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903882\Desktop\"/>
    </mc:Choice>
  </mc:AlternateContent>
  <xr:revisionPtr revIDLastSave="0" documentId="8_{941775BD-EB15-401A-89D3-1D62DECF4967}" xr6:coauthVersionLast="47" xr6:coauthVersionMax="47" xr10:uidLastSave="{00000000-0000-0000-0000-000000000000}"/>
  <bookViews>
    <workbookView xWindow="-120" yWindow="-120" windowWidth="20730" windowHeight="11160" tabRatio="677" xr2:uid="{00000000-000D-0000-FFFF-FFFF00000000}"/>
  </bookViews>
  <sheets>
    <sheet name="(直掃)RX Mapping" sheetId="4" r:id="rId1"/>
    <sheet name="(直掃)Change to adc mapping " sheetId="5" r:id="rId2"/>
    <sheet name="(直掃)add 逗號" sheetId="6" r:id="rId3"/>
    <sheet name="(直掃)add 逗號 16進制" sheetId="7" r:id="rId4"/>
    <sheet name="(橫掃)RX Mapping" sheetId="1" r:id="rId5"/>
    <sheet name="(橫掃)Change to adc mapping" sheetId="2" r:id="rId6"/>
    <sheet name="(橫掃)add 逗號" sheetId="3" r:id="rId7"/>
    <sheet name="(橫掃)add 逗號 16進制"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 i="3" l="1"/>
  <c r="B16" i="3"/>
  <c r="B17" i="3"/>
  <c r="B15" i="3"/>
  <c r="B7" i="3"/>
  <c r="B6" i="3"/>
  <c r="Y23" i="3"/>
  <c r="Y33" i="3" s="1"/>
  <c r="AB14" i="3"/>
  <c r="AA14" i="3"/>
  <c r="X23" i="3" s="1"/>
  <c r="X33" i="3" s="1"/>
  <c r="B11" i="3"/>
  <c r="Q27" i="3" s="1"/>
  <c r="Q37" i="3" s="1"/>
  <c r="AA5" i="3"/>
  <c r="AB5" i="3" s="1"/>
  <c r="AC5" i="3" s="1"/>
  <c r="AD5" i="3" s="1"/>
  <c r="AE5" i="3" s="1"/>
  <c r="AF5" i="3" s="1"/>
  <c r="AG5" i="3" s="1"/>
  <c r="B2" i="3"/>
  <c r="C2" i="3" s="1"/>
  <c r="D2" i="3" s="1"/>
  <c r="E2" i="3" s="1"/>
  <c r="F2" i="3" s="1"/>
  <c r="G2" i="3" s="1"/>
  <c r="H2" i="3" s="1"/>
  <c r="I2" i="3" s="1"/>
  <c r="J2" i="3" s="1"/>
  <c r="K2" i="3" s="1"/>
  <c r="L2" i="3" s="1"/>
  <c r="M2" i="3" s="1"/>
  <c r="N2" i="3" s="1"/>
  <c r="O2" i="3" s="1"/>
  <c r="P2" i="3" s="1"/>
  <c r="Q2" i="3" s="1"/>
  <c r="R2" i="3" s="1"/>
  <c r="S2" i="3" s="1"/>
  <c r="T2" i="3" s="1"/>
  <c r="U2" i="3" s="1"/>
  <c r="V2" i="3" s="1"/>
  <c r="W2" i="3" s="1"/>
  <c r="X2" i="3" s="1"/>
  <c r="Y2" i="3" s="1"/>
  <c r="Z2" i="3" s="1"/>
  <c r="AA2" i="3" s="1"/>
  <c r="AB2" i="3" s="1"/>
  <c r="AC2" i="3" s="1"/>
  <c r="AD2" i="3" s="1"/>
  <c r="AE2" i="3" s="1"/>
  <c r="AF2" i="3" s="1"/>
  <c r="AG2" i="3" s="1"/>
  <c r="B3" i="3" s="1"/>
  <c r="C3" i="3" s="1"/>
  <c r="D3" i="3" s="1"/>
  <c r="E3" i="3" s="1"/>
  <c r="F3" i="3" s="1"/>
  <c r="G3" i="3" s="1"/>
  <c r="H3" i="3" s="1"/>
  <c r="I3" i="3" s="1"/>
  <c r="J3" i="3" s="1"/>
  <c r="K3" i="3" s="1"/>
  <c r="L3" i="3" s="1"/>
  <c r="M3" i="3" s="1"/>
  <c r="N3" i="3" s="1"/>
  <c r="O3" i="3" s="1"/>
  <c r="P3" i="3" s="1"/>
  <c r="Q3" i="3" s="1"/>
  <c r="R3" i="3" s="1"/>
  <c r="S3" i="3" s="1"/>
  <c r="T3" i="3" s="1"/>
  <c r="U3" i="3" s="1"/>
  <c r="V3" i="3" s="1"/>
  <c r="W3" i="3" s="1"/>
  <c r="X3" i="3" s="1"/>
  <c r="Y3" i="3" s="1"/>
  <c r="Z3" i="3" s="1"/>
  <c r="AA3" i="3" s="1"/>
  <c r="AB3" i="3" s="1"/>
  <c r="AC3" i="3" s="1"/>
  <c r="AD3" i="3" s="1"/>
  <c r="AE3" i="3" s="1"/>
  <c r="AF3" i="3" s="1"/>
  <c r="AG3" i="3" s="1"/>
  <c r="B4" i="3" s="1"/>
  <c r="C4" i="3" s="1"/>
  <c r="D4" i="3" s="1"/>
  <c r="E4" i="3" s="1"/>
  <c r="F4" i="3" s="1"/>
  <c r="G4" i="3" s="1"/>
  <c r="H4" i="3" s="1"/>
  <c r="I4" i="3" s="1"/>
  <c r="J4" i="3" s="1"/>
  <c r="K4" i="3" s="1"/>
  <c r="L4" i="3" s="1"/>
  <c r="M4" i="3" s="1"/>
  <c r="N4" i="3" s="1"/>
  <c r="O4" i="3" s="1"/>
  <c r="P4" i="3" s="1"/>
  <c r="Q4" i="3" s="1"/>
  <c r="R4" i="3" s="1"/>
  <c r="S4" i="3" s="1"/>
  <c r="T4" i="3" s="1"/>
  <c r="U4" i="3" s="1"/>
  <c r="V4" i="3" s="1"/>
  <c r="W4" i="3" s="1"/>
  <c r="X4" i="3" s="1"/>
  <c r="Y4" i="3" s="1"/>
  <c r="Z4" i="3" s="1"/>
  <c r="AA4" i="3" s="1"/>
  <c r="AB4" i="3" s="1"/>
  <c r="AC4" i="3" s="1"/>
  <c r="AD4" i="3" s="1"/>
  <c r="AE4" i="3" s="1"/>
  <c r="AF4" i="3" s="1"/>
  <c r="AG4" i="3" s="1"/>
  <c r="B5" i="3" s="1"/>
  <c r="C5" i="3" s="1"/>
  <c r="D5" i="3" s="1"/>
  <c r="E5" i="3" s="1"/>
  <c r="F5" i="3" s="1"/>
  <c r="G5" i="3" s="1"/>
  <c r="H5" i="3" s="1"/>
  <c r="I5" i="3" s="1"/>
  <c r="J5" i="3" s="1"/>
  <c r="K5" i="3" s="1"/>
  <c r="L5" i="3" s="1"/>
  <c r="M5" i="3" s="1"/>
  <c r="N5" i="3" s="1"/>
  <c r="O5" i="3" s="1"/>
  <c r="P5" i="3" s="1"/>
  <c r="Q5" i="3" s="1"/>
  <c r="R5" i="3" s="1"/>
  <c r="S5" i="3" s="1"/>
  <c r="T5" i="3" s="1"/>
  <c r="U5" i="3" s="1"/>
  <c r="V5" i="3" s="1"/>
  <c r="W5" i="3" s="1"/>
  <c r="X5" i="3" s="1"/>
  <c r="Y5" i="3" s="1"/>
  <c r="C6" i="3" l="1"/>
  <c r="D6" i="3" s="1"/>
  <c r="E6" i="3" s="1"/>
  <c r="F6" i="3" s="1"/>
  <c r="G6" i="3" s="1"/>
  <c r="H6" i="3" s="1"/>
  <c r="I6" i="3" s="1"/>
  <c r="J6" i="3" s="1"/>
  <c r="K6" i="3" s="1"/>
  <c r="L6" i="3" s="1"/>
  <c r="M6" i="3" s="1"/>
  <c r="N6" i="3" s="1"/>
  <c r="O6" i="3" s="1"/>
  <c r="P6" i="3" s="1"/>
  <c r="Q6" i="3" s="1"/>
  <c r="R6" i="3" s="1"/>
  <c r="S6" i="3" s="1"/>
  <c r="T6" i="3" s="1"/>
  <c r="U6" i="3" s="1"/>
  <c r="V6" i="3" s="1"/>
  <c r="W6" i="3" s="1"/>
  <c r="X6" i="3" s="1"/>
  <c r="Y6" i="3" s="1"/>
  <c r="Z6" i="3" s="1"/>
  <c r="AA6" i="3" s="1"/>
  <c r="AB6" i="3" s="1"/>
  <c r="AC6" i="3" s="1"/>
  <c r="AD6" i="3" s="1"/>
  <c r="AE6" i="3" s="1"/>
  <c r="AF6" i="3" s="1"/>
  <c r="AG6" i="3" s="1"/>
  <c r="C7" i="3" s="1"/>
  <c r="D7" i="3" s="1"/>
  <c r="E7" i="3" s="1"/>
  <c r="F7" i="3" s="1"/>
  <c r="G7" i="3" s="1"/>
  <c r="H7" i="3" s="1"/>
  <c r="I7" i="3" s="1"/>
  <c r="J7" i="3" s="1"/>
  <c r="K7" i="3" s="1"/>
  <c r="L7" i="3" s="1"/>
  <c r="M7" i="3" s="1"/>
  <c r="N7" i="3" s="1"/>
  <c r="O7" i="3" s="1"/>
  <c r="P7" i="3" s="1"/>
  <c r="Q7" i="3" s="1"/>
  <c r="R7" i="3" s="1"/>
  <c r="S7" i="3" s="1"/>
  <c r="T7" i="3" s="1"/>
  <c r="U7" i="3" s="1"/>
  <c r="V7" i="3" s="1"/>
  <c r="W7" i="3" s="1"/>
  <c r="X7" i="3" s="1"/>
  <c r="Y7" i="3" s="1"/>
  <c r="Z7" i="3" s="1"/>
  <c r="AA7" i="3" s="1"/>
  <c r="AB7" i="3" s="1"/>
  <c r="AC7" i="3" s="1"/>
  <c r="AD7" i="3" s="1"/>
  <c r="AE7" i="3" s="1"/>
  <c r="AF7" i="3" s="1"/>
  <c r="AG7" i="3" s="1"/>
  <c r="W23" i="3"/>
  <c r="W33" i="3" s="1"/>
  <c r="AC14" i="3"/>
  <c r="C11" i="3"/>
  <c r="B8" i="3" l="1"/>
  <c r="C8" i="3" s="1"/>
  <c r="D8" i="3" s="1"/>
  <c r="E8" i="3" s="1"/>
  <c r="F8" i="3" s="1"/>
  <c r="G8" i="3" s="1"/>
  <c r="H8" i="3" s="1"/>
  <c r="I8" i="3" s="1"/>
  <c r="J8" i="3" s="1"/>
  <c r="K8" i="3" s="1"/>
  <c r="L8" i="3" s="1"/>
  <c r="M8" i="3" s="1"/>
  <c r="N8" i="3" s="1"/>
  <c r="O8" i="3" s="1"/>
  <c r="P8" i="3" s="1"/>
  <c r="Q8" i="3" s="1"/>
  <c r="R8" i="3" s="1"/>
  <c r="S8" i="3" s="1"/>
  <c r="T8" i="3" s="1"/>
  <c r="U8" i="3" s="1"/>
  <c r="V8" i="3" s="1"/>
  <c r="W8" i="3" s="1"/>
  <c r="X8" i="3" s="1"/>
  <c r="Y8" i="3" s="1"/>
  <c r="Z8" i="3" s="1"/>
  <c r="AA8" i="3" s="1"/>
  <c r="AB8" i="3" s="1"/>
  <c r="AC8" i="3" s="1"/>
  <c r="AD8" i="3" s="1"/>
  <c r="AE8" i="3" s="1"/>
  <c r="AF8" i="3" s="1"/>
  <c r="AG8" i="3" s="1"/>
  <c r="P27" i="3"/>
  <c r="P37" i="3" s="1"/>
  <c r="D11" i="3"/>
  <c r="V23" i="3"/>
  <c r="V33" i="3" s="1"/>
  <c r="AD14" i="3"/>
  <c r="C9" i="3" l="1"/>
  <c r="D9" i="3" s="1"/>
  <c r="E9" i="3" s="1"/>
  <c r="F9" i="3" s="1"/>
  <c r="G9" i="3" s="1"/>
  <c r="H9" i="3" s="1"/>
  <c r="I9" i="3" s="1"/>
  <c r="J9" i="3" s="1"/>
  <c r="K9" i="3" s="1"/>
  <c r="L9" i="3" s="1"/>
  <c r="M9" i="3" s="1"/>
  <c r="N9" i="3" s="1"/>
  <c r="O9" i="3" s="1"/>
  <c r="P9" i="3" s="1"/>
  <c r="Q9" i="3" s="1"/>
  <c r="B9" i="3"/>
  <c r="AE14" i="3"/>
  <c r="U23" i="3"/>
  <c r="U33" i="3" s="1"/>
  <c r="O27" i="3"/>
  <c r="O37" i="3" s="1"/>
  <c r="E11" i="3"/>
  <c r="B32" i="5"/>
  <c r="C32" i="5"/>
  <c r="D32" i="5"/>
  <c r="E32" i="5"/>
  <c r="F32" i="5"/>
  <c r="G32" i="5"/>
  <c r="H32" i="5"/>
  <c r="I32" i="5"/>
  <c r="J32" i="5"/>
  <c r="K32" i="5"/>
  <c r="L32" i="5"/>
  <c r="M32" i="5"/>
  <c r="N32" i="5"/>
  <c r="O32" i="5"/>
  <c r="P32" i="5"/>
  <c r="Q32" i="5"/>
  <c r="R32" i="5"/>
  <c r="S32" i="5"/>
  <c r="T32" i="5"/>
  <c r="U32" i="5"/>
  <c r="V32" i="5"/>
  <c r="W32" i="5"/>
  <c r="X32" i="5"/>
  <c r="Y32" i="5"/>
  <c r="Z32" i="5"/>
  <c r="AA32" i="5"/>
  <c r="AB32" i="5"/>
  <c r="AC32" i="5"/>
  <c r="AD32" i="5"/>
  <c r="AE32" i="5"/>
  <c r="AF32" i="5"/>
  <c r="AG32" i="5"/>
  <c r="AH32" i="5"/>
  <c r="AI32" i="5"/>
  <c r="AJ32" i="5"/>
  <c r="AK32" i="5"/>
  <c r="AL32" i="5"/>
  <c r="AM32" i="5"/>
  <c r="AN32" i="5"/>
  <c r="AO32" i="5"/>
  <c r="AP32" i="5"/>
  <c r="AQ32" i="5"/>
  <c r="AR32" i="5"/>
  <c r="AS32" i="5"/>
  <c r="B33" i="5"/>
  <c r="C33" i="5"/>
  <c r="D33" i="5"/>
  <c r="E33" i="5"/>
  <c r="F33" i="5"/>
  <c r="G33" i="5"/>
  <c r="H33" i="5"/>
  <c r="I33" i="5"/>
  <c r="J33" i="5"/>
  <c r="K33" i="5"/>
  <c r="L33" i="5"/>
  <c r="M33" i="5"/>
  <c r="N33" i="5"/>
  <c r="O33" i="5"/>
  <c r="P33" i="5"/>
  <c r="Q33" i="5"/>
  <c r="R33" i="5"/>
  <c r="S33" i="5"/>
  <c r="T33" i="5"/>
  <c r="U33" i="5"/>
  <c r="V33" i="5"/>
  <c r="W33" i="5"/>
  <c r="X33" i="5"/>
  <c r="Y33" i="5"/>
  <c r="Z33" i="5"/>
  <c r="AA33" i="5"/>
  <c r="AB33" i="5"/>
  <c r="AC33" i="5"/>
  <c r="AD33" i="5"/>
  <c r="AE33" i="5"/>
  <c r="AF33" i="5"/>
  <c r="AG33" i="5"/>
  <c r="AH33" i="5"/>
  <c r="AI33" i="5"/>
  <c r="AJ33" i="5"/>
  <c r="AK33" i="5"/>
  <c r="AL33" i="5"/>
  <c r="AM33" i="5"/>
  <c r="AN33" i="5"/>
  <c r="AO33" i="5"/>
  <c r="AP33" i="5"/>
  <c r="AQ33" i="5"/>
  <c r="AR33" i="5"/>
  <c r="AS33" i="5"/>
  <c r="B34" i="5"/>
  <c r="C34" i="5"/>
  <c r="D34" i="5"/>
  <c r="E34" i="5"/>
  <c r="F34" i="5"/>
  <c r="G34" i="5"/>
  <c r="H34" i="5"/>
  <c r="I34" i="5"/>
  <c r="J34" i="5"/>
  <c r="K34" i="5"/>
  <c r="L34" i="5"/>
  <c r="M34" i="5"/>
  <c r="N34" i="5"/>
  <c r="O34" i="5"/>
  <c r="P34" i="5"/>
  <c r="Q34" i="5"/>
  <c r="R34" i="5"/>
  <c r="S34" i="5"/>
  <c r="T34" i="5"/>
  <c r="U34" i="5"/>
  <c r="V34" i="5"/>
  <c r="W34" i="5"/>
  <c r="X34" i="5"/>
  <c r="Y34" i="5"/>
  <c r="Z34" i="5"/>
  <c r="AA34" i="5"/>
  <c r="AB34" i="5"/>
  <c r="AC34" i="5"/>
  <c r="AD34" i="5"/>
  <c r="AE34" i="5"/>
  <c r="AF34" i="5"/>
  <c r="AG34" i="5"/>
  <c r="AH34" i="5"/>
  <c r="AI34" i="5"/>
  <c r="AJ34" i="5"/>
  <c r="AK34" i="5"/>
  <c r="AL34" i="5"/>
  <c r="AM34" i="5"/>
  <c r="AN34" i="5"/>
  <c r="AO34" i="5"/>
  <c r="AP34" i="5"/>
  <c r="AQ34" i="5"/>
  <c r="AR34" i="5"/>
  <c r="AS34" i="5"/>
  <c r="B35" i="5"/>
  <c r="C35" i="5"/>
  <c r="D35" i="5"/>
  <c r="E35" i="5"/>
  <c r="F35" i="5"/>
  <c r="G35" i="5"/>
  <c r="H35" i="5"/>
  <c r="I35" i="5"/>
  <c r="J35" i="5"/>
  <c r="K35" i="5"/>
  <c r="L35" i="5"/>
  <c r="M35" i="5"/>
  <c r="N35" i="5"/>
  <c r="O35" i="5"/>
  <c r="P35" i="5"/>
  <c r="Q35" i="5"/>
  <c r="R35" i="5"/>
  <c r="S35" i="5"/>
  <c r="T35" i="5"/>
  <c r="U35" i="5"/>
  <c r="V35" i="5"/>
  <c r="W35" i="5"/>
  <c r="X35" i="5"/>
  <c r="Y35" i="5"/>
  <c r="Z35" i="5"/>
  <c r="AA35" i="5"/>
  <c r="AB35" i="5"/>
  <c r="AC35" i="5"/>
  <c r="AD35" i="5"/>
  <c r="AE35" i="5"/>
  <c r="AF35" i="5"/>
  <c r="AG35" i="5"/>
  <c r="AH35" i="5"/>
  <c r="AI35" i="5"/>
  <c r="AJ35" i="5"/>
  <c r="AK35" i="5"/>
  <c r="AL35" i="5"/>
  <c r="AM35" i="5"/>
  <c r="AN35" i="5"/>
  <c r="AO35" i="5"/>
  <c r="AP35" i="5"/>
  <c r="AQ35" i="5"/>
  <c r="AR35" i="5"/>
  <c r="AS35" i="5"/>
  <c r="B36" i="5"/>
  <c r="C36" i="5"/>
  <c r="D36" i="5"/>
  <c r="E36" i="5"/>
  <c r="F36" i="5"/>
  <c r="G36" i="5"/>
  <c r="H36" i="5"/>
  <c r="I36" i="5"/>
  <c r="J36" i="5"/>
  <c r="K36" i="5"/>
  <c r="L36" i="5"/>
  <c r="M36" i="5"/>
  <c r="N36" i="5"/>
  <c r="O36" i="5"/>
  <c r="P36" i="5"/>
  <c r="Q36" i="5"/>
  <c r="R36" i="5"/>
  <c r="S36" i="5"/>
  <c r="T36" i="5"/>
  <c r="U36" i="5"/>
  <c r="V36" i="5"/>
  <c r="W36" i="5"/>
  <c r="X36" i="5"/>
  <c r="Y36" i="5"/>
  <c r="Z36" i="5"/>
  <c r="AA36" i="5"/>
  <c r="AB36" i="5"/>
  <c r="AC36" i="5"/>
  <c r="AD36" i="5"/>
  <c r="AE36" i="5"/>
  <c r="AF36" i="5"/>
  <c r="AG36" i="5"/>
  <c r="AH36" i="5"/>
  <c r="AI36" i="5"/>
  <c r="AJ36" i="5"/>
  <c r="AK36" i="5"/>
  <c r="AL36" i="5"/>
  <c r="AM36" i="5"/>
  <c r="AN36" i="5"/>
  <c r="AO36" i="5"/>
  <c r="AP36" i="5"/>
  <c r="AQ36" i="5"/>
  <c r="AR36" i="5"/>
  <c r="AS36" i="5"/>
  <c r="B37" i="5"/>
  <c r="C37" i="5"/>
  <c r="D37" i="5"/>
  <c r="E37" i="5"/>
  <c r="F37" i="5"/>
  <c r="G37" i="5"/>
  <c r="H37" i="5"/>
  <c r="I37" i="5"/>
  <c r="J37" i="5"/>
  <c r="K37" i="5"/>
  <c r="L37" i="5"/>
  <c r="M37" i="5"/>
  <c r="N37" i="5"/>
  <c r="O37" i="5"/>
  <c r="P37" i="5"/>
  <c r="Q37" i="5"/>
  <c r="R37" i="5"/>
  <c r="S37" i="5"/>
  <c r="T37" i="5"/>
  <c r="U37" i="5"/>
  <c r="V37" i="5"/>
  <c r="W37" i="5"/>
  <c r="X37" i="5"/>
  <c r="Y37" i="5"/>
  <c r="Z37" i="5"/>
  <c r="AA37" i="5"/>
  <c r="AB37" i="5"/>
  <c r="AC37" i="5"/>
  <c r="AD37" i="5"/>
  <c r="AE37" i="5"/>
  <c r="AF37" i="5"/>
  <c r="AG37" i="5"/>
  <c r="AH37" i="5"/>
  <c r="AI37" i="5"/>
  <c r="AJ37" i="5"/>
  <c r="AK37" i="5"/>
  <c r="AL37" i="5"/>
  <c r="AM37" i="5"/>
  <c r="AN37" i="5"/>
  <c r="AO37" i="5"/>
  <c r="AP37" i="5"/>
  <c r="AQ37" i="5"/>
  <c r="AR37" i="5"/>
  <c r="AS37" i="5"/>
  <c r="B38" i="5"/>
  <c r="C38" i="5"/>
  <c r="D38" i="5"/>
  <c r="E38" i="5"/>
  <c r="F38" i="5"/>
  <c r="G38" i="5"/>
  <c r="H38" i="5"/>
  <c r="I38" i="5"/>
  <c r="J38" i="5"/>
  <c r="K38" i="5"/>
  <c r="L38" i="5"/>
  <c r="M38" i="5"/>
  <c r="N38" i="5"/>
  <c r="O38" i="5"/>
  <c r="P38" i="5"/>
  <c r="Q38" i="5"/>
  <c r="R38" i="5"/>
  <c r="S38" i="5"/>
  <c r="T38" i="5"/>
  <c r="U38" i="5"/>
  <c r="V38" i="5"/>
  <c r="W38" i="5"/>
  <c r="X38" i="5"/>
  <c r="Y38" i="5"/>
  <c r="Z38" i="5"/>
  <c r="AA38" i="5"/>
  <c r="AB38" i="5"/>
  <c r="AC38" i="5"/>
  <c r="AD38" i="5"/>
  <c r="AE38" i="5"/>
  <c r="AF38" i="5"/>
  <c r="AG38" i="5"/>
  <c r="AH38" i="5"/>
  <c r="AI38" i="5"/>
  <c r="AJ38" i="5"/>
  <c r="AK38" i="5"/>
  <c r="AL38" i="5"/>
  <c r="AM38" i="5"/>
  <c r="AN38" i="5"/>
  <c r="AO38" i="5"/>
  <c r="AP38" i="5"/>
  <c r="AQ38" i="5"/>
  <c r="AR38" i="5"/>
  <c r="AS38" i="5"/>
  <c r="AD2" i="5"/>
  <c r="AE2" i="5"/>
  <c r="AF2" i="5"/>
  <c r="AG2" i="5"/>
  <c r="AH2" i="5"/>
  <c r="AI2" i="5"/>
  <c r="AJ2" i="5"/>
  <c r="AK2" i="5"/>
  <c r="AL2" i="5"/>
  <c r="AM2" i="5"/>
  <c r="AN2" i="5"/>
  <c r="AO2" i="5"/>
  <c r="AP2" i="5"/>
  <c r="AQ2" i="5"/>
  <c r="AR2" i="5"/>
  <c r="AS2" i="5"/>
  <c r="AD3" i="5"/>
  <c r="AE3" i="5"/>
  <c r="AF3" i="5"/>
  <c r="AG3" i="5"/>
  <c r="AH3" i="5"/>
  <c r="AI3" i="5"/>
  <c r="AJ3" i="5"/>
  <c r="AK3" i="5"/>
  <c r="AL3" i="5"/>
  <c r="AM3" i="5"/>
  <c r="AN3" i="5"/>
  <c r="AO3" i="5"/>
  <c r="AP3" i="5"/>
  <c r="AQ3" i="5"/>
  <c r="AR3" i="5"/>
  <c r="AS3" i="5"/>
  <c r="AD4" i="5"/>
  <c r="AE4" i="5"/>
  <c r="AF4" i="5"/>
  <c r="AG4" i="5"/>
  <c r="AH4" i="5"/>
  <c r="AI4" i="5"/>
  <c r="AJ4" i="5"/>
  <c r="AK4" i="5"/>
  <c r="AL4" i="5"/>
  <c r="AM4" i="5"/>
  <c r="AN4" i="5"/>
  <c r="AO4" i="5"/>
  <c r="AP4" i="5"/>
  <c r="AQ4" i="5"/>
  <c r="AR4" i="5"/>
  <c r="AS4" i="5"/>
  <c r="AD5" i="5"/>
  <c r="AE5" i="5"/>
  <c r="AF5" i="5"/>
  <c r="AG5" i="5"/>
  <c r="AH5" i="5"/>
  <c r="AI5" i="5"/>
  <c r="AJ5" i="5"/>
  <c r="AK5" i="5"/>
  <c r="AL5" i="5"/>
  <c r="AM5" i="5"/>
  <c r="AN5" i="5"/>
  <c r="AO5" i="5"/>
  <c r="AP5" i="5"/>
  <c r="AQ5" i="5"/>
  <c r="AR5" i="5"/>
  <c r="AS5" i="5"/>
  <c r="AD6" i="5"/>
  <c r="AE6" i="5"/>
  <c r="AF6" i="5"/>
  <c r="AG6" i="5"/>
  <c r="AH6" i="5"/>
  <c r="AI6" i="5"/>
  <c r="AJ6" i="5"/>
  <c r="AK6" i="5"/>
  <c r="AL6" i="5"/>
  <c r="AM6" i="5"/>
  <c r="AN6" i="5"/>
  <c r="AO6" i="5"/>
  <c r="AP6" i="5"/>
  <c r="AQ6" i="5"/>
  <c r="AR6" i="5"/>
  <c r="AS6" i="5"/>
  <c r="AD7" i="5"/>
  <c r="AE7" i="5"/>
  <c r="AF7" i="5"/>
  <c r="AG7" i="5"/>
  <c r="AH7" i="5"/>
  <c r="AI7" i="5"/>
  <c r="AJ7" i="5"/>
  <c r="AK7" i="5"/>
  <c r="AL7" i="5"/>
  <c r="AM7" i="5"/>
  <c r="AN7" i="5"/>
  <c r="AO7" i="5"/>
  <c r="AP7" i="5"/>
  <c r="AQ7" i="5"/>
  <c r="AR7" i="5"/>
  <c r="AS7" i="5"/>
  <c r="AD8" i="5"/>
  <c r="AE8" i="5"/>
  <c r="AF8" i="5"/>
  <c r="AG8" i="5"/>
  <c r="AH8" i="5"/>
  <c r="AI8" i="5"/>
  <c r="AJ8" i="5"/>
  <c r="AK8" i="5"/>
  <c r="AL8" i="5"/>
  <c r="AM8" i="5"/>
  <c r="AN8" i="5"/>
  <c r="AO8" i="5"/>
  <c r="AP8" i="5"/>
  <c r="AQ8" i="5"/>
  <c r="AR8" i="5"/>
  <c r="AS8" i="5"/>
  <c r="AD9" i="5"/>
  <c r="AE9" i="5"/>
  <c r="AF9" i="5"/>
  <c r="AG9" i="5"/>
  <c r="AH9" i="5"/>
  <c r="AI9" i="5"/>
  <c r="AJ9" i="5"/>
  <c r="AK9" i="5"/>
  <c r="AL9" i="5"/>
  <c r="AM9" i="5"/>
  <c r="AN9" i="5"/>
  <c r="AO9" i="5"/>
  <c r="AP9" i="5"/>
  <c r="AQ9" i="5"/>
  <c r="AR9" i="5"/>
  <c r="AS9" i="5"/>
  <c r="AD10" i="5"/>
  <c r="AE10" i="5"/>
  <c r="AF10" i="5"/>
  <c r="AG10" i="5"/>
  <c r="AH10" i="5"/>
  <c r="AI10" i="5"/>
  <c r="AJ10" i="5"/>
  <c r="AK10" i="5"/>
  <c r="AL10" i="5"/>
  <c r="AM10" i="5"/>
  <c r="AN10" i="5"/>
  <c r="AO10" i="5"/>
  <c r="AP10" i="5"/>
  <c r="AQ10" i="5"/>
  <c r="AR10" i="5"/>
  <c r="AS10" i="5"/>
  <c r="AD11" i="5"/>
  <c r="AE11" i="5"/>
  <c r="AF11" i="5"/>
  <c r="AG11" i="5"/>
  <c r="AH11" i="5"/>
  <c r="AI11" i="5"/>
  <c r="AJ11" i="5"/>
  <c r="AK11" i="5"/>
  <c r="AL11" i="5"/>
  <c r="AM11" i="5"/>
  <c r="AN11" i="5"/>
  <c r="AO11" i="5"/>
  <c r="AP11" i="5"/>
  <c r="AQ11" i="5"/>
  <c r="AR11" i="5"/>
  <c r="AS11" i="5"/>
  <c r="AD12" i="5"/>
  <c r="AE12" i="5"/>
  <c r="AF12" i="5"/>
  <c r="AG12" i="5"/>
  <c r="AH12" i="5"/>
  <c r="AI12" i="5"/>
  <c r="AJ12" i="5"/>
  <c r="AK12" i="5"/>
  <c r="AL12" i="5"/>
  <c r="AM12" i="5"/>
  <c r="AN12" i="5"/>
  <c r="AO12" i="5"/>
  <c r="AP12" i="5"/>
  <c r="AQ12" i="5"/>
  <c r="AR12" i="5"/>
  <c r="AS12" i="5"/>
  <c r="AD13" i="5"/>
  <c r="AE13" i="5"/>
  <c r="AF13" i="5"/>
  <c r="AG13" i="5"/>
  <c r="AH13" i="5"/>
  <c r="AI13" i="5"/>
  <c r="AJ13" i="5"/>
  <c r="AK13" i="5"/>
  <c r="AL13" i="5"/>
  <c r="AM13" i="5"/>
  <c r="AN13" i="5"/>
  <c r="AO13" i="5"/>
  <c r="AP13" i="5"/>
  <c r="AQ13" i="5"/>
  <c r="AR13" i="5"/>
  <c r="AS13" i="5"/>
  <c r="AD14" i="5"/>
  <c r="AE14" i="5"/>
  <c r="AF14" i="5"/>
  <c r="AG14" i="5"/>
  <c r="AH14" i="5"/>
  <c r="AI14" i="5"/>
  <c r="AJ14" i="5"/>
  <c r="AK14" i="5"/>
  <c r="AL14" i="5"/>
  <c r="AM14" i="5"/>
  <c r="AN14" i="5"/>
  <c r="AO14" i="5"/>
  <c r="AP14" i="5"/>
  <c r="AQ14" i="5"/>
  <c r="AR14" i="5"/>
  <c r="AS14" i="5"/>
  <c r="AD15" i="5"/>
  <c r="AE15" i="5"/>
  <c r="AF15" i="5"/>
  <c r="AG15" i="5"/>
  <c r="AH15" i="5"/>
  <c r="AI15" i="5"/>
  <c r="AJ15" i="5"/>
  <c r="AK15" i="5"/>
  <c r="AL15" i="5"/>
  <c r="AM15" i="5"/>
  <c r="AN15" i="5"/>
  <c r="AO15" i="5"/>
  <c r="AP15" i="5"/>
  <c r="AQ15" i="5"/>
  <c r="AR15" i="5"/>
  <c r="AS15" i="5"/>
  <c r="AD16" i="5"/>
  <c r="AE16" i="5"/>
  <c r="AF16" i="5"/>
  <c r="AG16" i="5"/>
  <c r="AH16" i="5"/>
  <c r="AI16" i="5"/>
  <c r="AJ16" i="5"/>
  <c r="AK16" i="5"/>
  <c r="AL16" i="5"/>
  <c r="AM16" i="5"/>
  <c r="AN16" i="5"/>
  <c r="AO16" i="5"/>
  <c r="AP16" i="5"/>
  <c r="AQ16" i="5"/>
  <c r="AR16" i="5"/>
  <c r="AS16" i="5"/>
  <c r="AD17" i="5"/>
  <c r="AE17" i="5"/>
  <c r="AF17" i="5"/>
  <c r="AG17" i="5"/>
  <c r="AH17" i="5"/>
  <c r="AI17" i="5"/>
  <c r="AJ17" i="5"/>
  <c r="AK17" i="5"/>
  <c r="AL17" i="5"/>
  <c r="AM17" i="5"/>
  <c r="AN17" i="5"/>
  <c r="AO17" i="5"/>
  <c r="AP17" i="5"/>
  <c r="AQ17" i="5"/>
  <c r="AR17" i="5"/>
  <c r="AS17" i="5"/>
  <c r="AD18" i="5"/>
  <c r="AE18" i="5"/>
  <c r="AF18" i="5"/>
  <c r="AG18" i="5"/>
  <c r="AH18" i="5"/>
  <c r="AI18" i="5"/>
  <c r="AJ18" i="5"/>
  <c r="AK18" i="5"/>
  <c r="AL18" i="5"/>
  <c r="AM18" i="5"/>
  <c r="AN18" i="5"/>
  <c r="AO18" i="5"/>
  <c r="AP18" i="5"/>
  <c r="AQ18" i="5"/>
  <c r="AR18" i="5"/>
  <c r="AS18" i="5"/>
  <c r="AD19" i="5"/>
  <c r="AE19" i="5"/>
  <c r="AF19" i="5"/>
  <c r="AG19" i="5"/>
  <c r="AH19" i="5"/>
  <c r="AI19" i="5"/>
  <c r="AJ19" i="5"/>
  <c r="AK19" i="5"/>
  <c r="AL19" i="5"/>
  <c r="AM19" i="5"/>
  <c r="AN19" i="5"/>
  <c r="AO19" i="5"/>
  <c r="AP19" i="5"/>
  <c r="AQ19" i="5"/>
  <c r="AR19" i="5"/>
  <c r="AS19" i="5"/>
  <c r="AD20" i="5"/>
  <c r="AE20" i="5"/>
  <c r="AF20" i="5"/>
  <c r="AG20" i="5"/>
  <c r="AH20" i="5"/>
  <c r="AI20" i="5"/>
  <c r="AJ20" i="5"/>
  <c r="AK20" i="5"/>
  <c r="AL20" i="5"/>
  <c r="AM20" i="5"/>
  <c r="AN20" i="5"/>
  <c r="AO20" i="5"/>
  <c r="AP20" i="5"/>
  <c r="AQ20" i="5"/>
  <c r="AR20" i="5"/>
  <c r="AS20" i="5"/>
  <c r="AD21" i="5"/>
  <c r="AE21" i="5"/>
  <c r="AF21" i="5"/>
  <c r="AG21" i="5"/>
  <c r="AH21" i="5"/>
  <c r="AI21" i="5"/>
  <c r="AJ21" i="5"/>
  <c r="AK21" i="5"/>
  <c r="AL21" i="5"/>
  <c r="AM21" i="5"/>
  <c r="AN21" i="5"/>
  <c r="AO21" i="5"/>
  <c r="AP21" i="5"/>
  <c r="AQ21" i="5"/>
  <c r="AR21" i="5"/>
  <c r="AS21" i="5"/>
  <c r="AD22" i="5"/>
  <c r="AE22" i="5"/>
  <c r="AF22" i="5"/>
  <c r="AG22" i="5"/>
  <c r="AH22" i="5"/>
  <c r="AI22" i="5"/>
  <c r="AJ22" i="5"/>
  <c r="AK22" i="5"/>
  <c r="AL22" i="5"/>
  <c r="AM22" i="5"/>
  <c r="AN22" i="5"/>
  <c r="AO22" i="5"/>
  <c r="AP22" i="5"/>
  <c r="AQ22" i="5"/>
  <c r="AR22" i="5"/>
  <c r="AS22" i="5"/>
  <c r="AD23" i="5"/>
  <c r="AE23" i="5"/>
  <c r="AF23" i="5"/>
  <c r="AG23" i="5"/>
  <c r="AH23" i="5"/>
  <c r="AI23" i="5"/>
  <c r="AJ23" i="5"/>
  <c r="AK23" i="5"/>
  <c r="AL23" i="5"/>
  <c r="AM23" i="5"/>
  <c r="AN23" i="5"/>
  <c r="AO23" i="5"/>
  <c r="AP23" i="5"/>
  <c r="AQ23" i="5"/>
  <c r="AR23" i="5"/>
  <c r="AS23" i="5"/>
  <c r="AD24" i="5"/>
  <c r="AE24" i="5"/>
  <c r="AF24" i="5"/>
  <c r="AG24" i="5"/>
  <c r="AH24" i="5"/>
  <c r="AI24" i="5"/>
  <c r="AJ24" i="5"/>
  <c r="AK24" i="5"/>
  <c r="AL24" i="5"/>
  <c r="AM24" i="5"/>
  <c r="AN24" i="5"/>
  <c r="AO24" i="5"/>
  <c r="AP24" i="5"/>
  <c r="AQ24" i="5"/>
  <c r="AR24" i="5"/>
  <c r="AS24" i="5"/>
  <c r="AD25" i="5"/>
  <c r="AE25" i="5"/>
  <c r="AF25" i="5"/>
  <c r="AG25" i="5"/>
  <c r="AH25" i="5"/>
  <c r="AI25" i="5"/>
  <c r="AJ25" i="5"/>
  <c r="AK25" i="5"/>
  <c r="AL25" i="5"/>
  <c r="AM25" i="5"/>
  <c r="AN25" i="5"/>
  <c r="AO25" i="5"/>
  <c r="AP25" i="5"/>
  <c r="AQ25" i="5"/>
  <c r="AR25" i="5"/>
  <c r="AS25" i="5"/>
  <c r="AD26" i="5"/>
  <c r="AE26" i="5"/>
  <c r="AF26" i="5"/>
  <c r="AG26" i="5"/>
  <c r="AH26" i="5"/>
  <c r="AI26" i="5"/>
  <c r="AJ26" i="5"/>
  <c r="AK26" i="5"/>
  <c r="AL26" i="5"/>
  <c r="AM26" i="5"/>
  <c r="AN26" i="5"/>
  <c r="AO26" i="5"/>
  <c r="AP26" i="5"/>
  <c r="AQ26" i="5"/>
  <c r="AR26" i="5"/>
  <c r="AS26" i="5"/>
  <c r="AD27" i="5"/>
  <c r="AE27" i="5"/>
  <c r="AF27" i="5"/>
  <c r="AG27" i="5"/>
  <c r="AH27" i="5"/>
  <c r="AI27" i="5"/>
  <c r="AJ27" i="5"/>
  <c r="AK27" i="5"/>
  <c r="AL27" i="5"/>
  <c r="AM27" i="5"/>
  <c r="AN27" i="5"/>
  <c r="AO27" i="5"/>
  <c r="AP27" i="5"/>
  <c r="AQ27" i="5"/>
  <c r="AR27" i="5"/>
  <c r="AS27" i="5"/>
  <c r="AD28" i="5"/>
  <c r="AE28" i="5"/>
  <c r="AF28" i="5"/>
  <c r="AG28" i="5"/>
  <c r="AH28" i="5"/>
  <c r="AI28" i="5"/>
  <c r="AJ28" i="5"/>
  <c r="AK28" i="5"/>
  <c r="AL28" i="5"/>
  <c r="AM28" i="5"/>
  <c r="AN28" i="5"/>
  <c r="AO28" i="5"/>
  <c r="AP28" i="5"/>
  <c r="AQ28" i="5"/>
  <c r="AR28" i="5"/>
  <c r="AS28" i="5"/>
  <c r="AD29" i="5"/>
  <c r="AE29" i="5"/>
  <c r="AF29" i="5"/>
  <c r="AG29" i="5"/>
  <c r="AH29" i="5"/>
  <c r="AI29" i="5"/>
  <c r="AJ29" i="5"/>
  <c r="AK29" i="5"/>
  <c r="AL29" i="5"/>
  <c r="AM29" i="5"/>
  <c r="AN29" i="5"/>
  <c r="AO29" i="5"/>
  <c r="AP29" i="5"/>
  <c r="AQ29" i="5"/>
  <c r="AR29" i="5"/>
  <c r="AS29" i="5"/>
  <c r="AD30" i="5"/>
  <c r="AE30" i="5"/>
  <c r="AF30" i="5"/>
  <c r="AG30" i="5"/>
  <c r="AH30" i="5"/>
  <c r="AI30" i="5"/>
  <c r="AJ30" i="5"/>
  <c r="AK30" i="5"/>
  <c r="AL30" i="5"/>
  <c r="AM30" i="5"/>
  <c r="AN30" i="5"/>
  <c r="AO30" i="5"/>
  <c r="AP30" i="5"/>
  <c r="AQ30" i="5"/>
  <c r="AR30" i="5"/>
  <c r="AS30" i="5"/>
  <c r="AD31" i="5"/>
  <c r="AE31" i="5"/>
  <c r="AF31" i="5"/>
  <c r="AG31" i="5"/>
  <c r="AH31" i="5"/>
  <c r="AI31" i="5"/>
  <c r="AJ31" i="5"/>
  <c r="AK31" i="5"/>
  <c r="AL31" i="5"/>
  <c r="AM31" i="5"/>
  <c r="AN31" i="5"/>
  <c r="AO31" i="5"/>
  <c r="AP31" i="5"/>
  <c r="AQ31" i="5"/>
  <c r="AR31" i="5"/>
  <c r="AS31" i="5"/>
  <c r="B31" i="5"/>
  <c r="C31" i="5"/>
  <c r="D31" i="5"/>
  <c r="E31" i="5"/>
  <c r="F31" i="5"/>
  <c r="G31" i="5"/>
  <c r="H31" i="5"/>
  <c r="I31" i="5"/>
  <c r="J31" i="5"/>
  <c r="K31" i="5"/>
  <c r="L31" i="5"/>
  <c r="M31" i="5"/>
  <c r="N31" i="5"/>
  <c r="O31" i="5"/>
  <c r="P31" i="5"/>
  <c r="Q31" i="5"/>
  <c r="R31" i="5"/>
  <c r="S31" i="5"/>
  <c r="T31" i="5"/>
  <c r="U31" i="5"/>
  <c r="V31" i="5"/>
  <c r="W31" i="5"/>
  <c r="X31" i="5"/>
  <c r="Y31" i="5"/>
  <c r="Z31" i="5"/>
  <c r="AA31" i="5"/>
  <c r="AB31" i="5"/>
  <c r="AC31" i="5"/>
  <c r="B4" i="8"/>
  <c r="B13" i="8" s="1"/>
  <c r="C4" i="8"/>
  <c r="C13" i="8" s="1"/>
  <c r="D4" i="8"/>
  <c r="D13" i="8" s="1"/>
  <c r="E4" i="8"/>
  <c r="E13" i="8" s="1"/>
  <c r="F4" i="8"/>
  <c r="F13" i="8" s="1"/>
  <c r="G4" i="8"/>
  <c r="G13" i="8" s="1"/>
  <c r="H4" i="8"/>
  <c r="H13" i="8" s="1"/>
  <c r="I4" i="8"/>
  <c r="I13" i="8" s="1"/>
  <c r="J4" i="8"/>
  <c r="J13" i="8" s="1"/>
  <c r="K4" i="8"/>
  <c r="K13" i="8" s="1"/>
  <c r="L4" i="8"/>
  <c r="L13" i="8" s="1"/>
  <c r="M4" i="8"/>
  <c r="M13" i="8" s="1"/>
  <c r="N4" i="8"/>
  <c r="N13" i="8" s="1"/>
  <c r="O4" i="8"/>
  <c r="O13" i="8" s="1"/>
  <c r="P4" i="8"/>
  <c r="P13" i="8" s="1"/>
  <c r="Q4" i="8"/>
  <c r="Q13" i="8" s="1"/>
  <c r="R4" i="8"/>
  <c r="R13" i="8" s="1"/>
  <c r="S4" i="8"/>
  <c r="S13" i="8" s="1"/>
  <c r="T4" i="8"/>
  <c r="T13" i="8" s="1"/>
  <c r="U4" i="8"/>
  <c r="U13" i="8" s="1"/>
  <c r="V4" i="8"/>
  <c r="V13" i="8" s="1"/>
  <c r="W4" i="8"/>
  <c r="W13" i="8" s="1"/>
  <c r="X4" i="8"/>
  <c r="X13" i="8" s="1"/>
  <c r="Y4" i="8"/>
  <c r="Y13" i="8" s="1"/>
  <c r="Z4" i="8"/>
  <c r="Z13" i="8" s="1"/>
  <c r="AA4" i="8"/>
  <c r="AA13" i="8" s="1"/>
  <c r="AB4" i="8"/>
  <c r="AB13" i="8" s="1"/>
  <c r="AC4" i="8"/>
  <c r="AC13" i="8" s="1"/>
  <c r="AD4" i="8"/>
  <c r="AD13" i="8" s="1"/>
  <c r="AE4" i="8"/>
  <c r="AE13" i="8" s="1"/>
  <c r="AF4" i="8"/>
  <c r="AF13" i="8" s="1"/>
  <c r="AG4" i="8"/>
  <c r="AG13" i="8" s="1"/>
  <c r="B5" i="8"/>
  <c r="B14" i="8" s="1"/>
  <c r="C5" i="8"/>
  <c r="C14" i="8" s="1"/>
  <c r="D5" i="8"/>
  <c r="D14" i="8" s="1"/>
  <c r="E5" i="8"/>
  <c r="E14" i="8" s="1"/>
  <c r="F5" i="8"/>
  <c r="F14" i="8" s="1"/>
  <c r="G5" i="8"/>
  <c r="G14" i="8" s="1"/>
  <c r="H5" i="8"/>
  <c r="H14" i="8" s="1"/>
  <c r="I5" i="8"/>
  <c r="I14" i="8" s="1"/>
  <c r="J5" i="8"/>
  <c r="J14" i="8" s="1"/>
  <c r="K5" i="8"/>
  <c r="K14" i="8" s="1"/>
  <c r="L5" i="8"/>
  <c r="L14" i="8" s="1"/>
  <c r="M5" i="8"/>
  <c r="M14" i="8" s="1"/>
  <c r="N5" i="8"/>
  <c r="N14" i="8" s="1"/>
  <c r="O5" i="8"/>
  <c r="O14" i="8" s="1"/>
  <c r="P5" i="8"/>
  <c r="P14" i="8" s="1"/>
  <c r="Q5" i="8"/>
  <c r="Q14" i="8" s="1"/>
  <c r="R5" i="8"/>
  <c r="R14" i="8" s="1"/>
  <c r="S5" i="8"/>
  <c r="S14" i="8" s="1"/>
  <c r="T5" i="8"/>
  <c r="T14" i="8" s="1"/>
  <c r="U5" i="8"/>
  <c r="U14" i="8" s="1"/>
  <c r="V5" i="8"/>
  <c r="V14" i="8" s="1"/>
  <c r="W5" i="8"/>
  <c r="W14" i="8" s="1"/>
  <c r="X5" i="8"/>
  <c r="X14" i="8" s="1"/>
  <c r="Y5" i="8"/>
  <c r="Y14" i="8" s="1"/>
  <c r="Z5" i="8"/>
  <c r="Z14" i="8" s="1"/>
  <c r="AA5" i="8"/>
  <c r="AA14" i="8" s="1"/>
  <c r="AB5" i="8"/>
  <c r="AB14" i="8" s="1"/>
  <c r="AC5" i="8"/>
  <c r="AC14" i="8" s="1"/>
  <c r="AD5" i="8"/>
  <c r="AD14" i="8" s="1"/>
  <c r="AE5" i="8"/>
  <c r="AE14" i="8" s="1"/>
  <c r="AF5" i="8"/>
  <c r="AF14" i="8" s="1"/>
  <c r="AG5" i="8"/>
  <c r="AG14" i="8" s="1"/>
  <c r="C3" i="8"/>
  <c r="C12" i="8" s="1"/>
  <c r="D3" i="8"/>
  <c r="D12" i="8" s="1"/>
  <c r="E3" i="8"/>
  <c r="E12" i="8" s="1"/>
  <c r="F3" i="8"/>
  <c r="F12" i="8" s="1"/>
  <c r="G3" i="8"/>
  <c r="G12" i="8" s="1"/>
  <c r="H3" i="8"/>
  <c r="H12" i="8" s="1"/>
  <c r="I3" i="8"/>
  <c r="I12" i="8" s="1"/>
  <c r="J3" i="8"/>
  <c r="J12" i="8" s="1"/>
  <c r="K3" i="8"/>
  <c r="K12" i="8" s="1"/>
  <c r="L3" i="8"/>
  <c r="L12" i="8" s="1"/>
  <c r="M3" i="8"/>
  <c r="M12" i="8" s="1"/>
  <c r="N3" i="8"/>
  <c r="N12" i="8" s="1"/>
  <c r="O3" i="8"/>
  <c r="O12" i="8" s="1"/>
  <c r="P3" i="8"/>
  <c r="P12" i="8" s="1"/>
  <c r="Q3" i="8"/>
  <c r="Q12" i="8" s="1"/>
  <c r="R3" i="8"/>
  <c r="R12" i="8" s="1"/>
  <c r="S3" i="8"/>
  <c r="S12" i="8" s="1"/>
  <c r="T3" i="8"/>
  <c r="T12" i="8" s="1"/>
  <c r="U3" i="8"/>
  <c r="U12" i="8" s="1"/>
  <c r="V3" i="8"/>
  <c r="V12" i="8" s="1"/>
  <c r="W3" i="8"/>
  <c r="W12" i="8" s="1"/>
  <c r="X3" i="8"/>
  <c r="X12" i="8" s="1"/>
  <c r="Y3" i="8"/>
  <c r="Y12" i="8" s="1"/>
  <c r="Z3" i="8"/>
  <c r="Z12" i="8" s="1"/>
  <c r="AA3" i="8"/>
  <c r="AA12" i="8" s="1"/>
  <c r="AB3" i="8"/>
  <c r="AB12" i="8" s="1"/>
  <c r="AC3" i="8"/>
  <c r="AC12" i="8" s="1"/>
  <c r="AD3" i="8"/>
  <c r="AD12" i="8" s="1"/>
  <c r="AE3" i="8"/>
  <c r="AE12" i="8" s="1"/>
  <c r="AF3" i="8"/>
  <c r="AF12" i="8" s="1"/>
  <c r="AG3" i="8"/>
  <c r="AG12" i="8" s="1"/>
  <c r="B3" i="8"/>
  <c r="B12" i="8" s="1"/>
  <c r="C2" i="8"/>
  <c r="C11" i="8" s="1"/>
  <c r="D2" i="8"/>
  <c r="D11" i="8" s="1"/>
  <c r="E2" i="8"/>
  <c r="E11" i="8" s="1"/>
  <c r="F2" i="8"/>
  <c r="F11" i="8" s="1"/>
  <c r="G2" i="8"/>
  <c r="G11" i="8" s="1"/>
  <c r="H2" i="8"/>
  <c r="H11" i="8" s="1"/>
  <c r="I2" i="8"/>
  <c r="I11" i="8" s="1"/>
  <c r="J2" i="8"/>
  <c r="J11" i="8" s="1"/>
  <c r="K2" i="8"/>
  <c r="K11" i="8" s="1"/>
  <c r="L2" i="8"/>
  <c r="L11" i="8" s="1"/>
  <c r="M2" i="8"/>
  <c r="M11" i="8" s="1"/>
  <c r="N2" i="8"/>
  <c r="N11" i="8" s="1"/>
  <c r="O2" i="8"/>
  <c r="O11" i="8" s="1"/>
  <c r="P2" i="8"/>
  <c r="P11" i="8" s="1"/>
  <c r="Q2" i="8"/>
  <c r="Q11" i="8" s="1"/>
  <c r="R2" i="8"/>
  <c r="R11" i="8" s="1"/>
  <c r="S2" i="8"/>
  <c r="S11" i="8" s="1"/>
  <c r="T2" i="8"/>
  <c r="T11" i="8" s="1"/>
  <c r="U2" i="8"/>
  <c r="U11" i="8" s="1"/>
  <c r="V2" i="8"/>
  <c r="V11" i="8" s="1"/>
  <c r="W2" i="8"/>
  <c r="W11" i="8" s="1"/>
  <c r="X2" i="8"/>
  <c r="X11" i="8" s="1"/>
  <c r="Y2" i="8"/>
  <c r="Y11" i="8" s="1"/>
  <c r="Z2" i="8"/>
  <c r="Z11" i="8" s="1"/>
  <c r="AA2" i="8"/>
  <c r="AA11" i="8" s="1"/>
  <c r="AB2" i="8"/>
  <c r="AB11" i="8" s="1"/>
  <c r="AC2" i="8"/>
  <c r="AC11" i="8" s="1"/>
  <c r="AD2" i="8"/>
  <c r="AD11" i="8" s="1"/>
  <c r="AE2" i="8"/>
  <c r="AE11" i="8" s="1"/>
  <c r="AF2" i="8"/>
  <c r="AF11" i="8" s="1"/>
  <c r="AG2" i="8"/>
  <c r="AG11" i="8" s="1"/>
  <c r="B2" i="8"/>
  <c r="B11" i="8" s="1"/>
  <c r="N27" i="3" l="1"/>
  <c r="N37" i="3" s="1"/>
  <c r="F11" i="3"/>
  <c r="AF14" i="3"/>
  <c r="T23" i="3"/>
  <c r="T33" i="3" s="1"/>
  <c r="C6" i="8"/>
  <c r="C15" i="8" s="1"/>
  <c r="B6" i="8"/>
  <c r="B15" i="8" s="1"/>
  <c r="Q27" i="8"/>
  <c r="Q37" i="8" s="1"/>
  <c r="Y23" i="8"/>
  <c r="Y33" i="8" s="1"/>
  <c r="W23" i="8"/>
  <c r="B3" i="5"/>
  <c r="C3" i="5"/>
  <c r="D3" i="5"/>
  <c r="E3" i="5"/>
  <c r="F3" i="5"/>
  <c r="G3" i="5"/>
  <c r="H3" i="5"/>
  <c r="I3" i="5"/>
  <c r="J3" i="5"/>
  <c r="K3" i="5"/>
  <c r="L3" i="5"/>
  <c r="M3" i="5"/>
  <c r="N3" i="5"/>
  <c r="O3" i="5"/>
  <c r="P3" i="5"/>
  <c r="Q3" i="5"/>
  <c r="R3" i="5"/>
  <c r="S3" i="5"/>
  <c r="T3" i="5"/>
  <c r="U3" i="5"/>
  <c r="V3" i="5"/>
  <c r="W3" i="5"/>
  <c r="X3" i="5"/>
  <c r="Y3" i="5"/>
  <c r="Z3" i="5"/>
  <c r="AA3" i="5"/>
  <c r="AB3" i="5"/>
  <c r="AC3" i="5"/>
  <c r="B4" i="5"/>
  <c r="C4" i="5"/>
  <c r="D4" i="5"/>
  <c r="E4" i="5"/>
  <c r="F4" i="5"/>
  <c r="G4" i="5"/>
  <c r="H4" i="5"/>
  <c r="I4" i="5"/>
  <c r="J4" i="5"/>
  <c r="K4" i="5"/>
  <c r="L4" i="5"/>
  <c r="M4" i="5"/>
  <c r="N4" i="5"/>
  <c r="O4" i="5"/>
  <c r="P4" i="5"/>
  <c r="Q4" i="5"/>
  <c r="R4" i="5"/>
  <c r="S4" i="5"/>
  <c r="T4" i="5"/>
  <c r="U4" i="5"/>
  <c r="V4" i="5"/>
  <c r="W4" i="5"/>
  <c r="X4" i="5"/>
  <c r="Y4" i="5"/>
  <c r="Z4" i="5"/>
  <c r="AA4" i="5"/>
  <c r="AB4" i="5"/>
  <c r="AC4" i="5"/>
  <c r="B5" i="5"/>
  <c r="C5" i="5"/>
  <c r="D5" i="5"/>
  <c r="E5" i="5"/>
  <c r="F5" i="5"/>
  <c r="G5" i="5"/>
  <c r="H5" i="5"/>
  <c r="I5" i="5"/>
  <c r="J5" i="5"/>
  <c r="K5" i="5"/>
  <c r="L5" i="5"/>
  <c r="M5" i="5"/>
  <c r="N5" i="5"/>
  <c r="O5" i="5"/>
  <c r="P5" i="5"/>
  <c r="Q5" i="5"/>
  <c r="R5" i="5"/>
  <c r="S5" i="5"/>
  <c r="T5" i="5"/>
  <c r="U5" i="5"/>
  <c r="V5" i="5"/>
  <c r="W5" i="5"/>
  <c r="X5" i="5"/>
  <c r="Y5" i="5"/>
  <c r="Z5" i="5"/>
  <c r="AA5" i="5"/>
  <c r="AB5" i="5"/>
  <c r="AC5" i="5"/>
  <c r="B6" i="5"/>
  <c r="C6" i="5"/>
  <c r="D6" i="5"/>
  <c r="E6" i="5"/>
  <c r="F6" i="5"/>
  <c r="G6" i="5"/>
  <c r="H6" i="5"/>
  <c r="I6" i="5"/>
  <c r="J6" i="5"/>
  <c r="K6" i="5"/>
  <c r="L6" i="5"/>
  <c r="M6" i="5"/>
  <c r="N6" i="5"/>
  <c r="O6" i="5"/>
  <c r="P6" i="5"/>
  <c r="Q6" i="5"/>
  <c r="R6" i="5"/>
  <c r="S6" i="5"/>
  <c r="T6" i="5"/>
  <c r="U6" i="5"/>
  <c r="V6" i="5"/>
  <c r="W6" i="5"/>
  <c r="X6" i="5"/>
  <c r="Y6" i="5"/>
  <c r="Z6" i="5"/>
  <c r="AA6" i="5"/>
  <c r="AB6" i="5"/>
  <c r="AC6" i="5"/>
  <c r="B7" i="5"/>
  <c r="C7" i="5"/>
  <c r="D7" i="5"/>
  <c r="E7" i="5"/>
  <c r="F7" i="5"/>
  <c r="G7" i="5"/>
  <c r="H7" i="5"/>
  <c r="I7" i="5"/>
  <c r="J7" i="5"/>
  <c r="K7" i="5"/>
  <c r="L7" i="5"/>
  <c r="M7" i="5"/>
  <c r="N7" i="5"/>
  <c r="O7" i="5"/>
  <c r="P7" i="5"/>
  <c r="Q7" i="5"/>
  <c r="R7" i="5"/>
  <c r="S7" i="5"/>
  <c r="T7" i="5"/>
  <c r="U7" i="5"/>
  <c r="V7" i="5"/>
  <c r="W7" i="5"/>
  <c r="X7" i="5"/>
  <c r="Y7" i="5"/>
  <c r="Z7" i="5"/>
  <c r="AA7" i="5"/>
  <c r="AB7" i="5"/>
  <c r="AC7" i="5"/>
  <c r="B8" i="5"/>
  <c r="C8" i="5"/>
  <c r="D8" i="5"/>
  <c r="E8" i="5"/>
  <c r="F8" i="5"/>
  <c r="G8" i="5"/>
  <c r="H8" i="5"/>
  <c r="I8" i="5"/>
  <c r="J8" i="5"/>
  <c r="K8" i="5"/>
  <c r="L8" i="5"/>
  <c r="M8" i="5"/>
  <c r="N8" i="5"/>
  <c r="O8" i="5"/>
  <c r="P8" i="5"/>
  <c r="Q8" i="5"/>
  <c r="R8" i="5"/>
  <c r="S8" i="5"/>
  <c r="T8" i="5"/>
  <c r="U8" i="5"/>
  <c r="V8" i="5"/>
  <c r="W8" i="5"/>
  <c r="X8" i="5"/>
  <c r="Y8" i="5"/>
  <c r="Z8" i="5"/>
  <c r="AA8" i="5"/>
  <c r="AB8" i="5"/>
  <c r="AC8" i="5"/>
  <c r="B9" i="5"/>
  <c r="C9" i="5"/>
  <c r="D9" i="5"/>
  <c r="E9" i="5"/>
  <c r="F9" i="5"/>
  <c r="G9" i="5"/>
  <c r="H9" i="5"/>
  <c r="I9" i="5"/>
  <c r="J9" i="5"/>
  <c r="K9" i="5"/>
  <c r="L9" i="5"/>
  <c r="M9" i="5"/>
  <c r="N9" i="5"/>
  <c r="O9" i="5"/>
  <c r="P9" i="5"/>
  <c r="Q9" i="5"/>
  <c r="R9" i="5"/>
  <c r="S9" i="5"/>
  <c r="T9" i="5"/>
  <c r="U9" i="5"/>
  <c r="V9" i="5"/>
  <c r="W9" i="5"/>
  <c r="X9" i="5"/>
  <c r="Y9" i="5"/>
  <c r="Z9" i="5"/>
  <c r="AA9" i="5"/>
  <c r="AB9" i="5"/>
  <c r="AC9" i="5"/>
  <c r="B10" i="5"/>
  <c r="C10" i="5"/>
  <c r="D10" i="5"/>
  <c r="E10" i="5"/>
  <c r="F10" i="5"/>
  <c r="G10" i="5"/>
  <c r="H10" i="5"/>
  <c r="I10" i="5"/>
  <c r="J10" i="5"/>
  <c r="K10" i="5"/>
  <c r="L10" i="5"/>
  <c r="M10" i="5"/>
  <c r="N10" i="5"/>
  <c r="O10" i="5"/>
  <c r="P10" i="5"/>
  <c r="Q10" i="5"/>
  <c r="R10" i="5"/>
  <c r="S10" i="5"/>
  <c r="T10" i="5"/>
  <c r="U10" i="5"/>
  <c r="V10" i="5"/>
  <c r="W10" i="5"/>
  <c r="X10" i="5"/>
  <c r="Y10" i="5"/>
  <c r="Z10" i="5"/>
  <c r="AA10" i="5"/>
  <c r="AB10" i="5"/>
  <c r="AC10" i="5"/>
  <c r="B11" i="5"/>
  <c r="C11" i="5"/>
  <c r="D11" i="5"/>
  <c r="E11" i="5"/>
  <c r="F11" i="5"/>
  <c r="G11" i="5"/>
  <c r="H11" i="5"/>
  <c r="I11" i="5"/>
  <c r="J11" i="5"/>
  <c r="K11" i="5"/>
  <c r="L11" i="5"/>
  <c r="M11" i="5"/>
  <c r="N11" i="5"/>
  <c r="O11" i="5"/>
  <c r="P11" i="5"/>
  <c r="Q11" i="5"/>
  <c r="R11" i="5"/>
  <c r="S11" i="5"/>
  <c r="T11" i="5"/>
  <c r="U11" i="5"/>
  <c r="V11" i="5"/>
  <c r="W11" i="5"/>
  <c r="X11" i="5"/>
  <c r="Y11" i="5"/>
  <c r="Z11" i="5"/>
  <c r="AA11" i="5"/>
  <c r="AB11" i="5"/>
  <c r="AC11" i="5"/>
  <c r="B12" i="5"/>
  <c r="C12" i="5"/>
  <c r="D12" i="5"/>
  <c r="E12" i="5"/>
  <c r="F12" i="5"/>
  <c r="G12" i="5"/>
  <c r="H12" i="5"/>
  <c r="I12" i="5"/>
  <c r="J12" i="5"/>
  <c r="K12" i="5"/>
  <c r="L12" i="5"/>
  <c r="M12" i="5"/>
  <c r="N12" i="5"/>
  <c r="O12" i="5"/>
  <c r="P12" i="5"/>
  <c r="Q12" i="5"/>
  <c r="R12" i="5"/>
  <c r="S12" i="5"/>
  <c r="T12" i="5"/>
  <c r="U12" i="5"/>
  <c r="V12" i="5"/>
  <c r="W12" i="5"/>
  <c r="X12" i="5"/>
  <c r="Y12" i="5"/>
  <c r="Z12" i="5"/>
  <c r="AA12" i="5"/>
  <c r="AB12" i="5"/>
  <c r="AC12" i="5"/>
  <c r="B13" i="5"/>
  <c r="C13" i="5"/>
  <c r="D13" i="5"/>
  <c r="E13" i="5"/>
  <c r="F13" i="5"/>
  <c r="G13" i="5"/>
  <c r="H13" i="5"/>
  <c r="I13" i="5"/>
  <c r="J13" i="5"/>
  <c r="K13" i="5"/>
  <c r="L13" i="5"/>
  <c r="M13" i="5"/>
  <c r="N13" i="5"/>
  <c r="O13" i="5"/>
  <c r="P13" i="5"/>
  <c r="Q13" i="5"/>
  <c r="R13" i="5"/>
  <c r="S13" i="5"/>
  <c r="T13" i="5"/>
  <c r="U13" i="5"/>
  <c r="V13" i="5"/>
  <c r="W13" i="5"/>
  <c r="X13" i="5"/>
  <c r="Y13" i="5"/>
  <c r="Z13" i="5"/>
  <c r="AA13" i="5"/>
  <c r="AB13" i="5"/>
  <c r="AC13" i="5"/>
  <c r="B14" i="5"/>
  <c r="C14" i="5"/>
  <c r="D14" i="5"/>
  <c r="E14" i="5"/>
  <c r="F14" i="5"/>
  <c r="G14" i="5"/>
  <c r="H14" i="5"/>
  <c r="I14" i="5"/>
  <c r="J14" i="5"/>
  <c r="K14" i="5"/>
  <c r="L14" i="5"/>
  <c r="M14" i="5"/>
  <c r="N14" i="5"/>
  <c r="O14" i="5"/>
  <c r="P14" i="5"/>
  <c r="Q14" i="5"/>
  <c r="R14" i="5"/>
  <c r="S14" i="5"/>
  <c r="T14" i="5"/>
  <c r="U14" i="5"/>
  <c r="V14" i="5"/>
  <c r="W14" i="5"/>
  <c r="X14" i="5"/>
  <c r="Y14" i="5"/>
  <c r="Z14" i="5"/>
  <c r="AA14" i="5"/>
  <c r="AB14" i="5"/>
  <c r="AC14" i="5"/>
  <c r="B15" i="5"/>
  <c r="C15" i="5"/>
  <c r="D15" i="5"/>
  <c r="E15" i="5"/>
  <c r="F15" i="5"/>
  <c r="G15" i="5"/>
  <c r="H15" i="5"/>
  <c r="I15" i="5"/>
  <c r="J15" i="5"/>
  <c r="K15" i="5"/>
  <c r="L15" i="5"/>
  <c r="M15" i="5"/>
  <c r="N15" i="5"/>
  <c r="O15" i="5"/>
  <c r="P15" i="5"/>
  <c r="Q15" i="5"/>
  <c r="R15" i="5"/>
  <c r="S15" i="5"/>
  <c r="T15" i="5"/>
  <c r="U15" i="5"/>
  <c r="V15" i="5"/>
  <c r="W15" i="5"/>
  <c r="X15" i="5"/>
  <c r="Y15" i="5"/>
  <c r="Z15" i="5"/>
  <c r="AA15" i="5"/>
  <c r="AB15" i="5"/>
  <c r="AC15" i="5"/>
  <c r="B16" i="5"/>
  <c r="C16" i="5"/>
  <c r="D16" i="5"/>
  <c r="E16" i="5"/>
  <c r="F16" i="5"/>
  <c r="G16" i="5"/>
  <c r="H16" i="5"/>
  <c r="I16" i="5"/>
  <c r="J16" i="5"/>
  <c r="K16" i="5"/>
  <c r="L16" i="5"/>
  <c r="M16" i="5"/>
  <c r="N16" i="5"/>
  <c r="O16" i="5"/>
  <c r="P16" i="5"/>
  <c r="Q16" i="5"/>
  <c r="R16" i="5"/>
  <c r="S16" i="5"/>
  <c r="T16" i="5"/>
  <c r="U16" i="5"/>
  <c r="V16" i="5"/>
  <c r="W16" i="5"/>
  <c r="X16" i="5"/>
  <c r="Y16" i="5"/>
  <c r="Z16" i="5"/>
  <c r="AA16" i="5"/>
  <c r="AB16" i="5"/>
  <c r="AC16" i="5"/>
  <c r="B17" i="5"/>
  <c r="C17" i="5"/>
  <c r="D17" i="5"/>
  <c r="E17" i="5"/>
  <c r="F17" i="5"/>
  <c r="G17" i="5"/>
  <c r="H17" i="5"/>
  <c r="I17" i="5"/>
  <c r="J17" i="5"/>
  <c r="K17" i="5"/>
  <c r="L17" i="5"/>
  <c r="M17" i="5"/>
  <c r="N17" i="5"/>
  <c r="O17" i="5"/>
  <c r="P17" i="5"/>
  <c r="Q17" i="5"/>
  <c r="R17" i="5"/>
  <c r="S17" i="5"/>
  <c r="T17" i="5"/>
  <c r="U17" i="5"/>
  <c r="V17" i="5"/>
  <c r="W17" i="5"/>
  <c r="X17" i="5"/>
  <c r="Y17" i="5"/>
  <c r="Z17" i="5"/>
  <c r="AA17" i="5"/>
  <c r="AB17" i="5"/>
  <c r="AC17" i="5"/>
  <c r="B18" i="5"/>
  <c r="C18" i="5"/>
  <c r="D18" i="5"/>
  <c r="E18" i="5"/>
  <c r="F18" i="5"/>
  <c r="G18" i="5"/>
  <c r="H18" i="5"/>
  <c r="I18" i="5"/>
  <c r="J18" i="5"/>
  <c r="K18" i="5"/>
  <c r="L18" i="5"/>
  <c r="M18" i="5"/>
  <c r="N18" i="5"/>
  <c r="O18" i="5"/>
  <c r="P18" i="5"/>
  <c r="Q18" i="5"/>
  <c r="R18" i="5"/>
  <c r="S18" i="5"/>
  <c r="T18" i="5"/>
  <c r="U18" i="5"/>
  <c r="V18" i="5"/>
  <c r="W18" i="5"/>
  <c r="X18" i="5"/>
  <c r="Y18" i="5"/>
  <c r="Z18" i="5"/>
  <c r="AA18" i="5"/>
  <c r="AB18" i="5"/>
  <c r="AC18" i="5"/>
  <c r="B19" i="5"/>
  <c r="C19" i="5"/>
  <c r="D19" i="5"/>
  <c r="E19" i="5"/>
  <c r="F19" i="5"/>
  <c r="G19" i="5"/>
  <c r="H19" i="5"/>
  <c r="I19" i="5"/>
  <c r="J19" i="5"/>
  <c r="K19" i="5"/>
  <c r="L19" i="5"/>
  <c r="M19" i="5"/>
  <c r="N19" i="5"/>
  <c r="O19" i="5"/>
  <c r="P19" i="5"/>
  <c r="Q19" i="5"/>
  <c r="R19" i="5"/>
  <c r="S19" i="5"/>
  <c r="T19" i="5"/>
  <c r="U19" i="5"/>
  <c r="V19" i="5"/>
  <c r="W19" i="5"/>
  <c r="X19" i="5"/>
  <c r="Y19" i="5"/>
  <c r="Z19" i="5"/>
  <c r="AA19" i="5"/>
  <c r="AB19" i="5"/>
  <c r="AC19" i="5"/>
  <c r="B20" i="5"/>
  <c r="C20" i="5"/>
  <c r="D20" i="5"/>
  <c r="E20" i="5"/>
  <c r="F20" i="5"/>
  <c r="G20" i="5"/>
  <c r="H20" i="5"/>
  <c r="I20" i="5"/>
  <c r="J20" i="5"/>
  <c r="K20" i="5"/>
  <c r="L20" i="5"/>
  <c r="M20" i="5"/>
  <c r="N20" i="5"/>
  <c r="O20" i="5"/>
  <c r="P20" i="5"/>
  <c r="Q20" i="5"/>
  <c r="R20" i="5"/>
  <c r="S20" i="5"/>
  <c r="T20" i="5"/>
  <c r="U20" i="5"/>
  <c r="V20" i="5"/>
  <c r="W20" i="5"/>
  <c r="X20" i="5"/>
  <c r="Y20" i="5"/>
  <c r="Z20" i="5"/>
  <c r="AA20" i="5"/>
  <c r="AB20" i="5"/>
  <c r="AC20" i="5"/>
  <c r="B21" i="5"/>
  <c r="C21" i="5"/>
  <c r="D21" i="5"/>
  <c r="E21" i="5"/>
  <c r="F21" i="5"/>
  <c r="G21" i="5"/>
  <c r="H21" i="5"/>
  <c r="I21" i="5"/>
  <c r="J21" i="5"/>
  <c r="K21" i="5"/>
  <c r="L21" i="5"/>
  <c r="M21" i="5"/>
  <c r="N21" i="5"/>
  <c r="O21" i="5"/>
  <c r="P21" i="5"/>
  <c r="Q21" i="5"/>
  <c r="R21" i="5"/>
  <c r="S21" i="5"/>
  <c r="T21" i="5"/>
  <c r="U21" i="5"/>
  <c r="V21" i="5"/>
  <c r="W21" i="5"/>
  <c r="X21" i="5"/>
  <c r="Y21" i="5"/>
  <c r="Z21" i="5"/>
  <c r="AA21" i="5"/>
  <c r="AB21" i="5"/>
  <c r="AC21" i="5"/>
  <c r="B22" i="5"/>
  <c r="C22" i="5"/>
  <c r="D22" i="5"/>
  <c r="E22" i="5"/>
  <c r="F22" i="5"/>
  <c r="G22" i="5"/>
  <c r="H22" i="5"/>
  <c r="I22" i="5"/>
  <c r="J22" i="5"/>
  <c r="K22" i="5"/>
  <c r="L22" i="5"/>
  <c r="M22" i="5"/>
  <c r="N22" i="5"/>
  <c r="O22" i="5"/>
  <c r="P22" i="5"/>
  <c r="Q22" i="5"/>
  <c r="R22" i="5"/>
  <c r="S22" i="5"/>
  <c r="T22" i="5"/>
  <c r="U22" i="5"/>
  <c r="V22" i="5"/>
  <c r="W22" i="5"/>
  <c r="X22" i="5"/>
  <c r="Y22" i="5"/>
  <c r="Z22" i="5"/>
  <c r="AA22" i="5"/>
  <c r="AB22" i="5"/>
  <c r="AC22" i="5"/>
  <c r="B23" i="5"/>
  <c r="C23" i="5"/>
  <c r="D23" i="5"/>
  <c r="E23" i="5"/>
  <c r="F23" i="5"/>
  <c r="G23" i="5"/>
  <c r="H23" i="5"/>
  <c r="I23" i="5"/>
  <c r="J23" i="5"/>
  <c r="K23" i="5"/>
  <c r="L23" i="5"/>
  <c r="M23" i="5"/>
  <c r="N23" i="5"/>
  <c r="O23" i="5"/>
  <c r="P23" i="5"/>
  <c r="Q23" i="5"/>
  <c r="R23" i="5"/>
  <c r="S23" i="5"/>
  <c r="T23" i="5"/>
  <c r="U23" i="5"/>
  <c r="V23" i="5"/>
  <c r="W23" i="5"/>
  <c r="X23" i="5"/>
  <c r="Y23" i="5"/>
  <c r="Z23" i="5"/>
  <c r="AA23" i="5"/>
  <c r="AB23" i="5"/>
  <c r="AC23" i="5"/>
  <c r="B24" i="5"/>
  <c r="C24" i="5"/>
  <c r="D24" i="5"/>
  <c r="E24" i="5"/>
  <c r="F24" i="5"/>
  <c r="G24" i="5"/>
  <c r="H24" i="5"/>
  <c r="I24" i="5"/>
  <c r="J24" i="5"/>
  <c r="K24" i="5"/>
  <c r="L24" i="5"/>
  <c r="M24" i="5"/>
  <c r="N24" i="5"/>
  <c r="O24" i="5"/>
  <c r="P24" i="5"/>
  <c r="Q24" i="5"/>
  <c r="R24" i="5"/>
  <c r="S24" i="5"/>
  <c r="T24" i="5"/>
  <c r="U24" i="5"/>
  <c r="V24" i="5"/>
  <c r="W24" i="5"/>
  <c r="X24" i="5"/>
  <c r="Y24" i="5"/>
  <c r="Z24" i="5"/>
  <c r="AA24" i="5"/>
  <c r="AB24" i="5"/>
  <c r="AC24" i="5"/>
  <c r="B25" i="5"/>
  <c r="C25" i="5"/>
  <c r="D25" i="5"/>
  <c r="E25" i="5"/>
  <c r="F25" i="5"/>
  <c r="G25" i="5"/>
  <c r="H25" i="5"/>
  <c r="I25" i="5"/>
  <c r="J25" i="5"/>
  <c r="K25" i="5"/>
  <c r="L25" i="5"/>
  <c r="M25" i="5"/>
  <c r="N25" i="5"/>
  <c r="O25" i="5"/>
  <c r="P25" i="5"/>
  <c r="Q25" i="5"/>
  <c r="R25" i="5"/>
  <c r="S25" i="5"/>
  <c r="T25" i="5"/>
  <c r="U25" i="5"/>
  <c r="V25" i="5"/>
  <c r="W25" i="5"/>
  <c r="X25" i="5"/>
  <c r="Y25" i="5"/>
  <c r="Z25" i="5"/>
  <c r="AA25" i="5"/>
  <c r="AB25" i="5"/>
  <c r="AC25" i="5"/>
  <c r="B26" i="5"/>
  <c r="C26" i="5"/>
  <c r="D26" i="5"/>
  <c r="E26" i="5"/>
  <c r="F26" i="5"/>
  <c r="G26" i="5"/>
  <c r="H26" i="5"/>
  <c r="I26" i="5"/>
  <c r="J26" i="5"/>
  <c r="K26" i="5"/>
  <c r="L26" i="5"/>
  <c r="M26" i="5"/>
  <c r="N26" i="5"/>
  <c r="O26" i="5"/>
  <c r="P26" i="5"/>
  <c r="Q26" i="5"/>
  <c r="R26" i="5"/>
  <c r="S26" i="5"/>
  <c r="T26" i="5"/>
  <c r="U26" i="5"/>
  <c r="V26" i="5"/>
  <c r="W26" i="5"/>
  <c r="X26" i="5"/>
  <c r="Y26" i="5"/>
  <c r="Z26" i="5"/>
  <c r="AA26" i="5"/>
  <c r="AB26" i="5"/>
  <c r="AC26" i="5"/>
  <c r="B27" i="5"/>
  <c r="C27" i="5"/>
  <c r="D27" i="5"/>
  <c r="E27" i="5"/>
  <c r="F27" i="5"/>
  <c r="G27" i="5"/>
  <c r="H27" i="5"/>
  <c r="I27" i="5"/>
  <c r="J27" i="5"/>
  <c r="K27" i="5"/>
  <c r="L27" i="5"/>
  <c r="M27" i="5"/>
  <c r="N27" i="5"/>
  <c r="O27" i="5"/>
  <c r="P27" i="5"/>
  <c r="Q27" i="5"/>
  <c r="R27" i="5"/>
  <c r="S27" i="5"/>
  <c r="T27" i="5"/>
  <c r="U27" i="5"/>
  <c r="V27" i="5"/>
  <c r="W27" i="5"/>
  <c r="X27" i="5"/>
  <c r="Y27" i="5"/>
  <c r="Z27" i="5"/>
  <c r="AA27" i="5"/>
  <c r="AB27" i="5"/>
  <c r="AC27" i="5"/>
  <c r="B28" i="5"/>
  <c r="C28" i="5"/>
  <c r="D28" i="5"/>
  <c r="E28" i="5"/>
  <c r="F28" i="5"/>
  <c r="G28" i="5"/>
  <c r="H28" i="5"/>
  <c r="I28" i="5"/>
  <c r="J28" i="5"/>
  <c r="K28" i="5"/>
  <c r="L28" i="5"/>
  <c r="M28" i="5"/>
  <c r="N28" i="5"/>
  <c r="O28" i="5"/>
  <c r="P28" i="5"/>
  <c r="Q28" i="5"/>
  <c r="R28" i="5"/>
  <c r="S28" i="5"/>
  <c r="T28" i="5"/>
  <c r="U28" i="5"/>
  <c r="V28" i="5"/>
  <c r="W28" i="5"/>
  <c r="X28" i="5"/>
  <c r="Y28" i="5"/>
  <c r="Z28" i="5"/>
  <c r="AA28" i="5"/>
  <c r="AB28" i="5"/>
  <c r="AC28" i="5"/>
  <c r="B29" i="5"/>
  <c r="C29" i="5"/>
  <c r="D29" i="5"/>
  <c r="E29" i="5"/>
  <c r="F29" i="5"/>
  <c r="G29" i="5"/>
  <c r="H29" i="5"/>
  <c r="I29" i="5"/>
  <c r="J29" i="5"/>
  <c r="K29" i="5"/>
  <c r="L29" i="5"/>
  <c r="M29" i="5"/>
  <c r="N29" i="5"/>
  <c r="O29" i="5"/>
  <c r="P29" i="5"/>
  <c r="Q29" i="5"/>
  <c r="R29" i="5"/>
  <c r="S29" i="5"/>
  <c r="T29" i="5"/>
  <c r="U29" i="5"/>
  <c r="V29" i="5"/>
  <c r="W29" i="5"/>
  <c r="X29" i="5"/>
  <c r="Y29" i="5"/>
  <c r="Z29" i="5"/>
  <c r="AA29" i="5"/>
  <c r="AB29" i="5"/>
  <c r="AC29" i="5"/>
  <c r="B30" i="5"/>
  <c r="C30" i="5"/>
  <c r="D30" i="5"/>
  <c r="E30" i="5"/>
  <c r="F30" i="5"/>
  <c r="G30" i="5"/>
  <c r="H30" i="5"/>
  <c r="I30" i="5"/>
  <c r="J30" i="5"/>
  <c r="K30" i="5"/>
  <c r="L30" i="5"/>
  <c r="M30" i="5"/>
  <c r="N30" i="5"/>
  <c r="O30" i="5"/>
  <c r="P30" i="5"/>
  <c r="Q30" i="5"/>
  <c r="R30" i="5"/>
  <c r="S30" i="5"/>
  <c r="T30" i="5"/>
  <c r="U30" i="5"/>
  <c r="V30" i="5"/>
  <c r="W30" i="5"/>
  <c r="X30" i="5"/>
  <c r="Y30" i="5"/>
  <c r="Z30" i="5"/>
  <c r="AA30" i="5"/>
  <c r="AB30" i="5"/>
  <c r="AC30" i="5"/>
  <c r="B2" i="5"/>
  <c r="C2" i="5"/>
  <c r="D2" i="5"/>
  <c r="E2" i="5"/>
  <c r="F2" i="5"/>
  <c r="G2" i="5"/>
  <c r="H2" i="5"/>
  <c r="I2" i="5"/>
  <c r="J2" i="5"/>
  <c r="K2" i="5"/>
  <c r="L2" i="5"/>
  <c r="M2" i="5"/>
  <c r="N2" i="5"/>
  <c r="O2" i="5"/>
  <c r="P2" i="5"/>
  <c r="Q2" i="5"/>
  <c r="R2" i="5"/>
  <c r="S2" i="5"/>
  <c r="T2" i="5"/>
  <c r="U2" i="5"/>
  <c r="V2" i="5"/>
  <c r="W2" i="5"/>
  <c r="X2" i="5"/>
  <c r="Y2" i="5"/>
  <c r="Z2" i="5"/>
  <c r="AA2" i="5"/>
  <c r="AB2" i="5"/>
  <c r="AC2" i="5"/>
  <c r="AT2" i="5"/>
  <c r="AU2" i="5"/>
  <c r="AV2" i="5"/>
  <c r="AW2" i="5"/>
  <c r="AX2" i="5"/>
  <c r="AY2" i="5"/>
  <c r="AZ2" i="5"/>
  <c r="BA2" i="5"/>
  <c r="BB2" i="5"/>
  <c r="BC2" i="5"/>
  <c r="BD2" i="5"/>
  <c r="BE2" i="5"/>
  <c r="BF2" i="5"/>
  <c r="BG2" i="5"/>
  <c r="BH2" i="5"/>
  <c r="BI2" i="5"/>
  <c r="AK2" i="2"/>
  <c r="AK3" i="2"/>
  <c r="AK4" i="2"/>
  <c r="AK5" i="2"/>
  <c r="AG14" i="3" l="1"/>
  <c r="S23" i="3"/>
  <c r="S33" i="3" s="1"/>
  <c r="M27" i="3"/>
  <c r="M37" i="3" s="1"/>
  <c r="G11" i="3"/>
  <c r="D6" i="8"/>
  <c r="D15" i="8" s="1"/>
  <c r="X23" i="8"/>
  <c r="X33" i="8" s="1"/>
  <c r="P27" i="8"/>
  <c r="P37" i="8" s="1"/>
  <c r="O27" i="8"/>
  <c r="O37" i="8" s="1"/>
  <c r="V23" i="8"/>
  <c r="V33" i="8" s="1"/>
  <c r="N27" i="8"/>
  <c r="W33" i="8"/>
  <c r="AA10" i="2"/>
  <c r="AG13" i="2"/>
  <c r="H11" i="3" l="1"/>
  <c r="L27" i="3"/>
  <c r="L37" i="3" s="1"/>
  <c r="R23" i="3"/>
  <c r="R33" i="3" s="1"/>
  <c r="E6" i="8"/>
  <c r="E15" i="8" s="1"/>
  <c r="M27" i="8"/>
  <c r="U23" i="8"/>
  <c r="U33" i="8" s="1"/>
  <c r="N37" i="8"/>
  <c r="BH118" i="5"/>
  <c r="BH54" i="7" s="1"/>
  <c r="BH110" i="5"/>
  <c r="BH46" i="7" s="1"/>
  <c r="BH102" i="5"/>
  <c r="BH38" i="7" s="1"/>
  <c r="BH94" i="5"/>
  <c r="BH30" i="7" s="1"/>
  <c r="BH86" i="5"/>
  <c r="BH22" i="7" s="1"/>
  <c r="BG122" i="5"/>
  <c r="BG58" i="7" s="1"/>
  <c r="BG114" i="5"/>
  <c r="BG50" i="7" s="1"/>
  <c r="BG108" i="5"/>
  <c r="BG44" i="7" s="1"/>
  <c r="BG106" i="5"/>
  <c r="BG42" i="7" s="1"/>
  <c r="BG100" i="5"/>
  <c r="BG36" i="7" s="1"/>
  <c r="BG98" i="5"/>
  <c r="BG34" i="7" s="1"/>
  <c r="BG90" i="5"/>
  <c r="BG26" i="7" s="1"/>
  <c r="BG82" i="5"/>
  <c r="BG18" i="7" s="1"/>
  <c r="BF120" i="5"/>
  <c r="BF56" i="7" s="1"/>
  <c r="BF118" i="5"/>
  <c r="BF54" i="7" s="1"/>
  <c r="BF112" i="5"/>
  <c r="BF48" i="7" s="1"/>
  <c r="BF110" i="5"/>
  <c r="BF46" i="7" s="1"/>
  <c r="BF102" i="5"/>
  <c r="BF38" i="7" s="1"/>
  <c r="BF94" i="5"/>
  <c r="BF30" i="7" s="1"/>
  <c r="BF86" i="5"/>
  <c r="BF22" i="7" s="1"/>
  <c r="BE124" i="5"/>
  <c r="BE60" i="7" s="1"/>
  <c r="BE122" i="5"/>
  <c r="BE58" i="7" s="1"/>
  <c r="BE114" i="5"/>
  <c r="BE50" i="7" s="1"/>
  <c r="BE106" i="5"/>
  <c r="BE42" i="7" s="1"/>
  <c r="BE100" i="5"/>
  <c r="BE36" i="7" s="1"/>
  <c r="BE98" i="5"/>
  <c r="BE34" i="7" s="1"/>
  <c r="BE90" i="5"/>
  <c r="BE26" i="7" s="1"/>
  <c r="BE82" i="5"/>
  <c r="BE18" i="7" s="1"/>
  <c r="BD120" i="5"/>
  <c r="BD56" i="7" s="1"/>
  <c r="BD118" i="5"/>
  <c r="BD54" i="7" s="1"/>
  <c r="BD110" i="5"/>
  <c r="BD46" i="7" s="1"/>
  <c r="BD104" i="5"/>
  <c r="BD40" i="7" s="1"/>
  <c r="BD102" i="5"/>
  <c r="BD38" i="7" s="1"/>
  <c r="BD94" i="5"/>
  <c r="BD30" i="7" s="1"/>
  <c r="BD86" i="5"/>
  <c r="BD22" i="7" s="1"/>
  <c r="BC124" i="5"/>
  <c r="BC60" i="7" s="1"/>
  <c r="BC122" i="5"/>
  <c r="BC58" i="7" s="1"/>
  <c r="BC116" i="5"/>
  <c r="BC52" i="7" s="1"/>
  <c r="BC114" i="5"/>
  <c r="BC50" i="7" s="1"/>
  <c r="BC108" i="5"/>
  <c r="BC44" i="7" s="1"/>
  <c r="BC106" i="5"/>
  <c r="BC42" i="7" s="1"/>
  <c r="BC100" i="5"/>
  <c r="BC36" i="7" s="1"/>
  <c r="BC98" i="5"/>
  <c r="BC34" i="7" s="1"/>
  <c r="BC90" i="5"/>
  <c r="BC26" i="7" s="1"/>
  <c r="BC82" i="5"/>
  <c r="BC18" i="7" s="1"/>
  <c r="BB118" i="5"/>
  <c r="BB54" i="7" s="1"/>
  <c r="BB110" i="5"/>
  <c r="BB46" i="7" s="1"/>
  <c r="BB104" i="5"/>
  <c r="BB40" i="7" s="1"/>
  <c r="BB102" i="5"/>
  <c r="BB38" i="7" s="1"/>
  <c r="BB94" i="5"/>
  <c r="BB30" i="7" s="1"/>
  <c r="BB86" i="5"/>
  <c r="BB22" i="7" s="1"/>
  <c r="BA124" i="5"/>
  <c r="BA60" i="7" s="1"/>
  <c r="BA122" i="5"/>
  <c r="BA58" i="7" s="1"/>
  <c r="BA114" i="5"/>
  <c r="BA50" i="7" s="1"/>
  <c r="BA108" i="5"/>
  <c r="BA44" i="7" s="1"/>
  <c r="BA106" i="5"/>
  <c r="BA42" i="7" s="1"/>
  <c r="BA98" i="5"/>
  <c r="BA34" i="7" s="1"/>
  <c r="BA90" i="5"/>
  <c r="BA26" i="7" s="1"/>
  <c r="BA82" i="5"/>
  <c r="BA18" i="7" s="1"/>
  <c r="AZ120" i="5"/>
  <c r="AZ56" i="7" s="1"/>
  <c r="AZ118" i="5"/>
  <c r="AZ54" i="7" s="1"/>
  <c r="AZ112" i="5"/>
  <c r="AZ48" i="7" s="1"/>
  <c r="AZ110" i="5"/>
  <c r="AZ46" i="7" s="1"/>
  <c r="AZ104" i="5"/>
  <c r="AZ40" i="7" s="1"/>
  <c r="AZ102" i="5"/>
  <c r="AZ38" i="7" s="1"/>
  <c r="AZ94" i="5"/>
  <c r="AZ30" i="7" s="1"/>
  <c r="AZ86" i="5"/>
  <c r="AZ22" i="7" s="1"/>
  <c r="AY122" i="5"/>
  <c r="AY58" i="7" s="1"/>
  <c r="AY116" i="5"/>
  <c r="AY52" i="7" s="1"/>
  <c r="AY114" i="5"/>
  <c r="AY50" i="7" s="1"/>
  <c r="AY108" i="5"/>
  <c r="AY44" i="7" s="1"/>
  <c r="AY106" i="5"/>
  <c r="AY42" i="7" s="1"/>
  <c r="AY100" i="5"/>
  <c r="AY36" i="7" s="1"/>
  <c r="AY98" i="5"/>
  <c r="AY34" i="7" s="1"/>
  <c r="AY90" i="5"/>
  <c r="AY26" i="7" s="1"/>
  <c r="AY82" i="5"/>
  <c r="AY18" i="7" s="1"/>
  <c r="AX118" i="5"/>
  <c r="AX54" i="7" s="1"/>
  <c r="AX112" i="5"/>
  <c r="AX48" i="7" s="1"/>
  <c r="AX110" i="5"/>
  <c r="AX46" i="7" s="1"/>
  <c r="AX102" i="5"/>
  <c r="AX38" i="7" s="1"/>
  <c r="AX94" i="5"/>
  <c r="AX30" i="7" s="1"/>
  <c r="AX86" i="5"/>
  <c r="AX22" i="7" s="1"/>
  <c r="AW124" i="5"/>
  <c r="AW60" i="7" s="1"/>
  <c r="AW122" i="5"/>
  <c r="AW58" i="7" s="1"/>
  <c r="AW116" i="5"/>
  <c r="AW52" i="7" s="1"/>
  <c r="AW114" i="5"/>
  <c r="AW50" i="7" s="1"/>
  <c r="AW108" i="5"/>
  <c r="AW44" i="7" s="1"/>
  <c r="AW106" i="5"/>
  <c r="AW42" i="7" s="1"/>
  <c r="AW98" i="5"/>
  <c r="AW34" i="7" s="1"/>
  <c r="AW90" i="5"/>
  <c r="AW26" i="7" s="1"/>
  <c r="AW82" i="5"/>
  <c r="AW18" i="7" s="1"/>
  <c r="AV120" i="5"/>
  <c r="AV56" i="7" s="1"/>
  <c r="AV118" i="5"/>
  <c r="AV54" i="7" s="1"/>
  <c r="AV112" i="5"/>
  <c r="AV48" i="7" s="1"/>
  <c r="AV110" i="5"/>
  <c r="AV46" i="7" s="1"/>
  <c r="AV106" i="5"/>
  <c r="AV42" i="7" s="1"/>
  <c r="AV104" i="5"/>
  <c r="AV40" i="7" s="1"/>
  <c r="AV102" i="5"/>
  <c r="AV38" i="7" s="1"/>
  <c r="AV98" i="5"/>
  <c r="AV34" i="7" s="1"/>
  <c r="AV94" i="5"/>
  <c r="AV30" i="7" s="1"/>
  <c r="AV90" i="5"/>
  <c r="AV26" i="7" s="1"/>
  <c r="AV86" i="5"/>
  <c r="AV22" i="7" s="1"/>
  <c r="AV82" i="5"/>
  <c r="AV18" i="7" s="1"/>
  <c r="AU124" i="5"/>
  <c r="AU60" i="7" s="1"/>
  <c r="AU122" i="5"/>
  <c r="AU58" i="7" s="1"/>
  <c r="AU118" i="5"/>
  <c r="AU54" i="7" s="1"/>
  <c r="AU116" i="5"/>
  <c r="AU52" i="7" s="1"/>
  <c r="AU114" i="5"/>
  <c r="AU50" i="7" s="1"/>
  <c r="AU110" i="5"/>
  <c r="AU46" i="7" s="1"/>
  <c r="AU106" i="5"/>
  <c r="AU42" i="7" s="1"/>
  <c r="AU102" i="5"/>
  <c r="AU38" i="7" s="1"/>
  <c r="AU98" i="5"/>
  <c r="AU34" i="7" s="1"/>
  <c r="AU94" i="5"/>
  <c r="AU30" i="7" s="1"/>
  <c r="AU90" i="5"/>
  <c r="AU26" i="7" s="1"/>
  <c r="AU86" i="5"/>
  <c r="AU22" i="7" s="1"/>
  <c r="AU82" i="5"/>
  <c r="AU18" i="7" s="1"/>
  <c r="AT122" i="5"/>
  <c r="AT58" i="7" s="1"/>
  <c r="AT118" i="5"/>
  <c r="AT54" i="7" s="1"/>
  <c r="AT114" i="5"/>
  <c r="AT50" i="7" s="1"/>
  <c r="AT110" i="5"/>
  <c r="AT46" i="7" s="1"/>
  <c r="AT106" i="5"/>
  <c r="AT42" i="7" s="1"/>
  <c r="AT104" i="5"/>
  <c r="AT40" i="7" s="1"/>
  <c r="AT102" i="5"/>
  <c r="AT38" i="7" s="1"/>
  <c r="AT98" i="5"/>
  <c r="AT34" i="7" s="1"/>
  <c r="AT94" i="5"/>
  <c r="AT30" i="7" s="1"/>
  <c r="AT90" i="5"/>
  <c r="AT26" i="7" s="1"/>
  <c r="AT86" i="5"/>
  <c r="AT22" i="7" s="1"/>
  <c r="AT82" i="5"/>
  <c r="AT18" i="7" s="1"/>
  <c r="AS122" i="5"/>
  <c r="AS58" i="7" s="1"/>
  <c r="AS118" i="5"/>
  <c r="AS54" i="7" s="1"/>
  <c r="AS116" i="5"/>
  <c r="AS52" i="7" s="1"/>
  <c r="AS114" i="5"/>
  <c r="AS50" i="7" s="1"/>
  <c r="AS110" i="5"/>
  <c r="AS46" i="7" s="1"/>
  <c r="AS108" i="5"/>
  <c r="AS44" i="7" s="1"/>
  <c r="AS106" i="5"/>
  <c r="AS42" i="7" s="1"/>
  <c r="AS102" i="5"/>
  <c r="AS38" i="7" s="1"/>
  <c r="AS98" i="5"/>
  <c r="AS34" i="7" s="1"/>
  <c r="AS94" i="5"/>
  <c r="AS30" i="7" s="1"/>
  <c r="AS90" i="5"/>
  <c r="AS26" i="7" s="1"/>
  <c r="AS86" i="5"/>
  <c r="AS22" i="7" s="1"/>
  <c r="AS82" i="5"/>
  <c r="AS18" i="7" s="1"/>
  <c r="AR122" i="5"/>
  <c r="AR58" i="7" s="1"/>
  <c r="AR120" i="5"/>
  <c r="AR56" i="7" s="1"/>
  <c r="AR118" i="5"/>
  <c r="AR54" i="7" s="1"/>
  <c r="AR117" i="5"/>
  <c r="AR53" i="7" s="1"/>
  <c r="AR114" i="5"/>
  <c r="AR50" i="7" s="1"/>
  <c r="AR110" i="5"/>
  <c r="AR46" i="7" s="1"/>
  <c r="AR106" i="5"/>
  <c r="AR42" i="7" s="1"/>
  <c r="AR104" i="5"/>
  <c r="AR40" i="7" s="1"/>
  <c r="AR102" i="5"/>
  <c r="AR38" i="7" s="1"/>
  <c r="AR101" i="5"/>
  <c r="AR37" i="7" s="1"/>
  <c r="AR98" i="5"/>
  <c r="AR34" i="7" s="1"/>
  <c r="AR96" i="5"/>
  <c r="AR32" i="7" s="1"/>
  <c r="AR94" i="5"/>
  <c r="AR30" i="7" s="1"/>
  <c r="AR90" i="5"/>
  <c r="AR26" i="7" s="1"/>
  <c r="AR86" i="5"/>
  <c r="AR22" i="7" s="1"/>
  <c r="AR82" i="5"/>
  <c r="AR18" i="7" s="1"/>
  <c r="AQ124" i="5"/>
  <c r="AQ60" i="7" s="1"/>
  <c r="AQ122" i="5"/>
  <c r="AQ58" i="7" s="1"/>
  <c r="AQ118" i="5"/>
  <c r="AQ54" i="7" s="1"/>
  <c r="AQ116" i="5"/>
  <c r="AQ52" i="7" s="1"/>
  <c r="AQ114" i="5"/>
  <c r="AQ50" i="7" s="1"/>
  <c r="AQ110" i="5"/>
  <c r="AQ46" i="7" s="1"/>
  <c r="AQ108" i="5"/>
  <c r="AQ44" i="7" s="1"/>
  <c r="AQ106" i="5"/>
  <c r="AQ42" i="7" s="1"/>
  <c r="AQ102" i="5"/>
  <c r="AQ38" i="7" s="1"/>
  <c r="AQ100" i="5"/>
  <c r="AQ36" i="7" s="1"/>
  <c r="AQ98" i="5"/>
  <c r="AQ34" i="7" s="1"/>
  <c r="AQ94" i="5"/>
  <c r="AQ30" i="7" s="1"/>
  <c r="AQ90" i="5"/>
  <c r="AQ26" i="7" s="1"/>
  <c r="AQ86" i="5"/>
  <c r="AQ22" i="7" s="1"/>
  <c r="AQ82" i="5"/>
  <c r="AQ18" i="7" s="1"/>
  <c r="AP122" i="5"/>
  <c r="AP58" i="7" s="1"/>
  <c r="AP120" i="5"/>
  <c r="AP56" i="7" s="1"/>
  <c r="AP118" i="5"/>
  <c r="AP54" i="7" s="1"/>
  <c r="AP114" i="5"/>
  <c r="AP50" i="7" s="1"/>
  <c r="AP112" i="5"/>
  <c r="AP48" i="7" s="1"/>
  <c r="AP110" i="5"/>
  <c r="AP46" i="7" s="1"/>
  <c r="AP106" i="5"/>
  <c r="AP42" i="7" s="1"/>
  <c r="AP104" i="5"/>
  <c r="AP40" i="7" s="1"/>
  <c r="AP102" i="5"/>
  <c r="AP38" i="7" s="1"/>
  <c r="AP98" i="5"/>
  <c r="AP34" i="7" s="1"/>
  <c r="AP94" i="5"/>
  <c r="AP30" i="7" s="1"/>
  <c r="AP93" i="5"/>
  <c r="AP29" i="7" s="1"/>
  <c r="AP90" i="5"/>
  <c r="AP26" i="7" s="1"/>
  <c r="AP86" i="5"/>
  <c r="AP22" i="7" s="1"/>
  <c r="AP82" i="5"/>
  <c r="AP18" i="7" s="1"/>
  <c r="AO122" i="5"/>
  <c r="AO58" i="7" s="1"/>
  <c r="AO118" i="5"/>
  <c r="AO54" i="7" s="1"/>
  <c r="AO114" i="5"/>
  <c r="AO50" i="7" s="1"/>
  <c r="AO110" i="5"/>
  <c r="AO46" i="7" s="1"/>
  <c r="AO108" i="5"/>
  <c r="AO44" i="7" s="1"/>
  <c r="AO106" i="5"/>
  <c r="AO42" i="7" s="1"/>
  <c r="AO102" i="5"/>
  <c r="AO38" i="7" s="1"/>
  <c r="AO100" i="5"/>
  <c r="AO36" i="7" s="1"/>
  <c r="AO98" i="5"/>
  <c r="AO34" i="7" s="1"/>
  <c r="AO94" i="5"/>
  <c r="AO30" i="7" s="1"/>
  <c r="AO90" i="5"/>
  <c r="AO26" i="7" s="1"/>
  <c r="AO86" i="5"/>
  <c r="AO22" i="7" s="1"/>
  <c r="AO82" i="5"/>
  <c r="AO18" i="7" s="1"/>
  <c r="AN122" i="5"/>
  <c r="AN58" i="7" s="1"/>
  <c r="AN120" i="5"/>
  <c r="AN56" i="7" s="1"/>
  <c r="AN118" i="5"/>
  <c r="AN54" i="7" s="1"/>
  <c r="AN114" i="5"/>
  <c r="AN50" i="7" s="1"/>
  <c r="AN112" i="5"/>
  <c r="AN48" i="7" s="1"/>
  <c r="AN110" i="5"/>
  <c r="AN46" i="7" s="1"/>
  <c r="AN106" i="5"/>
  <c r="AN42" i="7" s="1"/>
  <c r="AN104" i="5"/>
  <c r="AN40" i="7" s="1"/>
  <c r="AN102" i="5"/>
  <c r="AN38" i="7" s="1"/>
  <c r="AN101" i="5"/>
  <c r="AN37" i="7" s="1"/>
  <c r="AN98" i="5"/>
  <c r="AN34" i="7" s="1"/>
  <c r="AN94" i="5"/>
  <c r="AN30" i="7" s="1"/>
  <c r="AN90" i="5"/>
  <c r="AN26" i="7" s="1"/>
  <c r="AN86" i="5"/>
  <c r="AN22" i="7" s="1"/>
  <c r="AN85" i="5"/>
  <c r="AN21" i="7" s="1"/>
  <c r="AN82" i="5"/>
  <c r="AN18" i="7" s="1"/>
  <c r="AM124" i="5"/>
  <c r="AM60" i="7" s="1"/>
  <c r="AM122" i="5"/>
  <c r="AM58" i="7" s="1"/>
  <c r="AM118" i="5"/>
  <c r="AM54" i="7" s="1"/>
  <c r="AM116" i="5"/>
  <c r="AM52" i="7" s="1"/>
  <c r="AM114" i="5"/>
  <c r="AM50" i="7" s="1"/>
  <c r="AM110" i="5"/>
  <c r="AM46" i="7" s="1"/>
  <c r="AM106" i="5"/>
  <c r="AM42" i="7" s="1"/>
  <c r="AM102" i="5"/>
  <c r="AM38" i="7" s="1"/>
  <c r="AM100" i="5"/>
  <c r="AM36" i="7" s="1"/>
  <c r="AM98" i="5"/>
  <c r="AM34" i="7" s="1"/>
  <c r="AM94" i="5"/>
  <c r="AM30" i="7" s="1"/>
  <c r="AM90" i="5"/>
  <c r="AM26" i="7" s="1"/>
  <c r="AM86" i="5"/>
  <c r="AM22" i="7" s="1"/>
  <c r="AM82" i="5"/>
  <c r="AM18" i="7" s="1"/>
  <c r="AL125" i="5"/>
  <c r="AL61" i="7" s="1"/>
  <c r="AL122" i="5"/>
  <c r="AL58" i="7" s="1"/>
  <c r="AL120" i="5"/>
  <c r="AL56" i="7" s="1"/>
  <c r="AL118" i="5"/>
  <c r="AL54" i="7" s="1"/>
  <c r="AL114" i="5"/>
  <c r="AL50" i="7" s="1"/>
  <c r="AL112" i="5"/>
  <c r="AL48" i="7" s="1"/>
  <c r="AL110" i="5"/>
  <c r="AL46" i="7" s="1"/>
  <c r="AL106" i="5"/>
  <c r="AL42" i="7" s="1"/>
  <c r="AL104" i="5"/>
  <c r="AL40" i="7" s="1"/>
  <c r="AL102" i="5"/>
  <c r="AL38" i="7" s="1"/>
  <c r="AL98" i="5"/>
  <c r="AL34" i="7" s="1"/>
  <c r="AL94" i="5"/>
  <c r="AL30" i="7" s="1"/>
  <c r="AL93" i="5"/>
  <c r="AL29" i="7" s="1"/>
  <c r="AL90" i="5"/>
  <c r="AL26" i="7" s="1"/>
  <c r="AL86" i="5"/>
  <c r="AL22" i="7" s="1"/>
  <c r="AL85" i="5"/>
  <c r="AL21" i="7" s="1"/>
  <c r="AL82" i="5"/>
  <c r="AL18" i="7" s="1"/>
  <c r="AK124" i="5"/>
  <c r="AK60" i="7" s="1"/>
  <c r="AK122" i="5"/>
  <c r="AK58" i="7" s="1"/>
  <c r="AK118" i="5"/>
  <c r="AK54" i="7" s="1"/>
  <c r="AK116" i="5"/>
  <c r="AK52" i="7" s="1"/>
  <c r="AK114" i="5"/>
  <c r="AK50" i="7" s="1"/>
  <c r="AK110" i="5"/>
  <c r="AK46" i="7" s="1"/>
  <c r="AK108" i="5"/>
  <c r="AK44" i="7" s="1"/>
  <c r="AK106" i="5"/>
  <c r="AK42" i="7" s="1"/>
  <c r="AK102" i="5"/>
  <c r="AK38" i="7" s="1"/>
  <c r="AK98" i="5"/>
  <c r="AK34" i="7" s="1"/>
  <c r="AK94" i="5"/>
  <c r="AK30" i="7" s="1"/>
  <c r="AK90" i="5"/>
  <c r="AK26" i="7" s="1"/>
  <c r="AK86" i="5"/>
  <c r="AK22" i="7" s="1"/>
  <c r="AK82" i="5"/>
  <c r="AK18" i="7" s="1"/>
  <c r="AJ122" i="5"/>
  <c r="AJ58" i="7" s="1"/>
  <c r="AJ120" i="5"/>
  <c r="AJ56" i="7" s="1"/>
  <c r="AJ118" i="5"/>
  <c r="AJ54" i="7" s="1"/>
  <c r="AJ117" i="5"/>
  <c r="AJ53" i="7" s="1"/>
  <c r="AJ114" i="5"/>
  <c r="AJ50" i="7" s="1"/>
  <c r="AJ112" i="5"/>
  <c r="AJ48" i="7" s="1"/>
  <c r="AJ110" i="5"/>
  <c r="AJ46" i="7" s="1"/>
  <c r="AJ109" i="5"/>
  <c r="AJ45" i="7" s="1"/>
  <c r="AJ106" i="5"/>
  <c r="AJ42" i="7" s="1"/>
  <c r="AJ104" i="5"/>
  <c r="AJ40" i="7" s="1"/>
  <c r="AJ102" i="5"/>
  <c r="AJ38" i="7" s="1"/>
  <c r="AJ98" i="5"/>
  <c r="AJ34" i="7" s="1"/>
  <c r="AJ94" i="5"/>
  <c r="AJ30" i="7" s="1"/>
  <c r="AJ93" i="5"/>
  <c r="AJ29" i="7" s="1"/>
  <c r="AJ90" i="5"/>
  <c r="AJ26" i="7" s="1"/>
  <c r="AJ86" i="5"/>
  <c r="AJ22" i="7" s="1"/>
  <c r="AJ85" i="5"/>
  <c r="AJ21" i="7" s="1"/>
  <c r="AJ82" i="5"/>
  <c r="AJ18" i="7" s="1"/>
  <c r="AI122" i="5"/>
  <c r="AI58" i="7" s="1"/>
  <c r="AI118" i="5"/>
  <c r="AI54" i="7" s="1"/>
  <c r="AI116" i="5"/>
  <c r="AI52" i="7" s="1"/>
  <c r="AI114" i="5"/>
  <c r="AI50" i="7" s="1"/>
  <c r="AI110" i="5"/>
  <c r="AI46" i="7" s="1"/>
  <c r="AI106" i="5"/>
  <c r="AI42" i="7" s="1"/>
  <c r="AI102" i="5"/>
  <c r="AI38" i="7" s="1"/>
  <c r="AI100" i="5"/>
  <c r="AI36" i="7" s="1"/>
  <c r="AI98" i="5"/>
  <c r="AI34" i="7" s="1"/>
  <c r="AI94" i="5"/>
  <c r="AI30" i="7" s="1"/>
  <c r="AI90" i="5"/>
  <c r="AI26" i="7" s="1"/>
  <c r="AI86" i="5"/>
  <c r="AI22" i="7" s="1"/>
  <c r="AI82" i="5"/>
  <c r="AI18" i="7" s="1"/>
  <c r="AH122" i="5"/>
  <c r="AH58" i="7" s="1"/>
  <c r="AH120" i="5"/>
  <c r="AH56" i="7" s="1"/>
  <c r="AH118" i="5"/>
  <c r="AH54" i="7" s="1"/>
  <c r="AH117" i="5"/>
  <c r="AH53" i="7" s="1"/>
  <c r="AH114" i="5"/>
  <c r="AH50" i="7" s="1"/>
  <c r="AH112" i="5"/>
  <c r="AH48" i="7" s="1"/>
  <c r="AH110" i="5"/>
  <c r="AH46" i="7" s="1"/>
  <c r="AH109" i="5"/>
  <c r="AH45" i="7" s="1"/>
  <c r="AH106" i="5"/>
  <c r="AH42" i="7" s="1"/>
  <c r="AH102" i="5"/>
  <c r="AH38" i="7" s="1"/>
  <c r="AH101" i="5"/>
  <c r="AH37" i="7" s="1"/>
  <c r="AH98" i="5"/>
  <c r="AH34" i="7" s="1"/>
  <c r="AH94" i="5"/>
  <c r="AH30" i="7" s="1"/>
  <c r="AH90" i="5"/>
  <c r="AH26" i="7" s="1"/>
  <c r="AH86" i="5"/>
  <c r="AH22" i="7" s="1"/>
  <c r="AH82" i="5"/>
  <c r="AH18" i="7" s="1"/>
  <c r="AG124" i="5"/>
  <c r="AG60" i="7" s="1"/>
  <c r="AG122" i="5"/>
  <c r="AG58" i="7" s="1"/>
  <c r="AG121" i="5"/>
  <c r="AG57" i="7" s="1"/>
  <c r="AG118" i="5"/>
  <c r="AG54" i="7" s="1"/>
  <c r="AG116" i="5"/>
  <c r="AG52" i="7" s="1"/>
  <c r="AG114" i="5"/>
  <c r="AG50" i="7" s="1"/>
  <c r="AG110" i="5"/>
  <c r="AG46" i="7" s="1"/>
  <c r="AG106" i="5"/>
  <c r="AG42" i="7" s="1"/>
  <c r="AG105" i="5"/>
  <c r="AG41" i="7" s="1"/>
  <c r="AG102" i="5"/>
  <c r="AG38" i="7" s="1"/>
  <c r="AG100" i="5"/>
  <c r="AG36" i="7" s="1"/>
  <c r="AG98" i="5"/>
  <c r="AG34" i="7" s="1"/>
  <c r="AG94" i="5"/>
  <c r="AG30" i="7" s="1"/>
  <c r="AG90" i="5"/>
  <c r="AG26" i="7" s="1"/>
  <c r="AG86" i="5"/>
  <c r="AG22" i="7" s="1"/>
  <c r="AG82" i="5"/>
  <c r="AG18" i="7" s="1"/>
  <c r="AF125" i="5"/>
  <c r="AF61" i="7" s="1"/>
  <c r="AF122" i="5"/>
  <c r="AF58" i="7" s="1"/>
  <c r="AF120" i="5"/>
  <c r="AF56" i="7" s="1"/>
  <c r="AF118" i="5"/>
  <c r="AF54" i="7" s="1"/>
  <c r="AF117" i="5"/>
  <c r="AF53" i="7" s="1"/>
  <c r="AF114" i="5"/>
  <c r="AF50" i="7" s="1"/>
  <c r="AF112" i="5"/>
  <c r="AF48" i="7" s="1"/>
  <c r="AF110" i="5"/>
  <c r="AF46" i="7" s="1"/>
  <c r="AF109" i="5"/>
  <c r="AF45" i="7" s="1"/>
  <c r="AF106" i="5"/>
  <c r="AF42" i="7" s="1"/>
  <c r="AF102" i="5"/>
  <c r="AF38" i="7" s="1"/>
  <c r="AF101" i="5"/>
  <c r="AF37" i="7" s="1"/>
  <c r="AF98" i="5"/>
  <c r="AF34" i="7" s="1"/>
  <c r="AF94" i="5"/>
  <c r="AF30" i="7" s="1"/>
  <c r="AF90" i="5"/>
  <c r="AF26" i="7" s="1"/>
  <c r="AF86" i="5"/>
  <c r="AF22" i="7" s="1"/>
  <c r="AF85" i="5"/>
  <c r="AF21" i="7" s="1"/>
  <c r="AE122" i="5"/>
  <c r="AE58" i="7" s="1"/>
  <c r="AE118" i="5"/>
  <c r="AE54" i="7" s="1"/>
  <c r="AE114" i="5"/>
  <c r="AE50" i="7" s="1"/>
  <c r="AE113" i="5"/>
  <c r="AE49" i="7" s="1"/>
  <c r="AE110" i="5"/>
  <c r="AE46" i="7" s="1"/>
  <c r="AE106" i="5"/>
  <c r="AE42" i="7" s="1"/>
  <c r="AE102" i="5"/>
  <c r="AE38" i="7" s="1"/>
  <c r="AE98" i="5"/>
  <c r="AE34" i="7" s="1"/>
  <c r="AE97" i="5"/>
  <c r="AE33" i="7" s="1"/>
  <c r="AE94" i="5"/>
  <c r="AE30" i="7" s="1"/>
  <c r="AE90" i="5"/>
  <c r="AE26" i="7" s="1"/>
  <c r="AE86" i="5"/>
  <c r="AE22" i="7" s="1"/>
  <c r="AE82" i="5"/>
  <c r="AE18" i="7" s="1"/>
  <c r="AD125" i="5"/>
  <c r="AD61" i="7" s="1"/>
  <c r="AD122" i="5"/>
  <c r="AD58" i="7" s="1"/>
  <c r="AD118" i="5"/>
  <c r="AD54" i="7" s="1"/>
  <c r="AD117" i="5"/>
  <c r="AD53" i="7" s="1"/>
  <c r="AD114" i="5"/>
  <c r="AD50" i="7" s="1"/>
  <c r="AD110" i="5"/>
  <c r="AD46" i="7" s="1"/>
  <c r="AD106" i="5"/>
  <c r="AD42" i="7" s="1"/>
  <c r="AD102" i="5"/>
  <c r="AD38" i="7" s="1"/>
  <c r="AD101" i="5"/>
  <c r="AD37" i="7" s="1"/>
  <c r="AD98" i="5"/>
  <c r="AD34" i="7" s="1"/>
  <c r="AD94" i="5"/>
  <c r="AD30" i="7" s="1"/>
  <c r="AD93" i="5"/>
  <c r="AD29" i="7" s="1"/>
  <c r="AD90" i="5"/>
  <c r="AD26" i="7" s="1"/>
  <c r="AD86" i="5"/>
  <c r="AD22" i="7" s="1"/>
  <c r="AD82" i="5"/>
  <c r="AD18" i="7" s="1"/>
  <c r="AC122" i="5"/>
  <c r="AC58" i="7" s="1"/>
  <c r="AC118" i="5"/>
  <c r="AC54" i="7" s="1"/>
  <c r="AC114" i="5"/>
  <c r="AC50" i="7" s="1"/>
  <c r="AC110" i="5"/>
  <c r="AC46" i="7" s="1"/>
  <c r="AC106" i="5"/>
  <c r="AC42" i="7" s="1"/>
  <c r="AC102" i="5"/>
  <c r="AC38" i="7" s="1"/>
  <c r="AC98" i="5"/>
  <c r="AC34" i="7" s="1"/>
  <c r="AC94" i="5"/>
  <c r="AC30" i="7" s="1"/>
  <c r="AC90" i="5"/>
  <c r="AC26" i="7" s="1"/>
  <c r="AC86" i="5"/>
  <c r="AC22" i="7" s="1"/>
  <c r="AC82" i="5"/>
  <c r="AC18" i="7" s="1"/>
  <c r="AB122" i="5"/>
  <c r="AB58" i="7" s="1"/>
  <c r="AB118" i="5"/>
  <c r="AB54" i="7" s="1"/>
  <c r="AB114" i="5"/>
  <c r="AB50" i="7" s="1"/>
  <c r="AB110" i="5"/>
  <c r="AB46" i="7" s="1"/>
  <c r="AB106" i="5"/>
  <c r="AB42" i="7" s="1"/>
  <c r="AB102" i="5"/>
  <c r="AB38" i="7" s="1"/>
  <c r="AB98" i="5"/>
  <c r="AB34" i="7" s="1"/>
  <c r="AB94" i="5"/>
  <c r="AB30" i="7" s="1"/>
  <c r="AB90" i="5"/>
  <c r="AB26" i="7" s="1"/>
  <c r="AB86" i="5"/>
  <c r="AB22" i="7" s="1"/>
  <c r="AB82" i="5"/>
  <c r="AB18" i="7" s="1"/>
  <c r="AA122" i="5"/>
  <c r="AA58" i="7" s="1"/>
  <c r="AA118" i="5"/>
  <c r="AA54" i="7" s="1"/>
  <c r="AA114" i="5"/>
  <c r="AA50" i="7" s="1"/>
  <c r="AA110" i="5"/>
  <c r="AA46" i="7" s="1"/>
  <c r="AA106" i="5"/>
  <c r="AA42" i="7" s="1"/>
  <c r="AA102" i="5"/>
  <c r="AA38" i="7" s="1"/>
  <c r="AA98" i="5"/>
  <c r="AA34" i="7" s="1"/>
  <c r="AA94" i="5"/>
  <c r="AA30" i="7" s="1"/>
  <c r="AA90" i="5"/>
  <c r="AA26" i="7" s="1"/>
  <c r="AA86" i="5"/>
  <c r="AA22" i="7" s="1"/>
  <c r="AA82" i="5"/>
  <c r="AA18" i="7" s="1"/>
  <c r="BI121" i="5"/>
  <c r="BI57" i="7" s="1"/>
  <c r="BI117" i="5"/>
  <c r="BI53" i="7" s="1"/>
  <c r="BI113" i="5"/>
  <c r="BI49" i="7" s="1"/>
  <c r="BI111" i="5"/>
  <c r="BI47" i="7" s="1"/>
  <c r="BI109" i="5"/>
  <c r="BI45" i="7" s="1"/>
  <c r="BI108" i="5"/>
  <c r="BI44" i="7" s="1"/>
  <c r="BI105" i="5"/>
  <c r="BI41" i="7" s="1"/>
  <c r="BI103" i="5"/>
  <c r="BI39" i="7" s="1"/>
  <c r="BI101" i="5"/>
  <c r="BI37" i="7" s="1"/>
  <c r="BI97" i="5"/>
  <c r="BI33" i="7" s="1"/>
  <c r="BI93" i="5"/>
  <c r="BI29" i="7" s="1"/>
  <c r="BI92" i="5"/>
  <c r="BI28" i="7" s="1"/>
  <c r="BI89" i="5"/>
  <c r="BI25" i="7" s="1"/>
  <c r="BI85" i="5"/>
  <c r="BI21" i="7" s="1"/>
  <c r="AS95" i="5"/>
  <c r="AS31" i="7" s="1"/>
  <c r="AR85" i="5"/>
  <c r="AR21" i="7" s="1"/>
  <c r="AQ119" i="5"/>
  <c r="AQ55" i="7" s="1"/>
  <c r="AQ103" i="5"/>
  <c r="AQ39" i="7" s="1"/>
  <c r="AQ87" i="5"/>
  <c r="AQ23" i="7" s="1"/>
  <c r="AP125" i="5"/>
  <c r="AP61" i="7" s="1"/>
  <c r="AP109" i="5"/>
  <c r="AP45" i="7" s="1"/>
  <c r="AO111" i="5"/>
  <c r="AO47" i="7" s="1"/>
  <c r="AO95" i="5"/>
  <c r="AO31" i="7" s="1"/>
  <c r="AN117" i="5"/>
  <c r="AN53" i="7" s="1"/>
  <c r="AM119" i="5"/>
  <c r="AM55" i="7" s="1"/>
  <c r="AM103" i="5"/>
  <c r="AM39" i="7" s="1"/>
  <c r="AM87" i="5"/>
  <c r="AM23" i="7" s="1"/>
  <c r="AL117" i="5"/>
  <c r="AL53" i="7" s="1"/>
  <c r="AL109" i="5"/>
  <c r="AL45" i="7" s="1"/>
  <c r="AK119" i="5"/>
  <c r="AK55" i="7" s="1"/>
  <c r="AK111" i="5"/>
  <c r="AK47" i="7" s="1"/>
  <c r="AK103" i="5"/>
  <c r="AK39" i="7" s="1"/>
  <c r="AK95" i="5"/>
  <c r="AK31" i="7" s="1"/>
  <c r="AK87" i="5"/>
  <c r="AK23" i="7" s="1"/>
  <c r="AJ125" i="5"/>
  <c r="AJ61" i="7" s="1"/>
  <c r="AJ101" i="5"/>
  <c r="AJ37" i="7" s="1"/>
  <c r="AI119" i="5"/>
  <c r="AI55" i="7" s="1"/>
  <c r="AI111" i="5"/>
  <c r="AI47" i="7" s="1"/>
  <c r="AI103" i="5"/>
  <c r="AI39" i="7" s="1"/>
  <c r="AI95" i="5"/>
  <c r="AI31" i="7" s="1"/>
  <c r="AI87" i="5"/>
  <c r="AI23" i="7" s="1"/>
  <c r="AH125" i="5"/>
  <c r="AH61" i="7" s="1"/>
  <c r="AH93" i="5"/>
  <c r="AH29" i="7" s="1"/>
  <c r="AH85" i="5"/>
  <c r="AH21" i="7" s="1"/>
  <c r="AG119" i="5"/>
  <c r="AG55" i="7" s="1"/>
  <c r="AG111" i="5"/>
  <c r="AG47" i="7" s="1"/>
  <c r="AG103" i="5"/>
  <c r="AG39" i="7" s="1"/>
  <c r="AG95" i="5"/>
  <c r="AG31" i="7" s="1"/>
  <c r="AG89" i="5"/>
  <c r="AG25" i="7" s="1"/>
  <c r="AG87" i="5"/>
  <c r="AG23" i="7" s="1"/>
  <c r="AF123" i="5"/>
  <c r="AF59" i="7" s="1"/>
  <c r="AF107" i="5"/>
  <c r="AF43" i="7" s="1"/>
  <c r="AF93" i="5"/>
  <c r="AF29" i="7" s="1"/>
  <c r="AF91" i="5"/>
  <c r="AF27" i="7" s="1"/>
  <c r="AE119" i="5"/>
  <c r="AE55" i="7" s="1"/>
  <c r="AE111" i="5"/>
  <c r="AE47" i="7" s="1"/>
  <c r="AE103" i="5"/>
  <c r="AE39" i="7" s="1"/>
  <c r="AE95" i="5"/>
  <c r="AE31" i="7" s="1"/>
  <c r="AE87" i="5"/>
  <c r="AE23" i="7" s="1"/>
  <c r="AD115" i="5"/>
  <c r="AD51" i="7" s="1"/>
  <c r="AD109" i="5"/>
  <c r="AD45" i="7" s="1"/>
  <c r="AD99" i="5"/>
  <c r="AD35" i="7" s="1"/>
  <c r="AD85" i="5"/>
  <c r="AD21" i="7" s="1"/>
  <c r="BI94" i="5"/>
  <c r="BI30" i="7" s="1"/>
  <c r="BI84" i="5"/>
  <c r="BI20" i="7" s="1"/>
  <c r="AF82" i="5"/>
  <c r="AF18" i="7" s="1"/>
  <c r="BI90" i="5"/>
  <c r="BI26" i="7" s="1"/>
  <c r="BI86" i="5"/>
  <c r="BI22" i="7" s="1"/>
  <c r="BI82" i="5"/>
  <c r="BI18" i="7" s="1"/>
  <c r="BI118" i="5"/>
  <c r="BI54" i="7" s="1"/>
  <c r="BI114" i="5"/>
  <c r="BI50" i="7" s="1"/>
  <c r="BI102" i="5"/>
  <c r="BI38" i="7" s="1"/>
  <c r="BI98" i="5"/>
  <c r="BI34" i="7" s="1"/>
  <c r="BI81" i="5"/>
  <c r="BI77" i="5"/>
  <c r="BI70" i="5"/>
  <c r="BI69" i="5"/>
  <c r="BI66" i="5"/>
  <c r="BI73" i="5"/>
  <c r="BI169" i="5"/>
  <c r="BH169" i="5"/>
  <c r="BG169" i="5"/>
  <c r="BF169" i="5"/>
  <c r="BE169" i="5"/>
  <c r="BD169" i="5"/>
  <c r="BC169" i="5"/>
  <c r="BB169" i="5"/>
  <c r="BA169" i="5"/>
  <c r="AZ169" i="5"/>
  <c r="AY169" i="5"/>
  <c r="AX169" i="5"/>
  <c r="AW169" i="5"/>
  <c r="AV169" i="5"/>
  <c r="AU169" i="5"/>
  <c r="AT169" i="5"/>
  <c r="AS169" i="5"/>
  <c r="AR169" i="5"/>
  <c r="AQ169" i="5"/>
  <c r="AP169" i="5"/>
  <c r="AO169" i="5"/>
  <c r="AN169" i="5"/>
  <c r="AM169" i="5"/>
  <c r="AL169" i="5"/>
  <c r="AK169" i="5"/>
  <c r="AJ169" i="5"/>
  <c r="AI169" i="5"/>
  <c r="AH169" i="5"/>
  <c r="AG169" i="5"/>
  <c r="AF169" i="5"/>
  <c r="AE169" i="5"/>
  <c r="AD169" i="5"/>
  <c r="AC169" i="5"/>
  <c r="AB169" i="5"/>
  <c r="AA169" i="5"/>
  <c r="Z169" i="5"/>
  <c r="Y169" i="5"/>
  <c r="X169" i="5"/>
  <c r="W169" i="5"/>
  <c r="V169" i="5"/>
  <c r="U169" i="5"/>
  <c r="T169" i="5"/>
  <c r="S169" i="5"/>
  <c r="R169" i="5"/>
  <c r="Q169" i="5"/>
  <c r="P169" i="5"/>
  <c r="O169" i="5"/>
  <c r="N169" i="5"/>
  <c r="M169" i="5"/>
  <c r="L169" i="5"/>
  <c r="K169" i="5"/>
  <c r="J169" i="5"/>
  <c r="I169" i="5"/>
  <c r="H169" i="5"/>
  <c r="G169" i="5"/>
  <c r="F169" i="5"/>
  <c r="E169" i="5"/>
  <c r="D169" i="5"/>
  <c r="C169" i="5"/>
  <c r="B169" i="5"/>
  <c r="BI61" i="5"/>
  <c r="B66" i="5" s="1"/>
  <c r="BH61" i="5"/>
  <c r="B67" i="5" s="1"/>
  <c r="BG61" i="5"/>
  <c r="B68" i="5" s="1"/>
  <c r="BF61" i="5"/>
  <c r="B69" i="5" s="1"/>
  <c r="BE61" i="5"/>
  <c r="B70" i="5" s="1"/>
  <c r="BD61" i="5"/>
  <c r="B71" i="5" s="1"/>
  <c r="BC61" i="5"/>
  <c r="B72" i="5" s="1"/>
  <c r="BB61" i="5"/>
  <c r="B73" i="5" s="1"/>
  <c r="BA61" i="5"/>
  <c r="B74" i="5" s="1"/>
  <c r="AZ61" i="5"/>
  <c r="B75" i="5" s="1"/>
  <c r="AY61" i="5"/>
  <c r="B76" i="5" s="1"/>
  <c r="AX61" i="5"/>
  <c r="B77" i="5" s="1"/>
  <c r="AW61" i="5"/>
  <c r="B78" i="5" s="1"/>
  <c r="AV61" i="5"/>
  <c r="B79" i="5" s="1"/>
  <c r="AU61" i="5"/>
  <c r="B80" i="5" s="1"/>
  <c r="AT61" i="5"/>
  <c r="B81" i="5" s="1"/>
  <c r="AS61" i="5"/>
  <c r="B82" i="5" s="1"/>
  <c r="AR61" i="5"/>
  <c r="B83" i="5" s="1"/>
  <c r="AQ61" i="5"/>
  <c r="B84" i="5" s="1"/>
  <c r="AP61" i="5"/>
  <c r="B85" i="5" s="1"/>
  <c r="AO61" i="5"/>
  <c r="B86" i="5" s="1"/>
  <c r="AN61" i="5"/>
  <c r="B87" i="5" s="1"/>
  <c r="AM61" i="5"/>
  <c r="B88" i="5" s="1"/>
  <c r="AL61" i="5"/>
  <c r="B89" i="5" s="1"/>
  <c r="AK61" i="5"/>
  <c r="B90" i="5" s="1"/>
  <c r="AJ61" i="5"/>
  <c r="B91" i="5" s="1"/>
  <c r="AI61" i="5"/>
  <c r="B92" i="5" s="1"/>
  <c r="AH61" i="5"/>
  <c r="B93" i="5" s="1"/>
  <c r="AG61" i="5"/>
  <c r="B94" i="5" s="1"/>
  <c r="AF61" i="5"/>
  <c r="B95" i="5" s="1"/>
  <c r="AE61" i="5"/>
  <c r="B96" i="5" s="1"/>
  <c r="AD61" i="5"/>
  <c r="B97" i="5" s="1"/>
  <c r="AC61" i="5"/>
  <c r="B98" i="5" s="1"/>
  <c r="AB61" i="5"/>
  <c r="B99" i="5" s="1"/>
  <c r="AA61" i="5"/>
  <c r="B100" i="5" s="1"/>
  <c r="Z61" i="5"/>
  <c r="B101" i="5" s="1"/>
  <c r="Y61" i="5"/>
  <c r="B102" i="5" s="1"/>
  <c r="X61" i="5"/>
  <c r="B103" i="5" s="1"/>
  <c r="W61" i="5"/>
  <c r="B104" i="5" s="1"/>
  <c r="V61" i="5"/>
  <c r="B105" i="5" s="1"/>
  <c r="U61" i="5"/>
  <c r="B106" i="5" s="1"/>
  <c r="T61" i="5"/>
  <c r="B107" i="5" s="1"/>
  <c r="S61" i="5"/>
  <c r="B108" i="5" s="1"/>
  <c r="R61" i="5"/>
  <c r="B109" i="5" s="1"/>
  <c r="Q61" i="5"/>
  <c r="B110" i="5" s="1"/>
  <c r="P61" i="5"/>
  <c r="B111" i="5" s="1"/>
  <c r="O61" i="5"/>
  <c r="B112" i="5" s="1"/>
  <c r="N61" i="5"/>
  <c r="B113" i="5" s="1"/>
  <c r="M61" i="5"/>
  <c r="B114" i="5" s="1"/>
  <c r="L61" i="5"/>
  <c r="B115" i="5" s="1"/>
  <c r="K61" i="5"/>
  <c r="B116" i="5" s="1"/>
  <c r="J61" i="5"/>
  <c r="B117" i="5" s="1"/>
  <c r="I61" i="5"/>
  <c r="B118" i="5" s="1"/>
  <c r="H61" i="5"/>
  <c r="B119" i="5" s="1"/>
  <c r="G61" i="5"/>
  <c r="B120" i="5" s="1"/>
  <c r="F61" i="5"/>
  <c r="B121" i="5" s="1"/>
  <c r="E61" i="5"/>
  <c r="B122" i="5" s="1"/>
  <c r="D61" i="5"/>
  <c r="B123" i="5" s="1"/>
  <c r="C61" i="5"/>
  <c r="B124" i="5" s="1"/>
  <c r="B61" i="5"/>
  <c r="B125" i="5" s="1"/>
  <c r="BI60" i="5"/>
  <c r="C66" i="5" s="1"/>
  <c r="BH60" i="5"/>
  <c r="C67" i="5" s="1"/>
  <c r="BG60" i="5"/>
  <c r="C68" i="5" s="1"/>
  <c r="BF60" i="5"/>
  <c r="C69" i="5" s="1"/>
  <c r="BE60" i="5"/>
  <c r="C70" i="5" s="1"/>
  <c r="BD60" i="5"/>
  <c r="C71" i="5" s="1"/>
  <c r="BC60" i="5"/>
  <c r="C72" i="5" s="1"/>
  <c r="BB60" i="5"/>
  <c r="C73" i="5" s="1"/>
  <c r="BA60" i="5"/>
  <c r="C74" i="5" s="1"/>
  <c r="AZ60" i="5"/>
  <c r="C75" i="5" s="1"/>
  <c r="AY60" i="5"/>
  <c r="C76" i="5" s="1"/>
  <c r="AX60" i="5"/>
  <c r="C77" i="5" s="1"/>
  <c r="AW60" i="5"/>
  <c r="C78" i="5" s="1"/>
  <c r="AV60" i="5"/>
  <c r="C79" i="5" s="1"/>
  <c r="AU60" i="5"/>
  <c r="C80" i="5" s="1"/>
  <c r="AT60" i="5"/>
  <c r="C81" i="5" s="1"/>
  <c r="AS60" i="5"/>
  <c r="C82" i="5" s="1"/>
  <c r="AR60" i="5"/>
  <c r="C83" i="5" s="1"/>
  <c r="AQ60" i="5"/>
  <c r="C84" i="5" s="1"/>
  <c r="AP60" i="5"/>
  <c r="C85" i="5" s="1"/>
  <c r="AO60" i="5"/>
  <c r="C86" i="5" s="1"/>
  <c r="AN60" i="5"/>
  <c r="C87" i="5" s="1"/>
  <c r="AM60" i="5"/>
  <c r="C88" i="5" s="1"/>
  <c r="AL60" i="5"/>
  <c r="C89" i="5" s="1"/>
  <c r="AK60" i="5"/>
  <c r="C90" i="5" s="1"/>
  <c r="AJ60" i="5"/>
  <c r="C91" i="5" s="1"/>
  <c r="AI60" i="5"/>
  <c r="C92" i="5" s="1"/>
  <c r="AH60" i="5"/>
  <c r="C93" i="5" s="1"/>
  <c r="AG60" i="5"/>
  <c r="C94" i="5" s="1"/>
  <c r="AF60" i="5"/>
  <c r="C95" i="5" s="1"/>
  <c r="AE60" i="5"/>
  <c r="C96" i="5" s="1"/>
  <c r="AD60" i="5"/>
  <c r="C97" i="5" s="1"/>
  <c r="AC60" i="5"/>
  <c r="C98" i="5" s="1"/>
  <c r="AB60" i="5"/>
  <c r="C99" i="5" s="1"/>
  <c r="AA60" i="5"/>
  <c r="C100" i="5" s="1"/>
  <c r="Z60" i="5"/>
  <c r="C101" i="5" s="1"/>
  <c r="Y60" i="5"/>
  <c r="C102" i="5" s="1"/>
  <c r="X60" i="5"/>
  <c r="C103" i="5" s="1"/>
  <c r="W60" i="5"/>
  <c r="C104" i="5" s="1"/>
  <c r="V60" i="5"/>
  <c r="C105" i="5" s="1"/>
  <c r="U60" i="5"/>
  <c r="C106" i="5" s="1"/>
  <c r="T60" i="5"/>
  <c r="C107" i="5" s="1"/>
  <c r="S60" i="5"/>
  <c r="C108" i="5" s="1"/>
  <c r="R60" i="5"/>
  <c r="C109" i="5" s="1"/>
  <c r="Q60" i="5"/>
  <c r="C110" i="5" s="1"/>
  <c r="P60" i="5"/>
  <c r="C111" i="5" s="1"/>
  <c r="O60" i="5"/>
  <c r="C112" i="5" s="1"/>
  <c r="N60" i="5"/>
  <c r="C113" i="5" s="1"/>
  <c r="M60" i="5"/>
  <c r="C114" i="5" s="1"/>
  <c r="L60" i="5"/>
  <c r="C115" i="5" s="1"/>
  <c r="K60" i="5"/>
  <c r="C116" i="5" s="1"/>
  <c r="J60" i="5"/>
  <c r="C117" i="5" s="1"/>
  <c r="I60" i="5"/>
  <c r="C118" i="5" s="1"/>
  <c r="H60" i="5"/>
  <c r="C119" i="5" s="1"/>
  <c r="G60" i="5"/>
  <c r="C120" i="5" s="1"/>
  <c r="F60" i="5"/>
  <c r="C121" i="5" s="1"/>
  <c r="E60" i="5"/>
  <c r="C122" i="5" s="1"/>
  <c r="D60" i="5"/>
  <c r="C123" i="5" s="1"/>
  <c r="C60" i="5"/>
  <c r="C124" i="5" s="1"/>
  <c r="B60" i="5"/>
  <c r="C125" i="5" s="1"/>
  <c r="BI59" i="5"/>
  <c r="D66" i="5" s="1"/>
  <c r="BH59" i="5"/>
  <c r="D67" i="5" s="1"/>
  <c r="BG59" i="5"/>
  <c r="D68" i="5" s="1"/>
  <c r="BF59" i="5"/>
  <c r="D69" i="5" s="1"/>
  <c r="BE59" i="5"/>
  <c r="D70" i="5" s="1"/>
  <c r="BD59" i="5"/>
  <c r="D71" i="5" s="1"/>
  <c r="BC59" i="5"/>
  <c r="D72" i="5" s="1"/>
  <c r="BB59" i="5"/>
  <c r="D73" i="5" s="1"/>
  <c r="BA59" i="5"/>
  <c r="D74" i="5" s="1"/>
  <c r="AZ59" i="5"/>
  <c r="D75" i="5" s="1"/>
  <c r="AY59" i="5"/>
  <c r="D76" i="5" s="1"/>
  <c r="AX59" i="5"/>
  <c r="D77" i="5" s="1"/>
  <c r="AW59" i="5"/>
  <c r="D78" i="5" s="1"/>
  <c r="AV59" i="5"/>
  <c r="D79" i="5" s="1"/>
  <c r="AU59" i="5"/>
  <c r="D80" i="5" s="1"/>
  <c r="AT59" i="5"/>
  <c r="D81" i="5" s="1"/>
  <c r="AS59" i="5"/>
  <c r="D82" i="5" s="1"/>
  <c r="AR59" i="5"/>
  <c r="D83" i="5" s="1"/>
  <c r="AQ59" i="5"/>
  <c r="D84" i="5" s="1"/>
  <c r="AP59" i="5"/>
  <c r="D85" i="5" s="1"/>
  <c r="AO59" i="5"/>
  <c r="D86" i="5" s="1"/>
  <c r="AN59" i="5"/>
  <c r="D87" i="5" s="1"/>
  <c r="AM59" i="5"/>
  <c r="D88" i="5" s="1"/>
  <c r="AL59" i="5"/>
  <c r="D89" i="5" s="1"/>
  <c r="AK59" i="5"/>
  <c r="D90" i="5" s="1"/>
  <c r="AJ59" i="5"/>
  <c r="D91" i="5" s="1"/>
  <c r="AI59" i="5"/>
  <c r="D92" i="5" s="1"/>
  <c r="AH59" i="5"/>
  <c r="D93" i="5" s="1"/>
  <c r="AG59" i="5"/>
  <c r="D94" i="5" s="1"/>
  <c r="AF59" i="5"/>
  <c r="D95" i="5" s="1"/>
  <c r="AE59" i="5"/>
  <c r="D96" i="5" s="1"/>
  <c r="AD59" i="5"/>
  <c r="D97" i="5" s="1"/>
  <c r="AC59" i="5"/>
  <c r="D98" i="5" s="1"/>
  <c r="AB59" i="5"/>
  <c r="D99" i="5" s="1"/>
  <c r="AA59" i="5"/>
  <c r="D100" i="5" s="1"/>
  <c r="Z59" i="5"/>
  <c r="D101" i="5" s="1"/>
  <c r="Y59" i="5"/>
  <c r="D102" i="5" s="1"/>
  <c r="X59" i="5"/>
  <c r="D103" i="5" s="1"/>
  <c r="W59" i="5"/>
  <c r="D104" i="5" s="1"/>
  <c r="V59" i="5"/>
  <c r="D105" i="5" s="1"/>
  <c r="U59" i="5"/>
  <c r="D106" i="5" s="1"/>
  <c r="T59" i="5"/>
  <c r="D107" i="5" s="1"/>
  <c r="S59" i="5"/>
  <c r="D108" i="5" s="1"/>
  <c r="R59" i="5"/>
  <c r="D109" i="5" s="1"/>
  <c r="Q59" i="5"/>
  <c r="D110" i="5" s="1"/>
  <c r="P59" i="5"/>
  <c r="D111" i="5" s="1"/>
  <c r="O59" i="5"/>
  <c r="D112" i="5" s="1"/>
  <c r="N59" i="5"/>
  <c r="D113" i="5" s="1"/>
  <c r="M59" i="5"/>
  <c r="D114" i="5" s="1"/>
  <c r="L59" i="5"/>
  <c r="D115" i="5" s="1"/>
  <c r="K59" i="5"/>
  <c r="D116" i="5" s="1"/>
  <c r="J59" i="5"/>
  <c r="D117" i="5" s="1"/>
  <c r="I59" i="5"/>
  <c r="D118" i="5" s="1"/>
  <c r="H59" i="5"/>
  <c r="D119" i="5" s="1"/>
  <c r="G59" i="5"/>
  <c r="D120" i="5" s="1"/>
  <c r="F59" i="5"/>
  <c r="D121" i="5" s="1"/>
  <c r="E59" i="5"/>
  <c r="D122" i="5" s="1"/>
  <c r="D59" i="5"/>
  <c r="D123" i="5" s="1"/>
  <c r="C59" i="5"/>
  <c r="D124" i="5" s="1"/>
  <c r="B59" i="5"/>
  <c r="D125" i="5" s="1"/>
  <c r="BI58" i="5"/>
  <c r="E66" i="5" s="1"/>
  <c r="BH58" i="5"/>
  <c r="E67" i="5" s="1"/>
  <c r="BG58" i="5"/>
  <c r="E68" i="5" s="1"/>
  <c r="BF58" i="5"/>
  <c r="E69" i="5" s="1"/>
  <c r="BE58" i="5"/>
  <c r="E70" i="5" s="1"/>
  <c r="BD58" i="5"/>
  <c r="E71" i="5" s="1"/>
  <c r="BC58" i="5"/>
  <c r="E72" i="5" s="1"/>
  <c r="BB58" i="5"/>
  <c r="E73" i="5" s="1"/>
  <c r="BA58" i="5"/>
  <c r="E74" i="5" s="1"/>
  <c r="AZ58" i="5"/>
  <c r="E75" i="5" s="1"/>
  <c r="AY58" i="5"/>
  <c r="E76" i="5" s="1"/>
  <c r="AX58" i="5"/>
  <c r="E77" i="5" s="1"/>
  <c r="AW58" i="5"/>
  <c r="E78" i="5" s="1"/>
  <c r="AV58" i="5"/>
  <c r="E79" i="5" s="1"/>
  <c r="AU58" i="5"/>
  <c r="E80" i="5" s="1"/>
  <c r="AT58" i="5"/>
  <c r="E81" i="5" s="1"/>
  <c r="AS58" i="5"/>
  <c r="E82" i="5" s="1"/>
  <c r="AR58" i="5"/>
  <c r="E83" i="5" s="1"/>
  <c r="AQ58" i="5"/>
  <c r="E84" i="5" s="1"/>
  <c r="AP58" i="5"/>
  <c r="E85" i="5" s="1"/>
  <c r="AO58" i="5"/>
  <c r="E86" i="5" s="1"/>
  <c r="AN58" i="5"/>
  <c r="E87" i="5" s="1"/>
  <c r="AM58" i="5"/>
  <c r="E88" i="5" s="1"/>
  <c r="AL58" i="5"/>
  <c r="E89" i="5" s="1"/>
  <c r="AK58" i="5"/>
  <c r="E90" i="5" s="1"/>
  <c r="AJ58" i="5"/>
  <c r="E91" i="5" s="1"/>
  <c r="AI58" i="5"/>
  <c r="E92" i="5" s="1"/>
  <c r="AH58" i="5"/>
  <c r="E93" i="5" s="1"/>
  <c r="AG58" i="5"/>
  <c r="E94" i="5" s="1"/>
  <c r="AF58" i="5"/>
  <c r="E95" i="5" s="1"/>
  <c r="AE58" i="5"/>
  <c r="E96" i="5" s="1"/>
  <c r="AD58" i="5"/>
  <c r="E97" i="5" s="1"/>
  <c r="AC58" i="5"/>
  <c r="E98" i="5" s="1"/>
  <c r="AB58" i="5"/>
  <c r="E99" i="5" s="1"/>
  <c r="AA58" i="5"/>
  <c r="E100" i="5" s="1"/>
  <c r="Z58" i="5"/>
  <c r="E101" i="5" s="1"/>
  <c r="Y58" i="5"/>
  <c r="E102" i="5" s="1"/>
  <c r="X58" i="5"/>
  <c r="E103" i="5" s="1"/>
  <c r="W58" i="5"/>
  <c r="E104" i="5" s="1"/>
  <c r="V58" i="5"/>
  <c r="E105" i="5" s="1"/>
  <c r="U58" i="5"/>
  <c r="E106" i="5" s="1"/>
  <c r="T58" i="5"/>
  <c r="E107" i="5" s="1"/>
  <c r="S58" i="5"/>
  <c r="E108" i="5" s="1"/>
  <c r="R58" i="5"/>
  <c r="E109" i="5" s="1"/>
  <c r="Q58" i="5"/>
  <c r="E110" i="5" s="1"/>
  <c r="P58" i="5"/>
  <c r="E111" i="5" s="1"/>
  <c r="O58" i="5"/>
  <c r="E112" i="5" s="1"/>
  <c r="N58" i="5"/>
  <c r="E113" i="5" s="1"/>
  <c r="M58" i="5"/>
  <c r="E114" i="5" s="1"/>
  <c r="L58" i="5"/>
  <c r="E115" i="5" s="1"/>
  <c r="K58" i="5"/>
  <c r="E116" i="5" s="1"/>
  <c r="J58" i="5"/>
  <c r="E117" i="5" s="1"/>
  <c r="I58" i="5"/>
  <c r="E118" i="5" s="1"/>
  <c r="H58" i="5"/>
  <c r="E119" i="5" s="1"/>
  <c r="G58" i="5"/>
  <c r="E120" i="5" s="1"/>
  <c r="F58" i="5"/>
  <c r="E121" i="5" s="1"/>
  <c r="E58" i="5"/>
  <c r="E122" i="5" s="1"/>
  <c r="D58" i="5"/>
  <c r="E123" i="5" s="1"/>
  <c r="C58" i="5"/>
  <c r="E124" i="5" s="1"/>
  <c r="B58" i="5"/>
  <c r="E125" i="5" s="1"/>
  <c r="BI57" i="5"/>
  <c r="F66" i="5" s="1"/>
  <c r="BH57" i="5"/>
  <c r="F67" i="5" s="1"/>
  <c r="BG57" i="5"/>
  <c r="F68" i="5" s="1"/>
  <c r="BF57" i="5"/>
  <c r="F69" i="5" s="1"/>
  <c r="BE57" i="5"/>
  <c r="F70" i="5" s="1"/>
  <c r="BD57" i="5"/>
  <c r="F71" i="5" s="1"/>
  <c r="BC57" i="5"/>
  <c r="F72" i="5" s="1"/>
  <c r="BB57" i="5"/>
  <c r="F73" i="5" s="1"/>
  <c r="BA57" i="5"/>
  <c r="F74" i="5" s="1"/>
  <c r="AZ57" i="5"/>
  <c r="F75" i="5" s="1"/>
  <c r="AY57" i="5"/>
  <c r="F76" i="5" s="1"/>
  <c r="AX57" i="5"/>
  <c r="F77" i="5" s="1"/>
  <c r="AW57" i="5"/>
  <c r="F78" i="5" s="1"/>
  <c r="AV57" i="5"/>
  <c r="F79" i="5" s="1"/>
  <c r="AU57" i="5"/>
  <c r="F80" i="5" s="1"/>
  <c r="AT57" i="5"/>
  <c r="F81" i="5" s="1"/>
  <c r="AS57" i="5"/>
  <c r="F82" i="5" s="1"/>
  <c r="AR57" i="5"/>
  <c r="F83" i="5" s="1"/>
  <c r="AQ57" i="5"/>
  <c r="F84" i="5" s="1"/>
  <c r="AP57" i="5"/>
  <c r="F85" i="5" s="1"/>
  <c r="AO57" i="5"/>
  <c r="F86" i="5" s="1"/>
  <c r="AN57" i="5"/>
  <c r="F87" i="5" s="1"/>
  <c r="AM57" i="5"/>
  <c r="F88" i="5" s="1"/>
  <c r="AL57" i="5"/>
  <c r="F89" i="5" s="1"/>
  <c r="AK57" i="5"/>
  <c r="F90" i="5" s="1"/>
  <c r="AJ57" i="5"/>
  <c r="F91" i="5" s="1"/>
  <c r="AI57" i="5"/>
  <c r="F92" i="5" s="1"/>
  <c r="AH57" i="5"/>
  <c r="F93" i="5" s="1"/>
  <c r="AG57" i="5"/>
  <c r="F94" i="5" s="1"/>
  <c r="AF57" i="5"/>
  <c r="F95" i="5" s="1"/>
  <c r="AE57" i="5"/>
  <c r="F96" i="5" s="1"/>
  <c r="AD57" i="5"/>
  <c r="F97" i="5" s="1"/>
  <c r="AC57" i="5"/>
  <c r="F98" i="5" s="1"/>
  <c r="AB57" i="5"/>
  <c r="F99" i="5" s="1"/>
  <c r="AA57" i="5"/>
  <c r="F100" i="5" s="1"/>
  <c r="Z57" i="5"/>
  <c r="F101" i="5" s="1"/>
  <c r="Y57" i="5"/>
  <c r="F102" i="5" s="1"/>
  <c r="X57" i="5"/>
  <c r="F103" i="5" s="1"/>
  <c r="W57" i="5"/>
  <c r="F104" i="5" s="1"/>
  <c r="V57" i="5"/>
  <c r="F105" i="5" s="1"/>
  <c r="U57" i="5"/>
  <c r="F106" i="5" s="1"/>
  <c r="T57" i="5"/>
  <c r="F107" i="5" s="1"/>
  <c r="S57" i="5"/>
  <c r="F108" i="5" s="1"/>
  <c r="R57" i="5"/>
  <c r="F109" i="5" s="1"/>
  <c r="Q57" i="5"/>
  <c r="F110" i="5" s="1"/>
  <c r="P57" i="5"/>
  <c r="F111" i="5" s="1"/>
  <c r="O57" i="5"/>
  <c r="F112" i="5" s="1"/>
  <c r="N57" i="5"/>
  <c r="F113" i="5" s="1"/>
  <c r="M57" i="5"/>
  <c r="F114" i="5" s="1"/>
  <c r="L57" i="5"/>
  <c r="F115" i="5" s="1"/>
  <c r="K57" i="5"/>
  <c r="F116" i="5" s="1"/>
  <c r="J57" i="5"/>
  <c r="F117" i="5" s="1"/>
  <c r="I57" i="5"/>
  <c r="F118" i="5" s="1"/>
  <c r="H57" i="5"/>
  <c r="F119" i="5" s="1"/>
  <c r="G57" i="5"/>
  <c r="F120" i="5" s="1"/>
  <c r="F57" i="5"/>
  <c r="F121" i="5" s="1"/>
  <c r="E57" i="5"/>
  <c r="F122" i="5" s="1"/>
  <c r="D57" i="5"/>
  <c r="F123" i="5" s="1"/>
  <c r="C57" i="5"/>
  <c r="F124" i="5" s="1"/>
  <c r="B57" i="5"/>
  <c r="F125" i="5" s="1"/>
  <c r="BI56" i="5"/>
  <c r="G66" i="5" s="1"/>
  <c r="BH56" i="5"/>
  <c r="G67" i="5" s="1"/>
  <c r="BG56" i="5"/>
  <c r="G68" i="5" s="1"/>
  <c r="BF56" i="5"/>
  <c r="G69" i="5" s="1"/>
  <c r="BE56" i="5"/>
  <c r="G70" i="5" s="1"/>
  <c r="BD56" i="5"/>
  <c r="G71" i="5" s="1"/>
  <c r="BC56" i="5"/>
  <c r="G72" i="5" s="1"/>
  <c r="BB56" i="5"/>
  <c r="G73" i="5" s="1"/>
  <c r="BA56" i="5"/>
  <c r="G74" i="5" s="1"/>
  <c r="AZ56" i="5"/>
  <c r="G75" i="5" s="1"/>
  <c r="AY56" i="5"/>
  <c r="G76" i="5" s="1"/>
  <c r="AX56" i="5"/>
  <c r="G77" i="5" s="1"/>
  <c r="AW56" i="5"/>
  <c r="G78" i="5" s="1"/>
  <c r="AV56" i="5"/>
  <c r="G79" i="5" s="1"/>
  <c r="AU56" i="5"/>
  <c r="G80" i="5" s="1"/>
  <c r="AT56" i="5"/>
  <c r="G81" i="5" s="1"/>
  <c r="AS56" i="5"/>
  <c r="G82" i="5" s="1"/>
  <c r="AR56" i="5"/>
  <c r="G83" i="5" s="1"/>
  <c r="AQ56" i="5"/>
  <c r="G84" i="5" s="1"/>
  <c r="AP56" i="5"/>
  <c r="G85" i="5" s="1"/>
  <c r="AO56" i="5"/>
  <c r="G86" i="5" s="1"/>
  <c r="AN56" i="5"/>
  <c r="G87" i="5" s="1"/>
  <c r="AM56" i="5"/>
  <c r="G88" i="5" s="1"/>
  <c r="AL56" i="5"/>
  <c r="G89" i="5" s="1"/>
  <c r="AK56" i="5"/>
  <c r="G90" i="5" s="1"/>
  <c r="AJ56" i="5"/>
  <c r="G91" i="5" s="1"/>
  <c r="AI56" i="5"/>
  <c r="G92" i="5" s="1"/>
  <c r="AH56" i="5"/>
  <c r="G93" i="5" s="1"/>
  <c r="AG56" i="5"/>
  <c r="G94" i="5" s="1"/>
  <c r="AF56" i="5"/>
  <c r="G95" i="5" s="1"/>
  <c r="AE56" i="5"/>
  <c r="G96" i="5" s="1"/>
  <c r="AD56" i="5"/>
  <c r="G97" i="5" s="1"/>
  <c r="AC56" i="5"/>
  <c r="G98" i="5" s="1"/>
  <c r="AB56" i="5"/>
  <c r="G99" i="5" s="1"/>
  <c r="AA56" i="5"/>
  <c r="G100" i="5" s="1"/>
  <c r="Z56" i="5"/>
  <c r="G101" i="5" s="1"/>
  <c r="Y56" i="5"/>
  <c r="G102" i="5" s="1"/>
  <c r="X56" i="5"/>
  <c r="G103" i="5" s="1"/>
  <c r="W56" i="5"/>
  <c r="G104" i="5" s="1"/>
  <c r="V56" i="5"/>
  <c r="G105" i="5" s="1"/>
  <c r="U56" i="5"/>
  <c r="G106" i="5" s="1"/>
  <c r="T56" i="5"/>
  <c r="G107" i="5" s="1"/>
  <c r="S56" i="5"/>
  <c r="G108" i="5" s="1"/>
  <c r="R56" i="5"/>
  <c r="G109" i="5" s="1"/>
  <c r="Q56" i="5"/>
  <c r="G110" i="5" s="1"/>
  <c r="P56" i="5"/>
  <c r="G111" i="5" s="1"/>
  <c r="O56" i="5"/>
  <c r="G112" i="5" s="1"/>
  <c r="N56" i="5"/>
  <c r="G113" i="5" s="1"/>
  <c r="M56" i="5"/>
  <c r="G114" i="5" s="1"/>
  <c r="L56" i="5"/>
  <c r="G115" i="5" s="1"/>
  <c r="K56" i="5"/>
  <c r="G116" i="5" s="1"/>
  <c r="J56" i="5"/>
  <c r="G117" i="5" s="1"/>
  <c r="I56" i="5"/>
  <c r="G118" i="5" s="1"/>
  <c r="H56" i="5"/>
  <c r="G119" i="5" s="1"/>
  <c r="G56" i="5"/>
  <c r="G120" i="5" s="1"/>
  <c r="F56" i="5"/>
  <c r="G121" i="5" s="1"/>
  <c r="E56" i="5"/>
  <c r="G122" i="5" s="1"/>
  <c r="D56" i="5"/>
  <c r="G123" i="5" s="1"/>
  <c r="C56" i="5"/>
  <c r="G124" i="5" s="1"/>
  <c r="B56" i="5"/>
  <c r="G125" i="5" s="1"/>
  <c r="BI55" i="5"/>
  <c r="H66" i="5" s="1"/>
  <c r="BH55" i="5"/>
  <c r="H67" i="5" s="1"/>
  <c r="BG55" i="5"/>
  <c r="H68" i="5" s="1"/>
  <c r="BF55" i="5"/>
  <c r="H69" i="5" s="1"/>
  <c r="BE55" i="5"/>
  <c r="H70" i="5" s="1"/>
  <c r="BD55" i="5"/>
  <c r="H71" i="5" s="1"/>
  <c r="BC55" i="5"/>
  <c r="H72" i="5" s="1"/>
  <c r="BB55" i="5"/>
  <c r="H73" i="5" s="1"/>
  <c r="BA55" i="5"/>
  <c r="H74" i="5" s="1"/>
  <c r="AZ55" i="5"/>
  <c r="H75" i="5" s="1"/>
  <c r="AY55" i="5"/>
  <c r="H76" i="5" s="1"/>
  <c r="AX55" i="5"/>
  <c r="H77" i="5" s="1"/>
  <c r="AW55" i="5"/>
  <c r="H78" i="5" s="1"/>
  <c r="AV55" i="5"/>
  <c r="H79" i="5" s="1"/>
  <c r="AU55" i="5"/>
  <c r="H80" i="5" s="1"/>
  <c r="AT55" i="5"/>
  <c r="H81" i="5" s="1"/>
  <c r="AS55" i="5"/>
  <c r="H82" i="5" s="1"/>
  <c r="AR55" i="5"/>
  <c r="H83" i="5" s="1"/>
  <c r="AQ55" i="5"/>
  <c r="H84" i="5" s="1"/>
  <c r="AP55" i="5"/>
  <c r="H85" i="5" s="1"/>
  <c r="AO55" i="5"/>
  <c r="H86" i="5" s="1"/>
  <c r="AN55" i="5"/>
  <c r="H87" i="5" s="1"/>
  <c r="AM55" i="5"/>
  <c r="H88" i="5" s="1"/>
  <c r="AL55" i="5"/>
  <c r="H89" i="5" s="1"/>
  <c r="AK55" i="5"/>
  <c r="H90" i="5" s="1"/>
  <c r="AJ55" i="5"/>
  <c r="H91" i="5" s="1"/>
  <c r="AI55" i="5"/>
  <c r="H92" i="5" s="1"/>
  <c r="AH55" i="5"/>
  <c r="H93" i="5" s="1"/>
  <c r="AG55" i="5"/>
  <c r="H94" i="5" s="1"/>
  <c r="AF55" i="5"/>
  <c r="H95" i="5" s="1"/>
  <c r="AE55" i="5"/>
  <c r="H96" i="5" s="1"/>
  <c r="AD55" i="5"/>
  <c r="H97" i="5" s="1"/>
  <c r="AC55" i="5"/>
  <c r="H98" i="5" s="1"/>
  <c r="AB55" i="5"/>
  <c r="H99" i="5" s="1"/>
  <c r="AA55" i="5"/>
  <c r="H100" i="5" s="1"/>
  <c r="Z55" i="5"/>
  <c r="H101" i="5" s="1"/>
  <c r="Y55" i="5"/>
  <c r="H102" i="5" s="1"/>
  <c r="X55" i="5"/>
  <c r="H103" i="5" s="1"/>
  <c r="W55" i="5"/>
  <c r="H104" i="5" s="1"/>
  <c r="V55" i="5"/>
  <c r="H105" i="5" s="1"/>
  <c r="U55" i="5"/>
  <c r="H106" i="5" s="1"/>
  <c r="T55" i="5"/>
  <c r="H107" i="5" s="1"/>
  <c r="S55" i="5"/>
  <c r="H108" i="5" s="1"/>
  <c r="R55" i="5"/>
  <c r="H109" i="5" s="1"/>
  <c r="Q55" i="5"/>
  <c r="H110" i="5" s="1"/>
  <c r="P55" i="5"/>
  <c r="H111" i="5" s="1"/>
  <c r="O55" i="5"/>
  <c r="H112" i="5" s="1"/>
  <c r="N55" i="5"/>
  <c r="H113" i="5" s="1"/>
  <c r="M55" i="5"/>
  <c r="H114" i="5" s="1"/>
  <c r="L55" i="5"/>
  <c r="H115" i="5" s="1"/>
  <c r="K55" i="5"/>
  <c r="H116" i="5" s="1"/>
  <c r="J55" i="5"/>
  <c r="H117" i="5" s="1"/>
  <c r="I55" i="5"/>
  <c r="H118" i="5" s="1"/>
  <c r="H55" i="5"/>
  <c r="H119" i="5" s="1"/>
  <c r="G55" i="5"/>
  <c r="H120" i="5" s="1"/>
  <c r="F55" i="5"/>
  <c r="H121" i="5" s="1"/>
  <c r="E55" i="5"/>
  <c r="H122" i="5" s="1"/>
  <c r="D55" i="5"/>
  <c r="H123" i="5" s="1"/>
  <c r="C55" i="5"/>
  <c r="H124" i="5" s="1"/>
  <c r="B55" i="5"/>
  <c r="H125" i="5" s="1"/>
  <c r="BI54" i="5"/>
  <c r="I66" i="5" s="1"/>
  <c r="BH54" i="5"/>
  <c r="I67" i="5" s="1"/>
  <c r="BG54" i="5"/>
  <c r="I68" i="5" s="1"/>
  <c r="BF54" i="5"/>
  <c r="I69" i="5" s="1"/>
  <c r="BE54" i="5"/>
  <c r="I70" i="5" s="1"/>
  <c r="BD54" i="5"/>
  <c r="I71" i="5" s="1"/>
  <c r="BC54" i="5"/>
  <c r="I72" i="5" s="1"/>
  <c r="BB54" i="5"/>
  <c r="I73" i="5" s="1"/>
  <c r="BA54" i="5"/>
  <c r="I74" i="5" s="1"/>
  <c r="AZ54" i="5"/>
  <c r="I75" i="5" s="1"/>
  <c r="AY54" i="5"/>
  <c r="I76" i="5" s="1"/>
  <c r="AX54" i="5"/>
  <c r="I77" i="5" s="1"/>
  <c r="AW54" i="5"/>
  <c r="I78" i="5" s="1"/>
  <c r="AV54" i="5"/>
  <c r="I79" i="5" s="1"/>
  <c r="AU54" i="5"/>
  <c r="I80" i="5" s="1"/>
  <c r="AT54" i="5"/>
  <c r="I81" i="5" s="1"/>
  <c r="AS54" i="5"/>
  <c r="I82" i="5" s="1"/>
  <c r="AR54" i="5"/>
  <c r="I83" i="5" s="1"/>
  <c r="AQ54" i="5"/>
  <c r="I84" i="5" s="1"/>
  <c r="AP54" i="5"/>
  <c r="I85" i="5" s="1"/>
  <c r="AO54" i="5"/>
  <c r="I86" i="5" s="1"/>
  <c r="AN54" i="5"/>
  <c r="I87" i="5" s="1"/>
  <c r="AM54" i="5"/>
  <c r="I88" i="5" s="1"/>
  <c r="AL54" i="5"/>
  <c r="I89" i="5" s="1"/>
  <c r="AK54" i="5"/>
  <c r="I90" i="5" s="1"/>
  <c r="AJ54" i="5"/>
  <c r="I91" i="5" s="1"/>
  <c r="AI54" i="5"/>
  <c r="I92" i="5" s="1"/>
  <c r="AH54" i="5"/>
  <c r="I93" i="5" s="1"/>
  <c r="AG54" i="5"/>
  <c r="I94" i="5" s="1"/>
  <c r="AF54" i="5"/>
  <c r="I95" i="5" s="1"/>
  <c r="AE54" i="5"/>
  <c r="I96" i="5" s="1"/>
  <c r="AD54" i="5"/>
  <c r="I97" i="5" s="1"/>
  <c r="AC54" i="5"/>
  <c r="I98" i="5" s="1"/>
  <c r="AB54" i="5"/>
  <c r="I99" i="5" s="1"/>
  <c r="AA54" i="5"/>
  <c r="I100" i="5" s="1"/>
  <c r="Z54" i="5"/>
  <c r="I101" i="5" s="1"/>
  <c r="Y54" i="5"/>
  <c r="I102" i="5" s="1"/>
  <c r="X54" i="5"/>
  <c r="I103" i="5" s="1"/>
  <c r="W54" i="5"/>
  <c r="I104" i="5" s="1"/>
  <c r="V54" i="5"/>
  <c r="I105" i="5" s="1"/>
  <c r="U54" i="5"/>
  <c r="I106" i="5" s="1"/>
  <c r="T54" i="5"/>
  <c r="I107" i="5" s="1"/>
  <c r="S54" i="5"/>
  <c r="I108" i="5" s="1"/>
  <c r="R54" i="5"/>
  <c r="I109" i="5" s="1"/>
  <c r="Q54" i="5"/>
  <c r="I110" i="5" s="1"/>
  <c r="P54" i="5"/>
  <c r="I111" i="5" s="1"/>
  <c r="O54" i="5"/>
  <c r="I112" i="5" s="1"/>
  <c r="N54" i="5"/>
  <c r="I113" i="5" s="1"/>
  <c r="M54" i="5"/>
  <c r="I114" i="5" s="1"/>
  <c r="L54" i="5"/>
  <c r="I115" i="5" s="1"/>
  <c r="K54" i="5"/>
  <c r="I116" i="5" s="1"/>
  <c r="J54" i="5"/>
  <c r="I117" i="5" s="1"/>
  <c r="I54" i="5"/>
  <c r="I118" i="5" s="1"/>
  <c r="H54" i="5"/>
  <c r="I119" i="5" s="1"/>
  <c r="G54" i="5"/>
  <c r="I120" i="5" s="1"/>
  <c r="F54" i="5"/>
  <c r="I121" i="5" s="1"/>
  <c r="E54" i="5"/>
  <c r="I122" i="5" s="1"/>
  <c r="D54" i="5"/>
  <c r="I123" i="5" s="1"/>
  <c r="C54" i="5"/>
  <c r="I124" i="5" s="1"/>
  <c r="B54" i="5"/>
  <c r="I125" i="5" s="1"/>
  <c r="BI53" i="5"/>
  <c r="J66" i="5" s="1"/>
  <c r="BH53" i="5"/>
  <c r="J67" i="5" s="1"/>
  <c r="BG53" i="5"/>
  <c r="J68" i="5" s="1"/>
  <c r="BF53" i="5"/>
  <c r="J69" i="5" s="1"/>
  <c r="BE53" i="5"/>
  <c r="J70" i="5" s="1"/>
  <c r="BD53" i="5"/>
  <c r="J71" i="5" s="1"/>
  <c r="BC53" i="5"/>
  <c r="J72" i="5" s="1"/>
  <c r="BB53" i="5"/>
  <c r="J73" i="5" s="1"/>
  <c r="BA53" i="5"/>
  <c r="J74" i="5" s="1"/>
  <c r="AZ53" i="5"/>
  <c r="J75" i="5" s="1"/>
  <c r="AY53" i="5"/>
  <c r="J76" i="5" s="1"/>
  <c r="AX53" i="5"/>
  <c r="J77" i="5" s="1"/>
  <c r="AW53" i="5"/>
  <c r="J78" i="5" s="1"/>
  <c r="AV53" i="5"/>
  <c r="J79" i="5" s="1"/>
  <c r="AU53" i="5"/>
  <c r="J80" i="5" s="1"/>
  <c r="AT53" i="5"/>
  <c r="J81" i="5" s="1"/>
  <c r="AS53" i="5"/>
  <c r="J82" i="5" s="1"/>
  <c r="AR53" i="5"/>
  <c r="J83" i="5" s="1"/>
  <c r="AQ53" i="5"/>
  <c r="J84" i="5" s="1"/>
  <c r="AP53" i="5"/>
  <c r="J85" i="5" s="1"/>
  <c r="AO53" i="5"/>
  <c r="J86" i="5" s="1"/>
  <c r="AN53" i="5"/>
  <c r="J87" i="5" s="1"/>
  <c r="AM53" i="5"/>
  <c r="J88" i="5" s="1"/>
  <c r="AL53" i="5"/>
  <c r="J89" i="5" s="1"/>
  <c r="AK53" i="5"/>
  <c r="J90" i="5" s="1"/>
  <c r="AJ53" i="5"/>
  <c r="J91" i="5" s="1"/>
  <c r="AI53" i="5"/>
  <c r="J92" i="5" s="1"/>
  <c r="AH53" i="5"/>
  <c r="J93" i="5" s="1"/>
  <c r="AG53" i="5"/>
  <c r="J94" i="5" s="1"/>
  <c r="AF53" i="5"/>
  <c r="J95" i="5" s="1"/>
  <c r="AE53" i="5"/>
  <c r="J96" i="5" s="1"/>
  <c r="AD53" i="5"/>
  <c r="J97" i="5" s="1"/>
  <c r="AC53" i="5"/>
  <c r="J98" i="5" s="1"/>
  <c r="AB53" i="5"/>
  <c r="J99" i="5" s="1"/>
  <c r="AA53" i="5"/>
  <c r="J100" i="5" s="1"/>
  <c r="Z53" i="5"/>
  <c r="J101" i="5" s="1"/>
  <c r="Y53" i="5"/>
  <c r="J102" i="5" s="1"/>
  <c r="X53" i="5"/>
  <c r="J103" i="5" s="1"/>
  <c r="W53" i="5"/>
  <c r="J104" i="5" s="1"/>
  <c r="V53" i="5"/>
  <c r="J105" i="5" s="1"/>
  <c r="U53" i="5"/>
  <c r="J106" i="5" s="1"/>
  <c r="T53" i="5"/>
  <c r="J107" i="5" s="1"/>
  <c r="S53" i="5"/>
  <c r="J108" i="5" s="1"/>
  <c r="R53" i="5"/>
  <c r="J109" i="5" s="1"/>
  <c r="Q53" i="5"/>
  <c r="J110" i="5" s="1"/>
  <c r="P53" i="5"/>
  <c r="J111" i="5" s="1"/>
  <c r="O53" i="5"/>
  <c r="J112" i="5" s="1"/>
  <c r="N53" i="5"/>
  <c r="J113" i="5" s="1"/>
  <c r="M53" i="5"/>
  <c r="J114" i="5" s="1"/>
  <c r="L53" i="5"/>
  <c r="J115" i="5" s="1"/>
  <c r="K53" i="5"/>
  <c r="J116" i="5" s="1"/>
  <c r="J53" i="5"/>
  <c r="J117" i="5" s="1"/>
  <c r="I53" i="5"/>
  <c r="J118" i="5" s="1"/>
  <c r="H53" i="5"/>
  <c r="J119" i="5" s="1"/>
  <c r="G53" i="5"/>
  <c r="J120" i="5" s="1"/>
  <c r="F53" i="5"/>
  <c r="J121" i="5" s="1"/>
  <c r="E53" i="5"/>
  <c r="J122" i="5" s="1"/>
  <c r="D53" i="5"/>
  <c r="J123" i="5" s="1"/>
  <c r="C53" i="5"/>
  <c r="J124" i="5" s="1"/>
  <c r="B53" i="5"/>
  <c r="J125" i="5" s="1"/>
  <c r="BI52" i="5"/>
  <c r="K66" i="5" s="1"/>
  <c r="BH52" i="5"/>
  <c r="K67" i="5" s="1"/>
  <c r="BG52" i="5"/>
  <c r="K68" i="5" s="1"/>
  <c r="BF52" i="5"/>
  <c r="K69" i="5" s="1"/>
  <c r="BE52" i="5"/>
  <c r="K70" i="5" s="1"/>
  <c r="BD52" i="5"/>
  <c r="K71" i="5" s="1"/>
  <c r="BC52" i="5"/>
  <c r="K72" i="5" s="1"/>
  <c r="BB52" i="5"/>
  <c r="K73" i="5" s="1"/>
  <c r="BA52" i="5"/>
  <c r="K74" i="5" s="1"/>
  <c r="AZ52" i="5"/>
  <c r="K75" i="5" s="1"/>
  <c r="AY52" i="5"/>
  <c r="K76" i="5" s="1"/>
  <c r="AX52" i="5"/>
  <c r="K77" i="5" s="1"/>
  <c r="AW52" i="5"/>
  <c r="K78" i="5" s="1"/>
  <c r="AV52" i="5"/>
  <c r="K79" i="5" s="1"/>
  <c r="AU52" i="5"/>
  <c r="K80" i="5" s="1"/>
  <c r="AT52" i="5"/>
  <c r="K81" i="5" s="1"/>
  <c r="AS52" i="5"/>
  <c r="K82" i="5" s="1"/>
  <c r="AR52" i="5"/>
  <c r="K83" i="5" s="1"/>
  <c r="AQ52" i="5"/>
  <c r="K84" i="5" s="1"/>
  <c r="AP52" i="5"/>
  <c r="K85" i="5" s="1"/>
  <c r="AO52" i="5"/>
  <c r="K86" i="5" s="1"/>
  <c r="AN52" i="5"/>
  <c r="K87" i="5" s="1"/>
  <c r="AM52" i="5"/>
  <c r="K88" i="5" s="1"/>
  <c r="AL52" i="5"/>
  <c r="K89" i="5" s="1"/>
  <c r="AK52" i="5"/>
  <c r="K90" i="5" s="1"/>
  <c r="AJ52" i="5"/>
  <c r="K91" i="5" s="1"/>
  <c r="AI52" i="5"/>
  <c r="K92" i="5" s="1"/>
  <c r="AH52" i="5"/>
  <c r="K93" i="5" s="1"/>
  <c r="AG52" i="5"/>
  <c r="K94" i="5" s="1"/>
  <c r="AF52" i="5"/>
  <c r="K95" i="5" s="1"/>
  <c r="AE52" i="5"/>
  <c r="K96" i="5" s="1"/>
  <c r="AD52" i="5"/>
  <c r="K97" i="5" s="1"/>
  <c r="AC52" i="5"/>
  <c r="K98" i="5" s="1"/>
  <c r="AB52" i="5"/>
  <c r="K99" i="5" s="1"/>
  <c r="AA52" i="5"/>
  <c r="K100" i="5" s="1"/>
  <c r="Z52" i="5"/>
  <c r="K101" i="5" s="1"/>
  <c r="Y52" i="5"/>
  <c r="K102" i="5" s="1"/>
  <c r="X52" i="5"/>
  <c r="K103" i="5" s="1"/>
  <c r="W52" i="5"/>
  <c r="K104" i="5" s="1"/>
  <c r="V52" i="5"/>
  <c r="K105" i="5" s="1"/>
  <c r="U52" i="5"/>
  <c r="K106" i="5" s="1"/>
  <c r="T52" i="5"/>
  <c r="K107" i="5" s="1"/>
  <c r="S52" i="5"/>
  <c r="K108" i="5" s="1"/>
  <c r="R52" i="5"/>
  <c r="K109" i="5" s="1"/>
  <c r="Q52" i="5"/>
  <c r="K110" i="5" s="1"/>
  <c r="P52" i="5"/>
  <c r="K111" i="5" s="1"/>
  <c r="O52" i="5"/>
  <c r="K112" i="5" s="1"/>
  <c r="N52" i="5"/>
  <c r="K113" i="5" s="1"/>
  <c r="M52" i="5"/>
  <c r="K114" i="5" s="1"/>
  <c r="L52" i="5"/>
  <c r="K115" i="5" s="1"/>
  <c r="K52" i="5"/>
  <c r="K116" i="5" s="1"/>
  <c r="J52" i="5"/>
  <c r="K117" i="5" s="1"/>
  <c r="I52" i="5"/>
  <c r="K118" i="5" s="1"/>
  <c r="H52" i="5"/>
  <c r="K119" i="5" s="1"/>
  <c r="G52" i="5"/>
  <c r="K120" i="5" s="1"/>
  <c r="F52" i="5"/>
  <c r="K121" i="5" s="1"/>
  <c r="E52" i="5"/>
  <c r="K122" i="5" s="1"/>
  <c r="D52" i="5"/>
  <c r="K123" i="5" s="1"/>
  <c r="C52" i="5"/>
  <c r="K124" i="5" s="1"/>
  <c r="B52" i="5"/>
  <c r="K125" i="5" s="1"/>
  <c r="BI51" i="5"/>
  <c r="L66" i="5" s="1"/>
  <c r="BH51" i="5"/>
  <c r="L67" i="5" s="1"/>
  <c r="BG51" i="5"/>
  <c r="L68" i="5" s="1"/>
  <c r="BF51" i="5"/>
  <c r="L69" i="5" s="1"/>
  <c r="BE51" i="5"/>
  <c r="L70" i="5" s="1"/>
  <c r="BD51" i="5"/>
  <c r="L71" i="5" s="1"/>
  <c r="BC51" i="5"/>
  <c r="L72" i="5" s="1"/>
  <c r="BB51" i="5"/>
  <c r="L73" i="5" s="1"/>
  <c r="BA51" i="5"/>
  <c r="L74" i="5" s="1"/>
  <c r="AZ51" i="5"/>
  <c r="L75" i="5" s="1"/>
  <c r="AY51" i="5"/>
  <c r="L76" i="5" s="1"/>
  <c r="AX51" i="5"/>
  <c r="L77" i="5" s="1"/>
  <c r="AW51" i="5"/>
  <c r="L78" i="5" s="1"/>
  <c r="AV51" i="5"/>
  <c r="L79" i="5" s="1"/>
  <c r="AU51" i="5"/>
  <c r="L80" i="5" s="1"/>
  <c r="AT51" i="5"/>
  <c r="L81" i="5" s="1"/>
  <c r="AS51" i="5"/>
  <c r="L82" i="5" s="1"/>
  <c r="AR51" i="5"/>
  <c r="L83" i="5" s="1"/>
  <c r="AQ51" i="5"/>
  <c r="L84" i="5" s="1"/>
  <c r="AP51" i="5"/>
  <c r="L85" i="5" s="1"/>
  <c r="AO51" i="5"/>
  <c r="L86" i="5" s="1"/>
  <c r="AN51" i="5"/>
  <c r="L87" i="5" s="1"/>
  <c r="AM51" i="5"/>
  <c r="L88" i="5" s="1"/>
  <c r="AL51" i="5"/>
  <c r="L89" i="5" s="1"/>
  <c r="AK51" i="5"/>
  <c r="L90" i="5" s="1"/>
  <c r="AJ51" i="5"/>
  <c r="L91" i="5" s="1"/>
  <c r="AI51" i="5"/>
  <c r="L92" i="5" s="1"/>
  <c r="AH51" i="5"/>
  <c r="L93" i="5" s="1"/>
  <c r="AG51" i="5"/>
  <c r="L94" i="5" s="1"/>
  <c r="AF51" i="5"/>
  <c r="L95" i="5" s="1"/>
  <c r="AE51" i="5"/>
  <c r="L96" i="5" s="1"/>
  <c r="AD51" i="5"/>
  <c r="L97" i="5" s="1"/>
  <c r="AC51" i="5"/>
  <c r="L98" i="5" s="1"/>
  <c r="AB51" i="5"/>
  <c r="L99" i="5" s="1"/>
  <c r="AA51" i="5"/>
  <c r="L100" i="5" s="1"/>
  <c r="Z51" i="5"/>
  <c r="L101" i="5" s="1"/>
  <c r="Y51" i="5"/>
  <c r="L102" i="5" s="1"/>
  <c r="X51" i="5"/>
  <c r="L103" i="5" s="1"/>
  <c r="W51" i="5"/>
  <c r="L104" i="5" s="1"/>
  <c r="V51" i="5"/>
  <c r="L105" i="5" s="1"/>
  <c r="U51" i="5"/>
  <c r="L106" i="5" s="1"/>
  <c r="T51" i="5"/>
  <c r="L107" i="5" s="1"/>
  <c r="S51" i="5"/>
  <c r="L108" i="5" s="1"/>
  <c r="R51" i="5"/>
  <c r="L109" i="5" s="1"/>
  <c r="Q51" i="5"/>
  <c r="L110" i="5" s="1"/>
  <c r="P51" i="5"/>
  <c r="L111" i="5" s="1"/>
  <c r="O51" i="5"/>
  <c r="L112" i="5" s="1"/>
  <c r="N51" i="5"/>
  <c r="L113" i="5" s="1"/>
  <c r="M51" i="5"/>
  <c r="L114" i="5" s="1"/>
  <c r="L51" i="5"/>
  <c r="L115" i="5" s="1"/>
  <c r="K51" i="5"/>
  <c r="L116" i="5" s="1"/>
  <c r="J51" i="5"/>
  <c r="L117" i="5" s="1"/>
  <c r="I51" i="5"/>
  <c r="L118" i="5" s="1"/>
  <c r="H51" i="5"/>
  <c r="L119" i="5" s="1"/>
  <c r="G51" i="5"/>
  <c r="L120" i="5" s="1"/>
  <c r="F51" i="5"/>
  <c r="L121" i="5" s="1"/>
  <c r="E51" i="5"/>
  <c r="L122" i="5" s="1"/>
  <c r="D51" i="5"/>
  <c r="L123" i="5" s="1"/>
  <c r="C51" i="5"/>
  <c r="L124" i="5" s="1"/>
  <c r="B51" i="5"/>
  <c r="L125" i="5" s="1"/>
  <c r="BI50" i="5"/>
  <c r="M66" i="5" s="1"/>
  <c r="BH50" i="5"/>
  <c r="M67" i="5" s="1"/>
  <c r="BG50" i="5"/>
  <c r="M68" i="5" s="1"/>
  <c r="BF50" i="5"/>
  <c r="M69" i="5" s="1"/>
  <c r="BE50" i="5"/>
  <c r="M70" i="5" s="1"/>
  <c r="BD50" i="5"/>
  <c r="M71" i="5" s="1"/>
  <c r="BC50" i="5"/>
  <c r="M72" i="5" s="1"/>
  <c r="BB50" i="5"/>
  <c r="M73" i="5" s="1"/>
  <c r="BA50" i="5"/>
  <c r="M74" i="5" s="1"/>
  <c r="AZ50" i="5"/>
  <c r="M75" i="5" s="1"/>
  <c r="AY50" i="5"/>
  <c r="M76" i="5" s="1"/>
  <c r="AX50" i="5"/>
  <c r="M77" i="5" s="1"/>
  <c r="AW50" i="5"/>
  <c r="M78" i="5" s="1"/>
  <c r="AV50" i="5"/>
  <c r="M79" i="5" s="1"/>
  <c r="AU50" i="5"/>
  <c r="M80" i="5" s="1"/>
  <c r="AT50" i="5"/>
  <c r="M81" i="5" s="1"/>
  <c r="AS50" i="5"/>
  <c r="M82" i="5" s="1"/>
  <c r="AR50" i="5"/>
  <c r="M83" i="5" s="1"/>
  <c r="AQ50" i="5"/>
  <c r="M84" i="5" s="1"/>
  <c r="AP50" i="5"/>
  <c r="M85" i="5" s="1"/>
  <c r="AO50" i="5"/>
  <c r="M86" i="5" s="1"/>
  <c r="AN50" i="5"/>
  <c r="M87" i="5" s="1"/>
  <c r="AM50" i="5"/>
  <c r="M88" i="5" s="1"/>
  <c r="AL50" i="5"/>
  <c r="M89" i="5" s="1"/>
  <c r="AK50" i="5"/>
  <c r="M90" i="5" s="1"/>
  <c r="AJ50" i="5"/>
  <c r="M91" i="5" s="1"/>
  <c r="AI50" i="5"/>
  <c r="M92" i="5" s="1"/>
  <c r="AH50" i="5"/>
  <c r="M93" i="5" s="1"/>
  <c r="AG50" i="5"/>
  <c r="M94" i="5" s="1"/>
  <c r="AF50" i="5"/>
  <c r="M95" i="5" s="1"/>
  <c r="AE50" i="5"/>
  <c r="M96" i="5" s="1"/>
  <c r="AD50" i="5"/>
  <c r="M97" i="5" s="1"/>
  <c r="AC50" i="5"/>
  <c r="M98" i="5" s="1"/>
  <c r="AB50" i="5"/>
  <c r="M99" i="5" s="1"/>
  <c r="AA50" i="5"/>
  <c r="M100" i="5" s="1"/>
  <c r="Z50" i="5"/>
  <c r="M101" i="5" s="1"/>
  <c r="Y50" i="5"/>
  <c r="M102" i="5" s="1"/>
  <c r="X50" i="5"/>
  <c r="M103" i="5" s="1"/>
  <c r="W50" i="5"/>
  <c r="M104" i="5" s="1"/>
  <c r="V50" i="5"/>
  <c r="M105" i="5" s="1"/>
  <c r="U50" i="5"/>
  <c r="M106" i="5" s="1"/>
  <c r="T50" i="5"/>
  <c r="M107" i="5" s="1"/>
  <c r="S50" i="5"/>
  <c r="M108" i="5" s="1"/>
  <c r="R50" i="5"/>
  <c r="M109" i="5" s="1"/>
  <c r="Q50" i="5"/>
  <c r="M110" i="5" s="1"/>
  <c r="P50" i="5"/>
  <c r="M111" i="5" s="1"/>
  <c r="O50" i="5"/>
  <c r="M112" i="5" s="1"/>
  <c r="N50" i="5"/>
  <c r="M113" i="5" s="1"/>
  <c r="M50" i="5"/>
  <c r="M114" i="5" s="1"/>
  <c r="L50" i="5"/>
  <c r="M115" i="5" s="1"/>
  <c r="K50" i="5"/>
  <c r="M116" i="5" s="1"/>
  <c r="J50" i="5"/>
  <c r="M117" i="5" s="1"/>
  <c r="I50" i="5"/>
  <c r="M118" i="5" s="1"/>
  <c r="H50" i="5"/>
  <c r="M119" i="5" s="1"/>
  <c r="G50" i="5"/>
  <c r="M120" i="5" s="1"/>
  <c r="F50" i="5"/>
  <c r="M121" i="5" s="1"/>
  <c r="E50" i="5"/>
  <c r="M122" i="5" s="1"/>
  <c r="D50" i="5"/>
  <c r="M123" i="5" s="1"/>
  <c r="C50" i="5"/>
  <c r="M124" i="5" s="1"/>
  <c r="B50" i="5"/>
  <c r="M125" i="5" s="1"/>
  <c r="BI49" i="5"/>
  <c r="N66" i="5" s="1"/>
  <c r="BH49" i="5"/>
  <c r="N67" i="5" s="1"/>
  <c r="BG49" i="5"/>
  <c r="N68" i="5" s="1"/>
  <c r="BF49" i="5"/>
  <c r="N69" i="5" s="1"/>
  <c r="BE49" i="5"/>
  <c r="N70" i="5" s="1"/>
  <c r="BD49" i="5"/>
  <c r="N71" i="5" s="1"/>
  <c r="BC49" i="5"/>
  <c r="N72" i="5" s="1"/>
  <c r="BB49" i="5"/>
  <c r="N73" i="5" s="1"/>
  <c r="BA49" i="5"/>
  <c r="N74" i="5" s="1"/>
  <c r="AZ49" i="5"/>
  <c r="N75" i="5" s="1"/>
  <c r="AY49" i="5"/>
  <c r="N76" i="5" s="1"/>
  <c r="AX49" i="5"/>
  <c r="N77" i="5" s="1"/>
  <c r="AW49" i="5"/>
  <c r="N78" i="5" s="1"/>
  <c r="AV49" i="5"/>
  <c r="N79" i="5" s="1"/>
  <c r="AU49" i="5"/>
  <c r="N80" i="5" s="1"/>
  <c r="AT49" i="5"/>
  <c r="N81" i="5" s="1"/>
  <c r="AS49" i="5"/>
  <c r="N82" i="5" s="1"/>
  <c r="AR49" i="5"/>
  <c r="N83" i="5" s="1"/>
  <c r="AQ49" i="5"/>
  <c r="N84" i="5" s="1"/>
  <c r="AP49" i="5"/>
  <c r="N85" i="5" s="1"/>
  <c r="AO49" i="5"/>
  <c r="N86" i="5" s="1"/>
  <c r="AN49" i="5"/>
  <c r="N87" i="5" s="1"/>
  <c r="AM49" i="5"/>
  <c r="N88" i="5" s="1"/>
  <c r="AL49" i="5"/>
  <c r="N89" i="5" s="1"/>
  <c r="AK49" i="5"/>
  <c r="N90" i="5" s="1"/>
  <c r="AJ49" i="5"/>
  <c r="N91" i="5" s="1"/>
  <c r="AI49" i="5"/>
  <c r="N92" i="5" s="1"/>
  <c r="AH49" i="5"/>
  <c r="N93" i="5" s="1"/>
  <c r="AG49" i="5"/>
  <c r="N94" i="5" s="1"/>
  <c r="AF49" i="5"/>
  <c r="N95" i="5" s="1"/>
  <c r="AE49" i="5"/>
  <c r="N96" i="5" s="1"/>
  <c r="AD49" i="5"/>
  <c r="N97" i="5" s="1"/>
  <c r="AC49" i="5"/>
  <c r="N98" i="5" s="1"/>
  <c r="AB49" i="5"/>
  <c r="N99" i="5" s="1"/>
  <c r="AA49" i="5"/>
  <c r="N100" i="5" s="1"/>
  <c r="Z49" i="5"/>
  <c r="N101" i="5" s="1"/>
  <c r="Y49" i="5"/>
  <c r="N102" i="5" s="1"/>
  <c r="X49" i="5"/>
  <c r="N103" i="5" s="1"/>
  <c r="W49" i="5"/>
  <c r="N104" i="5" s="1"/>
  <c r="V49" i="5"/>
  <c r="N105" i="5" s="1"/>
  <c r="U49" i="5"/>
  <c r="N106" i="5" s="1"/>
  <c r="T49" i="5"/>
  <c r="N107" i="5" s="1"/>
  <c r="S49" i="5"/>
  <c r="N108" i="5" s="1"/>
  <c r="R49" i="5"/>
  <c r="N109" i="5" s="1"/>
  <c r="Q49" i="5"/>
  <c r="N110" i="5" s="1"/>
  <c r="P49" i="5"/>
  <c r="N111" i="5" s="1"/>
  <c r="O49" i="5"/>
  <c r="N112" i="5" s="1"/>
  <c r="N49" i="5"/>
  <c r="N113" i="5" s="1"/>
  <c r="M49" i="5"/>
  <c r="N114" i="5" s="1"/>
  <c r="L49" i="5"/>
  <c r="N115" i="5" s="1"/>
  <c r="K49" i="5"/>
  <c r="N116" i="5" s="1"/>
  <c r="J49" i="5"/>
  <c r="N117" i="5" s="1"/>
  <c r="I49" i="5"/>
  <c r="N118" i="5" s="1"/>
  <c r="H49" i="5"/>
  <c r="N119" i="5" s="1"/>
  <c r="G49" i="5"/>
  <c r="N120" i="5" s="1"/>
  <c r="F49" i="5"/>
  <c r="N121" i="5" s="1"/>
  <c r="E49" i="5"/>
  <c r="N122" i="5" s="1"/>
  <c r="D49" i="5"/>
  <c r="N123" i="5" s="1"/>
  <c r="C49" i="5"/>
  <c r="N124" i="5" s="1"/>
  <c r="B49" i="5"/>
  <c r="N125" i="5" s="1"/>
  <c r="BI48" i="5"/>
  <c r="O66" i="5" s="1"/>
  <c r="BH48" i="5"/>
  <c r="O67" i="5" s="1"/>
  <c r="BG48" i="5"/>
  <c r="O68" i="5" s="1"/>
  <c r="BF48" i="5"/>
  <c r="O69" i="5" s="1"/>
  <c r="BE48" i="5"/>
  <c r="O70" i="5" s="1"/>
  <c r="BD48" i="5"/>
  <c r="O71" i="5" s="1"/>
  <c r="BC48" i="5"/>
  <c r="O72" i="5" s="1"/>
  <c r="BB48" i="5"/>
  <c r="O73" i="5" s="1"/>
  <c r="BA48" i="5"/>
  <c r="O74" i="5" s="1"/>
  <c r="AZ48" i="5"/>
  <c r="O75" i="5" s="1"/>
  <c r="AY48" i="5"/>
  <c r="O76" i="5" s="1"/>
  <c r="AX48" i="5"/>
  <c r="O77" i="5" s="1"/>
  <c r="AW48" i="5"/>
  <c r="O78" i="5" s="1"/>
  <c r="AV48" i="5"/>
  <c r="O79" i="5" s="1"/>
  <c r="AU48" i="5"/>
  <c r="O80" i="5" s="1"/>
  <c r="AT48" i="5"/>
  <c r="O81" i="5" s="1"/>
  <c r="AS48" i="5"/>
  <c r="O82" i="5" s="1"/>
  <c r="AR48" i="5"/>
  <c r="O83" i="5" s="1"/>
  <c r="AQ48" i="5"/>
  <c r="O84" i="5" s="1"/>
  <c r="AP48" i="5"/>
  <c r="O85" i="5" s="1"/>
  <c r="AO48" i="5"/>
  <c r="O86" i="5" s="1"/>
  <c r="AN48" i="5"/>
  <c r="O87" i="5" s="1"/>
  <c r="AM48" i="5"/>
  <c r="O88" i="5" s="1"/>
  <c r="AL48" i="5"/>
  <c r="O89" i="5" s="1"/>
  <c r="AK48" i="5"/>
  <c r="O90" i="5" s="1"/>
  <c r="AJ48" i="5"/>
  <c r="O91" i="5" s="1"/>
  <c r="AI48" i="5"/>
  <c r="O92" i="5" s="1"/>
  <c r="AH48" i="5"/>
  <c r="O93" i="5" s="1"/>
  <c r="AG48" i="5"/>
  <c r="O94" i="5" s="1"/>
  <c r="AF48" i="5"/>
  <c r="O95" i="5" s="1"/>
  <c r="AE48" i="5"/>
  <c r="O96" i="5" s="1"/>
  <c r="AD48" i="5"/>
  <c r="O97" i="5" s="1"/>
  <c r="AC48" i="5"/>
  <c r="O98" i="5" s="1"/>
  <c r="AB48" i="5"/>
  <c r="O99" i="5" s="1"/>
  <c r="AA48" i="5"/>
  <c r="O100" i="5" s="1"/>
  <c r="Z48" i="5"/>
  <c r="O101" i="5" s="1"/>
  <c r="Y48" i="5"/>
  <c r="O102" i="5" s="1"/>
  <c r="X48" i="5"/>
  <c r="O103" i="5" s="1"/>
  <c r="W48" i="5"/>
  <c r="O104" i="5" s="1"/>
  <c r="V48" i="5"/>
  <c r="O105" i="5" s="1"/>
  <c r="U48" i="5"/>
  <c r="O106" i="5" s="1"/>
  <c r="T48" i="5"/>
  <c r="O107" i="5" s="1"/>
  <c r="S48" i="5"/>
  <c r="O108" i="5" s="1"/>
  <c r="R48" i="5"/>
  <c r="O109" i="5" s="1"/>
  <c r="Q48" i="5"/>
  <c r="O110" i="5" s="1"/>
  <c r="P48" i="5"/>
  <c r="O111" i="5" s="1"/>
  <c r="O48" i="5"/>
  <c r="O112" i="5" s="1"/>
  <c r="N48" i="5"/>
  <c r="O113" i="5" s="1"/>
  <c r="M48" i="5"/>
  <c r="O114" i="5" s="1"/>
  <c r="L48" i="5"/>
  <c r="O115" i="5" s="1"/>
  <c r="K48" i="5"/>
  <c r="O116" i="5" s="1"/>
  <c r="J48" i="5"/>
  <c r="O117" i="5" s="1"/>
  <c r="I48" i="5"/>
  <c r="O118" i="5" s="1"/>
  <c r="H48" i="5"/>
  <c r="O119" i="5" s="1"/>
  <c r="G48" i="5"/>
  <c r="O120" i="5" s="1"/>
  <c r="F48" i="5"/>
  <c r="O121" i="5" s="1"/>
  <c r="E48" i="5"/>
  <c r="O122" i="5" s="1"/>
  <c r="D48" i="5"/>
  <c r="O123" i="5" s="1"/>
  <c r="C48" i="5"/>
  <c r="O124" i="5" s="1"/>
  <c r="B48" i="5"/>
  <c r="O125" i="5" s="1"/>
  <c r="BI47" i="5"/>
  <c r="P66" i="5" s="1"/>
  <c r="BH47" i="5"/>
  <c r="P67" i="5" s="1"/>
  <c r="BG47" i="5"/>
  <c r="P68" i="5" s="1"/>
  <c r="BF47" i="5"/>
  <c r="P69" i="5" s="1"/>
  <c r="BE47" i="5"/>
  <c r="P70" i="5" s="1"/>
  <c r="BD47" i="5"/>
  <c r="P71" i="5" s="1"/>
  <c r="BC47" i="5"/>
  <c r="P72" i="5" s="1"/>
  <c r="BB47" i="5"/>
  <c r="P73" i="5" s="1"/>
  <c r="BA47" i="5"/>
  <c r="P74" i="5" s="1"/>
  <c r="AZ47" i="5"/>
  <c r="P75" i="5" s="1"/>
  <c r="AY47" i="5"/>
  <c r="P76" i="5" s="1"/>
  <c r="AX47" i="5"/>
  <c r="P77" i="5" s="1"/>
  <c r="AW47" i="5"/>
  <c r="P78" i="5" s="1"/>
  <c r="AV47" i="5"/>
  <c r="P79" i="5" s="1"/>
  <c r="AU47" i="5"/>
  <c r="P80" i="5" s="1"/>
  <c r="AT47" i="5"/>
  <c r="P81" i="5" s="1"/>
  <c r="AS47" i="5"/>
  <c r="P82" i="5" s="1"/>
  <c r="AR47" i="5"/>
  <c r="P83" i="5" s="1"/>
  <c r="AQ47" i="5"/>
  <c r="P84" i="5" s="1"/>
  <c r="AP47" i="5"/>
  <c r="P85" i="5" s="1"/>
  <c r="AO47" i="5"/>
  <c r="P86" i="5" s="1"/>
  <c r="AN47" i="5"/>
  <c r="P87" i="5" s="1"/>
  <c r="AM47" i="5"/>
  <c r="P88" i="5" s="1"/>
  <c r="AL47" i="5"/>
  <c r="P89" i="5" s="1"/>
  <c r="AK47" i="5"/>
  <c r="P90" i="5" s="1"/>
  <c r="AJ47" i="5"/>
  <c r="P91" i="5" s="1"/>
  <c r="AI47" i="5"/>
  <c r="P92" i="5" s="1"/>
  <c r="AH47" i="5"/>
  <c r="P93" i="5" s="1"/>
  <c r="AG47" i="5"/>
  <c r="P94" i="5" s="1"/>
  <c r="AF47" i="5"/>
  <c r="P95" i="5" s="1"/>
  <c r="AE47" i="5"/>
  <c r="P96" i="5" s="1"/>
  <c r="AD47" i="5"/>
  <c r="P97" i="5" s="1"/>
  <c r="AC47" i="5"/>
  <c r="P98" i="5" s="1"/>
  <c r="AB47" i="5"/>
  <c r="P99" i="5" s="1"/>
  <c r="AA47" i="5"/>
  <c r="P100" i="5" s="1"/>
  <c r="Z47" i="5"/>
  <c r="P101" i="5" s="1"/>
  <c r="Y47" i="5"/>
  <c r="P102" i="5" s="1"/>
  <c r="X47" i="5"/>
  <c r="P103" i="5" s="1"/>
  <c r="W47" i="5"/>
  <c r="P104" i="5" s="1"/>
  <c r="V47" i="5"/>
  <c r="P105" i="5" s="1"/>
  <c r="U47" i="5"/>
  <c r="P106" i="5" s="1"/>
  <c r="T47" i="5"/>
  <c r="P107" i="5" s="1"/>
  <c r="S47" i="5"/>
  <c r="P108" i="5" s="1"/>
  <c r="R47" i="5"/>
  <c r="P109" i="5" s="1"/>
  <c r="Q47" i="5"/>
  <c r="P110" i="5" s="1"/>
  <c r="P47" i="5"/>
  <c r="P111" i="5" s="1"/>
  <c r="O47" i="5"/>
  <c r="P112" i="5" s="1"/>
  <c r="N47" i="5"/>
  <c r="P113" i="5" s="1"/>
  <c r="M47" i="5"/>
  <c r="P114" i="5" s="1"/>
  <c r="L47" i="5"/>
  <c r="P115" i="5" s="1"/>
  <c r="K47" i="5"/>
  <c r="P116" i="5" s="1"/>
  <c r="J47" i="5"/>
  <c r="P117" i="5" s="1"/>
  <c r="I47" i="5"/>
  <c r="P118" i="5" s="1"/>
  <c r="H47" i="5"/>
  <c r="P119" i="5" s="1"/>
  <c r="G47" i="5"/>
  <c r="P120" i="5" s="1"/>
  <c r="F47" i="5"/>
  <c r="P121" i="5" s="1"/>
  <c r="E47" i="5"/>
  <c r="P122" i="5" s="1"/>
  <c r="D47" i="5"/>
  <c r="P123" i="5" s="1"/>
  <c r="C47" i="5"/>
  <c r="P124" i="5" s="1"/>
  <c r="B47" i="5"/>
  <c r="P125" i="5" s="1"/>
  <c r="BI46" i="5"/>
  <c r="Q66" i="5" s="1"/>
  <c r="BH46" i="5"/>
  <c r="Q67" i="5" s="1"/>
  <c r="BG46" i="5"/>
  <c r="Q68" i="5" s="1"/>
  <c r="BF46" i="5"/>
  <c r="Q69" i="5" s="1"/>
  <c r="BE46" i="5"/>
  <c r="Q70" i="5" s="1"/>
  <c r="BD46" i="5"/>
  <c r="Q71" i="5" s="1"/>
  <c r="BC46" i="5"/>
  <c r="Q72" i="5" s="1"/>
  <c r="BB46" i="5"/>
  <c r="Q73" i="5" s="1"/>
  <c r="BA46" i="5"/>
  <c r="Q74" i="5" s="1"/>
  <c r="AZ46" i="5"/>
  <c r="Q75" i="5" s="1"/>
  <c r="AY46" i="5"/>
  <c r="Q76" i="5" s="1"/>
  <c r="AX46" i="5"/>
  <c r="Q77" i="5" s="1"/>
  <c r="AW46" i="5"/>
  <c r="Q78" i="5" s="1"/>
  <c r="AV46" i="5"/>
  <c r="Q79" i="5" s="1"/>
  <c r="AU46" i="5"/>
  <c r="Q80" i="5" s="1"/>
  <c r="AT46" i="5"/>
  <c r="Q81" i="5" s="1"/>
  <c r="AS46" i="5"/>
  <c r="Q82" i="5" s="1"/>
  <c r="AR46" i="5"/>
  <c r="Q83" i="5" s="1"/>
  <c r="AQ46" i="5"/>
  <c r="Q84" i="5" s="1"/>
  <c r="AP46" i="5"/>
  <c r="Q85" i="5" s="1"/>
  <c r="AO46" i="5"/>
  <c r="Q86" i="5" s="1"/>
  <c r="AN46" i="5"/>
  <c r="Q87" i="5" s="1"/>
  <c r="AM46" i="5"/>
  <c r="Q88" i="5" s="1"/>
  <c r="AL46" i="5"/>
  <c r="Q89" i="5" s="1"/>
  <c r="AK46" i="5"/>
  <c r="Q90" i="5" s="1"/>
  <c r="AJ46" i="5"/>
  <c r="Q91" i="5" s="1"/>
  <c r="AI46" i="5"/>
  <c r="Q92" i="5" s="1"/>
  <c r="AH46" i="5"/>
  <c r="Q93" i="5" s="1"/>
  <c r="AG46" i="5"/>
  <c r="Q94" i="5" s="1"/>
  <c r="AF46" i="5"/>
  <c r="Q95" i="5" s="1"/>
  <c r="AE46" i="5"/>
  <c r="Q96" i="5" s="1"/>
  <c r="AD46" i="5"/>
  <c r="Q97" i="5" s="1"/>
  <c r="AC46" i="5"/>
  <c r="Q98" i="5" s="1"/>
  <c r="AB46" i="5"/>
  <c r="Q99" i="5" s="1"/>
  <c r="AA46" i="5"/>
  <c r="Q100" i="5" s="1"/>
  <c r="Z46" i="5"/>
  <c r="Q101" i="5" s="1"/>
  <c r="Y46" i="5"/>
  <c r="Q102" i="5" s="1"/>
  <c r="X46" i="5"/>
  <c r="Q103" i="5" s="1"/>
  <c r="W46" i="5"/>
  <c r="Q104" i="5" s="1"/>
  <c r="V46" i="5"/>
  <c r="Q105" i="5" s="1"/>
  <c r="U46" i="5"/>
  <c r="Q106" i="5" s="1"/>
  <c r="T46" i="5"/>
  <c r="Q107" i="5" s="1"/>
  <c r="S46" i="5"/>
  <c r="Q108" i="5" s="1"/>
  <c r="R46" i="5"/>
  <c r="Q109" i="5" s="1"/>
  <c r="Q46" i="5"/>
  <c r="Q110" i="5" s="1"/>
  <c r="P46" i="5"/>
  <c r="Q111" i="5" s="1"/>
  <c r="O46" i="5"/>
  <c r="Q112" i="5" s="1"/>
  <c r="N46" i="5"/>
  <c r="Q113" i="5" s="1"/>
  <c r="M46" i="5"/>
  <c r="Q114" i="5" s="1"/>
  <c r="L46" i="5"/>
  <c r="Q115" i="5" s="1"/>
  <c r="K46" i="5"/>
  <c r="Q116" i="5" s="1"/>
  <c r="J46" i="5"/>
  <c r="Q117" i="5" s="1"/>
  <c r="I46" i="5"/>
  <c r="Q118" i="5" s="1"/>
  <c r="H46" i="5"/>
  <c r="Q119" i="5" s="1"/>
  <c r="G46" i="5"/>
  <c r="Q120" i="5" s="1"/>
  <c r="F46" i="5"/>
  <c r="Q121" i="5" s="1"/>
  <c r="E46" i="5"/>
  <c r="Q122" i="5" s="1"/>
  <c r="D46" i="5"/>
  <c r="Q123" i="5" s="1"/>
  <c r="C46" i="5"/>
  <c r="Q124" i="5" s="1"/>
  <c r="B46" i="5"/>
  <c r="Q125" i="5" s="1"/>
  <c r="BI45" i="5"/>
  <c r="R66" i="5" s="1"/>
  <c r="BH45" i="5"/>
  <c r="R67" i="5" s="1"/>
  <c r="BG45" i="5"/>
  <c r="R68" i="5" s="1"/>
  <c r="BF45" i="5"/>
  <c r="R69" i="5" s="1"/>
  <c r="BE45" i="5"/>
  <c r="R70" i="5" s="1"/>
  <c r="BD45" i="5"/>
  <c r="R71" i="5" s="1"/>
  <c r="BC45" i="5"/>
  <c r="R72" i="5" s="1"/>
  <c r="BB45" i="5"/>
  <c r="R73" i="5" s="1"/>
  <c r="BA45" i="5"/>
  <c r="R74" i="5" s="1"/>
  <c r="AZ45" i="5"/>
  <c r="R75" i="5" s="1"/>
  <c r="AY45" i="5"/>
  <c r="R76" i="5" s="1"/>
  <c r="AX45" i="5"/>
  <c r="R77" i="5" s="1"/>
  <c r="AW45" i="5"/>
  <c r="R78" i="5" s="1"/>
  <c r="AV45" i="5"/>
  <c r="R79" i="5" s="1"/>
  <c r="AU45" i="5"/>
  <c r="R80" i="5" s="1"/>
  <c r="AT45" i="5"/>
  <c r="R81" i="5" s="1"/>
  <c r="AS45" i="5"/>
  <c r="R82" i="5" s="1"/>
  <c r="AR45" i="5"/>
  <c r="R83" i="5" s="1"/>
  <c r="AQ45" i="5"/>
  <c r="R84" i="5" s="1"/>
  <c r="AP45" i="5"/>
  <c r="R85" i="5" s="1"/>
  <c r="AO45" i="5"/>
  <c r="R86" i="5" s="1"/>
  <c r="AN45" i="5"/>
  <c r="R87" i="5" s="1"/>
  <c r="AM45" i="5"/>
  <c r="R88" i="5" s="1"/>
  <c r="AL45" i="5"/>
  <c r="R89" i="5" s="1"/>
  <c r="AK45" i="5"/>
  <c r="R90" i="5" s="1"/>
  <c r="AJ45" i="5"/>
  <c r="R91" i="5" s="1"/>
  <c r="AI45" i="5"/>
  <c r="R92" i="5" s="1"/>
  <c r="AH45" i="5"/>
  <c r="R93" i="5" s="1"/>
  <c r="AG45" i="5"/>
  <c r="R94" i="5" s="1"/>
  <c r="AF45" i="5"/>
  <c r="R95" i="5" s="1"/>
  <c r="AE45" i="5"/>
  <c r="R96" i="5" s="1"/>
  <c r="AD45" i="5"/>
  <c r="R97" i="5" s="1"/>
  <c r="AC45" i="5"/>
  <c r="R98" i="5" s="1"/>
  <c r="AB45" i="5"/>
  <c r="R99" i="5" s="1"/>
  <c r="AA45" i="5"/>
  <c r="R100" i="5" s="1"/>
  <c r="Z45" i="5"/>
  <c r="R101" i="5" s="1"/>
  <c r="Y45" i="5"/>
  <c r="R102" i="5" s="1"/>
  <c r="X45" i="5"/>
  <c r="R103" i="5" s="1"/>
  <c r="W45" i="5"/>
  <c r="R104" i="5" s="1"/>
  <c r="V45" i="5"/>
  <c r="R105" i="5" s="1"/>
  <c r="U45" i="5"/>
  <c r="R106" i="5" s="1"/>
  <c r="T45" i="5"/>
  <c r="R107" i="5" s="1"/>
  <c r="S45" i="5"/>
  <c r="R108" i="5" s="1"/>
  <c r="R45" i="5"/>
  <c r="R109" i="5" s="1"/>
  <c r="Q45" i="5"/>
  <c r="R110" i="5" s="1"/>
  <c r="P45" i="5"/>
  <c r="R111" i="5" s="1"/>
  <c r="O45" i="5"/>
  <c r="R112" i="5" s="1"/>
  <c r="N45" i="5"/>
  <c r="R113" i="5" s="1"/>
  <c r="M45" i="5"/>
  <c r="R114" i="5" s="1"/>
  <c r="L45" i="5"/>
  <c r="R115" i="5" s="1"/>
  <c r="K45" i="5"/>
  <c r="R116" i="5" s="1"/>
  <c r="J45" i="5"/>
  <c r="R117" i="5" s="1"/>
  <c r="I45" i="5"/>
  <c r="R118" i="5" s="1"/>
  <c r="H45" i="5"/>
  <c r="R119" i="5" s="1"/>
  <c r="G45" i="5"/>
  <c r="R120" i="5" s="1"/>
  <c r="F45" i="5"/>
  <c r="R121" i="5" s="1"/>
  <c r="E45" i="5"/>
  <c r="R122" i="5" s="1"/>
  <c r="D45" i="5"/>
  <c r="R123" i="5" s="1"/>
  <c r="C45" i="5"/>
  <c r="R124" i="5" s="1"/>
  <c r="B45" i="5"/>
  <c r="R125" i="5" s="1"/>
  <c r="BI44" i="5"/>
  <c r="S66" i="5" s="1"/>
  <c r="BH44" i="5"/>
  <c r="S67" i="5" s="1"/>
  <c r="BG44" i="5"/>
  <c r="S68" i="5" s="1"/>
  <c r="BF44" i="5"/>
  <c r="S69" i="5" s="1"/>
  <c r="BE44" i="5"/>
  <c r="S70" i="5" s="1"/>
  <c r="BD44" i="5"/>
  <c r="S71" i="5" s="1"/>
  <c r="BC44" i="5"/>
  <c r="S72" i="5" s="1"/>
  <c r="BB44" i="5"/>
  <c r="S73" i="5" s="1"/>
  <c r="BA44" i="5"/>
  <c r="S74" i="5" s="1"/>
  <c r="AZ44" i="5"/>
  <c r="S75" i="5" s="1"/>
  <c r="AY44" i="5"/>
  <c r="S76" i="5" s="1"/>
  <c r="AX44" i="5"/>
  <c r="S77" i="5" s="1"/>
  <c r="AW44" i="5"/>
  <c r="S78" i="5" s="1"/>
  <c r="AV44" i="5"/>
  <c r="S79" i="5" s="1"/>
  <c r="AU44" i="5"/>
  <c r="S80" i="5" s="1"/>
  <c r="AT44" i="5"/>
  <c r="S81" i="5" s="1"/>
  <c r="AS44" i="5"/>
  <c r="S82" i="5" s="1"/>
  <c r="AR44" i="5"/>
  <c r="S83" i="5" s="1"/>
  <c r="AQ44" i="5"/>
  <c r="S84" i="5" s="1"/>
  <c r="AP44" i="5"/>
  <c r="S85" i="5" s="1"/>
  <c r="AO44" i="5"/>
  <c r="S86" i="5" s="1"/>
  <c r="AN44" i="5"/>
  <c r="S87" i="5" s="1"/>
  <c r="AM44" i="5"/>
  <c r="S88" i="5" s="1"/>
  <c r="AL44" i="5"/>
  <c r="S89" i="5" s="1"/>
  <c r="AK44" i="5"/>
  <c r="S90" i="5" s="1"/>
  <c r="AJ44" i="5"/>
  <c r="S91" i="5" s="1"/>
  <c r="AI44" i="5"/>
  <c r="S92" i="5" s="1"/>
  <c r="AH44" i="5"/>
  <c r="S93" i="5" s="1"/>
  <c r="AG44" i="5"/>
  <c r="S94" i="5" s="1"/>
  <c r="AF44" i="5"/>
  <c r="S95" i="5" s="1"/>
  <c r="AE44" i="5"/>
  <c r="S96" i="5" s="1"/>
  <c r="AD44" i="5"/>
  <c r="S97" i="5" s="1"/>
  <c r="AC44" i="5"/>
  <c r="S98" i="5" s="1"/>
  <c r="AB44" i="5"/>
  <c r="S99" i="5" s="1"/>
  <c r="AA44" i="5"/>
  <c r="S100" i="5" s="1"/>
  <c r="Z44" i="5"/>
  <c r="S101" i="5" s="1"/>
  <c r="Y44" i="5"/>
  <c r="S102" i="5" s="1"/>
  <c r="X44" i="5"/>
  <c r="S103" i="5" s="1"/>
  <c r="W44" i="5"/>
  <c r="S104" i="5" s="1"/>
  <c r="V44" i="5"/>
  <c r="S105" i="5" s="1"/>
  <c r="U44" i="5"/>
  <c r="S106" i="5" s="1"/>
  <c r="T44" i="5"/>
  <c r="S107" i="5" s="1"/>
  <c r="S44" i="5"/>
  <c r="S108" i="5" s="1"/>
  <c r="R44" i="5"/>
  <c r="S109" i="5" s="1"/>
  <c r="Q44" i="5"/>
  <c r="S110" i="5" s="1"/>
  <c r="P44" i="5"/>
  <c r="S111" i="5" s="1"/>
  <c r="O44" i="5"/>
  <c r="S112" i="5" s="1"/>
  <c r="N44" i="5"/>
  <c r="S113" i="5" s="1"/>
  <c r="M44" i="5"/>
  <c r="S114" i="5" s="1"/>
  <c r="L44" i="5"/>
  <c r="S115" i="5" s="1"/>
  <c r="K44" i="5"/>
  <c r="S116" i="5" s="1"/>
  <c r="J44" i="5"/>
  <c r="S117" i="5" s="1"/>
  <c r="I44" i="5"/>
  <c r="S118" i="5" s="1"/>
  <c r="H44" i="5"/>
  <c r="S119" i="5" s="1"/>
  <c r="G44" i="5"/>
  <c r="S120" i="5" s="1"/>
  <c r="F44" i="5"/>
  <c r="S121" i="5" s="1"/>
  <c r="E44" i="5"/>
  <c r="S122" i="5" s="1"/>
  <c r="D44" i="5"/>
  <c r="S123" i="5" s="1"/>
  <c r="C44" i="5"/>
  <c r="S124" i="5" s="1"/>
  <c r="B44" i="5"/>
  <c r="S125" i="5" s="1"/>
  <c r="BI43" i="5"/>
  <c r="T66" i="5" s="1"/>
  <c r="BH43" i="5"/>
  <c r="T67" i="5" s="1"/>
  <c r="BG43" i="5"/>
  <c r="T68" i="5" s="1"/>
  <c r="BF43" i="5"/>
  <c r="T69" i="5" s="1"/>
  <c r="BE43" i="5"/>
  <c r="T70" i="5" s="1"/>
  <c r="BD43" i="5"/>
  <c r="T71" i="5" s="1"/>
  <c r="BC43" i="5"/>
  <c r="T72" i="5" s="1"/>
  <c r="BB43" i="5"/>
  <c r="T73" i="5" s="1"/>
  <c r="BA43" i="5"/>
  <c r="T74" i="5" s="1"/>
  <c r="AZ43" i="5"/>
  <c r="T75" i="5" s="1"/>
  <c r="AY43" i="5"/>
  <c r="T76" i="5" s="1"/>
  <c r="AX43" i="5"/>
  <c r="T77" i="5" s="1"/>
  <c r="AW43" i="5"/>
  <c r="T78" i="5" s="1"/>
  <c r="AV43" i="5"/>
  <c r="T79" i="5" s="1"/>
  <c r="AU43" i="5"/>
  <c r="T80" i="5" s="1"/>
  <c r="AT43" i="5"/>
  <c r="T81" i="5" s="1"/>
  <c r="AS43" i="5"/>
  <c r="T82" i="5" s="1"/>
  <c r="AR43" i="5"/>
  <c r="T83" i="5" s="1"/>
  <c r="AQ43" i="5"/>
  <c r="T84" i="5" s="1"/>
  <c r="AP43" i="5"/>
  <c r="T85" i="5" s="1"/>
  <c r="AO43" i="5"/>
  <c r="T86" i="5" s="1"/>
  <c r="AN43" i="5"/>
  <c r="T87" i="5" s="1"/>
  <c r="AM43" i="5"/>
  <c r="T88" i="5" s="1"/>
  <c r="AL43" i="5"/>
  <c r="T89" i="5" s="1"/>
  <c r="AK43" i="5"/>
  <c r="T90" i="5" s="1"/>
  <c r="AJ43" i="5"/>
  <c r="T91" i="5" s="1"/>
  <c r="AI43" i="5"/>
  <c r="T92" i="5" s="1"/>
  <c r="AH43" i="5"/>
  <c r="T93" i="5" s="1"/>
  <c r="AG43" i="5"/>
  <c r="T94" i="5" s="1"/>
  <c r="AF43" i="5"/>
  <c r="T95" i="5" s="1"/>
  <c r="AE43" i="5"/>
  <c r="T96" i="5" s="1"/>
  <c r="AD43" i="5"/>
  <c r="T97" i="5" s="1"/>
  <c r="AC43" i="5"/>
  <c r="T98" i="5" s="1"/>
  <c r="AB43" i="5"/>
  <c r="T99" i="5" s="1"/>
  <c r="AA43" i="5"/>
  <c r="T100" i="5" s="1"/>
  <c r="Z43" i="5"/>
  <c r="T101" i="5" s="1"/>
  <c r="Y43" i="5"/>
  <c r="T102" i="5" s="1"/>
  <c r="X43" i="5"/>
  <c r="T103" i="5" s="1"/>
  <c r="W43" i="5"/>
  <c r="T104" i="5" s="1"/>
  <c r="V43" i="5"/>
  <c r="T105" i="5" s="1"/>
  <c r="U43" i="5"/>
  <c r="T106" i="5" s="1"/>
  <c r="T43" i="5"/>
  <c r="T107" i="5" s="1"/>
  <c r="S43" i="5"/>
  <c r="T108" i="5" s="1"/>
  <c r="R43" i="5"/>
  <c r="T109" i="5" s="1"/>
  <c r="Q43" i="5"/>
  <c r="T110" i="5" s="1"/>
  <c r="P43" i="5"/>
  <c r="T111" i="5" s="1"/>
  <c r="O43" i="5"/>
  <c r="T112" i="5" s="1"/>
  <c r="N43" i="5"/>
  <c r="T113" i="5" s="1"/>
  <c r="M43" i="5"/>
  <c r="T114" i="5" s="1"/>
  <c r="L43" i="5"/>
  <c r="T115" i="5" s="1"/>
  <c r="K43" i="5"/>
  <c r="T116" i="5" s="1"/>
  <c r="J43" i="5"/>
  <c r="T117" i="5" s="1"/>
  <c r="I43" i="5"/>
  <c r="T118" i="5" s="1"/>
  <c r="H43" i="5"/>
  <c r="T119" i="5" s="1"/>
  <c r="G43" i="5"/>
  <c r="T120" i="5" s="1"/>
  <c r="F43" i="5"/>
  <c r="T121" i="5" s="1"/>
  <c r="E43" i="5"/>
  <c r="T122" i="5" s="1"/>
  <c r="D43" i="5"/>
  <c r="T123" i="5" s="1"/>
  <c r="C43" i="5"/>
  <c r="T124" i="5" s="1"/>
  <c r="B43" i="5"/>
  <c r="T125" i="5" s="1"/>
  <c r="BI42" i="5"/>
  <c r="U66" i="5" s="1"/>
  <c r="BH42" i="5"/>
  <c r="U67" i="5" s="1"/>
  <c r="BG42" i="5"/>
  <c r="U68" i="5" s="1"/>
  <c r="BF42" i="5"/>
  <c r="U69" i="5" s="1"/>
  <c r="BE42" i="5"/>
  <c r="U70" i="5" s="1"/>
  <c r="BD42" i="5"/>
  <c r="U71" i="5" s="1"/>
  <c r="BC42" i="5"/>
  <c r="U72" i="5" s="1"/>
  <c r="BB42" i="5"/>
  <c r="U73" i="5" s="1"/>
  <c r="BA42" i="5"/>
  <c r="U74" i="5" s="1"/>
  <c r="AZ42" i="5"/>
  <c r="U75" i="5" s="1"/>
  <c r="AY42" i="5"/>
  <c r="U76" i="5" s="1"/>
  <c r="AX42" i="5"/>
  <c r="U77" i="5" s="1"/>
  <c r="AW42" i="5"/>
  <c r="U78" i="5" s="1"/>
  <c r="AV42" i="5"/>
  <c r="U79" i="5" s="1"/>
  <c r="AU42" i="5"/>
  <c r="U80" i="5" s="1"/>
  <c r="AT42" i="5"/>
  <c r="U81" i="5" s="1"/>
  <c r="AS42" i="5"/>
  <c r="U82" i="5" s="1"/>
  <c r="AR42" i="5"/>
  <c r="U83" i="5" s="1"/>
  <c r="AQ42" i="5"/>
  <c r="U84" i="5" s="1"/>
  <c r="AP42" i="5"/>
  <c r="U85" i="5" s="1"/>
  <c r="AO42" i="5"/>
  <c r="U86" i="5" s="1"/>
  <c r="AN42" i="5"/>
  <c r="U87" i="5" s="1"/>
  <c r="AM42" i="5"/>
  <c r="U88" i="5" s="1"/>
  <c r="AL42" i="5"/>
  <c r="U89" i="5" s="1"/>
  <c r="AK42" i="5"/>
  <c r="U90" i="5" s="1"/>
  <c r="AJ42" i="5"/>
  <c r="U91" i="5" s="1"/>
  <c r="AI42" i="5"/>
  <c r="U92" i="5" s="1"/>
  <c r="AH42" i="5"/>
  <c r="U93" i="5" s="1"/>
  <c r="AG42" i="5"/>
  <c r="U94" i="5" s="1"/>
  <c r="AF42" i="5"/>
  <c r="U95" i="5" s="1"/>
  <c r="AE42" i="5"/>
  <c r="U96" i="5" s="1"/>
  <c r="AD42" i="5"/>
  <c r="U97" i="5" s="1"/>
  <c r="AC42" i="5"/>
  <c r="U98" i="5" s="1"/>
  <c r="AB42" i="5"/>
  <c r="U99" i="5" s="1"/>
  <c r="AA42" i="5"/>
  <c r="U100" i="5" s="1"/>
  <c r="Z42" i="5"/>
  <c r="U101" i="5" s="1"/>
  <c r="Y42" i="5"/>
  <c r="U102" i="5" s="1"/>
  <c r="X42" i="5"/>
  <c r="U103" i="5" s="1"/>
  <c r="W42" i="5"/>
  <c r="U104" i="5" s="1"/>
  <c r="V42" i="5"/>
  <c r="U105" i="5" s="1"/>
  <c r="U42" i="5"/>
  <c r="U106" i="5" s="1"/>
  <c r="T42" i="5"/>
  <c r="U107" i="5" s="1"/>
  <c r="S42" i="5"/>
  <c r="U108" i="5" s="1"/>
  <c r="R42" i="5"/>
  <c r="U109" i="5" s="1"/>
  <c r="Q42" i="5"/>
  <c r="U110" i="5" s="1"/>
  <c r="P42" i="5"/>
  <c r="U111" i="5" s="1"/>
  <c r="O42" i="5"/>
  <c r="U112" i="5" s="1"/>
  <c r="N42" i="5"/>
  <c r="U113" i="5" s="1"/>
  <c r="M42" i="5"/>
  <c r="U114" i="5" s="1"/>
  <c r="L42" i="5"/>
  <c r="U115" i="5" s="1"/>
  <c r="K42" i="5"/>
  <c r="U116" i="5" s="1"/>
  <c r="J42" i="5"/>
  <c r="U117" i="5" s="1"/>
  <c r="I42" i="5"/>
  <c r="U118" i="5" s="1"/>
  <c r="H42" i="5"/>
  <c r="U119" i="5" s="1"/>
  <c r="G42" i="5"/>
  <c r="U120" i="5" s="1"/>
  <c r="F42" i="5"/>
  <c r="U121" i="5" s="1"/>
  <c r="E42" i="5"/>
  <c r="U122" i="5" s="1"/>
  <c r="D42" i="5"/>
  <c r="U123" i="5" s="1"/>
  <c r="C42" i="5"/>
  <c r="U124" i="5" s="1"/>
  <c r="B42" i="5"/>
  <c r="U125" i="5" s="1"/>
  <c r="BI41" i="5"/>
  <c r="V66" i="5" s="1"/>
  <c r="BH41" i="5"/>
  <c r="V67" i="5" s="1"/>
  <c r="BG41" i="5"/>
  <c r="V68" i="5" s="1"/>
  <c r="BF41" i="5"/>
  <c r="V69" i="5" s="1"/>
  <c r="BE41" i="5"/>
  <c r="V70" i="5" s="1"/>
  <c r="BD41" i="5"/>
  <c r="V71" i="5" s="1"/>
  <c r="BC41" i="5"/>
  <c r="V72" i="5" s="1"/>
  <c r="BB41" i="5"/>
  <c r="V73" i="5" s="1"/>
  <c r="BA41" i="5"/>
  <c r="V74" i="5" s="1"/>
  <c r="AZ41" i="5"/>
  <c r="V75" i="5" s="1"/>
  <c r="AY41" i="5"/>
  <c r="V76" i="5" s="1"/>
  <c r="AX41" i="5"/>
  <c r="V77" i="5" s="1"/>
  <c r="AW41" i="5"/>
  <c r="V78" i="5" s="1"/>
  <c r="AV41" i="5"/>
  <c r="V79" i="5" s="1"/>
  <c r="AU41" i="5"/>
  <c r="V80" i="5" s="1"/>
  <c r="AT41" i="5"/>
  <c r="V81" i="5" s="1"/>
  <c r="AS41" i="5"/>
  <c r="V82" i="5" s="1"/>
  <c r="AR41" i="5"/>
  <c r="V83" i="5" s="1"/>
  <c r="AQ41" i="5"/>
  <c r="V84" i="5" s="1"/>
  <c r="AP41" i="5"/>
  <c r="V85" i="5" s="1"/>
  <c r="AO41" i="5"/>
  <c r="V86" i="5" s="1"/>
  <c r="AN41" i="5"/>
  <c r="V87" i="5" s="1"/>
  <c r="AM41" i="5"/>
  <c r="V88" i="5" s="1"/>
  <c r="AL41" i="5"/>
  <c r="V89" i="5" s="1"/>
  <c r="AK41" i="5"/>
  <c r="V90" i="5" s="1"/>
  <c r="AJ41" i="5"/>
  <c r="V91" i="5" s="1"/>
  <c r="AI41" i="5"/>
  <c r="V92" i="5" s="1"/>
  <c r="AH41" i="5"/>
  <c r="V93" i="5" s="1"/>
  <c r="AG41" i="5"/>
  <c r="V94" i="5" s="1"/>
  <c r="AF41" i="5"/>
  <c r="V95" i="5" s="1"/>
  <c r="AE41" i="5"/>
  <c r="V96" i="5" s="1"/>
  <c r="AD41" i="5"/>
  <c r="V97" i="5" s="1"/>
  <c r="AC41" i="5"/>
  <c r="V98" i="5" s="1"/>
  <c r="AB41" i="5"/>
  <c r="V99" i="5" s="1"/>
  <c r="AA41" i="5"/>
  <c r="V100" i="5" s="1"/>
  <c r="Z41" i="5"/>
  <c r="V101" i="5" s="1"/>
  <c r="Y41" i="5"/>
  <c r="V102" i="5" s="1"/>
  <c r="X41" i="5"/>
  <c r="V103" i="5" s="1"/>
  <c r="W41" i="5"/>
  <c r="V104" i="5" s="1"/>
  <c r="V41" i="5"/>
  <c r="V105" i="5" s="1"/>
  <c r="U41" i="5"/>
  <c r="V106" i="5" s="1"/>
  <c r="T41" i="5"/>
  <c r="V107" i="5" s="1"/>
  <c r="S41" i="5"/>
  <c r="V108" i="5" s="1"/>
  <c r="R41" i="5"/>
  <c r="V109" i="5" s="1"/>
  <c r="Q41" i="5"/>
  <c r="V110" i="5" s="1"/>
  <c r="P41" i="5"/>
  <c r="V111" i="5" s="1"/>
  <c r="O41" i="5"/>
  <c r="V112" i="5" s="1"/>
  <c r="N41" i="5"/>
  <c r="V113" i="5" s="1"/>
  <c r="M41" i="5"/>
  <c r="V114" i="5" s="1"/>
  <c r="L41" i="5"/>
  <c r="V115" i="5" s="1"/>
  <c r="K41" i="5"/>
  <c r="V116" i="5" s="1"/>
  <c r="J41" i="5"/>
  <c r="V117" i="5" s="1"/>
  <c r="I41" i="5"/>
  <c r="V118" i="5" s="1"/>
  <c r="H41" i="5"/>
  <c r="V119" i="5" s="1"/>
  <c r="G41" i="5"/>
  <c r="V120" i="5" s="1"/>
  <c r="F41" i="5"/>
  <c r="V121" i="5" s="1"/>
  <c r="E41" i="5"/>
  <c r="V122" i="5" s="1"/>
  <c r="D41" i="5"/>
  <c r="V123" i="5" s="1"/>
  <c r="C41" i="5"/>
  <c r="V124" i="5" s="1"/>
  <c r="B41" i="5"/>
  <c r="V125" i="5" s="1"/>
  <c r="BI40" i="5"/>
  <c r="W66" i="5" s="1"/>
  <c r="BH40" i="5"/>
  <c r="W67" i="5" s="1"/>
  <c r="BG40" i="5"/>
  <c r="W68" i="5" s="1"/>
  <c r="BF40" i="5"/>
  <c r="W69" i="5" s="1"/>
  <c r="BE40" i="5"/>
  <c r="W70" i="5" s="1"/>
  <c r="BD40" i="5"/>
  <c r="W71" i="5" s="1"/>
  <c r="BC40" i="5"/>
  <c r="W72" i="5" s="1"/>
  <c r="BB40" i="5"/>
  <c r="W73" i="5" s="1"/>
  <c r="BA40" i="5"/>
  <c r="W74" i="5" s="1"/>
  <c r="AZ40" i="5"/>
  <c r="W75" i="5" s="1"/>
  <c r="AY40" i="5"/>
  <c r="W76" i="5" s="1"/>
  <c r="AX40" i="5"/>
  <c r="W77" i="5" s="1"/>
  <c r="AW40" i="5"/>
  <c r="W78" i="5" s="1"/>
  <c r="AV40" i="5"/>
  <c r="W79" i="5" s="1"/>
  <c r="AU40" i="5"/>
  <c r="W80" i="5" s="1"/>
  <c r="AT40" i="5"/>
  <c r="W81" i="5" s="1"/>
  <c r="AS40" i="5"/>
  <c r="W82" i="5" s="1"/>
  <c r="AR40" i="5"/>
  <c r="W83" i="5" s="1"/>
  <c r="AQ40" i="5"/>
  <c r="W84" i="5" s="1"/>
  <c r="AP40" i="5"/>
  <c r="W85" i="5" s="1"/>
  <c r="AO40" i="5"/>
  <c r="W86" i="5" s="1"/>
  <c r="AN40" i="5"/>
  <c r="W87" i="5" s="1"/>
  <c r="AM40" i="5"/>
  <c r="W88" i="5" s="1"/>
  <c r="AL40" i="5"/>
  <c r="W89" i="5" s="1"/>
  <c r="AK40" i="5"/>
  <c r="W90" i="5" s="1"/>
  <c r="AJ40" i="5"/>
  <c r="W91" i="5" s="1"/>
  <c r="AI40" i="5"/>
  <c r="W92" i="5" s="1"/>
  <c r="AH40" i="5"/>
  <c r="W93" i="5" s="1"/>
  <c r="AG40" i="5"/>
  <c r="W94" i="5" s="1"/>
  <c r="AF40" i="5"/>
  <c r="W95" i="5" s="1"/>
  <c r="AE40" i="5"/>
  <c r="W96" i="5" s="1"/>
  <c r="AD40" i="5"/>
  <c r="W97" i="5" s="1"/>
  <c r="AC40" i="5"/>
  <c r="W98" i="5" s="1"/>
  <c r="AB40" i="5"/>
  <c r="W99" i="5" s="1"/>
  <c r="AA40" i="5"/>
  <c r="W100" i="5" s="1"/>
  <c r="Z40" i="5"/>
  <c r="W101" i="5" s="1"/>
  <c r="Y40" i="5"/>
  <c r="W102" i="5" s="1"/>
  <c r="X40" i="5"/>
  <c r="W103" i="5" s="1"/>
  <c r="W40" i="5"/>
  <c r="W104" i="5" s="1"/>
  <c r="V40" i="5"/>
  <c r="W105" i="5" s="1"/>
  <c r="U40" i="5"/>
  <c r="W106" i="5" s="1"/>
  <c r="T40" i="5"/>
  <c r="W107" i="5" s="1"/>
  <c r="S40" i="5"/>
  <c r="W108" i="5" s="1"/>
  <c r="R40" i="5"/>
  <c r="W109" i="5" s="1"/>
  <c r="Q40" i="5"/>
  <c r="W110" i="5" s="1"/>
  <c r="P40" i="5"/>
  <c r="W111" i="5" s="1"/>
  <c r="O40" i="5"/>
  <c r="W112" i="5" s="1"/>
  <c r="N40" i="5"/>
  <c r="W113" i="5" s="1"/>
  <c r="M40" i="5"/>
  <c r="W114" i="5" s="1"/>
  <c r="L40" i="5"/>
  <c r="W115" i="5" s="1"/>
  <c r="K40" i="5"/>
  <c r="W116" i="5" s="1"/>
  <c r="J40" i="5"/>
  <c r="W117" i="5" s="1"/>
  <c r="I40" i="5"/>
  <c r="W118" i="5" s="1"/>
  <c r="H40" i="5"/>
  <c r="W119" i="5" s="1"/>
  <c r="G40" i="5"/>
  <c r="W120" i="5" s="1"/>
  <c r="F40" i="5"/>
  <c r="W121" i="5" s="1"/>
  <c r="E40" i="5"/>
  <c r="W122" i="5" s="1"/>
  <c r="D40" i="5"/>
  <c r="W123" i="5" s="1"/>
  <c r="C40" i="5"/>
  <c r="W124" i="5" s="1"/>
  <c r="B40" i="5"/>
  <c r="W125" i="5" s="1"/>
  <c r="BI39" i="5"/>
  <c r="X66" i="5" s="1"/>
  <c r="BH39" i="5"/>
  <c r="X67" i="5" s="1"/>
  <c r="BG39" i="5"/>
  <c r="X68" i="5" s="1"/>
  <c r="BF39" i="5"/>
  <c r="X69" i="5" s="1"/>
  <c r="BE39" i="5"/>
  <c r="X70" i="5" s="1"/>
  <c r="BD39" i="5"/>
  <c r="X71" i="5" s="1"/>
  <c r="BC39" i="5"/>
  <c r="X72" i="5" s="1"/>
  <c r="BB39" i="5"/>
  <c r="X73" i="5" s="1"/>
  <c r="BA39" i="5"/>
  <c r="X74" i="5" s="1"/>
  <c r="AZ39" i="5"/>
  <c r="X75" i="5" s="1"/>
  <c r="AY39" i="5"/>
  <c r="X76" i="5" s="1"/>
  <c r="AX39" i="5"/>
  <c r="X77" i="5" s="1"/>
  <c r="AW39" i="5"/>
  <c r="X78" i="5" s="1"/>
  <c r="AV39" i="5"/>
  <c r="X79" i="5" s="1"/>
  <c r="AU39" i="5"/>
  <c r="X80" i="5" s="1"/>
  <c r="AT39" i="5"/>
  <c r="X81" i="5" s="1"/>
  <c r="AS39" i="5"/>
  <c r="X82" i="5" s="1"/>
  <c r="AR39" i="5"/>
  <c r="X83" i="5" s="1"/>
  <c r="AQ39" i="5"/>
  <c r="X84" i="5" s="1"/>
  <c r="AP39" i="5"/>
  <c r="X85" i="5" s="1"/>
  <c r="AO39" i="5"/>
  <c r="X86" i="5" s="1"/>
  <c r="AN39" i="5"/>
  <c r="X87" i="5" s="1"/>
  <c r="AM39" i="5"/>
  <c r="X88" i="5" s="1"/>
  <c r="AL39" i="5"/>
  <c r="X89" i="5" s="1"/>
  <c r="AK39" i="5"/>
  <c r="X90" i="5" s="1"/>
  <c r="AJ39" i="5"/>
  <c r="X91" i="5" s="1"/>
  <c r="AI39" i="5"/>
  <c r="X92" i="5" s="1"/>
  <c r="AH39" i="5"/>
  <c r="X93" i="5" s="1"/>
  <c r="AG39" i="5"/>
  <c r="X94" i="5" s="1"/>
  <c r="AF39" i="5"/>
  <c r="X95" i="5" s="1"/>
  <c r="AE39" i="5"/>
  <c r="X96" i="5" s="1"/>
  <c r="AD39" i="5"/>
  <c r="X97" i="5" s="1"/>
  <c r="AC39" i="5"/>
  <c r="X98" i="5" s="1"/>
  <c r="AB39" i="5"/>
  <c r="X99" i="5" s="1"/>
  <c r="AA39" i="5"/>
  <c r="X100" i="5" s="1"/>
  <c r="Z39" i="5"/>
  <c r="X101" i="5" s="1"/>
  <c r="Y39" i="5"/>
  <c r="X102" i="5" s="1"/>
  <c r="X39" i="5"/>
  <c r="X103" i="5" s="1"/>
  <c r="W39" i="5"/>
  <c r="X104" i="5" s="1"/>
  <c r="V39" i="5"/>
  <c r="X105" i="5" s="1"/>
  <c r="U39" i="5"/>
  <c r="X106" i="5" s="1"/>
  <c r="T39" i="5"/>
  <c r="X107" i="5" s="1"/>
  <c r="S39" i="5"/>
  <c r="X108" i="5" s="1"/>
  <c r="R39" i="5"/>
  <c r="X109" i="5" s="1"/>
  <c r="Q39" i="5"/>
  <c r="X110" i="5" s="1"/>
  <c r="P39" i="5"/>
  <c r="X111" i="5" s="1"/>
  <c r="O39" i="5"/>
  <c r="X112" i="5" s="1"/>
  <c r="N39" i="5"/>
  <c r="X113" i="5" s="1"/>
  <c r="M39" i="5"/>
  <c r="X114" i="5" s="1"/>
  <c r="L39" i="5"/>
  <c r="X115" i="5" s="1"/>
  <c r="K39" i="5"/>
  <c r="X116" i="5" s="1"/>
  <c r="J39" i="5"/>
  <c r="X117" i="5" s="1"/>
  <c r="I39" i="5"/>
  <c r="X118" i="5" s="1"/>
  <c r="H39" i="5"/>
  <c r="X119" i="5" s="1"/>
  <c r="G39" i="5"/>
  <c r="X120" i="5" s="1"/>
  <c r="F39" i="5"/>
  <c r="X121" i="5" s="1"/>
  <c r="E39" i="5"/>
  <c r="X122" i="5" s="1"/>
  <c r="D39" i="5"/>
  <c r="X123" i="5" s="1"/>
  <c r="C39" i="5"/>
  <c r="X124" i="5" s="1"/>
  <c r="B39" i="5"/>
  <c r="X125" i="5" s="1"/>
  <c r="BI38" i="5"/>
  <c r="Y66" i="5" s="1"/>
  <c r="BH38" i="5"/>
  <c r="Y67" i="5" s="1"/>
  <c r="BG38" i="5"/>
  <c r="Y68" i="5" s="1"/>
  <c r="BF38" i="5"/>
  <c r="Y69" i="5" s="1"/>
  <c r="BE38" i="5"/>
  <c r="Y70" i="5" s="1"/>
  <c r="BD38" i="5"/>
  <c r="Y71" i="5" s="1"/>
  <c r="BC38" i="5"/>
  <c r="Y72" i="5" s="1"/>
  <c r="BB38" i="5"/>
  <c r="Y73" i="5" s="1"/>
  <c r="BA38" i="5"/>
  <c r="Y74" i="5" s="1"/>
  <c r="AZ38" i="5"/>
  <c r="Y75" i="5" s="1"/>
  <c r="AY38" i="5"/>
  <c r="Y76" i="5" s="1"/>
  <c r="AX38" i="5"/>
  <c r="Y77" i="5" s="1"/>
  <c r="AW38" i="5"/>
  <c r="Y78" i="5" s="1"/>
  <c r="AV38" i="5"/>
  <c r="Y79" i="5" s="1"/>
  <c r="AU38" i="5"/>
  <c r="Y80" i="5" s="1"/>
  <c r="AT38" i="5"/>
  <c r="Y81" i="5" s="1"/>
  <c r="Y82" i="5"/>
  <c r="Y18" i="7" s="1"/>
  <c r="Y83" i="5"/>
  <c r="Y19" i="7" s="1"/>
  <c r="Y84" i="5"/>
  <c r="Y20" i="7" s="1"/>
  <c r="Y85" i="5"/>
  <c r="Y21" i="7" s="1"/>
  <c r="Y86" i="5"/>
  <c r="Y22" i="7" s="1"/>
  <c r="Y87" i="5"/>
  <c r="Y23" i="7" s="1"/>
  <c r="Y88" i="5"/>
  <c r="Y24" i="7" s="1"/>
  <c r="Y89" i="5"/>
  <c r="Y25" i="7" s="1"/>
  <c r="Y90" i="5"/>
  <c r="Y26" i="7" s="1"/>
  <c r="Y91" i="5"/>
  <c r="Y27" i="7" s="1"/>
  <c r="Y92" i="5"/>
  <c r="Y28" i="7" s="1"/>
  <c r="Y93" i="5"/>
  <c r="Y29" i="7" s="1"/>
  <c r="Y94" i="5"/>
  <c r="Y30" i="7" s="1"/>
  <c r="Y95" i="5"/>
  <c r="Y31" i="7" s="1"/>
  <c r="Y96" i="5"/>
  <c r="Y32" i="7" s="1"/>
  <c r="Y97" i="5"/>
  <c r="Y33" i="7" s="1"/>
  <c r="Y98" i="5"/>
  <c r="Y34" i="7" s="1"/>
  <c r="Y99" i="5"/>
  <c r="Y35" i="7" s="1"/>
  <c r="Y100" i="5"/>
  <c r="Y36" i="7" s="1"/>
  <c r="Y101" i="5"/>
  <c r="Y37" i="7" s="1"/>
  <c r="Y102" i="5"/>
  <c r="Y38" i="7" s="1"/>
  <c r="Y103" i="5"/>
  <c r="Y39" i="7" s="1"/>
  <c r="Y104" i="5"/>
  <c r="Y40" i="7" s="1"/>
  <c r="Y105" i="5"/>
  <c r="Y41" i="7" s="1"/>
  <c r="Y106" i="5"/>
  <c r="Y42" i="7" s="1"/>
  <c r="Y107" i="5"/>
  <c r="Y43" i="7" s="1"/>
  <c r="Y108" i="5"/>
  <c r="Y44" i="7" s="1"/>
  <c r="Y109" i="5"/>
  <c r="Y45" i="7" s="1"/>
  <c r="Y110" i="5"/>
  <c r="Y46" i="7" s="1"/>
  <c r="Y111" i="5"/>
  <c r="Y47" i="7" s="1"/>
  <c r="Y112" i="5"/>
  <c r="Y48" i="7" s="1"/>
  <c r="Y113" i="5"/>
  <c r="Y49" i="7" s="1"/>
  <c r="Y114" i="5"/>
  <c r="Y50" i="7" s="1"/>
  <c r="Y115" i="5"/>
  <c r="Y51" i="7" s="1"/>
  <c r="Y116" i="5"/>
  <c r="Y52" i="7" s="1"/>
  <c r="Y117" i="5"/>
  <c r="Y53" i="7" s="1"/>
  <c r="Y118" i="5"/>
  <c r="Y54" i="7" s="1"/>
  <c r="Y119" i="5"/>
  <c r="Y55" i="7" s="1"/>
  <c r="Y120" i="5"/>
  <c r="Y56" i="7" s="1"/>
  <c r="Y121" i="5"/>
  <c r="Y57" i="7" s="1"/>
  <c r="Y122" i="5"/>
  <c r="Y58" i="7" s="1"/>
  <c r="Y123" i="5"/>
  <c r="Y59" i="7" s="1"/>
  <c r="Y124" i="5"/>
  <c r="Y60" i="7" s="1"/>
  <c r="Y125" i="5"/>
  <c r="Y61" i="7" s="1"/>
  <c r="BI37" i="5"/>
  <c r="Z66" i="5" s="1"/>
  <c r="BH37" i="5"/>
  <c r="Z67" i="5" s="1"/>
  <c r="BG37" i="5"/>
  <c r="Z68" i="5" s="1"/>
  <c r="BF37" i="5"/>
  <c r="Z69" i="5" s="1"/>
  <c r="BE37" i="5"/>
  <c r="Z70" i="5" s="1"/>
  <c r="BD37" i="5"/>
  <c r="Z71" i="5" s="1"/>
  <c r="BC37" i="5"/>
  <c r="Z72" i="5" s="1"/>
  <c r="BB37" i="5"/>
  <c r="Z73" i="5" s="1"/>
  <c r="BA37" i="5"/>
  <c r="Z74" i="5" s="1"/>
  <c r="AZ37" i="5"/>
  <c r="Z75" i="5" s="1"/>
  <c r="AY37" i="5"/>
  <c r="Z76" i="5" s="1"/>
  <c r="AX37" i="5"/>
  <c r="Z77" i="5" s="1"/>
  <c r="AW37" i="5"/>
  <c r="Z78" i="5" s="1"/>
  <c r="AV37" i="5"/>
  <c r="Z79" i="5" s="1"/>
  <c r="AU37" i="5"/>
  <c r="Z80" i="5" s="1"/>
  <c r="AT37" i="5"/>
  <c r="Z81" i="5" s="1"/>
  <c r="Z82" i="5"/>
  <c r="Z18" i="7" s="1"/>
  <c r="Z83" i="5"/>
  <c r="Z19" i="7" s="1"/>
  <c r="Z84" i="5"/>
  <c r="Z20" i="7" s="1"/>
  <c r="Z85" i="5"/>
  <c r="Z21" i="7" s="1"/>
  <c r="Z86" i="5"/>
  <c r="Z22" i="7" s="1"/>
  <c r="Z87" i="5"/>
  <c r="Z23" i="7" s="1"/>
  <c r="Z88" i="5"/>
  <c r="Z24" i="7" s="1"/>
  <c r="Z89" i="5"/>
  <c r="Z25" i="7" s="1"/>
  <c r="Z90" i="5"/>
  <c r="Z26" i="7" s="1"/>
  <c r="Z91" i="5"/>
  <c r="Z27" i="7" s="1"/>
  <c r="Z92" i="5"/>
  <c r="Z28" i="7" s="1"/>
  <c r="Z93" i="5"/>
  <c r="Z29" i="7" s="1"/>
  <c r="Z94" i="5"/>
  <c r="Z30" i="7" s="1"/>
  <c r="Z95" i="5"/>
  <c r="Z31" i="7" s="1"/>
  <c r="Z96" i="5"/>
  <c r="Z32" i="7" s="1"/>
  <c r="Z97" i="5"/>
  <c r="Z33" i="7" s="1"/>
  <c r="Z98" i="5"/>
  <c r="Z34" i="7" s="1"/>
  <c r="Z99" i="5"/>
  <c r="Z35" i="7" s="1"/>
  <c r="Z100" i="5"/>
  <c r="Z36" i="7" s="1"/>
  <c r="Z101" i="5"/>
  <c r="Z37" i="7" s="1"/>
  <c r="Z102" i="5"/>
  <c r="Z38" i="7" s="1"/>
  <c r="Z103" i="5"/>
  <c r="Z39" i="7" s="1"/>
  <c r="Z104" i="5"/>
  <c r="Z40" i="7" s="1"/>
  <c r="Z105" i="5"/>
  <c r="Z41" i="7" s="1"/>
  <c r="Z106" i="5"/>
  <c r="Z42" i="7" s="1"/>
  <c r="Z107" i="5"/>
  <c r="Z43" i="7" s="1"/>
  <c r="Z108" i="5"/>
  <c r="Z44" i="7" s="1"/>
  <c r="Z109" i="5"/>
  <c r="Z45" i="7" s="1"/>
  <c r="Z110" i="5"/>
  <c r="Z46" i="7" s="1"/>
  <c r="Z111" i="5"/>
  <c r="Z47" i="7" s="1"/>
  <c r="Z112" i="5"/>
  <c r="Z48" i="7" s="1"/>
  <c r="Z113" i="5"/>
  <c r="Z49" i="7" s="1"/>
  <c r="Z114" i="5"/>
  <c r="Z50" i="7" s="1"/>
  <c r="Z115" i="5"/>
  <c r="Z51" i="7" s="1"/>
  <c r="Z116" i="5"/>
  <c r="Z52" i="7" s="1"/>
  <c r="Z117" i="5"/>
  <c r="Z53" i="7" s="1"/>
  <c r="Z118" i="5"/>
  <c r="Z54" i="7" s="1"/>
  <c r="Z119" i="5"/>
  <c r="Z55" i="7" s="1"/>
  <c r="Z120" i="5"/>
  <c r="Z56" i="7" s="1"/>
  <c r="Z121" i="5"/>
  <c r="Z57" i="7" s="1"/>
  <c r="Z122" i="5"/>
  <c r="Z58" i="7" s="1"/>
  <c r="Z123" i="5"/>
  <c r="Z59" i="7" s="1"/>
  <c r="Z124" i="5"/>
  <c r="Z60" i="7" s="1"/>
  <c r="Z125" i="5"/>
  <c r="Z61" i="7" s="1"/>
  <c r="BI36" i="5"/>
  <c r="AA66" i="5" s="1"/>
  <c r="BH36" i="5"/>
  <c r="AA67" i="5" s="1"/>
  <c r="BG36" i="5"/>
  <c r="AA68" i="5" s="1"/>
  <c r="BF36" i="5"/>
  <c r="AA69" i="5" s="1"/>
  <c r="BE36" i="5"/>
  <c r="AA70" i="5" s="1"/>
  <c r="BD36" i="5"/>
  <c r="AA71" i="5" s="1"/>
  <c r="BC36" i="5"/>
  <c r="AA72" i="5" s="1"/>
  <c r="BB36" i="5"/>
  <c r="AA73" i="5" s="1"/>
  <c r="BA36" i="5"/>
  <c r="AA74" i="5" s="1"/>
  <c r="AZ36" i="5"/>
  <c r="AA75" i="5" s="1"/>
  <c r="AY36" i="5"/>
  <c r="AA76" i="5" s="1"/>
  <c r="AX36" i="5"/>
  <c r="AA77" i="5" s="1"/>
  <c r="AW36" i="5"/>
  <c r="AA78" i="5" s="1"/>
  <c r="AV36" i="5"/>
  <c r="AA79" i="5" s="1"/>
  <c r="AU36" i="5"/>
  <c r="AA80" i="5" s="1"/>
  <c r="AT36" i="5"/>
  <c r="AA81" i="5" s="1"/>
  <c r="AA83" i="5"/>
  <c r="AA19" i="7" s="1"/>
  <c r="AA84" i="5"/>
  <c r="AA20" i="7" s="1"/>
  <c r="AA85" i="5"/>
  <c r="AA21" i="7" s="1"/>
  <c r="AA87" i="5"/>
  <c r="AA23" i="7" s="1"/>
  <c r="AA88" i="5"/>
  <c r="AA24" i="7" s="1"/>
  <c r="AA89" i="5"/>
  <c r="AA25" i="7" s="1"/>
  <c r="AA91" i="5"/>
  <c r="AA27" i="7" s="1"/>
  <c r="AA92" i="5"/>
  <c r="AA28" i="7" s="1"/>
  <c r="AA93" i="5"/>
  <c r="AA29" i="7" s="1"/>
  <c r="AA95" i="5"/>
  <c r="AA31" i="7" s="1"/>
  <c r="AA96" i="5"/>
  <c r="AA32" i="7" s="1"/>
  <c r="AA97" i="5"/>
  <c r="AA33" i="7" s="1"/>
  <c r="AA99" i="5"/>
  <c r="AA35" i="7" s="1"/>
  <c r="AA100" i="5"/>
  <c r="AA36" i="7" s="1"/>
  <c r="AA101" i="5"/>
  <c r="AA37" i="7" s="1"/>
  <c r="AA103" i="5"/>
  <c r="AA39" i="7" s="1"/>
  <c r="AA104" i="5"/>
  <c r="AA40" i="7" s="1"/>
  <c r="AA105" i="5"/>
  <c r="AA41" i="7" s="1"/>
  <c r="AA107" i="5"/>
  <c r="AA43" i="7" s="1"/>
  <c r="AA108" i="5"/>
  <c r="AA44" i="7" s="1"/>
  <c r="AA109" i="5"/>
  <c r="AA45" i="7" s="1"/>
  <c r="AA111" i="5"/>
  <c r="AA47" i="7" s="1"/>
  <c r="AA112" i="5"/>
  <c r="AA48" i="7" s="1"/>
  <c r="AA113" i="5"/>
  <c r="AA49" i="7" s="1"/>
  <c r="AA115" i="5"/>
  <c r="AA51" i="7" s="1"/>
  <c r="AA116" i="5"/>
  <c r="AA52" i="7" s="1"/>
  <c r="AA117" i="5"/>
  <c r="AA53" i="7" s="1"/>
  <c r="AA119" i="5"/>
  <c r="AA55" i="7" s="1"/>
  <c r="AA120" i="5"/>
  <c r="AA56" i="7" s="1"/>
  <c r="AA121" i="5"/>
  <c r="AA57" i="7" s="1"/>
  <c r="AA123" i="5"/>
  <c r="AA59" i="7" s="1"/>
  <c r="AA124" i="5"/>
  <c r="AA60" i="7" s="1"/>
  <c r="AA125" i="5"/>
  <c r="AA61" i="7" s="1"/>
  <c r="BI35" i="5"/>
  <c r="AB66" i="5" s="1"/>
  <c r="BH35" i="5"/>
  <c r="AB67" i="5" s="1"/>
  <c r="BG35" i="5"/>
  <c r="AB68" i="5" s="1"/>
  <c r="BF35" i="5"/>
  <c r="AB69" i="5" s="1"/>
  <c r="BE35" i="5"/>
  <c r="AB70" i="5" s="1"/>
  <c r="BD35" i="5"/>
  <c r="AB71" i="5" s="1"/>
  <c r="BC35" i="5"/>
  <c r="AB72" i="5" s="1"/>
  <c r="BB35" i="5"/>
  <c r="AB73" i="5" s="1"/>
  <c r="BA35" i="5"/>
  <c r="AB74" i="5" s="1"/>
  <c r="AZ35" i="5"/>
  <c r="AB75" i="5" s="1"/>
  <c r="AY35" i="5"/>
  <c r="AB76" i="5" s="1"/>
  <c r="AX35" i="5"/>
  <c r="AB77" i="5" s="1"/>
  <c r="AW35" i="5"/>
  <c r="AB78" i="5" s="1"/>
  <c r="AV35" i="5"/>
  <c r="AB79" i="5" s="1"/>
  <c r="AU35" i="5"/>
  <c r="AB80" i="5" s="1"/>
  <c r="AT35" i="5"/>
  <c r="AB81" i="5" s="1"/>
  <c r="AB83" i="5"/>
  <c r="AB19" i="7" s="1"/>
  <c r="AB84" i="5"/>
  <c r="AB20" i="7" s="1"/>
  <c r="AB85" i="5"/>
  <c r="AB21" i="7" s="1"/>
  <c r="AB87" i="5"/>
  <c r="AB23" i="7" s="1"/>
  <c r="AB88" i="5"/>
  <c r="AB24" i="7" s="1"/>
  <c r="AB89" i="5"/>
  <c r="AB25" i="7" s="1"/>
  <c r="AB91" i="5"/>
  <c r="AB27" i="7" s="1"/>
  <c r="AB92" i="5"/>
  <c r="AB28" i="7" s="1"/>
  <c r="AB93" i="5"/>
  <c r="AB29" i="7" s="1"/>
  <c r="AB95" i="5"/>
  <c r="AB31" i="7" s="1"/>
  <c r="AB96" i="5"/>
  <c r="AB32" i="7" s="1"/>
  <c r="AB97" i="5"/>
  <c r="AB33" i="7" s="1"/>
  <c r="AB99" i="5"/>
  <c r="AB35" i="7" s="1"/>
  <c r="AB100" i="5"/>
  <c r="AB36" i="7" s="1"/>
  <c r="AB101" i="5"/>
  <c r="AB37" i="7" s="1"/>
  <c r="AB103" i="5"/>
  <c r="AB39" i="7" s="1"/>
  <c r="AB104" i="5"/>
  <c r="AB40" i="7" s="1"/>
  <c r="AB105" i="5"/>
  <c r="AB41" i="7" s="1"/>
  <c r="AB107" i="5"/>
  <c r="AB43" i="7" s="1"/>
  <c r="AB108" i="5"/>
  <c r="AB44" i="7" s="1"/>
  <c r="AB109" i="5"/>
  <c r="AB45" i="7" s="1"/>
  <c r="AB111" i="5"/>
  <c r="AB47" i="7" s="1"/>
  <c r="AB112" i="5"/>
  <c r="AB48" i="7" s="1"/>
  <c r="AB113" i="5"/>
  <c r="AB49" i="7" s="1"/>
  <c r="AB115" i="5"/>
  <c r="AB51" i="7" s="1"/>
  <c r="AB116" i="5"/>
  <c r="AB52" i="7" s="1"/>
  <c r="AB117" i="5"/>
  <c r="AB53" i="7" s="1"/>
  <c r="AB119" i="5"/>
  <c r="AB55" i="7" s="1"/>
  <c r="AB120" i="5"/>
  <c r="AB56" i="7" s="1"/>
  <c r="AB121" i="5"/>
  <c r="AB57" i="7" s="1"/>
  <c r="AB123" i="5"/>
  <c r="AB59" i="7" s="1"/>
  <c r="AB124" i="5"/>
  <c r="AB60" i="7" s="1"/>
  <c r="AB125" i="5"/>
  <c r="AB61" i="7" s="1"/>
  <c r="BI34" i="5"/>
  <c r="AC66" i="5" s="1"/>
  <c r="BH34" i="5"/>
  <c r="AC67" i="5" s="1"/>
  <c r="BG34" i="5"/>
  <c r="AC68" i="5" s="1"/>
  <c r="BF34" i="5"/>
  <c r="AC69" i="5" s="1"/>
  <c r="BE34" i="5"/>
  <c r="AC70" i="5" s="1"/>
  <c r="BD34" i="5"/>
  <c r="AC71" i="5" s="1"/>
  <c r="BC34" i="5"/>
  <c r="AC72" i="5" s="1"/>
  <c r="BB34" i="5"/>
  <c r="AC73" i="5" s="1"/>
  <c r="BA34" i="5"/>
  <c r="AC74" i="5" s="1"/>
  <c r="AZ34" i="5"/>
  <c r="AC75" i="5" s="1"/>
  <c r="AY34" i="5"/>
  <c r="AC76" i="5" s="1"/>
  <c r="AX34" i="5"/>
  <c r="AC77" i="5" s="1"/>
  <c r="AW34" i="5"/>
  <c r="AC78" i="5" s="1"/>
  <c r="AV34" i="5"/>
  <c r="AC79" i="5" s="1"/>
  <c r="AU34" i="5"/>
  <c r="AC80" i="5" s="1"/>
  <c r="AT34" i="5"/>
  <c r="AC81" i="5" s="1"/>
  <c r="AC83" i="5"/>
  <c r="AC19" i="7" s="1"/>
  <c r="AC84" i="5"/>
  <c r="AC20" i="7" s="1"/>
  <c r="AC85" i="5"/>
  <c r="AC21" i="7" s="1"/>
  <c r="AC87" i="5"/>
  <c r="AC23" i="7" s="1"/>
  <c r="AC88" i="5"/>
  <c r="AC24" i="7" s="1"/>
  <c r="AC89" i="5"/>
  <c r="AC25" i="7" s="1"/>
  <c r="AC91" i="5"/>
  <c r="AC27" i="7" s="1"/>
  <c r="AC92" i="5"/>
  <c r="AC28" i="7" s="1"/>
  <c r="AC93" i="5"/>
  <c r="AC29" i="7" s="1"/>
  <c r="AC95" i="5"/>
  <c r="AC31" i="7" s="1"/>
  <c r="AC96" i="5"/>
  <c r="AC32" i="7" s="1"/>
  <c r="AC97" i="5"/>
  <c r="AC33" i="7" s="1"/>
  <c r="AC99" i="5"/>
  <c r="AC35" i="7" s="1"/>
  <c r="AC100" i="5"/>
  <c r="AC36" i="7" s="1"/>
  <c r="AC101" i="5"/>
  <c r="AC37" i="7" s="1"/>
  <c r="AC103" i="5"/>
  <c r="AC39" i="7" s="1"/>
  <c r="AC104" i="5"/>
  <c r="AC40" i="7" s="1"/>
  <c r="AC105" i="5"/>
  <c r="AC41" i="7" s="1"/>
  <c r="AC107" i="5"/>
  <c r="AC43" i="7" s="1"/>
  <c r="AC108" i="5"/>
  <c r="AC44" i="7" s="1"/>
  <c r="AC109" i="5"/>
  <c r="AC45" i="7" s="1"/>
  <c r="AC111" i="5"/>
  <c r="AC47" i="7" s="1"/>
  <c r="AC112" i="5"/>
  <c r="AC48" i="7" s="1"/>
  <c r="AC113" i="5"/>
  <c r="AC49" i="7" s="1"/>
  <c r="AC115" i="5"/>
  <c r="AC51" i="7" s="1"/>
  <c r="AC116" i="5"/>
  <c r="AC52" i="7" s="1"/>
  <c r="AC117" i="5"/>
  <c r="AC53" i="7" s="1"/>
  <c r="AC119" i="5"/>
  <c r="AC55" i="7" s="1"/>
  <c r="AC120" i="5"/>
  <c r="AC56" i="7" s="1"/>
  <c r="AC121" i="5"/>
  <c r="AC57" i="7" s="1"/>
  <c r="AC123" i="5"/>
  <c r="AC59" i="7" s="1"/>
  <c r="AC124" i="5"/>
  <c r="AC60" i="7" s="1"/>
  <c r="AC125" i="5"/>
  <c r="AC61" i="7" s="1"/>
  <c r="BI33" i="5"/>
  <c r="AD66" i="5" s="1"/>
  <c r="BH33" i="5"/>
  <c r="AD67" i="5" s="1"/>
  <c r="BG33" i="5"/>
  <c r="AD68" i="5" s="1"/>
  <c r="BF33" i="5"/>
  <c r="AD69" i="5" s="1"/>
  <c r="BE33" i="5"/>
  <c r="AD70" i="5" s="1"/>
  <c r="BD33" i="5"/>
  <c r="AD71" i="5" s="1"/>
  <c r="BC33" i="5"/>
  <c r="AD72" i="5" s="1"/>
  <c r="BB33" i="5"/>
  <c r="AD73" i="5" s="1"/>
  <c r="BA33" i="5"/>
  <c r="AD74" i="5" s="1"/>
  <c r="AZ33" i="5"/>
  <c r="AD75" i="5" s="1"/>
  <c r="AY33" i="5"/>
  <c r="AD76" i="5" s="1"/>
  <c r="AX33" i="5"/>
  <c r="AD77" i="5" s="1"/>
  <c r="AW33" i="5"/>
  <c r="AD78" i="5" s="1"/>
  <c r="AV33" i="5"/>
  <c r="AD79" i="5" s="1"/>
  <c r="AU33" i="5"/>
  <c r="AD80" i="5" s="1"/>
  <c r="AT33" i="5"/>
  <c r="AD81" i="5" s="1"/>
  <c r="AD83" i="5"/>
  <c r="AD19" i="7" s="1"/>
  <c r="AD84" i="5"/>
  <c r="AD20" i="7" s="1"/>
  <c r="AD87" i="5"/>
  <c r="AD23" i="7" s="1"/>
  <c r="AD88" i="5"/>
  <c r="AD24" i="7" s="1"/>
  <c r="AD89" i="5"/>
  <c r="AD25" i="7" s="1"/>
  <c r="AD91" i="5"/>
  <c r="AD27" i="7" s="1"/>
  <c r="AD92" i="5"/>
  <c r="AD28" i="7" s="1"/>
  <c r="AD95" i="5"/>
  <c r="AD31" i="7" s="1"/>
  <c r="AD96" i="5"/>
  <c r="AD32" i="7" s="1"/>
  <c r="AD97" i="5"/>
  <c r="AD33" i="7" s="1"/>
  <c r="AD100" i="5"/>
  <c r="AD36" i="7" s="1"/>
  <c r="AD103" i="5"/>
  <c r="AD39" i="7" s="1"/>
  <c r="AD104" i="5"/>
  <c r="AD40" i="7" s="1"/>
  <c r="AD105" i="5"/>
  <c r="AD41" i="7" s="1"/>
  <c r="AD107" i="5"/>
  <c r="AD43" i="7" s="1"/>
  <c r="AD108" i="5"/>
  <c r="AD44" i="7" s="1"/>
  <c r="AD111" i="5"/>
  <c r="AD47" i="7" s="1"/>
  <c r="AD112" i="5"/>
  <c r="AD48" i="7" s="1"/>
  <c r="AD113" i="5"/>
  <c r="AD49" i="7" s="1"/>
  <c r="AD116" i="5"/>
  <c r="AD52" i="7" s="1"/>
  <c r="AD119" i="5"/>
  <c r="AD55" i="7" s="1"/>
  <c r="AD120" i="5"/>
  <c r="AD56" i="7" s="1"/>
  <c r="AD121" i="5"/>
  <c r="AD57" i="7" s="1"/>
  <c r="AD123" i="5"/>
  <c r="AD59" i="7" s="1"/>
  <c r="AD124" i="5"/>
  <c r="AD60" i="7" s="1"/>
  <c r="BI32" i="5"/>
  <c r="AE66" i="5" s="1"/>
  <c r="BH32" i="5"/>
  <c r="AE67" i="5" s="1"/>
  <c r="BG32" i="5"/>
  <c r="AE68" i="5" s="1"/>
  <c r="BF32" i="5"/>
  <c r="AE69" i="5" s="1"/>
  <c r="BE32" i="5"/>
  <c r="AE70" i="5" s="1"/>
  <c r="BD32" i="5"/>
  <c r="AE71" i="5" s="1"/>
  <c r="BC32" i="5"/>
  <c r="AE72" i="5" s="1"/>
  <c r="BB32" i="5"/>
  <c r="AE73" i="5" s="1"/>
  <c r="BA32" i="5"/>
  <c r="AE74" i="5" s="1"/>
  <c r="AZ32" i="5"/>
  <c r="AE75" i="5" s="1"/>
  <c r="AY32" i="5"/>
  <c r="AE76" i="5" s="1"/>
  <c r="AX32" i="5"/>
  <c r="AE77" i="5" s="1"/>
  <c r="AW32" i="5"/>
  <c r="AE78" i="5" s="1"/>
  <c r="AV32" i="5"/>
  <c r="AE79" i="5" s="1"/>
  <c r="AU32" i="5"/>
  <c r="AE80" i="5" s="1"/>
  <c r="AT32" i="5"/>
  <c r="AE81" i="5" s="1"/>
  <c r="AE83" i="5"/>
  <c r="AE19" i="7" s="1"/>
  <c r="AE84" i="5"/>
  <c r="AE20" i="7" s="1"/>
  <c r="AE85" i="5"/>
  <c r="AE21" i="7" s="1"/>
  <c r="AE88" i="5"/>
  <c r="AE24" i="7" s="1"/>
  <c r="AE89" i="5"/>
  <c r="AE25" i="7" s="1"/>
  <c r="AE91" i="5"/>
  <c r="AE27" i="7" s="1"/>
  <c r="AE92" i="5"/>
  <c r="AE28" i="7" s="1"/>
  <c r="AE93" i="5"/>
  <c r="AE29" i="7" s="1"/>
  <c r="AE96" i="5"/>
  <c r="AE32" i="7" s="1"/>
  <c r="AE99" i="5"/>
  <c r="AE35" i="7" s="1"/>
  <c r="AE100" i="5"/>
  <c r="AE36" i="7" s="1"/>
  <c r="AE101" i="5"/>
  <c r="AE37" i="7" s="1"/>
  <c r="AE104" i="5"/>
  <c r="AE40" i="7" s="1"/>
  <c r="AE105" i="5"/>
  <c r="AE41" i="7" s="1"/>
  <c r="AE107" i="5"/>
  <c r="AE43" i="7" s="1"/>
  <c r="AE108" i="5"/>
  <c r="AE44" i="7" s="1"/>
  <c r="AE109" i="5"/>
  <c r="AE45" i="7" s="1"/>
  <c r="AE112" i="5"/>
  <c r="AE48" i="7" s="1"/>
  <c r="AE115" i="5"/>
  <c r="AE51" i="7" s="1"/>
  <c r="AE116" i="5"/>
  <c r="AE52" i="7" s="1"/>
  <c r="AE117" i="5"/>
  <c r="AE53" i="7" s="1"/>
  <c r="AE120" i="5"/>
  <c r="AE56" i="7" s="1"/>
  <c r="AE121" i="5"/>
  <c r="AE57" i="7" s="1"/>
  <c r="AE123" i="5"/>
  <c r="AE59" i="7" s="1"/>
  <c r="AE124" i="5"/>
  <c r="AE60" i="7" s="1"/>
  <c r="AE125" i="5"/>
  <c r="AE61" i="7" s="1"/>
  <c r="BI31" i="5"/>
  <c r="AF66" i="5" s="1"/>
  <c r="BH31" i="5"/>
  <c r="AF67" i="5" s="1"/>
  <c r="BG31" i="5"/>
  <c r="AF68" i="5" s="1"/>
  <c r="BF31" i="5"/>
  <c r="AF69" i="5" s="1"/>
  <c r="BE31" i="5"/>
  <c r="AF70" i="5" s="1"/>
  <c r="BD31" i="5"/>
  <c r="AF71" i="5" s="1"/>
  <c r="BC31" i="5"/>
  <c r="AF72" i="5" s="1"/>
  <c r="BB31" i="5"/>
  <c r="AF73" i="5" s="1"/>
  <c r="BA31" i="5"/>
  <c r="AF74" i="5" s="1"/>
  <c r="AZ31" i="5"/>
  <c r="AF75" i="5" s="1"/>
  <c r="AY31" i="5"/>
  <c r="AF76" i="5" s="1"/>
  <c r="AX31" i="5"/>
  <c r="AF77" i="5" s="1"/>
  <c r="AW31" i="5"/>
  <c r="AF78" i="5" s="1"/>
  <c r="AV31" i="5"/>
  <c r="AF79" i="5" s="1"/>
  <c r="AU31" i="5"/>
  <c r="AF80" i="5" s="1"/>
  <c r="AT31" i="5"/>
  <c r="AF81" i="5" s="1"/>
  <c r="AF83" i="5"/>
  <c r="AF19" i="7" s="1"/>
  <c r="AF84" i="5"/>
  <c r="AF20" i="7" s="1"/>
  <c r="AF87" i="5"/>
  <c r="AF23" i="7" s="1"/>
  <c r="AF88" i="5"/>
  <c r="AF24" i="7" s="1"/>
  <c r="AF89" i="5"/>
  <c r="AF25" i="7" s="1"/>
  <c r="AF92" i="5"/>
  <c r="AF28" i="7" s="1"/>
  <c r="AF95" i="5"/>
  <c r="AF31" i="7" s="1"/>
  <c r="AF96" i="5"/>
  <c r="AF32" i="7" s="1"/>
  <c r="AF97" i="5"/>
  <c r="AF33" i="7" s="1"/>
  <c r="AF99" i="5"/>
  <c r="AF35" i="7" s="1"/>
  <c r="AF100" i="5"/>
  <c r="AF36" i="7" s="1"/>
  <c r="AF103" i="5"/>
  <c r="AF39" i="7" s="1"/>
  <c r="AF104" i="5"/>
  <c r="AF40" i="7" s="1"/>
  <c r="AF105" i="5"/>
  <c r="AF41" i="7" s="1"/>
  <c r="AF108" i="5"/>
  <c r="AF44" i="7" s="1"/>
  <c r="AF111" i="5"/>
  <c r="AF47" i="7" s="1"/>
  <c r="AF113" i="5"/>
  <c r="AF49" i="7" s="1"/>
  <c r="AF115" i="5"/>
  <c r="AF51" i="7" s="1"/>
  <c r="AF116" i="5"/>
  <c r="AF52" i="7" s="1"/>
  <c r="AF119" i="5"/>
  <c r="AF55" i="7" s="1"/>
  <c r="AF121" i="5"/>
  <c r="AF57" i="7" s="1"/>
  <c r="AF124" i="5"/>
  <c r="AF60" i="7" s="1"/>
  <c r="BI30" i="5"/>
  <c r="AG66" i="5" s="1"/>
  <c r="BH30" i="5"/>
  <c r="AG67" i="5" s="1"/>
  <c r="BG30" i="5"/>
  <c r="AG68" i="5" s="1"/>
  <c r="BF30" i="5"/>
  <c r="AG69" i="5" s="1"/>
  <c r="BE30" i="5"/>
  <c r="AG70" i="5" s="1"/>
  <c r="BD30" i="5"/>
  <c r="AG71" i="5" s="1"/>
  <c r="BC30" i="5"/>
  <c r="AG72" i="5" s="1"/>
  <c r="BB30" i="5"/>
  <c r="AG73" i="5" s="1"/>
  <c r="BA30" i="5"/>
  <c r="AG74" i="5" s="1"/>
  <c r="AZ30" i="5"/>
  <c r="AG75" i="5" s="1"/>
  <c r="AY30" i="5"/>
  <c r="AG76" i="5" s="1"/>
  <c r="AX30" i="5"/>
  <c r="AG77" i="5" s="1"/>
  <c r="AW30" i="5"/>
  <c r="AG78" i="5" s="1"/>
  <c r="AV30" i="5"/>
  <c r="AG79" i="5" s="1"/>
  <c r="AU30" i="5"/>
  <c r="AG80" i="5" s="1"/>
  <c r="AT30" i="5"/>
  <c r="AG81" i="5" s="1"/>
  <c r="AG83" i="5"/>
  <c r="AG19" i="7" s="1"/>
  <c r="AG84" i="5"/>
  <c r="AG20" i="7" s="1"/>
  <c r="AG85" i="5"/>
  <c r="AG21" i="7" s="1"/>
  <c r="AG88" i="5"/>
  <c r="AG24" i="7" s="1"/>
  <c r="AG91" i="5"/>
  <c r="AG27" i="7" s="1"/>
  <c r="AG92" i="5"/>
  <c r="AG28" i="7" s="1"/>
  <c r="AG93" i="5"/>
  <c r="AG29" i="7" s="1"/>
  <c r="AG96" i="5"/>
  <c r="AG32" i="7" s="1"/>
  <c r="AG97" i="5"/>
  <c r="AG33" i="7" s="1"/>
  <c r="AG99" i="5"/>
  <c r="AG35" i="7" s="1"/>
  <c r="AG101" i="5"/>
  <c r="AG37" i="7" s="1"/>
  <c r="AG104" i="5"/>
  <c r="AG40" i="7" s="1"/>
  <c r="AG107" i="5"/>
  <c r="AG43" i="7" s="1"/>
  <c r="AG108" i="5"/>
  <c r="AG44" i="7" s="1"/>
  <c r="AG109" i="5"/>
  <c r="AG45" i="7" s="1"/>
  <c r="AG112" i="5"/>
  <c r="AG48" i="7" s="1"/>
  <c r="AG113" i="5"/>
  <c r="AG49" i="7" s="1"/>
  <c r="AG115" i="5"/>
  <c r="AG51" i="7" s="1"/>
  <c r="AG117" i="5"/>
  <c r="AG53" i="7" s="1"/>
  <c r="AG120" i="5"/>
  <c r="AG56" i="7" s="1"/>
  <c r="AG123" i="5"/>
  <c r="AG59" i="7" s="1"/>
  <c r="AG125" i="5"/>
  <c r="AG61" i="7" s="1"/>
  <c r="BI29" i="5"/>
  <c r="AH66" i="5" s="1"/>
  <c r="BH29" i="5"/>
  <c r="AH67" i="5" s="1"/>
  <c r="BG29" i="5"/>
  <c r="AH68" i="5" s="1"/>
  <c r="BF29" i="5"/>
  <c r="AH69" i="5" s="1"/>
  <c r="BE29" i="5"/>
  <c r="AH70" i="5" s="1"/>
  <c r="BD29" i="5"/>
  <c r="AH71" i="5" s="1"/>
  <c r="BC29" i="5"/>
  <c r="AH72" i="5" s="1"/>
  <c r="BB29" i="5"/>
  <c r="AH73" i="5" s="1"/>
  <c r="BA29" i="5"/>
  <c r="AH74" i="5" s="1"/>
  <c r="AZ29" i="5"/>
  <c r="AH75" i="5" s="1"/>
  <c r="AY29" i="5"/>
  <c r="AH76" i="5" s="1"/>
  <c r="AX29" i="5"/>
  <c r="AH77" i="5" s="1"/>
  <c r="AW29" i="5"/>
  <c r="AH78" i="5" s="1"/>
  <c r="AV29" i="5"/>
  <c r="AH79" i="5" s="1"/>
  <c r="AU29" i="5"/>
  <c r="AH80" i="5" s="1"/>
  <c r="AT29" i="5"/>
  <c r="AH81" i="5" s="1"/>
  <c r="AH83" i="5"/>
  <c r="AH19" i="7" s="1"/>
  <c r="AH84" i="5"/>
  <c r="AH20" i="7" s="1"/>
  <c r="AH87" i="5"/>
  <c r="AH23" i="7" s="1"/>
  <c r="AH88" i="5"/>
  <c r="AH24" i="7" s="1"/>
  <c r="AH89" i="5"/>
  <c r="AH25" i="7" s="1"/>
  <c r="AH91" i="5"/>
  <c r="AH27" i="7" s="1"/>
  <c r="AH92" i="5"/>
  <c r="AH28" i="7" s="1"/>
  <c r="AH95" i="5"/>
  <c r="AH31" i="7" s="1"/>
  <c r="AH96" i="5"/>
  <c r="AH32" i="7" s="1"/>
  <c r="AH97" i="5"/>
  <c r="AH33" i="7" s="1"/>
  <c r="AH99" i="5"/>
  <c r="AH35" i="7" s="1"/>
  <c r="AH100" i="5"/>
  <c r="AH36" i="7" s="1"/>
  <c r="AH103" i="5"/>
  <c r="AH39" i="7" s="1"/>
  <c r="AH104" i="5"/>
  <c r="AH40" i="7" s="1"/>
  <c r="AH105" i="5"/>
  <c r="AH41" i="7" s="1"/>
  <c r="AH107" i="5"/>
  <c r="AH43" i="7" s="1"/>
  <c r="AH108" i="5"/>
  <c r="AH44" i="7" s="1"/>
  <c r="AH111" i="5"/>
  <c r="AH47" i="7" s="1"/>
  <c r="AH113" i="5"/>
  <c r="AH49" i="7" s="1"/>
  <c r="AH115" i="5"/>
  <c r="AH51" i="7" s="1"/>
  <c r="AH116" i="5"/>
  <c r="AH52" i="7" s="1"/>
  <c r="AH119" i="5"/>
  <c r="AH55" i="7" s="1"/>
  <c r="AH121" i="5"/>
  <c r="AH57" i="7" s="1"/>
  <c r="AH123" i="5"/>
  <c r="AH59" i="7" s="1"/>
  <c r="AH124" i="5"/>
  <c r="AH60" i="7" s="1"/>
  <c r="BI28" i="5"/>
  <c r="AI66" i="5" s="1"/>
  <c r="BH28" i="5"/>
  <c r="AI67" i="5" s="1"/>
  <c r="BG28" i="5"/>
  <c r="AI68" i="5" s="1"/>
  <c r="BF28" i="5"/>
  <c r="AI69" i="5" s="1"/>
  <c r="BE28" i="5"/>
  <c r="AI70" i="5" s="1"/>
  <c r="BD28" i="5"/>
  <c r="AI71" i="5" s="1"/>
  <c r="BC28" i="5"/>
  <c r="AI72" i="5" s="1"/>
  <c r="BB28" i="5"/>
  <c r="AI73" i="5" s="1"/>
  <c r="BA28" i="5"/>
  <c r="AI74" i="5" s="1"/>
  <c r="AZ28" i="5"/>
  <c r="AI75" i="5" s="1"/>
  <c r="AY28" i="5"/>
  <c r="AI76" i="5" s="1"/>
  <c r="AX28" i="5"/>
  <c r="AI77" i="5" s="1"/>
  <c r="AW28" i="5"/>
  <c r="AI78" i="5" s="1"/>
  <c r="AV28" i="5"/>
  <c r="AI79" i="5" s="1"/>
  <c r="AU28" i="5"/>
  <c r="AI80" i="5" s="1"/>
  <c r="AT28" i="5"/>
  <c r="AI81" i="5" s="1"/>
  <c r="AI83" i="5"/>
  <c r="AI19" i="7" s="1"/>
  <c r="AI84" i="5"/>
  <c r="AI20" i="7" s="1"/>
  <c r="AI85" i="5"/>
  <c r="AI21" i="7" s="1"/>
  <c r="AI88" i="5"/>
  <c r="AI24" i="7" s="1"/>
  <c r="AI89" i="5"/>
  <c r="AI25" i="7" s="1"/>
  <c r="AI91" i="5"/>
  <c r="AI27" i="7" s="1"/>
  <c r="AI92" i="5"/>
  <c r="AI28" i="7" s="1"/>
  <c r="AI93" i="5"/>
  <c r="AI29" i="7" s="1"/>
  <c r="AI96" i="5"/>
  <c r="AI32" i="7" s="1"/>
  <c r="AI97" i="5"/>
  <c r="AI33" i="7" s="1"/>
  <c r="AI99" i="5"/>
  <c r="AI35" i="7" s="1"/>
  <c r="AI101" i="5"/>
  <c r="AI37" i="7" s="1"/>
  <c r="AI104" i="5"/>
  <c r="AI40" i="7" s="1"/>
  <c r="AI105" i="5"/>
  <c r="AI41" i="7" s="1"/>
  <c r="AI107" i="5"/>
  <c r="AI43" i="7" s="1"/>
  <c r="AI108" i="5"/>
  <c r="AI44" i="7" s="1"/>
  <c r="AI109" i="5"/>
  <c r="AI45" i="7" s="1"/>
  <c r="AI112" i="5"/>
  <c r="AI48" i="7" s="1"/>
  <c r="AI113" i="5"/>
  <c r="AI49" i="7" s="1"/>
  <c r="AI115" i="5"/>
  <c r="AI51" i="7" s="1"/>
  <c r="AI117" i="5"/>
  <c r="AI53" i="7" s="1"/>
  <c r="AI120" i="5"/>
  <c r="AI56" i="7" s="1"/>
  <c r="AI121" i="5"/>
  <c r="AI57" i="7" s="1"/>
  <c r="AI123" i="5"/>
  <c r="AI59" i="7" s="1"/>
  <c r="AI124" i="5"/>
  <c r="AI60" i="7" s="1"/>
  <c r="AI125" i="5"/>
  <c r="AI61" i="7" s="1"/>
  <c r="BI27" i="5"/>
  <c r="AJ66" i="5" s="1"/>
  <c r="BH27" i="5"/>
  <c r="AJ67" i="5" s="1"/>
  <c r="BG27" i="5"/>
  <c r="AJ68" i="5" s="1"/>
  <c r="BF27" i="5"/>
  <c r="AJ69" i="5" s="1"/>
  <c r="BE27" i="5"/>
  <c r="AJ70" i="5" s="1"/>
  <c r="BD27" i="5"/>
  <c r="AJ71" i="5" s="1"/>
  <c r="BC27" i="5"/>
  <c r="AJ72" i="5" s="1"/>
  <c r="BB27" i="5"/>
  <c r="AJ73" i="5" s="1"/>
  <c r="BA27" i="5"/>
  <c r="AJ74" i="5" s="1"/>
  <c r="AZ27" i="5"/>
  <c r="AJ75" i="5" s="1"/>
  <c r="AY27" i="5"/>
  <c r="AJ76" i="5" s="1"/>
  <c r="AX27" i="5"/>
  <c r="AJ77" i="5" s="1"/>
  <c r="AW27" i="5"/>
  <c r="AJ78" i="5" s="1"/>
  <c r="AV27" i="5"/>
  <c r="AJ79" i="5" s="1"/>
  <c r="AU27" i="5"/>
  <c r="AJ80" i="5" s="1"/>
  <c r="AT27" i="5"/>
  <c r="AJ81" i="5" s="1"/>
  <c r="AJ83" i="5"/>
  <c r="AJ19" i="7" s="1"/>
  <c r="AJ84" i="5"/>
  <c r="AJ20" i="7" s="1"/>
  <c r="AJ87" i="5"/>
  <c r="AJ23" i="7" s="1"/>
  <c r="AJ88" i="5"/>
  <c r="AJ24" i="7" s="1"/>
  <c r="AJ89" i="5"/>
  <c r="AJ25" i="7" s="1"/>
  <c r="AJ91" i="5"/>
  <c r="AJ27" i="7" s="1"/>
  <c r="AJ92" i="5"/>
  <c r="AJ28" i="7" s="1"/>
  <c r="AJ95" i="5"/>
  <c r="AJ31" i="7" s="1"/>
  <c r="AJ96" i="5"/>
  <c r="AJ32" i="7" s="1"/>
  <c r="AJ97" i="5"/>
  <c r="AJ33" i="7" s="1"/>
  <c r="AJ99" i="5"/>
  <c r="AJ35" i="7" s="1"/>
  <c r="AJ100" i="5"/>
  <c r="AJ36" i="7" s="1"/>
  <c r="AJ103" i="5"/>
  <c r="AJ39" i="7" s="1"/>
  <c r="AJ105" i="5"/>
  <c r="AJ41" i="7" s="1"/>
  <c r="AJ107" i="5"/>
  <c r="AJ43" i="7" s="1"/>
  <c r="AJ108" i="5"/>
  <c r="AJ44" i="7" s="1"/>
  <c r="AJ111" i="5"/>
  <c r="AJ47" i="7" s="1"/>
  <c r="AJ113" i="5"/>
  <c r="AJ49" i="7" s="1"/>
  <c r="AJ115" i="5"/>
  <c r="AJ51" i="7" s="1"/>
  <c r="AJ116" i="5"/>
  <c r="AJ52" i="7" s="1"/>
  <c r="AJ119" i="5"/>
  <c r="AJ55" i="7" s="1"/>
  <c r="AJ121" i="5"/>
  <c r="AJ57" i="7" s="1"/>
  <c r="AJ123" i="5"/>
  <c r="AJ59" i="7" s="1"/>
  <c r="AJ124" i="5"/>
  <c r="AJ60" i="7" s="1"/>
  <c r="BI26" i="5"/>
  <c r="AK66" i="5" s="1"/>
  <c r="BH26" i="5"/>
  <c r="AK67" i="5" s="1"/>
  <c r="BG26" i="5"/>
  <c r="AK68" i="5" s="1"/>
  <c r="BF26" i="5"/>
  <c r="AK69" i="5" s="1"/>
  <c r="BE26" i="5"/>
  <c r="AK70" i="5" s="1"/>
  <c r="BD26" i="5"/>
  <c r="AK71" i="5" s="1"/>
  <c r="BC26" i="5"/>
  <c r="AK72" i="5" s="1"/>
  <c r="BB26" i="5"/>
  <c r="AK73" i="5" s="1"/>
  <c r="BA26" i="5"/>
  <c r="AK74" i="5" s="1"/>
  <c r="AZ26" i="5"/>
  <c r="AK75" i="5" s="1"/>
  <c r="AY26" i="5"/>
  <c r="AK76" i="5" s="1"/>
  <c r="AX26" i="5"/>
  <c r="AK77" i="5" s="1"/>
  <c r="AW26" i="5"/>
  <c r="AK78" i="5" s="1"/>
  <c r="AV26" i="5"/>
  <c r="AK79" i="5" s="1"/>
  <c r="AU26" i="5"/>
  <c r="AK80" i="5" s="1"/>
  <c r="AT26" i="5"/>
  <c r="AK81" i="5" s="1"/>
  <c r="AK83" i="5"/>
  <c r="AK19" i="7" s="1"/>
  <c r="AK84" i="5"/>
  <c r="AK20" i="7" s="1"/>
  <c r="AK85" i="5"/>
  <c r="AK21" i="7" s="1"/>
  <c r="AK88" i="5"/>
  <c r="AK24" i="7" s="1"/>
  <c r="AK89" i="5"/>
  <c r="AK25" i="7" s="1"/>
  <c r="AK91" i="5"/>
  <c r="AK27" i="7" s="1"/>
  <c r="AK92" i="5"/>
  <c r="AK28" i="7" s="1"/>
  <c r="AK93" i="5"/>
  <c r="AK29" i="7" s="1"/>
  <c r="AK96" i="5"/>
  <c r="AK32" i="7" s="1"/>
  <c r="AK97" i="5"/>
  <c r="AK33" i="7" s="1"/>
  <c r="AK99" i="5"/>
  <c r="AK35" i="7" s="1"/>
  <c r="AK100" i="5"/>
  <c r="AK36" i="7" s="1"/>
  <c r="AK101" i="5"/>
  <c r="AK37" i="7" s="1"/>
  <c r="AK104" i="5"/>
  <c r="AK40" i="7" s="1"/>
  <c r="AK105" i="5"/>
  <c r="AK41" i="7" s="1"/>
  <c r="AK107" i="5"/>
  <c r="AK43" i="7" s="1"/>
  <c r="AK109" i="5"/>
  <c r="AK45" i="7" s="1"/>
  <c r="AK112" i="5"/>
  <c r="AK48" i="7" s="1"/>
  <c r="AK113" i="5"/>
  <c r="AK49" i="7" s="1"/>
  <c r="AK115" i="5"/>
  <c r="AK51" i="7" s="1"/>
  <c r="AK117" i="5"/>
  <c r="AK53" i="7" s="1"/>
  <c r="AK120" i="5"/>
  <c r="AK56" i="7" s="1"/>
  <c r="AK121" i="5"/>
  <c r="AK57" i="7" s="1"/>
  <c r="AK123" i="5"/>
  <c r="AK59" i="7" s="1"/>
  <c r="AK125" i="5"/>
  <c r="AK61" i="7" s="1"/>
  <c r="BI25" i="5"/>
  <c r="AL66" i="5" s="1"/>
  <c r="BH25" i="5"/>
  <c r="AL67" i="5" s="1"/>
  <c r="BG25" i="5"/>
  <c r="AL68" i="5" s="1"/>
  <c r="BF25" i="5"/>
  <c r="AL69" i="5" s="1"/>
  <c r="BE25" i="5"/>
  <c r="AL70" i="5" s="1"/>
  <c r="BD25" i="5"/>
  <c r="AL71" i="5" s="1"/>
  <c r="BC25" i="5"/>
  <c r="AL72" i="5" s="1"/>
  <c r="BB25" i="5"/>
  <c r="AL73" i="5" s="1"/>
  <c r="BA25" i="5"/>
  <c r="AL74" i="5" s="1"/>
  <c r="AZ25" i="5"/>
  <c r="AL75" i="5" s="1"/>
  <c r="AY25" i="5"/>
  <c r="AL76" i="5" s="1"/>
  <c r="AX25" i="5"/>
  <c r="AL77" i="5" s="1"/>
  <c r="AW25" i="5"/>
  <c r="AL78" i="5" s="1"/>
  <c r="AV25" i="5"/>
  <c r="AL79" i="5" s="1"/>
  <c r="AU25" i="5"/>
  <c r="AL80" i="5" s="1"/>
  <c r="AT25" i="5"/>
  <c r="AL81" i="5" s="1"/>
  <c r="AL83" i="5"/>
  <c r="AL19" i="7" s="1"/>
  <c r="AL84" i="5"/>
  <c r="AL20" i="7" s="1"/>
  <c r="AL87" i="5"/>
  <c r="AL23" i="7" s="1"/>
  <c r="AL88" i="5"/>
  <c r="AL24" i="7" s="1"/>
  <c r="AL89" i="5"/>
  <c r="AL25" i="7" s="1"/>
  <c r="AL91" i="5"/>
  <c r="AL27" i="7" s="1"/>
  <c r="AL92" i="5"/>
  <c r="AL28" i="7" s="1"/>
  <c r="AL95" i="5"/>
  <c r="AL31" i="7" s="1"/>
  <c r="AL96" i="5"/>
  <c r="AL32" i="7" s="1"/>
  <c r="AL97" i="5"/>
  <c r="AL33" i="7" s="1"/>
  <c r="AL99" i="5"/>
  <c r="AL35" i="7" s="1"/>
  <c r="AL100" i="5"/>
  <c r="AL36" i="7" s="1"/>
  <c r="AL101" i="5"/>
  <c r="AL37" i="7" s="1"/>
  <c r="AL103" i="5"/>
  <c r="AL39" i="7" s="1"/>
  <c r="AL105" i="5"/>
  <c r="AL41" i="7" s="1"/>
  <c r="AL107" i="5"/>
  <c r="AL43" i="7" s="1"/>
  <c r="AL108" i="5"/>
  <c r="AL44" i="7" s="1"/>
  <c r="AL111" i="5"/>
  <c r="AL47" i="7" s="1"/>
  <c r="AL113" i="5"/>
  <c r="AL49" i="7" s="1"/>
  <c r="AL115" i="5"/>
  <c r="AL51" i="7" s="1"/>
  <c r="AL116" i="5"/>
  <c r="AL52" i="7" s="1"/>
  <c r="AL119" i="5"/>
  <c r="AL55" i="7" s="1"/>
  <c r="AL121" i="5"/>
  <c r="AL57" i="7" s="1"/>
  <c r="AL123" i="5"/>
  <c r="AL59" i="7" s="1"/>
  <c r="AL124" i="5"/>
  <c r="AL60" i="7" s="1"/>
  <c r="BI24" i="5"/>
  <c r="AM66" i="5" s="1"/>
  <c r="BH24" i="5"/>
  <c r="AM67" i="5" s="1"/>
  <c r="BG24" i="5"/>
  <c r="AM68" i="5" s="1"/>
  <c r="BF24" i="5"/>
  <c r="AM69" i="5" s="1"/>
  <c r="BE24" i="5"/>
  <c r="AM70" i="5" s="1"/>
  <c r="BD24" i="5"/>
  <c r="AM71" i="5" s="1"/>
  <c r="BC24" i="5"/>
  <c r="AM72" i="5" s="1"/>
  <c r="BB24" i="5"/>
  <c r="AM73" i="5" s="1"/>
  <c r="BA24" i="5"/>
  <c r="AM74" i="5" s="1"/>
  <c r="AZ24" i="5"/>
  <c r="AM75" i="5" s="1"/>
  <c r="AY24" i="5"/>
  <c r="AM76" i="5" s="1"/>
  <c r="AX24" i="5"/>
  <c r="AM77" i="5" s="1"/>
  <c r="AW24" i="5"/>
  <c r="AM78" i="5" s="1"/>
  <c r="AV24" i="5"/>
  <c r="AM79" i="5" s="1"/>
  <c r="AU24" i="5"/>
  <c r="AM80" i="5" s="1"/>
  <c r="AT24" i="5"/>
  <c r="AM81" i="5" s="1"/>
  <c r="AM83" i="5"/>
  <c r="AM19" i="7" s="1"/>
  <c r="AM84" i="5"/>
  <c r="AM20" i="7" s="1"/>
  <c r="AM85" i="5"/>
  <c r="AM21" i="7" s="1"/>
  <c r="AM88" i="5"/>
  <c r="AM24" i="7" s="1"/>
  <c r="AM89" i="5"/>
  <c r="AM25" i="7" s="1"/>
  <c r="AM91" i="5"/>
  <c r="AM27" i="7" s="1"/>
  <c r="AM92" i="5"/>
  <c r="AM28" i="7" s="1"/>
  <c r="AM93" i="5"/>
  <c r="AM29" i="7" s="1"/>
  <c r="AM95" i="5"/>
  <c r="AM31" i="7" s="1"/>
  <c r="AM96" i="5"/>
  <c r="AM32" i="7" s="1"/>
  <c r="AM97" i="5"/>
  <c r="AM33" i="7" s="1"/>
  <c r="AM99" i="5"/>
  <c r="AM35" i="7" s="1"/>
  <c r="AM101" i="5"/>
  <c r="AM37" i="7" s="1"/>
  <c r="AM104" i="5"/>
  <c r="AM40" i="7" s="1"/>
  <c r="AM105" i="5"/>
  <c r="AM41" i="7" s="1"/>
  <c r="AM107" i="5"/>
  <c r="AM43" i="7" s="1"/>
  <c r="AM108" i="5"/>
  <c r="AM44" i="7" s="1"/>
  <c r="AM109" i="5"/>
  <c r="AM45" i="7" s="1"/>
  <c r="AM111" i="5"/>
  <c r="AM47" i="7" s="1"/>
  <c r="AM112" i="5"/>
  <c r="AM48" i="7" s="1"/>
  <c r="AM113" i="5"/>
  <c r="AM49" i="7" s="1"/>
  <c r="AM115" i="5"/>
  <c r="AM51" i="7" s="1"/>
  <c r="AM117" i="5"/>
  <c r="AM53" i="7" s="1"/>
  <c r="AM120" i="5"/>
  <c r="AM56" i="7" s="1"/>
  <c r="AM121" i="5"/>
  <c r="AM57" i="7" s="1"/>
  <c r="AM123" i="5"/>
  <c r="AM59" i="7" s="1"/>
  <c r="AM125" i="5"/>
  <c r="AM61" i="7" s="1"/>
  <c r="BI23" i="5"/>
  <c r="AN66" i="5" s="1"/>
  <c r="BH23" i="5"/>
  <c r="AN67" i="5" s="1"/>
  <c r="BG23" i="5"/>
  <c r="AN68" i="5" s="1"/>
  <c r="BF23" i="5"/>
  <c r="AN69" i="5" s="1"/>
  <c r="BE23" i="5"/>
  <c r="AN70" i="5" s="1"/>
  <c r="BD23" i="5"/>
  <c r="AN71" i="5" s="1"/>
  <c r="BC23" i="5"/>
  <c r="AN72" i="5" s="1"/>
  <c r="BB23" i="5"/>
  <c r="AN73" i="5" s="1"/>
  <c r="BA23" i="5"/>
  <c r="AN74" i="5" s="1"/>
  <c r="AZ23" i="5"/>
  <c r="AN75" i="5" s="1"/>
  <c r="AY23" i="5"/>
  <c r="AN76" i="5" s="1"/>
  <c r="AX23" i="5"/>
  <c r="AN77" i="5" s="1"/>
  <c r="AW23" i="5"/>
  <c r="AN78" i="5" s="1"/>
  <c r="AV23" i="5"/>
  <c r="AN79" i="5" s="1"/>
  <c r="AU23" i="5"/>
  <c r="AN80" i="5" s="1"/>
  <c r="AT23" i="5"/>
  <c r="AN81" i="5" s="1"/>
  <c r="AN83" i="5"/>
  <c r="AN19" i="7" s="1"/>
  <c r="AN84" i="5"/>
  <c r="AN20" i="7" s="1"/>
  <c r="AN87" i="5"/>
  <c r="AN23" i="7" s="1"/>
  <c r="AN88" i="5"/>
  <c r="AN24" i="7" s="1"/>
  <c r="AN89" i="5"/>
  <c r="AN25" i="7" s="1"/>
  <c r="AN91" i="5"/>
  <c r="AN27" i="7" s="1"/>
  <c r="AN92" i="5"/>
  <c r="AN28" i="7" s="1"/>
  <c r="AN93" i="5"/>
  <c r="AN29" i="7" s="1"/>
  <c r="AN95" i="5"/>
  <c r="AN31" i="7" s="1"/>
  <c r="AN96" i="5"/>
  <c r="AN32" i="7" s="1"/>
  <c r="AN97" i="5"/>
  <c r="AN33" i="7" s="1"/>
  <c r="AN99" i="5"/>
  <c r="AN35" i="7" s="1"/>
  <c r="AN100" i="5"/>
  <c r="AN36" i="7" s="1"/>
  <c r="AN103" i="5"/>
  <c r="AN39" i="7" s="1"/>
  <c r="AN105" i="5"/>
  <c r="AN41" i="7" s="1"/>
  <c r="AN107" i="5"/>
  <c r="AN43" i="7" s="1"/>
  <c r="AN108" i="5"/>
  <c r="AN44" i="7" s="1"/>
  <c r="AN109" i="5"/>
  <c r="AN45" i="7" s="1"/>
  <c r="AN111" i="5"/>
  <c r="AN47" i="7" s="1"/>
  <c r="AN113" i="5"/>
  <c r="AN49" i="7" s="1"/>
  <c r="AN115" i="5"/>
  <c r="AN51" i="7" s="1"/>
  <c r="AN116" i="5"/>
  <c r="AN52" i="7" s="1"/>
  <c r="AN119" i="5"/>
  <c r="AN55" i="7" s="1"/>
  <c r="AN121" i="5"/>
  <c r="AN57" i="7" s="1"/>
  <c r="AN123" i="5"/>
  <c r="AN59" i="7" s="1"/>
  <c r="AN124" i="5"/>
  <c r="AN60" i="7" s="1"/>
  <c r="AN125" i="5"/>
  <c r="AN61" i="7" s="1"/>
  <c r="BI22" i="5"/>
  <c r="AO66" i="5" s="1"/>
  <c r="BH22" i="5"/>
  <c r="AO67" i="5" s="1"/>
  <c r="BG22" i="5"/>
  <c r="AO68" i="5" s="1"/>
  <c r="BF22" i="5"/>
  <c r="AO69" i="5" s="1"/>
  <c r="BE22" i="5"/>
  <c r="AO70" i="5" s="1"/>
  <c r="BD22" i="5"/>
  <c r="AO71" i="5" s="1"/>
  <c r="BC22" i="5"/>
  <c r="AO72" i="5" s="1"/>
  <c r="BB22" i="5"/>
  <c r="AO73" i="5" s="1"/>
  <c r="BA22" i="5"/>
  <c r="AO74" i="5" s="1"/>
  <c r="AZ22" i="5"/>
  <c r="AO75" i="5" s="1"/>
  <c r="AY22" i="5"/>
  <c r="AO76" i="5" s="1"/>
  <c r="AX22" i="5"/>
  <c r="AO77" i="5" s="1"/>
  <c r="AW22" i="5"/>
  <c r="AO78" i="5" s="1"/>
  <c r="AV22" i="5"/>
  <c r="AO79" i="5" s="1"/>
  <c r="AU22" i="5"/>
  <c r="AO80" i="5" s="1"/>
  <c r="AT22" i="5"/>
  <c r="AO81" i="5" s="1"/>
  <c r="AO83" i="5"/>
  <c r="AO19" i="7" s="1"/>
  <c r="AO84" i="5"/>
  <c r="AO20" i="7" s="1"/>
  <c r="AO85" i="5"/>
  <c r="AO21" i="7" s="1"/>
  <c r="AO87" i="5"/>
  <c r="AO23" i="7" s="1"/>
  <c r="AO88" i="5"/>
  <c r="AO24" i="7" s="1"/>
  <c r="AO89" i="5"/>
  <c r="AO25" i="7" s="1"/>
  <c r="AO91" i="5"/>
  <c r="AO27" i="7" s="1"/>
  <c r="AO92" i="5"/>
  <c r="AO28" i="7" s="1"/>
  <c r="AO93" i="5"/>
  <c r="AO29" i="7" s="1"/>
  <c r="AO96" i="5"/>
  <c r="AO32" i="7" s="1"/>
  <c r="AO97" i="5"/>
  <c r="AO33" i="7" s="1"/>
  <c r="AO99" i="5"/>
  <c r="AO35" i="7" s="1"/>
  <c r="AO101" i="5"/>
  <c r="AO37" i="7" s="1"/>
  <c r="AO103" i="5"/>
  <c r="AO39" i="7" s="1"/>
  <c r="AO104" i="5"/>
  <c r="AO40" i="7" s="1"/>
  <c r="AO105" i="5"/>
  <c r="AO41" i="7" s="1"/>
  <c r="AO107" i="5"/>
  <c r="AO43" i="7" s="1"/>
  <c r="AO109" i="5"/>
  <c r="AO45" i="7" s="1"/>
  <c r="AO112" i="5"/>
  <c r="AO48" i="7" s="1"/>
  <c r="AO113" i="5"/>
  <c r="AO49" i="7" s="1"/>
  <c r="AO115" i="5"/>
  <c r="AO51" i="7" s="1"/>
  <c r="AO116" i="5"/>
  <c r="AO52" i="7" s="1"/>
  <c r="AO117" i="5"/>
  <c r="AO53" i="7" s="1"/>
  <c r="AO119" i="5"/>
  <c r="AO55" i="7" s="1"/>
  <c r="AO120" i="5"/>
  <c r="AO56" i="7" s="1"/>
  <c r="AO121" i="5"/>
  <c r="AO57" i="7" s="1"/>
  <c r="AO123" i="5"/>
  <c r="AO59" i="7" s="1"/>
  <c r="AO124" i="5"/>
  <c r="AO60" i="7" s="1"/>
  <c r="AO125" i="5"/>
  <c r="AO61" i="7" s="1"/>
  <c r="BI21" i="5"/>
  <c r="AP66" i="5" s="1"/>
  <c r="BH21" i="5"/>
  <c r="AP67" i="5" s="1"/>
  <c r="BG21" i="5"/>
  <c r="AP68" i="5" s="1"/>
  <c r="BF21" i="5"/>
  <c r="AP69" i="5" s="1"/>
  <c r="BE21" i="5"/>
  <c r="AP70" i="5" s="1"/>
  <c r="BD21" i="5"/>
  <c r="AP71" i="5" s="1"/>
  <c r="BC21" i="5"/>
  <c r="AP72" i="5" s="1"/>
  <c r="BB21" i="5"/>
  <c r="AP73" i="5" s="1"/>
  <c r="BA21" i="5"/>
  <c r="AP74" i="5" s="1"/>
  <c r="AZ21" i="5"/>
  <c r="AP75" i="5" s="1"/>
  <c r="AY21" i="5"/>
  <c r="AP76" i="5" s="1"/>
  <c r="AX21" i="5"/>
  <c r="AP77" i="5" s="1"/>
  <c r="AW21" i="5"/>
  <c r="AP78" i="5" s="1"/>
  <c r="AV21" i="5"/>
  <c r="AP79" i="5" s="1"/>
  <c r="AU21" i="5"/>
  <c r="AP80" i="5" s="1"/>
  <c r="AT21" i="5"/>
  <c r="AP81" i="5" s="1"/>
  <c r="AP83" i="5"/>
  <c r="AP19" i="7" s="1"/>
  <c r="AP84" i="5"/>
  <c r="AP20" i="7" s="1"/>
  <c r="AP85" i="5"/>
  <c r="AP21" i="7" s="1"/>
  <c r="AP87" i="5"/>
  <c r="AP23" i="7" s="1"/>
  <c r="AP88" i="5"/>
  <c r="AP24" i="7" s="1"/>
  <c r="AP89" i="5"/>
  <c r="AP25" i="7" s="1"/>
  <c r="AP91" i="5"/>
  <c r="AP27" i="7" s="1"/>
  <c r="AP92" i="5"/>
  <c r="AP28" i="7" s="1"/>
  <c r="AP95" i="5"/>
  <c r="AP31" i="7" s="1"/>
  <c r="AP96" i="5"/>
  <c r="AP32" i="7" s="1"/>
  <c r="AP97" i="5"/>
  <c r="AP33" i="7" s="1"/>
  <c r="AP99" i="5"/>
  <c r="AP35" i="7" s="1"/>
  <c r="AP100" i="5"/>
  <c r="AP36" i="7" s="1"/>
  <c r="AP101" i="5"/>
  <c r="AP37" i="7" s="1"/>
  <c r="AP103" i="5"/>
  <c r="AP39" i="7" s="1"/>
  <c r="AP105" i="5"/>
  <c r="AP41" i="7" s="1"/>
  <c r="AP107" i="5"/>
  <c r="AP43" i="7" s="1"/>
  <c r="AP108" i="5"/>
  <c r="AP44" i="7" s="1"/>
  <c r="AP111" i="5"/>
  <c r="AP47" i="7" s="1"/>
  <c r="AP113" i="5"/>
  <c r="AP49" i="7" s="1"/>
  <c r="AP115" i="5"/>
  <c r="AP51" i="7" s="1"/>
  <c r="AP116" i="5"/>
  <c r="AP52" i="7" s="1"/>
  <c r="AP117" i="5"/>
  <c r="AP53" i="7" s="1"/>
  <c r="AP119" i="5"/>
  <c r="AP55" i="7" s="1"/>
  <c r="AP121" i="5"/>
  <c r="AP57" i="7" s="1"/>
  <c r="AP123" i="5"/>
  <c r="AP59" i="7" s="1"/>
  <c r="AP124" i="5"/>
  <c r="AP60" i="7" s="1"/>
  <c r="BI20" i="5"/>
  <c r="AQ66" i="5" s="1"/>
  <c r="BH20" i="5"/>
  <c r="AQ67" i="5" s="1"/>
  <c r="BG20" i="5"/>
  <c r="AQ68" i="5" s="1"/>
  <c r="BF20" i="5"/>
  <c r="AQ69" i="5" s="1"/>
  <c r="BE20" i="5"/>
  <c r="AQ70" i="5" s="1"/>
  <c r="BD20" i="5"/>
  <c r="AQ71" i="5" s="1"/>
  <c r="BC20" i="5"/>
  <c r="AQ72" i="5" s="1"/>
  <c r="BB20" i="5"/>
  <c r="AQ73" i="5" s="1"/>
  <c r="BA20" i="5"/>
  <c r="AQ74" i="5" s="1"/>
  <c r="AZ20" i="5"/>
  <c r="AQ75" i="5" s="1"/>
  <c r="AY20" i="5"/>
  <c r="AQ76" i="5" s="1"/>
  <c r="AX20" i="5"/>
  <c r="AQ77" i="5" s="1"/>
  <c r="AW20" i="5"/>
  <c r="AQ78" i="5" s="1"/>
  <c r="AV20" i="5"/>
  <c r="AQ79" i="5" s="1"/>
  <c r="AU20" i="5"/>
  <c r="AQ80" i="5" s="1"/>
  <c r="AT20" i="5"/>
  <c r="AQ81" i="5" s="1"/>
  <c r="AQ83" i="5"/>
  <c r="AQ19" i="7" s="1"/>
  <c r="AQ84" i="5"/>
  <c r="AQ20" i="7" s="1"/>
  <c r="AQ85" i="5"/>
  <c r="AQ21" i="7" s="1"/>
  <c r="AQ88" i="5"/>
  <c r="AQ24" i="7" s="1"/>
  <c r="AQ89" i="5"/>
  <c r="AQ25" i="7" s="1"/>
  <c r="AQ91" i="5"/>
  <c r="AQ27" i="7" s="1"/>
  <c r="AQ92" i="5"/>
  <c r="AQ28" i="7" s="1"/>
  <c r="AQ93" i="5"/>
  <c r="AQ29" i="7" s="1"/>
  <c r="AQ95" i="5"/>
  <c r="AQ31" i="7" s="1"/>
  <c r="AQ96" i="5"/>
  <c r="AQ32" i="7" s="1"/>
  <c r="AQ97" i="5"/>
  <c r="AQ33" i="7" s="1"/>
  <c r="AQ99" i="5"/>
  <c r="AQ35" i="7" s="1"/>
  <c r="AQ101" i="5"/>
  <c r="AQ37" i="7" s="1"/>
  <c r="AQ104" i="5"/>
  <c r="AQ40" i="7" s="1"/>
  <c r="AQ105" i="5"/>
  <c r="AQ41" i="7" s="1"/>
  <c r="AQ107" i="5"/>
  <c r="AQ43" i="7" s="1"/>
  <c r="AQ109" i="5"/>
  <c r="AQ45" i="7" s="1"/>
  <c r="AQ111" i="5"/>
  <c r="AQ47" i="7" s="1"/>
  <c r="AQ112" i="5"/>
  <c r="AQ48" i="7" s="1"/>
  <c r="AQ113" i="5"/>
  <c r="AQ49" i="7" s="1"/>
  <c r="AQ115" i="5"/>
  <c r="AQ51" i="7" s="1"/>
  <c r="AQ117" i="5"/>
  <c r="AQ53" i="7" s="1"/>
  <c r="AQ120" i="5"/>
  <c r="AQ56" i="7" s="1"/>
  <c r="AQ121" i="5"/>
  <c r="AQ57" i="7" s="1"/>
  <c r="AQ123" i="5"/>
  <c r="AQ59" i="7" s="1"/>
  <c r="AQ125" i="5"/>
  <c r="AQ61" i="7" s="1"/>
  <c r="BI19" i="5"/>
  <c r="AR66" i="5" s="1"/>
  <c r="BH19" i="5"/>
  <c r="AR67" i="5" s="1"/>
  <c r="BG19" i="5"/>
  <c r="AR68" i="5" s="1"/>
  <c r="BF19" i="5"/>
  <c r="AR69" i="5" s="1"/>
  <c r="BE19" i="5"/>
  <c r="AR70" i="5" s="1"/>
  <c r="BD19" i="5"/>
  <c r="AR71" i="5" s="1"/>
  <c r="BC19" i="5"/>
  <c r="AR72" i="5" s="1"/>
  <c r="BB19" i="5"/>
  <c r="AR73" i="5" s="1"/>
  <c r="BA19" i="5"/>
  <c r="AR74" i="5" s="1"/>
  <c r="AZ19" i="5"/>
  <c r="AR75" i="5" s="1"/>
  <c r="AY19" i="5"/>
  <c r="AR76" i="5" s="1"/>
  <c r="AX19" i="5"/>
  <c r="AR77" i="5" s="1"/>
  <c r="AW19" i="5"/>
  <c r="AR78" i="5" s="1"/>
  <c r="AV19" i="5"/>
  <c r="AR79" i="5" s="1"/>
  <c r="AU19" i="5"/>
  <c r="AR80" i="5" s="1"/>
  <c r="AT19" i="5"/>
  <c r="AR81" i="5" s="1"/>
  <c r="AR83" i="5"/>
  <c r="AR19" i="7" s="1"/>
  <c r="AR84" i="5"/>
  <c r="AR20" i="7" s="1"/>
  <c r="AR87" i="5"/>
  <c r="AR23" i="7" s="1"/>
  <c r="AR88" i="5"/>
  <c r="AR24" i="7" s="1"/>
  <c r="AR89" i="5"/>
  <c r="AR25" i="7" s="1"/>
  <c r="AR91" i="5"/>
  <c r="AR27" i="7" s="1"/>
  <c r="AR92" i="5"/>
  <c r="AR28" i="7" s="1"/>
  <c r="AR93" i="5"/>
  <c r="AR29" i="7" s="1"/>
  <c r="AR95" i="5"/>
  <c r="AR31" i="7" s="1"/>
  <c r="AR97" i="5"/>
  <c r="AR33" i="7" s="1"/>
  <c r="AR99" i="5"/>
  <c r="AR35" i="7" s="1"/>
  <c r="AR100" i="5"/>
  <c r="AR36" i="7" s="1"/>
  <c r="AR103" i="5"/>
  <c r="AR39" i="7" s="1"/>
  <c r="AR105" i="5"/>
  <c r="AR41" i="7" s="1"/>
  <c r="AR107" i="5"/>
  <c r="AR43" i="7" s="1"/>
  <c r="AR108" i="5"/>
  <c r="AR44" i="7" s="1"/>
  <c r="AR109" i="5"/>
  <c r="AR45" i="7" s="1"/>
  <c r="AR111" i="5"/>
  <c r="AR47" i="7" s="1"/>
  <c r="AR112" i="5"/>
  <c r="AR48" i="7" s="1"/>
  <c r="AR113" i="5"/>
  <c r="AR49" i="7" s="1"/>
  <c r="AR115" i="5"/>
  <c r="AR51" i="7" s="1"/>
  <c r="AR116" i="5"/>
  <c r="AR52" i="7" s="1"/>
  <c r="AR119" i="5"/>
  <c r="AR55" i="7" s="1"/>
  <c r="AR121" i="5"/>
  <c r="AR57" i="7" s="1"/>
  <c r="AR123" i="5"/>
  <c r="AR59" i="7" s="1"/>
  <c r="AR124" i="5"/>
  <c r="AR60" i="7" s="1"/>
  <c r="AR125" i="5"/>
  <c r="AR61" i="7" s="1"/>
  <c r="BI18" i="5"/>
  <c r="AS66" i="5" s="1"/>
  <c r="BH18" i="5"/>
  <c r="AS67" i="5" s="1"/>
  <c r="BG18" i="5"/>
  <c r="AS68" i="5" s="1"/>
  <c r="BF18" i="5"/>
  <c r="AS69" i="5" s="1"/>
  <c r="BE18" i="5"/>
  <c r="AS70" i="5" s="1"/>
  <c r="BD18" i="5"/>
  <c r="AS71" i="5" s="1"/>
  <c r="BC18" i="5"/>
  <c r="AS72" i="5" s="1"/>
  <c r="BB18" i="5"/>
  <c r="AS73" i="5" s="1"/>
  <c r="BA18" i="5"/>
  <c r="AS74" i="5" s="1"/>
  <c r="AZ18" i="5"/>
  <c r="AS75" i="5" s="1"/>
  <c r="AY18" i="5"/>
  <c r="AS76" i="5" s="1"/>
  <c r="AX18" i="5"/>
  <c r="AS77" i="5" s="1"/>
  <c r="AW18" i="5"/>
  <c r="AS78" i="5" s="1"/>
  <c r="AV18" i="5"/>
  <c r="AS79" i="5" s="1"/>
  <c r="AU18" i="5"/>
  <c r="AS80" i="5" s="1"/>
  <c r="AT18" i="5"/>
  <c r="AS81" i="5" s="1"/>
  <c r="AS83" i="5"/>
  <c r="AS19" i="7" s="1"/>
  <c r="AS84" i="5"/>
  <c r="AS20" i="7" s="1"/>
  <c r="AS85" i="5"/>
  <c r="AS21" i="7" s="1"/>
  <c r="AS87" i="5"/>
  <c r="AS23" i="7" s="1"/>
  <c r="AS88" i="5"/>
  <c r="AS24" i="7" s="1"/>
  <c r="AS89" i="5"/>
  <c r="AS25" i="7" s="1"/>
  <c r="AS91" i="5"/>
  <c r="AS27" i="7" s="1"/>
  <c r="AS92" i="5"/>
  <c r="AS28" i="7" s="1"/>
  <c r="AS93" i="5"/>
  <c r="AS29" i="7" s="1"/>
  <c r="AS96" i="5"/>
  <c r="AS32" i="7" s="1"/>
  <c r="AS97" i="5"/>
  <c r="AS33" i="7" s="1"/>
  <c r="AS99" i="5"/>
  <c r="AS35" i="7" s="1"/>
  <c r="AS100" i="5"/>
  <c r="AS36" i="7" s="1"/>
  <c r="AS101" i="5"/>
  <c r="AS37" i="7" s="1"/>
  <c r="AS103" i="5"/>
  <c r="AS39" i="7" s="1"/>
  <c r="AS104" i="5"/>
  <c r="AS40" i="7" s="1"/>
  <c r="AS105" i="5"/>
  <c r="AS41" i="7" s="1"/>
  <c r="AS107" i="5"/>
  <c r="AS43" i="7" s="1"/>
  <c r="AS109" i="5"/>
  <c r="AS45" i="7" s="1"/>
  <c r="AS111" i="5"/>
  <c r="AS47" i="7" s="1"/>
  <c r="AS112" i="5"/>
  <c r="AS48" i="7" s="1"/>
  <c r="AS113" i="5"/>
  <c r="AS49" i="7" s="1"/>
  <c r="AS115" i="5"/>
  <c r="AS51" i="7" s="1"/>
  <c r="AS117" i="5"/>
  <c r="AS53" i="7" s="1"/>
  <c r="AS119" i="5"/>
  <c r="AS55" i="7" s="1"/>
  <c r="AS120" i="5"/>
  <c r="AS56" i="7" s="1"/>
  <c r="AS121" i="5"/>
  <c r="AS57" i="7" s="1"/>
  <c r="AS123" i="5"/>
  <c r="AS59" i="7" s="1"/>
  <c r="AS124" i="5"/>
  <c r="AS60" i="7" s="1"/>
  <c r="AS125" i="5"/>
  <c r="AS61" i="7" s="1"/>
  <c r="BI17" i="5"/>
  <c r="AT66" i="5" s="1"/>
  <c r="BH17" i="5"/>
  <c r="AT67" i="5" s="1"/>
  <c r="BG17" i="5"/>
  <c r="AT68" i="5" s="1"/>
  <c r="BF17" i="5"/>
  <c r="AT69" i="5" s="1"/>
  <c r="BE17" i="5"/>
  <c r="AT70" i="5" s="1"/>
  <c r="BD17" i="5"/>
  <c r="AT71" i="5" s="1"/>
  <c r="BC17" i="5"/>
  <c r="AT72" i="5" s="1"/>
  <c r="BB17" i="5"/>
  <c r="AT73" i="5" s="1"/>
  <c r="BA17" i="5"/>
  <c r="AT74" i="5" s="1"/>
  <c r="AZ17" i="5"/>
  <c r="AT75" i="5" s="1"/>
  <c r="AY17" i="5"/>
  <c r="AT76" i="5" s="1"/>
  <c r="AX17" i="5"/>
  <c r="AT77" i="5" s="1"/>
  <c r="AW17" i="5"/>
  <c r="AT78" i="5" s="1"/>
  <c r="AV17" i="5"/>
  <c r="AT79" i="5" s="1"/>
  <c r="AU17" i="5"/>
  <c r="AT80" i="5" s="1"/>
  <c r="AT17" i="5"/>
  <c r="AT81" i="5" s="1"/>
  <c r="AT83" i="5"/>
  <c r="AT19" i="7" s="1"/>
  <c r="AT84" i="5"/>
  <c r="AT20" i="7" s="1"/>
  <c r="AT85" i="5"/>
  <c r="AT21" i="7" s="1"/>
  <c r="AT87" i="5"/>
  <c r="AT23" i="7" s="1"/>
  <c r="AT88" i="5"/>
  <c r="AT24" i="7" s="1"/>
  <c r="AT89" i="5"/>
  <c r="AT25" i="7" s="1"/>
  <c r="AT91" i="5"/>
  <c r="AT27" i="7" s="1"/>
  <c r="AT92" i="5"/>
  <c r="AT28" i="7" s="1"/>
  <c r="AT93" i="5"/>
  <c r="AT29" i="7" s="1"/>
  <c r="AT95" i="5"/>
  <c r="AT31" i="7" s="1"/>
  <c r="AT96" i="5"/>
  <c r="AT32" i="7" s="1"/>
  <c r="AT97" i="5"/>
  <c r="AT33" i="7" s="1"/>
  <c r="AT99" i="5"/>
  <c r="AT35" i="7" s="1"/>
  <c r="AT100" i="5"/>
  <c r="AT36" i="7" s="1"/>
  <c r="AT101" i="5"/>
  <c r="AT37" i="7" s="1"/>
  <c r="AT103" i="5"/>
  <c r="AT39" i="7" s="1"/>
  <c r="AT105" i="5"/>
  <c r="AT41" i="7" s="1"/>
  <c r="AT107" i="5"/>
  <c r="AT43" i="7" s="1"/>
  <c r="AT108" i="5"/>
  <c r="AT44" i="7" s="1"/>
  <c r="AT109" i="5"/>
  <c r="AT45" i="7" s="1"/>
  <c r="AT111" i="5"/>
  <c r="AT47" i="7" s="1"/>
  <c r="AT112" i="5"/>
  <c r="AT48" i="7" s="1"/>
  <c r="AT113" i="5"/>
  <c r="AT49" i="7" s="1"/>
  <c r="AT115" i="5"/>
  <c r="AT51" i="7" s="1"/>
  <c r="AT116" i="5"/>
  <c r="AT52" i="7" s="1"/>
  <c r="AT117" i="5"/>
  <c r="AT53" i="7" s="1"/>
  <c r="AT119" i="5"/>
  <c r="AT55" i="7" s="1"/>
  <c r="AT120" i="5"/>
  <c r="AT56" i="7" s="1"/>
  <c r="AT121" i="5"/>
  <c r="AT57" i="7" s="1"/>
  <c r="AT123" i="5"/>
  <c r="AT59" i="7" s="1"/>
  <c r="AT124" i="5"/>
  <c r="AT60" i="7" s="1"/>
  <c r="AT125" i="5"/>
  <c r="AT61" i="7" s="1"/>
  <c r="BI16" i="5"/>
  <c r="AU66" i="5" s="1"/>
  <c r="BH16" i="5"/>
  <c r="AU67" i="5" s="1"/>
  <c r="BG16" i="5"/>
  <c r="AU68" i="5" s="1"/>
  <c r="BF16" i="5"/>
  <c r="AU69" i="5" s="1"/>
  <c r="BE16" i="5"/>
  <c r="AU70" i="5" s="1"/>
  <c r="BD16" i="5"/>
  <c r="AU71" i="5" s="1"/>
  <c r="BC16" i="5"/>
  <c r="AU72" i="5" s="1"/>
  <c r="BB16" i="5"/>
  <c r="AU73" i="5" s="1"/>
  <c r="BA16" i="5"/>
  <c r="AU74" i="5" s="1"/>
  <c r="AZ16" i="5"/>
  <c r="AU75" i="5" s="1"/>
  <c r="AY16" i="5"/>
  <c r="AU76" i="5" s="1"/>
  <c r="AX16" i="5"/>
  <c r="AU77" i="5" s="1"/>
  <c r="AW16" i="5"/>
  <c r="AU78" i="5" s="1"/>
  <c r="AV16" i="5"/>
  <c r="AU79" i="5" s="1"/>
  <c r="AU16" i="5"/>
  <c r="AU80" i="5" s="1"/>
  <c r="AT16" i="5"/>
  <c r="AU81" i="5" s="1"/>
  <c r="AU83" i="5"/>
  <c r="AU19" i="7" s="1"/>
  <c r="AU84" i="5"/>
  <c r="AU20" i="7" s="1"/>
  <c r="AU85" i="5"/>
  <c r="AU21" i="7" s="1"/>
  <c r="AU87" i="5"/>
  <c r="AU23" i="7" s="1"/>
  <c r="AU88" i="5"/>
  <c r="AU24" i="7" s="1"/>
  <c r="AU89" i="5"/>
  <c r="AU25" i="7" s="1"/>
  <c r="AU91" i="5"/>
  <c r="AU27" i="7" s="1"/>
  <c r="AU92" i="5"/>
  <c r="AU28" i="7" s="1"/>
  <c r="AU93" i="5"/>
  <c r="AU29" i="7" s="1"/>
  <c r="AU95" i="5"/>
  <c r="AU31" i="7" s="1"/>
  <c r="AU96" i="5"/>
  <c r="AU32" i="7" s="1"/>
  <c r="AU97" i="5"/>
  <c r="AU33" i="7" s="1"/>
  <c r="AU99" i="5"/>
  <c r="AU35" i="7" s="1"/>
  <c r="AU100" i="5"/>
  <c r="AU36" i="7" s="1"/>
  <c r="AU101" i="5"/>
  <c r="AU37" i="7" s="1"/>
  <c r="AU103" i="5"/>
  <c r="AU39" i="7" s="1"/>
  <c r="AU104" i="5"/>
  <c r="AU40" i="7" s="1"/>
  <c r="AU105" i="5"/>
  <c r="AU41" i="7" s="1"/>
  <c r="AU107" i="5"/>
  <c r="AU43" i="7" s="1"/>
  <c r="AU108" i="5"/>
  <c r="AU44" i="7" s="1"/>
  <c r="AU109" i="5"/>
  <c r="AU45" i="7" s="1"/>
  <c r="AU111" i="5"/>
  <c r="AU47" i="7" s="1"/>
  <c r="AU112" i="5"/>
  <c r="AU48" i="7" s="1"/>
  <c r="AU113" i="5"/>
  <c r="AU49" i="7" s="1"/>
  <c r="AU115" i="5"/>
  <c r="AU51" i="7" s="1"/>
  <c r="AU117" i="5"/>
  <c r="AU53" i="7" s="1"/>
  <c r="AU119" i="5"/>
  <c r="AU55" i="7" s="1"/>
  <c r="AU120" i="5"/>
  <c r="AU56" i="7" s="1"/>
  <c r="AU121" i="5"/>
  <c r="AU57" i="7" s="1"/>
  <c r="AU123" i="5"/>
  <c r="AU59" i="7" s="1"/>
  <c r="AU125" i="5"/>
  <c r="AU61" i="7" s="1"/>
  <c r="BI15" i="5"/>
  <c r="AV66" i="5" s="1"/>
  <c r="BH15" i="5"/>
  <c r="AV67" i="5" s="1"/>
  <c r="BG15" i="5"/>
  <c r="AV68" i="5" s="1"/>
  <c r="BF15" i="5"/>
  <c r="AV69" i="5" s="1"/>
  <c r="BE15" i="5"/>
  <c r="AV70" i="5" s="1"/>
  <c r="BD15" i="5"/>
  <c r="AV71" i="5" s="1"/>
  <c r="BC15" i="5"/>
  <c r="AV72" i="5" s="1"/>
  <c r="BB15" i="5"/>
  <c r="AV73" i="5" s="1"/>
  <c r="BA15" i="5"/>
  <c r="AV74" i="5" s="1"/>
  <c r="AZ15" i="5"/>
  <c r="AV75" i="5" s="1"/>
  <c r="AY15" i="5"/>
  <c r="AV76" i="5" s="1"/>
  <c r="AX15" i="5"/>
  <c r="AV77" i="5" s="1"/>
  <c r="AW15" i="5"/>
  <c r="AV78" i="5" s="1"/>
  <c r="AV15" i="5"/>
  <c r="AV79" i="5" s="1"/>
  <c r="AU15" i="5"/>
  <c r="AV80" i="5" s="1"/>
  <c r="AT15" i="5"/>
  <c r="AV81" i="5" s="1"/>
  <c r="AV83" i="5"/>
  <c r="AV19" i="7" s="1"/>
  <c r="AV84" i="5"/>
  <c r="AV20" i="7" s="1"/>
  <c r="AV85" i="5"/>
  <c r="AV21" i="7" s="1"/>
  <c r="AV87" i="5"/>
  <c r="AV23" i="7" s="1"/>
  <c r="AV88" i="5"/>
  <c r="AV24" i="7" s="1"/>
  <c r="AV89" i="5"/>
  <c r="AV25" i="7" s="1"/>
  <c r="AV91" i="5"/>
  <c r="AV27" i="7" s="1"/>
  <c r="AV92" i="5"/>
  <c r="AV28" i="7" s="1"/>
  <c r="AV93" i="5"/>
  <c r="AV29" i="7" s="1"/>
  <c r="AV95" i="5"/>
  <c r="AV31" i="7" s="1"/>
  <c r="AV96" i="5"/>
  <c r="AV32" i="7" s="1"/>
  <c r="AV97" i="5"/>
  <c r="AV33" i="7" s="1"/>
  <c r="AV99" i="5"/>
  <c r="AV35" i="7" s="1"/>
  <c r="AV100" i="5"/>
  <c r="AV36" i="7" s="1"/>
  <c r="AV101" i="5"/>
  <c r="AV37" i="7" s="1"/>
  <c r="AV103" i="5"/>
  <c r="AV39" i="7" s="1"/>
  <c r="AV105" i="5"/>
  <c r="AV41" i="7" s="1"/>
  <c r="AV107" i="5"/>
  <c r="AV43" i="7" s="1"/>
  <c r="AV108" i="5"/>
  <c r="AV44" i="7" s="1"/>
  <c r="AV109" i="5"/>
  <c r="AV45" i="7" s="1"/>
  <c r="AV111" i="5"/>
  <c r="AV47" i="7" s="1"/>
  <c r="AV113" i="5"/>
  <c r="AV49" i="7" s="1"/>
  <c r="AV114" i="5"/>
  <c r="AV50" i="7" s="1"/>
  <c r="AV115" i="5"/>
  <c r="AV51" i="7" s="1"/>
  <c r="AV116" i="5"/>
  <c r="AV52" i="7" s="1"/>
  <c r="AV117" i="5"/>
  <c r="AV53" i="7" s="1"/>
  <c r="AV119" i="5"/>
  <c r="AV55" i="7" s="1"/>
  <c r="AV121" i="5"/>
  <c r="AV57" i="7" s="1"/>
  <c r="AV122" i="5"/>
  <c r="AV58" i="7" s="1"/>
  <c r="AV123" i="5"/>
  <c r="AV59" i="7" s="1"/>
  <c r="AV124" i="5"/>
  <c r="AV60" i="7" s="1"/>
  <c r="AV125" i="5"/>
  <c r="AV61" i="7" s="1"/>
  <c r="BI14" i="5"/>
  <c r="AW66" i="5" s="1"/>
  <c r="BH14" i="5"/>
  <c r="AW67" i="5" s="1"/>
  <c r="BG14" i="5"/>
  <c r="AW68" i="5" s="1"/>
  <c r="BF14" i="5"/>
  <c r="AW69" i="5" s="1"/>
  <c r="BE14" i="5"/>
  <c r="AW70" i="5" s="1"/>
  <c r="BD14" i="5"/>
  <c r="AW71" i="5" s="1"/>
  <c r="BC14" i="5"/>
  <c r="AW72" i="5" s="1"/>
  <c r="BB14" i="5"/>
  <c r="AW73" i="5" s="1"/>
  <c r="BA14" i="5"/>
  <c r="AW74" i="5" s="1"/>
  <c r="AZ14" i="5"/>
  <c r="AW75" i="5" s="1"/>
  <c r="AY14" i="5"/>
  <c r="AW76" i="5" s="1"/>
  <c r="AX14" i="5"/>
  <c r="AW77" i="5" s="1"/>
  <c r="AW14" i="5"/>
  <c r="AW78" i="5" s="1"/>
  <c r="AV14" i="5"/>
  <c r="AW79" i="5" s="1"/>
  <c r="AU14" i="5"/>
  <c r="AW80" i="5" s="1"/>
  <c r="AT14" i="5"/>
  <c r="AW81" i="5" s="1"/>
  <c r="AW83" i="5"/>
  <c r="AW19" i="7" s="1"/>
  <c r="AW84" i="5"/>
  <c r="AW20" i="7" s="1"/>
  <c r="AW85" i="5"/>
  <c r="AW21" i="7" s="1"/>
  <c r="AW86" i="5"/>
  <c r="AW22" i="7" s="1"/>
  <c r="AW87" i="5"/>
  <c r="AW23" i="7" s="1"/>
  <c r="AW88" i="5"/>
  <c r="AW24" i="7" s="1"/>
  <c r="AW89" i="5"/>
  <c r="AW25" i="7" s="1"/>
  <c r="AW91" i="5"/>
  <c r="AW27" i="7" s="1"/>
  <c r="AW92" i="5"/>
  <c r="AW28" i="7" s="1"/>
  <c r="AW93" i="5"/>
  <c r="AW29" i="7" s="1"/>
  <c r="AW94" i="5"/>
  <c r="AW30" i="7" s="1"/>
  <c r="AW95" i="5"/>
  <c r="AW31" i="7" s="1"/>
  <c r="AW96" i="5"/>
  <c r="AW32" i="7" s="1"/>
  <c r="AW97" i="5"/>
  <c r="AW33" i="7" s="1"/>
  <c r="AW99" i="5"/>
  <c r="AW35" i="7" s="1"/>
  <c r="AW100" i="5"/>
  <c r="AW36" i="7" s="1"/>
  <c r="AW101" i="5"/>
  <c r="AW37" i="7" s="1"/>
  <c r="AW102" i="5"/>
  <c r="AW38" i="7" s="1"/>
  <c r="AW103" i="5"/>
  <c r="AW39" i="7" s="1"/>
  <c r="AW104" i="5"/>
  <c r="AW40" i="7" s="1"/>
  <c r="AW105" i="5"/>
  <c r="AW41" i="7" s="1"/>
  <c r="AW107" i="5"/>
  <c r="AW43" i="7" s="1"/>
  <c r="AW109" i="5"/>
  <c r="AW45" i="7" s="1"/>
  <c r="AW110" i="5"/>
  <c r="AW46" i="7" s="1"/>
  <c r="AW111" i="5"/>
  <c r="AW47" i="7" s="1"/>
  <c r="AW112" i="5"/>
  <c r="AW48" i="7" s="1"/>
  <c r="AW113" i="5"/>
  <c r="AW49" i="7" s="1"/>
  <c r="AW115" i="5"/>
  <c r="AW51" i="7" s="1"/>
  <c r="AW117" i="5"/>
  <c r="AW53" i="7" s="1"/>
  <c r="AW118" i="5"/>
  <c r="AW54" i="7" s="1"/>
  <c r="AW119" i="5"/>
  <c r="AW55" i="7" s="1"/>
  <c r="AW120" i="5"/>
  <c r="AW56" i="7" s="1"/>
  <c r="AW121" i="5"/>
  <c r="AW57" i="7" s="1"/>
  <c r="AW123" i="5"/>
  <c r="AW59" i="7" s="1"/>
  <c r="AW125" i="5"/>
  <c r="AW61" i="7" s="1"/>
  <c r="BI13" i="5"/>
  <c r="AX66" i="5" s="1"/>
  <c r="BH13" i="5"/>
  <c r="AX67" i="5" s="1"/>
  <c r="BG13" i="5"/>
  <c r="AX68" i="5" s="1"/>
  <c r="BF13" i="5"/>
  <c r="AX69" i="5" s="1"/>
  <c r="BE13" i="5"/>
  <c r="AX70" i="5" s="1"/>
  <c r="BD13" i="5"/>
  <c r="AX71" i="5" s="1"/>
  <c r="BC13" i="5"/>
  <c r="AX72" i="5" s="1"/>
  <c r="BB13" i="5"/>
  <c r="AX73" i="5" s="1"/>
  <c r="BA13" i="5"/>
  <c r="AX74" i="5" s="1"/>
  <c r="AZ13" i="5"/>
  <c r="AX75" i="5" s="1"/>
  <c r="AY13" i="5"/>
  <c r="AX76" i="5" s="1"/>
  <c r="AX13" i="5"/>
  <c r="AX77" i="5" s="1"/>
  <c r="AW13" i="5"/>
  <c r="AX78" i="5" s="1"/>
  <c r="AV13" i="5"/>
  <c r="AX79" i="5" s="1"/>
  <c r="AU13" i="5"/>
  <c r="AX80" i="5" s="1"/>
  <c r="AT13" i="5"/>
  <c r="AX81" i="5" s="1"/>
  <c r="AX82" i="5"/>
  <c r="AX18" i="7" s="1"/>
  <c r="AX83" i="5"/>
  <c r="AX19" i="7" s="1"/>
  <c r="AX84" i="5"/>
  <c r="AX20" i="7" s="1"/>
  <c r="AX85" i="5"/>
  <c r="AX21" i="7" s="1"/>
  <c r="AX87" i="5"/>
  <c r="AX23" i="7" s="1"/>
  <c r="AX88" i="5"/>
  <c r="AX24" i="7" s="1"/>
  <c r="AX89" i="5"/>
  <c r="AX25" i="7" s="1"/>
  <c r="AX90" i="5"/>
  <c r="AX26" i="7" s="1"/>
  <c r="AX91" i="5"/>
  <c r="AX27" i="7" s="1"/>
  <c r="AX92" i="5"/>
  <c r="AX28" i="7" s="1"/>
  <c r="AX93" i="5"/>
  <c r="AX29" i="7" s="1"/>
  <c r="AX95" i="5"/>
  <c r="AX31" i="7" s="1"/>
  <c r="AX96" i="5"/>
  <c r="AX32" i="7" s="1"/>
  <c r="AX97" i="5"/>
  <c r="AX33" i="7" s="1"/>
  <c r="AX98" i="5"/>
  <c r="AX34" i="7" s="1"/>
  <c r="AX99" i="5"/>
  <c r="AX35" i="7" s="1"/>
  <c r="AX100" i="5"/>
  <c r="AX36" i="7" s="1"/>
  <c r="AX101" i="5"/>
  <c r="AX37" i="7" s="1"/>
  <c r="AX103" i="5"/>
  <c r="AX39" i="7" s="1"/>
  <c r="AX104" i="5"/>
  <c r="AX40" i="7" s="1"/>
  <c r="AX105" i="5"/>
  <c r="AX41" i="7" s="1"/>
  <c r="AX106" i="5"/>
  <c r="AX42" i="7" s="1"/>
  <c r="AX107" i="5"/>
  <c r="AX43" i="7" s="1"/>
  <c r="AX108" i="5"/>
  <c r="AX44" i="7" s="1"/>
  <c r="AX109" i="5"/>
  <c r="AX45" i="7" s="1"/>
  <c r="AX111" i="5"/>
  <c r="AX47" i="7" s="1"/>
  <c r="AX113" i="5"/>
  <c r="AX49" i="7" s="1"/>
  <c r="AX114" i="5"/>
  <c r="AX50" i="7" s="1"/>
  <c r="AX115" i="5"/>
  <c r="AX51" i="7" s="1"/>
  <c r="AX116" i="5"/>
  <c r="AX52" i="7" s="1"/>
  <c r="AX117" i="5"/>
  <c r="AX53" i="7" s="1"/>
  <c r="AX119" i="5"/>
  <c r="AX55" i="7" s="1"/>
  <c r="AX120" i="5"/>
  <c r="AX56" i="7" s="1"/>
  <c r="AX121" i="5"/>
  <c r="AX57" i="7" s="1"/>
  <c r="AX122" i="5"/>
  <c r="AX58" i="7" s="1"/>
  <c r="AX123" i="5"/>
  <c r="AX59" i="7" s="1"/>
  <c r="AX124" i="5"/>
  <c r="AX60" i="7" s="1"/>
  <c r="AX125" i="5"/>
  <c r="AX61" i="7" s="1"/>
  <c r="BI12" i="5"/>
  <c r="AY66" i="5" s="1"/>
  <c r="BH12" i="5"/>
  <c r="AY67" i="5" s="1"/>
  <c r="BG12" i="5"/>
  <c r="AY68" i="5" s="1"/>
  <c r="BF12" i="5"/>
  <c r="AY69" i="5" s="1"/>
  <c r="BE12" i="5"/>
  <c r="AY70" i="5" s="1"/>
  <c r="BD12" i="5"/>
  <c r="AY71" i="5" s="1"/>
  <c r="BC12" i="5"/>
  <c r="AY72" i="5" s="1"/>
  <c r="BB12" i="5"/>
  <c r="AY73" i="5" s="1"/>
  <c r="BA12" i="5"/>
  <c r="AY74" i="5" s="1"/>
  <c r="AZ12" i="5"/>
  <c r="AY75" i="5" s="1"/>
  <c r="AY12" i="5"/>
  <c r="AY76" i="5" s="1"/>
  <c r="AX12" i="5"/>
  <c r="AY77" i="5" s="1"/>
  <c r="AW12" i="5"/>
  <c r="AY78" i="5" s="1"/>
  <c r="AV12" i="5"/>
  <c r="AY79" i="5" s="1"/>
  <c r="AU12" i="5"/>
  <c r="AY80" i="5" s="1"/>
  <c r="AT12" i="5"/>
  <c r="AY81" i="5" s="1"/>
  <c r="AY83" i="5"/>
  <c r="AY19" i="7" s="1"/>
  <c r="AY84" i="5"/>
  <c r="AY20" i="7" s="1"/>
  <c r="AY85" i="5"/>
  <c r="AY21" i="7" s="1"/>
  <c r="AY86" i="5"/>
  <c r="AY22" i="7" s="1"/>
  <c r="AY87" i="5"/>
  <c r="AY23" i="7" s="1"/>
  <c r="AY88" i="5"/>
  <c r="AY24" i="7" s="1"/>
  <c r="AY89" i="5"/>
  <c r="AY25" i="7" s="1"/>
  <c r="AY91" i="5"/>
  <c r="AY27" i="7" s="1"/>
  <c r="AY92" i="5"/>
  <c r="AY28" i="7" s="1"/>
  <c r="AY93" i="5"/>
  <c r="AY29" i="7" s="1"/>
  <c r="AY94" i="5"/>
  <c r="AY30" i="7" s="1"/>
  <c r="AY95" i="5"/>
  <c r="AY31" i="7" s="1"/>
  <c r="AY96" i="5"/>
  <c r="AY32" i="7" s="1"/>
  <c r="AY97" i="5"/>
  <c r="AY33" i="7" s="1"/>
  <c r="AY99" i="5"/>
  <c r="AY35" i="7" s="1"/>
  <c r="AY101" i="5"/>
  <c r="AY37" i="7" s="1"/>
  <c r="AY102" i="5"/>
  <c r="AY38" i="7" s="1"/>
  <c r="AY103" i="5"/>
  <c r="AY39" i="7" s="1"/>
  <c r="AY104" i="5"/>
  <c r="AY40" i="7" s="1"/>
  <c r="AY105" i="5"/>
  <c r="AY41" i="7" s="1"/>
  <c r="AY107" i="5"/>
  <c r="AY43" i="7" s="1"/>
  <c r="AY109" i="5"/>
  <c r="AY45" i="7" s="1"/>
  <c r="AY110" i="5"/>
  <c r="AY46" i="7" s="1"/>
  <c r="AY111" i="5"/>
  <c r="AY47" i="7" s="1"/>
  <c r="AY112" i="5"/>
  <c r="AY48" i="7" s="1"/>
  <c r="AY113" i="5"/>
  <c r="AY49" i="7" s="1"/>
  <c r="AY115" i="5"/>
  <c r="AY51" i="7" s="1"/>
  <c r="AY117" i="5"/>
  <c r="AY53" i="7" s="1"/>
  <c r="AY118" i="5"/>
  <c r="AY54" i="7" s="1"/>
  <c r="AY119" i="5"/>
  <c r="AY55" i="7" s="1"/>
  <c r="AY120" i="5"/>
  <c r="AY56" i="7" s="1"/>
  <c r="AY121" i="5"/>
  <c r="AY57" i="7" s="1"/>
  <c r="AY123" i="5"/>
  <c r="AY59" i="7" s="1"/>
  <c r="AY124" i="5"/>
  <c r="AY60" i="7" s="1"/>
  <c r="AY125" i="5"/>
  <c r="AY61" i="7" s="1"/>
  <c r="BI11" i="5"/>
  <c r="AZ66" i="5" s="1"/>
  <c r="BH11" i="5"/>
  <c r="AZ67" i="5" s="1"/>
  <c r="BG11" i="5"/>
  <c r="AZ68" i="5" s="1"/>
  <c r="BF11" i="5"/>
  <c r="AZ69" i="5" s="1"/>
  <c r="BE11" i="5"/>
  <c r="AZ70" i="5" s="1"/>
  <c r="BD11" i="5"/>
  <c r="AZ71" i="5" s="1"/>
  <c r="BC11" i="5"/>
  <c r="AZ72" i="5" s="1"/>
  <c r="BB11" i="5"/>
  <c r="AZ73" i="5" s="1"/>
  <c r="BA11" i="5"/>
  <c r="AZ74" i="5" s="1"/>
  <c r="AZ11" i="5"/>
  <c r="AZ75" i="5" s="1"/>
  <c r="AY11" i="5"/>
  <c r="AZ76" i="5" s="1"/>
  <c r="AX11" i="5"/>
  <c r="AZ77" i="5" s="1"/>
  <c r="AW11" i="5"/>
  <c r="AZ78" i="5" s="1"/>
  <c r="AV11" i="5"/>
  <c r="AZ79" i="5" s="1"/>
  <c r="AU11" i="5"/>
  <c r="AZ80" i="5" s="1"/>
  <c r="AT11" i="5"/>
  <c r="AZ81" i="5" s="1"/>
  <c r="AZ82" i="5"/>
  <c r="AZ18" i="7" s="1"/>
  <c r="AZ83" i="5"/>
  <c r="AZ19" i="7" s="1"/>
  <c r="AZ84" i="5"/>
  <c r="AZ20" i="7" s="1"/>
  <c r="AZ85" i="5"/>
  <c r="AZ21" i="7" s="1"/>
  <c r="AZ87" i="5"/>
  <c r="AZ23" i="7" s="1"/>
  <c r="AZ88" i="5"/>
  <c r="AZ24" i="7" s="1"/>
  <c r="AZ89" i="5"/>
  <c r="AZ25" i="7" s="1"/>
  <c r="AZ90" i="5"/>
  <c r="AZ26" i="7" s="1"/>
  <c r="AZ91" i="5"/>
  <c r="AZ27" i="7" s="1"/>
  <c r="AZ92" i="5"/>
  <c r="AZ28" i="7" s="1"/>
  <c r="AZ93" i="5"/>
  <c r="AZ29" i="7" s="1"/>
  <c r="AZ95" i="5"/>
  <c r="AZ31" i="7" s="1"/>
  <c r="AZ96" i="5"/>
  <c r="AZ32" i="7" s="1"/>
  <c r="AZ97" i="5"/>
  <c r="AZ33" i="7" s="1"/>
  <c r="AZ98" i="5"/>
  <c r="AZ34" i="7" s="1"/>
  <c r="AZ99" i="5"/>
  <c r="AZ35" i="7" s="1"/>
  <c r="AZ100" i="5"/>
  <c r="AZ36" i="7" s="1"/>
  <c r="AZ101" i="5"/>
  <c r="AZ37" i="7" s="1"/>
  <c r="AZ103" i="5"/>
  <c r="AZ39" i="7" s="1"/>
  <c r="AZ105" i="5"/>
  <c r="AZ41" i="7" s="1"/>
  <c r="AZ106" i="5"/>
  <c r="AZ42" i="7" s="1"/>
  <c r="AZ107" i="5"/>
  <c r="AZ43" i="7" s="1"/>
  <c r="AZ108" i="5"/>
  <c r="AZ44" i="7" s="1"/>
  <c r="AZ109" i="5"/>
  <c r="AZ45" i="7" s="1"/>
  <c r="AZ111" i="5"/>
  <c r="AZ47" i="7" s="1"/>
  <c r="AZ113" i="5"/>
  <c r="AZ49" i="7" s="1"/>
  <c r="AZ114" i="5"/>
  <c r="AZ50" i="7" s="1"/>
  <c r="AZ115" i="5"/>
  <c r="AZ51" i="7" s="1"/>
  <c r="AZ116" i="5"/>
  <c r="AZ52" i="7" s="1"/>
  <c r="AZ117" i="5"/>
  <c r="AZ53" i="7" s="1"/>
  <c r="AZ119" i="5"/>
  <c r="AZ55" i="7" s="1"/>
  <c r="AZ121" i="5"/>
  <c r="AZ57" i="7" s="1"/>
  <c r="AZ122" i="5"/>
  <c r="AZ58" i="7" s="1"/>
  <c r="AZ123" i="5"/>
  <c r="AZ59" i="7" s="1"/>
  <c r="AZ124" i="5"/>
  <c r="AZ60" i="7" s="1"/>
  <c r="AZ125" i="5"/>
  <c r="AZ61" i="7" s="1"/>
  <c r="BI10" i="5"/>
  <c r="BA66" i="5" s="1"/>
  <c r="BH10" i="5"/>
  <c r="BA67" i="5" s="1"/>
  <c r="BG10" i="5"/>
  <c r="BA68" i="5" s="1"/>
  <c r="BF10" i="5"/>
  <c r="BA69" i="5" s="1"/>
  <c r="BE10" i="5"/>
  <c r="BA70" i="5" s="1"/>
  <c r="BD10" i="5"/>
  <c r="BA71" i="5" s="1"/>
  <c r="BC10" i="5"/>
  <c r="BA72" i="5" s="1"/>
  <c r="BB10" i="5"/>
  <c r="BA73" i="5" s="1"/>
  <c r="BA10" i="5"/>
  <c r="BA74" i="5" s="1"/>
  <c r="AZ10" i="5"/>
  <c r="BA75" i="5" s="1"/>
  <c r="AY10" i="5"/>
  <c r="BA76" i="5" s="1"/>
  <c r="AX10" i="5"/>
  <c r="BA77" i="5" s="1"/>
  <c r="AW10" i="5"/>
  <c r="BA78" i="5" s="1"/>
  <c r="AV10" i="5"/>
  <c r="BA79" i="5" s="1"/>
  <c r="AU10" i="5"/>
  <c r="BA80" i="5" s="1"/>
  <c r="AT10" i="5"/>
  <c r="BA81" i="5" s="1"/>
  <c r="BA83" i="5"/>
  <c r="BA19" i="7" s="1"/>
  <c r="BA84" i="5"/>
  <c r="BA20" i="7" s="1"/>
  <c r="BA85" i="5"/>
  <c r="BA21" i="7" s="1"/>
  <c r="BA86" i="5"/>
  <c r="BA22" i="7" s="1"/>
  <c r="BA87" i="5"/>
  <c r="BA23" i="7" s="1"/>
  <c r="BA88" i="5"/>
  <c r="BA24" i="7" s="1"/>
  <c r="BA89" i="5"/>
  <c r="BA25" i="7" s="1"/>
  <c r="BA91" i="5"/>
  <c r="BA27" i="7" s="1"/>
  <c r="BA92" i="5"/>
  <c r="BA28" i="7" s="1"/>
  <c r="BA93" i="5"/>
  <c r="BA29" i="7" s="1"/>
  <c r="BA94" i="5"/>
  <c r="BA30" i="7" s="1"/>
  <c r="BA95" i="5"/>
  <c r="BA31" i="7" s="1"/>
  <c r="BA96" i="5"/>
  <c r="BA32" i="7" s="1"/>
  <c r="BA97" i="5"/>
  <c r="BA33" i="7" s="1"/>
  <c r="BA99" i="5"/>
  <c r="BA35" i="7" s="1"/>
  <c r="BA100" i="5"/>
  <c r="BA36" i="7" s="1"/>
  <c r="BA101" i="5"/>
  <c r="BA37" i="7" s="1"/>
  <c r="BA102" i="5"/>
  <c r="BA38" i="7" s="1"/>
  <c r="BA103" i="5"/>
  <c r="BA39" i="7" s="1"/>
  <c r="BA104" i="5"/>
  <c r="BA40" i="7" s="1"/>
  <c r="BA105" i="5"/>
  <c r="BA41" i="7" s="1"/>
  <c r="BA107" i="5"/>
  <c r="BA43" i="7" s="1"/>
  <c r="BA109" i="5"/>
  <c r="BA45" i="7" s="1"/>
  <c r="BA110" i="5"/>
  <c r="BA46" i="7" s="1"/>
  <c r="BA111" i="5"/>
  <c r="BA47" i="7" s="1"/>
  <c r="BA112" i="5"/>
  <c r="BA48" i="7" s="1"/>
  <c r="BA113" i="5"/>
  <c r="BA49" i="7" s="1"/>
  <c r="BA115" i="5"/>
  <c r="BA51" i="7" s="1"/>
  <c r="BA116" i="5"/>
  <c r="BA52" i="7" s="1"/>
  <c r="BA117" i="5"/>
  <c r="BA53" i="7" s="1"/>
  <c r="BA118" i="5"/>
  <c r="BA54" i="7" s="1"/>
  <c r="BA119" i="5"/>
  <c r="BA55" i="7" s="1"/>
  <c r="BA120" i="5"/>
  <c r="BA56" i="7" s="1"/>
  <c r="BA121" i="5"/>
  <c r="BA57" i="7" s="1"/>
  <c r="BA123" i="5"/>
  <c r="BA59" i="7" s="1"/>
  <c r="BA125" i="5"/>
  <c r="BA61" i="7" s="1"/>
  <c r="BI9" i="5"/>
  <c r="BB66" i="5" s="1"/>
  <c r="BH9" i="5"/>
  <c r="BB67" i="5" s="1"/>
  <c r="BG9" i="5"/>
  <c r="BB68" i="5" s="1"/>
  <c r="BF9" i="5"/>
  <c r="BB69" i="5" s="1"/>
  <c r="BE9" i="5"/>
  <c r="BB70" i="5" s="1"/>
  <c r="BD9" i="5"/>
  <c r="BB71" i="5" s="1"/>
  <c r="BC9" i="5"/>
  <c r="BB72" i="5" s="1"/>
  <c r="BB9" i="5"/>
  <c r="BB73" i="5" s="1"/>
  <c r="BA9" i="5"/>
  <c r="BB74" i="5" s="1"/>
  <c r="AZ9" i="5"/>
  <c r="BB75" i="5" s="1"/>
  <c r="AY9" i="5"/>
  <c r="BB76" i="5" s="1"/>
  <c r="AX9" i="5"/>
  <c r="BB77" i="5" s="1"/>
  <c r="AW9" i="5"/>
  <c r="BB78" i="5" s="1"/>
  <c r="AV9" i="5"/>
  <c r="BB79" i="5" s="1"/>
  <c r="AU9" i="5"/>
  <c r="BB80" i="5" s="1"/>
  <c r="AT9" i="5"/>
  <c r="BB81" i="5" s="1"/>
  <c r="BB82" i="5"/>
  <c r="BB18" i="7" s="1"/>
  <c r="BB83" i="5"/>
  <c r="BB19" i="7" s="1"/>
  <c r="BB84" i="5"/>
  <c r="BB20" i="7" s="1"/>
  <c r="BB85" i="5"/>
  <c r="BB21" i="7" s="1"/>
  <c r="BB87" i="5"/>
  <c r="BB23" i="7" s="1"/>
  <c r="BB88" i="5"/>
  <c r="BB24" i="7" s="1"/>
  <c r="BB89" i="5"/>
  <c r="BB25" i="7" s="1"/>
  <c r="BB90" i="5"/>
  <c r="BB26" i="7" s="1"/>
  <c r="BB91" i="5"/>
  <c r="BB27" i="7" s="1"/>
  <c r="BB92" i="5"/>
  <c r="BB28" i="7" s="1"/>
  <c r="BB93" i="5"/>
  <c r="BB29" i="7" s="1"/>
  <c r="BB95" i="5"/>
  <c r="BB31" i="7" s="1"/>
  <c r="BB96" i="5"/>
  <c r="BB32" i="7" s="1"/>
  <c r="BB97" i="5"/>
  <c r="BB33" i="7" s="1"/>
  <c r="BB98" i="5"/>
  <c r="BB34" i="7" s="1"/>
  <c r="BB99" i="5"/>
  <c r="BB35" i="7" s="1"/>
  <c r="BB100" i="5"/>
  <c r="BB36" i="7" s="1"/>
  <c r="BB101" i="5"/>
  <c r="BB37" i="7" s="1"/>
  <c r="BB103" i="5"/>
  <c r="BB39" i="7" s="1"/>
  <c r="BB105" i="5"/>
  <c r="BB41" i="7" s="1"/>
  <c r="BB106" i="5"/>
  <c r="BB42" i="7" s="1"/>
  <c r="BB107" i="5"/>
  <c r="BB43" i="7" s="1"/>
  <c r="BB108" i="5"/>
  <c r="BB44" i="7" s="1"/>
  <c r="BB109" i="5"/>
  <c r="BB45" i="7" s="1"/>
  <c r="BB111" i="5"/>
  <c r="BB47" i="7" s="1"/>
  <c r="BB112" i="5"/>
  <c r="BB48" i="7" s="1"/>
  <c r="BB113" i="5"/>
  <c r="BB49" i="7" s="1"/>
  <c r="BB114" i="5"/>
  <c r="BB50" i="7" s="1"/>
  <c r="BB115" i="5"/>
  <c r="BB51" i="7" s="1"/>
  <c r="BB116" i="5"/>
  <c r="BB52" i="7" s="1"/>
  <c r="BB117" i="5"/>
  <c r="BB53" i="7" s="1"/>
  <c r="BB119" i="5"/>
  <c r="BB55" i="7" s="1"/>
  <c r="BB120" i="5"/>
  <c r="BB56" i="7" s="1"/>
  <c r="BB121" i="5"/>
  <c r="BB57" i="7" s="1"/>
  <c r="BB122" i="5"/>
  <c r="BB58" i="7" s="1"/>
  <c r="BB123" i="5"/>
  <c r="BB59" i="7" s="1"/>
  <c r="BB124" i="5"/>
  <c r="BB60" i="7" s="1"/>
  <c r="BB125" i="5"/>
  <c r="BB61" i="7" s="1"/>
  <c r="BI8" i="5"/>
  <c r="BC66" i="5" s="1"/>
  <c r="BH8" i="5"/>
  <c r="BC67" i="5" s="1"/>
  <c r="BG8" i="5"/>
  <c r="BC68" i="5" s="1"/>
  <c r="BF8" i="5"/>
  <c r="BC69" i="5" s="1"/>
  <c r="BE8" i="5"/>
  <c r="BC70" i="5" s="1"/>
  <c r="BD8" i="5"/>
  <c r="BC71" i="5" s="1"/>
  <c r="BC8" i="5"/>
  <c r="BC72" i="5" s="1"/>
  <c r="BB8" i="5"/>
  <c r="BC73" i="5" s="1"/>
  <c r="BA8" i="5"/>
  <c r="BC74" i="5" s="1"/>
  <c r="AZ8" i="5"/>
  <c r="BC75" i="5" s="1"/>
  <c r="AY8" i="5"/>
  <c r="BC76" i="5" s="1"/>
  <c r="AX8" i="5"/>
  <c r="BC77" i="5" s="1"/>
  <c r="AW8" i="5"/>
  <c r="BC78" i="5" s="1"/>
  <c r="AV8" i="5"/>
  <c r="BC79" i="5" s="1"/>
  <c r="AU8" i="5"/>
  <c r="BC80" i="5" s="1"/>
  <c r="AT8" i="5"/>
  <c r="BC81" i="5" s="1"/>
  <c r="BC83" i="5"/>
  <c r="BC19" i="7" s="1"/>
  <c r="BC84" i="5"/>
  <c r="BC20" i="7" s="1"/>
  <c r="BC85" i="5"/>
  <c r="BC21" i="7" s="1"/>
  <c r="BC86" i="5"/>
  <c r="BC22" i="7" s="1"/>
  <c r="BC87" i="5"/>
  <c r="BC23" i="7" s="1"/>
  <c r="BC88" i="5"/>
  <c r="BC24" i="7" s="1"/>
  <c r="BC89" i="5"/>
  <c r="BC25" i="7" s="1"/>
  <c r="BC91" i="5"/>
  <c r="BC27" i="7" s="1"/>
  <c r="BC92" i="5"/>
  <c r="BC28" i="7" s="1"/>
  <c r="BC93" i="5"/>
  <c r="BC29" i="7" s="1"/>
  <c r="BC94" i="5"/>
  <c r="BC30" i="7" s="1"/>
  <c r="BC95" i="5"/>
  <c r="BC31" i="7" s="1"/>
  <c r="BC96" i="5"/>
  <c r="BC32" i="7" s="1"/>
  <c r="BC97" i="5"/>
  <c r="BC33" i="7" s="1"/>
  <c r="BC99" i="5"/>
  <c r="BC35" i="7" s="1"/>
  <c r="BC101" i="5"/>
  <c r="BC37" i="7" s="1"/>
  <c r="BC102" i="5"/>
  <c r="BC38" i="7" s="1"/>
  <c r="BC103" i="5"/>
  <c r="BC39" i="7" s="1"/>
  <c r="BC104" i="5"/>
  <c r="BC40" i="7" s="1"/>
  <c r="BC105" i="5"/>
  <c r="BC41" i="7" s="1"/>
  <c r="BC107" i="5"/>
  <c r="BC43" i="7" s="1"/>
  <c r="BC109" i="5"/>
  <c r="BC45" i="7" s="1"/>
  <c r="BC110" i="5"/>
  <c r="BC46" i="7" s="1"/>
  <c r="BC111" i="5"/>
  <c r="BC47" i="7" s="1"/>
  <c r="BC112" i="5"/>
  <c r="BC48" i="7" s="1"/>
  <c r="BC113" i="5"/>
  <c r="BC49" i="7" s="1"/>
  <c r="BC115" i="5"/>
  <c r="BC51" i="7" s="1"/>
  <c r="BC117" i="5"/>
  <c r="BC53" i="7" s="1"/>
  <c r="BC118" i="5"/>
  <c r="BC54" i="7" s="1"/>
  <c r="BC119" i="5"/>
  <c r="BC55" i="7" s="1"/>
  <c r="BC120" i="5"/>
  <c r="BC56" i="7" s="1"/>
  <c r="BC121" i="5"/>
  <c r="BC57" i="7" s="1"/>
  <c r="BC123" i="5"/>
  <c r="BC59" i="7" s="1"/>
  <c r="BC125" i="5"/>
  <c r="BC61" i="7" s="1"/>
  <c r="BI7" i="5"/>
  <c r="BD66" i="5" s="1"/>
  <c r="BH7" i="5"/>
  <c r="BD67" i="5" s="1"/>
  <c r="BG7" i="5"/>
  <c r="BD68" i="5" s="1"/>
  <c r="BF7" i="5"/>
  <c r="BD69" i="5" s="1"/>
  <c r="BE7" i="5"/>
  <c r="BD70" i="5" s="1"/>
  <c r="BD7" i="5"/>
  <c r="BD71" i="5" s="1"/>
  <c r="BC7" i="5"/>
  <c r="BD72" i="5" s="1"/>
  <c r="BB7" i="5"/>
  <c r="BD73" i="5" s="1"/>
  <c r="BA7" i="5"/>
  <c r="BD74" i="5" s="1"/>
  <c r="AZ7" i="5"/>
  <c r="BD75" i="5" s="1"/>
  <c r="AY7" i="5"/>
  <c r="BD76" i="5" s="1"/>
  <c r="AX7" i="5"/>
  <c r="BD77" i="5" s="1"/>
  <c r="AW7" i="5"/>
  <c r="BD78" i="5" s="1"/>
  <c r="AV7" i="5"/>
  <c r="BD79" i="5" s="1"/>
  <c r="AU7" i="5"/>
  <c r="BD80" i="5" s="1"/>
  <c r="AT7" i="5"/>
  <c r="BD81" i="5" s="1"/>
  <c r="BD82" i="5"/>
  <c r="BD18" i="7" s="1"/>
  <c r="BD83" i="5"/>
  <c r="BD19" i="7" s="1"/>
  <c r="BD84" i="5"/>
  <c r="BD20" i="7" s="1"/>
  <c r="BD85" i="5"/>
  <c r="BD21" i="7" s="1"/>
  <c r="BD87" i="5"/>
  <c r="BD23" i="7" s="1"/>
  <c r="BD88" i="5"/>
  <c r="BD24" i="7" s="1"/>
  <c r="BD89" i="5"/>
  <c r="BD25" i="7" s="1"/>
  <c r="BD90" i="5"/>
  <c r="BD26" i="7" s="1"/>
  <c r="BD91" i="5"/>
  <c r="BD27" i="7" s="1"/>
  <c r="BD92" i="5"/>
  <c r="BD28" i="7" s="1"/>
  <c r="BD93" i="5"/>
  <c r="BD29" i="7" s="1"/>
  <c r="BD95" i="5"/>
  <c r="BD31" i="7" s="1"/>
  <c r="BD96" i="5"/>
  <c r="BD32" i="7" s="1"/>
  <c r="BD97" i="5"/>
  <c r="BD33" i="7" s="1"/>
  <c r="BD98" i="5"/>
  <c r="BD34" i="7" s="1"/>
  <c r="BD99" i="5"/>
  <c r="BD35" i="7" s="1"/>
  <c r="BD100" i="5"/>
  <c r="BD36" i="7" s="1"/>
  <c r="BD101" i="5"/>
  <c r="BD37" i="7" s="1"/>
  <c r="BD103" i="5"/>
  <c r="BD39" i="7" s="1"/>
  <c r="BD105" i="5"/>
  <c r="BD41" i="7" s="1"/>
  <c r="BD106" i="5"/>
  <c r="BD42" i="7" s="1"/>
  <c r="BD107" i="5"/>
  <c r="BD43" i="7" s="1"/>
  <c r="BD108" i="5"/>
  <c r="BD44" i="7" s="1"/>
  <c r="BD109" i="5"/>
  <c r="BD45" i="7" s="1"/>
  <c r="BD111" i="5"/>
  <c r="BD47" i="7" s="1"/>
  <c r="BD112" i="5"/>
  <c r="BD48" i="7" s="1"/>
  <c r="BD113" i="5"/>
  <c r="BD49" i="7" s="1"/>
  <c r="BD114" i="5"/>
  <c r="BD50" i="7" s="1"/>
  <c r="BD115" i="5"/>
  <c r="BD51" i="7" s="1"/>
  <c r="BD116" i="5"/>
  <c r="BD52" i="7" s="1"/>
  <c r="BD117" i="5"/>
  <c r="BD53" i="7" s="1"/>
  <c r="BD119" i="5"/>
  <c r="BD55" i="7" s="1"/>
  <c r="BD121" i="5"/>
  <c r="BD57" i="7" s="1"/>
  <c r="BD122" i="5"/>
  <c r="BD58" i="7" s="1"/>
  <c r="BD123" i="5"/>
  <c r="BD59" i="7" s="1"/>
  <c r="BD124" i="5"/>
  <c r="BD60" i="7" s="1"/>
  <c r="BD125" i="5"/>
  <c r="BD61" i="7" s="1"/>
  <c r="BI6" i="5"/>
  <c r="BE66" i="5" s="1"/>
  <c r="BH6" i="5"/>
  <c r="BE67" i="5" s="1"/>
  <c r="BG6" i="5"/>
  <c r="BE68" i="5" s="1"/>
  <c r="BF6" i="5"/>
  <c r="BE69" i="5" s="1"/>
  <c r="BE6" i="5"/>
  <c r="BE70" i="5" s="1"/>
  <c r="BD6" i="5"/>
  <c r="BE71" i="5" s="1"/>
  <c r="BC6" i="5"/>
  <c r="BE72" i="5" s="1"/>
  <c r="BB6" i="5"/>
  <c r="BE73" i="5" s="1"/>
  <c r="BA6" i="5"/>
  <c r="BE74" i="5" s="1"/>
  <c r="AZ6" i="5"/>
  <c r="BE75" i="5" s="1"/>
  <c r="AY6" i="5"/>
  <c r="BE76" i="5" s="1"/>
  <c r="AX6" i="5"/>
  <c r="BE77" i="5" s="1"/>
  <c r="AW6" i="5"/>
  <c r="BE78" i="5" s="1"/>
  <c r="AV6" i="5"/>
  <c r="BE79" i="5" s="1"/>
  <c r="AU6" i="5"/>
  <c r="BE80" i="5" s="1"/>
  <c r="AT6" i="5"/>
  <c r="BE81" i="5" s="1"/>
  <c r="BE83" i="5"/>
  <c r="BE19" i="7" s="1"/>
  <c r="BE84" i="5"/>
  <c r="BE20" i="7" s="1"/>
  <c r="BE85" i="5"/>
  <c r="BE21" i="7" s="1"/>
  <c r="BE86" i="5"/>
  <c r="BE22" i="7" s="1"/>
  <c r="BE87" i="5"/>
  <c r="BE23" i="7" s="1"/>
  <c r="BE88" i="5"/>
  <c r="BE24" i="7" s="1"/>
  <c r="BE89" i="5"/>
  <c r="BE25" i="7" s="1"/>
  <c r="BE91" i="5"/>
  <c r="BE27" i="7" s="1"/>
  <c r="BE92" i="5"/>
  <c r="BE28" i="7" s="1"/>
  <c r="BE93" i="5"/>
  <c r="BE29" i="7" s="1"/>
  <c r="BE94" i="5"/>
  <c r="BE30" i="7" s="1"/>
  <c r="BE95" i="5"/>
  <c r="BE31" i="7" s="1"/>
  <c r="BE96" i="5"/>
  <c r="BE32" i="7" s="1"/>
  <c r="BE97" i="5"/>
  <c r="BE33" i="7" s="1"/>
  <c r="BE99" i="5"/>
  <c r="BE35" i="7" s="1"/>
  <c r="BE101" i="5"/>
  <c r="BE37" i="7" s="1"/>
  <c r="BE102" i="5"/>
  <c r="BE38" i="7" s="1"/>
  <c r="BE103" i="5"/>
  <c r="BE39" i="7" s="1"/>
  <c r="BE104" i="5"/>
  <c r="BE40" i="7" s="1"/>
  <c r="BE105" i="5"/>
  <c r="BE41" i="7" s="1"/>
  <c r="BE107" i="5"/>
  <c r="BE43" i="7" s="1"/>
  <c r="BE108" i="5"/>
  <c r="BE44" i="7" s="1"/>
  <c r="BE109" i="5"/>
  <c r="BE45" i="7" s="1"/>
  <c r="BE110" i="5"/>
  <c r="BE46" i="7" s="1"/>
  <c r="BE111" i="5"/>
  <c r="BE47" i="7" s="1"/>
  <c r="BE112" i="5"/>
  <c r="BE48" i="7" s="1"/>
  <c r="BE113" i="5"/>
  <c r="BE49" i="7" s="1"/>
  <c r="BE115" i="5"/>
  <c r="BE51" i="7" s="1"/>
  <c r="BE116" i="5"/>
  <c r="BE52" i="7" s="1"/>
  <c r="BE117" i="5"/>
  <c r="BE53" i="7" s="1"/>
  <c r="BE118" i="5"/>
  <c r="BE54" i="7" s="1"/>
  <c r="BE119" i="5"/>
  <c r="BE55" i="7" s="1"/>
  <c r="BE120" i="5"/>
  <c r="BE56" i="7" s="1"/>
  <c r="BE121" i="5"/>
  <c r="BE57" i="7" s="1"/>
  <c r="BE123" i="5"/>
  <c r="BE59" i="7" s="1"/>
  <c r="BE125" i="5"/>
  <c r="BE61" i="7" s="1"/>
  <c r="BI5" i="5"/>
  <c r="BF66" i="5" s="1"/>
  <c r="BH5" i="5"/>
  <c r="BF67" i="5" s="1"/>
  <c r="BG5" i="5"/>
  <c r="BF68" i="5" s="1"/>
  <c r="BF5" i="5"/>
  <c r="BF69" i="5" s="1"/>
  <c r="BE5" i="5"/>
  <c r="BF70" i="5" s="1"/>
  <c r="BD5" i="5"/>
  <c r="BF71" i="5" s="1"/>
  <c r="BC5" i="5"/>
  <c r="BF72" i="5" s="1"/>
  <c r="BB5" i="5"/>
  <c r="BF73" i="5" s="1"/>
  <c r="BA5" i="5"/>
  <c r="BF74" i="5" s="1"/>
  <c r="AZ5" i="5"/>
  <c r="BF75" i="5" s="1"/>
  <c r="AY5" i="5"/>
  <c r="BF76" i="5" s="1"/>
  <c r="AX5" i="5"/>
  <c r="BF77" i="5" s="1"/>
  <c r="AW5" i="5"/>
  <c r="BF78" i="5" s="1"/>
  <c r="AV5" i="5"/>
  <c r="BF79" i="5" s="1"/>
  <c r="AU5" i="5"/>
  <c r="BF80" i="5" s="1"/>
  <c r="AT5" i="5"/>
  <c r="BF81" i="5" s="1"/>
  <c r="BF82" i="5"/>
  <c r="BF18" i="7" s="1"/>
  <c r="BF83" i="5"/>
  <c r="BF19" i="7" s="1"/>
  <c r="BF84" i="5"/>
  <c r="BF20" i="7" s="1"/>
  <c r="BF85" i="5"/>
  <c r="BF21" i="7" s="1"/>
  <c r="BF87" i="5"/>
  <c r="BF23" i="7" s="1"/>
  <c r="BF88" i="5"/>
  <c r="BF24" i="7" s="1"/>
  <c r="BF89" i="5"/>
  <c r="BF25" i="7" s="1"/>
  <c r="BF90" i="5"/>
  <c r="BF26" i="7" s="1"/>
  <c r="BF91" i="5"/>
  <c r="BF27" i="7" s="1"/>
  <c r="BF92" i="5"/>
  <c r="BF28" i="7" s="1"/>
  <c r="BF93" i="5"/>
  <c r="BF29" i="7" s="1"/>
  <c r="BF95" i="5"/>
  <c r="BF31" i="7" s="1"/>
  <c r="BF96" i="5"/>
  <c r="BF32" i="7" s="1"/>
  <c r="BF97" i="5"/>
  <c r="BF33" i="7" s="1"/>
  <c r="BF98" i="5"/>
  <c r="BF34" i="7" s="1"/>
  <c r="BF99" i="5"/>
  <c r="BF35" i="7" s="1"/>
  <c r="BF100" i="5"/>
  <c r="BF36" i="7" s="1"/>
  <c r="BF101" i="5"/>
  <c r="BF37" i="7" s="1"/>
  <c r="BF103" i="5"/>
  <c r="BF39" i="7" s="1"/>
  <c r="BF104" i="5"/>
  <c r="BF40" i="7" s="1"/>
  <c r="BF105" i="5"/>
  <c r="BF41" i="7" s="1"/>
  <c r="BF106" i="5"/>
  <c r="BF42" i="7" s="1"/>
  <c r="BF107" i="5"/>
  <c r="BF43" i="7" s="1"/>
  <c r="BF108" i="5"/>
  <c r="BF44" i="7" s="1"/>
  <c r="BF109" i="5"/>
  <c r="BF45" i="7" s="1"/>
  <c r="BF111" i="5"/>
  <c r="BF47" i="7" s="1"/>
  <c r="BF113" i="5"/>
  <c r="BF49" i="7" s="1"/>
  <c r="BF114" i="5"/>
  <c r="BF50" i="7" s="1"/>
  <c r="BF115" i="5"/>
  <c r="BF51" i="7" s="1"/>
  <c r="BF116" i="5"/>
  <c r="BF52" i="7" s="1"/>
  <c r="BF117" i="5"/>
  <c r="BF53" i="7" s="1"/>
  <c r="BF119" i="5"/>
  <c r="BF55" i="7" s="1"/>
  <c r="BF121" i="5"/>
  <c r="BF57" i="7" s="1"/>
  <c r="BF122" i="5"/>
  <c r="BF58" i="7" s="1"/>
  <c r="BF123" i="5"/>
  <c r="BF59" i="7" s="1"/>
  <c r="BF124" i="5"/>
  <c r="BF60" i="7" s="1"/>
  <c r="BF125" i="5"/>
  <c r="BF61" i="7" s="1"/>
  <c r="BI4" i="5"/>
  <c r="BG66" i="5" s="1"/>
  <c r="BH4" i="5"/>
  <c r="BG67" i="5" s="1"/>
  <c r="BG4" i="5"/>
  <c r="BG68" i="5" s="1"/>
  <c r="BF4" i="5"/>
  <c r="BG69" i="5" s="1"/>
  <c r="BE4" i="5"/>
  <c r="BG70" i="5" s="1"/>
  <c r="BD4" i="5"/>
  <c r="BG71" i="5" s="1"/>
  <c r="BC4" i="5"/>
  <c r="BG72" i="5" s="1"/>
  <c r="BB4" i="5"/>
  <c r="BG73" i="5" s="1"/>
  <c r="BA4" i="5"/>
  <c r="BG74" i="5" s="1"/>
  <c r="AZ4" i="5"/>
  <c r="BG75" i="5" s="1"/>
  <c r="AY4" i="5"/>
  <c r="BG76" i="5" s="1"/>
  <c r="AX4" i="5"/>
  <c r="BG77" i="5" s="1"/>
  <c r="AW4" i="5"/>
  <c r="BG78" i="5" s="1"/>
  <c r="AV4" i="5"/>
  <c r="BG79" i="5" s="1"/>
  <c r="AU4" i="5"/>
  <c r="BG80" i="5" s="1"/>
  <c r="AT4" i="5"/>
  <c r="BG81" i="5" s="1"/>
  <c r="BG83" i="5"/>
  <c r="BG19" i="7" s="1"/>
  <c r="BG84" i="5"/>
  <c r="BG20" i="7" s="1"/>
  <c r="BG85" i="5"/>
  <c r="BG21" i="7" s="1"/>
  <c r="BG86" i="5"/>
  <c r="BG22" i="7" s="1"/>
  <c r="BG87" i="5"/>
  <c r="BG23" i="7" s="1"/>
  <c r="BG88" i="5"/>
  <c r="BG24" i="7" s="1"/>
  <c r="BG89" i="5"/>
  <c r="BG25" i="7" s="1"/>
  <c r="BG91" i="5"/>
  <c r="BG27" i="7" s="1"/>
  <c r="BG92" i="5"/>
  <c r="BG28" i="7" s="1"/>
  <c r="BG93" i="5"/>
  <c r="BG29" i="7" s="1"/>
  <c r="BG94" i="5"/>
  <c r="BG30" i="7" s="1"/>
  <c r="BG95" i="5"/>
  <c r="BG31" i="7" s="1"/>
  <c r="BG96" i="5"/>
  <c r="BG32" i="7" s="1"/>
  <c r="BG97" i="5"/>
  <c r="BG33" i="7" s="1"/>
  <c r="BG99" i="5"/>
  <c r="BG35" i="7" s="1"/>
  <c r="BG101" i="5"/>
  <c r="BG37" i="7" s="1"/>
  <c r="BG102" i="5"/>
  <c r="BG38" i="7" s="1"/>
  <c r="BG103" i="5"/>
  <c r="BG39" i="7" s="1"/>
  <c r="BG104" i="5"/>
  <c r="BG40" i="7" s="1"/>
  <c r="BG105" i="5"/>
  <c r="BG41" i="7" s="1"/>
  <c r="BG107" i="5"/>
  <c r="BG43" i="7" s="1"/>
  <c r="BG109" i="5"/>
  <c r="BG45" i="7" s="1"/>
  <c r="BG110" i="5"/>
  <c r="BG46" i="7" s="1"/>
  <c r="BG111" i="5"/>
  <c r="BG47" i="7" s="1"/>
  <c r="BG112" i="5"/>
  <c r="BG48" i="7" s="1"/>
  <c r="BG113" i="5"/>
  <c r="BG49" i="7" s="1"/>
  <c r="BG115" i="5"/>
  <c r="BG51" i="7" s="1"/>
  <c r="BG116" i="5"/>
  <c r="BG52" i="7" s="1"/>
  <c r="BG117" i="5"/>
  <c r="BG53" i="7" s="1"/>
  <c r="BG118" i="5"/>
  <c r="BG54" i="7" s="1"/>
  <c r="BG119" i="5"/>
  <c r="BG55" i="7" s="1"/>
  <c r="BG120" i="5"/>
  <c r="BG56" i="7" s="1"/>
  <c r="BG121" i="5"/>
  <c r="BG57" i="7" s="1"/>
  <c r="BG123" i="5"/>
  <c r="BG59" i="7" s="1"/>
  <c r="BG124" i="5"/>
  <c r="BG60" i="7" s="1"/>
  <c r="BG125" i="5"/>
  <c r="BG61" i="7" s="1"/>
  <c r="BI3" i="5"/>
  <c r="BH66" i="5" s="1"/>
  <c r="BH3" i="5"/>
  <c r="BH67" i="5" s="1"/>
  <c r="BG3" i="5"/>
  <c r="BH68" i="5" s="1"/>
  <c r="BF3" i="5"/>
  <c r="BH69" i="5" s="1"/>
  <c r="BE3" i="5"/>
  <c r="BH70" i="5" s="1"/>
  <c r="BD3" i="5"/>
  <c r="BH71" i="5" s="1"/>
  <c r="BC3" i="5"/>
  <c r="BH72" i="5" s="1"/>
  <c r="BB3" i="5"/>
  <c r="BH73" i="5" s="1"/>
  <c r="BA3" i="5"/>
  <c r="BH74" i="5" s="1"/>
  <c r="AZ3" i="5"/>
  <c r="BH75" i="5" s="1"/>
  <c r="AY3" i="5"/>
  <c r="BH76" i="5" s="1"/>
  <c r="AX3" i="5"/>
  <c r="BH77" i="5" s="1"/>
  <c r="AW3" i="5"/>
  <c r="BH78" i="5" s="1"/>
  <c r="AV3" i="5"/>
  <c r="BH79" i="5" s="1"/>
  <c r="AU3" i="5"/>
  <c r="BH80" i="5" s="1"/>
  <c r="AT3" i="5"/>
  <c r="BH81" i="5" s="1"/>
  <c r="BH82" i="5"/>
  <c r="BH18" i="7" s="1"/>
  <c r="BH83" i="5"/>
  <c r="BH19" i="7" s="1"/>
  <c r="BH84" i="5"/>
  <c r="BH20" i="7" s="1"/>
  <c r="BH85" i="5"/>
  <c r="BH21" i="7" s="1"/>
  <c r="BH87" i="5"/>
  <c r="BH23" i="7" s="1"/>
  <c r="BH88" i="5"/>
  <c r="BH24" i="7" s="1"/>
  <c r="BH89" i="5"/>
  <c r="BH25" i="7" s="1"/>
  <c r="BH90" i="5"/>
  <c r="BH26" i="7" s="1"/>
  <c r="BH91" i="5"/>
  <c r="BH27" i="7" s="1"/>
  <c r="BH92" i="5"/>
  <c r="BH28" i="7" s="1"/>
  <c r="BH93" i="5"/>
  <c r="BH29" i="7" s="1"/>
  <c r="BH95" i="5"/>
  <c r="BH31" i="7" s="1"/>
  <c r="BH96" i="5"/>
  <c r="BH32" i="7" s="1"/>
  <c r="BH97" i="5"/>
  <c r="BH33" i="7" s="1"/>
  <c r="BH98" i="5"/>
  <c r="BH34" i="7" s="1"/>
  <c r="BH99" i="5"/>
  <c r="BH35" i="7" s="1"/>
  <c r="BH100" i="5"/>
  <c r="BH36" i="7" s="1"/>
  <c r="BH101" i="5"/>
  <c r="BH37" i="7" s="1"/>
  <c r="BH103" i="5"/>
  <c r="BH39" i="7" s="1"/>
  <c r="BH104" i="5"/>
  <c r="BH40" i="7" s="1"/>
  <c r="BH105" i="5"/>
  <c r="BH41" i="7" s="1"/>
  <c r="BH106" i="5"/>
  <c r="BH42" i="7" s="1"/>
  <c r="BH107" i="5"/>
  <c r="BH43" i="7" s="1"/>
  <c r="BH108" i="5"/>
  <c r="BH44" i="7" s="1"/>
  <c r="BH109" i="5"/>
  <c r="BH45" i="7" s="1"/>
  <c r="BH111" i="5"/>
  <c r="BH47" i="7" s="1"/>
  <c r="BH112" i="5"/>
  <c r="BH48" i="7" s="1"/>
  <c r="BH113" i="5"/>
  <c r="BH49" i="7" s="1"/>
  <c r="BH114" i="5"/>
  <c r="BH50" i="7" s="1"/>
  <c r="BH115" i="5"/>
  <c r="BH51" i="7" s="1"/>
  <c r="BH116" i="5"/>
  <c r="BH52" i="7" s="1"/>
  <c r="BH117" i="5"/>
  <c r="BH53" i="7" s="1"/>
  <c r="BH119" i="5"/>
  <c r="BH55" i="7" s="1"/>
  <c r="BH120" i="5"/>
  <c r="BH56" i="7" s="1"/>
  <c r="BH121" i="5"/>
  <c r="BH57" i="7" s="1"/>
  <c r="BH122" i="5"/>
  <c r="BH58" i="7" s="1"/>
  <c r="BH123" i="5"/>
  <c r="BH59" i="7" s="1"/>
  <c r="BH124" i="5"/>
  <c r="BH60" i="7" s="1"/>
  <c r="BH125" i="5"/>
  <c r="BH61" i="7" s="1"/>
  <c r="BI67" i="5"/>
  <c r="BI68" i="5"/>
  <c r="BI71" i="5"/>
  <c r="BI72" i="5"/>
  <c r="BI74" i="5"/>
  <c r="BI75" i="5"/>
  <c r="BI76" i="5"/>
  <c r="BI78" i="5"/>
  <c r="BI79" i="5"/>
  <c r="BI80" i="5"/>
  <c r="BI83" i="5"/>
  <c r="BI19" i="7" s="1"/>
  <c r="BI87" i="5"/>
  <c r="BI23" i="7" s="1"/>
  <c r="BI88" i="5"/>
  <c r="BI24" i="7" s="1"/>
  <c r="BI91" i="5"/>
  <c r="BI27" i="7" s="1"/>
  <c r="BI95" i="5"/>
  <c r="BI31" i="7" s="1"/>
  <c r="BI96" i="5"/>
  <c r="BI32" i="7" s="1"/>
  <c r="BI99" i="5"/>
  <c r="BI35" i="7" s="1"/>
  <c r="BI100" i="5"/>
  <c r="BI36" i="7" s="1"/>
  <c r="BI104" i="5"/>
  <c r="BI40" i="7" s="1"/>
  <c r="BI106" i="5"/>
  <c r="BI42" i="7" s="1"/>
  <c r="BI107" i="5"/>
  <c r="BI43" i="7" s="1"/>
  <c r="BI110" i="5"/>
  <c r="BI46" i="7" s="1"/>
  <c r="BI112" i="5"/>
  <c r="BI48" i="7" s="1"/>
  <c r="BI115" i="5"/>
  <c r="BI51" i="7" s="1"/>
  <c r="BI116" i="5"/>
  <c r="BI52" i="7" s="1"/>
  <c r="BI119" i="5"/>
  <c r="BI55" i="7" s="1"/>
  <c r="BI120" i="5"/>
  <c r="BI56" i="7" s="1"/>
  <c r="BI122" i="5"/>
  <c r="BI58" i="7" s="1"/>
  <c r="BI123" i="5"/>
  <c r="BI59" i="7" s="1"/>
  <c r="BI124" i="5"/>
  <c r="BI60" i="7" s="1"/>
  <c r="BI125" i="5"/>
  <c r="BI61" i="7" s="1"/>
  <c r="Q23" i="3" l="1"/>
  <c r="Q33" i="3" s="1"/>
  <c r="C15" i="3"/>
  <c r="K27" i="3"/>
  <c r="K37" i="3" s="1"/>
  <c r="I11" i="3"/>
  <c r="F6" i="8"/>
  <c r="F15" i="8" s="1"/>
  <c r="L27" i="8"/>
  <c r="AG34" i="6"/>
  <c r="T23" i="8"/>
  <c r="T33" i="8" s="1"/>
  <c r="M37" i="8"/>
  <c r="BI43" i="6"/>
  <c r="BI44" i="6"/>
  <c r="BI42" i="6"/>
  <c r="BI45" i="6"/>
  <c r="BI47" i="6"/>
  <c r="BI52" i="6"/>
  <c r="BI50" i="6"/>
  <c r="BI46" i="6"/>
  <c r="BI51" i="6"/>
  <c r="BI49" i="6"/>
  <c r="BI48" i="6"/>
  <c r="BH59" i="6"/>
  <c r="BG57" i="6"/>
  <c r="BG2" i="6"/>
  <c r="BG2" i="7"/>
  <c r="BE57" i="6"/>
  <c r="BD53" i="6"/>
  <c r="BC59" i="6"/>
  <c r="BB53" i="6"/>
  <c r="BA49" i="6"/>
  <c r="AZ55" i="6"/>
  <c r="AY49" i="6"/>
  <c r="AX44" i="6"/>
  <c r="AW49" i="6"/>
  <c r="AV44" i="6"/>
  <c r="AU31" i="6"/>
  <c r="AT31" i="6"/>
  <c r="AS17" i="6"/>
  <c r="AS17" i="7"/>
  <c r="AR4" i="6"/>
  <c r="AR4" i="7"/>
  <c r="AP55" i="6"/>
  <c r="AP9" i="6"/>
  <c r="AP9" i="7"/>
  <c r="AN57" i="6"/>
  <c r="AM33" i="6"/>
  <c r="AL13" i="6"/>
  <c r="AL13" i="7"/>
  <c r="AK6" i="6"/>
  <c r="AK6" i="7"/>
  <c r="AI43" i="6"/>
  <c r="AH31" i="6"/>
  <c r="AG15" i="6"/>
  <c r="AG15" i="7"/>
  <c r="AE56" i="6"/>
  <c r="AD43" i="6"/>
  <c r="AC49" i="6"/>
  <c r="AB51" i="6"/>
  <c r="AA41" i="6"/>
  <c r="Z39" i="6"/>
  <c r="Y43" i="6"/>
  <c r="X47" i="6"/>
  <c r="X47" i="7"/>
  <c r="W51" i="6"/>
  <c r="W51" i="7"/>
  <c r="V47" i="6"/>
  <c r="V47" i="7"/>
  <c r="U51" i="6"/>
  <c r="U51" i="7"/>
  <c r="U3" i="6"/>
  <c r="U3" i="7"/>
  <c r="T15" i="6"/>
  <c r="T15" i="7"/>
  <c r="S19" i="6"/>
  <c r="S19" i="7"/>
  <c r="R23" i="6"/>
  <c r="R23" i="7"/>
  <c r="Q27" i="6"/>
  <c r="Q27" i="7"/>
  <c r="P31" i="6"/>
  <c r="P31" i="7"/>
  <c r="O35" i="6"/>
  <c r="O35" i="7"/>
  <c r="N39" i="6"/>
  <c r="N39" i="7"/>
  <c r="M43" i="6"/>
  <c r="M43" i="7"/>
  <c r="L47" i="6"/>
  <c r="L47" i="7"/>
  <c r="K51" i="6"/>
  <c r="K51" i="7"/>
  <c r="K3" i="6"/>
  <c r="K3" i="7"/>
  <c r="J15" i="6"/>
  <c r="J15" i="7"/>
  <c r="I43" i="6"/>
  <c r="I43" i="7"/>
  <c r="H47" i="6"/>
  <c r="H47" i="7"/>
  <c r="G59" i="6"/>
  <c r="G59" i="7"/>
  <c r="G43" i="6"/>
  <c r="G43" i="7"/>
  <c r="G3" i="6"/>
  <c r="G3" i="7"/>
  <c r="F47" i="6"/>
  <c r="F47" i="7"/>
  <c r="F39" i="6"/>
  <c r="F39" i="7"/>
  <c r="F31" i="6"/>
  <c r="F31" i="7"/>
  <c r="F23" i="6"/>
  <c r="F23" i="7"/>
  <c r="F15" i="6"/>
  <c r="F15" i="7"/>
  <c r="F7" i="6"/>
  <c r="F7" i="7"/>
  <c r="E59" i="6"/>
  <c r="E59" i="7"/>
  <c r="E51" i="6"/>
  <c r="E51" i="7"/>
  <c r="E43" i="6"/>
  <c r="E43" i="7"/>
  <c r="E35" i="6"/>
  <c r="E35" i="7"/>
  <c r="E27" i="6"/>
  <c r="E27" i="7"/>
  <c r="E19" i="6"/>
  <c r="E19" i="7"/>
  <c r="E11" i="6"/>
  <c r="E11" i="7"/>
  <c r="E3" i="6"/>
  <c r="E3" i="7"/>
  <c r="D55" i="6"/>
  <c r="D55" i="7"/>
  <c r="D47" i="6"/>
  <c r="D47" i="7"/>
  <c r="D39" i="6"/>
  <c r="D39" i="7"/>
  <c r="D31" i="6"/>
  <c r="D31" i="7"/>
  <c r="D23" i="6"/>
  <c r="D23" i="7"/>
  <c r="D15" i="6"/>
  <c r="D15" i="7"/>
  <c r="D7" i="6"/>
  <c r="D7" i="7"/>
  <c r="C59" i="6"/>
  <c r="C59" i="7"/>
  <c r="C51" i="6"/>
  <c r="C51" i="7"/>
  <c r="C43" i="6"/>
  <c r="C43" i="7"/>
  <c r="C35" i="6"/>
  <c r="C35" i="7"/>
  <c r="C27" i="6"/>
  <c r="C27" i="7"/>
  <c r="C19" i="6"/>
  <c r="C19" i="7"/>
  <c r="C11" i="6"/>
  <c r="C11" i="7"/>
  <c r="B55" i="6"/>
  <c r="B55" i="7"/>
  <c r="B31" i="6"/>
  <c r="B31" i="7"/>
  <c r="B7" i="6"/>
  <c r="B7" i="7"/>
  <c r="BI22" i="6"/>
  <c r="AD51" i="6"/>
  <c r="AF43" i="6"/>
  <c r="AH21" i="6"/>
  <c r="AJ37" i="6"/>
  <c r="AL53" i="6"/>
  <c r="AP61" i="6"/>
  <c r="BH23" i="6"/>
  <c r="BG28" i="6"/>
  <c r="BF24" i="6"/>
  <c r="BE29" i="6"/>
  <c r="BD25" i="6"/>
  <c r="BC19" i="6"/>
  <c r="BB25" i="6"/>
  <c r="BA21" i="6"/>
  <c r="AZ16" i="6"/>
  <c r="AZ16" i="7"/>
  <c r="AY29" i="6"/>
  <c r="AX35" i="6"/>
  <c r="AW30" i="6"/>
  <c r="AV32" i="6"/>
  <c r="AU20" i="6"/>
  <c r="AT11" i="6"/>
  <c r="AT11" i="7"/>
  <c r="AS9" i="6"/>
  <c r="AS9" i="7"/>
  <c r="AQ51" i="6"/>
  <c r="AP28" i="6"/>
  <c r="AO14" i="6"/>
  <c r="AO14" i="7"/>
  <c r="AM61" i="6"/>
  <c r="AL36" i="6"/>
  <c r="AK25" i="6"/>
  <c r="AJ6" i="6"/>
  <c r="AJ6" i="7"/>
  <c r="AH43" i="6"/>
  <c r="AF55" i="6"/>
  <c r="AE27" i="6"/>
  <c r="AD16" i="6"/>
  <c r="AD16" i="7"/>
  <c r="AC9" i="6"/>
  <c r="AC9" i="7"/>
  <c r="AB2" i="6"/>
  <c r="AB2" i="7"/>
  <c r="Z55" i="6"/>
  <c r="Y59" i="6"/>
  <c r="Y11" i="6"/>
  <c r="Y11" i="7"/>
  <c r="X7" i="6"/>
  <c r="X7" i="7"/>
  <c r="W11" i="6"/>
  <c r="W11" i="7"/>
  <c r="V23" i="6"/>
  <c r="V23" i="7"/>
  <c r="U19" i="6"/>
  <c r="U19" i="7"/>
  <c r="T23" i="6"/>
  <c r="T23" i="7"/>
  <c r="S27" i="6"/>
  <c r="S27" i="7"/>
  <c r="R31" i="6"/>
  <c r="R31" i="7"/>
  <c r="Q35" i="6"/>
  <c r="Q35" i="7"/>
  <c r="P39" i="6"/>
  <c r="P39" i="7"/>
  <c r="O59" i="6"/>
  <c r="O59" i="7"/>
  <c r="O3" i="6"/>
  <c r="O3" i="7"/>
  <c r="M59" i="6"/>
  <c r="M59" i="7"/>
  <c r="M3" i="6"/>
  <c r="M3" i="7"/>
  <c r="L7" i="6"/>
  <c r="L7" i="7"/>
  <c r="K19" i="6"/>
  <c r="K19" i="7"/>
  <c r="J7" i="6"/>
  <c r="J7" i="7"/>
  <c r="I19" i="6"/>
  <c r="I19" i="7"/>
  <c r="H23" i="6"/>
  <c r="H23" i="7"/>
  <c r="G51" i="6"/>
  <c r="G51" i="7"/>
  <c r="F55" i="6"/>
  <c r="F55" i="7"/>
  <c r="BH57" i="6"/>
  <c r="BH29" i="6"/>
  <c r="BH4" i="6"/>
  <c r="BH4" i="7"/>
  <c r="BG35" i="6"/>
  <c r="BG16" i="6"/>
  <c r="BG16" i="7"/>
  <c r="BF50" i="6"/>
  <c r="BF21" i="6"/>
  <c r="BE55" i="6"/>
  <c r="BE27" i="6"/>
  <c r="BD61" i="6"/>
  <c r="BD32" i="6"/>
  <c r="BD14" i="6"/>
  <c r="BD14" i="7"/>
  <c r="BC46" i="6"/>
  <c r="BC16" i="6"/>
  <c r="BC16" i="7"/>
  <c r="BB51" i="6"/>
  <c r="BB23" i="6"/>
  <c r="BA56" i="6"/>
  <c r="BA28" i="6"/>
  <c r="BA2" i="6"/>
  <c r="BA2" i="7"/>
  <c r="AZ6" i="6"/>
  <c r="AZ6" i="7"/>
  <c r="BI27" i="6"/>
  <c r="BH14" i="6"/>
  <c r="BH14" i="7"/>
  <c r="BG19" i="6"/>
  <c r="BF15" i="6"/>
  <c r="BF15" i="7"/>
  <c r="BE11" i="6"/>
  <c r="BE11" i="7"/>
  <c r="BD16" i="6"/>
  <c r="BD16" i="7"/>
  <c r="BC10" i="6"/>
  <c r="BC10" i="7"/>
  <c r="BB16" i="6"/>
  <c r="BB16" i="7"/>
  <c r="BA12" i="6"/>
  <c r="BA12" i="7"/>
  <c r="AZ8" i="6"/>
  <c r="AZ8" i="7"/>
  <c r="AY11" i="6"/>
  <c r="AY11" i="7"/>
  <c r="AX26" i="6"/>
  <c r="AW21" i="6"/>
  <c r="AV21" i="6"/>
  <c r="AU11" i="6"/>
  <c r="AU11" i="7"/>
  <c r="AT3" i="6"/>
  <c r="AT3" i="7"/>
  <c r="AR48" i="6"/>
  <c r="AQ37" i="6"/>
  <c r="AP17" i="6"/>
  <c r="AP17" i="7"/>
  <c r="AO6" i="6"/>
  <c r="AO6" i="7"/>
  <c r="AM47" i="6"/>
  <c r="AL24" i="6"/>
  <c r="AK14" i="6"/>
  <c r="AK14" i="7"/>
  <c r="AI57" i="6"/>
  <c r="AH17" i="6"/>
  <c r="AH17" i="7"/>
  <c r="AF39" i="6"/>
  <c r="AE15" i="6"/>
  <c r="AE15" i="7"/>
  <c r="AD8" i="6"/>
  <c r="AD8" i="7"/>
  <c r="AB61" i="6"/>
  <c r="AA52" i="6"/>
  <c r="Z47" i="6"/>
  <c r="Y51" i="6"/>
  <c r="Y3" i="6"/>
  <c r="Y3" i="7"/>
  <c r="X15" i="6"/>
  <c r="X15" i="7"/>
  <c r="W19" i="6"/>
  <c r="W19" i="7"/>
  <c r="V15" i="6"/>
  <c r="V15" i="7"/>
  <c r="U27" i="6"/>
  <c r="U27" i="7"/>
  <c r="T31" i="6"/>
  <c r="T31" i="7"/>
  <c r="S35" i="6"/>
  <c r="S35" i="7"/>
  <c r="R39" i="6"/>
  <c r="R39" i="7"/>
  <c r="Q43" i="6"/>
  <c r="Q43" i="7"/>
  <c r="P55" i="6"/>
  <c r="P55" i="7"/>
  <c r="O51" i="6"/>
  <c r="O51" i="7"/>
  <c r="N55" i="6"/>
  <c r="N55" i="7"/>
  <c r="N7" i="6"/>
  <c r="N7" i="7"/>
  <c r="M11" i="6"/>
  <c r="M11" i="7"/>
  <c r="L23" i="6"/>
  <c r="L23" i="7"/>
  <c r="K27" i="6"/>
  <c r="K27" i="7"/>
  <c r="J23" i="6"/>
  <c r="J23" i="7"/>
  <c r="I27" i="6"/>
  <c r="I27" i="7"/>
  <c r="H31" i="6"/>
  <c r="H31" i="7"/>
  <c r="G35" i="6"/>
  <c r="G35" i="7"/>
  <c r="B15" i="6"/>
  <c r="B15" i="7"/>
  <c r="BI58" i="6"/>
  <c r="BI8" i="6"/>
  <c r="BI8" i="7"/>
  <c r="BH39" i="6"/>
  <c r="BH12" i="6"/>
  <c r="BH12" i="7"/>
  <c r="BG46" i="6"/>
  <c r="BG25" i="6"/>
  <c r="BF60" i="6"/>
  <c r="BF31" i="6"/>
  <c r="BF5" i="6"/>
  <c r="BF5" i="7"/>
  <c r="BE37" i="6"/>
  <c r="BE17" i="6"/>
  <c r="BE17" i="7"/>
  <c r="BD51" i="6"/>
  <c r="BD23" i="6"/>
  <c r="BC56" i="6"/>
  <c r="BC25" i="6"/>
  <c r="BB60" i="6"/>
  <c r="BB32" i="6"/>
  <c r="BB14" i="6"/>
  <c r="BB14" i="7"/>
  <c r="BA47" i="6"/>
  <c r="BA19" i="6"/>
  <c r="AZ52" i="6"/>
  <c r="AZ32" i="6"/>
  <c r="AZ23" i="6"/>
  <c r="BI11" i="6"/>
  <c r="BI11" i="7"/>
  <c r="BH6" i="6"/>
  <c r="BH6" i="7"/>
  <c r="BG10" i="6"/>
  <c r="BG10" i="7"/>
  <c r="BF7" i="6"/>
  <c r="BF7" i="7"/>
  <c r="BE3" i="6"/>
  <c r="BE3" i="7"/>
  <c r="BD8" i="6"/>
  <c r="BD8" i="7"/>
  <c r="BC2" i="6"/>
  <c r="BC2" i="7"/>
  <c r="BB8" i="6"/>
  <c r="BB8" i="7"/>
  <c r="BA4" i="6"/>
  <c r="BA4" i="7"/>
  <c r="AY60" i="6"/>
  <c r="AX55" i="6"/>
  <c r="AW61" i="6"/>
  <c r="AV55" i="6"/>
  <c r="AU41" i="6"/>
  <c r="AT53" i="6"/>
  <c r="AS53" i="6"/>
  <c r="AR35" i="6"/>
  <c r="AQ25" i="6"/>
  <c r="AO61" i="6"/>
  <c r="AN43" i="6"/>
  <c r="AM21" i="6"/>
  <c r="AL5" i="6"/>
  <c r="AL5" i="7"/>
  <c r="AJ39" i="6"/>
  <c r="AI28" i="6"/>
  <c r="AH9" i="6"/>
  <c r="AH9" i="7"/>
  <c r="AG7" i="6"/>
  <c r="AG7" i="7"/>
  <c r="AE41" i="6"/>
  <c r="AD28" i="6"/>
  <c r="AC39" i="6"/>
  <c r="AB29" i="6"/>
  <c r="AA31" i="6"/>
  <c r="Z31" i="6"/>
  <c r="Y35" i="6"/>
  <c r="X39" i="6"/>
  <c r="X39" i="7"/>
  <c r="W43" i="6"/>
  <c r="W43" i="7"/>
  <c r="V55" i="6"/>
  <c r="V55" i="7"/>
  <c r="U59" i="6"/>
  <c r="U59" i="7"/>
  <c r="T55" i="6"/>
  <c r="T55" i="7"/>
  <c r="T7" i="6"/>
  <c r="T7" i="7"/>
  <c r="S11" i="6"/>
  <c r="S11" i="7"/>
  <c r="R15" i="6"/>
  <c r="R15" i="7"/>
  <c r="Q19" i="6"/>
  <c r="Q19" i="7"/>
  <c r="P23" i="6"/>
  <c r="P23" i="7"/>
  <c r="O27" i="6"/>
  <c r="O27" i="7"/>
  <c r="N47" i="6"/>
  <c r="N47" i="7"/>
  <c r="M51" i="6"/>
  <c r="M51" i="7"/>
  <c r="L55" i="6"/>
  <c r="L55" i="7"/>
  <c r="K59" i="6"/>
  <c r="K59" i="7"/>
  <c r="K11" i="6"/>
  <c r="K11" i="7"/>
  <c r="J31" i="6"/>
  <c r="J31" i="7"/>
  <c r="I35" i="6"/>
  <c r="I35" i="7"/>
  <c r="H39" i="6"/>
  <c r="H39" i="7"/>
  <c r="G27" i="6"/>
  <c r="G27" i="7"/>
  <c r="B23" i="6"/>
  <c r="B23" i="7"/>
  <c r="BI23" i="6"/>
  <c r="BH48" i="6"/>
  <c r="BH20" i="6"/>
  <c r="BG55" i="6"/>
  <c r="BG8" i="6"/>
  <c r="BG8" i="7"/>
  <c r="BF40" i="6"/>
  <c r="BF13" i="6"/>
  <c r="BF13" i="7"/>
  <c r="BE46" i="6"/>
  <c r="BE9" i="6"/>
  <c r="BE9" i="7"/>
  <c r="BD42" i="6"/>
  <c r="BD6" i="6"/>
  <c r="BD6" i="7"/>
  <c r="BC35" i="6"/>
  <c r="BC8" i="6"/>
  <c r="BC8" i="7"/>
  <c r="BB42" i="6"/>
  <c r="BB6" i="6"/>
  <c r="BB6" i="7"/>
  <c r="BA37" i="6"/>
  <c r="BA10" i="6"/>
  <c r="BA10" i="7"/>
  <c r="AZ42" i="6"/>
  <c r="AZ14" i="6"/>
  <c r="AZ14" i="7"/>
  <c r="BH32" i="6"/>
  <c r="BF52" i="6"/>
  <c r="BE20" i="6"/>
  <c r="BC48" i="6"/>
  <c r="BA59" i="6"/>
  <c r="AZ34" i="6"/>
  <c r="AY3" i="6"/>
  <c r="AY3" i="7"/>
  <c r="AW39" i="6"/>
  <c r="AU53" i="6"/>
  <c r="AT20" i="6"/>
  <c r="AR61" i="6"/>
  <c r="AQ14" i="6"/>
  <c r="AQ14" i="7"/>
  <c r="AO37" i="6"/>
  <c r="AN9" i="6"/>
  <c r="AN9" i="7"/>
  <c r="AL51" i="6"/>
  <c r="AJ55" i="6"/>
  <c r="AI8" i="6"/>
  <c r="AI8" i="7"/>
  <c r="AG44" i="6"/>
  <c r="AF5" i="6"/>
  <c r="AF5" i="7"/>
  <c r="AC60" i="6"/>
  <c r="AB40" i="6"/>
  <c r="AA11" i="6"/>
  <c r="AA11" i="7"/>
  <c r="Z7" i="6"/>
  <c r="Z7" i="7"/>
  <c r="X55" i="6"/>
  <c r="X55" i="7"/>
  <c r="W59" i="6"/>
  <c r="W59" i="7"/>
  <c r="W3" i="6"/>
  <c r="W3" i="7"/>
  <c r="V7" i="6"/>
  <c r="V7" i="7"/>
  <c r="U11" i="6"/>
  <c r="U11" i="7"/>
  <c r="S59" i="6"/>
  <c r="S59" i="7"/>
  <c r="R55" i="6"/>
  <c r="R55" i="7"/>
  <c r="Q51" i="6"/>
  <c r="Q51" i="7"/>
  <c r="P47" i="6"/>
  <c r="P47" i="7"/>
  <c r="O43" i="6"/>
  <c r="O43" i="7"/>
  <c r="N23" i="6"/>
  <c r="N23" i="7"/>
  <c r="M19" i="6"/>
  <c r="M19" i="7"/>
  <c r="L15" i="6"/>
  <c r="L15" i="7"/>
  <c r="J55" i="6"/>
  <c r="J55" i="7"/>
  <c r="H55" i="6"/>
  <c r="H55" i="7"/>
  <c r="C3" i="6"/>
  <c r="C3" i="7"/>
  <c r="BI3" i="6"/>
  <c r="BI3" i="7"/>
  <c r="BH35" i="6"/>
  <c r="BG61" i="6"/>
  <c r="BG22" i="6"/>
  <c r="BF45" i="6"/>
  <c r="BF2" i="6"/>
  <c r="BF2" i="7"/>
  <c r="BE23" i="6"/>
  <c r="BD48" i="6"/>
  <c r="BD19" i="6"/>
  <c r="BC41" i="6"/>
  <c r="BC5" i="6"/>
  <c r="BC5" i="7"/>
  <c r="BB28" i="6"/>
  <c r="BA53" i="6"/>
  <c r="BA15" i="6"/>
  <c r="BA15" i="7"/>
  <c r="AZ37" i="6"/>
  <c r="AY32" i="6"/>
  <c r="AX29" i="6"/>
  <c r="BH50" i="6"/>
  <c r="BG38" i="6"/>
  <c r="BF33" i="6"/>
  <c r="BE39" i="6"/>
  <c r="BD34" i="6"/>
  <c r="BC28" i="6"/>
  <c r="BB34" i="6"/>
  <c r="BA39" i="6"/>
  <c r="AZ44" i="6"/>
  <c r="AY39" i="6"/>
  <c r="AX17" i="6"/>
  <c r="AX17" i="7"/>
  <c r="AW12" i="6"/>
  <c r="AW12" i="7"/>
  <c r="AV12" i="6"/>
  <c r="AV12" i="7"/>
  <c r="AU3" i="6"/>
  <c r="AU3" i="7"/>
  <c r="AS40" i="6"/>
  <c r="AR23" i="6"/>
  <c r="AQ6" i="6"/>
  <c r="AQ6" i="7"/>
  <c r="AO51" i="6"/>
  <c r="AN29" i="6"/>
  <c r="AM12" i="6"/>
  <c r="AM12" i="7"/>
  <c r="AK53" i="6"/>
  <c r="AJ25" i="6"/>
  <c r="AI16" i="6"/>
  <c r="AI16" i="7"/>
  <c r="AG61" i="6"/>
  <c r="AF24" i="6"/>
  <c r="AE7" i="6"/>
  <c r="AE7" i="7"/>
  <c r="AC28" i="6"/>
  <c r="AB19" i="6"/>
  <c r="AA20" i="6"/>
  <c r="Z23" i="6"/>
  <c r="Y27" i="6"/>
  <c r="X23" i="6"/>
  <c r="X23" i="7"/>
  <c r="W35" i="6"/>
  <c r="W35" i="7"/>
  <c r="V31" i="6"/>
  <c r="V31" i="7"/>
  <c r="U43" i="6"/>
  <c r="U43" i="7"/>
  <c r="T47" i="6"/>
  <c r="T47" i="7"/>
  <c r="S51" i="6"/>
  <c r="S51" i="7"/>
  <c r="S3" i="6"/>
  <c r="S3" i="7"/>
  <c r="R7" i="6"/>
  <c r="R7" i="7"/>
  <c r="Q11" i="6"/>
  <c r="Q11" i="7"/>
  <c r="P15" i="6"/>
  <c r="P15" i="7"/>
  <c r="O19" i="6"/>
  <c r="O19" i="7"/>
  <c r="N31" i="6"/>
  <c r="N31" i="7"/>
  <c r="M35" i="6"/>
  <c r="M35" i="7"/>
  <c r="L39" i="6"/>
  <c r="L39" i="7"/>
  <c r="K35" i="6"/>
  <c r="K35" i="7"/>
  <c r="J39" i="6"/>
  <c r="J39" i="7"/>
  <c r="I51" i="6"/>
  <c r="I51" i="7"/>
  <c r="I11" i="6"/>
  <c r="I11" i="7"/>
  <c r="H15" i="6"/>
  <c r="H15" i="7"/>
  <c r="G19" i="6"/>
  <c r="G19" i="7"/>
  <c r="B39" i="6"/>
  <c r="B39" i="7"/>
  <c r="BI15" i="6"/>
  <c r="BI15" i="7"/>
  <c r="BH44" i="6"/>
  <c r="BH17" i="6"/>
  <c r="BH17" i="7"/>
  <c r="BG52" i="6"/>
  <c r="BG31" i="6"/>
  <c r="BG5" i="6"/>
  <c r="BG5" i="7"/>
  <c r="BF36" i="6"/>
  <c r="BF18" i="6"/>
  <c r="BE52" i="6"/>
  <c r="BE32" i="6"/>
  <c r="BE6" i="6"/>
  <c r="BE6" i="7"/>
  <c r="BD37" i="6"/>
  <c r="BD11" i="6"/>
  <c r="BD11" i="7"/>
  <c r="BC53" i="6"/>
  <c r="BC22" i="6"/>
  <c r="BB57" i="6"/>
  <c r="BB37" i="6"/>
  <c r="BB11" i="6"/>
  <c r="BB11" i="7"/>
  <c r="BA43" i="6"/>
  <c r="BA24" i="6"/>
  <c r="AZ59" i="6"/>
  <c r="AZ28" i="6"/>
  <c r="AZ11" i="6"/>
  <c r="AZ11" i="7"/>
  <c r="AY54" i="6"/>
  <c r="AY23" i="6"/>
  <c r="AY6" i="6"/>
  <c r="AY6" i="7"/>
  <c r="AX49" i="6"/>
  <c r="AX4" i="6"/>
  <c r="AX4" i="7"/>
  <c r="BI60" i="6"/>
  <c r="BH41" i="6"/>
  <c r="BG48" i="6"/>
  <c r="BF42" i="6"/>
  <c r="BE48" i="6"/>
  <c r="BD44" i="6"/>
  <c r="BC38" i="6"/>
  <c r="BB44" i="6"/>
  <c r="BA30" i="6"/>
  <c r="AZ25" i="6"/>
  <c r="AY20" i="6"/>
  <c r="AX9" i="6"/>
  <c r="AX9" i="7"/>
  <c r="AW4" i="6"/>
  <c r="AW4" i="7"/>
  <c r="AV4" i="6"/>
  <c r="AV4" i="7"/>
  <c r="AT43" i="6"/>
  <c r="AS28" i="6"/>
  <c r="AR12" i="6"/>
  <c r="AR12" i="7"/>
  <c r="AP41" i="6"/>
  <c r="AO24" i="6"/>
  <c r="AN17" i="6"/>
  <c r="AN17" i="7"/>
  <c r="AM4" i="6"/>
  <c r="AM4" i="7"/>
  <c r="AK37" i="6"/>
  <c r="AJ14" i="6"/>
  <c r="AJ14" i="7"/>
  <c r="AH59" i="6"/>
  <c r="AG28" i="6"/>
  <c r="AF13" i="6"/>
  <c r="AF13" i="7"/>
  <c r="AD57" i="6"/>
  <c r="AC17" i="6"/>
  <c r="AC17" i="7"/>
  <c r="AB10" i="6"/>
  <c r="AB10" i="7"/>
  <c r="AA3" i="6"/>
  <c r="AA3" i="7"/>
  <c r="Z15" i="6"/>
  <c r="Z15" i="7"/>
  <c r="Y19" i="6"/>
  <c r="X31" i="6"/>
  <c r="X31" i="7"/>
  <c r="W27" i="6"/>
  <c r="W27" i="7"/>
  <c r="V39" i="6"/>
  <c r="V39" i="7"/>
  <c r="U35" i="6"/>
  <c r="U35" i="7"/>
  <c r="T39" i="6"/>
  <c r="T39" i="7"/>
  <c r="S43" i="6"/>
  <c r="S43" i="7"/>
  <c r="R47" i="6"/>
  <c r="R47" i="7"/>
  <c r="Q59" i="6"/>
  <c r="Q59" i="7"/>
  <c r="Q3" i="6"/>
  <c r="Q3" i="7"/>
  <c r="P7" i="6"/>
  <c r="P7" i="7"/>
  <c r="O11" i="6"/>
  <c r="O11" i="7"/>
  <c r="N15" i="6"/>
  <c r="N15" i="7"/>
  <c r="M27" i="6"/>
  <c r="M27" i="7"/>
  <c r="L31" i="6"/>
  <c r="L31" i="7"/>
  <c r="K43" i="6"/>
  <c r="K43" i="7"/>
  <c r="J47" i="6"/>
  <c r="J47" i="7"/>
  <c r="I59" i="6"/>
  <c r="I59" i="7"/>
  <c r="I3" i="6"/>
  <c r="I3" i="7"/>
  <c r="H7" i="6"/>
  <c r="H7" i="7"/>
  <c r="G11" i="6"/>
  <c r="G11" i="7"/>
  <c r="B47" i="6"/>
  <c r="B47" i="7"/>
  <c r="BI35" i="6"/>
  <c r="BH53" i="6"/>
  <c r="BH26" i="6"/>
  <c r="BH9" i="6"/>
  <c r="BH9" i="7"/>
  <c r="BG41" i="6"/>
  <c r="BG13" i="6"/>
  <c r="BG13" i="7"/>
  <c r="BF57" i="6"/>
  <c r="BF27" i="6"/>
  <c r="BF10" i="6"/>
  <c r="BF10" i="7"/>
  <c r="BE43" i="6"/>
  <c r="BE14" i="6"/>
  <c r="BE14" i="7"/>
  <c r="BD58" i="6"/>
  <c r="BD28" i="6"/>
  <c r="BD3" i="6"/>
  <c r="BD3" i="7"/>
  <c r="BC31" i="6"/>
  <c r="BC13" i="6"/>
  <c r="BC13" i="7"/>
  <c r="BB48" i="6"/>
  <c r="BB19" i="6"/>
  <c r="BB3" i="6"/>
  <c r="BB3" i="7"/>
  <c r="BA33" i="6"/>
  <c r="BA7" i="6"/>
  <c r="BA7" i="7"/>
  <c r="AZ49" i="6"/>
  <c r="AZ19" i="6"/>
  <c r="AZ3" i="6"/>
  <c r="AZ3" i="7"/>
  <c r="AY43" i="6"/>
  <c r="AY14" i="6"/>
  <c r="AY14" i="7"/>
  <c r="AX58" i="6"/>
  <c r="AX39" i="6"/>
  <c r="AW54" i="6"/>
  <c r="BI59" i="6"/>
  <c r="BI24" i="6"/>
  <c r="BI10" i="6"/>
  <c r="BI10" i="7"/>
  <c r="BH58" i="6"/>
  <c r="BH49" i="6"/>
  <c r="BH40" i="6"/>
  <c r="BH31" i="6"/>
  <c r="BH21" i="6"/>
  <c r="BH13" i="6"/>
  <c r="BH13" i="7"/>
  <c r="BH5" i="6"/>
  <c r="BH5" i="7"/>
  <c r="BG56" i="6"/>
  <c r="BG47" i="6"/>
  <c r="BG37" i="6"/>
  <c r="BG27" i="6"/>
  <c r="BG17" i="6"/>
  <c r="BG17" i="7"/>
  <c r="BG9" i="6"/>
  <c r="BG9" i="7"/>
  <c r="BF61" i="6"/>
  <c r="BF51" i="6"/>
  <c r="BF41" i="6"/>
  <c r="BF32" i="6"/>
  <c r="BF23" i="6"/>
  <c r="BF14" i="6"/>
  <c r="BF14" i="7"/>
  <c r="BF6" i="6"/>
  <c r="BF6" i="7"/>
  <c r="BE56" i="6"/>
  <c r="BE47" i="6"/>
  <c r="BE38" i="6"/>
  <c r="BE28" i="6"/>
  <c r="BE19" i="6"/>
  <c r="BE10" i="6"/>
  <c r="BE10" i="7"/>
  <c r="BE2" i="6"/>
  <c r="BE2" i="7"/>
  <c r="BD52" i="6"/>
  <c r="BD43" i="6"/>
  <c r="BD33" i="6"/>
  <c r="BD24" i="6"/>
  <c r="BD15" i="6"/>
  <c r="BD15" i="7"/>
  <c r="BD7" i="6"/>
  <c r="BD7" i="7"/>
  <c r="BC57" i="6"/>
  <c r="BC47" i="6"/>
  <c r="BC37" i="6"/>
  <c r="BC27" i="6"/>
  <c r="BC17" i="6"/>
  <c r="BC17" i="7"/>
  <c r="BC9" i="6"/>
  <c r="BC9" i="7"/>
  <c r="BB61" i="6"/>
  <c r="BB52" i="6"/>
  <c r="BB43" i="6"/>
  <c r="BB33" i="6"/>
  <c r="BB24" i="6"/>
  <c r="BB15" i="6"/>
  <c r="BB15" i="7"/>
  <c r="BB7" i="6"/>
  <c r="BB7" i="7"/>
  <c r="BA57" i="6"/>
  <c r="BA48" i="6"/>
  <c r="BA38" i="6"/>
  <c r="BA29" i="6"/>
  <c r="BA20" i="6"/>
  <c r="BA11" i="6"/>
  <c r="BA11" i="7"/>
  <c r="BA3" i="6"/>
  <c r="BA3" i="7"/>
  <c r="AZ53" i="6"/>
  <c r="AZ43" i="6"/>
  <c r="AZ33" i="6"/>
  <c r="AZ24" i="6"/>
  <c r="AZ15" i="6"/>
  <c r="AZ15" i="7"/>
  <c r="AZ7" i="6"/>
  <c r="AZ7" i="7"/>
  <c r="AY59" i="6"/>
  <c r="AY48" i="6"/>
  <c r="AY38" i="6"/>
  <c r="AY28" i="6"/>
  <c r="AY19" i="6"/>
  <c r="AY10" i="6"/>
  <c r="AY10" i="7"/>
  <c r="AY2" i="6"/>
  <c r="AY2" i="7"/>
  <c r="AX53" i="6"/>
  <c r="AX43" i="6"/>
  <c r="AX34" i="6"/>
  <c r="AX25" i="6"/>
  <c r="AX16" i="6"/>
  <c r="AX16" i="7"/>
  <c r="AX8" i="6"/>
  <c r="AX8" i="7"/>
  <c r="AW59" i="6"/>
  <c r="AW48" i="6"/>
  <c r="AW38" i="6"/>
  <c r="AW29" i="6"/>
  <c r="AW20" i="6"/>
  <c r="AW11" i="6"/>
  <c r="AW11" i="7"/>
  <c r="AW3" i="6"/>
  <c r="AW3" i="7"/>
  <c r="AV53" i="6"/>
  <c r="AV43" i="6"/>
  <c r="AV31" i="6"/>
  <c r="AV20" i="6"/>
  <c r="AV11" i="6"/>
  <c r="AV11" i="7"/>
  <c r="AV3" i="6"/>
  <c r="AV3" i="7"/>
  <c r="AU51" i="6"/>
  <c r="AU40" i="6"/>
  <c r="AU29" i="6"/>
  <c r="AU19" i="6"/>
  <c r="AU10" i="6"/>
  <c r="AU10" i="7"/>
  <c r="AU2" i="6"/>
  <c r="AU2" i="7"/>
  <c r="AT52" i="6"/>
  <c r="AT41" i="6"/>
  <c r="AT29" i="6"/>
  <c r="AT19" i="6"/>
  <c r="AT10" i="6"/>
  <c r="AT10" i="7"/>
  <c r="AT2" i="6"/>
  <c r="AT2" i="7"/>
  <c r="AS51" i="6"/>
  <c r="AS39" i="6"/>
  <c r="AS27" i="6"/>
  <c r="AS16" i="6"/>
  <c r="AS16" i="7"/>
  <c r="AS8" i="6"/>
  <c r="AS8" i="7"/>
  <c r="AR60" i="6"/>
  <c r="AR47" i="6"/>
  <c r="AR33" i="6"/>
  <c r="AR20" i="6"/>
  <c r="AR11" i="6"/>
  <c r="AR11" i="7"/>
  <c r="AR3" i="6"/>
  <c r="AR3" i="7"/>
  <c r="AQ49" i="6"/>
  <c r="AQ35" i="6"/>
  <c r="AQ24" i="6"/>
  <c r="AQ13" i="6"/>
  <c r="AQ13" i="7"/>
  <c r="AQ5" i="6"/>
  <c r="AQ5" i="7"/>
  <c r="AP53" i="6"/>
  <c r="AP39" i="6"/>
  <c r="AP27" i="6"/>
  <c r="AP16" i="6"/>
  <c r="AP16" i="7"/>
  <c r="AP8" i="6"/>
  <c r="AP8" i="7"/>
  <c r="AO60" i="6"/>
  <c r="AO49" i="6"/>
  <c r="AO35" i="6"/>
  <c r="AO23" i="6"/>
  <c r="AO13" i="6"/>
  <c r="AO13" i="7"/>
  <c r="AO5" i="6"/>
  <c r="AO5" i="7"/>
  <c r="AN55" i="6"/>
  <c r="AN41" i="6"/>
  <c r="AN28" i="6"/>
  <c r="AN16" i="6"/>
  <c r="AN16" i="7"/>
  <c r="AN8" i="6"/>
  <c r="AN8" i="7"/>
  <c r="AM59" i="6"/>
  <c r="AM45" i="6"/>
  <c r="AM32" i="6"/>
  <c r="AM20" i="6"/>
  <c r="AM11" i="6"/>
  <c r="AM11" i="7"/>
  <c r="AM3" i="6"/>
  <c r="AM3" i="7"/>
  <c r="AL49" i="6"/>
  <c r="AL35" i="6"/>
  <c r="AL23" i="6"/>
  <c r="AL12" i="6"/>
  <c r="AL12" i="7"/>
  <c r="AL4" i="6"/>
  <c r="AL4" i="7"/>
  <c r="AK51" i="6"/>
  <c r="AK36" i="6"/>
  <c r="AK24" i="6"/>
  <c r="AK13" i="6"/>
  <c r="AK13" i="7"/>
  <c r="AK5" i="6"/>
  <c r="AK5" i="7"/>
  <c r="AJ52" i="6"/>
  <c r="AJ36" i="6"/>
  <c r="AJ24" i="6"/>
  <c r="AJ13" i="6"/>
  <c r="AJ13" i="7"/>
  <c r="AJ5" i="6"/>
  <c r="AJ5" i="7"/>
  <c r="AI56" i="6"/>
  <c r="AI41" i="6"/>
  <c r="AI27" i="6"/>
  <c r="AI15" i="6"/>
  <c r="AI15" i="7"/>
  <c r="AI7" i="6"/>
  <c r="AI7" i="7"/>
  <c r="AH57" i="6"/>
  <c r="AH41" i="6"/>
  <c r="AH28" i="6"/>
  <c r="AH16" i="6"/>
  <c r="AH16" i="7"/>
  <c r="AH8" i="6"/>
  <c r="AH8" i="7"/>
  <c r="AG59" i="6"/>
  <c r="AG43" i="6"/>
  <c r="AG27" i="6"/>
  <c r="AG14" i="6"/>
  <c r="AG14" i="7"/>
  <c r="AG6" i="6"/>
  <c r="AG6" i="7"/>
  <c r="AF52" i="6"/>
  <c r="AF36" i="6"/>
  <c r="AF23" i="6"/>
  <c r="AF12" i="6"/>
  <c r="AF12" i="7"/>
  <c r="AF4" i="6"/>
  <c r="AF4" i="7"/>
  <c r="AE53" i="6"/>
  <c r="AE40" i="6"/>
  <c r="AE25" i="6"/>
  <c r="AE14" i="6"/>
  <c r="AE14" i="7"/>
  <c r="AE6" i="6"/>
  <c r="AE6" i="7"/>
  <c r="AD56" i="6"/>
  <c r="AD41" i="6"/>
  <c r="AD27" i="6"/>
  <c r="AD15" i="6"/>
  <c r="AD15" i="7"/>
  <c r="AD7" i="6"/>
  <c r="AD7" i="7"/>
  <c r="AC59" i="6"/>
  <c r="AC48" i="6"/>
  <c r="AC37" i="6"/>
  <c r="AC27" i="6"/>
  <c r="AC16" i="6"/>
  <c r="AC16" i="7"/>
  <c r="AC8" i="6"/>
  <c r="AC8" i="7"/>
  <c r="AB60" i="6"/>
  <c r="AB49" i="6"/>
  <c r="AB39" i="6"/>
  <c r="AB28" i="6"/>
  <c r="AB17" i="6"/>
  <c r="AB17" i="7"/>
  <c r="AB9" i="6"/>
  <c r="AB9" i="7"/>
  <c r="AA61" i="6"/>
  <c r="AA51" i="6"/>
  <c r="AA40" i="6"/>
  <c r="AA29" i="6"/>
  <c r="AA19" i="6"/>
  <c r="AA10" i="6"/>
  <c r="AA10" i="7"/>
  <c r="AA2" i="6"/>
  <c r="AA2" i="7"/>
  <c r="Z54" i="6"/>
  <c r="Z46" i="6"/>
  <c r="Z38" i="6"/>
  <c r="Z30" i="6"/>
  <c r="Z22" i="6"/>
  <c r="Z14" i="6"/>
  <c r="Z14" i="7"/>
  <c r="Z6" i="6"/>
  <c r="Z6" i="7"/>
  <c r="Y58" i="6"/>
  <c r="Y50" i="6"/>
  <c r="Y42" i="6"/>
  <c r="Y34" i="6"/>
  <c r="Y26" i="6"/>
  <c r="Y18" i="6"/>
  <c r="Y10" i="6"/>
  <c r="Y10" i="7"/>
  <c r="Y2" i="6"/>
  <c r="Y2" i="7"/>
  <c r="X54" i="6"/>
  <c r="X54" i="7"/>
  <c r="X46" i="6"/>
  <c r="X46" i="7"/>
  <c r="X38" i="6"/>
  <c r="X38" i="7"/>
  <c r="X30" i="6"/>
  <c r="X30" i="7"/>
  <c r="X22" i="6"/>
  <c r="X22" i="7"/>
  <c r="X14" i="6"/>
  <c r="X14" i="7"/>
  <c r="X6" i="6"/>
  <c r="X6" i="7"/>
  <c r="W58" i="6"/>
  <c r="W58" i="7"/>
  <c r="W50" i="6"/>
  <c r="W50" i="7"/>
  <c r="W42" i="6"/>
  <c r="W42" i="7"/>
  <c r="W34" i="6"/>
  <c r="W34" i="7"/>
  <c r="W26" i="6"/>
  <c r="W26" i="7"/>
  <c r="W18" i="6"/>
  <c r="W18" i="7"/>
  <c r="W10" i="6"/>
  <c r="W10" i="7"/>
  <c r="W2" i="6"/>
  <c r="W2" i="7"/>
  <c r="V54" i="6"/>
  <c r="V54" i="7"/>
  <c r="V46" i="6"/>
  <c r="V46" i="7"/>
  <c r="V38" i="6"/>
  <c r="V38" i="7"/>
  <c r="V30" i="6"/>
  <c r="V30" i="7"/>
  <c r="V22" i="6"/>
  <c r="V22" i="7"/>
  <c r="V14" i="6"/>
  <c r="V14" i="7"/>
  <c r="V6" i="6"/>
  <c r="V6" i="7"/>
  <c r="U58" i="6"/>
  <c r="U58" i="7"/>
  <c r="U50" i="6"/>
  <c r="U50" i="7"/>
  <c r="U42" i="6"/>
  <c r="U42" i="7"/>
  <c r="U34" i="6"/>
  <c r="U34" i="7"/>
  <c r="U26" i="6"/>
  <c r="U26" i="7"/>
  <c r="U18" i="6"/>
  <c r="U18" i="7"/>
  <c r="U10" i="6"/>
  <c r="U10" i="7"/>
  <c r="U2" i="6"/>
  <c r="U2" i="7"/>
  <c r="T54" i="6"/>
  <c r="T54" i="7"/>
  <c r="T46" i="6"/>
  <c r="T46" i="7"/>
  <c r="T38" i="6"/>
  <c r="T38" i="7"/>
  <c r="T30" i="6"/>
  <c r="T30" i="7"/>
  <c r="T22" i="6"/>
  <c r="T22" i="7"/>
  <c r="T14" i="6"/>
  <c r="T14" i="7"/>
  <c r="T6" i="6"/>
  <c r="T6" i="7"/>
  <c r="S58" i="6"/>
  <c r="S58" i="7"/>
  <c r="S50" i="6"/>
  <c r="S50" i="7"/>
  <c r="S42" i="6"/>
  <c r="S42" i="7"/>
  <c r="S34" i="6"/>
  <c r="S34" i="7"/>
  <c r="S26" i="6"/>
  <c r="S26" i="7"/>
  <c r="S18" i="6"/>
  <c r="S18" i="7"/>
  <c r="S10" i="6"/>
  <c r="S10" i="7"/>
  <c r="S2" i="6"/>
  <c r="S2" i="7"/>
  <c r="R54" i="6"/>
  <c r="R54" i="7"/>
  <c r="R46" i="6"/>
  <c r="R46" i="7"/>
  <c r="R38" i="6"/>
  <c r="R38" i="7"/>
  <c r="R30" i="6"/>
  <c r="R30" i="7"/>
  <c r="R22" i="6"/>
  <c r="R22" i="7"/>
  <c r="R14" i="6"/>
  <c r="R14" i="7"/>
  <c r="R6" i="6"/>
  <c r="R6" i="7"/>
  <c r="Q58" i="6"/>
  <c r="Q58" i="7"/>
  <c r="Q50" i="6"/>
  <c r="Q50" i="7"/>
  <c r="Q42" i="6"/>
  <c r="Q42" i="7"/>
  <c r="Q34" i="6"/>
  <c r="Q34" i="7"/>
  <c r="Q26" i="6"/>
  <c r="Q26" i="7"/>
  <c r="Q18" i="6"/>
  <c r="Q18" i="7"/>
  <c r="Q10" i="6"/>
  <c r="Q10" i="7"/>
  <c r="Q2" i="6"/>
  <c r="Q2" i="7"/>
  <c r="P54" i="6"/>
  <c r="P54" i="7"/>
  <c r="P46" i="6"/>
  <c r="P46" i="7"/>
  <c r="P38" i="6"/>
  <c r="P38" i="7"/>
  <c r="P30" i="6"/>
  <c r="P30" i="7"/>
  <c r="P22" i="6"/>
  <c r="P22" i="7"/>
  <c r="P14" i="6"/>
  <c r="P14" i="7"/>
  <c r="P6" i="6"/>
  <c r="P6" i="7"/>
  <c r="O58" i="6"/>
  <c r="O58" i="7"/>
  <c r="O50" i="6"/>
  <c r="O50" i="7"/>
  <c r="O42" i="6"/>
  <c r="O42" i="7"/>
  <c r="O34" i="6"/>
  <c r="O34" i="7"/>
  <c r="O26" i="6"/>
  <c r="O26" i="7"/>
  <c r="O18" i="6"/>
  <c r="O18" i="7"/>
  <c r="O10" i="6"/>
  <c r="O10" i="7"/>
  <c r="O2" i="6"/>
  <c r="O2" i="7"/>
  <c r="N54" i="6"/>
  <c r="N54" i="7"/>
  <c r="N46" i="6"/>
  <c r="N46" i="7"/>
  <c r="N38" i="6"/>
  <c r="N38" i="7"/>
  <c r="N30" i="6"/>
  <c r="N30" i="7"/>
  <c r="N22" i="6"/>
  <c r="N22" i="7"/>
  <c r="N14" i="6"/>
  <c r="N14" i="7"/>
  <c r="N6" i="6"/>
  <c r="N6" i="7"/>
  <c r="M58" i="6"/>
  <c r="M58" i="7"/>
  <c r="M50" i="6"/>
  <c r="M50" i="7"/>
  <c r="M42" i="6"/>
  <c r="M42" i="7"/>
  <c r="M34" i="6"/>
  <c r="M34" i="7"/>
  <c r="M26" i="6"/>
  <c r="M26" i="7"/>
  <c r="M18" i="6"/>
  <c r="M18" i="7"/>
  <c r="M10" i="6"/>
  <c r="M10" i="7"/>
  <c r="M2" i="6"/>
  <c r="M2" i="7"/>
  <c r="L54" i="6"/>
  <c r="L54" i="7"/>
  <c r="L46" i="6"/>
  <c r="L46" i="7"/>
  <c r="L38" i="6"/>
  <c r="L38" i="7"/>
  <c r="L30" i="6"/>
  <c r="L30" i="7"/>
  <c r="L22" i="6"/>
  <c r="L22" i="7"/>
  <c r="L14" i="6"/>
  <c r="L14" i="7"/>
  <c r="L6" i="6"/>
  <c r="L6" i="7"/>
  <c r="K58" i="6"/>
  <c r="K58" i="7"/>
  <c r="K50" i="6"/>
  <c r="K50" i="7"/>
  <c r="K42" i="6"/>
  <c r="K42" i="7"/>
  <c r="K34" i="6"/>
  <c r="K34" i="7"/>
  <c r="K26" i="6"/>
  <c r="K26" i="7"/>
  <c r="K18" i="6"/>
  <c r="K18" i="7"/>
  <c r="K10" i="6"/>
  <c r="K10" i="7"/>
  <c r="K2" i="6"/>
  <c r="K2" i="7"/>
  <c r="J54" i="6"/>
  <c r="J54" i="7"/>
  <c r="J46" i="6"/>
  <c r="J46" i="7"/>
  <c r="J38" i="6"/>
  <c r="J38" i="7"/>
  <c r="J30" i="6"/>
  <c r="J30" i="7"/>
  <c r="J22" i="6"/>
  <c r="J22" i="7"/>
  <c r="J14" i="6"/>
  <c r="J14" i="7"/>
  <c r="J6" i="6"/>
  <c r="J6" i="7"/>
  <c r="I58" i="6"/>
  <c r="I58" i="7"/>
  <c r="I50" i="6"/>
  <c r="I50" i="7"/>
  <c r="I42" i="6"/>
  <c r="I42" i="7"/>
  <c r="I34" i="6"/>
  <c r="I34" i="7"/>
  <c r="I26" i="6"/>
  <c r="I26" i="7"/>
  <c r="I18" i="6"/>
  <c r="I18" i="7"/>
  <c r="I10" i="6"/>
  <c r="I10" i="7"/>
  <c r="I2" i="6"/>
  <c r="I2" i="7"/>
  <c r="H54" i="6"/>
  <c r="H54" i="7"/>
  <c r="H46" i="6"/>
  <c r="H46" i="7"/>
  <c r="H38" i="6"/>
  <c r="H38" i="7"/>
  <c r="H30" i="6"/>
  <c r="H30" i="7"/>
  <c r="H22" i="6"/>
  <c r="H22" i="7"/>
  <c r="H14" i="6"/>
  <c r="H14" i="7"/>
  <c r="H6" i="6"/>
  <c r="H6" i="7"/>
  <c r="G58" i="6"/>
  <c r="G58" i="7"/>
  <c r="G50" i="6"/>
  <c r="G50" i="7"/>
  <c r="G42" i="6"/>
  <c r="G42" i="7"/>
  <c r="G34" i="6"/>
  <c r="G34" i="7"/>
  <c r="G26" i="6"/>
  <c r="G26" i="7"/>
  <c r="G18" i="6"/>
  <c r="G18" i="7"/>
  <c r="G10" i="6"/>
  <c r="G10" i="7"/>
  <c r="G2" i="6"/>
  <c r="G2" i="7"/>
  <c r="F54" i="6"/>
  <c r="F54" i="7"/>
  <c r="F46" i="6"/>
  <c r="F46" i="7"/>
  <c r="F38" i="6"/>
  <c r="F38" i="7"/>
  <c r="F30" i="6"/>
  <c r="F30" i="7"/>
  <c r="F22" i="6"/>
  <c r="F22" i="7"/>
  <c r="F14" i="6"/>
  <c r="F14" i="7"/>
  <c r="F6" i="6"/>
  <c r="F6" i="7"/>
  <c r="E58" i="6"/>
  <c r="E58" i="7"/>
  <c r="E50" i="6"/>
  <c r="E50" i="7"/>
  <c r="E42" i="6"/>
  <c r="E42" i="7"/>
  <c r="E34" i="6"/>
  <c r="E34" i="7"/>
  <c r="E26" i="6"/>
  <c r="E26" i="7"/>
  <c r="E18" i="6"/>
  <c r="E18" i="7"/>
  <c r="E10" i="6"/>
  <c r="E10" i="7"/>
  <c r="E2" i="6"/>
  <c r="E2" i="7"/>
  <c r="D54" i="6"/>
  <c r="D54" i="7"/>
  <c r="D46" i="6"/>
  <c r="D46" i="7"/>
  <c r="D38" i="6"/>
  <c r="D38" i="7"/>
  <c r="D30" i="6"/>
  <c r="D30" i="7"/>
  <c r="D22" i="6"/>
  <c r="D22" i="7"/>
  <c r="D14" i="6"/>
  <c r="D14" i="7"/>
  <c r="D6" i="6"/>
  <c r="D6" i="7"/>
  <c r="C58" i="6"/>
  <c r="C58" i="7"/>
  <c r="C50" i="6"/>
  <c r="C50" i="7"/>
  <c r="C42" i="6"/>
  <c r="C42" i="7"/>
  <c r="C34" i="6"/>
  <c r="C34" i="7"/>
  <c r="C26" i="6"/>
  <c r="C26" i="7"/>
  <c r="C18" i="6"/>
  <c r="C18" i="7"/>
  <c r="C10" i="6"/>
  <c r="C10" i="7"/>
  <c r="C2" i="6"/>
  <c r="C2" i="7"/>
  <c r="B54" i="6"/>
  <c r="B54" i="7"/>
  <c r="B46" i="6"/>
  <c r="B46" i="7"/>
  <c r="B38" i="6"/>
  <c r="B38" i="7"/>
  <c r="B30" i="6"/>
  <c r="B30" i="7"/>
  <c r="B22" i="6"/>
  <c r="B22" i="7"/>
  <c r="B14" i="6"/>
  <c r="B14" i="7"/>
  <c r="B6" i="6"/>
  <c r="B6" i="7"/>
  <c r="BI26" i="6"/>
  <c r="AE23" i="6"/>
  <c r="AF59" i="6"/>
  <c r="AH29" i="6"/>
  <c r="AJ61" i="6"/>
  <c r="AM23" i="6"/>
  <c r="AQ23" i="6"/>
  <c r="BI28" i="6"/>
  <c r="AD29" i="6"/>
  <c r="AD37" i="6"/>
  <c r="AD53" i="6"/>
  <c r="AD61" i="6"/>
  <c r="AE33" i="6"/>
  <c r="AE49" i="6"/>
  <c r="AF21" i="6"/>
  <c r="AF37" i="6"/>
  <c r="AF45" i="6"/>
  <c r="AF53" i="6"/>
  <c r="AF61" i="6"/>
  <c r="AG41" i="6"/>
  <c r="AG57" i="6"/>
  <c r="AH37" i="6"/>
  <c r="AH45" i="6"/>
  <c r="AH53" i="6"/>
  <c r="AJ21" i="6"/>
  <c r="AJ29" i="6"/>
  <c r="AJ45" i="6"/>
  <c r="AJ53" i="6"/>
  <c r="AL21" i="6"/>
  <c r="AL29" i="6"/>
  <c r="AL61" i="6"/>
  <c r="AN21" i="6"/>
  <c r="AN37" i="6"/>
  <c r="AP29" i="6"/>
  <c r="AR37" i="6"/>
  <c r="AR53" i="6"/>
  <c r="AY37" i="6"/>
  <c r="AX61" i="6"/>
  <c r="AX33" i="6"/>
  <c r="AX7" i="6"/>
  <c r="AX7" i="7"/>
  <c r="AW37" i="6"/>
  <c r="AW10" i="6"/>
  <c r="AW10" i="7"/>
  <c r="AV52" i="6"/>
  <c r="AV29" i="6"/>
  <c r="AV10" i="6"/>
  <c r="AV10" i="7"/>
  <c r="AV2" i="6"/>
  <c r="AV2" i="7"/>
  <c r="AU49" i="6"/>
  <c r="AU39" i="6"/>
  <c r="AU28" i="6"/>
  <c r="AU17" i="6"/>
  <c r="AU17" i="7"/>
  <c r="AU9" i="6"/>
  <c r="AU9" i="7"/>
  <c r="AT61" i="6"/>
  <c r="AT39" i="6"/>
  <c r="AT17" i="6"/>
  <c r="AT17" i="7"/>
  <c r="AT9" i="6"/>
  <c r="AT9" i="7"/>
  <c r="AS61" i="6"/>
  <c r="AS49" i="6"/>
  <c r="AS37" i="6"/>
  <c r="AS25" i="6"/>
  <c r="AS15" i="6"/>
  <c r="AS15" i="7"/>
  <c r="AS7" i="6"/>
  <c r="AS7" i="7"/>
  <c r="AR59" i="6"/>
  <c r="AR45" i="6"/>
  <c r="AR31" i="6"/>
  <c r="AR19" i="6"/>
  <c r="AR10" i="6"/>
  <c r="AR10" i="7"/>
  <c r="AR2" i="6"/>
  <c r="AR2" i="7"/>
  <c r="AQ48" i="6"/>
  <c r="AQ33" i="6"/>
  <c r="AQ21" i="6"/>
  <c r="AQ12" i="6"/>
  <c r="AQ12" i="7"/>
  <c r="AQ4" i="6"/>
  <c r="AQ4" i="7"/>
  <c r="AP52" i="6"/>
  <c r="AP37" i="6"/>
  <c r="AP25" i="6"/>
  <c r="AP15" i="6"/>
  <c r="AP15" i="7"/>
  <c r="AP7" i="6"/>
  <c r="AP7" i="7"/>
  <c r="AO59" i="6"/>
  <c r="AO48" i="6"/>
  <c r="AO33" i="6"/>
  <c r="AO21" i="6"/>
  <c r="AO12" i="6"/>
  <c r="AO12" i="7"/>
  <c r="AO4" i="6"/>
  <c r="AO4" i="7"/>
  <c r="AN52" i="6"/>
  <c r="AN39" i="6"/>
  <c r="AN27" i="6"/>
  <c r="AN15" i="6"/>
  <c r="AN15" i="7"/>
  <c r="AN7" i="6"/>
  <c r="AN7" i="7"/>
  <c r="AM57" i="6"/>
  <c r="AM44" i="6"/>
  <c r="AM31" i="6"/>
  <c r="AM19" i="6"/>
  <c r="AM10" i="6"/>
  <c r="AM10" i="7"/>
  <c r="AM2" i="6"/>
  <c r="AM2" i="7"/>
  <c r="AL47" i="6"/>
  <c r="AL33" i="6"/>
  <c r="AL20" i="6"/>
  <c r="AL11" i="6"/>
  <c r="AL11" i="7"/>
  <c r="AL3" i="6"/>
  <c r="AL3" i="7"/>
  <c r="AK49" i="6"/>
  <c r="AK35" i="6"/>
  <c r="AK21" i="6"/>
  <c r="AK12" i="6"/>
  <c r="AK12" i="7"/>
  <c r="AK4" i="6"/>
  <c r="AK4" i="7"/>
  <c r="AJ51" i="6"/>
  <c r="AJ35" i="6"/>
  <c r="AJ23" i="6"/>
  <c r="AJ12" i="6"/>
  <c r="AJ12" i="7"/>
  <c r="AJ4" i="6"/>
  <c r="AJ4" i="7"/>
  <c r="AI53" i="6"/>
  <c r="AI40" i="6"/>
  <c r="AI25" i="6"/>
  <c r="AI14" i="6"/>
  <c r="AI14" i="7"/>
  <c r="AI6" i="6"/>
  <c r="AI6" i="7"/>
  <c r="AH55" i="6"/>
  <c r="AH40" i="6"/>
  <c r="AH27" i="6"/>
  <c r="AH15" i="6"/>
  <c r="AH15" i="7"/>
  <c r="AH7" i="6"/>
  <c r="AH7" i="7"/>
  <c r="AG56" i="6"/>
  <c r="AG40" i="6"/>
  <c r="AG24" i="6"/>
  <c r="AG13" i="6"/>
  <c r="AG13" i="7"/>
  <c r="AG5" i="6"/>
  <c r="AG5" i="7"/>
  <c r="AF51" i="6"/>
  <c r="AF35" i="6"/>
  <c r="AF20" i="6"/>
  <c r="AF11" i="6"/>
  <c r="AF11" i="7"/>
  <c r="AF3" i="6"/>
  <c r="AF3" i="7"/>
  <c r="AE52" i="6"/>
  <c r="AE37" i="6"/>
  <c r="AE24" i="6"/>
  <c r="AE13" i="6"/>
  <c r="AE13" i="7"/>
  <c r="AE5" i="6"/>
  <c r="AE5" i="7"/>
  <c r="AD55" i="6"/>
  <c r="AD40" i="6"/>
  <c r="AD25" i="6"/>
  <c r="AD14" i="6"/>
  <c r="AD14" i="7"/>
  <c r="AD6" i="6"/>
  <c r="AD6" i="7"/>
  <c r="AC57" i="6"/>
  <c r="AC47" i="6"/>
  <c r="AC36" i="6"/>
  <c r="AC25" i="6"/>
  <c r="AC15" i="6"/>
  <c r="AC15" i="7"/>
  <c r="AC7" i="6"/>
  <c r="AC7" i="7"/>
  <c r="AB59" i="6"/>
  <c r="AB48" i="6"/>
  <c r="AB37" i="6"/>
  <c r="AB27" i="6"/>
  <c r="AB16" i="6"/>
  <c r="AB16" i="7"/>
  <c r="AB8" i="6"/>
  <c r="AB8" i="7"/>
  <c r="AA60" i="6"/>
  <c r="AA49" i="6"/>
  <c r="AA39" i="6"/>
  <c r="AA28" i="6"/>
  <c r="AA17" i="6"/>
  <c r="AA17" i="7"/>
  <c r="AA9" i="6"/>
  <c r="AA9" i="7"/>
  <c r="Z61" i="6"/>
  <c r="Z53" i="6"/>
  <c r="Z45" i="6"/>
  <c r="Z37" i="6"/>
  <c r="Z29" i="6"/>
  <c r="Z21" i="6"/>
  <c r="Z13" i="6"/>
  <c r="Z13" i="7"/>
  <c r="Z5" i="6"/>
  <c r="Z5" i="7"/>
  <c r="Y57" i="6"/>
  <c r="Y49" i="6"/>
  <c r="Y41" i="6"/>
  <c r="Y33" i="6"/>
  <c r="Y25" i="6"/>
  <c r="Y17" i="6"/>
  <c r="Y17" i="7"/>
  <c r="Y9" i="6"/>
  <c r="Y9" i="7"/>
  <c r="X61" i="6"/>
  <c r="X61" i="7"/>
  <c r="X53" i="6"/>
  <c r="X53" i="7"/>
  <c r="X45" i="6"/>
  <c r="X45" i="7"/>
  <c r="X37" i="6"/>
  <c r="X37" i="7"/>
  <c r="X29" i="6"/>
  <c r="X29" i="7"/>
  <c r="X21" i="6"/>
  <c r="X21" i="7"/>
  <c r="X13" i="6"/>
  <c r="X13" i="7"/>
  <c r="X5" i="6"/>
  <c r="X5" i="7"/>
  <c r="W57" i="6"/>
  <c r="W57" i="7"/>
  <c r="W49" i="6"/>
  <c r="W49" i="7"/>
  <c r="W41" i="6"/>
  <c r="W41" i="7"/>
  <c r="W33" i="6"/>
  <c r="W33" i="7"/>
  <c r="W25" i="6"/>
  <c r="W25" i="7"/>
  <c r="W17" i="6"/>
  <c r="W17" i="7"/>
  <c r="W9" i="6"/>
  <c r="W9" i="7"/>
  <c r="V61" i="6"/>
  <c r="V61" i="7"/>
  <c r="V53" i="6"/>
  <c r="V53" i="7"/>
  <c r="V45" i="6"/>
  <c r="V45" i="7"/>
  <c r="V37" i="6"/>
  <c r="V37" i="7"/>
  <c r="V29" i="6"/>
  <c r="V29" i="7"/>
  <c r="V21" i="6"/>
  <c r="V21" i="7"/>
  <c r="V13" i="6"/>
  <c r="V13" i="7"/>
  <c r="V5" i="6"/>
  <c r="V5" i="7"/>
  <c r="U57" i="6"/>
  <c r="U57" i="7"/>
  <c r="U49" i="6"/>
  <c r="U49" i="7"/>
  <c r="U41" i="6"/>
  <c r="U41" i="7"/>
  <c r="U33" i="6"/>
  <c r="U33" i="7"/>
  <c r="U25" i="6"/>
  <c r="U25" i="7"/>
  <c r="U17" i="6"/>
  <c r="U17" i="7"/>
  <c r="U9" i="6"/>
  <c r="U9" i="7"/>
  <c r="T61" i="6"/>
  <c r="T61" i="7"/>
  <c r="T53" i="6"/>
  <c r="T53" i="7"/>
  <c r="T45" i="6"/>
  <c r="T45" i="7"/>
  <c r="T37" i="6"/>
  <c r="T37" i="7"/>
  <c r="T29" i="6"/>
  <c r="T29" i="7"/>
  <c r="T21" i="6"/>
  <c r="T21" i="7"/>
  <c r="T13" i="6"/>
  <c r="T13" i="7"/>
  <c r="T5" i="6"/>
  <c r="T5" i="7"/>
  <c r="S57" i="6"/>
  <c r="S57" i="7"/>
  <c r="S49" i="6"/>
  <c r="S49" i="7"/>
  <c r="S41" i="6"/>
  <c r="S41" i="7"/>
  <c r="S33" i="6"/>
  <c r="S33" i="7"/>
  <c r="S25" i="6"/>
  <c r="S25" i="7"/>
  <c r="S17" i="6"/>
  <c r="S17" i="7"/>
  <c r="S9" i="6"/>
  <c r="S9" i="7"/>
  <c r="R61" i="6"/>
  <c r="R61" i="7"/>
  <c r="R53" i="6"/>
  <c r="R53" i="7"/>
  <c r="R45" i="6"/>
  <c r="R45" i="7"/>
  <c r="R37" i="6"/>
  <c r="R37" i="7"/>
  <c r="R29" i="6"/>
  <c r="R29" i="7"/>
  <c r="R21" i="6"/>
  <c r="R21" i="7"/>
  <c r="R13" i="6"/>
  <c r="R13" i="7"/>
  <c r="R5" i="6"/>
  <c r="R5" i="7"/>
  <c r="Q57" i="6"/>
  <c r="Q57" i="7"/>
  <c r="Q49" i="6"/>
  <c r="Q49" i="7"/>
  <c r="Q41" i="6"/>
  <c r="Q41" i="7"/>
  <c r="Q33" i="6"/>
  <c r="Q33" i="7"/>
  <c r="Q25" i="6"/>
  <c r="Q25" i="7"/>
  <c r="Q17" i="6"/>
  <c r="Q17" i="7"/>
  <c r="Q9" i="6"/>
  <c r="Q9" i="7"/>
  <c r="P61" i="6"/>
  <c r="P61" i="7"/>
  <c r="P53" i="6"/>
  <c r="P53" i="7"/>
  <c r="P45" i="6"/>
  <c r="P45" i="7"/>
  <c r="P37" i="6"/>
  <c r="P37" i="7"/>
  <c r="P29" i="6"/>
  <c r="P29" i="7"/>
  <c r="P21" i="6"/>
  <c r="P21" i="7"/>
  <c r="P13" i="6"/>
  <c r="P13" i="7"/>
  <c r="P5" i="6"/>
  <c r="P5" i="7"/>
  <c r="O57" i="6"/>
  <c r="O57" i="7"/>
  <c r="O49" i="6"/>
  <c r="O49" i="7"/>
  <c r="O41" i="6"/>
  <c r="O41" i="7"/>
  <c r="O33" i="6"/>
  <c r="O33" i="7"/>
  <c r="O25" i="6"/>
  <c r="O25" i="7"/>
  <c r="O17" i="6"/>
  <c r="O17" i="7"/>
  <c r="O9" i="6"/>
  <c r="O9" i="7"/>
  <c r="N61" i="6"/>
  <c r="N61" i="7"/>
  <c r="N53" i="6"/>
  <c r="N53" i="7"/>
  <c r="N45" i="6"/>
  <c r="N45" i="7"/>
  <c r="N37" i="6"/>
  <c r="N37" i="7"/>
  <c r="N29" i="6"/>
  <c r="N29" i="7"/>
  <c r="N21" i="6"/>
  <c r="N21" i="7"/>
  <c r="N13" i="6"/>
  <c r="N13" i="7"/>
  <c r="N5" i="6"/>
  <c r="N5" i="7"/>
  <c r="M57" i="6"/>
  <c r="M57" i="7"/>
  <c r="M49" i="6"/>
  <c r="M49" i="7"/>
  <c r="M41" i="6"/>
  <c r="M41" i="7"/>
  <c r="M33" i="6"/>
  <c r="M33" i="7"/>
  <c r="M25" i="6"/>
  <c r="M25" i="7"/>
  <c r="M17" i="6"/>
  <c r="M17" i="7"/>
  <c r="M9" i="6"/>
  <c r="M9" i="7"/>
  <c r="L61" i="6"/>
  <c r="L61" i="7"/>
  <c r="L53" i="6"/>
  <c r="L53" i="7"/>
  <c r="L45" i="6"/>
  <c r="L45" i="7"/>
  <c r="L37" i="6"/>
  <c r="L37" i="7"/>
  <c r="L29" i="6"/>
  <c r="L29" i="7"/>
  <c r="L21" i="6"/>
  <c r="L21" i="7"/>
  <c r="L13" i="6"/>
  <c r="L13" i="7"/>
  <c r="L5" i="6"/>
  <c r="L5" i="7"/>
  <c r="K57" i="6"/>
  <c r="K57" i="7"/>
  <c r="K49" i="6"/>
  <c r="K49" i="7"/>
  <c r="K41" i="6"/>
  <c r="K41" i="7"/>
  <c r="K33" i="6"/>
  <c r="K33" i="7"/>
  <c r="K25" i="6"/>
  <c r="K25" i="7"/>
  <c r="K17" i="6"/>
  <c r="K17" i="7"/>
  <c r="K9" i="6"/>
  <c r="K9" i="7"/>
  <c r="J61" i="6"/>
  <c r="J61" i="7"/>
  <c r="J53" i="6"/>
  <c r="J53" i="7"/>
  <c r="J45" i="6"/>
  <c r="J45" i="7"/>
  <c r="J37" i="6"/>
  <c r="J37" i="7"/>
  <c r="J29" i="6"/>
  <c r="J29" i="7"/>
  <c r="J21" i="6"/>
  <c r="J21" i="7"/>
  <c r="J13" i="6"/>
  <c r="J13" i="7"/>
  <c r="J5" i="6"/>
  <c r="J5" i="7"/>
  <c r="I57" i="6"/>
  <c r="I57" i="7"/>
  <c r="I49" i="6"/>
  <c r="I49" i="7"/>
  <c r="I41" i="6"/>
  <c r="I41" i="7"/>
  <c r="I33" i="6"/>
  <c r="I33" i="7"/>
  <c r="I25" i="6"/>
  <c r="I25" i="7"/>
  <c r="I17" i="6"/>
  <c r="I17" i="7"/>
  <c r="I9" i="6"/>
  <c r="I9" i="7"/>
  <c r="H61" i="6"/>
  <c r="H61" i="7"/>
  <c r="H53" i="6"/>
  <c r="H53" i="7"/>
  <c r="H45" i="6"/>
  <c r="H45" i="7"/>
  <c r="H37" i="6"/>
  <c r="H37" i="7"/>
  <c r="H29" i="6"/>
  <c r="H29" i="7"/>
  <c r="H21" i="6"/>
  <c r="H21" i="7"/>
  <c r="H13" i="6"/>
  <c r="H13" i="7"/>
  <c r="H5" i="6"/>
  <c r="H5" i="7"/>
  <c r="G57" i="6"/>
  <c r="G57" i="7"/>
  <c r="G49" i="6"/>
  <c r="G49" i="7"/>
  <c r="G41" i="6"/>
  <c r="G41" i="7"/>
  <c r="G33" i="6"/>
  <c r="G33" i="7"/>
  <c r="G25" i="6"/>
  <c r="G25" i="7"/>
  <c r="G17" i="6"/>
  <c r="G17" i="7"/>
  <c r="G9" i="6"/>
  <c r="G9" i="7"/>
  <c r="F61" i="6"/>
  <c r="F61" i="7"/>
  <c r="F53" i="6"/>
  <c r="F53" i="7"/>
  <c r="F45" i="6"/>
  <c r="F45" i="7"/>
  <c r="F37" i="6"/>
  <c r="F37" i="7"/>
  <c r="F29" i="6"/>
  <c r="F29" i="7"/>
  <c r="F21" i="6"/>
  <c r="F21" i="7"/>
  <c r="F13" i="6"/>
  <c r="F13" i="7"/>
  <c r="F5" i="6"/>
  <c r="F5" i="7"/>
  <c r="E57" i="6"/>
  <c r="E57" i="7"/>
  <c r="E49" i="6"/>
  <c r="E49" i="7"/>
  <c r="E41" i="6"/>
  <c r="E41" i="7"/>
  <c r="E33" i="6"/>
  <c r="E33" i="7"/>
  <c r="E25" i="6"/>
  <c r="E25" i="7"/>
  <c r="E17" i="6"/>
  <c r="E17" i="7"/>
  <c r="E9" i="6"/>
  <c r="E9" i="7"/>
  <c r="D61" i="6"/>
  <c r="D61" i="7"/>
  <c r="D53" i="6"/>
  <c r="D53" i="7"/>
  <c r="D45" i="6"/>
  <c r="D45" i="7"/>
  <c r="D37" i="6"/>
  <c r="D37" i="7"/>
  <c r="D29" i="6"/>
  <c r="D29" i="7"/>
  <c r="D21" i="6"/>
  <c r="D21" i="7"/>
  <c r="D13" i="6"/>
  <c r="D13" i="7"/>
  <c r="D5" i="6"/>
  <c r="D5" i="7"/>
  <c r="C57" i="6"/>
  <c r="C57" i="7"/>
  <c r="C49" i="6"/>
  <c r="C49" i="7"/>
  <c r="C41" i="6"/>
  <c r="C41" i="7"/>
  <c r="C33" i="6"/>
  <c r="C33" i="7"/>
  <c r="C25" i="6"/>
  <c r="C25" i="7"/>
  <c r="C17" i="6"/>
  <c r="C17" i="7"/>
  <c r="C9" i="6"/>
  <c r="C9" i="7"/>
  <c r="B61" i="6"/>
  <c r="B61" i="7"/>
  <c r="B53" i="6"/>
  <c r="B53" i="7"/>
  <c r="B45" i="6"/>
  <c r="B45" i="7"/>
  <c r="B37" i="6"/>
  <c r="B37" i="7"/>
  <c r="B29" i="6"/>
  <c r="B29" i="7"/>
  <c r="B21" i="6"/>
  <c r="B21" i="7"/>
  <c r="B13" i="6"/>
  <c r="B13" i="7"/>
  <c r="B5" i="6"/>
  <c r="B5" i="7"/>
  <c r="BI9" i="6"/>
  <c r="BI9" i="7"/>
  <c r="BI17" i="6"/>
  <c r="BI17" i="7"/>
  <c r="AF18" i="6"/>
  <c r="AE31" i="6"/>
  <c r="AG23" i="6"/>
  <c r="AH61" i="6"/>
  <c r="AK23" i="6"/>
  <c r="AM39" i="6"/>
  <c r="AQ39" i="6"/>
  <c r="BI21" i="6"/>
  <c r="BI29" i="6"/>
  <c r="BI37" i="6"/>
  <c r="BI53" i="6"/>
  <c r="AA18" i="6"/>
  <c r="AA26" i="6"/>
  <c r="AA34" i="6"/>
  <c r="AA42" i="6"/>
  <c r="AA50" i="6"/>
  <c r="AA58" i="6"/>
  <c r="AB22" i="6"/>
  <c r="AB30" i="6"/>
  <c r="AB38" i="6"/>
  <c r="AB46" i="6"/>
  <c r="AB54" i="6"/>
  <c r="AC18" i="6"/>
  <c r="AC26" i="6"/>
  <c r="AC34" i="6"/>
  <c r="AC42" i="6"/>
  <c r="AC50" i="6"/>
  <c r="AC58" i="6"/>
  <c r="AD22" i="6"/>
  <c r="AD30" i="6"/>
  <c r="AD38" i="6"/>
  <c r="AD46" i="6"/>
  <c r="AD54" i="6"/>
  <c r="AE18" i="6"/>
  <c r="AE26" i="6"/>
  <c r="AE34" i="6"/>
  <c r="AE42" i="6"/>
  <c r="AE50" i="6"/>
  <c r="AE58" i="6"/>
  <c r="AF22" i="6"/>
  <c r="AF30" i="6"/>
  <c r="AF38" i="6"/>
  <c r="AF46" i="6"/>
  <c r="AF54" i="6"/>
  <c r="AG18" i="6"/>
  <c r="AG26" i="6"/>
  <c r="AG42" i="6"/>
  <c r="AG50" i="6"/>
  <c r="AG58" i="6"/>
  <c r="AH22" i="6"/>
  <c r="AH30" i="6"/>
  <c r="AH38" i="6"/>
  <c r="AH46" i="6"/>
  <c r="AH54" i="6"/>
  <c r="AI18" i="6"/>
  <c r="AI26" i="6"/>
  <c r="AI34" i="6"/>
  <c r="AI42" i="6"/>
  <c r="AI50" i="6"/>
  <c r="AI58" i="6"/>
  <c r="AJ22" i="6"/>
  <c r="AJ30" i="6"/>
  <c r="AJ38" i="6"/>
  <c r="AJ46" i="6"/>
  <c r="AJ54" i="6"/>
  <c r="AK18" i="6"/>
  <c r="AK26" i="6"/>
  <c r="AK34" i="6"/>
  <c r="AK42" i="6"/>
  <c r="AK50" i="6"/>
  <c r="AK58" i="6"/>
  <c r="AL22" i="6"/>
  <c r="AL30" i="6"/>
  <c r="AL38" i="6"/>
  <c r="AL46" i="6"/>
  <c r="AL54" i="6"/>
  <c r="AM18" i="6"/>
  <c r="AM26" i="6"/>
  <c r="AM34" i="6"/>
  <c r="AM42" i="6"/>
  <c r="AM50" i="6"/>
  <c r="AM58" i="6"/>
  <c r="AN22" i="6"/>
  <c r="AN30" i="6"/>
  <c r="AN38" i="6"/>
  <c r="AN46" i="6"/>
  <c r="AN54" i="6"/>
  <c r="AO18" i="6"/>
  <c r="AO26" i="6"/>
  <c r="AO34" i="6"/>
  <c r="AO42" i="6"/>
  <c r="AO50" i="6"/>
  <c r="AO58" i="6"/>
  <c r="AP22" i="6"/>
  <c r="AP30" i="6"/>
  <c r="AP38" i="6"/>
  <c r="AP46" i="6"/>
  <c r="AP54" i="6"/>
  <c r="AQ18" i="6"/>
  <c r="AQ26" i="6"/>
  <c r="AQ34" i="6"/>
  <c r="AQ42" i="6"/>
  <c r="AQ50" i="6"/>
  <c r="AQ58" i="6"/>
  <c r="AR22" i="6"/>
  <c r="AR30" i="6"/>
  <c r="AR38" i="6"/>
  <c r="AR46" i="6"/>
  <c r="AR54" i="6"/>
  <c r="AS18" i="6"/>
  <c r="AS26" i="6"/>
  <c r="AS34" i="6"/>
  <c r="AS42" i="6"/>
  <c r="AS50" i="6"/>
  <c r="AS58" i="6"/>
  <c r="AT22" i="6"/>
  <c r="AT30" i="6"/>
  <c r="AT38" i="6"/>
  <c r="AT46" i="6"/>
  <c r="AT54" i="6"/>
  <c r="AU18" i="6"/>
  <c r="AU26" i="6"/>
  <c r="AU34" i="6"/>
  <c r="AU42" i="6"/>
  <c r="AU50" i="6"/>
  <c r="AU58" i="6"/>
  <c r="AV22" i="6"/>
  <c r="AV30" i="6"/>
  <c r="AV38" i="6"/>
  <c r="AV46" i="6"/>
  <c r="AV54" i="6"/>
  <c r="AW18" i="6"/>
  <c r="AW26" i="6"/>
  <c r="AW34" i="6"/>
  <c r="AW42" i="6"/>
  <c r="AW50" i="6"/>
  <c r="AW58" i="6"/>
  <c r="AX22" i="6"/>
  <c r="AX30" i="6"/>
  <c r="AX38" i="6"/>
  <c r="AX46" i="6"/>
  <c r="AX54" i="6"/>
  <c r="AY18" i="6"/>
  <c r="AY26" i="6"/>
  <c r="AY34" i="6"/>
  <c r="AY42" i="6"/>
  <c r="AY50" i="6"/>
  <c r="AY58" i="6"/>
  <c r="AZ22" i="6"/>
  <c r="AZ30" i="6"/>
  <c r="AZ38" i="6"/>
  <c r="AZ46" i="6"/>
  <c r="AZ54" i="6"/>
  <c r="BA18" i="6"/>
  <c r="BA26" i="6"/>
  <c r="BA34" i="6"/>
  <c r="BA42" i="6"/>
  <c r="BA50" i="6"/>
  <c r="BA58" i="6"/>
  <c r="BB22" i="6"/>
  <c r="BB30" i="6"/>
  <c r="BB38" i="6"/>
  <c r="BB46" i="6"/>
  <c r="BB54" i="6"/>
  <c r="BC18" i="6"/>
  <c r="BC26" i="6"/>
  <c r="BC34" i="6"/>
  <c r="BC42" i="6"/>
  <c r="BC50" i="6"/>
  <c r="BC58" i="6"/>
  <c r="BD22" i="6"/>
  <c r="BD30" i="6"/>
  <c r="BD38" i="6"/>
  <c r="BD46" i="6"/>
  <c r="BD54" i="6"/>
  <c r="BE18" i="6"/>
  <c r="BE26" i="6"/>
  <c r="BE34" i="6"/>
  <c r="BE42" i="6"/>
  <c r="BE50" i="6"/>
  <c r="BE58" i="6"/>
  <c r="BF22" i="6"/>
  <c r="BF30" i="6"/>
  <c r="BF38" i="6"/>
  <c r="BF46" i="6"/>
  <c r="BF54" i="6"/>
  <c r="BG18" i="6"/>
  <c r="BG26" i="6"/>
  <c r="BG34" i="6"/>
  <c r="BG42" i="6"/>
  <c r="BG50" i="6"/>
  <c r="BG58" i="6"/>
  <c r="BH22" i="6"/>
  <c r="BH30" i="6"/>
  <c r="BH38" i="6"/>
  <c r="BH46" i="6"/>
  <c r="BH54" i="6"/>
  <c r="AY57" i="6"/>
  <c r="AY27" i="6"/>
  <c r="AY9" i="6"/>
  <c r="AY9" i="7"/>
  <c r="AX42" i="6"/>
  <c r="AX24" i="6"/>
  <c r="AW57" i="6"/>
  <c r="AW28" i="6"/>
  <c r="AW2" i="6"/>
  <c r="AW2" i="7"/>
  <c r="AV19" i="6"/>
  <c r="AT51" i="6"/>
  <c r="BI56" i="6"/>
  <c r="BI19" i="6"/>
  <c r="BH56" i="6"/>
  <c r="BH37" i="6"/>
  <c r="BH19" i="6"/>
  <c r="BH11" i="6"/>
  <c r="BH11" i="7"/>
  <c r="BG54" i="6"/>
  <c r="BG45" i="6"/>
  <c r="BG33" i="6"/>
  <c r="BG24" i="6"/>
  <c r="BG15" i="6"/>
  <c r="BG15" i="7"/>
  <c r="BG7" i="6"/>
  <c r="BG7" i="7"/>
  <c r="BF59" i="6"/>
  <c r="BF49" i="6"/>
  <c r="BF39" i="6"/>
  <c r="BF29" i="6"/>
  <c r="BF20" i="6"/>
  <c r="BF12" i="6"/>
  <c r="BF12" i="7"/>
  <c r="BF4" i="6"/>
  <c r="BF4" i="7"/>
  <c r="BE54" i="6"/>
  <c r="BE45" i="6"/>
  <c r="BE35" i="6"/>
  <c r="BE25" i="6"/>
  <c r="BE16" i="6"/>
  <c r="BE16" i="7"/>
  <c r="BE8" i="6"/>
  <c r="BE8" i="7"/>
  <c r="BD60" i="6"/>
  <c r="BD50" i="6"/>
  <c r="BD41" i="6"/>
  <c r="BD31" i="6"/>
  <c r="BD21" i="6"/>
  <c r="BD13" i="6"/>
  <c r="BD13" i="7"/>
  <c r="BD5" i="6"/>
  <c r="BD5" i="7"/>
  <c r="BC55" i="6"/>
  <c r="BC45" i="6"/>
  <c r="BC33" i="6"/>
  <c r="BC24" i="6"/>
  <c r="BC15" i="6"/>
  <c r="BC15" i="7"/>
  <c r="BC7" i="6"/>
  <c r="BC7" i="7"/>
  <c r="BB59" i="6"/>
  <c r="BB50" i="6"/>
  <c r="BB41" i="6"/>
  <c r="BB31" i="6"/>
  <c r="BB21" i="6"/>
  <c r="BB13" i="6"/>
  <c r="BB13" i="7"/>
  <c r="BB5" i="6"/>
  <c r="BB5" i="7"/>
  <c r="BA55" i="6"/>
  <c r="BA46" i="6"/>
  <c r="BA36" i="6"/>
  <c r="BA27" i="6"/>
  <c r="BA17" i="6"/>
  <c r="BA17" i="7"/>
  <c r="BA9" i="6"/>
  <c r="BA9" i="7"/>
  <c r="AZ61" i="6"/>
  <c r="AZ51" i="6"/>
  <c r="AZ41" i="6"/>
  <c r="AZ31" i="6"/>
  <c r="AZ21" i="6"/>
  <c r="AZ13" i="6"/>
  <c r="AZ13" i="7"/>
  <c r="AZ5" i="6"/>
  <c r="AZ5" i="7"/>
  <c r="AY56" i="6"/>
  <c r="AY46" i="6"/>
  <c r="AY35" i="6"/>
  <c r="AY25" i="6"/>
  <c r="AY16" i="6"/>
  <c r="AY16" i="7"/>
  <c r="AY8" i="6"/>
  <c r="AY8" i="7"/>
  <c r="AX60" i="6"/>
  <c r="AX51" i="6"/>
  <c r="AX41" i="6"/>
  <c r="AX32" i="6"/>
  <c r="AX23" i="6"/>
  <c r="AX14" i="6"/>
  <c r="AX14" i="7"/>
  <c r="AX6" i="6"/>
  <c r="AX6" i="7"/>
  <c r="AW56" i="6"/>
  <c r="AW46" i="6"/>
  <c r="AW36" i="6"/>
  <c r="AW27" i="6"/>
  <c r="AW17" i="6"/>
  <c r="AW17" i="7"/>
  <c r="AW9" i="6"/>
  <c r="AW9" i="7"/>
  <c r="AV61" i="6"/>
  <c r="AV51" i="6"/>
  <c r="AV39" i="6"/>
  <c r="AV28" i="6"/>
  <c r="AV17" i="6"/>
  <c r="AV17" i="7"/>
  <c r="AV9" i="6"/>
  <c r="AV9" i="7"/>
  <c r="AU61" i="6"/>
  <c r="AU48" i="6"/>
  <c r="AU37" i="6"/>
  <c r="AU27" i="6"/>
  <c r="AU16" i="6"/>
  <c r="AU16" i="7"/>
  <c r="AU8" i="6"/>
  <c r="AU8" i="7"/>
  <c r="AT60" i="6"/>
  <c r="AT49" i="6"/>
  <c r="AT37" i="6"/>
  <c r="AT27" i="6"/>
  <c r="AT16" i="6"/>
  <c r="AT16" i="7"/>
  <c r="AT8" i="6"/>
  <c r="AT8" i="7"/>
  <c r="AS60" i="6"/>
  <c r="AS48" i="6"/>
  <c r="AS36" i="6"/>
  <c r="AS24" i="6"/>
  <c r="AS14" i="6"/>
  <c r="AS14" i="7"/>
  <c r="AS6" i="6"/>
  <c r="AS6" i="7"/>
  <c r="AR57" i="6"/>
  <c r="AR44" i="6"/>
  <c r="AR29" i="6"/>
  <c r="AR17" i="6"/>
  <c r="AR17" i="7"/>
  <c r="AR9" i="6"/>
  <c r="AR9" i="7"/>
  <c r="AQ61" i="6"/>
  <c r="AQ47" i="6"/>
  <c r="AQ32" i="6"/>
  <c r="AQ20" i="6"/>
  <c r="AQ11" i="6"/>
  <c r="AQ11" i="7"/>
  <c r="AQ3" i="6"/>
  <c r="AQ3" i="7"/>
  <c r="AP51" i="6"/>
  <c r="AP36" i="6"/>
  <c r="AP24" i="6"/>
  <c r="AP14" i="6"/>
  <c r="AP14" i="7"/>
  <c r="AP6" i="6"/>
  <c r="AP6" i="7"/>
  <c r="AO57" i="6"/>
  <c r="AO45" i="6"/>
  <c r="AO32" i="6"/>
  <c r="AO20" i="6"/>
  <c r="AO11" i="6"/>
  <c r="AO11" i="7"/>
  <c r="AO3" i="6"/>
  <c r="AO3" i="7"/>
  <c r="AN51" i="6"/>
  <c r="AN36" i="6"/>
  <c r="AN25" i="6"/>
  <c r="AN14" i="6"/>
  <c r="AN14" i="7"/>
  <c r="AN6" i="6"/>
  <c r="AN6" i="7"/>
  <c r="AM56" i="6"/>
  <c r="AM43" i="6"/>
  <c r="AM29" i="6"/>
  <c r="AM17" i="6"/>
  <c r="AM17" i="7"/>
  <c r="AM9" i="6"/>
  <c r="AM9" i="7"/>
  <c r="AL60" i="6"/>
  <c r="AL44" i="6"/>
  <c r="AL32" i="6"/>
  <c r="AL19" i="6"/>
  <c r="AL10" i="6"/>
  <c r="AL10" i="7"/>
  <c r="AL2" i="6"/>
  <c r="AL2" i="7"/>
  <c r="AK48" i="6"/>
  <c r="AK33" i="6"/>
  <c r="AK20" i="6"/>
  <c r="AK11" i="6"/>
  <c r="AK11" i="7"/>
  <c r="AK3" i="6"/>
  <c r="AK3" i="7"/>
  <c r="AJ49" i="6"/>
  <c r="AJ33" i="6"/>
  <c r="AJ20" i="6"/>
  <c r="AJ11" i="6"/>
  <c r="AJ11" i="7"/>
  <c r="AJ3" i="6"/>
  <c r="AJ3" i="7"/>
  <c r="AI51" i="6"/>
  <c r="AI37" i="6"/>
  <c r="AI24" i="6"/>
  <c r="AI13" i="6"/>
  <c r="AI13" i="7"/>
  <c r="AI5" i="6"/>
  <c r="AI5" i="7"/>
  <c r="AH52" i="6"/>
  <c r="AH39" i="6"/>
  <c r="AH25" i="6"/>
  <c r="AH14" i="6"/>
  <c r="AH14" i="7"/>
  <c r="AH6" i="6"/>
  <c r="AH6" i="7"/>
  <c r="AG53" i="6"/>
  <c r="AG37" i="6"/>
  <c r="AG21" i="6"/>
  <c r="AG12" i="6"/>
  <c r="AG12" i="7"/>
  <c r="AG4" i="6"/>
  <c r="AG4" i="7"/>
  <c r="AF49" i="6"/>
  <c r="AF33" i="6"/>
  <c r="AF19" i="6"/>
  <c r="AF10" i="6"/>
  <c r="AF10" i="7"/>
  <c r="AF2" i="6"/>
  <c r="AF2" i="7"/>
  <c r="AE51" i="6"/>
  <c r="AE36" i="6"/>
  <c r="AE21" i="6"/>
  <c r="AE12" i="6"/>
  <c r="AE12" i="7"/>
  <c r="AE4" i="6"/>
  <c r="AE4" i="7"/>
  <c r="AD52" i="6"/>
  <c r="AD39" i="6"/>
  <c r="AD24" i="6"/>
  <c r="AD13" i="6"/>
  <c r="AD13" i="7"/>
  <c r="AD5" i="6"/>
  <c r="AD5" i="7"/>
  <c r="AC56" i="6"/>
  <c r="AC45" i="6"/>
  <c r="AC35" i="6"/>
  <c r="AC24" i="6"/>
  <c r="AC14" i="6"/>
  <c r="AC14" i="7"/>
  <c r="AC6" i="6"/>
  <c r="AC6" i="7"/>
  <c r="AB57" i="6"/>
  <c r="AB47" i="6"/>
  <c r="AB36" i="6"/>
  <c r="AB25" i="6"/>
  <c r="AB15" i="6"/>
  <c r="AB15" i="7"/>
  <c r="AB7" i="6"/>
  <c r="AB7" i="7"/>
  <c r="AA59" i="6"/>
  <c r="AA48" i="6"/>
  <c r="AA37" i="6"/>
  <c r="AA27" i="6"/>
  <c r="AA16" i="6"/>
  <c r="AA16" i="7"/>
  <c r="AA8" i="6"/>
  <c r="AA8" i="7"/>
  <c r="Z60" i="6"/>
  <c r="Z52" i="6"/>
  <c r="Z44" i="6"/>
  <c r="Z36" i="6"/>
  <c r="Z28" i="6"/>
  <c r="Z20" i="6"/>
  <c r="Z12" i="6"/>
  <c r="Z12" i="7"/>
  <c r="Z4" i="6"/>
  <c r="Z4" i="7"/>
  <c r="Y56" i="6"/>
  <c r="Y48" i="6"/>
  <c r="Y40" i="6"/>
  <c r="Y32" i="6"/>
  <c r="Y24" i="6"/>
  <c r="Y16" i="6"/>
  <c r="Y16" i="7"/>
  <c r="Y8" i="6"/>
  <c r="Y8" i="7"/>
  <c r="X60" i="6"/>
  <c r="X60" i="7"/>
  <c r="X52" i="6"/>
  <c r="X52" i="7"/>
  <c r="X44" i="6"/>
  <c r="X44" i="7"/>
  <c r="X36" i="6"/>
  <c r="X36" i="7"/>
  <c r="X28" i="6"/>
  <c r="X28" i="7"/>
  <c r="X20" i="6"/>
  <c r="X20" i="7"/>
  <c r="X12" i="6"/>
  <c r="X12" i="7"/>
  <c r="X4" i="6"/>
  <c r="X4" i="7"/>
  <c r="W56" i="6"/>
  <c r="W56" i="7"/>
  <c r="W48" i="6"/>
  <c r="W48" i="7"/>
  <c r="W40" i="6"/>
  <c r="W40" i="7"/>
  <c r="W32" i="6"/>
  <c r="W32" i="7"/>
  <c r="W24" i="6"/>
  <c r="W24" i="7"/>
  <c r="W16" i="6"/>
  <c r="W16" i="7"/>
  <c r="W8" i="6"/>
  <c r="W8" i="7"/>
  <c r="V60" i="6"/>
  <c r="V60" i="7"/>
  <c r="V52" i="6"/>
  <c r="V52" i="7"/>
  <c r="V44" i="6"/>
  <c r="V44" i="7"/>
  <c r="V36" i="6"/>
  <c r="V36" i="7"/>
  <c r="V28" i="6"/>
  <c r="V28" i="7"/>
  <c r="V20" i="6"/>
  <c r="V20" i="7"/>
  <c r="V12" i="6"/>
  <c r="V12" i="7"/>
  <c r="V4" i="6"/>
  <c r="V4" i="7"/>
  <c r="U56" i="6"/>
  <c r="U56" i="7"/>
  <c r="U48" i="6"/>
  <c r="U48" i="7"/>
  <c r="U40" i="6"/>
  <c r="U40" i="7"/>
  <c r="U32" i="6"/>
  <c r="U32" i="7"/>
  <c r="U24" i="6"/>
  <c r="U24" i="7"/>
  <c r="U16" i="6"/>
  <c r="U16" i="7"/>
  <c r="U8" i="6"/>
  <c r="U8" i="7"/>
  <c r="T60" i="6"/>
  <c r="T60" i="7"/>
  <c r="T52" i="6"/>
  <c r="T52" i="7"/>
  <c r="T44" i="6"/>
  <c r="T44" i="7"/>
  <c r="T36" i="6"/>
  <c r="T36" i="7"/>
  <c r="T28" i="6"/>
  <c r="T28" i="7"/>
  <c r="T20" i="6"/>
  <c r="T20" i="7"/>
  <c r="T12" i="6"/>
  <c r="T12" i="7"/>
  <c r="T4" i="6"/>
  <c r="T4" i="7"/>
  <c r="S56" i="6"/>
  <c r="S56" i="7"/>
  <c r="S48" i="6"/>
  <c r="S48" i="7"/>
  <c r="S40" i="6"/>
  <c r="S40" i="7"/>
  <c r="S32" i="6"/>
  <c r="S32" i="7"/>
  <c r="S24" i="6"/>
  <c r="S24" i="7"/>
  <c r="S16" i="6"/>
  <c r="S16" i="7"/>
  <c r="S8" i="6"/>
  <c r="S8" i="7"/>
  <c r="R60" i="6"/>
  <c r="R60" i="7"/>
  <c r="R52" i="6"/>
  <c r="R52" i="7"/>
  <c r="R44" i="6"/>
  <c r="R44" i="7"/>
  <c r="R36" i="6"/>
  <c r="R36" i="7"/>
  <c r="R28" i="6"/>
  <c r="R28" i="7"/>
  <c r="R20" i="6"/>
  <c r="R20" i="7"/>
  <c r="R12" i="6"/>
  <c r="R12" i="7"/>
  <c r="R4" i="6"/>
  <c r="R4" i="7"/>
  <c r="Q56" i="6"/>
  <c r="Q56" i="7"/>
  <c r="Q48" i="6"/>
  <c r="Q48" i="7"/>
  <c r="Q40" i="6"/>
  <c r="Q40" i="7"/>
  <c r="Q32" i="6"/>
  <c r="Q32" i="7"/>
  <c r="Q24" i="6"/>
  <c r="Q24" i="7"/>
  <c r="Q16" i="6"/>
  <c r="Q16" i="7"/>
  <c r="Q8" i="6"/>
  <c r="Q8" i="7"/>
  <c r="P60" i="6"/>
  <c r="P60" i="7"/>
  <c r="P52" i="6"/>
  <c r="P52" i="7"/>
  <c r="P44" i="6"/>
  <c r="P44" i="7"/>
  <c r="P36" i="6"/>
  <c r="P36" i="7"/>
  <c r="P28" i="6"/>
  <c r="P28" i="7"/>
  <c r="P20" i="6"/>
  <c r="P20" i="7"/>
  <c r="P12" i="6"/>
  <c r="P12" i="7"/>
  <c r="P4" i="6"/>
  <c r="P4" i="7"/>
  <c r="O56" i="6"/>
  <c r="O56" i="7"/>
  <c r="O48" i="6"/>
  <c r="O48" i="7"/>
  <c r="O40" i="6"/>
  <c r="O40" i="7"/>
  <c r="O32" i="6"/>
  <c r="O32" i="7"/>
  <c r="O24" i="6"/>
  <c r="O24" i="7"/>
  <c r="O16" i="6"/>
  <c r="O16" i="7"/>
  <c r="O8" i="6"/>
  <c r="O8" i="7"/>
  <c r="N60" i="6"/>
  <c r="N60" i="7"/>
  <c r="N52" i="6"/>
  <c r="N52" i="7"/>
  <c r="N44" i="6"/>
  <c r="N44" i="7"/>
  <c r="N36" i="6"/>
  <c r="N36" i="7"/>
  <c r="N28" i="6"/>
  <c r="N28" i="7"/>
  <c r="N20" i="6"/>
  <c r="N20" i="7"/>
  <c r="N12" i="6"/>
  <c r="N12" i="7"/>
  <c r="N4" i="6"/>
  <c r="N4" i="7"/>
  <c r="M56" i="6"/>
  <c r="M56" i="7"/>
  <c r="M48" i="6"/>
  <c r="M48" i="7"/>
  <c r="M40" i="6"/>
  <c r="M40" i="7"/>
  <c r="M32" i="6"/>
  <c r="M32" i="7"/>
  <c r="M24" i="6"/>
  <c r="M24" i="7"/>
  <c r="M16" i="6"/>
  <c r="M16" i="7"/>
  <c r="M8" i="6"/>
  <c r="M8" i="7"/>
  <c r="L60" i="6"/>
  <c r="L60" i="7"/>
  <c r="L52" i="6"/>
  <c r="L52" i="7"/>
  <c r="L44" i="6"/>
  <c r="L44" i="7"/>
  <c r="L36" i="6"/>
  <c r="L36" i="7"/>
  <c r="L28" i="6"/>
  <c r="L28" i="7"/>
  <c r="L20" i="6"/>
  <c r="L20" i="7"/>
  <c r="L12" i="6"/>
  <c r="L12" i="7"/>
  <c r="L4" i="6"/>
  <c r="L4" i="7"/>
  <c r="K56" i="6"/>
  <c r="K56" i="7"/>
  <c r="K48" i="6"/>
  <c r="K48" i="7"/>
  <c r="K40" i="6"/>
  <c r="K40" i="7"/>
  <c r="K32" i="6"/>
  <c r="K32" i="7"/>
  <c r="K24" i="6"/>
  <c r="K24" i="7"/>
  <c r="K16" i="6"/>
  <c r="K16" i="7"/>
  <c r="K8" i="6"/>
  <c r="K8" i="7"/>
  <c r="J60" i="6"/>
  <c r="J60" i="7"/>
  <c r="J52" i="6"/>
  <c r="J52" i="7"/>
  <c r="J44" i="6"/>
  <c r="J44" i="7"/>
  <c r="J36" i="6"/>
  <c r="J36" i="7"/>
  <c r="J28" i="6"/>
  <c r="J28" i="7"/>
  <c r="J20" i="6"/>
  <c r="J20" i="7"/>
  <c r="J12" i="6"/>
  <c r="J12" i="7"/>
  <c r="J4" i="6"/>
  <c r="J4" i="7"/>
  <c r="I56" i="6"/>
  <c r="I56" i="7"/>
  <c r="I48" i="6"/>
  <c r="I48" i="7"/>
  <c r="I40" i="6"/>
  <c r="I40" i="7"/>
  <c r="I32" i="6"/>
  <c r="I32" i="7"/>
  <c r="I24" i="6"/>
  <c r="I24" i="7"/>
  <c r="I16" i="6"/>
  <c r="I16" i="7"/>
  <c r="I8" i="6"/>
  <c r="I8" i="7"/>
  <c r="H60" i="6"/>
  <c r="H60" i="7"/>
  <c r="H52" i="6"/>
  <c r="H52" i="7"/>
  <c r="H44" i="6"/>
  <c r="H44" i="7"/>
  <c r="H36" i="6"/>
  <c r="H36" i="7"/>
  <c r="H28" i="6"/>
  <c r="H28" i="7"/>
  <c r="H20" i="6"/>
  <c r="H20" i="7"/>
  <c r="H12" i="6"/>
  <c r="H12" i="7"/>
  <c r="H4" i="6"/>
  <c r="H4" i="7"/>
  <c r="G56" i="6"/>
  <c r="G56" i="7"/>
  <c r="G48" i="6"/>
  <c r="G48" i="7"/>
  <c r="G40" i="6"/>
  <c r="G40" i="7"/>
  <c r="G32" i="6"/>
  <c r="G32" i="7"/>
  <c r="G24" i="6"/>
  <c r="G24" i="7"/>
  <c r="G16" i="6"/>
  <c r="G16" i="7"/>
  <c r="G8" i="6"/>
  <c r="G8" i="7"/>
  <c r="F60" i="6"/>
  <c r="F60" i="7"/>
  <c r="F52" i="6"/>
  <c r="F52" i="7"/>
  <c r="F44" i="6"/>
  <c r="F44" i="7"/>
  <c r="F36" i="6"/>
  <c r="F36" i="7"/>
  <c r="F28" i="6"/>
  <c r="F28" i="7"/>
  <c r="F20" i="6"/>
  <c r="F20" i="7"/>
  <c r="F12" i="6"/>
  <c r="F12" i="7"/>
  <c r="F4" i="6"/>
  <c r="F4" i="7"/>
  <c r="E56" i="6"/>
  <c r="E56" i="7"/>
  <c r="E48" i="6"/>
  <c r="E48" i="7"/>
  <c r="E40" i="6"/>
  <c r="E40" i="7"/>
  <c r="E32" i="6"/>
  <c r="E32" i="7"/>
  <c r="E24" i="6"/>
  <c r="E24" i="7"/>
  <c r="E16" i="6"/>
  <c r="E16" i="7"/>
  <c r="E8" i="6"/>
  <c r="E8" i="7"/>
  <c r="D60" i="6"/>
  <c r="D60" i="7"/>
  <c r="D52" i="6"/>
  <c r="D52" i="7"/>
  <c r="D44" i="6"/>
  <c r="D44" i="7"/>
  <c r="D36" i="6"/>
  <c r="D36" i="7"/>
  <c r="D28" i="6"/>
  <c r="D28" i="7"/>
  <c r="D20" i="6"/>
  <c r="D20" i="7"/>
  <c r="D12" i="6"/>
  <c r="D12" i="7"/>
  <c r="D4" i="6"/>
  <c r="D4" i="7"/>
  <c r="C56" i="6"/>
  <c r="C56" i="7"/>
  <c r="C48" i="6"/>
  <c r="C48" i="7"/>
  <c r="C40" i="6"/>
  <c r="C40" i="7"/>
  <c r="C32" i="6"/>
  <c r="C32" i="7"/>
  <c r="C24" i="6"/>
  <c r="C24" i="7"/>
  <c r="C16" i="6"/>
  <c r="C16" i="7"/>
  <c r="C8" i="6"/>
  <c r="C8" i="7"/>
  <c r="B60" i="6"/>
  <c r="B60" i="7"/>
  <c r="B52" i="6"/>
  <c r="B52" i="7"/>
  <c r="B44" i="6"/>
  <c r="B44" i="7"/>
  <c r="B36" i="6"/>
  <c r="B36" i="7"/>
  <c r="B28" i="6"/>
  <c r="B28" i="7"/>
  <c r="B20" i="6"/>
  <c r="B20" i="7"/>
  <c r="B12" i="6"/>
  <c r="B12" i="7"/>
  <c r="B4" i="6"/>
  <c r="B4" i="7"/>
  <c r="BI2" i="6"/>
  <c r="BI2" i="7"/>
  <c r="BI34" i="6"/>
  <c r="BI20" i="6"/>
  <c r="AE39" i="6"/>
  <c r="AG25" i="6"/>
  <c r="AI23" i="6"/>
  <c r="AK31" i="6"/>
  <c r="AM55" i="6"/>
  <c r="AQ55" i="6"/>
  <c r="AY47" i="6"/>
  <c r="AY17" i="6"/>
  <c r="AY17" i="7"/>
  <c r="AX52" i="6"/>
  <c r="AX15" i="6"/>
  <c r="AX15" i="7"/>
  <c r="AW47" i="6"/>
  <c r="AW19" i="6"/>
  <c r="AV41" i="6"/>
  <c r="AT28" i="6"/>
  <c r="BI40" i="6"/>
  <c r="BI7" i="6"/>
  <c r="BI7" i="7"/>
  <c r="BH47" i="6"/>
  <c r="BH28" i="6"/>
  <c r="BH3" i="6"/>
  <c r="BH3" i="7"/>
  <c r="BI55" i="6"/>
  <c r="BI36" i="6"/>
  <c r="BI16" i="6"/>
  <c r="BI16" i="7"/>
  <c r="BI4" i="6"/>
  <c r="BI4" i="7"/>
  <c r="BH55" i="6"/>
  <c r="BH45" i="6"/>
  <c r="BH36" i="6"/>
  <c r="BH27" i="6"/>
  <c r="BH18" i="6"/>
  <c r="BH10" i="6"/>
  <c r="BH10" i="7"/>
  <c r="BH2" i="6"/>
  <c r="BH2" i="7"/>
  <c r="BG53" i="6"/>
  <c r="BG43" i="6"/>
  <c r="BG32" i="6"/>
  <c r="BG23" i="6"/>
  <c r="BG14" i="6"/>
  <c r="BG14" i="7"/>
  <c r="BG6" i="6"/>
  <c r="BG6" i="7"/>
  <c r="BF58" i="6"/>
  <c r="BF47" i="6"/>
  <c r="BF37" i="6"/>
  <c r="BF28" i="6"/>
  <c r="BF19" i="6"/>
  <c r="BF11" i="6"/>
  <c r="BF11" i="7"/>
  <c r="BF3" i="6"/>
  <c r="BF3" i="7"/>
  <c r="BE53" i="6"/>
  <c r="BE44" i="6"/>
  <c r="BE33" i="6"/>
  <c r="BE24" i="6"/>
  <c r="BE15" i="6"/>
  <c r="BE15" i="7"/>
  <c r="BE7" i="6"/>
  <c r="BE7" i="7"/>
  <c r="BD59" i="6"/>
  <c r="BD49" i="6"/>
  <c r="BD39" i="6"/>
  <c r="BD29" i="6"/>
  <c r="BD20" i="6"/>
  <c r="BD12" i="6"/>
  <c r="BD12" i="7"/>
  <c r="BD4" i="6"/>
  <c r="BD4" i="7"/>
  <c r="BC54" i="6"/>
  <c r="BC43" i="6"/>
  <c r="BC32" i="6"/>
  <c r="BC23" i="6"/>
  <c r="BC14" i="6"/>
  <c r="BC14" i="7"/>
  <c r="BC6" i="6"/>
  <c r="BC6" i="7"/>
  <c r="BB58" i="6"/>
  <c r="BB49" i="6"/>
  <c r="BB39" i="6"/>
  <c r="BB29" i="6"/>
  <c r="BB20" i="6"/>
  <c r="BB12" i="6"/>
  <c r="BB12" i="7"/>
  <c r="BB4" i="6"/>
  <c r="BB4" i="7"/>
  <c r="BA54" i="6"/>
  <c r="BA45" i="6"/>
  <c r="BA35" i="6"/>
  <c r="BA25" i="6"/>
  <c r="BA16" i="6"/>
  <c r="BA16" i="7"/>
  <c r="BA8" i="6"/>
  <c r="BA8" i="7"/>
  <c r="AZ60" i="6"/>
  <c r="AZ50" i="6"/>
  <c r="AZ39" i="6"/>
  <c r="AZ29" i="6"/>
  <c r="AZ20" i="6"/>
  <c r="AZ12" i="6"/>
  <c r="AZ12" i="7"/>
  <c r="AZ4" i="6"/>
  <c r="AZ4" i="7"/>
  <c r="AY55" i="6"/>
  <c r="AY45" i="6"/>
  <c r="AY33" i="6"/>
  <c r="AY24" i="6"/>
  <c r="AY15" i="6"/>
  <c r="AY15" i="7"/>
  <c r="AY7" i="6"/>
  <c r="AY7" i="7"/>
  <c r="AX59" i="6"/>
  <c r="AX50" i="6"/>
  <c r="AX40" i="6"/>
  <c r="AX31" i="6"/>
  <c r="AX21" i="6"/>
  <c r="AX13" i="6"/>
  <c r="AX13" i="7"/>
  <c r="AX5" i="6"/>
  <c r="AX5" i="7"/>
  <c r="AW55" i="6"/>
  <c r="AW45" i="6"/>
  <c r="AW35" i="6"/>
  <c r="AW25" i="6"/>
  <c r="AW16" i="6"/>
  <c r="AW16" i="7"/>
  <c r="AW8" i="6"/>
  <c r="AW8" i="7"/>
  <c r="AV60" i="6"/>
  <c r="AV50" i="6"/>
  <c r="AV37" i="6"/>
  <c r="AV27" i="6"/>
  <c r="AV16" i="6"/>
  <c r="AV16" i="7"/>
  <c r="AV8" i="6"/>
  <c r="AV8" i="7"/>
  <c r="AU59" i="6"/>
  <c r="AU47" i="6"/>
  <c r="AU36" i="6"/>
  <c r="AU25" i="6"/>
  <c r="AU15" i="6"/>
  <c r="AU15" i="7"/>
  <c r="AU7" i="6"/>
  <c r="AU7" i="7"/>
  <c r="AT59" i="6"/>
  <c r="AT48" i="6"/>
  <c r="AT36" i="6"/>
  <c r="AT25" i="6"/>
  <c r="AT15" i="6"/>
  <c r="AT15" i="7"/>
  <c r="AT7" i="6"/>
  <c r="AT7" i="7"/>
  <c r="AS59" i="6"/>
  <c r="AS47" i="6"/>
  <c r="AS35" i="6"/>
  <c r="AS23" i="6"/>
  <c r="AS13" i="6"/>
  <c r="AS13" i="7"/>
  <c r="AS5" i="6"/>
  <c r="AS5" i="7"/>
  <c r="AR55" i="6"/>
  <c r="AR43" i="6"/>
  <c r="AR28" i="6"/>
  <c r="AR16" i="6"/>
  <c r="AR16" i="7"/>
  <c r="AR8" i="6"/>
  <c r="AR8" i="7"/>
  <c r="AQ59" i="6"/>
  <c r="AQ45" i="6"/>
  <c r="AQ31" i="6"/>
  <c r="AQ19" i="6"/>
  <c r="AQ10" i="6"/>
  <c r="AQ10" i="7"/>
  <c r="AQ2" i="6"/>
  <c r="AQ2" i="7"/>
  <c r="AP49" i="6"/>
  <c r="AP35" i="6"/>
  <c r="AP23" i="6"/>
  <c r="AP13" i="6"/>
  <c r="AP13" i="7"/>
  <c r="AP5" i="6"/>
  <c r="AP5" i="7"/>
  <c r="AO56" i="6"/>
  <c r="AO43" i="6"/>
  <c r="AO29" i="6"/>
  <c r="AO19" i="6"/>
  <c r="AO10" i="6"/>
  <c r="AO10" i="7"/>
  <c r="AO2" i="6"/>
  <c r="AO2" i="7"/>
  <c r="AN49" i="6"/>
  <c r="AN35" i="6"/>
  <c r="AN24" i="6"/>
  <c r="AN13" i="6"/>
  <c r="AN13" i="7"/>
  <c r="AN5" i="6"/>
  <c r="AN5" i="7"/>
  <c r="AM53" i="6"/>
  <c r="AM41" i="6"/>
  <c r="AM28" i="6"/>
  <c r="AM16" i="6"/>
  <c r="AM16" i="7"/>
  <c r="AM8" i="6"/>
  <c r="AM8" i="7"/>
  <c r="AL59" i="6"/>
  <c r="AL43" i="6"/>
  <c r="AL31" i="6"/>
  <c r="AL17" i="6"/>
  <c r="AL17" i="7"/>
  <c r="AL9" i="6"/>
  <c r="AL9" i="7"/>
  <c r="AK61" i="6"/>
  <c r="AK45" i="6"/>
  <c r="AK32" i="6"/>
  <c r="AK19" i="6"/>
  <c r="AK10" i="6"/>
  <c r="AK10" i="7"/>
  <c r="AK2" i="6"/>
  <c r="AK2" i="7"/>
  <c r="AJ47" i="6"/>
  <c r="AJ32" i="6"/>
  <c r="AJ19" i="6"/>
  <c r="AJ10" i="6"/>
  <c r="AJ10" i="7"/>
  <c r="AJ2" i="6"/>
  <c r="AJ2" i="7"/>
  <c r="AI49" i="6"/>
  <c r="AI35" i="6"/>
  <c r="AI21" i="6"/>
  <c r="AI12" i="6"/>
  <c r="AI12" i="7"/>
  <c r="AI4" i="6"/>
  <c r="AI4" i="7"/>
  <c r="AH51" i="6"/>
  <c r="AH36" i="6"/>
  <c r="AH24" i="6"/>
  <c r="AH13" i="6"/>
  <c r="AH13" i="7"/>
  <c r="AH5" i="6"/>
  <c r="AH5" i="7"/>
  <c r="AG51" i="6"/>
  <c r="AG35" i="6"/>
  <c r="AG20" i="6"/>
  <c r="AG11" i="6"/>
  <c r="AG11" i="7"/>
  <c r="AG3" i="6"/>
  <c r="AG3" i="7"/>
  <c r="AF47" i="6"/>
  <c r="AF32" i="6"/>
  <c r="AF17" i="6"/>
  <c r="AF17" i="7"/>
  <c r="AF9" i="6"/>
  <c r="AF9" i="7"/>
  <c r="AE61" i="6"/>
  <c r="AE48" i="6"/>
  <c r="AE35" i="6"/>
  <c r="AE20" i="6"/>
  <c r="AE11" i="6"/>
  <c r="AE11" i="7"/>
  <c r="AE3" i="6"/>
  <c r="AE3" i="7"/>
  <c r="AD49" i="6"/>
  <c r="AD36" i="6"/>
  <c r="AD23" i="6"/>
  <c r="AD12" i="6"/>
  <c r="AD12" i="7"/>
  <c r="AD4" i="6"/>
  <c r="AD4" i="7"/>
  <c r="AC55" i="6"/>
  <c r="AC44" i="6"/>
  <c r="AC33" i="6"/>
  <c r="AC23" i="6"/>
  <c r="AC13" i="6"/>
  <c r="AC13" i="7"/>
  <c r="AC5" i="6"/>
  <c r="AC5" i="7"/>
  <c r="AB56" i="6"/>
  <c r="AB45" i="6"/>
  <c r="AB35" i="6"/>
  <c r="AB24" i="6"/>
  <c r="AB14" i="6"/>
  <c r="AB14" i="7"/>
  <c r="AB6" i="6"/>
  <c r="AB6" i="7"/>
  <c r="AA57" i="6"/>
  <c r="AA47" i="6"/>
  <c r="AA36" i="6"/>
  <c r="AA25" i="6"/>
  <c r="AA15" i="6"/>
  <c r="AA15" i="7"/>
  <c r="AA7" i="6"/>
  <c r="AA7" i="7"/>
  <c r="Z59" i="6"/>
  <c r="Z51" i="6"/>
  <c r="Z43" i="6"/>
  <c r="Z35" i="6"/>
  <c r="Z27" i="6"/>
  <c r="Z19" i="6"/>
  <c r="Z11" i="6"/>
  <c r="Z11" i="7"/>
  <c r="Z3" i="6"/>
  <c r="Z3" i="7"/>
  <c r="Y55" i="6"/>
  <c r="Y47" i="6"/>
  <c r="Y39" i="6"/>
  <c r="Y31" i="6"/>
  <c r="Y23" i="6"/>
  <c r="Y15" i="6"/>
  <c r="Y15" i="7"/>
  <c r="Y7" i="6"/>
  <c r="Y7" i="7"/>
  <c r="X59" i="6"/>
  <c r="X59" i="7"/>
  <c r="X51" i="6"/>
  <c r="X51" i="7"/>
  <c r="X43" i="6"/>
  <c r="X43" i="7"/>
  <c r="X35" i="6"/>
  <c r="X35" i="7"/>
  <c r="X27" i="6"/>
  <c r="X27" i="7"/>
  <c r="X19" i="6"/>
  <c r="X19" i="7"/>
  <c r="X11" i="6"/>
  <c r="X11" i="7"/>
  <c r="X3" i="6"/>
  <c r="X3" i="7"/>
  <c r="W55" i="6"/>
  <c r="W55" i="7"/>
  <c r="W47" i="6"/>
  <c r="W47" i="7"/>
  <c r="W39" i="6"/>
  <c r="W39" i="7"/>
  <c r="W31" i="6"/>
  <c r="W31" i="7"/>
  <c r="W23" i="6"/>
  <c r="W23" i="7"/>
  <c r="W15" i="6"/>
  <c r="W15" i="7"/>
  <c r="W7" i="6"/>
  <c r="W7" i="7"/>
  <c r="V59" i="6"/>
  <c r="V59" i="7"/>
  <c r="V51" i="6"/>
  <c r="V51" i="7"/>
  <c r="V43" i="6"/>
  <c r="V43" i="7"/>
  <c r="V35" i="6"/>
  <c r="V35" i="7"/>
  <c r="V27" i="6"/>
  <c r="V27" i="7"/>
  <c r="V19" i="6"/>
  <c r="V19" i="7"/>
  <c r="V11" i="6"/>
  <c r="V11" i="7"/>
  <c r="V3" i="6"/>
  <c r="V3" i="7"/>
  <c r="U55" i="6"/>
  <c r="U55" i="7"/>
  <c r="U47" i="6"/>
  <c r="U47" i="7"/>
  <c r="U39" i="6"/>
  <c r="U39" i="7"/>
  <c r="U31" i="6"/>
  <c r="U31" i="7"/>
  <c r="U23" i="6"/>
  <c r="U23" i="7"/>
  <c r="U15" i="6"/>
  <c r="U15" i="7"/>
  <c r="U7" i="6"/>
  <c r="U7" i="7"/>
  <c r="T59" i="6"/>
  <c r="T59" i="7"/>
  <c r="T51" i="6"/>
  <c r="T51" i="7"/>
  <c r="T43" i="6"/>
  <c r="T43" i="7"/>
  <c r="T35" i="6"/>
  <c r="T35" i="7"/>
  <c r="T27" i="6"/>
  <c r="T27" i="7"/>
  <c r="T19" i="6"/>
  <c r="T19" i="7"/>
  <c r="T11" i="6"/>
  <c r="T11" i="7"/>
  <c r="T3" i="6"/>
  <c r="T3" i="7"/>
  <c r="S55" i="6"/>
  <c r="S55" i="7"/>
  <c r="S47" i="6"/>
  <c r="S47" i="7"/>
  <c r="S39" i="6"/>
  <c r="S39" i="7"/>
  <c r="S31" i="6"/>
  <c r="S31" i="7"/>
  <c r="S23" i="6"/>
  <c r="S23" i="7"/>
  <c r="S15" i="6"/>
  <c r="S15" i="7"/>
  <c r="S7" i="6"/>
  <c r="S7" i="7"/>
  <c r="R59" i="6"/>
  <c r="R59" i="7"/>
  <c r="R51" i="6"/>
  <c r="R51" i="7"/>
  <c r="R43" i="6"/>
  <c r="R43" i="7"/>
  <c r="R35" i="6"/>
  <c r="R35" i="7"/>
  <c r="R27" i="6"/>
  <c r="R27" i="7"/>
  <c r="R19" i="6"/>
  <c r="R19" i="7"/>
  <c r="R11" i="6"/>
  <c r="R11" i="7"/>
  <c r="R3" i="6"/>
  <c r="R3" i="7"/>
  <c r="Q55" i="6"/>
  <c r="Q55" i="7"/>
  <c r="Q47" i="6"/>
  <c r="Q47" i="7"/>
  <c r="Q39" i="6"/>
  <c r="Q39" i="7"/>
  <c r="Q31" i="6"/>
  <c r="Q31" i="7"/>
  <c r="Q23" i="6"/>
  <c r="Q23" i="7"/>
  <c r="Q15" i="6"/>
  <c r="Q15" i="7"/>
  <c r="Q7" i="6"/>
  <c r="Q7" i="7"/>
  <c r="P59" i="6"/>
  <c r="P59" i="7"/>
  <c r="P51" i="6"/>
  <c r="P51" i="7"/>
  <c r="P43" i="6"/>
  <c r="P43" i="7"/>
  <c r="P35" i="6"/>
  <c r="P35" i="7"/>
  <c r="P27" i="6"/>
  <c r="P27" i="7"/>
  <c r="P19" i="6"/>
  <c r="P19" i="7"/>
  <c r="P11" i="6"/>
  <c r="P11" i="7"/>
  <c r="P3" i="6"/>
  <c r="P3" i="7"/>
  <c r="O55" i="6"/>
  <c r="O55" i="7"/>
  <c r="O47" i="6"/>
  <c r="O47" i="7"/>
  <c r="O39" i="6"/>
  <c r="O39" i="7"/>
  <c r="O31" i="6"/>
  <c r="O31" i="7"/>
  <c r="O23" i="6"/>
  <c r="O23" i="7"/>
  <c r="O15" i="6"/>
  <c r="O15" i="7"/>
  <c r="O7" i="6"/>
  <c r="O7" i="7"/>
  <c r="N59" i="6"/>
  <c r="N59" i="7"/>
  <c r="N51" i="6"/>
  <c r="N51" i="7"/>
  <c r="N43" i="6"/>
  <c r="N43" i="7"/>
  <c r="N35" i="6"/>
  <c r="N35" i="7"/>
  <c r="N27" i="6"/>
  <c r="N27" i="7"/>
  <c r="N19" i="6"/>
  <c r="N19" i="7"/>
  <c r="N11" i="6"/>
  <c r="N11" i="7"/>
  <c r="N3" i="6"/>
  <c r="N3" i="7"/>
  <c r="M55" i="6"/>
  <c r="M55" i="7"/>
  <c r="M47" i="6"/>
  <c r="M47" i="7"/>
  <c r="M39" i="6"/>
  <c r="M39" i="7"/>
  <c r="M31" i="6"/>
  <c r="M31" i="7"/>
  <c r="M23" i="6"/>
  <c r="M23" i="7"/>
  <c r="M15" i="6"/>
  <c r="M15" i="7"/>
  <c r="M7" i="6"/>
  <c r="M7" i="7"/>
  <c r="L59" i="6"/>
  <c r="L59" i="7"/>
  <c r="L51" i="6"/>
  <c r="L51" i="7"/>
  <c r="L43" i="6"/>
  <c r="L43" i="7"/>
  <c r="L35" i="6"/>
  <c r="L35" i="7"/>
  <c r="L27" i="6"/>
  <c r="L27" i="7"/>
  <c r="L19" i="6"/>
  <c r="L19" i="7"/>
  <c r="L11" i="6"/>
  <c r="L11" i="7"/>
  <c r="L3" i="6"/>
  <c r="L3" i="7"/>
  <c r="K55" i="6"/>
  <c r="K55" i="7"/>
  <c r="K47" i="6"/>
  <c r="K47" i="7"/>
  <c r="K39" i="6"/>
  <c r="K39" i="7"/>
  <c r="K31" i="6"/>
  <c r="K31" i="7"/>
  <c r="K23" i="6"/>
  <c r="K23" i="7"/>
  <c r="K15" i="6"/>
  <c r="K15" i="7"/>
  <c r="K7" i="6"/>
  <c r="K7" i="7"/>
  <c r="J59" i="6"/>
  <c r="J59" i="7"/>
  <c r="J51" i="6"/>
  <c r="J51" i="7"/>
  <c r="J43" i="6"/>
  <c r="J43" i="7"/>
  <c r="J35" i="6"/>
  <c r="J35" i="7"/>
  <c r="J27" i="6"/>
  <c r="J27" i="7"/>
  <c r="J19" i="6"/>
  <c r="J19" i="7"/>
  <c r="J11" i="6"/>
  <c r="J11" i="7"/>
  <c r="J3" i="6"/>
  <c r="J3" i="7"/>
  <c r="I55" i="6"/>
  <c r="I55" i="7"/>
  <c r="I47" i="6"/>
  <c r="I47" i="7"/>
  <c r="I39" i="6"/>
  <c r="I39" i="7"/>
  <c r="I31" i="6"/>
  <c r="I31" i="7"/>
  <c r="I23" i="6"/>
  <c r="I23" i="7"/>
  <c r="I15" i="6"/>
  <c r="I15" i="7"/>
  <c r="I7" i="6"/>
  <c r="I7" i="7"/>
  <c r="H59" i="6"/>
  <c r="H59" i="7"/>
  <c r="H51" i="6"/>
  <c r="H51" i="7"/>
  <c r="H43" i="6"/>
  <c r="H43" i="7"/>
  <c r="H35" i="6"/>
  <c r="H35" i="7"/>
  <c r="H27" i="6"/>
  <c r="H27" i="7"/>
  <c r="H19" i="6"/>
  <c r="H19" i="7"/>
  <c r="H11" i="6"/>
  <c r="H11" i="7"/>
  <c r="H3" i="6"/>
  <c r="H3" i="7"/>
  <c r="G55" i="6"/>
  <c r="G55" i="7"/>
  <c r="G47" i="6"/>
  <c r="G47" i="7"/>
  <c r="G39" i="6"/>
  <c r="G39" i="7"/>
  <c r="G31" i="6"/>
  <c r="G31" i="7"/>
  <c r="G23" i="6"/>
  <c r="G23" i="7"/>
  <c r="G15" i="6"/>
  <c r="G15" i="7"/>
  <c r="G7" i="6"/>
  <c r="G7" i="7"/>
  <c r="F59" i="6"/>
  <c r="F59" i="7"/>
  <c r="F51" i="6"/>
  <c r="F51" i="7"/>
  <c r="F43" i="6"/>
  <c r="F43" i="7"/>
  <c r="F35" i="6"/>
  <c r="F35" i="7"/>
  <c r="F27" i="6"/>
  <c r="F27" i="7"/>
  <c r="F19" i="6"/>
  <c r="F19" i="7"/>
  <c r="F11" i="6"/>
  <c r="F11" i="7"/>
  <c r="F3" i="6"/>
  <c r="F3" i="7"/>
  <c r="E55" i="6"/>
  <c r="E55" i="7"/>
  <c r="E47" i="6"/>
  <c r="E47" i="7"/>
  <c r="E39" i="6"/>
  <c r="E39" i="7"/>
  <c r="E31" i="6"/>
  <c r="E31" i="7"/>
  <c r="E23" i="6"/>
  <c r="E23" i="7"/>
  <c r="E15" i="6"/>
  <c r="E15" i="7"/>
  <c r="E7" i="6"/>
  <c r="E7" i="7"/>
  <c r="D59" i="6"/>
  <c r="D59" i="7"/>
  <c r="D51" i="6"/>
  <c r="D51" i="7"/>
  <c r="D43" i="6"/>
  <c r="D43" i="7"/>
  <c r="D35" i="6"/>
  <c r="D35" i="7"/>
  <c r="D27" i="6"/>
  <c r="D27" i="7"/>
  <c r="D19" i="6"/>
  <c r="D19" i="7"/>
  <c r="D11" i="6"/>
  <c r="D11" i="7"/>
  <c r="D3" i="6"/>
  <c r="D3" i="7"/>
  <c r="C55" i="6"/>
  <c r="C55" i="7"/>
  <c r="C47" i="6"/>
  <c r="C47" i="7"/>
  <c r="C39" i="6"/>
  <c r="C39" i="7"/>
  <c r="C31" i="6"/>
  <c r="C31" i="7"/>
  <c r="C23" i="6"/>
  <c r="C23" i="7"/>
  <c r="C15" i="6"/>
  <c r="C15" i="7"/>
  <c r="C7" i="6"/>
  <c r="C7" i="7"/>
  <c r="B59" i="6"/>
  <c r="B59" i="7"/>
  <c r="B51" i="6"/>
  <c r="B51" i="7"/>
  <c r="B43" i="6"/>
  <c r="B43" i="7"/>
  <c r="B35" i="6"/>
  <c r="B35" i="7"/>
  <c r="B27" i="6"/>
  <c r="B27" i="7"/>
  <c r="B19" i="6"/>
  <c r="B19" i="7"/>
  <c r="B11" i="6"/>
  <c r="B11" i="7"/>
  <c r="B3" i="6"/>
  <c r="B3" i="7"/>
  <c r="BI38" i="6"/>
  <c r="BI30" i="6"/>
  <c r="AE47" i="6"/>
  <c r="AG31" i="6"/>
  <c r="AI31" i="6"/>
  <c r="AK39" i="6"/>
  <c r="AN53" i="6"/>
  <c r="AR21" i="6"/>
  <c r="BI39" i="6"/>
  <c r="AF48" i="6"/>
  <c r="AF56" i="6"/>
  <c r="AG36" i="6"/>
  <c r="AG52" i="6"/>
  <c r="AG60" i="6"/>
  <c r="AH48" i="6"/>
  <c r="AH56" i="6"/>
  <c r="AI36" i="6"/>
  <c r="AI52" i="6"/>
  <c r="AJ40" i="6"/>
  <c r="AJ48" i="6"/>
  <c r="AJ56" i="6"/>
  <c r="AK44" i="6"/>
  <c r="AK52" i="6"/>
  <c r="AK60" i="6"/>
  <c r="AL40" i="6"/>
  <c r="AL48" i="6"/>
  <c r="AL56" i="6"/>
  <c r="AM36" i="6"/>
  <c r="AM52" i="6"/>
  <c r="AM60" i="6"/>
  <c r="AN40" i="6"/>
  <c r="AN48" i="6"/>
  <c r="AN56" i="6"/>
  <c r="AO36" i="6"/>
  <c r="AO44" i="6"/>
  <c r="AP40" i="6"/>
  <c r="AP48" i="6"/>
  <c r="AP56" i="6"/>
  <c r="AQ36" i="6"/>
  <c r="AQ44" i="6"/>
  <c r="AQ52" i="6"/>
  <c r="AQ60" i="6"/>
  <c r="AR32" i="6"/>
  <c r="AR40" i="6"/>
  <c r="AR56" i="6"/>
  <c r="AS44" i="6"/>
  <c r="AS52" i="6"/>
  <c r="AT40" i="6"/>
  <c r="AU52" i="6"/>
  <c r="AU60" i="6"/>
  <c r="AV40" i="6"/>
  <c r="AV48" i="6"/>
  <c r="AV56" i="6"/>
  <c r="AW44" i="6"/>
  <c r="AW52" i="6"/>
  <c r="AW60" i="6"/>
  <c r="AX48" i="6"/>
  <c r="AY36" i="6"/>
  <c r="AY44" i="6"/>
  <c r="AY52" i="6"/>
  <c r="AZ40" i="6"/>
  <c r="AZ48" i="6"/>
  <c r="AZ56" i="6"/>
  <c r="BA44" i="6"/>
  <c r="BA60" i="6"/>
  <c r="BB40" i="6"/>
  <c r="BC36" i="6"/>
  <c r="BC44" i="6"/>
  <c r="BC52" i="6"/>
  <c r="BC60" i="6"/>
  <c r="BD40" i="6"/>
  <c r="BD56" i="6"/>
  <c r="BE36" i="6"/>
  <c r="BE60" i="6"/>
  <c r="BF48" i="6"/>
  <c r="BF56" i="6"/>
  <c r="BG36" i="6"/>
  <c r="BG44" i="6"/>
  <c r="AX20" i="6"/>
  <c r="AX12" i="6"/>
  <c r="AX12" i="7"/>
  <c r="AW43" i="6"/>
  <c r="AW33" i="6"/>
  <c r="AW24" i="6"/>
  <c r="AW15" i="6"/>
  <c r="AW15" i="7"/>
  <c r="AW7" i="6"/>
  <c r="AW7" i="7"/>
  <c r="AV59" i="6"/>
  <c r="AV49" i="6"/>
  <c r="AV36" i="6"/>
  <c r="AV25" i="6"/>
  <c r="AV15" i="6"/>
  <c r="AV15" i="7"/>
  <c r="AV7" i="6"/>
  <c r="AV7" i="7"/>
  <c r="AU57" i="6"/>
  <c r="AU45" i="6"/>
  <c r="AU35" i="6"/>
  <c r="AU24" i="6"/>
  <c r="AU14" i="6"/>
  <c r="AU14" i="7"/>
  <c r="AU6" i="6"/>
  <c r="AU6" i="7"/>
  <c r="AT57" i="6"/>
  <c r="AT47" i="6"/>
  <c r="AT35" i="6"/>
  <c r="AT24" i="6"/>
  <c r="AT14" i="6"/>
  <c r="AT14" i="7"/>
  <c r="AT6" i="6"/>
  <c r="AT6" i="7"/>
  <c r="AS57" i="6"/>
  <c r="AS45" i="6"/>
  <c r="AS33" i="6"/>
  <c r="AS21" i="6"/>
  <c r="AS12" i="6"/>
  <c r="AS12" i="7"/>
  <c r="AS4" i="6"/>
  <c r="AS4" i="7"/>
  <c r="AR52" i="6"/>
  <c r="AR41" i="6"/>
  <c r="AR27" i="6"/>
  <c r="AR15" i="6"/>
  <c r="AR15" i="7"/>
  <c r="AR7" i="6"/>
  <c r="AR7" i="7"/>
  <c r="AQ57" i="6"/>
  <c r="AQ43" i="6"/>
  <c r="AQ29" i="6"/>
  <c r="AQ17" i="6"/>
  <c r="AQ17" i="7"/>
  <c r="AQ9" i="6"/>
  <c r="AQ9" i="7"/>
  <c r="AP60" i="6"/>
  <c r="AP47" i="6"/>
  <c r="AP33" i="6"/>
  <c r="AP21" i="6"/>
  <c r="AP12" i="6"/>
  <c r="AP12" i="7"/>
  <c r="AP4" i="6"/>
  <c r="AP4" i="7"/>
  <c r="AO55" i="6"/>
  <c r="AO41" i="6"/>
  <c r="AO28" i="6"/>
  <c r="AO17" i="6"/>
  <c r="AO17" i="7"/>
  <c r="AO9" i="6"/>
  <c r="AO9" i="7"/>
  <c r="AN61" i="6"/>
  <c r="AN47" i="6"/>
  <c r="AN33" i="6"/>
  <c r="AN23" i="6"/>
  <c r="AN12" i="6"/>
  <c r="AN12" i="7"/>
  <c r="AN4" i="6"/>
  <c r="AN4" i="7"/>
  <c r="AM51" i="6"/>
  <c r="AM40" i="6"/>
  <c r="AM27" i="6"/>
  <c r="AM15" i="6"/>
  <c r="AM15" i="7"/>
  <c r="AM7" i="6"/>
  <c r="AM7" i="7"/>
  <c r="AL57" i="6"/>
  <c r="AL41" i="6"/>
  <c r="AL28" i="6"/>
  <c r="AL16" i="6"/>
  <c r="AL16" i="7"/>
  <c r="AL8" i="6"/>
  <c r="AL8" i="7"/>
  <c r="AK59" i="6"/>
  <c r="AK43" i="6"/>
  <c r="AK29" i="6"/>
  <c r="AK17" i="6"/>
  <c r="AK17" i="7"/>
  <c r="AK9" i="6"/>
  <c r="AK9" i="7"/>
  <c r="AJ60" i="6"/>
  <c r="AJ44" i="6"/>
  <c r="AJ31" i="6"/>
  <c r="AJ17" i="6"/>
  <c r="AJ17" i="7"/>
  <c r="AJ9" i="6"/>
  <c r="AJ9" i="7"/>
  <c r="AI61" i="6"/>
  <c r="AI48" i="6"/>
  <c r="AI33" i="6"/>
  <c r="AI20" i="6"/>
  <c r="AI11" i="6"/>
  <c r="AI11" i="7"/>
  <c r="AI3" i="6"/>
  <c r="AI3" i="7"/>
  <c r="AH49" i="6"/>
  <c r="AH35" i="6"/>
  <c r="AH23" i="6"/>
  <c r="AH12" i="6"/>
  <c r="AH12" i="7"/>
  <c r="AH4" i="6"/>
  <c r="AH4" i="7"/>
  <c r="AG49" i="6"/>
  <c r="AG33" i="6"/>
  <c r="AG19" i="6"/>
  <c r="AG10" i="6"/>
  <c r="AG10" i="7"/>
  <c r="AG2" i="6"/>
  <c r="AG2" i="7"/>
  <c r="AF44" i="6"/>
  <c r="AF31" i="6"/>
  <c r="AF16" i="6"/>
  <c r="AF16" i="7"/>
  <c r="AF8" i="6"/>
  <c r="AF8" i="7"/>
  <c r="AE60" i="6"/>
  <c r="AE45" i="6"/>
  <c r="AE32" i="6"/>
  <c r="AE19" i="6"/>
  <c r="AE10" i="6"/>
  <c r="AE10" i="7"/>
  <c r="AE2" i="6"/>
  <c r="AE2" i="7"/>
  <c r="AD48" i="6"/>
  <c r="AD33" i="6"/>
  <c r="AD20" i="6"/>
  <c r="AD11" i="6"/>
  <c r="AD11" i="7"/>
  <c r="AD3" i="6"/>
  <c r="AD3" i="7"/>
  <c r="AC53" i="6"/>
  <c r="AC43" i="6"/>
  <c r="AC32" i="6"/>
  <c r="AC21" i="6"/>
  <c r="AC12" i="6"/>
  <c r="AC12" i="7"/>
  <c r="AC4" i="6"/>
  <c r="AC4" i="7"/>
  <c r="AB55" i="6"/>
  <c r="AB44" i="6"/>
  <c r="AB33" i="6"/>
  <c r="AB23" i="6"/>
  <c r="AB13" i="6"/>
  <c r="AB13" i="7"/>
  <c r="AB5" i="6"/>
  <c r="AB5" i="7"/>
  <c r="AA56" i="6"/>
  <c r="AA45" i="6"/>
  <c r="AA35" i="6"/>
  <c r="AA24" i="6"/>
  <c r="AA14" i="6"/>
  <c r="AA14" i="7"/>
  <c r="AA6" i="6"/>
  <c r="AA6" i="7"/>
  <c r="Z58" i="6"/>
  <c r="Z50" i="6"/>
  <c r="Z42" i="6"/>
  <c r="Z34" i="6"/>
  <c r="Z26" i="6"/>
  <c r="Z18" i="6"/>
  <c r="Z10" i="6"/>
  <c r="Z10" i="7"/>
  <c r="Z2" i="6"/>
  <c r="Z2" i="7"/>
  <c r="Y54" i="6"/>
  <c r="Y46" i="6"/>
  <c r="Y38" i="6"/>
  <c r="Y30" i="6"/>
  <c r="Y22" i="6"/>
  <c r="Y14" i="6"/>
  <c r="Y14" i="7"/>
  <c r="Y6" i="6"/>
  <c r="Y6" i="7"/>
  <c r="X58" i="6"/>
  <c r="X58" i="7"/>
  <c r="X50" i="6"/>
  <c r="X50" i="7"/>
  <c r="X42" i="6"/>
  <c r="X42" i="7"/>
  <c r="X34" i="6"/>
  <c r="X34" i="7"/>
  <c r="X26" i="6"/>
  <c r="X26" i="7"/>
  <c r="X18" i="6"/>
  <c r="X18" i="7"/>
  <c r="X10" i="6"/>
  <c r="X10" i="7"/>
  <c r="X2" i="6"/>
  <c r="X2" i="7"/>
  <c r="W54" i="6"/>
  <c r="W54" i="7"/>
  <c r="W46" i="6"/>
  <c r="W46" i="7"/>
  <c r="W38" i="6"/>
  <c r="W38" i="7"/>
  <c r="W30" i="6"/>
  <c r="W30" i="7"/>
  <c r="W22" i="6"/>
  <c r="W22" i="7"/>
  <c r="W14" i="6"/>
  <c r="W14" i="7"/>
  <c r="W6" i="6"/>
  <c r="W6" i="7"/>
  <c r="V58" i="6"/>
  <c r="V58" i="7"/>
  <c r="V50" i="6"/>
  <c r="V50" i="7"/>
  <c r="V42" i="6"/>
  <c r="V42" i="7"/>
  <c r="V34" i="6"/>
  <c r="V34" i="7"/>
  <c r="V26" i="6"/>
  <c r="V26" i="7"/>
  <c r="V18" i="6"/>
  <c r="V18" i="7"/>
  <c r="V10" i="6"/>
  <c r="V10" i="7"/>
  <c r="V2" i="6"/>
  <c r="V2" i="7"/>
  <c r="U54" i="6"/>
  <c r="U54" i="7"/>
  <c r="U46" i="6"/>
  <c r="U46" i="7"/>
  <c r="U38" i="6"/>
  <c r="U38" i="7"/>
  <c r="U30" i="6"/>
  <c r="U30" i="7"/>
  <c r="U22" i="6"/>
  <c r="U22" i="7"/>
  <c r="U14" i="6"/>
  <c r="U14" i="7"/>
  <c r="U6" i="6"/>
  <c r="U6" i="7"/>
  <c r="T58" i="6"/>
  <c r="T58" i="7"/>
  <c r="T50" i="6"/>
  <c r="T50" i="7"/>
  <c r="T42" i="6"/>
  <c r="T42" i="7"/>
  <c r="T34" i="6"/>
  <c r="T34" i="7"/>
  <c r="T26" i="6"/>
  <c r="T26" i="7"/>
  <c r="T18" i="6"/>
  <c r="T18" i="7"/>
  <c r="T10" i="6"/>
  <c r="T10" i="7"/>
  <c r="T2" i="6"/>
  <c r="T2" i="7"/>
  <c r="S54" i="6"/>
  <c r="S54" i="7"/>
  <c r="S46" i="6"/>
  <c r="S46" i="7"/>
  <c r="S38" i="6"/>
  <c r="S38" i="7"/>
  <c r="S30" i="6"/>
  <c r="S30" i="7"/>
  <c r="S22" i="6"/>
  <c r="S22" i="7"/>
  <c r="S14" i="6"/>
  <c r="S14" i="7"/>
  <c r="S6" i="6"/>
  <c r="S6" i="7"/>
  <c r="R58" i="6"/>
  <c r="R58" i="7"/>
  <c r="R50" i="6"/>
  <c r="R50" i="7"/>
  <c r="R42" i="6"/>
  <c r="R42" i="7"/>
  <c r="R34" i="6"/>
  <c r="R34" i="7"/>
  <c r="R26" i="6"/>
  <c r="R26" i="7"/>
  <c r="R18" i="6"/>
  <c r="R18" i="7"/>
  <c r="R10" i="6"/>
  <c r="R10" i="7"/>
  <c r="R2" i="6"/>
  <c r="R2" i="7"/>
  <c r="Q54" i="6"/>
  <c r="Q54" i="7"/>
  <c r="Q46" i="6"/>
  <c r="Q46" i="7"/>
  <c r="Q38" i="6"/>
  <c r="Q38" i="7"/>
  <c r="Q30" i="6"/>
  <c r="Q30" i="7"/>
  <c r="Q22" i="6"/>
  <c r="Q22" i="7"/>
  <c r="Q14" i="6"/>
  <c r="Q14" i="7"/>
  <c r="Q6" i="6"/>
  <c r="Q6" i="7"/>
  <c r="P58" i="6"/>
  <c r="P58" i="7"/>
  <c r="P50" i="6"/>
  <c r="P50" i="7"/>
  <c r="P42" i="6"/>
  <c r="P42" i="7"/>
  <c r="P34" i="6"/>
  <c r="P34" i="7"/>
  <c r="P26" i="6"/>
  <c r="P26" i="7"/>
  <c r="P18" i="6"/>
  <c r="P18" i="7"/>
  <c r="P10" i="6"/>
  <c r="P10" i="7"/>
  <c r="P2" i="6"/>
  <c r="P2" i="7"/>
  <c r="O54" i="6"/>
  <c r="O54" i="7"/>
  <c r="O46" i="6"/>
  <c r="O46" i="7"/>
  <c r="O38" i="6"/>
  <c r="O38" i="7"/>
  <c r="O30" i="6"/>
  <c r="O30" i="7"/>
  <c r="O22" i="6"/>
  <c r="O22" i="7"/>
  <c r="O14" i="6"/>
  <c r="O14" i="7"/>
  <c r="O6" i="6"/>
  <c r="O6" i="7"/>
  <c r="N58" i="6"/>
  <c r="N58" i="7"/>
  <c r="N50" i="6"/>
  <c r="N50" i="7"/>
  <c r="N42" i="6"/>
  <c r="N42" i="7"/>
  <c r="N34" i="6"/>
  <c r="N34" i="7"/>
  <c r="N26" i="6"/>
  <c r="N26" i="7"/>
  <c r="N18" i="6"/>
  <c r="N18" i="7"/>
  <c r="N10" i="6"/>
  <c r="N10" i="7"/>
  <c r="N2" i="6"/>
  <c r="N2" i="7"/>
  <c r="M54" i="6"/>
  <c r="M54" i="7"/>
  <c r="M46" i="6"/>
  <c r="M46" i="7"/>
  <c r="M38" i="6"/>
  <c r="M38" i="7"/>
  <c r="M30" i="6"/>
  <c r="M30" i="7"/>
  <c r="M22" i="6"/>
  <c r="M22" i="7"/>
  <c r="M14" i="6"/>
  <c r="M14" i="7"/>
  <c r="M6" i="6"/>
  <c r="M6" i="7"/>
  <c r="L58" i="6"/>
  <c r="L58" i="7"/>
  <c r="L50" i="6"/>
  <c r="L50" i="7"/>
  <c r="L42" i="6"/>
  <c r="L42" i="7"/>
  <c r="L34" i="6"/>
  <c r="L34" i="7"/>
  <c r="L26" i="6"/>
  <c r="L26" i="7"/>
  <c r="L18" i="6"/>
  <c r="L18" i="7"/>
  <c r="L10" i="6"/>
  <c r="L10" i="7"/>
  <c r="L2" i="6"/>
  <c r="L2" i="7"/>
  <c r="K54" i="6"/>
  <c r="K54" i="7"/>
  <c r="K46" i="6"/>
  <c r="K46" i="7"/>
  <c r="K38" i="6"/>
  <c r="K38" i="7"/>
  <c r="K30" i="6"/>
  <c r="K30" i="7"/>
  <c r="K22" i="6"/>
  <c r="K22" i="7"/>
  <c r="K14" i="6"/>
  <c r="K14" i="7"/>
  <c r="K6" i="6"/>
  <c r="K6" i="7"/>
  <c r="J58" i="6"/>
  <c r="J58" i="7"/>
  <c r="J50" i="6"/>
  <c r="J50" i="7"/>
  <c r="J42" i="6"/>
  <c r="J42" i="7"/>
  <c r="J34" i="6"/>
  <c r="J34" i="7"/>
  <c r="J26" i="6"/>
  <c r="J26" i="7"/>
  <c r="J18" i="6"/>
  <c r="J18" i="7"/>
  <c r="J10" i="6"/>
  <c r="J10" i="7"/>
  <c r="J2" i="6"/>
  <c r="J2" i="7"/>
  <c r="I54" i="6"/>
  <c r="I54" i="7"/>
  <c r="I46" i="6"/>
  <c r="I46" i="7"/>
  <c r="I38" i="6"/>
  <c r="I38" i="7"/>
  <c r="I30" i="6"/>
  <c r="I30" i="7"/>
  <c r="I22" i="6"/>
  <c r="I22" i="7"/>
  <c r="I14" i="6"/>
  <c r="I14" i="7"/>
  <c r="I6" i="6"/>
  <c r="I6" i="7"/>
  <c r="H58" i="6"/>
  <c r="H58" i="7"/>
  <c r="H50" i="6"/>
  <c r="H50" i="7"/>
  <c r="H42" i="6"/>
  <c r="H42" i="7"/>
  <c r="H34" i="6"/>
  <c r="H34" i="7"/>
  <c r="H26" i="6"/>
  <c r="H26" i="7"/>
  <c r="H18" i="6"/>
  <c r="H18" i="7"/>
  <c r="H10" i="6"/>
  <c r="H10" i="7"/>
  <c r="H2" i="6"/>
  <c r="H2" i="7"/>
  <c r="G54" i="6"/>
  <c r="G54" i="7"/>
  <c r="G46" i="6"/>
  <c r="G46" i="7"/>
  <c r="G38" i="6"/>
  <c r="G38" i="7"/>
  <c r="G30" i="6"/>
  <c r="G30" i="7"/>
  <c r="G22" i="6"/>
  <c r="G22" i="7"/>
  <c r="G14" i="6"/>
  <c r="G14" i="7"/>
  <c r="G6" i="6"/>
  <c r="G6" i="7"/>
  <c r="F58" i="6"/>
  <c r="F58" i="7"/>
  <c r="F50" i="6"/>
  <c r="F50" i="7"/>
  <c r="F42" i="6"/>
  <c r="F42" i="7"/>
  <c r="F34" i="6"/>
  <c r="F34" i="7"/>
  <c r="F26" i="6"/>
  <c r="F26" i="7"/>
  <c r="F18" i="6"/>
  <c r="F18" i="7"/>
  <c r="F10" i="6"/>
  <c r="F10" i="7"/>
  <c r="F2" i="6"/>
  <c r="F2" i="7"/>
  <c r="E54" i="6"/>
  <c r="E54" i="7"/>
  <c r="E46" i="6"/>
  <c r="E46" i="7"/>
  <c r="E38" i="6"/>
  <c r="E38" i="7"/>
  <c r="E30" i="6"/>
  <c r="E30" i="7"/>
  <c r="E22" i="6"/>
  <c r="E22" i="7"/>
  <c r="E14" i="6"/>
  <c r="E14" i="7"/>
  <c r="E6" i="6"/>
  <c r="E6" i="7"/>
  <c r="D58" i="6"/>
  <c r="D58" i="7"/>
  <c r="D50" i="6"/>
  <c r="D50" i="7"/>
  <c r="D42" i="6"/>
  <c r="D42" i="7"/>
  <c r="D34" i="6"/>
  <c r="D34" i="7"/>
  <c r="D26" i="6"/>
  <c r="D26" i="7"/>
  <c r="D18" i="6"/>
  <c r="D18" i="7"/>
  <c r="D10" i="6"/>
  <c r="D10" i="7"/>
  <c r="D2" i="6"/>
  <c r="D2" i="7"/>
  <c r="C54" i="6"/>
  <c r="C54" i="7"/>
  <c r="C46" i="6"/>
  <c r="C46" i="7"/>
  <c r="C38" i="6"/>
  <c r="C38" i="7"/>
  <c r="C30" i="6"/>
  <c r="C30" i="7"/>
  <c r="C22" i="6"/>
  <c r="C22" i="7"/>
  <c r="C14" i="6"/>
  <c r="C14" i="7"/>
  <c r="C6" i="6"/>
  <c r="C6" i="7"/>
  <c r="B58" i="6"/>
  <c r="B58" i="7"/>
  <c r="B50" i="6"/>
  <c r="B50" i="7"/>
  <c r="B42" i="6"/>
  <c r="B42" i="7"/>
  <c r="B34" i="6"/>
  <c r="B34" i="7"/>
  <c r="B26" i="6"/>
  <c r="B26" i="7"/>
  <c r="B18" i="6"/>
  <c r="B18" i="7"/>
  <c r="B10" i="6"/>
  <c r="B10" i="7"/>
  <c r="B2" i="6"/>
  <c r="B2" i="7"/>
  <c r="AD21" i="6"/>
  <c r="AE55" i="6"/>
  <c r="AG39" i="6"/>
  <c r="AI39" i="6"/>
  <c r="AK47" i="6"/>
  <c r="AO31" i="6"/>
  <c r="AS31" i="6"/>
  <c r="BI14" i="6"/>
  <c r="BI14" i="7"/>
  <c r="BH52" i="6"/>
  <c r="BH34" i="6"/>
  <c r="BH8" i="6"/>
  <c r="BH8" i="7"/>
  <c r="BG51" i="6"/>
  <c r="BG30" i="6"/>
  <c r="BG12" i="6"/>
  <c r="BG12" i="7"/>
  <c r="BF55" i="6"/>
  <c r="BF35" i="6"/>
  <c r="BF17" i="6"/>
  <c r="BF17" i="7"/>
  <c r="BE61" i="6"/>
  <c r="BE41" i="6"/>
  <c r="BE22" i="6"/>
  <c r="BE5" i="6"/>
  <c r="BE5" i="7"/>
  <c r="BD47" i="6"/>
  <c r="BD27" i="6"/>
  <c r="BD10" i="6"/>
  <c r="BD10" i="7"/>
  <c r="BC51" i="6"/>
  <c r="BC30" i="6"/>
  <c r="BC12" i="6"/>
  <c r="BC12" i="7"/>
  <c r="BB56" i="6"/>
  <c r="BB36" i="6"/>
  <c r="BB10" i="6"/>
  <c r="BB10" i="7"/>
  <c r="BA52" i="6"/>
  <c r="BA32" i="6"/>
  <c r="BA14" i="6"/>
  <c r="BA14" i="7"/>
  <c r="AZ58" i="6"/>
  <c r="AZ36" i="6"/>
  <c r="AZ10" i="6"/>
  <c r="AZ10" i="7"/>
  <c r="AY53" i="6"/>
  <c r="AY31" i="6"/>
  <c r="AY13" i="6"/>
  <c r="AY13" i="7"/>
  <c r="AX57" i="6"/>
  <c r="AX37" i="6"/>
  <c r="AX19" i="6"/>
  <c r="AX3" i="6"/>
  <c r="AX3" i="7"/>
  <c r="AW41" i="6"/>
  <c r="AW23" i="6"/>
  <c r="AW6" i="6"/>
  <c r="AW6" i="7"/>
  <c r="AV47" i="6"/>
  <c r="AV24" i="6"/>
  <c r="AV14" i="6"/>
  <c r="AV14" i="7"/>
  <c r="AV6" i="6"/>
  <c r="AV6" i="7"/>
  <c r="AU56" i="6"/>
  <c r="AU44" i="6"/>
  <c r="AU33" i="6"/>
  <c r="AU23" i="6"/>
  <c r="AU13" i="6"/>
  <c r="AU13" i="7"/>
  <c r="AU5" i="6"/>
  <c r="AU5" i="7"/>
  <c r="AT56" i="6"/>
  <c r="AT33" i="6"/>
  <c r="AT23" i="6"/>
  <c r="AT13" i="6"/>
  <c r="AT13" i="7"/>
  <c r="AT5" i="6"/>
  <c r="AT5" i="7"/>
  <c r="AS56" i="6"/>
  <c r="AS43" i="6"/>
  <c r="AS32" i="6"/>
  <c r="AS20" i="6"/>
  <c r="AS11" i="6"/>
  <c r="AS11" i="7"/>
  <c r="AS3" i="6"/>
  <c r="AS3" i="7"/>
  <c r="AR51" i="6"/>
  <c r="AR39" i="6"/>
  <c r="AR25" i="6"/>
  <c r="AR14" i="6"/>
  <c r="AR14" i="7"/>
  <c r="AR6" i="6"/>
  <c r="AR6" i="7"/>
  <c r="AQ56" i="6"/>
  <c r="AQ41" i="6"/>
  <c r="AQ28" i="6"/>
  <c r="AQ16" i="6"/>
  <c r="AQ16" i="7"/>
  <c r="AQ8" i="6"/>
  <c r="AQ8" i="7"/>
  <c r="AP59" i="6"/>
  <c r="AP44" i="6"/>
  <c r="AP32" i="6"/>
  <c r="AP20" i="6"/>
  <c r="AP11" i="6"/>
  <c r="AP11" i="7"/>
  <c r="AP3" i="6"/>
  <c r="AP3" i="7"/>
  <c r="AO53" i="6"/>
  <c r="AO40" i="6"/>
  <c r="AO27" i="6"/>
  <c r="AO16" i="6"/>
  <c r="AO16" i="7"/>
  <c r="AO8" i="6"/>
  <c r="AO8" i="7"/>
  <c r="AN60" i="6"/>
  <c r="AN45" i="6"/>
  <c r="AN32" i="6"/>
  <c r="AN20" i="6"/>
  <c r="AN11" i="6"/>
  <c r="AN11" i="7"/>
  <c r="AN3" i="6"/>
  <c r="AN3" i="7"/>
  <c r="AM49" i="6"/>
  <c r="AM37" i="6"/>
  <c r="AM25" i="6"/>
  <c r="AM14" i="6"/>
  <c r="AM14" i="7"/>
  <c r="AM6" i="6"/>
  <c r="AM6" i="7"/>
  <c r="AL55" i="6"/>
  <c r="AL39" i="6"/>
  <c r="AL27" i="6"/>
  <c r="AL15" i="6"/>
  <c r="AL15" i="7"/>
  <c r="AL7" i="6"/>
  <c r="AL7" i="7"/>
  <c r="AK57" i="6"/>
  <c r="AK41" i="6"/>
  <c r="AK28" i="6"/>
  <c r="AK16" i="6"/>
  <c r="AK16" i="7"/>
  <c r="AK8" i="6"/>
  <c r="AK8" i="7"/>
  <c r="AJ59" i="6"/>
  <c r="AJ43" i="6"/>
  <c r="AJ28" i="6"/>
  <c r="AJ16" i="6"/>
  <c r="AJ16" i="7"/>
  <c r="AJ8" i="6"/>
  <c r="AJ8" i="7"/>
  <c r="AI60" i="6"/>
  <c r="AI45" i="6"/>
  <c r="AI32" i="6"/>
  <c r="AI19" i="6"/>
  <c r="AI10" i="6"/>
  <c r="AI10" i="7"/>
  <c r="AI2" i="6"/>
  <c r="AI2" i="7"/>
  <c r="AH47" i="6"/>
  <c r="AH33" i="6"/>
  <c r="AH20" i="6"/>
  <c r="AH11" i="6"/>
  <c r="AH11" i="7"/>
  <c r="AH3" i="6"/>
  <c r="AH3" i="7"/>
  <c r="AG48" i="6"/>
  <c r="AG32" i="6"/>
  <c r="AG17" i="6"/>
  <c r="AG17" i="7"/>
  <c r="AG9" i="6"/>
  <c r="AG9" i="7"/>
  <c r="AF60" i="6"/>
  <c r="AF41" i="6"/>
  <c r="AF28" i="6"/>
  <c r="AF15" i="6"/>
  <c r="AF15" i="7"/>
  <c r="AF7" i="6"/>
  <c r="AF7" i="7"/>
  <c r="AE59" i="6"/>
  <c r="AE44" i="6"/>
  <c r="AE29" i="6"/>
  <c r="AE17" i="6"/>
  <c r="AE17" i="7"/>
  <c r="AE9" i="6"/>
  <c r="AE9" i="7"/>
  <c r="AD60" i="6"/>
  <c r="AD47" i="6"/>
  <c r="AD32" i="6"/>
  <c r="AD19" i="6"/>
  <c r="AD10" i="6"/>
  <c r="AD10" i="7"/>
  <c r="AD2" i="6"/>
  <c r="AD2" i="7"/>
  <c r="AC52" i="6"/>
  <c r="AC41" i="6"/>
  <c r="AC31" i="6"/>
  <c r="AC20" i="6"/>
  <c r="AC11" i="6"/>
  <c r="AC11" i="7"/>
  <c r="AC3" i="6"/>
  <c r="AC3" i="7"/>
  <c r="AB53" i="6"/>
  <c r="AB43" i="6"/>
  <c r="AB32" i="6"/>
  <c r="AB21" i="6"/>
  <c r="AB12" i="6"/>
  <c r="AB12" i="7"/>
  <c r="AB4" i="6"/>
  <c r="AB4" i="7"/>
  <c r="AA55" i="6"/>
  <c r="AA44" i="6"/>
  <c r="AA33" i="6"/>
  <c r="AA23" i="6"/>
  <c r="AA13" i="6"/>
  <c r="AA13" i="7"/>
  <c r="AA5" i="6"/>
  <c r="AA5" i="7"/>
  <c r="Z57" i="6"/>
  <c r="Z49" i="6"/>
  <c r="Z41" i="6"/>
  <c r="Z33" i="6"/>
  <c r="Z25" i="6"/>
  <c r="Z17" i="6"/>
  <c r="Z17" i="7"/>
  <c r="Z9" i="6"/>
  <c r="Z9" i="7"/>
  <c r="Y61" i="6"/>
  <c r="Y53" i="6"/>
  <c r="Y45" i="6"/>
  <c r="Y37" i="6"/>
  <c r="Y29" i="6"/>
  <c r="Y21" i="6"/>
  <c r="Y13" i="6"/>
  <c r="Y13" i="7"/>
  <c r="Y5" i="6"/>
  <c r="Y5" i="7"/>
  <c r="X57" i="6"/>
  <c r="X57" i="7"/>
  <c r="X49" i="6"/>
  <c r="X49" i="7"/>
  <c r="X41" i="6"/>
  <c r="X41" i="7"/>
  <c r="X33" i="6"/>
  <c r="X33" i="7"/>
  <c r="X25" i="6"/>
  <c r="X25" i="7"/>
  <c r="X17" i="6"/>
  <c r="X17" i="7"/>
  <c r="X9" i="6"/>
  <c r="X9" i="7"/>
  <c r="W61" i="6"/>
  <c r="W61" i="7"/>
  <c r="W53" i="6"/>
  <c r="W53" i="7"/>
  <c r="W45" i="6"/>
  <c r="W45" i="7"/>
  <c r="W37" i="6"/>
  <c r="W37" i="7"/>
  <c r="W29" i="6"/>
  <c r="W29" i="7"/>
  <c r="W21" i="6"/>
  <c r="W21" i="7"/>
  <c r="W13" i="6"/>
  <c r="W13" i="7"/>
  <c r="W5" i="6"/>
  <c r="W5" i="7"/>
  <c r="V57" i="6"/>
  <c r="V57" i="7"/>
  <c r="V49" i="6"/>
  <c r="V49" i="7"/>
  <c r="V41" i="6"/>
  <c r="V41" i="7"/>
  <c r="V33" i="6"/>
  <c r="V33" i="7"/>
  <c r="V25" i="6"/>
  <c r="V25" i="7"/>
  <c r="V17" i="6"/>
  <c r="V17" i="7"/>
  <c r="V9" i="6"/>
  <c r="V9" i="7"/>
  <c r="U61" i="6"/>
  <c r="U61" i="7"/>
  <c r="U53" i="6"/>
  <c r="U53" i="7"/>
  <c r="U45" i="6"/>
  <c r="U45" i="7"/>
  <c r="U37" i="6"/>
  <c r="U37" i="7"/>
  <c r="U29" i="6"/>
  <c r="U29" i="7"/>
  <c r="U21" i="6"/>
  <c r="U21" i="7"/>
  <c r="U13" i="6"/>
  <c r="U13" i="7"/>
  <c r="U5" i="6"/>
  <c r="U5" i="7"/>
  <c r="T57" i="6"/>
  <c r="T57" i="7"/>
  <c r="T49" i="6"/>
  <c r="T49" i="7"/>
  <c r="T41" i="6"/>
  <c r="T41" i="7"/>
  <c r="T33" i="6"/>
  <c r="T33" i="7"/>
  <c r="T25" i="6"/>
  <c r="T25" i="7"/>
  <c r="T17" i="6"/>
  <c r="T17" i="7"/>
  <c r="T9" i="6"/>
  <c r="T9" i="7"/>
  <c r="S61" i="6"/>
  <c r="S61" i="7"/>
  <c r="S53" i="6"/>
  <c r="S53" i="7"/>
  <c r="S45" i="6"/>
  <c r="S45" i="7"/>
  <c r="S37" i="6"/>
  <c r="S37" i="7"/>
  <c r="S29" i="6"/>
  <c r="S29" i="7"/>
  <c r="S21" i="6"/>
  <c r="S21" i="7"/>
  <c r="S13" i="6"/>
  <c r="S13" i="7"/>
  <c r="S5" i="6"/>
  <c r="S5" i="7"/>
  <c r="R57" i="6"/>
  <c r="R57" i="7"/>
  <c r="R49" i="6"/>
  <c r="R49" i="7"/>
  <c r="R41" i="6"/>
  <c r="R41" i="7"/>
  <c r="R33" i="6"/>
  <c r="R33" i="7"/>
  <c r="R25" i="6"/>
  <c r="R25" i="7"/>
  <c r="R17" i="6"/>
  <c r="R17" i="7"/>
  <c r="R9" i="6"/>
  <c r="R9" i="7"/>
  <c r="Q61" i="6"/>
  <c r="Q61" i="7"/>
  <c r="Q53" i="6"/>
  <c r="Q53" i="7"/>
  <c r="Q45" i="6"/>
  <c r="Q45" i="7"/>
  <c r="Q37" i="6"/>
  <c r="Q37" i="7"/>
  <c r="Q29" i="6"/>
  <c r="Q29" i="7"/>
  <c r="Q21" i="6"/>
  <c r="Q21" i="7"/>
  <c r="Q13" i="6"/>
  <c r="Q13" i="7"/>
  <c r="Q5" i="6"/>
  <c r="Q5" i="7"/>
  <c r="P57" i="6"/>
  <c r="P57" i="7"/>
  <c r="P49" i="6"/>
  <c r="P49" i="7"/>
  <c r="P41" i="6"/>
  <c r="P41" i="7"/>
  <c r="P33" i="6"/>
  <c r="P33" i="7"/>
  <c r="P25" i="6"/>
  <c r="P25" i="7"/>
  <c r="P17" i="6"/>
  <c r="P17" i="7"/>
  <c r="P9" i="6"/>
  <c r="P9" i="7"/>
  <c r="O61" i="6"/>
  <c r="O61" i="7"/>
  <c r="O53" i="6"/>
  <c r="O53" i="7"/>
  <c r="O45" i="6"/>
  <c r="O45" i="7"/>
  <c r="O37" i="6"/>
  <c r="O37" i="7"/>
  <c r="O29" i="6"/>
  <c r="O29" i="7"/>
  <c r="O21" i="6"/>
  <c r="O21" i="7"/>
  <c r="O13" i="6"/>
  <c r="O13" i="7"/>
  <c r="O5" i="6"/>
  <c r="O5" i="7"/>
  <c r="N57" i="6"/>
  <c r="N57" i="7"/>
  <c r="N49" i="6"/>
  <c r="N49" i="7"/>
  <c r="N41" i="6"/>
  <c r="N41" i="7"/>
  <c r="N33" i="6"/>
  <c r="N33" i="7"/>
  <c r="N25" i="6"/>
  <c r="N25" i="7"/>
  <c r="N17" i="6"/>
  <c r="N17" i="7"/>
  <c r="N9" i="6"/>
  <c r="N9" i="7"/>
  <c r="M61" i="6"/>
  <c r="M61" i="7"/>
  <c r="M53" i="6"/>
  <c r="M53" i="7"/>
  <c r="M45" i="6"/>
  <c r="M45" i="7"/>
  <c r="M37" i="6"/>
  <c r="M37" i="7"/>
  <c r="M29" i="6"/>
  <c r="M29" i="7"/>
  <c r="M21" i="6"/>
  <c r="M21" i="7"/>
  <c r="M13" i="6"/>
  <c r="M13" i="7"/>
  <c r="M5" i="6"/>
  <c r="M5" i="7"/>
  <c r="L57" i="6"/>
  <c r="L57" i="7"/>
  <c r="L49" i="6"/>
  <c r="L49" i="7"/>
  <c r="L41" i="6"/>
  <c r="L41" i="7"/>
  <c r="L33" i="6"/>
  <c r="L33" i="7"/>
  <c r="L25" i="6"/>
  <c r="L25" i="7"/>
  <c r="L17" i="6"/>
  <c r="L17" i="7"/>
  <c r="L9" i="6"/>
  <c r="L9" i="7"/>
  <c r="K61" i="6"/>
  <c r="K61" i="7"/>
  <c r="K53" i="6"/>
  <c r="K53" i="7"/>
  <c r="K45" i="6"/>
  <c r="K45" i="7"/>
  <c r="K37" i="6"/>
  <c r="K37" i="7"/>
  <c r="K29" i="6"/>
  <c r="K29" i="7"/>
  <c r="K21" i="6"/>
  <c r="K21" i="7"/>
  <c r="K13" i="6"/>
  <c r="K13" i="7"/>
  <c r="K5" i="6"/>
  <c r="K5" i="7"/>
  <c r="J57" i="6"/>
  <c r="J57" i="7"/>
  <c r="J49" i="6"/>
  <c r="J49" i="7"/>
  <c r="J41" i="6"/>
  <c r="J41" i="7"/>
  <c r="J33" i="6"/>
  <c r="J33" i="7"/>
  <c r="J25" i="6"/>
  <c r="J25" i="7"/>
  <c r="J17" i="6"/>
  <c r="J17" i="7"/>
  <c r="J9" i="6"/>
  <c r="J9" i="7"/>
  <c r="I61" i="6"/>
  <c r="I61" i="7"/>
  <c r="I53" i="6"/>
  <c r="I53" i="7"/>
  <c r="I45" i="6"/>
  <c r="I45" i="7"/>
  <c r="I37" i="6"/>
  <c r="I37" i="7"/>
  <c r="I29" i="6"/>
  <c r="I29" i="7"/>
  <c r="I21" i="6"/>
  <c r="I21" i="7"/>
  <c r="I13" i="6"/>
  <c r="I13" i="7"/>
  <c r="I5" i="6"/>
  <c r="I5" i="7"/>
  <c r="H57" i="6"/>
  <c r="H57" i="7"/>
  <c r="H49" i="6"/>
  <c r="H49" i="7"/>
  <c r="H41" i="6"/>
  <c r="H41" i="7"/>
  <c r="H33" i="6"/>
  <c r="H33" i="7"/>
  <c r="H25" i="6"/>
  <c r="H25" i="7"/>
  <c r="H17" i="6"/>
  <c r="H17" i="7"/>
  <c r="H9" i="6"/>
  <c r="H9" i="7"/>
  <c r="G61" i="6"/>
  <c r="G61" i="7"/>
  <c r="G53" i="6"/>
  <c r="G53" i="7"/>
  <c r="G45" i="6"/>
  <c r="G45" i="7"/>
  <c r="G37" i="6"/>
  <c r="G37" i="7"/>
  <c r="G29" i="6"/>
  <c r="G29" i="7"/>
  <c r="G21" i="6"/>
  <c r="G21" i="7"/>
  <c r="G13" i="6"/>
  <c r="G13" i="7"/>
  <c r="G5" i="6"/>
  <c r="G5" i="7"/>
  <c r="F57" i="6"/>
  <c r="F57" i="7"/>
  <c r="F49" i="6"/>
  <c r="F49" i="7"/>
  <c r="F41" i="6"/>
  <c r="F41" i="7"/>
  <c r="F33" i="6"/>
  <c r="F33" i="7"/>
  <c r="F25" i="6"/>
  <c r="F25" i="7"/>
  <c r="F17" i="6"/>
  <c r="F17" i="7"/>
  <c r="F9" i="6"/>
  <c r="F9" i="7"/>
  <c r="E61" i="6"/>
  <c r="E61" i="7"/>
  <c r="E53" i="6"/>
  <c r="E53" i="7"/>
  <c r="E45" i="6"/>
  <c r="E45" i="7"/>
  <c r="E37" i="6"/>
  <c r="E37" i="7"/>
  <c r="E29" i="6"/>
  <c r="E29" i="7"/>
  <c r="E21" i="6"/>
  <c r="E21" i="7"/>
  <c r="E13" i="6"/>
  <c r="E13" i="7"/>
  <c r="E5" i="6"/>
  <c r="E5" i="7"/>
  <c r="D57" i="6"/>
  <c r="D57" i="7"/>
  <c r="D49" i="6"/>
  <c r="D49" i="7"/>
  <c r="D41" i="6"/>
  <c r="D41" i="7"/>
  <c r="D33" i="6"/>
  <c r="D33" i="7"/>
  <c r="D25" i="6"/>
  <c r="D25" i="7"/>
  <c r="D17" i="6"/>
  <c r="D17" i="7"/>
  <c r="D9" i="6"/>
  <c r="D9" i="7"/>
  <c r="C61" i="6"/>
  <c r="C61" i="7"/>
  <c r="C53" i="6"/>
  <c r="C53" i="7"/>
  <c r="C45" i="6"/>
  <c r="C45" i="7"/>
  <c r="C37" i="6"/>
  <c r="C37" i="7"/>
  <c r="C29" i="6"/>
  <c r="C29" i="7"/>
  <c r="C21" i="6"/>
  <c r="C21" i="7"/>
  <c r="C13" i="6"/>
  <c r="C13" i="7"/>
  <c r="C5" i="6"/>
  <c r="C5" i="7"/>
  <c r="B57" i="6"/>
  <c r="B57" i="7"/>
  <c r="B49" i="6"/>
  <c r="B49" i="7"/>
  <c r="B41" i="6"/>
  <c r="B41" i="7"/>
  <c r="B33" i="6"/>
  <c r="B33" i="7"/>
  <c r="B25" i="6"/>
  <c r="B25" i="7"/>
  <c r="B17" i="6"/>
  <c r="B17" i="7"/>
  <c r="B9" i="6"/>
  <c r="B9" i="7"/>
  <c r="BI5" i="6"/>
  <c r="BI5" i="7"/>
  <c r="BI13" i="6"/>
  <c r="BI13" i="7"/>
  <c r="BI54" i="6"/>
  <c r="AD35" i="6"/>
  <c r="AF27" i="6"/>
  <c r="AG47" i="6"/>
  <c r="AI47" i="6"/>
  <c r="AK55" i="6"/>
  <c r="AO47" i="6"/>
  <c r="BI25" i="6"/>
  <c r="BI33" i="6"/>
  <c r="BI41" i="6"/>
  <c r="BI57" i="6"/>
  <c r="AA22" i="6"/>
  <c r="AA30" i="6"/>
  <c r="AA38" i="6"/>
  <c r="AA46" i="6"/>
  <c r="AA54" i="6"/>
  <c r="AB18" i="6"/>
  <c r="AB26" i="6"/>
  <c r="AB34" i="6"/>
  <c r="AB42" i="6"/>
  <c r="AB50" i="6"/>
  <c r="AB58" i="6"/>
  <c r="AC22" i="6"/>
  <c r="AC30" i="6"/>
  <c r="AC38" i="6"/>
  <c r="AC46" i="6"/>
  <c r="AC54" i="6"/>
  <c r="AD18" i="6"/>
  <c r="AD26" i="6"/>
  <c r="AD34" i="6"/>
  <c r="AD42" i="6"/>
  <c r="AD50" i="6"/>
  <c r="AD58" i="6"/>
  <c r="AE22" i="6"/>
  <c r="AE30" i="6"/>
  <c r="AE38" i="6"/>
  <c r="AE46" i="6"/>
  <c r="AE54" i="6"/>
  <c r="AF26" i="6"/>
  <c r="AF34" i="6"/>
  <c r="AF42" i="6"/>
  <c r="AF50" i="6"/>
  <c r="AF58" i="6"/>
  <c r="AG22" i="6"/>
  <c r="AG30" i="6"/>
  <c r="AG38" i="6"/>
  <c r="AG46" i="6"/>
  <c r="AG54" i="6"/>
  <c r="AH18" i="6"/>
  <c r="AH26" i="6"/>
  <c r="AH34" i="6"/>
  <c r="AH42" i="6"/>
  <c r="AH50" i="6"/>
  <c r="AH58" i="6"/>
  <c r="AI22" i="6"/>
  <c r="AI30" i="6"/>
  <c r="AI38" i="6"/>
  <c r="AI46" i="6"/>
  <c r="AI54" i="6"/>
  <c r="AJ18" i="6"/>
  <c r="AJ26" i="6"/>
  <c r="AJ34" i="6"/>
  <c r="AJ42" i="6"/>
  <c r="AJ50" i="6"/>
  <c r="AJ58" i="6"/>
  <c r="AK22" i="6"/>
  <c r="AK30" i="6"/>
  <c r="AK38" i="6"/>
  <c r="AK46" i="6"/>
  <c r="AK54" i="6"/>
  <c r="AL18" i="6"/>
  <c r="AL26" i="6"/>
  <c r="AL34" i="6"/>
  <c r="AL42" i="6"/>
  <c r="AL50" i="6"/>
  <c r="AL58" i="6"/>
  <c r="AM22" i="6"/>
  <c r="AM30" i="6"/>
  <c r="AM38" i="6"/>
  <c r="AM46" i="6"/>
  <c r="AM54" i="6"/>
  <c r="AN18" i="6"/>
  <c r="AN26" i="6"/>
  <c r="AN34" i="6"/>
  <c r="AN42" i="6"/>
  <c r="AN50" i="6"/>
  <c r="AN58" i="6"/>
  <c r="AO22" i="6"/>
  <c r="AO30" i="6"/>
  <c r="AO38" i="6"/>
  <c r="AO46" i="6"/>
  <c r="AO54" i="6"/>
  <c r="AP18" i="6"/>
  <c r="AP26" i="6"/>
  <c r="AP34" i="6"/>
  <c r="AP42" i="6"/>
  <c r="AP50" i="6"/>
  <c r="AP58" i="6"/>
  <c r="AQ22" i="6"/>
  <c r="AQ30" i="6"/>
  <c r="AQ38" i="6"/>
  <c r="AQ46" i="6"/>
  <c r="AQ54" i="6"/>
  <c r="AR18" i="6"/>
  <c r="AR26" i="6"/>
  <c r="AR34" i="6"/>
  <c r="AR42" i="6"/>
  <c r="AR50" i="6"/>
  <c r="AR58" i="6"/>
  <c r="AS22" i="6"/>
  <c r="AS30" i="6"/>
  <c r="AS38" i="6"/>
  <c r="AS46" i="6"/>
  <c r="AS54" i="6"/>
  <c r="AT18" i="6"/>
  <c r="AT26" i="6"/>
  <c r="AT34" i="6"/>
  <c r="AT42" i="6"/>
  <c r="AT50" i="6"/>
  <c r="AT58" i="6"/>
  <c r="AU22" i="6"/>
  <c r="AU30" i="6"/>
  <c r="AU38" i="6"/>
  <c r="AU46" i="6"/>
  <c r="AU54" i="6"/>
  <c r="AV18" i="6"/>
  <c r="AV26" i="6"/>
  <c r="AV34" i="6"/>
  <c r="AV42" i="6"/>
  <c r="BI32" i="6"/>
  <c r="BH61" i="6"/>
  <c r="BH43" i="6"/>
  <c r="BH25" i="6"/>
  <c r="BH16" i="6"/>
  <c r="BH16" i="7"/>
  <c r="BG60" i="6"/>
  <c r="BG40" i="6"/>
  <c r="BG21" i="6"/>
  <c r="BG4" i="6"/>
  <c r="BG4" i="7"/>
  <c r="BF44" i="6"/>
  <c r="BF26" i="6"/>
  <c r="BF9" i="6"/>
  <c r="BF9" i="7"/>
  <c r="BE51" i="6"/>
  <c r="BE31" i="6"/>
  <c r="BE13" i="6"/>
  <c r="BE13" i="7"/>
  <c r="BD57" i="6"/>
  <c r="BD36" i="6"/>
  <c r="BD18" i="6"/>
  <c r="BD2" i="6"/>
  <c r="BD2" i="7"/>
  <c r="BC40" i="6"/>
  <c r="BC21" i="6"/>
  <c r="BC4" i="6"/>
  <c r="BC4" i="7"/>
  <c r="BB47" i="6"/>
  <c r="BB27" i="6"/>
  <c r="BB18" i="6"/>
  <c r="BB2" i="6"/>
  <c r="BB2" i="7"/>
  <c r="BA41" i="6"/>
  <c r="BA23" i="6"/>
  <c r="BA6" i="6"/>
  <c r="BA6" i="7"/>
  <c r="AZ47" i="6"/>
  <c r="AZ27" i="6"/>
  <c r="AZ18" i="6"/>
  <c r="AZ2" i="6"/>
  <c r="AZ2" i="7"/>
  <c r="AY41" i="6"/>
  <c r="AY22" i="6"/>
  <c r="AY5" i="6"/>
  <c r="AY5" i="7"/>
  <c r="AX47" i="6"/>
  <c r="AX28" i="6"/>
  <c r="AX11" i="6"/>
  <c r="AX11" i="7"/>
  <c r="AW53" i="6"/>
  <c r="AW32" i="6"/>
  <c r="AW14" i="6"/>
  <c r="AW14" i="7"/>
  <c r="AV58" i="6"/>
  <c r="AV35" i="6"/>
  <c r="AT45" i="6"/>
  <c r="BI61" i="6"/>
  <c r="BI31" i="6"/>
  <c r="BI12" i="6"/>
  <c r="BI12" i="7"/>
  <c r="BH60" i="6"/>
  <c r="BH51" i="6"/>
  <c r="BH42" i="6"/>
  <c r="BH33" i="6"/>
  <c r="BH24" i="6"/>
  <c r="BH15" i="6"/>
  <c r="BH15" i="7"/>
  <c r="BH7" i="6"/>
  <c r="BH7" i="7"/>
  <c r="BG59" i="6"/>
  <c r="BG49" i="6"/>
  <c r="BG39" i="6"/>
  <c r="BG29" i="6"/>
  <c r="BG20" i="6"/>
  <c r="BG11" i="6"/>
  <c r="BG11" i="7"/>
  <c r="BG3" i="6"/>
  <c r="BG3" i="7"/>
  <c r="BF53" i="6"/>
  <c r="BF43" i="6"/>
  <c r="BF34" i="6"/>
  <c r="BF25" i="6"/>
  <c r="BF16" i="6"/>
  <c r="BF16" i="7"/>
  <c r="BF8" i="6"/>
  <c r="BF8" i="7"/>
  <c r="BE59" i="6"/>
  <c r="BE49" i="6"/>
  <c r="BE40" i="6"/>
  <c r="BE30" i="6"/>
  <c r="BE21" i="6"/>
  <c r="BE12" i="6"/>
  <c r="BE12" i="7"/>
  <c r="BE4" i="6"/>
  <c r="BE4" i="7"/>
  <c r="BD55" i="6"/>
  <c r="BD45" i="6"/>
  <c r="BD35" i="6"/>
  <c r="BD26" i="6"/>
  <c r="BD17" i="6"/>
  <c r="BD17" i="7"/>
  <c r="BD9" i="6"/>
  <c r="BD9" i="7"/>
  <c r="BC61" i="6"/>
  <c r="BC49" i="6"/>
  <c r="BC39" i="6"/>
  <c r="BC29" i="6"/>
  <c r="BC20" i="6"/>
  <c r="BC11" i="6"/>
  <c r="BC11" i="7"/>
  <c r="BC3" i="6"/>
  <c r="BC3" i="7"/>
  <c r="BB55" i="6"/>
  <c r="BB45" i="6"/>
  <c r="BB35" i="6"/>
  <c r="BB26" i="6"/>
  <c r="BB17" i="6"/>
  <c r="BB17" i="7"/>
  <c r="BB9" i="6"/>
  <c r="BB9" i="7"/>
  <c r="BA61" i="6"/>
  <c r="BA51" i="6"/>
  <c r="BA40" i="6"/>
  <c r="BA31" i="6"/>
  <c r="BA22" i="6"/>
  <c r="BA13" i="6"/>
  <c r="BA13" i="7"/>
  <c r="BA5" i="6"/>
  <c r="BA5" i="7"/>
  <c r="AZ57" i="6"/>
  <c r="AZ45" i="6"/>
  <c r="AZ35" i="6"/>
  <c r="AZ26" i="6"/>
  <c r="AZ17" i="6"/>
  <c r="AZ17" i="7"/>
  <c r="AZ9" i="6"/>
  <c r="AZ9" i="7"/>
  <c r="AY61" i="6"/>
  <c r="AY51" i="6"/>
  <c r="AY40" i="6"/>
  <c r="AY30" i="6"/>
  <c r="AY21" i="6"/>
  <c r="AY12" i="6"/>
  <c r="AY12" i="7"/>
  <c r="AY4" i="6"/>
  <c r="AY4" i="7"/>
  <c r="AX56" i="6"/>
  <c r="AX45" i="6"/>
  <c r="AX36" i="6"/>
  <c r="AX27" i="6"/>
  <c r="AX18" i="6"/>
  <c r="AX10" i="6"/>
  <c r="AX10" i="7"/>
  <c r="AX2" i="6"/>
  <c r="AX2" i="7"/>
  <c r="AW51" i="6"/>
  <c r="AW40" i="6"/>
  <c r="AW31" i="6"/>
  <c r="AW22" i="6"/>
  <c r="AW13" i="6"/>
  <c r="AW13" i="7"/>
  <c r="AW5" i="6"/>
  <c r="AW5" i="7"/>
  <c r="AV57" i="6"/>
  <c r="AV45" i="6"/>
  <c r="AV33" i="6"/>
  <c r="AV23" i="6"/>
  <c r="AV13" i="6"/>
  <c r="AV13" i="7"/>
  <c r="AV5" i="6"/>
  <c r="AV5" i="7"/>
  <c r="AU55" i="6"/>
  <c r="AU43" i="6"/>
  <c r="AU32" i="6"/>
  <c r="AU21" i="6"/>
  <c r="AU12" i="6"/>
  <c r="AU12" i="7"/>
  <c r="AU4" i="6"/>
  <c r="AU4" i="7"/>
  <c r="AT55" i="6"/>
  <c r="AT44" i="6"/>
  <c r="AT32" i="6"/>
  <c r="AT21" i="6"/>
  <c r="AT12" i="6"/>
  <c r="AT12" i="7"/>
  <c r="AT4" i="6"/>
  <c r="AT4" i="7"/>
  <c r="AS55" i="6"/>
  <c r="AS41" i="6"/>
  <c r="AS29" i="6"/>
  <c r="AS19" i="6"/>
  <c r="AS10" i="6"/>
  <c r="AS10" i="7"/>
  <c r="AS2" i="6"/>
  <c r="AS2" i="7"/>
  <c r="AR49" i="6"/>
  <c r="AR36" i="6"/>
  <c r="AR24" i="6"/>
  <c r="AR13" i="6"/>
  <c r="AR13" i="7"/>
  <c r="AR5" i="6"/>
  <c r="AR5" i="7"/>
  <c r="AQ53" i="6"/>
  <c r="AQ40" i="6"/>
  <c r="AQ27" i="6"/>
  <c r="AQ15" i="6"/>
  <c r="AQ15" i="7"/>
  <c r="AQ7" i="6"/>
  <c r="AQ7" i="7"/>
  <c r="AP57" i="6"/>
  <c r="AP43" i="6"/>
  <c r="AP31" i="6"/>
  <c r="AP19" i="6"/>
  <c r="AP10" i="6"/>
  <c r="AP10" i="7"/>
  <c r="AP2" i="6"/>
  <c r="AP2" i="7"/>
  <c r="AO52" i="6"/>
  <c r="AO39" i="6"/>
  <c r="AO25" i="6"/>
  <c r="AO15" i="6"/>
  <c r="AO15" i="7"/>
  <c r="AO7" i="6"/>
  <c r="AO7" i="7"/>
  <c r="AN59" i="6"/>
  <c r="AN44" i="6"/>
  <c r="AN31" i="6"/>
  <c r="AN19" i="6"/>
  <c r="AN10" i="6"/>
  <c r="AN10" i="7"/>
  <c r="AN2" i="6"/>
  <c r="AN2" i="7"/>
  <c r="AM48" i="6"/>
  <c r="AM35" i="6"/>
  <c r="AM24" i="6"/>
  <c r="AM13" i="6"/>
  <c r="AM13" i="7"/>
  <c r="AM5" i="6"/>
  <c r="AM5" i="7"/>
  <c r="AL52" i="6"/>
  <c r="AL37" i="6"/>
  <c r="AL25" i="6"/>
  <c r="AL14" i="6"/>
  <c r="AL14" i="7"/>
  <c r="AL6" i="6"/>
  <c r="AL6" i="7"/>
  <c r="AK56" i="6"/>
  <c r="AK40" i="6"/>
  <c r="AK27" i="6"/>
  <c r="AK15" i="6"/>
  <c r="AK15" i="7"/>
  <c r="AK7" i="6"/>
  <c r="AK7" i="7"/>
  <c r="AJ57" i="6"/>
  <c r="AJ41" i="6"/>
  <c r="AJ27" i="6"/>
  <c r="AJ15" i="6"/>
  <c r="AJ15" i="7"/>
  <c r="AJ7" i="6"/>
  <c r="AJ7" i="7"/>
  <c r="AI59" i="6"/>
  <c r="AI44" i="6"/>
  <c r="AI29" i="6"/>
  <c r="AI17" i="6"/>
  <c r="AI17" i="7"/>
  <c r="AI9" i="6"/>
  <c r="AI9" i="7"/>
  <c r="AH60" i="6"/>
  <c r="AH44" i="6"/>
  <c r="AH32" i="6"/>
  <c r="AH19" i="6"/>
  <c r="AH10" i="6"/>
  <c r="AH10" i="7"/>
  <c r="AH2" i="6"/>
  <c r="AH2" i="7"/>
  <c r="AG45" i="6"/>
  <c r="AG29" i="6"/>
  <c r="AG16" i="6"/>
  <c r="AG16" i="7"/>
  <c r="AG8" i="6"/>
  <c r="AG8" i="7"/>
  <c r="AF57" i="6"/>
  <c r="AF40" i="6"/>
  <c r="AF25" i="6"/>
  <c r="AF14" i="6"/>
  <c r="AF14" i="7"/>
  <c r="AF6" i="6"/>
  <c r="AF6" i="7"/>
  <c r="AE57" i="6"/>
  <c r="AE43" i="6"/>
  <c r="AE28" i="6"/>
  <c r="AE16" i="6"/>
  <c r="AE16" i="7"/>
  <c r="AE8" i="6"/>
  <c r="AE8" i="7"/>
  <c r="AD59" i="6"/>
  <c r="AD44" i="6"/>
  <c r="AD31" i="6"/>
  <c r="AD17" i="6"/>
  <c r="AD17" i="7"/>
  <c r="AD9" i="6"/>
  <c r="AD9" i="7"/>
  <c r="AC61" i="6"/>
  <c r="AC51" i="6"/>
  <c r="AC40" i="6"/>
  <c r="AC29" i="6"/>
  <c r="AC19" i="6"/>
  <c r="AC10" i="6"/>
  <c r="AC10" i="7"/>
  <c r="AC2" i="6"/>
  <c r="AC2" i="7"/>
  <c r="AB52" i="6"/>
  <c r="AB41" i="6"/>
  <c r="AB31" i="6"/>
  <c r="AB20" i="6"/>
  <c r="AB11" i="6"/>
  <c r="AB11" i="7"/>
  <c r="AB3" i="6"/>
  <c r="AB3" i="7"/>
  <c r="AA53" i="6"/>
  <c r="AA43" i="6"/>
  <c r="AA32" i="6"/>
  <c r="AA21" i="6"/>
  <c r="AA12" i="6"/>
  <c r="AA12" i="7"/>
  <c r="AA4" i="6"/>
  <c r="AA4" i="7"/>
  <c r="Z56" i="6"/>
  <c r="Z48" i="6"/>
  <c r="Z40" i="6"/>
  <c r="Z32" i="6"/>
  <c r="Z24" i="6"/>
  <c r="Z16" i="6"/>
  <c r="Z16" i="7"/>
  <c r="Z8" i="6"/>
  <c r="Z8" i="7"/>
  <c r="Y60" i="6"/>
  <c r="Y52" i="6"/>
  <c r="Y44" i="6"/>
  <c r="Y36" i="6"/>
  <c r="Y28" i="6"/>
  <c r="Y20" i="6"/>
  <c r="Y12" i="6"/>
  <c r="Y12" i="7"/>
  <c r="Y4" i="6"/>
  <c r="Y4" i="7"/>
  <c r="X56" i="6"/>
  <c r="X56" i="7"/>
  <c r="X48" i="6"/>
  <c r="X48" i="7"/>
  <c r="X40" i="6"/>
  <c r="X40" i="7"/>
  <c r="X32" i="6"/>
  <c r="X32" i="7"/>
  <c r="X24" i="6"/>
  <c r="X24" i="7"/>
  <c r="X16" i="6"/>
  <c r="X16" i="7"/>
  <c r="X8" i="6"/>
  <c r="X8" i="7"/>
  <c r="W60" i="6"/>
  <c r="W60" i="7"/>
  <c r="W52" i="6"/>
  <c r="W52" i="7"/>
  <c r="W44" i="6"/>
  <c r="W44" i="7"/>
  <c r="W36" i="6"/>
  <c r="W36" i="7"/>
  <c r="W28" i="6"/>
  <c r="W28" i="7"/>
  <c r="W20" i="6"/>
  <c r="W20" i="7"/>
  <c r="W12" i="6"/>
  <c r="W12" i="7"/>
  <c r="W4" i="6"/>
  <c r="W4" i="7"/>
  <c r="V56" i="6"/>
  <c r="V56" i="7"/>
  <c r="V48" i="6"/>
  <c r="V48" i="7"/>
  <c r="V40" i="6"/>
  <c r="V40" i="7"/>
  <c r="V32" i="6"/>
  <c r="V32" i="7"/>
  <c r="V24" i="6"/>
  <c r="V24" i="7"/>
  <c r="V16" i="6"/>
  <c r="V16" i="7"/>
  <c r="V8" i="6"/>
  <c r="V8" i="7"/>
  <c r="U60" i="6"/>
  <c r="U60" i="7"/>
  <c r="U52" i="6"/>
  <c r="U52" i="7"/>
  <c r="U44" i="6"/>
  <c r="U44" i="7"/>
  <c r="U36" i="6"/>
  <c r="U36" i="7"/>
  <c r="U28" i="6"/>
  <c r="U28" i="7"/>
  <c r="U20" i="6"/>
  <c r="U20" i="7"/>
  <c r="U12" i="6"/>
  <c r="U12" i="7"/>
  <c r="U4" i="6"/>
  <c r="U4" i="7"/>
  <c r="T56" i="6"/>
  <c r="T56" i="7"/>
  <c r="T48" i="6"/>
  <c r="T48" i="7"/>
  <c r="T40" i="6"/>
  <c r="T40" i="7"/>
  <c r="T32" i="6"/>
  <c r="T32" i="7"/>
  <c r="T24" i="6"/>
  <c r="T24" i="7"/>
  <c r="T16" i="6"/>
  <c r="T16" i="7"/>
  <c r="T8" i="6"/>
  <c r="T8" i="7"/>
  <c r="S60" i="6"/>
  <c r="S60" i="7"/>
  <c r="S52" i="6"/>
  <c r="S52" i="7"/>
  <c r="S44" i="6"/>
  <c r="S44" i="7"/>
  <c r="S36" i="6"/>
  <c r="S36" i="7"/>
  <c r="S28" i="6"/>
  <c r="S28" i="7"/>
  <c r="S20" i="6"/>
  <c r="S20" i="7"/>
  <c r="S12" i="6"/>
  <c r="S12" i="7"/>
  <c r="S4" i="6"/>
  <c r="S4" i="7"/>
  <c r="R56" i="6"/>
  <c r="R56" i="7"/>
  <c r="R48" i="6"/>
  <c r="R48" i="7"/>
  <c r="R40" i="6"/>
  <c r="R40" i="7"/>
  <c r="R32" i="6"/>
  <c r="R32" i="7"/>
  <c r="R24" i="6"/>
  <c r="R24" i="7"/>
  <c r="R16" i="6"/>
  <c r="R16" i="7"/>
  <c r="R8" i="6"/>
  <c r="R8" i="7"/>
  <c r="Q60" i="6"/>
  <c r="Q60" i="7"/>
  <c r="Q52" i="6"/>
  <c r="Q52" i="7"/>
  <c r="Q44" i="6"/>
  <c r="Q44" i="7"/>
  <c r="Q36" i="6"/>
  <c r="Q36" i="7"/>
  <c r="Q28" i="6"/>
  <c r="Q28" i="7"/>
  <c r="Q20" i="6"/>
  <c r="Q20" i="7"/>
  <c r="Q12" i="6"/>
  <c r="Q12" i="7"/>
  <c r="Q4" i="6"/>
  <c r="Q4" i="7"/>
  <c r="P56" i="6"/>
  <c r="P56" i="7"/>
  <c r="P48" i="6"/>
  <c r="P48" i="7"/>
  <c r="P40" i="6"/>
  <c r="P40" i="7"/>
  <c r="P32" i="6"/>
  <c r="P32" i="7"/>
  <c r="P24" i="6"/>
  <c r="P24" i="7"/>
  <c r="P16" i="6"/>
  <c r="P16" i="7"/>
  <c r="P8" i="6"/>
  <c r="P8" i="7"/>
  <c r="O60" i="6"/>
  <c r="O60" i="7"/>
  <c r="O52" i="6"/>
  <c r="O52" i="7"/>
  <c r="O44" i="6"/>
  <c r="O44" i="7"/>
  <c r="O36" i="6"/>
  <c r="O36" i="7"/>
  <c r="O28" i="6"/>
  <c r="O28" i="7"/>
  <c r="O20" i="6"/>
  <c r="O20" i="7"/>
  <c r="O12" i="6"/>
  <c r="O12" i="7"/>
  <c r="O4" i="6"/>
  <c r="O4" i="7"/>
  <c r="N56" i="6"/>
  <c r="N56" i="7"/>
  <c r="N48" i="6"/>
  <c r="N48" i="7"/>
  <c r="N40" i="6"/>
  <c r="N40" i="7"/>
  <c r="N32" i="6"/>
  <c r="N32" i="7"/>
  <c r="N24" i="6"/>
  <c r="N24" i="7"/>
  <c r="N16" i="6"/>
  <c r="N16" i="7"/>
  <c r="N8" i="6"/>
  <c r="N8" i="7"/>
  <c r="M60" i="6"/>
  <c r="M60" i="7"/>
  <c r="M52" i="6"/>
  <c r="M52" i="7"/>
  <c r="M44" i="6"/>
  <c r="M44" i="7"/>
  <c r="M36" i="6"/>
  <c r="M36" i="7"/>
  <c r="M28" i="6"/>
  <c r="M28" i="7"/>
  <c r="M20" i="6"/>
  <c r="M20" i="7"/>
  <c r="M12" i="6"/>
  <c r="M12" i="7"/>
  <c r="M4" i="6"/>
  <c r="M4" i="7"/>
  <c r="L56" i="6"/>
  <c r="L56" i="7"/>
  <c r="L48" i="6"/>
  <c r="L48" i="7"/>
  <c r="L40" i="6"/>
  <c r="L40" i="7"/>
  <c r="L32" i="6"/>
  <c r="L32" i="7"/>
  <c r="L24" i="6"/>
  <c r="L24" i="7"/>
  <c r="L16" i="6"/>
  <c r="L16" i="7"/>
  <c r="L8" i="6"/>
  <c r="L8" i="7"/>
  <c r="K60" i="6"/>
  <c r="K60" i="7"/>
  <c r="K52" i="6"/>
  <c r="K52" i="7"/>
  <c r="K44" i="6"/>
  <c r="K44" i="7"/>
  <c r="K36" i="6"/>
  <c r="K36" i="7"/>
  <c r="K28" i="6"/>
  <c r="K28" i="7"/>
  <c r="K20" i="6"/>
  <c r="K20" i="7"/>
  <c r="K12" i="6"/>
  <c r="K12" i="7"/>
  <c r="K4" i="6"/>
  <c r="K4" i="7"/>
  <c r="J56" i="6"/>
  <c r="J56" i="7"/>
  <c r="J48" i="6"/>
  <c r="J48" i="7"/>
  <c r="J40" i="6"/>
  <c r="J40" i="7"/>
  <c r="J32" i="6"/>
  <c r="J32" i="7"/>
  <c r="J24" i="6"/>
  <c r="J24" i="7"/>
  <c r="J16" i="6"/>
  <c r="J16" i="7"/>
  <c r="J8" i="6"/>
  <c r="J8" i="7"/>
  <c r="I60" i="6"/>
  <c r="I60" i="7"/>
  <c r="I52" i="6"/>
  <c r="I52" i="7"/>
  <c r="I44" i="6"/>
  <c r="I44" i="7"/>
  <c r="I36" i="6"/>
  <c r="I36" i="7"/>
  <c r="I28" i="6"/>
  <c r="I28" i="7"/>
  <c r="I20" i="6"/>
  <c r="I20" i="7"/>
  <c r="I12" i="6"/>
  <c r="I12" i="7"/>
  <c r="I4" i="6"/>
  <c r="I4" i="7"/>
  <c r="H56" i="6"/>
  <c r="H56" i="7"/>
  <c r="H48" i="6"/>
  <c r="H48" i="7"/>
  <c r="H40" i="6"/>
  <c r="H40" i="7"/>
  <c r="H32" i="6"/>
  <c r="H32" i="7"/>
  <c r="H24" i="6"/>
  <c r="H24" i="7"/>
  <c r="H16" i="6"/>
  <c r="H16" i="7"/>
  <c r="H8" i="6"/>
  <c r="H8" i="7"/>
  <c r="G60" i="6"/>
  <c r="G60" i="7"/>
  <c r="G52" i="6"/>
  <c r="G52" i="7"/>
  <c r="G44" i="6"/>
  <c r="G44" i="7"/>
  <c r="G36" i="6"/>
  <c r="G36" i="7"/>
  <c r="G28" i="6"/>
  <c r="G28" i="7"/>
  <c r="G20" i="6"/>
  <c r="G20" i="7"/>
  <c r="G12" i="6"/>
  <c r="G12" i="7"/>
  <c r="G4" i="6"/>
  <c r="G4" i="7"/>
  <c r="F56" i="6"/>
  <c r="F56" i="7"/>
  <c r="F48" i="6"/>
  <c r="F48" i="7"/>
  <c r="F40" i="6"/>
  <c r="F40" i="7"/>
  <c r="F32" i="6"/>
  <c r="F32" i="7"/>
  <c r="F24" i="6"/>
  <c r="F24" i="7"/>
  <c r="F16" i="6"/>
  <c r="F16" i="7"/>
  <c r="F8" i="6"/>
  <c r="F8" i="7"/>
  <c r="E60" i="6"/>
  <c r="E60" i="7"/>
  <c r="E52" i="6"/>
  <c r="E52" i="7"/>
  <c r="E44" i="6"/>
  <c r="E44" i="7"/>
  <c r="E36" i="6"/>
  <c r="E36" i="7"/>
  <c r="E28" i="6"/>
  <c r="E28" i="7"/>
  <c r="E20" i="6"/>
  <c r="E20" i="7"/>
  <c r="E12" i="6"/>
  <c r="E12" i="7"/>
  <c r="E4" i="6"/>
  <c r="E4" i="7"/>
  <c r="D56" i="6"/>
  <c r="D56" i="7"/>
  <c r="D48" i="6"/>
  <c r="D48" i="7"/>
  <c r="D40" i="6"/>
  <c r="D40" i="7"/>
  <c r="D32" i="6"/>
  <c r="D32" i="7"/>
  <c r="D24" i="6"/>
  <c r="D24" i="7"/>
  <c r="D16" i="6"/>
  <c r="D16" i="7"/>
  <c r="D8" i="6"/>
  <c r="D8" i="7"/>
  <c r="C60" i="6"/>
  <c r="C60" i="7"/>
  <c r="C52" i="6"/>
  <c r="C52" i="7"/>
  <c r="C44" i="6"/>
  <c r="C44" i="7"/>
  <c r="C36" i="6"/>
  <c r="C36" i="7"/>
  <c r="C28" i="6"/>
  <c r="C28" i="7"/>
  <c r="C20" i="6"/>
  <c r="C20" i="7"/>
  <c r="C12" i="6"/>
  <c r="C12" i="7"/>
  <c r="C4" i="6"/>
  <c r="C4" i="7"/>
  <c r="B56" i="6"/>
  <c r="B56" i="7"/>
  <c r="B48" i="6"/>
  <c r="B48" i="7"/>
  <c r="B40" i="6"/>
  <c r="B40" i="7"/>
  <c r="B32" i="6"/>
  <c r="B32" i="7"/>
  <c r="B24" i="6"/>
  <c r="B24" i="7"/>
  <c r="B16" i="6"/>
  <c r="B16" i="7"/>
  <c r="B8" i="6"/>
  <c r="B8" i="7"/>
  <c r="BI6" i="6"/>
  <c r="BI6" i="7"/>
  <c r="BI18" i="6"/>
  <c r="AD45" i="6"/>
  <c r="AF29" i="6"/>
  <c r="AG55" i="6"/>
  <c r="AI55" i="6"/>
  <c r="AL45" i="6"/>
  <c r="AP45" i="6"/>
  <c r="BF59" i="2"/>
  <c r="BG59" i="2"/>
  <c r="BH59" i="2"/>
  <c r="BI59" i="2"/>
  <c r="D66" i="2" s="1"/>
  <c r="BF60" i="2"/>
  <c r="BG60" i="2"/>
  <c r="BH60" i="2"/>
  <c r="BI60" i="2"/>
  <c r="C66" i="2" s="1"/>
  <c r="BF61" i="2"/>
  <c r="BG61" i="2"/>
  <c r="B68" i="2" s="1"/>
  <c r="BH61" i="2"/>
  <c r="B67" i="2" s="1"/>
  <c r="BI61" i="2"/>
  <c r="B66" i="2" s="1"/>
  <c r="BH58" i="2"/>
  <c r="E67" i="2" s="1"/>
  <c r="BI58" i="2"/>
  <c r="E66" i="2" s="1"/>
  <c r="C67" i="2"/>
  <c r="D67" i="2"/>
  <c r="C68" i="2"/>
  <c r="D68" i="2"/>
  <c r="B69" i="2"/>
  <c r="C69" i="2"/>
  <c r="D69" i="2"/>
  <c r="B3" i="2"/>
  <c r="BH125" i="2" s="1"/>
  <c r="C3" i="2"/>
  <c r="BH124" i="2" s="1"/>
  <c r="D3" i="2"/>
  <c r="BH123" i="2" s="1"/>
  <c r="E3" i="2"/>
  <c r="BH122" i="2" s="1"/>
  <c r="F3" i="2"/>
  <c r="BH121" i="2" s="1"/>
  <c r="G3" i="2"/>
  <c r="BH120" i="2" s="1"/>
  <c r="H3" i="2"/>
  <c r="BH119" i="2" s="1"/>
  <c r="I3" i="2"/>
  <c r="BH118" i="2" s="1"/>
  <c r="J3" i="2"/>
  <c r="BH117" i="2" s="1"/>
  <c r="K3" i="2"/>
  <c r="BH116" i="2" s="1"/>
  <c r="L3" i="2"/>
  <c r="BH115" i="2" s="1"/>
  <c r="M3" i="2"/>
  <c r="BH114" i="2" s="1"/>
  <c r="N3" i="2"/>
  <c r="BH113" i="2" s="1"/>
  <c r="O3" i="2"/>
  <c r="BH112" i="2" s="1"/>
  <c r="P3" i="2"/>
  <c r="BH111" i="2" s="1"/>
  <c r="Q3" i="2"/>
  <c r="BH110" i="2" s="1"/>
  <c r="R3" i="2"/>
  <c r="BH109" i="2" s="1"/>
  <c r="S3" i="2"/>
  <c r="BH108" i="2" s="1"/>
  <c r="T3" i="2"/>
  <c r="BH107" i="2" s="1"/>
  <c r="U3" i="2"/>
  <c r="BH106" i="2" s="1"/>
  <c r="V3" i="2"/>
  <c r="BH105" i="2" s="1"/>
  <c r="W3" i="2"/>
  <c r="BH104" i="2" s="1"/>
  <c r="X3" i="2"/>
  <c r="BH103" i="2" s="1"/>
  <c r="Y3" i="2"/>
  <c r="BH102" i="2" s="1"/>
  <c r="Z3" i="2"/>
  <c r="BH101" i="2" s="1"/>
  <c r="AA3" i="2"/>
  <c r="BH100" i="2" s="1"/>
  <c r="AB3" i="2"/>
  <c r="BH99" i="2" s="1"/>
  <c r="AC3" i="2"/>
  <c r="BH98" i="2" s="1"/>
  <c r="AD3" i="2"/>
  <c r="BH97" i="2" s="1"/>
  <c r="AE3" i="2"/>
  <c r="BH96" i="2" s="1"/>
  <c r="AF3" i="2"/>
  <c r="BH95" i="2" s="1"/>
  <c r="AG3" i="2"/>
  <c r="BH94" i="2" s="1"/>
  <c r="AH3" i="2"/>
  <c r="BH93" i="2" s="1"/>
  <c r="AI3" i="2"/>
  <c r="BH92" i="2" s="1"/>
  <c r="AJ3" i="2"/>
  <c r="BH91" i="2" s="1"/>
  <c r="BH90" i="2"/>
  <c r="AL3" i="2"/>
  <c r="BH89" i="2" s="1"/>
  <c r="AM3" i="2"/>
  <c r="BH88" i="2" s="1"/>
  <c r="AN3" i="2"/>
  <c r="BH87" i="2" s="1"/>
  <c r="AO3" i="2"/>
  <c r="BH86" i="2" s="1"/>
  <c r="AP3" i="2"/>
  <c r="BH85" i="2" s="1"/>
  <c r="AQ3" i="2"/>
  <c r="BH84" i="2" s="1"/>
  <c r="AR3" i="2"/>
  <c r="BH83" i="2" s="1"/>
  <c r="AS3" i="2"/>
  <c r="BH82" i="2" s="1"/>
  <c r="AT3" i="2"/>
  <c r="BH81" i="2" s="1"/>
  <c r="AU3" i="2"/>
  <c r="BH80" i="2" s="1"/>
  <c r="AV3" i="2"/>
  <c r="BH79" i="2" s="1"/>
  <c r="AW3" i="2"/>
  <c r="BH78" i="2" s="1"/>
  <c r="AX3" i="2"/>
  <c r="BH77" i="2" s="1"/>
  <c r="AY3" i="2"/>
  <c r="BH76" i="2" s="1"/>
  <c r="AZ3" i="2"/>
  <c r="BH75" i="2" s="1"/>
  <c r="BA3" i="2"/>
  <c r="BH74" i="2" s="1"/>
  <c r="BB3" i="2"/>
  <c r="BH73" i="2" s="1"/>
  <c r="BC3" i="2"/>
  <c r="BH72" i="2" s="1"/>
  <c r="BD3" i="2"/>
  <c r="BH71" i="2" s="1"/>
  <c r="BE3" i="2"/>
  <c r="BH70" i="2" s="1"/>
  <c r="BF3" i="2"/>
  <c r="BH69" i="2" s="1"/>
  <c r="BG3" i="2"/>
  <c r="BH68" i="2" s="1"/>
  <c r="BH3" i="2"/>
  <c r="BH67" i="2" s="1"/>
  <c r="BI3" i="2"/>
  <c r="BH66" i="2" s="1"/>
  <c r="B4" i="2"/>
  <c r="BG125" i="2" s="1"/>
  <c r="C4" i="2"/>
  <c r="BG124" i="2" s="1"/>
  <c r="D4" i="2"/>
  <c r="BG123" i="2" s="1"/>
  <c r="E4" i="2"/>
  <c r="BG122" i="2" s="1"/>
  <c r="F4" i="2"/>
  <c r="BG121" i="2" s="1"/>
  <c r="G4" i="2"/>
  <c r="BG120" i="2" s="1"/>
  <c r="H4" i="2"/>
  <c r="BG119" i="2" s="1"/>
  <c r="I4" i="2"/>
  <c r="BG118" i="2" s="1"/>
  <c r="J4" i="2"/>
  <c r="BG117" i="2" s="1"/>
  <c r="K4" i="2"/>
  <c r="BG116" i="2" s="1"/>
  <c r="L4" i="2"/>
  <c r="BG115" i="2" s="1"/>
  <c r="M4" i="2"/>
  <c r="BG114" i="2" s="1"/>
  <c r="N4" i="2"/>
  <c r="BG113" i="2" s="1"/>
  <c r="O4" i="2"/>
  <c r="BG112" i="2" s="1"/>
  <c r="P4" i="2"/>
  <c r="BG111" i="2" s="1"/>
  <c r="Q4" i="2"/>
  <c r="BG110" i="2" s="1"/>
  <c r="R4" i="2"/>
  <c r="BG109" i="2" s="1"/>
  <c r="S4" i="2"/>
  <c r="BG108" i="2" s="1"/>
  <c r="T4" i="2"/>
  <c r="BG107" i="2" s="1"/>
  <c r="U4" i="2"/>
  <c r="BG106" i="2" s="1"/>
  <c r="V4" i="2"/>
  <c r="BG105" i="2" s="1"/>
  <c r="W4" i="2"/>
  <c r="BG104" i="2" s="1"/>
  <c r="X4" i="2"/>
  <c r="BG103" i="2" s="1"/>
  <c r="Y4" i="2"/>
  <c r="BG102" i="2" s="1"/>
  <c r="Z4" i="2"/>
  <c r="BG101" i="2" s="1"/>
  <c r="AA4" i="2"/>
  <c r="BG100" i="2" s="1"/>
  <c r="AB4" i="2"/>
  <c r="BG99" i="2" s="1"/>
  <c r="AC4" i="2"/>
  <c r="BG98" i="2" s="1"/>
  <c r="AD4" i="2"/>
  <c r="BG97" i="2" s="1"/>
  <c r="AE4" i="2"/>
  <c r="BG96" i="2" s="1"/>
  <c r="AF4" i="2"/>
  <c r="BG95" i="2" s="1"/>
  <c r="AG4" i="2"/>
  <c r="BG94" i="2" s="1"/>
  <c r="AH4" i="2"/>
  <c r="BG93" i="2" s="1"/>
  <c r="AI4" i="2"/>
  <c r="BG92" i="2" s="1"/>
  <c r="AJ4" i="2"/>
  <c r="BG91" i="2" s="1"/>
  <c r="BG90" i="2"/>
  <c r="AL4" i="2"/>
  <c r="BG89" i="2" s="1"/>
  <c r="AM4" i="2"/>
  <c r="BG88" i="2" s="1"/>
  <c r="AN4" i="2"/>
  <c r="BG87" i="2" s="1"/>
  <c r="AO4" i="2"/>
  <c r="BG86" i="2" s="1"/>
  <c r="AP4" i="2"/>
  <c r="BG85" i="2" s="1"/>
  <c r="AQ4" i="2"/>
  <c r="BG84" i="2" s="1"/>
  <c r="AR4" i="2"/>
  <c r="BG83" i="2" s="1"/>
  <c r="AS4" i="2"/>
  <c r="BG82" i="2" s="1"/>
  <c r="AT4" i="2"/>
  <c r="BG81" i="2" s="1"/>
  <c r="AU4" i="2"/>
  <c r="BG80" i="2" s="1"/>
  <c r="AV4" i="2"/>
  <c r="BG79" i="2" s="1"/>
  <c r="AW4" i="2"/>
  <c r="BG78" i="2" s="1"/>
  <c r="AX4" i="2"/>
  <c r="BG77" i="2" s="1"/>
  <c r="AY4" i="2"/>
  <c r="BG76" i="2" s="1"/>
  <c r="AZ4" i="2"/>
  <c r="BG75" i="2" s="1"/>
  <c r="BA4" i="2"/>
  <c r="BG74" i="2" s="1"/>
  <c r="BB4" i="2"/>
  <c r="BG73" i="2" s="1"/>
  <c r="BC4" i="2"/>
  <c r="BG72" i="2" s="1"/>
  <c r="BD4" i="2"/>
  <c r="BG71" i="2" s="1"/>
  <c r="BE4" i="2"/>
  <c r="BG70" i="2" s="1"/>
  <c r="BF4" i="2"/>
  <c r="BG69" i="2" s="1"/>
  <c r="BG4" i="2"/>
  <c r="BG68" i="2" s="1"/>
  <c r="BH4" i="2"/>
  <c r="BG67" i="2" s="1"/>
  <c r="BI4" i="2"/>
  <c r="BG66" i="2" s="1"/>
  <c r="B5" i="2"/>
  <c r="BF125" i="2" s="1"/>
  <c r="C5" i="2"/>
  <c r="BF124" i="2" s="1"/>
  <c r="D5" i="2"/>
  <c r="BF123" i="2" s="1"/>
  <c r="E5" i="2"/>
  <c r="BF122" i="2" s="1"/>
  <c r="F5" i="2"/>
  <c r="BF121" i="2" s="1"/>
  <c r="G5" i="2"/>
  <c r="BF120" i="2" s="1"/>
  <c r="H5" i="2"/>
  <c r="BF119" i="2" s="1"/>
  <c r="I5" i="2"/>
  <c r="BF118" i="2" s="1"/>
  <c r="J5" i="2"/>
  <c r="BF117" i="2" s="1"/>
  <c r="K5" i="2"/>
  <c r="BF116" i="2" s="1"/>
  <c r="L5" i="2"/>
  <c r="BF115" i="2" s="1"/>
  <c r="M5" i="2"/>
  <c r="BF114" i="2" s="1"/>
  <c r="N5" i="2"/>
  <c r="BF113" i="2" s="1"/>
  <c r="O5" i="2"/>
  <c r="BF112" i="2" s="1"/>
  <c r="P5" i="2"/>
  <c r="BF111" i="2" s="1"/>
  <c r="Q5" i="2"/>
  <c r="BF110" i="2" s="1"/>
  <c r="R5" i="2"/>
  <c r="BF109" i="2" s="1"/>
  <c r="S5" i="2"/>
  <c r="BF108" i="2" s="1"/>
  <c r="T5" i="2"/>
  <c r="BF107" i="2" s="1"/>
  <c r="U5" i="2"/>
  <c r="BF106" i="2" s="1"/>
  <c r="V5" i="2"/>
  <c r="BF105" i="2" s="1"/>
  <c r="W5" i="2"/>
  <c r="BF104" i="2" s="1"/>
  <c r="X5" i="2"/>
  <c r="BF103" i="2" s="1"/>
  <c r="Y5" i="2"/>
  <c r="BF102" i="2" s="1"/>
  <c r="Z5" i="2"/>
  <c r="BF101" i="2" s="1"/>
  <c r="AA5" i="2"/>
  <c r="BF100" i="2" s="1"/>
  <c r="AB5" i="2"/>
  <c r="BF99" i="2" s="1"/>
  <c r="AC5" i="2"/>
  <c r="BF98" i="2" s="1"/>
  <c r="AD5" i="2"/>
  <c r="BF97" i="2" s="1"/>
  <c r="AE5" i="2"/>
  <c r="BF96" i="2" s="1"/>
  <c r="AF5" i="2"/>
  <c r="BF95" i="2" s="1"/>
  <c r="AG5" i="2"/>
  <c r="BF94" i="2" s="1"/>
  <c r="AH5" i="2"/>
  <c r="BF93" i="2" s="1"/>
  <c r="AI5" i="2"/>
  <c r="BF92" i="2" s="1"/>
  <c r="AJ5" i="2"/>
  <c r="BF91" i="2" s="1"/>
  <c r="BF90" i="2"/>
  <c r="AL5" i="2"/>
  <c r="BF89" i="2" s="1"/>
  <c r="AM5" i="2"/>
  <c r="BF88" i="2" s="1"/>
  <c r="AN5" i="2"/>
  <c r="BF87" i="2" s="1"/>
  <c r="AO5" i="2"/>
  <c r="BF86" i="2" s="1"/>
  <c r="AP5" i="2"/>
  <c r="BF85" i="2" s="1"/>
  <c r="AQ5" i="2"/>
  <c r="BF84" i="2" s="1"/>
  <c r="AR5" i="2"/>
  <c r="BF83" i="2" s="1"/>
  <c r="AS5" i="2"/>
  <c r="BF82" i="2" s="1"/>
  <c r="AT5" i="2"/>
  <c r="BF81" i="2" s="1"/>
  <c r="AU5" i="2"/>
  <c r="BF80" i="2" s="1"/>
  <c r="AV5" i="2"/>
  <c r="BF79" i="2" s="1"/>
  <c r="AW5" i="2"/>
  <c r="BF78" i="2" s="1"/>
  <c r="AX5" i="2"/>
  <c r="BF77" i="2" s="1"/>
  <c r="AY5" i="2"/>
  <c r="BF76" i="2" s="1"/>
  <c r="AZ5" i="2"/>
  <c r="BF75" i="2" s="1"/>
  <c r="BA5" i="2"/>
  <c r="BF74" i="2" s="1"/>
  <c r="BB5" i="2"/>
  <c r="BF73" i="2" s="1"/>
  <c r="BC5" i="2"/>
  <c r="BF72" i="2" s="1"/>
  <c r="BD5" i="2"/>
  <c r="BF71" i="2" s="1"/>
  <c r="BE5" i="2"/>
  <c r="BF70" i="2" s="1"/>
  <c r="BF5" i="2"/>
  <c r="BF69" i="2" s="1"/>
  <c r="BG5" i="2"/>
  <c r="BF68" i="2" s="1"/>
  <c r="BH5" i="2"/>
  <c r="BF67" i="2" s="1"/>
  <c r="BI5" i="2"/>
  <c r="BF66" i="2" s="1"/>
  <c r="B6" i="2"/>
  <c r="BE125" i="2" s="1"/>
  <c r="C6" i="2"/>
  <c r="BE124" i="2" s="1"/>
  <c r="D6" i="2"/>
  <c r="BE123" i="2" s="1"/>
  <c r="E6" i="2"/>
  <c r="BE122" i="2" s="1"/>
  <c r="F6" i="2"/>
  <c r="BE121" i="2" s="1"/>
  <c r="G6" i="2"/>
  <c r="BE120" i="2" s="1"/>
  <c r="H6" i="2"/>
  <c r="BE119" i="2" s="1"/>
  <c r="I6" i="2"/>
  <c r="BE118" i="2" s="1"/>
  <c r="J6" i="2"/>
  <c r="BE117" i="2" s="1"/>
  <c r="K6" i="2"/>
  <c r="BE116" i="2" s="1"/>
  <c r="L6" i="2"/>
  <c r="BE115" i="2" s="1"/>
  <c r="M6" i="2"/>
  <c r="BE114" i="2" s="1"/>
  <c r="N6" i="2"/>
  <c r="BE113" i="2" s="1"/>
  <c r="O6" i="2"/>
  <c r="BE112" i="2" s="1"/>
  <c r="P6" i="2"/>
  <c r="BE111" i="2" s="1"/>
  <c r="Q6" i="2"/>
  <c r="BE110" i="2" s="1"/>
  <c r="R6" i="2"/>
  <c r="BE109" i="2" s="1"/>
  <c r="S6" i="2"/>
  <c r="BE108" i="2" s="1"/>
  <c r="T6" i="2"/>
  <c r="BE107" i="2" s="1"/>
  <c r="U6" i="2"/>
  <c r="BE106" i="2" s="1"/>
  <c r="V6" i="2"/>
  <c r="BE105" i="2" s="1"/>
  <c r="W6" i="2"/>
  <c r="BE104" i="2" s="1"/>
  <c r="X6" i="2"/>
  <c r="BE103" i="2" s="1"/>
  <c r="Y6" i="2"/>
  <c r="BE102" i="2" s="1"/>
  <c r="Z6" i="2"/>
  <c r="BE101" i="2" s="1"/>
  <c r="AA6" i="2"/>
  <c r="BE100" i="2" s="1"/>
  <c r="AB6" i="2"/>
  <c r="BE99" i="2" s="1"/>
  <c r="AC6" i="2"/>
  <c r="BE98" i="2" s="1"/>
  <c r="AD6" i="2"/>
  <c r="BE97" i="2" s="1"/>
  <c r="AE6" i="2"/>
  <c r="BE96" i="2" s="1"/>
  <c r="AF6" i="2"/>
  <c r="BE95" i="2" s="1"/>
  <c r="AG6" i="2"/>
  <c r="BE94" i="2" s="1"/>
  <c r="AH6" i="2"/>
  <c r="BE93" i="2" s="1"/>
  <c r="AI6" i="2"/>
  <c r="BE92" i="2" s="1"/>
  <c r="AJ6" i="2"/>
  <c r="BE91" i="2" s="1"/>
  <c r="AK6" i="2"/>
  <c r="BE90" i="2" s="1"/>
  <c r="AL6" i="2"/>
  <c r="BE89" i="2" s="1"/>
  <c r="AM6" i="2"/>
  <c r="BE88" i="2" s="1"/>
  <c r="AN6" i="2"/>
  <c r="BE87" i="2" s="1"/>
  <c r="AO6" i="2"/>
  <c r="BE86" i="2" s="1"/>
  <c r="AP6" i="2"/>
  <c r="BE85" i="2" s="1"/>
  <c r="AQ6" i="2"/>
  <c r="BE84" i="2" s="1"/>
  <c r="AR6" i="2"/>
  <c r="BE83" i="2" s="1"/>
  <c r="AS6" i="2"/>
  <c r="BE82" i="2" s="1"/>
  <c r="AT6" i="2"/>
  <c r="BE81" i="2" s="1"/>
  <c r="AU6" i="2"/>
  <c r="BE80" i="2" s="1"/>
  <c r="AV6" i="2"/>
  <c r="BE79" i="2" s="1"/>
  <c r="AW6" i="2"/>
  <c r="BE78" i="2" s="1"/>
  <c r="AX6" i="2"/>
  <c r="BE77" i="2" s="1"/>
  <c r="AY6" i="2"/>
  <c r="BE76" i="2" s="1"/>
  <c r="AZ6" i="2"/>
  <c r="BE75" i="2" s="1"/>
  <c r="BA6" i="2"/>
  <c r="BE74" i="2" s="1"/>
  <c r="BB6" i="2"/>
  <c r="BE73" i="2" s="1"/>
  <c r="BC6" i="2"/>
  <c r="BE72" i="2" s="1"/>
  <c r="BD6" i="2"/>
  <c r="BE71" i="2" s="1"/>
  <c r="BE6" i="2"/>
  <c r="BE70" i="2" s="1"/>
  <c r="BF6" i="2"/>
  <c r="BE69" i="2" s="1"/>
  <c r="BG6" i="2"/>
  <c r="BE68" i="2" s="1"/>
  <c r="BH6" i="2"/>
  <c r="BE67" i="2" s="1"/>
  <c r="BI6" i="2"/>
  <c r="BE66" i="2" s="1"/>
  <c r="B7" i="2"/>
  <c r="BD125" i="2" s="1"/>
  <c r="C7" i="2"/>
  <c r="BD124" i="2" s="1"/>
  <c r="D7" i="2"/>
  <c r="BD123" i="2" s="1"/>
  <c r="E7" i="2"/>
  <c r="BD122" i="2" s="1"/>
  <c r="F7" i="2"/>
  <c r="BD121" i="2" s="1"/>
  <c r="G7" i="2"/>
  <c r="BD120" i="2" s="1"/>
  <c r="H7" i="2"/>
  <c r="BD119" i="2" s="1"/>
  <c r="I7" i="2"/>
  <c r="BD118" i="2" s="1"/>
  <c r="J7" i="2"/>
  <c r="BD117" i="2" s="1"/>
  <c r="K7" i="2"/>
  <c r="BD116" i="2" s="1"/>
  <c r="L7" i="2"/>
  <c r="BD115" i="2" s="1"/>
  <c r="M7" i="2"/>
  <c r="BD114" i="2" s="1"/>
  <c r="N7" i="2"/>
  <c r="BD113" i="2" s="1"/>
  <c r="O7" i="2"/>
  <c r="BD112" i="2" s="1"/>
  <c r="P7" i="2"/>
  <c r="BD111" i="2" s="1"/>
  <c r="Q7" i="2"/>
  <c r="BD110" i="2" s="1"/>
  <c r="R7" i="2"/>
  <c r="BD109" i="2" s="1"/>
  <c r="S7" i="2"/>
  <c r="BD108" i="2" s="1"/>
  <c r="T7" i="2"/>
  <c r="BD107" i="2" s="1"/>
  <c r="U7" i="2"/>
  <c r="BD106" i="2" s="1"/>
  <c r="V7" i="2"/>
  <c r="BD105" i="2" s="1"/>
  <c r="W7" i="2"/>
  <c r="BD104" i="2" s="1"/>
  <c r="X7" i="2"/>
  <c r="BD103" i="2" s="1"/>
  <c r="Y7" i="2"/>
  <c r="BD102" i="2" s="1"/>
  <c r="Z7" i="2"/>
  <c r="BD101" i="2" s="1"/>
  <c r="AA7" i="2"/>
  <c r="BD100" i="2" s="1"/>
  <c r="AB7" i="2"/>
  <c r="BD99" i="2" s="1"/>
  <c r="AC7" i="2"/>
  <c r="BD98" i="2" s="1"/>
  <c r="AD7" i="2"/>
  <c r="BD97" i="2" s="1"/>
  <c r="AE7" i="2"/>
  <c r="BD96" i="2" s="1"/>
  <c r="AF7" i="2"/>
  <c r="BD95" i="2" s="1"/>
  <c r="AG7" i="2"/>
  <c r="BD94" i="2" s="1"/>
  <c r="AH7" i="2"/>
  <c r="BD93" i="2" s="1"/>
  <c r="AI7" i="2"/>
  <c r="BD92" i="2" s="1"/>
  <c r="AJ7" i="2"/>
  <c r="BD91" i="2" s="1"/>
  <c r="AK7" i="2"/>
  <c r="BD90" i="2" s="1"/>
  <c r="AL7" i="2"/>
  <c r="BD89" i="2" s="1"/>
  <c r="AM7" i="2"/>
  <c r="BD88" i="2" s="1"/>
  <c r="AN7" i="2"/>
  <c r="BD87" i="2" s="1"/>
  <c r="AO7" i="2"/>
  <c r="BD86" i="2" s="1"/>
  <c r="AP7" i="2"/>
  <c r="BD85" i="2" s="1"/>
  <c r="AQ7" i="2"/>
  <c r="BD84" i="2" s="1"/>
  <c r="AR7" i="2"/>
  <c r="BD83" i="2" s="1"/>
  <c r="AS7" i="2"/>
  <c r="BD82" i="2" s="1"/>
  <c r="AT7" i="2"/>
  <c r="BD81" i="2" s="1"/>
  <c r="AU7" i="2"/>
  <c r="BD80" i="2" s="1"/>
  <c r="AV7" i="2"/>
  <c r="BD79" i="2" s="1"/>
  <c r="AW7" i="2"/>
  <c r="BD78" i="2" s="1"/>
  <c r="AX7" i="2"/>
  <c r="BD77" i="2" s="1"/>
  <c r="AY7" i="2"/>
  <c r="BD76" i="2" s="1"/>
  <c r="AZ7" i="2"/>
  <c r="BD75" i="2" s="1"/>
  <c r="BA7" i="2"/>
  <c r="BD74" i="2" s="1"/>
  <c r="BB7" i="2"/>
  <c r="BD73" i="2" s="1"/>
  <c r="BC7" i="2"/>
  <c r="BD72" i="2" s="1"/>
  <c r="BD7" i="2"/>
  <c r="BD71" i="2" s="1"/>
  <c r="BE7" i="2"/>
  <c r="BD70" i="2" s="1"/>
  <c r="BF7" i="2"/>
  <c r="BD69" i="2" s="1"/>
  <c r="BG7" i="2"/>
  <c r="BD68" i="2" s="1"/>
  <c r="BH7" i="2"/>
  <c r="BD67" i="2" s="1"/>
  <c r="BI7" i="2"/>
  <c r="BD66" i="2" s="1"/>
  <c r="B8" i="2"/>
  <c r="BC125" i="2" s="1"/>
  <c r="C8" i="2"/>
  <c r="BC124" i="2" s="1"/>
  <c r="D8" i="2"/>
  <c r="BC123" i="2" s="1"/>
  <c r="E8" i="2"/>
  <c r="BC122" i="2" s="1"/>
  <c r="F8" i="2"/>
  <c r="BC121" i="2" s="1"/>
  <c r="G8" i="2"/>
  <c r="BC120" i="2" s="1"/>
  <c r="H8" i="2"/>
  <c r="BC119" i="2" s="1"/>
  <c r="I8" i="2"/>
  <c r="BC118" i="2" s="1"/>
  <c r="J8" i="2"/>
  <c r="BC117" i="2" s="1"/>
  <c r="K8" i="2"/>
  <c r="BC116" i="2" s="1"/>
  <c r="L8" i="2"/>
  <c r="BC115" i="2" s="1"/>
  <c r="M8" i="2"/>
  <c r="BC114" i="2" s="1"/>
  <c r="N8" i="2"/>
  <c r="BC113" i="2" s="1"/>
  <c r="O8" i="2"/>
  <c r="BC112" i="2" s="1"/>
  <c r="P8" i="2"/>
  <c r="BC111" i="2" s="1"/>
  <c r="Q8" i="2"/>
  <c r="BC110" i="2" s="1"/>
  <c r="R8" i="2"/>
  <c r="BC109" i="2" s="1"/>
  <c r="S8" i="2"/>
  <c r="BC108" i="2" s="1"/>
  <c r="T8" i="2"/>
  <c r="BC107" i="2" s="1"/>
  <c r="U8" i="2"/>
  <c r="BC106" i="2" s="1"/>
  <c r="V8" i="2"/>
  <c r="BC105" i="2" s="1"/>
  <c r="W8" i="2"/>
  <c r="BC104" i="2" s="1"/>
  <c r="X8" i="2"/>
  <c r="BC103" i="2" s="1"/>
  <c r="Y8" i="2"/>
  <c r="BC102" i="2" s="1"/>
  <c r="Z8" i="2"/>
  <c r="BC101" i="2" s="1"/>
  <c r="AA8" i="2"/>
  <c r="BC100" i="2" s="1"/>
  <c r="AB8" i="2"/>
  <c r="BC99" i="2" s="1"/>
  <c r="AC8" i="2"/>
  <c r="BC98" i="2" s="1"/>
  <c r="AD8" i="2"/>
  <c r="BC97" i="2" s="1"/>
  <c r="AE8" i="2"/>
  <c r="BC96" i="2" s="1"/>
  <c r="AF8" i="2"/>
  <c r="BC95" i="2" s="1"/>
  <c r="AG8" i="2"/>
  <c r="BC94" i="2" s="1"/>
  <c r="AH8" i="2"/>
  <c r="BC93" i="2" s="1"/>
  <c r="AI8" i="2"/>
  <c r="BC92" i="2" s="1"/>
  <c r="AJ8" i="2"/>
  <c r="BC91" i="2" s="1"/>
  <c r="AK8" i="2"/>
  <c r="BC90" i="2" s="1"/>
  <c r="AL8" i="2"/>
  <c r="BC89" i="2" s="1"/>
  <c r="AM8" i="2"/>
  <c r="BC88" i="2" s="1"/>
  <c r="AN8" i="2"/>
  <c r="BC87" i="2" s="1"/>
  <c r="AO8" i="2"/>
  <c r="BC86" i="2" s="1"/>
  <c r="AP8" i="2"/>
  <c r="BC85" i="2" s="1"/>
  <c r="AQ8" i="2"/>
  <c r="BC84" i="2" s="1"/>
  <c r="AR8" i="2"/>
  <c r="BC83" i="2" s="1"/>
  <c r="AS8" i="2"/>
  <c r="BC82" i="2" s="1"/>
  <c r="AT8" i="2"/>
  <c r="BC81" i="2" s="1"/>
  <c r="AU8" i="2"/>
  <c r="BC80" i="2" s="1"/>
  <c r="AV8" i="2"/>
  <c r="BC79" i="2" s="1"/>
  <c r="AW8" i="2"/>
  <c r="BC78" i="2" s="1"/>
  <c r="AX8" i="2"/>
  <c r="BC77" i="2" s="1"/>
  <c r="AY8" i="2"/>
  <c r="BC76" i="2" s="1"/>
  <c r="AZ8" i="2"/>
  <c r="BC75" i="2" s="1"/>
  <c r="BA8" i="2"/>
  <c r="BC74" i="2" s="1"/>
  <c r="BB8" i="2"/>
  <c r="BC73" i="2" s="1"/>
  <c r="BC8" i="2"/>
  <c r="BC72" i="2" s="1"/>
  <c r="BD8" i="2"/>
  <c r="BC71" i="2" s="1"/>
  <c r="BE8" i="2"/>
  <c r="BC70" i="2" s="1"/>
  <c r="BF8" i="2"/>
  <c r="BC69" i="2" s="1"/>
  <c r="BG8" i="2"/>
  <c r="BC68" i="2" s="1"/>
  <c r="BH8" i="2"/>
  <c r="BC67" i="2" s="1"/>
  <c r="BI8" i="2"/>
  <c r="BC66" i="2" s="1"/>
  <c r="B9" i="2"/>
  <c r="BB125" i="2" s="1"/>
  <c r="C9" i="2"/>
  <c r="BB124" i="2" s="1"/>
  <c r="D9" i="2"/>
  <c r="BB123" i="2" s="1"/>
  <c r="E9" i="2"/>
  <c r="BB122" i="2" s="1"/>
  <c r="F9" i="2"/>
  <c r="BB121" i="2" s="1"/>
  <c r="G9" i="2"/>
  <c r="BB120" i="2" s="1"/>
  <c r="H9" i="2"/>
  <c r="BB119" i="2" s="1"/>
  <c r="I9" i="2"/>
  <c r="BB118" i="2" s="1"/>
  <c r="J9" i="2"/>
  <c r="BB117" i="2" s="1"/>
  <c r="K9" i="2"/>
  <c r="BB116" i="2" s="1"/>
  <c r="L9" i="2"/>
  <c r="BB115" i="2" s="1"/>
  <c r="M9" i="2"/>
  <c r="BB114" i="2" s="1"/>
  <c r="N9" i="2"/>
  <c r="BB113" i="2" s="1"/>
  <c r="O9" i="2"/>
  <c r="BB112" i="2" s="1"/>
  <c r="P9" i="2"/>
  <c r="BB111" i="2" s="1"/>
  <c r="Q9" i="2"/>
  <c r="BB110" i="2" s="1"/>
  <c r="R9" i="2"/>
  <c r="BB109" i="2" s="1"/>
  <c r="S9" i="2"/>
  <c r="BB108" i="2" s="1"/>
  <c r="T9" i="2"/>
  <c r="BB107" i="2" s="1"/>
  <c r="U9" i="2"/>
  <c r="BB106" i="2" s="1"/>
  <c r="V9" i="2"/>
  <c r="BB105" i="2" s="1"/>
  <c r="W9" i="2"/>
  <c r="BB104" i="2" s="1"/>
  <c r="X9" i="2"/>
  <c r="BB103" i="2" s="1"/>
  <c r="Y9" i="2"/>
  <c r="BB102" i="2" s="1"/>
  <c r="Z9" i="2"/>
  <c r="BB101" i="2" s="1"/>
  <c r="AA9" i="2"/>
  <c r="BB100" i="2" s="1"/>
  <c r="AB9" i="2"/>
  <c r="BB99" i="2" s="1"/>
  <c r="AC9" i="2"/>
  <c r="BB98" i="2" s="1"/>
  <c r="AD9" i="2"/>
  <c r="BB97" i="2" s="1"/>
  <c r="AE9" i="2"/>
  <c r="BB96" i="2" s="1"/>
  <c r="AF9" i="2"/>
  <c r="BB95" i="2" s="1"/>
  <c r="AG9" i="2"/>
  <c r="BB94" i="2" s="1"/>
  <c r="AH9" i="2"/>
  <c r="BB93" i="2" s="1"/>
  <c r="AI9" i="2"/>
  <c r="BB92" i="2" s="1"/>
  <c r="AJ9" i="2"/>
  <c r="BB91" i="2" s="1"/>
  <c r="AK9" i="2"/>
  <c r="BB90" i="2" s="1"/>
  <c r="AL9" i="2"/>
  <c r="BB89" i="2" s="1"/>
  <c r="AM9" i="2"/>
  <c r="BB88" i="2" s="1"/>
  <c r="AN9" i="2"/>
  <c r="BB87" i="2" s="1"/>
  <c r="AO9" i="2"/>
  <c r="BB86" i="2" s="1"/>
  <c r="AP9" i="2"/>
  <c r="BB85" i="2" s="1"/>
  <c r="AQ9" i="2"/>
  <c r="BB84" i="2" s="1"/>
  <c r="AR9" i="2"/>
  <c r="BB83" i="2" s="1"/>
  <c r="AS9" i="2"/>
  <c r="BB82" i="2" s="1"/>
  <c r="AT9" i="2"/>
  <c r="BB81" i="2" s="1"/>
  <c r="AU9" i="2"/>
  <c r="BB80" i="2" s="1"/>
  <c r="AV9" i="2"/>
  <c r="BB79" i="2" s="1"/>
  <c r="AW9" i="2"/>
  <c r="BB78" i="2" s="1"/>
  <c r="AX9" i="2"/>
  <c r="BB77" i="2" s="1"/>
  <c r="AY9" i="2"/>
  <c r="BB76" i="2" s="1"/>
  <c r="AZ9" i="2"/>
  <c r="BB75" i="2" s="1"/>
  <c r="BA9" i="2"/>
  <c r="BB74" i="2" s="1"/>
  <c r="BB9" i="2"/>
  <c r="BB73" i="2" s="1"/>
  <c r="BC9" i="2"/>
  <c r="BB72" i="2" s="1"/>
  <c r="BD9" i="2"/>
  <c r="BB71" i="2" s="1"/>
  <c r="BE9" i="2"/>
  <c r="BB70" i="2" s="1"/>
  <c r="BF9" i="2"/>
  <c r="BB69" i="2" s="1"/>
  <c r="BG9" i="2"/>
  <c r="BB68" i="2" s="1"/>
  <c r="BH9" i="2"/>
  <c r="BB67" i="2" s="1"/>
  <c r="BI9" i="2"/>
  <c r="BB66" i="2" s="1"/>
  <c r="B10" i="2"/>
  <c r="BA125" i="2" s="1"/>
  <c r="C10" i="2"/>
  <c r="BA124" i="2" s="1"/>
  <c r="D10" i="2"/>
  <c r="BA123" i="2" s="1"/>
  <c r="E10" i="2"/>
  <c r="BA122" i="2" s="1"/>
  <c r="F10" i="2"/>
  <c r="BA121" i="2" s="1"/>
  <c r="G10" i="2"/>
  <c r="BA120" i="2" s="1"/>
  <c r="H10" i="2"/>
  <c r="BA119" i="2" s="1"/>
  <c r="I10" i="2"/>
  <c r="BA118" i="2" s="1"/>
  <c r="J10" i="2"/>
  <c r="BA117" i="2" s="1"/>
  <c r="K10" i="2"/>
  <c r="BA116" i="2" s="1"/>
  <c r="L10" i="2"/>
  <c r="BA115" i="2" s="1"/>
  <c r="M10" i="2"/>
  <c r="BA114" i="2" s="1"/>
  <c r="N10" i="2"/>
  <c r="BA113" i="2" s="1"/>
  <c r="O10" i="2"/>
  <c r="BA112" i="2" s="1"/>
  <c r="P10" i="2"/>
  <c r="BA111" i="2" s="1"/>
  <c r="Q10" i="2"/>
  <c r="BA110" i="2" s="1"/>
  <c r="R10" i="2"/>
  <c r="BA109" i="2" s="1"/>
  <c r="S10" i="2"/>
  <c r="BA108" i="2" s="1"/>
  <c r="T10" i="2"/>
  <c r="BA107" i="2" s="1"/>
  <c r="U10" i="2"/>
  <c r="BA106" i="2" s="1"/>
  <c r="V10" i="2"/>
  <c r="BA105" i="2" s="1"/>
  <c r="W10" i="2"/>
  <c r="BA104" i="2" s="1"/>
  <c r="X10" i="2"/>
  <c r="BA103" i="2" s="1"/>
  <c r="Y10" i="2"/>
  <c r="BA102" i="2" s="1"/>
  <c r="Z10" i="2"/>
  <c r="BA101" i="2" s="1"/>
  <c r="BA100" i="2"/>
  <c r="AB10" i="2"/>
  <c r="BA99" i="2" s="1"/>
  <c r="AC10" i="2"/>
  <c r="BA98" i="2" s="1"/>
  <c r="AD10" i="2"/>
  <c r="BA97" i="2" s="1"/>
  <c r="AE10" i="2"/>
  <c r="BA96" i="2" s="1"/>
  <c r="AF10" i="2"/>
  <c r="BA95" i="2" s="1"/>
  <c r="AG10" i="2"/>
  <c r="BA94" i="2" s="1"/>
  <c r="AH10" i="2"/>
  <c r="BA93" i="2" s="1"/>
  <c r="AI10" i="2"/>
  <c r="BA92" i="2" s="1"/>
  <c r="AJ10" i="2"/>
  <c r="BA91" i="2" s="1"/>
  <c r="AK10" i="2"/>
  <c r="BA90" i="2" s="1"/>
  <c r="AL10" i="2"/>
  <c r="BA89" i="2" s="1"/>
  <c r="AM10" i="2"/>
  <c r="BA88" i="2" s="1"/>
  <c r="AN10" i="2"/>
  <c r="BA87" i="2" s="1"/>
  <c r="AO10" i="2"/>
  <c r="BA86" i="2" s="1"/>
  <c r="AP10" i="2"/>
  <c r="BA85" i="2" s="1"/>
  <c r="AQ10" i="2"/>
  <c r="BA84" i="2" s="1"/>
  <c r="AR10" i="2"/>
  <c r="BA83" i="2" s="1"/>
  <c r="AS10" i="2"/>
  <c r="BA82" i="2" s="1"/>
  <c r="AT10" i="2"/>
  <c r="BA81" i="2" s="1"/>
  <c r="AU10" i="2"/>
  <c r="BA80" i="2" s="1"/>
  <c r="AV10" i="2"/>
  <c r="BA79" i="2" s="1"/>
  <c r="AW10" i="2"/>
  <c r="BA78" i="2" s="1"/>
  <c r="AX10" i="2"/>
  <c r="BA77" i="2" s="1"/>
  <c r="AY10" i="2"/>
  <c r="BA76" i="2" s="1"/>
  <c r="AZ10" i="2"/>
  <c r="BA75" i="2" s="1"/>
  <c r="BA10" i="2"/>
  <c r="BA74" i="2" s="1"/>
  <c r="BB10" i="2"/>
  <c r="BA73" i="2" s="1"/>
  <c r="BC10" i="2"/>
  <c r="BA72" i="2" s="1"/>
  <c r="BD10" i="2"/>
  <c r="BA71" i="2" s="1"/>
  <c r="BE10" i="2"/>
  <c r="BA70" i="2" s="1"/>
  <c r="BF10" i="2"/>
  <c r="BA69" i="2" s="1"/>
  <c r="BG10" i="2"/>
  <c r="BA68" i="2" s="1"/>
  <c r="BH10" i="2"/>
  <c r="BA67" i="2" s="1"/>
  <c r="BI10" i="2"/>
  <c r="BA66" i="2" s="1"/>
  <c r="B11" i="2"/>
  <c r="AZ125" i="2" s="1"/>
  <c r="C11" i="2"/>
  <c r="AZ124" i="2" s="1"/>
  <c r="D11" i="2"/>
  <c r="AZ123" i="2" s="1"/>
  <c r="E11" i="2"/>
  <c r="AZ122" i="2" s="1"/>
  <c r="F11" i="2"/>
  <c r="AZ121" i="2" s="1"/>
  <c r="G11" i="2"/>
  <c r="AZ120" i="2" s="1"/>
  <c r="H11" i="2"/>
  <c r="AZ119" i="2" s="1"/>
  <c r="I11" i="2"/>
  <c r="AZ118" i="2" s="1"/>
  <c r="J11" i="2"/>
  <c r="AZ117" i="2" s="1"/>
  <c r="K11" i="2"/>
  <c r="AZ116" i="2" s="1"/>
  <c r="L11" i="2"/>
  <c r="AZ115" i="2" s="1"/>
  <c r="M11" i="2"/>
  <c r="AZ114" i="2" s="1"/>
  <c r="N11" i="2"/>
  <c r="AZ113" i="2" s="1"/>
  <c r="O11" i="2"/>
  <c r="AZ112" i="2" s="1"/>
  <c r="P11" i="2"/>
  <c r="AZ111" i="2" s="1"/>
  <c r="Q11" i="2"/>
  <c r="AZ110" i="2" s="1"/>
  <c r="R11" i="2"/>
  <c r="AZ109" i="2" s="1"/>
  <c r="S11" i="2"/>
  <c r="AZ108" i="2" s="1"/>
  <c r="T11" i="2"/>
  <c r="AZ107" i="2" s="1"/>
  <c r="U11" i="2"/>
  <c r="AZ106" i="2" s="1"/>
  <c r="V11" i="2"/>
  <c r="AZ105" i="2" s="1"/>
  <c r="W11" i="2"/>
  <c r="AZ104" i="2" s="1"/>
  <c r="X11" i="2"/>
  <c r="AZ103" i="2" s="1"/>
  <c r="Y11" i="2"/>
  <c r="AZ102" i="2" s="1"/>
  <c r="Z11" i="2"/>
  <c r="AZ101" i="2" s="1"/>
  <c r="AA11" i="2"/>
  <c r="AZ100" i="2" s="1"/>
  <c r="AB11" i="2"/>
  <c r="AZ99" i="2" s="1"/>
  <c r="AC11" i="2"/>
  <c r="AZ98" i="2" s="1"/>
  <c r="AD11" i="2"/>
  <c r="AZ97" i="2" s="1"/>
  <c r="AE11" i="2"/>
  <c r="AZ96" i="2" s="1"/>
  <c r="AF11" i="2"/>
  <c r="AZ95" i="2" s="1"/>
  <c r="AG11" i="2"/>
  <c r="AZ94" i="2" s="1"/>
  <c r="AH11" i="2"/>
  <c r="AZ93" i="2" s="1"/>
  <c r="AI11" i="2"/>
  <c r="AZ92" i="2" s="1"/>
  <c r="AJ11" i="2"/>
  <c r="AZ91" i="2" s="1"/>
  <c r="AK11" i="2"/>
  <c r="AZ90" i="2" s="1"/>
  <c r="AL11" i="2"/>
  <c r="AZ89" i="2" s="1"/>
  <c r="AM11" i="2"/>
  <c r="AZ88" i="2" s="1"/>
  <c r="AN11" i="2"/>
  <c r="AZ87" i="2" s="1"/>
  <c r="AO11" i="2"/>
  <c r="AZ86" i="2" s="1"/>
  <c r="AP11" i="2"/>
  <c r="AZ85" i="2" s="1"/>
  <c r="AQ11" i="2"/>
  <c r="AZ84" i="2" s="1"/>
  <c r="AR11" i="2"/>
  <c r="AZ83" i="2" s="1"/>
  <c r="AS11" i="2"/>
  <c r="AZ82" i="2" s="1"/>
  <c r="AT11" i="2"/>
  <c r="AZ81" i="2" s="1"/>
  <c r="AU11" i="2"/>
  <c r="AZ80" i="2" s="1"/>
  <c r="AV11" i="2"/>
  <c r="AZ79" i="2" s="1"/>
  <c r="AW11" i="2"/>
  <c r="AZ78" i="2" s="1"/>
  <c r="AX11" i="2"/>
  <c r="AZ77" i="2" s="1"/>
  <c r="AY11" i="2"/>
  <c r="AZ76" i="2" s="1"/>
  <c r="AZ11" i="2"/>
  <c r="AZ75" i="2" s="1"/>
  <c r="BA11" i="2"/>
  <c r="AZ74" i="2" s="1"/>
  <c r="BB11" i="2"/>
  <c r="AZ73" i="2" s="1"/>
  <c r="BC11" i="2"/>
  <c r="AZ72" i="2" s="1"/>
  <c r="BD11" i="2"/>
  <c r="AZ71" i="2" s="1"/>
  <c r="BE11" i="2"/>
  <c r="AZ70" i="2" s="1"/>
  <c r="BF11" i="2"/>
  <c r="AZ69" i="2" s="1"/>
  <c r="BG11" i="2"/>
  <c r="AZ68" i="2" s="1"/>
  <c r="BH11" i="2"/>
  <c r="AZ67" i="2" s="1"/>
  <c r="BI11" i="2"/>
  <c r="AZ66" i="2" s="1"/>
  <c r="B12" i="2"/>
  <c r="AY125" i="2" s="1"/>
  <c r="C12" i="2"/>
  <c r="AY124" i="2" s="1"/>
  <c r="D12" i="2"/>
  <c r="AY123" i="2" s="1"/>
  <c r="E12" i="2"/>
  <c r="AY122" i="2" s="1"/>
  <c r="F12" i="2"/>
  <c r="AY121" i="2" s="1"/>
  <c r="G12" i="2"/>
  <c r="AY120" i="2" s="1"/>
  <c r="H12" i="2"/>
  <c r="AY119" i="2" s="1"/>
  <c r="I12" i="2"/>
  <c r="AY118" i="2" s="1"/>
  <c r="J12" i="2"/>
  <c r="AY117" i="2" s="1"/>
  <c r="K12" i="2"/>
  <c r="AY116" i="2" s="1"/>
  <c r="L12" i="2"/>
  <c r="AY115" i="2" s="1"/>
  <c r="M12" i="2"/>
  <c r="AY114" i="2" s="1"/>
  <c r="N12" i="2"/>
  <c r="AY113" i="2" s="1"/>
  <c r="O12" i="2"/>
  <c r="AY112" i="2" s="1"/>
  <c r="P12" i="2"/>
  <c r="AY111" i="2" s="1"/>
  <c r="Q12" i="2"/>
  <c r="AY110" i="2" s="1"/>
  <c r="R12" i="2"/>
  <c r="AY109" i="2" s="1"/>
  <c r="S12" i="2"/>
  <c r="AY108" i="2" s="1"/>
  <c r="T12" i="2"/>
  <c r="AY107" i="2" s="1"/>
  <c r="U12" i="2"/>
  <c r="AY106" i="2" s="1"/>
  <c r="V12" i="2"/>
  <c r="AY105" i="2" s="1"/>
  <c r="W12" i="2"/>
  <c r="AY104" i="2" s="1"/>
  <c r="X12" i="2"/>
  <c r="AY103" i="2" s="1"/>
  <c r="Y12" i="2"/>
  <c r="AY102" i="2" s="1"/>
  <c r="Z12" i="2"/>
  <c r="AY101" i="2" s="1"/>
  <c r="AA12" i="2"/>
  <c r="AY100" i="2" s="1"/>
  <c r="AB12" i="2"/>
  <c r="AY99" i="2" s="1"/>
  <c r="AC12" i="2"/>
  <c r="AY98" i="2" s="1"/>
  <c r="AD12" i="2"/>
  <c r="AY97" i="2" s="1"/>
  <c r="AE12" i="2"/>
  <c r="AY96" i="2" s="1"/>
  <c r="AF12" i="2"/>
  <c r="AY95" i="2" s="1"/>
  <c r="AG12" i="2"/>
  <c r="AY94" i="2" s="1"/>
  <c r="AH12" i="2"/>
  <c r="AY93" i="2" s="1"/>
  <c r="AI12" i="2"/>
  <c r="AY92" i="2" s="1"/>
  <c r="AJ12" i="2"/>
  <c r="AY91" i="2" s="1"/>
  <c r="AK12" i="2"/>
  <c r="AY90" i="2" s="1"/>
  <c r="AL12" i="2"/>
  <c r="AY89" i="2" s="1"/>
  <c r="AM12" i="2"/>
  <c r="AY88" i="2" s="1"/>
  <c r="AN12" i="2"/>
  <c r="AY87" i="2" s="1"/>
  <c r="AO12" i="2"/>
  <c r="AY86" i="2" s="1"/>
  <c r="AP12" i="2"/>
  <c r="AY85" i="2" s="1"/>
  <c r="AQ12" i="2"/>
  <c r="AY84" i="2" s="1"/>
  <c r="AR12" i="2"/>
  <c r="AY83" i="2" s="1"/>
  <c r="AS12" i="2"/>
  <c r="AY82" i="2" s="1"/>
  <c r="AT12" i="2"/>
  <c r="AY81" i="2" s="1"/>
  <c r="AU12" i="2"/>
  <c r="AY80" i="2" s="1"/>
  <c r="AV12" i="2"/>
  <c r="AY79" i="2" s="1"/>
  <c r="AW12" i="2"/>
  <c r="AY78" i="2" s="1"/>
  <c r="AX12" i="2"/>
  <c r="AY77" i="2" s="1"/>
  <c r="AY12" i="2"/>
  <c r="AY76" i="2" s="1"/>
  <c r="AZ12" i="2"/>
  <c r="AY75" i="2" s="1"/>
  <c r="BA12" i="2"/>
  <c r="AY74" i="2" s="1"/>
  <c r="BB12" i="2"/>
  <c r="AY73" i="2" s="1"/>
  <c r="BC12" i="2"/>
  <c r="AY72" i="2" s="1"/>
  <c r="BD12" i="2"/>
  <c r="AY71" i="2" s="1"/>
  <c r="BE12" i="2"/>
  <c r="AY70" i="2" s="1"/>
  <c r="BF12" i="2"/>
  <c r="AY69" i="2" s="1"/>
  <c r="BG12" i="2"/>
  <c r="AY68" i="2" s="1"/>
  <c r="BH12" i="2"/>
  <c r="AY67" i="2" s="1"/>
  <c r="BI12" i="2"/>
  <c r="AY66" i="2" s="1"/>
  <c r="B13" i="2"/>
  <c r="AX125" i="2" s="1"/>
  <c r="C13" i="2"/>
  <c r="AX124" i="2" s="1"/>
  <c r="D13" i="2"/>
  <c r="AX123" i="2" s="1"/>
  <c r="E13" i="2"/>
  <c r="AX122" i="2" s="1"/>
  <c r="F13" i="2"/>
  <c r="AX121" i="2" s="1"/>
  <c r="G13" i="2"/>
  <c r="AX120" i="2" s="1"/>
  <c r="H13" i="2"/>
  <c r="AX119" i="2" s="1"/>
  <c r="I13" i="2"/>
  <c r="AX118" i="2" s="1"/>
  <c r="J13" i="2"/>
  <c r="AX117" i="2" s="1"/>
  <c r="K13" i="2"/>
  <c r="AX116" i="2" s="1"/>
  <c r="L13" i="2"/>
  <c r="AX115" i="2" s="1"/>
  <c r="M13" i="2"/>
  <c r="AX114" i="2" s="1"/>
  <c r="N13" i="2"/>
  <c r="AX113" i="2" s="1"/>
  <c r="O13" i="2"/>
  <c r="AX112" i="2" s="1"/>
  <c r="P13" i="2"/>
  <c r="AX111" i="2" s="1"/>
  <c r="Q13" i="2"/>
  <c r="AX110" i="2" s="1"/>
  <c r="R13" i="2"/>
  <c r="AX109" i="2" s="1"/>
  <c r="S13" i="2"/>
  <c r="AX108" i="2" s="1"/>
  <c r="T13" i="2"/>
  <c r="AX107" i="2" s="1"/>
  <c r="U13" i="2"/>
  <c r="AX106" i="2" s="1"/>
  <c r="V13" i="2"/>
  <c r="AX105" i="2" s="1"/>
  <c r="W13" i="2"/>
  <c r="AX104" i="2" s="1"/>
  <c r="X13" i="2"/>
  <c r="AX103" i="2" s="1"/>
  <c r="Y13" i="2"/>
  <c r="AX102" i="2" s="1"/>
  <c r="Z13" i="2"/>
  <c r="AX101" i="2" s="1"/>
  <c r="AA13" i="2"/>
  <c r="AX100" i="2" s="1"/>
  <c r="AB13" i="2"/>
  <c r="AX99" i="2" s="1"/>
  <c r="AC13" i="2"/>
  <c r="AX98" i="2" s="1"/>
  <c r="AD13" i="2"/>
  <c r="AX97" i="2" s="1"/>
  <c r="AE13" i="2"/>
  <c r="AX96" i="2" s="1"/>
  <c r="AF13" i="2"/>
  <c r="AX95" i="2" s="1"/>
  <c r="AX94" i="2"/>
  <c r="AH13" i="2"/>
  <c r="AX93" i="2" s="1"/>
  <c r="AI13" i="2"/>
  <c r="AX92" i="2" s="1"/>
  <c r="AJ13" i="2"/>
  <c r="AX91" i="2" s="1"/>
  <c r="AK13" i="2"/>
  <c r="AX90" i="2" s="1"/>
  <c r="AL13" i="2"/>
  <c r="AX89" i="2" s="1"/>
  <c r="AM13" i="2"/>
  <c r="AX88" i="2" s="1"/>
  <c r="AN13" i="2"/>
  <c r="AX87" i="2" s="1"/>
  <c r="AO13" i="2"/>
  <c r="AX86" i="2" s="1"/>
  <c r="AP13" i="2"/>
  <c r="AX85" i="2" s="1"/>
  <c r="AQ13" i="2"/>
  <c r="AX84" i="2" s="1"/>
  <c r="AR13" i="2"/>
  <c r="AX83" i="2" s="1"/>
  <c r="AS13" i="2"/>
  <c r="AX82" i="2" s="1"/>
  <c r="AT13" i="2"/>
  <c r="AX81" i="2" s="1"/>
  <c r="AU13" i="2"/>
  <c r="AX80" i="2" s="1"/>
  <c r="AV13" i="2"/>
  <c r="AX79" i="2" s="1"/>
  <c r="AW13" i="2"/>
  <c r="AX78" i="2" s="1"/>
  <c r="AX13" i="2"/>
  <c r="AX77" i="2" s="1"/>
  <c r="AY13" i="2"/>
  <c r="AX76" i="2" s="1"/>
  <c r="AZ13" i="2"/>
  <c r="AX75" i="2" s="1"/>
  <c r="BA13" i="2"/>
  <c r="AX74" i="2" s="1"/>
  <c r="BB13" i="2"/>
  <c r="AX73" i="2" s="1"/>
  <c r="BC13" i="2"/>
  <c r="AX72" i="2" s="1"/>
  <c r="BD13" i="2"/>
  <c r="AX71" i="2" s="1"/>
  <c r="BE13" i="2"/>
  <c r="AX70" i="2" s="1"/>
  <c r="BF13" i="2"/>
  <c r="AX69" i="2" s="1"/>
  <c r="BG13" i="2"/>
  <c r="AX68" i="2" s="1"/>
  <c r="BH13" i="2"/>
  <c r="AX67" i="2" s="1"/>
  <c r="BI13" i="2"/>
  <c r="AX66" i="2" s="1"/>
  <c r="B14" i="2"/>
  <c r="AW125" i="2" s="1"/>
  <c r="C14" i="2"/>
  <c r="AW124" i="2" s="1"/>
  <c r="D14" i="2"/>
  <c r="AW123" i="2" s="1"/>
  <c r="E14" i="2"/>
  <c r="AW122" i="2" s="1"/>
  <c r="F14" i="2"/>
  <c r="AW121" i="2" s="1"/>
  <c r="G14" i="2"/>
  <c r="AW120" i="2" s="1"/>
  <c r="H14" i="2"/>
  <c r="AW119" i="2" s="1"/>
  <c r="I14" i="2"/>
  <c r="AW118" i="2" s="1"/>
  <c r="J14" i="2"/>
  <c r="AW117" i="2" s="1"/>
  <c r="K14" i="2"/>
  <c r="AW116" i="2" s="1"/>
  <c r="L14" i="2"/>
  <c r="AW115" i="2" s="1"/>
  <c r="M14" i="2"/>
  <c r="AW114" i="2" s="1"/>
  <c r="N14" i="2"/>
  <c r="AW113" i="2" s="1"/>
  <c r="O14" i="2"/>
  <c r="AW112" i="2" s="1"/>
  <c r="P14" i="2"/>
  <c r="AW111" i="2" s="1"/>
  <c r="Q14" i="2"/>
  <c r="AW110" i="2" s="1"/>
  <c r="R14" i="2"/>
  <c r="AW109" i="2" s="1"/>
  <c r="S14" i="2"/>
  <c r="AW108" i="2" s="1"/>
  <c r="T14" i="2"/>
  <c r="AW107" i="2" s="1"/>
  <c r="U14" i="2"/>
  <c r="AW106" i="2" s="1"/>
  <c r="V14" i="2"/>
  <c r="AW105" i="2" s="1"/>
  <c r="W14" i="2"/>
  <c r="AW104" i="2" s="1"/>
  <c r="X14" i="2"/>
  <c r="AW103" i="2" s="1"/>
  <c r="Y14" i="2"/>
  <c r="AW102" i="2" s="1"/>
  <c r="Z14" i="2"/>
  <c r="AW101" i="2" s="1"/>
  <c r="AA14" i="2"/>
  <c r="AW100" i="2" s="1"/>
  <c r="AB14" i="2"/>
  <c r="AW99" i="2" s="1"/>
  <c r="AC14" i="2"/>
  <c r="AW98" i="2" s="1"/>
  <c r="AD14" i="2"/>
  <c r="AW97" i="2" s="1"/>
  <c r="AE14" i="2"/>
  <c r="AW96" i="2" s="1"/>
  <c r="AF14" i="2"/>
  <c r="AW95" i="2" s="1"/>
  <c r="AG14" i="2"/>
  <c r="AW94" i="2" s="1"/>
  <c r="AH14" i="2"/>
  <c r="AW93" i="2" s="1"/>
  <c r="AI14" i="2"/>
  <c r="AW92" i="2" s="1"/>
  <c r="AJ14" i="2"/>
  <c r="AW91" i="2" s="1"/>
  <c r="AK14" i="2"/>
  <c r="AW90" i="2" s="1"/>
  <c r="AL14" i="2"/>
  <c r="AW89" i="2" s="1"/>
  <c r="AM14" i="2"/>
  <c r="AW88" i="2" s="1"/>
  <c r="AN14" i="2"/>
  <c r="AW87" i="2" s="1"/>
  <c r="AO14" i="2"/>
  <c r="AW86" i="2" s="1"/>
  <c r="AP14" i="2"/>
  <c r="AW85" i="2" s="1"/>
  <c r="AQ14" i="2"/>
  <c r="AW84" i="2" s="1"/>
  <c r="AR14" i="2"/>
  <c r="AW83" i="2" s="1"/>
  <c r="AS14" i="2"/>
  <c r="AW82" i="2" s="1"/>
  <c r="AT14" i="2"/>
  <c r="AW81" i="2" s="1"/>
  <c r="AU14" i="2"/>
  <c r="AW80" i="2" s="1"/>
  <c r="AV14" i="2"/>
  <c r="AW79" i="2" s="1"/>
  <c r="AW14" i="2"/>
  <c r="AW78" i="2" s="1"/>
  <c r="AX14" i="2"/>
  <c r="AW77" i="2" s="1"/>
  <c r="AY14" i="2"/>
  <c r="AW76" i="2" s="1"/>
  <c r="AZ14" i="2"/>
  <c r="AW75" i="2" s="1"/>
  <c r="BA14" i="2"/>
  <c r="AW74" i="2" s="1"/>
  <c r="BB14" i="2"/>
  <c r="AW73" i="2" s="1"/>
  <c r="BC14" i="2"/>
  <c r="AW72" i="2" s="1"/>
  <c r="BD14" i="2"/>
  <c r="AW71" i="2" s="1"/>
  <c r="BE14" i="2"/>
  <c r="AW70" i="2" s="1"/>
  <c r="BF14" i="2"/>
  <c r="AW69" i="2" s="1"/>
  <c r="BG14" i="2"/>
  <c r="AW68" i="2" s="1"/>
  <c r="BH14" i="2"/>
  <c r="AW67" i="2" s="1"/>
  <c r="BI14" i="2"/>
  <c r="AW66" i="2" s="1"/>
  <c r="B15" i="2"/>
  <c r="AV125" i="2" s="1"/>
  <c r="C15" i="2"/>
  <c r="AV124" i="2" s="1"/>
  <c r="D15" i="2"/>
  <c r="AV123" i="2" s="1"/>
  <c r="E15" i="2"/>
  <c r="AV122" i="2" s="1"/>
  <c r="F15" i="2"/>
  <c r="AV121" i="2" s="1"/>
  <c r="G15" i="2"/>
  <c r="AV120" i="2" s="1"/>
  <c r="H15" i="2"/>
  <c r="AV119" i="2" s="1"/>
  <c r="I15" i="2"/>
  <c r="AV118" i="2" s="1"/>
  <c r="J15" i="2"/>
  <c r="AV117" i="2" s="1"/>
  <c r="K15" i="2"/>
  <c r="AV116" i="2" s="1"/>
  <c r="L15" i="2"/>
  <c r="AV115" i="2" s="1"/>
  <c r="M15" i="2"/>
  <c r="AV114" i="2" s="1"/>
  <c r="N15" i="2"/>
  <c r="AV113" i="2" s="1"/>
  <c r="O15" i="2"/>
  <c r="AV112" i="2" s="1"/>
  <c r="P15" i="2"/>
  <c r="AV111" i="2" s="1"/>
  <c r="Q15" i="2"/>
  <c r="AV110" i="2" s="1"/>
  <c r="R15" i="2"/>
  <c r="AV109" i="2" s="1"/>
  <c r="S15" i="2"/>
  <c r="AV108" i="2" s="1"/>
  <c r="T15" i="2"/>
  <c r="AV107" i="2" s="1"/>
  <c r="U15" i="2"/>
  <c r="AV106" i="2" s="1"/>
  <c r="V15" i="2"/>
  <c r="AV105" i="2" s="1"/>
  <c r="W15" i="2"/>
  <c r="AV104" i="2" s="1"/>
  <c r="X15" i="2"/>
  <c r="AV103" i="2" s="1"/>
  <c r="Y15" i="2"/>
  <c r="AV102" i="2" s="1"/>
  <c r="Z15" i="2"/>
  <c r="AV101" i="2" s="1"/>
  <c r="AA15" i="2"/>
  <c r="AV100" i="2" s="1"/>
  <c r="AB15" i="2"/>
  <c r="AV99" i="2" s="1"/>
  <c r="AC15" i="2"/>
  <c r="AV98" i="2" s="1"/>
  <c r="AD15" i="2"/>
  <c r="AV97" i="2" s="1"/>
  <c r="AE15" i="2"/>
  <c r="AV96" i="2" s="1"/>
  <c r="AF15" i="2"/>
  <c r="AV95" i="2" s="1"/>
  <c r="AG15" i="2"/>
  <c r="AV94" i="2" s="1"/>
  <c r="AH15" i="2"/>
  <c r="AV93" i="2" s="1"/>
  <c r="AI15" i="2"/>
  <c r="AV92" i="2" s="1"/>
  <c r="AJ15" i="2"/>
  <c r="AV91" i="2" s="1"/>
  <c r="AK15" i="2"/>
  <c r="AV90" i="2" s="1"/>
  <c r="AL15" i="2"/>
  <c r="AV89" i="2" s="1"/>
  <c r="AM15" i="2"/>
  <c r="AV88" i="2" s="1"/>
  <c r="AN15" i="2"/>
  <c r="AV87" i="2" s="1"/>
  <c r="AO15" i="2"/>
  <c r="AV86" i="2" s="1"/>
  <c r="AP15" i="2"/>
  <c r="AV85" i="2" s="1"/>
  <c r="AQ15" i="2"/>
  <c r="AV84" i="2" s="1"/>
  <c r="AR15" i="2"/>
  <c r="AV83" i="2" s="1"/>
  <c r="AS15" i="2"/>
  <c r="AV82" i="2" s="1"/>
  <c r="AT15" i="2"/>
  <c r="AV81" i="2" s="1"/>
  <c r="AU15" i="2"/>
  <c r="AV80" i="2" s="1"/>
  <c r="AV15" i="2"/>
  <c r="AV79" i="2" s="1"/>
  <c r="AW15" i="2"/>
  <c r="AV78" i="2" s="1"/>
  <c r="AX15" i="2"/>
  <c r="AV77" i="2" s="1"/>
  <c r="AY15" i="2"/>
  <c r="AV76" i="2" s="1"/>
  <c r="AZ15" i="2"/>
  <c r="AV75" i="2" s="1"/>
  <c r="BA15" i="2"/>
  <c r="AV74" i="2" s="1"/>
  <c r="BB15" i="2"/>
  <c r="AV73" i="2" s="1"/>
  <c r="BC15" i="2"/>
  <c r="AV72" i="2" s="1"/>
  <c r="BD15" i="2"/>
  <c r="AV71" i="2" s="1"/>
  <c r="BE15" i="2"/>
  <c r="AV70" i="2" s="1"/>
  <c r="BF15" i="2"/>
  <c r="AV69" i="2" s="1"/>
  <c r="BG15" i="2"/>
  <c r="AV68" i="2" s="1"/>
  <c r="BH15" i="2"/>
  <c r="AV67" i="2" s="1"/>
  <c r="BI15" i="2"/>
  <c r="AV66" i="2" s="1"/>
  <c r="B16" i="2"/>
  <c r="AU125" i="2" s="1"/>
  <c r="C16" i="2"/>
  <c r="AU124" i="2" s="1"/>
  <c r="D16" i="2"/>
  <c r="AU123" i="2" s="1"/>
  <c r="E16" i="2"/>
  <c r="AU122" i="2" s="1"/>
  <c r="F16" i="2"/>
  <c r="AU121" i="2" s="1"/>
  <c r="G16" i="2"/>
  <c r="AU120" i="2" s="1"/>
  <c r="H16" i="2"/>
  <c r="AU119" i="2" s="1"/>
  <c r="I16" i="2"/>
  <c r="AU118" i="2" s="1"/>
  <c r="J16" i="2"/>
  <c r="AU117" i="2" s="1"/>
  <c r="K16" i="2"/>
  <c r="AU116" i="2" s="1"/>
  <c r="L16" i="2"/>
  <c r="AU115" i="2" s="1"/>
  <c r="M16" i="2"/>
  <c r="AU114" i="2" s="1"/>
  <c r="N16" i="2"/>
  <c r="AU113" i="2" s="1"/>
  <c r="O16" i="2"/>
  <c r="AU112" i="2" s="1"/>
  <c r="P16" i="2"/>
  <c r="AU111" i="2" s="1"/>
  <c r="Q16" i="2"/>
  <c r="AU110" i="2" s="1"/>
  <c r="R16" i="2"/>
  <c r="AU109" i="2" s="1"/>
  <c r="S16" i="2"/>
  <c r="AU108" i="2" s="1"/>
  <c r="T16" i="2"/>
  <c r="AU107" i="2" s="1"/>
  <c r="U16" i="2"/>
  <c r="AU106" i="2" s="1"/>
  <c r="V16" i="2"/>
  <c r="AU105" i="2" s="1"/>
  <c r="W16" i="2"/>
  <c r="AU104" i="2" s="1"/>
  <c r="X16" i="2"/>
  <c r="AU103" i="2" s="1"/>
  <c r="Y16" i="2"/>
  <c r="AU102" i="2" s="1"/>
  <c r="Z16" i="2"/>
  <c r="AU101" i="2" s="1"/>
  <c r="AA16" i="2"/>
  <c r="AU100" i="2" s="1"/>
  <c r="AB16" i="2"/>
  <c r="AU99" i="2" s="1"/>
  <c r="AC16" i="2"/>
  <c r="AU98" i="2" s="1"/>
  <c r="AD16" i="2"/>
  <c r="AU97" i="2" s="1"/>
  <c r="AE16" i="2"/>
  <c r="AU96" i="2" s="1"/>
  <c r="AF16" i="2"/>
  <c r="AU95" i="2" s="1"/>
  <c r="AG16" i="2"/>
  <c r="AU94" i="2" s="1"/>
  <c r="AH16" i="2"/>
  <c r="AU93" i="2" s="1"/>
  <c r="AI16" i="2"/>
  <c r="AU92" i="2" s="1"/>
  <c r="AJ16" i="2"/>
  <c r="AU91" i="2" s="1"/>
  <c r="AK16" i="2"/>
  <c r="AU90" i="2" s="1"/>
  <c r="AL16" i="2"/>
  <c r="AU89" i="2" s="1"/>
  <c r="AM16" i="2"/>
  <c r="AU88" i="2" s="1"/>
  <c r="AN16" i="2"/>
  <c r="AU87" i="2" s="1"/>
  <c r="AO16" i="2"/>
  <c r="AU86" i="2" s="1"/>
  <c r="AP16" i="2"/>
  <c r="AU85" i="2" s="1"/>
  <c r="AQ16" i="2"/>
  <c r="AU84" i="2" s="1"/>
  <c r="AR16" i="2"/>
  <c r="AU83" i="2" s="1"/>
  <c r="AS16" i="2"/>
  <c r="AU82" i="2" s="1"/>
  <c r="AT16" i="2"/>
  <c r="AU81" i="2" s="1"/>
  <c r="AU16" i="2"/>
  <c r="AU80" i="2" s="1"/>
  <c r="AV16" i="2"/>
  <c r="AU79" i="2" s="1"/>
  <c r="AW16" i="2"/>
  <c r="AU78" i="2" s="1"/>
  <c r="AX16" i="2"/>
  <c r="AU77" i="2" s="1"/>
  <c r="AY16" i="2"/>
  <c r="AU76" i="2" s="1"/>
  <c r="AZ16" i="2"/>
  <c r="AU75" i="2" s="1"/>
  <c r="BA16" i="2"/>
  <c r="AU74" i="2" s="1"/>
  <c r="BB16" i="2"/>
  <c r="AU73" i="2" s="1"/>
  <c r="BC16" i="2"/>
  <c r="AU72" i="2" s="1"/>
  <c r="BD16" i="2"/>
  <c r="AU71" i="2" s="1"/>
  <c r="BE16" i="2"/>
  <c r="AU70" i="2" s="1"/>
  <c r="BF16" i="2"/>
  <c r="AU69" i="2" s="1"/>
  <c r="BG16" i="2"/>
  <c r="AU68" i="2" s="1"/>
  <c r="BH16" i="2"/>
  <c r="AU67" i="2" s="1"/>
  <c r="BI16" i="2"/>
  <c r="AU66" i="2" s="1"/>
  <c r="B17" i="2"/>
  <c r="AT125" i="2" s="1"/>
  <c r="C17" i="2"/>
  <c r="AT124" i="2" s="1"/>
  <c r="D17" i="2"/>
  <c r="AT123" i="2" s="1"/>
  <c r="E17" i="2"/>
  <c r="AT122" i="2" s="1"/>
  <c r="F17" i="2"/>
  <c r="AT121" i="2" s="1"/>
  <c r="G17" i="2"/>
  <c r="AT120" i="2" s="1"/>
  <c r="H17" i="2"/>
  <c r="AT119" i="2" s="1"/>
  <c r="I17" i="2"/>
  <c r="AT118" i="2" s="1"/>
  <c r="J17" i="2"/>
  <c r="AT117" i="2" s="1"/>
  <c r="K17" i="2"/>
  <c r="AT116" i="2" s="1"/>
  <c r="L17" i="2"/>
  <c r="AT115" i="2" s="1"/>
  <c r="M17" i="2"/>
  <c r="AT114" i="2" s="1"/>
  <c r="N17" i="2"/>
  <c r="AT113" i="2" s="1"/>
  <c r="O17" i="2"/>
  <c r="AT112" i="2" s="1"/>
  <c r="P17" i="2"/>
  <c r="AT111" i="2" s="1"/>
  <c r="Q17" i="2"/>
  <c r="AT110" i="2" s="1"/>
  <c r="R17" i="2"/>
  <c r="AT109" i="2" s="1"/>
  <c r="S17" i="2"/>
  <c r="AT108" i="2" s="1"/>
  <c r="T17" i="2"/>
  <c r="AT107" i="2" s="1"/>
  <c r="U17" i="2"/>
  <c r="AT106" i="2" s="1"/>
  <c r="V17" i="2"/>
  <c r="AT105" i="2" s="1"/>
  <c r="W17" i="2"/>
  <c r="AT104" i="2" s="1"/>
  <c r="X17" i="2"/>
  <c r="AT103" i="2" s="1"/>
  <c r="Y17" i="2"/>
  <c r="AT102" i="2" s="1"/>
  <c r="Z17" i="2"/>
  <c r="AT101" i="2" s="1"/>
  <c r="AA17" i="2"/>
  <c r="AT100" i="2" s="1"/>
  <c r="AB17" i="2"/>
  <c r="AT99" i="2" s="1"/>
  <c r="AC17" i="2"/>
  <c r="AT98" i="2" s="1"/>
  <c r="AD17" i="2"/>
  <c r="AT97" i="2" s="1"/>
  <c r="AE17" i="2"/>
  <c r="AT96" i="2" s="1"/>
  <c r="AF17" i="2"/>
  <c r="AT95" i="2" s="1"/>
  <c r="AG17" i="2"/>
  <c r="AT94" i="2" s="1"/>
  <c r="AH17" i="2"/>
  <c r="AT93" i="2" s="1"/>
  <c r="AI17" i="2"/>
  <c r="AT92" i="2" s="1"/>
  <c r="AJ17" i="2"/>
  <c r="AT91" i="2" s="1"/>
  <c r="AK17" i="2"/>
  <c r="AT90" i="2" s="1"/>
  <c r="AL17" i="2"/>
  <c r="AT89" i="2" s="1"/>
  <c r="AM17" i="2"/>
  <c r="AT88" i="2" s="1"/>
  <c r="AN17" i="2"/>
  <c r="AT87" i="2" s="1"/>
  <c r="AO17" i="2"/>
  <c r="AT86" i="2" s="1"/>
  <c r="AP17" i="2"/>
  <c r="AT85" i="2" s="1"/>
  <c r="AQ17" i="2"/>
  <c r="AT84" i="2" s="1"/>
  <c r="AR17" i="2"/>
  <c r="AT83" i="2" s="1"/>
  <c r="AS17" i="2"/>
  <c r="AT82" i="2" s="1"/>
  <c r="AT17" i="2"/>
  <c r="AT81" i="2" s="1"/>
  <c r="AU17" i="2"/>
  <c r="AT80" i="2" s="1"/>
  <c r="AV17" i="2"/>
  <c r="AT79" i="2" s="1"/>
  <c r="AW17" i="2"/>
  <c r="AT78" i="2" s="1"/>
  <c r="AX17" i="2"/>
  <c r="AT77" i="2" s="1"/>
  <c r="AY17" i="2"/>
  <c r="AT76" i="2" s="1"/>
  <c r="AZ17" i="2"/>
  <c r="AT75" i="2" s="1"/>
  <c r="BA17" i="2"/>
  <c r="AT74" i="2" s="1"/>
  <c r="BB17" i="2"/>
  <c r="AT73" i="2" s="1"/>
  <c r="BC17" i="2"/>
  <c r="AT72" i="2" s="1"/>
  <c r="BD17" i="2"/>
  <c r="AT71" i="2" s="1"/>
  <c r="BE17" i="2"/>
  <c r="AT70" i="2" s="1"/>
  <c r="BF17" i="2"/>
  <c r="AT69" i="2" s="1"/>
  <c r="BG17" i="2"/>
  <c r="AT68" i="2" s="1"/>
  <c r="BH17" i="2"/>
  <c r="AT67" i="2" s="1"/>
  <c r="BI17" i="2"/>
  <c r="AT66" i="2" s="1"/>
  <c r="B18" i="2"/>
  <c r="AS125" i="2" s="1"/>
  <c r="C18" i="2"/>
  <c r="AS124" i="2" s="1"/>
  <c r="D18" i="2"/>
  <c r="AS123" i="2" s="1"/>
  <c r="E18" i="2"/>
  <c r="AS122" i="2" s="1"/>
  <c r="F18" i="2"/>
  <c r="AS121" i="2" s="1"/>
  <c r="G18" i="2"/>
  <c r="AS120" i="2" s="1"/>
  <c r="H18" i="2"/>
  <c r="AS119" i="2" s="1"/>
  <c r="I18" i="2"/>
  <c r="AS118" i="2" s="1"/>
  <c r="J18" i="2"/>
  <c r="AS117" i="2" s="1"/>
  <c r="K18" i="2"/>
  <c r="AS116" i="2" s="1"/>
  <c r="L18" i="2"/>
  <c r="AS115" i="2" s="1"/>
  <c r="M18" i="2"/>
  <c r="AS114" i="2" s="1"/>
  <c r="N18" i="2"/>
  <c r="AS113" i="2" s="1"/>
  <c r="O18" i="2"/>
  <c r="AS112" i="2" s="1"/>
  <c r="P18" i="2"/>
  <c r="AS111" i="2" s="1"/>
  <c r="Q18" i="2"/>
  <c r="AS110" i="2" s="1"/>
  <c r="R18" i="2"/>
  <c r="AS109" i="2" s="1"/>
  <c r="S18" i="2"/>
  <c r="AS108" i="2" s="1"/>
  <c r="T18" i="2"/>
  <c r="AS107" i="2" s="1"/>
  <c r="U18" i="2"/>
  <c r="AS106" i="2" s="1"/>
  <c r="V18" i="2"/>
  <c r="AS105" i="2" s="1"/>
  <c r="W18" i="2"/>
  <c r="AS104" i="2" s="1"/>
  <c r="X18" i="2"/>
  <c r="AS103" i="2" s="1"/>
  <c r="Y18" i="2"/>
  <c r="AS102" i="2" s="1"/>
  <c r="Z18" i="2"/>
  <c r="AS101" i="2" s="1"/>
  <c r="AA18" i="2"/>
  <c r="AS100" i="2" s="1"/>
  <c r="AB18" i="2"/>
  <c r="AS99" i="2" s="1"/>
  <c r="AC18" i="2"/>
  <c r="AS98" i="2" s="1"/>
  <c r="AD18" i="2"/>
  <c r="AS97" i="2" s="1"/>
  <c r="AE18" i="2"/>
  <c r="AS96" i="2" s="1"/>
  <c r="AF18" i="2"/>
  <c r="AS95" i="2" s="1"/>
  <c r="AG18" i="2"/>
  <c r="AS94" i="2" s="1"/>
  <c r="AH18" i="2"/>
  <c r="AS93" i="2" s="1"/>
  <c r="AI18" i="2"/>
  <c r="AS92" i="2" s="1"/>
  <c r="AJ18" i="2"/>
  <c r="AS91" i="2" s="1"/>
  <c r="AK18" i="2"/>
  <c r="AS90" i="2" s="1"/>
  <c r="AL18" i="2"/>
  <c r="AS89" i="2" s="1"/>
  <c r="AM18" i="2"/>
  <c r="AS88" i="2" s="1"/>
  <c r="AN18" i="2"/>
  <c r="AS87" i="2" s="1"/>
  <c r="AO18" i="2"/>
  <c r="AS86" i="2" s="1"/>
  <c r="AP18" i="2"/>
  <c r="AS85" i="2" s="1"/>
  <c r="AQ18" i="2"/>
  <c r="AS84" i="2" s="1"/>
  <c r="AR18" i="2"/>
  <c r="AS83" i="2" s="1"/>
  <c r="AS18" i="2"/>
  <c r="AS82" i="2" s="1"/>
  <c r="AT18" i="2"/>
  <c r="AS81" i="2" s="1"/>
  <c r="AU18" i="2"/>
  <c r="AS80" i="2" s="1"/>
  <c r="AV18" i="2"/>
  <c r="AS79" i="2" s="1"/>
  <c r="AW18" i="2"/>
  <c r="AS78" i="2" s="1"/>
  <c r="AX18" i="2"/>
  <c r="AS77" i="2" s="1"/>
  <c r="AY18" i="2"/>
  <c r="AS76" i="2" s="1"/>
  <c r="AZ18" i="2"/>
  <c r="AS75" i="2" s="1"/>
  <c r="BA18" i="2"/>
  <c r="AS74" i="2" s="1"/>
  <c r="BB18" i="2"/>
  <c r="AS73" i="2" s="1"/>
  <c r="BC18" i="2"/>
  <c r="AS72" i="2" s="1"/>
  <c r="BD18" i="2"/>
  <c r="AS71" i="2" s="1"/>
  <c r="BE18" i="2"/>
  <c r="AS70" i="2" s="1"/>
  <c r="BF18" i="2"/>
  <c r="AS69" i="2" s="1"/>
  <c r="BG18" i="2"/>
  <c r="AS68" i="2" s="1"/>
  <c r="BH18" i="2"/>
  <c r="AS67" i="2" s="1"/>
  <c r="BI18" i="2"/>
  <c r="AS66" i="2" s="1"/>
  <c r="B19" i="2"/>
  <c r="AR125" i="2" s="1"/>
  <c r="C19" i="2"/>
  <c r="AR124" i="2" s="1"/>
  <c r="D19" i="2"/>
  <c r="AR123" i="2" s="1"/>
  <c r="E19" i="2"/>
  <c r="AR122" i="2" s="1"/>
  <c r="F19" i="2"/>
  <c r="AR121" i="2" s="1"/>
  <c r="G19" i="2"/>
  <c r="AR120" i="2" s="1"/>
  <c r="H19" i="2"/>
  <c r="AR119" i="2" s="1"/>
  <c r="I19" i="2"/>
  <c r="AR118" i="2" s="1"/>
  <c r="J19" i="2"/>
  <c r="AR117" i="2" s="1"/>
  <c r="K19" i="2"/>
  <c r="AR116" i="2" s="1"/>
  <c r="L19" i="2"/>
  <c r="AR115" i="2" s="1"/>
  <c r="M19" i="2"/>
  <c r="AR114" i="2" s="1"/>
  <c r="N19" i="2"/>
  <c r="AR113" i="2" s="1"/>
  <c r="O19" i="2"/>
  <c r="AR112" i="2" s="1"/>
  <c r="P19" i="2"/>
  <c r="AR111" i="2" s="1"/>
  <c r="Q19" i="2"/>
  <c r="AR110" i="2" s="1"/>
  <c r="R19" i="2"/>
  <c r="AR109" i="2" s="1"/>
  <c r="S19" i="2"/>
  <c r="AR108" i="2" s="1"/>
  <c r="T19" i="2"/>
  <c r="AR107" i="2" s="1"/>
  <c r="U19" i="2"/>
  <c r="AR106" i="2" s="1"/>
  <c r="V19" i="2"/>
  <c r="AR105" i="2" s="1"/>
  <c r="W19" i="2"/>
  <c r="AR104" i="2" s="1"/>
  <c r="X19" i="2"/>
  <c r="AR103" i="2" s="1"/>
  <c r="Y19" i="2"/>
  <c r="AR102" i="2" s="1"/>
  <c r="Z19" i="2"/>
  <c r="AR101" i="2" s="1"/>
  <c r="AA19" i="2"/>
  <c r="AR100" i="2" s="1"/>
  <c r="AB19" i="2"/>
  <c r="AR99" i="2" s="1"/>
  <c r="AC19" i="2"/>
  <c r="AR98" i="2" s="1"/>
  <c r="AD19" i="2"/>
  <c r="AR97" i="2" s="1"/>
  <c r="AE19" i="2"/>
  <c r="AR96" i="2" s="1"/>
  <c r="AF19" i="2"/>
  <c r="AR95" i="2" s="1"/>
  <c r="AG19" i="2"/>
  <c r="AR94" i="2" s="1"/>
  <c r="AH19" i="2"/>
  <c r="AR93" i="2" s="1"/>
  <c r="AI19" i="2"/>
  <c r="AR92" i="2" s="1"/>
  <c r="AJ19" i="2"/>
  <c r="AR91" i="2" s="1"/>
  <c r="AK19" i="2"/>
  <c r="AR90" i="2" s="1"/>
  <c r="AL19" i="2"/>
  <c r="AR89" i="2" s="1"/>
  <c r="AM19" i="2"/>
  <c r="AR88" i="2" s="1"/>
  <c r="AN19" i="2"/>
  <c r="AR87" i="2" s="1"/>
  <c r="AO19" i="2"/>
  <c r="AR86" i="2" s="1"/>
  <c r="AP19" i="2"/>
  <c r="AR85" i="2" s="1"/>
  <c r="AQ19" i="2"/>
  <c r="AR84" i="2" s="1"/>
  <c r="AR19" i="2"/>
  <c r="AR83" i="2" s="1"/>
  <c r="AS19" i="2"/>
  <c r="AR82" i="2" s="1"/>
  <c r="AT19" i="2"/>
  <c r="AR81" i="2" s="1"/>
  <c r="AU19" i="2"/>
  <c r="AR80" i="2" s="1"/>
  <c r="AV19" i="2"/>
  <c r="AR79" i="2" s="1"/>
  <c r="AW19" i="2"/>
  <c r="AR78" i="2" s="1"/>
  <c r="AX19" i="2"/>
  <c r="AR77" i="2" s="1"/>
  <c r="AY19" i="2"/>
  <c r="AR76" i="2" s="1"/>
  <c r="AZ19" i="2"/>
  <c r="AR75" i="2" s="1"/>
  <c r="BA19" i="2"/>
  <c r="AR74" i="2" s="1"/>
  <c r="BB19" i="2"/>
  <c r="AR73" i="2" s="1"/>
  <c r="BC19" i="2"/>
  <c r="AR72" i="2" s="1"/>
  <c r="BD19" i="2"/>
  <c r="AR71" i="2" s="1"/>
  <c r="BE19" i="2"/>
  <c r="AR70" i="2" s="1"/>
  <c r="BF19" i="2"/>
  <c r="AR69" i="2" s="1"/>
  <c r="BG19" i="2"/>
  <c r="AR68" i="2" s="1"/>
  <c r="BH19" i="2"/>
  <c r="AR67" i="2" s="1"/>
  <c r="BI19" i="2"/>
  <c r="AR66" i="2" s="1"/>
  <c r="B20" i="2"/>
  <c r="AQ125" i="2" s="1"/>
  <c r="C20" i="2"/>
  <c r="AQ124" i="2" s="1"/>
  <c r="D20" i="2"/>
  <c r="AQ123" i="2" s="1"/>
  <c r="E20" i="2"/>
  <c r="AQ122" i="2" s="1"/>
  <c r="F20" i="2"/>
  <c r="AQ121" i="2" s="1"/>
  <c r="G20" i="2"/>
  <c r="AQ120" i="2" s="1"/>
  <c r="H20" i="2"/>
  <c r="AQ119" i="2" s="1"/>
  <c r="I20" i="2"/>
  <c r="AQ118" i="2" s="1"/>
  <c r="J20" i="2"/>
  <c r="AQ117" i="2" s="1"/>
  <c r="K20" i="2"/>
  <c r="AQ116" i="2" s="1"/>
  <c r="L20" i="2"/>
  <c r="AQ115" i="2" s="1"/>
  <c r="M20" i="2"/>
  <c r="AQ114" i="2" s="1"/>
  <c r="N20" i="2"/>
  <c r="AQ113" i="2" s="1"/>
  <c r="O20" i="2"/>
  <c r="AQ112" i="2" s="1"/>
  <c r="P20" i="2"/>
  <c r="AQ111" i="2" s="1"/>
  <c r="Q20" i="2"/>
  <c r="AQ110" i="2" s="1"/>
  <c r="R20" i="2"/>
  <c r="AQ109" i="2" s="1"/>
  <c r="S20" i="2"/>
  <c r="AQ108" i="2" s="1"/>
  <c r="T20" i="2"/>
  <c r="AQ107" i="2" s="1"/>
  <c r="U20" i="2"/>
  <c r="AQ106" i="2" s="1"/>
  <c r="V20" i="2"/>
  <c r="AQ105" i="2" s="1"/>
  <c r="W20" i="2"/>
  <c r="AQ104" i="2" s="1"/>
  <c r="X20" i="2"/>
  <c r="AQ103" i="2" s="1"/>
  <c r="Y20" i="2"/>
  <c r="AQ102" i="2" s="1"/>
  <c r="Z20" i="2"/>
  <c r="AQ101" i="2" s="1"/>
  <c r="AA20" i="2"/>
  <c r="AQ100" i="2" s="1"/>
  <c r="AB20" i="2"/>
  <c r="AQ99" i="2" s="1"/>
  <c r="AC20" i="2"/>
  <c r="AQ98" i="2" s="1"/>
  <c r="AD20" i="2"/>
  <c r="AQ97" i="2" s="1"/>
  <c r="AE20" i="2"/>
  <c r="AQ96" i="2" s="1"/>
  <c r="AF20" i="2"/>
  <c r="AQ95" i="2" s="1"/>
  <c r="AG20" i="2"/>
  <c r="AQ94" i="2" s="1"/>
  <c r="AH20" i="2"/>
  <c r="AQ93" i="2" s="1"/>
  <c r="AI20" i="2"/>
  <c r="AQ92" i="2" s="1"/>
  <c r="AJ20" i="2"/>
  <c r="AQ91" i="2" s="1"/>
  <c r="AK20" i="2"/>
  <c r="AQ90" i="2" s="1"/>
  <c r="AL20" i="2"/>
  <c r="AQ89" i="2" s="1"/>
  <c r="AM20" i="2"/>
  <c r="AQ88" i="2" s="1"/>
  <c r="AN20" i="2"/>
  <c r="AQ87" i="2" s="1"/>
  <c r="AO20" i="2"/>
  <c r="AQ86" i="2" s="1"/>
  <c r="AP20" i="2"/>
  <c r="AQ85" i="2" s="1"/>
  <c r="AQ20" i="2"/>
  <c r="AQ84" i="2" s="1"/>
  <c r="AR20" i="2"/>
  <c r="AQ83" i="2" s="1"/>
  <c r="AS20" i="2"/>
  <c r="AQ82" i="2" s="1"/>
  <c r="AT20" i="2"/>
  <c r="AQ81" i="2" s="1"/>
  <c r="AU20" i="2"/>
  <c r="AQ80" i="2" s="1"/>
  <c r="AV20" i="2"/>
  <c r="AQ79" i="2" s="1"/>
  <c r="AW20" i="2"/>
  <c r="AQ78" i="2" s="1"/>
  <c r="AX20" i="2"/>
  <c r="AQ77" i="2" s="1"/>
  <c r="AY20" i="2"/>
  <c r="AQ76" i="2" s="1"/>
  <c r="AZ20" i="2"/>
  <c r="AQ75" i="2" s="1"/>
  <c r="BA20" i="2"/>
  <c r="AQ74" i="2" s="1"/>
  <c r="BB20" i="2"/>
  <c r="AQ73" i="2" s="1"/>
  <c r="BC20" i="2"/>
  <c r="AQ72" i="2" s="1"/>
  <c r="BD20" i="2"/>
  <c r="AQ71" i="2" s="1"/>
  <c r="BE20" i="2"/>
  <c r="AQ70" i="2" s="1"/>
  <c r="BF20" i="2"/>
  <c r="AQ69" i="2" s="1"/>
  <c r="BG20" i="2"/>
  <c r="AQ68" i="2" s="1"/>
  <c r="BH20" i="2"/>
  <c r="AQ67" i="2" s="1"/>
  <c r="BI20" i="2"/>
  <c r="AQ66" i="2" s="1"/>
  <c r="B21" i="2"/>
  <c r="AP125" i="2" s="1"/>
  <c r="C21" i="2"/>
  <c r="AP124" i="2" s="1"/>
  <c r="D21" i="2"/>
  <c r="AP123" i="2" s="1"/>
  <c r="E21" i="2"/>
  <c r="AP122" i="2" s="1"/>
  <c r="F21" i="2"/>
  <c r="AP121" i="2" s="1"/>
  <c r="G21" i="2"/>
  <c r="AP120" i="2" s="1"/>
  <c r="H21" i="2"/>
  <c r="AP119" i="2" s="1"/>
  <c r="I21" i="2"/>
  <c r="AP118" i="2" s="1"/>
  <c r="J21" i="2"/>
  <c r="AP117" i="2" s="1"/>
  <c r="K21" i="2"/>
  <c r="AP116" i="2" s="1"/>
  <c r="L21" i="2"/>
  <c r="AP115" i="2" s="1"/>
  <c r="M21" i="2"/>
  <c r="AP114" i="2" s="1"/>
  <c r="N21" i="2"/>
  <c r="AP113" i="2" s="1"/>
  <c r="O21" i="2"/>
  <c r="AP112" i="2" s="1"/>
  <c r="P21" i="2"/>
  <c r="AP111" i="2" s="1"/>
  <c r="Q21" i="2"/>
  <c r="AP110" i="2" s="1"/>
  <c r="R21" i="2"/>
  <c r="AP109" i="2" s="1"/>
  <c r="S21" i="2"/>
  <c r="AP108" i="2" s="1"/>
  <c r="T21" i="2"/>
  <c r="AP107" i="2" s="1"/>
  <c r="U21" i="2"/>
  <c r="AP106" i="2" s="1"/>
  <c r="V21" i="2"/>
  <c r="AP105" i="2" s="1"/>
  <c r="W21" i="2"/>
  <c r="AP104" i="2" s="1"/>
  <c r="X21" i="2"/>
  <c r="AP103" i="2" s="1"/>
  <c r="Y21" i="2"/>
  <c r="AP102" i="2" s="1"/>
  <c r="Z21" i="2"/>
  <c r="AP101" i="2" s="1"/>
  <c r="AA21" i="2"/>
  <c r="AP100" i="2" s="1"/>
  <c r="AB21" i="2"/>
  <c r="AP99" i="2" s="1"/>
  <c r="AC21" i="2"/>
  <c r="AP98" i="2" s="1"/>
  <c r="AD21" i="2"/>
  <c r="AP97" i="2" s="1"/>
  <c r="AE21" i="2"/>
  <c r="AP96" i="2" s="1"/>
  <c r="AF21" i="2"/>
  <c r="AP95" i="2" s="1"/>
  <c r="AG21" i="2"/>
  <c r="AP94" i="2" s="1"/>
  <c r="AH21" i="2"/>
  <c r="AP93" i="2" s="1"/>
  <c r="AI21" i="2"/>
  <c r="AP92" i="2" s="1"/>
  <c r="AJ21" i="2"/>
  <c r="AP91" i="2" s="1"/>
  <c r="AK21" i="2"/>
  <c r="AP90" i="2" s="1"/>
  <c r="AL21" i="2"/>
  <c r="AP89" i="2" s="1"/>
  <c r="AM21" i="2"/>
  <c r="AP88" i="2" s="1"/>
  <c r="AN21" i="2"/>
  <c r="AP87" i="2" s="1"/>
  <c r="AO21" i="2"/>
  <c r="AP86" i="2" s="1"/>
  <c r="AP21" i="2"/>
  <c r="AP85" i="2" s="1"/>
  <c r="AQ21" i="2"/>
  <c r="AP84" i="2" s="1"/>
  <c r="AR21" i="2"/>
  <c r="AP83" i="2" s="1"/>
  <c r="AS21" i="2"/>
  <c r="AP82" i="2" s="1"/>
  <c r="AT21" i="2"/>
  <c r="AP81" i="2" s="1"/>
  <c r="AU21" i="2"/>
  <c r="AP80" i="2" s="1"/>
  <c r="AV21" i="2"/>
  <c r="AP79" i="2" s="1"/>
  <c r="AW21" i="2"/>
  <c r="AP78" i="2" s="1"/>
  <c r="AX21" i="2"/>
  <c r="AP77" i="2" s="1"/>
  <c r="AY21" i="2"/>
  <c r="AP76" i="2" s="1"/>
  <c r="AZ21" i="2"/>
  <c r="AP75" i="2" s="1"/>
  <c r="BA21" i="2"/>
  <c r="AP74" i="2" s="1"/>
  <c r="BB21" i="2"/>
  <c r="AP73" i="2" s="1"/>
  <c r="BC21" i="2"/>
  <c r="AP72" i="2" s="1"/>
  <c r="BD21" i="2"/>
  <c r="AP71" i="2" s="1"/>
  <c r="BE21" i="2"/>
  <c r="AP70" i="2" s="1"/>
  <c r="BF21" i="2"/>
  <c r="AP69" i="2" s="1"/>
  <c r="BG21" i="2"/>
  <c r="AP68" i="2" s="1"/>
  <c r="BH21" i="2"/>
  <c r="AP67" i="2" s="1"/>
  <c r="BI21" i="2"/>
  <c r="AP66" i="2" s="1"/>
  <c r="B22" i="2"/>
  <c r="AO125" i="2" s="1"/>
  <c r="C22" i="2"/>
  <c r="AO124" i="2" s="1"/>
  <c r="D22" i="2"/>
  <c r="AO123" i="2" s="1"/>
  <c r="E22" i="2"/>
  <c r="AO122" i="2" s="1"/>
  <c r="F22" i="2"/>
  <c r="AO121" i="2" s="1"/>
  <c r="G22" i="2"/>
  <c r="AO120" i="2" s="1"/>
  <c r="H22" i="2"/>
  <c r="AO119" i="2" s="1"/>
  <c r="I22" i="2"/>
  <c r="AO118" i="2" s="1"/>
  <c r="J22" i="2"/>
  <c r="AO117" i="2" s="1"/>
  <c r="K22" i="2"/>
  <c r="AO116" i="2" s="1"/>
  <c r="L22" i="2"/>
  <c r="AO115" i="2" s="1"/>
  <c r="M22" i="2"/>
  <c r="AO114" i="2" s="1"/>
  <c r="N22" i="2"/>
  <c r="AO113" i="2" s="1"/>
  <c r="O22" i="2"/>
  <c r="AO112" i="2" s="1"/>
  <c r="P22" i="2"/>
  <c r="AO111" i="2" s="1"/>
  <c r="Q22" i="2"/>
  <c r="AO110" i="2" s="1"/>
  <c r="R22" i="2"/>
  <c r="AO109" i="2" s="1"/>
  <c r="S22" i="2"/>
  <c r="AO108" i="2" s="1"/>
  <c r="T22" i="2"/>
  <c r="AO107" i="2" s="1"/>
  <c r="U22" i="2"/>
  <c r="AO106" i="2" s="1"/>
  <c r="V22" i="2"/>
  <c r="AO105" i="2" s="1"/>
  <c r="W22" i="2"/>
  <c r="AO104" i="2" s="1"/>
  <c r="X22" i="2"/>
  <c r="AO103" i="2" s="1"/>
  <c r="Y22" i="2"/>
  <c r="AO102" i="2" s="1"/>
  <c r="Z22" i="2"/>
  <c r="AO101" i="2" s="1"/>
  <c r="AA22" i="2"/>
  <c r="AO100" i="2" s="1"/>
  <c r="AB22" i="2"/>
  <c r="AO99" i="2" s="1"/>
  <c r="AC22" i="2"/>
  <c r="AO98" i="2" s="1"/>
  <c r="AD22" i="2"/>
  <c r="AO97" i="2" s="1"/>
  <c r="AE22" i="2"/>
  <c r="AO96" i="2" s="1"/>
  <c r="AF22" i="2"/>
  <c r="AO95" i="2" s="1"/>
  <c r="AG22" i="2"/>
  <c r="AO94" i="2" s="1"/>
  <c r="AH22" i="2"/>
  <c r="AO93" i="2" s="1"/>
  <c r="AI22" i="2"/>
  <c r="AO92" i="2" s="1"/>
  <c r="AJ22" i="2"/>
  <c r="AO91" i="2" s="1"/>
  <c r="AK22" i="2"/>
  <c r="AO90" i="2" s="1"/>
  <c r="AL22" i="2"/>
  <c r="AO89" i="2" s="1"/>
  <c r="AM22" i="2"/>
  <c r="AO88" i="2" s="1"/>
  <c r="AN22" i="2"/>
  <c r="AO87" i="2" s="1"/>
  <c r="AO22" i="2"/>
  <c r="AO86" i="2" s="1"/>
  <c r="AP22" i="2"/>
  <c r="AO85" i="2" s="1"/>
  <c r="AQ22" i="2"/>
  <c r="AO84" i="2" s="1"/>
  <c r="AR22" i="2"/>
  <c r="AO83" i="2" s="1"/>
  <c r="AS22" i="2"/>
  <c r="AO82" i="2" s="1"/>
  <c r="AT22" i="2"/>
  <c r="AO81" i="2" s="1"/>
  <c r="AU22" i="2"/>
  <c r="AO80" i="2" s="1"/>
  <c r="AV22" i="2"/>
  <c r="AO79" i="2" s="1"/>
  <c r="AW22" i="2"/>
  <c r="AO78" i="2" s="1"/>
  <c r="AX22" i="2"/>
  <c r="AO77" i="2" s="1"/>
  <c r="AY22" i="2"/>
  <c r="AO76" i="2" s="1"/>
  <c r="AZ22" i="2"/>
  <c r="AO75" i="2" s="1"/>
  <c r="BA22" i="2"/>
  <c r="AO74" i="2" s="1"/>
  <c r="BB22" i="2"/>
  <c r="AO73" i="2" s="1"/>
  <c r="BC22" i="2"/>
  <c r="AO72" i="2" s="1"/>
  <c r="BD22" i="2"/>
  <c r="AO71" i="2" s="1"/>
  <c r="BE22" i="2"/>
  <c r="AO70" i="2" s="1"/>
  <c r="BF22" i="2"/>
  <c r="AO69" i="2" s="1"/>
  <c r="BG22" i="2"/>
  <c r="AO68" i="2" s="1"/>
  <c r="BH22" i="2"/>
  <c r="AO67" i="2" s="1"/>
  <c r="BI22" i="2"/>
  <c r="AO66" i="2" s="1"/>
  <c r="B23" i="2"/>
  <c r="AN125" i="2" s="1"/>
  <c r="C23" i="2"/>
  <c r="AN124" i="2" s="1"/>
  <c r="D23" i="2"/>
  <c r="AN123" i="2" s="1"/>
  <c r="E23" i="2"/>
  <c r="AN122" i="2" s="1"/>
  <c r="F23" i="2"/>
  <c r="AN121" i="2" s="1"/>
  <c r="G23" i="2"/>
  <c r="AN120" i="2" s="1"/>
  <c r="H23" i="2"/>
  <c r="AN119" i="2" s="1"/>
  <c r="I23" i="2"/>
  <c r="AN118" i="2" s="1"/>
  <c r="J23" i="2"/>
  <c r="AN117" i="2" s="1"/>
  <c r="K23" i="2"/>
  <c r="AN116" i="2" s="1"/>
  <c r="L23" i="2"/>
  <c r="AN115" i="2" s="1"/>
  <c r="M23" i="2"/>
  <c r="AN114" i="2" s="1"/>
  <c r="N23" i="2"/>
  <c r="AN113" i="2" s="1"/>
  <c r="O23" i="2"/>
  <c r="AN112" i="2" s="1"/>
  <c r="P23" i="2"/>
  <c r="AN111" i="2" s="1"/>
  <c r="Q23" i="2"/>
  <c r="AN110" i="2" s="1"/>
  <c r="R23" i="2"/>
  <c r="AN109" i="2" s="1"/>
  <c r="S23" i="2"/>
  <c r="AN108" i="2" s="1"/>
  <c r="T23" i="2"/>
  <c r="AN107" i="2" s="1"/>
  <c r="U23" i="2"/>
  <c r="AN106" i="2" s="1"/>
  <c r="V23" i="2"/>
  <c r="AN105" i="2" s="1"/>
  <c r="W23" i="2"/>
  <c r="AN104" i="2" s="1"/>
  <c r="X23" i="2"/>
  <c r="AN103" i="2" s="1"/>
  <c r="Y23" i="2"/>
  <c r="AN102" i="2" s="1"/>
  <c r="Z23" i="2"/>
  <c r="AN101" i="2" s="1"/>
  <c r="AA23" i="2"/>
  <c r="AN100" i="2" s="1"/>
  <c r="AB23" i="2"/>
  <c r="AN99" i="2" s="1"/>
  <c r="AC23" i="2"/>
  <c r="AN98" i="2" s="1"/>
  <c r="AD23" i="2"/>
  <c r="AN97" i="2" s="1"/>
  <c r="AE23" i="2"/>
  <c r="AN96" i="2" s="1"/>
  <c r="AF23" i="2"/>
  <c r="AN95" i="2" s="1"/>
  <c r="AG23" i="2"/>
  <c r="AN94" i="2" s="1"/>
  <c r="AH23" i="2"/>
  <c r="AN93" i="2" s="1"/>
  <c r="AI23" i="2"/>
  <c r="AN92" i="2" s="1"/>
  <c r="AJ23" i="2"/>
  <c r="AN91" i="2" s="1"/>
  <c r="AK23" i="2"/>
  <c r="AN90" i="2" s="1"/>
  <c r="AL23" i="2"/>
  <c r="AN89" i="2" s="1"/>
  <c r="AM23" i="2"/>
  <c r="AN88" i="2" s="1"/>
  <c r="AN23" i="2"/>
  <c r="AN87" i="2" s="1"/>
  <c r="AO23" i="2"/>
  <c r="AN86" i="2" s="1"/>
  <c r="AP23" i="2"/>
  <c r="AN85" i="2" s="1"/>
  <c r="AQ23" i="2"/>
  <c r="AN84" i="2" s="1"/>
  <c r="AR23" i="2"/>
  <c r="AN83" i="2" s="1"/>
  <c r="AS23" i="2"/>
  <c r="AN82" i="2" s="1"/>
  <c r="AT23" i="2"/>
  <c r="AN81" i="2" s="1"/>
  <c r="AU23" i="2"/>
  <c r="AN80" i="2" s="1"/>
  <c r="AV23" i="2"/>
  <c r="AN79" i="2" s="1"/>
  <c r="AW23" i="2"/>
  <c r="AN78" i="2" s="1"/>
  <c r="AX23" i="2"/>
  <c r="AN77" i="2" s="1"/>
  <c r="AY23" i="2"/>
  <c r="AN76" i="2" s="1"/>
  <c r="AZ23" i="2"/>
  <c r="AN75" i="2" s="1"/>
  <c r="BA23" i="2"/>
  <c r="AN74" i="2" s="1"/>
  <c r="BB23" i="2"/>
  <c r="AN73" i="2" s="1"/>
  <c r="BC23" i="2"/>
  <c r="AN72" i="2" s="1"/>
  <c r="BD23" i="2"/>
  <c r="AN71" i="2" s="1"/>
  <c r="BE23" i="2"/>
  <c r="AN70" i="2" s="1"/>
  <c r="BF23" i="2"/>
  <c r="AN69" i="2" s="1"/>
  <c r="BG23" i="2"/>
  <c r="AN68" i="2" s="1"/>
  <c r="BH23" i="2"/>
  <c r="AN67" i="2" s="1"/>
  <c r="BI23" i="2"/>
  <c r="AN66" i="2" s="1"/>
  <c r="B24" i="2"/>
  <c r="AM125" i="2" s="1"/>
  <c r="C24" i="2"/>
  <c r="AM124" i="2" s="1"/>
  <c r="D24" i="2"/>
  <c r="AM123" i="2" s="1"/>
  <c r="E24" i="2"/>
  <c r="AM122" i="2" s="1"/>
  <c r="F24" i="2"/>
  <c r="AM121" i="2" s="1"/>
  <c r="G24" i="2"/>
  <c r="AM120" i="2" s="1"/>
  <c r="H24" i="2"/>
  <c r="AM119" i="2" s="1"/>
  <c r="I24" i="2"/>
  <c r="AM118" i="2" s="1"/>
  <c r="J24" i="2"/>
  <c r="AM117" i="2" s="1"/>
  <c r="K24" i="2"/>
  <c r="AM116" i="2" s="1"/>
  <c r="L24" i="2"/>
  <c r="AM115" i="2" s="1"/>
  <c r="M24" i="2"/>
  <c r="AM114" i="2" s="1"/>
  <c r="N24" i="2"/>
  <c r="AM113" i="2" s="1"/>
  <c r="O24" i="2"/>
  <c r="AM112" i="2" s="1"/>
  <c r="P24" i="2"/>
  <c r="AM111" i="2" s="1"/>
  <c r="Q24" i="2"/>
  <c r="AM110" i="2" s="1"/>
  <c r="R24" i="2"/>
  <c r="AM109" i="2" s="1"/>
  <c r="S24" i="2"/>
  <c r="AM108" i="2" s="1"/>
  <c r="T24" i="2"/>
  <c r="AM107" i="2" s="1"/>
  <c r="U24" i="2"/>
  <c r="AM106" i="2" s="1"/>
  <c r="V24" i="2"/>
  <c r="AM105" i="2" s="1"/>
  <c r="W24" i="2"/>
  <c r="AM104" i="2" s="1"/>
  <c r="X24" i="2"/>
  <c r="AM103" i="2" s="1"/>
  <c r="Y24" i="2"/>
  <c r="AM102" i="2" s="1"/>
  <c r="Z24" i="2"/>
  <c r="AM101" i="2" s="1"/>
  <c r="AA24" i="2"/>
  <c r="AM100" i="2" s="1"/>
  <c r="AB24" i="2"/>
  <c r="AM99" i="2" s="1"/>
  <c r="AC24" i="2"/>
  <c r="AM98" i="2" s="1"/>
  <c r="AD24" i="2"/>
  <c r="AM97" i="2" s="1"/>
  <c r="AE24" i="2"/>
  <c r="AM96" i="2" s="1"/>
  <c r="AF24" i="2"/>
  <c r="AM95" i="2" s="1"/>
  <c r="AG24" i="2"/>
  <c r="AM94" i="2" s="1"/>
  <c r="AH24" i="2"/>
  <c r="AM93" i="2" s="1"/>
  <c r="AI24" i="2"/>
  <c r="AM92" i="2" s="1"/>
  <c r="AJ24" i="2"/>
  <c r="AM91" i="2" s="1"/>
  <c r="AK24" i="2"/>
  <c r="AM90" i="2" s="1"/>
  <c r="AL24" i="2"/>
  <c r="AM89" i="2" s="1"/>
  <c r="AM24" i="2"/>
  <c r="AM88" i="2" s="1"/>
  <c r="AN24" i="2"/>
  <c r="AM87" i="2" s="1"/>
  <c r="AO24" i="2"/>
  <c r="AM86" i="2" s="1"/>
  <c r="AP24" i="2"/>
  <c r="AM85" i="2" s="1"/>
  <c r="AQ24" i="2"/>
  <c r="AM84" i="2" s="1"/>
  <c r="AR24" i="2"/>
  <c r="AM83" i="2" s="1"/>
  <c r="AS24" i="2"/>
  <c r="AM82" i="2" s="1"/>
  <c r="AT24" i="2"/>
  <c r="AM81" i="2" s="1"/>
  <c r="AU24" i="2"/>
  <c r="AM80" i="2" s="1"/>
  <c r="AV24" i="2"/>
  <c r="AM79" i="2" s="1"/>
  <c r="AW24" i="2"/>
  <c r="AM78" i="2" s="1"/>
  <c r="AX24" i="2"/>
  <c r="AM77" i="2" s="1"/>
  <c r="AY24" i="2"/>
  <c r="AM76" i="2" s="1"/>
  <c r="AZ24" i="2"/>
  <c r="AM75" i="2" s="1"/>
  <c r="BA24" i="2"/>
  <c r="AM74" i="2" s="1"/>
  <c r="BB24" i="2"/>
  <c r="AM73" i="2" s="1"/>
  <c r="BC24" i="2"/>
  <c r="AM72" i="2" s="1"/>
  <c r="BD24" i="2"/>
  <c r="AM71" i="2" s="1"/>
  <c r="BE24" i="2"/>
  <c r="AM70" i="2" s="1"/>
  <c r="BF24" i="2"/>
  <c r="AM69" i="2" s="1"/>
  <c r="BG24" i="2"/>
  <c r="AM68" i="2" s="1"/>
  <c r="BH24" i="2"/>
  <c r="AM67" i="2" s="1"/>
  <c r="BI24" i="2"/>
  <c r="AM66" i="2" s="1"/>
  <c r="B25" i="2"/>
  <c r="AL125" i="2" s="1"/>
  <c r="C25" i="2"/>
  <c r="AL124" i="2" s="1"/>
  <c r="D25" i="2"/>
  <c r="AL123" i="2" s="1"/>
  <c r="E25" i="2"/>
  <c r="AL122" i="2" s="1"/>
  <c r="F25" i="2"/>
  <c r="AL121" i="2" s="1"/>
  <c r="G25" i="2"/>
  <c r="AL120" i="2" s="1"/>
  <c r="H25" i="2"/>
  <c r="AL119" i="2" s="1"/>
  <c r="I25" i="2"/>
  <c r="AL118" i="2" s="1"/>
  <c r="J25" i="2"/>
  <c r="AL117" i="2" s="1"/>
  <c r="K25" i="2"/>
  <c r="AL116" i="2" s="1"/>
  <c r="L25" i="2"/>
  <c r="AL115" i="2" s="1"/>
  <c r="M25" i="2"/>
  <c r="AL114" i="2" s="1"/>
  <c r="N25" i="2"/>
  <c r="AL113" i="2" s="1"/>
  <c r="O25" i="2"/>
  <c r="AL112" i="2" s="1"/>
  <c r="P25" i="2"/>
  <c r="AL111" i="2" s="1"/>
  <c r="Q25" i="2"/>
  <c r="AL110" i="2" s="1"/>
  <c r="R25" i="2"/>
  <c r="AL109" i="2" s="1"/>
  <c r="S25" i="2"/>
  <c r="AL108" i="2" s="1"/>
  <c r="T25" i="2"/>
  <c r="AL107" i="2" s="1"/>
  <c r="U25" i="2"/>
  <c r="AL106" i="2" s="1"/>
  <c r="V25" i="2"/>
  <c r="AL105" i="2" s="1"/>
  <c r="W25" i="2"/>
  <c r="AL104" i="2" s="1"/>
  <c r="X25" i="2"/>
  <c r="AL103" i="2" s="1"/>
  <c r="Y25" i="2"/>
  <c r="AL102" i="2" s="1"/>
  <c r="Z25" i="2"/>
  <c r="AL101" i="2" s="1"/>
  <c r="AA25" i="2"/>
  <c r="AL100" i="2" s="1"/>
  <c r="AB25" i="2"/>
  <c r="AL99" i="2" s="1"/>
  <c r="AC25" i="2"/>
  <c r="AL98" i="2" s="1"/>
  <c r="AD25" i="2"/>
  <c r="AL97" i="2" s="1"/>
  <c r="AE25" i="2"/>
  <c r="AL96" i="2" s="1"/>
  <c r="AF25" i="2"/>
  <c r="AL95" i="2" s="1"/>
  <c r="AG25" i="2"/>
  <c r="AL94" i="2" s="1"/>
  <c r="AH25" i="2"/>
  <c r="AL93" i="2" s="1"/>
  <c r="AI25" i="2"/>
  <c r="AL92" i="2" s="1"/>
  <c r="AJ25" i="2"/>
  <c r="AL91" i="2" s="1"/>
  <c r="AK25" i="2"/>
  <c r="AL90" i="2" s="1"/>
  <c r="AL25" i="2"/>
  <c r="AL89" i="2" s="1"/>
  <c r="AM25" i="2"/>
  <c r="AL88" i="2" s="1"/>
  <c r="AN25" i="2"/>
  <c r="AL87" i="2" s="1"/>
  <c r="AO25" i="2"/>
  <c r="AL86" i="2" s="1"/>
  <c r="AP25" i="2"/>
  <c r="AL85" i="2" s="1"/>
  <c r="AQ25" i="2"/>
  <c r="AL84" i="2" s="1"/>
  <c r="AR25" i="2"/>
  <c r="AL83" i="2" s="1"/>
  <c r="AS25" i="2"/>
  <c r="AL82" i="2" s="1"/>
  <c r="AT25" i="2"/>
  <c r="AL81" i="2" s="1"/>
  <c r="AU25" i="2"/>
  <c r="AL80" i="2" s="1"/>
  <c r="AV25" i="2"/>
  <c r="AL79" i="2" s="1"/>
  <c r="AW25" i="2"/>
  <c r="AL78" i="2" s="1"/>
  <c r="AX25" i="2"/>
  <c r="AL77" i="2" s="1"/>
  <c r="AY25" i="2"/>
  <c r="AL76" i="2" s="1"/>
  <c r="AZ25" i="2"/>
  <c r="AL75" i="2" s="1"/>
  <c r="BA25" i="2"/>
  <c r="AL74" i="2" s="1"/>
  <c r="BB25" i="2"/>
  <c r="AL73" i="2" s="1"/>
  <c r="BC25" i="2"/>
  <c r="AL72" i="2" s="1"/>
  <c r="BD25" i="2"/>
  <c r="AL71" i="2" s="1"/>
  <c r="BE25" i="2"/>
  <c r="AL70" i="2" s="1"/>
  <c r="BF25" i="2"/>
  <c r="AL69" i="2" s="1"/>
  <c r="BG25" i="2"/>
  <c r="AL68" i="2" s="1"/>
  <c r="BH25" i="2"/>
  <c r="AL67" i="2" s="1"/>
  <c r="BI25" i="2"/>
  <c r="AL66" i="2" s="1"/>
  <c r="B26" i="2"/>
  <c r="AK125" i="2" s="1"/>
  <c r="C26" i="2"/>
  <c r="AK124" i="2" s="1"/>
  <c r="D26" i="2"/>
  <c r="AK123" i="2" s="1"/>
  <c r="E26" i="2"/>
  <c r="AK122" i="2" s="1"/>
  <c r="F26" i="2"/>
  <c r="AK121" i="2" s="1"/>
  <c r="G26" i="2"/>
  <c r="AK120" i="2" s="1"/>
  <c r="H26" i="2"/>
  <c r="AK119" i="2" s="1"/>
  <c r="I26" i="2"/>
  <c r="AK118" i="2" s="1"/>
  <c r="J26" i="2"/>
  <c r="AK117" i="2" s="1"/>
  <c r="K26" i="2"/>
  <c r="AK116" i="2" s="1"/>
  <c r="L26" i="2"/>
  <c r="AK115" i="2" s="1"/>
  <c r="M26" i="2"/>
  <c r="AK114" i="2" s="1"/>
  <c r="N26" i="2"/>
  <c r="AK113" i="2" s="1"/>
  <c r="O26" i="2"/>
  <c r="AK112" i="2" s="1"/>
  <c r="P26" i="2"/>
  <c r="AK111" i="2" s="1"/>
  <c r="Q26" i="2"/>
  <c r="AK110" i="2" s="1"/>
  <c r="R26" i="2"/>
  <c r="AK109" i="2" s="1"/>
  <c r="S26" i="2"/>
  <c r="AK108" i="2" s="1"/>
  <c r="T26" i="2"/>
  <c r="AK107" i="2" s="1"/>
  <c r="U26" i="2"/>
  <c r="AK106" i="2" s="1"/>
  <c r="V26" i="2"/>
  <c r="AK105" i="2" s="1"/>
  <c r="W26" i="2"/>
  <c r="AK104" i="2" s="1"/>
  <c r="X26" i="2"/>
  <c r="AK103" i="2" s="1"/>
  <c r="Y26" i="2"/>
  <c r="AK102" i="2" s="1"/>
  <c r="Z26" i="2"/>
  <c r="AK101" i="2" s="1"/>
  <c r="AA26" i="2"/>
  <c r="AK100" i="2" s="1"/>
  <c r="AB26" i="2"/>
  <c r="AK99" i="2" s="1"/>
  <c r="AC26" i="2"/>
  <c r="AK98" i="2" s="1"/>
  <c r="AD26" i="2"/>
  <c r="AK97" i="2" s="1"/>
  <c r="AE26" i="2"/>
  <c r="AK96" i="2" s="1"/>
  <c r="AF26" i="2"/>
  <c r="AK95" i="2" s="1"/>
  <c r="AG26" i="2"/>
  <c r="AK94" i="2" s="1"/>
  <c r="AH26" i="2"/>
  <c r="AK93" i="2" s="1"/>
  <c r="AI26" i="2"/>
  <c r="AK92" i="2" s="1"/>
  <c r="AJ26" i="2"/>
  <c r="AK91" i="2" s="1"/>
  <c r="AK26" i="2"/>
  <c r="AK90" i="2" s="1"/>
  <c r="AL26" i="2"/>
  <c r="AK89" i="2" s="1"/>
  <c r="AM26" i="2"/>
  <c r="AK88" i="2" s="1"/>
  <c r="AN26" i="2"/>
  <c r="AK87" i="2" s="1"/>
  <c r="AO26" i="2"/>
  <c r="AK86" i="2" s="1"/>
  <c r="AP26" i="2"/>
  <c r="AK85" i="2" s="1"/>
  <c r="AQ26" i="2"/>
  <c r="AK84" i="2" s="1"/>
  <c r="AR26" i="2"/>
  <c r="AK83" i="2" s="1"/>
  <c r="AS26" i="2"/>
  <c r="AK82" i="2" s="1"/>
  <c r="AT26" i="2"/>
  <c r="AK81" i="2" s="1"/>
  <c r="AU26" i="2"/>
  <c r="AK80" i="2" s="1"/>
  <c r="AV26" i="2"/>
  <c r="AK79" i="2" s="1"/>
  <c r="AW26" i="2"/>
  <c r="AK78" i="2" s="1"/>
  <c r="AX26" i="2"/>
  <c r="AK77" i="2" s="1"/>
  <c r="AY26" i="2"/>
  <c r="AK76" i="2" s="1"/>
  <c r="AZ26" i="2"/>
  <c r="AK75" i="2" s="1"/>
  <c r="BA26" i="2"/>
  <c r="AK74" i="2" s="1"/>
  <c r="BB26" i="2"/>
  <c r="AK73" i="2" s="1"/>
  <c r="BC26" i="2"/>
  <c r="AK72" i="2" s="1"/>
  <c r="BD26" i="2"/>
  <c r="AK71" i="2" s="1"/>
  <c r="BE26" i="2"/>
  <c r="AK70" i="2" s="1"/>
  <c r="BF26" i="2"/>
  <c r="AK69" i="2" s="1"/>
  <c r="BG26" i="2"/>
  <c r="AK68" i="2" s="1"/>
  <c r="BH26" i="2"/>
  <c r="AK67" i="2" s="1"/>
  <c r="BI26" i="2"/>
  <c r="AK66" i="2" s="1"/>
  <c r="B27" i="2"/>
  <c r="AJ125" i="2" s="1"/>
  <c r="C27" i="2"/>
  <c r="AJ124" i="2" s="1"/>
  <c r="D27" i="2"/>
  <c r="AJ123" i="2" s="1"/>
  <c r="E27" i="2"/>
  <c r="AJ122" i="2" s="1"/>
  <c r="F27" i="2"/>
  <c r="AJ121" i="2" s="1"/>
  <c r="G27" i="2"/>
  <c r="AJ120" i="2" s="1"/>
  <c r="H27" i="2"/>
  <c r="AJ119" i="2" s="1"/>
  <c r="I27" i="2"/>
  <c r="AJ118" i="2" s="1"/>
  <c r="J27" i="2"/>
  <c r="AJ117" i="2" s="1"/>
  <c r="K27" i="2"/>
  <c r="AJ116" i="2" s="1"/>
  <c r="L27" i="2"/>
  <c r="AJ115" i="2" s="1"/>
  <c r="M27" i="2"/>
  <c r="AJ114" i="2" s="1"/>
  <c r="N27" i="2"/>
  <c r="AJ113" i="2" s="1"/>
  <c r="O27" i="2"/>
  <c r="AJ112" i="2" s="1"/>
  <c r="P27" i="2"/>
  <c r="AJ111" i="2" s="1"/>
  <c r="Q27" i="2"/>
  <c r="AJ110" i="2" s="1"/>
  <c r="R27" i="2"/>
  <c r="AJ109" i="2" s="1"/>
  <c r="S27" i="2"/>
  <c r="AJ108" i="2" s="1"/>
  <c r="T27" i="2"/>
  <c r="AJ107" i="2" s="1"/>
  <c r="U27" i="2"/>
  <c r="AJ106" i="2" s="1"/>
  <c r="V27" i="2"/>
  <c r="AJ105" i="2" s="1"/>
  <c r="W27" i="2"/>
  <c r="AJ104" i="2" s="1"/>
  <c r="X27" i="2"/>
  <c r="AJ103" i="2" s="1"/>
  <c r="Y27" i="2"/>
  <c r="AJ102" i="2" s="1"/>
  <c r="Z27" i="2"/>
  <c r="AJ101" i="2" s="1"/>
  <c r="AA27" i="2"/>
  <c r="AJ100" i="2" s="1"/>
  <c r="AB27" i="2"/>
  <c r="AJ99" i="2" s="1"/>
  <c r="AC27" i="2"/>
  <c r="AJ98" i="2" s="1"/>
  <c r="AD27" i="2"/>
  <c r="AJ97" i="2" s="1"/>
  <c r="AE27" i="2"/>
  <c r="AJ96" i="2" s="1"/>
  <c r="AF27" i="2"/>
  <c r="AJ95" i="2" s="1"/>
  <c r="AG27" i="2"/>
  <c r="AJ94" i="2" s="1"/>
  <c r="AH27" i="2"/>
  <c r="AJ93" i="2" s="1"/>
  <c r="AI27" i="2"/>
  <c r="AJ92" i="2" s="1"/>
  <c r="AJ27" i="2"/>
  <c r="AJ91" i="2" s="1"/>
  <c r="AK27" i="2"/>
  <c r="AJ90" i="2" s="1"/>
  <c r="AL27" i="2"/>
  <c r="AJ89" i="2" s="1"/>
  <c r="AM27" i="2"/>
  <c r="AJ88" i="2" s="1"/>
  <c r="AN27" i="2"/>
  <c r="AJ87" i="2" s="1"/>
  <c r="AO27" i="2"/>
  <c r="AJ86" i="2" s="1"/>
  <c r="AP27" i="2"/>
  <c r="AJ85" i="2" s="1"/>
  <c r="AQ27" i="2"/>
  <c r="AJ84" i="2" s="1"/>
  <c r="AR27" i="2"/>
  <c r="AJ83" i="2" s="1"/>
  <c r="AS27" i="2"/>
  <c r="AJ82" i="2" s="1"/>
  <c r="AT27" i="2"/>
  <c r="AJ81" i="2" s="1"/>
  <c r="AU27" i="2"/>
  <c r="AJ80" i="2" s="1"/>
  <c r="AV27" i="2"/>
  <c r="AJ79" i="2" s="1"/>
  <c r="AW27" i="2"/>
  <c r="AJ78" i="2" s="1"/>
  <c r="AX27" i="2"/>
  <c r="AJ77" i="2" s="1"/>
  <c r="AY27" i="2"/>
  <c r="AJ76" i="2" s="1"/>
  <c r="AZ27" i="2"/>
  <c r="AJ75" i="2" s="1"/>
  <c r="BA27" i="2"/>
  <c r="AJ74" i="2" s="1"/>
  <c r="BB27" i="2"/>
  <c r="AJ73" i="2" s="1"/>
  <c r="BC27" i="2"/>
  <c r="AJ72" i="2" s="1"/>
  <c r="BD27" i="2"/>
  <c r="AJ71" i="2" s="1"/>
  <c r="BE27" i="2"/>
  <c r="AJ70" i="2" s="1"/>
  <c r="BF27" i="2"/>
  <c r="AJ69" i="2" s="1"/>
  <c r="BG27" i="2"/>
  <c r="AJ68" i="2" s="1"/>
  <c r="BH27" i="2"/>
  <c r="AJ67" i="2" s="1"/>
  <c r="BI27" i="2"/>
  <c r="AJ66" i="2" s="1"/>
  <c r="B28" i="2"/>
  <c r="AI125" i="2" s="1"/>
  <c r="C28" i="2"/>
  <c r="AI124" i="2" s="1"/>
  <c r="D28" i="2"/>
  <c r="AI123" i="2" s="1"/>
  <c r="E28" i="2"/>
  <c r="AI122" i="2" s="1"/>
  <c r="F28" i="2"/>
  <c r="AI121" i="2" s="1"/>
  <c r="G28" i="2"/>
  <c r="AI120" i="2" s="1"/>
  <c r="H28" i="2"/>
  <c r="AI119" i="2" s="1"/>
  <c r="I28" i="2"/>
  <c r="AI118" i="2" s="1"/>
  <c r="J28" i="2"/>
  <c r="AI117" i="2" s="1"/>
  <c r="K28" i="2"/>
  <c r="AI116" i="2" s="1"/>
  <c r="L28" i="2"/>
  <c r="AI115" i="2" s="1"/>
  <c r="M28" i="2"/>
  <c r="AI114" i="2" s="1"/>
  <c r="N28" i="2"/>
  <c r="AI113" i="2" s="1"/>
  <c r="O28" i="2"/>
  <c r="AI112" i="2" s="1"/>
  <c r="P28" i="2"/>
  <c r="AI111" i="2" s="1"/>
  <c r="Q28" i="2"/>
  <c r="AI110" i="2" s="1"/>
  <c r="R28" i="2"/>
  <c r="AI109" i="2" s="1"/>
  <c r="S28" i="2"/>
  <c r="AI108" i="2" s="1"/>
  <c r="T28" i="2"/>
  <c r="AI107" i="2" s="1"/>
  <c r="U28" i="2"/>
  <c r="AI106" i="2" s="1"/>
  <c r="V28" i="2"/>
  <c r="AI105" i="2" s="1"/>
  <c r="W28" i="2"/>
  <c r="AI104" i="2" s="1"/>
  <c r="X28" i="2"/>
  <c r="AI103" i="2" s="1"/>
  <c r="Y28" i="2"/>
  <c r="AI102" i="2" s="1"/>
  <c r="Z28" i="2"/>
  <c r="AI101" i="2" s="1"/>
  <c r="AA28" i="2"/>
  <c r="AI100" i="2" s="1"/>
  <c r="AB28" i="2"/>
  <c r="AI99" i="2" s="1"/>
  <c r="AC28" i="2"/>
  <c r="AI98" i="2" s="1"/>
  <c r="AD28" i="2"/>
  <c r="AI97" i="2" s="1"/>
  <c r="AE28" i="2"/>
  <c r="AI96" i="2" s="1"/>
  <c r="AF28" i="2"/>
  <c r="AI95" i="2" s="1"/>
  <c r="AG28" i="2"/>
  <c r="AI94" i="2" s="1"/>
  <c r="AH28" i="2"/>
  <c r="AI93" i="2" s="1"/>
  <c r="AI28" i="2"/>
  <c r="AI92" i="2" s="1"/>
  <c r="AJ28" i="2"/>
  <c r="AI91" i="2" s="1"/>
  <c r="AK28" i="2"/>
  <c r="AI90" i="2" s="1"/>
  <c r="AL28" i="2"/>
  <c r="AI89" i="2" s="1"/>
  <c r="AM28" i="2"/>
  <c r="AI88" i="2" s="1"/>
  <c r="AN28" i="2"/>
  <c r="AI87" i="2" s="1"/>
  <c r="AO28" i="2"/>
  <c r="AI86" i="2" s="1"/>
  <c r="AP28" i="2"/>
  <c r="AI85" i="2" s="1"/>
  <c r="AQ28" i="2"/>
  <c r="AI84" i="2" s="1"/>
  <c r="AR28" i="2"/>
  <c r="AI83" i="2" s="1"/>
  <c r="AS28" i="2"/>
  <c r="AI82" i="2" s="1"/>
  <c r="AT28" i="2"/>
  <c r="AI81" i="2" s="1"/>
  <c r="AU28" i="2"/>
  <c r="AI80" i="2" s="1"/>
  <c r="AV28" i="2"/>
  <c r="AI79" i="2" s="1"/>
  <c r="AW28" i="2"/>
  <c r="AI78" i="2" s="1"/>
  <c r="AX28" i="2"/>
  <c r="AI77" i="2" s="1"/>
  <c r="AY28" i="2"/>
  <c r="AI76" i="2" s="1"/>
  <c r="AZ28" i="2"/>
  <c r="AI75" i="2" s="1"/>
  <c r="BA28" i="2"/>
  <c r="AI74" i="2" s="1"/>
  <c r="BB28" i="2"/>
  <c r="AI73" i="2" s="1"/>
  <c r="BC28" i="2"/>
  <c r="AI72" i="2" s="1"/>
  <c r="BD28" i="2"/>
  <c r="AI71" i="2" s="1"/>
  <c r="BE28" i="2"/>
  <c r="AI70" i="2" s="1"/>
  <c r="BF28" i="2"/>
  <c r="AI69" i="2" s="1"/>
  <c r="BG28" i="2"/>
  <c r="AI68" i="2" s="1"/>
  <c r="BH28" i="2"/>
  <c r="AI67" i="2" s="1"/>
  <c r="BI28" i="2"/>
  <c r="AI66" i="2" s="1"/>
  <c r="B29" i="2"/>
  <c r="AH125" i="2" s="1"/>
  <c r="C29" i="2"/>
  <c r="AH124" i="2" s="1"/>
  <c r="D29" i="2"/>
  <c r="AH123" i="2" s="1"/>
  <c r="E29" i="2"/>
  <c r="AH122" i="2" s="1"/>
  <c r="F29" i="2"/>
  <c r="AH121" i="2" s="1"/>
  <c r="G29" i="2"/>
  <c r="AH120" i="2" s="1"/>
  <c r="H29" i="2"/>
  <c r="AH119" i="2" s="1"/>
  <c r="I29" i="2"/>
  <c r="AH118" i="2" s="1"/>
  <c r="J29" i="2"/>
  <c r="AH117" i="2" s="1"/>
  <c r="K29" i="2"/>
  <c r="AH116" i="2" s="1"/>
  <c r="L29" i="2"/>
  <c r="AH115" i="2" s="1"/>
  <c r="M29" i="2"/>
  <c r="AH114" i="2" s="1"/>
  <c r="N29" i="2"/>
  <c r="AH113" i="2" s="1"/>
  <c r="O29" i="2"/>
  <c r="AH112" i="2" s="1"/>
  <c r="P29" i="2"/>
  <c r="AH111" i="2" s="1"/>
  <c r="Q29" i="2"/>
  <c r="AH110" i="2" s="1"/>
  <c r="R29" i="2"/>
  <c r="AH109" i="2" s="1"/>
  <c r="S29" i="2"/>
  <c r="AH108" i="2" s="1"/>
  <c r="T29" i="2"/>
  <c r="AH107" i="2" s="1"/>
  <c r="U29" i="2"/>
  <c r="AH106" i="2" s="1"/>
  <c r="V29" i="2"/>
  <c r="AH105" i="2" s="1"/>
  <c r="W29" i="2"/>
  <c r="AH104" i="2" s="1"/>
  <c r="X29" i="2"/>
  <c r="AH103" i="2" s="1"/>
  <c r="Y29" i="2"/>
  <c r="AH102" i="2" s="1"/>
  <c r="Z29" i="2"/>
  <c r="AH101" i="2" s="1"/>
  <c r="AA29" i="2"/>
  <c r="AH100" i="2" s="1"/>
  <c r="AB29" i="2"/>
  <c r="AH99" i="2" s="1"/>
  <c r="AC29" i="2"/>
  <c r="AH98" i="2" s="1"/>
  <c r="AD29" i="2"/>
  <c r="AH97" i="2" s="1"/>
  <c r="AE29" i="2"/>
  <c r="AH96" i="2" s="1"/>
  <c r="AF29" i="2"/>
  <c r="AH95" i="2" s="1"/>
  <c r="AG29" i="2"/>
  <c r="AH94" i="2" s="1"/>
  <c r="AH29" i="2"/>
  <c r="AH93" i="2" s="1"/>
  <c r="AI29" i="2"/>
  <c r="AH92" i="2" s="1"/>
  <c r="AJ29" i="2"/>
  <c r="AH91" i="2" s="1"/>
  <c r="AK29" i="2"/>
  <c r="AH90" i="2" s="1"/>
  <c r="AL29" i="2"/>
  <c r="AH89" i="2" s="1"/>
  <c r="AM29" i="2"/>
  <c r="AH88" i="2" s="1"/>
  <c r="AN29" i="2"/>
  <c r="AH87" i="2" s="1"/>
  <c r="AO29" i="2"/>
  <c r="AH86" i="2" s="1"/>
  <c r="AP29" i="2"/>
  <c r="AH85" i="2" s="1"/>
  <c r="AQ29" i="2"/>
  <c r="AH84" i="2" s="1"/>
  <c r="AR29" i="2"/>
  <c r="AH83" i="2" s="1"/>
  <c r="AS29" i="2"/>
  <c r="AH82" i="2" s="1"/>
  <c r="AT29" i="2"/>
  <c r="AH81" i="2" s="1"/>
  <c r="AU29" i="2"/>
  <c r="AH80" i="2" s="1"/>
  <c r="AV29" i="2"/>
  <c r="AH79" i="2" s="1"/>
  <c r="AW29" i="2"/>
  <c r="AH78" i="2" s="1"/>
  <c r="AX29" i="2"/>
  <c r="AH77" i="2" s="1"/>
  <c r="AY29" i="2"/>
  <c r="AH76" i="2" s="1"/>
  <c r="AZ29" i="2"/>
  <c r="AH75" i="2" s="1"/>
  <c r="BA29" i="2"/>
  <c r="AH74" i="2" s="1"/>
  <c r="BB29" i="2"/>
  <c r="AH73" i="2" s="1"/>
  <c r="BC29" i="2"/>
  <c r="AH72" i="2" s="1"/>
  <c r="BD29" i="2"/>
  <c r="AH71" i="2" s="1"/>
  <c r="BE29" i="2"/>
  <c r="AH70" i="2" s="1"/>
  <c r="BF29" i="2"/>
  <c r="AH69" i="2" s="1"/>
  <c r="BG29" i="2"/>
  <c r="AH68" i="2" s="1"/>
  <c r="BH29" i="2"/>
  <c r="AH67" i="2" s="1"/>
  <c r="BI29" i="2"/>
  <c r="AH66" i="2" s="1"/>
  <c r="B30" i="2"/>
  <c r="AG125" i="2" s="1"/>
  <c r="C30" i="2"/>
  <c r="AG124" i="2" s="1"/>
  <c r="D30" i="2"/>
  <c r="AG123" i="2" s="1"/>
  <c r="E30" i="2"/>
  <c r="AG122" i="2" s="1"/>
  <c r="F30" i="2"/>
  <c r="AG121" i="2" s="1"/>
  <c r="G30" i="2"/>
  <c r="AG120" i="2" s="1"/>
  <c r="H30" i="2"/>
  <c r="AG119" i="2" s="1"/>
  <c r="I30" i="2"/>
  <c r="AG118" i="2" s="1"/>
  <c r="J30" i="2"/>
  <c r="AG117" i="2" s="1"/>
  <c r="K30" i="2"/>
  <c r="AG116" i="2" s="1"/>
  <c r="L30" i="2"/>
  <c r="AG115" i="2" s="1"/>
  <c r="M30" i="2"/>
  <c r="AG114" i="2" s="1"/>
  <c r="N30" i="2"/>
  <c r="AG113" i="2" s="1"/>
  <c r="O30" i="2"/>
  <c r="AG112" i="2" s="1"/>
  <c r="P30" i="2"/>
  <c r="AG111" i="2" s="1"/>
  <c r="Q30" i="2"/>
  <c r="AG110" i="2" s="1"/>
  <c r="R30" i="2"/>
  <c r="AG109" i="2" s="1"/>
  <c r="S30" i="2"/>
  <c r="AG108" i="2" s="1"/>
  <c r="T30" i="2"/>
  <c r="AG107" i="2" s="1"/>
  <c r="U30" i="2"/>
  <c r="AG106" i="2" s="1"/>
  <c r="V30" i="2"/>
  <c r="AG105" i="2" s="1"/>
  <c r="W30" i="2"/>
  <c r="AG104" i="2" s="1"/>
  <c r="X30" i="2"/>
  <c r="AG103" i="2" s="1"/>
  <c r="Y30" i="2"/>
  <c r="AG102" i="2" s="1"/>
  <c r="Z30" i="2"/>
  <c r="AG101" i="2" s="1"/>
  <c r="AA30" i="2"/>
  <c r="AG100" i="2" s="1"/>
  <c r="AB30" i="2"/>
  <c r="AG99" i="2" s="1"/>
  <c r="AC30" i="2"/>
  <c r="AG98" i="2" s="1"/>
  <c r="AD30" i="2"/>
  <c r="AG97" i="2" s="1"/>
  <c r="AE30" i="2"/>
  <c r="AG96" i="2" s="1"/>
  <c r="AF30" i="2"/>
  <c r="AG95" i="2" s="1"/>
  <c r="AG30" i="2"/>
  <c r="AG94" i="2" s="1"/>
  <c r="AH30" i="2"/>
  <c r="AG93" i="2" s="1"/>
  <c r="AI30" i="2"/>
  <c r="AG92" i="2" s="1"/>
  <c r="AJ30" i="2"/>
  <c r="AG91" i="2" s="1"/>
  <c r="AK30" i="2"/>
  <c r="AG90" i="2" s="1"/>
  <c r="AL30" i="2"/>
  <c r="AG89" i="2" s="1"/>
  <c r="AM30" i="2"/>
  <c r="AG88" i="2" s="1"/>
  <c r="AN30" i="2"/>
  <c r="AG87" i="2" s="1"/>
  <c r="AO30" i="2"/>
  <c r="AG86" i="2" s="1"/>
  <c r="AP30" i="2"/>
  <c r="AG85" i="2" s="1"/>
  <c r="AQ30" i="2"/>
  <c r="AG84" i="2" s="1"/>
  <c r="AR30" i="2"/>
  <c r="AG83" i="2" s="1"/>
  <c r="AS30" i="2"/>
  <c r="AG82" i="2" s="1"/>
  <c r="AT30" i="2"/>
  <c r="AG81" i="2" s="1"/>
  <c r="AU30" i="2"/>
  <c r="AG80" i="2" s="1"/>
  <c r="AV30" i="2"/>
  <c r="AG79" i="2" s="1"/>
  <c r="AW30" i="2"/>
  <c r="AG78" i="2" s="1"/>
  <c r="AX30" i="2"/>
  <c r="AG77" i="2" s="1"/>
  <c r="AY30" i="2"/>
  <c r="AG76" i="2" s="1"/>
  <c r="AZ30" i="2"/>
  <c r="AG75" i="2" s="1"/>
  <c r="BA30" i="2"/>
  <c r="AG74" i="2" s="1"/>
  <c r="BB30" i="2"/>
  <c r="AG73" i="2" s="1"/>
  <c r="BC30" i="2"/>
  <c r="AG72" i="2" s="1"/>
  <c r="BD30" i="2"/>
  <c r="AG71" i="2" s="1"/>
  <c r="BE30" i="2"/>
  <c r="AG70" i="2" s="1"/>
  <c r="BF30" i="2"/>
  <c r="AG69" i="2" s="1"/>
  <c r="BG30" i="2"/>
  <c r="AG68" i="2" s="1"/>
  <c r="BH30" i="2"/>
  <c r="AG67" i="2" s="1"/>
  <c r="BI30" i="2"/>
  <c r="AG66" i="2" s="1"/>
  <c r="B31" i="2"/>
  <c r="AF125" i="2" s="1"/>
  <c r="C31" i="2"/>
  <c r="AF124" i="2" s="1"/>
  <c r="D31" i="2"/>
  <c r="AF123" i="2" s="1"/>
  <c r="E31" i="2"/>
  <c r="AF122" i="2" s="1"/>
  <c r="F31" i="2"/>
  <c r="AF121" i="2" s="1"/>
  <c r="G31" i="2"/>
  <c r="AF120" i="2" s="1"/>
  <c r="H31" i="2"/>
  <c r="AF119" i="2" s="1"/>
  <c r="I31" i="2"/>
  <c r="AF118" i="2" s="1"/>
  <c r="J31" i="2"/>
  <c r="AF117" i="2" s="1"/>
  <c r="K31" i="2"/>
  <c r="AF116" i="2" s="1"/>
  <c r="L31" i="2"/>
  <c r="AF115" i="2" s="1"/>
  <c r="M31" i="2"/>
  <c r="AF114" i="2" s="1"/>
  <c r="N31" i="2"/>
  <c r="AF113" i="2" s="1"/>
  <c r="O31" i="2"/>
  <c r="AF112" i="2" s="1"/>
  <c r="P31" i="2"/>
  <c r="AF111" i="2" s="1"/>
  <c r="Q31" i="2"/>
  <c r="AF110" i="2" s="1"/>
  <c r="R31" i="2"/>
  <c r="AF109" i="2" s="1"/>
  <c r="S31" i="2"/>
  <c r="AF108" i="2" s="1"/>
  <c r="T31" i="2"/>
  <c r="AF107" i="2" s="1"/>
  <c r="U31" i="2"/>
  <c r="AF106" i="2" s="1"/>
  <c r="V31" i="2"/>
  <c r="AF105" i="2" s="1"/>
  <c r="W31" i="2"/>
  <c r="AF104" i="2" s="1"/>
  <c r="X31" i="2"/>
  <c r="AF103" i="2" s="1"/>
  <c r="Y31" i="2"/>
  <c r="AF102" i="2" s="1"/>
  <c r="Z31" i="2"/>
  <c r="AF101" i="2" s="1"/>
  <c r="AA31" i="2"/>
  <c r="AF100" i="2" s="1"/>
  <c r="AB31" i="2"/>
  <c r="AF99" i="2" s="1"/>
  <c r="AC31" i="2"/>
  <c r="AF98" i="2" s="1"/>
  <c r="AD31" i="2"/>
  <c r="AF97" i="2" s="1"/>
  <c r="AE31" i="2"/>
  <c r="AF96" i="2" s="1"/>
  <c r="AF31" i="2"/>
  <c r="AF95" i="2" s="1"/>
  <c r="AG31" i="2"/>
  <c r="AF94" i="2" s="1"/>
  <c r="AH31" i="2"/>
  <c r="AF93" i="2" s="1"/>
  <c r="AI31" i="2"/>
  <c r="AF92" i="2" s="1"/>
  <c r="AJ31" i="2"/>
  <c r="AF91" i="2" s="1"/>
  <c r="AK31" i="2"/>
  <c r="AF90" i="2" s="1"/>
  <c r="AL31" i="2"/>
  <c r="AF89" i="2" s="1"/>
  <c r="AM31" i="2"/>
  <c r="AF88" i="2" s="1"/>
  <c r="AN31" i="2"/>
  <c r="AF87" i="2" s="1"/>
  <c r="AO31" i="2"/>
  <c r="AF86" i="2" s="1"/>
  <c r="AP31" i="2"/>
  <c r="AF85" i="2" s="1"/>
  <c r="AQ31" i="2"/>
  <c r="AF84" i="2" s="1"/>
  <c r="AR31" i="2"/>
  <c r="AF83" i="2" s="1"/>
  <c r="AS31" i="2"/>
  <c r="AF82" i="2" s="1"/>
  <c r="AT31" i="2"/>
  <c r="AF81" i="2" s="1"/>
  <c r="AU31" i="2"/>
  <c r="AF80" i="2" s="1"/>
  <c r="AV31" i="2"/>
  <c r="AF79" i="2" s="1"/>
  <c r="AW31" i="2"/>
  <c r="AF78" i="2" s="1"/>
  <c r="AX31" i="2"/>
  <c r="AF77" i="2" s="1"/>
  <c r="AY31" i="2"/>
  <c r="AF76" i="2" s="1"/>
  <c r="AZ31" i="2"/>
  <c r="AF75" i="2" s="1"/>
  <c r="BA31" i="2"/>
  <c r="AF74" i="2" s="1"/>
  <c r="BB31" i="2"/>
  <c r="AF73" i="2" s="1"/>
  <c r="BC31" i="2"/>
  <c r="AF72" i="2" s="1"/>
  <c r="BD31" i="2"/>
  <c r="AF71" i="2" s="1"/>
  <c r="BE31" i="2"/>
  <c r="AF70" i="2" s="1"/>
  <c r="BF31" i="2"/>
  <c r="AF69" i="2" s="1"/>
  <c r="BG31" i="2"/>
  <c r="AF68" i="2" s="1"/>
  <c r="BH31" i="2"/>
  <c r="AF67" i="2" s="1"/>
  <c r="BI31" i="2"/>
  <c r="AF66" i="2" s="1"/>
  <c r="B32" i="2"/>
  <c r="AE125" i="2" s="1"/>
  <c r="C32" i="2"/>
  <c r="AE124" i="2" s="1"/>
  <c r="D32" i="2"/>
  <c r="AE123" i="2" s="1"/>
  <c r="E32" i="2"/>
  <c r="AE122" i="2" s="1"/>
  <c r="F32" i="2"/>
  <c r="AE121" i="2" s="1"/>
  <c r="G32" i="2"/>
  <c r="AE120" i="2" s="1"/>
  <c r="H32" i="2"/>
  <c r="AE119" i="2" s="1"/>
  <c r="I32" i="2"/>
  <c r="AE118" i="2" s="1"/>
  <c r="J32" i="2"/>
  <c r="AE117" i="2" s="1"/>
  <c r="K32" i="2"/>
  <c r="AE116" i="2" s="1"/>
  <c r="L32" i="2"/>
  <c r="AE115" i="2" s="1"/>
  <c r="M32" i="2"/>
  <c r="AE114" i="2" s="1"/>
  <c r="N32" i="2"/>
  <c r="AE113" i="2" s="1"/>
  <c r="O32" i="2"/>
  <c r="AE112" i="2" s="1"/>
  <c r="P32" i="2"/>
  <c r="AE111" i="2" s="1"/>
  <c r="Q32" i="2"/>
  <c r="AE110" i="2" s="1"/>
  <c r="R32" i="2"/>
  <c r="AE109" i="2" s="1"/>
  <c r="S32" i="2"/>
  <c r="AE108" i="2" s="1"/>
  <c r="T32" i="2"/>
  <c r="AE107" i="2" s="1"/>
  <c r="U32" i="2"/>
  <c r="AE106" i="2" s="1"/>
  <c r="V32" i="2"/>
  <c r="AE105" i="2" s="1"/>
  <c r="W32" i="2"/>
  <c r="AE104" i="2" s="1"/>
  <c r="X32" i="2"/>
  <c r="AE103" i="2" s="1"/>
  <c r="Y32" i="2"/>
  <c r="AE102" i="2" s="1"/>
  <c r="Z32" i="2"/>
  <c r="AE101" i="2" s="1"/>
  <c r="AA32" i="2"/>
  <c r="AE100" i="2" s="1"/>
  <c r="AB32" i="2"/>
  <c r="AE99" i="2" s="1"/>
  <c r="AC32" i="2"/>
  <c r="AE98" i="2" s="1"/>
  <c r="AD32" i="2"/>
  <c r="AE97" i="2" s="1"/>
  <c r="AE32" i="2"/>
  <c r="AE96" i="2" s="1"/>
  <c r="AF32" i="2"/>
  <c r="AE95" i="2" s="1"/>
  <c r="AG32" i="2"/>
  <c r="AE94" i="2" s="1"/>
  <c r="AH32" i="2"/>
  <c r="AE93" i="2" s="1"/>
  <c r="AI32" i="2"/>
  <c r="AE92" i="2" s="1"/>
  <c r="AJ32" i="2"/>
  <c r="AE91" i="2" s="1"/>
  <c r="AK32" i="2"/>
  <c r="AE90" i="2" s="1"/>
  <c r="AL32" i="2"/>
  <c r="AE89" i="2" s="1"/>
  <c r="AM32" i="2"/>
  <c r="AE88" i="2" s="1"/>
  <c r="AN32" i="2"/>
  <c r="AE87" i="2" s="1"/>
  <c r="AO32" i="2"/>
  <c r="AE86" i="2" s="1"/>
  <c r="AP32" i="2"/>
  <c r="AE85" i="2" s="1"/>
  <c r="AQ32" i="2"/>
  <c r="AE84" i="2" s="1"/>
  <c r="AR32" i="2"/>
  <c r="AE83" i="2" s="1"/>
  <c r="AS32" i="2"/>
  <c r="AE82" i="2" s="1"/>
  <c r="AT32" i="2"/>
  <c r="AE81" i="2" s="1"/>
  <c r="AU32" i="2"/>
  <c r="AE80" i="2" s="1"/>
  <c r="AV32" i="2"/>
  <c r="AE79" i="2" s="1"/>
  <c r="AW32" i="2"/>
  <c r="AE78" i="2" s="1"/>
  <c r="AX32" i="2"/>
  <c r="AE77" i="2" s="1"/>
  <c r="AY32" i="2"/>
  <c r="AE76" i="2" s="1"/>
  <c r="AZ32" i="2"/>
  <c r="AE75" i="2" s="1"/>
  <c r="BA32" i="2"/>
  <c r="AE74" i="2" s="1"/>
  <c r="BB32" i="2"/>
  <c r="AE73" i="2" s="1"/>
  <c r="BC32" i="2"/>
  <c r="AE72" i="2" s="1"/>
  <c r="BD32" i="2"/>
  <c r="AE71" i="2" s="1"/>
  <c r="BE32" i="2"/>
  <c r="AE70" i="2" s="1"/>
  <c r="BF32" i="2"/>
  <c r="AE69" i="2" s="1"/>
  <c r="BG32" i="2"/>
  <c r="AE68" i="2" s="1"/>
  <c r="BH32" i="2"/>
  <c r="AE67" i="2" s="1"/>
  <c r="BI32" i="2"/>
  <c r="AE66" i="2" s="1"/>
  <c r="B33" i="2"/>
  <c r="AD125" i="2" s="1"/>
  <c r="C33" i="2"/>
  <c r="AD124" i="2" s="1"/>
  <c r="D33" i="2"/>
  <c r="AD123" i="2" s="1"/>
  <c r="E33" i="2"/>
  <c r="AD122" i="2" s="1"/>
  <c r="F33" i="2"/>
  <c r="AD121" i="2" s="1"/>
  <c r="G33" i="2"/>
  <c r="AD120" i="2" s="1"/>
  <c r="H33" i="2"/>
  <c r="AD119" i="2" s="1"/>
  <c r="I33" i="2"/>
  <c r="AD118" i="2" s="1"/>
  <c r="J33" i="2"/>
  <c r="AD117" i="2" s="1"/>
  <c r="K33" i="2"/>
  <c r="AD116" i="2" s="1"/>
  <c r="L33" i="2"/>
  <c r="AD115" i="2" s="1"/>
  <c r="M33" i="2"/>
  <c r="AD114" i="2" s="1"/>
  <c r="N33" i="2"/>
  <c r="AD113" i="2" s="1"/>
  <c r="O33" i="2"/>
  <c r="AD112" i="2" s="1"/>
  <c r="P33" i="2"/>
  <c r="AD111" i="2" s="1"/>
  <c r="Q33" i="2"/>
  <c r="AD110" i="2" s="1"/>
  <c r="R33" i="2"/>
  <c r="AD109" i="2" s="1"/>
  <c r="S33" i="2"/>
  <c r="AD108" i="2" s="1"/>
  <c r="T33" i="2"/>
  <c r="AD107" i="2" s="1"/>
  <c r="U33" i="2"/>
  <c r="AD106" i="2" s="1"/>
  <c r="V33" i="2"/>
  <c r="AD105" i="2" s="1"/>
  <c r="W33" i="2"/>
  <c r="AD104" i="2" s="1"/>
  <c r="X33" i="2"/>
  <c r="AD103" i="2" s="1"/>
  <c r="Y33" i="2"/>
  <c r="AD102" i="2" s="1"/>
  <c r="Z33" i="2"/>
  <c r="AD101" i="2" s="1"/>
  <c r="AA33" i="2"/>
  <c r="AD100" i="2" s="1"/>
  <c r="AB33" i="2"/>
  <c r="AD99" i="2" s="1"/>
  <c r="AC33" i="2"/>
  <c r="AD98" i="2" s="1"/>
  <c r="AD33" i="2"/>
  <c r="AD97" i="2" s="1"/>
  <c r="AE33" i="2"/>
  <c r="AD96" i="2" s="1"/>
  <c r="AF33" i="2"/>
  <c r="AD95" i="2" s="1"/>
  <c r="AG33" i="2"/>
  <c r="AD94" i="2" s="1"/>
  <c r="AH33" i="2"/>
  <c r="AD93" i="2" s="1"/>
  <c r="AI33" i="2"/>
  <c r="AD92" i="2" s="1"/>
  <c r="AJ33" i="2"/>
  <c r="AD91" i="2" s="1"/>
  <c r="AK33" i="2"/>
  <c r="AD90" i="2" s="1"/>
  <c r="AL33" i="2"/>
  <c r="AD89" i="2" s="1"/>
  <c r="AM33" i="2"/>
  <c r="AD88" i="2" s="1"/>
  <c r="AN33" i="2"/>
  <c r="AD87" i="2" s="1"/>
  <c r="AO33" i="2"/>
  <c r="AD86" i="2" s="1"/>
  <c r="AP33" i="2"/>
  <c r="AD85" i="2" s="1"/>
  <c r="AQ33" i="2"/>
  <c r="AD84" i="2" s="1"/>
  <c r="AR33" i="2"/>
  <c r="AD83" i="2" s="1"/>
  <c r="AS33" i="2"/>
  <c r="AD82" i="2" s="1"/>
  <c r="AT33" i="2"/>
  <c r="AD81" i="2" s="1"/>
  <c r="AU33" i="2"/>
  <c r="AD80" i="2" s="1"/>
  <c r="AV33" i="2"/>
  <c r="AD79" i="2" s="1"/>
  <c r="AW33" i="2"/>
  <c r="AD78" i="2" s="1"/>
  <c r="AX33" i="2"/>
  <c r="AD77" i="2" s="1"/>
  <c r="AY33" i="2"/>
  <c r="AD76" i="2" s="1"/>
  <c r="AZ33" i="2"/>
  <c r="AD75" i="2" s="1"/>
  <c r="BA33" i="2"/>
  <c r="AD74" i="2" s="1"/>
  <c r="BB33" i="2"/>
  <c r="AD73" i="2" s="1"/>
  <c r="BC33" i="2"/>
  <c r="AD72" i="2" s="1"/>
  <c r="BD33" i="2"/>
  <c r="AD71" i="2" s="1"/>
  <c r="BE33" i="2"/>
  <c r="AD70" i="2" s="1"/>
  <c r="BF33" i="2"/>
  <c r="AD69" i="2" s="1"/>
  <c r="BG33" i="2"/>
  <c r="AD68" i="2" s="1"/>
  <c r="BH33" i="2"/>
  <c r="AD67" i="2" s="1"/>
  <c r="BI33" i="2"/>
  <c r="AD66" i="2" s="1"/>
  <c r="B34" i="2"/>
  <c r="AC125" i="2" s="1"/>
  <c r="C34" i="2"/>
  <c r="AC124" i="2" s="1"/>
  <c r="D34" i="2"/>
  <c r="AC123" i="2" s="1"/>
  <c r="E34" i="2"/>
  <c r="AC122" i="2" s="1"/>
  <c r="F34" i="2"/>
  <c r="AC121" i="2" s="1"/>
  <c r="G34" i="2"/>
  <c r="AC120" i="2" s="1"/>
  <c r="H34" i="2"/>
  <c r="AC119" i="2" s="1"/>
  <c r="I34" i="2"/>
  <c r="AC118" i="2" s="1"/>
  <c r="J34" i="2"/>
  <c r="AC117" i="2" s="1"/>
  <c r="K34" i="2"/>
  <c r="AC116" i="2" s="1"/>
  <c r="L34" i="2"/>
  <c r="AC115" i="2" s="1"/>
  <c r="M34" i="2"/>
  <c r="AC114" i="2" s="1"/>
  <c r="N34" i="2"/>
  <c r="AC113" i="2" s="1"/>
  <c r="O34" i="2"/>
  <c r="AC112" i="2" s="1"/>
  <c r="P34" i="2"/>
  <c r="AC111" i="2" s="1"/>
  <c r="Q34" i="2"/>
  <c r="AC110" i="2" s="1"/>
  <c r="R34" i="2"/>
  <c r="AC109" i="2" s="1"/>
  <c r="S34" i="2"/>
  <c r="AC108" i="2" s="1"/>
  <c r="T34" i="2"/>
  <c r="AC107" i="2" s="1"/>
  <c r="U34" i="2"/>
  <c r="AC106" i="2" s="1"/>
  <c r="V34" i="2"/>
  <c r="AC105" i="2" s="1"/>
  <c r="W34" i="2"/>
  <c r="AC104" i="2" s="1"/>
  <c r="X34" i="2"/>
  <c r="AC103" i="2" s="1"/>
  <c r="Y34" i="2"/>
  <c r="AC102" i="2" s="1"/>
  <c r="Z34" i="2"/>
  <c r="AC101" i="2" s="1"/>
  <c r="AA34" i="2"/>
  <c r="AC100" i="2" s="1"/>
  <c r="AB34" i="2"/>
  <c r="AC99" i="2" s="1"/>
  <c r="AC34" i="2"/>
  <c r="AC98" i="2" s="1"/>
  <c r="AD34" i="2"/>
  <c r="AC97" i="2" s="1"/>
  <c r="AE34" i="2"/>
  <c r="AC96" i="2" s="1"/>
  <c r="AF34" i="2"/>
  <c r="AC95" i="2" s="1"/>
  <c r="AG34" i="2"/>
  <c r="AC94" i="2" s="1"/>
  <c r="AH34" i="2"/>
  <c r="AC93" i="2" s="1"/>
  <c r="AI34" i="2"/>
  <c r="AC92" i="2" s="1"/>
  <c r="AJ34" i="2"/>
  <c r="AC91" i="2" s="1"/>
  <c r="AK34" i="2"/>
  <c r="AC90" i="2" s="1"/>
  <c r="AL34" i="2"/>
  <c r="AC89" i="2" s="1"/>
  <c r="AM34" i="2"/>
  <c r="AC88" i="2" s="1"/>
  <c r="AN34" i="2"/>
  <c r="AC87" i="2" s="1"/>
  <c r="AO34" i="2"/>
  <c r="AC86" i="2" s="1"/>
  <c r="AP34" i="2"/>
  <c r="AC85" i="2" s="1"/>
  <c r="AQ34" i="2"/>
  <c r="AC84" i="2" s="1"/>
  <c r="AR34" i="2"/>
  <c r="AC83" i="2" s="1"/>
  <c r="AS34" i="2"/>
  <c r="AC82" i="2" s="1"/>
  <c r="AT34" i="2"/>
  <c r="AC81" i="2" s="1"/>
  <c r="AU34" i="2"/>
  <c r="AC80" i="2" s="1"/>
  <c r="AV34" i="2"/>
  <c r="AC79" i="2" s="1"/>
  <c r="AW34" i="2"/>
  <c r="AC78" i="2" s="1"/>
  <c r="AX34" i="2"/>
  <c r="AC77" i="2" s="1"/>
  <c r="AY34" i="2"/>
  <c r="AC76" i="2" s="1"/>
  <c r="AZ34" i="2"/>
  <c r="AC75" i="2" s="1"/>
  <c r="BA34" i="2"/>
  <c r="AC74" i="2" s="1"/>
  <c r="BB34" i="2"/>
  <c r="AC73" i="2" s="1"/>
  <c r="BC34" i="2"/>
  <c r="AC72" i="2" s="1"/>
  <c r="BD34" i="2"/>
  <c r="AC71" i="2" s="1"/>
  <c r="BE34" i="2"/>
  <c r="AC70" i="2" s="1"/>
  <c r="BF34" i="2"/>
  <c r="AC69" i="2" s="1"/>
  <c r="BG34" i="2"/>
  <c r="AC68" i="2" s="1"/>
  <c r="BH34" i="2"/>
  <c r="AC67" i="2" s="1"/>
  <c r="BI34" i="2"/>
  <c r="AC66" i="2" s="1"/>
  <c r="B35" i="2"/>
  <c r="AB125" i="2" s="1"/>
  <c r="C35" i="2"/>
  <c r="AB124" i="2" s="1"/>
  <c r="D35" i="2"/>
  <c r="AB123" i="2" s="1"/>
  <c r="E35" i="2"/>
  <c r="AB122" i="2" s="1"/>
  <c r="F35" i="2"/>
  <c r="AB121" i="2" s="1"/>
  <c r="G35" i="2"/>
  <c r="AB120" i="2" s="1"/>
  <c r="H35" i="2"/>
  <c r="AB119" i="2" s="1"/>
  <c r="I35" i="2"/>
  <c r="AB118" i="2" s="1"/>
  <c r="J35" i="2"/>
  <c r="AB117" i="2" s="1"/>
  <c r="K35" i="2"/>
  <c r="AB116" i="2" s="1"/>
  <c r="L35" i="2"/>
  <c r="AB115" i="2" s="1"/>
  <c r="M35" i="2"/>
  <c r="AB114" i="2" s="1"/>
  <c r="N35" i="2"/>
  <c r="AB113" i="2" s="1"/>
  <c r="O35" i="2"/>
  <c r="AB112" i="2" s="1"/>
  <c r="P35" i="2"/>
  <c r="AB111" i="2" s="1"/>
  <c r="Q35" i="2"/>
  <c r="AB110" i="2" s="1"/>
  <c r="R35" i="2"/>
  <c r="AB109" i="2" s="1"/>
  <c r="S35" i="2"/>
  <c r="AB108" i="2" s="1"/>
  <c r="T35" i="2"/>
  <c r="AB107" i="2" s="1"/>
  <c r="U35" i="2"/>
  <c r="AB106" i="2" s="1"/>
  <c r="V35" i="2"/>
  <c r="AB105" i="2" s="1"/>
  <c r="W35" i="2"/>
  <c r="AB104" i="2" s="1"/>
  <c r="X35" i="2"/>
  <c r="AB103" i="2" s="1"/>
  <c r="Y35" i="2"/>
  <c r="AB102" i="2" s="1"/>
  <c r="Z35" i="2"/>
  <c r="AB101" i="2" s="1"/>
  <c r="AA35" i="2"/>
  <c r="AB100" i="2" s="1"/>
  <c r="AB35" i="2"/>
  <c r="AB99" i="2" s="1"/>
  <c r="AC35" i="2"/>
  <c r="AB98" i="2" s="1"/>
  <c r="AD35" i="2"/>
  <c r="AB97" i="2" s="1"/>
  <c r="AE35" i="2"/>
  <c r="AB96" i="2" s="1"/>
  <c r="AF35" i="2"/>
  <c r="AB95" i="2" s="1"/>
  <c r="AG35" i="2"/>
  <c r="AB94" i="2" s="1"/>
  <c r="AH35" i="2"/>
  <c r="AB93" i="2" s="1"/>
  <c r="AI35" i="2"/>
  <c r="AB92" i="2" s="1"/>
  <c r="AJ35" i="2"/>
  <c r="AB91" i="2" s="1"/>
  <c r="AK35" i="2"/>
  <c r="AB90" i="2" s="1"/>
  <c r="AL35" i="2"/>
  <c r="AB89" i="2" s="1"/>
  <c r="AM35" i="2"/>
  <c r="AB88" i="2" s="1"/>
  <c r="AN35" i="2"/>
  <c r="AB87" i="2" s="1"/>
  <c r="AO35" i="2"/>
  <c r="AB86" i="2" s="1"/>
  <c r="AP35" i="2"/>
  <c r="AB85" i="2" s="1"/>
  <c r="AQ35" i="2"/>
  <c r="AB84" i="2" s="1"/>
  <c r="AR35" i="2"/>
  <c r="AB83" i="2" s="1"/>
  <c r="AS35" i="2"/>
  <c r="AB82" i="2" s="1"/>
  <c r="AT35" i="2"/>
  <c r="AB81" i="2" s="1"/>
  <c r="AU35" i="2"/>
  <c r="AB80" i="2" s="1"/>
  <c r="AV35" i="2"/>
  <c r="AB79" i="2" s="1"/>
  <c r="AW35" i="2"/>
  <c r="AB78" i="2" s="1"/>
  <c r="AX35" i="2"/>
  <c r="AB77" i="2" s="1"/>
  <c r="AY35" i="2"/>
  <c r="AB76" i="2" s="1"/>
  <c r="AZ35" i="2"/>
  <c r="AB75" i="2" s="1"/>
  <c r="BA35" i="2"/>
  <c r="AB74" i="2" s="1"/>
  <c r="BB35" i="2"/>
  <c r="AB73" i="2" s="1"/>
  <c r="BC35" i="2"/>
  <c r="AB72" i="2" s="1"/>
  <c r="BD35" i="2"/>
  <c r="AB71" i="2" s="1"/>
  <c r="BE35" i="2"/>
  <c r="AB70" i="2" s="1"/>
  <c r="BF35" i="2"/>
  <c r="AB69" i="2" s="1"/>
  <c r="BG35" i="2"/>
  <c r="AB68" i="2" s="1"/>
  <c r="BH35" i="2"/>
  <c r="AB67" i="2" s="1"/>
  <c r="BI35" i="2"/>
  <c r="AB66" i="2" s="1"/>
  <c r="B36" i="2"/>
  <c r="AA125" i="2" s="1"/>
  <c r="C36" i="2"/>
  <c r="AA124" i="2" s="1"/>
  <c r="D36" i="2"/>
  <c r="AA123" i="2" s="1"/>
  <c r="E36" i="2"/>
  <c r="AA122" i="2" s="1"/>
  <c r="F36" i="2"/>
  <c r="AA121" i="2" s="1"/>
  <c r="G36" i="2"/>
  <c r="AA120" i="2" s="1"/>
  <c r="H36" i="2"/>
  <c r="AA119" i="2" s="1"/>
  <c r="I36" i="2"/>
  <c r="AA118" i="2" s="1"/>
  <c r="J36" i="2"/>
  <c r="AA117" i="2" s="1"/>
  <c r="K36" i="2"/>
  <c r="AA116" i="2" s="1"/>
  <c r="L36" i="2"/>
  <c r="AA115" i="2" s="1"/>
  <c r="M36" i="2"/>
  <c r="AA114" i="2" s="1"/>
  <c r="N36" i="2"/>
  <c r="AA113" i="2" s="1"/>
  <c r="O36" i="2"/>
  <c r="AA112" i="2" s="1"/>
  <c r="P36" i="2"/>
  <c r="AA111" i="2" s="1"/>
  <c r="Q36" i="2"/>
  <c r="AA110" i="2" s="1"/>
  <c r="R36" i="2"/>
  <c r="AA109" i="2" s="1"/>
  <c r="S36" i="2"/>
  <c r="AA108" i="2" s="1"/>
  <c r="T36" i="2"/>
  <c r="AA107" i="2" s="1"/>
  <c r="U36" i="2"/>
  <c r="AA106" i="2" s="1"/>
  <c r="V36" i="2"/>
  <c r="AA105" i="2" s="1"/>
  <c r="W36" i="2"/>
  <c r="AA104" i="2" s="1"/>
  <c r="X36" i="2"/>
  <c r="AA103" i="2" s="1"/>
  <c r="Y36" i="2"/>
  <c r="AA102" i="2" s="1"/>
  <c r="Z36" i="2"/>
  <c r="AA101" i="2" s="1"/>
  <c r="AA36" i="2"/>
  <c r="AA100" i="2" s="1"/>
  <c r="AB36" i="2"/>
  <c r="AA99" i="2" s="1"/>
  <c r="AC36" i="2"/>
  <c r="AA98" i="2" s="1"/>
  <c r="AD36" i="2"/>
  <c r="AA97" i="2" s="1"/>
  <c r="AE36" i="2"/>
  <c r="AA96" i="2" s="1"/>
  <c r="AF36" i="2"/>
  <c r="AA95" i="2" s="1"/>
  <c r="AG36" i="2"/>
  <c r="AA94" i="2" s="1"/>
  <c r="AH36" i="2"/>
  <c r="AA93" i="2" s="1"/>
  <c r="AI36" i="2"/>
  <c r="AA92" i="2" s="1"/>
  <c r="AJ36" i="2"/>
  <c r="AA91" i="2" s="1"/>
  <c r="AK36" i="2"/>
  <c r="AA90" i="2" s="1"/>
  <c r="AL36" i="2"/>
  <c r="AA89" i="2" s="1"/>
  <c r="AM36" i="2"/>
  <c r="AA88" i="2" s="1"/>
  <c r="AN36" i="2"/>
  <c r="AA87" i="2" s="1"/>
  <c r="AO36" i="2"/>
  <c r="AA86" i="2" s="1"/>
  <c r="AP36" i="2"/>
  <c r="AA85" i="2" s="1"/>
  <c r="AQ36" i="2"/>
  <c r="AA84" i="2" s="1"/>
  <c r="AR36" i="2"/>
  <c r="AA83" i="2" s="1"/>
  <c r="AS36" i="2"/>
  <c r="AA82" i="2" s="1"/>
  <c r="AT36" i="2"/>
  <c r="AA81" i="2" s="1"/>
  <c r="AU36" i="2"/>
  <c r="AA80" i="2" s="1"/>
  <c r="AV36" i="2"/>
  <c r="AA79" i="2" s="1"/>
  <c r="AW36" i="2"/>
  <c r="AA78" i="2" s="1"/>
  <c r="AX36" i="2"/>
  <c r="AA77" i="2" s="1"/>
  <c r="AY36" i="2"/>
  <c r="AA76" i="2" s="1"/>
  <c r="AZ36" i="2"/>
  <c r="AA75" i="2" s="1"/>
  <c r="BA36" i="2"/>
  <c r="AA74" i="2" s="1"/>
  <c r="BB36" i="2"/>
  <c r="AA73" i="2" s="1"/>
  <c r="BC36" i="2"/>
  <c r="AA72" i="2" s="1"/>
  <c r="BD36" i="2"/>
  <c r="AA71" i="2" s="1"/>
  <c r="BE36" i="2"/>
  <c r="AA70" i="2" s="1"/>
  <c r="BF36" i="2"/>
  <c r="AA69" i="2" s="1"/>
  <c r="BG36" i="2"/>
  <c r="AA68" i="2" s="1"/>
  <c r="BH36" i="2"/>
  <c r="AA67" i="2" s="1"/>
  <c r="BI36" i="2"/>
  <c r="AA66" i="2" s="1"/>
  <c r="B37" i="2"/>
  <c r="Z125" i="2" s="1"/>
  <c r="C37" i="2"/>
  <c r="Z124" i="2" s="1"/>
  <c r="D37" i="2"/>
  <c r="Z123" i="2" s="1"/>
  <c r="E37" i="2"/>
  <c r="Z122" i="2" s="1"/>
  <c r="F37" i="2"/>
  <c r="Z121" i="2" s="1"/>
  <c r="G37" i="2"/>
  <c r="Z120" i="2" s="1"/>
  <c r="H37" i="2"/>
  <c r="Z119" i="2" s="1"/>
  <c r="I37" i="2"/>
  <c r="Z118" i="2" s="1"/>
  <c r="J37" i="2"/>
  <c r="Z117" i="2" s="1"/>
  <c r="K37" i="2"/>
  <c r="Z116" i="2" s="1"/>
  <c r="L37" i="2"/>
  <c r="Z115" i="2" s="1"/>
  <c r="M37" i="2"/>
  <c r="Z114" i="2" s="1"/>
  <c r="N37" i="2"/>
  <c r="Z113" i="2" s="1"/>
  <c r="O37" i="2"/>
  <c r="Z112" i="2" s="1"/>
  <c r="P37" i="2"/>
  <c r="Z111" i="2" s="1"/>
  <c r="Q37" i="2"/>
  <c r="Z110" i="2" s="1"/>
  <c r="R37" i="2"/>
  <c r="Z109" i="2" s="1"/>
  <c r="S37" i="2"/>
  <c r="Z108" i="2" s="1"/>
  <c r="T37" i="2"/>
  <c r="Z107" i="2" s="1"/>
  <c r="U37" i="2"/>
  <c r="Z106" i="2" s="1"/>
  <c r="V37" i="2"/>
  <c r="Z105" i="2" s="1"/>
  <c r="W37" i="2"/>
  <c r="Z104" i="2" s="1"/>
  <c r="X37" i="2"/>
  <c r="Z103" i="2" s="1"/>
  <c r="Y37" i="2"/>
  <c r="Z102" i="2" s="1"/>
  <c r="Z37" i="2"/>
  <c r="Z101" i="2" s="1"/>
  <c r="AA37" i="2"/>
  <c r="Z100" i="2" s="1"/>
  <c r="AB37" i="2"/>
  <c r="Z99" i="2" s="1"/>
  <c r="AC37" i="2"/>
  <c r="Z98" i="2" s="1"/>
  <c r="AD37" i="2"/>
  <c r="Z97" i="2" s="1"/>
  <c r="AE37" i="2"/>
  <c r="Z96" i="2" s="1"/>
  <c r="AF37" i="2"/>
  <c r="Z95" i="2" s="1"/>
  <c r="AG37" i="2"/>
  <c r="Z94" i="2" s="1"/>
  <c r="AH37" i="2"/>
  <c r="Z93" i="2" s="1"/>
  <c r="AI37" i="2"/>
  <c r="Z92" i="2" s="1"/>
  <c r="AJ37" i="2"/>
  <c r="Z91" i="2" s="1"/>
  <c r="AK37" i="2"/>
  <c r="Z90" i="2" s="1"/>
  <c r="AL37" i="2"/>
  <c r="Z89" i="2" s="1"/>
  <c r="AM37" i="2"/>
  <c r="Z88" i="2" s="1"/>
  <c r="AN37" i="2"/>
  <c r="Z87" i="2" s="1"/>
  <c r="AO37" i="2"/>
  <c r="Z86" i="2" s="1"/>
  <c r="AP37" i="2"/>
  <c r="Z85" i="2" s="1"/>
  <c r="AQ37" i="2"/>
  <c r="Z84" i="2" s="1"/>
  <c r="AR37" i="2"/>
  <c r="Z83" i="2" s="1"/>
  <c r="AS37" i="2"/>
  <c r="Z82" i="2" s="1"/>
  <c r="AT37" i="2"/>
  <c r="Z81" i="2" s="1"/>
  <c r="AU37" i="2"/>
  <c r="Z80" i="2" s="1"/>
  <c r="AV37" i="2"/>
  <c r="Z79" i="2" s="1"/>
  <c r="AW37" i="2"/>
  <c r="Z78" i="2" s="1"/>
  <c r="AX37" i="2"/>
  <c r="Z77" i="2" s="1"/>
  <c r="AY37" i="2"/>
  <c r="Z76" i="2" s="1"/>
  <c r="AZ37" i="2"/>
  <c r="Z75" i="2" s="1"/>
  <c r="BA37" i="2"/>
  <c r="Z74" i="2" s="1"/>
  <c r="BB37" i="2"/>
  <c r="Z73" i="2" s="1"/>
  <c r="BC37" i="2"/>
  <c r="Z72" i="2" s="1"/>
  <c r="BD37" i="2"/>
  <c r="Z71" i="2" s="1"/>
  <c r="BE37" i="2"/>
  <c r="Z70" i="2" s="1"/>
  <c r="BF37" i="2"/>
  <c r="Z69" i="2" s="1"/>
  <c r="BG37" i="2"/>
  <c r="Z68" i="2" s="1"/>
  <c r="BH37" i="2"/>
  <c r="Z67" i="2" s="1"/>
  <c r="BI37" i="2"/>
  <c r="Z66" i="2" s="1"/>
  <c r="B38" i="2"/>
  <c r="Y125" i="2" s="1"/>
  <c r="C38" i="2"/>
  <c r="Y124" i="2" s="1"/>
  <c r="D38" i="2"/>
  <c r="Y123" i="2" s="1"/>
  <c r="E38" i="2"/>
  <c r="Y122" i="2" s="1"/>
  <c r="F38" i="2"/>
  <c r="Y121" i="2" s="1"/>
  <c r="G38" i="2"/>
  <c r="Y120" i="2" s="1"/>
  <c r="H38" i="2"/>
  <c r="Y119" i="2" s="1"/>
  <c r="I38" i="2"/>
  <c r="Y118" i="2" s="1"/>
  <c r="J38" i="2"/>
  <c r="Y117" i="2" s="1"/>
  <c r="K38" i="2"/>
  <c r="Y116" i="2" s="1"/>
  <c r="L38" i="2"/>
  <c r="Y115" i="2" s="1"/>
  <c r="M38" i="2"/>
  <c r="Y114" i="2" s="1"/>
  <c r="N38" i="2"/>
  <c r="Y113" i="2" s="1"/>
  <c r="O38" i="2"/>
  <c r="Y112" i="2" s="1"/>
  <c r="P38" i="2"/>
  <c r="Y111" i="2" s="1"/>
  <c r="Q38" i="2"/>
  <c r="Y110" i="2" s="1"/>
  <c r="R38" i="2"/>
  <c r="Y109" i="2" s="1"/>
  <c r="S38" i="2"/>
  <c r="Y108" i="2" s="1"/>
  <c r="T38" i="2"/>
  <c r="Y107" i="2" s="1"/>
  <c r="U38" i="2"/>
  <c r="Y106" i="2" s="1"/>
  <c r="V38" i="2"/>
  <c r="Y105" i="2" s="1"/>
  <c r="W38" i="2"/>
  <c r="Y104" i="2" s="1"/>
  <c r="X38" i="2"/>
  <c r="Y103" i="2" s="1"/>
  <c r="Y38" i="2"/>
  <c r="Y102" i="2" s="1"/>
  <c r="Z38" i="2"/>
  <c r="Y101" i="2" s="1"/>
  <c r="AA38" i="2"/>
  <c r="Y100" i="2" s="1"/>
  <c r="AB38" i="2"/>
  <c r="Y99" i="2" s="1"/>
  <c r="AC38" i="2"/>
  <c r="Y98" i="2" s="1"/>
  <c r="AD38" i="2"/>
  <c r="Y97" i="2" s="1"/>
  <c r="AE38" i="2"/>
  <c r="Y96" i="2" s="1"/>
  <c r="AF38" i="2"/>
  <c r="Y95" i="2" s="1"/>
  <c r="AG38" i="2"/>
  <c r="Y94" i="2" s="1"/>
  <c r="AH38" i="2"/>
  <c r="Y93" i="2" s="1"/>
  <c r="AI38" i="2"/>
  <c r="Y92" i="2" s="1"/>
  <c r="AJ38" i="2"/>
  <c r="Y91" i="2" s="1"/>
  <c r="AK38" i="2"/>
  <c r="Y90" i="2" s="1"/>
  <c r="AL38" i="2"/>
  <c r="Y89" i="2" s="1"/>
  <c r="AM38" i="2"/>
  <c r="Y88" i="2" s="1"/>
  <c r="AN38" i="2"/>
  <c r="Y87" i="2" s="1"/>
  <c r="AO38" i="2"/>
  <c r="Y86" i="2" s="1"/>
  <c r="AP38" i="2"/>
  <c r="Y85" i="2" s="1"/>
  <c r="AQ38" i="2"/>
  <c r="Y84" i="2" s="1"/>
  <c r="AR38" i="2"/>
  <c r="Y83" i="2" s="1"/>
  <c r="AS38" i="2"/>
  <c r="Y82" i="2" s="1"/>
  <c r="AT38" i="2"/>
  <c r="Y81" i="2" s="1"/>
  <c r="AU38" i="2"/>
  <c r="Y80" i="2" s="1"/>
  <c r="AV38" i="2"/>
  <c r="Y79" i="2" s="1"/>
  <c r="AW38" i="2"/>
  <c r="Y78" i="2" s="1"/>
  <c r="AX38" i="2"/>
  <c r="Y77" i="2" s="1"/>
  <c r="AY38" i="2"/>
  <c r="Y76" i="2" s="1"/>
  <c r="AZ38" i="2"/>
  <c r="Y75" i="2" s="1"/>
  <c r="BA38" i="2"/>
  <c r="Y74" i="2" s="1"/>
  <c r="BB38" i="2"/>
  <c r="Y73" i="2" s="1"/>
  <c r="BC38" i="2"/>
  <c r="Y72" i="2" s="1"/>
  <c r="BD38" i="2"/>
  <c r="Y71" i="2" s="1"/>
  <c r="BE38" i="2"/>
  <c r="Y70" i="2" s="1"/>
  <c r="BF38" i="2"/>
  <c r="Y69" i="2" s="1"/>
  <c r="BG38" i="2"/>
  <c r="Y68" i="2" s="1"/>
  <c r="BH38" i="2"/>
  <c r="Y67" i="2" s="1"/>
  <c r="BI38" i="2"/>
  <c r="Y66" i="2" s="1"/>
  <c r="B39" i="2"/>
  <c r="X125" i="2" s="1"/>
  <c r="C39" i="2"/>
  <c r="X124" i="2" s="1"/>
  <c r="D39" i="2"/>
  <c r="X123" i="2" s="1"/>
  <c r="E39" i="2"/>
  <c r="X122" i="2" s="1"/>
  <c r="F39" i="2"/>
  <c r="X121" i="2" s="1"/>
  <c r="G39" i="2"/>
  <c r="X120" i="2" s="1"/>
  <c r="H39" i="2"/>
  <c r="X119" i="2" s="1"/>
  <c r="I39" i="2"/>
  <c r="X118" i="2" s="1"/>
  <c r="J39" i="2"/>
  <c r="X117" i="2" s="1"/>
  <c r="K39" i="2"/>
  <c r="X116" i="2" s="1"/>
  <c r="L39" i="2"/>
  <c r="X115" i="2" s="1"/>
  <c r="M39" i="2"/>
  <c r="X114" i="2" s="1"/>
  <c r="N39" i="2"/>
  <c r="X113" i="2" s="1"/>
  <c r="O39" i="2"/>
  <c r="X112" i="2" s="1"/>
  <c r="P39" i="2"/>
  <c r="X111" i="2" s="1"/>
  <c r="Q39" i="2"/>
  <c r="X110" i="2" s="1"/>
  <c r="R39" i="2"/>
  <c r="X109" i="2" s="1"/>
  <c r="S39" i="2"/>
  <c r="X108" i="2" s="1"/>
  <c r="T39" i="2"/>
  <c r="X107" i="2" s="1"/>
  <c r="U39" i="2"/>
  <c r="X106" i="2" s="1"/>
  <c r="V39" i="2"/>
  <c r="X105" i="2" s="1"/>
  <c r="W39" i="2"/>
  <c r="X104" i="2" s="1"/>
  <c r="X39" i="2"/>
  <c r="X103" i="2" s="1"/>
  <c r="Y39" i="2"/>
  <c r="X102" i="2" s="1"/>
  <c r="Z39" i="2"/>
  <c r="X101" i="2" s="1"/>
  <c r="AA39" i="2"/>
  <c r="X100" i="2" s="1"/>
  <c r="AB39" i="2"/>
  <c r="X99" i="2" s="1"/>
  <c r="AC39" i="2"/>
  <c r="X98" i="2" s="1"/>
  <c r="AD39" i="2"/>
  <c r="X97" i="2" s="1"/>
  <c r="AE39" i="2"/>
  <c r="X96" i="2" s="1"/>
  <c r="AF39" i="2"/>
  <c r="X95" i="2" s="1"/>
  <c r="AG39" i="2"/>
  <c r="X94" i="2" s="1"/>
  <c r="AH39" i="2"/>
  <c r="X93" i="2" s="1"/>
  <c r="AI39" i="2"/>
  <c r="X92" i="2" s="1"/>
  <c r="AJ39" i="2"/>
  <c r="X91" i="2" s="1"/>
  <c r="AK39" i="2"/>
  <c r="X90" i="2" s="1"/>
  <c r="AL39" i="2"/>
  <c r="X89" i="2" s="1"/>
  <c r="AM39" i="2"/>
  <c r="X88" i="2" s="1"/>
  <c r="AN39" i="2"/>
  <c r="X87" i="2" s="1"/>
  <c r="AO39" i="2"/>
  <c r="X86" i="2" s="1"/>
  <c r="AP39" i="2"/>
  <c r="X85" i="2" s="1"/>
  <c r="AQ39" i="2"/>
  <c r="X84" i="2" s="1"/>
  <c r="AR39" i="2"/>
  <c r="X83" i="2" s="1"/>
  <c r="AS39" i="2"/>
  <c r="X82" i="2" s="1"/>
  <c r="AT39" i="2"/>
  <c r="X81" i="2" s="1"/>
  <c r="AU39" i="2"/>
  <c r="X80" i="2" s="1"/>
  <c r="AV39" i="2"/>
  <c r="X79" i="2" s="1"/>
  <c r="AW39" i="2"/>
  <c r="X78" i="2" s="1"/>
  <c r="AX39" i="2"/>
  <c r="X77" i="2" s="1"/>
  <c r="AY39" i="2"/>
  <c r="X76" i="2" s="1"/>
  <c r="AZ39" i="2"/>
  <c r="X75" i="2" s="1"/>
  <c r="BA39" i="2"/>
  <c r="X74" i="2" s="1"/>
  <c r="BB39" i="2"/>
  <c r="X73" i="2" s="1"/>
  <c r="BC39" i="2"/>
  <c r="X72" i="2" s="1"/>
  <c r="BD39" i="2"/>
  <c r="X71" i="2" s="1"/>
  <c r="BE39" i="2"/>
  <c r="X70" i="2" s="1"/>
  <c r="BF39" i="2"/>
  <c r="X69" i="2" s="1"/>
  <c r="BG39" i="2"/>
  <c r="X68" i="2" s="1"/>
  <c r="BH39" i="2"/>
  <c r="X67" i="2" s="1"/>
  <c r="BI39" i="2"/>
  <c r="X66" i="2" s="1"/>
  <c r="B40" i="2"/>
  <c r="W125" i="2" s="1"/>
  <c r="C40" i="2"/>
  <c r="W124" i="2" s="1"/>
  <c r="D40" i="2"/>
  <c r="W123" i="2" s="1"/>
  <c r="E40" i="2"/>
  <c r="W122" i="2" s="1"/>
  <c r="F40" i="2"/>
  <c r="W121" i="2" s="1"/>
  <c r="G40" i="2"/>
  <c r="W120" i="2" s="1"/>
  <c r="H40" i="2"/>
  <c r="W119" i="2" s="1"/>
  <c r="I40" i="2"/>
  <c r="W118" i="2" s="1"/>
  <c r="J40" i="2"/>
  <c r="W117" i="2" s="1"/>
  <c r="K40" i="2"/>
  <c r="W116" i="2" s="1"/>
  <c r="L40" i="2"/>
  <c r="W115" i="2" s="1"/>
  <c r="M40" i="2"/>
  <c r="W114" i="2" s="1"/>
  <c r="N40" i="2"/>
  <c r="W113" i="2" s="1"/>
  <c r="O40" i="2"/>
  <c r="W112" i="2" s="1"/>
  <c r="P40" i="2"/>
  <c r="W111" i="2" s="1"/>
  <c r="Q40" i="2"/>
  <c r="W110" i="2" s="1"/>
  <c r="R40" i="2"/>
  <c r="W109" i="2" s="1"/>
  <c r="S40" i="2"/>
  <c r="W108" i="2" s="1"/>
  <c r="T40" i="2"/>
  <c r="W107" i="2" s="1"/>
  <c r="U40" i="2"/>
  <c r="W106" i="2" s="1"/>
  <c r="V40" i="2"/>
  <c r="W105" i="2" s="1"/>
  <c r="W40" i="2"/>
  <c r="W104" i="2" s="1"/>
  <c r="X40" i="2"/>
  <c r="W103" i="2" s="1"/>
  <c r="Y40" i="2"/>
  <c r="W102" i="2" s="1"/>
  <c r="Z40" i="2"/>
  <c r="W101" i="2" s="1"/>
  <c r="AA40" i="2"/>
  <c r="W100" i="2" s="1"/>
  <c r="AB40" i="2"/>
  <c r="W99" i="2" s="1"/>
  <c r="AC40" i="2"/>
  <c r="W98" i="2" s="1"/>
  <c r="AD40" i="2"/>
  <c r="W97" i="2" s="1"/>
  <c r="AE40" i="2"/>
  <c r="W96" i="2" s="1"/>
  <c r="AF40" i="2"/>
  <c r="W95" i="2" s="1"/>
  <c r="AG40" i="2"/>
  <c r="W94" i="2" s="1"/>
  <c r="AH40" i="2"/>
  <c r="W93" i="2" s="1"/>
  <c r="AI40" i="2"/>
  <c r="W92" i="2" s="1"/>
  <c r="AJ40" i="2"/>
  <c r="W91" i="2" s="1"/>
  <c r="AK40" i="2"/>
  <c r="W90" i="2" s="1"/>
  <c r="AL40" i="2"/>
  <c r="W89" i="2" s="1"/>
  <c r="AM40" i="2"/>
  <c r="W88" i="2" s="1"/>
  <c r="AN40" i="2"/>
  <c r="W87" i="2" s="1"/>
  <c r="AO40" i="2"/>
  <c r="W86" i="2" s="1"/>
  <c r="AP40" i="2"/>
  <c r="W85" i="2" s="1"/>
  <c r="AQ40" i="2"/>
  <c r="W84" i="2" s="1"/>
  <c r="AR40" i="2"/>
  <c r="W83" i="2" s="1"/>
  <c r="AS40" i="2"/>
  <c r="W82" i="2" s="1"/>
  <c r="AT40" i="2"/>
  <c r="W81" i="2" s="1"/>
  <c r="AU40" i="2"/>
  <c r="W80" i="2" s="1"/>
  <c r="AV40" i="2"/>
  <c r="W79" i="2" s="1"/>
  <c r="AW40" i="2"/>
  <c r="W78" i="2" s="1"/>
  <c r="AX40" i="2"/>
  <c r="W77" i="2" s="1"/>
  <c r="AY40" i="2"/>
  <c r="W76" i="2" s="1"/>
  <c r="AZ40" i="2"/>
  <c r="W75" i="2" s="1"/>
  <c r="BA40" i="2"/>
  <c r="W74" i="2" s="1"/>
  <c r="BB40" i="2"/>
  <c r="W73" i="2" s="1"/>
  <c r="BC40" i="2"/>
  <c r="W72" i="2" s="1"/>
  <c r="BD40" i="2"/>
  <c r="W71" i="2" s="1"/>
  <c r="BE40" i="2"/>
  <c r="W70" i="2" s="1"/>
  <c r="BF40" i="2"/>
  <c r="W69" i="2" s="1"/>
  <c r="BG40" i="2"/>
  <c r="W68" i="2" s="1"/>
  <c r="BH40" i="2"/>
  <c r="W67" i="2" s="1"/>
  <c r="BI40" i="2"/>
  <c r="W66" i="2" s="1"/>
  <c r="B41" i="2"/>
  <c r="V125" i="2" s="1"/>
  <c r="C41" i="2"/>
  <c r="V124" i="2" s="1"/>
  <c r="D41" i="2"/>
  <c r="V123" i="2" s="1"/>
  <c r="E41" i="2"/>
  <c r="V122" i="2" s="1"/>
  <c r="F41" i="2"/>
  <c r="V121" i="2" s="1"/>
  <c r="G41" i="2"/>
  <c r="V120" i="2" s="1"/>
  <c r="H41" i="2"/>
  <c r="V119" i="2" s="1"/>
  <c r="I41" i="2"/>
  <c r="V118" i="2" s="1"/>
  <c r="J41" i="2"/>
  <c r="V117" i="2" s="1"/>
  <c r="K41" i="2"/>
  <c r="V116" i="2" s="1"/>
  <c r="L41" i="2"/>
  <c r="V115" i="2" s="1"/>
  <c r="M41" i="2"/>
  <c r="V114" i="2" s="1"/>
  <c r="N41" i="2"/>
  <c r="V113" i="2" s="1"/>
  <c r="O41" i="2"/>
  <c r="V112" i="2" s="1"/>
  <c r="P41" i="2"/>
  <c r="V111" i="2" s="1"/>
  <c r="Q41" i="2"/>
  <c r="V110" i="2" s="1"/>
  <c r="R41" i="2"/>
  <c r="V109" i="2" s="1"/>
  <c r="S41" i="2"/>
  <c r="V108" i="2" s="1"/>
  <c r="T41" i="2"/>
  <c r="V107" i="2" s="1"/>
  <c r="U41" i="2"/>
  <c r="V106" i="2" s="1"/>
  <c r="V41" i="2"/>
  <c r="V105" i="2" s="1"/>
  <c r="W41" i="2"/>
  <c r="V104" i="2" s="1"/>
  <c r="X41" i="2"/>
  <c r="V103" i="2" s="1"/>
  <c r="Y41" i="2"/>
  <c r="V102" i="2" s="1"/>
  <c r="Z41" i="2"/>
  <c r="V101" i="2" s="1"/>
  <c r="AA41" i="2"/>
  <c r="V100" i="2" s="1"/>
  <c r="AB41" i="2"/>
  <c r="V99" i="2" s="1"/>
  <c r="AC41" i="2"/>
  <c r="V98" i="2" s="1"/>
  <c r="AD41" i="2"/>
  <c r="V97" i="2" s="1"/>
  <c r="AE41" i="2"/>
  <c r="V96" i="2" s="1"/>
  <c r="AF41" i="2"/>
  <c r="V95" i="2" s="1"/>
  <c r="AG41" i="2"/>
  <c r="V94" i="2" s="1"/>
  <c r="AH41" i="2"/>
  <c r="V93" i="2" s="1"/>
  <c r="AI41" i="2"/>
  <c r="V92" i="2" s="1"/>
  <c r="AJ41" i="2"/>
  <c r="V91" i="2" s="1"/>
  <c r="AK41" i="2"/>
  <c r="V90" i="2" s="1"/>
  <c r="AL41" i="2"/>
  <c r="V89" i="2" s="1"/>
  <c r="AM41" i="2"/>
  <c r="V88" i="2" s="1"/>
  <c r="AN41" i="2"/>
  <c r="V87" i="2" s="1"/>
  <c r="AO41" i="2"/>
  <c r="V86" i="2" s="1"/>
  <c r="AP41" i="2"/>
  <c r="V85" i="2" s="1"/>
  <c r="AQ41" i="2"/>
  <c r="V84" i="2" s="1"/>
  <c r="AR41" i="2"/>
  <c r="V83" i="2" s="1"/>
  <c r="AS41" i="2"/>
  <c r="V82" i="2" s="1"/>
  <c r="AT41" i="2"/>
  <c r="V81" i="2" s="1"/>
  <c r="AU41" i="2"/>
  <c r="V80" i="2" s="1"/>
  <c r="AV41" i="2"/>
  <c r="V79" i="2" s="1"/>
  <c r="AW41" i="2"/>
  <c r="V78" i="2" s="1"/>
  <c r="AX41" i="2"/>
  <c r="V77" i="2" s="1"/>
  <c r="AY41" i="2"/>
  <c r="V76" i="2" s="1"/>
  <c r="AZ41" i="2"/>
  <c r="V75" i="2" s="1"/>
  <c r="BA41" i="2"/>
  <c r="V74" i="2" s="1"/>
  <c r="BB41" i="2"/>
  <c r="V73" i="2" s="1"/>
  <c r="BC41" i="2"/>
  <c r="V72" i="2" s="1"/>
  <c r="BD41" i="2"/>
  <c r="V71" i="2" s="1"/>
  <c r="BE41" i="2"/>
  <c r="V70" i="2" s="1"/>
  <c r="BF41" i="2"/>
  <c r="V69" i="2" s="1"/>
  <c r="BG41" i="2"/>
  <c r="V68" i="2" s="1"/>
  <c r="BH41" i="2"/>
  <c r="V67" i="2" s="1"/>
  <c r="BI41" i="2"/>
  <c r="V66" i="2" s="1"/>
  <c r="B42" i="2"/>
  <c r="U125" i="2" s="1"/>
  <c r="C42" i="2"/>
  <c r="U124" i="2" s="1"/>
  <c r="D42" i="2"/>
  <c r="U123" i="2" s="1"/>
  <c r="E42" i="2"/>
  <c r="U122" i="2" s="1"/>
  <c r="F42" i="2"/>
  <c r="U121" i="2" s="1"/>
  <c r="G42" i="2"/>
  <c r="U120" i="2" s="1"/>
  <c r="H42" i="2"/>
  <c r="U119" i="2" s="1"/>
  <c r="I42" i="2"/>
  <c r="U118" i="2" s="1"/>
  <c r="J42" i="2"/>
  <c r="U117" i="2" s="1"/>
  <c r="K42" i="2"/>
  <c r="U116" i="2" s="1"/>
  <c r="L42" i="2"/>
  <c r="U115" i="2" s="1"/>
  <c r="M42" i="2"/>
  <c r="U114" i="2" s="1"/>
  <c r="N42" i="2"/>
  <c r="U113" i="2" s="1"/>
  <c r="O42" i="2"/>
  <c r="U112" i="2" s="1"/>
  <c r="P42" i="2"/>
  <c r="U111" i="2" s="1"/>
  <c r="Q42" i="2"/>
  <c r="U110" i="2" s="1"/>
  <c r="R42" i="2"/>
  <c r="U109" i="2" s="1"/>
  <c r="S42" i="2"/>
  <c r="U108" i="2" s="1"/>
  <c r="T42" i="2"/>
  <c r="U107" i="2" s="1"/>
  <c r="U42" i="2"/>
  <c r="U106" i="2" s="1"/>
  <c r="V42" i="2"/>
  <c r="U105" i="2" s="1"/>
  <c r="W42" i="2"/>
  <c r="U104" i="2" s="1"/>
  <c r="X42" i="2"/>
  <c r="U103" i="2" s="1"/>
  <c r="Y42" i="2"/>
  <c r="U102" i="2" s="1"/>
  <c r="Z42" i="2"/>
  <c r="U101" i="2" s="1"/>
  <c r="AA42" i="2"/>
  <c r="U100" i="2" s="1"/>
  <c r="AB42" i="2"/>
  <c r="U99" i="2" s="1"/>
  <c r="AC42" i="2"/>
  <c r="U98" i="2" s="1"/>
  <c r="AD42" i="2"/>
  <c r="U97" i="2" s="1"/>
  <c r="AE42" i="2"/>
  <c r="U96" i="2" s="1"/>
  <c r="AF42" i="2"/>
  <c r="U95" i="2" s="1"/>
  <c r="AG42" i="2"/>
  <c r="U94" i="2" s="1"/>
  <c r="AH42" i="2"/>
  <c r="U93" i="2" s="1"/>
  <c r="AI42" i="2"/>
  <c r="U92" i="2" s="1"/>
  <c r="AJ42" i="2"/>
  <c r="U91" i="2" s="1"/>
  <c r="AK42" i="2"/>
  <c r="U90" i="2" s="1"/>
  <c r="AL42" i="2"/>
  <c r="U89" i="2" s="1"/>
  <c r="AM42" i="2"/>
  <c r="U88" i="2" s="1"/>
  <c r="AN42" i="2"/>
  <c r="U87" i="2" s="1"/>
  <c r="AO42" i="2"/>
  <c r="U86" i="2" s="1"/>
  <c r="AP42" i="2"/>
  <c r="U85" i="2" s="1"/>
  <c r="AQ42" i="2"/>
  <c r="U84" i="2" s="1"/>
  <c r="AR42" i="2"/>
  <c r="U83" i="2" s="1"/>
  <c r="AS42" i="2"/>
  <c r="U82" i="2" s="1"/>
  <c r="AT42" i="2"/>
  <c r="U81" i="2" s="1"/>
  <c r="AU42" i="2"/>
  <c r="U80" i="2" s="1"/>
  <c r="AV42" i="2"/>
  <c r="U79" i="2" s="1"/>
  <c r="AW42" i="2"/>
  <c r="U78" i="2" s="1"/>
  <c r="AX42" i="2"/>
  <c r="U77" i="2" s="1"/>
  <c r="AY42" i="2"/>
  <c r="U76" i="2" s="1"/>
  <c r="AZ42" i="2"/>
  <c r="U75" i="2" s="1"/>
  <c r="BA42" i="2"/>
  <c r="U74" i="2" s="1"/>
  <c r="BB42" i="2"/>
  <c r="U73" i="2" s="1"/>
  <c r="BC42" i="2"/>
  <c r="U72" i="2" s="1"/>
  <c r="BD42" i="2"/>
  <c r="U71" i="2" s="1"/>
  <c r="BE42" i="2"/>
  <c r="U70" i="2" s="1"/>
  <c r="BF42" i="2"/>
  <c r="U69" i="2" s="1"/>
  <c r="BG42" i="2"/>
  <c r="U68" i="2" s="1"/>
  <c r="BH42" i="2"/>
  <c r="U67" i="2" s="1"/>
  <c r="BI42" i="2"/>
  <c r="U66" i="2" s="1"/>
  <c r="B43" i="2"/>
  <c r="T125" i="2" s="1"/>
  <c r="C43" i="2"/>
  <c r="T124" i="2" s="1"/>
  <c r="D43" i="2"/>
  <c r="T123" i="2" s="1"/>
  <c r="E43" i="2"/>
  <c r="T122" i="2" s="1"/>
  <c r="F43" i="2"/>
  <c r="T121" i="2" s="1"/>
  <c r="G43" i="2"/>
  <c r="T120" i="2" s="1"/>
  <c r="H43" i="2"/>
  <c r="T119" i="2" s="1"/>
  <c r="I43" i="2"/>
  <c r="T118" i="2" s="1"/>
  <c r="J43" i="2"/>
  <c r="T117" i="2" s="1"/>
  <c r="K43" i="2"/>
  <c r="T116" i="2" s="1"/>
  <c r="L43" i="2"/>
  <c r="T115" i="2" s="1"/>
  <c r="M43" i="2"/>
  <c r="T114" i="2" s="1"/>
  <c r="N43" i="2"/>
  <c r="T113" i="2" s="1"/>
  <c r="O43" i="2"/>
  <c r="T112" i="2" s="1"/>
  <c r="P43" i="2"/>
  <c r="T111" i="2" s="1"/>
  <c r="Q43" i="2"/>
  <c r="T110" i="2" s="1"/>
  <c r="R43" i="2"/>
  <c r="T109" i="2" s="1"/>
  <c r="S43" i="2"/>
  <c r="T108" i="2" s="1"/>
  <c r="T43" i="2"/>
  <c r="T107" i="2" s="1"/>
  <c r="U43" i="2"/>
  <c r="T106" i="2" s="1"/>
  <c r="V43" i="2"/>
  <c r="T105" i="2" s="1"/>
  <c r="W43" i="2"/>
  <c r="T104" i="2" s="1"/>
  <c r="X43" i="2"/>
  <c r="T103" i="2" s="1"/>
  <c r="Y43" i="2"/>
  <c r="T102" i="2" s="1"/>
  <c r="Z43" i="2"/>
  <c r="T101" i="2" s="1"/>
  <c r="AA43" i="2"/>
  <c r="T100" i="2" s="1"/>
  <c r="AB43" i="2"/>
  <c r="T99" i="2" s="1"/>
  <c r="AC43" i="2"/>
  <c r="T98" i="2" s="1"/>
  <c r="AD43" i="2"/>
  <c r="T97" i="2" s="1"/>
  <c r="AE43" i="2"/>
  <c r="T96" i="2" s="1"/>
  <c r="AF43" i="2"/>
  <c r="T95" i="2" s="1"/>
  <c r="AG43" i="2"/>
  <c r="T94" i="2" s="1"/>
  <c r="AH43" i="2"/>
  <c r="T93" i="2" s="1"/>
  <c r="AI43" i="2"/>
  <c r="T92" i="2" s="1"/>
  <c r="AJ43" i="2"/>
  <c r="T91" i="2" s="1"/>
  <c r="AK43" i="2"/>
  <c r="T90" i="2" s="1"/>
  <c r="AL43" i="2"/>
  <c r="T89" i="2" s="1"/>
  <c r="AM43" i="2"/>
  <c r="T88" i="2" s="1"/>
  <c r="AN43" i="2"/>
  <c r="T87" i="2" s="1"/>
  <c r="AO43" i="2"/>
  <c r="T86" i="2" s="1"/>
  <c r="AP43" i="2"/>
  <c r="T85" i="2" s="1"/>
  <c r="AQ43" i="2"/>
  <c r="T84" i="2" s="1"/>
  <c r="AR43" i="2"/>
  <c r="T83" i="2" s="1"/>
  <c r="AS43" i="2"/>
  <c r="T82" i="2" s="1"/>
  <c r="AT43" i="2"/>
  <c r="T81" i="2" s="1"/>
  <c r="AU43" i="2"/>
  <c r="T80" i="2" s="1"/>
  <c r="AV43" i="2"/>
  <c r="T79" i="2" s="1"/>
  <c r="AW43" i="2"/>
  <c r="T78" i="2" s="1"/>
  <c r="AX43" i="2"/>
  <c r="T77" i="2" s="1"/>
  <c r="AY43" i="2"/>
  <c r="T76" i="2" s="1"/>
  <c r="AZ43" i="2"/>
  <c r="T75" i="2" s="1"/>
  <c r="BA43" i="2"/>
  <c r="T74" i="2" s="1"/>
  <c r="BB43" i="2"/>
  <c r="T73" i="2" s="1"/>
  <c r="BC43" i="2"/>
  <c r="T72" i="2" s="1"/>
  <c r="BD43" i="2"/>
  <c r="T71" i="2" s="1"/>
  <c r="BE43" i="2"/>
  <c r="T70" i="2" s="1"/>
  <c r="BF43" i="2"/>
  <c r="T69" i="2" s="1"/>
  <c r="BG43" i="2"/>
  <c r="T68" i="2" s="1"/>
  <c r="BH43" i="2"/>
  <c r="T67" i="2" s="1"/>
  <c r="BI43" i="2"/>
  <c r="T66" i="2" s="1"/>
  <c r="B44" i="2"/>
  <c r="S125" i="2" s="1"/>
  <c r="C44" i="2"/>
  <c r="S124" i="2" s="1"/>
  <c r="D44" i="2"/>
  <c r="S123" i="2" s="1"/>
  <c r="E44" i="2"/>
  <c r="S122" i="2" s="1"/>
  <c r="F44" i="2"/>
  <c r="S121" i="2" s="1"/>
  <c r="G44" i="2"/>
  <c r="S120" i="2" s="1"/>
  <c r="H44" i="2"/>
  <c r="S119" i="2" s="1"/>
  <c r="I44" i="2"/>
  <c r="S118" i="2" s="1"/>
  <c r="J44" i="2"/>
  <c r="S117" i="2" s="1"/>
  <c r="K44" i="2"/>
  <c r="S116" i="2" s="1"/>
  <c r="L44" i="2"/>
  <c r="S115" i="2" s="1"/>
  <c r="M44" i="2"/>
  <c r="S114" i="2" s="1"/>
  <c r="N44" i="2"/>
  <c r="S113" i="2" s="1"/>
  <c r="O44" i="2"/>
  <c r="S112" i="2" s="1"/>
  <c r="P44" i="2"/>
  <c r="S111" i="2" s="1"/>
  <c r="Q44" i="2"/>
  <c r="S110" i="2" s="1"/>
  <c r="R44" i="2"/>
  <c r="S109" i="2" s="1"/>
  <c r="S44" i="2"/>
  <c r="S108" i="2" s="1"/>
  <c r="T44" i="2"/>
  <c r="S107" i="2" s="1"/>
  <c r="U44" i="2"/>
  <c r="S106" i="2" s="1"/>
  <c r="V44" i="2"/>
  <c r="S105" i="2" s="1"/>
  <c r="W44" i="2"/>
  <c r="S104" i="2" s="1"/>
  <c r="X44" i="2"/>
  <c r="S103" i="2" s="1"/>
  <c r="Y44" i="2"/>
  <c r="S102" i="2" s="1"/>
  <c r="Z44" i="2"/>
  <c r="S101" i="2" s="1"/>
  <c r="AA44" i="2"/>
  <c r="S100" i="2" s="1"/>
  <c r="AB44" i="2"/>
  <c r="S99" i="2" s="1"/>
  <c r="AC44" i="2"/>
  <c r="S98" i="2" s="1"/>
  <c r="AD44" i="2"/>
  <c r="S97" i="2" s="1"/>
  <c r="AE44" i="2"/>
  <c r="S96" i="2" s="1"/>
  <c r="AF44" i="2"/>
  <c r="S95" i="2" s="1"/>
  <c r="AG44" i="2"/>
  <c r="S94" i="2" s="1"/>
  <c r="AH44" i="2"/>
  <c r="S93" i="2" s="1"/>
  <c r="AI44" i="2"/>
  <c r="S92" i="2" s="1"/>
  <c r="AJ44" i="2"/>
  <c r="S91" i="2" s="1"/>
  <c r="AK44" i="2"/>
  <c r="S90" i="2" s="1"/>
  <c r="AL44" i="2"/>
  <c r="S89" i="2" s="1"/>
  <c r="AM44" i="2"/>
  <c r="S88" i="2" s="1"/>
  <c r="AN44" i="2"/>
  <c r="S87" i="2" s="1"/>
  <c r="AO44" i="2"/>
  <c r="S86" i="2" s="1"/>
  <c r="AP44" i="2"/>
  <c r="S85" i="2" s="1"/>
  <c r="AQ44" i="2"/>
  <c r="S84" i="2" s="1"/>
  <c r="AR44" i="2"/>
  <c r="S83" i="2" s="1"/>
  <c r="AS44" i="2"/>
  <c r="S82" i="2" s="1"/>
  <c r="AT44" i="2"/>
  <c r="S81" i="2" s="1"/>
  <c r="AU44" i="2"/>
  <c r="S80" i="2" s="1"/>
  <c r="AV44" i="2"/>
  <c r="S79" i="2" s="1"/>
  <c r="AW44" i="2"/>
  <c r="S78" i="2" s="1"/>
  <c r="AX44" i="2"/>
  <c r="S77" i="2" s="1"/>
  <c r="AY44" i="2"/>
  <c r="S76" i="2" s="1"/>
  <c r="AZ44" i="2"/>
  <c r="S75" i="2" s="1"/>
  <c r="BA44" i="2"/>
  <c r="S74" i="2" s="1"/>
  <c r="BB44" i="2"/>
  <c r="S73" i="2" s="1"/>
  <c r="BC44" i="2"/>
  <c r="S72" i="2" s="1"/>
  <c r="BD44" i="2"/>
  <c r="S71" i="2" s="1"/>
  <c r="BE44" i="2"/>
  <c r="S70" i="2" s="1"/>
  <c r="BF44" i="2"/>
  <c r="S69" i="2" s="1"/>
  <c r="BG44" i="2"/>
  <c r="S68" i="2" s="1"/>
  <c r="BH44" i="2"/>
  <c r="S67" i="2" s="1"/>
  <c r="BI44" i="2"/>
  <c r="S66" i="2" s="1"/>
  <c r="B45" i="2"/>
  <c r="R125" i="2" s="1"/>
  <c r="C45" i="2"/>
  <c r="R124" i="2" s="1"/>
  <c r="D45" i="2"/>
  <c r="R123" i="2" s="1"/>
  <c r="E45" i="2"/>
  <c r="R122" i="2" s="1"/>
  <c r="F45" i="2"/>
  <c r="R121" i="2" s="1"/>
  <c r="G45" i="2"/>
  <c r="R120" i="2" s="1"/>
  <c r="H45" i="2"/>
  <c r="R119" i="2" s="1"/>
  <c r="I45" i="2"/>
  <c r="R118" i="2" s="1"/>
  <c r="J45" i="2"/>
  <c r="R117" i="2" s="1"/>
  <c r="K45" i="2"/>
  <c r="R116" i="2" s="1"/>
  <c r="L45" i="2"/>
  <c r="R115" i="2" s="1"/>
  <c r="M45" i="2"/>
  <c r="R114" i="2" s="1"/>
  <c r="N45" i="2"/>
  <c r="R113" i="2" s="1"/>
  <c r="O45" i="2"/>
  <c r="R112" i="2" s="1"/>
  <c r="P45" i="2"/>
  <c r="R111" i="2" s="1"/>
  <c r="Q45" i="2"/>
  <c r="R110" i="2" s="1"/>
  <c r="R45" i="2"/>
  <c r="R109" i="2" s="1"/>
  <c r="S45" i="2"/>
  <c r="R108" i="2" s="1"/>
  <c r="T45" i="2"/>
  <c r="R107" i="2" s="1"/>
  <c r="U45" i="2"/>
  <c r="R106" i="2" s="1"/>
  <c r="V45" i="2"/>
  <c r="R105" i="2" s="1"/>
  <c r="W45" i="2"/>
  <c r="R104" i="2" s="1"/>
  <c r="X45" i="2"/>
  <c r="R103" i="2" s="1"/>
  <c r="Y45" i="2"/>
  <c r="R102" i="2" s="1"/>
  <c r="Z45" i="2"/>
  <c r="R101" i="2" s="1"/>
  <c r="AA45" i="2"/>
  <c r="R100" i="2" s="1"/>
  <c r="AB45" i="2"/>
  <c r="R99" i="2" s="1"/>
  <c r="AC45" i="2"/>
  <c r="R98" i="2" s="1"/>
  <c r="AD45" i="2"/>
  <c r="R97" i="2" s="1"/>
  <c r="AE45" i="2"/>
  <c r="R96" i="2" s="1"/>
  <c r="AF45" i="2"/>
  <c r="R95" i="2" s="1"/>
  <c r="AG45" i="2"/>
  <c r="R94" i="2" s="1"/>
  <c r="AH45" i="2"/>
  <c r="R93" i="2" s="1"/>
  <c r="AI45" i="2"/>
  <c r="R92" i="2" s="1"/>
  <c r="AJ45" i="2"/>
  <c r="R91" i="2" s="1"/>
  <c r="AK45" i="2"/>
  <c r="R90" i="2" s="1"/>
  <c r="AL45" i="2"/>
  <c r="R89" i="2" s="1"/>
  <c r="AM45" i="2"/>
  <c r="R88" i="2" s="1"/>
  <c r="AN45" i="2"/>
  <c r="R87" i="2" s="1"/>
  <c r="AO45" i="2"/>
  <c r="R86" i="2" s="1"/>
  <c r="AP45" i="2"/>
  <c r="R85" i="2" s="1"/>
  <c r="AQ45" i="2"/>
  <c r="R84" i="2" s="1"/>
  <c r="AR45" i="2"/>
  <c r="R83" i="2" s="1"/>
  <c r="AS45" i="2"/>
  <c r="R82" i="2" s="1"/>
  <c r="AT45" i="2"/>
  <c r="R81" i="2" s="1"/>
  <c r="AU45" i="2"/>
  <c r="R80" i="2" s="1"/>
  <c r="AV45" i="2"/>
  <c r="R79" i="2" s="1"/>
  <c r="AW45" i="2"/>
  <c r="R78" i="2" s="1"/>
  <c r="AX45" i="2"/>
  <c r="R77" i="2" s="1"/>
  <c r="AY45" i="2"/>
  <c r="R76" i="2" s="1"/>
  <c r="AZ45" i="2"/>
  <c r="R75" i="2" s="1"/>
  <c r="BA45" i="2"/>
  <c r="R74" i="2" s="1"/>
  <c r="BB45" i="2"/>
  <c r="R73" i="2" s="1"/>
  <c r="BC45" i="2"/>
  <c r="R72" i="2" s="1"/>
  <c r="BD45" i="2"/>
  <c r="R71" i="2" s="1"/>
  <c r="BE45" i="2"/>
  <c r="R70" i="2" s="1"/>
  <c r="BF45" i="2"/>
  <c r="R69" i="2" s="1"/>
  <c r="BG45" i="2"/>
  <c r="R68" i="2" s="1"/>
  <c r="BH45" i="2"/>
  <c r="R67" i="2" s="1"/>
  <c r="BI45" i="2"/>
  <c r="R66" i="2" s="1"/>
  <c r="B46" i="2"/>
  <c r="Q125" i="2" s="1"/>
  <c r="C46" i="2"/>
  <c r="Q124" i="2" s="1"/>
  <c r="D46" i="2"/>
  <c r="Q123" i="2" s="1"/>
  <c r="E46" i="2"/>
  <c r="Q122" i="2" s="1"/>
  <c r="F46" i="2"/>
  <c r="Q121" i="2" s="1"/>
  <c r="G46" i="2"/>
  <c r="Q120" i="2" s="1"/>
  <c r="H46" i="2"/>
  <c r="Q119" i="2" s="1"/>
  <c r="I46" i="2"/>
  <c r="Q118" i="2" s="1"/>
  <c r="J46" i="2"/>
  <c r="Q117" i="2" s="1"/>
  <c r="K46" i="2"/>
  <c r="Q116" i="2" s="1"/>
  <c r="L46" i="2"/>
  <c r="Q115" i="2" s="1"/>
  <c r="M46" i="2"/>
  <c r="Q114" i="2" s="1"/>
  <c r="N46" i="2"/>
  <c r="Q113" i="2" s="1"/>
  <c r="O46" i="2"/>
  <c r="Q112" i="2" s="1"/>
  <c r="P46" i="2"/>
  <c r="Q111" i="2" s="1"/>
  <c r="Q46" i="2"/>
  <c r="Q110" i="2" s="1"/>
  <c r="R46" i="2"/>
  <c r="Q109" i="2" s="1"/>
  <c r="S46" i="2"/>
  <c r="Q108" i="2" s="1"/>
  <c r="T46" i="2"/>
  <c r="Q107" i="2" s="1"/>
  <c r="U46" i="2"/>
  <c r="Q106" i="2" s="1"/>
  <c r="V46" i="2"/>
  <c r="Q105" i="2" s="1"/>
  <c r="W46" i="2"/>
  <c r="Q104" i="2" s="1"/>
  <c r="X46" i="2"/>
  <c r="Q103" i="2" s="1"/>
  <c r="Y46" i="2"/>
  <c r="Q102" i="2" s="1"/>
  <c r="Z46" i="2"/>
  <c r="Q101" i="2" s="1"/>
  <c r="AA46" i="2"/>
  <c r="Q100" i="2" s="1"/>
  <c r="AB46" i="2"/>
  <c r="Q99" i="2" s="1"/>
  <c r="AC46" i="2"/>
  <c r="Q98" i="2" s="1"/>
  <c r="AD46" i="2"/>
  <c r="Q97" i="2" s="1"/>
  <c r="AE46" i="2"/>
  <c r="Q96" i="2" s="1"/>
  <c r="AF46" i="2"/>
  <c r="Q95" i="2" s="1"/>
  <c r="AG46" i="2"/>
  <c r="Q94" i="2" s="1"/>
  <c r="AH46" i="2"/>
  <c r="Q93" i="2" s="1"/>
  <c r="AI46" i="2"/>
  <c r="Q92" i="2" s="1"/>
  <c r="AJ46" i="2"/>
  <c r="Q91" i="2" s="1"/>
  <c r="AK46" i="2"/>
  <c r="Q90" i="2" s="1"/>
  <c r="AL46" i="2"/>
  <c r="Q89" i="2" s="1"/>
  <c r="AM46" i="2"/>
  <c r="Q88" i="2" s="1"/>
  <c r="AN46" i="2"/>
  <c r="Q87" i="2" s="1"/>
  <c r="AO46" i="2"/>
  <c r="Q86" i="2" s="1"/>
  <c r="AP46" i="2"/>
  <c r="Q85" i="2" s="1"/>
  <c r="AQ46" i="2"/>
  <c r="Q84" i="2" s="1"/>
  <c r="AR46" i="2"/>
  <c r="Q83" i="2" s="1"/>
  <c r="AS46" i="2"/>
  <c r="Q82" i="2" s="1"/>
  <c r="AT46" i="2"/>
  <c r="Q81" i="2" s="1"/>
  <c r="AU46" i="2"/>
  <c r="Q80" i="2" s="1"/>
  <c r="AV46" i="2"/>
  <c r="Q79" i="2" s="1"/>
  <c r="AW46" i="2"/>
  <c r="Q78" i="2" s="1"/>
  <c r="AX46" i="2"/>
  <c r="Q77" i="2" s="1"/>
  <c r="AY46" i="2"/>
  <c r="Q76" i="2" s="1"/>
  <c r="AZ46" i="2"/>
  <c r="Q75" i="2" s="1"/>
  <c r="BA46" i="2"/>
  <c r="Q74" i="2" s="1"/>
  <c r="BB46" i="2"/>
  <c r="Q73" i="2" s="1"/>
  <c r="BC46" i="2"/>
  <c r="Q72" i="2" s="1"/>
  <c r="BD46" i="2"/>
  <c r="Q71" i="2" s="1"/>
  <c r="BE46" i="2"/>
  <c r="Q70" i="2" s="1"/>
  <c r="BF46" i="2"/>
  <c r="Q69" i="2" s="1"/>
  <c r="BG46" i="2"/>
  <c r="Q68" i="2" s="1"/>
  <c r="BH46" i="2"/>
  <c r="Q67" i="2" s="1"/>
  <c r="BI46" i="2"/>
  <c r="Q66" i="2" s="1"/>
  <c r="B47" i="2"/>
  <c r="P125" i="2" s="1"/>
  <c r="C47" i="2"/>
  <c r="P124" i="2" s="1"/>
  <c r="D47" i="2"/>
  <c r="P123" i="2" s="1"/>
  <c r="E47" i="2"/>
  <c r="P122" i="2" s="1"/>
  <c r="F47" i="2"/>
  <c r="P121" i="2" s="1"/>
  <c r="G47" i="2"/>
  <c r="P120" i="2" s="1"/>
  <c r="H47" i="2"/>
  <c r="P119" i="2" s="1"/>
  <c r="I47" i="2"/>
  <c r="P118" i="2" s="1"/>
  <c r="J47" i="2"/>
  <c r="P117" i="2" s="1"/>
  <c r="K47" i="2"/>
  <c r="P116" i="2" s="1"/>
  <c r="L47" i="2"/>
  <c r="P115" i="2" s="1"/>
  <c r="M47" i="2"/>
  <c r="P114" i="2" s="1"/>
  <c r="N47" i="2"/>
  <c r="P113" i="2" s="1"/>
  <c r="O47" i="2"/>
  <c r="P112" i="2" s="1"/>
  <c r="P47" i="2"/>
  <c r="P111" i="2" s="1"/>
  <c r="Q47" i="2"/>
  <c r="P110" i="2" s="1"/>
  <c r="R47" i="2"/>
  <c r="P109" i="2" s="1"/>
  <c r="S47" i="2"/>
  <c r="P108" i="2" s="1"/>
  <c r="T47" i="2"/>
  <c r="P107" i="2" s="1"/>
  <c r="U47" i="2"/>
  <c r="P106" i="2" s="1"/>
  <c r="V47" i="2"/>
  <c r="P105" i="2" s="1"/>
  <c r="W47" i="2"/>
  <c r="P104" i="2" s="1"/>
  <c r="X47" i="2"/>
  <c r="P103" i="2" s="1"/>
  <c r="Y47" i="2"/>
  <c r="P102" i="2" s="1"/>
  <c r="Z47" i="2"/>
  <c r="P101" i="2" s="1"/>
  <c r="AA47" i="2"/>
  <c r="P100" i="2" s="1"/>
  <c r="AB47" i="2"/>
  <c r="P99" i="2" s="1"/>
  <c r="AC47" i="2"/>
  <c r="P98" i="2" s="1"/>
  <c r="AD47" i="2"/>
  <c r="P97" i="2" s="1"/>
  <c r="AE47" i="2"/>
  <c r="P96" i="2" s="1"/>
  <c r="AF47" i="2"/>
  <c r="P95" i="2" s="1"/>
  <c r="AG47" i="2"/>
  <c r="P94" i="2" s="1"/>
  <c r="AH47" i="2"/>
  <c r="P93" i="2" s="1"/>
  <c r="AI47" i="2"/>
  <c r="P92" i="2" s="1"/>
  <c r="AJ47" i="2"/>
  <c r="P91" i="2" s="1"/>
  <c r="AK47" i="2"/>
  <c r="P90" i="2" s="1"/>
  <c r="AL47" i="2"/>
  <c r="P89" i="2" s="1"/>
  <c r="AM47" i="2"/>
  <c r="P88" i="2" s="1"/>
  <c r="AN47" i="2"/>
  <c r="P87" i="2" s="1"/>
  <c r="AO47" i="2"/>
  <c r="P86" i="2" s="1"/>
  <c r="AP47" i="2"/>
  <c r="P85" i="2" s="1"/>
  <c r="AQ47" i="2"/>
  <c r="P84" i="2" s="1"/>
  <c r="AR47" i="2"/>
  <c r="P83" i="2" s="1"/>
  <c r="AS47" i="2"/>
  <c r="P82" i="2" s="1"/>
  <c r="AT47" i="2"/>
  <c r="P81" i="2" s="1"/>
  <c r="AU47" i="2"/>
  <c r="P80" i="2" s="1"/>
  <c r="AV47" i="2"/>
  <c r="P79" i="2" s="1"/>
  <c r="AW47" i="2"/>
  <c r="P78" i="2" s="1"/>
  <c r="AX47" i="2"/>
  <c r="P77" i="2" s="1"/>
  <c r="AY47" i="2"/>
  <c r="P76" i="2" s="1"/>
  <c r="AZ47" i="2"/>
  <c r="P75" i="2" s="1"/>
  <c r="BA47" i="2"/>
  <c r="P74" i="2" s="1"/>
  <c r="BB47" i="2"/>
  <c r="P73" i="2" s="1"/>
  <c r="BC47" i="2"/>
  <c r="P72" i="2" s="1"/>
  <c r="BD47" i="2"/>
  <c r="P71" i="2" s="1"/>
  <c r="BE47" i="2"/>
  <c r="P70" i="2" s="1"/>
  <c r="BF47" i="2"/>
  <c r="P69" i="2" s="1"/>
  <c r="BG47" i="2"/>
  <c r="P68" i="2" s="1"/>
  <c r="BH47" i="2"/>
  <c r="P67" i="2" s="1"/>
  <c r="BI47" i="2"/>
  <c r="P66" i="2" s="1"/>
  <c r="B48" i="2"/>
  <c r="O125" i="2" s="1"/>
  <c r="C48" i="2"/>
  <c r="O124" i="2" s="1"/>
  <c r="D48" i="2"/>
  <c r="O123" i="2" s="1"/>
  <c r="E48" i="2"/>
  <c r="O122" i="2" s="1"/>
  <c r="F48" i="2"/>
  <c r="O121" i="2" s="1"/>
  <c r="G48" i="2"/>
  <c r="O120" i="2" s="1"/>
  <c r="H48" i="2"/>
  <c r="O119" i="2" s="1"/>
  <c r="I48" i="2"/>
  <c r="O118" i="2" s="1"/>
  <c r="J48" i="2"/>
  <c r="O117" i="2" s="1"/>
  <c r="K48" i="2"/>
  <c r="O116" i="2" s="1"/>
  <c r="L48" i="2"/>
  <c r="O115" i="2" s="1"/>
  <c r="M48" i="2"/>
  <c r="O114" i="2" s="1"/>
  <c r="N48" i="2"/>
  <c r="O113" i="2" s="1"/>
  <c r="O48" i="2"/>
  <c r="O112" i="2" s="1"/>
  <c r="P48" i="2"/>
  <c r="O111" i="2" s="1"/>
  <c r="Q48" i="2"/>
  <c r="O110" i="2" s="1"/>
  <c r="R48" i="2"/>
  <c r="O109" i="2" s="1"/>
  <c r="S48" i="2"/>
  <c r="O108" i="2" s="1"/>
  <c r="T48" i="2"/>
  <c r="O107" i="2" s="1"/>
  <c r="U48" i="2"/>
  <c r="O106" i="2" s="1"/>
  <c r="V48" i="2"/>
  <c r="O105" i="2" s="1"/>
  <c r="W48" i="2"/>
  <c r="O104" i="2" s="1"/>
  <c r="X48" i="2"/>
  <c r="O103" i="2" s="1"/>
  <c r="Y48" i="2"/>
  <c r="O102" i="2" s="1"/>
  <c r="Z48" i="2"/>
  <c r="O101" i="2" s="1"/>
  <c r="AA48" i="2"/>
  <c r="O100" i="2" s="1"/>
  <c r="AB48" i="2"/>
  <c r="O99" i="2" s="1"/>
  <c r="AC48" i="2"/>
  <c r="O98" i="2" s="1"/>
  <c r="AD48" i="2"/>
  <c r="O97" i="2" s="1"/>
  <c r="AE48" i="2"/>
  <c r="O96" i="2" s="1"/>
  <c r="AF48" i="2"/>
  <c r="O95" i="2" s="1"/>
  <c r="AG48" i="2"/>
  <c r="O94" i="2" s="1"/>
  <c r="AH48" i="2"/>
  <c r="O93" i="2" s="1"/>
  <c r="AI48" i="2"/>
  <c r="O92" i="2" s="1"/>
  <c r="AJ48" i="2"/>
  <c r="O91" i="2" s="1"/>
  <c r="AK48" i="2"/>
  <c r="O90" i="2" s="1"/>
  <c r="AL48" i="2"/>
  <c r="O89" i="2" s="1"/>
  <c r="AM48" i="2"/>
  <c r="O88" i="2" s="1"/>
  <c r="AN48" i="2"/>
  <c r="O87" i="2" s="1"/>
  <c r="AO48" i="2"/>
  <c r="O86" i="2" s="1"/>
  <c r="AP48" i="2"/>
  <c r="O85" i="2" s="1"/>
  <c r="AQ48" i="2"/>
  <c r="O84" i="2" s="1"/>
  <c r="AR48" i="2"/>
  <c r="O83" i="2" s="1"/>
  <c r="AS48" i="2"/>
  <c r="O82" i="2" s="1"/>
  <c r="AT48" i="2"/>
  <c r="O81" i="2" s="1"/>
  <c r="AU48" i="2"/>
  <c r="O80" i="2" s="1"/>
  <c r="AV48" i="2"/>
  <c r="O79" i="2" s="1"/>
  <c r="AW48" i="2"/>
  <c r="O78" i="2" s="1"/>
  <c r="AX48" i="2"/>
  <c r="O77" i="2" s="1"/>
  <c r="AY48" i="2"/>
  <c r="O76" i="2" s="1"/>
  <c r="AZ48" i="2"/>
  <c r="O75" i="2" s="1"/>
  <c r="BA48" i="2"/>
  <c r="O74" i="2" s="1"/>
  <c r="BB48" i="2"/>
  <c r="O73" i="2" s="1"/>
  <c r="BC48" i="2"/>
  <c r="O72" i="2" s="1"/>
  <c r="BD48" i="2"/>
  <c r="O71" i="2" s="1"/>
  <c r="BE48" i="2"/>
  <c r="O70" i="2" s="1"/>
  <c r="BF48" i="2"/>
  <c r="O69" i="2" s="1"/>
  <c r="BG48" i="2"/>
  <c r="O68" i="2" s="1"/>
  <c r="BH48" i="2"/>
  <c r="O67" i="2" s="1"/>
  <c r="BI48" i="2"/>
  <c r="O66" i="2" s="1"/>
  <c r="B49" i="2"/>
  <c r="N125" i="2" s="1"/>
  <c r="C49" i="2"/>
  <c r="N124" i="2" s="1"/>
  <c r="D49" i="2"/>
  <c r="N123" i="2" s="1"/>
  <c r="E49" i="2"/>
  <c r="N122" i="2" s="1"/>
  <c r="F49" i="2"/>
  <c r="N121" i="2" s="1"/>
  <c r="G49" i="2"/>
  <c r="N120" i="2" s="1"/>
  <c r="H49" i="2"/>
  <c r="N119" i="2" s="1"/>
  <c r="I49" i="2"/>
  <c r="N118" i="2" s="1"/>
  <c r="J49" i="2"/>
  <c r="N117" i="2" s="1"/>
  <c r="K49" i="2"/>
  <c r="N116" i="2" s="1"/>
  <c r="L49" i="2"/>
  <c r="N115" i="2" s="1"/>
  <c r="M49" i="2"/>
  <c r="N114" i="2" s="1"/>
  <c r="N49" i="2"/>
  <c r="N113" i="2" s="1"/>
  <c r="O49" i="2"/>
  <c r="N112" i="2" s="1"/>
  <c r="P49" i="2"/>
  <c r="N111" i="2" s="1"/>
  <c r="Q49" i="2"/>
  <c r="N110" i="2" s="1"/>
  <c r="R49" i="2"/>
  <c r="N109" i="2" s="1"/>
  <c r="S49" i="2"/>
  <c r="N108" i="2" s="1"/>
  <c r="T49" i="2"/>
  <c r="N107" i="2" s="1"/>
  <c r="U49" i="2"/>
  <c r="N106" i="2" s="1"/>
  <c r="V49" i="2"/>
  <c r="N105" i="2" s="1"/>
  <c r="W49" i="2"/>
  <c r="N104" i="2" s="1"/>
  <c r="X49" i="2"/>
  <c r="N103" i="2" s="1"/>
  <c r="Y49" i="2"/>
  <c r="N102" i="2" s="1"/>
  <c r="Z49" i="2"/>
  <c r="N101" i="2" s="1"/>
  <c r="AA49" i="2"/>
  <c r="N100" i="2" s="1"/>
  <c r="AB49" i="2"/>
  <c r="N99" i="2" s="1"/>
  <c r="AC49" i="2"/>
  <c r="N98" i="2" s="1"/>
  <c r="AD49" i="2"/>
  <c r="N97" i="2" s="1"/>
  <c r="AE49" i="2"/>
  <c r="N96" i="2" s="1"/>
  <c r="AF49" i="2"/>
  <c r="N95" i="2" s="1"/>
  <c r="AG49" i="2"/>
  <c r="N94" i="2" s="1"/>
  <c r="AH49" i="2"/>
  <c r="N93" i="2" s="1"/>
  <c r="AI49" i="2"/>
  <c r="N92" i="2" s="1"/>
  <c r="AJ49" i="2"/>
  <c r="N91" i="2" s="1"/>
  <c r="AK49" i="2"/>
  <c r="N90" i="2" s="1"/>
  <c r="AL49" i="2"/>
  <c r="N89" i="2" s="1"/>
  <c r="AM49" i="2"/>
  <c r="N88" i="2" s="1"/>
  <c r="AN49" i="2"/>
  <c r="N87" i="2" s="1"/>
  <c r="AO49" i="2"/>
  <c r="N86" i="2" s="1"/>
  <c r="AP49" i="2"/>
  <c r="N85" i="2" s="1"/>
  <c r="AQ49" i="2"/>
  <c r="N84" i="2" s="1"/>
  <c r="AR49" i="2"/>
  <c r="N83" i="2" s="1"/>
  <c r="AS49" i="2"/>
  <c r="N82" i="2" s="1"/>
  <c r="AT49" i="2"/>
  <c r="N81" i="2" s="1"/>
  <c r="AU49" i="2"/>
  <c r="N80" i="2" s="1"/>
  <c r="AV49" i="2"/>
  <c r="N79" i="2" s="1"/>
  <c r="AW49" i="2"/>
  <c r="N78" i="2" s="1"/>
  <c r="AX49" i="2"/>
  <c r="N77" i="2" s="1"/>
  <c r="AY49" i="2"/>
  <c r="N76" i="2" s="1"/>
  <c r="AZ49" i="2"/>
  <c r="N75" i="2" s="1"/>
  <c r="BA49" i="2"/>
  <c r="N74" i="2" s="1"/>
  <c r="BB49" i="2"/>
  <c r="N73" i="2" s="1"/>
  <c r="BC49" i="2"/>
  <c r="N72" i="2" s="1"/>
  <c r="BD49" i="2"/>
  <c r="N71" i="2" s="1"/>
  <c r="BE49" i="2"/>
  <c r="N70" i="2" s="1"/>
  <c r="BF49" i="2"/>
  <c r="N69" i="2" s="1"/>
  <c r="BG49" i="2"/>
  <c r="N68" i="2" s="1"/>
  <c r="BH49" i="2"/>
  <c r="N67" i="2" s="1"/>
  <c r="BI49" i="2"/>
  <c r="N66" i="2" s="1"/>
  <c r="B50" i="2"/>
  <c r="M125" i="2" s="1"/>
  <c r="C50" i="2"/>
  <c r="M124" i="2" s="1"/>
  <c r="D50" i="2"/>
  <c r="M123" i="2" s="1"/>
  <c r="E50" i="2"/>
  <c r="M122" i="2" s="1"/>
  <c r="F50" i="2"/>
  <c r="M121" i="2" s="1"/>
  <c r="G50" i="2"/>
  <c r="M120" i="2" s="1"/>
  <c r="H50" i="2"/>
  <c r="M119" i="2" s="1"/>
  <c r="I50" i="2"/>
  <c r="M118" i="2" s="1"/>
  <c r="J50" i="2"/>
  <c r="M117" i="2" s="1"/>
  <c r="K50" i="2"/>
  <c r="M116" i="2" s="1"/>
  <c r="L50" i="2"/>
  <c r="M115" i="2" s="1"/>
  <c r="M50" i="2"/>
  <c r="M114" i="2" s="1"/>
  <c r="N50" i="2"/>
  <c r="M113" i="2" s="1"/>
  <c r="O50" i="2"/>
  <c r="M112" i="2" s="1"/>
  <c r="P50" i="2"/>
  <c r="M111" i="2" s="1"/>
  <c r="Q50" i="2"/>
  <c r="M110" i="2" s="1"/>
  <c r="R50" i="2"/>
  <c r="M109" i="2" s="1"/>
  <c r="S50" i="2"/>
  <c r="M108" i="2" s="1"/>
  <c r="T50" i="2"/>
  <c r="M107" i="2" s="1"/>
  <c r="U50" i="2"/>
  <c r="M106" i="2" s="1"/>
  <c r="V50" i="2"/>
  <c r="M105" i="2" s="1"/>
  <c r="W50" i="2"/>
  <c r="M104" i="2" s="1"/>
  <c r="X50" i="2"/>
  <c r="M103" i="2" s="1"/>
  <c r="Y50" i="2"/>
  <c r="M102" i="2" s="1"/>
  <c r="Z50" i="2"/>
  <c r="M101" i="2" s="1"/>
  <c r="AA50" i="2"/>
  <c r="M100" i="2" s="1"/>
  <c r="AB50" i="2"/>
  <c r="M99" i="2" s="1"/>
  <c r="AC50" i="2"/>
  <c r="M98" i="2" s="1"/>
  <c r="AD50" i="2"/>
  <c r="M97" i="2" s="1"/>
  <c r="AE50" i="2"/>
  <c r="M96" i="2" s="1"/>
  <c r="AF50" i="2"/>
  <c r="M95" i="2" s="1"/>
  <c r="AG50" i="2"/>
  <c r="M94" i="2" s="1"/>
  <c r="AH50" i="2"/>
  <c r="M93" i="2" s="1"/>
  <c r="AI50" i="2"/>
  <c r="M92" i="2" s="1"/>
  <c r="AJ50" i="2"/>
  <c r="M91" i="2" s="1"/>
  <c r="AK50" i="2"/>
  <c r="M90" i="2" s="1"/>
  <c r="AL50" i="2"/>
  <c r="M89" i="2" s="1"/>
  <c r="AM50" i="2"/>
  <c r="M88" i="2" s="1"/>
  <c r="AN50" i="2"/>
  <c r="M87" i="2" s="1"/>
  <c r="AO50" i="2"/>
  <c r="M86" i="2" s="1"/>
  <c r="AP50" i="2"/>
  <c r="M85" i="2" s="1"/>
  <c r="AQ50" i="2"/>
  <c r="M84" i="2" s="1"/>
  <c r="AR50" i="2"/>
  <c r="M83" i="2" s="1"/>
  <c r="AS50" i="2"/>
  <c r="M82" i="2" s="1"/>
  <c r="AT50" i="2"/>
  <c r="M81" i="2" s="1"/>
  <c r="AU50" i="2"/>
  <c r="M80" i="2" s="1"/>
  <c r="AV50" i="2"/>
  <c r="M79" i="2" s="1"/>
  <c r="AW50" i="2"/>
  <c r="M78" i="2" s="1"/>
  <c r="AX50" i="2"/>
  <c r="M77" i="2" s="1"/>
  <c r="AY50" i="2"/>
  <c r="M76" i="2" s="1"/>
  <c r="AZ50" i="2"/>
  <c r="M75" i="2" s="1"/>
  <c r="BA50" i="2"/>
  <c r="M74" i="2" s="1"/>
  <c r="BB50" i="2"/>
  <c r="M73" i="2" s="1"/>
  <c r="BC50" i="2"/>
  <c r="M72" i="2" s="1"/>
  <c r="BD50" i="2"/>
  <c r="M71" i="2" s="1"/>
  <c r="BE50" i="2"/>
  <c r="M70" i="2" s="1"/>
  <c r="BF50" i="2"/>
  <c r="M69" i="2" s="1"/>
  <c r="BG50" i="2"/>
  <c r="M68" i="2" s="1"/>
  <c r="BH50" i="2"/>
  <c r="M67" i="2" s="1"/>
  <c r="BI50" i="2"/>
  <c r="M66" i="2" s="1"/>
  <c r="B51" i="2"/>
  <c r="L125" i="2" s="1"/>
  <c r="C51" i="2"/>
  <c r="L124" i="2" s="1"/>
  <c r="D51" i="2"/>
  <c r="L123" i="2" s="1"/>
  <c r="E51" i="2"/>
  <c r="L122" i="2" s="1"/>
  <c r="F51" i="2"/>
  <c r="L121" i="2" s="1"/>
  <c r="G51" i="2"/>
  <c r="L120" i="2" s="1"/>
  <c r="H51" i="2"/>
  <c r="L119" i="2" s="1"/>
  <c r="I51" i="2"/>
  <c r="L118" i="2" s="1"/>
  <c r="J51" i="2"/>
  <c r="L117" i="2" s="1"/>
  <c r="K51" i="2"/>
  <c r="L116" i="2" s="1"/>
  <c r="L51" i="2"/>
  <c r="L115" i="2" s="1"/>
  <c r="M51" i="2"/>
  <c r="L114" i="2" s="1"/>
  <c r="N51" i="2"/>
  <c r="L113" i="2" s="1"/>
  <c r="O51" i="2"/>
  <c r="L112" i="2" s="1"/>
  <c r="P51" i="2"/>
  <c r="L111" i="2" s="1"/>
  <c r="Q51" i="2"/>
  <c r="L110" i="2" s="1"/>
  <c r="R51" i="2"/>
  <c r="L109" i="2" s="1"/>
  <c r="S51" i="2"/>
  <c r="L108" i="2" s="1"/>
  <c r="T51" i="2"/>
  <c r="L107" i="2" s="1"/>
  <c r="U51" i="2"/>
  <c r="L106" i="2" s="1"/>
  <c r="V51" i="2"/>
  <c r="L105" i="2" s="1"/>
  <c r="W51" i="2"/>
  <c r="L104" i="2" s="1"/>
  <c r="X51" i="2"/>
  <c r="L103" i="2" s="1"/>
  <c r="Y51" i="2"/>
  <c r="L102" i="2" s="1"/>
  <c r="Z51" i="2"/>
  <c r="L101" i="2" s="1"/>
  <c r="AA51" i="2"/>
  <c r="L100" i="2" s="1"/>
  <c r="AB51" i="2"/>
  <c r="L99" i="2" s="1"/>
  <c r="AC51" i="2"/>
  <c r="L98" i="2" s="1"/>
  <c r="AD51" i="2"/>
  <c r="L97" i="2" s="1"/>
  <c r="AE51" i="2"/>
  <c r="L96" i="2" s="1"/>
  <c r="AF51" i="2"/>
  <c r="L95" i="2" s="1"/>
  <c r="AG51" i="2"/>
  <c r="L94" i="2" s="1"/>
  <c r="AH51" i="2"/>
  <c r="L93" i="2" s="1"/>
  <c r="AI51" i="2"/>
  <c r="L92" i="2" s="1"/>
  <c r="AJ51" i="2"/>
  <c r="L91" i="2" s="1"/>
  <c r="AK51" i="2"/>
  <c r="L90" i="2" s="1"/>
  <c r="AL51" i="2"/>
  <c r="L89" i="2" s="1"/>
  <c r="AM51" i="2"/>
  <c r="L88" i="2" s="1"/>
  <c r="AN51" i="2"/>
  <c r="L87" i="2" s="1"/>
  <c r="AO51" i="2"/>
  <c r="L86" i="2" s="1"/>
  <c r="AP51" i="2"/>
  <c r="L85" i="2" s="1"/>
  <c r="AQ51" i="2"/>
  <c r="L84" i="2" s="1"/>
  <c r="AR51" i="2"/>
  <c r="L83" i="2" s="1"/>
  <c r="AS51" i="2"/>
  <c r="L82" i="2" s="1"/>
  <c r="AT51" i="2"/>
  <c r="L81" i="2" s="1"/>
  <c r="AU51" i="2"/>
  <c r="L80" i="2" s="1"/>
  <c r="AV51" i="2"/>
  <c r="L79" i="2" s="1"/>
  <c r="AW51" i="2"/>
  <c r="L78" i="2" s="1"/>
  <c r="AX51" i="2"/>
  <c r="L77" i="2" s="1"/>
  <c r="AY51" i="2"/>
  <c r="L76" i="2" s="1"/>
  <c r="AZ51" i="2"/>
  <c r="L75" i="2" s="1"/>
  <c r="BA51" i="2"/>
  <c r="L74" i="2" s="1"/>
  <c r="BB51" i="2"/>
  <c r="L73" i="2" s="1"/>
  <c r="BC51" i="2"/>
  <c r="L72" i="2" s="1"/>
  <c r="BD51" i="2"/>
  <c r="L71" i="2" s="1"/>
  <c r="BE51" i="2"/>
  <c r="L70" i="2" s="1"/>
  <c r="BF51" i="2"/>
  <c r="L69" i="2" s="1"/>
  <c r="BG51" i="2"/>
  <c r="L68" i="2" s="1"/>
  <c r="BH51" i="2"/>
  <c r="L67" i="2" s="1"/>
  <c r="BI51" i="2"/>
  <c r="L66" i="2" s="1"/>
  <c r="B52" i="2"/>
  <c r="K125" i="2" s="1"/>
  <c r="C52" i="2"/>
  <c r="K124" i="2" s="1"/>
  <c r="D52" i="2"/>
  <c r="K123" i="2" s="1"/>
  <c r="E52" i="2"/>
  <c r="K122" i="2" s="1"/>
  <c r="F52" i="2"/>
  <c r="K121" i="2" s="1"/>
  <c r="G52" i="2"/>
  <c r="K120" i="2" s="1"/>
  <c r="H52" i="2"/>
  <c r="K119" i="2" s="1"/>
  <c r="I52" i="2"/>
  <c r="K118" i="2" s="1"/>
  <c r="J52" i="2"/>
  <c r="K117" i="2" s="1"/>
  <c r="K52" i="2"/>
  <c r="K116" i="2" s="1"/>
  <c r="L52" i="2"/>
  <c r="K115" i="2" s="1"/>
  <c r="M52" i="2"/>
  <c r="K114" i="2" s="1"/>
  <c r="N52" i="2"/>
  <c r="K113" i="2" s="1"/>
  <c r="O52" i="2"/>
  <c r="K112" i="2" s="1"/>
  <c r="P52" i="2"/>
  <c r="K111" i="2" s="1"/>
  <c r="Q52" i="2"/>
  <c r="K110" i="2" s="1"/>
  <c r="R52" i="2"/>
  <c r="K109" i="2" s="1"/>
  <c r="S52" i="2"/>
  <c r="K108" i="2" s="1"/>
  <c r="T52" i="2"/>
  <c r="K107" i="2" s="1"/>
  <c r="U52" i="2"/>
  <c r="K106" i="2" s="1"/>
  <c r="V52" i="2"/>
  <c r="K105" i="2" s="1"/>
  <c r="W52" i="2"/>
  <c r="K104" i="2" s="1"/>
  <c r="X52" i="2"/>
  <c r="K103" i="2" s="1"/>
  <c r="Y52" i="2"/>
  <c r="K102" i="2" s="1"/>
  <c r="Z52" i="2"/>
  <c r="K101" i="2" s="1"/>
  <c r="AA52" i="2"/>
  <c r="K100" i="2" s="1"/>
  <c r="AB52" i="2"/>
  <c r="K99" i="2" s="1"/>
  <c r="AC52" i="2"/>
  <c r="K98" i="2" s="1"/>
  <c r="AD52" i="2"/>
  <c r="K97" i="2" s="1"/>
  <c r="AE52" i="2"/>
  <c r="K96" i="2" s="1"/>
  <c r="AF52" i="2"/>
  <c r="K95" i="2" s="1"/>
  <c r="AG52" i="2"/>
  <c r="K94" i="2" s="1"/>
  <c r="AH52" i="2"/>
  <c r="K93" i="2" s="1"/>
  <c r="AI52" i="2"/>
  <c r="K92" i="2" s="1"/>
  <c r="AJ52" i="2"/>
  <c r="K91" i="2" s="1"/>
  <c r="AK52" i="2"/>
  <c r="K90" i="2" s="1"/>
  <c r="AL52" i="2"/>
  <c r="K89" i="2" s="1"/>
  <c r="AM52" i="2"/>
  <c r="K88" i="2" s="1"/>
  <c r="AN52" i="2"/>
  <c r="K87" i="2" s="1"/>
  <c r="AO52" i="2"/>
  <c r="K86" i="2" s="1"/>
  <c r="AP52" i="2"/>
  <c r="K85" i="2" s="1"/>
  <c r="AQ52" i="2"/>
  <c r="K84" i="2" s="1"/>
  <c r="AR52" i="2"/>
  <c r="K83" i="2" s="1"/>
  <c r="AS52" i="2"/>
  <c r="K82" i="2" s="1"/>
  <c r="AT52" i="2"/>
  <c r="K81" i="2" s="1"/>
  <c r="AU52" i="2"/>
  <c r="K80" i="2" s="1"/>
  <c r="AV52" i="2"/>
  <c r="K79" i="2" s="1"/>
  <c r="AW52" i="2"/>
  <c r="K78" i="2" s="1"/>
  <c r="AX52" i="2"/>
  <c r="K77" i="2" s="1"/>
  <c r="AY52" i="2"/>
  <c r="K76" i="2" s="1"/>
  <c r="AZ52" i="2"/>
  <c r="K75" i="2" s="1"/>
  <c r="BA52" i="2"/>
  <c r="K74" i="2" s="1"/>
  <c r="BB52" i="2"/>
  <c r="K73" i="2" s="1"/>
  <c r="BC52" i="2"/>
  <c r="K72" i="2" s="1"/>
  <c r="BD52" i="2"/>
  <c r="K71" i="2" s="1"/>
  <c r="BE52" i="2"/>
  <c r="K70" i="2" s="1"/>
  <c r="BF52" i="2"/>
  <c r="K69" i="2" s="1"/>
  <c r="BG52" i="2"/>
  <c r="K68" i="2" s="1"/>
  <c r="BH52" i="2"/>
  <c r="K67" i="2" s="1"/>
  <c r="BI52" i="2"/>
  <c r="K66" i="2" s="1"/>
  <c r="B53" i="2"/>
  <c r="J125" i="2" s="1"/>
  <c r="C53" i="2"/>
  <c r="J124" i="2" s="1"/>
  <c r="D53" i="2"/>
  <c r="J123" i="2" s="1"/>
  <c r="E53" i="2"/>
  <c r="J122" i="2" s="1"/>
  <c r="F53" i="2"/>
  <c r="J121" i="2" s="1"/>
  <c r="G53" i="2"/>
  <c r="J120" i="2" s="1"/>
  <c r="H53" i="2"/>
  <c r="J119" i="2" s="1"/>
  <c r="I53" i="2"/>
  <c r="J118" i="2" s="1"/>
  <c r="J53" i="2"/>
  <c r="J117" i="2" s="1"/>
  <c r="K53" i="2"/>
  <c r="J116" i="2" s="1"/>
  <c r="L53" i="2"/>
  <c r="J115" i="2" s="1"/>
  <c r="M53" i="2"/>
  <c r="J114" i="2" s="1"/>
  <c r="N53" i="2"/>
  <c r="J113" i="2" s="1"/>
  <c r="O53" i="2"/>
  <c r="J112" i="2" s="1"/>
  <c r="P53" i="2"/>
  <c r="J111" i="2" s="1"/>
  <c r="Q53" i="2"/>
  <c r="J110" i="2" s="1"/>
  <c r="R53" i="2"/>
  <c r="J109" i="2" s="1"/>
  <c r="S53" i="2"/>
  <c r="J108" i="2" s="1"/>
  <c r="T53" i="2"/>
  <c r="J107" i="2" s="1"/>
  <c r="U53" i="2"/>
  <c r="J106" i="2" s="1"/>
  <c r="V53" i="2"/>
  <c r="J105" i="2" s="1"/>
  <c r="W53" i="2"/>
  <c r="J104" i="2" s="1"/>
  <c r="X53" i="2"/>
  <c r="J103" i="2" s="1"/>
  <c r="Y53" i="2"/>
  <c r="J102" i="2" s="1"/>
  <c r="Z53" i="2"/>
  <c r="J101" i="2" s="1"/>
  <c r="AA53" i="2"/>
  <c r="J100" i="2" s="1"/>
  <c r="AB53" i="2"/>
  <c r="J99" i="2" s="1"/>
  <c r="AC53" i="2"/>
  <c r="J98" i="2" s="1"/>
  <c r="AD53" i="2"/>
  <c r="J97" i="2" s="1"/>
  <c r="AE53" i="2"/>
  <c r="J96" i="2" s="1"/>
  <c r="AF53" i="2"/>
  <c r="J95" i="2" s="1"/>
  <c r="AG53" i="2"/>
  <c r="J94" i="2" s="1"/>
  <c r="AH53" i="2"/>
  <c r="J93" i="2" s="1"/>
  <c r="AI53" i="2"/>
  <c r="J92" i="2" s="1"/>
  <c r="AJ53" i="2"/>
  <c r="J91" i="2" s="1"/>
  <c r="AK53" i="2"/>
  <c r="J90" i="2" s="1"/>
  <c r="AL53" i="2"/>
  <c r="J89" i="2" s="1"/>
  <c r="AM53" i="2"/>
  <c r="J88" i="2" s="1"/>
  <c r="AN53" i="2"/>
  <c r="J87" i="2" s="1"/>
  <c r="AO53" i="2"/>
  <c r="J86" i="2" s="1"/>
  <c r="AP53" i="2"/>
  <c r="J85" i="2" s="1"/>
  <c r="AQ53" i="2"/>
  <c r="J84" i="2" s="1"/>
  <c r="AR53" i="2"/>
  <c r="J83" i="2" s="1"/>
  <c r="AS53" i="2"/>
  <c r="J82" i="2" s="1"/>
  <c r="AT53" i="2"/>
  <c r="J81" i="2" s="1"/>
  <c r="AU53" i="2"/>
  <c r="J80" i="2" s="1"/>
  <c r="AV53" i="2"/>
  <c r="J79" i="2" s="1"/>
  <c r="AW53" i="2"/>
  <c r="J78" i="2" s="1"/>
  <c r="AX53" i="2"/>
  <c r="J77" i="2" s="1"/>
  <c r="AY53" i="2"/>
  <c r="J76" i="2" s="1"/>
  <c r="AZ53" i="2"/>
  <c r="J75" i="2" s="1"/>
  <c r="BA53" i="2"/>
  <c r="J74" i="2" s="1"/>
  <c r="BB53" i="2"/>
  <c r="J73" i="2" s="1"/>
  <c r="BC53" i="2"/>
  <c r="J72" i="2" s="1"/>
  <c r="BD53" i="2"/>
  <c r="J71" i="2" s="1"/>
  <c r="BE53" i="2"/>
  <c r="J70" i="2" s="1"/>
  <c r="BF53" i="2"/>
  <c r="J69" i="2" s="1"/>
  <c r="BG53" i="2"/>
  <c r="J68" i="2" s="1"/>
  <c r="BH53" i="2"/>
  <c r="J67" i="2" s="1"/>
  <c r="BI53" i="2"/>
  <c r="J66" i="2" s="1"/>
  <c r="B54" i="2"/>
  <c r="I125" i="2" s="1"/>
  <c r="C54" i="2"/>
  <c r="I124" i="2" s="1"/>
  <c r="D54" i="2"/>
  <c r="I123" i="2" s="1"/>
  <c r="E54" i="2"/>
  <c r="I122" i="2" s="1"/>
  <c r="F54" i="2"/>
  <c r="I121" i="2" s="1"/>
  <c r="G54" i="2"/>
  <c r="I120" i="2" s="1"/>
  <c r="H54" i="2"/>
  <c r="I119" i="2" s="1"/>
  <c r="I54" i="2"/>
  <c r="I118" i="2" s="1"/>
  <c r="J54" i="2"/>
  <c r="I117" i="2" s="1"/>
  <c r="K54" i="2"/>
  <c r="I116" i="2" s="1"/>
  <c r="L54" i="2"/>
  <c r="I115" i="2" s="1"/>
  <c r="M54" i="2"/>
  <c r="I114" i="2" s="1"/>
  <c r="N54" i="2"/>
  <c r="I113" i="2" s="1"/>
  <c r="O54" i="2"/>
  <c r="I112" i="2" s="1"/>
  <c r="P54" i="2"/>
  <c r="I111" i="2" s="1"/>
  <c r="Q54" i="2"/>
  <c r="I110" i="2" s="1"/>
  <c r="R54" i="2"/>
  <c r="I109" i="2" s="1"/>
  <c r="S54" i="2"/>
  <c r="I108" i="2" s="1"/>
  <c r="T54" i="2"/>
  <c r="I107" i="2" s="1"/>
  <c r="U54" i="2"/>
  <c r="I106" i="2" s="1"/>
  <c r="V54" i="2"/>
  <c r="I105" i="2" s="1"/>
  <c r="W54" i="2"/>
  <c r="I104" i="2" s="1"/>
  <c r="X54" i="2"/>
  <c r="I103" i="2" s="1"/>
  <c r="Y54" i="2"/>
  <c r="I102" i="2" s="1"/>
  <c r="Z54" i="2"/>
  <c r="I101" i="2" s="1"/>
  <c r="AA54" i="2"/>
  <c r="I100" i="2" s="1"/>
  <c r="AB54" i="2"/>
  <c r="I99" i="2" s="1"/>
  <c r="AC54" i="2"/>
  <c r="I98" i="2" s="1"/>
  <c r="AD54" i="2"/>
  <c r="I97" i="2" s="1"/>
  <c r="AE54" i="2"/>
  <c r="I96" i="2" s="1"/>
  <c r="AF54" i="2"/>
  <c r="I95" i="2" s="1"/>
  <c r="AG54" i="2"/>
  <c r="I94" i="2" s="1"/>
  <c r="AH54" i="2"/>
  <c r="I93" i="2" s="1"/>
  <c r="AI54" i="2"/>
  <c r="I92" i="2" s="1"/>
  <c r="AJ54" i="2"/>
  <c r="I91" i="2" s="1"/>
  <c r="AK54" i="2"/>
  <c r="I90" i="2" s="1"/>
  <c r="AL54" i="2"/>
  <c r="I89" i="2" s="1"/>
  <c r="AM54" i="2"/>
  <c r="I88" i="2" s="1"/>
  <c r="AN54" i="2"/>
  <c r="I87" i="2" s="1"/>
  <c r="AO54" i="2"/>
  <c r="I86" i="2" s="1"/>
  <c r="AP54" i="2"/>
  <c r="I85" i="2" s="1"/>
  <c r="AQ54" i="2"/>
  <c r="I84" i="2" s="1"/>
  <c r="AR54" i="2"/>
  <c r="I83" i="2" s="1"/>
  <c r="AS54" i="2"/>
  <c r="I82" i="2" s="1"/>
  <c r="AT54" i="2"/>
  <c r="I81" i="2" s="1"/>
  <c r="AU54" i="2"/>
  <c r="I80" i="2" s="1"/>
  <c r="AV54" i="2"/>
  <c r="I79" i="2" s="1"/>
  <c r="AW54" i="2"/>
  <c r="I78" i="2" s="1"/>
  <c r="AX54" i="2"/>
  <c r="I77" i="2" s="1"/>
  <c r="AY54" i="2"/>
  <c r="I76" i="2" s="1"/>
  <c r="AZ54" i="2"/>
  <c r="I75" i="2" s="1"/>
  <c r="BA54" i="2"/>
  <c r="I74" i="2" s="1"/>
  <c r="BB54" i="2"/>
  <c r="I73" i="2" s="1"/>
  <c r="BC54" i="2"/>
  <c r="I72" i="2" s="1"/>
  <c r="BD54" i="2"/>
  <c r="I71" i="2" s="1"/>
  <c r="BE54" i="2"/>
  <c r="I70" i="2" s="1"/>
  <c r="BF54" i="2"/>
  <c r="I69" i="2" s="1"/>
  <c r="BG54" i="2"/>
  <c r="I68" i="2" s="1"/>
  <c r="BH54" i="2"/>
  <c r="I67" i="2" s="1"/>
  <c r="BI54" i="2"/>
  <c r="I66" i="2" s="1"/>
  <c r="B55" i="2"/>
  <c r="H125" i="2" s="1"/>
  <c r="C55" i="2"/>
  <c r="H124" i="2" s="1"/>
  <c r="D55" i="2"/>
  <c r="H123" i="2" s="1"/>
  <c r="E55" i="2"/>
  <c r="H122" i="2" s="1"/>
  <c r="F55" i="2"/>
  <c r="H121" i="2" s="1"/>
  <c r="G55" i="2"/>
  <c r="H120" i="2" s="1"/>
  <c r="H55" i="2"/>
  <c r="H119" i="2" s="1"/>
  <c r="I55" i="2"/>
  <c r="H118" i="2" s="1"/>
  <c r="J55" i="2"/>
  <c r="H117" i="2" s="1"/>
  <c r="K55" i="2"/>
  <c r="H116" i="2" s="1"/>
  <c r="L55" i="2"/>
  <c r="H115" i="2" s="1"/>
  <c r="M55" i="2"/>
  <c r="H114" i="2" s="1"/>
  <c r="N55" i="2"/>
  <c r="H113" i="2" s="1"/>
  <c r="O55" i="2"/>
  <c r="H112" i="2" s="1"/>
  <c r="P55" i="2"/>
  <c r="H111" i="2" s="1"/>
  <c r="Q55" i="2"/>
  <c r="H110" i="2" s="1"/>
  <c r="R55" i="2"/>
  <c r="H109" i="2" s="1"/>
  <c r="S55" i="2"/>
  <c r="H108" i="2" s="1"/>
  <c r="T55" i="2"/>
  <c r="H107" i="2" s="1"/>
  <c r="U55" i="2"/>
  <c r="H106" i="2" s="1"/>
  <c r="V55" i="2"/>
  <c r="H105" i="2" s="1"/>
  <c r="W55" i="2"/>
  <c r="H104" i="2" s="1"/>
  <c r="X55" i="2"/>
  <c r="H103" i="2" s="1"/>
  <c r="Y55" i="2"/>
  <c r="H102" i="2" s="1"/>
  <c r="Z55" i="2"/>
  <c r="H101" i="2" s="1"/>
  <c r="AA55" i="2"/>
  <c r="H100" i="2" s="1"/>
  <c r="AB55" i="2"/>
  <c r="H99" i="2" s="1"/>
  <c r="AC55" i="2"/>
  <c r="H98" i="2" s="1"/>
  <c r="AD55" i="2"/>
  <c r="H97" i="2" s="1"/>
  <c r="AE55" i="2"/>
  <c r="H96" i="2" s="1"/>
  <c r="AF55" i="2"/>
  <c r="H95" i="2" s="1"/>
  <c r="AG55" i="2"/>
  <c r="H94" i="2" s="1"/>
  <c r="AH55" i="2"/>
  <c r="H93" i="2" s="1"/>
  <c r="AI55" i="2"/>
  <c r="H92" i="2" s="1"/>
  <c r="AJ55" i="2"/>
  <c r="H91" i="2" s="1"/>
  <c r="AK55" i="2"/>
  <c r="H90" i="2" s="1"/>
  <c r="AL55" i="2"/>
  <c r="H89" i="2" s="1"/>
  <c r="AM55" i="2"/>
  <c r="H88" i="2" s="1"/>
  <c r="AN55" i="2"/>
  <c r="H87" i="2" s="1"/>
  <c r="AO55" i="2"/>
  <c r="H86" i="2" s="1"/>
  <c r="AP55" i="2"/>
  <c r="H85" i="2" s="1"/>
  <c r="AQ55" i="2"/>
  <c r="H84" i="2" s="1"/>
  <c r="AR55" i="2"/>
  <c r="H83" i="2" s="1"/>
  <c r="AS55" i="2"/>
  <c r="H82" i="2" s="1"/>
  <c r="AT55" i="2"/>
  <c r="H81" i="2" s="1"/>
  <c r="AU55" i="2"/>
  <c r="H80" i="2" s="1"/>
  <c r="AV55" i="2"/>
  <c r="H79" i="2" s="1"/>
  <c r="AW55" i="2"/>
  <c r="H78" i="2" s="1"/>
  <c r="AX55" i="2"/>
  <c r="H77" i="2" s="1"/>
  <c r="AY55" i="2"/>
  <c r="H76" i="2" s="1"/>
  <c r="AZ55" i="2"/>
  <c r="H75" i="2" s="1"/>
  <c r="BA55" i="2"/>
  <c r="H74" i="2" s="1"/>
  <c r="BB55" i="2"/>
  <c r="H73" i="2" s="1"/>
  <c r="BC55" i="2"/>
  <c r="H72" i="2" s="1"/>
  <c r="BD55" i="2"/>
  <c r="H71" i="2" s="1"/>
  <c r="BE55" i="2"/>
  <c r="H70" i="2" s="1"/>
  <c r="BF55" i="2"/>
  <c r="H69" i="2" s="1"/>
  <c r="BG55" i="2"/>
  <c r="H68" i="2" s="1"/>
  <c r="BH55" i="2"/>
  <c r="H67" i="2" s="1"/>
  <c r="BI55" i="2"/>
  <c r="H66" i="2" s="1"/>
  <c r="B56" i="2"/>
  <c r="G125" i="2" s="1"/>
  <c r="C56" i="2"/>
  <c r="G124" i="2" s="1"/>
  <c r="D56" i="2"/>
  <c r="G123" i="2" s="1"/>
  <c r="E56" i="2"/>
  <c r="G122" i="2" s="1"/>
  <c r="F56" i="2"/>
  <c r="G121" i="2" s="1"/>
  <c r="G56" i="2"/>
  <c r="G120" i="2" s="1"/>
  <c r="H56" i="2"/>
  <c r="G119" i="2" s="1"/>
  <c r="I56" i="2"/>
  <c r="G118" i="2" s="1"/>
  <c r="J56" i="2"/>
  <c r="G117" i="2" s="1"/>
  <c r="K56" i="2"/>
  <c r="G116" i="2" s="1"/>
  <c r="L56" i="2"/>
  <c r="G115" i="2" s="1"/>
  <c r="M56" i="2"/>
  <c r="G114" i="2" s="1"/>
  <c r="N56" i="2"/>
  <c r="G113" i="2" s="1"/>
  <c r="O56" i="2"/>
  <c r="G112" i="2" s="1"/>
  <c r="P56" i="2"/>
  <c r="G111" i="2" s="1"/>
  <c r="Q56" i="2"/>
  <c r="G110" i="2" s="1"/>
  <c r="R56" i="2"/>
  <c r="G109" i="2" s="1"/>
  <c r="S56" i="2"/>
  <c r="G108" i="2" s="1"/>
  <c r="T56" i="2"/>
  <c r="G107" i="2" s="1"/>
  <c r="U56" i="2"/>
  <c r="G106" i="2" s="1"/>
  <c r="V56" i="2"/>
  <c r="G105" i="2" s="1"/>
  <c r="W56" i="2"/>
  <c r="G104" i="2" s="1"/>
  <c r="X56" i="2"/>
  <c r="G103" i="2" s="1"/>
  <c r="Y56" i="2"/>
  <c r="G102" i="2" s="1"/>
  <c r="Z56" i="2"/>
  <c r="G101" i="2" s="1"/>
  <c r="AA56" i="2"/>
  <c r="G100" i="2" s="1"/>
  <c r="AB56" i="2"/>
  <c r="G99" i="2" s="1"/>
  <c r="AC56" i="2"/>
  <c r="G98" i="2" s="1"/>
  <c r="AD56" i="2"/>
  <c r="G97" i="2" s="1"/>
  <c r="AE56" i="2"/>
  <c r="G96" i="2" s="1"/>
  <c r="AF56" i="2"/>
  <c r="G95" i="2" s="1"/>
  <c r="AG56" i="2"/>
  <c r="G94" i="2" s="1"/>
  <c r="AH56" i="2"/>
  <c r="G93" i="2" s="1"/>
  <c r="AI56" i="2"/>
  <c r="G92" i="2" s="1"/>
  <c r="AJ56" i="2"/>
  <c r="G91" i="2" s="1"/>
  <c r="AK56" i="2"/>
  <c r="G90" i="2" s="1"/>
  <c r="AL56" i="2"/>
  <c r="G89" i="2" s="1"/>
  <c r="AM56" i="2"/>
  <c r="G88" i="2" s="1"/>
  <c r="AN56" i="2"/>
  <c r="G87" i="2" s="1"/>
  <c r="AO56" i="2"/>
  <c r="G86" i="2" s="1"/>
  <c r="AP56" i="2"/>
  <c r="G85" i="2" s="1"/>
  <c r="AQ56" i="2"/>
  <c r="G84" i="2" s="1"/>
  <c r="AR56" i="2"/>
  <c r="G83" i="2" s="1"/>
  <c r="AS56" i="2"/>
  <c r="G82" i="2" s="1"/>
  <c r="AT56" i="2"/>
  <c r="G81" i="2" s="1"/>
  <c r="AU56" i="2"/>
  <c r="G80" i="2" s="1"/>
  <c r="AV56" i="2"/>
  <c r="G79" i="2" s="1"/>
  <c r="AW56" i="2"/>
  <c r="G78" i="2" s="1"/>
  <c r="AX56" i="2"/>
  <c r="G77" i="2" s="1"/>
  <c r="AY56" i="2"/>
  <c r="G76" i="2" s="1"/>
  <c r="AZ56" i="2"/>
  <c r="G75" i="2" s="1"/>
  <c r="BA56" i="2"/>
  <c r="G74" i="2" s="1"/>
  <c r="BB56" i="2"/>
  <c r="G73" i="2" s="1"/>
  <c r="BC56" i="2"/>
  <c r="G72" i="2" s="1"/>
  <c r="BD56" i="2"/>
  <c r="G71" i="2" s="1"/>
  <c r="BE56" i="2"/>
  <c r="G70" i="2" s="1"/>
  <c r="BF56" i="2"/>
  <c r="G69" i="2" s="1"/>
  <c r="BG56" i="2"/>
  <c r="G68" i="2" s="1"/>
  <c r="BH56" i="2"/>
  <c r="G67" i="2" s="1"/>
  <c r="BI56" i="2"/>
  <c r="G66" i="2" s="1"/>
  <c r="B57" i="2"/>
  <c r="F125" i="2" s="1"/>
  <c r="C57" i="2"/>
  <c r="F124" i="2" s="1"/>
  <c r="D57" i="2"/>
  <c r="F123" i="2" s="1"/>
  <c r="E57" i="2"/>
  <c r="F122" i="2" s="1"/>
  <c r="F57" i="2"/>
  <c r="F121" i="2" s="1"/>
  <c r="G57" i="2"/>
  <c r="F120" i="2" s="1"/>
  <c r="H57" i="2"/>
  <c r="F119" i="2" s="1"/>
  <c r="I57" i="2"/>
  <c r="F118" i="2" s="1"/>
  <c r="J57" i="2"/>
  <c r="F117" i="2" s="1"/>
  <c r="K57" i="2"/>
  <c r="F116" i="2" s="1"/>
  <c r="L57" i="2"/>
  <c r="F115" i="2" s="1"/>
  <c r="M57" i="2"/>
  <c r="F114" i="2" s="1"/>
  <c r="N57" i="2"/>
  <c r="F113" i="2" s="1"/>
  <c r="O57" i="2"/>
  <c r="F112" i="2" s="1"/>
  <c r="P57" i="2"/>
  <c r="F111" i="2" s="1"/>
  <c r="Q57" i="2"/>
  <c r="F110" i="2" s="1"/>
  <c r="R57" i="2"/>
  <c r="F109" i="2" s="1"/>
  <c r="S57" i="2"/>
  <c r="F108" i="2" s="1"/>
  <c r="T57" i="2"/>
  <c r="F107" i="2" s="1"/>
  <c r="U57" i="2"/>
  <c r="F106" i="2" s="1"/>
  <c r="V57" i="2"/>
  <c r="F105" i="2" s="1"/>
  <c r="W57" i="2"/>
  <c r="F104" i="2" s="1"/>
  <c r="X57" i="2"/>
  <c r="F103" i="2" s="1"/>
  <c r="Y57" i="2"/>
  <c r="F102" i="2" s="1"/>
  <c r="Z57" i="2"/>
  <c r="F101" i="2" s="1"/>
  <c r="AA57" i="2"/>
  <c r="F100" i="2" s="1"/>
  <c r="AB57" i="2"/>
  <c r="F99" i="2" s="1"/>
  <c r="AC57" i="2"/>
  <c r="F98" i="2" s="1"/>
  <c r="AD57" i="2"/>
  <c r="F97" i="2" s="1"/>
  <c r="AE57" i="2"/>
  <c r="F96" i="2" s="1"/>
  <c r="AF57" i="2"/>
  <c r="F95" i="2" s="1"/>
  <c r="AG57" i="2"/>
  <c r="F94" i="2" s="1"/>
  <c r="AH57" i="2"/>
  <c r="F93" i="2" s="1"/>
  <c r="AI57" i="2"/>
  <c r="F92" i="2" s="1"/>
  <c r="AJ57" i="2"/>
  <c r="F91" i="2" s="1"/>
  <c r="AK57" i="2"/>
  <c r="F90" i="2" s="1"/>
  <c r="AL57" i="2"/>
  <c r="F89" i="2" s="1"/>
  <c r="AM57" i="2"/>
  <c r="F88" i="2" s="1"/>
  <c r="AN57" i="2"/>
  <c r="F87" i="2" s="1"/>
  <c r="AO57" i="2"/>
  <c r="F86" i="2" s="1"/>
  <c r="AP57" i="2"/>
  <c r="F85" i="2" s="1"/>
  <c r="AQ57" i="2"/>
  <c r="F84" i="2" s="1"/>
  <c r="AR57" i="2"/>
  <c r="F83" i="2" s="1"/>
  <c r="AS57" i="2"/>
  <c r="F82" i="2" s="1"/>
  <c r="AT57" i="2"/>
  <c r="F81" i="2" s="1"/>
  <c r="AU57" i="2"/>
  <c r="F80" i="2" s="1"/>
  <c r="AV57" i="2"/>
  <c r="F79" i="2" s="1"/>
  <c r="AW57" i="2"/>
  <c r="F78" i="2" s="1"/>
  <c r="AX57" i="2"/>
  <c r="F77" i="2" s="1"/>
  <c r="AY57" i="2"/>
  <c r="F76" i="2" s="1"/>
  <c r="AZ57" i="2"/>
  <c r="F75" i="2" s="1"/>
  <c r="BA57" i="2"/>
  <c r="F74" i="2" s="1"/>
  <c r="BB57" i="2"/>
  <c r="F73" i="2" s="1"/>
  <c r="BC57" i="2"/>
  <c r="F72" i="2" s="1"/>
  <c r="BD57" i="2"/>
  <c r="F71" i="2" s="1"/>
  <c r="BE57" i="2"/>
  <c r="F70" i="2" s="1"/>
  <c r="BF57" i="2"/>
  <c r="F69" i="2" s="1"/>
  <c r="BG57" i="2"/>
  <c r="F68" i="2" s="1"/>
  <c r="BH57" i="2"/>
  <c r="F67" i="2" s="1"/>
  <c r="BI57" i="2"/>
  <c r="F66" i="2" s="1"/>
  <c r="B58" i="2"/>
  <c r="E125" i="2" s="1"/>
  <c r="C58" i="2"/>
  <c r="E124" i="2" s="1"/>
  <c r="D58" i="2"/>
  <c r="E123" i="2" s="1"/>
  <c r="E58" i="2"/>
  <c r="E122" i="2" s="1"/>
  <c r="F58" i="2"/>
  <c r="E121" i="2" s="1"/>
  <c r="G58" i="2"/>
  <c r="E120" i="2" s="1"/>
  <c r="H58" i="2"/>
  <c r="E119" i="2" s="1"/>
  <c r="I58" i="2"/>
  <c r="E118" i="2" s="1"/>
  <c r="J58" i="2"/>
  <c r="E117" i="2" s="1"/>
  <c r="K58" i="2"/>
  <c r="E116" i="2" s="1"/>
  <c r="L58" i="2"/>
  <c r="E115" i="2" s="1"/>
  <c r="M58" i="2"/>
  <c r="E114" i="2" s="1"/>
  <c r="N58" i="2"/>
  <c r="E113" i="2" s="1"/>
  <c r="O58" i="2"/>
  <c r="E112" i="2" s="1"/>
  <c r="P58" i="2"/>
  <c r="E111" i="2" s="1"/>
  <c r="Q58" i="2"/>
  <c r="E110" i="2" s="1"/>
  <c r="R58" i="2"/>
  <c r="E109" i="2" s="1"/>
  <c r="S58" i="2"/>
  <c r="E108" i="2" s="1"/>
  <c r="T58" i="2"/>
  <c r="E107" i="2" s="1"/>
  <c r="U58" i="2"/>
  <c r="E106" i="2" s="1"/>
  <c r="V58" i="2"/>
  <c r="E105" i="2" s="1"/>
  <c r="W58" i="2"/>
  <c r="E104" i="2" s="1"/>
  <c r="X58" i="2"/>
  <c r="E103" i="2" s="1"/>
  <c r="Y58" i="2"/>
  <c r="E102" i="2" s="1"/>
  <c r="Z58" i="2"/>
  <c r="E101" i="2" s="1"/>
  <c r="AA58" i="2"/>
  <c r="E100" i="2" s="1"/>
  <c r="AB58" i="2"/>
  <c r="E99" i="2" s="1"/>
  <c r="AC58" i="2"/>
  <c r="E98" i="2" s="1"/>
  <c r="AD58" i="2"/>
  <c r="E97" i="2" s="1"/>
  <c r="AE58" i="2"/>
  <c r="E96" i="2" s="1"/>
  <c r="AF58" i="2"/>
  <c r="E95" i="2" s="1"/>
  <c r="AG58" i="2"/>
  <c r="E94" i="2" s="1"/>
  <c r="AH58" i="2"/>
  <c r="E93" i="2" s="1"/>
  <c r="AI58" i="2"/>
  <c r="E92" i="2" s="1"/>
  <c r="AJ58" i="2"/>
  <c r="E91" i="2" s="1"/>
  <c r="AK58" i="2"/>
  <c r="E90" i="2" s="1"/>
  <c r="AL58" i="2"/>
  <c r="E89" i="2" s="1"/>
  <c r="AM58" i="2"/>
  <c r="E88" i="2" s="1"/>
  <c r="AN58" i="2"/>
  <c r="E87" i="2" s="1"/>
  <c r="AO58" i="2"/>
  <c r="E86" i="2" s="1"/>
  <c r="AP58" i="2"/>
  <c r="E85" i="2" s="1"/>
  <c r="AQ58" i="2"/>
  <c r="E84" i="2" s="1"/>
  <c r="AR58" i="2"/>
  <c r="E83" i="2" s="1"/>
  <c r="AS58" i="2"/>
  <c r="E82" i="2" s="1"/>
  <c r="AT58" i="2"/>
  <c r="E81" i="2" s="1"/>
  <c r="AU58" i="2"/>
  <c r="E80" i="2" s="1"/>
  <c r="AV58" i="2"/>
  <c r="E79" i="2" s="1"/>
  <c r="AW58" i="2"/>
  <c r="E78" i="2" s="1"/>
  <c r="AX58" i="2"/>
  <c r="E77" i="2" s="1"/>
  <c r="AY58" i="2"/>
  <c r="E76" i="2" s="1"/>
  <c r="AZ58" i="2"/>
  <c r="E75" i="2" s="1"/>
  <c r="BA58" i="2"/>
  <c r="E74" i="2" s="1"/>
  <c r="BB58" i="2"/>
  <c r="E73" i="2" s="1"/>
  <c r="BC58" i="2"/>
  <c r="E72" i="2" s="1"/>
  <c r="BD58" i="2"/>
  <c r="E71" i="2" s="1"/>
  <c r="BE58" i="2"/>
  <c r="E70" i="2" s="1"/>
  <c r="BF58" i="2"/>
  <c r="E69" i="2" s="1"/>
  <c r="BG58" i="2"/>
  <c r="E68" i="2" s="1"/>
  <c r="B59" i="2"/>
  <c r="D125" i="2" s="1"/>
  <c r="C59" i="2"/>
  <c r="D124" i="2" s="1"/>
  <c r="D59" i="2"/>
  <c r="D123" i="2" s="1"/>
  <c r="E59" i="2"/>
  <c r="D122" i="2" s="1"/>
  <c r="F59" i="2"/>
  <c r="D121" i="2" s="1"/>
  <c r="G59" i="2"/>
  <c r="D120" i="2" s="1"/>
  <c r="H59" i="2"/>
  <c r="D119" i="2" s="1"/>
  <c r="I59" i="2"/>
  <c r="D118" i="2" s="1"/>
  <c r="J59" i="2"/>
  <c r="D117" i="2" s="1"/>
  <c r="K59" i="2"/>
  <c r="D116" i="2" s="1"/>
  <c r="L59" i="2"/>
  <c r="D115" i="2" s="1"/>
  <c r="M59" i="2"/>
  <c r="D114" i="2" s="1"/>
  <c r="N59" i="2"/>
  <c r="D113" i="2" s="1"/>
  <c r="O59" i="2"/>
  <c r="D112" i="2" s="1"/>
  <c r="P59" i="2"/>
  <c r="D111" i="2" s="1"/>
  <c r="Q59" i="2"/>
  <c r="D110" i="2" s="1"/>
  <c r="R59" i="2"/>
  <c r="D109" i="2" s="1"/>
  <c r="S59" i="2"/>
  <c r="D108" i="2" s="1"/>
  <c r="T59" i="2"/>
  <c r="D107" i="2" s="1"/>
  <c r="U59" i="2"/>
  <c r="D106" i="2" s="1"/>
  <c r="V59" i="2"/>
  <c r="D105" i="2" s="1"/>
  <c r="W59" i="2"/>
  <c r="D104" i="2" s="1"/>
  <c r="X59" i="2"/>
  <c r="D103" i="2" s="1"/>
  <c r="Y59" i="2"/>
  <c r="D102" i="2" s="1"/>
  <c r="Z59" i="2"/>
  <c r="D101" i="2" s="1"/>
  <c r="AA59" i="2"/>
  <c r="D100" i="2" s="1"/>
  <c r="AB59" i="2"/>
  <c r="D99" i="2" s="1"/>
  <c r="AC59" i="2"/>
  <c r="D98" i="2" s="1"/>
  <c r="AD59" i="2"/>
  <c r="D97" i="2" s="1"/>
  <c r="AE59" i="2"/>
  <c r="D96" i="2" s="1"/>
  <c r="AF59" i="2"/>
  <c r="D95" i="2" s="1"/>
  <c r="AG59" i="2"/>
  <c r="D94" i="2" s="1"/>
  <c r="AH59" i="2"/>
  <c r="D93" i="2" s="1"/>
  <c r="AI59" i="2"/>
  <c r="D92" i="2" s="1"/>
  <c r="AJ59" i="2"/>
  <c r="D91" i="2" s="1"/>
  <c r="AK59" i="2"/>
  <c r="D90" i="2" s="1"/>
  <c r="AL59" i="2"/>
  <c r="D89" i="2" s="1"/>
  <c r="AM59" i="2"/>
  <c r="D88" i="2" s="1"/>
  <c r="AN59" i="2"/>
  <c r="D87" i="2" s="1"/>
  <c r="AO59" i="2"/>
  <c r="D86" i="2" s="1"/>
  <c r="AP59" i="2"/>
  <c r="D85" i="2" s="1"/>
  <c r="AQ59" i="2"/>
  <c r="D84" i="2" s="1"/>
  <c r="AR59" i="2"/>
  <c r="D83" i="2" s="1"/>
  <c r="AS59" i="2"/>
  <c r="D82" i="2" s="1"/>
  <c r="AT59" i="2"/>
  <c r="D81" i="2" s="1"/>
  <c r="AU59" i="2"/>
  <c r="D80" i="2" s="1"/>
  <c r="AV59" i="2"/>
  <c r="D79" i="2" s="1"/>
  <c r="AW59" i="2"/>
  <c r="D78" i="2" s="1"/>
  <c r="AX59" i="2"/>
  <c r="D77" i="2" s="1"/>
  <c r="AY59" i="2"/>
  <c r="D76" i="2" s="1"/>
  <c r="AZ59" i="2"/>
  <c r="D75" i="2" s="1"/>
  <c r="BA59" i="2"/>
  <c r="D74" i="2" s="1"/>
  <c r="BB59" i="2"/>
  <c r="D73" i="2" s="1"/>
  <c r="BC59" i="2"/>
  <c r="D72" i="2" s="1"/>
  <c r="BD59" i="2"/>
  <c r="D71" i="2" s="1"/>
  <c r="BE59" i="2"/>
  <c r="D70" i="2" s="1"/>
  <c r="B60" i="2"/>
  <c r="C125" i="2" s="1"/>
  <c r="C60" i="2"/>
  <c r="C124" i="2" s="1"/>
  <c r="D60" i="2"/>
  <c r="C123" i="2" s="1"/>
  <c r="E60" i="2"/>
  <c r="C122" i="2" s="1"/>
  <c r="F60" i="2"/>
  <c r="C121" i="2" s="1"/>
  <c r="G60" i="2"/>
  <c r="C120" i="2" s="1"/>
  <c r="H60" i="2"/>
  <c r="C119" i="2" s="1"/>
  <c r="I60" i="2"/>
  <c r="C118" i="2" s="1"/>
  <c r="J60" i="2"/>
  <c r="C117" i="2" s="1"/>
  <c r="K60" i="2"/>
  <c r="C116" i="2" s="1"/>
  <c r="L60" i="2"/>
  <c r="C115" i="2" s="1"/>
  <c r="M60" i="2"/>
  <c r="C114" i="2" s="1"/>
  <c r="N60" i="2"/>
  <c r="C113" i="2" s="1"/>
  <c r="O60" i="2"/>
  <c r="C112" i="2" s="1"/>
  <c r="P60" i="2"/>
  <c r="C111" i="2" s="1"/>
  <c r="Q60" i="2"/>
  <c r="C110" i="2" s="1"/>
  <c r="R60" i="2"/>
  <c r="C109" i="2" s="1"/>
  <c r="S60" i="2"/>
  <c r="C108" i="2" s="1"/>
  <c r="T60" i="2"/>
  <c r="C107" i="2" s="1"/>
  <c r="U60" i="2"/>
  <c r="C106" i="2" s="1"/>
  <c r="V60" i="2"/>
  <c r="C105" i="2" s="1"/>
  <c r="W60" i="2"/>
  <c r="C104" i="2" s="1"/>
  <c r="X60" i="2"/>
  <c r="C103" i="2" s="1"/>
  <c r="Y60" i="2"/>
  <c r="C102" i="2" s="1"/>
  <c r="Z60" i="2"/>
  <c r="C101" i="2" s="1"/>
  <c r="AA60" i="2"/>
  <c r="C100" i="2" s="1"/>
  <c r="AB60" i="2"/>
  <c r="C99" i="2" s="1"/>
  <c r="AC60" i="2"/>
  <c r="C98" i="2" s="1"/>
  <c r="AD60" i="2"/>
  <c r="C97" i="2" s="1"/>
  <c r="AE60" i="2"/>
  <c r="C96" i="2" s="1"/>
  <c r="AF60" i="2"/>
  <c r="C95" i="2" s="1"/>
  <c r="AG60" i="2"/>
  <c r="C94" i="2" s="1"/>
  <c r="AH60" i="2"/>
  <c r="C93" i="2" s="1"/>
  <c r="AI60" i="2"/>
  <c r="C92" i="2" s="1"/>
  <c r="AJ60" i="2"/>
  <c r="C91" i="2" s="1"/>
  <c r="AK60" i="2"/>
  <c r="C90" i="2" s="1"/>
  <c r="AL60" i="2"/>
  <c r="C89" i="2" s="1"/>
  <c r="AM60" i="2"/>
  <c r="C88" i="2" s="1"/>
  <c r="AN60" i="2"/>
  <c r="C87" i="2" s="1"/>
  <c r="AO60" i="2"/>
  <c r="C86" i="2" s="1"/>
  <c r="AP60" i="2"/>
  <c r="C85" i="2" s="1"/>
  <c r="AQ60" i="2"/>
  <c r="C84" i="2" s="1"/>
  <c r="AR60" i="2"/>
  <c r="C83" i="2" s="1"/>
  <c r="AS60" i="2"/>
  <c r="C82" i="2" s="1"/>
  <c r="AT60" i="2"/>
  <c r="C81" i="2" s="1"/>
  <c r="AU60" i="2"/>
  <c r="C80" i="2" s="1"/>
  <c r="AV60" i="2"/>
  <c r="C79" i="2" s="1"/>
  <c r="AW60" i="2"/>
  <c r="C78" i="2" s="1"/>
  <c r="AX60" i="2"/>
  <c r="C77" i="2" s="1"/>
  <c r="AY60" i="2"/>
  <c r="C76" i="2" s="1"/>
  <c r="AZ60" i="2"/>
  <c r="C75" i="2" s="1"/>
  <c r="BA60" i="2"/>
  <c r="C74" i="2" s="1"/>
  <c r="BB60" i="2"/>
  <c r="C73" i="2" s="1"/>
  <c r="BC60" i="2"/>
  <c r="C72" i="2" s="1"/>
  <c r="BD60" i="2"/>
  <c r="C71" i="2" s="1"/>
  <c r="BE60" i="2"/>
  <c r="C70" i="2" s="1"/>
  <c r="B61" i="2"/>
  <c r="B125" i="2" s="1"/>
  <c r="C61" i="2"/>
  <c r="B124" i="2" s="1"/>
  <c r="D61" i="2"/>
  <c r="B123" i="2" s="1"/>
  <c r="E61" i="2"/>
  <c r="B122" i="2" s="1"/>
  <c r="F61" i="2"/>
  <c r="B121" i="2" s="1"/>
  <c r="G61" i="2"/>
  <c r="B120" i="2" s="1"/>
  <c r="H61" i="2"/>
  <c r="B119" i="2" s="1"/>
  <c r="I61" i="2"/>
  <c r="B118" i="2" s="1"/>
  <c r="J61" i="2"/>
  <c r="B117" i="2" s="1"/>
  <c r="K61" i="2"/>
  <c r="B116" i="2" s="1"/>
  <c r="L61" i="2"/>
  <c r="B115" i="2" s="1"/>
  <c r="M61" i="2"/>
  <c r="B114" i="2" s="1"/>
  <c r="N61" i="2"/>
  <c r="B113" i="2" s="1"/>
  <c r="O61" i="2"/>
  <c r="B112" i="2" s="1"/>
  <c r="P61" i="2"/>
  <c r="B111" i="2" s="1"/>
  <c r="Q61" i="2"/>
  <c r="B110" i="2" s="1"/>
  <c r="R61" i="2"/>
  <c r="B109" i="2" s="1"/>
  <c r="S61" i="2"/>
  <c r="B108" i="2" s="1"/>
  <c r="T61" i="2"/>
  <c r="B107" i="2" s="1"/>
  <c r="U61" i="2"/>
  <c r="B106" i="2" s="1"/>
  <c r="V61" i="2"/>
  <c r="B105" i="2" s="1"/>
  <c r="W61" i="2"/>
  <c r="B104" i="2" s="1"/>
  <c r="X61" i="2"/>
  <c r="B103" i="2" s="1"/>
  <c r="Y61" i="2"/>
  <c r="B102" i="2" s="1"/>
  <c r="Z61" i="2"/>
  <c r="B101" i="2" s="1"/>
  <c r="AA61" i="2"/>
  <c r="B100" i="2" s="1"/>
  <c r="AB61" i="2"/>
  <c r="B99" i="2" s="1"/>
  <c r="AC61" i="2"/>
  <c r="B98" i="2" s="1"/>
  <c r="AD61" i="2"/>
  <c r="B97" i="2" s="1"/>
  <c r="AE61" i="2"/>
  <c r="B96" i="2" s="1"/>
  <c r="AF61" i="2"/>
  <c r="B95" i="2" s="1"/>
  <c r="AG61" i="2"/>
  <c r="B94" i="2" s="1"/>
  <c r="AH61" i="2"/>
  <c r="B93" i="2" s="1"/>
  <c r="AI61" i="2"/>
  <c r="B92" i="2" s="1"/>
  <c r="AJ61" i="2"/>
  <c r="B91" i="2" s="1"/>
  <c r="AK61" i="2"/>
  <c r="B90" i="2" s="1"/>
  <c r="AL61" i="2"/>
  <c r="B89" i="2" s="1"/>
  <c r="AM61" i="2"/>
  <c r="B88" i="2" s="1"/>
  <c r="AN61" i="2"/>
  <c r="B87" i="2" s="1"/>
  <c r="AO61" i="2"/>
  <c r="B86" i="2" s="1"/>
  <c r="AP61" i="2"/>
  <c r="B85" i="2" s="1"/>
  <c r="AQ61" i="2"/>
  <c r="B84" i="2" s="1"/>
  <c r="AR61" i="2"/>
  <c r="B83" i="2" s="1"/>
  <c r="AS61" i="2"/>
  <c r="B82" i="2" s="1"/>
  <c r="AT61" i="2"/>
  <c r="B81" i="2" s="1"/>
  <c r="AU61" i="2"/>
  <c r="B80" i="2" s="1"/>
  <c r="AV61" i="2"/>
  <c r="B79" i="2" s="1"/>
  <c r="AW61" i="2"/>
  <c r="B78" i="2" s="1"/>
  <c r="AX61" i="2"/>
  <c r="B77" i="2" s="1"/>
  <c r="AY61" i="2"/>
  <c r="B76" i="2" s="1"/>
  <c r="AZ61" i="2"/>
  <c r="B75" i="2" s="1"/>
  <c r="BA61" i="2"/>
  <c r="B74" i="2" s="1"/>
  <c r="BB61" i="2"/>
  <c r="B73" i="2" s="1"/>
  <c r="BC61" i="2"/>
  <c r="B72" i="2" s="1"/>
  <c r="BD61" i="2"/>
  <c r="B71" i="2" s="1"/>
  <c r="BE61" i="2"/>
  <c r="B70" i="2" s="1"/>
  <c r="AH2" i="2"/>
  <c r="BI93" i="2" s="1"/>
  <c r="AI2" i="2"/>
  <c r="BI92" i="2" s="1"/>
  <c r="AJ2" i="2"/>
  <c r="BI91" i="2" s="1"/>
  <c r="BI90" i="2"/>
  <c r="AL2" i="2"/>
  <c r="BI89" i="2" s="1"/>
  <c r="AM2" i="2"/>
  <c r="BI88" i="2" s="1"/>
  <c r="AN2" i="2"/>
  <c r="BI87" i="2" s="1"/>
  <c r="AO2" i="2"/>
  <c r="BI86" i="2" s="1"/>
  <c r="AP2" i="2"/>
  <c r="BI85" i="2" s="1"/>
  <c r="AQ2" i="2"/>
  <c r="BI84" i="2" s="1"/>
  <c r="AR2" i="2"/>
  <c r="BI83" i="2" s="1"/>
  <c r="AS2" i="2"/>
  <c r="BI82" i="2" s="1"/>
  <c r="AT2" i="2"/>
  <c r="BI81" i="2" s="1"/>
  <c r="AU2" i="2"/>
  <c r="BI80" i="2" s="1"/>
  <c r="AV2" i="2"/>
  <c r="BI79" i="2" s="1"/>
  <c r="AW2" i="2"/>
  <c r="BI78" i="2" s="1"/>
  <c r="AX2" i="2"/>
  <c r="BI77" i="2" s="1"/>
  <c r="AY2" i="2"/>
  <c r="BI76" i="2" s="1"/>
  <c r="AZ2" i="2"/>
  <c r="BI75" i="2" s="1"/>
  <c r="BA2" i="2"/>
  <c r="BI74" i="2" s="1"/>
  <c r="BB2" i="2"/>
  <c r="BI73" i="2" s="1"/>
  <c r="BC2" i="2"/>
  <c r="BI72" i="2" s="1"/>
  <c r="BD2" i="2"/>
  <c r="BI71" i="2" s="1"/>
  <c r="BE2" i="2"/>
  <c r="BI70" i="2" s="1"/>
  <c r="BF2" i="2"/>
  <c r="BI69" i="2" s="1"/>
  <c r="BG2" i="2"/>
  <c r="BI68" i="2" s="1"/>
  <c r="BH2" i="2"/>
  <c r="BI67" i="2" s="1"/>
  <c r="BI2" i="2"/>
  <c r="BI66" i="2" s="1"/>
  <c r="C2" i="2"/>
  <c r="BI124" i="2" s="1"/>
  <c r="D2" i="2"/>
  <c r="BI123" i="2" s="1"/>
  <c r="E2" i="2"/>
  <c r="BI122" i="2" s="1"/>
  <c r="F2" i="2"/>
  <c r="BI121" i="2" s="1"/>
  <c r="G2" i="2"/>
  <c r="BI120" i="2" s="1"/>
  <c r="H2" i="2"/>
  <c r="BI119" i="2" s="1"/>
  <c r="I2" i="2"/>
  <c r="BI118" i="2" s="1"/>
  <c r="J2" i="2"/>
  <c r="BI117" i="2" s="1"/>
  <c r="K2" i="2"/>
  <c r="BI116" i="2" s="1"/>
  <c r="L2" i="2"/>
  <c r="BI115" i="2" s="1"/>
  <c r="M2" i="2"/>
  <c r="BI114" i="2" s="1"/>
  <c r="N2" i="2"/>
  <c r="BI113" i="2" s="1"/>
  <c r="O2" i="2"/>
  <c r="BI112" i="2" s="1"/>
  <c r="P2" i="2"/>
  <c r="BI111" i="2" s="1"/>
  <c r="Q2" i="2"/>
  <c r="BI110" i="2" s="1"/>
  <c r="R2" i="2"/>
  <c r="BI109" i="2" s="1"/>
  <c r="S2" i="2"/>
  <c r="BI108" i="2" s="1"/>
  <c r="T2" i="2"/>
  <c r="BI107" i="2" s="1"/>
  <c r="U2" i="2"/>
  <c r="BI106" i="2" s="1"/>
  <c r="V2" i="2"/>
  <c r="BI105" i="2" s="1"/>
  <c r="W2" i="2"/>
  <c r="BI104" i="2" s="1"/>
  <c r="X2" i="2"/>
  <c r="BI103" i="2" s="1"/>
  <c r="Y2" i="2"/>
  <c r="BI102" i="2" s="1"/>
  <c r="Z2" i="2"/>
  <c r="BI101" i="2" s="1"/>
  <c r="AA2" i="2"/>
  <c r="BI100" i="2" s="1"/>
  <c r="AB2" i="2"/>
  <c r="BI99" i="2" s="1"/>
  <c r="AC2" i="2"/>
  <c r="BI98" i="2" s="1"/>
  <c r="AD2" i="2"/>
  <c r="BI97" i="2" s="1"/>
  <c r="AE2" i="2"/>
  <c r="BI96" i="2" s="1"/>
  <c r="AF2" i="2"/>
  <c r="BI95" i="2" s="1"/>
  <c r="AG2" i="2"/>
  <c r="BI94" i="2" s="1"/>
  <c r="B2" i="2"/>
  <c r="BI125" i="2" s="1"/>
  <c r="B169" i="2"/>
  <c r="C169" i="2"/>
  <c r="D169" i="2"/>
  <c r="E169" i="2"/>
  <c r="F169" i="2"/>
  <c r="G169" i="2"/>
  <c r="H169" i="2"/>
  <c r="I169" i="2"/>
  <c r="J169" i="2"/>
  <c r="K169" i="2"/>
  <c r="L169" i="2"/>
  <c r="M169" i="2"/>
  <c r="N169" i="2"/>
  <c r="O169" i="2"/>
  <c r="P169" i="2"/>
  <c r="Q169" i="2"/>
  <c r="R169" i="2"/>
  <c r="S169" i="2"/>
  <c r="T169" i="2"/>
  <c r="U169" i="2"/>
  <c r="V169" i="2"/>
  <c r="W169" i="2"/>
  <c r="X169" i="2"/>
  <c r="Y169" i="2"/>
  <c r="Z169" i="2"/>
  <c r="AA169" i="2"/>
  <c r="AB169" i="2"/>
  <c r="AC169" i="2"/>
  <c r="AD169" i="2"/>
  <c r="AE169" i="2"/>
  <c r="AF169" i="2"/>
  <c r="AG169" i="2"/>
  <c r="AH169" i="2"/>
  <c r="AI169" i="2"/>
  <c r="AJ169" i="2"/>
  <c r="AK169" i="2"/>
  <c r="AL169" i="2"/>
  <c r="AM169" i="2"/>
  <c r="AN169" i="2"/>
  <c r="AO169" i="2"/>
  <c r="AP169" i="2"/>
  <c r="AQ169" i="2"/>
  <c r="AR169" i="2"/>
  <c r="AS169" i="2"/>
  <c r="AT169" i="2"/>
  <c r="AU169" i="2"/>
  <c r="AV169" i="2"/>
  <c r="AW169" i="2"/>
  <c r="AX169" i="2"/>
  <c r="AY169" i="2"/>
  <c r="AZ169" i="2"/>
  <c r="BA169" i="2"/>
  <c r="BB169" i="2"/>
  <c r="BC169" i="2"/>
  <c r="BD169" i="2"/>
  <c r="BE169" i="2"/>
  <c r="BF169" i="2"/>
  <c r="BG169" i="2"/>
  <c r="BH169" i="2"/>
  <c r="BI169" i="2"/>
  <c r="J27" i="3" l="1"/>
  <c r="J37" i="3" s="1"/>
  <c r="J11" i="3"/>
  <c r="P23" i="3"/>
  <c r="P33" i="3" s="1"/>
  <c r="D15" i="3"/>
  <c r="G6" i="8"/>
  <c r="G15" i="8" s="1"/>
  <c r="K27" i="8"/>
  <c r="S23" i="8"/>
  <c r="S33" i="8" s="1"/>
  <c r="L37" i="8"/>
  <c r="O23" i="3" l="1"/>
  <c r="O33" i="3" s="1"/>
  <c r="E15" i="3"/>
  <c r="I27" i="3"/>
  <c r="I37" i="3" s="1"/>
  <c r="K11" i="3"/>
  <c r="H6" i="8"/>
  <c r="H15" i="8" s="1"/>
  <c r="J27" i="8"/>
  <c r="R23" i="8"/>
  <c r="R33" i="8" s="1"/>
  <c r="K37" i="8"/>
  <c r="H27" i="3" l="1"/>
  <c r="H37" i="3" s="1"/>
  <c r="L11" i="3"/>
  <c r="N23" i="3"/>
  <c r="N33" i="3" s="1"/>
  <c r="F15" i="3"/>
  <c r="I6" i="8"/>
  <c r="I15" i="8" s="1"/>
  <c r="I27" i="8"/>
  <c r="Q23" i="8"/>
  <c r="Q33" i="8" s="1"/>
  <c r="J37" i="8"/>
  <c r="G15" i="3" l="1"/>
  <c r="M23" i="3"/>
  <c r="M33" i="3" s="1"/>
  <c r="G27" i="3"/>
  <c r="G37" i="3" s="1"/>
  <c r="M11" i="3"/>
  <c r="J6" i="8"/>
  <c r="J15" i="8" s="1"/>
  <c r="H27" i="8"/>
  <c r="P23" i="8"/>
  <c r="P33" i="8" s="1"/>
  <c r="I37" i="8"/>
  <c r="F27" i="3" l="1"/>
  <c r="F37" i="3" s="1"/>
  <c r="N11" i="3"/>
  <c r="H15" i="3"/>
  <c r="L23" i="3"/>
  <c r="L33" i="3" s="1"/>
  <c r="K6" i="8"/>
  <c r="K15" i="8" s="1"/>
  <c r="G27" i="8"/>
  <c r="O23" i="8"/>
  <c r="O33" i="8" s="1"/>
  <c r="H37" i="8"/>
  <c r="I15" i="3" l="1"/>
  <c r="K23" i="3"/>
  <c r="K33" i="3" s="1"/>
  <c r="E27" i="3"/>
  <c r="E37" i="3" s="1"/>
  <c r="O11" i="3"/>
  <c r="L6" i="8"/>
  <c r="L15" i="8" s="1"/>
  <c r="F27" i="8"/>
  <c r="N23" i="8"/>
  <c r="N33" i="8" s="1"/>
  <c r="G37" i="8"/>
  <c r="D27" i="3" l="1"/>
  <c r="D37" i="3" s="1"/>
  <c r="P11" i="3"/>
  <c r="J23" i="3"/>
  <c r="J33" i="3" s="1"/>
  <c r="J15" i="3"/>
  <c r="M6" i="8"/>
  <c r="M15" i="8" s="1"/>
  <c r="E27" i="8"/>
  <c r="M23" i="8"/>
  <c r="M33" i="8" s="1"/>
  <c r="F37" i="8"/>
  <c r="I23" i="3" l="1"/>
  <c r="I33" i="3" s="1"/>
  <c r="K15" i="3"/>
  <c r="C27" i="3"/>
  <c r="C37" i="3" s="1"/>
  <c r="Q11" i="3"/>
  <c r="N6" i="8"/>
  <c r="N15" i="8" s="1"/>
  <c r="D27" i="8"/>
  <c r="L23" i="8"/>
  <c r="L33" i="8" s="1"/>
  <c r="E37" i="8"/>
  <c r="B27" i="3" l="1"/>
  <c r="B37" i="3" s="1"/>
  <c r="R11" i="3"/>
  <c r="H23" i="3"/>
  <c r="H33" i="3" s="1"/>
  <c r="L15" i="3"/>
  <c r="O6" i="8"/>
  <c r="O15" i="8" s="1"/>
  <c r="C27" i="8"/>
  <c r="K23" i="8"/>
  <c r="K33" i="8" s="1"/>
  <c r="D37" i="8"/>
  <c r="G23" i="3" l="1"/>
  <c r="G33" i="3" s="1"/>
  <c r="M15" i="3"/>
  <c r="AG26" i="3"/>
  <c r="AG36" i="3" s="1"/>
  <c r="S11" i="3"/>
  <c r="P6" i="8"/>
  <c r="P15" i="8" s="1"/>
  <c r="B27" i="8"/>
  <c r="J23" i="8"/>
  <c r="J33" i="8" s="1"/>
  <c r="C37" i="8"/>
  <c r="AF26" i="3" l="1"/>
  <c r="AF36" i="3" s="1"/>
  <c r="T11" i="3"/>
  <c r="F23" i="3"/>
  <c r="F33" i="3" s="1"/>
  <c r="N15" i="3"/>
  <c r="Q6" i="8"/>
  <c r="Q15" i="8" s="1"/>
  <c r="AG26" i="8"/>
  <c r="I23" i="8"/>
  <c r="I33" i="8" s="1"/>
  <c r="B37" i="8"/>
  <c r="O15" i="3" l="1"/>
  <c r="E23" i="3"/>
  <c r="E33" i="3" s="1"/>
  <c r="AE26" i="3"/>
  <c r="AE36" i="3" s="1"/>
  <c r="U11" i="3"/>
  <c r="R6" i="8"/>
  <c r="R15" i="8" s="1"/>
  <c r="AF26" i="8"/>
  <c r="H23" i="8"/>
  <c r="H33" i="8" s="1"/>
  <c r="AG36" i="8"/>
  <c r="AD26" i="3" l="1"/>
  <c r="AD36" i="3" s="1"/>
  <c r="V11" i="3"/>
  <c r="P15" i="3"/>
  <c r="D23" i="3"/>
  <c r="D33" i="3" s="1"/>
  <c r="S6" i="8"/>
  <c r="S15" i="8" s="1"/>
  <c r="AE26" i="8"/>
  <c r="G23" i="8"/>
  <c r="G33" i="8" s="1"/>
  <c r="AF36" i="8"/>
  <c r="Q15" i="3" l="1"/>
  <c r="C23" i="3"/>
  <c r="C33" i="3" s="1"/>
  <c r="AC26" i="3"/>
  <c r="AC36" i="3" s="1"/>
  <c r="W11" i="3"/>
  <c r="T6" i="8"/>
  <c r="T15" i="8" s="1"/>
  <c r="AD26" i="8"/>
  <c r="F23" i="8"/>
  <c r="F33" i="8" s="1"/>
  <c r="AE36" i="8"/>
  <c r="AB26" i="3" l="1"/>
  <c r="AB36" i="3" s="1"/>
  <c r="X11" i="3"/>
  <c r="B23" i="3"/>
  <c r="B33" i="3" s="1"/>
  <c r="R15" i="3"/>
  <c r="U6" i="8"/>
  <c r="U15" i="8" s="1"/>
  <c r="AC26" i="8"/>
  <c r="E23" i="8"/>
  <c r="E33" i="8" s="1"/>
  <c r="AD36" i="8"/>
  <c r="AG22" i="3" l="1"/>
  <c r="AG32" i="3" s="1"/>
  <c r="S15" i="3"/>
  <c r="AA26" i="3"/>
  <c r="AA36" i="3" s="1"/>
  <c r="Y11" i="3"/>
  <c r="V6" i="8"/>
  <c r="V15" i="8" s="1"/>
  <c r="AB26" i="8"/>
  <c r="D23" i="8"/>
  <c r="D33" i="8" s="1"/>
  <c r="AC36" i="8"/>
  <c r="Z26" i="3" l="1"/>
  <c r="Z36" i="3" s="1"/>
  <c r="Z11" i="3"/>
  <c r="AF22" i="3"/>
  <c r="AF32" i="3" s="1"/>
  <c r="T15" i="3"/>
  <c r="W6" i="8"/>
  <c r="W15" i="8" s="1"/>
  <c r="AA26" i="8"/>
  <c r="C23" i="8"/>
  <c r="C33" i="8" s="1"/>
  <c r="AB36" i="8"/>
  <c r="AE22" i="3" l="1"/>
  <c r="AE32" i="3" s="1"/>
  <c r="U15" i="3"/>
  <c r="Y26" i="3"/>
  <c r="Y36" i="3" s="1"/>
  <c r="AA11" i="3"/>
  <c r="X6" i="8"/>
  <c r="X15" i="8" s="1"/>
  <c r="Z26" i="8"/>
  <c r="B23" i="8"/>
  <c r="B33" i="8" s="1"/>
  <c r="AA36" i="8"/>
  <c r="X26" i="3" l="1"/>
  <c r="X36" i="3" s="1"/>
  <c r="AB11" i="3"/>
  <c r="AD22" i="3"/>
  <c r="AD32" i="3" s="1"/>
  <c r="V15" i="3"/>
  <c r="Y6" i="8"/>
  <c r="Y15" i="8" s="1"/>
  <c r="Y26" i="8"/>
  <c r="AG22" i="8"/>
  <c r="AG32" i="8" s="1"/>
  <c r="Z36" i="8"/>
  <c r="W15" i="3" l="1"/>
  <c r="AC22" i="3"/>
  <c r="AC32" i="3" s="1"/>
  <c r="W26" i="3"/>
  <c r="W36" i="3" s="1"/>
  <c r="AC11" i="3"/>
  <c r="Z6" i="8"/>
  <c r="Z15" i="8" s="1"/>
  <c r="X26" i="8"/>
  <c r="AF22" i="8"/>
  <c r="AF32" i="8" s="1"/>
  <c r="Y36" i="8"/>
  <c r="V26" i="3" l="1"/>
  <c r="V36" i="3" s="1"/>
  <c r="AD11" i="3"/>
  <c r="X15" i="3"/>
  <c r="AB22" i="3"/>
  <c r="AB32" i="3" s="1"/>
  <c r="AA6" i="8"/>
  <c r="AA15" i="8" s="1"/>
  <c r="W26" i="8"/>
  <c r="AE22" i="8"/>
  <c r="AE32" i="8" s="1"/>
  <c r="X36" i="8"/>
  <c r="Y15" i="3" l="1"/>
  <c r="AA22" i="3"/>
  <c r="AA32" i="3" s="1"/>
  <c r="U26" i="3"/>
  <c r="U36" i="3" s="1"/>
  <c r="AE11" i="3"/>
  <c r="AB6" i="8"/>
  <c r="AB15" i="8" s="1"/>
  <c r="V26" i="8"/>
  <c r="AD22" i="8"/>
  <c r="AD32" i="8" s="1"/>
  <c r="W36" i="8"/>
  <c r="T26" i="3" l="1"/>
  <c r="T36" i="3" s="1"/>
  <c r="AF11" i="3"/>
  <c r="Z22" i="3"/>
  <c r="Z32" i="3" s="1"/>
  <c r="Z15" i="3"/>
  <c r="AC6" i="8"/>
  <c r="AC15" i="8" s="1"/>
  <c r="U26" i="8"/>
  <c r="AC22" i="8"/>
  <c r="AC32" i="8" s="1"/>
  <c r="V36" i="8"/>
  <c r="Y22" i="3" l="1"/>
  <c r="Y32" i="3" s="1"/>
  <c r="AA15" i="3"/>
  <c r="S26" i="3"/>
  <c r="S36" i="3" s="1"/>
  <c r="AG11" i="3"/>
  <c r="AD6" i="8"/>
  <c r="AD15" i="8" s="1"/>
  <c r="T26" i="8"/>
  <c r="AB22" i="8"/>
  <c r="AB32" i="8" s="1"/>
  <c r="U36" i="8"/>
  <c r="R26" i="3" l="1"/>
  <c r="R36" i="3" s="1"/>
  <c r="B12" i="3"/>
  <c r="X22" i="3"/>
  <c r="X32" i="3" s="1"/>
  <c r="AB15" i="3"/>
  <c r="AE6" i="8"/>
  <c r="AE15" i="8" s="1"/>
  <c r="S26" i="8"/>
  <c r="AA22" i="8"/>
  <c r="AA32" i="8" s="1"/>
  <c r="T36" i="8"/>
  <c r="W22" i="3" l="1"/>
  <c r="W32" i="3" s="1"/>
  <c r="AC15" i="3"/>
  <c r="Q26" i="3"/>
  <c r="Q36" i="3" s="1"/>
  <c r="C12" i="3"/>
  <c r="AF6" i="8"/>
  <c r="AF15" i="8" s="1"/>
  <c r="R26" i="8"/>
  <c r="Z22" i="8"/>
  <c r="Z32" i="8" s="1"/>
  <c r="S36" i="8"/>
  <c r="P26" i="3" l="1"/>
  <c r="P36" i="3" s="1"/>
  <c r="D12" i="3"/>
  <c r="V22" i="3"/>
  <c r="V32" i="3" s="1"/>
  <c r="AD15" i="3"/>
  <c r="AG6" i="8"/>
  <c r="AG15" i="8" s="1"/>
  <c r="Q26" i="8"/>
  <c r="Y22" i="8"/>
  <c r="Y32" i="8" s="1"/>
  <c r="R36" i="8"/>
  <c r="AE15" i="3" l="1"/>
  <c r="U22" i="3"/>
  <c r="U32" i="3" s="1"/>
  <c r="O26" i="3"/>
  <c r="O36" i="3" s="1"/>
  <c r="E12" i="3"/>
  <c r="B7" i="8"/>
  <c r="B16" i="8" s="1"/>
  <c r="P26" i="8"/>
  <c r="X22" i="8"/>
  <c r="X32" i="8" s="1"/>
  <c r="Q36" i="8"/>
  <c r="N26" i="3" l="1"/>
  <c r="N36" i="3" s="1"/>
  <c r="F12" i="3"/>
  <c r="AF15" i="3"/>
  <c r="T22" i="3"/>
  <c r="T32" i="3" s="1"/>
  <c r="C7" i="8"/>
  <c r="C16" i="8" s="1"/>
  <c r="O26" i="8"/>
  <c r="W22" i="8"/>
  <c r="W32" i="8" s="1"/>
  <c r="P36" i="8"/>
  <c r="AG15" i="3" l="1"/>
  <c r="S22" i="3"/>
  <c r="S32" i="3" s="1"/>
  <c r="M26" i="3"/>
  <c r="M36" i="3" s="1"/>
  <c r="G12" i="3"/>
  <c r="D7" i="8"/>
  <c r="D16" i="8" s="1"/>
  <c r="N26" i="8"/>
  <c r="V22" i="8"/>
  <c r="V32" i="8" s="1"/>
  <c r="O36" i="8"/>
  <c r="L26" i="3" l="1"/>
  <c r="L36" i="3" s="1"/>
  <c r="H12" i="3"/>
  <c r="R22" i="3"/>
  <c r="R32" i="3" s="1"/>
  <c r="E7" i="8"/>
  <c r="E16" i="8" s="1"/>
  <c r="M26" i="8"/>
  <c r="U22" i="8"/>
  <c r="U32" i="8" s="1"/>
  <c r="N36" i="8"/>
  <c r="Q22" i="3" l="1"/>
  <c r="Q32" i="3" s="1"/>
  <c r="C16" i="3"/>
  <c r="K26" i="3"/>
  <c r="K36" i="3" s="1"/>
  <c r="I12" i="3"/>
  <c r="F7" i="8"/>
  <c r="F16" i="8" s="1"/>
  <c r="L26" i="8"/>
  <c r="T22" i="8"/>
  <c r="T32" i="8" s="1"/>
  <c r="M36" i="8"/>
  <c r="J26" i="3" l="1"/>
  <c r="J36" i="3" s="1"/>
  <c r="J12" i="3"/>
  <c r="P22" i="3"/>
  <c r="P32" i="3" s="1"/>
  <c r="D16" i="3"/>
  <c r="G7" i="8"/>
  <c r="G16" i="8" s="1"/>
  <c r="K26" i="8"/>
  <c r="S22" i="8"/>
  <c r="S32" i="8" s="1"/>
  <c r="L36" i="8"/>
  <c r="O22" i="3" l="1"/>
  <c r="O32" i="3" s="1"/>
  <c r="E16" i="3"/>
  <c r="I26" i="3"/>
  <c r="I36" i="3" s="1"/>
  <c r="K12" i="3"/>
  <c r="H7" i="8"/>
  <c r="H16" i="8" s="1"/>
  <c r="J26" i="8"/>
  <c r="R22" i="8"/>
  <c r="R32" i="8" s="1"/>
  <c r="K36" i="8"/>
  <c r="H26" i="3" l="1"/>
  <c r="H36" i="3" s="1"/>
  <c r="L12" i="3"/>
  <c r="N22" i="3"/>
  <c r="N32" i="3" s="1"/>
  <c r="F16" i="3"/>
  <c r="I7" i="8"/>
  <c r="I16" i="8" s="1"/>
  <c r="I26" i="8"/>
  <c r="Q22" i="8"/>
  <c r="Q32" i="8" s="1"/>
  <c r="J36" i="8"/>
  <c r="G16" i="3" l="1"/>
  <c r="M22" i="3"/>
  <c r="M32" i="3" s="1"/>
  <c r="G26" i="3"/>
  <c r="G36" i="3" s="1"/>
  <c r="M12" i="3"/>
  <c r="J7" i="8"/>
  <c r="J16" i="8" s="1"/>
  <c r="H26" i="8"/>
  <c r="P22" i="8"/>
  <c r="P32" i="8" s="1"/>
  <c r="I36" i="8"/>
  <c r="F26" i="3" l="1"/>
  <c r="F36" i="3" s="1"/>
  <c r="N12" i="3"/>
  <c r="H16" i="3"/>
  <c r="L22" i="3"/>
  <c r="L32" i="3" s="1"/>
  <c r="K7" i="8"/>
  <c r="K16" i="8" s="1"/>
  <c r="G26" i="8"/>
  <c r="O22" i="8"/>
  <c r="O32" i="8" s="1"/>
  <c r="H36" i="8"/>
  <c r="F26" i="8" l="1"/>
  <c r="I16" i="3"/>
  <c r="K22" i="3"/>
  <c r="K32" i="3" s="1"/>
  <c r="O12" i="3"/>
  <c r="E26" i="3"/>
  <c r="E36" i="3" s="1"/>
  <c r="L7" i="8"/>
  <c r="L16" i="8" s="1"/>
  <c r="N22" i="8"/>
  <c r="N32" i="8" s="1"/>
  <c r="G36" i="8"/>
  <c r="D26" i="3" l="1"/>
  <c r="D36" i="3" s="1"/>
  <c r="P12" i="3"/>
  <c r="J22" i="3"/>
  <c r="J32" i="3" s="1"/>
  <c r="J16" i="3"/>
  <c r="M7" i="8"/>
  <c r="M16" i="8" s="1"/>
  <c r="E26" i="8"/>
  <c r="M22" i="8"/>
  <c r="M32" i="8" s="1"/>
  <c r="F36" i="8"/>
  <c r="I22" i="3" l="1"/>
  <c r="I32" i="3" s="1"/>
  <c r="K16" i="3"/>
  <c r="C26" i="3"/>
  <c r="C36" i="3" s="1"/>
  <c r="Q12" i="3"/>
  <c r="N7" i="8"/>
  <c r="N16" i="8" s="1"/>
  <c r="D26" i="8"/>
  <c r="L22" i="8"/>
  <c r="L32" i="8" s="1"/>
  <c r="E36" i="8"/>
  <c r="B26" i="3" l="1"/>
  <c r="B36" i="3" s="1"/>
  <c r="R12" i="3"/>
  <c r="H22" i="3"/>
  <c r="H32" i="3" s="1"/>
  <c r="L16" i="3"/>
  <c r="O7" i="8"/>
  <c r="O16" i="8" s="1"/>
  <c r="C26" i="8"/>
  <c r="K22" i="8"/>
  <c r="K32" i="8" s="1"/>
  <c r="D36" i="8"/>
  <c r="G22" i="3" l="1"/>
  <c r="G32" i="3" s="1"/>
  <c r="M16" i="3"/>
  <c r="AG25" i="3"/>
  <c r="AG35" i="3" s="1"/>
  <c r="S12" i="3"/>
  <c r="B26" i="8"/>
  <c r="P7" i="8"/>
  <c r="P16" i="8" s="1"/>
  <c r="J22" i="8"/>
  <c r="J32" i="8" s="1"/>
  <c r="C36" i="8"/>
  <c r="AF25" i="3" l="1"/>
  <c r="AF35" i="3" s="1"/>
  <c r="T12" i="3"/>
  <c r="F22" i="3"/>
  <c r="F32" i="3" s="1"/>
  <c r="N16" i="3"/>
  <c r="Q7" i="8"/>
  <c r="Q16" i="8" s="1"/>
  <c r="AG25" i="8"/>
  <c r="I22" i="8"/>
  <c r="I32" i="8" s="1"/>
  <c r="B36" i="8"/>
  <c r="O16" i="3" l="1"/>
  <c r="E22" i="3"/>
  <c r="E32" i="3" s="1"/>
  <c r="AE25" i="3"/>
  <c r="AE35" i="3" s="1"/>
  <c r="U12" i="3"/>
  <c r="R7" i="8"/>
  <c r="R16" i="8" s="1"/>
  <c r="AF25" i="8"/>
  <c r="H22" i="8"/>
  <c r="H32" i="8" s="1"/>
  <c r="AG35" i="8"/>
  <c r="V12" i="3" l="1"/>
  <c r="AD25" i="3"/>
  <c r="AD35" i="3" s="1"/>
  <c r="P16" i="3"/>
  <c r="D22" i="3"/>
  <c r="D32" i="3" s="1"/>
  <c r="AE25" i="8"/>
  <c r="S7" i="8"/>
  <c r="S16" i="8" s="1"/>
  <c r="G22" i="8"/>
  <c r="G32" i="8" s="1"/>
  <c r="AF35" i="8"/>
  <c r="Q16" i="3" l="1"/>
  <c r="C22" i="3"/>
  <c r="C32" i="3" s="1"/>
  <c r="W12" i="3"/>
  <c r="AC25" i="3"/>
  <c r="AC35" i="3" s="1"/>
  <c r="AD25" i="8"/>
  <c r="T7" i="8"/>
  <c r="T16" i="8" s="1"/>
  <c r="F22" i="8"/>
  <c r="F32" i="8" s="1"/>
  <c r="AE35" i="8"/>
  <c r="X12" i="3" l="1"/>
  <c r="AB25" i="3"/>
  <c r="AB35" i="3" s="1"/>
  <c r="B22" i="3"/>
  <c r="B32" i="3" s="1"/>
  <c r="R16" i="3"/>
  <c r="U7" i="8"/>
  <c r="U16" i="8" s="1"/>
  <c r="AC25" i="8"/>
  <c r="E22" i="8"/>
  <c r="E32" i="8" s="1"/>
  <c r="AD35" i="8"/>
  <c r="AG21" i="3" l="1"/>
  <c r="AG31" i="3" s="1"/>
  <c r="S16" i="3"/>
  <c r="AA25" i="3"/>
  <c r="AA35" i="3" s="1"/>
  <c r="Y12" i="3"/>
  <c r="V7" i="8"/>
  <c r="V16" i="8" s="1"/>
  <c r="AB25" i="8"/>
  <c r="D22" i="8"/>
  <c r="D32" i="8" s="1"/>
  <c r="AC35" i="8"/>
  <c r="Z25" i="3" l="1"/>
  <c r="Z35" i="3" s="1"/>
  <c r="Z12" i="3"/>
  <c r="AF21" i="3"/>
  <c r="AF31" i="3" s="1"/>
  <c r="T16" i="3"/>
  <c r="W7" i="8"/>
  <c r="W16" i="8" s="1"/>
  <c r="AA25" i="8"/>
  <c r="C22" i="8"/>
  <c r="C32" i="8" s="1"/>
  <c r="AB35" i="8"/>
  <c r="AE21" i="3" l="1"/>
  <c r="AE31" i="3" s="1"/>
  <c r="U16" i="3"/>
  <c r="Y25" i="3"/>
  <c r="Y35" i="3" s="1"/>
  <c r="AA12" i="3"/>
  <c r="X7" i="8"/>
  <c r="X16" i="8" s="1"/>
  <c r="Z25" i="8"/>
  <c r="B22" i="8"/>
  <c r="B32" i="8" s="1"/>
  <c r="AA35" i="8"/>
  <c r="X25" i="3" l="1"/>
  <c r="X35" i="3" s="1"/>
  <c r="AB12" i="3"/>
  <c r="AD21" i="3"/>
  <c r="AD31" i="3" s="1"/>
  <c r="V16" i="3"/>
  <c r="Y7" i="8"/>
  <c r="Y16" i="8" s="1"/>
  <c r="Y25" i="8"/>
  <c r="AG21" i="8"/>
  <c r="AG31" i="8" s="1"/>
  <c r="Z35" i="8"/>
  <c r="W16" i="3" l="1"/>
  <c r="AC21" i="3"/>
  <c r="AC31" i="3" s="1"/>
  <c r="W25" i="3"/>
  <c r="W35" i="3" s="1"/>
  <c r="AC12" i="3"/>
  <c r="Z7" i="8"/>
  <c r="Z16" i="8" s="1"/>
  <c r="X25" i="8"/>
  <c r="AF21" i="8"/>
  <c r="AF31" i="8" s="1"/>
  <c r="Y35" i="8"/>
  <c r="AD12" i="3" l="1"/>
  <c r="V25" i="3"/>
  <c r="V35" i="3" s="1"/>
  <c r="X16" i="3"/>
  <c r="AB21" i="3"/>
  <c r="AB31" i="3" s="1"/>
  <c r="AA7" i="8"/>
  <c r="AA16" i="8" s="1"/>
  <c r="W25" i="8"/>
  <c r="AE21" i="8"/>
  <c r="AE31" i="8" s="1"/>
  <c r="X35" i="8"/>
  <c r="V25" i="8" l="1"/>
  <c r="Y16" i="3"/>
  <c r="AA21" i="3"/>
  <c r="AA31" i="3" s="1"/>
  <c r="AE12" i="3"/>
  <c r="U25" i="3"/>
  <c r="U35" i="3" s="1"/>
  <c r="AB7" i="8"/>
  <c r="AB16" i="8" s="1"/>
  <c r="AD21" i="8"/>
  <c r="AD31" i="8" s="1"/>
  <c r="W35" i="8"/>
  <c r="AF12" i="3" l="1"/>
  <c r="T25" i="3"/>
  <c r="T35" i="3" s="1"/>
  <c r="Z21" i="3"/>
  <c r="Z31" i="3" s="1"/>
  <c r="Z16" i="3"/>
  <c r="AC7" i="8"/>
  <c r="AC16" i="8" s="1"/>
  <c r="U25" i="8"/>
  <c r="AC21" i="8"/>
  <c r="AC31" i="8" s="1"/>
  <c r="V35" i="8"/>
  <c r="T25" i="8" l="1"/>
  <c r="Y21" i="3"/>
  <c r="Y31" i="3" s="1"/>
  <c r="AA16" i="3"/>
  <c r="S25" i="3"/>
  <c r="S35" i="3" s="1"/>
  <c r="AG12" i="3"/>
  <c r="AD7" i="8"/>
  <c r="AD16" i="8" s="1"/>
  <c r="AB21" i="8"/>
  <c r="AB31" i="8" s="1"/>
  <c r="U35" i="8"/>
  <c r="R25" i="3" l="1"/>
  <c r="R35" i="3" s="1"/>
  <c r="B13" i="3"/>
  <c r="X21" i="3"/>
  <c r="X31" i="3" s="1"/>
  <c r="AB16" i="3"/>
  <c r="AE7" i="8"/>
  <c r="AE16" i="8" s="1"/>
  <c r="S25" i="8"/>
  <c r="AA21" i="8"/>
  <c r="AA31" i="8" s="1"/>
  <c r="T35" i="8"/>
  <c r="R25" i="8" l="1"/>
  <c r="W21" i="3"/>
  <c r="W31" i="3" s="1"/>
  <c r="AC16" i="3"/>
  <c r="Q25" i="3"/>
  <c r="Q35" i="3" s="1"/>
  <c r="C13" i="3"/>
  <c r="AF7" i="8"/>
  <c r="AF16" i="8" s="1"/>
  <c r="Z21" i="8"/>
  <c r="Z31" i="8" s="1"/>
  <c r="S35" i="8"/>
  <c r="P25" i="3" l="1"/>
  <c r="P35" i="3" s="1"/>
  <c r="D13" i="3"/>
  <c r="V21" i="3"/>
  <c r="V31" i="3" s="1"/>
  <c r="AD16" i="3"/>
  <c r="B8" i="8"/>
  <c r="B17" i="8" s="1"/>
  <c r="AG7" i="8"/>
  <c r="AG16" i="8" s="1"/>
  <c r="Q25" i="8"/>
  <c r="Y21" i="8"/>
  <c r="Y31" i="8" s="1"/>
  <c r="R35" i="8"/>
  <c r="AE16" i="3" l="1"/>
  <c r="U21" i="3"/>
  <c r="U31" i="3" s="1"/>
  <c r="O25" i="3"/>
  <c r="O35" i="3" s="1"/>
  <c r="E13" i="3"/>
  <c r="P25" i="8"/>
  <c r="X21" i="8"/>
  <c r="X31" i="8" s="1"/>
  <c r="Q35" i="8"/>
  <c r="F13" i="3" l="1"/>
  <c r="N25" i="3"/>
  <c r="N35" i="3" s="1"/>
  <c r="AF16" i="3"/>
  <c r="T21" i="3"/>
  <c r="T31" i="3" s="1"/>
  <c r="C8" i="8"/>
  <c r="C17" i="8" s="1"/>
  <c r="O25" i="8"/>
  <c r="W21" i="8"/>
  <c r="W31" i="8" s="1"/>
  <c r="P35" i="8"/>
  <c r="AG16" i="3" l="1"/>
  <c r="S21" i="3"/>
  <c r="S31" i="3" s="1"/>
  <c r="G13" i="3"/>
  <c r="M25" i="3"/>
  <c r="M35" i="3" s="1"/>
  <c r="D8" i="8"/>
  <c r="D17" i="8" s="1"/>
  <c r="N25" i="8"/>
  <c r="V21" i="8"/>
  <c r="V31" i="8" s="1"/>
  <c r="O35" i="8"/>
  <c r="H13" i="3" l="1"/>
  <c r="L25" i="3"/>
  <c r="L35" i="3" s="1"/>
  <c r="R21" i="3"/>
  <c r="R31" i="3" s="1"/>
  <c r="E8" i="8"/>
  <c r="E17" i="8" s="1"/>
  <c r="M25" i="8"/>
  <c r="U21" i="8"/>
  <c r="U31" i="8" s="1"/>
  <c r="N35" i="8"/>
  <c r="Q21" i="3" l="1"/>
  <c r="Q31" i="3" s="1"/>
  <c r="C17" i="3"/>
  <c r="K25" i="3"/>
  <c r="K35" i="3" s="1"/>
  <c r="I13" i="3"/>
  <c r="L25" i="8"/>
  <c r="F8" i="8"/>
  <c r="F17" i="8" s="1"/>
  <c r="T21" i="8"/>
  <c r="T31" i="8" s="1"/>
  <c r="M35" i="8"/>
  <c r="J25" i="3" l="1"/>
  <c r="J35" i="3" s="1"/>
  <c r="J13" i="3"/>
  <c r="P21" i="3"/>
  <c r="P31" i="3" s="1"/>
  <c r="D17" i="3"/>
  <c r="G8" i="8"/>
  <c r="G17" i="8" s="1"/>
  <c r="K25" i="8"/>
  <c r="S21" i="8"/>
  <c r="S31" i="8" s="1"/>
  <c r="L35" i="8"/>
  <c r="O21" i="3" l="1"/>
  <c r="O31" i="3" s="1"/>
  <c r="E17" i="3"/>
  <c r="I25" i="3"/>
  <c r="I35" i="3" s="1"/>
  <c r="K13" i="3"/>
  <c r="J25" i="8"/>
  <c r="H8" i="8"/>
  <c r="H17" i="8" s="1"/>
  <c r="R21" i="8"/>
  <c r="R31" i="8" s="1"/>
  <c r="K35" i="8"/>
  <c r="H25" i="3" l="1"/>
  <c r="H35" i="3" s="1"/>
  <c r="L13" i="3"/>
  <c r="N21" i="3"/>
  <c r="N31" i="3" s="1"/>
  <c r="F17" i="3"/>
  <c r="I8" i="8"/>
  <c r="I17" i="8" s="1"/>
  <c r="I25" i="8"/>
  <c r="Q21" i="8"/>
  <c r="Q31" i="8" s="1"/>
  <c r="J35" i="8"/>
  <c r="H25" i="8" l="1"/>
  <c r="G17" i="3"/>
  <c r="M21" i="3"/>
  <c r="M31" i="3" s="1"/>
  <c r="G25" i="3"/>
  <c r="G35" i="3" s="1"/>
  <c r="M13" i="3"/>
  <c r="J8" i="8"/>
  <c r="J17" i="8" s="1"/>
  <c r="P21" i="8"/>
  <c r="P31" i="8" s="1"/>
  <c r="I35" i="8"/>
  <c r="N13" i="3" l="1"/>
  <c r="F25" i="3"/>
  <c r="F35" i="3" s="1"/>
  <c r="H17" i="3"/>
  <c r="L21" i="3"/>
  <c r="L31" i="3" s="1"/>
  <c r="K8" i="8"/>
  <c r="K17" i="8" s="1"/>
  <c r="G25" i="8"/>
  <c r="O21" i="8"/>
  <c r="O31" i="8" s="1"/>
  <c r="H35" i="8"/>
  <c r="I17" i="3" l="1"/>
  <c r="K21" i="3"/>
  <c r="K31" i="3" s="1"/>
  <c r="O13" i="3"/>
  <c r="E25" i="3"/>
  <c r="E35" i="3" s="1"/>
  <c r="L8" i="8"/>
  <c r="L17" i="8" s="1"/>
  <c r="F25" i="8"/>
  <c r="N21" i="8"/>
  <c r="N31" i="8" s="1"/>
  <c r="G35" i="8"/>
  <c r="P13" i="3" l="1"/>
  <c r="D25" i="3"/>
  <c r="D35" i="3" s="1"/>
  <c r="J21" i="3"/>
  <c r="J31" i="3" s="1"/>
  <c r="J17" i="3"/>
  <c r="M8" i="8"/>
  <c r="M17" i="8" s="1"/>
  <c r="E25" i="8"/>
  <c r="M21" i="8"/>
  <c r="M31" i="8" s="1"/>
  <c r="F35" i="8"/>
  <c r="I21" i="3" l="1"/>
  <c r="I31" i="3" s="1"/>
  <c r="K17" i="3"/>
  <c r="C25" i="3"/>
  <c r="C35" i="3" s="1"/>
  <c r="Q13" i="3"/>
  <c r="D25" i="8"/>
  <c r="N8" i="8"/>
  <c r="N17" i="8" s="1"/>
  <c r="L21" i="8"/>
  <c r="L31" i="8" s="1"/>
  <c r="E35" i="8"/>
  <c r="B25" i="3" l="1"/>
  <c r="B35" i="3" s="1"/>
  <c r="R13" i="3"/>
  <c r="H21" i="3"/>
  <c r="H31" i="3" s="1"/>
  <c r="L17" i="3"/>
  <c r="O8" i="8"/>
  <c r="O17" i="8" s="1"/>
  <c r="C25" i="8"/>
  <c r="K21" i="8"/>
  <c r="K31" i="8" s="1"/>
  <c r="D35" i="8"/>
  <c r="B25" i="8" l="1"/>
  <c r="G21" i="3"/>
  <c r="G31" i="3" s="1"/>
  <c r="M17" i="3"/>
  <c r="AG24" i="3"/>
  <c r="AG34" i="3" s="1"/>
  <c r="S13" i="3"/>
  <c r="P8" i="8"/>
  <c r="P17" i="8" s="1"/>
  <c r="J21" i="8"/>
  <c r="J31" i="8" s="1"/>
  <c r="C35" i="8"/>
  <c r="AF24" i="3" l="1"/>
  <c r="AF34" i="3" s="1"/>
  <c r="T13" i="3"/>
  <c r="F21" i="3"/>
  <c r="F31" i="3" s="1"/>
  <c r="N17" i="3"/>
  <c r="Q8" i="8"/>
  <c r="Q17" i="8" s="1"/>
  <c r="AG24" i="8"/>
  <c r="I21" i="8"/>
  <c r="I31" i="8" s="1"/>
  <c r="B35" i="8"/>
  <c r="AF24" i="8" l="1"/>
  <c r="O17" i="3"/>
  <c r="E21" i="3"/>
  <c r="E31" i="3" s="1"/>
  <c r="AE24" i="3"/>
  <c r="AE34" i="3" s="1"/>
  <c r="U13" i="3"/>
  <c r="R8" i="8"/>
  <c r="R17" i="8" s="1"/>
  <c r="H21" i="8"/>
  <c r="H31" i="8" s="1"/>
  <c r="AG34" i="8"/>
  <c r="V13" i="3" l="1"/>
  <c r="AD24" i="3"/>
  <c r="AD34" i="3" s="1"/>
  <c r="P17" i="3"/>
  <c r="D21" i="3"/>
  <c r="D31" i="3" s="1"/>
  <c r="S8" i="8"/>
  <c r="S17" i="8" s="1"/>
  <c r="AE24" i="8"/>
  <c r="G21" i="8"/>
  <c r="G31" i="8" s="1"/>
  <c r="AF34" i="8"/>
  <c r="Q17" i="3" l="1"/>
  <c r="C21" i="3"/>
  <c r="C31" i="3" s="1"/>
  <c r="W13" i="3"/>
  <c r="AC24" i="3"/>
  <c r="AC34" i="3" s="1"/>
  <c r="T8" i="8"/>
  <c r="T17" i="8" s="1"/>
  <c r="AD24" i="8"/>
  <c r="F21" i="8"/>
  <c r="F31" i="8" s="1"/>
  <c r="AE34" i="8"/>
  <c r="X13" i="3" l="1"/>
  <c r="AB24" i="3"/>
  <c r="AB34" i="3" s="1"/>
  <c r="B21" i="3"/>
  <c r="B31" i="3" s="1"/>
  <c r="R17" i="3"/>
  <c r="U8" i="8"/>
  <c r="U17" i="8" s="1"/>
  <c r="AC24" i="8"/>
  <c r="E21" i="8"/>
  <c r="E31" i="8" s="1"/>
  <c r="AD34" i="8"/>
  <c r="AB24" i="8" l="1"/>
  <c r="AG20" i="3"/>
  <c r="AG30" i="3" s="1"/>
  <c r="S17" i="3"/>
  <c r="AA24" i="3"/>
  <c r="AA34" i="3" s="1"/>
  <c r="Y13" i="3"/>
  <c r="V8" i="8"/>
  <c r="V17" i="8" s="1"/>
  <c r="D21" i="8"/>
  <c r="D31" i="8" s="1"/>
  <c r="AC34" i="8"/>
  <c r="AF20" i="3" l="1"/>
  <c r="AF30" i="3" s="1"/>
  <c r="T17" i="3"/>
  <c r="Z24" i="3"/>
  <c r="Z34" i="3" s="1"/>
  <c r="Z13" i="3"/>
  <c r="W8" i="8"/>
  <c r="W17" i="8" s="1"/>
  <c r="AA24" i="8"/>
  <c r="C21" i="8"/>
  <c r="C31" i="8" s="1"/>
  <c r="AB34" i="8"/>
  <c r="Y24" i="3" l="1"/>
  <c r="Y34" i="3" s="1"/>
  <c r="AA13" i="3"/>
  <c r="AE20" i="3"/>
  <c r="AE30" i="3" s="1"/>
  <c r="U17" i="3"/>
  <c r="X8" i="8"/>
  <c r="X17" i="8" s="1"/>
  <c r="Z24" i="8"/>
  <c r="B21" i="8"/>
  <c r="B31" i="8" s="1"/>
  <c r="AA34" i="8"/>
  <c r="AD20" i="3" l="1"/>
  <c r="AD30" i="3" s="1"/>
  <c r="V17" i="3"/>
  <c r="X24" i="3"/>
  <c r="X34" i="3" s="1"/>
  <c r="AB13" i="3"/>
  <c r="Y8" i="8"/>
  <c r="Y17" i="8" s="1"/>
  <c r="Y24" i="8"/>
  <c r="AG20" i="8"/>
  <c r="AG30" i="8" s="1"/>
  <c r="Z34" i="8"/>
  <c r="W24" i="3" l="1"/>
  <c r="W34" i="3" s="1"/>
  <c r="AC13" i="3"/>
  <c r="W17" i="3"/>
  <c r="AC20" i="3"/>
  <c r="AC30" i="3" s="1"/>
  <c r="Z8" i="8"/>
  <c r="Z17" i="8" s="1"/>
  <c r="X24" i="8"/>
  <c r="AF20" i="8"/>
  <c r="AF30" i="8" s="1"/>
  <c r="Y34" i="8"/>
  <c r="X17" i="3" l="1"/>
  <c r="AB20" i="3"/>
  <c r="AB30" i="3" s="1"/>
  <c r="AD13" i="3"/>
  <c r="V24" i="3"/>
  <c r="V34" i="3" s="1"/>
  <c r="AA8" i="8"/>
  <c r="AA17" i="8" s="1"/>
  <c r="W24" i="8"/>
  <c r="AE20" i="8"/>
  <c r="AE30" i="8" s="1"/>
  <c r="X34" i="8"/>
  <c r="V24" i="8" l="1"/>
  <c r="AE13" i="3"/>
  <c r="U24" i="3"/>
  <c r="U34" i="3" s="1"/>
  <c r="Y17" i="3"/>
  <c r="AA20" i="3"/>
  <c r="AA30" i="3" s="1"/>
  <c r="AB8" i="8"/>
  <c r="AB17" i="8" s="1"/>
  <c r="AD20" i="8"/>
  <c r="AD30" i="8" s="1"/>
  <c r="W34" i="8"/>
  <c r="Z20" i="3" l="1"/>
  <c r="Z30" i="3" s="1"/>
  <c r="Z17" i="3"/>
  <c r="AF13" i="3"/>
  <c r="T24" i="3"/>
  <c r="T34" i="3" s="1"/>
  <c r="AC8" i="8"/>
  <c r="AC17" i="8" s="1"/>
  <c r="U24" i="8"/>
  <c r="AC20" i="8"/>
  <c r="AC30" i="8" s="1"/>
  <c r="V34" i="8"/>
  <c r="T24" i="8" l="1"/>
  <c r="S24" i="3"/>
  <c r="S34" i="3" s="1"/>
  <c r="AG13" i="3"/>
  <c r="Y20" i="3"/>
  <c r="Y30" i="3" s="1"/>
  <c r="AA17" i="3"/>
  <c r="AD8" i="8"/>
  <c r="AD17" i="8" s="1"/>
  <c r="AB20" i="8"/>
  <c r="AB30" i="8" s="1"/>
  <c r="U34" i="8"/>
  <c r="S24" i="8" l="1"/>
  <c r="X20" i="3"/>
  <c r="X30" i="3" s="1"/>
  <c r="AB17" i="3"/>
  <c r="R24" i="3"/>
  <c r="R34" i="3" s="1"/>
  <c r="B14" i="3"/>
  <c r="AE8" i="8"/>
  <c r="AE17" i="8" s="1"/>
  <c r="AA20" i="8"/>
  <c r="AA30" i="8" s="1"/>
  <c r="T34" i="8"/>
  <c r="R24" i="8" l="1"/>
  <c r="Q24" i="3"/>
  <c r="Q34" i="3" s="1"/>
  <c r="C14" i="3"/>
  <c r="W20" i="3"/>
  <c r="W30" i="3" s="1"/>
  <c r="AC17" i="3"/>
  <c r="AF8" i="8"/>
  <c r="AF17" i="8" s="1"/>
  <c r="Z20" i="8"/>
  <c r="Z30" i="8" s="1"/>
  <c r="S34" i="8"/>
  <c r="V20" i="3" l="1"/>
  <c r="V30" i="3" s="1"/>
  <c r="AD17" i="3"/>
  <c r="P24" i="3"/>
  <c r="P34" i="3" s="1"/>
  <c r="D14" i="3"/>
  <c r="B9" i="8"/>
  <c r="B18" i="8" s="1"/>
  <c r="AG8" i="8"/>
  <c r="AG17" i="8" s="1"/>
  <c r="Q24" i="8"/>
  <c r="Y20" i="8"/>
  <c r="Y30" i="8" s="1"/>
  <c r="R34" i="8"/>
  <c r="O24" i="3" l="1"/>
  <c r="O34" i="3" s="1"/>
  <c r="E14" i="3"/>
  <c r="AE17" i="3"/>
  <c r="U20" i="3"/>
  <c r="U30" i="3" s="1"/>
  <c r="P24" i="8"/>
  <c r="X20" i="8"/>
  <c r="X30" i="8" s="1"/>
  <c r="Q34" i="8"/>
  <c r="AF17" i="3" l="1"/>
  <c r="T20" i="3"/>
  <c r="T30" i="3" s="1"/>
  <c r="F14" i="3"/>
  <c r="N24" i="3"/>
  <c r="N34" i="3" s="1"/>
  <c r="C9" i="8"/>
  <c r="C18" i="8" s="1"/>
  <c r="O24" i="8"/>
  <c r="W20" i="8"/>
  <c r="W30" i="8" s="1"/>
  <c r="P34" i="8"/>
  <c r="N24" i="8" l="1"/>
  <c r="G14" i="3"/>
  <c r="M24" i="3"/>
  <c r="M34" i="3" s="1"/>
  <c r="AG17" i="3"/>
  <c r="S20" i="3"/>
  <c r="S30" i="3" s="1"/>
  <c r="D9" i="8"/>
  <c r="D18" i="8" s="1"/>
  <c r="V20" i="8"/>
  <c r="V30" i="8" s="1"/>
  <c r="O34" i="8"/>
  <c r="R20" i="3" l="1"/>
  <c r="R30" i="3" s="1"/>
  <c r="H14" i="3"/>
  <c r="L24" i="3"/>
  <c r="L34" i="3" s="1"/>
  <c r="E9" i="8"/>
  <c r="E18" i="8" s="1"/>
  <c r="M24" i="8"/>
  <c r="U20" i="8"/>
  <c r="U30" i="8" s="1"/>
  <c r="N34" i="8"/>
  <c r="L24" i="8" l="1"/>
  <c r="K24" i="3"/>
  <c r="K34" i="3" s="1"/>
  <c r="I14" i="3"/>
  <c r="Q20" i="3"/>
  <c r="Q30" i="3" s="1"/>
  <c r="C18" i="3"/>
  <c r="F9" i="8"/>
  <c r="F18" i="8" s="1"/>
  <c r="T20" i="8"/>
  <c r="T30" i="8" s="1"/>
  <c r="M34" i="8"/>
  <c r="P20" i="3" l="1"/>
  <c r="P30" i="3" s="1"/>
  <c r="D18" i="3"/>
  <c r="J24" i="3"/>
  <c r="J34" i="3" s="1"/>
  <c r="J14" i="3"/>
  <c r="G9" i="8"/>
  <c r="G18" i="8" s="1"/>
  <c r="K24" i="8"/>
  <c r="S20" i="8"/>
  <c r="S30" i="8" s="1"/>
  <c r="L34" i="8"/>
  <c r="I24" i="3" l="1"/>
  <c r="I34" i="3" s="1"/>
  <c r="K14" i="3"/>
  <c r="O20" i="3"/>
  <c r="O30" i="3" s="1"/>
  <c r="E18" i="3"/>
  <c r="J24" i="8"/>
  <c r="H9" i="8"/>
  <c r="H18" i="8" s="1"/>
  <c r="R20" i="8"/>
  <c r="R30" i="8" s="1"/>
  <c r="K34" i="8"/>
  <c r="N20" i="3" l="1"/>
  <c r="N30" i="3" s="1"/>
  <c r="F18" i="3"/>
  <c r="H24" i="3"/>
  <c r="H34" i="3" s="1"/>
  <c r="L14" i="3"/>
  <c r="I9" i="8"/>
  <c r="I18" i="8" s="1"/>
  <c r="I24" i="8"/>
  <c r="Q20" i="8"/>
  <c r="Q30" i="8" s="1"/>
  <c r="J34" i="8"/>
  <c r="G24" i="3" l="1"/>
  <c r="G34" i="3" s="1"/>
  <c r="M14" i="3"/>
  <c r="G18" i="3"/>
  <c r="M20" i="3"/>
  <c r="M30" i="3" s="1"/>
  <c r="J9" i="8"/>
  <c r="J18" i="8" s="1"/>
  <c r="H24" i="8"/>
  <c r="P20" i="8"/>
  <c r="P30" i="8" s="1"/>
  <c r="I34" i="8"/>
  <c r="H18" i="3" l="1"/>
  <c r="L20" i="3"/>
  <c r="L30" i="3" s="1"/>
  <c r="N14" i="3"/>
  <c r="F24" i="3"/>
  <c r="F34" i="3" s="1"/>
  <c r="K9" i="8"/>
  <c r="K18" i="8" s="1"/>
  <c r="G24" i="8"/>
  <c r="O20" i="8"/>
  <c r="O30" i="8" s="1"/>
  <c r="H34" i="8"/>
  <c r="O14" i="3" l="1"/>
  <c r="E24" i="3"/>
  <c r="E34" i="3" s="1"/>
  <c r="I18" i="3"/>
  <c r="K20" i="3"/>
  <c r="K30" i="3" s="1"/>
  <c r="L9" i="8"/>
  <c r="L18" i="8" s="1"/>
  <c r="F24" i="8"/>
  <c r="N20" i="8"/>
  <c r="N30" i="8" s="1"/>
  <c r="G34" i="8"/>
  <c r="J20" i="3" l="1"/>
  <c r="J30" i="3" s="1"/>
  <c r="J18" i="3"/>
  <c r="P14" i="3"/>
  <c r="D24" i="3"/>
  <c r="D34" i="3" s="1"/>
  <c r="M9" i="8"/>
  <c r="M18" i="8" s="1"/>
  <c r="E24" i="8"/>
  <c r="M20" i="8"/>
  <c r="M30" i="8" s="1"/>
  <c r="F34" i="8"/>
  <c r="D24" i="8" l="1"/>
  <c r="C24" i="3"/>
  <c r="C34" i="3" s="1"/>
  <c r="Q14" i="3"/>
  <c r="I20" i="3"/>
  <c r="I30" i="3" s="1"/>
  <c r="K18" i="3"/>
  <c r="N9" i="8"/>
  <c r="N18" i="8" s="1"/>
  <c r="L20" i="8"/>
  <c r="L30" i="8" s="1"/>
  <c r="E34" i="8"/>
  <c r="H20" i="3" l="1"/>
  <c r="H30" i="3" s="1"/>
  <c r="L18" i="3"/>
  <c r="B24" i="3"/>
  <c r="B34" i="3" s="1"/>
  <c r="R14" i="3"/>
  <c r="O9" i="8"/>
  <c r="O18" i="8" s="1"/>
  <c r="C24" i="8"/>
  <c r="K20" i="8"/>
  <c r="K30" i="8" s="1"/>
  <c r="D34" i="8"/>
  <c r="AG23" i="3" l="1"/>
  <c r="AG33" i="3" s="1"/>
  <c r="S14" i="3"/>
  <c r="G20" i="3"/>
  <c r="G30" i="3" s="1"/>
  <c r="M18" i="3"/>
  <c r="B24" i="8"/>
  <c r="Q9" i="8"/>
  <c r="Q18" i="8" s="1"/>
  <c r="P9" i="8"/>
  <c r="P18" i="8" s="1"/>
  <c r="J20" i="8"/>
  <c r="J30" i="8" s="1"/>
  <c r="C34" i="8"/>
  <c r="F20" i="3" l="1"/>
  <c r="F30" i="3" s="1"/>
  <c r="N18" i="3"/>
  <c r="AF23" i="3"/>
  <c r="AF33" i="3" s="1"/>
  <c r="T14" i="3"/>
  <c r="AG23" i="8"/>
  <c r="I20" i="8"/>
  <c r="I30" i="8" s="1"/>
  <c r="B34" i="8"/>
  <c r="AF23" i="8" l="1"/>
  <c r="AE23" i="3"/>
  <c r="AE33" i="3" s="1"/>
  <c r="U14" i="3"/>
  <c r="O18" i="3"/>
  <c r="E20" i="3"/>
  <c r="E30" i="3" s="1"/>
  <c r="H20" i="8"/>
  <c r="H30" i="8" s="1"/>
  <c r="AG33" i="8"/>
  <c r="P18" i="3" l="1"/>
  <c r="D20" i="3"/>
  <c r="D30" i="3" s="1"/>
  <c r="V14" i="3"/>
  <c r="AD23" i="3"/>
  <c r="AD33" i="3" s="1"/>
  <c r="AE23" i="8"/>
  <c r="G20" i="8"/>
  <c r="G30" i="8" s="1"/>
  <c r="AF33" i="8"/>
  <c r="W14" i="3" l="1"/>
  <c r="AC23" i="3"/>
  <c r="AC33" i="3" s="1"/>
  <c r="Q18" i="3"/>
  <c r="B20" i="3" s="1"/>
  <c r="B30" i="3" s="1"/>
  <c r="C20" i="3"/>
  <c r="C30" i="3" s="1"/>
  <c r="AD23" i="8"/>
  <c r="F20" i="8"/>
  <c r="F30" i="8" s="1"/>
  <c r="AE33" i="8"/>
  <c r="X14" i="3" l="1"/>
  <c r="AB23" i="3"/>
  <c r="AB33" i="3" s="1"/>
  <c r="AC23" i="8"/>
  <c r="E20" i="8"/>
  <c r="E30" i="8" s="1"/>
  <c r="AD33" i="8"/>
  <c r="AB23" i="8" l="1"/>
  <c r="AA23" i="3"/>
  <c r="AA33" i="3" s="1"/>
  <c r="Y14" i="3"/>
  <c r="Z23" i="3" s="1"/>
  <c r="Z33" i="3" s="1"/>
  <c r="D20" i="8"/>
  <c r="D30" i="8" s="1"/>
  <c r="AC33" i="8"/>
  <c r="AA23" i="8" l="1"/>
  <c r="Z23" i="8"/>
  <c r="C20" i="8"/>
  <c r="C30" i="8" s="1"/>
  <c r="AB33" i="8"/>
  <c r="B20" i="8" l="1"/>
  <c r="B30" i="8" s="1"/>
  <c r="AA33" i="8"/>
  <c r="Z33" i="8"/>
</calcChain>
</file>

<file path=xl/sharedStrings.xml><?xml version="1.0" encoding="utf-8"?>
<sst xmlns="http://schemas.openxmlformats.org/spreadsheetml/2006/main" count="2" uniqueCount="2">
  <si>
    <t>RX</t>
    <phoneticPr fontId="2" type="noConversion"/>
  </si>
  <si>
    <t>TX</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</si>
</sst>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新細明體"/>
      <family val="2"/>
      <scheme val="minor"/>
    </font>
    <font>
      <sz val="12"/>
      <name val="新細明體"/>
      <family val="2"/>
      <charset val="136"/>
      <scheme val="minor"/>
    </font>
    <font>
      <sz val="9"/>
      <name val="新細明體"/>
      <family val="3"/>
      <charset val="136"/>
      <scheme val="minor"/>
    </font>
    <font>
      <sz val="12"/>
      <name val="新細明體"/>
      <family val="1"/>
      <charset val="136"/>
      <scheme val="minor"/>
    </font>
    <font>
      <sz val="11"/>
      <color theme="0" tint="-4.9989318521683403E-2"/>
      <name val="新細明體"/>
      <family val="2"/>
      <scheme val="minor"/>
    </font>
    <font>
      <sz val="12"/>
      <color rgb="FFFF0000"/>
      <name val="新細明體"/>
      <family val="2"/>
      <charset val="136"/>
      <scheme val="minor"/>
    </font>
    <font>
      <sz val="12"/>
      <color theme="1"/>
      <name val="新細明體"/>
      <family val="1"/>
      <charset val="136"/>
      <scheme val="minor"/>
    </font>
    <font>
      <sz val="12"/>
      <color rgb="FF002060"/>
      <name val="新細明體"/>
      <family val="1"/>
      <charset val="136"/>
      <scheme val="minor"/>
    </font>
    <font>
      <b/>
      <sz val="11"/>
      <color theme="1"/>
      <name val="新細明體"/>
      <family val="1"/>
      <charset val="136"/>
      <scheme val="minor"/>
    </font>
  </fonts>
  <fills count="8">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92D050"/>
        <bgColor indexed="64"/>
      </patternFill>
    </fill>
    <fill>
      <patternFill patternType="solid">
        <fgColor theme="1" tint="4.9989318521683403E-2"/>
        <bgColor indexed="64"/>
      </patternFill>
    </fill>
    <fill>
      <patternFill patternType="solid">
        <fgColor theme="0" tint="-0.14999847407452621"/>
        <bgColor indexed="64"/>
      </patternFill>
    </fill>
  </fills>
  <borders count="11">
    <border>
      <left/>
      <right/>
      <top/>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medium">
        <color indexed="64"/>
      </left>
      <right style="thin">
        <color theme="1"/>
      </right>
      <top/>
      <bottom style="thin">
        <color theme="1"/>
      </bottom>
      <diagonal/>
    </border>
    <border>
      <left style="thin">
        <color theme="1"/>
      </left>
      <right style="double">
        <color indexed="64"/>
      </right>
      <top/>
      <bottom style="thin">
        <color theme="1"/>
      </bottom>
      <diagonal/>
    </border>
    <border>
      <left style="medium">
        <color indexed="64"/>
      </left>
      <right style="thin">
        <color theme="1"/>
      </right>
      <top style="thin">
        <color theme="1"/>
      </top>
      <bottom style="thin">
        <color theme="1"/>
      </bottom>
      <diagonal/>
    </border>
    <border>
      <left style="thin">
        <color theme="1"/>
      </left>
      <right style="double">
        <color indexed="64"/>
      </right>
      <top style="thin">
        <color theme="1"/>
      </top>
      <bottom style="thin">
        <color theme="1"/>
      </bottom>
      <diagonal/>
    </border>
    <border>
      <left style="thin">
        <color theme="1"/>
      </left>
      <right style="double">
        <color indexed="64"/>
      </right>
      <top style="thin">
        <color theme="1"/>
      </top>
      <bottom style="medium">
        <color theme="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0" fillId="2" borderId="2"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4" borderId="3" xfId="0" applyFill="1" applyBorder="1" applyAlignment="1">
      <alignment horizontal="center" vertical="center"/>
    </xf>
    <xf numFmtId="0" fontId="0" fillId="4" borderId="2" xfId="0" applyFill="1" applyBorder="1" applyAlignment="1">
      <alignment horizontal="center" vertical="center"/>
    </xf>
    <xf numFmtId="0" fontId="0" fillId="5" borderId="2" xfId="0" applyFill="1" applyBorder="1" applyAlignment="1">
      <alignment horizontal="center" vertical="center"/>
    </xf>
    <xf numFmtId="0" fontId="0" fillId="2" borderId="4" xfId="0" applyFill="1" applyBorder="1" applyAlignment="1">
      <alignment horizontal="center" vertical="center"/>
    </xf>
    <xf numFmtId="0" fontId="0" fillId="2" borderId="3" xfId="0" applyFill="1" applyBorder="1" applyAlignment="1">
      <alignment horizontal="center" vertical="center"/>
    </xf>
    <xf numFmtId="0" fontId="0" fillId="5" borderId="3" xfId="0" applyFill="1" applyBorder="1" applyAlignment="1">
      <alignment horizontal="center" vertical="center"/>
    </xf>
    <xf numFmtId="0" fontId="1" fillId="5" borderId="4" xfId="0" applyFont="1" applyFill="1" applyBorder="1" applyAlignment="1">
      <alignment horizontal="center" vertical="center"/>
    </xf>
    <xf numFmtId="0" fontId="3" fillId="5" borderId="3"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2"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xf>
    <xf numFmtId="0" fontId="4" fillId="6" borderId="0" xfId="0" applyFont="1" applyFill="1"/>
    <xf numFmtId="0" fontId="6" fillId="7" borderId="5" xfId="0" applyFont="1" applyFill="1" applyBorder="1" applyAlignment="1">
      <alignment horizontal="center" vertical="center"/>
    </xf>
    <xf numFmtId="0" fontId="6" fillId="7" borderId="2" xfId="0" applyFont="1" applyFill="1" applyBorder="1" applyAlignment="1">
      <alignment horizontal="center" vertical="center"/>
    </xf>
    <xf numFmtId="0" fontId="6" fillId="7" borderId="3" xfId="0" applyFont="1" applyFill="1" applyBorder="1" applyAlignment="1">
      <alignment horizontal="center" vertical="center"/>
    </xf>
    <xf numFmtId="0" fontId="7" fillId="7" borderId="3" xfId="0" applyFont="1" applyFill="1" applyBorder="1" applyAlignment="1">
      <alignment horizontal="center" vertical="center"/>
    </xf>
    <xf numFmtId="0" fontId="3" fillId="7" borderId="3" xfId="0" applyFont="1" applyFill="1" applyBorder="1" applyAlignment="1">
      <alignment horizontal="center" vertical="center"/>
    </xf>
    <xf numFmtId="0" fontId="3" fillId="7" borderId="2"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7" xfId="0" applyFont="1" applyFill="1" applyBorder="1" applyAlignment="1">
      <alignment horizontal="center" vertical="center"/>
    </xf>
    <xf numFmtId="0" fontId="6" fillId="7" borderId="8" xfId="0" applyFont="1" applyFill="1" applyBorder="1" applyAlignment="1">
      <alignment horizontal="center" vertical="center"/>
    </xf>
    <xf numFmtId="0" fontId="7" fillId="7" borderId="9" xfId="0" applyFont="1" applyFill="1" applyBorder="1" applyAlignment="1">
      <alignment horizontal="center" vertical="center"/>
    </xf>
    <xf numFmtId="0" fontId="5" fillId="2" borderId="1" xfId="0" applyFont="1" applyFill="1" applyBorder="1" applyAlignment="1">
      <alignment horizontal="center" vertical="center"/>
    </xf>
    <xf numFmtId="0" fontId="5" fillId="3" borderId="3" xfId="0" applyFont="1" applyFill="1" applyBorder="1" applyAlignment="1">
      <alignment horizontal="center" vertical="center"/>
    </xf>
    <xf numFmtId="0" fontId="5"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8" fillId="2" borderId="10" xfId="0" applyFont="1" applyFill="1" applyBorder="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34</xdr:col>
      <xdr:colOff>299160</xdr:colOff>
      <xdr:row>15</xdr:row>
      <xdr:rowOff>123541</xdr:rowOff>
    </xdr:from>
    <xdr:to>
      <xdr:col>49</xdr:col>
      <xdr:colOff>69621</xdr:colOff>
      <xdr:row>31</xdr:row>
      <xdr:rowOff>99155</xdr:rowOff>
    </xdr:to>
    <xdr:grpSp>
      <xdr:nvGrpSpPr>
        <xdr:cNvPr id="2" name="群組 1">
          <a:extLst>
            <a:ext uri="{FF2B5EF4-FFF2-40B4-BE49-F238E27FC236}">
              <a16:creationId xmlns:a16="http://schemas.microsoft.com/office/drawing/2014/main" id="{618B6ADF-53DE-4A1E-80D8-CB3B960180C2}"/>
            </a:ext>
          </a:extLst>
        </xdr:cNvPr>
        <xdr:cNvGrpSpPr/>
      </xdr:nvGrpSpPr>
      <xdr:grpSpPr>
        <a:xfrm>
          <a:off x="18240796" y="3240814"/>
          <a:ext cx="5485461" cy="3318023"/>
          <a:chOff x="18108386" y="111579"/>
          <a:chExt cx="4437235" cy="3356046"/>
        </a:xfrm>
      </xdr:grpSpPr>
      <xdr:pic>
        <xdr:nvPicPr>
          <xdr:cNvPr id="3" name="圖片 2">
            <a:extLst>
              <a:ext uri="{FF2B5EF4-FFF2-40B4-BE49-F238E27FC236}">
                <a16:creationId xmlns:a16="http://schemas.microsoft.com/office/drawing/2014/main" id="{34805435-F1CF-46E9-9C5D-89ED6FC655D7}"/>
              </a:ext>
            </a:extLst>
          </xdr:cNvPr>
          <xdr:cNvPicPr>
            <a:picLocks noChangeAspect="1"/>
          </xdr:cNvPicPr>
        </xdr:nvPicPr>
        <xdr:blipFill>
          <a:blip xmlns:r="http://schemas.openxmlformats.org/officeDocument/2006/relationships" r:embed="rId1"/>
          <a:stretch>
            <a:fillRect/>
          </a:stretch>
        </xdr:blipFill>
        <xdr:spPr>
          <a:xfrm>
            <a:off x="18174195" y="1283944"/>
            <a:ext cx="4371426" cy="2183681"/>
          </a:xfrm>
          <a:prstGeom prst="rect">
            <a:avLst/>
          </a:prstGeom>
        </xdr:spPr>
      </xdr:pic>
      <xdr:sp macro="" textlink="">
        <xdr:nvSpPr>
          <xdr:cNvPr id="4" name="文字方塊 3">
            <a:extLst>
              <a:ext uri="{FF2B5EF4-FFF2-40B4-BE49-F238E27FC236}">
                <a16:creationId xmlns:a16="http://schemas.microsoft.com/office/drawing/2014/main" id="{9ADA79DC-BB94-49CD-85FE-AF235C4B288F}"/>
              </a:ext>
            </a:extLst>
          </xdr:cNvPr>
          <xdr:cNvSpPr txBox="1"/>
        </xdr:nvSpPr>
        <xdr:spPr>
          <a:xfrm>
            <a:off x="18108386" y="111579"/>
            <a:ext cx="3039839" cy="11269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TW" sz="3200"/>
              <a:t>Remove</a:t>
            </a:r>
            <a:r>
              <a:rPr lang="en-US" altLang="zh-TW" sz="3200" baseline="0"/>
              <a:t> 'RX' method</a:t>
            </a:r>
            <a:r>
              <a:rPr lang="en-US" altLang="zh-TW" sz="3200"/>
              <a:t> </a:t>
            </a:r>
            <a:br>
              <a:rPr lang="en-US" altLang="zh-TW" sz="3200"/>
            </a:br>
            <a:r>
              <a:rPr lang="en-US" altLang="zh-TW" sz="3200"/>
              <a:t>Ctrl</a:t>
            </a:r>
            <a:r>
              <a:rPr lang="en-US" altLang="zh-TW" sz="3200" baseline="0"/>
              <a:t> + F</a:t>
            </a:r>
            <a:endParaRPr lang="zh-TW" altLang="en-US" sz="3200"/>
          </a:p>
        </xdr:txBody>
      </xdr:sp>
    </xdr:grpSp>
    <xdr:clientData/>
  </xdr:twoCellAnchor>
  <xdr:twoCellAnchor>
    <xdr:from>
      <xdr:col>34</xdr:col>
      <xdr:colOff>311728</xdr:colOff>
      <xdr:row>10</xdr:row>
      <xdr:rowOff>34635</xdr:rowOff>
    </xdr:from>
    <xdr:to>
      <xdr:col>44</xdr:col>
      <xdr:colOff>190501</xdr:colOff>
      <xdr:row>13</xdr:row>
      <xdr:rowOff>151781</xdr:rowOff>
    </xdr:to>
    <xdr:sp macro="" textlink="">
      <xdr:nvSpPr>
        <xdr:cNvPr id="6" name="文字方塊 5">
          <a:extLst>
            <a:ext uri="{FF2B5EF4-FFF2-40B4-BE49-F238E27FC236}">
              <a16:creationId xmlns:a16="http://schemas.microsoft.com/office/drawing/2014/main" id="{F7E85882-B5BE-4330-946D-BA59F181D5F6}"/>
            </a:ext>
          </a:extLst>
        </xdr:cNvPr>
        <xdr:cNvSpPr txBox="1"/>
      </xdr:nvSpPr>
      <xdr:spPr>
        <a:xfrm>
          <a:off x="18253364" y="2112817"/>
          <a:ext cx="3688773" cy="74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zh-TW" altLang="en-US" sz="1800" b="1">
              <a:solidFill>
                <a:schemeClr val="tx1"/>
              </a:solidFill>
            </a:rPr>
            <a:t>貼上單顆的 </a:t>
          </a:r>
          <a:r>
            <a:rPr lang="en-US" altLang="zh-TW" sz="1800" b="1">
              <a:solidFill>
                <a:schemeClr val="tx1"/>
              </a:solidFill>
            </a:rPr>
            <a:t>RX mapping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304800</xdr:colOff>
      <xdr:row>66</xdr:row>
      <xdr:rowOff>32657</xdr:rowOff>
    </xdr:from>
    <xdr:to>
      <xdr:col>34</xdr:col>
      <xdr:colOff>367392</xdr:colOff>
      <xdr:row>69</xdr:row>
      <xdr:rowOff>163286</xdr:rowOff>
    </xdr:to>
    <xdr:sp macro="" textlink="">
      <xdr:nvSpPr>
        <xdr:cNvPr id="2" name="文字方塊 1">
          <a:extLst>
            <a:ext uri="{FF2B5EF4-FFF2-40B4-BE49-F238E27FC236}">
              <a16:creationId xmlns:a16="http://schemas.microsoft.com/office/drawing/2014/main" id="{77213BF8-70C9-4614-9510-F967C00C0557}"/>
            </a:ext>
          </a:extLst>
        </xdr:cNvPr>
        <xdr:cNvSpPr txBox="1"/>
      </xdr:nvSpPr>
      <xdr:spPr>
        <a:xfrm>
          <a:off x="8305800" y="13234307"/>
          <a:ext cx="5015592" cy="73070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4000"/>
            <a:t>Data</a:t>
          </a:r>
          <a:r>
            <a:rPr lang="en-US" altLang="zh-TW" sz="4000" baseline="0"/>
            <a:t> rotate and mirror</a:t>
          </a:r>
          <a:endParaRPr lang="zh-TW" altLang="en-US" sz="4000"/>
        </a:p>
      </xdr:txBody>
    </xdr:sp>
    <xdr:clientData/>
  </xdr:twoCellAnchor>
  <xdr:oneCellAnchor>
    <xdr:from>
      <xdr:col>74</xdr:col>
      <xdr:colOff>95250</xdr:colOff>
      <xdr:row>36</xdr:row>
      <xdr:rowOff>122464</xdr:rowOff>
    </xdr:from>
    <xdr:ext cx="184731" cy="264560"/>
    <xdr:sp macro="" textlink="">
      <xdr:nvSpPr>
        <xdr:cNvPr id="3" name="文字方塊 2">
          <a:extLst>
            <a:ext uri="{FF2B5EF4-FFF2-40B4-BE49-F238E27FC236}">
              <a16:creationId xmlns:a16="http://schemas.microsoft.com/office/drawing/2014/main" id="{BE03AE01-5C22-404E-82FE-B41DD3FD14C5}"/>
            </a:ext>
          </a:extLst>
        </xdr:cNvPr>
        <xdr:cNvSpPr txBox="1"/>
      </xdr:nvSpPr>
      <xdr:spPr>
        <a:xfrm>
          <a:off x="28289250" y="73233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19</xdr:col>
      <xdr:colOff>272142</xdr:colOff>
      <xdr:row>10</xdr:row>
      <xdr:rowOff>95250</xdr:rowOff>
    </xdr:from>
    <xdr:to>
      <xdr:col>35</xdr:col>
      <xdr:colOff>258535</xdr:colOff>
      <xdr:row>14</xdr:row>
      <xdr:rowOff>21772</xdr:rowOff>
    </xdr:to>
    <xdr:sp macro="" textlink="">
      <xdr:nvSpPr>
        <xdr:cNvPr id="2" name="文字方塊 1">
          <a:extLst>
            <a:ext uri="{FF2B5EF4-FFF2-40B4-BE49-F238E27FC236}">
              <a16:creationId xmlns:a16="http://schemas.microsoft.com/office/drawing/2014/main" id="{F26D843E-01A8-4389-98B2-9904D2CA44B9}"/>
            </a:ext>
          </a:extLst>
        </xdr:cNvPr>
        <xdr:cNvSpPr txBox="1"/>
      </xdr:nvSpPr>
      <xdr:spPr>
        <a:xfrm>
          <a:off x="7511142" y="2095500"/>
          <a:ext cx="6082393" cy="72662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zh-TW" sz="4000"/>
            <a:t>9999, means</a:t>
          </a:r>
          <a:r>
            <a:rPr lang="en-US" altLang="zh-TW" sz="4000" baseline="0"/>
            <a:t> reserve area</a:t>
          </a:r>
          <a:endParaRPr lang="zh-TW" altLang="en-US" sz="40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272142</xdr:colOff>
      <xdr:row>10</xdr:row>
      <xdr:rowOff>95250</xdr:rowOff>
    </xdr:from>
    <xdr:to>
      <xdr:col>35</xdr:col>
      <xdr:colOff>258535</xdr:colOff>
      <xdr:row>14</xdr:row>
      <xdr:rowOff>21772</xdr:rowOff>
    </xdr:to>
    <xdr:sp macro="" textlink="">
      <xdr:nvSpPr>
        <xdr:cNvPr id="2" name="文字方塊 1">
          <a:extLst>
            <a:ext uri="{FF2B5EF4-FFF2-40B4-BE49-F238E27FC236}">
              <a16:creationId xmlns:a16="http://schemas.microsoft.com/office/drawing/2014/main" id="{F9FAD9EF-064F-4AEF-8B05-819387E15DB0}"/>
            </a:ext>
          </a:extLst>
        </xdr:cNvPr>
        <xdr:cNvSpPr txBox="1"/>
      </xdr:nvSpPr>
      <xdr:spPr>
        <a:xfrm>
          <a:off x="7511142" y="2095500"/>
          <a:ext cx="6082393" cy="72662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zh-TW" sz="4000"/>
            <a:t>9999, means</a:t>
          </a:r>
          <a:r>
            <a:rPr lang="en-US" altLang="zh-TW" sz="4000" baseline="0"/>
            <a:t> reserve area</a:t>
          </a:r>
          <a:endParaRPr lang="zh-TW" altLang="en-US" sz="4000"/>
        </a:p>
      </xdr:txBody>
    </xdr:sp>
    <xdr:clientData/>
  </xdr:twoCellAnchor>
  <xdr:twoCellAnchor>
    <xdr:from>
      <xdr:col>66</xdr:col>
      <xdr:colOff>36801</xdr:colOff>
      <xdr:row>27</xdr:row>
      <xdr:rowOff>21646</xdr:rowOff>
    </xdr:from>
    <xdr:to>
      <xdr:col>78</xdr:col>
      <xdr:colOff>365846</xdr:colOff>
      <xdr:row>61</xdr:row>
      <xdr:rowOff>17318</xdr:rowOff>
    </xdr:to>
    <xdr:sp macro="" textlink="">
      <xdr:nvSpPr>
        <xdr:cNvPr id="4" name="文字方塊 3">
          <a:extLst>
            <a:ext uri="{FF2B5EF4-FFF2-40B4-BE49-F238E27FC236}">
              <a16:creationId xmlns:a16="http://schemas.microsoft.com/office/drawing/2014/main" id="{750989E3-2D2E-4765-9800-4CA07319C566}"/>
            </a:ext>
          </a:extLst>
        </xdr:cNvPr>
        <xdr:cNvSpPr txBox="1"/>
      </xdr:nvSpPr>
      <xdr:spPr>
        <a:xfrm>
          <a:off x="26308483" y="5632737"/>
          <a:ext cx="7602681" cy="7061490"/>
        </a:xfrm>
        <a:prstGeom prst="rect">
          <a:avLst/>
        </a:prstGeom>
        <a:solidFill>
          <a:schemeClr val="accent1">
            <a:lumMod val="20000"/>
            <a:lumOff val="80000"/>
          </a:schemeClr>
        </a:solid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b="0" i="0" u="none" strike="noStrike">
              <a:solidFill>
                <a:schemeClr val="dk1"/>
              </a:solidFill>
              <a:effectLst/>
              <a:latin typeface="+mn-lt"/>
              <a:ea typeface="+mn-ea"/>
              <a:cs typeface="+mn-cs"/>
            </a:rPr>
            <a:t>0x0,</a:t>
          </a:r>
          <a:r>
            <a:rPr lang="en-US" altLang="zh-TW"/>
            <a:t> </a:t>
          </a:r>
          <a:r>
            <a:rPr lang="en-US" altLang="zh-TW" sz="1100" b="0" i="0" u="none" strike="noStrike">
              <a:solidFill>
                <a:schemeClr val="dk1"/>
              </a:solidFill>
              <a:effectLst/>
              <a:latin typeface="+mn-lt"/>
              <a:ea typeface="+mn-ea"/>
              <a:cs typeface="+mn-cs"/>
            </a:rPr>
            <a:t>0x1,</a:t>
          </a:r>
          <a:r>
            <a:rPr lang="en-US" altLang="zh-TW"/>
            <a:t> </a:t>
          </a:r>
          <a:r>
            <a:rPr lang="en-US" altLang="zh-TW" sz="1100" b="0" i="0" u="none" strike="noStrike">
              <a:solidFill>
                <a:schemeClr val="dk1"/>
              </a:solidFill>
              <a:effectLst/>
              <a:latin typeface="+mn-lt"/>
              <a:ea typeface="+mn-ea"/>
              <a:cs typeface="+mn-cs"/>
            </a:rPr>
            <a:t>0x2,</a:t>
          </a:r>
          <a:r>
            <a:rPr lang="en-US" altLang="zh-TW"/>
            <a:t> </a:t>
          </a:r>
          <a:r>
            <a:rPr lang="en-US" altLang="zh-TW" sz="1100" b="0" i="0" u="none" strike="noStrike">
              <a:solidFill>
                <a:schemeClr val="dk1"/>
              </a:solidFill>
              <a:effectLst/>
              <a:latin typeface="+mn-lt"/>
              <a:ea typeface="+mn-ea"/>
              <a:cs typeface="+mn-cs"/>
            </a:rPr>
            <a:t>0x3,</a:t>
          </a:r>
          <a:r>
            <a:rPr lang="en-US" altLang="zh-TW"/>
            <a:t> </a:t>
          </a:r>
          <a:r>
            <a:rPr lang="en-US" altLang="zh-TW" sz="1100" b="0" i="0" u="none" strike="noStrike">
              <a:solidFill>
                <a:schemeClr val="dk1"/>
              </a:solidFill>
              <a:effectLst/>
              <a:latin typeface="+mn-lt"/>
              <a:ea typeface="+mn-ea"/>
              <a:cs typeface="+mn-cs"/>
            </a:rPr>
            <a:t>0x4,</a:t>
          </a:r>
          <a:r>
            <a:rPr lang="en-US" altLang="zh-TW"/>
            <a:t> </a:t>
          </a:r>
          <a:r>
            <a:rPr lang="en-US" altLang="zh-TW" sz="1100" b="0" i="0" u="none" strike="noStrike">
              <a:solidFill>
                <a:schemeClr val="dk1"/>
              </a:solidFill>
              <a:effectLst/>
              <a:latin typeface="+mn-lt"/>
              <a:ea typeface="+mn-ea"/>
              <a:cs typeface="+mn-cs"/>
            </a:rPr>
            <a:t>0x5,</a:t>
          </a:r>
          <a:r>
            <a:rPr lang="en-US" altLang="zh-TW"/>
            <a:t> </a:t>
          </a:r>
          <a:r>
            <a:rPr lang="en-US" altLang="zh-TW" sz="1100" b="0" i="0" u="none" strike="noStrike">
              <a:solidFill>
                <a:schemeClr val="dk1"/>
              </a:solidFill>
              <a:effectLst/>
              <a:latin typeface="+mn-lt"/>
              <a:ea typeface="+mn-ea"/>
              <a:cs typeface="+mn-cs"/>
            </a:rPr>
            <a:t>0x6,</a:t>
          </a:r>
          <a:r>
            <a:rPr lang="en-US" altLang="zh-TW"/>
            <a:t> </a:t>
          </a:r>
          <a:r>
            <a:rPr lang="en-US" altLang="zh-TW" sz="1100" b="0" i="0" u="none" strike="noStrike">
              <a:solidFill>
                <a:schemeClr val="dk1"/>
              </a:solidFill>
              <a:effectLst/>
              <a:latin typeface="+mn-lt"/>
              <a:ea typeface="+mn-ea"/>
              <a:cs typeface="+mn-cs"/>
            </a:rPr>
            <a:t>0x7,</a:t>
          </a:r>
          <a:r>
            <a:rPr lang="en-US" altLang="zh-TW"/>
            <a:t> </a:t>
          </a:r>
          <a:r>
            <a:rPr lang="en-US" altLang="zh-TW" sz="1100" b="0" i="0" u="none" strike="noStrike">
              <a:solidFill>
                <a:schemeClr val="dk1"/>
              </a:solidFill>
              <a:effectLst/>
              <a:latin typeface="+mn-lt"/>
              <a:ea typeface="+mn-ea"/>
              <a:cs typeface="+mn-cs"/>
            </a:rPr>
            <a:t>0x8,</a:t>
          </a:r>
          <a:r>
            <a:rPr lang="en-US" altLang="zh-TW"/>
            <a:t> </a:t>
          </a:r>
          <a:r>
            <a:rPr lang="en-US" altLang="zh-TW" sz="1100" b="0" i="0" u="none" strike="noStrike">
              <a:solidFill>
                <a:schemeClr val="dk1"/>
              </a:solidFill>
              <a:effectLst/>
              <a:latin typeface="+mn-lt"/>
              <a:ea typeface="+mn-ea"/>
              <a:cs typeface="+mn-cs"/>
            </a:rPr>
            <a:t>0x9,</a:t>
          </a:r>
          <a:r>
            <a:rPr lang="en-US" altLang="zh-TW"/>
            <a:t> </a:t>
          </a:r>
          <a:r>
            <a:rPr lang="en-US" altLang="zh-TW" sz="1100" b="0" i="0" u="none" strike="noStrike">
              <a:solidFill>
                <a:schemeClr val="dk1"/>
              </a:solidFill>
              <a:effectLst/>
              <a:latin typeface="+mn-lt"/>
              <a:ea typeface="+mn-ea"/>
              <a:cs typeface="+mn-cs"/>
            </a:rPr>
            <a:t>0xA,</a:t>
          </a:r>
          <a:r>
            <a:rPr lang="en-US" altLang="zh-TW"/>
            <a:t> </a:t>
          </a:r>
          <a:r>
            <a:rPr lang="en-US" altLang="zh-TW" sz="1100" b="0" i="0" u="none" strike="noStrike">
              <a:solidFill>
                <a:schemeClr val="dk1"/>
              </a:solidFill>
              <a:effectLst/>
              <a:latin typeface="+mn-lt"/>
              <a:ea typeface="+mn-ea"/>
              <a:cs typeface="+mn-cs"/>
            </a:rPr>
            <a:t>0xB,</a:t>
          </a:r>
          <a:r>
            <a:rPr lang="en-US" altLang="zh-TW"/>
            <a:t> </a:t>
          </a:r>
          <a:r>
            <a:rPr lang="en-US" altLang="zh-TW" sz="1100" b="0" i="0" u="none" strike="noStrike">
              <a:solidFill>
                <a:schemeClr val="dk1"/>
              </a:solidFill>
              <a:effectLst/>
              <a:latin typeface="+mn-lt"/>
              <a:ea typeface="+mn-ea"/>
              <a:cs typeface="+mn-cs"/>
            </a:rPr>
            <a:t>0xC,</a:t>
          </a:r>
          <a:r>
            <a:rPr lang="en-US" altLang="zh-TW"/>
            <a:t> </a:t>
          </a:r>
          <a:r>
            <a:rPr lang="en-US" altLang="zh-TW" sz="1100" b="0" i="0" u="none" strike="noStrike">
              <a:solidFill>
                <a:schemeClr val="dk1"/>
              </a:solidFill>
              <a:effectLst/>
              <a:latin typeface="+mn-lt"/>
              <a:ea typeface="+mn-ea"/>
              <a:cs typeface="+mn-cs"/>
            </a:rPr>
            <a:t>0xD,</a:t>
          </a:r>
          <a:r>
            <a:rPr lang="en-US" altLang="zh-TW"/>
            <a:t> </a:t>
          </a:r>
          <a:r>
            <a:rPr lang="en-US" altLang="zh-TW" sz="1100" b="0" i="0" u="none" strike="noStrike">
              <a:solidFill>
                <a:schemeClr val="dk1"/>
              </a:solidFill>
              <a:effectLst/>
              <a:latin typeface="+mn-lt"/>
              <a:ea typeface="+mn-ea"/>
              <a:cs typeface="+mn-cs"/>
            </a:rPr>
            <a:t>0xE,</a:t>
          </a:r>
          <a:r>
            <a:rPr lang="en-US" altLang="zh-TW"/>
            <a:t> </a:t>
          </a:r>
          <a:r>
            <a:rPr lang="en-US" altLang="zh-TW" sz="1100" b="0" i="0" u="none" strike="noStrike">
              <a:solidFill>
                <a:schemeClr val="dk1"/>
              </a:solidFill>
              <a:effectLst/>
              <a:latin typeface="+mn-lt"/>
              <a:ea typeface="+mn-ea"/>
              <a:cs typeface="+mn-cs"/>
            </a:rPr>
            <a:t>0xF,</a:t>
          </a:r>
          <a:r>
            <a:rPr lang="en-US" altLang="zh-TW"/>
            <a:t> </a:t>
          </a:r>
          <a:r>
            <a:rPr lang="en-US" altLang="zh-TW" sz="1100" b="0" i="0" u="none" strike="noStrike">
              <a:solidFill>
                <a:schemeClr val="dk1"/>
              </a:solidFill>
              <a:effectLst/>
              <a:latin typeface="+mn-lt"/>
              <a:ea typeface="+mn-ea"/>
              <a:cs typeface="+mn-cs"/>
            </a:rPr>
            <a:t>0x10,</a:t>
          </a:r>
          <a:r>
            <a:rPr lang="en-US" altLang="zh-TW"/>
            <a:t> </a:t>
          </a:r>
          <a:r>
            <a:rPr lang="en-US" altLang="zh-TW" sz="1100" b="0" i="0" u="none" strike="noStrike">
              <a:solidFill>
                <a:schemeClr val="dk1"/>
              </a:solidFill>
              <a:effectLst/>
              <a:latin typeface="+mn-lt"/>
              <a:ea typeface="+mn-ea"/>
              <a:cs typeface="+mn-cs"/>
            </a:rPr>
            <a:t>0x11,</a:t>
          </a:r>
          <a:r>
            <a:rPr lang="en-US" altLang="zh-TW"/>
            <a:t> </a:t>
          </a:r>
          <a:r>
            <a:rPr lang="en-US" altLang="zh-TW" sz="1100" b="0" i="0" u="none" strike="noStrike">
              <a:solidFill>
                <a:schemeClr val="dk1"/>
              </a:solidFill>
              <a:effectLst/>
              <a:latin typeface="+mn-lt"/>
              <a:ea typeface="+mn-ea"/>
              <a:cs typeface="+mn-cs"/>
            </a:rPr>
            <a:t>0x12,</a:t>
          </a:r>
          <a:r>
            <a:rPr lang="en-US" altLang="zh-TW"/>
            <a:t> </a:t>
          </a:r>
          <a:r>
            <a:rPr lang="en-US" altLang="zh-TW" sz="1100" b="0" i="0" u="none" strike="noStrike">
              <a:solidFill>
                <a:schemeClr val="dk1"/>
              </a:solidFill>
              <a:effectLst/>
              <a:latin typeface="+mn-lt"/>
              <a:ea typeface="+mn-ea"/>
              <a:cs typeface="+mn-cs"/>
            </a:rPr>
            <a:t>0x13,</a:t>
          </a:r>
          <a:r>
            <a:rPr lang="en-US" altLang="zh-TW"/>
            <a:t> </a:t>
          </a:r>
          <a:r>
            <a:rPr lang="en-US" altLang="zh-TW" sz="1100" b="0" i="0" u="none" strike="noStrike">
              <a:solidFill>
                <a:schemeClr val="dk1"/>
              </a:solidFill>
              <a:effectLst/>
              <a:latin typeface="+mn-lt"/>
              <a:ea typeface="+mn-ea"/>
              <a:cs typeface="+mn-cs"/>
            </a:rPr>
            <a:t>0x14,</a:t>
          </a:r>
          <a:r>
            <a:rPr lang="en-US" altLang="zh-TW"/>
            <a:t> </a:t>
          </a:r>
          <a:r>
            <a:rPr lang="en-US" altLang="zh-TW" sz="1100" b="0" i="0" u="none" strike="noStrike">
              <a:solidFill>
                <a:schemeClr val="dk1"/>
              </a:solidFill>
              <a:effectLst/>
              <a:latin typeface="+mn-lt"/>
              <a:ea typeface="+mn-ea"/>
              <a:cs typeface="+mn-cs"/>
            </a:rPr>
            <a:t>0x15,</a:t>
          </a:r>
          <a:r>
            <a:rPr lang="en-US" altLang="zh-TW"/>
            <a:t> </a:t>
          </a:r>
          <a:r>
            <a:rPr lang="en-US" altLang="zh-TW" sz="1100" b="0" i="0" u="none" strike="noStrike">
              <a:solidFill>
                <a:schemeClr val="dk1"/>
              </a:solidFill>
              <a:effectLst/>
              <a:latin typeface="+mn-lt"/>
              <a:ea typeface="+mn-ea"/>
              <a:cs typeface="+mn-cs"/>
            </a:rPr>
            <a:t>0x16,</a:t>
          </a:r>
          <a:r>
            <a:rPr lang="en-US" altLang="zh-TW"/>
            <a:t> </a:t>
          </a:r>
          <a:r>
            <a:rPr lang="en-US" altLang="zh-TW" sz="1100" b="0" i="0" u="none" strike="noStrike">
              <a:solidFill>
                <a:schemeClr val="dk1"/>
              </a:solidFill>
              <a:effectLst/>
              <a:latin typeface="+mn-lt"/>
              <a:ea typeface="+mn-ea"/>
              <a:cs typeface="+mn-cs"/>
            </a:rPr>
            <a:t>0x17,</a:t>
          </a:r>
          <a:r>
            <a:rPr lang="en-US" altLang="zh-TW"/>
            <a:t> </a:t>
          </a:r>
          <a:r>
            <a:rPr lang="en-US" altLang="zh-TW" sz="1100" b="0" i="0" u="none" strike="noStrike">
              <a:solidFill>
                <a:schemeClr val="dk1"/>
              </a:solidFill>
              <a:effectLst/>
              <a:latin typeface="+mn-lt"/>
              <a:ea typeface="+mn-ea"/>
              <a:cs typeface="+mn-cs"/>
            </a:rPr>
            <a:t>0x18,</a:t>
          </a:r>
          <a:r>
            <a:rPr lang="en-US" altLang="zh-TW"/>
            <a:t> </a:t>
          </a:r>
          <a:r>
            <a:rPr lang="en-US" altLang="zh-TW" sz="1100" b="0" i="0" u="none" strike="noStrike">
              <a:solidFill>
                <a:schemeClr val="dk1"/>
              </a:solidFill>
              <a:effectLst/>
              <a:latin typeface="+mn-lt"/>
              <a:ea typeface="+mn-ea"/>
              <a:cs typeface="+mn-cs"/>
            </a:rPr>
            <a:t>0x19,</a:t>
          </a:r>
          <a:r>
            <a:rPr lang="en-US" altLang="zh-TW"/>
            <a:t> </a:t>
          </a:r>
          <a:r>
            <a:rPr lang="en-US" altLang="zh-TW" sz="1100" b="0" i="0" u="none" strike="noStrike">
              <a:solidFill>
                <a:schemeClr val="dk1"/>
              </a:solidFill>
              <a:effectLst/>
              <a:latin typeface="+mn-lt"/>
              <a:ea typeface="+mn-ea"/>
              <a:cs typeface="+mn-cs"/>
            </a:rPr>
            <a:t>0x1A,</a:t>
          </a:r>
          <a:r>
            <a:rPr lang="en-US" altLang="zh-TW"/>
            <a:t> </a:t>
          </a:r>
          <a:r>
            <a:rPr lang="en-US" altLang="zh-TW" sz="1100" b="0" i="0" u="none" strike="noStrike">
              <a:solidFill>
                <a:schemeClr val="dk1"/>
              </a:solidFill>
              <a:effectLst/>
              <a:latin typeface="+mn-lt"/>
              <a:ea typeface="+mn-ea"/>
              <a:cs typeface="+mn-cs"/>
            </a:rPr>
            <a:t>0x1B,</a:t>
          </a:r>
          <a:r>
            <a:rPr lang="en-US" altLang="zh-TW"/>
            <a:t> </a:t>
          </a:r>
          <a:r>
            <a:rPr lang="en-US" altLang="zh-TW" sz="1100" b="0" i="0" u="none" strike="noStrike">
              <a:solidFill>
                <a:schemeClr val="dk1"/>
              </a:solidFill>
              <a:effectLst/>
              <a:latin typeface="+mn-lt"/>
              <a:ea typeface="+mn-ea"/>
              <a:cs typeface="+mn-cs"/>
            </a:rPr>
            <a:t>0x1C,</a:t>
          </a:r>
          <a:r>
            <a:rPr lang="en-US" altLang="zh-TW"/>
            <a:t> </a:t>
          </a:r>
          <a:r>
            <a:rPr lang="en-US" altLang="zh-TW" sz="1100" b="0" i="0" u="none" strike="noStrike">
              <a:solidFill>
                <a:schemeClr val="dk1"/>
              </a:solidFill>
              <a:effectLst/>
              <a:latin typeface="+mn-lt"/>
              <a:ea typeface="+mn-ea"/>
              <a:cs typeface="+mn-cs"/>
            </a:rPr>
            <a:t>0x1D,</a:t>
          </a:r>
          <a:r>
            <a:rPr lang="en-US" altLang="zh-TW"/>
            <a:t> </a:t>
          </a:r>
          <a:r>
            <a:rPr lang="en-US" altLang="zh-TW" sz="1100" b="0" i="0" u="none" strike="noStrike">
              <a:solidFill>
                <a:schemeClr val="dk1"/>
              </a:solidFill>
              <a:effectLst/>
              <a:latin typeface="+mn-lt"/>
              <a:ea typeface="+mn-ea"/>
              <a:cs typeface="+mn-cs"/>
            </a:rPr>
            <a:t>0x1E,</a:t>
          </a:r>
          <a:r>
            <a:rPr lang="en-US" altLang="zh-TW"/>
            <a:t> </a:t>
          </a:r>
          <a:r>
            <a:rPr lang="en-US" altLang="zh-TW" sz="1100" b="0" i="0" u="none" strike="noStrike">
              <a:solidFill>
                <a:schemeClr val="dk1"/>
              </a:solidFill>
              <a:effectLst/>
              <a:latin typeface="+mn-lt"/>
              <a:ea typeface="+mn-ea"/>
              <a:cs typeface="+mn-cs"/>
            </a:rPr>
            <a:t>0x1F,</a:t>
          </a:r>
          <a:r>
            <a:rPr lang="en-US" altLang="zh-TW"/>
            <a:t> </a:t>
          </a:r>
          <a:r>
            <a:rPr lang="en-US" altLang="zh-TW" sz="1100" b="0" i="0" u="none" strike="noStrike">
              <a:solidFill>
                <a:schemeClr val="dk1"/>
              </a:solidFill>
              <a:effectLst/>
              <a:latin typeface="+mn-lt"/>
              <a:ea typeface="+mn-ea"/>
              <a:cs typeface="+mn-cs"/>
            </a:rPr>
            <a:t>0x20,</a:t>
          </a:r>
          <a:r>
            <a:rPr lang="en-US" altLang="zh-TW"/>
            <a:t> </a:t>
          </a:r>
          <a:r>
            <a:rPr lang="en-US" altLang="zh-TW" sz="1100" b="0" i="0" u="none" strike="noStrike">
              <a:solidFill>
                <a:schemeClr val="dk1"/>
              </a:solidFill>
              <a:effectLst/>
              <a:latin typeface="+mn-lt"/>
              <a:ea typeface="+mn-ea"/>
              <a:cs typeface="+mn-cs"/>
            </a:rPr>
            <a:t>0x21,</a:t>
          </a:r>
          <a:r>
            <a:rPr lang="en-US" altLang="zh-TW"/>
            <a:t> </a:t>
          </a:r>
          <a:r>
            <a:rPr lang="en-US" altLang="zh-TW" sz="1100" b="0" i="0" u="none" strike="noStrike">
              <a:solidFill>
                <a:schemeClr val="dk1"/>
              </a:solidFill>
              <a:effectLst/>
              <a:latin typeface="+mn-lt"/>
              <a:ea typeface="+mn-ea"/>
              <a:cs typeface="+mn-cs"/>
            </a:rPr>
            <a:t>0x22,</a:t>
          </a:r>
          <a:r>
            <a:rPr lang="en-US" altLang="zh-TW"/>
            <a:t> </a:t>
          </a:r>
          <a:r>
            <a:rPr lang="en-US" altLang="zh-TW" sz="1100" b="0" i="0" u="none" strike="noStrike">
              <a:solidFill>
                <a:schemeClr val="dk1"/>
              </a:solidFill>
              <a:effectLst/>
              <a:latin typeface="+mn-lt"/>
              <a:ea typeface="+mn-ea"/>
              <a:cs typeface="+mn-cs"/>
            </a:rPr>
            <a:t>0x23,</a:t>
          </a:r>
          <a:r>
            <a:rPr lang="en-US" altLang="zh-TW"/>
            <a:t> </a:t>
          </a:r>
          <a:r>
            <a:rPr lang="en-US" altLang="zh-TW" sz="1100" b="0" i="0" u="none" strike="noStrike">
              <a:solidFill>
                <a:schemeClr val="dk1"/>
              </a:solidFill>
              <a:effectLst/>
              <a:latin typeface="+mn-lt"/>
              <a:ea typeface="+mn-ea"/>
              <a:cs typeface="+mn-cs"/>
            </a:rPr>
            <a:t>0x24,</a:t>
          </a:r>
          <a:r>
            <a:rPr lang="en-US" altLang="zh-TW"/>
            <a:t> </a:t>
          </a:r>
          <a:r>
            <a:rPr lang="en-US" altLang="zh-TW" sz="1100" b="0" i="0" u="none" strike="noStrike">
              <a:solidFill>
                <a:schemeClr val="dk1"/>
              </a:solidFill>
              <a:effectLst/>
              <a:latin typeface="+mn-lt"/>
              <a:ea typeface="+mn-ea"/>
              <a:cs typeface="+mn-cs"/>
            </a:rPr>
            <a:t>0x25,</a:t>
          </a:r>
          <a:r>
            <a:rPr lang="en-US" altLang="zh-TW"/>
            <a:t> </a:t>
          </a:r>
          <a:r>
            <a:rPr lang="en-US" altLang="zh-TW" sz="1100" b="0" i="0" u="none" strike="noStrike">
              <a:solidFill>
                <a:schemeClr val="dk1"/>
              </a:solidFill>
              <a:effectLst/>
              <a:latin typeface="+mn-lt"/>
              <a:ea typeface="+mn-ea"/>
              <a:cs typeface="+mn-cs"/>
            </a:rPr>
            <a:t>0x26,</a:t>
          </a:r>
          <a:r>
            <a:rPr lang="en-US" altLang="zh-TW"/>
            <a:t> </a:t>
          </a:r>
          <a:r>
            <a:rPr lang="en-US" altLang="zh-TW" sz="1100" b="0" i="0" u="none" strike="noStrike">
              <a:solidFill>
                <a:schemeClr val="dk1"/>
              </a:solidFill>
              <a:effectLst/>
              <a:latin typeface="+mn-lt"/>
              <a:ea typeface="+mn-ea"/>
              <a:cs typeface="+mn-cs"/>
            </a:rPr>
            <a:t>0x27,</a:t>
          </a:r>
          <a:r>
            <a:rPr lang="en-US" altLang="zh-TW"/>
            <a:t> </a:t>
          </a:r>
          <a:r>
            <a:rPr lang="en-US" altLang="zh-TW" sz="1100" b="0" i="0" u="none" strike="noStrike">
              <a:solidFill>
                <a:schemeClr val="dk1"/>
              </a:solidFill>
              <a:effectLst/>
              <a:latin typeface="+mn-lt"/>
              <a:ea typeface="+mn-ea"/>
              <a:cs typeface="+mn-cs"/>
            </a:rPr>
            <a:t>0x28,</a:t>
          </a:r>
          <a:r>
            <a:rPr lang="en-US" altLang="zh-TW"/>
            <a:t> </a:t>
          </a:r>
          <a:r>
            <a:rPr lang="en-US" altLang="zh-TW" sz="1100" b="0" i="0" u="none" strike="noStrike">
              <a:solidFill>
                <a:schemeClr val="dk1"/>
              </a:solidFill>
              <a:effectLst/>
              <a:latin typeface="+mn-lt"/>
              <a:ea typeface="+mn-ea"/>
              <a:cs typeface="+mn-cs"/>
            </a:rPr>
            <a:t>0x29,</a:t>
          </a:r>
          <a:r>
            <a:rPr lang="en-US" altLang="zh-TW"/>
            <a:t> </a:t>
          </a:r>
          <a:r>
            <a:rPr lang="en-US" altLang="zh-TW" sz="1100" b="0" i="0" u="none" strike="noStrike">
              <a:solidFill>
                <a:schemeClr val="dk1"/>
              </a:solidFill>
              <a:effectLst/>
              <a:latin typeface="+mn-lt"/>
              <a:ea typeface="+mn-ea"/>
              <a:cs typeface="+mn-cs"/>
            </a:rPr>
            <a:t>0x2A,</a:t>
          </a:r>
          <a:r>
            <a:rPr lang="en-US" altLang="zh-TW"/>
            <a:t> </a:t>
          </a:r>
          <a:r>
            <a:rPr lang="en-US" altLang="zh-TW" sz="1100" b="0" i="0" u="none" strike="noStrike">
              <a:solidFill>
                <a:schemeClr val="dk1"/>
              </a:solidFill>
              <a:effectLst/>
              <a:latin typeface="+mn-lt"/>
              <a:ea typeface="+mn-ea"/>
              <a:cs typeface="+mn-cs"/>
            </a:rPr>
            <a:t>0x2B,</a:t>
          </a:r>
          <a:r>
            <a:rPr lang="en-US" altLang="zh-TW"/>
            <a:t> </a:t>
          </a:r>
          <a:r>
            <a:rPr lang="en-US" altLang="zh-TW" sz="1100" b="0" i="0" u="none" strike="noStrike">
              <a:solidFill>
                <a:schemeClr val="dk1"/>
              </a:solidFill>
              <a:effectLst/>
              <a:latin typeface="+mn-lt"/>
              <a:ea typeface="+mn-ea"/>
              <a:cs typeface="+mn-cs"/>
            </a:rPr>
            <a:t>0x2C,</a:t>
          </a:r>
          <a:r>
            <a:rPr lang="en-US" altLang="zh-TW"/>
            <a:t> </a:t>
          </a:r>
          <a:r>
            <a:rPr lang="en-US" altLang="zh-TW" sz="1100" b="0" i="0" u="none" strike="noStrike">
              <a:solidFill>
                <a:schemeClr val="dk1"/>
              </a:solidFill>
              <a:effectLst/>
              <a:latin typeface="+mn-lt"/>
              <a:ea typeface="+mn-ea"/>
              <a:cs typeface="+mn-cs"/>
            </a:rPr>
            <a:t>0x2D,</a:t>
          </a:r>
          <a:r>
            <a:rPr lang="en-US" altLang="zh-TW"/>
            <a:t> </a:t>
          </a:r>
          <a:r>
            <a:rPr lang="en-US" altLang="zh-TW" sz="1100" b="0" i="0" u="none" strike="noStrike">
              <a:solidFill>
                <a:schemeClr val="dk1"/>
              </a:solidFill>
              <a:effectLst/>
              <a:latin typeface="+mn-lt"/>
              <a:ea typeface="+mn-ea"/>
              <a:cs typeface="+mn-cs"/>
            </a:rPr>
            <a:t>0x2E,</a:t>
          </a:r>
          <a:r>
            <a:rPr lang="en-US" altLang="zh-TW"/>
            <a:t> </a:t>
          </a:r>
          <a:r>
            <a:rPr lang="en-US" altLang="zh-TW" sz="1100" b="0" i="0" u="none" strike="noStrike">
              <a:solidFill>
                <a:schemeClr val="dk1"/>
              </a:solidFill>
              <a:effectLst/>
              <a:latin typeface="+mn-lt"/>
              <a:ea typeface="+mn-ea"/>
              <a:cs typeface="+mn-cs"/>
            </a:rPr>
            <a:t>0x2F,</a:t>
          </a:r>
          <a:r>
            <a:rPr lang="en-US" altLang="zh-TW"/>
            <a:t> </a:t>
          </a:r>
          <a:r>
            <a:rPr lang="en-US" altLang="zh-TW" sz="1100" b="0" i="0" u="none" strike="noStrike">
              <a:solidFill>
                <a:schemeClr val="dk1"/>
              </a:solidFill>
              <a:effectLst/>
              <a:latin typeface="+mn-lt"/>
              <a:ea typeface="+mn-ea"/>
              <a:cs typeface="+mn-cs"/>
            </a:rPr>
            <a:t>0x30,</a:t>
          </a:r>
          <a:r>
            <a:rPr lang="en-US" altLang="zh-TW"/>
            <a:t> </a:t>
          </a:r>
          <a:r>
            <a:rPr lang="en-US" altLang="zh-TW" sz="1100" b="0" i="0" u="none" strike="noStrike">
              <a:solidFill>
                <a:schemeClr val="dk1"/>
              </a:solidFill>
              <a:effectLst/>
              <a:latin typeface="+mn-lt"/>
              <a:ea typeface="+mn-ea"/>
              <a:cs typeface="+mn-cs"/>
            </a:rPr>
            <a:t>0x31,</a:t>
          </a:r>
          <a:r>
            <a:rPr lang="en-US" altLang="zh-TW"/>
            <a:t> </a:t>
          </a:r>
          <a:r>
            <a:rPr lang="en-US" altLang="zh-TW" sz="1100" b="0" i="0" u="none" strike="noStrike">
              <a:solidFill>
                <a:schemeClr val="dk1"/>
              </a:solidFill>
              <a:effectLst/>
              <a:latin typeface="+mn-lt"/>
              <a:ea typeface="+mn-ea"/>
              <a:cs typeface="+mn-cs"/>
            </a:rPr>
            <a:t>0x32,</a:t>
          </a:r>
          <a:r>
            <a:rPr lang="en-US" altLang="zh-TW"/>
            <a:t> </a:t>
          </a:r>
          <a:r>
            <a:rPr lang="en-US" altLang="zh-TW" sz="1100" b="0" i="0" u="none" strike="noStrike">
              <a:solidFill>
                <a:schemeClr val="dk1"/>
              </a:solidFill>
              <a:effectLst/>
              <a:latin typeface="+mn-lt"/>
              <a:ea typeface="+mn-ea"/>
              <a:cs typeface="+mn-cs"/>
            </a:rPr>
            <a:t>0x33,</a:t>
          </a:r>
          <a:r>
            <a:rPr lang="en-US" altLang="zh-TW"/>
            <a:t> </a:t>
          </a:r>
          <a:r>
            <a:rPr lang="en-US" altLang="zh-TW" sz="1100" b="0" i="0" u="none" strike="noStrike">
              <a:solidFill>
                <a:schemeClr val="dk1"/>
              </a:solidFill>
              <a:effectLst/>
              <a:latin typeface="+mn-lt"/>
              <a:ea typeface="+mn-ea"/>
              <a:cs typeface="+mn-cs"/>
            </a:rPr>
            <a:t>0x34,</a:t>
          </a:r>
          <a:r>
            <a:rPr lang="en-US" altLang="zh-TW"/>
            <a:t> </a:t>
          </a:r>
          <a:r>
            <a:rPr lang="en-US" altLang="zh-TW" sz="1100" b="0" i="0" u="none" strike="noStrike">
              <a:solidFill>
                <a:schemeClr val="dk1"/>
              </a:solidFill>
              <a:effectLst/>
              <a:latin typeface="+mn-lt"/>
              <a:ea typeface="+mn-ea"/>
              <a:cs typeface="+mn-cs"/>
            </a:rPr>
            <a:t>0x35,</a:t>
          </a:r>
          <a:r>
            <a:rPr lang="en-US" altLang="zh-TW"/>
            <a:t> </a:t>
          </a:r>
          <a:r>
            <a:rPr lang="en-US" altLang="zh-TW" sz="1100" b="0" i="0" u="none" strike="noStrike">
              <a:solidFill>
                <a:schemeClr val="dk1"/>
              </a:solidFill>
              <a:effectLst/>
              <a:latin typeface="+mn-lt"/>
              <a:ea typeface="+mn-ea"/>
              <a:cs typeface="+mn-cs"/>
            </a:rPr>
            <a:t>0x36,</a:t>
          </a:r>
          <a:r>
            <a:rPr lang="en-US" altLang="zh-TW"/>
            <a:t> </a:t>
          </a:r>
          <a:r>
            <a:rPr lang="en-US" altLang="zh-TW" sz="1100" b="0" i="0" u="none" strike="noStrike">
              <a:solidFill>
                <a:schemeClr val="dk1"/>
              </a:solidFill>
              <a:effectLst/>
              <a:latin typeface="+mn-lt"/>
              <a:ea typeface="+mn-ea"/>
              <a:cs typeface="+mn-cs"/>
            </a:rPr>
            <a:t>0x37,</a:t>
          </a:r>
          <a:r>
            <a:rPr lang="en-US" altLang="zh-TW"/>
            <a:t> </a:t>
          </a:r>
          <a:r>
            <a:rPr lang="en-US" altLang="zh-TW" sz="1100" b="0" i="0" u="none" strike="noStrike">
              <a:solidFill>
                <a:schemeClr val="dk1"/>
              </a:solidFill>
              <a:effectLst/>
              <a:latin typeface="+mn-lt"/>
              <a:ea typeface="+mn-ea"/>
              <a:cs typeface="+mn-cs"/>
            </a:rPr>
            <a:t>0x38,</a:t>
          </a:r>
          <a:r>
            <a:rPr lang="en-US" altLang="zh-TW"/>
            <a:t> </a:t>
          </a:r>
          <a:r>
            <a:rPr lang="en-US" altLang="zh-TW" sz="1100" b="0" i="0" u="none" strike="noStrike">
              <a:solidFill>
                <a:schemeClr val="dk1"/>
              </a:solidFill>
              <a:effectLst/>
              <a:latin typeface="+mn-lt"/>
              <a:ea typeface="+mn-ea"/>
              <a:cs typeface="+mn-cs"/>
            </a:rPr>
            <a:t>0x39,</a:t>
          </a:r>
          <a:r>
            <a:rPr lang="en-US" altLang="zh-TW"/>
            <a:t> </a:t>
          </a:r>
          <a:r>
            <a:rPr lang="en-US" altLang="zh-TW" sz="1100" b="0" i="0" u="none" strike="noStrike">
              <a:solidFill>
                <a:schemeClr val="dk1"/>
              </a:solidFill>
              <a:effectLst/>
              <a:latin typeface="+mn-lt"/>
              <a:ea typeface="+mn-ea"/>
              <a:cs typeface="+mn-cs"/>
            </a:rPr>
            <a:t>0x3A,</a:t>
          </a:r>
          <a:r>
            <a:rPr lang="en-US" altLang="zh-TW"/>
            <a:t> </a:t>
          </a:r>
          <a:r>
            <a:rPr lang="en-US" altLang="zh-TW" sz="1100" b="0" i="0" u="none" strike="noStrike">
              <a:solidFill>
                <a:schemeClr val="dk1"/>
              </a:solidFill>
              <a:effectLst/>
              <a:latin typeface="+mn-lt"/>
              <a:ea typeface="+mn-ea"/>
              <a:cs typeface="+mn-cs"/>
            </a:rPr>
            <a:t>0x3B,</a:t>
          </a:r>
          <a:r>
            <a:rPr lang="en-US" altLang="zh-TW"/>
            <a:t> </a:t>
          </a:r>
          <a:r>
            <a:rPr lang="en-US" altLang="zh-TW" sz="1100" b="0" i="0" u="none" strike="noStrike">
              <a:solidFill>
                <a:schemeClr val="dk1"/>
              </a:solidFill>
              <a:effectLst/>
              <a:latin typeface="+mn-lt"/>
              <a:ea typeface="+mn-ea"/>
              <a:cs typeface="+mn-cs"/>
            </a:rPr>
            <a:t>0x3C,</a:t>
          </a:r>
          <a:r>
            <a:rPr lang="en-US" altLang="zh-TW"/>
            <a:t> </a:t>
          </a:r>
          <a:r>
            <a:rPr lang="en-US" altLang="zh-TW" sz="1100" b="0" i="0" u="none" strike="noStrike">
              <a:solidFill>
                <a:schemeClr val="dk1"/>
              </a:solidFill>
              <a:effectLst/>
              <a:latin typeface="+mn-lt"/>
              <a:ea typeface="+mn-ea"/>
              <a:cs typeface="+mn-cs"/>
            </a:rPr>
            <a:t>0x3D,</a:t>
          </a:r>
          <a:r>
            <a:rPr lang="en-US" altLang="zh-TW"/>
            <a:t> </a:t>
          </a:r>
          <a:r>
            <a:rPr lang="en-US" altLang="zh-TW" sz="1100" b="0" i="0" u="none" strike="noStrike">
              <a:solidFill>
                <a:schemeClr val="dk1"/>
              </a:solidFill>
              <a:effectLst/>
              <a:latin typeface="+mn-lt"/>
              <a:ea typeface="+mn-ea"/>
              <a:cs typeface="+mn-cs"/>
            </a:rPr>
            <a:t>0x3E,</a:t>
          </a:r>
          <a:r>
            <a:rPr lang="en-US" altLang="zh-TW"/>
            <a:t> </a:t>
          </a:r>
          <a:r>
            <a:rPr lang="en-US" altLang="zh-TW" sz="1100" b="0" i="0" u="none" strike="noStrike">
              <a:solidFill>
                <a:schemeClr val="dk1"/>
              </a:solidFill>
              <a:effectLst/>
              <a:latin typeface="+mn-lt"/>
              <a:ea typeface="+mn-ea"/>
              <a:cs typeface="+mn-cs"/>
            </a:rPr>
            <a:t>0x3F,</a:t>
          </a:r>
          <a:r>
            <a:rPr lang="en-US" altLang="zh-TW"/>
            <a:t> </a:t>
          </a:r>
          <a:r>
            <a:rPr lang="en-US" altLang="zh-TW" sz="1100" b="0" i="0" u="none" strike="noStrike">
              <a:solidFill>
                <a:schemeClr val="dk1"/>
              </a:solidFill>
              <a:effectLst/>
              <a:latin typeface="+mn-lt"/>
              <a:ea typeface="+mn-ea"/>
              <a:cs typeface="+mn-cs"/>
            </a:rPr>
            <a:t>0x40,</a:t>
          </a:r>
          <a:r>
            <a:rPr lang="en-US" altLang="zh-TW"/>
            <a:t> </a:t>
          </a:r>
          <a:r>
            <a:rPr lang="en-US" altLang="zh-TW" sz="1100" b="0" i="0" u="none" strike="noStrike">
              <a:solidFill>
                <a:schemeClr val="dk1"/>
              </a:solidFill>
              <a:effectLst/>
              <a:latin typeface="+mn-lt"/>
              <a:ea typeface="+mn-ea"/>
              <a:cs typeface="+mn-cs"/>
            </a:rPr>
            <a:t>0x41,</a:t>
          </a:r>
          <a:r>
            <a:rPr lang="en-US" altLang="zh-TW"/>
            <a:t> </a:t>
          </a:r>
          <a:r>
            <a:rPr lang="en-US" altLang="zh-TW" sz="1100" b="0" i="0" u="none" strike="noStrike">
              <a:solidFill>
                <a:schemeClr val="dk1"/>
              </a:solidFill>
              <a:effectLst/>
              <a:latin typeface="+mn-lt"/>
              <a:ea typeface="+mn-ea"/>
              <a:cs typeface="+mn-cs"/>
            </a:rPr>
            <a:t>0x42,</a:t>
          </a:r>
          <a:r>
            <a:rPr lang="en-US" altLang="zh-TW"/>
            <a:t> </a:t>
          </a:r>
          <a:r>
            <a:rPr lang="en-US" altLang="zh-TW" sz="1100" b="0" i="0" u="none" strike="noStrike">
              <a:solidFill>
                <a:schemeClr val="dk1"/>
              </a:solidFill>
              <a:effectLst/>
              <a:latin typeface="+mn-lt"/>
              <a:ea typeface="+mn-ea"/>
              <a:cs typeface="+mn-cs"/>
            </a:rPr>
            <a:t>0x43,</a:t>
          </a:r>
          <a:r>
            <a:rPr lang="en-US" altLang="zh-TW"/>
            <a:t> </a:t>
          </a:r>
          <a:r>
            <a:rPr lang="en-US" altLang="zh-TW" sz="1100" b="0" i="0" u="none" strike="noStrike">
              <a:solidFill>
                <a:schemeClr val="dk1"/>
              </a:solidFill>
              <a:effectLst/>
              <a:latin typeface="+mn-lt"/>
              <a:ea typeface="+mn-ea"/>
              <a:cs typeface="+mn-cs"/>
            </a:rPr>
            <a:t>0x44,</a:t>
          </a:r>
          <a:r>
            <a:rPr lang="en-US" altLang="zh-TW"/>
            <a:t> </a:t>
          </a:r>
          <a:r>
            <a:rPr lang="en-US" altLang="zh-TW" sz="1100" b="0" i="0" u="none" strike="noStrike">
              <a:solidFill>
                <a:schemeClr val="dk1"/>
              </a:solidFill>
              <a:effectLst/>
              <a:latin typeface="+mn-lt"/>
              <a:ea typeface="+mn-ea"/>
              <a:cs typeface="+mn-cs"/>
            </a:rPr>
            <a:t>0x45,</a:t>
          </a:r>
          <a:r>
            <a:rPr lang="en-US" altLang="zh-TW"/>
            <a:t> </a:t>
          </a:r>
          <a:r>
            <a:rPr lang="en-US" altLang="zh-TW" sz="1100" b="0" i="0" u="none" strike="noStrike">
              <a:solidFill>
                <a:schemeClr val="dk1"/>
              </a:solidFill>
              <a:effectLst/>
              <a:latin typeface="+mn-lt"/>
              <a:ea typeface="+mn-ea"/>
              <a:cs typeface="+mn-cs"/>
            </a:rPr>
            <a:t>0x46,</a:t>
          </a:r>
          <a:r>
            <a:rPr lang="en-US" altLang="zh-TW"/>
            <a:t> </a:t>
          </a:r>
          <a:r>
            <a:rPr lang="en-US" altLang="zh-TW" sz="1100" b="0" i="0" u="none" strike="noStrike">
              <a:solidFill>
                <a:schemeClr val="dk1"/>
              </a:solidFill>
              <a:effectLst/>
              <a:latin typeface="+mn-lt"/>
              <a:ea typeface="+mn-ea"/>
              <a:cs typeface="+mn-cs"/>
            </a:rPr>
            <a:t>0x47,</a:t>
          </a:r>
          <a:r>
            <a:rPr lang="en-US" altLang="zh-TW"/>
            <a:t> </a:t>
          </a:r>
          <a:r>
            <a:rPr lang="en-US" altLang="zh-TW" sz="1100" b="0" i="0" u="none" strike="noStrike">
              <a:solidFill>
                <a:schemeClr val="dk1"/>
              </a:solidFill>
              <a:effectLst/>
              <a:latin typeface="+mn-lt"/>
              <a:ea typeface="+mn-ea"/>
              <a:cs typeface="+mn-cs"/>
            </a:rPr>
            <a:t>0x48,</a:t>
          </a:r>
          <a:r>
            <a:rPr lang="en-US" altLang="zh-TW"/>
            <a:t> </a:t>
          </a:r>
          <a:r>
            <a:rPr lang="en-US" altLang="zh-TW" sz="1100" b="0" i="0" u="none" strike="noStrike">
              <a:solidFill>
                <a:schemeClr val="dk1"/>
              </a:solidFill>
              <a:effectLst/>
              <a:latin typeface="+mn-lt"/>
              <a:ea typeface="+mn-ea"/>
              <a:cs typeface="+mn-cs"/>
            </a:rPr>
            <a:t>0x49,</a:t>
          </a:r>
          <a:r>
            <a:rPr lang="en-US" altLang="zh-TW"/>
            <a:t> </a:t>
          </a:r>
          <a:r>
            <a:rPr lang="en-US" altLang="zh-TW" sz="1100" b="0" i="0" u="none" strike="noStrike">
              <a:solidFill>
                <a:schemeClr val="dk1"/>
              </a:solidFill>
              <a:effectLst/>
              <a:latin typeface="+mn-lt"/>
              <a:ea typeface="+mn-ea"/>
              <a:cs typeface="+mn-cs"/>
            </a:rPr>
            <a:t>0x4A,</a:t>
          </a:r>
          <a:r>
            <a:rPr lang="en-US" altLang="zh-TW"/>
            <a:t> </a:t>
          </a:r>
          <a:r>
            <a:rPr lang="en-US" altLang="zh-TW" sz="1100" b="0" i="0" u="none" strike="noStrike">
              <a:solidFill>
                <a:schemeClr val="dk1"/>
              </a:solidFill>
              <a:effectLst/>
              <a:latin typeface="+mn-lt"/>
              <a:ea typeface="+mn-ea"/>
              <a:cs typeface="+mn-cs"/>
            </a:rPr>
            <a:t>0x4B,</a:t>
          </a:r>
          <a:r>
            <a:rPr lang="en-US" altLang="zh-TW"/>
            <a:t> </a:t>
          </a:r>
          <a:r>
            <a:rPr lang="en-US" altLang="zh-TW" sz="1100" b="0" i="0" u="none" strike="noStrike">
              <a:solidFill>
                <a:schemeClr val="dk1"/>
              </a:solidFill>
              <a:effectLst/>
              <a:latin typeface="+mn-lt"/>
              <a:ea typeface="+mn-ea"/>
              <a:cs typeface="+mn-cs"/>
            </a:rPr>
            <a:t>0x4C,</a:t>
          </a:r>
          <a:r>
            <a:rPr lang="en-US" altLang="zh-TW"/>
            <a:t> </a:t>
          </a:r>
          <a:r>
            <a:rPr lang="en-US" altLang="zh-TW" sz="1100" b="0" i="0" u="none" strike="noStrike">
              <a:solidFill>
                <a:schemeClr val="dk1"/>
              </a:solidFill>
              <a:effectLst/>
              <a:latin typeface="+mn-lt"/>
              <a:ea typeface="+mn-ea"/>
              <a:cs typeface="+mn-cs"/>
            </a:rPr>
            <a:t>0x4D,</a:t>
          </a:r>
          <a:r>
            <a:rPr lang="en-US" altLang="zh-TW"/>
            <a:t> </a:t>
          </a:r>
          <a:r>
            <a:rPr lang="en-US" altLang="zh-TW" sz="1100" b="0" i="0" u="none" strike="noStrike">
              <a:solidFill>
                <a:schemeClr val="dk1"/>
              </a:solidFill>
              <a:effectLst/>
              <a:latin typeface="+mn-lt"/>
              <a:ea typeface="+mn-ea"/>
              <a:cs typeface="+mn-cs"/>
            </a:rPr>
            <a:t>0x4E,</a:t>
          </a:r>
          <a:r>
            <a:rPr lang="en-US" altLang="zh-TW"/>
            <a:t> </a:t>
          </a:r>
          <a:r>
            <a:rPr lang="en-US" altLang="zh-TW" sz="1100" b="0" i="0" u="none" strike="noStrike">
              <a:solidFill>
                <a:schemeClr val="dk1"/>
              </a:solidFill>
              <a:effectLst/>
              <a:latin typeface="+mn-lt"/>
              <a:ea typeface="+mn-ea"/>
              <a:cs typeface="+mn-cs"/>
            </a:rPr>
            <a:t>0x4F,</a:t>
          </a:r>
          <a:r>
            <a:rPr lang="en-US" altLang="zh-TW"/>
            <a:t> </a:t>
          </a:r>
          <a:r>
            <a:rPr lang="en-US" altLang="zh-TW" sz="1100" b="0" i="0" u="none" strike="noStrike">
              <a:solidFill>
                <a:schemeClr val="dk1"/>
              </a:solidFill>
              <a:effectLst/>
              <a:latin typeface="+mn-lt"/>
              <a:ea typeface="+mn-ea"/>
              <a:cs typeface="+mn-cs"/>
            </a:rPr>
            <a:t>0x50,</a:t>
          </a:r>
          <a:r>
            <a:rPr lang="en-US" altLang="zh-TW"/>
            <a:t> </a:t>
          </a:r>
          <a:r>
            <a:rPr lang="en-US" altLang="zh-TW" sz="1100" b="0" i="0" u="none" strike="noStrike">
              <a:solidFill>
                <a:schemeClr val="dk1"/>
              </a:solidFill>
              <a:effectLst/>
              <a:latin typeface="+mn-lt"/>
              <a:ea typeface="+mn-ea"/>
              <a:cs typeface="+mn-cs"/>
            </a:rPr>
            <a:t>0x51,</a:t>
          </a:r>
          <a:r>
            <a:rPr lang="en-US" altLang="zh-TW"/>
            <a:t> </a:t>
          </a:r>
          <a:r>
            <a:rPr lang="en-US" altLang="zh-TW" sz="1100" b="0" i="0" u="none" strike="noStrike">
              <a:solidFill>
                <a:schemeClr val="dk1"/>
              </a:solidFill>
              <a:effectLst/>
              <a:latin typeface="+mn-lt"/>
              <a:ea typeface="+mn-ea"/>
              <a:cs typeface="+mn-cs"/>
            </a:rPr>
            <a:t>0x52,</a:t>
          </a:r>
          <a:r>
            <a:rPr lang="en-US" altLang="zh-TW"/>
            <a:t> </a:t>
          </a:r>
          <a:r>
            <a:rPr lang="en-US" altLang="zh-TW" sz="1100" b="0" i="0" u="none" strike="noStrike">
              <a:solidFill>
                <a:schemeClr val="dk1"/>
              </a:solidFill>
              <a:effectLst/>
              <a:latin typeface="+mn-lt"/>
              <a:ea typeface="+mn-ea"/>
              <a:cs typeface="+mn-cs"/>
            </a:rPr>
            <a:t>0x53,</a:t>
          </a:r>
          <a:r>
            <a:rPr lang="en-US" altLang="zh-TW"/>
            <a:t> </a:t>
          </a:r>
          <a:r>
            <a:rPr lang="en-US" altLang="zh-TW" sz="1100" b="0" i="0" u="none" strike="noStrike">
              <a:solidFill>
                <a:schemeClr val="dk1"/>
              </a:solidFill>
              <a:effectLst/>
              <a:latin typeface="+mn-lt"/>
              <a:ea typeface="+mn-ea"/>
              <a:cs typeface="+mn-cs"/>
            </a:rPr>
            <a:t>0x54,</a:t>
          </a:r>
          <a:r>
            <a:rPr lang="en-US" altLang="zh-TW"/>
            <a:t> </a:t>
          </a:r>
          <a:r>
            <a:rPr lang="en-US" altLang="zh-TW" sz="1100" b="0" i="0" u="none" strike="noStrike">
              <a:solidFill>
                <a:schemeClr val="dk1"/>
              </a:solidFill>
              <a:effectLst/>
              <a:latin typeface="+mn-lt"/>
              <a:ea typeface="+mn-ea"/>
              <a:cs typeface="+mn-cs"/>
            </a:rPr>
            <a:t>0x55,</a:t>
          </a:r>
          <a:r>
            <a:rPr lang="en-US" altLang="zh-TW"/>
            <a:t> </a:t>
          </a:r>
          <a:r>
            <a:rPr lang="en-US" altLang="zh-TW" sz="1100" b="0" i="0" u="none" strike="noStrike">
              <a:solidFill>
                <a:schemeClr val="dk1"/>
              </a:solidFill>
              <a:effectLst/>
              <a:latin typeface="+mn-lt"/>
              <a:ea typeface="+mn-ea"/>
              <a:cs typeface="+mn-cs"/>
            </a:rPr>
            <a:t>0x56,</a:t>
          </a:r>
          <a:r>
            <a:rPr lang="en-US" altLang="zh-TW"/>
            <a:t> </a:t>
          </a:r>
          <a:r>
            <a:rPr lang="en-US" altLang="zh-TW" sz="1100" b="0" i="0" u="none" strike="noStrike">
              <a:solidFill>
                <a:schemeClr val="dk1"/>
              </a:solidFill>
              <a:effectLst/>
              <a:latin typeface="+mn-lt"/>
              <a:ea typeface="+mn-ea"/>
              <a:cs typeface="+mn-cs"/>
            </a:rPr>
            <a:t>0x57,</a:t>
          </a:r>
          <a:r>
            <a:rPr lang="en-US" altLang="zh-TW"/>
            <a:t> </a:t>
          </a:r>
          <a:r>
            <a:rPr lang="en-US" altLang="zh-TW" sz="1100" b="0" i="0" u="none" strike="noStrike">
              <a:solidFill>
                <a:schemeClr val="dk1"/>
              </a:solidFill>
              <a:effectLst/>
              <a:latin typeface="+mn-lt"/>
              <a:ea typeface="+mn-ea"/>
              <a:cs typeface="+mn-cs"/>
            </a:rPr>
            <a:t>0x58,</a:t>
          </a:r>
          <a:r>
            <a:rPr lang="en-US" altLang="zh-TW"/>
            <a:t> </a:t>
          </a:r>
          <a:r>
            <a:rPr lang="en-US" altLang="zh-TW" sz="1100" b="0" i="0" u="none" strike="noStrike">
              <a:solidFill>
                <a:schemeClr val="dk1"/>
              </a:solidFill>
              <a:effectLst/>
              <a:latin typeface="+mn-lt"/>
              <a:ea typeface="+mn-ea"/>
              <a:cs typeface="+mn-cs"/>
            </a:rPr>
            <a:t>0x59,</a:t>
          </a:r>
          <a:r>
            <a:rPr lang="en-US" altLang="zh-TW"/>
            <a:t> </a:t>
          </a:r>
          <a:r>
            <a:rPr lang="en-US" altLang="zh-TW" sz="1100" b="0" i="0" u="none" strike="noStrike">
              <a:solidFill>
                <a:schemeClr val="dk1"/>
              </a:solidFill>
              <a:effectLst/>
              <a:latin typeface="+mn-lt"/>
              <a:ea typeface="+mn-ea"/>
              <a:cs typeface="+mn-cs"/>
            </a:rPr>
            <a:t>0x0,</a:t>
          </a:r>
          <a:r>
            <a:rPr lang="en-US" altLang="zh-TW"/>
            <a:t> </a:t>
          </a:r>
          <a:r>
            <a:rPr lang="en-US" altLang="zh-TW" sz="1100" b="0" i="0" u="none" strike="noStrike">
              <a:solidFill>
                <a:schemeClr val="dk1"/>
              </a:solidFill>
              <a:effectLst/>
              <a:latin typeface="+mn-lt"/>
              <a:ea typeface="+mn-ea"/>
              <a:cs typeface="+mn-cs"/>
            </a:rPr>
            <a:t>0x1,</a:t>
          </a:r>
          <a:r>
            <a:rPr lang="en-US" altLang="zh-TW"/>
            <a:t> </a:t>
          </a:r>
          <a:r>
            <a:rPr lang="en-US" altLang="zh-TW" sz="1100" b="0" i="0" u="none" strike="noStrike">
              <a:solidFill>
                <a:schemeClr val="dk1"/>
              </a:solidFill>
              <a:effectLst/>
              <a:latin typeface="+mn-lt"/>
              <a:ea typeface="+mn-ea"/>
              <a:cs typeface="+mn-cs"/>
            </a:rPr>
            <a:t>0x2,</a:t>
          </a:r>
          <a:r>
            <a:rPr lang="en-US" altLang="zh-TW"/>
            <a:t> </a:t>
          </a:r>
          <a:r>
            <a:rPr lang="en-US" altLang="zh-TW" sz="1100" b="0" i="0" u="none" strike="noStrike">
              <a:solidFill>
                <a:schemeClr val="dk1"/>
              </a:solidFill>
              <a:effectLst/>
              <a:latin typeface="+mn-lt"/>
              <a:ea typeface="+mn-ea"/>
              <a:cs typeface="+mn-cs"/>
            </a:rPr>
            <a:t>0x3,</a:t>
          </a:r>
          <a:r>
            <a:rPr lang="en-US" altLang="zh-TW"/>
            <a:t> </a:t>
          </a:r>
          <a:r>
            <a:rPr lang="en-US" altLang="zh-TW" sz="1100" b="0" i="0" u="none" strike="noStrike">
              <a:solidFill>
                <a:schemeClr val="dk1"/>
              </a:solidFill>
              <a:effectLst/>
              <a:latin typeface="+mn-lt"/>
              <a:ea typeface="+mn-ea"/>
              <a:cs typeface="+mn-cs"/>
            </a:rPr>
            <a:t>0x4,</a:t>
          </a:r>
          <a:r>
            <a:rPr lang="en-US" altLang="zh-TW"/>
            <a:t> </a:t>
          </a:r>
          <a:r>
            <a:rPr lang="en-US" altLang="zh-TW" sz="1100" b="0" i="0" u="none" strike="noStrike">
              <a:solidFill>
                <a:schemeClr val="dk1"/>
              </a:solidFill>
              <a:effectLst/>
              <a:latin typeface="+mn-lt"/>
              <a:ea typeface="+mn-ea"/>
              <a:cs typeface="+mn-cs"/>
            </a:rPr>
            <a:t>0x5,</a:t>
          </a:r>
          <a:r>
            <a:rPr lang="en-US" altLang="zh-TW"/>
            <a:t> </a:t>
          </a:r>
          <a:r>
            <a:rPr lang="en-US" altLang="zh-TW" sz="1100" b="0" i="0" u="none" strike="noStrike">
              <a:solidFill>
                <a:schemeClr val="dk1"/>
              </a:solidFill>
              <a:effectLst/>
              <a:latin typeface="+mn-lt"/>
              <a:ea typeface="+mn-ea"/>
              <a:cs typeface="+mn-cs"/>
            </a:rPr>
            <a:t>0x6,</a:t>
          </a:r>
          <a:r>
            <a:rPr lang="en-US" altLang="zh-TW"/>
            <a:t> </a:t>
          </a:r>
          <a:r>
            <a:rPr lang="en-US" altLang="zh-TW" sz="1100" b="0" i="0" u="none" strike="noStrike">
              <a:solidFill>
                <a:schemeClr val="dk1"/>
              </a:solidFill>
              <a:effectLst/>
              <a:latin typeface="+mn-lt"/>
              <a:ea typeface="+mn-ea"/>
              <a:cs typeface="+mn-cs"/>
            </a:rPr>
            <a:t>0x7,</a:t>
          </a:r>
          <a:r>
            <a:rPr lang="en-US" altLang="zh-TW"/>
            <a:t> </a:t>
          </a:r>
          <a:r>
            <a:rPr lang="en-US" altLang="zh-TW" sz="1100" b="0" i="0" u="none" strike="noStrike">
              <a:solidFill>
                <a:schemeClr val="dk1"/>
              </a:solidFill>
              <a:effectLst/>
              <a:latin typeface="+mn-lt"/>
              <a:ea typeface="+mn-ea"/>
              <a:cs typeface="+mn-cs"/>
            </a:rPr>
            <a:t>0x8,</a:t>
          </a:r>
          <a:r>
            <a:rPr lang="en-US" altLang="zh-TW"/>
            <a:t> </a:t>
          </a:r>
          <a:r>
            <a:rPr lang="en-US" altLang="zh-TW" sz="1100" b="0" i="0" u="none" strike="noStrike">
              <a:solidFill>
                <a:schemeClr val="dk1"/>
              </a:solidFill>
              <a:effectLst/>
              <a:latin typeface="+mn-lt"/>
              <a:ea typeface="+mn-ea"/>
              <a:cs typeface="+mn-cs"/>
            </a:rPr>
            <a:t>0x9,</a:t>
          </a:r>
          <a:r>
            <a:rPr lang="en-US" altLang="zh-TW"/>
            <a:t> </a:t>
          </a:r>
          <a:r>
            <a:rPr lang="en-US" altLang="zh-TW" sz="1100" b="0" i="0" u="none" strike="noStrike">
              <a:solidFill>
                <a:schemeClr val="dk1"/>
              </a:solidFill>
              <a:effectLst/>
              <a:latin typeface="+mn-lt"/>
              <a:ea typeface="+mn-ea"/>
              <a:cs typeface="+mn-cs"/>
            </a:rPr>
            <a:t>0xA,</a:t>
          </a:r>
          <a:r>
            <a:rPr lang="en-US" altLang="zh-TW"/>
            <a:t> </a:t>
          </a:r>
          <a:r>
            <a:rPr lang="en-US" altLang="zh-TW" sz="1100" b="0" i="0" u="none" strike="noStrike">
              <a:solidFill>
                <a:schemeClr val="dk1"/>
              </a:solidFill>
              <a:effectLst/>
              <a:latin typeface="+mn-lt"/>
              <a:ea typeface="+mn-ea"/>
              <a:cs typeface="+mn-cs"/>
            </a:rPr>
            <a:t>0xB,</a:t>
          </a:r>
          <a:r>
            <a:rPr lang="en-US" altLang="zh-TW"/>
            <a:t> </a:t>
          </a:r>
          <a:r>
            <a:rPr lang="en-US" altLang="zh-TW" sz="1100" b="0" i="0" u="none" strike="noStrike">
              <a:solidFill>
                <a:schemeClr val="dk1"/>
              </a:solidFill>
              <a:effectLst/>
              <a:latin typeface="+mn-lt"/>
              <a:ea typeface="+mn-ea"/>
              <a:cs typeface="+mn-cs"/>
            </a:rPr>
            <a:t>0xC,</a:t>
          </a:r>
          <a:r>
            <a:rPr lang="en-US" altLang="zh-TW"/>
            <a:t> </a:t>
          </a:r>
          <a:r>
            <a:rPr lang="en-US" altLang="zh-TW" sz="1100" b="0" i="0" u="none" strike="noStrike">
              <a:solidFill>
                <a:schemeClr val="dk1"/>
              </a:solidFill>
              <a:effectLst/>
              <a:latin typeface="+mn-lt"/>
              <a:ea typeface="+mn-ea"/>
              <a:cs typeface="+mn-cs"/>
            </a:rPr>
            <a:t>0xD,</a:t>
          </a:r>
          <a:r>
            <a:rPr lang="en-US" altLang="zh-TW"/>
            <a:t> </a:t>
          </a:r>
          <a:r>
            <a:rPr lang="en-US" altLang="zh-TW" sz="1100" b="0" i="0" u="none" strike="noStrike">
              <a:solidFill>
                <a:schemeClr val="dk1"/>
              </a:solidFill>
              <a:effectLst/>
              <a:latin typeface="+mn-lt"/>
              <a:ea typeface="+mn-ea"/>
              <a:cs typeface="+mn-cs"/>
            </a:rPr>
            <a:t>0xE,</a:t>
          </a:r>
          <a:r>
            <a:rPr lang="en-US" altLang="zh-TW"/>
            <a:t> </a:t>
          </a:r>
          <a:r>
            <a:rPr lang="en-US" altLang="zh-TW" sz="1100" b="0" i="0" u="none" strike="noStrike">
              <a:solidFill>
                <a:schemeClr val="dk1"/>
              </a:solidFill>
              <a:effectLst/>
              <a:latin typeface="+mn-lt"/>
              <a:ea typeface="+mn-ea"/>
              <a:cs typeface="+mn-cs"/>
            </a:rPr>
            <a:t>0xF,</a:t>
          </a:r>
          <a:r>
            <a:rPr lang="en-US" altLang="zh-TW"/>
            <a:t> </a:t>
          </a:r>
          <a:r>
            <a:rPr lang="en-US" altLang="zh-TW" sz="1100" b="0" i="0" u="none" strike="noStrike">
              <a:solidFill>
                <a:schemeClr val="dk1"/>
              </a:solidFill>
              <a:effectLst/>
              <a:latin typeface="+mn-lt"/>
              <a:ea typeface="+mn-ea"/>
              <a:cs typeface="+mn-cs"/>
            </a:rPr>
            <a:t>0x10,</a:t>
          </a:r>
          <a:r>
            <a:rPr lang="en-US" altLang="zh-TW"/>
            <a:t> </a:t>
          </a:r>
          <a:r>
            <a:rPr lang="en-US" altLang="zh-TW" sz="1100" b="0" i="0" u="none" strike="noStrike">
              <a:solidFill>
                <a:schemeClr val="dk1"/>
              </a:solidFill>
              <a:effectLst/>
              <a:latin typeface="+mn-lt"/>
              <a:ea typeface="+mn-ea"/>
              <a:cs typeface="+mn-cs"/>
            </a:rPr>
            <a:t>0x11,</a:t>
          </a:r>
          <a:r>
            <a:rPr lang="en-US" altLang="zh-TW"/>
            <a:t> </a:t>
          </a:r>
          <a:r>
            <a:rPr lang="en-US" altLang="zh-TW" sz="1100" b="0" i="0" u="none" strike="noStrike">
              <a:solidFill>
                <a:schemeClr val="dk1"/>
              </a:solidFill>
              <a:effectLst/>
              <a:latin typeface="+mn-lt"/>
              <a:ea typeface="+mn-ea"/>
              <a:cs typeface="+mn-cs"/>
            </a:rPr>
            <a:t>0x12,</a:t>
          </a:r>
          <a:r>
            <a:rPr lang="en-US" altLang="zh-TW"/>
            <a:t> </a:t>
          </a:r>
          <a:r>
            <a:rPr lang="en-US" altLang="zh-TW" sz="1100" b="0" i="0" u="none" strike="noStrike">
              <a:solidFill>
                <a:schemeClr val="dk1"/>
              </a:solidFill>
              <a:effectLst/>
              <a:latin typeface="+mn-lt"/>
              <a:ea typeface="+mn-ea"/>
              <a:cs typeface="+mn-cs"/>
            </a:rPr>
            <a:t>0x13,</a:t>
          </a:r>
          <a:r>
            <a:rPr lang="en-US" altLang="zh-TW"/>
            <a:t> </a:t>
          </a:r>
          <a:r>
            <a:rPr lang="en-US" altLang="zh-TW" sz="1100" b="0" i="0" u="none" strike="noStrike">
              <a:solidFill>
                <a:schemeClr val="dk1"/>
              </a:solidFill>
              <a:effectLst/>
              <a:latin typeface="+mn-lt"/>
              <a:ea typeface="+mn-ea"/>
              <a:cs typeface="+mn-cs"/>
            </a:rPr>
            <a:t>0x14,</a:t>
          </a:r>
          <a:r>
            <a:rPr lang="en-US" altLang="zh-TW"/>
            <a:t> </a:t>
          </a:r>
          <a:r>
            <a:rPr lang="en-US" altLang="zh-TW" sz="1100" b="0" i="0" u="none" strike="noStrike">
              <a:solidFill>
                <a:schemeClr val="dk1"/>
              </a:solidFill>
              <a:effectLst/>
              <a:latin typeface="+mn-lt"/>
              <a:ea typeface="+mn-ea"/>
              <a:cs typeface="+mn-cs"/>
            </a:rPr>
            <a:t>0x15,</a:t>
          </a:r>
          <a:r>
            <a:rPr lang="en-US" altLang="zh-TW"/>
            <a:t> </a:t>
          </a:r>
          <a:r>
            <a:rPr lang="en-US" altLang="zh-TW" sz="1100" b="0" i="0" u="none" strike="noStrike">
              <a:solidFill>
                <a:schemeClr val="dk1"/>
              </a:solidFill>
              <a:effectLst/>
              <a:latin typeface="+mn-lt"/>
              <a:ea typeface="+mn-ea"/>
              <a:cs typeface="+mn-cs"/>
            </a:rPr>
            <a:t>0x16,</a:t>
          </a:r>
          <a:r>
            <a:rPr lang="en-US" altLang="zh-TW"/>
            <a:t> </a:t>
          </a:r>
          <a:r>
            <a:rPr lang="en-US" altLang="zh-TW" sz="1100" b="0" i="0" u="none" strike="noStrike">
              <a:solidFill>
                <a:schemeClr val="dk1"/>
              </a:solidFill>
              <a:effectLst/>
              <a:latin typeface="+mn-lt"/>
              <a:ea typeface="+mn-ea"/>
              <a:cs typeface="+mn-cs"/>
            </a:rPr>
            <a:t>0x17,</a:t>
          </a:r>
          <a:r>
            <a:rPr lang="en-US" altLang="zh-TW"/>
            <a:t> </a:t>
          </a:r>
          <a:r>
            <a:rPr lang="en-US" altLang="zh-TW" sz="1100" b="0" i="0" u="none" strike="noStrike">
              <a:solidFill>
                <a:schemeClr val="dk1"/>
              </a:solidFill>
              <a:effectLst/>
              <a:latin typeface="+mn-lt"/>
              <a:ea typeface="+mn-ea"/>
              <a:cs typeface="+mn-cs"/>
            </a:rPr>
            <a:t>0x18,</a:t>
          </a:r>
          <a:r>
            <a:rPr lang="en-US" altLang="zh-TW"/>
            <a:t> </a:t>
          </a:r>
          <a:r>
            <a:rPr lang="en-US" altLang="zh-TW" sz="1100" b="0" i="0" u="none" strike="noStrike">
              <a:solidFill>
                <a:schemeClr val="dk1"/>
              </a:solidFill>
              <a:effectLst/>
              <a:latin typeface="+mn-lt"/>
              <a:ea typeface="+mn-ea"/>
              <a:cs typeface="+mn-cs"/>
            </a:rPr>
            <a:t>0x19,</a:t>
          </a:r>
          <a:r>
            <a:rPr lang="en-US" altLang="zh-TW"/>
            <a:t> </a:t>
          </a:r>
          <a:r>
            <a:rPr lang="en-US" altLang="zh-TW" sz="1100" b="0" i="0" u="none" strike="noStrike">
              <a:solidFill>
                <a:schemeClr val="dk1"/>
              </a:solidFill>
              <a:effectLst/>
              <a:latin typeface="+mn-lt"/>
              <a:ea typeface="+mn-ea"/>
              <a:cs typeface="+mn-cs"/>
            </a:rPr>
            <a:t>0x1A,</a:t>
          </a:r>
          <a:r>
            <a:rPr lang="en-US" altLang="zh-TW"/>
            <a:t> </a:t>
          </a:r>
          <a:r>
            <a:rPr lang="en-US" altLang="zh-TW" sz="1100" b="0" i="0" u="none" strike="noStrike">
              <a:solidFill>
                <a:schemeClr val="dk1"/>
              </a:solidFill>
              <a:effectLst/>
              <a:latin typeface="+mn-lt"/>
              <a:ea typeface="+mn-ea"/>
              <a:cs typeface="+mn-cs"/>
            </a:rPr>
            <a:t>0x1B,</a:t>
          </a:r>
          <a:r>
            <a:rPr lang="en-US" altLang="zh-TW"/>
            <a:t> </a:t>
          </a:r>
          <a:r>
            <a:rPr lang="en-US" altLang="zh-TW" sz="1100" b="0" i="0" u="none" strike="noStrike">
              <a:solidFill>
                <a:schemeClr val="dk1"/>
              </a:solidFill>
              <a:effectLst/>
              <a:latin typeface="+mn-lt"/>
              <a:ea typeface="+mn-ea"/>
              <a:cs typeface="+mn-cs"/>
            </a:rPr>
            <a:t>0x1C,</a:t>
          </a:r>
          <a:r>
            <a:rPr lang="en-US" altLang="zh-TW"/>
            <a:t> </a:t>
          </a:r>
          <a:r>
            <a:rPr lang="en-US" altLang="zh-TW" sz="1100" b="0" i="0" u="none" strike="noStrike">
              <a:solidFill>
                <a:schemeClr val="dk1"/>
              </a:solidFill>
              <a:effectLst/>
              <a:latin typeface="+mn-lt"/>
              <a:ea typeface="+mn-ea"/>
              <a:cs typeface="+mn-cs"/>
            </a:rPr>
            <a:t>0x1D,</a:t>
          </a:r>
          <a:r>
            <a:rPr lang="en-US" altLang="zh-TW"/>
            <a:t> </a:t>
          </a:r>
          <a:r>
            <a:rPr lang="en-US" altLang="zh-TW" sz="1100" b="0" i="0" u="none" strike="noStrike">
              <a:solidFill>
                <a:schemeClr val="dk1"/>
              </a:solidFill>
              <a:effectLst/>
              <a:latin typeface="+mn-lt"/>
              <a:ea typeface="+mn-ea"/>
              <a:cs typeface="+mn-cs"/>
            </a:rPr>
            <a:t>0x1E,</a:t>
          </a:r>
          <a:r>
            <a:rPr lang="en-US" altLang="zh-TW"/>
            <a:t> </a:t>
          </a:r>
          <a:r>
            <a:rPr lang="en-US" altLang="zh-TW" sz="1100" b="0" i="0" u="none" strike="noStrike">
              <a:solidFill>
                <a:schemeClr val="dk1"/>
              </a:solidFill>
              <a:effectLst/>
              <a:latin typeface="+mn-lt"/>
              <a:ea typeface="+mn-ea"/>
              <a:cs typeface="+mn-cs"/>
            </a:rPr>
            <a:t>0x1F,</a:t>
          </a:r>
          <a:r>
            <a:rPr lang="en-US" altLang="zh-TW"/>
            <a:t> </a:t>
          </a:r>
          <a:r>
            <a:rPr lang="en-US" altLang="zh-TW" sz="1100" b="0" i="0" u="none" strike="noStrike">
              <a:solidFill>
                <a:schemeClr val="dk1"/>
              </a:solidFill>
              <a:effectLst/>
              <a:latin typeface="+mn-lt"/>
              <a:ea typeface="+mn-ea"/>
              <a:cs typeface="+mn-cs"/>
            </a:rPr>
            <a:t>0x20,</a:t>
          </a:r>
          <a:r>
            <a:rPr lang="en-US" altLang="zh-TW"/>
            <a:t> </a:t>
          </a:r>
          <a:r>
            <a:rPr lang="en-US" altLang="zh-TW" sz="1100" b="0" i="0" u="none" strike="noStrike">
              <a:solidFill>
                <a:schemeClr val="dk1"/>
              </a:solidFill>
              <a:effectLst/>
              <a:latin typeface="+mn-lt"/>
              <a:ea typeface="+mn-ea"/>
              <a:cs typeface="+mn-cs"/>
            </a:rPr>
            <a:t>0x21,</a:t>
          </a:r>
          <a:r>
            <a:rPr lang="en-US" altLang="zh-TW"/>
            <a:t> </a:t>
          </a:r>
          <a:r>
            <a:rPr lang="en-US" altLang="zh-TW" sz="1100" b="0" i="0" u="none" strike="noStrike">
              <a:solidFill>
                <a:schemeClr val="dk1"/>
              </a:solidFill>
              <a:effectLst/>
              <a:latin typeface="+mn-lt"/>
              <a:ea typeface="+mn-ea"/>
              <a:cs typeface="+mn-cs"/>
            </a:rPr>
            <a:t>0x22,</a:t>
          </a:r>
          <a:r>
            <a:rPr lang="en-US" altLang="zh-TW"/>
            <a:t> </a:t>
          </a:r>
          <a:r>
            <a:rPr lang="en-US" altLang="zh-TW" sz="1100" b="0" i="0" u="none" strike="noStrike">
              <a:solidFill>
                <a:schemeClr val="dk1"/>
              </a:solidFill>
              <a:effectLst/>
              <a:latin typeface="+mn-lt"/>
              <a:ea typeface="+mn-ea"/>
              <a:cs typeface="+mn-cs"/>
            </a:rPr>
            <a:t>0x23,</a:t>
          </a:r>
          <a:r>
            <a:rPr lang="en-US" altLang="zh-TW"/>
            <a:t> </a:t>
          </a:r>
          <a:r>
            <a:rPr lang="en-US" altLang="zh-TW" sz="1100" b="0" i="0" u="none" strike="noStrike">
              <a:solidFill>
                <a:schemeClr val="dk1"/>
              </a:solidFill>
              <a:effectLst/>
              <a:latin typeface="+mn-lt"/>
              <a:ea typeface="+mn-ea"/>
              <a:cs typeface="+mn-cs"/>
            </a:rPr>
            <a:t>0x24,</a:t>
          </a:r>
          <a:r>
            <a:rPr lang="en-US" altLang="zh-TW"/>
            <a:t> </a:t>
          </a:r>
          <a:r>
            <a:rPr lang="en-US" altLang="zh-TW" sz="1100" b="0" i="0" u="none" strike="noStrike">
              <a:solidFill>
                <a:schemeClr val="dk1"/>
              </a:solidFill>
              <a:effectLst/>
              <a:latin typeface="+mn-lt"/>
              <a:ea typeface="+mn-ea"/>
              <a:cs typeface="+mn-cs"/>
            </a:rPr>
            <a:t>0x25,</a:t>
          </a:r>
          <a:r>
            <a:rPr lang="en-US" altLang="zh-TW"/>
            <a:t> </a:t>
          </a:r>
          <a:r>
            <a:rPr lang="en-US" altLang="zh-TW" sz="1100" b="0" i="0" u="none" strike="noStrike">
              <a:solidFill>
                <a:schemeClr val="dk1"/>
              </a:solidFill>
              <a:effectLst/>
              <a:latin typeface="+mn-lt"/>
              <a:ea typeface="+mn-ea"/>
              <a:cs typeface="+mn-cs"/>
            </a:rPr>
            <a:t>0x26,</a:t>
          </a:r>
          <a:r>
            <a:rPr lang="en-US" altLang="zh-TW"/>
            <a:t> </a:t>
          </a:r>
          <a:r>
            <a:rPr lang="en-US" altLang="zh-TW" sz="1100" b="0" i="0" u="none" strike="noStrike">
              <a:solidFill>
                <a:schemeClr val="dk1"/>
              </a:solidFill>
              <a:effectLst/>
              <a:latin typeface="+mn-lt"/>
              <a:ea typeface="+mn-ea"/>
              <a:cs typeface="+mn-cs"/>
            </a:rPr>
            <a:t>0x27,</a:t>
          </a:r>
          <a:r>
            <a:rPr lang="en-US" altLang="zh-TW"/>
            <a:t> </a:t>
          </a:r>
          <a:r>
            <a:rPr lang="en-US" altLang="zh-TW" sz="1100" b="0" i="0" u="none" strike="noStrike">
              <a:solidFill>
                <a:schemeClr val="dk1"/>
              </a:solidFill>
              <a:effectLst/>
              <a:latin typeface="+mn-lt"/>
              <a:ea typeface="+mn-ea"/>
              <a:cs typeface="+mn-cs"/>
            </a:rPr>
            <a:t>0x28,</a:t>
          </a:r>
          <a:r>
            <a:rPr lang="en-US" altLang="zh-TW"/>
            <a:t> </a:t>
          </a:r>
          <a:r>
            <a:rPr lang="en-US" altLang="zh-TW" sz="1100" b="0" i="0" u="none" strike="noStrike">
              <a:solidFill>
                <a:schemeClr val="dk1"/>
              </a:solidFill>
              <a:effectLst/>
              <a:latin typeface="+mn-lt"/>
              <a:ea typeface="+mn-ea"/>
              <a:cs typeface="+mn-cs"/>
            </a:rPr>
            <a:t>0x29,</a:t>
          </a:r>
          <a:r>
            <a:rPr lang="en-US" altLang="zh-TW"/>
            <a:t> </a:t>
          </a:r>
          <a:r>
            <a:rPr lang="en-US" altLang="zh-TW" sz="1100" b="0" i="0" u="none" strike="noStrike">
              <a:solidFill>
                <a:schemeClr val="dk1"/>
              </a:solidFill>
              <a:effectLst/>
              <a:latin typeface="+mn-lt"/>
              <a:ea typeface="+mn-ea"/>
              <a:cs typeface="+mn-cs"/>
            </a:rPr>
            <a:t>0x2A,</a:t>
          </a:r>
          <a:r>
            <a:rPr lang="en-US" altLang="zh-TW"/>
            <a:t> </a:t>
          </a:r>
          <a:r>
            <a:rPr lang="en-US" altLang="zh-TW" sz="1100" b="0" i="0" u="none" strike="noStrike">
              <a:solidFill>
                <a:schemeClr val="dk1"/>
              </a:solidFill>
              <a:effectLst/>
              <a:latin typeface="+mn-lt"/>
              <a:ea typeface="+mn-ea"/>
              <a:cs typeface="+mn-cs"/>
            </a:rPr>
            <a:t>0x2B,</a:t>
          </a:r>
          <a:r>
            <a:rPr lang="en-US" altLang="zh-TW"/>
            <a:t> </a:t>
          </a:r>
          <a:r>
            <a:rPr lang="en-US" altLang="zh-TW" sz="1100" b="0" i="0" u="none" strike="noStrike">
              <a:solidFill>
                <a:schemeClr val="dk1"/>
              </a:solidFill>
              <a:effectLst/>
              <a:latin typeface="+mn-lt"/>
              <a:ea typeface="+mn-ea"/>
              <a:cs typeface="+mn-cs"/>
            </a:rPr>
            <a:t>0x2C,</a:t>
          </a:r>
          <a:r>
            <a:rPr lang="en-US" altLang="zh-TW"/>
            <a:t> </a:t>
          </a:r>
          <a:r>
            <a:rPr lang="en-US" altLang="zh-TW" sz="1100" b="0" i="0" u="none" strike="noStrike">
              <a:solidFill>
                <a:schemeClr val="dk1"/>
              </a:solidFill>
              <a:effectLst/>
              <a:latin typeface="+mn-lt"/>
              <a:ea typeface="+mn-ea"/>
              <a:cs typeface="+mn-cs"/>
            </a:rPr>
            <a:t>0x2D,</a:t>
          </a:r>
          <a:r>
            <a:rPr lang="en-US" altLang="zh-TW"/>
            <a:t> </a:t>
          </a:r>
          <a:r>
            <a:rPr lang="en-US" altLang="zh-TW" sz="1100" b="0" i="0" u="none" strike="noStrike">
              <a:solidFill>
                <a:schemeClr val="dk1"/>
              </a:solidFill>
              <a:effectLst/>
              <a:latin typeface="+mn-lt"/>
              <a:ea typeface="+mn-ea"/>
              <a:cs typeface="+mn-cs"/>
            </a:rPr>
            <a:t>0x2E,</a:t>
          </a:r>
          <a:r>
            <a:rPr lang="en-US" altLang="zh-TW"/>
            <a:t> </a:t>
          </a:r>
          <a:r>
            <a:rPr lang="en-US" altLang="zh-TW" sz="1100" b="0" i="0" u="none" strike="noStrike">
              <a:solidFill>
                <a:schemeClr val="dk1"/>
              </a:solidFill>
              <a:effectLst/>
              <a:latin typeface="+mn-lt"/>
              <a:ea typeface="+mn-ea"/>
              <a:cs typeface="+mn-cs"/>
            </a:rPr>
            <a:t>0x2F,</a:t>
          </a:r>
          <a:r>
            <a:rPr lang="en-US" altLang="zh-TW"/>
            <a:t> </a:t>
          </a:r>
          <a:r>
            <a:rPr lang="en-US" altLang="zh-TW" sz="1100" b="0" i="0" u="none" strike="noStrike">
              <a:solidFill>
                <a:schemeClr val="dk1"/>
              </a:solidFill>
              <a:effectLst/>
              <a:latin typeface="+mn-lt"/>
              <a:ea typeface="+mn-ea"/>
              <a:cs typeface="+mn-cs"/>
            </a:rPr>
            <a:t>0x30,</a:t>
          </a:r>
          <a:r>
            <a:rPr lang="en-US" altLang="zh-TW"/>
            <a:t> </a:t>
          </a:r>
          <a:r>
            <a:rPr lang="en-US" altLang="zh-TW" sz="1100" b="0" i="0" u="none" strike="noStrike">
              <a:solidFill>
                <a:schemeClr val="dk1"/>
              </a:solidFill>
              <a:effectLst/>
              <a:latin typeface="+mn-lt"/>
              <a:ea typeface="+mn-ea"/>
              <a:cs typeface="+mn-cs"/>
            </a:rPr>
            <a:t>0x31,</a:t>
          </a:r>
          <a:r>
            <a:rPr lang="en-US" altLang="zh-TW"/>
            <a:t> </a:t>
          </a:r>
          <a:r>
            <a:rPr lang="en-US" altLang="zh-TW" sz="1100" b="0" i="0" u="none" strike="noStrike">
              <a:solidFill>
                <a:schemeClr val="dk1"/>
              </a:solidFill>
              <a:effectLst/>
              <a:latin typeface="+mn-lt"/>
              <a:ea typeface="+mn-ea"/>
              <a:cs typeface="+mn-cs"/>
            </a:rPr>
            <a:t>0x32,</a:t>
          </a:r>
          <a:r>
            <a:rPr lang="en-US" altLang="zh-TW"/>
            <a:t> </a:t>
          </a:r>
          <a:r>
            <a:rPr lang="en-US" altLang="zh-TW" sz="1100" b="0" i="0" u="none" strike="noStrike">
              <a:solidFill>
                <a:schemeClr val="dk1"/>
              </a:solidFill>
              <a:effectLst/>
              <a:latin typeface="+mn-lt"/>
              <a:ea typeface="+mn-ea"/>
              <a:cs typeface="+mn-cs"/>
            </a:rPr>
            <a:t>0x33,</a:t>
          </a:r>
          <a:r>
            <a:rPr lang="en-US" altLang="zh-TW"/>
            <a:t> </a:t>
          </a:r>
          <a:r>
            <a:rPr lang="en-US" altLang="zh-TW" sz="1100" b="0" i="0" u="none" strike="noStrike">
              <a:solidFill>
                <a:schemeClr val="dk1"/>
              </a:solidFill>
              <a:effectLst/>
              <a:latin typeface="+mn-lt"/>
              <a:ea typeface="+mn-ea"/>
              <a:cs typeface="+mn-cs"/>
            </a:rPr>
            <a:t>0x34,</a:t>
          </a:r>
          <a:r>
            <a:rPr lang="en-US" altLang="zh-TW"/>
            <a:t> </a:t>
          </a:r>
          <a:r>
            <a:rPr lang="en-US" altLang="zh-TW" sz="1100" b="0" i="0" u="none" strike="noStrike">
              <a:solidFill>
                <a:schemeClr val="dk1"/>
              </a:solidFill>
              <a:effectLst/>
              <a:latin typeface="+mn-lt"/>
              <a:ea typeface="+mn-ea"/>
              <a:cs typeface="+mn-cs"/>
            </a:rPr>
            <a:t>0x35,</a:t>
          </a:r>
          <a:r>
            <a:rPr lang="en-US" altLang="zh-TW"/>
            <a:t> </a:t>
          </a:r>
          <a:r>
            <a:rPr lang="en-US" altLang="zh-TW" sz="1100" b="0" i="0" u="none" strike="noStrike">
              <a:solidFill>
                <a:schemeClr val="dk1"/>
              </a:solidFill>
              <a:effectLst/>
              <a:latin typeface="+mn-lt"/>
              <a:ea typeface="+mn-ea"/>
              <a:cs typeface="+mn-cs"/>
            </a:rPr>
            <a:t>0x36,</a:t>
          </a:r>
          <a:r>
            <a:rPr lang="en-US" altLang="zh-TW"/>
            <a:t> </a:t>
          </a:r>
          <a:r>
            <a:rPr lang="en-US" altLang="zh-TW" sz="1100" b="0" i="0" u="none" strike="noStrike">
              <a:solidFill>
                <a:schemeClr val="dk1"/>
              </a:solidFill>
              <a:effectLst/>
              <a:latin typeface="+mn-lt"/>
              <a:ea typeface="+mn-ea"/>
              <a:cs typeface="+mn-cs"/>
            </a:rPr>
            <a:t>0x37,</a:t>
          </a:r>
          <a:r>
            <a:rPr lang="en-US" altLang="zh-TW"/>
            <a:t> </a:t>
          </a:r>
          <a:r>
            <a:rPr lang="en-US" altLang="zh-TW" sz="1100" b="0" i="0" u="none" strike="noStrike">
              <a:solidFill>
                <a:schemeClr val="dk1"/>
              </a:solidFill>
              <a:effectLst/>
              <a:latin typeface="+mn-lt"/>
              <a:ea typeface="+mn-ea"/>
              <a:cs typeface="+mn-cs"/>
            </a:rPr>
            <a:t>0x38,</a:t>
          </a:r>
          <a:r>
            <a:rPr lang="en-US" altLang="zh-TW"/>
            <a:t> </a:t>
          </a:r>
          <a:r>
            <a:rPr lang="en-US" altLang="zh-TW" sz="1100" b="0" i="0" u="none" strike="noStrike">
              <a:solidFill>
                <a:schemeClr val="dk1"/>
              </a:solidFill>
              <a:effectLst/>
              <a:latin typeface="+mn-lt"/>
              <a:ea typeface="+mn-ea"/>
              <a:cs typeface="+mn-cs"/>
            </a:rPr>
            <a:t>0x39,</a:t>
          </a:r>
          <a:r>
            <a:rPr lang="en-US" altLang="zh-TW"/>
            <a:t> </a:t>
          </a:r>
          <a:r>
            <a:rPr lang="en-US" altLang="zh-TW" sz="1100" b="0" i="0" u="none" strike="noStrike">
              <a:solidFill>
                <a:schemeClr val="dk1"/>
              </a:solidFill>
              <a:effectLst/>
              <a:latin typeface="+mn-lt"/>
              <a:ea typeface="+mn-ea"/>
              <a:cs typeface="+mn-cs"/>
            </a:rPr>
            <a:t>0x3A,</a:t>
          </a:r>
          <a:r>
            <a:rPr lang="en-US" altLang="zh-TW"/>
            <a:t> </a:t>
          </a:r>
          <a:r>
            <a:rPr lang="en-US" altLang="zh-TW" sz="1100" b="0" i="0" u="none" strike="noStrike">
              <a:solidFill>
                <a:schemeClr val="dk1"/>
              </a:solidFill>
              <a:effectLst/>
              <a:latin typeface="+mn-lt"/>
              <a:ea typeface="+mn-ea"/>
              <a:cs typeface="+mn-cs"/>
            </a:rPr>
            <a:t>0x3B,</a:t>
          </a:r>
          <a:r>
            <a:rPr lang="en-US" altLang="zh-TW"/>
            <a:t> </a:t>
          </a:r>
          <a:r>
            <a:rPr lang="en-US" altLang="zh-TW" sz="1100" b="0" i="0" u="none" strike="noStrike">
              <a:solidFill>
                <a:schemeClr val="dk1"/>
              </a:solidFill>
              <a:effectLst/>
              <a:latin typeface="+mn-lt"/>
              <a:ea typeface="+mn-ea"/>
              <a:cs typeface="+mn-cs"/>
            </a:rPr>
            <a:t>0x3C,</a:t>
          </a:r>
          <a:r>
            <a:rPr lang="en-US" altLang="zh-TW"/>
            <a:t> </a:t>
          </a:r>
          <a:r>
            <a:rPr lang="en-US" altLang="zh-TW" sz="1100" b="0" i="0" u="none" strike="noStrike">
              <a:solidFill>
                <a:schemeClr val="dk1"/>
              </a:solidFill>
              <a:effectLst/>
              <a:latin typeface="+mn-lt"/>
              <a:ea typeface="+mn-ea"/>
              <a:cs typeface="+mn-cs"/>
            </a:rPr>
            <a:t>0x3D,</a:t>
          </a:r>
          <a:r>
            <a:rPr lang="en-US" altLang="zh-TW"/>
            <a:t> </a:t>
          </a:r>
          <a:r>
            <a:rPr lang="en-US" altLang="zh-TW" sz="1100" b="0" i="0" u="none" strike="noStrike">
              <a:solidFill>
                <a:schemeClr val="dk1"/>
              </a:solidFill>
              <a:effectLst/>
              <a:latin typeface="+mn-lt"/>
              <a:ea typeface="+mn-ea"/>
              <a:cs typeface="+mn-cs"/>
            </a:rPr>
            <a:t>0x3E,</a:t>
          </a:r>
          <a:r>
            <a:rPr lang="en-US" altLang="zh-TW"/>
            <a:t> </a:t>
          </a:r>
          <a:r>
            <a:rPr lang="en-US" altLang="zh-TW" sz="1100" b="0" i="0" u="none" strike="noStrike">
              <a:solidFill>
                <a:schemeClr val="dk1"/>
              </a:solidFill>
              <a:effectLst/>
              <a:latin typeface="+mn-lt"/>
              <a:ea typeface="+mn-ea"/>
              <a:cs typeface="+mn-cs"/>
            </a:rPr>
            <a:t>0x3F,</a:t>
          </a:r>
          <a:r>
            <a:rPr lang="en-US" altLang="zh-TW"/>
            <a:t> </a:t>
          </a:r>
          <a:r>
            <a:rPr lang="en-US" altLang="zh-TW" sz="1100" b="0" i="0" u="none" strike="noStrike">
              <a:solidFill>
                <a:schemeClr val="dk1"/>
              </a:solidFill>
              <a:effectLst/>
              <a:latin typeface="+mn-lt"/>
              <a:ea typeface="+mn-ea"/>
              <a:cs typeface="+mn-cs"/>
            </a:rPr>
            <a:t>0x40,</a:t>
          </a:r>
          <a:r>
            <a:rPr lang="en-US" altLang="zh-TW"/>
            <a:t> </a:t>
          </a:r>
          <a:r>
            <a:rPr lang="en-US" altLang="zh-TW" sz="1100" b="0" i="0" u="none" strike="noStrike">
              <a:solidFill>
                <a:schemeClr val="dk1"/>
              </a:solidFill>
              <a:effectLst/>
              <a:latin typeface="+mn-lt"/>
              <a:ea typeface="+mn-ea"/>
              <a:cs typeface="+mn-cs"/>
            </a:rPr>
            <a:t>0x41,</a:t>
          </a:r>
          <a:r>
            <a:rPr lang="en-US" altLang="zh-TW"/>
            <a:t> </a:t>
          </a:r>
          <a:r>
            <a:rPr lang="en-US" altLang="zh-TW" sz="1100" b="0" i="0" u="none" strike="noStrike">
              <a:solidFill>
                <a:schemeClr val="dk1"/>
              </a:solidFill>
              <a:effectLst/>
              <a:latin typeface="+mn-lt"/>
              <a:ea typeface="+mn-ea"/>
              <a:cs typeface="+mn-cs"/>
            </a:rPr>
            <a:t>0x42,</a:t>
          </a:r>
          <a:r>
            <a:rPr lang="en-US" altLang="zh-TW"/>
            <a:t> </a:t>
          </a:r>
          <a:r>
            <a:rPr lang="en-US" altLang="zh-TW" sz="1100" b="0" i="0" u="none" strike="noStrike">
              <a:solidFill>
                <a:schemeClr val="dk1"/>
              </a:solidFill>
              <a:effectLst/>
              <a:latin typeface="+mn-lt"/>
              <a:ea typeface="+mn-ea"/>
              <a:cs typeface="+mn-cs"/>
            </a:rPr>
            <a:t>0x43,</a:t>
          </a:r>
          <a:r>
            <a:rPr lang="en-US" altLang="zh-TW"/>
            <a:t> </a:t>
          </a:r>
          <a:r>
            <a:rPr lang="en-US" altLang="zh-TW" sz="1100" b="0" i="0" u="none" strike="noStrike">
              <a:solidFill>
                <a:schemeClr val="dk1"/>
              </a:solidFill>
              <a:effectLst/>
              <a:latin typeface="+mn-lt"/>
              <a:ea typeface="+mn-ea"/>
              <a:cs typeface="+mn-cs"/>
            </a:rPr>
            <a:t>0x44,</a:t>
          </a:r>
          <a:r>
            <a:rPr lang="en-US" altLang="zh-TW"/>
            <a:t> </a:t>
          </a:r>
          <a:r>
            <a:rPr lang="en-US" altLang="zh-TW" sz="1100" b="0" i="0" u="none" strike="noStrike">
              <a:solidFill>
                <a:schemeClr val="dk1"/>
              </a:solidFill>
              <a:effectLst/>
              <a:latin typeface="+mn-lt"/>
              <a:ea typeface="+mn-ea"/>
              <a:cs typeface="+mn-cs"/>
            </a:rPr>
            <a:t>0x45,</a:t>
          </a:r>
          <a:r>
            <a:rPr lang="en-US" altLang="zh-TW"/>
            <a:t> </a:t>
          </a:r>
          <a:r>
            <a:rPr lang="en-US" altLang="zh-TW" sz="1100" b="0" i="0" u="none" strike="noStrike">
              <a:solidFill>
                <a:schemeClr val="dk1"/>
              </a:solidFill>
              <a:effectLst/>
              <a:latin typeface="+mn-lt"/>
              <a:ea typeface="+mn-ea"/>
              <a:cs typeface="+mn-cs"/>
            </a:rPr>
            <a:t>0x46,</a:t>
          </a:r>
          <a:r>
            <a:rPr lang="en-US" altLang="zh-TW"/>
            <a:t> </a:t>
          </a:r>
          <a:r>
            <a:rPr lang="en-US" altLang="zh-TW" sz="1100" b="0" i="0" u="none" strike="noStrike">
              <a:solidFill>
                <a:schemeClr val="dk1"/>
              </a:solidFill>
              <a:effectLst/>
              <a:latin typeface="+mn-lt"/>
              <a:ea typeface="+mn-ea"/>
              <a:cs typeface="+mn-cs"/>
            </a:rPr>
            <a:t>0x47,</a:t>
          </a:r>
          <a:r>
            <a:rPr lang="en-US" altLang="zh-TW"/>
            <a:t> </a:t>
          </a:r>
          <a:r>
            <a:rPr lang="en-US" altLang="zh-TW" sz="1100" b="0" i="0" u="none" strike="noStrike">
              <a:solidFill>
                <a:schemeClr val="dk1"/>
              </a:solidFill>
              <a:effectLst/>
              <a:latin typeface="+mn-lt"/>
              <a:ea typeface="+mn-ea"/>
              <a:cs typeface="+mn-cs"/>
            </a:rPr>
            <a:t>0x48,</a:t>
          </a:r>
          <a:r>
            <a:rPr lang="en-US" altLang="zh-TW"/>
            <a:t> </a:t>
          </a:r>
          <a:r>
            <a:rPr lang="en-US" altLang="zh-TW" sz="1100" b="0" i="0" u="none" strike="noStrike">
              <a:solidFill>
                <a:schemeClr val="dk1"/>
              </a:solidFill>
              <a:effectLst/>
              <a:latin typeface="+mn-lt"/>
              <a:ea typeface="+mn-ea"/>
              <a:cs typeface="+mn-cs"/>
            </a:rPr>
            <a:t>0x49,</a:t>
          </a:r>
          <a:r>
            <a:rPr lang="en-US" altLang="zh-TW"/>
            <a:t> </a:t>
          </a:r>
          <a:r>
            <a:rPr lang="en-US" altLang="zh-TW" sz="1100" b="0" i="0" u="none" strike="noStrike">
              <a:solidFill>
                <a:schemeClr val="dk1"/>
              </a:solidFill>
              <a:effectLst/>
              <a:latin typeface="+mn-lt"/>
              <a:ea typeface="+mn-ea"/>
              <a:cs typeface="+mn-cs"/>
            </a:rPr>
            <a:t>0x4A,</a:t>
          </a:r>
          <a:r>
            <a:rPr lang="en-US" altLang="zh-TW"/>
            <a:t> </a:t>
          </a:r>
          <a:r>
            <a:rPr lang="en-US" altLang="zh-TW" sz="1100" b="0" i="0" u="none" strike="noStrike">
              <a:solidFill>
                <a:schemeClr val="dk1"/>
              </a:solidFill>
              <a:effectLst/>
              <a:latin typeface="+mn-lt"/>
              <a:ea typeface="+mn-ea"/>
              <a:cs typeface="+mn-cs"/>
            </a:rPr>
            <a:t>0x4B,</a:t>
          </a:r>
          <a:r>
            <a:rPr lang="en-US" altLang="zh-TW"/>
            <a:t> </a:t>
          </a:r>
          <a:r>
            <a:rPr lang="en-US" altLang="zh-TW" sz="1100" b="0" i="0" u="none" strike="noStrike">
              <a:solidFill>
                <a:schemeClr val="dk1"/>
              </a:solidFill>
              <a:effectLst/>
              <a:latin typeface="+mn-lt"/>
              <a:ea typeface="+mn-ea"/>
              <a:cs typeface="+mn-cs"/>
            </a:rPr>
            <a:t>0x4C,</a:t>
          </a:r>
          <a:r>
            <a:rPr lang="en-US" altLang="zh-TW"/>
            <a:t> </a:t>
          </a:r>
          <a:r>
            <a:rPr lang="en-US" altLang="zh-TW" sz="1100" b="0" i="0" u="none" strike="noStrike">
              <a:solidFill>
                <a:schemeClr val="dk1"/>
              </a:solidFill>
              <a:effectLst/>
              <a:latin typeface="+mn-lt"/>
              <a:ea typeface="+mn-ea"/>
              <a:cs typeface="+mn-cs"/>
            </a:rPr>
            <a:t>0x4D,</a:t>
          </a:r>
          <a:r>
            <a:rPr lang="en-US" altLang="zh-TW"/>
            <a:t> </a:t>
          </a:r>
          <a:r>
            <a:rPr lang="en-US" altLang="zh-TW" sz="1100" b="0" i="0" u="none" strike="noStrike">
              <a:solidFill>
                <a:schemeClr val="dk1"/>
              </a:solidFill>
              <a:effectLst/>
              <a:latin typeface="+mn-lt"/>
              <a:ea typeface="+mn-ea"/>
              <a:cs typeface="+mn-cs"/>
            </a:rPr>
            <a:t>0x4E,</a:t>
          </a:r>
          <a:r>
            <a:rPr lang="en-US" altLang="zh-TW"/>
            <a:t> </a:t>
          </a:r>
          <a:r>
            <a:rPr lang="en-US" altLang="zh-TW" sz="1100" b="0" i="0" u="none" strike="noStrike">
              <a:solidFill>
                <a:schemeClr val="dk1"/>
              </a:solidFill>
              <a:effectLst/>
              <a:latin typeface="+mn-lt"/>
              <a:ea typeface="+mn-ea"/>
              <a:cs typeface="+mn-cs"/>
            </a:rPr>
            <a:t>0x4F,</a:t>
          </a:r>
          <a:r>
            <a:rPr lang="en-US" altLang="zh-TW"/>
            <a:t> </a:t>
          </a:r>
          <a:r>
            <a:rPr lang="en-US" altLang="zh-TW" sz="1100" b="0" i="0" u="none" strike="noStrike">
              <a:solidFill>
                <a:schemeClr val="dk1"/>
              </a:solidFill>
              <a:effectLst/>
              <a:latin typeface="+mn-lt"/>
              <a:ea typeface="+mn-ea"/>
              <a:cs typeface="+mn-cs"/>
            </a:rPr>
            <a:t>0x50,</a:t>
          </a:r>
          <a:r>
            <a:rPr lang="en-US" altLang="zh-TW"/>
            <a:t> </a:t>
          </a:r>
          <a:r>
            <a:rPr lang="en-US" altLang="zh-TW" sz="1100" b="0" i="0" u="none" strike="noStrike">
              <a:solidFill>
                <a:schemeClr val="dk1"/>
              </a:solidFill>
              <a:effectLst/>
              <a:latin typeface="+mn-lt"/>
              <a:ea typeface="+mn-ea"/>
              <a:cs typeface="+mn-cs"/>
            </a:rPr>
            <a:t>0x51,</a:t>
          </a:r>
          <a:r>
            <a:rPr lang="en-US" altLang="zh-TW"/>
            <a:t> </a:t>
          </a:r>
          <a:r>
            <a:rPr lang="en-US" altLang="zh-TW" sz="1100" b="0" i="0" u="none" strike="noStrike">
              <a:solidFill>
                <a:schemeClr val="dk1"/>
              </a:solidFill>
              <a:effectLst/>
              <a:latin typeface="+mn-lt"/>
              <a:ea typeface="+mn-ea"/>
              <a:cs typeface="+mn-cs"/>
            </a:rPr>
            <a:t>0x52,</a:t>
          </a:r>
          <a:r>
            <a:rPr lang="en-US" altLang="zh-TW"/>
            <a:t> </a:t>
          </a:r>
          <a:r>
            <a:rPr lang="en-US" altLang="zh-TW" sz="1100" b="0" i="0" u="none" strike="noStrike">
              <a:solidFill>
                <a:schemeClr val="dk1"/>
              </a:solidFill>
              <a:effectLst/>
              <a:latin typeface="+mn-lt"/>
              <a:ea typeface="+mn-ea"/>
              <a:cs typeface="+mn-cs"/>
            </a:rPr>
            <a:t>0x53,</a:t>
          </a:r>
          <a:r>
            <a:rPr lang="en-US" altLang="zh-TW"/>
            <a:t> </a:t>
          </a:r>
          <a:r>
            <a:rPr lang="en-US" altLang="zh-TW" sz="1100" b="0" i="0" u="none" strike="noStrike">
              <a:solidFill>
                <a:schemeClr val="dk1"/>
              </a:solidFill>
              <a:effectLst/>
              <a:latin typeface="+mn-lt"/>
              <a:ea typeface="+mn-ea"/>
              <a:cs typeface="+mn-cs"/>
            </a:rPr>
            <a:t>0x54,</a:t>
          </a:r>
          <a:r>
            <a:rPr lang="en-US" altLang="zh-TW"/>
            <a:t> </a:t>
          </a:r>
          <a:r>
            <a:rPr lang="en-US" altLang="zh-TW" sz="1100" b="0" i="0" u="none" strike="noStrike">
              <a:solidFill>
                <a:schemeClr val="dk1"/>
              </a:solidFill>
              <a:effectLst/>
              <a:latin typeface="+mn-lt"/>
              <a:ea typeface="+mn-ea"/>
              <a:cs typeface="+mn-cs"/>
            </a:rPr>
            <a:t>0x55,</a:t>
          </a:r>
          <a:r>
            <a:rPr lang="en-US" altLang="zh-TW"/>
            <a:t> </a:t>
          </a:r>
          <a:r>
            <a:rPr lang="en-US" altLang="zh-TW" sz="1100" b="0" i="0" u="none" strike="noStrike">
              <a:solidFill>
                <a:schemeClr val="dk1"/>
              </a:solidFill>
              <a:effectLst/>
              <a:latin typeface="+mn-lt"/>
              <a:ea typeface="+mn-ea"/>
              <a:cs typeface="+mn-cs"/>
            </a:rPr>
            <a:t>0x56,</a:t>
          </a:r>
          <a:r>
            <a:rPr lang="en-US" altLang="zh-TW"/>
            <a:t> </a:t>
          </a:r>
          <a:r>
            <a:rPr lang="en-US" altLang="zh-TW" sz="1100" b="0" i="0" u="none" strike="noStrike">
              <a:solidFill>
                <a:schemeClr val="dk1"/>
              </a:solidFill>
              <a:effectLst/>
              <a:latin typeface="+mn-lt"/>
              <a:ea typeface="+mn-ea"/>
              <a:cs typeface="+mn-cs"/>
            </a:rPr>
            <a:t>0x57,</a:t>
          </a:r>
          <a:r>
            <a:rPr lang="en-US" altLang="zh-TW"/>
            <a:t> </a:t>
          </a:r>
          <a:r>
            <a:rPr lang="en-US" altLang="zh-TW" sz="1100" b="0" i="0" u="none" strike="noStrike">
              <a:solidFill>
                <a:schemeClr val="dk1"/>
              </a:solidFill>
              <a:effectLst/>
              <a:latin typeface="+mn-lt"/>
              <a:ea typeface="+mn-ea"/>
              <a:cs typeface="+mn-cs"/>
            </a:rPr>
            <a:t>0x58,</a:t>
          </a:r>
          <a:r>
            <a:rPr lang="en-US" altLang="zh-TW"/>
            <a:t> </a:t>
          </a:r>
          <a:r>
            <a:rPr lang="en-US" altLang="zh-TW" sz="1100" b="0" i="0" u="none" strike="noStrike">
              <a:solidFill>
                <a:schemeClr val="dk1"/>
              </a:solidFill>
              <a:effectLst/>
              <a:latin typeface="+mn-lt"/>
              <a:ea typeface="+mn-ea"/>
              <a:cs typeface="+mn-cs"/>
            </a:rPr>
            <a:t>0x59,</a:t>
          </a:r>
          <a:r>
            <a:rPr lang="en-US" altLang="zh-TW"/>
            <a:t> </a:t>
          </a:r>
          <a:r>
            <a:rPr lang="en-US" altLang="zh-TW" sz="1100" b="0" i="0" u="none" strike="noStrike">
              <a:solidFill>
                <a:schemeClr val="dk1"/>
              </a:solidFill>
              <a:effectLst/>
              <a:latin typeface="+mn-lt"/>
              <a:ea typeface="+mn-ea"/>
              <a:cs typeface="+mn-cs"/>
            </a:rPr>
            <a:t>0x0,</a:t>
          </a:r>
          <a:r>
            <a:rPr lang="en-US" altLang="zh-TW"/>
            <a:t> </a:t>
          </a:r>
          <a:r>
            <a:rPr lang="en-US" altLang="zh-TW" sz="1100" b="0" i="0" u="none" strike="noStrike">
              <a:solidFill>
                <a:schemeClr val="dk1"/>
              </a:solidFill>
              <a:effectLst/>
              <a:latin typeface="+mn-lt"/>
              <a:ea typeface="+mn-ea"/>
              <a:cs typeface="+mn-cs"/>
            </a:rPr>
            <a:t>0x1,</a:t>
          </a:r>
          <a:r>
            <a:rPr lang="en-US" altLang="zh-TW"/>
            <a:t> </a:t>
          </a:r>
          <a:r>
            <a:rPr lang="en-US" altLang="zh-TW" sz="1100" b="0" i="0" u="none" strike="noStrike">
              <a:solidFill>
                <a:schemeClr val="dk1"/>
              </a:solidFill>
              <a:effectLst/>
              <a:latin typeface="+mn-lt"/>
              <a:ea typeface="+mn-ea"/>
              <a:cs typeface="+mn-cs"/>
            </a:rPr>
            <a:t>0x2,</a:t>
          </a:r>
          <a:r>
            <a:rPr lang="en-US" altLang="zh-TW"/>
            <a:t> </a:t>
          </a:r>
          <a:r>
            <a:rPr lang="en-US" altLang="zh-TW" sz="1100" b="0" i="0" u="none" strike="noStrike">
              <a:solidFill>
                <a:schemeClr val="dk1"/>
              </a:solidFill>
              <a:effectLst/>
              <a:latin typeface="+mn-lt"/>
              <a:ea typeface="+mn-ea"/>
              <a:cs typeface="+mn-cs"/>
            </a:rPr>
            <a:t>0x3,</a:t>
          </a:r>
          <a:r>
            <a:rPr lang="en-US" altLang="zh-TW"/>
            <a:t> </a:t>
          </a:r>
          <a:r>
            <a:rPr lang="en-US" altLang="zh-TW" sz="1100" b="0" i="0" u="none" strike="noStrike">
              <a:solidFill>
                <a:schemeClr val="dk1"/>
              </a:solidFill>
              <a:effectLst/>
              <a:latin typeface="+mn-lt"/>
              <a:ea typeface="+mn-ea"/>
              <a:cs typeface="+mn-cs"/>
            </a:rPr>
            <a:t>0x4,</a:t>
          </a:r>
          <a:r>
            <a:rPr lang="en-US" altLang="zh-TW"/>
            <a:t> </a:t>
          </a:r>
          <a:r>
            <a:rPr lang="en-US" altLang="zh-TW" sz="1100" b="0" i="0" u="none" strike="noStrike">
              <a:solidFill>
                <a:schemeClr val="dk1"/>
              </a:solidFill>
              <a:effectLst/>
              <a:latin typeface="+mn-lt"/>
              <a:ea typeface="+mn-ea"/>
              <a:cs typeface="+mn-cs"/>
            </a:rPr>
            <a:t>0x5,</a:t>
          </a:r>
          <a:r>
            <a:rPr lang="en-US" altLang="zh-TW"/>
            <a:t> </a:t>
          </a:r>
          <a:r>
            <a:rPr lang="en-US" altLang="zh-TW" sz="1100" b="0" i="0" u="none" strike="noStrike">
              <a:solidFill>
                <a:schemeClr val="dk1"/>
              </a:solidFill>
              <a:effectLst/>
              <a:latin typeface="+mn-lt"/>
              <a:ea typeface="+mn-ea"/>
              <a:cs typeface="+mn-cs"/>
            </a:rPr>
            <a:t>0x6,</a:t>
          </a:r>
          <a:r>
            <a:rPr lang="en-US" altLang="zh-TW"/>
            <a:t> </a:t>
          </a:r>
          <a:r>
            <a:rPr lang="en-US" altLang="zh-TW" sz="1100" b="0" i="0" u="none" strike="noStrike">
              <a:solidFill>
                <a:schemeClr val="dk1"/>
              </a:solidFill>
              <a:effectLst/>
              <a:latin typeface="+mn-lt"/>
              <a:ea typeface="+mn-ea"/>
              <a:cs typeface="+mn-cs"/>
            </a:rPr>
            <a:t>0x7,</a:t>
          </a:r>
          <a:r>
            <a:rPr lang="en-US" altLang="zh-TW"/>
            <a:t> </a:t>
          </a:r>
          <a:r>
            <a:rPr lang="en-US" altLang="zh-TW" sz="1100" b="0" i="0" u="none" strike="noStrike">
              <a:solidFill>
                <a:schemeClr val="dk1"/>
              </a:solidFill>
              <a:effectLst/>
              <a:latin typeface="+mn-lt"/>
              <a:ea typeface="+mn-ea"/>
              <a:cs typeface="+mn-cs"/>
            </a:rPr>
            <a:t>0x8,</a:t>
          </a:r>
          <a:r>
            <a:rPr lang="en-US" altLang="zh-TW"/>
            <a:t> </a:t>
          </a:r>
          <a:r>
            <a:rPr lang="en-US" altLang="zh-TW" sz="1100" b="0" i="0" u="none" strike="noStrike">
              <a:solidFill>
                <a:schemeClr val="dk1"/>
              </a:solidFill>
              <a:effectLst/>
              <a:latin typeface="+mn-lt"/>
              <a:ea typeface="+mn-ea"/>
              <a:cs typeface="+mn-cs"/>
            </a:rPr>
            <a:t>0x9,</a:t>
          </a:r>
          <a:r>
            <a:rPr lang="en-US" altLang="zh-TW"/>
            <a:t> </a:t>
          </a:r>
          <a:r>
            <a:rPr lang="en-US" altLang="zh-TW" sz="1100" b="0" i="0" u="none" strike="noStrike">
              <a:solidFill>
                <a:schemeClr val="dk1"/>
              </a:solidFill>
              <a:effectLst/>
              <a:latin typeface="+mn-lt"/>
              <a:ea typeface="+mn-ea"/>
              <a:cs typeface="+mn-cs"/>
            </a:rPr>
            <a:t>0xA,</a:t>
          </a:r>
          <a:r>
            <a:rPr lang="en-US" altLang="zh-TW"/>
            <a:t> </a:t>
          </a:r>
          <a:r>
            <a:rPr lang="en-US" altLang="zh-TW" sz="1100" b="0" i="0" u="none" strike="noStrike">
              <a:solidFill>
                <a:schemeClr val="dk1"/>
              </a:solidFill>
              <a:effectLst/>
              <a:latin typeface="+mn-lt"/>
              <a:ea typeface="+mn-ea"/>
              <a:cs typeface="+mn-cs"/>
            </a:rPr>
            <a:t>0xB,</a:t>
          </a:r>
          <a:r>
            <a:rPr lang="en-US" altLang="zh-TW"/>
            <a:t> </a:t>
          </a:r>
          <a:r>
            <a:rPr lang="en-US" altLang="zh-TW" sz="1100" b="0" i="0" u="none" strike="noStrike">
              <a:solidFill>
                <a:schemeClr val="dk1"/>
              </a:solidFill>
              <a:effectLst/>
              <a:latin typeface="+mn-lt"/>
              <a:ea typeface="+mn-ea"/>
              <a:cs typeface="+mn-cs"/>
            </a:rPr>
            <a:t>0xC,</a:t>
          </a:r>
          <a:r>
            <a:rPr lang="en-US" altLang="zh-TW"/>
            <a:t> </a:t>
          </a:r>
          <a:r>
            <a:rPr lang="en-US" altLang="zh-TW" sz="1100" b="0" i="0" u="none" strike="noStrike">
              <a:solidFill>
                <a:schemeClr val="dk1"/>
              </a:solidFill>
              <a:effectLst/>
              <a:latin typeface="+mn-lt"/>
              <a:ea typeface="+mn-ea"/>
              <a:cs typeface="+mn-cs"/>
            </a:rPr>
            <a:t>0xD,</a:t>
          </a:r>
          <a:r>
            <a:rPr lang="en-US" altLang="zh-TW"/>
            <a:t> </a:t>
          </a:r>
          <a:r>
            <a:rPr lang="en-US" altLang="zh-TW" sz="1100" b="0" i="0" u="none" strike="noStrike">
              <a:solidFill>
                <a:schemeClr val="dk1"/>
              </a:solidFill>
              <a:effectLst/>
              <a:latin typeface="+mn-lt"/>
              <a:ea typeface="+mn-ea"/>
              <a:cs typeface="+mn-cs"/>
            </a:rPr>
            <a:t>0xE,</a:t>
          </a:r>
          <a:r>
            <a:rPr lang="en-US" altLang="zh-TW"/>
            <a:t> </a:t>
          </a:r>
          <a:r>
            <a:rPr lang="en-US" altLang="zh-TW" sz="1100" b="0" i="0" u="none" strike="noStrike">
              <a:solidFill>
                <a:schemeClr val="dk1"/>
              </a:solidFill>
              <a:effectLst/>
              <a:latin typeface="+mn-lt"/>
              <a:ea typeface="+mn-ea"/>
              <a:cs typeface="+mn-cs"/>
            </a:rPr>
            <a:t>0xF,</a:t>
          </a:r>
          <a:r>
            <a:rPr lang="en-US" altLang="zh-TW"/>
            <a:t> </a:t>
          </a:r>
          <a:r>
            <a:rPr lang="en-US" altLang="zh-TW" sz="1100" b="0" i="0" u="none" strike="noStrike">
              <a:solidFill>
                <a:schemeClr val="dk1"/>
              </a:solidFill>
              <a:effectLst/>
              <a:latin typeface="+mn-lt"/>
              <a:ea typeface="+mn-ea"/>
              <a:cs typeface="+mn-cs"/>
            </a:rPr>
            <a:t>0x10,</a:t>
          </a:r>
          <a:r>
            <a:rPr lang="en-US" altLang="zh-TW"/>
            <a:t> </a:t>
          </a:r>
          <a:r>
            <a:rPr lang="en-US" altLang="zh-TW" sz="1100" b="0" i="0" u="none" strike="noStrike">
              <a:solidFill>
                <a:schemeClr val="dk1"/>
              </a:solidFill>
              <a:effectLst/>
              <a:latin typeface="+mn-lt"/>
              <a:ea typeface="+mn-ea"/>
              <a:cs typeface="+mn-cs"/>
            </a:rPr>
            <a:t>0x11,</a:t>
          </a:r>
          <a:r>
            <a:rPr lang="en-US" altLang="zh-TW"/>
            <a:t> </a:t>
          </a:r>
          <a:r>
            <a:rPr lang="en-US" altLang="zh-TW" sz="1100" b="0" i="0" u="none" strike="noStrike">
              <a:solidFill>
                <a:schemeClr val="dk1"/>
              </a:solidFill>
              <a:effectLst/>
              <a:latin typeface="+mn-lt"/>
              <a:ea typeface="+mn-ea"/>
              <a:cs typeface="+mn-cs"/>
            </a:rPr>
            <a:t>0x12,</a:t>
          </a:r>
          <a:r>
            <a:rPr lang="en-US" altLang="zh-TW"/>
            <a:t> </a:t>
          </a:r>
          <a:r>
            <a:rPr lang="en-US" altLang="zh-TW" sz="1100" b="0" i="0" u="none" strike="noStrike">
              <a:solidFill>
                <a:schemeClr val="dk1"/>
              </a:solidFill>
              <a:effectLst/>
              <a:latin typeface="+mn-lt"/>
              <a:ea typeface="+mn-ea"/>
              <a:cs typeface="+mn-cs"/>
            </a:rPr>
            <a:t>0x13,</a:t>
          </a:r>
          <a:r>
            <a:rPr lang="en-US" altLang="zh-TW"/>
            <a:t> </a:t>
          </a:r>
          <a:r>
            <a:rPr lang="en-US" altLang="zh-TW" sz="1100" b="0" i="0" u="none" strike="noStrike">
              <a:solidFill>
                <a:schemeClr val="dk1"/>
              </a:solidFill>
              <a:effectLst/>
              <a:latin typeface="+mn-lt"/>
              <a:ea typeface="+mn-ea"/>
              <a:cs typeface="+mn-cs"/>
            </a:rPr>
            <a:t>0x14,</a:t>
          </a:r>
          <a:r>
            <a:rPr lang="en-US" altLang="zh-TW"/>
            <a:t> </a:t>
          </a:r>
          <a:r>
            <a:rPr lang="en-US" altLang="zh-TW" sz="1100" b="0" i="0" u="none" strike="noStrike">
              <a:solidFill>
                <a:schemeClr val="dk1"/>
              </a:solidFill>
              <a:effectLst/>
              <a:latin typeface="+mn-lt"/>
              <a:ea typeface="+mn-ea"/>
              <a:cs typeface="+mn-cs"/>
            </a:rPr>
            <a:t>0x15,</a:t>
          </a:r>
          <a:r>
            <a:rPr lang="en-US" altLang="zh-TW"/>
            <a:t> </a:t>
          </a:r>
          <a:r>
            <a:rPr lang="en-US" altLang="zh-TW" sz="1100" b="0" i="0" u="none" strike="noStrike">
              <a:solidFill>
                <a:schemeClr val="dk1"/>
              </a:solidFill>
              <a:effectLst/>
              <a:latin typeface="+mn-lt"/>
              <a:ea typeface="+mn-ea"/>
              <a:cs typeface="+mn-cs"/>
            </a:rPr>
            <a:t>0x16,</a:t>
          </a:r>
          <a:r>
            <a:rPr lang="en-US" altLang="zh-TW"/>
            <a:t> </a:t>
          </a:r>
          <a:r>
            <a:rPr lang="en-US" altLang="zh-TW" sz="1100" b="0" i="0" u="none" strike="noStrike">
              <a:solidFill>
                <a:schemeClr val="dk1"/>
              </a:solidFill>
              <a:effectLst/>
              <a:latin typeface="+mn-lt"/>
              <a:ea typeface="+mn-ea"/>
              <a:cs typeface="+mn-cs"/>
            </a:rPr>
            <a:t>0x17,</a:t>
          </a:r>
          <a:r>
            <a:rPr lang="en-US" altLang="zh-TW"/>
            <a:t> </a:t>
          </a:r>
          <a:r>
            <a:rPr lang="en-US" altLang="zh-TW" sz="1100" b="0" i="0" u="none" strike="noStrike">
              <a:solidFill>
                <a:schemeClr val="dk1"/>
              </a:solidFill>
              <a:effectLst/>
              <a:latin typeface="+mn-lt"/>
              <a:ea typeface="+mn-ea"/>
              <a:cs typeface="+mn-cs"/>
            </a:rPr>
            <a:t>0x18,</a:t>
          </a:r>
          <a:r>
            <a:rPr lang="en-US" altLang="zh-TW"/>
            <a:t> </a:t>
          </a:r>
          <a:r>
            <a:rPr lang="en-US" altLang="zh-TW" sz="1100" b="0" i="0" u="none" strike="noStrike">
              <a:solidFill>
                <a:schemeClr val="dk1"/>
              </a:solidFill>
              <a:effectLst/>
              <a:latin typeface="+mn-lt"/>
              <a:ea typeface="+mn-ea"/>
              <a:cs typeface="+mn-cs"/>
            </a:rPr>
            <a:t>0x19,</a:t>
          </a:r>
          <a:r>
            <a:rPr lang="en-US" altLang="zh-TW"/>
            <a:t> </a:t>
          </a:r>
          <a:r>
            <a:rPr lang="en-US" altLang="zh-TW" sz="1100" b="0" i="0" u="none" strike="noStrike">
              <a:solidFill>
                <a:schemeClr val="dk1"/>
              </a:solidFill>
              <a:effectLst/>
              <a:latin typeface="+mn-lt"/>
              <a:ea typeface="+mn-ea"/>
              <a:cs typeface="+mn-cs"/>
            </a:rPr>
            <a:t>0x1A,</a:t>
          </a:r>
          <a:r>
            <a:rPr lang="en-US" altLang="zh-TW"/>
            <a:t> </a:t>
          </a:r>
          <a:r>
            <a:rPr lang="en-US" altLang="zh-TW" sz="1100" b="0" i="0" u="none" strike="noStrike">
              <a:solidFill>
                <a:schemeClr val="dk1"/>
              </a:solidFill>
              <a:effectLst/>
              <a:latin typeface="+mn-lt"/>
              <a:ea typeface="+mn-ea"/>
              <a:cs typeface="+mn-cs"/>
            </a:rPr>
            <a:t>0x1B,</a:t>
          </a:r>
          <a:r>
            <a:rPr lang="en-US" altLang="zh-TW"/>
            <a:t> </a:t>
          </a:r>
          <a:r>
            <a:rPr lang="en-US" altLang="zh-TW" sz="1100" b="0" i="0" u="none" strike="noStrike">
              <a:solidFill>
                <a:schemeClr val="dk1"/>
              </a:solidFill>
              <a:effectLst/>
              <a:latin typeface="+mn-lt"/>
              <a:ea typeface="+mn-ea"/>
              <a:cs typeface="+mn-cs"/>
            </a:rPr>
            <a:t>0x1C,</a:t>
          </a:r>
          <a:r>
            <a:rPr lang="en-US" altLang="zh-TW"/>
            <a:t> </a:t>
          </a:r>
          <a:r>
            <a:rPr lang="en-US" altLang="zh-TW" sz="1100" b="0" i="0" u="none" strike="noStrike">
              <a:solidFill>
                <a:schemeClr val="dk1"/>
              </a:solidFill>
              <a:effectLst/>
              <a:latin typeface="+mn-lt"/>
              <a:ea typeface="+mn-ea"/>
              <a:cs typeface="+mn-cs"/>
            </a:rPr>
            <a:t>0x1D,</a:t>
          </a:r>
          <a:r>
            <a:rPr lang="en-US" altLang="zh-TW"/>
            <a:t> </a:t>
          </a:r>
          <a:r>
            <a:rPr lang="en-US" altLang="zh-TW" sz="1100" b="0" i="0" u="none" strike="noStrike">
              <a:solidFill>
                <a:schemeClr val="dk1"/>
              </a:solidFill>
              <a:effectLst/>
              <a:latin typeface="+mn-lt"/>
              <a:ea typeface="+mn-ea"/>
              <a:cs typeface="+mn-cs"/>
            </a:rPr>
            <a:t>0x1E,</a:t>
          </a:r>
          <a:r>
            <a:rPr lang="en-US" altLang="zh-TW"/>
            <a:t> </a:t>
          </a:r>
          <a:r>
            <a:rPr lang="en-US" altLang="zh-TW" sz="1100" b="0" i="0" u="none" strike="noStrike">
              <a:solidFill>
                <a:schemeClr val="dk1"/>
              </a:solidFill>
              <a:effectLst/>
              <a:latin typeface="+mn-lt"/>
              <a:ea typeface="+mn-ea"/>
              <a:cs typeface="+mn-cs"/>
            </a:rPr>
            <a:t>0x1F,</a:t>
          </a:r>
          <a:r>
            <a:rPr lang="en-US" altLang="zh-TW"/>
            <a:t> </a:t>
          </a:r>
          <a:r>
            <a:rPr lang="en-US" altLang="zh-TW" sz="1100" b="0" i="0" u="none" strike="noStrike">
              <a:solidFill>
                <a:schemeClr val="dk1"/>
              </a:solidFill>
              <a:effectLst/>
              <a:latin typeface="+mn-lt"/>
              <a:ea typeface="+mn-ea"/>
              <a:cs typeface="+mn-cs"/>
            </a:rPr>
            <a:t>0x20,</a:t>
          </a:r>
          <a:r>
            <a:rPr lang="en-US" altLang="zh-TW"/>
            <a:t> </a:t>
          </a:r>
          <a:r>
            <a:rPr lang="en-US" altLang="zh-TW" sz="1100" b="0" i="0" u="none" strike="noStrike">
              <a:solidFill>
                <a:schemeClr val="dk1"/>
              </a:solidFill>
              <a:effectLst/>
              <a:latin typeface="+mn-lt"/>
              <a:ea typeface="+mn-ea"/>
              <a:cs typeface="+mn-cs"/>
            </a:rPr>
            <a:t>0x21,</a:t>
          </a:r>
          <a:r>
            <a:rPr lang="en-US" altLang="zh-TW"/>
            <a:t> </a:t>
          </a:r>
          <a:r>
            <a:rPr lang="en-US" altLang="zh-TW" sz="1100" b="0" i="0" u="none" strike="noStrike">
              <a:solidFill>
                <a:schemeClr val="dk1"/>
              </a:solidFill>
              <a:effectLst/>
              <a:latin typeface="+mn-lt"/>
              <a:ea typeface="+mn-ea"/>
              <a:cs typeface="+mn-cs"/>
            </a:rPr>
            <a:t>0x22,</a:t>
          </a:r>
          <a:r>
            <a:rPr lang="en-US" altLang="zh-TW"/>
            <a:t> </a:t>
          </a:r>
          <a:r>
            <a:rPr lang="en-US" altLang="zh-TW" sz="1100" b="0" i="0" u="none" strike="noStrike">
              <a:solidFill>
                <a:schemeClr val="dk1"/>
              </a:solidFill>
              <a:effectLst/>
              <a:latin typeface="+mn-lt"/>
              <a:ea typeface="+mn-ea"/>
              <a:cs typeface="+mn-cs"/>
            </a:rPr>
            <a:t>0x23,</a:t>
          </a:r>
          <a:r>
            <a:rPr lang="en-US" altLang="zh-TW"/>
            <a:t> </a:t>
          </a:r>
          <a:r>
            <a:rPr lang="en-US" altLang="zh-TW" sz="1100" b="0" i="0" u="none" strike="noStrike">
              <a:solidFill>
                <a:schemeClr val="dk1"/>
              </a:solidFill>
              <a:effectLst/>
              <a:latin typeface="+mn-lt"/>
              <a:ea typeface="+mn-ea"/>
              <a:cs typeface="+mn-cs"/>
            </a:rPr>
            <a:t>0x24,</a:t>
          </a:r>
          <a:r>
            <a:rPr lang="en-US" altLang="zh-TW"/>
            <a:t> </a:t>
          </a:r>
          <a:r>
            <a:rPr lang="en-US" altLang="zh-TW" sz="1100" b="0" i="0" u="none" strike="noStrike">
              <a:solidFill>
                <a:schemeClr val="dk1"/>
              </a:solidFill>
              <a:effectLst/>
              <a:latin typeface="+mn-lt"/>
              <a:ea typeface="+mn-ea"/>
              <a:cs typeface="+mn-cs"/>
            </a:rPr>
            <a:t>0x25,</a:t>
          </a:r>
          <a:r>
            <a:rPr lang="en-US" altLang="zh-TW"/>
            <a:t> </a:t>
          </a:r>
          <a:r>
            <a:rPr lang="en-US" altLang="zh-TW" sz="1100" b="0" i="0" u="none" strike="noStrike">
              <a:solidFill>
                <a:schemeClr val="dk1"/>
              </a:solidFill>
              <a:effectLst/>
              <a:latin typeface="+mn-lt"/>
              <a:ea typeface="+mn-ea"/>
              <a:cs typeface="+mn-cs"/>
            </a:rPr>
            <a:t>0x26,</a:t>
          </a:r>
          <a:r>
            <a:rPr lang="en-US" altLang="zh-TW"/>
            <a:t> </a:t>
          </a:r>
          <a:r>
            <a:rPr lang="en-US" altLang="zh-TW" sz="1100" b="0" i="0" u="none" strike="noStrike">
              <a:solidFill>
                <a:schemeClr val="dk1"/>
              </a:solidFill>
              <a:effectLst/>
              <a:latin typeface="+mn-lt"/>
              <a:ea typeface="+mn-ea"/>
              <a:cs typeface="+mn-cs"/>
            </a:rPr>
            <a:t>0x27,</a:t>
          </a:r>
          <a:r>
            <a:rPr lang="en-US" altLang="zh-TW"/>
            <a:t> </a:t>
          </a:r>
          <a:r>
            <a:rPr lang="en-US" altLang="zh-TW" sz="1100" b="0" i="0" u="none" strike="noStrike">
              <a:solidFill>
                <a:schemeClr val="dk1"/>
              </a:solidFill>
              <a:effectLst/>
              <a:latin typeface="+mn-lt"/>
              <a:ea typeface="+mn-ea"/>
              <a:cs typeface="+mn-cs"/>
            </a:rPr>
            <a:t>0x28,</a:t>
          </a:r>
          <a:r>
            <a:rPr lang="en-US" altLang="zh-TW"/>
            <a:t> </a:t>
          </a:r>
          <a:r>
            <a:rPr lang="en-US" altLang="zh-TW" sz="1100" b="0" i="0" u="none" strike="noStrike">
              <a:solidFill>
                <a:schemeClr val="dk1"/>
              </a:solidFill>
              <a:effectLst/>
              <a:latin typeface="+mn-lt"/>
              <a:ea typeface="+mn-ea"/>
              <a:cs typeface="+mn-cs"/>
            </a:rPr>
            <a:t>0x29,</a:t>
          </a:r>
          <a:r>
            <a:rPr lang="en-US" altLang="zh-TW"/>
            <a:t> </a:t>
          </a:r>
          <a:r>
            <a:rPr lang="en-US" altLang="zh-TW" sz="1100" b="0" i="0" u="none" strike="noStrike">
              <a:solidFill>
                <a:schemeClr val="dk1"/>
              </a:solidFill>
              <a:effectLst/>
              <a:latin typeface="+mn-lt"/>
              <a:ea typeface="+mn-ea"/>
              <a:cs typeface="+mn-cs"/>
            </a:rPr>
            <a:t>0x2A,</a:t>
          </a:r>
          <a:r>
            <a:rPr lang="en-US" altLang="zh-TW"/>
            <a:t> </a:t>
          </a:r>
          <a:r>
            <a:rPr lang="en-US" altLang="zh-TW" sz="1100" b="0" i="0" u="none" strike="noStrike">
              <a:solidFill>
                <a:schemeClr val="dk1"/>
              </a:solidFill>
              <a:effectLst/>
              <a:latin typeface="+mn-lt"/>
              <a:ea typeface="+mn-ea"/>
              <a:cs typeface="+mn-cs"/>
            </a:rPr>
            <a:t>0x2B,</a:t>
          </a:r>
          <a:r>
            <a:rPr lang="en-US" altLang="zh-TW"/>
            <a:t> </a:t>
          </a:r>
          <a:r>
            <a:rPr lang="en-US" altLang="zh-TW" sz="1100" b="0" i="0" u="none" strike="noStrike">
              <a:solidFill>
                <a:schemeClr val="dk1"/>
              </a:solidFill>
              <a:effectLst/>
              <a:latin typeface="+mn-lt"/>
              <a:ea typeface="+mn-ea"/>
              <a:cs typeface="+mn-cs"/>
            </a:rPr>
            <a:t>0x2C,</a:t>
          </a:r>
          <a:r>
            <a:rPr lang="en-US" altLang="zh-TW"/>
            <a:t> </a:t>
          </a:r>
          <a:r>
            <a:rPr lang="en-US" altLang="zh-TW" sz="1100" b="0" i="0" u="none" strike="noStrike">
              <a:solidFill>
                <a:schemeClr val="dk1"/>
              </a:solidFill>
              <a:effectLst/>
              <a:latin typeface="+mn-lt"/>
              <a:ea typeface="+mn-ea"/>
              <a:cs typeface="+mn-cs"/>
            </a:rPr>
            <a:t>0x2D,</a:t>
          </a:r>
          <a:r>
            <a:rPr lang="en-US" altLang="zh-TW"/>
            <a:t> </a:t>
          </a:r>
          <a:r>
            <a:rPr lang="en-US" altLang="zh-TW" sz="1100" b="0" i="0" u="none" strike="noStrike">
              <a:solidFill>
                <a:schemeClr val="dk1"/>
              </a:solidFill>
              <a:effectLst/>
              <a:latin typeface="+mn-lt"/>
              <a:ea typeface="+mn-ea"/>
              <a:cs typeface="+mn-cs"/>
            </a:rPr>
            <a:t>0x2E,</a:t>
          </a:r>
          <a:r>
            <a:rPr lang="en-US" altLang="zh-TW"/>
            <a:t> </a:t>
          </a:r>
          <a:r>
            <a:rPr lang="en-US" altLang="zh-TW" sz="1100" b="0" i="0" u="none" strike="noStrike">
              <a:solidFill>
                <a:schemeClr val="dk1"/>
              </a:solidFill>
              <a:effectLst/>
              <a:latin typeface="+mn-lt"/>
              <a:ea typeface="+mn-ea"/>
              <a:cs typeface="+mn-cs"/>
            </a:rPr>
            <a:t>0x2F,</a:t>
          </a:r>
          <a:r>
            <a:rPr lang="en-US" altLang="zh-TW"/>
            <a:t> </a:t>
          </a:r>
          <a:r>
            <a:rPr lang="en-US" altLang="zh-TW" sz="1100" b="0" i="0" u="none" strike="noStrike">
              <a:solidFill>
                <a:schemeClr val="dk1"/>
              </a:solidFill>
              <a:effectLst/>
              <a:latin typeface="+mn-lt"/>
              <a:ea typeface="+mn-ea"/>
              <a:cs typeface="+mn-cs"/>
            </a:rPr>
            <a:t>0x30,</a:t>
          </a:r>
          <a:r>
            <a:rPr lang="en-US" altLang="zh-TW"/>
            <a:t> </a:t>
          </a:r>
          <a:r>
            <a:rPr lang="en-US" altLang="zh-TW" sz="1100" b="0" i="0" u="none" strike="noStrike">
              <a:solidFill>
                <a:schemeClr val="dk1"/>
              </a:solidFill>
              <a:effectLst/>
              <a:latin typeface="+mn-lt"/>
              <a:ea typeface="+mn-ea"/>
              <a:cs typeface="+mn-cs"/>
            </a:rPr>
            <a:t>0x31,</a:t>
          </a:r>
          <a:r>
            <a:rPr lang="en-US" altLang="zh-TW"/>
            <a:t> </a:t>
          </a:r>
          <a:r>
            <a:rPr lang="en-US" altLang="zh-TW" sz="1100" b="0" i="0" u="none" strike="noStrike">
              <a:solidFill>
                <a:schemeClr val="dk1"/>
              </a:solidFill>
              <a:effectLst/>
              <a:latin typeface="+mn-lt"/>
              <a:ea typeface="+mn-ea"/>
              <a:cs typeface="+mn-cs"/>
            </a:rPr>
            <a:t>0x32,</a:t>
          </a:r>
          <a:r>
            <a:rPr lang="en-US" altLang="zh-TW"/>
            <a:t> </a:t>
          </a:r>
          <a:r>
            <a:rPr lang="en-US" altLang="zh-TW" sz="1100" b="0" i="0" u="none" strike="noStrike">
              <a:solidFill>
                <a:schemeClr val="dk1"/>
              </a:solidFill>
              <a:effectLst/>
              <a:latin typeface="+mn-lt"/>
              <a:ea typeface="+mn-ea"/>
              <a:cs typeface="+mn-cs"/>
            </a:rPr>
            <a:t>0x33,</a:t>
          </a:r>
          <a:r>
            <a:rPr lang="en-US" altLang="zh-TW"/>
            <a:t> </a:t>
          </a:r>
          <a:r>
            <a:rPr lang="en-US" altLang="zh-TW" sz="1100" b="0" i="0" u="none" strike="noStrike">
              <a:solidFill>
                <a:schemeClr val="dk1"/>
              </a:solidFill>
              <a:effectLst/>
              <a:latin typeface="+mn-lt"/>
              <a:ea typeface="+mn-ea"/>
              <a:cs typeface="+mn-cs"/>
            </a:rPr>
            <a:t>0x34,</a:t>
          </a:r>
          <a:r>
            <a:rPr lang="en-US" altLang="zh-TW"/>
            <a:t> </a:t>
          </a:r>
          <a:r>
            <a:rPr lang="en-US" altLang="zh-TW" sz="1100" b="0" i="0" u="none" strike="noStrike">
              <a:solidFill>
                <a:schemeClr val="dk1"/>
              </a:solidFill>
              <a:effectLst/>
              <a:latin typeface="+mn-lt"/>
              <a:ea typeface="+mn-ea"/>
              <a:cs typeface="+mn-cs"/>
            </a:rPr>
            <a:t>0x35,</a:t>
          </a:r>
          <a:r>
            <a:rPr lang="en-US" altLang="zh-TW"/>
            <a:t> </a:t>
          </a:r>
          <a:r>
            <a:rPr lang="en-US" altLang="zh-TW" sz="1100" b="0" i="0" u="none" strike="noStrike">
              <a:solidFill>
                <a:schemeClr val="dk1"/>
              </a:solidFill>
              <a:effectLst/>
              <a:latin typeface="+mn-lt"/>
              <a:ea typeface="+mn-ea"/>
              <a:cs typeface="+mn-cs"/>
            </a:rPr>
            <a:t>0x36,</a:t>
          </a:r>
          <a:r>
            <a:rPr lang="en-US" altLang="zh-TW"/>
            <a:t> </a:t>
          </a:r>
          <a:r>
            <a:rPr lang="en-US" altLang="zh-TW" sz="1100" b="0" i="0" u="none" strike="noStrike">
              <a:solidFill>
                <a:schemeClr val="dk1"/>
              </a:solidFill>
              <a:effectLst/>
              <a:latin typeface="+mn-lt"/>
              <a:ea typeface="+mn-ea"/>
              <a:cs typeface="+mn-cs"/>
            </a:rPr>
            <a:t>0x37,</a:t>
          </a:r>
          <a:r>
            <a:rPr lang="en-US" altLang="zh-TW"/>
            <a:t> </a:t>
          </a:r>
          <a:r>
            <a:rPr lang="en-US" altLang="zh-TW" sz="1100" b="0" i="0" u="none" strike="noStrike">
              <a:solidFill>
                <a:schemeClr val="dk1"/>
              </a:solidFill>
              <a:effectLst/>
              <a:latin typeface="+mn-lt"/>
              <a:ea typeface="+mn-ea"/>
              <a:cs typeface="+mn-cs"/>
            </a:rPr>
            <a:t>0x38,</a:t>
          </a:r>
          <a:r>
            <a:rPr lang="en-US" altLang="zh-TW"/>
            <a:t> </a:t>
          </a:r>
          <a:r>
            <a:rPr lang="en-US" altLang="zh-TW" sz="1100" b="0" i="0" u="none" strike="noStrike">
              <a:solidFill>
                <a:schemeClr val="dk1"/>
              </a:solidFill>
              <a:effectLst/>
              <a:latin typeface="+mn-lt"/>
              <a:ea typeface="+mn-ea"/>
              <a:cs typeface="+mn-cs"/>
            </a:rPr>
            <a:t>0x39,</a:t>
          </a:r>
          <a:r>
            <a:rPr lang="en-US" altLang="zh-TW"/>
            <a:t> </a:t>
          </a:r>
          <a:r>
            <a:rPr lang="en-US" altLang="zh-TW" sz="1100" b="0" i="0" u="none" strike="noStrike">
              <a:solidFill>
                <a:schemeClr val="dk1"/>
              </a:solidFill>
              <a:effectLst/>
              <a:latin typeface="+mn-lt"/>
              <a:ea typeface="+mn-ea"/>
              <a:cs typeface="+mn-cs"/>
            </a:rPr>
            <a:t>0x3A,</a:t>
          </a:r>
          <a:r>
            <a:rPr lang="en-US" altLang="zh-TW"/>
            <a:t> </a:t>
          </a:r>
          <a:r>
            <a:rPr lang="en-US" altLang="zh-TW" sz="1100" b="0" i="0" u="none" strike="noStrike">
              <a:solidFill>
                <a:schemeClr val="dk1"/>
              </a:solidFill>
              <a:effectLst/>
              <a:latin typeface="+mn-lt"/>
              <a:ea typeface="+mn-ea"/>
              <a:cs typeface="+mn-cs"/>
            </a:rPr>
            <a:t>0x3B,</a:t>
          </a:r>
          <a:r>
            <a:rPr lang="en-US" altLang="zh-TW"/>
            <a:t> </a:t>
          </a:r>
          <a:r>
            <a:rPr lang="en-US" altLang="zh-TW" sz="1100" b="0" i="0" u="none" strike="noStrike">
              <a:solidFill>
                <a:schemeClr val="dk1"/>
              </a:solidFill>
              <a:effectLst/>
              <a:latin typeface="+mn-lt"/>
              <a:ea typeface="+mn-ea"/>
              <a:cs typeface="+mn-cs"/>
            </a:rPr>
            <a:t>0x3C,</a:t>
          </a:r>
          <a:r>
            <a:rPr lang="en-US" altLang="zh-TW"/>
            <a:t> </a:t>
          </a:r>
          <a:r>
            <a:rPr lang="en-US" altLang="zh-TW" sz="1100" b="0" i="0" u="none" strike="noStrike">
              <a:solidFill>
                <a:schemeClr val="dk1"/>
              </a:solidFill>
              <a:effectLst/>
              <a:latin typeface="+mn-lt"/>
              <a:ea typeface="+mn-ea"/>
              <a:cs typeface="+mn-cs"/>
            </a:rPr>
            <a:t>0x3D,</a:t>
          </a:r>
          <a:r>
            <a:rPr lang="en-US" altLang="zh-TW"/>
            <a:t> </a:t>
          </a:r>
          <a:r>
            <a:rPr lang="en-US" altLang="zh-TW" sz="1100" b="0" i="0" u="none" strike="noStrike">
              <a:solidFill>
                <a:schemeClr val="dk1"/>
              </a:solidFill>
              <a:effectLst/>
              <a:latin typeface="+mn-lt"/>
              <a:ea typeface="+mn-ea"/>
              <a:cs typeface="+mn-cs"/>
            </a:rPr>
            <a:t>0x3E,</a:t>
          </a:r>
          <a:r>
            <a:rPr lang="en-US" altLang="zh-TW"/>
            <a:t> </a:t>
          </a:r>
          <a:r>
            <a:rPr lang="en-US" altLang="zh-TW" sz="1100" b="0" i="0" u="none" strike="noStrike">
              <a:solidFill>
                <a:schemeClr val="dk1"/>
              </a:solidFill>
              <a:effectLst/>
              <a:latin typeface="+mn-lt"/>
              <a:ea typeface="+mn-ea"/>
              <a:cs typeface="+mn-cs"/>
            </a:rPr>
            <a:t>0x3F,</a:t>
          </a:r>
          <a:r>
            <a:rPr lang="en-US" altLang="zh-TW"/>
            <a:t> </a:t>
          </a:r>
          <a:r>
            <a:rPr lang="en-US" altLang="zh-TW" sz="1100" b="0" i="0" u="none" strike="noStrike">
              <a:solidFill>
                <a:schemeClr val="dk1"/>
              </a:solidFill>
              <a:effectLst/>
              <a:latin typeface="+mn-lt"/>
              <a:ea typeface="+mn-ea"/>
              <a:cs typeface="+mn-cs"/>
            </a:rPr>
            <a:t>0x40,</a:t>
          </a:r>
          <a:r>
            <a:rPr lang="en-US" altLang="zh-TW"/>
            <a:t> </a:t>
          </a:r>
          <a:r>
            <a:rPr lang="en-US" altLang="zh-TW" sz="1100" b="0" i="0" u="none" strike="noStrike">
              <a:solidFill>
                <a:schemeClr val="dk1"/>
              </a:solidFill>
              <a:effectLst/>
              <a:latin typeface="+mn-lt"/>
              <a:ea typeface="+mn-ea"/>
              <a:cs typeface="+mn-cs"/>
            </a:rPr>
            <a:t>0x41,</a:t>
          </a:r>
          <a:r>
            <a:rPr lang="en-US" altLang="zh-TW"/>
            <a:t> </a:t>
          </a:r>
          <a:r>
            <a:rPr lang="en-US" altLang="zh-TW" sz="1100" b="0" i="0" u="none" strike="noStrike">
              <a:solidFill>
                <a:schemeClr val="dk1"/>
              </a:solidFill>
              <a:effectLst/>
              <a:latin typeface="+mn-lt"/>
              <a:ea typeface="+mn-ea"/>
              <a:cs typeface="+mn-cs"/>
            </a:rPr>
            <a:t>0x42,</a:t>
          </a:r>
          <a:r>
            <a:rPr lang="en-US" altLang="zh-TW"/>
            <a:t> </a:t>
          </a:r>
          <a:r>
            <a:rPr lang="en-US" altLang="zh-TW" sz="1100" b="0" i="0" u="none" strike="noStrike">
              <a:solidFill>
                <a:schemeClr val="dk1"/>
              </a:solidFill>
              <a:effectLst/>
              <a:latin typeface="+mn-lt"/>
              <a:ea typeface="+mn-ea"/>
              <a:cs typeface="+mn-cs"/>
            </a:rPr>
            <a:t>0x43,</a:t>
          </a:r>
          <a:r>
            <a:rPr lang="en-US" altLang="zh-TW"/>
            <a:t> </a:t>
          </a:r>
          <a:r>
            <a:rPr lang="en-US" altLang="zh-TW" sz="1100" b="0" i="0" u="none" strike="noStrike">
              <a:solidFill>
                <a:schemeClr val="dk1"/>
              </a:solidFill>
              <a:effectLst/>
              <a:latin typeface="+mn-lt"/>
              <a:ea typeface="+mn-ea"/>
              <a:cs typeface="+mn-cs"/>
            </a:rPr>
            <a:t>0x44,</a:t>
          </a:r>
          <a:r>
            <a:rPr lang="en-US" altLang="zh-TW"/>
            <a:t> </a:t>
          </a:r>
          <a:r>
            <a:rPr lang="en-US" altLang="zh-TW" sz="1100" b="0" i="0" u="none" strike="noStrike">
              <a:solidFill>
                <a:schemeClr val="dk1"/>
              </a:solidFill>
              <a:effectLst/>
              <a:latin typeface="+mn-lt"/>
              <a:ea typeface="+mn-ea"/>
              <a:cs typeface="+mn-cs"/>
            </a:rPr>
            <a:t>0x45,</a:t>
          </a:r>
          <a:r>
            <a:rPr lang="en-US" altLang="zh-TW"/>
            <a:t> </a:t>
          </a:r>
          <a:r>
            <a:rPr lang="en-US" altLang="zh-TW" sz="1100" b="0" i="0" u="none" strike="noStrike">
              <a:solidFill>
                <a:schemeClr val="dk1"/>
              </a:solidFill>
              <a:effectLst/>
              <a:latin typeface="+mn-lt"/>
              <a:ea typeface="+mn-ea"/>
              <a:cs typeface="+mn-cs"/>
            </a:rPr>
            <a:t>0x46,</a:t>
          </a:r>
          <a:r>
            <a:rPr lang="en-US" altLang="zh-TW"/>
            <a:t> </a:t>
          </a:r>
          <a:r>
            <a:rPr lang="en-US" altLang="zh-TW" sz="1100" b="0" i="0" u="none" strike="noStrike">
              <a:solidFill>
                <a:schemeClr val="dk1"/>
              </a:solidFill>
              <a:effectLst/>
              <a:latin typeface="+mn-lt"/>
              <a:ea typeface="+mn-ea"/>
              <a:cs typeface="+mn-cs"/>
            </a:rPr>
            <a:t>0x47,</a:t>
          </a:r>
          <a:r>
            <a:rPr lang="en-US" altLang="zh-TW"/>
            <a:t> </a:t>
          </a:r>
          <a:r>
            <a:rPr lang="en-US" altLang="zh-TW" sz="1100" b="0" i="0" u="none" strike="noStrike">
              <a:solidFill>
                <a:schemeClr val="dk1"/>
              </a:solidFill>
              <a:effectLst/>
              <a:latin typeface="+mn-lt"/>
              <a:ea typeface="+mn-ea"/>
              <a:cs typeface="+mn-cs"/>
            </a:rPr>
            <a:t>0x48,</a:t>
          </a:r>
          <a:r>
            <a:rPr lang="en-US" altLang="zh-TW"/>
            <a:t> </a:t>
          </a:r>
          <a:r>
            <a:rPr lang="en-US" altLang="zh-TW" sz="1100" b="0" i="0" u="none" strike="noStrike">
              <a:solidFill>
                <a:schemeClr val="dk1"/>
              </a:solidFill>
              <a:effectLst/>
              <a:latin typeface="+mn-lt"/>
              <a:ea typeface="+mn-ea"/>
              <a:cs typeface="+mn-cs"/>
            </a:rPr>
            <a:t>0x49,</a:t>
          </a:r>
          <a:r>
            <a:rPr lang="en-US" altLang="zh-TW"/>
            <a:t> </a:t>
          </a:r>
          <a:r>
            <a:rPr lang="en-US" altLang="zh-TW" sz="1100" b="0" i="0" u="none" strike="noStrike">
              <a:solidFill>
                <a:schemeClr val="dk1"/>
              </a:solidFill>
              <a:effectLst/>
              <a:latin typeface="+mn-lt"/>
              <a:ea typeface="+mn-ea"/>
              <a:cs typeface="+mn-cs"/>
            </a:rPr>
            <a:t>0x4A,</a:t>
          </a:r>
          <a:r>
            <a:rPr lang="en-US" altLang="zh-TW"/>
            <a:t> </a:t>
          </a:r>
          <a:r>
            <a:rPr lang="en-US" altLang="zh-TW" sz="1100" b="0" i="0" u="none" strike="noStrike">
              <a:solidFill>
                <a:schemeClr val="dk1"/>
              </a:solidFill>
              <a:effectLst/>
              <a:latin typeface="+mn-lt"/>
              <a:ea typeface="+mn-ea"/>
              <a:cs typeface="+mn-cs"/>
            </a:rPr>
            <a:t>0x4B,</a:t>
          </a:r>
          <a:r>
            <a:rPr lang="en-US" altLang="zh-TW"/>
            <a:t> </a:t>
          </a:r>
          <a:r>
            <a:rPr lang="en-US" altLang="zh-TW" sz="1100" b="0" i="0" u="none" strike="noStrike">
              <a:solidFill>
                <a:schemeClr val="dk1"/>
              </a:solidFill>
              <a:effectLst/>
              <a:latin typeface="+mn-lt"/>
              <a:ea typeface="+mn-ea"/>
              <a:cs typeface="+mn-cs"/>
            </a:rPr>
            <a:t>0x4C,</a:t>
          </a:r>
          <a:r>
            <a:rPr lang="en-US" altLang="zh-TW"/>
            <a:t> </a:t>
          </a:r>
          <a:r>
            <a:rPr lang="en-US" altLang="zh-TW" sz="1100" b="0" i="0" u="none" strike="noStrike">
              <a:solidFill>
                <a:schemeClr val="dk1"/>
              </a:solidFill>
              <a:effectLst/>
              <a:latin typeface="+mn-lt"/>
              <a:ea typeface="+mn-ea"/>
              <a:cs typeface="+mn-cs"/>
            </a:rPr>
            <a:t>0x4D,</a:t>
          </a:r>
          <a:r>
            <a:rPr lang="en-US" altLang="zh-TW"/>
            <a:t> </a:t>
          </a:r>
          <a:r>
            <a:rPr lang="en-US" altLang="zh-TW" sz="1100" b="0" i="0" u="none" strike="noStrike">
              <a:solidFill>
                <a:schemeClr val="dk1"/>
              </a:solidFill>
              <a:effectLst/>
              <a:latin typeface="+mn-lt"/>
              <a:ea typeface="+mn-ea"/>
              <a:cs typeface="+mn-cs"/>
            </a:rPr>
            <a:t>0x4E,</a:t>
          </a:r>
          <a:r>
            <a:rPr lang="en-US" altLang="zh-TW"/>
            <a:t> </a:t>
          </a:r>
          <a:r>
            <a:rPr lang="en-US" altLang="zh-TW" sz="1100" b="0" i="0" u="none" strike="noStrike">
              <a:solidFill>
                <a:schemeClr val="dk1"/>
              </a:solidFill>
              <a:effectLst/>
              <a:latin typeface="+mn-lt"/>
              <a:ea typeface="+mn-ea"/>
              <a:cs typeface="+mn-cs"/>
            </a:rPr>
            <a:t>0x4F,</a:t>
          </a:r>
          <a:r>
            <a:rPr lang="en-US" altLang="zh-TW"/>
            <a:t> </a:t>
          </a:r>
          <a:r>
            <a:rPr lang="en-US" altLang="zh-TW" sz="1100" b="0" i="0" u="none" strike="noStrike">
              <a:solidFill>
                <a:schemeClr val="dk1"/>
              </a:solidFill>
              <a:effectLst/>
              <a:latin typeface="+mn-lt"/>
              <a:ea typeface="+mn-ea"/>
              <a:cs typeface="+mn-cs"/>
            </a:rPr>
            <a:t>0x50,</a:t>
          </a:r>
          <a:r>
            <a:rPr lang="en-US" altLang="zh-TW"/>
            <a:t> </a:t>
          </a:r>
          <a:r>
            <a:rPr lang="en-US" altLang="zh-TW" sz="1100" b="0" i="0" u="none" strike="noStrike">
              <a:solidFill>
                <a:schemeClr val="dk1"/>
              </a:solidFill>
              <a:effectLst/>
              <a:latin typeface="+mn-lt"/>
              <a:ea typeface="+mn-ea"/>
              <a:cs typeface="+mn-cs"/>
            </a:rPr>
            <a:t>0x51,</a:t>
          </a:r>
          <a:r>
            <a:rPr lang="en-US" altLang="zh-TW"/>
            <a:t> </a:t>
          </a:r>
          <a:r>
            <a:rPr lang="en-US" altLang="zh-TW" sz="1100" b="0" i="0" u="none" strike="noStrike">
              <a:solidFill>
                <a:schemeClr val="dk1"/>
              </a:solidFill>
              <a:effectLst/>
              <a:latin typeface="+mn-lt"/>
              <a:ea typeface="+mn-ea"/>
              <a:cs typeface="+mn-cs"/>
            </a:rPr>
            <a:t>0x52,</a:t>
          </a:r>
          <a:r>
            <a:rPr lang="en-US" altLang="zh-TW"/>
            <a:t> </a:t>
          </a:r>
          <a:r>
            <a:rPr lang="en-US" altLang="zh-TW" sz="1100" b="0" i="0" u="none" strike="noStrike">
              <a:solidFill>
                <a:schemeClr val="dk1"/>
              </a:solidFill>
              <a:effectLst/>
              <a:latin typeface="+mn-lt"/>
              <a:ea typeface="+mn-ea"/>
              <a:cs typeface="+mn-cs"/>
            </a:rPr>
            <a:t>0x53,</a:t>
          </a:r>
          <a:r>
            <a:rPr lang="en-US" altLang="zh-TW"/>
            <a:t> </a:t>
          </a:r>
          <a:r>
            <a:rPr lang="en-US" altLang="zh-TW" sz="1100" b="0" i="0" u="none" strike="noStrike">
              <a:solidFill>
                <a:schemeClr val="dk1"/>
              </a:solidFill>
              <a:effectLst/>
              <a:latin typeface="+mn-lt"/>
              <a:ea typeface="+mn-ea"/>
              <a:cs typeface="+mn-cs"/>
            </a:rPr>
            <a:t>0x54,</a:t>
          </a:r>
          <a:r>
            <a:rPr lang="en-US" altLang="zh-TW"/>
            <a:t> </a:t>
          </a:r>
          <a:r>
            <a:rPr lang="en-US" altLang="zh-TW" sz="1100" b="0" i="0" u="none" strike="noStrike">
              <a:solidFill>
                <a:schemeClr val="dk1"/>
              </a:solidFill>
              <a:effectLst/>
              <a:latin typeface="+mn-lt"/>
              <a:ea typeface="+mn-ea"/>
              <a:cs typeface="+mn-cs"/>
            </a:rPr>
            <a:t>0x55,</a:t>
          </a:r>
          <a:r>
            <a:rPr lang="en-US" altLang="zh-TW"/>
            <a:t> </a:t>
          </a:r>
          <a:r>
            <a:rPr lang="en-US" altLang="zh-TW" sz="1100" b="0" i="0" u="none" strike="noStrike">
              <a:solidFill>
                <a:schemeClr val="dk1"/>
              </a:solidFill>
              <a:effectLst/>
              <a:latin typeface="+mn-lt"/>
              <a:ea typeface="+mn-ea"/>
              <a:cs typeface="+mn-cs"/>
            </a:rPr>
            <a:t>0x56,</a:t>
          </a:r>
          <a:r>
            <a:rPr lang="en-US" altLang="zh-TW"/>
            <a:t> </a:t>
          </a:r>
          <a:r>
            <a:rPr lang="en-US" altLang="zh-TW" sz="1100" b="0" i="0" u="none" strike="noStrike">
              <a:solidFill>
                <a:schemeClr val="dk1"/>
              </a:solidFill>
              <a:effectLst/>
              <a:latin typeface="+mn-lt"/>
              <a:ea typeface="+mn-ea"/>
              <a:cs typeface="+mn-cs"/>
            </a:rPr>
            <a:t>0x57,</a:t>
          </a:r>
          <a:r>
            <a:rPr lang="en-US" altLang="zh-TW"/>
            <a:t> </a:t>
          </a:r>
          <a:r>
            <a:rPr lang="en-US" altLang="zh-TW" sz="1100" b="0" i="0" u="none" strike="noStrike">
              <a:solidFill>
                <a:schemeClr val="dk1"/>
              </a:solidFill>
              <a:effectLst/>
              <a:latin typeface="+mn-lt"/>
              <a:ea typeface="+mn-ea"/>
              <a:cs typeface="+mn-cs"/>
            </a:rPr>
            <a:t>0x58,</a:t>
          </a:r>
          <a:r>
            <a:rPr lang="en-US" altLang="zh-TW"/>
            <a:t> </a:t>
          </a:r>
          <a:r>
            <a:rPr lang="en-US" altLang="zh-TW" sz="1100" b="0" i="0" u="none" strike="noStrike">
              <a:solidFill>
                <a:schemeClr val="dk1"/>
              </a:solidFill>
              <a:effectLst/>
              <a:latin typeface="+mn-lt"/>
              <a:ea typeface="+mn-ea"/>
              <a:cs typeface="+mn-cs"/>
            </a:rPr>
            <a:t>0x59,</a:t>
          </a:r>
          <a:r>
            <a:rPr lang="en-US" altLang="zh-TW"/>
            <a:t> </a:t>
          </a:r>
          <a:r>
            <a:rPr lang="en-US" altLang="zh-TW" sz="1100" b="0" i="0" u="none" strike="noStrike">
              <a:solidFill>
                <a:schemeClr val="dk1"/>
              </a:solidFill>
              <a:effectLst/>
              <a:latin typeface="+mn-lt"/>
              <a:ea typeface="+mn-ea"/>
              <a:cs typeface="+mn-cs"/>
            </a:rPr>
            <a:t>0x5A,</a:t>
          </a:r>
          <a:r>
            <a:rPr lang="en-US" altLang="zh-TW"/>
            <a:t> </a:t>
          </a:r>
          <a:r>
            <a:rPr lang="en-US" altLang="zh-TW" sz="1100" b="0" i="0" u="none" strike="noStrike">
              <a:solidFill>
                <a:schemeClr val="dk1"/>
              </a:solidFill>
              <a:effectLst/>
              <a:latin typeface="+mn-lt"/>
              <a:ea typeface="+mn-ea"/>
              <a:cs typeface="+mn-cs"/>
            </a:rPr>
            <a:t>0x5B,</a:t>
          </a:r>
          <a:r>
            <a:rPr lang="en-US" altLang="zh-TW"/>
            <a:t> </a:t>
          </a:r>
          <a:r>
            <a:rPr lang="en-US" altLang="zh-TW" sz="1100" b="0" i="0" u="none" strike="noStrike">
              <a:solidFill>
                <a:schemeClr val="dk1"/>
              </a:solidFill>
              <a:effectLst/>
              <a:latin typeface="+mn-lt"/>
              <a:ea typeface="+mn-ea"/>
              <a:cs typeface="+mn-cs"/>
            </a:rPr>
            <a:t>0x5C,</a:t>
          </a:r>
          <a:r>
            <a:rPr lang="en-US" altLang="zh-TW"/>
            <a:t> </a:t>
          </a:r>
          <a:r>
            <a:rPr lang="en-US" altLang="zh-TW" sz="1100" b="0" i="0" u="none" strike="noStrike">
              <a:solidFill>
                <a:schemeClr val="dk1"/>
              </a:solidFill>
              <a:effectLst/>
              <a:latin typeface="+mn-lt"/>
              <a:ea typeface="+mn-ea"/>
              <a:cs typeface="+mn-cs"/>
            </a:rPr>
            <a:t>0x5D,</a:t>
          </a:r>
          <a:r>
            <a:rPr lang="en-US" altLang="zh-TW"/>
            <a:t> </a:t>
          </a:r>
          <a:r>
            <a:rPr lang="en-US" altLang="zh-TW" sz="1100" b="0" i="0" u="none" strike="noStrike">
              <a:solidFill>
                <a:schemeClr val="dk1"/>
              </a:solidFill>
              <a:effectLst/>
              <a:latin typeface="+mn-lt"/>
              <a:ea typeface="+mn-ea"/>
              <a:cs typeface="+mn-cs"/>
            </a:rPr>
            <a:t>0x5E,</a:t>
          </a:r>
          <a:r>
            <a:rPr lang="en-US" altLang="zh-TW"/>
            <a:t> </a:t>
          </a:r>
          <a:r>
            <a:rPr lang="en-US" altLang="zh-TW" sz="1100" b="0" i="0" u="none" strike="noStrike">
              <a:solidFill>
                <a:schemeClr val="dk1"/>
              </a:solidFill>
              <a:effectLst/>
              <a:latin typeface="+mn-lt"/>
              <a:ea typeface="+mn-ea"/>
              <a:cs typeface="+mn-cs"/>
            </a:rPr>
            <a:t>0x5F,</a:t>
          </a:r>
          <a:r>
            <a:rPr lang="en-US" altLang="zh-TW"/>
            <a:t> </a:t>
          </a:r>
          <a:r>
            <a:rPr lang="en-US" altLang="zh-TW" sz="1100" b="0" i="0" u="none" strike="noStrike">
              <a:solidFill>
                <a:schemeClr val="dk1"/>
              </a:solidFill>
              <a:effectLst/>
              <a:latin typeface="+mn-lt"/>
              <a:ea typeface="+mn-ea"/>
              <a:cs typeface="+mn-cs"/>
            </a:rPr>
            <a:t>0x60,</a:t>
          </a:r>
          <a:r>
            <a:rPr lang="en-US" altLang="zh-TW"/>
            <a:t> </a:t>
          </a:r>
          <a:r>
            <a:rPr lang="en-US" altLang="zh-TW" sz="1100" b="0" i="0" u="none" strike="noStrike">
              <a:solidFill>
                <a:schemeClr val="dk1"/>
              </a:solidFill>
              <a:effectLst/>
              <a:latin typeface="+mn-lt"/>
              <a:ea typeface="+mn-ea"/>
              <a:cs typeface="+mn-cs"/>
            </a:rPr>
            <a:t>0x61,</a:t>
          </a:r>
          <a:r>
            <a:rPr lang="en-US" altLang="zh-TW"/>
            <a:t> </a:t>
          </a:r>
          <a:r>
            <a:rPr lang="en-US" altLang="zh-TW" sz="1100" b="0" i="0" u="none" strike="noStrike">
              <a:solidFill>
                <a:schemeClr val="dk1"/>
              </a:solidFill>
              <a:effectLst/>
              <a:latin typeface="+mn-lt"/>
              <a:ea typeface="+mn-ea"/>
              <a:cs typeface="+mn-cs"/>
            </a:rPr>
            <a:t>0x62,</a:t>
          </a:r>
          <a:r>
            <a:rPr lang="en-US" altLang="zh-TW"/>
            <a:t> </a:t>
          </a:r>
          <a:r>
            <a:rPr lang="en-US" altLang="zh-TW" sz="1100" b="0" i="0" u="none" strike="noStrike">
              <a:solidFill>
                <a:schemeClr val="dk1"/>
              </a:solidFill>
              <a:effectLst/>
              <a:latin typeface="+mn-lt"/>
              <a:ea typeface="+mn-ea"/>
              <a:cs typeface="+mn-cs"/>
            </a:rPr>
            <a:t>0x63,</a:t>
          </a:r>
          <a:r>
            <a:rPr lang="en-US" altLang="zh-TW"/>
            <a:t> </a:t>
          </a:r>
          <a:r>
            <a:rPr lang="en-US" altLang="zh-TW" sz="1100" b="0" i="0" u="none" strike="noStrike">
              <a:solidFill>
                <a:schemeClr val="dk1"/>
              </a:solidFill>
              <a:effectLst/>
              <a:latin typeface="+mn-lt"/>
              <a:ea typeface="+mn-ea"/>
              <a:cs typeface="+mn-cs"/>
            </a:rPr>
            <a:t>0x64,</a:t>
          </a:r>
          <a:r>
            <a:rPr lang="en-US" altLang="zh-TW"/>
            <a:t> </a:t>
          </a:r>
          <a:r>
            <a:rPr lang="en-US" altLang="zh-TW" sz="1100" b="0" i="0" u="none" strike="noStrike">
              <a:solidFill>
                <a:schemeClr val="dk1"/>
              </a:solidFill>
              <a:effectLst/>
              <a:latin typeface="+mn-lt"/>
              <a:ea typeface="+mn-ea"/>
              <a:cs typeface="+mn-cs"/>
            </a:rPr>
            <a:t>0x65,</a:t>
          </a:r>
          <a:r>
            <a:rPr lang="en-US" altLang="zh-TW"/>
            <a:t> </a:t>
          </a:r>
          <a:r>
            <a:rPr lang="en-US" altLang="zh-TW" sz="1100" b="0" i="0" u="none" strike="noStrike">
              <a:solidFill>
                <a:schemeClr val="dk1"/>
              </a:solidFill>
              <a:effectLst/>
              <a:latin typeface="+mn-lt"/>
              <a:ea typeface="+mn-ea"/>
              <a:cs typeface="+mn-cs"/>
            </a:rPr>
            <a:t>0x66,</a:t>
          </a:r>
          <a:r>
            <a:rPr lang="en-US" altLang="zh-TW"/>
            <a:t> </a:t>
          </a:r>
          <a:r>
            <a:rPr lang="en-US" altLang="zh-TW" sz="1100" b="0" i="0" u="none" strike="noStrike">
              <a:solidFill>
                <a:schemeClr val="dk1"/>
              </a:solidFill>
              <a:effectLst/>
              <a:latin typeface="+mn-lt"/>
              <a:ea typeface="+mn-ea"/>
              <a:cs typeface="+mn-cs"/>
            </a:rPr>
            <a:t>0x67,</a:t>
          </a:r>
          <a:r>
            <a:rPr lang="en-US" altLang="zh-TW"/>
            <a:t> </a:t>
          </a:r>
          <a:r>
            <a:rPr lang="en-US" altLang="zh-TW" sz="1100" b="0" i="0" u="none" strike="noStrike">
              <a:solidFill>
                <a:schemeClr val="dk1"/>
              </a:solidFill>
              <a:effectLst/>
              <a:latin typeface="+mn-lt"/>
              <a:ea typeface="+mn-ea"/>
              <a:cs typeface="+mn-cs"/>
            </a:rPr>
            <a:t>0x68,</a:t>
          </a:r>
          <a:r>
            <a:rPr lang="en-US" altLang="zh-TW"/>
            <a:t> </a:t>
          </a:r>
          <a:r>
            <a:rPr lang="en-US" altLang="zh-TW" sz="1100" b="0" i="0" u="none" strike="noStrike">
              <a:solidFill>
                <a:schemeClr val="dk1"/>
              </a:solidFill>
              <a:effectLst/>
              <a:latin typeface="+mn-lt"/>
              <a:ea typeface="+mn-ea"/>
              <a:cs typeface="+mn-cs"/>
            </a:rPr>
            <a:t>0x69,</a:t>
          </a:r>
          <a:r>
            <a:rPr lang="en-US" altLang="zh-TW"/>
            <a:t> </a:t>
          </a:r>
          <a:r>
            <a:rPr lang="en-US" altLang="zh-TW" sz="1100" b="0" i="0" u="none" strike="noStrike">
              <a:solidFill>
                <a:schemeClr val="dk1"/>
              </a:solidFill>
              <a:effectLst/>
              <a:latin typeface="+mn-lt"/>
              <a:ea typeface="+mn-ea"/>
              <a:cs typeface="+mn-cs"/>
            </a:rPr>
            <a:t>0x6A,</a:t>
          </a:r>
          <a:r>
            <a:rPr lang="en-US" altLang="zh-TW"/>
            <a:t> </a:t>
          </a:r>
          <a:r>
            <a:rPr lang="en-US" altLang="zh-TW" sz="1100" b="0" i="0" u="none" strike="noStrike">
              <a:solidFill>
                <a:schemeClr val="dk1"/>
              </a:solidFill>
              <a:effectLst/>
              <a:latin typeface="+mn-lt"/>
              <a:ea typeface="+mn-ea"/>
              <a:cs typeface="+mn-cs"/>
            </a:rPr>
            <a:t>0x6B,</a:t>
          </a:r>
          <a:r>
            <a:rPr lang="en-US" altLang="zh-TW"/>
            <a:t> </a:t>
          </a:r>
          <a:r>
            <a:rPr lang="en-US" altLang="zh-TW" sz="1100" b="0" i="0" u="none" strike="noStrike">
              <a:solidFill>
                <a:schemeClr val="dk1"/>
              </a:solidFill>
              <a:effectLst/>
              <a:latin typeface="+mn-lt"/>
              <a:ea typeface="+mn-ea"/>
              <a:cs typeface="+mn-cs"/>
            </a:rPr>
            <a:t>0x6C,</a:t>
          </a:r>
          <a:r>
            <a:rPr lang="en-US" altLang="zh-TW"/>
            <a:t> </a:t>
          </a:r>
          <a:r>
            <a:rPr lang="en-US" altLang="zh-TW" sz="1100" b="0" i="0" u="none" strike="noStrike">
              <a:solidFill>
                <a:schemeClr val="dk1"/>
              </a:solidFill>
              <a:effectLst/>
              <a:latin typeface="+mn-lt"/>
              <a:ea typeface="+mn-ea"/>
              <a:cs typeface="+mn-cs"/>
            </a:rPr>
            <a:t>0x6D,</a:t>
          </a:r>
          <a:r>
            <a:rPr lang="en-US" altLang="zh-TW"/>
            <a:t> </a:t>
          </a:r>
          <a:r>
            <a:rPr lang="en-US" altLang="zh-TW" sz="1100" b="0" i="0" u="none" strike="noStrike">
              <a:solidFill>
                <a:schemeClr val="dk1"/>
              </a:solidFill>
              <a:effectLst/>
              <a:latin typeface="+mn-lt"/>
              <a:ea typeface="+mn-ea"/>
              <a:cs typeface="+mn-cs"/>
            </a:rPr>
            <a:t>0x6E,</a:t>
          </a:r>
          <a:r>
            <a:rPr lang="en-US" altLang="zh-TW"/>
            <a:t> </a:t>
          </a:r>
          <a:r>
            <a:rPr lang="en-US" altLang="zh-TW" sz="1100" b="0" i="0" u="none" strike="noStrike">
              <a:solidFill>
                <a:schemeClr val="dk1"/>
              </a:solidFill>
              <a:effectLst/>
              <a:latin typeface="+mn-lt"/>
              <a:ea typeface="+mn-ea"/>
              <a:cs typeface="+mn-cs"/>
            </a:rPr>
            <a:t>0x6F,</a:t>
          </a:r>
          <a:r>
            <a:rPr lang="en-US" altLang="zh-TW"/>
            <a:t> </a:t>
          </a:r>
          <a:r>
            <a:rPr lang="en-US" altLang="zh-TW" sz="1100" b="0" i="0" u="none" strike="noStrike">
              <a:solidFill>
                <a:schemeClr val="dk1"/>
              </a:solidFill>
              <a:effectLst/>
              <a:latin typeface="+mn-lt"/>
              <a:ea typeface="+mn-ea"/>
              <a:cs typeface="+mn-cs"/>
            </a:rPr>
            <a:t>0x70,</a:t>
          </a:r>
          <a:r>
            <a:rPr lang="en-US" altLang="zh-TW"/>
            <a:t> </a:t>
          </a:r>
          <a:r>
            <a:rPr lang="en-US" altLang="zh-TW" sz="1100" b="0" i="0" u="none" strike="noStrike">
              <a:solidFill>
                <a:schemeClr val="dk1"/>
              </a:solidFill>
              <a:effectLst/>
              <a:latin typeface="+mn-lt"/>
              <a:ea typeface="+mn-ea"/>
              <a:cs typeface="+mn-cs"/>
            </a:rPr>
            <a:t>0x71,</a:t>
          </a:r>
          <a:r>
            <a:rPr lang="en-US" altLang="zh-TW"/>
            <a:t> </a:t>
          </a:r>
          <a:r>
            <a:rPr lang="en-US" altLang="zh-TW" sz="1100" b="0" i="0" u="none" strike="noStrike">
              <a:solidFill>
                <a:schemeClr val="dk1"/>
              </a:solidFill>
              <a:effectLst/>
              <a:latin typeface="+mn-lt"/>
              <a:ea typeface="+mn-ea"/>
              <a:cs typeface="+mn-cs"/>
            </a:rPr>
            <a:t>0x72,</a:t>
          </a:r>
          <a:r>
            <a:rPr lang="en-US" altLang="zh-TW"/>
            <a:t> </a:t>
          </a:r>
          <a:r>
            <a:rPr lang="en-US" altLang="zh-TW" sz="1100" b="0" i="0" u="none" strike="noStrike">
              <a:solidFill>
                <a:schemeClr val="dk1"/>
              </a:solidFill>
              <a:effectLst/>
              <a:latin typeface="+mn-lt"/>
              <a:ea typeface="+mn-ea"/>
              <a:cs typeface="+mn-cs"/>
            </a:rPr>
            <a:t>0x73,</a:t>
          </a:r>
          <a:r>
            <a:rPr lang="en-US" altLang="zh-TW"/>
            <a:t> </a:t>
          </a:r>
          <a:r>
            <a:rPr lang="en-US" altLang="zh-TW" sz="1100" b="0" i="0" u="none" strike="noStrike">
              <a:solidFill>
                <a:schemeClr val="dk1"/>
              </a:solidFill>
              <a:effectLst/>
              <a:latin typeface="+mn-lt"/>
              <a:ea typeface="+mn-ea"/>
              <a:cs typeface="+mn-cs"/>
            </a:rPr>
            <a:t>0x74,</a:t>
          </a:r>
          <a:r>
            <a:rPr lang="en-US" altLang="zh-TW"/>
            <a:t> </a:t>
          </a:r>
          <a:r>
            <a:rPr lang="en-US" altLang="zh-TW" sz="1100" b="0" i="0" u="none" strike="noStrike">
              <a:solidFill>
                <a:schemeClr val="dk1"/>
              </a:solidFill>
              <a:effectLst/>
              <a:latin typeface="+mn-lt"/>
              <a:ea typeface="+mn-ea"/>
              <a:cs typeface="+mn-cs"/>
            </a:rPr>
            <a:t>0x75,</a:t>
          </a:r>
          <a:r>
            <a:rPr lang="en-US" altLang="zh-TW"/>
            <a:t> </a:t>
          </a:r>
          <a:r>
            <a:rPr lang="en-US" altLang="zh-TW" sz="1100" b="0" i="0" u="none" strike="noStrike">
              <a:solidFill>
                <a:schemeClr val="dk1"/>
              </a:solidFill>
              <a:effectLst/>
              <a:latin typeface="+mn-lt"/>
              <a:ea typeface="+mn-ea"/>
              <a:cs typeface="+mn-cs"/>
            </a:rPr>
            <a:t>0x76,</a:t>
          </a:r>
          <a:r>
            <a:rPr lang="en-US" altLang="zh-TW"/>
            <a:t> </a:t>
          </a:r>
          <a:r>
            <a:rPr lang="en-US" altLang="zh-TW" sz="1100" b="0" i="0" u="none" strike="noStrike">
              <a:solidFill>
                <a:schemeClr val="dk1"/>
              </a:solidFill>
              <a:effectLst/>
              <a:latin typeface="+mn-lt"/>
              <a:ea typeface="+mn-ea"/>
              <a:cs typeface="+mn-cs"/>
            </a:rPr>
            <a:t>0x77,</a:t>
          </a:r>
          <a:r>
            <a:rPr lang="en-US" altLang="zh-TW"/>
            <a:t> </a:t>
          </a:r>
          <a:r>
            <a:rPr lang="en-US" altLang="zh-TW" sz="1100" b="0" i="0" u="none" strike="noStrike">
              <a:solidFill>
                <a:schemeClr val="dk1"/>
              </a:solidFill>
              <a:effectLst/>
              <a:latin typeface="+mn-lt"/>
              <a:ea typeface="+mn-ea"/>
              <a:cs typeface="+mn-cs"/>
            </a:rPr>
            <a:t>0x0,</a:t>
          </a:r>
          <a:r>
            <a:rPr lang="en-US" altLang="zh-TW"/>
            <a:t> </a:t>
          </a:r>
          <a:r>
            <a:rPr lang="en-US" altLang="zh-TW" sz="1100" b="0" i="0" u="none" strike="noStrike">
              <a:solidFill>
                <a:schemeClr val="dk1"/>
              </a:solidFill>
              <a:effectLst/>
              <a:latin typeface="+mn-lt"/>
              <a:ea typeface="+mn-ea"/>
              <a:cs typeface="+mn-cs"/>
            </a:rPr>
            <a:t>0x1,</a:t>
          </a:r>
          <a:r>
            <a:rPr lang="en-US" altLang="zh-TW"/>
            <a:t> </a:t>
          </a:r>
          <a:r>
            <a:rPr lang="en-US" altLang="zh-TW" sz="1100" b="0" i="0" u="none" strike="noStrike">
              <a:solidFill>
                <a:schemeClr val="dk1"/>
              </a:solidFill>
              <a:effectLst/>
              <a:latin typeface="+mn-lt"/>
              <a:ea typeface="+mn-ea"/>
              <a:cs typeface="+mn-cs"/>
            </a:rPr>
            <a:t>0x2,</a:t>
          </a:r>
          <a:r>
            <a:rPr lang="en-US" altLang="zh-TW"/>
            <a:t> </a:t>
          </a:r>
          <a:r>
            <a:rPr lang="en-US" altLang="zh-TW" sz="1100" b="0" i="0" u="none" strike="noStrike">
              <a:solidFill>
                <a:schemeClr val="dk1"/>
              </a:solidFill>
              <a:effectLst/>
              <a:latin typeface="+mn-lt"/>
              <a:ea typeface="+mn-ea"/>
              <a:cs typeface="+mn-cs"/>
            </a:rPr>
            <a:t>0x3,</a:t>
          </a:r>
          <a:r>
            <a:rPr lang="en-US" altLang="zh-TW"/>
            <a:t> </a:t>
          </a:r>
          <a:r>
            <a:rPr lang="en-US" altLang="zh-TW" sz="1100" b="0" i="0" u="none" strike="noStrike">
              <a:solidFill>
                <a:schemeClr val="dk1"/>
              </a:solidFill>
              <a:effectLst/>
              <a:latin typeface="+mn-lt"/>
              <a:ea typeface="+mn-ea"/>
              <a:cs typeface="+mn-cs"/>
            </a:rPr>
            <a:t>0x4,</a:t>
          </a:r>
          <a:r>
            <a:rPr lang="en-US" altLang="zh-TW"/>
            <a:t> </a:t>
          </a:r>
          <a:r>
            <a:rPr lang="en-US" altLang="zh-TW" sz="1100" b="0" i="0" u="none" strike="noStrike">
              <a:solidFill>
                <a:schemeClr val="dk1"/>
              </a:solidFill>
              <a:effectLst/>
              <a:latin typeface="+mn-lt"/>
              <a:ea typeface="+mn-ea"/>
              <a:cs typeface="+mn-cs"/>
            </a:rPr>
            <a:t>0x5,</a:t>
          </a:r>
          <a:r>
            <a:rPr lang="en-US" altLang="zh-TW"/>
            <a:t> </a:t>
          </a:r>
          <a:r>
            <a:rPr lang="en-US" altLang="zh-TW" sz="1100" b="0" i="0" u="none" strike="noStrike">
              <a:solidFill>
                <a:schemeClr val="dk1"/>
              </a:solidFill>
              <a:effectLst/>
              <a:latin typeface="+mn-lt"/>
              <a:ea typeface="+mn-ea"/>
              <a:cs typeface="+mn-cs"/>
            </a:rPr>
            <a:t>0x6,</a:t>
          </a:r>
          <a:r>
            <a:rPr lang="en-US" altLang="zh-TW"/>
            <a:t> </a:t>
          </a:r>
          <a:r>
            <a:rPr lang="en-US" altLang="zh-TW" sz="1100" b="0" i="0" u="none" strike="noStrike">
              <a:solidFill>
                <a:schemeClr val="dk1"/>
              </a:solidFill>
              <a:effectLst/>
              <a:latin typeface="+mn-lt"/>
              <a:ea typeface="+mn-ea"/>
              <a:cs typeface="+mn-cs"/>
            </a:rPr>
            <a:t>0x7,</a:t>
          </a:r>
          <a:r>
            <a:rPr lang="en-US" altLang="zh-TW"/>
            <a:t> </a:t>
          </a:r>
          <a:r>
            <a:rPr lang="en-US" altLang="zh-TW" sz="1100" b="0" i="0" u="none" strike="noStrike">
              <a:solidFill>
                <a:schemeClr val="dk1"/>
              </a:solidFill>
              <a:effectLst/>
              <a:latin typeface="+mn-lt"/>
              <a:ea typeface="+mn-ea"/>
              <a:cs typeface="+mn-cs"/>
            </a:rPr>
            <a:t>0x8,</a:t>
          </a:r>
          <a:r>
            <a:rPr lang="en-US" altLang="zh-TW"/>
            <a:t> </a:t>
          </a:r>
          <a:r>
            <a:rPr lang="en-US" altLang="zh-TW" sz="1100" b="0" i="0" u="none" strike="noStrike">
              <a:solidFill>
                <a:schemeClr val="dk1"/>
              </a:solidFill>
              <a:effectLst/>
              <a:latin typeface="+mn-lt"/>
              <a:ea typeface="+mn-ea"/>
              <a:cs typeface="+mn-cs"/>
            </a:rPr>
            <a:t>0x9,</a:t>
          </a:r>
          <a:r>
            <a:rPr lang="en-US" altLang="zh-TW"/>
            <a:t> </a:t>
          </a:r>
          <a:r>
            <a:rPr lang="en-US" altLang="zh-TW" sz="1100" b="0" i="0" u="none" strike="noStrike">
              <a:solidFill>
                <a:schemeClr val="dk1"/>
              </a:solidFill>
              <a:effectLst/>
              <a:latin typeface="+mn-lt"/>
              <a:ea typeface="+mn-ea"/>
              <a:cs typeface="+mn-cs"/>
            </a:rPr>
            <a:t>0xA,</a:t>
          </a:r>
          <a:r>
            <a:rPr lang="en-US" altLang="zh-TW"/>
            <a:t> </a:t>
          </a:r>
          <a:r>
            <a:rPr lang="en-US" altLang="zh-TW" sz="1100" b="0" i="0" u="none" strike="noStrike">
              <a:solidFill>
                <a:schemeClr val="dk1"/>
              </a:solidFill>
              <a:effectLst/>
              <a:latin typeface="+mn-lt"/>
              <a:ea typeface="+mn-ea"/>
              <a:cs typeface="+mn-cs"/>
            </a:rPr>
            <a:t>0xB,</a:t>
          </a:r>
          <a:r>
            <a:rPr lang="en-US" altLang="zh-TW"/>
            <a:t> </a:t>
          </a:r>
          <a:r>
            <a:rPr lang="en-US" altLang="zh-TW" sz="1100" b="0" i="0" u="none" strike="noStrike">
              <a:solidFill>
                <a:schemeClr val="dk1"/>
              </a:solidFill>
              <a:effectLst/>
              <a:latin typeface="+mn-lt"/>
              <a:ea typeface="+mn-ea"/>
              <a:cs typeface="+mn-cs"/>
            </a:rPr>
            <a:t>0xC,</a:t>
          </a:r>
          <a:r>
            <a:rPr lang="en-US" altLang="zh-TW"/>
            <a:t> </a:t>
          </a:r>
          <a:r>
            <a:rPr lang="en-US" altLang="zh-TW" sz="1100" b="0" i="0" u="none" strike="noStrike">
              <a:solidFill>
                <a:schemeClr val="dk1"/>
              </a:solidFill>
              <a:effectLst/>
              <a:latin typeface="+mn-lt"/>
              <a:ea typeface="+mn-ea"/>
              <a:cs typeface="+mn-cs"/>
            </a:rPr>
            <a:t>0xD,</a:t>
          </a:r>
          <a:r>
            <a:rPr lang="en-US" altLang="zh-TW"/>
            <a:t> </a:t>
          </a:r>
          <a:r>
            <a:rPr lang="en-US" altLang="zh-TW" sz="1100" b="0" i="0" u="none" strike="noStrike">
              <a:solidFill>
                <a:schemeClr val="dk1"/>
              </a:solidFill>
              <a:effectLst/>
              <a:latin typeface="+mn-lt"/>
              <a:ea typeface="+mn-ea"/>
              <a:cs typeface="+mn-cs"/>
            </a:rPr>
            <a:t>0xE,</a:t>
          </a:r>
          <a:r>
            <a:rPr lang="en-US" altLang="zh-TW"/>
            <a:t> </a:t>
          </a:r>
          <a:r>
            <a:rPr lang="en-US" altLang="zh-TW" sz="1100" b="0" i="0" u="none" strike="noStrike">
              <a:solidFill>
                <a:schemeClr val="dk1"/>
              </a:solidFill>
              <a:effectLst/>
              <a:latin typeface="+mn-lt"/>
              <a:ea typeface="+mn-ea"/>
              <a:cs typeface="+mn-cs"/>
            </a:rPr>
            <a:t>0xF,</a:t>
          </a:r>
          <a:r>
            <a:rPr lang="en-US" altLang="zh-TW"/>
            <a:t> </a:t>
          </a:r>
          <a:r>
            <a:rPr lang="en-US" altLang="zh-TW" sz="1100" b="0" i="0" u="none" strike="noStrike">
              <a:solidFill>
                <a:schemeClr val="dk1"/>
              </a:solidFill>
              <a:effectLst/>
              <a:latin typeface="+mn-lt"/>
              <a:ea typeface="+mn-ea"/>
              <a:cs typeface="+mn-cs"/>
            </a:rPr>
            <a:t>0x10,</a:t>
          </a:r>
          <a:r>
            <a:rPr lang="en-US" altLang="zh-TW"/>
            <a:t> </a:t>
          </a:r>
          <a:r>
            <a:rPr lang="en-US" altLang="zh-TW" sz="1100" b="0" i="0" u="none" strike="noStrike">
              <a:solidFill>
                <a:schemeClr val="dk1"/>
              </a:solidFill>
              <a:effectLst/>
              <a:latin typeface="+mn-lt"/>
              <a:ea typeface="+mn-ea"/>
              <a:cs typeface="+mn-cs"/>
            </a:rPr>
            <a:t>0x11,</a:t>
          </a:r>
          <a:r>
            <a:rPr lang="en-US" altLang="zh-TW"/>
            <a:t> </a:t>
          </a:r>
          <a:r>
            <a:rPr lang="en-US" altLang="zh-TW" sz="1100" b="0" i="0" u="none" strike="noStrike">
              <a:solidFill>
                <a:schemeClr val="dk1"/>
              </a:solidFill>
              <a:effectLst/>
              <a:latin typeface="+mn-lt"/>
              <a:ea typeface="+mn-ea"/>
              <a:cs typeface="+mn-cs"/>
            </a:rPr>
            <a:t>0x12,</a:t>
          </a:r>
          <a:r>
            <a:rPr lang="en-US" altLang="zh-TW"/>
            <a:t> </a:t>
          </a:r>
          <a:r>
            <a:rPr lang="en-US" altLang="zh-TW" sz="1100" b="0" i="0" u="none" strike="noStrike">
              <a:solidFill>
                <a:schemeClr val="dk1"/>
              </a:solidFill>
              <a:effectLst/>
              <a:latin typeface="+mn-lt"/>
              <a:ea typeface="+mn-ea"/>
              <a:cs typeface="+mn-cs"/>
            </a:rPr>
            <a:t>0x13,</a:t>
          </a:r>
          <a:r>
            <a:rPr lang="en-US" altLang="zh-TW"/>
            <a:t> </a:t>
          </a:r>
          <a:r>
            <a:rPr lang="en-US" altLang="zh-TW" sz="1100" b="0" i="0" u="none" strike="noStrike">
              <a:solidFill>
                <a:schemeClr val="dk1"/>
              </a:solidFill>
              <a:effectLst/>
              <a:latin typeface="+mn-lt"/>
              <a:ea typeface="+mn-ea"/>
              <a:cs typeface="+mn-cs"/>
            </a:rPr>
            <a:t>0x14,</a:t>
          </a:r>
          <a:r>
            <a:rPr lang="en-US" altLang="zh-TW"/>
            <a:t> </a:t>
          </a:r>
          <a:r>
            <a:rPr lang="en-US" altLang="zh-TW" sz="1100" b="0" i="0" u="none" strike="noStrike">
              <a:solidFill>
                <a:schemeClr val="dk1"/>
              </a:solidFill>
              <a:effectLst/>
              <a:latin typeface="+mn-lt"/>
              <a:ea typeface="+mn-ea"/>
              <a:cs typeface="+mn-cs"/>
            </a:rPr>
            <a:t>0x15,</a:t>
          </a:r>
          <a:r>
            <a:rPr lang="en-US" altLang="zh-TW"/>
            <a:t> </a:t>
          </a:r>
          <a:r>
            <a:rPr lang="en-US" altLang="zh-TW" sz="1100" b="0" i="0" u="none" strike="noStrike">
              <a:solidFill>
                <a:schemeClr val="dk1"/>
              </a:solidFill>
              <a:effectLst/>
              <a:latin typeface="+mn-lt"/>
              <a:ea typeface="+mn-ea"/>
              <a:cs typeface="+mn-cs"/>
            </a:rPr>
            <a:t>0x16,</a:t>
          </a:r>
          <a:r>
            <a:rPr lang="en-US" altLang="zh-TW"/>
            <a:t> </a:t>
          </a:r>
          <a:r>
            <a:rPr lang="en-US" altLang="zh-TW" sz="1100" b="0" i="0" u="none" strike="noStrike">
              <a:solidFill>
                <a:schemeClr val="dk1"/>
              </a:solidFill>
              <a:effectLst/>
              <a:latin typeface="+mn-lt"/>
              <a:ea typeface="+mn-ea"/>
              <a:cs typeface="+mn-cs"/>
            </a:rPr>
            <a:t>0x17,</a:t>
          </a:r>
          <a:r>
            <a:rPr lang="en-US" altLang="zh-TW"/>
            <a:t> </a:t>
          </a:r>
          <a:r>
            <a:rPr lang="en-US" altLang="zh-TW" sz="1100" b="0" i="0" u="none" strike="noStrike">
              <a:solidFill>
                <a:schemeClr val="dk1"/>
              </a:solidFill>
              <a:effectLst/>
              <a:latin typeface="+mn-lt"/>
              <a:ea typeface="+mn-ea"/>
              <a:cs typeface="+mn-cs"/>
            </a:rPr>
            <a:t>0x18,</a:t>
          </a:r>
          <a:r>
            <a:rPr lang="en-US" altLang="zh-TW"/>
            <a:t> </a:t>
          </a:r>
          <a:r>
            <a:rPr lang="en-US" altLang="zh-TW" sz="1100" b="0" i="0" u="none" strike="noStrike">
              <a:solidFill>
                <a:schemeClr val="dk1"/>
              </a:solidFill>
              <a:effectLst/>
              <a:latin typeface="+mn-lt"/>
              <a:ea typeface="+mn-ea"/>
              <a:cs typeface="+mn-cs"/>
            </a:rPr>
            <a:t>0x19,</a:t>
          </a:r>
          <a:r>
            <a:rPr lang="en-US" altLang="zh-TW"/>
            <a:t> </a:t>
          </a:r>
          <a:r>
            <a:rPr lang="en-US" altLang="zh-TW" sz="1100" b="0" i="0" u="none" strike="noStrike">
              <a:solidFill>
                <a:schemeClr val="dk1"/>
              </a:solidFill>
              <a:effectLst/>
              <a:latin typeface="+mn-lt"/>
              <a:ea typeface="+mn-ea"/>
              <a:cs typeface="+mn-cs"/>
            </a:rPr>
            <a:t>0x1A,</a:t>
          </a:r>
          <a:r>
            <a:rPr lang="en-US" altLang="zh-TW"/>
            <a:t> </a:t>
          </a:r>
          <a:r>
            <a:rPr lang="en-US" altLang="zh-TW" sz="1100" b="0" i="0" u="none" strike="noStrike">
              <a:solidFill>
                <a:schemeClr val="dk1"/>
              </a:solidFill>
              <a:effectLst/>
              <a:latin typeface="+mn-lt"/>
              <a:ea typeface="+mn-ea"/>
              <a:cs typeface="+mn-cs"/>
            </a:rPr>
            <a:t>0x1B,</a:t>
          </a:r>
          <a:r>
            <a:rPr lang="en-US" altLang="zh-TW"/>
            <a:t> </a:t>
          </a:r>
          <a:r>
            <a:rPr lang="en-US" altLang="zh-TW" sz="1100" b="0" i="0" u="none" strike="noStrike">
              <a:solidFill>
                <a:schemeClr val="dk1"/>
              </a:solidFill>
              <a:effectLst/>
              <a:latin typeface="+mn-lt"/>
              <a:ea typeface="+mn-ea"/>
              <a:cs typeface="+mn-cs"/>
            </a:rPr>
            <a:t>0x1C,</a:t>
          </a:r>
          <a:r>
            <a:rPr lang="en-US" altLang="zh-TW"/>
            <a:t> </a:t>
          </a:r>
          <a:r>
            <a:rPr lang="en-US" altLang="zh-TW" sz="1100" b="0" i="0" u="none" strike="noStrike">
              <a:solidFill>
                <a:schemeClr val="dk1"/>
              </a:solidFill>
              <a:effectLst/>
              <a:latin typeface="+mn-lt"/>
              <a:ea typeface="+mn-ea"/>
              <a:cs typeface="+mn-cs"/>
            </a:rPr>
            <a:t>0x1D,</a:t>
          </a:r>
          <a:r>
            <a:rPr lang="en-US" altLang="zh-TW"/>
            <a:t> </a:t>
          </a:r>
          <a:r>
            <a:rPr lang="en-US" altLang="zh-TW" sz="1100" b="0" i="0" u="none" strike="noStrike">
              <a:solidFill>
                <a:schemeClr val="dk1"/>
              </a:solidFill>
              <a:effectLst/>
              <a:latin typeface="+mn-lt"/>
              <a:ea typeface="+mn-ea"/>
              <a:cs typeface="+mn-cs"/>
            </a:rPr>
            <a:t>0x1E,</a:t>
          </a:r>
          <a:r>
            <a:rPr lang="en-US" altLang="zh-TW"/>
            <a:t> </a:t>
          </a:r>
          <a:r>
            <a:rPr lang="en-US" altLang="zh-TW" sz="1100" b="0" i="0" u="none" strike="noStrike">
              <a:solidFill>
                <a:schemeClr val="dk1"/>
              </a:solidFill>
              <a:effectLst/>
              <a:latin typeface="+mn-lt"/>
              <a:ea typeface="+mn-ea"/>
              <a:cs typeface="+mn-cs"/>
            </a:rPr>
            <a:t>0x1F,</a:t>
          </a:r>
          <a:r>
            <a:rPr lang="en-US" altLang="zh-TW"/>
            <a:t> </a:t>
          </a:r>
          <a:r>
            <a:rPr lang="en-US" altLang="zh-TW" sz="1100" b="0" i="0" u="none" strike="noStrike">
              <a:solidFill>
                <a:schemeClr val="dk1"/>
              </a:solidFill>
              <a:effectLst/>
              <a:latin typeface="+mn-lt"/>
              <a:ea typeface="+mn-ea"/>
              <a:cs typeface="+mn-cs"/>
            </a:rPr>
            <a:t>0x20,</a:t>
          </a:r>
          <a:r>
            <a:rPr lang="en-US" altLang="zh-TW"/>
            <a:t> </a:t>
          </a:r>
          <a:r>
            <a:rPr lang="en-US" altLang="zh-TW" sz="1100" b="0" i="0" u="none" strike="noStrike">
              <a:solidFill>
                <a:schemeClr val="dk1"/>
              </a:solidFill>
              <a:effectLst/>
              <a:latin typeface="+mn-lt"/>
              <a:ea typeface="+mn-ea"/>
              <a:cs typeface="+mn-cs"/>
            </a:rPr>
            <a:t>0x21,</a:t>
          </a:r>
          <a:r>
            <a:rPr lang="en-US" altLang="zh-TW"/>
            <a:t> </a:t>
          </a:r>
          <a:r>
            <a:rPr lang="en-US" altLang="zh-TW" sz="1100" b="0" i="0" u="none" strike="noStrike">
              <a:solidFill>
                <a:schemeClr val="dk1"/>
              </a:solidFill>
              <a:effectLst/>
              <a:latin typeface="+mn-lt"/>
              <a:ea typeface="+mn-ea"/>
              <a:cs typeface="+mn-cs"/>
            </a:rPr>
            <a:t>0x22,</a:t>
          </a:r>
          <a:r>
            <a:rPr lang="en-US" altLang="zh-TW"/>
            <a:t> </a:t>
          </a:r>
          <a:r>
            <a:rPr lang="en-US" altLang="zh-TW" sz="1100" b="0" i="0" u="none" strike="noStrike">
              <a:solidFill>
                <a:schemeClr val="dk1"/>
              </a:solidFill>
              <a:effectLst/>
              <a:latin typeface="+mn-lt"/>
              <a:ea typeface="+mn-ea"/>
              <a:cs typeface="+mn-cs"/>
            </a:rPr>
            <a:t>0x23,</a:t>
          </a:r>
          <a:r>
            <a:rPr lang="en-US" altLang="zh-TW"/>
            <a:t> </a:t>
          </a:r>
          <a:r>
            <a:rPr lang="en-US" altLang="zh-TW" sz="1100" b="0" i="0" u="none" strike="noStrike">
              <a:solidFill>
                <a:schemeClr val="dk1"/>
              </a:solidFill>
              <a:effectLst/>
              <a:latin typeface="+mn-lt"/>
              <a:ea typeface="+mn-ea"/>
              <a:cs typeface="+mn-cs"/>
            </a:rPr>
            <a:t>0x24,</a:t>
          </a:r>
          <a:r>
            <a:rPr lang="en-US" altLang="zh-TW"/>
            <a:t> </a:t>
          </a:r>
          <a:r>
            <a:rPr lang="en-US" altLang="zh-TW" sz="1100" b="0" i="0" u="none" strike="noStrike">
              <a:solidFill>
                <a:schemeClr val="dk1"/>
              </a:solidFill>
              <a:effectLst/>
              <a:latin typeface="+mn-lt"/>
              <a:ea typeface="+mn-ea"/>
              <a:cs typeface="+mn-cs"/>
            </a:rPr>
            <a:t>0x25,</a:t>
          </a:r>
          <a:r>
            <a:rPr lang="en-US" altLang="zh-TW"/>
            <a:t> </a:t>
          </a:r>
          <a:r>
            <a:rPr lang="en-US" altLang="zh-TW" sz="1100" b="0" i="0" u="none" strike="noStrike">
              <a:solidFill>
                <a:schemeClr val="dk1"/>
              </a:solidFill>
              <a:effectLst/>
              <a:latin typeface="+mn-lt"/>
              <a:ea typeface="+mn-ea"/>
              <a:cs typeface="+mn-cs"/>
            </a:rPr>
            <a:t>0x26,</a:t>
          </a:r>
          <a:r>
            <a:rPr lang="en-US" altLang="zh-TW"/>
            <a:t> </a:t>
          </a:r>
          <a:r>
            <a:rPr lang="en-US" altLang="zh-TW" sz="1100" b="0" i="0" u="none" strike="noStrike">
              <a:solidFill>
                <a:schemeClr val="dk1"/>
              </a:solidFill>
              <a:effectLst/>
              <a:latin typeface="+mn-lt"/>
              <a:ea typeface="+mn-ea"/>
              <a:cs typeface="+mn-cs"/>
            </a:rPr>
            <a:t>0x27,</a:t>
          </a:r>
          <a:r>
            <a:rPr lang="en-US" altLang="zh-TW"/>
            <a:t> </a:t>
          </a:r>
          <a:r>
            <a:rPr lang="en-US" altLang="zh-TW" sz="1100" b="0" i="0" u="none" strike="noStrike">
              <a:solidFill>
                <a:schemeClr val="dk1"/>
              </a:solidFill>
              <a:effectLst/>
              <a:latin typeface="+mn-lt"/>
              <a:ea typeface="+mn-ea"/>
              <a:cs typeface="+mn-cs"/>
            </a:rPr>
            <a:t>0x28,</a:t>
          </a:r>
          <a:r>
            <a:rPr lang="en-US" altLang="zh-TW"/>
            <a:t> </a:t>
          </a:r>
          <a:r>
            <a:rPr lang="en-US" altLang="zh-TW" sz="1100" b="0" i="0" u="none" strike="noStrike">
              <a:solidFill>
                <a:schemeClr val="dk1"/>
              </a:solidFill>
              <a:effectLst/>
              <a:latin typeface="+mn-lt"/>
              <a:ea typeface="+mn-ea"/>
              <a:cs typeface="+mn-cs"/>
            </a:rPr>
            <a:t>0x29,</a:t>
          </a:r>
          <a:r>
            <a:rPr lang="en-US" altLang="zh-TW"/>
            <a:t> </a:t>
          </a:r>
          <a:r>
            <a:rPr lang="en-US" altLang="zh-TW" sz="1100" b="0" i="0" u="none" strike="noStrike">
              <a:solidFill>
                <a:schemeClr val="dk1"/>
              </a:solidFill>
              <a:effectLst/>
              <a:latin typeface="+mn-lt"/>
              <a:ea typeface="+mn-ea"/>
              <a:cs typeface="+mn-cs"/>
            </a:rPr>
            <a:t>0x2A,</a:t>
          </a:r>
          <a:r>
            <a:rPr lang="en-US" altLang="zh-TW"/>
            <a:t> </a:t>
          </a:r>
          <a:r>
            <a:rPr lang="en-US" altLang="zh-TW" sz="1100" b="0" i="0" u="none" strike="noStrike">
              <a:solidFill>
                <a:schemeClr val="dk1"/>
              </a:solidFill>
              <a:effectLst/>
              <a:latin typeface="+mn-lt"/>
              <a:ea typeface="+mn-ea"/>
              <a:cs typeface="+mn-cs"/>
            </a:rPr>
            <a:t>0x2B,</a:t>
          </a:r>
          <a:r>
            <a:rPr lang="en-US" altLang="zh-TW"/>
            <a:t> </a:t>
          </a:r>
          <a:r>
            <a:rPr lang="en-US" altLang="zh-TW" sz="1100" b="0" i="0" u="none" strike="noStrike">
              <a:solidFill>
                <a:schemeClr val="dk1"/>
              </a:solidFill>
              <a:effectLst/>
              <a:latin typeface="+mn-lt"/>
              <a:ea typeface="+mn-ea"/>
              <a:cs typeface="+mn-cs"/>
            </a:rPr>
            <a:t>0x2C,</a:t>
          </a:r>
          <a:r>
            <a:rPr lang="en-US" altLang="zh-TW"/>
            <a:t> </a:t>
          </a:r>
          <a:r>
            <a:rPr lang="en-US" altLang="zh-TW" sz="1100" b="0" i="0" u="none" strike="noStrike">
              <a:solidFill>
                <a:schemeClr val="dk1"/>
              </a:solidFill>
              <a:effectLst/>
              <a:latin typeface="+mn-lt"/>
              <a:ea typeface="+mn-ea"/>
              <a:cs typeface="+mn-cs"/>
            </a:rPr>
            <a:t>0x2D,</a:t>
          </a:r>
          <a:r>
            <a:rPr lang="en-US" altLang="zh-TW"/>
            <a:t> </a:t>
          </a:r>
          <a:r>
            <a:rPr lang="en-US" altLang="zh-TW" sz="1100" b="0" i="0" u="none" strike="noStrike">
              <a:solidFill>
                <a:schemeClr val="dk1"/>
              </a:solidFill>
              <a:effectLst/>
              <a:latin typeface="+mn-lt"/>
              <a:ea typeface="+mn-ea"/>
              <a:cs typeface="+mn-cs"/>
            </a:rPr>
            <a:t>0x2E,</a:t>
          </a:r>
          <a:r>
            <a:rPr lang="en-US" altLang="zh-TW"/>
            <a:t> </a:t>
          </a:r>
          <a:r>
            <a:rPr lang="en-US" altLang="zh-TW" sz="1100" b="0" i="0" u="none" strike="noStrike">
              <a:solidFill>
                <a:schemeClr val="dk1"/>
              </a:solidFill>
              <a:effectLst/>
              <a:latin typeface="+mn-lt"/>
              <a:ea typeface="+mn-ea"/>
              <a:cs typeface="+mn-cs"/>
            </a:rPr>
            <a:t>0x2F,</a:t>
          </a:r>
          <a:r>
            <a:rPr lang="en-US" altLang="zh-TW"/>
            <a:t> </a:t>
          </a:r>
          <a:r>
            <a:rPr lang="en-US" altLang="zh-TW" sz="1100" b="0" i="0" u="none" strike="noStrike">
              <a:solidFill>
                <a:schemeClr val="dk1"/>
              </a:solidFill>
              <a:effectLst/>
              <a:latin typeface="+mn-lt"/>
              <a:ea typeface="+mn-ea"/>
              <a:cs typeface="+mn-cs"/>
            </a:rPr>
            <a:t>0x30,</a:t>
          </a:r>
          <a:r>
            <a:rPr lang="en-US" altLang="zh-TW"/>
            <a:t> </a:t>
          </a:r>
          <a:r>
            <a:rPr lang="en-US" altLang="zh-TW" sz="1100" b="0" i="0" u="none" strike="noStrike">
              <a:solidFill>
                <a:schemeClr val="dk1"/>
              </a:solidFill>
              <a:effectLst/>
              <a:latin typeface="+mn-lt"/>
              <a:ea typeface="+mn-ea"/>
              <a:cs typeface="+mn-cs"/>
            </a:rPr>
            <a:t>0x31,</a:t>
          </a:r>
          <a:r>
            <a:rPr lang="en-US" altLang="zh-TW"/>
            <a:t> </a:t>
          </a:r>
          <a:r>
            <a:rPr lang="en-US" altLang="zh-TW" sz="1100" b="0" i="0" u="none" strike="noStrike">
              <a:solidFill>
                <a:schemeClr val="dk1"/>
              </a:solidFill>
              <a:effectLst/>
              <a:latin typeface="+mn-lt"/>
              <a:ea typeface="+mn-ea"/>
              <a:cs typeface="+mn-cs"/>
            </a:rPr>
            <a:t>0x32,</a:t>
          </a:r>
          <a:r>
            <a:rPr lang="en-US" altLang="zh-TW"/>
            <a:t> </a:t>
          </a:r>
          <a:r>
            <a:rPr lang="en-US" altLang="zh-TW" sz="1100" b="0" i="0" u="none" strike="noStrike">
              <a:solidFill>
                <a:schemeClr val="dk1"/>
              </a:solidFill>
              <a:effectLst/>
              <a:latin typeface="+mn-lt"/>
              <a:ea typeface="+mn-ea"/>
              <a:cs typeface="+mn-cs"/>
            </a:rPr>
            <a:t>0x33,</a:t>
          </a:r>
          <a:r>
            <a:rPr lang="en-US" altLang="zh-TW"/>
            <a:t> </a:t>
          </a:r>
          <a:r>
            <a:rPr lang="en-US" altLang="zh-TW" sz="1100" b="0" i="0" u="none" strike="noStrike">
              <a:solidFill>
                <a:schemeClr val="dk1"/>
              </a:solidFill>
              <a:effectLst/>
              <a:latin typeface="+mn-lt"/>
              <a:ea typeface="+mn-ea"/>
              <a:cs typeface="+mn-cs"/>
            </a:rPr>
            <a:t>0x34,</a:t>
          </a:r>
          <a:r>
            <a:rPr lang="en-US" altLang="zh-TW"/>
            <a:t> </a:t>
          </a:r>
          <a:r>
            <a:rPr lang="en-US" altLang="zh-TW" sz="1100" b="0" i="0" u="none" strike="noStrike">
              <a:solidFill>
                <a:schemeClr val="dk1"/>
              </a:solidFill>
              <a:effectLst/>
              <a:latin typeface="+mn-lt"/>
              <a:ea typeface="+mn-ea"/>
              <a:cs typeface="+mn-cs"/>
            </a:rPr>
            <a:t>0x35,</a:t>
          </a:r>
          <a:r>
            <a:rPr lang="en-US" altLang="zh-TW"/>
            <a:t> </a:t>
          </a:r>
          <a:r>
            <a:rPr lang="en-US" altLang="zh-TW" sz="1100" b="0" i="0" u="none" strike="noStrike">
              <a:solidFill>
                <a:schemeClr val="dk1"/>
              </a:solidFill>
              <a:effectLst/>
              <a:latin typeface="+mn-lt"/>
              <a:ea typeface="+mn-ea"/>
              <a:cs typeface="+mn-cs"/>
            </a:rPr>
            <a:t>0x36,</a:t>
          </a:r>
          <a:r>
            <a:rPr lang="en-US" altLang="zh-TW"/>
            <a:t> </a:t>
          </a:r>
          <a:r>
            <a:rPr lang="en-US" altLang="zh-TW" sz="1100" b="0" i="0" u="none" strike="noStrike">
              <a:solidFill>
                <a:schemeClr val="dk1"/>
              </a:solidFill>
              <a:effectLst/>
              <a:latin typeface="+mn-lt"/>
              <a:ea typeface="+mn-ea"/>
              <a:cs typeface="+mn-cs"/>
            </a:rPr>
            <a:t>0x37,</a:t>
          </a:r>
          <a:r>
            <a:rPr lang="en-US" altLang="zh-TW"/>
            <a:t> </a:t>
          </a:r>
          <a:r>
            <a:rPr lang="en-US" altLang="zh-TW" sz="1100" b="0" i="0" u="none" strike="noStrike">
              <a:solidFill>
                <a:schemeClr val="dk1"/>
              </a:solidFill>
              <a:effectLst/>
              <a:latin typeface="+mn-lt"/>
              <a:ea typeface="+mn-ea"/>
              <a:cs typeface="+mn-cs"/>
            </a:rPr>
            <a:t>0x38,</a:t>
          </a:r>
          <a:r>
            <a:rPr lang="en-US" altLang="zh-TW"/>
            <a:t> </a:t>
          </a:r>
          <a:r>
            <a:rPr lang="en-US" altLang="zh-TW" sz="1100" b="0" i="0" u="none" strike="noStrike">
              <a:solidFill>
                <a:schemeClr val="dk1"/>
              </a:solidFill>
              <a:effectLst/>
              <a:latin typeface="+mn-lt"/>
              <a:ea typeface="+mn-ea"/>
              <a:cs typeface="+mn-cs"/>
            </a:rPr>
            <a:t>0x39,</a:t>
          </a:r>
          <a:r>
            <a:rPr lang="en-US" altLang="zh-TW"/>
            <a:t> </a:t>
          </a:r>
          <a:r>
            <a:rPr lang="en-US" altLang="zh-TW" sz="1100" b="0" i="0" u="none" strike="noStrike">
              <a:solidFill>
                <a:schemeClr val="dk1"/>
              </a:solidFill>
              <a:effectLst/>
              <a:latin typeface="+mn-lt"/>
              <a:ea typeface="+mn-ea"/>
              <a:cs typeface="+mn-cs"/>
            </a:rPr>
            <a:t>0x3A,</a:t>
          </a:r>
          <a:r>
            <a:rPr lang="en-US" altLang="zh-TW"/>
            <a:t> </a:t>
          </a:r>
          <a:r>
            <a:rPr lang="en-US" altLang="zh-TW" sz="1100" b="0" i="0" u="none" strike="noStrike">
              <a:solidFill>
                <a:schemeClr val="dk1"/>
              </a:solidFill>
              <a:effectLst/>
              <a:latin typeface="+mn-lt"/>
              <a:ea typeface="+mn-ea"/>
              <a:cs typeface="+mn-cs"/>
            </a:rPr>
            <a:t>0x3B,</a:t>
          </a:r>
          <a:r>
            <a:rPr lang="en-US" altLang="zh-TW"/>
            <a:t> </a:t>
          </a:r>
          <a:r>
            <a:rPr lang="en-US" altLang="zh-TW" sz="1100" b="0" i="0" u="none" strike="noStrike">
              <a:solidFill>
                <a:schemeClr val="dk1"/>
              </a:solidFill>
              <a:effectLst/>
              <a:latin typeface="+mn-lt"/>
              <a:ea typeface="+mn-ea"/>
              <a:cs typeface="+mn-cs"/>
            </a:rPr>
            <a:t>0x3C,</a:t>
          </a:r>
          <a:r>
            <a:rPr lang="en-US" altLang="zh-TW"/>
            <a:t> </a:t>
          </a:r>
          <a:r>
            <a:rPr lang="en-US" altLang="zh-TW" sz="1100" b="0" i="0" u="none" strike="noStrike">
              <a:solidFill>
                <a:schemeClr val="dk1"/>
              </a:solidFill>
              <a:effectLst/>
              <a:latin typeface="+mn-lt"/>
              <a:ea typeface="+mn-ea"/>
              <a:cs typeface="+mn-cs"/>
            </a:rPr>
            <a:t>0x3D,</a:t>
          </a:r>
          <a:r>
            <a:rPr lang="en-US" altLang="zh-TW"/>
            <a:t> </a:t>
          </a:r>
          <a:r>
            <a:rPr lang="en-US" altLang="zh-TW" sz="1100" b="0" i="0" u="none" strike="noStrike">
              <a:solidFill>
                <a:schemeClr val="dk1"/>
              </a:solidFill>
              <a:effectLst/>
              <a:latin typeface="+mn-lt"/>
              <a:ea typeface="+mn-ea"/>
              <a:cs typeface="+mn-cs"/>
            </a:rPr>
            <a:t>0x3E,</a:t>
          </a:r>
          <a:r>
            <a:rPr lang="en-US" altLang="zh-TW"/>
            <a:t> </a:t>
          </a:r>
          <a:r>
            <a:rPr lang="en-US" altLang="zh-TW" sz="1100" b="0" i="0" u="none" strike="noStrike">
              <a:solidFill>
                <a:schemeClr val="dk1"/>
              </a:solidFill>
              <a:effectLst/>
              <a:latin typeface="+mn-lt"/>
              <a:ea typeface="+mn-ea"/>
              <a:cs typeface="+mn-cs"/>
            </a:rPr>
            <a:t>0x3F,</a:t>
          </a:r>
          <a:r>
            <a:rPr lang="en-US" altLang="zh-TW"/>
            <a:t> </a:t>
          </a:r>
          <a:r>
            <a:rPr lang="en-US" altLang="zh-TW" sz="1100" b="0" i="0" u="none" strike="noStrike">
              <a:solidFill>
                <a:schemeClr val="dk1"/>
              </a:solidFill>
              <a:effectLst/>
              <a:latin typeface="+mn-lt"/>
              <a:ea typeface="+mn-ea"/>
              <a:cs typeface="+mn-cs"/>
            </a:rPr>
            <a:t>0x40,</a:t>
          </a:r>
          <a:r>
            <a:rPr lang="en-US" altLang="zh-TW"/>
            <a:t> </a:t>
          </a:r>
          <a:r>
            <a:rPr lang="en-US" altLang="zh-TW" sz="1100" b="0" i="0" u="none" strike="noStrike">
              <a:solidFill>
                <a:schemeClr val="dk1"/>
              </a:solidFill>
              <a:effectLst/>
              <a:latin typeface="+mn-lt"/>
              <a:ea typeface="+mn-ea"/>
              <a:cs typeface="+mn-cs"/>
            </a:rPr>
            <a:t>0x41,</a:t>
          </a:r>
          <a:r>
            <a:rPr lang="en-US" altLang="zh-TW"/>
            <a:t> </a:t>
          </a:r>
          <a:r>
            <a:rPr lang="en-US" altLang="zh-TW" sz="1100" b="0" i="0" u="none" strike="noStrike">
              <a:solidFill>
                <a:schemeClr val="dk1"/>
              </a:solidFill>
              <a:effectLst/>
              <a:latin typeface="+mn-lt"/>
              <a:ea typeface="+mn-ea"/>
              <a:cs typeface="+mn-cs"/>
            </a:rPr>
            <a:t>0x42,</a:t>
          </a:r>
          <a:r>
            <a:rPr lang="en-US" altLang="zh-TW"/>
            <a:t> </a:t>
          </a:r>
          <a:r>
            <a:rPr lang="en-US" altLang="zh-TW" sz="1100" b="0" i="0" u="none" strike="noStrike">
              <a:solidFill>
                <a:schemeClr val="dk1"/>
              </a:solidFill>
              <a:effectLst/>
              <a:latin typeface="+mn-lt"/>
              <a:ea typeface="+mn-ea"/>
              <a:cs typeface="+mn-cs"/>
            </a:rPr>
            <a:t>0x43,</a:t>
          </a:r>
          <a:r>
            <a:rPr lang="en-US" altLang="zh-TW"/>
            <a:t> </a:t>
          </a:r>
          <a:r>
            <a:rPr lang="en-US" altLang="zh-TW" sz="1100" b="0" i="0" u="none" strike="noStrike">
              <a:solidFill>
                <a:schemeClr val="dk1"/>
              </a:solidFill>
              <a:effectLst/>
              <a:latin typeface="+mn-lt"/>
              <a:ea typeface="+mn-ea"/>
              <a:cs typeface="+mn-cs"/>
            </a:rPr>
            <a:t>0x44,</a:t>
          </a:r>
          <a:r>
            <a:rPr lang="en-US" altLang="zh-TW"/>
            <a:t> </a:t>
          </a:r>
          <a:r>
            <a:rPr lang="en-US" altLang="zh-TW" sz="1100" b="0" i="0" u="none" strike="noStrike">
              <a:solidFill>
                <a:schemeClr val="dk1"/>
              </a:solidFill>
              <a:effectLst/>
              <a:latin typeface="+mn-lt"/>
              <a:ea typeface="+mn-ea"/>
              <a:cs typeface="+mn-cs"/>
            </a:rPr>
            <a:t>0x45,</a:t>
          </a:r>
          <a:r>
            <a:rPr lang="en-US" altLang="zh-TW"/>
            <a:t> </a:t>
          </a:r>
          <a:r>
            <a:rPr lang="en-US" altLang="zh-TW" sz="1100" b="0" i="0" u="none" strike="noStrike">
              <a:solidFill>
                <a:schemeClr val="dk1"/>
              </a:solidFill>
              <a:effectLst/>
              <a:latin typeface="+mn-lt"/>
              <a:ea typeface="+mn-ea"/>
              <a:cs typeface="+mn-cs"/>
            </a:rPr>
            <a:t>0x46,</a:t>
          </a:r>
          <a:r>
            <a:rPr lang="en-US" altLang="zh-TW"/>
            <a:t> </a:t>
          </a:r>
          <a:r>
            <a:rPr lang="en-US" altLang="zh-TW" sz="1100" b="0" i="0" u="none" strike="noStrike">
              <a:solidFill>
                <a:schemeClr val="dk1"/>
              </a:solidFill>
              <a:effectLst/>
              <a:latin typeface="+mn-lt"/>
              <a:ea typeface="+mn-ea"/>
              <a:cs typeface="+mn-cs"/>
            </a:rPr>
            <a:t>0x47,</a:t>
          </a:r>
          <a:r>
            <a:rPr lang="en-US" altLang="zh-TW"/>
            <a:t> </a:t>
          </a:r>
          <a:r>
            <a:rPr lang="en-US" altLang="zh-TW" sz="1100" b="0" i="0" u="none" strike="noStrike">
              <a:solidFill>
                <a:schemeClr val="dk1"/>
              </a:solidFill>
              <a:effectLst/>
              <a:latin typeface="+mn-lt"/>
              <a:ea typeface="+mn-ea"/>
              <a:cs typeface="+mn-cs"/>
            </a:rPr>
            <a:t>0x48,</a:t>
          </a:r>
          <a:r>
            <a:rPr lang="en-US" altLang="zh-TW"/>
            <a:t> </a:t>
          </a:r>
          <a:r>
            <a:rPr lang="en-US" altLang="zh-TW" sz="1100" b="0" i="0" u="none" strike="noStrike">
              <a:solidFill>
                <a:schemeClr val="dk1"/>
              </a:solidFill>
              <a:effectLst/>
              <a:latin typeface="+mn-lt"/>
              <a:ea typeface="+mn-ea"/>
              <a:cs typeface="+mn-cs"/>
            </a:rPr>
            <a:t>0x49,</a:t>
          </a:r>
          <a:r>
            <a:rPr lang="en-US" altLang="zh-TW"/>
            <a:t> </a:t>
          </a:r>
          <a:r>
            <a:rPr lang="en-US" altLang="zh-TW" sz="1100" b="0" i="0" u="none" strike="noStrike">
              <a:solidFill>
                <a:schemeClr val="dk1"/>
              </a:solidFill>
              <a:effectLst/>
              <a:latin typeface="+mn-lt"/>
              <a:ea typeface="+mn-ea"/>
              <a:cs typeface="+mn-cs"/>
            </a:rPr>
            <a:t>0x4A,</a:t>
          </a:r>
          <a:r>
            <a:rPr lang="en-US" altLang="zh-TW"/>
            <a:t> </a:t>
          </a:r>
          <a:r>
            <a:rPr lang="en-US" altLang="zh-TW" sz="1100" b="0" i="0" u="none" strike="noStrike">
              <a:solidFill>
                <a:schemeClr val="dk1"/>
              </a:solidFill>
              <a:effectLst/>
              <a:latin typeface="+mn-lt"/>
              <a:ea typeface="+mn-ea"/>
              <a:cs typeface="+mn-cs"/>
            </a:rPr>
            <a:t>0x4B,</a:t>
          </a:r>
          <a:r>
            <a:rPr lang="en-US" altLang="zh-TW"/>
            <a:t> </a:t>
          </a:r>
          <a:r>
            <a:rPr lang="en-US" altLang="zh-TW" sz="1100" b="0" i="0" u="none" strike="noStrike">
              <a:solidFill>
                <a:schemeClr val="dk1"/>
              </a:solidFill>
              <a:effectLst/>
              <a:latin typeface="+mn-lt"/>
              <a:ea typeface="+mn-ea"/>
              <a:cs typeface="+mn-cs"/>
            </a:rPr>
            <a:t>0x4C,</a:t>
          </a:r>
          <a:r>
            <a:rPr lang="en-US" altLang="zh-TW"/>
            <a:t> </a:t>
          </a:r>
          <a:r>
            <a:rPr lang="en-US" altLang="zh-TW" sz="1100" b="0" i="0" u="none" strike="noStrike">
              <a:solidFill>
                <a:schemeClr val="dk1"/>
              </a:solidFill>
              <a:effectLst/>
              <a:latin typeface="+mn-lt"/>
              <a:ea typeface="+mn-ea"/>
              <a:cs typeface="+mn-cs"/>
            </a:rPr>
            <a:t>0x4D,</a:t>
          </a:r>
          <a:r>
            <a:rPr lang="en-US" altLang="zh-TW"/>
            <a:t> </a:t>
          </a:r>
          <a:r>
            <a:rPr lang="en-US" altLang="zh-TW" sz="1100" b="0" i="0" u="none" strike="noStrike">
              <a:solidFill>
                <a:schemeClr val="dk1"/>
              </a:solidFill>
              <a:effectLst/>
              <a:latin typeface="+mn-lt"/>
              <a:ea typeface="+mn-ea"/>
              <a:cs typeface="+mn-cs"/>
            </a:rPr>
            <a:t>0x4E,</a:t>
          </a:r>
          <a:r>
            <a:rPr lang="en-US" altLang="zh-TW"/>
            <a:t> </a:t>
          </a:r>
          <a:r>
            <a:rPr lang="en-US" altLang="zh-TW" sz="1100" b="0" i="0" u="none" strike="noStrike">
              <a:solidFill>
                <a:schemeClr val="dk1"/>
              </a:solidFill>
              <a:effectLst/>
              <a:latin typeface="+mn-lt"/>
              <a:ea typeface="+mn-ea"/>
              <a:cs typeface="+mn-cs"/>
            </a:rPr>
            <a:t>0x4F,</a:t>
          </a:r>
          <a:r>
            <a:rPr lang="en-US" altLang="zh-TW"/>
            <a:t> </a:t>
          </a:r>
          <a:r>
            <a:rPr lang="en-US" altLang="zh-TW" sz="1100" b="0" i="0" u="none" strike="noStrike">
              <a:solidFill>
                <a:schemeClr val="dk1"/>
              </a:solidFill>
              <a:effectLst/>
              <a:latin typeface="+mn-lt"/>
              <a:ea typeface="+mn-ea"/>
              <a:cs typeface="+mn-cs"/>
            </a:rPr>
            <a:t>0x50,</a:t>
          </a:r>
          <a:r>
            <a:rPr lang="en-US" altLang="zh-TW"/>
            <a:t> </a:t>
          </a:r>
          <a:r>
            <a:rPr lang="en-US" altLang="zh-TW" sz="1100" b="0" i="0" u="none" strike="noStrike">
              <a:solidFill>
                <a:schemeClr val="dk1"/>
              </a:solidFill>
              <a:effectLst/>
              <a:latin typeface="+mn-lt"/>
              <a:ea typeface="+mn-ea"/>
              <a:cs typeface="+mn-cs"/>
            </a:rPr>
            <a:t>0x51,</a:t>
          </a:r>
          <a:r>
            <a:rPr lang="en-US" altLang="zh-TW"/>
            <a:t> </a:t>
          </a:r>
          <a:r>
            <a:rPr lang="en-US" altLang="zh-TW" sz="1100" b="0" i="0" u="none" strike="noStrike">
              <a:solidFill>
                <a:schemeClr val="dk1"/>
              </a:solidFill>
              <a:effectLst/>
              <a:latin typeface="+mn-lt"/>
              <a:ea typeface="+mn-ea"/>
              <a:cs typeface="+mn-cs"/>
            </a:rPr>
            <a:t>0x52,</a:t>
          </a:r>
          <a:r>
            <a:rPr lang="en-US" altLang="zh-TW"/>
            <a:t> </a:t>
          </a:r>
          <a:r>
            <a:rPr lang="en-US" altLang="zh-TW" sz="1100" b="0" i="0" u="none" strike="noStrike">
              <a:solidFill>
                <a:schemeClr val="dk1"/>
              </a:solidFill>
              <a:effectLst/>
              <a:latin typeface="+mn-lt"/>
              <a:ea typeface="+mn-ea"/>
              <a:cs typeface="+mn-cs"/>
            </a:rPr>
            <a:t>0x53,</a:t>
          </a:r>
          <a:r>
            <a:rPr lang="en-US" altLang="zh-TW"/>
            <a:t> </a:t>
          </a:r>
          <a:r>
            <a:rPr lang="en-US" altLang="zh-TW" sz="1100" b="0" i="0" u="none" strike="noStrike">
              <a:solidFill>
                <a:schemeClr val="dk1"/>
              </a:solidFill>
              <a:effectLst/>
              <a:latin typeface="+mn-lt"/>
              <a:ea typeface="+mn-ea"/>
              <a:cs typeface="+mn-cs"/>
            </a:rPr>
            <a:t>0x54,</a:t>
          </a:r>
          <a:r>
            <a:rPr lang="en-US" altLang="zh-TW"/>
            <a:t> </a:t>
          </a:r>
          <a:r>
            <a:rPr lang="en-US" altLang="zh-TW" sz="1100" b="0" i="0" u="none" strike="noStrike">
              <a:solidFill>
                <a:schemeClr val="dk1"/>
              </a:solidFill>
              <a:effectLst/>
              <a:latin typeface="+mn-lt"/>
              <a:ea typeface="+mn-ea"/>
              <a:cs typeface="+mn-cs"/>
            </a:rPr>
            <a:t>0x55,</a:t>
          </a:r>
          <a:r>
            <a:rPr lang="en-US" altLang="zh-TW"/>
            <a:t> </a:t>
          </a:r>
          <a:r>
            <a:rPr lang="en-US" altLang="zh-TW" sz="1100" b="0" i="0" u="none" strike="noStrike">
              <a:solidFill>
                <a:schemeClr val="dk1"/>
              </a:solidFill>
              <a:effectLst/>
              <a:latin typeface="+mn-lt"/>
              <a:ea typeface="+mn-ea"/>
              <a:cs typeface="+mn-cs"/>
            </a:rPr>
            <a:t>0x56,</a:t>
          </a:r>
          <a:r>
            <a:rPr lang="en-US" altLang="zh-TW"/>
            <a:t> </a:t>
          </a:r>
          <a:r>
            <a:rPr lang="en-US" altLang="zh-TW" sz="1100" b="0" i="0" u="none" strike="noStrike">
              <a:solidFill>
                <a:schemeClr val="dk1"/>
              </a:solidFill>
              <a:effectLst/>
              <a:latin typeface="+mn-lt"/>
              <a:ea typeface="+mn-ea"/>
              <a:cs typeface="+mn-cs"/>
            </a:rPr>
            <a:t>0x57,</a:t>
          </a:r>
          <a:r>
            <a:rPr lang="en-US" altLang="zh-TW"/>
            <a:t> </a:t>
          </a:r>
          <a:r>
            <a:rPr lang="en-US" altLang="zh-TW" sz="1100" b="0" i="0" u="none" strike="noStrike">
              <a:solidFill>
                <a:schemeClr val="dk1"/>
              </a:solidFill>
              <a:effectLst/>
              <a:latin typeface="+mn-lt"/>
              <a:ea typeface="+mn-ea"/>
              <a:cs typeface="+mn-cs"/>
            </a:rPr>
            <a:t>0x58,</a:t>
          </a:r>
          <a:r>
            <a:rPr lang="en-US" altLang="zh-TW"/>
            <a:t> </a:t>
          </a:r>
          <a:r>
            <a:rPr lang="en-US" altLang="zh-TW" sz="1100" b="0" i="0" u="none" strike="noStrike">
              <a:solidFill>
                <a:schemeClr val="dk1"/>
              </a:solidFill>
              <a:effectLst/>
              <a:latin typeface="+mn-lt"/>
              <a:ea typeface="+mn-ea"/>
              <a:cs typeface="+mn-cs"/>
            </a:rPr>
            <a:t>0x59,</a:t>
          </a:r>
          <a:r>
            <a:rPr lang="en-US" altLang="zh-TW"/>
            <a:t> </a:t>
          </a:r>
          <a:r>
            <a:rPr lang="en-US" altLang="zh-TW" sz="1100" b="0" i="0" u="none" strike="noStrike">
              <a:solidFill>
                <a:schemeClr val="dk1"/>
              </a:solidFill>
              <a:effectLst/>
              <a:latin typeface="+mn-lt"/>
              <a:ea typeface="+mn-ea"/>
              <a:cs typeface="+mn-cs"/>
            </a:rPr>
            <a:t>0x5A,</a:t>
          </a:r>
          <a:r>
            <a:rPr lang="en-US" altLang="zh-TW"/>
            <a:t> </a:t>
          </a:r>
          <a:r>
            <a:rPr lang="en-US" altLang="zh-TW" sz="1100" b="0" i="0" u="none" strike="noStrike">
              <a:solidFill>
                <a:schemeClr val="dk1"/>
              </a:solidFill>
              <a:effectLst/>
              <a:latin typeface="+mn-lt"/>
              <a:ea typeface="+mn-ea"/>
              <a:cs typeface="+mn-cs"/>
            </a:rPr>
            <a:t>0x5B,</a:t>
          </a:r>
          <a:r>
            <a:rPr lang="en-US" altLang="zh-TW"/>
            <a:t> </a:t>
          </a:r>
          <a:r>
            <a:rPr lang="en-US" altLang="zh-TW" sz="1100" b="0" i="0" u="none" strike="noStrike">
              <a:solidFill>
                <a:schemeClr val="dk1"/>
              </a:solidFill>
              <a:effectLst/>
              <a:latin typeface="+mn-lt"/>
              <a:ea typeface="+mn-ea"/>
              <a:cs typeface="+mn-cs"/>
            </a:rPr>
            <a:t>0x5C,</a:t>
          </a:r>
          <a:r>
            <a:rPr lang="en-US" altLang="zh-TW"/>
            <a:t> </a:t>
          </a:r>
          <a:r>
            <a:rPr lang="en-US" altLang="zh-TW" sz="1100" b="0" i="0" u="none" strike="noStrike">
              <a:solidFill>
                <a:schemeClr val="dk1"/>
              </a:solidFill>
              <a:effectLst/>
              <a:latin typeface="+mn-lt"/>
              <a:ea typeface="+mn-ea"/>
              <a:cs typeface="+mn-cs"/>
            </a:rPr>
            <a:t>0x5D,</a:t>
          </a:r>
          <a:r>
            <a:rPr lang="en-US" altLang="zh-TW"/>
            <a:t> </a:t>
          </a:r>
          <a:r>
            <a:rPr lang="en-US" altLang="zh-TW" sz="1100" b="0" i="0" u="none" strike="noStrike">
              <a:solidFill>
                <a:schemeClr val="dk1"/>
              </a:solidFill>
              <a:effectLst/>
              <a:latin typeface="+mn-lt"/>
              <a:ea typeface="+mn-ea"/>
              <a:cs typeface="+mn-cs"/>
            </a:rPr>
            <a:t>0x5E,</a:t>
          </a:r>
          <a:r>
            <a:rPr lang="en-US" altLang="zh-TW"/>
            <a:t> </a:t>
          </a:r>
          <a:r>
            <a:rPr lang="en-US" altLang="zh-TW" sz="1100" b="0" i="0" u="none" strike="noStrike">
              <a:solidFill>
                <a:schemeClr val="dk1"/>
              </a:solidFill>
              <a:effectLst/>
              <a:latin typeface="+mn-lt"/>
              <a:ea typeface="+mn-ea"/>
              <a:cs typeface="+mn-cs"/>
            </a:rPr>
            <a:t>0x5F,</a:t>
          </a:r>
          <a:r>
            <a:rPr lang="en-US" altLang="zh-TW"/>
            <a:t> </a:t>
          </a:r>
          <a:r>
            <a:rPr lang="en-US" altLang="zh-TW" sz="1100" b="0" i="0" u="none" strike="noStrike">
              <a:solidFill>
                <a:schemeClr val="dk1"/>
              </a:solidFill>
              <a:effectLst/>
              <a:latin typeface="+mn-lt"/>
              <a:ea typeface="+mn-ea"/>
              <a:cs typeface="+mn-cs"/>
            </a:rPr>
            <a:t>0x60,</a:t>
          </a:r>
          <a:r>
            <a:rPr lang="en-US" altLang="zh-TW"/>
            <a:t> </a:t>
          </a:r>
          <a:r>
            <a:rPr lang="en-US" altLang="zh-TW" sz="1100" b="0" i="0" u="none" strike="noStrike">
              <a:solidFill>
                <a:schemeClr val="dk1"/>
              </a:solidFill>
              <a:effectLst/>
              <a:latin typeface="+mn-lt"/>
              <a:ea typeface="+mn-ea"/>
              <a:cs typeface="+mn-cs"/>
            </a:rPr>
            <a:t>0x61,</a:t>
          </a:r>
          <a:r>
            <a:rPr lang="en-US" altLang="zh-TW"/>
            <a:t> </a:t>
          </a:r>
          <a:r>
            <a:rPr lang="en-US" altLang="zh-TW" sz="1100" b="0" i="0" u="none" strike="noStrike">
              <a:solidFill>
                <a:schemeClr val="dk1"/>
              </a:solidFill>
              <a:effectLst/>
              <a:latin typeface="+mn-lt"/>
              <a:ea typeface="+mn-ea"/>
              <a:cs typeface="+mn-cs"/>
            </a:rPr>
            <a:t>0x62,</a:t>
          </a:r>
          <a:r>
            <a:rPr lang="en-US" altLang="zh-TW"/>
            <a:t> </a:t>
          </a:r>
          <a:r>
            <a:rPr lang="en-US" altLang="zh-TW" sz="1100" b="0" i="0" u="none" strike="noStrike">
              <a:solidFill>
                <a:schemeClr val="dk1"/>
              </a:solidFill>
              <a:effectLst/>
              <a:latin typeface="+mn-lt"/>
              <a:ea typeface="+mn-ea"/>
              <a:cs typeface="+mn-cs"/>
            </a:rPr>
            <a:t>0x63,</a:t>
          </a:r>
          <a:r>
            <a:rPr lang="en-US" altLang="zh-TW"/>
            <a:t> </a:t>
          </a:r>
          <a:r>
            <a:rPr lang="en-US" altLang="zh-TW" sz="1100" b="0" i="0" u="none" strike="noStrike">
              <a:solidFill>
                <a:schemeClr val="dk1"/>
              </a:solidFill>
              <a:effectLst/>
              <a:latin typeface="+mn-lt"/>
              <a:ea typeface="+mn-ea"/>
              <a:cs typeface="+mn-cs"/>
            </a:rPr>
            <a:t>0x64,</a:t>
          </a:r>
          <a:r>
            <a:rPr lang="en-US" altLang="zh-TW"/>
            <a:t> </a:t>
          </a:r>
          <a:r>
            <a:rPr lang="en-US" altLang="zh-TW" sz="1100" b="0" i="0" u="none" strike="noStrike">
              <a:solidFill>
                <a:schemeClr val="dk1"/>
              </a:solidFill>
              <a:effectLst/>
              <a:latin typeface="+mn-lt"/>
              <a:ea typeface="+mn-ea"/>
              <a:cs typeface="+mn-cs"/>
            </a:rPr>
            <a:t>0x65,</a:t>
          </a:r>
          <a:r>
            <a:rPr lang="en-US" altLang="zh-TW"/>
            <a:t> </a:t>
          </a:r>
          <a:r>
            <a:rPr lang="en-US" altLang="zh-TW" sz="1100" b="0" i="0" u="none" strike="noStrike">
              <a:solidFill>
                <a:schemeClr val="dk1"/>
              </a:solidFill>
              <a:effectLst/>
              <a:latin typeface="+mn-lt"/>
              <a:ea typeface="+mn-ea"/>
              <a:cs typeface="+mn-cs"/>
            </a:rPr>
            <a:t>0x66,</a:t>
          </a:r>
          <a:r>
            <a:rPr lang="en-US" altLang="zh-TW"/>
            <a:t> </a:t>
          </a:r>
          <a:r>
            <a:rPr lang="en-US" altLang="zh-TW" sz="1100" b="0" i="0" u="none" strike="noStrike">
              <a:solidFill>
                <a:schemeClr val="dk1"/>
              </a:solidFill>
              <a:effectLst/>
              <a:latin typeface="+mn-lt"/>
              <a:ea typeface="+mn-ea"/>
              <a:cs typeface="+mn-cs"/>
            </a:rPr>
            <a:t>0x67,</a:t>
          </a:r>
          <a:r>
            <a:rPr lang="en-US" altLang="zh-TW"/>
            <a:t> </a:t>
          </a:r>
          <a:r>
            <a:rPr lang="en-US" altLang="zh-TW" sz="1100" b="0" i="0" u="none" strike="noStrike">
              <a:solidFill>
                <a:schemeClr val="dk1"/>
              </a:solidFill>
              <a:effectLst/>
              <a:latin typeface="+mn-lt"/>
              <a:ea typeface="+mn-ea"/>
              <a:cs typeface="+mn-cs"/>
            </a:rPr>
            <a:t>0x68,</a:t>
          </a:r>
          <a:r>
            <a:rPr lang="en-US" altLang="zh-TW"/>
            <a:t> </a:t>
          </a:r>
          <a:r>
            <a:rPr lang="en-US" altLang="zh-TW" sz="1100" b="0" i="0" u="none" strike="noStrike">
              <a:solidFill>
                <a:schemeClr val="dk1"/>
              </a:solidFill>
              <a:effectLst/>
              <a:latin typeface="+mn-lt"/>
              <a:ea typeface="+mn-ea"/>
              <a:cs typeface="+mn-cs"/>
            </a:rPr>
            <a:t>0x69,</a:t>
          </a:r>
          <a:r>
            <a:rPr lang="en-US" altLang="zh-TW"/>
            <a:t> </a:t>
          </a:r>
          <a:r>
            <a:rPr lang="en-US" altLang="zh-TW" sz="1100" b="0" i="0" u="none" strike="noStrike">
              <a:solidFill>
                <a:schemeClr val="dk1"/>
              </a:solidFill>
              <a:effectLst/>
              <a:latin typeface="+mn-lt"/>
              <a:ea typeface="+mn-ea"/>
              <a:cs typeface="+mn-cs"/>
            </a:rPr>
            <a:t>0x6A,</a:t>
          </a:r>
          <a:r>
            <a:rPr lang="en-US" altLang="zh-TW"/>
            <a:t> </a:t>
          </a:r>
          <a:r>
            <a:rPr lang="en-US" altLang="zh-TW" sz="1100" b="0" i="0" u="none" strike="noStrike">
              <a:solidFill>
                <a:schemeClr val="dk1"/>
              </a:solidFill>
              <a:effectLst/>
              <a:latin typeface="+mn-lt"/>
              <a:ea typeface="+mn-ea"/>
              <a:cs typeface="+mn-cs"/>
            </a:rPr>
            <a:t>0x6B,</a:t>
          </a:r>
          <a:r>
            <a:rPr lang="en-US" altLang="zh-TW"/>
            <a:t> </a:t>
          </a:r>
          <a:r>
            <a:rPr lang="en-US" altLang="zh-TW" sz="1100" b="0" i="0" u="none" strike="noStrike">
              <a:solidFill>
                <a:schemeClr val="dk1"/>
              </a:solidFill>
              <a:effectLst/>
              <a:latin typeface="+mn-lt"/>
              <a:ea typeface="+mn-ea"/>
              <a:cs typeface="+mn-cs"/>
            </a:rPr>
            <a:t>0x6C,</a:t>
          </a:r>
          <a:r>
            <a:rPr lang="en-US" altLang="zh-TW"/>
            <a:t> </a:t>
          </a:r>
          <a:r>
            <a:rPr lang="en-US" altLang="zh-TW" sz="1100" b="0" i="0" u="none" strike="noStrike">
              <a:solidFill>
                <a:schemeClr val="dk1"/>
              </a:solidFill>
              <a:effectLst/>
              <a:latin typeface="+mn-lt"/>
              <a:ea typeface="+mn-ea"/>
              <a:cs typeface="+mn-cs"/>
            </a:rPr>
            <a:t>0x6D,</a:t>
          </a:r>
          <a:r>
            <a:rPr lang="en-US" altLang="zh-TW"/>
            <a:t> </a:t>
          </a:r>
          <a:r>
            <a:rPr lang="en-US" altLang="zh-TW" sz="1100" b="0" i="0" u="none" strike="noStrike">
              <a:solidFill>
                <a:schemeClr val="dk1"/>
              </a:solidFill>
              <a:effectLst/>
              <a:latin typeface="+mn-lt"/>
              <a:ea typeface="+mn-ea"/>
              <a:cs typeface="+mn-cs"/>
            </a:rPr>
            <a:t>0x6E,</a:t>
          </a:r>
          <a:r>
            <a:rPr lang="en-US" altLang="zh-TW"/>
            <a:t> </a:t>
          </a:r>
          <a:r>
            <a:rPr lang="en-US" altLang="zh-TW" sz="1100" b="0" i="0" u="none" strike="noStrike">
              <a:solidFill>
                <a:schemeClr val="dk1"/>
              </a:solidFill>
              <a:effectLst/>
              <a:latin typeface="+mn-lt"/>
              <a:ea typeface="+mn-ea"/>
              <a:cs typeface="+mn-cs"/>
            </a:rPr>
            <a:t>0x6F,</a:t>
          </a:r>
          <a:r>
            <a:rPr lang="en-US" altLang="zh-TW"/>
            <a:t> </a:t>
          </a:r>
          <a:r>
            <a:rPr lang="en-US" altLang="zh-TW" sz="1100" b="0" i="0" u="none" strike="noStrike">
              <a:solidFill>
                <a:schemeClr val="dk1"/>
              </a:solidFill>
              <a:effectLst/>
              <a:latin typeface="+mn-lt"/>
              <a:ea typeface="+mn-ea"/>
              <a:cs typeface="+mn-cs"/>
            </a:rPr>
            <a:t>0x70,</a:t>
          </a:r>
          <a:r>
            <a:rPr lang="en-US" altLang="zh-TW"/>
            <a:t> </a:t>
          </a:r>
          <a:r>
            <a:rPr lang="en-US" altLang="zh-TW" sz="1100" b="0" i="0" u="none" strike="noStrike">
              <a:solidFill>
                <a:schemeClr val="dk1"/>
              </a:solidFill>
              <a:effectLst/>
              <a:latin typeface="+mn-lt"/>
              <a:ea typeface="+mn-ea"/>
              <a:cs typeface="+mn-cs"/>
            </a:rPr>
            <a:t>0x71,</a:t>
          </a:r>
          <a:r>
            <a:rPr lang="en-US" altLang="zh-TW"/>
            <a:t> </a:t>
          </a:r>
          <a:r>
            <a:rPr lang="en-US" altLang="zh-TW" sz="1100" b="0" i="0" u="none" strike="noStrike">
              <a:solidFill>
                <a:schemeClr val="dk1"/>
              </a:solidFill>
              <a:effectLst/>
              <a:latin typeface="+mn-lt"/>
              <a:ea typeface="+mn-ea"/>
              <a:cs typeface="+mn-cs"/>
            </a:rPr>
            <a:t>0x72,</a:t>
          </a:r>
          <a:r>
            <a:rPr lang="en-US" altLang="zh-TW"/>
            <a:t> </a:t>
          </a:r>
          <a:r>
            <a:rPr lang="en-US" altLang="zh-TW" sz="1100" b="0" i="0" u="none" strike="noStrike">
              <a:solidFill>
                <a:schemeClr val="dk1"/>
              </a:solidFill>
              <a:effectLst/>
              <a:latin typeface="+mn-lt"/>
              <a:ea typeface="+mn-ea"/>
              <a:cs typeface="+mn-cs"/>
            </a:rPr>
            <a:t>0x73,</a:t>
          </a:r>
          <a:r>
            <a:rPr lang="en-US" altLang="zh-TW"/>
            <a:t> </a:t>
          </a:r>
          <a:r>
            <a:rPr lang="en-US" altLang="zh-TW" sz="1100" b="0" i="0" u="none" strike="noStrike">
              <a:solidFill>
                <a:schemeClr val="dk1"/>
              </a:solidFill>
              <a:effectLst/>
              <a:latin typeface="+mn-lt"/>
              <a:ea typeface="+mn-ea"/>
              <a:cs typeface="+mn-cs"/>
            </a:rPr>
            <a:t>0x74,</a:t>
          </a:r>
          <a:r>
            <a:rPr lang="en-US" altLang="zh-TW"/>
            <a:t> </a:t>
          </a:r>
          <a:r>
            <a:rPr lang="en-US" altLang="zh-TW" sz="1100" b="0" i="0" u="none" strike="noStrike">
              <a:solidFill>
                <a:schemeClr val="dk1"/>
              </a:solidFill>
              <a:effectLst/>
              <a:latin typeface="+mn-lt"/>
              <a:ea typeface="+mn-ea"/>
              <a:cs typeface="+mn-cs"/>
            </a:rPr>
            <a:t>0x75,</a:t>
          </a:r>
          <a:r>
            <a:rPr lang="en-US" altLang="zh-TW"/>
            <a:t> </a:t>
          </a:r>
          <a:r>
            <a:rPr lang="en-US" altLang="zh-TW" sz="1100" b="0" i="0" u="none" strike="noStrike">
              <a:solidFill>
                <a:schemeClr val="dk1"/>
              </a:solidFill>
              <a:effectLst/>
              <a:latin typeface="+mn-lt"/>
              <a:ea typeface="+mn-ea"/>
              <a:cs typeface="+mn-cs"/>
            </a:rPr>
            <a:t>0x76,</a:t>
          </a:r>
          <a:r>
            <a:rPr lang="en-US" altLang="zh-TW"/>
            <a:t> </a:t>
          </a:r>
          <a:r>
            <a:rPr lang="en-US" altLang="zh-TW" sz="1100" b="0" i="0" u="none" strike="noStrike">
              <a:solidFill>
                <a:schemeClr val="dk1"/>
              </a:solidFill>
              <a:effectLst/>
              <a:latin typeface="+mn-lt"/>
              <a:ea typeface="+mn-ea"/>
              <a:cs typeface="+mn-cs"/>
            </a:rPr>
            <a:t>0x77,</a:t>
          </a:r>
          <a:r>
            <a:rPr lang="en-US" altLang="zh-TW"/>
            <a:t> </a:t>
          </a:r>
          <a:r>
            <a:rPr lang="en-US" altLang="zh-TW" sz="1100" b="0" i="0" u="none" strike="noStrike">
              <a:solidFill>
                <a:schemeClr val="dk1"/>
              </a:solidFill>
              <a:effectLst/>
              <a:latin typeface="+mn-lt"/>
              <a:ea typeface="+mn-ea"/>
              <a:cs typeface="+mn-cs"/>
            </a:rPr>
            <a:t>0xEF,</a:t>
          </a:r>
          <a:r>
            <a:rPr lang="en-US" altLang="zh-TW"/>
            <a:t> </a:t>
          </a:r>
          <a:r>
            <a:rPr lang="en-US" altLang="zh-TW" sz="1100" b="0" i="0" u="none" strike="noStrike">
              <a:solidFill>
                <a:schemeClr val="dk1"/>
              </a:solidFill>
              <a:effectLst/>
              <a:latin typeface="+mn-lt"/>
              <a:ea typeface="+mn-ea"/>
              <a:cs typeface="+mn-cs"/>
            </a:rPr>
            <a:t>0xEE,</a:t>
          </a:r>
          <a:r>
            <a:rPr lang="en-US" altLang="zh-TW"/>
            <a:t> </a:t>
          </a:r>
          <a:r>
            <a:rPr lang="en-US" altLang="zh-TW" sz="1100" b="0" i="0" u="none" strike="noStrike">
              <a:solidFill>
                <a:schemeClr val="dk1"/>
              </a:solidFill>
              <a:effectLst/>
              <a:latin typeface="+mn-lt"/>
              <a:ea typeface="+mn-ea"/>
              <a:cs typeface="+mn-cs"/>
            </a:rPr>
            <a:t>0xED,</a:t>
          </a:r>
          <a:r>
            <a:rPr lang="en-US" altLang="zh-TW"/>
            <a:t> </a:t>
          </a:r>
          <a:r>
            <a:rPr lang="en-US" altLang="zh-TW" sz="1100" b="0" i="0" u="none" strike="noStrike">
              <a:solidFill>
                <a:schemeClr val="dk1"/>
              </a:solidFill>
              <a:effectLst/>
              <a:latin typeface="+mn-lt"/>
              <a:ea typeface="+mn-ea"/>
              <a:cs typeface="+mn-cs"/>
            </a:rPr>
            <a:t>0xEC,</a:t>
          </a:r>
          <a:r>
            <a:rPr lang="en-US" altLang="zh-TW"/>
            <a:t> </a:t>
          </a:r>
          <a:r>
            <a:rPr lang="en-US" altLang="zh-TW" sz="1100" b="0" i="0" u="none" strike="noStrike">
              <a:solidFill>
                <a:schemeClr val="dk1"/>
              </a:solidFill>
              <a:effectLst/>
              <a:latin typeface="+mn-lt"/>
              <a:ea typeface="+mn-ea"/>
              <a:cs typeface="+mn-cs"/>
            </a:rPr>
            <a:t>0xEB,</a:t>
          </a:r>
          <a:r>
            <a:rPr lang="en-US" altLang="zh-TW"/>
            <a:t> </a:t>
          </a:r>
          <a:r>
            <a:rPr lang="en-US" altLang="zh-TW" sz="1100" b="0" i="0" u="none" strike="noStrike">
              <a:solidFill>
                <a:schemeClr val="dk1"/>
              </a:solidFill>
              <a:effectLst/>
              <a:latin typeface="+mn-lt"/>
              <a:ea typeface="+mn-ea"/>
              <a:cs typeface="+mn-cs"/>
            </a:rPr>
            <a:t>0xEA,</a:t>
          </a:r>
          <a:r>
            <a:rPr lang="en-US" altLang="zh-TW"/>
            <a:t> </a:t>
          </a:r>
          <a:r>
            <a:rPr lang="en-US" altLang="zh-TW" sz="1100" b="0" i="0" u="none" strike="noStrike">
              <a:solidFill>
                <a:schemeClr val="dk1"/>
              </a:solidFill>
              <a:effectLst/>
              <a:latin typeface="+mn-lt"/>
              <a:ea typeface="+mn-ea"/>
              <a:cs typeface="+mn-cs"/>
            </a:rPr>
            <a:t>0xE9,</a:t>
          </a:r>
          <a:r>
            <a:rPr lang="en-US" altLang="zh-TW"/>
            <a:t> </a:t>
          </a:r>
          <a:r>
            <a:rPr lang="en-US" altLang="zh-TW" sz="1100" b="0" i="0" u="none" strike="noStrike">
              <a:solidFill>
                <a:schemeClr val="dk1"/>
              </a:solidFill>
              <a:effectLst/>
              <a:latin typeface="+mn-lt"/>
              <a:ea typeface="+mn-ea"/>
              <a:cs typeface="+mn-cs"/>
            </a:rPr>
            <a:t>0xE8,</a:t>
          </a:r>
          <a:r>
            <a:rPr lang="en-US" altLang="zh-TW"/>
            <a:t> </a:t>
          </a:r>
          <a:r>
            <a:rPr lang="en-US" altLang="zh-TW" sz="1100" b="0" i="0" u="none" strike="noStrike">
              <a:solidFill>
                <a:schemeClr val="dk1"/>
              </a:solidFill>
              <a:effectLst/>
              <a:latin typeface="+mn-lt"/>
              <a:ea typeface="+mn-ea"/>
              <a:cs typeface="+mn-cs"/>
            </a:rPr>
            <a:t>0xE7,</a:t>
          </a:r>
          <a:r>
            <a:rPr lang="en-US" altLang="zh-TW"/>
            <a:t> </a:t>
          </a:r>
          <a:r>
            <a:rPr lang="en-US" altLang="zh-TW" sz="1100" b="0" i="0" u="none" strike="noStrike">
              <a:solidFill>
                <a:schemeClr val="dk1"/>
              </a:solidFill>
              <a:effectLst/>
              <a:latin typeface="+mn-lt"/>
              <a:ea typeface="+mn-ea"/>
              <a:cs typeface="+mn-cs"/>
            </a:rPr>
            <a:t>0xE6,</a:t>
          </a:r>
          <a:r>
            <a:rPr lang="en-US" altLang="zh-TW"/>
            <a:t> </a:t>
          </a:r>
          <a:r>
            <a:rPr lang="en-US" altLang="zh-TW" sz="1100" b="0" i="0" u="none" strike="noStrike">
              <a:solidFill>
                <a:schemeClr val="dk1"/>
              </a:solidFill>
              <a:effectLst/>
              <a:latin typeface="+mn-lt"/>
              <a:ea typeface="+mn-ea"/>
              <a:cs typeface="+mn-cs"/>
            </a:rPr>
            <a:t>0xE5,</a:t>
          </a:r>
          <a:r>
            <a:rPr lang="en-US" altLang="zh-TW"/>
            <a:t> </a:t>
          </a:r>
          <a:r>
            <a:rPr lang="en-US" altLang="zh-TW" sz="1100" b="0" i="0" u="none" strike="noStrike">
              <a:solidFill>
                <a:schemeClr val="dk1"/>
              </a:solidFill>
              <a:effectLst/>
              <a:latin typeface="+mn-lt"/>
              <a:ea typeface="+mn-ea"/>
              <a:cs typeface="+mn-cs"/>
            </a:rPr>
            <a:t>0xE4,</a:t>
          </a:r>
          <a:r>
            <a:rPr lang="en-US" altLang="zh-TW"/>
            <a:t> </a:t>
          </a:r>
          <a:r>
            <a:rPr lang="en-US" altLang="zh-TW" sz="1100" b="0" i="0" u="none" strike="noStrike">
              <a:solidFill>
                <a:schemeClr val="dk1"/>
              </a:solidFill>
              <a:effectLst/>
              <a:latin typeface="+mn-lt"/>
              <a:ea typeface="+mn-ea"/>
              <a:cs typeface="+mn-cs"/>
            </a:rPr>
            <a:t>0xE3,</a:t>
          </a:r>
          <a:r>
            <a:rPr lang="en-US" altLang="zh-TW"/>
            <a:t> </a:t>
          </a:r>
          <a:r>
            <a:rPr lang="en-US" altLang="zh-TW" sz="1100" b="0" i="0" u="none" strike="noStrike">
              <a:solidFill>
                <a:schemeClr val="dk1"/>
              </a:solidFill>
              <a:effectLst/>
              <a:latin typeface="+mn-lt"/>
              <a:ea typeface="+mn-ea"/>
              <a:cs typeface="+mn-cs"/>
            </a:rPr>
            <a:t>0xE2,</a:t>
          </a:r>
          <a:r>
            <a:rPr lang="en-US" altLang="zh-TW"/>
            <a:t> </a:t>
          </a:r>
          <a:r>
            <a:rPr lang="en-US" altLang="zh-TW" sz="1100" b="0" i="0" u="none" strike="noStrike">
              <a:solidFill>
                <a:schemeClr val="dk1"/>
              </a:solidFill>
              <a:effectLst/>
              <a:latin typeface="+mn-lt"/>
              <a:ea typeface="+mn-ea"/>
              <a:cs typeface="+mn-cs"/>
            </a:rPr>
            <a:t>0xE1,</a:t>
          </a:r>
          <a:r>
            <a:rPr lang="en-US" altLang="zh-TW"/>
            <a:t> </a:t>
          </a:r>
          <a:r>
            <a:rPr lang="en-US" altLang="zh-TW" sz="1100" b="0" i="0" u="none" strike="noStrike">
              <a:solidFill>
                <a:schemeClr val="dk1"/>
              </a:solidFill>
              <a:effectLst/>
              <a:latin typeface="+mn-lt"/>
              <a:ea typeface="+mn-ea"/>
              <a:cs typeface="+mn-cs"/>
            </a:rPr>
            <a:t>0xE0,</a:t>
          </a:r>
          <a:r>
            <a:rPr lang="en-US" altLang="zh-TW"/>
            <a:t> </a:t>
          </a:r>
          <a:r>
            <a:rPr lang="en-US" altLang="zh-TW" sz="1100" b="0" i="0" u="none" strike="noStrike">
              <a:solidFill>
                <a:schemeClr val="dk1"/>
              </a:solidFill>
              <a:effectLst/>
              <a:latin typeface="+mn-lt"/>
              <a:ea typeface="+mn-ea"/>
              <a:cs typeface="+mn-cs"/>
            </a:rPr>
            <a:t>0xDF,</a:t>
          </a:r>
          <a:r>
            <a:rPr lang="en-US" altLang="zh-TW"/>
            <a:t> </a:t>
          </a:r>
          <a:r>
            <a:rPr lang="en-US" altLang="zh-TW" sz="1100" b="0" i="0" u="none" strike="noStrike">
              <a:solidFill>
                <a:schemeClr val="dk1"/>
              </a:solidFill>
              <a:effectLst/>
              <a:latin typeface="+mn-lt"/>
              <a:ea typeface="+mn-ea"/>
              <a:cs typeface="+mn-cs"/>
            </a:rPr>
            <a:t>0xDE,</a:t>
          </a:r>
          <a:r>
            <a:rPr lang="en-US" altLang="zh-TW"/>
            <a:t> </a:t>
          </a:r>
          <a:r>
            <a:rPr lang="en-US" altLang="zh-TW" sz="1100" b="0" i="0" u="none" strike="noStrike">
              <a:solidFill>
                <a:schemeClr val="dk1"/>
              </a:solidFill>
              <a:effectLst/>
              <a:latin typeface="+mn-lt"/>
              <a:ea typeface="+mn-ea"/>
              <a:cs typeface="+mn-cs"/>
            </a:rPr>
            <a:t>0xDD,</a:t>
          </a:r>
          <a:r>
            <a:rPr lang="en-US" altLang="zh-TW"/>
            <a:t> </a:t>
          </a:r>
          <a:r>
            <a:rPr lang="en-US" altLang="zh-TW" sz="1100" b="0" i="0" u="none" strike="noStrike">
              <a:solidFill>
                <a:schemeClr val="dk1"/>
              </a:solidFill>
              <a:effectLst/>
              <a:latin typeface="+mn-lt"/>
              <a:ea typeface="+mn-ea"/>
              <a:cs typeface="+mn-cs"/>
            </a:rPr>
            <a:t>0xDC,</a:t>
          </a:r>
          <a:r>
            <a:rPr lang="en-US" altLang="zh-TW"/>
            <a:t> </a:t>
          </a:r>
          <a:r>
            <a:rPr lang="en-US" altLang="zh-TW" sz="1100" b="0" i="0" u="none" strike="noStrike">
              <a:solidFill>
                <a:schemeClr val="dk1"/>
              </a:solidFill>
              <a:effectLst/>
              <a:latin typeface="+mn-lt"/>
              <a:ea typeface="+mn-ea"/>
              <a:cs typeface="+mn-cs"/>
            </a:rPr>
            <a:t>0xDB,</a:t>
          </a:r>
          <a:r>
            <a:rPr lang="en-US" altLang="zh-TW"/>
            <a:t> </a:t>
          </a:r>
          <a:r>
            <a:rPr lang="en-US" altLang="zh-TW" sz="1100" b="0" i="0" u="none" strike="noStrike">
              <a:solidFill>
                <a:schemeClr val="dk1"/>
              </a:solidFill>
              <a:effectLst/>
              <a:latin typeface="+mn-lt"/>
              <a:ea typeface="+mn-ea"/>
              <a:cs typeface="+mn-cs"/>
            </a:rPr>
            <a:t>0xDA,</a:t>
          </a:r>
          <a:r>
            <a:rPr lang="en-US" altLang="zh-TW"/>
            <a:t> </a:t>
          </a:r>
          <a:r>
            <a:rPr lang="en-US" altLang="zh-TW" sz="1100" b="0" i="0" u="none" strike="noStrike">
              <a:solidFill>
                <a:schemeClr val="dk1"/>
              </a:solidFill>
              <a:effectLst/>
              <a:latin typeface="+mn-lt"/>
              <a:ea typeface="+mn-ea"/>
              <a:cs typeface="+mn-cs"/>
            </a:rPr>
            <a:t>0xD9,</a:t>
          </a:r>
          <a:r>
            <a:rPr lang="en-US" altLang="zh-TW"/>
            <a:t> </a:t>
          </a:r>
          <a:r>
            <a:rPr lang="en-US" altLang="zh-TW" sz="1100" b="0" i="0" u="none" strike="noStrike">
              <a:solidFill>
                <a:schemeClr val="dk1"/>
              </a:solidFill>
              <a:effectLst/>
              <a:latin typeface="+mn-lt"/>
              <a:ea typeface="+mn-ea"/>
              <a:cs typeface="+mn-cs"/>
            </a:rPr>
            <a:t>0xD8,</a:t>
          </a:r>
          <a:r>
            <a:rPr lang="en-US" altLang="zh-TW"/>
            <a:t> </a:t>
          </a:r>
          <a:r>
            <a:rPr lang="en-US" altLang="zh-TW" sz="1100" b="0" i="0" u="none" strike="noStrike">
              <a:solidFill>
                <a:schemeClr val="dk1"/>
              </a:solidFill>
              <a:effectLst/>
              <a:latin typeface="+mn-lt"/>
              <a:ea typeface="+mn-ea"/>
              <a:cs typeface="+mn-cs"/>
            </a:rPr>
            <a:t>0xD7,</a:t>
          </a:r>
          <a:r>
            <a:rPr lang="en-US" altLang="zh-TW"/>
            <a:t> </a:t>
          </a:r>
          <a:r>
            <a:rPr lang="en-US" altLang="zh-TW" sz="1100" b="0" i="0" u="none" strike="noStrike">
              <a:solidFill>
                <a:schemeClr val="dk1"/>
              </a:solidFill>
              <a:effectLst/>
              <a:latin typeface="+mn-lt"/>
              <a:ea typeface="+mn-ea"/>
              <a:cs typeface="+mn-cs"/>
            </a:rPr>
            <a:t>0xD6,</a:t>
          </a:r>
          <a:r>
            <a:rPr lang="en-US" altLang="zh-TW"/>
            <a:t> </a:t>
          </a:r>
          <a:r>
            <a:rPr lang="en-US" altLang="zh-TW" sz="1100" b="0" i="0" u="none" strike="noStrike">
              <a:solidFill>
                <a:schemeClr val="dk1"/>
              </a:solidFill>
              <a:effectLst/>
              <a:latin typeface="+mn-lt"/>
              <a:ea typeface="+mn-ea"/>
              <a:cs typeface="+mn-cs"/>
            </a:rPr>
            <a:t>0xD5,</a:t>
          </a:r>
          <a:r>
            <a:rPr lang="en-US" altLang="zh-TW"/>
            <a:t> </a:t>
          </a:r>
          <a:r>
            <a:rPr lang="en-US" altLang="zh-TW" sz="1100" b="0" i="0" u="none" strike="noStrike">
              <a:solidFill>
                <a:schemeClr val="dk1"/>
              </a:solidFill>
              <a:effectLst/>
              <a:latin typeface="+mn-lt"/>
              <a:ea typeface="+mn-ea"/>
              <a:cs typeface="+mn-cs"/>
            </a:rPr>
            <a:t>0xD4,</a:t>
          </a:r>
          <a:r>
            <a:rPr lang="en-US" altLang="zh-TW"/>
            <a:t> </a:t>
          </a:r>
          <a:r>
            <a:rPr lang="en-US" altLang="zh-TW" sz="1100" b="0" i="0" u="none" strike="noStrike">
              <a:solidFill>
                <a:schemeClr val="dk1"/>
              </a:solidFill>
              <a:effectLst/>
              <a:latin typeface="+mn-lt"/>
              <a:ea typeface="+mn-ea"/>
              <a:cs typeface="+mn-cs"/>
            </a:rPr>
            <a:t>0xD3,</a:t>
          </a:r>
          <a:r>
            <a:rPr lang="en-US" altLang="zh-TW"/>
            <a:t> </a:t>
          </a:r>
          <a:r>
            <a:rPr lang="en-US" altLang="zh-TW" sz="1100" b="0" i="0" u="none" strike="noStrike">
              <a:solidFill>
                <a:schemeClr val="dk1"/>
              </a:solidFill>
              <a:effectLst/>
              <a:latin typeface="+mn-lt"/>
              <a:ea typeface="+mn-ea"/>
              <a:cs typeface="+mn-cs"/>
            </a:rPr>
            <a:t>0xD2,</a:t>
          </a:r>
          <a:r>
            <a:rPr lang="en-US" altLang="zh-TW"/>
            <a:t> </a:t>
          </a:r>
          <a:r>
            <a:rPr lang="en-US" altLang="zh-TW" sz="1100" b="0" i="0" u="none" strike="noStrike">
              <a:solidFill>
                <a:schemeClr val="dk1"/>
              </a:solidFill>
              <a:effectLst/>
              <a:latin typeface="+mn-lt"/>
              <a:ea typeface="+mn-ea"/>
              <a:cs typeface="+mn-cs"/>
            </a:rPr>
            <a:t>0xD1,</a:t>
          </a:r>
          <a:r>
            <a:rPr lang="en-US" altLang="zh-TW"/>
            <a:t> </a:t>
          </a:r>
          <a:r>
            <a:rPr lang="en-US" altLang="zh-TW" sz="1100" b="0" i="0" u="none" strike="noStrike">
              <a:solidFill>
                <a:schemeClr val="dk1"/>
              </a:solidFill>
              <a:effectLst/>
              <a:latin typeface="+mn-lt"/>
              <a:ea typeface="+mn-ea"/>
              <a:cs typeface="+mn-cs"/>
            </a:rPr>
            <a:t>0xD0,</a:t>
          </a:r>
          <a:r>
            <a:rPr lang="en-US" altLang="zh-TW"/>
            <a:t> </a:t>
          </a:r>
          <a:r>
            <a:rPr lang="en-US" altLang="zh-TW" sz="1100" b="0" i="0" u="none" strike="noStrike">
              <a:solidFill>
                <a:schemeClr val="dk1"/>
              </a:solidFill>
              <a:effectLst/>
              <a:latin typeface="+mn-lt"/>
              <a:ea typeface="+mn-ea"/>
              <a:cs typeface="+mn-cs"/>
            </a:rPr>
            <a:t>0xCF,</a:t>
          </a:r>
          <a:r>
            <a:rPr lang="en-US" altLang="zh-TW"/>
            <a:t> </a:t>
          </a:r>
          <a:r>
            <a:rPr lang="en-US" altLang="zh-TW" sz="1100" b="0" i="0" u="none" strike="noStrike">
              <a:solidFill>
                <a:schemeClr val="dk1"/>
              </a:solidFill>
              <a:effectLst/>
              <a:latin typeface="+mn-lt"/>
              <a:ea typeface="+mn-ea"/>
              <a:cs typeface="+mn-cs"/>
            </a:rPr>
            <a:t>0xCE,</a:t>
          </a:r>
          <a:r>
            <a:rPr lang="en-US" altLang="zh-TW"/>
            <a:t> </a:t>
          </a:r>
          <a:r>
            <a:rPr lang="en-US" altLang="zh-TW" sz="1100" b="0" i="0" u="none" strike="noStrike">
              <a:solidFill>
                <a:schemeClr val="dk1"/>
              </a:solidFill>
              <a:effectLst/>
              <a:latin typeface="+mn-lt"/>
              <a:ea typeface="+mn-ea"/>
              <a:cs typeface="+mn-cs"/>
            </a:rPr>
            <a:t>0xCD,</a:t>
          </a:r>
          <a:r>
            <a:rPr lang="en-US" altLang="zh-TW"/>
            <a:t> </a:t>
          </a:r>
          <a:r>
            <a:rPr lang="en-US" altLang="zh-TW" sz="1100" b="0" i="0" u="none" strike="noStrike">
              <a:solidFill>
                <a:schemeClr val="dk1"/>
              </a:solidFill>
              <a:effectLst/>
              <a:latin typeface="+mn-lt"/>
              <a:ea typeface="+mn-ea"/>
              <a:cs typeface="+mn-cs"/>
            </a:rPr>
            <a:t>0xCC,</a:t>
          </a:r>
          <a:r>
            <a:rPr lang="en-US" altLang="zh-TW"/>
            <a:t> </a:t>
          </a:r>
          <a:r>
            <a:rPr lang="en-US" altLang="zh-TW" sz="1100" b="0" i="0" u="none" strike="noStrike">
              <a:solidFill>
                <a:schemeClr val="dk1"/>
              </a:solidFill>
              <a:effectLst/>
              <a:latin typeface="+mn-lt"/>
              <a:ea typeface="+mn-ea"/>
              <a:cs typeface="+mn-cs"/>
            </a:rPr>
            <a:t>0xCB,</a:t>
          </a:r>
          <a:r>
            <a:rPr lang="en-US" altLang="zh-TW"/>
            <a:t> </a:t>
          </a:r>
          <a:r>
            <a:rPr lang="en-US" altLang="zh-TW" sz="1100" b="0" i="0" u="none" strike="noStrike">
              <a:solidFill>
                <a:schemeClr val="dk1"/>
              </a:solidFill>
              <a:effectLst/>
              <a:latin typeface="+mn-lt"/>
              <a:ea typeface="+mn-ea"/>
              <a:cs typeface="+mn-cs"/>
            </a:rPr>
            <a:t>0xCA,</a:t>
          </a:r>
          <a:r>
            <a:rPr lang="en-US" altLang="zh-TW"/>
            <a:t> </a:t>
          </a:r>
          <a:r>
            <a:rPr lang="en-US" altLang="zh-TW" sz="1100" b="0" i="0" u="none" strike="noStrike">
              <a:solidFill>
                <a:schemeClr val="dk1"/>
              </a:solidFill>
              <a:effectLst/>
              <a:latin typeface="+mn-lt"/>
              <a:ea typeface="+mn-ea"/>
              <a:cs typeface="+mn-cs"/>
            </a:rPr>
            <a:t>0xC9,</a:t>
          </a:r>
          <a:r>
            <a:rPr lang="en-US" altLang="zh-TW"/>
            <a:t> </a:t>
          </a:r>
          <a:r>
            <a:rPr lang="en-US" altLang="zh-TW" sz="1100" b="0" i="0" u="none" strike="noStrike">
              <a:solidFill>
                <a:schemeClr val="dk1"/>
              </a:solidFill>
              <a:effectLst/>
              <a:latin typeface="+mn-lt"/>
              <a:ea typeface="+mn-ea"/>
              <a:cs typeface="+mn-cs"/>
            </a:rPr>
            <a:t>0xC8,</a:t>
          </a:r>
          <a:r>
            <a:rPr lang="en-US" altLang="zh-TW"/>
            <a:t> </a:t>
          </a:r>
          <a:r>
            <a:rPr lang="en-US" altLang="zh-TW" sz="1100" b="0" i="0" u="none" strike="noStrike">
              <a:solidFill>
                <a:schemeClr val="dk1"/>
              </a:solidFill>
              <a:effectLst/>
              <a:latin typeface="+mn-lt"/>
              <a:ea typeface="+mn-ea"/>
              <a:cs typeface="+mn-cs"/>
            </a:rPr>
            <a:t>0xC7,</a:t>
          </a:r>
          <a:r>
            <a:rPr lang="en-US" altLang="zh-TW"/>
            <a:t> </a:t>
          </a:r>
          <a:r>
            <a:rPr lang="en-US" altLang="zh-TW" sz="1100" b="0" i="0" u="none" strike="noStrike">
              <a:solidFill>
                <a:schemeClr val="dk1"/>
              </a:solidFill>
              <a:effectLst/>
              <a:latin typeface="+mn-lt"/>
              <a:ea typeface="+mn-ea"/>
              <a:cs typeface="+mn-cs"/>
            </a:rPr>
            <a:t>0xC6,</a:t>
          </a:r>
          <a:r>
            <a:rPr lang="en-US" altLang="zh-TW"/>
            <a:t> </a:t>
          </a:r>
          <a:r>
            <a:rPr lang="en-US" altLang="zh-TW" sz="1100" b="0" i="0" u="none" strike="noStrike">
              <a:solidFill>
                <a:schemeClr val="dk1"/>
              </a:solidFill>
              <a:effectLst/>
              <a:latin typeface="+mn-lt"/>
              <a:ea typeface="+mn-ea"/>
              <a:cs typeface="+mn-cs"/>
            </a:rPr>
            <a:t>0xC5,</a:t>
          </a:r>
          <a:r>
            <a:rPr lang="en-US" altLang="zh-TW"/>
            <a:t> </a:t>
          </a:r>
          <a:r>
            <a:rPr lang="en-US" altLang="zh-TW" sz="1100" b="0" i="0" u="none" strike="noStrike">
              <a:solidFill>
                <a:schemeClr val="dk1"/>
              </a:solidFill>
              <a:effectLst/>
              <a:latin typeface="+mn-lt"/>
              <a:ea typeface="+mn-ea"/>
              <a:cs typeface="+mn-cs"/>
            </a:rPr>
            <a:t>0xC4,</a:t>
          </a:r>
          <a:r>
            <a:rPr lang="en-US" altLang="zh-TW"/>
            <a:t> </a:t>
          </a:r>
          <a:r>
            <a:rPr lang="en-US" altLang="zh-TW" sz="1100" b="0" i="0" u="none" strike="noStrike">
              <a:solidFill>
                <a:schemeClr val="dk1"/>
              </a:solidFill>
              <a:effectLst/>
              <a:latin typeface="+mn-lt"/>
              <a:ea typeface="+mn-ea"/>
              <a:cs typeface="+mn-cs"/>
            </a:rPr>
            <a:t>0xC3,</a:t>
          </a:r>
          <a:r>
            <a:rPr lang="en-US" altLang="zh-TW"/>
            <a:t> </a:t>
          </a:r>
          <a:r>
            <a:rPr lang="en-US" altLang="zh-TW" sz="1100" b="0" i="0" u="none" strike="noStrike">
              <a:solidFill>
                <a:schemeClr val="dk1"/>
              </a:solidFill>
              <a:effectLst/>
              <a:latin typeface="+mn-lt"/>
              <a:ea typeface="+mn-ea"/>
              <a:cs typeface="+mn-cs"/>
            </a:rPr>
            <a:t>0xC2,</a:t>
          </a:r>
          <a:r>
            <a:rPr lang="en-US" altLang="zh-TW"/>
            <a:t> </a:t>
          </a:r>
          <a:r>
            <a:rPr lang="en-US" altLang="zh-TW" sz="1100" b="0" i="0" u="none" strike="noStrike">
              <a:solidFill>
                <a:schemeClr val="dk1"/>
              </a:solidFill>
              <a:effectLst/>
              <a:latin typeface="+mn-lt"/>
              <a:ea typeface="+mn-ea"/>
              <a:cs typeface="+mn-cs"/>
            </a:rPr>
            <a:t>0xC1,</a:t>
          </a:r>
          <a:r>
            <a:rPr lang="en-US" altLang="zh-TW"/>
            <a:t> </a:t>
          </a:r>
          <a:r>
            <a:rPr lang="en-US" altLang="zh-TW" sz="1100" b="0" i="0" u="none" strike="noStrike">
              <a:solidFill>
                <a:schemeClr val="dk1"/>
              </a:solidFill>
              <a:effectLst/>
              <a:latin typeface="+mn-lt"/>
              <a:ea typeface="+mn-ea"/>
              <a:cs typeface="+mn-cs"/>
            </a:rPr>
            <a:t>0xC0,</a:t>
          </a:r>
          <a:r>
            <a:rPr lang="en-US" altLang="zh-TW"/>
            <a:t> </a:t>
          </a:r>
          <a:r>
            <a:rPr lang="en-US" altLang="zh-TW" sz="1100" b="0" i="0" u="none" strike="noStrike">
              <a:solidFill>
                <a:schemeClr val="dk1"/>
              </a:solidFill>
              <a:effectLst/>
              <a:latin typeface="+mn-lt"/>
              <a:ea typeface="+mn-ea"/>
              <a:cs typeface="+mn-cs"/>
            </a:rPr>
            <a:t>0xBF,</a:t>
          </a:r>
          <a:r>
            <a:rPr lang="en-US" altLang="zh-TW"/>
            <a:t> </a:t>
          </a:r>
          <a:r>
            <a:rPr lang="en-US" altLang="zh-TW" sz="1100" b="0" i="0" u="none" strike="noStrike">
              <a:solidFill>
                <a:schemeClr val="dk1"/>
              </a:solidFill>
              <a:effectLst/>
              <a:latin typeface="+mn-lt"/>
              <a:ea typeface="+mn-ea"/>
              <a:cs typeface="+mn-cs"/>
            </a:rPr>
            <a:t>0xBE,</a:t>
          </a:r>
          <a:r>
            <a:rPr lang="en-US" altLang="zh-TW"/>
            <a:t> </a:t>
          </a:r>
          <a:r>
            <a:rPr lang="en-US" altLang="zh-TW" sz="1100" b="0" i="0" u="none" strike="noStrike">
              <a:solidFill>
                <a:schemeClr val="dk1"/>
              </a:solidFill>
              <a:effectLst/>
              <a:latin typeface="+mn-lt"/>
              <a:ea typeface="+mn-ea"/>
              <a:cs typeface="+mn-cs"/>
            </a:rPr>
            <a:t>0xBD,</a:t>
          </a:r>
          <a:r>
            <a:rPr lang="en-US" altLang="zh-TW"/>
            <a:t> </a:t>
          </a:r>
          <a:r>
            <a:rPr lang="en-US" altLang="zh-TW" sz="1100" b="0" i="0" u="none" strike="noStrike">
              <a:solidFill>
                <a:schemeClr val="dk1"/>
              </a:solidFill>
              <a:effectLst/>
              <a:latin typeface="+mn-lt"/>
              <a:ea typeface="+mn-ea"/>
              <a:cs typeface="+mn-cs"/>
            </a:rPr>
            <a:t>0xBC,</a:t>
          </a:r>
          <a:r>
            <a:rPr lang="en-US" altLang="zh-TW"/>
            <a:t> </a:t>
          </a:r>
          <a:r>
            <a:rPr lang="en-US" altLang="zh-TW" sz="1100" b="0" i="0" u="none" strike="noStrike">
              <a:solidFill>
                <a:schemeClr val="dk1"/>
              </a:solidFill>
              <a:effectLst/>
              <a:latin typeface="+mn-lt"/>
              <a:ea typeface="+mn-ea"/>
              <a:cs typeface="+mn-cs"/>
            </a:rPr>
            <a:t>0xBB,</a:t>
          </a:r>
          <a:r>
            <a:rPr lang="en-US" altLang="zh-TW"/>
            <a:t> </a:t>
          </a:r>
          <a:r>
            <a:rPr lang="en-US" altLang="zh-TW" sz="1100" b="0" i="0" u="none" strike="noStrike">
              <a:solidFill>
                <a:schemeClr val="dk1"/>
              </a:solidFill>
              <a:effectLst/>
              <a:latin typeface="+mn-lt"/>
              <a:ea typeface="+mn-ea"/>
              <a:cs typeface="+mn-cs"/>
            </a:rPr>
            <a:t>0xBA,</a:t>
          </a:r>
          <a:r>
            <a:rPr lang="en-US" altLang="zh-TW"/>
            <a:t> </a:t>
          </a:r>
          <a:r>
            <a:rPr lang="en-US" altLang="zh-TW" sz="1100" b="0" i="0" u="none" strike="noStrike">
              <a:solidFill>
                <a:schemeClr val="dk1"/>
              </a:solidFill>
              <a:effectLst/>
              <a:latin typeface="+mn-lt"/>
              <a:ea typeface="+mn-ea"/>
              <a:cs typeface="+mn-cs"/>
            </a:rPr>
            <a:t>0xB9,</a:t>
          </a:r>
          <a:r>
            <a:rPr lang="en-US" altLang="zh-TW"/>
            <a:t> </a:t>
          </a:r>
          <a:r>
            <a:rPr lang="en-US" altLang="zh-TW" sz="1100" b="0" i="0" u="none" strike="noStrike">
              <a:solidFill>
                <a:schemeClr val="dk1"/>
              </a:solidFill>
              <a:effectLst/>
              <a:latin typeface="+mn-lt"/>
              <a:ea typeface="+mn-ea"/>
              <a:cs typeface="+mn-cs"/>
            </a:rPr>
            <a:t>0xB8,</a:t>
          </a:r>
          <a:r>
            <a:rPr lang="en-US" altLang="zh-TW"/>
            <a:t> </a:t>
          </a:r>
          <a:r>
            <a:rPr lang="en-US" altLang="zh-TW" sz="1100" b="0" i="0" u="none" strike="noStrike">
              <a:solidFill>
                <a:schemeClr val="dk1"/>
              </a:solidFill>
              <a:effectLst/>
              <a:latin typeface="+mn-lt"/>
              <a:ea typeface="+mn-ea"/>
              <a:cs typeface="+mn-cs"/>
            </a:rPr>
            <a:t>0xB7,</a:t>
          </a:r>
          <a:r>
            <a:rPr lang="en-US" altLang="zh-TW"/>
            <a:t> </a:t>
          </a:r>
          <a:r>
            <a:rPr lang="en-US" altLang="zh-TW" sz="1100" b="0" i="0" u="none" strike="noStrike">
              <a:solidFill>
                <a:schemeClr val="dk1"/>
              </a:solidFill>
              <a:effectLst/>
              <a:latin typeface="+mn-lt"/>
              <a:ea typeface="+mn-ea"/>
              <a:cs typeface="+mn-cs"/>
            </a:rPr>
            <a:t>0xB6,</a:t>
          </a:r>
          <a:r>
            <a:rPr lang="en-US" altLang="zh-TW"/>
            <a:t> </a:t>
          </a:r>
          <a:r>
            <a:rPr lang="en-US" altLang="zh-TW" sz="1100" b="0" i="0" u="none" strike="noStrike">
              <a:solidFill>
                <a:schemeClr val="dk1"/>
              </a:solidFill>
              <a:effectLst/>
              <a:latin typeface="+mn-lt"/>
              <a:ea typeface="+mn-ea"/>
              <a:cs typeface="+mn-cs"/>
            </a:rPr>
            <a:t>0xB5,</a:t>
          </a:r>
          <a:r>
            <a:rPr lang="en-US" altLang="zh-TW"/>
            <a:t> </a:t>
          </a:r>
          <a:r>
            <a:rPr lang="en-US" altLang="zh-TW" sz="1100" b="0" i="0" u="none" strike="noStrike">
              <a:solidFill>
                <a:schemeClr val="dk1"/>
              </a:solidFill>
              <a:effectLst/>
              <a:latin typeface="+mn-lt"/>
              <a:ea typeface="+mn-ea"/>
              <a:cs typeface="+mn-cs"/>
            </a:rPr>
            <a:t>0xB4,</a:t>
          </a:r>
          <a:r>
            <a:rPr lang="en-US" altLang="zh-TW"/>
            <a:t> </a:t>
          </a:r>
          <a:r>
            <a:rPr lang="en-US" altLang="zh-TW" sz="1100" b="0" i="0" u="none" strike="noStrike">
              <a:solidFill>
                <a:schemeClr val="dk1"/>
              </a:solidFill>
              <a:effectLst/>
              <a:latin typeface="+mn-lt"/>
              <a:ea typeface="+mn-ea"/>
              <a:cs typeface="+mn-cs"/>
            </a:rPr>
            <a:t>0xB3,</a:t>
          </a:r>
          <a:r>
            <a:rPr lang="en-US" altLang="zh-TW"/>
            <a:t> </a:t>
          </a:r>
          <a:r>
            <a:rPr lang="en-US" altLang="zh-TW" sz="1100" b="0" i="0" u="none" strike="noStrike">
              <a:solidFill>
                <a:schemeClr val="dk1"/>
              </a:solidFill>
              <a:effectLst/>
              <a:latin typeface="+mn-lt"/>
              <a:ea typeface="+mn-ea"/>
              <a:cs typeface="+mn-cs"/>
            </a:rPr>
            <a:t>0xB2,</a:t>
          </a:r>
          <a:r>
            <a:rPr lang="en-US" altLang="zh-TW"/>
            <a:t> </a:t>
          </a:r>
          <a:r>
            <a:rPr lang="en-US" altLang="zh-TW" sz="1100" b="0" i="0" u="none" strike="noStrike">
              <a:solidFill>
                <a:schemeClr val="dk1"/>
              </a:solidFill>
              <a:effectLst/>
              <a:latin typeface="+mn-lt"/>
              <a:ea typeface="+mn-ea"/>
              <a:cs typeface="+mn-cs"/>
            </a:rPr>
            <a:t>0xB1,</a:t>
          </a:r>
          <a:r>
            <a:rPr lang="en-US" altLang="zh-TW"/>
            <a:t> </a:t>
          </a:r>
          <a:r>
            <a:rPr lang="en-US" altLang="zh-TW" sz="1100" b="0" i="0" u="none" strike="noStrike">
              <a:solidFill>
                <a:schemeClr val="dk1"/>
              </a:solidFill>
              <a:effectLst/>
              <a:latin typeface="+mn-lt"/>
              <a:ea typeface="+mn-ea"/>
              <a:cs typeface="+mn-cs"/>
            </a:rPr>
            <a:t>0xB0,</a:t>
          </a:r>
          <a:r>
            <a:rPr lang="en-US" altLang="zh-TW"/>
            <a:t> </a:t>
          </a:r>
          <a:r>
            <a:rPr lang="en-US" altLang="zh-TW" sz="1100" b="0" i="0" u="none" strike="noStrike">
              <a:solidFill>
                <a:schemeClr val="dk1"/>
              </a:solidFill>
              <a:effectLst/>
              <a:latin typeface="+mn-lt"/>
              <a:ea typeface="+mn-ea"/>
              <a:cs typeface="+mn-cs"/>
            </a:rPr>
            <a:t>0xAF,</a:t>
          </a:r>
          <a:r>
            <a:rPr lang="en-US" altLang="zh-TW"/>
            <a:t> </a:t>
          </a:r>
          <a:r>
            <a:rPr lang="en-US" altLang="zh-TW" sz="1100" b="0" i="0" u="none" strike="noStrike">
              <a:solidFill>
                <a:schemeClr val="dk1"/>
              </a:solidFill>
              <a:effectLst/>
              <a:latin typeface="+mn-lt"/>
              <a:ea typeface="+mn-ea"/>
              <a:cs typeface="+mn-cs"/>
            </a:rPr>
            <a:t>0xAE,</a:t>
          </a:r>
          <a:r>
            <a:rPr lang="en-US" altLang="zh-TW"/>
            <a:t> </a:t>
          </a:r>
          <a:r>
            <a:rPr lang="en-US" altLang="zh-TW" sz="1100" b="0" i="0" u="none" strike="noStrike">
              <a:solidFill>
                <a:schemeClr val="dk1"/>
              </a:solidFill>
              <a:effectLst/>
              <a:latin typeface="+mn-lt"/>
              <a:ea typeface="+mn-ea"/>
              <a:cs typeface="+mn-cs"/>
            </a:rPr>
            <a:t>0xAD,</a:t>
          </a:r>
          <a:r>
            <a:rPr lang="en-US" altLang="zh-TW"/>
            <a:t> </a:t>
          </a:r>
          <a:r>
            <a:rPr lang="en-US" altLang="zh-TW" sz="1100" b="0" i="0" u="none" strike="noStrike">
              <a:solidFill>
                <a:schemeClr val="dk1"/>
              </a:solidFill>
              <a:effectLst/>
              <a:latin typeface="+mn-lt"/>
              <a:ea typeface="+mn-ea"/>
              <a:cs typeface="+mn-cs"/>
            </a:rPr>
            <a:t>0xAC,</a:t>
          </a:r>
          <a:r>
            <a:rPr lang="en-US" altLang="zh-TW"/>
            <a:t> </a:t>
          </a:r>
          <a:r>
            <a:rPr lang="en-US" altLang="zh-TW" sz="1100" b="0" i="0" u="none" strike="noStrike">
              <a:solidFill>
                <a:schemeClr val="dk1"/>
              </a:solidFill>
              <a:effectLst/>
              <a:latin typeface="+mn-lt"/>
              <a:ea typeface="+mn-ea"/>
              <a:cs typeface="+mn-cs"/>
            </a:rPr>
            <a:t>0xAB,</a:t>
          </a:r>
          <a:r>
            <a:rPr lang="en-US" altLang="zh-TW"/>
            <a:t> </a:t>
          </a:r>
          <a:r>
            <a:rPr lang="en-US" altLang="zh-TW" sz="1100" b="0" i="0" u="none" strike="noStrike">
              <a:solidFill>
                <a:schemeClr val="dk1"/>
              </a:solidFill>
              <a:effectLst/>
              <a:latin typeface="+mn-lt"/>
              <a:ea typeface="+mn-ea"/>
              <a:cs typeface="+mn-cs"/>
            </a:rPr>
            <a:t>0xAA,</a:t>
          </a:r>
          <a:r>
            <a:rPr lang="en-US" altLang="zh-TW"/>
            <a:t> </a:t>
          </a:r>
          <a:r>
            <a:rPr lang="en-US" altLang="zh-TW" sz="1100" b="0" i="0" u="none" strike="noStrike">
              <a:solidFill>
                <a:schemeClr val="dk1"/>
              </a:solidFill>
              <a:effectLst/>
              <a:latin typeface="+mn-lt"/>
              <a:ea typeface="+mn-ea"/>
              <a:cs typeface="+mn-cs"/>
            </a:rPr>
            <a:t>0xA9,</a:t>
          </a:r>
          <a:r>
            <a:rPr lang="en-US" altLang="zh-TW"/>
            <a:t> </a:t>
          </a:r>
          <a:r>
            <a:rPr lang="en-US" altLang="zh-TW" sz="1100" b="0" i="0" u="none" strike="noStrike">
              <a:solidFill>
                <a:schemeClr val="dk1"/>
              </a:solidFill>
              <a:effectLst/>
              <a:latin typeface="+mn-lt"/>
              <a:ea typeface="+mn-ea"/>
              <a:cs typeface="+mn-cs"/>
            </a:rPr>
            <a:t>0xA8,</a:t>
          </a:r>
          <a:r>
            <a:rPr lang="en-US" altLang="zh-TW"/>
            <a:t> </a:t>
          </a:r>
          <a:r>
            <a:rPr lang="en-US" altLang="zh-TW" sz="1100" b="0" i="0" u="none" strike="noStrike">
              <a:solidFill>
                <a:schemeClr val="dk1"/>
              </a:solidFill>
              <a:effectLst/>
              <a:latin typeface="+mn-lt"/>
              <a:ea typeface="+mn-ea"/>
              <a:cs typeface="+mn-cs"/>
            </a:rPr>
            <a:t>0xA7,</a:t>
          </a:r>
          <a:r>
            <a:rPr lang="en-US" altLang="zh-TW"/>
            <a:t> </a:t>
          </a:r>
          <a:r>
            <a:rPr lang="en-US" altLang="zh-TW" sz="1100" b="0" i="0" u="none" strike="noStrike">
              <a:solidFill>
                <a:schemeClr val="dk1"/>
              </a:solidFill>
              <a:effectLst/>
              <a:latin typeface="+mn-lt"/>
              <a:ea typeface="+mn-ea"/>
              <a:cs typeface="+mn-cs"/>
            </a:rPr>
            <a:t>0xA6,</a:t>
          </a:r>
          <a:r>
            <a:rPr lang="en-US" altLang="zh-TW"/>
            <a:t> </a:t>
          </a:r>
          <a:r>
            <a:rPr lang="en-US" altLang="zh-TW" sz="1100" b="0" i="0" u="none" strike="noStrike">
              <a:solidFill>
                <a:schemeClr val="dk1"/>
              </a:solidFill>
              <a:effectLst/>
              <a:latin typeface="+mn-lt"/>
              <a:ea typeface="+mn-ea"/>
              <a:cs typeface="+mn-cs"/>
            </a:rPr>
            <a:t>0xA5,</a:t>
          </a:r>
          <a:r>
            <a:rPr lang="en-US" altLang="zh-TW"/>
            <a:t> </a:t>
          </a:r>
          <a:r>
            <a:rPr lang="en-US" altLang="zh-TW" sz="1100" b="0" i="0" u="none" strike="noStrike">
              <a:solidFill>
                <a:schemeClr val="dk1"/>
              </a:solidFill>
              <a:effectLst/>
              <a:latin typeface="+mn-lt"/>
              <a:ea typeface="+mn-ea"/>
              <a:cs typeface="+mn-cs"/>
            </a:rPr>
            <a:t>0xA4,</a:t>
          </a:r>
          <a:r>
            <a:rPr lang="en-US" altLang="zh-TW"/>
            <a:t> </a:t>
          </a:r>
          <a:r>
            <a:rPr lang="en-US" altLang="zh-TW" sz="1100" b="0" i="0" u="none" strike="noStrike">
              <a:solidFill>
                <a:schemeClr val="dk1"/>
              </a:solidFill>
              <a:effectLst/>
              <a:latin typeface="+mn-lt"/>
              <a:ea typeface="+mn-ea"/>
              <a:cs typeface="+mn-cs"/>
            </a:rPr>
            <a:t>0xA3,</a:t>
          </a:r>
          <a:r>
            <a:rPr lang="en-US" altLang="zh-TW"/>
            <a:t> </a:t>
          </a:r>
          <a:r>
            <a:rPr lang="en-US" altLang="zh-TW" sz="1100" b="0" i="0" u="none" strike="noStrike">
              <a:solidFill>
                <a:schemeClr val="dk1"/>
              </a:solidFill>
              <a:effectLst/>
              <a:latin typeface="+mn-lt"/>
              <a:ea typeface="+mn-ea"/>
              <a:cs typeface="+mn-cs"/>
            </a:rPr>
            <a:t>0xA2,</a:t>
          </a:r>
          <a:r>
            <a:rPr lang="en-US" altLang="zh-TW"/>
            <a:t> </a:t>
          </a:r>
          <a:r>
            <a:rPr lang="en-US" altLang="zh-TW" sz="1100" b="0" i="0" u="none" strike="noStrike">
              <a:solidFill>
                <a:schemeClr val="dk1"/>
              </a:solidFill>
              <a:effectLst/>
              <a:latin typeface="+mn-lt"/>
              <a:ea typeface="+mn-ea"/>
              <a:cs typeface="+mn-cs"/>
            </a:rPr>
            <a:t>0xA1,</a:t>
          </a:r>
          <a:r>
            <a:rPr lang="en-US" altLang="zh-TW"/>
            <a:t> </a:t>
          </a:r>
          <a:r>
            <a:rPr lang="en-US" altLang="zh-TW" sz="1100" b="0" i="0" u="none" strike="noStrike">
              <a:solidFill>
                <a:schemeClr val="dk1"/>
              </a:solidFill>
              <a:effectLst/>
              <a:latin typeface="+mn-lt"/>
              <a:ea typeface="+mn-ea"/>
              <a:cs typeface="+mn-cs"/>
            </a:rPr>
            <a:t>0xA0,</a:t>
          </a:r>
          <a:r>
            <a:rPr lang="en-US" altLang="zh-TW"/>
            <a:t> </a:t>
          </a:r>
          <a:r>
            <a:rPr lang="en-US" altLang="zh-TW" sz="1100" b="0" i="0" u="none" strike="noStrike">
              <a:solidFill>
                <a:schemeClr val="dk1"/>
              </a:solidFill>
              <a:effectLst/>
              <a:latin typeface="+mn-lt"/>
              <a:ea typeface="+mn-ea"/>
              <a:cs typeface="+mn-cs"/>
            </a:rPr>
            <a:t>0x9F,</a:t>
          </a:r>
          <a:r>
            <a:rPr lang="en-US" altLang="zh-TW"/>
            <a:t> </a:t>
          </a:r>
          <a:r>
            <a:rPr lang="en-US" altLang="zh-TW" sz="1100" b="0" i="0" u="none" strike="noStrike">
              <a:solidFill>
                <a:schemeClr val="dk1"/>
              </a:solidFill>
              <a:effectLst/>
              <a:latin typeface="+mn-lt"/>
              <a:ea typeface="+mn-ea"/>
              <a:cs typeface="+mn-cs"/>
            </a:rPr>
            <a:t>0x9E,</a:t>
          </a:r>
          <a:r>
            <a:rPr lang="en-US" altLang="zh-TW"/>
            <a:t> </a:t>
          </a:r>
          <a:r>
            <a:rPr lang="en-US" altLang="zh-TW" sz="1100" b="0" i="0" u="none" strike="noStrike">
              <a:solidFill>
                <a:schemeClr val="dk1"/>
              </a:solidFill>
              <a:effectLst/>
              <a:latin typeface="+mn-lt"/>
              <a:ea typeface="+mn-ea"/>
              <a:cs typeface="+mn-cs"/>
            </a:rPr>
            <a:t>0x9D,</a:t>
          </a:r>
          <a:r>
            <a:rPr lang="en-US" altLang="zh-TW"/>
            <a:t> </a:t>
          </a:r>
          <a:r>
            <a:rPr lang="en-US" altLang="zh-TW" sz="1100" b="0" i="0" u="none" strike="noStrike">
              <a:solidFill>
                <a:schemeClr val="dk1"/>
              </a:solidFill>
              <a:effectLst/>
              <a:latin typeface="+mn-lt"/>
              <a:ea typeface="+mn-ea"/>
              <a:cs typeface="+mn-cs"/>
            </a:rPr>
            <a:t>0x9C,</a:t>
          </a:r>
          <a:r>
            <a:rPr lang="en-US" altLang="zh-TW"/>
            <a:t> </a:t>
          </a:r>
          <a:r>
            <a:rPr lang="en-US" altLang="zh-TW" sz="1100" b="0" i="0" u="none" strike="noStrike">
              <a:solidFill>
                <a:schemeClr val="dk1"/>
              </a:solidFill>
              <a:effectLst/>
              <a:latin typeface="+mn-lt"/>
              <a:ea typeface="+mn-ea"/>
              <a:cs typeface="+mn-cs"/>
            </a:rPr>
            <a:t>0x9B,</a:t>
          </a:r>
          <a:r>
            <a:rPr lang="en-US" altLang="zh-TW"/>
            <a:t> </a:t>
          </a:r>
          <a:r>
            <a:rPr lang="en-US" altLang="zh-TW" sz="1100" b="0" i="0" u="none" strike="noStrike">
              <a:solidFill>
                <a:schemeClr val="dk1"/>
              </a:solidFill>
              <a:effectLst/>
              <a:latin typeface="+mn-lt"/>
              <a:ea typeface="+mn-ea"/>
              <a:cs typeface="+mn-cs"/>
            </a:rPr>
            <a:t>0x9A,</a:t>
          </a:r>
          <a:r>
            <a:rPr lang="en-US" altLang="zh-TW"/>
            <a:t> </a:t>
          </a:r>
          <a:r>
            <a:rPr lang="en-US" altLang="zh-TW" sz="1100" b="0" i="0" u="none" strike="noStrike">
              <a:solidFill>
                <a:schemeClr val="dk1"/>
              </a:solidFill>
              <a:effectLst/>
              <a:latin typeface="+mn-lt"/>
              <a:ea typeface="+mn-ea"/>
              <a:cs typeface="+mn-cs"/>
            </a:rPr>
            <a:t>0x99,</a:t>
          </a:r>
          <a:r>
            <a:rPr lang="en-US" altLang="zh-TW"/>
            <a:t> </a:t>
          </a:r>
          <a:r>
            <a:rPr lang="en-US" altLang="zh-TW" sz="1100" b="0" i="0" u="none" strike="noStrike">
              <a:solidFill>
                <a:schemeClr val="dk1"/>
              </a:solidFill>
              <a:effectLst/>
              <a:latin typeface="+mn-lt"/>
              <a:ea typeface="+mn-ea"/>
              <a:cs typeface="+mn-cs"/>
            </a:rPr>
            <a:t>0x98,</a:t>
          </a:r>
          <a:r>
            <a:rPr lang="en-US" altLang="zh-TW"/>
            <a:t> </a:t>
          </a:r>
          <a:r>
            <a:rPr lang="en-US" altLang="zh-TW" sz="1100" b="0" i="0" u="none" strike="noStrike">
              <a:solidFill>
                <a:schemeClr val="dk1"/>
              </a:solidFill>
              <a:effectLst/>
              <a:latin typeface="+mn-lt"/>
              <a:ea typeface="+mn-ea"/>
              <a:cs typeface="+mn-cs"/>
            </a:rPr>
            <a:t>0x97,</a:t>
          </a:r>
          <a:r>
            <a:rPr lang="en-US" altLang="zh-TW"/>
            <a:t> </a:t>
          </a:r>
          <a:r>
            <a:rPr lang="en-US" altLang="zh-TW" sz="1100" b="0" i="0" u="none" strike="noStrike">
              <a:solidFill>
                <a:schemeClr val="dk1"/>
              </a:solidFill>
              <a:effectLst/>
              <a:latin typeface="+mn-lt"/>
              <a:ea typeface="+mn-ea"/>
              <a:cs typeface="+mn-cs"/>
            </a:rPr>
            <a:t>0x96,</a:t>
          </a:r>
          <a:r>
            <a:rPr lang="en-US" altLang="zh-TW"/>
            <a:t> </a:t>
          </a:r>
          <a:r>
            <a:rPr lang="en-US" altLang="zh-TW" sz="1100" b="0" i="0" u="none" strike="noStrike">
              <a:solidFill>
                <a:schemeClr val="dk1"/>
              </a:solidFill>
              <a:effectLst/>
              <a:latin typeface="+mn-lt"/>
              <a:ea typeface="+mn-ea"/>
              <a:cs typeface="+mn-cs"/>
            </a:rPr>
            <a:t>0x95,</a:t>
          </a:r>
          <a:r>
            <a:rPr lang="en-US" altLang="zh-TW"/>
            <a:t> </a:t>
          </a:r>
          <a:r>
            <a:rPr lang="en-US" altLang="zh-TW" sz="1100" b="0" i="0" u="none" strike="noStrike">
              <a:solidFill>
                <a:schemeClr val="dk1"/>
              </a:solidFill>
              <a:effectLst/>
              <a:latin typeface="+mn-lt"/>
              <a:ea typeface="+mn-ea"/>
              <a:cs typeface="+mn-cs"/>
            </a:rPr>
            <a:t>0x94,</a:t>
          </a:r>
          <a:r>
            <a:rPr lang="en-US" altLang="zh-TW"/>
            <a:t> </a:t>
          </a:r>
          <a:r>
            <a:rPr lang="en-US" altLang="zh-TW" sz="1100" b="0" i="0" u="none" strike="noStrike">
              <a:solidFill>
                <a:schemeClr val="dk1"/>
              </a:solidFill>
              <a:effectLst/>
              <a:latin typeface="+mn-lt"/>
              <a:ea typeface="+mn-ea"/>
              <a:cs typeface="+mn-cs"/>
            </a:rPr>
            <a:t>0x93,</a:t>
          </a:r>
          <a:r>
            <a:rPr lang="en-US" altLang="zh-TW"/>
            <a:t> </a:t>
          </a:r>
          <a:r>
            <a:rPr lang="en-US" altLang="zh-TW" sz="1100" b="0" i="0" u="none" strike="noStrike">
              <a:solidFill>
                <a:schemeClr val="dk1"/>
              </a:solidFill>
              <a:effectLst/>
              <a:latin typeface="+mn-lt"/>
              <a:ea typeface="+mn-ea"/>
              <a:cs typeface="+mn-cs"/>
            </a:rPr>
            <a:t>0x92,</a:t>
          </a:r>
          <a:r>
            <a:rPr lang="en-US" altLang="zh-TW"/>
            <a:t> </a:t>
          </a:r>
          <a:r>
            <a:rPr lang="en-US" altLang="zh-TW" sz="1100" b="0" i="0" u="none" strike="noStrike">
              <a:solidFill>
                <a:schemeClr val="dk1"/>
              </a:solidFill>
              <a:effectLst/>
              <a:latin typeface="+mn-lt"/>
              <a:ea typeface="+mn-ea"/>
              <a:cs typeface="+mn-cs"/>
            </a:rPr>
            <a:t>0x91,</a:t>
          </a:r>
          <a:r>
            <a:rPr lang="en-US" altLang="zh-TW"/>
            <a:t> </a:t>
          </a:r>
          <a:r>
            <a:rPr lang="en-US" altLang="zh-TW" sz="1100" b="0" i="0" u="none" strike="noStrike">
              <a:solidFill>
                <a:schemeClr val="dk1"/>
              </a:solidFill>
              <a:effectLst/>
              <a:latin typeface="+mn-lt"/>
              <a:ea typeface="+mn-ea"/>
              <a:cs typeface="+mn-cs"/>
            </a:rPr>
            <a:t>0x90,</a:t>
          </a:r>
          <a:r>
            <a:rPr lang="en-US" altLang="zh-TW"/>
            <a:t> </a:t>
          </a:r>
          <a:r>
            <a:rPr lang="en-US" altLang="zh-TW" sz="1100" b="0" i="0" u="none" strike="noStrike">
              <a:solidFill>
                <a:schemeClr val="dk1"/>
              </a:solidFill>
              <a:effectLst/>
              <a:latin typeface="+mn-lt"/>
              <a:ea typeface="+mn-ea"/>
              <a:cs typeface="+mn-cs"/>
            </a:rPr>
            <a:t>0x8F,</a:t>
          </a:r>
          <a:r>
            <a:rPr lang="en-US" altLang="zh-TW"/>
            <a:t> </a:t>
          </a:r>
          <a:r>
            <a:rPr lang="en-US" altLang="zh-TW" sz="1100" b="0" i="0" u="none" strike="noStrike">
              <a:solidFill>
                <a:schemeClr val="dk1"/>
              </a:solidFill>
              <a:effectLst/>
              <a:latin typeface="+mn-lt"/>
              <a:ea typeface="+mn-ea"/>
              <a:cs typeface="+mn-cs"/>
            </a:rPr>
            <a:t>0x8E,</a:t>
          </a:r>
          <a:r>
            <a:rPr lang="en-US" altLang="zh-TW"/>
            <a:t> </a:t>
          </a:r>
          <a:r>
            <a:rPr lang="en-US" altLang="zh-TW" sz="1100" b="0" i="0" u="none" strike="noStrike">
              <a:solidFill>
                <a:schemeClr val="dk1"/>
              </a:solidFill>
              <a:effectLst/>
              <a:latin typeface="+mn-lt"/>
              <a:ea typeface="+mn-ea"/>
              <a:cs typeface="+mn-cs"/>
            </a:rPr>
            <a:t>0x8D,</a:t>
          </a:r>
          <a:r>
            <a:rPr lang="en-US" altLang="zh-TW"/>
            <a:t> </a:t>
          </a:r>
          <a:r>
            <a:rPr lang="en-US" altLang="zh-TW" sz="1100" b="0" i="0" u="none" strike="noStrike">
              <a:solidFill>
                <a:schemeClr val="dk1"/>
              </a:solidFill>
              <a:effectLst/>
              <a:latin typeface="+mn-lt"/>
              <a:ea typeface="+mn-ea"/>
              <a:cs typeface="+mn-cs"/>
            </a:rPr>
            <a:t>0x8C,</a:t>
          </a:r>
          <a:r>
            <a:rPr lang="en-US" altLang="zh-TW"/>
            <a:t> </a:t>
          </a:r>
          <a:r>
            <a:rPr lang="en-US" altLang="zh-TW" sz="1100" b="0" i="0" u="none" strike="noStrike">
              <a:solidFill>
                <a:schemeClr val="dk1"/>
              </a:solidFill>
              <a:effectLst/>
              <a:latin typeface="+mn-lt"/>
              <a:ea typeface="+mn-ea"/>
              <a:cs typeface="+mn-cs"/>
            </a:rPr>
            <a:t>0x8B,</a:t>
          </a:r>
          <a:r>
            <a:rPr lang="en-US" altLang="zh-TW"/>
            <a:t> </a:t>
          </a:r>
          <a:r>
            <a:rPr lang="en-US" altLang="zh-TW" sz="1100" b="0" i="0" u="none" strike="noStrike">
              <a:solidFill>
                <a:schemeClr val="dk1"/>
              </a:solidFill>
              <a:effectLst/>
              <a:latin typeface="+mn-lt"/>
              <a:ea typeface="+mn-ea"/>
              <a:cs typeface="+mn-cs"/>
            </a:rPr>
            <a:t>0x8A,</a:t>
          </a:r>
          <a:r>
            <a:rPr lang="en-US" altLang="zh-TW"/>
            <a:t> </a:t>
          </a:r>
          <a:r>
            <a:rPr lang="en-US" altLang="zh-TW" sz="1100" b="0" i="0" u="none" strike="noStrike">
              <a:solidFill>
                <a:schemeClr val="dk1"/>
              </a:solidFill>
              <a:effectLst/>
              <a:latin typeface="+mn-lt"/>
              <a:ea typeface="+mn-ea"/>
              <a:cs typeface="+mn-cs"/>
            </a:rPr>
            <a:t>0x89,</a:t>
          </a:r>
          <a:r>
            <a:rPr lang="en-US" altLang="zh-TW"/>
            <a:t> </a:t>
          </a:r>
          <a:r>
            <a:rPr lang="en-US" altLang="zh-TW" sz="1100" b="0" i="0" u="none" strike="noStrike">
              <a:solidFill>
                <a:schemeClr val="dk1"/>
              </a:solidFill>
              <a:effectLst/>
              <a:latin typeface="+mn-lt"/>
              <a:ea typeface="+mn-ea"/>
              <a:cs typeface="+mn-cs"/>
            </a:rPr>
            <a:t>0x88,</a:t>
          </a:r>
          <a:r>
            <a:rPr lang="en-US" altLang="zh-TW"/>
            <a:t> </a:t>
          </a:r>
          <a:r>
            <a:rPr lang="en-US" altLang="zh-TW" sz="1100" b="0" i="0" u="none" strike="noStrike">
              <a:solidFill>
                <a:schemeClr val="dk1"/>
              </a:solidFill>
              <a:effectLst/>
              <a:latin typeface="+mn-lt"/>
              <a:ea typeface="+mn-ea"/>
              <a:cs typeface="+mn-cs"/>
            </a:rPr>
            <a:t>0x87,</a:t>
          </a:r>
          <a:r>
            <a:rPr lang="en-US" altLang="zh-TW"/>
            <a:t> </a:t>
          </a:r>
          <a:r>
            <a:rPr lang="en-US" altLang="zh-TW" sz="1100" b="0" i="0" u="none" strike="noStrike">
              <a:solidFill>
                <a:schemeClr val="dk1"/>
              </a:solidFill>
              <a:effectLst/>
              <a:latin typeface="+mn-lt"/>
              <a:ea typeface="+mn-ea"/>
              <a:cs typeface="+mn-cs"/>
            </a:rPr>
            <a:t>0x86,</a:t>
          </a:r>
          <a:r>
            <a:rPr lang="en-US" altLang="zh-TW"/>
            <a:t> </a:t>
          </a:r>
          <a:r>
            <a:rPr lang="en-US" altLang="zh-TW" sz="1100" b="0" i="0" u="none" strike="noStrike">
              <a:solidFill>
                <a:schemeClr val="dk1"/>
              </a:solidFill>
              <a:effectLst/>
              <a:latin typeface="+mn-lt"/>
              <a:ea typeface="+mn-ea"/>
              <a:cs typeface="+mn-cs"/>
            </a:rPr>
            <a:t>0x85,</a:t>
          </a:r>
          <a:r>
            <a:rPr lang="en-US" altLang="zh-TW"/>
            <a:t> </a:t>
          </a:r>
          <a:r>
            <a:rPr lang="en-US" altLang="zh-TW" sz="1100" b="0" i="0" u="none" strike="noStrike">
              <a:solidFill>
                <a:schemeClr val="dk1"/>
              </a:solidFill>
              <a:effectLst/>
              <a:latin typeface="+mn-lt"/>
              <a:ea typeface="+mn-ea"/>
              <a:cs typeface="+mn-cs"/>
            </a:rPr>
            <a:t>0x84,</a:t>
          </a:r>
          <a:r>
            <a:rPr lang="en-US" altLang="zh-TW"/>
            <a:t> </a:t>
          </a:r>
          <a:r>
            <a:rPr lang="en-US" altLang="zh-TW" sz="1100" b="0" i="0" u="none" strike="noStrike">
              <a:solidFill>
                <a:schemeClr val="dk1"/>
              </a:solidFill>
              <a:effectLst/>
              <a:latin typeface="+mn-lt"/>
              <a:ea typeface="+mn-ea"/>
              <a:cs typeface="+mn-cs"/>
            </a:rPr>
            <a:t>0x83,</a:t>
          </a:r>
          <a:r>
            <a:rPr lang="en-US" altLang="zh-TW"/>
            <a:t> </a:t>
          </a:r>
          <a:r>
            <a:rPr lang="en-US" altLang="zh-TW" sz="1100" b="0" i="0" u="none" strike="noStrike">
              <a:solidFill>
                <a:schemeClr val="dk1"/>
              </a:solidFill>
              <a:effectLst/>
              <a:latin typeface="+mn-lt"/>
              <a:ea typeface="+mn-ea"/>
              <a:cs typeface="+mn-cs"/>
            </a:rPr>
            <a:t>0x82,</a:t>
          </a:r>
          <a:r>
            <a:rPr lang="en-US" altLang="zh-TW"/>
            <a:t> </a:t>
          </a:r>
          <a:r>
            <a:rPr lang="en-US" altLang="zh-TW" sz="1100" b="0" i="0" u="none" strike="noStrike">
              <a:solidFill>
                <a:schemeClr val="dk1"/>
              </a:solidFill>
              <a:effectLst/>
              <a:latin typeface="+mn-lt"/>
              <a:ea typeface="+mn-ea"/>
              <a:cs typeface="+mn-cs"/>
            </a:rPr>
            <a:t>0x81,</a:t>
          </a:r>
          <a:r>
            <a:rPr lang="en-US" altLang="zh-TW"/>
            <a:t> </a:t>
          </a:r>
          <a:r>
            <a:rPr lang="en-US" altLang="zh-TW" sz="1100" b="0" i="0" u="none" strike="noStrike">
              <a:solidFill>
                <a:schemeClr val="dk1"/>
              </a:solidFill>
              <a:effectLst/>
              <a:latin typeface="+mn-lt"/>
              <a:ea typeface="+mn-ea"/>
              <a:cs typeface="+mn-cs"/>
            </a:rPr>
            <a:t>0x80,</a:t>
          </a:r>
          <a:r>
            <a:rPr lang="en-US" altLang="zh-TW"/>
            <a:t> </a:t>
          </a:r>
          <a:r>
            <a:rPr lang="en-US" altLang="zh-TW" sz="1100" b="0" i="0" u="none" strike="noStrike">
              <a:solidFill>
                <a:schemeClr val="dk1"/>
              </a:solidFill>
              <a:effectLst/>
              <a:latin typeface="+mn-lt"/>
              <a:ea typeface="+mn-ea"/>
              <a:cs typeface="+mn-cs"/>
            </a:rPr>
            <a:t>0x7F,</a:t>
          </a:r>
          <a:r>
            <a:rPr lang="en-US" altLang="zh-TW"/>
            <a:t> </a:t>
          </a:r>
          <a:r>
            <a:rPr lang="en-US" altLang="zh-TW" sz="1100" b="0" i="0" u="none" strike="noStrike">
              <a:solidFill>
                <a:schemeClr val="dk1"/>
              </a:solidFill>
              <a:effectLst/>
              <a:latin typeface="+mn-lt"/>
              <a:ea typeface="+mn-ea"/>
              <a:cs typeface="+mn-cs"/>
            </a:rPr>
            <a:t>0x7E,</a:t>
          </a:r>
          <a:r>
            <a:rPr lang="en-US" altLang="zh-TW"/>
            <a:t> </a:t>
          </a:r>
          <a:r>
            <a:rPr lang="en-US" altLang="zh-TW" sz="1100" b="0" i="0" u="none" strike="noStrike">
              <a:solidFill>
                <a:schemeClr val="dk1"/>
              </a:solidFill>
              <a:effectLst/>
              <a:latin typeface="+mn-lt"/>
              <a:ea typeface="+mn-ea"/>
              <a:cs typeface="+mn-cs"/>
            </a:rPr>
            <a:t>0x7D,</a:t>
          </a:r>
          <a:r>
            <a:rPr lang="en-US" altLang="zh-TW"/>
            <a:t> </a:t>
          </a:r>
          <a:r>
            <a:rPr lang="en-US" altLang="zh-TW" sz="1100" b="0" i="0" u="none" strike="noStrike">
              <a:solidFill>
                <a:schemeClr val="dk1"/>
              </a:solidFill>
              <a:effectLst/>
              <a:latin typeface="+mn-lt"/>
              <a:ea typeface="+mn-ea"/>
              <a:cs typeface="+mn-cs"/>
            </a:rPr>
            <a:t>0x7C,</a:t>
          </a:r>
          <a:r>
            <a:rPr lang="en-US" altLang="zh-TW"/>
            <a:t> </a:t>
          </a:r>
          <a:r>
            <a:rPr lang="en-US" altLang="zh-TW" sz="1100" b="0" i="0" u="none" strike="noStrike">
              <a:solidFill>
                <a:schemeClr val="dk1"/>
              </a:solidFill>
              <a:effectLst/>
              <a:latin typeface="+mn-lt"/>
              <a:ea typeface="+mn-ea"/>
              <a:cs typeface="+mn-cs"/>
            </a:rPr>
            <a:t>0x7B,</a:t>
          </a:r>
          <a:r>
            <a:rPr lang="en-US" altLang="zh-TW"/>
            <a:t> </a:t>
          </a:r>
          <a:r>
            <a:rPr lang="en-US" altLang="zh-TW" sz="1100" b="0" i="0" u="none" strike="noStrike">
              <a:solidFill>
                <a:schemeClr val="dk1"/>
              </a:solidFill>
              <a:effectLst/>
              <a:latin typeface="+mn-lt"/>
              <a:ea typeface="+mn-ea"/>
              <a:cs typeface="+mn-cs"/>
            </a:rPr>
            <a:t>0x7A,</a:t>
          </a:r>
          <a:r>
            <a:rPr lang="en-US" altLang="zh-TW"/>
            <a:t> </a:t>
          </a:r>
          <a:r>
            <a:rPr lang="en-US" altLang="zh-TW" sz="1100" b="0" i="0" u="none" strike="noStrike">
              <a:solidFill>
                <a:schemeClr val="dk1"/>
              </a:solidFill>
              <a:effectLst/>
              <a:latin typeface="+mn-lt"/>
              <a:ea typeface="+mn-ea"/>
              <a:cs typeface="+mn-cs"/>
            </a:rPr>
            <a:t>0x79,</a:t>
          </a:r>
          <a:r>
            <a:rPr lang="en-US" altLang="zh-TW"/>
            <a:t> </a:t>
          </a:r>
          <a:r>
            <a:rPr lang="en-US" altLang="zh-TW" sz="1100" b="0" i="0" u="none" strike="noStrike">
              <a:solidFill>
                <a:schemeClr val="dk1"/>
              </a:solidFill>
              <a:effectLst/>
              <a:latin typeface="+mn-lt"/>
              <a:ea typeface="+mn-ea"/>
              <a:cs typeface="+mn-cs"/>
            </a:rPr>
            <a:t>0x78,</a:t>
          </a:r>
          <a:r>
            <a:rPr lang="en-US" altLang="zh-TW"/>
            <a:t> </a:t>
          </a:r>
          <a:r>
            <a:rPr lang="en-US" altLang="zh-TW" sz="1100" b="0" i="0" u="none" strike="noStrike">
              <a:solidFill>
                <a:schemeClr val="dk1"/>
              </a:solidFill>
              <a:effectLst/>
              <a:latin typeface="+mn-lt"/>
              <a:ea typeface="+mn-ea"/>
              <a:cs typeface="+mn-cs"/>
            </a:rPr>
            <a:t>0xEF,</a:t>
          </a:r>
          <a:r>
            <a:rPr lang="en-US" altLang="zh-TW"/>
            <a:t> </a:t>
          </a:r>
          <a:r>
            <a:rPr lang="en-US" altLang="zh-TW" sz="1100" b="0" i="0" u="none" strike="noStrike">
              <a:solidFill>
                <a:schemeClr val="dk1"/>
              </a:solidFill>
              <a:effectLst/>
              <a:latin typeface="+mn-lt"/>
              <a:ea typeface="+mn-ea"/>
              <a:cs typeface="+mn-cs"/>
            </a:rPr>
            <a:t>0xEE,</a:t>
          </a:r>
          <a:r>
            <a:rPr lang="en-US" altLang="zh-TW"/>
            <a:t> </a:t>
          </a:r>
          <a:r>
            <a:rPr lang="en-US" altLang="zh-TW" sz="1100" b="0" i="0" u="none" strike="noStrike">
              <a:solidFill>
                <a:schemeClr val="dk1"/>
              </a:solidFill>
              <a:effectLst/>
              <a:latin typeface="+mn-lt"/>
              <a:ea typeface="+mn-ea"/>
              <a:cs typeface="+mn-cs"/>
            </a:rPr>
            <a:t>0xED,</a:t>
          </a:r>
          <a:r>
            <a:rPr lang="en-US" altLang="zh-TW"/>
            <a:t> </a:t>
          </a:r>
          <a:r>
            <a:rPr lang="en-US" altLang="zh-TW" sz="1100" b="0" i="0" u="none" strike="noStrike">
              <a:solidFill>
                <a:schemeClr val="dk1"/>
              </a:solidFill>
              <a:effectLst/>
              <a:latin typeface="+mn-lt"/>
              <a:ea typeface="+mn-ea"/>
              <a:cs typeface="+mn-cs"/>
            </a:rPr>
            <a:t>0xEC,</a:t>
          </a:r>
          <a:r>
            <a:rPr lang="en-US" altLang="zh-TW"/>
            <a:t> </a:t>
          </a:r>
          <a:r>
            <a:rPr lang="en-US" altLang="zh-TW" sz="1100" b="0" i="0" u="none" strike="noStrike">
              <a:solidFill>
                <a:schemeClr val="dk1"/>
              </a:solidFill>
              <a:effectLst/>
              <a:latin typeface="+mn-lt"/>
              <a:ea typeface="+mn-ea"/>
              <a:cs typeface="+mn-cs"/>
            </a:rPr>
            <a:t>0xEB,</a:t>
          </a:r>
          <a:r>
            <a:rPr lang="en-US" altLang="zh-TW"/>
            <a:t> </a:t>
          </a:r>
          <a:r>
            <a:rPr lang="en-US" altLang="zh-TW" sz="1100" b="0" i="0" u="none" strike="noStrike">
              <a:solidFill>
                <a:schemeClr val="dk1"/>
              </a:solidFill>
              <a:effectLst/>
              <a:latin typeface="+mn-lt"/>
              <a:ea typeface="+mn-ea"/>
              <a:cs typeface="+mn-cs"/>
            </a:rPr>
            <a:t>0xEA,</a:t>
          </a:r>
          <a:r>
            <a:rPr lang="en-US" altLang="zh-TW"/>
            <a:t> </a:t>
          </a:r>
          <a:r>
            <a:rPr lang="en-US" altLang="zh-TW" sz="1100" b="0" i="0" u="none" strike="noStrike">
              <a:solidFill>
                <a:schemeClr val="dk1"/>
              </a:solidFill>
              <a:effectLst/>
              <a:latin typeface="+mn-lt"/>
              <a:ea typeface="+mn-ea"/>
              <a:cs typeface="+mn-cs"/>
            </a:rPr>
            <a:t>0xE9,</a:t>
          </a:r>
          <a:r>
            <a:rPr lang="en-US" altLang="zh-TW"/>
            <a:t> </a:t>
          </a:r>
          <a:r>
            <a:rPr lang="en-US" altLang="zh-TW" sz="1100" b="0" i="0" u="none" strike="noStrike">
              <a:solidFill>
                <a:schemeClr val="dk1"/>
              </a:solidFill>
              <a:effectLst/>
              <a:latin typeface="+mn-lt"/>
              <a:ea typeface="+mn-ea"/>
              <a:cs typeface="+mn-cs"/>
            </a:rPr>
            <a:t>0xE8,</a:t>
          </a:r>
          <a:r>
            <a:rPr lang="en-US" altLang="zh-TW"/>
            <a:t> </a:t>
          </a:r>
          <a:r>
            <a:rPr lang="en-US" altLang="zh-TW" sz="1100" b="0" i="0" u="none" strike="noStrike">
              <a:solidFill>
                <a:schemeClr val="dk1"/>
              </a:solidFill>
              <a:effectLst/>
              <a:latin typeface="+mn-lt"/>
              <a:ea typeface="+mn-ea"/>
              <a:cs typeface="+mn-cs"/>
            </a:rPr>
            <a:t>0xE7,</a:t>
          </a:r>
          <a:r>
            <a:rPr lang="en-US" altLang="zh-TW"/>
            <a:t> </a:t>
          </a:r>
          <a:r>
            <a:rPr lang="en-US" altLang="zh-TW" sz="1100" b="0" i="0" u="none" strike="noStrike">
              <a:solidFill>
                <a:schemeClr val="dk1"/>
              </a:solidFill>
              <a:effectLst/>
              <a:latin typeface="+mn-lt"/>
              <a:ea typeface="+mn-ea"/>
              <a:cs typeface="+mn-cs"/>
            </a:rPr>
            <a:t>0xE6,</a:t>
          </a:r>
          <a:r>
            <a:rPr lang="en-US" altLang="zh-TW"/>
            <a:t> </a:t>
          </a:r>
          <a:r>
            <a:rPr lang="en-US" altLang="zh-TW" sz="1100" b="0" i="0" u="none" strike="noStrike">
              <a:solidFill>
                <a:schemeClr val="dk1"/>
              </a:solidFill>
              <a:effectLst/>
              <a:latin typeface="+mn-lt"/>
              <a:ea typeface="+mn-ea"/>
              <a:cs typeface="+mn-cs"/>
            </a:rPr>
            <a:t>0xE5,</a:t>
          </a:r>
          <a:r>
            <a:rPr lang="en-US" altLang="zh-TW"/>
            <a:t> </a:t>
          </a:r>
          <a:r>
            <a:rPr lang="en-US" altLang="zh-TW" sz="1100" b="0" i="0" u="none" strike="noStrike">
              <a:solidFill>
                <a:schemeClr val="dk1"/>
              </a:solidFill>
              <a:effectLst/>
              <a:latin typeface="+mn-lt"/>
              <a:ea typeface="+mn-ea"/>
              <a:cs typeface="+mn-cs"/>
            </a:rPr>
            <a:t>0xE4,</a:t>
          </a:r>
          <a:r>
            <a:rPr lang="en-US" altLang="zh-TW"/>
            <a:t> </a:t>
          </a:r>
          <a:r>
            <a:rPr lang="en-US" altLang="zh-TW" sz="1100" b="0" i="0" u="none" strike="noStrike">
              <a:solidFill>
                <a:schemeClr val="dk1"/>
              </a:solidFill>
              <a:effectLst/>
              <a:latin typeface="+mn-lt"/>
              <a:ea typeface="+mn-ea"/>
              <a:cs typeface="+mn-cs"/>
            </a:rPr>
            <a:t>0xE3,</a:t>
          </a:r>
          <a:r>
            <a:rPr lang="en-US" altLang="zh-TW"/>
            <a:t> </a:t>
          </a:r>
          <a:r>
            <a:rPr lang="en-US" altLang="zh-TW" sz="1100" b="0" i="0" u="none" strike="noStrike">
              <a:solidFill>
                <a:schemeClr val="dk1"/>
              </a:solidFill>
              <a:effectLst/>
              <a:latin typeface="+mn-lt"/>
              <a:ea typeface="+mn-ea"/>
              <a:cs typeface="+mn-cs"/>
            </a:rPr>
            <a:t>0xE2,</a:t>
          </a:r>
          <a:r>
            <a:rPr lang="en-US" altLang="zh-TW"/>
            <a:t> </a:t>
          </a:r>
          <a:r>
            <a:rPr lang="en-US" altLang="zh-TW" sz="1100" b="0" i="0" u="none" strike="noStrike">
              <a:solidFill>
                <a:schemeClr val="dk1"/>
              </a:solidFill>
              <a:effectLst/>
              <a:latin typeface="+mn-lt"/>
              <a:ea typeface="+mn-ea"/>
              <a:cs typeface="+mn-cs"/>
            </a:rPr>
            <a:t>0xE1,</a:t>
          </a:r>
          <a:r>
            <a:rPr lang="en-US" altLang="zh-TW"/>
            <a:t> </a:t>
          </a:r>
          <a:r>
            <a:rPr lang="en-US" altLang="zh-TW" sz="1100" b="0" i="0" u="none" strike="noStrike">
              <a:solidFill>
                <a:schemeClr val="dk1"/>
              </a:solidFill>
              <a:effectLst/>
              <a:latin typeface="+mn-lt"/>
              <a:ea typeface="+mn-ea"/>
              <a:cs typeface="+mn-cs"/>
            </a:rPr>
            <a:t>0xE0,</a:t>
          </a:r>
          <a:r>
            <a:rPr lang="en-US" altLang="zh-TW"/>
            <a:t> </a:t>
          </a:r>
          <a:r>
            <a:rPr lang="en-US" altLang="zh-TW" sz="1100" b="0" i="0" u="none" strike="noStrike">
              <a:solidFill>
                <a:schemeClr val="dk1"/>
              </a:solidFill>
              <a:effectLst/>
              <a:latin typeface="+mn-lt"/>
              <a:ea typeface="+mn-ea"/>
              <a:cs typeface="+mn-cs"/>
            </a:rPr>
            <a:t>0xDF,</a:t>
          </a:r>
          <a:r>
            <a:rPr lang="en-US" altLang="zh-TW"/>
            <a:t> </a:t>
          </a:r>
          <a:r>
            <a:rPr lang="en-US" altLang="zh-TW" sz="1100" b="0" i="0" u="none" strike="noStrike">
              <a:solidFill>
                <a:schemeClr val="dk1"/>
              </a:solidFill>
              <a:effectLst/>
              <a:latin typeface="+mn-lt"/>
              <a:ea typeface="+mn-ea"/>
              <a:cs typeface="+mn-cs"/>
            </a:rPr>
            <a:t>0xDE,</a:t>
          </a:r>
          <a:r>
            <a:rPr lang="en-US" altLang="zh-TW"/>
            <a:t> </a:t>
          </a:r>
          <a:r>
            <a:rPr lang="en-US" altLang="zh-TW" sz="1100" b="0" i="0" u="none" strike="noStrike">
              <a:solidFill>
                <a:schemeClr val="dk1"/>
              </a:solidFill>
              <a:effectLst/>
              <a:latin typeface="+mn-lt"/>
              <a:ea typeface="+mn-ea"/>
              <a:cs typeface="+mn-cs"/>
            </a:rPr>
            <a:t>0xDD,</a:t>
          </a:r>
          <a:r>
            <a:rPr lang="en-US" altLang="zh-TW"/>
            <a:t> </a:t>
          </a:r>
          <a:r>
            <a:rPr lang="en-US" altLang="zh-TW" sz="1100" b="0" i="0" u="none" strike="noStrike">
              <a:solidFill>
                <a:schemeClr val="dk1"/>
              </a:solidFill>
              <a:effectLst/>
              <a:latin typeface="+mn-lt"/>
              <a:ea typeface="+mn-ea"/>
              <a:cs typeface="+mn-cs"/>
            </a:rPr>
            <a:t>0xDC,</a:t>
          </a:r>
          <a:r>
            <a:rPr lang="en-US" altLang="zh-TW"/>
            <a:t> </a:t>
          </a:r>
          <a:r>
            <a:rPr lang="en-US" altLang="zh-TW" sz="1100" b="0" i="0" u="none" strike="noStrike">
              <a:solidFill>
                <a:schemeClr val="dk1"/>
              </a:solidFill>
              <a:effectLst/>
              <a:latin typeface="+mn-lt"/>
              <a:ea typeface="+mn-ea"/>
              <a:cs typeface="+mn-cs"/>
            </a:rPr>
            <a:t>0xDB,</a:t>
          </a:r>
          <a:r>
            <a:rPr lang="en-US" altLang="zh-TW"/>
            <a:t> </a:t>
          </a:r>
          <a:r>
            <a:rPr lang="en-US" altLang="zh-TW" sz="1100" b="0" i="0" u="none" strike="noStrike">
              <a:solidFill>
                <a:schemeClr val="dk1"/>
              </a:solidFill>
              <a:effectLst/>
              <a:latin typeface="+mn-lt"/>
              <a:ea typeface="+mn-ea"/>
              <a:cs typeface="+mn-cs"/>
            </a:rPr>
            <a:t>0xDA,</a:t>
          </a:r>
          <a:r>
            <a:rPr lang="en-US" altLang="zh-TW"/>
            <a:t> </a:t>
          </a:r>
          <a:r>
            <a:rPr lang="en-US" altLang="zh-TW" sz="1100" b="0" i="0" u="none" strike="noStrike">
              <a:solidFill>
                <a:schemeClr val="dk1"/>
              </a:solidFill>
              <a:effectLst/>
              <a:latin typeface="+mn-lt"/>
              <a:ea typeface="+mn-ea"/>
              <a:cs typeface="+mn-cs"/>
            </a:rPr>
            <a:t>0xD9,</a:t>
          </a:r>
          <a:r>
            <a:rPr lang="en-US" altLang="zh-TW"/>
            <a:t> </a:t>
          </a:r>
          <a:r>
            <a:rPr lang="en-US" altLang="zh-TW" sz="1100" b="0" i="0" u="none" strike="noStrike">
              <a:solidFill>
                <a:schemeClr val="dk1"/>
              </a:solidFill>
              <a:effectLst/>
              <a:latin typeface="+mn-lt"/>
              <a:ea typeface="+mn-ea"/>
              <a:cs typeface="+mn-cs"/>
            </a:rPr>
            <a:t>0xD8,</a:t>
          </a:r>
          <a:r>
            <a:rPr lang="en-US" altLang="zh-TW"/>
            <a:t> </a:t>
          </a:r>
          <a:r>
            <a:rPr lang="en-US" altLang="zh-TW" sz="1100" b="0" i="0" u="none" strike="noStrike">
              <a:solidFill>
                <a:schemeClr val="dk1"/>
              </a:solidFill>
              <a:effectLst/>
              <a:latin typeface="+mn-lt"/>
              <a:ea typeface="+mn-ea"/>
              <a:cs typeface="+mn-cs"/>
            </a:rPr>
            <a:t>0xD7,</a:t>
          </a:r>
          <a:r>
            <a:rPr lang="en-US" altLang="zh-TW"/>
            <a:t> </a:t>
          </a:r>
          <a:r>
            <a:rPr lang="en-US" altLang="zh-TW" sz="1100" b="0" i="0" u="none" strike="noStrike">
              <a:solidFill>
                <a:schemeClr val="dk1"/>
              </a:solidFill>
              <a:effectLst/>
              <a:latin typeface="+mn-lt"/>
              <a:ea typeface="+mn-ea"/>
              <a:cs typeface="+mn-cs"/>
            </a:rPr>
            <a:t>0xD6,</a:t>
          </a:r>
          <a:r>
            <a:rPr lang="en-US" altLang="zh-TW"/>
            <a:t> </a:t>
          </a:r>
          <a:r>
            <a:rPr lang="en-US" altLang="zh-TW" sz="1100" b="0" i="0" u="none" strike="noStrike">
              <a:solidFill>
                <a:schemeClr val="dk1"/>
              </a:solidFill>
              <a:effectLst/>
              <a:latin typeface="+mn-lt"/>
              <a:ea typeface="+mn-ea"/>
              <a:cs typeface="+mn-cs"/>
            </a:rPr>
            <a:t>0xD5,</a:t>
          </a:r>
          <a:r>
            <a:rPr lang="en-US" altLang="zh-TW"/>
            <a:t> </a:t>
          </a:r>
          <a:r>
            <a:rPr lang="en-US" altLang="zh-TW" sz="1100" b="0" i="0" u="none" strike="noStrike">
              <a:solidFill>
                <a:schemeClr val="dk1"/>
              </a:solidFill>
              <a:effectLst/>
              <a:latin typeface="+mn-lt"/>
              <a:ea typeface="+mn-ea"/>
              <a:cs typeface="+mn-cs"/>
            </a:rPr>
            <a:t>0xD4,</a:t>
          </a:r>
          <a:r>
            <a:rPr lang="en-US" altLang="zh-TW"/>
            <a:t> </a:t>
          </a:r>
          <a:r>
            <a:rPr lang="en-US" altLang="zh-TW" sz="1100" b="0" i="0" u="none" strike="noStrike">
              <a:solidFill>
                <a:schemeClr val="dk1"/>
              </a:solidFill>
              <a:effectLst/>
              <a:latin typeface="+mn-lt"/>
              <a:ea typeface="+mn-ea"/>
              <a:cs typeface="+mn-cs"/>
            </a:rPr>
            <a:t>0xD3,</a:t>
          </a:r>
          <a:r>
            <a:rPr lang="en-US" altLang="zh-TW"/>
            <a:t> </a:t>
          </a:r>
          <a:r>
            <a:rPr lang="en-US" altLang="zh-TW" sz="1100" b="0" i="0" u="none" strike="noStrike">
              <a:solidFill>
                <a:schemeClr val="dk1"/>
              </a:solidFill>
              <a:effectLst/>
              <a:latin typeface="+mn-lt"/>
              <a:ea typeface="+mn-ea"/>
              <a:cs typeface="+mn-cs"/>
            </a:rPr>
            <a:t>0xD2,</a:t>
          </a:r>
          <a:r>
            <a:rPr lang="en-US" altLang="zh-TW"/>
            <a:t> </a:t>
          </a:r>
          <a:r>
            <a:rPr lang="en-US" altLang="zh-TW" sz="1100" b="0" i="0" u="none" strike="noStrike">
              <a:solidFill>
                <a:schemeClr val="dk1"/>
              </a:solidFill>
              <a:effectLst/>
              <a:latin typeface="+mn-lt"/>
              <a:ea typeface="+mn-ea"/>
              <a:cs typeface="+mn-cs"/>
            </a:rPr>
            <a:t>0xD1,</a:t>
          </a:r>
          <a:r>
            <a:rPr lang="en-US" altLang="zh-TW"/>
            <a:t> </a:t>
          </a:r>
          <a:r>
            <a:rPr lang="en-US" altLang="zh-TW" sz="1100" b="0" i="0" u="none" strike="noStrike">
              <a:solidFill>
                <a:schemeClr val="dk1"/>
              </a:solidFill>
              <a:effectLst/>
              <a:latin typeface="+mn-lt"/>
              <a:ea typeface="+mn-ea"/>
              <a:cs typeface="+mn-cs"/>
            </a:rPr>
            <a:t>0xD0,</a:t>
          </a:r>
          <a:r>
            <a:rPr lang="en-US" altLang="zh-TW"/>
            <a:t> </a:t>
          </a:r>
          <a:r>
            <a:rPr lang="en-US" altLang="zh-TW" sz="1100" b="0" i="0" u="none" strike="noStrike">
              <a:solidFill>
                <a:schemeClr val="dk1"/>
              </a:solidFill>
              <a:effectLst/>
              <a:latin typeface="+mn-lt"/>
              <a:ea typeface="+mn-ea"/>
              <a:cs typeface="+mn-cs"/>
            </a:rPr>
            <a:t>0xCF,</a:t>
          </a:r>
          <a:r>
            <a:rPr lang="en-US" altLang="zh-TW"/>
            <a:t> </a:t>
          </a:r>
          <a:r>
            <a:rPr lang="en-US" altLang="zh-TW" sz="1100" b="0" i="0" u="none" strike="noStrike">
              <a:solidFill>
                <a:schemeClr val="dk1"/>
              </a:solidFill>
              <a:effectLst/>
              <a:latin typeface="+mn-lt"/>
              <a:ea typeface="+mn-ea"/>
              <a:cs typeface="+mn-cs"/>
            </a:rPr>
            <a:t>0xCE,</a:t>
          </a:r>
          <a:r>
            <a:rPr lang="en-US" altLang="zh-TW"/>
            <a:t> </a:t>
          </a:r>
          <a:r>
            <a:rPr lang="en-US" altLang="zh-TW" sz="1100" b="0" i="0" u="none" strike="noStrike">
              <a:solidFill>
                <a:schemeClr val="dk1"/>
              </a:solidFill>
              <a:effectLst/>
              <a:latin typeface="+mn-lt"/>
              <a:ea typeface="+mn-ea"/>
              <a:cs typeface="+mn-cs"/>
            </a:rPr>
            <a:t>0xCD,</a:t>
          </a:r>
          <a:r>
            <a:rPr lang="en-US" altLang="zh-TW"/>
            <a:t> </a:t>
          </a:r>
          <a:r>
            <a:rPr lang="en-US" altLang="zh-TW" sz="1100" b="0" i="0" u="none" strike="noStrike">
              <a:solidFill>
                <a:schemeClr val="dk1"/>
              </a:solidFill>
              <a:effectLst/>
              <a:latin typeface="+mn-lt"/>
              <a:ea typeface="+mn-ea"/>
              <a:cs typeface="+mn-cs"/>
            </a:rPr>
            <a:t>0xCC,</a:t>
          </a:r>
          <a:r>
            <a:rPr lang="en-US" altLang="zh-TW"/>
            <a:t> </a:t>
          </a:r>
          <a:r>
            <a:rPr lang="en-US" altLang="zh-TW" sz="1100" b="0" i="0" u="none" strike="noStrike">
              <a:solidFill>
                <a:schemeClr val="dk1"/>
              </a:solidFill>
              <a:effectLst/>
              <a:latin typeface="+mn-lt"/>
              <a:ea typeface="+mn-ea"/>
              <a:cs typeface="+mn-cs"/>
            </a:rPr>
            <a:t>0xCB,</a:t>
          </a:r>
          <a:r>
            <a:rPr lang="en-US" altLang="zh-TW"/>
            <a:t> </a:t>
          </a:r>
          <a:r>
            <a:rPr lang="en-US" altLang="zh-TW" sz="1100" b="0" i="0" u="none" strike="noStrike">
              <a:solidFill>
                <a:schemeClr val="dk1"/>
              </a:solidFill>
              <a:effectLst/>
              <a:latin typeface="+mn-lt"/>
              <a:ea typeface="+mn-ea"/>
              <a:cs typeface="+mn-cs"/>
            </a:rPr>
            <a:t>0xCA,</a:t>
          </a:r>
          <a:r>
            <a:rPr lang="en-US" altLang="zh-TW"/>
            <a:t> </a:t>
          </a:r>
          <a:r>
            <a:rPr lang="en-US" altLang="zh-TW" sz="1100" b="0" i="0" u="none" strike="noStrike">
              <a:solidFill>
                <a:schemeClr val="dk1"/>
              </a:solidFill>
              <a:effectLst/>
              <a:latin typeface="+mn-lt"/>
              <a:ea typeface="+mn-ea"/>
              <a:cs typeface="+mn-cs"/>
            </a:rPr>
            <a:t>0xC9,</a:t>
          </a:r>
          <a:r>
            <a:rPr lang="en-US" altLang="zh-TW"/>
            <a:t> </a:t>
          </a:r>
          <a:r>
            <a:rPr lang="en-US" altLang="zh-TW" sz="1100" b="0" i="0" u="none" strike="noStrike">
              <a:solidFill>
                <a:schemeClr val="dk1"/>
              </a:solidFill>
              <a:effectLst/>
              <a:latin typeface="+mn-lt"/>
              <a:ea typeface="+mn-ea"/>
              <a:cs typeface="+mn-cs"/>
            </a:rPr>
            <a:t>0xC8,</a:t>
          </a:r>
          <a:r>
            <a:rPr lang="en-US" altLang="zh-TW"/>
            <a:t> </a:t>
          </a:r>
          <a:r>
            <a:rPr lang="en-US" altLang="zh-TW" sz="1100" b="0" i="0" u="none" strike="noStrike">
              <a:solidFill>
                <a:schemeClr val="dk1"/>
              </a:solidFill>
              <a:effectLst/>
              <a:latin typeface="+mn-lt"/>
              <a:ea typeface="+mn-ea"/>
              <a:cs typeface="+mn-cs"/>
            </a:rPr>
            <a:t>0xC7,</a:t>
          </a:r>
          <a:r>
            <a:rPr lang="en-US" altLang="zh-TW"/>
            <a:t> </a:t>
          </a:r>
          <a:r>
            <a:rPr lang="en-US" altLang="zh-TW" sz="1100" b="0" i="0" u="none" strike="noStrike">
              <a:solidFill>
                <a:schemeClr val="dk1"/>
              </a:solidFill>
              <a:effectLst/>
              <a:latin typeface="+mn-lt"/>
              <a:ea typeface="+mn-ea"/>
              <a:cs typeface="+mn-cs"/>
            </a:rPr>
            <a:t>0xC6,</a:t>
          </a:r>
          <a:r>
            <a:rPr lang="en-US" altLang="zh-TW"/>
            <a:t> </a:t>
          </a:r>
          <a:r>
            <a:rPr lang="en-US" altLang="zh-TW" sz="1100" b="0" i="0" u="none" strike="noStrike">
              <a:solidFill>
                <a:schemeClr val="dk1"/>
              </a:solidFill>
              <a:effectLst/>
              <a:latin typeface="+mn-lt"/>
              <a:ea typeface="+mn-ea"/>
              <a:cs typeface="+mn-cs"/>
            </a:rPr>
            <a:t>0xC5,</a:t>
          </a:r>
          <a:r>
            <a:rPr lang="en-US" altLang="zh-TW"/>
            <a:t> </a:t>
          </a:r>
          <a:r>
            <a:rPr lang="en-US" altLang="zh-TW" sz="1100" b="0" i="0" u="none" strike="noStrike">
              <a:solidFill>
                <a:schemeClr val="dk1"/>
              </a:solidFill>
              <a:effectLst/>
              <a:latin typeface="+mn-lt"/>
              <a:ea typeface="+mn-ea"/>
              <a:cs typeface="+mn-cs"/>
            </a:rPr>
            <a:t>0xC4,</a:t>
          </a:r>
          <a:r>
            <a:rPr lang="en-US" altLang="zh-TW"/>
            <a:t> </a:t>
          </a:r>
          <a:r>
            <a:rPr lang="en-US" altLang="zh-TW" sz="1100" b="0" i="0" u="none" strike="noStrike">
              <a:solidFill>
                <a:schemeClr val="dk1"/>
              </a:solidFill>
              <a:effectLst/>
              <a:latin typeface="+mn-lt"/>
              <a:ea typeface="+mn-ea"/>
              <a:cs typeface="+mn-cs"/>
            </a:rPr>
            <a:t>0xC3,</a:t>
          </a:r>
          <a:r>
            <a:rPr lang="en-US" altLang="zh-TW"/>
            <a:t> </a:t>
          </a:r>
          <a:r>
            <a:rPr lang="en-US" altLang="zh-TW" sz="1100" b="0" i="0" u="none" strike="noStrike">
              <a:solidFill>
                <a:schemeClr val="dk1"/>
              </a:solidFill>
              <a:effectLst/>
              <a:latin typeface="+mn-lt"/>
              <a:ea typeface="+mn-ea"/>
              <a:cs typeface="+mn-cs"/>
            </a:rPr>
            <a:t>0xC2,</a:t>
          </a:r>
          <a:r>
            <a:rPr lang="en-US" altLang="zh-TW"/>
            <a:t> </a:t>
          </a:r>
          <a:r>
            <a:rPr lang="en-US" altLang="zh-TW" sz="1100" b="0" i="0" u="none" strike="noStrike">
              <a:solidFill>
                <a:schemeClr val="dk1"/>
              </a:solidFill>
              <a:effectLst/>
              <a:latin typeface="+mn-lt"/>
              <a:ea typeface="+mn-ea"/>
              <a:cs typeface="+mn-cs"/>
            </a:rPr>
            <a:t>0xC1,</a:t>
          </a:r>
          <a:r>
            <a:rPr lang="en-US" altLang="zh-TW"/>
            <a:t> </a:t>
          </a:r>
          <a:r>
            <a:rPr lang="en-US" altLang="zh-TW" sz="1100" b="0" i="0" u="none" strike="noStrike">
              <a:solidFill>
                <a:schemeClr val="dk1"/>
              </a:solidFill>
              <a:effectLst/>
              <a:latin typeface="+mn-lt"/>
              <a:ea typeface="+mn-ea"/>
              <a:cs typeface="+mn-cs"/>
            </a:rPr>
            <a:t>0xC0,</a:t>
          </a:r>
          <a:r>
            <a:rPr lang="en-US" altLang="zh-TW"/>
            <a:t> </a:t>
          </a:r>
          <a:r>
            <a:rPr lang="en-US" altLang="zh-TW" sz="1100" b="0" i="0" u="none" strike="noStrike">
              <a:solidFill>
                <a:schemeClr val="dk1"/>
              </a:solidFill>
              <a:effectLst/>
              <a:latin typeface="+mn-lt"/>
              <a:ea typeface="+mn-ea"/>
              <a:cs typeface="+mn-cs"/>
            </a:rPr>
            <a:t>0xBF,</a:t>
          </a:r>
          <a:r>
            <a:rPr lang="en-US" altLang="zh-TW"/>
            <a:t> </a:t>
          </a:r>
          <a:r>
            <a:rPr lang="en-US" altLang="zh-TW" sz="1100" b="0" i="0" u="none" strike="noStrike">
              <a:solidFill>
                <a:schemeClr val="dk1"/>
              </a:solidFill>
              <a:effectLst/>
              <a:latin typeface="+mn-lt"/>
              <a:ea typeface="+mn-ea"/>
              <a:cs typeface="+mn-cs"/>
            </a:rPr>
            <a:t>0xBE,</a:t>
          </a:r>
          <a:r>
            <a:rPr lang="en-US" altLang="zh-TW"/>
            <a:t> </a:t>
          </a:r>
          <a:r>
            <a:rPr lang="en-US" altLang="zh-TW" sz="1100" b="0" i="0" u="none" strike="noStrike">
              <a:solidFill>
                <a:schemeClr val="dk1"/>
              </a:solidFill>
              <a:effectLst/>
              <a:latin typeface="+mn-lt"/>
              <a:ea typeface="+mn-ea"/>
              <a:cs typeface="+mn-cs"/>
            </a:rPr>
            <a:t>0xBD,</a:t>
          </a:r>
          <a:r>
            <a:rPr lang="en-US" altLang="zh-TW"/>
            <a:t> </a:t>
          </a:r>
          <a:r>
            <a:rPr lang="en-US" altLang="zh-TW" sz="1100" b="0" i="0" u="none" strike="noStrike">
              <a:solidFill>
                <a:schemeClr val="dk1"/>
              </a:solidFill>
              <a:effectLst/>
              <a:latin typeface="+mn-lt"/>
              <a:ea typeface="+mn-ea"/>
              <a:cs typeface="+mn-cs"/>
            </a:rPr>
            <a:t>0xBC,</a:t>
          </a:r>
          <a:r>
            <a:rPr lang="en-US" altLang="zh-TW"/>
            <a:t> </a:t>
          </a:r>
          <a:r>
            <a:rPr lang="en-US" altLang="zh-TW" sz="1100" b="0" i="0" u="none" strike="noStrike">
              <a:solidFill>
                <a:schemeClr val="dk1"/>
              </a:solidFill>
              <a:effectLst/>
              <a:latin typeface="+mn-lt"/>
              <a:ea typeface="+mn-ea"/>
              <a:cs typeface="+mn-cs"/>
            </a:rPr>
            <a:t>0xBB,</a:t>
          </a:r>
          <a:r>
            <a:rPr lang="en-US" altLang="zh-TW"/>
            <a:t> </a:t>
          </a:r>
          <a:r>
            <a:rPr lang="en-US" altLang="zh-TW" sz="1100" b="0" i="0" u="none" strike="noStrike">
              <a:solidFill>
                <a:schemeClr val="dk1"/>
              </a:solidFill>
              <a:effectLst/>
              <a:latin typeface="+mn-lt"/>
              <a:ea typeface="+mn-ea"/>
              <a:cs typeface="+mn-cs"/>
            </a:rPr>
            <a:t>0xBA,</a:t>
          </a:r>
          <a:r>
            <a:rPr lang="en-US" altLang="zh-TW"/>
            <a:t> </a:t>
          </a:r>
          <a:r>
            <a:rPr lang="en-US" altLang="zh-TW" sz="1100" b="0" i="0" u="none" strike="noStrike">
              <a:solidFill>
                <a:schemeClr val="dk1"/>
              </a:solidFill>
              <a:effectLst/>
              <a:latin typeface="+mn-lt"/>
              <a:ea typeface="+mn-ea"/>
              <a:cs typeface="+mn-cs"/>
            </a:rPr>
            <a:t>0xB9,</a:t>
          </a:r>
          <a:r>
            <a:rPr lang="en-US" altLang="zh-TW"/>
            <a:t> </a:t>
          </a:r>
          <a:r>
            <a:rPr lang="en-US" altLang="zh-TW" sz="1100" b="0" i="0" u="none" strike="noStrike">
              <a:solidFill>
                <a:schemeClr val="dk1"/>
              </a:solidFill>
              <a:effectLst/>
              <a:latin typeface="+mn-lt"/>
              <a:ea typeface="+mn-ea"/>
              <a:cs typeface="+mn-cs"/>
            </a:rPr>
            <a:t>0xB8,</a:t>
          </a:r>
          <a:r>
            <a:rPr lang="en-US" altLang="zh-TW"/>
            <a:t> </a:t>
          </a:r>
          <a:r>
            <a:rPr lang="en-US" altLang="zh-TW" sz="1100" b="0" i="0" u="none" strike="noStrike">
              <a:solidFill>
                <a:schemeClr val="dk1"/>
              </a:solidFill>
              <a:effectLst/>
              <a:latin typeface="+mn-lt"/>
              <a:ea typeface="+mn-ea"/>
              <a:cs typeface="+mn-cs"/>
            </a:rPr>
            <a:t>0xB7,</a:t>
          </a:r>
          <a:r>
            <a:rPr lang="en-US" altLang="zh-TW"/>
            <a:t> </a:t>
          </a:r>
          <a:r>
            <a:rPr lang="en-US" altLang="zh-TW" sz="1100" b="0" i="0" u="none" strike="noStrike">
              <a:solidFill>
                <a:schemeClr val="dk1"/>
              </a:solidFill>
              <a:effectLst/>
              <a:latin typeface="+mn-lt"/>
              <a:ea typeface="+mn-ea"/>
              <a:cs typeface="+mn-cs"/>
            </a:rPr>
            <a:t>0xB6,</a:t>
          </a:r>
          <a:r>
            <a:rPr lang="en-US" altLang="zh-TW"/>
            <a:t> </a:t>
          </a:r>
          <a:r>
            <a:rPr lang="en-US" altLang="zh-TW" sz="1100" b="0" i="0" u="none" strike="noStrike">
              <a:solidFill>
                <a:schemeClr val="dk1"/>
              </a:solidFill>
              <a:effectLst/>
              <a:latin typeface="+mn-lt"/>
              <a:ea typeface="+mn-ea"/>
              <a:cs typeface="+mn-cs"/>
            </a:rPr>
            <a:t>0xB5,</a:t>
          </a:r>
          <a:r>
            <a:rPr lang="en-US" altLang="zh-TW"/>
            <a:t> </a:t>
          </a:r>
          <a:r>
            <a:rPr lang="en-US" altLang="zh-TW" sz="1100" b="0" i="0" u="none" strike="noStrike">
              <a:solidFill>
                <a:schemeClr val="dk1"/>
              </a:solidFill>
              <a:effectLst/>
              <a:latin typeface="+mn-lt"/>
              <a:ea typeface="+mn-ea"/>
              <a:cs typeface="+mn-cs"/>
            </a:rPr>
            <a:t>0xB4,</a:t>
          </a:r>
          <a:r>
            <a:rPr lang="en-US" altLang="zh-TW"/>
            <a:t> </a:t>
          </a:r>
          <a:r>
            <a:rPr lang="en-US" altLang="zh-TW" sz="1100" b="0" i="0" u="none" strike="noStrike">
              <a:solidFill>
                <a:schemeClr val="dk1"/>
              </a:solidFill>
              <a:effectLst/>
              <a:latin typeface="+mn-lt"/>
              <a:ea typeface="+mn-ea"/>
              <a:cs typeface="+mn-cs"/>
            </a:rPr>
            <a:t>0xB3,</a:t>
          </a:r>
          <a:r>
            <a:rPr lang="en-US" altLang="zh-TW"/>
            <a:t> </a:t>
          </a:r>
          <a:r>
            <a:rPr lang="en-US" altLang="zh-TW" sz="1100" b="0" i="0" u="none" strike="noStrike">
              <a:solidFill>
                <a:schemeClr val="dk1"/>
              </a:solidFill>
              <a:effectLst/>
              <a:latin typeface="+mn-lt"/>
              <a:ea typeface="+mn-ea"/>
              <a:cs typeface="+mn-cs"/>
            </a:rPr>
            <a:t>0xB2,</a:t>
          </a:r>
          <a:r>
            <a:rPr lang="en-US" altLang="zh-TW"/>
            <a:t> </a:t>
          </a:r>
          <a:r>
            <a:rPr lang="en-US" altLang="zh-TW" sz="1100" b="0" i="0" u="none" strike="noStrike">
              <a:solidFill>
                <a:schemeClr val="dk1"/>
              </a:solidFill>
              <a:effectLst/>
              <a:latin typeface="+mn-lt"/>
              <a:ea typeface="+mn-ea"/>
              <a:cs typeface="+mn-cs"/>
            </a:rPr>
            <a:t>0xB1,</a:t>
          </a:r>
          <a:r>
            <a:rPr lang="en-US" altLang="zh-TW"/>
            <a:t> </a:t>
          </a:r>
          <a:r>
            <a:rPr lang="en-US" altLang="zh-TW" sz="1100" b="0" i="0" u="none" strike="noStrike">
              <a:solidFill>
                <a:schemeClr val="dk1"/>
              </a:solidFill>
              <a:effectLst/>
              <a:latin typeface="+mn-lt"/>
              <a:ea typeface="+mn-ea"/>
              <a:cs typeface="+mn-cs"/>
            </a:rPr>
            <a:t>0xB0,</a:t>
          </a:r>
          <a:r>
            <a:rPr lang="en-US" altLang="zh-TW"/>
            <a:t> </a:t>
          </a:r>
          <a:r>
            <a:rPr lang="en-US" altLang="zh-TW" sz="1100" b="0" i="0" u="none" strike="noStrike">
              <a:solidFill>
                <a:schemeClr val="dk1"/>
              </a:solidFill>
              <a:effectLst/>
              <a:latin typeface="+mn-lt"/>
              <a:ea typeface="+mn-ea"/>
              <a:cs typeface="+mn-cs"/>
            </a:rPr>
            <a:t>0xAF,</a:t>
          </a:r>
          <a:r>
            <a:rPr lang="en-US" altLang="zh-TW"/>
            <a:t> </a:t>
          </a:r>
          <a:r>
            <a:rPr lang="en-US" altLang="zh-TW" sz="1100" b="0" i="0" u="none" strike="noStrike">
              <a:solidFill>
                <a:schemeClr val="dk1"/>
              </a:solidFill>
              <a:effectLst/>
              <a:latin typeface="+mn-lt"/>
              <a:ea typeface="+mn-ea"/>
              <a:cs typeface="+mn-cs"/>
            </a:rPr>
            <a:t>0xAE,</a:t>
          </a:r>
          <a:r>
            <a:rPr lang="en-US" altLang="zh-TW"/>
            <a:t> </a:t>
          </a:r>
          <a:r>
            <a:rPr lang="en-US" altLang="zh-TW" sz="1100" b="0" i="0" u="none" strike="noStrike">
              <a:solidFill>
                <a:schemeClr val="dk1"/>
              </a:solidFill>
              <a:effectLst/>
              <a:latin typeface="+mn-lt"/>
              <a:ea typeface="+mn-ea"/>
              <a:cs typeface="+mn-cs"/>
            </a:rPr>
            <a:t>0xAD,</a:t>
          </a:r>
          <a:r>
            <a:rPr lang="en-US" altLang="zh-TW"/>
            <a:t> </a:t>
          </a:r>
          <a:r>
            <a:rPr lang="en-US" altLang="zh-TW" sz="1100" b="0" i="0" u="none" strike="noStrike">
              <a:solidFill>
                <a:schemeClr val="dk1"/>
              </a:solidFill>
              <a:effectLst/>
              <a:latin typeface="+mn-lt"/>
              <a:ea typeface="+mn-ea"/>
              <a:cs typeface="+mn-cs"/>
            </a:rPr>
            <a:t>0xAC,</a:t>
          </a:r>
          <a:r>
            <a:rPr lang="en-US" altLang="zh-TW"/>
            <a:t> </a:t>
          </a:r>
          <a:r>
            <a:rPr lang="en-US" altLang="zh-TW" sz="1100" b="0" i="0" u="none" strike="noStrike">
              <a:solidFill>
                <a:schemeClr val="dk1"/>
              </a:solidFill>
              <a:effectLst/>
              <a:latin typeface="+mn-lt"/>
              <a:ea typeface="+mn-ea"/>
              <a:cs typeface="+mn-cs"/>
            </a:rPr>
            <a:t>0xAB,</a:t>
          </a:r>
          <a:r>
            <a:rPr lang="en-US" altLang="zh-TW"/>
            <a:t> </a:t>
          </a:r>
          <a:r>
            <a:rPr lang="en-US" altLang="zh-TW" sz="1100" b="0" i="0" u="none" strike="noStrike">
              <a:solidFill>
                <a:schemeClr val="dk1"/>
              </a:solidFill>
              <a:effectLst/>
              <a:latin typeface="+mn-lt"/>
              <a:ea typeface="+mn-ea"/>
              <a:cs typeface="+mn-cs"/>
            </a:rPr>
            <a:t>0xAA,</a:t>
          </a:r>
          <a:r>
            <a:rPr lang="en-US" altLang="zh-TW"/>
            <a:t> </a:t>
          </a:r>
          <a:r>
            <a:rPr lang="en-US" altLang="zh-TW" sz="1100" b="0" i="0" u="none" strike="noStrike">
              <a:solidFill>
                <a:schemeClr val="dk1"/>
              </a:solidFill>
              <a:effectLst/>
              <a:latin typeface="+mn-lt"/>
              <a:ea typeface="+mn-ea"/>
              <a:cs typeface="+mn-cs"/>
            </a:rPr>
            <a:t>0xA9,</a:t>
          </a:r>
          <a:r>
            <a:rPr lang="en-US" altLang="zh-TW"/>
            <a:t> </a:t>
          </a:r>
          <a:r>
            <a:rPr lang="en-US" altLang="zh-TW" sz="1100" b="0" i="0" u="none" strike="noStrike">
              <a:solidFill>
                <a:schemeClr val="dk1"/>
              </a:solidFill>
              <a:effectLst/>
              <a:latin typeface="+mn-lt"/>
              <a:ea typeface="+mn-ea"/>
              <a:cs typeface="+mn-cs"/>
            </a:rPr>
            <a:t>0xA8,</a:t>
          </a:r>
          <a:r>
            <a:rPr lang="en-US" altLang="zh-TW"/>
            <a:t> </a:t>
          </a:r>
          <a:r>
            <a:rPr lang="en-US" altLang="zh-TW" sz="1100" b="0" i="0" u="none" strike="noStrike">
              <a:solidFill>
                <a:schemeClr val="dk1"/>
              </a:solidFill>
              <a:effectLst/>
              <a:latin typeface="+mn-lt"/>
              <a:ea typeface="+mn-ea"/>
              <a:cs typeface="+mn-cs"/>
            </a:rPr>
            <a:t>0xA7,</a:t>
          </a:r>
          <a:r>
            <a:rPr lang="en-US" altLang="zh-TW"/>
            <a:t> </a:t>
          </a:r>
          <a:r>
            <a:rPr lang="en-US" altLang="zh-TW" sz="1100" b="0" i="0" u="none" strike="noStrike">
              <a:solidFill>
                <a:schemeClr val="dk1"/>
              </a:solidFill>
              <a:effectLst/>
              <a:latin typeface="+mn-lt"/>
              <a:ea typeface="+mn-ea"/>
              <a:cs typeface="+mn-cs"/>
            </a:rPr>
            <a:t>0xA6,</a:t>
          </a:r>
          <a:r>
            <a:rPr lang="en-US" altLang="zh-TW"/>
            <a:t> </a:t>
          </a:r>
          <a:r>
            <a:rPr lang="en-US" altLang="zh-TW" sz="1100" b="0" i="0" u="none" strike="noStrike">
              <a:solidFill>
                <a:schemeClr val="dk1"/>
              </a:solidFill>
              <a:effectLst/>
              <a:latin typeface="+mn-lt"/>
              <a:ea typeface="+mn-ea"/>
              <a:cs typeface="+mn-cs"/>
            </a:rPr>
            <a:t>0xA5,</a:t>
          </a:r>
          <a:r>
            <a:rPr lang="en-US" altLang="zh-TW"/>
            <a:t> </a:t>
          </a:r>
          <a:r>
            <a:rPr lang="en-US" altLang="zh-TW" sz="1100" b="0" i="0" u="none" strike="noStrike">
              <a:solidFill>
                <a:schemeClr val="dk1"/>
              </a:solidFill>
              <a:effectLst/>
              <a:latin typeface="+mn-lt"/>
              <a:ea typeface="+mn-ea"/>
              <a:cs typeface="+mn-cs"/>
            </a:rPr>
            <a:t>0xA4,</a:t>
          </a:r>
          <a:r>
            <a:rPr lang="en-US" altLang="zh-TW"/>
            <a:t> </a:t>
          </a:r>
          <a:r>
            <a:rPr lang="en-US" altLang="zh-TW" sz="1100" b="0" i="0" u="none" strike="noStrike">
              <a:solidFill>
                <a:schemeClr val="dk1"/>
              </a:solidFill>
              <a:effectLst/>
              <a:latin typeface="+mn-lt"/>
              <a:ea typeface="+mn-ea"/>
              <a:cs typeface="+mn-cs"/>
            </a:rPr>
            <a:t>0xA3,</a:t>
          </a:r>
          <a:r>
            <a:rPr lang="en-US" altLang="zh-TW"/>
            <a:t> </a:t>
          </a:r>
          <a:r>
            <a:rPr lang="en-US" altLang="zh-TW" sz="1100" b="0" i="0" u="none" strike="noStrike">
              <a:solidFill>
                <a:schemeClr val="dk1"/>
              </a:solidFill>
              <a:effectLst/>
              <a:latin typeface="+mn-lt"/>
              <a:ea typeface="+mn-ea"/>
              <a:cs typeface="+mn-cs"/>
            </a:rPr>
            <a:t>0xA2,</a:t>
          </a:r>
          <a:r>
            <a:rPr lang="en-US" altLang="zh-TW"/>
            <a:t> </a:t>
          </a:r>
          <a:r>
            <a:rPr lang="en-US" altLang="zh-TW" sz="1100" b="0" i="0" u="none" strike="noStrike">
              <a:solidFill>
                <a:schemeClr val="dk1"/>
              </a:solidFill>
              <a:effectLst/>
              <a:latin typeface="+mn-lt"/>
              <a:ea typeface="+mn-ea"/>
              <a:cs typeface="+mn-cs"/>
            </a:rPr>
            <a:t>0xA1,</a:t>
          </a:r>
          <a:r>
            <a:rPr lang="en-US" altLang="zh-TW"/>
            <a:t> </a:t>
          </a:r>
          <a:r>
            <a:rPr lang="en-US" altLang="zh-TW" sz="1100" b="0" i="0" u="none" strike="noStrike">
              <a:solidFill>
                <a:schemeClr val="dk1"/>
              </a:solidFill>
              <a:effectLst/>
              <a:latin typeface="+mn-lt"/>
              <a:ea typeface="+mn-ea"/>
              <a:cs typeface="+mn-cs"/>
            </a:rPr>
            <a:t>0xA0,</a:t>
          </a:r>
          <a:r>
            <a:rPr lang="en-US" altLang="zh-TW"/>
            <a:t> </a:t>
          </a:r>
          <a:r>
            <a:rPr lang="en-US" altLang="zh-TW" sz="1100" b="0" i="0" u="none" strike="noStrike">
              <a:solidFill>
                <a:schemeClr val="dk1"/>
              </a:solidFill>
              <a:effectLst/>
              <a:latin typeface="+mn-lt"/>
              <a:ea typeface="+mn-ea"/>
              <a:cs typeface="+mn-cs"/>
            </a:rPr>
            <a:t>0x9F,</a:t>
          </a:r>
          <a:r>
            <a:rPr lang="en-US" altLang="zh-TW"/>
            <a:t> </a:t>
          </a:r>
          <a:r>
            <a:rPr lang="en-US" altLang="zh-TW" sz="1100" b="0" i="0" u="none" strike="noStrike">
              <a:solidFill>
                <a:schemeClr val="dk1"/>
              </a:solidFill>
              <a:effectLst/>
              <a:latin typeface="+mn-lt"/>
              <a:ea typeface="+mn-ea"/>
              <a:cs typeface="+mn-cs"/>
            </a:rPr>
            <a:t>0x9E,</a:t>
          </a:r>
          <a:r>
            <a:rPr lang="en-US" altLang="zh-TW"/>
            <a:t> </a:t>
          </a:r>
          <a:r>
            <a:rPr lang="en-US" altLang="zh-TW" sz="1100" b="0" i="0" u="none" strike="noStrike">
              <a:solidFill>
                <a:schemeClr val="dk1"/>
              </a:solidFill>
              <a:effectLst/>
              <a:latin typeface="+mn-lt"/>
              <a:ea typeface="+mn-ea"/>
              <a:cs typeface="+mn-cs"/>
            </a:rPr>
            <a:t>0x9D,</a:t>
          </a:r>
          <a:r>
            <a:rPr lang="en-US" altLang="zh-TW"/>
            <a:t> </a:t>
          </a:r>
          <a:r>
            <a:rPr lang="en-US" altLang="zh-TW" sz="1100" b="0" i="0" u="none" strike="noStrike">
              <a:solidFill>
                <a:schemeClr val="dk1"/>
              </a:solidFill>
              <a:effectLst/>
              <a:latin typeface="+mn-lt"/>
              <a:ea typeface="+mn-ea"/>
              <a:cs typeface="+mn-cs"/>
            </a:rPr>
            <a:t>0x9C,</a:t>
          </a:r>
          <a:r>
            <a:rPr lang="en-US" altLang="zh-TW"/>
            <a:t> </a:t>
          </a:r>
          <a:r>
            <a:rPr lang="en-US" altLang="zh-TW" sz="1100" b="0" i="0" u="none" strike="noStrike">
              <a:solidFill>
                <a:schemeClr val="dk1"/>
              </a:solidFill>
              <a:effectLst/>
              <a:latin typeface="+mn-lt"/>
              <a:ea typeface="+mn-ea"/>
              <a:cs typeface="+mn-cs"/>
            </a:rPr>
            <a:t>0x9B,</a:t>
          </a:r>
          <a:r>
            <a:rPr lang="en-US" altLang="zh-TW"/>
            <a:t> </a:t>
          </a:r>
          <a:r>
            <a:rPr lang="en-US" altLang="zh-TW" sz="1100" b="0" i="0" u="none" strike="noStrike">
              <a:solidFill>
                <a:schemeClr val="dk1"/>
              </a:solidFill>
              <a:effectLst/>
              <a:latin typeface="+mn-lt"/>
              <a:ea typeface="+mn-ea"/>
              <a:cs typeface="+mn-cs"/>
            </a:rPr>
            <a:t>0x9A,</a:t>
          </a:r>
          <a:r>
            <a:rPr lang="en-US" altLang="zh-TW"/>
            <a:t> </a:t>
          </a:r>
          <a:r>
            <a:rPr lang="en-US" altLang="zh-TW" sz="1100" b="0" i="0" u="none" strike="noStrike">
              <a:solidFill>
                <a:schemeClr val="dk1"/>
              </a:solidFill>
              <a:effectLst/>
              <a:latin typeface="+mn-lt"/>
              <a:ea typeface="+mn-ea"/>
              <a:cs typeface="+mn-cs"/>
            </a:rPr>
            <a:t>0x99,</a:t>
          </a:r>
          <a:r>
            <a:rPr lang="en-US" altLang="zh-TW"/>
            <a:t> </a:t>
          </a:r>
          <a:r>
            <a:rPr lang="en-US" altLang="zh-TW" sz="1100" b="0" i="0" u="none" strike="noStrike">
              <a:solidFill>
                <a:schemeClr val="dk1"/>
              </a:solidFill>
              <a:effectLst/>
              <a:latin typeface="+mn-lt"/>
              <a:ea typeface="+mn-ea"/>
              <a:cs typeface="+mn-cs"/>
            </a:rPr>
            <a:t>0x98,</a:t>
          </a:r>
          <a:r>
            <a:rPr lang="en-US" altLang="zh-TW"/>
            <a:t> </a:t>
          </a:r>
          <a:r>
            <a:rPr lang="en-US" altLang="zh-TW" sz="1100" b="0" i="0" u="none" strike="noStrike">
              <a:solidFill>
                <a:schemeClr val="dk1"/>
              </a:solidFill>
              <a:effectLst/>
              <a:latin typeface="+mn-lt"/>
              <a:ea typeface="+mn-ea"/>
              <a:cs typeface="+mn-cs"/>
            </a:rPr>
            <a:t>0x97,</a:t>
          </a:r>
          <a:r>
            <a:rPr lang="en-US" altLang="zh-TW"/>
            <a:t> </a:t>
          </a:r>
          <a:r>
            <a:rPr lang="en-US" altLang="zh-TW" sz="1100" b="0" i="0" u="none" strike="noStrike">
              <a:solidFill>
                <a:schemeClr val="dk1"/>
              </a:solidFill>
              <a:effectLst/>
              <a:latin typeface="+mn-lt"/>
              <a:ea typeface="+mn-ea"/>
              <a:cs typeface="+mn-cs"/>
            </a:rPr>
            <a:t>0x96,</a:t>
          </a:r>
          <a:r>
            <a:rPr lang="en-US" altLang="zh-TW"/>
            <a:t> </a:t>
          </a:r>
          <a:r>
            <a:rPr lang="en-US" altLang="zh-TW" sz="1100" b="0" i="0" u="none" strike="noStrike">
              <a:solidFill>
                <a:schemeClr val="dk1"/>
              </a:solidFill>
              <a:effectLst/>
              <a:latin typeface="+mn-lt"/>
              <a:ea typeface="+mn-ea"/>
              <a:cs typeface="+mn-cs"/>
            </a:rPr>
            <a:t>0x95,</a:t>
          </a:r>
          <a:r>
            <a:rPr lang="en-US" altLang="zh-TW"/>
            <a:t> </a:t>
          </a:r>
          <a:r>
            <a:rPr lang="en-US" altLang="zh-TW" sz="1100" b="0" i="0" u="none" strike="noStrike">
              <a:solidFill>
                <a:schemeClr val="dk1"/>
              </a:solidFill>
              <a:effectLst/>
              <a:latin typeface="+mn-lt"/>
              <a:ea typeface="+mn-ea"/>
              <a:cs typeface="+mn-cs"/>
            </a:rPr>
            <a:t>0x94,</a:t>
          </a:r>
          <a:r>
            <a:rPr lang="en-US" altLang="zh-TW"/>
            <a:t> </a:t>
          </a:r>
          <a:r>
            <a:rPr lang="en-US" altLang="zh-TW" sz="1100" b="0" i="0" u="none" strike="noStrike">
              <a:solidFill>
                <a:schemeClr val="dk1"/>
              </a:solidFill>
              <a:effectLst/>
              <a:latin typeface="+mn-lt"/>
              <a:ea typeface="+mn-ea"/>
              <a:cs typeface="+mn-cs"/>
            </a:rPr>
            <a:t>0x93,</a:t>
          </a:r>
          <a:r>
            <a:rPr lang="en-US" altLang="zh-TW"/>
            <a:t> </a:t>
          </a:r>
          <a:r>
            <a:rPr lang="en-US" altLang="zh-TW" sz="1100" b="0" i="0" u="none" strike="noStrike">
              <a:solidFill>
                <a:schemeClr val="dk1"/>
              </a:solidFill>
              <a:effectLst/>
              <a:latin typeface="+mn-lt"/>
              <a:ea typeface="+mn-ea"/>
              <a:cs typeface="+mn-cs"/>
            </a:rPr>
            <a:t>0x92,</a:t>
          </a:r>
          <a:r>
            <a:rPr lang="en-US" altLang="zh-TW"/>
            <a:t> </a:t>
          </a:r>
          <a:r>
            <a:rPr lang="en-US" altLang="zh-TW" sz="1100" b="0" i="0" u="none" strike="noStrike">
              <a:solidFill>
                <a:schemeClr val="dk1"/>
              </a:solidFill>
              <a:effectLst/>
              <a:latin typeface="+mn-lt"/>
              <a:ea typeface="+mn-ea"/>
              <a:cs typeface="+mn-cs"/>
            </a:rPr>
            <a:t>0x91,</a:t>
          </a:r>
          <a:r>
            <a:rPr lang="en-US" altLang="zh-TW"/>
            <a:t> </a:t>
          </a:r>
          <a:r>
            <a:rPr lang="en-US" altLang="zh-TW" sz="1100" b="0" i="0" u="none" strike="noStrike">
              <a:solidFill>
                <a:schemeClr val="dk1"/>
              </a:solidFill>
              <a:effectLst/>
              <a:latin typeface="+mn-lt"/>
              <a:ea typeface="+mn-ea"/>
              <a:cs typeface="+mn-cs"/>
            </a:rPr>
            <a:t>0x90,</a:t>
          </a:r>
          <a:r>
            <a:rPr lang="en-US" altLang="zh-TW"/>
            <a:t> </a:t>
          </a:r>
          <a:r>
            <a:rPr lang="en-US" altLang="zh-TW" sz="1100" b="0" i="0" u="none" strike="noStrike">
              <a:solidFill>
                <a:schemeClr val="dk1"/>
              </a:solidFill>
              <a:effectLst/>
              <a:latin typeface="+mn-lt"/>
              <a:ea typeface="+mn-ea"/>
              <a:cs typeface="+mn-cs"/>
            </a:rPr>
            <a:t>0x8F,</a:t>
          </a:r>
          <a:r>
            <a:rPr lang="en-US" altLang="zh-TW"/>
            <a:t> </a:t>
          </a:r>
          <a:r>
            <a:rPr lang="en-US" altLang="zh-TW" sz="1100" b="0" i="0" u="none" strike="noStrike">
              <a:solidFill>
                <a:schemeClr val="dk1"/>
              </a:solidFill>
              <a:effectLst/>
              <a:latin typeface="+mn-lt"/>
              <a:ea typeface="+mn-ea"/>
              <a:cs typeface="+mn-cs"/>
            </a:rPr>
            <a:t>0x8E,</a:t>
          </a:r>
          <a:r>
            <a:rPr lang="en-US" altLang="zh-TW"/>
            <a:t> </a:t>
          </a:r>
          <a:r>
            <a:rPr lang="en-US" altLang="zh-TW" sz="1100" b="0" i="0" u="none" strike="noStrike">
              <a:solidFill>
                <a:schemeClr val="dk1"/>
              </a:solidFill>
              <a:effectLst/>
              <a:latin typeface="+mn-lt"/>
              <a:ea typeface="+mn-ea"/>
              <a:cs typeface="+mn-cs"/>
            </a:rPr>
            <a:t>0x8D,</a:t>
          </a:r>
          <a:r>
            <a:rPr lang="en-US" altLang="zh-TW"/>
            <a:t> </a:t>
          </a:r>
          <a:r>
            <a:rPr lang="en-US" altLang="zh-TW" sz="1100" b="0" i="0" u="none" strike="noStrike">
              <a:solidFill>
                <a:schemeClr val="dk1"/>
              </a:solidFill>
              <a:effectLst/>
              <a:latin typeface="+mn-lt"/>
              <a:ea typeface="+mn-ea"/>
              <a:cs typeface="+mn-cs"/>
            </a:rPr>
            <a:t>0x8C,</a:t>
          </a:r>
          <a:r>
            <a:rPr lang="en-US" altLang="zh-TW"/>
            <a:t> </a:t>
          </a:r>
          <a:r>
            <a:rPr lang="en-US" altLang="zh-TW" sz="1100" b="0" i="0" u="none" strike="noStrike">
              <a:solidFill>
                <a:schemeClr val="dk1"/>
              </a:solidFill>
              <a:effectLst/>
              <a:latin typeface="+mn-lt"/>
              <a:ea typeface="+mn-ea"/>
              <a:cs typeface="+mn-cs"/>
            </a:rPr>
            <a:t>0x8B,</a:t>
          </a:r>
          <a:r>
            <a:rPr lang="en-US" altLang="zh-TW"/>
            <a:t> </a:t>
          </a:r>
          <a:r>
            <a:rPr lang="en-US" altLang="zh-TW" sz="1100" b="0" i="0" u="none" strike="noStrike">
              <a:solidFill>
                <a:schemeClr val="dk1"/>
              </a:solidFill>
              <a:effectLst/>
              <a:latin typeface="+mn-lt"/>
              <a:ea typeface="+mn-ea"/>
              <a:cs typeface="+mn-cs"/>
            </a:rPr>
            <a:t>0x8A,</a:t>
          </a:r>
          <a:r>
            <a:rPr lang="en-US" altLang="zh-TW"/>
            <a:t> </a:t>
          </a:r>
          <a:r>
            <a:rPr lang="en-US" altLang="zh-TW" sz="1100" b="0" i="0" u="none" strike="noStrike">
              <a:solidFill>
                <a:schemeClr val="dk1"/>
              </a:solidFill>
              <a:effectLst/>
              <a:latin typeface="+mn-lt"/>
              <a:ea typeface="+mn-ea"/>
              <a:cs typeface="+mn-cs"/>
            </a:rPr>
            <a:t>0x89,</a:t>
          </a:r>
          <a:r>
            <a:rPr lang="en-US" altLang="zh-TW"/>
            <a:t> </a:t>
          </a:r>
          <a:r>
            <a:rPr lang="en-US" altLang="zh-TW" sz="1100" b="0" i="0" u="none" strike="noStrike">
              <a:solidFill>
                <a:schemeClr val="dk1"/>
              </a:solidFill>
              <a:effectLst/>
              <a:latin typeface="+mn-lt"/>
              <a:ea typeface="+mn-ea"/>
              <a:cs typeface="+mn-cs"/>
            </a:rPr>
            <a:t>0x88,</a:t>
          </a:r>
          <a:r>
            <a:rPr lang="en-US" altLang="zh-TW"/>
            <a:t> </a:t>
          </a:r>
          <a:r>
            <a:rPr lang="en-US" altLang="zh-TW" sz="1100" b="0" i="0" u="none" strike="noStrike">
              <a:solidFill>
                <a:schemeClr val="dk1"/>
              </a:solidFill>
              <a:effectLst/>
              <a:latin typeface="+mn-lt"/>
              <a:ea typeface="+mn-ea"/>
              <a:cs typeface="+mn-cs"/>
            </a:rPr>
            <a:t>0x87,</a:t>
          </a:r>
          <a:r>
            <a:rPr lang="en-US" altLang="zh-TW"/>
            <a:t> </a:t>
          </a:r>
          <a:r>
            <a:rPr lang="en-US" altLang="zh-TW" sz="1100" b="0" i="0" u="none" strike="noStrike">
              <a:solidFill>
                <a:schemeClr val="dk1"/>
              </a:solidFill>
              <a:effectLst/>
              <a:latin typeface="+mn-lt"/>
              <a:ea typeface="+mn-ea"/>
              <a:cs typeface="+mn-cs"/>
            </a:rPr>
            <a:t>0x86,</a:t>
          </a:r>
          <a:r>
            <a:rPr lang="en-US" altLang="zh-TW"/>
            <a:t> </a:t>
          </a:r>
          <a:r>
            <a:rPr lang="en-US" altLang="zh-TW" sz="1100" b="0" i="0" u="none" strike="noStrike">
              <a:solidFill>
                <a:schemeClr val="dk1"/>
              </a:solidFill>
              <a:effectLst/>
              <a:latin typeface="+mn-lt"/>
              <a:ea typeface="+mn-ea"/>
              <a:cs typeface="+mn-cs"/>
            </a:rPr>
            <a:t>0x85,</a:t>
          </a:r>
          <a:r>
            <a:rPr lang="en-US" altLang="zh-TW"/>
            <a:t> </a:t>
          </a:r>
          <a:r>
            <a:rPr lang="en-US" altLang="zh-TW" sz="1100" b="0" i="0" u="none" strike="noStrike">
              <a:solidFill>
                <a:schemeClr val="dk1"/>
              </a:solidFill>
              <a:effectLst/>
              <a:latin typeface="+mn-lt"/>
              <a:ea typeface="+mn-ea"/>
              <a:cs typeface="+mn-cs"/>
            </a:rPr>
            <a:t>0x84,</a:t>
          </a:r>
          <a:r>
            <a:rPr lang="en-US" altLang="zh-TW"/>
            <a:t> </a:t>
          </a:r>
          <a:r>
            <a:rPr lang="en-US" altLang="zh-TW" sz="1100" b="0" i="0" u="none" strike="noStrike">
              <a:solidFill>
                <a:schemeClr val="dk1"/>
              </a:solidFill>
              <a:effectLst/>
              <a:latin typeface="+mn-lt"/>
              <a:ea typeface="+mn-ea"/>
              <a:cs typeface="+mn-cs"/>
            </a:rPr>
            <a:t>0x83,</a:t>
          </a:r>
          <a:r>
            <a:rPr lang="en-US" altLang="zh-TW"/>
            <a:t> </a:t>
          </a:r>
          <a:r>
            <a:rPr lang="en-US" altLang="zh-TW" sz="1100" b="0" i="0" u="none" strike="noStrike">
              <a:solidFill>
                <a:schemeClr val="dk1"/>
              </a:solidFill>
              <a:effectLst/>
              <a:latin typeface="+mn-lt"/>
              <a:ea typeface="+mn-ea"/>
              <a:cs typeface="+mn-cs"/>
            </a:rPr>
            <a:t>0x82,</a:t>
          </a:r>
          <a:r>
            <a:rPr lang="en-US" altLang="zh-TW"/>
            <a:t> </a:t>
          </a:r>
          <a:r>
            <a:rPr lang="en-US" altLang="zh-TW" sz="1100" b="0" i="0" u="none" strike="noStrike">
              <a:solidFill>
                <a:schemeClr val="dk1"/>
              </a:solidFill>
              <a:effectLst/>
              <a:latin typeface="+mn-lt"/>
              <a:ea typeface="+mn-ea"/>
              <a:cs typeface="+mn-cs"/>
            </a:rPr>
            <a:t>0x81,</a:t>
          </a:r>
          <a:r>
            <a:rPr lang="en-US" altLang="zh-TW"/>
            <a:t> </a:t>
          </a:r>
          <a:r>
            <a:rPr lang="en-US" altLang="zh-TW" sz="1100" b="0" i="0" u="none" strike="noStrike">
              <a:solidFill>
                <a:schemeClr val="dk1"/>
              </a:solidFill>
              <a:effectLst/>
              <a:latin typeface="+mn-lt"/>
              <a:ea typeface="+mn-ea"/>
              <a:cs typeface="+mn-cs"/>
            </a:rPr>
            <a:t>0x80,</a:t>
          </a:r>
          <a:r>
            <a:rPr lang="en-US" altLang="zh-TW"/>
            <a:t> </a:t>
          </a:r>
          <a:r>
            <a:rPr lang="en-US" altLang="zh-TW" sz="1100" b="0" i="0" u="none" strike="noStrike">
              <a:solidFill>
                <a:schemeClr val="dk1"/>
              </a:solidFill>
              <a:effectLst/>
              <a:latin typeface="+mn-lt"/>
              <a:ea typeface="+mn-ea"/>
              <a:cs typeface="+mn-cs"/>
            </a:rPr>
            <a:t>0x7F,</a:t>
          </a:r>
          <a:r>
            <a:rPr lang="en-US" altLang="zh-TW"/>
            <a:t> </a:t>
          </a:r>
          <a:r>
            <a:rPr lang="en-US" altLang="zh-TW" sz="1100" b="0" i="0" u="none" strike="noStrike">
              <a:solidFill>
                <a:schemeClr val="dk1"/>
              </a:solidFill>
              <a:effectLst/>
              <a:latin typeface="+mn-lt"/>
              <a:ea typeface="+mn-ea"/>
              <a:cs typeface="+mn-cs"/>
            </a:rPr>
            <a:t>0x7E,</a:t>
          </a:r>
          <a:r>
            <a:rPr lang="en-US" altLang="zh-TW"/>
            <a:t> </a:t>
          </a:r>
          <a:r>
            <a:rPr lang="en-US" altLang="zh-TW" sz="1100" b="0" i="0" u="none" strike="noStrike">
              <a:solidFill>
                <a:schemeClr val="dk1"/>
              </a:solidFill>
              <a:effectLst/>
              <a:latin typeface="+mn-lt"/>
              <a:ea typeface="+mn-ea"/>
              <a:cs typeface="+mn-cs"/>
            </a:rPr>
            <a:t>0x7D,</a:t>
          </a:r>
          <a:r>
            <a:rPr lang="en-US" altLang="zh-TW"/>
            <a:t> </a:t>
          </a:r>
          <a:r>
            <a:rPr lang="en-US" altLang="zh-TW" sz="1100" b="0" i="0" u="none" strike="noStrike">
              <a:solidFill>
                <a:schemeClr val="dk1"/>
              </a:solidFill>
              <a:effectLst/>
              <a:latin typeface="+mn-lt"/>
              <a:ea typeface="+mn-ea"/>
              <a:cs typeface="+mn-cs"/>
            </a:rPr>
            <a:t>0x7C,</a:t>
          </a:r>
          <a:r>
            <a:rPr lang="en-US" altLang="zh-TW"/>
            <a:t> </a:t>
          </a:r>
          <a:r>
            <a:rPr lang="en-US" altLang="zh-TW" sz="1100" b="0" i="0" u="none" strike="noStrike">
              <a:solidFill>
                <a:schemeClr val="dk1"/>
              </a:solidFill>
              <a:effectLst/>
              <a:latin typeface="+mn-lt"/>
              <a:ea typeface="+mn-ea"/>
              <a:cs typeface="+mn-cs"/>
            </a:rPr>
            <a:t>0x7B,</a:t>
          </a:r>
          <a:r>
            <a:rPr lang="en-US" altLang="zh-TW"/>
            <a:t> </a:t>
          </a:r>
          <a:r>
            <a:rPr lang="en-US" altLang="zh-TW" sz="1100" b="0" i="0" u="none" strike="noStrike">
              <a:solidFill>
                <a:schemeClr val="dk1"/>
              </a:solidFill>
              <a:effectLst/>
              <a:latin typeface="+mn-lt"/>
              <a:ea typeface="+mn-ea"/>
              <a:cs typeface="+mn-cs"/>
            </a:rPr>
            <a:t>0x7A,</a:t>
          </a:r>
          <a:r>
            <a:rPr lang="en-US" altLang="zh-TW"/>
            <a:t> </a:t>
          </a:r>
          <a:r>
            <a:rPr lang="en-US" altLang="zh-TW" sz="1100" b="0" i="0" u="none" strike="noStrike">
              <a:solidFill>
                <a:schemeClr val="dk1"/>
              </a:solidFill>
              <a:effectLst/>
              <a:latin typeface="+mn-lt"/>
              <a:ea typeface="+mn-ea"/>
              <a:cs typeface="+mn-cs"/>
            </a:rPr>
            <a:t>0x79,</a:t>
          </a:r>
          <a:r>
            <a:rPr lang="en-US" altLang="zh-TW"/>
            <a:t> </a:t>
          </a:r>
          <a:r>
            <a:rPr lang="en-US" altLang="zh-TW" sz="1100" b="0" i="0" u="none" strike="noStrike">
              <a:solidFill>
                <a:schemeClr val="dk1"/>
              </a:solidFill>
              <a:effectLst/>
              <a:latin typeface="+mn-lt"/>
              <a:ea typeface="+mn-ea"/>
              <a:cs typeface="+mn-cs"/>
            </a:rPr>
            <a:t>0x78,</a:t>
          </a:r>
          <a:r>
            <a:rPr lang="en-US" altLang="zh-TW"/>
            <a:t> </a:t>
          </a:r>
          <a:r>
            <a:rPr lang="en-US" altLang="zh-TW" sz="1100" b="0" i="0" u="none" strike="noStrike">
              <a:solidFill>
                <a:schemeClr val="dk1"/>
              </a:solidFill>
              <a:effectLst/>
              <a:latin typeface="+mn-lt"/>
              <a:ea typeface="+mn-ea"/>
              <a:cs typeface="+mn-cs"/>
            </a:rPr>
            <a:t>0xD1,</a:t>
          </a:r>
          <a:r>
            <a:rPr lang="en-US" altLang="zh-TW"/>
            <a:t> </a:t>
          </a:r>
          <a:r>
            <a:rPr lang="en-US" altLang="zh-TW" sz="1100" b="0" i="0" u="none" strike="noStrike">
              <a:solidFill>
                <a:schemeClr val="dk1"/>
              </a:solidFill>
              <a:effectLst/>
              <a:latin typeface="+mn-lt"/>
              <a:ea typeface="+mn-ea"/>
              <a:cs typeface="+mn-cs"/>
            </a:rPr>
            <a:t>0xD0,</a:t>
          </a:r>
          <a:r>
            <a:rPr lang="en-US" altLang="zh-TW"/>
            <a:t> </a:t>
          </a:r>
          <a:r>
            <a:rPr lang="en-US" altLang="zh-TW" sz="1100" b="0" i="0" u="none" strike="noStrike">
              <a:solidFill>
                <a:schemeClr val="dk1"/>
              </a:solidFill>
              <a:effectLst/>
              <a:latin typeface="+mn-lt"/>
              <a:ea typeface="+mn-ea"/>
              <a:cs typeface="+mn-cs"/>
            </a:rPr>
            <a:t>0xCF,</a:t>
          </a:r>
          <a:r>
            <a:rPr lang="en-US" altLang="zh-TW"/>
            <a:t> </a:t>
          </a:r>
          <a:r>
            <a:rPr lang="en-US" altLang="zh-TW" sz="1100" b="0" i="0" u="none" strike="noStrike">
              <a:solidFill>
                <a:schemeClr val="dk1"/>
              </a:solidFill>
              <a:effectLst/>
              <a:latin typeface="+mn-lt"/>
              <a:ea typeface="+mn-ea"/>
              <a:cs typeface="+mn-cs"/>
            </a:rPr>
            <a:t>0xCE,</a:t>
          </a:r>
          <a:r>
            <a:rPr lang="en-US" altLang="zh-TW"/>
            <a:t> </a:t>
          </a:r>
          <a:r>
            <a:rPr lang="en-US" altLang="zh-TW" sz="1100" b="0" i="0" u="none" strike="noStrike">
              <a:solidFill>
                <a:schemeClr val="dk1"/>
              </a:solidFill>
              <a:effectLst/>
              <a:latin typeface="+mn-lt"/>
              <a:ea typeface="+mn-ea"/>
              <a:cs typeface="+mn-cs"/>
            </a:rPr>
            <a:t>0xCD,</a:t>
          </a:r>
          <a:r>
            <a:rPr lang="en-US" altLang="zh-TW"/>
            <a:t> </a:t>
          </a:r>
          <a:r>
            <a:rPr lang="en-US" altLang="zh-TW" sz="1100" b="0" i="0" u="none" strike="noStrike">
              <a:solidFill>
                <a:schemeClr val="dk1"/>
              </a:solidFill>
              <a:effectLst/>
              <a:latin typeface="+mn-lt"/>
              <a:ea typeface="+mn-ea"/>
              <a:cs typeface="+mn-cs"/>
            </a:rPr>
            <a:t>0xCC,</a:t>
          </a:r>
          <a:r>
            <a:rPr lang="en-US" altLang="zh-TW"/>
            <a:t> </a:t>
          </a:r>
          <a:r>
            <a:rPr lang="en-US" altLang="zh-TW" sz="1100" b="0" i="0" u="none" strike="noStrike">
              <a:solidFill>
                <a:schemeClr val="dk1"/>
              </a:solidFill>
              <a:effectLst/>
              <a:latin typeface="+mn-lt"/>
              <a:ea typeface="+mn-ea"/>
              <a:cs typeface="+mn-cs"/>
            </a:rPr>
            <a:t>0xCB,</a:t>
          </a:r>
          <a:r>
            <a:rPr lang="en-US" altLang="zh-TW"/>
            <a:t> </a:t>
          </a:r>
          <a:r>
            <a:rPr lang="en-US" altLang="zh-TW" sz="1100" b="0" i="0" u="none" strike="noStrike">
              <a:solidFill>
                <a:schemeClr val="dk1"/>
              </a:solidFill>
              <a:effectLst/>
              <a:latin typeface="+mn-lt"/>
              <a:ea typeface="+mn-ea"/>
              <a:cs typeface="+mn-cs"/>
            </a:rPr>
            <a:t>0xCA,</a:t>
          </a:r>
          <a:r>
            <a:rPr lang="en-US" altLang="zh-TW"/>
            <a:t> </a:t>
          </a:r>
          <a:r>
            <a:rPr lang="en-US" altLang="zh-TW" sz="1100" b="0" i="0" u="none" strike="noStrike">
              <a:solidFill>
                <a:schemeClr val="dk1"/>
              </a:solidFill>
              <a:effectLst/>
              <a:latin typeface="+mn-lt"/>
              <a:ea typeface="+mn-ea"/>
              <a:cs typeface="+mn-cs"/>
            </a:rPr>
            <a:t>0xC9,</a:t>
          </a:r>
          <a:r>
            <a:rPr lang="en-US" altLang="zh-TW"/>
            <a:t> </a:t>
          </a:r>
          <a:r>
            <a:rPr lang="en-US" altLang="zh-TW" sz="1100" b="0" i="0" u="none" strike="noStrike">
              <a:solidFill>
                <a:schemeClr val="dk1"/>
              </a:solidFill>
              <a:effectLst/>
              <a:latin typeface="+mn-lt"/>
              <a:ea typeface="+mn-ea"/>
              <a:cs typeface="+mn-cs"/>
            </a:rPr>
            <a:t>0xC8,</a:t>
          </a:r>
          <a:r>
            <a:rPr lang="en-US" altLang="zh-TW"/>
            <a:t> </a:t>
          </a:r>
          <a:r>
            <a:rPr lang="en-US" altLang="zh-TW" sz="1100" b="0" i="0" u="none" strike="noStrike">
              <a:solidFill>
                <a:schemeClr val="dk1"/>
              </a:solidFill>
              <a:effectLst/>
              <a:latin typeface="+mn-lt"/>
              <a:ea typeface="+mn-ea"/>
              <a:cs typeface="+mn-cs"/>
            </a:rPr>
            <a:t>0xC7,</a:t>
          </a:r>
          <a:r>
            <a:rPr lang="en-US" altLang="zh-TW"/>
            <a:t> </a:t>
          </a:r>
          <a:r>
            <a:rPr lang="en-US" altLang="zh-TW" sz="1100" b="0" i="0" u="none" strike="noStrike">
              <a:solidFill>
                <a:schemeClr val="dk1"/>
              </a:solidFill>
              <a:effectLst/>
              <a:latin typeface="+mn-lt"/>
              <a:ea typeface="+mn-ea"/>
              <a:cs typeface="+mn-cs"/>
            </a:rPr>
            <a:t>0xC6,</a:t>
          </a:r>
          <a:r>
            <a:rPr lang="en-US" altLang="zh-TW"/>
            <a:t> </a:t>
          </a:r>
          <a:r>
            <a:rPr lang="en-US" altLang="zh-TW" sz="1100" b="0" i="0" u="none" strike="noStrike">
              <a:solidFill>
                <a:schemeClr val="dk1"/>
              </a:solidFill>
              <a:effectLst/>
              <a:latin typeface="+mn-lt"/>
              <a:ea typeface="+mn-ea"/>
              <a:cs typeface="+mn-cs"/>
            </a:rPr>
            <a:t>0xC5,</a:t>
          </a:r>
          <a:r>
            <a:rPr lang="en-US" altLang="zh-TW"/>
            <a:t> </a:t>
          </a:r>
          <a:r>
            <a:rPr lang="en-US" altLang="zh-TW" sz="1100" b="0" i="0" u="none" strike="noStrike">
              <a:solidFill>
                <a:schemeClr val="dk1"/>
              </a:solidFill>
              <a:effectLst/>
              <a:latin typeface="+mn-lt"/>
              <a:ea typeface="+mn-ea"/>
              <a:cs typeface="+mn-cs"/>
            </a:rPr>
            <a:t>0xC4,</a:t>
          </a:r>
          <a:r>
            <a:rPr lang="en-US" altLang="zh-TW"/>
            <a:t> </a:t>
          </a:r>
          <a:r>
            <a:rPr lang="en-US" altLang="zh-TW" sz="1100" b="0" i="0" u="none" strike="noStrike">
              <a:solidFill>
                <a:schemeClr val="dk1"/>
              </a:solidFill>
              <a:effectLst/>
              <a:latin typeface="+mn-lt"/>
              <a:ea typeface="+mn-ea"/>
              <a:cs typeface="+mn-cs"/>
            </a:rPr>
            <a:t>0xC3,</a:t>
          </a:r>
          <a:r>
            <a:rPr lang="en-US" altLang="zh-TW"/>
            <a:t> </a:t>
          </a:r>
          <a:r>
            <a:rPr lang="en-US" altLang="zh-TW" sz="1100" b="0" i="0" u="none" strike="noStrike">
              <a:solidFill>
                <a:schemeClr val="dk1"/>
              </a:solidFill>
              <a:effectLst/>
              <a:latin typeface="+mn-lt"/>
              <a:ea typeface="+mn-ea"/>
              <a:cs typeface="+mn-cs"/>
            </a:rPr>
            <a:t>0xC2,</a:t>
          </a:r>
          <a:r>
            <a:rPr lang="en-US" altLang="zh-TW"/>
            <a:t> </a:t>
          </a:r>
          <a:r>
            <a:rPr lang="en-US" altLang="zh-TW" sz="1100" b="0" i="0" u="none" strike="noStrike">
              <a:solidFill>
                <a:schemeClr val="dk1"/>
              </a:solidFill>
              <a:effectLst/>
              <a:latin typeface="+mn-lt"/>
              <a:ea typeface="+mn-ea"/>
              <a:cs typeface="+mn-cs"/>
            </a:rPr>
            <a:t>0xC1,</a:t>
          </a:r>
          <a:r>
            <a:rPr lang="en-US" altLang="zh-TW"/>
            <a:t> </a:t>
          </a:r>
          <a:r>
            <a:rPr lang="en-US" altLang="zh-TW" sz="1100" b="0" i="0" u="none" strike="noStrike">
              <a:solidFill>
                <a:schemeClr val="dk1"/>
              </a:solidFill>
              <a:effectLst/>
              <a:latin typeface="+mn-lt"/>
              <a:ea typeface="+mn-ea"/>
              <a:cs typeface="+mn-cs"/>
            </a:rPr>
            <a:t>0xC0,</a:t>
          </a:r>
          <a:r>
            <a:rPr lang="en-US" altLang="zh-TW"/>
            <a:t> </a:t>
          </a:r>
          <a:r>
            <a:rPr lang="en-US" altLang="zh-TW" sz="1100" b="0" i="0" u="none" strike="noStrike">
              <a:solidFill>
                <a:schemeClr val="dk1"/>
              </a:solidFill>
              <a:effectLst/>
              <a:latin typeface="+mn-lt"/>
              <a:ea typeface="+mn-ea"/>
              <a:cs typeface="+mn-cs"/>
            </a:rPr>
            <a:t>0xBF,</a:t>
          </a:r>
          <a:r>
            <a:rPr lang="en-US" altLang="zh-TW"/>
            <a:t> </a:t>
          </a:r>
          <a:r>
            <a:rPr lang="en-US" altLang="zh-TW" sz="1100" b="0" i="0" u="none" strike="noStrike">
              <a:solidFill>
                <a:schemeClr val="dk1"/>
              </a:solidFill>
              <a:effectLst/>
              <a:latin typeface="+mn-lt"/>
              <a:ea typeface="+mn-ea"/>
              <a:cs typeface="+mn-cs"/>
            </a:rPr>
            <a:t>0xBE,</a:t>
          </a:r>
          <a:r>
            <a:rPr lang="en-US" altLang="zh-TW"/>
            <a:t> </a:t>
          </a:r>
          <a:r>
            <a:rPr lang="en-US" altLang="zh-TW" sz="1100" b="0" i="0" u="none" strike="noStrike">
              <a:solidFill>
                <a:schemeClr val="dk1"/>
              </a:solidFill>
              <a:effectLst/>
              <a:latin typeface="+mn-lt"/>
              <a:ea typeface="+mn-ea"/>
              <a:cs typeface="+mn-cs"/>
            </a:rPr>
            <a:t>0xBD,</a:t>
          </a:r>
          <a:r>
            <a:rPr lang="en-US" altLang="zh-TW"/>
            <a:t> </a:t>
          </a:r>
          <a:r>
            <a:rPr lang="en-US" altLang="zh-TW" sz="1100" b="0" i="0" u="none" strike="noStrike">
              <a:solidFill>
                <a:schemeClr val="dk1"/>
              </a:solidFill>
              <a:effectLst/>
              <a:latin typeface="+mn-lt"/>
              <a:ea typeface="+mn-ea"/>
              <a:cs typeface="+mn-cs"/>
            </a:rPr>
            <a:t>0xBC,</a:t>
          </a:r>
          <a:r>
            <a:rPr lang="en-US" altLang="zh-TW"/>
            <a:t> </a:t>
          </a:r>
          <a:r>
            <a:rPr lang="en-US" altLang="zh-TW" sz="1100" b="0" i="0" u="none" strike="noStrike">
              <a:solidFill>
                <a:schemeClr val="dk1"/>
              </a:solidFill>
              <a:effectLst/>
              <a:latin typeface="+mn-lt"/>
              <a:ea typeface="+mn-ea"/>
              <a:cs typeface="+mn-cs"/>
            </a:rPr>
            <a:t>0xBB,</a:t>
          </a:r>
          <a:r>
            <a:rPr lang="en-US" altLang="zh-TW"/>
            <a:t> </a:t>
          </a:r>
          <a:r>
            <a:rPr lang="en-US" altLang="zh-TW" sz="1100" b="0" i="0" u="none" strike="noStrike">
              <a:solidFill>
                <a:schemeClr val="dk1"/>
              </a:solidFill>
              <a:effectLst/>
              <a:latin typeface="+mn-lt"/>
              <a:ea typeface="+mn-ea"/>
              <a:cs typeface="+mn-cs"/>
            </a:rPr>
            <a:t>0xBA,</a:t>
          </a:r>
          <a:r>
            <a:rPr lang="en-US" altLang="zh-TW"/>
            <a:t> </a:t>
          </a:r>
          <a:r>
            <a:rPr lang="en-US" altLang="zh-TW" sz="1100" b="0" i="0" u="none" strike="noStrike">
              <a:solidFill>
                <a:schemeClr val="dk1"/>
              </a:solidFill>
              <a:effectLst/>
              <a:latin typeface="+mn-lt"/>
              <a:ea typeface="+mn-ea"/>
              <a:cs typeface="+mn-cs"/>
            </a:rPr>
            <a:t>0xB9,</a:t>
          </a:r>
          <a:r>
            <a:rPr lang="en-US" altLang="zh-TW"/>
            <a:t> </a:t>
          </a:r>
          <a:r>
            <a:rPr lang="en-US" altLang="zh-TW" sz="1100" b="0" i="0" u="none" strike="noStrike">
              <a:solidFill>
                <a:schemeClr val="dk1"/>
              </a:solidFill>
              <a:effectLst/>
              <a:latin typeface="+mn-lt"/>
              <a:ea typeface="+mn-ea"/>
              <a:cs typeface="+mn-cs"/>
            </a:rPr>
            <a:t>0xB8,</a:t>
          </a:r>
          <a:r>
            <a:rPr lang="en-US" altLang="zh-TW"/>
            <a:t> </a:t>
          </a:r>
          <a:r>
            <a:rPr lang="en-US" altLang="zh-TW" sz="1100" b="0" i="0" u="none" strike="noStrike">
              <a:solidFill>
                <a:schemeClr val="dk1"/>
              </a:solidFill>
              <a:effectLst/>
              <a:latin typeface="+mn-lt"/>
              <a:ea typeface="+mn-ea"/>
              <a:cs typeface="+mn-cs"/>
            </a:rPr>
            <a:t>0xB7,</a:t>
          </a:r>
          <a:r>
            <a:rPr lang="en-US" altLang="zh-TW"/>
            <a:t> </a:t>
          </a:r>
          <a:r>
            <a:rPr lang="en-US" altLang="zh-TW" sz="1100" b="0" i="0" u="none" strike="noStrike">
              <a:solidFill>
                <a:schemeClr val="dk1"/>
              </a:solidFill>
              <a:effectLst/>
              <a:latin typeface="+mn-lt"/>
              <a:ea typeface="+mn-ea"/>
              <a:cs typeface="+mn-cs"/>
            </a:rPr>
            <a:t>0xB6,</a:t>
          </a:r>
          <a:r>
            <a:rPr lang="en-US" altLang="zh-TW"/>
            <a:t> </a:t>
          </a:r>
          <a:r>
            <a:rPr lang="en-US" altLang="zh-TW" sz="1100" b="0" i="0" u="none" strike="noStrike">
              <a:solidFill>
                <a:schemeClr val="dk1"/>
              </a:solidFill>
              <a:effectLst/>
              <a:latin typeface="+mn-lt"/>
              <a:ea typeface="+mn-ea"/>
              <a:cs typeface="+mn-cs"/>
            </a:rPr>
            <a:t>0xB5,</a:t>
          </a:r>
          <a:r>
            <a:rPr lang="en-US" altLang="zh-TW"/>
            <a:t> </a:t>
          </a:r>
          <a:r>
            <a:rPr lang="en-US" altLang="zh-TW" sz="1100" b="0" i="0" u="none" strike="noStrike">
              <a:solidFill>
                <a:schemeClr val="dk1"/>
              </a:solidFill>
              <a:effectLst/>
              <a:latin typeface="+mn-lt"/>
              <a:ea typeface="+mn-ea"/>
              <a:cs typeface="+mn-cs"/>
            </a:rPr>
            <a:t>0xB4,</a:t>
          </a:r>
          <a:r>
            <a:rPr lang="en-US" altLang="zh-TW"/>
            <a:t> </a:t>
          </a:r>
          <a:r>
            <a:rPr lang="en-US" altLang="zh-TW" sz="1100" b="0" i="0" u="none" strike="noStrike">
              <a:solidFill>
                <a:schemeClr val="dk1"/>
              </a:solidFill>
              <a:effectLst/>
              <a:latin typeface="+mn-lt"/>
              <a:ea typeface="+mn-ea"/>
              <a:cs typeface="+mn-cs"/>
            </a:rPr>
            <a:t>0xB3,</a:t>
          </a:r>
          <a:r>
            <a:rPr lang="en-US" altLang="zh-TW"/>
            <a:t> </a:t>
          </a:r>
          <a:r>
            <a:rPr lang="en-US" altLang="zh-TW" sz="1100" b="0" i="0" u="none" strike="noStrike">
              <a:solidFill>
                <a:schemeClr val="dk1"/>
              </a:solidFill>
              <a:effectLst/>
              <a:latin typeface="+mn-lt"/>
              <a:ea typeface="+mn-ea"/>
              <a:cs typeface="+mn-cs"/>
            </a:rPr>
            <a:t>0xB2,</a:t>
          </a:r>
          <a:r>
            <a:rPr lang="en-US" altLang="zh-TW"/>
            <a:t> </a:t>
          </a:r>
          <a:r>
            <a:rPr lang="en-US" altLang="zh-TW" sz="1100" b="0" i="0" u="none" strike="noStrike">
              <a:solidFill>
                <a:schemeClr val="dk1"/>
              </a:solidFill>
              <a:effectLst/>
              <a:latin typeface="+mn-lt"/>
              <a:ea typeface="+mn-ea"/>
              <a:cs typeface="+mn-cs"/>
            </a:rPr>
            <a:t>0xB1,</a:t>
          </a:r>
          <a:r>
            <a:rPr lang="en-US" altLang="zh-TW"/>
            <a:t> </a:t>
          </a:r>
          <a:r>
            <a:rPr lang="en-US" altLang="zh-TW" sz="1100" b="0" i="0" u="none" strike="noStrike">
              <a:solidFill>
                <a:schemeClr val="dk1"/>
              </a:solidFill>
              <a:effectLst/>
              <a:latin typeface="+mn-lt"/>
              <a:ea typeface="+mn-ea"/>
              <a:cs typeface="+mn-cs"/>
            </a:rPr>
            <a:t>0xB0,</a:t>
          </a:r>
          <a:r>
            <a:rPr lang="en-US" altLang="zh-TW"/>
            <a:t> </a:t>
          </a:r>
          <a:r>
            <a:rPr lang="en-US" altLang="zh-TW" sz="1100" b="0" i="0" u="none" strike="noStrike">
              <a:solidFill>
                <a:schemeClr val="dk1"/>
              </a:solidFill>
              <a:effectLst/>
              <a:latin typeface="+mn-lt"/>
              <a:ea typeface="+mn-ea"/>
              <a:cs typeface="+mn-cs"/>
            </a:rPr>
            <a:t>0xAF,</a:t>
          </a:r>
          <a:r>
            <a:rPr lang="en-US" altLang="zh-TW"/>
            <a:t> </a:t>
          </a:r>
          <a:r>
            <a:rPr lang="en-US" altLang="zh-TW" sz="1100" b="0" i="0" u="none" strike="noStrike">
              <a:solidFill>
                <a:schemeClr val="dk1"/>
              </a:solidFill>
              <a:effectLst/>
              <a:latin typeface="+mn-lt"/>
              <a:ea typeface="+mn-ea"/>
              <a:cs typeface="+mn-cs"/>
            </a:rPr>
            <a:t>0xAE,</a:t>
          </a:r>
          <a:r>
            <a:rPr lang="en-US" altLang="zh-TW"/>
            <a:t> </a:t>
          </a:r>
          <a:r>
            <a:rPr lang="en-US" altLang="zh-TW" sz="1100" b="0" i="0" u="none" strike="noStrike">
              <a:solidFill>
                <a:schemeClr val="dk1"/>
              </a:solidFill>
              <a:effectLst/>
              <a:latin typeface="+mn-lt"/>
              <a:ea typeface="+mn-ea"/>
              <a:cs typeface="+mn-cs"/>
            </a:rPr>
            <a:t>0xAD,</a:t>
          </a:r>
          <a:r>
            <a:rPr lang="en-US" altLang="zh-TW"/>
            <a:t> </a:t>
          </a:r>
          <a:r>
            <a:rPr lang="en-US" altLang="zh-TW" sz="1100" b="0" i="0" u="none" strike="noStrike">
              <a:solidFill>
                <a:schemeClr val="dk1"/>
              </a:solidFill>
              <a:effectLst/>
              <a:latin typeface="+mn-lt"/>
              <a:ea typeface="+mn-ea"/>
              <a:cs typeface="+mn-cs"/>
            </a:rPr>
            <a:t>0xAC,</a:t>
          </a:r>
          <a:r>
            <a:rPr lang="en-US" altLang="zh-TW"/>
            <a:t> </a:t>
          </a:r>
          <a:r>
            <a:rPr lang="en-US" altLang="zh-TW" sz="1100" b="0" i="0" u="none" strike="noStrike">
              <a:solidFill>
                <a:schemeClr val="dk1"/>
              </a:solidFill>
              <a:effectLst/>
              <a:latin typeface="+mn-lt"/>
              <a:ea typeface="+mn-ea"/>
              <a:cs typeface="+mn-cs"/>
            </a:rPr>
            <a:t>0xAB,</a:t>
          </a:r>
          <a:r>
            <a:rPr lang="en-US" altLang="zh-TW"/>
            <a:t> </a:t>
          </a:r>
          <a:r>
            <a:rPr lang="en-US" altLang="zh-TW" sz="1100" b="0" i="0" u="none" strike="noStrike">
              <a:solidFill>
                <a:schemeClr val="dk1"/>
              </a:solidFill>
              <a:effectLst/>
              <a:latin typeface="+mn-lt"/>
              <a:ea typeface="+mn-ea"/>
              <a:cs typeface="+mn-cs"/>
            </a:rPr>
            <a:t>0xAA,</a:t>
          </a:r>
          <a:r>
            <a:rPr lang="en-US" altLang="zh-TW"/>
            <a:t> </a:t>
          </a:r>
          <a:r>
            <a:rPr lang="en-US" altLang="zh-TW" sz="1100" b="0" i="0" u="none" strike="noStrike">
              <a:solidFill>
                <a:schemeClr val="dk1"/>
              </a:solidFill>
              <a:effectLst/>
              <a:latin typeface="+mn-lt"/>
              <a:ea typeface="+mn-ea"/>
              <a:cs typeface="+mn-cs"/>
            </a:rPr>
            <a:t>0xA9,</a:t>
          </a:r>
          <a:r>
            <a:rPr lang="en-US" altLang="zh-TW"/>
            <a:t> </a:t>
          </a:r>
          <a:r>
            <a:rPr lang="en-US" altLang="zh-TW" sz="1100" b="0" i="0" u="none" strike="noStrike">
              <a:solidFill>
                <a:schemeClr val="dk1"/>
              </a:solidFill>
              <a:effectLst/>
              <a:latin typeface="+mn-lt"/>
              <a:ea typeface="+mn-ea"/>
              <a:cs typeface="+mn-cs"/>
            </a:rPr>
            <a:t>0xA8,</a:t>
          </a:r>
          <a:r>
            <a:rPr lang="en-US" altLang="zh-TW"/>
            <a:t> </a:t>
          </a:r>
          <a:r>
            <a:rPr lang="en-US" altLang="zh-TW" sz="1100" b="0" i="0" u="none" strike="noStrike">
              <a:solidFill>
                <a:schemeClr val="dk1"/>
              </a:solidFill>
              <a:effectLst/>
              <a:latin typeface="+mn-lt"/>
              <a:ea typeface="+mn-ea"/>
              <a:cs typeface="+mn-cs"/>
            </a:rPr>
            <a:t>0xA7,</a:t>
          </a:r>
          <a:r>
            <a:rPr lang="en-US" altLang="zh-TW"/>
            <a:t> </a:t>
          </a:r>
          <a:r>
            <a:rPr lang="en-US" altLang="zh-TW" sz="1100" b="0" i="0" u="none" strike="noStrike">
              <a:solidFill>
                <a:schemeClr val="dk1"/>
              </a:solidFill>
              <a:effectLst/>
              <a:latin typeface="+mn-lt"/>
              <a:ea typeface="+mn-ea"/>
              <a:cs typeface="+mn-cs"/>
            </a:rPr>
            <a:t>0xA6,</a:t>
          </a:r>
          <a:r>
            <a:rPr lang="en-US" altLang="zh-TW"/>
            <a:t> </a:t>
          </a:r>
          <a:r>
            <a:rPr lang="en-US" altLang="zh-TW" sz="1100" b="0" i="0" u="none" strike="noStrike">
              <a:solidFill>
                <a:schemeClr val="dk1"/>
              </a:solidFill>
              <a:effectLst/>
              <a:latin typeface="+mn-lt"/>
              <a:ea typeface="+mn-ea"/>
              <a:cs typeface="+mn-cs"/>
            </a:rPr>
            <a:t>0xA5,</a:t>
          </a:r>
          <a:r>
            <a:rPr lang="en-US" altLang="zh-TW"/>
            <a:t> </a:t>
          </a:r>
          <a:r>
            <a:rPr lang="en-US" altLang="zh-TW" sz="1100" b="0" i="0" u="none" strike="noStrike">
              <a:solidFill>
                <a:schemeClr val="dk1"/>
              </a:solidFill>
              <a:effectLst/>
              <a:latin typeface="+mn-lt"/>
              <a:ea typeface="+mn-ea"/>
              <a:cs typeface="+mn-cs"/>
            </a:rPr>
            <a:t>0xA4,</a:t>
          </a:r>
          <a:r>
            <a:rPr lang="en-US" altLang="zh-TW"/>
            <a:t> </a:t>
          </a:r>
          <a:r>
            <a:rPr lang="en-US" altLang="zh-TW" sz="1100" b="0" i="0" u="none" strike="noStrike">
              <a:solidFill>
                <a:schemeClr val="dk1"/>
              </a:solidFill>
              <a:effectLst/>
              <a:latin typeface="+mn-lt"/>
              <a:ea typeface="+mn-ea"/>
              <a:cs typeface="+mn-cs"/>
            </a:rPr>
            <a:t>0xA3,</a:t>
          </a:r>
          <a:r>
            <a:rPr lang="en-US" altLang="zh-TW"/>
            <a:t> </a:t>
          </a:r>
          <a:r>
            <a:rPr lang="en-US" altLang="zh-TW" sz="1100" b="0" i="0" u="none" strike="noStrike">
              <a:solidFill>
                <a:schemeClr val="dk1"/>
              </a:solidFill>
              <a:effectLst/>
              <a:latin typeface="+mn-lt"/>
              <a:ea typeface="+mn-ea"/>
              <a:cs typeface="+mn-cs"/>
            </a:rPr>
            <a:t>0xA2,</a:t>
          </a:r>
          <a:r>
            <a:rPr lang="en-US" altLang="zh-TW"/>
            <a:t> </a:t>
          </a:r>
          <a:r>
            <a:rPr lang="en-US" altLang="zh-TW" sz="1100" b="0" i="0" u="none" strike="noStrike">
              <a:solidFill>
                <a:schemeClr val="dk1"/>
              </a:solidFill>
              <a:effectLst/>
              <a:latin typeface="+mn-lt"/>
              <a:ea typeface="+mn-ea"/>
              <a:cs typeface="+mn-cs"/>
            </a:rPr>
            <a:t>0xA1,</a:t>
          </a:r>
          <a:r>
            <a:rPr lang="en-US" altLang="zh-TW"/>
            <a:t> </a:t>
          </a:r>
          <a:r>
            <a:rPr lang="en-US" altLang="zh-TW" sz="1100" b="0" i="0" u="none" strike="noStrike">
              <a:solidFill>
                <a:schemeClr val="dk1"/>
              </a:solidFill>
              <a:effectLst/>
              <a:latin typeface="+mn-lt"/>
              <a:ea typeface="+mn-ea"/>
              <a:cs typeface="+mn-cs"/>
            </a:rPr>
            <a:t>0xA0,</a:t>
          </a:r>
          <a:r>
            <a:rPr lang="en-US" altLang="zh-TW"/>
            <a:t> </a:t>
          </a:r>
          <a:r>
            <a:rPr lang="en-US" altLang="zh-TW" sz="1100" b="0" i="0" u="none" strike="noStrike">
              <a:solidFill>
                <a:schemeClr val="dk1"/>
              </a:solidFill>
              <a:effectLst/>
              <a:latin typeface="+mn-lt"/>
              <a:ea typeface="+mn-ea"/>
              <a:cs typeface="+mn-cs"/>
            </a:rPr>
            <a:t>0x9F,</a:t>
          </a:r>
          <a:r>
            <a:rPr lang="en-US" altLang="zh-TW"/>
            <a:t> </a:t>
          </a:r>
          <a:r>
            <a:rPr lang="en-US" altLang="zh-TW" sz="1100" b="0" i="0" u="none" strike="noStrike">
              <a:solidFill>
                <a:schemeClr val="dk1"/>
              </a:solidFill>
              <a:effectLst/>
              <a:latin typeface="+mn-lt"/>
              <a:ea typeface="+mn-ea"/>
              <a:cs typeface="+mn-cs"/>
            </a:rPr>
            <a:t>0x9E,</a:t>
          </a:r>
          <a:r>
            <a:rPr lang="en-US" altLang="zh-TW"/>
            <a:t> </a:t>
          </a:r>
          <a:r>
            <a:rPr lang="en-US" altLang="zh-TW" sz="1100" b="0" i="0" u="none" strike="noStrike">
              <a:solidFill>
                <a:schemeClr val="dk1"/>
              </a:solidFill>
              <a:effectLst/>
              <a:latin typeface="+mn-lt"/>
              <a:ea typeface="+mn-ea"/>
              <a:cs typeface="+mn-cs"/>
            </a:rPr>
            <a:t>0x9D,</a:t>
          </a:r>
          <a:r>
            <a:rPr lang="en-US" altLang="zh-TW"/>
            <a:t> </a:t>
          </a:r>
          <a:r>
            <a:rPr lang="en-US" altLang="zh-TW" sz="1100" b="0" i="0" u="none" strike="noStrike">
              <a:solidFill>
                <a:schemeClr val="dk1"/>
              </a:solidFill>
              <a:effectLst/>
              <a:latin typeface="+mn-lt"/>
              <a:ea typeface="+mn-ea"/>
              <a:cs typeface="+mn-cs"/>
            </a:rPr>
            <a:t>0x9C,</a:t>
          </a:r>
          <a:r>
            <a:rPr lang="en-US" altLang="zh-TW"/>
            <a:t> </a:t>
          </a:r>
          <a:r>
            <a:rPr lang="en-US" altLang="zh-TW" sz="1100" b="0" i="0" u="none" strike="noStrike">
              <a:solidFill>
                <a:schemeClr val="dk1"/>
              </a:solidFill>
              <a:effectLst/>
              <a:latin typeface="+mn-lt"/>
              <a:ea typeface="+mn-ea"/>
              <a:cs typeface="+mn-cs"/>
            </a:rPr>
            <a:t>0x9B,</a:t>
          </a:r>
          <a:r>
            <a:rPr lang="en-US" altLang="zh-TW"/>
            <a:t> </a:t>
          </a:r>
          <a:r>
            <a:rPr lang="en-US" altLang="zh-TW" sz="1100" b="0" i="0" u="none" strike="noStrike">
              <a:solidFill>
                <a:schemeClr val="dk1"/>
              </a:solidFill>
              <a:effectLst/>
              <a:latin typeface="+mn-lt"/>
              <a:ea typeface="+mn-ea"/>
              <a:cs typeface="+mn-cs"/>
            </a:rPr>
            <a:t>0x9A,</a:t>
          </a:r>
          <a:r>
            <a:rPr lang="en-US" altLang="zh-TW"/>
            <a:t> </a:t>
          </a:r>
          <a:r>
            <a:rPr lang="en-US" altLang="zh-TW" sz="1100" b="0" i="0" u="none" strike="noStrike">
              <a:solidFill>
                <a:schemeClr val="dk1"/>
              </a:solidFill>
              <a:effectLst/>
              <a:latin typeface="+mn-lt"/>
              <a:ea typeface="+mn-ea"/>
              <a:cs typeface="+mn-cs"/>
            </a:rPr>
            <a:t>0x99,</a:t>
          </a:r>
          <a:r>
            <a:rPr lang="en-US" altLang="zh-TW"/>
            <a:t> </a:t>
          </a:r>
          <a:r>
            <a:rPr lang="en-US" altLang="zh-TW" sz="1100" b="0" i="0" u="none" strike="noStrike">
              <a:solidFill>
                <a:schemeClr val="dk1"/>
              </a:solidFill>
              <a:effectLst/>
              <a:latin typeface="+mn-lt"/>
              <a:ea typeface="+mn-ea"/>
              <a:cs typeface="+mn-cs"/>
            </a:rPr>
            <a:t>0x98,</a:t>
          </a:r>
          <a:r>
            <a:rPr lang="en-US" altLang="zh-TW"/>
            <a:t> </a:t>
          </a:r>
          <a:r>
            <a:rPr lang="en-US" altLang="zh-TW" sz="1100" b="0" i="0" u="none" strike="noStrike">
              <a:solidFill>
                <a:schemeClr val="dk1"/>
              </a:solidFill>
              <a:effectLst/>
              <a:latin typeface="+mn-lt"/>
              <a:ea typeface="+mn-ea"/>
              <a:cs typeface="+mn-cs"/>
            </a:rPr>
            <a:t>0x97,</a:t>
          </a:r>
          <a:r>
            <a:rPr lang="en-US" altLang="zh-TW"/>
            <a:t> </a:t>
          </a:r>
          <a:r>
            <a:rPr lang="en-US" altLang="zh-TW" sz="1100" b="0" i="0" u="none" strike="noStrike">
              <a:solidFill>
                <a:schemeClr val="dk1"/>
              </a:solidFill>
              <a:effectLst/>
              <a:latin typeface="+mn-lt"/>
              <a:ea typeface="+mn-ea"/>
              <a:cs typeface="+mn-cs"/>
            </a:rPr>
            <a:t>0x96,</a:t>
          </a:r>
          <a:r>
            <a:rPr lang="en-US" altLang="zh-TW"/>
            <a:t> </a:t>
          </a:r>
          <a:r>
            <a:rPr lang="en-US" altLang="zh-TW" sz="1100" b="0" i="0" u="none" strike="noStrike">
              <a:solidFill>
                <a:schemeClr val="dk1"/>
              </a:solidFill>
              <a:effectLst/>
              <a:latin typeface="+mn-lt"/>
              <a:ea typeface="+mn-ea"/>
              <a:cs typeface="+mn-cs"/>
            </a:rPr>
            <a:t>0x95,</a:t>
          </a:r>
          <a:r>
            <a:rPr lang="en-US" altLang="zh-TW"/>
            <a:t> </a:t>
          </a:r>
          <a:r>
            <a:rPr lang="en-US" altLang="zh-TW" sz="1100" b="0" i="0" u="none" strike="noStrike">
              <a:solidFill>
                <a:schemeClr val="dk1"/>
              </a:solidFill>
              <a:effectLst/>
              <a:latin typeface="+mn-lt"/>
              <a:ea typeface="+mn-ea"/>
              <a:cs typeface="+mn-cs"/>
            </a:rPr>
            <a:t>0x94,</a:t>
          </a:r>
          <a:r>
            <a:rPr lang="en-US" altLang="zh-TW"/>
            <a:t> </a:t>
          </a:r>
          <a:r>
            <a:rPr lang="en-US" altLang="zh-TW" sz="1100" b="0" i="0" u="none" strike="noStrike">
              <a:solidFill>
                <a:schemeClr val="dk1"/>
              </a:solidFill>
              <a:effectLst/>
              <a:latin typeface="+mn-lt"/>
              <a:ea typeface="+mn-ea"/>
              <a:cs typeface="+mn-cs"/>
            </a:rPr>
            <a:t>0x93,</a:t>
          </a:r>
          <a:r>
            <a:rPr lang="en-US" altLang="zh-TW"/>
            <a:t> </a:t>
          </a:r>
          <a:r>
            <a:rPr lang="en-US" altLang="zh-TW" sz="1100" b="0" i="0" u="none" strike="noStrike">
              <a:solidFill>
                <a:schemeClr val="dk1"/>
              </a:solidFill>
              <a:effectLst/>
              <a:latin typeface="+mn-lt"/>
              <a:ea typeface="+mn-ea"/>
              <a:cs typeface="+mn-cs"/>
            </a:rPr>
            <a:t>0x92,</a:t>
          </a:r>
          <a:r>
            <a:rPr lang="en-US" altLang="zh-TW"/>
            <a:t> </a:t>
          </a:r>
          <a:r>
            <a:rPr lang="en-US" altLang="zh-TW" sz="1100" b="0" i="0" u="none" strike="noStrike">
              <a:solidFill>
                <a:schemeClr val="dk1"/>
              </a:solidFill>
              <a:effectLst/>
              <a:latin typeface="+mn-lt"/>
              <a:ea typeface="+mn-ea"/>
              <a:cs typeface="+mn-cs"/>
            </a:rPr>
            <a:t>0x91,</a:t>
          </a:r>
          <a:r>
            <a:rPr lang="en-US" altLang="zh-TW"/>
            <a:t> </a:t>
          </a:r>
          <a:r>
            <a:rPr lang="en-US" altLang="zh-TW" sz="1100" b="0" i="0" u="none" strike="noStrike">
              <a:solidFill>
                <a:schemeClr val="dk1"/>
              </a:solidFill>
              <a:effectLst/>
              <a:latin typeface="+mn-lt"/>
              <a:ea typeface="+mn-ea"/>
              <a:cs typeface="+mn-cs"/>
            </a:rPr>
            <a:t>0x90,</a:t>
          </a:r>
          <a:r>
            <a:rPr lang="en-US" altLang="zh-TW"/>
            <a:t> </a:t>
          </a:r>
          <a:r>
            <a:rPr lang="en-US" altLang="zh-TW" sz="1100" b="0" i="0" u="none" strike="noStrike">
              <a:solidFill>
                <a:schemeClr val="dk1"/>
              </a:solidFill>
              <a:effectLst/>
              <a:latin typeface="+mn-lt"/>
              <a:ea typeface="+mn-ea"/>
              <a:cs typeface="+mn-cs"/>
            </a:rPr>
            <a:t>0x8F,</a:t>
          </a:r>
          <a:r>
            <a:rPr lang="en-US" altLang="zh-TW"/>
            <a:t> </a:t>
          </a:r>
          <a:r>
            <a:rPr lang="en-US" altLang="zh-TW" sz="1100" b="0" i="0" u="none" strike="noStrike">
              <a:solidFill>
                <a:schemeClr val="dk1"/>
              </a:solidFill>
              <a:effectLst/>
              <a:latin typeface="+mn-lt"/>
              <a:ea typeface="+mn-ea"/>
              <a:cs typeface="+mn-cs"/>
            </a:rPr>
            <a:t>0x8E,</a:t>
          </a:r>
          <a:r>
            <a:rPr lang="en-US" altLang="zh-TW"/>
            <a:t> </a:t>
          </a:r>
          <a:r>
            <a:rPr lang="en-US" altLang="zh-TW" sz="1100" b="0" i="0" u="none" strike="noStrike">
              <a:solidFill>
                <a:schemeClr val="dk1"/>
              </a:solidFill>
              <a:effectLst/>
              <a:latin typeface="+mn-lt"/>
              <a:ea typeface="+mn-ea"/>
              <a:cs typeface="+mn-cs"/>
            </a:rPr>
            <a:t>0x8D,</a:t>
          </a:r>
          <a:r>
            <a:rPr lang="en-US" altLang="zh-TW"/>
            <a:t> </a:t>
          </a:r>
          <a:r>
            <a:rPr lang="en-US" altLang="zh-TW" sz="1100" b="0" i="0" u="none" strike="noStrike">
              <a:solidFill>
                <a:schemeClr val="dk1"/>
              </a:solidFill>
              <a:effectLst/>
              <a:latin typeface="+mn-lt"/>
              <a:ea typeface="+mn-ea"/>
              <a:cs typeface="+mn-cs"/>
            </a:rPr>
            <a:t>0x8C,</a:t>
          </a:r>
          <a:r>
            <a:rPr lang="en-US" altLang="zh-TW"/>
            <a:t> </a:t>
          </a:r>
          <a:r>
            <a:rPr lang="en-US" altLang="zh-TW" sz="1100" b="0" i="0" u="none" strike="noStrike">
              <a:solidFill>
                <a:schemeClr val="dk1"/>
              </a:solidFill>
              <a:effectLst/>
              <a:latin typeface="+mn-lt"/>
              <a:ea typeface="+mn-ea"/>
              <a:cs typeface="+mn-cs"/>
            </a:rPr>
            <a:t>0x8B,</a:t>
          </a:r>
          <a:r>
            <a:rPr lang="en-US" altLang="zh-TW"/>
            <a:t> </a:t>
          </a:r>
          <a:r>
            <a:rPr lang="en-US" altLang="zh-TW" sz="1100" b="0" i="0" u="none" strike="noStrike">
              <a:solidFill>
                <a:schemeClr val="dk1"/>
              </a:solidFill>
              <a:effectLst/>
              <a:latin typeface="+mn-lt"/>
              <a:ea typeface="+mn-ea"/>
              <a:cs typeface="+mn-cs"/>
            </a:rPr>
            <a:t>0x8A,</a:t>
          </a:r>
          <a:r>
            <a:rPr lang="en-US" altLang="zh-TW"/>
            <a:t> </a:t>
          </a:r>
          <a:r>
            <a:rPr lang="en-US" altLang="zh-TW" sz="1100" b="0" i="0" u="none" strike="noStrike">
              <a:solidFill>
                <a:schemeClr val="dk1"/>
              </a:solidFill>
              <a:effectLst/>
              <a:latin typeface="+mn-lt"/>
              <a:ea typeface="+mn-ea"/>
              <a:cs typeface="+mn-cs"/>
            </a:rPr>
            <a:t>0x89,</a:t>
          </a:r>
          <a:r>
            <a:rPr lang="en-US" altLang="zh-TW"/>
            <a:t> </a:t>
          </a:r>
          <a:r>
            <a:rPr lang="en-US" altLang="zh-TW" sz="1100" b="0" i="0" u="none" strike="noStrike">
              <a:solidFill>
                <a:schemeClr val="dk1"/>
              </a:solidFill>
              <a:effectLst/>
              <a:latin typeface="+mn-lt"/>
              <a:ea typeface="+mn-ea"/>
              <a:cs typeface="+mn-cs"/>
            </a:rPr>
            <a:t>0x88,</a:t>
          </a:r>
          <a:r>
            <a:rPr lang="en-US" altLang="zh-TW"/>
            <a:t> </a:t>
          </a:r>
          <a:r>
            <a:rPr lang="en-US" altLang="zh-TW" sz="1100" b="0" i="0" u="none" strike="noStrike">
              <a:solidFill>
                <a:schemeClr val="dk1"/>
              </a:solidFill>
              <a:effectLst/>
              <a:latin typeface="+mn-lt"/>
              <a:ea typeface="+mn-ea"/>
              <a:cs typeface="+mn-cs"/>
            </a:rPr>
            <a:t>0x87,</a:t>
          </a:r>
          <a:r>
            <a:rPr lang="en-US" altLang="zh-TW"/>
            <a:t> </a:t>
          </a:r>
          <a:r>
            <a:rPr lang="en-US" altLang="zh-TW" sz="1100" b="0" i="0" u="none" strike="noStrike">
              <a:solidFill>
                <a:schemeClr val="dk1"/>
              </a:solidFill>
              <a:effectLst/>
              <a:latin typeface="+mn-lt"/>
              <a:ea typeface="+mn-ea"/>
              <a:cs typeface="+mn-cs"/>
            </a:rPr>
            <a:t>0x86,</a:t>
          </a:r>
          <a:r>
            <a:rPr lang="en-US" altLang="zh-TW"/>
            <a:t> </a:t>
          </a:r>
          <a:r>
            <a:rPr lang="en-US" altLang="zh-TW" sz="1100" b="0" i="0" u="none" strike="noStrike">
              <a:solidFill>
                <a:schemeClr val="dk1"/>
              </a:solidFill>
              <a:effectLst/>
              <a:latin typeface="+mn-lt"/>
              <a:ea typeface="+mn-ea"/>
              <a:cs typeface="+mn-cs"/>
            </a:rPr>
            <a:t>0x85,</a:t>
          </a:r>
          <a:r>
            <a:rPr lang="en-US" altLang="zh-TW"/>
            <a:t> </a:t>
          </a:r>
          <a:r>
            <a:rPr lang="en-US" altLang="zh-TW" sz="1100" b="0" i="0" u="none" strike="noStrike">
              <a:solidFill>
                <a:schemeClr val="dk1"/>
              </a:solidFill>
              <a:effectLst/>
              <a:latin typeface="+mn-lt"/>
              <a:ea typeface="+mn-ea"/>
              <a:cs typeface="+mn-cs"/>
            </a:rPr>
            <a:t>0x84,</a:t>
          </a:r>
          <a:r>
            <a:rPr lang="en-US" altLang="zh-TW"/>
            <a:t> </a:t>
          </a:r>
          <a:r>
            <a:rPr lang="en-US" altLang="zh-TW" sz="1100" b="0" i="0" u="none" strike="noStrike">
              <a:solidFill>
                <a:schemeClr val="dk1"/>
              </a:solidFill>
              <a:effectLst/>
              <a:latin typeface="+mn-lt"/>
              <a:ea typeface="+mn-ea"/>
              <a:cs typeface="+mn-cs"/>
            </a:rPr>
            <a:t>0x83,</a:t>
          </a:r>
          <a:r>
            <a:rPr lang="en-US" altLang="zh-TW"/>
            <a:t> </a:t>
          </a:r>
          <a:r>
            <a:rPr lang="en-US" altLang="zh-TW" sz="1100" b="0" i="0" u="none" strike="noStrike">
              <a:solidFill>
                <a:schemeClr val="dk1"/>
              </a:solidFill>
              <a:effectLst/>
              <a:latin typeface="+mn-lt"/>
              <a:ea typeface="+mn-ea"/>
              <a:cs typeface="+mn-cs"/>
            </a:rPr>
            <a:t>0x82,</a:t>
          </a:r>
          <a:r>
            <a:rPr lang="en-US" altLang="zh-TW"/>
            <a:t> </a:t>
          </a:r>
          <a:r>
            <a:rPr lang="en-US" altLang="zh-TW" sz="1100" b="0" i="0" u="none" strike="noStrike">
              <a:solidFill>
                <a:schemeClr val="dk1"/>
              </a:solidFill>
              <a:effectLst/>
              <a:latin typeface="+mn-lt"/>
              <a:ea typeface="+mn-ea"/>
              <a:cs typeface="+mn-cs"/>
            </a:rPr>
            <a:t>0x81,</a:t>
          </a:r>
          <a:r>
            <a:rPr lang="en-US" altLang="zh-TW"/>
            <a:t> </a:t>
          </a:r>
          <a:r>
            <a:rPr lang="en-US" altLang="zh-TW" sz="1100" b="0" i="0" u="none" strike="noStrike">
              <a:solidFill>
                <a:schemeClr val="dk1"/>
              </a:solidFill>
              <a:effectLst/>
              <a:latin typeface="+mn-lt"/>
              <a:ea typeface="+mn-ea"/>
              <a:cs typeface="+mn-cs"/>
            </a:rPr>
            <a:t>0x80,</a:t>
          </a:r>
          <a:r>
            <a:rPr lang="en-US" altLang="zh-TW"/>
            <a:t> </a:t>
          </a:r>
          <a:r>
            <a:rPr lang="en-US" altLang="zh-TW" sz="1100" b="0" i="0" u="none" strike="noStrike">
              <a:solidFill>
                <a:schemeClr val="dk1"/>
              </a:solidFill>
              <a:effectLst/>
              <a:latin typeface="+mn-lt"/>
              <a:ea typeface="+mn-ea"/>
              <a:cs typeface="+mn-cs"/>
            </a:rPr>
            <a:t>0x7F,</a:t>
          </a:r>
          <a:r>
            <a:rPr lang="en-US" altLang="zh-TW"/>
            <a:t> </a:t>
          </a:r>
          <a:r>
            <a:rPr lang="en-US" altLang="zh-TW" sz="1100" b="0" i="0" u="none" strike="noStrike">
              <a:solidFill>
                <a:schemeClr val="dk1"/>
              </a:solidFill>
              <a:effectLst/>
              <a:latin typeface="+mn-lt"/>
              <a:ea typeface="+mn-ea"/>
              <a:cs typeface="+mn-cs"/>
            </a:rPr>
            <a:t>0x7E,</a:t>
          </a:r>
          <a:r>
            <a:rPr lang="en-US" altLang="zh-TW"/>
            <a:t> </a:t>
          </a:r>
          <a:r>
            <a:rPr lang="en-US" altLang="zh-TW" sz="1100" b="0" i="0" u="none" strike="noStrike">
              <a:solidFill>
                <a:schemeClr val="dk1"/>
              </a:solidFill>
              <a:effectLst/>
              <a:latin typeface="+mn-lt"/>
              <a:ea typeface="+mn-ea"/>
              <a:cs typeface="+mn-cs"/>
            </a:rPr>
            <a:t>0x7D,</a:t>
          </a:r>
          <a:r>
            <a:rPr lang="en-US" altLang="zh-TW"/>
            <a:t> </a:t>
          </a:r>
          <a:r>
            <a:rPr lang="en-US" altLang="zh-TW" sz="1100" b="0" i="0" u="none" strike="noStrike">
              <a:solidFill>
                <a:schemeClr val="dk1"/>
              </a:solidFill>
              <a:effectLst/>
              <a:latin typeface="+mn-lt"/>
              <a:ea typeface="+mn-ea"/>
              <a:cs typeface="+mn-cs"/>
            </a:rPr>
            <a:t>0x7C,</a:t>
          </a:r>
          <a:r>
            <a:rPr lang="en-US" altLang="zh-TW"/>
            <a:t> </a:t>
          </a:r>
          <a:r>
            <a:rPr lang="en-US" altLang="zh-TW" sz="1100" b="0" i="0" u="none" strike="noStrike">
              <a:solidFill>
                <a:schemeClr val="dk1"/>
              </a:solidFill>
              <a:effectLst/>
              <a:latin typeface="+mn-lt"/>
              <a:ea typeface="+mn-ea"/>
              <a:cs typeface="+mn-cs"/>
            </a:rPr>
            <a:t>0x7B,</a:t>
          </a:r>
          <a:r>
            <a:rPr lang="en-US" altLang="zh-TW"/>
            <a:t> </a:t>
          </a:r>
          <a:r>
            <a:rPr lang="en-US" altLang="zh-TW" sz="1100" b="0" i="0" u="none" strike="noStrike">
              <a:solidFill>
                <a:schemeClr val="dk1"/>
              </a:solidFill>
              <a:effectLst/>
              <a:latin typeface="+mn-lt"/>
              <a:ea typeface="+mn-ea"/>
              <a:cs typeface="+mn-cs"/>
            </a:rPr>
            <a:t>0x7A,</a:t>
          </a:r>
          <a:r>
            <a:rPr lang="en-US" altLang="zh-TW"/>
            <a:t> </a:t>
          </a:r>
          <a:r>
            <a:rPr lang="en-US" altLang="zh-TW" sz="1100" b="0" i="0" u="none" strike="noStrike">
              <a:solidFill>
                <a:schemeClr val="dk1"/>
              </a:solidFill>
              <a:effectLst/>
              <a:latin typeface="+mn-lt"/>
              <a:ea typeface="+mn-ea"/>
              <a:cs typeface="+mn-cs"/>
            </a:rPr>
            <a:t>0x79,</a:t>
          </a:r>
          <a:r>
            <a:rPr lang="en-US" altLang="zh-TW"/>
            <a:t> </a:t>
          </a:r>
          <a:r>
            <a:rPr lang="en-US" altLang="zh-TW" sz="1100" b="0" i="0" u="none" strike="noStrike">
              <a:solidFill>
                <a:schemeClr val="dk1"/>
              </a:solidFill>
              <a:effectLst/>
              <a:latin typeface="+mn-lt"/>
              <a:ea typeface="+mn-ea"/>
              <a:cs typeface="+mn-cs"/>
            </a:rPr>
            <a:t>0x78,</a:t>
          </a:r>
          <a:r>
            <a:rPr lang="en-US" altLang="zh-TW"/>
            <a:t> </a:t>
          </a:r>
          <a:r>
            <a:rPr lang="en-US" altLang="zh-TW" sz="1100" b="0" i="0" u="none" strike="noStrike">
              <a:solidFill>
                <a:schemeClr val="dk1"/>
              </a:solidFill>
              <a:effectLst/>
              <a:latin typeface="+mn-lt"/>
              <a:ea typeface="+mn-ea"/>
              <a:cs typeface="+mn-cs"/>
            </a:rPr>
            <a:t>0xD1,</a:t>
          </a:r>
          <a:r>
            <a:rPr lang="en-US" altLang="zh-TW"/>
            <a:t> </a:t>
          </a:r>
          <a:r>
            <a:rPr lang="en-US" altLang="zh-TW" sz="1100" b="0" i="0" u="none" strike="noStrike">
              <a:solidFill>
                <a:schemeClr val="dk1"/>
              </a:solidFill>
              <a:effectLst/>
              <a:latin typeface="+mn-lt"/>
              <a:ea typeface="+mn-ea"/>
              <a:cs typeface="+mn-cs"/>
            </a:rPr>
            <a:t>0xD0,</a:t>
          </a:r>
          <a:r>
            <a:rPr lang="en-US" altLang="zh-TW"/>
            <a:t> </a:t>
          </a:r>
          <a:r>
            <a:rPr lang="en-US" altLang="zh-TW" sz="1100" b="0" i="0" u="none" strike="noStrike">
              <a:solidFill>
                <a:schemeClr val="dk1"/>
              </a:solidFill>
              <a:effectLst/>
              <a:latin typeface="+mn-lt"/>
              <a:ea typeface="+mn-ea"/>
              <a:cs typeface="+mn-cs"/>
            </a:rPr>
            <a:t>0xCF,</a:t>
          </a:r>
          <a:r>
            <a:rPr lang="en-US" altLang="zh-TW"/>
            <a:t> </a:t>
          </a:r>
          <a:r>
            <a:rPr lang="en-US" altLang="zh-TW" sz="1100" b="0" i="0" u="none" strike="noStrike">
              <a:solidFill>
                <a:schemeClr val="dk1"/>
              </a:solidFill>
              <a:effectLst/>
              <a:latin typeface="+mn-lt"/>
              <a:ea typeface="+mn-ea"/>
              <a:cs typeface="+mn-cs"/>
            </a:rPr>
            <a:t>0xCE,</a:t>
          </a:r>
          <a:r>
            <a:rPr lang="en-US" altLang="zh-TW"/>
            <a:t> </a:t>
          </a:r>
          <a:r>
            <a:rPr lang="en-US" altLang="zh-TW" sz="1100" b="0" i="0" u="none" strike="noStrike">
              <a:solidFill>
                <a:schemeClr val="dk1"/>
              </a:solidFill>
              <a:effectLst/>
              <a:latin typeface="+mn-lt"/>
              <a:ea typeface="+mn-ea"/>
              <a:cs typeface="+mn-cs"/>
            </a:rPr>
            <a:t>0xCD,</a:t>
          </a:r>
          <a:r>
            <a:rPr lang="en-US" altLang="zh-TW"/>
            <a:t> </a:t>
          </a:r>
          <a:r>
            <a:rPr lang="en-US" altLang="zh-TW" sz="1100" b="0" i="0" u="none" strike="noStrike">
              <a:solidFill>
                <a:schemeClr val="dk1"/>
              </a:solidFill>
              <a:effectLst/>
              <a:latin typeface="+mn-lt"/>
              <a:ea typeface="+mn-ea"/>
              <a:cs typeface="+mn-cs"/>
            </a:rPr>
            <a:t>0xCC,</a:t>
          </a:r>
          <a:r>
            <a:rPr lang="en-US" altLang="zh-TW"/>
            <a:t> </a:t>
          </a:r>
          <a:r>
            <a:rPr lang="en-US" altLang="zh-TW" sz="1100" b="0" i="0" u="none" strike="noStrike">
              <a:solidFill>
                <a:schemeClr val="dk1"/>
              </a:solidFill>
              <a:effectLst/>
              <a:latin typeface="+mn-lt"/>
              <a:ea typeface="+mn-ea"/>
              <a:cs typeface="+mn-cs"/>
            </a:rPr>
            <a:t>0xCB,</a:t>
          </a:r>
          <a:r>
            <a:rPr lang="en-US" altLang="zh-TW"/>
            <a:t> </a:t>
          </a:r>
          <a:r>
            <a:rPr lang="en-US" altLang="zh-TW" sz="1100" b="0" i="0" u="none" strike="noStrike">
              <a:solidFill>
                <a:schemeClr val="dk1"/>
              </a:solidFill>
              <a:effectLst/>
              <a:latin typeface="+mn-lt"/>
              <a:ea typeface="+mn-ea"/>
              <a:cs typeface="+mn-cs"/>
            </a:rPr>
            <a:t>0xCA,</a:t>
          </a:r>
          <a:r>
            <a:rPr lang="en-US" altLang="zh-TW"/>
            <a:t> </a:t>
          </a:r>
          <a:r>
            <a:rPr lang="en-US" altLang="zh-TW" sz="1100" b="0" i="0" u="none" strike="noStrike">
              <a:solidFill>
                <a:schemeClr val="dk1"/>
              </a:solidFill>
              <a:effectLst/>
              <a:latin typeface="+mn-lt"/>
              <a:ea typeface="+mn-ea"/>
              <a:cs typeface="+mn-cs"/>
            </a:rPr>
            <a:t>0xC9,</a:t>
          </a:r>
          <a:r>
            <a:rPr lang="en-US" altLang="zh-TW"/>
            <a:t> </a:t>
          </a:r>
          <a:r>
            <a:rPr lang="en-US" altLang="zh-TW" sz="1100" b="0" i="0" u="none" strike="noStrike">
              <a:solidFill>
                <a:schemeClr val="dk1"/>
              </a:solidFill>
              <a:effectLst/>
              <a:latin typeface="+mn-lt"/>
              <a:ea typeface="+mn-ea"/>
              <a:cs typeface="+mn-cs"/>
            </a:rPr>
            <a:t>0xC8,</a:t>
          </a:r>
          <a:r>
            <a:rPr lang="en-US" altLang="zh-TW"/>
            <a:t> </a:t>
          </a:r>
          <a:r>
            <a:rPr lang="en-US" altLang="zh-TW" sz="1100" b="0" i="0" u="none" strike="noStrike">
              <a:solidFill>
                <a:schemeClr val="dk1"/>
              </a:solidFill>
              <a:effectLst/>
              <a:latin typeface="+mn-lt"/>
              <a:ea typeface="+mn-ea"/>
              <a:cs typeface="+mn-cs"/>
            </a:rPr>
            <a:t>0xC7,</a:t>
          </a:r>
          <a:r>
            <a:rPr lang="en-US" altLang="zh-TW"/>
            <a:t> </a:t>
          </a:r>
          <a:r>
            <a:rPr lang="en-US" altLang="zh-TW" sz="1100" b="0" i="0" u="none" strike="noStrike">
              <a:solidFill>
                <a:schemeClr val="dk1"/>
              </a:solidFill>
              <a:effectLst/>
              <a:latin typeface="+mn-lt"/>
              <a:ea typeface="+mn-ea"/>
              <a:cs typeface="+mn-cs"/>
            </a:rPr>
            <a:t>0xC6,</a:t>
          </a:r>
          <a:r>
            <a:rPr lang="en-US" altLang="zh-TW"/>
            <a:t> </a:t>
          </a:r>
          <a:r>
            <a:rPr lang="en-US" altLang="zh-TW" sz="1100" b="0" i="0" u="none" strike="noStrike">
              <a:solidFill>
                <a:schemeClr val="dk1"/>
              </a:solidFill>
              <a:effectLst/>
              <a:latin typeface="+mn-lt"/>
              <a:ea typeface="+mn-ea"/>
              <a:cs typeface="+mn-cs"/>
            </a:rPr>
            <a:t>0xC5,</a:t>
          </a:r>
          <a:r>
            <a:rPr lang="en-US" altLang="zh-TW"/>
            <a:t> </a:t>
          </a:r>
          <a:r>
            <a:rPr lang="en-US" altLang="zh-TW" sz="1100" b="0" i="0" u="none" strike="noStrike">
              <a:solidFill>
                <a:schemeClr val="dk1"/>
              </a:solidFill>
              <a:effectLst/>
              <a:latin typeface="+mn-lt"/>
              <a:ea typeface="+mn-ea"/>
              <a:cs typeface="+mn-cs"/>
            </a:rPr>
            <a:t>0xC4,</a:t>
          </a:r>
          <a:r>
            <a:rPr lang="en-US" altLang="zh-TW"/>
            <a:t> </a:t>
          </a:r>
          <a:r>
            <a:rPr lang="en-US" altLang="zh-TW" sz="1100" b="0" i="0" u="none" strike="noStrike">
              <a:solidFill>
                <a:schemeClr val="dk1"/>
              </a:solidFill>
              <a:effectLst/>
              <a:latin typeface="+mn-lt"/>
              <a:ea typeface="+mn-ea"/>
              <a:cs typeface="+mn-cs"/>
            </a:rPr>
            <a:t>0xC3,</a:t>
          </a:r>
          <a:r>
            <a:rPr lang="en-US" altLang="zh-TW"/>
            <a:t> </a:t>
          </a:r>
          <a:r>
            <a:rPr lang="en-US" altLang="zh-TW" sz="1100" b="0" i="0" u="none" strike="noStrike">
              <a:solidFill>
                <a:schemeClr val="dk1"/>
              </a:solidFill>
              <a:effectLst/>
              <a:latin typeface="+mn-lt"/>
              <a:ea typeface="+mn-ea"/>
              <a:cs typeface="+mn-cs"/>
            </a:rPr>
            <a:t>0xC2,</a:t>
          </a:r>
          <a:r>
            <a:rPr lang="en-US" altLang="zh-TW"/>
            <a:t> </a:t>
          </a:r>
          <a:r>
            <a:rPr lang="en-US" altLang="zh-TW" sz="1100" b="0" i="0" u="none" strike="noStrike">
              <a:solidFill>
                <a:schemeClr val="dk1"/>
              </a:solidFill>
              <a:effectLst/>
              <a:latin typeface="+mn-lt"/>
              <a:ea typeface="+mn-ea"/>
              <a:cs typeface="+mn-cs"/>
            </a:rPr>
            <a:t>0xC1,</a:t>
          </a:r>
          <a:r>
            <a:rPr lang="en-US" altLang="zh-TW"/>
            <a:t> </a:t>
          </a:r>
          <a:r>
            <a:rPr lang="en-US" altLang="zh-TW" sz="1100" b="0" i="0" u="none" strike="noStrike">
              <a:solidFill>
                <a:schemeClr val="dk1"/>
              </a:solidFill>
              <a:effectLst/>
              <a:latin typeface="+mn-lt"/>
              <a:ea typeface="+mn-ea"/>
              <a:cs typeface="+mn-cs"/>
            </a:rPr>
            <a:t>0xC0,</a:t>
          </a:r>
          <a:r>
            <a:rPr lang="en-US" altLang="zh-TW"/>
            <a:t> </a:t>
          </a:r>
          <a:r>
            <a:rPr lang="en-US" altLang="zh-TW" sz="1100" b="0" i="0" u="none" strike="noStrike">
              <a:solidFill>
                <a:schemeClr val="dk1"/>
              </a:solidFill>
              <a:effectLst/>
              <a:latin typeface="+mn-lt"/>
              <a:ea typeface="+mn-ea"/>
              <a:cs typeface="+mn-cs"/>
            </a:rPr>
            <a:t>0xBF,</a:t>
          </a:r>
          <a:r>
            <a:rPr lang="en-US" altLang="zh-TW"/>
            <a:t> </a:t>
          </a:r>
          <a:r>
            <a:rPr lang="en-US" altLang="zh-TW" sz="1100" b="0" i="0" u="none" strike="noStrike">
              <a:solidFill>
                <a:schemeClr val="dk1"/>
              </a:solidFill>
              <a:effectLst/>
              <a:latin typeface="+mn-lt"/>
              <a:ea typeface="+mn-ea"/>
              <a:cs typeface="+mn-cs"/>
            </a:rPr>
            <a:t>0xBE,</a:t>
          </a:r>
          <a:r>
            <a:rPr lang="en-US" altLang="zh-TW"/>
            <a:t> </a:t>
          </a:r>
          <a:r>
            <a:rPr lang="en-US" altLang="zh-TW" sz="1100" b="0" i="0" u="none" strike="noStrike">
              <a:solidFill>
                <a:schemeClr val="dk1"/>
              </a:solidFill>
              <a:effectLst/>
              <a:latin typeface="+mn-lt"/>
              <a:ea typeface="+mn-ea"/>
              <a:cs typeface="+mn-cs"/>
            </a:rPr>
            <a:t>0xBD,</a:t>
          </a:r>
          <a:r>
            <a:rPr lang="en-US" altLang="zh-TW"/>
            <a:t> </a:t>
          </a:r>
          <a:r>
            <a:rPr lang="en-US" altLang="zh-TW" sz="1100" b="0" i="0" u="none" strike="noStrike">
              <a:solidFill>
                <a:schemeClr val="dk1"/>
              </a:solidFill>
              <a:effectLst/>
              <a:latin typeface="+mn-lt"/>
              <a:ea typeface="+mn-ea"/>
              <a:cs typeface="+mn-cs"/>
            </a:rPr>
            <a:t>0xBC,</a:t>
          </a:r>
          <a:r>
            <a:rPr lang="en-US" altLang="zh-TW"/>
            <a:t> </a:t>
          </a:r>
          <a:r>
            <a:rPr lang="en-US" altLang="zh-TW" sz="1100" b="0" i="0" u="none" strike="noStrike">
              <a:solidFill>
                <a:schemeClr val="dk1"/>
              </a:solidFill>
              <a:effectLst/>
              <a:latin typeface="+mn-lt"/>
              <a:ea typeface="+mn-ea"/>
              <a:cs typeface="+mn-cs"/>
            </a:rPr>
            <a:t>0xBB,</a:t>
          </a:r>
          <a:r>
            <a:rPr lang="en-US" altLang="zh-TW"/>
            <a:t> </a:t>
          </a:r>
          <a:r>
            <a:rPr lang="en-US" altLang="zh-TW" sz="1100" b="0" i="0" u="none" strike="noStrike">
              <a:solidFill>
                <a:schemeClr val="dk1"/>
              </a:solidFill>
              <a:effectLst/>
              <a:latin typeface="+mn-lt"/>
              <a:ea typeface="+mn-ea"/>
              <a:cs typeface="+mn-cs"/>
            </a:rPr>
            <a:t>0xBA,</a:t>
          </a:r>
          <a:r>
            <a:rPr lang="en-US" altLang="zh-TW"/>
            <a:t> </a:t>
          </a:r>
          <a:r>
            <a:rPr lang="en-US" altLang="zh-TW" sz="1100" b="0" i="0" u="none" strike="noStrike">
              <a:solidFill>
                <a:schemeClr val="dk1"/>
              </a:solidFill>
              <a:effectLst/>
              <a:latin typeface="+mn-lt"/>
              <a:ea typeface="+mn-ea"/>
              <a:cs typeface="+mn-cs"/>
            </a:rPr>
            <a:t>0xB9,</a:t>
          </a:r>
          <a:r>
            <a:rPr lang="en-US" altLang="zh-TW"/>
            <a:t> </a:t>
          </a:r>
          <a:r>
            <a:rPr lang="en-US" altLang="zh-TW" sz="1100" b="0" i="0" u="none" strike="noStrike">
              <a:solidFill>
                <a:schemeClr val="dk1"/>
              </a:solidFill>
              <a:effectLst/>
              <a:latin typeface="+mn-lt"/>
              <a:ea typeface="+mn-ea"/>
              <a:cs typeface="+mn-cs"/>
            </a:rPr>
            <a:t>0xB8,</a:t>
          </a:r>
          <a:r>
            <a:rPr lang="en-US" altLang="zh-TW"/>
            <a:t> </a:t>
          </a:r>
          <a:r>
            <a:rPr lang="en-US" altLang="zh-TW" sz="1100" b="0" i="0" u="none" strike="noStrike">
              <a:solidFill>
                <a:schemeClr val="dk1"/>
              </a:solidFill>
              <a:effectLst/>
              <a:latin typeface="+mn-lt"/>
              <a:ea typeface="+mn-ea"/>
              <a:cs typeface="+mn-cs"/>
            </a:rPr>
            <a:t>0xB7,</a:t>
          </a:r>
          <a:r>
            <a:rPr lang="en-US" altLang="zh-TW"/>
            <a:t> </a:t>
          </a:r>
          <a:r>
            <a:rPr lang="en-US" altLang="zh-TW" sz="1100" b="0" i="0" u="none" strike="noStrike">
              <a:solidFill>
                <a:schemeClr val="dk1"/>
              </a:solidFill>
              <a:effectLst/>
              <a:latin typeface="+mn-lt"/>
              <a:ea typeface="+mn-ea"/>
              <a:cs typeface="+mn-cs"/>
            </a:rPr>
            <a:t>0xB6,</a:t>
          </a:r>
          <a:r>
            <a:rPr lang="en-US" altLang="zh-TW"/>
            <a:t> </a:t>
          </a:r>
          <a:r>
            <a:rPr lang="en-US" altLang="zh-TW" sz="1100" b="0" i="0" u="none" strike="noStrike">
              <a:solidFill>
                <a:schemeClr val="dk1"/>
              </a:solidFill>
              <a:effectLst/>
              <a:latin typeface="+mn-lt"/>
              <a:ea typeface="+mn-ea"/>
              <a:cs typeface="+mn-cs"/>
            </a:rPr>
            <a:t>0xB5,</a:t>
          </a:r>
          <a:r>
            <a:rPr lang="en-US" altLang="zh-TW"/>
            <a:t> </a:t>
          </a:r>
          <a:r>
            <a:rPr lang="en-US" altLang="zh-TW" sz="1100" b="0" i="0" u="none" strike="noStrike">
              <a:solidFill>
                <a:schemeClr val="dk1"/>
              </a:solidFill>
              <a:effectLst/>
              <a:latin typeface="+mn-lt"/>
              <a:ea typeface="+mn-ea"/>
              <a:cs typeface="+mn-cs"/>
            </a:rPr>
            <a:t>0xB4,</a:t>
          </a:r>
          <a:r>
            <a:rPr lang="en-US" altLang="zh-TW"/>
            <a:t> </a:t>
          </a:r>
          <a:r>
            <a:rPr lang="en-US" altLang="zh-TW" sz="1100" b="0" i="0" u="none" strike="noStrike">
              <a:solidFill>
                <a:schemeClr val="dk1"/>
              </a:solidFill>
              <a:effectLst/>
              <a:latin typeface="+mn-lt"/>
              <a:ea typeface="+mn-ea"/>
              <a:cs typeface="+mn-cs"/>
            </a:rPr>
            <a:t>0xB3,</a:t>
          </a:r>
          <a:r>
            <a:rPr lang="en-US" altLang="zh-TW"/>
            <a:t> </a:t>
          </a:r>
          <a:r>
            <a:rPr lang="en-US" altLang="zh-TW" sz="1100" b="0" i="0" u="none" strike="noStrike">
              <a:solidFill>
                <a:schemeClr val="dk1"/>
              </a:solidFill>
              <a:effectLst/>
              <a:latin typeface="+mn-lt"/>
              <a:ea typeface="+mn-ea"/>
              <a:cs typeface="+mn-cs"/>
            </a:rPr>
            <a:t>0xB2,</a:t>
          </a:r>
          <a:r>
            <a:rPr lang="en-US" altLang="zh-TW"/>
            <a:t> </a:t>
          </a:r>
          <a:r>
            <a:rPr lang="en-US" altLang="zh-TW" sz="1100" b="0" i="0" u="none" strike="noStrike">
              <a:solidFill>
                <a:schemeClr val="dk1"/>
              </a:solidFill>
              <a:effectLst/>
              <a:latin typeface="+mn-lt"/>
              <a:ea typeface="+mn-ea"/>
              <a:cs typeface="+mn-cs"/>
            </a:rPr>
            <a:t>0xB1,</a:t>
          </a:r>
          <a:r>
            <a:rPr lang="en-US" altLang="zh-TW"/>
            <a:t> </a:t>
          </a:r>
          <a:r>
            <a:rPr lang="en-US" altLang="zh-TW" sz="1100" b="0" i="0" u="none" strike="noStrike">
              <a:solidFill>
                <a:schemeClr val="dk1"/>
              </a:solidFill>
              <a:effectLst/>
              <a:latin typeface="+mn-lt"/>
              <a:ea typeface="+mn-ea"/>
              <a:cs typeface="+mn-cs"/>
            </a:rPr>
            <a:t>0xB0,</a:t>
          </a:r>
          <a:r>
            <a:rPr lang="en-US" altLang="zh-TW"/>
            <a:t> </a:t>
          </a:r>
          <a:r>
            <a:rPr lang="en-US" altLang="zh-TW" sz="1100" b="0" i="0" u="none" strike="noStrike">
              <a:solidFill>
                <a:schemeClr val="dk1"/>
              </a:solidFill>
              <a:effectLst/>
              <a:latin typeface="+mn-lt"/>
              <a:ea typeface="+mn-ea"/>
              <a:cs typeface="+mn-cs"/>
            </a:rPr>
            <a:t>0xAF,</a:t>
          </a:r>
          <a:r>
            <a:rPr lang="en-US" altLang="zh-TW"/>
            <a:t> </a:t>
          </a:r>
          <a:r>
            <a:rPr lang="en-US" altLang="zh-TW" sz="1100" b="0" i="0" u="none" strike="noStrike">
              <a:solidFill>
                <a:schemeClr val="dk1"/>
              </a:solidFill>
              <a:effectLst/>
              <a:latin typeface="+mn-lt"/>
              <a:ea typeface="+mn-ea"/>
              <a:cs typeface="+mn-cs"/>
            </a:rPr>
            <a:t>0xAE,</a:t>
          </a:r>
          <a:r>
            <a:rPr lang="en-US" altLang="zh-TW"/>
            <a:t> </a:t>
          </a:r>
          <a:r>
            <a:rPr lang="en-US" altLang="zh-TW" sz="1100" b="0" i="0" u="none" strike="noStrike">
              <a:solidFill>
                <a:schemeClr val="dk1"/>
              </a:solidFill>
              <a:effectLst/>
              <a:latin typeface="+mn-lt"/>
              <a:ea typeface="+mn-ea"/>
              <a:cs typeface="+mn-cs"/>
            </a:rPr>
            <a:t>0xAD,</a:t>
          </a:r>
          <a:r>
            <a:rPr lang="en-US" altLang="zh-TW"/>
            <a:t> </a:t>
          </a:r>
          <a:r>
            <a:rPr lang="en-US" altLang="zh-TW" sz="1100" b="0" i="0" u="none" strike="noStrike">
              <a:solidFill>
                <a:schemeClr val="dk1"/>
              </a:solidFill>
              <a:effectLst/>
              <a:latin typeface="+mn-lt"/>
              <a:ea typeface="+mn-ea"/>
              <a:cs typeface="+mn-cs"/>
            </a:rPr>
            <a:t>0xAC,</a:t>
          </a:r>
          <a:r>
            <a:rPr lang="en-US" altLang="zh-TW"/>
            <a:t> </a:t>
          </a:r>
          <a:r>
            <a:rPr lang="en-US" altLang="zh-TW" sz="1100" b="0" i="0" u="none" strike="noStrike">
              <a:solidFill>
                <a:schemeClr val="dk1"/>
              </a:solidFill>
              <a:effectLst/>
              <a:latin typeface="+mn-lt"/>
              <a:ea typeface="+mn-ea"/>
              <a:cs typeface="+mn-cs"/>
            </a:rPr>
            <a:t>0xAB,</a:t>
          </a:r>
          <a:r>
            <a:rPr lang="en-US" altLang="zh-TW"/>
            <a:t> </a:t>
          </a:r>
          <a:r>
            <a:rPr lang="en-US" altLang="zh-TW" sz="1100" b="0" i="0" u="none" strike="noStrike">
              <a:solidFill>
                <a:schemeClr val="dk1"/>
              </a:solidFill>
              <a:effectLst/>
              <a:latin typeface="+mn-lt"/>
              <a:ea typeface="+mn-ea"/>
              <a:cs typeface="+mn-cs"/>
            </a:rPr>
            <a:t>0xAA,</a:t>
          </a:r>
          <a:r>
            <a:rPr lang="en-US" altLang="zh-TW"/>
            <a:t> </a:t>
          </a:r>
          <a:r>
            <a:rPr lang="en-US" altLang="zh-TW" sz="1100" b="0" i="0" u="none" strike="noStrike">
              <a:solidFill>
                <a:schemeClr val="dk1"/>
              </a:solidFill>
              <a:effectLst/>
              <a:latin typeface="+mn-lt"/>
              <a:ea typeface="+mn-ea"/>
              <a:cs typeface="+mn-cs"/>
            </a:rPr>
            <a:t>0xA9,</a:t>
          </a:r>
          <a:r>
            <a:rPr lang="en-US" altLang="zh-TW"/>
            <a:t> </a:t>
          </a:r>
          <a:r>
            <a:rPr lang="en-US" altLang="zh-TW" sz="1100" b="0" i="0" u="none" strike="noStrike">
              <a:solidFill>
                <a:schemeClr val="dk1"/>
              </a:solidFill>
              <a:effectLst/>
              <a:latin typeface="+mn-lt"/>
              <a:ea typeface="+mn-ea"/>
              <a:cs typeface="+mn-cs"/>
            </a:rPr>
            <a:t>0xA8,</a:t>
          </a:r>
          <a:r>
            <a:rPr lang="en-US" altLang="zh-TW"/>
            <a:t> </a:t>
          </a:r>
          <a:r>
            <a:rPr lang="en-US" altLang="zh-TW" sz="1100" b="0" i="0" u="none" strike="noStrike">
              <a:solidFill>
                <a:schemeClr val="dk1"/>
              </a:solidFill>
              <a:effectLst/>
              <a:latin typeface="+mn-lt"/>
              <a:ea typeface="+mn-ea"/>
              <a:cs typeface="+mn-cs"/>
            </a:rPr>
            <a:t>0xA7,</a:t>
          </a:r>
          <a:r>
            <a:rPr lang="en-US" altLang="zh-TW"/>
            <a:t> </a:t>
          </a:r>
          <a:r>
            <a:rPr lang="en-US" altLang="zh-TW" sz="1100" b="0" i="0" u="none" strike="noStrike">
              <a:solidFill>
                <a:schemeClr val="dk1"/>
              </a:solidFill>
              <a:effectLst/>
              <a:latin typeface="+mn-lt"/>
              <a:ea typeface="+mn-ea"/>
              <a:cs typeface="+mn-cs"/>
            </a:rPr>
            <a:t>0xA6,</a:t>
          </a:r>
          <a:r>
            <a:rPr lang="en-US" altLang="zh-TW"/>
            <a:t> </a:t>
          </a:r>
          <a:r>
            <a:rPr lang="en-US" altLang="zh-TW" sz="1100" b="0" i="0" u="none" strike="noStrike">
              <a:solidFill>
                <a:schemeClr val="dk1"/>
              </a:solidFill>
              <a:effectLst/>
              <a:latin typeface="+mn-lt"/>
              <a:ea typeface="+mn-ea"/>
              <a:cs typeface="+mn-cs"/>
            </a:rPr>
            <a:t>0xA5,</a:t>
          </a:r>
          <a:r>
            <a:rPr lang="en-US" altLang="zh-TW"/>
            <a:t> </a:t>
          </a:r>
          <a:r>
            <a:rPr lang="en-US" altLang="zh-TW" sz="1100" b="0" i="0" u="none" strike="noStrike">
              <a:solidFill>
                <a:schemeClr val="dk1"/>
              </a:solidFill>
              <a:effectLst/>
              <a:latin typeface="+mn-lt"/>
              <a:ea typeface="+mn-ea"/>
              <a:cs typeface="+mn-cs"/>
            </a:rPr>
            <a:t>0xA4,</a:t>
          </a:r>
          <a:r>
            <a:rPr lang="en-US" altLang="zh-TW"/>
            <a:t> </a:t>
          </a:r>
          <a:r>
            <a:rPr lang="en-US" altLang="zh-TW" sz="1100" b="0" i="0" u="none" strike="noStrike">
              <a:solidFill>
                <a:schemeClr val="dk1"/>
              </a:solidFill>
              <a:effectLst/>
              <a:latin typeface="+mn-lt"/>
              <a:ea typeface="+mn-ea"/>
              <a:cs typeface="+mn-cs"/>
            </a:rPr>
            <a:t>0xA3,</a:t>
          </a:r>
          <a:r>
            <a:rPr lang="en-US" altLang="zh-TW"/>
            <a:t> </a:t>
          </a:r>
          <a:r>
            <a:rPr lang="en-US" altLang="zh-TW" sz="1100" b="0" i="0" u="none" strike="noStrike">
              <a:solidFill>
                <a:schemeClr val="dk1"/>
              </a:solidFill>
              <a:effectLst/>
              <a:latin typeface="+mn-lt"/>
              <a:ea typeface="+mn-ea"/>
              <a:cs typeface="+mn-cs"/>
            </a:rPr>
            <a:t>0xA2,</a:t>
          </a:r>
          <a:r>
            <a:rPr lang="en-US" altLang="zh-TW"/>
            <a:t> </a:t>
          </a:r>
          <a:r>
            <a:rPr lang="en-US" altLang="zh-TW" sz="1100" b="0" i="0" u="none" strike="noStrike">
              <a:solidFill>
                <a:schemeClr val="dk1"/>
              </a:solidFill>
              <a:effectLst/>
              <a:latin typeface="+mn-lt"/>
              <a:ea typeface="+mn-ea"/>
              <a:cs typeface="+mn-cs"/>
            </a:rPr>
            <a:t>0xA1,</a:t>
          </a:r>
          <a:r>
            <a:rPr lang="en-US" altLang="zh-TW"/>
            <a:t> </a:t>
          </a:r>
          <a:r>
            <a:rPr lang="en-US" altLang="zh-TW" sz="1100" b="0" i="0" u="none" strike="noStrike">
              <a:solidFill>
                <a:schemeClr val="dk1"/>
              </a:solidFill>
              <a:effectLst/>
              <a:latin typeface="+mn-lt"/>
              <a:ea typeface="+mn-ea"/>
              <a:cs typeface="+mn-cs"/>
            </a:rPr>
            <a:t>0xA0,</a:t>
          </a:r>
          <a:r>
            <a:rPr lang="en-US" altLang="zh-TW"/>
            <a:t> </a:t>
          </a:r>
          <a:r>
            <a:rPr lang="en-US" altLang="zh-TW" sz="1100" b="0" i="0" u="none" strike="noStrike">
              <a:solidFill>
                <a:schemeClr val="dk1"/>
              </a:solidFill>
              <a:effectLst/>
              <a:latin typeface="+mn-lt"/>
              <a:ea typeface="+mn-ea"/>
              <a:cs typeface="+mn-cs"/>
            </a:rPr>
            <a:t>0x9F,</a:t>
          </a:r>
          <a:r>
            <a:rPr lang="en-US" altLang="zh-TW"/>
            <a:t> </a:t>
          </a:r>
          <a:r>
            <a:rPr lang="en-US" altLang="zh-TW" sz="1100" b="0" i="0" u="none" strike="noStrike">
              <a:solidFill>
                <a:schemeClr val="dk1"/>
              </a:solidFill>
              <a:effectLst/>
              <a:latin typeface="+mn-lt"/>
              <a:ea typeface="+mn-ea"/>
              <a:cs typeface="+mn-cs"/>
            </a:rPr>
            <a:t>0x9E,</a:t>
          </a:r>
          <a:r>
            <a:rPr lang="en-US" altLang="zh-TW"/>
            <a:t> </a:t>
          </a:r>
          <a:r>
            <a:rPr lang="en-US" altLang="zh-TW" sz="1100" b="0" i="0" u="none" strike="noStrike">
              <a:solidFill>
                <a:schemeClr val="dk1"/>
              </a:solidFill>
              <a:effectLst/>
              <a:latin typeface="+mn-lt"/>
              <a:ea typeface="+mn-ea"/>
              <a:cs typeface="+mn-cs"/>
            </a:rPr>
            <a:t>0x9D,</a:t>
          </a:r>
          <a:r>
            <a:rPr lang="en-US" altLang="zh-TW"/>
            <a:t> </a:t>
          </a:r>
          <a:r>
            <a:rPr lang="en-US" altLang="zh-TW" sz="1100" b="0" i="0" u="none" strike="noStrike">
              <a:solidFill>
                <a:schemeClr val="dk1"/>
              </a:solidFill>
              <a:effectLst/>
              <a:latin typeface="+mn-lt"/>
              <a:ea typeface="+mn-ea"/>
              <a:cs typeface="+mn-cs"/>
            </a:rPr>
            <a:t>0x9C,</a:t>
          </a:r>
          <a:r>
            <a:rPr lang="en-US" altLang="zh-TW"/>
            <a:t> </a:t>
          </a:r>
          <a:r>
            <a:rPr lang="en-US" altLang="zh-TW" sz="1100" b="0" i="0" u="none" strike="noStrike">
              <a:solidFill>
                <a:schemeClr val="dk1"/>
              </a:solidFill>
              <a:effectLst/>
              <a:latin typeface="+mn-lt"/>
              <a:ea typeface="+mn-ea"/>
              <a:cs typeface="+mn-cs"/>
            </a:rPr>
            <a:t>0x9B,</a:t>
          </a:r>
          <a:r>
            <a:rPr lang="en-US" altLang="zh-TW"/>
            <a:t> </a:t>
          </a:r>
          <a:r>
            <a:rPr lang="en-US" altLang="zh-TW" sz="1100" b="0" i="0" u="none" strike="noStrike">
              <a:solidFill>
                <a:schemeClr val="dk1"/>
              </a:solidFill>
              <a:effectLst/>
              <a:latin typeface="+mn-lt"/>
              <a:ea typeface="+mn-ea"/>
              <a:cs typeface="+mn-cs"/>
            </a:rPr>
            <a:t>0x9A,</a:t>
          </a:r>
          <a:r>
            <a:rPr lang="en-US" altLang="zh-TW"/>
            <a:t> </a:t>
          </a:r>
          <a:r>
            <a:rPr lang="en-US" altLang="zh-TW" sz="1100" b="0" i="0" u="none" strike="noStrike">
              <a:solidFill>
                <a:schemeClr val="dk1"/>
              </a:solidFill>
              <a:effectLst/>
              <a:latin typeface="+mn-lt"/>
              <a:ea typeface="+mn-ea"/>
              <a:cs typeface="+mn-cs"/>
            </a:rPr>
            <a:t>0x99,</a:t>
          </a:r>
          <a:r>
            <a:rPr lang="en-US" altLang="zh-TW"/>
            <a:t> </a:t>
          </a:r>
          <a:r>
            <a:rPr lang="en-US" altLang="zh-TW" sz="1100" b="0" i="0" u="none" strike="noStrike">
              <a:solidFill>
                <a:schemeClr val="dk1"/>
              </a:solidFill>
              <a:effectLst/>
              <a:latin typeface="+mn-lt"/>
              <a:ea typeface="+mn-ea"/>
              <a:cs typeface="+mn-cs"/>
            </a:rPr>
            <a:t>0x98,</a:t>
          </a:r>
          <a:r>
            <a:rPr lang="en-US" altLang="zh-TW"/>
            <a:t> </a:t>
          </a:r>
          <a:r>
            <a:rPr lang="en-US" altLang="zh-TW" sz="1100" b="0" i="0" u="none" strike="noStrike">
              <a:solidFill>
                <a:schemeClr val="dk1"/>
              </a:solidFill>
              <a:effectLst/>
              <a:latin typeface="+mn-lt"/>
              <a:ea typeface="+mn-ea"/>
              <a:cs typeface="+mn-cs"/>
            </a:rPr>
            <a:t>0x97,</a:t>
          </a:r>
          <a:r>
            <a:rPr lang="en-US" altLang="zh-TW"/>
            <a:t> </a:t>
          </a:r>
          <a:r>
            <a:rPr lang="en-US" altLang="zh-TW" sz="1100" b="0" i="0" u="none" strike="noStrike">
              <a:solidFill>
                <a:schemeClr val="dk1"/>
              </a:solidFill>
              <a:effectLst/>
              <a:latin typeface="+mn-lt"/>
              <a:ea typeface="+mn-ea"/>
              <a:cs typeface="+mn-cs"/>
            </a:rPr>
            <a:t>0x96,</a:t>
          </a:r>
          <a:r>
            <a:rPr lang="en-US" altLang="zh-TW"/>
            <a:t> </a:t>
          </a:r>
          <a:r>
            <a:rPr lang="en-US" altLang="zh-TW" sz="1100" b="0" i="0" u="none" strike="noStrike">
              <a:solidFill>
                <a:schemeClr val="dk1"/>
              </a:solidFill>
              <a:effectLst/>
              <a:latin typeface="+mn-lt"/>
              <a:ea typeface="+mn-ea"/>
              <a:cs typeface="+mn-cs"/>
            </a:rPr>
            <a:t>0x95,</a:t>
          </a:r>
          <a:r>
            <a:rPr lang="en-US" altLang="zh-TW"/>
            <a:t> </a:t>
          </a:r>
          <a:r>
            <a:rPr lang="en-US" altLang="zh-TW" sz="1100" b="0" i="0" u="none" strike="noStrike">
              <a:solidFill>
                <a:schemeClr val="dk1"/>
              </a:solidFill>
              <a:effectLst/>
              <a:latin typeface="+mn-lt"/>
              <a:ea typeface="+mn-ea"/>
              <a:cs typeface="+mn-cs"/>
            </a:rPr>
            <a:t>0x94,</a:t>
          </a:r>
          <a:r>
            <a:rPr lang="en-US" altLang="zh-TW"/>
            <a:t> </a:t>
          </a:r>
          <a:r>
            <a:rPr lang="en-US" altLang="zh-TW" sz="1100" b="0" i="0" u="none" strike="noStrike">
              <a:solidFill>
                <a:schemeClr val="dk1"/>
              </a:solidFill>
              <a:effectLst/>
              <a:latin typeface="+mn-lt"/>
              <a:ea typeface="+mn-ea"/>
              <a:cs typeface="+mn-cs"/>
            </a:rPr>
            <a:t>0x93,</a:t>
          </a:r>
          <a:r>
            <a:rPr lang="en-US" altLang="zh-TW"/>
            <a:t> </a:t>
          </a:r>
          <a:r>
            <a:rPr lang="en-US" altLang="zh-TW" sz="1100" b="0" i="0" u="none" strike="noStrike">
              <a:solidFill>
                <a:schemeClr val="dk1"/>
              </a:solidFill>
              <a:effectLst/>
              <a:latin typeface="+mn-lt"/>
              <a:ea typeface="+mn-ea"/>
              <a:cs typeface="+mn-cs"/>
            </a:rPr>
            <a:t>0x92,</a:t>
          </a:r>
          <a:r>
            <a:rPr lang="en-US" altLang="zh-TW"/>
            <a:t> </a:t>
          </a:r>
          <a:r>
            <a:rPr lang="en-US" altLang="zh-TW" sz="1100" b="0" i="0" u="none" strike="noStrike">
              <a:solidFill>
                <a:schemeClr val="dk1"/>
              </a:solidFill>
              <a:effectLst/>
              <a:latin typeface="+mn-lt"/>
              <a:ea typeface="+mn-ea"/>
              <a:cs typeface="+mn-cs"/>
            </a:rPr>
            <a:t>0x91,</a:t>
          </a:r>
          <a:r>
            <a:rPr lang="en-US" altLang="zh-TW"/>
            <a:t> </a:t>
          </a:r>
          <a:r>
            <a:rPr lang="en-US" altLang="zh-TW" sz="1100" b="0" i="0" u="none" strike="noStrike">
              <a:solidFill>
                <a:schemeClr val="dk1"/>
              </a:solidFill>
              <a:effectLst/>
              <a:latin typeface="+mn-lt"/>
              <a:ea typeface="+mn-ea"/>
              <a:cs typeface="+mn-cs"/>
            </a:rPr>
            <a:t>0x90,</a:t>
          </a:r>
          <a:r>
            <a:rPr lang="en-US" altLang="zh-TW"/>
            <a:t> </a:t>
          </a:r>
          <a:r>
            <a:rPr lang="en-US" altLang="zh-TW" sz="1100" b="0" i="0" u="none" strike="noStrike">
              <a:solidFill>
                <a:schemeClr val="dk1"/>
              </a:solidFill>
              <a:effectLst/>
              <a:latin typeface="+mn-lt"/>
              <a:ea typeface="+mn-ea"/>
              <a:cs typeface="+mn-cs"/>
            </a:rPr>
            <a:t>0x8F,</a:t>
          </a:r>
          <a:r>
            <a:rPr lang="en-US" altLang="zh-TW"/>
            <a:t> </a:t>
          </a:r>
          <a:r>
            <a:rPr lang="en-US" altLang="zh-TW" sz="1100" b="0" i="0" u="none" strike="noStrike">
              <a:solidFill>
                <a:schemeClr val="dk1"/>
              </a:solidFill>
              <a:effectLst/>
              <a:latin typeface="+mn-lt"/>
              <a:ea typeface="+mn-ea"/>
              <a:cs typeface="+mn-cs"/>
            </a:rPr>
            <a:t>0x8E,</a:t>
          </a:r>
          <a:r>
            <a:rPr lang="en-US" altLang="zh-TW"/>
            <a:t> </a:t>
          </a:r>
          <a:r>
            <a:rPr lang="en-US" altLang="zh-TW" sz="1100" b="0" i="0" u="none" strike="noStrike">
              <a:solidFill>
                <a:schemeClr val="dk1"/>
              </a:solidFill>
              <a:effectLst/>
              <a:latin typeface="+mn-lt"/>
              <a:ea typeface="+mn-ea"/>
              <a:cs typeface="+mn-cs"/>
            </a:rPr>
            <a:t>0x8D,</a:t>
          </a:r>
          <a:r>
            <a:rPr lang="en-US" altLang="zh-TW"/>
            <a:t> </a:t>
          </a:r>
          <a:r>
            <a:rPr lang="en-US" altLang="zh-TW" sz="1100" b="0" i="0" u="none" strike="noStrike">
              <a:solidFill>
                <a:schemeClr val="dk1"/>
              </a:solidFill>
              <a:effectLst/>
              <a:latin typeface="+mn-lt"/>
              <a:ea typeface="+mn-ea"/>
              <a:cs typeface="+mn-cs"/>
            </a:rPr>
            <a:t>0x8C,</a:t>
          </a:r>
          <a:r>
            <a:rPr lang="en-US" altLang="zh-TW"/>
            <a:t> </a:t>
          </a:r>
          <a:r>
            <a:rPr lang="en-US" altLang="zh-TW" sz="1100" b="0" i="0" u="none" strike="noStrike">
              <a:solidFill>
                <a:schemeClr val="dk1"/>
              </a:solidFill>
              <a:effectLst/>
              <a:latin typeface="+mn-lt"/>
              <a:ea typeface="+mn-ea"/>
              <a:cs typeface="+mn-cs"/>
            </a:rPr>
            <a:t>0x8B,</a:t>
          </a:r>
          <a:r>
            <a:rPr lang="en-US" altLang="zh-TW"/>
            <a:t> </a:t>
          </a:r>
          <a:r>
            <a:rPr lang="en-US" altLang="zh-TW" sz="1100" b="0" i="0" u="none" strike="noStrike">
              <a:solidFill>
                <a:schemeClr val="dk1"/>
              </a:solidFill>
              <a:effectLst/>
              <a:latin typeface="+mn-lt"/>
              <a:ea typeface="+mn-ea"/>
              <a:cs typeface="+mn-cs"/>
            </a:rPr>
            <a:t>0x8A,</a:t>
          </a:r>
          <a:r>
            <a:rPr lang="en-US" altLang="zh-TW"/>
            <a:t> </a:t>
          </a:r>
          <a:r>
            <a:rPr lang="en-US" altLang="zh-TW" sz="1100" b="0" i="0" u="none" strike="noStrike">
              <a:solidFill>
                <a:schemeClr val="dk1"/>
              </a:solidFill>
              <a:effectLst/>
              <a:latin typeface="+mn-lt"/>
              <a:ea typeface="+mn-ea"/>
              <a:cs typeface="+mn-cs"/>
            </a:rPr>
            <a:t>0x89,</a:t>
          </a:r>
          <a:r>
            <a:rPr lang="en-US" altLang="zh-TW"/>
            <a:t> </a:t>
          </a:r>
          <a:r>
            <a:rPr lang="en-US" altLang="zh-TW" sz="1100" b="0" i="0" u="none" strike="noStrike">
              <a:solidFill>
                <a:schemeClr val="dk1"/>
              </a:solidFill>
              <a:effectLst/>
              <a:latin typeface="+mn-lt"/>
              <a:ea typeface="+mn-ea"/>
              <a:cs typeface="+mn-cs"/>
            </a:rPr>
            <a:t>0x88,</a:t>
          </a:r>
          <a:r>
            <a:rPr lang="en-US" altLang="zh-TW"/>
            <a:t> </a:t>
          </a:r>
          <a:r>
            <a:rPr lang="en-US" altLang="zh-TW" sz="1100" b="0" i="0" u="none" strike="noStrike">
              <a:solidFill>
                <a:schemeClr val="dk1"/>
              </a:solidFill>
              <a:effectLst/>
              <a:latin typeface="+mn-lt"/>
              <a:ea typeface="+mn-ea"/>
              <a:cs typeface="+mn-cs"/>
            </a:rPr>
            <a:t>0x87,</a:t>
          </a:r>
          <a:r>
            <a:rPr lang="en-US" altLang="zh-TW"/>
            <a:t> </a:t>
          </a:r>
          <a:r>
            <a:rPr lang="en-US" altLang="zh-TW" sz="1100" b="0" i="0" u="none" strike="noStrike">
              <a:solidFill>
                <a:schemeClr val="dk1"/>
              </a:solidFill>
              <a:effectLst/>
              <a:latin typeface="+mn-lt"/>
              <a:ea typeface="+mn-ea"/>
              <a:cs typeface="+mn-cs"/>
            </a:rPr>
            <a:t>0x86,</a:t>
          </a:r>
          <a:r>
            <a:rPr lang="en-US" altLang="zh-TW"/>
            <a:t> </a:t>
          </a:r>
          <a:r>
            <a:rPr lang="en-US" altLang="zh-TW" sz="1100" b="0" i="0" u="none" strike="noStrike">
              <a:solidFill>
                <a:schemeClr val="dk1"/>
              </a:solidFill>
              <a:effectLst/>
              <a:latin typeface="+mn-lt"/>
              <a:ea typeface="+mn-ea"/>
              <a:cs typeface="+mn-cs"/>
            </a:rPr>
            <a:t>0x85,</a:t>
          </a:r>
          <a:r>
            <a:rPr lang="en-US" altLang="zh-TW"/>
            <a:t> </a:t>
          </a:r>
          <a:r>
            <a:rPr lang="en-US" altLang="zh-TW" sz="1100" b="0" i="0" u="none" strike="noStrike">
              <a:solidFill>
                <a:schemeClr val="dk1"/>
              </a:solidFill>
              <a:effectLst/>
              <a:latin typeface="+mn-lt"/>
              <a:ea typeface="+mn-ea"/>
              <a:cs typeface="+mn-cs"/>
            </a:rPr>
            <a:t>0x84,</a:t>
          </a:r>
          <a:r>
            <a:rPr lang="en-US" altLang="zh-TW"/>
            <a:t> </a:t>
          </a:r>
          <a:r>
            <a:rPr lang="en-US" altLang="zh-TW" sz="1100" b="0" i="0" u="none" strike="noStrike">
              <a:solidFill>
                <a:schemeClr val="dk1"/>
              </a:solidFill>
              <a:effectLst/>
              <a:latin typeface="+mn-lt"/>
              <a:ea typeface="+mn-ea"/>
              <a:cs typeface="+mn-cs"/>
            </a:rPr>
            <a:t>0x83,</a:t>
          </a:r>
          <a:r>
            <a:rPr lang="en-US" altLang="zh-TW"/>
            <a:t> </a:t>
          </a:r>
          <a:r>
            <a:rPr lang="en-US" altLang="zh-TW" sz="1100" b="0" i="0" u="none" strike="noStrike">
              <a:solidFill>
                <a:schemeClr val="dk1"/>
              </a:solidFill>
              <a:effectLst/>
              <a:latin typeface="+mn-lt"/>
              <a:ea typeface="+mn-ea"/>
              <a:cs typeface="+mn-cs"/>
            </a:rPr>
            <a:t>0x82,</a:t>
          </a:r>
          <a:r>
            <a:rPr lang="en-US" altLang="zh-TW"/>
            <a:t> </a:t>
          </a:r>
          <a:r>
            <a:rPr lang="en-US" altLang="zh-TW" sz="1100" b="0" i="0" u="none" strike="noStrike">
              <a:solidFill>
                <a:schemeClr val="dk1"/>
              </a:solidFill>
              <a:effectLst/>
              <a:latin typeface="+mn-lt"/>
              <a:ea typeface="+mn-ea"/>
              <a:cs typeface="+mn-cs"/>
            </a:rPr>
            <a:t>0x81,</a:t>
          </a:r>
          <a:r>
            <a:rPr lang="en-US" altLang="zh-TW"/>
            <a:t> </a:t>
          </a:r>
          <a:r>
            <a:rPr lang="en-US" altLang="zh-TW" sz="1100" b="0" i="0" u="none" strike="noStrike">
              <a:solidFill>
                <a:schemeClr val="dk1"/>
              </a:solidFill>
              <a:effectLst/>
              <a:latin typeface="+mn-lt"/>
              <a:ea typeface="+mn-ea"/>
              <a:cs typeface="+mn-cs"/>
            </a:rPr>
            <a:t>0x80,</a:t>
          </a:r>
          <a:r>
            <a:rPr lang="en-US" altLang="zh-TW"/>
            <a:t> </a:t>
          </a:r>
          <a:r>
            <a:rPr lang="en-US" altLang="zh-TW" sz="1100" b="0" i="0" u="none" strike="noStrike">
              <a:solidFill>
                <a:schemeClr val="dk1"/>
              </a:solidFill>
              <a:effectLst/>
              <a:latin typeface="+mn-lt"/>
              <a:ea typeface="+mn-ea"/>
              <a:cs typeface="+mn-cs"/>
            </a:rPr>
            <a:t>0x7F,</a:t>
          </a:r>
          <a:r>
            <a:rPr lang="en-US" altLang="zh-TW"/>
            <a:t> </a:t>
          </a:r>
          <a:r>
            <a:rPr lang="en-US" altLang="zh-TW" sz="1100" b="0" i="0" u="none" strike="noStrike">
              <a:solidFill>
                <a:schemeClr val="dk1"/>
              </a:solidFill>
              <a:effectLst/>
              <a:latin typeface="+mn-lt"/>
              <a:ea typeface="+mn-ea"/>
              <a:cs typeface="+mn-cs"/>
            </a:rPr>
            <a:t>0x7E,</a:t>
          </a:r>
          <a:r>
            <a:rPr lang="en-US" altLang="zh-TW"/>
            <a:t> </a:t>
          </a:r>
          <a:r>
            <a:rPr lang="en-US" altLang="zh-TW" sz="1100" b="0" i="0" u="none" strike="noStrike">
              <a:solidFill>
                <a:schemeClr val="dk1"/>
              </a:solidFill>
              <a:effectLst/>
              <a:latin typeface="+mn-lt"/>
              <a:ea typeface="+mn-ea"/>
              <a:cs typeface="+mn-cs"/>
            </a:rPr>
            <a:t>0x7D,</a:t>
          </a:r>
          <a:r>
            <a:rPr lang="en-US" altLang="zh-TW"/>
            <a:t> </a:t>
          </a:r>
          <a:r>
            <a:rPr lang="en-US" altLang="zh-TW" sz="1100" b="0" i="0" u="none" strike="noStrike">
              <a:solidFill>
                <a:schemeClr val="dk1"/>
              </a:solidFill>
              <a:effectLst/>
              <a:latin typeface="+mn-lt"/>
              <a:ea typeface="+mn-ea"/>
              <a:cs typeface="+mn-cs"/>
            </a:rPr>
            <a:t>0x7C,</a:t>
          </a:r>
          <a:r>
            <a:rPr lang="en-US" altLang="zh-TW"/>
            <a:t> </a:t>
          </a:r>
          <a:r>
            <a:rPr lang="en-US" altLang="zh-TW" sz="1100" b="0" i="0" u="none" strike="noStrike">
              <a:solidFill>
                <a:schemeClr val="dk1"/>
              </a:solidFill>
              <a:effectLst/>
              <a:latin typeface="+mn-lt"/>
              <a:ea typeface="+mn-ea"/>
              <a:cs typeface="+mn-cs"/>
            </a:rPr>
            <a:t>0x7B,</a:t>
          </a:r>
          <a:r>
            <a:rPr lang="en-US" altLang="zh-TW"/>
            <a:t> </a:t>
          </a:r>
          <a:r>
            <a:rPr lang="en-US" altLang="zh-TW" sz="1100" b="0" i="0" u="none" strike="noStrike">
              <a:solidFill>
                <a:schemeClr val="dk1"/>
              </a:solidFill>
              <a:effectLst/>
              <a:latin typeface="+mn-lt"/>
              <a:ea typeface="+mn-ea"/>
              <a:cs typeface="+mn-cs"/>
            </a:rPr>
            <a:t>0x7A,</a:t>
          </a:r>
          <a:r>
            <a:rPr lang="en-US" altLang="zh-TW"/>
            <a:t> </a:t>
          </a:r>
          <a:r>
            <a:rPr lang="en-US" altLang="zh-TW" sz="1100" b="0" i="0" u="none" strike="noStrike">
              <a:solidFill>
                <a:schemeClr val="dk1"/>
              </a:solidFill>
              <a:effectLst/>
              <a:latin typeface="+mn-lt"/>
              <a:ea typeface="+mn-ea"/>
              <a:cs typeface="+mn-cs"/>
            </a:rPr>
            <a:t>0x79,</a:t>
          </a:r>
          <a:r>
            <a:rPr lang="en-US" altLang="zh-TW"/>
            <a:t> </a:t>
          </a:r>
          <a:r>
            <a:rPr lang="en-US" altLang="zh-TW" sz="1100" b="0" i="0" u="none" strike="noStrike">
              <a:solidFill>
                <a:schemeClr val="dk1"/>
              </a:solidFill>
              <a:effectLst/>
              <a:latin typeface="+mn-lt"/>
              <a:ea typeface="+mn-ea"/>
              <a:cs typeface="+mn-cs"/>
            </a:rPr>
            <a:t>0x78,</a:t>
          </a:r>
          <a:r>
            <a:rPr lang="en-US" altLang="zh-TW"/>
            <a:t> </a:t>
          </a:r>
          <a:endParaRPr lang="zh-TW" altLang="en-US" sz="1100"/>
        </a:p>
      </xdr:txBody>
    </xdr:sp>
    <xdr:clientData/>
  </xdr:twoCellAnchor>
  <xdr:twoCellAnchor editAs="oneCell">
    <xdr:from>
      <xdr:col>82</xdr:col>
      <xdr:colOff>396768</xdr:colOff>
      <xdr:row>35</xdr:row>
      <xdr:rowOff>147825</xdr:rowOff>
    </xdr:from>
    <xdr:to>
      <xdr:col>94</xdr:col>
      <xdr:colOff>126579</xdr:colOff>
      <xdr:row>60</xdr:row>
      <xdr:rowOff>171019</xdr:rowOff>
    </xdr:to>
    <xdr:pic>
      <xdr:nvPicPr>
        <xdr:cNvPr id="6" name="圖片 5">
          <a:extLst>
            <a:ext uri="{FF2B5EF4-FFF2-40B4-BE49-F238E27FC236}">
              <a16:creationId xmlns:a16="http://schemas.microsoft.com/office/drawing/2014/main" id="{E16C69E9-63C3-43FD-BC13-B90F68FE85FB}"/>
            </a:ext>
          </a:extLst>
        </xdr:cNvPr>
        <xdr:cNvPicPr>
          <a:picLocks noChangeAspect="1"/>
        </xdr:cNvPicPr>
      </xdr:nvPicPr>
      <xdr:blipFill rotWithShape="1">
        <a:blip xmlns:r="http://schemas.openxmlformats.org/officeDocument/2006/relationships" r:embed="rId1"/>
        <a:srcRect b="25568"/>
        <a:stretch/>
      </xdr:blipFill>
      <xdr:spPr>
        <a:xfrm>
          <a:off x="36366632" y="7421461"/>
          <a:ext cx="7003447" cy="5218649"/>
        </a:xfrm>
        <a:prstGeom prst="rect">
          <a:avLst/>
        </a:prstGeom>
      </xdr:spPr>
    </xdr:pic>
    <xdr:clientData/>
  </xdr:twoCellAnchor>
  <xdr:twoCellAnchor>
    <xdr:from>
      <xdr:col>67</xdr:col>
      <xdr:colOff>595312</xdr:colOff>
      <xdr:row>21</xdr:row>
      <xdr:rowOff>34638</xdr:rowOff>
    </xdr:from>
    <xdr:to>
      <xdr:col>76</xdr:col>
      <xdr:colOff>225136</xdr:colOff>
      <xdr:row>24</xdr:row>
      <xdr:rowOff>155866</xdr:rowOff>
    </xdr:to>
    <xdr:sp macro="" textlink="">
      <xdr:nvSpPr>
        <xdr:cNvPr id="3" name="文字方塊 2">
          <a:extLst>
            <a:ext uri="{FF2B5EF4-FFF2-40B4-BE49-F238E27FC236}">
              <a16:creationId xmlns:a16="http://schemas.microsoft.com/office/drawing/2014/main" id="{344160B6-3A3A-4DB5-A1AD-FC80441B120D}"/>
            </a:ext>
          </a:extLst>
        </xdr:cNvPr>
        <xdr:cNvSpPr txBox="1"/>
      </xdr:nvSpPr>
      <xdr:spPr>
        <a:xfrm>
          <a:off x="27473130" y="4398820"/>
          <a:ext cx="5085051" cy="7446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zh-TW" altLang="en-US" sz="1800" b="1">
              <a:solidFill>
                <a:schemeClr val="tx1"/>
              </a:solidFill>
            </a:rPr>
            <a:t>把左邊數據整個複製起來貼到下方文字方塊</a:t>
          </a:r>
        </a:p>
      </xdr:txBody>
    </xdr:sp>
    <xdr:clientData/>
  </xdr:twoCellAnchor>
  <xdr:twoCellAnchor>
    <xdr:from>
      <xdr:col>62</xdr:col>
      <xdr:colOff>207819</xdr:colOff>
      <xdr:row>46</xdr:row>
      <xdr:rowOff>86592</xdr:rowOff>
    </xdr:from>
    <xdr:to>
      <xdr:col>64</xdr:col>
      <xdr:colOff>554182</xdr:colOff>
      <xdr:row>49</xdr:row>
      <xdr:rowOff>34637</xdr:rowOff>
    </xdr:to>
    <xdr:sp macro="" textlink="">
      <xdr:nvSpPr>
        <xdr:cNvPr id="5" name="箭號: 向右 4">
          <a:extLst>
            <a:ext uri="{FF2B5EF4-FFF2-40B4-BE49-F238E27FC236}">
              <a16:creationId xmlns:a16="http://schemas.microsoft.com/office/drawing/2014/main" id="{BA00B1DD-BBF9-4B93-A5FD-41F8765AAE75}"/>
            </a:ext>
          </a:extLst>
        </xdr:cNvPr>
        <xdr:cNvSpPr/>
      </xdr:nvSpPr>
      <xdr:spPr>
        <a:xfrm>
          <a:off x="24054955" y="9646228"/>
          <a:ext cx="1558636" cy="571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xdr:from>
      <xdr:col>84</xdr:col>
      <xdr:colOff>54986</xdr:colOff>
      <xdr:row>30</xdr:row>
      <xdr:rowOff>65812</xdr:rowOff>
    </xdr:from>
    <xdr:to>
      <xdr:col>92</xdr:col>
      <xdr:colOff>588818</xdr:colOff>
      <xdr:row>33</xdr:row>
      <xdr:rowOff>187039</xdr:rowOff>
    </xdr:to>
    <xdr:sp macro="" textlink="">
      <xdr:nvSpPr>
        <xdr:cNvPr id="7" name="文字方塊 6">
          <a:extLst>
            <a:ext uri="{FF2B5EF4-FFF2-40B4-BE49-F238E27FC236}">
              <a16:creationId xmlns:a16="http://schemas.microsoft.com/office/drawing/2014/main" id="{58B9B55B-0657-49E8-8A0D-C73DDD46919E}"/>
            </a:ext>
          </a:extLst>
        </xdr:cNvPr>
        <xdr:cNvSpPr txBox="1"/>
      </xdr:nvSpPr>
      <xdr:spPr>
        <a:xfrm>
          <a:off x="37237122" y="6300357"/>
          <a:ext cx="5382923" cy="7446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zh-TW" altLang="en-US" sz="1800" b="1">
              <a:solidFill>
                <a:schemeClr val="tx1"/>
              </a:solidFill>
            </a:rPr>
            <a:t>最後再複製文字方塊內容到</a:t>
          </a:r>
          <a:r>
            <a:rPr lang="en-US" altLang="zh-TW" sz="1800" b="1">
              <a:solidFill>
                <a:schemeClr val="tx1"/>
              </a:solidFill>
            </a:rPr>
            <a:t>CFG_MAPPING_TABLE</a:t>
          </a:r>
          <a:endParaRPr lang="zh-TW" altLang="en-US" sz="1800" b="1">
            <a:solidFill>
              <a:schemeClr val="tx1"/>
            </a:solidFill>
          </a:endParaRPr>
        </a:p>
      </xdr:txBody>
    </xdr:sp>
    <xdr:clientData/>
  </xdr:twoCellAnchor>
  <xdr:twoCellAnchor>
    <xdr:from>
      <xdr:col>79</xdr:col>
      <xdr:colOff>204355</xdr:colOff>
      <xdr:row>46</xdr:row>
      <xdr:rowOff>31174</xdr:rowOff>
    </xdr:from>
    <xdr:to>
      <xdr:col>81</xdr:col>
      <xdr:colOff>550719</xdr:colOff>
      <xdr:row>48</xdr:row>
      <xdr:rowOff>187037</xdr:rowOff>
    </xdr:to>
    <xdr:sp macro="" textlink="">
      <xdr:nvSpPr>
        <xdr:cNvPr id="8" name="箭號: 向右 7">
          <a:extLst>
            <a:ext uri="{FF2B5EF4-FFF2-40B4-BE49-F238E27FC236}">
              <a16:creationId xmlns:a16="http://schemas.microsoft.com/office/drawing/2014/main" id="{03292BE9-B534-4636-BA3D-60CC5E2D9CAC}"/>
            </a:ext>
          </a:extLst>
        </xdr:cNvPr>
        <xdr:cNvSpPr/>
      </xdr:nvSpPr>
      <xdr:spPr>
        <a:xfrm>
          <a:off x="34355810" y="9590810"/>
          <a:ext cx="1558636" cy="571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35</xdr:col>
      <xdr:colOff>148320</xdr:colOff>
      <xdr:row>15</xdr:row>
      <xdr:rowOff>114300</xdr:rowOff>
    </xdr:from>
    <xdr:to>
      <xdr:col>49</xdr:col>
      <xdr:colOff>299781</xdr:colOff>
      <xdr:row>31</xdr:row>
      <xdr:rowOff>107232</xdr:rowOff>
    </xdr:to>
    <xdr:grpSp>
      <xdr:nvGrpSpPr>
        <xdr:cNvPr id="9" name="群組 8">
          <a:extLst>
            <a:ext uri="{FF2B5EF4-FFF2-40B4-BE49-F238E27FC236}">
              <a16:creationId xmlns:a16="http://schemas.microsoft.com/office/drawing/2014/main" id="{E3BC49B5-571D-46ED-B887-3696E3519432}"/>
            </a:ext>
          </a:extLst>
        </xdr:cNvPr>
        <xdr:cNvGrpSpPr/>
      </xdr:nvGrpSpPr>
      <xdr:grpSpPr>
        <a:xfrm>
          <a:off x="13483320" y="3175907"/>
          <a:ext cx="5485461" cy="3258646"/>
          <a:chOff x="18108386" y="111579"/>
          <a:chExt cx="4437234" cy="3356046"/>
        </a:xfrm>
      </xdr:grpSpPr>
      <xdr:pic>
        <xdr:nvPicPr>
          <xdr:cNvPr id="7" name="圖片 6">
            <a:extLst>
              <a:ext uri="{FF2B5EF4-FFF2-40B4-BE49-F238E27FC236}">
                <a16:creationId xmlns:a16="http://schemas.microsoft.com/office/drawing/2014/main" id="{31758361-69C8-404F-A200-6B8B549D65C3}"/>
              </a:ext>
            </a:extLst>
          </xdr:cNvPr>
          <xdr:cNvPicPr>
            <a:picLocks noChangeAspect="1"/>
          </xdr:cNvPicPr>
        </xdr:nvPicPr>
        <xdr:blipFill>
          <a:blip xmlns:r="http://schemas.openxmlformats.org/officeDocument/2006/relationships" r:embed="rId1"/>
          <a:stretch>
            <a:fillRect/>
          </a:stretch>
        </xdr:blipFill>
        <xdr:spPr>
          <a:xfrm>
            <a:off x="18174194" y="1283944"/>
            <a:ext cx="4371426" cy="2183681"/>
          </a:xfrm>
          <a:prstGeom prst="rect">
            <a:avLst/>
          </a:prstGeom>
        </xdr:spPr>
      </xdr:pic>
      <xdr:sp macro="" textlink="">
        <xdr:nvSpPr>
          <xdr:cNvPr id="8" name="文字方塊 7">
            <a:extLst>
              <a:ext uri="{FF2B5EF4-FFF2-40B4-BE49-F238E27FC236}">
                <a16:creationId xmlns:a16="http://schemas.microsoft.com/office/drawing/2014/main" id="{77118AF0-D8ED-4754-B1D6-9F6FA372B069}"/>
              </a:ext>
            </a:extLst>
          </xdr:cNvPr>
          <xdr:cNvSpPr txBox="1"/>
        </xdr:nvSpPr>
        <xdr:spPr>
          <a:xfrm>
            <a:off x="18108386" y="111579"/>
            <a:ext cx="3039839" cy="11269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TW" sz="3200"/>
              <a:t>Remove</a:t>
            </a:r>
            <a:r>
              <a:rPr lang="en-US" altLang="zh-TW" sz="3200" baseline="0"/>
              <a:t> 'RX' method</a:t>
            </a:r>
            <a:r>
              <a:rPr lang="en-US" altLang="zh-TW" sz="3200"/>
              <a:t> </a:t>
            </a:r>
            <a:br>
              <a:rPr lang="en-US" altLang="zh-TW" sz="3200"/>
            </a:br>
            <a:r>
              <a:rPr lang="en-US" altLang="zh-TW" sz="3200"/>
              <a:t>Ctrl</a:t>
            </a:r>
            <a:r>
              <a:rPr lang="en-US" altLang="zh-TW" sz="3200" baseline="0"/>
              <a:t> + F</a:t>
            </a:r>
            <a:endParaRPr lang="zh-TW" altLang="en-US" sz="3200"/>
          </a:p>
        </xdr:txBody>
      </xdr:sp>
    </xdr:grpSp>
    <xdr:clientData/>
  </xdr:twoCellAnchor>
  <xdr:twoCellAnchor>
    <xdr:from>
      <xdr:col>56</xdr:col>
      <xdr:colOff>44903</xdr:colOff>
      <xdr:row>1</xdr:row>
      <xdr:rowOff>57151</xdr:rowOff>
    </xdr:from>
    <xdr:to>
      <xdr:col>61</xdr:col>
      <xdr:colOff>190561</xdr:colOff>
      <xdr:row>4</xdr:row>
      <xdr:rowOff>185429</xdr:rowOff>
    </xdr:to>
    <xdr:sp macro="" textlink="">
      <xdr:nvSpPr>
        <xdr:cNvPr id="5" name="文字方塊 4">
          <a:extLst>
            <a:ext uri="{FF2B5EF4-FFF2-40B4-BE49-F238E27FC236}">
              <a16:creationId xmlns:a16="http://schemas.microsoft.com/office/drawing/2014/main" id="{47991910-DA24-465A-966D-8DD0BE5DE588}"/>
            </a:ext>
          </a:extLst>
        </xdr:cNvPr>
        <xdr:cNvSpPr txBox="1"/>
      </xdr:nvSpPr>
      <xdr:spPr>
        <a:xfrm>
          <a:off x="21380903" y="261258"/>
          <a:ext cx="2050658" cy="74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zh-TW" altLang="en-US" sz="1800" b="1">
              <a:solidFill>
                <a:schemeClr val="tx1"/>
              </a:solidFill>
            </a:rPr>
            <a:t>填寫單顆</a:t>
          </a:r>
          <a:endParaRPr lang="en-US" altLang="zh-TW" sz="1800" b="1">
            <a:solidFill>
              <a:schemeClr val="tx1"/>
            </a:solidFill>
          </a:endParaRPr>
        </a:p>
        <a:p>
          <a:pPr algn="ctr"/>
          <a:r>
            <a:rPr lang="en-US" altLang="zh-TW" sz="1800" b="1">
              <a:solidFill>
                <a:schemeClr val="tx1"/>
              </a:solidFill>
            </a:rPr>
            <a:t>TX</a:t>
          </a:r>
          <a:r>
            <a:rPr lang="en-US" altLang="zh-TW" sz="1800" b="1" baseline="0">
              <a:solidFill>
                <a:schemeClr val="tx1"/>
              </a:solidFill>
            </a:rPr>
            <a:t> RX</a:t>
          </a:r>
          <a:r>
            <a:rPr lang="zh-TW" altLang="en-US" sz="1800" b="1" baseline="0">
              <a:solidFill>
                <a:schemeClr val="tx1"/>
              </a:solidFill>
            </a:rPr>
            <a:t>貼過來</a:t>
          </a:r>
          <a:endParaRPr lang="zh-TW" altLang="en-US" sz="1800" b="1">
            <a:solidFill>
              <a:schemeClr val="tx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21</xdr:col>
      <xdr:colOff>304800</xdr:colOff>
      <xdr:row>66</xdr:row>
      <xdr:rowOff>32657</xdr:rowOff>
    </xdr:from>
    <xdr:to>
      <xdr:col>34</xdr:col>
      <xdr:colOff>367392</xdr:colOff>
      <xdr:row>69</xdr:row>
      <xdr:rowOff>163286</xdr:rowOff>
    </xdr:to>
    <xdr:sp macro="" textlink="">
      <xdr:nvSpPr>
        <xdr:cNvPr id="2" name="文字方塊 1">
          <a:extLst>
            <a:ext uri="{FF2B5EF4-FFF2-40B4-BE49-F238E27FC236}">
              <a16:creationId xmlns:a16="http://schemas.microsoft.com/office/drawing/2014/main" id="{6864CFB4-79EF-4CB1-B6AA-3D7D1BA847DD}"/>
            </a:ext>
          </a:extLst>
        </xdr:cNvPr>
        <xdr:cNvSpPr txBox="1"/>
      </xdr:nvSpPr>
      <xdr:spPr>
        <a:xfrm>
          <a:off x="8605157" y="13503728"/>
          <a:ext cx="5015592" cy="74295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4000"/>
            <a:t>Data</a:t>
          </a:r>
          <a:r>
            <a:rPr lang="en-US" altLang="zh-TW" sz="4000" baseline="0"/>
            <a:t> rotate and mirror</a:t>
          </a:r>
          <a:endParaRPr lang="zh-TW" altLang="en-US" sz="4000"/>
        </a:p>
      </xdr:txBody>
    </xdr:sp>
    <xdr:clientData/>
  </xdr:twoCellAnchor>
  <xdr:oneCellAnchor>
    <xdr:from>
      <xdr:col>74</xdr:col>
      <xdr:colOff>95250</xdr:colOff>
      <xdr:row>36</xdr:row>
      <xdr:rowOff>122464</xdr:rowOff>
    </xdr:from>
    <xdr:ext cx="184731" cy="264560"/>
    <xdr:sp macro="" textlink="">
      <xdr:nvSpPr>
        <xdr:cNvPr id="3" name="文字方塊 2">
          <a:extLst>
            <a:ext uri="{FF2B5EF4-FFF2-40B4-BE49-F238E27FC236}">
              <a16:creationId xmlns:a16="http://schemas.microsoft.com/office/drawing/2014/main" id="{BDE2C4AF-F899-4A23-92A2-A79E5F3B7F69}"/>
            </a:ext>
          </a:extLst>
        </xdr:cNvPr>
        <xdr:cNvSpPr txBox="1"/>
      </xdr:nvSpPr>
      <xdr:spPr>
        <a:xfrm>
          <a:off x="28588607" y="74703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TW" altLang="en-US" sz="110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42</xdr:col>
      <xdr:colOff>185243</xdr:colOff>
      <xdr:row>7</xdr:row>
      <xdr:rowOff>186167</xdr:rowOff>
    </xdr:from>
    <xdr:to>
      <xdr:col>61</xdr:col>
      <xdr:colOff>548924</xdr:colOff>
      <xdr:row>45</xdr:row>
      <xdr:rowOff>68036</xdr:rowOff>
    </xdr:to>
    <xdr:sp macro="" textlink="">
      <xdr:nvSpPr>
        <xdr:cNvPr id="8" name="文字方塊 7">
          <a:extLst>
            <a:ext uri="{FF2B5EF4-FFF2-40B4-BE49-F238E27FC236}">
              <a16:creationId xmlns:a16="http://schemas.microsoft.com/office/drawing/2014/main" id="{C715DF53-AE2D-4DC7-9F51-35FD17531EFE}"/>
            </a:ext>
          </a:extLst>
        </xdr:cNvPr>
        <xdr:cNvSpPr txBox="1"/>
      </xdr:nvSpPr>
      <xdr:spPr>
        <a:xfrm>
          <a:off x="16187243" y="1614917"/>
          <a:ext cx="7602681" cy="7637940"/>
        </a:xfrm>
        <a:prstGeom prst="rect">
          <a:avLst/>
        </a:prstGeom>
        <a:solidFill>
          <a:schemeClr val="accent1">
            <a:lumMod val="20000"/>
            <a:lumOff val="80000"/>
          </a:schemeClr>
        </a:solid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b="0" i="0" u="none" strike="noStrike">
              <a:solidFill>
                <a:schemeClr val="dk1"/>
              </a:solidFill>
              <a:effectLst/>
              <a:latin typeface="+mn-lt"/>
              <a:ea typeface="+mn-ea"/>
              <a:cs typeface="+mn-cs"/>
            </a:rPr>
            <a:t>0x0,</a:t>
          </a:r>
          <a:r>
            <a:rPr lang="en-US" altLang="zh-TW"/>
            <a:t> </a:t>
          </a:r>
          <a:r>
            <a:rPr lang="en-US" altLang="zh-TW" sz="1100" b="0" i="0" u="none" strike="noStrike">
              <a:solidFill>
                <a:schemeClr val="dk1"/>
              </a:solidFill>
              <a:effectLst/>
              <a:latin typeface="+mn-lt"/>
              <a:ea typeface="+mn-ea"/>
              <a:cs typeface="+mn-cs"/>
            </a:rPr>
            <a:t>0x1,</a:t>
          </a:r>
          <a:r>
            <a:rPr lang="en-US" altLang="zh-TW"/>
            <a:t> </a:t>
          </a:r>
          <a:r>
            <a:rPr lang="en-US" altLang="zh-TW" sz="1100" b="0" i="0" u="none" strike="noStrike">
              <a:solidFill>
                <a:schemeClr val="dk1"/>
              </a:solidFill>
              <a:effectLst/>
              <a:latin typeface="+mn-lt"/>
              <a:ea typeface="+mn-ea"/>
              <a:cs typeface="+mn-cs"/>
            </a:rPr>
            <a:t>0x2,</a:t>
          </a:r>
          <a:r>
            <a:rPr lang="en-US" altLang="zh-TW"/>
            <a:t> </a:t>
          </a:r>
          <a:r>
            <a:rPr lang="en-US" altLang="zh-TW" sz="1100" b="0" i="0" u="none" strike="noStrike">
              <a:solidFill>
                <a:schemeClr val="dk1"/>
              </a:solidFill>
              <a:effectLst/>
              <a:latin typeface="+mn-lt"/>
              <a:ea typeface="+mn-ea"/>
              <a:cs typeface="+mn-cs"/>
            </a:rPr>
            <a:t>0x3,</a:t>
          </a:r>
          <a:r>
            <a:rPr lang="en-US" altLang="zh-TW"/>
            <a:t> </a:t>
          </a:r>
          <a:r>
            <a:rPr lang="en-US" altLang="zh-TW" sz="1100" b="0" i="0" u="none" strike="noStrike">
              <a:solidFill>
                <a:schemeClr val="dk1"/>
              </a:solidFill>
              <a:effectLst/>
              <a:latin typeface="+mn-lt"/>
              <a:ea typeface="+mn-ea"/>
              <a:cs typeface="+mn-cs"/>
            </a:rPr>
            <a:t>0x4,</a:t>
          </a:r>
          <a:r>
            <a:rPr lang="en-US" altLang="zh-TW"/>
            <a:t> </a:t>
          </a:r>
          <a:r>
            <a:rPr lang="en-US" altLang="zh-TW" sz="1100" b="0" i="0" u="none" strike="noStrike">
              <a:solidFill>
                <a:schemeClr val="dk1"/>
              </a:solidFill>
              <a:effectLst/>
              <a:latin typeface="+mn-lt"/>
              <a:ea typeface="+mn-ea"/>
              <a:cs typeface="+mn-cs"/>
            </a:rPr>
            <a:t>0x5,</a:t>
          </a:r>
          <a:r>
            <a:rPr lang="en-US" altLang="zh-TW"/>
            <a:t> </a:t>
          </a:r>
          <a:r>
            <a:rPr lang="en-US" altLang="zh-TW" sz="1100" b="0" i="0" u="none" strike="noStrike">
              <a:solidFill>
                <a:schemeClr val="dk1"/>
              </a:solidFill>
              <a:effectLst/>
              <a:latin typeface="+mn-lt"/>
              <a:ea typeface="+mn-ea"/>
              <a:cs typeface="+mn-cs"/>
            </a:rPr>
            <a:t>0x6,</a:t>
          </a:r>
          <a:r>
            <a:rPr lang="en-US" altLang="zh-TW"/>
            <a:t> </a:t>
          </a:r>
          <a:r>
            <a:rPr lang="en-US" altLang="zh-TW" sz="1100" b="0" i="0" u="none" strike="noStrike">
              <a:solidFill>
                <a:schemeClr val="dk1"/>
              </a:solidFill>
              <a:effectLst/>
              <a:latin typeface="+mn-lt"/>
              <a:ea typeface="+mn-ea"/>
              <a:cs typeface="+mn-cs"/>
            </a:rPr>
            <a:t>0x7,</a:t>
          </a:r>
          <a:r>
            <a:rPr lang="en-US" altLang="zh-TW"/>
            <a:t> </a:t>
          </a:r>
          <a:r>
            <a:rPr lang="en-US" altLang="zh-TW" sz="1100" b="0" i="0" u="none" strike="noStrike">
              <a:solidFill>
                <a:schemeClr val="dk1"/>
              </a:solidFill>
              <a:effectLst/>
              <a:latin typeface="+mn-lt"/>
              <a:ea typeface="+mn-ea"/>
              <a:cs typeface="+mn-cs"/>
            </a:rPr>
            <a:t>0x8,</a:t>
          </a:r>
          <a:r>
            <a:rPr lang="en-US" altLang="zh-TW"/>
            <a:t> </a:t>
          </a:r>
          <a:r>
            <a:rPr lang="en-US" altLang="zh-TW" sz="1100" b="0" i="0" u="none" strike="noStrike">
              <a:solidFill>
                <a:schemeClr val="dk1"/>
              </a:solidFill>
              <a:effectLst/>
              <a:latin typeface="+mn-lt"/>
              <a:ea typeface="+mn-ea"/>
              <a:cs typeface="+mn-cs"/>
            </a:rPr>
            <a:t>0x9,</a:t>
          </a:r>
          <a:r>
            <a:rPr lang="en-US" altLang="zh-TW"/>
            <a:t> </a:t>
          </a:r>
          <a:r>
            <a:rPr lang="en-US" altLang="zh-TW" sz="1100" b="0" i="0" u="none" strike="noStrike">
              <a:solidFill>
                <a:schemeClr val="dk1"/>
              </a:solidFill>
              <a:effectLst/>
              <a:latin typeface="+mn-lt"/>
              <a:ea typeface="+mn-ea"/>
              <a:cs typeface="+mn-cs"/>
            </a:rPr>
            <a:t>0xA,</a:t>
          </a:r>
          <a:r>
            <a:rPr lang="en-US" altLang="zh-TW"/>
            <a:t> </a:t>
          </a:r>
          <a:r>
            <a:rPr lang="en-US" altLang="zh-TW" sz="1100" b="0" i="0" u="none" strike="noStrike">
              <a:solidFill>
                <a:schemeClr val="dk1"/>
              </a:solidFill>
              <a:effectLst/>
              <a:latin typeface="+mn-lt"/>
              <a:ea typeface="+mn-ea"/>
              <a:cs typeface="+mn-cs"/>
            </a:rPr>
            <a:t>0xB,</a:t>
          </a:r>
          <a:r>
            <a:rPr lang="en-US" altLang="zh-TW"/>
            <a:t> </a:t>
          </a:r>
          <a:r>
            <a:rPr lang="en-US" altLang="zh-TW" sz="1100" b="0" i="0" u="none" strike="noStrike">
              <a:solidFill>
                <a:schemeClr val="dk1"/>
              </a:solidFill>
              <a:effectLst/>
              <a:latin typeface="+mn-lt"/>
              <a:ea typeface="+mn-ea"/>
              <a:cs typeface="+mn-cs"/>
            </a:rPr>
            <a:t>0xC,</a:t>
          </a:r>
          <a:r>
            <a:rPr lang="en-US" altLang="zh-TW"/>
            <a:t> </a:t>
          </a:r>
          <a:r>
            <a:rPr lang="en-US" altLang="zh-TW" sz="1100" b="0" i="0" u="none" strike="noStrike">
              <a:solidFill>
                <a:schemeClr val="dk1"/>
              </a:solidFill>
              <a:effectLst/>
              <a:latin typeface="+mn-lt"/>
              <a:ea typeface="+mn-ea"/>
              <a:cs typeface="+mn-cs"/>
            </a:rPr>
            <a:t>0xD,</a:t>
          </a:r>
          <a:r>
            <a:rPr lang="en-US" altLang="zh-TW"/>
            <a:t> </a:t>
          </a:r>
          <a:r>
            <a:rPr lang="en-US" altLang="zh-TW" sz="1100" b="0" i="0" u="none" strike="noStrike">
              <a:solidFill>
                <a:schemeClr val="dk1"/>
              </a:solidFill>
              <a:effectLst/>
              <a:latin typeface="+mn-lt"/>
              <a:ea typeface="+mn-ea"/>
              <a:cs typeface="+mn-cs"/>
            </a:rPr>
            <a:t>0xE,</a:t>
          </a:r>
          <a:r>
            <a:rPr lang="en-US" altLang="zh-TW"/>
            <a:t> </a:t>
          </a:r>
          <a:r>
            <a:rPr lang="en-US" altLang="zh-TW" sz="1100" b="0" i="0" u="none" strike="noStrike">
              <a:solidFill>
                <a:schemeClr val="dk1"/>
              </a:solidFill>
              <a:effectLst/>
              <a:latin typeface="+mn-lt"/>
              <a:ea typeface="+mn-ea"/>
              <a:cs typeface="+mn-cs"/>
            </a:rPr>
            <a:t>0xF,</a:t>
          </a:r>
          <a:r>
            <a:rPr lang="en-US" altLang="zh-TW"/>
            <a:t> </a:t>
          </a:r>
          <a:r>
            <a:rPr lang="en-US" altLang="zh-TW" sz="1100" b="0" i="0" u="none" strike="noStrike">
              <a:solidFill>
                <a:schemeClr val="dk1"/>
              </a:solidFill>
              <a:effectLst/>
              <a:latin typeface="+mn-lt"/>
              <a:ea typeface="+mn-ea"/>
              <a:cs typeface="+mn-cs"/>
            </a:rPr>
            <a:t>0x10,</a:t>
          </a:r>
          <a:r>
            <a:rPr lang="en-US" altLang="zh-TW"/>
            <a:t> </a:t>
          </a:r>
          <a:r>
            <a:rPr lang="en-US" altLang="zh-TW" sz="1100" b="0" i="0" u="none" strike="noStrike">
              <a:solidFill>
                <a:schemeClr val="dk1"/>
              </a:solidFill>
              <a:effectLst/>
              <a:latin typeface="+mn-lt"/>
              <a:ea typeface="+mn-ea"/>
              <a:cs typeface="+mn-cs"/>
            </a:rPr>
            <a:t>0x11,</a:t>
          </a:r>
          <a:r>
            <a:rPr lang="en-US" altLang="zh-TW"/>
            <a:t> </a:t>
          </a:r>
          <a:r>
            <a:rPr lang="en-US" altLang="zh-TW" sz="1100" b="0" i="0" u="none" strike="noStrike">
              <a:solidFill>
                <a:schemeClr val="dk1"/>
              </a:solidFill>
              <a:effectLst/>
              <a:latin typeface="+mn-lt"/>
              <a:ea typeface="+mn-ea"/>
              <a:cs typeface="+mn-cs"/>
            </a:rPr>
            <a:t>0x12,</a:t>
          </a:r>
          <a:r>
            <a:rPr lang="en-US" altLang="zh-TW"/>
            <a:t> </a:t>
          </a:r>
          <a:r>
            <a:rPr lang="en-US" altLang="zh-TW" sz="1100" b="0" i="0" u="none" strike="noStrike">
              <a:solidFill>
                <a:schemeClr val="dk1"/>
              </a:solidFill>
              <a:effectLst/>
              <a:latin typeface="+mn-lt"/>
              <a:ea typeface="+mn-ea"/>
              <a:cs typeface="+mn-cs"/>
            </a:rPr>
            <a:t>0x13,</a:t>
          </a:r>
          <a:r>
            <a:rPr lang="en-US" altLang="zh-TW"/>
            <a:t> </a:t>
          </a:r>
          <a:r>
            <a:rPr lang="en-US" altLang="zh-TW" sz="1100" b="0" i="0" u="none" strike="noStrike">
              <a:solidFill>
                <a:schemeClr val="dk1"/>
              </a:solidFill>
              <a:effectLst/>
              <a:latin typeface="+mn-lt"/>
              <a:ea typeface="+mn-ea"/>
              <a:cs typeface="+mn-cs"/>
            </a:rPr>
            <a:t>0x14,</a:t>
          </a:r>
          <a:r>
            <a:rPr lang="en-US" altLang="zh-TW"/>
            <a:t> </a:t>
          </a:r>
          <a:r>
            <a:rPr lang="en-US" altLang="zh-TW" sz="1100" b="0" i="0" u="none" strike="noStrike">
              <a:solidFill>
                <a:schemeClr val="dk1"/>
              </a:solidFill>
              <a:effectLst/>
              <a:latin typeface="+mn-lt"/>
              <a:ea typeface="+mn-ea"/>
              <a:cs typeface="+mn-cs"/>
            </a:rPr>
            <a:t>0x15,</a:t>
          </a:r>
          <a:r>
            <a:rPr lang="en-US" altLang="zh-TW"/>
            <a:t> </a:t>
          </a:r>
          <a:r>
            <a:rPr lang="en-US" altLang="zh-TW" sz="1100" b="0" i="0" u="none" strike="noStrike">
              <a:solidFill>
                <a:schemeClr val="dk1"/>
              </a:solidFill>
              <a:effectLst/>
              <a:latin typeface="+mn-lt"/>
              <a:ea typeface="+mn-ea"/>
              <a:cs typeface="+mn-cs"/>
            </a:rPr>
            <a:t>0x16,</a:t>
          </a:r>
          <a:r>
            <a:rPr lang="en-US" altLang="zh-TW"/>
            <a:t> </a:t>
          </a:r>
          <a:r>
            <a:rPr lang="en-US" altLang="zh-TW" sz="1100" b="0" i="0" u="none" strike="noStrike">
              <a:solidFill>
                <a:schemeClr val="dk1"/>
              </a:solidFill>
              <a:effectLst/>
              <a:latin typeface="+mn-lt"/>
              <a:ea typeface="+mn-ea"/>
              <a:cs typeface="+mn-cs"/>
            </a:rPr>
            <a:t>0x17,</a:t>
          </a:r>
          <a:r>
            <a:rPr lang="en-US" altLang="zh-TW"/>
            <a:t> </a:t>
          </a:r>
          <a:r>
            <a:rPr lang="en-US" altLang="zh-TW" sz="1100" b="0" i="0" u="none" strike="noStrike">
              <a:solidFill>
                <a:schemeClr val="dk1"/>
              </a:solidFill>
              <a:effectLst/>
              <a:latin typeface="+mn-lt"/>
              <a:ea typeface="+mn-ea"/>
              <a:cs typeface="+mn-cs"/>
            </a:rPr>
            <a:t>0x18,</a:t>
          </a:r>
          <a:r>
            <a:rPr lang="en-US" altLang="zh-TW"/>
            <a:t> </a:t>
          </a:r>
          <a:r>
            <a:rPr lang="en-US" altLang="zh-TW" sz="1100" b="0" i="0" u="none" strike="noStrike">
              <a:solidFill>
                <a:schemeClr val="dk1"/>
              </a:solidFill>
              <a:effectLst/>
              <a:latin typeface="+mn-lt"/>
              <a:ea typeface="+mn-ea"/>
              <a:cs typeface="+mn-cs"/>
            </a:rPr>
            <a:t>0x19,</a:t>
          </a:r>
          <a:r>
            <a:rPr lang="en-US" altLang="zh-TW"/>
            <a:t> </a:t>
          </a:r>
          <a:r>
            <a:rPr lang="en-US" altLang="zh-TW" sz="1100" b="0" i="0" u="none" strike="noStrike">
              <a:solidFill>
                <a:schemeClr val="dk1"/>
              </a:solidFill>
              <a:effectLst/>
              <a:latin typeface="+mn-lt"/>
              <a:ea typeface="+mn-ea"/>
              <a:cs typeface="+mn-cs"/>
            </a:rPr>
            <a:t>0x1A,</a:t>
          </a:r>
          <a:r>
            <a:rPr lang="en-US" altLang="zh-TW"/>
            <a:t> </a:t>
          </a:r>
          <a:r>
            <a:rPr lang="en-US" altLang="zh-TW" sz="1100" b="0" i="0" u="none" strike="noStrike">
              <a:solidFill>
                <a:schemeClr val="dk1"/>
              </a:solidFill>
              <a:effectLst/>
              <a:latin typeface="+mn-lt"/>
              <a:ea typeface="+mn-ea"/>
              <a:cs typeface="+mn-cs"/>
            </a:rPr>
            <a:t>0x1B,</a:t>
          </a:r>
          <a:r>
            <a:rPr lang="en-US" altLang="zh-TW"/>
            <a:t> </a:t>
          </a:r>
          <a:r>
            <a:rPr lang="en-US" altLang="zh-TW" sz="1100" b="0" i="0" u="none" strike="noStrike">
              <a:solidFill>
                <a:schemeClr val="dk1"/>
              </a:solidFill>
              <a:effectLst/>
              <a:latin typeface="+mn-lt"/>
              <a:ea typeface="+mn-ea"/>
              <a:cs typeface="+mn-cs"/>
            </a:rPr>
            <a:t>0x1C,</a:t>
          </a:r>
          <a:r>
            <a:rPr lang="en-US" altLang="zh-TW"/>
            <a:t> </a:t>
          </a:r>
          <a:r>
            <a:rPr lang="en-US" altLang="zh-TW" sz="1100" b="0" i="0" u="none" strike="noStrike">
              <a:solidFill>
                <a:schemeClr val="dk1"/>
              </a:solidFill>
              <a:effectLst/>
              <a:latin typeface="+mn-lt"/>
              <a:ea typeface="+mn-ea"/>
              <a:cs typeface="+mn-cs"/>
            </a:rPr>
            <a:t>0x1D,</a:t>
          </a:r>
          <a:r>
            <a:rPr lang="en-US" altLang="zh-TW"/>
            <a:t> </a:t>
          </a:r>
          <a:r>
            <a:rPr lang="en-US" altLang="zh-TW" sz="1100" b="0" i="0" u="none" strike="noStrike">
              <a:solidFill>
                <a:schemeClr val="dk1"/>
              </a:solidFill>
              <a:effectLst/>
              <a:latin typeface="+mn-lt"/>
              <a:ea typeface="+mn-ea"/>
              <a:cs typeface="+mn-cs"/>
            </a:rPr>
            <a:t>0x1E,</a:t>
          </a:r>
          <a:r>
            <a:rPr lang="en-US" altLang="zh-TW"/>
            <a:t> </a:t>
          </a:r>
          <a:r>
            <a:rPr lang="en-US" altLang="zh-TW" sz="1100" b="0" i="0" u="none" strike="noStrike">
              <a:solidFill>
                <a:schemeClr val="dk1"/>
              </a:solidFill>
              <a:effectLst/>
              <a:latin typeface="+mn-lt"/>
              <a:ea typeface="+mn-ea"/>
              <a:cs typeface="+mn-cs"/>
            </a:rPr>
            <a:t>0x1F,</a:t>
          </a:r>
          <a:r>
            <a:rPr lang="en-US" altLang="zh-TW"/>
            <a:t> </a:t>
          </a:r>
          <a:r>
            <a:rPr lang="en-US" altLang="zh-TW" sz="1100" b="0" i="0" u="none" strike="noStrike">
              <a:solidFill>
                <a:schemeClr val="dk1"/>
              </a:solidFill>
              <a:effectLst/>
              <a:latin typeface="+mn-lt"/>
              <a:ea typeface="+mn-ea"/>
              <a:cs typeface="+mn-cs"/>
            </a:rPr>
            <a:t>0x20,</a:t>
          </a:r>
          <a:r>
            <a:rPr lang="en-US" altLang="zh-TW"/>
            <a:t> </a:t>
          </a:r>
          <a:r>
            <a:rPr lang="en-US" altLang="zh-TW" sz="1100" b="0" i="0" u="none" strike="noStrike">
              <a:solidFill>
                <a:schemeClr val="dk1"/>
              </a:solidFill>
              <a:effectLst/>
              <a:latin typeface="+mn-lt"/>
              <a:ea typeface="+mn-ea"/>
              <a:cs typeface="+mn-cs"/>
            </a:rPr>
            <a:t>0x21,</a:t>
          </a:r>
          <a:r>
            <a:rPr lang="en-US" altLang="zh-TW"/>
            <a:t> </a:t>
          </a:r>
          <a:r>
            <a:rPr lang="en-US" altLang="zh-TW" sz="1100" b="0" i="0" u="none" strike="noStrike">
              <a:solidFill>
                <a:schemeClr val="dk1"/>
              </a:solidFill>
              <a:effectLst/>
              <a:latin typeface="+mn-lt"/>
              <a:ea typeface="+mn-ea"/>
              <a:cs typeface="+mn-cs"/>
            </a:rPr>
            <a:t>0x22,</a:t>
          </a:r>
          <a:r>
            <a:rPr lang="en-US" altLang="zh-TW"/>
            <a:t> </a:t>
          </a:r>
          <a:r>
            <a:rPr lang="en-US" altLang="zh-TW" sz="1100" b="0" i="0" u="none" strike="noStrike">
              <a:solidFill>
                <a:schemeClr val="dk1"/>
              </a:solidFill>
              <a:effectLst/>
              <a:latin typeface="+mn-lt"/>
              <a:ea typeface="+mn-ea"/>
              <a:cs typeface="+mn-cs"/>
            </a:rPr>
            <a:t>0x23,</a:t>
          </a:r>
          <a:r>
            <a:rPr lang="en-US" altLang="zh-TW"/>
            <a:t> </a:t>
          </a:r>
          <a:r>
            <a:rPr lang="en-US" altLang="zh-TW" sz="1100" b="0" i="0" u="none" strike="noStrike">
              <a:solidFill>
                <a:schemeClr val="dk1"/>
              </a:solidFill>
              <a:effectLst/>
              <a:latin typeface="+mn-lt"/>
              <a:ea typeface="+mn-ea"/>
              <a:cs typeface="+mn-cs"/>
            </a:rPr>
            <a:t>0x24,</a:t>
          </a:r>
          <a:r>
            <a:rPr lang="en-US" altLang="zh-TW"/>
            <a:t> </a:t>
          </a:r>
          <a:r>
            <a:rPr lang="en-US" altLang="zh-TW" sz="1100" b="0" i="0" u="none" strike="noStrike">
              <a:solidFill>
                <a:schemeClr val="dk1"/>
              </a:solidFill>
              <a:effectLst/>
              <a:latin typeface="+mn-lt"/>
              <a:ea typeface="+mn-ea"/>
              <a:cs typeface="+mn-cs"/>
            </a:rPr>
            <a:t>0x25,</a:t>
          </a:r>
          <a:r>
            <a:rPr lang="en-US" altLang="zh-TW"/>
            <a:t> </a:t>
          </a:r>
          <a:r>
            <a:rPr lang="en-US" altLang="zh-TW" sz="1100" b="0" i="0" u="none" strike="noStrike">
              <a:solidFill>
                <a:schemeClr val="dk1"/>
              </a:solidFill>
              <a:effectLst/>
              <a:latin typeface="+mn-lt"/>
              <a:ea typeface="+mn-ea"/>
              <a:cs typeface="+mn-cs"/>
            </a:rPr>
            <a:t>0x26,</a:t>
          </a:r>
          <a:r>
            <a:rPr lang="en-US" altLang="zh-TW"/>
            <a:t> </a:t>
          </a:r>
          <a:r>
            <a:rPr lang="en-US" altLang="zh-TW" sz="1100" b="0" i="0" u="none" strike="noStrike">
              <a:solidFill>
                <a:schemeClr val="dk1"/>
              </a:solidFill>
              <a:effectLst/>
              <a:latin typeface="+mn-lt"/>
              <a:ea typeface="+mn-ea"/>
              <a:cs typeface="+mn-cs"/>
            </a:rPr>
            <a:t>0x27,</a:t>
          </a:r>
          <a:r>
            <a:rPr lang="en-US" altLang="zh-TW"/>
            <a:t> </a:t>
          </a:r>
          <a:r>
            <a:rPr lang="en-US" altLang="zh-TW" sz="1100" b="0" i="0" u="none" strike="noStrike">
              <a:solidFill>
                <a:schemeClr val="dk1"/>
              </a:solidFill>
              <a:effectLst/>
              <a:latin typeface="+mn-lt"/>
              <a:ea typeface="+mn-ea"/>
              <a:cs typeface="+mn-cs"/>
            </a:rPr>
            <a:t>0x28,</a:t>
          </a:r>
          <a:r>
            <a:rPr lang="en-US" altLang="zh-TW"/>
            <a:t> </a:t>
          </a:r>
          <a:r>
            <a:rPr lang="en-US" altLang="zh-TW" sz="1100" b="0" i="0" u="none" strike="noStrike">
              <a:solidFill>
                <a:schemeClr val="dk1"/>
              </a:solidFill>
              <a:effectLst/>
              <a:latin typeface="+mn-lt"/>
              <a:ea typeface="+mn-ea"/>
              <a:cs typeface="+mn-cs"/>
            </a:rPr>
            <a:t>0x29,</a:t>
          </a:r>
          <a:r>
            <a:rPr lang="en-US" altLang="zh-TW"/>
            <a:t> </a:t>
          </a:r>
          <a:r>
            <a:rPr lang="en-US" altLang="zh-TW" sz="1100" b="0" i="0" u="none" strike="noStrike">
              <a:solidFill>
                <a:schemeClr val="dk1"/>
              </a:solidFill>
              <a:effectLst/>
              <a:latin typeface="+mn-lt"/>
              <a:ea typeface="+mn-ea"/>
              <a:cs typeface="+mn-cs"/>
            </a:rPr>
            <a:t>0x2A,</a:t>
          </a:r>
          <a:r>
            <a:rPr lang="en-US" altLang="zh-TW"/>
            <a:t> </a:t>
          </a:r>
          <a:r>
            <a:rPr lang="en-US" altLang="zh-TW" sz="1100" b="0" i="0" u="none" strike="noStrike">
              <a:solidFill>
                <a:schemeClr val="dk1"/>
              </a:solidFill>
              <a:effectLst/>
              <a:latin typeface="+mn-lt"/>
              <a:ea typeface="+mn-ea"/>
              <a:cs typeface="+mn-cs"/>
            </a:rPr>
            <a:t>0x2B,</a:t>
          </a:r>
          <a:r>
            <a:rPr lang="en-US" altLang="zh-TW"/>
            <a:t> </a:t>
          </a:r>
          <a:r>
            <a:rPr lang="en-US" altLang="zh-TW" sz="1100" b="0" i="0" u="none" strike="noStrike">
              <a:solidFill>
                <a:schemeClr val="dk1"/>
              </a:solidFill>
              <a:effectLst/>
              <a:latin typeface="+mn-lt"/>
              <a:ea typeface="+mn-ea"/>
              <a:cs typeface="+mn-cs"/>
            </a:rPr>
            <a:t>0x2C,</a:t>
          </a:r>
          <a:r>
            <a:rPr lang="en-US" altLang="zh-TW"/>
            <a:t> </a:t>
          </a:r>
          <a:r>
            <a:rPr lang="en-US" altLang="zh-TW" sz="1100" b="0" i="0" u="none" strike="noStrike">
              <a:solidFill>
                <a:schemeClr val="dk1"/>
              </a:solidFill>
              <a:effectLst/>
              <a:latin typeface="+mn-lt"/>
              <a:ea typeface="+mn-ea"/>
              <a:cs typeface="+mn-cs"/>
            </a:rPr>
            <a:t>0x2D,</a:t>
          </a:r>
          <a:r>
            <a:rPr lang="en-US" altLang="zh-TW"/>
            <a:t> </a:t>
          </a:r>
          <a:r>
            <a:rPr lang="en-US" altLang="zh-TW" sz="1100" b="0" i="0" u="none" strike="noStrike">
              <a:solidFill>
                <a:schemeClr val="dk1"/>
              </a:solidFill>
              <a:effectLst/>
              <a:latin typeface="+mn-lt"/>
              <a:ea typeface="+mn-ea"/>
              <a:cs typeface="+mn-cs"/>
            </a:rPr>
            <a:t>0x2E,</a:t>
          </a:r>
          <a:r>
            <a:rPr lang="en-US" altLang="zh-TW"/>
            <a:t> </a:t>
          </a:r>
          <a:r>
            <a:rPr lang="en-US" altLang="zh-TW" sz="1100" b="0" i="0" u="none" strike="noStrike">
              <a:solidFill>
                <a:schemeClr val="dk1"/>
              </a:solidFill>
              <a:effectLst/>
              <a:latin typeface="+mn-lt"/>
              <a:ea typeface="+mn-ea"/>
              <a:cs typeface="+mn-cs"/>
            </a:rPr>
            <a:t>0x2F,</a:t>
          </a:r>
          <a:r>
            <a:rPr lang="en-US" altLang="zh-TW"/>
            <a:t> </a:t>
          </a:r>
          <a:r>
            <a:rPr lang="en-US" altLang="zh-TW" sz="1100" b="0" i="0" u="none" strike="noStrike">
              <a:solidFill>
                <a:schemeClr val="dk1"/>
              </a:solidFill>
              <a:effectLst/>
              <a:latin typeface="+mn-lt"/>
              <a:ea typeface="+mn-ea"/>
              <a:cs typeface="+mn-cs"/>
            </a:rPr>
            <a:t>0x30,</a:t>
          </a:r>
          <a:r>
            <a:rPr lang="en-US" altLang="zh-TW"/>
            <a:t> </a:t>
          </a:r>
          <a:r>
            <a:rPr lang="en-US" altLang="zh-TW" sz="1100" b="0" i="0" u="none" strike="noStrike">
              <a:solidFill>
                <a:schemeClr val="dk1"/>
              </a:solidFill>
              <a:effectLst/>
              <a:latin typeface="+mn-lt"/>
              <a:ea typeface="+mn-ea"/>
              <a:cs typeface="+mn-cs"/>
            </a:rPr>
            <a:t>0x31,</a:t>
          </a:r>
          <a:r>
            <a:rPr lang="en-US" altLang="zh-TW"/>
            <a:t> </a:t>
          </a:r>
          <a:r>
            <a:rPr lang="en-US" altLang="zh-TW" sz="1100" b="0" i="0" u="none" strike="noStrike">
              <a:solidFill>
                <a:schemeClr val="dk1"/>
              </a:solidFill>
              <a:effectLst/>
              <a:latin typeface="+mn-lt"/>
              <a:ea typeface="+mn-ea"/>
              <a:cs typeface="+mn-cs"/>
            </a:rPr>
            <a:t>0x32,</a:t>
          </a:r>
          <a:r>
            <a:rPr lang="en-US" altLang="zh-TW"/>
            <a:t> </a:t>
          </a:r>
          <a:r>
            <a:rPr lang="en-US" altLang="zh-TW" sz="1100" b="0" i="0" u="none" strike="noStrike">
              <a:solidFill>
                <a:schemeClr val="dk1"/>
              </a:solidFill>
              <a:effectLst/>
              <a:latin typeface="+mn-lt"/>
              <a:ea typeface="+mn-ea"/>
              <a:cs typeface="+mn-cs"/>
            </a:rPr>
            <a:t>0x33,</a:t>
          </a:r>
          <a:r>
            <a:rPr lang="en-US" altLang="zh-TW"/>
            <a:t> </a:t>
          </a:r>
          <a:r>
            <a:rPr lang="en-US" altLang="zh-TW" sz="1100" b="0" i="0" u="none" strike="noStrike">
              <a:solidFill>
                <a:schemeClr val="dk1"/>
              </a:solidFill>
              <a:effectLst/>
              <a:latin typeface="+mn-lt"/>
              <a:ea typeface="+mn-ea"/>
              <a:cs typeface="+mn-cs"/>
            </a:rPr>
            <a:t>0x34,</a:t>
          </a:r>
          <a:r>
            <a:rPr lang="en-US" altLang="zh-TW"/>
            <a:t> </a:t>
          </a:r>
          <a:r>
            <a:rPr lang="en-US" altLang="zh-TW" sz="1100" b="0" i="0" u="none" strike="noStrike">
              <a:solidFill>
                <a:schemeClr val="dk1"/>
              </a:solidFill>
              <a:effectLst/>
              <a:latin typeface="+mn-lt"/>
              <a:ea typeface="+mn-ea"/>
              <a:cs typeface="+mn-cs"/>
            </a:rPr>
            <a:t>0x35,</a:t>
          </a:r>
          <a:r>
            <a:rPr lang="en-US" altLang="zh-TW"/>
            <a:t> </a:t>
          </a:r>
          <a:r>
            <a:rPr lang="en-US" altLang="zh-TW" sz="1100" b="0" i="0" u="none" strike="noStrike">
              <a:solidFill>
                <a:schemeClr val="dk1"/>
              </a:solidFill>
              <a:effectLst/>
              <a:latin typeface="+mn-lt"/>
              <a:ea typeface="+mn-ea"/>
              <a:cs typeface="+mn-cs"/>
            </a:rPr>
            <a:t>0x36,</a:t>
          </a:r>
          <a:r>
            <a:rPr lang="en-US" altLang="zh-TW"/>
            <a:t> </a:t>
          </a:r>
          <a:r>
            <a:rPr lang="en-US" altLang="zh-TW" sz="1100" b="0" i="0" u="none" strike="noStrike">
              <a:solidFill>
                <a:schemeClr val="dk1"/>
              </a:solidFill>
              <a:effectLst/>
              <a:latin typeface="+mn-lt"/>
              <a:ea typeface="+mn-ea"/>
              <a:cs typeface="+mn-cs"/>
            </a:rPr>
            <a:t>0x37,</a:t>
          </a:r>
          <a:r>
            <a:rPr lang="en-US" altLang="zh-TW"/>
            <a:t> </a:t>
          </a:r>
          <a:r>
            <a:rPr lang="en-US" altLang="zh-TW" sz="1100" b="0" i="0" u="none" strike="noStrike">
              <a:solidFill>
                <a:schemeClr val="dk1"/>
              </a:solidFill>
              <a:effectLst/>
              <a:latin typeface="+mn-lt"/>
              <a:ea typeface="+mn-ea"/>
              <a:cs typeface="+mn-cs"/>
            </a:rPr>
            <a:t>0x38,</a:t>
          </a:r>
          <a:r>
            <a:rPr lang="en-US" altLang="zh-TW"/>
            <a:t> </a:t>
          </a:r>
          <a:r>
            <a:rPr lang="en-US" altLang="zh-TW" sz="1100" b="0" i="0" u="none" strike="noStrike">
              <a:solidFill>
                <a:schemeClr val="dk1"/>
              </a:solidFill>
              <a:effectLst/>
              <a:latin typeface="+mn-lt"/>
              <a:ea typeface="+mn-ea"/>
              <a:cs typeface="+mn-cs"/>
            </a:rPr>
            <a:t>0x39,</a:t>
          </a:r>
          <a:r>
            <a:rPr lang="en-US" altLang="zh-TW"/>
            <a:t> </a:t>
          </a:r>
          <a:r>
            <a:rPr lang="en-US" altLang="zh-TW" sz="1100" b="0" i="0" u="none" strike="noStrike">
              <a:solidFill>
                <a:schemeClr val="dk1"/>
              </a:solidFill>
              <a:effectLst/>
              <a:latin typeface="+mn-lt"/>
              <a:ea typeface="+mn-ea"/>
              <a:cs typeface="+mn-cs"/>
            </a:rPr>
            <a:t>0x3A,</a:t>
          </a:r>
          <a:r>
            <a:rPr lang="en-US" altLang="zh-TW"/>
            <a:t> </a:t>
          </a:r>
          <a:r>
            <a:rPr lang="en-US" altLang="zh-TW" sz="1100" b="0" i="0" u="none" strike="noStrike">
              <a:solidFill>
                <a:schemeClr val="dk1"/>
              </a:solidFill>
              <a:effectLst/>
              <a:latin typeface="+mn-lt"/>
              <a:ea typeface="+mn-ea"/>
              <a:cs typeface="+mn-cs"/>
            </a:rPr>
            <a:t>0x3B,</a:t>
          </a:r>
          <a:r>
            <a:rPr lang="en-US" altLang="zh-TW"/>
            <a:t> </a:t>
          </a:r>
          <a:r>
            <a:rPr lang="en-US" altLang="zh-TW" sz="1100" b="0" i="0" u="none" strike="noStrike">
              <a:solidFill>
                <a:schemeClr val="dk1"/>
              </a:solidFill>
              <a:effectLst/>
              <a:latin typeface="+mn-lt"/>
              <a:ea typeface="+mn-ea"/>
              <a:cs typeface="+mn-cs"/>
            </a:rPr>
            <a:t>0x3C,</a:t>
          </a:r>
          <a:r>
            <a:rPr lang="en-US" altLang="zh-TW"/>
            <a:t> </a:t>
          </a:r>
          <a:r>
            <a:rPr lang="en-US" altLang="zh-TW" sz="1100" b="0" i="0" u="none" strike="noStrike">
              <a:solidFill>
                <a:schemeClr val="dk1"/>
              </a:solidFill>
              <a:effectLst/>
              <a:latin typeface="+mn-lt"/>
              <a:ea typeface="+mn-ea"/>
              <a:cs typeface="+mn-cs"/>
            </a:rPr>
            <a:t>0x3D,</a:t>
          </a:r>
          <a:r>
            <a:rPr lang="en-US" altLang="zh-TW"/>
            <a:t> </a:t>
          </a:r>
          <a:r>
            <a:rPr lang="en-US" altLang="zh-TW" sz="1100" b="0" i="0" u="none" strike="noStrike">
              <a:solidFill>
                <a:schemeClr val="dk1"/>
              </a:solidFill>
              <a:effectLst/>
              <a:latin typeface="+mn-lt"/>
              <a:ea typeface="+mn-ea"/>
              <a:cs typeface="+mn-cs"/>
            </a:rPr>
            <a:t>0x3E,</a:t>
          </a:r>
          <a:r>
            <a:rPr lang="en-US" altLang="zh-TW"/>
            <a:t> </a:t>
          </a:r>
          <a:r>
            <a:rPr lang="en-US" altLang="zh-TW" sz="1100" b="0" i="0" u="none" strike="noStrike">
              <a:solidFill>
                <a:schemeClr val="dk1"/>
              </a:solidFill>
              <a:effectLst/>
              <a:latin typeface="+mn-lt"/>
              <a:ea typeface="+mn-ea"/>
              <a:cs typeface="+mn-cs"/>
            </a:rPr>
            <a:t>0x3F,</a:t>
          </a:r>
          <a:r>
            <a:rPr lang="en-US" altLang="zh-TW"/>
            <a:t> </a:t>
          </a:r>
          <a:r>
            <a:rPr lang="en-US" altLang="zh-TW" sz="1100" b="0" i="0" u="none" strike="noStrike">
              <a:solidFill>
                <a:schemeClr val="dk1"/>
              </a:solidFill>
              <a:effectLst/>
              <a:latin typeface="+mn-lt"/>
              <a:ea typeface="+mn-ea"/>
              <a:cs typeface="+mn-cs"/>
            </a:rPr>
            <a:t>0x40,</a:t>
          </a:r>
          <a:r>
            <a:rPr lang="en-US" altLang="zh-TW"/>
            <a:t> </a:t>
          </a:r>
          <a:r>
            <a:rPr lang="en-US" altLang="zh-TW" sz="1100" b="0" i="0" u="none" strike="noStrike">
              <a:solidFill>
                <a:schemeClr val="dk1"/>
              </a:solidFill>
              <a:effectLst/>
              <a:latin typeface="+mn-lt"/>
              <a:ea typeface="+mn-ea"/>
              <a:cs typeface="+mn-cs"/>
            </a:rPr>
            <a:t>0x41,</a:t>
          </a:r>
          <a:r>
            <a:rPr lang="en-US" altLang="zh-TW"/>
            <a:t> </a:t>
          </a:r>
          <a:r>
            <a:rPr lang="en-US" altLang="zh-TW" sz="1100" b="0" i="0" u="none" strike="noStrike">
              <a:solidFill>
                <a:schemeClr val="dk1"/>
              </a:solidFill>
              <a:effectLst/>
              <a:latin typeface="+mn-lt"/>
              <a:ea typeface="+mn-ea"/>
              <a:cs typeface="+mn-cs"/>
            </a:rPr>
            <a:t>0x42,</a:t>
          </a:r>
          <a:r>
            <a:rPr lang="en-US" altLang="zh-TW"/>
            <a:t> </a:t>
          </a:r>
          <a:r>
            <a:rPr lang="en-US" altLang="zh-TW" sz="1100" b="0" i="0" u="none" strike="noStrike">
              <a:solidFill>
                <a:schemeClr val="dk1"/>
              </a:solidFill>
              <a:effectLst/>
              <a:latin typeface="+mn-lt"/>
              <a:ea typeface="+mn-ea"/>
              <a:cs typeface="+mn-cs"/>
            </a:rPr>
            <a:t>0x43,</a:t>
          </a:r>
          <a:r>
            <a:rPr lang="en-US" altLang="zh-TW"/>
            <a:t> </a:t>
          </a:r>
          <a:r>
            <a:rPr lang="en-US" altLang="zh-TW" sz="1100" b="0" i="0" u="none" strike="noStrike">
              <a:solidFill>
                <a:schemeClr val="dk1"/>
              </a:solidFill>
              <a:effectLst/>
              <a:latin typeface="+mn-lt"/>
              <a:ea typeface="+mn-ea"/>
              <a:cs typeface="+mn-cs"/>
            </a:rPr>
            <a:t>0x44,</a:t>
          </a:r>
          <a:r>
            <a:rPr lang="en-US" altLang="zh-TW"/>
            <a:t> </a:t>
          </a:r>
          <a:r>
            <a:rPr lang="en-US" altLang="zh-TW" sz="1100" b="0" i="0" u="none" strike="noStrike">
              <a:solidFill>
                <a:schemeClr val="dk1"/>
              </a:solidFill>
              <a:effectLst/>
              <a:latin typeface="+mn-lt"/>
              <a:ea typeface="+mn-ea"/>
              <a:cs typeface="+mn-cs"/>
            </a:rPr>
            <a:t>0x45,</a:t>
          </a:r>
          <a:r>
            <a:rPr lang="en-US" altLang="zh-TW"/>
            <a:t> </a:t>
          </a:r>
          <a:r>
            <a:rPr lang="en-US" altLang="zh-TW" sz="1100" b="0" i="0" u="none" strike="noStrike">
              <a:solidFill>
                <a:schemeClr val="dk1"/>
              </a:solidFill>
              <a:effectLst/>
              <a:latin typeface="+mn-lt"/>
              <a:ea typeface="+mn-ea"/>
              <a:cs typeface="+mn-cs"/>
            </a:rPr>
            <a:t>0x46,</a:t>
          </a:r>
          <a:r>
            <a:rPr lang="en-US" altLang="zh-TW"/>
            <a:t> </a:t>
          </a:r>
          <a:r>
            <a:rPr lang="en-US" altLang="zh-TW" sz="1100" b="0" i="0" u="none" strike="noStrike">
              <a:solidFill>
                <a:schemeClr val="dk1"/>
              </a:solidFill>
              <a:effectLst/>
              <a:latin typeface="+mn-lt"/>
              <a:ea typeface="+mn-ea"/>
              <a:cs typeface="+mn-cs"/>
            </a:rPr>
            <a:t>0x47,</a:t>
          </a:r>
          <a:r>
            <a:rPr lang="en-US" altLang="zh-TW"/>
            <a:t> </a:t>
          </a:r>
          <a:r>
            <a:rPr lang="en-US" altLang="zh-TW" sz="1100" b="0" i="0" u="none" strike="noStrike">
              <a:solidFill>
                <a:schemeClr val="dk1"/>
              </a:solidFill>
              <a:effectLst/>
              <a:latin typeface="+mn-lt"/>
              <a:ea typeface="+mn-ea"/>
              <a:cs typeface="+mn-cs"/>
            </a:rPr>
            <a:t>0x48,</a:t>
          </a:r>
          <a:r>
            <a:rPr lang="en-US" altLang="zh-TW"/>
            <a:t> </a:t>
          </a:r>
          <a:r>
            <a:rPr lang="en-US" altLang="zh-TW" sz="1100" b="0" i="0" u="none" strike="noStrike">
              <a:solidFill>
                <a:schemeClr val="dk1"/>
              </a:solidFill>
              <a:effectLst/>
              <a:latin typeface="+mn-lt"/>
              <a:ea typeface="+mn-ea"/>
              <a:cs typeface="+mn-cs"/>
            </a:rPr>
            <a:t>0x49,</a:t>
          </a:r>
          <a:r>
            <a:rPr lang="en-US" altLang="zh-TW"/>
            <a:t> </a:t>
          </a:r>
          <a:r>
            <a:rPr lang="en-US" altLang="zh-TW" sz="1100" b="0" i="0" u="none" strike="noStrike">
              <a:solidFill>
                <a:schemeClr val="dk1"/>
              </a:solidFill>
              <a:effectLst/>
              <a:latin typeface="+mn-lt"/>
              <a:ea typeface="+mn-ea"/>
              <a:cs typeface="+mn-cs"/>
            </a:rPr>
            <a:t>0x4A,</a:t>
          </a:r>
          <a:r>
            <a:rPr lang="en-US" altLang="zh-TW"/>
            <a:t> </a:t>
          </a:r>
          <a:r>
            <a:rPr lang="en-US" altLang="zh-TW" sz="1100" b="0" i="0" u="none" strike="noStrike">
              <a:solidFill>
                <a:schemeClr val="dk1"/>
              </a:solidFill>
              <a:effectLst/>
              <a:latin typeface="+mn-lt"/>
              <a:ea typeface="+mn-ea"/>
              <a:cs typeface="+mn-cs"/>
            </a:rPr>
            <a:t>0x4B,</a:t>
          </a:r>
          <a:r>
            <a:rPr lang="en-US" altLang="zh-TW"/>
            <a:t> </a:t>
          </a:r>
          <a:r>
            <a:rPr lang="en-US" altLang="zh-TW" sz="1100" b="0" i="0" u="none" strike="noStrike">
              <a:solidFill>
                <a:schemeClr val="dk1"/>
              </a:solidFill>
              <a:effectLst/>
              <a:latin typeface="+mn-lt"/>
              <a:ea typeface="+mn-ea"/>
              <a:cs typeface="+mn-cs"/>
            </a:rPr>
            <a:t>0x4C,</a:t>
          </a:r>
          <a:r>
            <a:rPr lang="en-US" altLang="zh-TW"/>
            <a:t> </a:t>
          </a:r>
          <a:r>
            <a:rPr lang="en-US" altLang="zh-TW" sz="1100" b="0" i="0" u="none" strike="noStrike">
              <a:solidFill>
                <a:schemeClr val="dk1"/>
              </a:solidFill>
              <a:effectLst/>
              <a:latin typeface="+mn-lt"/>
              <a:ea typeface="+mn-ea"/>
              <a:cs typeface="+mn-cs"/>
            </a:rPr>
            <a:t>0x4D,</a:t>
          </a:r>
          <a:r>
            <a:rPr lang="en-US" altLang="zh-TW"/>
            <a:t> </a:t>
          </a:r>
          <a:r>
            <a:rPr lang="en-US" altLang="zh-TW" sz="1100" b="0" i="0" u="none" strike="noStrike">
              <a:solidFill>
                <a:schemeClr val="dk1"/>
              </a:solidFill>
              <a:effectLst/>
              <a:latin typeface="+mn-lt"/>
              <a:ea typeface="+mn-ea"/>
              <a:cs typeface="+mn-cs"/>
            </a:rPr>
            <a:t>0x4E,</a:t>
          </a:r>
          <a:r>
            <a:rPr lang="en-US" altLang="zh-TW"/>
            <a:t> </a:t>
          </a:r>
          <a:r>
            <a:rPr lang="en-US" altLang="zh-TW" sz="1100" b="0" i="0" u="none" strike="noStrike">
              <a:solidFill>
                <a:schemeClr val="dk1"/>
              </a:solidFill>
              <a:effectLst/>
              <a:latin typeface="+mn-lt"/>
              <a:ea typeface="+mn-ea"/>
              <a:cs typeface="+mn-cs"/>
            </a:rPr>
            <a:t>0x4F,</a:t>
          </a:r>
          <a:r>
            <a:rPr lang="en-US" altLang="zh-TW"/>
            <a:t> </a:t>
          </a:r>
          <a:r>
            <a:rPr lang="en-US" altLang="zh-TW" sz="1100" b="0" i="0" u="none" strike="noStrike">
              <a:solidFill>
                <a:schemeClr val="dk1"/>
              </a:solidFill>
              <a:effectLst/>
              <a:latin typeface="+mn-lt"/>
              <a:ea typeface="+mn-ea"/>
              <a:cs typeface="+mn-cs"/>
            </a:rPr>
            <a:t>0x50,</a:t>
          </a:r>
          <a:r>
            <a:rPr lang="en-US" altLang="zh-TW"/>
            <a:t> </a:t>
          </a:r>
          <a:r>
            <a:rPr lang="en-US" altLang="zh-TW" sz="1100" b="0" i="0" u="none" strike="noStrike">
              <a:solidFill>
                <a:schemeClr val="dk1"/>
              </a:solidFill>
              <a:effectLst/>
              <a:latin typeface="+mn-lt"/>
              <a:ea typeface="+mn-ea"/>
              <a:cs typeface="+mn-cs"/>
            </a:rPr>
            <a:t>0x51,</a:t>
          </a:r>
          <a:r>
            <a:rPr lang="en-US" altLang="zh-TW"/>
            <a:t> </a:t>
          </a:r>
          <a:r>
            <a:rPr lang="en-US" altLang="zh-TW" sz="1100" b="0" i="0" u="none" strike="noStrike">
              <a:solidFill>
                <a:schemeClr val="dk1"/>
              </a:solidFill>
              <a:effectLst/>
              <a:latin typeface="+mn-lt"/>
              <a:ea typeface="+mn-ea"/>
              <a:cs typeface="+mn-cs"/>
            </a:rPr>
            <a:t>0x52,</a:t>
          </a:r>
          <a:r>
            <a:rPr lang="en-US" altLang="zh-TW"/>
            <a:t> </a:t>
          </a:r>
          <a:r>
            <a:rPr lang="en-US" altLang="zh-TW" sz="1100" b="0" i="0" u="none" strike="noStrike">
              <a:solidFill>
                <a:schemeClr val="dk1"/>
              </a:solidFill>
              <a:effectLst/>
              <a:latin typeface="+mn-lt"/>
              <a:ea typeface="+mn-ea"/>
              <a:cs typeface="+mn-cs"/>
            </a:rPr>
            <a:t>0x53,</a:t>
          </a:r>
          <a:r>
            <a:rPr lang="en-US" altLang="zh-TW"/>
            <a:t> </a:t>
          </a:r>
          <a:r>
            <a:rPr lang="en-US" altLang="zh-TW" sz="1100" b="0" i="0" u="none" strike="noStrike">
              <a:solidFill>
                <a:schemeClr val="dk1"/>
              </a:solidFill>
              <a:effectLst/>
              <a:latin typeface="+mn-lt"/>
              <a:ea typeface="+mn-ea"/>
              <a:cs typeface="+mn-cs"/>
            </a:rPr>
            <a:t>0x54,</a:t>
          </a:r>
          <a:r>
            <a:rPr lang="en-US" altLang="zh-TW"/>
            <a:t> </a:t>
          </a:r>
          <a:r>
            <a:rPr lang="en-US" altLang="zh-TW" sz="1100" b="0" i="0" u="none" strike="noStrike">
              <a:solidFill>
                <a:schemeClr val="dk1"/>
              </a:solidFill>
              <a:effectLst/>
              <a:latin typeface="+mn-lt"/>
              <a:ea typeface="+mn-ea"/>
              <a:cs typeface="+mn-cs"/>
            </a:rPr>
            <a:t>0x55,</a:t>
          </a:r>
          <a:r>
            <a:rPr lang="en-US" altLang="zh-TW"/>
            <a:t> </a:t>
          </a:r>
          <a:r>
            <a:rPr lang="en-US" altLang="zh-TW" sz="1100" b="0" i="0" u="none" strike="noStrike">
              <a:solidFill>
                <a:schemeClr val="dk1"/>
              </a:solidFill>
              <a:effectLst/>
              <a:latin typeface="+mn-lt"/>
              <a:ea typeface="+mn-ea"/>
              <a:cs typeface="+mn-cs"/>
            </a:rPr>
            <a:t>0x56,</a:t>
          </a:r>
          <a:r>
            <a:rPr lang="en-US" altLang="zh-TW"/>
            <a:t> </a:t>
          </a:r>
          <a:r>
            <a:rPr lang="en-US" altLang="zh-TW" sz="1100" b="0" i="0" u="none" strike="noStrike">
              <a:solidFill>
                <a:schemeClr val="dk1"/>
              </a:solidFill>
              <a:effectLst/>
              <a:latin typeface="+mn-lt"/>
              <a:ea typeface="+mn-ea"/>
              <a:cs typeface="+mn-cs"/>
            </a:rPr>
            <a:t>0x57,</a:t>
          </a:r>
          <a:r>
            <a:rPr lang="en-US" altLang="zh-TW"/>
            <a:t> </a:t>
          </a:r>
          <a:r>
            <a:rPr lang="en-US" altLang="zh-TW" sz="1100" b="0" i="0" u="none" strike="noStrike">
              <a:solidFill>
                <a:schemeClr val="dk1"/>
              </a:solidFill>
              <a:effectLst/>
              <a:latin typeface="+mn-lt"/>
              <a:ea typeface="+mn-ea"/>
              <a:cs typeface="+mn-cs"/>
            </a:rPr>
            <a:t>0x58,</a:t>
          </a:r>
          <a:r>
            <a:rPr lang="en-US" altLang="zh-TW"/>
            <a:t> </a:t>
          </a:r>
          <a:r>
            <a:rPr lang="en-US" altLang="zh-TW" sz="1100" b="0" i="0" u="none" strike="noStrike">
              <a:solidFill>
                <a:schemeClr val="dk1"/>
              </a:solidFill>
              <a:effectLst/>
              <a:latin typeface="+mn-lt"/>
              <a:ea typeface="+mn-ea"/>
              <a:cs typeface="+mn-cs"/>
            </a:rPr>
            <a:t>0x59,</a:t>
          </a:r>
          <a:r>
            <a:rPr lang="en-US" altLang="zh-TW"/>
            <a:t> </a:t>
          </a:r>
          <a:r>
            <a:rPr lang="en-US" altLang="zh-TW" sz="1100" b="0" i="0" u="none" strike="noStrike">
              <a:solidFill>
                <a:schemeClr val="dk1"/>
              </a:solidFill>
              <a:effectLst/>
              <a:latin typeface="+mn-lt"/>
              <a:ea typeface="+mn-ea"/>
              <a:cs typeface="+mn-cs"/>
            </a:rPr>
            <a:t>0x5A,</a:t>
          </a:r>
          <a:r>
            <a:rPr lang="en-US" altLang="zh-TW"/>
            <a:t> </a:t>
          </a:r>
          <a:r>
            <a:rPr lang="en-US" altLang="zh-TW" sz="1100" b="0" i="0" u="none" strike="noStrike">
              <a:solidFill>
                <a:schemeClr val="dk1"/>
              </a:solidFill>
              <a:effectLst/>
              <a:latin typeface="+mn-lt"/>
              <a:ea typeface="+mn-ea"/>
              <a:cs typeface="+mn-cs"/>
            </a:rPr>
            <a:t>0x5B,</a:t>
          </a:r>
          <a:r>
            <a:rPr lang="en-US" altLang="zh-TW"/>
            <a:t> </a:t>
          </a:r>
          <a:r>
            <a:rPr lang="en-US" altLang="zh-TW" sz="1100" b="0" i="0" u="none" strike="noStrike">
              <a:solidFill>
                <a:schemeClr val="dk1"/>
              </a:solidFill>
              <a:effectLst/>
              <a:latin typeface="+mn-lt"/>
              <a:ea typeface="+mn-ea"/>
              <a:cs typeface="+mn-cs"/>
            </a:rPr>
            <a:t>0x5C,</a:t>
          </a:r>
          <a:r>
            <a:rPr lang="en-US" altLang="zh-TW"/>
            <a:t> </a:t>
          </a:r>
          <a:r>
            <a:rPr lang="en-US" altLang="zh-TW" sz="1100" b="0" i="0" u="none" strike="noStrike">
              <a:solidFill>
                <a:schemeClr val="dk1"/>
              </a:solidFill>
              <a:effectLst/>
              <a:latin typeface="+mn-lt"/>
              <a:ea typeface="+mn-ea"/>
              <a:cs typeface="+mn-cs"/>
            </a:rPr>
            <a:t>0x5D,</a:t>
          </a:r>
          <a:r>
            <a:rPr lang="en-US" altLang="zh-TW"/>
            <a:t> </a:t>
          </a:r>
          <a:r>
            <a:rPr lang="en-US" altLang="zh-TW" sz="1100" b="0" i="0" u="none" strike="noStrike">
              <a:solidFill>
                <a:schemeClr val="dk1"/>
              </a:solidFill>
              <a:effectLst/>
              <a:latin typeface="+mn-lt"/>
              <a:ea typeface="+mn-ea"/>
              <a:cs typeface="+mn-cs"/>
            </a:rPr>
            <a:t>0x5E,</a:t>
          </a:r>
          <a:r>
            <a:rPr lang="en-US" altLang="zh-TW"/>
            <a:t> </a:t>
          </a:r>
          <a:r>
            <a:rPr lang="en-US" altLang="zh-TW" sz="1100" b="0" i="0" u="none" strike="noStrike">
              <a:solidFill>
                <a:schemeClr val="dk1"/>
              </a:solidFill>
              <a:effectLst/>
              <a:latin typeface="+mn-lt"/>
              <a:ea typeface="+mn-ea"/>
              <a:cs typeface="+mn-cs"/>
            </a:rPr>
            <a:t>0x5F,</a:t>
          </a:r>
          <a:r>
            <a:rPr lang="en-US" altLang="zh-TW"/>
            <a:t> </a:t>
          </a:r>
          <a:r>
            <a:rPr lang="en-US" altLang="zh-TW" sz="1100" b="0" i="0" u="none" strike="noStrike">
              <a:solidFill>
                <a:schemeClr val="dk1"/>
              </a:solidFill>
              <a:effectLst/>
              <a:latin typeface="+mn-lt"/>
              <a:ea typeface="+mn-ea"/>
              <a:cs typeface="+mn-cs"/>
            </a:rPr>
            <a:t>0x60,</a:t>
          </a:r>
          <a:r>
            <a:rPr lang="en-US" altLang="zh-TW"/>
            <a:t> </a:t>
          </a:r>
          <a:r>
            <a:rPr lang="en-US" altLang="zh-TW" sz="1100" b="0" i="0" u="none" strike="noStrike">
              <a:solidFill>
                <a:schemeClr val="dk1"/>
              </a:solidFill>
              <a:effectLst/>
              <a:latin typeface="+mn-lt"/>
              <a:ea typeface="+mn-ea"/>
              <a:cs typeface="+mn-cs"/>
            </a:rPr>
            <a:t>0x61,</a:t>
          </a:r>
          <a:r>
            <a:rPr lang="en-US" altLang="zh-TW"/>
            <a:t> </a:t>
          </a:r>
          <a:r>
            <a:rPr lang="en-US" altLang="zh-TW" sz="1100" b="0" i="0" u="none" strike="noStrike">
              <a:solidFill>
                <a:schemeClr val="dk1"/>
              </a:solidFill>
              <a:effectLst/>
              <a:latin typeface="+mn-lt"/>
              <a:ea typeface="+mn-ea"/>
              <a:cs typeface="+mn-cs"/>
            </a:rPr>
            <a:t>0x62,</a:t>
          </a:r>
          <a:r>
            <a:rPr lang="en-US" altLang="zh-TW"/>
            <a:t> </a:t>
          </a:r>
          <a:r>
            <a:rPr lang="en-US" altLang="zh-TW" sz="1100" b="0" i="0" u="none" strike="noStrike">
              <a:solidFill>
                <a:schemeClr val="dk1"/>
              </a:solidFill>
              <a:effectLst/>
              <a:latin typeface="+mn-lt"/>
              <a:ea typeface="+mn-ea"/>
              <a:cs typeface="+mn-cs"/>
            </a:rPr>
            <a:t>0x63,</a:t>
          </a:r>
          <a:r>
            <a:rPr lang="en-US" altLang="zh-TW"/>
            <a:t> </a:t>
          </a:r>
          <a:r>
            <a:rPr lang="en-US" altLang="zh-TW" sz="1100" b="0" i="0" u="none" strike="noStrike">
              <a:solidFill>
                <a:schemeClr val="dk1"/>
              </a:solidFill>
              <a:effectLst/>
              <a:latin typeface="+mn-lt"/>
              <a:ea typeface="+mn-ea"/>
              <a:cs typeface="+mn-cs"/>
            </a:rPr>
            <a:t>0x64,</a:t>
          </a:r>
          <a:r>
            <a:rPr lang="en-US" altLang="zh-TW"/>
            <a:t> </a:t>
          </a:r>
          <a:r>
            <a:rPr lang="en-US" altLang="zh-TW" sz="1100" b="0" i="0" u="none" strike="noStrike">
              <a:solidFill>
                <a:schemeClr val="dk1"/>
              </a:solidFill>
              <a:effectLst/>
              <a:latin typeface="+mn-lt"/>
              <a:ea typeface="+mn-ea"/>
              <a:cs typeface="+mn-cs"/>
            </a:rPr>
            <a:t>0x65,</a:t>
          </a:r>
          <a:r>
            <a:rPr lang="en-US" altLang="zh-TW"/>
            <a:t> </a:t>
          </a:r>
          <a:r>
            <a:rPr lang="en-US" altLang="zh-TW" sz="1100" b="0" i="0" u="none" strike="noStrike">
              <a:solidFill>
                <a:schemeClr val="dk1"/>
              </a:solidFill>
              <a:effectLst/>
              <a:latin typeface="+mn-lt"/>
              <a:ea typeface="+mn-ea"/>
              <a:cs typeface="+mn-cs"/>
            </a:rPr>
            <a:t>0x66,</a:t>
          </a:r>
          <a:r>
            <a:rPr lang="en-US" altLang="zh-TW"/>
            <a:t> </a:t>
          </a:r>
          <a:r>
            <a:rPr lang="en-US" altLang="zh-TW" sz="1100" b="0" i="0" u="none" strike="noStrike">
              <a:solidFill>
                <a:schemeClr val="dk1"/>
              </a:solidFill>
              <a:effectLst/>
              <a:latin typeface="+mn-lt"/>
              <a:ea typeface="+mn-ea"/>
              <a:cs typeface="+mn-cs"/>
            </a:rPr>
            <a:t>0x67,</a:t>
          </a:r>
          <a:r>
            <a:rPr lang="en-US" altLang="zh-TW"/>
            <a:t> </a:t>
          </a:r>
          <a:r>
            <a:rPr lang="en-US" altLang="zh-TW" sz="1100" b="0" i="0" u="none" strike="noStrike">
              <a:solidFill>
                <a:schemeClr val="dk1"/>
              </a:solidFill>
              <a:effectLst/>
              <a:latin typeface="+mn-lt"/>
              <a:ea typeface="+mn-ea"/>
              <a:cs typeface="+mn-cs"/>
            </a:rPr>
            <a:t>0x68,</a:t>
          </a:r>
          <a:r>
            <a:rPr lang="en-US" altLang="zh-TW"/>
            <a:t> </a:t>
          </a:r>
          <a:r>
            <a:rPr lang="en-US" altLang="zh-TW" sz="1100" b="0" i="0" u="none" strike="noStrike">
              <a:solidFill>
                <a:schemeClr val="dk1"/>
              </a:solidFill>
              <a:effectLst/>
              <a:latin typeface="+mn-lt"/>
              <a:ea typeface="+mn-ea"/>
              <a:cs typeface="+mn-cs"/>
            </a:rPr>
            <a:t>0x69,</a:t>
          </a:r>
          <a:r>
            <a:rPr lang="en-US" altLang="zh-TW"/>
            <a:t> </a:t>
          </a:r>
          <a:r>
            <a:rPr lang="en-US" altLang="zh-TW" sz="1100" b="0" i="0" u="none" strike="noStrike">
              <a:solidFill>
                <a:schemeClr val="dk1"/>
              </a:solidFill>
              <a:effectLst/>
              <a:latin typeface="+mn-lt"/>
              <a:ea typeface="+mn-ea"/>
              <a:cs typeface="+mn-cs"/>
            </a:rPr>
            <a:t>0x6A,</a:t>
          </a:r>
          <a:r>
            <a:rPr lang="en-US" altLang="zh-TW"/>
            <a:t> </a:t>
          </a:r>
          <a:r>
            <a:rPr lang="en-US" altLang="zh-TW" sz="1100" b="0" i="0" u="none" strike="noStrike">
              <a:solidFill>
                <a:schemeClr val="dk1"/>
              </a:solidFill>
              <a:effectLst/>
              <a:latin typeface="+mn-lt"/>
              <a:ea typeface="+mn-ea"/>
              <a:cs typeface="+mn-cs"/>
            </a:rPr>
            <a:t>0x6B,</a:t>
          </a:r>
          <a:r>
            <a:rPr lang="en-US" altLang="zh-TW"/>
            <a:t> </a:t>
          </a:r>
          <a:r>
            <a:rPr lang="en-US" altLang="zh-TW" sz="1100" b="0" i="0" u="none" strike="noStrike">
              <a:solidFill>
                <a:schemeClr val="dk1"/>
              </a:solidFill>
              <a:effectLst/>
              <a:latin typeface="+mn-lt"/>
              <a:ea typeface="+mn-ea"/>
              <a:cs typeface="+mn-cs"/>
            </a:rPr>
            <a:t>0x6C,</a:t>
          </a:r>
          <a:r>
            <a:rPr lang="en-US" altLang="zh-TW"/>
            <a:t> </a:t>
          </a:r>
          <a:r>
            <a:rPr lang="en-US" altLang="zh-TW" sz="1100" b="0" i="0" u="none" strike="noStrike">
              <a:solidFill>
                <a:schemeClr val="dk1"/>
              </a:solidFill>
              <a:effectLst/>
              <a:latin typeface="+mn-lt"/>
              <a:ea typeface="+mn-ea"/>
              <a:cs typeface="+mn-cs"/>
            </a:rPr>
            <a:t>0x6D,</a:t>
          </a:r>
          <a:r>
            <a:rPr lang="en-US" altLang="zh-TW"/>
            <a:t> </a:t>
          </a:r>
          <a:r>
            <a:rPr lang="en-US" altLang="zh-TW" sz="1100" b="0" i="0" u="none" strike="noStrike">
              <a:solidFill>
                <a:schemeClr val="dk1"/>
              </a:solidFill>
              <a:effectLst/>
              <a:latin typeface="+mn-lt"/>
              <a:ea typeface="+mn-ea"/>
              <a:cs typeface="+mn-cs"/>
            </a:rPr>
            <a:t>0x6E,</a:t>
          </a:r>
          <a:r>
            <a:rPr lang="en-US" altLang="zh-TW"/>
            <a:t> </a:t>
          </a:r>
          <a:r>
            <a:rPr lang="en-US" altLang="zh-TW" sz="1100" b="0" i="0" u="none" strike="noStrike">
              <a:solidFill>
                <a:schemeClr val="dk1"/>
              </a:solidFill>
              <a:effectLst/>
              <a:latin typeface="+mn-lt"/>
              <a:ea typeface="+mn-ea"/>
              <a:cs typeface="+mn-cs"/>
            </a:rPr>
            <a:t>0x6F,</a:t>
          </a:r>
          <a:r>
            <a:rPr lang="en-US" altLang="zh-TW"/>
            <a:t> </a:t>
          </a:r>
          <a:r>
            <a:rPr lang="en-US" altLang="zh-TW" sz="1100" b="0" i="0" u="none" strike="noStrike">
              <a:solidFill>
                <a:schemeClr val="dk1"/>
              </a:solidFill>
              <a:effectLst/>
              <a:latin typeface="+mn-lt"/>
              <a:ea typeface="+mn-ea"/>
              <a:cs typeface="+mn-cs"/>
            </a:rPr>
            <a:t>0x70,</a:t>
          </a:r>
          <a:r>
            <a:rPr lang="en-US" altLang="zh-TW"/>
            <a:t> </a:t>
          </a:r>
          <a:r>
            <a:rPr lang="en-US" altLang="zh-TW" sz="1100" b="0" i="0" u="none" strike="noStrike">
              <a:solidFill>
                <a:schemeClr val="dk1"/>
              </a:solidFill>
              <a:effectLst/>
              <a:latin typeface="+mn-lt"/>
              <a:ea typeface="+mn-ea"/>
              <a:cs typeface="+mn-cs"/>
            </a:rPr>
            <a:t>0x71,</a:t>
          </a:r>
          <a:r>
            <a:rPr lang="en-US" altLang="zh-TW"/>
            <a:t> </a:t>
          </a:r>
          <a:r>
            <a:rPr lang="en-US" altLang="zh-TW" sz="1100" b="0" i="0" u="none" strike="noStrike">
              <a:solidFill>
                <a:schemeClr val="dk1"/>
              </a:solidFill>
              <a:effectLst/>
              <a:latin typeface="+mn-lt"/>
              <a:ea typeface="+mn-ea"/>
              <a:cs typeface="+mn-cs"/>
            </a:rPr>
            <a:t>0x72,</a:t>
          </a:r>
          <a:r>
            <a:rPr lang="en-US" altLang="zh-TW"/>
            <a:t> </a:t>
          </a:r>
          <a:r>
            <a:rPr lang="en-US" altLang="zh-TW" sz="1100" b="0" i="0" u="none" strike="noStrike">
              <a:solidFill>
                <a:schemeClr val="dk1"/>
              </a:solidFill>
              <a:effectLst/>
              <a:latin typeface="+mn-lt"/>
              <a:ea typeface="+mn-ea"/>
              <a:cs typeface="+mn-cs"/>
            </a:rPr>
            <a:t>0x73,</a:t>
          </a:r>
          <a:r>
            <a:rPr lang="en-US" altLang="zh-TW"/>
            <a:t> </a:t>
          </a:r>
          <a:r>
            <a:rPr lang="en-US" altLang="zh-TW" sz="1100" b="0" i="0" u="none" strike="noStrike">
              <a:solidFill>
                <a:schemeClr val="dk1"/>
              </a:solidFill>
              <a:effectLst/>
              <a:latin typeface="+mn-lt"/>
              <a:ea typeface="+mn-ea"/>
              <a:cs typeface="+mn-cs"/>
            </a:rPr>
            <a:t>0x74,</a:t>
          </a:r>
          <a:r>
            <a:rPr lang="en-US" altLang="zh-TW"/>
            <a:t> </a:t>
          </a:r>
          <a:r>
            <a:rPr lang="en-US" altLang="zh-TW" sz="1100" b="0" i="0" u="none" strike="noStrike">
              <a:solidFill>
                <a:schemeClr val="dk1"/>
              </a:solidFill>
              <a:effectLst/>
              <a:latin typeface="+mn-lt"/>
              <a:ea typeface="+mn-ea"/>
              <a:cs typeface="+mn-cs"/>
            </a:rPr>
            <a:t>0x75,</a:t>
          </a:r>
          <a:r>
            <a:rPr lang="en-US" altLang="zh-TW"/>
            <a:t> </a:t>
          </a:r>
          <a:r>
            <a:rPr lang="en-US" altLang="zh-TW" sz="1100" b="0" i="0" u="none" strike="noStrike">
              <a:solidFill>
                <a:schemeClr val="dk1"/>
              </a:solidFill>
              <a:effectLst/>
              <a:latin typeface="+mn-lt"/>
              <a:ea typeface="+mn-ea"/>
              <a:cs typeface="+mn-cs"/>
            </a:rPr>
            <a:t>0x76,</a:t>
          </a:r>
          <a:r>
            <a:rPr lang="en-US" altLang="zh-TW"/>
            <a:t> </a:t>
          </a:r>
          <a:r>
            <a:rPr lang="en-US" altLang="zh-TW" sz="1100" b="0" i="0" u="none" strike="noStrike">
              <a:solidFill>
                <a:schemeClr val="dk1"/>
              </a:solidFill>
              <a:effectLst/>
              <a:latin typeface="+mn-lt"/>
              <a:ea typeface="+mn-ea"/>
              <a:cs typeface="+mn-cs"/>
            </a:rPr>
            <a:t>0x77,</a:t>
          </a:r>
          <a:r>
            <a:rPr lang="en-US" altLang="zh-TW"/>
            <a:t> </a:t>
          </a:r>
          <a:r>
            <a:rPr lang="en-US" altLang="zh-TW" sz="1100" b="0" i="0" u="none" strike="noStrike">
              <a:solidFill>
                <a:schemeClr val="dk1"/>
              </a:solidFill>
              <a:effectLst/>
              <a:latin typeface="+mn-lt"/>
              <a:ea typeface="+mn-ea"/>
              <a:cs typeface="+mn-cs"/>
            </a:rPr>
            <a:t>0x77,</a:t>
          </a:r>
          <a:r>
            <a:rPr lang="en-US" altLang="zh-TW"/>
            <a:t> </a:t>
          </a:r>
          <a:r>
            <a:rPr lang="en-US" altLang="zh-TW" sz="1100" b="0" i="0" u="none" strike="noStrike">
              <a:solidFill>
                <a:schemeClr val="dk1"/>
              </a:solidFill>
              <a:effectLst/>
              <a:latin typeface="+mn-lt"/>
              <a:ea typeface="+mn-ea"/>
              <a:cs typeface="+mn-cs"/>
            </a:rPr>
            <a:t>0x76,</a:t>
          </a:r>
          <a:r>
            <a:rPr lang="en-US" altLang="zh-TW"/>
            <a:t> </a:t>
          </a:r>
          <a:r>
            <a:rPr lang="en-US" altLang="zh-TW" sz="1100" b="0" i="0" u="none" strike="noStrike">
              <a:solidFill>
                <a:schemeClr val="dk1"/>
              </a:solidFill>
              <a:effectLst/>
              <a:latin typeface="+mn-lt"/>
              <a:ea typeface="+mn-ea"/>
              <a:cs typeface="+mn-cs"/>
            </a:rPr>
            <a:t>0x75,</a:t>
          </a:r>
          <a:r>
            <a:rPr lang="en-US" altLang="zh-TW"/>
            <a:t> </a:t>
          </a:r>
          <a:r>
            <a:rPr lang="en-US" altLang="zh-TW" sz="1100" b="0" i="0" u="none" strike="noStrike">
              <a:solidFill>
                <a:schemeClr val="dk1"/>
              </a:solidFill>
              <a:effectLst/>
              <a:latin typeface="+mn-lt"/>
              <a:ea typeface="+mn-ea"/>
              <a:cs typeface="+mn-cs"/>
            </a:rPr>
            <a:t>0x74,</a:t>
          </a:r>
          <a:r>
            <a:rPr lang="en-US" altLang="zh-TW"/>
            <a:t> </a:t>
          </a:r>
          <a:r>
            <a:rPr lang="en-US" altLang="zh-TW" sz="1100" b="0" i="0" u="none" strike="noStrike">
              <a:solidFill>
                <a:schemeClr val="dk1"/>
              </a:solidFill>
              <a:effectLst/>
              <a:latin typeface="+mn-lt"/>
              <a:ea typeface="+mn-ea"/>
              <a:cs typeface="+mn-cs"/>
            </a:rPr>
            <a:t>0x73,</a:t>
          </a:r>
          <a:r>
            <a:rPr lang="en-US" altLang="zh-TW"/>
            <a:t> </a:t>
          </a:r>
          <a:r>
            <a:rPr lang="en-US" altLang="zh-TW" sz="1100" b="0" i="0" u="none" strike="noStrike">
              <a:solidFill>
                <a:schemeClr val="dk1"/>
              </a:solidFill>
              <a:effectLst/>
              <a:latin typeface="+mn-lt"/>
              <a:ea typeface="+mn-ea"/>
              <a:cs typeface="+mn-cs"/>
            </a:rPr>
            <a:t>0x72,</a:t>
          </a:r>
          <a:r>
            <a:rPr lang="en-US" altLang="zh-TW"/>
            <a:t> </a:t>
          </a:r>
          <a:r>
            <a:rPr lang="en-US" altLang="zh-TW" sz="1100" b="0" i="0" u="none" strike="noStrike">
              <a:solidFill>
                <a:schemeClr val="dk1"/>
              </a:solidFill>
              <a:effectLst/>
              <a:latin typeface="+mn-lt"/>
              <a:ea typeface="+mn-ea"/>
              <a:cs typeface="+mn-cs"/>
            </a:rPr>
            <a:t>0x71,</a:t>
          </a:r>
          <a:r>
            <a:rPr lang="en-US" altLang="zh-TW"/>
            <a:t> </a:t>
          </a:r>
          <a:r>
            <a:rPr lang="en-US" altLang="zh-TW" sz="1100" b="0" i="0" u="none" strike="noStrike">
              <a:solidFill>
                <a:schemeClr val="dk1"/>
              </a:solidFill>
              <a:effectLst/>
              <a:latin typeface="+mn-lt"/>
              <a:ea typeface="+mn-ea"/>
              <a:cs typeface="+mn-cs"/>
            </a:rPr>
            <a:t>0x70,</a:t>
          </a:r>
          <a:r>
            <a:rPr lang="en-US" altLang="zh-TW"/>
            <a:t> </a:t>
          </a:r>
          <a:r>
            <a:rPr lang="en-US" altLang="zh-TW" sz="1100" b="0" i="0" u="none" strike="noStrike">
              <a:solidFill>
                <a:schemeClr val="dk1"/>
              </a:solidFill>
              <a:effectLst/>
              <a:latin typeface="+mn-lt"/>
              <a:ea typeface="+mn-ea"/>
              <a:cs typeface="+mn-cs"/>
            </a:rPr>
            <a:t>0x6F,</a:t>
          </a:r>
          <a:r>
            <a:rPr lang="en-US" altLang="zh-TW"/>
            <a:t> </a:t>
          </a:r>
          <a:r>
            <a:rPr lang="en-US" altLang="zh-TW" sz="1100" b="0" i="0" u="none" strike="noStrike">
              <a:solidFill>
                <a:schemeClr val="dk1"/>
              </a:solidFill>
              <a:effectLst/>
              <a:latin typeface="+mn-lt"/>
              <a:ea typeface="+mn-ea"/>
              <a:cs typeface="+mn-cs"/>
            </a:rPr>
            <a:t>0x6E,</a:t>
          </a:r>
          <a:r>
            <a:rPr lang="en-US" altLang="zh-TW"/>
            <a:t> </a:t>
          </a:r>
          <a:r>
            <a:rPr lang="en-US" altLang="zh-TW" sz="1100" b="0" i="0" u="none" strike="noStrike">
              <a:solidFill>
                <a:schemeClr val="dk1"/>
              </a:solidFill>
              <a:effectLst/>
              <a:latin typeface="+mn-lt"/>
              <a:ea typeface="+mn-ea"/>
              <a:cs typeface="+mn-cs"/>
            </a:rPr>
            <a:t>0x6D,</a:t>
          </a:r>
          <a:r>
            <a:rPr lang="en-US" altLang="zh-TW"/>
            <a:t> </a:t>
          </a:r>
          <a:r>
            <a:rPr lang="en-US" altLang="zh-TW" sz="1100" b="0" i="0" u="none" strike="noStrike">
              <a:solidFill>
                <a:schemeClr val="dk1"/>
              </a:solidFill>
              <a:effectLst/>
              <a:latin typeface="+mn-lt"/>
              <a:ea typeface="+mn-ea"/>
              <a:cs typeface="+mn-cs"/>
            </a:rPr>
            <a:t>0x6C,</a:t>
          </a:r>
          <a:r>
            <a:rPr lang="en-US" altLang="zh-TW"/>
            <a:t> </a:t>
          </a:r>
          <a:r>
            <a:rPr lang="en-US" altLang="zh-TW" sz="1100" b="0" i="0" u="none" strike="noStrike">
              <a:solidFill>
                <a:schemeClr val="dk1"/>
              </a:solidFill>
              <a:effectLst/>
              <a:latin typeface="+mn-lt"/>
              <a:ea typeface="+mn-ea"/>
              <a:cs typeface="+mn-cs"/>
            </a:rPr>
            <a:t>0x6B,</a:t>
          </a:r>
          <a:r>
            <a:rPr lang="en-US" altLang="zh-TW"/>
            <a:t> </a:t>
          </a:r>
          <a:r>
            <a:rPr lang="en-US" altLang="zh-TW" sz="1100" b="0" i="0" u="none" strike="noStrike">
              <a:solidFill>
                <a:schemeClr val="dk1"/>
              </a:solidFill>
              <a:effectLst/>
              <a:latin typeface="+mn-lt"/>
              <a:ea typeface="+mn-ea"/>
              <a:cs typeface="+mn-cs"/>
            </a:rPr>
            <a:t>0x6A,</a:t>
          </a:r>
          <a:r>
            <a:rPr lang="en-US" altLang="zh-TW"/>
            <a:t> </a:t>
          </a:r>
          <a:r>
            <a:rPr lang="en-US" altLang="zh-TW" sz="1100" b="0" i="0" u="none" strike="noStrike">
              <a:solidFill>
                <a:schemeClr val="dk1"/>
              </a:solidFill>
              <a:effectLst/>
              <a:latin typeface="+mn-lt"/>
              <a:ea typeface="+mn-ea"/>
              <a:cs typeface="+mn-cs"/>
            </a:rPr>
            <a:t>0x69,</a:t>
          </a:r>
          <a:r>
            <a:rPr lang="en-US" altLang="zh-TW"/>
            <a:t> </a:t>
          </a:r>
          <a:r>
            <a:rPr lang="en-US" altLang="zh-TW" sz="1100" b="0" i="0" u="none" strike="noStrike">
              <a:solidFill>
                <a:schemeClr val="dk1"/>
              </a:solidFill>
              <a:effectLst/>
              <a:latin typeface="+mn-lt"/>
              <a:ea typeface="+mn-ea"/>
              <a:cs typeface="+mn-cs"/>
            </a:rPr>
            <a:t>0x68,</a:t>
          </a:r>
          <a:r>
            <a:rPr lang="en-US" altLang="zh-TW"/>
            <a:t> </a:t>
          </a:r>
          <a:r>
            <a:rPr lang="en-US" altLang="zh-TW" sz="1100" b="0" i="0" u="none" strike="noStrike">
              <a:solidFill>
                <a:schemeClr val="dk1"/>
              </a:solidFill>
              <a:effectLst/>
              <a:latin typeface="+mn-lt"/>
              <a:ea typeface="+mn-ea"/>
              <a:cs typeface="+mn-cs"/>
            </a:rPr>
            <a:t>0x67,</a:t>
          </a:r>
          <a:r>
            <a:rPr lang="en-US" altLang="zh-TW"/>
            <a:t> </a:t>
          </a:r>
          <a:r>
            <a:rPr lang="en-US" altLang="zh-TW" sz="1100" b="0" i="0" u="none" strike="noStrike">
              <a:solidFill>
                <a:schemeClr val="dk1"/>
              </a:solidFill>
              <a:effectLst/>
              <a:latin typeface="+mn-lt"/>
              <a:ea typeface="+mn-ea"/>
              <a:cs typeface="+mn-cs"/>
            </a:rPr>
            <a:t>0x66,</a:t>
          </a:r>
          <a:r>
            <a:rPr lang="en-US" altLang="zh-TW"/>
            <a:t> </a:t>
          </a:r>
          <a:r>
            <a:rPr lang="en-US" altLang="zh-TW" sz="1100" b="0" i="0" u="none" strike="noStrike">
              <a:solidFill>
                <a:schemeClr val="dk1"/>
              </a:solidFill>
              <a:effectLst/>
              <a:latin typeface="+mn-lt"/>
              <a:ea typeface="+mn-ea"/>
              <a:cs typeface="+mn-cs"/>
            </a:rPr>
            <a:t>0x65,</a:t>
          </a:r>
          <a:r>
            <a:rPr lang="en-US" altLang="zh-TW"/>
            <a:t> </a:t>
          </a:r>
          <a:r>
            <a:rPr lang="en-US" altLang="zh-TW" sz="1100" b="0" i="0" u="none" strike="noStrike">
              <a:solidFill>
                <a:schemeClr val="dk1"/>
              </a:solidFill>
              <a:effectLst/>
              <a:latin typeface="+mn-lt"/>
              <a:ea typeface="+mn-ea"/>
              <a:cs typeface="+mn-cs"/>
            </a:rPr>
            <a:t>0x64,</a:t>
          </a:r>
          <a:r>
            <a:rPr lang="en-US" altLang="zh-TW"/>
            <a:t> </a:t>
          </a:r>
          <a:r>
            <a:rPr lang="en-US" altLang="zh-TW" sz="1100" b="0" i="0" u="none" strike="noStrike">
              <a:solidFill>
                <a:schemeClr val="dk1"/>
              </a:solidFill>
              <a:effectLst/>
              <a:latin typeface="+mn-lt"/>
              <a:ea typeface="+mn-ea"/>
              <a:cs typeface="+mn-cs"/>
            </a:rPr>
            <a:t>0x63,</a:t>
          </a:r>
          <a:r>
            <a:rPr lang="en-US" altLang="zh-TW"/>
            <a:t> </a:t>
          </a:r>
          <a:r>
            <a:rPr lang="en-US" altLang="zh-TW" sz="1100" b="0" i="0" u="none" strike="noStrike">
              <a:solidFill>
                <a:schemeClr val="dk1"/>
              </a:solidFill>
              <a:effectLst/>
              <a:latin typeface="+mn-lt"/>
              <a:ea typeface="+mn-ea"/>
              <a:cs typeface="+mn-cs"/>
            </a:rPr>
            <a:t>0x62,</a:t>
          </a:r>
          <a:r>
            <a:rPr lang="en-US" altLang="zh-TW"/>
            <a:t> </a:t>
          </a:r>
          <a:r>
            <a:rPr lang="en-US" altLang="zh-TW" sz="1100" b="0" i="0" u="none" strike="noStrike">
              <a:solidFill>
                <a:schemeClr val="dk1"/>
              </a:solidFill>
              <a:effectLst/>
              <a:latin typeface="+mn-lt"/>
              <a:ea typeface="+mn-ea"/>
              <a:cs typeface="+mn-cs"/>
            </a:rPr>
            <a:t>0x61,</a:t>
          </a:r>
          <a:r>
            <a:rPr lang="en-US" altLang="zh-TW"/>
            <a:t> </a:t>
          </a:r>
          <a:r>
            <a:rPr lang="en-US" altLang="zh-TW" sz="1100" b="0" i="0" u="none" strike="noStrike">
              <a:solidFill>
                <a:schemeClr val="dk1"/>
              </a:solidFill>
              <a:effectLst/>
              <a:latin typeface="+mn-lt"/>
              <a:ea typeface="+mn-ea"/>
              <a:cs typeface="+mn-cs"/>
            </a:rPr>
            <a:t>0x60,</a:t>
          </a:r>
          <a:r>
            <a:rPr lang="en-US" altLang="zh-TW"/>
            <a:t> </a:t>
          </a:r>
          <a:r>
            <a:rPr lang="en-US" altLang="zh-TW" sz="1100" b="0" i="0" u="none" strike="noStrike">
              <a:solidFill>
                <a:schemeClr val="dk1"/>
              </a:solidFill>
              <a:effectLst/>
              <a:latin typeface="+mn-lt"/>
              <a:ea typeface="+mn-ea"/>
              <a:cs typeface="+mn-cs"/>
            </a:rPr>
            <a:t>0x5F,</a:t>
          </a:r>
          <a:r>
            <a:rPr lang="en-US" altLang="zh-TW"/>
            <a:t> </a:t>
          </a:r>
          <a:r>
            <a:rPr lang="en-US" altLang="zh-TW" sz="1100" b="0" i="0" u="none" strike="noStrike">
              <a:solidFill>
                <a:schemeClr val="dk1"/>
              </a:solidFill>
              <a:effectLst/>
              <a:latin typeface="+mn-lt"/>
              <a:ea typeface="+mn-ea"/>
              <a:cs typeface="+mn-cs"/>
            </a:rPr>
            <a:t>0x5E,</a:t>
          </a:r>
          <a:r>
            <a:rPr lang="en-US" altLang="zh-TW"/>
            <a:t> </a:t>
          </a:r>
          <a:r>
            <a:rPr lang="en-US" altLang="zh-TW" sz="1100" b="0" i="0" u="none" strike="noStrike">
              <a:solidFill>
                <a:schemeClr val="dk1"/>
              </a:solidFill>
              <a:effectLst/>
              <a:latin typeface="+mn-lt"/>
              <a:ea typeface="+mn-ea"/>
              <a:cs typeface="+mn-cs"/>
            </a:rPr>
            <a:t>0x5D,</a:t>
          </a:r>
          <a:r>
            <a:rPr lang="en-US" altLang="zh-TW"/>
            <a:t> </a:t>
          </a:r>
          <a:r>
            <a:rPr lang="en-US" altLang="zh-TW" sz="1100" b="0" i="0" u="none" strike="noStrike">
              <a:solidFill>
                <a:schemeClr val="dk1"/>
              </a:solidFill>
              <a:effectLst/>
              <a:latin typeface="+mn-lt"/>
              <a:ea typeface="+mn-ea"/>
              <a:cs typeface="+mn-cs"/>
            </a:rPr>
            <a:t>0x5C,</a:t>
          </a:r>
          <a:r>
            <a:rPr lang="en-US" altLang="zh-TW"/>
            <a:t> </a:t>
          </a:r>
          <a:r>
            <a:rPr lang="en-US" altLang="zh-TW" sz="1100" b="0" i="0" u="none" strike="noStrike">
              <a:solidFill>
                <a:schemeClr val="dk1"/>
              </a:solidFill>
              <a:effectLst/>
              <a:latin typeface="+mn-lt"/>
              <a:ea typeface="+mn-ea"/>
              <a:cs typeface="+mn-cs"/>
            </a:rPr>
            <a:t>0x5B,</a:t>
          </a:r>
          <a:r>
            <a:rPr lang="en-US" altLang="zh-TW"/>
            <a:t> </a:t>
          </a:r>
          <a:r>
            <a:rPr lang="en-US" altLang="zh-TW" sz="1100" b="0" i="0" u="none" strike="noStrike">
              <a:solidFill>
                <a:schemeClr val="dk1"/>
              </a:solidFill>
              <a:effectLst/>
              <a:latin typeface="+mn-lt"/>
              <a:ea typeface="+mn-ea"/>
              <a:cs typeface="+mn-cs"/>
            </a:rPr>
            <a:t>0x5A,</a:t>
          </a:r>
          <a:r>
            <a:rPr lang="en-US" altLang="zh-TW"/>
            <a:t> </a:t>
          </a:r>
          <a:r>
            <a:rPr lang="en-US" altLang="zh-TW" sz="1100" b="0" i="0" u="none" strike="noStrike">
              <a:solidFill>
                <a:schemeClr val="dk1"/>
              </a:solidFill>
              <a:effectLst/>
              <a:latin typeface="+mn-lt"/>
              <a:ea typeface="+mn-ea"/>
              <a:cs typeface="+mn-cs"/>
            </a:rPr>
            <a:t>0x59,</a:t>
          </a:r>
          <a:r>
            <a:rPr lang="en-US" altLang="zh-TW"/>
            <a:t> </a:t>
          </a:r>
          <a:r>
            <a:rPr lang="en-US" altLang="zh-TW" sz="1100" b="0" i="0" u="none" strike="noStrike">
              <a:solidFill>
                <a:schemeClr val="dk1"/>
              </a:solidFill>
              <a:effectLst/>
              <a:latin typeface="+mn-lt"/>
              <a:ea typeface="+mn-ea"/>
              <a:cs typeface="+mn-cs"/>
            </a:rPr>
            <a:t>0x58,</a:t>
          </a:r>
          <a:r>
            <a:rPr lang="en-US" altLang="zh-TW"/>
            <a:t> </a:t>
          </a:r>
          <a:r>
            <a:rPr lang="en-US" altLang="zh-TW" sz="1100" b="0" i="0" u="none" strike="noStrike">
              <a:solidFill>
                <a:schemeClr val="dk1"/>
              </a:solidFill>
              <a:effectLst/>
              <a:latin typeface="+mn-lt"/>
              <a:ea typeface="+mn-ea"/>
              <a:cs typeface="+mn-cs"/>
            </a:rPr>
            <a:t>0x57,</a:t>
          </a:r>
          <a:r>
            <a:rPr lang="en-US" altLang="zh-TW"/>
            <a:t> </a:t>
          </a:r>
          <a:r>
            <a:rPr lang="en-US" altLang="zh-TW" sz="1100" b="0" i="0" u="none" strike="noStrike">
              <a:solidFill>
                <a:schemeClr val="dk1"/>
              </a:solidFill>
              <a:effectLst/>
              <a:latin typeface="+mn-lt"/>
              <a:ea typeface="+mn-ea"/>
              <a:cs typeface="+mn-cs"/>
            </a:rPr>
            <a:t>0x56,</a:t>
          </a:r>
          <a:r>
            <a:rPr lang="en-US" altLang="zh-TW"/>
            <a:t> </a:t>
          </a:r>
          <a:r>
            <a:rPr lang="en-US" altLang="zh-TW" sz="1100" b="0" i="0" u="none" strike="noStrike">
              <a:solidFill>
                <a:schemeClr val="dk1"/>
              </a:solidFill>
              <a:effectLst/>
              <a:latin typeface="+mn-lt"/>
              <a:ea typeface="+mn-ea"/>
              <a:cs typeface="+mn-cs"/>
            </a:rPr>
            <a:t>0x55,</a:t>
          </a:r>
          <a:r>
            <a:rPr lang="en-US" altLang="zh-TW"/>
            <a:t> </a:t>
          </a:r>
          <a:r>
            <a:rPr lang="en-US" altLang="zh-TW" sz="1100" b="0" i="0" u="none" strike="noStrike">
              <a:solidFill>
                <a:schemeClr val="dk1"/>
              </a:solidFill>
              <a:effectLst/>
              <a:latin typeface="+mn-lt"/>
              <a:ea typeface="+mn-ea"/>
              <a:cs typeface="+mn-cs"/>
            </a:rPr>
            <a:t>0x54,</a:t>
          </a:r>
          <a:r>
            <a:rPr lang="en-US" altLang="zh-TW"/>
            <a:t> </a:t>
          </a:r>
          <a:r>
            <a:rPr lang="en-US" altLang="zh-TW" sz="1100" b="0" i="0" u="none" strike="noStrike">
              <a:solidFill>
                <a:schemeClr val="dk1"/>
              </a:solidFill>
              <a:effectLst/>
              <a:latin typeface="+mn-lt"/>
              <a:ea typeface="+mn-ea"/>
              <a:cs typeface="+mn-cs"/>
            </a:rPr>
            <a:t>0x53,</a:t>
          </a:r>
          <a:r>
            <a:rPr lang="en-US" altLang="zh-TW"/>
            <a:t> </a:t>
          </a:r>
          <a:r>
            <a:rPr lang="en-US" altLang="zh-TW" sz="1100" b="0" i="0" u="none" strike="noStrike">
              <a:solidFill>
                <a:schemeClr val="dk1"/>
              </a:solidFill>
              <a:effectLst/>
              <a:latin typeface="+mn-lt"/>
              <a:ea typeface="+mn-ea"/>
              <a:cs typeface="+mn-cs"/>
            </a:rPr>
            <a:t>0x52,</a:t>
          </a:r>
          <a:r>
            <a:rPr lang="en-US" altLang="zh-TW"/>
            <a:t> </a:t>
          </a:r>
          <a:r>
            <a:rPr lang="en-US" altLang="zh-TW" sz="1100" b="0" i="0" u="none" strike="noStrike">
              <a:solidFill>
                <a:schemeClr val="dk1"/>
              </a:solidFill>
              <a:effectLst/>
              <a:latin typeface="+mn-lt"/>
              <a:ea typeface="+mn-ea"/>
              <a:cs typeface="+mn-cs"/>
            </a:rPr>
            <a:t>0x51,</a:t>
          </a:r>
          <a:r>
            <a:rPr lang="en-US" altLang="zh-TW"/>
            <a:t> </a:t>
          </a:r>
          <a:r>
            <a:rPr lang="en-US" altLang="zh-TW" sz="1100" b="0" i="0" u="none" strike="noStrike">
              <a:solidFill>
                <a:schemeClr val="dk1"/>
              </a:solidFill>
              <a:effectLst/>
              <a:latin typeface="+mn-lt"/>
              <a:ea typeface="+mn-ea"/>
              <a:cs typeface="+mn-cs"/>
            </a:rPr>
            <a:t>0x50,</a:t>
          </a:r>
          <a:r>
            <a:rPr lang="en-US" altLang="zh-TW"/>
            <a:t> </a:t>
          </a:r>
          <a:r>
            <a:rPr lang="en-US" altLang="zh-TW" sz="1100" b="0" i="0" u="none" strike="noStrike">
              <a:solidFill>
                <a:schemeClr val="dk1"/>
              </a:solidFill>
              <a:effectLst/>
              <a:latin typeface="+mn-lt"/>
              <a:ea typeface="+mn-ea"/>
              <a:cs typeface="+mn-cs"/>
            </a:rPr>
            <a:t>0x4F,</a:t>
          </a:r>
          <a:r>
            <a:rPr lang="en-US" altLang="zh-TW"/>
            <a:t> </a:t>
          </a:r>
          <a:r>
            <a:rPr lang="en-US" altLang="zh-TW" sz="1100" b="0" i="0" u="none" strike="noStrike">
              <a:solidFill>
                <a:schemeClr val="dk1"/>
              </a:solidFill>
              <a:effectLst/>
              <a:latin typeface="+mn-lt"/>
              <a:ea typeface="+mn-ea"/>
              <a:cs typeface="+mn-cs"/>
            </a:rPr>
            <a:t>0x4E,</a:t>
          </a:r>
          <a:r>
            <a:rPr lang="en-US" altLang="zh-TW"/>
            <a:t> </a:t>
          </a:r>
          <a:r>
            <a:rPr lang="en-US" altLang="zh-TW" sz="1100" b="0" i="0" u="none" strike="noStrike">
              <a:solidFill>
                <a:schemeClr val="dk1"/>
              </a:solidFill>
              <a:effectLst/>
              <a:latin typeface="+mn-lt"/>
              <a:ea typeface="+mn-ea"/>
              <a:cs typeface="+mn-cs"/>
            </a:rPr>
            <a:t>0x4D,</a:t>
          </a:r>
          <a:r>
            <a:rPr lang="en-US" altLang="zh-TW"/>
            <a:t> </a:t>
          </a:r>
          <a:r>
            <a:rPr lang="en-US" altLang="zh-TW" sz="1100" b="0" i="0" u="none" strike="noStrike">
              <a:solidFill>
                <a:schemeClr val="dk1"/>
              </a:solidFill>
              <a:effectLst/>
              <a:latin typeface="+mn-lt"/>
              <a:ea typeface="+mn-ea"/>
              <a:cs typeface="+mn-cs"/>
            </a:rPr>
            <a:t>0x4C,</a:t>
          </a:r>
          <a:r>
            <a:rPr lang="en-US" altLang="zh-TW"/>
            <a:t> </a:t>
          </a:r>
          <a:r>
            <a:rPr lang="en-US" altLang="zh-TW" sz="1100" b="0" i="0" u="none" strike="noStrike">
              <a:solidFill>
                <a:schemeClr val="dk1"/>
              </a:solidFill>
              <a:effectLst/>
              <a:latin typeface="+mn-lt"/>
              <a:ea typeface="+mn-ea"/>
              <a:cs typeface="+mn-cs"/>
            </a:rPr>
            <a:t>0x4B,</a:t>
          </a:r>
          <a:r>
            <a:rPr lang="en-US" altLang="zh-TW"/>
            <a:t> </a:t>
          </a:r>
          <a:r>
            <a:rPr lang="en-US" altLang="zh-TW" sz="1100" b="0" i="0" u="none" strike="noStrike">
              <a:solidFill>
                <a:schemeClr val="dk1"/>
              </a:solidFill>
              <a:effectLst/>
              <a:latin typeface="+mn-lt"/>
              <a:ea typeface="+mn-ea"/>
              <a:cs typeface="+mn-cs"/>
            </a:rPr>
            <a:t>0x4A,</a:t>
          </a:r>
          <a:r>
            <a:rPr lang="en-US" altLang="zh-TW"/>
            <a:t> </a:t>
          </a:r>
          <a:r>
            <a:rPr lang="en-US" altLang="zh-TW" sz="1100" b="0" i="0" u="none" strike="noStrike">
              <a:solidFill>
                <a:schemeClr val="dk1"/>
              </a:solidFill>
              <a:effectLst/>
              <a:latin typeface="+mn-lt"/>
              <a:ea typeface="+mn-ea"/>
              <a:cs typeface="+mn-cs"/>
            </a:rPr>
            <a:t>0x49,</a:t>
          </a:r>
          <a:r>
            <a:rPr lang="en-US" altLang="zh-TW"/>
            <a:t> </a:t>
          </a:r>
          <a:r>
            <a:rPr lang="en-US" altLang="zh-TW" sz="1100" b="0" i="0" u="none" strike="noStrike">
              <a:solidFill>
                <a:schemeClr val="dk1"/>
              </a:solidFill>
              <a:effectLst/>
              <a:latin typeface="+mn-lt"/>
              <a:ea typeface="+mn-ea"/>
              <a:cs typeface="+mn-cs"/>
            </a:rPr>
            <a:t>0x48,</a:t>
          </a:r>
          <a:r>
            <a:rPr lang="en-US" altLang="zh-TW"/>
            <a:t> </a:t>
          </a:r>
          <a:r>
            <a:rPr lang="en-US" altLang="zh-TW" sz="1100" b="0" i="0" u="none" strike="noStrike">
              <a:solidFill>
                <a:schemeClr val="dk1"/>
              </a:solidFill>
              <a:effectLst/>
              <a:latin typeface="+mn-lt"/>
              <a:ea typeface="+mn-ea"/>
              <a:cs typeface="+mn-cs"/>
            </a:rPr>
            <a:t>0x47,</a:t>
          </a:r>
          <a:r>
            <a:rPr lang="en-US" altLang="zh-TW"/>
            <a:t> </a:t>
          </a:r>
          <a:r>
            <a:rPr lang="en-US" altLang="zh-TW" sz="1100" b="0" i="0" u="none" strike="noStrike">
              <a:solidFill>
                <a:schemeClr val="dk1"/>
              </a:solidFill>
              <a:effectLst/>
              <a:latin typeface="+mn-lt"/>
              <a:ea typeface="+mn-ea"/>
              <a:cs typeface="+mn-cs"/>
            </a:rPr>
            <a:t>0x46,</a:t>
          </a:r>
          <a:r>
            <a:rPr lang="en-US" altLang="zh-TW"/>
            <a:t> </a:t>
          </a:r>
          <a:r>
            <a:rPr lang="en-US" altLang="zh-TW" sz="1100" b="0" i="0" u="none" strike="noStrike">
              <a:solidFill>
                <a:schemeClr val="dk1"/>
              </a:solidFill>
              <a:effectLst/>
              <a:latin typeface="+mn-lt"/>
              <a:ea typeface="+mn-ea"/>
              <a:cs typeface="+mn-cs"/>
            </a:rPr>
            <a:t>0x45,</a:t>
          </a:r>
          <a:r>
            <a:rPr lang="en-US" altLang="zh-TW"/>
            <a:t> </a:t>
          </a:r>
          <a:r>
            <a:rPr lang="en-US" altLang="zh-TW" sz="1100" b="0" i="0" u="none" strike="noStrike">
              <a:solidFill>
                <a:schemeClr val="dk1"/>
              </a:solidFill>
              <a:effectLst/>
              <a:latin typeface="+mn-lt"/>
              <a:ea typeface="+mn-ea"/>
              <a:cs typeface="+mn-cs"/>
            </a:rPr>
            <a:t>0x44,</a:t>
          </a:r>
          <a:r>
            <a:rPr lang="en-US" altLang="zh-TW"/>
            <a:t> </a:t>
          </a:r>
          <a:r>
            <a:rPr lang="en-US" altLang="zh-TW" sz="1100" b="0" i="0" u="none" strike="noStrike">
              <a:solidFill>
                <a:schemeClr val="dk1"/>
              </a:solidFill>
              <a:effectLst/>
              <a:latin typeface="+mn-lt"/>
              <a:ea typeface="+mn-ea"/>
              <a:cs typeface="+mn-cs"/>
            </a:rPr>
            <a:t>0x43,</a:t>
          </a:r>
          <a:r>
            <a:rPr lang="en-US" altLang="zh-TW"/>
            <a:t> </a:t>
          </a:r>
          <a:r>
            <a:rPr lang="en-US" altLang="zh-TW" sz="1100" b="0" i="0" u="none" strike="noStrike">
              <a:solidFill>
                <a:schemeClr val="dk1"/>
              </a:solidFill>
              <a:effectLst/>
              <a:latin typeface="+mn-lt"/>
              <a:ea typeface="+mn-ea"/>
              <a:cs typeface="+mn-cs"/>
            </a:rPr>
            <a:t>0x42,</a:t>
          </a:r>
          <a:r>
            <a:rPr lang="en-US" altLang="zh-TW"/>
            <a:t> </a:t>
          </a:r>
          <a:r>
            <a:rPr lang="en-US" altLang="zh-TW" sz="1100" b="0" i="0" u="none" strike="noStrike">
              <a:solidFill>
                <a:schemeClr val="dk1"/>
              </a:solidFill>
              <a:effectLst/>
              <a:latin typeface="+mn-lt"/>
              <a:ea typeface="+mn-ea"/>
              <a:cs typeface="+mn-cs"/>
            </a:rPr>
            <a:t>0x41,</a:t>
          </a:r>
          <a:r>
            <a:rPr lang="en-US" altLang="zh-TW"/>
            <a:t> </a:t>
          </a:r>
          <a:r>
            <a:rPr lang="en-US" altLang="zh-TW" sz="1100" b="0" i="0" u="none" strike="noStrike">
              <a:solidFill>
                <a:schemeClr val="dk1"/>
              </a:solidFill>
              <a:effectLst/>
              <a:latin typeface="+mn-lt"/>
              <a:ea typeface="+mn-ea"/>
              <a:cs typeface="+mn-cs"/>
            </a:rPr>
            <a:t>0x40,</a:t>
          </a:r>
          <a:r>
            <a:rPr lang="en-US" altLang="zh-TW"/>
            <a:t> </a:t>
          </a:r>
          <a:r>
            <a:rPr lang="en-US" altLang="zh-TW" sz="1100" b="0" i="0" u="none" strike="noStrike">
              <a:solidFill>
                <a:schemeClr val="dk1"/>
              </a:solidFill>
              <a:effectLst/>
              <a:latin typeface="+mn-lt"/>
              <a:ea typeface="+mn-ea"/>
              <a:cs typeface="+mn-cs"/>
            </a:rPr>
            <a:t>0x3F,</a:t>
          </a:r>
          <a:r>
            <a:rPr lang="en-US" altLang="zh-TW"/>
            <a:t> </a:t>
          </a:r>
          <a:r>
            <a:rPr lang="en-US" altLang="zh-TW" sz="1100" b="0" i="0" u="none" strike="noStrike">
              <a:solidFill>
                <a:schemeClr val="dk1"/>
              </a:solidFill>
              <a:effectLst/>
              <a:latin typeface="+mn-lt"/>
              <a:ea typeface="+mn-ea"/>
              <a:cs typeface="+mn-cs"/>
            </a:rPr>
            <a:t>0x3E,</a:t>
          </a:r>
          <a:r>
            <a:rPr lang="en-US" altLang="zh-TW"/>
            <a:t> </a:t>
          </a:r>
          <a:r>
            <a:rPr lang="en-US" altLang="zh-TW" sz="1100" b="0" i="0" u="none" strike="noStrike">
              <a:solidFill>
                <a:schemeClr val="dk1"/>
              </a:solidFill>
              <a:effectLst/>
              <a:latin typeface="+mn-lt"/>
              <a:ea typeface="+mn-ea"/>
              <a:cs typeface="+mn-cs"/>
            </a:rPr>
            <a:t>0x3D,</a:t>
          </a:r>
          <a:r>
            <a:rPr lang="en-US" altLang="zh-TW"/>
            <a:t> </a:t>
          </a:r>
          <a:r>
            <a:rPr lang="en-US" altLang="zh-TW" sz="1100" b="0" i="0" u="none" strike="noStrike">
              <a:solidFill>
                <a:schemeClr val="dk1"/>
              </a:solidFill>
              <a:effectLst/>
              <a:latin typeface="+mn-lt"/>
              <a:ea typeface="+mn-ea"/>
              <a:cs typeface="+mn-cs"/>
            </a:rPr>
            <a:t>0x3C,</a:t>
          </a:r>
          <a:r>
            <a:rPr lang="en-US" altLang="zh-TW"/>
            <a:t> </a:t>
          </a:r>
          <a:r>
            <a:rPr lang="en-US" altLang="zh-TW" sz="1100" b="0" i="0" u="none" strike="noStrike">
              <a:solidFill>
                <a:schemeClr val="dk1"/>
              </a:solidFill>
              <a:effectLst/>
              <a:latin typeface="+mn-lt"/>
              <a:ea typeface="+mn-ea"/>
              <a:cs typeface="+mn-cs"/>
            </a:rPr>
            <a:t>0x3B,</a:t>
          </a:r>
          <a:r>
            <a:rPr lang="en-US" altLang="zh-TW"/>
            <a:t> </a:t>
          </a:r>
          <a:r>
            <a:rPr lang="en-US" altLang="zh-TW" sz="1100" b="0" i="0" u="none" strike="noStrike">
              <a:solidFill>
                <a:schemeClr val="dk1"/>
              </a:solidFill>
              <a:effectLst/>
              <a:latin typeface="+mn-lt"/>
              <a:ea typeface="+mn-ea"/>
              <a:cs typeface="+mn-cs"/>
            </a:rPr>
            <a:t>0x3A,</a:t>
          </a:r>
          <a:r>
            <a:rPr lang="en-US" altLang="zh-TW"/>
            <a:t> </a:t>
          </a:r>
          <a:r>
            <a:rPr lang="en-US" altLang="zh-TW" sz="1100" b="0" i="0" u="none" strike="noStrike">
              <a:solidFill>
                <a:schemeClr val="dk1"/>
              </a:solidFill>
              <a:effectLst/>
              <a:latin typeface="+mn-lt"/>
              <a:ea typeface="+mn-ea"/>
              <a:cs typeface="+mn-cs"/>
            </a:rPr>
            <a:t>0x39,</a:t>
          </a:r>
          <a:r>
            <a:rPr lang="en-US" altLang="zh-TW"/>
            <a:t> </a:t>
          </a:r>
          <a:r>
            <a:rPr lang="en-US" altLang="zh-TW" sz="1100" b="0" i="0" u="none" strike="noStrike">
              <a:solidFill>
                <a:schemeClr val="dk1"/>
              </a:solidFill>
              <a:effectLst/>
              <a:latin typeface="+mn-lt"/>
              <a:ea typeface="+mn-ea"/>
              <a:cs typeface="+mn-cs"/>
            </a:rPr>
            <a:t>0x38,</a:t>
          </a:r>
          <a:r>
            <a:rPr lang="en-US" altLang="zh-TW"/>
            <a:t> </a:t>
          </a:r>
          <a:r>
            <a:rPr lang="en-US" altLang="zh-TW" sz="1100" b="0" i="0" u="none" strike="noStrike">
              <a:solidFill>
                <a:schemeClr val="dk1"/>
              </a:solidFill>
              <a:effectLst/>
              <a:latin typeface="+mn-lt"/>
              <a:ea typeface="+mn-ea"/>
              <a:cs typeface="+mn-cs"/>
            </a:rPr>
            <a:t>0x37,</a:t>
          </a:r>
          <a:r>
            <a:rPr lang="en-US" altLang="zh-TW"/>
            <a:t> </a:t>
          </a:r>
          <a:r>
            <a:rPr lang="en-US" altLang="zh-TW" sz="1100" b="0" i="0" u="none" strike="noStrike">
              <a:solidFill>
                <a:schemeClr val="dk1"/>
              </a:solidFill>
              <a:effectLst/>
              <a:latin typeface="+mn-lt"/>
              <a:ea typeface="+mn-ea"/>
              <a:cs typeface="+mn-cs"/>
            </a:rPr>
            <a:t>0x36,</a:t>
          </a:r>
          <a:r>
            <a:rPr lang="en-US" altLang="zh-TW"/>
            <a:t> </a:t>
          </a:r>
          <a:r>
            <a:rPr lang="en-US" altLang="zh-TW" sz="1100" b="0" i="0" u="none" strike="noStrike">
              <a:solidFill>
                <a:schemeClr val="dk1"/>
              </a:solidFill>
              <a:effectLst/>
              <a:latin typeface="+mn-lt"/>
              <a:ea typeface="+mn-ea"/>
              <a:cs typeface="+mn-cs"/>
            </a:rPr>
            <a:t>0x35,</a:t>
          </a:r>
          <a:r>
            <a:rPr lang="en-US" altLang="zh-TW"/>
            <a:t> </a:t>
          </a:r>
          <a:r>
            <a:rPr lang="en-US" altLang="zh-TW" sz="1100" b="0" i="0" u="none" strike="noStrike">
              <a:solidFill>
                <a:schemeClr val="dk1"/>
              </a:solidFill>
              <a:effectLst/>
              <a:latin typeface="+mn-lt"/>
              <a:ea typeface="+mn-ea"/>
              <a:cs typeface="+mn-cs"/>
            </a:rPr>
            <a:t>0x34,</a:t>
          </a:r>
          <a:r>
            <a:rPr lang="en-US" altLang="zh-TW"/>
            <a:t> </a:t>
          </a:r>
          <a:r>
            <a:rPr lang="en-US" altLang="zh-TW" sz="1100" b="0" i="0" u="none" strike="noStrike">
              <a:solidFill>
                <a:schemeClr val="dk1"/>
              </a:solidFill>
              <a:effectLst/>
              <a:latin typeface="+mn-lt"/>
              <a:ea typeface="+mn-ea"/>
              <a:cs typeface="+mn-cs"/>
            </a:rPr>
            <a:t>0x33,</a:t>
          </a:r>
          <a:r>
            <a:rPr lang="en-US" altLang="zh-TW"/>
            <a:t> </a:t>
          </a:r>
          <a:r>
            <a:rPr lang="en-US" altLang="zh-TW" sz="1100" b="0" i="0" u="none" strike="noStrike">
              <a:solidFill>
                <a:schemeClr val="dk1"/>
              </a:solidFill>
              <a:effectLst/>
              <a:latin typeface="+mn-lt"/>
              <a:ea typeface="+mn-ea"/>
              <a:cs typeface="+mn-cs"/>
            </a:rPr>
            <a:t>0x32,</a:t>
          </a:r>
          <a:r>
            <a:rPr lang="en-US" altLang="zh-TW"/>
            <a:t> </a:t>
          </a:r>
          <a:r>
            <a:rPr lang="en-US" altLang="zh-TW" sz="1100" b="0" i="0" u="none" strike="noStrike">
              <a:solidFill>
                <a:schemeClr val="dk1"/>
              </a:solidFill>
              <a:effectLst/>
              <a:latin typeface="+mn-lt"/>
              <a:ea typeface="+mn-ea"/>
              <a:cs typeface="+mn-cs"/>
            </a:rPr>
            <a:t>0x31,</a:t>
          </a:r>
          <a:r>
            <a:rPr lang="en-US" altLang="zh-TW"/>
            <a:t> </a:t>
          </a:r>
          <a:r>
            <a:rPr lang="en-US" altLang="zh-TW" sz="1100" b="0" i="0" u="none" strike="noStrike">
              <a:solidFill>
                <a:schemeClr val="dk1"/>
              </a:solidFill>
              <a:effectLst/>
              <a:latin typeface="+mn-lt"/>
              <a:ea typeface="+mn-ea"/>
              <a:cs typeface="+mn-cs"/>
            </a:rPr>
            <a:t>0x30,</a:t>
          </a:r>
          <a:r>
            <a:rPr lang="en-US" altLang="zh-TW"/>
            <a:t> </a:t>
          </a:r>
          <a:r>
            <a:rPr lang="en-US" altLang="zh-TW" sz="1100" b="0" i="0" u="none" strike="noStrike">
              <a:solidFill>
                <a:schemeClr val="dk1"/>
              </a:solidFill>
              <a:effectLst/>
              <a:latin typeface="+mn-lt"/>
              <a:ea typeface="+mn-ea"/>
              <a:cs typeface="+mn-cs"/>
            </a:rPr>
            <a:t>0x2F,</a:t>
          </a:r>
          <a:r>
            <a:rPr lang="en-US" altLang="zh-TW"/>
            <a:t> </a:t>
          </a:r>
          <a:r>
            <a:rPr lang="en-US" altLang="zh-TW" sz="1100" b="0" i="0" u="none" strike="noStrike">
              <a:solidFill>
                <a:schemeClr val="dk1"/>
              </a:solidFill>
              <a:effectLst/>
              <a:latin typeface="+mn-lt"/>
              <a:ea typeface="+mn-ea"/>
              <a:cs typeface="+mn-cs"/>
            </a:rPr>
            <a:t>0x2E,</a:t>
          </a:r>
          <a:r>
            <a:rPr lang="en-US" altLang="zh-TW"/>
            <a:t> </a:t>
          </a:r>
          <a:r>
            <a:rPr lang="en-US" altLang="zh-TW" sz="1100" b="0" i="0" u="none" strike="noStrike">
              <a:solidFill>
                <a:schemeClr val="dk1"/>
              </a:solidFill>
              <a:effectLst/>
              <a:latin typeface="+mn-lt"/>
              <a:ea typeface="+mn-ea"/>
              <a:cs typeface="+mn-cs"/>
            </a:rPr>
            <a:t>0x2D,</a:t>
          </a:r>
          <a:r>
            <a:rPr lang="en-US" altLang="zh-TW"/>
            <a:t> </a:t>
          </a:r>
          <a:r>
            <a:rPr lang="en-US" altLang="zh-TW" sz="1100" b="0" i="0" u="none" strike="noStrike">
              <a:solidFill>
                <a:schemeClr val="dk1"/>
              </a:solidFill>
              <a:effectLst/>
              <a:latin typeface="+mn-lt"/>
              <a:ea typeface="+mn-ea"/>
              <a:cs typeface="+mn-cs"/>
            </a:rPr>
            <a:t>0x2C,</a:t>
          </a:r>
          <a:r>
            <a:rPr lang="en-US" altLang="zh-TW"/>
            <a:t> </a:t>
          </a:r>
          <a:r>
            <a:rPr lang="en-US" altLang="zh-TW" sz="1100" b="0" i="0" u="none" strike="noStrike">
              <a:solidFill>
                <a:schemeClr val="dk1"/>
              </a:solidFill>
              <a:effectLst/>
              <a:latin typeface="+mn-lt"/>
              <a:ea typeface="+mn-ea"/>
              <a:cs typeface="+mn-cs"/>
            </a:rPr>
            <a:t>0x2B,</a:t>
          </a:r>
          <a:r>
            <a:rPr lang="en-US" altLang="zh-TW"/>
            <a:t> </a:t>
          </a:r>
          <a:r>
            <a:rPr lang="en-US" altLang="zh-TW" sz="1100" b="0" i="0" u="none" strike="noStrike">
              <a:solidFill>
                <a:schemeClr val="dk1"/>
              </a:solidFill>
              <a:effectLst/>
              <a:latin typeface="+mn-lt"/>
              <a:ea typeface="+mn-ea"/>
              <a:cs typeface="+mn-cs"/>
            </a:rPr>
            <a:t>0x2A,</a:t>
          </a:r>
          <a:r>
            <a:rPr lang="en-US" altLang="zh-TW"/>
            <a:t> </a:t>
          </a:r>
          <a:r>
            <a:rPr lang="en-US" altLang="zh-TW" sz="1100" b="0" i="0" u="none" strike="noStrike">
              <a:solidFill>
                <a:schemeClr val="dk1"/>
              </a:solidFill>
              <a:effectLst/>
              <a:latin typeface="+mn-lt"/>
              <a:ea typeface="+mn-ea"/>
              <a:cs typeface="+mn-cs"/>
            </a:rPr>
            <a:t>0x29,</a:t>
          </a:r>
          <a:r>
            <a:rPr lang="en-US" altLang="zh-TW"/>
            <a:t> </a:t>
          </a:r>
          <a:r>
            <a:rPr lang="en-US" altLang="zh-TW" sz="1100" b="0" i="0" u="none" strike="noStrike">
              <a:solidFill>
                <a:schemeClr val="dk1"/>
              </a:solidFill>
              <a:effectLst/>
              <a:latin typeface="+mn-lt"/>
              <a:ea typeface="+mn-ea"/>
              <a:cs typeface="+mn-cs"/>
            </a:rPr>
            <a:t>0x28,</a:t>
          </a:r>
          <a:r>
            <a:rPr lang="en-US" altLang="zh-TW"/>
            <a:t> </a:t>
          </a:r>
          <a:r>
            <a:rPr lang="en-US" altLang="zh-TW" sz="1100" b="0" i="0" u="none" strike="noStrike">
              <a:solidFill>
                <a:schemeClr val="dk1"/>
              </a:solidFill>
              <a:effectLst/>
              <a:latin typeface="+mn-lt"/>
              <a:ea typeface="+mn-ea"/>
              <a:cs typeface="+mn-cs"/>
            </a:rPr>
            <a:t>0x27,</a:t>
          </a:r>
          <a:r>
            <a:rPr lang="en-US" altLang="zh-TW"/>
            <a:t> </a:t>
          </a:r>
          <a:r>
            <a:rPr lang="en-US" altLang="zh-TW" sz="1100" b="0" i="0" u="none" strike="noStrike">
              <a:solidFill>
                <a:schemeClr val="dk1"/>
              </a:solidFill>
              <a:effectLst/>
              <a:latin typeface="+mn-lt"/>
              <a:ea typeface="+mn-ea"/>
              <a:cs typeface="+mn-cs"/>
            </a:rPr>
            <a:t>0x26,</a:t>
          </a:r>
          <a:r>
            <a:rPr lang="en-US" altLang="zh-TW"/>
            <a:t> </a:t>
          </a:r>
          <a:r>
            <a:rPr lang="en-US" altLang="zh-TW" sz="1100" b="0" i="0" u="none" strike="noStrike">
              <a:solidFill>
                <a:schemeClr val="dk1"/>
              </a:solidFill>
              <a:effectLst/>
              <a:latin typeface="+mn-lt"/>
              <a:ea typeface="+mn-ea"/>
              <a:cs typeface="+mn-cs"/>
            </a:rPr>
            <a:t>0x25,</a:t>
          </a:r>
          <a:r>
            <a:rPr lang="en-US" altLang="zh-TW"/>
            <a:t> </a:t>
          </a:r>
          <a:r>
            <a:rPr lang="en-US" altLang="zh-TW" sz="1100" b="0" i="0" u="none" strike="noStrike">
              <a:solidFill>
                <a:schemeClr val="dk1"/>
              </a:solidFill>
              <a:effectLst/>
              <a:latin typeface="+mn-lt"/>
              <a:ea typeface="+mn-ea"/>
              <a:cs typeface="+mn-cs"/>
            </a:rPr>
            <a:t>0x24,</a:t>
          </a:r>
          <a:r>
            <a:rPr lang="en-US" altLang="zh-TW"/>
            <a:t> </a:t>
          </a:r>
          <a:r>
            <a:rPr lang="en-US" altLang="zh-TW" sz="1100" b="0" i="0" u="none" strike="noStrike">
              <a:solidFill>
                <a:schemeClr val="dk1"/>
              </a:solidFill>
              <a:effectLst/>
              <a:latin typeface="+mn-lt"/>
              <a:ea typeface="+mn-ea"/>
              <a:cs typeface="+mn-cs"/>
            </a:rPr>
            <a:t>0x23,</a:t>
          </a:r>
          <a:r>
            <a:rPr lang="en-US" altLang="zh-TW"/>
            <a:t> </a:t>
          </a:r>
          <a:r>
            <a:rPr lang="en-US" altLang="zh-TW" sz="1100" b="0" i="0" u="none" strike="noStrike">
              <a:solidFill>
                <a:schemeClr val="dk1"/>
              </a:solidFill>
              <a:effectLst/>
              <a:latin typeface="+mn-lt"/>
              <a:ea typeface="+mn-ea"/>
              <a:cs typeface="+mn-cs"/>
            </a:rPr>
            <a:t>0x22,</a:t>
          </a:r>
          <a:r>
            <a:rPr lang="en-US" altLang="zh-TW"/>
            <a:t> </a:t>
          </a:r>
          <a:r>
            <a:rPr lang="en-US" altLang="zh-TW" sz="1100" b="0" i="0" u="none" strike="noStrike">
              <a:solidFill>
                <a:schemeClr val="dk1"/>
              </a:solidFill>
              <a:effectLst/>
              <a:latin typeface="+mn-lt"/>
              <a:ea typeface="+mn-ea"/>
              <a:cs typeface="+mn-cs"/>
            </a:rPr>
            <a:t>0x21,</a:t>
          </a:r>
          <a:r>
            <a:rPr lang="en-US" altLang="zh-TW"/>
            <a:t> </a:t>
          </a:r>
          <a:r>
            <a:rPr lang="en-US" altLang="zh-TW" sz="1100" b="0" i="0" u="none" strike="noStrike">
              <a:solidFill>
                <a:schemeClr val="dk1"/>
              </a:solidFill>
              <a:effectLst/>
              <a:latin typeface="+mn-lt"/>
              <a:ea typeface="+mn-ea"/>
              <a:cs typeface="+mn-cs"/>
            </a:rPr>
            <a:t>0x20,</a:t>
          </a:r>
          <a:r>
            <a:rPr lang="en-US" altLang="zh-TW"/>
            <a:t> </a:t>
          </a:r>
          <a:r>
            <a:rPr lang="en-US" altLang="zh-TW" sz="1100" b="0" i="0" u="none" strike="noStrike">
              <a:solidFill>
                <a:schemeClr val="dk1"/>
              </a:solidFill>
              <a:effectLst/>
              <a:latin typeface="+mn-lt"/>
              <a:ea typeface="+mn-ea"/>
              <a:cs typeface="+mn-cs"/>
            </a:rPr>
            <a:t>0x1F,</a:t>
          </a:r>
          <a:r>
            <a:rPr lang="en-US" altLang="zh-TW"/>
            <a:t> </a:t>
          </a:r>
          <a:r>
            <a:rPr lang="en-US" altLang="zh-TW" sz="1100" b="0" i="0" u="none" strike="noStrike">
              <a:solidFill>
                <a:schemeClr val="dk1"/>
              </a:solidFill>
              <a:effectLst/>
              <a:latin typeface="+mn-lt"/>
              <a:ea typeface="+mn-ea"/>
              <a:cs typeface="+mn-cs"/>
            </a:rPr>
            <a:t>0x1E,</a:t>
          </a:r>
          <a:r>
            <a:rPr lang="en-US" altLang="zh-TW"/>
            <a:t> </a:t>
          </a:r>
          <a:r>
            <a:rPr lang="en-US" altLang="zh-TW" sz="1100" b="0" i="0" u="none" strike="noStrike">
              <a:solidFill>
                <a:schemeClr val="dk1"/>
              </a:solidFill>
              <a:effectLst/>
              <a:latin typeface="+mn-lt"/>
              <a:ea typeface="+mn-ea"/>
              <a:cs typeface="+mn-cs"/>
            </a:rPr>
            <a:t>0x1D,</a:t>
          </a:r>
          <a:r>
            <a:rPr lang="en-US" altLang="zh-TW"/>
            <a:t> </a:t>
          </a:r>
          <a:r>
            <a:rPr lang="en-US" altLang="zh-TW" sz="1100" b="0" i="0" u="none" strike="noStrike">
              <a:solidFill>
                <a:schemeClr val="dk1"/>
              </a:solidFill>
              <a:effectLst/>
              <a:latin typeface="+mn-lt"/>
              <a:ea typeface="+mn-ea"/>
              <a:cs typeface="+mn-cs"/>
            </a:rPr>
            <a:t>0x1C,</a:t>
          </a:r>
          <a:r>
            <a:rPr lang="en-US" altLang="zh-TW"/>
            <a:t> </a:t>
          </a:r>
          <a:r>
            <a:rPr lang="en-US" altLang="zh-TW" sz="1100" b="0" i="0" u="none" strike="noStrike">
              <a:solidFill>
                <a:schemeClr val="dk1"/>
              </a:solidFill>
              <a:effectLst/>
              <a:latin typeface="+mn-lt"/>
              <a:ea typeface="+mn-ea"/>
              <a:cs typeface="+mn-cs"/>
            </a:rPr>
            <a:t>0x1B,</a:t>
          </a:r>
          <a:r>
            <a:rPr lang="en-US" altLang="zh-TW"/>
            <a:t> </a:t>
          </a:r>
          <a:r>
            <a:rPr lang="en-US" altLang="zh-TW" sz="1100" b="0" i="0" u="none" strike="noStrike">
              <a:solidFill>
                <a:schemeClr val="dk1"/>
              </a:solidFill>
              <a:effectLst/>
              <a:latin typeface="+mn-lt"/>
              <a:ea typeface="+mn-ea"/>
              <a:cs typeface="+mn-cs"/>
            </a:rPr>
            <a:t>0x1A,</a:t>
          </a:r>
          <a:r>
            <a:rPr lang="en-US" altLang="zh-TW"/>
            <a:t> </a:t>
          </a:r>
          <a:r>
            <a:rPr lang="en-US" altLang="zh-TW" sz="1100" b="0" i="0" u="none" strike="noStrike">
              <a:solidFill>
                <a:schemeClr val="dk1"/>
              </a:solidFill>
              <a:effectLst/>
              <a:latin typeface="+mn-lt"/>
              <a:ea typeface="+mn-ea"/>
              <a:cs typeface="+mn-cs"/>
            </a:rPr>
            <a:t>0x19,</a:t>
          </a:r>
          <a:r>
            <a:rPr lang="en-US" altLang="zh-TW"/>
            <a:t> </a:t>
          </a:r>
          <a:r>
            <a:rPr lang="en-US" altLang="zh-TW" sz="1100" b="0" i="0" u="none" strike="noStrike">
              <a:solidFill>
                <a:schemeClr val="dk1"/>
              </a:solidFill>
              <a:effectLst/>
              <a:latin typeface="+mn-lt"/>
              <a:ea typeface="+mn-ea"/>
              <a:cs typeface="+mn-cs"/>
            </a:rPr>
            <a:t>0x18,</a:t>
          </a:r>
          <a:r>
            <a:rPr lang="en-US" altLang="zh-TW"/>
            <a:t> </a:t>
          </a:r>
          <a:r>
            <a:rPr lang="en-US" altLang="zh-TW" sz="1100" b="0" i="0" u="none" strike="noStrike">
              <a:solidFill>
                <a:schemeClr val="dk1"/>
              </a:solidFill>
              <a:effectLst/>
              <a:latin typeface="+mn-lt"/>
              <a:ea typeface="+mn-ea"/>
              <a:cs typeface="+mn-cs"/>
            </a:rPr>
            <a:t>0x17,</a:t>
          </a:r>
          <a:r>
            <a:rPr lang="en-US" altLang="zh-TW"/>
            <a:t> </a:t>
          </a:r>
          <a:r>
            <a:rPr lang="en-US" altLang="zh-TW" sz="1100" b="0" i="0" u="none" strike="noStrike">
              <a:solidFill>
                <a:schemeClr val="dk1"/>
              </a:solidFill>
              <a:effectLst/>
              <a:latin typeface="+mn-lt"/>
              <a:ea typeface="+mn-ea"/>
              <a:cs typeface="+mn-cs"/>
            </a:rPr>
            <a:t>0x16,</a:t>
          </a:r>
          <a:r>
            <a:rPr lang="en-US" altLang="zh-TW"/>
            <a:t> </a:t>
          </a:r>
          <a:r>
            <a:rPr lang="en-US" altLang="zh-TW" sz="1100" b="0" i="0" u="none" strike="noStrike">
              <a:solidFill>
                <a:schemeClr val="dk1"/>
              </a:solidFill>
              <a:effectLst/>
              <a:latin typeface="+mn-lt"/>
              <a:ea typeface="+mn-ea"/>
              <a:cs typeface="+mn-cs"/>
            </a:rPr>
            <a:t>0x15,</a:t>
          </a:r>
          <a:r>
            <a:rPr lang="en-US" altLang="zh-TW"/>
            <a:t> </a:t>
          </a:r>
          <a:r>
            <a:rPr lang="en-US" altLang="zh-TW" sz="1100" b="0" i="0" u="none" strike="noStrike">
              <a:solidFill>
                <a:schemeClr val="dk1"/>
              </a:solidFill>
              <a:effectLst/>
              <a:latin typeface="+mn-lt"/>
              <a:ea typeface="+mn-ea"/>
              <a:cs typeface="+mn-cs"/>
            </a:rPr>
            <a:t>0x14,</a:t>
          </a:r>
          <a:r>
            <a:rPr lang="en-US" altLang="zh-TW"/>
            <a:t> </a:t>
          </a:r>
          <a:r>
            <a:rPr lang="en-US" altLang="zh-TW" sz="1100" b="0" i="0" u="none" strike="noStrike">
              <a:solidFill>
                <a:schemeClr val="dk1"/>
              </a:solidFill>
              <a:effectLst/>
              <a:latin typeface="+mn-lt"/>
              <a:ea typeface="+mn-ea"/>
              <a:cs typeface="+mn-cs"/>
            </a:rPr>
            <a:t>0x13,</a:t>
          </a:r>
          <a:r>
            <a:rPr lang="en-US" altLang="zh-TW"/>
            <a:t> </a:t>
          </a:r>
          <a:r>
            <a:rPr lang="en-US" altLang="zh-TW" sz="1100" b="0" i="0" u="none" strike="noStrike">
              <a:solidFill>
                <a:schemeClr val="dk1"/>
              </a:solidFill>
              <a:effectLst/>
              <a:latin typeface="+mn-lt"/>
              <a:ea typeface="+mn-ea"/>
              <a:cs typeface="+mn-cs"/>
            </a:rPr>
            <a:t>0x12,</a:t>
          </a:r>
          <a:r>
            <a:rPr lang="en-US" altLang="zh-TW"/>
            <a:t> </a:t>
          </a:r>
          <a:r>
            <a:rPr lang="en-US" altLang="zh-TW" sz="1100" b="0" i="0" u="none" strike="noStrike">
              <a:solidFill>
                <a:schemeClr val="dk1"/>
              </a:solidFill>
              <a:effectLst/>
              <a:latin typeface="+mn-lt"/>
              <a:ea typeface="+mn-ea"/>
              <a:cs typeface="+mn-cs"/>
            </a:rPr>
            <a:t>0x11,</a:t>
          </a:r>
          <a:r>
            <a:rPr lang="en-US" altLang="zh-TW"/>
            <a:t> </a:t>
          </a:r>
          <a:r>
            <a:rPr lang="en-US" altLang="zh-TW" sz="1100" b="0" i="0" u="none" strike="noStrike">
              <a:solidFill>
                <a:schemeClr val="dk1"/>
              </a:solidFill>
              <a:effectLst/>
              <a:latin typeface="+mn-lt"/>
              <a:ea typeface="+mn-ea"/>
              <a:cs typeface="+mn-cs"/>
            </a:rPr>
            <a:t>0x10,</a:t>
          </a:r>
          <a:r>
            <a:rPr lang="en-US" altLang="zh-TW"/>
            <a:t> </a:t>
          </a:r>
          <a:r>
            <a:rPr lang="en-US" altLang="zh-TW" sz="1100" b="0" i="0" u="none" strike="noStrike">
              <a:solidFill>
                <a:schemeClr val="dk1"/>
              </a:solidFill>
              <a:effectLst/>
              <a:latin typeface="+mn-lt"/>
              <a:ea typeface="+mn-ea"/>
              <a:cs typeface="+mn-cs"/>
            </a:rPr>
            <a:t>0x0,</a:t>
          </a:r>
          <a:r>
            <a:rPr lang="en-US" altLang="zh-TW"/>
            <a:t> </a:t>
          </a:r>
          <a:r>
            <a:rPr lang="en-US" altLang="zh-TW" sz="1100" b="0" i="0" u="none" strike="noStrike">
              <a:solidFill>
                <a:schemeClr val="dk1"/>
              </a:solidFill>
              <a:effectLst/>
              <a:latin typeface="+mn-lt"/>
              <a:ea typeface="+mn-ea"/>
              <a:cs typeface="+mn-cs"/>
            </a:rPr>
            <a:t>0x1,</a:t>
          </a:r>
          <a:r>
            <a:rPr lang="en-US" altLang="zh-TW"/>
            <a:t> </a:t>
          </a:r>
          <a:r>
            <a:rPr lang="en-US" altLang="zh-TW" sz="1100" b="0" i="0" u="none" strike="noStrike">
              <a:solidFill>
                <a:schemeClr val="dk1"/>
              </a:solidFill>
              <a:effectLst/>
              <a:latin typeface="+mn-lt"/>
              <a:ea typeface="+mn-ea"/>
              <a:cs typeface="+mn-cs"/>
            </a:rPr>
            <a:t>0x2,</a:t>
          </a:r>
          <a:r>
            <a:rPr lang="en-US" altLang="zh-TW"/>
            <a:t> </a:t>
          </a:r>
          <a:r>
            <a:rPr lang="en-US" altLang="zh-TW" sz="1100" b="0" i="0" u="none" strike="noStrike">
              <a:solidFill>
                <a:schemeClr val="dk1"/>
              </a:solidFill>
              <a:effectLst/>
              <a:latin typeface="+mn-lt"/>
              <a:ea typeface="+mn-ea"/>
              <a:cs typeface="+mn-cs"/>
            </a:rPr>
            <a:t>0x3,</a:t>
          </a:r>
          <a:r>
            <a:rPr lang="en-US" altLang="zh-TW"/>
            <a:t> </a:t>
          </a:r>
          <a:r>
            <a:rPr lang="en-US" altLang="zh-TW" sz="1100" b="0" i="0" u="none" strike="noStrike">
              <a:solidFill>
                <a:schemeClr val="dk1"/>
              </a:solidFill>
              <a:effectLst/>
              <a:latin typeface="+mn-lt"/>
              <a:ea typeface="+mn-ea"/>
              <a:cs typeface="+mn-cs"/>
            </a:rPr>
            <a:t>0x4,</a:t>
          </a:r>
          <a:r>
            <a:rPr lang="en-US" altLang="zh-TW"/>
            <a:t> </a:t>
          </a:r>
          <a:r>
            <a:rPr lang="en-US" altLang="zh-TW" sz="1100" b="0" i="0" u="none" strike="noStrike">
              <a:solidFill>
                <a:schemeClr val="dk1"/>
              </a:solidFill>
              <a:effectLst/>
              <a:latin typeface="+mn-lt"/>
              <a:ea typeface="+mn-ea"/>
              <a:cs typeface="+mn-cs"/>
            </a:rPr>
            <a:t>0x5,</a:t>
          </a:r>
          <a:r>
            <a:rPr lang="en-US" altLang="zh-TW"/>
            <a:t> </a:t>
          </a:r>
          <a:r>
            <a:rPr lang="en-US" altLang="zh-TW" sz="1100" b="0" i="0" u="none" strike="noStrike">
              <a:solidFill>
                <a:schemeClr val="dk1"/>
              </a:solidFill>
              <a:effectLst/>
              <a:latin typeface="+mn-lt"/>
              <a:ea typeface="+mn-ea"/>
              <a:cs typeface="+mn-cs"/>
            </a:rPr>
            <a:t>0x6,</a:t>
          </a:r>
          <a:r>
            <a:rPr lang="en-US" altLang="zh-TW"/>
            <a:t> </a:t>
          </a:r>
          <a:r>
            <a:rPr lang="en-US" altLang="zh-TW" sz="1100" b="0" i="0" u="none" strike="noStrike">
              <a:solidFill>
                <a:schemeClr val="dk1"/>
              </a:solidFill>
              <a:effectLst/>
              <a:latin typeface="+mn-lt"/>
              <a:ea typeface="+mn-ea"/>
              <a:cs typeface="+mn-cs"/>
            </a:rPr>
            <a:t>0x7,</a:t>
          </a:r>
          <a:r>
            <a:rPr lang="en-US" altLang="zh-TW"/>
            <a:t> </a:t>
          </a:r>
          <a:r>
            <a:rPr lang="en-US" altLang="zh-TW" sz="1100" b="0" i="0" u="none" strike="noStrike">
              <a:solidFill>
                <a:schemeClr val="dk1"/>
              </a:solidFill>
              <a:effectLst/>
              <a:latin typeface="+mn-lt"/>
              <a:ea typeface="+mn-ea"/>
              <a:cs typeface="+mn-cs"/>
            </a:rPr>
            <a:t>0x8,</a:t>
          </a:r>
          <a:r>
            <a:rPr lang="en-US" altLang="zh-TW"/>
            <a:t> </a:t>
          </a:r>
          <a:r>
            <a:rPr lang="en-US" altLang="zh-TW" sz="1100" b="0" i="0" u="none" strike="noStrike">
              <a:solidFill>
                <a:schemeClr val="dk1"/>
              </a:solidFill>
              <a:effectLst/>
              <a:latin typeface="+mn-lt"/>
              <a:ea typeface="+mn-ea"/>
              <a:cs typeface="+mn-cs"/>
            </a:rPr>
            <a:t>0x9,</a:t>
          </a:r>
          <a:r>
            <a:rPr lang="en-US" altLang="zh-TW"/>
            <a:t> </a:t>
          </a:r>
          <a:r>
            <a:rPr lang="en-US" altLang="zh-TW" sz="1100" b="0" i="0" u="none" strike="noStrike">
              <a:solidFill>
                <a:schemeClr val="dk1"/>
              </a:solidFill>
              <a:effectLst/>
              <a:latin typeface="+mn-lt"/>
              <a:ea typeface="+mn-ea"/>
              <a:cs typeface="+mn-cs"/>
            </a:rPr>
            <a:t>0xA,</a:t>
          </a:r>
          <a:r>
            <a:rPr lang="en-US" altLang="zh-TW"/>
            <a:t> </a:t>
          </a:r>
          <a:r>
            <a:rPr lang="en-US" altLang="zh-TW" sz="1100" b="0" i="0" u="none" strike="noStrike">
              <a:solidFill>
                <a:schemeClr val="dk1"/>
              </a:solidFill>
              <a:effectLst/>
              <a:latin typeface="+mn-lt"/>
              <a:ea typeface="+mn-ea"/>
              <a:cs typeface="+mn-cs"/>
            </a:rPr>
            <a:t>0xB,</a:t>
          </a:r>
          <a:r>
            <a:rPr lang="en-US" altLang="zh-TW"/>
            <a:t> </a:t>
          </a:r>
          <a:r>
            <a:rPr lang="en-US" altLang="zh-TW" sz="1100" b="0" i="0" u="none" strike="noStrike">
              <a:solidFill>
                <a:schemeClr val="dk1"/>
              </a:solidFill>
              <a:effectLst/>
              <a:latin typeface="+mn-lt"/>
              <a:ea typeface="+mn-ea"/>
              <a:cs typeface="+mn-cs"/>
            </a:rPr>
            <a:t>0xC,</a:t>
          </a:r>
          <a:r>
            <a:rPr lang="en-US" altLang="zh-TW"/>
            <a:t> </a:t>
          </a:r>
          <a:r>
            <a:rPr lang="en-US" altLang="zh-TW" sz="1100" b="0" i="0" u="none" strike="noStrike">
              <a:solidFill>
                <a:schemeClr val="dk1"/>
              </a:solidFill>
              <a:effectLst/>
              <a:latin typeface="+mn-lt"/>
              <a:ea typeface="+mn-ea"/>
              <a:cs typeface="+mn-cs"/>
            </a:rPr>
            <a:t>0xD,</a:t>
          </a:r>
          <a:r>
            <a:rPr lang="en-US" altLang="zh-TW"/>
            <a:t> </a:t>
          </a:r>
          <a:r>
            <a:rPr lang="en-US" altLang="zh-TW" sz="1100" b="0" i="0" u="none" strike="noStrike">
              <a:solidFill>
                <a:schemeClr val="dk1"/>
              </a:solidFill>
              <a:effectLst/>
              <a:latin typeface="+mn-lt"/>
              <a:ea typeface="+mn-ea"/>
              <a:cs typeface="+mn-cs"/>
            </a:rPr>
            <a:t>0xE,</a:t>
          </a:r>
          <a:r>
            <a:rPr lang="en-US" altLang="zh-TW"/>
            <a:t> </a:t>
          </a:r>
          <a:r>
            <a:rPr lang="en-US" altLang="zh-TW" sz="1100" b="0" i="0" u="none" strike="noStrike">
              <a:solidFill>
                <a:schemeClr val="dk1"/>
              </a:solidFill>
              <a:effectLst/>
              <a:latin typeface="+mn-lt"/>
              <a:ea typeface="+mn-ea"/>
              <a:cs typeface="+mn-cs"/>
            </a:rPr>
            <a:t>0xF,</a:t>
          </a:r>
          <a:r>
            <a:rPr lang="en-US" altLang="zh-TW"/>
            <a:t> </a:t>
          </a:r>
          <a:r>
            <a:rPr lang="en-US" altLang="zh-TW" sz="1100" b="0" i="0" u="none" strike="noStrike">
              <a:solidFill>
                <a:schemeClr val="dk1"/>
              </a:solidFill>
              <a:effectLst/>
              <a:latin typeface="+mn-lt"/>
              <a:ea typeface="+mn-ea"/>
              <a:cs typeface="+mn-cs"/>
            </a:rPr>
            <a:t>0x10,</a:t>
          </a:r>
          <a:r>
            <a:rPr lang="en-US" altLang="zh-TW"/>
            <a:t> </a:t>
          </a:r>
          <a:r>
            <a:rPr lang="en-US" altLang="zh-TW" sz="1100" b="0" i="0" u="none" strike="noStrike">
              <a:solidFill>
                <a:schemeClr val="dk1"/>
              </a:solidFill>
              <a:effectLst/>
              <a:latin typeface="+mn-lt"/>
              <a:ea typeface="+mn-ea"/>
              <a:cs typeface="+mn-cs"/>
            </a:rPr>
            <a:t>0x11,</a:t>
          </a:r>
          <a:r>
            <a:rPr lang="en-US" altLang="zh-TW"/>
            <a:t> </a:t>
          </a:r>
          <a:r>
            <a:rPr lang="en-US" altLang="zh-TW" sz="1100" b="0" i="0" u="none" strike="noStrike">
              <a:solidFill>
                <a:schemeClr val="dk1"/>
              </a:solidFill>
              <a:effectLst/>
              <a:latin typeface="+mn-lt"/>
              <a:ea typeface="+mn-ea"/>
              <a:cs typeface="+mn-cs"/>
            </a:rPr>
            <a:t>0x12,</a:t>
          </a:r>
          <a:r>
            <a:rPr lang="en-US" altLang="zh-TW"/>
            <a:t> </a:t>
          </a:r>
          <a:r>
            <a:rPr lang="en-US" altLang="zh-TW" sz="1100" b="0" i="0" u="none" strike="noStrike">
              <a:solidFill>
                <a:schemeClr val="dk1"/>
              </a:solidFill>
              <a:effectLst/>
              <a:latin typeface="+mn-lt"/>
              <a:ea typeface="+mn-ea"/>
              <a:cs typeface="+mn-cs"/>
            </a:rPr>
            <a:t>0x13,</a:t>
          </a:r>
          <a:r>
            <a:rPr lang="en-US" altLang="zh-TW"/>
            <a:t> </a:t>
          </a:r>
          <a:r>
            <a:rPr lang="en-US" altLang="zh-TW" sz="1100" b="0" i="0" u="none" strike="noStrike">
              <a:solidFill>
                <a:schemeClr val="dk1"/>
              </a:solidFill>
              <a:effectLst/>
              <a:latin typeface="+mn-lt"/>
              <a:ea typeface="+mn-ea"/>
              <a:cs typeface="+mn-cs"/>
            </a:rPr>
            <a:t>0x14,</a:t>
          </a:r>
          <a:r>
            <a:rPr lang="en-US" altLang="zh-TW"/>
            <a:t> </a:t>
          </a:r>
          <a:r>
            <a:rPr lang="en-US" altLang="zh-TW" sz="1100" b="0" i="0" u="none" strike="noStrike">
              <a:solidFill>
                <a:schemeClr val="dk1"/>
              </a:solidFill>
              <a:effectLst/>
              <a:latin typeface="+mn-lt"/>
              <a:ea typeface="+mn-ea"/>
              <a:cs typeface="+mn-cs"/>
            </a:rPr>
            <a:t>0x15,</a:t>
          </a:r>
          <a:r>
            <a:rPr lang="en-US" altLang="zh-TW"/>
            <a:t> </a:t>
          </a:r>
          <a:r>
            <a:rPr lang="en-US" altLang="zh-TW" sz="1100" b="0" i="0" u="none" strike="noStrike">
              <a:solidFill>
                <a:schemeClr val="dk1"/>
              </a:solidFill>
              <a:effectLst/>
              <a:latin typeface="+mn-lt"/>
              <a:ea typeface="+mn-ea"/>
              <a:cs typeface="+mn-cs"/>
            </a:rPr>
            <a:t>0x16,</a:t>
          </a:r>
          <a:r>
            <a:rPr lang="en-US" altLang="zh-TW"/>
            <a:t> </a:t>
          </a:r>
          <a:r>
            <a:rPr lang="en-US" altLang="zh-TW" sz="1100" b="0" i="0" u="none" strike="noStrike">
              <a:solidFill>
                <a:schemeClr val="dk1"/>
              </a:solidFill>
              <a:effectLst/>
              <a:latin typeface="+mn-lt"/>
              <a:ea typeface="+mn-ea"/>
              <a:cs typeface="+mn-cs"/>
            </a:rPr>
            <a:t>0x17,</a:t>
          </a:r>
          <a:r>
            <a:rPr lang="en-US" altLang="zh-TW"/>
            <a:t> </a:t>
          </a:r>
          <a:r>
            <a:rPr lang="en-US" altLang="zh-TW" sz="1100" b="0" i="0" u="none" strike="noStrike">
              <a:solidFill>
                <a:schemeClr val="dk1"/>
              </a:solidFill>
              <a:effectLst/>
              <a:latin typeface="+mn-lt"/>
              <a:ea typeface="+mn-ea"/>
              <a:cs typeface="+mn-cs"/>
            </a:rPr>
            <a:t>0x18,</a:t>
          </a:r>
          <a:r>
            <a:rPr lang="en-US" altLang="zh-TW"/>
            <a:t> </a:t>
          </a:r>
          <a:r>
            <a:rPr lang="en-US" altLang="zh-TW" sz="1100" b="0" i="0" u="none" strike="noStrike">
              <a:solidFill>
                <a:schemeClr val="dk1"/>
              </a:solidFill>
              <a:effectLst/>
              <a:latin typeface="+mn-lt"/>
              <a:ea typeface="+mn-ea"/>
              <a:cs typeface="+mn-cs"/>
            </a:rPr>
            <a:t>0x19,</a:t>
          </a:r>
          <a:r>
            <a:rPr lang="en-US" altLang="zh-TW"/>
            <a:t> </a:t>
          </a:r>
          <a:r>
            <a:rPr lang="en-US" altLang="zh-TW" sz="1100" b="0" i="0" u="none" strike="noStrike">
              <a:solidFill>
                <a:schemeClr val="dk1"/>
              </a:solidFill>
              <a:effectLst/>
              <a:latin typeface="+mn-lt"/>
              <a:ea typeface="+mn-ea"/>
              <a:cs typeface="+mn-cs"/>
            </a:rPr>
            <a:t>0x1A,</a:t>
          </a:r>
          <a:r>
            <a:rPr lang="en-US" altLang="zh-TW"/>
            <a:t> </a:t>
          </a:r>
          <a:r>
            <a:rPr lang="en-US" altLang="zh-TW" sz="1100" b="0" i="0" u="none" strike="noStrike">
              <a:solidFill>
                <a:schemeClr val="dk1"/>
              </a:solidFill>
              <a:effectLst/>
              <a:latin typeface="+mn-lt"/>
              <a:ea typeface="+mn-ea"/>
              <a:cs typeface="+mn-cs"/>
            </a:rPr>
            <a:t>0x1B,</a:t>
          </a:r>
          <a:r>
            <a:rPr lang="en-US" altLang="zh-TW"/>
            <a:t> </a:t>
          </a:r>
          <a:r>
            <a:rPr lang="en-US" altLang="zh-TW" sz="1100" b="0" i="0" u="none" strike="noStrike">
              <a:solidFill>
                <a:schemeClr val="dk1"/>
              </a:solidFill>
              <a:effectLst/>
              <a:latin typeface="+mn-lt"/>
              <a:ea typeface="+mn-ea"/>
              <a:cs typeface="+mn-cs"/>
            </a:rPr>
            <a:t>0x1C,</a:t>
          </a:r>
          <a:r>
            <a:rPr lang="en-US" altLang="zh-TW"/>
            <a:t> </a:t>
          </a:r>
          <a:r>
            <a:rPr lang="en-US" altLang="zh-TW" sz="1100" b="0" i="0" u="none" strike="noStrike">
              <a:solidFill>
                <a:schemeClr val="dk1"/>
              </a:solidFill>
              <a:effectLst/>
              <a:latin typeface="+mn-lt"/>
              <a:ea typeface="+mn-ea"/>
              <a:cs typeface="+mn-cs"/>
            </a:rPr>
            <a:t>0x1D,</a:t>
          </a:r>
          <a:r>
            <a:rPr lang="en-US" altLang="zh-TW"/>
            <a:t> </a:t>
          </a:r>
          <a:r>
            <a:rPr lang="en-US" altLang="zh-TW" sz="1100" b="0" i="0" u="none" strike="noStrike">
              <a:solidFill>
                <a:schemeClr val="dk1"/>
              </a:solidFill>
              <a:effectLst/>
              <a:latin typeface="+mn-lt"/>
              <a:ea typeface="+mn-ea"/>
              <a:cs typeface="+mn-cs"/>
            </a:rPr>
            <a:t>0x1E,</a:t>
          </a:r>
          <a:r>
            <a:rPr lang="en-US" altLang="zh-TW"/>
            <a:t> </a:t>
          </a:r>
          <a:r>
            <a:rPr lang="en-US" altLang="zh-TW" sz="1100" b="0" i="0" u="none" strike="noStrike">
              <a:solidFill>
                <a:schemeClr val="dk1"/>
              </a:solidFill>
              <a:effectLst/>
              <a:latin typeface="+mn-lt"/>
              <a:ea typeface="+mn-ea"/>
              <a:cs typeface="+mn-cs"/>
            </a:rPr>
            <a:t>0x1F,</a:t>
          </a:r>
          <a:r>
            <a:rPr lang="en-US" altLang="zh-TW"/>
            <a:t> </a:t>
          </a:r>
          <a:r>
            <a:rPr lang="en-US" altLang="zh-TW" sz="1100" b="0" i="0" u="none" strike="noStrike">
              <a:solidFill>
                <a:schemeClr val="dk1"/>
              </a:solidFill>
              <a:effectLst/>
              <a:latin typeface="+mn-lt"/>
              <a:ea typeface="+mn-ea"/>
              <a:cs typeface="+mn-cs"/>
            </a:rPr>
            <a:t>0x20,</a:t>
          </a:r>
          <a:r>
            <a:rPr lang="en-US" altLang="zh-TW"/>
            <a:t> </a:t>
          </a:r>
          <a:r>
            <a:rPr lang="en-US" altLang="zh-TW" sz="1100" b="0" i="0" u="none" strike="noStrike">
              <a:solidFill>
                <a:schemeClr val="dk1"/>
              </a:solidFill>
              <a:effectLst/>
              <a:latin typeface="+mn-lt"/>
              <a:ea typeface="+mn-ea"/>
              <a:cs typeface="+mn-cs"/>
            </a:rPr>
            <a:t>0x21,</a:t>
          </a:r>
          <a:r>
            <a:rPr lang="en-US" altLang="zh-TW"/>
            <a:t> </a:t>
          </a:r>
          <a:r>
            <a:rPr lang="en-US" altLang="zh-TW" sz="1100" b="0" i="0" u="none" strike="noStrike">
              <a:solidFill>
                <a:schemeClr val="dk1"/>
              </a:solidFill>
              <a:effectLst/>
              <a:latin typeface="+mn-lt"/>
              <a:ea typeface="+mn-ea"/>
              <a:cs typeface="+mn-cs"/>
            </a:rPr>
            <a:t>0x22,</a:t>
          </a:r>
          <a:r>
            <a:rPr lang="en-US" altLang="zh-TW"/>
            <a:t> </a:t>
          </a:r>
          <a:r>
            <a:rPr lang="en-US" altLang="zh-TW" sz="1100" b="0" i="0" u="none" strike="noStrike">
              <a:solidFill>
                <a:schemeClr val="dk1"/>
              </a:solidFill>
              <a:effectLst/>
              <a:latin typeface="+mn-lt"/>
              <a:ea typeface="+mn-ea"/>
              <a:cs typeface="+mn-cs"/>
            </a:rPr>
            <a:t>0x23,</a:t>
          </a:r>
          <a:r>
            <a:rPr lang="en-US" altLang="zh-TW"/>
            <a:t> </a:t>
          </a:r>
          <a:r>
            <a:rPr lang="en-US" altLang="zh-TW" sz="1100" b="0" i="0" u="none" strike="noStrike">
              <a:solidFill>
                <a:schemeClr val="dk1"/>
              </a:solidFill>
              <a:effectLst/>
              <a:latin typeface="+mn-lt"/>
              <a:ea typeface="+mn-ea"/>
              <a:cs typeface="+mn-cs"/>
            </a:rPr>
            <a:t>0x24,</a:t>
          </a:r>
          <a:r>
            <a:rPr lang="en-US" altLang="zh-TW"/>
            <a:t> </a:t>
          </a:r>
          <a:r>
            <a:rPr lang="en-US" altLang="zh-TW" sz="1100" b="0" i="0" u="none" strike="noStrike">
              <a:solidFill>
                <a:schemeClr val="dk1"/>
              </a:solidFill>
              <a:effectLst/>
              <a:latin typeface="+mn-lt"/>
              <a:ea typeface="+mn-ea"/>
              <a:cs typeface="+mn-cs"/>
            </a:rPr>
            <a:t>0x25,</a:t>
          </a:r>
          <a:r>
            <a:rPr lang="en-US" altLang="zh-TW"/>
            <a:t> </a:t>
          </a:r>
          <a:r>
            <a:rPr lang="en-US" altLang="zh-TW" sz="1100" b="0" i="0" u="none" strike="noStrike">
              <a:solidFill>
                <a:schemeClr val="dk1"/>
              </a:solidFill>
              <a:effectLst/>
              <a:latin typeface="+mn-lt"/>
              <a:ea typeface="+mn-ea"/>
              <a:cs typeface="+mn-cs"/>
            </a:rPr>
            <a:t>0x26,</a:t>
          </a:r>
          <a:r>
            <a:rPr lang="en-US" altLang="zh-TW"/>
            <a:t> </a:t>
          </a:r>
          <a:r>
            <a:rPr lang="en-US" altLang="zh-TW" sz="1100" b="0" i="0" u="none" strike="noStrike">
              <a:solidFill>
                <a:schemeClr val="dk1"/>
              </a:solidFill>
              <a:effectLst/>
              <a:latin typeface="+mn-lt"/>
              <a:ea typeface="+mn-ea"/>
              <a:cs typeface="+mn-cs"/>
            </a:rPr>
            <a:t>0x27,</a:t>
          </a:r>
          <a:r>
            <a:rPr lang="en-US" altLang="zh-TW"/>
            <a:t> </a:t>
          </a:r>
          <a:r>
            <a:rPr lang="en-US" altLang="zh-TW" sz="1100" b="0" i="0" u="none" strike="noStrike">
              <a:solidFill>
                <a:schemeClr val="dk1"/>
              </a:solidFill>
              <a:effectLst/>
              <a:latin typeface="+mn-lt"/>
              <a:ea typeface="+mn-ea"/>
              <a:cs typeface="+mn-cs"/>
            </a:rPr>
            <a:t>0x28,</a:t>
          </a:r>
          <a:r>
            <a:rPr lang="en-US" altLang="zh-TW"/>
            <a:t> </a:t>
          </a:r>
          <a:r>
            <a:rPr lang="en-US" altLang="zh-TW" sz="1100" b="0" i="0" u="none" strike="noStrike">
              <a:solidFill>
                <a:schemeClr val="dk1"/>
              </a:solidFill>
              <a:effectLst/>
              <a:latin typeface="+mn-lt"/>
              <a:ea typeface="+mn-ea"/>
              <a:cs typeface="+mn-cs"/>
            </a:rPr>
            <a:t>0x29,</a:t>
          </a:r>
          <a:r>
            <a:rPr lang="en-US" altLang="zh-TW"/>
            <a:t> </a:t>
          </a:r>
          <a:r>
            <a:rPr lang="en-US" altLang="zh-TW" sz="1100" b="0" i="0" u="none" strike="noStrike">
              <a:solidFill>
                <a:schemeClr val="dk1"/>
              </a:solidFill>
              <a:effectLst/>
              <a:latin typeface="+mn-lt"/>
              <a:ea typeface="+mn-ea"/>
              <a:cs typeface="+mn-cs"/>
            </a:rPr>
            <a:t>0x2A,</a:t>
          </a:r>
          <a:r>
            <a:rPr lang="en-US" altLang="zh-TW"/>
            <a:t> </a:t>
          </a:r>
          <a:r>
            <a:rPr lang="en-US" altLang="zh-TW" sz="1100" b="0" i="0" u="none" strike="noStrike">
              <a:solidFill>
                <a:schemeClr val="dk1"/>
              </a:solidFill>
              <a:effectLst/>
              <a:latin typeface="+mn-lt"/>
              <a:ea typeface="+mn-ea"/>
              <a:cs typeface="+mn-cs"/>
            </a:rPr>
            <a:t>0x2B,</a:t>
          </a:r>
          <a:r>
            <a:rPr lang="en-US" altLang="zh-TW"/>
            <a:t> </a:t>
          </a:r>
          <a:r>
            <a:rPr lang="en-US" altLang="zh-TW" sz="1100" b="0" i="0" u="none" strike="noStrike">
              <a:solidFill>
                <a:schemeClr val="dk1"/>
              </a:solidFill>
              <a:effectLst/>
              <a:latin typeface="+mn-lt"/>
              <a:ea typeface="+mn-ea"/>
              <a:cs typeface="+mn-cs"/>
            </a:rPr>
            <a:t>0x2C,</a:t>
          </a:r>
          <a:r>
            <a:rPr lang="en-US" altLang="zh-TW"/>
            <a:t> </a:t>
          </a:r>
          <a:r>
            <a:rPr lang="en-US" altLang="zh-TW" sz="1100" b="0" i="0" u="none" strike="noStrike">
              <a:solidFill>
                <a:schemeClr val="dk1"/>
              </a:solidFill>
              <a:effectLst/>
              <a:latin typeface="+mn-lt"/>
              <a:ea typeface="+mn-ea"/>
              <a:cs typeface="+mn-cs"/>
            </a:rPr>
            <a:t>0x2D,</a:t>
          </a:r>
          <a:r>
            <a:rPr lang="en-US" altLang="zh-TW"/>
            <a:t> </a:t>
          </a:r>
          <a:r>
            <a:rPr lang="en-US" altLang="zh-TW" sz="1100" b="0" i="0" u="none" strike="noStrike">
              <a:solidFill>
                <a:schemeClr val="dk1"/>
              </a:solidFill>
              <a:effectLst/>
              <a:latin typeface="+mn-lt"/>
              <a:ea typeface="+mn-ea"/>
              <a:cs typeface="+mn-cs"/>
            </a:rPr>
            <a:t>0x2E,</a:t>
          </a:r>
          <a:r>
            <a:rPr lang="en-US" altLang="zh-TW"/>
            <a:t> </a:t>
          </a:r>
          <a:r>
            <a:rPr lang="en-US" altLang="zh-TW" sz="1100" b="0" i="0" u="none" strike="noStrike">
              <a:solidFill>
                <a:schemeClr val="dk1"/>
              </a:solidFill>
              <a:effectLst/>
              <a:latin typeface="+mn-lt"/>
              <a:ea typeface="+mn-ea"/>
              <a:cs typeface="+mn-cs"/>
            </a:rPr>
            <a:t>0x2F,</a:t>
          </a:r>
          <a:r>
            <a:rPr lang="en-US" altLang="zh-TW"/>
            <a:t> </a:t>
          </a:r>
          <a:r>
            <a:rPr lang="en-US" altLang="zh-TW" sz="1100" b="0" i="0" u="none" strike="noStrike">
              <a:solidFill>
                <a:schemeClr val="dk1"/>
              </a:solidFill>
              <a:effectLst/>
              <a:latin typeface="+mn-lt"/>
              <a:ea typeface="+mn-ea"/>
              <a:cs typeface="+mn-cs"/>
            </a:rPr>
            <a:t>0x30,</a:t>
          </a:r>
          <a:r>
            <a:rPr lang="en-US" altLang="zh-TW"/>
            <a:t> </a:t>
          </a:r>
          <a:r>
            <a:rPr lang="en-US" altLang="zh-TW" sz="1100" b="0" i="0" u="none" strike="noStrike">
              <a:solidFill>
                <a:schemeClr val="dk1"/>
              </a:solidFill>
              <a:effectLst/>
              <a:latin typeface="+mn-lt"/>
              <a:ea typeface="+mn-ea"/>
              <a:cs typeface="+mn-cs"/>
            </a:rPr>
            <a:t>0x31,</a:t>
          </a:r>
          <a:r>
            <a:rPr lang="en-US" altLang="zh-TW"/>
            <a:t> </a:t>
          </a:r>
          <a:r>
            <a:rPr lang="en-US" altLang="zh-TW" sz="1100" b="0" i="0" u="none" strike="noStrike">
              <a:solidFill>
                <a:schemeClr val="dk1"/>
              </a:solidFill>
              <a:effectLst/>
              <a:latin typeface="+mn-lt"/>
              <a:ea typeface="+mn-ea"/>
              <a:cs typeface="+mn-cs"/>
            </a:rPr>
            <a:t>0x32,</a:t>
          </a:r>
          <a:r>
            <a:rPr lang="en-US" altLang="zh-TW"/>
            <a:t> </a:t>
          </a:r>
          <a:r>
            <a:rPr lang="en-US" altLang="zh-TW" sz="1100" b="0" i="0" u="none" strike="noStrike">
              <a:solidFill>
                <a:schemeClr val="dk1"/>
              </a:solidFill>
              <a:effectLst/>
              <a:latin typeface="+mn-lt"/>
              <a:ea typeface="+mn-ea"/>
              <a:cs typeface="+mn-cs"/>
            </a:rPr>
            <a:t>0x33,</a:t>
          </a:r>
          <a:r>
            <a:rPr lang="en-US" altLang="zh-TW"/>
            <a:t> </a:t>
          </a:r>
          <a:r>
            <a:rPr lang="en-US" altLang="zh-TW" sz="1100" b="0" i="0" u="none" strike="noStrike">
              <a:solidFill>
                <a:schemeClr val="dk1"/>
              </a:solidFill>
              <a:effectLst/>
              <a:latin typeface="+mn-lt"/>
              <a:ea typeface="+mn-ea"/>
              <a:cs typeface="+mn-cs"/>
            </a:rPr>
            <a:t>0x34,</a:t>
          </a:r>
          <a:r>
            <a:rPr lang="en-US" altLang="zh-TW"/>
            <a:t> </a:t>
          </a:r>
          <a:r>
            <a:rPr lang="en-US" altLang="zh-TW" sz="1100" b="0" i="0" u="none" strike="noStrike">
              <a:solidFill>
                <a:schemeClr val="dk1"/>
              </a:solidFill>
              <a:effectLst/>
              <a:latin typeface="+mn-lt"/>
              <a:ea typeface="+mn-ea"/>
              <a:cs typeface="+mn-cs"/>
            </a:rPr>
            <a:t>0x35,</a:t>
          </a:r>
          <a:r>
            <a:rPr lang="en-US" altLang="zh-TW"/>
            <a:t> </a:t>
          </a:r>
          <a:r>
            <a:rPr lang="en-US" altLang="zh-TW" sz="1100" b="0" i="0" u="none" strike="noStrike">
              <a:solidFill>
                <a:schemeClr val="dk1"/>
              </a:solidFill>
              <a:effectLst/>
              <a:latin typeface="+mn-lt"/>
              <a:ea typeface="+mn-ea"/>
              <a:cs typeface="+mn-cs"/>
            </a:rPr>
            <a:t>0x36,</a:t>
          </a:r>
          <a:r>
            <a:rPr lang="en-US" altLang="zh-TW"/>
            <a:t> </a:t>
          </a:r>
          <a:r>
            <a:rPr lang="en-US" altLang="zh-TW" sz="1100" b="0" i="0" u="none" strike="noStrike">
              <a:solidFill>
                <a:schemeClr val="dk1"/>
              </a:solidFill>
              <a:effectLst/>
              <a:latin typeface="+mn-lt"/>
              <a:ea typeface="+mn-ea"/>
              <a:cs typeface="+mn-cs"/>
            </a:rPr>
            <a:t>0x37,</a:t>
          </a:r>
          <a:r>
            <a:rPr lang="en-US" altLang="zh-TW"/>
            <a:t> </a:t>
          </a:r>
          <a:r>
            <a:rPr lang="en-US" altLang="zh-TW" sz="1100" b="0" i="0" u="none" strike="noStrike">
              <a:solidFill>
                <a:schemeClr val="dk1"/>
              </a:solidFill>
              <a:effectLst/>
              <a:latin typeface="+mn-lt"/>
              <a:ea typeface="+mn-ea"/>
              <a:cs typeface="+mn-cs"/>
            </a:rPr>
            <a:t>0x38,</a:t>
          </a:r>
          <a:r>
            <a:rPr lang="en-US" altLang="zh-TW"/>
            <a:t> </a:t>
          </a:r>
          <a:r>
            <a:rPr lang="en-US" altLang="zh-TW" sz="1100" b="0" i="0" u="none" strike="noStrike">
              <a:solidFill>
                <a:schemeClr val="dk1"/>
              </a:solidFill>
              <a:effectLst/>
              <a:latin typeface="+mn-lt"/>
              <a:ea typeface="+mn-ea"/>
              <a:cs typeface="+mn-cs"/>
            </a:rPr>
            <a:t>0x39,</a:t>
          </a:r>
          <a:r>
            <a:rPr lang="en-US" altLang="zh-TW"/>
            <a:t> </a:t>
          </a:r>
          <a:r>
            <a:rPr lang="en-US" altLang="zh-TW" sz="1100" b="0" i="0" u="none" strike="noStrike">
              <a:solidFill>
                <a:schemeClr val="dk1"/>
              </a:solidFill>
              <a:effectLst/>
              <a:latin typeface="+mn-lt"/>
              <a:ea typeface="+mn-ea"/>
              <a:cs typeface="+mn-cs"/>
            </a:rPr>
            <a:t>0x3A,</a:t>
          </a:r>
          <a:r>
            <a:rPr lang="en-US" altLang="zh-TW"/>
            <a:t> </a:t>
          </a:r>
          <a:r>
            <a:rPr lang="en-US" altLang="zh-TW" sz="1100" b="0" i="0" u="none" strike="noStrike">
              <a:solidFill>
                <a:schemeClr val="dk1"/>
              </a:solidFill>
              <a:effectLst/>
              <a:latin typeface="+mn-lt"/>
              <a:ea typeface="+mn-ea"/>
              <a:cs typeface="+mn-cs"/>
            </a:rPr>
            <a:t>0x3B,</a:t>
          </a:r>
          <a:r>
            <a:rPr lang="en-US" altLang="zh-TW"/>
            <a:t> </a:t>
          </a:r>
          <a:r>
            <a:rPr lang="en-US" altLang="zh-TW" sz="1100" b="0" i="0" u="none" strike="noStrike">
              <a:solidFill>
                <a:schemeClr val="dk1"/>
              </a:solidFill>
              <a:effectLst/>
              <a:latin typeface="+mn-lt"/>
              <a:ea typeface="+mn-ea"/>
              <a:cs typeface="+mn-cs"/>
            </a:rPr>
            <a:t>0x3C,</a:t>
          </a:r>
          <a:r>
            <a:rPr lang="en-US" altLang="zh-TW"/>
            <a:t> </a:t>
          </a:r>
          <a:r>
            <a:rPr lang="en-US" altLang="zh-TW" sz="1100" b="0" i="0" u="none" strike="noStrike">
              <a:solidFill>
                <a:schemeClr val="dk1"/>
              </a:solidFill>
              <a:effectLst/>
              <a:latin typeface="+mn-lt"/>
              <a:ea typeface="+mn-ea"/>
              <a:cs typeface="+mn-cs"/>
            </a:rPr>
            <a:t>0x3D,</a:t>
          </a:r>
          <a:r>
            <a:rPr lang="en-US" altLang="zh-TW"/>
            <a:t> </a:t>
          </a:r>
          <a:r>
            <a:rPr lang="en-US" altLang="zh-TW" sz="1100" b="0" i="0" u="none" strike="noStrike">
              <a:solidFill>
                <a:schemeClr val="dk1"/>
              </a:solidFill>
              <a:effectLst/>
              <a:latin typeface="+mn-lt"/>
              <a:ea typeface="+mn-ea"/>
              <a:cs typeface="+mn-cs"/>
            </a:rPr>
            <a:t>0x3E,</a:t>
          </a:r>
          <a:r>
            <a:rPr lang="en-US" altLang="zh-TW"/>
            <a:t> </a:t>
          </a:r>
          <a:r>
            <a:rPr lang="en-US" altLang="zh-TW" sz="1100" b="0" i="0" u="none" strike="noStrike">
              <a:solidFill>
                <a:schemeClr val="dk1"/>
              </a:solidFill>
              <a:effectLst/>
              <a:latin typeface="+mn-lt"/>
              <a:ea typeface="+mn-ea"/>
              <a:cs typeface="+mn-cs"/>
            </a:rPr>
            <a:t>0x3F,</a:t>
          </a:r>
          <a:r>
            <a:rPr lang="en-US" altLang="zh-TW"/>
            <a:t> </a:t>
          </a:r>
          <a:r>
            <a:rPr lang="en-US" altLang="zh-TW" sz="1100" b="0" i="0" u="none" strike="noStrike">
              <a:solidFill>
                <a:schemeClr val="dk1"/>
              </a:solidFill>
              <a:effectLst/>
              <a:latin typeface="+mn-lt"/>
              <a:ea typeface="+mn-ea"/>
              <a:cs typeface="+mn-cs"/>
            </a:rPr>
            <a:t>0x40,</a:t>
          </a:r>
          <a:r>
            <a:rPr lang="en-US" altLang="zh-TW"/>
            <a:t> </a:t>
          </a:r>
          <a:r>
            <a:rPr lang="en-US" altLang="zh-TW" sz="1100" b="0" i="0" u="none" strike="noStrike">
              <a:solidFill>
                <a:schemeClr val="dk1"/>
              </a:solidFill>
              <a:effectLst/>
              <a:latin typeface="+mn-lt"/>
              <a:ea typeface="+mn-ea"/>
              <a:cs typeface="+mn-cs"/>
            </a:rPr>
            <a:t>0x41,</a:t>
          </a:r>
          <a:r>
            <a:rPr lang="en-US" altLang="zh-TW"/>
            <a:t> </a:t>
          </a:r>
          <a:r>
            <a:rPr lang="en-US" altLang="zh-TW" sz="1100" b="0" i="0" u="none" strike="noStrike">
              <a:solidFill>
                <a:schemeClr val="dk1"/>
              </a:solidFill>
              <a:effectLst/>
              <a:latin typeface="+mn-lt"/>
              <a:ea typeface="+mn-ea"/>
              <a:cs typeface="+mn-cs"/>
            </a:rPr>
            <a:t>0x42,</a:t>
          </a:r>
          <a:r>
            <a:rPr lang="en-US" altLang="zh-TW"/>
            <a:t> </a:t>
          </a:r>
          <a:r>
            <a:rPr lang="en-US" altLang="zh-TW" sz="1100" b="0" i="0" u="none" strike="noStrike">
              <a:solidFill>
                <a:schemeClr val="dk1"/>
              </a:solidFill>
              <a:effectLst/>
              <a:latin typeface="+mn-lt"/>
              <a:ea typeface="+mn-ea"/>
              <a:cs typeface="+mn-cs"/>
            </a:rPr>
            <a:t>0x43,</a:t>
          </a:r>
          <a:r>
            <a:rPr lang="en-US" altLang="zh-TW"/>
            <a:t> </a:t>
          </a:r>
          <a:r>
            <a:rPr lang="en-US" altLang="zh-TW" sz="1100" b="0" i="0" u="none" strike="noStrike">
              <a:solidFill>
                <a:schemeClr val="dk1"/>
              </a:solidFill>
              <a:effectLst/>
              <a:latin typeface="+mn-lt"/>
              <a:ea typeface="+mn-ea"/>
              <a:cs typeface="+mn-cs"/>
            </a:rPr>
            <a:t>0x44,</a:t>
          </a:r>
          <a:r>
            <a:rPr lang="en-US" altLang="zh-TW"/>
            <a:t> </a:t>
          </a:r>
          <a:r>
            <a:rPr lang="en-US" altLang="zh-TW" sz="1100" b="0" i="0" u="none" strike="noStrike">
              <a:solidFill>
                <a:schemeClr val="dk1"/>
              </a:solidFill>
              <a:effectLst/>
              <a:latin typeface="+mn-lt"/>
              <a:ea typeface="+mn-ea"/>
              <a:cs typeface="+mn-cs"/>
            </a:rPr>
            <a:t>0x45,</a:t>
          </a:r>
          <a:r>
            <a:rPr lang="en-US" altLang="zh-TW"/>
            <a:t> </a:t>
          </a:r>
          <a:r>
            <a:rPr lang="en-US" altLang="zh-TW" sz="1100" b="0" i="0" u="none" strike="noStrike">
              <a:solidFill>
                <a:schemeClr val="dk1"/>
              </a:solidFill>
              <a:effectLst/>
              <a:latin typeface="+mn-lt"/>
              <a:ea typeface="+mn-ea"/>
              <a:cs typeface="+mn-cs"/>
            </a:rPr>
            <a:t>0x46,</a:t>
          </a:r>
          <a:r>
            <a:rPr lang="en-US" altLang="zh-TW"/>
            <a:t> </a:t>
          </a:r>
          <a:r>
            <a:rPr lang="en-US" altLang="zh-TW" sz="1100" b="0" i="0" u="none" strike="noStrike">
              <a:solidFill>
                <a:schemeClr val="dk1"/>
              </a:solidFill>
              <a:effectLst/>
              <a:latin typeface="+mn-lt"/>
              <a:ea typeface="+mn-ea"/>
              <a:cs typeface="+mn-cs"/>
            </a:rPr>
            <a:t>0x47,</a:t>
          </a:r>
          <a:r>
            <a:rPr lang="en-US" altLang="zh-TW"/>
            <a:t> </a:t>
          </a:r>
          <a:r>
            <a:rPr lang="en-US" altLang="zh-TW" sz="1100" b="0" i="0" u="none" strike="noStrike">
              <a:solidFill>
                <a:schemeClr val="dk1"/>
              </a:solidFill>
              <a:effectLst/>
              <a:latin typeface="+mn-lt"/>
              <a:ea typeface="+mn-ea"/>
              <a:cs typeface="+mn-cs"/>
            </a:rPr>
            <a:t>0x48,</a:t>
          </a:r>
          <a:r>
            <a:rPr lang="en-US" altLang="zh-TW"/>
            <a:t> </a:t>
          </a:r>
          <a:r>
            <a:rPr lang="en-US" altLang="zh-TW" sz="1100" b="0" i="0" u="none" strike="noStrike">
              <a:solidFill>
                <a:schemeClr val="dk1"/>
              </a:solidFill>
              <a:effectLst/>
              <a:latin typeface="+mn-lt"/>
              <a:ea typeface="+mn-ea"/>
              <a:cs typeface="+mn-cs"/>
            </a:rPr>
            <a:t>0x49,</a:t>
          </a:r>
          <a:r>
            <a:rPr lang="en-US" altLang="zh-TW"/>
            <a:t> </a:t>
          </a:r>
          <a:r>
            <a:rPr lang="en-US" altLang="zh-TW" sz="1100" b="0" i="0" u="none" strike="noStrike">
              <a:solidFill>
                <a:schemeClr val="dk1"/>
              </a:solidFill>
              <a:effectLst/>
              <a:latin typeface="+mn-lt"/>
              <a:ea typeface="+mn-ea"/>
              <a:cs typeface="+mn-cs"/>
            </a:rPr>
            <a:t>0x4A,</a:t>
          </a:r>
          <a:r>
            <a:rPr lang="en-US" altLang="zh-TW"/>
            <a:t> </a:t>
          </a:r>
          <a:r>
            <a:rPr lang="en-US" altLang="zh-TW" sz="1100" b="0" i="0" u="none" strike="noStrike">
              <a:solidFill>
                <a:schemeClr val="dk1"/>
              </a:solidFill>
              <a:effectLst/>
              <a:latin typeface="+mn-lt"/>
              <a:ea typeface="+mn-ea"/>
              <a:cs typeface="+mn-cs"/>
            </a:rPr>
            <a:t>0x4B,</a:t>
          </a:r>
          <a:r>
            <a:rPr lang="en-US" altLang="zh-TW"/>
            <a:t> </a:t>
          </a:r>
          <a:r>
            <a:rPr lang="en-US" altLang="zh-TW" sz="1100" b="0" i="0" u="none" strike="noStrike">
              <a:solidFill>
                <a:schemeClr val="dk1"/>
              </a:solidFill>
              <a:effectLst/>
              <a:latin typeface="+mn-lt"/>
              <a:ea typeface="+mn-ea"/>
              <a:cs typeface="+mn-cs"/>
            </a:rPr>
            <a:t>0x4C,</a:t>
          </a:r>
          <a:r>
            <a:rPr lang="en-US" altLang="zh-TW"/>
            <a:t> </a:t>
          </a:r>
          <a:r>
            <a:rPr lang="en-US" altLang="zh-TW" sz="1100" b="0" i="0" u="none" strike="noStrike">
              <a:solidFill>
                <a:schemeClr val="dk1"/>
              </a:solidFill>
              <a:effectLst/>
              <a:latin typeface="+mn-lt"/>
              <a:ea typeface="+mn-ea"/>
              <a:cs typeface="+mn-cs"/>
            </a:rPr>
            <a:t>0x4D,</a:t>
          </a:r>
          <a:r>
            <a:rPr lang="en-US" altLang="zh-TW"/>
            <a:t> </a:t>
          </a:r>
          <a:r>
            <a:rPr lang="en-US" altLang="zh-TW" sz="1100" b="0" i="0" u="none" strike="noStrike">
              <a:solidFill>
                <a:schemeClr val="dk1"/>
              </a:solidFill>
              <a:effectLst/>
              <a:latin typeface="+mn-lt"/>
              <a:ea typeface="+mn-ea"/>
              <a:cs typeface="+mn-cs"/>
            </a:rPr>
            <a:t>0x4E,</a:t>
          </a:r>
          <a:r>
            <a:rPr lang="en-US" altLang="zh-TW"/>
            <a:t> </a:t>
          </a:r>
          <a:r>
            <a:rPr lang="en-US" altLang="zh-TW" sz="1100" b="0" i="0" u="none" strike="noStrike">
              <a:solidFill>
                <a:schemeClr val="dk1"/>
              </a:solidFill>
              <a:effectLst/>
              <a:latin typeface="+mn-lt"/>
              <a:ea typeface="+mn-ea"/>
              <a:cs typeface="+mn-cs"/>
            </a:rPr>
            <a:t>0x4F,</a:t>
          </a:r>
          <a:r>
            <a:rPr lang="en-US" altLang="zh-TW"/>
            <a:t> </a:t>
          </a:r>
          <a:r>
            <a:rPr lang="en-US" altLang="zh-TW" sz="1100" b="0" i="0" u="none" strike="noStrike">
              <a:solidFill>
                <a:schemeClr val="dk1"/>
              </a:solidFill>
              <a:effectLst/>
              <a:latin typeface="+mn-lt"/>
              <a:ea typeface="+mn-ea"/>
              <a:cs typeface="+mn-cs"/>
            </a:rPr>
            <a:t>0x50,</a:t>
          </a:r>
          <a:r>
            <a:rPr lang="en-US" altLang="zh-TW"/>
            <a:t> </a:t>
          </a:r>
          <a:r>
            <a:rPr lang="en-US" altLang="zh-TW" sz="1100" b="0" i="0" u="none" strike="noStrike">
              <a:solidFill>
                <a:schemeClr val="dk1"/>
              </a:solidFill>
              <a:effectLst/>
              <a:latin typeface="+mn-lt"/>
              <a:ea typeface="+mn-ea"/>
              <a:cs typeface="+mn-cs"/>
            </a:rPr>
            <a:t>0x51,</a:t>
          </a:r>
          <a:r>
            <a:rPr lang="en-US" altLang="zh-TW"/>
            <a:t> </a:t>
          </a:r>
          <a:r>
            <a:rPr lang="en-US" altLang="zh-TW" sz="1100" b="0" i="0" u="none" strike="noStrike">
              <a:solidFill>
                <a:schemeClr val="dk1"/>
              </a:solidFill>
              <a:effectLst/>
              <a:latin typeface="+mn-lt"/>
              <a:ea typeface="+mn-ea"/>
              <a:cs typeface="+mn-cs"/>
            </a:rPr>
            <a:t>0x52,</a:t>
          </a:r>
          <a:r>
            <a:rPr lang="en-US" altLang="zh-TW"/>
            <a:t> </a:t>
          </a:r>
          <a:r>
            <a:rPr lang="en-US" altLang="zh-TW" sz="1100" b="0" i="0" u="none" strike="noStrike">
              <a:solidFill>
                <a:schemeClr val="dk1"/>
              </a:solidFill>
              <a:effectLst/>
              <a:latin typeface="+mn-lt"/>
              <a:ea typeface="+mn-ea"/>
              <a:cs typeface="+mn-cs"/>
            </a:rPr>
            <a:t>0x53,</a:t>
          </a:r>
          <a:r>
            <a:rPr lang="en-US" altLang="zh-TW"/>
            <a:t> </a:t>
          </a:r>
          <a:r>
            <a:rPr lang="en-US" altLang="zh-TW" sz="1100" b="0" i="0" u="none" strike="noStrike">
              <a:solidFill>
                <a:schemeClr val="dk1"/>
              </a:solidFill>
              <a:effectLst/>
              <a:latin typeface="+mn-lt"/>
              <a:ea typeface="+mn-ea"/>
              <a:cs typeface="+mn-cs"/>
            </a:rPr>
            <a:t>0x54,</a:t>
          </a:r>
          <a:r>
            <a:rPr lang="en-US" altLang="zh-TW"/>
            <a:t> </a:t>
          </a:r>
          <a:r>
            <a:rPr lang="en-US" altLang="zh-TW" sz="1100" b="0" i="0" u="none" strike="noStrike">
              <a:solidFill>
                <a:schemeClr val="dk1"/>
              </a:solidFill>
              <a:effectLst/>
              <a:latin typeface="+mn-lt"/>
              <a:ea typeface="+mn-ea"/>
              <a:cs typeface="+mn-cs"/>
            </a:rPr>
            <a:t>0x55,</a:t>
          </a:r>
          <a:r>
            <a:rPr lang="en-US" altLang="zh-TW"/>
            <a:t> </a:t>
          </a:r>
          <a:r>
            <a:rPr lang="en-US" altLang="zh-TW" sz="1100" b="0" i="0" u="none" strike="noStrike">
              <a:solidFill>
                <a:schemeClr val="dk1"/>
              </a:solidFill>
              <a:effectLst/>
              <a:latin typeface="+mn-lt"/>
              <a:ea typeface="+mn-ea"/>
              <a:cs typeface="+mn-cs"/>
            </a:rPr>
            <a:t>0x56,</a:t>
          </a:r>
          <a:r>
            <a:rPr lang="en-US" altLang="zh-TW"/>
            <a:t> </a:t>
          </a:r>
          <a:r>
            <a:rPr lang="en-US" altLang="zh-TW" sz="1100" b="0" i="0" u="none" strike="noStrike">
              <a:solidFill>
                <a:schemeClr val="dk1"/>
              </a:solidFill>
              <a:effectLst/>
              <a:latin typeface="+mn-lt"/>
              <a:ea typeface="+mn-ea"/>
              <a:cs typeface="+mn-cs"/>
            </a:rPr>
            <a:t>0x57,</a:t>
          </a:r>
          <a:r>
            <a:rPr lang="en-US" altLang="zh-TW"/>
            <a:t> </a:t>
          </a:r>
          <a:r>
            <a:rPr lang="en-US" altLang="zh-TW" sz="1100" b="0" i="0" u="none" strike="noStrike">
              <a:solidFill>
                <a:schemeClr val="dk1"/>
              </a:solidFill>
              <a:effectLst/>
              <a:latin typeface="+mn-lt"/>
              <a:ea typeface="+mn-ea"/>
              <a:cs typeface="+mn-cs"/>
            </a:rPr>
            <a:t>0x58,</a:t>
          </a:r>
          <a:r>
            <a:rPr lang="en-US" altLang="zh-TW"/>
            <a:t> </a:t>
          </a:r>
          <a:r>
            <a:rPr lang="en-US" altLang="zh-TW" sz="1100" b="0" i="0" u="none" strike="noStrike">
              <a:solidFill>
                <a:schemeClr val="dk1"/>
              </a:solidFill>
              <a:effectLst/>
              <a:latin typeface="+mn-lt"/>
              <a:ea typeface="+mn-ea"/>
              <a:cs typeface="+mn-cs"/>
            </a:rPr>
            <a:t>0x59,</a:t>
          </a:r>
          <a:r>
            <a:rPr lang="en-US" altLang="zh-TW"/>
            <a:t> </a:t>
          </a:r>
          <a:r>
            <a:rPr lang="en-US" altLang="zh-TW" sz="1100" b="0" i="0" u="none" strike="noStrike">
              <a:solidFill>
                <a:schemeClr val="dk1"/>
              </a:solidFill>
              <a:effectLst/>
              <a:latin typeface="+mn-lt"/>
              <a:ea typeface="+mn-ea"/>
              <a:cs typeface="+mn-cs"/>
            </a:rPr>
            <a:t>0x5A,</a:t>
          </a:r>
          <a:r>
            <a:rPr lang="en-US" altLang="zh-TW"/>
            <a:t> </a:t>
          </a:r>
          <a:r>
            <a:rPr lang="en-US" altLang="zh-TW" sz="1100" b="0" i="0" u="none" strike="noStrike">
              <a:solidFill>
                <a:schemeClr val="dk1"/>
              </a:solidFill>
              <a:effectLst/>
              <a:latin typeface="+mn-lt"/>
              <a:ea typeface="+mn-ea"/>
              <a:cs typeface="+mn-cs"/>
            </a:rPr>
            <a:t>0x5B,</a:t>
          </a:r>
          <a:r>
            <a:rPr lang="en-US" altLang="zh-TW"/>
            <a:t> </a:t>
          </a:r>
          <a:r>
            <a:rPr lang="en-US" altLang="zh-TW" sz="1100" b="0" i="0" u="none" strike="noStrike">
              <a:solidFill>
                <a:schemeClr val="dk1"/>
              </a:solidFill>
              <a:effectLst/>
              <a:latin typeface="+mn-lt"/>
              <a:ea typeface="+mn-ea"/>
              <a:cs typeface="+mn-cs"/>
            </a:rPr>
            <a:t>0x5C,</a:t>
          </a:r>
          <a:r>
            <a:rPr lang="en-US" altLang="zh-TW"/>
            <a:t> </a:t>
          </a:r>
          <a:r>
            <a:rPr lang="en-US" altLang="zh-TW" sz="1100" b="0" i="0" u="none" strike="noStrike">
              <a:solidFill>
                <a:schemeClr val="dk1"/>
              </a:solidFill>
              <a:effectLst/>
              <a:latin typeface="+mn-lt"/>
              <a:ea typeface="+mn-ea"/>
              <a:cs typeface="+mn-cs"/>
            </a:rPr>
            <a:t>0x5D,</a:t>
          </a:r>
          <a:r>
            <a:rPr lang="en-US" altLang="zh-TW"/>
            <a:t> </a:t>
          </a:r>
          <a:r>
            <a:rPr lang="en-US" altLang="zh-TW" sz="1100" b="0" i="0" u="none" strike="noStrike">
              <a:solidFill>
                <a:schemeClr val="dk1"/>
              </a:solidFill>
              <a:effectLst/>
              <a:latin typeface="+mn-lt"/>
              <a:ea typeface="+mn-ea"/>
              <a:cs typeface="+mn-cs"/>
            </a:rPr>
            <a:t>0x5E,</a:t>
          </a:r>
          <a:r>
            <a:rPr lang="en-US" altLang="zh-TW"/>
            <a:t> </a:t>
          </a:r>
          <a:r>
            <a:rPr lang="en-US" altLang="zh-TW" sz="1100" b="0" i="0" u="none" strike="noStrike">
              <a:solidFill>
                <a:schemeClr val="dk1"/>
              </a:solidFill>
              <a:effectLst/>
              <a:latin typeface="+mn-lt"/>
              <a:ea typeface="+mn-ea"/>
              <a:cs typeface="+mn-cs"/>
            </a:rPr>
            <a:t>0x5F,</a:t>
          </a:r>
          <a:r>
            <a:rPr lang="en-US" altLang="zh-TW"/>
            <a:t> </a:t>
          </a:r>
          <a:r>
            <a:rPr lang="en-US" altLang="zh-TW" sz="1100" b="0" i="0" u="none" strike="noStrike">
              <a:solidFill>
                <a:schemeClr val="dk1"/>
              </a:solidFill>
              <a:effectLst/>
              <a:latin typeface="+mn-lt"/>
              <a:ea typeface="+mn-ea"/>
              <a:cs typeface="+mn-cs"/>
            </a:rPr>
            <a:t>0x60,</a:t>
          </a:r>
          <a:r>
            <a:rPr lang="en-US" altLang="zh-TW"/>
            <a:t> </a:t>
          </a:r>
          <a:r>
            <a:rPr lang="en-US" altLang="zh-TW" sz="1100" b="0" i="0" u="none" strike="noStrike">
              <a:solidFill>
                <a:schemeClr val="dk1"/>
              </a:solidFill>
              <a:effectLst/>
              <a:latin typeface="+mn-lt"/>
              <a:ea typeface="+mn-ea"/>
              <a:cs typeface="+mn-cs"/>
            </a:rPr>
            <a:t>0x61,</a:t>
          </a:r>
          <a:r>
            <a:rPr lang="en-US" altLang="zh-TW"/>
            <a:t> </a:t>
          </a:r>
          <a:r>
            <a:rPr lang="en-US" altLang="zh-TW" sz="1100" b="0" i="0" u="none" strike="noStrike">
              <a:solidFill>
                <a:schemeClr val="dk1"/>
              </a:solidFill>
              <a:effectLst/>
              <a:latin typeface="+mn-lt"/>
              <a:ea typeface="+mn-ea"/>
              <a:cs typeface="+mn-cs"/>
            </a:rPr>
            <a:t>0x62,</a:t>
          </a:r>
          <a:r>
            <a:rPr lang="en-US" altLang="zh-TW"/>
            <a:t> </a:t>
          </a:r>
          <a:r>
            <a:rPr lang="en-US" altLang="zh-TW" sz="1100" b="0" i="0" u="none" strike="noStrike">
              <a:solidFill>
                <a:schemeClr val="dk1"/>
              </a:solidFill>
              <a:effectLst/>
              <a:latin typeface="+mn-lt"/>
              <a:ea typeface="+mn-ea"/>
              <a:cs typeface="+mn-cs"/>
            </a:rPr>
            <a:t>0x63,</a:t>
          </a:r>
          <a:r>
            <a:rPr lang="en-US" altLang="zh-TW"/>
            <a:t> </a:t>
          </a:r>
          <a:r>
            <a:rPr lang="en-US" altLang="zh-TW" sz="1100" b="0" i="0" u="none" strike="noStrike">
              <a:solidFill>
                <a:schemeClr val="dk1"/>
              </a:solidFill>
              <a:effectLst/>
              <a:latin typeface="+mn-lt"/>
              <a:ea typeface="+mn-ea"/>
              <a:cs typeface="+mn-cs"/>
            </a:rPr>
            <a:t>0x64,</a:t>
          </a:r>
          <a:r>
            <a:rPr lang="en-US" altLang="zh-TW"/>
            <a:t> </a:t>
          </a:r>
          <a:r>
            <a:rPr lang="en-US" altLang="zh-TW" sz="1100" b="0" i="0" u="none" strike="noStrike">
              <a:solidFill>
                <a:schemeClr val="dk1"/>
              </a:solidFill>
              <a:effectLst/>
              <a:latin typeface="+mn-lt"/>
              <a:ea typeface="+mn-ea"/>
              <a:cs typeface="+mn-cs"/>
            </a:rPr>
            <a:t>0x65,</a:t>
          </a:r>
          <a:r>
            <a:rPr lang="en-US" altLang="zh-TW"/>
            <a:t> </a:t>
          </a:r>
          <a:r>
            <a:rPr lang="en-US" altLang="zh-TW" sz="1100" b="0" i="0" u="none" strike="noStrike">
              <a:solidFill>
                <a:schemeClr val="dk1"/>
              </a:solidFill>
              <a:effectLst/>
              <a:latin typeface="+mn-lt"/>
              <a:ea typeface="+mn-ea"/>
              <a:cs typeface="+mn-cs"/>
            </a:rPr>
            <a:t>0x66,</a:t>
          </a:r>
          <a:r>
            <a:rPr lang="en-US" altLang="zh-TW"/>
            <a:t> </a:t>
          </a:r>
          <a:r>
            <a:rPr lang="en-US" altLang="zh-TW" sz="1100" b="0" i="0" u="none" strike="noStrike">
              <a:solidFill>
                <a:schemeClr val="dk1"/>
              </a:solidFill>
              <a:effectLst/>
              <a:latin typeface="+mn-lt"/>
              <a:ea typeface="+mn-ea"/>
              <a:cs typeface="+mn-cs"/>
            </a:rPr>
            <a:t>0x67,</a:t>
          </a:r>
          <a:r>
            <a:rPr lang="en-US" altLang="zh-TW"/>
            <a:t> </a:t>
          </a:r>
          <a:r>
            <a:rPr lang="en-US" altLang="zh-TW" sz="1100" b="0" i="0" u="none" strike="noStrike">
              <a:solidFill>
                <a:schemeClr val="dk1"/>
              </a:solidFill>
              <a:effectLst/>
              <a:latin typeface="+mn-lt"/>
              <a:ea typeface="+mn-ea"/>
              <a:cs typeface="+mn-cs"/>
            </a:rPr>
            <a:t>0x68,</a:t>
          </a:r>
          <a:r>
            <a:rPr lang="en-US" altLang="zh-TW"/>
            <a:t> </a:t>
          </a:r>
          <a:r>
            <a:rPr lang="en-US" altLang="zh-TW" sz="1100" b="0" i="0" u="none" strike="noStrike">
              <a:solidFill>
                <a:schemeClr val="dk1"/>
              </a:solidFill>
              <a:effectLst/>
              <a:latin typeface="+mn-lt"/>
              <a:ea typeface="+mn-ea"/>
              <a:cs typeface="+mn-cs"/>
            </a:rPr>
            <a:t>0x69,</a:t>
          </a:r>
          <a:r>
            <a:rPr lang="en-US" altLang="zh-TW"/>
            <a:t> </a:t>
          </a:r>
          <a:r>
            <a:rPr lang="en-US" altLang="zh-TW" sz="1100" b="0" i="0" u="none" strike="noStrike">
              <a:solidFill>
                <a:schemeClr val="dk1"/>
              </a:solidFill>
              <a:effectLst/>
              <a:latin typeface="+mn-lt"/>
              <a:ea typeface="+mn-ea"/>
              <a:cs typeface="+mn-cs"/>
            </a:rPr>
            <a:t>0x6A,</a:t>
          </a:r>
          <a:r>
            <a:rPr lang="en-US" altLang="zh-TW"/>
            <a:t> </a:t>
          </a:r>
          <a:r>
            <a:rPr lang="en-US" altLang="zh-TW" sz="1100" b="0" i="0" u="none" strike="noStrike">
              <a:solidFill>
                <a:schemeClr val="dk1"/>
              </a:solidFill>
              <a:effectLst/>
              <a:latin typeface="+mn-lt"/>
              <a:ea typeface="+mn-ea"/>
              <a:cs typeface="+mn-cs"/>
            </a:rPr>
            <a:t>0x6B,</a:t>
          </a:r>
          <a:r>
            <a:rPr lang="en-US" altLang="zh-TW"/>
            <a:t> </a:t>
          </a:r>
          <a:r>
            <a:rPr lang="en-US" altLang="zh-TW" sz="1100" b="0" i="0" u="none" strike="noStrike">
              <a:solidFill>
                <a:schemeClr val="dk1"/>
              </a:solidFill>
              <a:effectLst/>
              <a:latin typeface="+mn-lt"/>
              <a:ea typeface="+mn-ea"/>
              <a:cs typeface="+mn-cs"/>
            </a:rPr>
            <a:t>0x6C,</a:t>
          </a:r>
          <a:r>
            <a:rPr lang="en-US" altLang="zh-TW"/>
            <a:t> </a:t>
          </a:r>
          <a:r>
            <a:rPr lang="en-US" altLang="zh-TW" sz="1100" b="0" i="0" u="none" strike="noStrike">
              <a:solidFill>
                <a:schemeClr val="dk1"/>
              </a:solidFill>
              <a:effectLst/>
              <a:latin typeface="+mn-lt"/>
              <a:ea typeface="+mn-ea"/>
              <a:cs typeface="+mn-cs"/>
            </a:rPr>
            <a:t>0x6D,</a:t>
          </a:r>
          <a:r>
            <a:rPr lang="en-US" altLang="zh-TW"/>
            <a:t> </a:t>
          </a:r>
          <a:r>
            <a:rPr lang="en-US" altLang="zh-TW" sz="1100" b="0" i="0" u="none" strike="noStrike">
              <a:solidFill>
                <a:schemeClr val="dk1"/>
              </a:solidFill>
              <a:effectLst/>
              <a:latin typeface="+mn-lt"/>
              <a:ea typeface="+mn-ea"/>
              <a:cs typeface="+mn-cs"/>
            </a:rPr>
            <a:t>0x6E,</a:t>
          </a:r>
          <a:r>
            <a:rPr lang="en-US" altLang="zh-TW"/>
            <a:t> </a:t>
          </a:r>
          <a:r>
            <a:rPr lang="en-US" altLang="zh-TW" sz="1100" b="0" i="0" u="none" strike="noStrike">
              <a:solidFill>
                <a:schemeClr val="dk1"/>
              </a:solidFill>
              <a:effectLst/>
              <a:latin typeface="+mn-lt"/>
              <a:ea typeface="+mn-ea"/>
              <a:cs typeface="+mn-cs"/>
            </a:rPr>
            <a:t>0x6F,</a:t>
          </a:r>
          <a:r>
            <a:rPr lang="en-US" altLang="zh-TW"/>
            <a:t> </a:t>
          </a:r>
          <a:r>
            <a:rPr lang="en-US" altLang="zh-TW" sz="1100" b="0" i="0" u="none" strike="noStrike">
              <a:solidFill>
                <a:schemeClr val="dk1"/>
              </a:solidFill>
              <a:effectLst/>
              <a:latin typeface="+mn-lt"/>
              <a:ea typeface="+mn-ea"/>
              <a:cs typeface="+mn-cs"/>
            </a:rPr>
            <a:t>0x70,</a:t>
          </a:r>
          <a:r>
            <a:rPr lang="en-US" altLang="zh-TW"/>
            <a:t> </a:t>
          </a:r>
          <a:r>
            <a:rPr lang="en-US" altLang="zh-TW" sz="1100" b="0" i="0" u="none" strike="noStrike">
              <a:solidFill>
                <a:schemeClr val="dk1"/>
              </a:solidFill>
              <a:effectLst/>
              <a:latin typeface="+mn-lt"/>
              <a:ea typeface="+mn-ea"/>
              <a:cs typeface="+mn-cs"/>
            </a:rPr>
            <a:t>0x71,</a:t>
          </a:r>
          <a:r>
            <a:rPr lang="en-US" altLang="zh-TW"/>
            <a:t> </a:t>
          </a:r>
          <a:r>
            <a:rPr lang="en-US" altLang="zh-TW" sz="1100" b="0" i="0" u="none" strike="noStrike">
              <a:solidFill>
                <a:schemeClr val="dk1"/>
              </a:solidFill>
              <a:effectLst/>
              <a:latin typeface="+mn-lt"/>
              <a:ea typeface="+mn-ea"/>
              <a:cs typeface="+mn-cs"/>
            </a:rPr>
            <a:t>0x72,</a:t>
          </a:r>
          <a:r>
            <a:rPr lang="en-US" altLang="zh-TW"/>
            <a:t> </a:t>
          </a:r>
          <a:r>
            <a:rPr lang="en-US" altLang="zh-TW" sz="1100" b="0" i="0" u="none" strike="noStrike">
              <a:solidFill>
                <a:schemeClr val="dk1"/>
              </a:solidFill>
              <a:effectLst/>
              <a:latin typeface="+mn-lt"/>
              <a:ea typeface="+mn-ea"/>
              <a:cs typeface="+mn-cs"/>
            </a:rPr>
            <a:t>0x73,</a:t>
          </a:r>
          <a:r>
            <a:rPr lang="en-US" altLang="zh-TW"/>
            <a:t> </a:t>
          </a:r>
          <a:r>
            <a:rPr lang="en-US" altLang="zh-TW" sz="1100" b="0" i="0" u="none" strike="noStrike">
              <a:solidFill>
                <a:schemeClr val="dk1"/>
              </a:solidFill>
              <a:effectLst/>
              <a:latin typeface="+mn-lt"/>
              <a:ea typeface="+mn-ea"/>
              <a:cs typeface="+mn-cs"/>
            </a:rPr>
            <a:t>0x74,</a:t>
          </a:r>
          <a:r>
            <a:rPr lang="en-US" altLang="zh-TW"/>
            <a:t> </a:t>
          </a:r>
          <a:r>
            <a:rPr lang="en-US" altLang="zh-TW" sz="1100" b="0" i="0" u="none" strike="noStrike">
              <a:solidFill>
                <a:schemeClr val="dk1"/>
              </a:solidFill>
              <a:effectLst/>
              <a:latin typeface="+mn-lt"/>
              <a:ea typeface="+mn-ea"/>
              <a:cs typeface="+mn-cs"/>
            </a:rPr>
            <a:t>0x75,</a:t>
          </a:r>
          <a:r>
            <a:rPr lang="en-US" altLang="zh-TW"/>
            <a:t> </a:t>
          </a:r>
          <a:r>
            <a:rPr lang="en-US" altLang="zh-TW" sz="1100" b="0" i="0" u="none" strike="noStrike">
              <a:solidFill>
                <a:schemeClr val="dk1"/>
              </a:solidFill>
              <a:effectLst/>
              <a:latin typeface="+mn-lt"/>
              <a:ea typeface="+mn-ea"/>
              <a:cs typeface="+mn-cs"/>
            </a:rPr>
            <a:t>0x76,</a:t>
          </a:r>
          <a:r>
            <a:rPr lang="en-US" altLang="zh-TW"/>
            <a:t> </a:t>
          </a:r>
          <a:r>
            <a:rPr lang="en-US" altLang="zh-TW" sz="1100" b="0" i="0" u="none" strike="noStrike">
              <a:solidFill>
                <a:schemeClr val="dk1"/>
              </a:solidFill>
              <a:effectLst/>
              <a:latin typeface="+mn-lt"/>
              <a:ea typeface="+mn-ea"/>
              <a:cs typeface="+mn-cs"/>
            </a:rPr>
            <a:t>0x77,</a:t>
          </a:r>
          <a:r>
            <a:rPr lang="en-US" altLang="zh-TW"/>
            <a:t> </a:t>
          </a:r>
          <a:r>
            <a:rPr lang="en-US" altLang="zh-TW" sz="1100" b="0" i="0" u="none" strike="noStrike">
              <a:solidFill>
                <a:schemeClr val="dk1"/>
              </a:solidFill>
              <a:effectLst/>
              <a:latin typeface="+mn-lt"/>
              <a:ea typeface="+mn-ea"/>
              <a:cs typeface="+mn-cs"/>
            </a:rPr>
            <a:t>0x77,</a:t>
          </a:r>
          <a:r>
            <a:rPr lang="en-US" altLang="zh-TW"/>
            <a:t> </a:t>
          </a:r>
          <a:r>
            <a:rPr lang="en-US" altLang="zh-TW" sz="1100" b="0" i="0" u="none" strike="noStrike">
              <a:solidFill>
                <a:schemeClr val="dk1"/>
              </a:solidFill>
              <a:effectLst/>
              <a:latin typeface="+mn-lt"/>
              <a:ea typeface="+mn-ea"/>
              <a:cs typeface="+mn-cs"/>
            </a:rPr>
            <a:t>0x76,</a:t>
          </a:r>
          <a:r>
            <a:rPr lang="en-US" altLang="zh-TW"/>
            <a:t> </a:t>
          </a:r>
          <a:r>
            <a:rPr lang="en-US" altLang="zh-TW" sz="1100" b="0" i="0" u="none" strike="noStrike">
              <a:solidFill>
                <a:schemeClr val="dk1"/>
              </a:solidFill>
              <a:effectLst/>
              <a:latin typeface="+mn-lt"/>
              <a:ea typeface="+mn-ea"/>
              <a:cs typeface="+mn-cs"/>
            </a:rPr>
            <a:t>0x75,</a:t>
          </a:r>
          <a:r>
            <a:rPr lang="en-US" altLang="zh-TW"/>
            <a:t> </a:t>
          </a:r>
          <a:r>
            <a:rPr lang="en-US" altLang="zh-TW" sz="1100" b="0" i="0" u="none" strike="noStrike">
              <a:solidFill>
                <a:schemeClr val="dk1"/>
              </a:solidFill>
              <a:effectLst/>
              <a:latin typeface="+mn-lt"/>
              <a:ea typeface="+mn-ea"/>
              <a:cs typeface="+mn-cs"/>
            </a:rPr>
            <a:t>0x74,</a:t>
          </a:r>
          <a:r>
            <a:rPr lang="en-US" altLang="zh-TW"/>
            <a:t> </a:t>
          </a:r>
          <a:r>
            <a:rPr lang="en-US" altLang="zh-TW" sz="1100" b="0" i="0" u="none" strike="noStrike">
              <a:solidFill>
                <a:schemeClr val="dk1"/>
              </a:solidFill>
              <a:effectLst/>
              <a:latin typeface="+mn-lt"/>
              <a:ea typeface="+mn-ea"/>
              <a:cs typeface="+mn-cs"/>
            </a:rPr>
            <a:t>0x73,</a:t>
          </a:r>
          <a:r>
            <a:rPr lang="en-US" altLang="zh-TW"/>
            <a:t> </a:t>
          </a:r>
          <a:r>
            <a:rPr lang="en-US" altLang="zh-TW" sz="1100" b="0" i="0" u="none" strike="noStrike">
              <a:solidFill>
                <a:schemeClr val="dk1"/>
              </a:solidFill>
              <a:effectLst/>
              <a:latin typeface="+mn-lt"/>
              <a:ea typeface="+mn-ea"/>
              <a:cs typeface="+mn-cs"/>
            </a:rPr>
            <a:t>0x72,</a:t>
          </a:r>
          <a:r>
            <a:rPr lang="en-US" altLang="zh-TW"/>
            <a:t> </a:t>
          </a:r>
          <a:r>
            <a:rPr lang="en-US" altLang="zh-TW" sz="1100" b="0" i="0" u="none" strike="noStrike">
              <a:solidFill>
                <a:schemeClr val="dk1"/>
              </a:solidFill>
              <a:effectLst/>
              <a:latin typeface="+mn-lt"/>
              <a:ea typeface="+mn-ea"/>
              <a:cs typeface="+mn-cs"/>
            </a:rPr>
            <a:t>0x71,</a:t>
          </a:r>
          <a:r>
            <a:rPr lang="en-US" altLang="zh-TW"/>
            <a:t> </a:t>
          </a:r>
          <a:r>
            <a:rPr lang="en-US" altLang="zh-TW" sz="1100" b="0" i="0" u="none" strike="noStrike">
              <a:solidFill>
                <a:schemeClr val="dk1"/>
              </a:solidFill>
              <a:effectLst/>
              <a:latin typeface="+mn-lt"/>
              <a:ea typeface="+mn-ea"/>
              <a:cs typeface="+mn-cs"/>
            </a:rPr>
            <a:t>0x70,</a:t>
          </a:r>
          <a:r>
            <a:rPr lang="en-US" altLang="zh-TW"/>
            <a:t> </a:t>
          </a:r>
          <a:r>
            <a:rPr lang="en-US" altLang="zh-TW" sz="1100" b="0" i="0" u="none" strike="noStrike">
              <a:solidFill>
                <a:schemeClr val="dk1"/>
              </a:solidFill>
              <a:effectLst/>
              <a:latin typeface="+mn-lt"/>
              <a:ea typeface="+mn-ea"/>
              <a:cs typeface="+mn-cs"/>
            </a:rPr>
            <a:t>0x6F,</a:t>
          </a:r>
          <a:r>
            <a:rPr lang="en-US" altLang="zh-TW"/>
            <a:t> </a:t>
          </a:r>
          <a:r>
            <a:rPr lang="en-US" altLang="zh-TW" sz="1100" b="0" i="0" u="none" strike="noStrike">
              <a:solidFill>
                <a:schemeClr val="dk1"/>
              </a:solidFill>
              <a:effectLst/>
              <a:latin typeface="+mn-lt"/>
              <a:ea typeface="+mn-ea"/>
              <a:cs typeface="+mn-cs"/>
            </a:rPr>
            <a:t>0x6E,</a:t>
          </a:r>
          <a:r>
            <a:rPr lang="en-US" altLang="zh-TW"/>
            <a:t> </a:t>
          </a:r>
          <a:r>
            <a:rPr lang="en-US" altLang="zh-TW" sz="1100" b="0" i="0" u="none" strike="noStrike">
              <a:solidFill>
                <a:schemeClr val="dk1"/>
              </a:solidFill>
              <a:effectLst/>
              <a:latin typeface="+mn-lt"/>
              <a:ea typeface="+mn-ea"/>
              <a:cs typeface="+mn-cs"/>
            </a:rPr>
            <a:t>0x6D,</a:t>
          </a:r>
          <a:r>
            <a:rPr lang="en-US" altLang="zh-TW"/>
            <a:t> </a:t>
          </a:r>
          <a:r>
            <a:rPr lang="en-US" altLang="zh-TW" sz="1100" b="0" i="0" u="none" strike="noStrike">
              <a:solidFill>
                <a:schemeClr val="dk1"/>
              </a:solidFill>
              <a:effectLst/>
              <a:latin typeface="+mn-lt"/>
              <a:ea typeface="+mn-ea"/>
              <a:cs typeface="+mn-cs"/>
            </a:rPr>
            <a:t>0x6C,</a:t>
          </a:r>
          <a:r>
            <a:rPr lang="en-US" altLang="zh-TW"/>
            <a:t> </a:t>
          </a:r>
          <a:r>
            <a:rPr lang="en-US" altLang="zh-TW" sz="1100" b="0" i="0" u="none" strike="noStrike">
              <a:solidFill>
                <a:schemeClr val="dk1"/>
              </a:solidFill>
              <a:effectLst/>
              <a:latin typeface="+mn-lt"/>
              <a:ea typeface="+mn-ea"/>
              <a:cs typeface="+mn-cs"/>
            </a:rPr>
            <a:t>0x6B,</a:t>
          </a:r>
          <a:r>
            <a:rPr lang="en-US" altLang="zh-TW"/>
            <a:t> </a:t>
          </a:r>
          <a:r>
            <a:rPr lang="en-US" altLang="zh-TW" sz="1100" b="0" i="0" u="none" strike="noStrike">
              <a:solidFill>
                <a:schemeClr val="dk1"/>
              </a:solidFill>
              <a:effectLst/>
              <a:latin typeface="+mn-lt"/>
              <a:ea typeface="+mn-ea"/>
              <a:cs typeface="+mn-cs"/>
            </a:rPr>
            <a:t>0x6A,</a:t>
          </a:r>
          <a:r>
            <a:rPr lang="en-US" altLang="zh-TW"/>
            <a:t> </a:t>
          </a:r>
          <a:r>
            <a:rPr lang="en-US" altLang="zh-TW" sz="1100" b="0" i="0" u="none" strike="noStrike">
              <a:solidFill>
                <a:schemeClr val="dk1"/>
              </a:solidFill>
              <a:effectLst/>
              <a:latin typeface="+mn-lt"/>
              <a:ea typeface="+mn-ea"/>
              <a:cs typeface="+mn-cs"/>
            </a:rPr>
            <a:t>0x69,</a:t>
          </a:r>
          <a:r>
            <a:rPr lang="en-US" altLang="zh-TW"/>
            <a:t> </a:t>
          </a:r>
          <a:r>
            <a:rPr lang="en-US" altLang="zh-TW" sz="1100" b="0" i="0" u="none" strike="noStrike">
              <a:solidFill>
                <a:schemeClr val="dk1"/>
              </a:solidFill>
              <a:effectLst/>
              <a:latin typeface="+mn-lt"/>
              <a:ea typeface="+mn-ea"/>
              <a:cs typeface="+mn-cs"/>
            </a:rPr>
            <a:t>0x68,</a:t>
          </a:r>
          <a:r>
            <a:rPr lang="en-US" altLang="zh-TW"/>
            <a:t> </a:t>
          </a:r>
          <a:r>
            <a:rPr lang="en-US" altLang="zh-TW" sz="1100" b="0" i="0" u="none" strike="noStrike">
              <a:solidFill>
                <a:schemeClr val="dk1"/>
              </a:solidFill>
              <a:effectLst/>
              <a:latin typeface="+mn-lt"/>
              <a:ea typeface="+mn-ea"/>
              <a:cs typeface="+mn-cs"/>
            </a:rPr>
            <a:t>0x67,</a:t>
          </a:r>
          <a:r>
            <a:rPr lang="en-US" altLang="zh-TW"/>
            <a:t> </a:t>
          </a:r>
          <a:r>
            <a:rPr lang="en-US" altLang="zh-TW" sz="1100" b="0" i="0" u="none" strike="noStrike">
              <a:solidFill>
                <a:schemeClr val="dk1"/>
              </a:solidFill>
              <a:effectLst/>
              <a:latin typeface="+mn-lt"/>
              <a:ea typeface="+mn-ea"/>
              <a:cs typeface="+mn-cs"/>
            </a:rPr>
            <a:t>0x66,</a:t>
          </a:r>
          <a:r>
            <a:rPr lang="en-US" altLang="zh-TW"/>
            <a:t> </a:t>
          </a:r>
          <a:r>
            <a:rPr lang="en-US" altLang="zh-TW" sz="1100" b="0" i="0" u="none" strike="noStrike">
              <a:solidFill>
                <a:schemeClr val="dk1"/>
              </a:solidFill>
              <a:effectLst/>
              <a:latin typeface="+mn-lt"/>
              <a:ea typeface="+mn-ea"/>
              <a:cs typeface="+mn-cs"/>
            </a:rPr>
            <a:t>0x65,</a:t>
          </a:r>
          <a:r>
            <a:rPr lang="en-US" altLang="zh-TW"/>
            <a:t> </a:t>
          </a:r>
          <a:r>
            <a:rPr lang="en-US" altLang="zh-TW" sz="1100" b="0" i="0" u="none" strike="noStrike">
              <a:solidFill>
                <a:schemeClr val="dk1"/>
              </a:solidFill>
              <a:effectLst/>
              <a:latin typeface="+mn-lt"/>
              <a:ea typeface="+mn-ea"/>
              <a:cs typeface="+mn-cs"/>
            </a:rPr>
            <a:t>0x64,</a:t>
          </a:r>
          <a:r>
            <a:rPr lang="en-US" altLang="zh-TW"/>
            <a:t> </a:t>
          </a:r>
          <a:r>
            <a:rPr lang="en-US" altLang="zh-TW" sz="1100" b="0" i="0" u="none" strike="noStrike">
              <a:solidFill>
                <a:schemeClr val="dk1"/>
              </a:solidFill>
              <a:effectLst/>
              <a:latin typeface="+mn-lt"/>
              <a:ea typeface="+mn-ea"/>
              <a:cs typeface="+mn-cs"/>
            </a:rPr>
            <a:t>0x63,</a:t>
          </a:r>
          <a:r>
            <a:rPr lang="en-US" altLang="zh-TW"/>
            <a:t> </a:t>
          </a:r>
          <a:r>
            <a:rPr lang="en-US" altLang="zh-TW" sz="1100" b="0" i="0" u="none" strike="noStrike">
              <a:solidFill>
                <a:schemeClr val="dk1"/>
              </a:solidFill>
              <a:effectLst/>
              <a:latin typeface="+mn-lt"/>
              <a:ea typeface="+mn-ea"/>
              <a:cs typeface="+mn-cs"/>
            </a:rPr>
            <a:t>0x62,</a:t>
          </a:r>
          <a:r>
            <a:rPr lang="en-US" altLang="zh-TW"/>
            <a:t> </a:t>
          </a:r>
          <a:r>
            <a:rPr lang="en-US" altLang="zh-TW" sz="1100" b="0" i="0" u="none" strike="noStrike">
              <a:solidFill>
                <a:schemeClr val="dk1"/>
              </a:solidFill>
              <a:effectLst/>
              <a:latin typeface="+mn-lt"/>
              <a:ea typeface="+mn-ea"/>
              <a:cs typeface="+mn-cs"/>
            </a:rPr>
            <a:t>0x61,</a:t>
          </a:r>
          <a:r>
            <a:rPr lang="en-US" altLang="zh-TW"/>
            <a:t> </a:t>
          </a:r>
          <a:r>
            <a:rPr lang="en-US" altLang="zh-TW" sz="1100" b="0" i="0" u="none" strike="noStrike">
              <a:solidFill>
                <a:schemeClr val="dk1"/>
              </a:solidFill>
              <a:effectLst/>
              <a:latin typeface="+mn-lt"/>
              <a:ea typeface="+mn-ea"/>
              <a:cs typeface="+mn-cs"/>
            </a:rPr>
            <a:t>0x60,</a:t>
          </a:r>
          <a:r>
            <a:rPr lang="en-US" altLang="zh-TW"/>
            <a:t> </a:t>
          </a:r>
          <a:r>
            <a:rPr lang="en-US" altLang="zh-TW" sz="1100" b="0" i="0" u="none" strike="noStrike">
              <a:solidFill>
                <a:schemeClr val="dk1"/>
              </a:solidFill>
              <a:effectLst/>
              <a:latin typeface="+mn-lt"/>
              <a:ea typeface="+mn-ea"/>
              <a:cs typeface="+mn-cs"/>
            </a:rPr>
            <a:t>0x5F,</a:t>
          </a:r>
          <a:r>
            <a:rPr lang="en-US" altLang="zh-TW"/>
            <a:t> </a:t>
          </a:r>
          <a:r>
            <a:rPr lang="en-US" altLang="zh-TW" sz="1100" b="0" i="0" u="none" strike="noStrike">
              <a:solidFill>
                <a:schemeClr val="dk1"/>
              </a:solidFill>
              <a:effectLst/>
              <a:latin typeface="+mn-lt"/>
              <a:ea typeface="+mn-ea"/>
              <a:cs typeface="+mn-cs"/>
            </a:rPr>
            <a:t>0x5E,</a:t>
          </a:r>
          <a:r>
            <a:rPr lang="en-US" altLang="zh-TW"/>
            <a:t> </a:t>
          </a:r>
          <a:r>
            <a:rPr lang="en-US" altLang="zh-TW" sz="1100" b="0" i="0" u="none" strike="noStrike">
              <a:solidFill>
                <a:schemeClr val="dk1"/>
              </a:solidFill>
              <a:effectLst/>
              <a:latin typeface="+mn-lt"/>
              <a:ea typeface="+mn-ea"/>
              <a:cs typeface="+mn-cs"/>
            </a:rPr>
            <a:t>0x5D,</a:t>
          </a:r>
          <a:r>
            <a:rPr lang="en-US" altLang="zh-TW"/>
            <a:t> </a:t>
          </a:r>
          <a:r>
            <a:rPr lang="en-US" altLang="zh-TW" sz="1100" b="0" i="0" u="none" strike="noStrike">
              <a:solidFill>
                <a:schemeClr val="dk1"/>
              </a:solidFill>
              <a:effectLst/>
              <a:latin typeface="+mn-lt"/>
              <a:ea typeface="+mn-ea"/>
              <a:cs typeface="+mn-cs"/>
            </a:rPr>
            <a:t>0x5C,</a:t>
          </a:r>
          <a:r>
            <a:rPr lang="en-US" altLang="zh-TW"/>
            <a:t> </a:t>
          </a:r>
          <a:r>
            <a:rPr lang="en-US" altLang="zh-TW" sz="1100" b="0" i="0" u="none" strike="noStrike">
              <a:solidFill>
                <a:schemeClr val="dk1"/>
              </a:solidFill>
              <a:effectLst/>
              <a:latin typeface="+mn-lt"/>
              <a:ea typeface="+mn-ea"/>
              <a:cs typeface="+mn-cs"/>
            </a:rPr>
            <a:t>0x5B,</a:t>
          </a:r>
          <a:r>
            <a:rPr lang="en-US" altLang="zh-TW"/>
            <a:t> </a:t>
          </a:r>
          <a:r>
            <a:rPr lang="en-US" altLang="zh-TW" sz="1100" b="0" i="0" u="none" strike="noStrike">
              <a:solidFill>
                <a:schemeClr val="dk1"/>
              </a:solidFill>
              <a:effectLst/>
              <a:latin typeface="+mn-lt"/>
              <a:ea typeface="+mn-ea"/>
              <a:cs typeface="+mn-cs"/>
            </a:rPr>
            <a:t>0x5A,</a:t>
          </a:r>
          <a:r>
            <a:rPr lang="en-US" altLang="zh-TW"/>
            <a:t> </a:t>
          </a:r>
          <a:r>
            <a:rPr lang="en-US" altLang="zh-TW" sz="1100" b="0" i="0" u="none" strike="noStrike">
              <a:solidFill>
                <a:schemeClr val="dk1"/>
              </a:solidFill>
              <a:effectLst/>
              <a:latin typeface="+mn-lt"/>
              <a:ea typeface="+mn-ea"/>
              <a:cs typeface="+mn-cs"/>
            </a:rPr>
            <a:t>0x59,</a:t>
          </a:r>
          <a:r>
            <a:rPr lang="en-US" altLang="zh-TW"/>
            <a:t> </a:t>
          </a:r>
          <a:r>
            <a:rPr lang="en-US" altLang="zh-TW" sz="1100" b="0" i="0" u="none" strike="noStrike">
              <a:solidFill>
                <a:schemeClr val="dk1"/>
              </a:solidFill>
              <a:effectLst/>
              <a:latin typeface="+mn-lt"/>
              <a:ea typeface="+mn-ea"/>
              <a:cs typeface="+mn-cs"/>
            </a:rPr>
            <a:t>0x58,</a:t>
          </a:r>
          <a:r>
            <a:rPr lang="en-US" altLang="zh-TW"/>
            <a:t> </a:t>
          </a:r>
          <a:r>
            <a:rPr lang="en-US" altLang="zh-TW" sz="1100" b="0" i="0" u="none" strike="noStrike">
              <a:solidFill>
                <a:schemeClr val="dk1"/>
              </a:solidFill>
              <a:effectLst/>
              <a:latin typeface="+mn-lt"/>
              <a:ea typeface="+mn-ea"/>
              <a:cs typeface="+mn-cs"/>
            </a:rPr>
            <a:t>0x57,</a:t>
          </a:r>
          <a:r>
            <a:rPr lang="en-US" altLang="zh-TW"/>
            <a:t> </a:t>
          </a:r>
          <a:r>
            <a:rPr lang="en-US" altLang="zh-TW" sz="1100" b="0" i="0" u="none" strike="noStrike">
              <a:solidFill>
                <a:schemeClr val="dk1"/>
              </a:solidFill>
              <a:effectLst/>
              <a:latin typeface="+mn-lt"/>
              <a:ea typeface="+mn-ea"/>
              <a:cs typeface="+mn-cs"/>
            </a:rPr>
            <a:t>0x56,</a:t>
          </a:r>
          <a:r>
            <a:rPr lang="en-US" altLang="zh-TW"/>
            <a:t> </a:t>
          </a:r>
          <a:r>
            <a:rPr lang="en-US" altLang="zh-TW" sz="1100" b="0" i="0" u="none" strike="noStrike">
              <a:solidFill>
                <a:schemeClr val="dk1"/>
              </a:solidFill>
              <a:effectLst/>
              <a:latin typeface="+mn-lt"/>
              <a:ea typeface="+mn-ea"/>
              <a:cs typeface="+mn-cs"/>
            </a:rPr>
            <a:t>0x55,</a:t>
          </a:r>
          <a:r>
            <a:rPr lang="en-US" altLang="zh-TW"/>
            <a:t> </a:t>
          </a:r>
          <a:r>
            <a:rPr lang="en-US" altLang="zh-TW" sz="1100" b="0" i="0" u="none" strike="noStrike">
              <a:solidFill>
                <a:schemeClr val="dk1"/>
              </a:solidFill>
              <a:effectLst/>
              <a:latin typeface="+mn-lt"/>
              <a:ea typeface="+mn-ea"/>
              <a:cs typeface="+mn-cs"/>
            </a:rPr>
            <a:t>0x54,</a:t>
          </a:r>
          <a:r>
            <a:rPr lang="en-US" altLang="zh-TW"/>
            <a:t> </a:t>
          </a:r>
          <a:r>
            <a:rPr lang="en-US" altLang="zh-TW" sz="1100" b="0" i="0" u="none" strike="noStrike">
              <a:solidFill>
                <a:schemeClr val="dk1"/>
              </a:solidFill>
              <a:effectLst/>
              <a:latin typeface="+mn-lt"/>
              <a:ea typeface="+mn-ea"/>
              <a:cs typeface="+mn-cs"/>
            </a:rPr>
            <a:t>0x53,</a:t>
          </a:r>
          <a:r>
            <a:rPr lang="en-US" altLang="zh-TW"/>
            <a:t> </a:t>
          </a:r>
          <a:r>
            <a:rPr lang="en-US" altLang="zh-TW" sz="1100" b="0" i="0" u="none" strike="noStrike">
              <a:solidFill>
                <a:schemeClr val="dk1"/>
              </a:solidFill>
              <a:effectLst/>
              <a:latin typeface="+mn-lt"/>
              <a:ea typeface="+mn-ea"/>
              <a:cs typeface="+mn-cs"/>
            </a:rPr>
            <a:t>0x52,</a:t>
          </a:r>
          <a:r>
            <a:rPr lang="en-US" altLang="zh-TW"/>
            <a:t> </a:t>
          </a:r>
          <a:r>
            <a:rPr lang="en-US" altLang="zh-TW" sz="1100" b="0" i="0" u="none" strike="noStrike">
              <a:solidFill>
                <a:schemeClr val="dk1"/>
              </a:solidFill>
              <a:effectLst/>
              <a:latin typeface="+mn-lt"/>
              <a:ea typeface="+mn-ea"/>
              <a:cs typeface="+mn-cs"/>
            </a:rPr>
            <a:t>0x51,</a:t>
          </a:r>
          <a:r>
            <a:rPr lang="en-US" altLang="zh-TW"/>
            <a:t> </a:t>
          </a:r>
          <a:r>
            <a:rPr lang="en-US" altLang="zh-TW" sz="1100" b="0" i="0" u="none" strike="noStrike">
              <a:solidFill>
                <a:schemeClr val="dk1"/>
              </a:solidFill>
              <a:effectLst/>
              <a:latin typeface="+mn-lt"/>
              <a:ea typeface="+mn-ea"/>
              <a:cs typeface="+mn-cs"/>
            </a:rPr>
            <a:t>0x50,</a:t>
          </a:r>
          <a:r>
            <a:rPr lang="en-US" altLang="zh-TW"/>
            <a:t> </a:t>
          </a:r>
          <a:r>
            <a:rPr lang="en-US" altLang="zh-TW" sz="1100" b="0" i="0" u="none" strike="noStrike">
              <a:solidFill>
                <a:schemeClr val="dk1"/>
              </a:solidFill>
              <a:effectLst/>
              <a:latin typeface="+mn-lt"/>
              <a:ea typeface="+mn-ea"/>
              <a:cs typeface="+mn-cs"/>
            </a:rPr>
            <a:t>0x4F,</a:t>
          </a:r>
          <a:r>
            <a:rPr lang="en-US" altLang="zh-TW"/>
            <a:t> </a:t>
          </a:r>
          <a:r>
            <a:rPr lang="en-US" altLang="zh-TW" sz="1100" b="0" i="0" u="none" strike="noStrike">
              <a:solidFill>
                <a:schemeClr val="dk1"/>
              </a:solidFill>
              <a:effectLst/>
              <a:latin typeface="+mn-lt"/>
              <a:ea typeface="+mn-ea"/>
              <a:cs typeface="+mn-cs"/>
            </a:rPr>
            <a:t>0x4E,</a:t>
          </a:r>
          <a:r>
            <a:rPr lang="en-US" altLang="zh-TW"/>
            <a:t> </a:t>
          </a:r>
          <a:r>
            <a:rPr lang="en-US" altLang="zh-TW" sz="1100" b="0" i="0" u="none" strike="noStrike">
              <a:solidFill>
                <a:schemeClr val="dk1"/>
              </a:solidFill>
              <a:effectLst/>
              <a:latin typeface="+mn-lt"/>
              <a:ea typeface="+mn-ea"/>
              <a:cs typeface="+mn-cs"/>
            </a:rPr>
            <a:t>0x4D,</a:t>
          </a:r>
          <a:r>
            <a:rPr lang="en-US" altLang="zh-TW"/>
            <a:t> </a:t>
          </a:r>
          <a:r>
            <a:rPr lang="en-US" altLang="zh-TW" sz="1100" b="0" i="0" u="none" strike="noStrike">
              <a:solidFill>
                <a:schemeClr val="dk1"/>
              </a:solidFill>
              <a:effectLst/>
              <a:latin typeface="+mn-lt"/>
              <a:ea typeface="+mn-ea"/>
              <a:cs typeface="+mn-cs"/>
            </a:rPr>
            <a:t>0x4C,</a:t>
          </a:r>
          <a:r>
            <a:rPr lang="en-US" altLang="zh-TW"/>
            <a:t> </a:t>
          </a:r>
          <a:r>
            <a:rPr lang="en-US" altLang="zh-TW" sz="1100" b="0" i="0" u="none" strike="noStrike">
              <a:solidFill>
                <a:schemeClr val="dk1"/>
              </a:solidFill>
              <a:effectLst/>
              <a:latin typeface="+mn-lt"/>
              <a:ea typeface="+mn-ea"/>
              <a:cs typeface="+mn-cs"/>
            </a:rPr>
            <a:t>0x4B,</a:t>
          </a:r>
          <a:r>
            <a:rPr lang="en-US" altLang="zh-TW"/>
            <a:t> </a:t>
          </a:r>
          <a:r>
            <a:rPr lang="en-US" altLang="zh-TW" sz="1100" b="0" i="0" u="none" strike="noStrike">
              <a:solidFill>
                <a:schemeClr val="dk1"/>
              </a:solidFill>
              <a:effectLst/>
              <a:latin typeface="+mn-lt"/>
              <a:ea typeface="+mn-ea"/>
              <a:cs typeface="+mn-cs"/>
            </a:rPr>
            <a:t>0x4A,</a:t>
          </a:r>
          <a:r>
            <a:rPr lang="en-US" altLang="zh-TW"/>
            <a:t> </a:t>
          </a:r>
          <a:r>
            <a:rPr lang="en-US" altLang="zh-TW" sz="1100" b="0" i="0" u="none" strike="noStrike">
              <a:solidFill>
                <a:schemeClr val="dk1"/>
              </a:solidFill>
              <a:effectLst/>
              <a:latin typeface="+mn-lt"/>
              <a:ea typeface="+mn-ea"/>
              <a:cs typeface="+mn-cs"/>
            </a:rPr>
            <a:t>0x49,</a:t>
          </a:r>
          <a:r>
            <a:rPr lang="en-US" altLang="zh-TW"/>
            <a:t> </a:t>
          </a:r>
          <a:r>
            <a:rPr lang="en-US" altLang="zh-TW" sz="1100" b="0" i="0" u="none" strike="noStrike">
              <a:solidFill>
                <a:schemeClr val="dk1"/>
              </a:solidFill>
              <a:effectLst/>
              <a:latin typeface="+mn-lt"/>
              <a:ea typeface="+mn-ea"/>
              <a:cs typeface="+mn-cs"/>
            </a:rPr>
            <a:t>0x48,</a:t>
          </a:r>
          <a:r>
            <a:rPr lang="en-US" altLang="zh-TW"/>
            <a:t> </a:t>
          </a:r>
          <a:r>
            <a:rPr lang="en-US" altLang="zh-TW" sz="1100" b="0" i="0" u="none" strike="noStrike">
              <a:solidFill>
                <a:schemeClr val="dk1"/>
              </a:solidFill>
              <a:effectLst/>
              <a:latin typeface="+mn-lt"/>
              <a:ea typeface="+mn-ea"/>
              <a:cs typeface="+mn-cs"/>
            </a:rPr>
            <a:t>0x47,</a:t>
          </a:r>
          <a:r>
            <a:rPr lang="en-US" altLang="zh-TW"/>
            <a:t> </a:t>
          </a:r>
          <a:r>
            <a:rPr lang="en-US" altLang="zh-TW" sz="1100" b="0" i="0" u="none" strike="noStrike">
              <a:solidFill>
                <a:schemeClr val="dk1"/>
              </a:solidFill>
              <a:effectLst/>
              <a:latin typeface="+mn-lt"/>
              <a:ea typeface="+mn-ea"/>
              <a:cs typeface="+mn-cs"/>
            </a:rPr>
            <a:t>0x46,</a:t>
          </a:r>
          <a:r>
            <a:rPr lang="en-US" altLang="zh-TW"/>
            <a:t> </a:t>
          </a:r>
          <a:r>
            <a:rPr lang="en-US" altLang="zh-TW" sz="1100" b="0" i="0" u="none" strike="noStrike">
              <a:solidFill>
                <a:schemeClr val="dk1"/>
              </a:solidFill>
              <a:effectLst/>
              <a:latin typeface="+mn-lt"/>
              <a:ea typeface="+mn-ea"/>
              <a:cs typeface="+mn-cs"/>
            </a:rPr>
            <a:t>0x45,</a:t>
          </a:r>
          <a:r>
            <a:rPr lang="en-US" altLang="zh-TW"/>
            <a:t> </a:t>
          </a:r>
          <a:r>
            <a:rPr lang="en-US" altLang="zh-TW" sz="1100" b="0" i="0" u="none" strike="noStrike">
              <a:solidFill>
                <a:schemeClr val="dk1"/>
              </a:solidFill>
              <a:effectLst/>
              <a:latin typeface="+mn-lt"/>
              <a:ea typeface="+mn-ea"/>
              <a:cs typeface="+mn-cs"/>
            </a:rPr>
            <a:t>0x44,</a:t>
          </a:r>
          <a:r>
            <a:rPr lang="en-US" altLang="zh-TW"/>
            <a:t> </a:t>
          </a:r>
          <a:r>
            <a:rPr lang="en-US" altLang="zh-TW" sz="1100" b="0" i="0" u="none" strike="noStrike">
              <a:solidFill>
                <a:schemeClr val="dk1"/>
              </a:solidFill>
              <a:effectLst/>
              <a:latin typeface="+mn-lt"/>
              <a:ea typeface="+mn-ea"/>
              <a:cs typeface="+mn-cs"/>
            </a:rPr>
            <a:t>0x43,</a:t>
          </a:r>
          <a:r>
            <a:rPr lang="en-US" altLang="zh-TW"/>
            <a:t> </a:t>
          </a:r>
          <a:r>
            <a:rPr lang="en-US" altLang="zh-TW" sz="1100" b="0" i="0" u="none" strike="noStrike">
              <a:solidFill>
                <a:schemeClr val="dk1"/>
              </a:solidFill>
              <a:effectLst/>
              <a:latin typeface="+mn-lt"/>
              <a:ea typeface="+mn-ea"/>
              <a:cs typeface="+mn-cs"/>
            </a:rPr>
            <a:t>0x42,</a:t>
          </a:r>
          <a:r>
            <a:rPr lang="en-US" altLang="zh-TW"/>
            <a:t> </a:t>
          </a:r>
          <a:r>
            <a:rPr lang="en-US" altLang="zh-TW" sz="1100" b="0" i="0" u="none" strike="noStrike">
              <a:solidFill>
                <a:schemeClr val="dk1"/>
              </a:solidFill>
              <a:effectLst/>
              <a:latin typeface="+mn-lt"/>
              <a:ea typeface="+mn-ea"/>
              <a:cs typeface="+mn-cs"/>
            </a:rPr>
            <a:t>0x41,</a:t>
          </a:r>
          <a:r>
            <a:rPr lang="en-US" altLang="zh-TW"/>
            <a:t> </a:t>
          </a:r>
          <a:r>
            <a:rPr lang="en-US" altLang="zh-TW" sz="1100" b="0" i="0" u="none" strike="noStrike">
              <a:solidFill>
                <a:schemeClr val="dk1"/>
              </a:solidFill>
              <a:effectLst/>
              <a:latin typeface="+mn-lt"/>
              <a:ea typeface="+mn-ea"/>
              <a:cs typeface="+mn-cs"/>
            </a:rPr>
            <a:t>0x40,</a:t>
          </a:r>
          <a:r>
            <a:rPr lang="en-US" altLang="zh-TW"/>
            <a:t> </a:t>
          </a:r>
          <a:r>
            <a:rPr lang="en-US" altLang="zh-TW" sz="1100" b="0" i="0" u="none" strike="noStrike">
              <a:solidFill>
                <a:schemeClr val="dk1"/>
              </a:solidFill>
              <a:effectLst/>
              <a:latin typeface="+mn-lt"/>
              <a:ea typeface="+mn-ea"/>
              <a:cs typeface="+mn-cs"/>
            </a:rPr>
            <a:t>0x3F,</a:t>
          </a:r>
          <a:r>
            <a:rPr lang="en-US" altLang="zh-TW"/>
            <a:t> </a:t>
          </a:r>
          <a:r>
            <a:rPr lang="en-US" altLang="zh-TW" sz="1100" b="0" i="0" u="none" strike="noStrike">
              <a:solidFill>
                <a:schemeClr val="dk1"/>
              </a:solidFill>
              <a:effectLst/>
              <a:latin typeface="+mn-lt"/>
              <a:ea typeface="+mn-ea"/>
              <a:cs typeface="+mn-cs"/>
            </a:rPr>
            <a:t>0x3E,</a:t>
          </a:r>
          <a:r>
            <a:rPr lang="en-US" altLang="zh-TW"/>
            <a:t> </a:t>
          </a:r>
          <a:r>
            <a:rPr lang="en-US" altLang="zh-TW" sz="1100" b="0" i="0" u="none" strike="noStrike">
              <a:solidFill>
                <a:schemeClr val="dk1"/>
              </a:solidFill>
              <a:effectLst/>
              <a:latin typeface="+mn-lt"/>
              <a:ea typeface="+mn-ea"/>
              <a:cs typeface="+mn-cs"/>
            </a:rPr>
            <a:t>0x3D,</a:t>
          </a:r>
          <a:r>
            <a:rPr lang="en-US" altLang="zh-TW"/>
            <a:t> </a:t>
          </a:r>
          <a:r>
            <a:rPr lang="en-US" altLang="zh-TW" sz="1100" b="0" i="0" u="none" strike="noStrike">
              <a:solidFill>
                <a:schemeClr val="dk1"/>
              </a:solidFill>
              <a:effectLst/>
              <a:latin typeface="+mn-lt"/>
              <a:ea typeface="+mn-ea"/>
              <a:cs typeface="+mn-cs"/>
            </a:rPr>
            <a:t>0x3C,</a:t>
          </a:r>
          <a:r>
            <a:rPr lang="en-US" altLang="zh-TW"/>
            <a:t> </a:t>
          </a:r>
          <a:r>
            <a:rPr lang="en-US" altLang="zh-TW" sz="1100" b="0" i="0" u="none" strike="noStrike">
              <a:solidFill>
                <a:schemeClr val="dk1"/>
              </a:solidFill>
              <a:effectLst/>
              <a:latin typeface="+mn-lt"/>
              <a:ea typeface="+mn-ea"/>
              <a:cs typeface="+mn-cs"/>
            </a:rPr>
            <a:t>0x3B,</a:t>
          </a:r>
          <a:r>
            <a:rPr lang="en-US" altLang="zh-TW"/>
            <a:t> </a:t>
          </a:r>
          <a:r>
            <a:rPr lang="en-US" altLang="zh-TW" sz="1100" b="0" i="0" u="none" strike="noStrike">
              <a:solidFill>
                <a:schemeClr val="dk1"/>
              </a:solidFill>
              <a:effectLst/>
              <a:latin typeface="+mn-lt"/>
              <a:ea typeface="+mn-ea"/>
              <a:cs typeface="+mn-cs"/>
            </a:rPr>
            <a:t>0x3A,</a:t>
          </a:r>
          <a:r>
            <a:rPr lang="en-US" altLang="zh-TW"/>
            <a:t> </a:t>
          </a:r>
          <a:r>
            <a:rPr lang="en-US" altLang="zh-TW" sz="1100" b="0" i="0" u="none" strike="noStrike">
              <a:solidFill>
                <a:schemeClr val="dk1"/>
              </a:solidFill>
              <a:effectLst/>
              <a:latin typeface="+mn-lt"/>
              <a:ea typeface="+mn-ea"/>
              <a:cs typeface="+mn-cs"/>
            </a:rPr>
            <a:t>0x39,</a:t>
          </a:r>
          <a:r>
            <a:rPr lang="en-US" altLang="zh-TW"/>
            <a:t> </a:t>
          </a:r>
          <a:r>
            <a:rPr lang="en-US" altLang="zh-TW" sz="1100" b="0" i="0" u="none" strike="noStrike">
              <a:solidFill>
                <a:schemeClr val="dk1"/>
              </a:solidFill>
              <a:effectLst/>
              <a:latin typeface="+mn-lt"/>
              <a:ea typeface="+mn-ea"/>
              <a:cs typeface="+mn-cs"/>
            </a:rPr>
            <a:t>0x38,</a:t>
          </a:r>
          <a:r>
            <a:rPr lang="en-US" altLang="zh-TW"/>
            <a:t> </a:t>
          </a:r>
          <a:r>
            <a:rPr lang="en-US" altLang="zh-TW" sz="1100" b="0" i="0" u="none" strike="noStrike">
              <a:solidFill>
                <a:schemeClr val="dk1"/>
              </a:solidFill>
              <a:effectLst/>
              <a:latin typeface="+mn-lt"/>
              <a:ea typeface="+mn-ea"/>
              <a:cs typeface="+mn-cs"/>
            </a:rPr>
            <a:t>0x37,</a:t>
          </a:r>
          <a:r>
            <a:rPr lang="en-US" altLang="zh-TW"/>
            <a:t> </a:t>
          </a:r>
          <a:r>
            <a:rPr lang="en-US" altLang="zh-TW" sz="1100" b="0" i="0" u="none" strike="noStrike">
              <a:solidFill>
                <a:schemeClr val="dk1"/>
              </a:solidFill>
              <a:effectLst/>
              <a:latin typeface="+mn-lt"/>
              <a:ea typeface="+mn-ea"/>
              <a:cs typeface="+mn-cs"/>
            </a:rPr>
            <a:t>0x36,</a:t>
          </a:r>
          <a:r>
            <a:rPr lang="en-US" altLang="zh-TW"/>
            <a:t> </a:t>
          </a:r>
          <a:r>
            <a:rPr lang="en-US" altLang="zh-TW" sz="1100" b="0" i="0" u="none" strike="noStrike">
              <a:solidFill>
                <a:schemeClr val="dk1"/>
              </a:solidFill>
              <a:effectLst/>
              <a:latin typeface="+mn-lt"/>
              <a:ea typeface="+mn-ea"/>
              <a:cs typeface="+mn-cs"/>
            </a:rPr>
            <a:t>0x35,</a:t>
          </a:r>
          <a:r>
            <a:rPr lang="en-US" altLang="zh-TW"/>
            <a:t> </a:t>
          </a:r>
          <a:r>
            <a:rPr lang="en-US" altLang="zh-TW" sz="1100" b="0" i="0" u="none" strike="noStrike">
              <a:solidFill>
                <a:schemeClr val="dk1"/>
              </a:solidFill>
              <a:effectLst/>
              <a:latin typeface="+mn-lt"/>
              <a:ea typeface="+mn-ea"/>
              <a:cs typeface="+mn-cs"/>
            </a:rPr>
            <a:t>0x34,</a:t>
          </a:r>
          <a:r>
            <a:rPr lang="en-US" altLang="zh-TW"/>
            <a:t> </a:t>
          </a:r>
          <a:r>
            <a:rPr lang="en-US" altLang="zh-TW" sz="1100" b="0" i="0" u="none" strike="noStrike">
              <a:solidFill>
                <a:schemeClr val="dk1"/>
              </a:solidFill>
              <a:effectLst/>
              <a:latin typeface="+mn-lt"/>
              <a:ea typeface="+mn-ea"/>
              <a:cs typeface="+mn-cs"/>
            </a:rPr>
            <a:t>0x33,</a:t>
          </a:r>
          <a:r>
            <a:rPr lang="en-US" altLang="zh-TW"/>
            <a:t> </a:t>
          </a:r>
          <a:r>
            <a:rPr lang="en-US" altLang="zh-TW" sz="1100" b="0" i="0" u="none" strike="noStrike">
              <a:solidFill>
                <a:schemeClr val="dk1"/>
              </a:solidFill>
              <a:effectLst/>
              <a:latin typeface="+mn-lt"/>
              <a:ea typeface="+mn-ea"/>
              <a:cs typeface="+mn-cs"/>
            </a:rPr>
            <a:t>0x32,</a:t>
          </a:r>
          <a:r>
            <a:rPr lang="en-US" altLang="zh-TW"/>
            <a:t> </a:t>
          </a:r>
          <a:r>
            <a:rPr lang="en-US" altLang="zh-TW" sz="1100" b="0" i="0" u="none" strike="noStrike">
              <a:solidFill>
                <a:schemeClr val="dk1"/>
              </a:solidFill>
              <a:effectLst/>
              <a:latin typeface="+mn-lt"/>
              <a:ea typeface="+mn-ea"/>
              <a:cs typeface="+mn-cs"/>
            </a:rPr>
            <a:t>0x31,</a:t>
          </a:r>
          <a:r>
            <a:rPr lang="en-US" altLang="zh-TW"/>
            <a:t> </a:t>
          </a:r>
          <a:r>
            <a:rPr lang="en-US" altLang="zh-TW" sz="1100" b="0" i="0" u="none" strike="noStrike">
              <a:solidFill>
                <a:schemeClr val="dk1"/>
              </a:solidFill>
              <a:effectLst/>
              <a:latin typeface="+mn-lt"/>
              <a:ea typeface="+mn-ea"/>
              <a:cs typeface="+mn-cs"/>
            </a:rPr>
            <a:t>0x30,</a:t>
          </a:r>
          <a:r>
            <a:rPr lang="en-US" altLang="zh-TW"/>
            <a:t> </a:t>
          </a:r>
          <a:r>
            <a:rPr lang="en-US" altLang="zh-TW" sz="1100" b="0" i="0" u="none" strike="noStrike">
              <a:solidFill>
                <a:schemeClr val="dk1"/>
              </a:solidFill>
              <a:effectLst/>
              <a:latin typeface="+mn-lt"/>
              <a:ea typeface="+mn-ea"/>
              <a:cs typeface="+mn-cs"/>
            </a:rPr>
            <a:t>0x2F,</a:t>
          </a:r>
          <a:r>
            <a:rPr lang="en-US" altLang="zh-TW"/>
            <a:t> </a:t>
          </a:r>
          <a:r>
            <a:rPr lang="en-US" altLang="zh-TW" sz="1100" b="0" i="0" u="none" strike="noStrike">
              <a:solidFill>
                <a:schemeClr val="dk1"/>
              </a:solidFill>
              <a:effectLst/>
              <a:latin typeface="+mn-lt"/>
              <a:ea typeface="+mn-ea"/>
              <a:cs typeface="+mn-cs"/>
            </a:rPr>
            <a:t>0x2E,</a:t>
          </a:r>
          <a:r>
            <a:rPr lang="en-US" altLang="zh-TW"/>
            <a:t> </a:t>
          </a:r>
          <a:r>
            <a:rPr lang="en-US" altLang="zh-TW" sz="1100" b="0" i="0" u="none" strike="noStrike">
              <a:solidFill>
                <a:schemeClr val="dk1"/>
              </a:solidFill>
              <a:effectLst/>
              <a:latin typeface="+mn-lt"/>
              <a:ea typeface="+mn-ea"/>
              <a:cs typeface="+mn-cs"/>
            </a:rPr>
            <a:t>0x2D,</a:t>
          </a:r>
          <a:r>
            <a:rPr lang="en-US" altLang="zh-TW"/>
            <a:t> </a:t>
          </a:r>
          <a:r>
            <a:rPr lang="en-US" altLang="zh-TW" sz="1100" b="0" i="0" u="none" strike="noStrike">
              <a:solidFill>
                <a:schemeClr val="dk1"/>
              </a:solidFill>
              <a:effectLst/>
              <a:latin typeface="+mn-lt"/>
              <a:ea typeface="+mn-ea"/>
              <a:cs typeface="+mn-cs"/>
            </a:rPr>
            <a:t>0x2C,</a:t>
          </a:r>
          <a:r>
            <a:rPr lang="en-US" altLang="zh-TW"/>
            <a:t> </a:t>
          </a:r>
          <a:r>
            <a:rPr lang="en-US" altLang="zh-TW" sz="1100" b="0" i="0" u="none" strike="noStrike">
              <a:solidFill>
                <a:schemeClr val="dk1"/>
              </a:solidFill>
              <a:effectLst/>
              <a:latin typeface="+mn-lt"/>
              <a:ea typeface="+mn-ea"/>
              <a:cs typeface="+mn-cs"/>
            </a:rPr>
            <a:t>0x2B,</a:t>
          </a:r>
          <a:r>
            <a:rPr lang="en-US" altLang="zh-TW"/>
            <a:t> </a:t>
          </a:r>
          <a:r>
            <a:rPr lang="en-US" altLang="zh-TW" sz="1100" b="0" i="0" u="none" strike="noStrike">
              <a:solidFill>
                <a:schemeClr val="dk1"/>
              </a:solidFill>
              <a:effectLst/>
              <a:latin typeface="+mn-lt"/>
              <a:ea typeface="+mn-ea"/>
              <a:cs typeface="+mn-cs"/>
            </a:rPr>
            <a:t>0x2A,</a:t>
          </a:r>
          <a:r>
            <a:rPr lang="en-US" altLang="zh-TW"/>
            <a:t> </a:t>
          </a:r>
          <a:r>
            <a:rPr lang="en-US" altLang="zh-TW" sz="1100" b="0" i="0" u="none" strike="noStrike">
              <a:solidFill>
                <a:schemeClr val="dk1"/>
              </a:solidFill>
              <a:effectLst/>
              <a:latin typeface="+mn-lt"/>
              <a:ea typeface="+mn-ea"/>
              <a:cs typeface="+mn-cs"/>
            </a:rPr>
            <a:t>0x29,</a:t>
          </a:r>
          <a:r>
            <a:rPr lang="en-US" altLang="zh-TW"/>
            <a:t> </a:t>
          </a:r>
          <a:r>
            <a:rPr lang="en-US" altLang="zh-TW" sz="1100" b="0" i="0" u="none" strike="noStrike">
              <a:solidFill>
                <a:schemeClr val="dk1"/>
              </a:solidFill>
              <a:effectLst/>
              <a:latin typeface="+mn-lt"/>
              <a:ea typeface="+mn-ea"/>
              <a:cs typeface="+mn-cs"/>
            </a:rPr>
            <a:t>0x28,</a:t>
          </a:r>
          <a:r>
            <a:rPr lang="en-US" altLang="zh-TW"/>
            <a:t> </a:t>
          </a:r>
          <a:r>
            <a:rPr lang="en-US" altLang="zh-TW" sz="1100" b="0" i="0" u="none" strike="noStrike">
              <a:solidFill>
                <a:schemeClr val="dk1"/>
              </a:solidFill>
              <a:effectLst/>
              <a:latin typeface="+mn-lt"/>
              <a:ea typeface="+mn-ea"/>
              <a:cs typeface="+mn-cs"/>
            </a:rPr>
            <a:t>0x27,</a:t>
          </a:r>
          <a:r>
            <a:rPr lang="en-US" altLang="zh-TW"/>
            <a:t> </a:t>
          </a:r>
          <a:r>
            <a:rPr lang="en-US" altLang="zh-TW" sz="1100" b="0" i="0" u="none" strike="noStrike">
              <a:solidFill>
                <a:schemeClr val="dk1"/>
              </a:solidFill>
              <a:effectLst/>
              <a:latin typeface="+mn-lt"/>
              <a:ea typeface="+mn-ea"/>
              <a:cs typeface="+mn-cs"/>
            </a:rPr>
            <a:t>0x26,</a:t>
          </a:r>
          <a:r>
            <a:rPr lang="en-US" altLang="zh-TW"/>
            <a:t> </a:t>
          </a:r>
          <a:r>
            <a:rPr lang="en-US" altLang="zh-TW" sz="1100" b="0" i="0" u="none" strike="noStrike">
              <a:solidFill>
                <a:schemeClr val="dk1"/>
              </a:solidFill>
              <a:effectLst/>
              <a:latin typeface="+mn-lt"/>
              <a:ea typeface="+mn-ea"/>
              <a:cs typeface="+mn-cs"/>
            </a:rPr>
            <a:t>0x25,</a:t>
          </a:r>
          <a:r>
            <a:rPr lang="en-US" altLang="zh-TW"/>
            <a:t> </a:t>
          </a:r>
          <a:r>
            <a:rPr lang="en-US" altLang="zh-TW" sz="1100" b="0" i="0" u="none" strike="noStrike">
              <a:solidFill>
                <a:schemeClr val="dk1"/>
              </a:solidFill>
              <a:effectLst/>
              <a:latin typeface="+mn-lt"/>
              <a:ea typeface="+mn-ea"/>
              <a:cs typeface="+mn-cs"/>
            </a:rPr>
            <a:t>0x24,</a:t>
          </a:r>
          <a:r>
            <a:rPr lang="en-US" altLang="zh-TW"/>
            <a:t> </a:t>
          </a:r>
          <a:r>
            <a:rPr lang="en-US" altLang="zh-TW" sz="1100" b="0" i="0" u="none" strike="noStrike">
              <a:solidFill>
                <a:schemeClr val="dk1"/>
              </a:solidFill>
              <a:effectLst/>
              <a:latin typeface="+mn-lt"/>
              <a:ea typeface="+mn-ea"/>
              <a:cs typeface="+mn-cs"/>
            </a:rPr>
            <a:t>0x23,</a:t>
          </a:r>
          <a:r>
            <a:rPr lang="en-US" altLang="zh-TW"/>
            <a:t> </a:t>
          </a:r>
          <a:r>
            <a:rPr lang="en-US" altLang="zh-TW" sz="1100" b="0" i="0" u="none" strike="noStrike">
              <a:solidFill>
                <a:schemeClr val="dk1"/>
              </a:solidFill>
              <a:effectLst/>
              <a:latin typeface="+mn-lt"/>
              <a:ea typeface="+mn-ea"/>
              <a:cs typeface="+mn-cs"/>
            </a:rPr>
            <a:t>0x22,</a:t>
          </a:r>
          <a:r>
            <a:rPr lang="en-US" altLang="zh-TW"/>
            <a:t> </a:t>
          </a:r>
          <a:r>
            <a:rPr lang="en-US" altLang="zh-TW" sz="1100" b="0" i="0" u="none" strike="noStrike">
              <a:solidFill>
                <a:schemeClr val="dk1"/>
              </a:solidFill>
              <a:effectLst/>
              <a:latin typeface="+mn-lt"/>
              <a:ea typeface="+mn-ea"/>
              <a:cs typeface="+mn-cs"/>
            </a:rPr>
            <a:t>0x21,</a:t>
          </a:r>
          <a:r>
            <a:rPr lang="en-US" altLang="zh-TW"/>
            <a:t> </a:t>
          </a:r>
          <a:r>
            <a:rPr lang="en-US" altLang="zh-TW" sz="1100" b="0" i="0" u="none" strike="noStrike">
              <a:solidFill>
                <a:schemeClr val="dk1"/>
              </a:solidFill>
              <a:effectLst/>
              <a:latin typeface="+mn-lt"/>
              <a:ea typeface="+mn-ea"/>
              <a:cs typeface="+mn-cs"/>
            </a:rPr>
            <a:t>0x20,</a:t>
          </a:r>
          <a:r>
            <a:rPr lang="en-US" altLang="zh-TW"/>
            <a:t> </a:t>
          </a:r>
          <a:r>
            <a:rPr lang="en-US" altLang="zh-TW" sz="1100" b="0" i="0" u="none" strike="noStrike">
              <a:solidFill>
                <a:schemeClr val="dk1"/>
              </a:solidFill>
              <a:effectLst/>
              <a:latin typeface="+mn-lt"/>
              <a:ea typeface="+mn-ea"/>
              <a:cs typeface="+mn-cs"/>
            </a:rPr>
            <a:t>0x1F,</a:t>
          </a:r>
          <a:r>
            <a:rPr lang="en-US" altLang="zh-TW"/>
            <a:t> </a:t>
          </a:r>
          <a:r>
            <a:rPr lang="en-US" altLang="zh-TW" sz="1100" b="0" i="0" u="none" strike="noStrike">
              <a:solidFill>
                <a:schemeClr val="dk1"/>
              </a:solidFill>
              <a:effectLst/>
              <a:latin typeface="+mn-lt"/>
              <a:ea typeface="+mn-ea"/>
              <a:cs typeface="+mn-cs"/>
            </a:rPr>
            <a:t>0x1E,</a:t>
          </a:r>
          <a:r>
            <a:rPr lang="en-US" altLang="zh-TW"/>
            <a:t> </a:t>
          </a:r>
          <a:r>
            <a:rPr lang="en-US" altLang="zh-TW" sz="1100" b="0" i="0" u="none" strike="noStrike">
              <a:solidFill>
                <a:schemeClr val="dk1"/>
              </a:solidFill>
              <a:effectLst/>
              <a:latin typeface="+mn-lt"/>
              <a:ea typeface="+mn-ea"/>
              <a:cs typeface="+mn-cs"/>
            </a:rPr>
            <a:t>0x1D,</a:t>
          </a:r>
          <a:r>
            <a:rPr lang="en-US" altLang="zh-TW"/>
            <a:t> </a:t>
          </a:r>
          <a:r>
            <a:rPr lang="en-US" altLang="zh-TW" sz="1100" b="0" i="0" u="none" strike="noStrike">
              <a:solidFill>
                <a:schemeClr val="dk1"/>
              </a:solidFill>
              <a:effectLst/>
              <a:latin typeface="+mn-lt"/>
              <a:ea typeface="+mn-ea"/>
              <a:cs typeface="+mn-cs"/>
            </a:rPr>
            <a:t>0x1C,</a:t>
          </a:r>
          <a:r>
            <a:rPr lang="en-US" altLang="zh-TW"/>
            <a:t> </a:t>
          </a:r>
          <a:r>
            <a:rPr lang="en-US" altLang="zh-TW" sz="1100" b="0" i="0" u="none" strike="noStrike">
              <a:solidFill>
                <a:schemeClr val="dk1"/>
              </a:solidFill>
              <a:effectLst/>
              <a:latin typeface="+mn-lt"/>
              <a:ea typeface="+mn-ea"/>
              <a:cs typeface="+mn-cs"/>
            </a:rPr>
            <a:t>0x1B,</a:t>
          </a:r>
          <a:r>
            <a:rPr lang="en-US" altLang="zh-TW"/>
            <a:t> </a:t>
          </a:r>
          <a:r>
            <a:rPr lang="en-US" altLang="zh-TW" sz="1100" b="0" i="0" u="none" strike="noStrike">
              <a:solidFill>
                <a:schemeClr val="dk1"/>
              </a:solidFill>
              <a:effectLst/>
              <a:latin typeface="+mn-lt"/>
              <a:ea typeface="+mn-ea"/>
              <a:cs typeface="+mn-cs"/>
            </a:rPr>
            <a:t>0x1A,</a:t>
          </a:r>
          <a:r>
            <a:rPr lang="en-US" altLang="zh-TW"/>
            <a:t> </a:t>
          </a:r>
          <a:r>
            <a:rPr lang="en-US" altLang="zh-TW" sz="1100" b="0" i="0" u="none" strike="noStrike">
              <a:solidFill>
                <a:schemeClr val="dk1"/>
              </a:solidFill>
              <a:effectLst/>
              <a:latin typeface="+mn-lt"/>
              <a:ea typeface="+mn-ea"/>
              <a:cs typeface="+mn-cs"/>
            </a:rPr>
            <a:t>0x19,</a:t>
          </a:r>
          <a:r>
            <a:rPr lang="en-US" altLang="zh-TW"/>
            <a:t> </a:t>
          </a:r>
          <a:r>
            <a:rPr lang="en-US" altLang="zh-TW" sz="1100" b="0" i="0" u="none" strike="noStrike">
              <a:solidFill>
                <a:schemeClr val="dk1"/>
              </a:solidFill>
              <a:effectLst/>
              <a:latin typeface="+mn-lt"/>
              <a:ea typeface="+mn-ea"/>
              <a:cs typeface="+mn-cs"/>
            </a:rPr>
            <a:t>0x18,</a:t>
          </a:r>
          <a:r>
            <a:rPr lang="en-US" altLang="zh-TW"/>
            <a:t> </a:t>
          </a:r>
          <a:r>
            <a:rPr lang="en-US" altLang="zh-TW" sz="1100" b="0" i="0" u="none" strike="noStrike">
              <a:solidFill>
                <a:schemeClr val="dk1"/>
              </a:solidFill>
              <a:effectLst/>
              <a:latin typeface="+mn-lt"/>
              <a:ea typeface="+mn-ea"/>
              <a:cs typeface="+mn-cs"/>
            </a:rPr>
            <a:t>0x17,</a:t>
          </a:r>
          <a:r>
            <a:rPr lang="en-US" altLang="zh-TW"/>
            <a:t> </a:t>
          </a:r>
          <a:r>
            <a:rPr lang="en-US" altLang="zh-TW" sz="1100" b="0" i="0" u="none" strike="noStrike">
              <a:solidFill>
                <a:schemeClr val="dk1"/>
              </a:solidFill>
              <a:effectLst/>
              <a:latin typeface="+mn-lt"/>
              <a:ea typeface="+mn-ea"/>
              <a:cs typeface="+mn-cs"/>
            </a:rPr>
            <a:t>0x16,</a:t>
          </a:r>
          <a:r>
            <a:rPr lang="en-US" altLang="zh-TW"/>
            <a:t> </a:t>
          </a:r>
          <a:r>
            <a:rPr lang="en-US" altLang="zh-TW" sz="1100" b="0" i="0" u="none" strike="noStrike">
              <a:solidFill>
                <a:schemeClr val="dk1"/>
              </a:solidFill>
              <a:effectLst/>
              <a:latin typeface="+mn-lt"/>
              <a:ea typeface="+mn-ea"/>
              <a:cs typeface="+mn-cs"/>
            </a:rPr>
            <a:t>0x15,</a:t>
          </a:r>
          <a:r>
            <a:rPr lang="en-US" altLang="zh-TW"/>
            <a:t> </a:t>
          </a:r>
          <a:r>
            <a:rPr lang="en-US" altLang="zh-TW" sz="1100" b="0" i="0" u="none" strike="noStrike">
              <a:solidFill>
                <a:schemeClr val="dk1"/>
              </a:solidFill>
              <a:effectLst/>
              <a:latin typeface="+mn-lt"/>
              <a:ea typeface="+mn-ea"/>
              <a:cs typeface="+mn-cs"/>
            </a:rPr>
            <a:t>0x14,</a:t>
          </a:r>
          <a:r>
            <a:rPr lang="en-US" altLang="zh-TW"/>
            <a:t> </a:t>
          </a:r>
          <a:r>
            <a:rPr lang="en-US" altLang="zh-TW" sz="1100" b="0" i="0" u="none" strike="noStrike">
              <a:solidFill>
                <a:schemeClr val="dk1"/>
              </a:solidFill>
              <a:effectLst/>
              <a:latin typeface="+mn-lt"/>
              <a:ea typeface="+mn-ea"/>
              <a:cs typeface="+mn-cs"/>
            </a:rPr>
            <a:t>0x13,</a:t>
          </a:r>
          <a:r>
            <a:rPr lang="en-US" altLang="zh-TW"/>
            <a:t> </a:t>
          </a:r>
          <a:r>
            <a:rPr lang="en-US" altLang="zh-TW" sz="1100" b="0" i="0" u="none" strike="noStrike">
              <a:solidFill>
                <a:schemeClr val="dk1"/>
              </a:solidFill>
              <a:effectLst/>
              <a:latin typeface="+mn-lt"/>
              <a:ea typeface="+mn-ea"/>
              <a:cs typeface="+mn-cs"/>
            </a:rPr>
            <a:t>0x12,</a:t>
          </a:r>
          <a:r>
            <a:rPr lang="en-US" altLang="zh-TW"/>
            <a:t> </a:t>
          </a:r>
          <a:r>
            <a:rPr lang="en-US" altLang="zh-TW" sz="1100" b="0" i="0" u="none" strike="noStrike">
              <a:solidFill>
                <a:schemeClr val="dk1"/>
              </a:solidFill>
              <a:effectLst/>
              <a:latin typeface="+mn-lt"/>
              <a:ea typeface="+mn-ea"/>
              <a:cs typeface="+mn-cs"/>
            </a:rPr>
            <a:t>0x11,</a:t>
          </a:r>
          <a:r>
            <a:rPr lang="en-US" altLang="zh-TW"/>
            <a:t> </a:t>
          </a:r>
          <a:r>
            <a:rPr lang="en-US" altLang="zh-TW" sz="1100" b="0" i="0" u="none" strike="noStrike">
              <a:solidFill>
                <a:schemeClr val="dk1"/>
              </a:solidFill>
              <a:effectLst/>
              <a:latin typeface="+mn-lt"/>
              <a:ea typeface="+mn-ea"/>
              <a:cs typeface="+mn-cs"/>
            </a:rPr>
            <a:t>0x10,</a:t>
          </a:r>
          <a:r>
            <a:rPr lang="en-US" altLang="zh-TW"/>
            <a:t> </a:t>
          </a:r>
          <a:r>
            <a:rPr lang="en-US" altLang="zh-TW" sz="1100" b="0" i="0" u="none" strike="noStrike">
              <a:solidFill>
                <a:schemeClr val="dk1"/>
              </a:solidFill>
              <a:effectLst/>
              <a:latin typeface="+mn-lt"/>
              <a:ea typeface="+mn-ea"/>
              <a:cs typeface="+mn-cs"/>
            </a:rPr>
            <a:t>0x88,</a:t>
          </a:r>
          <a:r>
            <a:rPr lang="en-US" altLang="zh-TW"/>
            <a:t> </a:t>
          </a:r>
          <a:r>
            <a:rPr lang="en-US" altLang="zh-TW" sz="1100" b="0" i="0" u="none" strike="noStrike">
              <a:solidFill>
                <a:schemeClr val="dk1"/>
              </a:solidFill>
              <a:effectLst/>
              <a:latin typeface="+mn-lt"/>
              <a:ea typeface="+mn-ea"/>
              <a:cs typeface="+mn-cs"/>
            </a:rPr>
            <a:t>0x89,</a:t>
          </a:r>
          <a:r>
            <a:rPr lang="en-US" altLang="zh-TW"/>
            <a:t> </a:t>
          </a:r>
          <a:r>
            <a:rPr lang="en-US" altLang="zh-TW" sz="1100" b="0" i="0" u="none" strike="noStrike">
              <a:solidFill>
                <a:schemeClr val="dk1"/>
              </a:solidFill>
              <a:effectLst/>
              <a:latin typeface="+mn-lt"/>
              <a:ea typeface="+mn-ea"/>
              <a:cs typeface="+mn-cs"/>
            </a:rPr>
            <a:t>0x8A,</a:t>
          </a:r>
          <a:r>
            <a:rPr lang="en-US" altLang="zh-TW"/>
            <a:t> </a:t>
          </a:r>
          <a:r>
            <a:rPr lang="en-US" altLang="zh-TW" sz="1100" b="0" i="0" u="none" strike="noStrike">
              <a:solidFill>
                <a:schemeClr val="dk1"/>
              </a:solidFill>
              <a:effectLst/>
              <a:latin typeface="+mn-lt"/>
              <a:ea typeface="+mn-ea"/>
              <a:cs typeface="+mn-cs"/>
            </a:rPr>
            <a:t>0x8B,</a:t>
          </a:r>
          <a:r>
            <a:rPr lang="en-US" altLang="zh-TW"/>
            <a:t> </a:t>
          </a:r>
          <a:r>
            <a:rPr lang="en-US" altLang="zh-TW" sz="1100" b="0" i="0" u="none" strike="noStrike">
              <a:solidFill>
                <a:schemeClr val="dk1"/>
              </a:solidFill>
              <a:effectLst/>
              <a:latin typeface="+mn-lt"/>
              <a:ea typeface="+mn-ea"/>
              <a:cs typeface="+mn-cs"/>
            </a:rPr>
            <a:t>0x8C,</a:t>
          </a:r>
          <a:r>
            <a:rPr lang="en-US" altLang="zh-TW"/>
            <a:t> </a:t>
          </a:r>
          <a:r>
            <a:rPr lang="en-US" altLang="zh-TW" sz="1100" b="0" i="0" u="none" strike="noStrike">
              <a:solidFill>
                <a:schemeClr val="dk1"/>
              </a:solidFill>
              <a:effectLst/>
              <a:latin typeface="+mn-lt"/>
              <a:ea typeface="+mn-ea"/>
              <a:cs typeface="+mn-cs"/>
            </a:rPr>
            <a:t>0x8D,</a:t>
          </a:r>
          <a:r>
            <a:rPr lang="en-US" altLang="zh-TW"/>
            <a:t> </a:t>
          </a:r>
          <a:r>
            <a:rPr lang="en-US" altLang="zh-TW" sz="1100" b="0" i="0" u="none" strike="noStrike">
              <a:solidFill>
                <a:schemeClr val="dk1"/>
              </a:solidFill>
              <a:effectLst/>
              <a:latin typeface="+mn-lt"/>
              <a:ea typeface="+mn-ea"/>
              <a:cs typeface="+mn-cs"/>
            </a:rPr>
            <a:t>0x8E,</a:t>
          </a:r>
          <a:r>
            <a:rPr lang="en-US" altLang="zh-TW"/>
            <a:t> </a:t>
          </a:r>
          <a:r>
            <a:rPr lang="en-US" altLang="zh-TW" sz="1100" b="0" i="0" u="none" strike="noStrike">
              <a:solidFill>
                <a:schemeClr val="dk1"/>
              </a:solidFill>
              <a:effectLst/>
              <a:latin typeface="+mn-lt"/>
              <a:ea typeface="+mn-ea"/>
              <a:cs typeface="+mn-cs"/>
            </a:rPr>
            <a:t>0x8F,</a:t>
          </a:r>
          <a:r>
            <a:rPr lang="en-US" altLang="zh-TW"/>
            <a:t> </a:t>
          </a:r>
          <a:r>
            <a:rPr lang="en-US" altLang="zh-TW" sz="1100" b="0" i="0" u="none" strike="noStrike">
              <a:solidFill>
                <a:schemeClr val="dk1"/>
              </a:solidFill>
              <a:effectLst/>
              <a:latin typeface="+mn-lt"/>
              <a:ea typeface="+mn-ea"/>
              <a:cs typeface="+mn-cs"/>
            </a:rPr>
            <a:t>0x90,</a:t>
          </a:r>
          <a:r>
            <a:rPr lang="en-US" altLang="zh-TW"/>
            <a:t> </a:t>
          </a:r>
          <a:r>
            <a:rPr lang="en-US" altLang="zh-TW" sz="1100" b="0" i="0" u="none" strike="noStrike">
              <a:solidFill>
                <a:schemeClr val="dk1"/>
              </a:solidFill>
              <a:effectLst/>
              <a:latin typeface="+mn-lt"/>
              <a:ea typeface="+mn-ea"/>
              <a:cs typeface="+mn-cs"/>
            </a:rPr>
            <a:t>0x91,</a:t>
          </a:r>
          <a:r>
            <a:rPr lang="en-US" altLang="zh-TW"/>
            <a:t> </a:t>
          </a:r>
          <a:r>
            <a:rPr lang="en-US" altLang="zh-TW" sz="1100" b="0" i="0" u="none" strike="noStrike">
              <a:solidFill>
                <a:schemeClr val="dk1"/>
              </a:solidFill>
              <a:effectLst/>
              <a:latin typeface="+mn-lt"/>
              <a:ea typeface="+mn-ea"/>
              <a:cs typeface="+mn-cs"/>
            </a:rPr>
            <a:t>0x92,</a:t>
          </a:r>
          <a:r>
            <a:rPr lang="en-US" altLang="zh-TW"/>
            <a:t> </a:t>
          </a:r>
          <a:r>
            <a:rPr lang="en-US" altLang="zh-TW" sz="1100" b="0" i="0" u="none" strike="noStrike">
              <a:solidFill>
                <a:schemeClr val="dk1"/>
              </a:solidFill>
              <a:effectLst/>
              <a:latin typeface="+mn-lt"/>
              <a:ea typeface="+mn-ea"/>
              <a:cs typeface="+mn-cs"/>
            </a:rPr>
            <a:t>0x93,</a:t>
          </a:r>
          <a:r>
            <a:rPr lang="en-US" altLang="zh-TW"/>
            <a:t> </a:t>
          </a:r>
          <a:r>
            <a:rPr lang="en-US" altLang="zh-TW" sz="1100" b="0" i="0" u="none" strike="noStrike">
              <a:solidFill>
                <a:schemeClr val="dk1"/>
              </a:solidFill>
              <a:effectLst/>
              <a:latin typeface="+mn-lt"/>
              <a:ea typeface="+mn-ea"/>
              <a:cs typeface="+mn-cs"/>
            </a:rPr>
            <a:t>0x94,</a:t>
          </a:r>
          <a:r>
            <a:rPr lang="en-US" altLang="zh-TW"/>
            <a:t> </a:t>
          </a:r>
          <a:r>
            <a:rPr lang="en-US" altLang="zh-TW" sz="1100" b="0" i="0" u="none" strike="noStrike">
              <a:solidFill>
                <a:schemeClr val="dk1"/>
              </a:solidFill>
              <a:effectLst/>
              <a:latin typeface="+mn-lt"/>
              <a:ea typeface="+mn-ea"/>
              <a:cs typeface="+mn-cs"/>
            </a:rPr>
            <a:t>0x95,</a:t>
          </a:r>
          <a:r>
            <a:rPr lang="en-US" altLang="zh-TW"/>
            <a:t> </a:t>
          </a:r>
          <a:r>
            <a:rPr lang="en-US" altLang="zh-TW" sz="1100" b="0" i="0" u="none" strike="noStrike">
              <a:solidFill>
                <a:schemeClr val="dk1"/>
              </a:solidFill>
              <a:effectLst/>
              <a:latin typeface="+mn-lt"/>
              <a:ea typeface="+mn-ea"/>
              <a:cs typeface="+mn-cs"/>
            </a:rPr>
            <a:t>0x96,</a:t>
          </a:r>
          <a:r>
            <a:rPr lang="en-US" altLang="zh-TW"/>
            <a:t> </a:t>
          </a:r>
          <a:r>
            <a:rPr lang="en-US" altLang="zh-TW" sz="1100" b="0" i="0" u="none" strike="noStrike">
              <a:solidFill>
                <a:schemeClr val="dk1"/>
              </a:solidFill>
              <a:effectLst/>
              <a:latin typeface="+mn-lt"/>
              <a:ea typeface="+mn-ea"/>
              <a:cs typeface="+mn-cs"/>
            </a:rPr>
            <a:t>0x97,</a:t>
          </a:r>
          <a:r>
            <a:rPr lang="en-US" altLang="zh-TW"/>
            <a:t> </a:t>
          </a:r>
          <a:r>
            <a:rPr lang="en-US" altLang="zh-TW" sz="1100" b="0" i="0" u="none" strike="noStrike">
              <a:solidFill>
                <a:schemeClr val="dk1"/>
              </a:solidFill>
              <a:effectLst/>
              <a:latin typeface="+mn-lt"/>
              <a:ea typeface="+mn-ea"/>
              <a:cs typeface="+mn-cs"/>
            </a:rPr>
            <a:t>0x98,</a:t>
          </a:r>
          <a:r>
            <a:rPr lang="en-US" altLang="zh-TW"/>
            <a:t> </a:t>
          </a:r>
          <a:r>
            <a:rPr lang="en-US" altLang="zh-TW" sz="1100" b="0" i="0" u="none" strike="noStrike">
              <a:solidFill>
                <a:schemeClr val="dk1"/>
              </a:solidFill>
              <a:effectLst/>
              <a:latin typeface="+mn-lt"/>
              <a:ea typeface="+mn-ea"/>
              <a:cs typeface="+mn-cs"/>
            </a:rPr>
            <a:t>0x99,</a:t>
          </a:r>
          <a:r>
            <a:rPr lang="en-US" altLang="zh-TW"/>
            <a:t> </a:t>
          </a:r>
          <a:r>
            <a:rPr lang="en-US" altLang="zh-TW" sz="1100" b="0" i="0" u="none" strike="noStrike">
              <a:solidFill>
                <a:schemeClr val="dk1"/>
              </a:solidFill>
              <a:effectLst/>
              <a:latin typeface="+mn-lt"/>
              <a:ea typeface="+mn-ea"/>
              <a:cs typeface="+mn-cs"/>
            </a:rPr>
            <a:t>0x9A,</a:t>
          </a:r>
          <a:r>
            <a:rPr lang="en-US" altLang="zh-TW"/>
            <a:t> </a:t>
          </a:r>
          <a:r>
            <a:rPr lang="en-US" altLang="zh-TW" sz="1100" b="0" i="0" u="none" strike="noStrike">
              <a:solidFill>
                <a:schemeClr val="dk1"/>
              </a:solidFill>
              <a:effectLst/>
              <a:latin typeface="+mn-lt"/>
              <a:ea typeface="+mn-ea"/>
              <a:cs typeface="+mn-cs"/>
            </a:rPr>
            <a:t>0x9B,</a:t>
          </a:r>
          <a:r>
            <a:rPr lang="en-US" altLang="zh-TW"/>
            <a:t> </a:t>
          </a:r>
          <a:r>
            <a:rPr lang="en-US" altLang="zh-TW" sz="1100" b="0" i="0" u="none" strike="noStrike">
              <a:solidFill>
                <a:schemeClr val="dk1"/>
              </a:solidFill>
              <a:effectLst/>
              <a:latin typeface="+mn-lt"/>
              <a:ea typeface="+mn-ea"/>
              <a:cs typeface="+mn-cs"/>
            </a:rPr>
            <a:t>0x9C,</a:t>
          </a:r>
          <a:r>
            <a:rPr lang="en-US" altLang="zh-TW"/>
            <a:t> </a:t>
          </a:r>
          <a:r>
            <a:rPr lang="en-US" altLang="zh-TW" sz="1100" b="0" i="0" u="none" strike="noStrike">
              <a:solidFill>
                <a:schemeClr val="dk1"/>
              </a:solidFill>
              <a:effectLst/>
              <a:latin typeface="+mn-lt"/>
              <a:ea typeface="+mn-ea"/>
              <a:cs typeface="+mn-cs"/>
            </a:rPr>
            <a:t>0x9D,</a:t>
          </a:r>
          <a:r>
            <a:rPr lang="en-US" altLang="zh-TW"/>
            <a:t> </a:t>
          </a:r>
          <a:r>
            <a:rPr lang="en-US" altLang="zh-TW" sz="1100" b="0" i="0" u="none" strike="noStrike">
              <a:solidFill>
                <a:schemeClr val="dk1"/>
              </a:solidFill>
              <a:effectLst/>
              <a:latin typeface="+mn-lt"/>
              <a:ea typeface="+mn-ea"/>
              <a:cs typeface="+mn-cs"/>
            </a:rPr>
            <a:t>0x9E,</a:t>
          </a:r>
          <a:r>
            <a:rPr lang="en-US" altLang="zh-TW"/>
            <a:t> </a:t>
          </a:r>
          <a:r>
            <a:rPr lang="en-US" altLang="zh-TW" sz="1100" b="0" i="0" u="none" strike="noStrike">
              <a:solidFill>
                <a:schemeClr val="dk1"/>
              </a:solidFill>
              <a:effectLst/>
              <a:latin typeface="+mn-lt"/>
              <a:ea typeface="+mn-ea"/>
              <a:cs typeface="+mn-cs"/>
            </a:rPr>
            <a:t>0x9F,</a:t>
          </a:r>
          <a:r>
            <a:rPr lang="en-US" altLang="zh-TW"/>
            <a:t> </a:t>
          </a:r>
          <a:r>
            <a:rPr lang="en-US" altLang="zh-TW" sz="1100" b="0" i="0" u="none" strike="noStrike">
              <a:solidFill>
                <a:schemeClr val="dk1"/>
              </a:solidFill>
              <a:effectLst/>
              <a:latin typeface="+mn-lt"/>
              <a:ea typeface="+mn-ea"/>
              <a:cs typeface="+mn-cs"/>
            </a:rPr>
            <a:t>0xA0,</a:t>
          </a:r>
          <a:r>
            <a:rPr lang="en-US" altLang="zh-TW"/>
            <a:t> </a:t>
          </a:r>
          <a:r>
            <a:rPr lang="en-US" altLang="zh-TW" sz="1100" b="0" i="0" u="none" strike="noStrike">
              <a:solidFill>
                <a:schemeClr val="dk1"/>
              </a:solidFill>
              <a:effectLst/>
              <a:latin typeface="+mn-lt"/>
              <a:ea typeface="+mn-ea"/>
              <a:cs typeface="+mn-cs"/>
            </a:rPr>
            <a:t>0xA1,</a:t>
          </a:r>
          <a:r>
            <a:rPr lang="en-US" altLang="zh-TW"/>
            <a:t> </a:t>
          </a:r>
          <a:r>
            <a:rPr lang="en-US" altLang="zh-TW" sz="1100" b="0" i="0" u="none" strike="noStrike">
              <a:solidFill>
                <a:schemeClr val="dk1"/>
              </a:solidFill>
              <a:effectLst/>
              <a:latin typeface="+mn-lt"/>
              <a:ea typeface="+mn-ea"/>
              <a:cs typeface="+mn-cs"/>
            </a:rPr>
            <a:t>0xA2,</a:t>
          </a:r>
          <a:r>
            <a:rPr lang="en-US" altLang="zh-TW"/>
            <a:t> </a:t>
          </a:r>
          <a:r>
            <a:rPr lang="en-US" altLang="zh-TW" sz="1100" b="0" i="0" u="none" strike="noStrike">
              <a:solidFill>
                <a:schemeClr val="dk1"/>
              </a:solidFill>
              <a:effectLst/>
              <a:latin typeface="+mn-lt"/>
              <a:ea typeface="+mn-ea"/>
              <a:cs typeface="+mn-cs"/>
            </a:rPr>
            <a:t>0xA3,</a:t>
          </a:r>
          <a:r>
            <a:rPr lang="en-US" altLang="zh-TW"/>
            <a:t> </a:t>
          </a:r>
          <a:r>
            <a:rPr lang="en-US" altLang="zh-TW" sz="1100" b="0" i="0" u="none" strike="noStrike">
              <a:solidFill>
                <a:schemeClr val="dk1"/>
              </a:solidFill>
              <a:effectLst/>
              <a:latin typeface="+mn-lt"/>
              <a:ea typeface="+mn-ea"/>
              <a:cs typeface="+mn-cs"/>
            </a:rPr>
            <a:t>0xA4,</a:t>
          </a:r>
          <a:r>
            <a:rPr lang="en-US" altLang="zh-TW"/>
            <a:t> </a:t>
          </a:r>
          <a:r>
            <a:rPr lang="en-US" altLang="zh-TW" sz="1100" b="0" i="0" u="none" strike="noStrike">
              <a:solidFill>
                <a:schemeClr val="dk1"/>
              </a:solidFill>
              <a:effectLst/>
              <a:latin typeface="+mn-lt"/>
              <a:ea typeface="+mn-ea"/>
              <a:cs typeface="+mn-cs"/>
            </a:rPr>
            <a:t>0xA5,</a:t>
          </a:r>
          <a:r>
            <a:rPr lang="en-US" altLang="zh-TW"/>
            <a:t> </a:t>
          </a:r>
          <a:r>
            <a:rPr lang="en-US" altLang="zh-TW" sz="1100" b="0" i="0" u="none" strike="noStrike">
              <a:solidFill>
                <a:schemeClr val="dk1"/>
              </a:solidFill>
              <a:effectLst/>
              <a:latin typeface="+mn-lt"/>
              <a:ea typeface="+mn-ea"/>
              <a:cs typeface="+mn-cs"/>
            </a:rPr>
            <a:t>0xA6,</a:t>
          </a:r>
          <a:r>
            <a:rPr lang="en-US" altLang="zh-TW"/>
            <a:t> </a:t>
          </a:r>
          <a:r>
            <a:rPr lang="en-US" altLang="zh-TW" sz="1100" b="0" i="0" u="none" strike="noStrike">
              <a:solidFill>
                <a:schemeClr val="dk1"/>
              </a:solidFill>
              <a:effectLst/>
              <a:latin typeface="+mn-lt"/>
              <a:ea typeface="+mn-ea"/>
              <a:cs typeface="+mn-cs"/>
            </a:rPr>
            <a:t>0xA7,</a:t>
          </a:r>
          <a:r>
            <a:rPr lang="en-US" altLang="zh-TW"/>
            <a:t> </a:t>
          </a:r>
          <a:r>
            <a:rPr lang="en-US" altLang="zh-TW" sz="1100" b="0" i="0" u="none" strike="noStrike">
              <a:solidFill>
                <a:schemeClr val="dk1"/>
              </a:solidFill>
              <a:effectLst/>
              <a:latin typeface="+mn-lt"/>
              <a:ea typeface="+mn-ea"/>
              <a:cs typeface="+mn-cs"/>
            </a:rPr>
            <a:t>0xA8,</a:t>
          </a:r>
          <a:r>
            <a:rPr lang="en-US" altLang="zh-TW"/>
            <a:t> </a:t>
          </a:r>
          <a:r>
            <a:rPr lang="en-US" altLang="zh-TW" sz="1100" b="0" i="0" u="none" strike="noStrike">
              <a:solidFill>
                <a:schemeClr val="dk1"/>
              </a:solidFill>
              <a:effectLst/>
              <a:latin typeface="+mn-lt"/>
              <a:ea typeface="+mn-ea"/>
              <a:cs typeface="+mn-cs"/>
            </a:rPr>
            <a:t>0xA9,</a:t>
          </a:r>
          <a:r>
            <a:rPr lang="en-US" altLang="zh-TW"/>
            <a:t> </a:t>
          </a:r>
          <a:r>
            <a:rPr lang="en-US" altLang="zh-TW" sz="1100" b="0" i="0" u="none" strike="noStrike">
              <a:solidFill>
                <a:schemeClr val="dk1"/>
              </a:solidFill>
              <a:effectLst/>
              <a:latin typeface="+mn-lt"/>
              <a:ea typeface="+mn-ea"/>
              <a:cs typeface="+mn-cs"/>
            </a:rPr>
            <a:t>0xAA,</a:t>
          </a:r>
          <a:r>
            <a:rPr lang="en-US" altLang="zh-TW"/>
            <a:t> </a:t>
          </a:r>
          <a:r>
            <a:rPr lang="en-US" altLang="zh-TW" sz="1100" b="0" i="0" u="none" strike="noStrike">
              <a:solidFill>
                <a:schemeClr val="dk1"/>
              </a:solidFill>
              <a:effectLst/>
              <a:latin typeface="+mn-lt"/>
              <a:ea typeface="+mn-ea"/>
              <a:cs typeface="+mn-cs"/>
            </a:rPr>
            <a:t>0xAB,</a:t>
          </a:r>
          <a:r>
            <a:rPr lang="en-US" altLang="zh-TW"/>
            <a:t> </a:t>
          </a:r>
          <a:r>
            <a:rPr lang="en-US" altLang="zh-TW" sz="1100" b="0" i="0" u="none" strike="noStrike">
              <a:solidFill>
                <a:schemeClr val="dk1"/>
              </a:solidFill>
              <a:effectLst/>
              <a:latin typeface="+mn-lt"/>
              <a:ea typeface="+mn-ea"/>
              <a:cs typeface="+mn-cs"/>
            </a:rPr>
            <a:t>0xAC,</a:t>
          </a:r>
          <a:r>
            <a:rPr lang="en-US" altLang="zh-TW"/>
            <a:t> </a:t>
          </a:r>
          <a:r>
            <a:rPr lang="en-US" altLang="zh-TW" sz="1100" b="0" i="0" u="none" strike="noStrike">
              <a:solidFill>
                <a:schemeClr val="dk1"/>
              </a:solidFill>
              <a:effectLst/>
              <a:latin typeface="+mn-lt"/>
              <a:ea typeface="+mn-ea"/>
              <a:cs typeface="+mn-cs"/>
            </a:rPr>
            <a:t>0xAD,</a:t>
          </a:r>
          <a:r>
            <a:rPr lang="en-US" altLang="zh-TW"/>
            <a:t> </a:t>
          </a:r>
          <a:r>
            <a:rPr lang="en-US" altLang="zh-TW" sz="1100" b="0" i="0" u="none" strike="noStrike">
              <a:solidFill>
                <a:schemeClr val="dk1"/>
              </a:solidFill>
              <a:effectLst/>
              <a:latin typeface="+mn-lt"/>
              <a:ea typeface="+mn-ea"/>
              <a:cs typeface="+mn-cs"/>
            </a:rPr>
            <a:t>0xAE,</a:t>
          </a:r>
          <a:r>
            <a:rPr lang="en-US" altLang="zh-TW"/>
            <a:t> </a:t>
          </a:r>
          <a:r>
            <a:rPr lang="en-US" altLang="zh-TW" sz="1100" b="0" i="0" u="none" strike="noStrike">
              <a:solidFill>
                <a:schemeClr val="dk1"/>
              </a:solidFill>
              <a:effectLst/>
              <a:latin typeface="+mn-lt"/>
              <a:ea typeface="+mn-ea"/>
              <a:cs typeface="+mn-cs"/>
            </a:rPr>
            <a:t>0xAF,</a:t>
          </a:r>
          <a:r>
            <a:rPr lang="en-US" altLang="zh-TW"/>
            <a:t> </a:t>
          </a:r>
          <a:r>
            <a:rPr lang="en-US" altLang="zh-TW" sz="1100" b="0" i="0" u="none" strike="noStrike">
              <a:solidFill>
                <a:schemeClr val="dk1"/>
              </a:solidFill>
              <a:effectLst/>
              <a:latin typeface="+mn-lt"/>
              <a:ea typeface="+mn-ea"/>
              <a:cs typeface="+mn-cs"/>
            </a:rPr>
            <a:t>0xB0,</a:t>
          </a:r>
          <a:r>
            <a:rPr lang="en-US" altLang="zh-TW"/>
            <a:t> </a:t>
          </a:r>
          <a:r>
            <a:rPr lang="en-US" altLang="zh-TW" sz="1100" b="0" i="0" u="none" strike="noStrike">
              <a:solidFill>
                <a:schemeClr val="dk1"/>
              </a:solidFill>
              <a:effectLst/>
              <a:latin typeface="+mn-lt"/>
              <a:ea typeface="+mn-ea"/>
              <a:cs typeface="+mn-cs"/>
            </a:rPr>
            <a:t>0xB1,</a:t>
          </a:r>
          <a:r>
            <a:rPr lang="en-US" altLang="zh-TW"/>
            <a:t> </a:t>
          </a:r>
          <a:r>
            <a:rPr lang="en-US" altLang="zh-TW" sz="1100" b="0" i="0" u="none" strike="noStrike">
              <a:solidFill>
                <a:schemeClr val="dk1"/>
              </a:solidFill>
              <a:effectLst/>
              <a:latin typeface="+mn-lt"/>
              <a:ea typeface="+mn-ea"/>
              <a:cs typeface="+mn-cs"/>
            </a:rPr>
            <a:t>0xB2,</a:t>
          </a:r>
          <a:r>
            <a:rPr lang="en-US" altLang="zh-TW"/>
            <a:t> </a:t>
          </a:r>
          <a:r>
            <a:rPr lang="en-US" altLang="zh-TW" sz="1100" b="0" i="0" u="none" strike="noStrike">
              <a:solidFill>
                <a:schemeClr val="dk1"/>
              </a:solidFill>
              <a:effectLst/>
              <a:latin typeface="+mn-lt"/>
              <a:ea typeface="+mn-ea"/>
              <a:cs typeface="+mn-cs"/>
            </a:rPr>
            <a:t>0xB3,</a:t>
          </a:r>
          <a:r>
            <a:rPr lang="en-US" altLang="zh-TW"/>
            <a:t> </a:t>
          </a:r>
          <a:r>
            <a:rPr lang="en-US" altLang="zh-TW" sz="1100" b="0" i="0" u="none" strike="noStrike">
              <a:solidFill>
                <a:schemeClr val="dk1"/>
              </a:solidFill>
              <a:effectLst/>
              <a:latin typeface="+mn-lt"/>
              <a:ea typeface="+mn-ea"/>
              <a:cs typeface="+mn-cs"/>
            </a:rPr>
            <a:t>0xB4,</a:t>
          </a:r>
          <a:r>
            <a:rPr lang="en-US" altLang="zh-TW"/>
            <a:t> </a:t>
          </a:r>
          <a:r>
            <a:rPr lang="en-US" altLang="zh-TW" sz="1100" b="0" i="0" u="none" strike="noStrike">
              <a:solidFill>
                <a:schemeClr val="dk1"/>
              </a:solidFill>
              <a:effectLst/>
              <a:latin typeface="+mn-lt"/>
              <a:ea typeface="+mn-ea"/>
              <a:cs typeface="+mn-cs"/>
            </a:rPr>
            <a:t>0xB5,</a:t>
          </a:r>
          <a:r>
            <a:rPr lang="en-US" altLang="zh-TW"/>
            <a:t> </a:t>
          </a:r>
          <a:r>
            <a:rPr lang="en-US" altLang="zh-TW" sz="1100" b="0" i="0" u="none" strike="noStrike">
              <a:solidFill>
                <a:schemeClr val="dk1"/>
              </a:solidFill>
              <a:effectLst/>
              <a:latin typeface="+mn-lt"/>
              <a:ea typeface="+mn-ea"/>
              <a:cs typeface="+mn-cs"/>
            </a:rPr>
            <a:t>0xB6,</a:t>
          </a:r>
          <a:r>
            <a:rPr lang="en-US" altLang="zh-TW"/>
            <a:t> </a:t>
          </a:r>
          <a:r>
            <a:rPr lang="en-US" altLang="zh-TW" sz="1100" b="0" i="0" u="none" strike="noStrike">
              <a:solidFill>
                <a:schemeClr val="dk1"/>
              </a:solidFill>
              <a:effectLst/>
              <a:latin typeface="+mn-lt"/>
              <a:ea typeface="+mn-ea"/>
              <a:cs typeface="+mn-cs"/>
            </a:rPr>
            <a:t>0xB7,</a:t>
          </a:r>
          <a:r>
            <a:rPr lang="en-US" altLang="zh-TW"/>
            <a:t> </a:t>
          </a:r>
          <a:r>
            <a:rPr lang="en-US" altLang="zh-TW" sz="1100" b="0" i="0" u="none" strike="noStrike">
              <a:solidFill>
                <a:schemeClr val="dk1"/>
              </a:solidFill>
              <a:effectLst/>
              <a:latin typeface="+mn-lt"/>
              <a:ea typeface="+mn-ea"/>
              <a:cs typeface="+mn-cs"/>
            </a:rPr>
            <a:t>0xB8,</a:t>
          </a:r>
          <a:r>
            <a:rPr lang="en-US" altLang="zh-TW"/>
            <a:t> </a:t>
          </a:r>
          <a:r>
            <a:rPr lang="en-US" altLang="zh-TW" sz="1100" b="0" i="0" u="none" strike="noStrike">
              <a:solidFill>
                <a:schemeClr val="dk1"/>
              </a:solidFill>
              <a:effectLst/>
              <a:latin typeface="+mn-lt"/>
              <a:ea typeface="+mn-ea"/>
              <a:cs typeface="+mn-cs"/>
            </a:rPr>
            <a:t>0xB9,</a:t>
          </a:r>
          <a:r>
            <a:rPr lang="en-US" altLang="zh-TW"/>
            <a:t> </a:t>
          </a:r>
          <a:r>
            <a:rPr lang="en-US" altLang="zh-TW" sz="1100" b="0" i="0" u="none" strike="noStrike">
              <a:solidFill>
                <a:schemeClr val="dk1"/>
              </a:solidFill>
              <a:effectLst/>
              <a:latin typeface="+mn-lt"/>
              <a:ea typeface="+mn-ea"/>
              <a:cs typeface="+mn-cs"/>
            </a:rPr>
            <a:t>0xBA,</a:t>
          </a:r>
          <a:r>
            <a:rPr lang="en-US" altLang="zh-TW"/>
            <a:t> </a:t>
          </a:r>
          <a:r>
            <a:rPr lang="en-US" altLang="zh-TW" sz="1100" b="0" i="0" u="none" strike="noStrike">
              <a:solidFill>
                <a:schemeClr val="dk1"/>
              </a:solidFill>
              <a:effectLst/>
              <a:latin typeface="+mn-lt"/>
              <a:ea typeface="+mn-ea"/>
              <a:cs typeface="+mn-cs"/>
            </a:rPr>
            <a:t>0xBB,</a:t>
          </a:r>
          <a:r>
            <a:rPr lang="en-US" altLang="zh-TW"/>
            <a:t> </a:t>
          </a:r>
          <a:r>
            <a:rPr lang="en-US" altLang="zh-TW" sz="1100" b="0" i="0" u="none" strike="noStrike">
              <a:solidFill>
                <a:schemeClr val="dk1"/>
              </a:solidFill>
              <a:effectLst/>
              <a:latin typeface="+mn-lt"/>
              <a:ea typeface="+mn-ea"/>
              <a:cs typeface="+mn-cs"/>
            </a:rPr>
            <a:t>0xBC,</a:t>
          </a:r>
          <a:r>
            <a:rPr lang="en-US" altLang="zh-TW"/>
            <a:t> </a:t>
          </a:r>
          <a:r>
            <a:rPr lang="en-US" altLang="zh-TW" sz="1100" b="0" i="0" u="none" strike="noStrike">
              <a:solidFill>
                <a:schemeClr val="dk1"/>
              </a:solidFill>
              <a:effectLst/>
              <a:latin typeface="+mn-lt"/>
              <a:ea typeface="+mn-ea"/>
              <a:cs typeface="+mn-cs"/>
            </a:rPr>
            <a:t>0xBD,</a:t>
          </a:r>
          <a:r>
            <a:rPr lang="en-US" altLang="zh-TW"/>
            <a:t> </a:t>
          </a:r>
          <a:r>
            <a:rPr lang="en-US" altLang="zh-TW" sz="1100" b="0" i="0" u="none" strike="noStrike">
              <a:solidFill>
                <a:schemeClr val="dk1"/>
              </a:solidFill>
              <a:effectLst/>
              <a:latin typeface="+mn-lt"/>
              <a:ea typeface="+mn-ea"/>
              <a:cs typeface="+mn-cs"/>
            </a:rPr>
            <a:t>0xBE,</a:t>
          </a:r>
          <a:r>
            <a:rPr lang="en-US" altLang="zh-TW"/>
            <a:t> </a:t>
          </a:r>
          <a:r>
            <a:rPr lang="en-US" altLang="zh-TW" sz="1100" b="0" i="0" u="none" strike="noStrike">
              <a:solidFill>
                <a:schemeClr val="dk1"/>
              </a:solidFill>
              <a:effectLst/>
              <a:latin typeface="+mn-lt"/>
              <a:ea typeface="+mn-ea"/>
              <a:cs typeface="+mn-cs"/>
            </a:rPr>
            <a:t>0xBF,</a:t>
          </a:r>
          <a:r>
            <a:rPr lang="en-US" altLang="zh-TW"/>
            <a:t> </a:t>
          </a:r>
          <a:r>
            <a:rPr lang="en-US" altLang="zh-TW" sz="1100" b="0" i="0" u="none" strike="noStrike">
              <a:solidFill>
                <a:schemeClr val="dk1"/>
              </a:solidFill>
              <a:effectLst/>
              <a:latin typeface="+mn-lt"/>
              <a:ea typeface="+mn-ea"/>
              <a:cs typeface="+mn-cs"/>
            </a:rPr>
            <a:t>0xC0,</a:t>
          </a:r>
          <a:r>
            <a:rPr lang="en-US" altLang="zh-TW"/>
            <a:t> </a:t>
          </a:r>
          <a:r>
            <a:rPr lang="en-US" altLang="zh-TW" sz="1100" b="0" i="0" u="none" strike="noStrike">
              <a:solidFill>
                <a:schemeClr val="dk1"/>
              </a:solidFill>
              <a:effectLst/>
              <a:latin typeface="+mn-lt"/>
              <a:ea typeface="+mn-ea"/>
              <a:cs typeface="+mn-cs"/>
            </a:rPr>
            <a:t>0xC1,</a:t>
          </a:r>
          <a:r>
            <a:rPr lang="en-US" altLang="zh-TW"/>
            <a:t> </a:t>
          </a:r>
          <a:r>
            <a:rPr lang="en-US" altLang="zh-TW" sz="1100" b="0" i="0" u="none" strike="noStrike">
              <a:solidFill>
                <a:schemeClr val="dk1"/>
              </a:solidFill>
              <a:effectLst/>
              <a:latin typeface="+mn-lt"/>
              <a:ea typeface="+mn-ea"/>
              <a:cs typeface="+mn-cs"/>
            </a:rPr>
            <a:t>0xC2,</a:t>
          </a:r>
          <a:r>
            <a:rPr lang="en-US" altLang="zh-TW"/>
            <a:t> </a:t>
          </a:r>
          <a:r>
            <a:rPr lang="en-US" altLang="zh-TW" sz="1100" b="0" i="0" u="none" strike="noStrike">
              <a:solidFill>
                <a:schemeClr val="dk1"/>
              </a:solidFill>
              <a:effectLst/>
              <a:latin typeface="+mn-lt"/>
              <a:ea typeface="+mn-ea"/>
              <a:cs typeface="+mn-cs"/>
            </a:rPr>
            <a:t>0xC3,</a:t>
          </a:r>
          <a:r>
            <a:rPr lang="en-US" altLang="zh-TW"/>
            <a:t> </a:t>
          </a:r>
          <a:r>
            <a:rPr lang="en-US" altLang="zh-TW" sz="1100" b="0" i="0" u="none" strike="noStrike">
              <a:solidFill>
                <a:schemeClr val="dk1"/>
              </a:solidFill>
              <a:effectLst/>
              <a:latin typeface="+mn-lt"/>
              <a:ea typeface="+mn-ea"/>
              <a:cs typeface="+mn-cs"/>
            </a:rPr>
            <a:t>0xC4,</a:t>
          </a:r>
          <a:r>
            <a:rPr lang="en-US" altLang="zh-TW"/>
            <a:t> </a:t>
          </a:r>
          <a:r>
            <a:rPr lang="en-US" altLang="zh-TW" sz="1100" b="0" i="0" u="none" strike="noStrike">
              <a:solidFill>
                <a:schemeClr val="dk1"/>
              </a:solidFill>
              <a:effectLst/>
              <a:latin typeface="+mn-lt"/>
              <a:ea typeface="+mn-ea"/>
              <a:cs typeface="+mn-cs"/>
            </a:rPr>
            <a:t>0xC5,</a:t>
          </a:r>
          <a:r>
            <a:rPr lang="en-US" altLang="zh-TW"/>
            <a:t> </a:t>
          </a:r>
          <a:r>
            <a:rPr lang="en-US" altLang="zh-TW" sz="1100" b="0" i="0" u="none" strike="noStrike">
              <a:solidFill>
                <a:schemeClr val="dk1"/>
              </a:solidFill>
              <a:effectLst/>
              <a:latin typeface="+mn-lt"/>
              <a:ea typeface="+mn-ea"/>
              <a:cs typeface="+mn-cs"/>
            </a:rPr>
            <a:t>0xC6,</a:t>
          </a:r>
          <a:r>
            <a:rPr lang="en-US" altLang="zh-TW"/>
            <a:t> </a:t>
          </a:r>
          <a:r>
            <a:rPr lang="en-US" altLang="zh-TW" sz="1100" b="0" i="0" u="none" strike="noStrike">
              <a:solidFill>
                <a:schemeClr val="dk1"/>
              </a:solidFill>
              <a:effectLst/>
              <a:latin typeface="+mn-lt"/>
              <a:ea typeface="+mn-ea"/>
              <a:cs typeface="+mn-cs"/>
            </a:rPr>
            <a:t>0xC7,</a:t>
          </a:r>
          <a:r>
            <a:rPr lang="en-US" altLang="zh-TW"/>
            <a:t> </a:t>
          </a:r>
          <a:r>
            <a:rPr lang="en-US" altLang="zh-TW" sz="1100" b="0" i="0" u="none" strike="noStrike">
              <a:solidFill>
                <a:schemeClr val="dk1"/>
              </a:solidFill>
              <a:effectLst/>
              <a:latin typeface="+mn-lt"/>
              <a:ea typeface="+mn-ea"/>
              <a:cs typeface="+mn-cs"/>
            </a:rPr>
            <a:t>0xC8,</a:t>
          </a:r>
          <a:r>
            <a:rPr lang="en-US" altLang="zh-TW"/>
            <a:t> </a:t>
          </a:r>
          <a:r>
            <a:rPr lang="en-US" altLang="zh-TW" sz="1100" b="0" i="0" u="none" strike="noStrike">
              <a:solidFill>
                <a:schemeClr val="dk1"/>
              </a:solidFill>
              <a:effectLst/>
              <a:latin typeface="+mn-lt"/>
              <a:ea typeface="+mn-ea"/>
              <a:cs typeface="+mn-cs"/>
            </a:rPr>
            <a:t>0xC9,</a:t>
          </a:r>
          <a:r>
            <a:rPr lang="en-US" altLang="zh-TW"/>
            <a:t> </a:t>
          </a:r>
          <a:r>
            <a:rPr lang="en-US" altLang="zh-TW" sz="1100" b="0" i="0" u="none" strike="noStrike">
              <a:solidFill>
                <a:schemeClr val="dk1"/>
              </a:solidFill>
              <a:effectLst/>
              <a:latin typeface="+mn-lt"/>
              <a:ea typeface="+mn-ea"/>
              <a:cs typeface="+mn-cs"/>
            </a:rPr>
            <a:t>0xCA,</a:t>
          </a:r>
          <a:r>
            <a:rPr lang="en-US" altLang="zh-TW"/>
            <a:t> </a:t>
          </a:r>
          <a:r>
            <a:rPr lang="en-US" altLang="zh-TW" sz="1100" b="0" i="0" u="none" strike="noStrike">
              <a:solidFill>
                <a:schemeClr val="dk1"/>
              </a:solidFill>
              <a:effectLst/>
              <a:latin typeface="+mn-lt"/>
              <a:ea typeface="+mn-ea"/>
              <a:cs typeface="+mn-cs"/>
            </a:rPr>
            <a:t>0xCB,</a:t>
          </a:r>
          <a:r>
            <a:rPr lang="en-US" altLang="zh-TW"/>
            <a:t> </a:t>
          </a:r>
          <a:r>
            <a:rPr lang="en-US" altLang="zh-TW" sz="1100" b="0" i="0" u="none" strike="noStrike">
              <a:solidFill>
                <a:schemeClr val="dk1"/>
              </a:solidFill>
              <a:effectLst/>
              <a:latin typeface="+mn-lt"/>
              <a:ea typeface="+mn-ea"/>
              <a:cs typeface="+mn-cs"/>
            </a:rPr>
            <a:t>0xCC,</a:t>
          </a:r>
          <a:r>
            <a:rPr lang="en-US" altLang="zh-TW"/>
            <a:t> </a:t>
          </a:r>
          <a:r>
            <a:rPr lang="en-US" altLang="zh-TW" sz="1100" b="0" i="0" u="none" strike="noStrike">
              <a:solidFill>
                <a:schemeClr val="dk1"/>
              </a:solidFill>
              <a:effectLst/>
              <a:latin typeface="+mn-lt"/>
              <a:ea typeface="+mn-ea"/>
              <a:cs typeface="+mn-cs"/>
            </a:rPr>
            <a:t>0xCD,</a:t>
          </a:r>
          <a:r>
            <a:rPr lang="en-US" altLang="zh-TW"/>
            <a:t> </a:t>
          </a:r>
          <a:r>
            <a:rPr lang="en-US" altLang="zh-TW" sz="1100" b="0" i="0" u="none" strike="noStrike">
              <a:solidFill>
                <a:schemeClr val="dk1"/>
              </a:solidFill>
              <a:effectLst/>
              <a:latin typeface="+mn-lt"/>
              <a:ea typeface="+mn-ea"/>
              <a:cs typeface="+mn-cs"/>
            </a:rPr>
            <a:t>0xCE,</a:t>
          </a:r>
          <a:r>
            <a:rPr lang="en-US" altLang="zh-TW"/>
            <a:t> </a:t>
          </a:r>
          <a:r>
            <a:rPr lang="en-US" altLang="zh-TW" sz="1100" b="0" i="0" u="none" strike="noStrike">
              <a:solidFill>
                <a:schemeClr val="dk1"/>
              </a:solidFill>
              <a:effectLst/>
              <a:latin typeface="+mn-lt"/>
              <a:ea typeface="+mn-ea"/>
              <a:cs typeface="+mn-cs"/>
            </a:rPr>
            <a:t>0xCF,</a:t>
          </a:r>
          <a:r>
            <a:rPr lang="en-US" altLang="zh-TW"/>
            <a:t> </a:t>
          </a:r>
          <a:r>
            <a:rPr lang="en-US" altLang="zh-TW" sz="1100" b="0" i="0" u="none" strike="noStrike">
              <a:solidFill>
                <a:schemeClr val="dk1"/>
              </a:solidFill>
              <a:effectLst/>
              <a:latin typeface="+mn-lt"/>
              <a:ea typeface="+mn-ea"/>
              <a:cs typeface="+mn-cs"/>
            </a:rPr>
            <a:t>0xD0,</a:t>
          </a:r>
          <a:r>
            <a:rPr lang="en-US" altLang="zh-TW"/>
            <a:t> </a:t>
          </a:r>
          <a:r>
            <a:rPr lang="en-US" altLang="zh-TW" sz="1100" b="0" i="0" u="none" strike="noStrike">
              <a:solidFill>
                <a:schemeClr val="dk1"/>
              </a:solidFill>
              <a:effectLst/>
              <a:latin typeface="+mn-lt"/>
              <a:ea typeface="+mn-ea"/>
              <a:cs typeface="+mn-cs"/>
            </a:rPr>
            <a:t>0xD1,</a:t>
          </a:r>
          <a:r>
            <a:rPr lang="en-US" altLang="zh-TW"/>
            <a:t> </a:t>
          </a:r>
          <a:r>
            <a:rPr lang="en-US" altLang="zh-TW" sz="1100" b="0" i="0" u="none" strike="noStrike">
              <a:solidFill>
                <a:schemeClr val="dk1"/>
              </a:solidFill>
              <a:effectLst/>
              <a:latin typeface="+mn-lt"/>
              <a:ea typeface="+mn-ea"/>
              <a:cs typeface="+mn-cs"/>
            </a:rPr>
            <a:t>0xD2,</a:t>
          </a:r>
          <a:r>
            <a:rPr lang="en-US" altLang="zh-TW"/>
            <a:t> </a:t>
          </a:r>
          <a:r>
            <a:rPr lang="en-US" altLang="zh-TW" sz="1100" b="0" i="0" u="none" strike="noStrike">
              <a:solidFill>
                <a:schemeClr val="dk1"/>
              </a:solidFill>
              <a:effectLst/>
              <a:latin typeface="+mn-lt"/>
              <a:ea typeface="+mn-ea"/>
              <a:cs typeface="+mn-cs"/>
            </a:rPr>
            <a:t>0xD3,</a:t>
          </a:r>
          <a:r>
            <a:rPr lang="en-US" altLang="zh-TW"/>
            <a:t> </a:t>
          </a:r>
          <a:r>
            <a:rPr lang="en-US" altLang="zh-TW" sz="1100" b="0" i="0" u="none" strike="noStrike">
              <a:solidFill>
                <a:schemeClr val="dk1"/>
              </a:solidFill>
              <a:effectLst/>
              <a:latin typeface="+mn-lt"/>
              <a:ea typeface="+mn-ea"/>
              <a:cs typeface="+mn-cs"/>
            </a:rPr>
            <a:t>0xD4,</a:t>
          </a:r>
          <a:r>
            <a:rPr lang="en-US" altLang="zh-TW"/>
            <a:t> </a:t>
          </a:r>
          <a:r>
            <a:rPr lang="en-US" altLang="zh-TW" sz="1100" b="0" i="0" u="none" strike="noStrike">
              <a:solidFill>
                <a:schemeClr val="dk1"/>
              </a:solidFill>
              <a:effectLst/>
              <a:latin typeface="+mn-lt"/>
              <a:ea typeface="+mn-ea"/>
              <a:cs typeface="+mn-cs"/>
            </a:rPr>
            <a:t>0xD5,</a:t>
          </a:r>
          <a:r>
            <a:rPr lang="en-US" altLang="zh-TW"/>
            <a:t> </a:t>
          </a:r>
          <a:r>
            <a:rPr lang="en-US" altLang="zh-TW" sz="1100" b="0" i="0" u="none" strike="noStrike">
              <a:solidFill>
                <a:schemeClr val="dk1"/>
              </a:solidFill>
              <a:effectLst/>
              <a:latin typeface="+mn-lt"/>
              <a:ea typeface="+mn-ea"/>
              <a:cs typeface="+mn-cs"/>
            </a:rPr>
            <a:t>0xD6,</a:t>
          </a:r>
          <a:r>
            <a:rPr lang="en-US" altLang="zh-TW"/>
            <a:t> </a:t>
          </a:r>
          <a:r>
            <a:rPr lang="en-US" altLang="zh-TW" sz="1100" b="0" i="0" u="none" strike="noStrike">
              <a:solidFill>
                <a:schemeClr val="dk1"/>
              </a:solidFill>
              <a:effectLst/>
              <a:latin typeface="+mn-lt"/>
              <a:ea typeface="+mn-ea"/>
              <a:cs typeface="+mn-cs"/>
            </a:rPr>
            <a:t>0xD7,</a:t>
          </a:r>
          <a:r>
            <a:rPr lang="en-US" altLang="zh-TW"/>
            <a:t> </a:t>
          </a:r>
          <a:r>
            <a:rPr lang="en-US" altLang="zh-TW" sz="1100" b="0" i="0" u="none" strike="noStrike">
              <a:solidFill>
                <a:schemeClr val="dk1"/>
              </a:solidFill>
              <a:effectLst/>
              <a:latin typeface="+mn-lt"/>
              <a:ea typeface="+mn-ea"/>
              <a:cs typeface="+mn-cs"/>
            </a:rPr>
            <a:t>0xD8,</a:t>
          </a:r>
          <a:r>
            <a:rPr lang="en-US" altLang="zh-TW"/>
            <a:t> </a:t>
          </a:r>
          <a:r>
            <a:rPr lang="en-US" altLang="zh-TW" sz="1100" b="0" i="0" u="none" strike="noStrike">
              <a:solidFill>
                <a:schemeClr val="dk1"/>
              </a:solidFill>
              <a:effectLst/>
              <a:latin typeface="+mn-lt"/>
              <a:ea typeface="+mn-ea"/>
              <a:cs typeface="+mn-cs"/>
            </a:rPr>
            <a:t>0xD9,</a:t>
          </a:r>
          <a:r>
            <a:rPr lang="en-US" altLang="zh-TW"/>
            <a:t> </a:t>
          </a:r>
          <a:r>
            <a:rPr lang="en-US" altLang="zh-TW" sz="1100" b="0" i="0" u="none" strike="noStrike">
              <a:solidFill>
                <a:schemeClr val="dk1"/>
              </a:solidFill>
              <a:effectLst/>
              <a:latin typeface="+mn-lt"/>
              <a:ea typeface="+mn-ea"/>
              <a:cs typeface="+mn-cs"/>
            </a:rPr>
            <a:t>0xDA,</a:t>
          </a:r>
          <a:r>
            <a:rPr lang="en-US" altLang="zh-TW"/>
            <a:t> </a:t>
          </a:r>
          <a:r>
            <a:rPr lang="en-US" altLang="zh-TW" sz="1100" b="0" i="0" u="none" strike="noStrike">
              <a:solidFill>
                <a:schemeClr val="dk1"/>
              </a:solidFill>
              <a:effectLst/>
              <a:latin typeface="+mn-lt"/>
              <a:ea typeface="+mn-ea"/>
              <a:cs typeface="+mn-cs"/>
            </a:rPr>
            <a:t>0xDB,</a:t>
          </a:r>
          <a:r>
            <a:rPr lang="en-US" altLang="zh-TW"/>
            <a:t> </a:t>
          </a:r>
          <a:r>
            <a:rPr lang="en-US" altLang="zh-TW" sz="1100" b="0" i="0" u="none" strike="noStrike">
              <a:solidFill>
                <a:schemeClr val="dk1"/>
              </a:solidFill>
              <a:effectLst/>
              <a:latin typeface="+mn-lt"/>
              <a:ea typeface="+mn-ea"/>
              <a:cs typeface="+mn-cs"/>
            </a:rPr>
            <a:t>0xDC,</a:t>
          </a:r>
          <a:r>
            <a:rPr lang="en-US" altLang="zh-TW"/>
            <a:t> </a:t>
          </a:r>
          <a:r>
            <a:rPr lang="en-US" altLang="zh-TW" sz="1100" b="0" i="0" u="none" strike="noStrike">
              <a:solidFill>
                <a:schemeClr val="dk1"/>
              </a:solidFill>
              <a:effectLst/>
              <a:latin typeface="+mn-lt"/>
              <a:ea typeface="+mn-ea"/>
              <a:cs typeface="+mn-cs"/>
            </a:rPr>
            <a:t>0xDD,</a:t>
          </a:r>
          <a:r>
            <a:rPr lang="en-US" altLang="zh-TW"/>
            <a:t> </a:t>
          </a:r>
          <a:r>
            <a:rPr lang="en-US" altLang="zh-TW" sz="1100" b="0" i="0" u="none" strike="noStrike">
              <a:solidFill>
                <a:schemeClr val="dk1"/>
              </a:solidFill>
              <a:effectLst/>
              <a:latin typeface="+mn-lt"/>
              <a:ea typeface="+mn-ea"/>
              <a:cs typeface="+mn-cs"/>
            </a:rPr>
            <a:t>0xDE,</a:t>
          </a:r>
          <a:r>
            <a:rPr lang="en-US" altLang="zh-TW"/>
            <a:t> </a:t>
          </a:r>
          <a:r>
            <a:rPr lang="en-US" altLang="zh-TW" sz="1100" b="0" i="0" u="none" strike="noStrike">
              <a:solidFill>
                <a:schemeClr val="dk1"/>
              </a:solidFill>
              <a:effectLst/>
              <a:latin typeface="+mn-lt"/>
              <a:ea typeface="+mn-ea"/>
              <a:cs typeface="+mn-cs"/>
            </a:rPr>
            <a:t>0xDF,</a:t>
          </a:r>
          <a:r>
            <a:rPr lang="en-US" altLang="zh-TW"/>
            <a:t> </a:t>
          </a:r>
          <a:r>
            <a:rPr lang="en-US" altLang="zh-TW" sz="1100" b="0" i="0" u="none" strike="noStrike">
              <a:solidFill>
                <a:schemeClr val="dk1"/>
              </a:solidFill>
              <a:effectLst/>
              <a:latin typeface="+mn-lt"/>
              <a:ea typeface="+mn-ea"/>
              <a:cs typeface="+mn-cs"/>
            </a:rPr>
            <a:t>0xE0,</a:t>
          </a:r>
          <a:r>
            <a:rPr lang="en-US" altLang="zh-TW"/>
            <a:t> </a:t>
          </a:r>
          <a:r>
            <a:rPr lang="en-US" altLang="zh-TW" sz="1100" b="0" i="0" u="none" strike="noStrike">
              <a:solidFill>
                <a:schemeClr val="dk1"/>
              </a:solidFill>
              <a:effectLst/>
              <a:latin typeface="+mn-lt"/>
              <a:ea typeface="+mn-ea"/>
              <a:cs typeface="+mn-cs"/>
            </a:rPr>
            <a:t>0xE1,</a:t>
          </a:r>
          <a:r>
            <a:rPr lang="en-US" altLang="zh-TW"/>
            <a:t> </a:t>
          </a:r>
          <a:r>
            <a:rPr lang="en-US" altLang="zh-TW" sz="1100" b="0" i="0" u="none" strike="noStrike">
              <a:solidFill>
                <a:schemeClr val="dk1"/>
              </a:solidFill>
              <a:effectLst/>
              <a:latin typeface="+mn-lt"/>
              <a:ea typeface="+mn-ea"/>
              <a:cs typeface="+mn-cs"/>
            </a:rPr>
            <a:t>0xE2,</a:t>
          </a:r>
          <a:r>
            <a:rPr lang="en-US" altLang="zh-TW"/>
            <a:t> </a:t>
          </a:r>
          <a:r>
            <a:rPr lang="en-US" altLang="zh-TW" sz="1100" b="0" i="0" u="none" strike="noStrike">
              <a:solidFill>
                <a:schemeClr val="dk1"/>
              </a:solidFill>
              <a:effectLst/>
              <a:latin typeface="+mn-lt"/>
              <a:ea typeface="+mn-ea"/>
              <a:cs typeface="+mn-cs"/>
            </a:rPr>
            <a:t>0xE3,</a:t>
          </a:r>
          <a:r>
            <a:rPr lang="en-US" altLang="zh-TW"/>
            <a:t> </a:t>
          </a:r>
          <a:r>
            <a:rPr lang="en-US" altLang="zh-TW" sz="1100" b="0" i="0" u="none" strike="noStrike">
              <a:solidFill>
                <a:schemeClr val="dk1"/>
              </a:solidFill>
              <a:effectLst/>
              <a:latin typeface="+mn-lt"/>
              <a:ea typeface="+mn-ea"/>
              <a:cs typeface="+mn-cs"/>
            </a:rPr>
            <a:t>0xE4,</a:t>
          </a:r>
          <a:r>
            <a:rPr lang="en-US" altLang="zh-TW"/>
            <a:t> </a:t>
          </a:r>
          <a:r>
            <a:rPr lang="en-US" altLang="zh-TW" sz="1100" b="0" i="0" u="none" strike="noStrike">
              <a:solidFill>
                <a:schemeClr val="dk1"/>
              </a:solidFill>
              <a:effectLst/>
              <a:latin typeface="+mn-lt"/>
              <a:ea typeface="+mn-ea"/>
              <a:cs typeface="+mn-cs"/>
            </a:rPr>
            <a:t>0xE5,</a:t>
          </a:r>
          <a:r>
            <a:rPr lang="en-US" altLang="zh-TW"/>
            <a:t> </a:t>
          </a:r>
          <a:r>
            <a:rPr lang="en-US" altLang="zh-TW" sz="1100" b="0" i="0" u="none" strike="noStrike">
              <a:solidFill>
                <a:schemeClr val="dk1"/>
              </a:solidFill>
              <a:effectLst/>
              <a:latin typeface="+mn-lt"/>
              <a:ea typeface="+mn-ea"/>
              <a:cs typeface="+mn-cs"/>
            </a:rPr>
            <a:t>0xE6,</a:t>
          </a:r>
          <a:r>
            <a:rPr lang="en-US" altLang="zh-TW"/>
            <a:t> </a:t>
          </a:r>
          <a:r>
            <a:rPr lang="en-US" altLang="zh-TW" sz="1100" b="0" i="0" u="none" strike="noStrike">
              <a:solidFill>
                <a:schemeClr val="dk1"/>
              </a:solidFill>
              <a:effectLst/>
              <a:latin typeface="+mn-lt"/>
              <a:ea typeface="+mn-ea"/>
              <a:cs typeface="+mn-cs"/>
            </a:rPr>
            <a:t>0xE7,</a:t>
          </a:r>
          <a:r>
            <a:rPr lang="en-US" altLang="zh-TW"/>
            <a:t> </a:t>
          </a:r>
          <a:r>
            <a:rPr lang="en-US" altLang="zh-TW" sz="1100" b="0" i="0" u="none" strike="noStrike">
              <a:solidFill>
                <a:schemeClr val="dk1"/>
              </a:solidFill>
              <a:effectLst/>
              <a:latin typeface="+mn-lt"/>
              <a:ea typeface="+mn-ea"/>
              <a:cs typeface="+mn-cs"/>
            </a:rPr>
            <a:t>0xE8,</a:t>
          </a:r>
          <a:r>
            <a:rPr lang="en-US" altLang="zh-TW"/>
            <a:t> </a:t>
          </a:r>
          <a:r>
            <a:rPr lang="en-US" altLang="zh-TW" sz="1100" b="0" i="0" u="none" strike="noStrike">
              <a:solidFill>
                <a:schemeClr val="dk1"/>
              </a:solidFill>
              <a:effectLst/>
              <a:latin typeface="+mn-lt"/>
              <a:ea typeface="+mn-ea"/>
              <a:cs typeface="+mn-cs"/>
            </a:rPr>
            <a:t>0xE9,</a:t>
          </a:r>
          <a:r>
            <a:rPr lang="en-US" altLang="zh-TW"/>
            <a:t> </a:t>
          </a:r>
          <a:r>
            <a:rPr lang="en-US" altLang="zh-TW" sz="1100" b="0" i="0" u="none" strike="noStrike">
              <a:solidFill>
                <a:schemeClr val="dk1"/>
              </a:solidFill>
              <a:effectLst/>
              <a:latin typeface="+mn-lt"/>
              <a:ea typeface="+mn-ea"/>
              <a:cs typeface="+mn-cs"/>
            </a:rPr>
            <a:t>0xEA,</a:t>
          </a:r>
          <a:r>
            <a:rPr lang="en-US" altLang="zh-TW"/>
            <a:t> </a:t>
          </a:r>
          <a:r>
            <a:rPr lang="en-US" altLang="zh-TW" sz="1100" b="0" i="0" u="none" strike="noStrike">
              <a:solidFill>
                <a:schemeClr val="dk1"/>
              </a:solidFill>
              <a:effectLst/>
              <a:latin typeface="+mn-lt"/>
              <a:ea typeface="+mn-ea"/>
              <a:cs typeface="+mn-cs"/>
            </a:rPr>
            <a:t>0xEB,</a:t>
          </a:r>
          <a:r>
            <a:rPr lang="en-US" altLang="zh-TW"/>
            <a:t> </a:t>
          </a:r>
          <a:r>
            <a:rPr lang="en-US" altLang="zh-TW" sz="1100" b="0" i="0" u="none" strike="noStrike">
              <a:solidFill>
                <a:schemeClr val="dk1"/>
              </a:solidFill>
              <a:effectLst/>
              <a:latin typeface="+mn-lt"/>
              <a:ea typeface="+mn-ea"/>
              <a:cs typeface="+mn-cs"/>
            </a:rPr>
            <a:t>0xEC,</a:t>
          </a:r>
          <a:r>
            <a:rPr lang="en-US" altLang="zh-TW"/>
            <a:t> </a:t>
          </a:r>
          <a:r>
            <a:rPr lang="en-US" altLang="zh-TW" sz="1100" b="0" i="0" u="none" strike="noStrike">
              <a:solidFill>
                <a:schemeClr val="dk1"/>
              </a:solidFill>
              <a:effectLst/>
              <a:latin typeface="+mn-lt"/>
              <a:ea typeface="+mn-ea"/>
              <a:cs typeface="+mn-cs"/>
            </a:rPr>
            <a:t>0xED,</a:t>
          </a:r>
          <a:r>
            <a:rPr lang="en-US" altLang="zh-TW"/>
            <a:t> </a:t>
          </a:r>
          <a:r>
            <a:rPr lang="en-US" altLang="zh-TW" sz="1100" b="0" i="0" u="none" strike="noStrike">
              <a:solidFill>
                <a:schemeClr val="dk1"/>
              </a:solidFill>
              <a:effectLst/>
              <a:latin typeface="+mn-lt"/>
              <a:ea typeface="+mn-ea"/>
              <a:cs typeface="+mn-cs"/>
            </a:rPr>
            <a:t>0xEE,</a:t>
          </a:r>
          <a:r>
            <a:rPr lang="en-US" altLang="zh-TW"/>
            <a:t> </a:t>
          </a:r>
          <a:r>
            <a:rPr lang="en-US" altLang="zh-TW" sz="1100" b="0" i="0" u="none" strike="noStrike">
              <a:solidFill>
                <a:schemeClr val="dk1"/>
              </a:solidFill>
              <a:effectLst/>
              <a:latin typeface="+mn-lt"/>
              <a:ea typeface="+mn-ea"/>
              <a:cs typeface="+mn-cs"/>
            </a:rPr>
            <a:t>0xEF,</a:t>
          </a:r>
          <a:r>
            <a:rPr lang="en-US" altLang="zh-TW"/>
            <a:t> </a:t>
          </a:r>
          <a:r>
            <a:rPr lang="en-US" altLang="zh-TW" sz="1100" b="0" i="0" u="none" strike="noStrike">
              <a:solidFill>
                <a:schemeClr val="dk1"/>
              </a:solidFill>
              <a:effectLst/>
              <a:latin typeface="+mn-lt"/>
              <a:ea typeface="+mn-ea"/>
              <a:cs typeface="+mn-cs"/>
            </a:rPr>
            <a:t>0xEF,</a:t>
          </a:r>
          <a:r>
            <a:rPr lang="en-US" altLang="zh-TW"/>
            <a:t> </a:t>
          </a:r>
          <a:r>
            <a:rPr lang="en-US" altLang="zh-TW" sz="1100" b="0" i="0" u="none" strike="noStrike">
              <a:solidFill>
                <a:schemeClr val="dk1"/>
              </a:solidFill>
              <a:effectLst/>
              <a:latin typeface="+mn-lt"/>
              <a:ea typeface="+mn-ea"/>
              <a:cs typeface="+mn-cs"/>
            </a:rPr>
            <a:t>0xEE,</a:t>
          </a:r>
          <a:r>
            <a:rPr lang="en-US" altLang="zh-TW"/>
            <a:t> </a:t>
          </a:r>
          <a:r>
            <a:rPr lang="en-US" altLang="zh-TW" sz="1100" b="0" i="0" u="none" strike="noStrike">
              <a:solidFill>
                <a:schemeClr val="dk1"/>
              </a:solidFill>
              <a:effectLst/>
              <a:latin typeface="+mn-lt"/>
              <a:ea typeface="+mn-ea"/>
              <a:cs typeface="+mn-cs"/>
            </a:rPr>
            <a:t>0xED,</a:t>
          </a:r>
          <a:r>
            <a:rPr lang="en-US" altLang="zh-TW"/>
            <a:t> </a:t>
          </a:r>
          <a:r>
            <a:rPr lang="en-US" altLang="zh-TW" sz="1100" b="0" i="0" u="none" strike="noStrike">
              <a:solidFill>
                <a:schemeClr val="dk1"/>
              </a:solidFill>
              <a:effectLst/>
              <a:latin typeface="+mn-lt"/>
              <a:ea typeface="+mn-ea"/>
              <a:cs typeface="+mn-cs"/>
            </a:rPr>
            <a:t>0xEC,</a:t>
          </a:r>
          <a:r>
            <a:rPr lang="en-US" altLang="zh-TW"/>
            <a:t> </a:t>
          </a:r>
          <a:r>
            <a:rPr lang="en-US" altLang="zh-TW" sz="1100" b="0" i="0" u="none" strike="noStrike">
              <a:solidFill>
                <a:schemeClr val="dk1"/>
              </a:solidFill>
              <a:effectLst/>
              <a:latin typeface="+mn-lt"/>
              <a:ea typeface="+mn-ea"/>
              <a:cs typeface="+mn-cs"/>
            </a:rPr>
            <a:t>0xEB,</a:t>
          </a:r>
          <a:r>
            <a:rPr lang="en-US" altLang="zh-TW"/>
            <a:t> </a:t>
          </a:r>
          <a:r>
            <a:rPr lang="en-US" altLang="zh-TW" sz="1100" b="0" i="0" u="none" strike="noStrike">
              <a:solidFill>
                <a:schemeClr val="dk1"/>
              </a:solidFill>
              <a:effectLst/>
              <a:latin typeface="+mn-lt"/>
              <a:ea typeface="+mn-ea"/>
              <a:cs typeface="+mn-cs"/>
            </a:rPr>
            <a:t>0xEA,</a:t>
          </a:r>
          <a:r>
            <a:rPr lang="en-US" altLang="zh-TW"/>
            <a:t> </a:t>
          </a:r>
          <a:r>
            <a:rPr lang="en-US" altLang="zh-TW" sz="1100" b="0" i="0" u="none" strike="noStrike">
              <a:solidFill>
                <a:schemeClr val="dk1"/>
              </a:solidFill>
              <a:effectLst/>
              <a:latin typeface="+mn-lt"/>
              <a:ea typeface="+mn-ea"/>
              <a:cs typeface="+mn-cs"/>
            </a:rPr>
            <a:t>0xE9,</a:t>
          </a:r>
          <a:r>
            <a:rPr lang="en-US" altLang="zh-TW"/>
            <a:t> </a:t>
          </a:r>
          <a:r>
            <a:rPr lang="en-US" altLang="zh-TW" sz="1100" b="0" i="0" u="none" strike="noStrike">
              <a:solidFill>
                <a:schemeClr val="dk1"/>
              </a:solidFill>
              <a:effectLst/>
              <a:latin typeface="+mn-lt"/>
              <a:ea typeface="+mn-ea"/>
              <a:cs typeface="+mn-cs"/>
            </a:rPr>
            <a:t>0xE8,</a:t>
          </a:r>
          <a:r>
            <a:rPr lang="en-US" altLang="zh-TW"/>
            <a:t> </a:t>
          </a:r>
          <a:r>
            <a:rPr lang="en-US" altLang="zh-TW" sz="1100" b="0" i="0" u="none" strike="noStrike">
              <a:solidFill>
                <a:schemeClr val="dk1"/>
              </a:solidFill>
              <a:effectLst/>
              <a:latin typeface="+mn-lt"/>
              <a:ea typeface="+mn-ea"/>
              <a:cs typeface="+mn-cs"/>
            </a:rPr>
            <a:t>0xE7,</a:t>
          </a:r>
          <a:r>
            <a:rPr lang="en-US" altLang="zh-TW"/>
            <a:t> </a:t>
          </a:r>
          <a:r>
            <a:rPr lang="en-US" altLang="zh-TW" sz="1100" b="0" i="0" u="none" strike="noStrike">
              <a:solidFill>
                <a:schemeClr val="dk1"/>
              </a:solidFill>
              <a:effectLst/>
              <a:latin typeface="+mn-lt"/>
              <a:ea typeface="+mn-ea"/>
              <a:cs typeface="+mn-cs"/>
            </a:rPr>
            <a:t>0xE6,</a:t>
          </a:r>
          <a:r>
            <a:rPr lang="en-US" altLang="zh-TW"/>
            <a:t> </a:t>
          </a:r>
          <a:r>
            <a:rPr lang="en-US" altLang="zh-TW" sz="1100" b="0" i="0" u="none" strike="noStrike">
              <a:solidFill>
                <a:schemeClr val="dk1"/>
              </a:solidFill>
              <a:effectLst/>
              <a:latin typeface="+mn-lt"/>
              <a:ea typeface="+mn-ea"/>
              <a:cs typeface="+mn-cs"/>
            </a:rPr>
            <a:t>0xE5,</a:t>
          </a:r>
          <a:r>
            <a:rPr lang="en-US" altLang="zh-TW"/>
            <a:t> </a:t>
          </a:r>
          <a:r>
            <a:rPr lang="en-US" altLang="zh-TW" sz="1100" b="0" i="0" u="none" strike="noStrike">
              <a:solidFill>
                <a:schemeClr val="dk1"/>
              </a:solidFill>
              <a:effectLst/>
              <a:latin typeface="+mn-lt"/>
              <a:ea typeface="+mn-ea"/>
              <a:cs typeface="+mn-cs"/>
            </a:rPr>
            <a:t>0xE4,</a:t>
          </a:r>
          <a:r>
            <a:rPr lang="en-US" altLang="zh-TW"/>
            <a:t> </a:t>
          </a:r>
          <a:r>
            <a:rPr lang="en-US" altLang="zh-TW" sz="1100" b="0" i="0" u="none" strike="noStrike">
              <a:solidFill>
                <a:schemeClr val="dk1"/>
              </a:solidFill>
              <a:effectLst/>
              <a:latin typeface="+mn-lt"/>
              <a:ea typeface="+mn-ea"/>
              <a:cs typeface="+mn-cs"/>
            </a:rPr>
            <a:t>0xE3,</a:t>
          </a:r>
          <a:r>
            <a:rPr lang="en-US" altLang="zh-TW"/>
            <a:t> </a:t>
          </a:r>
          <a:r>
            <a:rPr lang="en-US" altLang="zh-TW" sz="1100" b="0" i="0" u="none" strike="noStrike">
              <a:solidFill>
                <a:schemeClr val="dk1"/>
              </a:solidFill>
              <a:effectLst/>
              <a:latin typeface="+mn-lt"/>
              <a:ea typeface="+mn-ea"/>
              <a:cs typeface="+mn-cs"/>
            </a:rPr>
            <a:t>0xE2,</a:t>
          </a:r>
          <a:r>
            <a:rPr lang="en-US" altLang="zh-TW"/>
            <a:t> </a:t>
          </a:r>
          <a:r>
            <a:rPr lang="en-US" altLang="zh-TW" sz="1100" b="0" i="0" u="none" strike="noStrike">
              <a:solidFill>
                <a:schemeClr val="dk1"/>
              </a:solidFill>
              <a:effectLst/>
              <a:latin typeface="+mn-lt"/>
              <a:ea typeface="+mn-ea"/>
              <a:cs typeface="+mn-cs"/>
            </a:rPr>
            <a:t>0xE1,</a:t>
          </a:r>
          <a:r>
            <a:rPr lang="en-US" altLang="zh-TW"/>
            <a:t> </a:t>
          </a:r>
          <a:r>
            <a:rPr lang="en-US" altLang="zh-TW" sz="1100" b="0" i="0" u="none" strike="noStrike">
              <a:solidFill>
                <a:schemeClr val="dk1"/>
              </a:solidFill>
              <a:effectLst/>
              <a:latin typeface="+mn-lt"/>
              <a:ea typeface="+mn-ea"/>
              <a:cs typeface="+mn-cs"/>
            </a:rPr>
            <a:t>0xE0,</a:t>
          </a:r>
          <a:r>
            <a:rPr lang="en-US" altLang="zh-TW"/>
            <a:t> </a:t>
          </a:r>
          <a:r>
            <a:rPr lang="en-US" altLang="zh-TW" sz="1100" b="0" i="0" u="none" strike="noStrike">
              <a:solidFill>
                <a:schemeClr val="dk1"/>
              </a:solidFill>
              <a:effectLst/>
              <a:latin typeface="+mn-lt"/>
              <a:ea typeface="+mn-ea"/>
              <a:cs typeface="+mn-cs"/>
            </a:rPr>
            <a:t>0xDF,</a:t>
          </a:r>
          <a:r>
            <a:rPr lang="en-US" altLang="zh-TW"/>
            <a:t> </a:t>
          </a:r>
          <a:r>
            <a:rPr lang="en-US" altLang="zh-TW" sz="1100" b="0" i="0" u="none" strike="noStrike">
              <a:solidFill>
                <a:schemeClr val="dk1"/>
              </a:solidFill>
              <a:effectLst/>
              <a:latin typeface="+mn-lt"/>
              <a:ea typeface="+mn-ea"/>
              <a:cs typeface="+mn-cs"/>
            </a:rPr>
            <a:t>0xDE,</a:t>
          </a:r>
          <a:r>
            <a:rPr lang="en-US" altLang="zh-TW"/>
            <a:t> </a:t>
          </a:r>
          <a:r>
            <a:rPr lang="en-US" altLang="zh-TW" sz="1100" b="0" i="0" u="none" strike="noStrike">
              <a:solidFill>
                <a:schemeClr val="dk1"/>
              </a:solidFill>
              <a:effectLst/>
              <a:latin typeface="+mn-lt"/>
              <a:ea typeface="+mn-ea"/>
              <a:cs typeface="+mn-cs"/>
            </a:rPr>
            <a:t>0xDD,</a:t>
          </a:r>
          <a:r>
            <a:rPr lang="en-US" altLang="zh-TW"/>
            <a:t> </a:t>
          </a:r>
          <a:r>
            <a:rPr lang="en-US" altLang="zh-TW" sz="1100" b="0" i="0" u="none" strike="noStrike">
              <a:solidFill>
                <a:schemeClr val="dk1"/>
              </a:solidFill>
              <a:effectLst/>
              <a:latin typeface="+mn-lt"/>
              <a:ea typeface="+mn-ea"/>
              <a:cs typeface="+mn-cs"/>
            </a:rPr>
            <a:t>0xDC,</a:t>
          </a:r>
          <a:r>
            <a:rPr lang="en-US" altLang="zh-TW"/>
            <a:t> </a:t>
          </a:r>
          <a:r>
            <a:rPr lang="en-US" altLang="zh-TW" sz="1100" b="0" i="0" u="none" strike="noStrike">
              <a:solidFill>
                <a:schemeClr val="dk1"/>
              </a:solidFill>
              <a:effectLst/>
              <a:latin typeface="+mn-lt"/>
              <a:ea typeface="+mn-ea"/>
              <a:cs typeface="+mn-cs"/>
            </a:rPr>
            <a:t>0xDB,</a:t>
          </a:r>
          <a:r>
            <a:rPr lang="en-US" altLang="zh-TW"/>
            <a:t> </a:t>
          </a:r>
          <a:r>
            <a:rPr lang="en-US" altLang="zh-TW" sz="1100" b="0" i="0" u="none" strike="noStrike">
              <a:solidFill>
                <a:schemeClr val="dk1"/>
              </a:solidFill>
              <a:effectLst/>
              <a:latin typeface="+mn-lt"/>
              <a:ea typeface="+mn-ea"/>
              <a:cs typeface="+mn-cs"/>
            </a:rPr>
            <a:t>0xDA,</a:t>
          </a:r>
          <a:r>
            <a:rPr lang="en-US" altLang="zh-TW"/>
            <a:t> </a:t>
          </a:r>
          <a:r>
            <a:rPr lang="en-US" altLang="zh-TW" sz="1100" b="0" i="0" u="none" strike="noStrike">
              <a:solidFill>
                <a:schemeClr val="dk1"/>
              </a:solidFill>
              <a:effectLst/>
              <a:latin typeface="+mn-lt"/>
              <a:ea typeface="+mn-ea"/>
              <a:cs typeface="+mn-cs"/>
            </a:rPr>
            <a:t>0xD9,</a:t>
          </a:r>
          <a:r>
            <a:rPr lang="en-US" altLang="zh-TW"/>
            <a:t> </a:t>
          </a:r>
          <a:r>
            <a:rPr lang="en-US" altLang="zh-TW" sz="1100" b="0" i="0" u="none" strike="noStrike">
              <a:solidFill>
                <a:schemeClr val="dk1"/>
              </a:solidFill>
              <a:effectLst/>
              <a:latin typeface="+mn-lt"/>
              <a:ea typeface="+mn-ea"/>
              <a:cs typeface="+mn-cs"/>
            </a:rPr>
            <a:t>0xD8,</a:t>
          </a:r>
          <a:r>
            <a:rPr lang="en-US" altLang="zh-TW"/>
            <a:t> </a:t>
          </a:r>
          <a:r>
            <a:rPr lang="en-US" altLang="zh-TW" sz="1100" b="0" i="0" u="none" strike="noStrike">
              <a:solidFill>
                <a:schemeClr val="dk1"/>
              </a:solidFill>
              <a:effectLst/>
              <a:latin typeface="+mn-lt"/>
              <a:ea typeface="+mn-ea"/>
              <a:cs typeface="+mn-cs"/>
            </a:rPr>
            <a:t>0xD7,</a:t>
          </a:r>
          <a:r>
            <a:rPr lang="en-US" altLang="zh-TW"/>
            <a:t> </a:t>
          </a:r>
          <a:r>
            <a:rPr lang="en-US" altLang="zh-TW" sz="1100" b="0" i="0" u="none" strike="noStrike">
              <a:solidFill>
                <a:schemeClr val="dk1"/>
              </a:solidFill>
              <a:effectLst/>
              <a:latin typeface="+mn-lt"/>
              <a:ea typeface="+mn-ea"/>
              <a:cs typeface="+mn-cs"/>
            </a:rPr>
            <a:t>0xD6,</a:t>
          </a:r>
          <a:r>
            <a:rPr lang="en-US" altLang="zh-TW"/>
            <a:t> </a:t>
          </a:r>
          <a:r>
            <a:rPr lang="en-US" altLang="zh-TW" sz="1100" b="0" i="0" u="none" strike="noStrike">
              <a:solidFill>
                <a:schemeClr val="dk1"/>
              </a:solidFill>
              <a:effectLst/>
              <a:latin typeface="+mn-lt"/>
              <a:ea typeface="+mn-ea"/>
              <a:cs typeface="+mn-cs"/>
            </a:rPr>
            <a:t>0xD5,</a:t>
          </a:r>
          <a:r>
            <a:rPr lang="en-US" altLang="zh-TW"/>
            <a:t> </a:t>
          </a:r>
          <a:r>
            <a:rPr lang="en-US" altLang="zh-TW" sz="1100" b="0" i="0" u="none" strike="noStrike">
              <a:solidFill>
                <a:schemeClr val="dk1"/>
              </a:solidFill>
              <a:effectLst/>
              <a:latin typeface="+mn-lt"/>
              <a:ea typeface="+mn-ea"/>
              <a:cs typeface="+mn-cs"/>
            </a:rPr>
            <a:t>0xD4,</a:t>
          </a:r>
          <a:r>
            <a:rPr lang="en-US" altLang="zh-TW"/>
            <a:t> </a:t>
          </a:r>
          <a:r>
            <a:rPr lang="en-US" altLang="zh-TW" sz="1100" b="0" i="0" u="none" strike="noStrike">
              <a:solidFill>
                <a:schemeClr val="dk1"/>
              </a:solidFill>
              <a:effectLst/>
              <a:latin typeface="+mn-lt"/>
              <a:ea typeface="+mn-ea"/>
              <a:cs typeface="+mn-cs"/>
            </a:rPr>
            <a:t>0xD3,</a:t>
          </a:r>
          <a:r>
            <a:rPr lang="en-US" altLang="zh-TW"/>
            <a:t> </a:t>
          </a:r>
          <a:r>
            <a:rPr lang="en-US" altLang="zh-TW" sz="1100" b="0" i="0" u="none" strike="noStrike">
              <a:solidFill>
                <a:schemeClr val="dk1"/>
              </a:solidFill>
              <a:effectLst/>
              <a:latin typeface="+mn-lt"/>
              <a:ea typeface="+mn-ea"/>
              <a:cs typeface="+mn-cs"/>
            </a:rPr>
            <a:t>0xD2,</a:t>
          </a:r>
          <a:r>
            <a:rPr lang="en-US" altLang="zh-TW"/>
            <a:t> </a:t>
          </a:r>
          <a:r>
            <a:rPr lang="en-US" altLang="zh-TW" sz="1100" b="0" i="0" u="none" strike="noStrike">
              <a:solidFill>
                <a:schemeClr val="dk1"/>
              </a:solidFill>
              <a:effectLst/>
              <a:latin typeface="+mn-lt"/>
              <a:ea typeface="+mn-ea"/>
              <a:cs typeface="+mn-cs"/>
            </a:rPr>
            <a:t>0xD1,</a:t>
          </a:r>
          <a:r>
            <a:rPr lang="en-US" altLang="zh-TW"/>
            <a:t> </a:t>
          </a:r>
          <a:r>
            <a:rPr lang="en-US" altLang="zh-TW" sz="1100" b="0" i="0" u="none" strike="noStrike">
              <a:solidFill>
                <a:schemeClr val="dk1"/>
              </a:solidFill>
              <a:effectLst/>
              <a:latin typeface="+mn-lt"/>
              <a:ea typeface="+mn-ea"/>
              <a:cs typeface="+mn-cs"/>
            </a:rPr>
            <a:t>0xD0,</a:t>
          </a:r>
          <a:r>
            <a:rPr lang="en-US" altLang="zh-TW"/>
            <a:t> </a:t>
          </a:r>
          <a:r>
            <a:rPr lang="en-US" altLang="zh-TW" sz="1100" b="0" i="0" u="none" strike="noStrike">
              <a:solidFill>
                <a:schemeClr val="dk1"/>
              </a:solidFill>
              <a:effectLst/>
              <a:latin typeface="+mn-lt"/>
              <a:ea typeface="+mn-ea"/>
              <a:cs typeface="+mn-cs"/>
            </a:rPr>
            <a:t>0xCF,</a:t>
          </a:r>
          <a:r>
            <a:rPr lang="en-US" altLang="zh-TW"/>
            <a:t> </a:t>
          </a:r>
          <a:r>
            <a:rPr lang="en-US" altLang="zh-TW" sz="1100" b="0" i="0" u="none" strike="noStrike">
              <a:solidFill>
                <a:schemeClr val="dk1"/>
              </a:solidFill>
              <a:effectLst/>
              <a:latin typeface="+mn-lt"/>
              <a:ea typeface="+mn-ea"/>
              <a:cs typeface="+mn-cs"/>
            </a:rPr>
            <a:t>0xCE,</a:t>
          </a:r>
          <a:r>
            <a:rPr lang="en-US" altLang="zh-TW"/>
            <a:t> </a:t>
          </a:r>
          <a:r>
            <a:rPr lang="en-US" altLang="zh-TW" sz="1100" b="0" i="0" u="none" strike="noStrike">
              <a:solidFill>
                <a:schemeClr val="dk1"/>
              </a:solidFill>
              <a:effectLst/>
              <a:latin typeface="+mn-lt"/>
              <a:ea typeface="+mn-ea"/>
              <a:cs typeface="+mn-cs"/>
            </a:rPr>
            <a:t>0xCD,</a:t>
          </a:r>
          <a:r>
            <a:rPr lang="en-US" altLang="zh-TW"/>
            <a:t> </a:t>
          </a:r>
          <a:r>
            <a:rPr lang="en-US" altLang="zh-TW" sz="1100" b="0" i="0" u="none" strike="noStrike">
              <a:solidFill>
                <a:schemeClr val="dk1"/>
              </a:solidFill>
              <a:effectLst/>
              <a:latin typeface="+mn-lt"/>
              <a:ea typeface="+mn-ea"/>
              <a:cs typeface="+mn-cs"/>
            </a:rPr>
            <a:t>0xCC,</a:t>
          </a:r>
          <a:r>
            <a:rPr lang="en-US" altLang="zh-TW"/>
            <a:t> </a:t>
          </a:r>
          <a:r>
            <a:rPr lang="en-US" altLang="zh-TW" sz="1100" b="0" i="0" u="none" strike="noStrike">
              <a:solidFill>
                <a:schemeClr val="dk1"/>
              </a:solidFill>
              <a:effectLst/>
              <a:latin typeface="+mn-lt"/>
              <a:ea typeface="+mn-ea"/>
              <a:cs typeface="+mn-cs"/>
            </a:rPr>
            <a:t>0xCB,</a:t>
          </a:r>
          <a:r>
            <a:rPr lang="en-US" altLang="zh-TW"/>
            <a:t> </a:t>
          </a:r>
          <a:r>
            <a:rPr lang="en-US" altLang="zh-TW" sz="1100" b="0" i="0" u="none" strike="noStrike">
              <a:solidFill>
                <a:schemeClr val="dk1"/>
              </a:solidFill>
              <a:effectLst/>
              <a:latin typeface="+mn-lt"/>
              <a:ea typeface="+mn-ea"/>
              <a:cs typeface="+mn-cs"/>
            </a:rPr>
            <a:t>0xCA,</a:t>
          </a:r>
          <a:r>
            <a:rPr lang="en-US" altLang="zh-TW"/>
            <a:t> </a:t>
          </a:r>
          <a:r>
            <a:rPr lang="en-US" altLang="zh-TW" sz="1100" b="0" i="0" u="none" strike="noStrike">
              <a:solidFill>
                <a:schemeClr val="dk1"/>
              </a:solidFill>
              <a:effectLst/>
              <a:latin typeface="+mn-lt"/>
              <a:ea typeface="+mn-ea"/>
              <a:cs typeface="+mn-cs"/>
            </a:rPr>
            <a:t>0xC9,</a:t>
          </a:r>
          <a:r>
            <a:rPr lang="en-US" altLang="zh-TW"/>
            <a:t> </a:t>
          </a:r>
          <a:r>
            <a:rPr lang="en-US" altLang="zh-TW" sz="1100" b="0" i="0" u="none" strike="noStrike">
              <a:solidFill>
                <a:schemeClr val="dk1"/>
              </a:solidFill>
              <a:effectLst/>
              <a:latin typeface="+mn-lt"/>
              <a:ea typeface="+mn-ea"/>
              <a:cs typeface="+mn-cs"/>
            </a:rPr>
            <a:t>0xC8,</a:t>
          </a:r>
          <a:r>
            <a:rPr lang="en-US" altLang="zh-TW"/>
            <a:t> </a:t>
          </a:r>
          <a:r>
            <a:rPr lang="en-US" altLang="zh-TW" sz="1100" b="0" i="0" u="none" strike="noStrike">
              <a:solidFill>
                <a:schemeClr val="dk1"/>
              </a:solidFill>
              <a:effectLst/>
              <a:latin typeface="+mn-lt"/>
              <a:ea typeface="+mn-ea"/>
              <a:cs typeface="+mn-cs"/>
            </a:rPr>
            <a:t>0xC7,</a:t>
          </a:r>
          <a:r>
            <a:rPr lang="en-US" altLang="zh-TW"/>
            <a:t> </a:t>
          </a:r>
          <a:r>
            <a:rPr lang="en-US" altLang="zh-TW" sz="1100" b="0" i="0" u="none" strike="noStrike">
              <a:solidFill>
                <a:schemeClr val="dk1"/>
              </a:solidFill>
              <a:effectLst/>
              <a:latin typeface="+mn-lt"/>
              <a:ea typeface="+mn-ea"/>
              <a:cs typeface="+mn-cs"/>
            </a:rPr>
            <a:t>0xC6,</a:t>
          </a:r>
          <a:r>
            <a:rPr lang="en-US" altLang="zh-TW"/>
            <a:t> </a:t>
          </a:r>
          <a:r>
            <a:rPr lang="en-US" altLang="zh-TW" sz="1100" b="0" i="0" u="none" strike="noStrike">
              <a:solidFill>
                <a:schemeClr val="dk1"/>
              </a:solidFill>
              <a:effectLst/>
              <a:latin typeface="+mn-lt"/>
              <a:ea typeface="+mn-ea"/>
              <a:cs typeface="+mn-cs"/>
            </a:rPr>
            <a:t>0xC5,</a:t>
          </a:r>
          <a:r>
            <a:rPr lang="en-US" altLang="zh-TW"/>
            <a:t> </a:t>
          </a:r>
          <a:r>
            <a:rPr lang="en-US" altLang="zh-TW" sz="1100" b="0" i="0" u="none" strike="noStrike">
              <a:solidFill>
                <a:schemeClr val="dk1"/>
              </a:solidFill>
              <a:effectLst/>
              <a:latin typeface="+mn-lt"/>
              <a:ea typeface="+mn-ea"/>
              <a:cs typeface="+mn-cs"/>
            </a:rPr>
            <a:t>0xC4,</a:t>
          </a:r>
          <a:r>
            <a:rPr lang="en-US" altLang="zh-TW"/>
            <a:t> </a:t>
          </a:r>
          <a:r>
            <a:rPr lang="en-US" altLang="zh-TW" sz="1100" b="0" i="0" u="none" strike="noStrike">
              <a:solidFill>
                <a:schemeClr val="dk1"/>
              </a:solidFill>
              <a:effectLst/>
              <a:latin typeface="+mn-lt"/>
              <a:ea typeface="+mn-ea"/>
              <a:cs typeface="+mn-cs"/>
            </a:rPr>
            <a:t>0xC3,</a:t>
          </a:r>
          <a:r>
            <a:rPr lang="en-US" altLang="zh-TW"/>
            <a:t> </a:t>
          </a:r>
          <a:r>
            <a:rPr lang="en-US" altLang="zh-TW" sz="1100" b="0" i="0" u="none" strike="noStrike">
              <a:solidFill>
                <a:schemeClr val="dk1"/>
              </a:solidFill>
              <a:effectLst/>
              <a:latin typeface="+mn-lt"/>
              <a:ea typeface="+mn-ea"/>
              <a:cs typeface="+mn-cs"/>
            </a:rPr>
            <a:t>0xC2,</a:t>
          </a:r>
          <a:r>
            <a:rPr lang="en-US" altLang="zh-TW"/>
            <a:t> </a:t>
          </a:r>
          <a:r>
            <a:rPr lang="en-US" altLang="zh-TW" sz="1100" b="0" i="0" u="none" strike="noStrike">
              <a:solidFill>
                <a:schemeClr val="dk1"/>
              </a:solidFill>
              <a:effectLst/>
              <a:latin typeface="+mn-lt"/>
              <a:ea typeface="+mn-ea"/>
              <a:cs typeface="+mn-cs"/>
            </a:rPr>
            <a:t>0xC1,</a:t>
          </a:r>
          <a:r>
            <a:rPr lang="en-US" altLang="zh-TW"/>
            <a:t> </a:t>
          </a:r>
          <a:r>
            <a:rPr lang="en-US" altLang="zh-TW" sz="1100" b="0" i="0" u="none" strike="noStrike">
              <a:solidFill>
                <a:schemeClr val="dk1"/>
              </a:solidFill>
              <a:effectLst/>
              <a:latin typeface="+mn-lt"/>
              <a:ea typeface="+mn-ea"/>
              <a:cs typeface="+mn-cs"/>
            </a:rPr>
            <a:t>0xC0,</a:t>
          </a:r>
          <a:r>
            <a:rPr lang="en-US" altLang="zh-TW"/>
            <a:t> </a:t>
          </a:r>
          <a:r>
            <a:rPr lang="en-US" altLang="zh-TW" sz="1100" b="0" i="0" u="none" strike="noStrike">
              <a:solidFill>
                <a:schemeClr val="dk1"/>
              </a:solidFill>
              <a:effectLst/>
              <a:latin typeface="+mn-lt"/>
              <a:ea typeface="+mn-ea"/>
              <a:cs typeface="+mn-cs"/>
            </a:rPr>
            <a:t>0xBF,</a:t>
          </a:r>
          <a:r>
            <a:rPr lang="en-US" altLang="zh-TW"/>
            <a:t> </a:t>
          </a:r>
          <a:r>
            <a:rPr lang="en-US" altLang="zh-TW" sz="1100" b="0" i="0" u="none" strike="noStrike">
              <a:solidFill>
                <a:schemeClr val="dk1"/>
              </a:solidFill>
              <a:effectLst/>
              <a:latin typeface="+mn-lt"/>
              <a:ea typeface="+mn-ea"/>
              <a:cs typeface="+mn-cs"/>
            </a:rPr>
            <a:t>0xBE,</a:t>
          </a:r>
          <a:r>
            <a:rPr lang="en-US" altLang="zh-TW"/>
            <a:t> </a:t>
          </a:r>
          <a:r>
            <a:rPr lang="en-US" altLang="zh-TW" sz="1100" b="0" i="0" u="none" strike="noStrike">
              <a:solidFill>
                <a:schemeClr val="dk1"/>
              </a:solidFill>
              <a:effectLst/>
              <a:latin typeface="+mn-lt"/>
              <a:ea typeface="+mn-ea"/>
              <a:cs typeface="+mn-cs"/>
            </a:rPr>
            <a:t>0xBD,</a:t>
          </a:r>
          <a:r>
            <a:rPr lang="en-US" altLang="zh-TW"/>
            <a:t> </a:t>
          </a:r>
          <a:r>
            <a:rPr lang="en-US" altLang="zh-TW" sz="1100" b="0" i="0" u="none" strike="noStrike">
              <a:solidFill>
                <a:schemeClr val="dk1"/>
              </a:solidFill>
              <a:effectLst/>
              <a:latin typeface="+mn-lt"/>
              <a:ea typeface="+mn-ea"/>
              <a:cs typeface="+mn-cs"/>
            </a:rPr>
            <a:t>0xBC,</a:t>
          </a:r>
          <a:r>
            <a:rPr lang="en-US" altLang="zh-TW"/>
            <a:t> </a:t>
          </a:r>
          <a:r>
            <a:rPr lang="en-US" altLang="zh-TW" sz="1100" b="0" i="0" u="none" strike="noStrike">
              <a:solidFill>
                <a:schemeClr val="dk1"/>
              </a:solidFill>
              <a:effectLst/>
              <a:latin typeface="+mn-lt"/>
              <a:ea typeface="+mn-ea"/>
              <a:cs typeface="+mn-cs"/>
            </a:rPr>
            <a:t>0xBB,</a:t>
          </a:r>
          <a:r>
            <a:rPr lang="en-US" altLang="zh-TW"/>
            <a:t> </a:t>
          </a:r>
          <a:r>
            <a:rPr lang="en-US" altLang="zh-TW" sz="1100" b="0" i="0" u="none" strike="noStrike">
              <a:solidFill>
                <a:schemeClr val="dk1"/>
              </a:solidFill>
              <a:effectLst/>
              <a:latin typeface="+mn-lt"/>
              <a:ea typeface="+mn-ea"/>
              <a:cs typeface="+mn-cs"/>
            </a:rPr>
            <a:t>0xBA,</a:t>
          </a:r>
          <a:r>
            <a:rPr lang="en-US" altLang="zh-TW"/>
            <a:t> </a:t>
          </a:r>
          <a:r>
            <a:rPr lang="en-US" altLang="zh-TW" sz="1100" b="0" i="0" u="none" strike="noStrike">
              <a:solidFill>
                <a:schemeClr val="dk1"/>
              </a:solidFill>
              <a:effectLst/>
              <a:latin typeface="+mn-lt"/>
              <a:ea typeface="+mn-ea"/>
              <a:cs typeface="+mn-cs"/>
            </a:rPr>
            <a:t>0xB9,</a:t>
          </a:r>
          <a:r>
            <a:rPr lang="en-US" altLang="zh-TW"/>
            <a:t> </a:t>
          </a:r>
          <a:r>
            <a:rPr lang="en-US" altLang="zh-TW" sz="1100" b="0" i="0" u="none" strike="noStrike">
              <a:solidFill>
                <a:schemeClr val="dk1"/>
              </a:solidFill>
              <a:effectLst/>
              <a:latin typeface="+mn-lt"/>
              <a:ea typeface="+mn-ea"/>
              <a:cs typeface="+mn-cs"/>
            </a:rPr>
            <a:t>0xB8,</a:t>
          </a:r>
          <a:r>
            <a:rPr lang="en-US" altLang="zh-TW"/>
            <a:t> </a:t>
          </a:r>
          <a:r>
            <a:rPr lang="en-US" altLang="zh-TW" sz="1100" b="0" i="0" u="none" strike="noStrike">
              <a:solidFill>
                <a:schemeClr val="dk1"/>
              </a:solidFill>
              <a:effectLst/>
              <a:latin typeface="+mn-lt"/>
              <a:ea typeface="+mn-ea"/>
              <a:cs typeface="+mn-cs"/>
            </a:rPr>
            <a:t>0xB7,</a:t>
          </a:r>
          <a:r>
            <a:rPr lang="en-US" altLang="zh-TW"/>
            <a:t> </a:t>
          </a:r>
          <a:r>
            <a:rPr lang="en-US" altLang="zh-TW" sz="1100" b="0" i="0" u="none" strike="noStrike">
              <a:solidFill>
                <a:schemeClr val="dk1"/>
              </a:solidFill>
              <a:effectLst/>
              <a:latin typeface="+mn-lt"/>
              <a:ea typeface="+mn-ea"/>
              <a:cs typeface="+mn-cs"/>
            </a:rPr>
            <a:t>0xB6,</a:t>
          </a:r>
          <a:r>
            <a:rPr lang="en-US" altLang="zh-TW"/>
            <a:t> </a:t>
          </a:r>
          <a:r>
            <a:rPr lang="en-US" altLang="zh-TW" sz="1100" b="0" i="0" u="none" strike="noStrike">
              <a:solidFill>
                <a:schemeClr val="dk1"/>
              </a:solidFill>
              <a:effectLst/>
              <a:latin typeface="+mn-lt"/>
              <a:ea typeface="+mn-ea"/>
              <a:cs typeface="+mn-cs"/>
            </a:rPr>
            <a:t>0xB5,</a:t>
          </a:r>
          <a:r>
            <a:rPr lang="en-US" altLang="zh-TW"/>
            <a:t> </a:t>
          </a:r>
          <a:r>
            <a:rPr lang="en-US" altLang="zh-TW" sz="1100" b="0" i="0" u="none" strike="noStrike">
              <a:solidFill>
                <a:schemeClr val="dk1"/>
              </a:solidFill>
              <a:effectLst/>
              <a:latin typeface="+mn-lt"/>
              <a:ea typeface="+mn-ea"/>
              <a:cs typeface="+mn-cs"/>
            </a:rPr>
            <a:t>0xB4,</a:t>
          </a:r>
          <a:r>
            <a:rPr lang="en-US" altLang="zh-TW"/>
            <a:t> </a:t>
          </a:r>
          <a:r>
            <a:rPr lang="en-US" altLang="zh-TW" sz="1100" b="0" i="0" u="none" strike="noStrike">
              <a:solidFill>
                <a:schemeClr val="dk1"/>
              </a:solidFill>
              <a:effectLst/>
              <a:latin typeface="+mn-lt"/>
              <a:ea typeface="+mn-ea"/>
              <a:cs typeface="+mn-cs"/>
            </a:rPr>
            <a:t>0xB3,</a:t>
          </a:r>
          <a:r>
            <a:rPr lang="en-US" altLang="zh-TW"/>
            <a:t> </a:t>
          </a:r>
          <a:r>
            <a:rPr lang="en-US" altLang="zh-TW" sz="1100" b="0" i="0" u="none" strike="noStrike">
              <a:solidFill>
                <a:schemeClr val="dk1"/>
              </a:solidFill>
              <a:effectLst/>
              <a:latin typeface="+mn-lt"/>
              <a:ea typeface="+mn-ea"/>
              <a:cs typeface="+mn-cs"/>
            </a:rPr>
            <a:t>0xB2,</a:t>
          </a:r>
          <a:r>
            <a:rPr lang="en-US" altLang="zh-TW"/>
            <a:t> </a:t>
          </a:r>
          <a:r>
            <a:rPr lang="en-US" altLang="zh-TW" sz="1100" b="0" i="0" u="none" strike="noStrike">
              <a:solidFill>
                <a:schemeClr val="dk1"/>
              </a:solidFill>
              <a:effectLst/>
              <a:latin typeface="+mn-lt"/>
              <a:ea typeface="+mn-ea"/>
              <a:cs typeface="+mn-cs"/>
            </a:rPr>
            <a:t>0xB1,</a:t>
          </a:r>
          <a:r>
            <a:rPr lang="en-US" altLang="zh-TW"/>
            <a:t> </a:t>
          </a:r>
          <a:r>
            <a:rPr lang="en-US" altLang="zh-TW" sz="1100" b="0" i="0" u="none" strike="noStrike">
              <a:solidFill>
                <a:schemeClr val="dk1"/>
              </a:solidFill>
              <a:effectLst/>
              <a:latin typeface="+mn-lt"/>
              <a:ea typeface="+mn-ea"/>
              <a:cs typeface="+mn-cs"/>
            </a:rPr>
            <a:t>0xB0,</a:t>
          </a:r>
          <a:r>
            <a:rPr lang="en-US" altLang="zh-TW"/>
            <a:t> </a:t>
          </a:r>
          <a:r>
            <a:rPr lang="en-US" altLang="zh-TW" sz="1100" b="0" i="0" u="none" strike="noStrike">
              <a:solidFill>
                <a:schemeClr val="dk1"/>
              </a:solidFill>
              <a:effectLst/>
              <a:latin typeface="+mn-lt"/>
              <a:ea typeface="+mn-ea"/>
              <a:cs typeface="+mn-cs"/>
            </a:rPr>
            <a:t>0xAF,</a:t>
          </a:r>
          <a:r>
            <a:rPr lang="en-US" altLang="zh-TW"/>
            <a:t> </a:t>
          </a:r>
          <a:r>
            <a:rPr lang="en-US" altLang="zh-TW" sz="1100" b="0" i="0" u="none" strike="noStrike">
              <a:solidFill>
                <a:schemeClr val="dk1"/>
              </a:solidFill>
              <a:effectLst/>
              <a:latin typeface="+mn-lt"/>
              <a:ea typeface="+mn-ea"/>
              <a:cs typeface="+mn-cs"/>
            </a:rPr>
            <a:t>0xAE,</a:t>
          </a:r>
          <a:r>
            <a:rPr lang="en-US" altLang="zh-TW"/>
            <a:t> </a:t>
          </a:r>
          <a:r>
            <a:rPr lang="en-US" altLang="zh-TW" sz="1100" b="0" i="0" u="none" strike="noStrike">
              <a:solidFill>
                <a:schemeClr val="dk1"/>
              </a:solidFill>
              <a:effectLst/>
              <a:latin typeface="+mn-lt"/>
              <a:ea typeface="+mn-ea"/>
              <a:cs typeface="+mn-cs"/>
            </a:rPr>
            <a:t>0xAD,</a:t>
          </a:r>
          <a:r>
            <a:rPr lang="en-US" altLang="zh-TW"/>
            <a:t> </a:t>
          </a:r>
          <a:r>
            <a:rPr lang="en-US" altLang="zh-TW" sz="1100" b="0" i="0" u="none" strike="noStrike">
              <a:solidFill>
                <a:schemeClr val="dk1"/>
              </a:solidFill>
              <a:effectLst/>
              <a:latin typeface="+mn-lt"/>
              <a:ea typeface="+mn-ea"/>
              <a:cs typeface="+mn-cs"/>
            </a:rPr>
            <a:t>0xAC,</a:t>
          </a:r>
          <a:r>
            <a:rPr lang="en-US" altLang="zh-TW"/>
            <a:t> </a:t>
          </a:r>
          <a:r>
            <a:rPr lang="en-US" altLang="zh-TW" sz="1100" b="0" i="0" u="none" strike="noStrike">
              <a:solidFill>
                <a:schemeClr val="dk1"/>
              </a:solidFill>
              <a:effectLst/>
              <a:latin typeface="+mn-lt"/>
              <a:ea typeface="+mn-ea"/>
              <a:cs typeface="+mn-cs"/>
            </a:rPr>
            <a:t>0xAB,</a:t>
          </a:r>
          <a:r>
            <a:rPr lang="en-US" altLang="zh-TW"/>
            <a:t> </a:t>
          </a:r>
          <a:r>
            <a:rPr lang="en-US" altLang="zh-TW" sz="1100" b="0" i="0" u="none" strike="noStrike">
              <a:solidFill>
                <a:schemeClr val="dk1"/>
              </a:solidFill>
              <a:effectLst/>
              <a:latin typeface="+mn-lt"/>
              <a:ea typeface="+mn-ea"/>
              <a:cs typeface="+mn-cs"/>
            </a:rPr>
            <a:t>0xAA,</a:t>
          </a:r>
          <a:r>
            <a:rPr lang="en-US" altLang="zh-TW"/>
            <a:t> </a:t>
          </a:r>
          <a:r>
            <a:rPr lang="en-US" altLang="zh-TW" sz="1100" b="0" i="0" u="none" strike="noStrike">
              <a:solidFill>
                <a:schemeClr val="dk1"/>
              </a:solidFill>
              <a:effectLst/>
              <a:latin typeface="+mn-lt"/>
              <a:ea typeface="+mn-ea"/>
              <a:cs typeface="+mn-cs"/>
            </a:rPr>
            <a:t>0xA9,</a:t>
          </a:r>
          <a:r>
            <a:rPr lang="en-US" altLang="zh-TW"/>
            <a:t> </a:t>
          </a:r>
          <a:r>
            <a:rPr lang="en-US" altLang="zh-TW" sz="1100" b="0" i="0" u="none" strike="noStrike">
              <a:solidFill>
                <a:schemeClr val="dk1"/>
              </a:solidFill>
              <a:effectLst/>
              <a:latin typeface="+mn-lt"/>
              <a:ea typeface="+mn-ea"/>
              <a:cs typeface="+mn-cs"/>
            </a:rPr>
            <a:t>0xA8,</a:t>
          </a:r>
          <a:r>
            <a:rPr lang="en-US" altLang="zh-TW"/>
            <a:t> </a:t>
          </a:r>
          <a:r>
            <a:rPr lang="en-US" altLang="zh-TW" sz="1100" b="0" i="0" u="none" strike="noStrike">
              <a:solidFill>
                <a:schemeClr val="dk1"/>
              </a:solidFill>
              <a:effectLst/>
              <a:latin typeface="+mn-lt"/>
              <a:ea typeface="+mn-ea"/>
              <a:cs typeface="+mn-cs"/>
            </a:rPr>
            <a:t>0xA7,</a:t>
          </a:r>
          <a:r>
            <a:rPr lang="en-US" altLang="zh-TW"/>
            <a:t> </a:t>
          </a:r>
          <a:r>
            <a:rPr lang="en-US" altLang="zh-TW" sz="1100" b="0" i="0" u="none" strike="noStrike">
              <a:solidFill>
                <a:schemeClr val="dk1"/>
              </a:solidFill>
              <a:effectLst/>
              <a:latin typeface="+mn-lt"/>
              <a:ea typeface="+mn-ea"/>
              <a:cs typeface="+mn-cs"/>
            </a:rPr>
            <a:t>0xA6,</a:t>
          </a:r>
          <a:r>
            <a:rPr lang="en-US" altLang="zh-TW"/>
            <a:t> </a:t>
          </a:r>
          <a:r>
            <a:rPr lang="en-US" altLang="zh-TW" sz="1100" b="0" i="0" u="none" strike="noStrike">
              <a:solidFill>
                <a:schemeClr val="dk1"/>
              </a:solidFill>
              <a:effectLst/>
              <a:latin typeface="+mn-lt"/>
              <a:ea typeface="+mn-ea"/>
              <a:cs typeface="+mn-cs"/>
            </a:rPr>
            <a:t>0xA5,</a:t>
          </a:r>
          <a:r>
            <a:rPr lang="en-US" altLang="zh-TW"/>
            <a:t> </a:t>
          </a:r>
          <a:r>
            <a:rPr lang="en-US" altLang="zh-TW" sz="1100" b="0" i="0" u="none" strike="noStrike">
              <a:solidFill>
                <a:schemeClr val="dk1"/>
              </a:solidFill>
              <a:effectLst/>
              <a:latin typeface="+mn-lt"/>
              <a:ea typeface="+mn-ea"/>
              <a:cs typeface="+mn-cs"/>
            </a:rPr>
            <a:t>0xA4,</a:t>
          </a:r>
          <a:r>
            <a:rPr lang="en-US" altLang="zh-TW"/>
            <a:t> </a:t>
          </a:r>
          <a:r>
            <a:rPr lang="en-US" altLang="zh-TW" sz="1100" b="0" i="0" u="none" strike="noStrike">
              <a:solidFill>
                <a:schemeClr val="dk1"/>
              </a:solidFill>
              <a:effectLst/>
              <a:latin typeface="+mn-lt"/>
              <a:ea typeface="+mn-ea"/>
              <a:cs typeface="+mn-cs"/>
            </a:rPr>
            <a:t>0xA3,</a:t>
          </a:r>
          <a:r>
            <a:rPr lang="en-US" altLang="zh-TW"/>
            <a:t> </a:t>
          </a:r>
          <a:r>
            <a:rPr lang="en-US" altLang="zh-TW" sz="1100" b="0" i="0" u="none" strike="noStrike">
              <a:solidFill>
                <a:schemeClr val="dk1"/>
              </a:solidFill>
              <a:effectLst/>
              <a:latin typeface="+mn-lt"/>
              <a:ea typeface="+mn-ea"/>
              <a:cs typeface="+mn-cs"/>
            </a:rPr>
            <a:t>0xA2,</a:t>
          </a:r>
          <a:r>
            <a:rPr lang="en-US" altLang="zh-TW"/>
            <a:t> </a:t>
          </a:r>
          <a:r>
            <a:rPr lang="en-US" altLang="zh-TW" sz="1100" b="0" i="0" u="none" strike="noStrike">
              <a:solidFill>
                <a:schemeClr val="dk1"/>
              </a:solidFill>
              <a:effectLst/>
              <a:latin typeface="+mn-lt"/>
              <a:ea typeface="+mn-ea"/>
              <a:cs typeface="+mn-cs"/>
            </a:rPr>
            <a:t>0xA1,</a:t>
          </a:r>
          <a:r>
            <a:rPr lang="en-US" altLang="zh-TW"/>
            <a:t> </a:t>
          </a:r>
          <a:r>
            <a:rPr lang="en-US" altLang="zh-TW" sz="1100" b="0" i="0" u="none" strike="noStrike">
              <a:solidFill>
                <a:schemeClr val="dk1"/>
              </a:solidFill>
              <a:effectLst/>
              <a:latin typeface="+mn-lt"/>
              <a:ea typeface="+mn-ea"/>
              <a:cs typeface="+mn-cs"/>
            </a:rPr>
            <a:t>0xA0,</a:t>
          </a:r>
          <a:r>
            <a:rPr lang="en-US" altLang="zh-TW"/>
            <a:t> </a:t>
          </a:r>
          <a:r>
            <a:rPr lang="en-US" altLang="zh-TW" sz="1100" b="0" i="0" u="none" strike="noStrike">
              <a:solidFill>
                <a:schemeClr val="dk1"/>
              </a:solidFill>
              <a:effectLst/>
              <a:latin typeface="+mn-lt"/>
              <a:ea typeface="+mn-ea"/>
              <a:cs typeface="+mn-cs"/>
            </a:rPr>
            <a:t>0x9F,</a:t>
          </a:r>
          <a:r>
            <a:rPr lang="en-US" altLang="zh-TW"/>
            <a:t> </a:t>
          </a:r>
          <a:r>
            <a:rPr lang="en-US" altLang="zh-TW" sz="1100" b="0" i="0" u="none" strike="noStrike">
              <a:solidFill>
                <a:schemeClr val="dk1"/>
              </a:solidFill>
              <a:effectLst/>
              <a:latin typeface="+mn-lt"/>
              <a:ea typeface="+mn-ea"/>
              <a:cs typeface="+mn-cs"/>
            </a:rPr>
            <a:t>0x9E,</a:t>
          </a:r>
          <a:r>
            <a:rPr lang="en-US" altLang="zh-TW"/>
            <a:t> </a:t>
          </a:r>
          <a:r>
            <a:rPr lang="en-US" altLang="zh-TW" sz="1100" b="0" i="0" u="none" strike="noStrike">
              <a:solidFill>
                <a:schemeClr val="dk1"/>
              </a:solidFill>
              <a:effectLst/>
              <a:latin typeface="+mn-lt"/>
              <a:ea typeface="+mn-ea"/>
              <a:cs typeface="+mn-cs"/>
            </a:rPr>
            <a:t>0x9D,</a:t>
          </a:r>
          <a:r>
            <a:rPr lang="en-US" altLang="zh-TW"/>
            <a:t> </a:t>
          </a:r>
          <a:r>
            <a:rPr lang="en-US" altLang="zh-TW" sz="1100" b="0" i="0" u="none" strike="noStrike">
              <a:solidFill>
                <a:schemeClr val="dk1"/>
              </a:solidFill>
              <a:effectLst/>
              <a:latin typeface="+mn-lt"/>
              <a:ea typeface="+mn-ea"/>
              <a:cs typeface="+mn-cs"/>
            </a:rPr>
            <a:t>0x9C,</a:t>
          </a:r>
          <a:r>
            <a:rPr lang="en-US" altLang="zh-TW"/>
            <a:t> </a:t>
          </a:r>
          <a:r>
            <a:rPr lang="en-US" altLang="zh-TW" sz="1100" b="0" i="0" u="none" strike="noStrike">
              <a:solidFill>
                <a:schemeClr val="dk1"/>
              </a:solidFill>
              <a:effectLst/>
              <a:latin typeface="+mn-lt"/>
              <a:ea typeface="+mn-ea"/>
              <a:cs typeface="+mn-cs"/>
            </a:rPr>
            <a:t>0x9B,</a:t>
          </a:r>
          <a:r>
            <a:rPr lang="en-US" altLang="zh-TW"/>
            <a:t> </a:t>
          </a:r>
          <a:r>
            <a:rPr lang="en-US" altLang="zh-TW" sz="1100" b="0" i="0" u="none" strike="noStrike">
              <a:solidFill>
                <a:schemeClr val="dk1"/>
              </a:solidFill>
              <a:effectLst/>
              <a:latin typeface="+mn-lt"/>
              <a:ea typeface="+mn-ea"/>
              <a:cs typeface="+mn-cs"/>
            </a:rPr>
            <a:t>0x9A,</a:t>
          </a:r>
          <a:r>
            <a:rPr lang="en-US" altLang="zh-TW"/>
            <a:t> </a:t>
          </a:r>
          <a:r>
            <a:rPr lang="en-US" altLang="zh-TW" sz="1100" b="0" i="0" u="none" strike="noStrike">
              <a:solidFill>
                <a:schemeClr val="dk1"/>
              </a:solidFill>
              <a:effectLst/>
              <a:latin typeface="+mn-lt"/>
              <a:ea typeface="+mn-ea"/>
              <a:cs typeface="+mn-cs"/>
            </a:rPr>
            <a:t>0x99,</a:t>
          </a:r>
          <a:r>
            <a:rPr lang="en-US" altLang="zh-TW"/>
            <a:t> </a:t>
          </a:r>
          <a:r>
            <a:rPr lang="en-US" altLang="zh-TW" sz="1100" b="0" i="0" u="none" strike="noStrike">
              <a:solidFill>
                <a:schemeClr val="dk1"/>
              </a:solidFill>
              <a:effectLst/>
              <a:latin typeface="+mn-lt"/>
              <a:ea typeface="+mn-ea"/>
              <a:cs typeface="+mn-cs"/>
            </a:rPr>
            <a:t>0x98,</a:t>
          </a:r>
          <a:r>
            <a:rPr lang="en-US" altLang="zh-TW"/>
            <a:t> </a:t>
          </a:r>
          <a:r>
            <a:rPr lang="en-US" altLang="zh-TW" sz="1100" b="0" i="0" u="none" strike="noStrike">
              <a:solidFill>
                <a:schemeClr val="dk1"/>
              </a:solidFill>
              <a:effectLst/>
              <a:latin typeface="+mn-lt"/>
              <a:ea typeface="+mn-ea"/>
              <a:cs typeface="+mn-cs"/>
            </a:rPr>
            <a:t>0x97,</a:t>
          </a:r>
          <a:r>
            <a:rPr lang="en-US" altLang="zh-TW"/>
            <a:t> </a:t>
          </a:r>
          <a:r>
            <a:rPr lang="en-US" altLang="zh-TW" sz="1100" b="0" i="0" u="none" strike="noStrike">
              <a:solidFill>
                <a:schemeClr val="dk1"/>
              </a:solidFill>
              <a:effectLst/>
              <a:latin typeface="+mn-lt"/>
              <a:ea typeface="+mn-ea"/>
              <a:cs typeface="+mn-cs"/>
            </a:rPr>
            <a:t>0x96,</a:t>
          </a:r>
          <a:r>
            <a:rPr lang="en-US" altLang="zh-TW"/>
            <a:t> </a:t>
          </a:r>
          <a:r>
            <a:rPr lang="en-US" altLang="zh-TW" sz="1100" b="0" i="0" u="none" strike="noStrike">
              <a:solidFill>
                <a:schemeClr val="dk1"/>
              </a:solidFill>
              <a:effectLst/>
              <a:latin typeface="+mn-lt"/>
              <a:ea typeface="+mn-ea"/>
              <a:cs typeface="+mn-cs"/>
            </a:rPr>
            <a:t>0x95,</a:t>
          </a:r>
          <a:r>
            <a:rPr lang="en-US" altLang="zh-TW"/>
            <a:t> </a:t>
          </a:r>
          <a:r>
            <a:rPr lang="en-US" altLang="zh-TW" sz="1100" b="0" i="0" u="none" strike="noStrike">
              <a:solidFill>
                <a:schemeClr val="dk1"/>
              </a:solidFill>
              <a:effectLst/>
              <a:latin typeface="+mn-lt"/>
              <a:ea typeface="+mn-ea"/>
              <a:cs typeface="+mn-cs"/>
            </a:rPr>
            <a:t>0x94,</a:t>
          </a:r>
          <a:r>
            <a:rPr lang="en-US" altLang="zh-TW"/>
            <a:t> </a:t>
          </a:r>
          <a:r>
            <a:rPr lang="en-US" altLang="zh-TW" sz="1100" b="0" i="0" u="none" strike="noStrike">
              <a:solidFill>
                <a:schemeClr val="dk1"/>
              </a:solidFill>
              <a:effectLst/>
              <a:latin typeface="+mn-lt"/>
              <a:ea typeface="+mn-ea"/>
              <a:cs typeface="+mn-cs"/>
            </a:rPr>
            <a:t>0x93,</a:t>
          </a:r>
          <a:r>
            <a:rPr lang="en-US" altLang="zh-TW"/>
            <a:t> </a:t>
          </a:r>
          <a:r>
            <a:rPr lang="en-US" altLang="zh-TW" sz="1100" b="0" i="0" u="none" strike="noStrike">
              <a:solidFill>
                <a:schemeClr val="dk1"/>
              </a:solidFill>
              <a:effectLst/>
              <a:latin typeface="+mn-lt"/>
              <a:ea typeface="+mn-ea"/>
              <a:cs typeface="+mn-cs"/>
            </a:rPr>
            <a:t>0x92,</a:t>
          </a:r>
          <a:r>
            <a:rPr lang="en-US" altLang="zh-TW"/>
            <a:t> </a:t>
          </a:r>
          <a:r>
            <a:rPr lang="en-US" altLang="zh-TW" sz="1100" b="0" i="0" u="none" strike="noStrike">
              <a:solidFill>
                <a:schemeClr val="dk1"/>
              </a:solidFill>
              <a:effectLst/>
              <a:latin typeface="+mn-lt"/>
              <a:ea typeface="+mn-ea"/>
              <a:cs typeface="+mn-cs"/>
            </a:rPr>
            <a:t>0x91,</a:t>
          </a:r>
          <a:r>
            <a:rPr lang="en-US" altLang="zh-TW"/>
            <a:t> </a:t>
          </a:r>
          <a:r>
            <a:rPr lang="en-US" altLang="zh-TW" sz="1100" b="0" i="0" u="none" strike="noStrike">
              <a:solidFill>
                <a:schemeClr val="dk1"/>
              </a:solidFill>
              <a:effectLst/>
              <a:latin typeface="+mn-lt"/>
              <a:ea typeface="+mn-ea"/>
              <a:cs typeface="+mn-cs"/>
            </a:rPr>
            <a:t>0x90,</a:t>
          </a:r>
          <a:r>
            <a:rPr lang="en-US" altLang="zh-TW"/>
            <a:t> </a:t>
          </a:r>
          <a:r>
            <a:rPr lang="en-US" altLang="zh-TW" sz="1100" b="0" i="0" u="none" strike="noStrike">
              <a:solidFill>
                <a:schemeClr val="dk1"/>
              </a:solidFill>
              <a:effectLst/>
              <a:latin typeface="+mn-lt"/>
              <a:ea typeface="+mn-ea"/>
              <a:cs typeface="+mn-cs"/>
            </a:rPr>
            <a:t>0x8F,</a:t>
          </a:r>
          <a:r>
            <a:rPr lang="en-US" altLang="zh-TW"/>
            <a:t> </a:t>
          </a:r>
          <a:r>
            <a:rPr lang="en-US" altLang="zh-TW" sz="1100" b="0" i="0" u="none" strike="noStrike">
              <a:solidFill>
                <a:schemeClr val="dk1"/>
              </a:solidFill>
              <a:effectLst/>
              <a:latin typeface="+mn-lt"/>
              <a:ea typeface="+mn-ea"/>
              <a:cs typeface="+mn-cs"/>
            </a:rPr>
            <a:t>0x8E,</a:t>
          </a:r>
          <a:r>
            <a:rPr lang="en-US" altLang="zh-TW"/>
            <a:t> </a:t>
          </a:r>
          <a:r>
            <a:rPr lang="en-US" altLang="zh-TW" sz="1100" b="0" i="0" u="none" strike="noStrike">
              <a:solidFill>
                <a:schemeClr val="dk1"/>
              </a:solidFill>
              <a:effectLst/>
              <a:latin typeface="+mn-lt"/>
              <a:ea typeface="+mn-ea"/>
              <a:cs typeface="+mn-cs"/>
            </a:rPr>
            <a:t>0x8D,</a:t>
          </a:r>
          <a:r>
            <a:rPr lang="en-US" altLang="zh-TW"/>
            <a:t> </a:t>
          </a:r>
          <a:r>
            <a:rPr lang="en-US" altLang="zh-TW" sz="1100" b="0" i="0" u="none" strike="noStrike">
              <a:solidFill>
                <a:schemeClr val="dk1"/>
              </a:solidFill>
              <a:effectLst/>
              <a:latin typeface="+mn-lt"/>
              <a:ea typeface="+mn-ea"/>
              <a:cs typeface="+mn-cs"/>
            </a:rPr>
            <a:t>0x8C,</a:t>
          </a:r>
          <a:r>
            <a:rPr lang="en-US" altLang="zh-TW"/>
            <a:t> </a:t>
          </a:r>
          <a:r>
            <a:rPr lang="en-US" altLang="zh-TW" sz="1100" b="0" i="0" u="none" strike="noStrike">
              <a:solidFill>
                <a:schemeClr val="dk1"/>
              </a:solidFill>
              <a:effectLst/>
              <a:latin typeface="+mn-lt"/>
              <a:ea typeface="+mn-ea"/>
              <a:cs typeface="+mn-cs"/>
            </a:rPr>
            <a:t>0x8B,</a:t>
          </a:r>
          <a:r>
            <a:rPr lang="en-US" altLang="zh-TW"/>
            <a:t> </a:t>
          </a:r>
          <a:r>
            <a:rPr lang="en-US" altLang="zh-TW" sz="1100" b="0" i="0" u="none" strike="noStrike">
              <a:solidFill>
                <a:schemeClr val="dk1"/>
              </a:solidFill>
              <a:effectLst/>
              <a:latin typeface="+mn-lt"/>
              <a:ea typeface="+mn-ea"/>
              <a:cs typeface="+mn-cs"/>
            </a:rPr>
            <a:t>0x8A,</a:t>
          </a:r>
          <a:r>
            <a:rPr lang="en-US" altLang="zh-TW"/>
            <a:t> </a:t>
          </a:r>
          <a:r>
            <a:rPr lang="en-US" altLang="zh-TW" sz="1100" b="0" i="0" u="none" strike="noStrike">
              <a:solidFill>
                <a:schemeClr val="dk1"/>
              </a:solidFill>
              <a:effectLst/>
              <a:latin typeface="+mn-lt"/>
              <a:ea typeface="+mn-ea"/>
              <a:cs typeface="+mn-cs"/>
            </a:rPr>
            <a:t>0x89,</a:t>
          </a:r>
          <a:r>
            <a:rPr lang="en-US" altLang="zh-TW"/>
            <a:t> </a:t>
          </a:r>
          <a:r>
            <a:rPr lang="en-US" altLang="zh-TW" sz="1100" b="0" i="0" u="none" strike="noStrike">
              <a:solidFill>
                <a:schemeClr val="dk1"/>
              </a:solidFill>
              <a:effectLst/>
              <a:latin typeface="+mn-lt"/>
              <a:ea typeface="+mn-ea"/>
              <a:cs typeface="+mn-cs"/>
            </a:rPr>
            <a:t>0x88,</a:t>
          </a:r>
          <a:r>
            <a:rPr lang="en-US" altLang="zh-TW"/>
            <a:t> </a:t>
          </a:r>
          <a:r>
            <a:rPr lang="en-US" altLang="zh-TW" sz="1100" b="0" i="0" u="none" strike="noStrike">
              <a:solidFill>
                <a:schemeClr val="dk1"/>
              </a:solidFill>
              <a:effectLst/>
              <a:latin typeface="+mn-lt"/>
              <a:ea typeface="+mn-ea"/>
              <a:cs typeface="+mn-cs"/>
            </a:rPr>
            <a:t>0x87,</a:t>
          </a:r>
          <a:r>
            <a:rPr lang="en-US" altLang="zh-TW"/>
            <a:t> </a:t>
          </a:r>
          <a:r>
            <a:rPr lang="en-US" altLang="zh-TW" sz="1100" b="0" i="0" u="none" strike="noStrike">
              <a:solidFill>
                <a:schemeClr val="dk1"/>
              </a:solidFill>
              <a:effectLst/>
              <a:latin typeface="+mn-lt"/>
              <a:ea typeface="+mn-ea"/>
              <a:cs typeface="+mn-cs"/>
            </a:rPr>
            <a:t>0x86,</a:t>
          </a:r>
          <a:r>
            <a:rPr lang="en-US" altLang="zh-TW"/>
            <a:t> </a:t>
          </a:r>
          <a:r>
            <a:rPr lang="en-US" altLang="zh-TW" sz="1100" b="0" i="0" u="none" strike="noStrike">
              <a:solidFill>
                <a:schemeClr val="dk1"/>
              </a:solidFill>
              <a:effectLst/>
              <a:latin typeface="+mn-lt"/>
              <a:ea typeface="+mn-ea"/>
              <a:cs typeface="+mn-cs"/>
            </a:rPr>
            <a:t>0x85,</a:t>
          </a:r>
          <a:r>
            <a:rPr lang="en-US" altLang="zh-TW"/>
            <a:t> </a:t>
          </a:r>
          <a:r>
            <a:rPr lang="en-US" altLang="zh-TW" sz="1100" b="0" i="0" u="none" strike="noStrike">
              <a:solidFill>
                <a:schemeClr val="dk1"/>
              </a:solidFill>
              <a:effectLst/>
              <a:latin typeface="+mn-lt"/>
              <a:ea typeface="+mn-ea"/>
              <a:cs typeface="+mn-cs"/>
            </a:rPr>
            <a:t>0x84,</a:t>
          </a:r>
          <a:r>
            <a:rPr lang="en-US" altLang="zh-TW"/>
            <a:t> </a:t>
          </a:r>
          <a:r>
            <a:rPr lang="en-US" altLang="zh-TW" sz="1100" b="0" i="0" u="none" strike="noStrike">
              <a:solidFill>
                <a:schemeClr val="dk1"/>
              </a:solidFill>
              <a:effectLst/>
              <a:latin typeface="+mn-lt"/>
              <a:ea typeface="+mn-ea"/>
              <a:cs typeface="+mn-cs"/>
            </a:rPr>
            <a:t>0x83,</a:t>
          </a:r>
          <a:r>
            <a:rPr lang="en-US" altLang="zh-TW"/>
            <a:t> </a:t>
          </a:r>
          <a:r>
            <a:rPr lang="en-US" altLang="zh-TW" sz="1100" b="0" i="0" u="none" strike="noStrike">
              <a:solidFill>
                <a:schemeClr val="dk1"/>
              </a:solidFill>
              <a:effectLst/>
              <a:latin typeface="+mn-lt"/>
              <a:ea typeface="+mn-ea"/>
              <a:cs typeface="+mn-cs"/>
            </a:rPr>
            <a:t>0x82,</a:t>
          </a:r>
          <a:r>
            <a:rPr lang="en-US" altLang="zh-TW"/>
            <a:t> </a:t>
          </a:r>
          <a:r>
            <a:rPr lang="en-US" altLang="zh-TW" sz="1100" b="0" i="0" u="none" strike="noStrike">
              <a:solidFill>
                <a:schemeClr val="dk1"/>
              </a:solidFill>
              <a:effectLst/>
              <a:latin typeface="+mn-lt"/>
              <a:ea typeface="+mn-ea"/>
              <a:cs typeface="+mn-cs"/>
            </a:rPr>
            <a:t>0x81,</a:t>
          </a:r>
          <a:r>
            <a:rPr lang="en-US" altLang="zh-TW"/>
            <a:t> </a:t>
          </a:r>
          <a:r>
            <a:rPr lang="en-US" altLang="zh-TW" sz="1100" b="0" i="0" u="none" strike="noStrike">
              <a:solidFill>
                <a:schemeClr val="dk1"/>
              </a:solidFill>
              <a:effectLst/>
              <a:latin typeface="+mn-lt"/>
              <a:ea typeface="+mn-ea"/>
              <a:cs typeface="+mn-cs"/>
            </a:rPr>
            <a:t>0x80,</a:t>
          </a:r>
          <a:r>
            <a:rPr lang="en-US" altLang="zh-TW"/>
            <a:t> </a:t>
          </a:r>
          <a:r>
            <a:rPr lang="en-US" altLang="zh-TW" sz="1100" b="0" i="0" u="none" strike="noStrike">
              <a:solidFill>
                <a:schemeClr val="dk1"/>
              </a:solidFill>
              <a:effectLst/>
              <a:latin typeface="+mn-lt"/>
              <a:ea typeface="+mn-ea"/>
              <a:cs typeface="+mn-cs"/>
            </a:rPr>
            <a:t>0x7F,</a:t>
          </a:r>
          <a:r>
            <a:rPr lang="en-US" altLang="zh-TW"/>
            <a:t> </a:t>
          </a:r>
          <a:r>
            <a:rPr lang="en-US" altLang="zh-TW" sz="1100" b="0" i="0" u="none" strike="noStrike">
              <a:solidFill>
                <a:schemeClr val="dk1"/>
              </a:solidFill>
              <a:effectLst/>
              <a:latin typeface="+mn-lt"/>
              <a:ea typeface="+mn-ea"/>
              <a:cs typeface="+mn-cs"/>
            </a:rPr>
            <a:t>0x7E,</a:t>
          </a:r>
          <a:r>
            <a:rPr lang="en-US" altLang="zh-TW"/>
            <a:t> </a:t>
          </a:r>
          <a:r>
            <a:rPr lang="en-US" altLang="zh-TW" sz="1100" b="0" i="0" u="none" strike="noStrike">
              <a:solidFill>
                <a:schemeClr val="dk1"/>
              </a:solidFill>
              <a:effectLst/>
              <a:latin typeface="+mn-lt"/>
              <a:ea typeface="+mn-ea"/>
              <a:cs typeface="+mn-cs"/>
            </a:rPr>
            <a:t>0x7D,</a:t>
          </a:r>
          <a:r>
            <a:rPr lang="en-US" altLang="zh-TW"/>
            <a:t> </a:t>
          </a:r>
          <a:r>
            <a:rPr lang="en-US" altLang="zh-TW" sz="1100" b="0" i="0" u="none" strike="noStrike">
              <a:solidFill>
                <a:schemeClr val="dk1"/>
              </a:solidFill>
              <a:effectLst/>
              <a:latin typeface="+mn-lt"/>
              <a:ea typeface="+mn-ea"/>
              <a:cs typeface="+mn-cs"/>
            </a:rPr>
            <a:t>0x7C,</a:t>
          </a:r>
          <a:r>
            <a:rPr lang="en-US" altLang="zh-TW"/>
            <a:t> </a:t>
          </a:r>
          <a:r>
            <a:rPr lang="en-US" altLang="zh-TW" sz="1100" b="0" i="0" u="none" strike="noStrike">
              <a:solidFill>
                <a:schemeClr val="dk1"/>
              </a:solidFill>
              <a:effectLst/>
              <a:latin typeface="+mn-lt"/>
              <a:ea typeface="+mn-ea"/>
              <a:cs typeface="+mn-cs"/>
            </a:rPr>
            <a:t>0x7B,</a:t>
          </a:r>
          <a:r>
            <a:rPr lang="en-US" altLang="zh-TW"/>
            <a:t> </a:t>
          </a:r>
          <a:r>
            <a:rPr lang="en-US" altLang="zh-TW" sz="1100" b="0" i="0" u="none" strike="noStrike">
              <a:solidFill>
                <a:schemeClr val="dk1"/>
              </a:solidFill>
              <a:effectLst/>
              <a:latin typeface="+mn-lt"/>
              <a:ea typeface="+mn-ea"/>
              <a:cs typeface="+mn-cs"/>
            </a:rPr>
            <a:t>0x7A,</a:t>
          </a:r>
          <a:r>
            <a:rPr lang="en-US" altLang="zh-TW"/>
            <a:t> </a:t>
          </a:r>
          <a:r>
            <a:rPr lang="en-US" altLang="zh-TW" sz="1100" b="0" i="0" u="none" strike="noStrike">
              <a:solidFill>
                <a:schemeClr val="dk1"/>
              </a:solidFill>
              <a:effectLst/>
              <a:latin typeface="+mn-lt"/>
              <a:ea typeface="+mn-ea"/>
              <a:cs typeface="+mn-cs"/>
            </a:rPr>
            <a:t>0x79,</a:t>
          </a:r>
          <a:r>
            <a:rPr lang="en-US" altLang="zh-TW"/>
            <a:t> </a:t>
          </a:r>
          <a:r>
            <a:rPr lang="en-US" altLang="zh-TW" sz="1100" b="0" i="0" u="none" strike="noStrike">
              <a:solidFill>
                <a:schemeClr val="dk1"/>
              </a:solidFill>
              <a:effectLst/>
              <a:latin typeface="+mn-lt"/>
              <a:ea typeface="+mn-ea"/>
              <a:cs typeface="+mn-cs"/>
            </a:rPr>
            <a:t>0x78,</a:t>
          </a:r>
          <a:r>
            <a:rPr lang="en-US" altLang="zh-TW"/>
            <a:t> </a:t>
          </a:r>
          <a:r>
            <a:rPr lang="en-US" altLang="zh-TW" sz="1100" b="0" i="0" u="none" strike="noStrike">
              <a:solidFill>
                <a:schemeClr val="dk1"/>
              </a:solidFill>
              <a:effectLst/>
              <a:latin typeface="+mn-lt"/>
              <a:ea typeface="+mn-ea"/>
              <a:cs typeface="+mn-cs"/>
            </a:rPr>
            <a:t>0x88,</a:t>
          </a:r>
          <a:r>
            <a:rPr lang="en-US" altLang="zh-TW"/>
            <a:t> </a:t>
          </a:r>
          <a:r>
            <a:rPr lang="en-US" altLang="zh-TW" sz="1100" b="0" i="0" u="none" strike="noStrike">
              <a:solidFill>
                <a:schemeClr val="dk1"/>
              </a:solidFill>
              <a:effectLst/>
              <a:latin typeface="+mn-lt"/>
              <a:ea typeface="+mn-ea"/>
              <a:cs typeface="+mn-cs"/>
            </a:rPr>
            <a:t>0x89,</a:t>
          </a:r>
          <a:r>
            <a:rPr lang="en-US" altLang="zh-TW"/>
            <a:t> </a:t>
          </a:r>
          <a:r>
            <a:rPr lang="en-US" altLang="zh-TW" sz="1100" b="0" i="0" u="none" strike="noStrike">
              <a:solidFill>
                <a:schemeClr val="dk1"/>
              </a:solidFill>
              <a:effectLst/>
              <a:latin typeface="+mn-lt"/>
              <a:ea typeface="+mn-ea"/>
              <a:cs typeface="+mn-cs"/>
            </a:rPr>
            <a:t>0x8A,</a:t>
          </a:r>
          <a:r>
            <a:rPr lang="en-US" altLang="zh-TW"/>
            <a:t> </a:t>
          </a:r>
          <a:r>
            <a:rPr lang="en-US" altLang="zh-TW" sz="1100" b="0" i="0" u="none" strike="noStrike">
              <a:solidFill>
                <a:schemeClr val="dk1"/>
              </a:solidFill>
              <a:effectLst/>
              <a:latin typeface="+mn-lt"/>
              <a:ea typeface="+mn-ea"/>
              <a:cs typeface="+mn-cs"/>
            </a:rPr>
            <a:t>0x8B,</a:t>
          </a:r>
          <a:r>
            <a:rPr lang="en-US" altLang="zh-TW"/>
            <a:t> </a:t>
          </a:r>
          <a:r>
            <a:rPr lang="en-US" altLang="zh-TW" sz="1100" b="0" i="0" u="none" strike="noStrike">
              <a:solidFill>
                <a:schemeClr val="dk1"/>
              </a:solidFill>
              <a:effectLst/>
              <a:latin typeface="+mn-lt"/>
              <a:ea typeface="+mn-ea"/>
              <a:cs typeface="+mn-cs"/>
            </a:rPr>
            <a:t>0x8C,</a:t>
          </a:r>
          <a:r>
            <a:rPr lang="en-US" altLang="zh-TW"/>
            <a:t> </a:t>
          </a:r>
          <a:r>
            <a:rPr lang="en-US" altLang="zh-TW" sz="1100" b="0" i="0" u="none" strike="noStrike">
              <a:solidFill>
                <a:schemeClr val="dk1"/>
              </a:solidFill>
              <a:effectLst/>
              <a:latin typeface="+mn-lt"/>
              <a:ea typeface="+mn-ea"/>
              <a:cs typeface="+mn-cs"/>
            </a:rPr>
            <a:t>0x8D,</a:t>
          </a:r>
          <a:r>
            <a:rPr lang="en-US" altLang="zh-TW"/>
            <a:t> </a:t>
          </a:r>
          <a:r>
            <a:rPr lang="en-US" altLang="zh-TW" sz="1100" b="0" i="0" u="none" strike="noStrike">
              <a:solidFill>
                <a:schemeClr val="dk1"/>
              </a:solidFill>
              <a:effectLst/>
              <a:latin typeface="+mn-lt"/>
              <a:ea typeface="+mn-ea"/>
              <a:cs typeface="+mn-cs"/>
            </a:rPr>
            <a:t>0x8E,</a:t>
          </a:r>
          <a:r>
            <a:rPr lang="en-US" altLang="zh-TW"/>
            <a:t> </a:t>
          </a:r>
          <a:r>
            <a:rPr lang="en-US" altLang="zh-TW" sz="1100" b="0" i="0" u="none" strike="noStrike">
              <a:solidFill>
                <a:schemeClr val="dk1"/>
              </a:solidFill>
              <a:effectLst/>
              <a:latin typeface="+mn-lt"/>
              <a:ea typeface="+mn-ea"/>
              <a:cs typeface="+mn-cs"/>
            </a:rPr>
            <a:t>0x8F,</a:t>
          </a:r>
          <a:r>
            <a:rPr lang="en-US" altLang="zh-TW"/>
            <a:t> </a:t>
          </a:r>
          <a:r>
            <a:rPr lang="en-US" altLang="zh-TW" sz="1100" b="0" i="0" u="none" strike="noStrike">
              <a:solidFill>
                <a:schemeClr val="dk1"/>
              </a:solidFill>
              <a:effectLst/>
              <a:latin typeface="+mn-lt"/>
              <a:ea typeface="+mn-ea"/>
              <a:cs typeface="+mn-cs"/>
            </a:rPr>
            <a:t>0x90,</a:t>
          </a:r>
          <a:r>
            <a:rPr lang="en-US" altLang="zh-TW"/>
            <a:t> </a:t>
          </a:r>
          <a:r>
            <a:rPr lang="en-US" altLang="zh-TW" sz="1100" b="0" i="0" u="none" strike="noStrike">
              <a:solidFill>
                <a:schemeClr val="dk1"/>
              </a:solidFill>
              <a:effectLst/>
              <a:latin typeface="+mn-lt"/>
              <a:ea typeface="+mn-ea"/>
              <a:cs typeface="+mn-cs"/>
            </a:rPr>
            <a:t>0x91,</a:t>
          </a:r>
          <a:r>
            <a:rPr lang="en-US" altLang="zh-TW"/>
            <a:t> </a:t>
          </a:r>
          <a:r>
            <a:rPr lang="en-US" altLang="zh-TW" sz="1100" b="0" i="0" u="none" strike="noStrike">
              <a:solidFill>
                <a:schemeClr val="dk1"/>
              </a:solidFill>
              <a:effectLst/>
              <a:latin typeface="+mn-lt"/>
              <a:ea typeface="+mn-ea"/>
              <a:cs typeface="+mn-cs"/>
            </a:rPr>
            <a:t>0x92,</a:t>
          </a:r>
          <a:r>
            <a:rPr lang="en-US" altLang="zh-TW"/>
            <a:t> </a:t>
          </a:r>
          <a:r>
            <a:rPr lang="en-US" altLang="zh-TW" sz="1100" b="0" i="0" u="none" strike="noStrike">
              <a:solidFill>
                <a:schemeClr val="dk1"/>
              </a:solidFill>
              <a:effectLst/>
              <a:latin typeface="+mn-lt"/>
              <a:ea typeface="+mn-ea"/>
              <a:cs typeface="+mn-cs"/>
            </a:rPr>
            <a:t>0x93,</a:t>
          </a:r>
          <a:r>
            <a:rPr lang="en-US" altLang="zh-TW"/>
            <a:t> </a:t>
          </a:r>
          <a:r>
            <a:rPr lang="en-US" altLang="zh-TW" sz="1100" b="0" i="0" u="none" strike="noStrike">
              <a:solidFill>
                <a:schemeClr val="dk1"/>
              </a:solidFill>
              <a:effectLst/>
              <a:latin typeface="+mn-lt"/>
              <a:ea typeface="+mn-ea"/>
              <a:cs typeface="+mn-cs"/>
            </a:rPr>
            <a:t>0x94,</a:t>
          </a:r>
          <a:r>
            <a:rPr lang="en-US" altLang="zh-TW"/>
            <a:t> </a:t>
          </a:r>
          <a:r>
            <a:rPr lang="en-US" altLang="zh-TW" sz="1100" b="0" i="0" u="none" strike="noStrike">
              <a:solidFill>
                <a:schemeClr val="dk1"/>
              </a:solidFill>
              <a:effectLst/>
              <a:latin typeface="+mn-lt"/>
              <a:ea typeface="+mn-ea"/>
              <a:cs typeface="+mn-cs"/>
            </a:rPr>
            <a:t>0x95,</a:t>
          </a:r>
          <a:r>
            <a:rPr lang="en-US" altLang="zh-TW"/>
            <a:t> </a:t>
          </a:r>
          <a:r>
            <a:rPr lang="en-US" altLang="zh-TW" sz="1100" b="0" i="0" u="none" strike="noStrike">
              <a:solidFill>
                <a:schemeClr val="dk1"/>
              </a:solidFill>
              <a:effectLst/>
              <a:latin typeface="+mn-lt"/>
              <a:ea typeface="+mn-ea"/>
              <a:cs typeface="+mn-cs"/>
            </a:rPr>
            <a:t>0x96,</a:t>
          </a:r>
          <a:r>
            <a:rPr lang="en-US" altLang="zh-TW"/>
            <a:t> </a:t>
          </a:r>
          <a:r>
            <a:rPr lang="en-US" altLang="zh-TW" sz="1100" b="0" i="0" u="none" strike="noStrike">
              <a:solidFill>
                <a:schemeClr val="dk1"/>
              </a:solidFill>
              <a:effectLst/>
              <a:latin typeface="+mn-lt"/>
              <a:ea typeface="+mn-ea"/>
              <a:cs typeface="+mn-cs"/>
            </a:rPr>
            <a:t>0x97,</a:t>
          </a:r>
          <a:r>
            <a:rPr lang="en-US" altLang="zh-TW"/>
            <a:t> </a:t>
          </a:r>
          <a:r>
            <a:rPr lang="en-US" altLang="zh-TW" sz="1100" b="0" i="0" u="none" strike="noStrike">
              <a:solidFill>
                <a:schemeClr val="dk1"/>
              </a:solidFill>
              <a:effectLst/>
              <a:latin typeface="+mn-lt"/>
              <a:ea typeface="+mn-ea"/>
              <a:cs typeface="+mn-cs"/>
            </a:rPr>
            <a:t>0x98,</a:t>
          </a:r>
          <a:r>
            <a:rPr lang="en-US" altLang="zh-TW"/>
            <a:t> </a:t>
          </a:r>
          <a:r>
            <a:rPr lang="en-US" altLang="zh-TW" sz="1100" b="0" i="0" u="none" strike="noStrike">
              <a:solidFill>
                <a:schemeClr val="dk1"/>
              </a:solidFill>
              <a:effectLst/>
              <a:latin typeface="+mn-lt"/>
              <a:ea typeface="+mn-ea"/>
              <a:cs typeface="+mn-cs"/>
            </a:rPr>
            <a:t>0x99,</a:t>
          </a:r>
          <a:r>
            <a:rPr lang="en-US" altLang="zh-TW"/>
            <a:t> </a:t>
          </a:r>
          <a:r>
            <a:rPr lang="en-US" altLang="zh-TW" sz="1100" b="0" i="0" u="none" strike="noStrike">
              <a:solidFill>
                <a:schemeClr val="dk1"/>
              </a:solidFill>
              <a:effectLst/>
              <a:latin typeface="+mn-lt"/>
              <a:ea typeface="+mn-ea"/>
              <a:cs typeface="+mn-cs"/>
            </a:rPr>
            <a:t>0x9A,</a:t>
          </a:r>
          <a:r>
            <a:rPr lang="en-US" altLang="zh-TW"/>
            <a:t> </a:t>
          </a:r>
          <a:r>
            <a:rPr lang="en-US" altLang="zh-TW" sz="1100" b="0" i="0" u="none" strike="noStrike">
              <a:solidFill>
                <a:schemeClr val="dk1"/>
              </a:solidFill>
              <a:effectLst/>
              <a:latin typeface="+mn-lt"/>
              <a:ea typeface="+mn-ea"/>
              <a:cs typeface="+mn-cs"/>
            </a:rPr>
            <a:t>0x9B,</a:t>
          </a:r>
          <a:r>
            <a:rPr lang="en-US" altLang="zh-TW"/>
            <a:t> </a:t>
          </a:r>
          <a:r>
            <a:rPr lang="en-US" altLang="zh-TW" sz="1100" b="0" i="0" u="none" strike="noStrike">
              <a:solidFill>
                <a:schemeClr val="dk1"/>
              </a:solidFill>
              <a:effectLst/>
              <a:latin typeface="+mn-lt"/>
              <a:ea typeface="+mn-ea"/>
              <a:cs typeface="+mn-cs"/>
            </a:rPr>
            <a:t>0x9C,</a:t>
          </a:r>
          <a:r>
            <a:rPr lang="en-US" altLang="zh-TW"/>
            <a:t> </a:t>
          </a:r>
          <a:r>
            <a:rPr lang="en-US" altLang="zh-TW" sz="1100" b="0" i="0" u="none" strike="noStrike">
              <a:solidFill>
                <a:schemeClr val="dk1"/>
              </a:solidFill>
              <a:effectLst/>
              <a:latin typeface="+mn-lt"/>
              <a:ea typeface="+mn-ea"/>
              <a:cs typeface="+mn-cs"/>
            </a:rPr>
            <a:t>0x9D,</a:t>
          </a:r>
          <a:r>
            <a:rPr lang="en-US" altLang="zh-TW"/>
            <a:t> </a:t>
          </a:r>
          <a:r>
            <a:rPr lang="en-US" altLang="zh-TW" sz="1100" b="0" i="0" u="none" strike="noStrike">
              <a:solidFill>
                <a:schemeClr val="dk1"/>
              </a:solidFill>
              <a:effectLst/>
              <a:latin typeface="+mn-lt"/>
              <a:ea typeface="+mn-ea"/>
              <a:cs typeface="+mn-cs"/>
            </a:rPr>
            <a:t>0x9E,</a:t>
          </a:r>
          <a:r>
            <a:rPr lang="en-US" altLang="zh-TW"/>
            <a:t> </a:t>
          </a:r>
          <a:r>
            <a:rPr lang="en-US" altLang="zh-TW" sz="1100" b="0" i="0" u="none" strike="noStrike">
              <a:solidFill>
                <a:schemeClr val="dk1"/>
              </a:solidFill>
              <a:effectLst/>
              <a:latin typeface="+mn-lt"/>
              <a:ea typeface="+mn-ea"/>
              <a:cs typeface="+mn-cs"/>
            </a:rPr>
            <a:t>0x9F,</a:t>
          </a:r>
          <a:r>
            <a:rPr lang="en-US" altLang="zh-TW"/>
            <a:t> </a:t>
          </a:r>
          <a:r>
            <a:rPr lang="en-US" altLang="zh-TW" sz="1100" b="0" i="0" u="none" strike="noStrike">
              <a:solidFill>
                <a:schemeClr val="dk1"/>
              </a:solidFill>
              <a:effectLst/>
              <a:latin typeface="+mn-lt"/>
              <a:ea typeface="+mn-ea"/>
              <a:cs typeface="+mn-cs"/>
            </a:rPr>
            <a:t>0xA0,</a:t>
          </a:r>
          <a:r>
            <a:rPr lang="en-US" altLang="zh-TW"/>
            <a:t> </a:t>
          </a:r>
          <a:r>
            <a:rPr lang="en-US" altLang="zh-TW" sz="1100" b="0" i="0" u="none" strike="noStrike">
              <a:solidFill>
                <a:schemeClr val="dk1"/>
              </a:solidFill>
              <a:effectLst/>
              <a:latin typeface="+mn-lt"/>
              <a:ea typeface="+mn-ea"/>
              <a:cs typeface="+mn-cs"/>
            </a:rPr>
            <a:t>0xA1,</a:t>
          </a:r>
          <a:r>
            <a:rPr lang="en-US" altLang="zh-TW"/>
            <a:t> </a:t>
          </a:r>
          <a:r>
            <a:rPr lang="en-US" altLang="zh-TW" sz="1100" b="0" i="0" u="none" strike="noStrike">
              <a:solidFill>
                <a:schemeClr val="dk1"/>
              </a:solidFill>
              <a:effectLst/>
              <a:latin typeface="+mn-lt"/>
              <a:ea typeface="+mn-ea"/>
              <a:cs typeface="+mn-cs"/>
            </a:rPr>
            <a:t>0xA2,</a:t>
          </a:r>
          <a:r>
            <a:rPr lang="en-US" altLang="zh-TW"/>
            <a:t> </a:t>
          </a:r>
          <a:r>
            <a:rPr lang="en-US" altLang="zh-TW" sz="1100" b="0" i="0" u="none" strike="noStrike">
              <a:solidFill>
                <a:schemeClr val="dk1"/>
              </a:solidFill>
              <a:effectLst/>
              <a:latin typeface="+mn-lt"/>
              <a:ea typeface="+mn-ea"/>
              <a:cs typeface="+mn-cs"/>
            </a:rPr>
            <a:t>0xA3,</a:t>
          </a:r>
          <a:r>
            <a:rPr lang="en-US" altLang="zh-TW"/>
            <a:t> </a:t>
          </a:r>
          <a:r>
            <a:rPr lang="en-US" altLang="zh-TW" sz="1100" b="0" i="0" u="none" strike="noStrike">
              <a:solidFill>
                <a:schemeClr val="dk1"/>
              </a:solidFill>
              <a:effectLst/>
              <a:latin typeface="+mn-lt"/>
              <a:ea typeface="+mn-ea"/>
              <a:cs typeface="+mn-cs"/>
            </a:rPr>
            <a:t>0xA4,</a:t>
          </a:r>
          <a:r>
            <a:rPr lang="en-US" altLang="zh-TW"/>
            <a:t> </a:t>
          </a:r>
          <a:r>
            <a:rPr lang="en-US" altLang="zh-TW" sz="1100" b="0" i="0" u="none" strike="noStrike">
              <a:solidFill>
                <a:schemeClr val="dk1"/>
              </a:solidFill>
              <a:effectLst/>
              <a:latin typeface="+mn-lt"/>
              <a:ea typeface="+mn-ea"/>
              <a:cs typeface="+mn-cs"/>
            </a:rPr>
            <a:t>0xA5,</a:t>
          </a:r>
          <a:r>
            <a:rPr lang="en-US" altLang="zh-TW"/>
            <a:t> </a:t>
          </a:r>
          <a:r>
            <a:rPr lang="en-US" altLang="zh-TW" sz="1100" b="0" i="0" u="none" strike="noStrike">
              <a:solidFill>
                <a:schemeClr val="dk1"/>
              </a:solidFill>
              <a:effectLst/>
              <a:latin typeface="+mn-lt"/>
              <a:ea typeface="+mn-ea"/>
              <a:cs typeface="+mn-cs"/>
            </a:rPr>
            <a:t>0xA6,</a:t>
          </a:r>
          <a:r>
            <a:rPr lang="en-US" altLang="zh-TW"/>
            <a:t> </a:t>
          </a:r>
          <a:r>
            <a:rPr lang="en-US" altLang="zh-TW" sz="1100" b="0" i="0" u="none" strike="noStrike">
              <a:solidFill>
                <a:schemeClr val="dk1"/>
              </a:solidFill>
              <a:effectLst/>
              <a:latin typeface="+mn-lt"/>
              <a:ea typeface="+mn-ea"/>
              <a:cs typeface="+mn-cs"/>
            </a:rPr>
            <a:t>0xA7,</a:t>
          </a:r>
          <a:r>
            <a:rPr lang="en-US" altLang="zh-TW"/>
            <a:t> </a:t>
          </a:r>
          <a:r>
            <a:rPr lang="en-US" altLang="zh-TW" sz="1100" b="0" i="0" u="none" strike="noStrike">
              <a:solidFill>
                <a:schemeClr val="dk1"/>
              </a:solidFill>
              <a:effectLst/>
              <a:latin typeface="+mn-lt"/>
              <a:ea typeface="+mn-ea"/>
              <a:cs typeface="+mn-cs"/>
            </a:rPr>
            <a:t>0xA8,</a:t>
          </a:r>
          <a:r>
            <a:rPr lang="en-US" altLang="zh-TW"/>
            <a:t> </a:t>
          </a:r>
          <a:r>
            <a:rPr lang="en-US" altLang="zh-TW" sz="1100" b="0" i="0" u="none" strike="noStrike">
              <a:solidFill>
                <a:schemeClr val="dk1"/>
              </a:solidFill>
              <a:effectLst/>
              <a:latin typeface="+mn-lt"/>
              <a:ea typeface="+mn-ea"/>
              <a:cs typeface="+mn-cs"/>
            </a:rPr>
            <a:t>0xA9,</a:t>
          </a:r>
          <a:r>
            <a:rPr lang="en-US" altLang="zh-TW"/>
            <a:t> </a:t>
          </a:r>
          <a:r>
            <a:rPr lang="en-US" altLang="zh-TW" sz="1100" b="0" i="0" u="none" strike="noStrike">
              <a:solidFill>
                <a:schemeClr val="dk1"/>
              </a:solidFill>
              <a:effectLst/>
              <a:latin typeface="+mn-lt"/>
              <a:ea typeface="+mn-ea"/>
              <a:cs typeface="+mn-cs"/>
            </a:rPr>
            <a:t>0xAA,</a:t>
          </a:r>
          <a:r>
            <a:rPr lang="en-US" altLang="zh-TW"/>
            <a:t> </a:t>
          </a:r>
          <a:r>
            <a:rPr lang="en-US" altLang="zh-TW" sz="1100" b="0" i="0" u="none" strike="noStrike">
              <a:solidFill>
                <a:schemeClr val="dk1"/>
              </a:solidFill>
              <a:effectLst/>
              <a:latin typeface="+mn-lt"/>
              <a:ea typeface="+mn-ea"/>
              <a:cs typeface="+mn-cs"/>
            </a:rPr>
            <a:t>0xAB,</a:t>
          </a:r>
          <a:r>
            <a:rPr lang="en-US" altLang="zh-TW"/>
            <a:t> </a:t>
          </a:r>
          <a:r>
            <a:rPr lang="en-US" altLang="zh-TW" sz="1100" b="0" i="0" u="none" strike="noStrike">
              <a:solidFill>
                <a:schemeClr val="dk1"/>
              </a:solidFill>
              <a:effectLst/>
              <a:latin typeface="+mn-lt"/>
              <a:ea typeface="+mn-ea"/>
              <a:cs typeface="+mn-cs"/>
            </a:rPr>
            <a:t>0xAC,</a:t>
          </a:r>
          <a:r>
            <a:rPr lang="en-US" altLang="zh-TW"/>
            <a:t> </a:t>
          </a:r>
          <a:r>
            <a:rPr lang="en-US" altLang="zh-TW" sz="1100" b="0" i="0" u="none" strike="noStrike">
              <a:solidFill>
                <a:schemeClr val="dk1"/>
              </a:solidFill>
              <a:effectLst/>
              <a:latin typeface="+mn-lt"/>
              <a:ea typeface="+mn-ea"/>
              <a:cs typeface="+mn-cs"/>
            </a:rPr>
            <a:t>0xAD,</a:t>
          </a:r>
          <a:r>
            <a:rPr lang="en-US" altLang="zh-TW"/>
            <a:t> </a:t>
          </a:r>
          <a:r>
            <a:rPr lang="en-US" altLang="zh-TW" sz="1100" b="0" i="0" u="none" strike="noStrike">
              <a:solidFill>
                <a:schemeClr val="dk1"/>
              </a:solidFill>
              <a:effectLst/>
              <a:latin typeface="+mn-lt"/>
              <a:ea typeface="+mn-ea"/>
              <a:cs typeface="+mn-cs"/>
            </a:rPr>
            <a:t>0xAE,</a:t>
          </a:r>
          <a:r>
            <a:rPr lang="en-US" altLang="zh-TW"/>
            <a:t> </a:t>
          </a:r>
          <a:r>
            <a:rPr lang="en-US" altLang="zh-TW" sz="1100" b="0" i="0" u="none" strike="noStrike">
              <a:solidFill>
                <a:schemeClr val="dk1"/>
              </a:solidFill>
              <a:effectLst/>
              <a:latin typeface="+mn-lt"/>
              <a:ea typeface="+mn-ea"/>
              <a:cs typeface="+mn-cs"/>
            </a:rPr>
            <a:t>0xAF,</a:t>
          </a:r>
          <a:r>
            <a:rPr lang="en-US" altLang="zh-TW"/>
            <a:t> </a:t>
          </a:r>
          <a:r>
            <a:rPr lang="en-US" altLang="zh-TW" sz="1100" b="0" i="0" u="none" strike="noStrike">
              <a:solidFill>
                <a:schemeClr val="dk1"/>
              </a:solidFill>
              <a:effectLst/>
              <a:latin typeface="+mn-lt"/>
              <a:ea typeface="+mn-ea"/>
              <a:cs typeface="+mn-cs"/>
            </a:rPr>
            <a:t>0xB0,</a:t>
          </a:r>
          <a:r>
            <a:rPr lang="en-US" altLang="zh-TW"/>
            <a:t> </a:t>
          </a:r>
          <a:r>
            <a:rPr lang="en-US" altLang="zh-TW" sz="1100" b="0" i="0" u="none" strike="noStrike">
              <a:solidFill>
                <a:schemeClr val="dk1"/>
              </a:solidFill>
              <a:effectLst/>
              <a:latin typeface="+mn-lt"/>
              <a:ea typeface="+mn-ea"/>
              <a:cs typeface="+mn-cs"/>
            </a:rPr>
            <a:t>0xB1,</a:t>
          </a:r>
          <a:r>
            <a:rPr lang="en-US" altLang="zh-TW"/>
            <a:t> </a:t>
          </a:r>
          <a:r>
            <a:rPr lang="en-US" altLang="zh-TW" sz="1100" b="0" i="0" u="none" strike="noStrike">
              <a:solidFill>
                <a:schemeClr val="dk1"/>
              </a:solidFill>
              <a:effectLst/>
              <a:latin typeface="+mn-lt"/>
              <a:ea typeface="+mn-ea"/>
              <a:cs typeface="+mn-cs"/>
            </a:rPr>
            <a:t>0xB2,</a:t>
          </a:r>
          <a:r>
            <a:rPr lang="en-US" altLang="zh-TW"/>
            <a:t> </a:t>
          </a:r>
          <a:r>
            <a:rPr lang="en-US" altLang="zh-TW" sz="1100" b="0" i="0" u="none" strike="noStrike">
              <a:solidFill>
                <a:schemeClr val="dk1"/>
              </a:solidFill>
              <a:effectLst/>
              <a:latin typeface="+mn-lt"/>
              <a:ea typeface="+mn-ea"/>
              <a:cs typeface="+mn-cs"/>
            </a:rPr>
            <a:t>0xB3,</a:t>
          </a:r>
          <a:r>
            <a:rPr lang="en-US" altLang="zh-TW"/>
            <a:t> </a:t>
          </a:r>
          <a:r>
            <a:rPr lang="en-US" altLang="zh-TW" sz="1100" b="0" i="0" u="none" strike="noStrike">
              <a:solidFill>
                <a:schemeClr val="dk1"/>
              </a:solidFill>
              <a:effectLst/>
              <a:latin typeface="+mn-lt"/>
              <a:ea typeface="+mn-ea"/>
              <a:cs typeface="+mn-cs"/>
            </a:rPr>
            <a:t>0xB4,</a:t>
          </a:r>
          <a:r>
            <a:rPr lang="en-US" altLang="zh-TW"/>
            <a:t> </a:t>
          </a:r>
          <a:r>
            <a:rPr lang="en-US" altLang="zh-TW" sz="1100" b="0" i="0" u="none" strike="noStrike">
              <a:solidFill>
                <a:schemeClr val="dk1"/>
              </a:solidFill>
              <a:effectLst/>
              <a:latin typeface="+mn-lt"/>
              <a:ea typeface="+mn-ea"/>
              <a:cs typeface="+mn-cs"/>
            </a:rPr>
            <a:t>0xB5,</a:t>
          </a:r>
          <a:r>
            <a:rPr lang="en-US" altLang="zh-TW"/>
            <a:t> </a:t>
          </a:r>
          <a:r>
            <a:rPr lang="en-US" altLang="zh-TW" sz="1100" b="0" i="0" u="none" strike="noStrike">
              <a:solidFill>
                <a:schemeClr val="dk1"/>
              </a:solidFill>
              <a:effectLst/>
              <a:latin typeface="+mn-lt"/>
              <a:ea typeface="+mn-ea"/>
              <a:cs typeface="+mn-cs"/>
            </a:rPr>
            <a:t>0xB6,</a:t>
          </a:r>
          <a:r>
            <a:rPr lang="en-US" altLang="zh-TW"/>
            <a:t> </a:t>
          </a:r>
          <a:r>
            <a:rPr lang="en-US" altLang="zh-TW" sz="1100" b="0" i="0" u="none" strike="noStrike">
              <a:solidFill>
                <a:schemeClr val="dk1"/>
              </a:solidFill>
              <a:effectLst/>
              <a:latin typeface="+mn-lt"/>
              <a:ea typeface="+mn-ea"/>
              <a:cs typeface="+mn-cs"/>
            </a:rPr>
            <a:t>0xB7,</a:t>
          </a:r>
          <a:r>
            <a:rPr lang="en-US" altLang="zh-TW"/>
            <a:t> </a:t>
          </a:r>
          <a:r>
            <a:rPr lang="en-US" altLang="zh-TW" sz="1100" b="0" i="0" u="none" strike="noStrike">
              <a:solidFill>
                <a:schemeClr val="dk1"/>
              </a:solidFill>
              <a:effectLst/>
              <a:latin typeface="+mn-lt"/>
              <a:ea typeface="+mn-ea"/>
              <a:cs typeface="+mn-cs"/>
            </a:rPr>
            <a:t>0xB8,</a:t>
          </a:r>
          <a:r>
            <a:rPr lang="en-US" altLang="zh-TW"/>
            <a:t> </a:t>
          </a:r>
          <a:r>
            <a:rPr lang="en-US" altLang="zh-TW" sz="1100" b="0" i="0" u="none" strike="noStrike">
              <a:solidFill>
                <a:schemeClr val="dk1"/>
              </a:solidFill>
              <a:effectLst/>
              <a:latin typeface="+mn-lt"/>
              <a:ea typeface="+mn-ea"/>
              <a:cs typeface="+mn-cs"/>
            </a:rPr>
            <a:t>0xB9,</a:t>
          </a:r>
          <a:r>
            <a:rPr lang="en-US" altLang="zh-TW"/>
            <a:t> </a:t>
          </a:r>
          <a:r>
            <a:rPr lang="en-US" altLang="zh-TW" sz="1100" b="0" i="0" u="none" strike="noStrike">
              <a:solidFill>
                <a:schemeClr val="dk1"/>
              </a:solidFill>
              <a:effectLst/>
              <a:latin typeface="+mn-lt"/>
              <a:ea typeface="+mn-ea"/>
              <a:cs typeface="+mn-cs"/>
            </a:rPr>
            <a:t>0xBA,</a:t>
          </a:r>
          <a:r>
            <a:rPr lang="en-US" altLang="zh-TW"/>
            <a:t> </a:t>
          </a:r>
          <a:r>
            <a:rPr lang="en-US" altLang="zh-TW" sz="1100" b="0" i="0" u="none" strike="noStrike">
              <a:solidFill>
                <a:schemeClr val="dk1"/>
              </a:solidFill>
              <a:effectLst/>
              <a:latin typeface="+mn-lt"/>
              <a:ea typeface="+mn-ea"/>
              <a:cs typeface="+mn-cs"/>
            </a:rPr>
            <a:t>0xBB,</a:t>
          </a:r>
          <a:r>
            <a:rPr lang="en-US" altLang="zh-TW"/>
            <a:t> </a:t>
          </a:r>
          <a:r>
            <a:rPr lang="en-US" altLang="zh-TW" sz="1100" b="0" i="0" u="none" strike="noStrike">
              <a:solidFill>
                <a:schemeClr val="dk1"/>
              </a:solidFill>
              <a:effectLst/>
              <a:latin typeface="+mn-lt"/>
              <a:ea typeface="+mn-ea"/>
              <a:cs typeface="+mn-cs"/>
            </a:rPr>
            <a:t>0xBC,</a:t>
          </a:r>
          <a:r>
            <a:rPr lang="en-US" altLang="zh-TW"/>
            <a:t> </a:t>
          </a:r>
          <a:r>
            <a:rPr lang="en-US" altLang="zh-TW" sz="1100" b="0" i="0" u="none" strike="noStrike">
              <a:solidFill>
                <a:schemeClr val="dk1"/>
              </a:solidFill>
              <a:effectLst/>
              <a:latin typeface="+mn-lt"/>
              <a:ea typeface="+mn-ea"/>
              <a:cs typeface="+mn-cs"/>
            </a:rPr>
            <a:t>0xBD,</a:t>
          </a:r>
          <a:r>
            <a:rPr lang="en-US" altLang="zh-TW"/>
            <a:t> </a:t>
          </a:r>
          <a:r>
            <a:rPr lang="en-US" altLang="zh-TW" sz="1100" b="0" i="0" u="none" strike="noStrike">
              <a:solidFill>
                <a:schemeClr val="dk1"/>
              </a:solidFill>
              <a:effectLst/>
              <a:latin typeface="+mn-lt"/>
              <a:ea typeface="+mn-ea"/>
              <a:cs typeface="+mn-cs"/>
            </a:rPr>
            <a:t>0xBE,</a:t>
          </a:r>
          <a:r>
            <a:rPr lang="en-US" altLang="zh-TW"/>
            <a:t> </a:t>
          </a:r>
          <a:r>
            <a:rPr lang="en-US" altLang="zh-TW" sz="1100" b="0" i="0" u="none" strike="noStrike">
              <a:solidFill>
                <a:schemeClr val="dk1"/>
              </a:solidFill>
              <a:effectLst/>
              <a:latin typeface="+mn-lt"/>
              <a:ea typeface="+mn-ea"/>
              <a:cs typeface="+mn-cs"/>
            </a:rPr>
            <a:t>0xBF,</a:t>
          </a:r>
          <a:r>
            <a:rPr lang="en-US" altLang="zh-TW"/>
            <a:t> </a:t>
          </a:r>
          <a:r>
            <a:rPr lang="en-US" altLang="zh-TW" sz="1100" b="0" i="0" u="none" strike="noStrike">
              <a:solidFill>
                <a:schemeClr val="dk1"/>
              </a:solidFill>
              <a:effectLst/>
              <a:latin typeface="+mn-lt"/>
              <a:ea typeface="+mn-ea"/>
              <a:cs typeface="+mn-cs"/>
            </a:rPr>
            <a:t>0xC0,</a:t>
          </a:r>
          <a:r>
            <a:rPr lang="en-US" altLang="zh-TW"/>
            <a:t> </a:t>
          </a:r>
          <a:r>
            <a:rPr lang="en-US" altLang="zh-TW" sz="1100" b="0" i="0" u="none" strike="noStrike">
              <a:solidFill>
                <a:schemeClr val="dk1"/>
              </a:solidFill>
              <a:effectLst/>
              <a:latin typeface="+mn-lt"/>
              <a:ea typeface="+mn-ea"/>
              <a:cs typeface="+mn-cs"/>
            </a:rPr>
            <a:t>0xC1,</a:t>
          </a:r>
          <a:r>
            <a:rPr lang="en-US" altLang="zh-TW"/>
            <a:t> </a:t>
          </a:r>
          <a:r>
            <a:rPr lang="en-US" altLang="zh-TW" sz="1100" b="0" i="0" u="none" strike="noStrike">
              <a:solidFill>
                <a:schemeClr val="dk1"/>
              </a:solidFill>
              <a:effectLst/>
              <a:latin typeface="+mn-lt"/>
              <a:ea typeface="+mn-ea"/>
              <a:cs typeface="+mn-cs"/>
            </a:rPr>
            <a:t>0xC2,</a:t>
          </a:r>
          <a:r>
            <a:rPr lang="en-US" altLang="zh-TW"/>
            <a:t> </a:t>
          </a:r>
          <a:r>
            <a:rPr lang="en-US" altLang="zh-TW" sz="1100" b="0" i="0" u="none" strike="noStrike">
              <a:solidFill>
                <a:schemeClr val="dk1"/>
              </a:solidFill>
              <a:effectLst/>
              <a:latin typeface="+mn-lt"/>
              <a:ea typeface="+mn-ea"/>
              <a:cs typeface="+mn-cs"/>
            </a:rPr>
            <a:t>0xC3,</a:t>
          </a:r>
          <a:r>
            <a:rPr lang="en-US" altLang="zh-TW"/>
            <a:t> </a:t>
          </a:r>
          <a:r>
            <a:rPr lang="en-US" altLang="zh-TW" sz="1100" b="0" i="0" u="none" strike="noStrike">
              <a:solidFill>
                <a:schemeClr val="dk1"/>
              </a:solidFill>
              <a:effectLst/>
              <a:latin typeface="+mn-lt"/>
              <a:ea typeface="+mn-ea"/>
              <a:cs typeface="+mn-cs"/>
            </a:rPr>
            <a:t>0xC4,</a:t>
          </a:r>
          <a:r>
            <a:rPr lang="en-US" altLang="zh-TW"/>
            <a:t> </a:t>
          </a:r>
          <a:r>
            <a:rPr lang="en-US" altLang="zh-TW" sz="1100" b="0" i="0" u="none" strike="noStrike">
              <a:solidFill>
                <a:schemeClr val="dk1"/>
              </a:solidFill>
              <a:effectLst/>
              <a:latin typeface="+mn-lt"/>
              <a:ea typeface="+mn-ea"/>
              <a:cs typeface="+mn-cs"/>
            </a:rPr>
            <a:t>0xC5,</a:t>
          </a:r>
          <a:r>
            <a:rPr lang="en-US" altLang="zh-TW"/>
            <a:t> </a:t>
          </a:r>
          <a:r>
            <a:rPr lang="en-US" altLang="zh-TW" sz="1100" b="0" i="0" u="none" strike="noStrike">
              <a:solidFill>
                <a:schemeClr val="dk1"/>
              </a:solidFill>
              <a:effectLst/>
              <a:latin typeface="+mn-lt"/>
              <a:ea typeface="+mn-ea"/>
              <a:cs typeface="+mn-cs"/>
            </a:rPr>
            <a:t>0xC6,</a:t>
          </a:r>
          <a:r>
            <a:rPr lang="en-US" altLang="zh-TW"/>
            <a:t> </a:t>
          </a:r>
          <a:r>
            <a:rPr lang="en-US" altLang="zh-TW" sz="1100" b="0" i="0" u="none" strike="noStrike">
              <a:solidFill>
                <a:schemeClr val="dk1"/>
              </a:solidFill>
              <a:effectLst/>
              <a:latin typeface="+mn-lt"/>
              <a:ea typeface="+mn-ea"/>
              <a:cs typeface="+mn-cs"/>
            </a:rPr>
            <a:t>0xC7,</a:t>
          </a:r>
          <a:r>
            <a:rPr lang="en-US" altLang="zh-TW"/>
            <a:t> </a:t>
          </a:r>
          <a:r>
            <a:rPr lang="en-US" altLang="zh-TW" sz="1100" b="0" i="0" u="none" strike="noStrike">
              <a:solidFill>
                <a:schemeClr val="dk1"/>
              </a:solidFill>
              <a:effectLst/>
              <a:latin typeface="+mn-lt"/>
              <a:ea typeface="+mn-ea"/>
              <a:cs typeface="+mn-cs"/>
            </a:rPr>
            <a:t>0xC8,</a:t>
          </a:r>
          <a:r>
            <a:rPr lang="en-US" altLang="zh-TW"/>
            <a:t> </a:t>
          </a:r>
          <a:r>
            <a:rPr lang="en-US" altLang="zh-TW" sz="1100" b="0" i="0" u="none" strike="noStrike">
              <a:solidFill>
                <a:schemeClr val="dk1"/>
              </a:solidFill>
              <a:effectLst/>
              <a:latin typeface="+mn-lt"/>
              <a:ea typeface="+mn-ea"/>
              <a:cs typeface="+mn-cs"/>
            </a:rPr>
            <a:t>0xC9,</a:t>
          </a:r>
          <a:r>
            <a:rPr lang="en-US" altLang="zh-TW"/>
            <a:t> </a:t>
          </a:r>
          <a:r>
            <a:rPr lang="en-US" altLang="zh-TW" sz="1100" b="0" i="0" u="none" strike="noStrike">
              <a:solidFill>
                <a:schemeClr val="dk1"/>
              </a:solidFill>
              <a:effectLst/>
              <a:latin typeface="+mn-lt"/>
              <a:ea typeface="+mn-ea"/>
              <a:cs typeface="+mn-cs"/>
            </a:rPr>
            <a:t>0xCA,</a:t>
          </a:r>
          <a:r>
            <a:rPr lang="en-US" altLang="zh-TW"/>
            <a:t> </a:t>
          </a:r>
          <a:r>
            <a:rPr lang="en-US" altLang="zh-TW" sz="1100" b="0" i="0" u="none" strike="noStrike">
              <a:solidFill>
                <a:schemeClr val="dk1"/>
              </a:solidFill>
              <a:effectLst/>
              <a:latin typeface="+mn-lt"/>
              <a:ea typeface="+mn-ea"/>
              <a:cs typeface="+mn-cs"/>
            </a:rPr>
            <a:t>0xCB,</a:t>
          </a:r>
          <a:r>
            <a:rPr lang="en-US" altLang="zh-TW"/>
            <a:t> </a:t>
          </a:r>
          <a:r>
            <a:rPr lang="en-US" altLang="zh-TW" sz="1100" b="0" i="0" u="none" strike="noStrike">
              <a:solidFill>
                <a:schemeClr val="dk1"/>
              </a:solidFill>
              <a:effectLst/>
              <a:latin typeface="+mn-lt"/>
              <a:ea typeface="+mn-ea"/>
              <a:cs typeface="+mn-cs"/>
            </a:rPr>
            <a:t>0xCC,</a:t>
          </a:r>
          <a:r>
            <a:rPr lang="en-US" altLang="zh-TW"/>
            <a:t> </a:t>
          </a:r>
          <a:r>
            <a:rPr lang="en-US" altLang="zh-TW" sz="1100" b="0" i="0" u="none" strike="noStrike">
              <a:solidFill>
                <a:schemeClr val="dk1"/>
              </a:solidFill>
              <a:effectLst/>
              <a:latin typeface="+mn-lt"/>
              <a:ea typeface="+mn-ea"/>
              <a:cs typeface="+mn-cs"/>
            </a:rPr>
            <a:t>0xCD,</a:t>
          </a:r>
          <a:r>
            <a:rPr lang="en-US" altLang="zh-TW"/>
            <a:t> </a:t>
          </a:r>
          <a:r>
            <a:rPr lang="en-US" altLang="zh-TW" sz="1100" b="0" i="0" u="none" strike="noStrike">
              <a:solidFill>
                <a:schemeClr val="dk1"/>
              </a:solidFill>
              <a:effectLst/>
              <a:latin typeface="+mn-lt"/>
              <a:ea typeface="+mn-ea"/>
              <a:cs typeface="+mn-cs"/>
            </a:rPr>
            <a:t>0xCE,</a:t>
          </a:r>
          <a:r>
            <a:rPr lang="en-US" altLang="zh-TW"/>
            <a:t> </a:t>
          </a:r>
          <a:r>
            <a:rPr lang="en-US" altLang="zh-TW" sz="1100" b="0" i="0" u="none" strike="noStrike">
              <a:solidFill>
                <a:schemeClr val="dk1"/>
              </a:solidFill>
              <a:effectLst/>
              <a:latin typeface="+mn-lt"/>
              <a:ea typeface="+mn-ea"/>
              <a:cs typeface="+mn-cs"/>
            </a:rPr>
            <a:t>0xCF,</a:t>
          </a:r>
          <a:r>
            <a:rPr lang="en-US" altLang="zh-TW"/>
            <a:t> </a:t>
          </a:r>
          <a:r>
            <a:rPr lang="en-US" altLang="zh-TW" sz="1100" b="0" i="0" u="none" strike="noStrike">
              <a:solidFill>
                <a:schemeClr val="dk1"/>
              </a:solidFill>
              <a:effectLst/>
              <a:latin typeface="+mn-lt"/>
              <a:ea typeface="+mn-ea"/>
              <a:cs typeface="+mn-cs"/>
            </a:rPr>
            <a:t>0xD0,</a:t>
          </a:r>
          <a:r>
            <a:rPr lang="en-US" altLang="zh-TW"/>
            <a:t> </a:t>
          </a:r>
          <a:r>
            <a:rPr lang="en-US" altLang="zh-TW" sz="1100" b="0" i="0" u="none" strike="noStrike">
              <a:solidFill>
                <a:schemeClr val="dk1"/>
              </a:solidFill>
              <a:effectLst/>
              <a:latin typeface="+mn-lt"/>
              <a:ea typeface="+mn-ea"/>
              <a:cs typeface="+mn-cs"/>
            </a:rPr>
            <a:t>0xD1,</a:t>
          </a:r>
          <a:r>
            <a:rPr lang="en-US" altLang="zh-TW"/>
            <a:t> </a:t>
          </a:r>
          <a:r>
            <a:rPr lang="en-US" altLang="zh-TW" sz="1100" b="0" i="0" u="none" strike="noStrike">
              <a:solidFill>
                <a:schemeClr val="dk1"/>
              </a:solidFill>
              <a:effectLst/>
              <a:latin typeface="+mn-lt"/>
              <a:ea typeface="+mn-ea"/>
              <a:cs typeface="+mn-cs"/>
            </a:rPr>
            <a:t>0xD2,</a:t>
          </a:r>
          <a:r>
            <a:rPr lang="en-US" altLang="zh-TW"/>
            <a:t> </a:t>
          </a:r>
          <a:r>
            <a:rPr lang="en-US" altLang="zh-TW" sz="1100" b="0" i="0" u="none" strike="noStrike">
              <a:solidFill>
                <a:schemeClr val="dk1"/>
              </a:solidFill>
              <a:effectLst/>
              <a:latin typeface="+mn-lt"/>
              <a:ea typeface="+mn-ea"/>
              <a:cs typeface="+mn-cs"/>
            </a:rPr>
            <a:t>0xD3,</a:t>
          </a:r>
          <a:r>
            <a:rPr lang="en-US" altLang="zh-TW"/>
            <a:t> </a:t>
          </a:r>
          <a:r>
            <a:rPr lang="en-US" altLang="zh-TW" sz="1100" b="0" i="0" u="none" strike="noStrike">
              <a:solidFill>
                <a:schemeClr val="dk1"/>
              </a:solidFill>
              <a:effectLst/>
              <a:latin typeface="+mn-lt"/>
              <a:ea typeface="+mn-ea"/>
              <a:cs typeface="+mn-cs"/>
            </a:rPr>
            <a:t>0xD4,</a:t>
          </a:r>
          <a:r>
            <a:rPr lang="en-US" altLang="zh-TW"/>
            <a:t> </a:t>
          </a:r>
          <a:r>
            <a:rPr lang="en-US" altLang="zh-TW" sz="1100" b="0" i="0" u="none" strike="noStrike">
              <a:solidFill>
                <a:schemeClr val="dk1"/>
              </a:solidFill>
              <a:effectLst/>
              <a:latin typeface="+mn-lt"/>
              <a:ea typeface="+mn-ea"/>
              <a:cs typeface="+mn-cs"/>
            </a:rPr>
            <a:t>0xD5,</a:t>
          </a:r>
          <a:r>
            <a:rPr lang="en-US" altLang="zh-TW"/>
            <a:t> </a:t>
          </a:r>
          <a:r>
            <a:rPr lang="en-US" altLang="zh-TW" sz="1100" b="0" i="0" u="none" strike="noStrike">
              <a:solidFill>
                <a:schemeClr val="dk1"/>
              </a:solidFill>
              <a:effectLst/>
              <a:latin typeface="+mn-lt"/>
              <a:ea typeface="+mn-ea"/>
              <a:cs typeface="+mn-cs"/>
            </a:rPr>
            <a:t>0xD6,</a:t>
          </a:r>
          <a:r>
            <a:rPr lang="en-US" altLang="zh-TW"/>
            <a:t> </a:t>
          </a:r>
          <a:r>
            <a:rPr lang="en-US" altLang="zh-TW" sz="1100" b="0" i="0" u="none" strike="noStrike">
              <a:solidFill>
                <a:schemeClr val="dk1"/>
              </a:solidFill>
              <a:effectLst/>
              <a:latin typeface="+mn-lt"/>
              <a:ea typeface="+mn-ea"/>
              <a:cs typeface="+mn-cs"/>
            </a:rPr>
            <a:t>0xD7,</a:t>
          </a:r>
          <a:r>
            <a:rPr lang="en-US" altLang="zh-TW"/>
            <a:t> </a:t>
          </a:r>
          <a:r>
            <a:rPr lang="en-US" altLang="zh-TW" sz="1100" b="0" i="0" u="none" strike="noStrike">
              <a:solidFill>
                <a:schemeClr val="dk1"/>
              </a:solidFill>
              <a:effectLst/>
              <a:latin typeface="+mn-lt"/>
              <a:ea typeface="+mn-ea"/>
              <a:cs typeface="+mn-cs"/>
            </a:rPr>
            <a:t>0xD8,</a:t>
          </a:r>
          <a:r>
            <a:rPr lang="en-US" altLang="zh-TW"/>
            <a:t> </a:t>
          </a:r>
          <a:r>
            <a:rPr lang="en-US" altLang="zh-TW" sz="1100" b="0" i="0" u="none" strike="noStrike">
              <a:solidFill>
                <a:schemeClr val="dk1"/>
              </a:solidFill>
              <a:effectLst/>
              <a:latin typeface="+mn-lt"/>
              <a:ea typeface="+mn-ea"/>
              <a:cs typeface="+mn-cs"/>
            </a:rPr>
            <a:t>0xD9,</a:t>
          </a:r>
          <a:r>
            <a:rPr lang="en-US" altLang="zh-TW"/>
            <a:t> </a:t>
          </a:r>
          <a:r>
            <a:rPr lang="en-US" altLang="zh-TW" sz="1100" b="0" i="0" u="none" strike="noStrike">
              <a:solidFill>
                <a:schemeClr val="dk1"/>
              </a:solidFill>
              <a:effectLst/>
              <a:latin typeface="+mn-lt"/>
              <a:ea typeface="+mn-ea"/>
              <a:cs typeface="+mn-cs"/>
            </a:rPr>
            <a:t>0xDA,</a:t>
          </a:r>
          <a:r>
            <a:rPr lang="en-US" altLang="zh-TW"/>
            <a:t> </a:t>
          </a:r>
          <a:r>
            <a:rPr lang="en-US" altLang="zh-TW" sz="1100" b="0" i="0" u="none" strike="noStrike">
              <a:solidFill>
                <a:schemeClr val="dk1"/>
              </a:solidFill>
              <a:effectLst/>
              <a:latin typeface="+mn-lt"/>
              <a:ea typeface="+mn-ea"/>
              <a:cs typeface="+mn-cs"/>
            </a:rPr>
            <a:t>0xDB,</a:t>
          </a:r>
          <a:r>
            <a:rPr lang="en-US" altLang="zh-TW"/>
            <a:t> </a:t>
          </a:r>
          <a:r>
            <a:rPr lang="en-US" altLang="zh-TW" sz="1100" b="0" i="0" u="none" strike="noStrike">
              <a:solidFill>
                <a:schemeClr val="dk1"/>
              </a:solidFill>
              <a:effectLst/>
              <a:latin typeface="+mn-lt"/>
              <a:ea typeface="+mn-ea"/>
              <a:cs typeface="+mn-cs"/>
            </a:rPr>
            <a:t>0xDC,</a:t>
          </a:r>
          <a:r>
            <a:rPr lang="en-US" altLang="zh-TW"/>
            <a:t> </a:t>
          </a:r>
          <a:r>
            <a:rPr lang="en-US" altLang="zh-TW" sz="1100" b="0" i="0" u="none" strike="noStrike">
              <a:solidFill>
                <a:schemeClr val="dk1"/>
              </a:solidFill>
              <a:effectLst/>
              <a:latin typeface="+mn-lt"/>
              <a:ea typeface="+mn-ea"/>
              <a:cs typeface="+mn-cs"/>
            </a:rPr>
            <a:t>0xDD,</a:t>
          </a:r>
          <a:r>
            <a:rPr lang="en-US" altLang="zh-TW"/>
            <a:t> </a:t>
          </a:r>
          <a:r>
            <a:rPr lang="en-US" altLang="zh-TW" sz="1100" b="0" i="0" u="none" strike="noStrike">
              <a:solidFill>
                <a:schemeClr val="dk1"/>
              </a:solidFill>
              <a:effectLst/>
              <a:latin typeface="+mn-lt"/>
              <a:ea typeface="+mn-ea"/>
              <a:cs typeface="+mn-cs"/>
            </a:rPr>
            <a:t>0xDE,</a:t>
          </a:r>
          <a:r>
            <a:rPr lang="en-US" altLang="zh-TW"/>
            <a:t> </a:t>
          </a:r>
          <a:r>
            <a:rPr lang="en-US" altLang="zh-TW" sz="1100" b="0" i="0" u="none" strike="noStrike">
              <a:solidFill>
                <a:schemeClr val="dk1"/>
              </a:solidFill>
              <a:effectLst/>
              <a:latin typeface="+mn-lt"/>
              <a:ea typeface="+mn-ea"/>
              <a:cs typeface="+mn-cs"/>
            </a:rPr>
            <a:t>0xDF,</a:t>
          </a:r>
          <a:r>
            <a:rPr lang="en-US" altLang="zh-TW"/>
            <a:t> </a:t>
          </a:r>
          <a:r>
            <a:rPr lang="en-US" altLang="zh-TW" sz="1100" b="0" i="0" u="none" strike="noStrike">
              <a:solidFill>
                <a:schemeClr val="dk1"/>
              </a:solidFill>
              <a:effectLst/>
              <a:latin typeface="+mn-lt"/>
              <a:ea typeface="+mn-ea"/>
              <a:cs typeface="+mn-cs"/>
            </a:rPr>
            <a:t>0xE0,</a:t>
          </a:r>
          <a:r>
            <a:rPr lang="en-US" altLang="zh-TW"/>
            <a:t> </a:t>
          </a:r>
          <a:r>
            <a:rPr lang="en-US" altLang="zh-TW" sz="1100" b="0" i="0" u="none" strike="noStrike">
              <a:solidFill>
                <a:schemeClr val="dk1"/>
              </a:solidFill>
              <a:effectLst/>
              <a:latin typeface="+mn-lt"/>
              <a:ea typeface="+mn-ea"/>
              <a:cs typeface="+mn-cs"/>
            </a:rPr>
            <a:t>0xE1,</a:t>
          </a:r>
          <a:r>
            <a:rPr lang="en-US" altLang="zh-TW"/>
            <a:t> </a:t>
          </a:r>
          <a:r>
            <a:rPr lang="en-US" altLang="zh-TW" sz="1100" b="0" i="0" u="none" strike="noStrike">
              <a:solidFill>
                <a:schemeClr val="dk1"/>
              </a:solidFill>
              <a:effectLst/>
              <a:latin typeface="+mn-lt"/>
              <a:ea typeface="+mn-ea"/>
              <a:cs typeface="+mn-cs"/>
            </a:rPr>
            <a:t>0xE2,</a:t>
          </a:r>
          <a:r>
            <a:rPr lang="en-US" altLang="zh-TW"/>
            <a:t> </a:t>
          </a:r>
          <a:r>
            <a:rPr lang="en-US" altLang="zh-TW" sz="1100" b="0" i="0" u="none" strike="noStrike">
              <a:solidFill>
                <a:schemeClr val="dk1"/>
              </a:solidFill>
              <a:effectLst/>
              <a:latin typeface="+mn-lt"/>
              <a:ea typeface="+mn-ea"/>
              <a:cs typeface="+mn-cs"/>
            </a:rPr>
            <a:t>0xE3,</a:t>
          </a:r>
          <a:r>
            <a:rPr lang="en-US" altLang="zh-TW"/>
            <a:t> </a:t>
          </a:r>
          <a:r>
            <a:rPr lang="en-US" altLang="zh-TW" sz="1100" b="0" i="0" u="none" strike="noStrike">
              <a:solidFill>
                <a:schemeClr val="dk1"/>
              </a:solidFill>
              <a:effectLst/>
              <a:latin typeface="+mn-lt"/>
              <a:ea typeface="+mn-ea"/>
              <a:cs typeface="+mn-cs"/>
            </a:rPr>
            <a:t>0xE4,</a:t>
          </a:r>
          <a:r>
            <a:rPr lang="en-US" altLang="zh-TW"/>
            <a:t> </a:t>
          </a:r>
          <a:r>
            <a:rPr lang="en-US" altLang="zh-TW" sz="1100" b="0" i="0" u="none" strike="noStrike">
              <a:solidFill>
                <a:schemeClr val="dk1"/>
              </a:solidFill>
              <a:effectLst/>
              <a:latin typeface="+mn-lt"/>
              <a:ea typeface="+mn-ea"/>
              <a:cs typeface="+mn-cs"/>
            </a:rPr>
            <a:t>0xE5,</a:t>
          </a:r>
          <a:r>
            <a:rPr lang="en-US" altLang="zh-TW"/>
            <a:t> </a:t>
          </a:r>
          <a:r>
            <a:rPr lang="en-US" altLang="zh-TW" sz="1100" b="0" i="0" u="none" strike="noStrike">
              <a:solidFill>
                <a:schemeClr val="dk1"/>
              </a:solidFill>
              <a:effectLst/>
              <a:latin typeface="+mn-lt"/>
              <a:ea typeface="+mn-ea"/>
              <a:cs typeface="+mn-cs"/>
            </a:rPr>
            <a:t>0xE6,</a:t>
          </a:r>
          <a:r>
            <a:rPr lang="en-US" altLang="zh-TW"/>
            <a:t> </a:t>
          </a:r>
          <a:r>
            <a:rPr lang="en-US" altLang="zh-TW" sz="1100" b="0" i="0" u="none" strike="noStrike">
              <a:solidFill>
                <a:schemeClr val="dk1"/>
              </a:solidFill>
              <a:effectLst/>
              <a:latin typeface="+mn-lt"/>
              <a:ea typeface="+mn-ea"/>
              <a:cs typeface="+mn-cs"/>
            </a:rPr>
            <a:t>0xE7,</a:t>
          </a:r>
          <a:r>
            <a:rPr lang="en-US" altLang="zh-TW"/>
            <a:t> </a:t>
          </a:r>
          <a:r>
            <a:rPr lang="en-US" altLang="zh-TW" sz="1100" b="0" i="0" u="none" strike="noStrike">
              <a:solidFill>
                <a:schemeClr val="dk1"/>
              </a:solidFill>
              <a:effectLst/>
              <a:latin typeface="+mn-lt"/>
              <a:ea typeface="+mn-ea"/>
              <a:cs typeface="+mn-cs"/>
            </a:rPr>
            <a:t>0xE8,</a:t>
          </a:r>
          <a:r>
            <a:rPr lang="en-US" altLang="zh-TW"/>
            <a:t> </a:t>
          </a:r>
          <a:r>
            <a:rPr lang="en-US" altLang="zh-TW" sz="1100" b="0" i="0" u="none" strike="noStrike">
              <a:solidFill>
                <a:schemeClr val="dk1"/>
              </a:solidFill>
              <a:effectLst/>
              <a:latin typeface="+mn-lt"/>
              <a:ea typeface="+mn-ea"/>
              <a:cs typeface="+mn-cs"/>
            </a:rPr>
            <a:t>0xE9,</a:t>
          </a:r>
          <a:r>
            <a:rPr lang="en-US" altLang="zh-TW"/>
            <a:t> </a:t>
          </a:r>
          <a:r>
            <a:rPr lang="en-US" altLang="zh-TW" sz="1100" b="0" i="0" u="none" strike="noStrike">
              <a:solidFill>
                <a:schemeClr val="dk1"/>
              </a:solidFill>
              <a:effectLst/>
              <a:latin typeface="+mn-lt"/>
              <a:ea typeface="+mn-ea"/>
              <a:cs typeface="+mn-cs"/>
            </a:rPr>
            <a:t>0xEA,</a:t>
          </a:r>
          <a:r>
            <a:rPr lang="en-US" altLang="zh-TW"/>
            <a:t> </a:t>
          </a:r>
          <a:r>
            <a:rPr lang="en-US" altLang="zh-TW" sz="1100" b="0" i="0" u="none" strike="noStrike">
              <a:solidFill>
                <a:schemeClr val="dk1"/>
              </a:solidFill>
              <a:effectLst/>
              <a:latin typeface="+mn-lt"/>
              <a:ea typeface="+mn-ea"/>
              <a:cs typeface="+mn-cs"/>
            </a:rPr>
            <a:t>0xEB,</a:t>
          </a:r>
          <a:r>
            <a:rPr lang="en-US" altLang="zh-TW"/>
            <a:t> </a:t>
          </a:r>
          <a:r>
            <a:rPr lang="en-US" altLang="zh-TW" sz="1100" b="0" i="0" u="none" strike="noStrike">
              <a:solidFill>
                <a:schemeClr val="dk1"/>
              </a:solidFill>
              <a:effectLst/>
              <a:latin typeface="+mn-lt"/>
              <a:ea typeface="+mn-ea"/>
              <a:cs typeface="+mn-cs"/>
            </a:rPr>
            <a:t>0xEC,</a:t>
          </a:r>
          <a:r>
            <a:rPr lang="en-US" altLang="zh-TW"/>
            <a:t> </a:t>
          </a:r>
          <a:r>
            <a:rPr lang="en-US" altLang="zh-TW" sz="1100" b="0" i="0" u="none" strike="noStrike">
              <a:solidFill>
                <a:schemeClr val="dk1"/>
              </a:solidFill>
              <a:effectLst/>
              <a:latin typeface="+mn-lt"/>
              <a:ea typeface="+mn-ea"/>
              <a:cs typeface="+mn-cs"/>
            </a:rPr>
            <a:t>0xED,</a:t>
          </a:r>
          <a:r>
            <a:rPr lang="en-US" altLang="zh-TW"/>
            <a:t> </a:t>
          </a:r>
          <a:r>
            <a:rPr lang="en-US" altLang="zh-TW" sz="1100" b="0" i="0" u="none" strike="noStrike">
              <a:solidFill>
                <a:schemeClr val="dk1"/>
              </a:solidFill>
              <a:effectLst/>
              <a:latin typeface="+mn-lt"/>
              <a:ea typeface="+mn-ea"/>
              <a:cs typeface="+mn-cs"/>
            </a:rPr>
            <a:t>0xEE,</a:t>
          </a:r>
          <a:r>
            <a:rPr lang="en-US" altLang="zh-TW"/>
            <a:t> </a:t>
          </a:r>
          <a:r>
            <a:rPr lang="en-US" altLang="zh-TW" sz="1100" b="0" i="0" u="none" strike="noStrike">
              <a:solidFill>
                <a:schemeClr val="dk1"/>
              </a:solidFill>
              <a:effectLst/>
              <a:latin typeface="+mn-lt"/>
              <a:ea typeface="+mn-ea"/>
              <a:cs typeface="+mn-cs"/>
            </a:rPr>
            <a:t>0xEF,</a:t>
          </a:r>
          <a:r>
            <a:rPr lang="en-US" altLang="zh-TW"/>
            <a:t> </a:t>
          </a:r>
          <a:r>
            <a:rPr lang="en-US" altLang="zh-TW" sz="1100" b="0" i="0" u="none" strike="noStrike">
              <a:solidFill>
                <a:schemeClr val="dk1"/>
              </a:solidFill>
              <a:effectLst/>
              <a:latin typeface="+mn-lt"/>
              <a:ea typeface="+mn-ea"/>
              <a:cs typeface="+mn-cs"/>
            </a:rPr>
            <a:t>0xEF,</a:t>
          </a:r>
          <a:r>
            <a:rPr lang="en-US" altLang="zh-TW"/>
            <a:t> </a:t>
          </a:r>
          <a:r>
            <a:rPr lang="en-US" altLang="zh-TW" sz="1100" b="0" i="0" u="none" strike="noStrike">
              <a:solidFill>
                <a:schemeClr val="dk1"/>
              </a:solidFill>
              <a:effectLst/>
              <a:latin typeface="+mn-lt"/>
              <a:ea typeface="+mn-ea"/>
              <a:cs typeface="+mn-cs"/>
            </a:rPr>
            <a:t>0xEE,</a:t>
          </a:r>
          <a:r>
            <a:rPr lang="en-US" altLang="zh-TW"/>
            <a:t> </a:t>
          </a:r>
          <a:r>
            <a:rPr lang="en-US" altLang="zh-TW" sz="1100" b="0" i="0" u="none" strike="noStrike">
              <a:solidFill>
                <a:schemeClr val="dk1"/>
              </a:solidFill>
              <a:effectLst/>
              <a:latin typeface="+mn-lt"/>
              <a:ea typeface="+mn-ea"/>
              <a:cs typeface="+mn-cs"/>
            </a:rPr>
            <a:t>0xED,</a:t>
          </a:r>
          <a:r>
            <a:rPr lang="en-US" altLang="zh-TW"/>
            <a:t> </a:t>
          </a:r>
          <a:r>
            <a:rPr lang="en-US" altLang="zh-TW" sz="1100" b="0" i="0" u="none" strike="noStrike">
              <a:solidFill>
                <a:schemeClr val="dk1"/>
              </a:solidFill>
              <a:effectLst/>
              <a:latin typeface="+mn-lt"/>
              <a:ea typeface="+mn-ea"/>
              <a:cs typeface="+mn-cs"/>
            </a:rPr>
            <a:t>0xEC,</a:t>
          </a:r>
          <a:r>
            <a:rPr lang="en-US" altLang="zh-TW"/>
            <a:t> </a:t>
          </a:r>
          <a:r>
            <a:rPr lang="en-US" altLang="zh-TW" sz="1100" b="0" i="0" u="none" strike="noStrike">
              <a:solidFill>
                <a:schemeClr val="dk1"/>
              </a:solidFill>
              <a:effectLst/>
              <a:latin typeface="+mn-lt"/>
              <a:ea typeface="+mn-ea"/>
              <a:cs typeface="+mn-cs"/>
            </a:rPr>
            <a:t>0xEB,</a:t>
          </a:r>
          <a:r>
            <a:rPr lang="en-US" altLang="zh-TW"/>
            <a:t> </a:t>
          </a:r>
          <a:r>
            <a:rPr lang="en-US" altLang="zh-TW" sz="1100" b="0" i="0" u="none" strike="noStrike">
              <a:solidFill>
                <a:schemeClr val="dk1"/>
              </a:solidFill>
              <a:effectLst/>
              <a:latin typeface="+mn-lt"/>
              <a:ea typeface="+mn-ea"/>
              <a:cs typeface="+mn-cs"/>
            </a:rPr>
            <a:t>0xEA,</a:t>
          </a:r>
          <a:r>
            <a:rPr lang="en-US" altLang="zh-TW"/>
            <a:t> </a:t>
          </a:r>
          <a:r>
            <a:rPr lang="en-US" altLang="zh-TW" sz="1100" b="0" i="0" u="none" strike="noStrike">
              <a:solidFill>
                <a:schemeClr val="dk1"/>
              </a:solidFill>
              <a:effectLst/>
              <a:latin typeface="+mn-lt"/>
              <a:ea typeface="+mn-ea"/>
              <a:cs typeface="+mn-cs"/>
            </a:rPr>
            <a:t>0xE9,</a:t>
          </a:r>
          <a:r>
            <a:rPr lang="en-US" altLang="zh-TW"/>
            <a:t> </a:t>
          </a:r>
          <a:r>
            <a:rPr lang="en-US" altLang="zh-TW" sz="1100" b="0" i="0" u="none" strike="noStrike">
              <a:solidFill>
                <a:schemeClr val="dk1"/>
              </a:solidFill>
              <a:effectLst/>
              <a:latin typeface="+mn-lt"/>
              <a:ea typeface="+mn-ea"/>
              <a:cs typeface="+mn-cs"/>
            </a:rPr>
            <a:t>0xE8,</a:t>
          </a:r>
          <a:r>
            <a:rPr lang="en-US" altLang="zh-TW"/>
            <a:t> </a:t>
          </a:r>
          <a:r>
            <a:rPr lang="en-US" altLang="zh-TW" sz="1100" b="0" i="0" u="none" strike="noStrike">
              <a:solidFill>
                <a:schemeClr val="dk1"/>
              </a:solidFill>
              <a:effectLst/>
              <a:latin typeface="+mn-lt"/>
              <a:ea typeface="+mn-ea"/>
              <a:cs typeface="+mn-cs"/>
            </a:rPr>
            <a:t>0xE7,</a:t>
          </a:r>
          <a:r>
            <a:rPr lang="en-US" altLang="zh-TW"/>
            <a:t> </a:t>
          </a:r>
          <a:r>
            <a:rPr lang="en-US" altLang="zh-TW" sz="1100" b="0" i="0" u="none" strike="noStrike">
              <a:solidFill>
                <a:schemeClr val="dk1"/>
              </a:solidFill>
              <a:effectLst/>
              <a:latin typeface="+mn-lt"/>
              <a:ea typeface="+mn-ea"/>
              <a:cs typeface="+mn-cs"/>
            </a:rPr>
            <a:t>0xE6,</a:t>
          </a:r>
          <a:r>
            <a:rPr lang="en-US" altLang="zh-TW"/>
            <a:t> </a:t>
          </a:r>
          <a:r>
            <a:rPr lang="en-US" altLang="zh-TW" sz="1100" b="0" i="0" u="none" strike="noStrike">
              <a:solidFill>
                <a:schemeClr val="dk1"/>
              </a:solidFill>
              <a:effectLst/>
              <a:latin typeface="+mn-lt"/>
              <a:ea typeface="+mn-ea"/>
              <a:cs typeface="+mn-cs"/>
            </a:rPr>
            <a:t>0xE5,</a:t>
          </a:r>
          <a:r>
            <a:rPr lang="en-US" altLang="zh-TW"/>
            <a:t> </a:t>
          </a:r>
          <a:r>
            <a:rPr lang="en-US" altLang="zh-TW" sz="1100" b="0" i="0" u="none" strike="noStrike">
              <a:solidFill>
                <a:schemeClr val="dk1"/>
              </a:solidFill>
              <a:effectLst/>
              <a:latin typeface="+mn-lt"/>
              <a:ea typeface="+mn-ea"/>
              <a:cs typeface="+mn-cs"/>
            </a:rPr>
            <a:t>0xE4,</a:t>
          </a:r>
          <a:r>
            <a:rPr lang="en-US" altLang="zh-TW"/>
            <a:t> </a:t>
          </a:r>
          <a:r>
            <a:rPr lang="en-US" altLang="zh-TW" sz="1100" b="0" i="0" u="none" strike="noStrike">
              <a:solidFill>
                <a:schemeClr val="dk1"/>
              </a:solidFill>
              <a:effectLst/>
              <a:latin typeface="+mn-lt"/>
              <a:ea typeface="+mn-ea"/>
              <a:cs typeface="+mn-cs"/>
            </a:rPr>
            <a:t>0xE3,</a:t>
          </a:r>
          <a:r>
            <a:rPr lang="en-US" altLang="zh-TW"/>
            <a:t> </a:t>
          </a:r>
          <a:r>
            <a:rPr lang="en-US" altLang="zh-TW" sz="1100" b="0" i="0" u="none" strike="noStrike">
              <a:solidFill>
                <a:schemeClr val="dk1"/>
              </a:solidFill>
              <a:effectLst/>
              <a:latin typeface="+mn-lt"/>
              <a:ea typeface="+mn-ea"/>
              <a:cs typeface="+mn-cs"/>
            </a:rPr>
            <a:t>0xE2,</a:t>
          </a:r>
          <a:r>
            <a:rPr lang="en-US" altLang="zh-TW"/>
            <a:t> </a:t>
          </a:r>
          <a:r>
            <a:rPr lang="en-US" altLang="zh-TW" sz="1100" b="0" i="0" u="none" strike="noStrike">
              <a:solidFill>
                <a:schemeClr val="dk1"/>
              </a:solidFill>
              <a:effectLst/>
              <a:latin typeface="+mn-lt"/>
              <a:ea typeface="+mn-ea"/>
              <a:cs typeface="+mn-cs"/>
            </a:rPr>
            <a:t>0xE1,</a:t>
          </a:r>
          <a:r>
            <a:rPr lang="en-US" altLang="zh-TW"/>
            <a:t> </a:t>
          </a:r>
          <a:r>
            <a:rPr lang="en-US" altLang="zh-TW" sz="1100" b="0" i="0" u="none" strike="noStrike">
              <a:solidFill>
                <a:schemeClr val="dk1"/>
              </a:solidFill>
              <a:effectLst/>
              <a:latin typeface="+mn-lt"/>
              <a:ea typeface="+mn-ea"/>
              <a:cs typeface="+mn-cs"/>
            </a:rPr>
            <a:t>0xE0,</a:t>
          </a:r>
          <a:r>
            <a:rPr lang="en-US" altLang="zh-TW"/>
            <a:t> </a:t>
          </a:r>
          <a:r>
            <a:rPr lang="en-US" altLang="zh-TW" sz="1100" b="0" i="0" u="none" strike="noStrike">
              <a:solidFill>
                <a:schemeClr val="dk1"/>
              </a:solidFill>
              <a:effectLst/>
              <a:latin typeface="+mn-lt"/>
              <a:ea typeface="+mn-ea"/>
              <a:cs typeface="+mn-cs"/>
            </a:rPr>
            <a:t>0xDF,</a:t>
          </a:r>
          <a:r>
            <a:rPr lang="en-US" altLang="zh-TW"/>
            <a:t> </a:t>
          </a:r>
          <a:r>
            <a:rPr lang="en-US" altLang="zh-TW" sz="1100" b="0" i="0" u="none" strike="noStrike">
              <a:solidFill>
                <a:schemeClr val="dk1"/>
              </a:solidFill>
              <a:effectLst/>
              <a:latin typeface="+mn-lt"/>
              <a:ea typeface="+mn-ea"/>
              <a:cs typeface="+mn-cs"/>
            </a:rPr>
            <a:t>0xDE,</a:t>
          </a:r>
          <a:r>
            <a:rPr lang="en-US" altLang="zh-TW"/>
            <a:t> </a:t>
          </a:r>
          <a:r>
            <a:rPr lang="en-US" altLang="zh-TW" sz="1100" b="0" i="0" u="none" strike="noStrike">
              <a:solidFill>
                <a:schemeClr val="dk1"/>
              </a:solidFill>
              <a:effectLst/>
              <a:latin typeface="+mn-lt"/>
              <a:ea typeface="+mn-ea"/>
              <a:cs typeface="+mn-cs"/>
            </a:rPr>
            <a:t>0xDD,</a:t>
          </a:r>
          <a:r>
            <a:rPr lang="en-US" altLang="zh-TW"/>
            <a:t> </a:t>
          </a:r>
          <a:r>
            <a:rPr lang="en-US" altLang="zh-TW" sz="1100" b="0" i="0" u="none" strike="noStrike">
              <a:solidFill>
                <a:schemeClr val="dk1"/>
              </a:solidFill>
              <a:effectLst/>
              <a:latin typeface="+mn-lt"/>
              <a:ea typeface="+mn-ea"/>
              <a:cs typeface="+mn-cs"/>
            </a:rPr>
            <a:t>0xDC,</a:t>
          </a:r>
          <a:r>
            <a:rPr lang="en-US" altLang="zh-TW"/>
            <a:t> </a:t>
          </a:r>
          <a:r>
            <a:rPr lang="en-US" altLang="zh-TW" sz="1100" b="0" i="0" u="none" strike="noStrike">
              <a:solidFill>
                <a:schemeClr val="dk1"/>
              </a:solidFill>
              <a:effectLst/>
              <a:latin typeface="+mn-lt"/>
              <a:ea typeface="+mn-ea"/>
              <a:cs typeface="+mn-cs"/>
            </a:rPr>
            <a:t>0xDB,</a:t>
          </a:r>
          <a:r>
            <a:rPr lang="en-US" altLang="zh-TW"/>
            <a:t> </a:t>
          </a:r>
          <a:r>
            <a:rPr lang="en-US" altLang="zh-TW" sz="1100" b="0" i="0" u="none" strike="noStrike">
              <a:solidFill>
                <a:schemeClr val="dk1"/>
              </a:solidFill>
              <a:effectLst/>
              <a:latin typeface="+mn-lt"/>
              <a:ea typeface="+mn-ea"/>
              <a:cs typeface="+mn-cs"/>
            </a:rPr>
            <a:t>0xDA,</a:t>
          </a:r>
          <a:r>
            <a:rPr lang="en-US" altLang="zh-TW"/>
            <a:t> </a:t>
          </a:r>
          <a:r>
            <a:rPr lang="en-US" altLang="zh-TW" sz="1100" b="0" i="0" u="none" strike="noStrike">
              <a:solidFill>
                <a:schemeClr val="dk1"/>
              </a:solidFill>
              <a:effectLst/>
              <a:latin typeface="+mn-lt"/>
              <a:ea typeface="+mn-ea"/>
              <a:cs typeface="+mn-cs"/>
            </a:rPr>
            <a:t>0xD9,</a:t>
          </a:r>
          <a:r>
            <a:rPr lang="en-US" altLang="zh-TW"/>
            <a:t> </a:t>
          </a:r>
          <a:r>
            <a:rPr lang="en-US" altLang="zh-TW" sz="1100" b="0" i="0" u="none" strike="noStrike">
              <a:solidFill>
                <a:schemeClr val="dk1"/>
              </a:solidFill>
              <a:effectLst/>
              <a:latin typeface="+mn-lt"/>
              <a:ea typeface="+mn-ea"/>
              <a:cs typeface="+mn-cs"/>
            </a:rPr>
            <a:t>0xD8,</a:t>
          </a:r>
          <a:r>
            <a:rPr lang="en-US" altLang="zh-TW"/>
            <a:t> </a:t>
          </a:r>
          <a:r>
            <a:rPr lang="en-US" altLang="zh-TW" sz="1100" b="0" i="0" u="none" strike="noStrike">
              <a:solidFill>
                <a:schemeClr val="dk1"/>
              </a:solidFill>
              <a:effectLst/>
              <a:latin typeface="+mn-lt"/>
              <a:ea typeface="+mn-ea"/>
              <a:cs typeface="+mn-cs"/>
            </a:rPr>
            <a:t>0xD7,</a:t>
          </a:r>
          <a:r>
            <a:rPr lang="en-US" altLang="zh-TW"/>
            <a:t> </a:t>
          </a:r>
          <a:r>
            <a:rPr lang="en-US" altLang="zh-TW" sz="1100" b="0" i="0" u="none" strike="noStrike">
              <a:solidFill>
                <a:schemeClr val="dk1"/>
              </a:solidFill>
              <a:effectLst/>
              <a:latin typeface="+mn-lt"/>
              <a:ea typeface="+mn-ea"/>
              <a:cs typeface="+mn-cs"/>
            </a:rPr>
            <a:t>0xD6,</a:t>
          </a:r>
          <a:r>
            <a:rPr lang="en-US" altLang="zh-TW"/>
            <a:t> </a:t>
          </a:r>
          <a:r>
            <a:rPr lang="en-US" altLang="zh-TW" sz="1100" b="0" i="0" u="none" strike="noStrike">
              <a:solidFill>
                <a:schemeClr val="dk1"/>
              </a:solidFill>
              <a:effectLst/>
              <a:latin typeface="+mn-lt"/>
              <a:ea typeface="+mn-ea"/>
              <a:cs typeface="+mn-cs"/>
            </a:rPr>
            <a:t>0xD5,</a:t>
          </a:r>
          <a:r>
            <a:rPr lang="en-US" altLang="zh-TW"/>
            <a:t> </a:t>
          </a:r>
          <a:r>
            <a:rPr lang="en-US" altLang="zh-TW" sz="1100" b="0" i="0" u="none" strike="noStrike">
              <a:solidFill>
                <a:schemeClr val="dk1"/>
              </a:solidFill>
              <a:effectLst/>
              <a:latin typeface="+mn-lt"/>
              <a:ea typeface="+mn-ea"/>
              <a:cs typeface="+mn-cs"/>
            </a:rPr>
            <a:t>0xD4,</a:t>
          </a:r>
          <a:r>
            <a:rPr lang="en-US" altLang="zh-TW"/>
            <a:t> </a:t>
          </a:r>
          <a:r>
            <a:rPr lang="en-US" altLang="zh-TW" sz="1100" b="0" i="0" u="none" strike="noStrike">
              <a:solidFill>
                <a:schemeClr val="dk1"/>
              </a:solidFill>
              <a:effectLst/>
              <a:latin typeface="+mn-lt"/>
              <a:ea typeface="+mn-ea"/>
              <a:cs typeface="+mn-cs"/>
            </a:rPr>
            <a:t>0xD3,</a:t>
          </a:r>
          <a:r>
            <a:rPr lang="en-US" altLang="zh-TW"/>
            <a:t> </a:t>
          </a:r>
          <a:r>
            <a:rPr lang="en-US" altLang="zh-TW" sz="1100" b="0" i="0" u="none" strike="noStrike">
              <a:solidFill>
                <a:schemeClr val="dk1"/>
              </a:solidFill>
              <a:effectLst/>
              <a:latin typeface="+mn-lt"/>
              <a:ea typeface="+mn-ea"/>
              <a:cs typeface="+mn-cs"/>
            </a:rPr>
            <a:t>0xD2,</a:t>
          </a:r>
          <a:r>
            <a:rPr lang="en-US" altLang="zh-TW"/>
            <a:t> </a:t>
          </a:r>
          <a:r>
            <a:rPr lang="en-US" altLang="zh-TW" sz="1100" b="0" i="0" u="none" strike="noStrike">
              <a:solidFill>
                <a:schemeClr val="dk1"/>
              </a:solidFill>
              <a:effectLst/>
              <a:latin typeface="+mn-lt"/>
              <a:ea typeface="+mn-ea"/>
              <a:cs typeface="+mn-cs"/>
            </a:rPr>
            <a:t>0xD1,</a:t>
          </a:r>
          <a:r>
            <a:rPr lang="en-US" altLang="zh-TW"/>
            <a:t> </a:t>
          </a:r>
          <a:r>
            <a:rPr lang="en-US" altLang="zh-TW" sz="1100" b="0" i="0" u="none" strike="noStrike">
              <a:solidFill>
                <a:schemeClr val="dk1"/>
              </a:solidFill>
              <a:effectLst/>
              <a:latin typeface="+mn-lt"/>
              <a:ea typeface="+mn-ea"/>
              <a:cs typeface="+mn-cs"/>
            </a:rPr>
            <a:t>0xD0,</a:t>
          </a:r>
          <a:r>
            <a:rPr lang="en-US" altLang="zh-TW"/>
            <a:t> </a:t>
          </a:r>
          <a:r>
            <a:rPr lang="en-US" altLang="zh-TW" sz="1100" b="0" i="0" u="none" strike="noStrike">
              <a:solidFill>
                <a:schemeClr val="dk1"/>
              </a:solidFill>
              <a:effectLst/>
              <a:latin typeface="+mn-lt"/>
              <a:ea typeface="+mn-ea"/>
              <a:cs typeface="+mn-cs"/>
            </a:rPr>
            <a:t>0xCF,</a:t>
          </a:r>
          <a:r>
            <a:rPr lang="en-US" altLang="zh-TW"/>
            <a:t> </a:t>
          </a:r>
          <a:r>
            <a:rPr lang="en-US" altLang="zh-TW" sz="1100" b="0" i="0" u="none" strike="noStrike">
              <a:solidFill>
                <a:schemeClr val="dk1"/>
              </a:solidFill>
              <a:effectLst/>
              <a:latin typeface="+mn-lt"/>
              <a:ea typeface="+mn-ea"/>
              <a:cs typeface="+mn-cs"/>
            </a:rPr>
            <a:t>0xCE,</a:t>
          </a:r>
          <a:r>
            <a:rPr lang="en-US" altLang="zh-TW"/>
            <a:t> </a:t>
          </a:r>
          <a:r>
            <a:rPr lang="en-US" altLang="zh-TW" sz="1100" b="0" i="0" u="none" strike="noStrike">
              <a:solidFill>
                <a:schemeClr val="dk1"/>
              </a:solidFill>
              <a:effectLst/>
              <a:latin typeface="+mn-lt"/>
              <a:ea typeface="+mn-ea"/>
              <a:cs typeface="+mn-cs"/>
            </a:rPr>
            <a:t>0xCD,</a:t>
          </a:r>
          <a:r>
            <a:rPr lang="en-US" altLang="zh-TW"/>
            <a:t> </a:t>
          </a:r>
          <a:r>
            <a:rPr lang="en-US" altLang="zh-TW" sz="1100" b="0" i="0" u="none" strike="noStrike">
              <a:solidFill>
                <a:schemeClr val="dk1"/>
              </a:solidFill>
              <a:effectLst/>
              <a:latin typeface="+mn-lt"/>
              <a:ea typeface="+mn-ea"/>
              <a:cs typeface="+mn-cs"/>
            </a:rPr>
            <a:t>0xCC,</a:t>
          </a:r>
          <a:r>
            <a:rPr lang="en-US" altLang="zh-TW"/>
            <a:t> </a:t>
          </a:r>
          <a:r>
            <a:rPr lang="en-US" altLang="zh-TW" sz="1100" b="0" i="0" u="none" strike="noStrike">
              <a:solidFill>
                <a:schemeClr val="dk1"/>
              </a:solidFill>
              <a:effectLst/>
              <a:latin typeface="+mn-lt"/>
              <a:ea typeface="+mn-ea"/>
              <a:cs typeface="+mn-cs"/>
            </a:rPr>
            <a:t>0xCB,</a:t>
          </a:r>
          <a:r>
            <a:rPr lang="en-US" altLang="zh-TW"/>
            <a:t> </a:t>
          </a:r>
          <a:r>
            <a:rPr lang="en-US" altLang="zh-TW" sz="1100" b="0" i="0" u="none" strike="noStrike">
              <a:solidFill>
                <a:schemeClr val="dk1"/>
              </a:solidFill>
              <a:effectLst/>
              <a:latin typeface="+mn-lt"/>
              <a:ea typeface="+mn-ea"/>
              <a:cs typeface="+mn-cs"/>
            </a:rPr>
            <a:t>0xCA,</a:t>
          </a:r>
          <a:r>
            <a:rPr lang="en-US" altLang="zh-TW"/>
            <a:t> </a:t>
          </a:r>
          <a:r>
            <a:rPr lang="en-US" altLang="zh-TW" sz="1100" b="0" i="0" u="none" strike="noStrike">
              <a:solidFill>
                <a:schemeClr val="dk1"/>
              </a:solidFill>
              <a:effectLst/>
              <a:latin typeface="+mn-lt"/>
              <a:ea typeface="+mn-ea"/>
              <a:cs typeface="+mn-cs"/>
            </a:rPr>
            <a:t>0xC9,</a:t>
          </a:r>
          <a:r>
            <a:rPr lang="en-US" altLang="zh-TW"/>
            <a:t> </a:t>
          </a:r>
          <a:r>
            <a:rPr lang="en-US" altLang="zh-TW" sz="1100" b="0" i="0" u="none" strike="noStrike">
              <a:solidFill>
                <a:schemeClr val="dk1"/>
              </a:solidFill>
              <a:effectLst/>
              <a:latin typeface="+mn-lt"/>
              <a:ea typeface="+mn-ea"/>
              <a:cs typeface="+mn-cs"/>
            </a:rPr>
            <a:t>0xC8,</a:t>
          </a:r>
          <a:r>
            <a:rPr lang="en-US" altLang="zh-TW"/>
            <a:t> </a:t>
          </a:r>
          <a:r>
            <a:rPr lang="en-US" altLang="zh-TW" sz="1100" b="0" i="0" u="none" strike="noStrike">
              <a:solidFill>
                <a:schemeClr val="dk1"/>
              </a:solidFill>
              <a:effectLst/>
              <a:latin typeface="+mn-lt"/>
              <a:ea typeface="+mn-ea"/>
              <a:cs typeface="+mn-cs"/>
            </a:rPr>
            <a:t>0xC7,</a:t>
          </a:r>
          <a:r>
            <a:rPr lang="en-US" altLang="zh-TW"/>
            <a:t> </a:t>
          </a:r>
          <a:r>
            <a:rPr lang="en-US" altLang="zh-TW" sz="1100" b="0" i="0" u="none" strike="noStrike">
              <a:solidFill>
                <a:schemeClr val="dk1"/>
              </a:solidFill>
              <a:effectLst/>
              <a:latin typeface="+mn-lt"/>
              <a:ea typeface="+mn-ea"/>
              <a:cs typeface="+mn-cs"/>
            </a:rPr>
            <a:t>0xC6,</a:t>
          </a:r>
          <a:r>
            <a:rPr lang="en-US" altLang="zh-TW"/>
            <a:t> </a:t>
          </a:r>
          <a:r>
            <a:rPr lang="en-US" altLang="zh-TW" sz="1100" b="0" i="0" u="none" strike="noStrike">
              <a:solidFill>
                <a:schemeClr val="dk1"/>
              </a:solidFill>
              <a:effectLst/>
              <a:latin typeface="+mn-lt"/>
              <a:ea typeface="+mn-ea"/>
              <a:cs typeface="+mn-cs"/>
            </a:rPr>
            <a:t>0xC5,</a:t>
          </a:r>
          <a:r>
            <a:rPr lang="en-US" altLang="zh-TW"/>
            <a:t> </a:t>
          </a:r>
          <a:r>
            <a:rPr lang="en-US" altLang="zh-TW" sz="1100" b="0" i="0" u="none" strike="noStrike">
              <a:solidFill>
                <a:schemeClr val="dk1"/>
              </a:solidFill>
              <a:effectLst/>
              <a:latin typeface="+mn-lt"/>
              <a:ea typeface="+mn-ea"/>
              <a:cs typeface="+mn-cs"/>
            </a:rPr>
            <a:t>0xC4,</a:t>
          </a:r>
          <a:r>
            <a:rPr lang="en-US" altLang="zh-TW"/>
            <a:t> </a:t>
          </a:r>
          <a:r>
            <a:rPr lang="en-US" altLang="zh-TW" sz="1100" b="0" i="0" u="none" strike="noStrike">
              <a:solidFill>
                <a:schemeClr val="dk1"/>
              </a:solidFill>
              <a:effectLst/>
              <a:latin typeface="+mn-lt"/>
              <a:ea typeface="+mn-ea"/>
              <a:cs typeface="+mn-cs"/>
            </a:rPr>
            <a:t>0xC3,</a:t>
          </a:r>
          <a:r>
            <a:rPr lang="en-US" altLang="zh-TW"/>
            <a:t> </a:t>
          </a:r>
          <a:r>
            <a:rPr lang="en-US" altLang="zh-TW" sz="1100" b="0" i="0" u="none" strike="noStrike">
              <a:solidFill>
                <a:schemeClr val="dk1"/>
              </a:solidFill>
              <a:effectLst/>
              <a:latin typeface="+mn-lt"/>
              <a:ea typeface="+mn-ea"/>
              <a:cs typeface="+mn-cs"/>
            </a:rPr>
            <a:t>0xC2,</a:t>
          </a:r>
          <a:r>
            <a:rPr lang="en-US" altLang="zh-TW"/>
            <a:t> </a:t>
          </a:r>
          <a:r>
            <a:rPr lang="en-US" altLang="zh-TW" sz="1100" b="0" i="0" u="none" strike="noStrike">
              <a:solidFill>
                <a:schemeClr val="dk1"/>
              </a:solidFill>
              <a:effectLst/>
              <a:latin typeface="+mn-lt"/>
              <a:ea typeface="+mn-ea"/>
              <a:cs typeface="+mn-cs"/>
            </a:rPr>
            <a:t>0xC1,</a:t>
          </a:r>
          <a:r>
            <a:rPr lang="en-US" altLang="zh-TW"/>
            <a:t> </a:t>
          </a:r>
          <a:r>
            <a:rPr lang="en-US" altLang="zh-TW" sz="1100" b="0" i="0" u="none" strike="noStrike">
              <a:solidFill>
                <a:schemeClr val="dk1"/>
              </a:solidFill>
              <a:effectLst/>
              <a:latin typeface="+mn-lt"/>
              <a:ea typeface="+mn-ea"/>
              <a:cs typeface="+mn-cs"/>
            </a:rPr>
            <a:t>0xC0,</a:t>
          </a:r>
          <a:r>
            <a:rPr lang="en-US" altLang="zh-TW"/>
            <a:t> </a:t>
          </a:r>
          <a:r>
            <a:rPr lang="en-US" altLang="zh-TW" sz="1100" b="0" i="0" u="none" strike="noStrike">
              <a:solidFill>
                <a:schemeClr val="dk1"/>
              </a:solidFill>
              <a:effectLst/>
              <a:latin typeface="+mn-lt"/>
              <a:ea typeface="+mn-ea"/>
              <a:cs typeface="+mn-cs"/>
            </a:rPr>
            <a:t>0xBF,</a:t>
          </a:r>
          <a:r>
            <a:rPr lang="en-US" altLang="zh-TW"/>
            <a:t> </a:t>
          </a:r>
          <a:r>
            <a:rPr lang="en-US" altLang="zh-TW" sz="1100" b="0" i="0" u="none" strike="noStrike">
              <a:solidFill>
                <a:schemeClr val="dk1"/>
              </a:solidFill>
              <a:effectLst/>
              <a:latin typeface="+mn-lt"/>
              <a:ea typeface="+mn-ea"/>
              <a:cs typeface="+mn-cs"/>
            </a:rPr>
            <a:t>0xBE,</a:t>
          </a:r>
          <a:r>
            <a:rPr lang="en-US" altLang="zh-TW"/>
            <a:t> </a:t>
          </a:r>
          <a:r>
            <a:rPr lang="en-US" altLang="zh-TW" sz="1100" b="0" i="0" u="none" strike="noStrike">
              <a:solidFill>
                <a:schemeClr val="dk1"/>
              </a:solidFill>
              <a:effectLst/>
              <a:latin typeface="+mn-lt"/>
              <a:ea typeface="+mn-ea"/>
              <a:cs typeface="+mn-cs"/>
            </a:rPr>
            <a:t>0xBD,</a:t>
          </a:r>
          <a:r>
            <a:rPr lang="en-US" altLang="zh-TW"/>
            <a:t> </a:t>
          </a:r>
          <a:r>
            <a:rPr lang="en-US" altLang="zh-TW" sz="1100" b="0" i="0" u="none" strike="noStrike">
              <a:solidFill>
                <a:schemeClr val="dk1"/>
              </a:solidFill>
              <a:effectLst/>
              <a:latin typeface="+mn-lt"/>
              <a:ea typeface="+mn-ea"/>
              <a:cs typeface="+mn-cs"/>
            </a:rPr>
            <a:t>0xBC,</a:t>
          </a:r>
          <a:r>
            <a:rPr lang="en-US" altLang="zh-TW"/>
            <a:t> </a:t>
          </a:r>
          <a:r>
            <a:rPr lang="en-US" altLang="zh-TW" sz="1100" b="0" i="0" u="none" strike="noStrike">
              <a:solidFill>
                <a:schemeClr val="dk1"/>
              </a:solidFill>
              <a:effectLst/>
              <a:latin typeface="+mn-lt"/>
              <a:ea typeface="+mn-ea"/>
              <a:cs typeface="+mn-cs"/>
            </a:rPr>
            <a:t>0xBB,</a:t>
          </a:r>
          <a:r>
            <a:rPr lang="en-US" altLang="zh-TW"/>
            <a:t> </a:t>
          </a:r>
          <a:r>
            <a:rPr lang="en-US" altLang="zh-TW" sz="1100" b="0" i="0" u="none" strike="noStrike">
              <a:solidFill>
                <a:schemeClr val="dk1"/>
              </a:solidFill>
              <a:effectLst/>
              <a:latin typeface="+mn-lt"/>
              <a:ea typeface="+mn-ea"/>
              <a:cs typeface="+mn-cs"/>
            </a:rPr>
            <a:t>0xBA,</a:t>
          </a:r>
          <a:r>
            <a:rPr lang="en-US" altLang="zh-TW"/>
            <a:t> </a:t>
          </a:r>
          <a:r>
            <a:rPr lang="en-US" altLang="zh-TW" sz="1100" b="0" i="0" u="none" strike="noStrike">
              <a:solidFill>
                <a:schemeClr val="dk1"/>
              </a:solidFill>
              <a:effectLst/>
              <a:latin typeface="+mn-lt"/>
              <a:ea typeface="+mn-ea"/>
              <a:cs typeface="+mn-cs"/>
            </a:rPr>
            <a:t>0xB9,</a:t>
          </a:r>
          <a:r>
            <a:rPr lang="en-US" altLang="zh-TW"/>
            <a:t> </a:t>
          </a:r>
          <a:r>
            <a:rPr lang="en-US" altLang="zh-TW" sz="1100" b="0" i="0" u="none" strike="noStrike">
              <a:solidFill>
                <a:schemeClr val="dk1"/>
              </a:solidFill>
              <a:effectLst/>
              <a:latin typeface="+mn-lt"/>
              <a:ea typeface="+mn-ea"/>
              <a:cs typeface="+mn-cs"/>
            </a:rPr>
            <a:t>0xB8,</a:t>
          </a:r>
          <a:r>
            <a:rPr lang="en-US" altLang="zh-TW"/>
            <a:t> </a:t>
          </a:r>
          <a:r>
            <a:rPr lang="en-US" altLang="zh-TW" sz="1100" b="0" i="0" u="none" strike="noStrike">
              <a:solidFill>
                <a:schemeClr val="dk1"/>
              </a:solidFill>
              <a:effectLst/>
              <a:latin typeface="+mn-lt"/>
              <a:ea typeface="+mn-ea"/>
              <a:cs typeface="+mn-cs"/>
            </a:rPr>
            <a:t>0xB7,</a:t>
          </a:r>
          <a:r>
            <a:rPr lang="en-US" altLang="zh-TW"/>
            <a:t> </a:t>
          </a:r>
          <a:r>
            <a:rPr lang="en-US" altLang="zh-TW" sz="1100" b="0" i="0" u="none" strike="noStrike">
              <a:solidFill>
                <a:schemeClr val="dk1"/>
              </a:solidFill>
              <a:effectLst/>
              <a:latin typeface="+mn-lt"/>
              <a:ea typeface="+mn-ea"/>
              <a:cs typeface="+mn-cs"/>
            </a:rPr>
            <a:t>0xB6,</a:t>
          </a:r>
          <a:r>
            <a:rPr lang="en-US" altLang="zh-TW"/>
            <a:t> </a:t>
          </a:r>
          <a:r>
            <a:rPr lang="en-US" altLang="zh-TW" sz="1100" b="0" i="0" u="none" strike="noStrike">
              <a:solidFill>
                <a:schemeClr val="dk1"/>
              </a:solidFill>
              <a:effectLst/>
              <a:latin typeface="+mn-lt"/>
              <a:ea typeface="+mn-ea"/>
              <a:cs typeface="+mn-cs"/>
            </a:rPr>
            <a:t>0xB5,</a:t>
          </a:r>
          <a:r>
            <a:rPr lang="en-US" altLang="zh-TW"/>
            <a:t> </a:t>
          </a:r>
          <a:r>
            <a:rPr lang="en-US" altLang="zh-TW" sz="1100" b="0" i="0" u="none" strike="noStrike">
              <a:solidFill>
                <a:schemeClr val="dk1"/>
              </a:solidFill>
              <a:effectLst/>
              <a:latin typeface="+mn-lt"/>
              <a:ea typeface="+mn-ea"/>
              <a:cs typeface="+mn-cs"/>
            </a:rPr>
            <a:t>0xB4,</a:t>
          </a:r>
          <a:r>
            <a:rPr lang="en-US" altLang="zh-TW"/>
            <a:t> </a:t>
          </a:r>
          <a:r>
            <a:rPr lang="en-US" altLang="zh-TW" sz="1100" b="0" i="0" u="none" strike="noStrike">
              <a:solidFill>
                <a:schemeClr val="dk1"/>
              </a:solidFill>
              <a:effectLst/>
              <a:latin typeface="+mn-lt"/>
              <a:ea typeface="+mn-ea"/>
              <a:cs typeface="+mn-cs"/>
            </a:rPr>
            <a:t>0xB3,</a:t>
          </a:r>
          <a:r>
            <a:rPr lang="en-US" altLang="zh-TW"/>
            <a:t> </a:t>
          </a:r>
          <a:r>
            <a:rPr lang="en-US" altLang="zh-TW" sz="1100" b="0" i="0" u="none" strike="noStrike">
              <a:solidFill>
                <a:schemeClr val="dk1"/>
              </a:solidFill>
              <a:effectLst/>
              <a:latin typeface="+mn-lt"/>
              <a:ea typeface="+mn-ea"/>
              <a:cs typeface="+mn-cs"/>
            </a:rPr>
            <a:t>0xB2,</a:t>
          </a:r>
          <a:r>
            <a:rPr lang="en-US" altLang="zh-TW"/>
            <a:t> </a:t>
          </a:r>
          <a:r>
            <a:rPr lang="en-US" altLang="zh-TW" sz="1100" b="0" i="0" u="none" strike="noStrike">
              <a:solidFill>
                <a:schemeClr val="dk1"/>
              </a:solidFill>
              <a:effectLst/>
              <a:latin typeface="+mn-lt"/>
              <a:ea typeface="+mn-ea"/>
              <a:cs typeface="+mn-cs"/>
            </a:rPr>
            <a:t>0xB1,</a:t>
          </a:r>
          <a:r>
            <a:rPr lang="en-US" altLang="zh-TW"/>
            <a:t> </a:t>
          </a:r>
          <a:r>
            <a:rPr lang="en-US" altLang="zh-TW" sz="1100" b="0" i="0" u="none" strike="noStrike">
              <a:solidFill>
                <a:schemeClr val="dk1"/>
              </a:solidFill>
              <a:effectLst/>
              <a:latin typeface="+mn-lt"/>
              <a:ea typeface="+mn-ea"/>
              <a:cs typeface="+mn-cs"/>
            </a:rPr>
            <a:t>0xB0,</a:t>
          </a:r>
          <a:r>
            <a:rPr lang="en-US" altLang="zh-TW"/>
            <a:t> </a:t>
          </a:r>
          <a:r>
            <a:rPr lang="en-US" altLang="zh-TW" sz="1100" b="0" i="0" u="none" strike="noStrike">
              <a:solidFill>
                <a:schemeClr val="dk1"/>
              </a:solidFill>
              <a:effectLst/>
              <a:latin typeface="+mn-lt"/>
              <a:ea typeface="+mn-ea"/>
              <a:cs typeface="+mn-cs"/>
            </a:rPr>
            <a:t>0xAF,</a:t>
          </a:r>
          <a:r>
            <a:rPr lang="en-US" altLang="zh-TW"/>
            <a:t> </a:t>
          </a:r>
          <a:r>
            <a:rPr lang="en-US" altLang="zh-TW" sz="1100" b="0" i="0" u="none" strike="noStrike">
              <a:solidFill>
                <a:schemeClr val="dk1"/>
              </a:solidFill>
              <a:effectLst/>
              <a:latin typeface="+mn-lt"/>
              <a:ea typeface="+mn-ea"/>
              <a:cs typeface="+mn-cs"/>
            </a:rPr>
            <a:t>0xAE,</a:t>
          </a:r>
          <a:r>
            <a:rPr lang="en-US" altLang="zh-TW"/>
            <a:t> </a:t>
          </a:r>
          <a:r>
            <a:rPr lang="en-US" altLang="zh-TW" sz="1100" b="0" i="0" u="none" strike="noStrike">
              <a:solidFill>
                <a:schemeClr val="dk1"/>
              </a:solidFill>
              <a:effectLst/>
              <a:latin typeface="+mn-lt"/>
              <a:ea typeface="+mn-ea"/>
              <a:cs typeface="+mn-cs"/>
            </a:rPr>
            <a:t>0xAD,</a:t>
          </a:r>
          <a:r>
            <a:rPr lang="en-US" altLang="zh-TW"/>
            <a:t> </a:t>
          </a:r>
          <a:r>
            <a:rPr lang="en-US" altLang="zh-TW" sz="1100" b="0" i="0" u="none" strike="noStrike">
              <a:solidFill>
                <a:schemeClr val="dk1"/>
              </a:solidFill>
              <a:effectLst/>
              <a:latin typeface="+mn-lt"/>
              <a:ea typeface="+mn-ea"/>
              <a:cs typeface="+mn-cs"/>
            </a:rPr>
            <a:t>0xAC,</a:t>
          </a:r>
          <a:r>
            <a:rPr lang="en-US" altLang="zh-TW"/>
            <a:t> </a:t>
          </a:r>
          <a:r>
            <a:rPr lang="en-US" altLang="zh-TW" sz="1100" b="0" i="0" u="none" strike="noStrike">
              <a:solidFill>
                <a:schemeClr val="dk1"/>
              </a:solidFill>
              <a:effectLst/>
              <a:latin typeface="+mn-lt"/>
              <a:ea typeface="+mn-ea"/>
              <a:cs typeface="+mn-cs"/>
            </a:rPr>
            <a:t>0xAB,</a:t>
          </a:r>
          <a:r>
            <a:rPr lang="en-US" altLang="zh-TW"/>
            <a:t> </a:t>
          </a:r>
          <a:r>
            <a:rPr lang="en-US" altLang="zh-TW" sz="1100" b="0" i="0" u="none" strike="noStrike">
              <a:solidFill>
                <a:schemeClr val="dk1"/>
              </a:solidFill>
              <a:effectLst/>
              <a:latin typeface="+mn-lt"/>
              <a:ea typeface="+mn-ea"/>
              <a:cs typeface="+mn-cs"/>
            </a:rPr>
            <a:t>0xAA,</a:t>
          </a:r>
          <a:r>
            <a:rPr lang="en-US" altLang="zh-TW"/>
            <a:t> </a:t>
          </a:r>
          <a:r>
            <a:rPr lang="en-US" altLang="zh-TW" sz="1100" b="0" i="0" u="none" strike="noStrike">
              <a:solidFill>
                <a:schemeClr val="dk1"/>
              </a:solidFill>
              <a:effectLst/>
              <a:latin typeface="+mn-lt"/>
              <a:ea typeface="+mn-ea"/>
              <a:cs typeface="+mn-cs"/>
            </a:rPr>
            <a:t>0xA9,</a:t>
          </a:r>
          <a:r>
            <a:rPr lang="en-US" altLang="zh-TW"/>
            <a:t> </a:t>
          </a:r>
          <a:r>
            <a:rPr lang="en-US" altLang="zh-TW" sz="1100" b="0" i="0" u="none" strike="noStrike">
              <a:solidFill>
                <a:schemeClr val="dk1"/>
              </a:solidFill>
              <a:effectLst/>
              <a:latin typeface="+mn-lt"/>
              <a:ea typeface="+mn-ea"/>
              <a:cs typeface="+mn-cs"/>
            </a:rPr>
            <a:t>0xA8,</a:t>
          </a:r>
          <a:r>
            <a:rPr lang="en-US" altLang="zh-TW"/>
            <a:t> </a:t>
          </a:r>
          <a:r>
            <a:rPr lang="en-US" altLang="zh-TW" sz="1100" b="0" i="0" u="none" strike="noStrike">
              <a:solidFill>
                <a:schemeClr val="dk1"/>
              </a:solidFill>
              <a:effectLst/>
              <a:latin typeface="+mn-lt"/>
              <a:ea typeface="+mn-ea"/>
              <a:cs typeface="+mn-cs"/>
            </a:rPr>
            <a:t>0xA7,</a:t>
          </a:r>
          <a:r>
            <a:rPr lang="en-US" altLang="zh-TW"/>
            <a:t> </a:t>
          </a:r>
          <a:r>
            <a:rPr lang="en-US" altLang="zh-TW" sz="1100" b="0" i="0" u="none" strike="noStrike">
              <a:solidFill>
                <a:schemeClr val="dk1"/>
              </a:solidFill>
              <a:effectLst/>
              <a:latin typeface="+mn-lt"/>
              <a:ea typeface="+mn-ea"/>
              <a:cs typeface="+mn-cs"/>
            </a:rPr>
            <a:t>0xA6,</a:t>
          </a:r>
          <a:r>
            <a:rPr lang="en-US" altLang="zh-TW"/>
            <a:t> </a:t>
          </a:r>
          <a:r>
            <a:rPr lang="en-US" altLang="zh-TW" sz="1100" b="0" i="0" u="none" strike="noStrike">
              <a:solidFill>
                <a:schemeClr val="dk1"/>
              </a:solidFill>
              <a:effectLst/>
              <a:latin typeface="+mn-lt"/>
              <a:ea typeface="+mn-ea"/>
              <a:cs typeface="+mn-cs"/>
            </a:rPr>
            <a:t>0xA5,</a:t>
          </a:r>
          <a:r>
            <a:rPr lang="en-US" altLang="zh-TW"/>
            <a:t> </a:t>
          </a:r>
          <a:r>
            <a:rPr lang="en-US" altLang="zh-TW" sz="1100" b="0" i="0" u="none" strike="noStrike">
              <a:solidFill>
                <a:schemeClr val="dk1"/>
              </a:solidFill>
              <a:effectLst/>
              <a:latin typeface="+mn-lt"/>
              <a:ea typeface="+mn-ea"/>
              <a:cs typeface="+mn-cs"/>
            </a:rPr>
            <a:t>0xA4,</a:t>
          </a:r>
          <a:r>
            <a:rPr lang="en-US" altLang="zh-TW"/>
            <a:t> </a:t>
          </a:r>
          <a:r>
            <a:rPr lang="en-US" altLang="zh-TW" sz="1100" b="0" i="0" u="none" strike="noStrike">
              <a:solidFill>
                <a:schemeClr val="dk1"/>
              </a:solidFill>
              <a:effectLst/>
              <a:latin typeface="+mn-lt"/>
              <a:ea typeface="+mn-ea"/>
              <a:cs typeface="+mn-cs"/>
            </a:rPr>
            <a:t>0xA3,</a:t>
          </a:r>
          <a:r>
            <a:rPr lang="en-US" altLang="zh-TW"/>
            <a:t> </a:t>
          </a:r>
          <a:r>
            <a:rPr lang="en-US" altLang="zh-TW" sz="1100" b="0" i="0" u="none" strike="noStrike">
              <a:solidFill>
                <a:schemeClr val="dk1"/>
              </a:solidFill>
              <a:effectLst/>
              <a:latin typeface="+mn-lt"/>
              <a:ea typeface="+mn-ea"/>
              <a:cs typeface="+mn-cs"/>
            </a:rPr>
            <a:t>0xA2,</a:t>
          </a:r>
          <a:r>
            <a:rPr lang="en-US" altLang="zh-TW"/>
            <a:t> </a:t>
          </a:r>
          <a:r>
            <a:rPr lang="en-US" altLang="zh-TW" sz="1100" b="0" i="0" u="none" strike="noStrike">
              <a:solidFill>
                <a:schemeClr val="dk1"/>
              </a:solidFill>
              <a:effectLst/>
              <a:latin typeface="+mn-lt"/>
              <a:ea typeface="+mn-ea"/>
              <a:cs typeface="+mn-cs"/>
            </a:rPr>
            <a:t>0xA1,</a:t>
          </a:r>
          <a:r>
            <a:rPr lang="en-US" altLang="zh-TW"/>
            <a:t> </a:t>
          </a:r>
          <a:r>
            <a:rPr lang="en-US" altLang="zh-TW" sz="1100" b="0" i="0" u="none" strike="noStrike">
              <a:solidFill>
                <a:schemeClr val="dk1"/>
              </a:solidFill>
              <a:effectLst/>
              <a:latin typeface="+mn-lt"/>
              <a:ea typeface="+mn-ea"/>
              <a:cs typeface="+mn-cs"/>
            </a:rPr>
            <a:t>0xA0,</a:t>
          </a:r>
          <a:r>
            <a:rPr lang="en-US" altLang="zh-TW"/>
            <a:t> </a:t>
          </a:r>
          <a:r>
            <a:rPr lang="en-US" altLang="zh-TW" sz="1100" b="0" i="0" u="none" strike="noStrike">
              <a:solidFill>
                <a:schemeClr val="dk1"/>
              </a:solidFill>
              <a:effectLst/>
              <a:latin typeface="+mn-lt"/>
              <a:ea typeface="+mn-ea"/>
              <a:cs typeface="+mn-cs"/>
            </a:rPr>
            <a:t>0x9F,</a:t>
          </a:r>
          <a:r>
            <a:rPr lang="en-US" altLang="zh-TW"/>
            <a:t> </a:t>
          </a:r>
          <a:r>
            <a:rPr lang="en-US" altLang="zh-TW" sz="1100" b="0" i="0" u="none" strike="noStrike">
              <a:solidFill>
                <a:schemeClr val="dk1"/>
              </a:solidFill>
              <a:effectLst/>
              <a:latin typeface="+mn-lt"/>
              <a:ea typeface="+mn-ea"/>
              <a:cs typeface="+mn-cs"/>
            </a:rPr>
            <a:t>0x9E,</a:t>
          </a:r>
          <a:r>
            <a:rPr lang="en-US" altLang="zh-TW"/>
            <a:t> </a:t>
          </a:r>
          <a:r>
            <a:rPr lang="en-US" altLang="zh-TW" sz="1100" b="0" i="0" u="none" strike="noStrike">
              <a:solidFill>
                <a:schemeClr val="dk1"/>
              </a:solidFill>
              <a:effectLst/>
              <a:latin typeface="+mn-lt"/>
              <a:ea typeface="+mn-ea"/>
              <a:cs typeface="+mn-cs"/>
            </a:rPr>
            <a:t>0x9D,</a:t>
          </a:r>
          <a:r>
            <a:rPr lang="en-US" altLang="zh-TW"/>
            <a:t> </a:t>
          </a:r>
          <a:r>
            <a:rPr lang="en-US" altLang="zh-TW" sz="1100" b="0" i="0" u="none" strike="noStrike">
              <a:solidFill>
                <a:schemeClr val="dk1"/>
              </a:solidFill>
              <a:effectLst/>
              <a:latin typeface="+mn-lt"/>
              <a:ea typeface="+mn-ea"/>
              <a:cs typeface="+mn-cs"/>
            </a:rPr>
            <a:t>0x9C,</a:t>
          </a:r>
          <a:r>
            <a:rPr lang="en-US" altLang="zh-TW"/>
            <a:t> </a:t>
          </a:r>
          <a:r>
            <a:rPr lang="en-US" altLang="zh-TW" sz="1100" b="0" i="0" u="none" strike="noStrike">
              <a:solidFill>
                <a:schemeClr val="dk1"/>
              </a:solidFill>
              <a:effectLst/>
              <a:latin typeface="+mn-lt"/>
              <a:ea typeface="+mn-ea"/>
              <a:cs typeface="+mn-cs"/>
            </a:rPr>
            <a:t>0x9B,</a:t>
          </a:r>
          <a:r>
            <a:rPr lang="en-US" altLang="zh-TW"/>
            <a:t> </a:t>
          </a:r>
          <a:r>
            <a:rPr lang="en-US" altLang="zh-TW" sz="1100" b="0" i="0" u="none" strike="noStrike">
              <a:solidFill>
                <a:schemeClr val="dk1"/>
              </a:solidFill>
              <a:effectLst/>
              <a:latin typeface="+mn-lt"/>
              <a:ea typeface="+mn-ea"/>
              <a:cs typeface="+mn-cs"/>
            </a:rPr>
            <a:t>0x9A,</a:t>
          </a:r>
          <a:r>
            <a:rPr lang="en-US" altLang="zh-TW"/>
            <a:t> </a:t>
          </a:r>
          <a:r>
            <a:rPr lang="en-US" altLang="zh-TW" sz="1100" b="0" i="0" u="none" strike="noStrike">
              <a:solidFill>
                <a:schemeClr val="dk1"/>
              </a:solidFill>
              <a:effectLst/>
              <a:latin typeface="+mn-lt"/>
              <a:ea typeface="+mn-ea"/>
              <a:cs typeface="+mn-cs"/>
            </a:rPr>
            <a:t>0x99,</a:t>
          </a:r>
          <a:r>
            <a:rPr lang="en-US" altLang="zh-TW"/>
            <a:t> </a:t>
          </a:r>
          <a:r>
            <a:rPr lang="en-US" altLang="zh-TW" sz="1100" b="0" i="0" u="none" strike="noStrike">
              <a:solidFill>
                <a:schemeClr val="dk1"/>
              </a:solidFill>
              <a:effectLst/>
              <a:latin typeface="+mn-lt"/>
              <a:ea typeface="+mn-ea"/>
              <a:cs typeface="+mn-cs"/>
            </a:rPr>
            <a:t>0x98,</a:t>
          </a:r>
          <a:r>
            <a:rPr lang="en-US" altLang="zh-TW"/>
            <a:t> </a:t>
          </a:r>
          <a:r>
            <a:rPr lang="en-US" altLang="zh-TW" sz="1100" b="0" i="0" u="none" strike="noStrike">
              <a:solidFill>
                <a:schemeClr val="dk1"/>
              </a:solidFill>
              <a:effectLst/>
              <a:latin typeface="+mn-lt"/>
              <a:ea typeface="+mn-ea"/>
              <a:cs typeface="+mn-cs"/>
            </a:rPr>
            <a:t>0x97,</a:t>
          </a:r>
          <a:r>
            <a:rPr lang="en-US" altLang="zh-TW"/>
            <a:t> </a:t>
          </a:r>
          <a:r>
            <a:rPr lang="en-US" altLang="zh-TW" sz="1100" b="0" i="0" u="none" strike="noStrike">
              <a:solidFill>
                <a:schemeClr val="dk1"/>
              </a:solidFill>
              <a:effectLst/>
              <a:latin typeface="+mn-lt"/>
              <a:ea typeface="+mn-ea"/>
              <a:cs typeface="+mn-cs"/>
            </a:rPr>
            <a:t>0x96,</a:t>
          </a:r>
          <a:r>
            <a:rPr lang="en-US" altLang="zh-TW"/>
            <a:t> </a:t>
          </a:r>
          <a:r>
            <a:rPr lang="en-US" altLang="zh-TW" sz="1100" b="0" i="0" u="none" strike="noStrike">
              <a:solidFill>
                <a:schemeClr val="dk1"/>
              </a:solidFill>
              <a:effectLst/>
              <a:latin typeface="+mn-lt"/>
              <a:ea typeface="+mn-ea"/>
              <a:cs typeface="+mn-cs"/>
            </a:rPr>
            <a:t>0x95,</a:t>
          </a:r>
          <a:r>
            <a:rPr lang="en-US" altLang="zh-TW"/>
            <a:t> </a:t>
          </a:r>
          <a:r>
            <a:rPr lang="en-US" altLang="zh-TW" sz="1100" b="0" i="0" u="none" strike="noStrike">
              <a:solidFill>
                <a:schemeClr val="dk1"/>
              </a:solidFill>
              <a:effectLst/>
              <a:latin typeface="+mn-lt"/>
              <a:ea typeface="+mn-ea"/>
              <a:cs typeface="+mn-cs"/>
            </a:rPr>
            <a:t>0x94,</a:t>
          </a:r>
          <a:r>
            <a:rPr lang="en-US" altLang="zh-TW"/>
            <a:t> </a:t>
          </a:r>
          <a:r>
            <a:rPr lang="en-US" altLang="zh-TW" sz="1100" b="0" i="0" u="none" strike="noStrike">
              <a:solidFill>
                <a:schemeClr val="dk1"/>
              </a:solidFill>
              <a:effectLst/>
              <a:latin typeface="+mn-lt"/>
              <a:ea typeface="+mn-ea"/>
              <a:cs typeface="+mn-cs"/>
            </a:rPr>
            <a:t>0x93,</a:t>
          </a:r>
          <a:r>
            <a:rPr lang="en-US" altLang="zh-TW"/>
            <a:t> </a:t>
          </a:r>
          <a:r>
            <a:rPr lang="en-US" altLang="zh-TW" sz="1100" b="0" i="0" u="none" strike="noStrike">
              <a:solidFill>
                <a:schemeClr val="dk1"/>
              </a:solidFill>
              <a:effectLst/>
              <a:latin typeface="+mn-lt"/>
              <a:ea typeface="+mn-ea"/>
              <a:cs typeface="+mn-cs"/>
            </a:rPr>
            <a:t>0x92,</a:t>
          </a:r>
          <a:r>
            <a:rPr lang="en-US" altLang="zh-TW"/>
            <a:t> </a:t>
          </a:r>
          <a:r>
            <a:rPr lang="en-US" altLang="zh-TW" sz="1100" b="0" i="0" u="none" strike="noStrike">
              <a:solidFill>
                <a:schemeClr val="dk1"/>
              </a:solidFill>
              <a:effectLst/>
              <a:latin typeface="+mn-lt"/>
              <a:ea typeface="+mn-ea"/>
              <a:cs typeface="+mn-cs"/>
            </a:rPr>
            <a:t>0x91,</a:t>
          </a:r>
          <a:r>
            <a:rPr lang="en-US" altLang="zh-TW"/>
            <a:t> </a:t>
          </a:r>
          <a:r>
            <a:rPr lang="en-US" altLang="zh-TW" sz="1100" b="0" i="0" u="none" strike="noStrike">
              <a:solidFill>
                <a:schemeClr val="dk1"/>
              </a:solidFill>
              <a:effectLst/>
              <a:latin typeface="+mn-lt"/>
              <a:ea typeface="+mn-ea"/>
              <a:cs typeface="+mn-cs"/>
            </a:rPr>
            <a:t>0x90,</a:t>
          </a:r>
          <a:r>
            <a:rPr lang="en-US" altLang="zh-TW"/>
            <a:t> </a:t>
          </a:r>
          <a:r>
            <a:rPr lang="en-US" altLang="zh-TW" sz="1100" b="0" i="0" u="none" strike="noStrike">
              <a:solidFill>
                <a:schemeClr val="dk1"/>
              </a:solidFill>
              <a:effectLst/>
              <a:latin typeface="+mn-lt"/>
              <a:ea typeface="+mn-ea"/>
              <a:cs typeface="+mn-cs"/>
            </a:rPr>
            <a:t>0x8F,</a:t>
          </a:r>
          <a:r>
            <a:rPr lang="en-US" altLang="zh-TW"/>
            <a:t> </a:t>
          </a:r>
          <a:r>
            <a:rPr lang="en-US" altLang="zh-TW" sz="1100" b="0" i="0" u="none" strike="noStrike">
              <a:solidFill>
                <a:schemeClr val="dk1"/>
              </a:solidFill>
              <a:effectLst/>
              <a:latin typeface="+mn-lt"/>
              <a:ea typeface="+mn-ea"/>
              <a:cs typeface="+mn-cs"/>
            </a:rPr>
            <a:t>0x8E,</a:t>
          </a:r>
          <a:r>
            <a:rPr lang="en-US" altLang="zh-TW"/>
            <a:t> </a:t>
          </a:r>
          <a:r>
            <a:rPr lang="en-US" altLang="zh-TW" sz="1100" b="0" i="0" u="none" strike="noStrike">
              <a:solidFill>
                <a:schemeClr val="dk1"/>
              </a:solidFill>
              <a:effectLst/>
              <a:latin typeface="+mn-lt"/>
              <a:ea typeface="+mn-ea"/>
              <a:cs typeface="+mn-cs"/>
            </a:rPr>
            <a:t>0x8D,</a:t>
          </a:r>
          <a:r>
            <a:rPr lang="en-US" altLang="zh-TW"/>
            <a:t> </a:t>
          </a:r>
          <a:r>
            <a:rPr lang="en-US" altLang="zh-TW" sz="1100" b="0" i="0" u="none" strike="noStrike">
              <a:solidFill>
                <a:schemeClr val="dk1"/>
              </a:solidFill>
              <a:effectLst/>
              <a:latin typeface="+mn-lt"/>
              <a:ea typeface="+mn-ea"/>
              <a:cs typeface="+mn-cs"/>
            </a:rPr>
            <a:t>0x8C,</a:t>
          </a:r>
          <a:r>
            <a:rPr lang="en-US" altLang="zh-TW"/>
            <a:t> </a:t>
          </a:r>
          <a:r>
            <a:rPr lang="en-US" altLang="zh-TW" sz="1100" b="0" i="0" u="none" strike="noStrike">
              <a:solidFill>
                <a:schemeClr val="dk1"/>
              </a:solidFill>
              <a:effectLst/>
              <a:latin typeface="+mn-lt"/>
              <a:ea typeface="+mn-ea"/>
              <a:cs typeface="+mn-cs"/>
            </a:rPr>
            <a:t>0x8B,</a:t>
          </a:r>
          <a:r>
            <a:rPr lang="en-US" altLang="zh-TW"/>
            <a:t> </a:t>
          </a:r>
          <a:r>
            <a:rPr lang="en-US" altLang="zh-TW" sz="1100" b="0" i="0" u="none" strike="noStrike">
              <a:solidFill>
                <a:schemeClr val="dk1"/>
              </a:solidFill>
              <a:effectLst/>
              <a:latin typeface="+mn-lt"/>
              <a:ea typeface="+mn-ea"/>
              <a:cs typeface="+mn-cs"/>
            </a:rPr>
            <a:t>0x8A,</a:t>
          </a:r>
          <a:r>
            <a:rPr lang="en-US" altLang="zh-TW"/>
            <a:t> </a:t>
          </a:r>
          <a:r>
            <a:rPr lang="en-US" altLang="zh-TW" sz="1100" b="0" i="0" u="none" strike="noStrike">
              <a:solidFill>
                <a:schemeClr val="dk1"/>
              </a:solidFill>
              <a:effectLst/>
              <a:latin typeface="+mn-lt"/>
              <a:ea typeface="+mn-ea"/>
              <a:cs typeface="+mn-cs"/>
            </a:rPr>
            <a:t>0x89,</a:t>
          </a:r>
          <a:r>
            <a:rPr lang="en-US" altLang="zh-TW"/>
            <a:t> </a:t>
          </a:r>
          <a:r>
            <a:rPr lang="en-US" altLang="zh-TW" sz="1100" b="0" i="0" u="none" strike="noStrike">
              <a:solidFill>
                <a:schemeClr val="dk1"/>
              </a:solidFill>
              <a:effectLst/>
              <a:latin typeface="+mn-lt"/>
              <a:ea typeface="+mn-ea"/>
              <a:cs typeface="+mn-cs"/>
            </a:rPr>
            <a:t>0x88,</a:t>
          </a:r>
          <a:r>
            <a:rPr lang="en-US" altLang="zh-TW"/>
            <a:t> </a:t>
          </a:r>
          <a:r>
            <a:rPr lang="en-US" altLang="zh-TW" sz="1100" b="0" i="0" u="none" strike="noStrike">
              <a:solidFill>
                <a:schemeClr val="dk1"/>
              </a:solidFill>
              <a:effectLst/>
              <a:latin typeface="+mn-lt"/>
              <a:ea typeface="+mn-ea"/>
              <a:cs typeface="+mn-cs"/>
            </a:rPr>
            <a:t>0x87,</a:t>
          </a:r>
          <a:r>
            <a:rPr lang="en-US" altLang="zh-TW"/>
            <a:t> </a:t>
          </a:r>
          <a:r>
            <a:rPr lang="en-US" altLang="zh-TW" sz="1100" b="0" i="0" u="none" strike="noStrike">
              <a:solidFill>
                <a:schemeClr val="dk1"/>
              </a:solidFill>
              <a:effectLst/>
              <a:latin typeface="+mn-lt"/>
              <a:ea typeface="+mn-ea"/>
              <a:cs typeface="+mn-cs"/>
            </a:rPr>
            <a:t>0x86,</a:t>
          </a:r>
          <a:r>
            <a:rPr lang="en-US" altLang="zh-TW"/>
            <a:t> </a:t>
          </a:r>
          <a:r>
            <a:rPr lang="en-US" altLang="zh-TW" sz="1100" b="0" i="0" u="none" strike="noStrike">
              <a:solidFill>
                <a:schemeClr val="dk1"/>
              </a:solidFill>
              <a:effectLst/>
              <a:latin typeface="+mn-lt"/>
              <a:ea typeface="+mn-ea"/>
              <a:cs typeface="+mn-cs"/>
            </a:rPr>
            <a:t>0x85,</a:t>
          </a:r>
          <a:r>
            <a:rPr lang="en-US" altLang="zh-TW"/>
            <a:t> </a:t>
          </a:r>
          <a:r>
            <a:rPr lang="en-US" altLang="zh-TW" sz="1100" b="0" i="0" u="none" strike="noStrike">
              <a:solidFill>
                <a:schemeClr val="dk1"/>
              </a:solidFill>
              <a:effectLst/>
              <a:latin typeface="+mn-lt"/>
              <a:ea typeface="+mn-ea"/>
              <a:cs typeface="+mn-cs"/>
            </a:rPr>
            <a:t>0x84,</a:t>
          </a:r>
          <a:r>
            <a:rPr lang="en-US" altLang="zh-TW"/>
            <a:t> </a:t>
          </a:r>
          <a:r>
            <a:rPr lang="en-US" altLang="zh-TW" sz="1100" b="0" i="0" u="none" strike="noStrike">
              <a:solidFill>
                <a:schemeClr val="dk1"/>
              </a:solidFill>
              <a:effectLst/>
              <a:latin typeface="+mn-lt"/>
              <a:ea typeface="+mn-ea"/>
              <a:cs typeface="+mn-cs"/>
            </a:rPr>
            <a:t>0x83,</a:t>
          </a:r>
          <a:r>
            <a:rPr lang="en-US" altLang="zh-TW"/>
            <a:t> </a:t>
          </a:r>
          <a:r>
            <a:rPr lang="en-US" altLang="zh-TW" sz="1100" b="0" i="0" u="none" strike="noStrike">
              <a:solidFill>
                <a:schemeClr val="dk1"/>
              </a:solidFill>
              <a:effectLst/>
              <a:latin typeface="+mn-lt"/>
              <a:ea typeface="+mn-ea"/>
              <a:cs typeface="+mn-cs"/>
            </a:rPr>
            <a:t>0x82,</a:t>
          </a:r>
          <a:r>
            <a:rPr lang="en-US" altLang="zh-TW"/>
            <a:t> </a:t>
          </a:r>
          <a:r>
            <a:rPr lang="en-US" altLang="zh-TW" sz="1100" b="0" i="0" u="none" strike="noStrike">
              <a:solidFill>
                <a:schemeClr val="dk1"/>
              </a:solidFill>
              <a:effectLst/>
              <a:latin typeface="+mn-lt"/>
              <a:ea typeface="+mn-ea"/>
              <a:cs typeface="+mn-cs"/>
            </a:rPr>
            <a:t>0x81,</a:t>
          </a:r>
          <a:r>
            <a:rPr lang="en-US" altLang="zh-TW"/>
            <a:t> </a:t>
          </a:r>
          <a:r>
            <a:rPr lang="en-US" altLang="zh-TW" sz="1100" b="0" i="0" u="none" strike="noStrike">
              <a:solidFill>
                <a:schemeClr val="dk1"/>
              </a:solidFill>
              <a:effectLst/>
              <a:latin typeface="+mn-lt"/>
              <a:ea typeface="+mn-ea"/>
              <a:cs typeface="+mn-cs"/>
            </a:rPr>
            <a:t>0x80,</a:t>
          </a:r>
          <a:r>
            <a:rPr lang="en-US" altLang="zh-TW"/>
            <a:t> </a:t>
          </a:r>
          <a:r>
            <a:rPr lang="en-US" altLang="zh-TW" sz="1100" b="0" i="0" u="none" strike="noStrike">
              <a:solidFill>
                <a:schemeClr val="dk1"/>
              </a:solidFill>
              <a:effectLst/>
              <a:latin typeface="+mn-lt"/>
              <a:ea typeface="+mn-ea"/>
              <a:cs typeface="+mn-cs"/>
            </a:rPr>
            <a:t>0x7F,</a:t>
          </a:r>
          <a:r>
            <a:rPr lang="en-US" altLang="zh-TW"/>
            <a:t> </a:t>
          </a:r>
          <a:r>
            <a:rPr lang="en-US" altLang="zh-TW" sz="1100" b="0" i="0" u="none" strike="noStrike">
              <a:solidFill>
                <a:schemeClr val="dk1"/>
              </a:solidFill>
              <a:effectLst/>
              <a:latin typeface="+mn-lt"/>
              <a:ea typeface="+mn-ea"/>
              <a:cs typeface="+mn-cs"/>
            </a:rPr>
            <a:t>0x7E,</a:t>
          </a:r>
          <a:r>
            <a:rPr lang="en-US" altLang="zh-TW"/>
            <a:t> </a:t>
          </a:r>
          <a:r>
            <a:rPr lang="en-US" altLang="zh-TW" sz="1100" b="0" i="0" u="none" strike="noStrike">
              <a:solidFill>
                <a:schemeClr val="dk1"/>
              </a:solidFill>
              <a:effectLst/>
              <a:latin typeface="+mn-lt"/>
              <a:ea typeface="+mn-ea"/>
              <a:cs typeface="+mn-cs"/>
            </a:rPr>
            <a:t>0x7D,</a:t>
          </a:r>
          <a:r>
            <a:rPr lang="en-US" altLang="zh-TW"/>
            <a:t> </a:t>
          </a:r>
          <a:r>
            <a:rPr lang="en-US" altLang="zh-TW" sz="1100" b="0" i="0" u="none" strike="noStrike">
              <a:solidFill>
                <a:schemeClr val="dk1"/>
              </a:solidFill>
              <a:effectLst/>
              <a:latin typeface="+mn-lt"/>
              <a:ea typeface="+mn-ea"/>
              <a:cs typeface="+mn-cs"/>
            </a:rPr>
            <a:t>0x7C,</a:t>
          </a:r>
          <a:r>
            <a:rPr lang="en-US" altLang="zh-TW"/>
            <a:t> </a:t>
          </a:r>
          <a:r>
            <a:rPr lang="en-US" altLang="zh-TW" sz="1100" b="0" i="0" u="none" strike="noStrike">
              <a:solidFill>
                <a:schemeClr val="dk1"/>
              </a:solidFill>
              <a:effectLst/>
              <a:latin typeface="+mn-lt"/>
              <a:ea typeface="+mn-ea"/>
              <a:cs typeface="+mn-cs"/>
            </a:rPr>
            <a:t>0x7B,</a:t>
          </a:r>
          <a:r>
            <a:rPr lang="en-US" altLang="zh-TW"/>
            <a:t> </a:t>
          </a:r>
          <a:r>
            <a:rPr lang="en-US" altLang="zh-TW" sz="1100" b="0" i="0" u="none" strike="noStrike">
              <a:solidFill>
                <a:schemeClr val="dk1"/>
              </a:solidFill>
              <a:effectLst/>
              <a:latin typeface="+mn-lt"/>
              <a:ea typeface="+mn-ea"/>
              <a:cs typeface="+mn-cs"/>
            </a:rPr>
            <a:t>0x7A,</a:t>
          </a:r>
          <a:r>
            <a:rPr lang="en-US" altLang="zh-TW"/>
            <a:t> </a:t>
          </a:r>
          <a:r>
            <a:rPr lang="en-US" altLang="zh-TW" sz="1100" b="0" i="0" u="none" strike="noStrike">
              <a:solidFill>
                <a:schemeClr val="dk1"/>
              </a:solidFill>
              <a:effectLst/>
              <a:latin typeface="+mn-lt"/>
              <a:ea typeface="+mn-ea"/>
              <a:cs typeface="+mn-cs"/>
            </a:rPr>
            <a:t>0x79,</a:t>
          </a:r>
          <a:r>
            <a:rPr lang="en-US" altLang="zh-TW"/>
            <a:t> </a:t>
          </a:r>
          <a:r>
            <a:rPr lang="en-US" altLang="zh-TW" sz="1100" b="0" i="0" u="none" strike="noStrike">
              <a:solidFill>
                <a:schemeClr val="dk1"/>
              </a:solidFill>
              <a:effectLst/>
              <a:latin typeface="+mn-lt"/>
              <a:ea typeface="+mn-ea"/>
              <a:cs typeface="+mn-cs"/>
            </a:rPr>
            <a:t>0x78,</a:t>
          </a:r>
          <a:r>
            <a:rPr lang="en-US" altLang="zh-TW"/>
            <a:t> </a:t>
          </a:r>
          <a:endParaRPr lang="zh-TW" altLang="en-US" sz="1100"/>
        </a:p>
      </xdr:txBody>
    </xdr:sp>
    <xdr:clientData/>
  </xdr:twoCellAnchor>
  <xdr:twoCellAnchor editAs="oneCell">
    <xdr:from>
      <xdr:col>65</xdr:col>
      <xdr:colOff>555106</xdr:colOff>
      <xdr:row>16</xdr:row>
      <xdr:rowOff>137927</xdr:rowOff>
    </xdr:from>
    <xdr:to>
      <xdr:col>77</xdr:col>
      <xdr:colOff>210696</xdr:colOff>
      <xdr:row>42</xdr:row>
      <xdr:rowOff>49790</xdr:rowOff>
    </xdr:to>
    <xdr:pic>
      <xdr:nvPicPr>
        <xdr:cNvPr id="9" name="圖片 8">
          <a:extLst>
            <a:ext uri="{FF2B5EF4-FFF2-40B4-BE49-F238E27FC236}">
              <a16:creationId xmlns:a16="http://schemas.microsoft.com/office/drawing/2014/main" id="{D26B28DB-5ED5-405E-BAEF-CAB8A8259E8B}"/>
            </a:ext>
          </a:extLst>
        </xdr:cNvPr>
        <xdr:cNvPicPr>
          <a:picLocks noChangeAspect="1"/>
        </xdr:cNvPicPr>
      </xdr:nvPicPr>
      <xdr:blipFill rotWithShape="1">
        <a:blip xmlns:r="http://schemas.openxmlformats.org/officeDocument/2006/relationships" r:embed="rId1"/>
        <a:srcRect b="25568"/>
        <a:stretch/>
      </xdr:blipFill>
      <xdr:spPr>
        <a:xfrm>
          <a:off x="26245392" y="3403641"/>
          <a:ext cx="7003447" cy="5218649"/>
        </a:xfrm>
        <a:prstGeom prst="rect">
          <a:avLst/>
        </a:prstGeom>
      </xdr:spPr>
    </xdr:pic>
    <xdr:clientData/>
  </xdr:twoCellAnchor>
  <xdr:twoCellAnchor>
    <xdr:from>
      <xdr:col>45</xdr:col>
      <xdr:colOff>206890</xdr:colOff>
      <xdr:row>1</xdr:row>
      <xdr:rowOff>176893</xdr:rowOff>
    </xdr:from>
    <xdr:to>
      <xdr:col>58</xdr:col>
      <xdr:colOff>338941</xdr:colOff>
      <xdr:row>5</xdr:row>
      <xdr:rowOff>105146</xdr:rowOff>
    </xdr:to>
    <xdr:sp macro="" textlink="">
      <xdr:nvSpPr>
        <xdr:cNvPr id="10" name="文字方塊 9">
          <a:extLst>
            <a:ext uri="{FF2B5EF4-FFF2-40B4-BE49-F238E27FC236}">
              <a16:creationId xmlns:a16="http://schemas.microsoft.com/office/drawing/2014/main" id="{4D517B2B-6E25-4DE1-9B0E-DDA11568D821}"/>
            </a:ext>
          </a:extLst>
        </xdr:cNvPr>
        <xdr:cNvSpPr txBox="1"/>
      </xdr:nvSpPr>
      <xdr:spPr>
        <a:xfrm>
          <a:off x="17351890" y="381000"/>
          <a:ext cx="5085051" cy="7446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zh-TW" altLang="en-US" sz="1800" b="1">
              <a:solidFill>
                <a:schemeClr val="tx1"/>
              </a:solidFill>
            </a:rPr>
            <a:t>把左邊數據整個複製起來貼到下方文字方塊</a:t>
          </a:r>
        </a:p>
      </xdr:txBody>
    </xdr:sp>
    <xdr:clientData/>
  </xdr:twoCellAnchor>
  <xdr:twoCellAnchor>
    <xdr:from>
      <xdr:col>36</xdr:col>
      <xdr:colOff>217715</xdr:colOff>
      <xdr:row>27</xdr:row>
      <xdr:rowOff>117515</xdr:rowOff>
    </xdr:from>
    <xdr:to>
      <xdr:col>40</xdr:col>
      <xdr:colOff>252351</xdr:colOff>
      <xdr:row>30</xdr:row>
      <xdr:rowOff>76694</xdr:rowOff>
    </xdr:to>
    <xdr:sp macro="" textlink="">
      <xdr:nvSpPr>
        <xdr:cNvPr id="11" name="箭號: 向右 10">
          <a:extLst>
            <a:ext uri="{FF2B5EF4-FFF2-40B4-BE49-F238E27FC236}">
              <a16:creationId xmlns:a16="http://schemas.microsoft.com/office/drawing/2014/main" id="{54F85277-A680-4448-8F4E-E6CA4A8FA5FB}"/>
            </a:ext>
          </a:extLst>
        </xdr:cNvPr>
        <xdr:cNvSpPr/>
      </xdr:nvSpPr>
      <xdr:spPr>
        <a:xfrm>
          <a:off x="13933715" y="5628408"/>
          <a:ext cx="1558636" cy="571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xdr:from>
      <xdr:col>67</xdr:col>
      <xdr:colOff>200953</xdr:colOff>
      <xdr:row>11</xdr:row>
      <xdr:rowOff>37358</xdr:rowOff>
    </xdr:from>
    <xdr:to>
      <xdr:col>76</xdr:col>
      <xdr:colOff>72984</xdr:colOff>
      <xdr:row>14</xdr:row>
      <xdr:rowOff>169719</xdr:rowOff>
    </xdr:to>
    <xdr:sp macro="" textlink="">
      <xdr:nvSpPr>
        <xdr:cNvPr id="12" name="文字方塊 11">
          <a:extLst>
            <a:ext uri="{FF2B5EF4-FFF2-40B4-BE49-F238E27FC236}">
              <a16:creationId xmlns:a16="http://schemas.microsoft.com/office/drawing/2014/main" id="{F36C2EA1-766C-40CA-AE78-74E80740625F}"/>
            </a:ext>
          </a:extLst>
        </xdr:cNvPr>
        <xdr:cNvSpPr txBox="1"/>
      </xdr:nvSpPr>
      <xdr:spPr>
        <a:xfrm>
          <a:off x="27115882" y="2282537"/>
          <a:ext cx="5382923" cy="7446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zh-TW" altLang="en-US" sz="1800" b="1">
              <a:solidFill>
                <a:schemeClr val="tx1"/>
              </a:solidFill>
            </a:rPr>
            <a:t>最後再複製文字方塊內容到</a:t>
          </a:r>
          <a:r>
            <a:rPr lang="en-US" altLang="zh-TW" sz="1800" b="1">
              <a:solidFill>
                <a:schemeClr val="tx1"/>
              </a:solidFill>
            </a:rPr>
            <a:t>CFG_MAPPING_TABLE</a:t>
          </a:r>
          <a:endParaRPr lang="zh-TW" altLang="en-US" sz="1800" b="1">
            <a:solidFill>
              <a:schemeClr val="tx1"/>
            </a:solidFill>
          </a:endParaRPr>
        </a:p>
      </xdr:txBody>
    </xdr:sp>
    <xdr:clientData/>
  </xdr:twoCellAnchor>
  <xdr:twoCellAnchor>
    <xdr:from>
      <xdr:col>62</xdr:col>
      <xdr:colOff>381249</xdr:colOff>
      <xdr:row>27</xdr:row>
      <xdr:rowOff>62097</xdr:rowOff>
    </xdr:from>
    <xdr:to>
      <xdr:col>65</xdr:col>
      <xdr:colOff>102920</xdr:colOff>
      <xdr:row>30</xdr:row>
      <xdr:rowOff>21276</xdr:rowOff>
    </xdr:to>
    <xdr:sp macro="" textlink="">
      <xdr:nvSpPr>
        <xdr:cNvPr id="13" name="箭號: 向右 12">
          <a:extLst>
            <a:ext uri="{FF2B5EF4-FFF2-40B4-BE49-F238E27FC236}">
              <a16:creationId xmlns:a16="http://schemas.microsoft.com/office/drawing/2014/main" id="{DA3C1364-8451-49A8-B71C-24485F9C5482}"/>
            </a:ext>
          </a:extLst>
        </xdr:cNvPr>
        <xdr:cNvSpPr/>
      </xdr:nvSpPr>
      <xdr:spPr>
        <a:xfrm>
          <a:off x="24234570" y="5572990"/>
          <a:ext cx="1558636" cy="571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ECA96-562D-481B-8C94-F1C45A14492E}">
  <sheetPr>
    <tabColor theme="7"/>
  </sheetPr>
  <dimension ref="A1:BI61"/>
  <sheetViews>
    <sheetView tabSelected="1" zoomScale="55" zoomScaleNormal="55" workbookViewId="0">
      <selection activeCell="AA45" sqref="AA45"/>
    </sheetView>
  </sheetViews>
  <sheetFormatPr defaultColWidth="5.7109375" defaultRowHeight="15.75" x14ac:dyDescent="0.25"/>
  <cols>
    <col min="1" max="1" width="5.7109375" style="20"/>
    <col min="2" max="2" width="9" bestFit="1" customWidth="1"/>
    <col min="3" max="3" width="8" bestFit="1" customWidth="1"/>
    <col min="4" max="4" width="9" bestFit="1" customWidth="1"/>
    <col min="5" max="22" width="8" bestFit="1" customWidth="1"/>
    <col min="23" max="23" width="9" bestFit="1" customWidth="1"/>
    <col min="24" max="24" width="8" bestFit="1" customWidth="1"/>
    <col min="25" max="25" width="9" bestFit="1" customWidth="1"/>
    <col min="26" max="29" width="8" bestFit="1" customWidth="1"/>
    <col min="30" max="33" width="7" bestFit="1" customWidth="1"/>
  </cols>
  <sheetData>
    <row r="1" spans="1:61" s="20" customFormat="1" x14ac:dyDescent="0.25">
      <c r="B1" s="20">
        <v>1</v>
      </c>
      <c r="C1" s="20">
        <v>2</v>
      </c>
      <c r="D1" s="20">
        <v>3</v>
      </c>
      <c r="E1" s="20">
        <v>4</v>
      </c>
      <c r="F1" s="20">
        <v>5</v>
      </c>
      <c r="G1" s="20">
        <v>6</v>
      </c>
      <c r="H1" s="20">
        <v>7</v>
      </c>
      <c r="I1" s="20">
        <v>8</v>
      </c>
      <c r="J1" s="20">
        <v>9</v>
      </c>
      <c r="K1" s="20">
        <v>10</v>
      </c>
      <c r="L1" s="20">
        <v>11</v>
      </c>
      <c r="M1" s="20">
        <v>12</v>
      </c>
      <c r="N1" s="20">
        <v>13</v>
      </c>
      <c r="O1" s="20">
        <v>14</v>
      </c>
      <c r="P1" s="20">
        <v>15</v>
      </c>
      <c r="Q1" s="20">
        <v>16</v>
      </c>
      <c r="R1" s="20">
        <v>17</v>
      </c>
      <c r="S1" s="20">
        <v>18</v>
      </c>
      <c r="T1" s="20">
        <v>19</v>
      </c>
      <c r="U1" s="20">
        <v>20</v>
      </c>
      <c r="V1" s="20">
        <v>21</v>
      </c>
      <c r="W1" s="20">
        <v>22</v>
      </c>
      <c r="X1" s="20">
        <v>23</v>
      </c>
      <c r="Y1" s="20">
        <v>24</v>
      </c>
      <c r="Z1" s="20">
        <v>25</v>
      </c>
      <c r="AA1" s="20">
        <v>26</v>
      </c>
      <c r="AB1" s="20">
        <v>27</v>
      </c>
      <c r="AC1" s="20">
        <v>28</v>
      </c>
      <c r="AD1" s="20">
        <v>29</v>
      </c>
      <c r="AE1" s="20">
        <v>30</v>
      </c>
      <c r="AF1" s="20">
        <v>31</v>
      </c>
      <c r="AG1" s="20">
        <v>32</v>
      </c>
      <c r="AH1" s="20">
        <v>33</v>
      </c>
      <c r="AI1" s="20">
        <v>34</v>
      </c>
      <c r="AJ1" s="20">
        <v>35</v>
      </c>
      <c r="AK1" s="20">
        <v>36</v>
      </c>
      <c r="AL1" s="20">
        <v>37</v>
      </c>
      <c r="AM1" s="20">
        <v>38</v>
      </c>
      <c r="AN1" s="20">
        <v>39</v>
      </c>
      <c r="AO1" s="20">
        <v>40</v>
      </c>
      <c r="AP1" s="20">
        <v>41</v>
      </c>
      <c r="AQ1" s="20">
        <v>42</v>
      </c>
      <c r="AR1" s="20">
        <v>43</v>
      </c>
      <c r="AS1" s="20">
        <v>44</v>
      </c>
      <c r="AT1" s="20">
        <v>45</v>
      </c>
      <c r="AU1" s="20">
        <v>46</v>
      </c>
      <c r="AV1" s="20">
        <v>47</v>
      </c>
      <c r="AW1" s="20">
        <v>48</v>
      </c>
      <c r="AX1" s="20">
        <v>49</v>
      </c>
      <c r="AY1" s="20">
        <v>50</v>
      </c>
      <c r="AZ1" s="20">
        <v>51</v>
      </c>
      <c r="BA1" s="20">
        <v>52</v>
      </c>
      <c r="BB1" s="20">
        <v>53</v>
      </c>
      <c r="BC1" s="20">
        <v>54</v>
      </c>
      <c r="BD1" s="20">
        <v>55</v>
      </c>
      <c r="BE1" s="20">
        <v>56</v>
      </c>
      <c r="BF1" s="20">
        <v>57</v>
      </c>
      <c r="BG1" s="20">
        <v>58</v>
      </c>
      <c r="BH1" s="20">
        <v>59</v>
      </c>
      <c r="BI1" s="20">
        <v>60</v>
      </c>
    </row>
    <row r="2" spans="1:61" ht="16.5" x14ac:dyDescent="0.25">
      <c r="A2" s="20">
        <v>1</v>
      </c>
      <c r="B2" s="21">
        <v>960</v>
      </c>
      <c r="C2" s="22">
        <v>930</v>
      </c>
      <c r="D2" s="22">
        <v>900</v>
      </c>
      <c r="E2" s="23">
        <v>840</v>
      </c>
      <c r="F2" s="22">
        <v>810</v>
      </c>
      <c r="G2" s="23">
        <v>780</v>
      </c>
      <c r="H2" s="24">
        <v>720</v>
      </c>
      <c r="I2" s="25">
        <v>690</v>
      </c>
      <c r="J2" s="26">
        <v>660</v>
      </c>
      <c r="K2" s="23">
        <v>630</v>
      </c>
      <c r="L2" s="22">
        <v>600</v>
      </c>
      <c r="M2" s="23">
        <v>570</v>
      </c>
      <c r="N2" s="22">
        <v>540</v>
      </c>
      <c r="O2" s="23">
        <v>510</v>
      </c>
      <c r="P2" s="23">
        <v>480</v>
      </c>
      <c r="Q2" s="23">
        <v>450</v>
      </c>
      <c r="R2" s="23">
        <v>420</v>
      </c>
      <c r="S2" s="23">
        <v>390</v>
      </c>
      <c r="T2" s="23">
        <v>360</v>
      </c>
      <c r="U2" s="23">
        <v>330</v>
      </c>
      <c r="V2" s="23">
        <v>300</v>
      </c>
      <c r="W2" s="23">
        <v>270</v>
      </c>
      <c r="X2" s="23">
        <v>210</v>
      </c>
      <c r="Y2" s="22">
        <v>180</v>
      </c>
      <c r="Z2" s="23">
        <v>150</v>
      </c>
      <c r="AA2" s="22">
        <v>90</v>
      </c>
      <c r="AB2" s="22">
        <v>60</v>
      </c>
      <c r="AC2" s="27">
        <v>30</v>
      </c>
    </row>
    <row r="3" spans="1:61" ht="16.5" x14ac:dyDescent="0.25">
      <c r="A3" s="20">
        <v>2</v>
      </c>
      <c r="B3" s="28">
        <v>959</v>
      </c>
      <c r="C3" s="23">
        <v>929</v>
      </c>
      <c r="D3" s="23">
        <v>899</v>
      </c>
      <c r="E3" s="23">
        <v>839</v>
      </c>
      <c r="F3" s="22">
        <v>809</v>
      </c>
      <c r="G3" s="22">
        <v>779</v>
      </c>
      <c r="H3" s="23">
        <v>719</v>
      </c>
      <c r="I3" s="25">
        <v>689</v>
      </c>
      <c r="J3" s="25">
        <v>659</v>
      </c>
      <c r="K3" s="23">
        <v>629</v>
      </c>
      <c r="L3" s="23">
        <v>599</v>
      </c>
      <c r="M3" s="23">
        <v>569</v>
      </c>
      <c r="N3" s="23">
        <v>539</v>
      </c>
      <c r="O3" s="23">
        <v>509</v>
      </c>
      <c r="P3" s="23">
        <v>479</v>
      </c>
      <c r="Q3" s="23">
        <v>449</v>
      </c>
      <c r="R3" s="23">
        <v>419</v>
      </c>
      <c r="S3" s="23">
        <v>389</v>
      </c>
      <c r="T3" s="23">
        <v>359</v>
      </c>
      <c r="U3" s="23">
        <v>329</v>
      </c>
      <c r="V3" s="23">
        <v>299</v>
      </c>
      <c r="W3" s="23">
        <v>269</v>
      </c>
      <c r="X3" s="23">
        <v>209</v>
      </c>
      <c r="Y3" s="22">
        <v>179</v>
      </c>
      <c r="Z3" s="22">
        <v>149</v>
      </c>
      <c r="AA3" s="23">
        <v>89</v>
      </c>
      <c r="AB3" s="23">
        <v>59</v>
      </c>
      <c r="AC3" s="29">
        <v>29</v>
      </c>
    </row>
    <row r="4" spans="1:61" ht="16.5" x14ac:dyDescent="0.25">
      <c r="A4" s="20">
        <v>3</v>
      </c>
      <c r="B4" s="21">
        <v>958</v>
      </c>
      <c r="C4" s="22">
        <v>928</v>
      </c>
      <c r="D4" s="22">
        <v>898</v>
      </c>
      <c r="E4" s="22">
        <v>838</v>
      </c>
      <c r="F4" s="23">
        <v>808</v>
      </c>
      <c r="G4" s="23">
        <v>778</v>
      </c>
      <c r="H4" s="23">
        <v>718</v>
      </c>
      <c r="I4" s="25">
        <v>688</v>
      </c>
      <c r="J4" s="26">
        <v>658</v>
      </c>
      <c r="K4" s="23">
        <v>628</v>
      </c>
      <c r="L4" s="22">
        <v>598</v>
      </c>
      <c r="M4" s="23">
        <v>568</v>
      </c>
      <c r="N4" s="22">
        <v>538</v>
      </c>
      <c r="O4" s="23">
        <v>508</v>
      </c>
      <c r="P4" s="23">
        <v>478</v>
      </c>
      <c r="Q4" s="23">
        <v>448</v>
      </c>
      <c r="R4" s="23">
        <v>418</v>
      </c>
      <c r="S4" s="23">
        <v>388</v>
      </c>
      <c r="T4" s="23">
        <v>358</v>
      </c>
      <c r="U4" s="23">
        <v>328</v>
      </c>
      <c r="V4" s="23">
        <v>298</v>
      </c>
      <c r="W4" s="22">
        <v>268</v>
      </c>
      <c r="X4" s="22">
        <v>208</v>
      </c>
      <c r="Y4" s="23">
        <v>178</v>
      </c>
      <c r="Z4" s="23">
        <v>148</v>
      </c>
      <c r="AA4" s="22">
        <v>88</v>
      </c>
      <c r="AB4" s="22">
        <v>58</v>
      </c>
      <c r="AC4" s="27">
        <v>28</v>
      </c>
    </row>
    <row r="5" spans="1:61" ht="16.5" x14ac:dyDescent="0.25">
      <c r="A5" s="20">
        <v>4</v>
      </c>
      <c r="B5" s="28">
        <v>957</v>
      </c>
      <c r="C5" s="23">
        <v>927</v>
      </c>
      <c r="D5" s="23">
        <v>897</v>
      </c>
      <c r="E5" s="23">
        <v>837</v>
      </c>
      <c r="F5" s="22">
        <v>807</v>
      </c>
      <c r="G5" s="22">
        <v>777</v>
      </c>
      <c r="H5" s="23">
        <v>717</v>
      </c>
      <c r="I5" s="25">
        <v>687</v>
      </c>
      <c r="J5" s="25">
        <v>657</v>
      </c>
      <c r="K5" s="23">
        <v>627</v>
      </c>
      <c r="L5" s="23">
        <v>597</v>
      </c>
      <c r="M5" s="23">
        <v>567</v>
      </c>
      <c r="N5" s="23">
        <v>537</v>
      </c>
      <c r="O5" s="23">
        <v>507</v>
      </c>
      <c r="P5" s="23">
        <v>477</v>
      </c>
      <c r="Q5" s="23">
        <v>447</v>
      </c>
      <c r="R5" s="23">
        <v>417</v>
      </c>
      <c r="S5" s="23">
        <v>387</v>
      </c>
      <c r="T5" s="22">
        <v>357</v>
      </c>
      <c r="U5" s="22">
        <v>327</v>
      </c>
      <c r="V5" s="22">
        <v>297</v>
      </c>
      <c r="W5" s="23">
        <v>267</v>
      </c>
      <c r="X5" s="23">
        <v>207</v>
      </c>
      <c r="Y5" s="22">
        <v>177</v>
      </c>
      <c r="Z5" s="22">
        <v>147</v>
      </c>
      <c r="AA5" s="23">
        <v>87</v>
      </c>
      <c r="AB5" s="23">
        <v>57</v>
      </c>
      <c r="AC5" s="29">
        <v>27</v>
      </c>
    </row>
    <row r="6" spans="1:61" ht="16.5" x14ac:dyDescent="0.25">
      <c r="A6" s="20">
        <v>5</v>
      </c>
      <c r="B6" s="21">
        <v>956</v>
      </c>
      <c r="C6" s="22">
        <v>926</v>
      </c>
      <c r="D6" s="22">
        <v>896</v>
      </c>
      <c r="E6" s="22">
        <v>836</v>
      </c>
      <c r="F6" s="23">
        <v>806</v>
      </c>
      <c r="G6" s="23">
        <v>776</v>
      </c>
      <c r="H6" s="25">
        <v>716</v>
      </c>
      <c r="I6" s="25">
        <v>686</v>
      </c>
      <c r="J6" s="26">
        <v>656</v>
      </c>
      <c r="K6" s="23">
        <v>626</v>
      </c>
      <c r="L6" s="22">
        <v>596</v>
      </c>
      <c r="M6" s="23">
        <v>566</v>
      </c>
      <c r="N6" s="22">
        <v>536</v>
      </c>
      <c r="O6" s="23">
        <v>506</v>
      </c>
      <c r="P6" s="23">
        <v>476</v>
      </c>
      <c r="Q6" s="23">
        <v>446</v>
      </c>
      <c r="R6" s="23">
        <v>416</v>
      </c>
      <c r="S6" s="23">
        <v>386</v>
      </c>
      <c r="T6" s="23">
        <v>356</v>
      </c>
      <c r="U6" s="23">
        <v>326</v>
      </c>
      <c r="V6" s="23">
        <v>296</v>
      </c>
      <c r="W6" s="22">
        <v>266</v>
      </c>
      <c r="X6" s="22">
        <v>206</v>
      </c>
      <c r="Y6" s="23">
        <v>176</v>
      </c>
      <c r="Z6" s="23">
        <v>146</v>
      </c>
      <c r="AA6" s="22">
        <v>86</v>
      </c>
      <c r="AB6" s="22">
        <v>56</v>
      </c>
      <c r="AC6" s="27">
        <v>26</v>
      </c>
    </row>
    <row r="7" spans="1:61" ht="16.5" x14ac:dyDescent="0.25">
      <c r="A7" s="20">
        <v>6</v>
      </c>
      <c r="B7" s="28">
        <v>955</v>
      </c>
      <c r="C7" s="23">
        <v>925</v>
      </c>
      <c r="D7" s="23">
        <v>895</v>
      </c>
      <c r="E7" s="23">
        <v>835</v>
      </c>
      <c r="F7" s="22">
        <v>805</v>
      </c>
      <c r="G7" s="22">
        <v>775</v>
      </c>
      <c r="H7" s="25">
        <v>715</v>
      </c>
      <c r="I7" s="25">
        <v>685</v>
      </c>
      <c r="J7" s="25">
        <v>655</v>
      </c>
      <c r="K7" s="23">
        <v>625</v>
      </c>
      <c r="L7" s="23">
        <v>595</v>
      </c>
      <c r="M7" s="23">
        <v>565</v>
      </c>
      <c r="N7" s="23">
        <v>535</v>
      </c>
      <c r="O7" s="23">
        <v>505</v>
      </c>
      <c r="P7" s="23">
        <v>475</v>
      </c>
      <c r="Q7" s="23">
        <v>445</v>
      </c>
      <c r="R7" s="23">
        <v>415</v>
      </c>
      <c r="S7" s="23">
        <v>385</v>
      </c>
      <c r="T7" s="22">
        <v>355</v>
      </c>
      <c r="U7" s="22">
        <v>325</v>
      </c>
      <c r="V7" s="22">
        <v>295</v>
      </c>
      <c r="W7" s="23">
        <v>265</v>
      </c>
      <c r="X7" s="23">
        <v>205</v>
      </c>
      <c r="Y7" s="22">
        <v>175</v>
      </c>
      <c r="Z7" s="22">
        <v>145</v>
      </c>
      <c r="AA7" s="23">
        <v>85</v>
      </c>
      <c r="AB7" s="23">
        <v>55</v>
      </c>
      <c r="AC7" s="29">
        <v>25</v>
      </c>
    </row>
    <row r="8" spans="1:61" ht="16.5" x14ac:dyDescent="0.25">
      <c r="A8" s="20">
        <v>7</v>
      </c>
      <c r="B8" s="21">
        <v>954</v>
      </c>
      <c r="C8" s="22">
        <v>924</v>
      </c>
      <c r="D8" s="22">
        <v>894</v>
      </c>
      <c r="E8" s="22">
        <v>834</v>
      </c>
      <c r="F8" s="23">
        <v>804</v>
      </c>
      <c r="G8" s="23">
        <v>774</v>
      </c>
      <c r="H8" s="25">
        <v>714</v>
      </c>
      <c r="I8" s="25">
        <v>684</v>
      </c>
      <c r="J8" s="26">
        <v>654</v>
      </c>
      <c r="K8" s="23">
        <v>624</v>
      </c>
      <c r="L8" s="22">
        <v>594</v>
      </c>
      <c r="M8" s="23">
        <v>564</v>
      </c>
      <c r="N8" s="22">
        <v>534</v>
      </c>
      <c r="O8" s="23">
        <v>504</v>
      </c>
      <c r="P8" s="23">
        <v>474</v>
      </c>
      <c r="Q8" s="23">
        <v>444</v>
      </c>
      <c r="R8" s="23">
        <v>414</v>
      </c>
      <c r="S8" s="23">
        <v>384</v>
      </c>
      <c r="T8" s="23">
        <v>354</v>
      </c>
      <c r="U8" s="23">
        <v>324</v>
      </c>
      <c r="V8" s="23">
        <v>294</v>
      </c>
      <c r="W8" s="22">
        <v>264</v>
      </c>
      <c r="X8" s="22">
        <v>204</v>
      </c>
      <c r="Y8" s="23">
        <v>174</v>
      </c>
      <c r="Z8" s="23">
        <v>144</v>
      </c>
      <c r="AA8" s="22">
        <v>84</v>
      </c>
      <c r="AB8" s="22">
        <v>54</v>
      </c>
      <c r="AC8" s="27">
        <v>24</v>
      </c>
    </row>
    <row r="9" spans="1:61" ht="16.5" x14ac:dyDescent="0.25">
      <c r="A9" s="20">
        <v>8</v>
      </c>
      <c r="B9" s="28">
        <v>953</v>
      </c>
      <c r="C9" s="23">
        <v>923</v>
      </c>
      <c r="D9" s="23">
        <v>893</v>
      </c>
      <c r="E9" s="23">
        <v>833</v>
      </c>
      <c r="F9" s="22">
        <v>803</v>
      </c>
      <c r="G9" s="22">
        <v>773</v>
      </c>
      <c r="H9" s="25">
        <v>713</v>
      </c>
      <c r="I9" s="25">
        <v>683</v>
      </c>
      <c r="J9" s="25">
        <v>653</v>
      </c>
      <c r="K9" s="23">
        <v>623</v>
      </c>
      <c r="L9" s="23">
        <v>593</v>
      </c>
      <c r="M9" s="23">
        <v>563</v>
      </c>
      <c r="N9" s="23">
        <v>533</v>
      </c>
      <c r="O9" s="23">
        <v>503</v>
      </c>
      <c r="P9" s="23">
        <v>473</v>
      </c>
      <c r="Q9" s="23">
        <v>443</v>
      </c>
      <c r="R9" s="23">
        <v>413</v>
      </c>
      <c r="S9" s="23">
        <v>383</v>
      </c>
      <c r="T9" s="22">
        <v>353</v>
      </c>
      <c r="U9" s="22">
        <v>323</v>
      </c>
      <c r="V9" s="22">
        <v>293</v>
      </c>
      <c r="W9" s="23">
        <v>263</v>
      </c>
      <c r="X9" s="23">
        <v>203</v>
      </c>
      <c r="Y9" s="22">
        <v>173</v>
      </c>
      <c r="Z9" s="22">
        <v>143</v>
      </c>
      <c r="AA9" s="23">
        <v>83</v>
      </c>
      <c r="AB9" s="23">
        <v>53</v>
      </c>
      <c r="AC9" s="29">
        <v>23</v>
      </c>
    </row>
    <row r="10" spans="1:61" ht="16.5" x14ac:dyDescent="0.25">
      <c r="A10" s="20">
        <v>9</v>
      </c>
      <c r="B10" s="21">
        <v>952</v>
      </c>
      <c r="C10" s="22">
        <v>922</v>
      </c>
      <c r="D10" s="22">
        <v>892</v>
      </c>
      <c r="E10" s="22">
        <v>832</v>
      </c>
      <c r="F10" s="23">
        <v>802</v>
      </c>
      <c r="G10" s="23">
        <v>772</v>
      </c>
      <c r="H10" s="25">
        <v>712</v>
      </c>
      <c r="I10" s="25">
        <v>682</v>
      </c>
      <c r="J10" s="26">
        <v>652</v>
      </c>
      <c r="K10" s="23">
        <v>622</v>
      </c>
      <c r="L10" s="22">
        <v>592</v>
      </c>
      <c r="M10" s="23">
        <v>562</v>
      </c>
      <c r="N10" s="22">
        <v>532</v>
      </c>
      <c r="O10" s="23">
        <v>502</v>
      </c>
      <c r="P10" s="23">
        <v>472</v>
      </c>
      <c r="Q10" s="23">
        <v>442</v>
      </c>
      <c r="R10" s="23">
        <v>412</v>
      </c>
      <c r="S10" s="23">
        <v>382</v>
      </c>
      <c r="T10" s="23">
        <v>352</v>
      </c>
      <c r="U10" s="23">
        <v>322</v>
      </c>
      <c r="V10" s="23">
        <v>292</v>
      </c>
      <c r="W10" s="22">
        <v>262</v>
      </c>
      <c r="X10" s="22">
        <v>202</v>
      </c>
      <c r="Y10" s="23">
        <v>172</v>
      </c>
      <c r="Z10" s="23">
        <v>142</v>
      </c>
      <c r="AA10" s="22">
        <v>82</v>
      </c>
      <c r="AB10" s="22">
        <v>52</v>
      </c>
      <c r="AC10" s="27">
        <v>22</v>
      </c>
    </row>
    <row r="11" spans="1:61" ht="16.5" x14ac:dyDescent="0.25">
      <c r="A11" s="20">
        <v>10</v>
      </c>
      <c r="B11" s="28">
        <v>951</v>
      </c>
      <c r="C11" s="23">
        <v>921</v>
      </c>
      <c r="D11" s="23">
        <v>891</v>
      </c>
      <c r="E11" s="23">
        <v>831</v>
      </c>
      <c r="F11" s="22">
        <v>801</v>
      </c>
      <c r="G11" s="22">
        <v>771</v>
      </c>
      <c r="H11" s="25">
        <v>711</v>
      </c>
      <c r="I11" s="25">
        <v>681</v>
      </c>
      <c r="J11" s="25">
        <v>651</v>
      </c>
      <c r="K11" s="23">
        <v>621</v>
      </c>
      <c r="L11" s="23">
        <v>591</v>
      </c>
      <c r="M11" s="23">
        <v>561</v>
      </c>
      <c r="N11" s="23">
        <v>531</v>
      </c>
      <c r="O11" s="23">
        <v>501</v>
      </c>
      <c r="P11" s="23">
        <v>471</v>
      </c>
      <c r="Q11" s="23">
        <v>441</v>
      </c>
      <c r="R11" s="23">
        <v>411</v>
      </c>
      <c r="S11" s="23">
        <v>381</v>
      </c>
      <c r="T11" s="22">
        <v>351</v>
      </c>
      <c r="U11" s="22">
        <v>321</v>
      </c>
      <c r="V11" s="22">
        <v>291</v>
      </c>
      <c r="W11" s="23">
        <v>261</v>
      </c>
      <c r="X11" s="23">
        <v>201</v>
      </c>
      <c r="Y11" s="22">
        <v>171</v>
      </c>
      <c r="Z11" s="22">
        <v>141</v>
      </c>
      <c r="AA11" s="23">
        <v>81</v>
      </c>
      <c r="AB11" s="23">
        <v>51</v>
      </c>
      <c r="AC11" s="29">
        <v>21</v>
      </c>
    </row>
    <row r="12" spans="1:61" ht="16.5" x14ac:dyDescent="0.25">
      <c r="A12" s="20">
        <v>11</v>
      </c>
      <c r="B12" s="21">
        <v>950</v>
      </c>
      <c r="C12" s="22">
        <v>920</v>
      </c>
      <c r="D12" s="22">
        <v>890</v>
      </c>
      <c r="E12" s="22">
        <v>830</v>
      </c>
      <c r="F12" s="23">
        <v>800</v>
      </c>
      <c r="G12" s="23">
        <v>770</v>
      </c>
      <c r="H12" s="25">
        <v>710</v>
      </c>
      <c r="I12" s="25">
        <v>680</v>
      </c>
      <c r="J12" s="26">
        <v>650</v>
      </c>
      <c r="K12" s="23">
        <v>620</v>
      </c>
      <c r="L12" s="22">
        <v>590</v>
      </c>
      <c r="M12" s="23">
        <v>560</v>
      </c>
      <c r="N12" s="22">
        <v>530</v>
      </c>
      <c r="O12" s="23">
        <v>500</v>
      </c>
      <c r="P12" s="23">
        <v>470</v>
      </c>
      <c r="Q12" s="23">
        <v>440</v>
      </c>
      <c r="R12" s="23">
        <v>410</v>
      </c>
      <c r="S12" s="23">
        <v>380</v>
      </c>
      <c r="T12" s="23">
        <v>350</v>
      </c>
      <c r="U12" s="23">
        <v>320</v>
      </c>
      <c r="V12" s="23">
        <v>290</v>
      </c>
      <c r="W12" s="22">
        <v>260</v>
      </c>
      <c r="X12" s="22">
        <v>200</v>
      </c>
      <c r="Y12" s="23">
        <v>170</v>
      </c>
      <c r="Z12" s="23">
        <v>140</v>
      </c>
      <c r="AA12" s="22">
        <v>80</v>
      </c>
      <c r="AB12" s="22">
        <v>50</v>
      </c>
      <c r="AC12" s="27">
        <v>20</v>
      </c>
    </row>
    <row r="13" spans="1:61" ht="16.5" x14ac:dyDescent="0.25">
      <c r="A13" s="20">
        <v>12</v>
      </c>
      <c r="B13" s="28">
        <v>949</v>
      </c>
      <c r="C13" s="23">
        <v>919</v>
      </c>
      <c r="D13" s="23">
        <v>889</v>
      </c>
      <c r="E13" s="23">
        <v>829</v>
      </c>
      <c r="F13" s="22">
        <v>799</v>
      </c>
      <c r="G13" s="22">
        <v>769</v>
      </c>
      <c r="H13" s="25">
        <v>709</v>
      </c>
      <c r="I13" s="25">
        <v>679</v>
      </c>
      <c r="J13" s="25">
        <v>649</v>
      </c>
      <c r="K13" s="23">
        <v>619</v>
      </c>
      <c r="L13" s="23">
        <v>589</v>
      </c>
      <c r="M13" s="23">
        <v>559</v>
      </c>
      <c r="N13" s="23">
        <v>529</v>
      </c>
      <c r="O13" s="23">
        <v>499</v>
      </c>
      <c r="P13" s="23">
        <v>469</v>
      </c>
      <c r="Q13" s="23">
        <v>439</v>
      </c>
      <c r="R13" s="23">
        <v>409</v>
      </c>
      <c r="S13" s="23">
        <v>379</v>
      </c>
      <c r="T13" s="22">
        <v>349</v>
      </c>
      <c r="U13" s="22">
        <v>319</v>
      </c>
      <c r="V13" s="22">
        <v>289</v>
      </c>
      <c r="W13" s="23">
        <v>259</v>
      </c>
      <c r="X13" s="23">
        <v>199</v>
      </c>
      <c r="Y13" s="22">
        <v>169</v>
      </c>
      <c r="Z13" s="22">
        <v>139</v>
      </c>
      <c r="AA13" s="23">
        <v>79</v>
      </c>
      <c r="AB13" s="23">
        <v>49</v>
      </c>
      <c r="AC13" s="29">
        <v>19</v>
      </c>
    </row>
    <row r="14" spans="1:61" ht="16.5" x14ac:dyDescent="0.25">
      <c r="A14" s="20">
        <v>13</v>
      </c>
      <c r="B14" s="21">
        <v>948</v>
      </c>
      <c r="C14" s="22">
        <v>918</v>
      </c>
      <c r="D14" s="22">
        <v>888</v>
      </c>
      <c r="E14" s="22">
        <v>828</v>
      </c>
      <c r="F14" s="23">
        <v>798</v>
      </c>
      <c r="G14" s="23">
        <v>768</v>
      </c>
      <c r="H14" s="25">
        <v>708</v>
      </c>
      <c r="I14" s="25">
        <v>678</v>
      </c>
      <c r="J14" s="26">
        <v>648</v>
      </c>
      <c r="K14" s="23">
        <v>618</v>
      </c>
      <c r="L14" s="22">
        <v>588</v>
      </c>
      <c r="M14" s="23">
        <v>558</v>
      </c>
      <c r="N14" s="22">
        <v>528</v>
      </c>
      <c r="O14" s="23">
        <v>498</v>
      </c>
      <c r="P14" s="23">
        <v>468</v>
      </c>
      <c r="Q14" s="23">
        <v>438</v>
      </c>
      <c r="R14" s="23">
        <v>408</v>
      </c>
      <c r="S14" s="23">
        <v>378</v>
      </c>
      <c r="T14" s="23">
        <v>348</v>
      </c>
      <c r="U14" s="23">
        <v>318</v>
      </c>
      <c r="V14" s="23">
        <v>288</v>
      </c>
      <c r="W14" s="22">
        <v>258</v>
      </c>
      <c r="X14" s="22">
        <v>198</v>
      </c>
      <c r="Y14" s="23">
        <v>168</v>
      </c>
      <c r="Z14" s="23">
        <v>138</v>
      </c>
      <c r="AA14" s="22">
        <v>78</v>
      </c>
      <c r="AB14" s="22">
        <v>48</v>
      </c>
      <c r="AC14" s="27">
        <v>18</v>
      </c>
    </row>
    <row r="15" spans="1:61" ht="16.5" x14ac:dyDescent="0.25">
      <c r="A15" s="20">
        <v>14</v>
      </c>
      <c r="B15" s="28">
        <v>947</v>
      </c>
      <c r="C15" s="23">
        <v>917</v>
      </c>
      <c r="D15" s="23">
        <v>887</v>
      </c>
      <c r="E15" s="23">
        <v>827</v>
      </c>
      <c r="F15" s="22">
        <v>797</v>
      </c>
      <c r="G15" s="22">
        <v>767</v>
      </c>
      <c r="H15" s="25">
        <v>707</v>
      </c>
      <c r="I15" s="25">
        <v>677</v>
      </c>
      <c r="J15" s="25">
        <v>647</v>
      </c>
      <c r="K15" s="23">
        <v>617</v>
      </c>
      <c r="L15" s="23">
        <v>587</v>
      </c>
      <c r="M15" s="23">
        <v>557</v>
      </c>
      <c r="N15" s="23">
        <v>527</v>
      </c>
      <c r="O15" s="23">
        <v>497</v>
      </c>
      <c r="P15" s="23">
        <v>467</v>
      </c>
      <c r="Q15" s="23">
        <v>437</v>
      </c>
      <c r="R15" s="23">
        <v>407</v>
      </c>
      <c r="S15" s="23">
        <v>377</v>
      </c>
      <c r="T15" s="22">
        <v>347</v>
      </c>
      <c r="U15" s="22">
        <v>317</v>
      </c>
      <c r="V15" s="22">
        <v>287</v>
      </c>
      <c r="W15" s="23">
        <v>257</v>
      </c>
      <c r="X15" s="23">
        <v>197</v>
      </c>
      <c r="Y15" s="22">
        <v>167</v>
      </c>
      <c r="Z15" s="22">
        <v>137</v>
      </c>
      <c r="AA15" s="23">
        <v>77</v>
      </c>
      <c r="AB15" s="23">
        <v>47</v>
      </c>
      <c r="AC15" s="29">
        <v>17</v>
      </c>
    </row>
    <row r="16" spans="1:61" ht="16.5" x14ac:dyDescent="0.25">
      <c r="A16" s="20">
        <v>15</v>
      </c>
      <c r="B16" s="21">
        <v>946</v>
      </c>
      <c r="C16" s="22">
        <v>916</v>
      </c>
      <c r="D16" s="22">
        <v>886</v>
      </c>
      <c r="E16" s="22">
        <v>826</v>
      </c>
      <c r="F16" s="23">
        <v>796</v>
      </c>
      <c r="G16" s="23">
        <v>766</v>
      </c>
      <c r="H16" s="25">
        <v>706</v>
      </c>
      <c r="I16" s="25">
        <v>676</v>
      </c>
      <c r="J16" s="26">
        <v>646</v>
      </c>
      <c r="K16" s="23">
        <v>616</v>
      </c>
      <c r="L16" s="22">
        <v>586</v>
      </c>
      <c r="M16" s="23">
        <v>556</v>
      </c>
      <c r="N16" s="22">
        <v>526</v>
      </c>
      <c r="O16" s="23">
        <v>496</v>
      </c>
      <c r="P16" s="23">
        <v>466</v>
      </c>
      <c r="Q16" s="23">
        <v>436</v>
      </c>
      <c r="R16" s="23">
        <v>406</v>
      </c>
      <c r="S16" s="23">
        <v>376</v>
      </c>
      <c r="T16" s="23">
        <v>346</v>
      </c>
      <c r="U16" s="23">
        <v>316</v>
      </c>
      <c r="V16" s="23">
        <v>286</v>
      </c>
      <c r="W16" s="22">
        <v>256</v>
      </c>
      <c r="X16" s="22">
        <v>196</v>
      </c>
      <c r="Y16" s="23">
        <v>166</v>
      </c>
      <c r="Z16" s="23">
        <v>136</v>
      </c>
      <c r="AA16" s="22">
        <v>76</v>
      </c>
      <c r="AB16" s="22">
        <v>46</v>
      </c>
      <c r="AC16" s="27">
        <v>16</v>
      </c>
    </row>
    <row r="17" spans="1:29" ht="16.5" x14ac:dyDescent="0.25">
      <c r="A17" s="20">
        <v>16</v>
      </c>
      <c r="B17" s="28">
        <v>945</v>
      </c>
      <c r="C17" s="23">
        <v>915</v>
      </c>
      <c r="D17" s="23">
        <v>885</v>
      </c>
      <c r="E17" s="23">
        <v>825</v>
      </c>
      <c r="F17" s="22">
        <v>795</v>
      </c>
      <c r="G17" s="22">
        <v>765</v>
      </c>
      <c r="H17" s="25">
        <v>705</v>
      </c>
      <c r="I17" s="25">
        <v>675</v>
      </c>
      <c r="J17" s="25">
        <v>645</v>
      </c>
      <c r="K17" s="23">
        <v>615</v>
      </c>
      <c r="L17" s="23">
        <v>585</v>
      </c>
      <c r="M17" s="23">
        <v>555</v>
      </c>
      <c r="N17" s="23">
        <v>525</v>
      </c>
      <c r="O17" s="23">
        <v>495</v>
      </c>
      <c r="P17" s="23">
        <v>465</v>
      </c>
      <c r="Q17" s="23">
        <v>435</v>
      </c>
      <c r="R17" s="23">
        <v>405</v>
      </c>
      <c r="S17" s="23">
        <v>375</v>
      </c>
      <c r="T17" s="22">
        <v>345</v>
      </c>
      <c r="U17" s="22">
        <v>315</v>
      </c>
      <c r="V17" s="22">
        <v>285</v>
      </c>
      <c r="W17" s="23">
        <v>255</v>
      </c>
      <c r="X17" s="23">
        <v>195</v>
      </c>
      <c r="Y17" s="22">
        <v>165</v>
      </c>
      <c r="Z17" s="22">
        <v>135</v>
      </c>
      <c r="AA17" s="23">
        <v>75</v>
      </c>
      <c r="AB17" s="23">
        <v>45</v>
      </c>
      <c r="AC17" s="29">
        <v>15</v>
      </c>
    </row>
    <row r="18" spans="1:29" ht="16.5" x14ac:dyDescent="0.25">
      <c r="A18" s="20">
        <v>17</v>
      </c>
      <c r="B18" s="21">
        <v>944</v>
      </c>
      <c r="C18" s="22">
        <v>914</v>
      </c>
      <c r="D18" s="22">
        <v>884</v>
      </c>
      <c r="E18" s="22">
        <v>824</v>
      </c>
      <c r="F18" s="23">
        <v>794</v>
      </c>
      <c r="G18" s="23">
        <v>764</v>
      </c>
      <c r="H18" s="25">
        <v>704</v>
      </c>
      <c r="I18" s="25">
        <v>674</v>
      </c>
      <c r="J18" s="26">
        <v>644</v>
      </c>
      <c r="K18" s="23">
        <v>614</v>
      </c>
      <c r="L18" s="22">
        <v>584</v>
      </c>
      <c r="M18" s="23">
        <v>554</v>
      </c>
      <c r="N18" s="22">
        <v>524</v>
      </c>
      <c r="O18" s="23">
        <v>494</v>
      </c>
      <c r="P18" s="23">
        <v>464</v>
      </c>
      <c r="Q18" s="23">
        <v>434</v>
      </c>
      <c r="R18" s="23">
        <v>404</v>
      </c>
      <c r="S18" s="23">
        <v>374</v>
      </c>
      <c r="T18" s="23">
        <v>344</v>
      </c>
      <c r="U18" s="23">
        <v>314</v>
      </c>
      <c r="V18" s="23">
        <v>284</v>
      </c>
      <c r="W18" s="22">
        <v>254</v>
      </c>
      <c r="X18" s="22">
        <v>194</v>
      </c>
      <c r="Y18" s="23">
        <v>164</v>
      </c>
      <c r="Z18" s="23">
        <v>134</v>
      </c>
      <c r="AA18" s="22">
        <v>74</v>
      </c>
      <c r="AB18" s="22">
        <v>44</v>
      </c>
      <c r="AC18" s="27">
        <v>14</v>
      </c>
    </row>
    <row r="19" spans="1:29" ht="16.5" x14ac:dyDescent="0.25">
      <c r="A19" s="20">
        <v>18</v>
      </c>
      <c r="B19" s="28">
        <v>943</v>
      </c>
      <c r="C19" s="23">
        <v>913</v>
      </c>
      <c r="D19" s="23">
        <v>883</v>
      </c>
      <c r="E19" s="23">
        <v>823</v>
      </c>
      <c r="F19" s="22">
        <v>793</v>
      </c>
      <c r="G19" s="22">
        <v>763</v>
      </c>
      <c r="H19" s="25">
        <v>703</v>
      </c>
      <c r="I19" s="25">
        <v>673</v>
      </c>
      <c r="J19" s="25">
        <v>643</v>
      </c>
      <c r="K19" s="23">
        <v>613</v>
      </c>
      <c r="L19" s="23">
        <v>583</v>
      </c>
      <c r="M19" s="23">
        <v>553</v>
      </c>
      <c r="N19" s="23">
        <v>523</v>
      </c>
      <c r="O19" s="23">
        <v>493</v>
      </c>
      <c r="P19" s="23">
        <v>463</v>
      </c>
      <c r="Q19" s="23">
        <v>433</v>
      </c>
      <c r="R19" s="23">
        <v>403</v>
      </c>
      <c r="S19" s="23">
        <v>373</v>
      </c>
      <c r="T19" s="22">
        <v>343</v>
      </c>
      <c r="U19" s="22">
        <v>313</v>
      </c>
      <c r="V19" s="22">
        <v>283</v>
      </c>
      <c r="W19" s="23">
        <v>253</v>
      </c>
      <c r="X19" s="23">
        <v>193</v>
      </c>
      <c r="Y19" s="22">
        <v>163</v>
      </c>
      <c r="Z19" s="22">
        <v>133</v>
      </c>
      <c r="AA19" s="23">
        <v>73</v>
      </c>
      <c r="AB19" s="23">
        <v>43</v>
      </c>
      <c r="AC19" s="29">
        <v>13</v>
      </c>
    </row>
    <row r="20" spans="1:29" ht="16.5" x14ac:dyDescent="0.25">
      <c r="A20" s="20">
        <v>19</v>
      </c>
      <c r="B20" s="21">
        <v>942</v>
      </c>
      <c r="C20" s="22">
        <v>912</v>
      </c>
      <c r="D20" s="22">
        <v>882</v>
      </c>
      <c r="E20" s="22">
        <v>822</v>
      </c>
      <c r="F20" s="23">
        <v>792</v>
      </c>
      <c r="G20" s="23">
        <v>762</v>
      </c>
      <c r="H20" s="25">
        <v>702</v>
      </c>
      <c r="I20" s="25">
        <v>672</v>
      </c>
      <c r="J20" s="26">
        <v>642</v>
      </c>
      <c r="K20" s="23">
        <v>612</v>
      </c>
      <c r="L20" s="22">
        <v>582</v>
      </c>
      <c r="M20" s="23">
        <v>552</v>
      </c>
      <c r="N20" s="22">
        <v>522</v>
      </c>
      <c r="O20" s="23">
        <v>492</v>
      </c>
      <c r="P20" s="23">
        <v>462</v>
      </c>
      <c r="Q20" s="23">
        <v>432</v>
      </c>
      <c r="R20" s="23">
        <v>402</v>
      </c>
      <c r="S20" s="23">
        <v>372</v>
      </c>
      <c r="T20" s="23">
        <v>342</v>
      </c>
      <c r="U20" s="23">
        <v>312</v>
      </c>
      <c r="V20" s="23">
        <v>282</v>
      </c>
      <c r="W20" s="22">
        <v>252</v>
      </c>
      <c r="X20" s="22">
        <v>192</v>
      </c>
      <c r="Y20" s="23">
        <v>162</v>
      </c>
      <c r="Z20" s="23">
        <v>132</v>
      </c>
      <c r="AA20" s="22">
        <v>72</v>
      </c>
      <c r="AB20" s="22">
        <v>42</v>
      </c>
      <c r="AC20" s="27">
        <v>12</v>
      </c>
    </row>
    <row r="21" spans="1:29" ht="16.5" x14ac:dyDescent="0.25">
      <c r="A21" s="20">
        <v>20</v>
      </c>
      <c r="B21" s="28">
        <v>941</v>
      </c>
      <c r="C21" s="23">
        <v>911</v>
      </c>
      <c r="D21" s="23">
        <v>881</v>
      </c>
      <c r="E21" s="23">
        <v>821</v>
      </c>
      <c r="F21" s="22">
        <v>791</v>
      </c>
      <c r="G21" s="22">
        <v>761</v>
      </c>
      <c r="H21" s="25">
        <v>701</v>
      </c>
      <c r="I21" s="25">
        <v>671</v>
      </c>
      <c r="J21" s="25">
        <v>641</v>
      </c>
      <c r="K21" s="23">
        <v>611</v>
      </c>
      <c r="L21" s="23">
        <v>581</v>
      </c>
      <c r="M21" s="23">
        <v>551</v>
      </c>
      <c r="N21" s="23">
        <v>521</v>
      </c>
      <c r="O21" s="23">
        <v>491</v>
      </c>
      <c r="P21" s="23">
        <v>461</v>
      </c>
      <c r="Q21" s="23">
        <v>431</v>
      </c>
      <c r="R21" s="23">
        <v>401</v>
      </c>
      <c r="S21" s="23">
        <v>371</v>
      </c>
      <c r="T21" s="22">
        <v>341</v>
      </c>
      <c r="U21" s="22">
        <v>311</v>
      </c>
      <c r="V21" s="22">
        <v>281</v>
      </c>
      <c r="W21" s="23">
        <v>251</v>
      </c>
      <c r="X21" s="23">
        <v>191</v>
      </c>
      <c r="Y21" s="22">
        <v>161</v>
      </c>
      <c r="Z21" s="22">
        <v>131</v>
      </c>
      <c r="AA21" s="23">
        <v>71</v>
      </c>
      <c r="AB21" s="23">
        <v>41</v>
      </c>
      <c r="AC21" s="29">
        <v>11</v>
      </c>
    </row>
    <row r="22" spans="1:29" ht="16.5" x14ac:dyDescent="0.25">
      <c r="A22" s="20">
        <v>21</v>
      </c>
      <c r="B22" s="21">
        <v>940</v>
      </c>
      <c r="C22" s="22">
        <v>910</v>
      </c>
      <c r="D22" s="22">
        <v>880</v>
      </c>
      <c r="E22" s="22">
        <v>820</v>
      </c>
      <c r="F22" s="23">
        <v>790</v>
      </c>
      <c r="G22" s="23">
        <v>760</v>
      </c>
      <c r="H22" s="25">
        <v>700</v>
      </c>
      <c r="I22" s="25">
        <v>670</v>
      </c>
      <c r="J22" s="26">
        <v>640</v>
      </c>
      <c r="K22" s="23">
        <v>610</v>
      </c>
      <c r="L22" s="22">
        <v>580</v>
      </c>
      <c r="M22" s="23">
        <v>550</v>
      </c>
      <c r="N22" s="22">
        <v>520</v>
      </c>
      <c r="O22" s="23">
        <v>490</v>
      </c>
      <c r="P22" s="23">
        <v>460</v>
      </c>
      <c r="Q22" s="23">
        <v>430</v>
      </c>
      <c r="R22" s="23">
        <v>400</v>
      </c>
      <c r="S22" s="23">
        <v>370</v>
      </c>
      <c r="T22" s="23">
        <v>340</v>
      </c>
      <c r="U22" s="23">
        <v>310</v>
      </c>
      <c r="V22" s="23">
        <v>280</v>
      </c>
      <c r="W22" s="22">
        <v>250</v>
      </c>
      <c r="X22" s="22">
        <v>190</v>
      </c>
      <c r="Y22" s="23">
        <v>160</v>
      </c>
      <c r="Z22" s="23">
        <v>130</v>
      </c>
      <c r="AA22" s="22">
        <v>70</v>
      </c>
      <c r="AB22" s="22">
        <v>40</v>
      </c>
      <c r="AC22" s="27">
        <v>10</v>
      </c>
    </row>
    <row r="23" spans="1:29" ht="16.5" x14ac:dyDescent="0.25">
      <c r="A23" s="20">
        <v>22</v>
      </c>
      <c r="B23" s="28">
        <v>939</v>
      </c>
      <c r="C23" s="23">
        <v>909</v>
      </c>
      <c r="D23" s="23">
        <v>879</v>
      </c>
      <c r="E23" s="23">
        <v>819</v>
      </c>
      <c r="F23" s="22">
        <v>789</v>
      </c>
      <c r="G23" s="22">
        <v>759</v>
      </c>
      <c r="H23" s="25">
        <v>699</v>
      </c>
      <c r="I23" s="25">
        <v>669</v>
      </c>
      <c r="J23" s="25">
        <v>639</v>
      </c>
      <c r="K23" s="23">
        <v>609</v>
      </c>
      <c r="L23" s="23">
        <v>579</v>
      </c>
      <c r="M23" s="23">
        <v>549</v>
      </c>
      <c r="N23" s="23">
        <v>519</v>
      </c>
      <c r="O23" s="23">
        <v>489</v>
      </c>
      <c r="P23" s="23">
        <v>459</v>
      </c>
      <c r="Q23" s="23">
        <v>429</v>
      </c>
      <c r="R23" s="23">
        <v>399</v>
      </c>
      <c r="S23" s="23">
        <v>369</v>
      </c>
      <c r="T23" s="22">
        <v>339</v>
      </c>
      <c r="U23" s="22">
        <v>309</v>
      </c>
      <c r="V23" s="22">
        <v>279</v>
      </c>
      <c r="W23" s="23">
        <v>249</v>
      </c>
      <c r="X23" s="23">
        <v>189</v>
      </c>
      <c r="Y23" s="22">
        <v>159</v>
      </c>
      <c r="Z23" s="22">
        <v>129</v>
      </c>
      <c r="AA23" s="23">
        <v>69</v>
      </c>
      <c r="AB23" s="23">
        <v>39</v>
      </c>
      <c r="AC23" s="29">
        <v>9</v>
      </c>
    </row>
    <row r="24" spans="1:29" ht="16.5" x14ac:dyDescent="0.25">
      <c r="A24" s="20">
        <v>23</v>
      </c>
      <c r="B24" s="21">
        <v>938</v>
      </c>
      <c r="C24" s="22">
        <v>908</v>
      </c>
      <c r="D24" s="22">
        <v>878</v>
      </c>
      <c r="E24" s="22">
        <v>818</v>
      </c>
      <c r="F24" s="23">
        <v>788</v>
      </c>
      <c r="G24" s="23">
        <v>758</v>
      </c>
      <c r="H24" s="25">
        <v>698</v>
      </c>
      <c r="I24" s="25">
        <v>668</v>
      </c>
      <c r="J24" s="26">
        <v>638</v>
      </c>
      <c r="K24" s="23">
        <v>608</v>
      </c>
      <c r="L24" s="22">
        <v>578</v>
      </c>
      <c r="M24" s="23">
        <v>548</v>
      </c>
      <c r="N24" s="22">
        <v>518</v>
      </c>
      <c r="O24" s="23">
        <v>488</v>
      </c>
      <c r="P24" s="23">
        <v>458</v>
      </c>
      <c r="Q24" s="23">
        <v>428</v>
      </c>
      <c r="R24" s="23">
        <v>398</v>
      </c>
      <c r="S24" s="23">
        <v>368</v>
      </c>
      <c r="T24" s="23">
        <v>338</v>
      </c>
      <c r="U24" s="23">
        <v>308</v>
      </c>
      <c r="V24" s="23">
        <v>278</v>
      </c>
      <c r="W24" s="22">
        <v>248</v>
      </c>
      <c r="X24" s="22">
        <v>188</v>
      </c>
      <c r="Y24" s="23">
        <v>158</v>
      </c>
      <c r="Z24" s="23">
        <v>128</v>
      </c>
      <c r="AA24" s="22">
        <v>68</v>
      </c>
      <c r="AB24" s="22">
        <v>38</v>
      </c>
      <c r="AC24" s="27">
        <v>8</v>
      </c>
    </row>
    <row r="25" spans="1:29" ht="16.5" x14ac:dyDescent="0.25">
      <c r="A25" s="20">
        <v>24</v>
      </c>
      <c r="B25" s="28">
        <v>937</v>
      </c>
      <c r="C25" s="23">
        <v>907</v>
      </c>
      <c r="D25" s="23">
        <v>877</v>
      </c>
      <c r="E25" s="23">
        <v>817</v>
      </c>
      <c r="F25" s="22">
        <v>787</v>
      </c>
      <c r="G25" s="22">
        <v>757</v>
      </c>
      <c r="H25" s="25">
        <v>697</v>
      </c>
      <c r="I25" s="25">
        <v>667</v>
      </c>
      <c r="J25" s="25">
        <v>637</v>
      </c>
      <c r="K25" s="23">
        <v>607</v>
      </c>
      <c r="L25" s="23">
        <v>577</v>
      </c>
      <c r="M25" s="23">
        <v>547</v>
      </c>
      <c r="N25" s="23">
        <v>517</v>
      </c>
      <c r="O25" s="23">
        <v>487</v>
      </c>
      <c r="P25" s="23">
        <v>457</v>
      </c>
      <c r="Q25" s="23">
        <v>427</v>
      </c>
      <c r="R25" s="23">
        <v>397</v>
      </c>
      <c r="S25" s="23">
        <v>367</v>
      </c>
      <c r="T25" s="22">
        <v>337</v>
      </c>
      <c r="U25" s="22">
        <v>307</v>
      </c>
      <c r="V25" s="22">
        <v>277</v>
      </c>
      <c r="W25" s="23">
        <v>247</v>
      </c>
      <c r="X25" s="23">
        <v>187</v>
      </c>
      <c r="Y25" s="22">
        <v>157</v>
      </c>
      <c r="Z25" s="22">
        <v>127</v>
      </c>
      <c r="AA25" s="23">
        <v>67</v>
      </c>
      <c r="AB25" s="23">
        <v>37</v>
      </c>
      <c r="AC25" s="29">
        <v>7</v>
      </c>
    </row>
    <row r="26" spans="1:29" ht="16.5" x14ac:dyDescent="0.25">
      <c r="A26" s="20">
        <v>25</v>
      </c>
      <c r="B26" s="21">
        <v>936</v>
      </c>
      <c r="C26" s="22">
        <v>906</v>
      </c>
      <c r="D26" s="22">
        <v>876</v>
      </c>
      <c r="E26" s="22">
        <v>816</v>
      </c>
      <c r="F26" s="23">
        <v>786</v>
      </c>
      <c r="G26" s="23">
        <v>756</v>
      </c>
      <c r="H26" s="25">
        <v>696</v>
      </c>
      <c r="I26" s="25">
        <v>666</v>
      </c>
      <c r="J26" s="26">
        <v>636</v>
      </c>
      <c r="K26" s="23">
        <v>606</v>
      </c>
      <c r="L26" s="22">
        <v>576</v>
      </c>
      <c r="M26" s="23">
        <v>546</v>
      </c>
      <c r="N26" s="22">
        <v>516</v>
      </c>
      <c r="O26" s="23">
        <v>486</v>
      </c>
      <c r="P26" s="23">
        <v>456</v>
      </c>
      <c r="Q26" s="23">
        <v>426</v>
      </c>
      <c r="R26" s="23">
        <v>396</v>
      </c>
      <c r="S26" s="23">
        <v>366</v>
      </c>
      <c r="T26" s="23">
        <v>336</v>
      </c>
      <c r="U26" s="23">
        <v>306</v>
      </c>
      <c r="V26" s="23">
        <v>276</v>
      </c>
      <c r="W26" s="22">
        <v>246</v>
      </c>
      <c r="X26" s="22">
        <v>186</v>
      </c>
      <c r="Y26" s="23">
        <v>156</v>
      </c>
      <c r="Z26" s="23">
        <v>126</v>
      </c>
      <c r="AA26" s="22">
        <v>66</v>
      </c>
      <c r="AB26" s="22">
        <v>36</v>
      </c>
      <c r="AC26" s="27">
        <v>6</v>
      </c>
    </row>
    <row r="27" spans="1:29" ht="16.5" x14ac:dyDescent="0.25">
      <c r="A27" s="20">
        <v>26</v>
      </c>
      <c r="B27" s="28">
        <v>935</v>
      </c>
      <c r="C27" s="23">
        <v>905</v>
      </c>
      <c r="D27" s="23">
        <v>875</v>
      </c>
      <c r="E27" s="23">
        <v>815</v>
      </c>
      <c r="F27" s="22">
        <v>785</v>
      </c>
      <c r="G27" s="22">
        <v>755</v>
      </c>
      <c r="H27" s="25">
        <v>695</v>
      </c>
      <c r="I27" s="25">
        <v>665</v>
      </c>
      <c r="J27" s="25">
        <v>635</v>
      </c>
      <c r="K27" s="23">
        <v>605</v>
      </c>
      <c r="L27" s="23">
        <v>575</v>
      </c>
      <c r="M27" s="23">
        <v>545</v>
      </c>
      <c r="N27" s="23">
        <v>515</v>
      </c>
      <c r="O27" s="23">
        <v>485</v>
      </c>
      <c r="P27" s="23">
        <v>455</v>
      </c>
      <c r="Q27" s="23">
        <v>425</v>
      </c>
      <c r="R27" s="23">
        <v>395</v>
      </c>
      <c r="S27" s="23">
        <v>365</v>
      </c>
      <c r="T27" s="22">
        <v>335</v>
      </c>
      <c r="U27" s="22">
        <v>305</v>
      </c>
      <c r="V27" s="22">
        <v>275</v>
      </c>
      <c r="W27" s="23">
        <v>245</v>
      </c>
      <c r="X27" s="23">
        <v>185</v>
      </c>
      <c r="Y27" s="22">
        <v>155</v>
      </c>
      <c r="Z27" s="22">
        <v>125</v>
      </c>
      <c r="AA27" s="23">
        <v>65</v>
      </c>
      <c r="AB27" s="23">
        <v>35</v>
      </c>
      <c r="AC27" s="29">
        <v>5</v>
      </c>
    </row>
    <row r="28" spans="1:29" ht="16.5" x14ac:dyDescent="0.25">
      <c r="A28" s="20">
        <v>27</v>
      </c>
      <c r="B28" s="21">
        <v>934</v>
      </c>
      <c r="C28" s="22">
        <v>904</v>
      </c>
      <c r="D28" s="22">
        <v>874</v>
      </c>
      <c r="E28" s="22">
        <v>814</v>
      </c>
      <c r="F28" s="23">
        <v>784</v>
      </c>
      <c r="G28" s="23">
        <v>754</v>
      </c>
      <c r="H28" s="25">
        <v>694</v>
      </c>
      <c r="I28" s="25">
        <v>664</v>
      </c>
      <c r="J28" s="26">
        <v>634</v>
      </c>
      <c r="K28" s="23">
        <v>604</v>
      </c>
      <c r="L28" s="22">
        <v>574</v>
      </c>
      <c r="M28" s="23">
        <v>544</v>
      </c>
      <c r="N28" s="22">
        <v>514</v>
      </c>
      <c r="O28" s="23">
        <v>484</v>
      </c>
      <c r="P28" s="23">
        <v>454</v>
      </c>
      <c r="Q28" s="23">
        <v>424</v>
      </c>
      <c r="R28" s="23">
        <v>394</v>
      </c>
      <c r="S28" s="23">
        <v>364</v>
      </c>
      <c r="T28" s="23">
        <v>334</v>
      </c>
      <c r="U28" s="23">
        <v>304</v>
      </c>
      <c r="V28" s="23">
        <v>274</v>
      </c>
      <c r="W28" s="22">
        <v>244</v>
      </c>
      <c r="X28" s="22">
        <v>184</v>
      </c>
      <c r="Y28" s="23">
        <v>154</v>
      </c>
      <c r="Z28" s="23">
        <v>124</v>
      </c>
      <c r="AA28" s="22">
        <v>64</v>
      </c>
      <c r="AB28" s="22">
        <v>34</v>
      </c>
      <c r="AC28" s="27">
        <v>4</v>
      </c>
    </row>
    <row r="29" spans="1:29" ht="16.5" x14ac:dyDescent="0.25">
      <c r="A29" s="20">
        <v>28</v>
      </c>
      <c r="B29" s="28">
        <v>933</v>
      </c>
      <c r="C29" s="23">
        <v>903</v>
      </c>
      <c r="D29" s="23">
        <v>873</v>
      </c>
      <c r="E29" s="23">
        <v>813</v>
      </c>
      <c r="F29" s="22">
        <v>783</v>
      </c>
      <c r="G29" s="22">
        <v>753</v>
      </c>
      <c r="H29" s="25">
        <v>693</v>
      </c>
      <c r="I29" s="25">
        <v>663</v>
      </c>
      <c r="J29" s="25">
        <v>633</v>
      </c>
      <c r="K29" s="23">
        <v>603</v>
      </c>
      <c r="L29" s="23">
        <v>573</v>
      </c>
      <c r="M29" s="23">
        <v>543</v>
      </c>
      <c r="N29" s="23">
        <v>513</v>
      </c>
      <c r="O29" s="23">
        <v>483</v>
      </c>
      <c r="P29" s="23">
        <v>453</v>
      </c>
      <c r="Q29" s="23">
        <v>423</v>
      </c>
      <c r="R29" s="23">
        <v>393</v>
      </c>
      <c r="S29" s="23">
        <v>363</v>
      </c>
      <c r="T29" s="22">
        <v>333</v>
      </c>
      <c r="U29" s="22">
        <v>303</v>
      </c>
      <c r="V29" s="22">
        <v>273</v>
      </c>
      <c r="W29" s="23">
        <v>243</v>
      </c>
      <c r="X29" s="23">
        <v>183</v>
      </c>
      <c r="Y29" s="22">
        <v>153</v>
      </c>
      <c r="Z29" s="22">
        <v>123</v>
      </c>
      <c r="AA29" s="23">
        <v>63</v>
      </c>
      <c r="AB29" s="23">
        <v>33</v>
      </c>
      <c r="AC29" s="29">
        <v>3</v>
      </c>
    </row>
    <row r="30" spans="1:29" ht="16.5" x14ac:dyDescent="0.25">
      <c r="A30" s="20">
        <v>29</v>
      </c>
      <c r="B30" s="21">
        <v>932</v>
      </c>
      <c r="C30" s="22">
        <v>902</v>
      </c>
      <c r="D30" s="22">
        <v>872</v>
      </c>
      <c r="E30" s="22">
        <v>812</v>
      </c>
      <c r="F30" s="23">
        <v>782</v>
      </c>
      <c r="G30" s="23">
        <v>752</v>
      </c>
      <c r="H30" s="25">
        <v>692</v>
      </c>
      <c r="I30" s="25">
        <v>662</v>
      </c>
      <c r="J30" s="26">
        <v>632</v>
      </c>
      <c r="K30" s="23">
        <v>602</v>
      </c>
      <c r="L30" s="22">
        <v>572</v>
      </c>
      <c r="M30" s="23">
        <v>542</v>
      </c>
      <c r="N30" s="22">
        <v>512</v>
      </c>
      <c r="O30" s="23">
        <v>482</v>
      </c>
      <c r="P30" s="23">
        <v>452</v>
      </c>
      <c r="Q30" s="23">
        <v>422</v>
      </c>
      <c r="R30" s="23">
        <v>392</v>
      </c>
      <c r="S30" s="23">
        <v>362</v>
      </c>
      <c r="T30" s="23">
        <v>332</v>
      </c>
      <c r="U30" s="23">
        <v>302</v>
      </c>
      <c r="V30" s="23">
        <v>272</v>
      </c>
      <c r="W30" s="22">
        <v>242</v>
      </c>
      <c r="X30" s="22">
        <v>182</v>
      </c>
      <c r="Y30" s="23">
        <v>152</v>
      </c>
      <c r="Z30" s="23">
        <v>122</v>
      </c>
      <c r="AA30" s="22">
        <v>62</v>
      </c>
      <c r="AB30" s="22">
        <v>32</v>
      </c>
      <c r="AC30" s="27">
        <v>2</v>
      </c>
    </row>
    <row r="31" spans="1:29" ht="17.25" thickBot="1" x14ac:dyDescent="0.3">
      <c r="A31" s="20">
        <v>30</v>
      </c>
      <c r="B31" s="28">
        <v>931</v>
      </c>
      <c r="C31" s="23">
        <v>901</v>
      </c>
      <c r="D31" s="24">
        <v>871</v>
      </c>
      <c r="E31" s="23">
        <v>811</v>
      </c>
      <c r="F31" s="22">
        <v>781</v>
      </c>
      <c r="G31" s="22">
        <v>751</v>
      </c>
      <c r="H31" s="25">
        <v>691</v>
      </c>
      <c r="I31" s="25">
        <v>661</v>
      </c>
      <c r="J31" s="25">
        <v>631</v>
      </c>
      <c r="K31" s="23">
        <v>601</v>
      </c>
      <c r="L31" s="23">
        <v>571</v>
      </c>
      <c r="M31" s="23">
        <v>541</v>
      </c>
      <c r="N31" s="23">
        <v>511</v>
      </c>
      <c r="O31" s="23">
        <v>481</v>
      </c>
      <c r="P31" s="23">
        <v>451</v>
      </c>
      <c r="Q31" s="23">
        <v>421</v>
      </c>
      <c r="R31" s="23">
        <v>391</v>
      </c>
      <c r="S31" s="23">
        <v>361</v>
      </c>
      <c r="T31" s="22">
        <v>331</v>
      </c>
      <c r="U31" s="22">
        <v>301</v>
      </c>
      <c r="V31" s="22">
        <v>271</v>
      </c>
      <c r="W31" s="23">
        <v>241</v>
      </c>
      <c r="X31" s="23">
        <v>181</v>
      </c>
      <c r="Y31" s="22">
        <v>151</v>
      </c>
      <c r="Z31" s="22">
        <v>121</v>
      </c>
      <c r="AA31" s="23">
        <v>61</v>
      </c>
      <c r="AB31" s="23">
        <v>31</v>
      </c>
      <c r="AC31" s="30">
        <v>1</v>
      </c>
    </row>
    <row r="32" spans="1:29" x14ac:dyDescent="0.25">
      <c r="A32" s="20">
        <v>31</v>
      </c>
    </row>
    <row r="33" spans="1:1" x14ac:dyDescent="0.25">
      <c r="A33" s="20">
        <v>32</v>
      </c>
    </row>
    <row r="34" spans="1:1" x14ac:dyDescent="0.25">
      <c r="A34" s="20">
        <v>33</v>
      </c>
    </row>
    <row r="35" spans="1:1" x14ac:dyDescent="0.25">
      <c r="A35" s="20">
        <v>34</v>
      </c>
    </row>
    <row r="36" spans="1:1" x14ac:dyDescent="0.25">
      <c r="A36" s="20">
        <v>35</v>
      </c>
    </row>
    <row r="37" spans="1:1" x14ac:dyDescent="0.25">
      <c r="A37" s="20">
        <v>36</v>
      </c>
    </row>
    <row r="38" spans="1:1" x14ac:dyDescent="0.25">
      <c r="A38" s="20">
        <v>37</v>
      </c>
    </row>
    <row r="39" spans="1:1" x14ac:dyDescent="0.25">
      <c r="A39" s="20">
        <v>38</v>
      </c>
    </row>
    <row r="40" spans="1:1" x14ac:dyDescent="0.25">
      <c r="A40" s="20">
        <v>39</v>
      </c>
    </row>
    <row r="41" spans="1:1" x14ac:dyDescent="0.25">
      <c r="A41" s="20">
        <v>40</v>
      </c>
    </row>
    <row r="42" spans="1:1" x14ac:dyDescent="0.25">
      <c r="A42" s="20">
        <v>41</v>
      </c>
    </row>
    <row r="43" spans="1:1" x14ac:dyDescent="0.25">
      <c r="A43" s="20">
        <v>42</v>
      </c>
    </row>
    <row r="44" spans="1:1" x14ac:dyDescent="0.25">
      <c r="A44" s="20">
        <v>43</v>
      </c>
    </row>
    <row r="45" spans="1:1" x14ac:dyDescent="0.25">
      <c r="A45" s="20">
        <v>44</v>
      </c>
    </row>
    <row r="46" spans="1:1" x14ac:dyDescent="0.25">
      <c r="A46" s="20">
        <v>45</v>
      </c>
    </row>
    <row r="47" spans="1:1" x14ac:dyDescent="0.25">
      <c r="A47" s="20">
        <v>46</v>
      </c>
    </row>
    <row r="48" spans="1:1" x14ac:dyDescent="0.25">
      <c r="A48" s="20">
        <v>47</v>
      </c>
    </row>
    <row r="49" spans="1:1" x14ac:dyDescent="0.25">
      <c r="A49" s="20">
        <v>48</v>
      </c>
    </row>
    <row r="50" spans="1:1" x14ac:dyDescent="0.25">
      <c r="A50" s="20">
        <v>49</v>
      </c>
    </row>
    <row r="51" spans="1:1" x14ac:dyDescent="0.25">
      <c r="A51" s="20">
        <v>50</v>
      </c>
    </row>
    <row r="52" spans="1:1" x14ac:dyDescent="0.25">
      <c r="A52" s="20">
        <v>51</v>
      </c>
    </row>
    <row r="53" spans="1:1" x14ac:dyDescent="0.25">
      <c r="A53" s="20">
        <v>52</v>
      </c>
    </row>
    <row r="54" spans="1:1" x14ac:dyDescent="0.25">
      <c r="A54" s="20">
        <v>53</v>
      </c>
    </row>
    <row r="55" spans="1:1" x14ac:dyDescent="0.25">
      <c r="A55" s="20">
        <v>54</v>
      </c>
    </row>
    <row r="56" spans="1:1" x14ac:dyDescent="0.25">
      <c r="A56" s="20">
        <v>55</v>
      </c>
    </row>
    <row r="57" spans="1:1" x14ac:dyDescent="0.25">
      <c r="A57" s="20">
        <v>56</v>
      </c>
    </row>
    <row r="58" spans="1:1" x14ac:dyDescent="0.25">
      <c r="A58" s="20">
        <v>57</v>
      </c>
    </row>
    <row r="59" spans="1:1" x14ac:dyDescent="0.25">
      <c r="A59" s="20">
        <v>58</v>
      </c>
    </row>
    <row r="60" spans="1:1" x14ac:dyDescent="0.25">
      <c r="A60" s="20">
        <v>59</v>
      </c>
    </row>
    <row r="61" spans="1:1" x14ac:dyDescent="0.25">
      <c r="A61" s="20">
        <v>60</v>
      </c>
    </row>
  </sheetData>
  <phoneticPr fontId="2"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A1E6F-8D0A-4F1F-B1B2-04846FDEC780}">
  <sheetPr>
    <tabColor theme="7"/>
  </sheetPr>
  <dimension ref="A1:BI169"/>
  <sheetViews>
    <sheetView zoomScale="55" zoomScaleNormal="55" workbookViewId="0">
      <selection activeCell="Q7" sqref="Q7"/>
    </sheetView>
  </sheetViews>
  <sheetFormatPr defaultColWidth="5.7109375" defaultRowHeight="15.75" x14ac:dyDescent="0.25"/>
  <cols>
    <col min="1" max="1" width="5.7109375" style="20"/>
    <col min="2" max="2" width="5.7109375" customWidth="1"/>
  </cols>
  <sheetData>
    <row r="1" spans="1:61" s="20" customFormat="1" x14ac:dyDescent="0.25">
      <c r="B1" s="20">
        <v>1</v>
      </c>
      <c r="C1" s="20">
        <v>2</v>
      </c>
      <c r="D1" s="20">
        <v>3</v>
      </c>
      <c r="E1" s="20">
        <v>4</v>
      </c>
      <c r="F1" s="20">
        <v>5</v>
      </c>
      <c r="G1" s="20">
        <v>6</v>
      </c>
      <c r="H1" s="20">
        <v>7</v>
      </c>
      <c r="I1" s="20">
        <v>8</v>
      </c>
      <c r="J1" s="20">
        <v>9</v>
      </c>
      <c r="K1" s="20">
        <v>10</v>
      </c>
      <c r="L1" s="20">
        <v>11</v>
      </c>
      <c r="M1" s="20">
        <v>12</v>
      </c>
      <c r="N1" s="20">
        <v>13</v>
      </c>
      <c r="O1" s="20">
        <v>14</v>
      </c>
      <c r="P1" s="20">
        <v>15</v>
      </c>
      <c r="Q1" s="20">
        <v>16</v>
      </c>
      <c r="R1" s="20">
        <v>17</v>
      </c>
      <c r="S1" s="20">
        <v>18</v>
      </c>
      <c r="T1" s="20">
        <v>19</v>
      </c>
      <c r="U1" s="20">
        <v>20</v>
      </c>
      <c r="V1" s="20">
        <v>21</v>
      </c>
      <c r="W1" s="20">
        <v>22</v>
      </c>
      <c r="X1" s="20">
        <v>23</v>
      </c>
      <c r="Y1" s="20">
        <v>24</v>
      </c>
      <c r="Z1" s="20">
        <v>25</v>
      </c>
      <c r="AA1" s="20">
        <v>26</v>
      </c>
      <c r="AB1" s="20">
        <v>27</v>
      </c>
      <c r="AC1" s="20">
        <v>28</v>
      </c>
      <c r="AD1" s="20">
        <v>29</v>
      </c>
      <c r="AE1" s="20">
        <v>30</v>
      </c>
      <c r="AF1" s="20">
        <v>31</v>
      </c>
      <c r="AG1" s="20">
        <v>32</v>
      </c>
      <c r="AH1" s="20">
        <v>33</v>
      </c>
      <c r="AI1" s="20">
        <v>34</v>
      </c>
      <c r="AJ1" s="20">
        <v>35</v>
      </c>
      <c r="AK1" s="20">
        <v>36</v>
      </c>
      <c r="AL1" s="20">
        <v>37</v>
      </c>
      <c r="AM1" s="20">
        <v>38</v>
      </c>
      <c r="AN1" s="20">
        <v>39</v>
      </c>
      <c r="AO1" s="20">
        <v>40</v>
      </c>
      <c r="AP1" s="20">
        <v>41</v>
      </c>
      <c r="AQ1" s="20">
        <v>42</v>
      </c>
      <c r="AR1" s="20">
        <v>43</v>
      </c>
      <c r="AS1" s="20">
        <v>44</v>
      </c>
      <c r="AT1" s="20">
        <v>45</v>
      </c>
      <c r="AU1" s="20">
        <v>46</v>
      </c>
      <c r="AV1" s="20">
        <v>47</v>
      </c>
      <c r="AW1" s="20">
        <v>48</v>
      </c>
      <c r="AX1" s="20">
        <v>49</v>
      </c>
      <c r="AY1" s="20">
        <v>50</v>
      </c>
      <c r="AZ1" s="20">
        <v>51</v>
      </c>
      <c r="BA1" s="20">
        <v>52</v>
      </c>
      <c r="BB1" s="20">
        <v>53</v>
      </c>
      <c r="BC1" s="20">
        <v>54</v>
      </c>
      <c r="BD1" s="20">
        <v>55</v>
      </c>
      <c r="BE1" s="20">
        <v>56</v>
      </c>
      <c r="BF1" s="20">
        <v>57</v>
      </c>
      <c r="BG1" s="20">
        <v>58</v>
      </c>
      <c r="BH1" s="20">
        <v>59</v>
      </c>
      <c r="BI1" s="20">
        <v>60</v>
      </c>
    </row>
    <row r="2" spans="1:61" x14ac:dyDescent="0.25">
      <c r="A2" s="20">
        <v>1</v>
      </c>
      <c r="B2">
        <f>IF(
(AND('(直掃)RX Mapping'!B2&gt;=0,'(直掃)RX Mapping'!B2&lt;=480)),
(MOD('(直掃)RX Mapping'!B2,120)-1),
IF(
(AND('(直掃)RX Mapping'!B2&gt;=480,'(直掃)RX Mapping'!B2&lt;=960)),
IF(MOD('(直掃)RX Mapping'!B2,120)=0, 120, 240-MOD('(直掃)RX Mapping'!B2,120)),9999))+IF(AND(MOD('(直掃)RX Mapping'!B2,120)=0, '(直掃)RX Mapping'!B2 &lt;= 480,  '(直掃)RX Mapping'!B2 &gt; 0), 120)</f>
        <v>120</v>
      </c>
      <c r="C2">
        <f>IF(
(AND('(直掃)RX Mapping'!C2&gt;=0,'(直掃)RX Mapping'!C2&lt;=480)),
(MOD('(直掃)RX Mapping'!C2,120)-1),
IF(
(AND('(直掃)RX Mapping'!C2&gt;=480,'(直掃)RX Mapping'!C2&lt;=960)),
IF(MOD('(直掃)RX Mapping'!C2,120)=0, 120, 240-MOD('(直掃)RX Mapping'!C2,120)),9999))+IF(AND(MOD('(直掃)RX Mapping'!C2,120)=0, '(直掃)RX Mapping'!C2 &lt;= 480,  '(直掃)RX Mapping'!C2 &gt; 0), 120)</f>
        <v>150</v>
      </c>
      <c r="D2">
        <f>IF(
(AND('(直掃)RX Mapping'!D2&gt;=0,'(直掃)RX Mapping'!D2&lt;=480)),
(MOD('(直掃)RX Mapping'!D2,120)-1),
IF(
(AND('(直掃)RX Mapping'!D2&gt;=480,'(直掃)RX Mapping'!D2&lt;=960)),
IF(MOD('(直掃)RX Mapping'!D2,120)=0, 120, 240-MOD('(直掃)RX Mapping'!D2,120)),9999))+IF(AND(MOD('(直掃)RX Mapping'!D2,120)=0, '(直掃)RX Mapping'!D2 &lt;= 480,  '(直掃)RX Mapping'!D2 &gt; 0), 120)</f>
        <v>180</v>
      </c>
      <c r="E2">
        <f>IF(
(AND('(直掃)RX Mapping'!E2&gt;=0,'(直掃)RX Mapping'!E2&lt;=480)),
(MOD('(直掃)RX Mapping'!E2,120)-1),
IF(
(AND('(直掃)RX Mapping'!E2&gt;=480,'(直掃)RX Mapping'!E2&lt;=960)),
IF(MOD('(直掃)RX Mapping'!E2,120)=0, 120, 240-MOD('(直掃)RX Mapping'!E2,120)),9999))+IF(AND(MOD('(直掃)RX Mapping'!E2,120)=0, '(直掃)RX Mapping'!E2 &lt;= 480,  '(直掃)RX Mapping'!E2 &gt; 0), 120)</f>
        <v>120</v>
      </c>
      <c r="F2">
        <f>IF(
(AND('(直掃)RX Mapping'!F2&gt;=0,'(直掃)RX Mapping'!F2&lt;=480)),
(MOD('(直掃)RX Mapping'!F2,120)-1),
IF(
(AND('(直掃)RX Mapping'!F2&gt;=480,'(直掃)RX Mapping'!F2&lt;=960)),
IF(MOD('(直掃)RX Mapping'!F2,120)=0, 120, 240-MOD('(直掃)RX Mapping'!F2,120)),9999))+IF(AND(MOD('(直掃)RX Mapping'!F2,120)=0, '(直掃)RX Mapping'!F2 &lt;= 480,  '(直掃)RX Mapping'!F2 &gt; 0), 120)</f>
        <v>150</v>
      </c>
      <c r="G2">
        <f>IF(
(AND('(直掃)RX Mapping'!G2&gt;=0,'(直掃)RX Mapping'!G2&lt;=480)),
(MOD('(直掃)RX Mapping'!G2,120)-1),
IF(
(AND('(直掃)RX Mapping'!G2&gt;=480,'(直掃)RX Mapping'!G2&lt;=960)),
IF(MOD('(直掃)RX Mapping'!G2,120)=0, 120, 240-MOD('(直掃)RX Mapping'!G2,120)),9999))+IF(AND(MOD('(直掃)RX Mapping'!G2,120)=0, '(直掃)RX Mapping'!G2 &lt;= 480,  '(直掃)RX Mapping'!G2 &gt; 0), 120)</f>
        <v>180</v>
      </c>
      <c r="H2">
        <f>IF(
(AND('(直掃)RX Mapping'!H2&gt;=0,'(直掃)RX Mapping'!H2&lt;=480)),
(MOD('(直掃)RX Mapping'!H2,120)-1),
IF(
(AND('(直掃)RX Mapping'!H2&gt;=480,'(直掃)RX Mapping'!H2&lt;=960)),
IF(MOD('(直掃)RX Mapping'!H2,120)=0, 120, 240-MOD('(直掃)RX Mapping'!H2,120)),9999))+IF(AND(MOD('(直掃)RX Mapping'!H2,120)=0, '(直掃)RX Mapping'!H2 &lt;= 480,  '(直掃)RX Mapping'!H2 &gt; 0), 120)</f>
        <v>120</v>
      </c>
      <c r="I2">
        <f>IF(
(AND('(直掃)RX Mapping'!I2&gt;=0,'(直掃)RX Mapping'!I2&lt;=480)),
(MOD('(直掃)RX Mapping'!I2,120)-1),
IF(
(AND('(直掃)RX Mapping'!I2&gt;=480,'(直掃)RX Mapping'!I2&lt;=960)),
IF(MOD('(直掃)RX Mapping'!I2,120)=0, 120, 240-MOD('(直掃)RX Mapping'!I2,120)),9999))+IF(AND(MOD('(直掃)RX Mapping'!I2,120)=0, '(直掃)RX Mapping'!I2 &lt;= 480,  '(直掃)RX Mapping'!I2 &gt; 0), 120)</f>
        <v>150</v>
      </c>
      <c r="J2">
        <f>IF(
(AND('(直掃)RX Mapping'!J2&gt;=0,'(直掃)RX Mapping'!J2&lt;=480)),
(MOD('(直掃)RX Mapping'!J2,120)-1),
IF(
(AND('(直掃)RX Mapping'!J2&gt;=480,'(直掃)RX Mapping'!J2&lt;=960)),
IF(MOD('(直掃)RX Mapping'!J2,120)=0, 120, 240-MOD('(直掃)RX Mapping'!J2,120)),9999))+IF(AND(MOD('(直掃)RX Mapping'!J2,120)=0, '(直掃)RX Mapping'!J2 &lt;= 480,  '(直掃)RX Mapping'!J2 &gt; 0), 120)</f>
        <v>180</v>
      </c>
      <c r="K2">
        <f>IF(
(AND('(直掃)RX Mapping'!K2&gt;=0,'(直掃)RX Mapping'!K2&lt;=480)),
(MOD('(直掃)RX Mapping'!K2,120)-1),
IF(
(AND('(直掃)RX Mapping'!K2&gt;=480,'(直掃)RX Mapping'!K2&lt;=960)),
IF(MOD('(直掃)RX Mapping'!K2,120)=0, 120, 240-MOD('(直掃)RX Mapping'!K2,120)),9999))+IF(AND(MOD('(直掃)RX Mapping'!K2,120)=0, '(直掃)RX Mapping'!K2 &lt;= 480,  '(直掃)RX Mapping'!K2 &gt; 0), 120)</f>
        <v>210</v>
      </c>
      <c r="L2">
        <f>IF(
(AND('(直掃)RX Mapping'!L2&gt;=0,'(直掃)RX Mapping'!L2&lt;=480)),
(MOD('(直掃)RX Mapping'!L2,120)-1),
IF(
(AND('(直掃)RX Mapping'!L2&gt;=480,'(直掃)RX Mapping'!L2&lt;=960)),
IF(MOD('(直掃)RX Mapping'!L2,120)=0, 120, 240-MOD('(直掃)RX Mapping'!L2,120)),9999))+IF(AND(MOD('(直掃)RX Mapping'!L2,120)=0, '(直掃)RX Mapping'!L2 &lt;= 480,  '(直掃)RX Mapping'!L2 &gt; 0), 120)</f>
        <v>120</v>
      </c>
      <c r="M2">
        <f>IF(
(AND('(直掃)RX Mapping'!M2&gt;=0,'(直掃)RX Mapping'!M2&lt;=480)),
(MOD('(直掃)RX Mapping'!M2,120)-1),
IF(
(AND('(直掃)RX Mapping'!M2&gt;=480,'(直掃)RX Mapping'!M2&lt;=960)),
IF(MOD('(直掃)RX Mapping'!M2,120)=0, 120, 240-MOD('(直掃)RX Mapping'!M2,120)),9999))+IF(AND(MOD('(直掃)RX Mapping'!M2,120)=0, '(直掃)RX Mapping'!M2 &lt;= 480,  '(直掃)RX Mapping'!M2 &gt; 0), 120)</f>
        <v>150</v>
      </c>
      <c r="N2">
        <f>IF(
(AND('(直掃)RX Mapping'!N2&gt;=0,'(直掃)RX Mapping'!N2&lt;=480)),
(MOD('(直掃)RX Mapping'!N2,120)-1),
IF(
(AND('(直掃)RX Mapping'!N2&gt;=480,'(直掃)RX Mapping'!N2&lt;=960)),
IF(MOD('(直掃)RX Mapping'!N2,120)=0, 120, 240-MOD('(直掃)RX Mapping'!N2,120)),9999))+IF(AND(MOD('(直掃)RX Mapping'!N2,120)=0, '(直掃)RX Mapping'!N2 &lt;= 480,  '(直掃)RX Mapping'!N2 &gt; 0), 120)</f>
        <v>180</v>
      </c>
      <c r="O2">
        <f>IF(
(AND('(直掃)RX Mapping'!O2&gt;=0,'(直掃)RX Mapping'!O2&lt;=480)),
(MOD('(直掃)RX Mapping'!O2,120)-1),
IF(
(AND('(直掃)RX Mapping'!O2&gt;=480,'(直掃)RX Mapping'!O2&lt;=960)),
IF(MOD('(直掃)RX Mapping'!O2,120)=0, 120, 240-MOD('(直掃)RX Mapping'!O2,120)),9999))+IF(AND(MOD('(直掃)RX Mapping'!O2,120)=0, '(直掃)RX Mapping'!O2 &lt;= 480,  '(直掃)RX Mapping'!O2 &gt; 0), 120)</f>
        <v>210</v>
      </c>
      <c r="P2">
        <f>IF(
(AND('(直掃)RX Mapping'!P2&gt;=0,'(直掃)RX Mapping'!P2&lt;=480)),
(MOD('(直掃)RX Mapping'!P2,120)-1),
IF(
(AND('(直掃)RX Mapping'!P2&gt;=480,'(直掃)RX Mapping'!P2&lt;=960)),
IF(MOD('(直掃)RX Mapping'!P2,120)=0, 120, 240-MOD('(直掃)RX Mapping'!P2,120)),9999))+IF(AND(MOD('(直掃)RX Mapping'!P2,120)=0, '(直掃)RX Mapping'!P2 &lt;= 480,  '(直掃)RX Mapping'!P2 &gt; 0), 120)</f>
        <v>119</v>
      </c>
      <c r="Q2">
        <f>IF(
(AND('(直掃)RX Mapping'!Q2&gt;=0,'(直掃)RX Mapping'!Q2&lt;=480)),
(MOD('(直掃)RX Mapping'!Q2,120)-1),
IF(
(AND('(直掃)RX Mapping'!Q2&gt;=480,'(直掃)RX Mapping'!Q2&lt;=960)),
IF(MOD('(直掃)RX Mapping'!Q2,120)=0, 120, 240-MOD('(直掃)RX Mapping'!Q2,120)),9999))+IF(AND(MOD('(直掃)RX Mapping'!Q2,120)=0, '(直掃)RX Mapping'!Q2 &lt;= 480,  '(直掃)RX Mapping'!Q2 &gt; 0), 120)</f>
        <v>89</v>
      </c>
      <c r="R2">
        <f>IF(
(AND('(直掃)RX Mapping'!R2&gt;=0,'(直掃)RX Mapping'!R2&lt;=480)),
(MOD('(直掃)RX Mapping'!R2,120)-1),
IF(
(AND('(直掃)RX Mapping'!R2&gt;=480,'(直掃)RX Mapping'!R2&lt;=960)),
IF(MOD('(直掃)RX Mapping'!R2,120)=0, 120, 240-MOD('(直掃)RX Mapping'!R2,120)),9999))+IF(AND(MOD('(直掃)RX Mapping'!R2,120)=0, '(直掃)RX Mapping'!R2 &lt;= 480,  '(直掃)RX Mapping'!R2 &gt; 0), 120)</f>
        <v>59</v>
      </c>
      <c r="S2">
        <f>IF(
(AND('(直掃)RX Mapping'!S2&gt;=0,'(直掃)RX Mapping'!S2&lt;=480)),
(MOD('(直掃)RX Mapping'!S2,120)-1),
IF(
(AND('(直掃)RX Mapping'!S2&gt;=480,'(直掃)RX Mapping'!S2&lt;=960)),
IF(MOD('(直掃)RX Mapping'!S2,120)=0, 120, 240-MOD('(直掃)RX Mapping'!S2,120)),9999))+IF(AND(MOD('(直掃)RX Mapping'!S2,120)=0, '(直掃)RX Mapping'!S2 &lt;= 480,  '(直掃)RX Mapping'!S2 &gt; 0), 120)</f>
        <v>29</v>
      </c>
      <c r="T2">
        <f>IF(
(AND('(直掃)RX Mapping'!T2&gt;=0,'(直掃)RX Mapping'!T2&lt;=480)),
(MOD('(直掃)RX Mapping'!T2,120)-1),
IF(
(AND('(直掃)RX Mapping'!T2&gt;=480,'(直掃)RX Mapping'!T2&lt;=960)),
IF(MOD('(直掃)RX Mapping'!T2,120)=0, 120, 240-MOD('(直掃)RX Mapping'!T2,120)),9999))+IF(AND(MOD('(直掃)RX Mapping'!T2,120)=0, '(直掃)RX Mapping'!T2 &lt;= 480,  '(直掃)RX Mapping'!T2 &gt; 0), 120)</f>
        <v>119</v>
      </c>
      <c r="U2">
        <f>IF(
(AND('(直掃)RX Mapping'!U2&gt;=0,'(直掃)RX Mapping'!U2&lt;=480)),
(MOD('(直掃)RX Mapping'!U2,120)-1),
IF(
(AND('(直掃)RX Mapping'!U2&gt;=480,'(直掃)RX Mapping'!U2&lt;=960)),
IF(MOD('(直掃)RX Mapping'!U2,120)=0, 120, 240-MOD('(直掃)RX Mapping'!U2,120)),9999))+IF(AND(MOD('(直掃)RX Mapping'!U2,120)=0, '(直掃)RX Mapping'!U2 &lt;= 480,  '(直掃)RX Mapping'!U2 &gt; 0), 120)</f>
        <v>89</v>
      </c>
      <c r="V2">
        <f>IF(
(AND('(直掃)RX Mapping'!V2&gt;=0,'(直掃)RX Mapping'!V2&lt;=480)),
(MOD('(直掃)RX Mapping'!V2,120)-1),
IF(
(AND('(直掃)RX Mapping'!V2&gt;=480,'(直掃)RX Mapping'!V2&lt;=960)),
IF(MOD('(直掃)RX Mapping'!V2,120)=0, 120, 240-MOD('(直掃)RX Mapping'!V2,120)),9999))+IF(AND(MOD('(直掃)RX Mapping'!V2,120)=0, '(直掃)RX Mapping'!V2 &lt;= 480,  '(直掃)RX Mapping'!V2 &gt; 0), 120)</f>
        <v>59</v>
      </c>
      <c r="W2">
        <f>IF(
(AND('(直掃)RX Mapping'!W2&gt;=0,'(直掃)RX Mapping'!W2&lt;=480)),
(MOD('(直掃)RX Mapping'!W2,120)-1),
IF(
(AND('(直掃)RX Mapping'!W2&gt;=480,'(直掃)RX Mapping'!W2&lt;=960)),
IF(MOD('(直掃)RX Mapping'!W2,120)=0, 120, 240-MOD('(直掃)RX Mapping'!W2,120)),9999))+IF(AND(MOD('(直掃)RX Mapping'!W2,120)=0, '(直掃)RX Mapping'!W2 &lt;= 480,  '(直掃)RX Mapping'!W2 &gt; 0), 120)</f>
        <v>29</v>
      </c>
      <c r="X2">
        <f>IF(
(AND('(直掃)RX Mapping'!X2&gt;=0,'(直掃)RX Mapping'!X2&lt;=480)),
(MOD('(直掃)RX Mapping'!X2,120)-1),
IF(
(AND('(直掃)RX Mapping'!X2&gt;=480,'(直掃)RX Mapping'!X2&lt;=960)),
IF(MOD('(直掃)RX Mapping'!X2,120)=0, 120, 240-MOD('(直掃)RX Mapping'!X2,120)),9999))+IF(AND(MOD('(直掃)RX Mapping'!X2,120)=0, '(直掃)RX Mapping'!X2 &lt;= 480,  '(直掃)RX Mapping'!X2 &gt; 0), 120)</f>
        <v>89</v>
      </c>
      <c r="Y2">
        <f>IF(
(AND('(直掃)RX Mapping'!Y2&gt;=0,'(直掃)RX Mapping'!Y2&lt;=480)),
(MOD('(直掃)RX Mapping'!Y2,120)-1),
IF(
(AND('(直掃)RX Mapping'!Y2&gt;=480,'(直掃)RX Mapping'!Y2&lt;=960)),
IF(MOD('(直掃)RX Mapping'!Y2,120)=0, 120, 240-MOD('(直掃)RX Mapping'!Y2,120)),9999))+IF(AND(MOD('(直掃)RX Mapping'!Y2,120)=0, '(直掃)RX Mapping'!Y2 &lt;= 480,  '(直掃)RX Mapping'!Y2 &gt; 0), 120)</f>
        <v>59</v>
      </c>
      <c r="Z2">
        <f>IF(
(AND('(直掃)RX Mapping'!Z2&gt;=0,'(直掃)RX Mapping'!Z2&lt;=480)),
(MOD('(直掃)RX Mapping'!Z2,120)-1),
IF(
(AND('(直掃)RX Mapping'!Z2&gt;=480,'(直掃)RX Mapping'!Z2&lt;=960)),
IF(MOD('(直掃)RX Mapping'!Z2,120)=0, 120, 240-MOD('(直掃)RX Mapping'!Z2,120)),9999))+IF(AND(MOD('(直掃)RX Mapping'!Z2,120)=0, '(直掃)RX Mapping'!Z2 &lt;= 480,  '(直掃)RX Mapping'!Z2 &gt; 0), 120)</f>
        <v>29</v>
      </c>
      <c r="AA2">
        <f>IF(
(AND('(直掃)RX Mapping'!AA2&gt;=0,'(直掃)RX Mapping'!AA2&lt;=480)),
(MOD('(直掃)RX Mapping'!AA2,120)-1),
IF(
(AND('(直掃)RX Mapping'!AA2&gt;=480,'(直掃)RX Mapping'!AA2&lt;=960)),
IF(MOD('(直掃)RX Mapping'!AA2,120)=0, 120, 240-MOD('(直掃)RX Mapping'!AA2,120)),9999))+IF(AND(MOD('(直掃)RX Mapping'!AA2,120)=0, '(直掃)RX Mapping'!AA2 &lt;= 480,  '(直掃)RX Mapping'!AA2 &gt; 0), 120)</f>
        <v>89</v>
      </c>
      <c r="AB2">
        <f>IF(
(AND('(直掃)RX Mapping'!AB2&gt;=0,'(直掃)RX Mapping'!AB2&lt;=480)),
(MOD('(直掃)RX Mapping'!AB2,120)-1),
IF(
(AND('(直掃)RX Mapping'!AB2&gt;=480,'(直掃)RX Mapping'!AB2&lt;=960)),
IF(MOD('(直掃)RX Mapping'!AB2,120)=0, 120, 240-MOD('(直掃)RX Mapping'!AB2,120)),9999))+IF(AND(MOD('(直掃)RX Mapping'!AB2,120)=0, '(直掃)RX Mapping'!AB2 &lt;= 480,  '(直掃)RX Mapping'!AB2 &gt; 0), 120)</f>
        <v>59</v>
      </c>
      <c r="AC2">
        <f>IF(
(AND('(直掃)RX Mapping'!AC2&gt;=0,'(直掃)RX Mapping'!AC2&lt;=480)),
(MOD('(直掃)RX Mapping'!AC2,120)-1),
IF(
(AND('(直掃)RX Mapping'!AC2&gt;=480,'(直掃)RX Mapping'!AC2&lt;=960)),
IF(MOD('(直掃)RX Mapping'!AC2,120)=0, 120, 240-MOD('(直掃)RX Mapping'!AC2,120)),9999))+IF(AND(MOD('(直掃)RX Mapping'!AC2,120)=0, '(直掃)RX Mapping'!AC2 &lt;= 480,  '(直掃)RX Mapping'!AC2 &gt; 0), 120)</f>
        <v>29</v>
      </c>
      <c r="AD2">
        <f>IF(
(AND('(直掃)RX Mapping'!AD2&gt;=0,'(直掃)RX Mapping'!AD2&lt;=480)),
(MOD('(直掃)RX Mapping'!AD2,120)-1),
IF(
(AND('(直掃)RX Mapping'!AD2&gt;=480,'(直掃)RX Mapping'!AD2&lt;=960)),
IF(MOD('(直掃)RX Mapping'!AD2,120)=0, 120, 240-MOD('(直掃)RX Mapping'!AD2,120)),9999))+IF(AND(MOD('(直掃)RX Mapping'!AD2,120)=0, '(直掃)RX Mapping'!AD2 &lt;= 480,  '(直掃)RX Mapping'!AD2 &gt; 0), 120)</f>
        <v>-1</v>
      </c>
      <c r="AE2">
        <f>IF(
(AND('(直掃)RX Mapping'!AE2&gt;=0,'(直掃)RX Mapping'!AE2&lt;=480)),
(MOD('(直掃)RX Mapping'!AE2,120)-1),
IF(
(AND('(直掃)RX Mapping'!AE2&gt;=480,'(直掃)RX Mapping'!AE2&lt;=960)),
IF(MOD('(直掃)RX Mapping'!AE2,120)=0, 120, 240-MOD('(直掃)RX Mapping'!AE2,120)),9999))+IF(AND(MOD('(直掃)RX Mapping'!AE2,120)=0, '(直掃)RX Mapping'!AE2 &lt;= 480,  '(直掃)RX Mapping'!AE2 &gt; 0), 120)</f>
        <v>-1</v>
      </c>
      <c r="AF2">
        <f>IF(
(AND('(直掃)RX Mapping'!AF2&gt;=0,'(直掃)RX Mapping'!AF2&lt;=480)),
(MOD('(直掃)RX Mapping'!AF2,120)-1),
IF(
(AND('(直掃)RX Mapping'!AF2&gt;=480,'(直掃)RX Mapping'!AF2&lt;=960)),
IF(MOD('(直掃)RX Mapping'!AF2,120)=0, 120, 240-MOD('(直掃)RX Mapping'!AF2,120)),9999))+IF(AND(MOD('(直掃)RX Mapping'!AF2,120)=0, '(直掃)RX Mapping'!AF2 &lt;= 480,  '(直掃)RX Mapping'!AF2 &gt; 0), 120)</f>
        <v>-1</v>
      </c>
      <c r="AG2">
        <f>IF(
(AND('(直掃)RX Mapping'!AG2&gt;=0,'(直掃)RX Mapping'!AG2&lt;=480)),
(MOD('(直掃)RX Mapping'!AG2,120)-1),
IF(
(AND('(直掃)RX Mapping'!AG2&gt;=480,'(直掃)RX Mapping'!AG2&lt;=960)),
IF(MOD('(直掃)RX Mapping'!AG2,120)=0, 120, 240-MOD('(直掃)RX Mapping'!AG2,120)),9999))+IF(AND(MOD('(直掃)RX Mapping'!AG2,120)=0, '(直掃)RX Mapping'!AG2 &lt;= 480,  '(直掃)RX Mapping'!AG2 &gt; 0), 120)</f>
        <v>-1</v>
      </c>
      <c r="AH2">
        <f>IF(
(AND('(直掃)RX Mapping'!AH2&gt;=0,'(直掃)RX Mapping'!AH2&lt;=480)),
(MOD('(直掃)RX Mapping'!AH2,120)-1),
IF(
(AND('(直掃)RX Mapping'!AH2&gt;=480,'(直掃)RX Mapping'!AH2&lt;=960)),
IF(MOD('(直掃)RX Mapping'!AH2,120)=0, 120, 240-MOD('(直掃)RX Mapping'!AH2,120)),9999))+IF(AND(MOD('(直掃)RX Mapping'!AH2,120)=0, '(直掃)RX Mapping'!AH2 &lt;= 480,  '(直掃)RX Mapping'!AH2 &gt; 0), 120)</f>
        <v>-1</v>
      </c>
      <c r="AI2">
        <f>IF(
(AND('(直掃)RX Mapping'!AI2&gt;=0,'(直掃)RX Mapping'!AI2&lt;=480)),
(MOD('(直掃)RX Mapping'!AI2,120)-1),
IF(
(AND('(直掃)RX Mapping'!AI2&gt;=480,'(直掃)RX Mapping'!AI2&lt;=960)),
IF(MOD('(直掃)RX Mapping'!AI2,120)=0, 120, 240-MOD('(直掃)RX Mapping'!AI2,120)),9999))+IF(AND(MOD('(直掃)RX Mapping'!AI2,120)=0, '(直掃)RX Mapping'!AI2 &lt;= 480,  '(直掃)RX Mapping'!AI2 &gt; 0), 120)</f>
        <v>-1</v>
      </c>
      <c r="AJ2">
        <f>IF(
(AND('(直掃)RX Mapping'!AJ2&gt;=0,'(直掃)RX Mapping'!AJ2&lt;=480)),
(MOD('(直掃)RX Mapping'!AJ2,120)-1),
IF(
(AND('(直掃)RX Mapping'!AJ2&gt;=480,'(直掃)RX Mapping'!AJ2&lt;=960)),
IF(MOD('(直掃)RX Mapping'!AJ2,120)=0, 120, 240-MOD('(直掃)RX Mapping'!AJ2,120)),9999))+IF(AND(MOD('(直掃)RX Mapping'!AJ2,120)=0, '(直掃)RX Mapping'!AJ2 &lt;= 480,  '(直掃)RX Mapping'!AJ2 &gt; 0), 120)</f>
        <v>-1</v>
      </c>
      <c r="AK2">
        <f>IF(
(AND('(直掃)RX Mapping'!AK2&gt;=0,'(直掃)RX Mapping'!AK2&lt;=480)),
(MOD('(直掃)RX Mapping'!AK2,120)-1),
IF(
(AND('(直掃)RX Mapping'!AK2&gt;=480,'(直掃)RX Mapping'!AK2&lt;=960)),
IF(MOD('(直掃)RX Mapping'!AK2,120)=0, 120, 240-MOD('(直掃)RX Mapping'!AK2,120)),9999))+IF(AND(MOD('(直掃)RX Mapping'!AK2,120)=0, '(直掃)RX Mapping'!AK2 &lt;= 480,  '(直掃)RX Mapping'!AK2 &gt; 0), 120)</f>
        <v>-1</v>
      </c>
      <c r="AL2">
        <f>IF(
(AND('(直掃)RX Mapping'!AL2&gt;=0,'(直掃)RX Mapping'!AL2&lt;=480)),
(MOD('(直掃)RX Mapping'!AL2,120)-1),
IF(
(AND('(直掃)RX Mapping'!AL2&gt;=480,'(直掃)RX Mapping'!AL2&lt;=960)),
IF(MOD('(直掃)RX Mapping'!AL2,120)=0, 120, 240-MOD('(直掃)RX Mapping'!AL2,120)),9999))+IF(AND(MOD('(直掃)RX Mapping'!AL2,120)=0, '(直掃)RX Mapping'!AL2 &lt;= 480,  '(直掃)RX Mapping'!AL2 &gt; 0), 120)</f>
        <v>-1</v>
      </c>
      <c r="AM2">
        <f>IF(
(AND('(直掃)RX Mapping'!AM2&gt;=0,'(直掃)RX Mapping'!AM2&lt;=480)),
(MOD('(直掃)RX Mapping'!AM2,120)-1),
IF(
(AND('(直掃)RX Mapping'!AM2&gt;=480,'(直掃)RX Mapping'!AM2&lt;=960)),
IF(MOD('(直掃)RX Mapping'!AM2,120)=0, 120, 240-MOD('(直掃)RX Mapping'!AM2,120)),9999))+IF(AND(MOD('(直掃)RX Mapping'!AM2,120)=0, '(直掃)RX Mapping'!AM2 &lt;= 480,  '(直掃)RX Mapping'!AM2 &gt; 0), 120)</f>
        <v>-1</v>
      </c>
      <c r="AN2">
        <f>IF(
(AND('(直掃)RX Mapping'!AN2&gt;=0,'(直掃)RX Mapping'!AN2&lt;=480)),
(MOD('(直掃)RX Mapping'!AN2,120)-1),
IF(
(AND('(直掃)RX Mapping'!AN2&gt;=480,'(直掃)RX Mapping'!AN2&lt;=960)),
IF(MOD('(直掃)RX Mapping'!AN2,120)=0, 120, 240-MOD('(直掃)RX Mapping'!AN2,120)),9999))+IF(AND(MOD('(直掃)RX Mapping'!AN2,120)=0, '(直掃)RX Mapping'!AN2 &lt;= 480,  '(直掃)RX Mapping'!AN2 &gt; 0), 120)</f>
        <v>-1</v>
      </c>
      <c r="AO2">
        <f>IF(
(AND('(直掃)RX Mapping'!AO2&gt;=0,'(直掃)RX Mapping'!AO2&lt;=480)),
(MOD('(直掃)RX Mapping'!AO2,120)-1),
IF(
(AND('(直掃)RX Mapping'!AO2&gt;=480,'(直掃)RX Mapping'!AO2&lt;=960)),
IF(MOD('(直掃)RX Mapping'!AO2,120)=0, 120, 240-MOD('(直掃)RX Mapping'!AO2,120)),9999))+IF(AND(MOD('(直掃)RX Mapping'!AO2,120)=0, '(直掃)RX Mapping'!AO2 &lt;= 480,  '(直掃)RX Mapping'!AO2 &gt; 0), 120)</f>
        <v>-1</v>
      </c>
      <c r="AP2">
        <f>IF(
(AND('(直掃)RX Mapping'!AP2&gt;=0,'(直掃)RX Mapping'!AP2&lt;=480)),
(MOD('(直掃)RX Mapping'!AP2,120)-1),
IF(
(AND('(直掃)RX Mapping'!AP2&gt;=480,'(直掃)RX Mapping'!AP2&lt;=960)),
IF(MOD('(直掃)RX Mapping'!AP2,120)=0, 120, 240-MOD('(直掃)RX Mapping'!AP2,120)),9999))+IF(AND(MOD('(直掃)RX Mapping'!AP2,120)=0, '(直掃)RX Mapping'!AP2 &lt;= 480,  '(直掃)RX Mapping'!AP2 &gt; 0), 120)</f>
        <v>-1</v>
      </c>
      <c r="AQ2">
        <f>IF(
(AND('(直掃)RX Mapping'!AQ2&gt;=0,'(直掃)RX Mapping'!AQ2&lt;=480)),
(MOD('(直掃)RX Mapping'!AQ2,120)-1),
IF(
(AND('(直掃)RX Mapping'!AQ2&gt;=480,'(直掃)RX Mapping'!AQ2&lt;=960)),
IF(MOD('(直掃)RX Mapping'!AQ2,120)=0, 120, 240-MOD('(直掃)RX Mapping'!AQ2,120)),9999))+IF(AND(MOD('(直掃)RX Mapping'!AQ2,120)=0, '(直掃)RX Mapping'!AQ2 &lt;= 480,  '(直掃)RX Mapping'!AQ2 &gt; 0), 120)</f>
        <v>-1</v>
      </c>
      <c r="AR2">
        <f>IF(
(AND('(直掃)RX Mapping'!AR2&gt;=0,'(直掃)RX Mapping'!AR2&lt;=480)),
(MOD('(直掃)RX Mapping'!AR2,120)-1),
IF(
(AND('(直掃)RX Mapping'!AR2&gt;=480,'(直掃)RX Mapping'!AR2&lt;=960)),
IF(MOD('(直掃)RX Mapping'!AR2,120)=0, 120, 240-MOD('(直掃)RX Mapping'!AR2,120)),9999))+IF(AND(MOD('(直掃)RX Mapping'!AR2,120)=0, '(直掃)RX Mapping'!AR2 &lt;= 480,  '(直掃)RX Mapping'!AR2 &gt; 0), 120)</f>
        <v>-1</v>
      </c>
      <c r="AS2">
        <f>IF(
(AND('(直掃)RX Mapping'!AS2&gt;=0,'(直掃)RX Mapping'!AS2&lt;=480)),
(MOD('(直掃)RX Mapping'!AS2,120)-1),
IF(
(AND('(直掃)RX Mapping'!AS2&gt;=480,'(直掃)RX Mapping'!AS2&lt;=960)),
IF(MOD('(直掃)RX Mapping'!AS2,120)=0, 120, 240-MOD('(直掃)RX Mapping'!AS2,120)),9999))+IF(AND(MOD('(直掃)RX Mapping'!AS2,120)=0, '(直掃)RX Mapping'!AS2 &lt;= 480,  '(直掃)RX Mapping'!AS2 &gt; 0), 120)</f>
        <v>-1</v>
      </c>
      <c r="AT2">
        <f>IF(AND('(橫掃)RX Mapping'!AT2&gt;=1,'(橫掃)RX Mapping'!AT2&lt;=120), ('(橫掃)RX Mapping'!AT2-1),IF(AND('(橫掃)RX Mapping'!AT2&gt;=121,'(橫掃)RX Mapping'!AT2&lt;=240), (-1)*('(橫掃)RX Mapping'!AT2-240),IF(AND('(橫掃)RX Mapping'!AT2&gt;=241,'(橫掃)RX Mapping'!AT2&lt;=360), ('(橫掃)RX Mapping'!AT2-241),IF(AND('(橫掃)RX Mapping'!AT2&gt;=361,'(橫掃)RX Mapping'!AT2&lt;=480), (-1)*('(橫掃)RX Mapping'!AT2-480),IF(AND('(橫掃)RX Mapping'!AT2&gt;=481,'(橫掃)RX Mapping'!AT2&lt;=600), ('(橫掃)RX Mapping'!AT2-361),IF(AND('(橫掃)RX Mapping'!AT2&gt;=601,'(橫掃)RX Mapping'!AT2&lt;=720), (-1)*('(橫掃)RX Mapping'!AT2-720)+120,IF(AND('(橫掃)RX Mapping'!AT2&gt;=721,'(橫掃)RX Mapping'!AT2&lt;=840), ('(橫掃)RX Mapping'!AT2-601),IF(AND('(橫掃)RX Mapping'!AT2&gt;=841,'(橫掃)RX Mapping'!AT2&lt;=960), (-1)*('(橫掃)RX Mapping'!AT2-960)+120,9999))))))))</f>
        <v>9999</v>
      </c>
      <c r="AU2">
        <f>IF(AND('(橫掃)RX Mapping'!AU2&gt;=1,'(橫掃)RX Mapping'!AU2&lt;=120), ('(橫掃)RX Mapping'!AU2-1),IF(AND('(橫掃)RX Mapping'!AU2&gt;=121,'(橫掃)RX Mapping'!AU2&lt;=240), (-1)*('(橫掃)RX Mapping'!AU2-240),IF(AND('(橫掃)RX Mapping'!AU2&gt;=241,'(橫掃)RX Mapping'!AU2&lt;=360), ('(橫掃)RX Mapping'!AU2-241),IF(AND('(橫掃)RX Mapping'!AU2&gt;=361,'(橫掃)RX Mapping'!AU2&lt;=480), (-1)*('(橫掃)RX Mapping'!AU2-480),IF(AND('(橫掃)RX Mapping'!AU2&gt;=481,'(橫掃)RX Mapping'!AU2&lt;=600), ('(橫掃)RX Mapping'!AU2-361),IF(AND('(橫掃)RX Mapping'!AU2&gt;=601,'(橫掃)RX Mapping'!AU2&lt;=720), (-1)*('(橫掃)RX Mapping'!AU2-720)+120,IF(AND('(橫掃)RX Mapping'!AU2&gt;=721,'(橫掃)RX Mapping'!AU2&lt;=840), ('(橫掃)RX Mapping'!AU2-601),IF(AND('(橫掃)RX Mapping'!AU2&gt;=841,'(橫掃)RX Mapping'!AU2&lt;=960), (-1)*('(橫掃)RX Mapping'!AU2-960)+120,9999))))))))</f>
        <v>9999</v>
      </c>
      <c r="AV2">
        <f>IF(AND('(橫掃)RX Mapping'!AV2&gt;=1,'(橫掃)RX Mapping'!AV2&lt;=120), ('(橫掃)RX Mapping'!AV2-1),IF(AND('(橫掃)RX Mapping'!AV2&gt;=121,'(橫掃)RX Mapping'!AV2&lt;=240), (-1)*('(橫掃)RX Mapping'!AV2-240),IF(AND('(橫掃)RX Mapping'!AV2&gt;=241,'(橫掃)RX Mapping'!AV2&lt;=360), ('(橫掃)RX Mapping'!AV2-241),IF(AND('(橫掃)RX Mapping'!AV2&gt;=361,'(橫掃)RX Mapping'!AV2&lt;=480), (-1)*('(橫掃)RX Mapping'!AV2-480),IF(AND('(橫掃)RX Mapping'!AV2&gt;=481,'(橫掃)RX Mapping'!AV2&lt;=600), ('(橫掃)RX Mapping'!AV2-361),IF(AND('(橫掃)RX Mapping'!AV2&gt;=601,'(橫掃)RX Mapping'!AV2&lt;=720), (-1)*('(橫掃)RX Mapping'!AV2-720)+120,IF(AND('(橫掃)RX Mapping'!AV2&gt;=721,'(橫掃)RX Mapping'!AV2&lt;=840), ('(橫掃)RX Mapping'!AV2-601),IF(AND('(橫掃)RX Mapping'!AV2&gt;=841,'(橫掃)RX Mapping'!AV2&lt;=960), (-1)*('(橫掃)RX Mapping'!AV2-960)+120,9999))))))))</f>
        <v>9999</v>
      </c>
      <c r="AW2">
        <f>IF(AND('(橫掃)RX Mapping'!AW2&gt;=1,'(橫掃)RX Mapping'!AW2&lt;=120), ('(橫掃)RX Mapping'!AW2-1),IF(AND('(橫掃)RX Mapping'!AW2&gt;=121,'(橫掃)RX Mapping'!AW2&lt;=240), (-1)*('(橫掃)RX Mapping'!AW2-240),IF(AND('(橫掃)RX Mapping'!AW2&gt;=241,'(橫掃)RX Mapping'!AW2&lt;=360), ('(橫掃)RX Mapping'!AW2-241),IF(AND('(橫掃)RX Mapping'!AW2&gt;=361,'(橫掃)RX Mapping'!AW2&lt;=480), (-1)*('(橫掃)RX Mapping'!AW2-480),IF(AND('(橫掃)RX Mapping'!AW2&gt;=481,'(橫掃)RX Mapping'!AW2&lt;=600), ('(橫掃)RX Mapping'!AW2-361),IF(AND('(橫掃)RX Mapping'!AW2&gt;=601,'(橫掃)RX Mapping'!AW2&lt;=720), (-1)*('(橫掃)RX Mapping'!AW2-720)+120,IF(AND('(橫掃)RX Mapping'!AW2&gt;=721,'(橫掃)RX Mapping'!AW2&lt;=840), ('(橫掃)RX Mapping'!AW2-601),IF(AND('(橫掃)RX Mapping'!AW2&gt;=841,'(橫掃)RX Mapping'!AW2&lt;=960), (-1)*('(橫掃)RX Mapping'!AW2-960)+120,9999))))))))</f>
        <v>9999</v>
      </c>
      <c r="AX2">
        <f>IF(AND('(橫掃)RX Mapping'!AX2&gt;=1,'(橫掃)RX Mapping'!AX2&lt;=120), ('(橫掃)RX Mapping'!AX2-1),IF(AND('(橫掃)RX Mapping'!AX2&gt;=121,'(橫掃)RX Mapping'!AX2&lt;=240), (-1)*('(橫掃)RX Mapping'!AX2-240),IF(AND('(橫掃)RX Mapping'!AX2&gt;=241,'(橫掃)RX Mapping'!AX2&lt;=360), ('(橫掃)RX Mapping'!AX2-241),IF(AND('(橫掃)RX Mapping'!AX2&gt;=361,'(橫掃)RX Mapping'!AX2&lt;=480), (-1)*('(橫掃)RX Mapping'!AX2-480),IF(AND('(橫掃)RX Mapping'!AX2&gt;=481,'(橫掃)RX Mapping'!AX2&lt;=600), ('(橫掃)RX Mapping'!AX2-361),IF(AND('(橫掃)RX Mapping'!AX2&gt;=601,'(橫掃)RX Mapping'!AX2&lt;=720), (-1)*('(橫掃)RX Mapping'!AX2-720)+120,IF(AND('(橫掃)RX Mapping'!AX2&gt;=721,'(橫掃)RX Mapping'!AX2&lt;=840), ('(橫掃)RX Mapping'!AX2-601),IF(AND('(橫掃)RX Mapping'!AX2&gt;=841,'(橫掃)RX Mapping'!AX2&lt;=960), (-1)*('(橫掃)RX Mapping'!AX2-960)+120,9999))))))))</f>
        <v>9999</v>
      </c>
      <c r="AY2">
        <f>IF(AND('(橫掃)RX Mapping'!AY2&gt;=1,'(橫掃)RX Mapping'!AY2&lt;=120), ('(橫掃)RX Mapping'!AY2-1),IF(AND('(橫掃)RX Mapping'!AY2&gt;=121,'(橫掃)RX Mapping'!AY2&lt;=240), (-1)*('(橫掃)RX Mapping'!AY2-240),IF(AND('(橫掃)RX Mapping'!AY2&gt;=241,'(橫掃)RX Mapping'!AY2&lt;=360), ('(橫掃)RX Mapping'!AY2-241),IF(AND('(橫掃)RX Mapping'!AY2&gt;=361,'(橫掃)RX Mapping'!AY2&lt;=480), (-1)*('(橫掃)RX Mapping'!AY2-480),IF(AND('(橫掃)RX Mapping'!AY2&gt;=481,'(橫掃)RX Mapping'!AY2&lt;=600), ('(橫掃)RX Mapping'!AY2-361),IF(AND('(橫掃)RX Mapping'!AY2&gt;=601,'(橫掃)RX Mapping'!AY2&lt;=720), (-1)*('(橫掃)RX Mapping'!AY2-720)+120,IF(AND('(橫掃)RX Mapping'!AY2&gt;=721,'(橫掃)RX Mapping'!AY2&lt;=840), ('(橫掃)RX Mapping'!AY2-601),IF(AND('(橫掃)RX Mapping'!AY2&gt;=841,'(橫掃)RX Mapping'!AY2&lt;=960), (-1)*('(橫掃)RX Mapping'!AY2-960)+120,9999))))))))</f>
        <v>9999</v>
      </c>
      <c r="AZ2">
        <f>IF(AND('(橫掃)RX Mapping'!AZ2&gt;=1,'(橫掃)RX Mapping'!AZ2&lt;=120), ('(橫掃)RX Mapping'!AZ2-1),IF(AND('(橫掃)RX Mapping'!AZ2&gt;=121,'(橫掃)RX Mapping'!AZ2&lt;=240), (-1)*('(橫掃)RX Mapping'!AZ2-240),IF(AND('(橫掃)RX Mapping'!AZ2&gt;=241,'(橫掃)RX Mapping'!AZ2&lt;=360), ('(橫掃)RX Mapping'!AZ2-241),IF(AND('(橫掃)RX Mapping'!AZ2&gt;=361,'(橫掃)RX Mapping'!AZ2&lt;=480), (-1)*('(橫掃)RX Mapping'!AZ2-480),IF(AND('(橫掃)RX Mapping'!AZ2&gt;=481,'(橫掃)RX Mapping'!AZ2&lt;=600), ('(橫掃)RX Mapping'!AZ2-361),IF(AND('(橫掃)RX Mapping'!AZ2&gt;=601,'(橫掃)RX Mapping'!AZ2&lt;=720), (-1)*('(橫掃)RX Mapping'!AZ2-720)+120,IF(AND('(橫掃)RX Mapping'!AZ2&gt;=721,'(橫掃)RX Mapping'!AZ2&lt;=840), ('(橫掃)RX Mapping'!AZ2-601),IF(AND('(橫掃)RX Mapping'!AZ2&gt;=841,'(橫掃)RX Mapping'!AZ2&lt;=960), (-1)*('(橫掃)RX Mapping'!AZ2-960)+120,9999))))))))</f>
        <v>9999</v>
      </c>
      <c r="BA2">
        <f>IF(AND('(橫掃)RX Mapping'!BA2&gt;=1,'(橫掃)RX Mapping'!BA2&lt;=120), ('(橫掃)RX Mapping'!BA2-1),IF(AND('(橫掃)RX Mapping'!BA2&gt;=121,'(橫掃)RX Mapping'!BA2&lt;=240), (-1)*('(橫掃)RX Mapping'!BA2-240),IF(AND('(橫掃)RX Mapping'!BA2&gt;=241,'(橫掃)RX Mapping'!BA2&lt;=360), ('(橫掃)RX Mapping'!BA2-241),IF(AND('(橫掃)RX Mapping'!BA2&gt;=361,'(橫掃)RX Mapping'!BA2&lt;=480), (-1)*('(橫掃)RX Mapping'!BA2-480),IF(AND('(橫掃)RX Mapping'!BA2&gt;=481,'(橫掃)RX Mapping'!BA2&lt;=600), ('(橫掃)RX Mapping'!BA2-361),IF(AND('(橫掃)RX Mapping'!BA2&gt;=601,'(橫掃)RX Mapping'!BA2&lt;=720), (-1)*('(橫掃)RX Mapping'!BA2-720)+120,IF(AND('(橫掃)RX Mapping'!BA2&gt;=721,'(橫掃)RX Mapping'!BA2&lt;=840), ('(橫掃)RX Mapping'!BA2-601),IF(AND('(橫掃)RX Mapping'!BA2&gt;=841,'(橫掃)RX Mapping'!BA2&lt;=960), (-1)*('(橫掃)RX Mapping'!BA2-960)+120,9999))))))))</f>
        <v>9999</v>
      </c>
      <c r="BB2">
        <f>IF(AND('(橫掃)RX Mapping'!BB2&gt;=1,'(橫掃)RX Mapping'!BB2&lt;=120), ('(橫掃)RX Mapping'!BB2-1),IF(AND('(橫掃)RX Mapping'!BB2&gt;=121,'(橫掃)RX Mapping'!BB2&lt;=240), (-1)*('(橫掃)RX Mapping'!BB2-240),IF(AND('(橫掃)RX Mapping'!BB2&gt;=241,'(橫掃)RX Mapping'!BB2&lt;=360), ('(橫掃)RX Mapping'!BB2-241),IF(AND('(橫掃)RX Mapping'!BB2&gt;=361,'(橫掃)RX Mapping'!BB2&lt;=480), (-1)*('(橫掃)RX Mapping'!BB2-480),IF(AND('(橫掃)RX Mapping'!BB2&gt;=481,'(橫掃)RX Mapping'!BB2&lt;=600), ('(橫掃)RX Mapping'!BB2-361),IF(AND('(橫掃)RX Mapping'!BB2&gt;=601,'(橫掃)RX Mapping'!BB2&lt;=720), (-1)*('(橫掃)RX Mapping'!BB2-720)+120,IF(AND('(橫掃)RX Mapping'!BB2&gt;=721,'(橫掃)RX Mapping'!BB2&lt;=840), ('(橫掃)RX Mapping'!BB2-601),IF(AND('(橫掃)RX Mapping'!BB2&gt;=841,'(橫掃)RX Mapping'!BB2&lt;=960), (-1)*('(橫掃)RX Mapping'!BB2-960)+120,9999))))))))</f>
        <v>9999</v>
      </c>
      <c r="BC2">
        <f>IF(AND('(橫掃)RX Mapping'!BC2&gt;=1,'(橫掃)RX Mapping'!BC2&lt;=120), ('(橫掃)RX Mapping'!BC2-1),IF(AND('(橫掃)RX Mapping'!BC2&gt;=121,'(橫掃)RX Mapping'!BC2&lt;=240), (-1)*('(橫掃)RX Mapping'!BC2-240),IF(AND('(橫掃)RX Mapping'!BC2&gt;=241,'(橫掃)RX Mapping'!BC2&lt;=360), ('(橫掃)RX Mapping'!BC2-241),IF(AND('(橫掃)RX Mapping'!BC2&gt;=361,'(橫掃)RX Mapping'!BC2&lt;=480), (-1)*('(橫掃)RX Mapping'!BC2-480),IF(AND('(橫掃)RX Mapping'!BC2&gt;=481,'(橫掃)RX Mapping'!BC2&lt;=600), ('(橫掃)RX Mapping'!BC2-361),IF(AND('(橫掃)RX Mapping'!BC2&gt;=601,'(橫掃)RX Mapping'!BC2&lt;=720), (-1)*('(橫掃)RX Mapping'!BC2-720)+120,IF(AND('(橫掃)RX Mapping'!BC2&gt;=721,'(橫掃)RX Mapping'!BC2&lt;=840), ('(橫掃)RX Mapping'!BC2-601),IF(AND('(橫掃)RX Mapping'!BC2&gt;=841,'(橫掃)RX Mapping'!BC2&lt;=960), (-1)*('(橫掃)RX Mapping'!BC2-960)+120,9999))))))))</f>
        <v>9999</v>
      </c>
      <c r="BD2">
        <f>IF(AND('(橫掃)RX Mapping'!BD2&gt;=1,'(橫掃)RX Mapping'!BD2&lt;=120), ('(橫掃)RX Mapping'!BD2-1),IF(AND('(橫掃)RX Mapping'!BD2&gt;=121,'(橫掃)RX Mapping'!BD2&lt;=240), (-1)*('(橫掃)RX Mapping'!BD2-240),IF(AND('(橫掃)RX Mapping'!BD2&gt;=241,'(橫掃)RX Mapping'!BD2&lt;=360), ('(橫掃)RX Mapping'!BD2-241),IF(AND('(橫掃)RX Mapping'!BD2&gt;=361,'(橫掃)RX Mapping'!BD2&lt;=480), (-1)*('(橫掃)RX Mapping'!BD2-480),IF(AND('(橫掃)RX Mapping'!BD2&gt;=481,'(橫掃)RX Mapping'!BD2&lt;=600), ('(橫掃)RX Mapping'!BD2-361),IF(AND('(橫掃)RX Mapping'!BD2&gt;=601,'(橫掃)RX Mapping'!BD2&lt;=720), (-1)*('(橫掃)RX Mapping'!BD2-720)+120,IF(AND('(橫掃)RX Mapping'!BD2&gt;=721,'(橫掃)RX Mapping'!BD2&lt;=840), ('(橫掃)RX Mapping'!BD2-601),IF(AND('(橫掃)RX Mapping'!BD2&gt;=841,'(橫掃)RX Mapping'!BD2&lt;=960), (-1)*('(橫掃)RX Mapping'!BD2-960)+120,9999))))))))</f>
        <v>9999</v>
      </c>
      <c r="BE2">
        <f>IF(AND('(橫掃)RX Mapping'!BE2&gt;=1,'(橫掃)RX Mapping'!BE2&lt;=120), ('(橫掃)RX Mapping'!BE2-1),IF(AND('(橫掃)RX Mapping'!BE2&gt;=121,'(橫掃)RX Mapping'!BE2&lt;=240), (-1)*('(橫掃)RX Mapping'!BE2-240),IF(AND('(橫掃)RX Mapping'!BE2&gt;=241,'(橫掃)RX Mapping'!BE2&lt;=360), ('(橫掃)RX Mapping'!BE2-241),IF(AND('(橫掃)RX Mapping'!BE2&gt;=361,'(橫掃)RX Mapping'!BE2&lt;=480), (-1)*('(橫掃)RX Mapping'!BE2-480),IF(AND('(橫掃)RX Mapping'!BE2&gt;=481,'(橫掃)RX Mapping'!BE2&lt;=600), ('(橫掃)RX Mapping'!BE2-361),IF(AND('(橫掃)RX Mapping'!BE2&gt;=601,'(橫掃)RX Mapping'!BE2&lt;=720), (-1)*('(橫掃)RX Mapping'!BE2-720)+120,IF(AND('(橫掃)RX Mapping'!BE2&gt;=721,'(橫掃)RX Mapping'!BE2&lt;=840), ('(橫掃)RX Mapping'!BE2-601),IF(AND('(橫掃)RX Mapping'!BE2&gt;=841,'(橫掃)RX Mapping'!BE2&lt;=960), (-1)*('(橫掃)RX Mapping'!BE2-960)+120,9999))))))))</f>
        <v>9999</v>
      </c>
      <c r="BF2">
        <f>IF(AND('(橫掃)RX Mapping'!BF2&gt;=1,'(橫掃)RX Mapping'!BF2&lt;=120), ('(橫掃)RX Mapping'!BF2-1),IF(AND('(橫掃)RX Mapping'!BF2&gt;=121,'(橫掃)RX Mapping'!BF2&lt;=240), (-1)*('(橫掃)RX Mapping'!BF2-240),IF(AND('(橫掃)RX Mapping'!BF2&gt;=241,'(橫掃)RX Mapping'!BF2&lt;=360), ('(橫掃)RX Mapping'!BF2-241),IF(AND('(橫掃)RX Mapping'!BF2&gt;=361,'(橫掃)RX Mapping'!BF2&lt;=480), (-1)*('(橫掃)RX Mapping'!BF2-480),IF(AND('(橫掃)RX Mapping'!BF2&gt;=481,'(橫掃)RX Mapping'!BF2&lt;=600), ('(橫掃)RX Mapping'!BF2-361),IF(AND('(橫掃)RX Mapping'!BF2&gt;=601,'(橫掃)RX Mapping'!BF2&lt;=720), (-1)*('(橫掃)RX Mapping'!BF2-720)+120,IF(AND('(橫掃)RX Mapping'!BF2&gt;=721,'(橫掃)RX Mapping'!BF2&lt;=840), ('(橫掃)RX Mapping'!BF2-601),IF(AND('(橫掃)RX Mapping'!BF2&gt;=841,'(橫掃)RX Mapping'!BF2&lt;=960), (-1)*('(橫掃)RX Mapping'!BF2-960)+120,9999))))))))</f>
        <v>9999</v>
      </c>
      <c r="BG2">
        <f>IF(AND('(橫掃)RX Mapping'!BG2&gt;=1,'(橫掃)RX Mapping'!BG2&lt;=120), ('(橫掃)RX Mapping'!BG2-1),IF(AND('(橫掃)RX Mapping'!BG2&gt;=121,'(橫掃)RX Mapping'!BG2&lt;=240), (-1)*('(橫掃)RX Mapping'!BG2-240),IF(AND('(橫掃)RX Mapping'!BG2&gt;=241,'(橫掃)RX Mapping'!BG2&lt;=360), ('(橫掃)RX Mapping'!BG2-241),IF(AND('(橫掃)RX Mapping'!BG2&gt;=361,'(橫掃)RX Mapping'!BG2&lt;=480), (-1)*('(橫掃)RX Mapping'!BG2-480),IF(AND('(橫掃)RX Mapping'!BG2&gt;=481,'(橫掃)RX Mapping'!BG2&lt;=600), ('(橫掃)RX Mapping'!BG2-361),IF(AND('(橫掃)RX Mapping'!BG2&gt;=601,'(橫掃)RX Mapping'!BG2&lt;=720), (-1)*('(橫掃)RX Mapping'!BG2-720)+120,IF(AND('(橫掃)RX Mapping'!BG2&gt;=721,'(橫掃)RX Mapping'!BG2&lt;=840), ('(橫掃)RX Mapping'!BG2-601),IF(AND('(橫掃)RX Mapping'!BG2&gt;=841,'(橫掃)RX Mapping'!BG2&lt;=960), (-1)*('(橫掃)RX Mapping'!BG2-960)+120,9999))))))))</f>
        <v>9999</v>
      </c>
      <c r="BH2">
        <f>IF(AND('(橫掃)RX Mapping'!BH2&gt;=1,'(橫掃)RX Mapping'!BH2&lt;=120), ('(橫掃)RX Mapping'!BH2-1),IF(AND('(橫掃)RX Mapping'!BH2&gt;=121,'(橫掃)RX Mapping'!BH2&lt;=240), (-1)*('(橫掃)RX Mapping'!BH2-240),IF(AND('(橫掃)RX Mapping'!BH2&gt;=241,'(橫掃)RX Mapping'!BH2&lt;=360), ('(橫掃)RX Mapping'!BH2-241),IF(AND('(橫掃)RX Mapping'!BH2&gt;=361,'(橫掃)RX Mapping'!BH2&lt;=480), (-1)*('(橫掃)RX Mapping'!BH2-480),IF(AND('(橫掃)RX Mapping'!BH2&gt;=481,'(橫掃)RX Mapping'!BH2&lt;=600), ('(橫掃)RX Mapping'!BH2-361),IF(AND('(橫掃)RX Mapping'!BH2&gt;=601,'(橫掃)RX Mapping'!BH2&lt;=720), (-1)*('(橫掃)RX Mapping'!BH2-720)+120,IF(AND('(橫掃)RX Mapping'!BH2&gt;=721,'(橫掃)RX Mapping'!BH2&lt;=840), ('(橫掃)RX Mapping'!BH2-601),IF(AND('(橫掃)RX Mapping'!BH2&gt;=841,'(橫掃)RX Mapping'!BH2&lt;=960), (-1)*('(橫掃)RX Mapping'!BH2-960)+120,9999))))))))</f>
        <v>9999</v>
      </c>
      <c r="BI2">
        <f>IF(AND('(橫掃)RX Mapping'!BI2&gt;=1,'(橫掃)RX Mapping'!BI2&lt;=120), ('(橫掃)RX Mapping'!BI2-1),IF(AND('(橫掃)RX Mapping'!BI2&gt;=121,'(橫掃)RX Mapping'!BI2&lt;=240), (-1)*('(橫掃)RX Mapping'!BI2-240),IF(AND('(橫掃)RX Mapping'!BI2&gt;=241,'(橫掃)RX Mapping'!BI2&lt;=360), ('(橫掃)RX Mapping'!BI2-241),IF(AND('(橫掃)RX Mapping'!BI2&gt;=361,'(橫掃)RX Mapping'!BI2&lt;=480), (-1)*('(橫掃)RX Mapping'!BI2-480),IF(AND('(橫掃)RX Mapping'!BI2&gt;=481,'(橫掃)RX Mapping'!BI2&lt;=600), ('(橫掃)RX Mapping'!BI2-361),IF(AND('(橫掃)RX Mapping'!BI2&gt;=601,'(橫掃)RX Mapping'!BI2&lt;=720), (-1)*('(橫掃)RX Mapping'!BI2-720)+120,IF(AND('(橫掃)RX Mapping'!BI2&gt;=721,'(橫掃)RX Mapping'!BI2&lt;=840), ('(橫掃)RX Mapping'!BI2-601),IF(AND('(橫掃)RX Mapping'!BI2&gt;=841,'(橫掃)RX Mapping'!BI2&lt;=960), (-1)*('(橫掃)RX Mapping'!BI2-960)+120,9999))))))))</f>
        <v>9999</v>
      </c>
    </row>
    <row r="3" spans="1:61" x14ac:dyDescent="0.25">
      <c r="A3" s="20">
        <v>2</v>
      </c>
      <c r="B3">
        <f>IF(
(AND('(直掃)RX Mapping'!B3&gt;=0,'(直掃)RX Mapping'!B3&lt;=480)),
(MOD('(直掃)RX Mapping'!B3,120)-1),
IF(
(AND('(直掃)RX Mapping'!B3&gt;=480,'(直掃)RX Mapping'!B3&lt;=960)),
IF(MOD('(直掃)RX Mapping'!B3,120)=0, 120, 240-MOD('(直掃)RX Mapping'!B3,120)),9999))+IF(AND(MOD('(直掃)RX Mapping'!B3,120)=0, '(直掃)RX Mapping'!B3 &lt;= 480,  '(直掃)RX Mapping'!B3 &gt; 0), 120)</f>
        <v>121</v>
      </c>
      <c r="C3">
        <f>IF(
(AND('(直掃)RX Mapping'!C3&gt;=0,'(直掃)RX Mapping'!C3&lt;=480)),
(MOD('(直掃)RX Mapping'!C3,120)-1),
IF(
(AND('(直掃)RX Mapping'!C3&gt;=480,'(直掃)RX Mapping'!C3&lt;=960)),
IF(MOD('(直掃)RX Mapping'!C3,120)=0, 120, 240-MOD('(直掃)RX Mapping'!C3,120)),9999))+IF(AND(MOD('(直掃)RX Mapping'!C3,120)=0, '(直掃)RX Mapping'!C3 &lt;= 480,  '(直掃)RX Mapping'!C3 &gt; 0), 120)</f>
        <v>151</v>
      </c>
      <c r="D3">
        <f>IF(
(AND('(直掃)RX Mapping'!D3&gt;=0,'(直掃)RX Mapping'!D3&lt;=480)),
(MOD('(直掃)RX Mapping'!D3,120)-1),
IF(
(AND('(直掃)RX Mapping'!D3&gt;=480,'(直掃)RX Mapping'!D3&lt;=960)),
IF(MOD('(直掃)RX Mapping'!D3,120)=0, 120, 240-MOD('(直掃)RX Mapping'!D3,120)),9999))+IF(AND(MOD('(直掃)RX Mapping'!D3,120)=0, '(直掃)RX Mapping'!D3 &lt;= 480,  '(直掃)RX Mapping'!D3 &gt; 0), 120)</f>
        <v>181</v>
      </c>
      <c r="E3">
        <f>IF(
(AND('(直掃)RX Mapping'!E3&gt;=0,'(直掃)RX Mapping'!E3&lt;=480)),
(MOD('(直掃)RX Mapping'!E3,120)-1),
IF(
(AND('(直掃)RX Mapping'!E3&gt;=480,'(直掃)RX Mapping'!E3&lt;=960)),
IF(MOD('(直掃)RX Mapping'!E3,120)=0, 120, 240-MOD('(直掃)RX Mapping'!E3,120)),9999))+IF(AND(MOD('(直掃)RX Mapping'!E3,120)=0, '(直掃)RX Mapping'!E3 &lt;= 480,  '(直掃)RX Mapping'!E3 &gt; 0), 120)</f>
        <v>121</v>
      </c>
      <c r="F3">
        <f>IF(
(AND('(直掃)RX Mapping'!F3&gt;=0,'(直掃)RX Mapping'!F3&lt;=480)),
(MOD('(直掃)RX Mapping'!F3,120)-1),
IF(
(AND('(直掃)RX Mapping'!F3&gt;=480,'(直掃)RX Mapping'!F3&lt;=960)),
IF(MOD('(直掃)RX Mapping'!F3,120)=0, 120, 240-MOD('(直掃)RX Mapping'!F3,120)),9999))+IF(AND(MOD('(直掃)RX Mapping'!F3,120)=0, '(直掃)RX Mapping'!F3 &lt;= 480,  '(直掃)RX Mapping'!F3 &gt; 0), 120)</f>
        <v>151</v>
      </c>
      <c r="G3">
        <f>IF(
(AND('(直掃)RX Mapping'!G3&gt;=0,'(直掃)RX Mapping'!G3&lt;=480)),
(MOD('(直掃)RX Mapping'!G3,120)-1),
IF(
(AND('(直掃)RX Mapping'!G3&gt;=480,'(直掃)RX Mapping'!G3&lt;=960)),
IF(MOD('(直掃)RX Mapping'!G3,120)=0, 120, 240-MOD('(直掃)RX Mapping'!G3,120)),9999))+IF(AND(MOD('(直掃)RX Mapping'!G3,120)=0, '(直掃)RX Mapping'!G3 &lt;= 480,  '(直掃)RX Mapping'!G3 &gt; 0), 120)</f>
        <v>181</v>
      </c>
      <c r="H3">
        <f>IF(
(AND('(直掃)RX Mapping'!H3&gt;=0,'(直掃)RX Mapping'!H3&lt;=480)),
(MOD('(直掃)RX Mapping'!H3,120)-1),
IF(
(AND('(直掃)RX Mapping'!H3&gt;=480,'(直掃)RX Mapping'!H3&lt;=960)),
IF(MOD('(直掃)RX Mapping'!H3,120)=0, 120, 240-MOD('(直掃)RX Mapping'!H3,120)),9999))+IF(AND(MOD('(直掃)RX Mapping'!H3,120)=0, '(直掃)RX Mapping'!H3 &lt;= 480,  '(直掃)RX Mapping'!H3 &gt; 0), 120)</f>
        <v>121</v>
      </c>
      <c r="I3">
        <f>IF(
(AND('(直掃)RX Mapping'!I3&gt;=0,'(直掃)RX Mapping'!I3&lt;=480)),
(MOD('(直掃)RX Mapping'!I3,120)-1),
IF(
(AND('(直掃)RX Mapping'!I3&gt;=480,'(直掃)RX Mapping'!I3&lt;=960)),
IF(MOD('(直掃)RX Mapping'!I3,120)=0, 120, 240-MOD('(直掃)RX Mapping'!I3,120)),9999))+IF(AND(MOD('(直掃)RX Mapping'!I3,120)=0, '(直掃)RX Mapping'!I3 &lt;= 480,  '(直掃)RX Mapping'!I3 &gt; 0), 120)</f>
        <v>151</v>
      </c>
      <c r="J3">
        <f>IF(
(AND('(直掃)RX Mapping'!J3&gt;=0,'(直掃)RX Mapping'!J3&lt;=480)),
(MOD('(直掃)RX Mapping'!J3,120)-1),
IF(
(AND('(直掃)RX Mapping'!J3&gt;=480,'(直掃)RX Mapping'!J3&lt;=960)),
IF(MOD('(直掃)RX Mapping'!J3,120)=0, 120, 240-MOD('(直掃)RX Mapping'!J3,120)),9999))+IF(AND(MOD('(直掃)RX Mapping'!J3,120)=0, '(直掃)RX Mapping'!J3 &lt;= 480,  '(直掃)RX Mapping'!J3 &gt; 0), 120)</f>
        <v>181</v>
      </c>
      <c r="K3">
        <f>IF(
(AND('(直掃)RX Mapping'!K3&gt;=0,'(直掃)RX Mapping'!K3&lt;=480)),
(MOD('(直掃)RX Mapping'!K3,120)-1),
IF(
(AND('(直掃)RX Mapping'!K3&gt;=480,'(直掃)RX Mapping'!K3&lt;=960)),
IF(MOD('(直掃)RX Mapping'!K3,120)=0, 120, 240-MOD('(直掃)RX Mapping'!K3,120)),9999))+IF(AND(MOD('(直掃)RX Mapping'!K3,120)=0, '(直掃)RX Mapping'!K3 &lt;= 480,  '(直掃)RX Mapping'!K3 &gt; 0), 120)</f>
        <v>211</v>
      </c>
      <c r="L3">
        <f>IF(
(AND('(直掃)RX Mapping'!L3&gt;=0,'(直掃)RX Mapping'!L3&lt;=480)),
(MOD('(直掃)RX Mapping'!L3,120)-1),
IF(
(AND('(直掃)RX Mapping'!L3&gt;=480,'(直掃)RX Mapping'!L3&lt;=960)),
IF(MOD('(直掃)RX Mapping'!L3,120)=0, 120, 240-MOD('(直掃)RX Mapping'!L3,120)),9999))+IF(AND(MOD('(直掃)RX Mapping'!L3,120)=0, '(直掃)RX Mapping'!L3 &lt;= 480,  '(直掃)RX Mapping'!L3 &gt; 0), 120)</f>
        <v>121</v>
      </c>
      <c r="M3">
        <f>IF(
(AND('(直掃)RX Mapping'!M3&gt;=0,'(直掃)RX Mapping'!M3&lt;=480)),
(MOD('(直掃)RX Mapping'!M3,120)-1),
IF(
(AND('(直掃)RX Mapping'!M3&gt;=480,'(直掃)RX Mapping'!M3&lt;=960)),
IF(MOD('(直掃)RX Mapping'!M3,120)=0, 120, 240-MOD('(直掃)RX Mapping'!M3,120)),9999))+IF(AND(MOD('(直掃)RX Mapping'!M3,120)=0, '(直掃)RX Mapping'!M3 &lt;= 480,  '(直掃)RX Mapping'!M3 &gt; 0), 120)</f>
        <v>151</v>
      </c>
      <c r="N3">
        <f>IF(
(AND('(直掃)RX Mapping'!N3&gt;=0,'(直掃)RX Mapping'!N3&lt;=480)),
(MOD('(直掃)RX Mapping'!N3,120)-1),
IF(
(AND('(直掃)RX Mapping'!N3&gt;=480,'(直掃)RX Mapping'!N3&lt;=960)),
IF(MOD('(直掃)RX Mapping'!N3,120)=0, 120, 240-MOD('(直掃)RX Mapping'!N3,120)),9999))+IF(AND(MOD('(直掃)RX Mapping'!N3,120)=0, '(直掃)RX Mapping'!N3 &lt;= 480,  '(直掃)RX Mapping'!N3 &gt; 0), 120)</f>
        <v>181</v>
      </c>
      <c r="O3">
        <f>IF(
(AND('(直掃)RX Mapping'!O3&gt;=0,'(直掃)RX Mapping'!O3&lt;=480)),
(MOD('(直掃)RX Mapping'!O3,120)-1),
IF(
(AND('(直掃)RX Mapping'!O3&gt;=480,'(直掃)RX Mapping'!O3&lt;=960)),
IF(MOD('(直掃)RX Mapping'!O3,120)=0, 120, 240-MOD('(直掃)RX Mapping'!O3,120)),9999))+IF(AND(MOD('(直掃)RX Mapping'!O3,120)=0, '(直掃)RX Mapping'!O3 &lt;= 480,  '(直掃)RX Mapping'!O3 &gt; 0), 120)</f>
        <v>211</v>
      </c>
      <c r="P3">
        <f>IF(
(AND('(直掃)RX Mapping'!P3&gt;=0,'(直掃)RX Mapping'!P3&lt;=480)),
(MOD('(直掃)RX Mapping'!P3,120)-1),
IF(
(AND('(直掃)RX Mapping'!P3&gt;=480,'(直掃)RX Mapping'!P3&lt;=960)),
IF(MOD('(直掃)RX Mapping'!P3,120)=0, 120, 240-MOD('(直掃)RX Mapping'!P3,120)),9999))+IF(AND(MOD('(直掃)RX Mapping'!P3,120)=0, '(直掃)RX Mapping'!P3 &lt;= 480,  '(直掃)RX Mapping'!P3 &gt; 0), 120)</f>
        <v>118</v>
      </c>
      <c r="Q3">
        <f>IF(
(AND('(直掃)RX Mapping'!Q3&gt;=0,'(直掃)RX Mapping'!Q3&lt;=480)),
(MOD('(直掃)RX Mapping'!Q3,120)-1),
IF(
(AND('(直掃)RX Mapping'!Q3&gt;=480,'(直掃)RX Mapping'!Q3&lt;=960)),
IF(MOD('(直掃)RX Mapping'!Q3,120)=0, 120, 240-MOD('(直掃)RX Mapping'!Q3,120)),9999))+IF(AND(MOD('(直掃)RX Mapping'!Q3,120)=0, '(直掃)RX Mapping'!Q3 &lt;= 480,  '(直掃)RX Mapping'!Q3 &gt; 0), 120)</f>
        <v>88</v>
      </c>
      <c r="R3">
        <f>IF(
(AND('(直掃)RX Mapping'!R3&gt;=0,'(直掃)RX Mapping'!R3&lt;=480)),
(MOD('(直掃)RX Mapping'!R3,120)-1),
IF(
(AND('(直掃)RX Mapping'!R3&gt;=480,'(直掃)RX Mapping'!R3&lt;=960)),
IF(MOD('(直掃)RX Mapping'!R3,120)=0, 120, 240-MOD('(直掃)RX Mapping'!R3,120)),9999))+IF(AND(MOD('(直掃)RX Mapping'!R3,120)=0, '(直掃)RX Mapping'!R3 &lt;= 480,  '(直掃)RX Mapping'!R3 &gt; 0), 120)</f>
        <v>58</v>
      </c>
      <c r="S3">
        <f>IF(
(AND('(直掃)RX Mapping'!S3&gt;=0,'(直掃)RX Mapping'!S3&lt;=480)),
(MOD('(直掃)RX Mapping'!S3,120)-1),
IF(
(AND('(直掃)RX Mapping'!S3&gt;=480,'(直掃)RX Mapping'!S3&lt;=960)),
IF(MOD('(直掃)RX Mapping'!S3,120)=0, 120, 240-MOD('(直掃)RX Mapping'!S3,120)),9999))+IF(AND(MOD('(直掃)RX Mapping'!S3,120)=0, '(直掃)RX Mapping'!S3 &lt;= 480,  '(直掃)RX Mapping'!S3 &gt; 0), 120)</f>
        <v>28</v>
      </c>
      <c r="T3">
        <f>IF(
(AND('(直掃)RX Mapping'!T3&gt;=0,'(直掃)RX Mapping'!T3&lt;=480)),
(MOD('(直掃)RX Mapping'!T3,120)-1),
IF(
(AND('(直掃)RX Mapping'!T3&gt;=480,'(直掃)RX Mapping'!T3&lt;=960)),
IF(MOD('(直掃)RX Mapping'!T3,120)=0, 120, 240-MOD('(直掃)RX Mapping'!T3,120)),9999))+IF(AND(MOD('(直掃)RX Mapping'!T3,120)=0, '(直掃)RX Mapping'!T3 &lt;= 480,  '(直掃)RX Mapping'!T3 &gt; 0), 120)</f>
        <v>118</v>
      </c>
      <c r="U3">
        <f>IF(
(AND('(直掃)RX Mapping'!U3&gt;=0,'(直掃)RX Mapping'!U3&lt;=480)),
(MOD('(直掃)RX Mapping'!U3,120)-1),
IF(
(AND('(直掃)RX Mapping'!U3&gt;=480,'(直掃)RX Mapping'!U3&lt;=960)),
IF(MOD('(直掃)RX Mapping'!U3,120)=0, 120, 240-MOD('(直掃)RX Mapping'!U3,120)),9999))+IF(AND(MOD('(直掃)RX Mapping'!U3,120)=0, '(直掃)RX Mapping'!U3 &lt;= 480,  '(直掃)RX Mapping'!U3 &gt; 0), 120)</f>
        <v>88</v>
      </c>
      <c r="V3">
        <f>IF(
(AND('(直掃)RX Mapping'!V3&gt;=0,'(直掃)RX Mapping'!V3&lt;=480)),
(MOD('(直掃)RX Mapping'!V3,120)-1),
IF(
(AND('(直掃)RX Mapping'!V3&gt;=480,'(直掃)RX Mapping'!V3&lt;=960)),
IF(MOD('(直掃)RX Mapping'!V3,120)=0, 120, 240-MOD('(直掃)RX Mapping'!V3,120)),9999))+IF(AND(MOD('(直掃)RX Mapping'!V3,120)=0, '(直掃)RX Mapping'!V3 &lt;= 480,  '(直掃)RX Mapping'!V3 &gt; 0), 120)</f>
        <v>58</v>
      </c>
      <c r="W3">
        <f>IF(
(AND('(直掃)RX Mapping'!W3&gt;=0,'(直掃)RX Mapping'!W3&lt;=480)),
(MOD('(直掃)RX Mapping'!W3,120)-1),
IF(
(AND('(直掃)RX Mapping'!W3&gt;=480,'(直掃)RX Mapping'!W3&lt;=960)),
IF(MOD('(直掃)RX Mapping'!W3,120)=0, 120, 240-MOD('(直掃)RX Mapping'!W3,120)),9999))+IF(AND(MOD('(直掃)RX Mapping'!W3,120)=0, '(直掃)RX Mapping'!W3 &lt;= 480,  '(直掃)RX Mapping'!W3 &gt; 0), 120)</f>
        <v>28</v>
      </c>
      <c r="X3">
        <f>IF(
(AND('(直掃)RX Mapping'!X3&gt;=0,'(直掃)RX Mapping'!X3&lt;=480)),
(MOD('(直掃)RX Mapping'!X3,120)-1),
IF(
(AND('(直掃)RX Mapping'!X3&gt;=480,'(直掃)RX Mapping'!X3&lt;=960)),
IF(MOD('(直掃)RX Mapping'!X3,120)=0, 120, 240-MOD('(直掃)RX Mapping'!X3,120)),9999))+IF(AND(MOD('(直掃)RX Mapping'!X3,120)=0, '(直掃)RX Mapping'!X3 &lt;= 480,  '(直掃)RX Mapping'!X3 &gt; 0), 120)</f>
        <v>88</v>
      </c>
      <c r="Y3">
        <f>IF(
(AND('(直掃)RX Mapping'!Y3&gt;=0,'(直掃)RX Mapping'!Y3&lt;=480)),
(MOD('(直掃)RX Mapping'!Y3,120)-1),
IF(
(AND('(直掃)RX Mapping'!Y3&gt;=480,'(直掃)RX Mapping'!Y3&lt;=960)),
IF(MOD('(直掃)RX Mapping'!Y3,120)=0, 120, 240-MOD('(直掃)RX Mapping'!Y3,120)),9999))+IF(AND(MOD('(直掃)RX Mapping'!Y3,120)=0, '(直掃)RX Mapping'!Y3 &lt;= 480,  '(直掃)RX Mapping'!Y3 &gt; 0), 120)</f>
        <v>58</v>
      </c>
      <c r="Z3">
        <f>IF(
(AND('(直掃)RX Mapping'!Z3&gt;=0,'(直掃)RX Mapping'!Z3&lt;=480)),
(MOD('(直掃)RX Mapping'!Z3,120)-1),
IF(
(AND('(直掃)RX Mapping'!Z3&gt;=480,'(直掃)RX Mapping'!Z3&lt;=960)),
IF(MOD('(直掃)RX Mapping'!Z3,120)=0, 120, 240-MOD('(直掃)RX Mapping'!Z3,120)),9999))+IF(AND(MOD('(直掃)RX Mapping'!Z3,120)=0, '(直掃)RX Mapping'!Z3 &lt;= 480,  '(直掃)RX Mapping'!Z3 &gt; 0), 120)</f>
        <v>28</v>
      </c>
      <c r="AA3">
        <f>IF(
(AND('(直掃)RX Mapping'!AA3&gt;=0,'(直掃)RX Mapping'!AA3&lt;=480)),
(MOD('(直掃)RX Mapping'!AA3,120)-1),
IF(
(AND('(直掃)RX Mapping'!AA3&gt;=480,'(直掃)RX Mapping'!AA3&lt;=960)),
IF(MOD('(直掃)RX Mapping'!AA3,120)=0, 120, 240-MOD('(直掃)RX Mapping'!AA3,120)),9999))+IF(AND(MOD('(直掃)RX Mapping'!AA3,120)=0, '(直掃)RX Mapping'!AA3 &lt;= 480,  '(直掃)RX Mapping'!AA3 &gt; 0), 120)</f>
        <v>88</v>
      </c>
      <c r="AB3">
        <f>IF(
(AND('(直掃)RX Mapping'!AB3&gt;=0,'(直掃)RX Mapping'!AB3&lt;=480)),
(MOD('(直掃)RX Mapping'!AB3,120)-1),
IF(
(AND('(直掃)RX Mapping'!AB3&gt;=480,'(直掃)RX Mapping'!AB3&lt;=960)),
IF(MOD('(直掃)RX Mapping'!AB3,120)=0, 120, 240-MOD('(直掃)RX Mapping'!AB3,120)),9999))+IF(AND(MOD('(直掃)RX Mapping'!AB3,120)=0, '(直掃)RX Mapping'!AB3 &lt;= 480,  '(直掃)RX Mapping'!AB3 &gt; 0), 120)</f>
        <v>58</v>
      </c>
      <c r="AC3">
        <f>IF(
(AND('(直掃)RX Mapping'!AC3&gt;=0,'(直掃)RX Mapping'!AC3&lt;=480)),
(MOD('(直掃)RX Mapping'!AC3,120)-1),
IF(
(AND('(直掃)RX Mapping'!AC3&gt;=480,'(直掃)RX Mapping'!AC3&lt;=960)),
IF(MOD('(直掃)RX Mapping'!AC3,120)=0, 120, 240-MOD('(直掃)RX Mapping'!AC3,120)),9999))+IF(AND(MOD('(直掃)RX Mapping'!AC3,120)=0, '(直掃)RX Mapping'!AC3 &lt;= 480,  '(直掃)RX Mapping'!AC3 &gt; 0), 120)</f>
        <v>28</v>
      </c>
      <c r="AD3">
        <f>IF(
(AND('(直掃)RX Mapping'!AD3&gt;=0,'(直掃)RX Mapping'!AD3&lt;=480)),
(MOD('(直掃)RX Mapping'!AD3,120)-1),
IF(
(AND('(直掃)RX Mapping'!AD3&gt;=480,'(直掃)RX Mapping'!AD3&lt;=960)),
IF(MOD('(直掃)RX Mapping'!AD3,120)=0, 120, 240-MOD('(直掃)RX Mapping'!AD3,120)),9999))+IF(AND(MOD('(直掃)RX Mapping'!AD3,120)=0, '(直掃)RX Mapping'!AD3 &lt;= 480,  '(直掃)RX Mapping'!AD3 &gt; 0), 120)</f>
        <v>-1</v>
      </c>
      <c r="AE3">
        <f>IF(
(AND('(直掃)RX Mapping'!AE3&gt;=0,'(直掃)RX Mapping'!AE3&lt;=480)),
(MOD('(直掃)RX Mapping'!AE3,120)-1),
IF(
(AND('(直掃)RX Mapping'!AE3&gt;=480,'(直掃)RX Mapping'!AE3&lt;=960)),
IF(MOD('(直掃)RX Mapping'!AE3,120)=0, 120, 240-MOD('(直掃)RX Mapping'!AE3,120)),9999))+IF(AND(MOD('(直掃)RX Mapping'!AE3,120)=0, '(直掃)RX Mapping'!AE3 &lt;= 480,  '(直掃)RX Mapping'!AE3 &gt; 0), 120)</f>
        <v>-1</v>
      </c>
      <c r="AF3">
        <f>IF(
(AND('(直掃)RX Mapping'!AF3&gt;=0,'(直掃)RX Mapping'!AF3&lt;=480)),
(MOD('(直掃)RX Mapping'!AF3,120)-1),
IF(
(AND('(直掃)RX Mapping'!AF3&gt;=480,'(直掃)RX Mapping'!AF3&lt;=960)),
IF(MOD('(直掃)RX Mapping'!AF3,120)=0, 120, 240-MOD('(直掃)RX Mapping'!AF3,120)),9999))+IF(AND(MOD('(直掃)RX Mapping'!AF3,120)=0, '(直掃)RX Mapping'!AF3 &lt;= 480,  '(直掃)RX Mapping'!AF3 &gt; 0), 120)</f>
        <v>-1</v>
      </c>
      <c r="AG3">
        <f>IF(
(AND('(直掃)RX Mapping'!AG3&gt;=0,'(直掃)RX Mapping'!AG3&lt;=480)),
(MOD('(直掃)RX Mapping'!AG3,120)-1),
IF(
(AND('(直掃)RX Mapping'!AG3&gt;=480,'(直掃)RX Mapping'!AG3&lt;=960)),
IF(MOD('(直掃)RX Mapping'!AG3,120)=0, 120, 240-MOD('(直掃)RX Mapping'!AG3,120)),9999))+IF(AND(MOD('(直掃)RX Mapping'!AG3,120)=0, '(直掃)RX Mapping'!AG3 &lt;= 480,  '(直掃)RX Mapping'!AG3 &gt; 0), 120)</f>
        <v>-1</v>
      </c>
      <c r="AH3">
        <f>IF(
(AND('(直掃)RX Mapping'!AH3&gt;=0,'(直掃)RX Mapping'!AH3&lt;=480)),
(MOD('(直掃)RX Mapping'!AH3,120)-1),
IF(
(AND('(直掃)RX Mapping'!AH3&gt;=480,'(直掃)RX Mapping'!AH3&lt;=960)),
IF(MOD('(直掃)RX Mapping'!AH3,120)=0, 120, 240-MOD('(直掃)RX Mapping'!AH3,120)),9999))+IF(AND(MOD('(直掃)RX Mapping'!AH3,120)=0, '(直掃)RX Mapping'!AH3 &lt;= 480,  '(直掃)RX Mapping'!AH3 &gt; 0), 120)</f>
        <v>-1</v>
      </c>
      <c r="AI3">
        <f>IF(
(AND('(直掃)RX Mapping'!AI3&gt;=0,'(直掃)RX Mapping'!AI3&lt;=480)),
(MOD('(直掃)RX Mapping'!AI3,120)-1),
IF(
(AND('(直掃)RX Mapping'!AI3&gt;=480,'(直掃)RX Mapping'!AI3&lt;=960)),
IF(MOD('(直掃)RX Mapping'!AI3,120)=0, 120, 240-MOD('(直掃)RX Mapping'!AI3,120)),9999))+IF(AND(MOD('(直掃)RX Mapping'!AI3,120)=0, '(直掃)RX Mapping'!AI3 &lt;= 480,  '(直掃)RX Mapping'!AI3 &gt; 0), 120)</f>
        <v>-1</v>
      </c>
      <c r="AJ3">
        <f>IF(
(AND('(直掃)RX Mapping'!AJ3&gt;=0,'(直掃)RX Mapping'!AJ3&lt;=480)),
(MOD('(直掃)RX Mapping'!AJ3,120)-1),
IF(
(AND('(直掃)RX Mapping'!AJ3&gt;=480,'(直掃)RX Mapping'!AJ3&lt;=960)),
IF(MOD('(直掃)RX Mapping'!AJ3,120)=0, 120, 240-MOD('(直掃)RX Mapping'!AJ3,120)),9999))+IF(AND(MOD('(直掃)RX Mapping'!AJ3,120)=0, '(直掃)RX Mapping'!AJ3 &lt;= 480,  '(直掃)RX Mapping'!AJ3 &gt; 0), 120)</f>
        <v>-1</v>
      </c>
      <c r="AK3">
        <f>IF(
(AND('(直掃)RX Mapping'!AK3&gt;=0,'(直掃)RX Mapping'!AK3&lt;=480)),
(MOD('(直掃)RX Mapping'!AK3,120)-1),
IF(
(AND('(直掃)RX Mapping'!AK3&gt;=480,'(直掃)RX Mapping'!AK3&lt;=960)),
IF(MOD('(直掃)RX Mapping'!AK3,120)=0, 120, 240-MOD('(直掃)RX Mapping'!AK3,120)),9999))+IF(AND(MOD('(直掃)RX Mapping'!AK3,120)=0, '(直掃)RX Mapping'!AK3 &lt;= 480,  '(直掃)RX Mapping'!AK3 &gt; 0), 120)</f>
        <v>-1</v>
      </c>
      <c r="AL3">
        <f>IF(
(AND('(直掃)RX Mapping'!AL3&gt;=0,'(直掃)RX Mapping'!AL3&lt;=480)),
(MOD('(直掃)RX Mapping'!AL3,120)-1),
IF(
(AND('(直掃)RX Mapping'!AL3&gt;=480,'(直掃)RX Mapping'!AL3&lt;=960)),
IF(MOD('(直掃)RX Mapping'!AL3,120)=0, 120, 240-MOD('(直掃)RX Mapping'!AL3,120)),9999))+IF(AND(MOD('(直掃)RX Mapping'!AL3,120)=0, '(直掃)RX Mapping'!AL3 &lt;= 480,  '(直掃)RX Mapping'!AL3 &gt; 0), 120)</f>
        <v>-1</v>
      </c>
      <c r="AM3">
        <f>IF(
(AND('(直掃)RX Mapping'!AM3&gt;=0,'(直掃)RX Mapping'!AM3&lt;=480)),
(MOD('(直掃)RX Mapping'!AM3,120)-1),
IF(
(AND('(直掃)RX Mapping'!AM3&gt;=480,'(直掃)RX Mapping'!AM3&lt;=960)),
IF(MOD('(直掃)RX Mapping'!AM3,120)=0, 120, 240-MOD('(直掃)RX Mapping'!AM3,120)),9999))+IF(AND(MOD('(直掃)RX Mapping'!AM3,120)=0, '(直掃)RX Mapping'!AM3 &lt;= 480,  '(直掃)RX Mapping'!AM3 &gt; 0), 120)</f>
        <v>-1</v>
      </c>
      <c r="AN3">
        <f>IF(
(AND('(直掃)RX Mapping'!AN3&gt;=0,'(直掃)RX Mapping'!AN3&lt;=480)),
(MOD('(直掃)RX Mapping'!AN3,120)-1),
IF(
(AND('(直掃)RX Mapping'!AN3&gt;=480,'(直掃)RX Mapping'!AN3&lt;=960)),
IF(MOD('(直掃)RX Mapping'!AN3,120)=0, 120, 240-MOD('(直掃)RX Mapping'!AN3,120)),9999))+IF(AND(MOD('(直掃)RX Mapping'!AN3,120)=0, '(直掃)RX Mapping'!AN3 &lt;= 480,  '(直掃)RX Mapping'!AN3 &gt; 0), 120)</f>
        <v>-1</v>
      </c>
      <c r="AO3">
        <f>IF(
(AND('(直掃)RX Mapping'!AO3&gt;=0,'(直掃)RX Mapping'!AO3&lt;=480)),
(MOD('(直掃)RX Mapping'!AO3,120)-1),
IF(
(AND('(直掃)RX Mapping'!AO3&gt;=480,'(直掃)RX Mapping'!AO3&lt;=960)),
IF(MOD('(直掃)RX Mapping'!AO3,120)=0, 120, 240-MOD('(直掃)RX Mapping'!AO3,120)),9999))+IF(AND(MOD('(直掃)RX Mapping'!AO3,120)=0, '(直掃)RX Mapping'!AO3 &lt;= 480,  '(直掃)RX Mapping'!AO3 &gt; 0), 120)</f>
        <v>-1</v>
      </c>
      <c r="AP3">
        <f>IF(
(AND('(直掃)RX Mapping'!AP3&gt;=0,'(直掃)RX Mapping'!AP3&lt;=480)),
(MOD('(直掃)RX Mapping'!AP3,120)-1),
IF(
(AND('(直掃)RX Mapping'!AP3&gt;=480,'(直掃)RX Mapping'!AP3&lt;=960)),
IF(MOD('(直掃)RX Mapping'!AP3,120)=0, 120, 240-MOD('(直掃)RX Mapping'!AP3,120)),9999))+IF(AND(MOD('(直掃)RX Mapping'!AP3,120)=0, '(直掃)RX Mapping'!AP3 &lt;= 480,  '(直掃)RX Mapping'!AP3 &gt; 0), 120)</f>
        <v>-1</v>
      </c>
      <c r="AQ3">
        <f>IF(
(AND('(直掃)RX Mapping'!AQ3&gt;=0,'(直掃)RX Mapping'!AQ3&lt;=480)),
(MOD('(直掃)RX Mapping'!AQ3,120)-1),
IF(
(AND('(直掃)RX Mapping'!AQ3&gt;=480,'(直掃)RX Mapping'!AQ3&lt;=960)),
IF(MOD('(直掃)RX Mapping'!AQ3,120)=0, 120, 240-MOD('(直掃)RX Mapping'!AQ3,120)),9999))+IF(AND(MOD('(直掃)RX Mapping'!AQ3,120)=0, '(直掃)RX Mapping'!AQ3 &lt;= 480,  '(直掃)RX Mapping'!AQ3 &gt; 0), 120)</f>
        <v>-1</v>
      </c>
      <c r="AR3">
        <f>IF(
(AND('(直掃)RX Mapping'!AR3&gt;=0,'(直掃)RX Mapping'!AR3&lt;=480)),
(MOD('(直掃)RX Mapping'!AR3,120)-1),
IF(
(AND('(直掃)RX Mapping'!AR3&gt;=480,'(直掃)RX Mapping'!AR3&lt;=960)),
IF(MOD('(直掃)RX Mapping'!AR3,120)=0, 120, 240-MOD('(直掃)RX Mapping'!AR3,120)),9999))+IF(AND(MOD('(直掃)RX Mapping'!AR3,120)=0, '(直掃)RX Mapping'!AR3 &lt;= 480,  '(直掃)RX Mapping'!AR3 &gt; 0), 120)</f>
        <v>-1</v>
      </c>
      <c r="AS3">
        <f>IF(
(AND('(直掃)RX Mapping'!AS3&gt;=0,'(直掃)RX Mapping'!AS3&lt;=480)),
(MOD('(直掃)RX Mapping'!AS3,120)-1),
IF(
(AND('(直掃)RX Mapping'!AS3&gt;=480,'(直掃)RX Mapping'!AS3&lt;=960)),
IF(MOD('(直掃)RX Mapping'!AS3,120)=0, 120, 240-MOD('(直掃)RX Mapping'!AS3,120)),9999))+IF(AND(MOD('(直掃)RX Mapping'!AS3,120)=0, '(直掃)RX Mapping'!AS3 &lt;= 480,  '(直掃)RX Mapping'!AS3 &gt; 0), 120)</f>
        <v>-1</v>
      </c>
      <c r="AT3">
        <f>IF(AND('(橫掃)RX Mapping'!AT3&gt;=1,'(橫掃)RX Mapping'!AT3&lt;=120), ('(橫掃)RX Mapping'!AT3-1),IF(AND('(橫掃)RX Mapping'!AT3&gt;=121,'(橫掃)RX Mapping'!AT3&lt;=240), (-1)*('(橫掃)RX Mapping'!AT3-240),IF(AND('(橫掃)RX Mapping'!AT3&gt;=241,'(橫掃)RX Mapping'!AT3&lt;=360), ('(橫掃)RX Mapping'!AT3-241),IF(AND('(橫掃)RX Mapping'!AT3&gt;=361,'(橫掃)RX Mapping'!AT3&lt;=480), (-1)*('(橫掃)RX Mapping'!AT3-480),IF(AND('(橫掃)RX Mapping'!AT3&gt;=481,'(橫掃)RX Mapping'!AT3&lt;=600), ('(橫掃)RX Mapping'!AT3-361),IF(AND('(橫掃)RX Mapping'!AT3&gt;=601,'(橫掃)RX Mapping'!AT3&lt;=720), (-1)*('(橫掃)RX Mapping'!AT3-720)+120,IF(AND('(橫掃)RX Mapping'!AT3&gt;=721,'(橫掃)RX Mapping'!AT3&lt;=840), ('(橫掃)RX Mapping'!AT3-601),IF(AND('(橫掃)RX Mapping'!AT3&gt;=841,'(橫掃)RX Mapping'!AT3&lt;=960), (-1)*('(橫掃)RX Mapping'!AT3-960)+120,9999))))))))</f>
        <v>9999</v>
      </c>
      <c r="AU3">
        <f>IF(AND('(橫掃)RX Mapping'!AU3&gt;=1,'(橫掃)RX Mapping'!AU3&lt;=120), ('(橫掃)RX Mapping'!AU3-1),IF(AND('(橫掃)RX Mapping'!AU3&gt;=121,'(橫掃)RX Mapping'!AU3&lt;=240), (-1)*('(橫掃)RX Mapping'!AU3-240),IF(AND('(橫掃)RX Mapping'!AU3&gt;=241,'(橫掃)RX Mapping'!AU3&lt;=360), ('(橫掃)RX Mapping'!AU3-241),IF(AND('(橫掃)RX Mapping'!AU3&gt;=361,'(橫掃)RX Mapping'!AU3&lt;=480), (-1)*('(橫掃)RX Mapping'!AU3-480),IF(AND('(橫掃)RX Mapping'!AU3&gt;=481,'(橫掃)RX Mapping'!AU3&lt;=600), ('(橫掃)RX Mapping'!AU3-361),IF(AND('(橫掃)RX Mapping'!AU3&gt;=601,'(橫掃)RX Mapping'!AU3&lt;=720), (-1)*('(橫掃)RX Mapping'!AU3-720)+120,IF(AND('(橫掃)RX Mapping'!AU3&gt;=721,'(橫掃)RX Mapping'!AU3&lt;=840), ('(橫掃)RX Mapping'!AU3-601),IF(AND('(橫掃)RX Mapping'!AU3&gt;=841,'(橫掃)RX Mapping'!AU3&lt;=960), (-1)*('(橫掃)RX Mapping'!AU3-960)+120,9999))))))))</f>
        <v>9999</v>
      </c>
      <c r="AV3">
        <f>IF(AND('(橫掃)RX Mapping'!AV3&gt;=1,'(橫掃)RX Mapping'!AV3&lt;=120), ('(橫掃)RX Mapping'!AV3-1),IF(AND('(橫掃)RX Mapping'!AV3&gt;=121,'(橫掃)RX Mapping'!AV3&lt;=240), (-1)*('(橫掃)RX Mapping'!AV3-240),IF(AND('(橫掃)RX Mapping'!AV3&gt;=241,'(橫掃)RX Mapping'!AV3&lt;=360), ('(橫掃)RX Mapping'!AV3-241),IF(AND('(橫掃)RX Mapping'!AV3&gt;=361,'(橫掃)RX Mapping'!AV3&lt;=480), (-1)*('(橫掃)RX Mapping'!AV3-480),IF(AND('(橫掃)RX Mapping'!AV3&gt;=481,'(橫掃)RX Mapping'!AV3&lt;=600), ('(橫掃)RX Mapping'!AV3-361),IF(AND('(橫掃)RX Mapping'!AV3&gt;=601,'(橫掃)RX Mapping'!AV3&lt;=720), (-1)*('(橫掃)RX Mapping'!AV3-720)+120,IF(AND('(橫掃)RX Mapping'!AV3&gt;=721,'(橫掃)RX Mapping'!AV3&lt;=840), ('(橫掃)RX Mapping'!AV3-601),IF(AND('(橫掃)RX Mapping'!AV3&gt;=841,'(橫掃)RX Mapping'!AV3&lt;=960), (-1)*('(橫掃)RX Mapping'!AV3-960)+120,9999))))))))</f>
        <v>9999</v>
      </c>
      <c r="AW3">
        <f>IF(AND('(橫掃)RX Mapping'!AW3&gt;=1,'(橫掃)RX Mapping'!AW3&lt;=120), ('(橫掃)RX Mapping'!AW3-1),IF(AND('(橫掃)RX Mapping'!AW3&gt;=121,'(橫掃)RX Mapping'!AW3&lt;=240), (-1)*('(橫掃)RX Mapping'!AW3-240),IF(AND('(橫掃)RX Mapping'!AW3&gt;=241,'(橫掃)RX Mapping'!AW3&lt;=360), ('(橫掃)RX Mapping'!AW3-241),IF(AND('(橫掃)RX Mapping'!AW3&gt;=361,'(橫掃)RX Mapping'!AW3&lt;=480), (-1)*('(橫掃)RX Mapping'!AW3-480),IF(AND('(橫掃)RX Mapping'!AW3&gt;=481,'(橫掃)RX Mapping'!AW3&lt;=600), ('(橫掃)RX Mapping'!AW3-361),IF(AND('(橫掃)RX Mapping'!AW3&gt;=601,'(橫掃)RX Mapping'!AW3&lt;=720), (-1)*('(橫掃)RX Mapping'!AW3-720)+120,IF(AND('(橫掃)RX Mapping'!AW3&gt;=721,'(橫掃)RX Mapping'!AW3&lt;=840), ('(橫掃)RX Mapping'!AW3-601),IF(AND('(橫掃)RX Mapping'!AW3&gt;=841,'(橫掃)RX Mapping'!AW3&lt;=960), (-1)*('(橫掃)RX Mapping'!AW3-960)+120,9999))))))))</f>
        <v>9999</v>
      </c>
      <c r="AX3">
        <f>IF(AND('(橫掃)RX Mapping'!AX3&gt;=1,'(橫掃)RX Mapping'!AX3&lt;=120), ('(橫掃)RX Mapping'!AX3-1),IF(AND('(橫掃)RX Mapping'!AX3&gt;=121,'(橫掃)RX Mapping'!AX3&lt;=240), (-1)*('(橫掃)RX Mapping'!AX3-240),IF(AND('(橫掃)RX Mapping'!AX3&gt;=241,'(橫掃)RX Mapping'!AX3&lt;=360), ('(橫掃)RX Mapping'!AX3-241),IF(AND('(橫掃)RX Mapping'!AX3&gt;=361,'(橫掃)RX Mapping'!AX3&lt;=480), (-1)*('(橫掃)RX Mapping'!AX3-480),IF(AND('(橫掃)RX Mapping'!AX3&gt;=481,'(橫掃)RX Mapping'!AX3&lt;=600), ('(橫掃)RX Mapping'!AX3-361),IF(AND('(橫掃)RX Mapping'!AX3&gt;=601,'(橫掃)RX Mapping'!AX3&lt;=720), (-1)*('(橫掃)RX Mapping'!AX3-720)+120,IF(AND('(橫掃)RX Mapping'!AX3&gt;=721,'(橫掃)RX Mapping'!AX3&lt;=840), ('(橫掃)RX Mapping'!AX3-601),IF(AND('(橫掃)RX Mapping'!AX3&gt;=841,'(橫掃)RX Mapping'!AX3&lt;=960), (-1)*('(橫掃)RX Mapping'!AX3-960)+120,9999))))))))</f>
        <v>9999</v>
      </c>
      <c r="AY3">
        <f>IF(AND('(橫掃)RX Mapping'!AY3&gt;=1,'(橫掃)RX Mapping'!AY3&lt;=120), ('(橫掃)RX Mapping'!AY3-1),IF(AND('(橫掃)RX Mapping'!AY3&gt;=121,'(橫掃)RX Mapping'!AY3&lt;=240), (-1)*('(橫掃)RX Mapping'!AY3-240),IF(AND('(橫掃)RX Mapping'!AY3&gt;=241,'(橫掃)RX Mapping'!AY3&lt;=360), ('(橫掃)RX Mapping'!AY3-241),IF(AND('(橫掃)RX Mapping'!AY3&gt;=361,'(橫掃)RX Mapping'!AY3&lt;=480), (-1)*('(橫掃)RX Mapping'!AY3-480),IF(AND('(橫掃)RX Mapping'!AY3&gt;=481,'(橫掃)RX Mapping'!AY3&lt;=600), ('(橫掃)RX Mapping'!AY3-361),IF(AND('(橫掃)RX Mapping'!AY3&gt;=601,'(橫掃)RX Mapping'!AY3&lt;=720), (-1)*('(橫掃)RX Mapping'!AY3-720)+120,IF(AND('(橫掃)RX Mapping'!AY3&gt;=721,'(橫掃)RX Mapping'!AY3&lt;=840), ('(橫掃)RX Mapping'!AY3-601),IF(AND('(橫掃)RX Mapping'!AY3&gt;=841,'(橫掃)RX Mapping'!AY3&lt;=960), (-1)*('(橫掃)RX Mapping'!AY3-960)+120,9999))))))))</f>
        <v>9999</v>
      </c>
      <c r="AZ3">
        <f>IF(AND('(橫掃)RX Mapping'!AZ3&gt;=1,'(橫掃)RX Mapping'!AZ3&lt;=120), ('(橫掃)RX Mapping'!AZ3-1),IF(AND('(橫掃)RX Mapping'!AZ3&gt;=121,'(橫掃)RX Mapping'!AZ3&lt;=240), (-1)*('(橫掃)RX Mapping'!AZ3-240),IF(AND('(橫掃)RX Mapping'!AZ3&gt;=241,'(橫掃)RX Mapping'!AZ3&lt;=360), ('(橫掃)RX Mapping'!AZ3-241),IF(AND('(橫掃)RX Mapping'!AZ3&gt;=361,'(橫掃)RX Mapping'!AZ3&lt;=480), (-1)*('(橫掃)RX Mapping'!AZ3-480),IF(AND('(橫掃)RX Mapping'!AZ3&gt;=481,'(橫掃)RX Mapping'!AZ3&lt;=600), ('(橫掃)RX Mapping'!AZ3-361),IF(AND('(橫掃)RX Mapping'!AZ3&gt;=601,'(橫掃)RX Mapping'!AZ3&lt;=720), (-1)*('(橫掃)RX Mapping'!AZ3-720)+120,IF(AND('(橫掃)RX Mapping'!AZ3&gt;=721,'(橫掃)RX Mapping'!AZ3&lt;=840), ('(橫掃)RX Mapping'!AZ3-601),IF(AND('(橫掃)RX Mapping'!AZ3&gt;=841,'(橫掃)RX Mapping'!AZ3&lt;=960), (-1)*('(橫掃)RX Mapping'!AZ3-960)+120,9999))))))))</f>
        <v>9999</v>
      </c>
      <c r="BA3">
        <f>IF(AND('(橫掃)RX Mapping'!BA3&gt;=1,'(橫掃)RX Mapping'!BA3&lt;=120), ('(橫掃)RX Mapping'!BA3-1),IF(AND('(橫掃)RX Mapping'!BA3&gt;=121,'(橫掃)RX Mapping'!BA3&lt;=240), (-1)*('(橫掃)RX Mapping'!BA3-240),IF(AND('(橫掃)RX Mapping'!BA3&gt;=241,'(橫掃)RX Mapping'!BA3&lt;=360), ('(橫掃)RX Mapping'!BA3-241),IF(AND('(橫掃)RX Mapping'!BA3&gt;=361,'(橫掃)RX Mapping'!BA3&lt;=480), (-1)*('(橫掃)RX Mapping'!BA3-480),IF(AND('(橫掃)RX Mapping'!BA3&gt;=481,'(橫掃)RX Mapping'!BA3&lt;=600), ('(橫掃)RX Mapping'!BA3-361),IF(AND('(橫掃)RX Mapping'!BA3&gt;=601,'(橫掃)RX Mapping'!BA3&lt;=720), (-1)*('(橫掃)RX Mapping'!BA3-720)+120,IF(AND('(橫掃)RX Mapping'!BA3&gt;=721,'(橫掃)RX Mapping'!BA3&lt;=840), ('(橫掃)RX Mapping'!BA3-601),IF(AND('(橫掃)RX Mapping'!BA3&gt;=841,'(橫掃)RX Mapping'!BA3&lt;=960), (-1)*('(橫掃)RX Mapping'!BA3-960)+120,9999))))))))</f>
        <v>9999</v>
      </c>
      <c r="BB3">
        <f>IF(AND('(橫掃)RX Mapping'!BB3&gt;=1,'(橫掃)RX Mapping'!BB3&lt;=120), ('(橫掃)RX Mapping'!BB3-1),IF(AND('(橫掃)RX Mapping'!BB3&gt;=121,'(橫掃)RX Mapping'!BB3&lt;=240), (-1)*('(橫掃)RX Mapping'!BB3-240),IF(AND('(橫掃)RX Mapping'!BB3&gt;=241,'(橫掃)RX Mapping'!BB3&lt;=360), ('(橫掃)RX Mapping'!BB3-241),IF(AND('(橫掃)RX Mapping'!BB3&gt;=361,'(橫掃)RX Mapping'!BB3&lt;=480), (-1)*('(橫掃)RX Mapping'!BB3-480),IF(AND('(橫掃)RX Mapping'!BB3&gt;=481,'(橫掃)RX Mapping'!BB3&lt;=600), ('(橫掃)RX Mapping'!BB3-361),IF(AND('(橫掃)RX Mapping'!BB3&gt;=601,'(橫掃)RX Mapping'!BB3&lt;=720), (-1)*('(橫掃)RX Mapping'!BB3-720)+120,IF(AND('(橫掃)RX Mapping'!BB3&gt;=721,'(橫掃)RX Mapping'!BB3&lt;=840), ('(橫掃)RX Mapping'!BB3-601),IF(AND('(橫掃)RX Mapping'!BB3&gt;=841,'(橫掃)RX Mapping'!BB3&lt;=960), (-1)*('(橫掃)RX Mapping'!BB3-960)+120,9999))))))))</f>
        <v>9999</v>
      </c>
      <c r="BC3">
        <f>IF(AND('(橫掃)RX Mapping'!BC3&gt;=1,'(橫掃)RX Mapping'!BC3&lt;=120), ('(橫掃)RX Mapping'!BC3-1),IF(AND('(橫掃)RX Mapping'!BC3&gt;=121,'(橫掃)RX Mapping'!BC3&lt;=240), (-1)*('(橫掃)RX Mapping'!BC3-240),IF(AND('(橫掃)RX Mapping'!BC3&gt;=241,'(橫掃)RX Mapping'!BC3&lt;=360), ('(橫掃)RX Mapping'!BC3-241),IF(AND('(橫掃)RX Mapping'!BC3&gt;=361,'(橫掃)RX Mapping'!BC3&lt;=480), (-1)*('(橫掃)RX Mapping'!BC3-480),IF(AND('(橫掃)RX Mapping'!BC3&gt;=481,'(橫掃)RX Mapping'!BC3&lt;=600), ('(橫掃)RX Mapping'!BC3-361),IF(AND('(橫掃)RX Mapping'!BC3&gt;=601,'(橫掃)RX Mapping'!BC3&lt;=720), (-1)*('(橫掃)RX Mapping'!BC3-720)+120,IF(AND('(橫掃)RX Mapping'!BC3&gt;=721,'(橫掃)RX Mapping'!BC3&lt;=840), ('(橫掃)RX Mapping'!BC3-601),IF(AND('(橫掃)RX Mapping'!BC3&gt;=841,'(橫掃)RX Mapping'!BC3&lt;=960), (-1)*('(橫掃)RX Mapping'!BC3-960)+120,9999))))))))</f>
        <v>9999</v>
      </c>
      <c r="BD3">
        <f>IF(AND('(橫掃)RX Mapping'!BD3&gt;=1,'(橫掃)RX Mapping'!BD3&lt;=120), ('(橫掃)RX Mapping'!BD3-1),IF(AND('(橫掃)RX Mapping'!BD3&gt;=121,'(橫掃)RX Mapping'!BD3&lt;=240), (-1)*('(橫掃)RX Mapping'!BD3-240),IF(AND('(橫掃)RX Mapping'!BD3&gt;=241,'(橫掃)RX Mapping'!BD3&lt;=360), ('(橫掃)RX Mapping'!BD3-241),IF(AND('(橫掃)RX Mapping'!BD3&gt;=361,'(橫掃)RX Mapping'!BD3&lt;=480), (-1)*('(橫掃)RX Mapping'!BD3-480),IF(AND('(橫掃)RX Mapping'!BD3&gt;=481,'(橫掃)RX Mapping'!BD3&lt;=600), ('(橫掃)RX Mapping'!BD3-361),IF(AND('(橫掃)RX Mapping'!BD3&gt;=601,'(橫掃)RX Mapping'!BD3&lt;=720), (-1)*('(橫掃)RX Mapping'!BD3-720)+120,IF(AND('(橫掃)RX Mapping'!BD3&gt;=721,'(橫掃)RX Mapping'!BD3&lt;=840), ('(橫掃)RX Mapping'!BD3-601),IF(AND('(橫掃)RX Mapping'!BD3&gt;=841,'(橫掃)RX Mapping'!BD3&lt;=960), (-1)*('(橫掃)RX Mapping'!BD3-960)+120,9999))))))))</f>
        <v>9999</v>
      </c>
      <c r="BE3">
        <f>IF(AND('(橫掃)RX Mapping'!BE3&gt;=1,'(橫掃)RX Mapping'!BE3&lt;=120), ('(橫掃)RX Mapping'!BE3-1),IF(AND('(橫掃)RX Mapping'!BE3&gt;=121,'(橫掃)RX Mapping'!BE3&lt;=240), (-1)*('(橫掃)RX Mapping'!BE3-240),IF(AND('(橫掃)RX Mapping'!BE3&gt;=241,'(橫掃)RX Mapping'!BE3&lt;=360), ('(橫掃)RX Mapping'!BE3-241),IF(AND('(橫掃)RX Mapping'!BE3&gt;=361,'(橫掃)RX Mapping'!BE3&lt;=480), (-1)*('(橫掃)RX Mapping'!BE3-480),IF(AND('(橫掃)RX Mapping'!BE3&gt;=481,'(橫掃)RX Mapping'!BE3&lt;=600), ('(橫掃)RX Mapping'!BE3-361),IF(AND('(橫掃)RX Mapping'!BE3&gt;=601,'(橫掃)RX Mapping'!BE3&lt;=720), (-1)*('(橫掃)RX Mapping'!BE3-720)+120,IF(AND('(橫掃)RX Mapping'!BE3&gt;=721,'(橫掃)RX Mapping'!BE3&lt;=840), ('(橫掃)RX Mapping'!BE3-601),IF(AND('(橫掃)RX Mapping'!BE3&gt;=841,'(橫掃)RX Mapping'!BE3&lt;=960), (-1)*('(橫掃)RX Mapping'!BE3-960)+120,9999))))))))</f>
        <v>9999</v>
      </c>
      <c r="BF3">
        <f>IF(AND('(橫掃)RX Mapping'!BF3&gt;=1,'(橫掃)RX Mapping'!BF3&lt;=120), ('(橫掃)RX Mapping'!BF3-1),IF(AND('(橫掃)RX Mapping'!BF3&gt;=121,'(橫掃)RX Mapping'!BF3&lt;=240), (-1)*('(橫掃)RX Mapping'!BF3-240),IF(AND('(橫掃)RX Mapping'!BF3&gt;=241,'(橫掃)RX Mapping'!BF3&lt;=360), ('(橫掃)RX Mapping'!BF3-241),IF(AND('(橫掃)RX Mapping'!BF3&gt;=361,'(橫掃)RX Mapping'!BF3&lt;=480), (-1)*('(橫掃)RX Mapping'!BF3-480),IF(AND('(橫掃)RX Mapping'!BF3&gt;=481,'(橫掃)RX Mapping'!BF3&lt;=600), ('(橫掃)RX Mapping'!BF3-361),IF(AND('(橫掃)RX Mapping'!BF3&gt;=601,'(橫掃)RX Mapping'!BF3&lt;=720), (-1)*('(橫掃)RX Mapping'!BF3-720)+120,IF(AND('(橫掃)RX Mapping'!BF3&gt;=721,'(橫掃)RX Mapping'!BF3&lt;=840), ('(橫掃)RX Mapping'!BF3-601),IF(AND('(橫掃)RX Mapping'!BF3&gt;=841,'(橫掃)RX Mapping'!BF3&lt;=960), (-1)*('(橫掃)RX Mapping'!BF3-960)+120,9999))))))))</f>
        <v>9999</v>
      </c>
      <c r="BG3">
        <f>IF(AND('(橫掃)RX Mapping'!BG3&gt;=1,'(橫掃)RX Mapping'!BG3&lt;=120), ('(橫掃)RX Mapping'!BG3-1),IF(AND('(橫掃)RX Mapping'!BG3&gt;=121,'(橫掃)RX Mapping'!BG3&lt;=240), (-1)*('(橫掃)RX Mapping'!BG3-240),IF(AND('(橫掃)RX Mapping'!BG3&gt;=241,'(橫掃)RX Mapping'!BG3&lt;=360), ('(橫掃)RX Mapping'!BG3-241),IF(AND('(橫掃)RX Mapping'!BG3&gt;=361,'(橫掃)RX Mapping'!BG3&lt;=480), (-1)*('(橫掃)RX Mapping'!BG3-480),IF(AND('(橫掃)RX Mapping'!BG3&gt;=481,'(橫掃)RX Mapping'!BG3&lt;=600), ('(橫掃)RX Mapping'!BG3-361),IF(AND('(橫掃)RX Mapping'!BG3&gt;=601,'(橫掃)RX Mapping'!BG3&lt;=720), (-1)*('(橫掃)RX Mapping'!BG3-720)+120,IF(AND('(橫掃)RX Mapping'!BG3&gt;=721,'(橫掃)RX Mapping'!BG3&lt;=840), ('(橫掃)RX Mapping'!BG3-601),IF(AND('(橫掃)RX Mapping'!BG3&gt;=841,'(橫掃)RX Mapping'!BG3&lt;=960), (-1)*('(橫掃)RX Mapping'!BG3-960)+120,9999))))))))</f>
        <v>9999</v>
      </c>
      <c r="BH3">
        <f>IF(AND('(橫掃)RX Mapping'!BH3&gt;=1,'(橫掃)RX Mapping'!BH3&lt;=120), ('(橫掃)RX Mapping'!BH3-1),IF(AND('(橫掃)RX Mapping'!BH3&gt;=121,'(橫掃)RX Mapping'!BH3&lt;=240), (-1)*('(橫掃)RX Mapping'!BH3-240),IF(AND('(橫掃)RX Mapping'!BH3&gt;=241,'(橫掃)RX Mapping'!BH3&lt;=360), ('(橫掃)RX Mapping'!BH3-241),IF(AND('(橫掃)RX Mapping'!BH3&gt;=361,'(橫掃)RX Mapping'!BH3&lt;=480), (-1)*('(橫掃)RX Mapping'!BH3-480),IF(AND('(橫掃)RX Mapping'!BH3&gt;=481,'(橫掃)RX Mapping'!BH3&lt;=600), ('(橫掃)RX Mapping'!BH3-361),IF(AND('(橫掃)RX Mapping'!BH3&gt;=601,'(橫掃)RX Mapping'!BH3&lt;=720), (-1)*('(橫掃)RX Mapping'!BH3-720)+120,IF(AND('(橫掃)RX Mapping'!BH3&gt;=721,'(橫掃)RX Mapping'!BH3&lt;=840), ('(橫掃)RX Mapping'!BH3-601),IF(AND('(橫掃)RX Mapping'!BH3&gt;=841,'(橫掃)RX Mapping'!BH3&lt;=960), (-1)*('(橫掃)RX Mapping'!BH3-960)+120,9999))))))))</f>
        <v>9999</v>
      </c>
      <c r="BI3">
        <f>IF(AND('(橫掃)RX Mapping'!BI3&gt;=1,'(橫掃)RX Mapping'!BI3&lt;=120), ('(橫掃)RX Mapping'!BI3-1),IF(AND('(橫掃)RX Mapping'!BI3&gt;=121,'(橫掃)RX Mapping'!BI3&lt;=240), (-1)*('(橫掃)RX Mapping'!BI3-240),IF(AND('(橫掃)RX Mapping'!BI3&gt;=241,'(橫掃)RX Mapping'!BI3&lt;=360), ('(橫掃)RX Mapping'!BI3-241),IF(AND('(橫掃)RX Mapping'!BI3&gt;=361,'(橫掃)RX Mapping'!BI3&lt;=480), (-1)*('(橫掃)RX Mapping'!BI3-480),IF(AND('(橫掃)RX Mapping'!BI3&gt;=481,'(橫掃)RX Mapping'!BI3&lt;=600), ('(橫掃)RX Mapping'!BI3-361),IF(AND('(橫掃)RX Mapping'!BI3&gt;=601,'(橫掃)RX Mapping'!BI3&lt;=720), (-1)*('(橫掃)RX Mapping'!BI3-720)+120,IF(AND('(橫掃)RX Mapping'!BI3&gt;=721,'(橫掃)RX Mapping'!BI3&lt;=840), ('(橫掃)RX Mapping'!BI3-601),IF(AND('(橫掃)RX Mapping'!BI3&gt;=841,'(橫掃)RX Mapping'!BI3&lt;=960), (-1)*('(橫掃)RX Mapping'!BI3-960)+120,9999))))))))</f>
        <v>9999</v>
      </c>
    </row>
    <row r="4" spans="1:61" x14ac:dyDescent="0.25">
      <c r="A4" s="20">
        <v>3</v>
      </c>
      <c r="B4">
        <f>IF(
(AND('(直掃)RX Mapping'!B4&gt;=0,'(直掃)RX Mapping'!B4&lt;=480)),
(MOD('(直掃)RX Mapping'!B4,120)-1),
IF(
(AND('(直掃)RX Mapping'!B4&gt;=480,'(直掃)RX Mapping'!B4&lt;=960)),
IF(MOD('(直掃)RX Mapping'!B4,120)=0, 120, 240-MOD('(直掃)RX Mapping'!B4,120)),9999))+IF(AND(MOD('(直掃)RX Mapping'!B4,120)=0, '(直掃)RX Mapping'!B4 &lt;= 480,  '(直掃)RX Mapping'!B4 &gt; 0), 120)</f>
        <v>122</v>
      </c>
      <c r="C4">
        <f>IF(
(AND('(直掃)RX Mapping'!C4&gt;=0,'(直掃)RX Mapping'!C4&lt;=480)),
(MOD('(直掃)RX Mapping'!C4,120)-1),
IF(
(AND('(直掃)RX Mapping'!C4&gt;=480,'(直掃)RX Mapping'!C4&lt;=960)),
IF(MOD('(直掃)RX Mapping'!C4,120)=0, 120, 240-MOD('(直掃)RX Mapping'!C4,120)),9999))+IF(AND(MOD('(直掃)RX Mapping'!C4,120)=0, '(直掃)RX Mapping'!C4 &lt;= 480,  '(直掃)RX Mapping'!C4 &gt; 0), 120)</f>
        <v>152</v>
      </c>
      <c r="D4">
        <f>IF(
(AND('(直掃)RX Mapping'!D4&gt;=0,'(直掃)RX Mapping'!D4&lt;=480)),
(MOD('(直掃)RX Mapping'!D4,120)-1),
IF(
(AND('(直掃)RX Mapping'!D4&gt;=480,'(直掃)RX Mapping'!D4&lt;=960)),
IF(MOD('(直掃)RX Mapping'!D4,120)=0, 120, 240-MOD('(直掃)RX Mapping'!D4,120)),9999))+IF(AND(MOD('(直掃)RX Mapping'!D4,120)=0, '(直掃)RX Mapping'!D4 &lt;= 480,  '(直掃)RX Mapping'!D4 &gt; 0), 120)</f>
        <v>182</v>
      </c>
      <c r="E4">
        <f>IF(
(AND('(直掃)RX Mapping'!E4&gt;=0,'(直掃)RX Mapping'!E4&lt;=480)),
(MOD('(直掃)RX Mapping'!E4,120)-1),
IF(
(AND('(直掃)RX Mapping'!E4&gt;=480,'(直掃)RX Mapping'!E4&lt;=960)),
IF(MOD('(直掃)RX Mapping'!E4,120)=0, 120, 240-MOD('(直掃)RX Mapping'!E4,120)),9999))+IF(AND(MOD('(直掃)RX Mapping'!E4,120)=0, '(直掃)RX Mapping'!E4 &lt;= 480,  '(直掃)RX Mapping'!E4 &gt; 0), 120)</f>
        <v>122</v>
      </c>
      <c r="F4">
        <f>IF(
(AND('(直掃)RX Mapping'!F4&gt;=0,'(直掃)RX Mapping'!F4&lt;=480)),
(MOD('(直掃)RX Mapping'!F4,120)-1),
IF(
(AND('(直掃)RX Mapping'!F4&gt;=480,'(直掃)RX Mapping'!F4&lt;=960)),
IF(MOD('(直掃)RX Mapping'!F4,120)=0, 120, 240-MOD('(直掃)RX Mapping'!F4,120)),9999))+IF(AND(MOD('(直掃)RX Mapping'!F4,120)=0, '(直掃)RX Mapping'!F4 &lt;= 480,  '(直掃)RX Mapping'!F4 &gt; 0), 120)</f>
        <v>152</v>
      </c>
      <c r="G4">
        <f>IF(
(AND('(直掃)RX Mapping'!G4&gt;=0,'(直掃)RX Mapping'!G4&lt;=480)),
(MOD('(直掃)RX Mapping'!G4,120)-1),
IF(
(AND('(直掃)RX Mapping'!G4&gt;=480,'(直掃)RX Mapping'!G4&lt;=960)),
IF(MOD('(直掃)RX Mapping'!G4,120)=0, 120, 240-MOD('(直掃)RX Mapping'!G4,120)),9999))+IF(AND(MOD('(直掃)RX Mapping'!G4,120)=0, '(直掃)RX Mapping'!G4 &lt;= 480,  '(直掃)RX Mapping'!G4 &gt; 0), 120)</f>
        <v>182</v>
      </c>
      <c r="H4">
        <f>IF(
(AND('(直掃)RX Mapping'!H4&gt;=0,'(直掃)RX Mapping'!H4&lt;=480)),
(MOD('(直掃)RX Mapping'!H4,120)-1),
IF(
(AND('(直掃)RX Mapping'!H4&gt;=480,'(直掃)RX Mapping'!H4&lt;=960)),
IF(MOD('(直掃)RX Mapping'!H4,120)=0, 120, 240-MOD('(直掃)RX Mapping'!H4,120)),9999))+IF(AND(MOD('(直掃)RX Mapping'!H4,120)=0, '(直掃)RX Mapping'!H4 &lt;= 480,  '(直掃)RX Mapping'!H4 &gt; 0), 120)</f>
        <v>122</v>
      </c>
      <c r="I4">
        <f>IF(
(AND('(直掃)RX Mapping'!I4&gt;=0,'(直掃)RX Mapping'!I4&lt;=480)),
(MOD('(直掃)RX Mapping'!I4,120)-1),
IF(
(AND('(直掃)RX Mapping'!I4&gt;=480,'(直掃)RX Mapping'!I4&lt;=960)),
IF(MOD('(直掃)RX Mapping'!I4,120)=0, 120, 240-MOD('(直掃)RX Mapping'!I4,120)),9999))+IF(AND(MOD('(直掃)RX Mapping'!I4,120)=0, '(直掃)RX Mapping'!I4 &lt;= 480,  '(直掃)RX Mapping'!I4 &gt; 0), 120)</f>
        <v>152</v>
      </c>
      <c r="J4">
        <f>IF(
(AND('(直掃)RX Mapping'!J4&gt;=0,'(直掃)RX Mapping'!J4&lt;=480)),
(MOD('(直掃)RX Mapping'!J4,120)-1),
IF(
(AND('(直掃)RX Mapping'!J4&gt;=480,'(直掃)RX Mapping'!J4&lt;=960)),
IF(MOD('(直掃)RX Mapping'!J4,120)=0, 120, 240-MOD('(直掃)RX Mapping'!J4,120)),9999))+IF(AND(MOD('(直掃)RX Mapping'!J4,120)=0, '(直掃)RX Mapping'!J4 &lt;= 480,  '(直掃)RX Mapping'!J4 &gt; 0), 120)</f>
        <v>182</v>
      </c>
      <c r="K4">
        <f>IF(
(AND('(直掃)RX Mapping'!K4&gt;=0,'(直掃)RX Mapping'!K4&lt;=480)),
(MOD('(直掃)RX Mapping'!K4,120)-1),
IF(
(AND('(直掃)RX Mapping'!K4&gt;=480,'(直掃)RX Mapping'!K4&lt;=960)),
IF(MOD('(直掃)RX Mapping'!K4,120)=0, 120, 240-MOD('(直掃)RX Mapping'!K4,120)),9999))+IF(AND(MOD('(直掃)RX Mapping'!K4,120)=0, '(直掃)RX Mapping'!K4 &lt;= 480,  '(直掃)RX Mapping'!K4 &gt; 0), 120)</f>
        <v>212</v>
      </c>
      <c r="L4">
        <f>IF(
(AND('(直掃)RX Mapping'!L4&gt;=0,'(直掃)RX Mapping'!L4&lt;=480)),
(MOD('(直掃)RX Mapping'!L4,120)-1),
IF(
(AND('(直掃)RX Mapping'!L4&gt;=480,'(直掃)RX Mapping'!L4&lt;=960)),
IF(MOD('(直掃)RX Mapping'!L4,120)=0, 120, 240-MOD('(直掃)RX Mapping'!L4,120)),9999))+IF(AND(MOD('(直掃)RX Mapping'!L4,120)=0, '(直掃)RX Mapping'!L4 &lt;= 480,  '(直掃)RX Mapping'!L4 &gt; 0), 120)</f>
        <v>122</v>
      </c>
      <c r="M4">
        <f>IF(
(AND('(直掃)RX Mapping'!M4&gt;=0,'(直掃)RX Mapping'!M4&lt;=480)),
(MOD('(直掃)RX Mapping'!M4,120)-1),
IF(
(AND('(直掃)RX Mapping'!M4&gt;=480,'(直掃)RX Mapping'!M4&lt;=960)),
IF(MOD('(直掃)RX Mapping'!M4,120)=0, 120, 240-MOD('(直掃)RX Mapping'!M4,120)),9999))+IF(AND(MOD('(直掃)RX Mapping'!M4,120)=0, '(直掃)RX Mapping'!M4 &lt;= 480,  '(直掃)RX Mapping'!M4 &gt; 0), 120)</f>
        <v>152</v>
      </c>
      <c r="N4">
        <f>IF(
(AND('(直掃)RX Mapping'!N4&gt;=0,'(直掃)RX Mapping'!N4&lt;=480)),
(MOD('(直掃)RX Mapping'!N4,120)-1),
IF(
(AND('(直掃)RX Mapping'!N4&gt;=480,'(直掃)RX Mapping'!N4&lt;=960)),
IF(MOD('(直掃)RX Mapping'!N4,120)=0, 120, 240-MOD('(直掃)RX Mapping'!N4,120)),9999))+IF(AND(MOD('(直掃)RX Mapping'!N4,120)=0, '(直掃)RX Mapping'!N4 &lt;= 480,  '(直掃)RX Mapping'!N4 &gt; 0), 120)</f>
        <v>182</v>
      </c>
      <c r="O4">
        <f>IF(
(AND('(直掃)RX Mapping'!O4&gt;=0,'(直掃)RX Mapping'!O4&lt;=480)),
(MOD('(直掃)RX Mapping'!O4,120)-1),
IF(
(AND('(直掃)RX Mapping'!O4&gt;=480,'(直掃)RX Mapping'!O4&lt;=960)),
IF(MOD('(直掃)RX Mapping'!O4,120)=0, 120, 240-MOD('(直掃)RX Mapping'!O4,120)),9999))+IF(AND(MOD('(直掃)RX Mapping'!O4,120)=0, '(直掃)RX Mapping'!O4 &lt;= 480,  '(直掃)RX Mapping'!O4 &gt; 0), 120)</f>
        <v>212</v>
      </c>
      <c r="P4">
        <f>IF(
(AND('(直掃)RX Mapping'!P4&gt;=0,'(直掃)RX Mapping'!P4&lt;=480)),
(MOD('(直掃)RX Mapping'!P4,120)-1),
IF(
(AND('(直掃)RX Mapping'!P4&gt;=480,'(直掃)RX Mapping'!P4&lt;=960)),
IF(MOD('(直掃)RX Mapping'!P4,120)=0, 120, 240-MOD('(直掃)RX Mapping'!P4,120)),9999))+IF(AND(MOD('(直掃)RX Mapping'!P4,120)=0, '(直掃)RX Mapping'!P4 &lt;= 480,  '(直掃)RX Mapping'!P4 &gt; 0), 120)</f>
        <v>117</v>
      </c>
      <c r="Q4">
        <f>IF(
(AND('(直掃)RX Mapping'!Q4&gt;=0,'(直掃)RX Mapping'!Q4&lt;=480)),
(MOD('(直掃)RX Mapping'!Q4,120)-1),
IF(
(AND('(直掃)RX Mapping'!Q4&gt;=480,'(直掃)RX Mapping'!Q4&lt;=960)),
IF(MOD('(直掃)RX Mapping'!Q4,120)=0, 120, 240-MOD('(直掃)RX Mapping'!Q4,120)),9999))+IF(AND(MOD('(直掃)RX Mapping'!Q4,120)=0, '(直掃)RX Mapping'!Q4 &lt;= 480,  '(直掃)RX Mapping'!Q4 &gt; 0), 120)</f>
        <v>87</v>
      </c>
      <c r="R4">
        <f>IF(
(AND('(直掃)RX Mapping'!R4&gt;=0,'(直掃)RX Mapping'!R4&lt;=480)),
(MOD('(直掃)RX Mapping'!R4,120)-1),
IF(
(AND('(直掃)RX Mapping'!R4&gt;=480,'(直掃)RX Mapping'!R4&lt;=960)),
IF(MOD('(直掃)RX Mapping'!R4,120)=0, 120, 240-MOD('(直掃)RX Mapping'!R4,120)),9999))+IF(AND(MOD('(直掃)RX Mapping'!R4,120)=0, '(直掃)RX Mapping'!R4 &lt;= 480,  '(直掃)RX Mapping'!R4 &gt; 0), 120)</f>
        <v>57</v>
      </c>
      <c r="S4">
        <f>IF(
(AND('(直掃)RX Mapping'!S4&gt;=0,'(直掃)RX Mapping'!S4&lt;=480)),
(MOD('(直掃)RX Mapping'!S4,120)-1),
IF(
(AND('(直掃)RX Mapping'!S4&gt;=480,'(直掃)RX Mapping'!S4&lt;=960)),
IF(MOD('(直掃)RX Mapping'!S4,120)=0, 120, 240-MOD('(直掃)RX Mapping'!S4,120)),9999))+IF(AND(MOD('(直掃)RX Mapping'!S4,120)=0, '(直掃)RX Mapping'!S4 &lt;= 480,  '(直掃)RX Mapping'!S4 &gt; 0), 120)</f>
        <v>27</v>
      </c>
      <c r="T4">
        <f>IF(
(AND('(直掃)RX Mapping'!T4&gt;=0,'(直掃)RX Mapping'!T4&lt;=480)),
(MOD('(直掃)RX Mapping'!T4,120)-1),
IF(
(AND('(直掃)RX Mapping'!T4&gt;=480,'(直掃)RX Mapping'!T4&lt;=960)),
IF(MOD('(直掃)RX Mapping'!T4,120)=0, 120, 240-MOD('(直掃)RX Mapping'!T4,120)),9999))+IF(AND(MOD('(直掃)RX Mapping'!T4,120)=0, '(直掃)RX Mapping'!T4 &lt;= 480,  '(直掃)RX Mapping'!T4 &gt; 0), 120)</f>
        <v>117</v>
      </c>
      <c r="U4">
        <f>IF(
(AND('(直掃)RX Mapping'!U4&gt;=0,'(直掃)RX Mapping'!U4&lt;=480)),
(MOD('(直掃)RX Mapping'!U4,120)-1),
IF(
(AND('(直掃)RX Mapping'!U4&gt;=480,'(直掃)RX Mapping'!U4&lt;=960)),
IF(MOD('(直掃)RX Mapping'!U4,120)=0, 120, 240-MOD('(直掃)RX Mapping'!U4,120)),9999))+IF(AND(MOD('(直掃)RX Mapping'!U4,120)=0, '(直掃)RX Mapping'!U4 &lt;= 480,  '(直掃)RX Mapping'!U4 &gt; 0), 120)</f>
        <v>87</v>
      </c>
      <c r="V4">
        <f>IF(
(AND('(直掃)RX Mapping'!V4&gt;=0,'(直掃)RX Mapping'!V4&lt;=480)),
(MOD('(直掃)RX Mapping'!V4,120)-1),
IF(
(AND('(直掃)RX Mapping'!V4&gt;=480,'(直掃)RX Mapping'!V4&lt;=960)),
IF(MOD('(直掃)RX Mapping'!V4,120)=0, 120, 240-MOD('(直掃)RX Mapping'!V4,120)),9999))+IF(AND(MOD('(直掃)RX Mapping'!V4,120)=0, '(直掃)RX Mapping'!V4 &lt;= 480,  '(直掃)RX Mapping'!V4 &gt; 0), 120)</f>
        <v>57</v>
      </c>
      <c r="W4">
        <f>IF(
(AND('(直掃)RX Mapping'!W4&gt;=0,'(直掃)RX Mapping'!W4&lt;=480)),
(MOD('(直掃)RX Mapping'!W4,120)-1),
IF(
(AND('(直掃)RX Mapping'!W4&gt;=480,'(直掃)RX Mapping'!W4&lt;=960)),
IF(MOD('(直掃)RX Mapping'!W4,120)=0, 120, 240-MOD('(直掃)RX Mapping'!W4,120)),9999))+IF(AND(MOD('(直掃)RX Mapping'!W4,120)=0, '(直掃)RX Mapping'!W4 &lt;= 480,  '(直掃)RX Mapping'!W4 &gt; 0), 120)</f>
        <v>27</v>
      </c>
      <c r="X4">
        <f>IF(
(AND('(直掃)RX Mapping'!X4&gt;=0,'(直掃)RX Mapping'!X4&lt;=480)),
(MOD('(直掃)RX Mapping'!X4,120)-1),
IF(
(AND('(直掃)RX Mapping'!X4&gt;=480,'(直掃)RX Mapping'!X4&lt;=960)),
IF(MOD('(直掃)RX Mapping'!X4,120)=0, 120, 240-MOD('(直掃)RX Mapping'!X4,120)),9999))+IF(AND(MOD('(直掃)RX Mapping'!X4,120)=0, '(直掃)RX Mapping'!X4 &lt;= 480,  '(直掃)RX Mapping'!X4 &gt; 0), 120)</f>
        <v>87</v>
      </c>
      <c r="Y4">
        <f>IF(
(AND('(直掃)RX Mapping'!Y4&gt;=0,'(直掃)RX Mapping'!Y4&lt;=480)),
(MOD('(直掃)RX Mapping'!Y4,120)-1),
IF(
(AND('(直掃)RX Mapping'!Y4&gt;=480,'(直掃)RX Mapping'!Y4&lt;=960)),
IF(MOD('(直掃)RX Mapping'!Y4,120)=0, 120, 240-MOD('(直掃)RX Mapping'!Y4,120)),9999))+IF(AND(MOD('(直掃)RX Mapping'!Y4,120)=0, '(直掃)RX Mapping'!Y4 &lt;= 480,  '(直掃)RX Mapping'!Y4 &gt; 0), 120)</f>
        <v>57</v>
      </c>
      <c r="Z4">
        <f>IF(
(AND('(直掃)RX Mapping'!Z4&gt;=0,'(直掃)RX Mapping'!Z4&lt;=480)),
(MOD('(直掃)RX Mapping'!Z4,120)-1),
IF(
(AND('(直掃)RX Mapping'!Z4&gt;=480,'(直掃)RX Mapping'!Z4&lt;=960)),
IF(MOD('(直掃)RX Mapping'!Z4,120)=0, 120, 240-MOD('(直掃)RX Mapping'!Z4,120)),9999))+IF(AND(MOD('(直掃)RX Mapping'!Z4,120)=0, '(直掃)RX Mapping'!Z4 &lt;= 480,  '(直掃)RX Mapping'!Z4 &gt; 0), 120)</f>
        <v>27</v>
      </c>
      <c r="AA4">
        <f>IF(
(AND('(直掃)RX Mapping'!AA4&gt;=0,'(直掃)RX Mapping'!AA4&lt;=480)),
(MOD('(直掃)RX Mapping'!AA4,120)-1),
IF(
(AND('(直掃)RX Mapping'!AA4&gt;=480,'(直掃)RX Mapping'!AA4&lt;=960)),
IF(MOD('(直掃)RX Mapping'!AA4,120)=0, 120, 240-MOD('(直掃)RX Mapping'!AA4,120)),9999))+IF(AND(MOD('(直掃)RX Mapping'!AA4,120)=0, '(直掃)RX Mapping'!AA4 &lt;= 480,  '(直掃)RX Mapping'!AA4 &gt; 0), 120)</f>
        <v>87</v>
      </c>
      <c r="AB4">
        <f>IF(
(AND('(直掃)RX Mapping'!AB4&gt;=0,'(直掃)RX Mapping'!AB4&lt;=480)),
(MOD('(直掃)RX Mapping'!AB4,120)-1),
IF(
(AND('(直掃)RX Mapping'!AB4&gt;=480,'(直掃)RX Mapping'!AB4&lt;=960)),
IF(MOD('(直掃)RX Mapping'!AB4,120)=0, 120, 240-MOD('(直掃)RX Mapping'!AB4,120)),9999))+IF(AND(MOD('(直掃)RX Mapping'!AB4,120)=0, '(直掃)RX Mapping'!AB4 &lt;= 480,  '(直掃)RX Mapping'!AB4 &gt; 0), 120)</f>
        <v>57</v>
      </c>
      <c r="AC4">
        <f>IF(
(AND('(直掃)RX Mapping'!AC4&gt;=0,'(直掃)RX Mapping'!AC4&lt;=480)),
(MOD('(直掃)RX Mapping'!AC4,120)-1),
IF(
(AND('(直掃)RX Mapping'!AC4&gt;=480,'(直掃)RX Mapping'!AC4&lt;=960)),
IF(MOD('(直掃)RX Mapping'!AC4,120)=0, 120, 240-MOD('(直掃)RX Mapping'!AC4,120)),9999))+IF(AND(MOD('(直掃)RX Mapping'!AC4,120)=0, '(直掃)RX Mapping'!AC4 &lt;= 480,  '(直掃)RX Mapping'!AC4 &gt; 0), 120)</f>
        <v>27</v>
      </c>
      <c r="AD4">
        <f>IF(
(AND('(直掃)RX Mapping'!AD4&gt;=0,'(直掃)RX Mapping'!AD4&lt;=480)),
(MOD('(直掃)RX Mapping'!AD4,120)-1),
IF(
(AND('(直掃)RX Mapping'!AD4&gt;=480,'(直掃)RX Mapping'!AD4&lt;=960)),
IF(MOD('(直掃)RX Mapping'!AD4,120)=0, 120, 240-MOD('(直掃)RX Mapping'!AD4,120)),9999))+IF(AND(MOD('(直掃)RX Mapping'!AD4,120)=0, '(直掃)RX Mapping'!AD4 &lt;= 480,  '(直掃)RX Mapping'!AD4 &gt; 0), 120)</f>
        <v>-1</v>
      </c>
      <c r="AE4">
        <f>IF(
(AND('(直掃)RX Mapping'!AE4&gt;=0,'(直掃)RX Mapping'!AE4&lt;=480)),
(MOD('(直掃)RX Mapping'!AE4,120)-1),
IF(
(AND('(直掃)RX Mapping'!AE4&gt;=480,'(直掃)RX Mapping'!AE4&lt;=960)),
IF(MOD('(直掃)RX Mapping'!AE4,120)=0, 120, 240-MOD('(直掃)RX Mapping'!AE4,120)),9999))+IF(AND(MOD('(直掃)RX Mapping'!AE4,120)=0, '(直掃)RX Mapping'!AE4 &lt;= 480,  '(直掃)RX Mapping'!AE4 &gt; 0), 120)</f>
        <v>-1</v>
      </c>
      <c r="AF4">
        <f>IF(
(AND('(直掃)RX Mapping'!AF4&gt;=0,'(直掃)RX Mapping'!AF4&lt;=480)),
(MOD('(直掃)RX Mapping'!AF4,120)-1),
IF(
(AND('(直掃)RX Mapping'!AF4&gt;=480,'(直掃)RX Mapping'!AF4&lt;=960)),
IF(MOD('(直掃)RX Mapping'!AF4,120)=0, 120, 240-MOD('(直掃)RX Mapping'!AF4,120)),9999))+IF(AND(MOD('(直掃)RX Mapping'!AF4,120)=0, '(直掃)RX Mapping'!AF4 &lt;= 480,  '(直掃)RX Mapping'!AF4 &gt; 0), 120)</f>
        <v>-1</v>
      </c>
      <c r="AG4">
        <f>IF(
(AND('(直掃)RX Mapping'!AG4&gt;=0,'(直掃)RX Mapping'!AG4&lt;=480)),
(MOD('(直掃)RX Mapping'!AG4,120)-1),
IF(
(AND('(直掃)RX Mapping'!AG4&gt;=480,'(直掃)RX Mapping'!AG4&lt;=960)),
IF(MOD('(直掃)RX Mapping'!AG4,120)=0, 120, 240-MOD('(直掃)RX Mapping'!AG4,120)),9999))+IF(AND(MOD('(直掃)RX Mapping'!AG4,120)=0, '(直掃)RX Mapping'!AG4 &lt;= 480,  '(直掃)RX Mapping'!AG4 &gt; 0), 120)</f>
        <v>-1</v>
      </c>
      <c r="AH4">
        <f>IF(
(AND('(直掃)RX Mapping'!AH4&gt;=0,'(直掃)RX Mapping'!AH4&lt;=480)),
(MOD('(直掃)RX Mapping'!AH4,120)-1),
IF(
(AND('(直掃)RX Mapping'!AH4&gt;=480,'(直掃)RX Mapping'!AH4&lt;=960)),
IF(MOD('(直掃)RX Mapping'!AH4,120)=0, 120, 240-MOD('(直掃)RX Mapping'!AH4,120)),9999))+IF(AND(MOD('(直掃)RX Mapping'!AH4,120)=0, '(直掃)RX Mapping'!AH4 &lt;= 480,  '(直掃)RX Mapping'!AH4 &gt; 0), 120)</f>
        <v>-1</v>
      </c>
      <c r="AI4">
        <f>IF(
(AND('(直掃)RX Mapping'!AI4&gt;=0,'(直掃)RX Mapping'!AI4&lt;=480)),
(MOD('(直掃)RX Mapping'!AI4,120)-1),
IF(
(AND('(直掃)RX Mapping'!AI4&gt;=480,'(直掃)RX Mapping'!AI4&lt;=960)),
IF(MOD('(直掃)RX Mapping'!AI4,120)=0, 120, 240-MOD('(直掃)RX Mapping'!AI4,120)),9999))+IF(AND(MOD('(直掃)RX Mapping'!AI4,120)=0, '(直掃)RX Mapping'!AI4 &lt;= 480,  '(直掃)RX Mapping'!AI4 &gt; 0), 120)</f>
        <v>-1</v>
      </c>
      <c r="AJ4">
        <f>IF(
(AND('(直掃)RX Mapping'!AJ4&gt;=0,'(直掃)RX Mapping'!AJ4&lt;=480)),
(MOD('(直掃)RX Mapping'!AJ4,120)-1),
IF(
(AND('(直掃)RX Mapping'!AJ4&gt;=480,'(直掃)RX Mapping'!AJ4&lt;=960)),
IF(MOD('(直掃)RX Mapping'!AJ4,120)=0, 120, 240-MOD('(直掃)RX Mapping'!AJ4,120)),9999))+IF(AND(MOD('(直掃)RX Mapping'!AJ4,120)=0, '(直掃)RX Mapping'!AJ4 &lt;= 480,  '(直掃)RX Mapping'!AJ4 &gt; 0), 120)</f>
        <v>-1</v>
      </c>
      <c r="AK4">
        <f>IF(
(AND('(直掃)RX Mapping'!AK4&gt;=0,'(直掃)RX Mapping'!AK4&lt;=480)),
(MOD('(直掃)RX Mapping'!AK4,120)-1),
IF(
(AND('(直掃)RX Mapping'!AK4&gt;=480,'(直掃)RX Mapping'!AK4&lt;=960)),
IF(MOD('(直掃)RX Mapping'!AK4,120)=0, 120, 240-MOD('(直掃)RX Mapping'!AK4,120)),9999))+IF(AND(MOD('(直掃)RX Mapping'!AK4,120)=0, '(直掃)RX Mapping'!AK4 &lt;= 480,  '(直掃)RX Mapping'!AK4 &gt; 0), 120)</f>
        <v>-1</v>
      </c>
      <c r="AL4">
        <f>IF(
(AND('(直掃)RX Mapping'!AL4&gt;=0,'(直掃)RX Mapping'!AL4&lt;=480)),
(MOD('(直掃)RX Mapping'!AL4,120)-1),
IF(
(AND('(直掃)RX Mapping'!AL4&gt;=480,'(直掃)RX Mapping'!AL4&lt;=960)),
IF(MOD('(直掃)RX Mapping'!AL4,120)=0, 120, 240-MOD('(直掃)RX Mapping'!AL4,120)),9999))+IF(AND(MOD('(直掃)RX Mapping'!AL4,120)=0, '(直掃)RX Mapping'!AL4 &lt;= 480,  '(直掃)RX Mapping'!AL4 &gt; 0), 120)</f>
        <v>-1</v>
      </c>
      <c r="AM4">
        <f>IF(
(AND('(直掃)RX Mapping'!AM4&gt;=0,'(直掃)RX Mapping'!AM4&lt;=480)),
(MOD('(直掃)RX Mapping'!AM4,120)-1),
IF(
(AND('(直掃)RX Mapping'!AM4&gt;=480,'(直掃)RX Mapping'!AM4&lt;=960)),
IF(MOD('(直掃)RX Mapping'!AM4,120)=0, 120, 240-MOD('(直掃)RX Mapping'!AM4,120)),9999))+IF(AND(MOD('(直掃)RX Mapping'!AM4,120)=0, '(直掃)RX Mapping'!AM4 &lt;= 480,  '(直掃)RX Mapping'!AM4 &gt; 0), 120)</f>
        <v>-1</v>
      </c>
      <c r="AN4">
        <f>IF(
(AND('(直掃)RX Mapping'!AN4&gt;=0,'(直掃)RX Mapping'!AN4&lt;=480)),
(MOD('(直掃)RX Mapping'!AN4,120)-1),
IF(
(AND('(直掃)RX Mapping'!AN4&gt;=480,'(直掃)RX Mapping'!AN4&lt;=960)),
IF(MOD('(直掃)RX Mapping'!AN4,120)=0, 120, 240-MOD('(直掃)RX Mapping'!AN4,120)),9999))+IF(AND(MOD('(直掃)RX Mapping'!AN4,120)=0, '(直掃)RX Mapping'!AN4 &lt;= 480,  '(直掃)RX Mapping'!AN4 &gt; 0), 120)</f>
        <v>-1</v>
      </c>
      <c r="AO4">
        <f>IF(
(AND('(直掃)RX Mapping'!AO4&gt;=0,'(直掃)RX Mapping'!AO4&lt;=480)),
(MOD('(直掃)RX Mapping'!AO4,120)-1),
IF(
(AND('(直掃)RX Mapping'!AO4&gt;=480,'(直掃)RX Mapping'!AO4&lt;=960)),
IF(MOD('(直掃)RX Mapping'!AO4,120)=0, 120, 240-MOD('(直掃)RX Mapping'!AO4,120)),9999))+IF(AND(MOD('(直掃)RX Mapping'!AO4,120)=0, '(直掃)RX Mapping'!AO4 &lt;= 480,  '(直掃)RX Mapping'!AO4 &gt; 0), 120)</f>
        <v>-1</v>
      </c>
      <c r="AP4">
        <f>IF(
(AND('(直掃)RX Mapping'!AP4&gt;=0,'(直掃)RX Mapping'!AP4&lt;=480)),
(MOD('(直掃)RX Mapping'!AP4,120)-1),
IF(
(AND('(直掃)RX Mapping'!AP4&gt;=480,'(直掃)RX Mapping'!AP4&lt;=960)),
IF(MOD('(直掃)RX Mapping'!AP4,120)=0, 120, 240-MOD('(直掃)RX Mapping'!AP4,120)),9999))+IF(AND(MOD('(直掃)RX Mapping'!AP4,120)=0, '(直掃)RX Mapping'!AP4 &lt;= 480,  '(直掃)RX Mapping'!AP4 &gt; 0), 120)</f>
        <v>-1</v>
      </c>
      <c r="AQ4">
        <f>IF(
(AND('(直掃)RX Mapping'!AQ4&gt;=0,'(直掃)RX Mapping'!AQ4&lt;=480)),
(MOD('(直掃)RX Mapping'!AQ4,120)-1),
IF(
(AND('(直掃)RX Mapping'!AQ4&gt;=480,'(直掃)RX Mapping'!AQ4&lt;=960)),
IF(MOD('(直掃)RX Mapping'!AQ4,120)=0, 120, 240-MOD('(直掃)RX Mapping'!AQ4,120)),9999))+IF(AND(MOD('(直掃)RX Mapping'!AQ4,120)=0, '(直掃)RX Mapping'!AQ4 &lt;= 480,  '(直掃)RX Mapping'!AQ4 &gt; 0), 120)</f>
        <v>-1</v>
      </c>
      <c r="AR4">
        <f>IF(
(AND('(直掃)RX Mapping'!AR4&gt;=0,'(直掃)RX Mapping'!AR4&lt;=480)),
(MOD('(直掃)RX Mapping'!AR4,120)-1),
IF(
(AND('(直掃)RX Mapping'!AR4&gt;=480,'(直掃)RX Mapping'!AR4&lt;=960)),
IF(MOD('(直掃)RX Mapping'!AR4,120)=0, 120, 240-MOD('(直掃)RX Mapping'!AR4,120)),9999))+IF(AND(MOD('(直掃)RX Mapping'!AR4,120)=0, '(直掃)RX Mapping'!AR4 &lt;= 480,  '(直掃)RX Mapping'!AR4 &gt; 0), 120)</f>
        <v>-1</v>
      </c>
      <c r="AS4">
        <f>IF(
(AND('(直掃)RX Mapping'!AS4&gt;=0,'(直掃)RX Mapping'!AS4&lt;=480)),
(MOD('(直掃)RX Mapping'!AS4,120)-1),
IF(
(AND('(直掃)RX Mapping'!AS4&gt;=480,'(直掃)RX Mapping'!AS4&lt;=960)),
IF(MOD('(直掃)RX Mapping'!AS4,120)=0, 120, 240-MOD('(直掃)RX Mapping'!AS4,120)),9999))+IF(AND(MOD('(直掃)RX Mapping'!AS4,120)=0, '(直掃)RX Mapping'!AS4 &lt;= 480,  '(直掃)RX Mapping'!AS4 &gt; 0), 120)</f>
        <v>-1</v>
      </c>
      <c r="AT4">
        <f>IF(AND('(橫掃)RX Mapping'!AT4&gt;=1,'(橫掃)RX Mapping'!AT4&lt;=120), ('(橫掃)RX Mapping'!AT4-1),IF(AND('(橫掃)RX Mapping'!AT4&gt;=121,'(橫掃)RX Mapping'!AT4&lt;=240), (-1)*('(橫掃)RX Mapping'!AT4-240),IF(AND('(橫掃)RX Mapping'!AT4&gt;=241,'(橫掃)RX Mapping'!AT4&lt;=360), ('(橫掃)RX Mapping'!AT4-241),IF(AND('(橫掃)RX Mapping'!AT4&gt;=361,'(橫掃)RX Mapping'!AT4&lt;=480), (-1)*('(橫掃)RX Mapping'!AT4-480),IF(AND('(橫掃)RX Mapping'!AT4&gt;=481,'(橫掃)RX Mapping'!AT4&lt;=600), ('(橫掃)RX Mapping'!AT4-361),IF(AND('(橫掃)RX Mapping'!AT4&gt;=601,'(橫掃)RX Mapping'!AT4&lt;=720), (-1)*('(橫掃)RX Mapping'!AT4-720)+120,IF(AND('(橫掃)RX Mapping'!AT4&gt;=721,'(橫掃)RX Mapping'!AT4&lt;=840), ('(橫掃)RX Mapping'!AT4-601),IF(AND('(橫掃)RX Mapping'!AT4&gt;=841,'(橫掃)RX Mapping'!AT4&lt;=960), (-1)*('(橫掃)RX Mapping'!AT4-960)+120,9999))))))))</f>
        <v>9999</v>
      </c>
      <c r="AU4">
        <f>IF(AND('(橫掃)RX Mapping'!AU4&gt;=1,'(橫掃)RX Mapping'!AU4&lt;=120), ('(橫掃)RX Mapping'!AU4-1),IF(AND('(橫掃)RX Mapping'!AU4&gt;=121,'(橫掃)RX Mapping'!AU4&lt;=240), (-1)*('(橫掃)RX Mapping'!AU4-240),IF(AND('(橫掃)RX Mapping'!AU4&gt;=241,'(橫掃)RX Mapping'!AU4&lt;=360), ('(橫掃)RX Mapping'!AU4-241),IF(AND('(橫掃)RX Mapping'!AU4&gt;=361,'(橫掃)RX Mapping'!AU4&lt;=480), (-1)*('(橫掃)RX Mapping'!AU4-480),IF(AND('(橫掃)RX Mapping'!AU4&gt;=481,'(橫掃)RX Mapping'!AU4&lt;=600), ('(橫掃)RX Mapping'!AU4-361),IF(AND('(橫掃)RX Mapping'!AU4&gt;=601,'(橫掃)RX Mapping'!AU4&lt;=720), (-1)*('(橫掃)RX Mapping'!AU4-720)+120,IF(AND('(橫掃)RX Mapping'!AU4&gt;=721,'(橫掃)RX Mapping'!AU4&lt;=840), ('(橫掃)RX Mapping'!AU4-601),IF(AND('(橫掃)RX Mapping'!AU4&gt;=841,'(橫掃)RX Mapping'!AU4&lt;=960), (-1)*('(橫掃)RX Mapping'!AU4-960)+120,9999))))))))</f>
        <v>9999</v>
      </c>
      <c r="AV4">
        <f>IF(AND('(橫掃)RX Mapping'!AV4&gt;=1,'(橫掃)RX Mapping'!AV4&lt;=120), ('(橫掃)RX Mapping'!AV4-1),IF(AND('(橫掃)RX Mapping'!AV4&gt;=121,'(橫掃)RX Mapping'!AV4&lt;=240), (-1)*('(橫掃)RX Mapping'!AV4-240),IF(AND('(橫掃)RX Mapping'!AV4&gt;=241,'(橫掃)RX Mapping'!AV4&lt;=360), ('(橫掃)RX Mapping'!AV4-241),IF(AND('(橫掃)RX Mapping'!AV4&gt;=361,'(橫掃)RX Mapping'!AV4&lt;=480), (-1)*('(橫掃)RX Mapping'!AV4-480),IF(AND('(橫掃)RX Mapping'!AV4&gt;=481,'(橫掃)RX Mapping'!AV4&lt;=600), ('(橫掃)RX Mapping'!AV4-361),IF(AND('(橫掃)RX Mapping'!AV4&gt;=601,'(橫掃)RX Mapping'!AV4&lt;=720), (-1)*('(橫掃)RX Mapping'!AV4-720)+120,IF(AND('(橫掃)RX Mapping'!AV4&gt;=721,'(橫掃)RX Mapping'!AV4&lt;=840), ('(橫掃)RX Mapping'!AV4-601),IF(AND('(橫掃)RX Mapping'!AV4&gt;=841,'(橫掃)RX Mapping'!AV4&lt;=960), (-1)*('(橫掃)RX Mapping'!AV4-960)+120,9999))))))))</f>
        <v>9999</v>
      </c>
      <c r="AW4">
        <f>IF(AND('(橫掃)RX Mapping'!AW4&gt;=1,'(橫掃)RX Mapping'!AW4&lt;=120), ('(橫掃)RX Mapping'!AW4-1),IF(AND('(橫掃)RX Mapping'!AW4&gt;=121,'(橫掃)RX Mapping'!AW4&lt;=240), (-1)*('(橫掃)RX Mapping'!AW4-240),IF(AND('(橫掃)RX Mapping'!AW4&gt;=241,'(橫掃)RX Mapping'!AW4&lt;=360), ('(橫掃)RX Mapping'!AW4-241),IF(AND('(橫掃)RX Mapping'!AW4&gt;=361,'(橫掃)RX Mapping'!AW4&lt;=480), (-1)*('(橫掃)RX Mapping'!AW4-480),IF(AND('(橫掃)RX Mapping'!AW4&gt;=481,'(橫掃)RX Mapping'!AW4&lt;=600), ('(橫掃)RX Mapping'!AW4-361),IF(AND('(橫掃)RX Mapping'!AW4&gt;=601,'(橫掃)RX Mapping'!AW4&lt;=720), (-1)*('(橫掃)RX Mapping'!AW4-720)+120,IF(AND('(橫掃)RX Mapping'!AW4&gt;=721,'(橫掃)RX Mapping'!AW4&lt;=840), ('(橫掃)RX Mapping'!AW4-601),IF(AND('(橫掃)RX Mapping'!AW4&gt;=841,'(橫掃)RX Mapping'!AW4&lt;=960), (-1)*('(橫掃)RX Mapping'!AW4-960)+120,9999))))))))</f>
        <v>9999</v>
      </c>
      <c r="AX4">
        <f>IF(AND('(橫掃)RX Mapping'!AX4&gt;=1,'(橫掃)RX Mapping'!AX4&lt;=120), ('(橫掃)RX Mapping'!AX4-1),IF(AND('(橫掃)RX Mapping'!AX4&gt;=121,'(橫掃)RX Mapping'!AX4&lt;=240), (-1)*('(橫掃)RX Mapping'!AX4-240),IF(AND('(橫掃)RX Mapping'!AX4&gt;=241,'(橫掃)RX Mapping'!AX4&lt;=360), ('(橫掃)RX Mapping'!AX4-241),IF(AND('(橫掃)RX Mapping'!AX4&gt;=361,'(橫掃)RX Mapping'!AX4&lt;=480), (-1)*('(橫掃)RX Mapping'!AX4-480),IF(AND('(橫掃)RX Mapping'!AX4&gt;=481,'(橫掃)RX Mapping'!AX4&lt;=600), ('(橫掃)RX Mapping'!AX4-361),IF(AND('(橫掃)RX Mapping'!AX4&gt;=601,'(橫掃)RX Mapping'!AX4&lt;=720), (-1)*('(橫掃)RX Mapping'!AX4-720)+120,IF(AND('(橫掃)RX Mapping'!AX4&gt;=721,'(橫掃)RX Mapping'!AX4&lt;=840), ('(橫掃)RX Mapping'!AX4-601),IF(AND('(橫掃)RX Mapping'!AX4&gt;=841,'(橫掃)RX Mapping'!AX4&lt;=960), (-1)*('(橫掃)RX Mapping'!AX4-960)+120,9999))))))))</f>
        <v>9999</v>
      </c>
      <c r="AY4">
        <f>IF(AND('(橫掃)RX Mapping'!AY4&gt;=1,'(橫掃)RX Mapping'!AY4&lt;=120), ('(橫掃)RX Mapping'!AY4-1),IF(AND('(橫掃)RX Mapping'!AY4&gt;=121,'(橫掃)RX Mapping'!AY4&lt;=240), (-1)*('(橫掃)RX Mapping'!AY4-240),IF(AND('(橫掃)RX Mapping'!AY4&gt;=241,'(橫掃)RX Mapping'!AY4&lt;=360), ('(橫掃)RX Mapping'!AY4-241),IF(AND('(橫掃)RX Mapping'!AY4&gt;=361,'(橫掃)RX Mapping'!AY4&lt;=480), (-1)*('(橫掃)RX Mapping'!AY4-480),IF(AND('(橫掃)RX Mapping'!AY4&gt;=481,'(橫掃)RX Mapping'!AY4&lt;=600), ('(橫掃)RX Mapping'!AY4-361),IF(AND('(橫掃)RX Mapping'!AY4&gt;=601,'(橫掃)RX Mapping'!AY4&lt;=720), (-1)*('(橫掃)RX Mapping'!AY4-720)+120,IF(AND('(橫掃)RX Mapping'!AY4&gt;=721,'(橫掃)RX Mapping'!AY4&lt;=840), ('(橫掃)RX Mapping'!AY4-601),IF(AND('(橫掃)RX Mapping'!AY4&gt;=841,'(橫掃)RX Mapping'!AY4&lt;=960), (-1)*('(橫掃)RX Mapping'!AY4-960)+120,9999))))))))</f>
        <v>9999</v>
      </c>
      <c r="AZ4">
        <f>IF(AND('(橫掃)RX Mapping'!AZ4&gt;=1,'(橫掃)RX Mapping'!AZ4&lt;=120), ('(橫掃)RX Mapping'!AZ4-1),IF(AND('(橫掃)RX Mapping'!AZ4&gt;=121,'(橫掃)RX Mapping'!AZ4&lt;=240), (-1)*('(橫掃)RX Mapping'!AZ4-240),IF(AND('(橫掃)RX Mapping'!AZ4&gt;=241,'(橫掃)RX Mapping'!AZ4&lt;=360), ('(橫掃)RX Mapping'!AZ4-241),IF(AND('(橫掃)RX Mapping'!AZ4&gt;=361,'(橫掃)RX Mapping'!AZ4&lt;=480), (-1)*('(橫掃)RX Mapping'!AZ4-480),IF(AND('(橫掃)RX Mapping'!AZ4&gt;=481,'(橫掃)RX Mapping'!AZ4&lt;=600), ('(橫掃)RX Mapping'!AZ4-361),IF(AND('(橫掃)RX Mapping'!AZ4&gt;=601,'(橫掃)RX Mapping'!AZ4&lt;=720), (-1)*('(橫掃)RX Mapping'!AZ4-720)+120,IF(AND('(橫掃)RX Mapping'!AZ4&gt;=721,'(橫掃)RX Mapping'!AZ4&lt;=840), ('(橫掃)RX Mapping'!AZ4-601),IF(AND('(橫掃)RX Mapping'!AZ4&gt;=841,'(橫掃)RX Mapping'!AZ4&lt;=960), (-1)*('(橫掃)RX Mapping'!AZ4-960)+120,9999))))))))</f>
        <v>9999</v>
      </c>
      <c r="BA4">
        <f>IF(AND('(橫掃)RX Mapping'!BA4&gt;=1,'(橫掃)RX Mapping'!BA4&lt;=120), ('(橫掃)RX Mapping'!BA4-1),IF(AND('(橫掃)RX Mapping'!BA4&gt;=121,'(橫掃)RX Mapping'!BA4&lt;=240), (-1)*('(橫掃)RX Mapping'!BA4-240),IF(AND('(橫掃)RX Mapping'!BA4&gt;=241,'(橫掃)RX Mapping'!BA4&lt;=360), ('(橫掃)RX Mapping'!BA4-241),IF(AND('(橫掃)RX Mapping'!BA4&gt;=361,'(橫掃)RX Mapping'!BA4&lt;=480), (-1)*('(橫掃)RX Mapping'!BA4-480),IF(AND('(橫掃)RX Mapping'!BA4&gt;=481,'(橫掃)RX Mapping'!BA4&lt;=600), ('(橫掃)RX Mapping'!BA4-361),IF(AND('(橫掃)RX Mapping'!BA4&gt;=601,'(橫掃)RX Mapping'!BA4&lt;=720), (-1)*('(橫掃)RX Mapping'!BA4-720)+120,IF(AND('(橫掃)RX Mapping'!BA4&gt;=721,'(橫掃)RX Mapping'!BA4&lt;=840), ('(橫掃)RX Mapping'!BA4-601),IF(AND('(橫掃)RX Mapping'!BA4&gt;=841,'(橫掃)RX Mapping'!BA4&lt;=960), (-1)*('(橫掃)RX Mapping'!BA4-960)+120,9999))))))))</f>
        <v>9999</v>
      </c>
      <c r="BB4">
        <f>IF(AND('(橫掃)RX Mapping'!BB4&gt;=1,'(橫掃)RX Mapping'!BB4&lt;=120), ('(橫掃)RX Mapping'!BB4-1),IF(AND('(橫掃)RX Mapping'!BB4&gt;=121,'(橫掃)RX Mapping'!BB4&lt;=240), (-1)*('(橫掃)RX Mapping'!BB4-240),IF(AND('(橫掃)RX Mapping'!BB4&gt;=241,'(橫掃)RX Mapping'!BB4&lt;=360), ('(橫掃)RX Mapping'!BB4-241),IF(AND('(橫掃)RX Mapping'!BB4&gt;=361,'(橫掃)RX Mapping'!BB4&lt;=480), (-1)*('(橫掃)RX Mapping'!BB4-480),IF(AND('(橫掃)RX Mapping'!BB4&gt;=481,'(橫掃)RX Mapping'!BB4&lt;=600), ('(橫掃)RX Mapping'!BB4-361),IF(AND('(橫掃)RX Mapping'!BB4&gt;=601,'(橫掃)RX Mapping'!BB4&lt;=720), (-1)*('(橫掃)RX Mapping'!BB4-720)+120,IF(AND('(橫掃)RX Mapping'!BB4&gt;=721,'(橫掃)RX Mapping'!BB4&lt;=840), ('(橫掃)RX Mapping'!BB4-601),IF(AND('(橫掃)RX Mapping'!BB4&gt;=841,'(橫掃)RX Mapping'!BB4&lt;=960), (-1)*('(橫掃)RX Mapping'!BB4-960)+120,9999))))))))</f>
        <v>9999</v>
      </c>
      <c r="BC4">
        <f>IF(AND('(橫掃)RX Mapping'!BC4&gt;=1,'(橫掃)RX Mapping'!BC4&lt;=120), ('(橫掃)RX Mapping'!BC4-1),IF(AND('(橫掃)RX Mapping'!BC4&gt;=121,'(橫掃)RX Mapping'!BC4&lt;=240), (-1)*('(橫掃)RX Mapping'!BC4-240),IF(AND('(橫掃)RX Mapping'!BC4&gt;=241,'(橫掃)RX Mapping'!BC4&lt;=360), ('(橫掃)RX Mapping'!BC4-241),IF(AND('(橫掃)RX Mapping'!BC4&gt;=361,'(橫掃)RX Mapping'!BC4&lt;=480), (-1)*('(橫掃)RX Mapping'!BC4-480),IF(AND('(橫掃)RX Mapping'!BC4&gt;=481,'(橫掃)RX Mapping'!BC4&lt;=600), ('(橫掃)RX Mapping'!BC4-361),IF(AND('(橫掃)RX Mapping'!BC4&gt;=601,'(橫掃)RX Mapping'!BC4&lt;=720), (-1)*('(橫掃)RX Mapping'!BC4-720)+120,IF(AND('(橫掃)RX Mapping'!BC4&gt;=721,'(橫掃)RX Mapping'!BC4&lt;=840), ('(橫掃)RX Mapping'!BC4-601),IF(AND('(橫掃)RX Mapping'!BC4&gt;=841,'(橫掃)RX Mapping'!BC4&lt;=960), (-1)*('(橫掃)RX Mapping'!BC4-960)+120,9999))))))))</f>
        <v>9999</v>
      </c>
      <c r="BD4">
        <f>IF(AND('(橫掃)RX Mapping'!BD4&gt;=1,'(橫掃)RX Mapping'!BD4&lt;=120), ('(橫掃)RX Mapping'!BD4-1),IF(AND('(橫掃)RX Mapping'!BD4&gt;=121,'(橫掃)RX Mapping'!BD4&lt;=240), (-1)*('(橫掃)RX Mapping'!BD4-240),IF(AND('(橫掃)RX Mapping'!BD4&gt;=241,'(橫掃)RX Mapping'!BD4&lt;=360), ('(橫掃)RX Mapping'!BD4-241),IF(AND('(橫掃)RX Mapping'!BD4&gt;=361,'(橫掃)RX Mapping'!BD4&lt;=480), (-1)*('(橫掃)RX Mapping'!BD4-480),IF(AND('(橫掃)RX Mapping'!BD4&gt;=481,'(橫掃)RX Mapping'!BD4&lt;=600), ('(橫掃)RX Mapping'!BD4-361),IF(AND('(橫掃)RX Mapping'!BD4&gt;=601,'(橫掃)RX Mapping'!BD4&lt;=720), (-1)*('(橫掃)RX Mapping'!BD4-720)+120,IF(AND('(橫掃)RX Mapping'!BD4&gt;=721,'(橫掃)RX Mapping'!BD4&lt;=840), ('(橫掃)RX Mapping'!BD4-601),IF(AND('(橫掃)RX Mapping'!BD4&gt;=841,'(橫掃)RX Mapping'!BD4&lt;=960), (-1)*('(橫掃)RX Mapping'!BD4-960)+120,9999))))))))</f>
        <v>9999</v>
      </c>
      <c r="BE4">
        <f>IF(AND('(橫掃)RX Mapping'!BE4&gt;=1,'(橫掃)RX Mapping'!BE4&lt;=120), ('(橫掃)RX Mapping'!BE4-1),IF(AND('(橫掃)RX Mapping'!BE4&gt;=121,'(橫掃)RX Mapping'!BE4&lt;=240), (-1)*('(橫掃)RX Mapping'!BE4-240),IF(AND('(橫掃)RX Mapping'!BE4&gt;=241,'(橫掃)RX Mapping'!BE4&lt;=360), ('(橫掃)RX Mapping'!BE4-241),IF(AND('(橫掃)RX Mapping'!BE4&gt;=361,'(橫掃)RX Mapping'!BE4&lt;=480), (-1)*('(橫掃)RX Mapping'!BE4-480),IF(AND('(橫掃)RX Mapping'!BE4&gt;=481,'(橫掃)RX Mapping'!BE4&lt;=600), ('(橫掃)RX Mapping'!BE4-361),IF(AND('(橫掃)RX Mapping'!BE4&gt;=601,'(橫掃)RX Mapping'!BE4&lt;=720), (-1)*('(橫掃)RX Mapping'!BE4-720)+120,IF(AND('(橫掃)RX Mapping'!BE4&gt;=721,'(橫掃)RX Mapping'!BE4&lt;=840), ('(橫掃)RX Mapping'!BE4-601),IF(AND('(橫掃)RX Mapping'!BE4&gt;=841,'(橫掃)RX Mapping'!BE4&lt;=960), (-1)*('(橫掃)RX Mapping'!BE4-960)+120,9999))))))))</f>
        <v>9999</v>
      </c>
      <c r="BF4">
        <f>IF(AND('(橫掃)RX Mapping'!BF4&gt;=1,'(橫掃)RX Mapping'!BF4&lt;=120), ('(橫掃)RX Mapping'!BF4-1),IF(AND('(橫掃)RX Mapping'!BF4&gt;=121,'(橫掃)RX Mapping'!BF4&lt;=240), (-1)*('(橫掃)RX Mapping'!BF4-240),IF(AND('(橫掃)RX Mapping'!BF4&gt;=241,'(橫掃)RX Mapping'!BF4&lt;=360), ('(橫掃)RX Mapping'!BF4-241),IF(AND('(橫掃)RX Mapping'!BF4&gt;=361,'(橫掃)RX Mapping'!BF4&lt;=480), (-1)*('(橫掃)RX Mapping'!BF4-480),IF(AND('(橫掃)RX Mapping'!BF4&gt;=481,'(橫掃)RX Mapping'!BF4&lt;=600), ('(橫掃)RX Mapping'!BF4-361),IF(AND('(橫掃)RX Mapping'!BF4&gt;=601,'(橫掃)RX Mapping'!BF4&lt;=720), (-1)*('(橫掃)RX Mapping'!BF4-720)+120,IF(AND('(橫掃)RX Mapping'!BF4&gt;=721,'(橫掃)RX Mapping'!BF4&lt;=840), ('(橫掃)RX Mapping'!BF4-601),IF(AND('(橫掃)RX Mapping'!BF4&gt;=841,'(橫掃)RX Mapping'!BF4&lt;=960), (-1)*('(橫掃)RX Mapping'!BF4-960)+120,9999))))))))</f>
        <v>9999</v>
      </c>
      <c r="BG4">
        <f>IF(AND('(橫掃)RX Mapping'!BG4&gt;=1,'(橫掃)RX Mapping'!BG4&lt;=120), ('(橫掃)RX Mapping'!BG4-1),IF(AND('(橫掃)RX Mapping'!BG4&gt;=121,'(橫掃)RX Mapping'!BG4&lt;=240), (-1)*('(橫掃)RX Mapping'!BG4-240),IF(AND('(橫掃)RX Mapping'!BG4&gt;=241,'(橫掃)RX Mapping'!BG4&lt;=360), ('(橫掃)RX Mapping'!BG4-241),IF(AND('(橫掃)RX Mapping'!BG4&gt;=361,'(橫掃)RX Mapping'!BG4&lt;=480), (-1)*('(橫掃)RX Mapping'!BG4-480),IF(AND('(橫掃)RX Mapping'!BG4&gt;=481,'(橫掃)RX Mapping'!BG4&lt;=600), ('(橫掃)RX Mapping'!BG4-361),IF(AND('(橫掃)RX Mapping'!BG4&gt;=601,'(橫掃)RX Mapping'!BG4&lt;=720), (-1)*('(橫掃)RX Mapping'!BG4-720)+120,IF(AND('(橫掃)RX Mapping'!BG4&gt;=721,'(橫掃)RX Mapping'!BG4&lt;=840), ('(橫掃)RX Mapping'!BG4-601),IF(AND('(橫掃)RX Mapping'!BG4&gt;=841,'(橫掃)RX Mapping'!BG4&lt;=960), (-1)*('(橫掃)RX Mapping'!BG4-960)+120,9999))))))))</f>
        <v>9999</v>
      </c>
      <c r="BH4">
        <f>IF(AND('(橫掃)RX Mapping'!BH4&gt;=1,'(橫掃)RX Mapping'!BH4&lt;=120), ('(橫掃)RX Mapping'!BH4-1),IF(AND('(橫掃)RX Mapping'!BH4&gt;=121,'(橫掃)RX Mapping'!BH4&lt;=240), (-1)*('(橫掃)RX Mapping'!BH4-240),IF(AND('(橫掃)RX Mapping'!BH4&gt;=241,'(橫掃)RX Mapping'!BH4&lt;=360), ('(橫掃)RX Mapping'!BH4-241),IF(AND('(橫掃)RX Mapping'!BH4&gt;=361,'(橫掃)RX Mapping'!BH4&lt;=480), (-1)*('(橫掃)RX Mapping'!BH4-480),IF(AND('(橫掃)RX Mapping'!BH4&gt;=481,'(橫掃)RX Mapping'!BH4&lt;=600), ('(橫掃)RX Mapping'!BH4-361),IF(AND('(橫掃)RX Mapping'!BH4&gt;=601,'(橫掃)RX Mapping'!BH4&lt;=720), (-1)*('(橫掃)RX Mapping'!BH4-720)+120,IF(AND('(橫掃)RX Mapping'!BH4&gt;=721,'(橫掃)RX Mapping'!BH4&lt;=840), ('(橫掃)RX Mapping'!BH4-601),IF(AND('(橫掃)RX Mapping'!BH4&gt;=841,'(橫掃)RX Mapping'!BH4&lt;=960), (-1)*('(橫掃)RX Mapping'!BH4-960)+120,9999))))))))</f>
        <v>9999</v>
      </c>
      <c r="BI4">
        <f>IF(AND('(橫掃)RX Mapping'!BI4&gt;=1,'(橫掃)RX Mapping'!BI4&lt;=120), ('(橫掃)RX Mapping'!BI4-1),IF(AND('(橫掃)RX Mapping'!BI4&gt;=121,'(橫掃)RX Mapping'!BI4&lt;=240), (-1)*('(橫掃)RX Mapping'!BI4-240),IF(AND('(橫掃)RX Mapping'!BI4&gt;=241,'(橫掃)RX Mapping'!BI4&lt;=360), ('(橫掃)RX Mapping'!BI4-241),IF(AND('(橫掃)RX Mapping'!BI4&gt;=361,'(橫掃)RX Mapping'!BI4&lt;=480), (-1)*('(橫掃)RX Mapping'!BI4-480),IF(AND('(橫掃)RX Mapping'!BI4&gt;=481,'(橫掃)RX Mapping'!BI4&lt;=600), ('(橫掃)RX Mapping'!BI4-361),IF(AND('(橫掃)RX Mapping'!BI4&gt;=601,'(橫掃)RX Mapping'!BI4&lt;=720), (-1)*('(橫掃)RX Mapping'!BI4-720)+120,IF(AND('(橫掃)RX Mapping'!BI4&gt;=721,'(橫掃)RX Mapping'!BI4&lt;=840), ('(橫掃)RX Mapping'!BI4-601),IF(AND('(橫掃)RX Mapping'!BI4&gt;=841,'(橫掃)RX Mapping'!BI4&lt;=960), (-1)*('(橫掃)RX Mapping'!BI4-960)+120,9999))))))))</f>
        <v>9999</v>
      </c>
    </row>
    <row r="5" spans="1:61" x14ac:dyDescent="0.25">
      <c r="A5" s="20">
        <v>4</v>
      </c>
      <c r="B5">
        <f>IF(
(AND('(直掃)RX Mapping'!B5&gt;=0,'(直掃)RX Mapping'!B5&lt;=480)),
(MOD('(直掃)RX Mapping'!B5,120)-1),
IF(
(AND('(直掃)RX Mapping'!B5&gt;=480,'(直掃)RX Mapping'!B5&lt;=960)),
IF(MOD('(直掃)RX Mapping'!B5,120)=0, 120, 240-MOD('(直掃)RX Mapping'!B5,120)),9999))+IF(AND(MOD('(直掃)RX Mapping'!B5,120)=0, '(直掃)RX Mapping'!B5 &lt;= 480,  '(直掃)RX Mapping'!B5 &gt; 0), 120)</f>
        <v>123</v>
      </c>
      <c r="C5">
        <f>IF(
(AND('(直掃)RX Mapping'!C5&gt;=0,'(直掃)RX Mapping'!C5&lt;=480)),
(MOD('(直掃)RX Mapping'!C5,120)-1),
IF(
(AND('(直掃)RX Mapping'!C5&gt;=480,'(直掃)RX Mapping'!C5&lt;=960)),
IF(MOD('(直掃)RX Mapping'!C5,120)=0, 120, 240-MOD('(直掃)RX Mapping'!C5,120)),9999))+IF(AND(MOD('(直掃)RX Mapping'!C5,120)=0, '(直掃)RX Mapping'!C5 &lt;= 480,  '(直掃)RX Mapping'!C5 &gt; 0), 120)</f>
        <v>153</v>
      </c>
      <c r="D5">
        <f>IF(
(AND('(直掃)RX Mapping'!D5&gt;=0,'(直掃)RX Mapping'!D5&lt;=480)),
(MOD('(直掃)RX Mapping'!D5,120)-1),
IF(
(AND('(直掃)RX Mapping'!D5&gt;=480,'(直掃)RX Mapping'!D5&lt;=960)),
IF(MOD('(直掃)RX Mapping'!D5,120)=0, 120, 240-MOD('(直掃)RX Mapping'!D5,120)),9999))+IF(AND(MOD('(直掃)RX Mapping'!D5,120)=0, '(直掃)RX Mapping'!D5 &lt;= 480,  '(直掃)RX Mapping'!D5 &gt; 0), 120)</f>
        <v>183</v>
      </c>
      <c r="E5">
        <f>IF(
(AND('(直掃)RX Mapping'!E5&gt;=0,'(直掃)RX Mapping'!E5&lt;=480)),
(MOD('(直掃)RX Mapping'!E5,120)-1),
IF(
(AND('(直掃)RX Mapping'!E5&gt;=480,'(直掃)RX Mapping'!E5&lt;=960)),
IF(MOD('(直掃)RX Mapping'!E5,120)=0, 120, 240-MOD('(直掃)RX Mapping'!E5,120)),9999))+IF(AND(MOD('(直掃)RX Mapping'!E5,120)=0, '(直掃)RX Mapping'!E5 &lt;= 480,  '(直掃)RX Mapping'!E5 &gt; 0), 120)</f>
        <v>123</v>
      </c>
      <c r="F5">
        <f>IF(
(AND('(直掃)RX Mapping'!F5&gt;=0,'(直掃)RX Mapping'!F5&lt;=480)),
(MOD('(直掃)RX Mapping'!F5,120)-1),
IF(
(AND('(直掃)RX Mapping'!F5&gt;=480,'(直掃)RX Mapping'!F5&lt;=960)),
IF(MOD('(直掃)RX Mapping'!F5,120)=0, 120, 240-MOD('(直掃)RX Mapping'!F5,120)),9999))+IF(AND(MOD('(直掃)RX Mapping'!F5,120)=0, '(直掃)RX Mapping'!F5 &lt;= 480,  '(直掃)RX Mapping'!F5 &gt; 0), 120)</f>
        <v>153</v>
      </c>
      <c r="G5">
        <f>IF(
(AND('(直掃)RX Mapping'!G5&gt;=0,'(直掃)RX Mapping'!G5&lt;=480)),
(MOD('(直掃)RX Mapping'!G5,120)-1),
IF(
(AND('(直掃)RX Mapping'!G5&gt;=480,'(直掃)RX Mapping'!G5&lt;=960)),
IF(MOD('(直掃)RX Mapping'!G5,120)=0, 120, 240-MOD('(直掃)RX Mapping'!G5,120)),9999))+IF(AND(MOD('(直掃)RX Mapping'!G5,120)=0, '(直掃)RX Mapping'!G5 &lt;= 480,  '(直掃)RX Mapping'!G5 &gt; 0), 120)</f>
        <v>183</v>
      </c>
      <c r="H5">
        <f>IF(
(AND('(直掃)RX Mapping'!H5&gt;=0,'(直掃)RX Mapping'!H5&lt;=480)),
(MOD('(直掃)RX Mapping'!H5,120)-1),
IF(
(AND('(直掃)RX Mapping'!H5&gt;=480,'(直掃)RX Mapping'!H5&lt;=960)),
IF(MOD('(直掃)RX Mapping'!H5,120)=0, 120, 240-MOD('(直掃)RX Mapping'!H5,120)),9999))+IF(AND(MOD('(直掃)RX Mapping'!H5,120)=0, '(直掃)RX Mapping'!H5 &lt;= 480,  '(直掃)RX Mapping'!H5 &gt; 0), 120)</f>
        <v>123</v>
      </c>
      <c r="I5">
        <f>IF(
(AND('(直掃)RX Mapping'!I5&gt;=0,'(直掃)RX Mapping'!I5&lt;=480)),
(MOD('(直掃)RX Mapping'!I5,120)-1),
IF(
(AND('(直掃)RX Mapping'!I5&gt;=480,'(直掃)RX Mapping'!I5&lt;=960)),
IF(MOD('(直掃)RX Mapping'!I5,120)=0, 120, 240-MOD('(直掃)RX Mapping'!I5,120)),9999))+IF(AND(MOD('(直掃)RX Mapping'!I5,120)=0, '(直掃)RX Mapping'!I5 &lt;= 480,  '(直掃)RX Mapping'!I5 &gt; 0), 120)</f>
        <v>153</v>
      </c>
      <c r="J5">
        <f>IF(
(AND('(直掃)RX Mapping'!J5&gt;=0,'(直掃)RX Mapping'!J5&lt;=480)),
(MOD('(直掃)RX Mapping'!J5,120)-1),
IF(
(AND('(直掃)RX Mapping'!J5&gt;=480,'(直掃)RX Mapping'!J5&lt;=960)),
IF(MOD('(直掃)RX Mapping'!J5,120)=0, 120, 240-MOD('(直掃)RX Mapping'!J5,120)),9999))+IF(AND(MOD('(直掃)RX Mapping'!J5,120)=0, '(直掃)RX Mapping'!J5 &lt;= 480,  '(直掃)RX Mapping'!J5 &gt; 0), 120)</f>
        <v>183</v>
      </c>
      <c r="K5">
        <f>IF(
(AND('(直掃)RX Mapping'!K5&gt;=0,'(直掃)RX Mapping'!K5&lt;=480)),
(MOD('(直掃)RX Mapping'!K5,120)-1),
IF(
(AND('(直掃)RX Mapping'!K5&gt;=480,'(直掃)RX Mapping'!K5&lt;=960)),
IF(MOD('(直掃)RX Mapping'!K5,120)=0, 120, 240-MOD('(直掃)RX Mapping'!K5,120)),9999))+IF(AND(MOD('(直掃)RX Mapping'!K5,120)=0, '(直掃)RX Mapping'!K5 &lt;= 480,  '(直掃)RX Mapping'!K5 &gt; 0), 120)</f>
        <v>213</v>
      </c>
      <c r="L5">
        <f>IF(
(AND('(直掃)RX Mapping'!L5&gt;=0,'(直掃)RX Mapping'!L5&lt;=480)),
(MOD('(直掃)RX Mapping'!L5,120)-1),
IF(
(AND('(直掃)RX Mapping'!L5&gt;=480,'(直掃)RX Mapping'!L5&lt;=960)),
IF(MOD('(直掃)RX Mapping'!L5,120)=0, 120, 240-MOD('(直掃)RX Mapping'!L5,120)),9999))+IF(AND(MOD('(直掃)RX Mapping'!L5,120)=0, '(直掃)RX Mapping'!L5 &lt;= 480,  '(直掃)RX Mapping'!L5 &gt; 0), 120)</f>
        <v>123</v>
      </c>
      <c r="M5">
        <f>IF(
(AND('(直掃)RX Mapping'!M5&gt;=0,'(直掃)RX Mapping'!M5&lt;=480)),
(MOD('(直掃)RX Mapping'!M5,120)-1),
IF(
(AND('(直掃)RX Mapping'!M5&gt;=480,'(直掃)RX Mapping'!M5&lt;=960)),
IF(MOD('(直掃)RX Mapping'!M5,120)=0, 120, 240-MOD('(直掃)RX Mapping'!M5,120)),9999))+IF(AND(MOD('(直掃)RX Mapping'!M5,120)=0, '(直掃)RX Mapping'!M5 &lt;= 480,  '(直掃)RX Mapping'!M5 &gt; 0), 120)</f>
        <v>153</v>
      </c>
      <c r="N5">
        <f>IF(
(AND('(直掃)RX Mapping'!N5&gt;=0,'(直掃)RX Mapping'!N5&lt;=480)),
(MOD('(直掃)RX Mapping'!N5,120)-1),
IF(
(AND('(直掃)RX Mapping'!N5&gt;=480,'(直掃)RX Mapping'!N5&lt;=960)),
IF(MOD('(直掃)RX Mapping'!N5,120)=0, 120, 240-MOD('(直掃)RX Mapping'!N5,120)),9999))+IF(AND(MOD('(直掃)RX Mapping'!N5,120)=0, '(直掃)RX Mapping'!N5 &lt;= 480,  '(直掃)RX Mapping'!N5 &gt; 0), 120)</f>
        <v>183</v>
      </c>
      <c r="O5">
        <f>IF(
(AND('(直掃)RX Mapping'!O5&gt;=0,'(直掃)RX Mapping'!O5&lt;=480)),
(MOD('(直掃)RX Mapping'!O5,120)-1),
IF(
(AND('(直掃)RX Mapping'!O5&gt;=480,'(直掃)RX Mapping'!O5&lt;=960)),
IF(MOD('(直掃)RX Mapping'!O5,120)=0, 120, 240-MOD('(直掃)RX Mapping'!O5,120)),9999))+IF(AND(MOD('(直掃)RX Mapping'!O5,120)=0, '(直掃)RX Mapping'!O5 &lt;= 480,  '(直掃)RX Mapping'!O5 &gt; 0), 120)</f>
        <v>213</v>
      </c>
      <c r="P5">
        <f>IF(
(AND('(直掃)RX Mapping'!P5&gt;=0,'(直掃)RX Mapping'!P5&lt;=480)),
(MOD('(直掃)RX Mapping'!P5,120)-1),
IF(
(AND('(直掃)RX Mapping'!P5&gt;=480,'(直掃)RX Mapping'!P5&lt;=960)),
IF(MOD('(直掃)RX Mapping'!P5,120)=0, 120, 240-MOD('(直掃)RX Mapping'!P5,120)),9999))+IF(AND(MOD('(直掃)RX Mapping'!P5,120)=0, '(直掃)RX Mapping'!P5 &lt;= 480,  '(直掃)RX Mapping'!P5 &gt; 0), 120)</f>
        <v>116</v>
      </c>
      <c r="Q5">
        <f>IF(
(AND('(直掃)RX Mapping'!Q5&gt;=0,'(直掃)RX Mapping'!Q5&lt;=480)),
(MOD('(直掃)RX Mapping'!Q5,120)-1),
IF(
(AND('(直掃)RX Mapping'!Q5&gt;=480,'(直掃)RX Mapping'!Q5&lt;=960)),
IF(MOD('(直掃)RX Mapping'!Q5,120)=0, 120, 240-MOD('(直掃)RX Mapping'!Q5,120)),9999))+IF(AND(MOD('(直掃)RX Mapping'!Q5,120)=0, '(直掃)RX Mapping'!Q5 &lt;= 480,  '(直掃)RX Mapping'!Q5 &gt; 0), 120)</f>
        <v>86</v>
      </c>
      <c r="R5">
        <f>IF(
(AND('(直掃)RX Mapping'!R5&gt;=0,'(直掃)RX Mapping'!R5&lt;=480)),
(MOD('(直掃)RX Mapping'!R5,120)-1),
IF(
(AND('(直掃)RX Mapping'!R5&gt;=480,'(直掃)RX Mapping'!R5&lt;=960)),
IF(MOD('(直掃)RX Mapping'!R5,120)=0, 120, 240-MOD('(直掃)RX Mapping'!R5,120)),9999))+IF(AND(MOD('(直掃)RX Mapping'!R5,120)=0, '(直掃)RX Mapping'!R5 &lt;= 480,  '(直掃)RX Mapping'!R5 &gt; 0), 120)</f>
        <v>56</v>
      </c>
      <c r="S5">
        <f>IF(
(AND('(直掃)RX Mapping'!S5&gt;=0,'(直掃)RX Mapping'!S5&lt;=480)),
(MOD('(直掃)RX Mapping'!S5,120)-1),
IF(
(AND('(直掃)RX Mapping'!S5&gt;=480,'(直掃)RX Mapping'!S5&lt;=960)),
IF(MOD('(直掃)RX Mapping'!S5,120)=0, 120, 240-MOD('(直掃)RX Mapping'!S5,120)),9999))+IF(AND(MOD('(直掃)RX Mapping'!S5,120)=0, '(直掃)RX Mapping'!S5 &lt;= 480,  '(直掃)RX Mapping'!S5 &gt; 0), 120)</f>
        <v>26</v>
      </c>
      <c r="T5">
        <f>IF(
(AND('(直掃)RX Mapping'!T5&gt;=0,'(直掃)RX Mapping'!T5&lt;=480)),
(MOD('(直掃)RX Mapping'!T5,120)-1),
IF(
(AND('(直掃)RX Mapping'!T5&gt;=480,'(直掃)RX Mapping'!T5&lt;=960)),
IF(MOD('(直掃)RX Mapping'!T5,120)=0, 120, 240-MOD('(直掃)RX Mapping'!T5,120)),9999))+IF(AND(MOD('(直掃)RX Mapping'!T5,120)=0, '(直掃)RX Mapping'!T5 &lt;= 480,  '(直掃)RX Mapping'!T5 &gt; 0), 120)</f>
        <v>116</v>
      </c>
      <c r="U5">
        <f>IF(
(AND('(直掃)RX Mapping'!U5&gt;=0,'(直掃)RX Mapping'!U5&lt;=480)),
(MOD('(直掃)RX Mapping'!U5,120)-1),
IF(
(AND('(直掃)RX Mapping'!U5&gt;=480,'(直掃)RX Mapping'!U5&lt;=960)),
IF(MOD('(直掃)RX Mapping'!U5,120)=0, 120, 240-MOD('(直掃)RX Mapping'!U5,120)),9999))+IF(AND(MOD('(直掃)RX Mapping'!U5,120)=0, '(直掃)RX Mapping'!U5 &lt;= 480,  '(直掃)RX Mapping'!U5 &gt; 0), 120)</f>
        <v>86</v>
      </c>
      <c r="V5">
        <f>IF(
(AND('(直掃)RX Mapping'!V5&gt;=0,'(直掃)RX Mapping'!V5&lt;=480)),
(MOD('(直掃)RX Mapping'!V5,120)-1),
IF(
(AND('(直掃)RX Mapping'!V5&gt;=480,'(直掃)RX Mapping'!V5&lt;=960)),
IF(MOD('(直掃)RX Mapping'!V5,120)=0, 120, 240-MOD('(直掃)RX Mapping'!V5,120)),9999))+IF(AND(MOD('(直掃)RX Mapping'!V5,120)=0, '(直掃)RX Mapping'!V5 &lt;= 480,  '(直掃)RX Mapping'!V5 &gt; 0), 120)</f>
        <v>56</v>
      </c>
      <c r="W5">
        <f>IF(
(AND('(直掃)RX Mapping'!W5&gt;=0,'(直掃)RX Mapping'!W5&lt;=480)),
(MOD('(直掃)RX Mapping'!W5,120)-1),
IF(
(AND('(直掃)RX Mapping'!W5&gt;=480,'(直掃)RX Mapping'!W5&lt;=960)),
IF(MOD('(直掃)RX Mapping'!W5,120)=0, 120, 240-MOD('(直掃)RX Mapping'!W5,120)),9999))+IF(AND(MOD('(直掃)RX Mapping'!W5,120)=0, '(直掃)RX Mapping'!W5 &lt;= 480,  '(直掃)RX Mapping'!W5 &gt; 0), 120)</f>
        <v>26</v>
      </c>
      <c r="X5">
        <f>IF(
(AND('(直掃)RX Mapping'!X5&gt;=0,'(直掃)RX Mapping'!X5&lt;=480)),
(MOD('(直掃)RX Mapping'!X5,120)-1),
IF(
(AND('(直掃)RX Mapping'!X5&gt;=480,'(直掃)RX Mapping'!X5&lt;=960)),
IF(MOD('(直掃)RX Mapping'!X5,120)=0, 120, 240-MOD('(直掃)RX Mapping'!X5,120)),9999))+IF(AND(MOD('(直掃)RX Mapping'!X5,120)=0, '(直掃)RX Mapping'!X5 &lt;= 480,  '(直掃)RX Mapping'!X5 &gt; 0), 120)</f>
        <v>86</v>
      </c>
      <c r="Y5">
        <f>IF(
(AND('(直掃)RX Mapping'!Y5&gt;=0,'(直掃)RX Mapping'!Y5&lt;=480)),
(MOD('(直掃)RX Mapping'!Y5,120)-1),
IF(
(AND('(直掃)RX Mapping'!Y5&gt;=480,'(直掃)RX Mapping'!Y5&lt;=960)),
IF(MOD('(直掃)RX Mapping'!Y5,120)=0, 120, 240-MOD('(直掃)RX Mapping'!Y5,120)),9999))+IF(AND(MOD('(直掃)RX Mapping'!Y5,120)=0, '(直掃)RX Mapping'!Y5 &lt;= 480,  '(直掃)RX Mapping'!Y5 &gt; 0), 120)</f>
        <v>56</v>
      </c>
      <c r="Z5">
        <f>IF(
(AND('(直掃)RX Mapping'!Z5&gt;=0,'(直掃)RX Mapping'!Z5&lt;=480)),
(MOD('(直掃)RX Mapping'!Z5,120)-1),
IF(
(AND('(直掃)RX Mapping'!Z5&gt;=480,'(直掃)RX Mapping'!Z5&lt;=960)),
IF(MOD('(直掃)RX Mapping'!Z5,120)=0, 120, 240-MOD('(直掃)RX Mapping'!Z5,120)),9999))+IF(AND(MOD('(直掃)RX Mapping'!Z5,120)=0, '(直掃)RX Mapping'!Z5 &lt;= 480,  '(直掃)RX Mapping'!Z5 &gt; 0), 120)</f>
        <v>26</v>
      </c>
      <c r="AA5">
        <f>IF(
(AND('(直掃)RX Mapping'!AA5&gt;=0,'(直掃)RX Mapping'!AA5&lt;=480)),
(MOD('(直掃)RX Mapping'!AA5,120)-1),
IF(
(AND('(直掃)RX Mapping'!AA5&gt;=480,'(直掃)RX Mapping'!AA5&lt;=960)),
IF(MOD('(直掃)RX Mapping'!AA5,120)=0, 120, 240-MOD('(直掃)RX Mapping'!AA5,120)),9999))+IF(AND(MOD('(直掃)RX Mapping'!AA5,120)=0, '(直掃)RX Mapping'!AA5 &lt;= 480,  '(直掃)RX Mapping'!AA5 &gt; 0), 120)</f>
        <v>86</v>
      </c>
      <c r="AB5">
        <f>IF(
(AND('(直掃)RX Mapping'!AB5&gt;=0,'(直掃)RX Mapping'!AB5&lt;=480)),
(MOD('(直掃)RX Mapping'!AB5,120)-1),
IF(
(AND('(直掃)RX Mapping'!AB5&gt;=480,'(直掃)RX Mapping'!AB5&lt;=960)),
IF(MOD('(直掃)RX Mapping'!AB5,120)=0, 120, 240-MOD('(直掃)RX Mapping'!AB5,120)),9999))+IF(AND(MOD('(直掃)RX Mapping'!AB5,120)=0, '(直掃)RX Mapping'!AB5 &lt;= 480,  '(直掃)RX Mapping'!AB5 &gt; 0), 120)</f>
        <v>56</v>
      </c>
      <c r="AC5">
        <f>IF(
(AND('(直掃)RX Mapping'!AC5&gt;=0,'(直掃)RX Mapping'!AC5&lt;=480)),
(MOD('(直掃)RX Mapping'!AC5,120)-1),
IF(
(AND('(直掃)RX Mapping'!AC5&gt;=480,'(直掃)RX Mapping'!AC5&lt;=960)),
IF(MOD('(直掃)RX Mapping'!AC5,120)=0, 120, 240-MOD('(直掃)RX Mapping'!AC5,120)),9999))+IF(AND(MOD('(直掃)RX Mapping'!AC5,120)=0, '(直掃)RX Mapping'!AC5 &lt;= 480,  '(直掃)RX Mapping'!AC5 &gt; 0), 120)</f>
        <v>26</v>
      </c>
      <c r="AD5">
        <f>IF(
(AND('(直掃)RX Mapping'!AD5&gt;=0,'(直掃)RX Mapping'!AD5&lt;=480)),
(MOD('(直掃)RX Mapping'!AD5,120)-1),
IF(
(AND('(直掃)RX Mapping'!AD5&gt;=480,'(直掃)RX Mapping'!AD5&lt;=960)),
IF(MOD('(直掃)RX Mapping'!AD5,120)=0, 120, 240-MOD('(直掃)RX Mapping'!AD5,120)),9999))+IF(AND(MOD('(直掃)RX Mapping'!AD5,120)=0, '(直掃)RX Mapping'!AD5 &lt;= 480,  '(直掃)RX Mapping'!AD5 &gt; 0), 120)</f>
        <v>-1</v>
      </c>
      <c r="AE5">
        <f>IF(
(AND('(直掃)RX Mapping'!AE5&gt;=0,'(直掃)RX Mapping'!AE5&lt;=480)),
(MOD('(直掃)RX Mapping'!AE5,120)-1),
IF(
(AND('(直掃)RX Mapping'!AE5&gt;=480,'(直掃)RX Mapping'!AE5&lt;=960)),
IF(MOD('(直掃)RX Mapping'!AE5,120)=0, 120, 240-MOD('(直掃)RX Mapping'!AE5,120)),9999))+IF(AND(MOD('(直掃)RX Mapping'!AE5,120)=0, '(直掃)RX Mapping'!AE5 &lt;= 480,  '(直掃)RX Mapping'!AE5 &gt; 0), 120)</f>
        <v>-1</v>
      </c>
      <c r="AF5">
        <f>IF(
(AND('(直掃)RX Mapping'!AF5&gt;=0,'(直掃)RX Mapping'!AF5&lt;=480)),
(MOD('(直掃)RX Mapping'!AF5,120)-1),
IF(
(AND('(直掃)RX Mapping'!AF5&gt;=480,'(直掃)RX Mapping'!AF5&lt;=960)),
IF(MOD('(直掃)RX Mapping'!AF5,120)=0, 120, 240-MOD('(直掃)RX Mapping'!AF5,120)),9999))+IF(AND(MOD('(直掃)RX Mapping'!AF5,120)=0, '(直掃)RX Mapping'!AF5 &lt;= 480,  '(直掃)RX Mapping'!AF5 &gt; 0), 120)</f>
        <v>-1</v>
      </c>
      <c r="AG5">
        <f>IF(
(AND('(直掃)RX Mapping'!AG5&gt;=0,'(直掃)RX Mapping'!AG5&lt;=480)),
(MOD('(直掃)RX Mapping'!AG5,120)-1),
IF(
(AND('(直掃)RX Mapping'!AG5&gt;=480,'(直掃)RX Mapping'!AG5&lt;=960)),
IF(MOD('(直掃)RX Mapping'!AG5,120)=0, 120, 240-MOD('(直掃)RX Mapping'!AG5,120)),9999))+IF(AND(MOD('(直掃)RX Mapping'!AG5,120)=0, '(直掃)RX Mapping'!AG5 &lt;= 480,  '(直掃)RX Mapping'!AG5 &gt; 0), 120)</f>
        <v>-1</v>
      </c>
      <c r="AH5">
        <f>IF(
(AND('(直掃)RX Mapping'!AH5&gt;=0,'(直掃)RX Mapping'!AH5&lt;=480)),
(MOD('(直掃)RX Mapping'!AH5,120)-1),
IF(
(AND('(直掃)RX Mapping'!AH5&gt;=480,'(直掃)RX Mapping'!AH5&lt;=960)),
IF(MOD('(直掃)RX Mapping'!AH5,120)=0, 120, 240-MOD('(直掃)RX Mapping'!AH5,120)),9999))+IF(AND(MOD('(直掃)RX Mapping'!AH5,120)=0, '(直掃)RX Mapping'!AH5 &lt;= 480,  '(直掃)RX Mapping'!AH5 &gt; 0), 120)</f>
        <v>-1</v>
      </c>
      <c r="AI5">
        <f>IF(
(AND('(直掃)RX Mapping'!AI5&gt;=0,'(直掃)RX Mapping'!AI5&lt;=480)),
(MOD('(直掃)RX Mapping'!AI5,120)-1),
IF(
(AND('(直掃)RX Mapping'!AI5&gt;=480,'(直掃)RX Mapping'!AI5&lt;=960)),
IF(MOD('(直掃)RX Mapping'!AI5,120)=0, 120, 240-MOD('(直掃)RX Mapping'!AI5,120)),9999))+IF(AND(MOD('(直掃)RX Mapping'!AI5,120)=0, '(直掃)RX Mapping'!AI5 &lt;= 480,  '(直掃)RX Mapping'!AI5 &gt; 0), 120)</f>
        <v>-1</v>
      </c>
      <c r="AJ5">
        <f>IF(
(AND('(直掃)RX Mapping'!AJ5&gt;=0,'(直掃)RX Mapping'!AJ5&lt;=480)),
(MOD('(直掃)RX Mapping'!AJ5,120)-1),
IF(
(AND('(直掃)RX Mapping'!AJ5&gt;=480,'(直掃)RX Mapping'!AJ5&lt;=960)),
IF(MOD('(直掃)RX Mapping'!AJ5,120)=0, 120, 240-MOD('(直掃)RX Mapping'!AJ5,120)),9999))+IF(AND(MOD('(直掃)RX Mapping'!AJ5,120)=0, '(直掃)RX Mapping'!AJ5 &lt;= 480,  '(直掃)RX Mapping'!AJ5 &gt; 0), 120)</f>
        <v>-1</v>
      </c>
      <c r="AK5">
        <f>IF(
(AND('(直掃)RX Mapping'!AK5&gt;=0,'(直掃)RX Mapping'!AK5&lt;=480)),
(MOD('(直掃)RX Mapping'!AK5,120)-1),
IF(
(AND('(直掃)RX Mapping'!AK5&gt;=480,'(直掃)RX Mapping'!AK5&lt;=960)),
IF(MOD('(直掃)RX Mapping'!AK5,120)=0, 120, 240-MOD('(直掃)RX Mapping'!AK5,120)),9999))+IF(AND(MOD('(直掃)RX Mapping'!AK5,120)=0, '(直掃)RX Mapping'!AK5 &lt;= 480,  '(直掃)RX Mapping'!AK5 &gt; 0), 120)</f>
        <v>-1</v>
      </c>
      <c r="AL5">
        <f>IF(
(AND('(直掃)RX Mapping'!AL5&gt;=0,'(直掃)RX Mapping'!AL5&lt;=480)),
(MOD('(直掃)RX Mapping'!AL5,120)-1),
IF(
(AND('(直掃)RX Mapping'!AL5&gt;=480,'(直掃)RX Mapping'!AL5&lt;=960)),
IF(MOD('(直掃)RX Mapping'!AL5,120)=0, 120, 240-MOD('(直掃)RX Mapping'!AL5,120)),9999))+IF(AND(MOD('(直掃)RX Mapping'!AL5,120)=0, '(直掃)RX Mapping'!AL5 &lt;= 480,  '(直掃)RX Mapping'!AL5 &gt; 0), 120)</f>
        <v>-1</v>
      </c>
      <c r="AM5">
        <f>IF(
(AND('(直掃)RX Mapping'!AM5&gt;=0,'(直掃)RX Mapping'!AM5&lt;=480)),
(MOD('(直掃)RX Mapping'!AM5,120)-1),
IF(
(AND('(直掃)RX Mapping'!AM5&gt;=480,'(直掃)RX Mapping'!AM5&lt;=960)),
IF(MOD('(直掃)RX Mapping'!AM5,120)=0, 120, 240-MOD('(直掃)RX Mapping'!AM5,120)),9999))+IF(AND(MOD('(直掃)RX Mapping'!AM5,120)=0, '(直掃)RX Mapping'!AM5 &lt;= 480,  '(直掃)RX Mapping'!AM5 &gt; 0), 120)</f>
        <v>-1</v>
      </c>
      <c r="AN5">
        <f>IF(
(AND('(直掃)RX Mapping'!AN5&gt;=0,'(直掃)RX Mapping'!AN5&lt;=480)),
(MOD('(直掃)RX Mapping'!AN5,120)-1),
IF(
(AND('(直掃)RX Mapping'!AN5&gt;=480,'(直掃)RX Mapping'!AN5&lt;=960)),
IF(MOD('(直掃)RX Mapping'!AN5,120)=0, 120, 240-MOD('(直掃)RX Mapping'!AN5,120)),9999))+IF(AND(MOD('(直掃)RX Mapping'!AN5,120)=0, '(直掃)RX Mapping'!AN5 &lt;= 480,  '(直掃)RX Mapping'!AN5 &gt; 0), 120)</f>
        <v>-1</v>
      </c>
      <c r="AO5">
        <f>IF(
(AND('(直掃)RX Mapping'!AO5&gt;=0,'(直掃)RX Mapping'!AO5&lt;=480)),
(MOD('(直掃)RX Mapping'!AO5,120)-1),
IF(
(AND('(直掃)RX Mapping'!AO5&gt;=480,'(直掃)RX Mapping'!AO5&lt;=960)),
IF(MOD('(直掃)RX Mapping'!AO5,120)=0, 120, 240-MOD('(直掃)RX Mapping'!AO5,120)),9999))+IF(AND(MOD('(直掃)RX Mapping'!AO5,120)=0, '(直掃)RX Mapping'!AO5 &lt;= 480,  '(直掃)RX Mapping'!AO5 &gt; 0), 120)</f>
        <v>-1</v>
      </c>
      <c r="AP5">
        <f>IF(
(AND('(直掃)RX Mapping'!AP5&gt;=0,'(直掃)RX Mapping'!AP5&lt;=480)),
(MOD('(直掃)RX Mapping'!AP5,120)-1),
IF(
(AND('(直掃)RX Mapping'!AP5&gt;=480,'(直掃)RX Mapping'!AP5&lt;=960)),
IF(MOD('(直掃)RX Mapping'!AP5,120)=0, 120, 240-MOD('(直掃)RX Mapping'!AP5,120)),9999))+IF(AND(MOD('(直掃)RX Mapping'!AP5,120)=0, '(直掃)RX Mapping'!AP5 &lt;= 480,  '(直掃)RX Mapping'!AP5 &gt; 0), 120)</f>
        <v>-1</v>
      </c>
      <c r="AQ5">
        <f>IF(
(AND('(直掃)RX Mapping'!AQ5&gt;=0,'(直掃)RX Mapping'!AQ5&lt;=480)),
(MOD('(直掃)RX Mapping'!AQ5,120)-1),
IF(
(AND('(直掃)RX Mapping'!AQ5&gt;=480,'(直掃)RX Mapping'!AQ5&lt;=960)),
IF(MOD('(直掃)RX Mapping'!AQ5,120)=0, 120, 240-MOD('(直掃)RX Mapping'!AQ5,120)),9999))+IF(AND(MOD('(直掃)RX Mapping'!AQ5,120)=0, '(直掃)RX Mapping'!AQ5 &lt;= 480,  '(直掃)RX Mapping'!AQ5 &gt; 0), 120)</f>
        <v>-1</v>
      </c>
      <c r="AR5">
        <f>IF(
(AND('(直掃)RX Mapping'!AR5&gt;=0,'(直掃)RX Mapping'!AR5&lt;=480)),
(MOD('(直掃)RX Mapping'!AR5,120)-1),
IF(
(AND('(直掃)RX Mapping'!AR5&gt;=480,'(直掃)RX Mapping'!AR5&lt;=960)),
IF(MOD('(直掃)RX Mapping'!AR5,120)=0, 120, 240-MOD('(直掃)RX Mapping'!AR5,120)),9999))+IF(AND(MOD('(直掃)RX Mapping'!AR5,120)=0, '(直掃)RX Mapping'!AR5 &lt;= 480,  '(直掃)RX Mapping'!AR5 &gt; 0), 120)</f>
        <v>-1</v>
      </c>
      <c r="AS5">
        <f>IF(
(AND('(直掃)RX Mapping'!AS5&gt;=0,'(直掃)RX Mapping'!AS5&lt;=480)),
(MOD('(直掃)RX Mapping'!AS5,120)-1),
IF(
(AND('(直掃)RX Mapping'!AS5&gt;=480,'(直掃)RX Mapping'!AS5&lt;=960)),
IF(MOD('(直掃)RX Mapping'!AS5,120)=0, 120, 240-MOD('(直掃)RX Mapping'!AS5,120)),9999))+IF(AND(MOD('(直掃)RX Mapping'!AS5,120)=0, '(直掃)RX Mapping'!AS5 &lt;= 480,  '(直掃)RX Mapping'!AS5 &gt; 0), 120)</f>
        <v>-1</v>
      </c>
      <c r="AT5">
        <f>IF(AND('(橫掃)RX Mapping'!AT5&gt;=1,'(橫掃)RX Mapping'!AT5&lt;=120), ('(橫掃)RX Mapping'!AT5-1),IF(AND('(橫掃)RX Mapping'!AT5&gt;=121,'(橫掃)RX Mapping'!AT5&lt;=240), (-1)*('(橫掃)RX Mapping'!AT5-240),IF(AND('(橫掃)RX Mapping'!AT5&gt;=241,'(橫掃)RX Mapping'!AT5&lt;=360), ('(橫掃)RX Mapping'!AT5-241),IF(AND('(橫掃)RX Mapping'!AT5&gt;=361,'(橫掃)RX Mapping'!AT5&lt;=480), (-1)*('(橫掃)RX Mapping'!AT5-480),IF(AND('(橫掃)RX Mapping'!AT5&gt;=481,'(橫掃)RX Mapping'!AT5&lt;=600), ('(橫掃)RX Mapping'!AT5-361),IF(AND('(橫掃)RX Mapping'!AT5&gt;=601,'(橫掃)RX Mapping'!AT5&lt;=720), (-1)*('(橫掃)RX Mapping'!AT5-720)+120,IF(AND('(橫掃)RX Mapping'!AT5&gt;=721,'(橫掃)RX Mapping'!AT5&lt;=840), ('(橫掃)RX Mapping'!AT5-601),IF(AND('(橫掃)RX Mapping'!AT5&gt;=841,'(橫掃)RX Mapping'!AT5&lt;=960), (-1)*('(橫掃)RX Mapping'!AT5-960)+120,9999))))))))</f>
        <v>9999</v>
      </c>
      <c r="AU5">
        <f>IF(AND('(橫掃)RX Mapping'!AU5&gt;=1,'(橫掃)RX Mapping'!AU5&lt;=120), ('(橫掃)RX Mapping'!AU5-1),IF(AND('(橫掃)RX Mapping'!AU5&gt;=121,'(橫掃)RX Mapping'!AU5&lt;=240), (-1)*('(橫掃)RX Mapping'!AU5-240),IF(AND('(橫掃)RX Mapping'!AU5&gt;=241,'(橫掃)RX Mapping'!AU5&lt;=360), ('(橫掃)RX Mapping'!AU5-241),IF(AND('(橫掃)RX Mapping'!AU5&gt;=361,'(橫掃)RX Mapping'!AU5&lt;=480), (-1)*('(橫掃)RX Mapping'!AU5-480),IF(AND('(橫掃)RX Mapping'!AU5&gt;=481,'(橫掃)RX Mapping'!AU5&lt;=600), ('(橫掃)RX Mapping'!AU5-361),IF(AND('(橫掃)RX Mapping'!AU5&gt;=601,'(橫掃)RX Mapping'!AU5&lt;=720), (-1)*('(橫掃)RX Mapping'!AU5-720)+120,IF(AND('(橫掃)RX Mapping'!AU5&gt;=721,'(橫掃)RX Mapping'!AU5&lt;=840), ('(橫掃)RX Mapping'!AU5-601),IF(AND('(橫掃)RX Mapping'!AU5&gt;=841,'(橫掃)RX Mapping'!AU5&lt;=960), (-1)*('(橫掃)RX Mapping'!AU5-960)+120,9999))))))))</f>
        <v>9999</v>
      </c>
      <c r="AV5">
        <f>IF(AND('(橫掃)RX Mapping'!AV5&gt;=1,'(橫掃)RX Mapping'!AV5&lt;=120), ('(橫掃)RX Mapping'!AV5-1),IF(AND('(橫掃)RX Mapping'!AV5&gt;=121,'(橫掃)RX Mapping'!AV5&lt;=240), (-1)*('(橫掃)RX Mapping'!AV5-240),IF(AND('(橫掃)RX Mapping'!AV5&gt;=241,'(橫掃)RX Mapping'!AV5&lt;=360), ('(橫掃)RX Mapping'!AV5-241),IF(AND('(橫掃)RX Mapping'!AV5&gt;=361,'(橫掃)RX Mapping'!AV5&lt;=480), (-1)*('(橫掃)RX Mapping'!AV5-480),IF(AND('(橫掃)RX Mapping'!AV5&gt;=481,'(橫掃)RX Mapping'!AV5&lt;=600), ('(橫掃)RX Mapping'!AV5-361),IF(AND('(橫掃)RX Mapping'!AV5&gt;=601,'(橫掃)RX Mapping'!AV5&lt;=720), (-1)*('(橫掃)RX Mapping'!AV5-720)+120,IF(AND('(橫掃)RX Mapping'!AV5&gt;=721,'(橫掃)RX Mapping'!AV5&lt;=840), ('(橫掃)RX Mapping'!AV5-601),IF(AND('(橫掃)RX Mapping'!AV5&gt;=841,'(橫掃)RX Mapping'!AV5&lt;=960), (-1)*('(橫掃)RX Mapping'!AV5-960)+120,9999))))))))</f>
        <v>9999</v>
      </c>
      <c r="AW5">
        <f>IF(AND('(橫掃)RX Mapping'!AW5&gt;=1,'(橫掃)RX Mapping'!AW5&lt;=120), ('(橫掃)RX Mapping'!AW5-1),IF(AND('(橫掃)RX Mapping'!AW5&gt;=121,'(橫掃)RX Mapping'!AW5&lt;=240), (-1)*('(橫掃)RX Mapping'!AW5-240),IF(AND('(橫掃)RX Mapping'!AW5&gt;=241,'(橫掃)RX Mapping'!AW5&lt;=360), ('(橫掃)RX Mapping'!AW5-241),IF(AND('(橫掃)RX Mapping'!AW5&gt;=361,'(橫掃)RX Mapping'!AW5&lt;=480), (-1)*('(橫掃)RX Mapping'!AW5-480),IF(AND('(橫掃)RX Mapping'!AW5&gt;=481,'(橫掃)RX Mapping'!AW5&lt;=600), ('(橫掃)RX Mapping'!AW5-361),IF(AND('(橫掃)RX Mapping'!AW5&gt;=601,'(橫掃)RX Mapping'!AW5&lt;=720), (-1)*('(橫掃)RX Mapping'!AW5-720)+120,IF(AND('(橫掃)RX Mapping'!AW5&gt;=721,'(橫掃)RX Mapping'!AW5&lt;=840), ('(橫掃)RX Mapping'!AW5-601),IF(AND('(橫掃)RX Mapping'!AW5&gt;=841,'(橫掃)RX Mapping'!AW5&lt;=960), (-1)*('(橫掃)RX Mapping'!AW5-960)+120,9999))))))))</f>
        <v>9999</v>
      </c>
      <c r="AX5">
        <f>IF(AND('(橫掃)RX Mapping'!AX5&gt;=1,'(橫掃)RX Mapping'!AX5&lt;=120), ('(橫掃)RX Mapping'!AX5-1),IF(AND('(橫掃)RX Mapping'!AX5&gt;=121,'(橫掃)RX Mapping'!AX5&lt;=240), (-1)*('(橫掃)RX Mapping'!AX5-240),IF(AND('(橫掃)RX Mapping'!AX5&gt;=241,'(橫掃)RX Mapping'!AX5&lt;=360), ('(橫掃)RX Mapping'!AX5-241),IF(AND('(橫掃)RX Mapping'!AX5&gt;=361,'(橫掃)RX Mapping'!AX5&lt;=480), (-1)*('(橫掃)RX Mapping'!AX5-480),IF(AND('(橫掃)RX Mapping'!AX5&gt;=481,'(橫掃)RX Mapping'!AX5&lt;=600), ('(橫掃)RX Mapping'!AX5-361),IF(AND('(橫掃)RX Mapping'!AX5&gt;=601,'(橫掃)RX Mapping'!AX5&lt;=720), (-1)*('(橫掃)RX Mapping'!AX5-720)+120,IF(AND('(橫掃)RX Mapping'!AX5&gt;=721,'(橫掃)RX Mapping'!AX5&lt;=840), ('(橫掃)RX Mapping'!AX5-601),IF(AND('(橫掃)RX Mapping'!AX5&gt;=841,'(橫掃)RX Mapping'!AX5&lt;=960), (-1)*('(橫掃)RX Mapping'!AX5-960)+120,9999))))))))</f>
        <v>9999</v>
      </c>
      <c r="AY5">
        <f>IF(AND('(橫掃)RX Mapping'!AY5&gt;=1,'(橫掃)RX Mapping'!AY5&lt;=120), ('(橫掃)RX Mapping'!AY5-1),IF(AND('(橫掃)RX Mapping'!AY5&gt;=121,'(橫掃)RX Mapping'!AY5&lt;=240), (-1)*('(橫掃)RX Mapping'!AY5-240),IF(AND('(橫掃)RX Mapping'!AY5&gt;=241,'(橫掃)RX Mapping'!AY5&lt;=360), ('(橫掃)RX Mapping'!AY5-241),IF(AND('(橫掃)RX Mapping'!AY5&gt;=361,'(橫掃)RX Mapping'!AY5&lt;=480), (-1)*('(橫掃)RX Mapping'!AY5-480),IF(AND('(橫掃)RX Mapping'!AY5&gt;=481,'(橫掃)RX Mapping'!AY5&lt;=600), ('(橫掃)RX Mapping'!AY5-361),IF(AND('(橫掃)RX Mapping'!AY5&gt;=601,'(橫掃)RX Mapping'!AY5&lt;=720), (-1)*('(橫掃)RX Mapping'!AY5-720)+120,IF(AND('(橫掃)RX Mapping'!AY5&gt;=721,'(橫掃)RX Mapping'!AY5&lt;=840), ('(橫掃)RX Mapping'!AY5-601),IF(AND('(橫掃)RX Mapping'!AY5&gt;=841,'(橫掃)RX Mapping'!AY5&lt;=960), (-1)*('(橫掃)RX Mapping'!AY5-960)+120,9999))))))))</f>
        <v>9999</v>
      </c>
      <c r="AZ5">
        <f>IF(AND('(橫掃)RX Mapping'!AZ5&gt;=1,'(橫掃)RX Mapping'!AZ5&lt;=120), ('(橫掃)RX Mapping'!AZ5-1),IF(AND('(橫掃)RX Mapping'!AZ5&gt;=121,'(橫掃)RX Mapping'!AZ5&lt;=240), (-1)*('(橫掃)RX Mapping'!AZ5-240),IF(AND('(橫掃)RX Mapping'!AZ5&gt;=241,'(橫掃)RX Mapping'!AZ5&lt;=360), ('(橫掃)RX Mapping'!AZ5-241),IF(AND('(橫掃)RX Mapping'!AZ5&gt;=361,'(橫掃)RX Mapping'!AZ5&lt;=480), (-1)*('(橫掃)RX Mapping'!AZ5-480),IF(AND('(橫掃)RX Mapping'!AZ5&gt;=481,'(橫掃)RX Mapping'!AZ5&lt;=600), ('(橫掃)RX Mapping'!AZ5-361),IF(AND('(橫掃)RX Mapping'!AZ5&gt;=601,'(橫掃)RX Mapping'!AZ5&lt;=720), (-1)*('(橫掃)RX Mapping'!AZ5-720)+120,IF(AND('(橫掃)RX Mapping'!AZ5&gt;=721,'(橫掃)RX Mapping'!AZ5&lt;=840), ('(橫掃)RX Mapping'!AZ5-601),IF(AND('(橫掃)RX Mapping'!AZ5&gt;=841,'(橫掃)RX Mapping'!AZ5&lt;=960), (-1)*('(橫掃)RX Mapping'!AZ5-960)+120,9999))))))))</f>
        <v>9999</v>
      </c>
      <c r="BA5">
        <f>IF(AND('(橫掃)RX Mapping'!BA5&gt;=1,'(橫掃)RX Mapping'!BA5&lt;=120), ('(橫掃)RX Mapping'!BA5-1),IF(AND('(橫掃)RX Mapping'!BA5&gt;=121,'(橫掃)RX Mapping'!BA5&lt;=240), (-1)*('(橫掃)RX Mapping'!BA5-240),IF(AND('(橫掃)RX Mapping'!BA5&gt;=241,'(橫掃)RX Mapping'!BA5&lt;=360), ('(橫掃)RX Mapping'!BA5-241),IF(AND('(橫掃)RX Mapping'!BA5&gt;=361,'(橫掃)RX Mapping'!BA5&lt;=480), (-1)*('(橫掃)RX Mapping'!BA5-480),IF(AND('(橫掃)RX Mapping'!BA5&gt;=481,'(橫掃)RX Mapping'!BA5&lt;=600), ('(橫掃)RX Mapping'!BA5-361),IF(AND('(橫掃)RX Mapping'!BA5&gt;=601,'(橫掃)RX Mapping'!BA5&lt;=720), (-1)*('(橫掃)RX Mapping'!BA5-720)+120,IF(AND('(橫掃)RX Mapping'!BA5&gt;=721,'(橫掃)RX Mapping'!BA5&lt;=840), ('(橫掃)RX Mapping'!BA5-601),IF(AND('(橫掃)RX Mapping'!BA5&gt;=841,'(橫掃)RX Mapping'!BA5&lt;=960), (-1)*('(橫掃)RX Mapping'!BA5-960)+120,9999))))))))</f>
        <v>9999</v>
      </c>
      <c r="BB5">
        <f>IF(AND('(橫掃)RX Mapping'!BB5&gt;=1,'(橫掃)RX Mapping'!BB5&lt;=120), ('(橫掃)RX Mapping'!BB5-1),IF(AND('(橫掃)RX Mapping'!BB5&gt;=121,'(橫掃)RX Mapping'!BB5&lt;=240), (-1)*('(橫掃)RX Mapping'!BB5-240),IF(AND('(橫掃)RX Mapping'!BB5&gt;=241,'(橫掃)RX Mapping'!BB5&lt;=360), ('(橫掃)RX Mapping'!BB5-241),IF(AND('(橫掃)RX Mapping'!BB5&gt;=361,'(橫掃)RX Mapping'!BB5&lt;=480), (-1)*('(橫掃)RX Mapping'!BB5-480),IF(AND('(橫掃)RX Mapping'!BB5&gt;=481,'(橫掃)RX Mapping'!BB5&lt;=600), ('(橫掃)RX Mapping'!BB5-361),IF(AND('(橫掃)RX Mapping'!BB5&gt;=601,'(橫掃)RX Mapping'!BB5&lt;=720), (-1)*('(橫掃)RX Mapping'!BB5-720)+120,IF(AND('(橫掃)RX Mapping'!BB5&gt;=721,'(橫掃)RX Mapping'!BB5&lt;=840), ('(橫掃)RX Mapping'!BB5-601),IF(AND('(橫掃)RX Mapping'!BB5&gt;=841,'(橫掃)RX Mapping'!BB5&lt;=960), (-1)*('(橫掃)RX Mapping'!BB5-960)+120,9999))))))))</f>
        <v>9999</v>
      </c>
      <c r="BC5">
        <f>IF(AND('(橫掃)RX Mapping'!BC5&gt;=1,'(橫掃)RX Mapping'!BC5&lt;=120), ('(橫掃)RX Mapping'!BC5-1),IF(AND('(橫掃)RX Mapping'!BC5&gt;=121,'(橫掃)RX Mapping'!BC5&lt;=240), (-1)*('(橫掃)RX Mapping'!BC5-240),IF(AND('(橫掃)RX Mapping'!BC5&gt;=241,'(橫掃)RX Mapping'!BC5&lt;=360), ('(橫掃)RX Mapping'!BC5-241),IF(AND('(橫掃)RX Mapping'!BC5&gt;=361,'(橫掃)RX Mapping'!BC5&lt;=480), (-1)*('(橫掃)RX Mapping'!BC5-480),IF(AND('(橫掃)RX Mapping'!BC5&gt;=481,'(橫掃)RX Mapping'!BC5&lt;=600), ('(橫掃)RX Mapping'!BC5-361),IF(AND('(橫掃)RX Mapping'!BC5&gt;=601,'(橫掃)RX Mapping'!BC5&lt;=720), (-1)*('(橫掃)RX Mapping'!BC5-720)+120,IF(AND('(橫掃)RX Mapping'!BC5&gt;=721,'(橫掃)RX Mapping'!BC5&lt;=840), ('(橫掃)RX Mapping'!BC5-601),IF(AND('(橫掃)RX Mapping'!BC5&gt;=841,'(橫掃)RX Mapping'!BC5&lt;=960), (-1)*('(橫掃)RX Mapping'!BC5-960)+120,9999))))))))</f>
        <v>9999</v>
      </c>
      <c r="BD5">
        <f>IF(AND('(橫掃)RX Mapping'!BD5&gt;=1,'(橫掃)RX Mapping'!BD5&lt;=120), ('(橫掃)RX Mapping'!BD5-1),IF(AND('(橫掃)RX Mapping'!BD5&gt;=121,'(橫掃)RX Mapping'!BD5&lt;=240), (-1)*('(橫掃)RX Mapping'!BD5-240),IF(AND('(橫掃)RX Mapping'!BD5&gt;=241,'(橫掃)RX Mapping'!BD5&lt;=360), ('(橫掃)RX Mapping'!BD5-241),IF(AND('(橫掃)RX Mapping'!BD5&gt;=361,'(橫掃)RX Mapping'!BD5&lt;=480), (-1)*('(橫掃)RX Mapping'!BD5-480),IF(AND('(橫掃)RX Mapping'!BD5&gt;=481,'(橫掃)RX Mapping'!BD5&lt;=600), ('(橫掃)RX Mapping'!BD5-361),IF(AND('(橫掃)RX Mapping'!BD5&gt;=601,'(橫掃)RX Mapping'!BD5&lt;=720), (-1)*('(橫掃)RX Mapping'!BD5-720)+120,IF(AND('(橫掃)RX Mapping'!BD5&gt;=721,'(橫掃)RX Mapping'!BD5&lt;=840), ('(橫掃)RX Mapping'!BD5-601),IF(AND('(橫掃)RX Mapping'!BD5&gt;=841,'(橫掃)RX Mapping'!BD5&lt;=960), (-1)*('(橫掃)RX Mapping'!BD5-960)+120,9999))))))))</f>
        <v>9999</v>
      </c>
      <c r="BE5">
        <f>IF(AND('(橫掃)RX Mapping'!BE5&gt;=1,'(橫掃)RX Mapping'!BE5&lt;=120), ('(橫掃)RX Mapping'!BE5-1),IF(AND('(橫掃)RX Mapping'!BE5&gt;=121,'(橫掃)RX Mapping'!BE5&lt;=240), (-1)*('(橫掃)RX Mapping'!BE5-240),IF(AND('(橫掃)RX Mapping'!BE5&gt;=241,'(橫掃)RX Mapping'!BE5&lt;=360), ('(橫掃)RX Mapping'!BE5-241),IF(AND('(橫掃)RX Mapping'!BE5&gt;=361,'(橫掃)RX Mapping'!BE5&lt;=480), (-1)*('(橫掃)RX Mapping'!BE5-480),IF(AND('(橫掃)RX Mapping'!BE5&gt;=481,'(橫掃)RX Mapping'!BE5&lt;=600), ('(橫掃)RX Mapping'!BE5-361),IF(AND('(橫掃)RX Mapping'!BE5&gt;=601,'(橫掃)RX Mapping'!BE5&lt;=720), (-1)*('(橫掃)RX Mapping'!BE5-720)+120,IF(AND('(橫掃)RX Mapping'!BE5&gt;=721,'(橫掃)RX Mapping'!BE5&lt;=840), ('(橫掃)RX Mapping'!BE5-601),IF(AND('(橫掃)RX Mapping'!BE5&gt;=841,'(橫掃)RX Mapping'!BE5&lt;=960), (-1)*('(橫掃)RX Mapping'!BE5-960)+120,9999))))))))</f>
        <v>9999</v>
      </c>
      <c r="BF5">
        <f>IF(AND('(橫掃)RX Mapping'!BF5&gt;=1,'(橫掃)RX Mapping'!BF5&lt;=120), ('(橫掃)RX Mapping'!BF5-1),IF(AND('(橫掃)RX Mapping'!BF5&gt;=121,'(橫掃)RX Mapping'!BF5&lt;=240), (-1)*('(橫掃)RX Mapping'!BF5-240),IF(AND('(橫掃)RX Mapping'!BF5&gt;=241,'(橫掃)RX Mapping'!BF5&lt;=360), ('(橫掃)RX Mapping'!BF5-241),IF(AND('(橫掃)RX Mapping'!BF5&gt;=361,'(橫掃)RX Mapping'!BF5&lt;=480), (-1)*('(橫掃)RX Mapping'!BF5-480),IF(AND('(橫掃)RX Mapping'!BF5&gt;=481,'(橫掃)RX Mapping'!BF5&lt;=600), ('(橫掃)RX Mapping'!BF5-361),IF(AND('(橫掃)RX Mapping'!BF5&gt;=601,'(橫掃)RX Mapping'!BF5&lt;=720), (-1)*('(橫掃)RX Mapping'!BF5-720)+120,IF(AND('(橫掃)RX Mapping'!BF5&gt;=721,'(橫掃)RX Mapping'!BF5&lt;=840), ('(橫掃)RX Mapping'!BF5-601),IF(AND('(橫掃)RX Mapping'!BF5&gt;=841,'(橫掃)RX Mapping'!BF5&lt;=960), (-1)*('(橫掃)RX Mapping'!BF5-960)+120,9999))))))))</f>
        <v>9999</v>
      </c>
      <c r="BG5">
        <f>IF(AND('(橫掃)RX Mapping'!BG5&gt;=1,'(橫掃)RX Mapping'!BG5&lt;=120), ('(橫掃)RX Mapping'!BG5-1),IF(AND('(橫掃)RX Mapping'!BG5&gt;=121,'(橫掃)RX Mapping'!BG5&lt;=240), (-1)*('(橫掃)RX Mapping'!BG5-240),IF(AND('(橫掃)RX Mapping'!BG5&gt;=241,'(橫掃)RX Mapping'!BG5&lt;=360), ('(橫掃)RX Mapping'!BG5-241),IF(AND('(橫掃)RX Mapping'!BG5&gt;=361,'(橫掃)RX Mapping'!BG5&lt;=480), (-1)*('(橫掃)RX Mapping'!BG5-480),IF(AND('(橫掃)RX Mapping'!BG5&gt;=481,'(橫掃)RX Mapping'!BG5&lt;=600), ('(橫掃)RX Mapping'!BG5-361),IF(AND('(橫掃)RX Mapping'!BG5&gt;=601,'(橫掃)RX Mapping'!BG5&lt;=720), (-1)*('(橫掃)RX Mapping'!BG5-720)+120,IF(AND('(橫掃)RX Mapping'!BG5&gt;=721,'(橫掃)RX Mapping'!BG5&lt;=840), ('(橫掃)RX Mapping'!BG5-601),IF(AND('(橫掃)RX Mapping'!BG5&gt;=841,'(橫掃)RX Mapping'!BG5&lt;=960), (-1)*('(橫掃)RX Mapping'!BG5-960)+120,9999))))))))</f>
        <v>9999</v>
      </c>
      <c r="BH5">
        <f>IF(AND('(橫掃)RX Mapping'!BH5&gt;=1,'(橫掃)RX Mapping'!BH5&lt;=120), ('(橫掃)RX Mapping'!BH5-1),IF(AND('(橫掃)RX Mapping'!BH5&gt;=121,'(橫掃)RX Mapping'!BH5&lt;=240), (-1)*('(橫掃)RX Mapping'!BH5-240),IF(AND('(橫掃)RX Mapping'!BH5&gt;=241,'(橫掃)RX Mapping'!BH5&lt;=360), ('(橫掃)RX Mapping'!BH5-241),IF(AND('(橫掃)RX Mapping'!BH5&gt;=361,'(橫掃)RX Mapping'!BH5&lt;=480), (-1)*('(橫掃)RX Mapping'!BH5-480),IF(AND('(橫掃)RX Mapping'!BH5&gt;=481,'(橫掃)RX Mapping'!BH5&lt;=600), ('(橫掃)RX Mapping'!BH5-361),IF(AND('(橫掃)RX Mapping'!BH5&gt;=601,'(橫掃)RX Mapping'!BH5&lt;=720), (-1)*('(橫掃)RX Mapping'!BH5-720)+120,IF(AND('(橫掃)RX Mapping'!BH5&gt;=721,'(橫掃)RX Mapping'!BH5&lt;=840), ('(橫掃)RX Mapping'!BH5-601),IF(AND('(橫掃)RX Mapping'!BH5&gt;=841,'(橫掃)RX Mapping'!BH5&lt;=960), (-1)*('(橫掃)RX Mapping'!BH5-960)+120,9999))))))))</f>
        <v>9999</v>
      </c>
      <c r="BI5">
        <f>IF(AND('(橫掃)RX Mapping'!BI5&gt;=1,'(橫掃)RX Mapping'!BI5&lt;=120), ('(橫掃)RX Mapping'!BI5-1),IF(AND('(橫掃)RX Mapping'!BI5&gt;=121,'(橫掃)RX Mapping'!BI5&lt;=240), (-1)*('(橫掃)RX Mapping'!BI5-240),IF(AND('(橫掃)RX Mapping'!BI5&gt;=241,'(橫掃)RX Mapping'!BI5&lt;=360), ('(橫掃)RX Mapping'!BI5-241),IF(AND('(橫掃)RX Mapping'!BI5&gt;=361,'(橫掃)RX Mapping'!BI5&lt;=480), (-1)*('(橫掃)RX Mapping'!BI5-480),IF(AND('(橫掃)RX Mapping'!BI5&gt;=481,'(橫掃)RX Mapping'!BI5&lt;=600), ('(橫掃)RX Mapping'!BI5-361),IF(AND('(橫掃)RX Mapping'!BI5&gt;=601,'(橫掃)RX Mapping'!BI5&lt;=720), (-1)*('(橫掃)RX Mapping'!BI5-720)+120,IF(AND('(橫掃)RX Mapping'!BI5&gt;=721,'(橫掃)RX Mapping'!BI5&lt;=840), ('(橫掃)RX Mapping'!BI5-601),IF(AND('(橫掃)RX Mapping'!BI5&gt;=841,'(橫掃)RX Mapping'!BI5&lt;=960), (-1)*('(橫掃)RX Mapping'!BI5-960)+120,9999))))))))</f>
        <v>9999</v>
      </c>
    </row>
    <row r="6" spans="1:61" x14ac:dyDescent="0.25">
      <c r="A6" s="20">
        <v>5</v>
      </c>
      <c r="B6">
        <f>IF(
(AND('(直掃)RX Mapping'!B6&gt;=0,'(直掃)RX Mapping'!B6&lt;=480)),
(MOD('(直掃)RX Mapping'!B6,120)-1),
IF(
(AND('(直掃)RX Mapping'!B6&gt;=480,'(直掃)RX Mapping'!B6&lt;=960)),
IF(MOD('(直掃)RX Mapping'!B6,120)=0, 120, 240-MOD('(直掃)RX Mapping'!B6,120)),9999))+IF(AND(MOD('(直掃)RX Mapping'!B6,120)=0, '(直掃)RX Mapping'!B6 &lt;= 480,  '(直掃)RX Mapping'!B6 &gt; 0), 120)</f>
        <v>124</v>
      </c>
      <c r="C6">
        <f>IF(
(AND('(直掃)RX Mapping'!C6&gt;=0,'(直掃)RX Mapping'!C6&lt;=480)),
(MOD('(直掃)RX Mapping'!C6,120)-1),
IF(
(AND('(直掃)RX Mapping'!C6&gt;=480,'(直掃)RX Mapping'!C6&lt;=960)),
IF(MOD('(直掃)RX Mapping'!C6,120)=0, 120, 240-MOD('(直掃)RX Mapping'!C6,120)),9999))+IF(AND(MOD('(直掃)RX Mapping'!C6,120)=0, '(直掃)RX Mapping'!C6 &lt;= 480,  '(直掃)RX Mapping'!C6 &gt; 0), 120)</f>
        <v>154</v>
      </c>
      <c r="D6">
        <f>IF(
(AND('(直掃)RX Mapping'!D6&gt;=0,'(直掃)RX Mapping'!D6&lt;=480)),
(MOD('(直掃)RX Mapping'!D6,120)-1),
IF(
(AND('(直掃)RX Mapping'!D6&gt;=480,'(直掃)RX Mapping'!D6&lt;=960)),
IF(MOD('(直掃)RX Mapping'!D6,120)=0, 120, 240-MOD('(直掃)RX Mapping'!D6,120)),9999))+IF(AND(MOD('(直掃)RX Mapping'!D6,120)=0, '(直掃)RX Mapping'!D6 &lt;= 480,  '(直掃)RX Mapping'!D6 &gt; 0), 120)</f>
        <v>184</v>
      </c>
      <c r="E6">
        <f>IF(
(AND('(直掃)RX Mapping'!E6&gt;=0,'(直掃)RX Mapping'!E6&lt;=480)),
(MOD('(直掃)RX Mapping'!E6,120)-1),
IF(
(AND('(直掃)RX Mapping'!E6&gt;=480,'(直掃)RX Mapping'!E6&lt;=960)),
IF(MOD('(直掃)RX Mapping'!E6,120)=0, 120, 240-MOD('(直掃)RX Mapping'!E6,120)),9999))+IF(AND(MOD('(直掃)RX Mapping'!E6,120)=0, '(直掃)RX Mapping'!E6 &lt;= 480,  '(直掃)RX Mapping'!E6 &gt; 0), 120)</f>
        <v>124</v>
      </c>
      <c r="F6">
        <f>IF(
(AND('(直掃)RX Mapping'!F6&gt;=0,'(直掃)RX Mapping'!F6&lt;=480)),
(MOD('(直掃)RX Mapping'!F6,120)-1),
IF(
(AND('(直掃)RX Mapping'!F6&gt;=480,'(直掃)RX Mapping'!F6&lt;=960)),
IF(MOD('(直掃)RX Mapping'!F6,120)=0, 120, 240-MOD('(直掃)RX Mapping'!F6,120)),9999))+IF(AND(MOD('(直掃)RX Mapping'!F6,120)=0, '(直掃)RX Mapping'!F6 &lt;= 480,  '(直掃)RX Mapping'!F6 &gt; 0), 120)</f>
        <v>154</v>
      </c>
      <c r="G6">
        <f>IF(
(AND('(直掃)RX Mapping'!G6&gt;=0,'(直掃)RX Mapping'!G6&lt;=480)),
(MOD('(直掃)RX Mapping'!G6,120)-1),
IF(
(AND('(直掃)RX Mapping'!G6&gt;=480,'(直掃)RX Mapping'!G6&lt;=960)),
IF(MOD('(直掃)RX Mapping'!G6,120)=0, 120, 240-MOD('(直掃)RX Mapping'!G6,120)),9999))+IF(AND(MOD('(直掃)RX Mapping'!G6,120)=0, '(直掃)RX Mapping'!G6 &lt;= 480,  '(直掃)RX Mapping'!G6 &gt; 0), 120)</f>
        <v>184</v>
      </c>
      <c r="H6">
        <f>IF(
(AND('(直掃)RX Mapping'!H6&gt;=0,'(直掃)RX Mapping'!H6&lt;=480)),
(MOD('(直掃)RX Mapping'!H6,120)-1),
IF(
(AND('(直掃)RX Mapping'!H6&gt;=480,'(直掃)RX Mapping'!H6&lt;=960)),
IF(MOD('(直掃)RX Mapping'!H6,120)=0, 120, 240-MOD('(直掃)RX Mapping'!H6,120)),9999))+IF(AND(MOD('(直掃)RX Mapping'!H6,120)=0, '(直掃)RX Mapping'!H6 &lt;= 480,  '(直掃)RX Mapping'!H6 &gt; 0), 120)</f>
        <v>124</v>
      </c>
      <c r="I6">
        <f>IF(
(AND('(直掃)RX Mapping'!I6&gt;=0,'(直掃)RX Mapping'!I6&lt;=480)),
(MOD('(直掃)RX Mapping'!I6,120)-1),
IF(
(AND('(直掃)RX Mapping'!I6&gt;=480,'(直掃)RX Mapping'!I6&lt;=960)),
IF(MOD('(直掃)RX Mapping'!I6,120)=0, 120, 240-MOD('(直掃)RX Mapping'!I6,120)),9999))+IF(AND(MOD('(直掃)RX Mapping'!I6,120)=0, '(直掃)RX Mapping'!I6 &lt;= 480,  '(直掃)RX Mapping'!I6 &gt; 0), 120)</f>
        <v>154</v>
      </c>
      <c r="J6">
        <f>IF(
(AND('(直掃)RX Mapping'!J6&gt;=0,'(直掃)RX Mapping'!J6&lt;=480)),
(MOD('(直掃)RX Mapping'!J6,120)-1),
IF(
(AND('(直掃)RX Mapping'!J6&gt;=480,'(直掃)RX Mapping'!J6&lt;=960)),
IF(MOD('(直掃)RX Mapping'!J6,120)=0, 120, 240-MOD('(直掃)RX Mapping'!J6,120)),9999))+IF(AND(MOD('(直掃)RX Mapping'!J6,120)=0, '(直掃)RX Mapping'!J6 &lt;= 480,  '(直掃)RX Mapping'!J6 &gt; 0), 120)</f>
        <v>184</v>
      </c>
      <c r="K6">
        <f>IF(
(AND('(直掃)RX Mapping'!K6&gt;=0,'(直掃)RX Mapping'!K6&lt;=480)),
(MOD('(直掃)RX Mapping'!K6,120)-1),
IF(
(AND('(直掃)RX Mapping'!K6&gt;=480,'(直掃)RX Mapping'!K6&lt;=960)),
IF(MOD('(直掃)RX Mapping'!K6,120)=0, 120, 240-MOD('(直掃)RX Mapping'!K6,120)),9999))+IF(AND(MOD('(直掃)RX Mapping'!K6,120)=0, '(直掃)RX Mapping'!K6 &lt;= 480,  '(直掃)RX Mapping'!K6 &gt; 0), 120)</f>
        <v>214</v>
      </c>
      <c r="L6">
        <f>IF(
(AND('(直掃)RX Mapping'!L6&gt;=0,'(直掃)RX Mapping'!L6&lt;=480)),
(MOD('(直掃)RX Mapping'!L6,120)-1),
IF(
(AND('(直掃)RX Mapping'!L6&gt;=480,'(直掃)RX Mapping'!L6&lt;=960)),
IF(MOD('(直掃)RX Mapping'!L6,120)=0, 120, 240-MOD('(直掃)RX Mapping'!L6,120)),9999))+IF(AND(MOD('(直掃)RX Mapping'!L6,120)=0, '(直掃)RX Mapping'!L6 &lt;= 480,  '(直掃)RX Mapping'!L6 &gt; 0), 120)</f>
        <v>124</v>
      </c>
      <c r="M6">
        <f>IF(
(AND('(直掃)RX Mapping'!M6&gt;=0,'(直掃)RX Mapping'!M6&lt;=480)),
(MOD('(直掃)RX Mapping'!M6,120)-1),
IF(
(AND('(直掃)RX Mapping'!M6&gt;=480,'(直掃)RX Mapping'!M6&lt;=960)),
IF(MOD('(直掃)RX Mapping'!M6,120)=0, 120, 240-MOD('(直掃)RX Mapping'!M6,120)),9999))+IF(AND(MOD('(直掃)RX Mapping'!M6,120)=0, '(直掃)RX Mapping'!M6 &lt;= 480,  '(直掃)RX Mapping'!M6 &gt; 0), 120)</f>
        <v>154</v>
      </c>
      <c r="N6">
        <f>IF(
(AND('(直掃)RX Mapping'!N6&gt;=0,'(直掃)RX Mapping'!N6&lt;=480)),
(MOD('(直掃)RX Mapping'!N6,120)-1),
IF(
(AND('(直掃)RX Mapping'!N6&gt;=480,'(直掃)RX Mapping'!N6&lt;=960)),
IF(MOD('(直掃)RX Mapping'!N6,120)=0, 120, 240-MOD('(直掃)RX Mapping'!N6,120)),9999))+IF(AND(MOD('(直掃)RX Mapping'!N6,120)=0, '(直掃)RX Mapping'!N6 &lt;= 480,  '(直掃)RX Mapping'!N6 &gt; 0), 120)</f>
        <v>184</v>
      </c>
      <c r="O6">
        <f>IF(
(AND('(直掃)RX Mapping'!O6&gt;=0,'(直掃)RX Mapping'!O6&lt;=480)),
(MOD('(直掃)RX Mapping'!O6,120)-1),
IF(
(AND('(直掃)RX Mapping'!O6&gt;=480,'(直掃)RX Mapping'!O6&lt;=960)),
IF(MOD('(直掃)RX Mapping'!O6,120)=0, 120, 240-MOD('(直掃)RX Mapping'!O6,120)),9999))+IF(AND(MOD('(直掃)RX Mapping'!O6,120)=0, '(直掃)RX Mapping'!O6 &lt;= 480,  '(直掃)RX Mapping'!O6 &gt; 0), 120)</f>
        <v>214</v>
      </c>
      <c r="P6">
        <f>IF(
(AND('(直掃)RX Mapping'!P6&gt;=0,'(直掃)RX Mapping'!P6&lt;=480)),
(MOD('(直掃)RX Mapping'!P6,120)-1),
IF(
(AND('(直掃)RX Mapping'!P6&gt;=480,'(直掃)RX Mapping'!P6&lt;=960)),
IF(MOD('(直掃)RX Mapping'!P6,120)=0, 120, 240-MOD('(直掃)RX Mapping'!P6,120)),9999))+IF(AND(MOD('(直掃)RX Mapping'!P6,120)=0, '(直掃)RX Mapping'!P6 &lt;= 480,  '(直掃)RX Mapping'!P6 &gt; 0), 120)</f>
        <v>115</v>
      </c>
      <c r="Q6">
        <f>IF(
(AND('(直掃)RX Mapping'!Q6&gt;=0,'(直掃)RX Mapping'!Q6&lt;=480)),
(MOD('(直掃)RX Mapping'!Q6,120)-1),
IF(
(AND('(直掃)RX Mapping'!Q6&gt;=480,'(直掃)RX Mapping'!Q6&lt;=960)),
IF(MOD('(直掃)RX Mapping'!Q6,120)=0, 120, 240-MOD('(直掃)RX Mapping'!Q6,120)),9999))+IF(AND(MOD('(直掃)RX Mapping'!Q6,120)=0, '(直掃)RX Mapping'!Q6 &lt;= 480,  '(直掃)RX Mapping'!Q6 &gt; 0), 120)</f>
        <v>85</v>
      </c>
      <c r="R6">
        <f>IF(
(AND('(直掃)RX Mapping'!R6&gt;=0,'(直掃)RX Mapping'!R6&lt;=480)),
(MOD('(直掃)RX Mapping'!R6,120)-1),
IF(
(AND('(直掃)RX Mapping'!R6&gt;=480,'(直掃)RX Mapping'!R6&lt;=960)),
IF(MOD('(直掃)RX Mapping'!R6,120)=0, 120, 240-MOD('(直掃)RX Mapping'!R6,120)),9999))+IF(AND(MOD('(直掃)RX Mapping'!R6,120)=0, '(直掃)RX Mapping'!R6 &lt;= 480,  '(直掃)RX Mapping'!R6 &gt; 0), 120)</f>
        <v>55</v>
      </c>
      <c r="S6">
        <f>IF(
(AND('(直掃)RX Mapping'!S6&gt;=0,'(直掃)RX Mapping'!S6&lt;=480)),
(MOD('(直掃)RX Mapping'!S6,120)-1),
IF(
(AND('(直掃)RX Mapping'!S6&gt;=480,'(直掃)RX Mapping'!S6&lt;=960)),
IF(MOD('(直掃)RX Mapping'!S6,120)=0, 120, 240-MOD('(直掃)RX Mapping'!S6,120)),9999))+IF(AND(MOD('(直掃)RX Mapping'!S6,120)=0, '(直掃)RX Mapping'!S6 &lt;= 480,  '(直掃)RX Mapping'!S6 &gt; 0), 120)</f>
        <v>25</v>
      </c>
      <c r="T6">
        <f>IF(
(AND('(直掃)RX Mapping'!T6&gt;=0,'(直掃)RX Mapping'!T6&lt;=480)),
(MOD('(直掃)RX Mapping'!T6,120)-1),
IF(
(AND('(直掃)RX Mapping'!T6&gt;=480,'(直掃)RX Mapping'!T6&lt;=960)),
IF(MOD('(直掃)RX Mapping'!T6,120)=0, 120, 240-MOD('(直掃)RX Mapping'!T6,120)),9999))+IF(AND(MOD('(直掃)RX Mapping'!T6,120)=0, '(直掃)RX Mapping'!T6 &lt;= 480,  '(直掃)RX Mapping'!T6 &gt; 0), 120)</f>
        <v>115</v>
      </c>
      <c r="U6">
        <f>IF(
(AND('(直掃)RX Mapping'!U6&gt;=0,'(直掃)RX Mapping'!U6&lt;=480)),
(MOD('(直掃)RX Mapping'!U6,120)-1),
IF(
(AND('(直掃)RX Mapping'!U6&gt;=480,'(直掃)RX Mapping'!U6&lt;=960)),
IF(MOD('(直掃)RX Mapping'!U6,120)=0, 120, 240-MOD('(直掃)RX Mapping'!U6,120)),9999))+IF(AND(MOD('(直掃)RX Mapping'!U6,120)=0, '(直掃)RX Mapping'!U6 &lt;= 480,  '(直掃)RX Mapping'!U6 &gt; 0), 120)</f>
        <v>85</v>
      </c>
      <c r="V6">
        <f>IF(
(AND('(直掃)RX Mapping'!V6&gt;=0,'(直掃)RX Mapping'!V6&lt;=480)),
(MOD('(直掃)RX Mapping'!V6,120)-1),
IF(
(AND('(直掃)RX Mapping'!V6&gt;=480,'(直掃)RX Mapping'!V6&lt;=960)),
IF(MOD('(直掃)RX Mapping'!V6,120)=0, 120, 240-MOD('(直掃)RX Mapping'!V6,120)),9999))+IF(AND(MOD('(直掃)RX Mapping'!V6,120)=0, '(直掃)RX Mapping'!V6 &lt;= 480,  '(直掃)RX Mapping'!V6 &gt; 0), 120)</f>
        <v>55</v>
      </c>
      <c r="W6">
        <f>IF(
(AND('(直掃)RX Mapping'!W6&gt;=0,'(直掃)RX Mapping'!W6&lt;=480)),
(MOD('(直掃)RX Mapping'!W6,120)-1),
IF(
(AND('(直掃)RX Mapping'!W6&gt;=480,'(直掃)RX Mapping'!W6&lt;=960)),
IF(MOD('(直掃)RX Mapping'!W6,120)=0, 120, 240-MOD('(直掃)RX Mapping'!W6,120)),9999))+IF(AND(MOD('(直掃)RX Mapping'!W6,120)=0, '(直掃)RX Mapping'!W6 &lt;= 480,  '(直掃)RX Mapping'!W6 &gt; 0), 120)</f>
        <v>25</v>
      </c>
      <c r="X6">
        <f>IF(
(AND('(直掃)RX Mapping'!X6&gt;=0,'(直掃)RX Mapping'!X6&lt;=480)),
(MOD('(直掃)RX Mapping'!X6,120)-1),
IF(
(AND('(直掃)RX Mapping'!X6&gt;=480,'(直掃)RX Mapping'!X6&lt;=960)),
IF(MOD('(直掃)RX Mapping'!X6,120)=0, 120, 240-MOD('(直掃)RX Mapping'!X6,120)),9999))+IF(AND(MOD('(直掃)RX Mapping'!X6,120)=0, '(直掃)RX Mapping'!X6 &lt;= 480,  '(直掃)RX Mapping'!X6 &gt; 0), 120)</f>
        <v>85</v>
      </c>
      <c r="Y6">
        <f>IF(
(AND('(直掃)RX Mapping'!Y6&gt;=0,'(直掃)RX Mapping'!Y6&lt;=480)),
(MOD('(直掃)RX Mapping'!Y6,120)-1),
IF(
(AND('(直掃)RX Mapping'!Y6&gt;=480,'(直掃)RX Mapping'!Y6&lt;=960)),
IF(MOD('(直掃)RX Mapping'!Y6,120)=0, 120, 240-MOD('(直掃)RX Mapping'!Y6,120)),9999))+IF(AND(MOD('(直掃)RX Mapping'!Y6,120)=0, '(直掃)RX Mapping'!Y6 &lt;= 480,  '(直掃)RX Mapping'!Y6 &gt; 0), 120)</f>
        <v>55</v>
      </c>
      <c r="Z6">
        <f>IF(
(AND('(直掃)RX Mapping'!Z6&gt;=0,'(直掃)RX Mapping'!Z6&lt;=480)),
(MOD('(直掃)RX Mapping'!Z6,120)-1),
IF(
(AND('(直掃)RX Mapping'!Z6&gt;=480,'(直掃)RX Mapping'!Z6&lt;=960)),
IF(MOD('(直掃)RX Mapping'!Z6,120)=0, 120, 240-MOD('(直掃)RX Mapping'!Z6,120)),9999))+IF(AND(MOD('(直掃)RX Mapping'!Z6,120)=0, '(直掃)RX Mapping'!Z6 &lt;= 480,  '(直掃)RX Mapping'!Z6 &gt; 0), 120)</f>
        <v>25</v>
      </c>
      <c r="AA6">
        <f>IF(
(AND('(直掃)RX Mapping'!AA6&gt;=0,'(直掃)RX Mapping'!AA6&lt;=480)),
(MOD('(直掃)RX Mapping'!AA6,120)-1),
IF(
(AND('(直掃)RX Mapping'!AA6&gt;=480,'(直掃)RX Mapping'!AA6&lt;=960)),
IF(MOD('(直掃)RX Mapping'!AA6,120)=0, 120, 240-MOD('(直掃)RX Mapping'!AA6,120)),9999))+IF(AND(MOD('(直掃)RX Mapping'!AA6,120)=0, '(直掃)RX Mapping'!AA6 &lt;= 480,  '(直掃)RX Mapping'!AA6 &gt; 0), 120)</f>
        <v>85</v>
      </c>
      <c r="AB6">
        <f>IF(
(AND('(直掃)RX Mapping'!AB6&gt;=0,'(直掃)RX Mapping'!AB6&lt;=480)),
(MOD('(直掃)RX Mapping'!AB6,120)-1),
IF(
(AND('(直掃)RX Mapping'!AB6&gt;=480,'(直掃)RX Mapping'!AB6&lt;=960)),
IF(MOD('(直掃)RX Mapping'!AB6,120)=0, 120, 240-MOD('(直掃)RX Mapping'!AB6,120)),9999))+IF(AND(MOD('(直掃)RX Mapping'!AB6,120)=0, '(直掃)RX Mapping'!AB6 &lt;= 480,  '(直掃)RX Mapping'!AB6 &gt; 0), 120)</f>
        <v>55</v>
      </c>
      <c r="AC6">
        <f>IF(
(AND('(直掃)RX Mapping'!AC6&gt;=0,'(直掃)RX Mapping'!AC6&lt;=480)),
(MOD('(直掃)RX Mapping'!AC6,120)-1),
IF(
(AND('(直掃)RX Mapping'!AC6&gt;=480,'(直掃)RX Mapping'!AC6&lt;=960)),
IF(MOD('(直掃)RX Mapping'!AC6,120)=0, 120, 240-MOD('(直掃)RX Mapping'!AC6,120)),9999))+IF(AND(MOD('(直掃)RX Mapping'!AC6,120)=0, '(直掃)RX Mapping'!AC6 &lt;= 480,  '(直掃)RX Mapping'!AC6 &gt; 0), 120)</f>
        <v>25</v>
      </c>
      <c r="AD6">
        <f>IF(
(AND('(直掃)RX Mapping'!AD6&gt;=0,'(直掃)RX Mapping'!AD6&lt;=480)),
(MOD('(直掃)RX Mapping'!AD6,120)-1),
IF(
(AND('(直掃)RX Mapping'!AD6&gt;=480,'(直掃)RX Mapping'!AD6&lt;=960)),
IF(MOD('(直掃)RX Mapping'!AD6,120)=0, 120, 240-MOD('(直掃)RX Mapping'!AD6,120)),9999))+IF(AND(MOD('(直掃)RX Mapping'!AD6,120)=0, '(直掃)RX Mapping'!AD6 &lt;= 480,  '(直掃)RX Mapping'!AD6 &gt; 0), 120)</f>
        <v>-1</v>
      </c>
      <c r="AE6">
        <f>IF(
(AND('(直掃)RX Mapping'!AE6&gt;=0,'(直掃)RX Mapping'!AE6&lt;=480)),
(MOD('(直掃)RX Mapping'!AE6,120)-1),
IF(
(AND('(直掃)RX Mapping'!AE6&gt;=480,'(直掃)RX Mapping'!AE6&lt;=960)),
IF(MOD('(直掃)RX Mapping'!AE6,120)=0, 120, 240-MOD('(直掃)RX Mapping'!AE6,120)),9999))+IF(AND(MOD('(直掃)RX Mapping'!AE6,120)=0, '(直掃)RX Mapping'!AE6 &lt;= 480,  '(直掃)RX Mapping'!AE6 &gt; 0), 120)</f>
        <v>-1</v>
      </c>
      <c r="AF6">
        <f>IF(
(AND('(直掃)RX Mapping'!AF6&gt;=0,'(直掃)RX Mapping'!AF6&lt;=480)),
(MOD('(直掃)RX Mapping'!AF6,120)-1),
IF(
(AND('(直掃)RX Mapping'!AF6&gt;=480,'(直掃)RX Mapping'!AF6&lt;=960)),
IF(MOD('(直掃)RX Mapping'!AF6,120)=0, 120, 240-MOD('(直掃)RX Mapping'!AF6,120)),9999))+IF(AND(MOD('(直掃)RX Mapping'!AF6,120)=0, '(直掃)RX Mapping'!AF6 &lt;= 480,  '(直掃)RX Mapping'!AF6 &gt; 0), 120)</f>
        <v>-1</v>
      </c>
      <c r="AG6">
        <f>IF(
(AND('(直掃)RX Mapping'!AG6&gt;=0,'(直掃)RX Mapping'!AG6&lt;=480)),
(MOD('(直掃)RX Mapping'!AG6,120)-1),
IF(
(AND('(直掃)RX Mapping'!AG6&gt;=480,'(直掃)RX Mapping'!AG6&lt;=960)),
IF(MOD('(直掃)RX Mapping'!AG6,120)=0, 120, 240-MOD('(直掃)RX Mapping'!AG6,120)),9999))+IF(AND(MOD('(直掃)RX Mapping'!AG6,120)=0, '(直掃)RX Mapping'!AG6 &lt;= 480,  '(直掃)RX Mapping'!AG6 &gt; 0), 120)</f>
        <v>-1</v>
      </c>
      <c r="AH6">
        <f>IF(
(AND('(直掃)RX Mapping'!AH6&gt;=0,'(直掃)RX Mapping'!AH6&lt;=480)),
(MOD('(直掃)RX Mapping'!AH6,120)-1),
IF(
(AND('(直掃)RX Mapping'!AH6&gt;=480,'(直掃)RX Mapping'!AH6&lt;=960)),
IF(MOD('(直掃)RX Mapping'!AH6,120)=0, 120, 240-MOD('(直掃)RX Mapping'!AH6,120)),9999))+IF(AND(MOD('(直掃)RX Mapping'!AH6,120)=0, '(直掃)RX Mapping'!AH6 &lt;= 480,  '(直掃)RX Mapping'!AH6 &gt; 0), 120)</f>
        <v>-1</v>
      </c>
      <c r="AI6">
        <f>IF(
(AND('(直掃)RX Mapping'!AI6&gt;=0,'(直掃)RX Mapping'!AI6&lt;=480)),
(MOD('(直掃)RX Mapping'!AI6,120)-1),
IF(
(AND('(直掃)RX Mapping'!AI6&gt;=480,'(直掃)RX Mapping'!AI6&lt;=960)),
IF(MOD('(直掃)RX Mapping'!AI6,120)=0, 120, 240-MOD('(直掃)RX Mapping'!AI6,120)),9999))+IF(AND(MOD('(直掃)RX Mapping'!AI6,120)=0, '(直掃)RX Mapping'!AI6 &lt;= 480,  '(直掃)RX Mapping'!AI6 &gt; 0), 120)</f>
        <v>-1</v>
      </c>
      <c r="AJ6">
        <f>IF(
(AND('(直掃)RX Mapping'!AJ6&gt;=0,'(直掃)RX Mapping'!AJ6&lt;=480)),
(MOD('(直掃)RX Mapping'!AJ6,120)-1),
IF(
(AND('(直掃)RX Mapping'!AJ6&gt;=480,'(直掃)RX Mapping'!AJ6&lt;=960)),
IF(MOD('(直掃)RX Mapping'!AJ6,120)=0, 120, 240-MOD('(直掃)RX Mapping'!AJ6,120)),9999))+IF(AND(MOD('(直掃)RX Mapping'!AJ6,120)=0, '(直掃)RX Mapping'!AJ6 &lt;= 480,  '(直掃)RX Mapping'!AJ6 &gt; 0), 120)</f>
        <v>-1</v>
      </c>
      <c r="AK6">
        <f>IF(
(AND('(直掃)RX Mapping'!AK6&gt;=0,'(直掃)RX Mapping'!AK6&lt;=480)),
(MOD('(直掃)RX Mapping'!AK6,120)-1),
IF(
(AND('(直掃)RX Mapping'!AK6&gt;=480,'(直掃)RX Mapping'!AK6&lt;=960)),
IF(MOD('(直掃)RX Mapping'!AK6,120)=0, 120, 240-MOD('(直掃)RX Mapping'!AK6,120)),9999))+IF(AND(MOD('(直掃)RX Mapping'!AK6,120)=0, '(直掃)RX Mapping'!AK6 &lt;= 480,  '(直掃)RX Mapping'!AK6 &gt; 0), 120)</f>
        <v>-1</v>
      </c>
      <c r="AL6">
        <f>IF(
(AND('(直掃)RX Mapping'!AL6&gt;=0,'(直掃)RX Mapping'!AL6&lt;=480)),
(MOD('(直掃)RX Mapping'!AL6,120)-1),
IF(
(AND('(直掃)RX Mapping'!AL6&gt;=480,'(直掃)RX Mapping'!AL6&lt;=960)),
IF(MOD('(直掃)RX Mapping'!AL6,120)=0, 120, 240-MOD('(直掃)RX Mapping'!AL6,120)),9999))+IF(AND(MOD('(直掃)RX Mapping'!AL6,120)=0, '(直掃)RX Mapping'!AL6 &lt;= 480,  '(直掃)RX Mapping'!AL6 &gt; 0), 120)</f>
        <v>-1</v>
      </c>
      <c r="AM6">
        <f>IF(
(AND('(直掃)RX Mapping'!AM6&gt;=0,'(直掃)RX Mapping'!AM6&lt;=480)),
(MOD('(直掃)RX Mapping'!AM6,120)-1),
IF(
(AND('(直掃)RX Mapping'!AM6&gt;=480,'(直掃)RX Mapping'!AM6&lt;=960)),
IF(MOD('(直掃)RX Mapping'!AM6,120)=0, 120, 240-MOD('(直掃)RX Mapping'!AM6,120)),9999))+IF(AND(MOD('(直掃)RX Mapping'!AM6,120)=0, '(直掃)RX Mapping'!AM6 &lt;= 480,  '(直掃)RX Mapping'!AM6 &gt; 0), 120)</f>
        <v>-1</v>
      </c>
      <c r="AN6">
        <f>IF(
(AND('(直掃)RX Mapping'!AN6&gt;=0,'(直掃)RX Mapping'!AN6&lt;=480)),
(MOD('(直掃)RX Mapping'!AN6,120)-1),
IF(
(AND('(直掃)RX Mapping'!AN6&gt;=480,'(直掃)RX Mapping'!AN6&lt;=960)),
IF(MOD('(直掃)RX Mapping'!AN6,120)=0, 120, 240-MOD('(直掃)RX Mapping'!AN6,120)),9999))+IF(AND(MOD('(直掃)RX Mapping'!AN6,120)=0, '(直掃)RX Mapping'!AN6 &lt;= 480,  '(直掃)RX Mapping'!AN6 &gt; 0), 120)</f>
        <v>-1</v>
      </c>
      <c r="AO6">
        <f>IF(
(AND('(直掃)RX Mapping'!AO6&gt;=0,'(直掃)RX Mapping'!AO6&lt;=480)),
(MOD('(直掃)RX Mapping'!AO6,120)-1),
IF(
(AND('(直掃)RX Mapping'!AO6&gt;=480,'(直掃)RX Mapping'!AO6&lt;=960)),
IF(MOD('(直掃)RX Mapping'!AO6,120)=0, 120, 240-MOD('(直掃)RX Mapping'!AO6,120)),9999))+IF(AND(MOD('(直掃)RX Mapping'!AO6,120)=0, '(直掃)RX Mapping'!AO6 &lt;= 480,  '(直掃)RX Mapping'!AO6 &gt; 0), 120)</f>
        <v>-1</v>
      </c>
      <c r="AP6">
        <f>IF(
(AND('(直掃)RX Mapping'!AP6&gt;=0,'(直掃)RX Mapping'!AP6&lt;=480)),
(MOD('(直掃)RX Mapping'!AP6,120)-1),
IF(
(AND('(直掃)RX Mapping'!AP6&gt;=480,'(直掃)RX Mapping'!AP6&lt;=960)),
IF(MOD('(直掃)RX Mapping'!AP6,120)=0, 120, 240-MOD('(直掃)RX Mapping'!AP6,120)),9999))+IF(AND(MOD('(直掃)RX Mapping'!AP6,120)=0, '(直掃)RX Mapping'!AP6 &lt;= 480,  '(直掃)RX Mapping'!AP6 &gt; 0), 120)</f>
        <v>-1</v>
      </c>
      <c r="AQ6">
        <f>IF(
(AND('(直掃)RX Mapping'!AQ6&gt;=0,'(直掃)RX Mapping'!AQ6&lt;=480)),
(MOD('(直掃)RX Mapping'!AQ6,120)-1),
IF(
(AND('(直掃)RX Mapping'!AQ6&gt;=480,'(直掃)RX Mapping'!AQ6&lt;=960)),
IF(MOD('(直掃)RX Mapping'!AQ6,120)=0, 120, 240-MOD('(直掃)RX Mapping'!AQ6,120)),9999))+IF(AND(MOD('(直掃)RX Mapping'!AQ6,120)=0, '(直掃)RX Mapping'!AQ6 &lt;= 480,  '(直掃)RX Mapping'!AQ6 &gt; 0), 120)</f>
        <v>-1</v>
      </c>
      <c r="AR6">
        <f>IF(
(AND('(直掃)RX Mapping'!AR6&gt;=0,'(直掃)RX Mapping'!AR6&lt;=480)),
(MOD('(直掃)RX Mapping'!AR6,120)-1),
IF(
(AND('(直掃)RX Mapping'!AR6&gt;=480,'(直掃)RX Mapping'!AR6&lt;=960)),
IF(MOD('(直掃)RX Mapping'!AR6,120)=0, 120, 240-MOD('(直掃)RX Mapping'!AR6,120)),9999))+IF(AND(MOD('(直掃)RX Mapping'!AR6,120)=0, '(直掃)RX Mapping'!AR6 &lt;= 480,  '(直掃)RX Mapping'!AR6 &gt; 0), 120)</f>
        <v>-1</v>
      </c>
      <c r="AS6">
        <f>IF(
(AND('(直掃)RX Mapping'!AS6&gt;=0,'(直掃)RX Mapping'!AS6&lt;=480)),
(MOD('(直掃)RX Mapping'!AS6,120)-1),
IF(
(AND('(直掃)RX Mapping'!AS6&gt;=480,'(直掃)RX Mapping'!AS6&lt;=960)),
IF(MOD('(直掃)RX Mapping'!AS6,120)=0, 120, 240-MOD('(直掃)RX Mapping'!AS6,120)),9999))+IF(AND(MOD('(直掃)RX Mapping'!AS6,120)=0, '(直掃)RX Mapping'!AS6 &lt;= 480,  '(直掃)RX Mapping'!AS6 &gt; 0), 120)</f>
        <v>-1</v>
      </c>
      <c r="AT6">
        <f>IF(AND('(橫掃)RX Mapping'!AT6&gt;=1,'(橫掃)RX Mapping'!AT6&lt;=120), ('(橫掃)RX Mapping'!AT6-1),IF(AND('(橫掃)RX Mapping'!AT6&gt;=121,'(橫掃)RX Mapping'!AT6&lt;=240), (-1)*('(橫掃)RX Mapping'!AT6-240),IF(AND('(橫掃)RX Mapping'!AT6&gt;=241,'(橫掃)RX Mapping'!AT6&lt;=360), ('(橫掃)RX Mapping'!AT6-241),IF(AND('(橫掃)RX Mapping'!AT6&gt;=361,'(橫掃)RX Mapping'!AT6&lt;=480), (-1)*('(橫掃)RX Mapping'!AT6-480),IF(AND('(橫掃)RX Mapping'!AT6&gt;=481,'(橫掃)RX Mapping'!AT6&lt;=600), ('(橫掃)RX Mapping'!AT6-361),IF(AND('(橫掃)RX Mapping'!AT6&gt;=601,'(橫掃)RX Mapping'!AT6&lt;=720), (-1)*('(橫掃)RX Mapping'!AT6-720)+120,IF(AND('(橫掃)RX Mapping'!AT6&gt;=721,'(橫掃)RX Mapping'!AT6&lt;=840), ('(橫掃)RX Mapping'!AT6-601),IF(AND('(橫掃)RX Mapping'!AT6&gt;=841,'(橫掃)RX Mapping'!AT6&lt;=960), (-1)*('(橫掃)RX Mapping'!AT6-960)+120,9999))))))))</f>
        <v>9999</v>
      </c>
      <c r="AU6">
        <f>IF(AND('(橫掃)RX Mapping'!AU6&gt;=1,'(橫掃)RX Mapping'!AU6&lt;=120), ('(橫掃)RX Mapping'!AU6-1),IF(AND('(橫掃)RX Mapping'!AU6&gt;=121,'(橫掃)RX Mapping'!AU6&lt;=240), (-1)*('(橫掃)RX Mapping'!AU6-240),IF(AND('(橫掃)RX Mapping'!AU6&gt;=241,'(橫掃)RX Mapping'!AU6&lt;=360), ('(橫掃)RX Mapping'!AU6-241),IF(AND('(橫掃)RX Mapping'!AU6&gt;=361,'(橫掃)RX Mapping'!AU6&lt;=480), (-1)*('(橫掃)RX Mapping'!AU6-480),IF(AND('(橫掃)RX Mapping'!AU6&gt;=481,'(橫掃)RX Mapping'!AU6&lt;=600), ('(橫掃)RX Mapping'!AU6-361),IF(AND('(橫掃)RX Mapping'!AU6&gt;=601,'(橫掃)RX Mapping'!AU6&lt;=720), (-1)*('(橫掃)RX Mapping'!AU6-720)+120,IF(AND('(橫掃)RX Mapping'!AU6&gt;=721,'(橫掃)RX Mapping'!AU6&lt;=840), ('(橫掃)RX Mapping'!AU6-601),IF(AND('(橫掃)RX Mapping'!AU6&gt;=841,'(橫掃)RX Mapping'!AU6&lt;=960), (-1)*('(橫掃)RX Mapping'!AU6-960)+120,9999))))))))</f>
        <v>9999</v>
      </c>
      <c r="AV6">
        <f>IF(AND('(橫掃)RX Mapping'!AV6&gt;=1,'(橫掃)RX Mapping'!AV6&lt;=120), ('(橫掃)RX Mapping'!AV6-1),IF(AND('(橫掃)RX Mapping'!AV6&gt;=121,'(橫掃)RX Mapping'!AV6&lt;=240), (-1)*('(橫掃)RX Mapping'!AV6-240),IF(AND('(橫掃)RX Mapping'!AV6&gt;=241,'(橫掃)RX Mapping'!AV6&lt;=360), ('(橫掃)RX Mapping'!AV6-241),IF(AND('(橫掃)RX Mapping'!AV6&gt;=361,'(橫掃)RX Mapping'!AV6&lt;=480), (-1)*('(橫掃)RX Mapping'!AV6-480),IF(AND('(橫掃)RX Mapping'!AV6&gt;=481,'(橫掃)RX Mapping'!AV6&lt;=600), ('(橫掃)RX Mapping'!AV6-361),IF(AND('(橫掃)RX Mapping'!AV6&gt;=601,'(橫掃)RX Mapping'!AV6&lt;=720), (-1)*('(橫掃)RX Mapping'!AV6-720)+120,IF(AND('(橫掃)RX Mapping'!AV6&gt;=721,'(橫掃)RX Mapping'!AV6&lt;=840), ('(橫掃)RX Mapping'!AV6-601),IF(AND('(橫掃)RX Mapping'!AV6&gt;=841,'(橫掃)RX Mapping'!AV6&lt;=960), (-1)*('(橫掃)RX Mapping'!AV6-960)+120,9999))))))))</f>
        <v>9999</v>
      </c>
      <c r="AW6">
        <f>IF(AND('(橫掃)RX Mapping'!AW6&gt;=1,'(橫掃)RX Mapping'!AW6&lt;=120), ('(橫掃)RX Mapping'!AW6-1),IF(AND('(橫掃)RX Mapping'!AW6&gt;=121,'(橫掃)RX Mapping'!AW6&lt;=240), (-1)*('(橫掃)RX Mapping'!AW6-240),IF(AND('(橫掃)RX Mapping'!AW6&gt;=241,'(橫掃)RX Mapping'!AW6&lt;=360), ('(橫掃)RX Mapping'!AW6-241),IF(AND('(橫掃)RX Mapping'!AW6&gt;=361,'(橫掃)RX Mapping'!AW6&lt;=480), (-1)*('(橫掃)RX Mapping'!AW6-480),IF(AND('(橫掃)RX Mapping'!AW6&gt;=481,'(橫掃)RX Mapping'!AW6&lt;=600), ('(橫掃)RX Mapping'!AW6-361),IF(AND('(橫掃)RX Mapping'!AW6&gt;=601,'(橫掃)RX Mapping'!AW6&lt;=720), (-1)*('(橫掃)RX Mapping'!AW6-720)+120,IF(AND('(橫掃)RX Mapping'!AW6&gt;=721,'(橫掃)RX Mapping'!AW6&lt;=840), ('(橫掃)RX Mapping'!AW6-601),IF(AND('(橫掃)RX Mapping'!AW6&gt;=841,'(橫掃)RX Mapping'!AW6&lt;=960), (-1)*('(橫掃)RX Mapping'!AW6-960)+120,9999))))))))</f>
        <v>9999</v>
      </c>
      <c r="AX6">
        <f>IF(AND('(橫掃)RX Mapping'!AX6&gt;=1,'(橫掃)RX Mapping'!AX6&lt;=120), ('(橫掃)RX Mapping'!AX6-1),IF(AND('(橫掃)RX Mapping'!AX6&gt;=121,'(橫掃)RX Mapping'!AX6&lt;=240), (-1)*('(橫掃)RX Mapping'!AX6-240),IF(AND('(橫掃)RX Mapping'!AX6&gt;=241,'(橫掃)RX Mapping'!AX6&lt;=360), ('(橫掃)RX Mapping'!AX6-241),IF(AND('(橫掃)RX Mapping'!AX6&gt;=361,'(橫掃)RX Mapping'!AX6&lt;=480), (-1)*('(橫掃)RX Mapping'!AX6-480),IF(AND('(橫掃)RX Mapping'!AX6&gt;=481,'(橫掃)RX Mapping'!AX6&lt;=600), ('(橫掃)RX Mapping'!AX6-361),IF(AND('(橫掃)RX Mapping'!AX6&gt;=601,'(橫掃)RX Mapping'!AX6&lt;=720), (-1)*('(橫掃)RX Mapping'!AX6-720)+120,IF(AND('(橫掃)RX Mapping'!AX6&gt;=721,'(橫掃)RX Mapping'!AX6&lt;=840), ('(橫掃)RX Mapping'!AX6-601),IF(AND('(橫掃)RX Mapping'!AX6&gt;=841,'(橫掃)RX Mapping'!AX6&lt;=960), (-1)*('(橫掃)RX Mapping'!AX6-960)+120,9999))))))))</f>
        <v>9999</v>
      </c>
      <c r="AY6">
        <f>IF(AND('(橫掃)RX Mapping'!AY6&gt;=1,'(橫掃)RX Mapping'!AY6&lt;=120), ('(橫掃)RX Mapping'!AY6-1),IF(AND('(橫掃)RX Mapping'!AY6&gt;=121,'(橫掃)RX Mapping'!AY6&lt;=240), (-1)*('(橫掃)RX Mapping'!AY6-240),IF(AND('(橫掃)RX Mapping'!AY6&gt;=241,'(橫掃)RX Mapping'!AY6&lt;=360), ('(橫掃)RX Mapping'!AY6-241),IF(AND('(橫掃)RX Mapping'!AY6&gt;=361,'(橫掃)RX Mapping'!AY6&lt;=480), (-1)*('(橫掃)RX Mapping'!AY6-480),IF(AND('(橫掃)RX Mapping'!AY6&gt;=481,'(橫掃)RX Mapping'!AY6&lt;=600), ('(橫掃)RX Mapping'!AY6-361),IF(AND('(橫掃)RX Mapping'!AY6&gt;=601,'(橫掃)RX Mapping'!AY6&lt;=720), (-1)*('(橫掃)RX Mapping'!AY6-720)+120,IF(AND('(橫掃)RX Mapping'!AY6&gt;=721,'(橫掃)RX Mapping'!AY6&lt;=840), ('(橫掃)RX Mapping'!AY6-601),IF(AND('(橫掃)RX Mapping'!AY6&gt;=841,'(橫掃)RX Mapping'!AY6&lt;=960), (-1)*('(橫掃)RX Mapping'!AY6-960)+120,9999))))))))</f>
        <v>9999</v>
      </c>
      <c r="AZ6">
        <f>IF(AND('(橫掃)RX Mapping'!AZ6&gt;=1,'(橫掃)RX Mapping'!AZ6&lt;=120), ('(橫掃)RX Mapping'!AZ6-1),IF(AND('(橫掃)RX Mapping'!AZ6&gt;=121,'(橫掃)RX Mapping'!AZ6&lt;=240), (-1)*('(橫掃)RX Mapping'!AZ6-240),IF(AND('(橫掃)RX Mapping'!AZ6&gt;=241,'(橫掃)RX Mapping'!AZ6&lt;=360), ('(橫掃)RX Mapping'!AZ6-241),IF(AND('(橫掃)RX Mapping'!AZ6&gt;=361,'(橫掃)RX Mapping'!AZ6&lt;=480), (-1)*('(橫掃)RX Mapping'!AZ6-480),IF(AND('(橫掃)RX Mapping'!AZ6&gt;=481,'(橫掃)RX Mapping'!AZ6&lt;=600), ('(橫掃)RX Mapping'!AZ6-361),IF(AND('(橫掃)RX Mapping'!AZ6&gt;=601,'(橫掃)RX Mapping'!AZ6&lt;=720), (-1)*('(橫掃)RX Mapping'!AZ6-720)+120,IF(AND('(橫掃)RX Mapping'!AZ6&gt;=721,'(橫掃)RX Mapping'!AZ6&lt;=840), ('(橫掃)RX Mapping'!AZ6-601),IF(AND('(橫掃)RX Mapping'!AZ6&gt;=841,'(橫掃)RX Mapping'!AZ6&lt;=960), (-1)*('(橫掃)RX Mapping'!AZ6-960)+120,9999))))))))</f>
        <v>9999</v>
      </c>
      <c r="BA6">
        <f>IF(AND('(橫掃)RX Mapping'!BA6&gt;=1,'(橫掃)RX Mapping'!BA6&lt;=120), ('(橫掃)RX Mapping'!BA6-1),IF(AND('(橫掃)RX Mapping'!BA6&gt;=121,'(橫掃)RX Mapping'!BA6&lt;=240), (-1)*('(橫掃)RX Mapping'!BA6-240),IF(AND('(橫掃)RX Mapping'!BA6&gt;=241,'(橫掃)RX Mapping'!BA6&lt;=360), ('(橫掃)RX Mapping'!BA6-241),IF(AND('(橫掃)RX Mapping'!BA6&gt;=361,'(橫掃)RX Mapping'!BA6&lt;=480), (-1)*('(橫掃)RX Mapping'!BA6-480),IF(AND('(橫掃)RX Mapping'!BA6&gt;=481,'(橫掃)RX Mapping'!BA6&lt;=600), ('(橫掃)RX Mapping'!BA6-361),IF(AND('(橫掃)RX Mapping'!BA6&gt;=601,'(橫掃)RX Mapping'!BA6&lt;=720), (-1)*('(橫掃)RX Mapping'!BA6-720)+120,IF(AND('(橫掃)RX Mapping'!BA6&gt;=721,'(橫掃)RX Mapping'!BA6&lt;=840), ('(橫掃)RX Mapping'!BA6-601),IF(AND('(橫掃)RX Mapping'!BA6&gt;=841,'(橫掃)RX Mapping'!BA6&lt;=960), (-1)*('(橫掃)RX Mapping'!BA6-960)+120,9999))))))))</f>
        <v>9999</v>
      </c>
      <c r="BB6">
        <f>IF(AND('(橫掃)RX Mapping'!BB6&gt;=1,'(橫掃)RX Mapping'!BB6&lt;=120), ('(橫掃)RX Mapping'!BB6-1),IF(AND('(橫掃)RX Mapping'!BB6&gt;=121,'(橫掃)RX Mapping'!BB6&lt;=240), (-1)*('(橫掃)RX Mapping'!BB6-240),IF(AND('(橫掃)RX Mapping'!BB6&gt;=241,'(橫掃)RX Mapping'!BB6&lt;=360), ('(橫掃)RX Mapping'!BB6-241),IF(AND('(橫掃)RX Mapping'!BB6&gt;=361,'(橫掃)RX Mapping'!BB6&lt;=480), (-1)*('(橫掃)RX Mapping'!BB6-480),IF(AND('(橫掃)RX Mapping'!BB6&gt;=481,'(橫掃)RX Mapping'!BB6&lt;=600), ('(橫掃)RX Mapping'!BB6-361),IF(AND('(橫掃)RX Mapping'!BB6&gt;=601,'(橫掃)RX Mapping'!BB6&lt;=720), (-1)*('(橫掃)RX Mapping'!BB6-720)+120,IF(AND('(橫掃)RX Mapping'!BB6&gt;=721,'(橫掃)RX Mapping'!BB6&lt;=840), ('(橫掃)RX Mapping'!BB6-601),IF(AND('(橫掃)RX Mapping'!BB6&gt;=841,'(橫掃)RX Mapping'!BB6&lt;=960), (-1)*('(橫掃)RX Mapping'!BB6-960)+120,9999))))))))</f>
        <v>9999</v>
      </c>
      <c r="BC6">
        <f>IF(AND('(橫掃)RX Mapping'!BC6&gt;=1,'(橫掃)RX Mapping'!BC6&lt;=120), ('(橫掃)RX Mapping'!BC6-1),IF(AND('(橫掃)RX Mapping'!BC6&gt;=121,'(橫掃)RX Mapping'!BC6&lt;=240), (-1)*('(橫掃)RX Mapping'!BC6-240),IF(AND('(橫掃)RX Mapping'!BC6&gt;=241,'(橫掃)RX Mapping'!BC6&lt;=360), ('(橫掃)RX Mapping'!BC6-241),IF(AND('(橫掃)RX Mapping'!BC6&gt;=361,'(橫掃)RX Mapping'!BC6&lt;=480), (-1)*('(橫掃)RX Mapping'!BC6-480),IF(AND('(橫掃)RX Mapping'!BC6&gt;=481,'(橫掃)RX Mapping'!BC6&lt;=600), ('(橫掃)RX Mapping'!BC6-361),IF(AND('(橫掃)RX Mapping'!BC6&gt;=601,'(橫掃)RX Mapping'!BC6&lt;=720), (-1)*('(橫掃)RX Mapping'!BC6-720)+120,IF(AND('(橫掃)RX Mapping'!BC6&gt;=721,'(橫掃)RX Mapping'!BC6&lt;=840), ('(橫掃)RX Mapping'!BC6-601),IF(AND('(橫掃)RX Mapping'!BC6&gt;=841,'(橫掃)RX Mapping'!BC6&lt;=960), (-1)*('(橫掃)RX Mapping'!BC6-960)+120,9999))))))))</f>
        <v>9999</v>
      </c>
      <c r="BD6">
        <f>IF(AND('(橫掃)RX Mapping'!BD6&gt;=1,'(橫掃)RX Mapping'!BD6&lt;=120), ('(橫掃)RX Mapping'!BD6-1),IF(AND('(橫掃)RX Mapping'!BD6&gt;=121,'(橫掃)RX Mapping'!BD6&lt;=240), (-1)*('(橫掃)RX Mapping'!BD6-240),IF(AND('(橫掃)RX Mapping'!BD6&gt;=241,'(橫掃)RX Mapping'!BD6&lt;=360), ('(橫掃)RX Mapping'!BD6-241),IF(AND('(橫掃)RX Mapping'!BD6&gt;=361,'(橫掃)RX Mapping'!BD6&lt;=480), (-1)*('(橫掃)RX Mapping'!BD6-480),IF(AND('(橫掃)RX Mapping'!BD6&gt;=481,'(橫掃)RX Mapping'!BD6&lt;=600), ('(橫掃)RX Mapping'!BD6-361),IF(AND('(橫掃)RX Mapping'!BD6&gt;=601,'(橫掃)RX Mapping'!BD6&lt;=720), (-1)*('(橫掃)RX Mapping'!BD6-720)+120,IF(AND('(橫掃)RX Mapping'!BD6&gt;=721,'(橫掃)RX Mapping'!BD6&lt;=840), ('(橫掃)RX Mapping'!BD6-601),IF(AND('(橫掃)RX Mapping'!BD6&gt;=841,'(橫掃)RX Mapping'!BD6&lt;=960), (-1)*('(橫掃)RX Mapping'!BD6-960)+120,9999))))))))</f>
        <v>9999</v>
      </c>
      <c r="BE6">
        <f>IF(AND('(橫掃)RX Mapping'!BE6&gt;=1,'(橫掃)RX Mapping'!BE6&lt;=120), ('(橫掃)RX Mapping'!BE6-1),IF(AND('(橫掃)RX Mapping'!BE6&gt;=121,'(橫掃)RX Mapping'!BE6&lt;=240), (-1)*('(橫掃)RX Mapping'!BE6-240),IF(AND('(橫掃)RX Mapping'!BE6&gt;=241,'(橫掃)RX Mapping'!BE6&lt;=360), ('(橫掃)RX Mapping'!BE6-241),IF(AND('(橫掃)RX Mapping'!BE6&gt;=361,'(橫掃)RX Mapping'!BE6&lt;=480), (-1)*('(橫掃)RX Mapping'!BE6-480),IF(AND('(橫掃)RX Mapping'!BE6&gt;=481,'(橫掃)RX Mapping'!BE6&lt;=600), ('(橫掃)RX Mapping'!BE6-361),IF(AND('(橫掃)RX Mapping'!BE6&gt;=601,'(橫掃)RX Mapping'!BE6&lt;=720), (-1)*('(橫掃)RX Mapping'!BE6-720)+120,IF(AND('(橫掃)RX Mapping'!BE6&gt;=721,'(橫掃)RX Mapping'!BE6&lt;=840), ('(橫掃)RX Mapping'!BE6-601),IF(AND('(橫掃)RX Mapping'!BE6&gt;=841,'(橫掃)RX Mapping'!BE6&lt;=960), (-1)*('(橫掃)RX Mapping'!BE6-960)+120,9999))))))))</f>
        <v>9999</v>
      </c>
      <c r="BF6">
        <f>IF(AND('(橫掃)RX Mapping'!BF6&gt;=1,'(橫掃)RX Mapping'!BF6&lt;=120), ('(橫掃)RX Mapping'!BF6-1),IF(AND('(橫掃)RX Mapping'!BF6&gt;=121,'(橫掃)RX Mapping'!BF6&lt;=240), (-1)*('(橫掃)RX Mapping'!BF6-240),IF(AND('(橫掃)RX Mapping'!BF6&gt;=241,'(橫掃)RX Mapping'!BF6&lt;=360), ('(橫掃)RX Mapping'!BF6-241),IF(AND('(橫掃)RX Mapping'!BF6&gt;=361,'(橫掃)RX Mapping'!BF6&lt;=480), (-1)*('(橫掃)RX Mapping'!BF6-480),IF(AND('(橫掃)RX Mapping'!BF6&gt;=481,'(橫掃)RX Mapping'!BF6&lt;=600), ('(橫掃)RX Mapping'!BF6-361),IF(AND('(橫掃)RX Mapping'!BF6&gt;=601,'(橫掃)RX Mapping'!BF6&lt;=720), (-1)*('(橫掃)RX Mapping'!BF6-720)+120,IF(AND('(橫掃)RX Mapping'!BF6&gt;=721,'(橫掃)RX Mapping'!BF6&lt;=840), ('(橫掃)RX Mapping'!BF6-601),IF(AND('(橫掃)RX Mapping'!BF6&gt;=841,'(橫掃)RX Mapping'!BF6&lt;=960), (-1)*('(橫掃)RX Mapping'!BF6-960)+120,9999))))))))</f>
        <v>9999</v>
      </c>
      <c r="BG6">
        <f>IF(AND('(橫掃)RX Mapping'!BG6&gt;=1,'(橫掃)RX Mapping'!BG6&lt;=120), ('(橫掃)RX Mapping'!BG6-1),IF(AND('(橫掃)RX Mapping'!BG6&gt;=121,'(橫掃)RX Mapping'!BG6&lt;=240), (-1)*('(橫掃)RX Mapping'!BG6-240),IF(AND('(橫掃)RX Mapping'!BG6&gt;=241,'(橫掃)RX Mapping'!BG6&lt;=360), ('(橫掃)RX Mapping'!BG6-241),IF(AND('(橫掃)RX Mapping'!BG6&gt;=361,'(橫掃)RX Mapping'!BG6&lt;=480), (-1)*('(橫掃)RX Mapping'!BG6-480),IF(AND('(橫掃)RX Mapping'!BG6&gt;=481,'(橫掃)RX Mapping'!BG6&lt;=600), ('(橫掃)RX Mapping'!BG6-361),IF(AND('(橫掃)RX Mapping'!BG6&gt;=601,'(橫掃)RX Mapping'!BG6&lt;=720), (-1)*('(橫掃)RX Mapping'!BG6-720)+120,IF(AND('(橫掃)RX Mapping'!BG6&gt;=721,'(橫掃)RX Mapping'!BG6&lt;=840), ('(橫掃)RX Mapping'!BG6-601),IF(AND('(橫掃)RX Mapping'!BG6&gt;=841,'(橫掃)RX Mapping'!BG6&lt;=960), (-1)*('(橫掃)RX Mapping'!BG6-960)+120,9999))))))))</f>
        <v>9999</v>
      </c>
      <c r="BH6">
        <f>IF(AND('(橫掃)RX Mapping'!BH6&gt;=1,'(橫掃)RX Mapping'!BH6&lt;=120), ('(橫掃)RX Mapping'!BH6-1),IF(AND('(橫掃)RX Mapping'!BH6&gt;=121,'(橫掃)RX Mapping'!BH6&lt;=240), (-1)*('(橫掃)RX Mapping'!BH6-240),IF(AND('(橫掃)RX Mapping'!BH6&gt;=241,'(橫掃)RX Mapping'!BH6&lt;=360), ('(橫掃)RX Mapping'!BH6-241),IF(AND('(橫掃)RX Mapping'!BH6&gt;=361,'(橫掃)RX Mapping'!BH6&lt;=480), (-1)*('(橫掃)RX Mapping'!BH6-480),IF(AND('(橫掃)RX Mapping'!BH6&gt;=481,'(橫掃)RX Mapping'!BH6&lt;=600), ('(橫掃)RX Mapping'!BH6-361),IF(AND('(橫掃)RX Mapping'!BH6&gt;=601,'(橫掃)RX Mapping'!BH6&lt;=720), (-1)*('(橫掃)RX Mapping'!BH6-720)+120,IF(AND('(橫掃)RX Mapping'!BH6&gt;=721,'(橫掃)RX Mapping'!BH6&lt;=840), ('(橫掃)RX Mapping'!BH6-601),IF(AND('(橫掃)RX Mapping'!BH6&gt;=841,'(橫掃)RX Mapping'!BH6&lt;=960), (-1)*('(橫掃)RX Mapping'!BH6-960)+120,9999))))))))</f>
        <v>9999</v>
      </c>
      <c r="BI6">
        <f>IF(AND('(橫掃)RX Mapping'!BI6&gt;=1,'(橫掃)RX Mapping'!BI6&lt;=120), ('(橫掃)RX Mapping'!BI6-1),IF(AND('(橫掃)RX Mapping'!BI6&gt;=121,'(橫掃)RX Mapping'!BI6&lt;=240), (-1)*('(橫掃)RX Mapping'!BI6-240),IF(AND('(橫掃)RX Mapping'!BI6&gt;=241,'(橫掃)RX Mapping'!BI6&lt;=360), ('(橫掃)RX Mapping'!BI6-241),IF(AND('(橫掃)RX Mapping'!BI6&gt;=361,'(橫掃)RX Mapping'!BI6&lt;=480), (-1)*('(橫掃)RX Mapping'!BI6-480),IF(AND('(橫掃)RX Mapping'!BI6&gt;=481,'(橫掃)RX Mapping'!BI6&lt;=600), ('(橫掃)RX Mapping'!BI6-361),IF(AND('(橫掃)RX Mapping'!BI6&gt;=601,'(橫掃)RX Mapping'!BI6&lt;=720), (-1)*('(橫掃)RX Mapping'!BI6-720)+120,IF(AND('(橫掃)RX Mapping'!BI6&gt;=721,'(橫掃)RX Mapping'!BI6&lt;=840), ('(橫掃)RX Mapping'!BI6-601),IF(AND('(橫掃)RX Mapping'!BI6&gt;=841,'(橫掃)RX Mapping'!BI6&lt;=960), (-1)*('(橫掃)RX Mapping'!BI6-960)+120,9999))))))))</f>
        <v>9999</v>
      </c>
    </row>
    <row r="7" spans="1:61" x14ac:dyDescent="0.25">
      <c r="A7" s="20">
        <v>6</v>
      </c>
      <c r="B7">
        <f>IF(
(AND('(直掃)RX Mapping'!B7&gt;=0,'(直掃)RX Mapping'!B7&lt;=480)),
(MOD('(直掃)RX Mapping'!B7,120)-1),
IF(
(AND('(直掃)RX Mapping'!B7&gt;=480,'(直掃)RX Mapping'!B7&lt;=960)),
IF(MOD('(直掃)RX Mapping'!B7,120)=0, 120, 240-MOD('(直掃)RX Mapping'!B7,120)),9999))+IF(AND(MOD('(直掃)RX Mapping'!B7,120)=0, '(直掃)RX Mapping'!B7 &lt;= 480,  '(直掃)RX Mapping'!B7 &gt; 0), 120)</f>
        <v>125</v>
      </c>
      <c r="C7">
        <f>IF(
(AND('(直掃)RX Mapping'!C7&gt;=0,'(直掃)RX Mapping'!C7&lt;=480)),
(MOD('(直掃)RX Mapping'!C7,120)-1),
IF(
(AND('(直掃)RX Mapping'!C7&gt;=480,'(直掃)RX Mapping'!C7&lt;=960)),
IF(MOD('(直掃)RX Mapping'!C7,120)=0, 120, 240-MOD('(直掃)RX Mapping'!C7,120)),9999))+IF(AND(MOD('(直掃)RX Mapping'!C7,120)=0, '(直掃)RX Mapping'!C7 &lt;= 480,  '(直掃)RX Mapping'!C7 &gt; 0), 120)</f>
        <v>155</v>
      </c>
      <c r="D7">
        <f>IF(
(AND('(直掃)RX Mapping'!D7&gt;=0,'(直掃)RX Mapping'!D7&lt;=480)),
(MOD('(直掃)RX Mapping'!D7,120)-1),
IF(
(AND('(直掃)RX Mapping'!D7&gt;=480,'(直掃)RX Mapping'!D7&lt;=960)),
IF(MOD('(直掃)RX Mapping'!D7,120)=0, 120, 240-MOD('(直掃)RX Mapping'!D7,120)),9999))+IF(AND(MOD('(直掃)RX Mapping'!D7,120)=0, '(直掃)RX Mapping'!D7 &lt;= 480,  '(直掃)RX Mapping'!D7 &gt; 0), 120)</f>
        <v>185</v>
      </c>
      <c r="E7">
        <f>IF(
(AND('(直掃)RX Mapping'!E7&gt;=0,'(直掃)RX Mapping'!E7&lt;=480)),
(MOD('(直掃)RX Mapping'!E7,120)-1),
IF(
(AND('(直掃)RX Mapping'!E7&gt;=480,'(直掃)RX Mapping'!E7&lt;=960)),
IF(MOD('(直掃)RX Mapping'!E7,120)=0, 120, 240-MOD('(直掃)RX Mapping'!E7,120)),9999))+IF(AND(MOD('(直掃)RX Mapping'!E7,120)=0, '(直掃)RX Mapping'!E7 &lt;= 480,  '(直掃)RX Mapping'!E7 &gt; 0), 120)</f>
        <v>125</v>
      </c>
      <c r="F7">
        <f>IF(
(AND('(直掃)RX Mapping'!F7&gt;=0,'(直掃)RX Mapping'!F7&lt;=480)),
(MOD('(直掃)RX Mapping'!F7,120)-1),
IF(
(AND('(直掃)RX Mapping'!F7&gt;=480,'(直掃)RX Mapping'!F7&lt;=960)),
IF(MOD('(直掃)RX Mapping'!F7,120)=0, 120, 240-MOD('(直掃)RX Mapping'!F7,120)),9999))+IF(AND(MOD('(直掃)RX Mapping'!F7,120)=0, '(直掃)RX Mapping'!F7 &lt;= 480,  '(直掃)RX Mapping'!F7 &gt; 0), 120)</f>
        <v>155</v>
      </c>
      <c r="G7">
        <f>IF(
(AND('(直掃)RX Mapping'!G7&gt;=0,'(直掃)RX Mapping'!G7&lt;=480)),
(MOD('(直掃)RX Mapping'!G7,120)-1),
IF(
(AND('(直掃)RX Mapping'!G7&gt;=480,'(直掃)RX Mapping'!G7&lt;=960)),
IF(MOD('(直掃)RX Mapping'!G7,120)=0, 120, 240-MOD('(直掃)RX Mapping'!G7,120)),9999))+IF(AND(MOD('(直掃)RX Mapping'!G7,120)=0, '(直掃)RX Mapping'!G7 &lt;= 480,  '(直掃)RX Mapping'!G7 &gt; 0), 120)</f>
        <v>185</v>
      </c>
      <c r="H7">
        <f>IF(
(AND('(直掃)RX Mapping'!H7&gt;=0,'(直掃)RX Mapping'!H7&lt;=480)),
(MOD('(直掃)RX Mapping'!H7,120)-1),
IF(
(AND('(直掃)RX Mapping'!H7&gt;=480,'(直掃)RX Mapping'!H7&lt;=960)),
IF(MOD('(直掃)RX Mapping'!H7,120)=0, 120, 240-MOD('(直掃)RX Mapping'!H7,120)),9999))+IF(AND(MOD('(直掃)RX Mapping'!H7,120)=0, '(直掃)RX Mapping'!H7 &lt;= 480,  '(直掃)RX Mapping'!H7 &gt; 0), 120)</f>
        <v>125</v>
      </c>
      <c r="I7">
        <f>IF(
(AND('(直掃)RX Mapping'!I7&gt;=0,'(直掃)RX Mapping'!I7&lt;=480)),
(MOD('(直掃)RX Mapping'!I7,120)-1),
IF(
(AND('(直掃)RX Mapping'!I7&gt;=480,'(直掃)RX Mapping'!I7&lt;=960)),
IF(MOD('(直掃)RX Mapping'!I7,120)=0, 120, 240-MOD('(直掃)RX Mapping'!I7,120)),9999))+IF(AND(MOD('(直掃)RX Mapping'!I7,120)=0, '(直掃)RX Mapping'!I7 &lt;= 480,  '(直掃)RX Mapping'!I7 &gt; 0), 120)</f>
        <v>155</v>
      </c>
      <c r="J7">
        <f>IF(
(AND('(直掃)RX Mapping'!J7&gt;=0,'(直掃)RX Mapping'!J7&lt;=480)),
(MOD('(直掃)RX Mapping'!J7,120)-1),
IF(
(AND('(直掃)RX Mapping'!J7&gt;=480,'(直掃)RX Mapping'!J7&lt;=960)),
IF(MOD('(直掃)RX Mapping'!J7,120)=0, 120, 240-MOD('(直掃)RX Mapping'!J7,120)),9999))+IF(AND(MOD('(直掃)RX Mapping'!J7,120)=0, '(直掃)RX Mapping'!J7 &lt;= 480,  '(直掃)RX Mapping'!J7 &gt; 0), 120)</f>
        <v>185</v>
      </c>
      <c r="K7">
        <f>IF(
(AND('(直掃)RX Mapping'!K7&gt;=0,'(直掃)RX Mapping'!K7&lt;=480)),
(MOD('(直掃)RX Mapping'!K7,120)-1),
IF(
(AND('(直掃)RX Mapping'!K7&gt;=480,'(直掃)RX Mapping'!K7&lt;=960)),
IF(MOD('(直掃)RX Mapping'!K7,120)=0, 120, 240-MOD('(直掃)RX Mapping'!K7,120)),9999))+IF(AND(MOD('(直掃)RX Mapping'!K7,120)=0, '(直掃)RX Mapping'!K7 &lt;= 480,  '(直掃)RX Mapping'!K7 &gt; 0), 120)</f>
        <v>215</v>
      </c>
      <c r="L7">
        <f>IF(
(AND('(直掃)RX Mapping'!L7&gt;=0,'(直掃)RX Mapping'!L7&lt;=480)),
(MOD('(直掃)RX Mapping'!L7,120)-1),
IF(
(AND('(直掃)RX Mapping'!L7&gt;=480,'(直掃)RX Mapping'!L7&lt;=960)),
IF(MOD('(直掃)RX Mapping'!L7,120)=0, 120, 240-MOD('(直掃)RX Mapping'!L7,120)),9999))+IF(AND(MOD('(直掃)RX Mapping'!L7,120)=0, '(直掃)RX Mapping'!L7 &lt;= 480,  '(直掃)RX Mapping'!L7 &gt; 0), 120)</f>
        <v>125</v>
      </c>
      <c r="M7">
        <f>IF(
(AND('(直掃)RX Mapping'!M7&gt;=0,'(直掃)RX Mapping'!M7&lt;=480)),
(MOD('(直掃)RX Mapping'!M7,120)-1),
IF(
(AND('(直掃)RX Mapping'!M7&gt;=480,'(直掃)RX Mapping'!M7&lt;=960)),
IF(MOD('(直掃)RX Mapping'!M7,120)=0, 120, 240-MOD('(直掃)RX Mapping'!M7,120)),9999))+IF(AND(MOD('(直掃)RX Mapping'!M7,120)=0, '(直掃)RX Mapping'!M7 &lt;= 480,  '(直掃)RX Mapping'!M7 &gt; 0), 120)</f>
        <v>155</v>
      </c>
      <c r="N7">
        <f>IF(
(AND('(直掃)RX Mapping'!N7&gt;=0,'(直掃)RX Mapping'!N7&lt;=480)),
(MOD('(直掃)RX Mapping'!N7,120)-1),
IF(
(AND('(直掃)RX Mapping'!N7&gt;=480,'(直掃)RX Mapping'!N7&lt;=960)),
IF(MOD('(直掃)RX Mapping'!N7,120)=0, 120, 240-MOD('(直掃)RX Mapping'!N7,120)),9999))+IF(AND(MOD('(直掃)RX Mapping'!N7,120)=0, '(直掃)RX Mapping'!N7 &lt;= 480,  '(直掃)RX Mapping'!N7 &gt; 0), 120)</f>
        <v>185</v>
      </c>
      <c r="O7">
        <f>IF(
(AND('(直掃)RX Mapping'!O7&gt;=0,'(直掃)RX Mapping'!O7&lt;=480)),
(MOD('(直掃)RX Mapping'!O7,120)-1),
IF(
(AND('(直掃)RX Mapping'!O7&gt;=480,'(直掃)RX Mapping'!O7&lt;=960)),
IF(MOD('(直掃)RX Mapping'!O7,120)=0, 120, 240-MOD('(直掃)RX Mapping'!O7,120)),9999))+IF(AND(MOD('(直掃)RX Mapping'!O7,120)=0, '(直掃)RX Mapping'!O7 &lt;= 480,  '(直掃)RX Mapping'!O7 &gt; 0), 120)</f>
        <v>215</v>
      </c>
      <c r="P7">
        <f>IF(
(AND('(直掃)RX Mapping'!P7&gt;=0,'(直掃)RX Mapping'!P7&lt;=480)),
(MOD('(直掃)RX Mapping'!P7,120)-1),
IF(
(AND('(直掃)RX Mapping'!P7&gt;=480,'(直掃)RX Mapping'!P7&lt;=960)),
IF(MOD('(直掃)RX Mapping'!P7,120)=0, 120, 240-MOD('(直掃)RX Mapping'!P7,120)),9999))+IF(AND(MOD('(直掃)RX Mapping'!P7,120)=0, '(直掃)RX Mapping'!P7 &lt;= 480,  '(直掃)RX Mapping'!P7 &gt; 0), 120)</f>
        <v>114</v>
      </c>
      <c r="Q7">
        <f>IF(
(AND('(直掃)RX Mapping'!Q7&gt;=0,'(直掃)RX Mapping'!Q7&lt;=480)),
(MOD('(直掃)RX Mapping'!Q7,120)-1),
IF(
(AND('(直掃)RX Mapping'!Q7&gt;=480,'(直掃)RX Mapping'!Q7&lt;=960)),
IF(MOD('(直掃)RX Mapping'!Q7,120)=0, 120, 240-MOD('(直掃)RX Mapping'!Q7,120)),9999))+IF(AND(MOD('(直掃)RX Mapping'!Q7,120)=0, '(直掃)RX Mapping'!Q7 &lt;= 480,  '(直掃)RX Mapping'!Q7 &gt; 0), 120)</f>
        <v>84</v>
      </c>
      <c r="R7">
        <f>IF(
(AND('(直掃)RX Mapping'!R7&gt;=0,'(直掃)RX Mapping'!R7&lt;=480)),
(MOD('(直掃)RX Mapping'!R7,120)-1),
IF(
(AND('(直掃)RX Mapping'!R7&gt;=480,'(直掃)RX Mapping'!R7&lt;=960)),
IF(MOD('(直掃)RX Mapping'!R7,120)=0, 120, 240-MOD('(直掃)RX Mapping'!R7,120)),9999))+IF(AND(MOD('(直掃)RX Mapping'!R7,120)=0, '(直掃)RX Mapping'!R7 &lt;= 480,  '(直掃)RX Mapping'!R7 &gt; 0), 120)</f>
        <v>54</v>
      </c>
      <c r="S7">
        <f>IF(
(AND('(直掃)RX Mapping'!S7&gt;=0,'(直掃)RX Mapping'!S7&lt;=480)),
(MOD('(直掃)RX Mapping'!S7,120)-1),
IF(
(AND('(直掃)RX Mapping'!S7&gt;=480,'(直掃)RX Mapping'!S7&lt;=960)),
IF(MOD('(直掃)RX Mapping'!S7,120)=0, 120, 240-MOD('(直掃)RX Mapping'!S7,120)),9999))+IF(AND(MOD('(直掃)RX Mapping'!S7,120)=0, '(直掃)RX Mapping'!S7 &lt;= 480,  '(直掃)RX Mapping'!S7 &gt; 0), 120)</f>
        <v>24</v>
      </c>
      <c r="T7">
        <f>IF(
(AND('(直掃)RX Mapping'!T7&gt;=0,'(直掃)RX Mapping'!T7&lt;=480)),
(MOD('(直掃)RX Mapping'!T7,120)-1),
IF(
(AND('(直掃)RX Mapping'!T7&gt;=480,'(直掃)RX Mapping'!T7&lt;=960)),
IF(MOD('(直掃)RX Mapping'!T7,120)=0, 120, 240-MOD('(直掃)RX Mapping'!T7,120)),9999))+IF(AND(MOD('(直掃)RX Mapping'!T7,120)=0, '(直掃)RX Mapping'!T7 &lt;= 480,  '(直掃)RX Mapping'!T7 &gt; 0), 120)</f>
        <v>114</v>
      </c>
      <c r="U7">
        <f>IF(
(AND('(直掃)RX Mapping'!U7&gt;=0,'(直掃)RX Mapping'!U7&lt;=480)),
(MOD('(直掃)RX Mapping'!U7,120)-1),
IF(
(AND('(直掃)RX Mapping'!U7&gt;=480,'(直掃)RX Mapping'!U7&lt;=960)),
IF(MOD('(直掃)RX Mapping'!U7,120)=0, 120, 240-MOD('(直掃)RX Mapping'!U7,120)),9999))+IF(AND(MOD('(直掃)RX Mapping'!U7,120)=0, '(直掃)RX Mapping'!U7 &lt;= 480,  '(直掃)RX Mapping'!U7 &gt; 0), 120)</f>
        <v>84</v>
      </c>
      <c r="V7">
        <f>IF(
(AND('(直掃)RX Mapping'!V7&gt;=0,'(直掃)RX Mapping'!V7&lt;=480)),
(MOD('(直掃)RX Mapping'!V7,120)-1),
IF(
(AND('(直掃)RX Mapping'!V7&gt;=480,'(直掃)RX Mapping'!V7&lt;=960)),
IF(MOD('(直掃)RX Mapping'!V7,120)=0, 120, 240-MOD('(直掃)RX Mapping'!V7,120)),9999))+IF(AND(MOD('(直掃)RX Mapping'!V7,120)=0, '(直掃)RX Mapping'!V7 &lt;= 480,  '(直掃)RX Mapping'!V7 &gt; 0), 120)</f>
        <v>54</v>
      </c>
      <c r="W7">
        <f>IF(
(AND('(直掃)RX Mapping'!W7&gt;=0,'(直掃)RX Mapping'!W7&lt;=480)),
(MOD('(直掃)RX Mapping'!W7,120)-1),
IF(
(AND('(直掃)RX Mapping'!W7&gt;=480,'(直掃)RX Mapping'!W7&lt;=960)),
IF(MOD('(直掃)RX Mapping'!W7,120)=0, 120, 240-MOD('(直掃)RX Mapping'!W7,120)),9999))+IF(AND(MOD('(直掃)RX Mapping'!W7,120)=0, '(直掃)RX Mapping'!W7 &lt;= 480,  '(直掃)RX Mapping'!W7 &gt; 0), 120)</f>
        <v>24</v>
      </c>
      <c r="X7">
        <f>IF(
(AND('(直掃)RX Mapping'!X7&gt;=0,'(直掃)RX Mapping'!X7&lt;=480)),
(MOD('(直掃)RX Mapping'!X7,120)-1),
IF(
(AND('(直掃)RX Mapping'!X7&gt;=480,'(直掃)RX Mapping'!X7&lt;=960)),
IF(MOD('(直掃)RX Mapping'!X7,120)=0, 120, 240-MOD('(直掃)RX Mapping'!X7,120)),9999))+IF(AND(MOD('(直掃)RX Mapping'!X7,120)=0, '(直掃)RX Mapping'!X7 &lt;= 480,  '(直掃)RX Mapping'!X7 &gt; 0), 120)</f>
        <v>84</v>
      </c>
      <c r="Y7">
        <f>IF(
(AND('(直掃)RX Mapping'!Y7&gt;=0,'(直掃)RX Mapping'!Y7&lt;=480)),
(MOD('(直掃)RX Mapping'!Y7,120)-1),
IF(
(AND('(直掃)RX Mapping'!Y7&gt;=480,'(直掃)RX Mapping'!Y7&lt;=960)),
IF(MOD('(直掃)RX Mapping'!Y7,120)=0, 120, 240-MOD('(直掃)RX Mapping'!Y7,120)),9999))+IF(AND(MOD('(直掃)RX Mapping'!Y7,120)=0, '(直掃)RX Mapping'!Y7 &lt;= 480,  '(直掃)RX Mapping'!Y7 &gt; 0), 120)</f>
        <v>54</v>
      </c>
      <c r="Z7">
        <f>IF(
(AND('(直掃)RX Mapping'!Z7&gt;=0,'(直掃)RX Mapping'!Z7&lt;=480)),
(MOD('(直掃)RX Mapping'!Z7,120)-1),
IF(
(AND('(直掃)RX Mapping'!Z7&gt;=480,'(直掃)RX Mapping'!Z7&lt;=960)),
IF(MOD('(直掃)RX Mapping'!Z7,120)=0, 120, 240-MOD('(直掃)RX Mapping'!Z7,120)),9999))+IF(AND(MOD('(直掃)RX Mapping'!Z7,120)=0, '(直掃)RX Mapping'!Z7 &lt;= 480,  '(直掃)RX Mapping'!Z7 &gt; 0), 120)</f>
        <v>24</v>
      </c>
      <c r="AA7">
        <f>IF(
(AND('(直掃)RX Mapping'!AA7&gt;=0,'(直掃)RX Mapping'!AA7&lt;=480)),
(MOD('(直掃)RX Mapping'!AA7,120)-1),
IF(
(AND('(直掃)RX Mapping'!AA7&gt;=480,'(直掃)RX Mapping'!AA7&lt;=960)),
IF(MOD('(直掃)RX Mapping'!AA7,120)=0, 120, 240-MOD('(直掃)RX Mapping'!AA7,120)),9999))+IF(AND(MOD('(直掃)RX Mapping'!AA7,120)=0, '(直掃)RX Mapping'!AA7 &lt;= 480,  '(直掃)RX Mapping'!AA7 &gt; 0), 120)</f>
        <v>84</v>
      </c>
      <c r="AB7">
        <f>IF(
(AND('(直掃)RX Mapping'!AB7&gt;=0,'(直掃)RX Mapping'!AB7&lt;=480)),
(MOD('(直掃)RX Mapping'!AB7,120)-1),
IF(
(AND('(直掃)RX Mapping'!AB7&gt;=480,'(直掃)RX Mapping'!AB7&lt;=960)),
IF(MOD('(直掃)RX Mapping'!AB7,120)=0, 120, 240-MOD('(直掃)RX Mapping'!AB7,120)),9999))+IF(AND(MOD('(直掃)RX Mapping'!AB7,120)=0, '(直掃)RX Mapping'!AB7 &lt;= 480,  '(直掃)RX Mapping'!AB7 &gt; 0), 120)</f>
        <v>54</v>
      </c>
      <c r="AC7">
        <f>IF(
(AND('(直掃)RX Mapping'!AC7&gt;=0,'(直掃)RX Mapping'!AC7&lt;=480)),
(MOD('(直掃)RX Mapping'!AC7,120)-1),
IF(
(AND('(直掃)RX Mapping'!AC7&gt;=480,'(直掃)RX Mapping'!AC7&lt;=960)),
IF(MOD('(直掃)RX Mapping'!AC7,120)=0, 120, 240-MOD('(直掃)RX Mapping'!AC7,120)),9999))+IF(AND(MOD('(直掃)RX Mapping'!AC7,120)=0, '(直掃)RX Mapping'!AC7 &lt;= 480,  '(直掃)RX Mapping'!AC7 &gt; 0), 120)</f>
        <v>24</v>
      </c>
      <c r="AD7">
        <f>IF(
(AND('(直掃)RX Mapping'!AD7&gt;=0,'(直掃)RX Mapping'!AD7&lt;=480)),
(MOD('(直掃)RX Mapping'!AD7,120)-1),
IF(
(AND('(直掃)RX Mapping'!AD7&gt;=480,'(直掃)RX Mapping'!AD7&lt;=960)),
IF(MOD('(直掃)RX Mapping'!AD7,120)=0, 120, 240-MOD('(直掃)RX Mapping'!AD7,120)),9999))+IF(AND(MOD('(直掃)RX Mapping'!AD7,120)=0, '(直掃)RX Mapping'!AD7 &lt;= 480,  '(直掃)RX Mapping'!AD7 &gt; 0), 120)</f>
        <v>-1</v>
      </c>
      <c r="AE7">
        <f>IF(
(AND('(直掃)RX Mapping'!AE7&gt;=0,'(直掃)RX Mapping'!AE7&lt;=480)),
(MOD('(直掃)RX Mapping'!AE7,120)-1),
IF(
(AND('(直掃)RX Mapping'!AE7&gt;=480,'(直掃)RX Mapping'!AE7&lt;=960)),
IF(MOD('(直掃)RX Mapping'!AE7,120)=0, 120, 240-MOD('(直掃)RX Mapping'!AE7,120)),9999))+IF(AND(MOD('(直掃)RX Mapping'!AE7,120)=0, '(直掃)RX Mapping'!AE7 &lt;= 480,  '(直掃)RX Mapping'!AE7 &gt; 0), 120)</f>
        <v>-1</v>
      </c>
      <c r="AF7">
        <f>IF(
(AND('(直掃)RX Mapping'!AF7&gt;=0,'(直掃)RX Mapping'!AF7&lt;=480)),
(MOD('(直掃)RX Mapping'!AF7,120)-1),
IF(
(AND('(直掃)RX Mapping'!AF7&gt;=480,'(直掃)RX Mapping'!AF7&lt;=960)),
IF(MOD('(直掃)RX Mapping'!AF7,120)=0, 120, 240-MOD('(直掃)RX Mapping'!AF7,120)),9999))+IF(AND(MOD('(直掃)RX Mapping'!AF7,120)=0, '(直掃)RX Mapping'!AF7 &lt;= 480,  '(直掃)RX Mapping'!AF7 &gt; 0), 120)</f>
        <v>-1</v>
      </c>
      <c r="AG7">
        <f>IF(
(AND('(直掃)RX Mapping'!AG7&gt;=0,'(直掃)RX Mapping'!AG7&lt;=480)),
(MOD('(直掃)RX Mapping'!AG7,120)-1),
IF(
(AND('(直掃)RX Mapping'!AG7&gt;=480,'(直掃)RX Mapping'!AG7&lt;=960)),
IF(MOD('(直掃)RX Mapping'!AG7,120)=0, 120, 240-MOD('(直掃)RX Mapping'!AG7,120)),9999))+IF(AND(MOD('(直掃)RX Mapping'!AG7,120)=0, '(直掃)RX Mapping'!AG7 &lt;= 480,  '(直掃)RX Mapping'!AG7 &gt; 0), 120)</f>
        <v>-1</v>
      </c>
      <c r="AH7">
        <f>IF(
(AND('(直掃)RX Mapping'!AH7&gt;=0,'(直掃)RX Mapping'!AH7&lt;=480)),
(MOD('(直掃)RX Mapping'!AH7,120)-1),
IF(
(AND('(直掃)RX Mapping'!AH7&gt;=480,'(直掃)RX Mapping'!AH7&lt;=960)),
IF(MOD('(直掃)RX Mapping'!AH7,120)=0, 120, 240-MOD('(直掃)RX Mapping'!AH7,120)),9999))+IF(AND(MOD('(直掃)RX Mapping'!AH7,120)=0, '(直掃)RX Mapping'!AH7 &lt;= 480,  '(直掃)RX Mapping'!AH7 &gt; 0), 120)</f>
        <v>-1</v>
      </c>
      <c r="AI7">
        <f>IF(
(AND('(直掃)RX Mapping'!AI7&gt;=0,'(直掃)RX Mapping'!AI7&lt;=480)),
(MOD('(直掃)RX Mapping'!AI7,120)-1),
IF(
(AND('(直掃)RX Mapping'!AI7&gt;=480,'(直掃)RX Mapping'!AI7&lt;=960)),
IF(MOD('(直掃)RX Mapping'!AI7,120)=0, 120, 240-MOD('(直掃)RX Mapping'!AI7,120)),9999))+IF(AND(MOD('(直掃)RX Mapping'!AI7,120)=0, '(直掃)RX Mapping'!AI7 &lt;= 480,  '(直掃)RX Mapping'!AI7 &gt; 0), 120)</f>
        <v>-1</v>
      </c>
      <c r="AJ7">
        <f>IF(
(AND('(直掃)RX Mapping'!AJ7&gt;=0,'(直掃)RX Mapping'!AJ7&lt;=480)),
(MOD('(直掃)RX Mapping'!AJ7,120)-1),
IF(
(AND('(直掃)RX Mapping'!AJ7&gt;=480,'(直掃)RX Mapping'!AJ7&lt;=960)),
IF(MOD('(直掃)RX Mapping'!AJ7,120)=0, 120, 240-MOD('(直掃)RX Mapping'!AJ7,120)),9999))+IF(AND(MOD('(直掃)RX Mapping'!AJ7,120)=0, '(直掃)RX Mapping'!AJ7 &lt;= 480,  '(直掃)RX Mapping'!AJ7 &gt; 0), 120)</f>
        <v>-1</v>
      </c>
      <c r="AK7">
        <f>IF(
(AND('(直掃)RX Mapping'!AK7&gt;=0,'(直掃)RX Mapping'!AK7&lt;=480)),
(MOD('(直掃)RX Mapping'!AK7,120)-1),
IF(
(AND('(直掃)RX Mapping'!AK7&gt;=480,'(直掃)RX Mapping'!AK7&lt;=960)),
IF(MOD('(直掃)RX Mapping'!AK7,120)=0, 120, 240-MOD('(直掃)RX Mapping'!AK7,120)),9999))+IF(AND(MOD('(直掃)RX Mapping'!AK7,120)=0, '(直掃)RX Mapping'!AK7 &lt;= 480,  '(直掃)RX Mapping'!AK7 &gt; 0), 120)</f>
        <v>-1</v>
      </c>
      <c r="AL7">
        <f>IF(
(AND('(直掃)RX Mapping'!AL7&gt;=0,'(直掃)RX Mapping'!AL7&lt;=480)),
(MOD('(直掃)RX Mapping'!AL7,120)-1),
IF(
(AND('(直掃)RX Mapping'!AL7&gt;=480,'(直掃)RX Mapping'!AL7&lt;=960)),
IF(MOD('(直掃)RX Mapping'!AL7,120)=0, 120, 240-MOD('(直掃)RX Mapping'!AL7,120)),9999))+IF(AND(MOD('(直掃)RX Mapping'!AL7,120)=0, '(直掃)RX Mapping'!AL7 &lt;= 480,  '(直掃)RX Mapping'!AL7 &gt; 0), 120)</f>
        <v>-1</v>
      </c>
      <c r="AM7">
        <f>IF(
(AND('(直掃)RX Mapping'!AM7&gt;=0,'(直掃)RX Mapping'!AM7&lt;=480)),
(MOD('(直掃)RX Mapping'!AM7,120)-1),
IF(
(AND('(直掃)RX Mapping'!AM7&gt;=480,'(直掃)RX Mapping'!AM7&lt;=960)),
IF(MOD('(直掃)RX Mapping'!AM7,120)=0, 120, 240-MOD('(直掃)RX Mapping'!AM7,120)),9999))+IF(AND(MOD('(直掃)RX Mapping'!AM7,120)=0, '(直掃)RX Mapping'!AM7 &lt;= 480,  '(直掃)RX Mapping'!AM7 &gt; 0), 120)</f>
        <v>-1</v>
      </c>
      <c r="AN7">
        <f>IF(
(AND('(直掃)RX Mapping'!AN7&gt;=0,'(直掃)RX Mapping'!AN7&lt;=480)),
(MOD('(直掃)RX Mapping'!AN7,120)-1),
IF(
(AND('(直掃)RX Mapping'!AN7&gt;=480,'(直掃)RX Mapping'!AN7&lt;=960)),
IF(MOD('(直掃)RX Mapping'!AN7,120)=0, 120, 240-MOD('(直掃)RX Mapping'!AN7,120)),9999))+IF(AND(MOD('(直掃)RX Mapping'!AN7,120)=0, '(直掃)RX Mapping'!AN7 &lt;= 480,  '(直掃)RX Mapping'!AN7 &gt; 0), 120)</f>
        <v>-1</v>
      </c>
      <c r="AO7">
        <f>IF(
(AND('(直掃)RX Mapping'!AO7&gt;=0,'(直掃)RX Mapping'!AO7&lt;=480)),
(MOD('(直掃)RX Mapping'!AO7,120)-1),
IF(
(AND('(直掃)RX Mapping'!AO7&gt;=480,'(直掃)RX Mapping'!AO7&lt;=960)),
IF(MOD('(直掃)RX Mapping'!AO7,120)=0, 120, 240-MOD('(直掃)RX Mapping'!AO7,120)),9999))+IF(AND(MOD('(直掃)RX Mapping'!AO7,120)=0, '(直掃)RX Mapping'!AO7 &lt;= 480,  '(直掃)RX Mapping'!AO7 &gt; 0), 120)</f>
        <v>-1</v>
      </c>
      <c r="AP7">
        <f>IF(
(AND('(直掃)RX Mapping'!AP7&gt;=0,'(直掃)RX Mapping'!AP7&lt;=480)),
(MOD('(直掃)RX Mapping'!AP7,120)-1),
IF(
(AND('(直掃)RX Mapping'!AP7&gt;=480,'(直掃)RX Mapping'!AP7&lt;=960)),
IF(MOD('(直掃)RX Mapping'!AP7,120)=0, 120, 240-MOD('(直掃)RX Mapping'!AP7,120)),9999))+IF(AND(MOD('(直掃)RX Mapping'!AP7,120)=0, '(直掃)RX Mapping'!AP7 &lt;= 480,  '(直掃)RX Mapping'!AP7 &gt; 0), 120)</f>
        <v>-1</v>
      </c>
      <c r="AQ7">
        <f>IF(
(AND('(直掃)RX Mapping'!AQ7&gt;=0,'(直掃)RX Mapping'!AQ7&lt;=480)),
(MOD('(直掃)RX Mapping'!AQ7,120)-1),
IF(
(AND('(直掃)RX Mapping'!AQ7&gt;=480,'(直掃)RX Mapping'!AQ7&lt;=960)),
IF(MOD('(直掃)RX Mapping'!AQ7,120)=0, 120, 240-MOD('(直掃)RX Mapping'!AQ7,120)),9999))+IF(AND(MOD('(直掃)RX Mapping'!AQ7,120)=0, '(直掃)RX Mapping'!AQ7 &lt;= 480,  '(直掃)RX Mapping'!AQ7 &gt; 0), 120)</f>
        <v>-1</v>
      </c>
      <c r="AR7">
        <f>IF(
(AND('(直掃)RX Mapping'!AR7&gt;=0,'(直掃)RX Mapping'!AR7&lt;=480)),
(MOD('(直掃)RX Mapping'!AR7,120)-1),
IF(
(AND('(直掃)RX Mapping'!AR7&gt;=480,'(直掃)RX Mapping'!AR7&lt;=960)),
IF(MOD('(直掃)RX Mapping'!AR7,120)=0, 120, 240-MOD('(直掃)RX Mapping'!AR7,120)),9999))+IF(AND(MOD('(直掃)RX Mapping'!AR7,120)=0, '(直掃)RX Mapping'!AR7 &lt;= 480,  '(直掃)RX Mapping'!AR7 &gt; 0), 120)</f>
        <v>-1</v>
      </c>
      <c r="AS7">
        <f>IF(
(AND('(直掃)RX Mapping'!AS7&gt;=0,'(直掃)RX Mapping'!AS7&lt;=480)),
(MOD('(直掃)RX Mapping'!AS7,120)-1),
IF(
(AND('(直掃)RX Mapping'!AS7&gt;=480,'(直掃)RX Mapping'!AS7&lt;=960)),
IF(MOD('(直掃)RX Mapping'!AS7,120)=0, 120, 240-MOD('(直掃)RX Mapping'!AS7,120)),9999))+IF(AND(MOD('(直掃)RX Mapping'!AS7,120)=0, '(直掃)RX Mapping'!AS7 &lt;= 480,  '(直掃)RX Mapping'!AS7 &gt; 0), 120)</f>
        <v>-1</v>
      </c>
      <c r="AT7">
        <f>IF(AND('(橫掃)RX Mapping'!AT7&gt;=1,'(橫掃)RX Mapping'!AT7&lt;=120), ('(橫掃)RX Mapping'!AT7-1),IF(AND('(橫掃)RX Mapping'!AT7&gt;=121,'(橫掃)RX Mapping'!AT7&lt;=240), (-1)*('(橫掃)RX Mapping'!AT7-240),IF(AND('(橫掃)RX Mapping'!AT7&gt;=241,'(橫掃)RX Mapping'!AT7&lt;=360), ('(橫掃)RX Mapping'!AT7-241),IF(AND('(橫掃)RX Mapping'!AT7&gt;=361,'(橫掃)RX Mapping'!AT7&lt;=480), (-1)*('(橫掃)RX Mapping'!AT7-480),IF(AND('(橫掃)RX Mapping'!AT7&gt;=481,'(橫掃)RX Mapping'!AT7&lt;=600), ('(橫掃)RX Mapping'!AT7-361),IF(AND('(橫掃)RX Mapping'!AT7&gt;=601,'(橫掃)RX Mapping'!AT7&lt;=720), (-1)*('(橫掃)RX Mapping'!AT7-720)+120,IF(AND('(橫掃)RX Mapping'!AT7&gt;=721,'(橫掃)RX Mapping'!AT7&lt;=840), ('(橫掃)RX Mapping'!AT7-601),IF(AND('(橫掃)RX Mapping'!AT7&gt;=841,'(橫掃)RX Mapping'!AT7&lt;=960), (-1)*('(橫掃)RX Mapping'!AT7-960)+120,9999))))))))</f>
        <v>9999</v>
      </c>
      <c r="AU7">
        <f>IF(AND('(橫掃)RX Mapping'!AU7&gt;=1,'(橫掃)RX Mapping'!AU7&lt;=120), ('(橫掃)RX Mapping'!AU7-1),IF(AND('(橫掃)RX Mapping'!AU7&gt;=121,'(橫掃)RX Mapping'!AU7&lt;=240), (-1)*('(橫掃)RX Mapping'!AU7-240),IF(AND('(橫掃)RX Mapping'!AU7&gt;=241,'(橫掃)RX Mapping'!AU7&lt;=360), ('(橫掃)RX Mapping'!AU7-241),IF(AND('(橫掃)RX Mapping'!AU7&gt;=361,'(橫掃)RX Mapping'!AU7&lt;=480), (-1)*('(橫掃)RX Mapping'!AU7-480),IF(AND('(橫掃)RX Mapping'!AU7&gt;=481,'(橫掃)RX Mapping'!AU7&lt;=600), ('(橫掃)RX Mapping'!AU7-361),IF(AND('(橫掃)RX Mapping'!AU7&gt;=601,'(橫掃)RX Mapping'!AU7&lt;=720), (-1)*('(橫掃)RX Mapping'!AU7-720)+120,IF(AND('(橫掃)RX Mapping'!AU7&gt;=721,'(橫掃)RX Mapping'!AU7&lt;=840), ('(橫掃)RX Mapping'!AU7-601),IF(AND('(橫掃)RX Mapping'!AU7&gt;=841,'(橫掃)RX Mapping'!AU7&lt;=960), (-1)*('(橫掃)RX Mapping'!AU7-960)+120,9999))))))))</f>
        <v>9999</v>
      </c>
      <c r="AV7">
        <f>IF(AND('(橫掃)RX Mapping'!AV7&gt;=1,'(橫掃)RX Mapping'!AV7&lt;=120), ('(橫掃)RX Mapping'!AV7-1),IF(AND('(橫掃)RX Mapping'!AV7&gt;=121,'(橫掃)RX Mapping'!AV7&lt;=240), (-1)*('(橫掃)RX Mapping'!AV7-240),IF(AND('(橫掃)RX Mapping'!AV7&gt;=241,'(橫掃)RX Mapping'!AV7&lt;=360), ('(橫掃)RX Mapping'!AV7-241),IF(AND('(橫掃)RX Mapping'!AV7&gt;=361,'(橫掃)RX Mapping'!AV7&lt;=480), (-1)*('(橫掃)RX Mapping'!AV7-480),IF(AND('(橫掃)RX Mapping'!AV7&gt;=481,'(橫掃)RX Mapping'!AV7&lt;=600), ('(橫掃)RX Mapping'!AV7-361),IF(AND('(橫掃)RX Mapping'!AV7&gt;=601,'(橫掃)RX Mapping'!AV7&lt;=720), (-1)*('(橫掃)RX Mapping'!AV7-720)+120,IF(AND('(橫掃)RX Mapping'!AV7&gt;=721,'(橫掃)RX Mapping'!AV7&lt;=840), ('(橫掃)RX Mapping'!AV7-601),IF(AND('(橫掃)RX Mapping'!AV7&gt;=841,'(橫掃)RX Mapping'!AV7&lt;=960), (-1)*('(橫掃)RX Mapping'!AV7-960)+120,9999))))))))</f>
        <v>9999</v>
      </c>
      <c r="AW7">
        <f>IF(AND('(橫掃)RX Mapping'!AW7&gt;=1,'(橫掃)RX Mapping'!AW7&lt;=120), ('(橫掃)RX Mapping'!AW7-1),IF(AND('(橫掃)RX Mapping'!AW7&gt;=121,'(橫掃)RX Mapping'!AW7&lt;=240), (-1)*('(橫掃)RX Mapping'!AW7-240),IF(AND('(橫掃)RX Mapping'!AW7&gt;=241,'(橫掃)RX Mapping'!AW7&lt;=360), ('(橫掃)RX Mapping'!AW7-241),IF(AND('(橫掃)RX Mapping'!AW7&gt;=361,'(橫掃)RX Mapping'!AW7&lt;=480), (-1)*('(橫掃)RX Mapping'!AW7-480),IF(AND('(橫掃)RX Mapping'!AW7&gt;=481,'(橫掃)RX Mapping'!AW7&lt;=600), ('(橫掃)RX Mapping'!AW7-361),IF(AND('(橫掃)RX Mapping'!AW7&gt;=601,'(橫掃)RX Mapping'!AW7&lt;=720), (-1)*('(橫掃)RX Mapping'!AW7-720)+120,IF(AND('(橫掃)RX Mapping'!AW7&gt;=721,'(橫掃)RX Mapping'!AW7&lt;=840), ('(橫掃)RX Mapping'!AW7-601),IF(AND('(橫掃)RX Mapping'!AW7&gt;=841,'(橫掃)RX Mapping'!AW7&lt;=960), (-1)*('(橫掃)RX Mapping'!AW7-960)+120,9999))))))))</f>
        <v>9999</v>
      </c>
      <c r="AX7">
        <f>IF(AND('(橫掃)RX Mapping'!AX7&gt;=1,'(橫掃)RX Mapping'!AX7&lt;=120), ('(橫掃)RX Mapping'!AX7-1),IF(AND('(橫掃)RX Mapping'!AX7&gt;=121,'(橫掃)RX Mapping'!AX7&lt;=240), (-1)*('(橫掃)RX Mapping'!AX7-240),IF(AND('(橫掃)RX Mapping'!AX7&gt;=241,'(橫掃)RX Mapping'!AX7&lt;=360), ('(橫掃)RX Mapping'!AX7-241),IF(AND('(橫掃)RX Mapping'!AX7&gt;=361,'(橫掃)RX Mapping'!AX7&lt;=480), (-1)*('(橫掃)RX Mapping'!AX7-480),IF(AND('(橫掃)RX Mapping'!AX7&gt;=481,'(橫掃)RX Mapping'!AX7&lt;=600), ('(橫掃)RX Mapping'!AX7-361),IF(AND('(橫掃)RX Mapping'!AX7&gt;=601,'(橫掃)RX Mapping'!AX7&lt;=720), (-1)*('(橫掃)RX Mapping'!AX7-720)+120,IF(AND('(橫掃)RX Mapping'!AX7&gt;=721,'(橫掃)RX Mapping'!AX7&lt;=840), ('(橫掃)RX Mapping'!AX7-601),IF(AND('(橫掃)RX Mapping'!AX7&gt;=841,'(橫掃)RX Mapping'!AX7&lt;=960), (-1)*('(橫掃)RX Mapping'!AX7-960)+120,9999))))))))</f>
        <v>9999</v>
      </c>
      <c r="AY7">
        <f>IF(AND('(橫掃)RX Mapping'!AY7&gt;=1,'(橫掃)RX Mapping'!AY7&lt;=120), ('(橫掃)RX Mapping'!AY7-1),IF(AND('(橫掃)RX Mapping'!AY7&gt;=121,'(橫掃)RX Mapping'!AY7&lt;=240), (-1)*('(橫掃)RX Mapping'!AY7-240),IF(AND('(橫掃)RX Mapping'!AY7&gt;=241,'(橫掃)RX Mapping'!AY7&lt;=360), ('(橫掃)RX Mapping'!AY7-241),IF(AND('(橫掃)RX Mapping'!AY7&gt;=361,'(橫掃)RX Mapping'!AY7&lt;=480), (-1)*('(橫掃)RX Mapping'!AY7-480),IF(AND('(橫掃)RX Mapping'!AY7&gt;=481,'(橫掃)RX Mapping'!AY7&lt;=600), ('(橫掃)RX Mapping'!AY7-361),IF(AND('(橫掃)RX Mapping'!AY7&gt;=601,'(橫掃)RX Mapping'!AY7&lt;=720), (-1)*('(橫掃)RX Mapping'!AY7-720)+120,IF(AND('(橫掃)RX Mapping'!AY7&gt;=721,'(橫掃)RX Mapping'!AY7&lt;=840), ('(橫掃)RX Mapping'!AY7-601),IF(AND('(橫掃)RX Mapping'!AY7&gt;=841,'(橫掃)RX Mapping'!AY7&lt;=960), (-1)*('(橫掃)RX Mapping'!AY7-960)+120,9999))))))))</f>
        <v>9999</v>
      </c>
      <c r="AZ7">
        <f>IF(AND('(橫掃)RX Mapping'!AZ7&gt;=1,'(橫掃)RX Mapping'!AZ7&lt;=120), ('(橫掃)RX Mapping'!AZ7-1),IF(AND('(橫掃)RX Mapping'!AZ7&gt;=121,'(橫掃)RX Mapping'!AZ7&lt;=240), (-1)*('(橫掃)RX Mapping'!AZ7-240),IF(AND('(橫掃)RX Mapping'!AZ7&gt;=241,'(橫掃)RX Mapping'!AZ7&lt;=360), ('(橫掃)RX Mapping'!AZ7-241),IF(AND('(橫掃)RX Mapping'!AZ7&gt;=361,'(橫掃)RX Mapping'!AZ7&lt;=480), (-1)*('(橫掃)RX Mapping'!AZ7-480),IF(AND('(橫掃)RX Mapping'!AZ7&gt;=481,'(橫掃)RX Mapping'!AZ7&lt;=600), ('(橫掃)RX Mapping'!AZ7-361),IF(AND('(橫掃)RX Mapping'!AZ7&gt;=601,'(橫掃)RX Mapping'!AZ7&lt;=720), (-1)*('(橫掃)RX Mapping'!AZ7-720)+120,IF(AND('(橫掃)RX Mapping'!AZ7&gt;=721,'(橫掃)RX Mapping'!AZ7&lt;=840), ('(橫掃)RX Mapping'!AZ7-601),IF(AND('(橫掃)RX Mapping'!AZ7&gt;=841,'(橫掃)RX Mapping'!AZ7&lt;=960), (-1)*('(橫掃)RX Mapping'!AZ7-960)+120,9999))))))))</f>
        <v>9999</v>
      </c>
      <c r="BA7">
        <f>IF(AND('(橫掃)RX Mapping'!BA7&gt;=1,'(橫掃)RX Mapping'!BA7&lt;=120), ('(橫掃)RX Mapping'!BA7-1),IF(AND('(橫掃)RX Mapping'!BA7&gt;=121,'(橫掃)RX Mapping'!BA7&lt;=240), (-1)*('(橫掃)RX Mapping'!BA7-240),IF(AND('(橫掃)RX Mapping'!BA7&gt;=241,'(橫掃)RX Mapping'!BA7&lt;=360), ('(橫掃)RX Mapping'!BA7-241),IF(AND('(橫掃)RX Mapping'!BA7&gt;=361,'(橫掃)RX Mapping'!BA7&lt;=480), (-1)*('(橫掃)RX Mapping'!BA7-480),IF(AND('(橫掃)RX Mapping'!BA7&gt;=481,'(橫掃)RX Mapping'!BA7&lt;=600), ('(橫掃)RX Mapping'!BA7-361),IF(AND('(橫掃)RX Mapping'!BA7&gt;=601,'(橫掃)RX Mapping'!BA7&lt;=720), (-1)*('(橫掃)RX Mapping'!BA7-720)+120,IF(AND('(橫掃)RX Mapping'!BA7&gt;=721,'(橫掃)RX Mapping'!BA7&lt;=840), ('(橫掃)RX Mapping'!BA7-601),IF(AND('(橫掃)RX Mapping'!BA7&gt;=841,'(橫掃)RX Mapping'!BA7&lt;=960), (-1)*('(橫掃)RX Mapping'!BA7-960)+120,9999))))))))</f>
        <v>9999</v>
      </c>
      <c r="BB7">
        <f>IF(AND('(橫掃)RX Mapping'!BB7&gt;=1,'(橫掃)RX Mapping'!BB7&lt;=120), ('(橫掃)RX Mapping'!BB7-1),IF(AND('(橫掃)RX Mapping'!BB7&gt;=121,'(橫掃)RX Mapping'!BB7&lt;=240), (-1)*('(橫掃)RX Mapping'!BB7-240),IF(AND('(橫掃)RX Mapping'!BB7&gt;=241,'(橫掃)RX Mapping'!BB7&lt;=360), ('(橫掃)RX Mapping'!BB7-241),IF(AND('(橫掃)RX Mapping'!BB7&gt;=361,'(橫掃)RX Mapping'!BB7&lt;=480), (-1)*('(橫掃)RX Mapping'!BB7-480),IF(AND('(橫掃)RX Mapping'!BB7&gt;=481,'(橫掃)RX Mapping'!BB7&lt;=600), ('(橫掃)RX Mapping'!BB7-361),IF(AND('(橫掃)RX Mapping'!BB7&gt;=601,'(橫掃)RX Mapping'!BB7&lt;=720), (-1)*('(橫掃)RX Mapping'!BB7-720)+120,IF(AND('(橫掃)RX Mapping'!BB7&gt;=721,'(橫掃)RX Mapping'!BB7&lt;=840), ('(橫掃)RX Mapping'!BB7-601),IF(AND('(橫掃)RX Mapping'!BB7&gt;=841,'(橫掃)RX Mapping'!BB7&lt;=960), (-1)*('(橫掃)RX Mapping'!BB7-960)+120,9999))))))))</f>
        <v>9999</v>
      </c>
      <c r="BC7">
        <f>IF(AND('(橫掃)RX Mapping'!BC7&gt;=1,'(橫掃)RX Mapping'!BC7&lt;=120), ('(橫掃)RX Mapping'!BC7-1),IF(AND('(橫掃)RX Mapping'!BC7&gt;=121,'(橫掃)RX Mapping'!BC7&lt;=240), (-1)*('(橫掃)RX Mapping'!BC7-240),IF(AND('(橫掃)RX Mapping'!BC7&gt;=241,'(橫掃)RX Mapping'!BC7&lt;=360), ('(橫掃)RX Mapping'!BC7-241),IF(AND('(橫掃)RX Mapping'!BC7&gt;=361,'(橫掃)RX Mapping'!BC7&lt;=480), (-1)*('(橫掃)RX Mapping'!BC7-480),IF(AND('(橫掃)RX Mapping'!BC7&gt;=481,'(橫掃)RX Mapping'!BC7&lt;=600), ('(橫掃)RX Mapping'!BC7-361),IF(AND('(橫掃)RX Mapping'!BC7&gt;=601,'(橫掃)RX Mapping'!BC7&lt;=720), (-1)*('(橫掃)RX Mapping'!BC7-720)+120,IF(AND('(橫掃)RX Mapping'!BC7&gt;=721,'(橫掃)RX Mapping'!BC7&lt;=840), ('(橫掃)RX Mapping'!BC7-601),IF(AND('(橫掃)RX Mapping'!BC7&gt;=841,'(橫掃)RX Mapping'!BC7&lt;=960), (-1)*('(橫掃)RX Mapping'!BC7-960)+120,9999))))))))</f>
        <v>9999</v>
      </c>
      <c r="BD7">
        <f>IF(AND('(橫掃)RX Mapping'!BD7&gt;=1,'(橫掃)RX Mapping'!BD7&lt;=120), ('(橫掃)RX Mapping'!BD7-1),IF(AND('(橫掃)RX Mapping'!BD7&gt;=121,'(橫掃)RX Mapping'!BD7&lt;=240), (-1)*('(橫掃)RX Mapping'!BD7-240),IF(AND('(橫掃)RX Mapping'!BD7&gt;=241,'(橫掃)RX Mapping'!BD7&lt;=360), ('(橫掃)RX Mapping'!BD7-241),IF(AND('(橫掃)RX Mapping'!BD7&gt;=361,'(橫掃)RX Mapping'!BD7&lt;=480), (-1)*('(橫掃)RX Mapping'!BD7-480),IF(AND('(橫掃)RX Mapping'!BD7&gt;=481,'(橫掃)RX Mapping'!BD7&lt;=600), ('(橫掃)RX Mapping'!BD7-361),IF(AND('(橫掃)RX Mapping'!BD7&gt;=601,'(橫掃)RX Mapping'!BD7&lt;=720), (-1)*('(橫掃)RX Mapping'!BD7-720)+120,IF(AND('(橫掃)RX Mapping'!BD7&gt;=721,'(橫掃)RX Mapping'!BD7&lt;=840), ('(橫掃)RX Mapping'!BD7-601),IF(AND('(橫掃)RX Mapping'!BD7&gt;=841,'(橫掃)RX Mapping'!BD7&lt;=960), (-1)*('(橫掃)RX Mapping'!BD7-960)+120,9999))))))))</f>
        <v>9999</v>
      </c>
      <c r="BE7">
        <f>IF(AND('(橫掃)RX Mapping'!BE7&gt;=1,'(橫掃)RX Mapping'!BE7&lt;=120), ('(橫掃)RX Mapping'!BE7-1),IF(AND('(橫掃)RX Mapping'!BE7&gt;=121,'(橫掃)RX Mapping'!BE7&lt;=240), (-1)*('(橫掃)RX Mapping'!BE7-240),IF(AND('(橫掃)RX Mapping'!BE7&gt;=241,'(橫掃)RX Mapping'!BE7&lt;=360), ('(橫掃)RX Mapping'!BE7-241),IF(AND('(橫掃)RX Mapping'!BE7&gt;=361,'(橫掃)RX Mapping'!BE7&lt;=480), (-1)*('(橫掃)RX Mapping'!BE7-480),IF(AND('(橫掃)RX Mapping'!BE7&gt;=481,'(橫掃)RX Mapping'!BE7&lt;=600), ('(橫掃)RX Mapping'!BE7-361),IF(AND('(橫掃)RX Mapping'!BE7&gt;=601,'(橫掃)RX Mapping'!BE7&lt;=720), (-1)*('(橫掃)RX Mapping'!BE7-720)+120,IF(AND('(橫掃)RX Mapping'!BE7&gt;=721,'(橫掃)RX Mapping'!BE7&lt;=840), ('(橫掃)RX Mapping'!BE7-601),IF(AND('(橫掃)RX Mapping'!BE7&gt;=841,'(橫掃)RX Mapping'!BE7&lt;=960), (-1)*('(橫掃)RX Mapping'!BE7-960)+120,9999))))))))</f>
        <v>9999</v>
      </c>
      <c r="BF7">
        <f>IF(AND('(橫掃)RX Mapping'!BF7&gt;=1,'(橫掃)RX Mapping'!BF7&lt;=120), ('(橫掃)RX Mapping'!BF7-1),IF(AND('(橫掃)RX Mapping'!BF7&gt;=121,'(橫掃)RX Mapping'!BF7&lt;=240), (-1)*('(橫掃)RX Mapping'!BF7-240),IF(AND('(橫掃)RX Mapping'!BF7&gt;=241,'(橫掃)RX Mapping'!BF7&lt;=360), ('(橫掃)RX Mapping'!BF7-241),IF(AND('(橫掃)RX Mapping'!BF7&gt;=361,'(橫掃)RX Mapping'!BF7&lt;=480), (-1)*('(橫掃)RX Mapping'!BF7-480),IF(AND('(橫掃)RX Mapping'!BF7&gt;=481,'(橫掃)RX Mapping'!BF7&lt;=600), ('(橫掃)RX Mapping'!BF7-361),IF(AND('(橫掃)RX Mapping'!BF7&gt;=601,'(橫掃)RX Mapping'!BF7&lt;=720), (-1)*('(橫掃)RX Mapping'!BF7-720)+120,IF(AND('(橫掃)RX Mapping'!BF7&gt;=721,'(橫掃)RX Mapping'!BF7&lt;=840), ('(橫掃)RX Mapping'!BF7-601),IF(AND('(橫掃)RX Mapping'!BF7&gt;=841,'(橫掃)RX Mapping'!BF7&lt;=960), (-1)*('(橫掃)RX Mapping'!BF7-960)+120,9999))))))))</f>
        <v>9999</v>
      </c>
      <c r="BG7">
        <f>IF(AND('(橫掃)RX Mapping'!BG7&gt;=1,'(橫掃)RX Mapping'!BG7&lt;=120), ('(橫掃)RX Mapping'!BG7-1),IF(AND('(橫掃)RX Mapping'!BG7&gt;=121,'(橫掃)RX Mapping'!BG7&lt;=240), (-1)*('(橫掃)RX Mapping'!BG7-240),IF(AND('(橫掃)RX Mapping'!BG7&gt;=241,'(橫掃)RX Mapping'!BG7&lt;=360), ('(橫掃)RX Mapping'!BG7-241),IF(AND('(橫掃)RX Mapping'!BG7&gt;=361,'(橫掃)RX Mapping'!BG7&lt;=480), (-1)*('(橫掃)RX Mapping'!BG7-480),IF(AND('(橫掃)RX Mapping'!BG7&gt;=481,'(橫掃)RX Mapping'!BG7&lt;=600), ('(橫掃)RX Mapping'!BG7-361),IF(AND('(橫掃)RX Mapping'!BG7&gt;=601,'(橫掃)RX Mapping'!BG7&lt;=720), (-1)*('(橫掃)RX Mapping'!BG7-720)+120,IF(AND('(橫掃)RX Mapping'!BG7&gt;=721,'(橫掃)RX Mapping'!BG7&lt;=840), ('(橫掃)RX Mapping'!BG7-601),IF(AND('(橫掃)RX Mapping'!BG7&gt;=841,'(橫掃)RX Mapping'!BG7&lt;=960), (-1)*('(橫掃)RX Mapping'!BG7-960)+120,9999))))))))</f>
        <v>9999</v>
      </c>
      <c r="BH7">
        <f>IF(AND('(橫掃)RX Mapping'!BH7&gt;=1,'(橫掃)RX Mapping'!BH7&lt;=120), ('(橫掃)RX Mapping'!BH7-1),IF(AND('(橫掃)RX Mapping'!BH7&gt;=121,'(橫掃)RX Mapping'!BH7&lt;=240), (-1)*('(橫掃)RX Mapping'!BH7-240),IF(AND('(橫掃)RX Mapping'!BH7&gt;=241,'(橫掃)RX Mapping'!BH7&lt;=360), ('(橫掃)RX Mapping'!BH7-241),IF(AND('(橫掃)RX Mapping'!BH7&gt;=361,'(橫掃)RX Mapping'!BH7&lt;=480), (-1)*('(橫掃)RX Mapping'!BH7-480),IF(AND('(橫掃)RX Mapping'!BH7&gt;=481,'(橫掃)RX Mapping'!BH7&lt;=600), ('(橫掃)RX Mapping'!BH7-361),IF(AND('(橫掃)RX Mapping'!BH7&gt;=601,'(橫掃)RX Mapping'!BH7&lt;=720), (-1)*('(橫掃)RX Mapping'!BH7-720)+120,IF(AND('(橫掃)RX Mapping'!BH7&gt;=721,'(橫掃)RX Mapping'!BH7&lt;=840), ('(橫掃)RX Mapping'!BH7-601),IF(AND('(橫掃)RX Mapping'!BH7&gt;=841,'(橫掃)RX Mapping'!BH7&lt;=960), (-1)*('(橫掃)RX Mapping'!BH7-960)+120,9999))))))))</f>
        <v>9999</v>
      </c>
      <c r="BI7">
        <f>IF(AND('(橫掃)RX Mapping'!BI7&gt;=1,'(橫掃)RX Mapping'!BI7&lt;=120), ('(橫掃)RX Mapping'!BI7-1),IF(AND('(橫掃)RX Mapping'!BI7&gt;=121,'(橫掃)RX Mapping'!BI7&lt;=240), (-1)*('(橫掃)RX Mapping'!BI7-240),IF(AND('(橫掃)RX Mapping'!BI7&gt;=241,'(橫掃)RX Mapping'!BI7&lt;=360), ('(橫掃)RX Mapping'!BI7-241),IF(AND('(橫掃)RX Mapping'!BI7&gt;=361,'(橫掃)RX Mapping'!BI7&lt;=480), (-1)*('(橫掃)RX Mapping'!BI7-480),IF(AND('(橫掃)RX Mapping'!BI7&gt;=481,'(橫掃)RX Mapping'!BI7&lt;=600), ('(橫掃)RX Mapping'!BI7-361),IF(AND('(橫掃)RX Mapping'!BI7&gt;=601,'(橫掃)RX Mapping'!BI7&lt;=720), (-1)*('(橫掃)RX Mapping'!BI7-720)+120,IF(AND('(橫掃)RX Mapping'!BI7&gt;=721,'(橫掃)RX Mapping'!BI7&lt;=840), ('(橫掃)RX Mapping'!BI7-601),IF(AND('(橫掃)RX Mapping'!BI7&gt;=841,'(橫掃)RX Mapping'!BI7&lt;=960), (-1)*('(橫掃)RX Mapping'!BI7-960)+120,9999))))))))</f>
        <v>9999</v>
      </c>
    </row>
    <row r="8" spans="1:61" x14ac:dyDescent="0.25">
      <c r="A8" s="20">
        <v>7</v>
      </c>
      <c r="B8">
        <f>IF(
(AND('(直掃)RX Mapping'!B8&gt;=0,'(直掃)RX Mapping'!B8&lt;=480)),
(MOD('(直掃)RX Mapping'!B8,120)-1),
IF(
(AND('(直掃)RX Mapping'!B8&gt;=480,'(直掃)RX Mapping'!B8&lt;=960)),
IF(MOD('(直掃)RX Mapping'!B8,120)=0, 120, 240-MOD('(直掃)RX Mapping'!B8,120)),9999))+IF(AND(MOD('(直掃)RX Mapping'!B8,120)=0, '(直掃)RX Mapping'!B8 &lt;= 480,  '(直掃)RX Mapping'!B8 &gt; 0), 120)</f>
        <v>126</v>
      </c>
      <c r="C8">
        <f>IF(
(AND('(直掃)RX Mapping'!C8&gt;=0,'(直掃)RX Mapping'!C8&lt;=480)),
(MOD('(直掃)RX Mapping'!C8,120)-1),
IF(
(AND('(直掃)RX Mapping'!C8&gt;=480,'(直掃)RX Mapping'!C8&lt;=960)),
IF(MOD('(直掃)RX Mapping'!C8,120)=0, 120, 240-MOD('(直掃)RX Mapping'!C8,120)),9999))+IF(AND(MOD('(直掃)RX Mapping'!C8,120)=0, '(直掃)RX Mapping'!C8 &lt;= 480,  '(直掃)RX Mapping'!C8 &gt; 0), 120)</f>
        <v>156</v>
      </c>
      <c r="D8">
        <f>IF(
(AND('(直掃)RX Mapping'!D8&gt;=0,'(直掃)RX Mapping'!D8&lt;=480)),
(MOD('(直掃)RX Mapping'!D8,120)-1),
IF(
(AND('(直掃)RX Mapping'!D8&gt;=480,'(直掃)RX Mapping'!D8&lt;=960)),
IF(MOD('(直掃)RX Mapping'!D8,120)=0, 120, 240-MOD('(直掃)RX Mapping'!D8,120)),9999))+IF(AND(MOD('(直掃)RX Mapping'!D8,120)=0, '(直掃)RX Mapping'!D8 &lt;= 480,  '(直掃)RX Mapping'!D8 &gt; 0), 120)</f>
        <v>186</v>
      </c>
      <c r="E8">
        <f>IF(
(AND('(直掃)RX Mapping'!E8&gt;=0,'(直掃)RX Mapping'!E8&lt;=480)),
(MOD('(直掃)RX Mapping'!E8,120)-1),
IF(
(AND('(直掃)RX Mapping'!E8&gt;=480,'(直掃)RX Mapping'!E8&lt;=960)),
IF(MOD('(直掃)RX Mapping'!E8,120)=0, 120, 240-MOD('(直掃)RX Mapping'!E8,120)),9999))+IF(AND(MOD('(直掃)RX Mapping'!E8,120)=0, '(直掃)RX Mapping'!E8 &lt;= 480,  '(直掃)RX Mapping'!E8 &gt; 0), 120)</f>
        <v>126</v>
      </c>
      <c r="F8">
        <f>IF(
(AND('(直掃)RX Mapping'!F8&gt;=0,'(直掃)RX Mapping'!F8&lt;=480)),
(MOD('(直掃)RX Mapping'!F8,120)-1),
IF(
(AND('(直掃)RX Mapping'!F8&gt;=480,'(直掃)RX Mapping'!F8&lt;=960)),
IF(MOD('(直掃)RX Mapping'!F8,120)=0, 120, 240-MOD('(直掃)RX Mapping'!F8,120)),9999))+IF(AND(MOD('(直掃)RX Mapping'!F8,120)=0, '(直掃)RX Mapping'!F8 &lt;= 480,  '(直掃)RX Mapping'!F8 &gt; 0), 120)</f>
        <v>156</v>
      </c>
      <c r="G8">
        <f>IF(
(AND('(直掃)RX Mapping'!G8&gt;=0,'(直掃)RX Mapping'!G8&lt;=480)),
(MOD('(直掃)RX Mapping'!G8,120)-1),
IF(
(AND('(直掃)RX Mapping'!G8&gt;=480,'(直掃)RX Mapping'!G8&lt;=960)),
IF(MOD('(直掃)RX Mapping'!G8,120)=0, 120, 240-MOD('(直掃)RX Mapping'!G8,120)),9999))+IF(AND(MOD('(直掃)RX Mapping'!G8,120)=0, '(直掃)RX Mapping'!G8 &lt;= 480,  '(直掃)RX Mapping'!G8 &gt; 0), 120)</f>
        <v>186</v>
      </c>
      <c r="H8">
        <f>IF(
(AND('(直掃)RX Mapping'!H8&gt;=0,'(直掃)RX Mapping'!H8&lt;=480)),
(MOD('(直掃)RX Mapping'!H8,120)-1),
IF(
(AND('(直掃)RX Mapping'!H8&gt;=480,'(直掃)RX Mapping'!H8&lt;=960)),
IF(MOD('(直掃)RX Mapping'!H8,120)=0, 120, 240-MOD('(直掃)RX Mapping'!H8,120)),9999))+IF(AND(MOD('(直掃)RX Mapping'!H8,120)=0, '(直掃)RX Mapping'!H8 &lt;= 480,  '(直掃)RX Mapping'!H8 &gt; 0), 120)</f>
        <v>126</v>
      </c>
      <c r="I8">
        <f>IF(
(AND('(直掃)RX Mapping'!I8&gt;=0,'(直掃)RX Mapping'!I8&lt;=480)),
(MOD('(直掃)RX Mapping'!I8,120)-1),
IF(
(AND('(直掃)RX Mapping'!I8&gt;=480,'(直掃)RX Mapping'!I8&lt;=960)),
IF(MOD('(直掃)RX Mapping'!I8,120)=0, 120, 240-MOD('(直掃)RX Mapping'!I8,120)),9999))+IF(AND(MOD('(直掃)RX Mapping'!I8,120)=0, '(直掃)RX Mapping'!I8 &lt;= 480,  '(直掃)RX Mapping'!I8 &gt; 0), 120)</f>
        <v>156</v>
      </c>
      <c r="J8">
        <f>IF(
(AND('(直掃)RX Mapping'!J8&gt;=0,'(直掃)RX Mapping'!J8&lt;=480)),
(MOD('(直掃)RX Mapping'!J8,120)-1),
IF(
(AND('(直掃)RX Mapping'!J8&gt;=480,'(直掃)RX Mapping'!J8&lt;=960)),
IF(MOD('(直掃)RX Mapping'!J8,120)=0, 120, 240-MOD('(直掃)RX Mapping'!J8,120)),9999))+IF(AND(MOD('(直掃)RX Mapping'!J8,120)=0, '(直掃)RX Mapping'!J8 &lt;= 480,  '(直掃)RX Mapping'!J8 &gt; 0), 120)</f>
        <v>186</v>
      </c>
      <c r="K8">
        <f>IF(
(AND('(直掃)RX Mapping'!K8&gt;=0,'(直掃)RX Mapping'!K8&lt;=480)),
(MOD('(直掃)RX Mapping'!K8,120)-1),
IF(
(AND('(直掃)RX Mapping'!K8&gt;=480,'(直掃)RX Mapping'!K8&lt;=960)),
IF(MOD('(直掃)RX Mapping'!K8,120)=0, 120, 240-MOD('(直掃)RX Mapping'!K8,120)),9999))+IF(AND(MOD('(直掃)RX Mapping'!K8,120)=0, '(直掃)RX Mapping'!K8 &lt;= 480,  '(直掃)RX Mapping'!K8 &gt; 0), 120)</f>
        <v>216</v>
      </c>
      <c r="L8">
        <f>IF(
(AND('(直掃)RX Mapping'!L8&gt;=0,'(直掃)RX Mapping'!L8&lt;=480)),
(MOD('(直掃)RX Mapping'!L8,120)-1),
IF(
(AND('(直掃)RX Mapping'!L8&gt;=480,'(直掃)RX Mapping'!L8&lt;=960)),
IF(MOD('(直掃)RX Mapping'!L8,120)=0, 120, 240-MOD('(直掃)RX Mapping'!L8,120)),9999))+IF(AND(MOD('(直掃)RX Mapping'!L8,120)=0, '(直掃)RX Mapping'!L8 &lt;= 480,  '(直掃)RX Mapping'!L8 &gt; 0), 120)</f>
        <v>126</v>
      </c>
      <c r="M8">
        <f>IF(
(AND('(直掃)RX Mapping'!M8&gt;=0,'(直掃)RX Mapping'!M8&lt;=480)),
(MOD('(直掃)RX Mapping'!M8,120)-1),
IF(
(AND('(直掃)RX Mapping'!M8&gt;=480,'(直掃)RX Mapping'!M8&lt;=960)),
IF(MOD('(直掃)RX Mapping'!M8,120)=0, 120, 240-MOD('(直掃)RX Mapping'!M8,120)),9999))+IF(AND(MOD('(直掃)RX Mapping'!M8,120)=0, '(直掃)RX Mapping'!M8 &lt;= 480,  '(直掃)RX Mapping'!M8 &gt; 0), 120)</f>
        <v>156</v>
      </c>
      <c r="N8">
        <f>IF(
(AND('(直掃)RX Mapping'!N8&gt;=0,'(直掃)RX Mapping'!N8&lt;=480)),
(MOD('(直掃)RX Mapping'!N8,120)-1),
IF(
(AND('(直掃)RX Mapping'!N8&gt;=480,'(直掃)RX Mapping'!N8&lt;=960)),
IF(MOD('(直掃)RX Mapping'!N8,120)=0, 120, 240-MOD('(直掃)RX Mapping'!N8,120)),9999))+IF(AND(MOD('(直掃)RX Mapping'!N8,120)=0, '(直掃)RX Mapping'!N8 &lt;= 480,  '(直掃)RX Mapping'!N8 &gt; 0), 120)</f>
        <v>186</v>
      </c>
      <c r="O8">
        <f>IF(
(AND('(直掃)RX Mapping'!O8&gt;=0,'(直掃)RX Mapping'!O8&lt;=480)),
(MOD('(直掃)RX Mapping'!O8,120)-1),
IF(
(AND('(直掃)RX Mapping'!O8&gt;=480,'(直掃)RX Mapping'!O8&lt;=960)),
IF(MOD('(直掃)RX Mapping'!O8,120)=0, 120, 240-MOD('(直掃)RX Mapping'!O8,120)),9999))+IF(AND(MOD('(直掃)RX Mapping'!O8,120)=0, '(直掃)RX Mapping'!O8 &lt;= 480,  '(直掃)RX Mapping'!O8 &gt; 0), 120)</f>
        <v>216</v>
      </c>
      <c r="P8">
        <f>IF(
(AND('(直掃)RX Mapping'!P8&gt;=0,'(直掃)RX Mapping'!P8&lt;=480)),
(MOD('(直掃)RX Mapping'!P8,120)-1),
IF(
(AND('(直掃)RX Mapping'!P8&gt;=480,'(直掃)RX Mapping'!P8&lt;=960)),
IF(MOD('(直掃)RX Mapping'!P8,120)=0, 120, 240-MOD('(直掃)RX Mapping'!P8,120)),9999))+IF(AND(MOD('(直掃)RX Mapping'!P8,120)=0, '(直掃)RX Mapping'!P8 &lt;= 480,  '(直掃)RX Mapping'!P8 &gt; 0), 120)</f>
        <v>113</v>
      </c>
      <c r="Q8">
        <f>IF(
(AND('(直掃)RX Mapping'!Q8&gt;=0,'(直掃)RX Mapping'!Q8&lt;=480)),
(MOD('(直掃)RX Mapping'!Q8,120)-1),
IF(
(AND('(直掃)RX Mapping'!Q8&gt;=480,'(直掃)RX Mapping'!Q8&lt;=960)),
IF(MOD('(直掃)RX Mapping'!Q8,120)=0, 120, 240-MOD('(直掃)RX Mapping'!Q8,120)),9999))+IF(AND(MOD('(直掃)RX Mapping'!Q8,120)=0, '(直掃)RX Mapping'!Q8 &lt;= 480,  '(直掃)RX Mapping'!Q8 &gt; 0), 120)</f>
        <v>83</v>
      </c>
      <c r="R8">
        <f>IF(
(AND('(直掃)RX Mapping'!R8&gt;=0,'(直掃)RX Mapping'!R8&lt;=480)),
(MOD('(直掃)RX Mapping'!R8,120)-1),
IF(
(AND('(直掃)RX Mapping'!R8&gt;=480,'(直掃)RX Mapping'!R8&lt;=960)),
IF(MOD('(直掃)RX Mapping'!R8,120)=0, 120, 240-MOD('(直掃)RX Mapping'!R8,120)),9999))+IF(AND(MOD('(直掃)RX Mapping'!R8,120)=0, '(直掃)RX Mapping'!R8 &lt;= 480,  '(直掃)RX Mapping'!R8 &gt; 0), 120)</f>
        <v>53</v>
      </c>
      <c r="S8">
        <f>IF(
(AND('(直掃)RX Mapping'!S8&gt;=0,'(直掃)RX Mapping'!S8&lt;=480)),
(MOD('(直掃)RX Mapping'!S8,120)-1),
IF(
(AND('(直掃)RX Mapping'!S8&gt;=480,'(直掃)RX Mapping'!S8&lt;=960)),
IF(MOD('(直掃)RX Mapping'!S8,120)=0, 120, 240-MOD('(直掃)RX Mapping'!S8,120)),9999))+IF(AND(MOD('(直掃)RX Mapping'!S8,120)=0, '(直掃)RX Mapping'!S8 &lt;= 480,  '(直掃)RX Mapping'!S8 &gt; 0), 120)</f>
        <v>23</v>
      </c>
      <c r="T8">
        <f>IF(
(AND('(直掃)RX Mapping'!T8&gt;=0,'(直掃)RX Mapping'!T8&lt;=480)),
(MOD('(直掃)RX Mapping'!T8,120)-1),
IF(
(AND('(直掃)RX Mapping'!T8&gt;=480,'(直掃)RX Mapping'!T8&lt;=960)),
IF(MOD('(直掃)RX Mapping'!T8,120)=0, 120, 240-MOD('(直掃)RX Mapping'!T8,120)),9999))+IF(AND(MOD('(直掃)RX Mapping'!T8,120)=0, '(直掃)RX Mapping'!T8 &lt;= 480,  '(直掃)RX Mapping'!T8 &gt; 0), 120)</f>
        <v>113</v>
      </c>
      <c r="U8">
        <f>IF(
(AND('(直掃)RX Mapping'!U8&gt;=0,'(直掃)RX Mapping'!U8&lt;=480)),
(MOD('(直掃)RX Mapping'!U8,120)-1),
IF(
(AND('(直掃)RX Mapping'!U8&gt;=480,'(直掃)RX Mapping'!U8&lt;=960)),
IF(MOD('(直掃)RX Mapping'!U8,120)=0, 120, 240-MOD('(直掃)RX Mapping'!U8,120)),9999))+IF(AND(MOD('(直掃)RX Mapping'!U8,120)=0, '(直掃)RX Mapping'!U8 &lt;= 480,  '(直掃)RX Mapping'!U8 &gt; 0), 120)</f>
        <v>83</v>
      </c>
      <c r="V8">
        <f>IF(
(AND('(直掃)RX Mapping'!V8&gt;=0,'(直掃)RX Mapping'!V8&lt;=480)),
(MOD('(直掃)RX Mapping'!V8,120)-1),
IF(
(AND('(直掃)RX Mapping'!V8&gt;=480,'(直掃)RX Mapping'!V8&lt;=960)),
IF(MOD('(直掃)RX Mapping'!V8,120)=0, 120, 240-MOD('(直掃)RX Mapping'!V8,120)),9999))+IF(AND(MOD('(直掃)RX Mapping'!V8,120)=0, '(直掃)RX Mapping'!V8 &lt;= 480,  '(直掃)RX Mapping'!V8 &gt; 0), 120)</f>
        <v>53</v>
      </c>
      <c r="W8">
        <f>IF(
(AND('(直掃)RX Mapping'!W8&gt;=0,'(直掃)RX Mapping'!W8&lt;=480)),
(MOD('(直掃)RX Mapping'!W8,120)-1),
IF(
(AND('(直掃)RX Mapping'!W8&gt;=480,'(直掃)RX Mapping'!W8&lt;=960)),
IF(MOD('(直掃)RX Mapping'!W8,120)=0, 120, 240-MOD('(直掃)RX Mapping'!W8,120)),9999))+IF(AND(MOD('(直掃)RX Mapping'!W8,120)=0, '(直掃)RX Mapping'!W8 &lt;= 480,  '(直掃)RX Mapping'!W8 &gt; 0), 120)</f>
        <v>23</v>
      </c>
      <c r="X8">
        <f>IF(
(AND('(直掃)RX Mapping'!X8&gt;=0,'(直掃)RX Mapping'!X8&lt;=480)),
(MOD('(直掃)RX Mapping'!X8,120)-1),
IF(
(AND('(直掃)RX Mapping'!X8&gt;=480,'(直掃)RX Mapping'!X8&lt;=960)),
IF(MOD('(直掃)RX Mapping'!X8,120)=0, 120, 240-MOD('(直掃)RX Mapping'!X8,120)),9999))+IF(AND(MOD('(直掃)RX Mapping'!X8,120)=0, '(直掃)RX Mapping'!X8 &lt;= 480,  '(直掃)RX Mapping'!X8 &gt; 0), 120)</f>
        <v>83</v>
      </c>
      <c r="Y8">
        <f>IF(
(AND('(直掃)RX Mapping'!Y8&gt;=0,'(直掃)RX Mapping'!Y8&lt;=480)),
(MOD('(直掃)RX Mapping'!Y8,120)-1),
IF(
(AND('(直掃)RX Mapping'!Y8&gt;=480,'(直掃)RX Mapping'!Y8&lt;=960)),
IF(MOD('(直掃)RX Mapping'!Y8,120)=0, 120, 240-MOD('(直掃)RX Mapping'!Y8,120)),9999))+IF(AND(MOD('(直掃)RX Mapping'!Y8,120)=0, '(直掃)RX Mapping'!Y8 &lt;= 480,  '(直掃)RX Mapping'!Y8 &gt; 0), 120)</f>
        <v>53</v>
      </c>
      <c r="Z8">
        <f>IF(
(AND('(直掃)RX Mapping'!Z8&gt;=0,'(直掃)RX Mapping'!Z8&lt;=480)),
(MOD('(直掃)RX Mapping'!Z8,120)-1),
IF(
(AND('(直掃)RX Mapping'!Z8&gt;=480,'(直掃)RX Mapping'!Z8&lt;=960)),
IF(MOD('(直掃)RX Mapping'!Z8,120)=0, 120, 240-MOD('(直掃)RX Mapping'!Z8,120)),9999))+IF(AND(MOD('(直掃)RX Mapping'!Z8,120)=0, '(直掃)RX Mapping'!Z8 &lt;= 480,  '(直掃)RX Mapping'!Z8 &gt; 0), 120)</f>
        <v>23</v>
      </c>
      <c r="AA8">
        <f>IF(
(AND('(直掃)RX Mapping'!AA8&gt;=0,'(直掃)RX Mapping'!AA8&lt;=480)),
(MOD('(直掃)RX Mapping'!AA8,120)-1),
IF(
(AND('(直掃)RX Mapping'!AA8&gt;=480,'(直掃)RX Mapping'!AA8&lt;=960)),
IF(MOD('(直掃)RX Mapping'!AA8,120)=0, 120, 240-MOD('(直掃)RX Mapping'!AA8,120)),9999))+IF(AND(MOD('(直掃)RX Mapping'!AA8,120)=0, '(直掃)RX Mapping'!AA8 &lt;= 480,  '(直掃)RX Mapping'!AA8 &gt; 0), 120)</f>
        <v>83</v>
      </c>
      <c r="AB8">
        <f>IF(
(AND('(直掃)RX Mapping'!AB8&gt;=0,'(直掃)RX Mapping'!AB8&lt;=480)),
(MOD('(直掃)RX Mapping'!AB8,120)-1),
IF(
(AND('(直掃)RX Mapping'!AB8&gt;=480,'(直掃)RX Mapping'!AB8&lt;=960)),
IF(MOD('(直掃)RX Mapping'!AB8,120)=0, 120, 240-MOD('(直掃)RX Mapping'!AB8,120)),9999))+IF(AND(MOD('(直掃)RX Mapping'!AB8,120)=0, '(直掃)RX Mapping'!AB8 &lt;= 480,  '(直掃)RX Mapping'!AB8 &gt; 0), 120)</f>
        <v>53</v>
      </c>
      <c r="AC8">
        <f>IF(
(AND('(直掃)RX Mapping'!AC8&gt;=0,'(直掃)RX Mapping'!AC8&lt;=480)),
(MOD('(直掃)RX Mapping'!AC8,120)-1),
IF(
(AND('(直掃)RX Mapping'!AC8&gt;=480,'(直掃)RX Mapping'!AC8&lt;=960)),
IF(MOD('(直掃)RX Mapping'!AC8,120)=0, 120, 240-MOD('(直掃)RX Mapping'!AC8,120)),9999))+IF(AND(MOD('(直掃)RX Mapping'!AC8,120)=0, '(直掃)RX Mapping'!AC8 &lt;= 480,  '(直掃)RX Mapping'!AC8 &gt; 0), 120)</f>
        <v>23</v>
      </c>
      <c r="AD8">
        <f>IF(
(AND('(直掃)RX Mapping'!AD8&gt;=0,'(直掃)RX Mapping'!AD8&lt;=480)),
(MOD('(直掃)RX Mapping'!AD8,120)-1),
IF(
(AND('(直掃)RX Mapping'!AD8&gt;=480,'(直掃)RX Mapping'!AD8&lt;=960)),
IF(MOD('(直掃)RX Mapping'!AD8,120)=0, 120, 240-MOD('(直掃)RX Mapping'!AD8,120)),9999))+IF(AND(MOD('(直掃)RX Mapping'!AD8,120)=0, '(直掃)RX Mapping'!AD8 &lt;= 480,  '(直掃)RX Mapping'!AD8 &gt; 0), 120)</f>
        <v>-1</v>
      </c>
      <c r="AE8">
        <f>IF(
(AND('(直掃)RX Mapping'!AE8&gt;=0,'(直掃)RX Mapping'!AE8&lt;=480)),
(MOD('(直掃)RX Mapping'!AE8,120)-1),
IF(
(AND('(直掃)RX Mapping'!AE8&gt;=480,'(直掃)RX Mapping'!AE8&lt;=960)),
IF(MOD('(直掃)RX Mapping'!AE8,120)=0, 120, 240-MOD('(直掃)RX Mapping'!AE8,120)),9999))+IF(AND(MOD('(直掃)RX Mapping'!AE8,120)=0, '(直掃)RX Mapping'!AE8 &lt;= 480,  '(直掃)RX Mapping'!AE8 &gt; 0), 120)</f>
        <v>-1</v>
      </c>
      <c r="AF8">
        <f>IF(
(AND('(直掃)RX Mapping'!AF8&gt;=0,'(直掃)RX Mapping'!AF8&lt;=480)),
(MOD('(直掃)RX Mapping'!AF8,120)-1),
IF(
(AND('(直掃)RX Mapping'!AF8&gt;=480,'(直掃)RX Mapping'!AF8&lt;=960)),
IF(MOD('(直掃)RX Mapping'!AF8,120)=0, 120, 240-MOD('(直掃)RX Mapping'!AF8,120)),9999))+IF(AND(MOD('(直掃)RX Mapping'!AF8,120)=0, '(直掃)RX Mapping'!AF8 &lt;= 480,  '(直掃)RX Mapping'!AF8 &gt; 0), 120)</f>
        <v>-1</v>
      </c>
      <c r="AG8">
        <f>IF(
(AND('(直掃)RX Mapping'!AG8&gt;=0,'(直掃)RX Mapping'!AG8&lt;=480)),
(MOD('(直掃)RX Mapping'!AG8,120)-1),
IF(
(AND('(直掃)RX Mapping'!AG8&gt;=480,'(直掃)RX Mapping'!AG8&lt;=960)),
IF(MOD('(直掃)RX Mapping'!AG8,120)=0, 120, 240-MOD('(直掃)RX Mapping'!AG8,120)),9999))+IF(AND(MOD('(直掃)RX Mapping'!AG8,120)=0, '(直掃)RX Mapping'!AG8 &lt;= 480,  '(直掃)RX Mapping'!AG8 &gt; 0), 120)</f>
        <v>-1</v>
      </c>
      <c r="AH8">
        <f>IF(
(AND('(直掃)RX Mapping'!AH8&gt;=0,'(直掃)RX Mapping'!AH8&lt;=480)),
(MOD('(直掃)RX Mapping'!AH8,120)-1),
IF(
(AND('(直掃)RX Mapping'!AH8&gt;=480,'(直掃)RX Mapping'!AH8&lt;=960)),
IF(MOD('(直掃)RX Mapping'!AH8,120)=0, 120, 240-MOD('(直掃)RX Mapping'!AH8,120)),9999))+IF(AND(MOD('(直掃)RX Mapping'!AH8,120)=0, '(直掃)RX Mapping'!AH8 &lt;= 480,  '(直掃)RX Mapping'!AH8 &gt; 0), 120)</f>
        <v>-1</v>
      </c>
      <c r="AI8">
        <f>IF(
(AND('(直掃)RX Mapping'!AI8&gt;=0,'(直掃)RX Mapping'!AI8&lt;=480)),
(MOD('(直掃)RX Mapping'!AI8,120)-1),
IF(
(AND('(直掃)RX Mapping'!AI8&gt;=480,'(直掃)RX Mapping'!AI8&lt;=960)),
IF(MOD('(直掃)RX Mapping'!AI8,120)=0, 120, 240-MOD('(直掃)RX Mapping'!AI8,120)),9999))+IF(AND(MOD('(直掃)RX Mapping'!AI8,120)=0, '(直掃)RX Mapping'!AI8 &lt;= 480,  '(直掃)RX Mapping'!AI8 &gt; 0), 120)</f>
        <v>-1</v>
      </c>
      <c r="AJ8">
        <f>IF(
(AND('(直掃)RX Mapping'!AJ8&gt;=0,'(直掃)RX Mapping'!AJ8&lt;=480)),
(MOD('(直掃)RX Mapping'!AJ8,120)-1),
IF(
(AND('(直掃)RX Mapping'!AJ8&gt;=480,'(直掃)RX Mapping'!AJ8&lt;=960)),
IF(MOD('(直掃)RX Mapping'!AJ8,120)=0, 120, 240-MOD('(直掃)RX Mapping'!AJ8,120)),9999))+IF(AND(MOD('(直掃)RX Mapping'!AJ8,120)=0, '(直掃)RX Mapping'!AJ8 &lt;= 480,  '(直掃)RX Mapping'!AJ8 &gt; 0), 120)</f>
        <v>-1</v>
      </c>
      <c r="AK8">
        <f>IF(
(AND('(直掃)RX Mapping'!AK8&gt;=0,'(直掃)RX Mapping'!AK8&lt;=480)),
(MOD('(直掃)RX Mapping'!AK8,120)-1),
IF(
(AND('(直掃)RX Mapping'!AK8&gt;=480,'(直掃)RX Mapping'!AK8&lt;=960)),
IF(MOD('(直掃)RX Mapping'!AK8,120)=0, 120, 240-MOD('(直掃)RX Mapping'!AK8,120)),9999))+IF(AND(MOD('(直掃)RX Mapping'!AK8,120)=0, '(直掃)RX Mapping'!AK8 &lt;= 480,  '(直掃)RX Mapping'!AK8 &gt; 0), 120)</f>
        <v>-1</v>
      </c>
      <c r="AL8">
        <f>IF(
(AND('(直掃)RX Mapping'!AL8&gt;=0,'(直掃)RX Mapping'!AL8&lt;=480)),
(MOD('(直掃)RX Mapping'!AL8,120)-1),
IF(
(AND('(直掃)RX Mapping'!AL8&gt;=480,'(直掃)RX Mapping'!AL8&lt;=960)),
IF(MOD('(直掃)RX Mapping'!AL8,120)=0, 120, 240-MOD('(直掃)RX Mapping'!AL8,120)),9999))+IF(AND(MOD('(直掃)RX Mapping'!AL8,120)=0, '(直掃)RX Mapping'!AL8 &lt;= 480,  '(直掃)RX Mapping'!AL8 &gt; 0), 120)</f>
        <v>-1</v>
      </c>
      <c r="AM8">
        <f>IF(
(AND('(直掃)RX Mapping'!AM8&gt;=0,'(直掃)RX Mapping'!AM8&lt;=480)),
(MOD('(直掃)RX Mapping'!AM8,120)-1),
IF(
(AND('(直掃)RX Mapping'!AM8&gt;=480,'(直掃)RX Mapping'!AM8&lt;=960)),
IF(MOD('(直掃)RX Mapping'!AM8,120)=0, 120, 240-MOD('(直掃)RX Mapping'!AM8,120)),9999))+IF(AND(MOD('(直掃)RX Mapping'!AM8,120)=0, '(直掃)RX Mapping'!AM8 &lt;= 480,  '(直掃)RX Mapping'!AM8 &gt; 0), 120)</f>
        <v>-1</v>
      </c>
      <c r="AN8">
        <f>IF(
(AND('(直掃)RX Mapping'!AN8&gt;=0,'(直掃)RX Mapping'!AN8&lt;=480)),
(MOD('(直掃)RX Mapping'!AN8,120)-1),
IF(
(AND('(直掃)RX Mapping'!AN8&gt;=480,'(直掃)RX Mapping'!AN8&lt;=960)),
IF(MOD('(直掃)RX Mapping'!AN8,120)=0, 120, 240-MOD('(直掃)RX Mapping'!AN8,120)),9999))+IF(AND(MOD('(直掃)RX Mapping'!AN8,120)=0, '(直掃)RX Mapping'!AN8 &lt;= 480,  '(直掃)RX Mapping'!AN8 &gt; 0), 120)</f>
        <v>-1</v>
      </c>
      <c r="AO8">
        <f>IF(
(AND('(直掃)RX Mapping'!AO8&gt;=0,'(直掃)RX Mapping'!AO8&lt;=480)),
(MOD('(直掃)RX Mapping'!AO8,120)-1),
IF(
(AND('(直掃)RX Mapping'!AO8&gt;=480,'(直掃)RX Mapping'!AO8&lt;=960)),
IF(MOD('(直掃)RX Mapping'!AO8,120)=0, 120, 240-MOD('(直掃)RX Mapping'!AO8,120)),9999))+IF(AND(MOD('(直掃)RX Mapping'!AO8,120)=0, '(直掃)RX Mapping'!AO8 &lt;= 480,  '(直掃)RX Mapping'!AO8 &gt; 0), 120)</f>
        <v>-1</v>
      </c>
      <c r="AP8">
        <f>IF(
(AND('(直掃)RX Mapping'!AP8&gt;=0,'(直掃)RX Mapping'!AP8&lt;=480)),
(MOD('(直掃)RX Mapping'!AP8,120)-1),
IF(
(AND('(直掃)RX Mapping'!AP8&gt;=480,'(直掃)RX Mapping'!AP8&lt;=960)),
IF(MOD('(直掃)RX Mapping'!AP8,120)=0, 120, 240-MOD('(直掃)RX Mapping'!AP8,120)),9999))+IF(AND(MOD('(直掃)RX Mapping'!AP8,120)=0, '(直掃)RX Mapping'!AP8 &lt;= 480,  '(直掃)RX Mapping'!AP8 &gt; 0), 120)</f>
        <v>-1</v>
      </c>
      <c r="AQ8">
        <f>IF(
(AND('(直掃)RX Mapping'!AQ8&gt;=0,'(直掃)RX Mapping'!AQ8&lt;=480)),
(MOD('(直掃)RX Mapping'!AQ8,120)-1),
IF(
(AND('(直掃)RX Mapping'!AQ8&gt;=480,'(直掃)RX Mapping'!AQ8&lt;=960)),
IF(MOD('(直掃)RX Mapping'!AQ8,120)=0, 120, 240-MOD('(直掃)RX Mapping'!AQ8,120)),9999))+IF(AND(MOD('(直掃)RX Mapping'!AQ8,120)=0, '(直掃)RX Mapping'!AQ8 &lt;= 480,  '(直掃)RX Mapping'!AQ8 &gt; 0), 120)</f>
        <v>-1</v>
      </c>
      <c r="AR8">
        <f>IF(
(AND('(直掃)RX Mapping'!AR8&gt;=0,'(直掃)RX Mapping'!AR8&lt;=480)),
(MOD('(直掃)RX Mapping'!AR8,120)-1),
IF(
(AND('(直掃)RX Mapping'!AR8&gt;=480,'(直掃)RX Mapping'!AR8&lt;=960)),
IF(MOD('(直掃)RX Mapping'!AR8,120)=0, 120, 240-MOD('(直掃)RX Mapping'!AR8,120)),9999))+IF(AND(MOD('(直掃)RX Mapping'!AR8,120)=0, '(直掃)RX Mapping'!AR8 &lt;= 480,  '(直掃)RX Mapping'!AR8 &gt; 0), 120)</f>
        <v>-1</v>
      </c>
      <c r="AS8">
        <f>IF(
(AND('(直掃)RX Mapping'!AS8&gt;=0,'(直掃)RX Mapping'!AS8&lt;=480)),
(MOD('(直掃)RX Mapping'!AS8,120)-1),
IF(
(AND('(直掃)RX Mapping'!AS8&gt;=480,'(直掃)RX Mapping'!AS8&lt;=960)),
IF(MOD('(直掃)RX Mapping'!AS8,120)=0, 120, 240-MOD('(直掃)RX Mapping'!AS8,120)),9999))+IF(AND(MOD('(直掃)RX Mapping'!AS8,120)=0, '(直掃)RX Mapping'!AS8 &lt;= 480,  '(直掃)RX Mapping'!AS8 &gt; 0), 120)</f>
        <v>-1</v>
      </c>
      <c r="AT8">
        <f>IF(AND('(橫掃)RX Mapping'!AT8&gt;=1,'(橫掃)RX Mapping'!AT8&lt;=120), ('(橫掃)RX Mapping'!AT8-1),IF(AND('(橫掃)RX Mapping'!AT8&gt;=121,'(橫掃)RX Mapping'!AT8&lt;=240), (-1)*('(橫掃)RX Mapping'!AT8-240),IF(AND('(橫掃)RX Mapping'!AT8&gt;=241,'(橫掃)RX Mapping'!AT8&lt;=360), ('(橫掃)RX Mapping'!AT8-241),IF(AND('(橫掃)RX Mapping'!AT8&gt;=361,'(橫掃)RX Mapping'!AT8&lt;=480), (-1)*('(橫掃)RX Mapping'!AT8-480),IF(AND('(橫掃)RX Mapping'!AT8&gt;=481,'(橫掃)RX Mapping'!AT8&lt;=600), ('(橫掃)RX Mapping'!AT8-361),IF(AND('(橫掃)RX Mapping'!AT8&gt;=601,'(橫掃)RX Mapping'!AT8&lt;=720), (-1)*('(橫掃)RX Mapping'!AT8-720)+120,IF(AND('(橫掃)RX Mapping'!AT8&gt;=721,'(橫掃)RX Mapping'!AT8&lt;=840), ('(橫掃)RX Mapping'!AT8-601),IF(AND('(橫掃)RX Mapping'!AT8&gt;=841,'(橫掃)RX Mapping'!AT8&lt;=960), (-1)*('(橫掃)RX Mapping'!AT8-960)+120,9999))))))))</f>
        <v>9999</v>
      </c>
      <c r="AU8">
        <f>IF(AND('(橫掃)RX Mapping'!AU8&gt;=1,'(橫掃)RX Mapping'!AU8&lt;=120), ('(橫掃)RX Mapping'!AU8-1),IF(AND('(橫掃)RX Mapping'!AU8&gt;=121,'(橫掃)RX Mapping'!AU8&lt;=240), (-1)*('(橫掃)RX Mapping'!AU8-240),IF(AND('(橫掃)RX Mapping'!AU8&gt;=241,'(橫掃)RX Mapping'!AU8&lt;=360), ('(橫掃)RX Mapping'!AU8-241),IF(AND('(橫掃)RX Mapping'!AU8&gt;=361,'(橫掃)RX Mapping'!AU8&lt;=480), (-1)*('(橫掃)RX Mapping'!AU8-480),IF(AND('(橫掃)RX Mapping'!AU8&gt;=481,'(橫掃)RX Mapping'!AU8&lt;=600), ('(橫掃)RX Mapping'!AU8-361),IF(AND('(橫掃)RX Mapping'!AU8&gt;=601,'(橫掃)RX Mapping'!AU8&lt;=720), (-1)*('(橫掃)RX Mapping'!AU8-720)+120,IF(AND('(橫掃)RX Mapping'!AU8&gt;=721,'(橫掃)RX Mapping'!AU8&lt;=840), ('(橫掃)RX Mapping'!AU8-601),IF(AND('(橫掃)RX Mapping'!AU8&gt;=841,'(橫掃)RX Mapping'!AU8&lt;=960), (-1)*('(橫掃)RX Mapping'!AU8-960)+120,9999))))))))</f>
        <v>9999</v>
      </c>
      <c r="AV8">
        <f>IF(AND('(橫掃)RX Mapping'!AV8&gt;=1,'(橫掃)RX Mapping'!AV8&lt;=120), ('(橫掃)RX Mapping'!AV8-1),IF(AND('(橫掃)RX Mapping'!AV8&gt;=121,'(橫掃)RX Mapping'!AV8&lt;=240), (-1)*('(橫掃)RX Mapping'!AV8-240),IF(AND('(橫掃)RX Mapping'!AV8&gt;=241,'(橫掃)RX Mapping'!AV8&lt;=360), ('(橫掃)RX Mapping'!AV8-241),IF(AND('(橫掃)RX Mapping'!AV8&gt;=361,'(橫掃)RX Mapping'!AV8&lt;=480), (-1)*('(橫掃)RX Mapping'!AV8-480),IF(AND('(橫掃)RX Mapping'!AV8&gt;=481,'(橫掃)RX Mapping'!AV8&lt;=600), ('(橫掃)RX Mapping'!AV8-361),IF(AND('(橫掃)RX Mapping'!AV8&gt;=601,'(橫掃)RX Mapping'!AV8&lt;=720), (-1)*('(橫掃)RX Mapping'!AV8-720)+120,IF(AND('(橫掃)RX Mapping'!AV8&gt;=721,'(橫掃)RX Mapping'!AV8&lt;=840), ('(橫掃)RX Mapping'!AV8-601),IF(AND('(橫掃)RX Mapping'!AV8&gt;=841,'(橫掃)RX Mapping'!AV8&lt;=960), (-1)*('(橫掃)RX Mapping'!AV8-960)+120,9999))))))))</f>
        <v>9999</v>
      </c>
      <c r="AW8">
        <f>IF(AND('(橫掃)RX Mapping'!AW8&gt;=1,'(橫掃)RX Mapping'!AW8&lt;=120), ('(橫掃)RX Mapping'!AW8-1),IF(AND('(橫掃)RX Mapping'!AW8&gt;=121,'(橫掃)RX Mapping'!AW8&lt;=240), (-1)*('(橫掃)RX Mapping'!AW8-240),IF(AND('(橫掃)RX Mapping'!AW8&gt;=241,'(橫掃)RX Mapping'!AW8&lt;=360), ('(橫掃)RX Mapping'!AW8-241),IF(AND('(橫掃)RX Mapping'!AW8&gt;=361,'(橫掃)RX Mapping'!AW8&lt;=480), (-1)*('(橫掃)RX Mapping'!AW8-480),IF(AND('(橫掃)RX Mapping'!AW8&gt;=481,'(橫掃)RX Mapping'!AW8&lt;=600), ('(橫掃)RX Mapping'!AW8-361),IF(AND('(橫掃)RX Mapping'!AW8&gt;=601,'(橫掃)RX Mapping'!AW8&lt;=720), (-1)*('(橫掃)RX Mapping'!AW8-720)+120,IF(AND('(橫掃)RX Mapping'!AW8&gt;=721,'(橫掃)RX Mapping'!AW8&lt;=840), ('(橫掃)RX Mapping'!AW8-601),IF(AND('(橫掃)RX Mapping'!AW8&gt;=841,'(橫掃)RX Mapping'!AW8&lt;=960), (-1)*('(橫掃)RX Mapping'!AW8-960)+120,9999))))))))</f>
        <v>9999</v>
      </c>
      <c r="AX8">
        <f>IF(AND('(橫掃)RX Mapping'!AX8&gt;=1,'(橫掃)RX Mapping'!AX8&lt;=120), ('(橫掃)RX Mapping'!AX8-1),IF(AND('(橫掃)RX Mapping'!AX8&gt;=121,'(橫掃)RX Mapping'!AX8&lt;=240), (-1)*('(橫掃)RX Mapping'!AX8-240),IF(AND('(橫掃)RX Mapping'!AX8&gt;=241,'(橫掃)RX Mapping'!AX8&lt;=360), ('(橫掃)RX Mapping'!AX8-241),IF(AND('(橫掃)RX Mapping'!AX8&gt;=361,'(橫掃)RX Mapping'!AX8&lt;=480), (-1)*('(橫掃)RX Mapping'!AX8-480),IF(AND('(橫掃)RX Mapping'!AX8&gt;=481,'(橫掃)RX Mapping'!AX8&lt;=600), ('(橫掃)RX Mapping'!AX8-361),IF(AND('(橫掃)RX Mapping'!AX8&gt;=601,'(橫掃)RX Mapping'!AX8&lt;=720), (-1)*('(橫掃)RX Mapping'!AX8-720)+120,IF(AND('(橫掃)RX Mapping'!AX8&gt;=721,'(橫掃)RX Mapping'!AX8&lt;=840), ('(橫掃)RX Mapping'!AX8-601),IF(AND('(橫掃)RX Mapping'!AX8&gt;=841,'(橫掃)RX Mapping'!AX8&lt;=960), (-1)*('(橫掃)RX Mapping'!AX8-960)+120,9999))))))))</f>
        <v>9999</v>
      </c>
      <c r="AY8">
        <f>IF(AND('(橫掃)RX Mapping'!AY8&gt;=1,'(橫掃)RX Mapping'!AY8&lt;=120), ('(橫掃)RX Mapping'!AY8-1),IF(AND('(橫掃)RX Mapping'!AY8&gt;=121,'(橫掃)RX Mapping'!AY8&lt;=240), (-1)*('(橫掃)RX Mapping'!AY8-240),IF(AND('(橫掃)RX Mapping'!AY8&gt;=241,'(橫掃)RX Mapping'!AY8&lt;=360), ('(橫掃)RX Mapping'!AY8-241),IF(AND('(橫掃)RX Mapping'!AY8&gt;=361,'(橫掃)RX Mapping'!AY8&lt;=480), (-1)*('(橫掃)RX Mapping'!AY8-480),IF(AND('(橫掃)RX Mapping'!AY8&gt;=481,'(橫掃)RX Mapping'!AY8&lt;=600), ('(橫掃)RX Mapping'!AY8-361),IF(AND('(橫掃)RX Mapping'!AY8&gt;=601,'(橫掃)RX Mapping'!AY8&lt;=720), (-1)*('(橫掃)RX Mapping'!AY8-720)+120,IF(AND('(橫掃)RX Mapping'!AY8&gt;=721,'(橫掃)RX Mapping'!AY8&lt;=840), ('(橫掃)RX Mapping'!AY8-601),IF(AND('(橫掃)RX Mapping'!AY8&gt;=841,'(橫掃)RX Mapping'!AY8&lt;=960), (-1)*('(橫掃)RX Mapping'!AY8-960)+120,9999))))))))</f>
        <v>9999</v>
      </c>
      <c r="AZ8">
        <f>IF(AND('(橫掃)RX Mapping'!AZ8&gt;=1,'(橫掃)RX Mapping'!AZ8&lt;=120), ('(橫掃)RX Mapping'!AZ8-1),IF(AND('(橫掃)RX Mapping'!AZ8&gt;=121,'(橫掃)RX Mapping'!AZ8&lt;=240), (-1)*('(橫掃)RX Mapping'!AZ8-240),IF(AND('(橫掃)RX Mapping'!AZ8&gt;=241,'(橫掃)RX Mapping'!AZ8&lt;=360), ('(橫掃)RX Mapping'!AZ8-241),IF(AND('(橫掃)RX Mapping'!AZ8&gt;=361,'(橫掃)RX Mapping'!AZ8&lt;=480), (-1)*('(橫掃)RX Mapping'!AZ8-480),IF(AND('(橫掃)RX Mapping'!AZ8&gt;=481,'(橫掃)RX Mapping'!AZ8&lt;=600), ('(橫掃)RX Mapping'!AZ8-361),IF(AND('(橫掃)RX Mapping'!AZ8&gt;=601,'(橫掃)RX Mapping'!AZ8&lt;=720), (-1)*('(橫掃)RX Mapping'!AZ8-720)+120,IF(AND('(橫掃)RX Mapping'!AZ8&gt;=721,'(橫掃)RX Mapping'!AZ8&lt;=840), ('(橫掃)RX Mapping'!AZ8-601),IF(AND('(橫掃)RX Mapping'!AZ8&gt;=841,'(橫掃)RX Mapping'!AZ8&lt;=960), (-1)*('(橫掃)RX Mapping'!AZ8-960)+120,9999))))))))</f>
        <v>9999</v>
      </c>
      <c r="BA8">
        <f>IF(AND('(橫掃)RX Mapping'!BA8&gt;=1,'(橫掃)RX Mapping'!BA8&lt;=120), ('(橫掃)RX Mapping'!BA8-1),IF(AND('(橫掃)RX Mapping'!BA8&gt;=121,'(橫掃)RX Mapping'!BA8&lt;=240), (-1)*('(橫掃)RX Mapping'!BA8-240),IF(AND('(橫掃)RX Mapping'!BA8&gt;=241,'(橫掃)RX Mapping'!BA8&lt;=360), ('(橫掃)RX Mapping'!BA8-241),IF(AND('(橫掃)RX Mapping'!BA8&gt;=361,'(橫掃)RX Mapping'!BA8&lt;=480), (-1)*('(橫掃)RX Mapping'!BA8-480),IF(AND('(橫掃)RX Mapping'!BA8&gt;=481,'(橫掃)RX Mapping'!BA8&lt;=600), ('(橫掃)RX Mapping'!BA8-361),IF(AND('(橫掃)RX Mapping'!BA8&gt;=601,'(橫掃)RX Mapping'!BA8&lt;=720), (-1)*('(橫掃)RX Mapping'!BA8-720)+120,IF(AND('(橫掃)RX Mapping'!BA8&gt;=721,'(橫掃)RX Mapping'!BA8&lt;=840), ('(橫掃)RX Mapping'!BA8-601),IF(AND('(橫掃)RX Mapping'!BA8&gt;=841,'(橫掃)RX Mapping'!BA8&lt;=960), (-1)*('(橫掃)RX Mapping'!BA8-960)+120,9999))))))))</f>
        <v>9999</v>
      </c>
      <c r="BB8">
        <f>IF(AND('(橫掃)RX Mapping'!BB8&gt;=1,'(橫掃)RX Mapping'!BB8&lt;=120), ('(橫掃)RX Mapping'!BB8-1),IF(AND('(橫掃)RX Mapping'!BB8&gt;=121,'(橫掃)RX Mapping'!BB8&lt;=240), (-1)*('(橫掃)RX Mapping'!BB8-240),IF(AND('(橫掃)RX Mapping'!BB8&gt;=241,'(橫掃)RX Mapping'!BB8&lt;=360), ('(橫掃)RX Mapping'!BB8-241),IF(AND('(橫掃)RX Mapping'!BB8&gt;=361,'(橫掃)RX Mapping'!BB8&lt;=480), (-1)*('(橫掃)RX Mapping'!BB8-480),IF(AND('(橫掃)RX Mapping'!BB8&gt;=481,'(橫掃)RX Mapping'!BB8&lt;=600), ('(橫掃)RX Mapping'!BB8-361),IF(AND('(橫掃)RX Mapping'!BB8&gt;=601,'(橫掃)RX Mapping'!BB8&lt;=720), (-1)*('(橫掃)RX Mapping'!BB8-720)+120,IF(AND('(橫掃)RX Mapping'!BB8&gt;=721,'(橫掃)RX Mapping'!BB8&lt;=840), ('(橫掃)RX Mapping'!BB8-601),IF(AND('(橫掃)RX Mapping'!BB8&gt;=841,'(橫掃)RX Mapping'!BB8&lt;=960), (-1)*('(橫掃)RX Mapping'!BB8-960)+120,9999))))))))</f>
        <v>9999</v>
      </c>
      <c r="BC8">
        <f>IF(AND('(橫掃)RX Mapping'!BC8&gt;=1,'(橫掃)RX Mapping'!BC8&lt;=120), ('(橫掃)RX Mapping'!BC8-1),IF(AND('(橫掃)RX Mapping'!BC8&gt;=121,'(橫掃)RX Mapping'!BC8&lt;=240), (-1)*('(橫掃)RX Mapping'!BC8-240),IF(AND('(橫掃)RX Mapping'!BC8&gt;=241,'(橫掃)RX Mapping'!BC8&lt;=360), ('(橫掃)RX Mapping'!BC8-241),IF(AND('(橫掃)RX Mapping'!BC8&gt;=361,'(橫掃)RX Mapping'!BC8&lt;=480), (-1)*('(橫掃)RX Mapping'!BC8-480),IF(AND('(橫掃)RX Mapping'!BC8&gt;=481,'(橫掃)RX Mapping'!BC8&lt;=600), ('(橫掃)RX Mapping'!BC8-361),IF(AND('(橫掃)RX Mapping'!BC8&gt;=601,'(橫掃)RX Mapping'!BC8&lt;=720), (-1)*('(橫掃)RX Mapping'!BC8-720)+120,IF(AND('(橫掃)RX Mapping'!BC8&gt;=721,'(橫掃)RX Mapping'!BC8&lt;=840), ('(橫掃)RX Mapping'!BC8-601),IF(AND('(橫掃)RX Mapping'!BC8&gt;=841,'(橫掃)RX Mapping'!BC8&lt;=960), (-1)*('(橫掃)RX Mapping'!BC8-960)+120,9999))))))))</f>
        <v>9999</v>
      </c>
      <c r="BD8">
        <f>IF(AND('(橫掃)RX Mapping'!BD8&gt;=1,'(橫掃)RX Mapping'!BD8&lt;=120), ('(橫掃)RX Mapping'!BD8-1),IF(AND('(橫掃)RX Mapping'!BD8&gt;=121,'(橫掃)RX Mapping'!BD8&lt;=240), (-1)*('(橫掃)RX Mapping'!BD8-240),IF(AND('(橫掃)RX Mapping'!BD8&gt;=241,'(橫掃)RX Mapping'!BD8&lt;=360), ('(橫掃)RX Mapping'!BD8-241),IF(AND('(橫掃)RX Mapping'!BD8&gt;=361,'(橫掃)RX Mapping'!BD8&lt;=480), (-1)*('(橫掃)RX Mapping'!BD8-480),IF(AND('(橫掃)RX Mapping'!BD8&gt;=481,'(橫掃)RX Mapping'!BD8&lt;=600), ('(橫掃)RX Mapping'!BD8-361),IF(AND('(橫掃)RX Mapping'!BD8&gt;=601,'(橫掃)RX Mapping'!BD8&lt;=720), (-1)*('(橫掃)RX Mapping'!BD8-720)+120,IF(AND('(橫掃)RX Mapping'!BD8&gt;=721,'(橫掃)RX Mapping'!BD8&lt;=840), ('(橫掃)RX Mapping'!BD8-601),IF(AND('(橫掃)RX Mapping'!BD8&gt;=841,'(橫掃)RX Mapping'!BD8&lt;=960), (-1)*('(橫掃)RX Mapping'!BD8-960)+120,9999))))))))</f>
        <v>9999</v>
      </c>
      <c r="BE8">
        <f>IF(AND('(橫掃)RX Mapping'!BE8&gt;=1,'(橫掃)RX Mapping'!BE8&lt;=120), ('(橫掃)RX Mapping'!BE8-1),IF(AND('(橫掃)RX Mapping'!BE8&gt;=121,'(橫掃)RX Mapping'!BE8&lt;=240), (-1)*('(橫掃)RX Mapping'!BE8-240),IF(AND('(橫掃)RX Mapping'!BE8&gt;=241,'(橫掃)RX Mapping'!BE8&lt;=360), ('(橫掃)RX Mapping'!BE8-241),IF(AND('(橫掃)RX Mapping'!BE8&gt;=361,'(橫掃)RX Mapping'!BE8&lt;=480), (-1)*('(橫掃)RX Mapping'!BE8-480),IF(AND('(橫掃)RX Mapping'!BE8&gt;=481,'(橫掃)RX Mapping'!BE8&lt;=600), ('(橫掃)RX Mapping'!BE8-361),IF(AND('(橫掃)RX Mapping'!BE8&gt;=601,'(橫掃)RX Mapping'!BE8&lt;=720), (-1)*('(橫掃)RX Mapping'!BE8-720)+120,IF(AND('(橫掃)RX Mapping'!BE8&gt;=721,'(橫掃)RX Mapping'!BE8&lt;=840), ('(橫掃)RX Mapping'!BE8-601),IF(AND('(橫掃)RX Mapping'!BE8&gt;=841,'(橫掃)RX Mapping'!BE8&lt;=960), (-1)*('(橫掃)RX Mapping'!BE8-960)+120,9999))))))))</f>
        <v>9999</v>
      </c>
      <c r="BF8">
        <f>IF(AND('(橫掃)RX Mapping'!BF8&gt;=1,'(橫掃)RX Mapping'!BF8&lt;=120), ('(橫掃)RX Mapping'!BF8-1),IF(AND('(橫掃)RX Mapping'!BF8&gt;=121,'(橫掃)RX Mapping'!BF8&lt;=240), (-1)*('(橫掃)RX Mapping'!BF8-240),IF(AND('(橫掃)RX Mapping'!BF8&gt;=241,'(橫掃)RX Mapping'!BF8&lt;=360), ('(橫掃)RX Mapping'!BF8-241),IF(AND('(橫掃)RX Mapping'!BF8&gt;=361,'(橫掃)RX Mapping'!BF8&lt;=480), (-1)*('(橫掃)RX Mapping'!BF8-480),IF(AND('(橫掃)RX Mapping'!BF8&gt;=481,'(橫掃)RX Mapping'!BF8&lt;=600), ('(橫掃)RX Mapping'!BF8-361),IF(AND('(橫掃)RX Mapping'!BF8&gt;=601,'(橫掃)RX Mapping'!BF8&lt;=720), (-1)*('(橫掃)RX Mapping'!BF8-720)+120,IF(AND('(橫掃)RX Mapping'!BF8&gt;=721,'(橫掃)RX Mapping'!BF8&lt;=840), ('(橫掃)RX Mapping'!BF8-601),IF(AND('(橫掃)RX Mapping'!BF8&gt;=841,'(橫掃)RX Mapping'!BF8&lt;=960), (-1)*('(橫掃)RX Mapping'!BF8-960)+120,9999))))))))</f>
        <v>9999</v>
      </c>
      <c r="BG8">
        <f>IF(AND('(橫掃)RX Mapping'!BG8&gt;=1,'(橫掃)RX Mapping'!BG8&lt;=120), ('(橫掃)RX Mapping'!BG8-1),IF(AND('(橫掃)RX Mapping'!BG8&gt;=121,'(橫掃)RX Mapping'!BG8&lt;=240), (-1)*('(橫掃)RX Mapping'!BG8-240),IF(AND('(橫掃)RX Mapping'!BG8&gt;=241,'(橫掃)RX Mapping'!BG8&lt;=360), ('(橫掃)RX Mapping'!BG8-241),IF(AND('(橫掃)RX Mapping'!BG8&gt;=361,'(橫掃)RX Mapping'!BG8&lt;=480), (-1)*('(橫掃)RX Mapping'!BG8-480),IF(AND('(橫掃)RX Mapping'!BG8&gt;=481,'(橫掃)RX Mapping'!BG8&lt;=600), ('(橫掃)RX Mapping'!BG8-361),IF(AND('(橫掃)RX Mapping'!BG8&gt;=601,'(橫掃)RX Mapping'!BG8&lt;=720), (-1)*('(橫掃)RX Mapping'!BG8-720)+120,IF(AND('(橫掃)RX Mapping'!BG8&gt;=721,'(橫掃)RX Mapping'!BG8&lt;=840), ('(橫掃)RX Mapping'!BG8-601),IF(AND('(橫掃)RX Mapping'!BG8&gt;=841,'(橫掃)RX Mapping'!BG8&lt;=960), (-1)*('(橫掃)RX Mapping'!BG8-960)+120,9999))))))))</f>
        <v>9999</v>
      </c>
      <c r="BH8">
        <f>IF(AND('(橫掃)RX Mapping'!BH8&gt;=1,'(橫掃)RX Mapping'!BH8&lt;=120), ('(橫掃)RX Mapping'!BH8-1),IF(AND('(橫掃)RX Mapping'!BH8&gt;=121,'(橫掃)RX Mapping'!BH8&lt;=240), (-1)*('(橫掃)RX Mapping'!BH8-240),IF(AND('(橫掃)RX Mapping'!BH8&gt;=241,'(橫掃)RX Mapping'!BH8&lt;=360), ('(橫掃)RX Mapping'!BH8-241),IF(AND('(橫掃)RX Mapping'!BH8&gt;=361,'(橫掃)RX Mapping'!BH8&lt;=480), (-1)*('(橫掃)RX Mapping'!BH8-480),IF(AND('(橫掃)RX Mapping'!BH8&gt;=481,'(橫掃)RX Mapping'!BH8&lt;=600), ('(橫掃)RX Mapping'!BH8-361),IF(AND('(橫掃)RX Mapping'!BH8&gt;=601,'(橫掃)RX Mapping'!BH8&lt;=720), (-1)*('(橫掃)RX Mapping'!BH8-720)+120,IF(AND('(橫掃)RX Mapping'!BH8&gt;=721,'(橫掃)RX Mapping'!BH8&lt;=840), ('(橫掃)RX Mapping'!BH8-601),IF(AND('(橫掃)RX Mapping'!BH8&gt;=841,'(橫掃)RX Mapping'!BH8&lt;=960), (-1)*('(橫掃)RX Mapping'!BH8-960)+120,9999))))))))</f>
        <v>9999</v>
      </c>
      <c r="BI8">
        <f>IF(AND('(橫掃)RX Mapping'!BI8&gt;=1,'(橫掃)RX Mapping'!BI8&lt;=120), ('(橫掃)RX Mapping'!BI8-1),IF(AND('(橫掃)RX Mapping'!BI8&gt;=121,'(橫掃)RX Mapping'!BI8&lt;=240), (-1)*('(橫掃)RX Mapping'!BI8-240),IF(AND('(橫掃)RX Mapping'!BI8&gt;=241,'(橫掃)RX Mapping'!BI8&lt;=360), ('(橫掃)RX Mapping'!BI8-241),IF(AND('(橫掃)RX Mapping'!BI8&gt;=361,'(橫掃)RX Mapping'!BI8&lt;=480), (-1)*('(橫掃)RX Mapping'!BI8-480),IF(AND('(橫掃)RX Mapping'!BI8&gt;=481,'(橫掃)RX Mapping'!BI8&lt;=600), ('(橫掃)RX Mapping'!BI8-361),IF(AND('(橫掃)RX Mapping'!BI8&gt;=601,'(橫掃)RX Mapping'!BI8&lt;=720), (-1)*('(橫掃)RX Mapping'!BI8-720)+120,IF(AND('(橫掃)RX Mapping'!BI8&gt;=721,'(橫掃)RX Mapping'!BI8&lt;=840), ('(橫掃)RX Mapping'!BI8-601),IF(AND('(橫掃)RX Mapping'!BI8&gt;=841,'(橫掃)RX Mapping'!BI8&lt;=960), (-1)*('(橫掃)RX Mapping'!BI8-960)+120,9999))))))))</f>
        <v>9999</v>
      </c>
    </row>
    <row r="9" spans="1:61" x14ac:dyDescent="0.25">
      <c r="A9" s="20">
        <v>8</v>
      </c>
      <c r="B9">
        <f>IF(
(AND('(直掃)RX Mapping'!B9&gt;=0,'(直掃)RX Mapping'!B9&lt;=480)),
(MOD('(直掃)RX Mapping'!B9,120)-1),
IF(
(AND('(直掃)RX Mapping'!B9&gt;=480,'(直掃)RX Mapping'!B9&lt;=960)),
IF(MOD('(直掃)RX Mapping'!B9,120)=0, 120, 240-MOD('(直掃)RX Mapping'!B9,120)),9999))+IF(AND(MOD('(直掃)RX Mapping'!B9,120)=0, '(直掃)RX Mapping'!B9 &lt;= 480,  '(直掃)RX Mapping'!B9 &gt; 0), 120)</f>
        <v>127</v>
      </c>
      <c r="C9">
        <f>IF(
(AND('(直掃)RX Mapping'!C9&gt;=0,'(直掃)RX Mapping'!C9&lt;=480)),
(MOD('(直掃)RX Mapping'!C9,120)-1),
IF(
(AND('(直掃)RX Mapping'!C9&gt;=480,'(直掃)RX Mapping'!C9&lt;=960)),
IF(MOD('(直掃)RX Mapping'!C9,120)=0, 120, 240-MOD('(直掃)RX Mapping'!C9,120)),9999))+IF(AND(MOD('(直掃)RX Mapping'!C9,120)=0, '(直掃)RX Mapping'!C9 &lt;= 480,  '(直掃)RX Mapping'!C9 &gt; 0), 120)</f>
        <v>157</v>
      </c>
      <c r="D9">
        <f>IF(
(AND('(直掃)RX Mapping'!D9&gt;=0,'(直掃)RX Mapping'!D9&lt;=480)),
(MOD('(直掃)RX Mapping'!D9,120)-1),
IF(
(AND('(直掃)RX Mapping'!D9&gt;=480,'(直掃)RX Mapping'!D9&lt;=960)),
IF(MOD('(直掃)RX Mapping'!D9,120)=0, 120, 240-MOD('(直掃)RX Mapping'!D9,120)),9999))+IF(AND(MOD('(直掃)RX Mapping'!D9,120)=0, '(直掃)RX Mapping'!D9 &lt;= 480,  '(直掃)RX Mapping'!D9 &gt; 0), 120)</f>
        <v>187</v>
      </c>
      <c r="E9">
        <f>IF(
(AND('(直掃)RX Mapping'!E9&gt;=0,'(直掃)RX Mapping'!E9&lt;=480)),
(MOD('(直掃)RX Mapping'!E9,120)-1),
IF(
(AND('(直掃)RX Mapping'!E9&gt;=480,'(直掃)RX Mapping'!E9&lt;=960)),
IF(MOD('(直掃)RX Mapping'!E9,120)=0, 120, 240-MOD('(直掃)RX Mapping'!E9,120)),9999))+IF(AND(MOD('(直掃)RX Mapping'!E9,120)=0, '(直掃)RX Mapping'!E9 &lt;= 480,  '(直掃)RX Mapping'!E9 &gt; 0), 120)</f>
        <v>127</v>
      </c>
      <c r="F9">
        <f>IF(
(AND('(直掃)RX Mapping'!F9&gt;=0,'(直掃)RX Mapping'!F9&lt;=480)),
(MOD('(直掃)RX Mapping'!F9,120)-1),
IF(
(AND('(直掃)RX Mapping'!F9&gt;=480,'(直掃)RX Mapping'!F9&lt;=960)),
IF(MOD('(直掃)RX Mapping'!F9,120)=0, 120, 240-MOD('(直掃)RX Mapping'!F9,120)),9999))+IF(AND(MOD('(直掃)RX Mapping'!F9,120)=0, '(直掃)RX Mapping'!F9 &lt;= 480,  '(直掃)RX Mapping'!F9 &gt; 0), 120)</f>
        <v>157</v>
      </c>
      <c r="G9">
        <f>IF(
(AND('(直掃)RX Mapping'!G9&gt;=0,'(直掃)RX Mapping'!G9&lt;=480)),
(MOD('(直掃)RX Mapping'!G9,120)-1),
IF(
(AND('(直掃)RX Mapping'!G9&gt;=480,'(直掃)RX Mapping'!G9&lt;=960)),
IF(MOD('(直掃)RX Mapping'!G9,120)=0, 120, 240-MOD('(直掃)RX Mapping'!G9,120)),9999))+IF(AND(MOD('(直掃)RX Mapping'!G9,120)=0, '(直掃)RX Mapping'!G9 &lt;= 480,  '(直掃)RX Mapping'!G9 &gt; 0), 120)</f>
        <v>187</v>
      </c>
      <c r="H9">
        <f>IF(
(AND('(直掃)RX Mapping'!H9&gt;=0,'(直掃)RX Mapping'!H9&lt;=480)),
(MOD('(直掃)RX Mapping'!H9,120)-1),
IF(
(AND('(直掃)RX Mapping'!H9&gt;=480,'(直掃)RX Mapping'!H9&lt;=960)),
IF(MOD('(直掃)RX Mapping'!H9,120)=0, 120, 240-MOD('(直掃)RX Mapping'!H9,120)),9999))+IF(AND(MOD('(直掃)RX Mapping'!H9,120)=0, '(直掃)RX Mapping'!H9 &lt;= 480,  '(直掃)RX Mapping'!H9 &gt; 0), 120)</f>
        <v>127</v>
      </c>
      <c r="I9">
        <f>IF(
(AND('(直掃)RX Mapping'!I9&gt;=0,'(直掃)RX Mapping'!I9&lt;=480)),
(MOD('(直掃)RX Mapping'!I9,120)-1),
IF(
(AND('(直掃)RX Mapping'!I9&gt;=480,'(直掃)RX Mapping'!I9&lt;=960)),
IF(MOD('(直掃)RX Mapping'!I9,120)=0, 120, 240-MOD('(直掃)RX Mapping'!I9,120)),9999))+IF(AND(MOD('(直掃)RX Mapping'!I9,120)=0, '(直掃)RX Mapping'!I9 &lt;= 480,  '(直掃)RX Mapping'!I9 &gt; 0), 120)</f>
        <v>157</v>
      </c>
      <c r="J9">
        <f>IF(
(AND('(直掃)RX Mapping'!J9&gt;=0,'(直掃)RX Mapping'!J9&lt;=480)),
(MOD('(直掃)RX Mapping'!J9,120)-1),
IF(
(AND('(直掃)RX Mapping'!J9&gt;=480,'(直掃)RX Mapping'!J9&lt;=960)),
IF(MOD('(直掃)RX Mapping'!J9,120)=0, 120, 240-MOD('(直掃)RX Mapping'!J9,120)),9999))+IF(AND(MOD('(直掃)RX Mapping'!J9,120)=0, '(直掃)RX Mapping'!J9 &lt;= 480,  '(直掃)RX Mapping'!J9 &gt; 0), 120)</f>
        <v>187</v>
      </c>
      <c r="K9">
        <f>IF(
(AND('(直掃)RX Mapping'!K9&gt;=0,'(直掃)RX Mapping'!K9&lt;=480)),
(MOD('(直掃)RX Mapping'!K9,120)-1),
IF(
(AND('(直掃)RX Mapping'!K9&gt;=480,'(直掃)RX Mapping'!K9&lt;=960)),
IF(MOD('(直掃)RX Mapping'!K9,120)=0, 120, 240-MOD('(直掃)RX Mapping'!K9,120)),9999))+IF(AND(MOD('(直掃)RX Mapping'!K9,120)=0, '(直掃)RX Mapping'!K9 &lt;= 480,  '(直掃)RX Mapping'!K9 &gt; 0), 120)</f>
        <v>217</v>
      </c>
      <c r="L9">
        <f>IF(
(AND('(直掃)RX Mapping'!L9&gt;=0,'(直掃)RX Mapping'!L9&lt;=480)),
(MOD('(直掃)RX Mapping'!L9,120)-1),
IF(
(AND('(直掃)RX Mapping'!L9&gt;=480,'(直掃)RX Mapping'!L9&lt;=960)),
IF(MOD('(直掃)RX Mapping'!L9,120)=0, 120, 240-MOD('(直掃)RX Mapping'!L9,120)),9999))+IF(AND(MOD('(直掃)RX Mapping'!L9,120)=0, '(直掃)RX Mapping'!L9 &lt;= 480,  '(直掃)RX Mapping'!L9 &gt; 0), 120)</f>
        <v>127</v>
      </c>
      <c r="M9">
        <f>IF(
(AND('(直掃)RX Mapping'!M9&gt;=0,'(直掃)RX Mapping'!M9&lt;=480)),
(MOD('(直掃)RX Mapping'!M9,120)-1),
IF(
(AND('(直掃)RX Mapping'!M9&gt;=480,'(直掃)RX Mapping'!M9&lt;=960)),
IF(MOD('(直掃)RX Mapping'!M9,120)=0, 120, 240-MOD('(直掃)RX Mapping'!M9,120)),9999))+IF(AND(MOD('(直掃)RX Mapping'!M9,120)=0, '(直掃)RX Mapping'!M9 &lt;= 480,  '(直掃)RX Mapping'!M9 &gt; 0), 120)</f>
        <v>157</v>
      </c>
      <c r="N9">
        <f>IF(
(AND('(直掃)RX Mapping'!N9&gt;=0,'(直掃)RX Mapping'!N9&lt;=480)),
(MOD('(直掃)RX Mapping'!N9,120)-1),
IF(
(AND('(直掃)RX Mapping'!N9&gt;=480,'(直掃)RX Mapping'!N9&lt;=960)),
IF(MOD('(直掃)RX Mapping'!N9,120)=0, 120, 240-MOD('(直掃)RX Mapping'!N9,120)),9999))+IF(AND(MOD('(直掃)RX Mapping'!N9,120)=0, '(直掃)RX Mapping'!N9 &lt;= 480,  '(直掃)RX Mapping'!N9 &gt; 0), 120)</f>
        <v>187</v>
      </c>
      <c r="O9">
        <f>IF(
(AND('(直掃)RX Mapping'!O9&gt;=0,'(直掃)RX Mapping'!O9&lt;=480)),
(MOD('(直掃)RX Mapping'!O9,120)-1),
IF(
(AND('(直掃)RX Mapping'!O9&gt;=480,'(直掃)RX Mapping'!O9&lt;=960)),
IF(MOD('(直掃)RX Mapping'!O9,120)=0, 120, 240-MOD('(直掃)RX Mapping'!O9,120)),9999))+IF(AND(MOD('(直掃)RX Mapping'!O9,120)=0, '(直掃)RX Mapping'!O9 &lt;= 480,  '(直掃)RX Mapping'!O9 &gt; 0), 120)</f>
        <v>217</v>
      </c>
      <c r="P9">
        <f>IF(
(AND('(直掃)RX Mapping'!P9&gt;=0,'(直掃)RX Mapping'!P9&lt;=480)),
(MOD('(直掃)RX Mapping'!P9,120)-1),
IF(
(AND('(直掃)RX Mapping'!P9&gt;=480,'(直掃)RX Mapping'!P9&lt;=960)),
IF(MOD('(直掃)RX Mapping'!P9,120)=0, 120, 240-MOD('(直掃)RX Mapping'!P9,120)),9999))+IF(AND(MOD('(直掃)RX Mapping'!P9,120)=0, '(直掃)RX Mapping'!P9 &lt;= 480,  '(直掃)RX Mapping'!P9 &gt; 0), 120)</f>
        <v>112</v>
      </c>
      <c r="Q9">
        <f>IF(
(AND('(直掃)RX Mapping'!Q9&gt;=0,'(直掃)RX Mapping'!Q9&lt;=480)),
(MOD('(直掃)RX Mapping'!Q9,120)-1),
IF(
(AND('(直掃)RX Mapping'!Q9&gt;=480,'(直掃)RX Mapping'!Q9&lt;=960)),
IF(MOD('(直掃)RX Mapping'!Q9,120)=0, 120, 240-MOD('(直掃)RX Mapping'!Q9,120)),9999))+IF(AND(MOD('(直掃)RX Mapping'!Q9,120)=0, '(直掃)RX Mapping'!Q9 &lt;= 480,  '(直掃)RX Mapping'!Q9 &gt; 0), 120)</f>
        <v>82</v>
      </c>
      <c r="R9">
        <f>IF(
(AND('(直掃)RX Mapping'!R9&gt;=0,'(直掃)RX Mapping'!R9&lt;=480)),
(MOD('(直掃)RX Mapping'!R9,120)-1),
IF(
(AND('(直掃)RX Mapping'!R9&gt;=480,'(直掃)RX Mapping'!R9&lt;=960)),
IF(MOD('(直掃)RX Mapping'!R9,120)=0, 120, 240-MOD('(直掃)RX Mapping'!R9,120)),9999))+IF(AND(MOD('(直掃)RX Mapping'!R9,120)=0, '(直掃)RX Mapping'!R9 &lt;= 480,  '(直掃)RX Mapping'!R9 &gt; 0), 120)</f>
        <v>52</v>
      </c>
      <c r="S9">
        <f>IF(
(AND('(直掃)RX Mapping'!S9&gt;=0,'(直掃)RX Mapping'!S9&lt;=480)),
(MOD('(直掃)RX Mapping'!S9,120)-1),
IF(
(AND('(直掃)RX Mapping'!S9&gt;=480,'(直掃)RX Mapping'!S9&lt;=960)),
IF(MOD('(直掃)RX Mapping'!S9,120)=0, 120, 240-MOD('(直掃)RX Mapping'!S9,120)),9999))+IF(AND(MOD('(直掃)RX Mapping'!S9,120)=0, '(直掃)RX Mapping'!S9 &lt;= 480,  '(直掃)RX Mapping'!S9 &gt; 0), 120)</f>
        <v>22</v>
      </c>
      <c r="T9">
        <f>IF(
(AND('(直掃)RX Mapping'!T9&gt;=0,'(直掃)RX Mapping'!T9&lt;=480)),
(MOD('(直掃)RX Mapping'!T9,120)-1),
IF(
(AND('(直掃)RX Mapping'!T9&gt;=480,'(直掃)RX Mapping'!T9&lt;=960)),
IF(MOD('(直掃)RX Mapping'!T9,120)=0, 120, 240-MOD('(直掃)RX Mapping'!T9,120)),9999))+IF(AND(MOD('(直掃)RX Mapping'!T9,120)=0, '(直掃)RX Mapping'!T9 &lt;= 480,  '(直掃)RX Mapping'!T9 &gt; 0), 120)</f>
        <v>112</v>
      </c>
      <c r="U9">
        <f>IF(
(AND('(直掃)RX Mapping'!U9&gt;=0,'(直掃)RX Mapping'!U9&lt;=480)),
(MOD('(直掃)RX Mapping'!U9,120)-1),
IF(
(AND('(直掃)RX Mapping'!U9&gt;=480,'(直掃)RX Mapping'!U9&lt;=960)),
IF(MOD('(直掃)RX Mapping'!U9,120)=0, 120, 240-MOD('(直掃)RX Mapping'!U9,120)),9999))+IF(AND(MOD('(直掃)RX Mapping'!U9,120)=0, '(直掃)RX Mapping'!U9 &lt;= 480,  '(直掃)RX Mapping'!U9 &gt; 0), 120)</f>
        <v>82</v>
      </c>
      <c r="V9">
        <f>IF(
(AND('(直掃)RX Mapping'!V9&gt;=0,'(直掃)RX Mapping'!V9&lt;=480)),
(MOD('(直掃)RX Mapping'!V9,120)-1),
IF(
(AND('(直掃)RX Mapping'!V9&gt;=480,'(直掃)RX Mapping'!V9&lt;=960)),
IF(MOD('(直掃)RX Mapping'!V9,120)=0, 120, 240-MOD('(直掃)RX Mapping'!V9,120)),9999))+IF(AND(MOD('(直掃)RX Mapping'!V9,120)=0, '(直掃)RX Mapping'!V9 &lt;= 480,  '(直掃)RX Mapping'!V9 &gt; 0), 120)</f>
        <v>52</v>
      </c>
      <c r="W9">
        <f>IF(
(AND('(直掃)RX Mapping'!W9&gt;=0,'(直掃)RX Mapping'!W9&lt;=480)),
(MOD('(直掃)RX Mapping'!W9,120)-1),
IF(
(AND('(直掃)RX Mapping'!W9&gt;=480,'(直掃)RX Mapping'!W9&lt;=960)),
IF(MOD('(直掃)RX Mapping'!W9,120)=0, 120, 240-MOD('(直掃)RX Mapping'!W9,120)),9999))+IF(AND(MOD('(直掃)RX Mapping'!W9,120)=0, '(直掃)RX Mapping'!W9 &lt;= 480,  '(直掃)RX Mapping'!W9 &gt; 0), 120)</f>
        <v>22</v>
      </c>
      <c r="X9">
        <f>IF(
(AND('(直掃)RX Mapping'!X9&gt;=0,'(直掃)RX Mapping'!X9&lt;=480)),
(MOD('(直掃)RX Mapping'!X9,120)-1),
IF(
(AND('(直掃)RX Mapping'!X9&gt;=480,'(直掃)RX Mapping'!X9&lt;=960)),
IF(MOD('(直掃)RX Mapping'!X9,120)=0, 120, 240-MOD('(直掃)RX Mapping'!X9,120)),9999))+IF(AND(MOD('(直掃)RX Mapping'!X9,120)=0, '(直掃)RX Mapping'!X9 &lt;= 480,  '(直掃)RX Mapping'!X9 &gt; 0), 120)</f>
        <v>82</v>
      </c>
      <c r="Y9">
        <f>IF(
(AND('(直掃)RX Mapping'!Y9&gt;=0,'(直掃)RX Mapping'!Y9&lt;=480)),
(MOD('(直掃)RX Mapping'!Y9,120)-1),
IF(
(AND('(直掃)RX Mapping'!Y9&gt;=480,'(直掃)RX Mapping'!Y9&lt;=960)),
IF(MOD('(直掃)RX Mapping'!Y9,120)=0, 120, 240-MOD('(直掃)RX Mapping'!Y9,120)),9999))+IF(AND(MOD('(直掃)RX Mapping'!Y9,120)=0, '(直掃)RX Mapping'!Y9 &lt;= 480,  '(直掃)RX Mapping'!Y9 &gt; 0), 120)</f>
        <v>52</v>
      </c>
      <c r="Z9">
        <f>IF(
(AND('(直掃)RX Mapping'!Z9&gt;=0,'(直掃)RX Mapping'!Z9&lt;=480)),
(MOD('(直掃)RX Mapping'!Z9,120)-1),
IF(
(AND('(直掃)RX Mapping'!Z9&gt;=480,'(直掃)RX Mapping'!Z9&lt;=960)),
IF(MOD('(直掃)RX Mapping'!Z9,120)=0, 120, 240-MOD('(直掃)RX Mapping'!Z9,120)),9999))+IF(AND(MOD('(直掃)RX Mapping'!Z9,120)=0, '(直掃)RX Mapping'!Z9 &lt;= 480,  '(直掃)RX Mapping'!Z9 &gt; 0), 120)</f>
        <v>22</v>
      </c>
      <c r="AA9">
        <f>IF(
(AND('(直掃)RX Mapping'!AA9&gt;=0,'(直掃)RX Mapping'!AA9&lt;=480)),
(MOD('(直掃)RX Mapping'!AA9,120)-1),
IF(
(AND('(直掃)RX Mapping'!AA9&gt;=480,'(直掃)RX Mapping'!AA9&lt;=960)),
IF(MOD('(直掃)RX Mapping'!AA9,120)=0, 120, 240-MOD('(直掃)RX Mapping'!AA9,120)),9999))+IF(AND(MOD('(直掃)RX Mapping'!AA9,120)=0, '(直掃)RX Mapping'!AA9 &lt;= 480,  '(直掃)RX Mapping'!AA9 &gt; 0), 120)</f>
        <v>82</v>
      </c>
      <c r="AB9">
        <f>IF(
(AND('(直掃)RX Mapping'!AB9&gt;=0,'(直掃)RX Mapping'!AB9&lt;=480)),
(MOD('(直掃)RX Mapping'!AB9,120)-1),
IF(
(AND('(直掃)RX Mapping'!AB9&gt;=480,'(直掃)RX Mapping'!AB9&lt;=960)),
IF(MOD('(直掃)RX Mapping'!AB9,120)=0, 120, 240-MOD('(直掃)RX Mapping'!AB9,120)),9999))+IF(AND(MOD('(直掃)RX Mapping'!AB9,120)=0, '(直掃)RX Mapping'!AB9 &lt;= 480,  '(直掃)RX Mapping'!AB9 &gt; 0), 120)</f>
        <v>52</v>
      </c>
      <c r="AC9">
        <f>IF(
(AND('(直掃)RX Mapping'!AC9&gt;=0,'(直掃)RX Mapping'!AC9&lt;=480)),
(MOD('(直掃)RX Mapping'!AC9,120)-1),
IF(
(AND('(直掃)RX Mapping'!AC9&gt;=480,'(直掃)RX Mapping'!AC9&lt;=960)),
IF(MOD('(直掃)RX Mapping'!AC9,120)=0, 120, 240-MOD('(直掃)RX Mapping'!AC9,120)),9999))+IF(AND(MOD('(直掃)RX Mapping'!AC9,120)=0, '(直掃)RX Mapping'!AC9 &lt;= 480,  '(直掃)RX Mapping'!AC9 &gt; 0), 120)</f>
        <v>22</v>
      </c>
      <c r="AD9">
        <f>IF(
(AND('(直掃)RX Mapping'!AD9&gt;=0,'(直掃)RX Mapping'!AD9&lt;=480)),
(MOD('(直掃)RX Mapping'!AD9,120)-1),
IF(
(AND('(直掃)RX Mapping'!AD9&gt;=480,'(直掃)RX Mapping'!AD9&lt;=960)),
IF(MOD('(直掃)RX Mapping'!AD9,120)=0, 120, 240-MOD('(直掃)RX Mapping'!AD9,120)),9999))+IF(AND(MOD('(直掃)RX Mapping'!AD9,120)=0, '(直掃)RX Mapping'!AD9 &lt;= 480,  '(直掃)RX Mapping'!AD9 &gt; 0), 120)</f>
        <v>-1</v>
      </c>
      <c r="AE9">
        <f>IF(
(AND('(直掃)RX Mapping'!AE9&gt;=0,'(直掃)RX Mapping'!AE9&lt;=480)),
(MOD('(直掃)RX Mapping'!AE9,120)-1),
IF(
(AND('(直掃)RX Mapping'!AE9&gt;=480,'(直掃)RX Mapping'!AE9&lt;=960)),
IF(MOD('(直掃)RX Mapping'!AE9,120)=0, 120, 240-MOD('(直掃)RX Mapping'!AE9,120)),9999))+IF(AND(MOD('(直掃)RX Mapping'!AE9,120)=0, '(直掃)RX Mapping'!AE9 &lt;= 480,  '(直掃)RX Mapping'!AE9 &gt; 0), 120)</f>
        <v>-1</v>
      </c>
      <c r="AF9">
        <f>IF(
(AND('(直掃)RX Mapping'!AF9&gt;=0,'(直掃)RX Mapping'!AF9&lt;=480)),
(MOD('(直掃)RX Mapping'!AF9,120)-1),
IF(
(AND('(直掃)RX Mapping'!AF9&gt;=480,'(直掃)RX Mapping'!AF9&lt;=960)),
IF(MOD('(直掃)RX Mapping'!AF9,120)=0, 120, 240-MOD('(直掃)RX Mapping'!AF9,120)),9999))+IF(AND(MOD('(直掃)RX Mapping'!AF9,120)=0, '(直掃)RX Mapping'!AF9 &lt;= 480,  '(直掃)RX Mapping'!AF9 &gt; 0), 120)</f>
        <v>-1</v>
      </c>
      <c r="AG9">
        <f>IF(
(AND('(直掃)RX Mapping'!AG9&gt;=0,'(直掃)RX Mapping'!AG9&lt;=480)),
(MOD('(直掃)RX Mapping'!AG9,120)-1),
IF(
(AND('(直掃)RX Mapping'!AG9&gt;=480,'(直掃)RX Mapping'!AG9&lt;=960)),
IF(MOD('(直掃)RX Mapping'!AG9,120)=0, 120, 240-MOD('(直掃)RX Mapping'!AG9,120)),9999))+IF(AND(MOD('(直掃)RX Mapping'!AG9,120)=0, '(直掃)RX Mapping'!AG9 &lt;= 480,  '(直掃)RX Mapping'!AG9 &gt; 0), 120)</f>
        <v>-1</v>
      </c>
      <c r="AH9">
        <f>IF(
(AND('(直掃)RX Mapping'!AH9&gt;=0,'(直掃)RX Mapping'!AH9&lt;=480)),
(MOD('(直掃)RX Mapping'!AH9,120)-1),
IF(
(AND('(直掃)RX Mapping'!AH9&gt;=480,'(直掃)RX Mapping'!AH9&lt;=960)),
IF(MOD('(直掃)RX Mapping'!AH9,120)=0, 120, 240-MOD('(直掃)RX Mapping'!AH9,120)),9999))+IF(AND(MOD('(直掃)RX Mapping'!AH9,120)=0, '(直掃)RX Mapping'!AH9 &lt;= 480,  '(直掃)RX Mapping'!AH9 &gt; 0), 120)</f>
        <v>-1</v>
      </c>
      <c r="AI9">
        <f>IF(
(AND('(直掃)RX Mapping'!AI9&gt;=0,'(直掃)RX Mapping'!AI9&lt;=480)),
(MOD('(直掃)RX Mapping'!AI9,120)-1),
IF(
(AND('(直掃)RX Mapping'!AI9&gt;=480,'(直掃)RX Mapping'!AI9&lt;=960)),
IF(MOD('(直掃)RX Mapping'!AI9,120)=0, 120, 240-MOD('(直掃)RX Mapping'!AI9,120)),9999))+IF(AND(MOD('(直掃)RX Mapping'!AI9,120)=0, '(直掃)RX Mapping'!AI9 &lt;= 480,  '(直掃)RX Mapping'!AI9 &gt; 0), 120)</f>
        <v>-1</v>
      </c>
      <c r="AJ9">
        <f>IF(
(AND('(直掃)RX Mapping'!AJ9&gt;=0,'(直掃)RX Mapping'!AJ9&lt;=480)),
(MOD('(直掃)RX Mapping'!AJ9,120)-1),
IF(
(AND('(直掃)RX Mapping'!AJ9&gt;=480,'(直掃)RX Mapping'!AJ9&lt;=960)),
IF(MOD('(直掃)RX Mapping'!AJ9,120)=0, 120, 240-MOD('(直掃)RX Mapping'!AJ9,120)),9999))+IF(AND(MOD('(直掃)RX Mapping'!AJ9,120)=0, '(直掃)RX Mapping'!AJ9 &lt;= 480,  '(直掃)RX Mapping'!AJ9 &gt; 0), 120)</f>
        <v>-1</v>
      </c>
      <c r="AK9">
        <f>IF(
(AND('(直掃)RX Mapping'!AK9&gt;=0,'(直掃)RX Mapping'!AK9&lt;=480)),
(MOD('(直掃)RX Mapping'!AK9,120)-1),
IF(
(AND('(直掃)RX Mapping'!AK9&gt;=480,'(直掃)RX Mapping'!AK9&lt;=960)),
IF(MOD('(直掃)RX Mapping'!AK9,120)=0, 120, 240-MOD('(直掃)RX Mapping'!AK9,120)),9999))+IF(AND(MOD('(直掃)RX Mapping'!AK9,120)=0, '(直掃)RX Mapping'!AK9 &lt;= 480,  '(直掃)RX Mapping'!AK9 &gt; 0), 120)</f>
        <v>-1</v>
      </c>
      <c r="AL9">
        <f>IF(
(AND('(直掃)RX Mapping'!AL9&gt;=0,'(直掃)RX Mapping'!AL9&lt;=480)),
(MOD('(直掃)RX Mapping'!AL9,120)-1),
IF(
(AND('(直掃)RX Mapping'!AL9&gt;=480,'(直掃)RX Mapping'!AL9&lt;=960)),
IF(MOD('(直掃)RX Mapping'!AL9,120)=0, 120, 240-MOD('(直掃)RX Mapping'!AL9,120)),9999))+IF(AND(MOD('(直掃)RX Mapping'!AL9,120)=0, '(直掃)RX Mapping'!AL9 &lt;= 480,  '(直掃)RX Mapping'!AL9 &gt; 0), 120)</f>
        <v>-1</v>
      </c>
      <c r="AM9">
        <f>IF(
(AND('(直掃)RX Mapping'!AM9&gt;=0,'(直掃)RX Mapping'!AM9&lt;=480)),
(MOD('(直掃)RX Mapping'!AM9,120)-1),
IF(
(AND('(直掃)RX Mapping'!AM9&gt;=480,'(直掃)RX Mapping'!AM9&lt;=960)),
IF(MOD('(直掃)RX Mapping'!AM9,120)=0, 120, 240-MOD('(直掃)RX Mapping'!AM9,120)),9999))+IF(AND(MOD('(直掃)RX Mapping'!AM9,120)=0, '(直掃)RX Mapping'!AM9 &lt;= 480,  '(直掃)RX Mapping'!AM9 &gt; 0), 120)</f>
        <v>-1</v>
      </c>
      <c r="AN9">
        <f>IF(
(AND('(直掃)RX Mapping'!AN9&gt;=0,'(直掃)RX Mapping'!AN9&lt;=480)),
(MOD('(直掃)RX Mapping'!AN9,120)-1),
IF(
(AND('(直掃)RX Mapping'!AN9&gt;=480,'(直掃)RX Mapping'!AN9&lt;=960)),
IF(MOD('(直掃)RX Mapping'!AN9,120)=0, 120, 240-MOD('(直掃)RX Mapping'!AN9,120)),9999))+IF(AND(MOD('(直掃)RX Mapping'!AN9,120)=0, '(直掃)RX Mapping'!AN9 &lt;= 480,  '(直掃)RX Mapping'!AN9 &gt; 0), 120)</f>
        <v>-1</v>
      </c>
      <c r="AO9">
        <f>IF(
(AND('(直掃)RX Mapping'!AO9&gt;=0,'(直掃)RX Mapping'!AO9&lt;=480)),
(MOD('(直掃)RX Mapping'!AO9,120)-1),
IF(
(AND('(直掃)RX Mapping'!AO9&gt;=480,'(直掃)RX Mapping'!AO9&lt;=960)),
IF(MOD('(直掃)RX Mapping'!AO9,120)=0, 120, 240-MOD('(直掃)RX Mapping'!AO9,120)),9999))+IF(AND(MOD('(直掃)RX Mapping'!AO9,120)=0, '(直掃)RX Mapping'!AO9 &lt;= 480,  '(直掃)RX Mapping'!AO9 &gt; 0), 120)</f>
        <v>-1</v>
      </c>
      <c r="AP9">
        <f>IF(
(AND('(直掃)RX Mapping'!AP9&gt;=0,'(直掃)RX Mapping'!AP9&lt;=480)),
(MOD('(直掃)RX Mapping'!AP9,120)-1),
IF(
(AND('(直掃)RX Mapping'!AP9&gt;=480,'(直掃)RX Mapping'!AP9&lt;=960)),
IF(MOD('(直掃)RX Mapping'!AP9,120)=0, 120, 240-MOD('(直掃)RX Mapping'!AP9,120)),9999))+IF(AND(MOD('(直掃)RX Mapping'!AP9,120)=0, '(直掃)RX Mapping'!AP9 &lt;= 480,  '(直掃)RX Mapping'!AP9 &gt; 0), 120)</f>
        <v>-1</v>
      </c>
      <c r="AQ9">
        <f>IF(
(AND('(直掃)RX Mapping'!AQ9&gt;=0,'(直掃)RX Mapping'!AQ9&lt;=480)),
(MOD('(直掃)RX Mapping'!AQ9,120)-1),
IF(
(AND('(直掃)RX Mapping'!AQ9&gt;=480,'(直掃)RX Mapping'!AQ9&lt;=960)),
IF(MOD('(直掃)RX Mapping'!AQ9,120)=0, 120, 240-MOD('(直掃)RX Mapping'!AQ9,120)),9999))+IF(AND(MOD('(直掃)RX Mapping'!AQ9,120)=0, '(直掃)RX Mapping'!AQ9 &lt;= 480,  '(直掃)RX Mapping'!AQ9 &gt; 0), 120)</f>
        <v>-1</v>
      </c>
      <c r="AR9">
        <f>IF(
(AND('(直掃)RX Mapping'!AR9&gt;=0,'(直掃)RX Mapping'!AR9&lt;=480)),
(MOD('(直掃)RX Mapping'!AR9,120)-1),
IF(
(AND('(直掃)RX Mapping'!AR9&gt;=480,'(直掃)RX Mapping'!AR9&lt;=960)),
IF(MOD('(直掃)RX Mapping'!AR9,120)=0, 120, 240-MOD('(直掃)RX Mapping'!AR9,120)),9999))+IF(AND(MOD('(直掃)RX Mapping'!AR9,120)=0, '(直掃)RX Mapping'!AR9 &lt;= 480,  '(直掃)RX Mapping'!AR9 &gt; 0), 120)</f>
        <v>-1</v>
      </c>
      <c r="AS9">
        <f>IF(
(AND('(直掃)RX Mapping'!AS9&gt;=0,'(直掃)RX Mapping'!AS9&lt;=480)),
(MOD('(直掃)RX Mapping'!AS9,120)-1),
IF(
(AND('(直掃)RX Mapping'!AS9&gt;=480,'(直掃)RX Mapping'!AS9&lt;=960)),
IF(MOD('(直掃)RX Mapping'!AS9,120)=0, 120, 240-MOD('(直掃)RX Mapping'!AS9,120)),9999))+IF(AND(MOD('(直掃)RX Mapping'!AS9,120)=0, '(直掃)RX Mapping'!AS9 &lt;= 480,  '(直掃)RX Mapping'!AS9 &gt; 0), 120)</f>
        <v>-1</v>
      </c>
      <c r="AT9">
        <f>IF(AND('(橫掃)RX Mapping'!AT9&gt;=1,'(橫掃)RX Mapping'!AT9&lt;=120), ('(橫掃)RX Mapping'!AT9-1),IF(AND('(橫掃)RX Mapping'!AT9&gt;=121,'(橫掃)RX Mapping'!AT9&lt;=240), (-1)*('(橫掃)RX Mapping'!AT9-240),IF(AND('(橫掃)RX Mapping'!AT9&gt;=241,'(橫掃)RX Mapping'!AT9&lt;=360), ('(橫掃)RX Mapping'!AT9-241),IF(AND('(橫掃)RX Mapping'!AT9&gt;=361,'(橫掃)RX Mapping'!AT9&lt;=480), (-1)*('(橫掃)RX Mapping'!AT9-480),IF(AND('(橫掃)RX Mapping'!AT9&gt;=481,'(橫掃)RX Mapping'!AT9&lt;=600), ('(橫掃)RX Mapping'!AT9-361),IF(AND('(橫掃)RX Mapping'!AT9&gt;=601,'(橫掃)RX Mapping'!AT9&lt;=720), (-1)*('(橫掃)RX Mapping'!AT9-720)+120,IF(AND('(橫掃)RX Mapping'!AT9&gt;=721,'(橫掃)RX Mapping'!AT9&lt;=840), ('(橫掃)RX Mapping'!AT9-601),IF(AND('(橫掃)RX Mapping'!AT9&gt;=841,'(橫掃)RX Mapping'!AT9&lt;=960), (-1)*('(橫掃)RX Mapping'!AT9-960)+120,9999))))))))</f>
        <v>9999</v>
      </c>
      <c r="AU9">
        <f>IF(AND('(橫掃)RX Mapping'!AU9&gt;=1,'(橫掃)RX Mapping'!AU9&lt;=120), ('(橫掃)RX Mapping'!AU9-1),IF(AND('(橫掃)RX Mapping'!AU9&gt;=121,'(橫掃)RX Mapping'!AU9&lt;=240), (-1)*('(橫掃)RX Mapping'!AU9-240),IF(AND('(橫掃)RX Mapping'!AU9&gt;=241,'(橫掃)RX Mapping'!AU9&lt;=360), ('(橫掃)RX Mapping'!AU9-241),IF(AND('(橫掃)RX Mapping'!AU9&gt;=361,'(橫掃)RX Mapping'!AU9&lt;=480), (-1)*('(橫掃)RX Mapping'!AU9-480),IF(AND('(橫掃)RX Mapping'!AU9&gt;=481,'(橫掃)RX Mapping'!AU9&lt;=600), ('(橫掃)RX Mapping'!AU9-361),IF(AND('(橫掃)RX Mapping'!AU9&gt;=601,'(橫掃)RX Mapping'!AU9&lt;=720), (-1)*('(橫掃)RX Mapping'!AU9-720)+120,IF(AND('(橫掃)RX Mapping'!AU9&gt;=721,'(橫掃)RX Mapping'!AU9&lt;=840), ('(橫掃)RX Mapping'!AU9-601),IF(AND('(橫掃)RX Mapping'!AU9&gt;=841,'(橫掃)RX Mapping'!AU9&lt;=960), (-1)*('(橫掃)RX Mapping'!AU9-960)+120,9999))))))))</f>
        <v>9999</v>
      </c>
      <c r="AV9">
        <f>IF(AND('(橫掃)RX Mapping'!AV9&gt;=1,'(橫掃)RX Mapping'!AV9&lt;=120), ('(橫掃)RX Mapping'!AV9-1),IF(AND('(橫掃)RX Mapping'!AV9&gt;=121,'(橫掃)RX Mapping'!AV9&lt;=240), (-1)*('(橫掃)RX Mapping'!AV9-240),IF(AND('(橫掃)RX Mapping'!AV9&gt;=241,'(橫掃)RX Mapping'!AV9&lt;=360), ('(橫掃)RX Mapping'!AV9-241),IF(AND('(橫掃)RX Mapping'!AV9&gt;=361,'(橫掃)RX Mapping'!AV9&lt;=480), (-1)*('(橫掃)RX Mapping'!AV9-480),IF(AND('(橫掃)RX Mapping'!AV9&gt;=481,'(橫掃)RX Mapping'!AV9&lt;=600), ('(橫掃)RX Mapping'!AV9-361),IF(AND('(橫掃)RX Mapping'!AV9&gt;=601,'(橫掃)RX Mapping'!AV9&lt;=720), (-1)*('(橫掃)RX Mapping'!AV9-720)+120,IF(AND('(橫掃)RX Mapping'!AV9&gt;=721,'(橫掃)RX Mapping'!AV9&lt;=840), ('(橫掃)RX Mapping'!AV9-601),IF(AND('(橫掃)RX Mapping'!AV9&gt;=841,'(橫掃)RX Mapping'!AV9&lt;=960), (-1)*('(橫掃)RX Mapping'!AV9-960)+120,9999))))))))</f>
        <v>9999</v>
      </c>
      <c r="AW9">
        <f>IF(AND('(橫掃)RX Mapping'!AW9&gt;=1,'(橫掃)RX Mapping'!AW9&lt;=120), ('(橫掃)RX Mapping'!AW9-1),IF(AND('(橫掃)RX Mapping'!AW9&gt;=121,'(橫掃)RX Mapping'!AW9&lt;=240), (-1)*('(橫掃)RX Mapping'!AW9-240),IF(AND('(橫掃)RX Mapping'!AW9&gt;=241,'(橫掃)RX Mapping'!AW9&lt;=360), ('(橫掃)RX Mapping'!AW9-241),IF(AND('(橫掃)RX Mapping'!AW9&gt;=361,'(橫掃)RX Mapping'!AW9&lt;=480), (-1)*('(橫掃)RX Mapping'!AW9-480),IF(AND('(橫掃)RX Mapping'!AW9&gt;=481,'(橫掃)RX Mapping'!AW9&lt;=600), ('(橫掃)RX Mapping'!AW9-361),IF(AND('(橫掃)RX Mapping'!AW9&gt;=601,'(橫掃)RX Mapping'!AW9&lt;=720), (-1)*('(橫掃)RX Mapping'!AW9-720)+120,IF(AND('(橫掃)RX Mapping'!AW9&gt;=721,'(橫掃)RX Mapping'!AW9&lt;=840), ('(橫掃)RX Mapping'!AW9-601),IF(AND('(橫掃)RX Mapping'!AW9&gt;=841,'(橫掃)RX Mapping'!AW9&lt;=960), (-1)*('(橫掃)RX Mapping'!AW9-960)+120,9999))))))))</f>
        <v>9999</v>
      </c>
      <c r="AX9">
        <f>IF(AND('(橫掃)RX Mapping'!AX9&gt;=1,'(橫掃)RX Mapping'!AX9&lt;=120), ('(橫掃)RX Mapping'!AX9-1),IF(AND('(橫掃)RX Mapping'!AX9&gt;=121,'(橫掃)RX Mapping'!AX9&lt;=240), (-1)*('(橫掃)RX Mapping'!AX9-240),IF(AND('(橫掃)RX Mapping'!AX9&gt;=241,'(橫掃)RX Mapping'!AX9&lt;=360), ('(橫掃)RX Mapping'!AX9-241),IF(AND('(橫掃)RX Mapping'!AX9&gt;=361,'(橫掃)RX Mapping'!AX9&lt;=480), (-1)*('(橫掃)RX Mapping'!AX9-480),IF(AND('(橫掃)RX Mapping'!AX9&gt;=481,'(橫掃)RX Mapping'!AX9&lt;=600), ('(橫掃)RX Mapping'!AX9-361),IF(AND('(橫掃)RX Mapping'!AX9&gt;=601,'(橫掃)RX Mapping'!AX9&lt;=720), (-1)*('(橫掃)RX Mapping'!AX9-720)+120,IF(AND('(橫掃)RX Mapping'!AX9&gt;=721,'(橫掃)RX Mapping'!AX9&lt;=840), ('(橫掃)RX Mapping'!AX9-601),IF(AND('(橫掃)RX Mapping'!AX9&gt;=841,'(橫掃)RX Mapping'!AX9&lt;=960), (-1)*('(橫掃)RX Mapping'!AX9-960)+120,9999))))))))</f>
        <v>9999</v>
      </c>
      <c r="AY9">
        <f>IF(AND('(橫掃)RX Mapping'!AY9&gt;=1,'(橫掃)RX Mapping'!AY9&lt;=120), ('(橫掃)RX Mapping'!AY9-1),IF(AND('(橫掃)RX Mapping'!AY9&gt;=121,'(橫掃)RX Mapping'!AY9&lt;=240), (-1)*('(橫掃)RX Mapping'!AY9-240),IF(AND('(橫掃)RX Mapping'!AY9&gt;=241,'(橫掃)RX Mapping'!AY9&lt;=360), ('(橫掃)RX Mapping'!AY9-241),IF(AND('(橫掃)RX Mapping'!AY9&gt;=361,'(橫掃)RX Mapping'!AY9&lt;=480), (-1)*('(橫掃)RX Mapping'!AY9-480),IF(AND('(橫掃)RX Mapping'!AY9&gt;=481,'(橫掃)RX Mapping'!AY9&lt;=600), ('(橫掃)RX Mapping'!AY9-361),IF(AND('(橫掃)RX Mapping'!AY9&gt;=601,'(橫掃)RX Mapping'!AY9&lt;=720), (-1)*('(橫掃)RX Mapping'!AY9-720)+120,IF(AND('(橫掃)RX Mapping'!AY9&gt;=721,'(橫掃)RX Mapping'!AY9&lt;=840), ('(橫掃)RX Mapping'!AY9-601),IF(AND('(橫掃)RX Mapping'!AY9&gt;=841,'(橫掃)RX Mapping'!AY9&lt;=960), (-1)*('(橫掃)RX Mapping'!AY9-960)+120,9999))))))))</f>
        <v>9999</v>
      </c>
      <c r="AZ9">
        <f>IF(AND('(橫掃)RX Mapping'!AZ9&gt;=1,'(橫掃)RX Mapping'!AZ9&lt;=120), ('(橫掃)RX Mapping'!AZ9-1),IF(AND('(橫掃)RX Mapping'!AZ9&gt;=121,'(橫掃)RX Mapping'!AZ9&lt;=240), (-1)*('(橫掃)RX Mapping'!AZ9-240),IF(AND('(橫掃)RX Mapping'!AZ9&gt;=241,'(橫掃)RX Mapping'!AZ9&lt;=360), ('(橫掃)RX Mapping'!AZ9-241),IF(AND('(橫掃)RX Mapping'!AZ9&gt;=361,'(橫掃)RX Mapping'!AZ9&lt;=480), (-1)*('(橫掃)RX Mapping'!AZ9-480),IF(AND('(橫掃)RX Mapping'!AZ9&gt;=481,'(橫掃)RX Mapping'!AZ9&lt;=600), ('(橫掃)RX Mapping'!AZ9-361),IF(AND('(橫掃)RX Mapping'!AZ9&gt;=601,'(橫掃)RX Mapping'!AZ9&lt;=720), (-1)*('(橫掃)RX Mapping'!AZ9-720)+120,IF(AND('(橫掃)RX Mapping'!AZ9&gt;=721,'(橫掃)RX Mapping'!AZ9&lt;=840), ('(橫掃)RX Mapping'!AZ9-601),IF(AND('(橫掃)RX Mapping'!AZ9&gt;=841,'(橫掃)RX Mapping'!AZ9&lt;=960), (-1)*('(橫掃)RX Mapping'!AZ9-960)+120,9999))))))))</f>
        <v>9999</v>
      </c>
      <c r="BA9">
        <f>IF(AND('(橫掃)RX Mapping'!BA9&gt;=1,'(橫掃)RX Mapping'!BA9&lt;=120), ('(橫掃)RX Mapping'!BA9-1),IF(AND('(橫掃)RX Mapping'!BA9&gt;=121,'(橫掃)RX Mapping'!BA9&lt;=240), (-1)*('(橫掃)RX Mapping'!BA9-240),IF(AND('(橫掃)RX Mapping'!BA9&gt;=241,'(橫掃)RX Mapping'!BA9&lt;=360), ('(橫掃)RX Mapping'!BA9-241),IF(AND('(橫掃)RX Mapping'!BA9&gt;=361,'(橫掃)RX Mapping'!BA9&lt;=480), (-1)*('(橫掃)RX Mapping'!BA9-480),IF(AND('(橫掃)RX Mapping'!BA9&gt;=481,'(橫掃)RX Mapping'!BA9&lt;=600), ('(橫掃)RX Mapping'!BA9-361),IF(AND('(橫掃)RX Mapping'!BA9&gt;=601,'(橫掃)RX Mapping'!BA9&lt;=720), (-1)*('(橫掃)RX Mapping'!BA9-720)+120,IF(AND('(橫掃)RX Mapping'!BA9&gt;=721,'(橫掃)RX Mapping'!BA9&lt;=840), ('(橫掃)RX Mapping'!BA9-601),IF(AND('(橫掃)RX Mapping'!BA9&gt;=841,'(橫掃)RX Mapping'!BA9&lt;=960), (-1)*('(橫掃)RX Mapping'!BA9-960)+120,9999))))))))</f>
        <v>9999</v>
      </c>
      <c r="BB9">
        <f>IF(AND('(橫掃)RX Mapping'!BB9&gt;=1,'(橫掃)RX Mapping'!BB9&lt;=120), ('(橫掃)RX Mapping'!BB9-1),IF(AND('(橫掃)RX Mapping'!BB9&gt;=121,'(橫掃)RX Mapping'!BB9&lt;=240), (-1)*('(橫掃)RX Mapping'!BB9-240),IF(AND('(橫掃)RX Mapping'!BB9&gt;=241,'(橫掃)RX Mapping'!BB9&lt;=360), ('(橫掃)RX Mapping'!BB9-241),IF(AND('(橫掃)RX Mapping'!BB9&gt;=361,'(橫掃)RX Mapping'!BB9&lt;=480), (-1)*('(橫掃)RX Mapping'!BB9-480),IF(AND('(橫掃)RX Mapping'!BB9&gt;=481,'(橫掃)RX Mapping'!BB9&lt;=600), ('(橫掃)RX Mapping'!BB9-361),IF(AND('(橫掃)RX Mapping'!BB9&gt;=601,'(橫掃)RX Mapping'!BB9&lt;=720), (-1)*('(橫掃)RX Mapping'!BB9-720)+120,IF(AND('(橫掃)RX Mapping'!BB9&gt;=721,'(橫掃)RX Mapping'!BB9&lt;=840), ('(橫掃)RX Mapping'!BB9-601),IF(AND('(橫掃)RX Mapping'!BB9&gt;=841,'(橫掃)RX Mapping'!BB9&lt;=960), (-1)*('(橫掃)RX Mapping'!BB9-960)+120,9999))))))))</f>
        <v>9999</v>
      </c>
      <c r="BC9">
        <f>IF(AND('(橫掃)RX Mapping'!BC9&gt;=1,'(橫掃)RX Mapping'!BC9&lt;=120), ('(橫掃)RX Mapping'!BC9-1),IF(AND('(橫掃)RX Mapping'!BC9&gt;=121,'(橫掃)RX Mapping'!BC9&lt;=240), (-1)*('(橫掃)RX Mapping'!BC9-240),IF(AND('(橫掃)RX Mapping'!BC9&gt;=241,'(橫掃)RX Mapping'!BC9&lt;=360), ('(橫掃)RX Mapping'!BC9-241),IF(AND('(橫掃)RX Mapping'!BC9&gt;=361,'(橫掃)RX Mapping'!BC9&lt;=480), (-1)*('(橫掃)RX Mapping'!BC9-480),IF(AND('(橫掃)RX Mapping'!BC9&gt;=481,'(橫掃)RX Mapping'!BC9&lt;=600), ('(橫掃)RX Mapping'!BC9-361),IF(AND('(橫掃)RX Mapping'!BC9&gt;=601,'(橫掃)RX Mapping'!BC9&lt;=720), (-1)*('(橫掃)RX Mapping'!BC9-720)+120,IF(AND('(橫掃)RX Mapping'!BC9&gt;=721,'(橫掃)RX Mapping'!BC9&lt;=840), ('(橫掃)RX Mapping'!BC9-601),IF(AND('(橫掃)RX Mapping'!BC9&gt;=841,'(橫掃)RX Mapping'!BC9&lt;=960), (-1)*('(橫掃)RX Mapping'!BC9-960)+120,9999))))))))</f>
        <v>9999</v>
      </c>
      <c r="BD9">
        <f>IF(AND('(橫掃)RX Mapping'!BD9&gt;=1,'(橫掃)RX Mapping'!BD9&lt;=120), ('(橫掃)RX Mapping'!BD9-1),IF(AND('(橫掃)RX Mapping'!BD9&gt;=121,'(橫掃)RX Mapping'!BD9&lt;=240), (-1)*('(橫掃)RX Mapping'!BD9-240),IF(AND('(橫掃)RX Mapping'!BD9&gt;=241,'(橫掃)RX Mapping'!BD9&lt;=360), ('(橫掃)RX Mapping'!BD9-241),IF(AND('(橫掃)RX Mapping'!BD9&gt;=361,'(橫掃)RX Mapping'!BD9&lt;=480), (-1)*('(橫掃)RX Mapping'!BD9-480),IF(AND('(橫掃)RX Mapping'!BD9&gt;=481,'(橫掃)RX Mapping'!BD9&lt;=600), ('(橫掃)RX Mapping'!BD9-361),IF(AND('(橫掃)RX Mapping'!BD9&gt;=601,'(橫掃)RX Mapping'!BD9&lt;=720), (-1)*('(橫掃)RX Mapping'!BD9-720)+120,IF(AND('(橫掃)RX Mapping'!BD9&gt;=721,'(橫掃)RX Mapping'!BD9&lt;=840), ('(橫掃)RX Mapping'!BD9-601),IF(AND('(橫掃)RX Mapping'!BD9&gt;=841,'(橫掃)RX Mapping'!BD9&lt;=960), (-1)*('(橫掃)RX Mapping'!BD9-960)+120,9999))))))))</f>
        <v>9999</v>
      </c>
      <c r="BE9">
        <f>IF(AND('(橫掃)RX Mapping'!BE9&gt;=1,'(橫掃)RX Mapping'!BE9&lt;=120), ('(橫掃)RX Mapping'!BE9-1),IF(AND('(橫掃)RX Mapping'!BE9&gt;=121,'(橫掃)RX Mapping'!BE9&lt;=240), (-1)*('(橫掃)RX Mapping'!BE9-240),IF(AND('(橫掃)RX Mapping'!BE9&gt;=241,'(橫掃)RX Mapping'!BE9&lt;=360), ('(橫掃)RX Mapping'!BE9-241),IF(AND('(橫掃)RX Mapping'!BE9&gt;=361,'(橫掃)RX Mapping'!BE9&lt;=480), (-1)*('(橫掃)RX Mapping'!BE9-480),IF(AND('(橫掃)RX Mapping'!BE9&gt;=481,'(橫掃)RX Mapping'!BE9&lt;=600), ('(橫掃)RX Mapping'!BE9-361),IF(AND('(橫掃)RX Mapping'!BE9&gt;=601,'(橫掃)RX Mapping'!BE9&lt;=720), (-1)*('(橫掃)RX Mapping'!BE9-720)+120,IF(AND('(橫掃)RX Mapping'!BE9&gt;=721,'(橫掃)RX Mapping'!BE9&lt;=840), ('(橫掃)RX Mapping'!BE9-601),IF(AND('(橫掃)RX Mapping'!BE9&gt;=841,'(橫掃)RX Mapping'!BE9&lt;=960), (-1)*('(橫掃)RX Mapping'!BE9-960)+120,9999))))))))</f>
        <v>9999</v>
      </c>
      <c r="BF9">
        <f>IF(AND('(橫掃)RX Mapping'!BF9&gt;=1,'(橫掃)RX Mapping'!BF9&lt;=120), ('(橫掃)RX Mapping'!BF9-1),IF(AND('(橫掃)RX Mapping'!BF9&gt;=121,'(橫掃)RX Mapping'!BF9&lt;=240), (-1)*('(橫掃)RX Mapping'!BF9-240),IF(AND('(橫掃)RX Mapping'!BF9&gt;=241,'(橫掃)RX Mapping'!BF9&lt;=360), ('(橫掃)RX Mapping'!BF9-241),IF(AND('(橫掃)RX Mapping'!BF9&gt;=361,'(橫掃)RX Mapping'!BF9&lt;=480), (-1)*('(橫掃)RX Mapping'!BF9-480),IF(AND('(橫掃)RX Mapping'!BF9&gt;=481,'(橫掃)RX Mapping'!BF9&lt;=600), ('(橫掃)RX Mapping'!BF9-361),IF(AND('(橫掃)RX Mapping'!BF9&gt;=601,'(橫掃)RX Mapping'!BF9&lt;=720), (-1)*('(橫掃)RX Mapping'!BF9-720)+120,IF(AND('(橫掃)RX Mapping'!BF9&gt;=721,'(橫掃)RX Mapping'!BF9&lt;=840), ('(橫掃)RX Mapping'!BF9-601),IF(AND('(橫掃)RX Mapping'!BF9&gt;=841,'(橫掃)RX Mapping'!BF9&lt;=960), (-1)*('(橫掃)RX Mapping'!BF9-960)+120,9999))))))))</f>
        <v>9999</v>
      </c>
      <c r="BG9">
        <f>IF(AND('(橫掃)RX Mapping'!BG9&gt;=1,'(橫掃)RX Mapping'!BG9&lt;=120), ('(橫掃)RX Mapping'!BG9-1),IF(AND('(橫掃)RX Mapping'!BG9&gt;=121,'(橫掃)RX Mapping'!BG9&lt;=240), (-1)*('(橫掃)RX Mapping'!BG9-240),IF(AND('(橫掃)RX Mapping'!BG9&gt;=241,'(橫掃)RX Mapping'!BG9&lt;=360), ('(橫掃)RX Mapping'!BG9-241),IF(AND('(橫掃)RX Mapping'!BG9&gt;=361,'(橫掃)RX Mapping'!BG9&lt;=480), (-1)*('(橫掃)RX Mapping'!BG9-480),IF(AND('(橫掃)RX Mapping'!BG9&gt;=481,'(橫掃)RX Mapping'!BG9&lt;=600), ('(橫掃)RX Mapping'!BG9-361),IF(AND('(橫掃)RX Mapping'!BG9&gt;=601,'(橫掃)RX Mapping'!BG9&lt;=720), (-1)*('(橫掃)RX Mapping'!BG9-720)+120,IF(AND('(橫掃)RX Mapping'!BG9&gt;=721,'(橫掃)RX Mapping'!BG9&lt;=840), ('(橫掃)RX Mapping'!BG9-601),IF(AND('(橫掃)RX Mapping'!BG9&gt;=841,'(橫掃)RX Mapping'!BG9&lt;=960), (-1)*('(橫掃)RX Mapping'!BG9-960)+120,9999))))))))</f>
        <v>9999</v>
      </c>
      <c r="BH9">
        <f>IF(AND('(橫掃)RX Mapping'!BH9&gt;=1,'(橫掃)RX Mapping'!BH9&lt;=120), ('(橫掃)RX Mapping'!BH9-1),IF(AND('(橫掃)RX Mapping'!BH9&gt;=121,'(橫掃)RX Mapping'!BH9&lt;=240), (-1)*('(橫掃)RX Mapping'!BH9-240),IF(AND('(橫掃)RX Mapping'!BH9&gt;=241,'(橫掃)RX Mapping'!BH9&lt;=360), ('(橫掃)RX Mapping'!BH9-241),IF(AND('(橫掃)RX Mapping'!BH9&gt;=361,'(橫掃)RX Mapping'!BH9&lt;=480), (-1)*('(橫掃)RX Mapping'!BH9-480),IF(AND('(橫掃)RX Mapping'!BH9&gt;=481,'(橫掃)RX Mapping'!BH9&lt;=600), ('(橫掃)RX Mapping'!BH9-361),IF(AND('(橫掃)RX Mapping'!BH9&gt;=601,'(橫掃)RX Mapping'!BH9&lt;=720), (-1)*('(橫掃)RX Mapping'!BH9-720)+120,IF(AND('(橫掃)RX Mapping'!BH9&gt;=721,'(橫掃)RX Mapping'!BH9&lt;=840), ('(橫掃)RX Mapping'!BH9-601),IF(AND('(橫掃)RX Mapping'!BH9&gt;=841,'(橫掃)RX Mapping'!BH9&lt;=960), (-1)*('(橫掃)RX Mapping'!BH9-960)+120,9999))))))))</f>
        <v>9999</v>
      </c>
      <c r="BI9">
        <f>IF(AND('(橫掃)RX Mapping'!BI9&gt;=1,'(橫掃)RX Mapping'!BI9&lt;=120), ('(橫掃)RX Mapping'!BI9-1),IF(AND('(橫掃)RX Mapping'!BI9&gt;=121,'(橫掃)RX Mapping'!BI9&lt;=240), (-1)*('(橫掃)RX Mapping'!BI9-240),IF(AND('(橫掃)RX Mapping'!BI9&gt;=241,'(橫掃)RX Mapping'!BI9&lt;=360), ('(橫掃)RX Mapping'!BI9-241),IF(AND('(橫掃)RX Mapping'!BI9&gt;=361,'(橫掃)RX Mapping'!BI9&lt;=480), (-1)*('(橫掃)RX Mapping'!BI9-480),IF(AND('(橫掃)RX Mapping'!BI9&gt;=481,'(橫掃)RX Mapping'!BI9&lt;=600), ('(橫掃)RX Mapping'!BI9-361),IF(AND('(橫掃)RX Mapping'!BI9&gt;=601,'(橫掃)RX Mapping'!BI9&lt;=720), (-1)*('(橫掃)RX Mapping'!BI9-720)+120,IF(AND('(橫掃)RX Mapping'!BI9&gt;=721,'(橫掃)RX Mapping'!BI9&lt;=840), ('(橫掃)RX Mapping'!BI9-601),IF(AND('(橫掃)RX Mapping'!BI9&gt;=841,'(橫掃)RX Mapping'!BI9&lt;=960), (-1)*('(橫掃)RX Mapping'!BI9-960)+120,9999))))))))</f>
        <v>9999</v>
      </c>
    </row>
    <row r="10" spans="1:61" x14ac:dyDescent="0.25">
      <c r="A10" s="20">
        <v>9</v>
      </c>
      <c r="B10">
        <f>IF(
(AND('(直掃)RX Mapping'!B10&gt;=0,'(直掃)RX Mapping'!B10&lt;=480)),
(MOD('(直掃)RX Mapping'!B10,120)-1),
IF(
(AND('(直掃)RX Mapping'!B10&gt;=480,'(直掃)RX Mapping'!B10&lt;=960)),
IF(MOD('(直掃)RX Mapping'!B10,120)=0, 120, 240-MOD('(直掃)RX Mapping'!B10,120)),9999))+IF(AND(MOD('(直掃)RX Mapping'!B10,120)=0, '(直掃)RX Mapping'!B10 &lt;= 480,  '(直掃)RX Mapping'!B10 &gt; 0), 120)</f>
        <v>128</v>
      </c>
      <c r="C10">
        <f>IF(
(AND('(直掃)RX Mapping'!C10&gt;=0,'(直掃)RX Mapping'!C10&lt;=480)),
(MOD('(直掃)RX Mapping'!C10,120)-1),
IF(
(AND('(直掃)RX Mapping'!C10&gt;=480,'(直掃)RX Mapping'!C10&lt;=960)),
IF(MOD('(直掃)RX Mapping'!C10,120)=0, 120, 240-MOD('(直掃)RX Mapping'!C10,120)),9999))+IF(AND(MOD('(直掃)RX Mapping'!C10,120)=0, '(直掃)RX Mapping'!C10 &lt;= 480,  '(直掃)RX Mapping'!C10 &gt; 0), 120)</f>
        <v>158</v>
      </c>
      <c r="D10">
        <f>IF(
(AND('(直掃)RX Mapping'!D10&gt;=0,'(直掃)RX Mapping'!D10&lt;=480)),
(MOD('(直掃)RX Mapping'!D10,120)-1),
IF(
(AND('(直掃)RX Mapping'!D10&gt;=480,'(直掃)RX Mapping'!D10&lt;=960)),
IF(MOD('(直掃)RX Mapping'!D10,120)=0, 120, 240-MOD('(直掃)RX Mapping'!D10,120)),9999))+IF(AND(MOD('(直掃)RX Mapping'!D10,120)=0, '(直掃)RX Mapping'!D10 &lt;= 480,  '(直掃)RX Mapping'!D10 &gt; 0), 120)</f>
        <v>188</v>
      </c>
      <c r="E10">
        <f>IF(
(AND('(直掃)RX Mapping'!E10&gt;=0,'(直掃)RX Mapping'!E10&lt;=480)),
(MOD('(直掃)RX Mapping'!E10,120)-1),
IF(
(AND('(直掃)RX Mapping'!E10&gt;=480,'(直掃)RX Mapping'!E10&lt;=960)),
IF(MOD('(直掃)RX Mapping'!E10,120)=0, 120, 240-MOD('(直掃)RX Mapping'!E10,120)),9999))+IF(AND(MOD('(直掃)RX Mapping'!E10,120)=0, '(直掃)RX Mapping'!E10 &lt;= 480,  '(直掃)RX Mapping'!E10 &gt; 0), 120)</f>
        <v>128</v>
      </c>
      <c r="F10">
        <f>IF(
(AND('(直掃)RX Mapping'!F10&gt;=0,'(直掃)RX Mapping'!F10&lt;=480)),
(MOD('(直掃)RX Mapping'!F10,120)-1),
IF(
(AND('(直掃)RX Mapping'!F10&gt;=480,'(直掃)RX Mapping'!F10&lt;=960)),
IF(MOD('(直掃)RX Mapping'!F10,120)=0, 120, 240-MOD('(直掃)RX Mapping'!F10,120)),9999))+IF(AND(MOD('(直掃)RX Mapping'!F10,120)=0, '(直掃)RX Mapping'!F10 &lt;= 480,  '(直掃)RX Mapping'!F10 &gt; 0), 120)</f>
        <v>158</v>
      </c>
      <c r="G10">
        <f>IF(
(AND('(直掃)RX Mapping'!G10&gt;=0,'(直掃)RX Mapping'!G10&lt;=480)),
(MOD('(直掃)RX Mapping'!G10,120)-1),
IF(
(AND('(直掃)RX Mapping'!G10&gt;=480,'(直掃)RX Mapping'!G10&lt;=960)),
IF(MOD('(直掃)RX Mapping'!G10,120)=0, 120, 240-MOD('(直掃)RX Mapping'!G10,120)),9999))+IF(AND(MOD('(直掃)RX Mapping'!G10,120)=0, '(直掃)RX Mapping'!G10 &lt;= 480,  '(直掃)RX Mapping'!G10 &gt; 0), 120)</f>
        <v>188</v>
      </c>
      <c r="H10">
        <f>IF(
(AND('(直掃)RX Mapping'!H10&gt;=0,'(直掃)RX Mapping'!H10&lt;=480)),
(MOD('(直掃)RX Mapping'!H10,120)-1),
IF(
(AND('(直掃)RX Mapping'!H10&gt;=480,'(直掃)RX Mapping'!H10&lt;=960)),
IF(MOD('(直掃)RX Mapping'!H10,120)=0, 120, 240-MOD('(直掃)RX Mapping'!H10,120)),9999))+IF(AND(MOD('(直掃)RX Mapping'!H10,120)=0, '(直掃)RX Mapping'!H10 &lt;= 480,  '(直掃)RX Mapping'!H10 &gt; 0), 120)</f>
        <v>128</v>
      </c>
      <c r="I10">
        <f>IF(
(AND('(直掃)RX Mapping'!I10&gt;=0,'(直掃)RX Mapping'!I10&lt;=480)),
(MOD('(直掃)RX Mapping'!I10,120)-1),
IF(
(AND('(直掃)RX Mapping'!I10&gt;=480,'(直掃)RX Mapping'!I10&lt;=960)),
IF(MOD('(直掃)RX Mapping'!I10,120)=0, 120, 240-MOD('(直掃)RX Mapping'!I10,120)),9999))+IF(AND(MOD('(直掃)RX Mapping'!I10,120)=0, '(直掃)RX Mapping'!I10 &lt;= 480,  '(直掃)RX Mapping'!I10 &gt; 0), 120)</f>
        <v>158</v>
      </c>
      <c r="J10">
        <f>IF(
(AND('(直掃)RX Mapping'!J10&gt;=0,'(直掃)RX Mapping'!J10&lt;=480)),
(MOD('(直掃)RX Mapping'!J10,120)-1),
IF(
(AND('(直掃)RX Mapping'!J10&gt;=480,'(直掃)RX Mapping'!J10&lt;=960)),
IF(MOD('(直掃)RX Mapping'!J10,120)=0, 120, 240-MOD('(直掃)RX Mapping'!J10,120)),9999))+IF(AND(MOD('(直掃)RX Mapping'!J10,120)=0, '(直掃)RX Mapping'!J10 &lt;= 480,  '(直掃)RX Mapping'!J10 &gt; 0), 120)</f>
        <v>188</v>
      </c>
      <c r="K10">
        <f>IF(
(AND('(直掃)RX Mapping'!K10&gt;=0,'(直掃)RX Mapping'!K10&lt;=480)),
(MOD('(直掃)RX Mapping'!K10,120)-1),
IF(
(AND('(直掃)RX Mapping'!K10&gt;=480,'(直掃)RX Mapping'!K10&lt;=960)),
IF(MOD('(直掃)RX Mapping'!K10,120)=0, 120, 240-MOD('(直掃)RX Mapping'!K10,120)),9999))+IF(AND(MOD('(直掃)RX Mapping'!K10,120)=0, '(直掃)RX Mapping'!K10 &lt;= 480,  '(直掃)RX Mapping'!K10 &gt; 0), 120)</f>
        <v>218</v>
      </c>
      <c r="L10">
        <f>IF(
(AND('(直掃)RX Mapping'!L10&gt;=0,'(直掃)RX Mapping'!L10&lt;=480)),
(MOD('(直掃)RX Mapping'!L10,120)-1),
IF(
(AND('(直掃)RX Mapping'!L10&gt;=480,'(直掃)RX Mapping'!L10&lt;=960)),
IF(MOD('(直掃)RX Mapping'!L10,120)=0, 120, 240-MOD('(直掃)RX Mapping'!L10,120)),9999))+IF(AND(MOD('(直掃)RX Mapping'!L10,120)=0, '(直掃)RX Mapping'!L10 &lt;= 480,  '(直掃)RX Mapping'!L10 &gt; 0), 120)</f>
        <v>128</v>
      </c>
      <c r="M10">
        <f>IF(
(AND('(直掃)RX Mapping'!M10&gt;=0,'(直掃)RX Mapping'!M10&lt;=480)),
(MOD('(直掃)RX Mapping'!M10,120)-1),
IF(
(AND('(直掃)RX Mapping'!M10&gt;=480,'(直掃)RX Mapping'!M10&lt;=960)),
IF(MOD('(直掃)RX Mapping'!M10,120)=0, 120, 240-MOD('(直掃)RX Mapping'!M10,120)),9999))+IF(AND(MOD('(直掃)RX Mapping'!M10,120)=0, '(直掃)RX Mapping'!M10 &lt;= 480,  '(直掃)RX Mapping'!M10 &gt; 0), 120)</f>
        <v>158</v>
      </c>
      <c r="N10">
        <f>IF(
(AND('(直掃)RX Mapping'!N10&gt;=0,'(直掃)RX Mapping'!N10&lt;=480)),
(MOD('(直掃)RX Mapping'!N10,120)-1),
IF(
(AND('(直掃)RX Mapping'!N10&gt;=480,'(直掃)RX Mapping'!N10&lt;=960)),
IF(MOD('(直掃)RX Mapping'!N10,120)=0, 120, 240-MOD('(直掃)RX Mapping'!N10,120)),9999))+IF(AND(MOD('(直掃)RX Mapping'!N10,120)=0, '(直掃)RX Mapping'!N10 &lt;= 480,  '(直掃)RX Mapping'!N10 &gt; 0), 120)</f>
        <v>188</v>
      </c>
      <c r="O10">
        <f>IF(
(AND('(直掃)RX Mapping'!O10&gt;=0,'(直掃)RX Mapping'!O10&lt;=480)),
(MOD('(直掃)RX Mapping'!O10,120)-1),
IF(
(AND('(直掃)RX Mapping'!O10&gt;=480,'(直掃)RX Mapping'!O10&lt;=960)),
IF(MOD('(直掃)RX Mapping'!O10,120)=0, 120, 240-MOD('(直掃)RX Mapping'!O10,120)),9999))+IF(AND(MOD('(直掃)RX Mapping'!O10,120)=0, '(直掃)RX Mapping'!O10 &lt;= 480,  '(直掃)RX Mapping'!O10 &gt; 0), 120)</f>
        <v>218</v>
      </c>
      <c r="P10">
        <f>IF(
(AND('(直掃)RX Mapping'!P10&gt;=0,'(直掃)RX Mapping'!P10&lt;=480)),
(MOD('(直掃)RX Mapping'!P10,120)-1),
IF(
(AND('(直掃)RX Mapping'!P10&gt;=480,'(直掃)RX Mapping'!P10&lt;=960)),
IF(MOD('(直掃)RX Mapping'!P10,120)=0, 120, 240-MOD('(直掃)RX Mapping'!P10,120)),9999))+IF(AND(MOD('(直掃)RX Mapping'!P10,120)=0, '(直掃)RX Mapping'!P10 &lt;= 480,  '(直掃)RX Mapping'!P10 &gt; 0), 120)</f>
        <v>111</v>
      </c>
      <c r="Q10">
        <f>IF(
(AND('(直掃)RX Mapping'!Q10&gt;=0,'(直掃)RX Mapping'!Q10&lt;=480)),
(MOD('(直掃)RX Mapping'!Q10,120)-1),
IF(
(AND('(直掃)RX Mapping'!Q10&gt;=480,'(直掃)RX Mapping'!Q10&lt;=960)),
IF(MOD('(直掃)RX Mapping'!Q10,120)=0, 120, 240-MOD('(直掃)RX Mapping'!Q10,120)),9999))+IF(AND(MOD('(直掃)RX Mapping'!Q10,120)=0, '(直掃)RX Mapping'!Q10 &lt;= 480,  '(直掃)RX Mapping'!Q10 &gt; 0), 120)</f>
        <v>81</v>
      </c>
      <c r="R10">
        <f>IF(
(AND('(直掃)RX Mapping'!R10&gt;=0,'(直掃)RX Mapping'!R10&lt;=480)),
(MOD('(直掃)RX Mapping'!R10,120)-1),
IF(
(AND('(直掃)RX Mapping'!R10&gt;=480,'(直掃)RX Mapping'!R10&lt;=960)),
IF(MOD('(直掃)RX Mapping'!R10,120)=0, 120, 240-MOD('(直掃)RX Mapping'!R10,120)),9999))+IF(AND(MOD('(直掃)RX Mapping'!R10,120)=0, '(直掃)RX Mapping'!R10 &lt;= 480,  '(直掃)RX Mapping'!R10 &gt; 0), 120)</f>
        <v>51</v>
      </c>
      <c r="S10">
        <f>IF(
(AND('(直掃)RX Mapping'!S10&gt;=0,'(直掃)RX Mapping'!S10&lt;=480)),
(MOD('(直掃)RX Mapping'!S10,120)-1),
IF(
(AND('(直掃)RX Mapping'!S10&gt;=480,'(直掃)RX Mapping'!S10&lt;=960)),
IF(MOD('(直掃)RX Mapping'!S10,120)=0, 120, 240-MOD('(直掃)RX Mapping'!S10,120)),9999))+IF(AND(MOD('(直掃)RX Mapping'!S10,120)=0, '(直掃)RX Mapping'!S10 &lt;= 480,  '(直掃)RX Mapping'!S10 &gt; 0), 120)</f>
        <v>21</v>
      </c>
      <c r="T10">
        <f>IF(
(AND('(直掃)RX Mapping'!T10&gt;=0,'(直掃)RX Mapping'!T10&lt;=480)),
(MOD('(直掃)RX Mapping'!T10,120)-1),
IF(
(AND('(直掃)RX Mapping'!T10&gt;=480,'(直掃)RX Mapping'!T10&lt;=960)),
IF(MOD('(直掃)RX Mapping'!T10,120)=0, 120, 240-MOD('(直掃)RX Mapping'!T10,120)),9999))+IF(AND(MOD('(直掃)RX Mapping'!T10,120)=0, '(直掃)RX Mapping'!T10 &lt;= 480,  '(直掃)RX Mapping'!T10 &gt; 0), 120)</f>
        <v>111</v>
      </c>
      <c r="U10">
        <f>IF(
(AND('(直掃)RX Mapping'!U10&gt;=0,'(直掃)RX Mapping'!U10&lt;=480)),
(MOD('(直掃)RX Mapping'!U10,120)-1),
IF(
(AND('(直掃)RX Mapping'!U10&gt;=480,'(直掃)RX Mapping'!U10&lt;=960)),
IF(MOD('(直掃)RX Mapping'!U10,120)=0, 120, 240-MOD('(直掃)RX Mapping'!U10,120)),9999))+IF(AND(MOD('(直掃)RX Mapping'!U10,120)=0, '(直掃)RX Mapping'!U10 &lt;= 480,  '(直掃)RX Mapping'!U10 &gt; 0), 120)</f>
        <v>81</v>
      </c>
      <c r="V10">
        <f>IF(
(AND('(直掃)RX Mapping'!V10&gt;=0,'(直掃)RX Mapping'!V10&lt;=480)),
(MOD('(直掃)RX Mapping'!V10,120)-1),
IF(
(AND('(直掃)RX Mapping'!V10&gt;=480,'(直掃)RX Mapping'!V10&lt;=960)),
IF(MOD('(直掃)RX Mapping'!V10,120)=0, 120, 240-MOD('(直掃)RX Mapping'!V10,120)),9999))+IF(AND(MOD('(直掃)RX Mapping'!V10,120)=0, '(直掃)RX Mapping'!V10 &lt;= 480,  '(直掃)RX Mapping'!V10 &gt; 0), 120)</f>
        <v>51</v>
      </c>
      <c r="W10">
        <f>IF(
(AND('(直掃)RX Mapping'!W10&gt;=0,'(直掃)RX Mapping'!W10&lt;=480)),
(MOD('(直掃)RX Mapping'!W10,120)-1),
IF(
(AND('(直掃)RX Mapping'!W10&gt;=480,'(直掃)RX Mapping'!W10&lt;=960)),
IF(MOD('(直掃)RX Mapping'!W10,120)=0, 120, 240-MOD('(直掃)RX Mapping'!W10,120)),9999))+IF(AND(MOD('(直掃)RX Mapping'!W10,120)=0, '(直掃)RX Mapping'!W10 &lt;= 480,  '(直掃)RX Mapping'!W10 &gt; 0), 120)</f>
        <v>21</v>
      </c>
      <c r="X10">
        <f>IF(
(AND('(直掃)RX Mapping'!X10&gt;=0,'(直掃)RX Mapping'!X10&lt;=480)),
(MOD('(直掃)RX Mapping'!X10,120)-1),
IF(
(AND('(直掃)RX Mapping'!X10&gt;=480,'(直掃)RX Mapping'!X10&lt;=960)),
IF(MOD('(直掃)RX Mapping'!X10,120)=0, 120, 240-MOD('(直掃)RX Mapping'!X10,120)),9999))+IF(AND(MOD('(直掃)RX Mapping'!X10,120)=0, '(直掃)RX Mapping'!X10 &lt;= 480,  '(直掃)RX Mapping'!X10 &gt; 0), 120)</f>
        <v>81</v>
      </c>
      <c r="Y10">
        <f>IF(
(AND('(直掃)RX Mapping'!Y10&gt;=0,'(直掃)RX Mapping'!Y10&lt;=480)),
(MOD('(直掃)RX Mapping'!Y10,120)-1),
IF(
(AND('(直掃)RX Mapping'!Y10&gt;=480,'(直掃)RX Mapping'!Y10&lt;=960)),
IF(MOD('(直掃)RX Mapping'!Y10,120)=0, 120, 240-MOD('(直掃)RX Mapping'!Y10,120)),9999))+IF(AND(MOD('(直掃)RX Mapping'!Y10,120)=0, '(直掃)RX Mapping'!Y10 &lt;= 480,  '(直掃)RX Mapping'!Y10 &gt; 0), 120)</f>
        <v>51</v>
      </c>
      <c r="Z10">
        <f>IF(
(AND('(直掃)RX Mapping'!Z10&gt;=0,'(直掃)RX Mapping'!Z10&lt;=480)),
(MOD('(直掃)RX Mapping'!Z10,120)-1),
IF(
(AND('(直掃)RX Mapping'!Z10&gt;=480,'(直掃)RX Mapping'!Z10&lt;=960)),
IF(MOD('(直掃)RX Mapping'!Z10,120)=0, 120, 240-MOD('(直掃)RX Mapping'!Z10,120)),9999))+IF(AND(MOD('(直掃)RX Mapping'!Z10,120)=0, '(直掃)RX Mapping'!Z10 &lt;= 480,  '(直掃)RX Mapping'!Z10 &gt; 0), 120)</f>
        <v>21</v>
      </c>
      <c r="AA10">
        <f>IF(
(AND('(直掃)RX Mapping'!AA10&gt;=0,'(直掃)RX Mapping'!AA10&lt;=480)),
(MOD('(直掃)RX Mapping'!AA10,120)-1),
IF(
(AND('(直掃)RX Mapping'!AA10&gt;=480,'(直掃)RX Mapping'!AA10&lt;=960)),
IF(MOD('(直掃)RX Mapping'!AA10,120)=0, 120, 240-MOD('(直掃)RX Mapping'!AA10,120)),9999))+IF(AND(MOD('(直掃)RX Mapping'!AA10,120)=0, '(直掃)RX Mapping'!AA10 &lt;= 480,  '(直掃)RX Mapping'!AA10 &gt; 0), 120)</f>
        <v>81</v>
      </c>
      <c r="AB10">
        <f>IF(
(AND('(直掃)RX Mapping'!AB10&gt;=0,'(直掃)RX Mapping'!AB10&lt;=480)),
(MOD('(直掃)RX Mapping'!AB10,120)-1),
IF(
(AND('(直掃)RX Mapping'!AB10&gt;=480,'(直掃)RX Mapping'!AB10&lt;=960)),
IF(MOD('(直掃)RX Mapping'!AB10,120)=0, 120, 240-MOD('(直掃)RX Mapping'!AB10,120)),9999))+IF(AND(MOD('(直掃)RX Mapping'!AB10,120)=0, '(直掃)RX Mapping'!AB10 &lt;= 480,  '(直掃)RX Mapping'!AB10 &gt; 0), 120)</f>
        <v>51</v>
      </c>
      <c r="AC10">
        <f>IF(
(AND('(直掃)RX Mapping'!AC10&gt;=0,'(直掃)RX Mapping'!AC10&lt;=480)),
(MOD('(直掃)RX Mapping'!AC10,120)-1),
IF(
(AND('(直掃)RX Mapping'!AC10&gt;=480,'(直掃)RX Mapping'!AC10&lt;=960)),
IF(MOD('(直掃)RX Mapping'!AC10,120)=0, 120, 240-MOD('(直掃)RX Mapping'!AC10,120)),9999))+IF(AND(MOD('(直掃)RX Mapping'!AC10,120)=0, '(直掃)RX Mapping'!AC10 &lt;= 480,  '(直掃)RX Mapping'!AC10 &gt; 0), 120)</f>
        <v>21</v>
      </c>
      <c r="AD10">
        <f>IF(
(AND('(直掃)RX Mapping'!AD10&gt;=0,'(直掃)RX Mapping'!AD10&lt;=480)),
(MOD('(直掃)RX Mapping'!AD10,120)-1),
IF(
(AND('(直掃)RX Mapping'!AD10&gt;=480,'(直掃)RX Mapping'!AD10&lt;=960)),
IF(MOD('(直掃)RX Mapping'!AD10,120)=0, 120, 240-MOD('(直掃)RX Mapping'!AD10,120)),9999))+IF(AND(MOD('(直掃)RX Mapping'!AD10,120)=0, '(直掃)RX Mapping'!AD10 &lt;= 480,  '(直掃)RX Mapping'!AD10 &gt; 0), 120)</f>
        <v>-1</v>
      </c>
      <c r="AE10">
        <f>IF(
(AND('(直掃)RX Mapping'!AE10&gt;=0,'(直掃)RX Mapping'!AE10&lt;=480)),
(MOD('(直掃)RX Mapping'!AE10,120)-1),
IF(
(AND('(直掃)RX Mapping'!AE10&gt;=480,'(直掃)RX Mapping'!AE10&lt;=960)),
IF(MOD('(直掃)RX Mapping'!AE10,120)=0, 120, 240-MOD('(直掃)RX Mapping'!AE10,120)),9999))+IF(AND(MOD('(直掃)RX Mapping'!AE10,120)=0, '(直掃)RX Mapping'!AE10 &lt;= 480,  '(直掃)RX Mapping'!AE10 &gt; 0), 120)</f>
        <v>-1</v>
      </c>
      <c r="AF10">
        <f>IF(
(AND('(直掃)RX Mapping'!AF10&gt;=0,'(直掃)RX Mapping'!AF10&lt;=480)),
(MOD('(直掃)RX Mapping'!AF10,120)-1),
IF(
(AND('(直掃)RX Mapping'!AF10&gt;=480,'(直掃)RX Mapping'!AF10&lt;=960)),
IF(MOD('(直掃)RX Mapping'!AF10,120)=0, 120, 240-MOD('(直掃)RX Mapping'!AF10,120)),9999))+IF(AND(MOD('(直掃)RX Mapping'!AF10,120)=0, '(直掃)RX Mapping'!AF10 &lt;= 480,  '(直掃)RX Mapping'!AF10 &gt; 0), 120)</f>
        <v>-1</v>
      </c>
      <c r="AG10">
        <f>IF(
(AND('(直掃)RX Mapping'!AG10&gt;=0,'(直掃)RX Mapping'!AG10&lt;=480)),
(MOD('(直掃)RX Mapping'!AG10,120)-1),
IF(
(AND('(直掃)RX Mapping'!AG10&gt;=480,'(直掃)RX Mapping'!AG10&lt;=960)),
IF(MOD('(直掃)RX Mapping'!AG10,120)=0, 120, 240-MOD('(直掃)RX Mapping'!AG10,120)),9999))+IF(AND(MOD('(直掃)RX Mapping'!AG10,120)=0, '(直掃)RX Mapping'!AG10 &lt;= 480,  '(直掃)RX Mapping'!AG10 &gt; 0), 120)</f>
        <v>-1</v>
      </c>
      <c r="AH10">
        <f>IF(
(AND('(直掃)RX Mapping'!AH10&gt;=0,'(直掃)RX Mapping'!AH10&lt;=480)),
(MOD('(直掃)RX Mapping'!AH10,120)-1),
IF(
(AND('(直掃)RX Mapping'!AH10&gt;=480,'(直掃)RX Mapping'!AH10&lt;=960)),
IF(MOD('(直掃)RX Mapping'!AH10,120)=0, 120, 240-MOD('(直掃)RX Mapping'!AH10,120)),9999))+IF(AND(MOD('(直掃)RX Mapping'!AH10,120)=0, '(直掃)RX Mapping'!AH10 &lt;= 480,  '(直掃)RX Mapping'!AH10 &gt; 0), 120)</f>
        <v>-1</v>
      </c>
      <c r="AI10">
        <f>IF(
(AND('(直掃)RX Mapping'!AI10&gt;=0,'(直掃)RX Mapping'!AI10&lt;=480)),
(MOD('(直掃)RX Mapping'!AI10,120)-1),
IF(
(AND('(直掃)RX Mapping'!AI10&gt;=480,'(直掃)RX Mapping'!AI10&lt;=960)),
IF(MOD('(直掃)RX Mapping'!AI10,120)=0, 120, 240-MOD('(直掃)RX Mapping'!AI10,120)),9999))+IF(AND(MOD('(直掃)RX Mapping'!AI10,120)=0, '(直掃)RX Mapping'!AI10 &lt;= 480,  '(直掃)RX Mapping'!AI10 &gt; 0), 120)</f>
        <v>-1</v>
      </c>
      <c r="AJ10">
        <f>IF(
(AND('(直掃)RX Mapping'!AJ10&gt;=0,'(直掃)RX Mapping'!AJ10&lt;=480)),
(MOD('(直掃)RX Mapping'!AJ10,120)-1),
IF(
(AND('(直掃)RX Mapping'!AJ10&gt;=480,'(直掃)RX Mapping'!AJ10&lt;=960)),
IF(MOD('(直掃)RX Mapping'!AJ10,120)=0, 120, 240-MOD('(直掃)RX Mapping'!AJ10,120)),9999))+IF(AND(MOD('(直掃)RX Mapping'!AJ10,120)=0, '(直掃)RX Mapping'!AJ10 &lt;= 480,  '(直掃)RX Mapping'!AJ10 &gt; 0), 120)</f>
        <v>-1</v>
      </c>
      <c r="AK10">
        <f>IF(
(AND('(直掃)RX Mapping'!AK10&gt;=0,'(直掃)RX Mapping'!AK10&lt;=480)),
(MOD('(直掃)RX Mapping'!AK10,120)-1),
IF(
(AND('(直掃)RX Mapping'!AK10&gt;=480,'(直掃)RX Mapping'!AK10&lt;=960)),
IF(MOD('(直掃)RX Mapping'!AK10,120)=0, 120, 240-MOD('(直掃)RX Mapping'!AK10,120)),9999))+IF(AND(MOD('(直掃)RX Mapping'!AK10,120)=0, '(直掃)RX Mapping'!AK10 &lt;= 480,  '(直掃)RX Mapping'!AK10 &gt; 0), 120)</f>
        <v>-1</v>
      </c>
      <c r="AL10">
        <f>IF(
(AND('(直掃)RX Mapping'!AL10&gt;=0,'(直掃)RX Mapping'!AL10&lt;=480)),
(MOD('(直掃)RX Mapping'!AL10,120)-1),
IF(
(AND('(直掃)RX Mapping'!AL10&gt;=480,'(直掃)RX Mapping'!AL10&lt;=960)),
IF(MOD('(直掃)RX Mapping'!AL10,120)=0, 120, 240-MOD('(直掃)RX Mapping'!AL10,120)),9999))+IF(AND(MOD('(直掃)RX Mapping'!AL10,120)=0, '(直掃)RX Mapping'!AL10 &lt;= 480,  '(直掃)RX Mapping'!AL10 &gt; 0), 120)</f>
        <v>-1</v>
      </c>
      <c r="AM10">
        <f>IF(
(AND('(直掃)RX Mapping'!AM10&gt;=0,'(直掃)RX Mapping'!AM10&lt;=480)),
(MOD('(直掃)RX Mapping'!AM10,120)-1),
IF(
(AND('(直掃)RX Mapping'!AM10&gt;=480,'(直掃)RX Mapping'!AM10&lt;=960)),
IF(MOD('(直掃)RX Mapping'!AM10,120)=0, 120, 240-MOD('(直掃)RX Mapping'!AM10,120)),9999))+IF(AND(MOD('(直掃)RX Mapping'!AM10,120)=0, '(直掃)RX Mapping'!AM10 &lt;= 480,  '(直掃)RX Mapping'!AM10 &gt; 0), 120)</f>
        <v>-1</v>
      </c>
      <c r="AN10">
        <f>IF(
(AND('(直掃)RX Mapping'!AN10&gt;=0,'(直掃)RX Mapping'!AN10&lt;=480)),
(MOD('(直掃)RX Mapping'!AN10,120)-1),
IF(
(AND('(直掃)RX Mapping'!AN10&gt;=480,'(直掃)RX Mapping'!AN10&lt;=960)),
IF(MOD('(直掃)RX Mapping'!AN10,120)=0, 120, 240-MOD('(直掃)RX Mapping'!AN10,120)),9999))+IF(AND(MOD('(直掃)RX Mapping'!AN10,120)=0, '(直掃)RX Mapping'!AN10 &lt;= 480,  '(直掃)RX Mapping'!AN10 &gt; 0), 120)</f>
        <v>-1</v>
      </c>
      <c r="AO10">
        <f>IF(
(AND('(直掃)RX Mapping'!AO10&gt;=0,'(直掃)RX Mapping'!AO10&lt;=480)),
(MOD('(直掃)RX Mapping'!AO10,120)-1),
IF(
(AND('(直掃)RX Mapping'!AO10&gt;=480,'(直掃)RX Mapping'!AO10&lt;=960)),
IF(MOD('(直掃)RX Mapping'!AO10,120)=0, 120, 240-MOD('(直掃)RX Mapping'!AO10,120)),9999))+IF(AND(MOD('(直掃)RX Mapping'!AO10,120)=0, '(直掃)RX Mapping'!AO10 &lt;= 480,  '(直掃)RX Mapping'!AO10 &gt; 0), 120)</f>
        <v>-1</v>
      </c>
      <c r="AP10">
        <f>IF(
(AND('(直掃)RX Mapping'!AP10&gt;=0,'(直掃)RX Mapping'!AP10&lt;=480)),
(MOD('(直掃)RX Mapping'!AP10,120)-1),
IF(
(AND('(直掃)RX Mapping'!AP10&gt;=480,'(直掃)RX Mapping'!AP10&lt;=960)),
IF(MOD('(直掃)RX Mapping'!AP10,120)=0, 120, 240-MOD('(直掃)RX Mapping'!AP10,120)),9999))+IF(AND(MOD('(直掃)RX Mapping'!AP10,120)=0, '(直掃)RX Mapping'!AP10 &lt;= 480,  '(直掃)RX Mapping'!AP10 &gt; 0), 120)</f>
        <v>-1</v>
      </c>
      <c r="AQ10">
        <f>IF(
(AND('(直掃)RX Mapping'!AQ10&gt;=0,'(直掃)RX Mapping'!AQ10&lt;=480)),
(MOD('(直掃)RX Mapping'!AQ10,120)-1),
IF(
(AND('(直掃)RX Mapping'!AQ10&gt;=480,'(直掃)RX Mapping'!AQ10&lt;=960)),
IF(MOD('(直掃)RX Mapping'!AQ10,120)=0, 120, 240-MOD('(直掃)RX Mapping'!AQ10,120)),9999))+IF(AND(MOD('(直掃)RX Mapping'!AQ10,120)=0, '(直掃)RX Mapping'!AQ10 &lt;= 480,  '(直掃)RX Mapping'!AQ10 &gt; 0), 120)</f>
        <v>-1</v>
      </c>
      <c r="AR10">
        <f>IF(
(AND('(直掃)RX Mapping'!AR10&gt;=0,'(直掃)RX Mapping'!AR10&lt;=480)),
(MOD('(直掃)RX Mapping'!AR10,120)-1),
IF(
(AND('(直掃)RX Mapping'!AR10&gt;=480,'(直掃)RX Mapping'!AR10&lt;=960)),
IF(MOD('(直掃)RX Mapping'!AR10,120)=0, 120, 240-MOD('(直掃)RX Mapping'!AR10,120)),9999))+IF(AND(MOD('(直掃)RX Mapping'!AR10,120)=0, '(直掃)RX Mapping'!AR10 &lt;= 480,  '(直掃)RX Mapping'!AR10 &gt; 0), 120)</f>
        <v>-1</v>
      </c>
      <c r="AS10">
        <f>IF(
(AND('(直掃)RX Mapping'!AS10&gt;=0,'(直掃)RX Mapping'!AS10&lt;=480)),
(MOD('(直掃)RX Mapping'!AS10,120)-1),
IF(
(AND('(直掃)RX Mapping'!AS10&gt;=480,'(直掃)RX Mapping'!AS10&lt;=960)),
IF(MOD('(直掃)RX Mapping'!AS10,120)=0, 120, 240-MOD('(直掃)RX Mapping'!AS10,120)),9999))+IF(AND(MOD('(直掃)RX Mapping'!AS10,120)=0, '(直掃)RX Mapping'!AS10 &lt;= 480,  '(直掃)RX Mapping'!AS10 &gt; 0), 120)</f>
        <v>-1</v>
      </c>
      <c r="AT10">
        <f>IF(AND('(橫掃)RX Mapping'!AT10&gt;=1,'(橫掃)RX Mapping'!AT10&lt;=120), ('(橫掃)RX Mapping'!AT10-1),IF(AND('(橫掃)RX Mapping'!AT10&gt;=121,'(橫掃)RX Mapping'!AT10&lt;=240), (-1)*('(橫掃)RX Mapping'!AT10-240),IF(AND('(橫掃)RX Mapping'!AT10&gt;=241,'(橫掃)RX Mapping'!AT10&lt;=360), ('(橫掃)RX Mapping'!AT10-241),IF(AND('(橫掃)RX Mapping'!AT10&gt;=361,'(橫掃)RX Mapping'!AT10&lt;=480), (-1)*('(橫掃)RX Mapping'!AT10-480),IF(AND('(橫掃)RX Mapping'!AT10&gt;=481,'(橫掃)RX Mapping'!AT10&lt;=600), ('(橫掃)RX Mapping'!AT10-361),IF(AND('(橫掃)RX Mapping'!AT10&gt;=601,'(橫掃)RX Mapping'!AT10&lt;=720), (-1)*('(橫掃)RX Mapping'!AT10-720)+120,IF(AND('(橫掃)RX Mapping'!AT10&gt;=721,'(橫掃)RX Mapping'!AT10&lt;=840), ('(橫掃)RX Mapping'!AT10-601),IF(AND('(橫掃)RX Mapping'!AT10&gt;=841,'(橫掃)RX Mapping'!AT10&lt;=960), (-1)*('(橫掃)RX Mapping'!AT10-960)+120,9999))))))))</f>
        <v>9999</v>
      </c>
      <c r="AU10">
        <f>IF(AND('(橫掃)RX Mapping'!AU10&gt;=1,'(橫掃)RX Mapping'!AU10&lt;=120), ('(橫掃)RX Mapping'!AU10-1),IF(AND('(橫掃)RX Mapping'!AU10&gt;=121,'(橫掃)RX Mapping'!AU10&lt;=240), (-1)*('(橫掃)RX Mapping'!AU10-240),IF(AND('(橫掃)RX Mapping'!AU10&gt;=241,'(橫掃)RX Mapping'!AU10&lt;=360), ('(橫掃)RX Mapping'!AU10-241),IF(AND('(橫掃)RX Mapping'!AU10&gt;=361,'(橫掃)RX Mapping'!AU10&lt;=480), (-1)*('(橫掃)RX Mapping'!AU10-480),IF(AND('(橫掃)RX Mapping'!AU10&gt;=481,'(橫掃)RX Mapping'!AU10&lt;=600), ('(橫掃)RX Mapping'!AU10-361),IF(AND('(橫掃)RX Mapping'!AU10&gt;=601,'(橫掃)RX Mapping'!AU10&lt;=720), (-1)*('(橫掃)RX Mapping'!AU10-720)+120,IF(AND('(橫掃)RX Mapping'!AU10&gt;=721,'(橫掃)RX Mapping'!AU10&lt;=840), ('(橫掃)RX Mapping'!AU10-601),IF(AND('(橫掃)RX Mapping'!AU10&gt;=841,'(橫掃)RX Mapping'!AU10&lt;=960), (-1)*('(橫掃)RX Mapping'!AU10-960)+120,9999))))))))</f>
        <v>9999</v>
      </c>
      <c r="AV10">
        <f>IF(AND('(橫掃)RX Mapping'!AV10&gt;=1,'(橫掃)RX Mapping'!AV10&lt;=120), ('(橫掃)RX Mapping'!AV10-1),IF(AND('(橫掃)RX Mapping'!AV10&gt;=121,'(橫掃)RX Mapping'!AV10&lt;=240), (-1)*('(橫掃)RX Mapping'!AV10-240),IF(AND('(橫掃)RX Mapping'!AV10&gt;=241,'(橫掃)RX Mapping'!AV10&lt;=360), ('(橫掃)RX Mapping'!AV10-241),IF(AND('(橫掃)RX Mapping'!AV10&gt;=361,'(橫掃)RX Mapping'!AV10&lt;=480), (-1)*('(橫掃)RX Mapping'!AV10-480),IF(AND('(橫掃)RX Mapping'!AV10&gt;=481,'(橫掃)RX Mapping'!AV10&lt;=600), ('(橫掃)RX Mapping'!AV10-361),IF(AND('(橫掃)RX Mapping'!AV10&gt;=601,'(橫掃)RX Mapping'!AV10&lt;=720), (-1)*('(橫掃)RX Mapping'!AV10-720)+120,IF(AND('(橫掃)RX Mapping'!AV10&gt;=721,'(橫掃)RX Mapping'!AV10&lt;=840), ('(橫掃)RX Mapping'!AV10-601),IF(AND('(橫掃)RX Mapping'!AV10&gt;=841,'(橫掃)RX Mapping'!AV10&lt;=960), (-1)*('(橫掃)RX Mapping'!AV10-960)+120,9999))))))))</f>
        <v>9999</v>
      </c>
      <c r="AW10">
        <f>IF(AND('(橫掃)RX Mapping'!AW10&gt;=1,'(橫掃)RX Mapping'!AW10&lt;=120), ('(橫掃)RX Mapping'!AW10-1),IF(AND('(橫掃)RX Mapping'!AW10&gt;=121,'(橫掃)RX Mapping'!AW10&lt;=240), (-1)*('(橫掃)RX Mapping'!AW10-240),IF(AND('(橫掃)RX Mapping'!AW10&gt;=241,'(橫掃)RX Mapping'!AW10&lt;=360), ('(橫掃)RX Mapping'!AW10-241),IF(AND('(橫掃)RX Mapping'!AW10&gt;=361,'(橫掃)RX Mapping'!AW10&lt;=480), (-1)*('(橫掃)RX Mapping'!AW10-480),IF(AND('(橫掃)RX Mapping'!AW10&gt;=481,'(橫掃)RX Mapping'!AW10&lt;=600), ('(橫掃)RX Mapping'!AW10-361),IF(AND('(橫掃)RX Mapping'!AW10&gt;=601,'(橫掃)RX Mapping'!AW10&lt;=720), (-1)*('(橫掃)RX Mapping'!AW10-720)+120,IF(AND('(橫掃)RX Mapping'!AW10&gt;=721,'(橫掃)RX Mapping'!AW10&lt;=840), ('(橫掃)RX Mapping'!AW10-601),IF(AND('(橫掃)RX Mapping'!AW10&gt;=841,'(橫掃)RX Mapping'!AW10&lt;=960), (-1)*('(橫掃)RX Mapping'!AW10-960)+120,9999))))))))</f>
        <v>9999</v>
      </c>
      <c r="AX10">
        <f>IF(AND('(橫掃)RX Mapping'!AX10&gt;=1,'(橫掃)RX Mapping'!AX10&lt;=120), ('(橫掃)RX Mapping'!AX10-1),IF(AND('(橫掃)RX Mapping'!AX10&gt;=121,'(橫掃)RX Mapping'!AX10&lt;=240), (-1)*('(橫掃)RX Mapping'!AX10-240),IF(AND('(橫掃)RX Mapping'!AX10&gt;=241,'(橫掃)RX Mapping'!AX10&lt;=360), ('(橫掃)RX Mapping'!AX10-241),IF(AND('(橫掃)RX Mapping'!AX10&gt;=361,'(橫掃)RX Mapping'!AX10&lt;=480), (-1)*('(橫掃)RX Mapping'!AX10-480),IF(AND('(橫掃)RX Mapping'!AX10&gt;=481,'(橫掃)RX Mapping'!AX10&lt;=600), ('(橫掃)RX Mapping'!AX10-361),IF(AND('(橫掃)RX Mapping'!AX10&gt;=601,'(橫掃)RX Mapping'!AX10&lt;=720), (-1)*('(橫掃)RX Mapping'!AX10-720)+120,IF(AND('(橫掃)RX Mapping'!AX10&gt;=721,'(橫掃)RX Mapping'!AX10&lt;=840), ('(橫掃)RX Mapping'!AX10-601),IF(AND('(橫掃)RX Mapping'!AX10&gt;=841,'(橫掃)RX Mapping'!AX10&lt;=960), (-1)*('(橫掃)RX Mapping'!AX10-960)+120,9999))))))))</f>
        <v>9999</v>
      </c>
      <c r="AY10">
        <f>IF(AND('(橫掃)RX Mapping'!AY10&gt;=1,'(橫掃)RX Mapping'!AY10&lt;=120), ('(橫掃)RX Mapping'!AY10-1),IF(AND('(橫掃)RX Mapping'!AY10&gt;=121,'(橫掃)RX Mapping'!AY10&lt;=240), (-1)*('(橫掃)RX Mapping'!AY10-240),IF(AND('(橫掃)RX Mapping'!AY10&gt;=241,'(橫掃)RX Mapping'!AY10&lt;=360), ('(橫掃)RX Mapping'!AY10-241),IF(AND('(橫掃)RX Mapping'!AY10&gt;=361,'(橫掃)RX Mapping'!AY10&lt;=480), (-1)*('(橫掃)RX Mapping'!AY10-480),IF(AND('(橫掃)RX Mapping'!AY10&gt;=481,'(橫掃)RX Mapping'!AY10&lt;=600), ('(橫掃)RX Mapping'!AY10-361),IF(AND('(橫掃)RX Mapping'!AY10&gt;=601,'(橫掃)RX Mapping'!AY10&lt;=720), (-1)*('(橫掃)RX Mapping'!AY10-720)+120,IF(AND('(橫掃)RX Mapping'!AY10&gt;=721,'(橫掃)RX Mapping'!AY10&lt;=840), ('(橫掃)RX Mapping'!AY10-601),IF(AND('(橫掃)RX Mapping'!AY10&gt;=841,'(橫掃)RX Mapping'!AY10&lt;=960), (-1)*('(橫掃)RX Mapping'!AY10-960)+120,9999))))))))</f>
        <v>9999</v>
      </c>
      <c r="AZ10">
        <f>IF(AND('(橫掃)RX Mapping'!AZ10&gt;=1,'(橫掃)RX Mapping'!AZ10&lt;=120), ('(橫掃)RX Mapping'!AZ10-1),IF(AND('(橫掃)RX Mapping'!AZ10&gt;=121,'(橫掃)RX Mapping'!AZ10&lt;=240), (-1)*('(橫掃)RX Mapping'!AZ10-240),IF(AND('(橫掃)RX Mapping'!AZ10&gt;=241,'(橫掃)RX Mapping'!AZ10&lt;=360), ('(橫掃)RX Mapping'!AZ10-241),IF(AND('(橫掃)RX Mapping'!AZ10&gt;=361,'(橫掃)RX Mapping'!AZ10&lt;=480), (-1)*('(橫掃)RX Mapping'!AZ10-480),IF(AND('(橫掃)RX Mapping'!AZ10&gt;=481,'(橫掃)RX Mapping'!AZ10&lt;=600), ('(橫掃)RX Mapping'!AZ10-361),IF(AND('(橫掃)RX Mapping'!AZ10&gt;=601,'(橫掃)RX Mapping'!AZ10&lt;=720), (-1)*('(橫掃)RX Mapping'!AZ10-720)+120,IF(AND('(橫掃)RX Mapping'!AZ10&gt;=721,'(橫掃)RX Mapping'!AZ10&lt;=840), ('(橫掃)RX Mapping'!AZ10-601),IF(AND('(橫掃)RX Mapping'!AZ10&gt;=841,'(橫掃)RX Mapping'!AZ10&lt;=960), (-1)*('(橫掃)RX Mapping'!AZ10-960)+120,9999))))))))</f>
        <v>9999</v>
      </c>
      <c r="BA10">
        <f>IF(AND('(橫掃)RX Mapping'!BA10&gt;=1,'(橫掃)RX Mapping'!BA10&lt;=120), ('(橫掃)RX Mapping'!BA10-1),IF(AND('(橫掃)RX Mapping'!BA10&gt;=121,'(橫掃)RX Mapping'!BA10&lt;=240), (-1)*('(橫掃)RX Mapping'!BA10-240),IF(AND('(橫掃)RX Mapping'!BA10&gt;=241,'(橫掃)RX Mapping'!BA10&lt;=360), ('(橫掃)RX Mapping'!BA10-241),IF(AND('(橫掃)RX Mapping'!BA10&gt;=361,'(橫掃)RX Mapping'!BA10&lt;=480), (-1)*('(橫掃)RX Mapping'!BA10-480),IF(AND('(橫掃)RX Mapping'!BA10&gt;=481,'(橫掃)RX Mapping'!BA10&lt;=600), ('(橫掃)RX Mapping'!BA10-361),IF(AND('(橫掃)RX Mapping'!BA10&gt;=601,'(橫掃)RX Mapping'!BA10&lt;=720), (-1)*('(橫掃)RX Mapping'!BA10-720)+120,IF(AND('(橫掃)RX Mapping'!BA10&gt;=721,'(橫掃)RX Mapping'!BA10&lt;=840), ('(橫掃)RX Mapping'!BA10-601),IF(AND('(橫掃)RX Mapping'!BA10&gt;=841,'(橫掃)RX Mapping'!BA10&lt;=960), (-1)*('(橫掃)RX Mapping'!BA10-960)+120,9999))))))))</f>
        <v>9999</v>
      </c>
      <c r="BB10">
        <f>IF(AND('(橫掃)RX Mapping'!BB10&gt;=1,'(橫掃)RX Mapping'!BB10&lt;=120), ('(橫掃)RX Mapping'!BB10-1),IF(AND('(橫掃)RX Mapping'!BB10&gt;=121,'(橫掃)RX Mapping'!BB10&lt;=240), (-1)*('(橫掃)RX Mapping'!BB10-240),IF(AND('(橫掃)RX Mapping'!BB10&gt;=241,'(橫掃)RX Mapping'!BB10&lt;=360), ('(橫掃)RX Mapping'!BB10-241),IF(AND('(橫掃)RX Mapping'!BB10&gt;=361,'(橫掃)RX Mapping'!BB10&lt;=480), (-1)*('(橫掃)RX Mapping'!BB10-480),IF(AND('(橫掃)RX Mapping'!BB10&gt;=481,'(橫掃)RX Mapping'!BB10&lt;=600), ('(橫掃)RX Mapping'!BB10-361),IF(AND('(橫掃)RX Mapping'!BB10&gt;=601,'(橫掃)RX Mapping'!BB10&lt;=720), (-1)*('(橫掃)RX Mapping'!BB10-720)+120,IF(AND('(橫掃)RX Mapping'!BB10&gt;=721,'(橫掃)RX Mapping'!BB10&lt;=840), ('(橫掃)RX Mapping'!BB10-601),IF(AND('(橫掃)RX Mapping'!BB10&gt;=841,'(橫掃)RX Mapping'!BB10&lt;=960), (-1)*('(橫掃)RX Mapping'!BB10-960)+120,9999))))))))</f>
        <v>9999</v>
      </c>
      <c r="BC10">
        <f>IF(AND('(橫掃)RX Mapping'!BC10&gt;=1,'(橫掃)RX Mapping'!BC10&lt;=120), ('(橫掃)RX Mapping'!BC10-1),IF(AND('(橫掃)RX Mapping'!BC10&gt;=121,'(橫掃)RX Mapping'!BC10&lt;=240), (-1)*('(橫掃)RX Mapping'!BC10-240),IF(AND('(橫掃)RX Mapping'!BC10&gt;=241,'(橫掃)RX Mapping'!BC10&lt;=360), ('(橫掃)RX Mapping'!BC10-241),IF(AND('(橫掃)RX Mapping'!BC10&gt;=361,'(橫掃)RX Mapping'!BC10&lt;=480), (-1)*('(橫掃)RX Mapping'!BC10-480),IF(AND('(橫掃)RX Mapping'!BC10&gt;=481,'(橫掃)RX Mapping'!BC10&lt;=600), ('(橫掃)RX Mapping'!BC10-361),IF(AND('(橫掃)RX Mapping'!BC10&gt;=601,'(橫掃)RX Mapping'!BC10&lt;=720), (-1)*('(橫掃)RX Mapping'!BC10-720)+120,IF(AND('(橫掃)RX Mapping'!BC10&gt;=721,'(橫掃)RX Mapping'!BC10&lt;=840), ('(橫掃)RX Mapping'!BC10-601),IF(AND('(橫掃)RX Mapping'!BC10&gt;=841,'(橫掃)RX Mapping'!BC10&lt;=960), (-1)*('(橫掃)RX Mapping'!BC10-960)+120,9999))))))))</f>
        <v>9999</v>
      </c>
      <c r="BD10">
        <f>IF(AND('(橫掃)RX Mapping'!BD10&gt;=1,'(橫掃)RX Mapping'!BD10&lt;=120), ('(橫掃)RX Mapping'!BD10-1),IF(AND('(橫掃)RX Mapping'!BD10&gt;=121,'(橫掃)RX Mapping'!BD10&lt;=240), (-1)*('(橫掃)RX Mapping'!BD10-240),IF(AND('(橫掃)RX Mapping'!BD10&gt;=241,'(橫掃)RX Mapping'!BD10&lt;=360), ('(橫掃)RX Mapping'!BD10-241),IF(AND('(橫掃)RX Mapping'!BD10&gt;=361,'(橫掃)RX Mapping'!BD10&lt;=480), (-1)*('(橫掃)RX Mapping'!BD10-480),IF(AND('(橫掃)RX Mapping'!BD10&gt;=481,'(橫掃)RX Mapping'!BD10&lt;=600), ('(橫掃)RX Mapping'!BD10-361),IF(AND('(橫掃)RX Mapping'!BD10&gt;=601,'(橫掃)RX Mapping'!BD10&lt;=720), (-1)*('(橫掃)RX Mapping'!BD10-720)+120,IF(AND('(橫掃)RX Mapping'!BD10&gt;=721,'(橫掃)RX Mapping'!BD10&lt;=840), ('(橫掃)RX Mapping'!BD10-601),IF(AND('(橫掃)RX Mapping'!BD10&gt;=841,'(橫掃)RX Mapping'!BD10&lt;=960), (-1)*('(橫掃)RX Mapping'!BD10-960)+120,9999))))))))</f>
        <v>9999</v>
      </c>
      <c r="BE10">
        <f>IF(AND('(橫掃)RX Mapping'!BE10&gt;=1,'(橫掃)RX Mapping'!BE10&lt;=120), ('(橫掃)RX Mapping'!BE10-1),IF(AND('(橫掃)RX Mapping'!BE10&gt;=121,'(橫掃)RX Mapping'!BE10&lt;=240), (-1)*('(橫掃)RX Mapping'!BE10-240),IF(AND('(橫掃)RX Mapping'!BE10&gt;=241,'(橫掃)RX Mapping'!BE10&lt;=360), ('(橫掃)RX Mapping'!BE10-241),IF(AND('(橫掃)RX Mapping'!BE10&gt;=361,'(橫掃)RX Mapping'!BE10&lt;=480), (-1)*('(橫掃)RX Mapping'!BE10-480),IF(AND('(橫掃)RX Mapping'!BE10&gt;=481,'(橫掃)RX Mapping'!BE10&lt;=600), ('(橫掃)RX Mapping'!BE10-361),IF(AND('(橫掃)RX Mapping'!BE10&gt;=601,'(橫掃)RX Mapping'!BE10&lt;=720), (-1)*('(橫掃)RX Mapping'!BE10-720)+120,IF(AND('(橫掃)RX Mapping'!BE10&gt;=721,'(橫掃)RX Mapping'!BE10&lt;=840), ('(橫掃)RX Mapping'!BE10-601),IF(AND('(橫掃)RX Mapping'!BE10&gt;=841,'(橫掃)RX Mapping'!BE10&lt;=960), (-1)*('(橫掃)RX Mapping'!BE10-960)+120,9999))))))))</f>
        <v>9999</v>
      </c>
      <c r="BF10">
        <f>IF(AND('(橫掃)RX Mapping'!BF10&gt;=1,'(橫掃)RX Mapping'!BF10&lt;=120), ('(橫掃)RX Mapping'!BF10-1),IF(AND('(橫掃)RX Mapping'!BF10&gt;=121,'(橫掃)RX Mapping'!BF10&lt;=240), (-1)*('(橫掃)RX Mapping'!BF10-240),IF(AND('(橫掃)RX Mapping'!BF10&gt;=241,'(橫掃)RX Mapping'!BF10&lt;=360), ('(橫掃)RX Mapping'!BF10-241),IF(AND('(橫掃)RX Mapping'!BF10&gt;=361,'(橫掃)RX Mapping'!BF10&lt;=480), (-1)*('(橫掃)RX Mapping'!BF10-480),IF(AND('(橫掃)RX Mapping'!BF10&gt;=481,'(橫掃)RX Mapping'!BF10&lt;=600), ('(橫掃)RX Mapping'!BF10-361),IF(AND('(橫掃)RX Mapping'!BF10&gt;=601,'(橫掃)RX Mapping'!BF10&lt;=720), (-1)*('(橫掃)RX Mapping'!BF10-720)+120,IF(AND('(橫掃)RX Mapping'!BF10&gt;=721,'(橫掃)RX Mapping'!BF10&lt;=840), ('(橫掃)RX Mapping'!BF10-601),IF(AND('(橫掃)RX Mapping'!BF10&gt;=841,'(橫掃)RX Mapping'!BF10&lt;=960), (-1)*('(橫掃)RX Mapping'!BF10-960)+120,9999))))))))</f>
        <v>9999</v>
      </c>
      <c r="BG10">
        <f>IF(AND('(橫掃)RX Mapping'!BG10&gt;=1,'(橫掃)RX Mapping'!BG10&lt;=120), ('(橫掃)RX Mapping'!BG10-1),IF(AND('(橫掃)RX Mapping'!BG10&gt;=121,'(橫掃)RX Mapping'!BG10&lt;=240), (-1)*('(橫掃)RX Mapping'!BG10-240),IF(AND('(橫掃)RX Mapping'!BG10&gt;=241,'(橫掃)RX Mapping'!BG10&lt;=360), ('(橫掃)RX Mapping'!BG10-241),IF(AND('(橫掃)RX Mapping'!BG10&gt;=361,'(橫掃)RX Mapping'!BG10&lt;=480), (-1)*('(橫掃)RX Mapping'!BG10-480),IF(AND('(橫掃)RX Mapping'!BG10&gt;=481,'(橫掃)RX Mapping'!BG10&lt;=600), ('(橫掃)RX Mapping'!BG10-361),IF(AND('(橫掃)RX Mapping'!BG10&gt;=601,'(橫掃)RX Mapping'!BG10&lt;=720), (-1)*('(橫掃)RX Mapping'!BG10-720)+120,IF(AND('(橫掃)RX Mapping'!BG10&gt;=721,'(橫掃)RX Mapping'!BG10&lt;=840), ('(橫掃)RX Mapping'!BG10-601),IF(AND('(橫掃)RX Mapping'!BG10&gt;=841,'(橫掃)RX Mapping'!BG10&lt;=960), (-1)*('(橫掃)RX Mapping'!BG10-960)+120,9999))))))))</f>
        <v>9999</v>
      </c>
      <c r="BH10">
        <f>IF(AND('(橫掃)RX Mapping'!BH10&gt;=1,'(橫掃)RX Mapping'!BH10&lt;=120), ('(橫掃)RX Mapping'!BH10-1),IF(AND('(橫掃)RX Mapping'!BH10&gt;=121,'(橫掃)RX Mapping'!BH10&lt;=240), (-1)*('(橫掃)RX Mapping'!BH10-240),IF(AND('(橫掃)RX Mapping'!BH10&gt;=241,'(橫掃)RX Mapping'!BH10&lt;=360), ('(橫掃)RX Mapping'!BH10-241),IF(AND('(橫掃)RX Mapping'!BH10&gt;=361,'(橫掃)RX Mapping'!BH10&lt;=480), (-1)*('(橫掃)RX Mapping'!BH10-480),IF(AND('(橫掃)RX Mapping'!BH10&gt;=481,'(橫掃)RX Mapping'!BH10&lt;=600), ('(橫掃)RX Mapping'!BH10-361),IF(AND('(橫掃)RX Mapping'!BH10&gt;=601,'(橫掃)RX Mapping'!BH10&lt;=720), (-1)*('(橫掃)RX Mapping'!BH10-720)+120,IF(AND('(橫掃)RX Mapping'!BH10&gt;=721,'(橫掃)RX Mapping'!BH10&lt;=840), ('(橫掃)RX Mapping'!BH10-601),IF(AND('(橫掃)RX Mapping'!BH10&gt;=841,'(橫掃)RX Mapping'!BH10&lt;=960), (-1)*('(橫掃)RX Mapping'!BH10-960)+120,9999))))))))</f>
        <v>9999</v>
      </c>
      <c r="BI10">
        <f>IF(AND('(橫掃)RX Mapping'!BI10&gt;=1,'(橫掃)RX Mapping'!BI10&lt;=120), ('(橫掃)RX Mapping'!BI10-1),IF(AND('(橫掃)RX Mapping'!BI10&gt;=121,'(橫掃)RX Mapping'!BI10&lt;=240), (-1)*('(橫掃)RX Mapping'!BI10-240),IF(AND('(橫掃)RX Mapping'!BI10&gt;=241,'(橫掃)RX Mapping'!BI10&lt;=360), ('(橫掃)RX Mapping'!BI10-241),IF(AND('(橫掃)RX Mapping'!BI10&gt;=361,'(橫掃)RX Mapping'!BI10&lt;=480), (-1)*('(橫掃)RX Mapping'!BI10-480),IF(AND('(橫掃)RX Mapping'!BI10&gt;=481,'(橫掃)RX Mapping'!BI10&lt;=600), ('(橫掃)RX Mapping'!BI10-361),IF(AND('(橫掃)RX Mapping'!BI10&gt;=601,'(橫掃)RX Mapping'!BI10&lt;=720), (-1)*('(橫掃)RX Mapping'!BI10-720)+120,IF(AND('(橫掃)RX Mapping'!BI10&gt;=721,'(橫掃)RX Mapping'!BI10&lt;=840), ('(橫掃)RX Mapping'!BI10-601),IF(AND('(橫掃)RX Mapping'!BI10&gt;=841,'(橫掃)RX Mapping'!BI10&lt;=960), (-1)*('(橫掃)RX Mapping'!BI10-960)+120,9999))))))))</f>
        <v>9999</v>
      </c>
    </row>
    <row r="11" spans="1:61" x14ac:dyDescent="0.25">
      <c r="A11" s="20">
        <v>10</v>
      </c>
      <c r="B11">
        <f>IF(
(AND('(直掃)RX Mapping'!B11&gt;=0,'(直掃)RX Mapping'!B11&lt;=480)),
(MOD('(直掃)RX Mapping'!B11,120)-1),
IF(
(AND('(直掃)RX Mapping'!B11&gt;=480,'(直掃)RX Mapping'!B11&lt;=960)),
IF(MOD('(直掃)RX Mapping'!B11,120)=0, 120, 240-MOD('(直掃)RX Mapping'!B11,120)),9999))+IF(AND(MOD('(直掃)RX Mapping'!B11,120)=0, '(直掃)RX Mapping'!B11 &lt;= 480,  '(直掃)RX Mapping'!B11 &gt; 0), 120)</f>
        <v>129</v>
      </c>
      <c r="C11">
        <f>IF(
(AND('(直掃)RX Mapping'!C11&gt;=0,'(直掃)RX Mapping'!C11&lt;=480)),
(MOD('(直掃)RX Mapping'!C11,120)-1),
IF(
(AND('(直掃)RX Mapping'!C11&gt;=480,'(直掃)RX Mapping'!C11&lt;=960)),
IF(MOD('(直掃)RX Mapping'!C11,120)=0, 120, 240-MOD('(直掃)RX Mapping'!C11,120)),9999))+IF(AND(MOD('(直掃)RX Mapping'!C11,120)=0, '(直掃)RX Mapping'!C11 &lt;= 480,  '(直掃)RX Mapping'!C11 &gt; 0), 120)</f>
        <v>159</v>
      </c>
      <c r="D11">
        <f>IF(
(AND('(直掃)RX Mapping'!D11&gt;=0,'(直掃)RX Mapping'!D11&lt;=480)),
(MOD('(直掃)RX Mapping'!D11,120)-1),
IF(
(AND('(直掃)RX Mapping'!D11&gt;=480,'(直掃)RX Mapping'!D11&lt;=960)),
IF(MOD('(直掃)RX Mapping'!D11,120)=0, 120, 240-MOD('(直掃)RX Mapping'!D11,120)),9999))+IF(AND(MOD('(直掃)RX Mapping'!D11,120)=0, '(直掃)RX Mapping'!D11 &lt;= 480,  '(直掃)RX Mapping'!D11 &gt; 0), 120)</f>
        <v>189</v>
      </c>
      <c r="E11">
        <f>IF(
(AND('(直掃)RX Mapping'!E11&gt;=0,'(直掃)RX Mapping'!E11&lt;=480)),
(MOD('(直掃)RX Mapping'!E11,120)-1),
IF(
(AND('(直掃)RX Mapping'!E11&gt;=480,'(直掃)RX Mapping'!E11&lt;=960)),
IF(MOD('(直掃)RX Mapping'!E11,120)=0, 120, 240-MOD('(直掃)RX Mapping'!E11,120)),9999))+IF(AND(MOD('(直掃)RX Mapping'!E11,120)=0, '(直掃)RX Mapping'!E11 &lt;= 480,  '(直掃)RX Mapping'!E11 &gt; 0), 120)</f>
        <v>129</v>
      </c>
      <c r="F11">
        <f>IF(
(AND('(直掃)RX Mapping'!F11&gt;=0,'(直掃)RX Mapping'!F11&lt;=480)),
(MOD('(直掃)RX Mapping'!F11,120)-1),
IF(
(AND('(直掃)RX Mapping'!F11&gt;=480,'(直掃)RX Mapping'!F11&lt;=960)),
IF(MOD('(直掃)RX Mapping'!F11,120)=0, 120, 240-MOD('(直掃)RX Mapping'!F11,120)),9999))+IF(AND(MOD('(直掃)RX Mapping'!F11,120)=0, '(直掃)RX Mapping'!F11 &lt;= 480,  '(直掃)RX Mapping'!F11 &gt; 0), 120)</f>
        <v>159</v>
      </c>
      <c r="G11">
        <f>IF(
(AND('(直掃)RX Mapping'!G11&gt;=0,'(直掃)RX Mapping'!G11&lt;=480)),
(MOD('(直掃)RX Mapping'!G11,120)-1),
IF(
(AND('(直掃)RX Mapping'!G11&gt;=480,'(直掃)RX Mapping'!G11&lt;=960)),
IF(MOD('(直掃)RX Mapping'!G11,120)=0, 120, 240-MOD('(直掃)RX Mapping'!G11,120)),9999))+IF(AND(MOD('(直掃)RX Mapping'!G11,120)=0, '(直掃)RX Mapping'!G11 &lt;= 480,  '(直掃)RX Mapping'!G11 &gt; 0), 120)</f>
        <v>189</v>
      </c>
      <c r="H11">
        <f>IF(
(AND('(直掃)RX Mapping'!H11&gt;=0,'(直掃)RX Mapping'!H11&lt;=480)),
(MOD('(直掃)RX Mapping'!H11,120)-1),
IF(
(AND('(直掃)RX Mapping'!H11&gt;=480,'(直掃)RX Mapping'!H11&lt;=960)),
IF(MOD('(直掃)RX Mapping'!H11,120)=0, 120, 240-MOD('(直掃)RX Mapping'!H11,120)),9999))+IF(AND(MOD('(直掃)RX Mapping'!H11,120)=0, '(直掃)RX Mapping'!H11 &lt;= 480,  '(直掃)RX Mapping'!H11 &gt; 0), 120)</f>
        <v>129</v>
      </c>
      <c r="I11">
        <f>IF(
(AND('(直掃)RX Mapping'!I11&gt;=0,'(直掃)RX Mapping'!I11&lt;=480)),
(MOD('(直掃)RX Mapping'!I11,120)-1),
IF(
(AND('(直掃)RX Mapping'!I11&gt;=480,'(直掃)RX Mapping'!I11&lt;=960)),
IF(MOD('(直掃)RX Mapping'!I11,120)=0, 120, 240-MOD('(直掃)RX Mapping'!I11,120)),9999))+IF(AND(MOD('(直掃)RX Mapping'!I11,120)=0, '(直掃)RX Mapping'!I11 &lt;= 480,  '(直掃)RX Mapping'!I11 &gt; 0), 120)</f>
        <v>159</v>
      </c>
      <c r="J11">
        <f>IF(
(AND('(直掃)RX Mapping'!J11&gt;=0,'(直掃)RX Mapping'!J11&lt;=480)),
(MOD('(直掃)RX Mapping'!J11,120)-1),
IF(
(AND('(直掃)RX Mapping'!J11&gt;=480,'(直掃)RX Mapping'!J11&lt;=960)),
IF(MOD('(直掃)RX Mapping'!J11,120)=0, 120, 240-MOD('(直掃)RX Mapping'!J11,120)),9999))+IF(AND(MOD('(直掃)RX Mapping'!J11,120)=0, '(直掃)RX Mapping'!J11 &lt;= 480,  '(直掃)RX Mapping'!J11 &gt; 0), 120)</f>
        <v>189</v>
      </c>
      <c r="K11">
        <f>IF(
(AND('(直掃)RX Mapping'!K11&gt;=0,'(直掃)RX Mapping'!K11&lt;=480)),
(MOD('(直掃)RX Mapping'!K11,120)-1),
IF(
(AND('(直掃)RX Mapping'!K11&gt;=480,'(直掃)RX Mapping'!K11&lt;=960)),
IF(MOD('(直掃)RX Mapping'!K11,120)=0, 120, 240-MOD('(直掃)RX Mapping'!K11,120)),9999))+IF(AND(MOD('(直掃)RX Mapping'!K11,120)=0, '(直掃)RX Mapping'!K11 &lt;= 480,  '(直掃)RX Mapping'!K11 &gt; 0), 120)</f>
        <v>219</v>
      </c>
      <c r="L11">
        <f>IF(
(AND('(直掃)RX Mapping'!L11&gt;=0,'(直掃)RX Mapping'!L11&lt;=480)),
(MOD('(直掃)RX Mapping'!L11,120)-1),
IF(
(AND('(直掃)RX Mapping'!L11&gt;=480,'(直掃)RX Mapping'!L11&lt;=960)),
IF(MOD('(直掃)RX Mapping'!L11,120)=0, 120, 240-MOD('(直掃)RX Mapping'!L11,120)),9999))+IF(AND(MOD('(直掃)RX Mapping'!L11,120)=0, '(直掃)RX Mapping'!L11 &lt;= 480,  '(直掃)RX Mapping'!L11 &gt; 0), 120)</f>
        <v>129</v>
      </c>
      <c r="M11">
        <f>IF(
(AND('(直掃)RX Mapping'!M11&gt;=0,'(直掃)RX Mapping'!M11&lt;=480)),
(MOD('(直掃)RX Mapping'!M11,120)-1),
IF(
(AND('(直掃)RX Mapping'!M11&gt;=480,'(直掃)RX Mapping'!M11&lt;=960)),
IF(MOD('(直掃)RX Mapping'!M11,120)=0, 120, 240-MOD('(直掃)RX Mapping'!M11,120)),9999))+IF(AND(MOD('(直掃)RX Mapping'!M11,120)=0, '(直掃)RX Mapping'!M11 &lt;= 480,  '(直掃)RX Mapping'!M11 &gt; 0), 120)</f>
        <v>159</v>
      </c>
      <c r="N11">
        <f>IF(
(AND('(直掃)RX Mapping'!N11&gt;=0,'(直掃)RX Mapping'!N11&lt;=480)),
(MOD('(直掃)RX Mapping'!N11,120)-1),
IF(
(AND('(直掃)RX Mapping'!N11&gt;=480,'(直掃)RX Mapping'!N11&lt;=960)),
IF(MOD('(直掃)RX Mapping'!N11,120)=0, 120, 240-MOD('(直掃)RX Mapping'!N11,120)),9999))+IF(AND(MOD('(直掃)RX Mapping'!N11,120)=0, '(直掃)RX Mapping'!N11 &lt;= 480,  '(直掃)RX Mapping'!N11 &gt; 0), 120)</f>
        <v>189</v>
      </c>
      <c r="O11">
        <f>IF(
(AND('(直掃)RX Mapping'!O11&gt;=0,'(直掃)RX Mapping'!O11&lt;=480)),
(MOD('(直掃)RX Mapping'!O11,120)-1),
IF(
(AND('(直掃)RX Mapping'!O11&gt;=480,'(直掃)RX Mapping'!O11&lt;=960)),
IF(MOD('(直掃)RX Mapping'!O11,120)=0, 120, 240-MOD('(直掃)RX Mapping'!O11,120)),9999))+IF(AND(MOD('(直掃)RX Mapping'!O11,120)=0, '(直掃)RX Mapping'!O11 &lt;= 480,  '(直掃)RX Mapping'!O11 &gt; 0), 120)</f>
        <v>219</v>
      </c>
      <c r="P11">
        <f>IF(
(AND('(直掃)RX Mapping'!P11&gt;=0,'(直掃)RX Mapping'!P11&lt;=480)),
(MOD('(直掃)RX Mapping'!P11,120)-1),
IF(
(AND('(直掃)RX Mapping'!P11&gt;=480,'(直掃)RX Mapping'!P11&lt;=960)),
IF(MOD('(直掃)RX Mapping'!P11,120)=0, 120, 240-MOD('(直掃)RX Mapping'!P11,120)),9999))+IF(AND(MOD('(直掃)RX Mapping'!P11,120)=0, '(直掃)RX Mapping'!P11 &lt;= 480,  '(直掃)RX Mapping'!P11 &gt; 0), 120)</f>
        <v>110</v>
      </c>
      <c r="Q11">
        <f>IF(
(AND('(直掃)RX Mapping'!Q11&gt;=0,'(直掃)RX Mapping'!Q11&lt;=480)),
(MOD('(直掃)RX Mapping'!Q11,120)-1),
IF(
(AND('(直掃)RX Mapping'!Q11&gt;=480,'(直掃)RX Mapping'!Q11&lt;=960)),
IF(MOD('(直掃)RX Mapping'!Q11,120)=0, 120, 240-MOD('(直掃)RX Mapping'!Q11,120)),9999))+IF(AND(MOD('(直掃)RX Mapping'!Q11,120)=0, '(直掃)RX Mapping'!Q11 &lt;= 480,  '(直掃)RX Mapping'!Q11 &gt; 0), 120)</f>
        <v>80</v>
      </c>
      <c r="R11">
        <f>IF(
(AND('(直掃)RX Mapping'!R11&gt;=0,'(直掃)RX Mapping'!R11&lt;=480)),
(MOD('(直掃)RX Mapping'!R11,120)-1),
IF(
(AND('(直掃)RX Mapping'!R11&gt;=480,'(直掃)RX Mapping'!R11&lt;=960)),
IF(MOD('(直掃)RX Mapping'!R11,120)=0, 120, 240-MOD('(直掃)RX Mapping'!R11,120)),9999))+IF(AND(MOD('(直掃)RX Mapping'!R11,120)=0, '(直掃)RX Mapping'!R11 &lt;= 480,  '(直掃)RX Mapping'!R11 &gt; 0), 120)</f>
        <v>50</v>
      </c>
      <c r="S11">
        <f>IF(
(AND('(直掃)RX Mapping'!S11&gt;=0,'(直掃)RX Mapping'!S11&lt;=480)),
(MOD('(直掃)RX Mapping'!S11,120)-1),
IF(
(AND('(直掃)RX Mapping'!S11&gt;=480,'(直掃)RX Mapping'!S11&lt;=960)),
IF(MOD('(直掃)RX Mapping'!S11,120)=0, 120, 240-MOD('(直掃)RX Mapping'!S11,120)),9999))+IF(AND(MOD('(直掃)RX Mapping'!S11,120)=0, '(直掃)RX Mapping'!S11 &lt;= 480,  '(直掃)RX Mapping'!S11 &gt; 0), 120)</f>
        <v>20</v>
      </c>
      <c r="T11">
        <f>IF(
(AND('(直掃)RX Mapping'!T11&gt;=0,'(直掃)RX Mapping'!T11&lt;=480)),
(MOD('(直掃)RX Mapping'!T11,120)-1),
IF(
(AND('(直掃)RX Mapping'!T11&gt;=480,'(直掃)RX Mapping'!T11&lt;=960)),
IF(MOD('(直掃)RX Mapping'!T11,120)=0, 120, 240-MOD('(直掃)RX Mapping'!T11,120)),9999))+IF(AND(MOD('(直掃)RX Mapping'!T11,120)=0, '(直掃)RX Mapping'!T11 &lt;= 480,  '(直掃)RX Mapping'!T11 &gt; 0), 120)</f>
        <v>110</v>
      </c>
      <c r="U11">
        <f>IF(
(AND('(直掃)RX Mapping'!U11&gt;=0,'(直掃)RX Mapping'!U11&lt;=480)),
(MOD('(直掃)RX Mapping'!U11,120)-1),
IF(
(AND('(直掃)RX Mapping'!U11&gt;=480,'(直掃)RX Mapping'!U11&lt;=960)),
IF(MOD('(直掃)RX Mapping'!U11,120)=0, 120, 240-MOD('(直掃)RX Mapping'!U11,120)),9999))+IF(AND(MOD('(直掃)RX Mapping'!U11,120)=0, '(直掃)RX Mapping'!U11 &lt;= 480,  '(直掃)RX Mapping'!U11 &gt; 0), 120)</f>
        <v>80</v>
      </c>
      <c r="V11">
        <f>IF(
(AND('(直掃)RX Mapping'!V11&gt;=0,'(直掃)RX Mapping'!V11&lt;=480)),
(MOD('(直掃)RX Mapping'!V11,120)-1),
IF(
(AND('(直掃)RX Mapping'!V11&gt;=480,'(直掃)RX Mapping'!V11&lt;=960)),
IF(MOD('(直掃)RX Mapping'!V11,120)=0, 120, 240-MOD('(直掃)RX Mapping'!V11,120)),9999))+IF(AND(MOD('(直掃)RX Mapping'!V11,120)=0, '(直掃)RX Mapping'!V11 &lt;= 480,  '(直掃)RX Mapping'!V11 &gt; 0), 120)</f>
        <v>50</v>
      </c>
      <c r="W11">
        <f>IF(
(AND('(直掃)RX Mapping'!W11&gt;=0,'(直掃)RX Mapping'!W11&lt;=480)),
(MOD('(直掃)RX Mapping'!W11,120)-1),
IF(
(AND('(直掃)RX Mapping'!W11&gt;=480,'(直掃)RX Mapping'!W11&lt;=960)),
IF(MOD('(直掃)RX Mapping'!W11,120)=0, 120, 240-MOD('(直掃)RX Mapping'!W11,120)),9999))+IF(AND(MOD('(直掃)RX Mapping'!W11,120)=0, '(直掃)RX Mapping'!W11 &lt;= 480,  '(直掃)RX Mapping'!W11 &gt; 0), 120)</f>
        <v>20</v>
      </c>
      <c r="X11">
        <f>IF(
(AND('(直掃)RX Mapping'!X11&gt;=0,'(直掃)RX Mapping'!X11&lt;=480)),
(MOD('(直掃)RX Mapping'!X11,120)-1),
IF(
(AND('(直掃)RX Mapping'!X11&gt;=480,'(直掃)RX Mapping'!X11&lt;=960)),
IF(MOD('(直掃)RX Mapping'!X11,120)=0, 120, 240-MOD('(直掃)RX Mapping'!X11,120)),9999))+IF(AND(MOD('(直掃)RX Mapping'!X11,120)=0, '(直掃)RX Mapping'!X11 &lt;= 480,  '(直掃)RX Mapping'!X11 &gt; 0), 120)</f>
        <v>80</v>
      </c>
      <c r="Y11">
        <f>IF(
(AND('(直掃)RX Mapping'!Y11&gt;=0,'(直掃)RX Mapping'!Y11&lt;=480)),
(MOD('(直掃)RX Mapping'!Y11,120)-1),
IF(
(AND('(直掃)RX Mapping'!Y11&gt;=480,'(直掃)RX Mapping'!Y11&lt;=960)),
IF(MOD('(直掃)RX Mapping'!Y11,120)=0, 120, 240-MOD('(直掃)RX Mapping'!Y11,120)),9999))+IF(AND(MOD('(直掃)RX Mapping'!Y11,120)=0, '(直掃)RX Mapping'!Y11 &lt;= 480,  '(直掃)RX Mapping'!Y11 &gt; 0), 120)</f>
        <v>50</v>
      </c>
      <c r="Z11">
        <f>IF(
(AND('(直掃)RX Mapping'!Z11&gt;=0,'(直掃)RX Mapping'!Z11&lt;=480)),
(MOD('(直掃)RX Mapping'!Z11,120)-1),
IF(
(AND('(直掃)RX Mapping'!Z11&gt;=480,'(直掃)RX Mapping'!Z11&lt;=960)),
IF(MOD('(直掃)RX Mapping'!Z11,120)=0, 120, 240-MOD('(直掃)RX Mapping'!Z11,120)),9999))+IF(AND(MOD('(直掃)RX Mapping'!Z11,120)=0, '(直掃)RX Mapping'!Z11 &lt;= 480,  '(直掃)RX Mapping'!Z11 &gt; 0), 120)</f>
        <v>20</v>
      </c>
      <c r="AA11">
        <f>IF(
(AND('(直掃)RX Mapping'!AA11&gt;=0,'(直掃)RX Mapping'!AA11&lt;=480)),
(MOD('(直掃)RX Mapping'!AA11,120)-1),
IF(
(AND('(直掃)RX Mapping'!AA11&gt;=480,'(直掃)RX Mapping'!AA11&lt;=960)),
IF(MOD('(直掃)RX Mapping'!AA11,120)=0, 120, 240-MOD('(直掃)RX Mapping'!AA11,120)),9999))+IF(AND(MOD('(直掃)RX Mapping'!AA11,120)=0, '(直掃)RX Mapping'!AA11 &lt;= 480,  '(直掃)RX Mapping'!AA11 &gt; 0), 120)</f>
        <v>80</v>
      </c>
      <c r="AB11">
        <f>IF(
(AND('(直掃)RX Mapping'!AB11&gt;=0,'(直掃)RX Mapping'!AB11&lt;=480)),
(MOD('(直掃)RX Mapping'!AB11,120)-1),
IF(
(AND('(直掃)RX Mapping'!AB11&gt;=480,'(直掃)RX Mapping'!AB11&lt;=960)),
IF(MOD('(直掃)RX Mapping'!AB11,120)=0, 120, 240-MOD('(直掃)RX Mapping'!AB11,120)),9999))+IF(AND(MOD('(直掃)RX Mapping'!AB11,120)=0, '(直掃)RX Mapping'!AB11 &lt;= 480,  '(直掃)RX Mapping'!AB11 &gt; 0), 120)</f>
        <v>50</v>
      </c>
      <c r="AC11">
        <f>IF(
(AND('(直掃)RX Mapping'!AC11&gt;=0,'(直掃)RX Mapping'!AC11&lt;=480)),
(MOD('(直掃)RX Mapping'!AC11,120)-1),
IF(
(AND('(直掃)RX Mapping'!AC11&gt;=480,'(直掃)RX Mapping'!AC11&lt;=960)),
IF(MOD('(直掃)RX Mapping'!AC11,120)=0, 120, 240-MOD('(直掃)RX Mapping'!AC11,120)),9999))+IF(AND(MOD('(直掃)RX Mapping'!AC11,120)=0, '(直掃)RX Mapping'!AC11 &lt;= 480,  '(直掃)RX Mapping'!AC11 &gt; 0), 120)</f>
        <v>20</v>
      </c>
      <c r="AD11">
        <f>IF(
(AND('(直掃)RX Mapping'!AD11&gt;=0,'(直掃)RX Mapping'!AD11&lt;=480)),
(MOD('(直掃)RX Mapping'!AD11,120)-1),
IF(
(AND('(直掃)RX Mapping'!AD11&gt;=480,'(直掃)RX Mapping'!AD11&lt;=960)),
IF(MOD('(直掃)RX Mapping'!AD11,120)=0, 120, 240-MOD('(直掃)RX Mapping'!AD11,120)),9999))+IF(AND(MOD('(直掃)RX Mapping'!AD11,120)=0, '(直掃)RX Mapping'!AD11 &lt;= 480,  '(直掃)RX Mapping'!AD11 &gt; 0), 120)</f>
        <v>-1</v>
      </c>
      <c r="AE11">
        <f>IF(
(AND('(直掃)RX Mapping'!AE11&gt;=0,'(直掃)RX Mapping'!AE11&lt;=480)),
(MOD('(直掃)RX Mapping'!AE11,120)-1),
IF(
(AND('(直掃)RX Mapping'!AE11&gt;=480,'(直掃)RX Mapping'!AE11&lt;=960)),
IF(MOD('(直掃)RX Mapping'!AE11,120)=0, 120, 240-MOD('(直掃)RX Mapping'!AE11,120)),9999))+IF(AND(MOD('(直掃)RX Mapping'!AE11,120)=0, '(直掃)RX Mapping'!AE11 &lt;= 480,  '(直掃)RX Mapping'!AE11 &gt; 0), 120)</f>
        <v>-1</v>
      </c>
      <c r="AF11">
        <f>IF(
(AND('(直掃)RX Mapping'!AF11&gt;=0,'(直掃)RX Mapping'!AF11&lt;=480)),
(MOD('(直掃)RX Mapping'!AF11,120)-1),
IF(
(AND('(直掃)RX Mapping'!AF11&gt;=480,'(直掃)RX Mapping'!AF11&lt;=960)),
IF(MOD('(直掃)RX Mapping'!AF11,120)=0, 120, 240-MOD('(直掃)RX Mapping'!AF11,120)),9999))+IF(AND(MOD('(直掃)RX Mapping'!AF11,120)=0, '(直掃)RX Mapping'!AF11 &lt;= 480,  '(直掃)RX Mapping'!AF11 &gt; 0), 120)</f>
        <v>-1</v>
      </c>
      <c r="AG11">
        <f>IF(
(AND('(直掃)RX Mapping'!AG11&gt;=0,'(直掃)RX Mapping'!AG11&lt;=480)),
(MOD('(直掃)RX Mapping'!AG11,120)-1),
IF(
(AND('(直掃)RX Mapping'!AG11&gt;=480,'(直掃)RX Mapping'!AG11&lt;=960)),
IF(MOD('(直掃)RX Mapping'!AG11,120)=0, 120, 240-MOD('(直掃)RX Mapping'!AG11,120)),9999))+IF(AND(MOD('(直掃)RX Mapping'!AG11,120)=0, '(直掃)RX Mapping'!AG11 &lt;= 480,  '(直掃)RX Mapping'!AG11 &gt; 0), 120)</f>
        <v>-1</v>
      </c>
      <c r="AH11">
        <f>IF(
(AND('(直掃)RX Mapping'!AH11&gt;=0,'(直掃)RX Mapping'!AH11&lt;=480)),
(MOD('(直掃)RX Mapping'!AH11,120)-1),
IF(
(AND('(直掃)RX Mapping'!AH11&gt;=480,'(直掃)RX Mapping'!AH11&lt;=960)),
IF(MOD('(直掃)RX Mapping'!AH11,120)=0, 120, 240-MOD('(直掃)RX Mapping'!AH11,120)),9999))+IF(AND(MOD('(直掃)RX Mapping'!AH11,120)=0, '(直掃)RX Mapping'!AH11 &lt;= 480,  '(直掃)RX Mapping'!AH11 &gt; 0), 120)</f>
        <v>-1</v>
      </c>
      <c r="AI11">
        <f>IF(
(AND('(直掃)RX Mapping'!AI11&gt;=0,'(直掃)RX Mapping'!AI11&lt;=480)),
(MOD('(直掃)RX Mapping'!AI11,120)-1),
IF(
(AND('(直掃)RX Mapping'!AI11&gt;=480,'(直掃)RX Mapping'!AI11&lt;=960)),
IF(MOD('(直掃)RX Mapping'!AI11,120)=0, 120, 240-MOD('(直掃)RX Mapping'!AI11,120)),9999))+IF(AND(MOD('(直掃)RX Mapping'!AI11,120)=0, '(直掃)RX Mapping'!AI11 &lt;= 480,  '(直掃)RX Mapping'!AI11 &gt; 0), 120)</f>
        <v>-1</v>
      </c>
      <c r="AJ11">
        <f>IF(
(AND('(直掃)RX Mapping'!AJ11&gt;=0,'(直掃)RX Mapping'!AJ11&lt;=480)),
(MOD('(直掃)RX Mapping'!AJ11,120)-1),
IF(
(AND('(直掃)RX Mapping'!AJ11&gt;=480,'(直掃)RX Mapping'!AJ11&lt;=960)),
IF(MOD('(直掃)RX Mapping'!AJ11,120)=0, 120, 240-MOD('(直掃)RX Mapping'!AJ11,120)),9999))+IF(AND(MOD('(直掃)RX Mapping'!AJ11,120)=0, '(直掃)RX Mapping'!AJ11 &lt;= 480,  '(直掃)RX Mapping'!AJ11 &gt; 0), 120)</f>
        <v>-1</v>
      </c>
      <c r="AK11">
        <f>IF(
(AND('(直掃)RX Mapping'!AK11&gt;=0,'(直掃)RX Mapping'!AK11&lt;=480)),
(MOD('(直掃)RX Mapping'!AK11,120)-1),
IF(
(AND('(直掃)RX Mapping'!AK11&gt;=480,'(直掃)RX Mapping'!AK11&lt;=960)),
IF(MOD('(直掃)RX Mapping'!AK11,120)=0, 120, 240-MOD('(直掃)RX Mapping'!AK11,120)),9999))+IF(AND(MOD('(直掃)RX Mapping'!AK11,120)=0, '(直掃)RX Mapping'!AK11 &lt;= 480,  '(直掃)RX Mapping'!AK11 &gt; 0), 120)</f>
        <v>-1</v>
      </c>
      <c r="AL11">
        <f>IF(
(AND('(直掃)RX Mapping'!AL11&gt;=0,'(直掃)RX Mapping'!AL11&lt;=480)),
(MOD('(直掃)RX Mapping'!AL11,120)-1),
IF(
(AND('(直掃)RX Mapping'!AL11&gt;=480,'(直掃)RX Mapping'!AL11&lt;=960)),
IF(MOD('(直掃)RX Mapping'!AL11,120)=0, 120, 240-MOD('(直掃)RX Mapping'!AL11,120)),9999))+IF(AND(MOD('(直掃)RX Mapping'!AL11,120)=0, '(直掃)RX Mapping'!AL11 &lt;= 480,  '(直掃)RX Mapping'!AL11 &gt; 0), 120)</f>
        <v>-1</v>
      </c>
      <c r="AM11">
        <f>IF(
(AND('(直掃)RX Mapping'!AM11&gt;=0,'(直掃)RX Mapping'!AM11&lt;=480)),
(MOD('(直掃)RX Mapping'!AM11,120)-1),
IF(
(AND('(直掃)RX Mapping'!AM11&gt;=480,'(直掃)RX Mapping'!AM11&lt;=960)),
IF(MOD('(直掃)RX Mapping'!AM11,120)=0, 120, 240-MOD('(直掃)RX Mapping'!AM11,120)),9999))+IF(AND(MOD('(直掃)RX Mapping'!AM11,120)=0, '(直掃)RX Mapping'!AM11 &lt;= 480,  '(直掃)RX Mapping'!AM11 &gt; 0), 120)</f>
        <v>-1</v>
      </c>
      <c r="AN11">
        <f>IF(
(AND('(直掃)RX Mapping'!AN11&gt;=0,'(直掃)RX Mapping'!AN11&lt;=480)),
(MOD('(直掃)RX Mapping'!AN11,120)-1),
IF(
(AND('(直掃)RX Mapping'!AN11&gt;=480,'(直掃)RX Mapping'!AN11&lt;=960)),
IF(MOD('(直掃)RX Mapping'!AN11,120)=0, 120, 240-MOD('(直掃)RX Mapping'!AN11,120)),9999))+IF(AND(MOD('(直掃)RX Mapping'!AN11,120)=0, '(直掃)RX Mapping'!AN11 &lt;= 480,  '(直掃)RX Mapping'!AN11 &gt; 0), 120)</f>
        <v>-1</v>
      </c>
      <c r="AO11">
        <f>IF(
(AND('(直掃)RX Mapping'!AO11&gt;=0,'(直掃)RX Mapping'!AO11&lt;=480)),
(MOD('(直掃)RX Mapping'!AO11,120)-1),
IF(
(AND('(直掃)RX Mapping'!AO11&gt;=480,'(直掃)RX Mapping'!AO11&lt;=960)),
IF(MOD('(直掃)RX Mapping'!AO11,120)=0, 120, 240-MOD('(直掃)RX Mapping'!AO11,120)),9999))+IF(AND(MOD('(直掃)RX Mapping'!AO11,120)=0, '(直掃)RX Mapping'!AO11 &lt;= 480,  '(直掃)RX Mapping'!AO11 &gt; 0), 120)</f>
        <v>-1</v>
      </c>
      <c r="AP11">
        <f>IF(
(AND('(直掃)RX Mapping'!AP11&gt;=0,'(直掃)RX Mapping'!AP11&lt;=480)),
(MOD('(直掃)RX Mapping'!AP11,120)-1),
IF(
(AND('(直掃)RX Mapping'!AP11&gt;=480,'(直掃)RX Mapping'!AP11&lt;=960)),
IF(MOD('(直掃)RX Mapping'!AP11,120)=0, 120, 240-MOD('(直掃)RX Mapping'!AP11,120)),9999))+IF(AND(MOD('(直掃)RX Mapping'!AP11,120)=0, '(直掃)RX Mapping'!AP11 &lt;= 480,  '(直掃)RX Mapping'!AP11 &gt; 0), 120)</f>
        <v>-1</v>
      </c>
      <c r="AQ11">
        <f>IF(
(AND('(直掃)RX Mapping'!AQ11&gt;=0,'(直掃)RX Mapping'!AQ11&lt;=480)),
(MOD('(直掃)RX Mapping'!AQ11,120)-1),
IF(
(AND('(直掃)RX Mapping'!AQ11&gt;=480,'(直掃)RX Mapping'!AQ11&lt;=960)),
IF(MOD('(直掃)RX Mapping'!AQ11,120)=0, 120, 240-MOD('(直掃)RX Mapping'!AQ11,120)),9999))+IF(AND(MOD('(直掃)RX Mapping'!AQ11,120)=0, '(直掃)RX Mapping'!AQ11 &lt;= 480,  '(直掃)RX Mapping'!AQ11 &gt; 0), 120)</f>
        <v>-1</v>
      </c>
      <c r="AR11">
        <f>IF(
(AND('(直掃)RX Mapping'!AR11&gt;=0,'(直掃)RX Mapping'!AR11&lt;=480)),
(MOD('(直掃)RX Mapping'!AR11,120)-1),
IF(
(AND('(直掃)RX Mapping'!AR11&gt;=480,'(直掃)RX Mapping'!AR11&lt;=960)),
IF(MOD('(直掃)RX Mapping'!AR11,120)=0, 120, 240-MOD('(直掃)RX Mapping'!AR11,120)),9999))+IF(AND(MOD('(直掃)RX Mapping'!AR11,120)=0, '(直掃)RX Mapping'!AR11 &lt;= 480,  '(直掃)RX Mapping'!AR11 &gt; 0), 120)</f>
        <v>-1</v>
      </c>
      <c r="AS11">
        <f>IF(
(AND('(直掃)RX Mapping'!AS11&gt;=0,'(直掃)RX Mapping'!AS11&lt;=480)),
(MOD('(直掃)RX Mapping'!AS11,120)-1),
IF(
(AND('(直掃)RX Mapping'!AS11&gt;=480,'(直掃)RX Mapping'!AS11&lt;=960)),
IF(MOD('(直掃)RX Mapping'!AS11,120)=0, 120, 240-MOD('(直掃)RX Mapping'!AS11,120)),9999))+IF(AND(MOD('(直掃)RX Mapping'!AS11,120)=0, '(直掃)RX Mapping'!AS11 &lt;= 480,  '(直掃)RX Mapping'!AS11 &gt; 0), 120)</f>
        <v>-1</v>
      </c>
      <c r="AT11">
        <f>IF(AND('(橫掃)RX Mapping'!AT11&gt;=1,'(橫掃)RX Mapping'!AT11&lt;=120), ('(橫掃)RX Mapping'!AT11-1),IF(AND('(橫掃)RX Mapping'!AT11&gt;=121,'(橫掃)RX Mapping'!AT11&lt;=240), (-1)*('(橫掃)RX Mapping'!AT11-240),IF(AND('(橫掃)RX Mapping'!AT11&gt;=241,'(橫掃)RX Mapping'!AT11&lt;=360), ('(橫掃)RX Mapping'!AT11-241),IF(AND('(橫掃)RX Mapping'!AT11&gt;=361,'(橫掃)RX Mapping'!AT11&lt;=480), (-1)*('(橫掃)RX Mapping'!AT11-480),IF(AND('(橫掃)RX Mapping'!AT11&gt;=481,'(橫掃)RX Mapping'!AT11&lt;=600), ('(橫掃)RX Mapping'!AT11-361),IF(AND('(橫掃)RX Mapping'!AT11&gt;=601,'(橫掃)RX Mapping'!AT11&lt;=720), (-1)*('(橫掃)RX Mapping'!AT11-720)+120,IF(AND('(橫掃)RX Mapping'!AT11&gt;=721,'(橫掃)RX Mapping'!AT11&lt;=840), ('(橫掃)RX Mapping'!AT11-601),IF(AND('(橫掃)RX Mapping'!AT11&gt;=841,'(橫掃)RX Mapping'!AT11&lt;=960), (-1)*('(橫掃)RX Mapping'!AT11-960)+120,9999))))))))</f>
        <v>9999</v>
      </c>
      <c r="AU11">
        <f>IF(AND('(橫掃)RX Mapping'!AU11&gt;=1,'(橫掃)RX Mapping'!AU11&lt;=120), ('(橫掃)RX Mapping'!AU11-1),IF(AND('(橫掃)RX Mapping'!AU11&gt;=121,'(橫掃)RX Mapping'!AU11&lt;=240), (-1)*('(橫掃)RX Mapping'!AU11-240),IF(AND('(橫掃)RX Mapping'!AU11&gt;=241,'(橫掃)RX Mapping'!AU11&lt;=360), ('(橫掃)RX Mapping'!AU11-241),IF(AND('(橫掃)RX Mapping'!AU11&gt;=361,'(橫掃)RX Mapping'!AU11&lt;=480), (-1)*('(橫掃)RX Mapping'!AU11-480),IF(AND('(橫掃)RX Mapping'!AU11&gt;=481,'(橫掃)RX Mapping'!AU11&lt;=600), ('(橫掃)RX Mapping'!AU11-361),IF(AND('(橫掃)RX Mapping'!AU11&gt;=601,'(橫掃)RX Mapping'!AU11&lt;=720), (-1)*('(橫掃)RX Mapping'!AU11-720)+120,IF(AND('(橫掃)RX Mapping'!AU11&gt;=721,'(橫掃)RX Mapping'!AU11&lt;=840), ('(橫掃)RX Mapping'!AU11-601),IF(AND('(橫掃)RX Mapping'!AU11&gt;=841,'(橫掃)RX Mapping'!AU11&lt;=960), (-1)*('(橫掃)RX Mapping'!AU11-960)+120,9999))))))))</f>
        <v>9999</v>
      </c>
      <c r="AV11">
        <f>IF(AND('(橫掃)RX Mapping'!AV11&gt;=1,'(橫掃)RX Mapping'!AV11&lt;=120), ('(橫掃)RX Mapping'!AV11-1),IF(AND('(橫掃)RX Mapping'!AV11&gt;=121,'(橫掃)RX Mapping'!AV11&lt;=240), (-1)*('(橫掃)RX Mapping'!AV11-240),IF(AND('(橫掃)RX Mapping'!AV11&gt;=241,'(橫掃)RX Mapping'!AV11&lt;=360), ('(橫掃)RX Mapping'!AV11-241),IF(AND('(橫掃)RX Mapping'!AV11&gt;=361,'(橫掃)RX Mapping'!AV11&lt;=480), (-1)*('(橫掃)RX Mapping'!AV11-480),IF(AND('(橫掃)RX Mapping'!AV11&gt;=481,'(橫掃)RX Mapping'!AV11&lt;=600), ('(橫掃)RX Mapping'!AV11-361),IF(AND('(橫掃)RX Mapping'!AV11&gt;=601,'(橫掃)RX Mapping'!AV11&lt;=720), (-1)*('(橫掃)RX Mapping'!AV11-720)+120,IF(AND('(橫掃)RX Mapping'!AV11&gt;=721,'(橫掃)RX Mapping'!AV11&lt;=840), ('(橫掃)RX Mapping'!AV11-601),IF(AND('(橫掃)RX Mapping'!AV11&gt;=841,'(橫掃)RX Mapping'!AV11&lt;=960), (-1)*('(橫掃)RX Mapping'!AV11-960)+120,9999))))))))</f>
        <v>9999</v>
      </c>
      <c r="AW11">
        <f>IF(AND('(橫掃)RX Mapping'!AW11&gt;=1,'(橫掃)RX Mapping'!AW11&lt;=120), ('(橫掃)RX Mapping'!AW11-1),IF(AND('(橫掃)RX Mapping'!AW11&gt;=121,'(橫掃)RX Mapping'!AW11&lt;=240), (-1)*('(橫掃)RX Mapping'!AW11-240),IF(AND('(橫掃)RX Mapping'!AW11&gt;=241,'(橫掃)RX Mapping'!AW11&lt;=360), ('(橫掃)RX Mapping'!AW11-241),IF(AND('(橫掃)RX Mapping'!AW11&gt;=361,'(橫掃)RX Mapping'!AW11&lt;=480), (-1)*('(橫掃)RX Mapping'!AW11-480),IF(AND('(橫掃)RX Mapping'!AW11&gt;=481,'(橫掃)RX Mapping'!AW11&lt;=600), ('(橫掃)RX Mapping'!AW11-361),IF(AND('(橫掃)RX Mapping'!AW11&gt;=601,'(橫掃)RX Mapping'!AW11&lt;=720), (-1)*('(橫掃)RX Mapping'!AW11-720)+120,IF(AND('(橫掃)RX Mapping'!AW11&gt;=721,'(橫掃)RX Mapping'!AW11&lt;=840), ('(橫掃)RX Mapping'!AW11-601),IF(AND('(橫掃)RX Mapping'!AW11&gt;=841,'(橫掃)RX Mapping'!AW11&lt;=960), (-1)*('(橫掃)RX Mapping'!AW11-960)+120,9999))))))))</f>
        <v>9999</v>
      </c>
      <c r="AX11">
        <f>IF(AND('(橫掃)RX Mapping'!AX11&gt;=1,'(橫掃)RX Mapping'!AX11&lt;=120), ('(橫掃)RX Mapping'!AX11-1),IF(AND('(橫掃)RX Mapping'!AX11&gt;=121,'(橫掃)RX Mapping'!AX11&lt;=240), (-1)*('(橫掃)RX Mapping'!AX11-240),IF(AND('(橫掃)RX Mapping'!AX11&gt;=241,'(橫掃)RX Mapping'!AX11&lt;=360), ('(橫掃)RX Mapping'!AX11-241),IF(AND('(橫掃)RX Mapping'!AX11&gt;=361,'(橫掃)RX Mapping'!AX11&lt;=480), (-1)*('(橫掃)RX Mapping'!AX11-480),IF(AND('(橫掃)RX Mapping'!AX11&gt;=481,'(橫掃)RX Mapping'!AX11&lt;=600), ('(橫掃)RX Mapping'!AX11-361),IF(AND('(橫掃)RX Mapping'!AX11&gt;=601,'(橫掃)RX Mapping'!AX11&lt;=720), (-1)*('(橫掃)RX Mapping'!AX11-720)+120,IF(AND('(橫掃)RX Mapping'!AX11&gt;=721,'(橫掃)RX Mapping'!AX11&lt;=840), ('(橫掃)RX Mapping'!AX11-601),IF(AND('(橫掃)RX Mapping'!AX11&gt;=841,'(橫掃)RX Mapping'!AX11&lt;=960), (-1)*('(橫掃)RX Mapping'!AX11-960)+120,9999))))))))</f>
        <v>9999</v>
      </c>
      <c r="AY11">
        <f>IF(AND('(橫掃)RX Mapping'!AY11&gt;=1,'(橫掃)RX Mapping'!AY11&lt;=120), ('(橫掃)RX Mapping'!AY11-1),IF(AND('(橫掃)RX Mapping'!AY11&gt;=121,'(橫掃)RX Mapping'!AY11&lt;=240), (-1)*('(橫掃)RX Mapping'!AY11-240),IF(AND('(橫掃)RX Mapping'!AY11&gt;=241,'(橫掃)RX Mapping'!AY11&lt;=360), ('(橫掃)RX Mapping'!AY11-241),IF(AND('(橫掃)RX Mapping'!AY11&gt;=361,'(橫掃)RX Mapping'!AY11&lt;=480), (-1)*('(橫掃)RX Mapping'!AY11-480),IF(AND('(橫掃)RX Mapping'!AY11&gt;=481,'(橫掃)RX Mapping'!AY11&lt;=600), ('(橫掃)RX Mapping'!AY11-361),IF(AND('(橫掃)RX Mapping'!AY11&gt;=601,'(橫掃)RX Mapping'!AY11&lt;=720), (-1)*('(橫掃)RX Mapping'!AY11-720)+120,IF(AND('(橫掃)RX Mapping'!AY11&gt;=721,'(橫掃)RX Mapping'!AY11&lt;=840), ('(橫掃)RX Mapping'!AY11-601),IF(AND('(橫掃)RX Mapping'!AY11&gt;=841,'(橫掃)RX Mapping'!AY11&lt;=960), (-1)*('(橫掃)RX Mapping'!AY11-960)+120,9999))))))))</f>
        <v>9999</v>
      </c>
      <c r="AZ11">
        <f>IF(AND('(橫掃)RX Mapping'!AZ11&gt;=1,'(橫掃)RX Mapping'!AZ11&lt;=120), ('(橫掃)RX Mapping'!AZ11-1),IF(AND('(橫掃)RX Mapping'!AZ11&gt;=121,'(橫掃)RX Mapping'!AZ11&lt;=240), (-1)*('(橫掃)RX Mapping'!AZ11-240),IF(AND('(橫掃)RX Mapping'!AZ11&gt;=241,'(橫掃)RX Mapping'!AZ11&lt;=360), ('(橫掃)RX Mapping'!AZ11-241),IF(AND('(橫掃)RX Mapping'!AZ11&gt;=361,'(橫掃)RX Mapping'!AZ11&lt;=480), (-1)*('(橫掃)RX Mapping'!AZ11-480),IF(AND('(橫掃)RX Mapping'!AZ11&gt;=481,'(橫掃)RX Mapping'!AZ11&lt;=600), ('(橫掃)RX Mapping'!AZ11-361),IF(AND('(橫掃)RX Mapping'!AZ11&gt;=601,'(橫掃)RX Mapping'!AZ11&lt;=720), (-1)*('(橫掃)RX Mapping'!AZ11-720)+120,IF(AND('(橫掃)RX Mapping'!AZ11&gt;=721,'(橫掃)RX Mapping'!AZ11&lt;=840), ('(橫掃)RX Mapping'!AZ11-601),IF(AND('(橫掃)RX Mapping'!AZ11&gt;=841,'(橫掃)RX Mapping'!AZ11&lt;=960), (-1)*('(橫掃)RX Mapping'!AZ11-960)+120,9999))))))))</f>
        <v>9999</v>
      </c>
      <c r="BA11">
        <f>IF(AND('(橫掃)RX Mapping'!BA11&gt;=1,'(橫掃)RX Mapping'!BA11&lt;=120), ('(橫掃)RX Mapping'!BA11-1),IF(AND('(橫掃)RX Mapping'!BA11&gt;=121,'(橫掃)RX Mapping'!BA11&lt;=240), (-1)*('(橫掃)RX Mapping'!BA11-240),IF(AND('(橫掃)RX Mapping'!BA11&gt;=241,'(橫掃)RX Mapping'!BA11&lt;=360), ('(橫掃)RX Mapping'!BA11-241),IF(AND('(橫掃)RX Mapping'!BA11&gt;=361,'(橫掃)RX Mapping'!BA11&lt;=480), (-1)*('(橫掃)RX Mapping'!BA11-480),IF(AND('(橫掃)RX Mapping'!BA11&gt;=481,'(橫掃)RX Mapping'!BA11&lt;=600), ('(橫掃)RX Mapping'!BA11-361),IF(AND('(橫掃)RX Mapping'!BA11&gt;=601,'(橫掃)RX Mapping'!BA11&lt;=720), (-1)*('(橫掃)RX Mapping'!BA11-720)+120,IF(AND('(橫掃)RX Mapping'!BA11&gt;=721,'(橫掃)RX Mapping'!BA11&lt;=840), ('(橫掃)RX Mapping'!BA11-601),IF(AND('(橫掃)RX Mapping'!BA11&gt;=841,'(橫掃)RX Mapping'!BA11&lt;=960), (-1)*('(橫掃)RX Mapping'!BA11-960)+120,9999))))))))</f>
        <v>9999</v>
      </c>
      <c r="BB11">
        <f>IF(AND('(橫掃)RX Mapping'!BB11&gt;=1,'(橫掃)RX Mapping'!BB11&lt;=120), ('(橫掃)RX Mapping'!BB11-1),IF(AND('(橫掃)RX Mapping'!BB11&gt;=121,'(橫掃)RX Mapping'!BB11&lt;=240), (-1)*('(橫掃)RX Mapping'!BB11-240),IF(AND('(橫掃)RX Mapping'!BB11&gt;=241,'(橫掃)RX Mapping'!BB11&lt;=360), ('(橫掃)RX Mapping'!BB11-241),IF(AND('(橫掃)RX Mapping'!BB11&gt;=361,'(橫掃)RX Mapping'!BB11&lt;=480), (-1)*('(橫掃)RX Mapping'!BB11-480),IF(AND('(橫掃)RX Mapping'!BB11&gt;=481,'(橫掃)RX Mapping'!BB11&lt;=600), ('(橫掃)RX Mapping'!BB11-361),IF(AND('(橫掃)RX Mapping'!BB11&gt;=601,'(橫掃)RX Mapping'!BB11&lt;=720), (-1)*('(橫掃)RX Mapping'!BB11-720)+120,IF(AND('(橫掃)RX Mapping'!BB11&gt;=721,'(橫掃)RX Mapping'!BB11&lt;=840), ('(橫掃)RX Mapping'!BB11-601),IF(AND('(橫掃)RX Mapping'!BB11&gt;=841,'(橫掃)RX Mapping'!BB11&lt;=960), (-1)*('(橫掃)RX Mapping'!BB11-960)+120,9999))))))))</f>
        <v>9999</v>
      </c>
      <c r="BC11">
        <f>IF(AND('(橫掃)RX Mapping'!BC11&gt;=1,'(橫掃)RX Mapping'!BC11&lt;=120), ('(橫掃)RX Mapping'!BC11-1),IF(AND('(橫掃)RX Mapping'!BC11&gt;=121,'(橫掃)RX Mapping'!BC11&lt;=240), (-1)*('(橫掃)RX Mapping'!BC11-240),IF(AND('(橫掃)RX Mapping'!BC11&gt;=241,'(橫掃)RX Mapping'!BC11&lt;=360), ('(橫掃)RX Mapping'!BC11-241),IF(AND('(橫掃)RX Mapping'!BC11&gt;=361,'(橫掃)RX Mapping'!BC11&lt;=480), (-1)*('(橫掃)RX Mapping'!BC11-480),IF(AND('(橫掃)RX Mapping'!BC11&gt;=481,'(橫掃)RX Mapping'!BC11&lt;=600), ('(橫掃)RX Mapping'!BC11-361),IF(AND('(橫掃)RX Mapping'!BC11&gt;=601,'(橫掃)RX Mapping'!BC11&lt;=720), (-1)*('(橫掃)RX Mapping'!BC11-720)+120,IF(AND('(橫掃)RX Mapping'!BC11&gt;=721,'(橫掃)RX Mapping'!BC11&lt;=840), ('(橫掃)RX Mapping'!BC11-601),IF(AND('(橫掃)RX Mapping'!BC11&gt;=841,'(橫掃)RX Mapping'!BC11&lt;=960), (-1)*('(橫掃)RX Mapping'!BC11-960)+120,9999))))))))</f>
        <v>9999</v>
      </c>
      <c r="BD11">
        <f>IF(AND('(橫掃)RX Mapping'!BD11&gt;=1,'(橫掃)RX Mapping'!BD11&lt;=120), ('(橫掃)RX Mapping'!BD11-1),IF(AND('(橫掃)RX Mapping'!BD11&gt;=121,'(橫掃)RX Mapping'!BD11&lt;=240), (-1)*('(橫掃)RX Mapping'!BD11-240),IF(AND('(橫掃)RX Mapping'!BD11&gt;=241,'(橫掃)RX Mapping'!BD11&lt;=360), ('(橫掃)RX Mapping'!BD11-241),IF(AND('(橫掃)RX Mapping'!BD11&gt;=361,'(橫掃)RX Mapping'!BD11&lt;=480), (-1)*('(橫掃)RX Mapping'!BD11-480),IF(AND('(橫掃)RX Mapping'!BD11&gt;=481,'(橫掃)RX Mapping'!BD11&lt;=600), ('(橫掃)RX Mapping'!BD11-361),IF(AND('(橫掃)RX Mapping'!BD11&gt;=601,'(橫掃)RX Mapping'!BD11&lt;=720), (-1)*('(橫掃)RX Mapping'!BD11-720)+120,IF(AND('(橫掃)RX Mapping'!BD11&gt;=721,'(橫掃)RX Mapping'!BD11&lt;=840), ('(橫掃)RX Mapping'!BD11-601),IF(AND('(橫掃)RX Mapping'!BD11&gt;=841,'(橫掃)RX Mapping'!BD11&lt;=960), (-1)*('(橫掃)RX Mapping'!BD11-960)+120,9999))))))))</f>
        <v>9999</v>
      </c>
      <c r="BE11">
        <f>IF(AND('(橫掃)RX Mapping'!BE11&gt;=1,'(橫掃)RX Mapping'!BE11&lt;=120), ('(橫掃)RX Mapping'!BE11-1),IF(AND('(橫掃)RX Mapping'!BE11&gt;=121,'(橫掃)RX Mapping'!BE11&lt;=240), (-1)*('(橫掃)RX Mapping'!BE11-240),IF(AND('(橫掃)RX Mapping'!BE11&gt;=241,'(橫掃)RX Mapping'!BE11&lt;=360), ('(橫掃)RX Mapping'!BE11-241),IF(AND('(橫掃)RX Mapping'!BE11&gt;=361,'(橫掃)RX Mapping'!BE11&lt;=480), (-1)*('(橫掃)RX Mapping'!BE11-480),IF(AND('(橫掃)RX Mapping'!BE11&gt;=481,'(橫掃)RX Mapping'!BE11&lt;=600), ('(橫掃)RX Mapping'!BE11-361),IF(AND('(橫掃)RX Mapping'!BE11&gt;=601,'(橫掃)RX Mapping'!BE11&lt;=720), (-1)*('(橫掃)RX Mapping'!BE11-720)+120,IF(AND('(橫掃)RX Mapping'!BE11&gt;=721,'(橫掃)RX Mapping'!BE11&lt;=840), ('(橫掃)RX Mapping'!BE11-601),IF(AND('(橫掃)RX Mapping'!BE11&gt;=841,'(橫掃)RX Mapping'!BE11&lt;=960), (-1)*('(橫掃)RX Mapping'!BE11-960)+120,9999))))))))</f>
        <v>9999</v>
      </c>
      <c r="BF11">
        <f>IF(AND('(橫掃)RX Mapping'!BF11&gt;=1,'(橫掃)RX Mapping'!BF11&lt;=120), ('(橫掃)RX Mapping'!BF11-1),IF(AND('(橫掃)RX Mapping'!BF11&gt;=121,'(橫掃)RX Mapping'!BF11&lt;=240), (-1)*('(橫掃)RX Mapping'!BF11-240),IF(AND('(橫掃)RX Mapping'!BF11&gt;=241,'(橫掃)RX Mapping'!BF11&lt;=360), ('(橫掃)RX Mapping'!BF11-241),IF(AND('(橫掃)RX Mapping'!BF11&gt;=361,'(橫掃)RX Mapping'!BF11&lt;=480), (-1)*('(橫掃)RX Mapping'!BF11-480),IF(AND('(橫掃)RX Mapping'!BF11&gt;=481,'(橫掃)RX Mapping'!BF11&lt;=600), ('(橫掃)RX Mapping'!BF11-361),IF(AND('(橫掃)RX Mapping'!BF11&gt;=601,'(橫掃)RX Mapping'!BF11&lt;=720), (-1)*('(橫掃)RX Mapping'!BF11-720)+120,IF(AND('(橫掃)RX Mapping'!BF11&gt;=721,'(橫掃)RX Mapping'!BF11&lt;=840), ('(橫掃)RX Mapping'!BF11-601),IF(AND('(橫掃)RX Mapping'!BF11&gt;=841,'(橫掃)RX Mapping'!BF11&lt;=960), (-1)*('(橫掃)RX Mapping'!BF11-960)+120,9999))))))))</f>
        <v>9999</v>
      </c>
      <c r="BG11">
        <f>IF(AND('(橫掃)RX Mapping'!BG11&gt;=1,'(橫掃)RX Mapping'!BG11&lt;=120), ('(橫掃)RX Mapping'!BG11-1),IF(AND('(橫掃)RX Mapping'!BG11&gt;=121,'(橫掃)RX Mapping'!BG11&lt;=240), (-1)*('(橫掃)RX Mapping'!BG11-240),IF(AND('(橫掃)RX Mapping'!BG11&gt;=241,'(橫掃)RX Mapping'!BG11&lt;=360), ('(橫掃)RX Mapping'!BG11-241),IF(AND('(橫掃)RX Mapping'!BG11&gt;=361,'(橫掃)RX Mapping'!BG11&lt;=480), (-1)*('(橫掃)RX Mapping'!BG11-480),IF(AND('(橫掃)RX Mapping'!BG11&gt;=481,'(橫掃)RX Mapping'!BG11&lt;=600), ('(橫掃)RX Mapping'!BG11-361),IF(AND('(橫掃)RX Mapping'!BG11&gt;=601,'(橫掃)RX Mapping'!BG11&lt;=720), (-1)*('(橫掃)RX Mapping'!BG11-720)+120,IF(AND('(橫掃)RX Mapping'!BG11&gt;=721,'(橫掃)RX Mapping'!BG11&lt;=840), ('(橫掃)RX Mapping'!BG11-601),IF(AND('(橫掃)RX Mapping'!BG11&gt;=841,'(橫掃)RX Mapping'!BG11&lt;=960), (-1)*('(橫掃)RX Mapping'!BG11-960)+120,9999))))))))</f>
        <v>9999</v>
      </c>
      <c r="BH11">
        <f>IF(AND('(橫掃)RX Mapping'!BH11&gt;=1,'(橫掃)RX Mapping'!BH11&lt;=120), ('(橫掃)RX Mapping'!BH11-1),IF(AND('(橫掃)RX Mapping'!BH11&gt;=121,'(橫掃)RX Mapping'!BH11&lt;=240), (-1)*('(橫掃)RX Mapping'!BH11-240),IF(AND('(橫掃)RX Mapping'!BH11&gt;=241,'(橫掃)RX Mapping'!BH11&lt;=360), ('(橫掃)RX Mapping'!BH11-241),IF(AND('(橫掃)RX Mapping'!BH11&gt;=361,'(橫掃)RX Mapping'!BH11&lt;=480), (-1)*('(橫掃)RX Mapping'!BH11-480),IF(AND('(橫掃)RX Mapping'!BH11&gt;=481,'(橫掃)RX Mapping'!BH11&lt;=600), ('(橫掃)RX Mapping'!BH11-361),IF(AND('(橫掃)RX Mapping'!BH11&gt;=601,'(橫掃)RX Mapping'!BH11&lt;=720), (-1)*('(橫掃)RX Mapping'!BH11-720)+120,IF(AND('(橫掃)RX Mapping'!BH11&gt;=721,'(橫掃)RX Mapping'!BH11&lt;=840), ('(橫掃)RX Mapping'!BH11-601),IF(AND('(橫掃)RX Mapping'!BH11&gt;=841,'(橫掃)RX Mapping'!BH11&lt;=960), (-1)*('(橫掃)RX Mapping'!BH11-960)+120,9999))))))))</f>
        <v>9999</v>
      </c>
      <c r="BI11">
        <f>IF(AND('(橫掃)RX Mapping'!BI11&gt;=1,'(橫掃)RX Mapping'!BI11&lt;=120), ('(橫掃)RX Mapping'!BI11-1),IF(AND('(橫掃)RX Mapping'!BI11&gt;=121,'(橫掃)RX Mapping'!BI11&lt;=240), (-1)*('(橫掃)RX Mapping'!BI11-240),IF(AND('(橫掃)RX Mapping'!BI11&gt;=241,'(橫掃)RX Mapping'!BI11&lt;=360), ('(橫掃)RX Mapping'!BI11-241),IF(AND('(橫掃)RX Mapping'!BI11&gt;=361,'(橫掃)RX Mapping'!BI11&lt;=480), (-1)*('(橫掃)RX Mapping'!BI11-480),IF(AND('(橫掃)RX Mapping'!BI11&gt;=481,'(橫掃)RX Mapping'!BI11&lt;=600), ('(橫掃)RX Mapping'!BI11-361),IF(AND('(橫掃)RX Mapping'!BI11&gt;=601,'(橫掃)RX Mapping'!BI11&lt;=720), (-1)*('(橫掃)RX Mapping'!BI11-720)+120,IF(AND('(橫掃)RX Mapping'!BI11&gt;=721,'(橫掃)RX Mapping'!BI11&lt;=840), ('(橫掃)RX Mapping'!BI11-601),IF(AND('(橫掃)RX Mapping'!BI11&gt;=841,'(橫掃)RX Mapping'!BI11&lt;=960), (-1)*('(橫掃)RX Mapping'!BI11-960)+120,9999))))))))</f>
        <v>9999</v>
      </c>
    </row>
    <row r="12" spans="1:61" x14ac:dyDescent="0.25">
      <c r="A12" s="20">
        <v>11</v>
      </c>
      <c r="B12">
        <f>IF(
(AND('(直掃)RX Mapping'!B12&gt;=0,'(直掃)RX Mapping'!B12&lt;=480)),
(MOD('(直掃)RX Mapping'!B12,120)-1),
IF(
(AND('(直掃)RX Mapping'!B12&gt;=480,'(直掃)RX Mapping'!B12&lt;=960)),
IF(MOD('(直掃)RX Mapping'!B12,120)=0, 120, 240-MOD('(直掃)RX Mapping'!B12,120)),9999))+IF(AND(MOD('(直掃)RX Mapping'!B12,120)=0, '(直掃)RX Mapping'!B12 &lt;= 480,  '(直掃)RX Mapping'!B12 &gt; 0), 120)</f>
        <v>130</v>
      </c>
      <c r="C12">
        <f>IF(
(AND('(直掃)RX Mapping'!C12&gt;=0,'(直掃)RX Mapping'!C12&lt;=480)),
(MOD('(直掃)RX Mapping'!C12,120)-1),
IF(
(AND('(直掃)RX Mapping'!C12&gt;=480,'(直掃)RX Mapping'!C12&lt;=960)),
IF(MOD('(直掃)RX Mapping'!C12,120)=0, 120, 240-MOD('(直掃)RX Mapping'!C12,120)),9999))+IF(AND(MOD('(直掃)RX Mapping'!C12,120)=0, '(直掃)RX Mapping'!C12 &lt;= 480,  '(直掃)RX Mapping'!C12 &gt; 0), 120)</f>
        <v>160</v>
      </c>
      <c r="D12">
        <f>IF(
(AND('(直掃)RX Mapping'!D12&gt;=0,'(直掃)RX Mapping'!D12&lt;=480)),
(MOD('(直掃)RX Mapping'!D12,120)-1),
IF(
(AND('(直掃)RX Mapping'!D12&gt;=480,'(直掃)RX Mapping'!D12&lt;=960)),
IF(MOD('(直掃)RX Mapping'!D12,120)=0, 120, 240-MOD('(直掃)RX Mapping'!D12,120)),9999))+IF(AND(MOD('(直掃)RX Mapping'!D12,120)=0, '(直掃)RX Mapping'!D12 &lt;= 480,  '(直掃)RX Mapping'!D12 &gt; 0), 120)</f>
        <v>190</v>
      </c>
      <c r="E12">
        <f>IF(
(AND('(直掃)RX Mapping'!E12&gt;=0,'(直掃)RX Mapping'!E12&lt;=480)),
(MOD('(直掃)RX Mapping'!E12,120)-1),
IF(
(AND('(直掃)RX Mapping'!E12&gt;=480,'(直掃)RX Mapping'!E12&lt;=960)),
IF(MOD('(直掃)RX Mapping'!E12,120)=0, 120, 240-MOD('(直掃)RX Mapping'!E12,120)),9999))+IF(AND(MOD('(直掃)RX Mapping'!E12,120)=0, '(直掃)RX Mapping'!E12 &lt;= 480,  '(直掃)RX Mapping'!E12 &gt; 0), 120)</f>
        <v>130</v>
      </c>
      <c r="F12">
        <f>IF(
(AND('(直掃)RX Mapping'!F12&gt;=0,'(直掃)RX Mapping'!F12&lt;=480)),
(MOD('(直掃)RX Mapping'!F12,120)-1),
IF(
(AND('(直掃)RX Mapping'!F12&gt;=480,'(直掃)RX Mapping'!F12&lt;=960)),
IF(MOD('(直掃)RX Mapping'!F12,120)=0, 120, 240-MOD('(直掃)RX Mapping'!F12,120)),9999))+IF(AND(MOD('(直掃)RX Mapping'!F12,120)=0, '(直掃)RX Mapping'!F12 &lt;= 480,  '(直掃)RX Mapping'!F12 &gt; 0), 120)</f>
        <v>160</v>
      </c>
      <c r="G12">
        <f>IF(
(AND('(直掃)RX Mapping'!G12&gt;=0,'(直掃)RX Mapping'!G12&lt;=480)),
(MOD('(直掃)RX Mapping'!G12,120)-1),
IF(
(AND('(直掃)RX Mapping'!G12&gt;=480,'(直掃)RX Mapping'!G12&lt;=960)),
IF(MOD('(直掃)RX Mapping'!G12,120)=0, 120, 240-MOD('(直掃)RX Mapping'!G12,120)),9999))+IF(AND(MOD('(直掃)RX Mapping'!G12,120)=0, '(直掃)RX Mapping'!G12 &lt;= 480,  '(直掃)RX Mapping'!G12 &gt; 0), 120)</f>
        <v>190</v>
      </c>
      <c r="H12">
        <f>IF(
(AND('(直掃)RX Mapping'!H12&gt;=0,'(直掃)RX Mapping'!H12&lt;=480)),
(MOD('(直掃)RX Mapping'!H12,120)-1),
IF(
(AND('(直掃)RX Mapping'!H12&gt;=480,'(直掃)RX Mapping'!H12&lt;=960)),
IF(MOD('(直掃)RX Mapping'!H12,120)=0, 120, 240-MOD('(直掃)RX Mapping'!H12,120)),9999))+IF(AND(MOD('(直掃)RX Mapping'!H12,120)=0, '(直掃)RX Mapping'!H12 &lt;= 480,  '(直掃)RX Mapping'!H12 &gt; 0), 120)</f>
        <v>130</v>
      </c>
      <c r="I12">
        <f>IF(
(AND('(直掃)RX Mapping'!I12&gt;=0,'(直掃)RX Mapping'!I12&lt;=480)),
(MOD('(直掃)RX Mapping'!I12,120)-1),
IF(
(AND('(直掃)RX Mapping'!I12&gt;=480,'(直掃)RX Mapping'!I12&lt;=960)),
IF(MOD('(直掃)RX Mapping'!I12,120)=0, 120, 240-MOD('(直掃)RX Mapping'!I12,120)),9999))+IF(AND(MOD('(直掃)RX Mapping'!I12,120)=0, '(直掃)RX Mapping'!I12 &lt;= 480,  '(直掃)RX Mapping'!I12 &gt; 0), 120)</f>
        <v>160</v>
      </c>
      <c r="J12">
        <f>IF(
(AND('(直掃)RX Mapping'!J12&gt;=0,'(直掃)RX Mapping'!J12&lt;=480)),
(MOD('(直掃)RX Mapping'!J12,120)-1),
IF(
(AND('(直掃)RX Mapping'!J12&gt;=480,'(直掃)RX Mapping'!J12&lt;=960)),
IF(MOD('(直掃)RX Mapping'!J12,120)=0, 120, 240-MOD('(直掃)RX Mapping'!J12,120)),9999))+IF(AND(MOD('(直掃)RX Mapping'!J12,120)=0, '(直掃)RX Mapping'!J12 &lt;= 480,  '(直掃)RX Mapping'!J12 &gt; 0), 120)</f>
        <v>190</v>
      </c>
      <c r="K12">
        <f>IF(
(AND('(直掃)RX Mapping'!K12&gt;=0,'(直掃)RX Mapping'!K12&lt;=480)),
(MOD('(直掃)RX Mapping'!K12,120)-1),
IF(
(AND('(直掃)RX Mapping'!K12&gt;=480,'(直掃)RX Mapping'!K12&lt;=960)),
IF(MOD('(直掃)RX Mapping'!K12,120)=0, 120, 240-MOD('(直掃)RX Mapping'!K12,120)),9999))+IF(AND(MOD('(直掃)RX Mapping'!K12,120)=0, '(直掃)RX Mapping'!K12 &lt;= 480,  '(直掃)RX Mapping'!K12 &gt; 0), 120)</f>
        <v>220</v>
      </c>
      <c r="L12">
        <f>IF(
(AND('(直掃)RX Mapping'!L12&gt;=0,'(直掃)RX Mapping'!L12&lt;=480)),
(MOD('(直掃)RX Mapping'!L12,120)-1),
IF(
(AND('(直掃)RX Mapping'!L12&gt;=480,'(直掃)RX Mapping'!L12&lt;=960)),
IF(MOD('(直掃)RX Mapping'!L12,120)=0, 120, 240-MOD('(直掃)RX Mapping'!L12,120)),9999))+IF(AND(MOD('(直掃)RX Mapping'!L12,120)=0, '(直掃)RX Mapping'!L12 &lt;= 480,  '(直掃)RX Mapping'!L12 &gt; 0), 120)</f>
        <v>130</v>
      </c>
      <c r="M12">
        <f>IF(
(AND('(直掃)RX Mapping'!M12&gt;=0,'(直掃)RX Mapping'!M12&lt;=480)),
(MOD('(直掃)RX Mapping'!M12,120)-1),
IF(
(AND('(直掃)RX Mapping'!M12&gt;=480,'(直掃)RX Mapping'!M12&lt;=960)),
IF(MOD('(直掃)RX Mapping'!M12,120)=0, 120, 240-MOD('(直掃)RX Mapping'!M12,120)),9999))+IF(AND(MOD('(直掃)RX Mapping'!M12,120)=0, '(直掃)RX Mapping'!M12 &lt;= 480,  '(直掃)RX Mapping'!M12 &gt; 0), 120)</f>
        <v>160</v>
      </c>
      <c r="N12">
        <f>IF(
(AND('(直掃)RX Mapping'!N12&gt;=0,'(直掃)RX Mapping'!N12&lt;=480)),
(MOD('(直掃)RX Mapping'!N12,120)-1),
IF(
(AND('(直掃)RX Mapping'!N12&gt;=480,'(直掃)RX Mapping'!N12&lt;=960)),
IF(MOD('(直掃)RX Mapping'!N12,120)=0, 120, 240-MOD('(直掃)RX Mapping'!N12,120)),9999))+IF(AND(MOD('(直掃)RX Mapping'!N12,120)=0, '(直掃)RX Mapping'!N12 &lt;= 480,  '(直掃)RX Mapping'!N12 &gt; 0), 120)</f>
        <v>190</v>
      </c>
      <c r="O12">
        <f>IF(
(AND('(直掃)RX Mapping'!O12&gt;=0,'(直掃)RX Mapping'!O12&lt;=480)),
(MOD('(直掃)RX Mapping'!O12,120)-1),
IF(
(AND('(直掃)RX Mapping'!O12&gt;=480,'(直掃)RX Mapping'!O12&lt;=960)),
IF(MOD('(直掃)RX Mapping'!O12,120)=0, 120, 240-MOD('(直掃)RX Mapping'!O12,120)),9999))+IF(AND(MOD('(直掃)RX Mapping'!O12,120)=0, '(直掃)RX Mapping'!O12 &lt;= 480,  '(直掃)RX Mapping'!O12 &gt; 0), 120)</f>
        <v>220</v>
      </c>
      <c r="P12">
        <f>IF(
(AND('(直掃)RX Mapping'!P12&gt;=0,'(直掃)RX Mapping'!P12&lt;=480)),
(MOD('(直掃)RX Mapping'!P12,120)-1),
IF(
(AND('(直掃)RX Mapping'!P12&gt;=480,'(直掃)RX Mapping'!P12&lt;=960)),
IF(MOD('(直掃)RX Mapping'!P12,120)=0, 120, 240-MOD('(直掃)RX Mapping'!P12,120)),9999))+IF(AND(MOD('(直掃)RX Mapping'!P12,120)=0, '(直掃)RX Mapping'!P12 &lt;= 480,  '(直掃)RX Mapping'!P12 &gt; 0), 120)</f>
        <v>109</v>
      </c>
      <c r="Q12">
        <f>IF(
(AND('(直掃)RX Mapping'!Q12&gt;=0,'(直掃)RX Mapping'!Q12&lt;=480)),
(MOD('(直掃)RX Mapping'!Q12,120)-1),
IF(
(AND('(直掃)RX Mapping'!Q12&gt;=480,'(直掃)RX Mapping'!Q12&lt;=960)),
IF(MOD('(直掃)RX Mapping'!Q12,120)=0, 120, 240-MOD('(直掃)RX Mapping'!Q12,120)),9999))+IF(AND(MOD('(直掃)RX Mapping'!Q12,120)=0, '(直掃)RX Mapping'!Q12 &lt;= 480,  '(直掃)RX Mapping'!Q12 &gt; 0), 120)</f>
        <v>79</v>
      </c>
      <c r="R12">
        <f>IF(
(AND('(直掃)RX Mapping'!R12&gt;=0,'(直掃)RX Mapping'!R12&lt;=480)),
(MOD('(直掃)RX Mapping'!R12,120)-1),
IF(
(AND('(直掃)RX Mapping'!R12&gt;=480,'(直掃)RX Mapping'!R12&lt;=960)),
IF(MOD('(直掃)RX Mapping'!R12,120)=0, 120, 240-MOD('(直掃)RX Mapping'!R12,120)),9999))+IF(AND(MOD('(直掃)RX Mapping'!R12,120)=0, '(直掃)RX Mapping'!R12 &lt;= 480,  '(直掃)RX Mapping'!R12 &gt; 0), 120)</f>
        <v>49</v>
      </c>
      <c r="S12">
        <f>IF(
(AND('(直掃)RX Mapping'!S12&gt;=0,'(直掃)RX Mapping'!S12&lt;=480)),
(MOD('(直掃)RX Mapping'!S12,120)-1),
IF(
(AND('(直掃)RX Mapping'!S12&gt;=480,'(直掃)RX Mapping'!S12&lt;=960)),
IF(MOD('(直掃)RX Mapping'!S12,120)=0, 120, 240-MOD('(直掃)RX Mapping'!S12,120)),9999))+IF(AND(MOD('(直掃)RX Mapping'!S12,120)=0, '(直掃)RX Mapping'!S12 &lt;= 480,  '(直掃)RX Mapping'!S12 &gt; 0), 120)</f>
        <v>19</v>
      </c>
      <c r="T12">
        <f>IF(
(AND('(直掃)RX Mapping'!T12&gt;=0,'(直掃)RX Mapping'!T12&lt;=480)),
(MOD('(直掃)RX Mapping'!T12,120)-1),
IF(
(AND('(直掃)RX Mapping'!T12&gt;=480,'(直掃)RX Mapping'!T12&lt;=960)),
IF(MOD('(直掃)RX Mapping'!T12,120)=0, 120, 240-MOD('(直掃)RX Mapping'!T12,120)),9999))+IF(AND(MOD('(直掃)RX Mapping'!T12,120)=0, '(直掃)RX Mapping'!T12 &lt;= 480,  '(直掃)RX Mapping'!T12 &gt; 0), 120)</f>
        <v>109</v>
      </c>
      <c r="U12">
        <f>IF(
(AND('(直掃)RX Mapping'!U12&gt;=0,'(直掃)RX Mapping'!U12&lt;=480)),
(MOD('(直掃)RX Mapping'!U12,120)-1),
IF(
(AND('(直掃)RX Mapping'!U12&gt;=480,'(直掃)RX Mapping'!U12&lt;=960)),
IF(MOD('(直掃)RX Mapping'!U12,120)=0, 120, 240-MOD('(直掃)RX Mapping'!U12,120)),9999))+IF(AND(MOD('(直掃)RX Mapping'!U12,120)=0, '(直掃)RX Mapping'!U12 &lt;= 480,  '(直掃)RX Mapping'!U12 &gt; 0), 120)</f>
        <v>79</v>
      </c>
      <c r="V12">
        <f>IF(
(AND('(直掃)RX Mapping'!V12&gt;=0,'(直掃)RX Mapping'!V12&lt;=480)),
(MOD('(直掃)RX Mapping'!V12,120)-1),
IF(
(AND('(直掃)RX Mapping'!V12&gt;=480,'(直掃)RX Mapping'!V12&lt;=960)),
IF(MOD('(直掃)RX Mapping'!V12,120)=0, 120, 240-MOD('(直掃)RX Mapping'!V12,120)),9999))+IF(AND(MOD('(直掃)RX Mapping'!V12,120)=0, '(直掃)RX Mapping'!V12 &lt;= 480,  '(直掃)RX Mapping'!V12 &gt; 0), 120)</f>
        <v>49</v>
      </c>
      <c r="W12">
        <f>IF(
(AND('(直掃)RX Mapping'!W12&gt;=0,'(直掃)RX Mapping'!W12&lt;=480)),
(MOD('(直掃)RX Mapping'!W12,120)-1),
IF(
(AND('(直掃)RX Mapping'!W12&gt;=480,'(直掃)RX Mapping'!W12&lt;=960)),
IF(MOD('(直掃)RX Mapping'!W12,120)=0, 120, 240-MOD('(直掃)RX Mapping'!W12,120)),9999))+IF(AND(MOD('(直掃)RX Mapping'!W12,120)=0, '(直掃)RX Mapping'!W12 &lt;= 480,  '(直掃)RX Mapping'!W12 &gt; 0), 120)</f>
        <v>19</v>
      </c>
      <c r="X12">
        <f>IF(
(AND('(直掃)RX Mapping'!X12&gt;=0,'(直掃)RX Mapping'!X12&lt;=480)),
(MOD('(直掃)RX Mapping'!X12,120)-1),
IF(
(AND('(直掃)RX Mapping'!X12&gt;=480,'(直掃)RX Mapping'!X12&lt;=960)),
IF(MOD('(直掃)RX Mapping'!X12,120)=0, 120, 240-MOD('(直掃)RX Mapping'!X12,120)),9999))+IF(AND(MOD('(直掃)RX Mapping'!X12,120)=0, '(直掃)RX Mapping'!X12 &lt;= 480,  '(直掃)RX Mapping'!X12 &gt; 0), 120)</f>
        <v>79</v>
      </c>
      <c r="Y12">
        <f>IF(
(AND('(直掃)RX Mapping'!Y12&gt;=0,'(直掃)RX Mapping'!Y12&lt;=480)),
(MOD('(直掃)RX Mapping'!Y12,120)-1),
IF(
(AND('(直掃)RX Mapping'!Y12&gt;=480,'(直掃)RX Mapping'!Y12&lt;=960)),
IF(MOD('(直掃)RX Mapping'!Y12,120)=0, 120, 240-MOD('(直掃)RX Mapping'!Y12,120)),9999))+IF(AND(MOD('(直掃)RX Mapping'!Y12,120)=0, '(直掃)RX Mapping'!Y12 &lt;= 480,  '(直掃)RX Mapping'!Y12 &gt; 0), 120)</f>
        <v>49</v>
      </c>
      <c r="Z12">
        <f>IF(
(AND('(直掃)RX Mapping'!Z12&gt;=0,'(直掃)RX Mapping'!Z12&lt;=480)),
(MOD('(直掃)RX Mapping'!Z12,120)-1),
IF(
(AND('(直掃)RX Mapping'!Z12&gt;=480,'(直掃)RX Mapping'!Z12&lt;=960)),
IF(MOD('(直掃)RX Mapping'!Z12,120)=0, 120, 240-MOD('(直掃)RX Mapping'!Z12,120)),9999))+IF(AND(MOD('(直掃)RX Mapping'!Z12,120)=0, '(直掃)RX Mapping'!Z12 &lt;= 480,  '(直掃)RX Mapping'!Z12 &gt; 0), 120)</f>
        <v>19</v>
      </c>
      <c r="AA12">
        <f>IF(
(AND('(直掃)RX Mapping'!AA12&gt;=0,'(直掃)RX Mapping'!AA12&lt;=480)),
(MOD('(直掃)RX Mapping'!AA12,120)-1),
IF(
(AND('(直掃)RX Mapping'!AA12&gt;=480,'(直掃)RX Mapping'!AA12&lt;=960)),
IF(MOD('(直掃)RX Mapping'!AA12,120)=0, 120, 240-MOD('(直掃)RX Mapping'!AA12,120)),9999))+IF(AND(MOD('(直掃)RX Mapping'!AA12,120)=0, '(直掃)RX Mapping'!AA12 &lt;= 480,  '(直掃)RX Mapping'!AA12 &gt; 0), 120)</f>
        <v>79</v>
      </c>
      <c r="AB12">
        <f>IF(
(AND('(直掃)RX Mapping'!AB12&gt;=0,'(直掃)RX Mapping'!AB12&lt;=480)),
(MOD('(直掃)RX Mapping'!AB12,120)-1),
IF(
(AND('(直掃)RX Mapping'!AB12&gt;=480,'(直掃)RX Mapping'!AB12&lt;=960)),
IF(MOD('(直掃)RX Mapping'!AB12,120)=0, 120, 240-MOD('(直掃)RX Mapping'!AB12,120)),9999))+IF(AND(MOD('(直掃)RX Mapping'!AB12,120)=0, '(直掃)RX Mapping'!AB12 &lt;= 480,  '(直掃)RX Mapping'!AB12 &gt; 0), 120)</f>
        <v>49</v>
      </c>
      <c r="AC12">
        <f>IF(
(AND('(直掃)RX Mapping'!AC12&gt;=0,'(直掃)RX Mapping'!AC12&lt;=480)),
(MOD('(直掃)RX Mapping'!AC12,120)-1),
IF(
(AND('(直掃)RX Mapping'!AC12&gt;=480,'(直掃)RX Mapping'!AC12&lt;=960)),
IF(MOD('(直掃)RX Mapping'!AC12,120)=0, 120, 240-MOD('(直掃)RX Mapping'!AC12,120)),9999))+IF(AND(MOD('(直掃)RX Mapping'!AC12,120)=0, '(直掃)RX Mapping'!AC12 &lt;= 480,  '(直掃)RX Mapping'!AC12 &gt; 0), 120)</f>
        <v>19</v>
      </c>
      <c r="AD12">
        <f>IF(
(AND('(直掃)RX Mapping'!AD12&gt;=0,'(直掃)RX Mapping'!AD12&lt;=480)),
(MOD('(直掃)RX Mapping'!AD12,120)-1),
IF(
(AND('(直掃)RX Mapping'!AD12&gt;=480,'(直掃)RX Mapping'!AD12&lt;=960)),
IF(MOD('(直掃)RX Mapping'!AD12,120)=0, 120, 240-MOD('(直掃)RX Mapping'!AD12,120)),9999))+IF(AND(MOD('(直掃)RX Mapping'!AD12,120)=0, '(直掃)RX Mapping'!AD12 &lt;= 480,  '(直掃)RX Mapping'!AD12 &gt; 0), 120)</f>
        <v>-1</v>
      </c>
      <c r="AE12">
        <f>IF(
(AND('(直掃)RX Mapping'!AE12&gt;=0,'(直掃)RX Mapping'!AE12&lt;=480)),
(MOD('(直掃)RX Mapping'!AE12,120)-1),
IF(
(AND('(直掃)RX Mapping'!AE12&gt;=480,'(直掃)RX Mapping'!AE12&lt;=960)),
IF(MOD('(直掃)RX Mapping'!AE12,120)=0, 120, 240-MOD('(直掃)RX Mapping'!AE12,120)),9999))+IF(AND(MOD('(直掃)RX Mapping'!AE12,120)=0, '(直掃)RX Mapping'!AE12 &lt;= 480,  '(直掃)RX Mapping'!AE12 &gt; 0), 120)</f>
        <v>-1</v>
      </c>
      <c r="AF12">
        <f>IF(
(AND('(直掃)RX Mapping'!AF12&gt;=0,'(直掃)RX Mapping'!AF12&lt;=480)),
(MOD('(直掃)RX Mapping'!AF12,120)-1),
IF(
(AND('(直掃)RX Mapping'!AF12&gt;=480,'(直掃)RX Mapping'!AF12&lt;=960)),
IF(MOD('(直掃)RX Mapping'!AF12,120)=0, 120, 240-MOD('(直掃)RX Mapping'!AF12,120)),9999))+IF(AND(MOD('(直掃)RX Mapping'!AF12,120)=0, '(直掃)RX Mapping'!AF12 &lt;= 480,  '(直掃)RX Mapping'!AF12 &gt; 0), 120)</f>
        <v>-1</v>
      </c>
      <c r="AG12">
        <f>IF(
(AND('(直掃)RX Mapping'!AG12&gt;=0,'(直掃)RX Mapping'!AG12&lt;=480)),
(MOD('(直掃)RX Mapping'!AG12,120)-1),
IF(
(AND('(直掃)RX Mapping'!AG12&gt;=480,'(直掃)RX Mapping'!AG12&lt;=960)),
IF(MOD('(直掃)RX Mapping'!AG12,120)=0, 120, 240-MOD('(直掃)RX Mapping'!AG12,120)),9999))+IF(AND(MOD('(直掃)RX Mapping'!AG12,120)=0, '(直掃)RX Mapping'!AG12 &lt;= 480,  '(直掃)RX Mapping'!AG12 &gt; 0), 120)</f>
        <v>-1</v>
      </c>
      <c r="AH12">
        <f>IF(
(AND('(直掃)RX Mapping'!AH12&gt;=0,'(直掃)RX Mapping'!AH12&lt;=480)),
(MOD('(直掃)RX Mapping'!AH12,120)-1),
IF(
(AND('(直掃)RX Mapping'!AH12&gt;=480,'(直掃)RX Mapping'!AH12&lt;=960)),
IF(MOD('(直掃)RX Mapping'!AH12,120)=0, 120, 240-MOD('(直掃)RX Mapping'!AH12,120)),9999))+IF(AND(MOD('(直掃)RX Mapping'!AH12,120)=0, '(直掃)RX Mapping'!AH12 &lt;= 480,  '(直掃)RX Mapping'!AH12 &gt; 0), 120)</f>
        <v>-1</v>
      </c>
      <c r="AI12">
        <f>IF(
(AND('(直掃)RX Mapping'!AI12&gt;=0,'(直掃)RX Mapping'!AI12&lt;=480)),
(MOD('(直掃)RX Mapping'!AI12,120)-1),
IF(
(AND('(直掃)RX Mapping'!AI12&gt;=480,'(直掃)RX Mapping'!AI12&lt;=960)),
IF(MOD('(直掃)RX Mapping'!AI12,120)=0, 120, 240-MOD('(直掃)RX Mapping'!AI12,120)),9999))+IF(AND(MOD('(直掃)RX Mapping'!AI12,120)=0, '(直掃)RX Mapping'!AI12 &lt;= 480,  '(直掃)RX Mapping'!AI12 &gt; 0), 120)</f>
        <v>-1</v>
      </c>
      <c r="AJ12">
        <f>IF(
(AND('(直掃)RX Mapping'!AJ12&gt;=0,'(直掃)RX Mapping'!AJ12&lt;=480)),
(MOD('(直掃)RX Mapping'!AJ12,120)-1),
IF(
(AND('(直掃)RX Mapping'!AJ12&gt;=480,'(直掃)RX Mapping'!AJ12&lt;=960)),
IF(MOD('(直掃)RX Mapping'!AJ12,120)=0, 120, 240-MOD('(直掃)RX Mapping'!AJ12,120)),9999))+IF(AND(MOD('(直掃)RX Mapping'!AJ12,120)=0, '(直掃)RX Mapping'!AJ12 &lt;= 480,  '(直掃)RX Mapping'!AJ12 &gt; 0), 120)</f>
        <v>-1</v>
      </c>
      <c r="AK12">
        <f>IF(
(AND('(直掃)RX Mapping'!AK12&gt;=0,'(直掃)RX Mapping'!AK12&lt;=480)),
(MOD('(直掃)RX Mapping'!AK12,120)-1),
IF(
(AND('(直掃)RX Mapping'!AK12&gt;=480,'(直掃)RX Mapping'!AK12&lt;=960)),
IF(MOD('(直掃)RX Mapping'!AK12,120)=0, 120, 240-MOD('(直掃)RX Mapping'!AK12,120)),9999))+IF(AND(MOD('(直掃)RX Mapping'!AK12,120)=0, '(直掃)RX Mapping'!AK12 &lt;= 480,  '(直掃)RX Mapping'!AK12 &gt; 0), 120)</f>
        <v>-1</v>
      </c>
      <c r="AL12">
        <f>IF(
(AND('(直掃)RX Mapping'!AL12&gt;=0,'(直掃)RX Mapping'!AL12&lt;=480)),
(MOD('(直掃)RX Mapping'!AL12,120)-1),
IF(
(AND('(直掃)RX Mapping'!AL12&gt;=480,'(直掃)RX Mapping'!AL12&lt;=960)),
IF(MOD('(直掃)RX Mapping'!AL12,120)=0, 120, 240-MOD('(直掃)RX Mapping'!AL12,120)),9999))+IF(AND(MOD('(直掃)RX Mapping'!AL12,120)=0, '(直掃)RX Mapping'!AL12 &lt;= 480,  '(直掃)RX Mapping'!AL12 &gt; 0), 120)</f>
        <v>-1</v>
      </c>
      <c r="AM12">
        <f>IF(
(AND('(直掃)RX Mapping'!AM12&gt;=0,'(直掃)RX Mapping'!AM12&lt;=480)),
(MOD('(直掃)RX Mapping'!AM12,120)-1),
IF(
(AND('(直掃)RX Mapping'!AM12&gt;=480,'(直掃)RX Mapping'!AM12&lt;=960)),
IF(MOD('(直掃)RX Mapping'!AM12,120)=0, 120, 240-MOD('(直掃)RX Mapping'!AM12,120)),9999))+IF(AND(MOD('(直掃)RX Mapping'!AM12,120)=0, '(直掃)RX Mapping'!AM12 &lt;= 480,  '(直掃)RX Mapping'!AM12 &gt; 0), 120)</f>
        <v>-1</v>
      </c>
      <c r="AN12">
        <f>IF(
(AND('(直掃)RX Mapping'!AN12&gt;=0,'(直掃)RX Mapping'!AN12&lt;=480)),
(MOD('(直掃)RX Mapping'!AN12,120)-1),
IF(
(AND('(直掃)RX Mapping'!AN12&gt;=480,'(直掃)RX Mapping'!AN12&lt;=960)),
IF(MOD('(直掃)RX Mapping'!AN12,120)=0, 120, 240-MOD('(直掃)RX Mapping'!AN12,120)),9999))+IF(AND(MOD('(直掃)RX Mapping'!AN12,120)=0, '(直掃)RX Mapping'!AN12 &lt;= 480,  '(直掃)RX Mapping'!AN12 &gt; 0), 120)</f>
        <v>-1</v>
      </c>
      <c r="AO12">
        <f>IF(
(AND('(直掃)RX Mapping'!AO12&gt;=0,'(直掃)RX Mapping'!AO12&lt;=480)),
(MOD('(直掃)RX Mapping'!AO12,120)-1),
IF(
(AND('(直掃)RX Mapping'!AO12&gt;=480,'(直掃)RX Mapping'!AO12&lt;=960)),
IF(MOD('(直掃)RX Mapping'!AO12,120)=0, 120, 240-MOD('(直掃)RX Mapping'!AO12,120)),9999))+IF(AND(MOD('(直掃)RX Mapping'!AO12,120)=0, '(直掃)RX Mapping'!AO12 &lt;= 480,  '(直掃)RX Mapping'!AO12 &gt; 0), 120)</f>
        <v>-1</v>
      </c>
      <c r="AP12">
        <f>IF(
(AND('(直掃)RX Mapping'!AP12&gt;=0,'(直掃)RX Mapping'!AP12&lt;=480)),
(MOD('(直掃)RX Mapping'!AP12,120)-1),
IF(
(AND('(直掃)RX Mapping'!AP12&gt;=480,'(直掃)RX Mapping'!AP12&lt;=960)),
IF(MOD('(直掃)RX Mapping'!AP12,120)=0, 120, 240-MOD('(直掃)RX Mapping'!AP12,120)),9999))+IF(AND(MOD('(直掃)RX Mapping'!AP12,120)=0, '(直掃)RX Mapping'!AP12 &lt;= 480,  '(直掃)RX Mapping'!AP12 &gt; 0), 120)</f>
        <v>-1</v>
      </c>
      <c r="AQ12">
        <f>IF(
(AND('(直掃)RX Mapping'!AQ12&gt;=0,'(直掃)RX Mapping'!AQ12&lt;=480)),
(MOD('(直掃)RX Mapping'!AQ12,120)-1),
IF(
(AND('(直掃)RX Mapping'!AQ12&gt;=480,'(直掃)RX Mapping'!AQ12&lt;=960)),
IF(MOD('(直掃)RX Mapping'!AQ12,120)=0, 120, 240-MOD('(直掃)RX Mapping'!AQ12,120)),9999))+IF(AND(MOD('(直掃)RX Mapping'!AQ12,120)=0, '(直掃)RX Mapping'!AQ12 &lt;= 480,  '(直掃)RX Mapping'!AQ12 &gt; 0), 120)</f>
        <v>-1</v>
      </c>
      <c r="AR12">
        <f>IF(
(AND('(直掃)RX Mapping'!AR12&gt;=0,'(直掃)RX Mapping'!AR12&lt;=480)),
(MOD('(直掃)RX Mapping'!AR12,120)-1),
IF(
(AND('(直掃)RX Mapping'!AR12&gt;=480,'(直掃)RX Mapping'!AR12&lt;=960)),
IF(MOD('(直掃)RX Mapping'!AR12,120)=0, 120, 240-MOD('(直掃)RX Mapping'!AR12,120)),9999))+IF(AND(MOD('(直掃)RX Mapping'!AR12,120)=0, '(直掃)RX Mapping'!AR12 &lt;= 480,  '(直掃)RX Mapping'!AR12 &gt; 0), 120)</f>
        <v>-1</v>
      </c>
      <c r="AS12">
        <f>IF(
(AND('(直掃)RX Mapping'!AS12&gt;=0,'(直掃)RX Mapping'!AS12&lt;=480)),
(MOD('(直掃)RX Mapping'!AS12,120)-1),
IF(
(AND('(直掃)RX Mapping'!AS12&gt;=480,'(直掃)RX Mapping'!AS12&lt;=960)),
IF(MOD('(直掃)RX Mapping'!AS12,120)=0, 120, 240-MOD('(直掃)RX Mapping'!AS12,120)),9999))+IF(AND(MOD('(直掃)RX Mapping'!AS12,120)=0, '(直掃)RX Mapping'!AS12 &lt;= 480,  '(直掃)RX Mapping'!AS12 &gt; 0), 120)</f>
        <v>-1</v>
      </c>
      <c r="AT12">
        <f>IF(AND('(橫掃)RX Mapping'!AT12&gt;=1,'(橫掃)RX Mapping'!AT12&lt;=120), ('(橫掃)RX Mapping'!AT12-1),IF(AND('(橫掃)RX Mapping'!AT12&gt;=121,'(橫掃)RX Mapping'!AT12&lt;=240), (-1)*('(橫掃)RX Mapping'!AT12-240),IF(AND('(橫掃)RX Mapping'!AT12&gt;=241,'(橫掃)RX Mapping'!AT12&lt;=360), ('(橫掃)RX Mapping'!AT12-241),IF(AND('(橫掃)RX Mapping'!AT12&gt;=361,'(橫掃)RX Mapping'!AT12&lt;=480), (-1)*('(橫掃)RX Mapping'!AT12-480),IF(AND('(橫掃)RX Mapping'!AT12&gt;=481,'(橫掃)RX Mapping'!AT12&lt;=600), ('(橫掃)RX Mapping'!AT12-361),IF(AND('(橫掃)RX Mapping'!AT12&gt;=601,'(橫掃)RX Mapping'!AT12&lt;=720), (-1)*('(橫掃)RX Mapping'!AT12-720)+120,IF(AND('(橫掃)RX Mapping'!AT12&gt;=721,'(橫掃)RX Mapping'!AT12&lt;=840), ('(橫掃)RX Mapping'!AT12-601),IF(AND('(橫掃)RX Mapping'!AT12&gt;=841,'(橫掃)RX Mapping'!AT12&lt;=960), (-1)*('(橫掃)RX Mapping'!AT12-960)+120,9999))))))))</f>
        <v>9999</v>
      </c>
      <c r="AU12">
        <f>IF(AND('(橫掃)RX Mapping'!AU12&gt;=1,'(橫掃)RX Mapping'!AU12&lt;=120), ('(橫掃)RX Mapping'!AU12-1),IF(AND('(橫掃)RX Mapping'!AU12&gt;=121,'(橫掃)RX Mapping'!AU12&lt;=240), (-1)*('(橫掃)RX Mapping'!AU12-240),IF(AND('(橫掃)RX Mapping'!AU12&gt;=241,'(橫掃)RX Mapping'!AU12&lt;=360), ('(橫掃)RX Mapping'!AU12-241),IF(AND('(橫掃)RX Mapping'!AU12&gt;=361,'(橫掃)RX Mapping'!AU12&lt;=480), (-1)*('(橫掃)RX Mapping'!AU12-480),IF(AND('(橫掃)RX Mapping'!AU12&gt;=481,'(橫掃)RX Mapping'!AU12&lt;=600), ('(橫掃)RX Mapping'!AU12-361),IF(AND('(橫掃)RX Mapping'!AU12&gt;=601,'(橫掃)RX Mapping'!AU12&lt;=720), (-1)*('(橫掃)RX Mapping'!AU12-720)+120,IF(AND('(橫掃)RX Mapping'!AU12&gt;=721,'(橫掃)RX Mapping'!AU12&lt;=840), ('(橫掃)RX Mapping'!AU12-601),IF(AND('(橫掃)RX Mapping'!AU12&gt;=841,'(橫掃)RX Mapping'!AU12&lt;=960), (-1)*('(橫掃)RX Mapping'!AU12-960)+120,9999))))))))</f>
        <v>9999</v>
      </c>
      <c r="AV12">
        <f>IF(AND('(橫掃)RX Mapping'!AV12&gt;=1,'(橫掃)RX Mapping'!AV12&lt;=120), ('(橫掃)RX Mapping'!AV12-1),IF(AND('(橫掃)RX Mapping'!AV12&gt;=121,'(橫掃)RX Mapping'!AV12&lt;=240), (-1)*('(橫掃)RX Mapping'!AV12-240),IF(AND('(橫掃)RX Mapping'!AV12&gt;=241,'(橫掃)RX Mapping'!AV12&lt;=360), ('(橫掃)RX Mapping'!AV12-241),IF(AND('(橫掃)RX Mapping'!AV12&gt;=361,'(橫掃)RX Mapping'!AV12&lt;=480), (-1)*('(橫掃)RX Mapping'!AV12-480),IF(AND('(橫掃)RX Mapping'!AV12&gt;=481,'(橫掃)RX Mapping'!AV12&lt;=600), ('(橫掃)RX Mapping'!AV12-361),IF(AND('(橫掃)RX Mapping'!AV12&gt;=601,'(橫掃)RX Mapping'!AV12&lt;=720), (-1)*('(橫掃)RX Mapping'!AV12-720)+120,IF(AND('(橫掃)RX Mapping'!AV12&gt;=721,'(橫掃)RX Mapping'!AV12&lt;=840), ('(橫掃)RX Mapping'!AV12-601),IF(AND('(橫掃)RX Mapping'!AV12&gt;=841,'(橫掃)RX Mapping'!AV12&lt;=960), (-1)*('(橫掃)RX Mapping'!AV12-960)+120,9999))))))))</f>
        <v>9999</v>
      </c>
      <c r="AW12">
        <f>IF(AND('(橫掃)RX Mapping'!AW12&gt;=1,'(橫掃)RX Mapping'!AW12&lt;=120), ('(橫掃)RX Mapping'!AW12-1),IF(AND('(橫掃)RX Mapping'!AW12&gt;=121,'(橫掃)RX Mapping'!AW12&lt;=240), (-1)*('(橫掃)RX Mapping'!AW12-240),IF(AND('(橫掃)RX Mapping'!AW12&gt;=241,'(橫掃)RX Mapping'!AW12&lt;=360), ('(橫掃)RX Mapping'!AW12-241),IF(AND('(橫掃)RX Mapping'!AW12&gt;=361,'(橫掃)RX Mapping'!AW12&lt;=480), (-1)*('(橫掃)RX Mapping'!AW12-480),IF(AND('(橫掃)RX Mapping'!AW12&gt;=481,'(橫掃)RX Mapping'!AW12&lt;=600), ('(橫掃)RX Mapping'!AW12-361),IF(AND('(橫掃)RX Mapping'!AW12&gt;=601,'(橫掃)RX Mapping'!AW12&lt;=720), (-1)*('(橫掃)RX Mapping'!AW12-720)+120,IF(AND('(橫掃)RX Mapping'!AW12&gt;=721,'(橫掃)RX Mapping'!AW12&lt;=840), ('(橫掃)RX Mapping'!AW12-601),IF(AND('(橫掃)RX Mapping'!AW12&gt;=841,'(橫掃)RX Mapping'!AW12&lt;=960), (-1)*('(橫掃)RX Mapping'!AW12-960)+120,9999))))))))</f>
        <v>9999</v>
      </c>
      <c r="AX12">
        <f>IF(AND('(橫掃)RX Mapping'!AX12&gt;=1,'(橫掃)RX Mapping'!AX12&lt;=120), ('(橫掃)RX Mapping'!AX12-1),IF(AND('(橫掃)RX Mapping'!AX12&gt;=121,'(橫掃)RX Mapping'!AX12&lt;=240), (-1)*('(橫掃)RX Mapping'!AX12-240),IF(AND('(橫掃)RX Mapping'!AX12&gt;=241,'(橫掃)RX Mapping'!AX12&lt;=360), ('(橫掃)RX Mapping'!AX12-241),IF(AND('(橫掃)RX Mapping'!AX12&gt;=361,'(橫掃)RX Mapping'!AX12&lt;=480), (-1)*('(橫掃)RX Mapping'!AX12-480),IF(AND('(橫掃)RX Mapping'!AX12&gt;=481,'(橫掃)RX Mapping'!AX12&lt;=600), ('(橫掃)RX Mapping'!AX12-361),IF(AND('(橫掃)RX Mapping'!AX12&gt;=601,'(橫掃)RX Mapping'!AX12&lt;=720), (-1)*('(橫掃)RX Mapping'!AX12-720)+120,IF(AND('(橫掃)RX Mapping'!AX12&gt;=721,'(橫掃)RX Mapping'!AX12&lt;=840), ('(橫掃)RX Mapping'!AX12-601),IF(AND('(橫掃)RX Mapping'!AX12&gt;=841,'(橫掃)RX Mapping'!AX12&lt;=960), (-1)*('(橫掃)RX Mapping'!AX12-960)+120,9999))))))))</f>
        <v>9999</v>
      </c>
      <c r="AY12">
        <f>IF(AND('(橫掃)RX Mapping'!AY12&gt;=1,'(橫掃)RX Mapping'!AY12&lt;=120), ('(橫掃)RX Mapping'!AY12-1),IF(AND('(橫掃)RX Mapping'!AY12&gt;=121,'(橫掃)RX Mapping'!AY12&lt;=240), (-1)*('(橫掃)RX Mapping'!AY12-240),IF(AND('(橫掃)RX Mapping'!AY12&gt;=241,'(橫掃)RX Mapping'!AY12&lt;=360), ('(橫掃)RX Mapping'!AY12-241),IF(AND('(橫掃)RX Mapping'!AY12&gt;=361,'(橫掃)RX Mapping'!AY12&lt;=480), (-1)*('(橫掃)RX Mapping'!AY12-480),IF(AND('(橫掃)RX Mapping'!AY12&gt;=481,'(橫掃)RX Mapping'!AY12&lt;=600), ('(橫掃)RX Mapping'!AY12-361),IF(AND('(橫掃)RX Mapping'!AY12&gt;=601,'(橫掃)RX Mapping'!AY12&lt;=720), (-1)*('(橫掃)RX Mapping'!AY12-720)+120,IF(AND('(橫掃)RX Mapping'!AY12&gt;=721,'(橫掃)RX Mapping'!AY12&lt;=840), ('(橫掃)RX Mapping'!AY12-601),IF(AND('(橫掃)RX Mapping'!AY12&gt;=841,'(橫掃)RX Mapping'!AY12&lt;=960), (-1)*('(橫掃)RX Mapping'!AY12-960)+120,9999))))))))</f>
        <v>9999</v>
      </c>
      <c r="AZ12">
        <f>IF(AND('(橫掃)RX Mapping'!AZ12&gt;=1,'(橫掃)RX Mapping'!AZ12&lt;=120), ('(橫掃)RX Mapping'!AZ12-1),IF(AND('(橫掃)RX Mapping'!AZ12&gt;=121,'(橫掃)RX Mapping'!AZ12&lt;=240), (-1)*('(橫掃)RX Mapping'!AZ12-240),IF(AND('(橫掃)RX Mapping'!AZ12&gt;=241,'(橫掃)RX Mapping'!AZ12&lt;=360), ('(橫掃)RX Mapping'!AZ12-241),IF(AND('(橫掃)RX Mapping'!AZ12&gt;=361,'(橫掃)RX Mapping'!AZ12&lt;=480), (-1)*('(橫掃)RX Mapping'!AZ12-480),IF(AND('(橫掃)RX Mapping'!AZ12&gt;=481,'(橫掃)RX Mapping'!AZ12&lt;=600), ('(橫掃)RX Mapping'!AZ12-361),IF(AND('(橫掃)RX Mapping'!AZ12&gt;=601,'(橫掃)RX Mapping'!AZ12&lt;=720), (-1)*('(橫掃)RX Mapping'!AZ12-720)+120,IF(AND('(橫掃)RX Mapping'!AZ12&gt;=721,'(橫掃)RX Mapping'!AZ12&lt;=840), ('(橫掃)RX Mapping'!AZ12-601),IF(AND('(橫掃)RX Mapping'!AZ12&gt;=841,'(橫掃)RX Mapping'!AZ12&lt;=960), (-1)*('(橫掃)RX Mapping'!AZ12-960)+120,9999))))))))</f>
        <v>9999</v>
      </c>
      <c r="BA12">
        <f>IF(AND('(橫掃)RX Mapping'!BA12&gt;=1,'(橫掃)RX Mapping'!BA12&lt;=120), ('(橫掃)RX Mapping'!BA12-1),IF(AND('(橫掃)RX Mapping'!BA12&gt;=121,'(橫掃)RX Mapping'!BA12&lt;=240), (-1)*('(橫掃)RX Mapping'!BA12-240),IF(AND('(橫掃)RX Mapping'!BA12&gt;=241,'(橫掃)RX Mapping'!BA12&lt;=360), ('(橫掃)RX Mapping'!BA12-241),IF(AND('(橫掃)RX Mapping'!BA12&gt;=361,'(橫掃)RX Mapping'!BA12&lt;=480), (-1)*('(橫掃)RX Mapping'!BA12-480),IF(AND('(橫掃)RX Mapping'!BA12&gt;=481,'(橫掃)RX Mapping'!BA12&lt;=600), ('(橫掃)RX Mapping'!BA12-361),IF(AND('(橫掃)RX Mapping'!BA12&gt;=601,'(橫掃)RX Mapping'!BA12&lt;=720), (-1)*('(橫掃)RX Mapping'!BA12-720)+120,IF(AND('(橫掃)RX Mapping'!BA12&gt;=721,'(橫掃)RX Mapping'!BA12&lt;=840), ('(橫掃)RX Mapping'!BA12-601),IF(AND('(橫掃)RX Mapping'!BA12&gt;=841,'(橫掃)RX Mapping'!BA12&lt;=960), (-1)*('(橫掃)RX Mapping'!BA12-960)+120,9999))))))))</f>
        <v>9999</v>
      </c>
      <c r="BB12">
        <f>IF(AND('(橫掃)RX Mapping'!BB12&gt;=1,'(橫掃)RX Mapping'!BB12&lt;=120), ('(橫掃)RX Mapping'!BB12-1),IF(AND('(橫掃)RX Mapping'!BB12&gt;=121,'(橫掃)RX Mapping'!BB12&lt;=240), (-1)*('(橫掃)RX Mapping'!BB12-240),IF(AND('(橫掃)RX Mapping'!BB12&gt;=241,'(橫掃)RX Mapping'!BB12&lt;=360), ('(橫掃)RX Mapping'!BB12-241),IF(AND('(橫掃)RX Mapping'!BB12&gt;=361,'(橫掃)RX Mapping'!BB12&lt;=480), (-1)*('(橫掃)RX Mapping'!BB12-480),IF(AND('(橫掃)RX Mapping'!BB12&gt;=481,'(橫掃)RX Mapping'!BB12&lt;=600), ('(橫掃)RX Mapping'!BB12-361),IF(AND('(橫掃)RX Mapping'!BB12&gt;=601,'(橫掃)RX Mapping'!BB12&lt;=720), (-1)*('(橫掃)RX Mapping'!BB12-720)+120,IF(AND('(橫掃)RX Mapping'!BB12&gt;=721,'(橫掃)RX Mapping'!BB12&lt;=840), ('(橫掃)RX Mapping'!BB12-601),IF(AND('(橫掃)RX Mapping'!BB12&gt;=841,'(橫掃)RX Mapping'!BB12&lt;=960), (-1)*('(橫掃)RX Mapping'!BB12-960)+120,9999))))))))</f>
        <v>9999</v>
      </c>
      <c r="BC12">
        <f>IF(AND('(橫掃)RX Mapping'!BC12&gt;=1,'(橫掃)RX Mapping'!BC12&lt;=120), ('(橫掃)RX Mapping'!BC12-1),IF(AND('(橫掃)RX Mapping'!BC12&gt;=121,'(橫掃)RX Mapping'!BC12&lt;=240), (-1)*('(橫掃)RX Mapping'!BC12-240),IF(AND('(橫掃)RX Mapping'!BC12&gt;=241,'(橫掃)RX Mapping'!BC12&lt;=360), ('(橫掃)RX Mapping'!BC12-241),IF(AND('(橫掃)RX Mapping'!BC12&gt;=361,'(橫掃)RX Mapping'!BC12&lt;=480), (-1)*('(橫掃)RX Mapping'!BC12-480),IF(AND('(橫掃)RX Mapping'!BC12&gt;=481,'(橫掃)RX Mapping'!BC12&lt;=600), ('(橫掃)RX Mapping'!BC12-361),IF(AND('(橫掃)RX Mapping'!BC12&gt;=601,'(橫掃)RX Mapping'!BC12&lt;=720), (-1)*('(橫掃)RX Mapping'!BC12-720)+120,IF(AND('(橫掃)RX Mapping'!BC12&gt;=721,'(橫掃)RX Mapping'!BC12&lt;=840), ('(橫掃)RX Mapping'!BC12-601),IF(AND('(橫掃)RX Mapping'!BC12&gt;=841,'(橫掃)RX Mapping'!BC12&lt;=960), (-1)*('(橫掃)RX Mapping'!BC12-960)+120,9999))))))))</f>
        <v>9999</v>
      </c>
      <c r="BD12">
        <f>IF(AND('(橫掃)RX Mapping'!BD12&gt;=1,'(橫掃)RX Mapping'!BD12&lt;=120), ('(橫掃)RX Mapping'!BD12-1),IF(AND('(橫掃)RX Mapping'!BD12&gt;=121,'(橫掃)RX Mapping'!BD12&lt;=240), (-1)*('(橫掃)RX Mapping'!BD12-240),IF(AND('(橫掃)RX Mapping'!BD12&gt;=241,'(橫掃)RX Mapping'!BD12&lt;=360), ('(橫掃)RX Mapping'!BD12-241),IF(AND('(橫掃)RX Mapping'!BD12&gt;=361,'(橫掃)RX Mapping'!BD12&lt;=480), (-1)*('(橫掃)RX Mapping'!BD12-480),IF(AND('(橫掃)RX Mapping'!BD12&gt;=481,'(橫掃)RX Mapping'!BD12&lt;=600), ('(橫掃)RX Mapping'!BD12-361),IF(AND('(橫掃)RX Mapping'!BD12&gt;=601,'(橫掃)RX Mapping'!BD12&lt;=720), (-1)*('(橫掃)RX Mapping'!BD12-720)+120,IF(AND('(橫掃)RX Mapping'!BD12&gt;=721,'(橫掃)RX Mapping'!BD12&lt;=840), ('(橫掃)RX Mapping'!BD12-601),IF(AND('(橫掃)RX Mapping'!BD12&gt;=841,'(橫掃)RX Mapping'!BD12&lt;=960), (-1)*('(橫掃)RX Mapping'!BD12-960)+120,9999))))))))</f>
        <v>9999</v>
      </c>
      <c r="BE12">
        <f>IF(AND('(橫掃)RX Mapping'!BE12&gt;=1,'(橫掃)RX Mapping'!BE12&lt;=120), ('(橫掃)RX Mapping'!BE12-1),IF(AND('(橫掃)RX Mapping'!BE12&gt;=121,'(橫掃)RX Mapping'!BE12&lt;=240), (-1)*('(橫掃)RX Mapping'!BE12-240),IF(AND('(橫掃)RX Mapping'!BE12&gt;=241,'(橫掃)RX Mapping'!BE12&lt;=360), ('(橫掃)RX Mapping'!BE12-241),IF(AND('(橫掃)RX Mapping'!BE12&gt;=361,'(橫掃)RX Mapping'!BE12&lt;=480), (-1)*('(橫掃)RX Mapping'!BE12-480),IF(AND('(橫掃)RX Mapping'!BE12&gt;=481,'(橫掃)RX Mapping'!BE12&lt;=600), ('(橫掃)RX Mapping'!BE12-361),IF(AND('(橫掃)RX Mapping'!BE12&gt;=601,'(橫掃)RX Mapping'!BE12&lt;=720), (-1)*('(橫掃)RX Mapping'!BE12-720)+120,IF(AND('(橫掃)RX Mapping'!BE12&gt;=721,'(橫掃)RX Mapping'!BE12&lt;=840), ('(橫掃)RX Mapping'!BE12-601),IF(AND('(橫掃)RX Mapping'!BE12&gt;=841,'(橫掃)RX Mapping'!BE12&lt;=960), (-1)*('(橫掃)RX Mapping'!BE12-960)+120,9999))))))))</f>
        <v>9999</v>
      </c>
      <c r="BF12">
        <f>IF(AND('(橫掃)RX Mapping'!BF12&gt;=1,'(橫掃)RX Mapping'!BF12&lt;=120), ('(橫掃)RX Mapping'!BF12-1),IF(AND('(橫掃)RX Mapping'!BF12&gt;=121,'(橫掃)RX Mapping'!BF12&lt;=240), (-1)*('(橫掃)RX Mapping'!BF12-240),IF(AND('(橫掃)RX Mapping'!BF12&gt;=241,'(橫掃)RX Mapping'!BF12&lt;=360), ('(橫掃)RX Mapping'!BF12-241),IF(AND('(橫掃)RX Mapping'!BF12&gt;=361,'(橫掃)RX Mapping'!BF12&lt;=480), (-1)*('(橫掃)RX Mapping'!BF12-480),IF(AND('(橫掃)RX Mapping'!BF12&gt;=481,'(橫掃)RX Mapping'!BF12&lt;=600), ('(橫掃)RX Mapping'!BF12-361),IF(AND('(橫掃)RX Mapping'!BF12&gt;=601,'(橫掃)RX Mapping'!BF12&lt;=720), (-1)*('(橫掃)RX Mapping'!BF12-720)+120,IF(AND('(橫掃)RX Mapping'!BF12&gt;=721,'(橫掃)RX Mapping'!BF12&lt;=840), ('(橫掃)RX Mapping'!BF12-601),IF(AND('(橫掃)RX Mapping'!BF12&gt;=841,'(橫掃)RX Mapping'!BF12&lt;=960), (-1)*('(橫掃)RX Mapping'!BF12-960)+120,9999))))))))</f>
        <v>9999</v>
      </c>
      <c r="BG12">
        <f>IF(AND('(橫掃)RX Mapping'!BG12&gt;=1,'(橫掃)RX Mapping'!BG12&lt;=120), ('(橫掃)RX Mapping'!BG12-1),IF(AND('(橫掃)RX Mapping'!BG12&gt;=121,'(橫掃)RX Mapping'!BG12&lt;=240), (-1)*('(橫掃)RX Mapping'!BG12-240),IF(AND('(橫掃)RX Mapping'!BG12&gt;=241,'(橫掃)RX Mapping'!BG12&lt;=360), ('(橫掃)RX Mapping'!BG12-241),IF(AND('(橫掃)RX Mapping'!BG12&gt;=361,'(橫掃)RX Mapping'!BG12&lt;=480), (-1)*('(橫掃)RX Mapping'!BG12-480),IF(AND('(橫掃)RX Mapping'!BG12&gt;=481,'(橫掃)RX Mapping'!BG12&lt;=600), ('(橫掃)RX Mapping'!BG12-361),IF(AND('(橫掃)RX Mapping'!BG12&gt;=601,'(橫掃)RX Mapping'!BG12&lt;=720), (-1)*('(橫掃)RX Mapping'!BG12-720)+120,IF(AND('(橫掃)RX Mapping'!BG12&gt;=721,'(橫掃)RX Mapping'!BG12&lt;=840), ('(橫掃)RX Mapping'!BG12-601),IF(AND('(橫掃)RX Mapping'!BG12&gt;=841,'(橫掃)RX Mapping'!BG12&lt;=960), (-1)*('(橫掃)RX Mapping'!BG12-960)+120,9999))))))))</f>
        <v>9999</v>
      </c>
      <c r="BH12">
        <f>IF(AND('(橫掃)RX Mapping'!BH12&gt;=1,'(橫掃)RX Mapping'!BH12&lt;=120), ('(橫掃)RX Mapping'!BH12-1),IF(AND('(橫掃)RX Mapping'!BH12&gt;=121,'(橫掃)RX Mapping'!BH12&lt;=240), (-1)*('(橫掃)RX Mapping'!BH12-240),IF(AND('(橫掃)RX Mapping'!BH12&gt;=241,'(橫掃)RX Mapping'!BH12&lt;=360), ('(橫掃)RX Mapping'!BH12-241),IF(AND('(橫掃)RX Mapping'!BH12&gt;=361,'(橫掃)RX Mapping'!BH12&lt;=480), (-1)*('(橫掃)RX Mapping'!BH12-480),IF(AND('(橫掃)RX Mapping'!BH12&gt;=481,'(橫掃)RX Mapping'!BH12&lt;=600), ('(橫掃)RX Mapping'!BH12-361),IF(AND('(橫掃)RX Mapping'!BH12&gt;=601,'(橫掃)RX Mapping'!BH12&lt;=720), (-1)*('(橫掃)RX Mapping'!BH12-720)+120,IF(AND('(橫掃)RX Mapping'!BH12&gt;=721,'(橫掃)RX Mapping'!BH12&lt;=840), ('(橫掃)RX Mapping'!BH12-601),IF(AND('(橫掃)RX Mapping'!BH12&gt;=841,'(橫掃)RX Mapping'!BH12&lt;=960), (-1)*('(橫掃)RX Mapping'!BH12-960)+120,9999))))))))</f>
        <v>9999</v>
      </c>
      <c r="BI12">
        <f>IF(AND('(橫掃)RX Mapping'!BI12&gt;=1,'(橫掃)RX Mapping'!BI12&lt;=120), ('(橫掃)RX Mapping'!BI12-1),IF(AND('(橫掃)RX Mapping'!BI12&gt;=121,'(橫掃)RX Mapping'!BI12&lt;=240), (-1)*('(橫掃)RX Mapping'!BI12-240),IF(AND('(橫掃)RX Mapping'!BI12&gt;=241,'(橫掃)RX Mapping'!BI12&lt;=360), ('(橫掃)RX Mapping'!BI12-241),IF(AND('(橫掃)RX Mapping'!BI12&gt;=361,'(橫掃)RX Mapping'!BI12&lt;=480), (-1)*('(橫掃)RX Mapping'!BI12-480),IF(AND('(橫掃)RX Mapping'!BI12&gt;=481,'(橫掃)RX Mapping'!BI12&lt;=600), ('(橫掃)RX Mapping'!BI12-361),IF(AND('(橫掃)RX Mapping'!BI12&gt;=601,'(橫掃)RX Mapping'!BI12&lt;=720), (-1)*('(橫掃)RX Mapping'!BI12-720)+120,IF(AND('(橫掃)RX Mapping'!BI12&gt;=721,'(橫掃)RX Mapping'!BI12&lt;=840), ('(橫掃)RX Mapping'!BI12-601),IF(AND('(橫掃)RX Mapping'!BI12&gt;=841,'(橫掃)RX Mapping'!BI12&lt;=960), (-1)*('(橫掃)RX Mapping'!BI12-960)+120,9999))))))))</f>
        <v>9999</v>
      </c>
    </row>
    <row r="13" spans="1:61" x14ac:dyDescent="0.25">
      <c r="A13" s="20">
        <v>12</v>
      </c>
      <c r="B13">
        <f>IF(
(AND('(直掃)RX Mapping'!B13&gt;=0,'(直掃)RX Mapping'!B13&lt;=480)),
(MOD('(直掃)RX Mapping'!B13,120)-1),
IF(
(AND('(直掃)RX Mapping'!B13&gt;=480,'(直掃)RX Mapping'!B13&lt;=960)),
IF(MOD('(直掃)RX Mapping'!B13,120)=0, 120, 240-MOD('(直掃)RX Mapping'!B13,120)),9999))+IF(AND(MOD('(直掃)RX Mapping'!B13,120)=0, '(直掃)RX Mapping'!B13 &lt;= 480,  '(直掃)RX Mapping'!B13 &gt; 0), 120)</f>
        <v>131</v>
      </c>
      <c r="C13">
        <f>IF(
(AND('(直掃)RX Mapping'!C13&gt;=0,'(直掃)RX Mapping'!C13&lt;=480)),
(MOD('(直掃)RX Mapping'!C13,120)-1),
IF(
(AND('(直掃)RX Mapping'!C13&gt;=480,'(直掃)RX Mapping'!C13&lt;=960)),
IF(MOD('(直掃)RX Mapping'!C13,120)=0, 120, 240-MOD('(直掃)RX Mapping'!C13,120)),9999))+IF(AND(MOD('(直掃)RX Mapping'!C13,120)=0, '(直掃)RX Mapping'!C13 &lt;= 480,  '(直掃)RX Mapping'!C13 &gt; 0), 120)</f>
        <v>161</v>
      </c>
      <c r="D13">
        <f>IF(
(AND('(直掃)RX Mapping'!D13&gt;=0,'(直掃)RX Mapping'!D13&lt;=480)),
(MOD('(直掃)RX Mapping'!D13,120)-1),
IF(
(AND('(直掃)RX Mapping'!D13&gt;=480,'(直掃)RX Mapping'!D13&lt;=960)),
IF(MOD('(直掃)RX Mapping'!D13,120)=0, 120, 240-MOD('(直掃)RX Mapping'!D13,120)),9999))+IF(AND(MOD('(直掃)RX Mapping'!D13,120)=0, '(直掃)RX Mapping'!D13 &lt;= 480,  '(直掃)RX Mapping'!D13 &gt; 0), 120)</f>
        <v>191</v>
      </c>
      <c r="E13">
        <f>IF(
(AND('(直掃)RX Mapping'!E13&gt;=0,'(直掃)RX Mapping'!E13&lt;=480)),
(MOD('(直掃)RX Mapping'!E13,120)-1),
IF(
(AND('(直掃)RX Mapping'!E13&gt;=480,'(直掃)RX Mapping'!E13&lt;=960)),
IF(MOD('(直掃)RX Mapping'!E13,120)=0, 120, 240-MOD('(直掃)RX Mapping'!E13,120)),9999))+IF(AND(MOD('(直掃)RX Mapping'!E13,120)=0, '(直掃)RX Mapping'!E13 &lt;= 480,  '(直掃)RX Mapping'!E13 &gt; 0), 120)</f>
        <v>131</v>
      </c>
      <c r="F13">
        <f>IF(
(AND('(直掃)RX Mapping'!F13&gt;=0,'(直掃)RX Mapping'!F13&lt;=480)),
(MOD('(直掃)RX Mapping'!F13,120)-1),
IF(
(AND('(直掃)RX Mapping'!F13&gt;=480,'(直掃)RX Mapping'!F13&lt;=960)),
IF(MOD('(直掃)RX Mapping'!F13,120)=0, 120, 240-MOD('(直掃)RX Mapping'!F13,120)),9999))+IF(AND(MOD('(直掃)RX Mapping'!F13,120)=0, '(直掃)RX Mapping'!F13 &lt;= 480,  '(直掃)RX Mapping'!F13 &gt; 0), 120)</f>
        <v>161</v>
      </c>
      <c r="G13">
        <f>IF(
(AND('(直掃)RX Mapping'!G13&gt;=0,'(直掃)RX Mapping'!G13&lt;=480)),
(MOD('(直掃)RX Mapping'!G13,120)-1),
IF(
(AND('(直掃)RX Mapping'!G13&gt;=480,'(直掃)RX Mapping'!G13&lt;=960)),
IF(MOD('(直掃)RX Mapping'!G13,120)=0, 120, 240-MOD('(直掃)RX Mapping'!G13,120)),9999))+IF(AND(MOD('(直掃)RX Mapping'!G13,120)=0, '(直掃)RX Mapping'!G13 &lt;= 480,  '(直掃)RX Mapping'!G13 &gt; 0), 120)</f>
        <v>191</v>
      </c>
      <c r="H13">
        <f>IF(
(AND('(直掃)RX Mapping'!H13&gt;=0,'(直掃)RX Mapping'!H13&lt;=480)),
(MOD('(直掃)RX Mapping'!H13,120)-1),
IF(
(AND('(直掃)RX Mapping'!H13&gt;=480,'(直掃)RX Mapping'!H13&lt;=960)),
IF(MOD('(直掃)RX Mapping'!H13,120)=0, 120, 240-MOD('(直掃)RX Mapping'!H13,120)),9999))+IF(AND(MOD('(直掃)RX Mapping'!H13,120)=0, '(直掃)RX Mapping'!H13 &lt;= 480,  '(直掃)RX Mapping'!H13 &gt; 0), 120)</f>
        <v>131</v>
      </c>
      <c r="I13">
        <f>IF(
(AND('(直掃)RX Mapping'!I13&gt;=0,'(直掃)RX Mapping'!I13&lt;=480)),
(MOD('(直掃)RX Mapping'!I13,120)-1),
IF(
(AND('(直掃)RX Mapping'!I13&gt;=480,'(直掃)RX Mapping'!I13&lt;=960)),
IF(MOD('(直掃)RX Mapping'!I13,120)=0, 120, 240-MOD('(直掃)RX Mapping'!I13,120)),9999))+IF(AND(MOD('(直掃)RX Mapping'!I13,120)=0, '(直掃)RX Mapping'!I13 &lt;= 480,  '(直掃)RX Mapping'!I13 &gt; 0), 120)</f>
        <v>161</v>
      </c>
      <c r="J13">
        <f>IF(
(AND('(直掃)RX Mapping'!J13&gt;=0,'(直掃)RX Mapping'!J13&lt;=480)),
(MOD('(直掃)RX Mapping'!J13,120)-1),
IF(
(AND('(直掃)RX Mapping'!J13&gt;=480,'(直掃)RX Mapping'!J13&lt;=960)),
IF(MOD('(直掃)RX Mapping'!J13,120)=0, 120, 240-MOD('(直掃)RX Mapping'!J13,120)),9999))+IF(AND(MOD('(直掃)RX Mapping'!J13,120)=0, '(直掃)RX Mapping'!J13 &lt;= 480,  '(直掃)RX Mapping'!J13 &gt; 0), 120)</f>
        <v>191</v>
      </c>
      <c r="K13">
        <f>IF(
(AND('(直掃)RX Mapping'!K13&gt;=0,'(直掃)RX Mapping'!K13&lt;=480)),
(MOD('(直掃)RX Mapping'!K13,120)-1),
IF(
(AND('(直掃)RX Mapping'!K13&gt;=480,'(直掃)RX Mapping'!K13&lt;=960)),
IF(MOD('(直掃)RX Mapping'!K13,120)=0, 120, 240-MOD('(直掃)RX Mapping'!K13,120)),9999))+IF(AND(MOD('(直掃)RX Mapping'!K13,120)=0, '(直掃)RX Mapping'!K13 &lt;= 480,  '(直掃)RX Mapping'!K13 &gt; 0), 120)</f>
        <v>221</v>
      </c>
      <c r="L13">
        <f>IF(
(AND('(直掃)RX Mapping'!L13&gt;=0,'(直掃)RX Mapping'!L13&lt;=480)),
(MOD('(直掃)RX Mapping'!L13,120)-1),
IF(
(AND('(直掃)RX Mapping'!L13&gt;=480,'(直掃)RX Mapping'!L13&lt;=960)),
IF(MOD('(直掃)RX Mapping'!L13,120)=0, 120, 240-MOD('(直掃)RX Mapping'!L13,120)),9999))+IF(AND(MOD('(直掃)RX Mapping'!L13,120)=0, '(直掃)RX Mapping'!L13 &lt;= 480,  '(直掃)RX Mapping'!L13 &gt; 0), 120)</f>
        <v>131</v>
      </c>
      <c r="M13">
        <f>IF(
(AND('(直掃)RX Mapping'!M13&gt;=0,'(直掃)RX Mapping'!M13&lt;=480)),
(MOD('(直掃)RX Mapping'!M13,120)-1),
IF(
(AND('(直掃)RX Mapping'!M13&gt;=480,'(直掃)RX Mapping'!M13&lt;=960)),
IF(MOD('(直掃)RX Mapping'!M13,120)=0, 120, 240-MOD('(直掃)RX Mapping'!M13,120)),9999))+IF(AND(MOD('(直掃)RX Mapping'!M13,120)=0, '(直掃)RX Mapping'!M13 &lt;= 480,  '(直掃)RX Mapping'!M13 &gt; 0), 120)</f>
        <v>161</v>
      </c>
      <c r="N13">
        <f>IF(
(AND('(直掃)RX Mapping'!N13&gt;=0,'(直掃)RX Mapping'!N13&lt;=480)),
(MOD('(直掃)RX Mapping'!N13,120)-1),
IF(
(AND('(直掃)RX Mapping'!N13&gt;=480,'(直掃)RX Mapping'!N13&lt;=960)),
IF(MOD('(直掃)RX Mapping'!N13,120)=0, 120, 240-MOD('(直掃)RX Mapping'!N13,120)),9999))+IF(AND(MOD('(直掃)RX Mapping'!N13,120)=0, '(直掃)RX Mapping'!N13 &lt;= 480,  '(直掃)RX Mapping'!N13 &gt; 0), 120)</f>
        <v>191</v>
      </c>
      <c r="O13">
        <f>IF(
(AND('(直掃)RX Mapping'!O13&gt;=0,'(直掃)RX Mapping'!O13&lt;=480)),
(MOD('(直掃)RX Mapping'!O13,120)-1),
IF(
(AND('(直掃)RX Mapping'!O13&gt;=480,'(直掃)RX Mapping'!O13&lt;=960)),
IF(MOD('(直掃)RX Mapping'!O13,120)=0, 120, 240-MOD('(直掃)RX Mapping'!O13,120)),9999))+IF(AND(MOD('(直掃)RX Mapping'!O13,120)=0, '(直掃)RX Mapping'!O13 &lt;= 480,  '(直掃)RX Mapping'!O13 &gt; 0), 120)</f>
        <v>221</v>
      </c>
      <c r="P13">
        <f>IF(
(AND('(直掃)RX Mapping'!P13&gt;=0,'(直掃)RX Mapping'!P13&lt;=480)),
(MOD('(直掃)RX Mapping'!P13,120)-1),
IF(
(AND('(直掃)RX Mapping'!P13&gt;=480,'(直掃)RX Mapping'!P13&lt;=960)),
IF(MOD('(直掃)RX Mapping'!P13,120)=0, 120, 240-MOD('(直掃)RX Mapping'!P13,120)),9999))+IF(AND(MOD('(直掃)RX Mapping'!P13,120)=0, '(直掃)RX Mapping'!P13 &lt;= 480,  '(直掃)RX Mapping'!P13 &gt; 0), 120)</f>
        <v>108</v>
      </c>
      <c r="Q13">
        <f>IF(
(AND('(直掃)RX Mapping'!Q13&gt;=0,'(直掃)RX Mapping'!Q13&lt;=480)),
(MOD('(直掃)RX Mapping'!Q13,120)-1),
IF(
(AND('(直掃)RX Mapping'!Q13&gt;=480,'(直掃)RX Mapping'!Q13&lt;=960)),
IF(MOD('(直掃)RX Mapping'!Q13,120)=0, 120, 240-MOD('(直掃)RX Mapping'!Q13,120)),9999))+IF(AND(MOD('(直掃)RX Mapping'!Q13,120)=0, '(直掃)RX Mapping'!Q13 &lt;= 480,  '(直掃)RX Mapping'!Q13 &gt; 0), 120)</f>
        <v>78</v>
      </c>
      <c r="R13">
        <f>IF(
(AND('(直掃)RX Mapping'!R13&gt;=0,'(直掃)RX Mapping'!R13&lt;=480)),
(MOD('(直掃)RX Mapping'!R13,120)-1),
IF(
(AND('(直掃)RX Mapping'!R13&gt;=480,'(直掃)RX Mapping'!R13&lt;=960)),
IF(MOD('(直掃)RX Mapping'!R13,120)=0, 120, 240-MOD('(直掃)RX Mapping'!R13,120)),9999))+IF(AND(MOD('(直掃)RX Mapping'!R13,120)=0, '(直掃)RX Mapping'!R13 &lt;= 480,  '(直掃)RX Mapping'!R13 &gt; 0), 120)</f>
        <v>48</v>
      </c>
      <c r="S13">
        <f>IF(
(AND('(直掃)RX Mapping'!S13&gt;=0,'(直掃)RX Mapping'!S13&lt;=480)),
(MOD('(直掃)RX Mapping'!S13,120)-1),
IF(
(AND('(直掃)RX Mapping'!S13&gt;=480,'(直掃)RX Mapping'!S13&lt;=960)),
IF(MOD('(直掃)RX Mapping'!S13,120)=0, 120, 240-MOD('(直掃)RX Mapping'!S13,120)),9999))+IF(AND(MOD('(直掃)RX Mapping'!S13,120)=0, '(直掃)RX Mapping'!S13 &lt;= 480,  '(直掃)RX Mapping'!S13 &gt; 0), 120)</f>
        <v>18</v>
      </c>
      <c r="T13">
        <f>IF(
(AND('(直掃)RX Mapping'!T13&gt;=0,'(直掃)RX Mapping'!T13&lt;=480)),
(MOD('(直掃)RX Mapping'!T13,120)-1),
IF(
(AND('(直掃)RX Mapping'!T13&gt;=480,'(直掃)RX Mapping'!T13&lt;=960)),
IF(MOD('(直掃)RX Mapping'!T13,120)=0, 120, 240-MOD('(直掃)RX Mapping'!T13,120)),9999))+IF(AND(MOD('(直掃)RX Mapping'!T13,120)=0, '(直掃)RX Mapping'!T13 &lt;= 480,  '(直掃)RX Mapping'!T13 &gt; 0), 120)</f>
        <v>108</v>
      </c>
      <c r="U13">
        <f>IF(
(AND('(直掃)RX Mapping'!U13&gt;=0,'(直掃)RX Mapping'!U13&lt;=480)),
(MOD('(直掃)RX Mapping'!U13,120)-1),
IF(
(AND('(直掃)RX Mapping'!U13&gt;=480,'(直掃)RX Mapping'!U13&lt;=960)),
IF(MOD('(直掃)RX Mapping'!U13,120)=0, 120, 240-MOD('(直掃)RX Mapping'!U13,120)),9999))+IF(AND(MOD('(直掃)RX Mapping'!U13,120)=0, '(直掃)RX Mapping'!U13 &lt;= 480,  '(直掃)RX Mapping'!U13 &gt; 0), 120)</f>
        <v>78</v>
      </c>
      <c r="V13">
        <f>IF(
(AND('(直掃)RX Mapping'!V13&gt;=0,'(直掃)RX Mapping'!V13&lt;=480)),
(MOD('(直掃)RX Mapping'!V13,120)-1),
IF(
(AND('(直掃)RX Mapping'!V13&gt;=480,'(直掃)RX Mapping'!V13&lt;=960)),
IF(MOD('(直掃)RX Mapping'!V13,120)=0, 120, 240-MOD('(直掃)RX Mapping'!V13,120)),9999))+IF(AND(MOD('(直掃)RX Mapping'!V13,120)=0, '(直掃)RX Mapping'!V13 &lt;= 480,  '(直掃)RX Mapping'!V13 &gt; 0), 120)</f>
        <v>48</v>
      </c>
      <c r="W13">
        <f>IF(
(AND('(直掃)RX Mapping'!W13&gt;=0,'(直掃)RX Mapping'!W13&lt;=480)),
(MOD('(直掃)RX Mapping'!W13,120)-1),
IF(
(AND('(直掃)RX Mapping'!W13&gt;=480,'(直掃)RX Mapping'!W13&lt;=960)),
IF(MOD('(直掃)RX Mapping'!W13,120)=0, 120, 240-MOD('(直掃)RX Mapping'!W13,120)),9999))+IF(AND(MOD('(直掃)RX Mapping'!W13,120)=0, '(直掃)RX Mapping'!W13 &lt;= 480,  '(直掃)RX Mapping'!W13 &gt; 0), 120)</f>
        <v>18</v>
      </c>
      <c r="X13">
        <f>IF(
(AND('(直掃)RX Mapping'!X13&gt;=0,'(直掃)RX Mapping'!X13&lt;=480)),
(MOD('(直掃)RX Mapping'!X13,120)-1),
IF(
(AND('(直掃)RX Mapping'!X13&gt;=480,'(直掃)RX Mapping'!X13&lt;=960)),
IF(MOD('(直掃)RX Mapping'!X13,120)=0, 120, 240-MOD('(直掃)RX Mapping'!X13,120)),9999))+IF(AND(MOD('(直掃)RX Mapping'!X13,120)=0, '(直掃)RX Mapping'!X13 &lt;= 480,  '(直掃)RX Mapping'!X13 &gt; 0), 120)</f>
        <v>78</v>
      </c>
      <c r="Y13">
        <f>IF(
(AND('(直掃)RX Mapping'!Y13&gt;=0,'(直掃)RX Mapping'!Y13&lt;=480)),
(MOD('(直掃)RX Mapping'!Y13,120)-1),
IF(
(AND('(直掃)RX Mapping'!Y13&gt;=480,'(直掃)RX Mapping'!Y13&lt;=960)),
IF(MOD('(直掃)RX Mapping'!Y13,120)=0, 120, 240-MOD('(直掃)RX Mapping'!Y13,120)),9999))+IF(AND(MOD('(直掃)RX Mapping'!Y13,120)=0, '(直掃)RX Mapping'!Y13 &lt;= 480,  '(直掃)RX Mapping'!Y13 &gt; 0), 120)</f>
        <v>48</v>
      </c>
      <c r="Z13">
        <f>IF(
(AND('(直掃)RX Mapping'!Z13&gt;=0,'(直掃)RX Mapping'!Z13&lt;=480)),
(MOD('(直掃)RX Mapping'!Z13,120)-1),
IF(
(AND('(直掃)RX Mapping'!Z13&gt;=480,'(直掃)RX Mapping'!Z13&lt;=960)),
IF(MOD('(直掃)RX Mapping'!Z13,120)=0, 120, 240-MOD('(直掃)RX Mapping'!Z13,120)),9999))+IF(AND(MOD('(直掃)RX Mapping'!Z13,120)=0, '(直掃)RX Mapping'!Z13 &lt;= 480,  '(直掃)RX Mapping'!Z13 &gt; 0), 120)</f>
        <v>18</v>
      </c>
      <c r="AA13">
        <f>IF(
(AND('(直掃)RX Mapping'!AA13&gt;=0,'(直掃)RX Mapping'!AA13&lt;=480)),
(MOD('(直掃)RX Mapping'!AA13,120)-1),
IF(
(AND('(直掃)RX Mapping'!AA13&gt;=480,'(直掃)RX Mapping'!AA13&lt;=960)),
IF(MOD('(直掃)RX Mapping'!AA13,120)=0, 120, 240-MOD('(直掃)RX Mapping'!AA13,120)),9999))+IF(AND(MOD('(直掃)RX Mapping'!AA13,120)=0, '(直掃)RX Mapping'!AA13 &lt;= 480,  '(直掃)RX Mapping'!AA13 &gt; 0), 120)</f>
        <v>78</v>
      </c>
      <c r="AB13">
        <f>IF(
(AND('(直掃)RX Mapping'!AB13&gt;=0,'(直掃)RX Mapping'!AB13&lt;=480)),
(MOD('(直掃)RX Mapping'!AB13,120)-1),
IF(
(AND('(直掃)RX Mapping'!AB13&gt;=480,'(直掃)RX Mapping'!AB13&lt;=960)),
IF(MOD('(直掃)RX Mapping'!AB13,120)=0, 120, 240-MOD('(直掃)RX Mapping'!AB13,120)),9999))+IF(AND(MOD('(直掃)RX Mapping'!AB13,120)=0, '(直掃)RX Mapping'!AB13 &lt;= 480,  '(直掃)RX Mapping'!AB13 &gt; 0), 120)</f>
        <v>48</v>
      </c>
      <c r="AC13">
        <f>IF(
(AND('(直掃)RX Mapping'!AC13&gt;=0,'(直掃)RX Mapping'!AC13&lt;=480)),
(MOD('(直掃)RX Mapping'!AC13,120)-1),
IF(
(AND('(直掃)RX Mapping'!AC13&gt;=480,'(直掃)RX Mapping'!AC13&lt;=960)),
IF(MOD('(直掃)RX Mapping'!AC13,120)=0, 120, 240-MOD('(直掃)RX Mapping'!AC13,120)),9999))+IF(AND(MOD('(直掃)RX Mapping'!AC13,120)=0, '(直掃)RX Mapping'!AC13 &lt;= 480,  '(直掃)RX Mapping'!AC13 &gt; 0), 120)</f>
        <v>18</v>
      </c>
      <c r="AD13">
        <f>IF(
(AND('(直掃)RX Mapping'!AD13&gt;=0,'(直掃)RX Mapping'!AD13&lt;=480)),
(MOD('(直掃)RX Mapping'!AD13,120)-1),
IF(
(AND('(直掃)RX Mapping'!AD13&gt;=480,'(直掃)RX Mapping'!AD13&lt;=960)),
IF(MOD('(直掃)RX Mapping'!AD13,120)=0, 120, 240-MOD('(直掃)RX Mapping'!AD13,120)),9999))+IF(AND(MOD('(直掃)RX Mapping'!AD13,120)=0, '(直掃)RX Mapping'!AD13 &lt;= 480,  '(直掃)RX Mapping'!AD13 &gt; 0), 120)</f>
        <v>-1</v>
      </c>
      <c r="AE13">
        <f>IF(
(AND('(直掃)RX Mapping'!AE13&gt;=0,'(直掃)RX Mapping'!AE13&lt;=480)),
(MOD('(直掃)RX Mapping'!AE13,120)-1),
IF(
(AND('(直掃)RX Mapping'!AE13&gt;=480,'(直掃)RX Mapping'!AE13&lt;=960)),
IF(MOD('(直掃)RX Mapping'!AE13,120)=0, 120, 240-MOD('(直掃)RX Mapping'!AE13,120)),9999))+IF(AND(MOD('(直掃)RX Mapping'!AE13,120)=0, '(直掃)RX Mapping'!AE13 &lt;= 480,  '(直掃)RX Mapping'!AE13 &gt; 0), 120)</f>
        <v>-1</v>
      </c>
      <c r="AF13">
        <f>IF(
(AND('(直掃)RX Mapping'!AF13&gt;=0,'(直掃)RX Mapping'!AF13&lt;=480)),
(MOD('(直掃)RX Mapping'!AF13,120)-1),
IF(
(AND('(直掃)RX Mapping'!AF13&gt;=480,'(直掃)RX Mapping'!AF13&lt;=960)),
IF(MOD('(直掃)RX Mapping'!AF13,120)=0, 120, 240-MOD('(直掃)RX Mapping'!AF13,120)),9999))+IF(AND(MOD('(直掃)RX Mapping'!AF13,120)=0, '(直掃)RX Mapping'!AF13 &lt;= 480,  '(直掃)RX Mapping'!AF13 &gt; 0), 120)</f>
        <v>-1</v>
      </c>
      <c r="AG13">
        <f>IF(
(AND('(直掃)RX Mapping'!AG13&gt;=0,'(直掃)RX Mapping'!AG13&lt;=480)),
(MOD('(直掃)RX Mapping'!AG13,120)-1),
IF(
(AND('(直掃)RX Mapping'!AG13&gt;=480,'(直掃)RX Mapping'!AG13&lt;=960)),
IF(MOD('(直掃)RX Mapping'!AG13,120)=0, 120, 240-MOD('(直掃)RX Mapping'!AG13,120)),9999))+IF(AND(MOD('(直掃)RX Mapping'!AG13,120)=0, '(直掃)RX Mapping'!AG13 &lt;= 480,  '(直掃)RX Mapping'!AG13 &gt; 0), 120)</f>
        <v>-1</v>
      </c>
      <c r="AH13">
        <f>IF(
(AND('(直掃)RX Mapping'!AH13&gt;=0,'(直掃)RX Mapping'!AH13&lt;=480)),
(MOD('(直掃)RX Mapping'!AH13,120)-1),
IF(
(AND('(直掃)RX Mapping'!AH13&gt;=480,'(直掃)RX Mapping'!AH13&lt;=960)),
IF(MOD('(直掃)RX Mapping'!AH13,120)=0, 120, 240-MOD('(直掃)RX Mapping'!AH13,120)),9999))+IF(AND(MOD('(直掃)RX Mapping'!AH13,120)=0, '(直掃)RX Mapping'!AH13 &lt;= 480,  '(直掃)RX Mapping'!AH13 &gt; 0), 120)</f>
        <v>-1</v>
      </c>
      <c r="AI13">
        <f>IF(
(AND('(直掃)RX Mapping'!AI13&gt;=0,'(直掃)RX Mapping'!AI13&lt;=480)),
(MOD('(直掃)RX Mapping'!AI13,120)-1),
IF(
(AND('(直掃)RX Mapping'!AI13&gt;=480,'(直掃)RX Mapping'!AI13&lt;=960)),
IF(MOD('(直掃)RX Mapping'!AI13,120)=0, 120, 240-MOD('(直掃)RX Mapping'!AI13,120)),9999))+IF(AND(MOD('(直掃)RX Mapping'!AI13,120)=0, '(直掃)RX Mapping'!AI13 &lt;= 480,  '(直掃)RX Mapping'!AI13 &gt; 0), 120)</f>
        <v>-1</v>
      </c>
      <c r="AJ13">
        <f>IF(
(AND('(直掃)RX Mapping'!AJ13&gt;=0,'(直掃)RX Mapping'!AJ13&lt;=480)),
(MOD('(直掃)RX Mapping'!AJ13,120)-1),
IF(
(AND('(直掃)RX Mapping'!AJ13&gt;=480,'(直掃)RX Mapping'!AJ13&lt;=960)),
IF(MOD('(直掃)RX Mapping'!AJ13,120)=0, 120, 240-MOD('(直掃)RX Mapping'!AJ13,120)),9999))+IF(AND(MOD('(直掃)RX Mapping'!AJ13,120)=0, '(直掃)RX Mapping'!AJ13 &lt;= 480,  '(直掃)RX Mapping'!AJ13 &gt; 0), 120)</f>
        <v>-1</v>
      </c>
      <c r="AK13">
        <f>IF(
(AND('(直掃)RX Mapping'!AK13&gt;=0,'(直掃)RX Mapping'!AK13&lt;=480)),
(MOD('(直掃)RX Mapping'!AK13,120)-1),
IF(
(AND('(直掃)RX Mapping'!AK13&gt;=480,'(直掃)RX Mapping'!AK13&lt;=960)),
IF(MOD('(直掃)RX Mapping'!AK13,120)=0, 120, 240-MOD('(直掃)RX Mapping'!AK13,120)),9999))+IF(AND(MOD('(直掃)RX Mapping'!AK13,120)=0, '(直掃)RX Mapping'!AK13 &lt;= 480,  '(直掃)RX Mapping'!AK13 &gt; 0), 120)</f>
        <v>-1</v>
      </c>
      <c r="AL13">
        <f>IF(
(AND('(直掃)RX Mapping'!AL13&gt;=0,'(直掃)RX Mapping'!AL13&lt;=480)),
(MOD('(直掃)RX Mapping'!AL13,120)-1),
IF(
(AND('(直掃)RX Mapping'!AL13&gt;=480,'(直掃)RX Mapping'!AL13&lt;=960)),
IF(MOD('(直掃)RX Mapping'!AL13,120)=0, 120, 240-MOD('(直掃)RX Mapping'!AL13,120)),9999))+IF(AND(MOD('(直掃)RX Mapping'!AL13,120)=0, '(直掃)RX Mapping'!AL13 &lt;= 480,  '(直掃)RX Mapping'!AL13 &gt; 0), 120)</f>
        <v>-1</v>
      </c>
      <c r="AM13">
        <f>IF(
(AND('(直掃)RX Mapping'!AM13&gt;=0,'(直掃)RX Mapping'!AM13&lt;=480)),
(MOD('(直掃)RX Mapping'!AM13,120)-1),
IF(
(AND('(直掃)RX Mapping'!AM13&gt;=480,'(直掃)RX Mapping'!AM13&lt;=960)),
IF(MOD('(直掃)RX Mapping'!AM13,120)=0, 120, 240-MOD('(直掃)RX Mapping'!AM13,120)),9999))+IF(AND(MOD('(直掃)RX Mapping'!AM13,120)=0, '(直掃)RX Mapping'!AM13 &lt;= 480,  '(直掃)RX Mapping'!AM13 &gt; 0), 120)</f>
        <v>-1</v>
      </c>
      <c r="AN13">
        <f>IF(
(AND('(直掃)RX Mapping'!AN13&gt;=0,'(直掃)RX Mapping'!AN13&lt;=480)),
(MOD('(直掃)RX Mapping'!AN13,120)-1),
IF(
(AND('(直掃)RX Mapping'!AN13&gt;=480,'(直掃)RX Mapping'!AN13&lt;=960)),
IF(MOD('(直掃)RX Mapping'!AN13,120)=0, 120, 240-MOD('(直掃)RX Mapping'!AN13,120)),9999))+IF(AND(MOD('(直掃)RX Mapping'!AN13,120)=0, '(直掃)RX Mapping'!AN13 &lt;= 480,  '(直掃)RX Mapping'!AN13 &gt; 0), 120)</f>
        <v>-1</v>
      </c>
      <c r="AO13">
        <f>IF(
(AND('(直掃)RX Mapping'!AO13&gt;=0,'(直掃)RX Mapping'!AO13&lt;=480)),
(MOD('(直掃)RX Mapping'!AO13,120)-1),
IF(
(AND('(直掃)RX Mapping'!AO13&gt;=480,'(直掃)RX Mapping'!AO13&lt;=960)),
IF(MOD('(直掃)RX Mapping'!AO13,120)=0, 120, 240-MOD('(直掃)RX Mapping'!AO13,120)),9999))+IF(AND(MOD('(直掃)RX Mapping'!AO13,120)=0, '(直掃)RX Mapping'!AO13 &lt;= 480,  '(直掃)RX Mapping'!AO13 &gt; 0), 120)</f>
        <v>-1</v>
      </c>
      <c r="AP13">
        <f>IF(
(AND('(直掃)RX Mapping'!AP13&gt;=0,'(直掃)RX Mapping'!AP13&lt;=480)),
(MOD('(直掃)RX Mapping'!AP13,120)-1),
IF(
(AND('(直掃)RX Mapping'!AP13&gt;=480,'(直掃)RX Mapping'!AP13&lt;=960)),
IF(MOD('(直掃)RX Mapping'!AP13,120)=0, 120, 240-MOD('(直掃)RX Mapping'!AP13,120)),9999))+IF(AND(MOD('(直掃)RX Mapping'!AP13,120)=0, '(直掃)RX Mapping'!AP13 &lt;= 480,  '(直掃)RX Mapping'!AP13 &gt; 0), 120)</f>
        <v>-1</v>
      </c>
      <c r="AQ13">
        <f>IF(
(AND('(直掃)RX Mapping'!AQ13&gt;=0,'(直掃)RX Mapping'!AQ13&lt;=480)),
(MOD('(直掃)RX Mapping'!AQ13,120)-1),
IF(
(AND('(直掃)RX Mapping'!AQ13&gt;=480,'(直掃)RX Mapping'!AQ13&lt;=960)),
IF(MOD('(直掃)RX Mapping'!AQ13,120)=0, 120, 240-MOD('(直掃)RX Mapping'!AQ13,120)),9999))+IF(AND(MOD('(直掃)RX Mapping'!AQ13,120)=0, '(直掃)RX Mapping'!AQ13 &lt;= 480,  '(直掃)RX Mapping'!AQ13 &gt; 0), 120)</f>
        <v>-1</v>
      </c>
      <c r="AR13">
        <f>IF(
(AND('(直掃)RX Mapping'!AR13&gt;=0,'(直掃)RX Mapping'!AR13&lt;=480)),
(MOD('(直掃)RX Mapping'!AR13,120)-1),
IF(
(AND('(直掃)RX Mapping'!AR13&gt;=480,'(直掃)RX Mapping'!AR13&lt;=960)),
IF(MOD('(直掃)RX Mapping'!AR13,120)=0, 120, 240-MOD('(直掃)RX Mapping'!AR13,120)),9999))+IF(AND(MOD('(直掃)RX Mapping'!AR13,120)=0, '(直掃)RX Mapping'!AR13 &lt;= 480,  '(直掃)RX Mapping'!AR13 &gt; 0), 120)</f>
        <v>-1</v>
      </c>
      <c r="AS13">
        <f>IF(
(AND('(直掃)RX Mapping'!AS13&gt;=0,'(直掃)RX Mapping'!AS13&lt;=480)),
(MOD('(直掃)RX Mapping'!AS13,120)-1),
IF(
(AND('(直掃)RX Mapping'!AS13&gt;=480,'(直掃)RX Mapping'!AS13&lt;=960)),
IF(MOD('(直掃)RX Mapping'!AS13,120)=0, 120, 240-MOD('(直掃)RX Mapping'!AS13,120)),9999))+IF(AND(MOD('(直掃)RX Mapping'!AS13,120)=0, '(直掃)RX Mapping'!AS13 &lt;= 480,  '(直掃)RX Mapping'!AS13 &gt; 0), 120)</f>
        <v>-1</v>
      </c>
      <c r="AT13">
        <f>IF(AND('(橫掃)RX Mapping'!AT13&gt;=1,'(橫掃)RX Mapping'!AT13&lt;=120), ('(橫掃)RX Mapping'!AT13-1),IF(AND('(橫掃)RX Mapping'!AT13&gt;=121,'(橫掃)RX Mapping'!AT13&lt;=240), (-1)*('(橫掃)RX Mapping'!AT13-240),IF(AND('(橫掃)RX Mapping'!AT13&gt;=241,'(橫掃)RX Mapping'!AT13&lt;=360), ('(橫掃)RX Mapping'!AT13-241),IF(AND('(橫掃)RX Mapping'!AT13&gt;=361,'(橫掃)RX Mapping'!AT13&lt;=480), (-1)*('(橫掃)RX Mapping'!AT13-480),IF(AND('(橫掃)RX Mapping'!AT13&gt;=481,'(橫掃)RX Mapping'!AT13&lt;=600), ('(橫掃)RX Mapping'!AT13-361),IF(AND('(橫掃)RX Mapping'!AT13&gt;=601,'(橫掃)RX Mapping'!AT13&lt;=720), (-1)*('(橫掃)RX Mapping'!AT13-720)+120,IF(AND('(橫掃)RX Mapping'!AT13&gt;=721,'(橫掃)RX Mapping'!AT13&lt;=840), ('(橫掃)RX Mapping'!AT13-601),IF(AND('(橫掃)RX Mapping'!AT13&gt;=841,'(橫掃)RX Mapping'!AT13&lt;=960), (-1)*('(橫掃)RX Mapping'!AT13-960)+120,9999))))))))</f>
        <v>9999</v>
      </c>
      <c r="AU13">
        <f>IF(AND('(橫掃)RX Mapping'!AU13&gt;=1,'(橫掃)RX Mapping'!AU13&lt;=120), ('(橫掃)RX Mapping'!AU13-1),IF(AND('(橫掃)RX Mapping'!AU13&gt;=121,'(橫掃)RX Mapping'!AU13&lt;=240), (-1)*('(橫掃)RX Mapping'!AU13-240),IF(AND('(橫掃)RX Mapping'!AU13&gt;=241,'(橫掃)RX Mapping'!AU13&lt;=360), ('(橫掃)RX Mapping'!AU13-241),IF(AND('(橫掃)RX Mapping'!AU13&gt;=361,'(橫掃)RX Mapping'!AU13&lt;=480), (-1)*('(橫掃)RX Mapping'!AU13-480),IF(AND('(橫掃)RX Mapping'!AU13&gt;=481,'(橫掃)RX Mapping'!AU13&lt;=600), ('(橫掃)RX Mapping'!AU13-361),IF(AND('(橫掃)RX Mapping'!AU13&gt;=601,'(橫掃)RX Mapping'!AU13&lt;=720), (-1)*('(橫掃)RX Mapping'!AU13-720)+120,IF(AND('(橫掃)RX Mapping'!AU13&gt;=721,'(橫掃)RX Mapping'!AU13&lt;=840), ('(橫掃)RX Mapping'!AU13-601),IF(AND('(橫掃)RX Mapping'!AU13&gt;=841,'(橫掃)RX Mapping'!AU13&lt;=960), (-1)*('(橫掃)RX Mapping'!AU13-960)+120,9999))))))))</f>
        <v>9999</v>
      </c>
      <c r="AV13">
        <f>IF(AND('(橫掃)RX Mapping'!AV13&gt;=1,'(橫掃)RX Mapping'!AV13&lt;=120), ('(橫掃)RX Mapping'!AV13-1),IF(AND('(橫掃)RX Mapping'!AV13&gt;=121,'(橫掃)RX Mapping'!AV13&lt;=240), (-1)*('(橫掃)RX Mapping'!AV13-240),IF(AND('(橫掃)RX Mapping'!AV13&gt;=241,'(橫掃)RX Mapping'!AV13&lt;=360), ('(橫掃)RX Mapping'!AV13-241),IF(AND('(橫掃)RX Mapping'!AV13&gt;=361,'(橫掃)RX Mapping'!AV13&lt;=480), (-1)*('(橫掃)RX Mapping'!AV13-480),IF(AND('(橫掃)RX Mapping'!AV13&gt;=481,'(橫掃)RX Mapping'!AV13&lt;=600), ('(橫掃)RX Mapping'!AV13-361),IF(AND('(橫掃)RX Mapping'!AV13&gt;=601,'(橫掃)RX Mapping'!AV13&lt;=720), (-1)*('(橫掃)RX Mapping'!AV13-720)+120,IF(AND('(橫掃)RX Mapping'!AV13&gt;=721,'(橫掃)RX Mapping'!AV13&lt;=840), ('(橫掃)RX Mapping'!AV13-601),IF(AND('(橫掃)RX Mapping'!AV13&gt;=841,'(橫掃)RX Mapping'!AV13&lt;=960), (-1)*('(橫掃)RX Mapping'!AV13-960)+120,9999))))))))</f>
        <v>9999</v>
      </c>
      <c r="AW13">
        <f>IF(AND('(橫掃)RX Mapping'!AW13&gt;=1,'(橫掃)RX Mapping'!AW13&lt;=120), ('(橫掃)RX Mapping'!AW13-1),IF(AND('(橫掃)RX Mapping'!AW13&gt;=121,'(橫掃)RX Mapping'!AW13&lt;=240), (-1)*('(橫掃)RX Mapping'!AW13-240),IF(AND('(橫掃)RX Mapping'!AW13&gt;=241,'(橫掃)RX Mapping'!AW13&lt;=360), ('(橫掃)RX Mapping'!AW13-241),IF(AND('(橫掃)RX Mapping'!AW13&gt;=361,'(橫掃)RX Mapping'!AW13&lt;=480), (-1)*('(橫掃)RX Mapping'!AW13-480),IF(AND('(橫掃)RX Mapping'!AW13&gt;=481,'(橫掃)RX Mapping'!AW13&lt;=600), ('(橫掃)RX Mapping'!AW13-361),IF(AND('(橫掃)RX Mapping'!AW13&gt;=601,'(橫掃)RX Mapping'!AW13&lt;=720), (-1)*('(橫掃)RX Mapping'!AW13-720)+120,IF(AND('(橫掃)RX Mapping'!AW13&gt;=721,'(橫掃)RX Mapping'!AW13&lt;=840), ('(橫掃)RX Mapping'!AW13-601),IF(AND('(橫掃)RX Mapping'!AW13&gt;=841,'(橫掃)RX Mapping'!AW13&lt;=960), (-1)*('(橫掃)RX Mapping'!AW13-960)+120,9999))))))))</f>
        <v>9999</v>
      </c>
      <c r="AX13">
        <f>IF(AND('(橫掃)RX Mapping'!AX13&gt;=1,'(橫掃)RX Mapping'!AX13&lt;=120), ('(橫掃)RX Mapping'!AX13-1),IF(AND('(橫掃)RX Mapping'!AX13&gt;=121,'(橫掃)RX Mapping'!AX13&lt;=240), (-1)*('(橫掃)RX Mapping'!AX13-240),IF(AND('(橫掃)RX Mapping'!AX13&gt;=241,'(橫掃)RX Mapping'!AX13&lt;=360), ('(橫掃)RX Mapping'!AX13-241),IF(AND('(橫掃)RX Mapping'!AX13&gt;=361,'(橫掃)RX Mapping'!AX13&lt;=480), (-1)*('(橫掃)RX Mapping'!AX13-480),IF(AND('(橫掃)RX Mapping'!AX13&gt;=481,'(橫掃)RX Mapping'!AX13&lt;=600), ('(橫掃)RX Mapping'!AX13-361),IF(AND('(橫掃)RX Mapping'!AX13&gt;=601,'(橫掃)RX Mapping'!AX13&lt;=720), (-1)*('(橫掃)RX Mapping'!AX13-720)+120,IF(AND('(橫掃)RX Mapping'!AX13&gt;=721,'(橫掃)RX Mapping'!AX13&lt;=840), ('(橫掃)RX Mapping'!AX13-601),IF(AND('(橫掃)RX Mapping'!AX13&gt;=841,'(橫掃)RX Mapping'!AX13&lt;=960), (-1)*('(橫掃)RX Mapping'!AX13-960)+120,9999))))))))</f>
        <v>9999</v>
      </c>
      <c r="AY13">
        <f>IF(AND('(橫掃)RX Mapping'!AY13&gt;=1,'(橫掃)RX Mapping'!AY13&lt;=120), ('(橫掃)RX Mapping'!AY13-1),IF(AND('(橫掃)RX Mapping'!AY13&gt;=121,'(橫掃)RX Mapping'!AY13&lt;=240), (-1)*('(橫掃)RX Mapping'!AY13-240),IF(AND('(橫掃)RX Mapping'!AY13&gt;=241,'(橫掃)RX Mapping'!AY13&lt;=360), ('(橫掃)RX Mapping'!AY13-241),IF(AND('(橫掃)RX Mapping'!AY13&gt;=361,'(橫掃)RX Mapping'!AY13&lt;=480), (-1)*('(橫掃)RX Mapping'!AY13-480),IF(AND('(橫掃)RX Mapping'!AY13&gt;=481,'(橫掃)RX Mapping'!AY13&lt;=600), ('(橫掃)RX Mapping'!AY13-361),IF(AND('(橫掃)RX Mapping'!AY13&gt;=601,'(橫掃)RX Mapping'!AY13&lt;=720), (-1)*('(橫掃)RX Mapping'!AY13-720)+120,IF(AND('(橫掃)RX Mapping'!AY13&gt;=721,'(橫掃)RX Mapping'!AY13&lt;=840), ('(橫掃)RX Mapping'!AY13-601),IF(AND('(橫掃)RX Mapping'!AY13&gt;=841,'(橫掃)RX Mapping'!AY13&lt;=960), (-1)*('(橫掃)RX Mapping'!AY13-960)+120,9999))))))))</f>
        <v>9999</v>
      </c>
      <c r="AZ13">
        <f>IF(AND('(橫掃)RX Mapping'!AZ13&gt;=1,'(橫掃)RX Mapping'!AZ13&lt;=120), ('(橫掃)RX Mapping'!AZ13-1),IF(AND('(橫掃)RX Mapping'!AZ13&gt;=121,'(橫掃)RX Mapping'!AZ13&lt;=240), (-1)*('(橫掃)RX Mapping'!AZ13-240),IF(AND('(橫掃)RX Mapping'!AZ13&gt;=241,'(橫掃)RX Mapping'!AZ13&lt;=360), ('(橫掃)RX Mapping'!AZ13-241),IF(AND('(橫掃)RX Mapping'!AZ13&gt;=361,'(橫掃)RX Mapping'!AZ13&lt;=480), (-1)*('(橫掃)RX Mapping'!AZ13-480),IF(AND('(橫掃)RX Mapping'!AZ13&gt;=481,'(橫掃)RX Mapping'!AZ13&lt;=600), ('(橫掃)RX Mapping'!AZ13-361),IF(AND('(橫掃)RX Mapping'!AZ13&gt;=601,'(橫掃)RX Mapping'!AZ13&lt;=720), (-1)*('(橫掃)RX Mapping'!AZ13-720)+120,IF(AND('(橫掃)RX Mapping'!AZ13&gt;=721,'(橫掃)RX Mapping'!AZ13&lt;=840), ('(橫掃)RX Mapping'!AZ13-601),IF(AND('(橫掃)RX Mapping'!AZ13&gt;=841,'(橫掃)RX Mapping'!AZ13&lt;=960), (-1)*('(橫掃)RX Mapping'!AZ13-960)+120,9999))))))))</f>
        <v>9999</v>
      </c>
      <c r="BA13">
        <f>IF(AND('(橫掃)RX Mapping'!BA13&gt;=1,'(橫掃)RX Mapping'!BA13&lt;=120), ('(橫掃)RX Mapping'!BA13-1),IF(AND('(橫掃)RX Mapping'!BA13&gt;=121,'(橫掃)RX Mapping'!BA13&lt;=240), (-1)*('(橫掃)RX Mapping'!BA13-240),IF(AND('(橫掃)RX Mapping'!BA13&gt;=241,'(橫掃)RX Mapping'!BA13&lt;=360), ('(橫掃)RX Mapping'!BA13-241),IF(AND('(橫掃)RX Mapping'!BA13&gt;=361,'(橫掃)RX Mapping'!BA13&lt;=480), (-1)*('(橫掃)RX Mapping'!BA13-480),IF(AND('(橫掃)RX Mapping'!BA13&gt;=481,'(橫掃)RX Mapping'!BA13&lt;=600), ('(橫掃)RX Mapping'!BA13-361),IF(AND('(橫掃)RX Mapping'!BA13&gt;=601,'(橫掃)RX Mapping'!BA13&lt;=720), (-1)*('(橫掃)RX Mapping'!BA13-720)+120,IF(AND('(橫掃)RX Mapping'!BA13&gt;=721,'(橫掃)RX Mapping'!BA13&lt;=840), ('(橫掃)RX Mapping'!BA13-601),IF(AND('(橫掃)RX Mapping'!BA13&gt;=841,'(橫掃)RX Mapping'!BA13&lt;=960), (-1)*('(橫掃)RX Mapping'!BA13-960)+120,9999))))))))</f>
        <v>9999</v>
      </c>
      <c r="BB13">
        <f>IF(AND('(橫掃)RX Mapping'!BB13&gt;=1,'(橫掃)RX Mapping'!BB13&lt;=120), ('(橫掃)RX Mapping'!BB13-1),IF(AND('(橫掃)RX Mapping'!BB13&gt;=121,'(橫掃)RX Mapping'!BB13&lt;=240), (-1)*('(橫掃)RX Mapping'!BB13-240),IF(AND('(橫掃)RX Mapping'!BB13&gt;=241,'(橫掃)RX Mapping'!BB13&lt;=360), ('(橫掃)RX Mapping'!BB13-241),IF(AND('(橫掃)RX Mapping'!BB13&gt;=361,'(橫掃)RX Mapping'!BB13&lt;=480), (-1)*('(橫掃)RX Mapping'!BB13-480),IF(AND('(橫掃)RX Mapping'!BB13&gt;=481,'(橫掃)RX Mapping'!BB13&lt;=600), ('(橫掃)RX Mapping'!BB13-361),IF(AND('(橫掃)RX Mapping'!BB13&gt;=601,'(橫掃)RX Mapping'!BB13&lt;=720), (-1)*('(橫掃)RX Mapping'!BB13-720)+120,IF(AND('(橫掃)RX Mapping'!BB13&gt;=721,'(橫掃)RX Mapping'!BB13&lt;=840), ('(橫掃)RX Mapping'!BB13-601),IF(AND('(橫掃)RX Mapping'!BB13&gt;=841,'(橫掃)RX Mapping'!BB13&lt;=960), (-1)*('(橫掃)RX Mapping'!BB13-960)+120,9999))))))))</f>
        <v>9999</v>
      </c>
      <c r="BC13">
        <f>IF(AND('(橫掃)RX Mapping'!BC13&gt;=1,'(橫掃)RX Mapping'!BC13&lt;=120), ('(橫掃)RX Mapping'!BC13-1),IF(AND('(橫掃)RX Mapping'!BC13&gt;=121,'(橫掃)RX Mapping'!BC13&lt;=240), (-1)*('(橫掃)RX Mapping'!BC13-240),IF(AND('(橫掃)RX Mapping'!BC13&gt;=241,'(橫掃)RX Mapping'!BC13&lt;=360), ('(橫掃)RX Mapping'!BC13-241),IF(AND('(橫掃)RX Mapping'!BC13&gt;=361,'(橫掃)RX Mapping'!BC13&lt;=480), (-1)*('(橫掃)RX Mapping'!BC13-480),IF(AND('(橫掃)RX Mapping'!BC13&gt;=481,'(橫掃)RX Mapping'!BC13&lt;=600), ('(橫掃)RX Mapping'!BC13-361),IF(AND('(橫掃)RX Mapping'!BC13&gt;=601,'(橫掃)RX Mapping'!BC13&lt;=720), (-1)*('(橫掃)RX Mapping'!BC13-720)+120,IF(AND('(橫掃)RX Mapping'!BC13&gt;=721,'(橫掃)RX Mapping'!BC13&lt;=840), ('(橫掃)RX Mapping'!BC13-601),IF(AND('(橫掃)RX Mapping'!BC13&gt;=841,'(橫掃)RX Mapping'!BC13&lt;=960), (-1)*('(橫掃)RX Mapping'!BC13-960)+120,9999))))))))</f>
        <v>9999</v>
      </c>
      <c r="BD13">
        <f>IF(AND('(橫掃)RX Mapping'!BD13&gt;=1,'(橫掃)RX Mapping'!BD13&lt;=120), ('(橫掃)RX Mapping'!BD13-1),IF(AND('(橫掃)RX Mapping'!BD13&gt;=121,'(橫掃)RX Mapping'!BD13&lt;=240), (-1)*('(橫掃)RX Mapping'!BD13-240),IF(AND('(橫掃)RX Mapping'!BD13&gt;=241,'(橫掃)RX Mapping'!BD13&lt;=360), ('(橫掃)RX Mapping'!BD13-241),IF(AND('(橫掃)RX Mapping'!BD13&gt;=361,'(橫掃)RX Mapping'!BD13&lt;=480), (-1)*('(橫掃)RX Mapping'!BD13-480),IF(AND('(橫掃)RX Mapping'!BD13&gt;=481,'(橫掃)RX Mapping'!BD13&lt;=600), ('(橫掃)RX Mapping'!BD13-361),IF(AND('(橫掃)RX Mapping'!BD13&gt;=601,'(橫掃)RX Mapping'!BD13&lt;=720), (-1)*('(橫掃)RX Mapping'!BD13-720)+120,IF(AND('(橫掃)RX Mapping'!BD13&gt;=721,'(橫掃)RX Mapping'!BD13&lt;=840), ('(橫掃)RX Mapping'!BD13-601),IF(AND('(橫掃)RX Mapping'!BD13&gt;=841,'(橫掃)RX Mapping'!BD13&lt;=960), (-1)*('(橫掃)RX Mapping'!BD13-960)+120,9999))))))))</f>
        <v>9999</v>
      </c>
      <c r="BE13">
        <f>IF(AND('(橫掃)RX Mapping'!BE13&gt;=1,'(橫掃)RX Mapping'!BE13&lt;=120), ('(橫掃)RX Mapping'!BE13-1),IF(AND('(橫掃)RX Mapping'!BE13&gt;=121,'(橫掃)RX Mapping'!BE13&lt;=240), (-1)*('(橫掃)RX Mapping'!BE13-240),IF(AND('(橫掃)RX Mapping'!BE13&gt;=241,'(橫掃)RX Mapping'!BE13&lt;=360), ('(橫掃)RX Mapping'!BE13-241),IF(AND('(橫掃)RX Mapping'!BE13&gt;=361,'(橫掃)RX Mapping'!BE13&lt;=480), (-1)*('(橫掃)RX Mapping'!BE13-480),IF(AND('(橫掃)RX Mapping'!BE13&gt;=481,'(橫掃)RX Mapping'!BE13&lt;=600), ('(橫掃)RX Mapping'!BE13-361),IF(AND('(橫掃)RX Mapping'!BE13&gt;=601,'(橫掃)RX Mapping'!BE13&lt;=720), (-1)*('(橫掃)RX Mapping'!BE13-720)+120,IF(AND('(橫掃)RX Mapping'!BE13&gt;=721,'(橫掃)RX Mapping'!BE13&lt;=840), ('(橫掃)RX Mapping'!BE13-601),IF(AND('(橫掃)RX Mapping'!BE13&gt;=841,'(橫掃)RX Mapping'!BE13&lt;=960), (-1)*('(橫掃)RX Mapping'!BE13-960)+120,9999))))))))</f>
        <v>9999</v>
      </c>
      <c r="BF13">
        <f>IF(AND('(橫掃)RX Mapping'!BF13&gt;=1,'(橫掃)RX Mapping'!BF13&lt;=120), ('(橫掃)RX Mapping'!BF13-1),IF(AND('(橫掃)RX Mapping'!BF13&gt;=121,'(橫掃)RX Mapping'!BF13&lt;=240), (-1)*('(橫掃)RX Mapping'!BF13-240),IF(AND('(橫掃)RX Mapping'!BF13&gt;=241,'(橫掃)RX Mapping'!BF13&lt;=360), ('(橫掃)RX Mapping'!BF13-241),IF(AND('(橫掃)RX Mapping'!BF13&gt;=361,'(橫掃)RX Mapping'!BF13&lt;=480), (-1)*('(橫掃)RX Mapping'!BF13-480),IF(AND('(橫掃)RX Mapping'!BF13&gt;=481,'(橫掃)RX Mapping'!BF13&lt;=600), ('(橫掃)RX Mapping'!BF13-361),IF(AND('(橫掃)RX Mapping'!BF13&gt;=601,'(橫掃)RX Mapping'!BF13&lt;=720), (-1)*('(橫掃)RX Mapping'!BF13-720)+120,IF(AND('(橫掃)RX Mapping'!BF13&gt;=721,'(橫掃)RX Mapping'!BF13&lt;=840), ('(橫掃)RX Mapping'!BF13-601),IF(AND('(橫掃)RX Mapping'!BF13&gt;=841,'(橫掃)RX Mapping'!BF13&lt;=960), (-1)*('(橫掃)RX Mapping'!BF13-960)+120,9999))))))))</f>
        <v>9999</v>
      </c>
      <c r="BG13">
        <f>IF(AND('(橫掃)RX Mapping'!BG13&gt;=1,'(橫掃)RX Mapping'!BG13&lt;=120), ('(橫掃)RX Mapping'!BG13-1),IF(AND('(橫掃)RX Mapping'!BG13&gt;=121,'(橫掃)RX Mapping'!BG13&lt;=240), (-1)*('(橫掃)RX Mapping'!BG13-240),IF(AND('(橫掃)RX Mapping'!BG13&gt;=241,'(橫掃)RX Mapping'!BG13&lt;=360), ('(橫掃)RX Mapping'!BG13-241),IF(AND('(橫掃)RX Mapping'!BG13&gt;=361,'(橫掃)RX Mapping'!BG13&lt;=480), (-1)*('(橫掃)RX Mapping'!BG13-480),IF(AND('(橫掃)RX Mapping'!BG13&gt;=481,'(橫掃)RX Mapping'!BG13&lt;=600), ('(橫掃)RX Mapping'!BG13-361),IF(AND('(橫掃)RX Mapping'!BG13&gt;=601,'(橫掃)RX Mapping'!BG13&lt;=720), (-1)*('(橫掃)RX Mapping'!BG13-720)+120,IF(AND('(橫掃)RX Mapping'!BG13&gt;=721,'(橫掃)RX Mapping'!BG13&lt;=840), ('(橫掃)RX Mapping'!BG13-601),IF(AND('(橫掃)RX Mapping'!BG13&gt;=841,'(橫掃)RX Mapping'!BG13&lt;=960), (-1)*('(橫掃)RX Mapping'!BG13-960)+120,9999))))))))</f>
        <v>9999</v>
      </c>
      <c r="BH13">
        <f>IF(AND('(橫掃)RX Mapping'!BH13&gt;=1,'(橫掃)RX Mapping'!BH13&lt;=120), ('(橫掃)RX Mapping'!BH13-1),IF(AND('(橫掃)RX Mapping'!BH13&gt;=121,'(橫掃)RX Mapping'!BH13&lt;=240), (-1)*('(橫掃)RX Mapping'!BH13-240),IF(AND('(橫掃)RX Mapping'!BH13&gt;=241,'(橫掃)RX Mapping'!BH13&lt;=360), ('(橫掃)RX Mapping'!BH13-241),IF(AND('(橫掃)RX Mapping'!BH13&gt;=361,'(橫掃)RX Mapping'!BH13&lt;=480), (-1)*('(橫掃)RX Mapping'!BH13-480),IF(AND('(橫掃)RX Mapping'!BH13&gt;=481,'(橫掃)RX Mapping'!BH13&lt;=600), ('(橫掃)RX Mapping'!BH13-361),IF(AND('(橫掃)RX Mapping'!BH13&gt;=601,'(橫掃)RX Mapping'!BH13&lt;=720), (-1)*('(橫掃)RX Mapping'!BH13-720)+120,IF(AND('(橫掃)RX Mapping'!BH13&gt;=721,'(橫掃)RX Mapping'!BH13&lt;=840), ('(橫掃)RX Mapping'!BH13-601),IF(AND('(橫掃)RX Mapping'!BH13&gt;=841,'(橫掃)RX Mapping'!BH13&lt;=960), (-1)*('(橫掃)RX Mapping'!BH13-960)+120,9999))))))))</f>
        <v>9999</v>
      </c>
      <c r="BI13">
        <f>IF(AND('(橫掃)RX Mapping'!BI13&gt;=1,'(橫掃)RX Mapping'!BI13&lt;=120), ('(橫掃)RX Mapping'!BI13-1),IF(AND('(橫掃)RX Mapping'!BI13&gt;=121,'(橫掃)RX Mapping'!BI13&lt;=240), (-1)*('(橫掃)RX Mapping'!BI13-240),IF(AND('(橫掃)RX Mapping'!BI13&gt;=241,'(橫掃)RX Mapping'!BI13&lt;=360), ('(橫掃)RX Mapping'!BI13-241),IF(AND('(橫掃)RX Mapping'!BI13&gt;=361,'(橫掃)RX Mapping'!BI13&lt;=480), (-1)*('(橫掃)RX Mapping'!BI13-480),IF(AND('(橫掃)RX Mapping'!BI13&gt;=481,'(橫掃)RX Mapping'!BI13&lt;=600), ('(橫掃)RX Mapping'!BI13-361),IF(AND('(橫掃)RX Mapping'!BI13&gt;=601,'(橫掃)RX Mapping'!BI13&lt;=720), (-1)*('(橫掃)RX Mapping'!BI13-720)+120,IF(AND('(橫掃)RX Mapping'!BI13&gt;=721,'(橫掃)RX Mapping'!BI13&lt;=840), ('(橫掃)RX Mapping'!BI13-601),IF(AND('(橫掃)RX Mapping'!BI13&gt;=841,'(橫掃)RX Mapping'!BI13&lt;=960), (-1)*('(橫掃)RX Mapping'!BI13-960)+120,9999))))))))</f>
        <v>9999</v>
      </c>
    </row>
    <row r="14" spans="1:61" x14ac:dyDescent="0.25">
      <c r="A14" s="20">
        <v>13</v>
      </c>
      <c r="B14">
        <f>IF(
(AND('(直掃)RX Mapping'!B14&gt;=0,'(直掃)RX Mapping'!B14&lt;=480)),
(MOD('(直掃)RX Mapping'!B14,120)-1),
IF(
(AND('(直掃)RX Mapping'!B14&gt;=480,'(直掃)RX Mapping'!B14&lt;=960)),
IF(MOD('(直掃)RX Mapping'!B14,120)=0, 120, 240-MOD('(直掃)RX Mapping'!B14,120)),9999))+IF(AND(MOD('(直掃)RX Mapping'!B14,120)=0, '(直掃)RX Mapping'!B14 &lt;= 480,  '(直掃)RX Mapping'!B14 &gt; 0), 120)</f>
        <v>132</v>
      </c>
      <c r="C14">
        <f>IF(
(AND('(直掃)RX Mapping'!C14&gt;=0,'(直掃)RX Mapping'!C14&lt;=480)),
(MOD('(直掃)RX Mapping'!C14,120)-1),
IF(
(AND('(直掃)RX Mapping'!C14&gt;=480,'(直掃)RX Mapping'!C14&lt;=960)),
IF(MOD('(直掃)RX Mapping'!C14,120)=0, 120, 240-MOD('(直掃)RX Mapping'!C14,120)),9999))+IF(AND(MOD('(直掃)RX Mapping'!C14,120)=0, '(直掃)RX Mapping'!C14 &lt;= 480,  '(直掃)RX Mapping'!C14 &gt; 0), 120)</f>
        <v>162</v>
      </c>
      <c r="D14">
        <f>IF(
(AND('(直掃)RX Mapping'!D14&gt;=0,'(直掃)RX Mapping'!D14&lt;=480)),
(MOD('(直掃)RX Mapping'!D14,120)-1),
IF(
(AND('(直掃)RX Mapping'!D14&gt;=480,'(直掃)RX Mapping'!D14&lt;=960)),
IF(MOD('(直掃)RX Mapping'!D14,120)=0, 120, 240-MOD('(直掃)RX Mapping'!D14,120)),9999))+IF(AND(MOD('(直掃)RX Mapping'!D14,120)=0, '(直掃)RX Mapping'!D14 &lt;= 480,  '(直掃)RX Mapping'!D14 &gt; 0), 120)</f>
        <v>192</v>
      </c>
      <c r="E14">
        <f>IF(
(AND('(直掃)RX Mapping'!E14&gt;=0,'(直掃)RX Mapping'!E14&lt;=480)),
(MOD('(直掃)RX Mapping'!E14,120)-1),
IF(
(AND('(直掃)RX Mapping'!E14&gt;=480,'(直掃)RX Mapping'!E14&lt;=960)),
IF(MOD('(直掃)RX Mapping'!E14,120)=0, 120, 240-MOD('(直掃)RX Mapping'!E14,120)),9999))+IF(AND(MOD('(直掃)RX Mapping'!E14,120)=0, '(直掃)RX Mapping'!E14 &lt;= 480,  '(直掃)RX Mapping'!E14 &gt; 0), 120)</f>
        <v>132</v>
      </c>
      <c r="F14">
        <f>IF(
(AND('(直掃)RX Mapping'!F14&gt;=0,'(直掃)RX Mapping'!F14&lt;=480)),
(MOD('(直掃)RX Mapping'!F14,120)-1),
IF(
(AND('(直掃)RX Mapping'!F14&gt;=480,'(直掃)RX Mapping'!F14&lt;=960)),
IF(MOD('(直掃)RX Mapping'!F14,120)=0, 120, 240-MOD('(直掃)RX Mapping'!F14,120)),9999))+IF(AND(MOD('(直掃)RX Mapping'!F14,120)=0, '(直掃)RX Mapping'!F14 &lt;= 480,  '(直掃)RX Mapping'!F14 &gt; 0), 120)</f>
        <v>162</v>
      </c>
      <c r="G14">
        <f>IF(
(AND('(直掃)RX Mapping'!G14&gt;=0,'(直掃)RX Mapping'!G14&lt;=480)),
(MOD('(直掃)RX Mapping'!G14,120)-1),
IF(
(AND('(直掃)RX Mapping'!G14&gt;=480,'(直掃)RX Mapping'!G14&lt;=960)),
IF(MOD('(直掃)RX Mapping'!G14,120)=0, 120, 240-MOD('(直掃)RX Mapping'!G14,120)),9999))+IF(AND(MOD('(直掃)RX Mapping'!G14,120)=0, '(直掃)RX Mapping'!G14 &lt;= 480,  '(直掃)RX Mapping'!G14 &gt; 0), 120)</f>
        <v>192</v>
      </c>
      <c r="H14">
        <f>IF(
(AND('(直掃)RX Mapping'!H14&gt;=0,'(直掃)RX Mapping'!H14&lt;=480)),
(MOD('(直掃)RX Mapping'!H14,120)-1),
IF(
(AND('(直掃)RX Mapping'!H14&gt;=480,'(直掃)RX Mapping'!H14&lt;=960)),
IF(MOD('(直掃)RX Mapping'!H14,120)=0, 120, 240-MOD('(直掃)RX Mapping'!H14,120)),9999))+IF(AND(MOD('(直掃)RX Mapping'!H14,120)=0, '(直掃)RX Mapping'!H14 &lt;= 480,  '(直掃)RX Mapping'!H14 &gt; 0), 120)</f>
        <v>132</v>
      </c>
      <c r="I14">
        <f>IF(
(AND('(直掃)RX Mapping'!I14&gt;=0,'(直掃)RX Mapping'!I14&lt;=480)),
(MOD('(直掃)RX Mapping'!I14,120)-1),
IF(
(AND('(直掃)RX Mapping'!I14&gt;=480,'(直掃)RX Mapping'!I14&lt;=960)),
IF(MOD('(直掃)RX Mapping'!I14,120)=0, 120, 240-MOD('(直掃)RX Mapping'!I14,120)),9999))+IF(AND(MOD('(直掃)RX Mapping'!I14,120)=0, '(直掃)RX Mapping'!I14 &lt;= 480,  '(直掃)RX Mapping'!I14 &gt; 0), 120)</f>
        <v>162</v>
      </c>
      <c r="J14">
        <f>IF(
(AND('(直掃)RX Mapping'!J14&gt;=0,'(直掃)RX Mapping'!J14&lt;=480)),
(MOD('(直掃)RX Mapping'!J14,120)-1),
IF(
(AND('(直掃)RX Mapping'!J14&gt;=480,'(直掃)RX Mapping'!J14&lt;=960)),
IF(MOD('(直掃)RX Mapping'!J14,120)=0, 120, 240-MOD('(直掃)RX Mapping'!J14,120)),9999))+IF(AND(MOD('(直掃)RX Mapping'!J14,120)=0, '(直掃)RX Mapping'!J14 &lt;= 480,  '(直掃)RX Mapping'!J14 &gt; 0), 120)</f>
        <v>192</v>
      </c>
      <c r="K14">
        <f>IF(
(AND('(直掃)RX Mapping'!K14&gt;=0,'(直掃)RX Mapping'!K14&lt;=480)),
(MOD('(直掃)RX Mapping'!K14,120)-1),
IF(
(AND('(直掃)RX Mapping'!K14&gt;=480,'(直掃)RX Mapping'!K14&lt;=960)),
IF(MOD('(直掃)RX Mapping'!K14,120)=0, 120, 240-MOD('(直掃)RX Mapping'!K14,120)),9999))+IF(AND(MOD('(直掃)RX Mapping'!K14,120)=0, '(直掃)RX Mapping'!K14 &lt;= 480,  '(直掃)RX Mapping'!K14 &gt; 0), 120)</f>
        <v>222</v>
      </c>
      <c r="L14">
        <f>IF(
(AND('(直掃)RX Mapping'!L14&gt;=0,'(直掃)RX Mapping'!L14&lt;=480)),
(MOD('(直掃)RX Mapping'!L14,120)-1),
IF(
(AND('(直掃)RX Mapping'!L14&gt;=480,'(直掃)RX Mapping'!L14&lt;=960)),
IF(MOD('(直掃)RX Mapping'!L14,120)=0, 120, 240-MOD('(直掃)RX Mapping'!L14,120)),9999))+IF(AND(MOD('(直掃)RX Mapping'!L14,120)=0, '(直掃)RX Mapping'!L14 &lt;= 480,  '(直掃)RX Mapping'!L14 &gt; 0), 120)</f>
        <v>132</v>
      </c>
      <c r="M14">
        <f>IF(
(AND('(直掃)RX Mapping'!M14&gt;=0,'(直掃)RX Mapping'!M14&lt;=480)),
(MOD('(直掃)RX Mapping'!M14,120)-1),
IF(
(AND('(直掃)RX Mapping'!M14&gt;=480,'(直掃)RX Mapping'!M14&lt;=960)),
IF(MOD('(直掃)RX Mapping'!M14,120)=0, 120, 240-MOD('(直掃)RX Mapping'!M14,120)),9999))+IF(AND(MOD('(直掃)RX Mapping'!M14,120)=0, '(直掃)RX Mapping'!M14 &lt;= 480,  '(直掃)RX Mapping'!M14 &gt; 0), 120)</f>
        <v>162</v>
      </c>
      <c r="N14">
        <f>IF(
(AND('(直掃)RX Mapping'!N14&gt;=0,'(直掃)RX Mapping'!N14&lt;=480)),
(MOD('(直掃)RX Mapping'!N14,120)-1),
IF(
(AND('(直掃)RX Mapping'!N14&gt;=480,'(直掃)RX Mapping'!N14&lt;=960)),
IF(MOD('(直掃)RX Mapping'!N14,120)=0, 120, 240-MOD('(直掃)RX Mapping'!N14,120)),9999))+IF(AND(MOD('(直掃)RX Mapping'!N14,120)=0, '(直掃)RX Mapping'!N14 &lt;= 480,  '(直掃)RX Mapping'!N14 &gt; 0), 120)</f>
        <v>192</v>
      </c>
      <c r="O14">
        <f>IF(
(AND('(直掃)RX Mapping'!O14&gt;=0,'(直掃)RX Mapping'!O14&lt;=480)),
(MOD('(直掃)RX Mapping'!O14,120)-1),
IF(
(AND('(直掃)RX Mapping'!O14&gt;=480,'(直掃)RX Mapping'!O14&lt;=960)),
IF(MOD('(直掃)RX Mapping'!O14,120)=0, 120, 240-MOD('(直掃)RX Mapping'!O14,120)),9999))+IF(AND(MOD('(直掃)RX Mapping'!O14,120)=0, '(直掃)RX Mapping'!O14 &lt;= 480,  '(直掃)RX Mapping'!O14 &gt; 0), 120)</f>
        <v>222</v>
      </c>
      <c r="P14">
        <f>IF(
(AND('(直掃)RX Mapping'!P14&gt;=0,'(直掃)RX Mapping'!P14&lt;=480)),
(MOD('(直掃)RX Mapping'!P14,120)-1),
IF(
(AND('(直掃)RX Mapping'!P14&gt;=480,'(直掃)RX Mapping'!P14&lt;=960)),
IF(MOD('(直掃)RX Mapping'!P14,120)=0, 120, 240-MOD('(直掃)RX Mapping'!P14,120)),9999))+IF(AND(MOD('(直掃)RX Mapping'!P14,120)=0, '(直掃)RX Mapping'!P14 &lt;= 480,  '(直掃)RX Mapping'!P14 &gt; 0), 120)</f>
        <v>107</v>
      </c>
      <c r="Q14">
        <f>IF(
(AND('(直掃)RX Mapping'!Q14&gt;=0,'(直掃)RX Mapping'!Q14&lt;=480)),
(MOD('(直掃)RX Mapping'!Q14,120)-1),
IF(
(AND('(直掃)RX Mapping'!Q14&gt;=480,'(直掃)RX Mapping'!Q14&lt;=960)),
IF(MOD('(直掃)RX Mapping'!Q14,120)=0, 120, 240-MOD('(直掃)RX Mapping'!Q14,120)),9999))+IF(AND(MOD('(直掃)RX Mapping'!Q14,120)=0, '(直掃)RX Mapping'!Q14 &lt;= 480,  '(直掃)RX Mapping'!Q14 &gt; 0), 120)</f>
        <v>77</v>
      </c>
      <c r="R14">
        <f>IF(
(AND('(直掃)RX Mapping'!R14&gt;=0,'(直掃)RX Mapping'!R14&lt;=480)),
(MOD('(直掃)RX Mapping'!R14,120)-1),
IF(
(AND('(直掃)RX Mapping'!R14&gt;=480,'(直掃)RX Mapping'!R14&lt;=960)),
IF(MOD('(直掃)RX Mapping'!R14,120)=0, 120, 240-MOD('(直掃)RX Mapping'!R14,120)),9999))+IF(AND(MOD('(直掃)RX Mapping'!R14,120)=0, '(直掃)RX Mapping'!R14 &lt;= 480,  '(直掃)RX Mapping'!R14 &gt; 0), 120)</f>
        <v>47</v>
      </c>
      <c r="S14">
        <f>IF(
(AND('(直掃)RX Mapping'!S14&gt;=0,'(直掃)RX Mapping'!S14&lt;=480)),
(MOD('(直掃)RX Mapping'!S14,120)-1),
IF(
(AND('(直掃)RX Mapping'!S14&gt;=480,'(直掃)RX Mapping'!S14&lt;=960)),
IF(MOD('(直掃)RX Mapping'!S14,120)=0, 120, 240-MOD('(直掃)RX Mapping'!S14,120)),9999))+IF(AND(MOD('(直掃)RX Mapping'!S14,120)=0, '(直掃)RX Mapping'!S14 &lt;= 480,  '(直掃)RX Mapping'!S14 &gt; 0), 120)</f>
        <v>17</v>
      </c>
      <c r="T14">
        <f>IF(
(AND('(直掃)RX Mapping'!T14&gt;=0,'(直掃)RX Mapping'!T14&lt;=480)),
(MOD('(直掃)RX Mapping'!T14,120)-1),
IF(
(AND('(直掃)RX Mapping'!T14&gt;=480,'(直掃)RX Mapping'!T14&lt;=960)),
IF(MOD('(直掃)RX Mapping'!T14,120)=0, 120, 240-MOD('(直掃)RX Mapping'!T14,120)),9999))+IF(AND(MOD('(直掃)RX Mapping'!T14,120)=0, '(直掃)RX Mapping'!T14 &lt;= 480,  '(直掃)RX Mapping'!T14 &gt; 0), 120)</f>
        <v>107</v>
      </c>
      <c r="U14">
        <f>IF(
(AND('(直掃)RX Mapping'!U14&gt;=0,'(直掃)RX Mapping'!U14&lt;=480)),
(MOD('(直掃)RX Mapping'!U14,120)-1),
IF(
(AND('(直掃)RX Mapping'!U14&gt;=480,'(直掃)RX Mapping'!U14&lt;=960)),
IF(MOD('(直掃)RX Mapping'!U14,120)=0, 120, 240-MOD('(直掃)RX Mapping'!U14,120)),9999))+IF(AND(MOD('(直掃)RX Mapping'!U14,120)=0, '(直掃)RX Mapping'!U14 &lt;= 480,  '(直掃)RX Mapping'!U14 &gt; 0), 120)</f>
        <v>77</v>
      </c>
      <c r="V14">
        <f>IF(
(AND('(直掃)RX Mapping'!V14&gt;=0,'(直掃)RX Mapping'!V14&lt;=480)),
(MOD('(直掃)RX Mapping'!V14,120)-1),
IF(
(AND('(直掃)RX Mapping'!V14&gt;=480,'(直掃)RX Mapping'!V14&lt;=960)),
IF(MOD('(直掃)RX Mapping'!V14,120)=0, 120, 240-MOD('(直掃)RX Mapping'!V14,120)),9999))+IF(AND(MOD('(直掃)RX Mapping'!V14,120)=0, '(直掃)RX Mapping'!V14 &lt;= 480,  '(直掃)RX Mapping'!V14 &gt; 0), 120)</f>
        <v>47</v>
      </c>
      <c r="W14">
        <f>IF(
(AND('(直掃)RX Mapping'!W14&gt;=0,'(直掃)RX Mapping'!W14&lt;=480)),
(MOD('(直掃)RX Mapping'!W14,120)-1),
IF(
(AND('(直掃)RX Mapping'!W14&gt;=480,'(直掃)RX Mapping'!W14&lt;=960)),
IF(MOD('(直掃)RX Mapping'!W14,120)=0, 120, 240-MOD('(直掃)RX Mapping'!W14,120)),9999))+IF(AND(MOD('(直掃)RX Mapping'!W14,120)=0, '(直掃)RX Mapping'!W14 &lt;= 480,  '(直掃)RX Mapping'!W14 &gt; 0), 120)</f>
        <v>17</v>
      </c>
      <c r="X14">
        <f>IF(
(AND('(直掃)RX Mapping'!X14&gt;=0,'(直掃)RX Mapping'!X14&lt;=480)),
(MOD('(直掃)RX Mapping'!X14,120)-1),
IF(
(AND('(直掃)RX Mapping'!X14&gt;=480,'(直掃)RX Mapping'!X14&lt;=960)),
IF(MOD('(直掃)RX Mapping'!X14,120)=0, 120, 240-MOD('(直掃)RX Mapping'!X14,120)),9999))+IF(AND(MOD('(直掃)RX Mapping'!X14,120)=0, '(直掃)RX Mapping'!X14 &lt;= 480,  '(直掃)RX Mapping'!X14 &gt; 0), 120)</f>
        <v>77</v>
      </c>
      <c r="Y14">
        <f>IF(
(AND('(直掃)RX Mapping'!Y14&gt;=0,'(直掃)RX Mapping'!Y14&lt;=480)),
(MOD('(直掃)RX Mapping'!Y14,120)-1),
IF(
(AND('(直掃)RX Mapping'!Y14&gt;=480,'(直掃)RX Mapping'!Y14&lt;=960)),
IF(MOD('(直掃)RX Mapping'!Y14,120)=0, 120, 240-MOD('(直掃)RX Mapping'!Y14,120)),9999))+IF(AND(MOD('(直掃)RX Mapping'!Y14,120)=0, '(直掃)RX Mapping'!Y14 &lt;= 480,  '(直掃)RX Mapping'!Y14 &gt; 0), 120)</f>
        <v>47</v>
      </c>
      <c r="Z14">
        <f>IF(
(AND('(直掃)RX Mapping'!Z14&gt;=0,'(直掃)RX Mapping'!Z14&lt;=480)),
(MOD('(直掃)RX Mapping'!Z14,120)-1),
IF(
(AND('(直掃)RX Mapping'!Z14&gt;=480,'(直掃)RX Mapping'!Z14&lt;=960)),
IF(MOD('(直掃)RX Mapping'!Z14,120)=0, 120, 240-MOD('(直掃)RX Mapping'!Z14,120)),9999))+IF(AND(MOD('(直掃)RX Mapping'!Z14,120)=0, '(直掃)RX Mapping'!Z14 &lt;= 480,  '(直掃)RX Mapping'!Z14 &gt; 0), 120)</f>
        <v>17</v>
      </c>
      <c r="AA14">
        <f>IF(
(AND('(直掃)RX Mapping'!AA14&gt;=0,'(直掃)RX Mapping'!AA14&lt;=480)),
(MOD('(直掃)RX Mapping'!AA14,120)-1),
IF(
(AND('(直掃)RX Mapping'!AA14&gt;=480,'(直掃)RX Mapping'!AA14&lt;=960)),
IF(MOD('(直掃)RX Mapping'!AA14,120)=0, 120, 240-MOD('(直掃)RX Mapping'!AA14,120)),9999))+IF(AND(MOD('(直掃)RX Mapping'!AA14,120)=0, '(直掃)RX Mapping'!AA14 &lt;= 480,  '(直掃)RX Mapping'!AA14 &gt; 0), 120)</f>
        <v>77</v>
      </c>
      <c r="AB14">
        <f>IF(
(AND('(直掃)RX Mapping'!AB14&gt;=0,'(直掃)RX Mapping'!AB14&lt;=480)),
(MOD('(直掃)RX Mapping'!AB14,120)-1),
IF(
(AND('(直掃)RX Mapping'!AB14&gt;=480,'(直掃)RX Mapping'!AB14&lt;=960)),
IF(MOD('(直掃)RX Mapping'!AB14,120)=0, 120, 240-MOD('(直掃)RX Mapping'!AB14,120)),9999))+IF(AND(MOD('(直掃)RX Mapping'!AB14,120)=0, '(直掃)RX Mapping'!AB14 &lt;= 480,  '(直掃)RX Mapping'!AB14 &gt; 0), 120)</f>
        <v>47</v>
      </c>
      <c r="AC14">
        <f>IF(
(AND('(直掃)RX Mapping'!AC14&gt;=0,'(直掃)RX Mapping'!AC14&lt;=480)),
(MOD('(直掃)RX Mapping'!AC14,120)-1),
IF(
(AND('(直掃)RX Mapping'!AC14&gt;=480,'(直掃)RX Mapping'!AC14&lt;=960)),
IF(MOD('(直掃)RX Mapping'!AC14,120)=0, 120, 240-MOD('(直掃)RX Mapping'!AC14,120)),9999))+IF(AND(MOD('(直掃)RX Mapping'!AC14,120)=0, '(直掃)RX Mapping'!AC14 &lt;= 480,  '(直掃)RX Mapping'!AC14 &gt; 0), 120)</f>
        <v>17</v>
      </c>
      <c r="AD14">
        <f>IF(
(AND('(直掃)RX Mapping'!AD14&gt;=0,'(直掃)RX Mapping'!AD14&lt;=480)),
(MOD('(直掃)RX Mapping'!AD14,120)-1),
IF(
(AND('(直掃)RX Mapping'!AD14&gt;=480,'(直掃)RX Mapping'!AD14&lt;=960)),
IF(MOD('(直掃)RX Mapping'!AD14,120)=0, 120, 240-MOD('(直掃)RX Mapping'!AD14,120)),9999))+IF(AND(MOD('(直掃)RX Mapping'!AD14,120)=0, '(直掃)RX Mapping'!AD14 &lt;= 480,  '(直掃)RX Mapping'!AD14 &gt; 0), 120)</f>
        <v>-1</v>
      </c>
      <c r="AE14">
        <f>IF(
(AND('(直掃)RX Mapping'!AE14&gt;=0,'(直掃)RX Mapping'!AE14&lt;=480)),
(MOD('(直掃)RX Mapping'!AE14,120)-1),
IF(
(AND('(直掃)RX Mapping'!AE14&gt;=480,'(直掃)RX Mapping'!AE14&lt;=960)),
IF(MOD('(直掃)RX Mapping'!AE14,120)=0, 120, 240-MOD('(直掃)RX Mapping'!AE14,120)),9999))+IF(AND(MOD('(直掃)RX Mapping'!AE14,120)=0, '(直掃)RX Mapping'!AE14 &lt;= 480,  '(直掃)RX Mapping'!AE14 &gt; 0), 120)</f>
        <v>-1</v>
      </c>
      <c r="AF14">
        <f>IF(
(AND('(直掃)RX Mapping'!AF14&gt;=0,'(直掃)RX Mapping'!AF14&lt;=480)),
(MOD('(直掃)RX Mapping'!AF14,120)-1),
IF(
(AND('(直掃)RX Mapping'!AF14&gt;=480,'(直掃)RX Mapping'!AF14&lt;=960)),
IF(MOD('(直掃)RX Mapping'!AF14,120)=0, 120, 240-MOD('(直掃)RX Mapping'!AF14,120)),9999))+IF(AND(MOD('(直掃)RX Mapping'!AF14,120)=0, '(直掃)RX Mapping'!AF14 &lt;= 480,  '(直掃)RX Mapping'!AF14 &gt; 0), 120)</f>
        <v>-1</v>
      </c>
      <c r="AG14">
        <f>IF(
(AND('(直掃)RX Mapping'!AG14&gt;=0,'(直掃)RX Mapping'!AG14&lt;=480)),
(MOD('(直掃)RX Mapping'!AG14,120)-1),
IF(
(AND('(直掃)RX Mapping'!AG14&gt;=480,'(直掃)RX Mapping'!AG14&lt;=960)),
IF(MOD('(直掃)RX Mapping'!AG14,120)=0, 120, 240-MOD('(直掃)RX Mapping'!AG14,120)),9999))+IF(AND(MOD('(直掃)RX Mapping'!AG14,120)=0, '(直掃)RX Mapping'!AG14 &lt;= 480,  '(直掃)RX Mapping'!AG14 &gt; 0), 120)</f>
        <v>-1</v>
      </c>
      <c r="AH14">
        <f>IF(
(AND('(直掃)RX Mapping'!AH14&gt;=0,'(直掃)RX Mapping'!AH14&lt;=480)),
(MOD('(直掃)RX Mapping'!AH14,120)-1),
IF(
(AND('(直掃)RX Mapping'!AH14&gt;=480,'(直掃)RX Mapping'!AH14&lt;=960)),
IF(MOD('(直掃)RX Mapping'!AH14,120)=0, 120, 240-MOD('(直掃)RX Mapping'!AH14,120)),9999))+IF(AND(MOD('(直掃)RX Mapping'!AH14,120)=0, '(直掃)RX Mapping'!AH14 &lt;= 480,  '(直掃)RX Mapping'!AH14 &gt; 0), 120)</f>
        <v>-1</v>
      </c>
      <c r="AI14">
        <f>IF(
(AND('(直掃)RX Mapping'!AI14&gt;=0,'(直掃)RX Mapping'!AI14&lt;=480)),
(MOD('(直掃)RX Mapping'!AI14,120)-1),
IF(
(AND('(直掃)RX Mapping'!AI14&gt;=480,'(直掃)RX Mapping'!AI14&lt;=960)),
IF(MOD('(直掃)RX Mapping'!AI14,120)=0, 120, 240-MOD('(直掃)RX Mapping'!AI14,120)),9999))+IF(AND(MOD('(直掃)RX Mapping'!AI14,120)=0, '(直掃)RX Mapping'!AI14 &lt;= 480,  '(直掃)RX Mapping'!AI14 &gt; 0), 120)</f>
        <v>-1</v>
      </c>
      <c r="AJ14">
        <f>IF(
(AND('(直掃)RX Mapping'!AJ14&gt;=0,'(直掃)RX Mapping'!AJ14&lt;=480)),
(MOD('(直掃)RX Mapping'!AJ14,120)-1),
IF(
(AND('(直掃)RX Mapping'!AJ14&gt;=480,'(直掃)RX Mapping'!AJ14&lt;=960)),
IF(MOD('(直掃)RX Mapping'!AJ14,120)=0, 120, 240-MOD('(直掃)RX Mapping'!AJ14,120)),9999))+IF(AND(MOD('(直掃)RX Mapping'!AJ14,120)=0, '(直掃)RX Mapping'!AJ14 &lt;= 480,  '(直掃)RX Mapping'!AJ14 &gt; 0), 120)</f>
        <v>-1</v>
      </c>
      <c r="AK14">
        <f>IF(
(AND('(直掃)RX Mapping'!AK14&gt;=0,'(直掃)RX Mapping'!AK14&lt;=480)),
(MOD('(直掃)RX Mapping'!AK14,120)-1),
IF(
(AND('(直掃)RX Mapping'!AK14&gt;=480,'(直掃)RX Mapping'!AK14&lt;=960)),
IF(MOD('(直掃)RX Mapping'!AK14,120)=0, 120, 240-MOD('(直掃)RX Mapping'!AK14,120)),9999))+IF(AND(MOD('(直掃)RX Mapping'!AK14,120)=0, '(直掃)RX Mapping'!AK14 &lt;= 480,  '(直掃)RX Mapping'!AK14 &gt; 0), 120)</f>
        <v>-1</v>
      </c>
      <c r="AL14">
        <f>IF(
(AND('(直掃)RX Mapping'!AL14&gt;=0,'(直掃)RX Mapping'!AL14&lt;=480)),
(MOD('(直掃)RX Mapping'!AL14,120)-1),
IF(
(AND('(直掃)RX Mapping'!AL14&gt;=480,'(直掃)RX Mapping'!AL14&lt;=960)),
IF(MOD('(直掃)RX Mapping'!AL14,120)=0, 120, 240-MOD('(直掃)RX Mapping'!AL14,120)),9999))+IF(AND(MOD('(直掃)RX Mapping'!AL14,120)=0, '(直掃)RX Mapping'!AL14 &lt;= 480,  '(直掃)RX Mapping'!AL14 &gt; 0), 120)</f>
        <v>-1</v>
      </c>
      <c r="AM14">
        <f>IF(
(AND('(直掃)RX Mapping'!AM14&gt;=0,'(直掃)RX Mapping'!AM14&lt;=480)),
(MOD('(直掃)RX Mapping'!AM14,120)-1),
IF(
(AND('(直掃)RX Mapping'!AM14&gt;=480,'(直掃)RX Mapping'!AM14&lt;=960)),
IF(MOD('(直掃)RX Mapping'!AM14,120)=0, 120, 240-MOD('(直掃)RX Mapping'!AM14,120)),9999))+IF(AND(MOD('(直掃)RX Mapping'!AM14,120)=0, '(直掃)RX Mapping'!AM14 &lt;= 480,  '(直掃)RX Mapping'!AM14 &gt; 0), 120)</f>
        <v>-1</v>
      </c>
      <c r="AN14">
        <f>IF(
(AND('(直掃)RX Mapping'!AN14&gt;=0,'(直掃)RX Mapping'!AN14&lt;=480)),
(MOD('(直掃)RX Mapping'!AN14,120)-1),
IF(
(AND('(直掃)RX Mapping'!AN14&gt;=480,'(直掃)RX Mapping'!AN14&lt;=960)),
IF(MOD('(直掃)RX Mapping'!AN14,120)=0, 120, 240-MOD('(直掃)RX Mapping'!AN14,120)),9999))+IF(AND(MOD('(直掃)RX Mapping'!AN14,120)=0, '(直掃)RX Mapping'!AN14 &lt;= 480,  '(直掃)RX Mapping'!AN14 &gt; 0), 120)</f>
        <v>-1</v>
      </c>
      <c r="AO14">
        <f>IF(
(AND('(直掃)RX Mapping'!AO14&gt;=0,'(直掃)RX Mapping'!AO14&lt;=480)),
(MOD('(直掃)RX Mapping'!AO14,120)-1),
IF(
(AND('(直掃)RX Mapping'!AO14&gt;=480,'(直掃)RX Mapping'!AO14&lt;=960)),
IF(MOD('(直掃)RX Mapping'!AO14,120)=0, 120, 240-MOD('(直掃)RX Mapping'!AO14,120)),9999))+IF(AND(MOD('(直掃)RX Mapping'!AO14,120)=0, '(直掃)RX Mapping'!AO14 &lt;= 480,  '(直掃)RX Mapping'!AO14 &gt; 0), 120)</f>
        <v>-1</v>
      </c>
      <c r="AP14">
        <f>IF(
(AND('(直掃)RX Mapping'!AP14&gt;=0,'(直掃)RX Mapping'!AP14&lt;=480)),
(MOD('(直掃)RX Mapping'!AP14,120)-1),
IF(
(AND('(直掃)RX Mapping'!AP14&gt;=480,'(直掃)RX Mapping'!AP14&lt;=960)),
IF(MOD('(直掃)RX Mapping'!AP14,120)=0, 120, 240-MOD('(直掃)RX Mapping'!AP14,120)),9999))+IF(AND(MOD('(直掃)RX Mapping'!AP14,120)=0, '(直掃)RX Mapping'!AP14 &lt;= 480,  '(直掃)RX Mapping'!AP14 &gt; 0), 120)</f>
        <v>-1</v>
      </c>
      <c r="AQ14">
        <f>IF(
(AND('(直掃)RX Mapping'!AQ14&gt;=0,'(直掃)RX Mapping'!AQ14&lt;=480)),
(MOD('(直掃)RX Mapping'!AQ14,120)-1),
IF(
(AND('(直掃)RX Mapping'!AQ14&gt;=480,'(直掃)RX Mapping'!AQ14&lt;=960)),
IF(MOD('(直掃)RX Mapping'!AQ14,120)=0, 120, 240-MOD('(直掃)RX Mapping'!AQ14,120)),9999))+IF(AND(MOD('(直掃)RX Mapping'!AQ14,120)=0, '(直掃)RX Mapping'!AQ14 &lt;= 480,  '(直掃)RX Mapping'!AQ14 &gt; 0), 120)</f>
        <v>-1</v>
      </c>
      <c r="AR14">
        <f>IF(
(AND('(直掃)RX Mapping'!AR14&gt;=0,'(直掃)RX Mapping'!AR14&lt;=480)),
(MOD('(直掃)RX Mapping'!AR14,120)-1),
IF(
(AND('(直掃)RX Mapping'!AR14&gt;=480,'(直掃)RX Mapping'!AR14&lt;=960)),
IF(MOD('(直掃)RX Mapping'!AR14,120)=0, 120, 240-MOD('(直掃)RX Mapping'!AR14,120)),9999))+IF(AND(MOD('(直掃)RX Mapping'!AR14,120)=0, '(直掃)RX Mapping'!AR14 &lt;= 480,  '(直掃)RX Mapping'!AR14 &gt; 0), 120)</f>
        <v>-1</v>
      </c>
      <c r="AS14">
        <f>IF(
(AND('(直掃)RX Mapping'!AS14&gt;=0,'(直掃)RX Mapping'!AS14&lt;=480)),
(MOD('(直掃)RX Mapping'!AS14,120)-1),
IF(
(AND('(直掃)RX Mapping'!AS14&gt;=480,'(直掃)RX Mapping'!AS14&lt;=960)),
IF(MOD('(直掃)RX Mapping'!AS14,120)=0, 120, 240-MOD('(直掃)RX Mapping'!AS14,120)),9999))+IF(AND(MOD('(直掃)RX Mapping'!AS14,120)=0, '(直掃)RX Mapping'!AS14 &lt;= 480,  '(直掃)RX Mapping'!AS14 &gt; 0), 120)</f>
        <v>-1</v>
      </c>
      <c r="AT14">
        <f>IF(AND('(橫掃)RX Mapping'!AT14&gt;=1,'(橫掃)RX Mapping'!AT14&lt;=120), ('(橫掃)RX Mapping'!AT14-1),IF(AND('(橫掃)RX Mapping'!AT14&gt;=121,'(橫掃)RX Mapping'!AT14&lt;=240), (-1)*('(橫掃)RX Mapping'!AT14-240),IF(AND('(橫掃)RX Mapping'!AT14&gt;=241,'(橫掃)RX Mapping'!AT14&lt;=360), ('(橫掃)RX Mapping'!AT14-241),IF(AND('(橫掃)RX Mapping'!AT14&gt;=361,'(橫掃)RX Mapping'!AT14&lt;=480), (-1)*('(橫掃)RX Mapping'!AT14-480),IF(AND('(橫掃)RX Mapping'!AT14&gt;=481,'(橫掃)RX Mapping'!AT14&lt;=600), ('(橫掃)RX Mapping'!AT14-361),IF(AND('(橫掃)RX Mapping'!AT14&gt;=601,'(橫掃)RX Mapping'!AT14&lt;=720), (-1)*('(橫掃)RX Mapping'!AT14-720)+120,IF(AND('(橫掃)RX Mapping'!AT14&gt;=721,'(橫掃)RX Mapping'!AT14&lt;=840), ('(橫掃)RX Mapping'!AT14-601),IF(AND('(橫掃)RX Mapping'!AT14&gt;=841,'(橫掃)RX Mapping'!AT14&lt;=960), (-1)*('(橫掃)RX Mapping'!AT14-960)+120,9999))))))))</f>
        <v>9999</v>
      </c>
      <c r="AU14">
        <f>IF(AND('(橫掃)RX Mapping'!AU14&gt;=1,'(橫掃)RX Mapping'!AU14&lt;=120), ('(橫掃)RX Mapping'!AU14-1),IF(AND('(橫掃)RX Mapping'!AU14&gt;=121,'(橫掃)RX Mapping'!AU14&lt;=240), (-1)*('(橫掃)RX Mapping'!AU14-240),IF(AND('(橫掃)RX Mapping'!AU14&gt;=241,'(橫掃)RX Mapping'!AU14&lt;=360), ('(橫掃)RX Mapping'!AU14-241),IF(AND('(橫掃)RX Mapping'!AU14&gt;=361,'(橫掃)RX Mapping'!AU14&lt;=480), (-1)*('(橫掃)RX Mapping'!AU14-480),IF(AND('(橫掃)RX Mapping'!AU14&gt;=481,'(橫掃)RX Mapping'!AU14&lt;=600), ('(橫掃)RX Mapping'!AU14-361),IF(AND('(橫掃)RX Mapping'!AU14&gt;=601,'(橫掃)RX Mapping'!AU14&lt;=720), (-1)*('(橫掃)RX Mapping'!AU14-720)+120,IF(AND('(橫掃)RX Mapping'!AU14&gt;=721,'(橫掃)RX Mapping'!AU14&lt;=840), ('(橫掃)RX Mapping'!AU14-601),IF(AND('(橫掃)RX Mapping'!AU14&gt;=841,'(橫掃)RX Mapping'!AU14&lt;=960), (-1)*('(橫掃)RX Mapping'!AU14-960)+120,9999))))))))</f>
        <v>9999</v>
      </c>
      <c r="AV14">
        <f>IF(AND('(橫掃)RX Mapping'!AV14&gt;=1,'(橫掃)RX Mapping'!AV14&lt;=120), ('(橫掃)RX Mapping'!AV14-1),IF(AND('(橫掃)RX Mapping'!AV14&gt;=121,'(橫掃)RX Mapping'!AV14&lt;=240), (-1)*('(橫掃)RX Mapping'!AV14-240),IF(AND('(橫掃)RX Mapping'!AV14&gt;=241,'(橫掃)RX Mapping'!AV14&lt;=360), ('(橫掃)RX Mapping'!AV14-241),IF(AND('(橫掃)RX Mapping'!AV14&gt;=361,'(橫掃)RX Mapping'!AV14&lt;=480), (-1)*('(橫掃)RX Mapping'!AV14-480),IF(AND('(橫掃)RX Mapping'!AV14&gt;=481,'(橫掃)RX Mapping'!AV14&lt;=600), ('(橫掃)RX Mapping'!AV14-361),IF(AND('(橫掃)RX Mapping'!AV14&gt;=601,'(橫掃)RX Mapping'!AV14&lt;=720), (-1)*('(橫掃)RX Mapping'!AV14-720)+120,IF(AND('(橫掃)RX Mapping'!AV14&gt;=721,'(橫掃)RX Mapping'!AV14&lt;=840), ('(橫掃)RX Mapping'!AV14-601),IF(AND('(橫掃)RX Mapping'!AV14&gt;=841,'(橫掃)RX Mapping'!AV14&lt;=960), (-1)*('(橫掃)RX Mapping'!AV14-960)+120,9999))))))))</f>
        <v>9999</v>
      </c>
      <c r="AW14">
        <f>IF(AND('(橫掃)RX Mapping'!AW14&gt;=1,'(橫掃)RX Mapping'!AW14&lt;=120), ('(橫掃)RX Mapping'!AW14-1),IF(AND('(橫掃)RX Mapping'!AW14&gt;=121,'(橫掃)RX Mapping'!AW14&lt;=240), (-1)*('(橫掃)RX Mapping'!AW14-240),IF(AND('(橫掃)RX Mapping'!AW14&gt;=241,'(橫掃)RX Mapping'!AW14&lt;=360), ('(橫掃)RX Mapping'!AW14-241),IF(AND('(橫掃)RX Mapping'!AW14&gt;=361,'(橫掃)RX Mapping'!AW14&lt;=480), (-1)*('(橫掃)RX Mapping'!AW14-480),IF(AND('(橫掃)RX Mapping'!AW14&gt;=481,'(橫掃)RX Mapping'!AW14&lt;=600), ('(橫掃)RX Mapping'!AW14-361),IF(AND('(橫掃)RX Mapping'!AW14&gt;=601,'(橫掃)RX Mapping'!AW14&lt;=720), (-1)*('(橫掃)RX Mapping'!AW14-720)+120,IF(AND('(橫掃)RX Mapping'!AW14&gt;=721,'(橫掃)RX Mapping'!AW14&lt;=840), ('(橫掃)RX Mapping'!AW14-601),IF(AND('(橫掃)RX Mapping'!AW14&gt;=841,'(橫掃)RX Mapping'!AW14&lt;=960), (-1)*('(橫掃)RX Mapping'!AW14-960)+120,9999))))))))</f>
        <v>9999</v>
      </c>
      <c r="AX14">
        <f>IF(AND('(橫掃)RX Mapping'!AX14&gt;=1,'(橫掃)RX Mapping'!AX14&lt;=120), ('(橫掃)RX Mapping'!AX14-1),IF(AND('(橫掃)RX Mapping'!AX14&gt;=121,'(橫掃)RX Mapping'!AX14&lt;=240), (-1)*('(橫掃)RX Mapping'!AX14-240),IF(AND('(橫掃)RX Mapping'!AX14&gt;=241,'(橫掃)RX Mapping'!AX14&lt;=360), ('(橫掃)RX Mapping'!AX14-241),IF(AND('(橫掃)RX Mapping'!AX14&gt;=361,'(橫掃)RX Mapping'!AX14&lt;=480), (-1)*('(橫掃)RX Mapping'!AX14-480),IF(AND('(橫掃)RX Mapping'!AX14&gt;=481,'(橫掃)RX Mapping'!AX14&lt;=600), ('(橫掃)RX Mapping'!AX14-361),IF(AND('(橫掃)RX Mapping'!AX14&gt;=601,'(橫掃)RX Mapping'!AX14&lt;=720), (-1)*('(橫掃)RX Mapping'!AX14-720)+120,IF(AND('(橫掃)RX Mapping'!AX14&gt;=721,'(橫掃)RX Mapping'!AX14&lt;=840), ('(橫掃)RX Mapping'!AX14-601),IF(AND('(橫掃)RX Mapping'!AX14&gt;=841,'(橫掃)RX Mapping'!AX14&lt;=960), (-1)*('(橫掃)RX Mapping'!AX14-960)+120,9999))))))))</f>
        <v>9999</v>
      </c>
      <c r="AY14">
        <f>IF(AND('(橫掃)RX Mapping'!AY14&gt;=1,'(橫掃)RX Mapping'!AY14&lt;=120), ('(橫掃)RX Mapping'!AY14-1),IF(AND('(橫掃)RX Mapping'!AY14&gt;=121,'(橫掃)RX Mapping'!AY14&lt;=240), (-1)*('(橫掃)RX Mapping'!AY14-240),IF(AND('(橫掃)RX Mapping'!AY14&gt;=241,'(橫掃)RX Mapping'!AY14&lt;=360), ('(橫掃)RX Mapping'!AY14-241),IF(AND('(橫掃)RX Mapping'!AY14&gt;=361,'(橫掃)RX Mapping'!AY14&lt;=480), (-1)*('(橫掃)RX Mapping'!AY14-480),IF(AND('(橫掃)RX Mapping'!AY14&gt;=481,'(橫掃)RX Mapping'!AY14&lt;=600), ('(橫掃)RX Mapping'!AY14-361),IF(AND('(橫掃)RX Mapping'!AY14&gt;=601,'(橫掃)RX Mapping'!AY14&lt;=720), (-1)*('(橫掃)RX Mapping'!AY14-720)+120,IF(AND('(橫掃)RX Mapping'!AY14&gt;=721,'(橫掃)RX Mapping'!AY14&lt;=840), ('(橫掃)RX Mapping'!AY14-601),IF(AND('(橫掃)RX Mapping'!AY14&gt;=841,'(橫掃)RX Mapping'!AY14&lt;=960), (-1)*('(橫掃)RX Mapping'!AY14-960)+120,9999))))))))</f>
        <v>9999</v>
      </c>
      <c r="AZ14">
        <f>IF(AND('(橫掃)RX Mapping'!AZ14&gt;=1,'(橫掃)RX Mapping'!AZ14&lt;=120), ('(橫掃)RX Mapping'!AZ14-1),IF(AND('(橫掃)RX Mapping'!AZ14&gt;=121,'(橫掃)RX Mapping'!AZ14&lt;=240), (-1)*('(橫掃)RX Mapping'!AZ14-240),IF(AND('(橫掃)RX Mapping'!AZ14&gt;=241,'(橫掃)RX Mapping'!AZ14&lt;=360), ('(橫掃)RX Mapping'!AZ14-241),IF(AND('(橫掃)RX Mapping'!AZ14&gt;=361,'(橫掃)RX Mapping'!AZ14&lt;=480), (-1)*('(橫掃)RX Mapping'!AZ14-480),IF(AND('(橫掃)RX Mapping'!AZ14&gt;=481,'(橫掃)RX Mapping'!AZ14&lt;=600), ('(橫掃)RX Mapping'!AZ14-361),IF(AND('(橫掃)RX Mapping'!AZ14&gt;=601,'(橫掃)RX Mapping'!AZ14&lt;=720), (-1)*('(橫掃)RX Mapping'!AZ14-720)+120,IF(AND('(橫掃)RX Mapping'!AZ14&gt;=721,'(橫掃)RX Mapping'!AZ14&lt;=840), ('(橫掃)RX Mapping'!AZ14-601),IF(AND('(橫掃)RX Mapping'!AZ14&gt;=841,'(橫掃)RX Mapping'!AZ14&lt;=960), (-1)*('(橫掃)RX Mapping'!AZ14-960)+120,9999))))))))</f>
        <v>9999</v>
      </c>
      <c r="BA14">
        <f>IF(AND('(橫掃)RX Mapping'!BA14&gt;=1,'(橫掃)RX Mapping'!BA14&lt;=120), ('(橫掃)RX Mapping'!BA14-1),IF(AND('(橫掃)RX Mapping'!BA14&gt;=121,'(橫掃)RX Mapping'!BA14&lt;=240), (-1)*('(橫掃)RX Mapping'!BA14-240),IF(AND('(橫掃)RX Mapping'!BA14&gt;=241,'(橫掃)RX Mapping'!BA14&lt;=360), ('(橫掃)RX Mapping'!BA14-241),IF(AND('(橫掃)RX Mapping'!BA14&gt;=361,'(橫掃)RX Mapping'!BA14&lt;=480), (-1)*('(橫掃)RX Mapping'!BA14-480),IF(AND('(橫掃)RX Mapping'!BA14&gt;=481,'(橫掃)RX Mapping'!BA14&lt;=600), ('(橫掃)RX Mapping'!BA14-361),IF(AND('(橫掃)RX Mapping'!BA14&gt;=601,'(橫掃)RX Mapping'!BA14&lt;=720), (-1)*('(橫掃)RX Mapping'!BA14-720)+120,IF(AND('(橫掃)RX Mapping'!BA14&gt;=721,'(橫掃)RX Mapping'!BA14&lt;=840), ('(橫掃)RX Mapping'!BA14-601),IF(AND('(橫掃)RX Mapping'!BA14&gt;=841,'(橫掃)RX Mapping'!BA14&lt;=960), (-1)*('(橫掃)RX Mapping'!BA14-960)+120,9999))))))))</f>
        <v>9999</v>
      </c>
      <c r="BB14">
        <f>IF(AND('(橫掃)RX Mapping'!BB14&gt;=1,'(橫掃)RX Mapping'!BB14&lt;=120), ('(橫掃)RX Mapping'!BB14-1),IF(AND('(橫掃)RX Mapping'!BB14&gt;=121,'(橫掃)RX Mapping'!BB14&lt;=240), (-1)*('(橫掃)RX Mapping'!BB14-240),IF(AND('(橫掃)RX Mapping'!BB14&gt;=241,'(橫掃)RX Mapping'!BB14&lt;=360), ('(橫掃)RX Mapping'!BB14-241),IF(AND('(橫掃)RX Mapping'!BB14&gt;=361,'(橫掃)RX Mapping'!BB14&lt;=480), (-1)*('(橫掃)RX Mapping'!BB14-480),IF(AND('(橫掃)RX Mapping'!BB14&gt;=481,'(橫掃)RX Mapping'!BB14&lt;=600), ('(橫掃)RX Mapping'!BB14-361),IF(AND('(橫掃)RX Mapping'!BB14&gt;=601,'(橫掃)RX Mapping'!BB14&lt;=720), (-1)*('(橫掃)RX Mapping'!BB14-720)+120,IF(AND('(橫掃)RX Mapping'!BB14&gt;=721,'(橫掃)RX Mapping'!BB14&lt;=840), ('(橫掃)RX Mapping'!BB14-601),IF(AND('(橫掃)RX Mapping'!BB14&gt;=841,'(橫掃)RX Mapping'!BB14&lt;=960), (-1)*('(橫掃)RX Mapping'!BB14-960)+120,9999))))))))</f>
        <v>9999</v>
      </c>
      <c r="BC14">
        <f>IF(AND('(橫掃)RX Mapping'!BC14&gt;=1,'(橫掃)RX Mapping'!BC14&lt;=120), ('(橫掃)RX Mapping'!BC14-1),IF(AND('(橫掃)RX Mapping'!BC14&gt;=121,'(橫掃)RX Mapping'!BC14&lt;=240), (-1)*('(橫掃)RX Mapping'!BC14-240),IF(AND('(橫掃)RX Mapping'!BC14&gt;=241,'(橫掃)RX Mapping'!BC14&lt;=360), ('(橫掃)RX Mapping'!BC14-241),IF(AND('(橫掃)RX Mapping'!BC14&gt;=361,'(橫掃)RX Mapping'!BC14&lt;=480), (-1)*('(橫掃)RX Mapping'!BC14-480),IF(AND('(橫掃)RX Mapping'!BC14&gt;=481,'(橫掃)RX Mapping'!BC14&lt;=600), ('(橫掃)RX Mapping'!BC14-361),IF(AND('(橫掃)RX Mapping'!BC14&gt;=601,'(橫掃)RX Mapping'!BC14&lt;=720), (-1)*('(橫掃)RX Mapping'!BC14-720)+120,IF(AND('(橫掃)RX Mapping'!BC14&gt;=721,'(橫掃)RX Mapping'!BC14&lt;=840), ('(橫掃)RX Mapping'!BC14-601),IF(AND('(橫掃)RX Mapping'!BC14&gt;=841,'(橫掃)RX Mapping'!BC14&lt;=960), (-1)*('(橫掃)RX Mapping'!BC14-960)+120,9999))))))))</f>
        <v>9999</v>
      </c>
      <c r="BD14">
        <f>IF(AND('(橫掃)RX Mapping'!BD14&gt;=1,'(橫掃)RX Mapping'!BD14&lt;=120), ('(橫掃)RX Mapping'!BD14-1),IF(AND('(橫掃)RX Mapping'!BD14&gt;=121,'(橫掃)RX Mapping'!BD14&lt;=240), (-1)*('(橫掃)RX Mapping'!BD14-240),IF(AND('(橫掃)RX Mapping'!BD14&gt;=241,'(橫掃)RX Mapping'!BD14&lt;=360), ('(橫掃)RX Mapping'!BD14-241),IF(AND('(橫掃)RX Mapping'!BD14&gt;=361,'(橫掃)RX Mapping'!BD14&lt;=480), (-1)*('(橫掃)RX Mapping'!BD14-480),IF(AND('(橫掃)RX Mapping'!BD14&gt;=481,'(橫掃)RX Mapping'!BD14&lt;=600), ('(橫掃)RX Mapping'!BD14-361),IF(AND('(橫掃)RX Mapping'!BD14&gt;=601,'(橫掃)RX Mapping'!BD14&lt;=720), (-1)*('(橫掃)RX Mapping'!BD14-720)+120,IF(AND('(橫掃)RX Mapping'!BD14&gt;=721,'(橫掃)RX Mapping'!BD14&lt;=840), ('(橫掃)RX Mapping'!BD14-601),IF(AND('(橫掃)RX Mapping'!BD14&gt;=841,'(橫掃)RX Mapping'!BD14&lt;=960), (-1)*('(橫掃)RX Mapping'!BD14-960)+120,9999))))))))</f>
        <v>9999</v>
      </c>
      <c r="BE14">
        <f>IF(AND('(橫掃)RX Mapping'!BE14&gt;=1,'(橫掃)RX Mapping'!BE14&lt;=120), ('(橫掃)RX Mapping'!BE14-1),IF(AND('(橫掃)RX Mapping'!BE14&gt;=121,'(橫掃)RX Mapping'!BE14&lt;=240), (-1)*('(橫掃)RX Mapping'!BE14-240),IF(AND('(橫掃)RX Mapping'!BE14&gt;=241,'(橫掃)RX Mapping'!BE14&lt;=360), ('(橫掃)RX Mapping'!BE14-241),IF(AND('(橫掃)RX Mapping'!BE14&gt;=361,'(橫掃)RX Mapping'!BE14&lt;=480), (-1)*('(橫掃)RX Mapping'!BE14-480),IF(AND('(橫掃)RX Mapping'!BE14&gt;=481,'(橫掃)RX Mapping'!BE14&lt;=600), ('(橫掃)RX Mapping'!BE14-361),IF(AND('(橫掃)RX Mapping'!BE14&gt;=601,'(橫掃)RX Mapping'!BE14&lt;=720), (-1)*('(橫掃)RX Mapping'!BE14-720)+120,IF(AND('(橫掃)RX Mapping'!BE14&gt;=721,'(橫掃)RX Mapping'!BE14&lt;=840), ('(橫掃)RX Mapping'!BE14-601),IF(AND('(橫掃)RX Mapping'!BE14&gt;=841,'(橫掃)RX Mapping'!BE14&lt;=960), (-1)*('(橫掃)RX Mapping'!BE14-960)+120,9999))))))))</f>
        <v>9999</v>
      </c>
      <c r="BF14">
        <f>IF(AND('(橫掃)RX Mapping'!BF14&gt;=1,'(橫掃)RX Mapping'!BF14&lt;=120), ('(橫掃)RX Mapping'!BF14-1),IF(AND('(橫掃)RX Mapping'!BF14&gt;=121,'(橫掃)RX Mapping'!BF14&lt;=240), (-1)*('(橫掃)RX Mapping'!BF14-240),IF(AND('(橫掃)RX Mapping'!BF14&gt;=241,'(橫掃)RX Mapping'!BF14&lt;=360), ('(橫掃)RX Mapping'!BF14-241),IF(AND('(橫掃)RX Mapping'!BF14&gt;=361,'(橫掃)RX Mapping'!BF14&lt;=480), (-1)*('(橫掃)RX Mapping'!BF14-480),IF(AND('(橫掃)RX Mapping'!BF14&gt;=481,'(橫掃)RX Mapping'!BF14&lt;=600), ('(橫掃)RX Mapping'!BF14-361),IF(AND('(橫掃)RX Mapping'!BF14&gt;=601,'(橫掃)RX Mapping'!BF14&lt;=720), (-1)*('(橫掃)RX Mapping'!BF14-720)+120,IF(AND('(橫掃)RX Mapping'!BF14&gt;=721,'(橫掃)RX Mapping'!BF14&lt;=840), ('(橫掃)RX Mapping'!BF14-601),IF(AND('(橫掃)RX Mapping'!BF14&gt;=841,'(橫掃)RX Mapping'!BF14&lt;=960), (-1)*('(橫掃)RX Mapping'!BF14-960)+120,9999))))))))</f>
        <v>9999</v>
      </c>
      <c r="BG14">
        <f>IF(AND('(橫掃)RX Mapping'!BG14&gt;=1,'(橫掃)RX Mapping'!BG14&lt;=120), ('(橫掃)RX Mapping'!BG14-1),IF(AND('(橫掃)RX Mapping'!BG14&gt;=121,'(橫掃)RX Mapping'!BG14&lt;=240), (-1)*('(橫掃)RX Mapping'!BG14-240),IF(AND('(橫掃)RX Mapping'!BG14&gt;=241,'(橫掃)RX Mapping'!BG14&lt;=360), ('(橫掃)RX Mapping'!BG14-241),IF(AND('(橫掃)RX Mapping'!BG14&gt;=361,'(橫掃)RX Mapping'!BG14&lt;=480), (-1)*('(橫掃)RX Mapping'!BG14-480),IF(AND('(橫掃)RX Mapping'!BG14&gt;=481,'(橫掃)RX Mapping'!BG14&lt;=600), ('(橫掃)RX Mapping'!BG14-361),IF(AND('(橫掃)RX Mapping'!BG14&gt;=601,'(橫掃)RX Mapping'!BG14&lt;=720), (-1)*('(橫掃)RX Mapping'!BG14-720)+120,IF(AND('(橫掃)RX Mapping'!BG14&gt;=721,'(橫掃)RX Mapping'!BG14&lt;=840), ('(橫掃)RX Mapping'!BG14-601),IF(AND('(橫掃)RX Mapping'!BG14&gt;=841,'(橫掃)RX Mapping'!BG14&lt;=960), (-1)*('(橫掃)RX Mapping'!BG14-960)+120,9999))))))))</f>
        <v>9999</v>
      </c>
      <c r="BH14">
        <f>IF(AND('(橫掃)RX Mapping'!BH14&gt;=1,'(橫掃)RX Mapping'!BH14&lt;=120), ('(橫掃)RX Mapping'!BH14-1),IF(AND('(橫掃)RX Mapping'!BH14&gt;=121,'(橫掃)RX Mapping'!BH14&lt;=240), (-1)*('(橫掃)RX Mapping'!BH14-240),IF(AND('(橫掃)RX Mapping'!BH14&gt;=241,'(橫掃)RX Mapping'!BH14&lt;=360), ('(橫掃)RX Mapping'!BH14-241),IF(AND('(橫掃)RX Mapping'!BH14&gt;=361,'(橫掃)RX Mapping'!BH14&lt;=480), (-1)*('(橫掃)RX Mapping'!BH14-480),IF(AND('(橫掃)RX Mapping'!BH14&gt;=481,'(橫掃)RX Mapping'!BH14&lt;=600), ('(橫掃)RX Mapping'!BH14-361),IF(AND('(橫掃)RX Mapping'!BH14&gt;=601,'(橫掃)RX Mapping'!BH14&lt;=720), (-1)*('(橫掃)RX Mapping'!BH14-720)+120,IF(AND('(橫掃)RX Mapping'!BH14&gt;=721,'(橫掃)RX Mapping'!BH14&lt;=840), ('(橫掃)RX Mapping'!BH14-601),IF(AND('(橫掃)RX Mapping'!BH14&gt;=841,'(橫掃)RX Mapping'!BH14&lt;=960), (-1)*('(橫掃)RX Mapping'!BH14-960)+120,9999))))))))</f>
        <v>9999</v>
      </c>
      <c r="BI14">
        <f>IF(AND('(橫掃)RX Mapping'!BI14&gt;=1,'(橫掃)RX Mapping'!BI14&lt;=120), ('(橫掃)RX Mapping'!BI14-1),IF(AND('(橫掃)RX Mapping'!BI14&gt;=121,'(橫掃)RX Mapping'!BI14&lt;=240), (-1)*('(橫掃)RX Mapping'!BI14-240),IF(AND('(橫掃)RX Mapping'!BI14&gt;=241,'(橫掃)RX Mapping'!BI14&lt;=360), ('(橫掃)RX Mapping'!BI14-241),IF(AND('(橫掃)RX Mapping'!BI14&gt;=361,'(橫掃)RX Mapping'!BI14&lt;=480), (-1)*('(橫掃)RX Mapping'!BI14-480),IF(AND('(橫掃)RX Mapping'!BI14&gt;=481,'(橫掃)RX Mapping'!BI14&lt;=600), ('(橫掃)RX Mapping'!BI14-361),IF(AND('(橫掃)RX Mapping'!BI14&gt;=601,'(橫掃)RX Mapping'!BI14&lt;=720), (-1)*('(橫掃)RX Mapping'!BI14-720)+120,IF(AND('(橫掃)RX Mapping'!BI14&gt;=721,'(橫掃)RX Mapping'!BI14&lt;=840), ('(橫掃)RX Mapping'!BI14-601),IF(AND('(橫掃)RX Mapping'!BI14&gt;=841,'(橫掃)RX Mapping'!BI14&lt;=960), (-1)*('(橫掃)RX Mapping'!BI14-960)+120,9999))))))))</f>
        <v>9999</v>
      </c>
    </row>
    <row r="15" spans="1:61" x14ac:dyDescent="0.25">
      <c r="A15" s="20">
        <v>14</v>
      </c>
      <c r="B15">
        <f>IF(
(AND('(直掃)RX Mapping'!B15&gt;=0,'(直掃)RX Mapping'!B15&lt;=480)),
(MOD('(直掃)RX Mapping'!B15,120)-1),
IF(
(AND('(直掃)RX Mapping'!B15&gt;=480,'(直掃)RX Mapping'!B15&lt;=960)),
IF(MOD('(直掃)RX Mapping'!B15,120)=0, 120, 240-MOD('(直掃)RX Mapping'!B15,120)),9999))+IF(AND(MOD('(直掃)RX Mapping'!B15,120)=0, '(直掃)RX Mapping'!B15 &lt;= 480,  '(直掃)RX Mapping'!B15 &gt; 0), 120)</f>
        <v>133</v>
      </c>
      <c r="C15">
        <f>IF(
(AND('(直掃)RX Mapping'!C15&gt;=0,'(直掃)RX Mapping'!C15&lt;=480)),
(MOD('(直掃)RX Mapping'!C15,120)-1),
IF(
(AND('(直掃)RX Mapping'!C15&gt;=480,'(直掃)RX Mapping'!C15&lt;=960)),
IF(MOD('(直掃)RX Mapping'!C15,120)=0, 120, 240-MOD('(直掃)RX Mapping'!C15,120)),9999))+IF(AND(MOD('(直掃)RX Mapping'!C15,120)=0, '(直掃)RX Mapping'!C15 &lt;= 480,  '(直掃)RX Mapping'!C15 &gt; 0), 120)</f>
        <v>163</v>
      </c>
      <c r="D15">
        <f>IF(
(AND('(直掃)RX Mapping'!D15&gt;=0,'(直掃)RX Mapping'!D15&lt;=480)),
(MOD('(直掃)RX Mapping'!D15,120)-1),
IF(
(AND('(直掃)RX Mapping'!D15&gt;=480,'(直掃)RX Mapping'!D15&lt;=960)),
IF(MOD('(直掃)RX Mapping'!D15,120)=0, 120, 240-MOD('(直掃)RX Mapping'!D15,120)),9999))+IF(AND(MOD('(直掃)RX Mapping'!D15,120)=0, '(直掃)RX Mapping'!D15 &lt;= 480,  '(直掃)RX Mapping'!D15 &gt; 0), 120)</f>
        <v>193</v>
      </c>
      <c r="E15">
        <f>IF(
(AND('(直掃)RX Mapping'!E15&gt;=0,'(直掃)RX Mapping'!E15&lt;=480)),
(MOD('(直掃)RX Mapping'!E15,120)-1),
IF(
(AND('(直掃)RX Mapping'!E15&gt;=480,'(直掃)RX Mapping'!E15&lt;=960)),
IF(MOD('(直掃)RX Mapping'!E15,120)=0, 120, 240-MOD('(直掃)RX Mapping'!E15,120)),9999))+IF(AND(MOD('(直掃)RX Mapping'!E15,120)=0, '(直掃)RX Mapping'!E15 &lt;= 480,  '(直掃)RX Mapping'!E15 &gt; 0), 120)</f>
        <v>133</v>
      </c>
      <c r="F15">
        <f>IF(
(AND('(直掃)RX Mapping'!F15&gt;=0,'(直掃)RX Mapping'!F15&lt;=480)),
(MOD('(直掃)RX Mapping'!F15,120)-1),
IF(
(AND('(直掃)RX Mapping'!F15&gt;=480,'(直掃)RX Mapping'!F15&lt;=960)),
IF(MOD('(直掃)RX Mapping'!F15,120)=0, 120, 240-MOD('(直掃)RX Mapping'!F15,120)),9999))+IF(AND(MOD('(直掃)RX Mapping'!F15,120)=0, '(直掃)RX Mapping'!F15 &lt;= 480,  '(直掃)RX Mapping'!F15 &gt; 0), 120)</f>
        <v>163</v>
      </c>
      <c r="G15">
        <f>IF(
(AND('(直掃)RX Mapping'!G15&gt;=0,'(直掃)RX Mapping'!G15&lt;=480)),
(MOD('(直掃)RX Mapping'!G15,120)-1),
IF(
(AND('(直掃)RX Mapping'!G15&gt;=480,'(直掃)RX Mapping'!G15&lt;=960)),
IF(MOD('(直掃)RX Mapping'!G15,120)=0, 120, 240-MOD('(直掃)RX Mapping'!G15,120)),9999))+IF(AND(MOD('(直掃)RX Mapping'!G15,120)=0, '(直掃)RX Mapping'!G15 &lt;= 480,  '(直掃)RX Mapping'!G15 &gt; 0), 120)</f>
        <v>193</v>
      </c>
      <c r="H15">
        <f>IF(
(AND('(直掃)RX Mapping'!H15&gt;=0,'(直掃)RX Mapping'!H15&lt;=480)),
(MOD('(直掃)RX Mapping'!H15,120)-1),
IF(
(AND('(直掃)RX Mapping'!H15&gt;=480,'(直掃)RX Mapping'!H15&lt;=960)),
IF(MOD('(直掃)RX Mapping'!H15,120)=0, 120, 240-MOD('(直掃)RX Mapping'!H15,120)),9999))+IF(AND(MOD('(直掃)RX Mapping'!H15,120)=0, '(直掃)RX Mapping'!H15 &lt;= 480,  '(直掃)RX Mapping'!H15 &gt; 0), 120)</f>
        <v>133</v>
      </c>
      <c r="I15">
        <f>IF(
(AND('(直掃)RX Mapping'!I15&gt;=0,'(直掃)RX Mapping'!I15&lt;=480)),
(MOD('(直掃)RX Mapping'!I15,120)-1),
IF(
(AND('(直掃)RX Mapping'!I15&gt;=480,'(直掃)RX Mapping'!I15&lt;=960)),
IF(MOD('(直掃)RX Mapping'!I15,120)=0, 120, 240-MOD('(直掃)RX Mapping'!I15,120)),9999))+IF(AND(MOD('(直掃)RX Mapping'!I15,120)=0, '(直掃)RX Mapping'!I15 &lt;= 480,  '(直掃)RX Mapping'!I15 &gt; 0), 120)</f>
        <v>163</v>
      </c>
      <c r="J15">
        <f>IF(
(AND('(直掃)RX Mapping'!J15&gt;=0,'(直掃)RX Mapping'!J15&lt;=480)),
(MOD('(直掃)RX Mapping'!J15,120)-1),
IF(
(AND('(直掃)RX Mapping'!J15&gt;=480,'(直掃)RX Mapping'!J15&lt;=960)),
IF(MOD('(直掃)RX Mapping'!J15,120)=0, 120, 240-MOD('(直掃)RX Mapping'!J15,120)),9999))+IF(AND(MOD('(直掃)RX Mapping'!J15,120)=0, '(直掃)RX Mapping'!J15 &lt;= 480,  '(直掃)RX Mapping'!J15 &gt; 0), 120)</f>
        <v>193</v>
      </c>
      <c r="K15">
        <f>IF(
(AND('(直掃)RX Mapping'!K15&gt;=0,'(直掃)RX Mapping'!K15&lt;=480)),
(MOD('(直掃)RX Mapping'!K15,120)-1),
IF(
(AND('(直掃)RX Mapping'!K15&gt;=480,'(直掃)RX Mapping'!K15&lt;=960)),
IF(MOD('(直掃)RX Mapping'!K15,120)=0, 120, 240-MOD('(直掃)RX Mapping'!K15,120)),9999))+IF(AND(MOD('(直掃)RX Mapping'!K15,120)=0, '(直掃)RX Mapping'!K15 &lt;= 480,  '(直掃)RX Mapping'!K15 &gt; 0), 120)</f>
        <v>223</v>
      </c>
      <c r="L15">
        <f>IF(
(AND('(直掃)RX Mapping'!L15&gt;=0,'(直掃)RX Mapping'!L15&lt;=480)),
(MOD('(直掃)RX Mapping'!L15,120)-1),
IF(
(AND('(直掃)RX Mapping'!L15&gt;=480,'(直掃)RX Mapping'!L15&lt;=960)),
IF(MOD('(直掃)RX Mapping'!L15,120)=0, 120, 240-MOD('(直掃)RX Mapping'!L15,120)),9999))+IF(AND(MOD('(直掃)RX Mapping'!L15,120)=0, '(直掃)RX Mapping'!L15 &lt;= 480,  '(直掃)RX Mapping'!L15 &gt; 0), 120)</f>
        <v>133</v>
      </c>
      <c r="M15">
        <f>IF(
(AND('(直掃)RX Mapping'!M15&gt;=0,'(直掃)RX Mapping'!M15&lt;=480)),
(MOD('(直掃)RX Mapping'!M15,120)-1),
IF(
(AND('(直掃)RX Mapping'!M15&gt;=480,'(直掃)RX Mapping'!M15&lt;=960)),
IF(MOD('(直掃)RX Mapping'!M15,120)=0, 120, 240-MOD('(直掃)RX Mapping'!M15,120)),9999))+IF(AND(MOD('(直掃)RX Mapping'!M15,120)=0, '(直掃)RX Mapping'!M15 &lt;= 480,  '(直掃)RX Mapping'!M15 &gt; 0), 120)</f>
        <v>163</v>
      </c>
      <c r="N15">
        <f>IF(
(AND('(直掃)RX Mapping'!N15&gt;=0,'(直掃)RX Mapping'!N15&lt;=480)),
(MOD('(直掃)RX Mapping'!N15,120)-1),
IF(
(AND('(直掃)RX Mapping'!N15&gt;=480,'(直掃)RX Mapping'!N15&lt;=960)),
IF(MOD('(直掃)RX Mapping'!N15,120)=0, 120, 240-MOD('(直掃)RX Mapping'!N15,120)),9999))+IF(AND(MOD('(直掃)RX Mapping'!N15,120)=0, '(直掃)RX Mapping'!N15 &lt;= 480,  '(直掃)RX Mapping'!N15 &gt; 0), 120)</f>
        <v>193</v>
      </c>
      <c r="O15">
        <f>IF(
(AND('(直掃)RX Mapping'!O15&gt;=0,'(直掃)RX Mapping'!O15&lt;=480)),
(MOD('(直掃)RX Mapping'!O15,120)-1),
IF(
(AND('(直掃)RX Mapping'!O15&gt;=480,'(直掃)RX Mapping'!O15&lt;=960)),
IF(MOD('(直掃)RX Mapping'!O15,120)=0, 120, 240-MOD('(直掃)RX Mapping'!O15,120)),9999))+IF(AND(MOD('(直掃)RX Mapping'!O15,120)=0, '(直掃)RX Mapping'!O15 &lt;= 480,  '(直掃)RX Mapping'!O15 &gt; 0), 120)</f>
        <v>223</v>
      </c>
      <c r="P15">
        <f>IF(
(AND('(直掃)RX Mapping'!P15&gt;=0,'(直掃)RX Mapping'!P15&lt;=480)),
(MOD('(直掃)RX Mapping'!P15,120)-1),
IF(
(AND('(直掃)RX Mapping'!P15&gt;=480,'(直掃)RX Mapping'!P15&lt;=960)),
IF(MOD('(直掃)RX Mapping'!P15,120)=0, 120, 240-MOD('(直掃)RX Mapping'!P15,120)),9999))+IF(AND(MOD('(直掃)RX Mapping'!P15,120)=0, '(直掃)RX Mapping'!P15 &lt;= 480,  '(直掃)RX Mapping'!P15 &gt; 0), 120)</f>
        <v>106</v>
      </c>
      <c r="Q15">
        <f>IF(
(AND('(直掃)RX Mapping'!Q15&gt;=0,'(直掃)RX Mapping'!Q15&lt;=480)),
(MOD('(直掃)RX Mapping'!Q15,120)-1),
IF(
(AND('(直掃)RX Mapping'!Q15&gt;=480,'(直掃)RX Mapping'!Q15&lt;=960)),
IF(MOD('(直掃)RX Mapping'!Q15,120)=0, 120, 240-MOD('(直掃)RX Mapping'!Q15,120)),9999))+IF(AND(MOD('(直掃)RX Mapping'!Q15,120)=0, '(直掃)RX Mapping'!Q15 &lt;= 480,  '(直掃)RX Mapping'!Q15 &gt; 0), 120)</f>
        <v>76</v>
      </c>
      <c r="R15">
        <f>IF(
(AND('(直掃)RX Mapping'!R15&gt;=0,'(直掃)RX Mapping'!R15&lt;=480)),
(MOD('(直掃)RX Mapping'!R15,120)-1),
IF(
(AND('(直掃)RX Mapping'!R15&gt;=480,'(直掃)RX Mapping'!R15&lt;=960)),
IF(MOD('(直掃)RX Mapping'!R15,120)=0, 120, 240-MOD('(直掃)RX Mapping'!R15,120)),9999))+IF(AND(MOD('(直掃)RX Mapping'!R15,120)=0, '(直掃)RX Mapping'!R15 &lt;= 480,  '(直掃)RX Mapping'!R15 &gt; 0), 120)</f>
        <v>46</v>
      </c>
      <c r="S15">
        <f>IF(
(AND('(直掃)RX Mapping'!S15&gt;=0,'(直掃)RX Mapping'!S15&lt;=480)),
(MOD('(直掃)RX Mapping'!S15,120)-1),
IF(
(AND('(直掃)RX Mapping'!S15&gt;=480,'(直掃)RX Mapping'!S15&lt;=960)),
IF(MOD('(直掃)RX Mapping'!S15,120)=0, 120, 240-MOD('(直掃)RX Mapping'!S15,120)),9999))+IF(AND(MOD('(直掃)RX Mapping'!S15,120)=0, '(直掃)RX Mapping'!S15 &lt;= 480,  '(直掃)RX Mapping'!S15 &gt; 0), 120)</f>
        <v>16</v>
      </c>
      <c r="T15">
        <f>IF(
(AND('(直掃)RX Mapping'!T15&gt;=0,'(直掃)RX Mapping'!T15&lt;=480)),
(MOD('(直掃)RX Mapping'!T15,120)-1),
IF(
(AND('(直掃)RX Mapping'!T15&gt;=480,'(直掃)RX Mapping'!T15&lt;=960)),
IF(MOD('(直掃)RX Mapping'!T15,120)=0, 120, 240-MOD('(直掃)RX Mapping'!T15,120)),9999))+IF(AND(MOD('(直掃)RX Mapping'!T15,120)=0, '(直掃)RX Mapping'!T15 &lt;= 480,  '(直掃)RX Mapping'!T15 &gt; 0), 120)</f>
        <v>106</v>
      </c>
      <c r="U15">
        <f>IF(
(AND('(直掃)RX Mapping'!U15&gt;=0,'(直掃)RX Mapping'!U15&lt;=480)),
(MOD('(直掃)RX Mapping'!U15,120)-1),
IF(
(AND('(直掃)RX Mapping'!U15&gt;=480,'(直掃)RX Mapping'!U15&lt;=960)),
IF(MOD('(直掃)RX Mapping'!U15,120)=0, 120, 240-MOD('(直掃)RX Mapping'!U15,120)),9999))+IF(AND(MOD('(直掃)RX Mapping'!U15,120)=0, '(直掃)RX Mapping'!U15 &lt;= 480,  '(直掃)RX Mapping'!U15 &gt; 0), 120)</f>
        <v>76</v>
      </c>
      <c r="V15">
        <f>IF(
(AND('(直掃)RX Mapping'!V15&gt;=0,'(直掃)RX Mapping'!V15&lt;=480)),
(MOD('(直掃)RX Mapping'!V15,120)-1),
IF(
(AND('(直掃)RX Mapping'!V15&gt;=480,'(直掃)RX Mapping'!V15&lt;=960)),
IF(MOD('(直掃)RX Mapping'!V15,120)=0, 120, 240-MOD('(直掃)RX Mapping'!V15,120)),9999))+IF(AND(MOD('(直掃)RX Mapping'!V15,120)=0, '(直掃)RX Mapping'!V15 &lt;= 480,  '(直掃)RX Mapping'!V15 &gt; 0), 120)</f>
        <v>46</v>
      </c>
      <c r="W15">
        <f>IF(
(AND('(直掃)RX Mapping'!W15&gt;=0,'(直掃)RX Mapping'!W15&lt;=480)),
(MOD('(直掃)RX Mapping'!W15,120)-1),
IF(
(AND('(直掃)RX Mapping'!W15&gt;=480,'(直掃)RX Mapping'!W15&lt;=960)),
IF(MOD('(直掃)RX Mapping'!W15,120)=0, 120, 240-MOD('(直掃)RX Mapping'!W15,120)),9999))+IF(AND(MOD('(直掃)RX Mapping'!W15,120)=0, '(直掃)RX Mapping'!W15 &lt;= 480,  '(直掃)RX Mapping'!W15 &gt; 0), 120)</f>
        <v>16</v>
      </c>
      <c r="X15">
        <f>IF(
(AND('(直掃)RX Mapping'!X15&gt;=0,'(直掃)RX Mapping'!X15&lt;=480)),
(MOD('(直掃)RX Mapping'!X15,120)-1),
IF(
(AND('(直掃)RX Mapping'!X15&gt;=480,'(直掃)RX Mapping'!X15&lt;=960)),
IF(MOD('(直掃)RX Mapping'!X15,120)=0, 120, 240-MOD('(直掃)RX Mapping'!X15,120)),9999))+IF(AND(MOD('(直掃)RX Mapping'!X15,120)=0, '(直掃)RX Mapping'!X15 &lt;= 480,  '(直掃)RX Mapping'!X15 &gt; 0), 120)</f>
        <v>76</v>
      </c>
      <c r="Y15">
        <f>IF(
(AND('(直掃)RX Mapping'!Y15&gt;=0,'(直掃)RX Mapping'!Y15&lt;=480)),
(MOD('(直掃)RX Mapping'!Y15,120)-1),
IF(
(AND('(直掃)RX Mapping'!Y15&gt;=480,'(直掃)RX Mapping'!Y15&lt;=960)),
IF(MOD('(直掃)RX Mapping'!Y15,120)=0, 120, 240-MOD('(直掃)RX Mapping'!Y15,120)),9999))+IF(AND(MOD('(直掃)RX Mapping'!Y15,120)=0, '(直掃)RX Mapping'!Y15 &lt;= 480,  '(直掃)RX Mapping'!Y15 &gt; 0), 120)</f>
        <v>46</v>
      </c>
      <c r="Z15">
        <f>IF(
(AND('(直掃)RX Mapping'!Z15&gt;=0,'(直掃)RX Mapping'!Z15&lt;=480)),
(MOD('(直掃)RX Mapping'!Z15,120)-1),
IF(
(AND('(直掃)RX Mapping'!Z15&gt;=480,'(直掃)RX Mapping'!Z15&lt;=960)),
IF(MOD('(直掃)RX Mapping'!Z15,120)=0, 120, 240-MOD('(直掃)RX Mapping'!Z15,120)),9999))+IF(AND(MOD('(直掃)RX Mapping'!Z15,120)=0, '(直掃)RX Mapping'!Z15 &lt;= 480,  '(直掃)RX Mapping'!Z15 &gt; 0), 120)</f>
        <v>16</v>
      </c>
      <c r="AA15">
        <f>IF(
(AND('(直掃)RX Mapping'!AA15&gt;=0,'(直掃)RX Mapping'!AA15&lt;=480)),
(MOD('(直掃)RX Mapping'!AA15,120)-1),
IF(
(AND('(直掃)RX Mapping'!AA15&gt;=480,'(直掃)RX Mapping'!AA15&lt;=960)),
IF(MOD('(直掃)RX Mapping'!AA15,120)=0, 120, 240-MOD('(直掃)RX Mapping'!AA15,120)),9999))+IF(AND(MOD('(直掃)RX Mapping'!AA15,120)=0, '(直掃)RX Mapping'!AA15 &lt;= 480,  '(直掃)RX Mapping'!AA15 &gt; 0), 120)</f>
        <v>76</v>
      </c>
      <c r="AB15">
        <f>IF(
(AND('(直掃)RX Mapping'!AB15&gt;=0,'(直掃)RX Mapping'!AB15&lt;=480)),
(MOD('(直掃)RX Mapping'!AB15,120)-1),
IF(
(AND('(直掃)RX Mapping'!AB15&gt;=480,'(直掃)RX Mapping'!AB15&lt;=960)),
IF(MOD('(直掃)RX Mapping'!AB15,120)=0, 120, 240-MOD('(直掃)RX Mapping'!AB15,120)),9999))+IF(AND(MOD('(直掃)RX Mapping'!AB15,120)=0, '(直掃)RX Mapping'!AB15 &lt;= 480,  '(直掃)RX Mapping'!AB15 &gt; 0), 120)</f>
        <v>46</v>
      </c>
      <c r="AC15">
        <f>IF(
(AND('(直掃)RX Mapping'!AC15&gt;=0,'(直掃)RX Mapping'!AC15&lt;=480)),
(MOD('(直掃)RX Mapping'!AC15,120)-1),
IF(
(AND('(直掃)RX Mapping'!AC15&gt;=480,'(直掃)RX Mapping'!AC15&lt;=960)),
IF(MOD('(直掃)RX Mapping'!AC15,120)=0, 120, 240-MOD('(直掃)RX Mapping'!AC15,120)),9999))+IF(AND(MOD('(直掃)RX Mapping'!AC15,120)=0, '(直掃)RX Mapping'!AC15 &lt;= 480,  '(直掃)RX Mapping'!AC15 &gt; 0), 120)</f>
        <v>16</v>
      </c>
      <c r="AD15">
        <f>IF(
(AND('(直掃)RX Mapping'!AD15&gt;=0,'(直掃)RX Mapping'!AD15&lt;=480)),
(MOD('(直掃)RX Mapping'!AD15,120)-1),
IF(
(AND('(直掃)RX Mapping'!AD15&gt;=480,'(直掃)RX Mapping'!AD15&lt;=960)),
IF(MOD('(直掃)RX Mapping'!AD15,120)=0, 120, 240-MOD('(直掃)RX Mapping'!AD15,120)),9999))+IF(AND(MOD('(直掃)RX Mapping'!AD15,120)=0, '(直掃)RX Mapping'!AD15 &lt;= 480,  '(直掃)RX Mapping'!AD15 &gt; 0), 120)</f>
        <v>-1</v>
      </c>
      <c r="AE15">
        <f>IF(
(AND('(直掃)RX Mapping'!AE15&gt;=0,'(直掃)RX Mapping'!AE15&lt;=480)),
(MOD('(直掃)RX Mapping'!AE15,120)-1),
IF(
(AND('(直掃)RX Mapping'!AE15&gt;=480,'(直掃)RX Mapping'!AE15&lt;=960)),
IF(MOD('(直掃)RX Mapping'!AE15,120)=0, 120, 240-MOD('(直掃)RX Mapping'!AE15,120)),9999))+IF(AND(MOD('(直掃)RX Mapping'!AE15,120)=0, '(直掃)RX Mapping'!AE15 &lt;= 480,  '(直掃)RX Mapping'!AE15 &gt; 0), 120)</f>
        <v>-1</v>
      </c>
      <c r="AF15">
        <f>IF(
(AND('(直掃)RX Mapping'!AF15&gt;=0,'(直掃)RX Mapping'!AF15&lt;=480)),
(MOD('(直掃)RX Mapping'!AF15,120)-1),
IF(
(AND('(直掃)RX Mapping'!AF15&gt;=480,'(直掃)RX Mapping'!AF15&lt;=960)),
IF(MOD('(直掃)RX Mapping'!AF15,120)=0, 120, 240-MOD('(直掃)RX Mapping'!AF15,120)),9999))+IF(AND(MOD('(直掃)RX Mapping'!AF15,120)=0, '(直掃)RX Mapping'!AF15 &lt;= 480,  '(直掃)RX Mapping'!AF15 &gt; 0), 120)</f>
        <v>-1</v>
      </c>
      <c r="AG15">
        <f>IF(
(AND('(直掃)RX Mapping'!AG15&gt;=0,'(直掃)RX Mapping'!AG15&lt;=480)),
(MOD('(直掃)RX Mapping'!AG15,120)-1),
IF(
(AND('(直掃)RX Mapping'!AG15&gt;=480,'(直掃)RX Mapping'!AG15&lt;=960)),
IF(MOD('(直掃)RX Mapping'!AG15,120)=0, 120, 240-MOD('(直掃)RX Mapping'!AG15,120)),9999))+IF(AND(MOD('(直掃)RX Mapping'!AG15,120)=0, '(直掃)RX Mapping'!AG15 &lt;= 480,  '(直掃)RX Mapping'!AG15 &gt; 0), 120)</f>
        <v>-1</v>
      </c>
      <c r="AH15">
        <f>IF(
(AND('(直掃)RX Mapping'!AH15&gt;=0,'(直掃)RX Mapping'!AH15&lt;=480)),
(MOD('(直掃)RX Mapping'!AH15,120)-1),
IF(
(AND('(直掃)RX Mapping'!AH15&gt;=480,'(直掃)RX Mapping'!AH15&lt;=960)),
IF(MOD('(直掃)RX Mapping'!AH15,120)=0, 120, 240-MOD('(直掃)RX Mapping'!AH15,120)),9999))+IF(AND(MOD('(直掃)RX Mapping'!AH15,120)=0, '(直掃)RX Mapping'!AH15 &lt;= 480,  '(直掃)RX Mapping'!AH15 &gt; 0), 120)</f>
        <v>-1</v>
      </c>
      <c r="AI15">
        <f>IF(
(AND('(直掃)RX Mapping'!AI15&gt;=0,'(直掃)RX Mapping'!AI15&lt;=480)),
(MOD('(直掃)RX Mapping'!AI15,120)-1),
IF(
(AND('(直掃)RX Mapping'!AI15&gt;=480,'(直掃)RX Mapping'!AI15&lt;=960)),
IF(MOD('(直掃)RX Mapping'!AI15,120)=0, 120, 240-MOD('(直掃)RX Mapping'!AI15,120)),9999))+IF(AND(MOD('(直掃)RX Mapping'!AI15,120)=0, '(直掃)RX Mapping'!AI15 &lt;= 480,  '(直掃)RX Mapping'!AI15 &gt; 0), 120)</f>
        <v>-1</v>
      </c>
      <c r="AJ15">
        <f>IF(
(AND('(直掃)RX Mapping'!AJ15&gt;=0,'(直掃)RX Mapping'!AJ15&lt;=480)),
(MOD('(直掃)RX Mapping'!AJ15,120)-1),
IF(
(AND('(直掃)RX Mapping'!AJ15&gt;=480,'(直掃)RX Mapping'!AJ15&lt;=960)),
IF(MOD('(直掃)RX Mapping'!AJ15,120)=0, 120, 240-MOD('(直掃)RX Mapping'!AJ15,120)),9999))+IF(AND(MOD('(直掃)RX Mapping'!AJ15,120)=0, '(直掃)RX Mapping'!AJ15 &lt;= 480,  '(直掃)RX Mapping'!AJ15 &gt; 0), 120)</f>
        <v>-1</v>
      </c>
      <c r="AK15">
        <f>IF(
(AND('(直掃)RX Mapping'!AK15&gt;=0,'(直掃)RX Mapping'!AK15&lt;=480)),
(MOD('(直掃)RX Mapping'!AK15,120)-1),
IF(
(AND('(直掃)RX Mapping'!AK15&gt;=480,'(直掃)RX Mapping'!AK15&lt;=960)),
IF(MOD('(直掃)RX Mapping'!AK15,120)=0, 120, 240-MOD('(直掃)RX Mapping'!AK15,120)),9999))+IF(AND(MOD('(直掃)RX Mapping'!AK15,120)=0, '(直掃)RX Mapping'!AK15 &lt;= 480,  '(直掃)RX Mapping'!AK15 &gt; 0), 120)</f>
        <v>-1</v>
      </c>
      <c r="AL15">
        <f>IF(
(AND('(直掃)RX Mapping'!AL15&gt;=0,'(直掃)RX Mapping'!AL15&lt;=480)),
(MOD('(直掃)RX Mapping'!AL15,120)-1),
IF(
(AND('(直掃)RX Mapping'!AL15&gt;=480,'(直掃)RX Mapping'!AL15&lt;=960)),
IF(MOD('(直掃)RX Mapping'!AL15,120)=0, 120, 240-MOD('(直掃)RX Mapping'!AL15,120)),9999))+IF(AND(MOD('(直掃)RX Mapping'!AL15,120)=0, '(直掃)RX Mapping'!AL15 &lt;= 480,  '(直掃)RX Mapping'!AL15 &gt; 0), 120)</f>
        <v>-1</v>
      </c>
      <c r="AM15">
        <f>IF(
(AND('(直掃)RX Mapping'!AM15&gt;=0,'(直掃)RX Mapping'!AM15&lt;=480)),
(MOD('(直掃)RX Mapping'!AM15,120)-1),
IF(
(AND('(直掃)RX Mapping'!AM15&gt;=480,'(直掃)RX Mapping'!AM15&lt;=960)),
IF(MOD('(直掃)RX Mapping'!AM15,120)=0, 120, 240-MOD('(直掃)RX Mapping'!AM15,120)),9999))+IF(AND(MOD('(直掃)RX Mapping'!AM15,120)=0, '(直掃)RX Mapping'!AM15 &lt;= 480,  '(直掃)RX Mapping'!AM15 &gt; 0), 120)</f>
        <v>-1</v>
      </c>
      <c r="AN15">
        <f>IF(
(AND('(直掃)RX Mapping'!AN15&gt;=0,'(直掃)RX Mapping'!AN15&lt;=480)),
(MOD('(直掃)RX Mapping'!AN15,120)-1),
IF(
(AND('(直掃)RX Mapping'!AN15&gt;=480,'(直掃)RX Mapping'!AN15&lt;=960)),
IF(MOD('(直掃)RX Mapping'!AN15,120)=0, 120, 240-MOD('(直掃)RX Mapping'!AN15,120)),9999))+IF(AND(MOD('(直掃)RX Mapping'!AN15,120)=0, '(直掃)RX Mapping'!AN15 &lt;= 480,  '(直掃)RX Mapping'!AN15 &gt; 0), 120)</f>
        <v>-1</v>
      </c>
      <c r="AO15">
        <f>IF(
(AND('(直掃)RX Mapping'!AO15&gt;=0,'(直掃)RX Mapping'!AO15&lt;=480)),
(MOD('(直掃)RX Mapping'!AO15,120)-1),
IF(
(AND('(直掃)RX Mapping'!AO15&gt;=480,'(直掃)RX Mapping'!AO15&lt;=960)),
IF(MOD('(直掃)RX Mapping'!AO15,120)=0, 120, 240-MOD('(直掃)RX Mapping'!AO15,120)),9999))+IF(AND(MOD('(直掃)RX Mapping'!AO15,120)=0, '(直掃)RX Mapping'!AO15 &lt;= 480,  '(直掃)RX Mapping'!AO15 &gt; 0), 120)</f>
        <v>-1</v>
      </c>
      <c r="AP15">
        <f>IF(
(AND('(直掃)RX Mapping'!AP15&gt;=0,'(直掃)RX Mapping'!AP15&lt;=480)),
(MOD('(直掃)RX Mapping'!AP15,120)-1),
IF(
(AND('(直掃)RX Mapping'!AP15&gt;=480,'(直掃)RX Mapping'!AP15&lt;=960)),
IF(MOD('(直掃)RX Mapping'!AP15,120)=0, 120, 240-MOD('(直掃)RX Mapping'!AP15,120)),9999))+IF(AND(MOD('(直掃)RX Mapping'!AP15,120)=0, '(直掃)RX Mapping'!AP15 &lt;= 480,  '(直掃)RX Mapping'!AP15 &gt; 0), 120)</f>
        <v>-1</v>
      </c>
      <c r="AQ15">
        <f>IF(
(AND('(直掃)RX Mapping'!AQ15&gt;=0,'(直掃)RX Mapping'!AQ15&lt;=480)),
(MOD('(直掃)RX Mapping'!AQ15,120)-1),
IF(
(AND('(直掃)RX Mapping'!AQ15&gt;=480,'(直掃)RX Mapping'!AQ15&lt;=960)),
IF(MOD('(直掃)RX Mapping'!AQ15,120)=0, 120, 240-MOD('(直掃)RX Mapping'!AQ15,120)),9999))+IF(AND(MOD('(直掃)RX Mapping'!AQ15,120)=0, '(直掃)RX Mapping'!AQ15 &lt;= 480,  '(直掃)RX Mapping'!AQ15 &gt; 0), 120)</f>
        <v>-1</v>
      </c>
      <c r="AR15">
        <f>IF(
(AND('(直掃)RX Mapping'!AR15&gt;=0,'(直掃)RX Mapping'!AR15&lt;=480)),
(MOD('(直掃)RX Mapping'!AR15,120)-1),
IF(
(AND('(直掃)RX Mapping'!AR15&gt;=480,'(直掃)RX Mapping'!AR15&lt;=960)),
IF(MOD('(直掃)RX Mapping'!AR15,120)=0, 120, 240-MOD('(直掃)RX Mapping'!AR15,120)),9999))+IF(AND(MOD('(直掃)RX Mapping'!AR15,120)=0, '(直掃)RX Mapping'!AR15 &lt;= 480,  '(直掃)RX Mapping'!AR15 &gt; 0), 120)</f>
        <v>-1</v>
      </c>
      <c r="AS15">
        <f>IF(
(AND('(直掃)RX Mapping'!AS15&gt;=0,'(直掃)RX Mapping'!AS15&lt;=480)),
(MOD('(直掃)RX Mapping'!AS15,120)-1),
IF(
(AND('(直掃)RX Mapping'!AS15&gt;=480,'(直掃)RX Mapping'!AS15&lt;=960)),
IF(MOD('(直掃)RX Mapping'!AS15,120)=0, 120, 240-MOD('(直掃)RX Mapping'!AS15,120)),9999))+IF(AND(MOD('(直掃)RX Mapping'!AS15,120)=0, '(直掃)RX Mapping'!AS15 &lt;= 480,  '(直掃)RX Mapping'!AS15 &gt; 0), 120)</f>
        <v>-1</v>
      </c>
      <c r="AT15">
        <f>IF(AND('(橫掃)RX Mapping'!AT15&gt;=1,'(橫掃)RX Mapping'!AT15&lt;=120), ('(橫掃)RX Mapping'!AT15-1),IF(AND('(橫掃)RX Mapping'!AT15&gt;=121,'(橫掃)RX Mapping'!AT15&lt;=240), (-1)*('(橫掃)RX Mapping'!AT15-240),IF(AND('(橫掃)RX Mapping'!AT15&gt;=241,'(橫掃)RX Mapping'!AT15&lt;=360), ('(橫掃)RX Mapping'!AT15-241),IF(AND('(橫掃)RX Mapping'!AT15&gt;=361,'(橫掃)RX Mapping'!AT15&lt;=480), (-1)*('(橫掃)RX Mapping'!AT15-480),IF(AND('(橫掃)RX Mapping'!AT15&gt;=481,'(橫掃)RX Mapping'!AT15&lt;=600), ('(橫掃)RX Mapping'!AT15-361),IF(AND('(橫掃)RX Mapping'!AT15&gt;=601,'(橫掃)RX Mapping'!AT15&lt;=720), (-1)*('(橫掃)RX Mapping'!AT15-720)+120,IF(AND('(橫掃)RX Mapping'!AT15&gt;=721,'(橫掃)RX Mapping'!AT15&lt;=840), ('(橫掃)RX Mapping'!AT15-601),IF(AND('(橫掃)RX Mapping'!AT15&gt;=841,'(橫掃)RX Mapping'!AT15&lt;=960), (-1)*('(橫掃)RX Mapping'!AT15-960)+120,9999))))))))</f>
        <v>9999</v>
      </c>
      <c r="AU15">
        <f>IF(AND('(橫掃)RX Mapping'!AU15&gt;=1,'(橫掃)RX Mapping'!AU15&lt;=120), ('(橫掃)RX Mapping'!AU15-1),IF(AND('(橫掃)RX Mapping'!AU15&gt;=121,'(橫掃)RX Mapping'!AU15&lt;=240), (-1)*('(橫掃)RX Mapping'!AU15-240),IF(AND('(橫掃)RX Mapping'!AU15&gt;=241,'(橫掃)RX Mapping'!AU15&lt;=360), ('(橫掃)RX Mapping'!AU15-241),IF(AND('(橫掃)RX Mapping'!AU15&gt;=361,'(橫掃)RX Mapping'!AU15&lt;=480), (-1)*('(橫掃)RX Mapping'!AU15-480),IF(AND('(橫掃)RX Mapping'!AU15&gt;=481,'(橫掃)RX Mapping'!AU15&lt;=600), ('(橫掃)RX Mapping'!AU15-361),IF(AND('(橫掃)RX Mapping'!AU15&gt;=601,'(橫掃)RX Mapping'!AU15&lt;=720), (-1)*('(橫掃)RX Mapping'!AU15-720)+120,IF(AND('(橫掃)RX Mapping'!AU15&gt;=721,'(橫掃)RX Mapping'!AU15&lt;=840), ('(橫掃)RX Mapping'!AU15-601),IF(AND('(橫掃)RX Mapping'!AU15&gt;=841,'(橫掃)RX Mapping'!AU15&lt;=960), (-1)*('(橫掃)RX Mapping'!AU15-960)+120,9999))))))))</f>
        <v>9999</v>
      </c>
      <c r="AV15">
        <f>IF(AND('(橫掃)RX Mapping'!AV15&gt;=1,'(橫掃)RX Mapping'!AV15&lt;=120), ('(橫掃)RX Mapping'!AV15-1),IF(AND('(橫掃)RX Mapping'!AV15&gt;=121,'(橫掃)RX Mapping'!AV15&lt;=240), (-1)*('(橫掃)RX Mapping'!AV15-240),IF(AND('(橫掃)RX Mapping'!AV15&gt;=241,'(橫掃)RX Mapping'!AV15&lt;=360), ('(橫掃)RX Mapping'!AV15-241),IF(AND('(橫掃)RX Mapping'!AV15&gt;=361,'(橫掃)RX Mapping'!AV15&lt;=480), (-1)*('(橫掃)RX Mapping'!AV15-480),IF(AND('(橫掃)RX Mapping'!AV15&gt;=481,'(橫掃)RX Mapping'!AV15&lt;=600), ('(橫掃)RX Mapping'!AV15-361),IF(AND('(橫掃)RX Mapping'!AV15&gt;=601,'(橫掃)RX Mapping'!AV15&lt;=720), (-1)*('(橫掃)RX Mapping'!AV15-720)+120,IF(AND('(橫掃)RX Mapping'!AV15&gt;=721,'(橫掃)RX Mapping'!AV15&lt;=840), ('(橫掃)RX Mapping'!AV15-601),IF(AND('(橫掃)RX Mapping'!AV15&gt;=841,'(橫掃)RX Mapping'!AV15&lt;=960), (-1)*('(橫掃)RX Mapping'!AV15-960)+120,9999))))))))</f>
        <v>9999</v>
      </c>
      <c r="AW15">
        <f>IF(AND('(橫掃)RX Mapping'!AW15&gt;=1,'(橫掃)RX Mapping'!AW15&lt;=120), ('(橫掃)RX Mapping'!AW15-1),IF(AND('(橫掃)RX Mapping'!AW15&gt;=121,'(橫掃)RX Mapping'!AW15&lt;=240), (-1)*('(橫掃)RX Mapping'!AW15-240),IF(AND('(橫掃)RX Mapping'!AW15&gt;=241,'(橫掃)RX Mapping'!AW15&lt;=360), ('(橫掃)RX Mapping'!AW15-241),IF(AND('(橫掃)RX Mapping'!AW15&gt;=361,'(橫掃)RX Mapping'!AW15&lt;=480), (-1)*('(橫掃)RX Mapping'!AW15-480),IF(AND('(橫掃)RX Mapping'!AW15&gt;=481,'(橫掃)RX Mapping'!AW15&lt;=600), ('(橫掃)RX Mapping'!AW15-361),IF(AND('(橫掃)RX Mapping'!AW15&gt;=601,'(橫掃)RX Mapping'!AW15&lt;=720), (-1)*('(橫掃)RX Mapping'!AW15-720)+120,IF(AND('(橫掃)RX Mapping'!AW15&gt;=721,'(橫掃)RX Mapping'!AW15&lt;=840), ('(橫掃)RX Mapping'!AW15-601),IF(AND('(橫掃)RX Mapping'!AW15&gt;=841,'(橫掃)RX Mapping'!AW15&lt;=960), (-1)*('(橫掃)RX Mapping'!AW15-960)+120,9999))))))))</f>
        <v>9999</v>
      </c>
      <c r="AX15">
        <f>IF(AND('(橫掃)RX Mapping'!AX15&gt;=1,'(橫掃)RX Mapping'!AX15&lt;=120), ('(橫掃)RX Mapping'!AX15-1),IF(AND('(橫掃)RX Mapping'!AX15&gt;=121,'(橫掃)RX Mapping'!AX15&lt;=240), (-1)*('(橫掃)RX Mapping'!AX15-240),IF(AND('(橫掃)RX Mapping'!AX15&gt;=241,'(橫掃)RX Mapping'!AX15&lt;=360), ('(橫掃)RX Mapping'!AX15-241),IF(AND('(橫掃)RX Mapping'!AX15&gt;=361,'(橫掃)RX Mapping'!AX15&lt;=480), (-1)*('(橫掃)RX Mapping'!AX15-480),IF(AND('(橫掃)RX Mapping'!AX15&gt;=481,'(橫掃)RX Mapping'!AX15&lt;=600), ('(橫掃)RX Mapping'!AX15-361),IF(AND('(橫掃)RX Mapping'!AX15&gt;=601,'(橫掃)RX Mapping'!AX15&lt;=720), (-1)*('(橫掃)RX Mapping'!AX15-720)+120,IF(AND('(橫掃)RX Mapping'!AX15&gt;=721,'(橫掃)RX Mapping'!AX15&lt;=840), ('(橫掃)RX Mapping'!AX15-601),IF(AND('(橫掃)RX Mapping'!AX15&gt;=841,'(橫掃)RX Mapping'!AX15&lt;=960), (-1)*('(橫掃)RX Mapping'!AX15-960)+120,9999))))))))</f>
        <v>9999</v>
      </c>
      <c r="AY15">
        <f>IF(AND('(橫掃)RX Mapping'!AY15&gt;=1,'(橫掃)RX Mapping'!AY15&lt;=120), ('(橫掃)RX Mapping'!AY15-1),IF(AND('(橫掃)RX Mapping'!AY15&gt;=121,'(橫掃)RX Mapping'!AY15&lt;=240), (-1)*('(橫掃)RX Mapping'!AY15-240),IF(AND('(橫掃)RX Mapping'!AY15&gt;=241,'(橫掃)RX Mapping'!AY15&lt;=360), ('(橫掃)RX Mapping'!AY15-241),IF(AND('(橫掃)RX Mapping'!AY15&gt;=361,'(橫掃)RX Mapping'!AY15&lt;=480), (-1)*('(橫掃)RX Mapping'!AY15-480),IF(AND('(橫掃)RX Mapping'!AY15&gt;=481,'(橫掃)RX Mapping'!AY15&lt;=600), ('(橫掃)RX Mapping'!AY15-361),IF(AND('(橫掃)RX Mapping'!AY15&gt;=601,'(橫掃)RX Mapping'!AY15&lt;=720), (-1)*('(橫掃)RX Mapping'!AY15-720)+120,IF(AND('(橫掃)RX Mapping'!AY15&gt;=721,'(橫掃)RX Mapping'!AY15&lt;=840), ('(橫掃)RX Mapping'!AY15-601),IF(AND('(橫掃)RX Mapping'!AY15&gt;=841,'(橫掃)RX Mapping'!AY15&lt;=960), (-1)*('(橫掃)RX Mapping'!AY15-960)+120,9999))))))))</f>
        <v>9999</v>
      </c>
      <c r="AZ15">
        <f>IF(AND('(橫掃)RX Mapping'!AZ15&gt;=1,'(橫掃)RX Mapping'!AZ15&lt;=120), ('(橫掃)RX Mapping'!AZ15-1),IF(AND('(橫掃)RX Mapping'!AZ15&gt;=121,'(橫掃)RX Mapping'!AZ15&lt;=240), (-1)*('(橫掃)RX Mapping'!AZ15-240),IF(AND('(橫掃)RX Mapping'!AZ15&gt;=241,'(橫掃)RX Mapping'!AZ15&lt;=360), ('(橫掃)RX Mapping'!AZ15-241),IF(AND('(橫掃)RX Mapping'!AZ15&gt;=361,'(橫掃)RX Mapping'!AZ15&lt;=480), (-1)*('(橫掃)RX Mapping'!AZ15-480),IF(AND('(橫掃)RX Mapping'!AZ15&gt;=481,'(橫掃)RX Mapping'!AZ15&lt;=600), ('(橫掃)RX Mapping'!AZ15-361),IF(AND('(橫掃)RX Mapping'!AZ15&gt;=601,'(橫掃)RX Mapping'!AZ15&lt;=720), (-1)*('(橫掃)RX Mapping'!AZ15-720)+120,IF(AND('(橫掃)RX Mapping'!AZ15&gt;=721,'(橫掃)RX Mapping'!AZ15&lt;=840), ('(橫掃)RX Mapping'!AZ15-601),IF(AND('(橫掃)RX Mapping'!AZ15&gt;=841,'(橫掃)RX Mapping'!AZ15&lt;=960), (-1)*('(橫掃)RX Mapping'!AZ15-960)+120,9999))))))))</f>
        <v>9999</v>
      </c>
      <c r="BA15">
        <f>IF(AND('(橫掃)RX Mapping'!BA15&gt;=1,'(橫掃)RX Mapping'!BA15&lt;=120), ('(橫掃)RX Mapping'!BA15-1),IF(AND('(橫掃)RX Mapping'!BA15&gt;=121,'(橫掃)RX Mapping'!BA15&lt;=240), (-1)*('(橫掃)RX Mapping'!BA15-240),IF(AND('(橫掃)RX Mapping'!BA15&gt;=241,'(橫掃)RX Mapping'!BA15&lt;=360), ('(橫掃)RX Mapping'!BA15-241),IF(AND('(橫掃)RX Mapping'!BA15&gt;=361,'(橫掃)RX Mapping'!BA15&lt;=480), (-1)*('(橫掃)RX Mapping'!BA15-480),IF(AND('(橫掃)RX Mapping'!BA15&gt;=481,'(橫掃)RX Mapping'!BA15&lt;=600), ('(橫掃)RX Mapping'!BA15-361),IF(AND('(橫掃)RX Mapping'!BA15&gt;=601,'(橫掃)RX Mapping'!BA15&lt;=720), (-1)*('(橫掃)RX Mapping'!BA15-720)+120,IF(AND('(橫掃)RX Mapping'!BA15&gt;=721,'(橫掃)RX Mapping'!BA15&lt;=840), ('(橫掃)RX Mapping'!BA15-601),IF(AND('(橫掃)RX Mapping'!BA15&gt;=841,'(橫掃)RX Mapping'!BA15&lt;=960), (-1)*('(橫掃)RX Mapping'!BA15-960)+120,9999))))))))</f>
        <v>9999</v>
      </c>
      <c r="BB15">
        <f>IF(AND('(橫掃)RX Mapping'!BB15&gt;=1,'(橫掃)RX Mapping'!BB15&lt;=120), ('(橫掃)RX Mapping'!BB15-1),IF(AND('(橫掃)RX Mapping'!BB15&gt;=121,'(橫掃)RX Mapping'!BB15&lt;=240), (-1)*('(橫掃)RX Mapping'!BB15-240),IF(AND('(橫掃)RX Mapping'!BB15&gt;=241,'(橫掃)RX Mapping'!BB15&lt;=360), ('(橫掃)RX Mapping'!BB15-241),IF(AND('(橫掃)RX Mapping'!BB15&gt;=361,'(橫掃)RX Mapping'!BB15&lt;=480), (-1)*('(橫掃)RX Mapping'!BB15-480),IF(AND('(橫掃)RX Mapping'!BB15&gt;=481,'(橫掃)RX Mapping'!BB15&lt;=600), ('(橫掃)RX Mapping'!BB15-361),IF(AND('(橫掃)RX Mapping'!BB15&gt;=601,'(橫掃)RX Mapping'!BB15&lt;=720), (-1)*('(橫掃)RX Mapping'!BB15-720)+120,IF(AND('(橫掃)RX Mapping'!BB15&gt;=721,'(橫掃)RX Mapping'!BB15&lt;=840), ('(橫掃)RX Mapping'!BB15-601),IF(AND('(橫掃)RX Mapping'!BB15&gt;=841,'(橫掃)RX Mapping'!BB15&lt;=960), (-1)*('(橫掃)RX Mapping'!BB15-960)+120,9999))))))))</f>
        <v>9999</v>
      </c>
      <c r="BC15">
        <f>IF(AND('(橫掃)RX Mapping'!BC15&gt;=1,'(橫掃)RX Mapping'!BC15&lt;=120), ('(橫掃)RX Mapping'!BC15-1),IF(AND('(橫掃)RX Mapping'!BC15&gt;=121,'(橫掃)RX Mapping'!BC15&lt;=240), (-1)*('(橫掃)RX Mapping'!BC15-240),IF(AND('(橫掃)RX Mapping'!BC15&gt;=241,'(橫掃)RX Mapping'!BC15&lt;=360), ('(橫掃)RX Mapping'!BC15-241),IF(AND('(橫掃)RX Mapping'!BC15&gt;=361,'(橫掃)RX Mapping'!BC15&lt;=480), (-1)*('(橫掃)RX Mapping'!BC15-480),IF(AND('(橫掃)RX Mapping'!BC15&gt;=481,'(橫掃)RX Mapping'!BC15&lt;=600), ('(橫掃)RX Mapping'!BC15-361),IF(AND('(橫掃)RX Mapping'!BC15&gt;=601,'(橫掃)RX Mapping'!BC15&lt;=720), (-1)*('(橫掃)RX Mapping'!BC15-720)+120,IF(AND('(橫掃)RX Mapping'!BC15&gt;=721,'(橫掃)RX Mapping'!BC15&lt;=840), ('(橫掃)RX Mapping'!BC15-601),IF(AND('(橫掃)RX Mapping'!BC15&gt;=841,'(橫掃)RX Mapping'!BC15&lt;=960), (-1)*('(橫掃)RX Mapping'!BC15-960)+120,9999))))))))</f>
        <v>9999</v>
      </c>
      <c r="BD15">
        <f>IF(AND('(橫掃)RX Mapping'!BD15&gt;=1,'(橫掃)RX Mapping'!BD15&lt;=120), ('(橫掃)RX Mapping'!BD15-1),IF(AND('(橫掃)RX Mapping'!BD15&gt;=121,'(橫掃)RX Mapping'!BD15&lt;=240), (-1)*('(橫掃)RX Mapping'!BD15-240),IF(AND('(橫掃)RX Mapping'!BD15&gt;=241,'(橫掃)RX Mapping'!BD15&lt;=360), ('(橫掃)RX Mapping'!BD15-241),IF(AND('(橫掃)RX Mapping'!BD15&gt;=361,'(橫掃)RX Mapping'!BD15&lt;=480), (-1)*('(橫掃)RX Mapping'!BD15-480),IF(AND('(橫掃)RX Mapping'!BD15&gt;=481,'(橫掃)RX Mapping'!BD15&lt;=600), ('(橫掃)RX Mapping'!BD15-361),IF(AND('(橫掃)RX Mapping'!BD15&gt;=601,'(橫掃)RX Mapping'!BD15&lt;=720), (-1)*('(橫掃)RX Mapping'!BD15-720)+120,IF(AND('(橫掃)RX Mapping'!BD15&gt;=721,'(橫掃)RX Mapping'!BD15&lt;=840), ('(橫掃)RX Mapping'!BD15-601),IF(AND('(橫掃)RX Mapping'!BD15&gt;=841,'(橫掃)RX Mapping'!BD15&lt;=960), (-1)*('(橫掃)RX Mapping'!BD15-960)+120,9999))))))))</f>
        <v>9999</v>
      </c>
      <c r="BE15">
        <f>IF(AND('(橫掃)RX Mapping'!BE15&gt;=1,'(橫掃)RX Mapping'!BE15&lt;=120), ('(橫掃)RX Mapping'!BE15-1),IF(AND('(橫掃)RX Mapping'!BE15&gt;=121,'(橫掃)RX Mapping'!BE15&lt;=240), (-1)*('(橫掃)RX Mapping'!BE15-240),IF(AND('(橫掃)RX Mapping'!BE15&gt;=241,'(橫掃)RX Mapping'!BE15&lt;=360), ('(橫掃)RX Mapping'!BE15-241),IF(AND('(橫掃)RX Mapping'!BE15&gt;=361,'(橫掃)RX Mapping'!BE15&lt;=480), (-1)*('(橫掃)RX Mapping'!BE15-480),IF(AND('(橫掃)RX Mapping'!BE15&gt;=481,'(橫掃)RX Mapping'!BE15&lt;=600), ('(橫掃)RX Mapping'!BE15-361),IF(AND('(橫掃)RX Mapping'!BE15&gt;=601,'(橫掃)RX Mapping'!BE15&lt;=720), (-1)*('(橫掃)RX Mapping'!BE15-720)+120,IF(AND('(橫掃)RX Mapping'!BE15&gt;=721,'(橫掃)RX Mapping'!BE15&lt;=840), ('(橫掃)RX Mapping'!BE15-601),IF(AND('(橫掃)RX Mapping'!BE15&gt;=841,'(橫掃)RX Mapping'!BE15&lt;=960), (-1)*('(橫掃)RX Mapping'!BE15-960)+120,9999))))))))</f>
        <v>9999</v>
      </c>
      <c r="BF15">
        <f>IF(AND('(橫掃)RX Mapping'!BF15&gt;=1,'(橫掃)RX Mapping'!BF15&lt;=120), ('(橫掃)RX Mapping'!BF15-1),IF(AND('(橫掃)RX Mapping'!BF15&gt;=121,'(橫掃)RX Mapping'!BF15&lt;=240), (-1)*('(橫掃)RX Mapping'!BF15-240),IF(AND('(橫掃)RX Mapping'!BF15&gt;=241,'(橫掃)RX Mapping'!BF15&lt;=360), ('(橫掃)RX Mapping'!BF15-241),IF(AND('(橫掃)RX Mapping'!BF15&gt;=361,'(橫掃)RX Mapping'!BF15&lt;=480), (-1)*('(橫掃)RX Mapping'!BF15-480),IF(AND('(橫掃)RX Mapping'!BF15&gt;=481,'(橫掃)RX Mapping'!BF15&lt;=600), ('(橫掃)RX Mapping'!BF15-361),IF(AND('(橫掃)RX Mapping'!BF15&gt;=601,'(橫掃)RX Mapping'!BF15&lt;=720), (-1)*('(橫掃)RX Mapping'!BF15-720)+120,IF(AND('(橫掃)RX Mapping'!BF15&gt;=721,'(橫掃)RX Mapping'!BF15&lt;=840), ('(橫掃)RX Mapping'!BF15-601),IF(AND('(橫掃)RX Mapping'!BF15&gt;=841,'(橫掃)RX Mapping'!BF15&lt;=960), (-1)*('(橫掃)RX Mapping'!BF15-960)+120,9999))))))))</f>
        <v>9999</v>
      </c>
      <c r="BG15">
        <f>IF(AND('(橫掃)RX Mapping'!BG15&gt;=1,'(橫掃)RX Mapping'!BG15&lt;=120), ('(橫掃)RX Mapping'!BG15-1),IF(AND('(橫掃)RX Mapping'!BG15&gt;=121,'(橫掃)RX Mapping'!BG15&lt;=240), (-1)*('(橫掃)RX Mapping'!BG15-240),IF(AND('(橫掃)RX Mapping'!BG15&gt;=241,'(橫掃)RX Mapping'!BG15&lt;=360), ('(橫掃)RX Mapping'!BG15-241),IF(AND('(橫掃)RX Mapping'!BG15&gt;=361,'(橫掃)RX Mapping'!BG15&lt;=480), (-1)*('(橫掃)RX Mapping'!BG15-480),IF(AND('(橫掃)RX Mapping'!BG15&gt;=481,'(橫掃)RX Mapping'!BG15&lt;=600), ('(橫掃)RX Mapping'!BG15-361),IF(AND('(橫掃)RX Mapping'!BG15&gt;=601,'(橫掃)RX Mapping'!BG15&lt;=720), (-1)*('(橫掃)RX Mapping'!BG15-720)+120,IF(AND('(橫掃)RX Mapping'!BG15&gt;=721,'(橫掃)RX Mapping'!BG15&lt;=840), ('(橫掃)RX Mapping'!BG15-601),IF(AND('(橫掃)RX Mapping'!BG15&gt;=841,'(橫掃)RX Mapping'!BG15&lt;=960), (-1)*('(橫掃)RX Mapping'!BG15-960)+120,9999))))))))</f>
        <v>9999</v>
      </c>
      <c r="BH15">
        <f>IF(AND('(橫掃)RX Mapping'!BH15&gt;=1,'(橫掃)RX Mapping'!BH15&lt;=120), ('(橫掃)RX Mapping'!BH15-1),IF(AND('(橫掃)RX Mapping'!BH15&gt;=121,'(橫掃)RX Mapping'!BH15&lt;=240), (-1)*('(橫掃)RX Mapping'!BH15-240),IF(AND('(橫掃)RX Mapping'!BH15&gt;=241,'(橫掃)RX Mapping'!BH15&lt;=360), ('(橫掃)RX Mapping'!BH15-241),IF(AND('(橫掃)RX Mapping'!BH15&gt;=361,'(橫掃)RX Mapping'!BH15&lt;=480), (-1)*('(橫掃)RX Mapping'!BH15-480),IF(AND('(橫掃)RX Mapping'!BH15&gt;=481,'(橫掃)RX Mapping'!BH15&lt;=600), ('(橫掃)RX Mapping'!BH15-361),IF(AND('(橫掃)RX Mapping'!BH15&gt;=601,'(橫掃)RX Mapping'!BH15&lt;=720), (-1)*('(橫掃)RX Mapping'!BH15-720)+120,IF(AND('(橫掃)RX Mapping'!BH15&gt;=721,'(橫掃)RX Mapping'!BH15&lt;=840), ('(橫掃)RX Mapping'!BH15-601),IF(AND('(橫掃)RX Mapping'!BH15&gt;=841,'(橫掃)RX Mapping'!BH15&lt;=960), (-1)*('(橫掃)RX Mapping'!BH15-960)+120,9999))))))))</f>
        <v>9999</v>
      </c>
      <c r="BI15">
        <f>IF(AND('(橫掃)RX Mapping'!BI15&gt;=1,'(橫掃)RX Mapping'!BI15&lt;=120), ('(橫掃)RX Mapping'!BI15-1),IF(AND('(橫掃)RX Mapping'!BI15&gt;=121,'(橫掃)RX Mapping'!BI15&lt;=240), (-1)*('(橫掃)RX Mapping'!BI15-240),IF(AND('(橫掃)RX Mapping'!BI15&gt;=241,'(橫掃)RX Mapping'!BI15&lt;=360), ('(橫掃)RX Mapping'!BI15-241),IF(AND('(橫掃)RX Mapping'!BI15&gt;=361,'(橫掃)RX Mapping'!BI15&lt;=480), (-1)*('(橫掃)RX Mapping'!BI15-480),IF(AND('(橫掃)RX Mapping'!BI15&gt;=481,'(橫掃)RX Mapping'!BI15&lt;=600), ('(橫掃)RX Mapping'!BI15-361),IF(AND('(橫掃)RX Mapping'!BI15&gt;=601,'(橫掃)RX Mapping'!BI15&lt;=720), (-1)*('(橫掃)RX Mapping'!BI15-720)+120,IF(AND('(橫掃)RX Mapping'!BI15&gt;=721,'(橫掃)RX Mapping'!BI15&lt;=840), ('(橫掃)RX Mapping'!BI15-601),IF(AND('(橫掃)RX Mapping'!BI15&gt;=841,'(橫掃)RX Mapping'!BI15&lt;=960), (-1)*('(橫掃)RX Mapping'!BI15-960)+120,9999))))))))</f>
        <v>9999</v>
      </c>
    </row>
    <row r="16" spans="1:61" x14ac:dyDescent="0.25">
      <c r="A16" s="20">
        <v>15</v>
      </c>
      <c r="B16">
        <f>IF(
(AND('(直掃)RX Mapping'!B16&gt;=0,'(直掃)RX Mapping'!B16&lt;=480)),
(MOD('(直掃)RX Mapping'!B16,120)-1),
IF(
(AND('(直掃)RX Mapping'!B16&gt;=480,'(直掃)RX Mapping'!B16&lt;=960)),
IF(MOD('(直掃)RX Mapping'!B16,120)=0, 120, 240-MOD('(直掃)RX Mapping'!B16,120)),9999))+IF(AND(MOD('(直掃)RX Mapping'!B16,120)=0, '(直掃)RX Mapping'!B16 &lt;= 480,  '(直掃)RX Mapping'!B16 &gt; 0), 120)</f>
        <v>134</v>
      </c>
      <c r="C16">
        <f>IF(
(AND('(直掃)RX Mapping'!C16&gt;=0,'(直掃)RX Mapping'!C16&lt;=480)),
(MOD('(直掃)RX Mapping'!C16,120)-1),
IF(
(AND('(直掃)RX Mapping'!C16&gt;=480,'(直掃)RX Mapping'!C16&lt;=960)),
IF(MOD('(直掃)RX Mapping'!C16,120)=0, 120, 240-MOD('(直掃)RX Mapping'!C16,120)),9999))+IF(AND(MOD('(直掃)RX Mapping'!C16,120)=0, '(直掃)RX Mapping'!C16 &lt;= 480,  '(直掃)RX Mapping'!C16 &gt; 0), 120)</f>
        <v>164</v>
      </c>
      <c r="D16">
        <f>IF(
(AND('(直掃)RX Mapping'!D16&gt;=0,'(直掃)RX Mapping'!D16&lt;=480)),
(MOD('(直掃)RX Mapping'!D16,120)-1),
IF(
(AND('(直掃)RX Mapping'!D16&gt;=480,'(直掃)RX Mapping'!D16&lt;=960)),
IF(MOD('(直掃)RX Mapping'!D16,120)=0, 120, 240-MOD('(直掃)RX Mapping'!D16,120)),9999))+IF(AND(MOD('(直掃)RX Mapping'!D16,120)=0, '(直掃)RX Mapping'!D16 &lt;= 480,  '(直掃)RX Mapping'!D16 &gt; 0), 120)</f>
        <v>194</v>
      </c>
      <c r="E16">
        <f>IF(
(AND('(直掃)RX Mapping'!E16&gt;=0,'(直掃)RX Mapping'!E16&lt;=480)),
(MOD('(直掃)RX Mapping'!E16,120)-1),
IF(
(AND('(直掃)RX Mapping'!E16&gt;=480,'(直掃)RX Mapping'!E16&lt;=960)),
IF(MOD('(直掃)RX Mapping'!E16,120)=0, 120, 240-MOD('(直掃)RX Mapping'!E16,120)),9999))+IF(AND(MOD('(直掃)RX Mapping'!E16,120)=0, '(直掃)RX Mapping'!E16 &lt;= 480,  '(直掃)RX Mapping'!E16 &gt; 0), 120)</f>
        <v>134</v>
      </c>
      <c r="F16">
        <f>IF(
(AND('(直掃)RX Mapping'!F16&gt;=0,'(直掃)RX Mapping'!F16&lt;=480)),
(MOD('(直掃)RX Mapping'!F16,120)-1),
IF(
(AND('(直掃)RX Mapping'!F16&gt;=480,'(直掃)RX Mapping'!F16&lt;=960)),
IF(MOD('(直掃)RX Mapping'!F16,120)=0, 120, 240-MOD('(直掃)RX Mapping'!F16,120)),9999))+IF(AND(MOD('(直掃)RX Mapping'!F16,120)=0, '(直掃)RX Mapping'!F16 &lt;= 480,  '(直掃)RX Mapping'!F16 &gt; 0), 120)</f>
        <v>164</v>
      </c>
      <c r="G16">
        <f>IF(
(AND('(直掃)RX Mapping'!G16&gt;=0,'(直掃)RX Mapping'!G16&lt;=480)),
(MOD('(直掃)RX Mapping'!G16,120)-1),
IF(
(AND('(直掃)RX Mapping'!G16&gt;=480,'(直掃)RX Mapping'!G16&lt;=960)),
IF(MOD('(直掃)RX Mapping'!G16,120)=0, 120, 240-MOD('(直掃)RX Mapping'!G16,120)),9999))+IF(AND(MOD('(直掃)RX Mapping'!G16,120)=0, '(直掃)RX Mapping'!G16 &lt;= 480,  '(直掃)RX Mapping'!G16 &gt; 0), 120)</f>
        <v>194</v>
      </c>
      <c r="H16">
        <f>IF(
(AND('(直掃)RX Mapping'!H16&gt;=0,'(直掃)RX Mapping'!H16&lt;=480)),
(MOD('(直掃)RX Mapping'!H16,120)-1),
IF(
(AND('(直掃)RX Mapping'!H16&gt;=480,'(直掃)RX Mapping'!H16&lt;=960)),
IF(MOD('(直掃)RX Mapping'!H16,120)=0, 120, 240-MOD('(直掃)RX Mapping'!H16,120)),9999))+IF(AND(MOD('(直掃)RX Mapping'!H16,120)=0, '(直掃)RX Mapping'!H16 &lt;= 480,  '(直掃)RX Mapping'!H16 &gt; 0), 120)</f>
        <v>134</v>
      </c>
      <c r="I16">
        <f>IF(
(AND('(直掃)RX Mapping'!I16&gt;=0,'(直掃)RX Mapping'!I16&lt;=480)),
(MOD('(直掃)RX Mapping'!I16,120)-1),
IF(
(AND('(直掃)RX Mapping'!I16&gt;=480,'(直掃)RX Mapping'!I16&lt;=960)),
IF(MOD('(直掃)RX Mapping'!I16,120)=0, 120, 240-MOD('(直掃)RX Mapping'!I16,120)),9999))+IF(AND(MOD('(直掃)RX Mapping'!I16,120)=0, '(直掃)RX Mapping'!I16 &lt;= 480,  '(直掃)RX Mapping'!I16 &gt; 0), 120)</f>
        <v>164</v>
      </c>
      <c r="J16">
        <f>IF(
(AND('(直掃)RX Mapping'!J16&gt;=0,'(直掃)RX Mapping'!J16&lt;=480)),
(MOD('(直掃)RX Mapping'!J16,120)-1),
IF(
(AND('(直掃)RX Mapping'!J16&gt;=480,'(直掃)RX Mapping'!J16&lt;=960)),
IF(MOD('(直掃)RX Mapping'!J16,120)=0, 120, 240-MOD('(直掃)RX Mapping'!J16,120)),9999))+IF(AND(MOD('(直掃)RX Mapping'!J16,120)=0, '(直掃)RX Mapping'!J16 &lt;= 480,  '(直掃)RX Mapping'!J16 &gt; 0), 120)</f>
        <v>194</v>
      </c>
      <c r="K16">
        <f>IF(
(AND('(直掃)RX Mapping'!K16&gt;=0,'(直掃)RX Mapping'!K16&lt;=480)),
(MOD('(直掃)RX Mapping'!K16,120)-1),
IF(
(AND('(直掃)RX Mapping'!K16&gt;=480,'(直掃)RX Mapping'!K16&lt;=960)),
IF(MOD('(直掃)RX Mapping'!K16,120)=0, 120, 240-MOD('(直掃)RX Mapping'!K16,120)),9999))+IF(AND(MOD('(直掃)RX Mapping'!K16,120)=0, '(直掃)RX Mapping'!K16 &lt;= 480,  '(直掃)RX Mapping'!K16 &gt; 0), 120)</f>
        <v>224</v>
      </c>
      <c r="L16">
        <f>IF(
(AND('(直掃)RX Mapping'!L16&gt;=0,'(直掃)RX Mapping'!L16&lt;=480)),
(MOD('(直掃)RX Mapping'!L16,120)-1),
IF(
(AND('(直掃)RX Mapping'!L16&gt;=480,'(直掃)RX Mapping'!L16&lt;=960)),
IF(MOD('(直掃)RX Mapping'!L16,120)=0, 120, 240-MOD('(直掃)RX Mapping'!L16,120)),9999))+IF(AND(MOD('(直掃)RX Mapping'!L16,120)=0, '(直掃)RX Mapping'!L16 &lt;= 480,  '(直掃)RX Mapping'!L16 &gt; 0), 120)</f>
        <v>134</v>
      </c>
      <c r="M16">
        <f>IF(
(AND('(直掃)RX Mapping'!M16&gt;=0,'(直掃)RX Mapping'!M16&lt;=480)),
(MOD('(直掃)RX Mapping'!M16,120)-1),
IF(
(AND('(直掃)RX Mapping'!M16&gt;=480,'(直掃)RX Mapping'!M16&lt;=960)),
IF(MOD('(直掃)RX Mapping'!M16,120)=0, 120, 240-MOD('(直掃)RX Mapping'!M16,120)),9999))+IF(AND(MOD('(直掃)RX Mapping'!M16,120)=0, '(直掃)RX Mapping'!M16 &lt;= 480,  '(直掃)RX Mapping'!M16 &gt; 0), 120)</f>
        <v>164</v>
      </c>
      <c r="N16">
        <f>IF(
(AND('(直掃)RX Mapping'!N16&gt;=0,'(直掃)RX Mapping'!N16&lt;=480)),
(MOD('(直掃)RX Mapping'!N16,120)-1),
IF(
(AND('(直掃)RX Mapping'!N16&gt;=480,'(直掃)RX Mapping'!N16&lt;=960)),
IF(MOD('(直掃)RX Mapping'!N16,120)=0, 120, 240-MOD('(直掃)RX Mapping'!N16,120)),9999))+IF(AND(MOD('(直掃)RX Mapping'!N16,120)=0, '(直掃)RX Mapping'!N16 &lt;= 480,  '(直掃)RX Mapping'!N16 &gt; 0), 120)</f>
        <v>194</v>
      </c>
      <c r="O16">
        <f>IF(
(AND('(直掃)RX Mapping'!O16&gt;=0,'(直掃)RX Mapping'!O16&lt;=480)),
(MOD('(直掃)RX Mapping'!O16,120)-1),
IF(
(AND('(直掃)RX Mapping'!O16&gt;=480,'(直掃)RX Mapping'!O16&lt;=960)),
IF(MOD('(直掃)RX Mapping'!O16,120)=0, 120, 240-MOD('(直掃)RX Mapping'!O16,120)),9999))+IF(AND(MOD('(直掃)RX Mapping'!O16,120)=0, '(直掃)RX Mapping'!O16 &lt;= 480,  '(直掃)RX Mapping'!O16 &gt; 0), 120)</f>
        <v>224</v>
      </c>
      <c r="P16">
        <f>IF(
(AND('(直掃)RX Mapping'!P16&gt;=0,'(直掃)RX Mapping'!P16&lt;=480)),
(MOD('(直掃)RX Mapping'!P16,120)-1),
IF(
(AND('(直掃)RX Mapping'!P16&gt;=480,'(直掃)RX Mapping'!P16&lt;=960)),
IF(MOD('(直掃)RX Mapping'!P16,120)=0, 120, 240-MOD('(直掃)RX Mapping'!P16,120)),9999))+IF(AND(MOD('(直掃)RX Mapping'!P16,120)=0, '(直掃)RX Mapping'!P16 &lt;= 480,  '(直掃)RX Mapping'!P16 &gt; 0), 120)</f>
        <v>105</v>
      </c>
      <c r="Q16">
        <f>IF(
(AND('(直掃)RX Mapping'!Q16&gt;=0,'(直掃)RX Mapping'!Q16&lt;=480)),
(MOD('(直掃)RX Mapping'!Q16,120)-1),
IF(
(AND('(直掃)RX Mapping'!Q16&gt;=480,'(直掃)RX Mapping'!Q16&lt;=960)),
IF(MOD('(直掃)RX Mapping'!Q16,120)=0, 120, 240-MOD('(直掃)RX Mapping'!Q16,120)),9999))+IF(AND(MOD('(直掃)RX Mapping'!Q16,120)=0, '(直掃)RX Mapping'!Q16 &lt;= 480,  '(直掃)RX Mapping'!Q16 &gt; 0), 120)</f>
        <v>75</v>
      </c>
      <c r="R16">
        <f>IF(
(AND('(直掃)RX Mapping'!R16&gt;=0,'(直掃)RX Mapping'!R16&lt;=480)),
(MOD('(直掃)RX Mapping'!R16,120)-1),
IF(
(AND('(直掃)RX Mapping'!R16&gt;=480,'(直掃)RX Mapping'!R16&lt;=960)),
IF(MOD('(直掃)RX Mapping'!R16,120)=0, 120, 240-MOD('(直掃)RX Mapping'!R16,120)),9999))+IF(AND(MOD('(直掃)RX Mapping'!R16,120)=0, '(直掃)RX Mapping'!R16 &lt;= 480,  '(直掃)RX Mapping'!R16 &gt; 0), 120)</f>
        <v>45</v>
      </c>
      <c r="S16">
        <f>IF(
(AND('(直掃)RX Mapping'!S16&gt;=0,'(直掃)RX Mapping'!S16&lt;=480)),
(MOD('(直掃)RX Mapping'!S16,120)-1),
IF(
(AND('(直掃)RX Mapping'!S16&gt;=480,'(直掃)RX Mapping'!S16&lt;=960)),
IF(MOD('(直掃)RX Mapping'!S16,120)=0, 120, 240-MOD('(直掃)RX Mapping'!S16,120)),9999))+IF(AND(MOD('(直掃)RX Mapping'!S16,120)=0, '(直掃)RX Mapping'!S16 &lt;= 480,  '(直掃)RX Mapping'!S16 &gt; 0), 120)</f>
        <v>15</v>
      </c>
      <c r="T16">
        <f>IF(
(AND('(直掃)RX Mapping'!T16&gt;=0,'(直掃)RX Mapping'!T16&lt;=480)),
(MOD('(直掃)RX Mapping'!T16,120)-1),
IF(
(AND('(直掃)RX Mapping'!T16&gt;=480,'(直掃)RX Mapping'!T16&lt;=960)),
IF(MOD('(直掃)RX Mapping'!T16,120)=0, 120, 240-MOD('(直掃)RX Mapping'!T16,120)),9999))+IF(AND(MOD('(直掃)RX Mapping'!T16,120)=0, '(直掃)RX Mapping'!T16 &lt;= 480,  '(直掃)RX Mapping'!T16 &gt; 0), 120)</f>
        <v>105</v>
      </c>
      <c r="U16">
        <f>IF(
(AND('(直掃)RX Mapping'!U16&gt;=0,'(直掃)RX Mapping'!U16&lt;=480)),
(MOD('(直掃)RX Mapping'!U16,120)-1),
IF(
(AND('(直掃)RX Mapping'!U16&gt;=480,'(直掃)RX Mapping'!U16&lt;=960)),
IF(MOD('(直掃)RX Mapping'!U16,120)=0, 120, 240-MOD('(直掃)RX Mapping'!U16,120)),9999))+IF(AND(MOD('(直掃)RX Mapping'!U16,120)=0, '(直掃)RX Mapping'!U16 &lt;= 480,  '(直掃)RX Mapping'!U16 &gt; 0), 120)</f>
        <v>75</v>
      </c>
      <c r="V16">
        <f>IF(
(AND('(直掃)RX Mapping'!V16&gt;=0,'(直掃)RX Mapping'!V16&lt;=480)),
(MOD('(直掃)RX Mapping'!V16,120)-1),
IF(
(AND('(直掃)RX Mapping'!V16&gt;=480,'(直掃)RX Mapping'!V16&lt;=960)),
IF(MOD('(直掃)RX Mapping'!V16,120)=0, 120, 240-MOD('(直掃)RX Mapping'!V16,120)),9999))+IF(AND(MOD('(直掃)RX Mapping'!V16,120)=0, '(直掃)RX Mapping'!V16 &lt;= 480,  '(直掃)RX Mapping'!V16 &gt; 0), 120)</f>
        <v>45</v>
      </c>
      <c r="W16">
        <f>IF(
(AND('(直掃)RX Mapping'!W16&gt;=0,'(直掃)RX Mapping'!W16&lt;=480)),
(MOD('(直掃)RX Mapping'!W16,120)-1),
IF(
(AND('(直掃)RX Mapping'!W16&gt;=480,'(直掃)RX Mapping'!W16&lt;=960)),
IF(MOD('(直掃)RX Mapping'!W16,120)=0, 120, 240-MOD('(直掃)RX Mapping'!W16,120)),9999))+IF(AND(MOD('(直掃)RX Mapping'!W16,120)=0, '(直掃)RX Mapping'!W16 &lt;= 480,  '(直掃)RX Mapping'!W16 &gt; 0), 120)</f>
        <v>15</v>
      </c>
      <c r="X16">
        <f>IF(
(AND('(直掃)RX Mapping'!X16&gt;=0,'(直掃)RX Mapping'!X16&lt;=480)),
(MOD('(直掃)RX Mapping'!X16,120)-1),
IF(
(AND('(直掃)RX Mapping'!X16&gt;=480,'(直掃)RX Mapping'!X16&lt;=960)),
IF(MOD('(直掃)RX Mapping'!X16,120)=0, 120, 240-MOD('(直掃)RX Mapping'!X16,120)),9999))+IF(AND(MOD('(直掃)RX Mapping'!X16,120)=0, '(直掃)RX Mapping'!X16 &lt;= 480,  '(直掃)RX Mapping'!X16 &gt; 0), 120)</f>
        <v>75</v>
      </c>
      <c r="Y16">
        <f>IF(
(AND('(直掃)RX Mapping'!Y16&gt;=0,'(直掃)RX Mapping'!Y16&lt;=480)),
(MOD('(直掃)RX Mapping'!Y16,120)-1),
IF(
(AND('(直掃)RX Mapping'!Y16&gt;=480,'(直掃)RX Mapping'!Y16&lt;=960)),
IF(MOD('(直掃)RX Mapping'!Y16,120)=0, 120, 240-MOD('(直掃)RX Mapping'!Y16,120)),9999))+IF(AND(MOD('(直掃)RX Mapping'!Y16,120)=0, '(直掃)RX Mapping'!Y16 &lt;= 480,  '(直掃)RX Mapping'!Y16 &gt; 0), 120)</f>
        <v>45</v>
      </c>
      <c r="Z16">
        <f>IF(
(AND('(直掃)RX Mapping'!Z16&gt;=0,'(直掃)RX Mapping'!Z16&lt;=480)),
(MOD('(直掃)RX Mapping'!Z16,120)-1),
IF(
(AND('(直掃)RX Mapping'!Z16&gt;=480,'(直掃)RX Mapping'!Z16&lt;=960)),
IF(MOD('(直掃)RX Mapping'!Z16,120)=0, 120, 240-MOD('(直掃)RX Mapping'!Z16,120)),9999))+IF(AND(MOD('(直掃)RX Mapping'!Z16,120)=0, '(直掃)RX Mapping'!Z16 &lt;= 480,  '(直掃)RX Mapping'!Z16 &gt; 0), 120)</f>
        <v>15</v>
      </c>
      <c r="AA16">
        <f>IF(
(AND('(直掃)RX Mapping'!AA16&gt;=0,'(直掃)RX Mapping'!AA16&lt;=480)),
(MOD('(直掃)RX Mapping'!AA16,120)-1),
IF(
(AND('(直掃)RX Mapping'!AA16&gt;=480,'(直掃)RX Mapping'!AA16&lt;=960)),
IF(MOD('(直掃)RX Mapping'!AA16,120)=0, 120, 240-MOD('(直掃)RX Mapping'!AA16,120)),9999))+IF(AND(MOD('(直掃)RX Mapping'!AA16,120)=0, '(直掃)RX Mapping'!AA16 &lt;= 480,  '(直掃)RX Mapping'!AA16 &gt; 0), 120)</f>
        <v>75</v>
      </c>
      <c r="AB16">
        <f>IF(
(AND('(直掃)RX Mapping'!AB16&gt;=0,'(直掃)RX Mapping'!AB16&lt;=480)),
(MOD('(直掃)RX Mapping'!AB16,120)-1),
IF(
(AND('(直掃)RX Mapping'!AB16&gt;=480,'(直掃)RX Mapping'!AB16&lt;=960)),
IF(MOD('(直掃)RX Mapping'!AB16,120)=0, 120, 240-MOD('(直掃)RX Mapping'!AB16,120)),9999))+IF(AND(MOD('(直掃)RX Mapping'!AB16,120)=0, '(直掃)RX Mapping'!AB16 &lt;= 480,  '(直掃)RX Mapping'!AB16 &gt; 0), 120)</f>
        <v>45</v>
      </c>
      <c r="AC16">
        <f>IF(
(AND('(直掃)RX Mapping'!AC16&gt;=0,'(直掃)RX Mapping'!AC16&lt;=480)),
(MOD('(直掃)RX Mapping'!AC16,120)-1),
IF(
(AND('(直掃)RX Mapping'!AC16&gt;=480,'(直掃)RX Mapping'!AC16&lt;=960)),
IF(MOD('(直掃)RX Mapping'!AC16,120)=0, 120, 240-MOD('(直掃)RX Mapping'!AC16,120)),9999))+IF(AND(MOD('(直掃)RX Mapping'!AC16,120)=0, '(直掃)RX Mapping'!AC16 &lt;= 480,  '(直掃)RX Mapping'!AC16 &gt; 0), 120)</f>
        <v>15</v>
      </c>
      <c r="AD16">
        <f>IF(
(AND('(直掃)RX Mapping'!AD16&gt;=0,'(直掃)RX Mapping'!AD16&lt;=480)),
(MOD('(直掃)RX Mapping'!AD16,120)-1),
IF(
(AND('(直掃)RX Mapping'!AD16&gt;=480,'(直掃)RX Mapping'!AD16&lt;=960)),
IF(MOD('(直掃)RX Mapping'!AD16,120)=0, 120, 240-MOD('(直掃)RX Mapping'!AD16,120)),9999))+IF(AND(MOD('(直掃)RX Mapping'!AD16,120)=0, '(直掃)RX Mapping'!AD16 &lt;= 480,  '(直掃)RX Mapping'!AD16 &gt; 0), 120)</f>
        <v>-1</v>
      </c>
      <c r="AE16">
        <f>IF(
(AND('(直掃)RX Mapping'!AE16&gt;=0,'(直掃)RX Mapping'!AE16&lt;=480)),
(MOD('(直掃)RX Mapping'!AE16,120)-1),
IF(
(AND('(直掃)RX Mapping'!AE16&gt;=480,'(直掃)RX Mapping'!AE16&lt;=960)),
IF(MOD('(直掃)RX Mapping'!AE16,120)=0, 120, 240-MOD('(直掃)RX Mapping'!AE16,120)),9999))+IF(AND(MOD('(直掃)RX Mapping'!AE16,120)=0, '(直掃)RX Mapping'!AE16 &lt;= 480,  '(直掃)RX Mapping'!AE16 &gt; 0), 120)</f>
        <v>-1</v>
      </c>
      <c r="AF16">
        <f>IF(
(AND('(直掃)RX Mapping'!AF16&gt;=0,'(直掃)RX Mapping'!AF16&lt;=480)),
(MOD('(直掃)RX Mapping'!AF16,120)-1),
IF(
(AND('(直掃)RX Mapping'!AF16&gt;=480,'(直掃)RX Mapping'!AF16&lt;=960)),
IF(MOD('(直掃)RX Mapping'!AF16,120)=0, 120, 240-MOD('(直掃)RX Mapping'!AF16,120)),9999))+IF(AND(MOD('(直掃)RX Mapping'!AF16,120)=0, '(直掃)RX Mapping'!AF16 &lt;= 480,  '(直掃)RX Mapping'!AF16 &gt; 0), 120)</f>
        <v>-1</v>
      </c>
      <c r="AG16">
        <f>IF(
(AND('(直掃)RX Mapping'!AG16&gt;=0,'(直掃)RX Mapping'!AG16&lt;=480)),
(MOD('(直掃)RX Mapping'!AG16,120)-1),
IF(
(AND('(直掃)RX Mapping'!AG16&gt;=480,'(直掃)RX Mapping'!AG16&lt;=960)),
IF(MOD('(直掃)RX Mapping'!AG16,120)=0, 120, 240-MOD('(直掃)RX Mapping'!AG16,120)),9999))+IF(AND(MOD('(直掃)RX Mapping'!AG16,120)=0, '(直掃)RX Mapping'!AG16 &lt;= 480,  '(直掃)RX Mapping'!AG16 &gt; 0), 120)</f>
        <v>-1</v>
      </c>
      <c r="AH16">
        <f>IF(
(AND('(直掃)RX Mapping'!AH16&gt;=0,'(直掃)RX Mapping'!AH16&lt;=480)),
(MOD('(直掃)RX Mapping'!AH16,120)-1),
IF(
(AND('(直掃)RX Mapping'!AH16&gt;=480,'(直掃)RX Mapping'!AH16&lt;=960)),
IF(MOD('(直掃)RX Mapping'!AH16,120)=0, 120, 240-MOD('(直掃)RX Mapping'!AH16,120)),9999))+IF(AND(MOD('(直掃)RX Mapping'!AH16,120)=0, '(直掃)RX Mapping'!AH16 &lt;= 480,  '(直掃)RX Mapping'!AH16 &gt; 0), 120)</f>
        <v>-1</v>
      </c>
      <c r="AI16">
        <f>IF(
(AND('(直掃)RX Mapping'!AI16&gt;=0,'(直掃)RX Mapping'!AI16&lt;=480)),
(MOD('(直掃)RX Mapping'!AI16,120)-1),
IF(
(AND('(直掃)RX Mapping'!AI16&gt;=480,'(直掃)RX Mapping'!AI16&lt;=960)),
IF(MOD('(直掃)RX Mapping'!AI16,120)=0, 120, 240-MOD('(直掃)RX Mapping'!AI16,120)),9999))+IF(AND(MOD('(直掃)RX Mapping'!AI16,120)=0, '(直掃)RX Mapping'!AI16 &lt;= 480,  '(直掃)RX Mapping'!AI16 &gt; 0), 120)</f>
        <v>-1</v>
      </c>
      <c r="AJ16">
        <f>IF(
(AND('(直掃)RX Mapping'!AJ16&gt;=0,'(直掃)RX Mapping'!AJ16&lt;=480)),
(MOD('(直掃)RX Mapping'!AJ16,120)-1),
IF(
(AND('(直掃)RX Mapping'!AJ16&gt;=480,'(直掃)RX Mapping'!AJ16&lt;=960)),
IF(MOD('(直掃)RX Mapping'!AJ16,120)=0, 120, 240-MOD('(直掃)RX Mapping'!AJ16,120)),9999))+IF(AND(MOD('(直掃)RX Mapping'!AJ16,120)=0, '(直掃)RX Mapping'!AJ16 &lt;= 480,  '(直掃)RX Mapping'!AJ16 &gt; 0), 120)</f>
        <v>-1</v>
      </c>
      <c r="AK16">
        <f>IF(
(AND('(直掃)RX Mapping'!AK16&gt;=0,'(直掃)RX Mapping'!AK16&lt;=480)),
(MOD('(直掃)RX Mapping'!AK16,120)-1),
IF(
(AND('(直掃)RX Mapping'!AK16&gt;=480,'(直掃)RX Mapping'!AK16&lt;=960)),
IF(MOD('(直掃)RX Mapping'!AK16,120)=0, 120, 240-MOD('(直掃)RX Mapping'!AK16,120)),9999))+IF(AND(MOD('(直掃)RX Mapping'!AK16,120)=0, '(直掃)RX Mapping'!AK16 &lt;= 480,  '(直掃)RX Mapping'!AK16 &gt; 0), 120)</f>
        <v>-1</v>
      </c>
      <c r="AL16">
        <f>IF(
(AND('(直掃)RX Mapping'!AL16&gt;=0,'(直掃)RX Mapping'!AL16&lt;=480)),
(MOD('(直掃)RX Mapping'!AL16,120)-1),
IF(
(AND('(直掃)RX Mapping'!AL16&gt;=480,'(直掃)RX Mapping'!AL16&lt;=960)),
IF(MOD('(直掃)RX Mapping'!AL16,120)=0, 120, 240-MOD('(直掃)RX Mapping'!AL16,120)),9999))+IF(AND(MOD('(直掃)RX Mapping'!AL16,120)=0, '(直掃)RX Mapping'!AL16 &lt;= 480,  '(直掃)RX Mapping'!AL16 &gt; 0), 120)</f>
        <v>-1</v>
      </c>
      <c r="AM16">
        <f>IF(
(AND('(直掃)RX Mapping'!AM16&gt;=0,'(直掃)RX Mapping'!AM16&lt;=480)),
(MOD('(直掃)RX Mapping'!AM16,120)-1),
IF(
(AND('(直掃)RX Mapping'!AM16&gt;=480,'(直掃)RX Mapping'!AM16&lt;=960)),
IF(MOD('(直掃)RX Mapping'!AM16,120)=0, 120, 240-MOD('(直掃)RX Mapping'!AM16,120)),9999))+IF(AND(MOD('(直掃)RX Mapping'!AM16,120)=0, '(直掃)RX Mapping'!AM16 &lt;= 480,  '(直掃)RX Mapping'!AM16 &gt; 0), 120)</f>
        <v>-1</v>
      </c>
      <c r="AN16">
        <f>IF(
(AND('(直掃)RX Mapping'!AN16&gt;=0,'(直掃)RX Mapping'!AN16&lt;=480)),
(MOD('(直掃)RX Mapping'!AN16,120)-1),
IF(
(AND('(直掃)RX Mapping'!AN16&gt;=480,'(直掃)RX Mapping'!AN16&lt;=960)),
IF(MOD('(直掃)RX Mapping'!AN16,120)=0, 120, 240-MOD('(直掃)RX Mapping'!AN16,120)),9999))+IF(AND(MOD('(直掃)RX Mapping'!AN16,120)=0, '(直掃)RX Mapping'!AN16 &lt;= 480,  '(直掃)RX Mapping'!AN16 &gt; 0), 120)</f>
        <v>-1</v>
      </c>
      <c r="AO16">
        <f>IF(
(AND('(直掃)RX Mapping'!AO16&gt;=0,'(直掃)RX Mapping'!AO16&lt;=480)),
(MOD('(直掃)RX Mapping'!AO16,120)-1),
IF(
(AND('(直掃)RX Mapping'!AO16&gt;=480,'(直掃)RX Mapping'!AO16&lt;=960)),
IF(MOD('(直掃)RX Mapping'!AO16,120)=0, 120, 240-MOD('(直掃)RX Mapping'!AO16,120)),9999))+IF(AND(MOD('(直掃)RX Mapping'!AO16,120)=0, '(直掃)RX Mapping'!AO16 &lt;= 480,  '(直掃)RX Mapping'!AO16 &gt; 0), 120)</f>
        <v>-1</v>
      </c>
      <c r="AP16">
        <f>IF(
(AND('(直掃)RX Mapping'!AP16&gt;=0,'(直掃)RX Mapping'!AP16&lt;=480)),
(MOD('(直掃)RX Mapping'!AP16,120)-1),
IF(
(AND('(直掃)RX Mapping'!AP16&gt;=480,'(直掃)RX Mapping'!AP16&lt;=960)),
IF(MOD('(直掃)RX Mapping'!AP16,120)=0, 120, 240-MOD('(直掃)RX Mapping'!AP16,120)),9999))+IF(AND(MOD('(直掃)RX Mapping'!AP16,120)=0, '(直掃)RX Mapping'!AP16 &lt;= 480,  '(直掃)RX Mapping'!AP16 &gt; 0), 120)</f>
        <v>-1</v>
      </c>
      <c r="AQ16">
        <f>IF(
(AND('(直掃)RX Mapping'!AQ16&gt;=0,'(直掃)RX Mapping'!AQ16&lt;=480)),
(MOD('(直掃)RX Mapping'!AQ16,120)-1),
IF(
(AND('(直掃)RX Mapping'!AQ16&gt;=480,'(直掃)RX Mapping'!AQ16&lt;=960)),
IF(MOD('(直掃)RX Mapping'!AQ16,120)=0, 120, 240-MOD('(直掃)RX Mapping'!AQ16,120)),9999))+IF(AND(MOD('(直掃)RX Mapping'!AQ16,120)=0, '(直掃)RX Mapping'!AQ16 &lt;= 480,  '(直掃)RX Mapping'!AQ16 &gt; 0), 120)</f>
        <v>-1</v>
      </c>
      <c r="AR16">
        <f>IF(
(AND('(直掃)RX Mapping'!AR16&gt;=0,'(直掃)RX Mapping'!AR16&lt;=480)),
(MOD('(直掃)RX Mapping'!AR16,120)-1),
IF(
(AND('(直掃)RX Mapping'!AR16&gt;=480,'(直掃)RX Mapping'!AR16&lt;=960)),
IF(MOD('(直掃)RX Mapping'!AR16,120)=0, 120, 240-MOD('(直掃)RX Mapping'!AR16,120)),9999))+IF(AND(MOD('(直掃)RX Mapping'!AR16,120)=0, '(直掃)RX Mapping'!AR16 &lt;= 480,  '(直掃)RX Mapping'!AR16 &gt; 0), 120)</f>
        <v>-1</v>
      </c>
      <c r="AS16">
        <f>IF(
(AND('(直掃)RX Mapping'!AS16&gt;=0,'(直掃)RX Mapping'!AS16&lt;=480)),
(MOD('(直掃)RX Mapping'!AS16,120)-1),
IF(
(AND('(直掃)RX Mapping'!AS16&gt;=480,'(直掃)RX Mapping'!AS16&lt;=960)),
IF(MOD('(直掃)RX Mapping'!AS16,120)=0, 120, 240-MOD('(直掃)RX Mapping'!AS16,120)),9999))+IF(AND(MOD('(直掃)RX Mapping'!AS16,120)=0, '(直掃)RX Mapping'!AS16 &lt;= 480,  '(直掃)RX Mapping'!AS16 &gt; 0), 120)</f>
        <v>-1</v>
      </c>
      <c r="AT16">
        <f>IF(AND('(橫掃)RX Mapping'!AT16&gt;=1,'(橫掃)RX Mapping'!AT16&lt;=120), ('(橫掃)RX Mapping'!AT16-1),IF(AND('(橫掃)RX Mapping'!AT16&gt;=121,'(橫掃)RX Mapping'!AT16&lt;=240), (-1)*('(橫掃)RX Mapping'!AT16-240),IF(AND('(橫掃)RX Mapping'!AT16&gt;=241,'(橫掃)RX Mapping'!AT16&lt;=360), ('(橫掃)RX Mapping'!AT16-241),IF(AND('(橫掃)RX Mapping'!AT16&gt;=361,'(橫掃)RX Mapping'!AT16&lt;=480), (-1)*('(橫掃)RX Mapping'!AT16-480),IF(AND('(橫掃)RX Mapping'!AT16&gt;=481,'(橫掃)RX Mapping'!AT16&lt;=600), ('(橫掃)RX Mapping'!AT16-361),IF(AND('(橫掃)RX Mapping'!AT16&gt;=601,'(橫掃)RX Mapping'!AT16&lt;=720), (-1)*('(橫掃)RX Mapping'!AT16-720)+120,IF(AND('(橫掃)RX Mapping'!AT16&gt;=721,'(橫掃)RX Mapping'!AT16&lt;=840), ('(橫掃)RX Mapping'!AT16-601),IF(AND('(橫掃)RX Mapping'!AT16&gt;=841,'(橫掃)RX Mapping'!AT16&lt;=960), (-1)*('(橫掃)RX Mapping'!AT16-960)+120,9999))))))))</f>
        <v>9999</v>
      </c>
      <c r="AU16">
        <f>IF(AND('(橫掃)RX Mapping'!AU16&gt;=1,'(橫掃)RX Mapping'!AU16&lt;=120), ('(橫掃)RX Mapping'!AU16-1),IF(AND('(橫掃)RX Mapping'!AU16&gt;=121,'(橫掃)RX Mapping'!AU16&lt;=240), (-1)*('(橫掃)RX Mapping'!AU16-240),IF(AND('(橫掃)RX Mapping'!AU16&gt;=241,'(橫掃)RX Mapping'!AU16&lt;=360), ('(橫掃)RX Mapping'!AU16-241),IF(AND('(橫掃)RX Mapping'!AU16&gt;=361,'(橫掃)RX Mapping'!AU16&lt;=480), (-1)*('(橫掃)RX Mapping'!AU16-480),IF(AND('(橫掃)RX Mapping'!AU16&gt;=481,'(橫掃)RX Mapping'!AU16&lt;=600), ('(橫掃)RX Mapping'!AU16-361),IF(AND('(橫掃)RX Mapping'!AU16&gt;=601,'(橫掃)RX Mapping'!AU16&lt;=720), (-1)*('(橫掃)RX Mapping'!AU16-720)+120,IF(AND('(橫掃)RX Mapping'!AU16&gt;=721,'(橫掃)RX Mapping'!AU16&lt;=840), ('(橫掃)RX Mapping'!AU16-601),IF(AND('(橫掃)RX Mapping'!AU16&gt;=841,'(橫掃)RX Mapping'!AU16&lt;=960), (-1)*('(橫掃)RX Mapping'!AU16-960)+120,9999))))))))</f>
        <v>9999</v>
      </c>
      <c r="AV16">
        <f>IF(AND('(橫掃)RX Mapping'!AV16&gt;=1,'(橫掃)RX Mapping'!AV16&lt;=120), ('(橫掃)RX Mapping'!AV16-1),IF(AND('(橫掃)RX Mapping'!AV16&gt;=121,'(橫掃)RX Mapping'!AV16&lt;=240), (-1)*('(橫掃)RX Mapping'!AV16-240),IF(AND('(橫掃)RX Mapping'!AV16&gt;=241,'(橫掃)RX Mapping'!AV16&lt;=360), ('(橫掃)RX Mapping'!AV16-241),IF(AND('(橫掃)RX Mapping'!AV16&gt;=361,'(橫掃)RX Mapping'!AV16&lt;=480), (-1)*('(橫掃)RX Mapping'!AV16-480),IF(AND('(橫掃)RX Mapping'!AV16&gt;=481,'(橫掃)RX Mapping'!AV16&lt;=600), ('(橫掃)RX Mapping'!AV16-361),IF(AND('(橫掃)RX Mapping'!AV16&gt;=601,'(橫掃)RX Mapping'!AV16&lt;=720), (-1)*('(橫掃)RX Mapping'!AV16-720)+120,IF(AND('(橫掃)RX Mapping'!AV16&gt;=721,'(橫掃)RX Mapping'!AV16&lt;=840), ('(橫掃)RX Mapping'!AV16-601),IF(AND('(橫掃)RX Mapping'!AV16&gt;=841,'(橫掃)RX Mapping'!AV16&lt;=960), (-1)*('(橫掃)RX Mapping'!AV16-960)+120,9999))))))))</f>
        <v>9999</v>
      </c>
      <c r="AW16">
        <f>IF(AND('(橫掃)RX Mapping'!AW16&gt;=1,'(橫掃)RX Mapping'!AW16&lt;=120), ('(橫掃)RX Mapping'!AW16-1),IF(AND('(橫掃)RX Mapping'!AW16&gt;=121,'(橫掃)RX Mapping'!AW16&lt;=240), (-1)*('(橫掃)RX Mapping'!AW16-240),IF(AND('(橫掃)RX Mapping'!AW16&gt;=241,'(橫掃)RX Mapping'!AW16&lt;=360), ('(橫掃)RX Mapping'!AW16-241),IF(AND('(橫掃)RX Mapping'!AW16&gt;=361,'(橫掃)RX Mapping'!AW16&lt;=480), (-1)*('(橫掃)RX Mapping'!AW16-480),IF(AND('(橫掃)RX Mapping'!AW16&gt;=481,'(橫掃)RX Mapping'!AW16&lt;=600), ('(橫掃)RX Mapping'!AW16-361),IF(AND('(橫掃)RX Mapping'!AW16&gt;=601,'(橫掃)RX Mapping'!AW16&lt;=720), (-1)*('(橫掃)RX Mapping'!AW16-720)+120,IF(AND('(橫掃)RX Mapping'!AW16&gt;=721,'(橫掃)RX Mapping'!AW16&lt;=840), ('(橫掃)RX Mapping'!AW16-601),IF(AND('(橫掃)RX Mapping'!AW16&gt;=841,'(橫掃)RX Mapping'!AW16&lt;=960), (-1)*('(橫掃)RX Mapping'!AW16-960)+120,9999))))))))</f>
        <v>9999</v>
      </c>
      <c r="AX16">
        <f>IF(AND('(橫掃)RX Mapping'!AX16&gt;=1,'(橫掃)RX Mapping'!AX16&lt;=120), ('(橫掃)RX Mapping'!AX16-1),IF(AND('(橫掃)RX Mapping'!AX16&gt;=121,'(橫掃)RX Mapping'!AX16&lt;=240), (-1)*('(橫掃)RX Mapping'!AX16-240),IF(AND('(橫掃)RX Mapping'!AX16&gt;=241,'(橫掃)RX Mapping'!AX16&lt;=360), ('(橫掃)RX Mapping'!AX16-241),IF(AND('(橫掃)RX Mapping'!AX16&gt;=361,'(橫掃)RX Mapping'!AX16&lt;=480), (-1)*('(橫掃)RX Mapping'!AX16-480),IF(AND('(橫掃)RX Mapping'!AX16&gt;=481,'(橫掃)RX Mapping'!AX16&lt;=600), ('(橫掃)RX Mapping'!AX16-361),IF(AND('(橫掃)RX Mapping'!AX16&gt;=601,'(橫掃)RX Mapping'!AX16&lt;=720), (-1)*('(橫掃)RX Mapping'!AX16-720)+120,IF(AND('(橫掃)RX Mapping'!AX16&gt;=721,'(橫掃)RX Mapping'!AX16&lt;=840), ('(橫掃)RX Mapping'!AX16-601),IF(AND('(橫掃)RX Mapping'!AX16&gt;=841,'(橫掃)RX Mapping'!AX16&lt;=960), (-1)*('(橫掃)RX Mapping'!AX16-960)+120,9999))))))))</f>
        <v>9999</v>
      </c>
      <c r="AY16">
        <f>IF(AND('(橫掃)RX Mapping'!AY16&gt;=1,'(橫掃)RX Mapping'!AY16&lt;=120), ('(橫掃)RX Mapping'!AY16-1),IF(AND('(橫掃)RX Mapping'!AY16&gt;=121,'(橫掃)RX Mapping'!AY16&lt;=240), (-1)*('(橫掃)RX Mapping'!AY16-240),IF(AND('(橫掃)RX Mapping'!AY16&gt;=241,'(橫掃)RX Mapping'!AY16&lt;=360), ('(橫掃)RX Mapping'!AY16-241),IF(AND('(橫掃)RX Mapping'!AY16&gt;=361,'(橫掃)RX Mapping'!AY16&lt;=480), (-1)*('(橫掃)RX Mapping'!AY16-480),IF(AND('(橫掃)RX Mapping'!AY16&gt;=481,'(橫掃)RX Mapping'!AY16&lt;=600), ('(橫掃)RX Mapping'!AY16-361),IF(AND('(橫掃)RX Mapping'!AY16&gt;=601,'(橫掃)RX Mapping'!AY16&lt;=720), (-1)*('(橫掃)RX Mapping'!AY16-720)+120,IF(AND('(橫掃)RX Mapping'!AY16&gt;=721,'(橫掃)RX Mapping'!AY16&lt;=840), ('(橫掃)RX Mapping'!AY16-601),IF(AND('(橫掃)RX Mapping'!AY16&gt;=841,'(橫掃)RX Mapping'!AY16&lt;=960), (-1)*('(橫掃)RX Mapping'!AY16-960)+120,9999))))))))</f>
        <v>9999</v>
      </c>
      <c r="AZ16">
        <f>IF(AND('(橫掃)RX Mapping'!AZ16&gt;=1,'(橫掃)RX Mapping'!AZ16&lt;=120), ('(橫掃)RX Mapping'!AZ16-1),IF(AND('(橫掃)RX Mapping'!AZ16&gt;=121,'(橫掃)RX Mapping'!AZ16&lt;=240), (-1)*('(橫掃)RX Mapping'!AZ16-240),IF(AND('(橫掃)RX Mapping'!AZ16&gt;=241,'(橫掃)RX Mapping'!AZ16&lt;=360), ('(橫掃)RX Mapping'!AZ16-241),IF(AND('(橫掃)RX Mapping'!AZ16&gt;=361,'(橫掃)RX Mapping'!AZ16&lt;=480), (-1)*('(橫掃)RX Mapping'!AZ16-480),IF(AND('(橫掃)RX Mapping'!AZ16&gt;=481,'(橫掃)RX Mapping'!AZ16&lt;=600), ('(橫掃)RX Mapping'!AZ16-361),IF(AND('(橫掃)RX Mapping'!AZ16&gt;=601,'(橫掃)RX Mapping'!AZ16&lt;=720), (-1)*('(橫掃)RX Mapping'!AZ16-720)+120,IF(AND('(橫掃)RX Mapping'!AZ16&gt;=721,'(橫掃)RX Mapping'!AZ16&lt;=840), ('(橫掃)RX Mapping'!AZ16-601),IF(AND('(橫掃)RX Mapping'!AZ16&gt;=841,'(橫掃)RX Mapping'!AZ16&lt;=960), (-1)*('(橫掃)RX Mapping'!AZ16-960)+120,9999))))))))</f>
        <v>9999</v>
      </c>
      <c r="BA16">
        <f>IF(AND('(橫掃)RX Mapping'!BA16&gt;=1,'(橫掃)RX Mapping'!BA16&lt;=120), ('(橫掃)RX Mapping'!BA16-1),IF(AND('(橫掃)RX Mapping'!BA16&gt;=121,'(橫掃)RX Mapping'!BA16&lt;=240), (-1)*('(橫掃)RX Mapping'!BA16-240),IF(AND('(橫掃)RX Mapping'!BA16&gt;=241,'(橫掃)RX Mapping'!BA16&lt;=360), ('(橫掃)RX Mapping'!BA16-241),IF(AND('(橫掃)RX Mapping'!BA16&gt;=361,'(橫掃)RX Mapping'!BA16&lt;=480), (-1)*('(橫掃)RX Mapping'!BA16-480),IF(AND('(橫掃)RX Mapping'!BA16&gt;=481,'(橫掃)RX Mapping'!BA16&lt;=600), ('(橫掃)RX Mapping'!BA16-361),IF(AND('(橫掃)RX Mapping'!BA16&gt;=601,'(橫掃)RX Mapping'!BA16&lt;=720), (-1)*('(橫掃)RX Mapping'!BA16-720)+120,IF(AND('(橫掃)RX Mapping'!BA16&gt;=721,'(橫掃)RX Mapping'!BA16&lt;=840), ('(橫掃)RX Mapping'!BA16-601),IF(AND('(橫掃)RX Mapping'!BA16&gt;=841,'(橫掃)RX Mapping'!BA16&lt;=960), (-1)*('(橫掃)RX Mapping'!BA16-960)+120,9999))))))))</f>
        <v>9999</v>
      </c>
      <c r="BB16">
        <f>IF(AND('(橫掃)RX Mapping'!BB16&gt;=1,'(橫掃)RX Mapping'!BB16&lt;=120), ('(橫掃)RX Mapping'!BB16-1),IF(AND('(橫掃)RX Mapping'!BB16&gt;=121,'(橫掃)RX Mapping'!BB16&lt;=240), (-1)*('(橫掃)RX Mapping'!BB16-240),IF(AND('(橫掃)RX Mapping'!BB16&gt;=241,'(橫掃)RX Mapping'!BB16&lt;=360), ('(橫掃)RX Mapping'!BB16-241),IF(AND('(橫掃)RX Mapping'!BB16&gt;=361,'(橫掃)RX Mapping'!BB16&lt;=480), (-1)*('(橫掃)RX Mapping'!BB16-480),IF(AND('(橫掃)RX Mapping'!BB16&gt;=481,'(橫掃)RX Mapping'!BB16&lt;=600), ('(橫掃)RX Mapping'!BB16-361),IF(AND('(橫掃)RX Mapping'!BB16&gt;=601,'(橫掃)RX Mapping'!BB16&lt;=720), (-1)*('(橫掃)RX Mapping'!BB16-720)+120,IF(AND('(橫掃)RX Mapping'!BB16&gt;=721,'(橫掃)RX Mapping'!BB16&lt;=840), ('(橫掃)RX Mapping'!BB16-601),IF(AND('(橫掃)RX Mapping'!BB16&gt;=841,'(橫掃)RX Mapping'!BB16&lt;=960), (-1)*('(橫掃)RX Mapping'!BB16-960)+120,9999))))))))</f>
        <v>9999</v>
      </c>
      <c r="BC16">
        <f>IF(AND('(橫掃)RX Mapping'!BC16&gt;=1,'(橫掃)RX Mapping'!BC16&lt;=120), ('(橫掃)RX Mapping'!BC16-1),IF(AND('(橫掃)RX Mapping'!BC16&gt;=121,'(橫掃)RX Mapping'!BC16&lt;=240), (-1)*('(橫掃)RX Mapping'!BC16-240),IF(AND('(橫掃)RX Mapping'!BC16&gt;=241,'(橫掃)RX Mapping'!BC16&lt;=360), ('(橫掃)RX Mapping'!BC16-241),IF(AND('(橫掃)RX Mapping'!BC16&gt;=361,'(橫掃)RX Mapping'!BC16&lt;=480), (-1)*('(橫掃)RX Mapping'!BC16-480),IF(AND('(橫掃)RX Mapping'!BC16&gt;=481,'(橫掃)RX Mapping'!BC16&lt;=600), ('(橫掃)RX Mapping'!BC16-361),IF(AND('(橫掃)RX Mapping'!BC16&gt;=601,'(橫掃)RX Mapping'!BC16&lt;=720), (-1)*('(橫掃)RX Mapping'!BC16-720)+120,IF(AND('(橫掃)RX Mapping'!BC16&gt;=721,'(橫掃)RX Mapping'!BC16&lt;=840), ('(橫掃)RX Mapping'!BC16-601),IF(AND('(橫掃)RX Mapping'!BC16&gt;=841,'(橫掃)RX Mapping'!BC16&lt;=960), (-1)*('(橫掃)RX Mapping'!BC16-960)+120,9999))))))))</f>
        <v>9999</v>
      </c>
      <c r="BD16">
        <f>IF(AND('(橫掃)RX Mapping'!BD16&gt;=1,'(橫掃)RX Mapping'!BD16&lt;=120), ('(橫掃)RX Mapping'!BD16-1),IF(AND('(橫掃)RX Mapping'!BD16&gt;=121,'(橫掃)RX Mapping'!BD16&lt;=240), (-1)*('(橫掃)RX Mapping'!BD16-240),IF(AND('(橫掃)RX Mapping'!BD16&gt;=241,'(橫掃)RX Mapping'!BD16&lt;=360), ('(橫掃)RX Mapping'!BD16-241),IF(AND('(橫掃)RX Mapping'!BD16&gt;=361,'(橫掃)RX Mapping'!BD16&lt;=480), (-1)*('(橫掃)RX Mapping'!BD16-480),IF(AND('(橫掃)RX Mapping'!BD16&gt;=481,'(橫掃)RX Mapping'!BD16&lt;=600), ('(橫掃)RX Mapping'!BD16-361),IF(AND('(橫掃)RX Mapping'!BD16&gt;=601,'(橫掃)RX Mapping'!BD16&lt;=720), (-1)*('(橫掃)RX Mapping'!BD16-720)+120,IF(AND('(橫掃)RX Mapping'!BD16&gt;=721,'(橫掃)RX Mapping'!BD16&lt;=840), ('(橫掃)RX Mapping'!BD16-601),IF(AND('(橫掃)RX Mapping'!BD16&gt;=841,'(橫掃)RX Mapping'!BD16&lt;=960), (-1)*('(橫掃)RX Mapping'!BD16-960)+120,9999))))))))</f>
        <v>9999</v>
      </c>
      <c r="BE16">
        <f>IF(AND('(橫掃)RX Mapping'!BE16&gt;=1,'(橫掃)RX Mapping'!BE16&lt;=120), ('(橫掃)RX Mapping'!BE16-1),IF(AND('(橫掃)RX Mapping'!BE16&gt;=121,'(橫掃)RX Mapping'!BE16&lt;=240), (-1)*('(橫掃)RX Mapping'!BE16-240),IF(AND('(橫掃)RX Mapping'!BE16&gt;=241,'(橫掃)RX Mapping'!BE16&lt;=360), ('(橫掃)RX Mapping'!BE16-241),IF(AND('(橫掃)RX Mapping'!BE16&gt;=361,'(橫掃)RX Mapping'!BE16&lt;=480), (-1)*('(橫掃)RX Mapping'!BE16-480),IF(AND('(橫掃)RX Mapping'!BE16&gt;=481,'(橫掃)RX Mapping'!BE16&lt;=600), ('(橫掃)RX Mapping'!BE16-361),IF(AND('(橫掃)RX Mapping'!BE16&gt;=601,'(橫掃)RX Mapping'!BE16&lt;=720), (-1)*('(橫掃)RX Mapping'!BE16-720)+120,IF(AND('(橫掃)RX Mapping'!BE16&gt;=721,'(橫掃)RX Mapping'!BE16&lt;=840), ('(橫掃)RX Mapping'!BE16-601),IF(AND('(橫掃)RX Mapping'!BE16&gt;=841,'(橫掃)RX Mapping'!BE16&lt;=960), (-1)*('(橫掃)RX Mapping'!BE16-960)+120,9999))))))))</f>
        <v>9999</v>
      </c>
      <c r="BF16">
        <f>IF(AND('(橫掃)RX Mapping'!BF16&gt;=1,'(橫掃)RX Mapping'!BF16&lt;=120), ('(橫掃)RX Mapping'!BF16-1),IF(AND('(橫掃)RX Mapping'!BF16&gt;=121,'(橫掃)RX Mapping'!BF16&lt;=240), (-1)*('(橫掃)RX Mapping'!BF16-240),IF(AND('(橫掃)RX Mapping'!BF16&gt;=241,'(橫掃)RX Mapping'!BF16&lt;=360), ('(橫掃)RX Mapping'!BF16-241),IF(AND('(橫掃)RX Mapping'!BF16&gt;=361,'(橫掃)RX Mapping'!BF16&lt;=480), (-1)*('(橫掃)RX Mapping'!BF16-480),IF(AND('(橫掃)RX Mapping'!BF16&gt;=481,'(橫掃)RX Mapping'!BF16&lt;=600), ('(橫掃)RX Mapping'!BF16-361),IF(AND('(橫掃)RX Mapping'!BF16&gt;=601,'(橫掃)RX Mapping'!BF16&lt;=720), (-1)*('(橫掃)RX Mapping'!BF16-720)+120,IF(AND('(橫掃)RX Mapping'!BF16&gt;=721,'(橫掃)RX Mapping'!BF16&lt;=840), ('(橫掃)RX Mapping'!BF16-601),IF(AND('(橫掃)RX Mapping'!BF16&gt;=841,'(橫掃)RX Mapping'!BF16&lt;=960), (-1)*('(橫掃)RX Mapping'!BF16-960)+120,9999))))))))</f>
        <v>9999</v>
      </c>
      <c r="BG16">
        <f>IF(AND('(橫掃)RX Mapping'!BG16&gt;=1,'(橫掃)RX Mapping'!BG16&lt;=120), ('(橫掃)RX Mapping'!BG16-1),IF(AND('(橫掃)RX Mapping'!BG16&gt;=121,'(橫掃)RX Mapping'!BG16&lt;=240), (-1)*('(橫掃)RX Mapping'!BG16-240),IF(AND('(橫掃)RX Mapping'!BG16&gt;=241,'(橫掃)RX Mapping'!BG16&lt;=360), ('(橫掃)RX Mapping'!BG16-241),IF(AND('(橫掃)RX Mapping'!BG16&gt;=361,'(橫掃)RX Mapping'!BG16&lt;=480), (-1)*('(橫掃)RX Mapping'!BG16-480),IF(AND('(橫掃)RX Mapping'!BG16&gt;=481,'(橫掃)RX Mapping'!BG16&lt;=600), ('(橫掃)RX Mapping'!BG16-361),IF(AND('(橫掃)RX Mapping'!BG16&gt;=601,'(橫掃)RX Mapping'!BG16&lt;=720), (-1)*('(橫掃)RX Mapping'!BG16-720)+120,IF(AND('(橫掃)RX Mapping'!BG16&gt;=721,'(橫掃)RX Mapping'!BG16&lt;=840), ('(橫掃)RX Mapping'!BG16-601),IF(AND('(橫掃)RX Mapping'!BG16&gt;=841,'(橫掃)RX Mapping'!BG16&lt;=960), (-1)*('(橫掃)RX Mapping'!BG16-960)+120,9999))))))))</f>
        <v>9999</v>
      </c>
      <c r="BH16">
        <f>IF(AND('(橫掃)RX Mapping'!BH16&gt;=1,'(橫掃)RX Mapping'!BH16&lt;=120), ('(橫掃)RX Mapping'!BH16-1),IF(AND('(橫掃)RX Mapping'!BH16&gt;=121,'(橫掃)RX Mapping'!BH16&lt;=240), (-1)*('(橫掃)RX Mapping'!BH16-240),IF(AND('(橫掃)RX Mapping'!BH16&gt;=241,'(橫掃)RX Mapping'!BH16&lt;=360), ('(橫掃)RX Mapping'!BH16-241),IF(AND('(橫掃)RX Mapping'!BH16&gt;=361,'(橫掃)RX Mapping'!BH16&lt;=480), (-1)*('(橫掃)RX Mapping'!BH16-480),IF(AND('(橫掃)RX Mapping'!BH16&gt;=481,'(橫掃)RX Mapping'!BH16&lt;=600), ('(橫掃)RX Mapping'!BH16-361),IF(AND('(橫掃)RX Mapping'!BH16&gt;=601,'(橫掃)RX Mapping'!BH16&lt;=720), (-1)*('(橫掃)RX Mapping'!BH16-720)+120,IF(AND('(橫掃)RX Mapping'!BH16&gt;=721,'(橫掃)RX Mapping'!BH16&lt;=840), ('(橫掃)RX Mapping'!BH16-601),IF(AND('(橫掃)RX Mapping'!BH16&gt;=841,'(橫掃)RX Mapping'!BH16&lt;=960), (-1)*('(橫掃)RX Mapping'!BH16-960)+120,9999))))))))</f>
        <v>9999</v>
      </c>
      <c r="BI16">
        <f>IF(AND('(橫掃)RX Mapping'!BI16&gt;=1,'(橫掃)RX Mapping'!BI16&lt;=120), ('(橫掃)RX Mapping'!BI16-1),IF(AND('(橫掃)RX Mapping'!BI16&gt;=121,'(橫掃)RX Mapping'!BI16&lt;=240), (-1)*('(橫掃)RX Mapping'!BI16-240),IF(AND('(橫掃)RX Mapping'!BI16&gt;=241,'(橫掃)RX Mapping'!BI16&lt;=360), ('(橫掃)RX Mapping'!BI16-241),IF(AND('(橫掃)RX Mapping'!BI16&gt;=361,'(橫掃)RX Mapping'!BI16&lt;=480), (-1)*('(橫掃)RX Mapping'!BI16-480),IF(AND('(橫掃)RX Mapping'!BI16&gt;=481,'(橫掃)RX Mapping'!BI16&lt;=600), ('(橫掃)RX Mapping'!BI16-361),IF(AND('(橫掃)RX Mapping'!BI16&gt;=601,'(橫掃)RX Mapping'!BI16&lt;=720), (-1)*('(橫掃)RX Mapping'!BI16-720)+120,IF(AND('(橫掃)RX Mapping'!BI16&gt;=721,'(橫掃)RX Mapping'!BI16&lt;=840), ('(橫掃)RX Mapping'!BI16-601),IF(AND('(橫掃)RX Mapping'!BI16&gt;=841,'(橫掃)RX Mapping'!BI16&lt;=960), (-1)*('(橫掃)RX Mapping'!BI16-960)+120,9999))))))))</f>
        <v>9999</v>
      </c>
    </row>
    <row r="17" spans="1:61" x14ac:dyDescent="0.25">
      <c r="A17" s="20">
        <v>16</v>
      </c>
      <c r="B17">
        <f>IF(
(AND('(直掃)RX Mapping'!B17&gt;=0,'(直掃)RX Mapping'!B17&lt;=480)),
(MOD('(直掃)RX Mapping'!B17,120)-1),
IF(
(AND('(直掃)RX Mapping'!B17&gt;=480,'(直掃)RX Mapping'!B17&lt;=960)),
IF(MOD('(直掃)RX Mapping'!B17,120)=0, 120, 240-MOD('(直掃)RX Mapping'!B17,120)),9999))+IF(AND(MOD('(直掃)RX Mapping'!B17,120)=0, '(直掃)RX Mapping'!B17 &lt;= 480,  '(直掃)RX Mapping'!B17 &gt; 0), 120)</f>
        <v>135</v>
      </c>
      <c r="C17">
        <f>IF(
(AND('(直掃)RX Mapping'!C17&gt;=0,'(直掃)RX Mapping'!C17&lt;=480)),
(MOD('(直掃)RX Mapping'!C17,120)-1),
IF(
(AND('(直掃)RX Mapping'!C17&gt;=480,'(直掃)RX Mapping'!C17&lt;=960)),
IF(MOD('(直掃)RX Mapping'!C17,120)=0, 120, 240-MOD('(直掃)RX Mapping'!C17,120)),9999))+IF(AND(MOD('(直掃)RX Mapping'!C17,120)=0, '(直掃)RX Mapping'!C17 &lt;= 480,  '(直掃)RX Mapping'!C17 &gt; 0), 120)</f>
        <v>165</v>
      </c>
      <c r="D17">
        <f>IF(
(AND('(直掃)RX Mapping'!D17&gt;=0,'(直掃)RX Mapping'!D17&lt;=480)),
(MOD('(直掃)RX Mapping'!D17,120)-1),
IF(
(AND('(直掃)RX Mapping'!D17&gt;=480,'(直掃)RX Mapping'!D17&lt;=960)),
IF(MOD('(直掃)RX Mapping'!D17,120)=0, 120, 240-MOD('(直掃)RX Mapping'!D17,120)),9999))+IF(AND(MOD('(直掃)RX Mapping'!D17,120)=0, '(直掃)RX Mapping'!D17 &lt;= 480,  '(直掃)RX Mapping'!D17 &gt; 0), 120)</f>
        <v>195</v>
      </c>
      <c r="E17">
        <f>IF(
(AND('(直掃)RX Mapping'!E17&gt;=0,'(直掃)RX Mapping'!E17&lt;=480)),
(MOD('(直掃)RX Mapping'!E17,120)-1),
IF(
(AND('(直掃)RX Mapping'!E17&gt;=480,'(直掃)RX Mapping'!E17&lt;=960)),
IF(MOD('(直掃)RX Mapping'!E17,120)=0, 120, 240-MOD('(直掃)RX Mapping'!E17,120)),9999))+IF(AND(MOD('(直掃)RX Mapping'!E17,120)=0, '(直掃)RX Mapping'!E17 &lt;= 480,  '(直掃)RX Mapping'!E17 &gt; 0), 120)</f>
        <v>135</v>
      </c>
      <c r="F17">
        <f>IF(
(AND('(直掃)RX Mapping'!F17&gt;=0,'(直掃)RX Mapping'!F17&lt;=480)),
(MOD('(直掃)RX Mapping'!F17,120)-1),
IF(
(AND('(直掃)RX Mapping'!F17&gt;=480,'(直掃)RX Mapping'!F17&lt;=960)),
IF(MOD('(直掃)RX Mapping'!F17,120)=0, 120, 240-MOD('(直掃)RX Mapping'!F17,120)),9999))+IF(AND(MOD('(直掃)RX Mapping'!F17,120)=0, '(直掃)RX Mapping'!F17 &lt;= 480,  '(直掃)RX Mapping'!F17 &gt; 0), 120)</f>
        <v>165</v>
      </c>
      <c r="G17">
        <f>IF(
(AND('(直掃)RX Mapping'!G17&gt;=0,'(直掃)RX Mapping'!G17&lt;=480)),
(MOD('(直掃)RX Mapping'!G17,120)-1),
IF(
(AND('(直掃)RX Mapping'!G17&gt;=480,'(直掃)RX Mapping'!G17&lt;=960)),
IF(MOD('(直掃)RX Mapping'!G17,120)=0, 120, 240-MOD('(直掃)RX Mapping'!G17,120)),9999))+IF(AND(MOD('(直掃)RX Mapping'!G17,120)=0, '(直掃)RX Mapping'!G17 &lt;= 480,  '(直掃)RX Mapping'!G17 &gt; 0), 120)</f>
        <v>195</v>
      </c>
      <c r="H17">
        <f>IF(
(AND('(直掃)RX Mapping'!H17&gt;=0,'(直掃)RX Mapping'!H17&lt;=480)),
(MOD('(直掃)RX Mapping'!H17,120)-1),
IF(
(AND('(直掃)RX Mapping'!H17&gt;=480,'(直掃)RX Mapping'!H17&lt;=960)),
IF(MOD('(直掃)RX Mapping'!H17,120)=0, 120, 240-MOD('(直掃)RX Mapping'!H17,120)),9999))+IF(AND(MOD('(直掃)RX Mapping'!H17,120)=0, '(直掃)RX Mapping'!H17 &lt;= 480,  '(直掃)RX Mapping'!H17 &gt; 0), 120)</f>
        <v>135</v>
      </c>
      <c r="I17">
        <f>IF(
(AND('(直掃)RX Mapping'!I17&gt;=0,'(直掃)RX Mapping'!I17&lt;=480)),
(MOD('(直掃)RX Mapping'!I17,120)-1),
IF(
(AND('(直掃)RX Mapping'!I17&gt;=480,'(直掃)RX Mapping'!I17&lt;=960)),
IF(MOD('(直掃)RX Mapping'!I17,120)=0, 120, 240-MOD('(直掃)RX Mapping'!I17,120)),9999))+IF(AND(MOD('(直掃)RX Mapping'!I17,120)=0, '(直掃)RX Mapping'!I17 &lt;= 480,  '(直掃)RX Mapping'!I17 &gt; 0), 120)</f>
        <v>165</v>
      </c>
      <c r="J17">
        <f>IF(
(AND('(直掃)RX Mapping'!J17&gt;=0,'(直掃)RX Mapping'!J17&lt;=480)),
(MOD('(直掃)RX Mapping'!J17,120)-1),
IF(
(AND('(直掃)RX Mapping'!J17&gt;=480,'(直掃)RX Mapping'!J17&lt;=960)),
IF(MOD('(直掃)RX Mapping'!J17,120)=0, 120, 240-MOD('(直掃)RX Mapping'!J17,120)),9999))+IF(AND(MOD('(直掃)RX Mapping'!J17,120)=0, '(直掃)RX Mapping'!J17 &lt;= 480,  '(直掃)RX Mapping'!J17 &gt; 0), 120)</f>
        <v>195</v>
      </c>
      <c r="K17">
        <f>IF(
(AND('(直掃)RX Mapping'!K17&gt;=0,'(直掃)RX Mapping'!K17&lt;=480)),
(MOD('(直掃)RX Mapping'!K17,120)-1),
IF(
(AND('(直掃)RX Mapping'!K17&gt;=480,'(直掃)RX Mapping'!K17&lt;=960)),
IF(MOD('(直掃)RX Mapping'!K17,120)=0, 120, 240-MOD('(直掃)RX Mapping'!K17,120)),9999))+IF(AND(MOD('(直掃)RX Mapping'!K17,120)=0, '(直掃)RX Mapping'!K17 &lt;= 480,  '(直掃)RX Mapping'!K17 &gt; 0), 120)</f>
        <v>225</v>
      </c>
      <c r="L17">
        <f>IF(
(AND('(直掃)RX Mapping'!L17&gt;=0,'(直掃)RX Mapping'!L17&lt;=480)),
(MOD('(直掃)RX Mapping'!L17,120)-1),
IF(
(AND('(直掃)RX Mapping'!L17&gt;=480,'(直掃)RX Mapping'!L17&lt;=960)),
IF(MOD('(直掃)RX Mapping'!L17,120)=0, 120, 240-MOD('(直掃)RX Mapping'!L17,120)),9999))+IF(AND(MOD('(直掃)RX Mapping'!L17,120)=0, '(直掃)RX Mapping'!L17 &lt;= 480,  '(直掃)RX Mapping'!L17 &gt; 0), 120)</f>
        <v>135</v>
      </c>
      <c r="M17">
        <f>IF(
(AND('(直掃)RX Mapping'!M17&gt;=0,'(直掃)RX Mapping'!M17&lt;=480)),
(MOD('(直掃)RX Mapping'!M17,120)-1),
IF(
(AND('(直掃)RX Mapping'!M17&gt;=480,'(直掃)RX Mapping'!M17&lt;=960)),
IF(MOD('(直掃)RX Mapping'!M17,120)=0, 120, 240-MOD('(直掃)RX Mapping'!M17,120)),9999))+IF(AND(MOD('(直掃)RX Mapping'!M17,120)=0, '(直掃)RX Mapping'!M17 &lt;= 480,  '(直掃)RX Mapping'!M17 &gt; 0), 120)</f>
        <v>165</v>
      </c>
      <c r="N17">
        <f>IF(
(AND('(直掃)RX Mapping'!N17&gt;=0,'(直掃)RX Mapping'!N17&lt;=480)),
(MOD('(直掃)RX Mapping'!N17,120)-1),
IF(
(AND('(直掃)RX Mapping'!N17&gt;=480,'(直掃)RX Mapping'!N17&lt;=960)),
IF(MOD('(直掃)RX Mapping'!N17,120)=0, 120, 240-MOD('(直掃)RX Mapping'!N17,120)),9999))+IF(AND(MOD('(直掃)RX Mapping'!N17,120)=0, '(直掃)RX Mapping'!N17 &lt;= 480,  '(直掃)RX Mapping'!N17 &gt; 0), 120)</f>
        <v>195</v>
      </c>
      <c r="O17">
        <f>IF(
(AND('(直掃)RX Mapping'!O17&gt;=0,'(直掃)RX Mapping'!O17&lt;=480)),
(MOD('(直掃)RX Mapping'!O17,120)-1),
IF(
(AND('(直掃)RX Mapping'!O17&gt;=480,'(直掃)RX Mapping'!O17&lt;=960)),
IF(MOD('(直掃)RX Mapping'!O17,120)=0, 120, 240-MOD('(直掃)RX Mapping'!O17,120)),9999))+IF(AND(MOD('(直掃)RX Mapping'!O17,120)=0, '(直掃)RX Mapping'!O17 &lt;= 480,  '(直掃)RX Mapping'!O17 &gt; 0), 120)</f>
        <v>225</v>
      </c>
      <c r="P17">
        <f>IF(
(AND('(直掃)RX Mapping'!P17&gt;=0,'(直掃)RX Mapping'!P17&lt;=480)),
(MOD('(直掃)RX Mapping'!P17,120)-1),
IF(
(AND('(直掃)RX Mapping'!P17&gt;=480,'(直掃)RX Mapping'!P17&lt;=960)),
IF(MOD('(直掃)RX Mapping'!P17,120)=0, 120, 240-MOD('(直掃)RX Mapping'!P17,120)),9999))+IF(AND(MOD('(直掃)RX Mapping'!P17,120)=0, '(直掃)RX Mapping'!P17 &lt;= 480,  '(直掃)RX Mapping'!P17 &gt; 0), 120)</f>
        <v>104</v>
      </c>
      <c r="Q17">
        <f>IF(
(AND('(直掃)RX Mapping'!Q17&gt;=0,'(直掃)RX Mapping'!Q17&lt;=480)),
(MOD('(直掃)RX Mapping'!Q17,120)-1),
IF(
(AND('(直掃)RX Mapping'!Q17&gt;=480,'(直掃)RX Mapping'!Q17&lt;=960)),
IF(MOD('(直掃)RX Mapping'!Q17,120)=0, 120, 240-MOD('(直掃)RX Mapping'!Q17,120)),9999))+IF(AND(MOD('(直掃)RX Mapping'!Q17,120)=0, '(直掃)RX Mapping'!Q17 &lt;= 480,  '(直掃)RX Mapping'!Q17 &gt; 0), 120)</f>
        <v>74</v>
      </c>
      <c r="R17">
        <f>IF(
(AND('(直掃)RX Mapping'!R17&gt;=0,'(直掃)RX Mapping'!R17&lt;=480)),
(MOD('(直掃)RX Mapping'!R17,120)-1),
IF(
(AND('(直掃)RX Mapping'!R17&gt;=480,'(直掃)RX Mapping'!R17&lt;=960)),
IF(MOD('(直掃)RX Mapping'!R17,120)=0, 120, 240-MOD('(直掃)RX Mapping'!R17,120)),9999))+IF(AND(MOD('(直掃)RX Mapping'!R17,120)=0, '(直掃)RX Mapping'!R17 &lt;= 480,  '(直掃)RX Mapping'!R17 &gt; 0), 120)</f>
        <v>44</v>
      </c>
      <c r="S17">
        <f>IF(
(AND('(直掃)RX Mapping'!S17&gt;=0,'(直掃)RX Mapping'!S17&lt;=480)),
(MOD('(直掃)RX Mapping'!S17,120)-1),
IF(
(AND('(直掃)RX Mapping'!S17&gt;=480,'(直掃)RX Mapping'!S17&lt;=960)),
IF(MOD('(直掃)RX Mapping'!S17,120)=0, 120, 240-MOD('(直掃)RX Mapping'!S17,120)),9999))+IF(AND(MOD('(直掃)RX Mapping'!S17,120)=0, '(直掃)RX Mapping'!S17 &lt;= 480,  '(直掃)RX Mapping'!S17 &gt; 0), 120)</f>
        <v>14</v>
      </c>
      <c r="T17">
        <f>IF(
(AND('(直掃)RX Mapping'!T17&gt;=0,'(直掃)RX Mapping'!T17&lt;=480)),
(MOD('(直掃)RX Mapping'!T17,120)-1),
IF(
(AND('(直掃)RX Mapping'!T17&gt;=480,'(直掃)RX Mapping'!T17&lt;=960)),
IF(MOD('(直掃)RX Mapping'!T17,120)=0, 120, 240-MOD('(直掃)RX Mapping'!T17,120)),9999))+IF(AND(MOD('(直掃)RX Mapping'!T17,120)=0, '(直掃)RX Mapping'!T17 &lt;= 480,  '(直掃)RX Mapping'!T17 &gt; 0), 120)</f>
        <v>104</v>
      </c>
      <c r="U17">
        <f>IF(
(AND('(直掃)RX Mapping'!U17&gt;=0,'(直掃)RX Mapping'!U17&lt;=480)),
(MOD('(直掃)RX Mapping'!U17,120)-1),
IF(
(AND('(直掃)RX Mapping'!U17&gt;=480,'(直掃)RX Mapping'!U17&lt;=960)),
IF(MOD('(直掃)RX Mapping'!U17,120)=0, 120, 240-MOD('(直掃)RX Mapping'!U17,120)),9999))+IF(AND(MOD('(直掃)RX Mapping'!U17,120)=0, '(直掃)RX Mapping'!U17 &lt;= 480,  '(直掃)RX Mapping'!U17 &gt; 0), 120)</f>
        <v>74</v>
      </c>
      <c r="V17">
        <f>IF(
(AND('(直掃)RX Mapping'!V17&gt;=0,'(直掃)RX Mapping'!V17&lt;=480)),
(MOD('(直掃)RX Mapping'!V17,120)-1),
IF(
(AND('(直掃)RX Mapping'!V17&gt;=480,'(直掃)RX Mapping'!V17&lt;=960)),
IF(MOD('(直掃)RX Mapping'!V17,120)=0, 120, 240-MOD('(直掃)RX Mapping'!V17,120)),9999))+IF(AND(MOD('(直掃)RX Mapping'!V17,120)=0, '(直掃)RX Mapping'!V17 &lt;= 480,  '(直掃)RX Mapping'!V17 &gt; 0), 120)</f>
        <v>44</v>
      </c>
      <c r="W17">
        <f>IF(
(AND('(直掃)RX Mapping'!W17&gt;=0,'(直掃)RX Mapping'!W17&lt;=480)),
(MOD('(直掃)RX Mapping'!W17,120)-1),
IF(
(AND('(直掃)RX Mapping'!W17&gt;=480,'(直掃)RX Mapping'!W17&lt;=960)),
IF(MOD('(直掃)RX Mapping'!W17,120)=0, 120, 240-MOD('(直掃)RX Mapping'!W17,120)),9999))+IF(AND(MOD('(直掃)RX Mapping'!W17,120)=0, '(直掃)RX Mapping'!W17 &lt;= 480,  '(直掃)RX Mapping'!W17 &gt; 0), 120)</f>
        <v>14</v>
      </c>
      <c r="X17">
        <f>IF(
(AND('(直掃)RX Mapping'!X17&gt;=0,'(直掃)RX Mapping'!X17&lt;=480)),
(MOD('(直掃)RX Mapping'!X17,120)-1),
IF(
(AND('(直掃)RX Mapping'!X17&gt;=480,'(直掃)RX Mapping'!X17&lt;=960)),
IF(MOD('(直掃)RX Mapping'!X17,120)=0, 120, 240-MOD('(直掃)RX Mapping'!X17,120)),9999))+IF(AND(MOD('(直掃)RX Mapping'!X17,120)=0, '(直掃)RX Mapping'!X17 &lt;= 480,  '(直掃)RX Mapping'!X17 &gt; 0), 120)</f>
        <v>74</v>
      </c>
      <c r="Y17">
        <f>IF(
(AND('(直掃)RX Mapping'!Y17&gt;=0,'(直掃)RX Mapping'!Y17&lt;=480)),
(MOD('(直掃)RX Mapping'!Y17,120)-1),
IF(
(AND('(直掃)RX Mapping'!Y17&gt;=480,'(直掃)RX Mapping'!Y17&lt;=960)),
IF(MOD('(直掃)RX Mapping'!Y17,120)=0, 120, 240-MOD('(直掃)RX Mapping'!Y17,120)),9999))+IF(AND(MOD('(直掃)RX Mapping'!Y17,120)=0, '(直掃)RX Mapping'!Y17 &lt;= 480,  '(直掃)RX Mapping'!Y17 &gt; 0), 120)</f>
        <v>44</v>
      </c>
      <c r="Z17">
        <f>IF(
(AND('(直掃)RX Mapping'!Z17&gt;=0,'(直掃)RX Mapping'!Z17&lt;=480)),
(MOD('(直掃)RX Mapping'!Z17,120)-1),
IF(
(AND('(直掃)RX Mapping'!Z17&gt;=480,'(直掃)RX Mapping'!Z17&lt;=960)),
IF(MOD('(直掃)RX Mapping'!Z17,120)=0, 120, 240-MOD('(直掃)RX Mapping'!Z17,120)),9999))+IF(AND(MOD('(直掃)RX Mapping'!Z17,120)=0, '(直掃)RX Mapping'!Z17 &lt;= 480,  '(直掃)RX Mapping'!Z17 &gt; 0), 120)</f>
        <v>14</v>
      </c>
      <c r="AA17">
        <f>IF(
(AND('(直掃)RX Mapping'!AA17&gt;=0,'(直掃)RX Mapping'!AA17&lt;=480)),
(MOD('(直掃)RX Mapping'!AA17,120)-1),
IF(
(AND('(直掃)RX Mapping'!AA17&gt;=480,'(直掃)RX Mapping'!AA17&lt;=960)),
IF(MOD('(直掃)RX Mapping'!AA17,120)=0, 120, 240-MOD('(直掃)RX Mapping'!AA17,120)),9999))+IF(AND(MOD('(直掃)RX Mapping'!AA17,120)=0, '(直掃)RX Mapping'!AA17 &lt;= 480,  '(直掃)RX Mapping'!AA17 &gt; 0), 120)</f>
        <v>74</v>
      </c>
      <c r="AB17">
        <f>IF(
(AND('(直掃)RX Mapping'!AB17&gt;=0,'(直掃)RX Mapping'!AB17&lt;=480)),
(MOD('(直掃)RX Mapping'!AB17,120)-1),
IF(
(AND('(直掃)RX Mapping'!AB17&gt;=480,'(直掃)RX Mapping'!AB17&lt;=960)),
IF(MOD('(直掃)RX Mapping'!AB17,120)=0, 120, 240-MOD('(直掃)RX Mapping'!AB17,120)),9999))+IF(AND(MOD('(直掃)RX Mapping'!AB17,120)=0, '(直掃)RX Mapping'!AB17 &lt;= 480,  '(直掃)RX Mapping'!AB17 &gt; 0), 120)</f>
        <v>44</v>
      </c>
      <c r="AC17">
        <f>IF(
(AND('(直掃)RX Mapping'!AC17&gt;=0,'(直掃)RX Mapping'!AC17&lt;=480)),
(MOD('(直掃)RX Mapping'!AC17,120)-1),
IF(
(AND('(直掃)RX Mapping'!AC17&gt;=480,'(直掃)RX Mapping'!AC17&lt;=960)),
IF(MOD('(直掃)RX Mapping'!AC17,120)=0, 120, 240-MOD('(直掃)RX Mapping'!AC17,120)),9999))+IF(AND(MOD('(直掃)RX Mapping'!AC17,120)=0, '(直掃)RX Mapping'!AC17 &lt;= 480,  '(直掃)RX Mapping'!AC17 &gt; 0), 120)</f>
        <v>14</v>
      </c>
      <c r="AD17">
        <f>IF(
(AND('(直掃)RX Mapping'!AD17&gt;=0,'(直掃)RX Mapping'!AD17&lt;=480)),
(MOD('(直掃)RX Mapping'!AD17,120)-1),
IF(
(AND('(直掃)RX Mapping'!AD17&gt;=480,'(直掃)RX Mapping'!AD17&lt;=960)),
IF(MOD('(直掃)RX Mapping'!AD17,120)=0, 120, 240-MOD('(直掃)RX Mapping'!AD17,120)),9999))+IF(AND(MOD('(直掃)RX Mapping'!AD17,120)=0, '(直掃)RX Mapping'!AD17 &lt;= 480,  '(直掃)RX Mapping'!AD17 &gt; 0), 120)</f>
        <v>-1</v>
      </c>
      <c r="AE17">
        <f>IF(
(AND('(直掃)RX Mapping'!AE17&gt;=0,'(直掃)RX Mapping'!AE17&lt;=480)),
(MOD('(直掃)RX Mapping'!AE17,120)-1),
IF(
(AND('(直掃)RX Mapping'!AE17&gt;=480,'(直掃)RX Mapping'!AE17&lt;=960)),
IF(MOD('(直掃)RX Mapping'!AE17,120)=0, 120, 240-MOD('(直掃)RX Mapping'!AE17,120)),9999))+IF(AND(MOD('(直掃)RX Mapping'!AE17,120)=0, '(直掃)RX Mapping'!AE17 &lt;= 480,  '(直掃)RX Mapping'!AE17 &gt; 0), 120)</f>
        <v>-1</v>
      </c>
      <c r="AF17">
        <f>IF(
(AND('(直掃)RX Mapping'!AF17&gt;=0,'(直掃)RX Mapping'!AF17&lt;=480)),
(MOD('(直掃)RX Mapping'!AF17,120)-1),
IF(
(AND('(直掃)RX Mapping'!AF17&gt;=480,'(直掃)RX Mapping'!AF17&lt;=960)),
IF(MOD('(直掃)RX Mapping'!AF17,120)=0, 120, 240-MOD('(直掃)RX Mapping'!AF17,120)),9999))+IF(AND(MOD('(直掃)RX Mapping'!AF17,120)=0, '(直掃)RX Mapping'!AF17 &lt;= 480,  '(直掃)RX Mapping'!AF17 &gt; 0), 120)</f>
        <v>-1</v>
      </c>
      <c r="AG17">
        <f>IF(
(AND('(直掃)RX Mapping'!AG17&gt;=0,'(直掃)RX Mapping'!AG17&lt;=480)),
(MOD('(直掃)RX Mapping'!AG17,120)-1),
IF(
(AND('(直掃)RX Mapping'!AG17&gt;=480,'(直掃)RX Mapping'!AG17&lt;=960)),
IF(MOD('(直掃)RX Mapping'!AG17,120)=0, 120, 240-MOD('(直掃)RX Mapping'!AG17,120)),9999))+IF(AND(MOD('(直掃)RX Mapping'!AG17,120)=0, '(直掃)RX Mapping'!AG17 &lt;= 480,  '(直掃)RX Mapping'!AG17 &gt; 0), 120)</f>
        <v>-1</v>
      </c>
      <c r="AH17">
        <f>IF(
(AND('(直掃)RX Mapping'!AH17&gt;=0,'(直掃)RX Mapping'!AH17&lt;=480)),
(MOD('(直掃)RX Mapping'!AH17,120)-1),
IF(
(AND('(直掃)RX Mapping'!AH17&gt;=480,'(直掃)RX Mapping'!AH17&lt;=960)),
IF(MOD('(直掃)RX Mapping'!AH17,120)=0, 120, 240-MOD('(直掃)RX Mapping'!AH17,120)),9999))+IF(AND(MOD('(直掃)RX Mapping'!AH17,120)=0, '(直掃)RX Mapping'!AH17 &lt;= 480,  '(直掃)RX Mapping'!AH17 &gt; 0), 120)</f>
        <v>-1</v>
      </c>
      <c r="AI17">
        <f>IF(
(AND('(直掃)RX Mapping'!AI17&gt;=0,'(直掃)RX Mapping'!AI17&lt;=480)),
(MOD('(直掃)RX Mapping'!AI17,120)-1),
IF(
(AND('(直掃)RX Mapping'!AI17&gt;=480,'(直掃)RX Mapping'!AI17&lt;=960)),
IF(MOD('(直掃)RX Mapping'!AI17,120)=0, 120, 240-MOD('(直掃)RX Mapping'!AI17,120)),9999))+IF(AND(MOD('(直掃)RX Mapping'!AI17,120)=0, '(直掃)RX Mapping'!AI17 &lt;= 480,  '(直掃)RX Mapping'!AI17 &gt; 0), 120)</f>
        <v>-1</v>
      </c>
      <c r="AJ17">
        <f>IF(
(AND('(直掃)RX Mapping'!AJ17&gt;=0,'(直掃)RX Mapping'!AJ17&lt;=480)),
(MOD('(直掃)RX Mapping'!AJ17,120)-1),
IF(
(AND('(直掃)RX Mapping'!AJ17&gt;=480,'(直掃)RX Mapping'!AJ17&lt;=960)),
IF(MOD('(直掃)RX Mapping'!AJ17,120)=0, 120, 240-MOD('(直掃)RX Mapping'!AJ17,120)),9999))+IF(AND(MOD('(直掃)RX Mapping'!AJ17,120)=0, '(直掃)RX Mapping'!AJ17 &lt;= 480,  '(直掃)RX Mapping'!AJ17 &gt; 0), 120)</f>
        <v>-1</v>
      </c>
      <c r="AK17">
        <f>IF(
(AND('(直掃)RX Mapping'!AK17&gt;=0,'(直掃)RX Mapping'!AK17&lt;=480)),
(MOD('(直掃)RX Mapping'!AK17,120)-1),
IF(
(AND('(直掃)RX Mapping'!AK17&gt;=480,'(直掃)RX Mapping'!AK17&lt;=960)),
IF(MOD('(直掃)RX Mapping'!AK17,120)=0, 120, 240-MOD('(直掃)RX Mapping'!AK17,120)),9999))+IF(AND(MOD('(直掃)RX Mapping'!AK17,120)=0, '(直掃)RX Mapping'!AK17 &lt;= 480,  '(直掃)RX Mapping'!AK17 &gt; 0), 120)</f>
        <v>-1</v>
      </c>
      <c r="AL17">
        <f>IF(
(AND('(直掃)RX Mapping'!AL17&gt;=0,'(直掃)RX Mapping'!AL17&lt;=480)),
(MOD('(直掃)RX Mapping'!AL17,120)-1),
IF(
(AND('(直掃)RX Mapping'!AL17&gt;=480,'(直掃)RX Mapping'!AL17&lt;=960)),
IF(MOD('(直掃)RX Mapping'!AL17,120)=0, 120, 240-MOD('(直掃)RX Mapping'!AL17,120)),9999))+IF(AND(MOD('(直掃)RX Mapping'!AL17,120)=0, '(直掃)RX Mapping'!AL17 &lt;= 480,  '(直掃)RX Mapping'!AL17 &gt; 0), 120)</f>
        <v>-1</v>
      </c>
      <c r="AM17">
        <f>IF(
(AND('(直掃)RX Mapping'!AM17&gt;=0,'(直掃)RX Mapping'!AM17&lt;=480)),
(MOD('(直掃)RX Mapping'!AM17,120)-1),
IF(
(AND('(直掃)RX Mapping'!AM17&gt;=480,'(直掃)RX Mapping'!AM17&lt;=960)),
IF(MOD('(直掃)RX Mapping'!AM17,120)=0, 120, 240-MOD('(直掃)RX Mapping'!AM17,120)),9999))+IF(AND(MOD('(直掃)RX Mapping'!AM17,120)=0, '(直掃)RX Mapping'!AM17 &lt;= 480,  '(直掃)RX Mapping'!AM17 &gt; 0), 120)</f>
        <v>-1</v>
      </c>
      <c r="AN17">
        <f>IF(
(AND('(直掃)RX Mapping'!AN17&gt;=0,'(直掃)RX Mapping'!AN17&lt;=480)),
(MOD('(直掃)RX Mapping'!AN17,120)-1),
IF(
(AND('(直掃)RX Mapping'!AN17&gt;=480,'(直掃)RX Mapping'!AN17&lt;=960)),
IF(MOD('(直掃)RX Mapping'!AN17,120)=0, 120, 240-MOD('(直掃)RX Mapping'!AN17,120)),9999))+IF(AND(MOD('(直掃)RX Mapping'!AN17,120)=0, '(直掃)RX Mapping'!AN17 &lt;= 480,  '(直掃)RX Mapping'!AN17 &gt; 0), 120)</f>
        <v>-1</v>
      </c>
      <c r="AO17">
        <f>IF(
(AND('(直掃)RX Mapping'!AO17&gt;=0,'(直掃)RX Mapping'!AO17&lt;=480)),
(MOD('(直掃)RX Mapping'!AO17,120)-1),
IF(
(AND('(直掃)RX Mapping'!AO17&gt;=480,'(直掃)RX Mapping'!AO17&lt;=960)),
IF(MOD('(直掃)RX Mapping'!AO17,120)=0, 120, 240-MOD('(直掃)RX Mapping'!AO17,120)),9999))+IF(AND(MOD('(直掃)RX Mapping'!AO17,120)=0, '(直掃)RX Mapping'!AO17 &lt;= 480,  '(直掃)RX Mapping'!AO17 &gt; 0), 120)</f>
        <v>-1</v>
      </c>
      <c r="AP17">
        <f>IF(
(AND('(直掃)RX Mapping'!AP17&gt;=0,'(直掃)RX Mapping'!AP17&lt;=480)),
(MOD('(直掃)RX Mapping'!AP17,120)-1),
IF(
(AND('(直掃)RX Mapping'!AP17&gt;=480,'(直掃)RX Mapping'!AP17&lt;=960)),
IF(MOD('(直掃)RX Mapping'!AP17,120)=0, 120, 240-MOD('(直掃)RX Mapping'!AP17,120)),9999))+IF(AND(MOD('(直掃)RX Mapping'!AP17,120)=0, '(直掃)RX Mapping'!AP17 &lt;= 480,  '(直掃)RX Mapping'!AP17 &gt; 0), 120)</f>
        <v>-1</v>
      </c>
      <c r="AQ17">
        <f>IF(
(AND('(直掃)RX Mapping'!AQ17&gt;=0,'(直掃)RX Mapping'!AQ17&lt;=480)),
(MOD('(直掃)RX Mapping'!AQ17,120)-1),
IF(
(AND('(直掃)RX Mapping'!AQ17&gt;=480,'(直掃)RX Mapping'!AQ17&lt;=960)),
IF(MOD('(直掃)RX Mapping'!AQ17,120)=0, 120, 240-MOD('(直掃)RX Mapping'!AQ17,120)),9999))+IF(AND(MOD('(直掃)RX Mapping'!AQ17,120)=0, '(直掃)RX Mapping'!AQ17 &lt;= 480,  '(直掃)RX Mapping'!AQ17 &gt; 0), 120)</f>
        <v>-1</v>
      </c>
      <c r="AR17">
        <f>IF(
(AND('(直掃)RX Mapping'!AR17&gt;=0,'(直掃)RX Mapping'!AR17&lt;=480)),
(MOD('(直掃)RX Mapping'!AR17,120)-1),
IF(
(AND('(直掃)RX Mapping'!AR17&gt;=480,'(直掃)RX Mapping'!AR17&lt;=960)),
IF(MOD('(直掃)RX Mapping'!AR17,120)=0, 120, 240-MOD('(直掃)RX Mapping'!AR17,120)),9999))+IF(AND(MOD('(直掃)RX Mapping'!AR17,120)=0, '(直掃)RX Mapping'!AR17 &lt;= 480,  '(直掃)RX Mapping'!AR17 &gt; 0), 120)</f>
        <v>-1</v>
      </c>
      <c r="AS17">
        <f>IF(
(AND('(直掃)RX Mapping'!AS17&gt;=0,'(直掃)RX Mapping'!AS17&lt;=480)),
(MOD('(直掃)RX Mapping'!AS17,120)-1),
IF(
(AND('(直掃)RX Mapping'!AS17&gt;=480,'(直掃)RX Mapping'!AS17&lt;=960)),
IF(MOD('(直掃)RX Mapping'!AS17,120)=0, 120, 240-MOD('(直掃)RX Mapping'!AS17,120)),9999))+IF(AND(MOD('(直掃)RX Mapping'!AS17,120)=0, '(直掃)RX Mapping'!AS17 &lt;= 480,  '(直掃)RX Mapping'!AS17 &gt; 0), 120)</f>
        <v>-1</v>
      </c>
      <c r="AT17">
        <f>IF(AND('(橫掃)RX Mapping'!AT17&gt;=1,'(橫掃)RX Mapping'!AT17&lt;=120), ('(橫掃)RX Mapping'!AT17-1),IF(AND('(橫掃)RX Mapping'!AT17&gt;=121,'(橫掃)RX Mapping'!AT17&lt;=240), (-1)*('(橫掃)RX Mapping'!AT17-240),IF(AND('(橫掃)RX Mapping'!AT17&gt;=241,'(橫掃)RX Mapping'!AT17&lt;=360), ('(橫掃)RX Mapping'!AT17-241),IF(AND('(橫掃)RX Mapping'!AT17&gt;=361,'(橫掃)RX Mapping'!AT17&lt;=480), (-1)*('(橫掃)RX Mapping'!AT17-480),IF(AND('(橫掃)RX Mapping'!AT17&gt;=481,'(橫掃)RX Mapping'!AT17&lt;=600), ('(橫掃)RX Mapping'!AT17-361),IF(AND('(橫掃)RX Mapping'!AT17&gt;=601,'(橫掃)RX Mapping'!AT17&lt;=720), (-1)*('(橫掃)RX Mapping'!AT17-720)+120,IF(AND('(橫掃)RX Mapping'!AT17&gt;=721,'(橫掃)RX Mapping'!AT17&lt;=840), ('(橫掃)RX Mapping'!AT17-601),IF(AND('(橫掃)RX Mapping'!AT17&gt;=841,'(橫掃)RX Mapping'!AT17&lt;=960), (-1)*('(橫掃)RX Mapping'!AT17-960)+120,9999))))))))</f>
        <v>9999</v>
      </c>
      <c r="AU17">
        <f>IF(AND('(橫掃)RX Mapping'!AU17&gt;=1,'(橫掃)RX Mapping'!AU17&lt;=120), ('(橫掃)RX Mapping'!AU17-1),IF(AND('(橫掃)RX Mapping'!AU17&gt;=121,'(橫掃)RX Mapping'!AU17&lt;=240), (-1)*('(橫掃)RX Mapping'!AU17-240),IF(AND('(橫掃)RX Mapping'!AU17&gt;=241,'(橫掃)RX Mapping'!AU17&lt;=360), ('(橫掃)RX Mapping'!AU17-241),IF(AND('(橫掃)RX Mapping'!AU17&gt;=361,'(橫掃)RX Mapping'!AU17&lt;=480), (-1)*('(橫掃)RX Mapping'!AU17-480),IF(AND('(橫掃)RX Mapping'!AU17&gt;=481,'(橫掃)RX Mapping'!AU17&lt;=600), ('(橫掃)RX Mapping'!AU17-361),IF(AND('(橫掃)RX Mapping'!AU17&gt;=601,'(橫掃)RX Mapping'!AU17&lt;=720), (-1)*('(橫掃)RX Mapping'!AU17-720)+120,IF(AND('(橫掃)RX Mapping'!AU17&gt;=721,'(橫掃)RX Mapping'!AU17&lt;=840), ('(橫掃)RX Mapping'!AU17-601),IF(AND('(橫掃)RX Mapping'!AU17&gt;=841,'(橫掃)RX Mapping'!AU17&lt;=960), (-1)*('(橫掃)RX Mapping'!AU17-960)+120,9999))))))))</f>
        <v>9999</v>
      </c>
      <c r="AV17">
        <f>IF(AND('(橫掃)RX Mapping'!AV17&gt;=1,'(橫掃)RX Mapping'!AV17&lt;=120), ('(橫掃)RX Mapping'!AV17-1),IF(AND('(橫掃)RX Mapping'!AV17&gt;=121,'(橫掃)RX Mapping'!AV17&lt;=240), (-1)*('(橫掃)RX Mapping'!AV17-240),IF(AND('(橫掃)RX Mapping'!AV17&gt;=241,'(橫掃)RX Mapping'!AV17&lt;=360), ('(橫掃)RX Mapping'!AV17-241),IF(AND('(橫掃)RX Mapping'!AV17&gt;=361,'(橫掃)RX Mapping'!AV17&lt;=480), (-1)*('(橫掃)RX Mapping'!AV17-480),IF(AND('(橫掃)RX Mapping'!AV17&gt;=481,'(橫掃)RX Mapping'!AV17&lt;=600), ('(橫掃)RX Mapping'!AV17-361),IF(AND('(橫掃)RX Mapping'!AV17&gt;=601,'(橫掃)RX Mapping'!AV17&lt;=720), (-1)*('(橫掃)RX Mapping'!AV17-720)+120,IF(AND('(橫掃)RX Mapping'!AV17&gt;=721,'(橫掃)RX Mapping'!AV17&lt;=840), ('(橫掃)RX Mapping'!AV17-601),IF(AND('(橫掃)RX Mapping'!AV17&gt;=841,'(橫掃)RX Mapping'!AV17&lt;=960), (-1)*('(橫掃)RX Mapping'!AV17-960)+120,9999))))))))</f>
        <v>9999</v>
      </c>
      <c r="AW17">
        <f>IF(AND('(橫掃)RX Mapping'!AW17&gt;=1,'(橫掃)RX Mapping'!AW17&lt;=120), ('(橫掃)RX Mapping'!AW17-1),IF(AND('(橫掃)RX Mapping'!AW17&gt;=121,'(橫掃)RX Mapping'!AW17&lt;=240), (-1)*('(橫掃)RX Mapping'!AW17-240),IF(AND('(橫掃)RX Mapping'!AW17&gt;=241,'(橫掃)RX Mapping'!AW17&lt;=360), ('(橫掃)RX Mapping'!AW17-241),IF(AND('(橫掃)RX Mapping'!AW17&gt;=361,'(橫掃)RX Mapping'!AW17&lt;=480), (-1)*('(橫掃)RX Mapping'!AW17-480),IF(AND('(橫掃)RX Mapping'!AW17&gt;=481,'(橫掃)RX Mapping'!AW17&lt;=600), ('(橫掃)RX Mapping'!AW17-361),IF(AND('(橫掃)RX Mapping'!AW17&gt;=601,'(橫掃)RX Mapping'!AW17&lt;=720), (-1)*('(橫掃)RX Mapping'!AW17-720)+120,IF(AND('(橫掃)RX Mapping'!AW17&gt;=721,'(橫掃)RX Mapping'!AW17&lt;=840), ('(橫掃)RX Mapping'!AW17-601),IF(AND('(橫掃)RX Mapping'!AW17&gt;=841,'(橫掃)RX Mapping'!AW17&lt;=960), (-1)*('(橫掃)RX Mapping'!AW17-960)+120,9999))))))))</f>
        <v>9999</v>
      </c>
      <c r="AX17">
        <f>IF(AND('(橫掃)RX Mapping'!AX17&gt;=1,'(橫掃)RX Mapping'!AX17&lt;=120), ('(橫掃)RX Mapping'!AX17-1),IF(AND('(橫掃)RX Mapping'!AX17&gt;=121,'(橫掃)RX Mapping'!AX17&lt;=240), (-1)*('(橫掃)RX Mapping'!AX17-240),IF(AND('(橫掃)RX Mapping'!AX17&gt;=241,'(橫掃)RX Mapping'!AX17&lt;=360), ('(橫掃)RX Mapping'!AX17-241),IF(AND('(橫掃)RX Mapping'!AX17&gt;=361,'(橫掃)RX Mapping'!AX17&lt;=480), (-1)*('(橫掃)RX Mapping'!AX17-480),IF(AND('(橫掃)RX Mapping'!AX17&gt;=481,'(橫掃)RX Mapping'!AX17&lt;=600), ('(橫掃)RX Mapping'!AX17-361),IF(AND('(橫掃)RX Mapping'!AX17&gt;=601,'(橫掃)RX Mapping'!AX17&lt;=720), (-1)*('(橫掃)RX Mapping'!AX17-720)+120,IF(AND('(橫掃)RX Mapping'!AX17&gt;=721,'(橫掃)RX Mapping'!AX17&lt;=840), ('(橫掃)RX Mapping'!AX17-601),IF(AND('(橫掃)RX Mapping'!AX17&gt;=841,'(橫掃)RX Mapping'!AX17&lt;=960), (-1)*('(橫掃)RX Mapping'!AX17-960)+120,9999))))))))</f>
        <v>9999</v>
      </c>
      <c r="AY17">
        <f>IF(AND('(橫掃)RX Mapping'!AY17&gt;=1,'(橫掃)RX Mapping'!AY17&lt;=120), ('(橫掃)RX Mapping'!AY17-1),IF(AND('(橫掃)RX Mapping'!AY17&gt;=121,'(橫掃)RX Mapping'!AY17&lt;=240), (-1)*('(橫掃)RX Mapping'!AY17-240),IF(AND('(橫掃)RX Mapping'!AY17&gt;=241,'(橫掃)RX Mapping'!AY17&lt;=360), ('(橫掃)RX Mapping'!AY17-241),IF(AND('(橫掃)RX Mapping'!AY17&gt;=361,'(橫掃)RX Mapping'!AY17&lt;=480), (-1)*('(橫掃)RX Mapping'!AY17-480),IF(AND('(橫掃)RX Mapping'!AY17&gt;=481,'(橫掃)RX Mapping'!AY17&lt;=600), ('(橫掃)RX Mapping'!AY17-361),IF(AND('(橫掃)RX Mapping'!AY17&gt;=601,'(橫掃)RX Mapping'!AY17&lt;=720), (-1)*('(橫掃)RX Mapping'!AY17-720)+120,IF(AND('(橫掃)RX Mapping'!AY17&gt;=721,'(橫掃)RX Mapping'!AY17&lt;=840), ('(橫掃)RX Mapping'!AY17-601),IF(AND('(橫掃)RX Mapping'!AY17&gt;=841,'(橫掃)RX Mapping'!AY17&lt;=960), (-1)*('(橫掃)RX Mapping'!AY17-960)+120,9999))))))))</f>
        <v>9999</v>
      </c>
      <c r="AZ17">
        <f>IF(AND('(橫掃)RX Mapping'!AZ17&gt;=1,'(橫掃)RX Mapping'!AZ17&lt;=120), ('(橫掃)RX Mapping'!AZ17-1),IF(AND('(橫掃)RX Mapping'!AZ17&gt;=121,'(橫掃)RX Mapping'!AZ17&lt;=240), (-1)*('(橫掃)RX Mapping'!AZ17-240),IF(AND('(橫掃)RX Mapping'!AZ17&gt;=241,'(橫掃)RX Mapping'!AZ17&lt;=360), ('(橫掃)RX Mapping'!AZ17-241),IF(AND('(橫掃)RX Mapping'!AZ17&gt;=361,'(橫掃)RX Mapping'!AZ17&lt;=480), (-1)*('(橫掃)RX Mapping'!AZ17-480),IF(AND('(橫掃)RX Mapping'!AZ17&gt;=481,'(橫掃)RX Mapping'!AZ17&lt;=600), ('(橫掃)RX Mapping'!AZ17-361),IF(AND('(橫掃)RX Mapping'!AZ17&gt;=601,'(橫掃)RX Mapping'!AZ17&lt;=720), (-1)*('(橫掃)RX Mapping'!AZ17-720)+120,IF(AND('(橫掃)RX Mapping'!AZ17&gt;=721,'(橫掃)RX Mapping'!AZ17&lt;=840), ('(橫掃)RX Mapping'!AZ17-601),IF(AND('(橫掃)RX Mapping'!AZ17&gt;=841,'(橫掃)RX Mapping'!AZ17&lt;=960), (-1)*('(橫掃)RX Mapping'!AZ17-960)+120,9999))))))))</f>
        <v>9999</v>
      </c>
      <c r="BA17">
        <f>IF(AND('(橫掃)RX Mapping'!BA17&gt;=1,'(橫掃)RX Mapping'!BA17&lt;=120), ('(橫掃)RX Mapping'!BA17-1),IF(AND('(橫掃)RX Mapping'!BA17&gt;=121,'(橫掃)RX Mapping'!BA17&lt;=240), (-1)*('(橫掃)RX Mapping'!BA17-240),IF(AND('(橫掃)RX Mapping'!BA17&gt;=241,'(橫掃)RX Mapping'!BA17&lt;=360), ('(橫掃)RX Mapping'!BA17-241),IF(AND('(橫掃)RX Mapping'!BA17&gt;=361,'(橫掃)RX Mapping'!BA17&lt;=480), (-1)*('(橫掃)RX Mapping'!BA17-480),IF(AND('(橫掃)RX Mapping'!BA17&gt;=481,'(橫掃)RX Mapping'!BA17&lt;=600), ('(橫掃)RX Mapping'!BA17-361),IF(AND('(橫掃)RX Mapping'!BA17&gt;=601,'(橫掃)RX Mapping'!BA17&lt;=720), (-1)*('(橫掃)RX Mapping'!BA17-720)+120,IF(AND('(橫掃)RX Mapping'!BA17&gt;=721,'(橫掃)RX Mapping'!BA17&lt;=840), ('(橫掃)RX Mapping'!BA17-601),IF(AND('(橫掃)RX Mapping'!BA17&gt;=841,'(橫掃)RX Mapping'!BA17&lt;=960), (-1)*('(橫掃)RX Mapping'!BA17-960)+120,9999))))))))</f>
        <v>9999</v>
      </c>
      <c r="BB17">
        <f>IF(AND('(橫掃)RX Mapping'!BB17&gt;=1,'(橫掃)RX Mapping'!BB17&lt;=120), ('(橫掃)RX Mapping'!BB17-1),IF(AND('(橫掃)RX Mapping'!BB17&gt;=121,'(橫掃)RX Mapping'!BB17&lt;=240), (-1)*('(橫掃)RX Mapping'!BB17-240),IF(AND('(橫掃)RX Mapping'!BB17&gt;=241,'(橫掃)RX Mapping'!BB17&lt;=360), ('(橫掃)RX Mapping'!BB17-241),IF(AND('(橫掃)RX Mapping'!BB17&gt;=361,'(橫掃)RX Mapping'!BB17&lt;=480), (-1)*('(橫掃)RX Mapping'!BB17-480),IF(AND('(橫掃)RX Mapping'!BB17&gt;=481,'(橫掃)RX Mapping'!BB17&lt;=600), ('(橫掃)RX Mapping'!BB17-361),IF(AND('(橫掃)RX Mapping'!BB17&gt;=601,'(橫掃)RX Mapping'!BB17&lt;=720), (-1)*('(橫掃)RX Mapping'!BB17-720)+120,IF(AND('(橫掃)RX Mapping'!BB17&gt;=721,'(橫掃)RX Mapping'!BB17&lt;=840), ('(橫掃)RX Mapping'!BB17-601),IF(AND('(橫掃)RX Mapping'!BB17&gt;=841,'(橫掃)RX Mapping'!BB17&lt;=960), (-1)*('(橫掃)RX Mapping'!BB17-960)+120,9999))))))))</f>
        <v>9999</v>
      </c>
      <c r="BC17">
        <f>IF(AND('(橫掃)RX Mapping'!BC17&gt;=1,'(橫掃)RX Mapping'!BC17&lt;=120), ('(橫掃)RX Mapping'!BC17-1),IF(AND('(橫掃)RX Mapping'!BC17&gt;=121,'(橫掃)RX Mapping'!BC17&lt;=240), (-1)*('(橫掃)RX Mapping'!BC17-240),IF(AND('(橫掃)RX Mapping'!BC17&gt;=241,'(橫掃)RX Mapping'!BC17&lt;=360), ('(橫掃)RX Mapping'!BC17-241),IF(AND('(橫掃)RX Mapping'!BC17&gt;=361,'(橫掃)RX Mapping'!BC17&lt;=480), (-1)*('(橫掃)RX Mapping'!BC17-480),IF(AND('(橫掃)RX Mapping'!BC17&gt;=481,'(橫掃)RX Mapping'!BC17&lt;=600), ('(橫掃)RX Mapping'!BC17-361),IF(AND('(橫掃)RX Mapping'!BC17&gt;=601,'(橫掃)RX Mapping'!BC17&lt;=720), (-1)*('(橫掃)RX Mapping'!BC17-720)+120,IF(AND('(橫掃)RX Mapping'!BC17&gt;=721,'(橫掃)RX Mapping'!BC17&lt;=840), ('(橫掃)RX Mapping'!BC17-601),IF(AND('(橫掃)RX Mapping'!BC17&gt;=841,'(橫掃)RX Mapping'!BC17&lt;=960), (-1)*('(橫掃)RX Mapping'!BC17-960)+120,9999))))))))</f>
        <v>9999</v>
      </c>
      <c r="BD17">
        <f>IF(AND('(橫掃)RX Mapping'!BD17&gt;=1,'(橫掃)RX Mapping'!BD17&lt;=120), ('(橫掃)RX Mapping'!BD17-1),IF(AND('(橫掃)RX Mapping'!BD17&gt;=121,'(橫掃)RX Mapping'!BD17&lt;=240), (-1)*('(橫掃)RX Mapping'!BD17-240),IF(AND('(橫掃)RX Mapping'!BD17&gt;=241,'(橫掃)RX Mapping'!BD17&lt;=360), ('(橫掃)RX Mapping'!BD17-241),IF(AND('(橫掃)RX Mapping'!BD17&gt;=361,'(橫掃)RX Mapping'!BD17&lt;=480), (-1)*('(橫掃)RX Mapping'!BD17-480),IF(AND('(橫掃)RX Mapping'!BD17&gt;=481,'(橫掃)RX Mapping'!BD17&lt;=600), ('(橫掃)RX Mapping'!BD17-361),IF(AND('(橫掃)RX Mapping'!BD17&gt;=601,'(橫掃)RX Mapping'!BD17&lt;=720), (-1)*('(橫掃)RX Mapping'!BD17-720)+120,IF(AND('(橫掃)RX Mapping'!BD17&gt;=721,'(橫掃)RX Mapping'!BD17&lt;=840), ('(橫掃)RX Mapping'!BD17-601),IF(AND('(橫掃)RX Mapping'!BD17&gt;=841,'(橫掃)RX Mapping'!BD17&lt;=960), (-1)*('(橫掃)RX Mapping'!BD17-960)+120,9999))))))))</f>
        <v>9999</v>
      </c>
      <c r="BE17">
        <f>IF(AND('(橫掃)RX Mapping'!BE17&gt;=1,'(橫掃)RX Mapping'!BE17&lt;=120), ('(橫掃)RX Mapping'!BE17-1),IF(AND('(橫掃)RX Mapping'!BE17&gt;=121,'(橫掃)RX Mapping'!BE17&lt;=240), (-1)*('(橫掃)RX Mapping'!BE17-240),IF(AND('(橫掃)RX Mapping'!BE17&gt;=241,'(橫掃)RX Mapping'!BE17&lt;=360), ('(橫掃)RX Mapping'!BE17-241),IF(AND('(橫掃)RX Mapping'!BE17&gt;=361,'(橫掃)RX Mapping'!BE17&lt;=480), (-1)*('(橫掃)RX Mapping'!BE17-480),IF(AND('(橫掃)RX Mapping'!BE17&gt;=481,'(橫掃)RX Mapping'!BE17&lt;=600), ('(橫掃)RX Mapping'!BE17-361),IF(AND('(橫掃)RX Mapping'!BE17&gt;=601,'(橫掃)RX Mapping'!BE17&lt;=720), (-1)*('(橫掃)RX Mapping'!BE17-720)+120,IF(AND('(橫掃)RX Mapping'!BE17&gt;=721,'(橫掃)RX Mapping'!BE17&lt;=840), ('(橫掃)RX Mapping'!BE17-601),IF(AND('(橫掃)RX Mapping'!BE17&gt;=841,'(橫掃)RX Mapping'!BE17&lt;=960), (-1)*('(橫掃)RX Mapping'!BE17-960)+120,9999))))))))</f>
        <v>9999</v>
      </c>
      <c r="BF17">
        <f>IF(AND('(橫掃)RX Mapping'!BF17&gt;=1,'(橫掃)RX Mapping'!BF17&lt;=120), ('(橫掃)RX Mapping'!BF17-1),IF(AND('(橫掃)RX Mapping'!BF17&gt;=121,'(橫掃)RX Mapping'!BF17&lt;=240), (-1)*('(橫掃)RX Mapping'!BF17-240),IF(AND('(橫掃)RX Mapping'!BF17&gt;=241,'(橫掃)RX Mapping'!BF17&lt;=360), ('(橫掃)RX Mapping'!BF17-241),IF(AND('(橫掃)RX Mapping'!BF17&gt;=361,'(橫掃)RX Mapping'!BF17&lt;=480), (-1)*('(橫掃)RX Mapping'!BF17-480),IF(AND('(橫掃)RX Mapping'!BF17&gt;=481,'(橫掃)RX Mapping'!BF17&lt;=600), ('(橫掃)RX Mapping'!BF17-361),IF(AND('(橫掃)RX Mapping'!BF17&gt;=601,'(橫掃)RX Mapping'!BF17&lt;=720), (-1)*('(橫掃)RX Mapping'!BF17-720)+120,IF(AND('(橫掃)RX Mapping'!BF17&gt;=721,'(橫掃)RX Mapping'!BF17&lt;=840), ('(橫掃)RX Mapping'!BF17-601),IF(AND('(橫掃)RX Mapping'!BF17&gt;=841,'(橫掃)RX Mapping'!BF17&lt;=960), (-1)*('(橫掃)RX Mapping'!BF17-960)+120,9999))))))))</f>
        <v>9999</v>
      </c>
      <c r="BG17">
        <f>IF(AND('(橫掃)RX Mapping'!BG17&gt;=1,'(橫掃)RX Mapping'!BG17&lt;=120), ('(橫掃)RX Mapping'!BG17-1),IF(AND('(橫掃)RX Mapping'!BG17&gt;=121,'(橫掃)RX Mapping'!BG17&lt;=240), (-1)*('(橫掃)RX Mapping'!BG17-240),IF(AND('(橫掃)RX Mapping'!BG17&gt;=241,'(橫掃)RX Mapping'!BG17&lt;=360), ('(橫掃)RX Mapping'!BG17-241),IF(AND('(橫掃)RX Mapping'!BG17&gt;=361,'(橫掃)RX Mapping'!BG17&lt;=480), (-1)*('(橫掃)RX Mapping'!BG17-480),IF(AND('(橫掃)RX Mapping'!BG17&gt;=481,'(橫掃)RX Mapping'!BG17&lt;=600), ('(橫掃)RX Mapping'!BG17-361),IF(AND('(橫掃)RX Mapping'!BG17&gt;=601,'(橫掃)RX Mapping'!BG17&lt;=720), (-1)*('(橫掃)RX Mapping'!BG17-720)+120,IF(AND('(橫掃)RX Mapping'!BG17&gt;=721,'(橫掃)RX Mapping'!BG17&lt;=840), ('(橫掃)RX Mapping'!BG17-601),IF(AND('(橫掃)RX Mapping'!BG17&gt;=841,'(橫掃)RX Mapping'!BG17&lt;=960), (-1)*('(橫掃)RX Mapping'!BG17-960)+120,9999))))))))</f>
        <v>9999</v>
      </c>
      <c r="BH17">
        <f>IF(AND('(橫掃)RX Mapping'!BH17&gt;=1,'(橫掃)RX Mapping'!BH17&lt;=120), ('(橫掃)RX Mapping'!BH17-1),IF(AND('(橫掃)RX Mapping'!BH17&gt;=121,'(橫掃)RX Mapping'!BH17&lt;=240), (-1)*('(橫掃)RX Mapping'!BH17-240),IF(AND('(橫掃)RX Mapping'!BH17&gt;=241,'(橫掃)RX Mapping'!BH17&lt;=360), ('(橫掃)RX Mapping'!BH17-241),IF(AND('(橫掃)RX Mapping'!BH17&gt;=361,'(橫掃)RX Mapping'!BH17&lt;=480), (-1)*('(橫掃)RX Mapping'!BH17-480),IF(AND('(橫掃)RX Mapping'!BH17&gt;=481,'(橫掃)RX Mapping'!BH17&lt;=600), ('(橫掃)RX Mapping'!BH17-361),IF(AND('(橫掃)RX Mapping'!BH17&gt;=601,'(橫掃)RX Mapping'!BH17&lt;=720), (-1)*('(橫掃)RX Mapping'!BH17-720)+120,IF(AND('(橫掃)RX Mapping'!BH17&gt;=721,'(橫掃)RX Mapping'!BH17&lt;=840), ('(橫掃)RX Mapping'!BH17-601),IF(AND('(橫掃)RX Mapping'!BH17&gt;=841,'(橫掃)RX Mapping'!BH17&lt;=960), (-1)*('(橫掃)RX Mapping'!BH17-960)+120,9999))))))))</f>
        <v>9999</v>
      </c>
      <c r="BI17">
        <f>IF(AND('(橫掃)RX Mapping'!BI17&gt;=1,'(橫掃)RX Mapping'!BI17&lt;=120), ('(橫掃)RX Mapping'!BI17-1),IF(AND('(橫掃)RX Mapping'!BI17&gt;=121,'(橫掃)RX Mapping'!BI17&lt;=240), (-1)*('(橫掃)RX Mapping'!BI17-240),IF(AND('(橫掃)RX Mapping'!BI17&gt;=241,'(橫掃)RX Mapping'!BI17&lt;=360), ('(橫掃)RX Mapping'!BI17-241),IF(AND('(橫掃)RX Mapping'!BI17&gt;=361,'(橫掃)RX Mapping'!BI17&lt;=480), (-1)*('(橫掃)RX Mapping'!BI17-480),IF(AND('(橫掃)RX Mapping'!BI17&gt;=481,'(橫掃)RX Mapping'!BI17&lt;=600), ('(橫掃)RX Mapping'!BI17-361),IF(AND('(橫掃)RX Mapping'!BI17&gt;=601,'(橫掃)RX Mapping'!BI17&lt;=720), (-1)*('(橫掃)RX Mapping'!BI17-720)+120,IF(AND('(橫掃)RX Mapping'!BI17&gt;=721,'(橫掃)RX Mapping'!BI17&lt;=840), ('(橫掃)RX Mapping'!BI17-601),IF(AND('(橫掃)RX Mapping'!BI17&gt;=841,'(橫掃)RX Mapping'!BI17&lt;=960), (-1)*('(橫掃)RX Mapping'!BI17-960)+120,9999))))))))</f>
        <v>9999</v>
      </c>
    </row>
    <row r="18" spans="1:61" x14ac:dyDescent="0.25">
      <c r="A18" s="20">
        <v>17</v>
      </c>
      <c r="B18">
        <f>IF(
(AND('(直掃)RX Mapping'!B18&gt;=0,'(直掃)RX Mapping'!B18&lt;=480)),
(MOD('(直掃)RX Mapping'!B18,120)-1),
IF(
(AND('(直掃)RX Mapping'!B18&gt;=480,'(直掃)RX Mapping'!B18&lt;=960)),
IF(MOD('(直掃)RX Mapping'!B18,120)=0, 120, 240-MOD('(直掃)RX Mapping'!B18,120)),9999))+IF(AND(MOD('(直掃)RX Mapping'!B18,120)=0, '(直掃)RX Mapping'!B18 &lt;= 480,  '(直掃)RX Mapping'!B18 &gt; 0), 120)</f>
        <v>136</v>
      </c>
      <c r="C18">
        <f>IF(
(AND('(直掃)RX Mapping'!C18&gt;=0,'(直掃)RX Mapping'!C18&lt;=480)),
(MOD('(直掃)RX Mapping'!C18,120)-1),
IF(
(AND('(直掃)RX Mapping'!C18&gt;=480,'(直掃)RX Mapping'!C18&lt;=960)),
IF(MOD('(直掃)RX Mapping'!C18,120)=0, 120, 240-MOD('(直掃)RX Mapping'!C18,120)),9999))+IF(AND(MOD('(直掃)RX Mapping'!C18,120)=0, '(直掃)RX Mapping'!C18 &lt;= 480,  '(直掃)RX Mapping'!C18 &gt; 0), 120)</f>
        <v>166</v>
      </c>
      <c r="D18">
        <f>IF(
(AND('(直掃)RX Mapping'!D18&gt;=0,'(直掃)RX Mapping'!D18&lt;=480)),
(MOD('(直掃)RX Mapping'!D18,120)-1),
IF(
(AND('(直掃)RX Mapping'!D18&gt;=480,'(直掃)RX Mapping'!D18&lt;=960)),
IF(MOD('(直掃)RX Mapping'!D18,120)=0, 120, 240-MOD('(直掃)RX Mapping'!D18,120)),9999))+IF(AND(MOD('(直掃)RX Mapping'!D18,120)=0, '(直掃)RX Mapping'!D18 &lt;= 480,  '(直掃)RX Mapping'!D18 &gt; 0), 120)</f>
        <v>196</v>
      </c>
      <c r="E18">
        <f>IF(
(AND('(直掃)RX Mapping'!E18&gt;=0,'(直掃)RX Mapping'!E18&lt;=480)),
(MOD('(直掃)RX Mapping'!E18,120)-1),
IF(
(AND('(直掃)RX Mapping'!E18&gt;=480,'(直掃)RX Mapping'!E18&lt;=960)),
IF(MOD('(直掃)RX Mapping'!E18,120)=0, 120, 240-MOD('(直掃)RX Mapping'!E18,120)),9999))+IF(AND(MOD('(直掃)RX Mapping'!E18,120)=0, '(直掃)RX Mapping'!E18 &lt;= 480,  '(直掃)RX Mapping'!E18 &gt; 0), 120)</f>
        <v>136</v>
      </c>
      <c r="F18">
        <f>IF(
(AND('(直掃)RX Mapping'!F18&gt;=0,'(直掃)RX Mapping'!F18&lt;=480)),
(MOD('(直掃)RX Mapping'!F18,120)-1),
IF(
(AND('(直掃)RX Mapping'!F18&gt;=480,'(直掃)RX Mapping'!F18&lt;=960)),
IF(MOD('(直掃)RX Mapping'!F18,120)=0, 120, 240-MOD('(直掃)RX Mapping'!F18,120)),9999))+IF(AND(MOD('(直掃)RX Mapping'!F18,120)=0, '(直掃)RX Mapping'!F18 &lt;= 480,  '(直掃)RX Mapping'!F18 &gt; 0), 120)</f>
        <v>166</v>
      </c>
      <c r="G18">
        <f>IF(
(AND('(直掃)RX Mapping'!G18&gt;=0,'(直掃)RX Mapping'!G18&lt;=480)),
(MOD('(直掃)RX Mapping'!G18,120)-1),
IF(
(AND('(直掃)RX Mapping'!G18&gt;=480,'(直掃)RX Mapping'!G18&lt;=960)),
IF(MOD('(直掃)RX Mapping'!G18,120)=0, 120, 240-MOD('(直掃)RX Mapping'!G18,120)),9999))+IF(AND(MOD('(直掃)RX Mapping'!G18,120)=0, '(直掃)RX Mapping'!G18 &lt;= 480,  '(直掃)RX Mapping'!G18 &gt; 0), 120)</f>
        <v>196</v>
      </c>
      <c r="H18">
        <f>IF(
(AND('(直掃)RX Mapping'!H18&gt;=0,'(直掃)RX Mapping'!H18&lt;=480)),
(MOD('(直掃)RX Mapping'!H18,120)-1),
IF(
(AND('(直掃)RX Mapping'!H18&gt;=480,'(直掃)RX Mapping'!H18&lt;=960)),
IF(MOD('(直掃)RX Mapping'!H18,120)=0, 120, 240-MOD('(直掃)RX Mapping'!H18,120)),9999))+IF(AND(MOD('(直掃)RX Mapping'!H18,120)=0, '(直掃)RX Mapping'!H18 &lt;= 480,  '(直掃)RX Mapping'!H18 &gt; 0), 120)</f>
        <v>136</v>
      </c>
      <c r="I18">
        <f>IF(
(AND('(直掃)RX Mapping'!I18&gt;=0,'(直掃)RX Mapping'!I18&lt;=480)),
(MOD('(直掃)RX Mapping'!I18,120)-1),
IF(
(AND('(直掃)RX Mapping'!I18&gt;=480,'(直掃)RX Mapping'!I18&lt;=960)),
IF(MOD('(直掃)RX Mapping'!I18,120)=0, 120, 240-MOD('(直掃)RX Mapping'!I18,120)),9999))+IF(AND(MOD('(直掃)RX Mapping'!I18,120)=0, '(直掃)RX Mapping'!I18 &lt;= 480,  '(直掃)RX Mapping'!I18 &gt; 0), 120)</f>
        <v>166</v>
      </c>
      <c r="J18">
        <f>IF(
(AND('(直掃)RX Mapping'!J18&gt;=0,'(直掃)RX Mapping'!J18&lt;=480)),
(MOD('(直掃)RX Mapping'!J18,120)-1),
IF(
(AND('(直掃)RX Mapping'!J18&gt;=480,'(直掃)RX Mapping'!J18&lt;=960)),
IF(MOD('(直掃)RX Mapping'!J18,120)=0, 120, 240-MOD('(直掃)RX Mapping'!J18,120)),9999))+IF(AND(MOD('(直掃)RX Mapping'!J18,120)=0, '(直掃)RX Mapping'!J18 &lt;= 480,  '(直掃)RX Mapping'!J18 &gt; 0), 120)</f>
        <v>196</v>
      </c>
      <c r="K18">
        <f>IF(
(AND('(直掃)RX Mapping'!K18&gt;=0,'(直掃)RX Mapping'!K18&lt;=480)),
(MOD('(直掃)RX Mapping'!K18,120)-1),
IF(
(AND('(直掃)RX Mapping'!K18&gt;=480,'(直掃)RX Mapping'!K18&lt;=960)),
IF(MOD('(直掃)RX Mapping'!K18,120)=0, 120, 240-MOD('(直掃)RX Mapping'!K18,120)),9999))+IF(AND(MOD('(直掃)RX Mapping'!K18,120)=0, '(直掃)RX Mapping'!K18 &lt;= 480,  '(直掃)RX Mapping'!K18 &gt; 0), 120)</f>
        <v>226</v>
      </c>
      <c r="L18">
        <f>IF(
(AND('(直掃)RX Mapping'!L18&gt;=0,'(直掃)RX Mapping'!L18&lt;=480)),
(MOD('(直掃)RX Mapping'!L18,120)-1),
IF(
(AND('(直掃)RX Mapping'!L18&gt;=480,'(直掃)RX Mapping'!L18&lt;=960)),
IF(MOD('(直掃)RX Mapping'!L18,120)=0, 120, 240-MOD('(直掃)RX Mapping'!L18,120)),9999))+IF(AND(MOD('(直掃)RX Mapping'!L18,120)=0, '(直掃)RX Mapping'!L18 &lt;= 480,  '(直掃)RX Mapping'!L18 &gt; 0), 120)</f>
        <v>136</v>
      </c>
      <c r="M18">
        <f>IF(
(AND('(直掃)RX Mapping'!M18&gt;=0,'(直掃)RX Mapping'!M18&lt;=480)),
(MOD('(直掃)RX Mapping'!M18,120)-1),
IF(
(AND('(直掃)RX Mapping'!M18&gt;=480,'(直掃)RX Mapping'!M18&lt;=960)),
IF(MOD('(直掃)RX Mapping'!M18,120)=0, 120, 240-MOD('(直掃)RX Mapping'!M18,120)),9999))+IF(AND(MOD('(直掃)RX Mapping'!M18,120)=0, '(直掃)RX Mapping'!M18 &lt;= 480,  '(直掃)RX Mapping'!M18 &gt; 0), 120)</f>
        <v>166</v>
      </c>
      <c r="N18">
        <f>IF(
(AND('(直掃)RX Mapping'!N18&gt;=0,'(直掃)RX Mapping'!N18&lt;=480)),
(MOD('(直掃)RX Mapping'!N18,120)-1),
IF(
(AND('(直掃)RX Mapping'!N18&gt;=480,'(直掃)RX Mapping'!N18&lt;=960)),
IF(MOD('(直掃)RX Mapping'!N18,120)=0, 120, 240-MOD('(直掃)RX Mapping'!N18,120)),9999))+IF(AND(MOD('(直掃)RX Mapping'!N18,120)=0, '(直掃)RX Mapping'!N18 &lt;= 480,  '(直掃)RX Mapping'!N18 &gt; 0), 120)</f>
        <v>196</v>
      </c>
      <c r="O18">
        <f>IF(
(AND('(直掃)RX Mapping'!O18&gt;=0,'(直掃)RX Mapping'!O18&lt;=480)),
(MOD('(直掃)RX Mapping'!O18,120)-1),
IF(
(AND('(直掃)RX Mapping'!O18&gt;=480,'(直掃)RX Mapping'!O18&lt;=960)),
IF(MOD('(直掃)RX Mapping'!O18,120)=0, 120, 240-MOD('(直掃)RX Mapping'!O18,120)),9999))+IF(AND(MOD('(直掃)RX Mapping'!O18,120)=0, '(直掃)RX Mapping'!O18 &lt;= 480,  '(直掃)RX Mapping'!O18 &gt; 0), 120)</f>
        <v>226</v>
      </c>
      <c r="P18">
        <f>IF(
(AND('(直掃)RX Mapping'!P18&gt;=0,'(直掃)RX Mapping'!P18&lt;=480)),
(MOD('(直掃)RX Mapping'!P18,120)-1),
IF(
(AND('(直掃)RX Mapping'!P18&gt;=480,'(直掃)RX Mapping'!P18&lt;=960)),
IF(MOD('(直掃)RX Mapping'!P18,120)=0, 120, 240-MOD('(直掃)RX Mapping'!P18,120)),9999))+IF(AND(MOD('(直掃)RX Mapping'!P18,120)=0, '(直掃)RX Mapping'!P18 &lt;= 480,  '(直掃)RX Mapping'!P18 &gt; 0), 120)</f>
        <v>103</v>
      </c>
      <c r="Q18">
        <f>IF(
(AND('(直掃)RX Mapping'!Q18&gt;=0,'(直掃)RX Mapping'!Q18&lt;=480)),
(MOD('(直掃)RX Mapping'!Q18,120)-1),
IF(
(AND('(直掃)RX Mapping'!Q18&gt;=480,'(直掃)RX Mapping'!Q18&lt;=960)),
IF(MOD('(直掃)RX Mapping'!Q18,120)=0, 120, 240-MOD('(直掃)RX Mapping'!Q18,120)),9999))+IF(AND(MOD('(直掃)RX Mapping'!Q18,120)=0, '(直掃)RX Mapping'!Q18 &lt;= 480,  '(直掃)RX Mapping'!Q18 &gt; 0), 120)</f>
        <v>73</v>
      </c>
      <c r="R18">
        <f>IF(
(AND('(直掃)RX Mapping'!R18&gt;=0,'(直掃)RX Mapping'!R18&lt;=480)),
(MOD('(直掃)RX Mapping'!R18,120)-1),
IF(
(AND('(直掃)RX Mapping'!R18&gt;=480,'(直掃)RX Mapping'!R18&lt;=960)),
IF(MOD('(直掃)RX Mapping'!R18,120)=0, 120, 240-MOD('(直掃)RX Mapping'!R18,120)),9999))+IF(AND(MOD('(直掃)RX Mapping'!R18,120)=0, '(直掃)RX Mapping'!R18 &lt;= 480,  '(直掃)RX Mapping'!R18 &gt; 0), 120)</f>
        <v>43</v>
      </c>
      <c r="S18">
        <f>IF(
(AND('(直掃)RX Mapping'!S18&gt;=0,'(直掃)RX Mapping'!S18&lt;=480)),
(MOD('(直掃)RX Mapping'!S18,120)-1),
IF(
(AND('(直掃)RX Mapping'!S18&gt;=480,'(直掃)RX Mapping'!S18&lt;=960)),
IF(MOD('(直掃)RX Mapping'!S18,120)=0, 120, 240-MOD('(直掃)RX Mapping'!S18,120)),9999))+IF(AND(MOD('(直掃)RX Mapping'!S18,120)=0, '(直掃)RX Mapping'!S18 &lt;= 480,  '(直掃)RX Mapping'!S18 &gt; 0), 120)</f>
        <v>13</v>
      </c>
      <c r="T18">
        <f>IF(
(AND('(直掃)RX Mapping'!T18&gt;=0,'(直掃)RX Mapping'!T18&lt;=480)),
(MOD('(直掃)RX Mapping'!T18,120)-1),
IF(
(AND('(直掃)RX Mapping'!T18&gt;=480,'(直掃)RX Mapping'!T18&lt;=960)),
IF(MOD('(直掃)RX Mapping'!T18,120)=0, 120, 240-MOD('(直掃)RX Mapping'!T18,120)),9999))+IF(AND(MOD('(直掃)RX Mapping'!T18,120)=0, '(直掃)RX Mapping'!T18 &lt;= 480,  '(直掃)RX Mapping'!T18 &gt; 0), 120)</f>
        <v>103</v>
      </c>
      <c r="U18">
        <f>IF(
(AND('(直掃)RX Mapping'!U18&gt;=0,'(直掃)RX Mapping'!U18&lt;=480)),
(MOD('(直掃)RX Mapping'!U18,120)-1),
IF(
(AND('(直掃)RX Mapping'!U18&gt;=480,'(直掃)RX Mapping'!U18&lt;=960)),
IF(MOD('(直掃)RX Mapping'!U18,120)=0, 120, 240-MOD('(直掃)RX Mapping'!U18,120)),9999))+IF(AND(MOD('(直掃)RX Mapping'!U18,120)=0, '(直掃)RX Mapping'!U18 &lt;= 480,  '(直掃)RX Mapping'!U18 &gt; 0), 120)</f>
        <v>73</v>
      </c>
      <c r="V18">
        <f>IF(
(AND('(直掃)RX Mapping'!V18&gt;=0,'(直掃)RX Mapping'!V18&lt;=480)),
(MOD('(直掃)RX Mapping'!V18,120)-1),
IF(
(AND('(直掃)RX Mapping'!V18&gt;=480,'(直掃)RX Mapping'!V18&lt;=960)),
IF(MOD('(直掃)RX Mapping'!V18,120)=0, 120, 240-MOD('(直掃)RX Mapping'!V18,120)),9999))+IF(AND(MOD('(直掃)RX Mapping'!V18,120)=0, '(直掃)RX Mapping'!V18 &lt;= 480,  '(直掃)RX Mapping'!V18 &gt; 0), 120)</f>
        <v>43</v>
      </c>
      <c r="W18">
        <f>IF(
(AND('(直掃)RX Mapping'!W18&gt;=0,'(直掃)RX Mapping'!W18&lt;=480)),
(MOD('(直掃)RX Mapping'!W18,120)-1),
IF(
(AND('(直掃)RX Mapping'!W18&gt;=480,'(直掃)RX Mapping'!W18&lt;=960)),
IF(MOD('(直掃)RX Mapping'!W18,120)=0, 120, 240-MOD('(直掃)RX Mapping'!W18,120)),9999))+IF(AND(MOD('(直掃)RX Mapping'!W18,120)=0, '(直掃)RX Mapping'!W18 &lt;= 480,  '(直掃)RX Mapping'!W18 &gt; 0), 120)</f>
        <v>13</v>
      </c>
      <c r="X18">
        <f>IF(
(AND('(直掃)RX Mapping'!X18&gt;=0,'(直掃)RX Mapping'!X18&lt;=480)),
(MOD('(直掃)RX Mapping'!X18,120)-1),
IF(
(AND('(直掃)RX Mapping'!X18&gt;=480,'(直掃)RX Mapping'!X18&lt;=960)),
IF(MOD('(直掃)RX Mapping'!X18,120)=0, 120, 240-MOD('(直掃)RX Mapping'!X18,120)),9999))+IF(AND(MOD('(直掃)RX Mapping'!X18,120)=0, '(直掃)RX Mapping'!X18 &lt;= 480,  '(直掃)RX Mapping'!X18 &gt; 0), 120)</f>
        <v>73</v>
      </c>
      <c r="Y18">
        <f>IF(
(AND('(直掃)RX Mapping'!Y18&gt;=0,'(直掃)RX Mapping'!Y18&lt;=480)),
(MOD('(直掃)RX Mapping'!Y18,120)-1),
IF(
(AND('(直掃)RX Mapping'!Y18&gt;=480,'(直掃)RX Mapping'!Y18&lt;=960)),
IF(MOD('(直掃)RX Mapping'!Y18,120)=0, 120, 240-MOD('(直掃)RX Mapping'!Y18,120)),9999))+IF(AND(MOD('(直掃)RX Mapping'!Y18,120)=0, '(直掃)RX Mapping'!Y18 &lt;= 480,  '(直掃)RX Mapping'!Y18 &gt; 0), 120)</f>
        <v>43</v>
      </c>
      <c r="Z18">
        <f>IF(
(AND('(直掃)RX Mapping'!Z18&gt;=0,'(直掃)RX Mapping'!Z18&lt;=480)),
(MOD('(直掃)RX Mapping'!Z18,120)-1),
IF(
(AND('(直掃)RX Mapping'!Z18&gt;=480,'(直掃)RX Mapping'!Z18&lt;=960)),
IF(MOD('(直掃)RX Mapping'!Z18,120)=0, 120, 240-MOD('(直掃)RX Mapping'!Z18,120)),9999))+IF(AND(MOD('(直掃)RX Mapping'!Z18,120)=0, '(直掃)RX Mapping'!Z18 &lt;= 480,  '(直掃)RX Mapping'!Z18 &gt; 0), 120)</f>
        <v>13</v>
      </c>
      <c r="AA18">
        <f>IF(
(AND('(直掃)RX Mapping'!AA18&gt;=0,'(直掃)RX Mapping'!AA18&lt;=480)),
(MOD('(直掃)RX Mapping'!AA18,120)-1),
IF(
(AND('(直掃)RX Mapping'!AA18&gt;=480,'(直掃)RX Mapping'!AA18&lt;=960)),
IF(MOD('(直掃)RX Mapping'!AA18,120)=0, 120, 240-MOD('(直掃)RX Mapping'!AA18,120)),9999))+IF(AND(MOD('(直掃)RX Mapping'!AA18,120)=0, '(直掃)RX Mapping'!AA18 &lt;= 480,  '(直掃)RX Mapping'!AA18 &gt; 0), 120)</f>
        <v>73</v>
      </c>
      <c r="AB18">
        <f>IF(
(AND('(直掃)RX Mapping'!AB18&gt;=0,'(直掃)RX Mapping'!AB18&lt;=480)),
(MOD('(直掃)RX Mapping'!AB18,120)-1),
IF(
(AND('(直掃)RX Mapping'!AB18&gt;=480,'(直掃)RX Mapping'!AB18&lt;=960)),
IF(MOD('(直掃)RX Mapping'!AB18,120)=0, 120, 240-MOD('(直掃)RX Mapping'!AB18,120)),9999))+IF(AND(MOD('(直掃)RX Mapping'!AB18,120)=0, '(直掃)RX Mapping'!AB18 &lt;= 480,  '(直掃)RX Mapping'!AB18 &gt; 0), 120)</f>
        <v>43</v>
      </c>
      <c r="AC18">
        <f>IF(
(AND('(直掃)RX Mapping'!AC18&gt;=0,'(直掃)RX Mapping'!AC18&lt;=480)),
(MOD('(直掃)RX Mapping'!AC18,120)-1),
IF(
(AND('(直掃)RX Mapping'!AC18&gt;=480,'(直掃)RX Mapping'!AC18&lt;=960)),
IF(MOD('(直掃)RX Mapping'!AC18,120)=0, 120, 240-MOD('(直掃)RX Mapping'!AC18,120)),9999))+IF(AND(MOD('(直掃)RX Mapping'!AC18,120)=0, '(直掃)RX Mapping'!AC18 &lt;= 480,  '(直掃)RX Mapping'!AC18 &gt; 0), 120)</f>
        <v>13</v>
      </c>
      <c r="AD18">
        <f>IF(
(AND('(直掃)RX Mapping'!AD18&gt;=0,'(直掃)RX Mapping'!AD18&lt;=480)),
(MOD('(直掃)RX Mapping'!AD18,120)-1),
IF(
(AND('(直掃)RX Mapping'!AD18&gt;=480,'(直掃)RX Mapping'!AD18&lt;=960)),
IF(MOD('(直掃)RX Mapping'!AD18,120)=0, 120, 240-MOD('(直掃)RX Mapping'!AD18,120)),9999))+IF(AND(MOD('(直掃)RX Mapping'!AD18,120)=0, '(直掃)RX Mapping'!AD18 &lt;= 480,  '(直掃)RX Mapping'!AD18 &gt; 0), 120)</f>
        <v>-1</v>
      </c>
      <c r="AE18">
        <f>IF(
(AND('(直掃)RX Mapping'!AE18&gt;=0,'(直掃)RX Mapping'!AE18&lt;=480)),
(MOD('(直掃)RX Mapping'!AE18,120)-1),
IF(
(AND('(直掃)RX Mapping'!AE18&gt;=480,'(直掃)RX Mapping'!AE18&lt;=960)),
IF(MOD('(直掃)RX Mapping'!AE18,120)=0, 120, 240-MOD('(直掃)RX Mapping'!AE18,120)),9999))+IF(AND(MOD('(直掃)RX Mapping'!AE18,120)=0, '(直掃)RX Mapping'!AE18 &lt;= 480,  '(直掃)RX Mapping'!AE18 &gt; 0), 120)</f>
        <v>-1</v>
      </c>
      <c r="AF18">
        <f>IF(
(AND('(直掃)RX Mapping'!AF18&gt;=0,'(直掃)RX Mapping'!AF18&lt;=480)),
(MOD('(直掃)RX Mapping'!AF18,120)-1),
IF(
(AND('(直掃)RX Mapping'!AF18&gt;=480,'(直掃)RX Mapping'!AF18&lt;=960)),
IF(MOD('(直掃)RX Mapping'!AF18,120)=0, 120, 240-MOD('(直掃)RX Mapping'!AF18,120)),9999))+IF(AND(MOD('(直掃)RX Mapping'!AF18,120)=0, '(直掃)RX Mapping'!AF18 &lt;= 480,  '(直掃)RX Mapping'!AF18 &gt; 0), 120)</f>
        <v>-1</v>
      </c>
      <c r="AG18">
        <f>IF(
(AND('(直掃)RX Mapping'!AG18&gt;=0,'(直掃)RX Mapping'!AG18&lt;=480)),
(MOD('(直掃)RX Mapping'!AG18,120)-1),
IF(
(AND('(直掃)RX Mapping'!AG18&gt;=480,'(直掃)RX Mapping'!AG18&lt;=960)),
IF(MOD('(直掃)RX Mapping'!AG18,120)=0, 120, 240-MOD('(直掃)RX Mapping'!AG18,120)),9999))+IF(AND(MOD('(直掃)RX Mapping'!AG18,120)=0, '(直掃)RX Mapping'!AG18 &lt;= 480,  '(直掃)RX Mapping'!AG18 &gt; 0), 120)</f>
        <v>-1</v>
      </c>
      <c r="AH18">
        <f>IF(
(AND('(直掃)RX Mapping'!AH18&gt;=0,'(直掃)RX Mapping'!AH18&lt;=480)),
(MOD('(直掃)RX Mapping'!AH18,120)-1),
IF(
(AND('(直掃)RX Mapping'!AH18&gt;=480,'(直掃)RX Mapping'!AH18&lt;=960)),
IF(MOD('(直掃)RX Mapping'!AH18,120)=0, 120, 240-MOD('(直掃)RX Mapping'!AH18,120)),9999))+IF(AND(MOD('(直掃)RX Mapping'!AH18,120)=0, '(直掃)RX Mapping'!AH18 &lt;= 480,  '(直掃)RX Mapping'!AH18 &gt; 0), 120)</f>
        <v>-1</v>
      </c>
      <c r="AI18">
        <f>IF(
(AND('(直掃)RX Mapping'!AI18&gt;=0,'(直掃)RX Mapping'!AI18&lt;=480)),
(MOD('(直掃)RX Mapping'!AI18,120)-1),
IF(
(AND('(直掃)RX Mapping'!AI18&gt;=480,'(直掃)RX Mapping'!AI18&lt;=960)),
IF(MOD('(直掃)RX Mapping'!AI18,120)=0, 120, 240-MOD('(直掃)RX Mapping'!AI18,120)),9999))+IF(AND(MOD('(直掃)RX Mapping'!AI18,120)=0, '(直掃)RX Mapping'!AI18 &lt;= 480,  '(直掃)RX Mapping'!AI18 &gt; 0), 120)</f>
        <v>-1</v>
      </c>
      <c r="AJ18">
        <f>IF(
(AND('(直掃)RX Mapping'!AJ18&gt;=0,'(直掃)RX Mapping'!AJ18&lt;=480)),
(MOD('(直掃)RX Mapping'!AJ18,120)-1),
IF(
(AND('(直掃)RX Mapping'!AJ18&gt;=480,'(直掃)RX Mapping'!AJ18&lt;=960)),
IF(MOD('(直掃)RX Mapping'!AJ18,120)=0, 120, 240-MOD('(直掃)RX Mapping'!AJ18,120)),9999))+IF(AND(MOD('(直掃)RX Mapping'!AJ18,120)=0, '(直掃)RX Mapping'!AJ18 &lt;= 480,  '(直掃)RX Mapping'!AJ18 &gt; 0), 120)</f>
        <v>-1</v>
      </c>
      <c r="AK18">
        <f>IF(
(AND('(直掃)RX Mapping'!AK18&gt;=0,'(直掃)RX Mapping'!AK18&lt;=480)),
(MOD('(直掃)RX Mapping'!AK18,120)-1),
IF(
(AND('(直掃)RX Mapping'!AK18&gt;=480,'(直掃)RX Mapping'!AK18&lt;=960)),
IF(MOD('(直掃)RX Mapping'!AK18,120)=0, 120, 240-MOD('(直掃)RX Mapping'!AK18,120)),9999))+IF(AND(MOD('(直掃)RX Mapping'!AK18,120)=0, '(直掃)RX Mapping'!AK18 &lt;= 480,  '(直掃)RX Mapping'!AK18 &gt; 0), 120)</f>
        <v>-1</v>
      </c>
      <c r="AL18">
        <f>IF(
(AND('(直掃)RX Mapping'!AL18&gt;=0,'(直掃)RX Mapping'!AL18&lt;=480)),
(MOD('(直掃)RX Mapping'!AL18,120)-1),
IF(
(AND('(直掃)RX Mapping'!AL18&gt;=480,'(直掃)RX Mapping'!AL18&lt;=960)),
IF(MOD('(直掃)RX Mapping'!AL18,120)=0, 120, 240-MOD('(直掃)RX Mapping'!AL18,120)),9999))+IF(AND(MOD('(直掃)RX Mapping'!AL18,120)=0, '(直掃)RX Mapping'!AL18 &lt;= 480,  '(直掃)RX Mapping'!AL18 &gt; 0), 120)</f>
        <v>-1</v>
      </c>
      <c r="AM18">
        <f>IF(
(AND('(直掃)RX Mapping'!AM18&gt;=0,'(直掃)RX Mapping'!AM18&lt;=480)),
(MOD('(直掃)RX Mapping'!AM18,120)-1),
IF(
(AND('(直掃)RX Mapping'!AM18&gt;=480,'(直掃)RX Mapping'!AM18&lt;=960)),
IF(MOD('(直掃)RX Mapping'!AM18,120)=0, 120, 240-MOD('(直掃)RX Mapping'!AM18,120)),9999))+IF(AND(MOD('(直掃)RX Mapping'!AM18,120)=0, '(直掃)RX Mapping'!AM18 &lt;= 480,  '(直掃)RX Mapping'!AM18 &gt; 0), 120)</f>
        <v>-1</v>
      </c>
      <c r="AN18">
        <f>IF(
(AND('(直掃)RX Mapping'!AN18&gt;=0,'(直掃)RX Mapping'!AN18&lt;=480)),
(MOD('(直掃)RX Mapping'!AN18,120)-1),
IF(
(AND('(直掃)RX Mapping'!AN18&gt;=480,'(直掃)RX Mapping'!AN18&lt;=960)),
IF(MOD('(直掃)RX Mapping'!AN18,120)=0, 120, 240-MOD('(直掃)RX Mapping'!AN18,120)),9999))+IF(AND(MOD('(直掃)RX Mapping'!AN18,120)=0, '(直掃)RX Mapping'!AN18 &lt;= 480,  '(直掃)RX Mapping'!AN18 &gt; 0), 120)</f>
        <v>-1</v>
      </c>
      <c r="AO18">
        <f>IF(
(AND('(直掃)RX Mapping'!AO18&gt;=0,'(直掃)RX Mapping'!AO18&lt;=480)),
(MOD('(直掃)RX Mapping'!AO18,120)-1),
IF(
(AND('(直掃)RX Mapping'!AO18&gt;=480,'(直掃)RX Mapping'!AO18&lt;=960)),
IF(MOD('(直掃)RX Mapping'!AO18,120)=0, 120, 240-MOD('(直掃)RX Mapping'!AO18,120)),9999))+IF(AND(MOD('(直掃)RX Mapping'!AO18,120)=0, '(直掃)RX Mapping'!AO18 &lt;= 480,  '(直掃)RX Mapping'!AO18 &gt; 0), 120)</f>
        <v>-1</v>
      </c>
      <c r="AP18">
        <f>IF(
(AND('(直掃)RX Mapping'!AP18&gt;=0,'(直掃)RX Mapping'!AP18&lt;=480)),
(MOD('(直掃)RX Mapping'!AP18,120)-1),
IF(
(AND('(直掃)RX Mapping'!AP18&gt;=480,'(直掃)RX Mapping'!AP18&lt;=960)),
IF(MOD('(直掃)RX Mapping'!AP18,120)=0, 120, 240-MOD('(直掃)RX Mapping'!AP18,120)),9999))+IF(AND(MOD('(直掃)RX Mapping'!AP18,120)=0, '(直掃)RX Mapping'!AP18 &lt;= 480,  '(直掃)RX Mapping'!AP18 &gt; 0), 120)</f>
        <v>-1</v>
      </c>
      <c r="AQ18">
        <f>IF(
(AND('(直掃)RX Mapping'!AQ18&gt;=0,'(直掃)RX Mapping'!AQ18&lt;=480)),
(MOD('(直掃)RX Mapping'!AQ18,120)-1),
IF(
(AND('(直掃)RX Mapping'!AQ18&gt;=480,'(直掃)RX Mapping'!AQ18&lt;=960)),
IF(MOD('(直掃)RX Mapping'!AQ18,120)=0, 120, 240-MOD('(直掃)RX Mapping'!AQ18,120)),9999))+IF(AND(MOD('(直掃)RX Mapping'!AQ18,120)=0, '(直掃)RX Mapping'!AQ18 &lt;= 480,  '(直掃)RX Mapping'!AQ18 &gt; 0), 120)</f>
        <v>-1</v>
      </c>
      <c r="AR18">
        <f>IF(
(AND('(直掃)RX Mapping'!AR18&gt;=0,'(直掃)RX Mapping'!AR18&lt;=480)),
(MOD('(直掃)RX Mapping'!AR18,120)-1),
IF(
(AND('(直掃)RX Mapping'!AR18&gt;=480,'(直掃)RX Mapping'!AR18&lt;=960)),
IF(MOD('(直掃)RX Mapping'!AR18,120)=0, 120, 240-MOD('(直掃)RX Mapping'!AR18,120)),9999))+IF(AND(MOD('(直掃)RX Mapping'!AR18,120)=0, '(直掃)RX Mapping'!AR18 &lt;= 480,  '(直掃)RX Mapping'!AR18 &gt; 0), 120)</f>
        <v>-1</v>
      </c>
      <c r="AS18">
        <f>IF(
(AND('(直掃)RX Mapping'!AS18&gt;=0,'(直掃)RX Mapping'!AS18&lt;=480)),
(MOD('(直掃)RX Mapping'!AS18,120)-1),
IF(
(AND('(直掃)RX Mapping'!AS18&gt;=480,'(直掃)RX Mapping'!AS18&lt;=960)),
IF(MOD('(直掃)RX Mapping'!AS18,120)=0, 120, 240-MOD('(直掃)RX Mapping'!AS18,120)),9999))+IF(AND(MOD('(直掃)RX Mapping'!AS18,120)=0, '(直掃)RX Mapping'!AS18 &lt;= 480,  '(直掃)RX Mapping'!AS18 &gt; 0), 120)</f>
        <v>-1</v>
      </c>
      <c r="AT18">
        <f>IF(AND('(橫掃)RX Mapping'!AT18&gt;=1,'(橫掃)RX Mapping'!AT18&lt;=120), ('(橫掃)RX Mapping'!AT18-1),IF(AND('(橫掃)RX Mapping'!AT18&gt;=121,'(橫掃)RX Mapping'!AT18&lt;=240), (-1)*('(橫掃)RX Mapping'!AT18-240),IF(AND('(橫掃)RX Mapping'!AT18&gt;=241,'(橫掃)RX Mapping'!AT18&lt;=360), ('(橫掃)RX Mapping'!AT18-241),IF(AND('(橫掃)RX Mapping'!AT18&gt;=361,'(橫掃)RX Mapping'!AT18&lt;=480), (-1)*('(橫掃)RX Mapping'!AT18-480),IF(AND('(橫掃)RX Mapping'!AT18&gt;=481,'(橫掃)RX Mapping'!AT18&lt;=600), ('(橫掃)RX Mapping'!AT18-361),IF(AND('(橫掃)RX Mapping'!AT18&gt;=601,'(橫掃)RX Mapping'!AT18&lt;=720), (-1)*('(橫掃)RX Mapping'!AT18-720)+120,IF(AND('(橫掃)RX Mapping'!AT18&gt;=721,'(橫掃)RX Mapping'!AT18&lt;=840), ('(橫掃)RX Mapping'!AT18-601),IF(AND('(橫掃)RX Mapping'!AT18&gt;=841,'(橫掃)RX Mapping'!AT18&lt;=960), (-1)*('(橫掃)RX Mapping'!AT18-960)+120,9999))))))))</f>
        <v>9999</v>
      </c>
      <c r="AU18">
        <f>IF(AND('(橫掃)RX Mapping'!AU18&gt;=1,'(橫掃)RX Mapping'!AU18&lt;=120), ('(橫掃)RX Mapping'!AU18-1),IF(AND('(橫掃)RX Mapping'!AU18&gt;=121,'(橫掃)RX Mapping'!AU18&lt;=240), (-1)*('(橫掃)RX Mapping'!AU18-240),IF(AND('(橫掃)RX Mapping'!AU18&gt;=241,'(橫掃)RX Mapping'!AU18&lt;=360), ('(橫掃)RX Mapping'!AU18-241),IF(AND('(橫掃)RX Mapping'!AU18&gt;=361,'(橫掃)RX Mapping'!AU18&lt;=480), (-1)*('(橫掃)RX Mapping'!AU18-480),IF(AND('(橫掃)RX Mapping'!AU18&gt;=481,'(橫掃)RX Mapping'!AU18&lt;=600), ('(橫掃)RX Mapping'!AU18-361),IF(AND('(橫掃)RX Mapping'!AU18&gt;=601,'(橫掃)RX Mapping'!AU18&lt;=720), (-1)*('(橫掃)RX Mapping'!AU18-720)+120,IF(AND('(橫掃)RX Mapping'!AU18&gt;=721,'(橫掃)RX Mapping'!AU18&lt;=840), ('(橫掃)RX Mapping'!AU18-601),IF(AND('(橫掃)RX Mapping'!AU18&gt;=841,'(橫掃)RX Mapping'!AU18&lt;=960), (-1)*('(橫掃)RX Mapping'!AU18-960)+120,9999))))))))</f>
        <v>9999</v>
      </c>
      <c r="AV18">
        <f>IF(AND('(橫掃)RX Mapping'!AV18&gt;=1,'(橫掃)RX Mapping'!AV18&lt;=120), ('(橫掃)RX Mapping'!AV18-1),IF(AND('(橫掃)RX Mapping'!AV18&gt;=121,'(橫掃)RX Mapping'!AV18&lt;=240), (-1)*('(橫掃)RX Mapping'!AV18-240),IF(AND('(橫掃)RX Mapping'!AV18&gt;=241,'(橫掃)RX Mapping'!AV18&lt;=360), ('(橫掃)RX Mapping'!AV18-241),IF(AND('(橫掃)RX Mapping'!AV18&gt;=361,'(橫掃)RX Mapping'!AV18&lt;=480), (-1)*('(橫掃)RX Mapping'!AV18-480),IF(AND('(橫掃)RX Mapping'!AV18&gt;=481,'(橫掃)RX Mapping'!AV18&lt;=600), ('(橫掃)RX Mapping'!AV18-361),IF(AND('(橫掃)RX Mapping'!AV18&gt;=601,'(橫掃)RX Mapping'!AV18&lt;=720), (-1)*('(橫掃)RX Mapping'!AV18-720)+120,IF(AND('(橫掃)RX Mapping'!AV18&gt;=721,'(橫掃)RX Mapping'!AV18&lt;=840), ('(橫掃)RX Mapping'!AV18-601),IF(AND('(橫掃)RX Mapping'!AV18&gt;=841,'(橫掃)RX Mapping'!AV18&lt;=960), (-1)*('(橫掃)RX Mapping'!AV18-960)+120,9999))))))))</f>
        <v>9999</v>
      </c>
      <c r="AW18">
        <f>IF(AND('(橫掃)RX Mapping'!AW18&gt;=1,'(橫掃)RX Mapping'!AW18&lt;=120), ('(橫掃)RX Mapping'!AW18-1),IF(AND('(橫掃)RX Mapping'!AW18&gt;=121,'(橫掃)RX Mapping'!AW18&lt;=240), (-1)*('(橫掃)RX Mapping'!AW18-240),IF(AND('(橫掃)RX Mapping'!AW18&gt;=241,'(橫掃)RX Mapping'!AW18&lt;=360), ('(橫掃)RX Mapping'!AW18-241),IF(AND('(橫掃)RX Mapping'!AW18&gt;=361,'(橫掃)RX Mapping'!AW18&lt;=480), (-1)*('(橫掃)RX Mapping'!AW18-480),IF(AND('(橫掃)RX Mapping'!AW18&gt;=481,'(橫掃)RX Mapping'!AW18&lt;=600), ('(橫掃)RX Mapping'!AW18-361),IF(AND('(橫掃)RX Mapping'!AW18&gt;=601,'(橫掃)RX Mapping'!AW18&lt;=720), (-1)*('(橫掃)RX Mapping'!AW18-720)+120,IF(AND('(橫掃)RX Mapping'!AW18&gt;=721,'(橫掃)RX Mapping'!AW18&lt;=840), ('(橫掃)RX Mapping'!AW18-601),IF(AND('(橫掃)RX Mapping'!AW18&gt;=841,'(橫掃)RX Mapping'!AW18&lt;=960), (-1)*('(橫掃)RX Mapping'!AW18-960)+120,9999))))))))</f>
        <v>9999</v>
      </c>
      <c r="AX18">
        <f>IF(AND('(橫掃)RX Mapping'!AX18&gt;=1,'(橫掃)RX Mapping'!AX18&lt;=120), ('(橫掃)RX Mapping'!AX18-1),IF(AND('(橫掃)RX Mapping'!AX18&gt;=121,'(橫掃)RX Mapping'!AX18&lt;=240), (-1)*('(橫掃)RX Mapping'!AX18-240),IF(AND('(橫掃)RX Mapping'!AX18&gt;=241,'(橫掃)RX Mapping'!AX18&lt;=360), ('(橫掃)RX Mapping'!AX18-241),IF(AND('(橫掃)RX Mapping'!AX18&gt;=361,'(橫掃)RX Mapping'!AX18&lt;=480), (-1)*('(橫掃)RX Mapping'!AX18-480),IF(AND('(橫掃)RX Mapping'!AX18&gt;=481,'(橫掃)RX Mapping'!AX18&lt;=600), ('(橫掃)RX Mapping'!AX18-361),IF(AND('(橫掃)RX Mapping'!AX18&gt;=601,'(橫掃)RX Mapping'!AX18&lt;=720), (-1)*('(橫掃)RX Mapping'!AX18-720)+120,IF(AND('(橫掃)RX Mapping'!AX18&gt;=721,'(橫掃)RX Mapping'!AX18&lt;=840), ('(橫掃)RX Mapping'!AX18-601),IF(AND('(橫掃)RX Mapping'!AX18&gt;=841,'(橫掃)RX Mapping'!AX18&lt;=960), (-1)*('(橫掃)RX Mapping'!AX18-960)+120,9999))))))))</f>
        <v>9999</v>
      </c>
      <c r="AY18">
        <f>IF(AND('(橫掃)RX Mapping'!AY18&gt;=1,'(橫掃)RX Mapping'!AY18&lt;=120), ('(橫掃)RX Mapping'!AY18-1),IF(AND('(橫掃)RX Mapping'!AY18&gt;=121,'(橫掃)RX Mapping'!AY18&lt;=240), (-1)*('(橫掃)RX Mapping'!AY18-240),IF(AND('(橫掃)RX Mapping'!AY18&gt;=241,'(橫掃)RX Mapping'!AY18&lt;=360), ('(橫掃)RX Mapping'!AY18-241),IF(AND('(橫掃)RX Mapping'!AY18&gt;=361,'(橫掃)RX Mapping'!AY18&lt;=480), (-1)*('(橫掃)RX Mapping'!AY18-480),IF(AND('(橫掃)RX Mapping'!AY18&gt;=481,'(橫掃)RX Mapping'!AY18&lt;=600), ('(橫掃)RX Mapping'!AY18-361),IF(AND('(橫掃)RX Mapping'!AY18&gt;=601,'(橫掃)RX Mapping'!AY18&lt;=720), (-1)*('(橫掃)RX Mapping'!AY18-720)+120,IF(AND('(橫掃)RX Mapping'!AY18&gt;=721,'(橫掃)RX Mapping'!AY18&lt;=840), ('(橫掃)RX Mapping'!AY18-601),IF(AND('(橫掃)RX Mapping'!AY18&gt;=841,'(橫掃)RX Mapping'!AY18&lt;=960), (-1)*('(橫掃)RX Mapping'!AY18-960)+120,9999))))))))</f>
        <v>9999</v>
      </c>
      <c r="AZ18">
        <f>IF(AND('(橫掃)RX Mapping'!AZ18&gt;=1,'(橫掃)RX Mapping'!AZ18&lt;=120), ('(橫掃)RX Mapping'!AZ18-1),IF(AND('(橫掃)RX Mapping'!AZ18&gt;=121,'(橫掃)RX Mapping'!AZ18&lt;=240), (-1)*('(橫掃)RX Mapping'!AZ18-240),IF(AND('(橫掃)RX Mapping'!AZ18&gt;=241,'(橫掃)RX Mapping'!AZ18&lt;=360), ('(橫掃)RX Mapping'!AZ18-241),IF(AND('(橫掃)RX Mapping'!AZ18&gt;=361,'(橫掃)RX Mapping'!AZ18&lt;=480), (-1)*('(橫掃)RX Mapping'!AZ18-480),IF(AND('(橫掃)RX Mapping'!AZ18&gt;=481,'(橫掃)RX Mapping'!AZ18&lt;=600), ('(橫掃)RX Mapping'!AZ18-361),IF(AND('(橫掃)RX Mapping'!AZ18&gt;=601,'(橫掃)RX Mapping'!AZ18&lt;=720), (-1)*('(橫掃)RX Mapping'!AZ18-720)+120,IF(AND('(橫掃)RX Mapping'!AZ18&gt;=721,'(橫掃)RX Mapping'!AZ18&lt;=840), ('(橫掃)RX Mapping'!AZ18-601),IF(AND('(橫掃)RX Mapping'!AZ18&gt;=841,'(橫掃)RX Mapping'!AZ18&lt;=960), (-1)*('(橫掃)RX Mapping'!AZ18-960)+120,9999))))))))</f>
        <v>9999</v>
      </c>
      <c r="BA18">
        <f>IF(AND('(橫掃)RX Mapping'!BA18&gt;=1,'(橫掃)RX Mapping'!BA18&lt;=120), ('(橫掃)RX Mapping'!BA18-1),IF(AND('(橫掃)RX Mapping'!BA18&gt;=121,'(橫掃)RX Mapping'!BA18&lt;=240), (-1)*('(橫掃)RX Mapping'!BA18-240),IF(AND('(橫掃)RX Mapping'!BA18&gt;=241,'(橫掃)RX Mapping'!BA18&lt;=360), ('(橫掃)RX Mapping'!BA18-241),IF(AND('(橫掃)RX Mapping'!BA18&gt;=361,'(橫掃)RX Mapping'!BA18&lt;=480), (-1)*('(橫掃)RX Mapping'!BA18-480),IF(AND('(橫掃)RX Mapping'!BA18&gt;=481,'(橫掃)RX Mapping'!BA18&lt;=600), ('(橫掃)RX Mapping'!BA18-361),IF(AND('(橫掃)RX Mapping'!BA18&gt;=601,'(橫掃)RX Mapping'!BA18&lt;=720), (-1)*('(橫掃)RX Mapping'!BA18-720)+120,IF(AND('(橫掃)RX Mapping'!BA18&gt;=721,'(橫掃)RX Mapping'!BA18&lt;=840), ('(橫掃)RX Mapping'!BA18-601),IF(AND('(橫掃)RX Mapping'!BA18&gt;=841,'(橫掃)RX Mapping'!BA18&lt;=960), (-1)*('(橫掃)RX Mapping'!BA18-960)+120,9999))))))))</f>
        <v>9999</v>
      </c>
      <c r="BB18">
        <f>IF(AND('(橫掃)RX Mapping'!BB18&gt;=1,'(橫掃)RX Mapping'!BB18&lt;=120), ('(橫掃)RX Mapping'!BB18-1),IF(AND('(橫掃)RX Mapping'!BB18&gt;=121,'(橫掃)RX Mapping'!BB18&lt;=240), (-1)*('(橫掃)RX Mapping'!BB18-240),IF(AND('(橫掃)RX Mapping'!BB18&gt;=241,'(橫掃)RX Mapping'!BB18&lt;=360), ('(橫掃)RX Mapping'!BB18-241),IF(AND('(橫掃)RX Mapping'!BB18&gt;=361,'(橫掃)RX Mapping'!BB18&lt;=480), (-1)*('(橫掃)RX Mapping'!BB18-480),IF(AND('(橫掃)RX Mapping'!BB18&gt;=481,'(橫掃)RX Mapping'!BB18&lt;=600), ('(橫掃)RX Mapping'!BB18-361),IF(AND('(橫掃)RX Mapping'!BB18&gt;=601,'(橫掃)RX Mapping'!BB18&lt;=720), (-1)*('(橫掃)RX Mapping'!BB18-720)+120,IF(AND('(橫掃)RX Mapping'!BB18&gt;=721,'(橫掃)RX Mapping'!BB18&lt;=840), ('(橫掃)RX Mapping'!BB18-601),IF(AND('(橫掃)RX Mapping'!BB18&gt;=841,'(橫掃)RX Mapping'!BB18&lt;=960), (-1)*('(橫掃)RX Mapping'!BB18-960)+120,9999))))))))</f>
        <v>9999</v>
      </c>
      <c r="BC18">
        <f>IF(AND('(橫掃)RX Mapping'!BC18&gt;=1,'(橫掃)RX Mapping'!BC18&lt;=120), ('(橫掃)RX Mapping'!BC18-1),IF(AND('(橫掃)RX Mapping'!BC18&gt;=121,'(橫掃)RX Mapping'!BC18&lt;=240), (-1)*('(橫掃)RX Mapping'!BC18-240),IF(AND('(橫掃)RX Mapping'!BC18&gt;=241,'(橫掃)RX Mapping'!BC18&lt;=360), ('(橫掃)RX Mapping'!BC18-241),IF(AND('(橫掃)RX Mapping'!BC18&gt;=361,'(橫掃)RX Mapping'!BC18&lt;=480), (-1)*('(橫掃)RX Mapping'!BC18-480),IF(AND('(橫掃)RX Mapping'!BC18&gt;=481,'(橫掃)RX Mapping'!BC18&lt;=600), ('(橫掃)RX Mapping'!BC18-361),IF(AND('(橫掃)RX Mapping'!BC18&gt;=601,'(橫掃)RX Mapping'!BC18&lt;=720), (-1)*('(橫掃)RX Mapping'!BC18-720)+120,IF(AND('(橫掃)RX Mapping'!BC18&gt;=721,'(橫掃)RX Mapping'!BC18&lt;=840), ('(橫掃)RX Mapping'!BC18-601),IF(AND('(橫掃)RX Mapping'!BC18&gt;=841,'(橫掃)RX Mapping'!BC18&lt;=960), (-1)*('(橫掃)RX Mapping'!BC18-960)+120,9999))))))))</f>
        <v>9999</v>
      </c>
      <c r="BD18">
        <f>IF(AND('(橫掃)RX Mapping'!BD18&gt;=1,'(橫掃)RX Mapping'!BD18&lt;=120), ('(橫掃)RX Mapping'!BD18-1),IF(AND('(橫掃)RX Mapping'!BD18&gt;=121,'(橫掃)RX Mapping'!BD18&lt;=240), (-1)*('(橫掃)RX Mapping'!BD18-240),IF(AND('(橫掃)RX Mapping'!BD18&gt;=241,'(橫掃)RX Mapping'!BD18&lt;=360), ('(橫掃)RX Mapping'!BD18-241),IF(AND('(橫掃)RX Mapping'!BD18&gt;=361,'(橫掃)RX Mapping'!BD18&lt;=480), (-1)*('(橫掃)RX Mapping'!BD18-480),IF(AND('(橫掃)RX Mapping'!BD18&gt;=481,'(橫掃)RX Mapping'!BD18&lt;=600), ('(橫掃)RX Mapping'!BD18-361),IF(AND('(橫掃)RX Mapping'!BD18&gt;=601,'(橫掃)RX Mapping'!BD18&lt;=720), (-1)*('(橫掃)RX Mapping'!BD18-720)+120,IF(AND('(橫掃)RX Mapping'!BD18&gt;=721,'(橫掃)RX Mapping'!BD18&lt;=840), ('(橫掃)RX Mapping'!BD18-601),IF(AND('(橫掃)RX Mapping'!BD18&gt;=841,'(橫掃)RX Mapping'!BD18&lt;=960), (-1)*('(橫掃)RX Mapping'!BD18-960)+120,9999))))))))</f>
        <v>9999</v>
      </c>
      <c r="BE18">
        <f>IF(AND('(橫掃)RX Mapping'!BE18&gt;=1,'(橫掃)RX Mapping'!BE18&lt;=120), ('(橫掃)RX Mapping'!BE18-1),IF(AND('(橫掃)RX Mapping'!BE18&gt;=121,'(橫掃)RX Mapping'!BE18&lt;=240), (-1)*('(橫掃)RX Mapping'!BE18-240),IF(AND('(橫掃)RX Mapping'!BE18&gt;=241,'(橫掃)RX Mapping'!BE18&lt;=360), ('(橫掃)RX Mapping'!BE18-241),IF(AND('(橫掃)RX Mapping'!BE18&gt;=361,'(橫掃)RX Mapping'!BE18&lt;=480), (-1)*('(橫掃)RX Mapping'!BE18-480),IF(AND('(橫掃)RX Mapping'!BE18&gt;=481,'(橫掃)RX Mapping'!BE18&lt;=600), ('(橫掃)RX Mapping'!BE18-361),IF(AND('(橫掃)RX Mapping'!BE18&gt;=601,'(橫掃)RX Mapping'!BE18&lt;=720), (-1)*('(橫掃)RX Mapping'!BE18-720)+120,IF(AND('(橫掃)RX Mapping'!BE18&gt;=721,'(橫掃)RX Mapping'!BE18&lt;=840), ('(橫掃)RX Mapping'!BE18-601),IF(AND('(橫掃)RX Mapping'!BE18&gt;=841,'(橫掃)RX Mapping'!BE18&lt;=960), (-1)*('(橫掃)RX Mapping'!BE18-960)+120,9999))))))))</f>
        <v>9999</v>
      </c>
      <c r="BF18">
        <f>IF(AND('(橫掃)RX Mapping'!BF18&gt;=1,'(橫掃)RX Mapping'!BF18&lt;=120), ('(橫掃)RX Mapping'!BF18-1),IF(AND('(橫掃)RX Mapping'!BF18&gt;=121,'(橫掃)RX Mapping'!BF18&lt;=240), (-1)*('(橫掃)RX Mapping'!BF18-240),IF(AND('(橫掃)RX Mapping'!BF18&gt;=241,'(橫掃)RX Mapping'!BF18&lt;=360), ('(橫掃)RX Mapping'!BF18-241),IF(AND('(橫掃)RX Mapping'!BF18&gt;=361,'(橫掃)RX Mapping'!BF18&lt;=480), (-1)*('(橫掃)RX Mapping'!BF18-480),IF(AND('(橫掃)RX Mapping'!BF18&gt;=481,'(橫掃)RX Mapping'!BF18&lt;=600), ('(橫掃)RX Mapping'!BF18-361),IF(AND('(橫掃)RX Mapping'!BF18&gt;=601,'(橫掃)RX Mapping'!BF18&lt;=720), (-1)*('(橫掃)RX Mapping'!BF18-720)+120,IF(AND('(橫掃)RX Mapping'!BF18&gt;=721,'(橫掃)RX Mapping'!BF18&lt;=840), ('(橫掃)RX Mapping'!BF18-601),IF(AND('(橫掃)RX Mapping'!BF18&gt;=841,'(橫掃)RX Mapping'!BF18&lt;=960), (-1)*('(橫掃)RX Mapping'!BF18-960)+120,9999))))))))</f>
        <v>9999</v>
      </c>
      <c r="BG18">
        <f>IF(AND('(橫掃)RX Mapping'!BG18&gt;=1,'(橫掃)RX Mapping'!BG18&lt;=120), ('(橫掃)RX Mapping'!BG18-1),IF(AND('(橫掃)RX Mapping'!BG18&gt;=121,'(橫掃)RX Mapping'!BG18&lt;=240), (-1)*('(橫掃)RX Mapping'!BG18-240),IF(AND('(橫掃)RX Mapping'!BG18&gt;=241,'(橫掃)RX Mapping'!BG18&lt;=360), ('(橫掃)RX Mapping'!BG18-241),IF(AND('(橫掃)RX Mapping'!BG18&gt;=361,'(橫掃)RX Mapping'!BG18&lt;=480), (-1)*('(橫掃)RX Mapping'!BG18-480),IF(AND('(橫掃)RX Mapping'!BG18&gt;=481,'(橫掃)RX Mapping'!BG18&lt;=600), ('(橫掃)RX Mapping'!BG18-361),IF(AND('(橫掃)RX Mapping'!BG18&gt;=601,'(橫掃)RX Mapping'!BG18&lt;=720), (-1)*('(橫掃)RX Mapping'!BG18-720)+120,IF(AND('(橫掃)RX Mapping'!BG18&gt;=721,'(橫掃)RX Mapping'!BG18&lt;=840), ('(橫掃)RX Mapping'!BG18-601),IF(AND('(橫掃)RX Mapping'!BG18&gt;=841,'(橫掃)RX Mapping'!BG18&lt;=960), (-1)*('(橫掃)RX Mapping'!BG18-960)+120,9999))))))))</f>
        <v>9999</v>
      </c>
      <c r="BH18">
        <f>IF(AND('(橫掃)RX Mapping'!BH18&gt;=1,'(橫掃)RX Mapping'!BH18&lt;=120), ('(橫掃)RX Mapping'!BH18-1),IF(AND('(橫掃)RX Mapping'!BH18&gt;=121,'(橫掃)RX Mapping'!BH18&lt;=240), (-1)*('(橫掃)RX Mapping'!BH18-240),IF(AND('(橫掃)RX Mapping'!BH18&gt;=241,'(橫掃)RX Mapping'!BH18&lt;=360), ('(橫掃)RX Mapping'!BH18-241),IF(AND('(橫掃)RX Mapping'!BH18&gt;=361,'(橫掃)RX Mapping'!BH18&lt;=480), (-1)*('(橫掃)RX Mapping'!BH18-480),IF(AND('(橫掃)RX Mapping'!BH18&gt;=481,'(橫掃)RX Mapping'!BH18&lt;=600), ('(橫掃)RX Mapping'!BH18-361),IF(AND('(橫掃)RX Mapping'!BH18&gt;=601,'(橫掃)RX Mapping'!BH18&lt;=720), (-1)*('(橫掃)RX Mapping'!BH18-720)+120,IF(AND('(橫掃)RX Mapping'!BH18&gt;=721,'(橫掃)RX Mapping'!BH18&lt;=840), ('(橫掃)RX Mapping'!BH18-601),IF(AND('(橫掃)RX Mapping'!BH18&gt;=841,'(橫掃)RX Mapping'!BH18&lt;=960), (-1)*('(橫掃)RX Mapping'!BH18-960)+120,9999))))))))</f>
        <v>9999</v>
      </c>
      <c r="BI18">
        <f>IF(AND('(橫掃)RX Mapping'!BI18&gt;=1,'(橫掃)RX Mapping'!BI18&lt;=120), ('(橫掃)RX Mapping'!BI18-1),IF(AND('(橫掃)RX Mapping'!BI18&gt;=121,'(橫掃)RX Mapping'!BI18&lt;=240), (-1)*('(橫掃)RX Mapping'!BI18-240),IF(AND('(橫掃)RX Mapping'!BI18&gt;=241,'(橫掃)RX Mapping'!BI18&lt;=360), ('(橫掃)RX Mapping'!BI18-241),IF(AND('(橫掃)RX Mapping'!BI18&gt;=361,'(橫掃)RX Mapping'!BI18&lt;=480), (-1)*('(橫掃)RX Mapping'!BI18-480),IF(AND('(橫掃)RX Mapping'!BI18&gt;=481,'(橫掃)RX Mapping'!BI18&lt;=600), ('(橫掃)RX Mapping'!BI18-361),IF(AND('(橫掃)RX Mapping'!BI18&gt;=601,'(橫掃)RX Mapping'!BI18&lt;=720), (-1)*('(橫掃)RX Mapping'!BI18-720)+120,IF(AND('(橫掃)RX Mapping'!BI18&gt;=721,'(橫掃)RX Mapping'!BI18&lt;=840), ('(橫掃)RX Mapping'!BI18-601),IF(AND('(橫掃)RX Mapping'!BI18&gt;=841,'(橫掃)RX Mapping'!BI18&lt;=960), (-1)*('(橫掃)RX Mapping'!BI18-960)+120,9999))))))))</f>
        <v>9999</v>
      </c>
    </row>
    <row r="19" spans="1:61" x14ac:dyDescent="0.25">
      <c r="A19" s="20">
        <v>18</v>
      </c>
      <c r="B19">
        <f>IF(
(AND('(直掃)RX Mapping'!B19&gt;=0,'(直掃)RX Mapping'!B19&lt;=480)),
(MOD('(直掃)RX Mapping'!B19,120)-1),
IF(
(AND('(直掃)RX Mapping'!B19&gt;=480,'(直掃)RX Mapping'!B19&lt;=960)),
IF(MOD('(直掃)RX Mapping'!B19,120)=0, 120, 240-MOD('(直掃)RX Mapping'!B19,120)),9999))+IF(AND(MOD('(直掃)RX Mapping'!B19,120)=0, '(直掃)RX Mapping'!B19 &lt;= 480,  '(直掃)RX Mapping'!B19 &gt; 0), 120)</f>
        <v>137</v>
      </c>
      <c r="C19">
        <f>IF(
(AND('(直掃)RX Mapping'!C19&gt;=0,'(直掃)RX Mapping'!C19&lt;=480)),
(MOD('(直掃)RX Mapping'!C19,120)-1),
IF(
(AND('(直掃)RX Mapping'!C19&gt;=480,'(直掃)RX Mapping'!C19&lt;=960)),
IF(MOD('(直掃)RX Mapping'!C19,120)=0, 120, 240-MOD('(直掃)RX Mapping'!C19,120)),9999))+IF(AND(MOD('(直掃)RX Mapping'!C19,120)=0, '(直掃)RX Mapping'!C19 &lt;= 480,  '(直掃)RX Mapping'!C19 &gt; 0), 120)</f>
        <v>167</v>
      </c>
      <c r="D19">
        <f>IF(
(AND('(直掃)RX Mapping'!D19&gt;=0,'(直掃)RX Mapping'!D19&lt;=480)),
(MOD('(直掃)RX Mapping'!D19,120)-1),
IF(
(AND('(直掃)RX Mapping'!D19&gt;=480,'(直掃)RX Mapping'!D19&lt;=960)),
IF(MOD('(直掃)RX Mapping'!D19,120)=0, 120, 240-MOD('(直掃)RX Mapping'!D19,120)),9999))+IF(AND(MOD('(直掃)RX Mapping'!D19,120)=0, '(直掃)RX Mapping'!D19 &lt;= 480,  '(直掃)RX Mapping'!D19 &gt; 0), 120)</f>
        <v>197</v>
      </c>
      <c r="E19">
        <f>IF(
(AND('(直掃)RX Mapping'!E19&gt;=0,'(直掃)RX Mapping'!E19&lt;=480)),
(MOD('(直掃)RX Mapping'!E19,120)-1),
IF(
(AND('(直掃)RX Mapping'!E19&gt;=480,'(直掃)RX Mapping'!E19&lt;=960)),
IF(MOD('(直掃)RX Mapping'!E19,120)=0, 120, 240-MOD('(直掃)RX Mapping'!E19,120)),9999))+IF(AND(MOD('(直掃)RX Mapping'!E19,120)=0, '(直掃)RX Mapping'!E19 &lt;= 480,  '(直掃)RX Mapping'!E19 &gt; 0), 120)</f>
        <v>137</v>
      </c>
      <c r="F19">
        <f>IF(
(AND('(直掃)RX Mapping'!F19&gt;=0,'(直掃)RX Mapping'!F19&lt;=480)),
(MOD('(直掃)RX Mapping'!F19,120)-1),
IF(
(AND('(直掃)RX Mapping'!F19&gt;=480,'(直掃)RX Mapping'!F19&lt;=960)),
IF(MOD('(直掃)RX Mapping'!F19,120)=0, 120, 240-MOD('(直掃)RX Mapping'!F19,120)),9999))+IF(AND(MOD('(直掃)RX Mapping'!F19,120)=0, '(直掃)RX Mapping'!F19 &lt;= 480,  '(直掃)RX Mapping'!F19 &gt; 0), 120)</f>
        <v>167</v>
      </c>
      <c r="G19">
        <f>IF(
(AND('(直掃)RX Mapping'!G19&gt;=0,'(直掃)RX Mapping'!G19&lt;=480)),
(MOD('(直掃)RX Mapping'!G19,120)-1),
IF(
(AND('(直掃)RX Mapping'!G19&gt;=480,'(直掃)RX Mapping'!G19&lt;=960)),
IF(MOD('(直掃)RX Mapping'!G19,120)=0, 120, 240-MOD('(直掃)RX Mapping'!G19,120)),9999))+IF(AND(MOD('(直掃)RX Mapping'!G19,120)=0, '(直掃)RX Mapping'!G19 &lt;= 480,  '(直掃)RX Mapping'!G19 &gt; 0), 120)</f>
        <v>197</v>
      </c>
      <c r="H19">
        <f>IF(
(AND('(直掃)RX Mapping'!H19&gt;=0,'(直掃)RX Mapping'!H19&lt;=480)),
(MOD('(直掃)RX Mapping'!H19,120)-1),
IF(
(AND('(直掃)RX Mapping'!H19&gt;=480,'(直掃)RX Mapping'!H19&lt;=960)),
IF(MOD('(直掃)RX Mapping'!H19,120)=0, 120, 240-MOD('(直掃)RX Mapping'!H19,120)),9999))+IF(AND(MOD('(直掃)RX Mapping'!H19,120)=0, '(直掃)RX Mapping'!H19 &lt;= 480,  '(直掃)RX Mapping'!H19 &gt; 0), 120)</f>
        <v>137</v>
      </c>
      <c r="I19">
        <f>IF(
(AND('(直掃)RX Mapping'!I19&gt;=0,'(直掃)RX Mapping'!I19&lt;=480)),
(MOD('(直掃)RX Mapping'!I19,120)-1),
IF(
(AND('(直掃)RX Mapping'!I19&gt;=480,'(直掃)RX Mapping'!I19&lt;=960)),
IF(MOD('(直掃)RX Mapping'!I19,120)=0, 120, 240-MOD('(直掃)RX Mapping'!I19,120)),9999))+IF(AND(MOD('(直掃)RX Mapping'!I19,120)=0, '(直掃)RX Mapping'!I19 &lt;= 480,  '(直掃)RX Mapping'!I19 &gt; 0), 120)</f>
        <v>167</v>
      </c>
      <c r="J19">
        <f>IF(
(AND('(直掃)RX Mapping'!J19&gt;=0,'(直掃)RX Mapping'!J19&lt;=480)),
(MOD('(直掃)RX Mapping'!J19,120)-1),
IF(
(AND('(直掃)RX Mapping'!J19&gt;=480,'(直掃)RX Mapping'!J19&lt;=960)),
IF(MOD('(直掃)RX Mapping'!J19,120)=0, 120, 240-MOD('(直掃)RX Mapping'!J19,120)),9999))+IF(AND(MOD('(直掃)RX Mapping'!J19,120)=0, '(直掃)RX Mapping'!J19 &lt;= 480,  '(直掃)RX Mapping'!J19 &gt; 0), 120)</f>
        <v>197</v>
      </c>
      <c r="K19">
        <f>IF(
(AND('(直掃)RX Mapping'!K19&gt;=0,'(直掃)RX Mapping'!K19&lt;=480)),
(MOD('(直掃)RX Mapping'!K19,120)-1),
IF(
(AND('(直掃)RX Mapping'!K19&gt;=480,'(直掃)RX Mapping'!K19&lt;=960)),
IF(MOD('(直掃)RX Mapping'!K19,120)=0, 120, 240-MOD('(直掃)RX Mapping'!K19,120)),9999))+IF(AND(MOD('(直掃)RX Mapping'!K19,120)=0, '(直掃)RX Mapping'!K19 &lt;= 480,  '(直掃)RX Mapping'!K19 &gt; 0), 120)</f>
        <v>227</v>
      </c>
      <c r="L19">
        <f>IF(
(AND('(直掃)RX Mapping'!L19&gt;=0,'(直掃)RX Mapping'!L19&lt;=480)),
(MOD('(直掃)RX Mapping'!L19,120)-1),
IF(
(AND('(直掃)RX Mapping'!L19&gt;=480,'(直掃)RX Mapping'!L19&lt;=960)),
IF(MOD('(直掃)RX Mapping'!L19,120)=0, 120, 240-MOD('(直掃)RX Mapping'!L19,120)),9999))+IF(AND(MOD('(直掃)RX Mapping'!L19,120)=0, '(直掃)RX Mapping'!L19 &lt;= 480,  '(直掃)RX Mapping'!L19 &gt; 0), 120)</f>
        <v>137</v>
      </c>
      <c r="M19">
        <f>IF(
(AND('(直掃)RX Mapping'!M19&gt;=0,'(直掃)RX Mapping'!M19&lt;=480)),
(MOD('(直掃)RX Mapping'!M19,120)-1),
IF(
(AND('(直掃)RX Mapping'!M19&gt;=480,'(直掃)RX Mapping'!M19&lt;=960)),
IF(MOD('(直掃)RX Mapping'!M19,120)=0, 120, 240-MOD('(直掃)RX Mapping'!M19,120)),9999))+IF(AND(MOD('(直掃)RX Mapping'!M19,120)=0, '(直掃)RX Mapping'!M19 &lt;= 480,  '(直掃)RX Mapping'!M19 &gt; 0), 120)</f>
        <v>167</v>
      </c>
      <c r="N19">
        <f>IF(
(AND('(直掃)RX Mapping'!N19&gt;=0,'(直掃)RX Mapping'!N19&lt;=480)),
(MOD('(直掃)RX Mapping'!N19,120)-1),
IF(
(AND('(直掃)RX Mapping'!N19&gt;=480,'(直掃)RX Mapping'!N19&lt;=960)),
IF(MOD('(直掃)RX Mapping'!N19,120)=0, 120, 240-MOD('(直掃)RX Mapping'!N19,120)),9999))+IF(AND(MOD('(直掃)RX Mapping'!N19,120)=0, '(直掃)RX Mapping'!N19 &lt;= 480,  '(直掃)RX Mapping'!N19 &gt; 0), 120)</f>
        <v>197</v>
      </c>
      <c r="O19">
        <f>IF(
(AND('(直掃)RX Mapping'!O19&gt;=0,'(直掃)RX Mapping'!O19&lt;=480)),
(MOD('(直掃)RX Mapping'!O19,120)-1),
IF(
(AND('(直掃)RX Mapping'!O19&gt;=480,'(直掃)RX Mapping'!O19&lt;=960)),
IF(MOD('(直掃)RX Mapping'!O19,120)=0, 120, 240-MOD('(直掃)RX Mapping'!O19,120)),9999))+IF(AND(MOD('(直掃)RX Mapping'!O19,120)=0, '(直掃)RX Mapping'!O19 &lt;= 480,  '(直掃)RX Mapping'!O19 &gt; 0), 120)</f>
        <v>227</v>
      </c>
      <c r="P19">
        <f>IF(
(AND('(直掃)RX Mapping'!P19&gt;=0,'(直掃)RX Mapping'!P19&lt;=480)),
(MOD('(直掃)RX Mapping'!P19,120)-1),
IF(
(AND('(直掃)RX Mapping'!P19&gt;=480,'(直掃)RX Mapping'!P19&lt;=960)),
IF(MOD('(直掃)RX Mapping'!P19,120)=0, 120, 240-MOD('(直掃)RX Mapping'!P19,120)),9999))+IF(AND(MOD('(直掃)RX Mapping'!P19,120)=0, '(直掃)RX Mapping'!P19 &lt;= 480,  '(直掃)RX Mapping'!P19 &gt; 0), 120)</f>
        <v>102</v>
      </c>
      <c r="Q19">
        <f>IF(
(AND('(直掃)RX Mapping'!Q19&gt;=0,'(直掃)RX Mapping'!Q19&lt;=480)),
(MOD('(直掃)RX Mapping'!Q19,120)-1),
IF(
(AND('(直掃)RX Mapping'!Q19&gt;=480,'(直掃)RX Mapping'!Q19&lt;=960)),
IF(MOD('(直掃)RX Mapping'!Q19,120)=0, 120, 240-MOD('(直掃)RX Mapping'!Q19,120)),9999))+IF(AND(MOD('(直掃)RX Mapping'!Q19,120)=0, '(直掃)RX Mapping'!Q19 &lt;= 480,  '(直掃)RX Mapping'!Q19 &gt; 0), 120)</f>
        <v>72</v>
      </c>
      <c r="R19">
        <f>IF(
(AND('(直掃)RX Mapping'!R19&gt;=0,'(直掃)RX Mapping'!R19&lt;=480)),
(MOD('(直掃)RX Mapping'!R19,120)-1),
IF(
(AND('(直掃)RX Mapping'!R19&gt;=480,'(直掃)RX Mapping'!R19&lt;=960)),
IF(MOD('(直掃)RX Mapping'!R19,120)=0, 120, 240-MOD('(直掃)RX Mapping'!R19,120)),9999))+IF(AND(MOD('(直掃)RX Mapping'!R19,120)=0, '(直掃)RX Mapping'!R19 &lt;= 480,  '(直掃)RX Mapping'!R19 &gt; 0), 120)</f>
        <v>42</v>
      </c>
      <c r="S19">
        <f>IF(
(AND('(直掃)RX Mapping'!S19&gt;=0,'(直掃)RX Mapping'!S19&lt;=480)),
(MOD('(直掃)RX Mapping'!S19,120)-1),
IF(
(AND('(直掃)RX Mapping'!S19&gt;=480,'(直掃)RX Mapping'!S19&lt;=960)),
IF(MOD('(直掃)RX Mapping'!S19,120)=0, 120, 240-MOD('(直掃)RX Mapping'!S19,120)),9999))+IF(AND(MOD('(直掃)RX Mapping'!S19,120)=0, '(直掃)RX Mapping'!S19 &lt;= 480,  '(直掃)RX Mapping'!S19 &gt; 0), 120)</f>
        <v>12</v>
      </c>
      <c r="T19">
        <f>IF(
(AND('(直掃)RX Mapping'!T19&gt;=0,'(直掃)RX Mapping'!T19&lt;=480)),
(MOD('(直掃)RX Mapping'!T19,120)-1),
IF(
(AND('(直掃)RX Mapping'!T19&gt;=480,'(直掃)RX Mapping'!T19&lt;=960)),
IF(MOD('(直掃)RX Mapping'!T19,120)=0, 120, 240-MOD('(直掃)RX Mapping'!T19,120)),9999))+IF(AND(MOD('(直掃)RX Mapping'!T19,120)=0, '(直掃)RX Mapping'!T19 &lt;= 480,  '(直掃)RX Mapping'!T19 &gt; 0), 120)</f>
        <v>102</v>
      </c>
      <c r="U19">
        <f>IF(
(AND('(直掃)RX Mapping'!U19&gt;=0,'(直掃)RX Mapping'!U19&lt;=480)),
(MOD('(直掃)RX Mapping'!U19,120)-1),
IF(
(AND('(直掃)RX Mapping'!U19&gt;=480,'(直掃)RX Mapping'!U19&lt;=960)),
IF(MOD('(直掃)RX Mapping'!U19,120)=0, 120, 240-MOD('(直掃)RX Mapping'!U19,120)),9999))+IF(AND(MOD('(直掃)RX Mapping'!U19,120)=0, '(直掃)RX Mapping'!U19 &lt;= 480,  '(直掃)RX Mapping'!U19 &gt; 0), 120)</f>
        <v>72</v>
      </c>
      <c r="V19">
        <f>IF(
(AND('(直掃)RX Mapping'!V19&gt;=0,'(直掃)RX Mapping'!V19&lt;=480)),
(MOD('(直掃)RX Mapping'!V19,120)-1),
IF(
(AND('(直掃)RX Mapping'!V19&gt;=480,'(直掃)RX Mapping'!V19&lt;=960)),
IF(MOD('(直掃)RX Mapping'!V19,120)=0, 120, 240-MOD('(直掃)RX Mapping'!V19,120)),9999))+IF(AND(MOD('(直掃)RX Mapping'!V19,120)=0, '(直掃)RX Mapping'!V19 &lt;= 480,  '(直掃)RX Mapping'!V19 &gt; 0), 120)</f>
        <v>42</v>
      </c>
      <c r="W19">
        <f>IF(
(AND('(直掃)RX Mapping'!W19&gt;=0,'(直掃)RX Mapping'!W19&lt;=480)),
(MOD('(直掃)RX Mapping'!W19,120)-1),
IF(
(AND('(直掃)RX Mapping'!W19&gt;=480,'(直掃)RX Mapping'!W19&lt;=960)),
IF(MOD('(直掃)RX Mapping'!W19,120)=0, 120, 240-MOD('(直掃)RX Mapping'!W19,120)),9999))+IF(AND(MOD('(直掃)RX Mapping'!W19,120)=0, '(直掃)RX Mapping'!W19 &lt;= 480,  '(直掃)RX Mapping'!W19 &gt; 0), 120)</f>
        <v>12</v>
      </c>
      <c r="X19">
        <f>IF(
(AND('(直掃)RX Mapping'!X19&gt;=0,'(直掃)RX Mapping'!X19&lt;=480)),
(MOD('(直掃)RX Mapping'!X19,120)-1),
IF(
(AND('(直掃)RX Mapping'!X19&gt;=480,'(直掃)RX Mapping'!X19&lt;=960)),
IF(MOD('(直掃)RX Mapping'!X19,120)=0, 120, 240-MOD('(直掃)RX Mapping'!X19,120)),9999))+IF(AND(MOD('(直掃)RX Mapping'!X19,120)=0, '(直掃)RX Mapping'!X19 &lt;= 480,  '(直掃)RX Mapping'!X19 &gt; 0), 120)</f>
        <v>72</v>
      </c>
      <c r="Y19">
        <f>IF(
(AND('(直掃)RX Mapping'!Y19&gt;=0,'(直掃)RX Mapping'!Y19&lt;=480)),
(MOD('(直掃)RX Mapping'!Y19,120)-1),
IF(
(AND('(直掃)RX Mapping'!Y19&gt;=480,'(直掃)RX Mapping'!Y19&lt;=960)),
IF(MOD('(直掃)RX Mapping'!Y19,120)=0, 120, 240-MOD('(直掃)RX Mapping'!Y19,120)),9999))+IF(AND(MOD('(直掃)RX Mapping'!Y19,120)=0, '(直掃)RX Mapping'!Y19 &lt;= 480,  '(直掃)RX Mapping'!Y19 &gt; 0), 120)</f>
        <v>42</v>
      </c>
      <c r="Z19">
        <f>IF(
(AND('(直掃)RX Mapping'!Z19&gt;=0,'(直掃)RX Mapping'!Z19&lt;=480)),
(MOD('(直掃)RX Mapping'!Z19,120)-1),
IF(
(AND('(直掃)RX Mapping'!Z19&gt;=480,'(直掃)RX Mapping'!Z19&lt;=960)),
IF(MOD('(直掃)RX Mapping'!Z19,120)=0, 120, 240-MOD('(直掃)RX Mapping'!Z19,120)),9999))+IF(AND(MOD('(直掃)RX Mapping'!Z19,120)=0, '(直掃)RX Mapping'!Z19 &lt;= 480,  '(直掃)RX Mapping'!Z19 &gt; 0), 120)</f>
        <v>12</v>
      </c>
      <c r="AA19">
        <f>IF(
(AND('(直掃)RX Mapping'!AA19&gt;=0,'(直掃)RX Mapping'!AA19&lt;=480)),
(MOD('(直掃)RX Mapping'!AA19,120)-1),
IF(
(AND('(直掃)RX Mapping'!AA19&gt;=480,'(直掃)RX Mapping'!AA19&lt;=960)),
IF(MOD('(直掃)RX Mapping'!AA19,120)=0, 120, 240-MOD('(直掃)RX Mapping'!AA19,120)),9999))+IF(AND(MOD('(直掃)RX Mapping'!AA19,120)=0, '(直掃)RX Mapping'!AA19 &lt;= 480,  '(直掃)RX Mapping'!AA19 &gt; 0), 120)</f>
        <v>72</v>
      </c>
      <c r="AB19">
        <f>IF(
(AND('(直掃)RX Mapping'!AB19&gt;=0,'(直掃)RX Mapping'!AB19&lt;=480)),
(MOD('(直掃)RX Mapping'!AB19,120)-1),
IF(
(AND('(直掃)RX Mapping'!AB19&gt;=480,'(直掃)RX Mapping'!AB19&lt;=960)),
IF(MOD('(直掃)RX Mapping'!AB19,120)=0, 120, 240-MOD('(直掃)RX Mapping'!AB19,120)),9999))+IF(AND(MOD('(直掃)RX Mapping'!AB19,120)=0, '(直掃)RX Mapping'!AB19 &lt;= 480,  '(直掃)RX Mapping'!AB19 &gt; 0), 120)</f>
        <v>42</v>
      </c>
      <c r="AC19">
        <f>IF(
(AND('(直掃)RX Mapping'!AC19&gt;=0,'(直掃)RX Mapping'!AC19&lt;=480)),
(MOD('(直掃)RX Mapping'!AC19,120)-1),
IF(
(AND('(直掃)RX Mapping'!AC19&gt;=480,'(直掃)RX Mapping'!AC19&lt;=960)),
IF(MOD('(直掃)RX Mapping'!AC19,120)=0, 120, 240-MOD('(直掃)RX Mapping'!AC19,120)),9999))+IF(AND(MOD('(直掃)RX Mapping'!AC19,120)=0, '(直掃)RX Mapping'!AC19 &lt;= 480,  '(直掃)RX Mapping'!AC19 &gt; 0), 120)</f>
        <v>12</v>
      </c>
      <c r="AD19">
        <f>IF(
(AND('(直掃)RX Mapping'!AD19&gt;=0,'(直掃)RX Mapping'!AD19&lt;=480)),
(MOD('(直掃)RX Mapping'!AD19,120)-1),
IF(
(AND('(直掃)RX Mapping'!AD19&gt;=480,'(直掃)RX Mapping'!AD19&lt;=960)),
IF(MOD('(直掃)RX Mapping'!AD19,120)=0, 120, 240-MOD('(直掃)RX Mapping'!AD19,120)),9999))+IF(AND(MOD('(直掃)RX Mapping'!AD19,120)=0, '(直掃)RX Mapping'!AD19 &lt;= 480,  '(直掃)RX Mapping'!AD19 &gt; 0), 120)</f>
        <v>-1</v>
      </c>
      <c r="AE19">
        <f>IF(
(AND('(直掃)RX Mapping'!AE19&gt;=0,'(直掃)RX Mapping'!AE19&lt;=480)),
(MOD('(直掃)RX Mapping'!AE19,120)-1),
IF(
(AND('(直掃)RX Mapping'!AE19&gt;=480,'(直掃)RX Mapping'!AE19&lt;=960)),
IF(MOD('(直掃)RX Mapping'!AE19,120)=0, 120, 240-MOD('(直掃)RX Mapping'!AE19,120)),9999))+IF(AND(MOD('(直掃)RX Mapping'!AE19,120)=0, '(直掃)RX Mapping'!AE19 &lt;= 480,  '(直掃)RX Mapping'!AE19 &gt; 0), 120)</f>
        <v>-1</v>
      </c>
      <c r="AF19">
        <f>IF(
(AND('(直掃)RX Mapping'!AF19&gt;=0,'(直掃)RX Mapping'!AF19&lt;=480)),
(MOD('(直掃)RX Mapping'!AF19,120)-1),
IF(
(AND('(直掃)RX Mapping'!AF19&gt;=480,'(直掃)RX Mapping'!AF19&lt;=960)),
IF(MOD('(直掃)RX Mapping'!AF19,120)=0, 120, 240-MOD('(直掃)RX Mapping'!AF19,120)),9999))+IF(AND(MOD('(直掃)RX Mapping'!AF19,120)=0, '(直掃)RX Mapping'!AF19 &lt;= 480,  '(直掃)RX Mapping'!AF19 &gt; 0), 120)</f>
        <v>-1</v>
      </c>
      <c r="AG19">
        <f>IF(
(AND('(直掃)RX Mapping'!AG19&gt;=0,'(直掃)RX Mapping'!AG19&lt;=480)),
(MOD('(直掃)RX Mapping'!AG19,120)-1),
IF(
(AND('(直掃)RX Mapping'!AG19&gt;=480,'(直掃)RX Mapping'!AG19&lt;=960)),
IF(MOD('(直掃)RX Mapping'!AG19,120)=0, 120, 240-MOD('(直掃)RX Mapping'!AG19,120)),9999))+IF(AND(MOD('(直掃)RX Mapping'!AG19,120)=0, '(直掃)RX Mapping'!AG19 &lt;= 480,  '(直掃)RX Mapping'!AG19 &gt; 0), 120)</f>
        <v>-1</v>
      </c>
      <c r="AH19">
        <f>IF(
(AND('(直掃)RX Mapping'!AH19&gt;=0,'(直掃)RX Mapping'!AH19&lt;=480)),
(MOD('(直掃)RX Mapping'!AH19,120)-1),
IF(
(AND('(直掃)RX Mapping'!AH19&gt;=480,'(直掃)RX Mapping'!AH19&lt;=960)),
IF(MOD('(直掃)RX Mapping'!AH19,120)=0, 120, 240-MOD('(直掃)RX Mapping'!AH19,120)),9999))+IF(AND(MOD('(直掃)RX Mapping'!AH19,120)=0, '(直掃)RX Mapping'!AH19 &lt;= 480,  '(直掃)RX Mapping'!AH19 &gt; 0), 120)</f>
        <v>-1</v>
      </c>
      <c r="AI19">
        <f>IF(
(AND('(直掃)RX Mapping'!AI19&gt;=0,'(直掃)RX Mapping'!AI19&lt;=480)),
(MOD('(直掃)RX Mapping'!AI19,120)-1),
IF(
(AND('(直掃)RX Mapping'!AI19&gt;=480,'(直掃)RX Mapping'!AI19&lt;=960)),
IF(MOD('(直掃)RX Mapping'!AI19,120)=0, 120, 240-MOD('(直掃)RX Mapping'!AI19,120)),9999))+IF(AND(MOD('(直掃)RX Mapping'!AI19,120)=0, '(直掃)RX Mapping'!AI19 &lt;= 480,  '(直掃)RX Mapping'!AI19 &gt; 0), 120)</f>
        <v>-1</v>
      </c>
      <c r="AJ19">
        <f>IF(
(AND('(直掃)RX Mapping'!AJ19&gt;=0,'(直掃)RX Mapping'!AJ19&lt;=480)),
(MOD('(直掃)RX Mapping'!AJ19,120)-1),
IF(
(AND('(直掃)RX Mapping'!AJ19&gt;=480,'(直掃)RX Mapping'!AJ19&lt;=960)),
IF(MOD('(直掃)RX Mapping'!AJ19,120)=0, 120, 240-MOD('(直掃)RX Mapping'!AJ19,120)),9999))+IF(AND(MOD('(直掃)RX Mapping'!AJ19,120)=0, '(直掃)RX Mapping'!AJ19 &lt;= 480,  '(直掃)RX Mapping'!AJ19 &gt; 0), 120)</f>
        <v>-1</v>
      </c>
      <c r="AK19">
        <f>IF(
(AND('(直掃)RX Mapping'!AK19&gt;=0,'(直掃)RX Mapping'!AK19&lt;=480)),
(MOD('(直掃)RX Mapping'!AK19,120)-1),
IF(
(AND('(直掃)RX Mapping'!AK19&gt;=480,'(直掃)RX Mapping'!AK19&lt;=960)),
IF(MOD('(直掃)RX Mapping'!AK19,120)=0, 120, 240-MOD('(直掃)RX Mapping'!AK19,120)),9999))+IF(AND(MOD('(直掃)RX Mapping'!AK19,120)=0, '(直掃)RX Mapping'!AK19 &lt;= 480,  '(直掃)RX Mapping'!AK19 &gt; 0), 120)</f>
        <v>-1</v>
      </c>
      <c r="AL19">
        <f>IF(
(AND('(直掃)RX Mapping'!AL19&gt;=0,'(直掃)RX Mapping'!AL19&lt;=480)),
(MOD('(直掃)RX Mapping'!AL19,120)-1),
IF(
(AND('(直掃)RX Mapping'!AL19&gt;=480,'(直掃)RX Mapping'!AL19&lt;=960)),
IF(MOD('(直掃)RX Mapping'!AL19,120)=0, 120, 240-MOD('(直掃)RX Mapping'!AL19,120)),9999))+IF(AND(MOD('(直掃)RX Mapping'!AL19,120)=0, '(直掃)RX Mapping'!AL19 &lt;= 480,  '(直掃)RX Mapping'!AL19 &gt; 0), 120)</f>
        <v>-1</v>
      </c>
      <c r="AM19">
        <f>IF(
(AND('(直掃)RX Mapping'!AM19&gt;=0,'(直掃)RX Mapping'!AM19&lt;=480)),
(MOD('(直掃)RX Mapping'!AM19,120)-1),
IF(
(AND('(直掃)RX Mapping'!AM19&gt;=480,'(直掃)RX Mapping'!AM19&lt;=960)),
IF(MOD('(直掃)RX Mapping'!AM19,120)=0, 120, 240-MOD('(直掃)RX Mapping'!AM19,120)),9999))+IF(AND(MOD('(直掃)RX Mapping'!AM19,120)=0, '(直掃)RX Mapping'!AM19 &lt;= 480,  '(直掃)RX Mapping'!AM19 &gt; 0), 120)</f>
        <v>-1</v>
      </c>
      <c r="AN19">
        <f>IF(
(AND('(直掃)RX Mapping'!AN19&gt;=0,'(直掃)RX Mapping'!AN19&lt;=480)),
(MOD('(直掃)RX Mapping'!AN19,120)-1),
IF(
(AND('(直掃)RX Mapping'!AN19&gt;=480,'(直掃)RX Mapping'!AN19&lt;=960)),
IF(MOD('(直掃)RX Mapping'!AN19,120)=0, 120, 240-MOD('(直掃)RX Mapping'!AN19,120)),9999))+IF(AND(MOD('(直掃)RX Mapping'!AN19,120)=0, '(直掃)RX Mapping'!AN19 &lt;= 480,  '(直掃)RX Mapping'!AN19 &gt; 0), 120)</f>
        <v>-1</v>
      </c>
      <c r="AO19">
        <f>IF(
(AND('(直掃)RX Mapping'!AO19&gt;=0,'(直掃)RX Mapping'!AO19&lt;=480)),
(MOD('(直掃)RX Mapping'!AO19,120)-1),
IF(
(AND('(直掃)RX Mapping'!AO19&gt;=480,'(直掃)RX Mapping'!AO19&lt;=960)),
IF(MOD('(直掃)RX Mapping'!AO19,120)=0, 120, 240-MOD('(直掃)RX Mapping'!AO19,120)),9999))+IF(AND(MOD('(直掃)RX Mapping'!AO19,120)=0, '(直掃)RX Mapping'!AO19 &lt;= 480,  '(直掃)RX Mapping'!AO19 &gt; 0), 120)</f>
        <v>-1</v>
      </c>
      <c r="AP19">
        <f>IF(
(AND('(直掃)RX Mapping'!AP19&gt;=0,'(直掃)RX Mapping'!AP19&lt;=480)),
(MOD('(直掃)RX Mapping'!AP19,120)-1),
IF(
(AND('(直掃)RX Mapping'!AP19&gt;=480,'(直掃)RX Mapping'!AP19&lt;=960)),
IF(MOD('(直掃)RX Mapping'!AP19,120)=0, 120, 240-MOD('(直掃)RX Mapping'!AP19,120)),9999))+IF(AND(MOD('(直掃)RX Mapping'!AP19,120)=0, '(直掃)RX Mapping'!AP19 &lt;= 480,  '(直掃)RX Mapping'!AP19 &gt; 0), 120)</f>
        <v>-1</v>
      </c>
      <c r="AQ19">
        <f>IF(
(AND('(直掃)RX Mapping'!AQ19&gt;=0,'(直掃)RX Mapping'!AQ19&lt;=480)),
(MOD('(直掃)RX Mapping'!AQ19,120)-1),
IF(
(AND('(直掃)RX Mapping'!AQ19&gt;=480,'(直掃)RX Mapping'!AQ19&lt;=960)),
IF(MOD('(直掃)RX Mapping'!AQ19,120)=0, 120, 240-MOD('(直掃)RX Mapping'!AQ19,120)),9999))+IF(AND(MOD('(直掃)RX Mapping'!AQ19,120)=0, '(直掃)RX Mapping'!AQ19 &lt;= 480,  '(直掃)RX Mapping'!AQ19 &gt; 0), 120)</f>
        <v>-1</v>
      </c>
      <c r="AR19">
        <f>IF(
(AND('(直掃)RX Mapping'!AR19&gt;=0,'(直掃)RX Mapping'!AR19&lt;=480)),
(MOD('(直掃)RX Mapping'!AR19,120)-1),
IF(
(AND('(直掃)RX Mapping'!AR19&gt;=480,'(直掃)RX Mapping'!AR19&lt;=960)),
IF(MOD('(直掃)RX Mapping'!AR19,120)=0, 120, 240-MOD('(直掃)RX Mapping'!AR19,120)),9999))+IF(AND(MOD('(直掃)RX Mapping'!AR19,120)=0, '(直掃)RX Mapping'!AR19 &lt;= 480,  '(直掃)RX Mapping'!AR19 &gt; 0), 120)</f>
        <v>-1</v>
      </c>
      <c r="AS19">
        <f>IF(
(AND('(直掃)RX Mapping'!AS19&gt;=0,'(直掃)RX Mapping'!AS19&lt;=480)),
(MOD('(直掃)RX Mapping'!AS19,120)-1),
IF(
(AND('(直掃)RX Mapping'!AS19&gt;=480,'(直掃)RX Mapping'!AS19&lt;=960)),
IF(MOD('(直掃)RX Mapping'!AS19,120)=0, 120, 240-MOD('(直掃)RX Mapping'!AS19,120)),9999))+IF(AND(MOD('(直掃)RX Mapping'!AS19,120)=0, '(直掃)RX Mapping'!AS19 &lt;= 480,  '(直掃)RX Mapping'!AS19 &gt; 0), 120)</f>
        <v>-1</v>
      </c>
      <c r="AT19">
        <f>IF(AND('(橫掃)RX Mapping'!AT19&gt;=1,'(橫掃)RX Mapping'!AT19&lt;=120), ('(橫掃)RX Mapping'!AT19-1),IF(AND('(橫掃)RX Mapping'!AT19&gt;=121,'(橫掃)RX Mapping'!AT19&lt;=240), (-1)*('(橫掃)RX Mapping'!AT19-240),IF(AND('(橫掃)RX Mapping'!AT19&gt;=241,'(橫掃)RX Mapping'!AT19&lt;=360), ('(橫掃)RX Mapping'!AT19-241),IF(AND('(橫掃)RX Mapping'!AT19&gt;=361,'(橫掃)RX Mapping'!AT19&lt;=480), (-1)*('(橫掃)RX Mapping'!AT19-480),IF(AND('(橫掃)RX Mapping'!AT19&gt;=481,'(橫掃)RX Mapping'!AT19&lt;=600), ('(橫掃)RX Mapping'!AT19-361),IF(AND('(橫掃)RX Mapping'!AT19&gt;=601,'(橫掃)RX Mapping'!AT19&lt;=720), (-1)*('(橫掃)RX Mapping'!AT19-720)+120,IF(AND('(橫掃)RX Mapping'!AT19&gt;=721,'(橫掃)RX Mapping'!AT19&lt;=840), ('(橫掃)RX Mapping'!AT19-601),IF(AND('(橫掃)RX Mapping'!AT19&gt;=841,'(橫掃)RX Mapping'!AT19&lt;=960), (-1)*('(橫掃)RX Mapping'!AT19-960)+120,9999))))))))</f>
        <v>9999</v>
      </c>
      <c r="AU19">
        <f>IF(AND('(橫掃)RX Mapping'!AU19&gt;=1,'(橫掃)RX Mapping'!AU19&lt;=120), ('(橫掃)RX Mapping'!AU19-1),IF(AND('(橫掃)RX Mapping'!AU19&gt;=121,'(橫掃)RX Mapping'!AU19&lt;=240), (-1)*('(橫掃)RX Mapping'!AU19-240),IF(AND('(橫掃)RX Mapping'!AU19&gt;=241,'(橫掃)RX Mapping'!AU19&lt;=360), ('(橫掃)RX Mapping'!AU19-241),IF(AND('(橫掃)RX Mapping'!AU19&gt;=361,'(橫掃)RX Mapping'!AU19&lt;=480), (-1)*('(橫掃)RX Mapping'!AU19-480),IF(AND('(橫掃)RX Mapping'!AU19&gt;=481,'(橫掃)RX Mapping'!AU19&lt;=600), ('(橫掃)RX Mapping'!AU19-361),IF(AND('(橫掃)RX Mapping'!AU19&gt;=601,'(橫掃)RX Mapping'!AU19&lt;=720), (-1)*('(橫掃)RX Mapping'!AU19-720)+120,IF(AND('(橫掃)RX Mapping'!AU19&gt;=721,'(橫掃)RX Mapping'!AU19&lt;=840), ('(橫掃)RX Mapping'!AU19-601),IF(AND('(橫掃)RX Mapping'!AU19&gt;=841,'(橫掃)RX Mapping'!AU19&lt;=960), (-1)*('(橫掃)RX Mapping'!AU19-960)+120,9999))))))))</f>
        <v>9999</v>
      </c>
      <c r="AV19">
        <f>IF(AND('(橫掃)RX Mapping'!AV19&gt;=1,'(橫掃)RX Mapping'!AV19&lt;=120), ('(橫掃)RX Mapping'!AV19-1),IF(AND('(橫掃)RX Mapping'!AV19&gt;=121,'(橫掃)RX Mapping'!AV19&lt;=240), (-1)*('(橫掃)RX Mapping'!AV19-240),IF(AND('(橫掃)RX Mapping'!AV19&gt;=241,'(橫掃)RX Mapping'!AV19&lt;=360), ('(橫掃)RX Mapping'!AV19-241),IF(AND('(橫掃)RX Mapping'!AV19&gt;=361,'(橫掃)RX Mapping'!AV19&lt;=480), (-1)*('(橫掃)RX Mapping'!AV19-480),IF(AND('(橫掃)RX Mapping'!AV19&gt;=481,'(橫掃)RX Mapping'!AV19&lt;=600), ('(橫掃)RX Mapping'!AV19-361),IF(AND('(橫掃)RX Mapping'!AV19&gt;=601,'(橫掃)RX Mapping'!AV19&lt;=720), (-1)*('(橫掃)RX Mapping'!AV19-720)+120,IF(AND('(橫掃)RX Mapping'!AV19&gt;=721,'(橫掃)RX Mapping'!AV19&lt;=840), ('(橫掃)RX Mapping'!AV19-601),IF(AND('(橫掃)RX Mapping'!AV19&gt;=841,'(橫掃)RX Mapping'!AV19&lt;=960), (-1)*('(橫掃)RX Mapping'!AV19-960)+120,9999))))))))</f>
        <v>9999</v>
      </c>
      <c r="AW19">
        <f>IF(AND('(橫掃)RX Mapping'!AW19&gt;=1,'(橫掃)RX Mapping'!AW19&lt;=120), ('(橫掃)RX Mapping'!AW19-1),IF(AND('(橫掃)RX Mapping'!AW19&gt;=121,'(橫掃)RX Mapping'!AW19&lt;=240), (-1)*('(橫掃)RX Mapping'!AW19-240),IF(AND('(橫掃)RX Mapping'!AW19&gt;=241,'(橫掃)RX Mapping'!AW19&lt;=360), ('(橫掃)RX Mapping'!AW19-241),IF(AND('(橫掃)RX Mapping'!AW19&gt;=361,'(橫掃)RX Mapping'!AW19&lt;=480), (-1)*('(橫掃)RX Mapping'!AW19-480),IF(AND('(橫掃)RX Mapping'!AW19&gt;=481,'(橫掃)RX Mapping'!AW19&lt;=600), ('(橫掃)RX Mapping'!AW19-361),IF(AND('(橫掃)RX Mapping'!AW19&gt;=601,'(橫掃)RX Mapping'!AW19&lt;=720), (-1)*('(橫掃)RX Mapping'!AW19-720)+120,IF(AND('(橫掃)RX Mapping'!AW19&gt;=721,'(橫掃)RX Mapping'!AW19&lt;=840), ('(橫掃)RX Mapping'!AW19-601),IF(AND('(橫掃)RX Mapping'!AW19&gt;=841,'(橫掃)RX Mapping'!AW19&lt;=960), (-1)*('(橫掃)RX Mapping'!AW19-960)+120,9999))))))))</f>
        <v>9999</v>
      </c>
      <c r="AX19">
        <f>IF(AND('(橫掃)RX Mapping'!AX19&gt;=1,'(橫掃)RX Mapping'!AX19&lt;=120), ('(橫掃)RX Mapping'!AX19-1),IF(AND('(橫掃)RX Mapping'!AX19&gt;=121,'(橫掃)RX Mapping'!AX19&lt;=240), (-1)*('(橫掃)RX Mapping'!AX19-240),IF(AND('(橫掃)RX Mapping'!AX19&gt;=241,'(橫掃)RX Mapping'!AX19&lt;=360), ('(橫掃)RX Mapping'!AX19-241),IF(AND('(橫掃)RX Mapping'!AX19&gt;=361,'(橫掃)RX Mapping'!AX19&lt;=480), (-1)*('(橫掃)RX Mapping'!AX19-480),IF(AND('(橫掃)RX Mapping'!AX19&gt;=481,'(橫掃)RX Mapping'!AX19&lt;=600), ('(橫掃)RX Mapping'!AX19-361),IF(AND('(橫掃)RX Mapping'!AX19&gt;=601,'(橫掃)RX Mapping'!AX19&lt;=720), (-1)*('(橫掃)RX Mapping'!AX19-720)+120,IF(AND('(橫掃)RX Mapping'!AX19&gt;=721,'(橫掃)RX Mapping'!AX19&lt;=840), ('(橫掃)RX Mapping'!AX19-601),IF(AND('(橫掃)RX Mapping'!AX19&gt;=841,'(橫掃)RX Mapping'!AX19&lt;=960), (-1)*('(橫掃)RX Mapping'!AX19-960)+120,9999))))))))</f>
        <v>9999</v>
      </c>
      <c r="AY19">
        <f>IF(AND('(橫掃)RX Mapping'!AY19&gt;=1,'(橫掃)RX Mapping'!AY19&lt;=120), ('(橫掃)RX Mapping'!AY19-1),IF(AND('(橫掃)RX Mapping'!AY19&gt;=121,'(橫掃)RX Mapping'!AY19&lt;=240), (-1)*('(橫掃)RX Mapping'!AY19-240),IF(AND('(橫掃)RX Mapping'!AY19&gt;=241,'(橫掃)RX Mapping'!AY19&lt;=360), ('(橫掃)RX Mapping'!AY19-241),IF(AND('(橫掃)RX Mapping'!AY19&gt;=361,'(橫掃)RX Mapping'!AY19&lt;=480), (-1)*('(橫掃)RX Mapping'!AY19-480),IF(AND('(橫掃)RX Mapping'!AY19&gt;=481,'(橫掃)RX Mapping'!AY19&lt;=600), ('(橫掃)RX Mapping'!AY19-361),IF(AND('(橫掃)RX Mapping'!AY19&gt;=601,'(橫掃)RX Mapping'!AY19&lt;=720), (-1)*('(橫掃)RX Mapping'!AY19-720)+120,IF(AND('(橫掃)RX Mapping'!AY19&gt;=721,'(橫掃)RX Mapping'!AY19&lt;=840), ('(橫掃)RX Mapping'!AY19-601),IF(AND('(橫掃)RX Mapping'!AY19&gt;=841,'(橫掃)RX Mapping'!AY19&lt;=960), (-1)*('(橫掃)RX Mapping'!AY19-960)+120,9999))))))))</f>
        <v>9999</v>
      </c>
      <c r="AZ19">
        <f>IF(AND('(橫掃)RX Mapping'!AZ19&gt;=1,'(橫掃)RX Mapping'!AZ19&lt;=120), ('(橫掃)RX Mapping'!AZ19-1),IF(AND('(橫掃)RX Mapping'!AZ19&gt;=121,'(橫掃)RX Mapping'!AZ19&lt;=240), (-1)*('(橫掃)RX Mapping'!AZ19-240),IF(AND('(橫掃)RX Mapping'!AZ19&gt;=241,'(橫掃)RX Mapping'!AZ19&lt;=360), ('(橫掃)RX Mapping'!AZ19-241),IF(AND('(橫掃)RX Mapping'!AZ19&gt;=361,'(橫掃)RX Mapping'!AZ19&lt;=480), (-1)*('(橫掃)RX Mapping'!AZ19-480),IF(AND('(橫掃)RX Mapping'!AZ19&gt;=481,'(橫掃)RX Mapping'!AZ19&lt;=600), ('(橫掃)RX Mapping'!AZ19-361),IF(AND('(橫掃)RX Mapping'!AZ19&gt;=601,'(橫掃)RX Mapping'!AZ19&lt;=720), (-1)*('(橫掃)RX Mapping'!AZ19-720)+120,IF(AND('(橫掃)RX Mapping'!AZ19&gt;=721,'(橫掃)RX Mapping'!AZ19&lt;=840), ('(橫掃)RX Mapping'!AZ19-601),IF(AND('(橫掃)RX Mapping'!AZ19&gt;=841,'(橫掃)RX Mapping'!AZ19&lt;=960), (-1)*('(橫掃)RX Mapping'!AZ19-960)+120,9999))))))))</f>
        <v>9999</v>
      </c>
      <c r="BA19">
        <f>IF(AND('(橫掃)RX Mapping'!BA19&gt;=1,'(橫掃)RX Mapping'!BA19&lt;=120), ('(橫掃)RX Mapping'!BA19-1),IF(AND('(橫掃)RX Mapping'!BA19&gt;=121,'(橫掃)RX Mapping'!BA19&lt;=240), (-1)*('(橫掃)RX Mapping'!BA19-240),IF(AND('(橫掃)RX Mapping'!BA19&gt;=241,'(橫掃)RX Mapping'!BA19&lt;=360), ('(橫掃)RX Mapping'!BA19-241),IF(AND('(橫掃)RX Mapping'!BA19&gt;=361,'(橫掃)RX Mapping'!BA19&lt;=480), (-1)*('(橫掃)RX Mapping'!BA19-480),IF(AND('(橫掃)RX Mapping'!BA19&gt;=481,'(橫掃)RX Mapping'!BA19&lt;=600), ('(橫掃)RX Mapping'!BA19-361),IF(AND('(橫掃)RX Mapping'!BA19&gt;=601,'(橫掃)RX Mapping'!BA19&lt;=720), (-1)*('(橫掃)RX Mapping'!BA19-720)+120,IF(AND('(橫掃)RX Mapping'!BA19&gt;=721,'(橫掃)RX Mapping'!BA19&lt;=840), ('(橫掃)RX Mapping'!BA19-601),IF(AND('(橫掃)RX Mapping'!BA19&gt;=841,'(橫掃)RX Mapping'!BA19&lt;=960), (-1)*('(橫掃)RX Mapping'!BA19-960)+120,9999))))))))</f>
        <v>9999</v>
      </c>
      <c r="BB19">
        <f>IF(AND('(橫掃)RX Mapping'!BB19&gt;=1,'(橫掃)RX Mapping'!BB19&lt;=120), ('(橫掃)RX Mapping'!BB19-1),IF(AND('(橫掃)RX Mapping'!BB19&gt;=121,'(橫掃)RX Mapping'!BB19&lt;=240), (-1)*('(橫掃)RX Mapping'!BB19-240),IF(AND('(橫掃)RX Mapping'!BB19&gt;=241,'(橫掃)RX Mapping'!BB19&lt;=360), ('(橫掃)RX Mapping'!BB19-241),IF(AND('(橫掃)RX Mapping'!BB19&gt;=361,'(橫掃)RX Mapping'!BB19&lt;=480), (-1)*('(橫掃)RX Mapping'!BB19-480),IF(AND('(橫掃)RX Mapping'!BB19&gt;=481,'(橫掃)RX Mapping'!BB19&lt;=600), ('(橫掃)RX Mapping'!BB19-361),IF(AND('(橫掃)RX Mapping'!BB19&gt;=601,'(橫掃)RX Mapping'!BB19&lt;=720), (-1)*('(橫掃)RX Mapping'!BB19-720)+120,IF(AND('(橫掃)RX Mapping'!BB19&gt;=721,'(橫掃)RX Mapping'!BB19&lt;=840), ('(橫掃)RX Mapping'!BB19-601),IF(AND('(橫掃)RX Mapping'!BB19&gt;=841,'(橫掃)RX Mapping'!BB19&lt;=960), (-1)*('(橫掃)RX Mapping'!BB19-960)+120,9999))))))))</f>
        <v>9999</v>
      </c>
      <c r="BC19">
        <f>IF(AND('(橫掃)RX Mapping'!BC19&gt;=1,'(橫掃)RX Mapping'!BC19&lt;=120), ('(橫掃)RX Mapping'!BC19-1),IF(AND('(橫掃)RX Mapping'!BC19&gt;=121,'(橫掃)RX Mapping'!BC19&lt;=240), (-1)*('(橫掃)RX Mapping'!BC19-240),IF(AND('(橫掃)RX Mapping'!BC19&gt;=241,'(橫掃)RX Mapping'!BC19&lt;=360), ('(橫掃)RX Mapping'!BC19-241),IF(AND('(橫掃)RX Mapping'!BC19&gt;=361,'(橫掃)RX Mapping'!BC19&lt;=480), (-1)*('(橫掃)RX Mapping'!BC19-480),IF(AND('(橫掃)RX Mapping'!BC19&gt;=481,'(橫掃)RX Mapping'!BC19&lt;=600), ('(橫掃)RX Mapping'!BC19-361),IF(AND('(橫掃)RX Mapping'!BC19&gt;=601,'(橫掃)RX Mapping'!BC19&lt;=720), (-1)*('(橫掃)RX Mapping'!BC19-720)+120,IF(AND('(橫掃)RX Mapping'!BC19&gt;=721,'(橫掃)RX Mapping'!BC19&lt;=840), ('(橫掃)RX Mapping'!BC19-601),IF(AND('(橫掃)RX Mapping'!BC19&gt;=841,'(橫掃)RX Mapping'!BC19&lt;=960), (-1)*('(橫掃)RX Mapping'!BC19-960)+120,9999))))))))</f>
        <v>9999</v>
      </c>
      <c r="BD19">
        <f>IF(AND('(橫掃)RX Mapping'!BD19&gt;=1,'(橫掃)RX Mapping'!BD19&lt;=120), ('(橫掃)RX Mapping'!BD19-1),IF(AND('(橫掃)RX Mapping'!BD19&gt;=121,'(橫掃)RX Mapping'!BD19&lt;=240), (-1)*('(橫掃)RX Mapping'!BD19-240),IF(AND('(橫掃)RX Mapping'!BD19&gt;=241,'(橫掃)RX Mapping'!BD19&lt;=360), ('(橫掃)RX Mapping'!BD19-241),IF(AND('(橫掃)RX Mapping'!BD19&gt;=361,'(橫掃)RX Mapping'!BD19&lt;=480), (-1)*('(橫掃)RX Mapping'!BD19-480),IF(AND('(橫掃)RX Mapping'!BD19&gt;=481,'(橫掃)RX Mapping'!BD19&lt;=600), ('(橫掃)RX Mapping'!BD19-361),IF(AND('(橫掃)RX Mapping'!BD19&gt;=601,'(橫掃)RX Mapping'!BD19&lt;=720), (-1)*('(橫掃)RX Mapping'!BD19-720)+120,IF(AND('(橫掃)RX Mapping'!BD19&gt;=721,'(橫掃)RX Mapping'!BD19&lt;=840), ('(橫掃)RX Mapping'!BD19-601),IF(AND('(橫掃)RX Mapping'!BD19&gt;=841,'(橫掃)RX Mapping'!BD19&lt;=960), (-1)*('(橫掃)RX Mapping'!BD19-960)+120,9999))))))))</f>
        <v>9999</v>
      </c>
      <c r="BE19">
        <f>IF(AND('(橫掃)RX Mapping'!BE19&gt;=1,'(橫掃)RX Mapping'!BE19&lt;=120), ('(橫掃)RX Mapping'!BE19-1),IF(AND('(橫掃)RX Mapping'!BE19&gt;=121,'(橫掃)RX Mapping'!BE19&lt;=240), (-1)*('(橫掃)RX Mapping'!BE19-240),IF(AND('(橫掃)RX Mapping'!BE19&gt;=241,'(橫掃)RX Mapping'!BE19&lt;=360), ('(橫掃)RX Mapping'!BE19-241),IF(AND('(橫掃)RX Mapping'!BE19&gt;=361,'(橫掃)RX Mapping'!BE19&lt;=480), (-1)*('(橫掃)RX Mapping'!BE19-480),IF(AND('(橫掃)RX Mapping'!BE19&gt;=481,'(橫掃)RX Mapping'!BE19&lt;=600), ('(橫掃)RX Mapping'!BE19-361),IF(AND('(橫掃)RX Mapping'!BE19&gt;=601,'(橫掃)RX Mapping'!BE19&lt;=720), (-1)*('(橫掃)RX Mapping'!BE19-720)+120,IF(AND('(橫掃)RX Mapping'!BE19&gt;=721,'(橫掃)RX Mapping'!BE19&lt;=840), ('(橫掃)RX Mapping'!BE19-601),IF(AND('(橫掃)RX Mapping'!BE19&gt;=841,'(橫掃)RX Mapping'!BE19&lt;=960), (-1)*('(橫掃)RX Mapping'!BE19-960)+120,9999))))))))</f>
        <v>9999</v>
      </c>
      <c r="BF19">
        <f>IF(AND('(橫掃)RX Mapping'!BF19&gt;=1,'(橫掃)RX Mapping'!BF19&lt;=120), ('(橫掃)RX Mapping'!BF19-1),IF(AND('(橫掃)RX Mapping'!BF19&gt;=121,'(橫掃)RX Mapping'!BF19&lt;=240), (-1)*('(橫掃)RX Mapping'!BF19-240),IF(AND('(橫掃)RX Mapping'!BF19&gt;=241,'(橫掃)RX Mapping'!BF19&lt;=360), ('(橫掃)RX Mapping'!BF19-241),IF(AND('(橫掃)RX Mapping'!BF19&gt;=361,'(橫掃)RX Mapping'!BF19&lt;=480), (-1)*('(橫掃)RX Mapping'!BF19-480),IF(AND('(橫掃)RX Mapping'!BF19&gt;=481,'(橫掃)RX Mapping'!BF19&lt;=600), ('(橫掃)RX Mapping'!BF19-361),IF(AND('(橫掃)RX Mapping'!BF19&gt;=601,'(橫掃)RX Mapping'!BF19&lt;=720), (-1)*('(橫掃)RX Mapping'!BF19-720)+120,IF(AND('(橫掃)RX Mapping'!BF19&gt;=721,'(橫掃)RX Mapping'!BF19&lt;=840), ('(橫掃)RX Mapping'!BF19-601),IF(AND('(橫掃)RX Mapping'!BF19&gt;=841,'(橫掃)RX Mapping'!BF19&lt;=960), (-1)*('(橫掃)RX Mapping'!BF19-960)+120,9999))))))))</f>
        <v>9999</v>
      </c>
      <c r="BG19">
        <f>IF(AND('(橫掃)RX Mapping'!BG19&gt;=1,'(橫掃)RX Mapping'!BG19&lt;=120), ('(橫掃)RX Mapping'!BG19-1),IF(AND('(橫掃)RX Mapping'!BG19&gt;=121,'(橫掃)RX Mapping'!BG19&lt;=240), (-1)*('(橫掃)RX Mapping'!BG19-240),IF(AND('(橫掃)RX Mapping'!BG19&gt;=241,'(橫掃)RX Mapping'!BG19&lt;=360), ('(橫掃)RX Mapping'!BG19-241),IF(AND('(橫掃)RX Mapping'!BG19&gt;=361,'(橫掃)RX Mapping'!BG19&lt;=480), (-1)*('(橫掃)RX Mapping'!BG19-480),IF(AND('(橫掃)RX Mapping'!BG19&gt;=481,'(橫掃)RX Mapping'!BG19&lt;=600), ('(橫掃)RX Mapping'!BG19-361),IF(AND('(橫掃)RX Mapping'!BG19&gt;=601,'(橫掃)RX Mapping'!BG19&lt;=720), (-1)*('(橫掃)RX Mapping'!BG19-720)+120,IF(AND('(橫掃)RX Mapping'!BG19&gt;=721,'(橫掃)RX Mapping'!BG19&lt;=840), ('(橫掃)RX Mapping'!BG19-601),IF(AND('(橫掃)RX Mapping'!BG19&gt;=841,'(橫掃)RX Mapping'!BG19&lt;=960), (-1)*('(橫掃)RX Mapping'!BG19-960)+120,9999))))))))</f>
        <v>9999</v>
      </c>
      <c r="BH19">
        <f>IF(AND('(橫掃)RX Mapping'!BH19&gt;=1,'(橫掃)RX Mapping'!BH19&lt;=120), ('(橫掃)RX Mapping'!BH19-1),IF(AND('(橫掃)RX Mapping'!BH19&gt;=121,'(橫掃)RX Mapping'!BH19&lt;=240), (-1)*('(橫掃)RX Mapping'!BH19-240),IF(AND('(橫掃)RX Mapping'!BH19&gt;=241,'(橫掃)RX Mapping'!BH19&lt;=360), ('(橫掃)RX Mapping'!BH19-241),IF(AND('(橫掃)RX Mapping'!BH19&gt;=361,'(橫掃)RX Mapping'!BH19&lt;=480), (-1)*('(橫掃)RX Mapping'!BH19-480),IF(AND('(橫掃)RX Mapping'!BH19&gt;=481,'(橫掃)RX Mapping'!BH19&lt;=600), ('(橫掃)RX Mapping'!BH19-361),IF(AND('(橫掃)RX Mapping'!BH19&gt;=601,'(橫掃)RX Mapping'!BH19&lt;=720), (-1)*('(橫掃)RX Mapping'!BH19-720)+120,IF(AND('(橫掃)RX Mapping'!BH19&gt;=721,'(橫掃)RX Mapping'!BH19&lt;=840), ('(橫掃)RX Mapping'!BH19-601),IF(AND('(橫掃)RX Mapping'!BH19&gt;=841,'(橫掃)RX Mapping'!BH19&lt;=960), (-1)*('(橫掃)RX Mapping'!BH19-960)+120,9999))))))))</f>
        <v>9999</v>
      </c>
      <c r="BI19">
        <f>IF(AND('(橫掃)RX Mapping'!BI19&gt;=1,'(橫掃)RX Mapping'!BI19&lt;=120), ('(橫掃)RX Mapping'!BI19-1),IF(AND('(橫掃)RX Mapping'!BI19&gt;=121,'(橫掃)RX Mapping'!BI19&lt;=240), (-1)*('(橫掃)RX Mapping'!BI19-240),IF(AND('(橫掃)RX Mapping'!BI19&gt;=241,'(橫掃)RX Mapping'!BI19&lt;=360), ('(橫掃)RX Mapping'!BI19-241),IF(AND('(橫掃)RX Mapping'!BI19&gt;=361,'(橫掃)RX Mapping'!BI19&lt;=480), (-1)*('(橫掃)RX Mapping'!BI19-480),IF(AND('(橫掃)RX Mapping'!BI19&gt;=481,'(橫掃)RX Mapping'!BI19&lt;=600), ('(橫掃)RX Mapping'!BI19-361),IF(AND('(橫掃)RX Mapping'!BI19&gt;=601,'(橫掃)RX Mapping'!BI19&lt;=720), (-1)*('(橫掃)RX Mapping'!BI19-720)+120,IF(AND('(橫掃)RX Mapping'!BI19&gt;=721,'(橫掃)RX Mapping'!BI19&lt;=840), ('(橫掃)RX Mapping'!BI19-601),IF(AND('(橫掃)RX Mapping'!BI19&gt;=841,'(橫掃)RX Mapping'!BI19&lt;=960), (-1)*('(橫掃)RX Mapping'!BI19-960)+120,9999))))))))</f>
        <v>9999</v>
      </c>
    </row>
    <row r="20" spans="1:61" x14ac:dyDescent="0.25">
      <c r="A20" s="20">
        <v>19</v>
      </c>
      <c r="B20">
        <f>IF(
(AND('(直掃)RX Mapping'!B20&gt;=0,'(直掃)RX Mapping'!B20&lt;=480)),
(MOD('(直掃)RX Mapping'!B20,120)-1),
IF(
(AND('(直掃)RX Mapping'!B20&gt;=480,'(直掃)RX Mapping'!B20&lt;=960)),
IF(MOD('(直掃)RX Mapping'!B20,120)=0, 120, 240-MOD('(直掃)RX Mapping'!B20,120)),9999))+IF(AND(MOD('(直掃)RX Mapping'!B20,120)=0, '(直掃)RX Mapping'!B20 &lt;= 480,  '(直掃)RX Mapping'!B20 &gt; 0), 120)</f>
        <v>138</v>
      </c>
      <c r="C20">
        <f>IF(
(AND('(直掃)RX Mapping'!C20&gt;=0,'(直掃)RX Mapping'!C20&lt;=480)),
(MOD('(直掃)RX Mapping'!C20,120)-1),
IF(
(AND('(直掃)RX Mapping'!C20&gt;=480,'(直掃)RX Mapping'!C20&lt;=960)),
IF(MOD('(直掃)RX Mapping'!C20,120)=0, 120, 240-MOD('(直掃)RX Mapping'!C20,120)),9999))+IF(AND(MOD('(直掃)RX Mapping'!C20,120)=0, '(直掃)RX Mapping'!C20 &lt;= 480,  '(直掃)RX Mapping'!C20 &gt; 0), 120)</f>
        <v>168</v>
      </c>
      <c r="D20">
        <f>IF(
(AND('(直掃)RX Mapping'!D20&gt;=0,'(直掃)RX Mapping'!D20&lt;=480)),
(MOD('(直掃)RX Mapping'!D20,120)-1),
IF(
(AND('(直掃)RX Mapping'!D20&gt;=480,'(直掃)RX Mapping'!D20&lt;=960)),
IF(MOD('(直掃)RX Mapping'!D20,120)=0, 120, 240-MOD('(直掃)RX Mapping'!D20,120)),9999))+IF(AND(MOD('(直掃)RX Mapping'!D20,120)=0, '(直掃)RX Mapping'!D20 &lt;= 480,  '(直掃)RX Mapping'!D20 &gt; 0), 120)</f>
        <v>198</v>
      </c>
      <c r="E20">
        <f>IF(
(AND('(直掃)RX Mapping'!E20&gt;=0,'(直掃)RX Mapping'!E20&lt;=480)),
(MOD('(直掃)RX Mapping'!E20,120)-1),
IF(
(AND('(直掃)RX Mapping'!E20&gt;=480,'(直掃)RX Mapping'!E20&lt;=960)),
IF(MOD('(直掃)RX Mapping'!E20,120)=0, 120, 240-MOD('(直掃)RX Mapping'!E20,120)),9999))+IF(AND(MOD('(直掃)RX Mapping'!E20,120)=0, '(直掃)RX Mapping'!E20 &lt;= 480,  '(直掃)RX Mapping'!E20 &gt; 0), 120)</f>
        <v>138</v>
      </c>
      <c r="F20">
        <f>IF(
(AND('(直掃)RX Mapping'!F20&gt;=0,'(直掃)RX Mapping'!F20&lt;=480)),
(MOD('(直掃)RX Mapping'!F20,120)-1),
IF(
(AND('(直掃)RX Mapping'!F20&gt;=480,'(直掃)RX Mapping'!F20&lt;=960)),
IF(MOD('(直掃)RX Mapping'!F20,120)=0, 120, 240-MOD('(直掃)RX Mapping'!F20,120)),9999))+IF(AND(MOD('(直掃)RX Mapping'!F20,120)=0, '(直掃)RX Mapping'!F20 &lt;= 480,  '(直掃)RX Mapping'!F20 &gt; 0), 120)</f>
        <v>168</v>
      </c>
      <c r="G20">
        <f>IF(
(AND('(直掃)RX Mapping'!G20&gt;=0,'(直掃)RX Mapping'!G20&lt;=480)),
(MOD('(直掃)RX Mapping'!G20,120)-1),
IF(
(AND('(直掃)RX Mapping'!G20&gt;=480,'(直掃)RX Mapping'!G20&lt;=960)),
IF(MOD('(直掃)RX Mapping'!G20,120)=0, 120, 240-MOD('(直掃)RX Mapping'!G20,120)),9999))+IF(AND(MOD('(直掃)RX Mapping'!G20,120)=0, '(直掃)RX Mapping'!G20 &lt;= 480,  '(直掃)RX Mapping'!G20 &gt; 0), 120)</f>
        <v>198</v>
      </c>
      <c r="H20">
        <f>IF(
(AND('(直掃)RX Mapping'!H20&gt;=0,'(直掃)RX Mapping'!H20&lt;=480)),
(MOD('(直掃)RX Mapping'!H20,120)-1),
IF(
(AND('(直掃)RX Mapping'!H20&gt;=480,'(直掃)RX Mapping'!H20&lt;=960)),
IF(MOD('(直掃)RX Mapping'!H20,120)=0, 120, 240-MOD('(直掃)RX Mapping'!H20,120)),9999))+IF(AND(MOD('(直掃)RX Mapping'!H20,120)=0, '(直掃)RX Mapping'!H20 &lt;= 480,  '(直掃)RX Mapping'!H20 &gt; 0), 120)</f>
        <v>138</v>
      </c>
      <c r="I20">
        <f>IF(
(AND('(直掃)RX Mapping'!I20&gt;=0,'(直掃)RX Mapping'!I20&lt;=480)),
(MOD('(直掃)RX Mapping'!I20,120)-1),
IF(
(AND('(直掃)RX Mapping'!I20&gt;=480,'(直掃)RX Mapping'!I20&lt;=960)),
IF(MOD('(直掃)RX Mapping'!I20,120)=0, 120, 240-MOD('(直掃)RX Mapping'!I20,120)),9999))+IF(AND(MOD('(直掃)RX Mapping'!I20,120)=0, '(直掃)RX Mapping'!I20 &lt;= 480,  '(直掃)RX Mapping'!I20 &gt; 0), 120)</f>
        <v>168</v>
      </c>
      <c r="J20">
        <f>IF(
(AND('(直掃)RX Mapping'!J20&gt;=0,'(直掃)RX Mapping'!J20&lt;=480)),
(MOD('(直掃)RX Mapping'!J20,120)-1),
IF(
(AND('(直掃)RX Mapping'!J20&gt;=480,'(直掃)RX Mapping'!J20&lt;=960)),
IF(MOD('(直掃)RX Mapping'!J20,120)=0, 120, 240-MOD('(直掃)RX Mapping'!J20,120)),9999))+IF(AND(MOD('(直掃)RX Mapping'!J20,120)=0, '(直掃)RX Mapping'!J20 &lt;= 480,  '(直掃)RX Mapping'!J20 &gt; 0), 120)</f>
        <v>198</v>
      </c>
      <c r="K20">
        <f>IF(
(AND('(直掃)RX Mapping'!K20&gt;=0,'(直掃)RX Mapping'!K20&lt;=480)),
(MOD('(直掃)RX Mapping'!K20,120)-1),
IF(
(AND('(直掃)RX Mapping'!K20&gt;=480,'(直掃)RX Mapping'!K20&lt;=960)),
IF(MOD('(直掃)RX Mapping'!K20,120)=0, 120, 240-MOD('(直掃)RX Mapping'!K20,120)),9999))+IF(AND(MOD('(直掃)RX Mapping'!K20,120)=0, '(直掃)RX Mapping'!K20 &lt;= 480,  '(直掃)RX Mapping'!K20 &gt; 0), 120)</f>
        <v>228</v>
      </c>
      <c r="L20">
        <f>IF(
(AND('(直掃)RX Mapping'!L20&gt;=0,'(直掃)RX Mapping'!L20&lt;=480)),
(MOD('(直掃)RX Mapping'!L20,120)-1),
IF(
(AND('(直掃)RX Mapping'!L20&gt;=480,'(直掃)RX Mapping'!L20&lt;=960)),
IF(MOD('(直掃)RX Mapping'!L20,120)=0, 120, 240-MOD('(直掃)RX Mapping'!L20,120)),9999))+IF(AND(MOD('(直掃)RX Mapping'!L20,120)=0, '(直掃)RX Mapping'!L20 &lt;= 480,  '(直掃)RX Mapping'!L20 &gt; 0), 120)</f>
        <v>138</v>
      </c>
      <c r="M20">
        <f>IF(
(AND('(直掃)RX Mapping'!M20&gt;=0,'(直掃)RX Mapping'!M20&lt;=480)),
(MOD('(直掃)RX Mapping'!M20,120)-1),
IF(
(AND('(直掃)RX Mapping'!M20&gt;=480,'(直掃)RX Mapping'!M20&lt;=960)),
IF(MOD('(直掃)RX Mapping'!M20,120)=0, 120, 240-MOD('(直掃)RX Mapping'!M20,120)),9999))+IF(AND(MOD('(直掃)RX Mapping'!M20,120)=0, '(直掃)RX Mapping'!M20 &lt;= 480,  '(直掃)RX Mapping'!M20 &gt; 0), 120)</f>
        <v>168</v>
      </c>
      <c r="N20">
        <f>IF(
(AND('(直掃)RX Mapping'!N20&gt;=0,'(直掃)RX Mapping'!N20&lt;=480)),
(MOD('(直掃)RX Mapping'!N20,120)-1),
IF(
(AND('(直掃)RX Mapping'!N20&gt;=480,'(直掃)RX Mapping'!N20&lt;=960)),
IF(MOD('(直掃)RX Mapping'!N20,120)=0, 120, 240-MOD('(直掃)RX Mapping'!N20,120)),9999))+IF(AND(MOD('(直掃)RX Mapping'!N20,120)=0, '(直掃)RX Mapping'!N20 &lt;= 480,  '(直掃)RX Mapping'!N20 &gt; 0), 120)</f>
        <v>198</v>
      </c>
      <c r="O20">
        <f>IF(
(AND('(直掃)RX Mapping'!O20&gt;=0,'(直掃)RX Mapping'!O20&lt;=480)),
(MOD('(直掃)RX Mapping'!O20,120)-1),
IF(
(AND('(直掃)RX Mapping'!O20&gt;=480,'(直掃)RX Mapping'!O20&lt;=960)),
IF(MOD('(直掃)RX Mapping'!O20,120)=0, 120, 240-MOD('(直掃)RX Mapping'!O20,120)),9999))+IF(AND(MOD('(直掃)RX Mapping'!O20,120)=0, '(直掃)RX Mapping'!O20 &lt;= 480,  '(直掃)RX Mapping'!O20 &gt; 0), 120)</f>
        <v>228</v>
      </c>
      <c r="P20">
        <f>IF(
(AND('(直掃)RX Mapping'!P20&gt;=0,'(直掃)RX Mapping'!P20&lt;=480)),
(MOD('(直掃)RX Mapping'!P20,120)-1),
IF(
(AND('(直掃)RX Mapping'!P20&gt;=480,'(直掃)RX Mapping'!P20&lt;=960)),
IF(MOD('(直掃)RX Mapping'!P20,120)=0, 120, 240-MOD('(直掃)RX Mapping'!P20,120)),9999))+IF(AND(MOD('(直掃)RX Mapping'!P20,120)=0, '(直掃)RX Mapping'!P20 &lt;= 480,  '(直掃)RX Mapping'!P20 &gt; 0), 120)</f>
        <v>101</v>
      </c>
      <c r="Q20">
        <f>IF(
(AND('(直掃)RX Mapping'!Q20&gt;=0,'(直掃)RX Mapping'!Q20&lt;=480)),
(MOD('(直掃)RX Mapping'!Q20,120)-1),
IF(
(AND('(直掃)RX Mapping'!Q20&gt;=480,'(直掃)RX Mapping'!Q20&lt;=960)),
IF(MOD('(直掃)RX Mapping'!Q20,120)=0, 120, 240-MOD('(直掃)RX Mapping'!Q20,120)),9999))+IF(AND(MOD('(直掃)RX Mapping'!Q20,120)=0, '(直掃)RX Mapping'!Q20 &lt;= 480,  '(直掃)RX Mapping'!Q20 &gt; 0), 120)</f>
        <v>71</v>
      </c>
      <c r="R20">
        <f>IF(
(AND('(直掃)RX Mapping'!R20&gt;=0,'(直掃)RX Mapping'!R20&lt;=480)),
(MOD('(直掃)RX Mapping'!R20,120)-1),
IF(
(AND('(直掃)RX Mapping'!R20&gt;=480,'(直掃)RX Mapping'!R20&lt;=960)),
IF(MOD('(直掃)RX Mapping'!R20,120)=0, 120, 240-MOD('(直掃)RX Mapping'!R20,120)),9999))+IF(AND(MOD('(直掃)RX Mapping'!R20,120)=0, '(直掃)RX Mapping'!R20 &lt;= 480,  '(直掃)RX Mapping'!R20 &gt; 0), 120)</f>
        <v>41</v>
      </c>
      <c r="S20">
        <f>IF(
(AND('(直掃)RX Mapping'!S20&gt;=0,'(直掃)RX Mapping'!S20&lt;=480)),
(MOD('(直掃)RX Mapping'!S20,120)-1),
IF(
(AND('(直掃)RX Mapping'!S20&gt;=480,'(直掃)RX Mapping'!S20&lt;=960)),
IF(MOD('(直掃)RX Mapping'!S20,120)=0, 120, 240-MOD('(直掃)RX Mapping'!S20,120)),9999))+IF(AND(MOD('(直掃)RX Mapping'!S20,120)=0, '(直掃)RX Mapping'!S20 &lt;= 480,  '(直掃)RX Mapping'!S20 &gt; 0), 120)</f>
        <v>11</v>
      </c>
      <c r="T20">
        <f>IF(
(AND('(直掃)RX Mapping'!T20&gt;=0,'(直掃)RX Mapping'!T20&lt;=480)),
(MOD('(直掃)RX Mapping'!T20,120)-1),
IF(
(AND('(直掃)RX Mapping'!T20&gt;=480,'(直掃)RX Mapping'!T20&lt;=960)),
IF(MOD('(直掃)RX Mapping'!T20,120)=0, 120, 240-MOD('(直掃)RX Mapping'!T20,120)),9999))+IF(AND(MOD('(直掃)RX Mapping'!T20,120)=0, '(直掃)RX Mapping'!T20 &lt;= 480,  '(直掃)RX Mapping'!T20 &gt; 0), 120)</f>
        <v>101</v>
      </c>
      <c r="U20">
        <f>IF(
(AND('(直掃)RX Mapping'!U20&gt;=0,'(直掃)RX Mapping'!U20&lt;=480)),
(MOD('(直掃)RX Mapping'!U20,120)-1),
IF(
(AND('(直掃)RX Mapping'!U20&gt;=480,'(直掃)RX Mapping'!U20&lt;=960)),
IF(MOD('(直掃)RX Mapping'!U20,120)=0, 120, 240-MOD('(直掃)RX Mapping'!U20,120)),9999))+IF(AND(MOD('(直掃)RX Mapping'!U20,120)=0, '(直掃)RX Mapping'!U20 &lt;= 480,  '(直掃)RX Mapping'!U20 &gt; 0), 120)</f>
        <v>71</v>
      </c>
      <c r="V20">
        <f>IF(
(AND('(直掃)RX Mapping'!V20&gt;=0,'(直掃)RX Mapping'!V20&lt;=480)),
(MOD('(直掃)RX Mapping'!V20,120)-1),
IF(
(AND('(直掃)RX Mapping'!V20&gt;=480,'(直掃)RX Mapping'!V20&lt;=960)),
IF(MOD('(直掃)RX Mapping'!V20,120)=0, 120, 240-MOD('(直掃)RX Mapping'!V20,120)),9999))+IF(AND(MOD('(直掃)RX Mapping'!V20,120)=0, '(直掃)RX Mapping'!V20 &lt;= 480,  '(直掃)RX Mapping'!V20 &gt; 0), 120)</f>
        <v>41</v>
      </c>
      <c r="W20">
        <f>IF(
(AND('(直掃)RX Mapping'!W20&gt;=0,'(直掃)RX Mapping'!W20&lt;=480)),
(MOD('(直掃)RX Mapping'!W20,120)-1),
IF(
(AND('(直掃)RX Mapping'!W20&gt;=480,'(直掃)RX Mapping'!W20&lt;=960)),
IF(MOD('(直掃)RX Mapping'!W20,120)=0, 120, 240-MOD('(直掃)RX Mapping'!W20,120)),9999))+IF(AND(MOD('(直掃)RX Mapping'!W20,120)=0, '(直掃)RX Mapping'!W20 &lt;= 480,  '(直掃)RX Mapping'!W20 &gt; 0), 120)</f>
        <v>11</v>
      </c>
      <c r="X20">
        <f>IF(
(AND('(直掃)RX Mapping'!X20&gt;=0,'(直掃)RX Mapping'!X20&lt;=480)),
(MOD('(直掃)RX Mapping'!X20,120)-1),
IF(
(AND('(直掃)RX Mapping'!X20&gt;=480,'(直掃)RX Mapping'!X20&lt;=960)),
IF(MOD('(直掃)RX Mapping'!X20,120)=0, 120, 240-MOD('(直掃)RX Mapping'!X20,120)),9999))+IF(AND(MOD('(直掃)RX Mapping'!X20,120)=0, '(直掃)RX Mapping'!X20 &lt;= 480,  '(直掃)RX Mapping'!X20 &gt; 0), 120)</f>
        <v>71</v>
      </c>
      <c r="Y20">
        <f>IF(
(AND('(直掃)RX Mapping'!Y20&gt;=0,'(直掃)RX Mapping'!Y20&lt;=480)),
(MOD('(直掃)RX Mapping'!Y20,120)-1),
IF(
(AND('(直掃)RX Mapping'!Y20&gt;=480,'(直掃)RX Mapping'!Y20&lt;=960)),
IF(MOD('(直掃)RX Mapping'!Y20,120)=0, 120, 240-MOD('(直掃)RX Mapping'!Y20,120)),9999))+IF(AND(MOD('(直掃)RX Mapping'!Y20,120)=0, '(直掃)RX Mapping'!Y20 &lt;= 480,  '(直掃)RX Mapping'!Y20 &gt; 0), 120)</f>
        <v>41</v>
      </c>
      <c r="Z20">
        <f>IF(
(AND('(直掃)RX Mapping'!Z20&gt;=0,'(直掃)RX Mapping'!Z20&lt;=480)),
(MOD('(直掃)RX Mapping'!Z20,120)-1),
IF(
(AND('(直掃)RX Mapping'!Z20&gt;=480,'(直掃)RX Mapping'!Z20&lt;=960)),
IF(MOD('(直掃)RX Mapping'!Z20,120)=0, 120, 240-MOD('(直掃)RX Mapping'!Z20,120)),9999))+IF(AND(MOD('(直掃)RX Mapping'!Z20,120)=0, '(直掃)RX Mapping'!Z20 &lt;= 480,  '(直掃)RX Mapping'!Z20 &gt; 0), 120)</f>
        <v>11</v>
      </c>
      <c r="AA20">
        <f>IF(
(AND('(直掃)RX Mapping'!AA20&gt;=0,'(直掃)RX Mapping'!AA20&lt;=480)),
(MOD('(直掃)RX Mapping'!AA20,120)-1),
IF(
(AND('(直掃)RX Mapping'!AA20&gt;=480,'(直掃)RX Mapping'!AA20&lt;=960)),
IF(MOD('(直掃)RX Mapping'!AA20,120)=0, 120, 240-MOD('(直掃)RX Mapping'!AA20,120)),9999))+IF(AND(MOD('(直掃)RX Mapping'!AA20,120)=0, '(直掃)RX Mapping'!AA20 &lt;= 480,  '(直掃)RX Mapping'!AA20 &gt; 0), 120)</f>
        <v>71</v>
      </c>
      <c r="AB20">
        <f>IF(
(AND('(直掃)RX Mapping'!AB20&gt;=0,'(直掃)RX Mapping'!AB20&lt;=480)),
(MOD('(直掃)RX Mapping'!AB20,120)-1),
IF(
(AND('(直掃)RX Mapping'!AB20&gt;=480,'(直掃)RX Mapping'!AB20&lt;=960)),
IF(MOD('(直掃)RX Mapping'!AB20,120)=0, 120, 240-MOD('(直掃)RX Mapping'!AB20,120)),9999))+IF(AND(MOD('(直掃)RX Mapping'!AB20,120)=0, '(直掃)RX Mapping'!AB20 &lt;= 480,  '(直掃)RX Mapping'!AB20 &gt; 0), 120)</f>
        <v>41</v>
      </c>
      <c r="AC20">
        <f>IF(
(AND('(直掃)RX Mapping'!AC20&gt;=0,'(直掃)RX Mapping'!AC20&lt;=480)),
(MOD('(直掃)RX Mapping'!AC20,120)-1),
IF(
(AND('(直掃)RX Mapping'!AC20&gt;=480,'(直掃)RX Mapping'!AC20&lt;=960)),
IF(MOD('(直掃)RX Mapping'!AC20,120)=0, 120, 240-MOD('(直掃)RX Mapping'!AC20,120)),9999))+IF(AND(MOD('(直掃)RX Mapping'!AC20,120)=0, '(直掃)RX Mapping'!AC20 &lt;= 480,  '(直掃)RX Mapping'!AC20 &gt; 0), 120)</f>
        <v>11</v>
      </c>
      <c r="AD20">
        <f>IF(
(AND('(直掃)RX Mapping'!AD20&gt;=0,'(直掃)RX Mapping'!AD20&lt;=480)),
(MOD('(直掃)RX Mapping'!AD20,120)-1),
IF(
(AND('(直掃)RX Mapping'!AD20&gt;=480,'(直掃)RX Mapping'!AD20&lt;=960)),
IF(MOD('(直掃)RX Mapping'!AD20,120)=0, 120, 240-MOD('(直掃)RX Mapping'!AD20,120)),9999))+IF(AND(MOD('(直掃)RX Mapping'!AD20,120)=0, '(直掃)RX Mapping'!AD20 &lt;= 480,  '(直掃)RX Mapping'!AD20 &gt; 0), 120)</f>
        <v>-1</v>
      </c>
      <c r="AE20">
        <f>IF(
(AND('(直掃)RX Mapping'!AE20&gt;=0,'(直掃)RX Mapping'!AE20&lt;=480)),
(MOD('(直掃)RX Mapping'!AE20,120)-1),
IF(
(AND('(直掃)RX Mapping'!AE20&gt;=480,'(直掃)RX Mapping'!AE20&lt;=960)),
IF(MOD('(直掃)RX Mapping'!AE20,120)=0, 120, 240-MOD('(直掃)RX Mapping'!AE20,120)),9999))+IF(AND(MOD('(直掃)RX Mapping'!AE20,120)=0, '(直掃)RX Mapping'!AE20 &lt;= 480,  '(直掃)RX Mapping'!AE20 &gt; 0), 120)</f>
        <v>-1</v>
      </c>
      <c r="AF20">
        <f>IF(
(AND('(直掃)RX Mapping'!AF20&gt;=0,'(直掃)RX Mapping'!AF20&lt;=480)),
(MOD('(直掃)RX Mapping'!AF20,120)-1),
IF(
(AND('(直掃)RX Mapping'!AF20&gt;=480,'(直掃)RX Mapping'!AF20&lt;=960)),
IF(MOD('(直掃)RX Mapping'!AF20,120)=0, 120, 240-MOD('(直掃)RX Mapping'!AF20,120)),9999))+IF(AND(MOD('(直掃)RX Mapping'!AF20,120)=0, '(直掃)RX Mapping'!AF20 &lt;= 480,  '(直掃)RX Mapping'!AF20 &gt; 0), 120)</f>
        <v>-1</v>
      </c>
      <c r="AG20">
        <f>IF(
(AND('(直掃)RX Mapping'!AG20&gt;=0,'(直掃)RX Mapping'!AG20&lt;=480)),
(MOD('(直掃)RX Mapping'!AG20,120)-1),
IF(
(AND('(直掃)RX Mapping'!AG20&gt;=480,'(直掃)RX Mapping'!AG20&lt;=960)),
IF(MOD('(直掃)RX Mapping'!AG20,120)=0, 120, 240-MOD('(直掃)RX Mapping'!AG20,120)),9999))+IF(AND(MOD('(直掃)RX Mapping'!AG20,120)=0, '(直掃)RX Mapping'!AG20 &lt;= 480,  '(直掃)RX Mapping'!AG20 &gt; 0), 120)</f>
        <v>-1</v>
      </c>
      <c r="AH20">
        <f>IF(
(AND('(直掃)RX Mapping'!AH20&gt;=0,'(直掃)RX Mapping'!AH20&lt;=480)),
(MOD('(直掃)RX Mapping'!AH20,120)-1),
IF(
(AND('(直掃)RX Mapping'!AH20&gt;=480,'(直掃)RX Mapping'!AH20&lt;=960)),
IF(MOD('(直掃)RX Mapping'!AH20,120)=0, 120, 240-MOD('(直掃)RX Mapping'!AH20,120)),9999))+IF(AND(MOD('(直掃)RX Mapping'!AH20,120)=0, '(直掃)RX Mapping'!AH20 &lt;= 480,  '(直掃)RX Mapping'!AH20 &gt; 0), 120)</f>
        <v>-1</v>
      </c>
      <c r="AI20">
        <f>IF(
(AND('(直掃)RX Mapping'!AI20&gt;=0,'(直掃)RX Mapping'!AI20&lt;=480)),
(MOD('(直掃)RX Mapping'!AI20,120)-1),
IF(
(AND('(直掃)RX Mapping'!AI20&gt;=480,'(直掃)RX Mapping'!AI20&lt;=960)),
IF(MOD('(直掃)RX Mapping'!AI20,120)=0, 120, 240-MOD('(直掃)RX Mapping'!AI20,120)),9999))+IF(AND(MOD('(直掃)RX Mapping'!AI20,120)=0, '(直掃)RX Mapping'!AI20 &lt;= 480,  '(直掃)RX Mapping'!AI20 &gt; 0), 120)</f>
        <v>-1</v>
      </c>
      <c r="AJ20">
        <f>IF(
(AND('(直掃)RX Mapping'!AJ20&gt;=0,'(直掃)RX Mapping'!AJ20&lt;=480)),
(MOD('(直掃)RX Mapping'!AJ20,120)-1),
IF(
(AND('(直掃)RX Mapping'!AJ20&gt;=480,'(直掃)RX Mapping'!AJ20&lt;=960)),
IF(MOD('(直掃)RX Mapping'!AJ20,120)=0, 120, 240-MOD('(直掃)RX Mapping'!AJ20,120)),9999))+IF(AND(MOD('(直掃)RX Mapping'!AJ20,120)=0, '(直掃)RX Mapping'!AJ20 &lt;= 480,  '(直掃)RX Mapping'!AJ20 &gt; 0), 120)</f>
        <v>-1</v>
      </c>
      <c r="AK20">
        <f>IF(
(AND('(直掃)RX Mapping'!AK20&gt;=0,'(直掃)RX Mapping'!AK20&lt;=480)),
(MOD('(直掃)RX Mapping'!AK20,120)-1),
IF(
(AND('(直掃)RX Mapping'!AK20&gt;=480,'(直掃)RX Mapping'!AK20&lt;=960)),
IF(MOD('(直掃)RX Mapping'!AK20,120)=0, 120, 240-MOD('(直掃)RX Mapping'!AK20,120)),9999))+IF(AND(MOD('(直掃)RX Mapping'!AK20,120)=0, '(直掃)RX Mapping'!AK20 &lt;= 480,  '(直掃)RX Mapping'!AK20 &gt; 0), 120)</f>
        <v>-1</v>
      </c>
      <c r="AL20">
        <f>IF(
(AND('(直掃)RX Mapping'!AL20&gt;=0,'(直掃)RX Mapping'!AL20&lt;=480)),
(MOD('(直掃)RX Mapping'!AL20,120)-1),
IF(
(AND('(直掃)RX Mapping'!AL20&gt;=480,'(直掃)RX Mapping'!AL20&lt;=960)),
IF(MOD('(直掃)RX Mapping'!AL20,120)=0, 120, 240-MOD('(直掃)RX Mapping'!AL20,120)),9999))+IF(AND(MOD('(直掃)RX Mapping'!AL20,120)=0, '(直掃)RX Mapping'!AL20 &lt;= 480,  '(直掃)RX Mapping'!AL20 &gt; 0), 120)</f>
        <v>-1</v>
      </c>
      <c r="AM20">
        <f>IF(
(AND('(直掃)RX Mapping'!AM20&gt;=0,'(直掃)RX Mapping'!AM20&lt;=480)),
(MOD('(直掃)RX Mapping'!AM20,120)-1),
IF(
(AND('(直掃)RX Mapping'!AM20&gt;=480,'(直掃)RX Mapping'!AM20&lt;=960)),
IF(MOD('(直掃)RX Mapping'!AM20,120)=0, 120, 240-MOD('(直掃)RX Mapping'!AM20,120)),9999))+IF(AND(MOD('(直掃)RX Mapping'!AM20,120)=0, '(直掃)RX Mapping'!AM20 &lt;= 480,  '(直掃)RX Mapping'!AM20 &gt; 0), 120)</f>
        <v>-1</v>
      </c>
      <c r="AN20">
        <f>IF(
(AND('(直掃)RX Mapping'!AN20&gt;=0,'(直掃)RX Mapping'!AN20&lt;=480)),
(MOD('(直掃)RX Mapping'!AN20,120)-1),
IF(
(AND('(直掃)RX Mapping'!AN20&gt;=480,'(直掃)RX Mapping'!AN20&lt;=960)),
IF(MOD('(直掃)RX Mapping'!AN20,120)=0, 120, 240-MOD('(直掃)RX Mapping'!AN20,120)),9999))+IF(AND(MOD('(直掃)RX Mapping'!AN20,120)=0, '(直掃)RX Mapping'!AN20 &lt;= 480,  '(直掃)RX Mapping'!AN20 &gt; 0), 120)</f>
        <v>-1</v>
      </c>
      <c r="AO20">
        <f>IF(
(AND('(直掃)RX Mapping'!AO20&gt;=0,'(直掃)RX Mapping'!AO20&lt;=480)),
(MOD('(直掃)RX Mapping'!AO20,120)-1),
IF(
(AND('(直掃)RX Mapping'!AO20&gt;=480,'(直掃)RX Mapping'!AO20&lt;=960)),
IF(MOD('(直掃)RX Mapping'!AO20,120)=0, 120, 240-MOD('(直掃)RX Mapping'!AO20,120)),9999))+IF(AND(MOD('(直掃)RX Mapping'!AO20,120)=0, '(直掃)RX Mapping'!AO20 &lt;= 480,  '(直掃)RX Mapping'!AO20 &gt; 0), 120)</f>
        <v>-1</v>
      </c>
      <c r="AP20">
        <f>IF(
(AND('(直掃)RX Mapping'!AP20&gt;=0,'(直掃)RX Mapping'!AP20&lt;=480)),
(MOD('(直掃)RX Mapping'!AP20,120)-1),
IF(
(AND('(直掃)RX Mapping'!AP20&gt;=480,'(直掃)RX Mapping'!AP20&lt;=960)),
IF(MOD('(直掃)RX Mapping'!AP20,120)=0, 120, 240-MOD('(直掃)RX Mapping'!AP20,120)),9999))+IF(AND(MOD('(直掃)RX Mapping'!AP20,120)=0, '(直掃)RX Mapping'!AP20 &lt;= 480,  '(直掃)RX Mapping'!AP20 &gt; 0), 120)</f>
        <v>-1</v>
      </c>
      <c r="AQ20">
        <f>IF(
(AND('(直掃)RX Mapping'!AQ20&gt;=0,'(直掃)RX Mapping'!AQ20&lt;=480)),
(MOD('(直掃)RX Mapping'!AQ20,120)-1),
IF(
(AND('(直掃)RX Mapping'!AQ20&gt;=480,'(直掃)RX Mapping'!AQ20&lt;=960)),
IF(MOD('(直掃)RX Mapping'!AQ20,120)=0, 120, 240-MOD('(直掃)RX Mapping'!AQ20,120)),9999))+IF(AND(MOD('(直掃)RX Mapping'!AQ20,120)=0, '(直掃)RX Mapping'!AQ20 &lt;= 480,  '(直掃)RX Mapping'!AQ20 &gt; 0), 120)</f>
        <v>-1</v>
      </c>
      <c r="AR20">
        <f>IF(
(AND('(直掃)RX Mapping'!AR20&gt;=0,'(直掃)RX Mapping'!AR20&lt;=480)),
(MOD('(直掃)RX Mapping'!AR20,120)-1),
IF(
(AND('(直掃)RX Mapping'!AR20&gt;=480,'(直掃)RX Mapping'!AR20&lt;=960)),
IF(MOD('(直掃)RX Mapping'!AR20,120)=0, 120, 240-MOD('(直掃)RX Mapping'!AR20,120)),9999))+IF(AND(MOD('(直掃)RX Mapping'!AR20,120)=0, '(直掃)RX Mapping'!AR20 &lt;= 480,  '(直掃)RX Mapping'!AR20 &gt; 0), 120)</f>
        <v>-1</v>
      </c>
      <c r="AS20">
        <f>IF(
(AND('(直掃)RX Mapping'!AS20&gt;=0,'(直掃)RX Mapping'!AS20&lt;=480)),
(MOD('(直掃)RX Mapping'!AS20,120)-1),
IF(
(AND('(直掃)RX Mapping'!AS20&gt;=480,'(直掃)RX Mapping'!AS20&lt;=960)),
IF(MOD('(直掃)RX Mapping'!AS20,120)=0, 120, 240-MOD('(直掃)RX Mapping'!AS20,120)),9999))+IF(AND(MOD('(直掃)RX Mapping'!AS20,120)=0, '(直掃)RX Mapping'!AS20 &lt;= 480,  '(直掃)RX Mapping'!AS20 &gt; 0), 120)</f>
        <v>-1</v>
      </c>
      <c r="AT20">
        <f>IF(AND('(橫掃)RX Mapping'!AT20&gt;=1,'(橫掃)RX Mapping'!AT20&lt;=120), ('(橫掃)RX Mapping'!AT20-1),IF(AND('(橫掃)RX Mapping'!AT20&gt;=121,'(橫掃)RX Mapping'!AT20&lt;=240), (-1)*('(橫掃)RX Mapping'!AT20-240),IF(AND('(橫掃)RX Mapping'!AT20&gt;=241,'(橫掃)RX Mapping'!AT20&lt;=360), ('(橫掃)RX Mapping'!AT20-241),IF(AND('(橫掃)RX Mapping'!AT20&gt;=361,'(橫掃)RX Mapping'!AT20&lt;=480), (-1)*('(橫掃)RX Mapping'!AT20-480),IF(AND('(橫掃)RX Mapping'!AT20&gt;=481,'(橫掃)RX Mapping'!AT20&lt;=600), ('(橫掃)RX Mapping'!AT20-361),IF(AND('(橫掃)RX Mapping'!AT20&gt;=601,'(橫掃)RX Mapping'!AT20&lt;=720), (-1)*('(橫掃)RX Mapping'!AT20-720)+120,IF(AND('(橫掃)RX Mapping'!AT20&gt;=721,'(橫掃)RX Mapping'!AT20&lt;=840), ('(橫掃)RX Mapping'!AT20-601),IF(AND('(橫掃)RX Mapping'!AT20&gt;=841,'(橫掃)RX Mapping'!AT20&lt;=960), (-1)*('(橫掃)RX Mapping'!AT20-960)+120,9999))))))))</f>
        <v>9999</v>
      </c>
      <c r="AU20">
        <f>IF(AND('(橫掃)RX Mapping'!AU20&gt;=1,'(橫掃)RX Mapping'!AU20&lt;=120), ('(橫掃)RX Mapping'!AU20-1),IF(AND('(橫掃)RX Mapping'!AU20&gt;=121,'(橫掃)RX Mapping'!AU20&lt;=240), (-1)*('(橫掃)RX Mapping'!AU20-240),IF(AND('(橫掃)RX Mapping'!AU20&gt;=241,'(橫掃)RX Mapping'!AU20&lt;=360), ('(橫掃)RX Mapping'!AU20-241),IF(AND('(橫掃)RX Mapping'!AU20&gt;=361,'(橫掃)RX Mapping'!AU20&lt;=480), (-1)*('(橫掃)RX Mapping'!AU20-480),IF(AND('(橫掃)RX Mapping'!AU20&gt;=481,'(橫掃)RX Mapping'!AU20&lt;=600), ('(橫掃)RX Mapping'!AU20-361),IF(AND('(橫掃)RX Mapping'!AU20&gt;=601,'(橫掃)RX Mapping'!AU20&lt;=720), (-1)*('(橫掃)RX Mapping'!AU20-720)+120,IF(AND('(橫掃)RX Mapping'!AU20&gt;=721,'(橫掃)RX Mapping'!AU20&lt;=840), ('(橫掃)RX Mapping'!AU20-601),IF(AND('(橫掃)RX Mapping'!AU20&gt;=841,'(橫掃)RX Mapping'!AU20&lt;=960), (-1)*('(橫掃)RX Mapping'!AU20-960)+120,9999))))))))</f>
        <v>9999</v>
      </c>
      <c r="AV20">
        <f>IF(AND('(橫掃)RX Mapping'!AV20&gt;=1,'(橫掃)RX Mapping'!AV20&lt;=120), ('(橫掃)RX Mapping'!AV20-1),IF(AND('(橫掃)RX Mapping'!AV20&gt;=121,'(橫掃)RX Mapping'!AV20&lt;=240), (-1)*('(橫掃)RX Mapping'!AV20-240),IF(AND('(橫掃)RX Mapping'!AV20&gt;=241,'(橫掃)RX Mapping'!AV20&lt;=360), ('(橫掃)RX Mapping'!AV20-241),IF(AND('(橫掃)RX Mapping'!AV20&gt;=361,'(橫掃)RX Mapping'!AV20&lt;=480), (-1)*('(橫掃)RX Mapping'!AV20-480),IF(AND('(橫掃)RX Mapping'!AV20&gt;=481,'(橫掃)RX Mapping'!AV20&lt;=600), ('(橫掃)RX Mapping'!AV20-361),IF(AND('(橫掃)RX Mapping'!AV20&gt;=601,'(橫掃)RX Mapping'!AV20&lt;=720), (-1)*('(橫掃)RX Mapping'!AV20-720)+120,IF(AND('(橫掃)RX Mapping'!AV20&gt;=721,'(橫掃)RX Mapping'!AV20&lt;=840), ('(橫掃)RX Mapping'!AV20-601),IF(AND('(橫掃)RX Mapping'!AV20&gt;=841,'(橫掃)RX Mapping'!AV20&lt;=960), (-1)*('(橫掃)RX Mapping'!AV20-960)+120,9999))))))))</f>
        <v>9999</v>
      </c>
      <c r="AW20">
        <f>IF(AND('(橫掃)RX Mapping'!AW20&gt;=1,'(橫掃)RX Mapping'!AW20&lt;=120), ('(橫掃)RX Mapping'!AW20-1),IF(AND('(橫掃)RX Mapping'!AW20&gt;=121,'(橫掃)RX Mapping'!AW20&lt;=240), (-1)*('(橫掃)RX Mapping'!AW20-240),IF(AND('(橫掃)RX Mapping'!AW20&gt;=241,'(橫掃)RX Mapping'!AW20&lt;=360), ('(橫掃)RX Mapping'!AW20-241),IF(AND('(橫掃)RX Mapping'!AW20&gt;=361,'(橫掃)RX Mapping'!AW20&lt;=480), (-1)*('(橫掃)RX Mapping'!AW20-480),IF(AND('(橫掃)RX Mapping'!AW20&gt;=481,'(橫掃)RX Mapping'!AW20&lt;=600), ('(橫掃)RX Mapping'!AW20-361),IF(AND('(橫掃)RX Mapping'!AW20&gt;=601,'(橫掃)RX Mapping'!AW20&lt;=720), (-1)*('(橫掃)RX Mapping'!AW20-720)+120,IF(AND('(橫掃)RX Mapping'!AW20&gt;=721,'(橫掃)RX Mapping'!AW20&lt;=840), ('(橫掃)RX Mapping'!AW20-601),IF(AND('(橫掃)RX Mapping'!AW20&gt;=841,'(橫掃)RX Mapping'!AW20&lt;=960), (-1)*('(橫掃)RX Mapping'!AW20-960)+120,9999))))))))</f>
        <v>9999</v>
      </c>
      <c r="AX20">
        <f>IF(AND('(橫掃)RX Mapping'!AX20&gt;=1,'(橫掃)RX Mapping'!AX20&lt;=120), ('(橫掃)RX Mapping'!AX20-1),IF(AND('(橫掃)RX Mapping'!AX20&gt;=121,'(橫掃)RX Mapping'!AX20&lt;=240), (-1)*('(橫掃)RX Mapping'!AX20-240),IF(AND('(橫掃)RX Mapping'!AX20&gt;=241,'(橫掃)RX Mapping'!AX20&lt;=360), ('(橫掃)RX Mapping'!AX20-241),IF(AND('(橫掃)RX Mapping'!AX20&gt;=361,'(橫掃)RX Mapping'!AX20&lt;=480), (-1)*('(橫掃)RX Mapping'!AX20-480),IF(AND('(橫掃)RX Mapping'!AX20&gt;=481,'(橫掃)RX Mapping'!AX20&lt;=600), ('(橫掃)RX Mapping'!AX20-361),IF(AND('(橫掃)RX Mapping'!AX20&gt;=601,'(橫掃)RX Mapping'!AX20&lt;=720), (-1)*('(橫掃)RX Mapping'!AX20-720)+120,IF(AND('(橫掃)RX Mapping'!AX20&gt;=721,'(橫掃)RX Mapping'!AX20&lt;=840), ('(橫掃)RX Mapping'!AX20-601),IF(AND('(橫掃)RX Mapping'!AX20&gt;=841,'(橫掃)RX Mapping'!AX20&lt;=960), (-1)*('(橫掃)RX Mapping'!AX20-960)+120,9999))))))))</f>
        <v>9999</v>
      </c>
      <c r="AY20">
        <f>IF(AND('(橫掃)RX Mapping'!AY20&gt;=1,'(橫掃)RX Mapping'!AY20&lt;=120), ('(橫掃)RX Mapping'!AY20-1),IF(AND('(橫掃)RX Mapping'!AY20&gt;=121,'(橫掃)RX Mapping'!AY20&lt;=240), (-1)*('(橫掃)RX Mapping'!AY20-240),IF(AND('(橫掃)RX Mapping'!AY20&gt;=241,'(橫掃)RX Mapping'!AY20&lt;=360), ('(橫掃)RX Mapping'!AY20-241),IF(AND('(橫掃)RX Mapping'!AY20&gt;=361,'(橫掃)RX Mapping'!AY20&lt;=480), (-1)*('(橫掃)RX Mapping'!AY20-480),IF(AND('(橫掃)RX Mapping'!AY20&gt;=481,'(橫掃)RX Mapping'!AY20&lt;=600), ('(橫掃)RX Mapping'!AY20-361),IF(AND('(橫掃)RX Mapping'!AY20&gt;=601,'(橫掃)RX Mapping'!AY20&lt;=720), (-1)*('(橫掃)RX Mapping'!AY20-720)+120,IF(AND('(橫掃)RX Mapping'!AY20&gt;=721,'(橫掃)RX Mapping'!AY20&lt;=840), ('(橫掃)RX Mapping'!AY20-601),IF(AND('(橫掃)RX Mapping'!AY20&gt;=841,'(橫掃)RX Mapping'!AY20&lt;=960), (-1)*('(橫掃)RX Mapping'!AY20-960)+120,9999))))))))</f>
        <v>9999</v>
      </c>
      <c r="AZ20">
        <f>IF(AND('(橫掃)RX Mapping'!AZ20&gt;=1,'(橫掃)RX Mapping'!AZ20&lt;=120), ('(橫掃)RX Mapping'!AZ20-1),IF(AND('(橫掃)RX Mapping'!AZ20&gt;=121,'(橫掃)RX Mapping'!AZ20&lt;=240), (-1)*('(橫掃)RX Mapping'!AZ20-240),IF(AND('(橫掃)RX Mapping'!AZ20&gt;=241,'(橫掃)RX Mapping'!AZ20&lt;=360), ('(橫掃)RX Mapping'!AZ20-241),IF(AND('(橫掃)RX Mapping'!AZ20&gt;=361,'(橫掃)RX Mapping'!AZ20&lt;=480), (-1)*('(橫掃)RX Mapping'!AZ20-480),IF(AND('(橫掃)RX Mapping'!AZ20&gt;=481,'(橫掃)RX Mapping'!AZ20&lt;=600), ('(橫掃)RX Mapping'!AZ20-361),IF(AND('(橫掃)RX Mapping'!AZ20&gt;=601,'(橫掃)RX Mapping'!AZ20&lt;=720), (-1)*('(橫掃)RX Mapping'!AZ20-720)+120,IF(AND('(橫掃)RX Mapping'!AZ20&gt;=721,'(橫掃)RX Mapping'!AZ20&lt;=840), ('(橫掃)RX Mapping'!AZ20-601),IF(AND('(橫掃)RX Mapping'!AZ20&gt;=841,'(橫掃)RX Mapping'!AZ20&lt;=960), (-1)*('(橫掃)RX Mapping'!AZ20-960)+120,9999))))))))</f>
        <v>9999</v>
      </c>
      <c r="BA20">
        <f>IF(AND('(橫掃)RX Mapping'!BA20&gt;=1,'(橫掃)RX Mapping'!BA20&lt;=120), ('(橫掃)RX Mapping'!BA20-1),IF(AND('(橫掃)RX Mapping'!BA20&gt;=121,'(橫掃)RX Mapping'!BA20&lt;=240), (-1)*('(橫掃)RX Mapping'!BA20-240),IF(AND('(橫掃)RX Mapping'!BA20&gt;=241,'(橫掃)RX Mapping'!BA20&lt;=360), ('(橫掃)RX Mapping'!BA20-241),IF(AND('(橫掃)RX Mapping'!BA20&gt;=361,'(橫掃)RX Mapping'!BA20&lt;=480), (-1)*('(橫掃)RX Mapping'!BA20-480),IF(AND('(橫掃)RX Mapping'!BA20&gt;=481,'(橫掃)RX Mapping'!BA20&lt;=600), ('(橫掃)RX Mapping'!BA20-361),IF(AND('(橫掃)RX Mapping'!BA20&gt;=601,'(橫掃)RX Mapping'!BA20&lt;=720), (-1)*('(橫掃)RX Mapping'!BA20-720)+120,IF(AND('(橫掃)RX Mapping'!BA20&gt;=721,'(橫掃)RX Mapping'!BA20&lt;=840), ('(橫掃)RX Mapping'!BA20-601),IF(AND('(橫掃)RX Mapping'!BA20&gt;=841,'(橫掃)RX Mapping'!BA20&lt;=960), (-1)*('(橫掃)RX Mapping'!BA20-960)+120,9999))))))))</f>
        <v>9999</v>
      </c>
      <c r="BB20">
        <f>IF(AND('(橫掃)RX Mapping'!BB20&gt;=1,'(橫掃)RX Mapping'!BB20&lt;=120), ('(橫掃)RX Mapping'!BB20-1),IF(AND('(橫掃)RX Mapping'!BB20&gt;=121,'(橫掃)RX Mapping'!BB20&lt;=240), (-1)*('(橫掃)RX Mapping'!BB20-240),IF(AND('(橫掃)RX Mapping'!BB20&gt;=241,'(橫掃)RX Mapping'!BB20&lt;=360), ('(橫掃)RX Mapping'!BB20-241),IF(AND('(橫掃)RX Mapping'!BB20&gt;=361,'(橫掃)RX Mapping'!BB20&lt;=480), (-1)*('(橫掃)RX Mapping'!BB20-480),IF(AND('(橫掃)RX Mapping'!BB20&gt;=481,'(橫掃)RX Mapping'!BB20&lt;=600), ('(橫掃)RX Mapping'!BB20-361),IF(AND('(橫掃)RX Mapping'!BB20&gt;=601,'(橫掃)RX Mapping'!BB20&lt;=720), (-1)*('(橫掃)RX Mapping'!BB20-720)+120,IF(AND('(橫掃)RX Mapping'!BB20&gt;=721,'(橫掃)RX Mapping'!BB20&lt;=840), ('(橫掃)RX Mapping'!BB20-601),IF(AND('(橫掃)RX Mapping'!BB20&gt;=841,'(橫掃)RX Mapping'!BB20&lt;=960), (-1)*('(橫掃)RX Mapping'!BB20-960)+120,9999))))))))</f>
        <v>9999</v>
      </c>
      <c r="BC20">
        <f>IF(AND('(橫掃)RX Mapping'!BC20&gt;=1,'(橫掃)RX Mapping'!BC20&lt;=120), ('(橫掃)RX Mapping'!BC20-1),IF(AND('(橫掃)RX Mapping'!BC20&gt;=121,'(橫掃)RX Mapping'!BC20&lt;=240), (-1)*('(橫掃)RX Mapping'!BC20-240),IF(AND('(橫掃)RX Mapping'!BC20&gt;=241,'(橫掃)RX Mapping'!BC20&lt;=360), ('(橫掃)RX Mapping'!BC20-241),IF(AND('(橫掃)RX Mapping'!BC20&gt;=361,'(橫掃)RX Mapping'!BC20&lt;=480), (-1)*('(橫掃)RX Mapping'!BC20-480),IF(AND('(橫掃)RX Mapping'!BC20&gt;=481,'(橫掃)RX Mapping'!BC20&lt;=600), ('(橫掃)RX Mapping'!BC20-361),IF(AND('(橫掃)RX Mapping'!BC20&gt;=601,'(橫掃)RX Mapping'!BC20&lt;=720), (-1)*('(橫掃)RX Mapping'!BC20-720)+120,IF(AND('(橫掃)RX Mapping'!BC20&gt;=721,'(橫掃)RX Mapping'!BC20&lt;=840), ('(橫掃)RX Mapping'!BC20-601),IF(AND('(橫掃)RX Mapping'!BC20&gt;=841,'(橫掃)RX Mapping'!BC20&lt;=960), (-1)*('(橫掃)RX Mapping'!BC20-960)+120,9999))))))))</f>
        <v>9999</v>
      </c>
      <c r="BD20">
        <f>IF(AND('(橫掃)RX Mapping'!BD20&gt;=1,'(橫掃)RX Mapping'!BD20&lt;=120), ('(橫掃)RX Mapping'!BD20-1),IF(AND('(橫掃)RX Mapping'!BD20&gt;=121,'(橫掃)RX Mapping'!BD20&lt;=240), (-1)*('(橫掃)RX Mapping'!BD20-240),IF(AND('(橫掃)RX Mapping'!BD20&gt;=241,'(橫掃)RX Mapping'!BD20&lt;=360), ('(橫掃)RX Mapping'!BD20-241),IF(AND('(橫掃)RX Mapping'!BD20&gt;=361,'(橫掃)RX Mapping'!BD20&lt;=480), (-1)*('(橫掃)RX Mapping'!BD20-480),IF(AND('(橫掃)RX Mapping'!BD20&gt;=481,'(橫掃)RX Mapping'!BD20&lt;=600), ('(橫掃)RX Mapping'!BD20-361),IF(AND('(橫掃)RX Mapping'!BD20&gt;=601,'(橫掃)RX Mapping'!BD20&lt;=720), (-1)*('(橫掃)RX Mapping'!BD20-720)+120,IF(AND('(橫掃)RX Mapping'!BD20&gt;=721,'(橫掃)RX Mapping'!BD20&lt;=840), ('(橫掃)RX Mapping'!BD20-601),IF(AND('(橫掃)RX Mapping'!BD20&gt;=841,'(橫掃)RX Mapping'!BD20&lt;=960), (-1)*('(橫掃)RX Mapping'!BD20-960)+120,9999))))))))</f>
        <v>9999</v>
      </c>
      <c r="BE20">
        <f>IF(AND('(橫掃)RX Mapping'!BE20&gt;=1,'(橫掃)RX Mapping'!BE20&lt;=120), ('(橫掃)RX Mapping'!BE20-1),IF(AND('(橫掃)RX Mapping'!BE20&gt;=121,'(橫掃)RX Mapping'!BE20&lt;=240), (-1)*('(橫掃)RX Mapping'!BE20-240),IF(AND('(橫掃)RX Mapping'!BE20&gt;=241,'(橫掃)RX Mapping'!BE20&lt;=360), ('(橫掃)RX Mapping'!BE20-241),IF(AND('(橫掃)RX Mapping'!BE20&gt;=361,'(橫掃)RX Mapping'!BE20&lt;=480), (-1)*('(橫掃)RX Mapping'!BE20-480),IF(AND('(橫掃)RX Mapping'!BE20&gt;=481,'(橫掃)RX Mapping'!BE20&lt;=600), ('(橫掃)RX Mapping'!BE20-361),IF(AND('(橫掃)RX Mapping'!BE20&gt;=601,'(橫掃)RX Mapping'!BE20&lt;=720), (-1)*('(橫掃)RX Mapping'!BE20-720)+120,IF(AND('(橫掃)RX Mapping'!BE20&gt;=721,'(橫掃)RX Mapping'!BE20&lt;=840), ('(橫掃)RX Mapping'!BE20-601),IF(AND('(橫掃)RX Mapping'!BE20&gt;=841,'(橫掃)RX Mapping'!BE20&lt;=960), (-1)*('(橫掃)RX Mapping'!BE20-960)+120,9999))))))))</f>
        <v>9999</v>
      </c>
      <c r="BF20">
        <f>IF(AND('(橫掃)RX Mapping'!BF20&gt;=1,'(橫掃)RX Mapping'!BF20&lt;=120), ('(橫掃)RX Mapping'!BF20-1),IF(AND('(橫掃)RX Mapping'!BF20&gt;=121,'(橫掃)RX Mapping'!BF20&lt;=240), (-1)*('(橫掃)RX Mapping'!BF20-240),IF(AND('(橫掃)RX Mapping'!BF20&gt;=241,'(橫掃)RX Mapping'!BF20&lt;=360), ('(橫掃)RX Mapping'!BF20-241),IF(AND('(橫掃)RX Mapping'!BF20&gt;=361,'(橫掃)RX Mapping'!BF20&lt;=480), (-1)*('(橫掃)RX Mapping'!BF20-480),IF(AND('(橫掃)RX Mapping'!BF20&gt;=481,'(橫掃)RX Mapping'!BF20&lt;=600), ('(橫掃)RX Mapping'!BF20-361),IF(AND('(橫掃)RX Mapping'!BF20&gt;=601,'(橫掃)RX Mapping'!BF20&lt;=720), (-1)*('(橫掃)RX Mapping'!BF20-720)+120,IF(AND('(橫掃)RX Mapping'!BF20&gt;=721,'(橫掃)RX Mapping'!BF20&lt;=840), ('(橫掃)RX Mapping'!BF20-601),IF(AND('(橫掃)RX Mapping'!BF20&gt;=841,'(橫掃)RX Mapping'!BF20&lt;=960), (-1)*('(橫掃)RX Mapping'!BF20-960)+120,9999))))))))</f>
        <v>9999</v>
      </c>
      <c r="BG20">
        <f>IF(AND('(橫掃)RX Mapping'!BG20&gt;=1,'(橫掃)RX Mapping'!BG20&lt;=120), ('(橫掃)RX Mapping'!BG20-1),IF(AND('(橫掃)RX Mapping'!BG20&gt;=121,'(橫掃)RX Mapping'!BG20&lt;=240), (-1)*('(橫掃)RX Mapping'!BG20-240),IF(AND('(橫掃)RX Mapping'!BG20&gt;=241,'(橫掃)RX Mapping'!BG20&lt;=360), ('(橫掃)RX Mapping'!BG20-241),IF(AND('(橫掃)RX Mapping'!BG20&gt;=361,'(橫掃)RX Mapping'!BG20&lt;=480), (-1)*('(橫掃)RX Mapping'!BG20-480),IF(AND('(橫掃)RX Mapping'!BG20&gt;=481,'(橫掃)RX Mapping'!BG20&lt;=600), ('(橫掃)RX Mapping'!BG20-361),IF(AND('(橫掃)RX Mapping'!BG20&gt;=601,'(橫掃)RX Mapping'!BG20&lt;=720), (-1)*('(橫掃)RX Mapping'!BG20-720)+120,IF(AND('(橫掃)RX Mapping'!BG20&gt;=721,'(橫掃)RX Mapping'!BG20&lt;=840), ('(橫掃)RX Mapping'!BG20-601),IF(AND('(橫掃)RX Mapping'!BG20&gt;=841,'(橫掃)RX Mapping'!BG20&lt;=960), (-1)*('(橫掃)RX Mapping'!BG20-960)+120,9999))))))))</f>
        <v>9999</v>
      </c>
      <c r="BH20">
        <f>IF(AND('(橫掃)RX Mapping'!BH20&gt;=1,'(橫掃)RX Mapping'!BH20&lt;=120), ('(橫掃)RX Mapping'!BH20-1),IF(AND('(橫掃)RX Mapping'!BH20&gt;=121,'(橫掃)RX Mapping'!BH20&lt;=240), (-1)*('(橫掃)RX Mapping'!BH20-240),IF(AND('(橫掃)RX Mapping'!BH20&gt;=241,'(橫掃)RX Mapping'!BH20&lt;=360), ('(橫掃)RX Mapping'!BH20-241),IF(AND('(橫掃)RX Mapping'!BH20&gt;=361,'(橫掃)RX Mapping'!BH20&lt;=480), (-1)*('(橫掃)RX Mapping'!BH20-480),IF(AND('(橫掃)RX Mapping'!BH20&gt;=481,'(橫掃)RX Mapping'!BH20&lt;=600), ('(橫掃)RX Mapping'!BH20-361),IF(AND('(橫掃)RX Mapping'!BH20&gt;=601,'(橫掃)RX Mapping'!BH20&lt;=720), (-1)*('(橫掃)RX Mapping'!BH20-720)+120,IF(AND('(橫掃)RX Mapping'!BH20&gt;=721,'(橫掃)RX Mapping'!BH20&lt;=840), ('(橫掃)RX Mapping'!BH20-601),IF(AND('(橫掃)RX Mapping'!BH20&gt;=841,'(橫掃)RX Mapping'!BH20&lt;=960), (-1)*('(橫掃)RX Mapping'!BH20-960)+120,9999))))))))</f>
        <v>9999</v>
      </c>
      <c r="BI20">
        <f>IF(AND('(橫掃)RX Mapping'!BI20&gt;=1,'(橫掃)RX Mapping'!BI20&lt;=120), ('(橫掃)RX Mapping'!BI20-1),IF(AND('(橫掃)RX Mapping'!BI20&gt;=121,'(橫掃)RX Mapping'!BI20&lt;=240), (-1)*('(橫掃)RX Mapping'!BI20-240),IF(AND('(橫掃)RX Mapping'!BI20&gt;=241,'(橫掃)RX Mapping'!BI20&lt;=360), ('(橫掃)RX Mapping'!BI20-241),IF(AND('(橫掃)RX Mapping'!BI20&gt;=361,'(橫掃)RX Mapping'!BI20&lt;=480), (-1)*('(橫掃)RX Mapping'!BI20-480),IF(AND('(橫掃)RX Mapping'!BI20&gt;=481,'(橫掃)RX Mapping'!BI20&lt;=600), ('(橫掃)RX Mapping'!BI20-361),IF(AND('(橫掃)RX Mapping'!BI20&gt;=601,'(橫掃)RX Mapping'!BI20&lt;=720), (-1)*('(橫掃)RX Mapping'!BI20-720)+120,IF(AND('(橫掃)RX Mapping'!BI20&gt;=721,'(橫掃)RX Mapping'!BI20&lt;=840), ('(橫掃)RX Mapping'!BI20-601),IF(AND('(橫掃)RX Mapping'!BI20&gt;=841,'(橫掃)RX Mapping'!BI20&lt;=960), (-1)*('(橫掃)RX Mapping'!BI20-960)+120,9999))))))))</f>
        <v>9999</v>
      </c>
    </row>
    <row r="21" spans="1:61" x14ac:dyDescent="0.25">
      <c r="A21" s="20">
        <v>20</v>
      </c>
      <c r="B21">
        <f>IF(
(AND('(直掃)RX Mapping'!B21&gt;=0,'(直掃)RX Mapping'!B21&lt;=480)),
(MOD('(直掃)RX Mapping'!B21,120)-1),
IF(
(AND('(直掃)RX Mapping'!B21&gt;=480,'(直掃)RX Mapping'!B21&lt;=960)),
IF(MOD('(直掃)RX Mapping'!B21,120)=0, 120, 240-MOD('(直掃)RX Mapping'!B21,120)),9999))+IF(AND(MOD('(直掃)RX Mapping'!B21,120)=0, '(直掃)RX Mapping'!B21 &lt;= 480,  '(直掃)RX Mapping'!B21 &gt; 0), 120)</f>
        <v>139</v>
      </c>
      <c r="C21">
        <f>IF(
(AND('(直掃)RX Mapping'!C21&gt;=0,'(直掃)RX Mapping'!C21&lt;=480)),
(MOD('(直掃)RX Mapping'!C21,120)-1),
IF(
(AND('(直掃)RX Mapping'!C21&gt;=480,'(直掃)RX Mapping'!C21&lt;=960)),
IF(MOD('(直掃)RX Mapping'!C21,120)=0, 120, 240-MOD('(直掃)RX Mapping'!C21,120)),9999))+IF(AND(MOD('(直掃)RX Mapping'!C21,120)=0, '(直掃)RX Mapping'!C21 &lt;= 480,  '(直掃)RX Mapping'!C21 &gt; 0), 120)</f>
        <v>169</v>
      </c>
      <c r="D21">
        <f>IF(
(AND('(直掃)RX Mapping'!D21&gt;=0,'(直掃)RX Mapping'!D21&lt;=480)),
(MOD('(直掃)RX Mapping'!D21,120)-1),
IF(
(AND('(直掃)RX Mapping'!D21&gt;=480,'(直掃)RX Mapping'!D21&lt;=960)),
IF(MOD('(直掃)RX Mapping'!D21,120)=0, 120, 240-MOD('(直掃)RX Mapping'!D21,120)),9999))+IF(AND(MOD('(直掃)RX Mapping'!D21,120)=0, '(直掃)RX Mapping'!D21 &lt;= 480,  '(直掃)RX Mapping'!D21 &gt; 0), 120)</f>
        <v>199</v>
      </c>
      <c r="E21">
        <f>IF(
(AND('(直掃)RX Mapping'!E21&gt;=0,'(直掃)RX Mapping'!E21&lt;=480)),
(MOD('(直掃)RX Mapping'!E21,120)-1),
IF(
(AND('(直掃)RX Mapping'!E21&gt;=480,'(直掃)RX Mapping'!E21&lt;=960)),
IF(MOD('(直掃)RX Mapping'!E21,120)=0, 120, 240-MOD('(直掃)RX Mapping'!E21,120)),9999))+IF(AND(MOD('(直掃)RX Mapping'!E21,120)=0, '(直掃)RX Mapping'!E21 &lt;= 480,  '(直掃)RX Mapping'!E21 &gt; 0), 120)</f>
        <v>139</v>
      </c>
      <c r="F21">
        <f>IF(
(AND('(直掃)RX Mapping'!F21&gt;=0,'(直掃)RX Mapping'!F21&lt;=480)),
(MOD('(直掃)RX Mapping'!F21,120)-1),
IF(
(AND('(直掃)RX Mapping'!F21&gt;=480,'(直掃)RX Mapping'!F21&lt;=960)),
IF(MOD('(直掃)RX Mapping'!F21,120)=0, 120, 240-MOD('(直掃)RX Mapping'!F21,120)),9999))+IF(AND(MOD('(直掃)RX Mapping'!F21,120)=0, '(直掃)RX Mapping'!F21 &lt;= 480,  '(直掃)RX Mapping'!F21 &gt; 0), 120)</f>
        <v>169</v>
      </c>
      <c r="G21">
        <f>IF(
(AND('(直掃)RX Mapping'!G21&gt;=0,'(直掃)RX Mapping'!G21&lt;=480)),
(MOD('(直掃)RX Mapping'!G21,120)-1),
IF(
(AND('(直掃)RX Mapping'!G21&gt;=480,'(直掃)RX Mapping'!G21&lt;=960)),
IF(MOD('(直掃)RX Mapping'!G21,120)=0, 120, 240-MOD('(直掃)RX Mapping'!G21,120)),9999))+IF(AND(MOD('(直掃)RX Mapping'!G21,120)=0, '(直掃)RX Mapping'!G21 &lt;= 480,  '(直掃)RX Mapping'!G21 &gt; 0), 120)</f>
        <v>199</v>
      </c>
      <c r="H21">
        <f>IF(
(AND('(直掃)RX Mapping'!H21&gt;=0,'(直掃)RX Mapping'!H21&lt;=480)),
(MOD('(直掃)RX Mapping'!H21,120)-1),
IF(
(AND('(直掃)RX Mapping'!H21&gt;=480,'(直掃)RX Mapping'!H21&lt;=960)),
IF(MOD('(直掃)RX Mapping'!H21,120)=0, 120, 240-MOD('(直掃)RX Mapping'!H21,120)),9999))+IF(AND(MOD('(直掃)RX Mapping'!H21,120)=0, '(直掃)RX Mapping'!H21 &lt;= 480,  '(直掃)RX Mapping'!H21 &gt; 0), 120)</f>
        <v>139</v>
      </c>
      <c r="I21">
        <f>IF(
(AND('(直掃)RX Mapping'!I21&gt;=0,'(直掃)RX Mapping'!I21&lt;=480)),
(MOD('(直掃)RX Mapping'!I21,120)-1),
IF(
(AND('(直掃)RX Mapping'!I21&gt;=480,'(直掃)RX Mapping'!I21&lt;=960)),
IF(MOD('(直掃)RX Mapping'!I21,120)=0, 120, 240-MOD('(直掃)RX Mapping'!I21,120)),9999))+IF(AND(MOD('(直掃)RX Mapping'!I21,120)=0, '(直掃)RX Mapping'!I21 &lt;= 480,  '(直掃)RX Mapping'!I21 &gt; 0), 120)</f>
        <v>169</v>
      </c>
      <c r="J21">
        <f>IF(
(AND('(直掃)RX Mapping'!J21&gt;=0,'(直掃)RX Mapping'!J21&lt;=480)),
(MOD('(直掃)RX Mapping'!J21,120)-1),
IF(
(AND('(直掃)RX Mapping'!J21&gt;=480,'(直掃)RX Mapping'!J21&lt;=960)),
IF(MOD('(直掃)RX Mapping'!J21,120)=0, 120, 240-MOD('(直掃)RX Mapping'!J21,120)),9999))+IF(AND(MOD('(直掃)RX Mapping'!J21,120)=0, '(直掃)RX Mapping'!J21 &lt;= 480,  '(直掃)RX Mapping'!J21 &gt; 0), 120)</f>
        <v>199</v>
      </c>
      <c r="K21">
        <f>IF(
(AND('(直掃)RX Mapping'!K21&gt;=0,'(直掃)RX Mapping'!K21&lt;=480)),
(MOD('(直掃)RX Mapping'!K21,120)-1),
IF(
(AND('(直掃)RX Mapping'!K21&gt;=480,'(直掃)RX Mapping'!K21&lt;=960)),
IF(MOD('(直掃)RX Mapping'!K21,120)=0, 120, 240-MOD('(直掃)RX Mapping'!K21,120)),9999))+IF(AND(MOD('(直掃)RX Mapping'!K21,120)=0, '(直掃)RX Mapping'!K21 &lt;= 480,  '(直掃)RX Mapping'!K21 &gt; 0), 120)</f>
        <v>229</v>
      </c>
      <c r="L21">
        <f>IF(
(AND('(直掃)RX Mapping'!L21&gt;=0,'(直掃)RX Mapping'!L21&lt;=480)),
(MOD('(直掃)RX Mapping'!L21,120)-1),
IF(
(AND('(直掃)RX Mapping'!L21&gt;=480,'(直掃)RX Mapping'!L21&lt;=960)),
IF(MOD('(直掃)RX Mapping'!L21,120)=0, 120, 240-MOD('(直掃)RX Mapping'!L21,120)),9999))+IF(AND(MOD('(直掃)RX Mapping'!L21,120)=0, '(直掃)RX Mapping'!L21 &lt;= 480,  '(直掃)RX Mapping'!L21 &gt; 0), 120)</f>
        <v>139</v>
      </c>
      <c r="M21">
        <f>IF(
(AND('(直掃)RX Mapping'!M21&gt;=0,'(直掃)RX Mapping'!M21&lt;=480)),
(MOD('(直掃)RX Mapping'!M21,120)-1),
IF(
(AND('(直掃)RX Mapping'!M21&gt;=480,'(直掃)RX Mapping'!M21&lt;=960)),
IF(MOD('(直掃)RX Mapping'!M21,120)=0, 120, 240-MOD('(直掃)RX Mapping'!M21,120)),9999))+IF(AND(MOD('(直掃)RX Mapping'!M21,120)=0, '(直掃)RX Mapping'!M21 &lt;= 480,  '(直掃)RX Mapping'!M21 &gt; 0), 120)</f>
        <v>169</v>
      </c>
      <c r="N21">
        <f>IF(
(AND('(直掃)RX Mapping'!N21&gt;=0,'(直掃)RX Mapping'!N21&lt;=480)),
(MOD('(直掃)RX Mapping'!N21,120)-1),
IF(
(AND('(直掃)RX Mapping'!N21&gt;=480,'(直掃)RX Mapping'!N21&lt;=960)),
IF(MOD('(直掃)RX Mapping'!N21,120)=0, 120, 240-MOD('(直掃)RX Mapping'!N21,120)),9999))+IF(AND(MOD('(直掃)RX Mapping'!N21,120)=0, '(直掃)RX Mapping'!N21 &lt;= 480,  '(直掃)RX Mapping'!N21 &gt; 0), 120)</f>
        <v>199</v>
      </c>
      <c r="O21">
        <f>IF(
(AND('(直掃)RX Mapping'!O21&gt;=0,'(直掃)RX Mapping'!O21&lt;=480)),
(MOD('(直掃)RX Mapping'!O21,120)-1),
IF(
(AND('(直掃)RX Mapping'!O21&gt;=480,'(直掃)RX Mapping'!O21&lt;=960)),
IF(MOD('(直掃)RX Mapping'!O21,120)=0, 120, 240-MOD('(直掃)RX Mapping'!O21,120)),9999))+IF(AND(MOD('(直掃)RX Mapping'!O21,120)=0, '(直掃)RX Mapping'!O21 &lt;= 480,  '(直掃)RX Mapping'!O21 &gt; 0), 120)</f>
        <v>229</v>
      </c>
      <c r="P21">
        <f>IF(
(AND('(直掃)RX Mapping'!P21&gt;=0,'(直掃)RX Mapping'!P21&lt;=480)),
(MOD('(直掃)RX Mapping'!P21,120)-1),
IF(
(AND('(直掃)RX Mapping'!P21&gt;=480,'(直掃)RX Mapping'!P21&lt;=960)),
IF(MOD('(直掃)RX Mapping'!P21,120)=0, 120, 240-MOD('(直掃)RX Mapping'!P21,120)),9999))+IF(AND(MOD('(直掃)RX Mapping'!P21,120)=0, '(直掃)RX Mapping'!P21 &lt;= 480,  '(直掃)RX Mapping'!P21 &gt; 0), 120)</f>
        <v>100</v>
      </c>
      <c r="Q21">
        <f>IF(
(AND('(直掃)RX Mapping'!Q21&gt;=0,'(直掃)RX Mapping'!Q21&lt;=480)),
(MOD('(直掃)RX Mapping'!Q21,120)-1),
IF(
(AND('(直掃)RX Mapping'!Q21&gt;=480,'(直掃)RX Mapping'!Q21&lt;=960)),
IF(MOD('(直掃)RX Mapping'!Q21,120)=0, 120, 240-MOD('(直掃)RX Mapping'!Q21,120)),9999))+IF(AND(MOD('(直掃)RX Mapping'!Q21,120)=0, '(直掃)RX Mapping'!Q21 &lt;= 480,  '(直掃)RX Mapping'!Q21 &gt; 0), 120)</f>
        <v>70</v>
      </c>
      <c r="R21">
        <f>IF(
(AND('(直掃)RX Mapping'!R21&gt;=0,'(直掃)RX Mapping'!R21&lt;=480)),
(MOD('(直掃)RX Mapping'!R21,120)-1),
IF(
(AND('(直掃)RX Mapping'!R21&gt;=480,'(直掃)RX Mapping'!R21&lt;=960)),
IF(MOD('(直掃)RX Mapping'!R21,120)=0, 120, 240-MOD('(直掃)RX Mapping'!R21,120)),9999))+IF(AND(MOD('(直掃)RX Mapping'!R21,120)=0, '(直掃)RX Mapping'!R21 &lt;= 480,  '(直掃)RX Mapping'!R21 &gt; 0), 120)</f>
        <v>40</v>
      </c>
      <c r="S21">
        <f>IF(
(AND('(直掃)RX Mapping'!S21&gt;=0,'(直掃)RX Mapping'!S21&lt;=480)),
(MOD('(直掃)RX Mapping'!S21,120)-1),
IF(
(AND('(直掃)RX Mapping'!S21&gt;=480,'(直掃)RX Mapping'!S21&lt;=960)),
IF(MOD('(直掃)RX Mapping'!S21,120)=0, 120, 240-MOD('(直掃)RX Mapping'!S21,120)),9999))+IF(AND(MOD('(直掃)RX Mapping'!S21,120)=0, '(直掃)RX Mapping'!S21 &lt;= 480,  '(直掃)RX Mapping'!S21 &gt; 0), 120)</f>
        <v>10</v>
      </c>
      <c r="T21">
        <f>IF(
(AND('(直掃)RX Mapping'!T21&gt;=0,'(直掃)RX Mapping'!T21&lt;=480)),
(MOD('(直掃)RX Mapping'!T21,120)-1),
IF(
(AND('(直掃)RX Mapping'!T21&gt;=480,'(直掃)RX Mapping'!T21&lt;=960)),
IF(MOD('(直掃)RX Mapping'!T21,120)=0, 120, 240-MOD('(直掃)RX Mapping'!T21,120)),9999))+IF(AND(MOD('(直掃)RX Mapping'!T21,120)=0, '(直掃)RX Mapping'!T21 &lt;= 480,  '(直掃)RX Mapping'!T21 &gt; 0), 120)</f>
        <v>100</v>
      </c>
      <c r="U21">
        <f>IF(
(AND('(直掃)RX Mapping'!U21&gt;=0,'(直掃)RX Mapping'!U21&lt;=480)),
(MOD('(直掃)RX Mapping'!U21,120)-1),
IF(
(AND('(直掃)RX Mapping'!U21&gt;=480,'(直掃)RX Mapping'!U21&lt;=960)),
IF(MOD('(直掃)RX Mapping'!U21,120)=0, 120, 240-MOD('(直掃)RX Mapping'!U21,120)),9999))+IF(AND(MOD('(直掃)RX Mapping'!U21,120)=0, '(直掃)RX Mapping'!U21 &lt;= 480,  '(直掃)RX Mapping'!U21 &gt; 0), 120)</f>
        <v>70</v>
      </c>
      <c r="V21">
        <f>IF(
(AND('(直掃)RX Mapping'!V21&gt;=0,'(直掃)RX Mapping'!V21&lt;=480)),
(MOD('(直掃)RX Mapping'!V21,120)-1),
IF(
(AND('(直掃)RX Mapping'!V21&gt;=480,'(直掃)RX Mapping'!V21&lt;=960)),
IF(MOD('(直掃)RX Mapping'!V21,120)=0, 120, 240-MOD('(直掃)RX Mapping'!V21,120)),9999))+IF(AND(MOD('(直掃)RX Mapping'!V21,120)=0, '(直掃)RX Mapping'!V21 &lt;= 480,  '(直掃)RX Mapping'!V21 &gt; 0), 120)</f>
        <v>40</v>
      </c>
      <c r="W21">
        <f>IF(
(AND('(直掃)RX Mapping'!W21&gt;=0,'(直掃)RX Mapping'!W21&lt;=480)),
(MOD('(直掃)RX Mapping'!W21,120)-1),
IF(
(AND('(直掃)RX Mapping'!W21&gt;=480,'(直掃)RX Mapping'!W21&lt;=960)),
IF(MOD('(直掃)RX Mapping'!W21,120)=0, 120, 240-MOD('(直掃)RX Mapping'!W21,120)),9999))+IF(AND(MOD('(直掃)RX Mapping'!W21,120)=0, '(直掃)RX Mapping'!W21 &lt;= 480,  '(直掃)RX Mapping'!W21 &gt; 0), 120)</f>
        <v>10</v>
      </c>
      <c r="X21">
        <f>IF(
(AND('(直掃)RX Mapping'!X21&gt;=0,'(直掃)RX Mapping'!X21&lt;=480)),
(MOD('(直掃)RX Mapping'!X21,120)-1),
IF(
(AND('(直掃)RX Mapping'!X21&gt;=480,'(直掃)RX Mapping'!X21&lt;=960)),
IF(MOD('(直掃)RX Mapping'!X21,120)=0, 120, 240-MOD('(直掃)RX Mapping'!X21,120)),9999))+IF(AND(MOD('(直掃)RX Mapping'!X21,120)=0, '(直掃)RX Mapping'!X21 &lt;= 480,  '(直掃)RX Mapping'!X21 &gt; 0), 120)</f>
        <v>70</v>
      </c>
      <c r="Y21">
        <f>IF(
(AND('(直掃)RX Mapping'!Y21&gt;=0,'(直掃)RX Mapping'!Y21&lt;=480)),
(MOD('(直掃)RX Mapping'!Y21,120)-1),
IF(
(AND('(直掃)RX Mapping'!Y21&gt;=480,'(直掃)RX Mapping'!Y21&lt;=960)),
IF(MOD('(直掃)RX Mapping'!Y21,120)=0, 120, 240-MOD('(直掃)RX Mapping'!Y21,120)),9999))+IF(AND(MOD('(直掃)RX Mapping'!Y21,120)=0, '(直掃)RX Mapping'!Y21 &lt;= 480,  '(直掃)RX Mapping'!Y21 &gt; 0), 120)</f>
        <v>40</v>
      </c>
      <c r="Z21">
        <f>IF(
(AND('(直掃)RX Mapping'!Z21&gt;=0,'(直掃)RX Mapping'!Z21&lt;=480)),
(MOD('(直掃)RX Mapping'!Z21,120)-1),
IF(
(AND('(直掃)RX Mapping'!Z21&gt;=480,'(直掃)RX Mapping'!Z21&lt;=960)),
IF(MOD('(直掃)RX Mapping'!Z21,120)=0, 120, 240-MOD('(直掃)RX Mapping'!Z21,120)),9999))+IF(AND(MOD('(直掃)RX Mapping'!Z21,120)=0, '(直掃)RX Mapping'!Z21 &lt;= 480,  '(直掃)RX Mapping'!Z21 &gt; 0), 120)</f>
        <v>10</v>
      </c>
      <c r="AA21">
        <f>IF(
(AND('(直掃)RX Mapping'!AA21&gt;=0,'(直掃)RX Mapping'!AA21&lt;=480)),
(MOD('(直掃)RX Mapping'!AA21,120)-1),
IF(
(AND('(直掃)RX Mapping'!AA21&gt;=480,'(直掃)RX Mapping'!AA21&lt;=960)),
IF(MOD('(直掃)RX Mapping'!AA21,120)=0, 120, 240-MOD('(直掃)RX Mapping'!AA21,120)),9999))+IF(AND(MOD('(直掃)RX Mapping'!AA21,120)=0, '(直掃)RX Mapping'!AA21 &lt;= 480,  '(直掃)RX Mapping'!AA21 &gt; 0), 120)</f>
        <v>70</v>
      </c>
      <c r="AB21">
        <f>IF(
(AND('(直掃)RX Mapping'!AB21&gt;=0,'(直掃)RX Mapping'!AB21&lt;=480)),
(MOD('(直掃)RX Mapping'!AB21,120)-1),
IF(
(AND('(直掃)RX Mapping'!AB21&gt;=480,'(直掃)RX Mapping'!AB21&lt;=960)),
IF(MOD('(直掃)RX Mapping'!AB21,120)=0, 120, 240-MOD('(直掃)RX Mapping'!AB21,120)),9999))+IF(AND(MOD('(直掃)RX Mapping'!AB21,120)=0, '(直掃)RX Mapping'!AB21 &lt;= 480,  '(直掃)RX Mapping'!AB21 &gt; 0), 120)</f>
        <v>40</v>
      </c>
      <c r="AC21">
        <f>IF(
(AND('(直掃)RX Mapping'!AC21&gt;=0,'(直掃)RX Mapping'!AC21&lt;=480)),
(MOD('(直掃)RX Mapping'!AC21,120)-1),
IF(
(AND('(直掃)RX Mapping'!AC21&gt;=480,'(直掃)RX Mapping'!AC21&lt;=960)),
IF(MOD('(直掃)RX Mapping'!AC21,120)=0, 120, 240-MOD('(直掃)RX Mapping'!AC21,120)),9999))+IF(AND(MOD('(直掃)RX Mapping'!AC21,120)=0, '(直掃)RX Mapping'!AC21 &lt;= 480,  '(直掃)RX Mapping'!AC21 &gt; 0), 120)</f>
        <v>10</v>
      </c>
      <c r="AD21">
        <f>IF(
(AND('(直掃)RX Mapping'!AD21&gt;=0,'(直掃)RX Mapping'!AD21&lt;=480)),
(MOD('(直掃)RX Mapping'!AD21,120)-1),
IF(
(AND('(直掃)RX Mapping'!AD21&gt;=480,'(直掃)RX Mapping'!AD21&lt;=960)),
IF(MOD('(直掃)RX Mapping'!AD21,120)=0, 120, 240-MOD('(直掃)RX Mapping'!AD21,120)),9999))+IF(AND(MOD('(直掃)RX Mapping'!AD21,120)=0, '(直掃)RX Mapping'!AD21 &lt;= 480,  '(直掃)RX Mapping'!AD21 &gt; 0), 120)</f>
        <v>-1</v>
      </c>
      <c r="AE21">
        <f>IF(
(AND('(直掃)RX Mapping'!AE21&gt;=0,'(直掃)RX Mapping'!AE21&lt;=480)),
(MOD('(直掃)RX Mapping'!AE21,120)-1),
IF(
(AND('(直掃)RX Mapping'!AE21&gt;=480,'(直掃)RX Mapping'!AE21&lt;=960)),
IF(MOD('(直掃)RX Mapping'!AE21,120)=0, 120, 240-MOD('(直掃)RX Mapping'!AE21,120)),9999))+IF(AND(MOD('(直掃)RX Mapping'!AE21,120)=0, '(直掃)RX Mapping'!AE21 &lt;= 480,  '(直掃)RX Mapping'!AE21 &gt; 0), 120)</f>
        <v>-1</v>
      </c>
      <c r="AF21">
        <f>IF(
(AND('(直掃)RX Mapping'!AF21&gt;=0,'(直掃)RX Mapping'!AF21&lt;=480)),
(MOD('(直掃)RX Mapping'!AF21,120)-1),
IF(
(AND('(直掃)RX Mapping'!AF21&gt;=480,'(直掃)RX Mapping'!AF21&lt;=960)),
IF(MOD('(直掃)RX Mapping'!AF21,120)=0, 120, 240-MOD('(直掃)RX Mapping'!AF21,120)),9999))+IF(AND(MOD('(直掃)RX Mapping'!AF21,120)=0, '(直掃)RX Mapping'!AF21 &lt;= 480,  '(直掃)RX Mapping'!AF21 &gt; 0), 120)</f>
        <v>-1</v>
      </c>
      <c r="AG21">
        <f>IF(
(AND('(直掃)RX Mapping'!AG21&gt;=0,'(直掃)RX Mapping'!AG21&lt;=480)),
(MOD('(直掃)RX Mapping'!AG21,120)-1),
IF(
(AND('(直掃)RX Mapping'!AG21&gt;=480,'(直掃)RX Mapping'!AG21&lt;=960)),
IF(MOD('(直掃)RX Mapping'!AG21,120)=0, 120, 240-MOD('(直掃)RX Mapping'!AG21,120)),9999))+IF(AND(MOD('(直掃)RX Mapping'!AG21,120)=0, '(直掃)RX Mapping'!AG21 &lt;= 480,  '(直掃)RX Mapping'!AG21 &gt; 0), 120)</f>
        <v>-1</v>
      </c>
      <c r="AH21">
        <f>IF(
(AND('(直掃)RX Mapping'!AH21&gt;=0,'(直掃)RX Mapping'!AH21&lt;=480)),
(MOD('(直掃)RX Mapping'!AH21,120)-1),
IF(
(AND('(直掃)RX Mapping'!AH21&gt;=480,'(直掃)RX Mapping'!AH21&lt;=960)),
IF(MOD('(直掃)RX Mapping'!AH21,120)=0, 120, 240-MOD('(直掃)RX Mapping'!AH21,120)),9999))+IF(AND(MOD('(直掃)RX Mapping'!AH21,120)=0, '(直掃)RX Mapping'!AH21 &lt;= 480,  '(直掃)RX Mapping'!AH21 &gt; 0), 120)</f>
        <v>-1</v>
      </c>
      <c r="AI21">
        <f>IF(
(AND('(直掃)RX Mapping'!AI21&gt;=0,'(直掃)RX Mapping'!AI21&lt;=480)),
(MOD('(直掃)RX Mapping'!AI21,120)-1),
IF(
(AND('(直掃)RX Mapping'!AI21&gt;=480,'(直掃)RX Mapping'!AI21&lt;=960)),
IF(MOD('(直掃)RX Mapping'!AI21,120)=0, 120, 240-MOD('(直掃)RX Mapping'!AI21,120)),9999))+IF(AND(MOD('(直掃)RX Mapping'!AI21,120)=0, '(直掃)RX Mapping'!AI21 &lt;= 480,  '(直掃)RX Mapping'!AI21 &gt; 0), 120)</f>
        <v>-1</v>
      </c>
      <c r="AJ21">
        <f>IF(
(AND('(直掃)RX Mapping'!AJ21&gt;=0,'(直掃)RX Mapping'!AJ21&lt;=480)),
(MOD('(直掃)RX Mapping'!AJ21,120)-1),
IF(
(AND('(直掃)RX Mapping'!AJ21&gt;=480,'(直掃)RX Mapping'!AJ21&lt;=960)),
IF(MOD('(直掃)RX Mapping'!AJ21,120)=0, 120, 240-MOD('(直掃)RX Mapping'!AJ21,120)),9999))+IF(AND(MOD('(直掃)RX Mapping'!AJ21,120)=0, '(直掃)RX Mapping'!AJ21 &lt;= 480,  '(直掃)RX Mapping'!AJ21 &gt; 0), 120)</f>
        <v>-1</v>
      </c>
      <c r="AK21">
        <f>IF(
(AND('(直掃)RX Mapping'!AK21&gt;=0,'(直掃)RX Mapping'!AK21&lt;=480)),
(MOD('(直掃)RX Mapping'!AK21,120)-1),
IF(
(AND('(直掃)RX Mapping'!AK21&gt;=480,'(直掃)RX Mapping'!AK21&lt;=960)),
IF(MOD('(直掃)RX Mapping'!AK21,120)=0, 120, 240-MOD('(直掃)RX Mapping'!AK21,120)),9999))+IF(AND(MOD('(直掃)RX Mapping'!AK21,120)=0, '(直掃)RX Mapping'!AK21 &lt;= 480,  '(直掃)RX Mapping'!AK21 &gt; 0), 120)</f>
        <v>-1</v>
      </c>
      <c r="AL21">
        <f>IF(
(AND('(直掃)RX Mapping'!AL21&gt;=0,'(直掃)RX Mapping'!AL21&lt;=480)),
(MOD('(直掃)RX Mapping'!AL21,120)-1),
IF(
(AND('(直掃)RX Mapping'!AL21&gt;=480,'(直掃)RX Mapping'!AL21&lt;=960)),
IF(MOD('(直掃)RX Mapping'!AL21,120)=0, 120, 240-MOD('(直掃)RX Mapping'!AL21,120)),9999))+IF(AND(MOD('(直掃)RX Mapping'!AL21,120)=0, '(直掃)RX Mapping'!AL21 &lt;= 480,  '(直掃)RX Mapping'!AL21 &gt; 0), 120)</f>
        <v>-1</v>
      </c>
      <c r="AM21">
        <f>IF(
(AND('(直掃)RX Mapping'!AM21&gt;=0,'(直掃)RX Mapping'!AM21&lt;=480)),
(MOD('(直掃)RX Mapping'!AM21,120)-1),
IF(
(AND('(直掃)RX Mapping'!AM21&gt;=480,'(直掃)RX Mapping'!AM21&lt;=960)),
IF(MOD('(直掃)RX Mapping'!AM21,120)=0, 120, 240-MOD('(直掃)RX Mapping'!AM21,120)),9999))+IF(AND(MOD('(直掃)RX Mapping'!AM21,120)=0, '(直掃)RX Mapping'!AM21 &lt;= 480,  '(直掃)RX Mapping'!AM21 &gt; 0), 120)</f>
        <v>-1</v>
      </c>
      <c r="AN21">
        <f>IF(
(AND('(直掃)RX Mapping'!AN21&gt;=0,'(直掃)RX Mapping'!AN21&lt;=480)),
(MOD('(直掃)RX Mapping'!AN21,120)-1),
IF(
(AND('(直掃)RX Mapping'!AN21&gt;=480,'(直掃)RX Mapping'!AN21&lt;=960)),
IF(MOD('(直掃)RX Mapping'!AN21,120)=0, 120, 240-MOD('(直掃)RX Mapping'!AN21,120)),9999))+IF(AND(MOD('(直掃)RX Mapping'!AN21,120)=0, '(直掃)RX Mapping'!AN21 &lt;= 480,  '(直掃)RX Mapping'!AN21 &gt; 0), 120)</f>
        <v>-1</v>
      </c>
      <c r="AO21">
        <f>IF(
(AND('(直掃)RX Mapping'!AO21&gt;=0,'(直掃)RX Mapping'!AO21&lt;=480)),
(MOD('(直掃)RX Mapping'!AO21,120)-1),
IF(
(AND('(直掃)RX Mapping'!AO21&gt;=480,'(直掃)RX Mapping'!AO21&lt;=960)),
IF(MOD('(直掃)RX Mapping'!AO21,120)=0, 120, 240-MOD('(直掃)RX Mapping'!AO21,120)),9999))+IF(AND(MOD('(直掃)RX Mapping'!AO21,120)=0, '(直掃)RX Mapping'!AO21 &lt;= 480,  '(直掃)RX Mapping'!AO21 &gt; 0), 120)</f>
        <v>-1</v>
      </c>
      <c r="AP21">
        <f>IF(
(AND('(直掃)RX Mapping'!AP21&gt;=0,'(直掃)RX Mapping'!AP21&lt;=480)),
(MOD('(直掃)RX Mapping'!AP21,120)-1),
IF(
(AND('(直掃)RX Mapping'!AP21&gt;=480,'(直掃)RX Mapping'!AP21&lt;=960)),
IF(MOD('(直掃)RX Mapping'!AP21,120)=0, 120, 240-MOD('(直掃)RX Mapping'!AP21,120)),9999))+IF(AND(MOD('(直掃)RX Mapping'!AP21,120)=0, '(直掃)RX Mapping'!AP21 &lt;= 480,  '(直掃)RX Mapping'!AP21 &gt; 0), 120)</f>
        <v>-1</v>
      </c>
      <c r="AQ21">
        <f>IF(
(AND('(直掃)RX Mapping'!AQ21&gt;=0,'(直掃)RX Mapping'!AQ21&lt;=480)),
(MOD('(直掃)RX Mapping'!AQ21,120)-1),
IF(
(AND('(直掃)RX Mapping'!AQ21&gt;=480,'(直掃)RX Mapping'!AQ21&lt;=960)),
IF(MOD('(直掃)RX Mapping'!AQ21,120)=0, 120, 240-MOD('(直掃)RX Mapping'!AQ21,120)),9999))+IF(AND(MOD('(直掃)RX Mapping'!AQ21,120)=0, '(直掃)RX Mapping'!AQ21 &lt;= 480,  '(直掃)RX Mapping'!AQ21 &gt; 0), 120)</f>
        <v>-1</v>
      </c>
      <c r="AR21">
        <f>IF(
(AND('(直掃)RX Mapping'!AR21&gt;=0,'(直掃)RX Mapping'!AR21&lt;=480)),
(MOD('(直掃)RX Mapping'!AR21,120)-1),
IF(
(AND('(直掃)RX Mapping'!AR21&gt;=480,'(直掃)RX Mapping'!AR21&lt;=960)),
IF(MOD('(直掃)RX Mapping'!AR21,120)=0, 120, 240-MOD('(直掃)RX Mapping'!AR21,120)),9999))+IF(AND(MOD('(直掃)RX Mapping'!AR21,120)=0, '(直掃)RX Mapping'!AR21 &lt;= 480,  '(直掃)RX Mapping'!AR21 &gt; 0), 120)</f>
        <v>-1</v>
      </c>
      <c r="AS21">
        <f>IF(
(AND('(直掃)RX Mapping'!AS21&gt;=0,'(直掃)RX Mapping'!AS21&lt;=480)),
(MOD('(直掃)RX Mapping'!AS21,120)-1),
IF(
(AND('(直掃)RX Mapping'!AS21&gt;=480,'(直掃)RX Mapping'!AS21&lt;=960)),
IF(MOD('(直掃)RX Mapping'!AS21,120)=0, 120, 240-MOD('(直掃)RX Mapping'!AS21,120)),9999))+IF(AND(MOD('(直掃)RX Mapping'!AS21,120)=0, '(直掃)RX Mapping'!AS21 &lt;= 480,  '(直掃)RX Mapping'!AS21 &gt; 0), 120)</f>
        <v>-1</v>
      </c>
      <c r="AT21">
        <f>IF(AND('(橫掃)RX Mapping'!AT21&gt;=1,'(橫掃)RX Mapping'!AT21&lt;=120), ('(橫掃)RX Mapping'!AT21-1),IF(AND('(橫掃)RX Mapping'!AT21&gt;=121,'(橫掃)RX Mapping'!AT21&lt;=240), (-1)*('(橫掃)RX Mapping'!AT21-240),IF(AND('(橫掃)RX Mapping'!AT21&gt;=241,'(橫掃)RX Mapping'!AT21&lt;=360), ('(橫掃)RX Mapping'!AT21-241),IF(AND('(橫掃)RX Mapping'!AT21&gt;=361,'(橫掃)RX Mapping'!AT21&lt;=480), (-1)*('(橫掃)RX Mapping'!AT21-480),IF(AND('(橫掃)RX Mapping'!AT21&gt;=481,'(橫掃)RX Mapping'!AT21&lt;=600), ('(橫掃)RX Mapping'!AT21-361),IF(AND('(橫掃)RX Mapping'!AT21&gt;=601,'(橫掃)RX Mapping'!AT21&lt;=720), (-1)*('(橫掃)RX Mapping'!AT21-720)+120,IF(AND('(橫掃)RX Mapping'!AT21&gt;=721,'(橫掃)RX Mapping'!AT21&lt;=840), ('(橫掃)RX Mapping'!AT21-601),IF(AND('(橫掃)RX Mapping'!AT21&gt;=841,'(橫掃)RX Mapping'!AT21&lt;=960), (-1)*('(橫掃)RX Mapping'!AT21-960)+120,9999))))))))</f>
        <v>9999</v>
      </c>
      <c r="AU21">
        <f>IF(AND('(橫掃)RX Mapping'!AU21&gt;=1,'(橫掃)RX Mapping'!AU21&lt;=120), ('(橫掃)RX Mapping'!AU21-1),IF(AND('(橫掃)RX Mapping'!AU21&gt;=121,'(橫掃)RX Mapping'!AU21&lt;=240), (-1)*('(橫掃)RX Mapping'!AU21-240),IF(AND('(橫掃)RX Mapping'!AU21&gt;=241,'(橫掃)RX Mapping'!AU21&lt;=360), ('(橫掃)RX Mapping'!AU21-241),IF(AND('(橫掃)RX Mapping'!AU21&gt;=361,'(橫掃)RX Mapping'!AU21&lt;=480), (-1)*('(橫掃)RX Mapping'!AU21-480),IF(AND('(橫掃)RX Mapping'!AU21&gt;=481,'(橫掃)RX Mapping'!AU21&lt;=600), ('(橫掃)RX Mapping'!AU21-361),IF(AND('(橫掃)RX Mapping'!AU21&gt;=601,'(橫掃)RX Mapping'!AU21&lt;=720), (-1)*('(橫掃)RX Mapping'!AU21-720)+120,IF(AND('(橫掃)RX Mapping'!AU21&gt;=721,'(橫掃)RX Mapping'!AU21&lt;=840), ('(橫掃)RX Mapping'!AU21-601),IF(AND('(橫掃)RX Mapping'!AU21&gt;=841,'(橫掃)RX Mapping'!AU21&lt;=960), (-1)*('(橫掃)RX Mapping'!AU21-960)+120,9999))))))))</f>
        <v>9999</v>
      </c>
      <c r="AV21">
        <f>IF(AND('(橫掃)RX Mapping'!AV21&gt;=1,'(橫掃)RX Mapping'!AV21&lt;=120), ('(橫掃)RX Mapping'!AV21-1),IF(AND('(橫掃)RX Mapping'!AV21&gt;=121,'(橫掃)RX Mapping'!AV21&lt;=240), (-1)*('(橫掃)RX Mapping'!AV21-240),IF(AND('(橫掃)RX Mapping'!AV21&gt;=241,'(橫掃)RX Mapping'!AV21&lt;=360), ('(橫掃)RX Mapping'!AV21-241),IF(AND('(橫掃)RX Mapping'!AV21&gt;=361,'(橫掃)RX Mapping'!AV21&lt;=480), (-1)*('(橫掃)RX Mapping'!AV21-480),IF(AND('(橫掃)RX Mapping'!AV21&gt;=481,'(橫掃)RX Mapping'!AV21&lt;=600), ('(橫掃)RX Mapping'!AV21-361),IF(AND('(橫掃)RX Mapping'!AV21&gt;=601,'(橫掃)RX Mapping'!AV21&lt;=720), (-1)*('(橫掃)RX Mapping'!AV21-720)+120,IF(AND('(橫掃)RX Mapping'!AV21&gt;=721,'(橫掃)RX Mapping'!AV21&lt;=840), ('(橫掃)RX Mapping'!AV21-601),IF(AND('(橫掃)RX Mapping'!AV21&gt;=841,'(橫掃)RX Mapping'!AV21&lt;=960), (-1)*('(橫掃)RX Mapping'!AV21-960)+120,9999))))))))</f>
        <v>9999</v>
      </c>
      <c r="AW21">
        <f>IF(AND('(橫掃)RX Mapping'!AW21&gt;=1,'(橫掃)RX Mapping'!AW21&lt;=120), ('(橫掃)RX Mapping'!AW21-1),IF(AND('(橫掃)RX Mapping'!AW21&gt;=121,'(橫掃)RX Mapping'!AW21&lt;=240), (-1)*('(橫掃)RX Mapping'!AW21-240),IF(AND('(橫掃)RX Mapping'!AW21&gt;=241,'(橫掃)RX Mapping'!AW21&lt;=360), ('(橫掃)RX Mapping'!AW21-241),IF(AND('(橫掃)RX Mapping'!AW21&gt;=361,'(橫掃)RX Mapping'!AW21&lt;=480), (-1)*('(橫掃)RX Mapping'!AW21-480),IF(AND('(橫掃)RX Mapping'!AW21&gt;=481,'(橫掃)RX Mapping'!AW21&lt;=600), ('(橫掃)RX Mapping'!AW21-361),IF(AND('(橫掃)RX Mapping'!AW21&gt;=601,'(橫掃)RX Mapping'!AW21&lt;=720), (-1)*('(橫掃)RX Mapping'!AW21-720)+120,IF(AND('(橫掃)RX Mapping'!AW21&gt;=721,'(橫掃)RX Mapping'!AW21&lt;=840), ('(橫掃)RX Mapping'!AW21-601),IF(AND('(橫掃)RX Mapping'!AW21&gt;=841,'(橫掃)RX Mapping'!AW21&lt;=960), (-1)*('(橫掃)RX Mapping'!AW21-960)+120,9999))))))))</f>
        <v>9999</v>
      </c>
      <c r="AX21">
        <f>IF(AND('(橫掃)RX Mapping'!AX21&gt;=1,'(橫掃)RX Mapping'!AX21&lt;=120), ('(橫掃)RX Mapping'!AX21-1),IF(AND('(橫掃)RX Mapping'!AX21&gt;=121,'(橫掃)RX Mapping'!AX21&lt;=240), (-1)*('(橫掃)RX Mapping'!AX21-240),IF(AND('(橫掃)RX Mapping'!AX21&gt;=241,'(橫掃)RX Mapping'!AX21&lt;=360), ('(橫掃)RX Mapping'!AX21-241),IF(AND('(橫掃)RX Mapping'!AX21&gt;=361,'(橫掃)RX Mapping'!AX21&lt;=480), (-1)*('(橫掃)RX Mapping'!AX21-480),IF(AND('(橫掃)RX Mapping'!AX21&gt;=481,'(橫掃)RX Mapping'!AX21&lt;=600), ('(橫掃)RX Mapping'!AX21-361),IF(AND('(橫掃)RX Mapping'!AX21&gt;=601,'(橫掃)RX Mapping'!AX21&lt;=720), (-1)*('(橫掃)RX Mapping'!AX21-720)+120,IF(AND('(橫掃)RX Mapping'!AX21&gt;=721,'(橫掃)RX Mapping'!AX21&lt;=840), ('(橫掃)RX Mapping'!AX21-601),IF(AND('(橫掃)RX Mapping'!AX21&gt;=841,'(橫掃)RX Mapping'!AX21&lt;=960), (-1)*('(橫掃)RX Mapping'!AX21-960)+120,9999))))))))</f>
        <v>9999</v>
      </c>
      <c r="AY21">
        <f>IF(AND('(橫掃)RX Mapping'!AY21&gt;=1,'(橫掃)RX Mapping'!AY21&lt;=120), ('(橫掃)RX Mapping'!AY21-1),IF(AND('(橫掃)RX Mapping'!AY21&gt;=121,'(橫掃)RX Mapping'!AY21&lt;=240), (-1)*('(橫掃)RX Mapping'!AY21-240),IF(AND('(橫掃)RX Mapping'!AY21&gt;=241,'(橫掃)RX Mapping'!AY21&lt;=360), ('(橫掃)RX Mapping'!AY21-241),IF(AND('(橫掃)RX Mapping'!AY21&gt;=361,'(橫掃)RX Mapping'!AY21&lt;=480), (-1)*('(橫掃)RX Mapping'!AY21-480),IF(AND('(橫掃)RX Mapping'!AY21&gt;=481,'(橫掃)RX Mapping'!AY21&lt;=600), ('(橫掃)RX Mapping'!AY21-361),IF(AND('(橫掃)RX Mapping'!AY21&gt;=601,'(橫掃)RX Mapping'!AY21&lt;=720), (-1)*('(橫掃)RX Mapping'!AY21-720)+120,IF(AND('(橫掃)RX Mapping'!AY21&gt;=721,'(橫掃)RX Mapping'!AY21&lt;=840), ('(橫掃)RX Mapping'!AY21-601),IF(AND('(橫掃)RX Mapping'!AY21&gt;=841,'(橫掃)RX Mapping'!AY21&lt;=960), (-1)*('(橫掃)RX Mapping'!AY21-960)+120,9999))))))))</f>
        <v>9999</v>
      </c>
      <c r="AZ21">
        <f>IF(AND('(橫掃)RX Mapping'!AZ21&gt;=1,'(橫掃)RX Mapping'!AZ21&lt;=120), ('(橫掃)RX Mapping'!AZ21-1),IF(AND('(橫掃)RX Mapping'!AZ21&gt;=121,'(橫掃)RX Mapping'!AZ21&lt;=240), (-1)*('(橫掃)RX Mapping'!AZ21-240),IF(AND('(橫掃)RX Mapping'!AZ21&gt;=241,'(橫掃)RX Mapping'!AZ21&lt;=360), ('(橫掃)RX Mapping'!AZ21-241),IF(AND('(橫掃)RX Mapping'!AZ21&gt;=361,'(橫掃)RX Mapping'!AZ21&lt;=480), (-1)*('(橫掃)RX Mapping'!AZ21-480),IF(AND('(橫掃)RX Mapping'!AZ21&gt;=481,'(橫掃)RX Mapping'!AZ21&lt;=600), ('(橫掃)RX Mapping'!AZ21-361),IF(AND('(橫掃)RX Mapping'!AZ21&gt;=601,'(橫掃)RX Mapping'!AZ21&lt;=720), (-1)*('(橫掃)RX Mapping'!AZ21-720)+120,IF(AND('(橫掃)RX Mapping'!AZ21&gt;=721,'(橫掃)RX Mapping'!AZ21&lt;=840), ('(橫掃)RX Mapping'!AZ21-601),IF(AND('(橫掃)RX Mapping'!AZ21&gt;=841,'(橫掃)RX Mapping'!AZ21&lt;=960), (-1)*('(橫掃)RX Mapping'!AZ21-960)+120,9999))))))))</f>
        <v>9999</v>
      </c>
      <c r="BA21">
        <f>IF(AND('(橫掃)RX Mapping'!BA21&gt;=1,'(橫掃)RX Mapping'!BA21&lt;=120), ('(橫掃)RX Mapping'!BA21-1),IF(AND('(橫掃)RX Mapping'!BA21&gt;=121,'(橫掃)RX Mapping'!BA21&lt;=240), (-1)*('(橫掃)RX Mapping'!BA21-240),IF(AND('(橫掃)RX Mapping'!BA21&gt;=241,'(橫掃)RX Mapping'!BA21&lt;=360), ('(橫掃)RX Mapping'!BA21-241),IF(AND('(橫掃)RX Mapping'!BA21&gt;=361,'(橫掃)RX Mapping'!BA21&lt;=480), (-1)*('(橫掃)RX Mapping'!BA21-480),IF(AND('(橫掃)RX Mapping'!BA21&gt;=481,'(橫掃)RX Mapping'!BA21&lt;=600), ('(橫掃)RX Mapping'!BA21-361),IF(AND('(橫掃)RX Mapping'!BA21&gt;=601,'(橫掃)RX Mapping'!BA21&lt;=720), (-1)*('(橫掃)RX Mapping'!BA21-720)+120,IF(AND('(橫掃)RX Mapping'!BA21&gt;=721,'(橫掃)RX Mapping'!BA21&lt;=840), ('(橫掃)RX Mapping'!BA21-601),IF(AND('(橫掃)RX Mapping'!BA21&gt;=841,'(橫掃)RX Mapping'!BA21&lt;=960), (-1)*('(橫掃)RX Mapping'!BA21-960)+120,9999))))))))</f>
        <v>9999</v>
      </c>
      <c r="BB21">
        <f>IF(AND('(橫掃)RX Mapping'!BB21&gt;=1,'(橫掃)RX Mapping'!BB21&lt;=120), ('(橫掃)RX Mapping'!BB21-1),IF(AND('(橫掃)RX Mapping'!BB21&gt;=121,'(橫掃)RX Mapping'!BB21&lt;=240), (-1)*('(橫掃)RX Mapping'!BB21-240),IF(AND('(橫掃)RX Mapping'!BB21&gt;=241,'(橫掃)RX Mapping'!BB21&lt;=360), ('(橫掃)RX Mapping'!BB21-241),IF(AND('(橫掃)RX Mapping'!BB21&gt;=361,'(橫掃)RX Mapping'!BB21&lt;=480), (-1)*('(橫掃)RX Mapping'!BB21-480),IF(AND('(橫掃)RX Mapping'!BB21&gt;=481,'(橫掃)RX Mapping'!BB21&lt;=600), ('(橫掃)RX Mapping'!BB21-361),IF(AND('(橫掃)RX Mapping'!BB21&gt;=601,'(橫掃)RX Mapping'!BB21&lt;=720), (-1)*('(橫掃)RX Mapping'!BB21-720)+120,IF(AND('(橫掃)RX Mapping'!BB21&gt;=721,'(橫掃)RX Mapping'!BB21&lt;=840), ('(橫掃)RX Mapping'!BB21-601),IF(AND('(橫掃)RX Mapping'!BB21&gt;=841,'(橫掃)RX Mapping'!BB21&lt;=960), (-1)*('(橫掃)RX Mapping'!BB21-960)+120,9999))))))))</f>
        <v>9999</v>
      </c>
      <c r="BC21">
        <f>IF(AND('(橫掃)RX Mapping'!BC21&gt;=1,'(橫掃)RX Mapping'!BC21&lt;=120), ('(橫掃)RX Mapping'!BC21-1),IF(AND('(橫掃)RX Mapping'!BC21&gt;=121,'(橫掃)RX Mapping'!BC21&lt;=240), (-1)*('(橫掃)RX Mapping'!BC21-240),IF(AND('(橫掃)RX Mapping'!BC21&gt;=241,'(橫掃)RX Mapping'!BC21&lt;=360), ('(橫掃)RX Mapping'!BC21-241),IF(AND('(橫掃)RX Mapping'!BC21&gt;=361,'(橫掃)RX Mapping'!BC21&lt;=480), (-1)*('(橫掃)RX Mapping'!BC21-480),IF(AND('(橫掃)RX Mapping'!BC21&gt;=481,'(橫掃)RX Mapping'!BC21&lt;=600), ('(橫掃)RX Mapping'!BC21-361),IF(AND('(橫掃)RX Mapping'!BC21&gt;=601,'(橫掃)RX Mapping'!BC21&lt;=720), (-1)*('(橫掃)RX Mapping'!BC21-720)+120,IF(AND('(橫掃)RX Mapping'!BC21&gt;=721,'(橫掃)RX Mapping'!BC21&lt;=840), ('(橫掃)RX Mapping'!BC21-601),IF(AND('(橫掃)RX Mapping'!BC21&gt;=841,'(橫掃)RX Mapping'!BC21&lt;=960), (-1)*('(橫掃)RX Mapping'!BC21-960)+120,9999))))))))</f>
        <v>9999</v>
      </c>
      <c r="BD21">
        <f>IF(AND('(橫掃)RX Mapping'!BD21&gt;=1,'(橫掃)RX Mapping'!BD21&lt;=120), ('(橫掃)RX Mapping'!BD21-1),IF(AND('(橫掃)RX Mapping'!BD21&gt;=121,'(橫掃)RX Mapping'!BD21&lt;=240), (-1)*('(橫掃)RX Mapping'!BD21-240),IF(AND('(橫掃)RX Mapping'!BD21&gt;=241,'(橫掃)RX Mapping'!BD21&lt;=360), ('(橫掃)RX Mapping'!BD21-241),IF(AND('(橫掃)RX Mapping'!BD21&gt;=361,'(橫掃)RX Mapping'!BD21&lt;=480), (-1)*('(橫掃)RX Mapping'!BD21-480),IF(AND('(橫掃)RX Mapping'!BD21&gt;=481,'(橫掃)RX Mapping'!BD21&lt;=600), ('(橫掃)RX Mapping'!BD21-361),IF(AND('(橫掃)RX Mapping'!BD21&gt;=601,'(橫掃)RX Mapping'!BD21&lt;=720), (-1)*('(橫掃)RX Mapping'!BD21-720)+120,IF(AND('(橫掃)RX Mapping'!BD21&gt;=721,'(橫掃)RX Mapping'!BD21&lt;=840), ('(橫掃)RX Mapping'!BD21-601),IF(AND('(橫掃)RX Mapping'!BD21&gt;=841,'(橫掃)RX Mapping'!BD21&lt;=960), (-1)*('(橫掃)RX Mapping'!BD21-960)+120,9999))))))))</f>
        <v>9999</v>
      </c>
      <c r="BE21">
        <f>IF(AND('(橫掃)RX Mapping'!BE21&gt;=1,'(橫掃)RX Mapping'!BE21&lt;=120), ('(橫掃)RX Mapping'!BE21-1),IF(AND('(橫掃)RX Mapping'!BE21&gt;=121,'(橫掃)RX Mapping'!BE21&lt;=240), (-1)*('(橫掃)RX Mapping'!BE21-240),IF(AND('(橫掃)RX Mapping'!BE21&gt;=241,'(橫掃)RX Mapping'!BE21&lt;=360), ('(橫掃)RX Mapping'!BE21-241),IF(AND('(橫掃)RX Mapping'!BE21&gt;=361,'(橫掃)RX Mapping'!BE21&lt;=480), (-1)*('(橫掃)RX Mapping'!BE21-480),IF(AND('(橫掃)RX Mapping'!BE21&gt;=481,'(橫掃)RX Mapping'!BE21&lt;=600), ('(橫掃)RX Mapping'!BE21-361),IF(AND('(橫掃)RX Mapping'!BE21&gt;=601,'(橫掃)RX Mapping'!BE21&lt;=720), (-1)*('(橫掃)RX Mapping'!BE21-720)+120,IF(AND('(橫掃)RX Mapping'!BE21&gt;=721,'(橫掃)RX Mapping'!BE21&lt;=840), ('(橫掃)RX Mapping'!BE21-601),IF(AND('(橫掃)RX Mapping'!BE21&gt;=841,'(橫掃)RX Mapping'!BE21&lt;=960), (-1)*('(橫掃)RX Mapping'!BE21-960)+120,9999))))))))</f>
        <v>9999</v>
      </c>
      <c r="BF21">
        <f>IF(AND('(橫掃)RX Mapping'!BF21&gt;=1,'(橫掃)RX Mapping'!BF21&lt;=120), ('(橫掃)RX Mapping'!BF21-1),IF(AND('(橫掃)RX Mapping'!BF21&gt;=121,'(橫掃)RX Mapping'!BF21&lt;=240), (-1)*('(橫掃)RX Mapping'!BF21-240),IF(AND('(橫掃)RX Mapping'!BF21&gt;=241,'(橫掃)RX Mapping'!BF21&lt;=360), ('(橫掃)RX Mapping'!BF21-241),IF(AND('(橫掃)RX Mapping'!BF21&gt;=361,'(橫掃)RX Mapping'!BF21&lt;=480), (-1)*('(橫掃)RX Mapping'!BF21-480),IF(AND('(橫掃)RX Mapping'!BF21&gt;=481,'(橫掃)RX Mapping'!BF21&lt;=600), ('(橫掃)RX Mapping'!BF21-361),IF(AND('(橫掃)RX Mapping'!BF21&gt;=601,'(橫掃)RX Mapping'!BF21&lt;=720), (-1)*('(橫掃)RX Mapping'!BF21-720)+120,IF(AND('(橫掃)RX Mapping'!BF21&gt;=721,'(橫掃)RX Mapping'!BF21&lt;=840), ('(橫掃)RX Mapping'!BF21-601),IF(AND('(橫掃)RX Mapping'!BF21&gt;=841,'(橫掃)RX Mapping'!BF21&lt;=960), (-1)*('(橫掃)RX Mapping'!BF21-960)+120,9999))))))))</f>
        <v>9999</v>
      </c>
      <c r="BG21">
        <f>IF(AND('(橫掃)RX Mapping'!BG21&gt;=1,'(橫掃)RX Mapping'!BG21&lt;=120), ('(橫掃)RX Mapping'!BG21-1),IF(AND('(橫掃)RX Mapping'!BG21&gt;=121,'(橫掃)RX Mapping'!BG21&lt;=240), (-1)*('(橫掃)RX Mapping'!BG21-240),IF(AND('(橫掃)RX Mapping'!BG21&gt;=241,'(橫掃)RX Mapping'!BG21&lt;=360), ('(橫掃)RX Mapping'!BG21-241),IF(AND('(橫掃)RX Mapping'!BG21&gt;=361,'(橫掃)RX Mapping'!BG21&lt;=480), (-1)*('(橫掃)RX Mapping'!BG21-480),IF(AND('(橫掃)RX Mapping'!BG21&gt;=481,'(橫掃)RX Mapping'!BG21&lt;=600), ('(橫掃)RX Mapping'!BG21-361),IF(AND('(橫掃)RX Mapping'!BG21&gt;=601,'(橫掃)RX Mapping'!BG21&lt;=720), (-1)*('(橫掃)RX Mapping'!BG21-720)+120,IF(AND('(橫掃)RX Mapping'!BG21&gt;=721,'(橫掃)RX Mapping'!BG21&lt;=840), ('(橫掃)RX Mapping'!BG21-601),IF(AND('(橫掃)RX Mapping'!BG21&gt;=841,'(橫掃)RX Mapping'!BG21&lt;=960), (-1)*('(橫掃)RX Mapping'!BG21-960)+120,9999))))))))</f>
        <v>9999</v>
      </c>
      <c r="BH21">
        <f>IF(AND('(橫掃)RX Mapping'!BH21&gt;=1,'(橫掃)RX Mapping'!BH21&lt;=120), ('(橫掃)RX Mapping'!BH21-1),IF(AND('(橫掃)RX Mapping'!BH21&gt;=121,'(橫掃)RX Mapping'!BH21&lt;=240), (-1)*('(橫掃)RX Mapping'!BH21-240),IF(AND('(橫掃)RX Mapping'!BH21&gt;=241,'(橫掃)RX Mapping'!BH21&lt;=360), ('(橫掃)RX Mapping'!BH21-241),IF(AND('(橫掃)RX Mapping'!BH21&gt;=361,'(橫掃)RX Mapping'!BH21&lt;=480), (-1)*('(橫掃)RX Mapping'!BH21-480),IF(AND('(橫掃)RX Mapping'!BH21&gt;=481,'(橫掃)RX Mapping'!BH21&lt;=600), ('(橫掃)RX Mapping'!BH21-361),IF(AND('(橫掃)RX Mapping'!BH21&gt;=601,'(橫掃)RX Mapping'!BH21&lt;=720), (-1)*('(橫掃)RX Mapping'!BH21-720)+120,IF(AND('(橫掃)RX Mapping'!BH21&gt;=721,'(橫掃)RX Mapping'!BH21&lt;=840), ('(橫掃)RX Mapping'!BH21-601),IF(AND('(橫掃)RX Mapping'!BH21&gt;=841,'(橫掃)RX Mapping'!BH21&lt;=960), (-1)*('(橫掃)RX Mapping'!BH21-960)+120,9999))))))))</f>
        <v>9999</v>
      </c>
      <c r="BI21">
        <f>IF(AND('(橫掃)RX Mapping'!BI21&gt;=1,'(橫掃)RX Mapping'!BI21&lt;=120), ('(橫掃)RX Mapping'!BI21-1),IF(AND('(橫掃)RX Mapping'!BI21&gt;=121,'(橫掃)RX Mapping'!BI21&lt;=240), (-1)*('(橫掃)RX Mapping'!BI21-240),IF(AND('(橫掃)RX Mapping'!BI21&gt;=241,'(橫掃)RX Mapping'!BI21&lt;=360), ('(橫掃)RX Mapping'!BI21-241),IF(AND('(橫掃)RX Mapping'!BI21&gt;=361,'(橫掃)RX Mapping'!BI21&lt;=480), (-1)*('(橫掃)RX Mapping'!BI21-480),IF(AND('(橫掃)RX Mapping'!BI21&gt;=481,'(橫掃)RX Mapping'!BI21&lt;=600), ('(橫掃)RX Mapping'!BI21-361),IF(AND('(橫掃)RX Mapping'!BI21&gt;=601,'(橫掃)RX Mapping'!BI21&lt;=720), (-1)*('(橫掃)RX Mapping'!BI21-720)+120,IF(AND('(橫掃)RX Mapping'!BI21&gt;=721,'(橫掃)RX Mapping'!BI21&lt;=840), ('(橫掃)RX Mapping'!BI21-601),IF(AND('(橫掃)RX Mapping'!BI21&gt;=841,'(橫掃)RX Mapping'!BI21&lt;=960), (-1)*('(橫掃)RX Mapping'!BI21-960)+120,9999))))))))</f>
        <v>9999</v>
      </c>
    </row>
    <row r="22" spans="1:61" x14ac:dyDescent="0.25">
      <c r="A22" s="20">
        <v>21</v>
      </c>
      <c r="B22">
        <f>IF(
(AND('(直掃)RX Mapping'!B22&gt;=0,'(直掃)RX Mapping'!B22&lt;=480)),
(MOD('(直掃)RX Mapping'!B22,120)-1),
IF(
(AND('(直掃)RX Mapping'!B22&gt;=480,'(直掃)RX Mapping'!B22&lt;=960)),
IF(MOD('(直掃)RX Mapping'!B22,120)=0, 120, 240-MOD('(直掃)RX Mapping'!B22,120)),9999))+IF(AND(MOD('(直掃)RX Mapping'!B22,120)=0, '(直掃)RX Mapping'!B22 &lt;= 480,  '(直掃)RX Mapping'!B22 &gt; 0), 120)</f>
        <v>140</v>
      </c>
      <c r="C22">
        <f>IF(
(AND('(直掃)RX Mapping'!C22&gt;=0,'(直掃)RX Mapping'!C22&lt;=480)),
(MOD('(直掃)RX Mapping'!C22,120)-1),
IF(
(AND('(直掃)RX Mapping'!C22&gt;=480,'(直掃)RX Mapping'!C22&lt;=960)),
IF(MOD('(直掃)RX Mapping'!C22,120)=0, 120, 240-MOD('(直掃)RX Mapping'!C22,120)),9999))+IF(AND(MOD('(直掃)RX Mapping'!C22,120)=0, '(直掃)RX Mapping'!C22 &lt;= 480,  '(直掃)RX Mapping'!C22 &gt; 0), 120)</f>
        <v>170</v>
      </c>
      <c r="D22">
        <f>IF(
(AND('(直掃)RX Mapping'!D22&gt;=0,'(直掃)RX Mapping'!D22&lt;=480)),
(MOD('(直掃)RX Mapping'!D22,120)-1),
IF(
(AND('(直掃)RX Mapping'!D22&gt;=480,'(直掃)RX Mapping'!D22&lt;=960)),
IF(MOD('(直掃)RX Mapping'!D22,120)=0, 120, 240-MOD('(直掃)RX Mapping'!D22,120)),9999))+IF(AND(MOD('(直掃)RX Mapping'!D22,120)=0, '(直掃)RX Mapping'!D22 &lt;= 480,  '(直掃)RX Mapping'!D22 &gt; 0), 120)</f>
        <v>200</v>
      </c>
      <c r="E22">
        <f>IF(
(AND('(直掃)RX Mapping'!E22&gt;=0,'(直掃)RX Mapping'!E22&lt;=480)),
(MOD('(直掃)RX Mapping'!E22,120)-1),
IF(
(AND('(直掃)RX Mapping'!E22&gt;=480,'(直掃)RX Mapping'!E22&lt;=960)),
IF(MOD('(直掃)RX Mapping'!E22,120)=0, 120, 240-MOD('(直掃)RX Mapping'!E22,120)),9999))+IF(AND(MOD('(直掃)RX Mapping'!E22,120)=0, '(直掃)RX Mapping'!E22 &lt;= 480,  '(直掃)RX Mapping'!E22 &gt; 0), 120)</f>
        <v>140</v>
      </c>
      <c r="F22">
        <f>IF(
(AND('(直掃)RX Mapping'!F22&gt;=0,'(直掃)RX Mapping'!F22&lt;=480)),
(MOD('(直掃)RX Mapping'!F22,120)-1),
IF(
(AND('(直掃)RX Mapping'!F22&gt;=480,'(直掃)RX Mapping'!F22&lt;=960)),
IF(MOD('(直掃)RX Mapping'!F22,120)=0, 120, 240-MOD('(直掃)RX Mapping'!F22,120)),9999))+IF(AND(MOD('(直掃)RX Mapping'!F22,120)=0, '(直掃)RX Mapping'!F22 &lt;= 480,  '(直掃)RX Mapping'!F22 &gt; 0), 120)</f>
        <v>170</v>
      </c>
      <c r="G22">
        <f>IF(
(AND('(直掃)RX Mapping'!G22&gt;=0,'(直掃)RX Mapping'!G22&lt;=480)),
(MOD('(直掃)RX Mapping'!G22,120)-1),
IF(
(AND('(直掃)RX Mapping'!G22&gt;=480,'(直掃)RX Mapping'!G22&lt;=960)),
IF(MOD('(直掃)RX Mapping'!G22,120)=0, 120, 240-MOD('(直掃)RX Mapping'!G22,120)),9999))+IF(AND(MOD('(直掃)RX Mapping'!G22,120)=0, '(直掃)RX Mapping'!G22 &lt;= 480,  '(直掃)RX Mapping'!G22 &gt; 0), 120)</f>
        <v>200</v>
      </c>
      <c r="H22">
        <f>IF(
(AND('(直掃)RX Mapping'!H22&gt;=0,'(直掃)RX Mapping'!H22&lt;=480)),
(MOD('(直掃)RX Mapping'!H22,120)-1),
IF(
(AND('(直掃)RX Mapping'!H22&gt;=480,'(直掃)RX Mapping'!H22&lt;=960)),
IF(MOD('(直掃)RX Mapping'!H22,120)=0, 120, 240-MOD('(直掃)RX Mapping'!H22,120)),9999))+IF(AND(MOD('(直掃)RX Mapping'!H22,120)=0, '(直掃)RX Mapping'!H22 &lt;= 480,  '(直掃)RX Mapping'!H22 &gt; 0), 120)</f>
        <v>140</v>
      </c>
      <c r="I22">
        <f>IF(
(AND('(直掃)RX Mapping'!I22&gt;=0,'(直掃)RX Mapping'!I22&lt;=480)),
(MOD('(直掃)RX Mapping'!I22,120)-1),
IF(
(AND('(直掃)RX Mapping'!I22&gt;=480,'(直掃)RX Mapping'!I22&lt;=960)),
IF(MOD('(直掃)RX Mapping'!I22,120)=0, 120, 240-MOD('(直掃)RX Mapping'!I22,120)),9999))+IF(AND(MOD('(直掃)RX Mapping'!I22,120)=0, '(直掃)RX Mapping'!I22 &lt;= 480,  '(直掃)RX Mapping'!I22 &gt; 0), 120)</f>
        <v>170</v>
      </c>
      <c r="J22">
        <f>IF(
(AND('(直掃)RX Mapping'!J22&gt;=0,'(直掃)RX Mapping'!J22&lt;=480)),
(MOD('(直掃)RX Mapping'!J22,120)-1),
IF(
(AND('(直掃)RX Mapping'!J22&gt;=480,'(直掃)RX Mapping'!J22&lt;=960)),
IF(MOD('(直掃)RX Mapping'!J22,120)=0, 120, 240-MOD('(直掃)RX Mapping'!J22,120)),9999))+IF(AND(MOD('(直掃)RX Mapping'!J22,120)=0, '(直掃)RX Mapping'!J22 &lt;= 480,  '(直掃)RX Mapping'!J22 &gt; 0), 120)</f>
        <v>200</v>
      </c>
      <c r="K22">
        <f>IF(
(AND('(直掃)RX Mapping'!K22&gt;=0,'(直掃)RX Mapping'!K22&lt;=480)),
(MOD('(直掃)RX Mapping'!K22,120)-1),
IF(
(AND('(直掃)RX Mapping'!K22&gt;=480,'(直掃)RX Mapping'!K22&lt;=960)),
IF(MOD('(直掃)RX Mapping'!K22,120)=0, 120, 240-MOD('(直掃)RX Mapping'!K22,120)),9999))+IF(AND(MOD('(直掃)RX Mapping'!K22,120)=0, '(直掃)RX Mapping'!K22 &lt;= 480,  '(直掃)RX Mapping'!K22 &gt; 0), 120)</f>
        <v>230</v>
      </c>
      <c r="L22">
        <f>IF(
(AND('(直掃)RX Mapping'!L22&gt;=0,'(直掃)RX Mapping'!L22&lt;=480)),
(MOD('(直掃)RX Mapping'!L22,120)-1),
IF(
(AND('(直掃)RX Mapping'!L22&gt;=480,'(直掃)RX Mapping'!L22&lt;=960)),
IF(MOD('(直掃)RX Mapping'!L22,120)=0, 120, 240-MOD('(直掃)RX Mapping'!L22,120)),9999))+IF(AND(MOD('(直掃)RX Mapping'!L22,120)=0, '(直掃)RX Mapping'!L22 &lt;= 480,  '(直掃)RX Mapping'!L22 &gt; 0), 120)</f>
        <v>140</v>
      </c>
      <c r="M22">
        <f>IF(
(AND('(直掃)RX Mapping'!M22&gt;=0,'(直掃)RX Mapping'!M22&lt;=480)),
(MOD('(直掃)RX Mapping'!M22,120)-1),
IF(
(AND('(直掃)RX Mapping'!M22&gt;=480,'(直掃)RX Mapping'!M22&lt;=960)),
IF(MOD('(直掃)RX Mapping'!M22,120)=0, 120, 240-MOD('(直掃)RX Mapping'!M22,120)),9999))+IF(AND(MOD('(直掃)RX Mapping'!M22,120)=0, '(直掃)RX Mapping'!M22 &lt;= 480,  '(直掃)RX Mapping'!M22 &gt; 0), 120)</f>
        <v>170</v>
      </c>
      <c r="N22">
        <f>IF(
(AND('(直掃)RX Mapping'!N22&gt;=0,'(直掃)RX Mapping'!N22&lt;=480)),
(MOD('(直掃)RX Mapping'!N22,120)-1),
IF(
(AND('(直掃)RX Mapping'!N22&gt;=480,'(直掃)RX Mapping'!N22&lt;=960)),
IF(MOD('(直掃)RX Mapping'!N22,120)=0, 120, 240-MOD('(直掃)RX Mapping'!N22,120)),9999))+IF(AND(MOD('(直掃)RX Mapping'!N22,120)=0, '(直掃)RX Mapping'!N22 &lt;= 480,  '(直掃)RX Mapping'!N22 &gt; 0), 120)</f>
        <v>200</v>
      </c>
      <c r="O22">
        <f>IF(
(AND('(直掃)RX Mapping'!O22&gt;=0,'(直掃)RX Mapping'!O22&lt;=480)),
(MOD('(直掃)RX Mapping'!O22,120)-1),
IF(
(AND('(直掃)RX Mapping'!O22&gt;=480,'(直掃)RX Mapping'!O22&lt;=960)),
IF(MOD('(直掃)RX Mapping'!O22,120)=0, 120, 240-MOD('(直掃)RX Mapping'!O22,120)),9999))+IF(AND(MOD('(直掃)RX Mapping'!O22,120)=0, '(直掃)RX Mapping'!O22 &lt;= 480,  '(直掃)RX Mapping'!O22 &gt; 0), 120)</f>
        <v>230</v>
      </c>
      <c r="P22">
        <f>IF(
(AND('(直掃)RX Mapping'!P22&gt;=0,'(直掃)RX Mapping'!P22&lt;=480)),
(MOD('(直掃)RX Mapping'!P22,120)-1),
IF(
(AND('(直掃)RX Mapping'!P22&gt;=480,'(直掃)RX Mapping'!P22&lt;=960)),
IF(MOD('(直掃)RX Mapping'!P22,120)=0, 120, 240-MOD('(直掃)RX Mapping'!P22,120)),9999))+IF(AND(MOD('(直掃)RX Mapping'!P22,120)=0, '(直掃)RX Mapping'!P22 &lt;= 480,  '(直掃)RX Mapping'!P22 &gt; 0), 120)</f>
        <v>99</v>
      </c>
      <c r="Q22">
        <f>IF(
(AND('(直掃)RX Mapping'!Q22&gt;=0,'(直掃)RX Mapping'!Q22&lt;=480)),
(MOD('(直掃)RX Mapping'!Q22,120)-1),
IF(
(AND('(直掃)RX Mapping'!Q22&gt;=480,'(直掃)RX Mapping'!Q22&lt;=960)),
IF(MOD('(直掃)RX Mapping'!Q22,120)=0, 120, 240-MOD('(直掃)RX Mapping'!Q22,120)),9999))+IF(AND(MOD('(直掃)RX Mapping'!Q22,120)=0, '(直掃)RX Mapping'!Q22 &lt;= 480,  '(直掃)RX Mapping'!Q22 &gt; 0), 120)</f>
        <v>69</v>
      </c>
      <c r="R22">
        <f>IF(
(AND('(直掃)RX Mapping'!R22&gt;=0,'(直掃)RX Mapping'!R22&lt;=480)),
(MOD('(直掃)RX Mapping'!R22,120)-1),
IF(
(AND('(直掃)RX Mapping'!R22&gt;=480,'(直掃)RX Mapping'!R22&lt;=960)),
IF(MOD('(直掃)RX Mapping'!R22,120)=0, 120, 240-MOD('(直掃)RX Mapping'!R22,120)),9999))+IF(AND(MOD('(直掃)RX Mapping'!R22,120)=0, '(直掃)RX Mapping'!R22 &lt;= 480,  '(直掃)RX Mapping'!R22 &gt; 0), 120)</f>
        <v>39</v>
      </c>
      <c r="S22">
        <f>IF(
(AND('(直掃)RX Mapping'!S22&gt;=0,'(直掃)RX Mapping'!S22&lt;=480)),
(MOD('(直掃)RX Mapping'!S22,120)-1),
IF(
(AND('(直掃)RX Mapping'!S22&gt;=480,'(直掃)RX Mapping'!S22&lt;=960)),
IF(MOD('(直掃)RX Mapping'!S22,120)=0, 120, 240-MOD('(直掃)RX Mapping'!S22,120)),9999))+IF(AND(MOD('(直掃)RX Mapping'!S22,120)=0, '(直掃)RX Mapping'!S22 &lt;= 480,  '(直掃)RX Mapping'!S22 &gt; 0), 120)</f>
        <v>9</v>
      </c>
      <c r="T22">
        <f>IF(
(AND('(直掃)RX Mapping'!T22&gt;=0,'(直掃)RX Mapping'!T22&lt;=480)),
(MOD('(直掃)RX Mapping'!T22,120)-1),
IF(
(AND('(直掃)RX Mapping'!T22&gt;=480,'(直掃)RX Mapping'!T22&lt;=960)),
IF(MOD('(直掃)RX Mapping'!T22,120)=0, 120, 240-MOD('(直掃)RX Mapping'!T22,120)),9999))+IF(AND(MOD('(直掃)RX Mapping'!T22,120)=0, '(直掃)RX Mapping'!T22 &lt;= 480,  '(直掃)RX Mapping'!T22 &gt; 0), 120)</f>
        <v>99</v>
      </c>
      <c r="U22">
        <f>IF(
(AND('(直掃)RX Mapping'!U22&gt;=0,'(直掃)RX Mapping'!U22&lt;=480)),
(MOD('(直掃)RX Mapping'!U22,120)-1),
IF(
(AND('(直掃)RX Mapping'!U22&gt;=480,'(直掃)RX Mapping'!U22&lt;=960)),
IF(MOD('(直掃)RX Mapping'!U22,120)=0, 120, 240-MOD('(直掃)RX Mapping'!U22,120)),9999))+IF(AND(MOD('(直掃)RX Mapping'!U22,120)=0, '(直掃)RX Mapping'!U22 &lt;= 480,  '(直掃)RX Mapping'!U22 &gt; 0), 120)</f>
        <v>69</v>
      </c>
      <c r="V22">
        <f>IF(
(AND('(直掃)RX Mapping'!V22&gt;=0,'(直掃)RX Mapping'!V22&lt;=480)),
(MOD('(直掃)RX Mapping'!V22,120)-1),
IF(
(AND('(直掃)RX Mapping'!V22&gt;=480,'(直掃)RX Mapping'!V22&lt;=960)),
IF(MOD('(直掃)RX Mapping'!V22,120)=0, 120, 240-MOD('(直掃)RX Mapping'!V22,120)),9999))+IF(AND(MOD('(直掃)RX Mapping'!V22,120)=0, '(直掃)RX Mapping'!V22 &lt;= 480,  '(直掃)RX Mapping'!V22 &gt; 0), 120)</f>
        <v>39</v>
      </c>
      <c r="W22">
        <f>IF(
(AND('(直掃)RX Mapping'!W22&gt;=0,'(直掃)RX Mapping'!W22&lt;=480)),
(MOD('(直掃)RX Mapping'!W22,120)-1),
IF(
(AND('(直掃)RX Mapping'!W22&gt;=480,'(直掃)RX Mapping'!W22&lt;=960)),
IF(MOD('(直掃)RX Mapping'!W22,120)=0, 120, 240-MOD('(直掃)RX Mapping'!W22,120)),9999))+IF(AND(MOD('(直掃)RX Mapping'!W22,120)=0, '(直掃)RX Mapping'!W22 &lt;= 480,  '(直掃)RX Mapping'!W22 &gt; 0), 120)</f>
        <v>9</v>
      </c>
      <c r="X22">
        <f>IF(
(AND('(直掃)RX Mapping'!X22&gt;=0,'(直掃)RX Mapping'!X22&lt;=480)),
(MOD('(直掃)RX Mapping'!X22,120)-1),
IF(
(AND('(直掃)RX Mapping'!X22&gt;=480,'(直掃)RX Mapping'!X22&lt;=960)),
IF(MOD('(直掃)RX Mapping'!X22,120)=0, 120, 240-MOD('(直掃)RX Mapping'!X22,120)),9999))+IF(AND(MOD('(直掃)RX Mapping'!X22,120)=0, '(直掃)RX Mapping'!X22 &lt;= 480,  '(直掃)RX Mapping'!X22 &gt; 0), 120)</f>
        <v>69</v>
      </c>
      <c r="Y22">
        <f>IF(
(AND('(直掃)RX Mapping'!Y22&gt;=0,'(直掃)RX Mapping'!Y22&lt;=480)),
(MOD('(直掃)RX Mapping'!Y22,120)-1),
IF(
(AND('(直掃)RX Mapping'!Y22&gt;=480,'(直掃)RX Mapping'!Y22&lt;=960)),
IF(MOD('(直掃)RX Mapping'!Y22,120)=0, 120, 240-MOD('(直掃)RX Mapping'!Y22,120)),9999))+IF(AND(MOD('(直掃)RX Mapping'!Y22,120)=0, '(直掃)RX Mapping'!Y22 &lt;= 480,  '(直掃)RX Mapping'!Y22 &gt; 0), 120)</f>
        <v>39</v>
      </c>
      <c r="Z22">
        <f>IF(
(AND('(直掃)RX Mapping'!Z22&gt;=0,'(直掃)RX Mapping'!Z22&lt;=480)),
(MOD('(直掃)RX Mapping'!Z22,120)-1),
IF(
(AND('(直掃)RX Mapping'!Z22&gt;=480,'(直掃)RX Mapping'!Z22&lt;=960)),
IF(MOD('(直掃)RX Mapping'!Z22,120)=0, 120, 240-MOD('(直掃)RX Mapping'!Z22,120)),9999))+IF(AND(MOD('(直掃)RX Mapping'!Z22,120)=0, '(直掃)RX Mapping'!Z22 &lt;= 480,  '(直掃)RX Mapping'!Z22 &gt; 0), 120)</f>
        <v>9</v>
      </c>
      <c r="AA22">
        <f>IF(
(AND('(直掃)RX Mapping'!AA22&gt;=0,'(直掃)RX Mapping'!AA22&lt;=480)),
(MOD('(直掃)RX Mapping'!AA22,120)-1),
IF(
(AND('(直掃)RX Mapping'!AA22&gt;=480,'(直掃)RX Mapping'!AA22&lt;=960)),
IF(MOD('(直掃)RX Mapping'!AA22,120)=0, 120, 240-MOD('(直掃)RX Mapping'!AA22,120)),9999))+IF(AND(MOD('(直掃)RX Mapping'!AA22,120)=0, '(直掃)RX Mapping'!AA22 &lt;= 480,  '(直掃)RX Mapping'!AA22 &gt; 0), 120)</f>
        <v>69</v>
      </c>
      <c r="AB22">
        <f>IF(
(AND('(直掃)RX Mapping'!AB22&gt;=0,'(直掃)RX Mapping'!AB22&lt;=480)),
(MOD('(直掃)RX Mapping'!AB22,120)-1),
IF(
(AND('(直掃)RX Mapping'!AB22&gt;=480,'(直掃)RX Mapping'!AB22&lt;=960)),
IF(MOD('(直掃)RX Mapping'!AB22,120)=0, 120, 240-MOD('(直掃)RX Mapping'!AB22,120)),9999))+IF(AND(MOD('(直掃)RX Mapping'!AB22,120)=0, '(直掃)RX Mapping'!AB22 &lt;= 480,  '(直掃)RX Mapping'!AB22 &gt; 0), 120)</f>
        <v>39</v>
      </c>
      <c r="AC22">
        <f>IF(
(AND('(直掃)RX Mapping'!AC22&gt;=0,'(直掃)RX Mapping'!AC22&lt;=480)),
(MOD('(直掃)RX Mapping'!AC22,120)-1),
IF(
(AND('(直掃)RX Mapping'!AC22&gt;=480,'(直掃)RX Mapping'!AC22&lt;=960)),
IF(MOD('(直掃)RX Mapping'!AC22,120)=0, 120, 240-MOD('(直掃)RX Mapping'!AC22,120)),9999))+IF(AND(MOD('(直掃)RX Mapping'!AC22,120)=0, '(直掃)RX Mapping'!AC22 &lt;= 480,  '(直掃)RX Mapping'!AC22 &gt; 0), 120)</f>
        <v>9</v>
      </c>
      <c r="AD22">
        <f>IF(
(AND('(直掃)RX Mapping'!AD22&gt;=0,'(直掃)RX Mapping'!AD22&lt;=480)),
(MOD('(直掃)RX Mapping'!AD22,120)-1),
IF(
(AND('(直掃)RX Mapping'!AD22&gt;=480,'(直掃)RX Mapping'!AD22&lt;=960)),
IF(MOD('(直掃)RX Mapping'!AD22,120)=0, 120, 240-MOD('(直掃)RX Mapping'!AD22,120)),9999))+IF(AND(MOD('(直掃)RX Mapping'!AD22,120)=0, '(直掃)RX Mapping'!AD22 &lt;= 480,  '(直掃)RX Mapping'!AD22 &gt; 0), 120)</f>
        <v>-1</v>
      </c>
      <c r="AE22">
        <f>IF(
(AND('(直掃)RX Mapping'!AE22&gt;=0,'(直掃)RX Mapping'!AE22&lt;=480)),
(MOD('(直掃)RX Mapping'!AE22,120)-1),
IF(
(AND('(直掃)RX Mapping'!AE22&gt;=480,'(直掃)RX Mapping'!AE22&lt;=960)),
IF(MOD('(直掃)RX Mapping'!AE22,120)=0, 120, 240-MOD('(直掃)RX Mapping'!AE22,120)),9999))+IF(AND(MOD('(直掃)RX Mapping'!AE22,120)=0, '(直掃)RX Mapping'!AE22 &lt;= 480,  '(直掃)RX Mapping'!AE22 &gt; 0), 120)</f>
        <v>-1</v>
      </c>
      <c r="AF22">
        <f>IF(
(AND('(直掃)RX Mapping'!AF22&gt;=0,'(直掃)RX Mapping'!AF22&lt;=480)),
(MOD('(直掃)RX Mapping'!AF22,120)-1),
IF(
(AND('(直掃)RX Mapping'!AF22&gt;=480,'(直掃)RX Mapping'!AF22&lt;=960)),
IF(MOD('(直掃)RX Mapping'!AF22,120)=0, 120, 240-MOD('(直掃)RX Mapping'!AF22,120)),9999))+IF(AND(MOD('(直掃)RX Mapping'!AF22,120)=0, '(直掃)RX Mapping'!AF22 &lt;= 480,  '(直掃)RX Mapping'!AF22 &gt; 0), 120)</f>
        <v>-1</v>
      </c>
      <c r="AG22">
        <f>IF(
(AND('(直掃)RX Mapping'!AG22&gt;=0,'(直掃)RX Mapping'!AG22&lt;=480)),
(MOD('(直掃)RX Mapping'!AG22,120)-1),
IF(
(AND('(直掃)RX Mapping'!AG22&gt;=480,'(直掃)RX Mapping'!AG22&lt;=960)),
IF(MOD('(直掃)RX Mapping'!AG22,120)=0, 120, 240-MOD('(直掃)RX Mapping'!AG22,120)),9999))+IF(AND(MOD('(直掃)RX Mapping'!AG22,120)=0, '(直掃)RX Mapping'!AG22 &lt;= 480,  '(直掃)RX Mapping'!AG22 &gt; 0), 120)</f>
        <v>-1</v>
      </c>
      <c r="AH22">
        <f>IF(
(AND('(直掃)RX Mapping'!AH22&gt;=0,'(直掃)RX Mapping'!AH22&lt;=480)),
(MOD('(直掃)RX Mapping'!AH22,120)-1),
IF(
(AND('(直掃)RX Mapping'!AH22&gt;=480,'(直掃)RX Mapping'!AH22&lt;=960)),
IF(MOD('(直掃)RX Mapping'!AH22,120)=0, 120, 240-MOD('(直掃)RX Mapping'!AH22,120)),9999))+IF(AND(MOD('(直掃)RX Mapping'!AH22,120)=0, '(直掃)RX Mapping'!AH22 &lt;= 480,  '(直掃)RX Mapping'!AH22 &gt; 0), 120)</f>
        <v>-1</v>
      </c>
      <c r="AI22">
        <f>IF(
(AND('(直掃)RX Mapping'!AI22&gt;=0,'(直掃)RX Mapping'!AI22&lt;=480)),
(MOD('(直掃)RX Mapping'!AI22,120)-1),
IF(
(AND('(直掃)RX Mapping'!AI22&gt;=480,'(直掃)RX Mapping'!AI22&lt;=960)),
IF(MOD('(直掃)RX Mapping'!AI22,120)=0, 120, 240-MOD('(直掃)RX Mapping'!AI22,120)),9999))+IF(AND(MOD('(直掃)RX Mapping'!AI22,120)=0, '(直掃)RX Mapping'!AI22 &lt;= 480,  '(直掃)RX Mapping'!AI22 &gt; 0), 120)</f>
        <v>-1</v>
      </c>
      <c r="AJ22">
        <f>IF(
(AND('(直掃)RX Mapping'!AJ22&gt;=0,'(直掃)RX Mapping'!AJ22&lt;=480)),
(MOD('(直掃)RX Mapping'!AJ22,120)-1),
IF(
(AND('(直掃)RX Mapping'!AJ22&gt;=480,'(直掃)RX Mapping'!AJ22&lt;=960)),
IF(MOD('(直掃)RX Mapping'!AJ22,120)=0, 120, 240-MOD('(直掃)RX Mapping'!AJ22,120)),9999))+IF(AND(MOD('(直掃)RX Mapping'!AJ22,120)=0, '(直掃)RX Mapping'!AJ22 &lt;= 480,  '(直掃)RX Mapping'!AJ22 &gt; 0), 120)</f>
        <v>-1</v>
      </c>
      <c r="AK22">
        <f>IF(
(AND('(直掃)RX Mapping'!AK22&gt;=0,'(直掃)RX Mapping'!AK22&lt;=480)),
(MOD('(直掃)RX Mapping'!AK22,120)-1),
IF(
(AND('(直掃)RX Mapping'!AK22&gt;=480,'(直掃)RX Mapping'!AK22&lt;=960)),
IF(MOD('(直掃)RX Mapping'!AK22,120)=0, 120, 240-MOD('(直掃)RX Mapping'!AK22,120)),9999))+IF(AND(MOD('(直掃)RX Mapping'!AK22,120)=0, '(直掃)RX Mapping'!AK22 &lt;= 480,  '(直掃)RX Mapping'!AK22 &gt; 0), 120)</f>
        <v>-1</v>
      </c>
      <c r="AL22">
        <f>IF(
(AND('(直掃)RX Mapping'!AL22&gt;=0,'(直掃)RX Mapping'!AL22&lt;=480)),
(MOD('(直掃)RX Mapping'!AL22,120)-1),
IF(
(AND('(直掃)RX Mapping'!AL22&gt;=480,'(直掃)RX Mapping'!AL22&lt;=960)),
IF(MOD('(直掃)RX Mapping'!AL22,120)=0, 120, 240-MOD('(直掃)RX Mapping'!AL22,120)),9999))+IF(AND(MOD('(直掃)RX Mapping'!AL22,120)=0, '(直掃)RX Mapping'!AL22 &lt;= 480,  '(直掃)RX Mapping'!AL22 &gt; 0), 120)</f>
        <v>-1</v>
      </c>
      <c r="AM22">
        <f>IF(
(AND('(直掃)RX Mapping'!AM22&gt;=0,'(直掃)RX Mapping'!AM22&lt;=480)),
(MOD('(直掃)RX Mapping'!AM22,120)-1),
IF(
(AND('(直掃)RX Mapping'!AM22&gt;=480,'(直掃)RX Mapping'!AM22&lt;=960)),
IF(MOD('(直掃)RX Mapping'!AM22,120)=0, 120, 240-MOD('(直掃)RX Mapping'!AM22,120)),9999))+IF(AND(MOD('(直掃)RX Mapping'!AM22,120)=0, '(直掃)RX Mapping'!AM22 &lt;= 480,  '(直掃)RX Mapping'!AM22 &gt; 0), 120)</f>
        <v>-1</v>
      </c>
      <c r="AN22">
        <f>IF(
(AND('(直掃)RX Mapping'!AN22&gt;=0,'(直掃)RX Mapping'!AN22&lt;=480)),
(MOD('(直掃)RX Mapping'!AN22,120)-1),
IF(
(AND('(直掃)RX Mapping'!AN22&gt;=480,'(直掃)RX Mapping'!AN22&lt;=960)),
IF(MOD('(直掃)RX Mapping'!AN22,120)=0, 120, 240-MOD('(直掃)RX Mapping'!AN22,120)),9999))+IF(AND(MOD('(直掃)RX Mapping'!AN22,120)=0, '(直掃)RX Mapping'!AN22 &lt;= 480,  '(直掃)RX Mapping'!AN22 &gt; 0), 120)</f>
        <v>-1</v>
      </c>
      <c r="AO22">
        <f>IF(
(AND('(直掃)RX Mapping'!AO22&gt;=0,'(直掃)RX Mapping'!AO22&lt;=480)),
(MOD('(直掃)RX Mapping'!AO22,120)-1),
IF(
(AND('(直掃)RX Mapping'!AO22&gt;=480,'(直掃)RX Mapping'!AO22&lt;=960)),
IF(MOD('(直掃)RX Mapping'!AO22,120)=0, 120, 240-MOD('(直掃)RX Mapping'!AO22,120)),9999))+IF(AND(MOD('(直掃)RX Mapping'!AO22,120)=0, '(直掃)RX Mapping'!AO22 &lt;= 480,  '(直掃)RX Mapping'!AO22 &gt; 0), 120)</f>
        <v>-1</v>
      </c>
      <c r="AP22">
        <f>IF(
(AND('(直掃)RX Mapping'!AP22&gt;=0,'(直掃)RX Mapping'!AP22&lt;=480)),
(MOD('(直掃)RX Mapping'!AP22,120)-1),
IF(
(AND('(直掃)RX Mapping'!AP22&gt;=480,'(直掃)RX Mapping'!AP22&lt;=960)),
IF(MOD('(直掃)RX Mapping'!AP22,120)=0, 120, 240-MOD('(直掃)RX Mapping'!AP22,120)),9999))+IF(AND(MOD('(直掃)RX Mapping'!AP22,120)=0, '(直掃)RX Mapping'!AP22 &lt;= 480,  '(直掃)RX Mapping'!AP22 &gt; 0), 120)</f>
        <v>-1</v>
      </c>
      <c r="AQ22">
        <f>IF(
(AND('(直掃)RX Mapping'!AQ22&gt;=0,'(直掃)RX Mapping'!AQ22&lt;=480)),
(MOD('(直掃)RX Mapping'!AQ22,120)-1),
IF(
(AND('(直掃)RX Mapping'!AQ22&gt;=480,'(直掃)RX Mapping'!AQ22&lt;=960)),
IF(MOD('(直掃)RX Mapping'!AQ22,120)=0, 120, 240-MOD('(直掃)RX Mapping'!AQ22,120)),9999))+IF(AND(MOD('(直掃)RX Mapping'!AQ22,120)=0, '(直掃)RX Mapping'!AQ22 &lt;= 480,  '(直掃)RX Mapping'!AQ22 &gt; 0), 120)</f>
        <v>-1</v>
      </c>
      <c r="AR22">
        <f>IF(
(AND('(直掃)RX Mapping'!AR22&gt;=0,'(直掃)RX Mapping'!AR22&lt;=480)),
(MOD('(直掃)RX Mapping'!AR22,120)-1),
IF(
(AND('(直掃)RX Mapping'!AR22&gt;=480,'(直掃)RX Mapping'!AR22&lt;=960)),
IF(MOD('(直掃)RX Mapping'!AR22,120)=0, 120, 240-MOD('(直掃)RX Mapping'!AR22,120)),9999))+IF(AND(MOD('(直掃)RX Mapping'!AR22,120)=0, '(直掃)RX Mapping'!AR22 &lt;= 480,  '(直掃)RX Mapping'!AR22 &gt; 0), 120)</f>
        <v>-1</v>
      </c>
      <c r="AS22">
        <f>IF(
(AND('(直掃)RX Mapping'!AS22&gt;=0,'(直掃)RX Mapping'!AS22&lt;=480)),
(MOD('(直掃)RX Mapping'!AS22,120)-1),
IF(
(AND('(直掃)RX Mapping'!AS22&gt;=480,'(直掃)RX Mapping'!AS22&lt;=960)),
IF(MOD('(直掃)RX Mapping'!AS22,120)=0, 120, 240-MOD('(直掃)RX Mapping'!AS22,120)),9999))+IF(AND(MOD('(直掃)RX Mapping'!AS22,120)=0, '(直掃)RX Mapping'!AS22 &lt;= 480,  '(直掃)RX Mapping'!AS22 &gt; 0), 120)</f>
        <v>-1</v>
      </c>
      <c r="AT22">
        <f>IF(AND('(橫掃)RX Mapping'!AT22&gt;=1,'(橫掃)RX Mapping'!AT22&lt;=120), ('(橫掃)RX Mapping'!AT22-1),IF(AND('(橫掃)RX Mapping'!AT22&gt;=121,'(橫掃)RX Mapping'!AT22&lt;=240), (-1)*('(橫掃)RX Mapping'!AT22-240),IF(AND('(橫掃)RX Mapping'!AT22&gt;=241,'(橫掃)RX Mapping'!AT22&lt;=360), ('(橫掃)RX Mapping'!AT22-241),IF(AND('(橫掃)RX Mapping'!AT22&gt;=361,'(橫掃)RX Mapping'!AT22&lt;=480), (-1)*('(橫掃)RX Mapping'!AT22-480),IF(AND('(橫掃)RX Mapping'!AT22&gt;=481,'(橫掃)RX Mapping'!AT22&lt;=600), ('(橫掃)RX Mapping'!AT22-361),IF(AND('(橫掃)RX Mapping'!AT22&gt;=601,'(橫掃)RX Mapping'!AT22&lt;=720), (-1)*('(橫掃)RX Mapping'!AT22-720)+120,IF(AND('(橫掃)RX Mapping'!AT22&gt;=721,'(橫掃)RX Mapping'!AT22&lt;=840), ('(橫掃)RX Mapping'!AT22-601),IF(AND('(橫掃)RX Mapping'!AT22&gt;=841,'(橫掃)RX Mapping'!AT22&lt;=960), (-1)*('(橫掃)RX Mapping'!AT22-960)+120,9999))))))))</f>
        <v>9999</v>
      </c>
      <c r="AU22">
        <f>IF(AND('(橫掃)RX Mapping'!AU22&gt;=1,'(橫掃)RX Mapping'!AU22&lt;=120), ('(橫掃)RX Mapping'!AU22-1),IF(AND('(橫掃)RX Mapping'!AU22&gt;=121,'(橫掃)RX Mapping'!AU22&lt;=240), (-1)*('(橫掃)RX Mapping'!AU22-240),IF(AND('(橫掃)RX Mapping'!AU22&gt;=241,'(橫掃)RX Mapping'!AU22&lt;=360), ('(橫掃)RX Mapping'!AU22-241),IF(AND('(橫掃)RX Mapping'!AU22&gt;=361,'(橫掃)RX Mapping'!AU22&lt;=480), (-1)*('(橫掃)RX Mapping'!AU22-480),IF(AND('(橫掃)RX Mapping'!AU22&gt;=481,'(橫掃)RX Mapping'!AU22&lt;=600), ('(橫掃)RX Mapping'!AU22-361),IF(AND('(橫掃)RX Mapping'!AU22&gt;=601,'(橫掃)RX Mapping'!AU22&lt;=720), (-1)*('(橫掃)RX Mapping'!AU22-720)+120,IF(AND('(橫掃)RX Mapping'!AU22&gt;=721,'(橫掃)RX Mapping'!AU22&lt;=840), ('(橫掃)RX Mapping'!AU22-601),IF(AND('(橫掃)RX Mapping'!AU22&gt;=841,'(橫掃)RX Mapping'!AU22&lt;=960), (-1)*('(橫掃)RX Mapping'!AU22-960)+120,9999))))))))</f>
        <v>9999</v>
      </c>
      <c r="AV22">
        <f>IF(AND('(橫掃)RX Mapping'!AV22&gt;=1,'(橫掃)RX Mapping'!AV22&lt;=120), ('(橫掃)RX Mapping'!AV22-1),IF(AND('(橫掃)RX Mapping'!AV22&gt;=121,'(橫掃)RX Mapping'!AV22&lt;=240), (-1)*('(橫掃)RX Mapping'!AV22-240),IF(AND('(橫掃)RX Mapping'!AV22&gt;=241,'(橫掃)RX Mapping'!AV22&lt;=360), ('(橫掃)RX Mapping'!AV22-241),IF(AND('(橫掃)RX Mapping'!AV22&gt;=361,'(橫掃)RX Mapping'!AV22&lt;=480), (-1)*('(橫掃)RX Mapping'!AV22-480),IF(AND('(橫掃)RX Mapping'!AV22&gt;=481,'(橫掃)RX Mapping'!AV22&lt;=600), ('(橫掃)RX Mapping'!AV22-361),IF(AND('(橫掃)RX Mapping'!AV22&gt;=601,'(橫掃)RX Mapping'!AV22&lt;=720), (-1)*('(橫掃)RX Mapping'!AV22-720)+120,IF(AND('(橫掃)RX Mapping'!AV22&gt;=721,'(橫掃)RX Mapping'!AV22&lt;=840), ('(橫掃)RX Mapping'!AV22-601),IF(AND('(橫掃)RX Mapping'!AV22&gt;=841,'(橫掃)RX Mapping'!AV22&lt;=960), (-1)*('(橫掃)RX Mapping'!AV22-960)+120,9999))))))))</f>
        <v>9999</v>
      </c>
      <c r="AW22">
        <f>IF(AND('(橫掃)RX Mapping'!AW22&gt;=1,'(橫掃)RX Mapping'!AW22&lt;=120), ('(橫掃)RX Mapping'!AW22-1),IF(AND('(橫掃)RX Mapping'!AW22&gt;=121,'(橫掃)RX Mapping'!AW22&lt;=240), (-1)*('(橫掃)RX Mapping'!AW22-240),IF(AND('(橫掃)RX Mapping'!AW22&gt;=241,'(橫掃)RX Mapping'!AW22&lt;=360), ('(橫掃)RX Mapping'!AW22-241),IF(AND('(橫掃)RX Mapping'!AW22&gt;=361,'(橫掃)RX Mapping'!AW22&lt;=480), (-1)*('(橫掃)RX Mapping'!AW22-480),IF(AND('(橫掃)RX Mapping'!AW22&gt;=481,'(橫掃)RX Mapping'!AW22&lt;=600), ('(橫掃)RX Mapping'!AW22-361),IF(AND('(橫掃)RX Mapping'!AW22&gt;=601,'(橫掃)RX Mapping'!AW22&lt;=720), (-1)*('(橫掃)RX Mapping'!AW22-720)+120,IF(AND('(橫掃)RX Mapping'!AW22&gt;=721,'(橫掃)RX Mapping'!AW22&lt;=840), ('(橫掃)RX Mapping'!AW22-601),IF(AND('(橫掃)RX Mapping'!AW22&gt;=841,'(橫掃)RX Mapping'!AW22&lt;=960), (-1)*('(橫掃)RX Mapping'!AW22-960)+120,9999))))))))</f>
        <v>9999</v>
      </c>
      <c r="AX22">
        <f>IF(AND('(橫掃)RX Mapping'!AX22&gt;=1,'(橫掃)RX Mapping'!AX22&lt;=120), ('(橫掃)RX Mapping'!AX22-1),IF(AND('(橫掃)RX Mapping'!AX22&gt;=121,'(橫掃)RX Mapping'!AX22&lt;=240), (-1)*('(橫掃)RX Mapping'!AX22-240),IF(AND('(橫掃)RX Mapping'!AX22&gt;=241,'(橫掃)RX Mapping'!AX22&lt;=360), ('(橫掃)RX Mapping'!AX22-241),IF(AND('(橫掃)RX Mapping'!AX22&gt;=361,'(橫掃)RX Mapping'!AX22&lt;=480), (-1)*('(橫掃)RX Mapping'!AX22-480),IF(AND('(橫掃)RX Mapping'!AX22&gt;=481,'(橫掃)RX Mapping'!AX22&lt;=600), ('(橫掃)RX Mapping'!AX22-361),IF(AND('(橫掃)RX Mapping'!AX22&gt;=601,'(橫掃)RX Mapping'!AX22&lt;=720), (-1)*('(橫掃)RX Mapping'!AX22-720)+120,IF(AND('(橫掃)RX Mapping'!AX22&gt;=721,'(橫掃)RX Mapping'!AX22&lt;=840), ('(橫掃)RX Mapping'!AX22-601),IF(AND('(橫掃)RX Mapping'!AX22&gt;=841,'(橫掃)RX Mapping'!AX22&lt;=960), (-1)*('(橫掃)RX Mapping'!AX22-960)+120,9999))))))))</f>
        <v>9999</v>
      </c>
      <c r="AY22">
        <f>IF(AND('(橫掃)RX Mapping'!AY22&gt;=1,'(橫掃)RX Mapping'!AY22&lt;=120), ('(橫掃)RX Mapping'!AY22-1),IF(AND('(橫掃)RX Mapping'!AY22&gt;=121,'(橫掃)RX Mapping'!AY22&lt;=240), (-1)*('(橫掃)RX Mapping'!AY22-240),IF(AND('(橫掃)RX Mapping'!AY22&gt;=241,'(橫掃)RX Mapping'!AY22&lt;=360), ('(橫掃)RX Mapping'!AY22-241),IF(AND('(橫掃)RX Mapping'!AY22&gt;=361,'(橫掃)RX Mapping'!AY22&lt;=480), (-1)*('(橫掃)RX Mapping'!AY22-480),IF(AND('(橫掃)RX Mapping'!AY22&gt;=481,'(橫掃)RX Mapping'!AY22&lt;=600), ('(橫掃)RX Mapping'!AY22-361),IF(AND('(橫掃)RX Mapping'!AY22&gt;=601,'(橫掃)RX Mapping'!AY22&lt;=720), (-1)*('(橫掃)RX Mapping'!AY22-720)+120,IF(AND('(橫掃)RX Mapping'!AY22&gt;=721,'(橫掃)RX Mapping'!AY22&lt;=840), ('(橫掃)RX Mapping'!AY22-601),IF(AND('(橫掃)RX Mapping'!AY22&gt;=841,'(橫掃)RX Mapping'!AY22&lt;=960), (-1)*('(橫掃)RX Mapping'!AY22-960)+120,9999))))))))</f>
        <v>9999</v>
      </c>
      <c r="AZ22">
        <f>IF(AND('(橫掃)RX Mapping'!AZ22&gt;=1,'(橫掃)RX Mapping'!AZ22&lt;=120), ('(橫掃)RX Mapping'!AZ22-1),IF(AND('(橫掃)RX Mapping'!AZ22&gt;=121,'(橫掃)RX Mapping'!AZ22&lt;=240), (-1)*('(橫掃)RX Mapping'!AZ22-240),IF(AND('(橫掃)RX Mapping'!AZ22&gt;=241,'(橫掃)RX Mapping'!AZ22&lt;=360), ('(橫掃)RX Mapping'!AZ22-241),IF(AND('(橫掃)RX Mapping'!AZ22&gt;=361,'(橫掃)RX Mapping'!AZ22&lt;=480), (-1)*('(橫掃)RX Mapping'!AZ22-480),IF(AND('(橫掃)RX Mapping'!AZ22&gt;=481,'(橫掃)RX Mapping'!AZ22&lt;=600), ('(橫掃)RX Mapping'!AZ22-361),IF(AND('(橫掃)RX Mapping'!AZ22&gt;=601,'(橫掃)RX Mapping'!AZ22&lt;=720), (-1)*('(橫掃)RX Mapping'!AZ22-720)+120,IF(AND('(橫掃)RX Mapping'!AZ22&gt;=721,'(橫掃)RX Mapping'!AZ22&lt;=840), ('(橫掃)RX Mapping'!AZ22-601),IF(AND('(橫掃)RX Mapping'!AZ22&gt;=841,'(橫掃)RX Mapping'!AZ22&lt;=960), (-1)*('(橫掃)RX Mapping'!AZ22-960)+120,9999))))))))</f>
        <v>9999</v>
      </c>
      <c r="BA22">
        <f>IF(AND('(橫掃)RX Mapping'!BA22&gt;=1,'(橫掃)RX Mapping'!BA22&lt;=120), ('(橫掃)RX Mapping'!BA22-1),IF(AND('(橫掃)RX Mapping'!BA22&gt;=121,'(橫掃)RX Mapping'!BA22&lt;=240), (-1)*('(橫掃)RX Mapping'!BA22-240),IF(AND('(橫掃)RX Mapping'!BA22&gt;=241,'(橫掃)RX Mapping'!BA22&lt;=360), ('(橫掃)RX Mapping'!BA22-241),IF(AND('(橫掃)RX Mapping'!BA22&gt;=361,'(橫掃)RX Mapping'!BA22&lt;=480), (-1)*('(橫掃)RX Mapping'!BA22-480),IF(AND('(橫掃)RX Mapping'!BA22&gt;=481,'(橫掃)RX Mapping'!BA22&lt;=600), ('(橫掃)RX Mapping'!BA22-361),IF(AND('(橫掃)RX Mapping'!BA22&gt;=601,'(橫掃)RX Mapping'!BA22&lt;=720), (-1)*('(橫掃)RX Mapping'!BA22-720)+120,IF(AND('(橫掃)RX Mapping'!BA22&gt;=721,'(橫掃)RX Mapping'!BA22&lt;=840), ('(橫掃)RX Mapping'!BA22-601),IF(AND('(橫掃)RX Mapping'!BA22&gt;=841,'(橫掃)RX Mapping'!BA22&lt;=960), (-1)*('(橫掃)RX Mapping'!BA22-960)+120,9999))))))))</f>
        <v>9999</v>
      </c>
      <c r="BB22">
        <f>IF(AND('(橫掃)RX Mapping'!BB22&gt;=1,'(橫掃)RX Mapping'!BB22&lt;=120), ('(橫掃)RX Mapping'!BB22-1),IF(AND('(橫掃)RX Mapping'!BB22&gt;=121,'(橫掃)RX Mapping'!BB22&lt;=240), (-1)*('(橫掃)RX Mapping'!BB22-240),IF(AND('(橫掃)RX Mapping'!BB22&gt;=241,'(橫掃)RX Mapping'!BB22&lt;=360), ('(橫掃)RX Mapping'!BB22-241),IF(AND('(橫掃)RX Mapping'!BB22&gt;=361,'(橫掃)RX Mapping'!BB22&lt;=480), (-1)*('(橫掃)RX Mapping'!BB22-480),IF(AND('(橫掃)RX Mapping'!BB22&gt;=481,'(橫掃)RX Mapping'!BB22&lt;=600), ('(橫掃)RX Mapping'!BB22-361),IF(AND('(橫掃)RX Mapping'!BB22&gt;=601,'(橫掃)RX Mapping'!BB22&lt;=720), (-1)*('(橫掃)RX Mapping'!BB22-720)+120,IF(AND('(橫掃)RX Mapping'!BB22&gt;=721,'(橫掃)RX Mapping'!BB22&lt;=840), ('(橫掃)RX Mapping'!BB22-601),IF(AND('(橫掃)RX Mapping'!BB22&gt;=841,'(橫掃)RX Mapping'!BB22&lt;=960), (-1)*('(橫掃)RX Mapping'!BB22-960)+120,9999))))))))</f>
        <v>9999</v>
      </c>
      <c r="BC22">
        <f>IF(AND('(橫掃)RX Mapping'!BC22&gt;=1,'(橫掃)RX Mapping'!BC22&lt;=120), ('(橫掃)RX Mapping'!BC22-1),IF(AND('(橫掃)RX Mapping'!BC22&gt;=121,'(橫掃)RX Mapping'!BC22&lt;=240), (-1)*('(橫掃)RX Mapping'!BC22-240),IF(AND('(橫掃)RX Mapping'!BC22&gt;=241,'(橫掃)RX Mapping'!BC22&lt;=360), ('(橫掃)RX Mapping'!BC22-241),IF(AND('(橫掃)RX Mapping'!BC22&gt;=361,'(橫掃)RX Mapping'!BC22&lt;=480), (-1)*('(橫掃)RX Mapping'!BC22-480),IF(AND('(橫掃)RX Mapping'!BC22&gt;=481,'(橫掃)RX Mapping'!BC22&lt;=600), ('(橫掃)RX Mapping'!BC22-361),IF(AND('(橫掃)RX Mapping'!BC22&gt;=601,'(橫掃)RX Mapping'!BC22&lt;=720), (-1)*('(橫掃)RX Mapping'!BC22-720)+120,IF(AND('(橫掃)RX Mapping'!BC22&gt;=721,'(橫掃)RX Mapping'!BC22&lt;=840), ('(橫掃)RX Mapping'!BC22-601),IF(AND('(橫掃)RX Mapping'!BC22&gt;=841,'(橫掃)RX Mapping'!BC22&lt;=960), (-1)*('(橫掃)RX Mapping'!BC22-960)+120,9999))))))))</f>
        <v>9999</v>
      </c>
      <c r="BD22">
        <f>IF(AND('(橫掃)RX Mapping'!BD22&gt;=1,'(橫掃)RX Mapping'!BD22&lt;=120), ('(橫掃)RX Mapping'!BD22-1),IF(AND('(橫掃)RX Mapping'!BD22&gt;=121,'(橫掃)RX Mapping'!BD22&lt;=240), (-1)*('(橫掃)RX Mapping'!BD22-240),IF(AND('(橫掃)RX Mapping'!BD22&gt;=241,'(橫掃)RX Mapping'!BD22&lt;=360), ('(橫掃)RX Mapping'!BD22-241),IF(AND('(橫掃)RX Mapping'!BD22&gt;=361,'(橫掃)RX Mapping'!BD22&lt;=480), (-1)*('(橫掃)RX Mapping'!BD22-480),IF(AND('(橫掃)RX Mapping'!BD22&gt;=481,'(橫掃)RX Mapping'!BD22&lt;=600), ('(橫掃)RX Mapping'!BD22-361),IF(AND('(橫掃)RX Mapping'!BD22&gt;=601,'(橫掃)RX Mapping'!BD22&lt;=720), (-1)*('(橫掃)RX Mapping'!BD22-720)+120,IF(AND('(橫掃)RX Mapping'!BD22&gt;=721,'(橫掃)RX Mapping'!BD22&lt;=840), ('(橫掃)RX Mapping'!BD22-601),IF(AND('(橫掃)RX Mapping'!BD22&gt;=841,'(橫掃)RX Mapping'!BD22&lt;=960), (-1)*('(橫掃)RX Mapping'!BD22-960)+120,9999))))))))</f>
        <v>9999</v>
      </c>
      <c r="BE22">
        <f>IF(AND('(橫掃)RX Mapping'!BE22&gt;=1,'(橫掃)RX Mapping'!BE22&lt;=120), ('(橫掃)RX Mapping'!BE22-1),IF(AND('(橫掃)RX Mapping'!BE22&gt;=121,'(橫掃)RX Mapping'!BE22&lt;=240), (-1)*('(橫掃)RX Mapping'!BE22-240),IF(AND('(橫掃)RX Mapping'!BE22&gt;=241,'(橫掃)RX Mapping'!BE22&lt;=360), ('(橫掃)RX Mapping'!BE22-241),IF(AND('(橫掃)RX Mapping'!BE22&gt;=361,'(橫掃)RX Mapping'!BE22&lt;=480), (-1)*('(橫掃)RX Mapping'!BE22-480),IF(AND('(橫掃)RX Mapping'!BE22&gt;=481,'(橫掃)RX Mapping'!BE22&lt;=600), ('(橫掃)RX Mapping'!BE22-361),IF(AND('(橫掃)RX Mapping'!BE22&gt;=601,'(橫掃)RX Mapping'!BE22&lt;=720), (-1)*('(橫掃)RX Mapping'!BE22-720)+120,IF(AND('(橫掃)RX Mapping'!BE22&gt;=721,'(橫掃)RX Mapping'!BE22&lt;=840), ('(橫掃)RX Mapping'!BE22-601),IF(AND('(橫掃)RX Mapping'!BE22&gt;=841,'(橫掃)RX Mapping'!BE22&lt;=960), (-1)*('(橫掃)RX Mapping'!BE22-960)+120,9999))))))))</f>
        <v>9999</v>
      </c>
      <c r="BF22">
        <f>IF(AND('(橫掃)RX Mapping'!BF22&gt;=1,'(橫掃)RX Mapping'!BF22&lt;=120), ('(橫掃)RX Mapping'!BF22-1),IF(AND('(橫掃)RX Mapping'!BF22&gt;=121,'(橫掃)RX Mapping'!BF22&lt;=240), (-1)*('(橫掃)RX Mapping'!BF22-240),IF(AND('(橫掃)RX Mapping'!BF22&gt;=241,'(橫掃)RX Mapping'!BF22&lt;=360), ('(橫掃)RX Mapping'!BF22-241),IF(AND('(橫掃)RX Mapping'!BF22&gt;=361,'(橫掃)RX Mapping'!BF22&lt;=480), (-1)*('(橫掃)RX Mapping'!BF22-480),IF(AND('(橫掃)RX Mapping'!BF22&gt;=481,'(橫掃)RX Mapping'!BF22&lt;=600), ('(橫掃)RX Mapping'!BF22-361),IF(AND('(橫掃)RX Mapping'!BF22&gt;=601,'(橫掃)RX Mapping'!BF22&lt;=720), (-1)*('(橫掃)RX Mapping'!BF22-720)+120,IF(AND('(橫掃)RX Mapping'!BF22&gt;=721,'(橫掃)RX Mapping'!BF22&lt;=840), ('(橫掃)RX Mapping'!BF22-601),IF(AND('(橫掃)RX Mapping'!BF22&gt;=841,'(橫掃)RX Mapping'!BF22&lt;=960), (-1)*('(橫掃)RX Mapping'!BF22-960)+120,9999))))))))</f>
        <v>9999</v>
      </c>
      <c r="BG22">
        <f>IF(AND('(橫掃)RX Mapping'!BG22&gt;=1,'(橫掃)RX Mapping'!BG22&lt;=120), ('(橫掃)RX Mapping'!BG22-1),IF(AND('(橫掃)RX Mapping'!BG22&gt;=121,'(橫掃)RX Mapping'!BG22&lt;=240), (-1)*('(橫掃)RX Mapping'!BG22-240),IF(AND('(橫掃)RX Mapping'!BG22&gt;=241,'(橫掃)RX Mapping'!BG22&lt;=360), ('(橫掃)RX Mapping'!BG22-241),IF(AND('(橫掃)RX Mapping'!BG22&gt;=361,'(橫掃)RX Mapping'!BG22&lt;=480), (-1)*('(橫掃)RX Mapping'!BG22-480),IF(AND('(橫掃)RX Mapping'!BG22&gt;=481,'(橫掃)RX Mapping'!BG22&lt;=600), ('(橫掃)RX Mapping'!BG22-361),IF(AND('(橫掃)RX Mapping'!BG22&gt;=601,'(橫掃)RX Mapping'!BG22&lt;=720), (-1)*('(橫掃)RX Mapping'!BG22-720)+120,IF(AND('(橫掃)RX Mapping'!BG22&gt;=721,'(橫掃)RX Mapping'!BG22&lt;=840), ('(橫掃)RX Mapping'!BG22-601),IF(AND('(橫掃)RX Mapping'!BG22&gt;=841,'(橫掃)RX Mapping'!BG22&lt;=960), (-1)*('(橫掃)RX Mapping'!BG22-960)+120,9999))))))))</f>
        <v>9999</v>
      </c>
      <c r="BH22">
        <f>IF(AND('(橫掃)RX Mapping'!BH22&gt;=1,'(橫掃)RX Mapping'!BH22&lt;=120), ('(橫掃)RX Mapping'!BH22-1),IF(AND('(橫掃)RX Mapping'!BH22&gt;=121,'(橫掃)RX Mapping'!BH22&lt;=240), (-1)*('(橫掃)RX Mapping'!BH22-240),IF(AND('(橫掃)RX Mapping'!BH22&gt;=241,'(橫掃)RX Mapping'!BH22&lt;=360), ('(橫掃)RX Mapping'!BH22-241),IF(AND('(橫掃)RX Mapping'!BH22&gt;=361,'(橫掃)RX Mapping'!BH22&lt;=480), (-1)*('(橫掃)RX Mapping'!BH22-480),IF(AND('(橫掃)RX Mapping'!BH22&gt;=481,'(橫掃)RX Mapping'!BH22&lt;=600), ('(橫掃)RX Mapping'!BH22-361),IF(AND('(橫掃)RX Mapping'!BH22&gt;=601,'(橫掃)RX Mapping'!BH22&lt;=720), (-1)*('(橫掃)RX Mapping'!BH22-720)+120,IF(AND('(橫掃)RX Mapping'!BH22&gt;=721,'(橫掃)RX Mapping'!BH22&lt;=840), ('(橫掃)RX Mapping'!BH22-601),IF(AND('(橫掃)RX Mapping'!BH22&gt;=841,'(橫掃)RX Mapping'!BH22&lt;=960), (-1)*('(橫掃)RX Mapping'!BH22-960)+120,9999))))))))</f>
        <v>9999</v>
      </c>
      <c r="BI22">
        <f>IF(AND('(橫掃)RX Mapping'!BI22&gt;=1,'(橫掃)RX Mapping'!BI22&lt;=120), ('(橫掃)RX Mapping'!BI22-1),IF(AND('(橫掃)RX Mapping'!BI22&gt;=121,'(橫掃)RX Mapping'!BI22&lt;=240), (-1)*('(橫掃)RX Mapping'!BI22-240),IF(AND('(橫掃)RX Mapping'!BI22&gt;=241,'(橫掃)RX Mapping'!BI22&lt;=360), ('(橫掃)RX Mapping'!BI22-241),IF(AND('(橫掃)RX Mapping'!BI22&gt;=361,'(橫掃)RX Mapping'!BI22&lt;=480), (-1)*('(橫掃)RX Mapping'!BI22-480),IF(AND('(橫掃)RX Mapping'!BI22&gt;=481,'(橫掃)RX Mapping'!BI22&lt;=600), ('(橫掃)RX Mapping'!BI22-361),IF(AND('(橫掃)RX Mapping'!BI22&gt;=601,'(橫掃)RX Mapping'!BI22&lt;=720), (-1)*('(橫掃)RX Mapping'!BI22-720)+120,IF(AND('(橫掃)RX Mapping'!BI22&gt;=721,'(橫掃)RX Mapping'!BI22&lt;=840), ('(橫掃)RX Mapping'!BI22-601),IF(AND('(橫掃)RX Mapping'!BI22&gt;=841,'(橫掃)RX Mapping'!BI22&lt;=960), (-1)*('(橫掃)RX Mapping'!BI22-960)+120,9999))))))))</f>
        <v>9999</v>
      </c>
    </row>
    <row r="23" spans="1:61" x14ac:dyDescent="0.25">
      <c r="A23" s="20">
        <v>22</v>
      </c>
      <c r="B23">
        <f>IF(
(AND('(直掃)RX Mapping'!B23&gt;=0,'(直掃)RX Mapping'!B23&lt;=480)),
(MOD('(直掃)RX Mapping'!B23,120)-1),
IF(
(AND('(直掃)RX Mapping'!B23&gt;=480,'(直掃)RX Mapping'!B23&lt;=960)),
IF(MOD('(直掃)RX Mapping'!B23,120)=0, 120, 240-MOD('(直掃)RX Mapping'!B23,120)),9999))+IF(AND(MOD('(直掃)RX Mapping'!B23,120)=0, '(直掃)RX Mapping'!B23 &lt;= 480,  '(直掃)RX Mapping'!B23 &gt; 0), 120)</f>
        <v>141</v>
      </c>
      <c r="C23">
        <f>IF(
(AND('(直掃)RX Mapping'!C23&gt;=0,'(直掃)RX Mapping'!C23&lt;=480)),
(MOD('(直掃)RX Mapping'!C23,120)-1),
IF(
(AND('(直掃)RX Mapping'!C23&gt;=480,'(直掃)RX Mapping'!C23&lt;=960)),
IF(MOD('(直掃)RX Mapping'!C23,120)=0, 120, 240-MOD('(直掃)RX Mapping'!C23,120)),9999))+IF(AND(MOD('(直掃)RX Mapping'!C23,120)=0, '(直掃)RX Mapping'!C23 &lt;= 480,  '(直掃)RX Mapping'!C23 &gt; 0), 120)</f>
        <v>171</v>
      </c>
      <c r="D23">
        <f>IF(
(AND('(直掃)RX Mapping'!D23&gt;=0,'(直掃)RX Mapping'!D23&lt;=480)),
(MOD('(直掃)RX Mapping'!D23,120)-1),
IF(
(AND('(直掃)RX Mapping'!D23&gt;=480,'(直掃)RX Mapping'!D23&lt;=960)),
IF(MOD('(直掃)RX Mapping'!D23,120)=0, 120, 240-MOD('(直掃)RX Mapping'!D23,120)),9999))+IF(AND(MOD('(直掃)RX Mapping'!D23,120)=0, '(直掃)RX Mapping'!D23 &lt;= 480,  '(直掃)RX Mapping'!D23 &gt; 0), 120)</f>
        <v>201</v>
      </c>
      <c r="E23">
        <f>IF(
(AND('(直掃)RX Mapping'!E23&gt;=0,'(直掃)RX Mapping'!E23&lt;=480)),
(MOD('(直掃)RX Mapping'!E23,120)-1),
IF(
(AND('(直掃)RX Mapping'!E23&gt;=480,'(直掃)RX Mapping'!E23&lt;=960)),
IF(MOD('(直掃)RX Mapping'!E23,120)=0, 120, 240-MOD('(直掃)RX Mapping'!E23,120)),9999))+IF(AND(MOD('(直掃)RX Mapping'!E23,120)=0, '(直掃)RX Mapping'!E23 &lt;= 480,  '(直掃)RX Mapping'!E23 &gt; 0), 120)</f>
        <v>141</v>
      </c>
      <c r="F23">
        <f>IF(
(AND('(直掃)RX Mapping'!F23&gt;=0,'(直掃)RX Mapping'!F23&lt;=480)),
(MOD('(直掃)RX Mapping'!F23,120)-1),
IF(
(AND('(直掃)RX Mapping'!F23&gt;=480,'(直掃)RX Mapping'!F23&lt;=960)),
IF(MOD('(直掃)RX Mapping'!F23,120)=0, 120, 240-MOD('(直掃)RX Mapping'!F23,120)),9999))+IF(AND(MOD('(直掃)RX Mapping'!F23,120)=0, '(直掃)RX Mapping'!F23 &lt;= 480,  '(直掃)RX Mapping'!F23 &gt; 0), 120)</f>
        <v>171</v>
      </c>
      <c r="G23">
        <f>IF(
(AND('(直掃)RX Mapping'!G23&gt;=0,'(直掃)RX Mapping'!G23&lt;=480)),
(MOD('(直掃)RX Mapping'!G23,120)-1),
IF(
(AND('(直掃)RX Mapping'!G23&gt;=480,'(直掃)RX Mapping'!G23&lt;=960)),
IF(MOD('(直掃)RX Mapping'!G23,120)=0, 120, 240-MOD('(直掃)RX Mapping'!G23,120)),9999))+IF(AND(MOD('(直掃)RX Mapping'!G23,120)=0, '(直掃)RX Mapping'!G23 &lt;= 480,  '(直掃)RX Mapping'!G23 &gt; 0), 120)</f>
        <v>201</v>
      </c>
      <c r="H23">
        <f>IF(
(AND('(直掃)RX Mapping'!H23&gt;=0,'(直掃)RX Mapping'!H23&lt;=480)),
(MOD('(直掃)RX Mapping'!H23,120)-1),
IF(
(AND('(直掃)RX Mapping'!H23&gt;=480,'(直掃)RX Mapping'!H23&lt;=960)),
IF(MOD('(直掃)RX Mapping'!H23,120)=0, 120, 240-MOD('(直掃)RX Mapping'!H23,120)),9999))+IF(AND(MOD('(直掃)RX Mapping'!H23,120)=0, '(直掃)RX Mapping'!H23 &lt;= 480,  '(直掃)RX Mapping'!H23 &gt; 0), 120)</f>
        <v>141</v>
      </c>
      <c r="I23">
        <f>IF(
(AND('(直掃)RX Mapping'!I23&gt;=0,'(直掃)RX Mapping'!I23&lt;=480)),
(MOD('(直掃)RX Mapping'!I23,120)-1),
IF(
(AND('(直掃)RX Mapping'!I23&gt;=480,'(直掃)RX Mapping'!I23&lt;=960)),
IF(MOD('(直掃)RX Mapping'!I23,120)=0, 120, 240-MOD('(直掃)RX Mapping'!I23,120)),9999))+IF(AND(MOD('(直掃)RX Mapping'!I23,120)=0, '(直掃)RX Mapping'!I23 &lt;= 480,  '(直掃)RX Mapping'!I23 &gt; 0), 120)</f>
        <v>171</v>
      </c>
      <c r="J23">
        <f>IF(
(AND('(直掃)RX Mapping'!J23&gt;=0,'(直掃)RX Mapping'!J23&lt;=480)),
(MOD('(直掃)RX Mapping'!J23,120)-1),
IF(
(AND('(直掃)RX Mapping'!J23&gt;=480,'(直掃)RX Mapping'!J23&lt;=960)),
IF(MOD('(直掃)RX Mapping'!J23,120)=0, 120, 240-MOD('(直掃)RX Mapping'!J23,120)),9999))+IF(AND(MOD('(直掃)RX Mapping'!J23,120)=0, '(直掃)RX Mapping'!J23 &lt;= 480,  '(直掃)RX Mapping'!J23 &gt; 0), 120)</f>
        <v>201</v>
      </c>
      <c r="K23">
        <f>IF(
(AND('(直掃)RX Mapping'!K23&gt;=0,'(直掃)RX Mapping'!K23&lt;=480)),
(MOD('(直掃)RX Mapping'!K23,120)-1),
IF(
(AND('(直掃)RX Mapping'!K23&gt;=480,'(直掃)RX Mapping'!K23&lt;=960)),
IF(MOD('(直掃)RX Mapping'!K23,120)=0, 120, 240-MOD('(直掃)RX Mapping'!K23,120)),9999))+IF(AND(MOD('(直掃)RX Mapping'!K23,120)=0, '(直掃)RX Mapping'!K23 &lt;= 480,  '(直掃)RX Mapping'!K23 &gt; 0), 120)</f>
        <v>231</v>
      </c>
      <c r="L23">
        <f>IF(
(AND('(直掃)RX Mapping'!L23&gt;=0,'(直掃)RX Mapping'!L23&lt;=480)),
(MOD('(直掃)RX Mapping'!L23,120)-1),
IF(
(AND('(直掃)RX Mapping'!L23&gt;=480,'(直掃)RX Mapping'!L23&lt;=960)),
IF(MOD('(直掃)RX Mapping'!L23,120)=0, 120, 240-MOD('(直掃)RX Mapping'!L23,120)),9999))+IF(AND(MOD('(直掃)RX Mapping'!L23,120)=0, '(直掃)RX Mapping'!L23 &lt;= 480,  '(直掃)RX Mapping'!L23 &gt; 0), 120)</f>
        <v>141</v>
      </c>
      <c r="M23">
        <f>IF(
(AND('(直掃)RX Mapping'!M23&gt;=0,'(直掃)RX Mapping'!M23&lt;=480)),
(MOD('(直掃)RX Mapping'!M23,120)-1),
IF(
(AND('(直掃)RX Mapping'!M23&gt;=480,'(直掃)RX Mapping'!M23&lt;=960)),
IF(MOD('(直掃)RX Mapping'!M23,120)=0, 120, 240-MOD('(直掃)RX Mapping'!M23,120)),9999))+IF(AND(MOD('(直掃)RX Mapping'!M23,120)=0, '(直掃)RX Mapping'!M23 &lt;= 480,  '(直掃)RX Mapping'!M23 &gt; 0), 120)</f>
        <v>171</v>
      </c>
      <c r="N23">
        <f>IF(
(AND('(直掃)RX Mapping'!N23&gt;=0,'(直掃)RX Mapping'!N23&lt;=480)),
(MOD('(直掃)RX Mapping'!N23,120)-1),
IF(
(AND('(直掃)RX Mapping'!N23&gt;=480,'(直掃)RX Mapping'!N23&lt;=960)),
IF(MOD('(直掃)RX Mapping'!N23,120)=0, 120, 240-MOD('(直掃)RX Mapping'!N23,120)),9999))+IF(AND(MOD('(直掃)RX Mapping'!N23,120)=0, '(直掃)RX Mapping'!N23 &lt;= 480,  '(直掃)RX Mapping'!N23 &gt; 0), 120)</f>
        <v>201</v>
      </c>
      <c r="O23">
        <f>IF(
(AND('(直掃)RX Mapping'!O23&gt;=0,'(直掃)RX Mapping'!O23&lt;=480)),
(MOD('(直掃)RX Mapping'!O23,120)-1),
IF(
(AND('(直掃)RX Mapping'!O23&gt;=480,'(直掃)RX Mapping'!O23&lt;=960)),
IF(MOD('(直掃)RX Mapping'!O23,120)=0, 120, 240-MOD('(直掃)RX Mapping'!O23,120)),9999))+IF(AND(MOD('(直掃)RX Mapping'!O23,120)=0, '(直掃)RX Mapping'!O23 &lt;= 480,  '(直掃)RX Mapping'!O23 &gt; 0), 120)</f>
        <v>231</v>
      </c>
      <c r="P23">
        <f>IF(
(AND('(直掃)RX Mapping'!P23&gt;=0,'(直掃)RX Mapping'!P23&lt;=480)),
(MOD('(直掃)RX Mapping'!P23,120)-1),
IF(
(AND('(直掃)RX Mapping'!P23&gt;=480,'(直掃)RX Mapping'!P23&lt;=960)),
IF(MOD('(直掃)RX Mapping'!P23,120)=0, 120, 240-MOD('(直掃)RX Mapping'!P23,120)),9999))+IF(AND(MOD('(直掃)RX Mapping'!P23,120)=0, '(直掃)RX Mapping'!P23 &lt;= 480,  '(直掃)RX Mapping'!P23 &gt; 0), 120)</f>
        <v>98</v>
      </c>
      <c r="Q23">
        <f>IF(
(AND('(直掃)RX Mapping'!Q23&gt;=0,'(直掃)RX Mapping'!Q23&lt;=480)),
(MOD('(直掃)RX Mapping'!Q23,120)-1),
IF(
(AND('(直掃)RX Mapping'!Q23&gt;=480,'(直掃)RX Mapping'!Q23&lt;=960)),
IF(MOD('(直掃)RX Mapping'!Q23,120)=0, 120, 240-MOD('(直掃)RX Mapping'!Q23,120)),9999))+IF(AND(MOD('(直掃)RX Mapping'!Q23,120)=0, '(直掃)RX Mapping'!Q23 &lt;= 480,  '(直掃)RX Mapping'!Q23 &gt; 0), 120)</f>
        <v>68</v>
      </c>
      <c r="R23">
        <f>IF(
(AND('(直掃)RX Mapping'!R23&gt;=0,'(直掃)RX Mapping'!R23&lt;=480)),
(MOD('(直掃)RX Mapping'!R23,120)-1),
IF(
(AND('(直掃)RX Mapping'!R23&gt;=480,'(直掃)RX Mapping'!R23&lt;=960)),
IF(MOD('(直掃)RX Mapping'!R23,120)=0, 120, 240-MOD('(直掃)RX Mapping'!R23,120)),9999))+IF(AND(MOD('(直掃)RX Mapping'!R23,120)=0, '(直掃)RX Mapping'!R23 &lt;= 480,  '(直掃)RX Mapping'!R23 &gt; 0), 120)</f>
        <v>38</v>
      </c>
      <c r="S23">
        <f>IF(
(AND('(直掃)RX Mapping'!S23&gt;=0,'(直掃)RX Mapping'!S23&lt;=480)),
(MOD('(直掃)RX Mapping'!S23,120)-1),
IF(
(AND('(直掃)RX Mapping'!S23&gt;=480,'(直掃)RX Mapping'!S23&lt;=960)),
IF(MOD('(直掃)RX Mapping'!S23,120)=0, 120, 240-MOD('(直掃)RX Mapping'!S23,120)),9999))+IF(AND(MOD('(直掃)RX Mapping'!S23,120)=0, '(直掃)RX Mapping'!S23 &lt;= 480,  '(直掃)RX Mapping'!S23 &gt; 0), 120)</f>
        <v>8</v>
      </c>
      <c r="T23">
        <f>IF(
(AND('(直掃)RX Mapping'!T23&gt;=0,'(直掃)RX Mapping'!T23&lt;=480)),
(MOD('(直掃)RX Mapping'!T23,120)-1),
IF(
(AND('(直掃)RX Mapping'!T23&gt;=480,'(直掃)RX Mapping'!T23&lt;=960)),
IF(MOD('(直掃)RX Mapping'!T23,120)=0, 120, 240-MOD('(直掃)RX Mapping'!T23,120)),9999))+IF(AND(MOD('(直掃)RX Mapping'!T23,120)=0, '(直掃)RX Mapping'!T23 &lt;= 480,  '(直掃)RX Mapping'!T23 &gt; 0), 120)</f>
        <v>98</v>
      </c>
      <c r="U23">
        <f>IF(
(AND('(直掃)RX Mapping'!U23&gt;=0,'(直掃)RX Mapping'!U23&lt;=480)),
(MOD('(直掃)RX Mapping'!U23,120)-1),
IF(
(AND('(直掃)RX Mapping'!U23&gt;=480,'(直掃)RX Mapping'!U23&lt;=960)),
IF(MOD('(直掃)RX Mapping'!U23,120)=0, 120, 240-MOD('(直掃)RX Mapping'!U23,120)),9999))+IF(AND(MOD('(直掃)RX Mapping'!U23,120)=0, '(直掃)RX Mapping'!U23 &lt;= 480,  '(直掃)RX Mapping'!U23 &gt; 0), 120)</f>
        <v>68</v>
      </c>
      <c r="V23">
        <f>IF(
(AND('(直掃)RX Mapping'!V23&gt;=0,'(直掃)RX Mapping'!V23&lt;=480)),
(MOD('(直掃)RX Mapping'!V23,120)-1),
IF(
(AND('(直掃)RX Mapping'!V23&gt;=480,'(直掃)RX Mapping'!V23&lt;=960)),
IF(MOD('(直掃)RX Mapping'!V23,120)=0, 120, 240-MOD('(直掃)RX Mapping'!V23,120)),9999))+IF(AND(MOD('(直掃)RX Mapping'!V23,120)=0, '(直掃)RX Mapping'!V23 &lt;= 480,  '(直掃)RX Mapping'!V23 &gt; 0), 120)</f>
        <v>38</v>
      </c>
      <c r="W23">
        <f>IF(
(AND('(直掃)RX Mapping'!W23&gt;=0,'(直掃)RX Mapping'!W23&lt;=480)),
(MOD('(直掃)RX Mapping'!W23,120)-1),
IF(
(AND('(直掃)RX Mapping'!W23&gt;=480,'(直掃)RX Mapping'!W23&lt;=960)),
IF(MOD('(直掃)RX Mapping'!W23,120)=0, 120, 240-MOD('(直掃)RX Mapping'!W23,120)),9999))+IF(AND(MOD('(直掃)RX Mapping'!W23,120)=0, '(直掃)RX Mapping'!W23 &lt;= 480,  '(直掃)RX Mapping'!W23 &gt; 0), 120)</f>
        <v>8</v>
      </c>
      <c r="X23">
        <f>IF(
(AND('(直掃)RX Mapping'!X23&gt;=0,'(直掃)RX Mapping'!X23&lt;=480)),
(MOD('(直掃)RX Mapping'!X23,120)-1),
IF(
(AND('(直掃)RX Mapping'!X23&gt;=480,'(直掃)RX Mapping'!X23&lt;=960)),
IF(MOD('(直掃)RX Mapping'!X23,120)=0, 120, 240-MOD('(直掃)RX Mapping'!X23,120)),9999))+IF(AND(MOD('(直掃)RX Mapping'!X23,120)=0, '(直掃)RX Mapping'!X23 &lt;= 480,  '(直掃)RX Mapping'!X23 &gt; 0), 120)</f>
        <v>68</v>
      </c>
      <c r="Y23">
        <f>IF(
(AND('(直掃)RX Mapping'!Y23&gt;=0,'(直掃)RX Mapping'!Y23&lt;=480)),
(MOD('(直掃)RX Mapping'!Y23,120)-1),
IF(
(AND('(直掃)RX Mapping'!Y23&gt;=480,'(直掃)RX Mapping'!Y23&lt;=960)),
IF(MOD('(直掃)RX Mapping'!Y23,120)=0, 120, 240-MOD('(直掃)RX Mapping'!Y23,120)),9999))+IF(AND(MOD('(直掃)RX Mapping'!Y23,120)=0, '(直掃)RX Mapping'!Y23 &lt;= 480,  '(直掃)RX Mapping'!Y23 &gt; 0), 120)</f>
        <v>38</v>
      </c>
      <c r="Z23">
        <f>IF(
(AND('(直掃)RX Mapping'!Z23&gt;=0,'(直掃)RX Mapping'!Z23&lt;=480)),
(MOD('(直掃)RX Mapping'!Z23,120)-1),
IF(
(AND('(直掃)RX Mapping'!Z23&gt;=480,'(直掃)RX Mapping'!Z23&lt;=960)),
IF(MOD('(直掃)RX Mapping'!Z23,120)=0, 120, 240-MOD('(直掃)RX Mapping'!Z23,120)),9999))+IF(AND(MOD('(直掃)RX Mapping'!Z23,120)=0, '(直掃)RX Mapping'!Z23 &lt;= 480,  '(直掃)RX Mapping'!Z23 &gt; 0), 120)</f>
        <v>8</v>
      </c>
      <c r="AA23">
        <f>IF(
(AND('(直掃)RX Mapping'!AA23&gt;=0,'(直掃)RX Mapping'!AA23&lt;=480)),
(MOD('(直掃)RX Mapping'!AA23,120)-1),
IF(
(AND('(直掃)RX Mapping'!AA23&gt;=480,'(直掃)RX Mapping'!AA23&lt;=960)),
IF(MOD('(直掃)RX Mapping'!AA23,120)=0, 120, 240-MOD('(直掃)RX Mapping'!AA23,120)),9999))+IF(AND(MOD('(直掃)RX Mapping'!AA23,120)=0, '(直掃)RX Mapping'!AA23 &lt;= 480,  '(直掃)RX Mapping'!AA23 &gt; 0), 120)</f>
        <v>68</v>
      </c>
      <c r="AB23">
        <f>IF(
(AND('(直掃)RX Mapping'!AB23&gt;=0,'(直掃)RX Mapping'!AB23&lt;=480)),
(MOD('(直掃)RX Mapping'!AB23,120)-1),
IF(
(AND('(直掃)RX Mapping'!AB23&gt;=480,'(直掃)RX Mapping'!AB23&lt;=960)),
IF(MOD('(直掃)RX Mapping'!AB23,120)=0, 120, 240-MOD('(直掃)RX Mapping'!AB23,120)),9999))+IF(AND(MOD('(直掃)RX Mapping'!AB23,120)=0, '(直掃)RX Mapping'!AB23 &lt;= 480,  '(直掃)RX Mapping'!AB23 &gt; 0), 120)</f>
        <v>38</v>
      </c>
      <c r="AC23">
        <f>IF(
(AND('(直掃)RX Mapping'!AC23&gt;=0,'(直掃)RX Mapping'!AC23&lt;=480)),
(MOD('(直掃)RX Mapping'!AC23,120)-1),
IF(
(AND('(直掃)RX Mapping'!AC23&gt;=480,'(直掃)RX Mapping'!AC23&lt;=960)),
IF(MOD('(直掃)RX Mapping'!AC23,120)=0, 120, 240-MOD('(直掃)RX Mapping'!AC23,120)),9999))+IF(AND(MOD('(直掃)RX Mapping'!AC23,120)=0, '(直掃)RX Mapping'!AC23 &lt;= 480,  '(直掃)RX Mapping'!AC23 &gt; 0), 120)</f>
        <v>8</v>
      </c>
      <c r="AD23">
        <f>IF(
(AND('(直掃)RX Mapping'!AD23&gt;=0,'(直掃)RX Mapping'!AD23&lt;=480)),
(MOD('(直掃)RX Mapping'!AD23,120)-1),
IF(
(AND('(直掃)RX Mapping'!AD23&gt;=480,'(直掃)RX Mapping'!AD23&lt;=960)),
IF(MOD('(直掃)RX Mapping'!AD23,120)=0, 120, 240-MOD('(直掃)RX Mapping'!AD23,120)),9999))+IF(AND(MOD('(直掃)RX Mapping'!AD23,120)=0, '(直掃)RX Mapping'!AD23 &lt;= 480,  '(直掃)RX Mapping'!AD23 &gt; 0), 120)</f>
        <v>-1</v>
      </c>
      <c r="AE23">
        <f>IF(
(AND('(直掃)RX Mapping'!AE23&gt;=0,'(直掃)RX Mapping'!AE23&lt;=480)),
(MOD('(直掃)RX Mapping'!AE23,120)-1),
IF(
(AND('(直掃)RX Mapping'!AE23&gt;=480,'(直掃)RX Mapping'!AE23&lt;=960)),
IF(MOD('(直掃)RX Mapping'!AE23,120)=0, 120, 240-MOD('(直掃)RX Mapping'!AE23,120)),9999))+IF(AND(MOD('(直掃)RX Mapping'!AE23,120)=0, '(直掃)RX Mapping'!AE23 &lt;= 480,  '(直掃)RX Mapping'!AE23 &gt; 0), 120)</f>
        <v>-1</v>
      </c>
      <c r="AF23">
        <f>IF(
(AND('(直掃)RX Mapping'!AF23&gt;=0,'(直掃)RX Mapping'!AF23&lt;=480)),
(MOD('(直掃)RX Mapping'!AF23,120)-1),
IF(
(AND('(直掃)RX Mapping'!AF23&gt;=480,'(直掃)RX Mapping'!AF23&lt;=960)),
IF(MOD('(直掃)RX Mapping'!AF23,120)=0, 120, 240-MOD('(直掃)RX Mapping'!AF23,120)),9999))+IF(AND(MOD('(直掃)RX Mapping'!AF23,120)=0, '(直掃)RX Mapping'!AF23 &lt;= 480,  '(直掃)RX Mapping'!AF23 &gt; 0), 120)</f>
        <v>-1</v>
      </c>
      <c r="AG23">
        <f>IF(
(AND('(直掃)RX Mapping'!AG23&gt;=0,'(直掃)RX Mapping'!AG23&lt;=480)),
(MOD('(直掃)RX Mapping'!AG23,120)-1),
IF(
(AND('(直掃)RX Mapping'!AG23&gt;=480,'(直掃)RX Mapping'!AG23&lt;=960)),
IF(MOD('(直掃)RX Mapping'!AG23,120)=0, 120, 240-MOD('(直掃)RX Mapping'!AG23,120)),9999))+IF(AND(MOD('(直掃)RX Mapping'!AG23,120)=0, '(直掃)RX Mapping'!AG23 &lt;= 480,  '(直掃)RX Mapping'!AG23 &gt; 0), 120)</f>
        <v>-1</v>
      </c>
      <c r="AH23">
        <f>IF(
(AND('(直掃)RX Mapping'!AH23&gt;=0,'(直掃)RX Mapping'!AH23&lt;=480)),
(MOD('(直掃)RX Mapping'!AH23,120)-1),
IF(
(AND('(直掃)RX Mapping'!AH23&gt;=480,'(直掃)RX Mapping'!AH23&lt;=960)),
IF(MOD('(直掃)RX Mapping'!AH23,120)=0, 120, 240-MOD('(直掃)RX Mapping'!AH23,120)),9999))+IF(AND(MOD('(直掃)RX Mapping'!AH23,120)=0, '(直掃)RX Mapping'!AH23 &lt;= 480,  '(直掃)RX Mapping'!AH23 &gt; 0), 120)</f>
        <v>-1</v>
      </c>
      <c r="AI23">
        <f>IF(
(AND('(直掃)RX Mapping'!AI23&gt;=0,'(直掃)RX Mapping'!AI23&lt;=480)),
(MOD('(直掃)RX Mapping'!AI23,120)-1),
IF(
(AND('(直掃)RX Mapping'!AI23&gt;=480,'(直掃)RX Mapping'!AI23&lt;=960)),
IF(MOD('(直掃)RX Mapping'!AI23,120)=0, 120, 240-MOD('(直掃)RX Mapping'!AI23,120)),9999))+IF(AND(MOD('(直掃)RX Mapping'!AI23,120)=0, '(直掃)RX Mapping'!AI23 &lt;= 480,  '(直掃)RX Mapping'!AI23 &gt; 0), 120)</f>
        <v>-1</v>
      </c>
      <c r="AJ23">
        <f>IF(
(AND('(直掃)RX Mapping'!AJ23&gt;=0,'(直掃)RX Mapping'!AJ23&lt;=480)),
(MOD('(直掃)RX Mapping'!AJ23,120)-1),
IF(
(AND('(直掃)RX Mapping'!AJ23&gt;=480,'(直掃)RX Mapping'!AJ23&lt;=960)),
IF(MOD('(直掃)RX Mapping'!AJ23,120)=0, 120, 240-MOD('(直掃)RX Mapping'!AJ23,120)),9999))+IF(AND(MOD('(直掃)RX Mapping'!AJ23,120)=0, '(直掃)RX Mapping'!AJ23 &lt;= 480,  '(直掃)RX Mapping'!AJ23 &gt; 0), 120)</f>
        <v>-1</v>
      </c>
      <c r="AK23">
        <f>IF(
(AND('(直掃)RX Mapping'!AK23&gt;=0,'(直掃)RX Mapping'!AK23&lt;=480)),
(MOD('(直掃)RX Mapping'!AK23,120)-1),
IF(
(AND('(直掃)RX Mapping'!AK23&gt;=480,'(直掃)RX Mapping'!AK23&lt;=960)),
IF(MOD('(直掃)RX Mapping'!AK23,120)=0, 120, 240-MOD('(直掃)RX Mapping'!AK23,120)),9999))+IF(AND(MOD('(直掃)RX Mapping'!AK23,120)=0, '(直掃)RX Mapping'!AK23 &lt;= 480,  '(直掃)RX Mapping'!AK23 &gt; 0), 120)</f>
        <v>-1</v>
      </c>
      <c r="AL23">
        <f>IF(
(AND('(直掃)RX Mapping'!AL23&gt;=0,'(直掃)RX Mapping'!AL23&lt;=480)),
(MOD('(直掃)RX Mapping'!AL23,120)-1),
IF(
(AND('(直掃)RX Mapping'!AL23&gt;=480,'(直掃)RX Mapping'!AL23&lt;=960)),
IF(MOD('(直掃)RX Mapping'!AL23,120)=0, 120, 240-MOD('(直掃)RX Mapping'!AL23,120)),9999))+IF(AND(MOD('(直掃)RX Mapping'!AL23,120)=0, '(直掃)RX Mapping'!AL23 &lt;= 480,  '(直掃)RX Mapping'!AL23 &gt; 0), 120)</f>
        <v>-1</v>
      </c>
      <c r="AM23">
        <f>IF(
(AND('(直掃)RX Mapping'!AM23&gt;=0,'(直掃)RX Mapping'!AM23&lt;=480)),
(MOD('(直掃)RX Mapping'!AM23,120)-1),
IF(
(AND('(直掃)RX Mapping'!AM23&gt;=480,'(直掃)RX Mapping'!AM23&lt;=960)),
IF(MOD('(直掃)RX Mapping'!AM23,120)=0, 120, 240-MOD('(直掃)RX Mapping'!AM23,120)),9999))+IF(AND(MOD('(直掃)RX Mapping'!AM23,120)=0, '(直掃)RX Mapping'!AM23 &lt;= 480,  '(直掃)RX Mapping'!AM23 &gt; 0), 120)</f>
        <v>-1</v>
      </c>
      <c r="AN23">
        <f>IF(
(AND('(直掃)RX Mapping'!AN23&gt;=0,'(直掃)RX Mapping'!AN23&lt;=480)),
(MOD('(直掃)RX Mapping'!AN23,120)-1),
IF(
(AND('(直掃)RX Mapping'!AN23&gt;=480,'(直掃)RX Mapping'!AN23&lt;=960)),
IF(MOD('(直掃)RX Mapping'!AN23,120)=0, 120, 240-MOD('(直掃)RX Mapping'!AN23,120)),9999))+IF(AND(MOD('(直掃)RX Mapping'!AN23,120)=0, '(直掃)RX Mapping'!AN23 &lt;= 480,  '(直掃)RX Mapping'!AN23 &gt; 0), 120)</f>
        <v>-1</v>
      </c>
      <c r="AO23">
        <f>IF(
(AND('(直掃)RX Mapping'!AO23&gt;=0,'(直掃)RX Mapping'!AO23&lt;=480)),
(MOD('(直掃)RX Mapping'!AO23,120)-1),
IF(
(AND('(直掃)RX Mapping'!AO23&gt;=480,'(直掃)RX Mapping'!AO23&lt;=960)),
IF(MOD('(直掃)RX Mapping'!AO23,120)=0, 120, 240-MOD('(直掃)RX Mapping'!AO23,120)),9999))+IF(AND(MOD('(直掃)RX Mapping'!AO23,120)=0, '(直掃)RX Mapping'!AO23 &lt;= 480,  '(直掃)RX Mapping'!AO23 &gt; 0), 120)</f>
        <v>-1</v>
      </c>
      <c r="AP23">
        <f>IF(
(AND('(直掃)RX Mapping'!AP23&gt;=0,'(直掃)RX Mapping'!AP23&lt;=480)),
(MOD('(直掃)RX Mapping'!AP23,120)-1),
IF(
(AND('(直掃)RX Mapping'!AP23&gt;=480,'(直掃)RX Mapping'!AP23&lt;=960)),
IF(MOD('(直掃)RX Mapping'!AP23,120)=0, 120, 240-MOD('(直掃)RX Mapping'!AP23,120)),9999))+IF(AND(MOD('(直掃)RX Mapping'!AP23,120)=0, '(直掃)RX Mapping'!AP23 &lt;= 480,  '(直掃)RX Mapping'!AP23 &gt; 0), 120)</f>
        <v>-1</v>
      </c>
      <c r="AQ23">
        <f>IF(
(AND('(直掃)RX Mapping'!AQ23&gt;=0,'(直掃)RX Mapping'!AQ23&lt;=480)),
(MOD('(直掃)RX Mapping'!AQ23,120)-1),
IF(
(AND('(直掃)RX Mapping'!AQ23&gt;=480,'(直掃)RX Mapping'!AQ23&lt;=960)),
IF(MOD('(直掃)RX Mapping'!AQ23,120)=0, 120, 240-MOD('(直掃)RX Mapping'!AQ23,120)),9999))+IF(AND(MOD('(直掃)RX Mapping'!AQ23,120)=0, '(直掃)RX Mapping'!AQ23 &lt;= 480,  '(直掃)RX Mapping'!AQ23 &gt; 0), 120)</f>
        <v>-1</v>
      </c>
      <c r="AR23">
        <f>IF(
(AND('(直掃)RX Mapping'!AR23&gt;=0,'(直掃)RX Mapping'!AR23&lt;=480)),
(MOD('(直掃)RX Mapping'!AR23,120)-1),
IF(
(AND('(直掃)RX Mapping'!AR23&gt;=480,'(直掃)RX Mapping'!AR23&lt;=960)),
IF(MOD('(直掃)RX Mapping'!AR23,120)=0, 120, 240-MOD('(直掃)RX Mapping'!AR23,120)),9999))+IF(AND(MOD('(直掃)RX Mapping'!AR23,120)=0, '(直掃)RX Mapping'!AR23 &lt;= 480,  '(直掃)RX Mapping'!AR23 &gt; 0), 120)</f>
        <v>-1</v>
      </c>
      <c r="AS23">
        <f>IF(
(AND('(直掃)RX Mapping'!AS23&gt;=0,'(直掃)RX Mapping'!AS23&lt;=480)),
(MOD('(直掃)RX Mapping'!AS23,120)-1),
IF(
(AND('(直掃)RX Mapping'!AS23&gt;=480,'(直掃)RX Mapping'!AS23&lt;=960)),
IF(MOD('(直掃)RX Mapping'!AS23,120)=0, 120, 240-MOD('(直掃)RX Mapping'!AS23,120)),9999))+IF(AND(MOD('(直掃)RX Mapping'!AS23,120)=0, '(直掃)RX Mapping'!AS23 &lt;= 480,  '(直掃)RX Mapping'!AS23 &gt; 0), 120)</f>
        <v>-1</v>
      </c>
      <c r="AT23">
        <f>IF(AND('(橫掃)RX Mapping'!AT23&gt;=1,'(橫掃)RX Mapping'!AT23&lt;=120), ('(橫掃)RX Mapping'!AT23-1),IF(AND('(橫掃)RX Mapping'!AT23&gt;=121,'(橫掃)RX Mapping'!AT23&lt;=240), (-1)*('(橫掃)RX Mapping'!AT23-240),IF(AND('(橫掃)RX Mapping'!AT23&gt;=241,'(橫掃)RX Mapping'!AT23&lt;=360), ('(橫掃)RX Mapping'!AT23-241),IF(AND('(橫掃)RX Mapping'!AT23&gt;=361,'(橫掃)RX Mapping'!AT23&lt;=480), (-1)*('(橫掃)RX Mapping'!AT23-480),IF(AND('(橫掃)RX Mapping'!AT23&gt;=481,'(橫掃)RX Mapping'!AT23&lt;=600), ('(橫掃)RX Mapping'!AT23-361),IF(AND('(橫掃)RX Mapping'!AT23&gt;=601,'(橫掃)RX Mapping'!AT23&lt;=720), (-1)*('(橫掃)RX Mapping'!AT23-720)+120,IF(AND('(橫掃)RX Mapping'!AT23&gt;=721,'(橫掃)RX Mapping'!AT23&lt;=840), ('(橫掃)RX Mapping'!AT23-601),IF(AND('(橫掃)RX Mapping'!AT23&gt;=841,'(橫掃)RX Mapping'!AT23&lt;=960), (-1)*('(橫掃)RX Mapping'!AT23-960)+120,9999))))))))</f>
        <v>9999</v>
      </c>
      <c r="AU23">
        <f>IF(AND('(橫掃)RX Mapping'!AU23&gt;=1,'(橫掃)RX Mapping'!AU23&lt;=120), ('(橫掃)RX Mapping'!AU23-1),IF(AND('(橫掃)RX Mapping'!AU23&gt;=121,'(橫掃)RX Mapping'!AU23&lt;=240), (-1)*('(橫掃)RX Mapping'!AU23-240),IF(AND('(橫掃)RX Mapping'!AU23&gt;=241,'(橫掃)RX Mapping'!AU23&lt;=360), ('(橫掃)RX Mapping'!AU23-241),IF(AND('(橫掃)RX Mapping'!AU23&gt;=361,'(橫掃)RX Mapping'!AU23&lt;=480), (-1)*('(橫掃)RX Mapping'!AU23-480),IF(AND('(橫掃)RX Mapping'!AU23&gt;=481,'(橫掃)RX Mapping'!AU23&lt;=600), ('(橫掃)RX Mapping'!AU23-361),IF(AND('(橫掃)RX Mapping'!AU23&gt;=601,'(橫掃)RX Mapping'!AU23&lt;=720), (-1)*('(橫掃)RX Mapping'!AU23-720)+120,IF(AND('(橫掃)RX Mapping'!AU23&gt;=721,'(橫掃)RX Mapping'!AU23&lt;=840), ('(橫掃)RX Mapping'!AU23-601),IF(AND('(橫掃)RX Mapping'!AU23&gt;=841,'(橫掃)RX Mapping'!AU23&lt;=960), (-1)*('(橫掃)RX Mapping'!AU23-960)+120,9999))))))))</f>
        <v>9999</v>
      </c>
      <c r="AV23">
        <f>IF(AND('(橫掃)RX Mapping'!AV23&gt;=1,'(橫掃)RX Mapping'!AV23&lt;=120), ('(橫掃)RX Mapping'!AV23-1),IF(AND('(橫掃)RX Mapping'!AV23&gt;=121,'(橫掃)RX Mapping'!AV23&lt;=240), (-1)*('(橫掃)RX Mapping'!AV23-240),IF(AND('(橫掃)RX Mapping'!AV23&gt;=241,'(橫掃)RX Mapping'!AV23&lt;=360), ('(橫掃)RX Mapping'!AV23-241),IF(AND('(橫掃)RX Mapping'!AV23&gt;=361,'(橫掃)RX Mapping'!AV23&lt;=480), (-1)*('(橫掃)RX Mapping'!AV23-480),IF(AND('(橫掃)RX Mapping'!AV23&gt;=481,'(橫掃)RX Mapping'!AV23&lt;=600), ('(橫掃)RX Mapping'!AV23-361),IF(AND('(橫掃)RX Mapping'!AV23&gt;=601,'(橫掃)RX Mapping'!AV23&lt;=720), (-1)*('(橫掃)RX Mapping'!AV23-720)+120,IF(AND('(橫掃)RX Mapping'!AV23&gt;=721,'(橫掃)RX Mapping'!AV23&lt;=840), ('(橫掃)RX Mapping'!AV23-601),IF(AND('(橫掃)RX Mapping'!AV23&gt;=841,'(橫掃)RX Mapping'!AV23&lt;=960), (-1)*('(橫掃)RX Mapping'!AV23-960)+120,9999))))))))</f>
        <v>9999</v>
      </c>
      <c r="AW23">
        <f>IF(AND('(橫掃)RX Mapping'!AW23&gt;=1,'(橫掃)RX Mapping'!AW23&lt;=120), ('(橫掃)RX Mapping'!AW23-1),IF(AND('(橫掃)RX Mapping'!AW23&gt;=121,'(橫掃)RX Mapping'!AW23&lt;=240), (-1)*('(橫掃)RX Mapping'!AW23-240),IF(AND('(橫掃)RX Mapping'!AW23&gt;=241,'(橫掃)RX Mapping'!AW23&lt;=360), ('(橫掃)RX Mapping'!AW23-241),IF(AND('(橫掃)RX Mapping'!AW23&gt;=361,'(橫掃)RX Mapping'!AW23&lt;=480), (-1)*('(橫掃)RX Mapping'!AW23-480),IF(AND('(橫掃)RX Mapping'!AW23&gt;=481,'(橫掃)RX Mapping'!AW23&lt;=600), ('(橫掃)RX Mapping'!AW23-361),IF(AND('(橫掃)RX Mapping'!AW23&gt;=601,'(橫掃)RX Mapping'!AW23&lt;=720), (-1)*('(橫掃)RX Mapping'!AW23-720)+120,IF(AND('(橫掃)RX Mapping'!AW23&gt;=721,'(橫掃)RX Mapping'!AW23&lt;=840), ('(橫掃)RX Mapping'!AW23-601),IF(AND('(橫掃)RX Mapping'!AW23&gt;=841,'(橫掃)RX Mapping'!AW23&lt;=960), (-1)*('(橫掃)RX Mapping'!AW23-960)+120,9999))))))))</f>
        <v>9999</v>
      </c>
      <c r="AX23">
        <f>IF(AND('(橫掃)RX Mapping'!AX23&gt;=1,'(橫掃)RX Mapping'!AX23&lt;=120), ('(橫掃)RX Mapping'!AX23-1),IF(AND('(橫掃)RX Mapping'!AX23&gt;=121,'(橫掃)RX Mapping'!AX23&lt;=240), (-1)*('(橫掃)RX Mapping'!AX23-240),IF(AND('(橫掃)RX Mapping'!AX23&gt;=241,'(橫掃)RX Mapping'!AX23&lt;=360), ('(橫掃)RX Mapping'!AX23-241),IF(AND('(橫掃)RX Mapping'!AX23&gt;=361,'(橫掃)RX Mapping'!AX23&lt;=480), (-1)*('(橫掃)RX Mapping'!AX23-480),IF(AND('(橫掃)RX Mapping'!AX23&gt;=481,'(橫掃)RX Mapping'!AX23&lt;=600), ('(橫掃)RX Mapping'!AX23-361),IF(AND('(橫掃)RX Mapping'!AX23&gt;=601,'(橫掃)RX Mapping'!AX23&lt;=720), (-1)*('(橫掃)RX Mapping'!AX23-720)+120,IF(AND('(橫掃)RX Mapping'!AX23&gt;=721,'(橫掃)RX Mapping'!AX23&lt;=840), ('(橫掃)RX Mapping'!AX23-601),IF(AND('(橫掃)RX Mapping'!AX23&gt;=841,'(橫掃)RX Mapping'!AX23&lt;=960), (-1)*('(橫掃)RX Mapping'!AX23-960)+120,9999))))))))</f>
        <v>9999</v>
      </c>
      <c r="AY23">
        <f>IF(AND('(橫掃)RX Mapping'!AY23&gt;=1,'(橫掃)RX Mapping'!AY23&lt;=120), ('(橫掃)RX Mapping'!AY23-1),IF(AND('(橫掃)RX Mapping'!AY23&gt;=121,'(橫掃)RX Mapping'!AY23&lt;=240), (-1)*('(橫掃)RX Mapping'!AY23-240),IF(AND('(橫掃)RX Mapping'!AY23&gt;=241,'(橫掃)RX Mapping'!AY23&lt;=360), ('(橫掃)RX Mapping'!AY23-241),IF(AND('(橫掃)RX Mapping'!AY23&gt;=361,'(橫掃)RX Mapping'!AY23&lt;=480), (-1)*('(橫掃)RX Mapping'!AY23-480),IF(AND('(橫掃)RX Mapping'!AY23&gt;=481,'(橫掃)RX Mapping'!AY23&lt;=600), ('(橫掃)RX Mapping'!AY23-361),IF(AND('(橫掃)RX Mapping'!AY23&gt;=601,'(橫掃)RX Mapping'!AY23&lt;=720), (-1)*('(橫掃)RX Mapping'!AY23-720)+120,IF(AND('(橫掃)RX Mapping'!AY23&gt;=721,'(橫掃)RX Mapping'!AY23&lt;=840), ('(橫掃)RX Mapping'!AY23-601),IF(AND('(橫掃)RX Mapping'!AY23&gt;=841,'(橫掃)RX Mapping'!AY23&lt;=960), (-1)*('(橫掃)RX Mapping'!AY23-960)+120,9999))))))))</f>
        <v>9999</v>
      </c>
      <c r="AZ23">
        <f>IF(AND('(橫掃)RX Mapping'!AZ23&gt;=1,'(橫掃)RX Mapping'!AZ23&lt;=120), ('(橫掃)RX Mapping'!AZ23-1),IF(AND('(橫掃)RX Mapping'!AZ23&gt;=121,'(橫掃)RX Mapping'!AZ23&lt;=240), (-1)*('(橫掃)RX Mapping'!AZ23-240),IF(AND('(橫掃)RX Mapping'!AZ23&gt;=241,'(橫掃)RX Mapping'!AZ23&lt;=360), ('(橫掃)RX Mapping'!AZ23-241),IF(AND('(橫掃)RX Mapping'!AZ23&gt;=361,'(橫掃)RX Mapping'!AZ23&lt;=480), (-1)*('(橫掃)RX Mapping'!AZ23-480),IF(AND('(橫掃)RX Mapping'!AZ23&gt;=481,'(橫掃)RX Mapping'!AZ23&lt;=600), ('(橫掃)RX Mapping'!AZ23-361),IF(AND('(橫掃)RX Mapping'!AZ23&gt;=601,'(橫掃)RX Mapping'!AZ23&lt;=720), (-1)*('(橫掃)RX Mapping'!AZ23-720)+120,IF(AND('(橫掃)RX Mapping'!AZ23&gt;=721,'(橫掃)RX Mapping'!AZ23&lt;=840), ('(橫掃)RX Mapping'!AZ23-601),IF(AND('(橫掃)RX Mapping'!AZ23&gt;=841,'(橫掃)RX Mapping'!AZ23&lt;=960), (-1)*('(橫掃)RX Mapping'!AZ23-960)+120,9999))))))))</f>
        <v>9999</v>
      </c>
      <c r="BA23">
        <f>IF(AND('(橫掃)RX Mapping'!BA23&gt;=1,'(橫掃)RX Mapping'!BA23&lt;=120), ('(橫掃)RX Mapping'!BA23-1),IF(AND('(橫掃)RX Mapping'!BA23&gt;=121,'(橫掃)RX Mapping'!BA23&lt;=240), (-1)*('(橫掃)RX Mapping'!BA23-240),IF(AND('(橫掃)RX Mapping'!BA23&gt;=241,'(橫掃)RX Mapping'!BA23&lt;=360), ('(橫掃)RX Mapping'!BA23-241),IF(AND('(橫掃)RX Mapping'!BA23&gt;=361,'(橫掃)RX Mapping'!BA23&lt;=480), (-1)*('(橫掃)RX Mapping'!BA23-480),IF(AND('(橫掃)RX Mapping'!BA23&gt;=481,'(橫掃)RX Mapping'!BA23&lt;=600), ('(橫掃)RX Mapping'!BA23-361),IF(AND('(橫掃)RX Mapping'!BA23&gt;=601,'(橫掃)RX Mapping'!BA23&lt;=720), (-1)*('(橫掃)RX Mapping'!BA23-720)+120,IF(AND('(橫掃)RX Mapping'!BA23&gt;=721,'(橫掃)RX Mapping'!BA23&lt;=840), ('(橫掃)RX Mapping'!BA23-601),IF(AND('(橫掃)RX Mapping'!BA23&gt;=841,'(橫掃)RX Mapping'!BA23&lt;=960), (-1)*('(橫掃)RX Mapping'!BA23-960)+120,9999))))))))</f>
        <v>9999</v>
      </c>
      <c r="BB23">
        <f>IF(AND('(橫掃)RX Mapping'!BB23&gt;=1,'(橫掃)RX Mapping'!BB23&lt;=120), ('(橫掃)RX Mapping'!BB23-1),IF(AND('(橫掃)RX Mapping'!BB23&gt;=121,'(橫掃)RX Mapping'!BB23&lt;=240), (-1)*('(橫掃)RX Mapping'!BB23-240),IF(AND('(橫掃)RX Mapping'!BB23&gt;=241,'(橫掃)RX Mapping'!BB23&lt;=360), ('(橫掃)RX Mapping'!BB23-241),IF(AND('(橫掃)RX Mapping'!BB23&gt;=361,'(橫掃)RX Mapping'!BB23&lt;=480), (-1)*('(橫掃)RX Mapping'!BB23-480),IF(AND('(橫掃)RX Mapping'!BB23&gt;=481,'(橫掃)RX Mapping'!BB23&lt;=600), ('(橫掃)RX Mapping'!BB23-361),IF(AND('(橫掃)RX Mapping'!BB23&gt;=601,'(橫掃)RX Mapping'!BB23&lt;=720), (-1)*('(橫掃)RX Mapping'!BB23-720)+120,IF(AND('(橫掃)RX Mapping'!BB23&gt;=721,'(橫掃)RX Mapping'!BB23&lt;=840), ('(橫掃)RX Mapping'!BB23-601),IF(AND('(橫掃)RX Mapping'!BB23&gt;=841,'(橫掃)RX Mapping'!BB23&lt;=960), (-1)*('(橫掃)RX Mapping'!BB23-960)+120,9999))))))))</f>
        <v>9999</v>
      </c>
      <c r="BC23">
        <f>IF(AND('(橫掃)RX Mapping'!BC23&gt;=1,'(橫掃)RX Mapping'!BC23&lt;=120), ('(橫掃)RX Mapping'!BC23-1),IF(AND('(橫掃)RX Mapping'!BC23&gt;=121,'(橫掃)RX Mapping'!BC23&lt;=240), (-1)*('(橫掃)RX Mapping'!BC23-240),IF(AND('(橫掃)RX Mapping'!BC23&gt;=241,'(橫掃)RX Mapping'!BC23&lt;=360), ('(橫掃)RX Mapping'!BC23-241),IF(AND('(橫掃)RX Mapping'!BC23&gt;=361,'(橫掃)RX Mapping'!BC23&lt;=480), (-1)*('(橫掃)RX Mapping'!BC23-480),IF(AND('(橫掃)RX Mapping'!BC23&gt;=481,'(橫掃)RX Mapping'!BC23&lt;=600), ('(橫掃)RX Mapping'!BC23-361),IF(AND('(橫掃)RX Mapping'!BC23&gt;=601,'(橫掃)RX Mapping'!BC23&lt;=720), (-1)*('(橫掃)RX Mapping'!BC23-720)+120,IF(AND('(橫掃)RX Mapping'!BC23&gt;=721,'(橫掃)RX Mapping'!BC23&lt;=840), ('(橫掃)RX Mapping'!BC23-601),IF(AND('(橫掃)RX Mapping'!BC23&gt;=841,'(橫掃)RX Mapping'!BC23&lt;=960), (-1)*('(橫掃)RX Mapping'!BC23-960)+120,9999))))))))</f>
        <v>9999</v>
      </c>
      <c r="BD23">
        <f>IF(AND('(橫掃)RX Mapping'!BD23&gt;=1,'(橫掃)RX Mapping'!BD23&lt;=120), ('(橫掃)RX Mapping'!BD23-1),IF(AND('(橫掃)RX Mapping'!BD23&gt;=121,'(橫掃)RX Mapping'!BD23&lt;=240), (-1)*('(橫掃)RX Mapping'!BD23-240),IF(AND('(橫掃)RX Mapping'!BD23&gt;=241,'(橫掃)RX Mapping'!BD23&lt;=360), ('(橫掃)RX Mapping'!BD23-241),IF(AND('(橫掃)RX Mapping'!BD23&gt;=361,'(橫掃)RX Mapping'!BD23&lt;=480), (-1)*('(橫掃)RX Mapping'!BD23-480),IF(AND('(橫掃)RX Mapping'!BD23&gt;=481,'(橫掃)RX Mapping'!BD23&lt;=600), ('(橫掃)RX Mapping'!BD23-361),IF(AND('(橫掃)RX Mapping'!BD23&gt;=601,'(橫掃)RX Mapping'!BD23&lt;=720), (-1)*('(橫掃)RX Mapping'!BD23-720)+120,IF(AND('(橫掃)RX Mapping'!BD23&gt;=721,'(橫掃)RX Mapping'!BD23&lt;=840), ('(橫掃)RX Mapping'!BD23-601),IF(AND('(橫掃)RX Mapping'!BD23&gt;=841,'(橫掃)RX Mapping'!BD23&lt;=960), (-1)*('(橫掃)RX Mapping'!BD23-960)+120,9999))))))))</f>
        <v>9999</v>
      </c>
      <c r="BE23">
        <f>IF(AND('(橫掃)RX Mapping'!BE23&gt;=1,'(橫掃)RX Mapping'!BE23&lt;=120), ('(橫掃)RX Mapping'!BE23-1),IF(AND('(橫掃)RX Mapping'!BE23&gt;=121,'(橫掃)RX Mapping'!BE23&lt;=240), (-1)*('(橫掃)RX Mapping'!BE23-240),IF(AND('(橫掃)RX Mapping'!BE23&gt;=241,'(橫掃)RX Mapping'!BE23&lt;=360), ('(橫掃)RX Mapping'!BE23-241),IF(AND('(橫掃)RX Mapping'!BE23&gt;=361,'(橫掃)RX Mapping'!BE23&lt;=480), (-1)*('(橫掃)RX Mapping'!BE23-480),IF(AND('(橫掃)RX Mapping'!BE23&gt;=481,'(橫掃)RX Mapping'!BE23&lt;=600), ('(橫掃)RX Mapping'!BE23-361),IF(AND('(橫掃)RX Mapping'!BE23&gt;=601,'(橫掃)RX Mapping'!BE23&lt;=720), (-1)*('(橫掃)RX Mapping'!BE23-720)+120,IF(AND('(橫掃)RX Mapping'!BE23&gt;=721,'(橫掃)RX Mapping'!BE23&lt;=840), ('(橫掃)RX Mapping'!BE23-601),IF(AND('(橫掃)RX Mapping'!BE23&gt;=841,'(橫掃)RX Mapping'!BE23&lt;=960), (-1)*('(橫掃)RX Mapping'!BE23-960)+120,9999))))))))</f>
        <v>9999</v>
      </c>
      <c r="BF23">
        <f>IF(AND('(橫掃)RX Mapping'!BF23&gt;=1,'(橫掃)RX Mapping'!BF23&lt;=120), ('(橫掃)RX Mapping'!BF23-1),IF(AND('(橫掃)RX Mapping'!BF23&gt;=121,'(橫掃)RX Mapping'!BF23&lt;=240), (-1)*('(橫掃)RX Mapping'!BF23-240),IF(AND('(橫掃)RX Mapping'!BF23&gt;=241,'(橫掃)RX Mapping'!BF23&lt;=360), ('(橫掃)RX Mapping'!BF23-241),IF(AND('(橫掃)RX Mapping'!BF23&gt;=361,'(橫掃)RX Mapping'!BF23&lt;=480), (-1)*('(橫掃)RX Mapping'!BF23-480),IF(AND('(橫掃)RX Mapping'!BF23&gt;=481,'(橫掃)RX Mapping'!BF23&lt;=600), ('(橫掃)RX Mapping'!BF23-361),IF(AND('(橫掃)RX Mapping'!BF23&gt;=601,'(橫掃)RX Mapping'!BF23&lt;=720), (-1)*('(橫掃)RX Mapping'!BF23-720)+120,IF(AND('(橫掃)RX Mapping'!BF23&gt;=721,'(橫掃)RX Mapping'!BF23&lt;=840), ('(橫掃)RX Mapping'!BF23-601),IF(AND('(橫掃)RX Mapping'!BF23&gt;=841,'(橫掃)RX Mapping'!BF23&lt;=960), (-1)*('(橫掃)RX Mapping'!BF23-960)+120,9999))))))))</f>
        <v>9999</v>
      </c>
      <c r="BG23">
        <f>IF(AND('(橫掃)RX Mapping'!BG23&gt;=1,'(橫掃)RX Mapping'!BG23&lt;=120), ('(橫掃)RX Mapping'!BG23-1),IF(AND('(橫掃)RX Mapping'!BG23&gt;=121,'(橫掃)RX Mapping'!BG23&lt;=240), (-1)*('(橫掃)RX Mapping'!BG23-240),IF(AND('(橫掃)RX Mapping'!BG23&gt;=241,'(橫掃)RX Mapping'!BG23&lt;=360), ('(橫掃)RX Mapping'!BG23-241),IF(AND('(橫掃)RX Mapping'!BG23&gt;=361,'(橫掃)RX Mapping'!BG23&lt;=480), (-1)*('(橫掃)RX Mapping'!BG23-480),IF(AND('(橫掃)RX Mapping'!BG23&gt;=481,'(橫掃)RX Mapping'!BG23&lt;=600), ('(橫掃)RX Mapping'!BG23-361),IF(AND('(橫掃)RX Mapping'!BG23&gt;=601,'(橫掃)RX Mapping'!BG23&lt;=720), (-1)*('(橫掃)RX Mapping'!BG23-720)+120,IF(AND('(橫掃)RX Mapping'!BG23&gt;=721,'(橫掃)RX Mapping'!BG23&lt;=840), ('(橫掃)RX Mapping'!BG23-601),IF(AND('(橫掃)RX Mapping'!BG23&gt;=841,'(橫掃)RX Mapping'!BG23&lt;=960), (-1)*('(橫掃)RX Mapping'!BG23-960)+120,9999))))))))</f>
        <v>9999</v>
      </c>
      <c r="BH23">
        <f>IF(AND('(橫掃)RX Mapping'!BH23&gt;=1,'(橫掃)RX Mapping'!BH23&lt;=120), ('(橫掃)RX Mapping'!BH23-1),IF(AND('(橫掃)RX Mapping'!BH23&gt;=121,'(橫掃)RX Mapping'!BH23&lt;=240), (-1)*('(橫掃)RX Mapping'!BH23-240),IF(AND('(橫掃)RX Mapping'!BH23&gt;=241,'(橫掃)RX Mapping'!BH23&lt;=360), ('(橫掃)RX Mapping'!BH23-241),IF(AND('(橫掃)RX Mapping'!BH23&gt;=361,'(橫掃)RX Mapping'!BH23&lt;=480), (-1)*('(橫掃)RX Mapping'!BH23-480),IF(AND('(橫掃)RX Mapping'!BH23&gt;=481,'(橫掃)RX Mapping'!BH23&lt;=600), ('(橫掃)RX Mapping'!BH23-361),IF(AND('(橫掃)RX Mapping'!BH23&gt;=601,'(橫掃)RX Mapping'!BH23&lt;=720), (-1)*('(橫掃)RX Mapping'!BH23-720)+120,IF(AND('(橫掃)RX Mapping'!BH23&gt;=721,'(橫掃)RX Mapping'!BH23&lt;=840), ('(橫掃)RX Mapping'!BH23-601),IF(AND('(橫掃)RX Mapping'!BH23&gt;=841,'(橫掃)RX Mapping'!BH23&lt;=960), (-1)*('(橫掃)RX Mapping'!BH23-960)+120,9999))))))))</f>
        <v>9999</v>
      </c>
      <c r="BI23">
        <f>IF(AND('(橫掃)RX Mapping'!BI23&gt;=1,'(橫掃)RX Mapping'!BI23&lt;=120), ('(橫掃)RX Mapping'!BI23-1),IF(AND('(橫掃)RX Mapping'!BI23&gt;=121,'(橫掃)RX Mapping'!BI23&lt;=240), (-1)*('(橫掃)RX Mapping'!BI23-240),IF(AND('(橫掃)RX Mapping'!BI23&gt;=241,'(橫掃)RX Mapping'!BI23&lt;=360), ('(橫掃)RX Mapping'!BI23-241),IF(AND('(橫掃)RX Mapping'!BI23&gt;=361,'(橫掃)RX Mapping'!BI23&lt;=480), (-1)*('(橫掃)RX Mapping'!BI23-480),IF(AND('(橫掃)RX Mapping'!BI23&gt;=481,'(橫掃)RX Mapping'!BI23&lt;=600), ('(橫掃)RX Mapping'!BI23-361),IF(AND('(橫掃)RX Mapping'!BI23&gt;=601,'(橫掃)RX Mapping'!BI23&lt;=720), (-1)*('(橫掃)RX Mapping'!BI23-720)+120,IF(AND('(橫掃)RX Mapping'!BI23&gt;=721,'(橫掃)RX Mapping'!BI23&lt;=840), ('(橫掃)RX Mapping'!BI23-601),IF(AND('(橫掃)RX Mapping'!BI23&gt;=841,'(橫掃)RX Mapping'!BI23&lt;=960), (-1)*('(橫掃)RX Mapping'!BI23-960)+120,9999))))))))</f>
        <v>9999</v>
      </c>
    </row>
    <row r="24" spans="1:61" x14ac:dyDescent="0.25">
      <c r="A24" s="20">
        <v>23</v>
      </c>
      <c r="B24">
        <f>IF(
(AND('(直掃)RX Mapping'!B24&gt;=0,'(直掃)RX Mapping'!B24&lt;=480)),
(MOD('(直掃)RX Mapping'!B24,120)-1),
IF(
(AND('(直掃)RX Mapping'!B24&gt;=480,'(直掃)RX Mapping'!B24&lt;=960)),
IF(MOD('(直掃)RX Mapping'!B24,120)=0, 120, 240-MOD('(直掃)RX Mapping'!B24,120)),9999))+IF(AND(MOD('(直掃)RX Mapping'!B24,120)=0, '(直掃)RX Mapping'!B24 &lt;= 480,  '(直掃)RX Mapping'!B24 &gt; 0), 120)</f>
        <v>142</v>
      </c>
      <c r="C24">
        <f>IF(
(AND('(直掃)RX Mapping'!C24&gt;=0,'(直掃)RX Mapping'!C24&lt;=480)),
(MOD('(直掃)RX Mapping'!C24,120)-1),
IF(
(AND('(直掃)RX Mapping'!C24&gt;=480,'(直掃)RX Mapping'!C24&lt;=960)),
IF(MOD('(直掃)RX Mapping'!C24,120)=0, 120, 240-MOD('(直掃)RX Mapping'!C24,120)),9999))+IF(AND(MOD('(直掃)RX Mapping'!C24,120)=0, '(直掃)RX Mapping'!C24 &lt;= 480,  '(直掃)RX Mapping'!C24 &gt; 0), 120)</f>
        <v>172</v>
      </c>
      <c r="D24">
        <f>IF(
(AND('(直掃)RX Mapping'!D24&gt;=0,'(直掃)RX Mapping'!D24&lt;=480)),
(MOD('(直掃)RX Mapping'!D24,120)-1),
IF(
(AND('(直掃)RX Mapping'!D24&gt;=480,'(直掃)RX Mapping'!D24&lt;=960)),
IF(MOD('(直掃)RX Mapping'!D24,120)=0, 120, 240-MOD('(直掃)RX Mapping'!D24,120)),9999))+IF(AND(MOD('(直掃)RX Mapping'!D24,120)=0, '(直掃)RX Mapping'!D24 &lt;= 480,  '(直掃)RX Mapping'!D24 &gt; 0), 120)</f>
        <v>202</v>
      </c>
      <c r="E24">
        <f>IF(
(AND('(直掃)RX Mapping'!E24&gt;=0,'(直掃)RX Mapping'!E24&lt;=480)),
(MOD('(直掃)RX Mapping'!E24,120)-1),
IF(
(AND('(直掃)RX Mapping'!E24&gt;=480,'(直掃)RX Mapping'!E24&lt;=960)),
IF(MOD('(直掃)RX Mapping'!E24,120)=0, 120, 240-MOD('(直掃)RX Mapping'!E24,120)),9999))+IF(AND(MOD('(直掃)RX Mapping'!E24,120)=0, '(直掃)RX Mapping'!E24 &lt;= 480,  '(直掃)RX Mapping'!E24 &gt; 0), 120)</f>
        <v>142</v>
      </c>
      <c r="F24">
        <f>IF(
(AND('(直掃)RX Mapping'!F24&gt;=0,'(直掃)RX Mapping'!F24&lt;=480)),
(MOD('(直掃)RX Mapping'!F24,120)-1),
IF(
(AND('(直掃)RX Mapping'!F24&gt;=480,'(直掃)RX Mapping'!F24&lt;=960)),
IF(MOD('(直掃)RX Mapping'!F24,120)=0, 120, 240-MOD('(直掃)RX Mapping'!F24,120)),9999))+IF(AND(MOD('(直掃)RX Mapping'!F24,120)=0, '(直掃)RX Mapping'!F24 &lt;= 480,  '(直掃)RX Mapping'!F24 &gt; 0), 120)</f>
        <v>172</v>
      </c>
      <c r="G24">
        <f>IF(
(AND('(直掃)RX Mapping'!G24&gt;=0,'(直掃)RX Mapping'!G24&lt;=480)),
(MOD('(直掃)RX Mapping'!G24,120)-1),
IF(
(AND('(直掃)RX Mapping'!G24&gt;=480,'(直掃)RX Mapping'!G24&lt;=960)),
IF(MOD('(直掃)RX Mapping'!G24,120)=0, 120, 240-MOD('(直掃)RX Mapping'!G24,120)),9999))+IF(AND(MOD('(直掃)RX Mapping'!G24,120)=0, '(直掃)RX Mapping'!G24 &lt;= 480,  '(直掃)RX Mapping'!G24 &gt; 0), 120)</f>
        <v>202</v>
      </c>
      <c r="H24">
        <f>IF(
(AND('(直掃)RX Mapping'!H24&gt;=0,'(直掃)RX Mapping'!H24&lt;=480)),
(MOD('(直掃)RX Mapping'!H24,120)-1),
IF(
(AND('(直掃)RX Mapping'!H24&gt;=480,'(直掃)RX Mapping'!H24&lt;=960)),
IF(MOD('(直掃)RX Mapping'!H24,120)=0, 120, 240-MOD('(直掃)RX Mapping'!H24,120)),9999))+IF(AND(MOD('(直掃)RX Mapping'!H24,120)=0, '(直掃)RX Mapping'!H24 &lt;= 480,  '(直掃)RX Mapping'!H24 &gt; 0), 120)</f>
        <v>142</v>
      </c>
      <c r="I24">
        <f>IF(
(AND('(直掃)RX Mapping'!I24&gt;=0,'(直掃)RX Mapping'!I24&lt;=480)),
(MOD('(直掃)RX Mapping'!I24,120)-1),
IF(
(AND('(直掃)RX Mapping'!I24&gt;=480,'(直掃)RX Mapping'!I24&lt;=960)),
IF(MOD('(直掃)RX Mapping'!I24,120)=0, 120, 240-MOD('(直掃)RX Mapping'!I24,120)),9999))+IF(AND(MOD('(直掃)RX Mapping'!I24,120)=0, '(直掃)RX Mapping'!I24 &lt;= 480,  '(直掃)RX Mapping'!I24 &gt; 0), 120)</f>
        <v>172</v>
      </c>
      <c r="J24">
        <f>IF(
(AND('(直掃)RX Mapping'!J24&gt;=0,'(直掃)RX Mapping'!J24&lt;=480)),
(MOD('(直掃)RX Mapping'!J24,120)-1),
IF(
(AND('(直掃)RX Mapping'!J24&gt;=480,'(直掃)RX Mapping'!J24&lt;=960)),
IF(MOD('(直掃)RX Mapping'!J24,120)=0, 120, 240-MOD('(直掃)RX Mapping'!J24,120)),9999))+IF(AND(MOD('(直掃)RX Mapping'!J24,120)=0, '(直掃)RX Mapping'!J24 &lt;= 480,  '(直掃)RX Mapping'!J24 &gt; 0), 120)</f>
        <v>202</v>
      </c>
      <c r="K24">
        <f>IF(
(AND('(直掃)RX Mapping'!K24&gt;=0,'(直掃)RX Mapping'!K24&lt;=480)),
(MOD('(直掃)RX Mapping'!K24,120)-1),
IF(
(AND('(直掃)RX Mapping'!K24&gt;=480,'(直掃)RX Mapping'!K24&lt;=960)),
IF(MOD('(直掃)RX Mapping'!K24,120)=0, 120, 240-MOD('(直掃)RX Mapping'!K24,120)),9999))+IF(AND(MOD('(直掃)RX Mapping'!K24,120)=0, '(直掃)RX Mapping'!K24 &lt;= 480,  '(直掃)RX Mapping'!K24 &gt; 0), 120)</f>
        <v>232</v>
      </c>
      <c r="L24">
        <f>IF(
(AND('(直掃)RX Mapping'!L24&gt;=0,'(直掃)RX Mapping'!L24&lt;=480)),
(MOD('(直掃)RX Mapping'!L24,120)-1),
IF(
(AND('(直掃)RX Mapping'!L24&gt;=480,'(直掃)RX Mapping'!L24&lt;=960)),
IF(MOD('(直掃)RX Mapping'!L24,120)=0, 120, 240-MOD('(直掃)RX Mapping'!L24,120)),9999))+IF(AND(MOD('(直掃)RX Mapping'!L24,120)=0, '(直掃)RX Mapping'!L24 &lt;= 480,  '(直掃)RX Mapping'!L24 &gt; 0), 120)</f>
        <v>142</v>
      </c>
      <c r="M24">
        <f>IF(
(AND('(直掃)RX Mapping'!M24&gt;=0,'(直掃)RX Mapping'!M24&lt;=480)),
(MOD('(直掃)RX Mapping'!M24,120)-1),
IF(
(AND('(直掃)RX Mapping'!M24&gt;=480,'(直掃)RX Mapping'!M24&lt;=960)),
IF(MOD('(直掃)RX Mapping'!M24,120)=0, 120, 240-MOD('(直掃)RX Mapping'!M24,120)),9999))+IF(AND(MOD('(直掃)RX Mapping'!M24,120)=0, '(直掃)RX Mapping'!M24 &lt;= 480,  '(直掃)RX Mapping'!M24 &gt; 0), 120)</f>
        <v>172</v>
      </c>
      <c r="N24">
        <f>IF(
(AND('(直掃)RX Mapping'!N24&gt;=0,'(直掃)RX Mapping'!N24&lt;=480)),
(MOD('(直掃)RX Mapping'!N24,120)-1),
IF(
(AND('(直掃)RX Mapping'!N24&gt;=480,'(直掃)RX Mapping'!N24&lt;=960)),
IF(MOD('(直掃)RX Mapping'!N24,120)=0, 120, 240-MOD('(直掃)RX Mapping'!N24,120)),9999))+IF(AND(MOD('(直掃)RX Mapping'!N24,120)=0, '(直掃)RX Mapping'!N24 &lt;= 480,  '(直掃)RX Mapping'!N24 &gt; 0), 120)</f>
        <v>202</v>
      </c>
      <c r="O24">
        <f>IF(
(AND('(直掃)RX Mapping'!O24&gt;=0,'(直掃)RX Mapping'!O24&lt;=480)),
(MOD('(直掃)RX Mapping'!O24,120)-1),
IF(
(AND('(直掃)RX Mapping'!O24&gt;=480,'(直掃)RX Mapping'!O24&lt;=960)),
IF(MOD('(直掃)RX Mapping'!O24,120)=0, 120, 240-MOD('(直掃)RX Mapping'!O24,120)),9999))+IF(AND(MOD('(直掃)RX Mapping'!O24,120)=0, '(直掃)RX Mapping'!O24 &lt;= 480,  '(直掃)RX Mapping'!O24 &gt; 0), 120)</f>
        <v>232</v>
      </c>
      <c r="P24">
        <f>IF(
(AND('(直掃)RX Mapping'!P24&gt;=0,'(直掃)RX Mapping'!P24&lt;=480)),
(MOD('(直掃)RX Mapping'!P24,120)-1),
IF(
(AND('(直掃)RX Mapping'!P24&gt;=480,'(直掃)RX Mapping'!P24&lt;=960)),
IF(MOD('(直掃)RX Mapping'!P24,120)=0, 120, 240-MOD('(直掃)RX Mapping'!P24,120)),9999))+IF(AND(MOD('(直掃)RX Mapping'!P24,120)=0, '(直掃)RX Mapping'!P24 &lt;= 480,  '(直掃)RX Mapping'!P24 &gt; 0), 120)</f>
        <v>97</v>
      </c>
      <c r="Q24">
        <f>IF(
(AND('(直掃)RX Mapping'!Q24&gt;=0,'(直掃)RX Mapping'!Q24&lt;=480)),
(MOD('(直掃)RX Mapping'!Q24,120)-1),
IF(
(AND('(直掃)RX Mapping'!Q24&gt;=480,'(直掃)RX Mapping'!Q24&lt;=960)),
IF(MOD('(直掃)RX Mapping'!Q24,120)=0, 120, 240-MOD('(直掃)RX Mapping'!Q24,120)),9999))+IF(AND(MOD('(直掃)RX Mapping'!Q24,120)=0, '(直掃)RX Mapping'!Q24 &lt;= 480,  '(直掃)RX Mapping'!Q24 &gt; 0), 120)</f>
        <v>67</v>
      </c>
      <c r="R24">
        <f>IF(
(AND('(直掃)RX Mapping'!R24&gt;=0,'(直掃)RX Mapping'!R24&lt;=480)),
(MOD('(直掃)RX Mapping'!R24,120)-1),
IF(
(AND('(直掃)RX Mapping'!R24&gt;=480,'(直掃)RX Mapping'!R24&lt;=960)),
IF(MOD('(直掃)RX Mapping'!R24,120)=0, 120, 240-MOD('(直掃)RX Mapping'!R24,120)),9999))+IF(AND(MOD('(直掃)RX Mapping'!R24,120)=0, '(直掃)RX Mapping'!R24 &lt;= 480,  '(直掃)RX Mapping'!R24 &gt; 0), 120)</f>
        <v>37</v>
      </c>
      <c r="S24">
        <f>IF(
(AND('(直掃)RX Mapping'!S24&gt;=0,'(直掃)RX Mapping'!S24&lt;=480)),
(MOD('(直掃)RX Mapping'!S24,120)-1),
IF(
(AND('(直掃)RX Mapping'!S24&gt;=480,'(直掃)RX Mapping'!S24&lt;=960)),
IF(MOD('(直掃)RX Mapping'!S24,120)=0, 120, 240-MOD('(直掃)RX Mapping'!S24,120)),9999))+IF(AND(MOD('(直掃)RX Mapping'!S24,120)=0, '(直掃)RX Mapping'!S24 &lt;= 480,  '(直掃)RX Mapping'!S24 &gt; 0), 120)</f>
        <v>7</v>
      </c>
      <c r="T24">
        <f>IF(
(AND('(直掃)RX Mapping'!T24&gt;=0,'(直掃)RX Mapping'!T24&lt;=480)),
(MOD('(直掃)RX Mapping'!T24,120)-1),
IF(
(AND('(直掃)RX Mapping'!T24&gt;=480,'(直掃)RX Mapping'!T24&lt;=960)),
IF(MOD('(直掃)RX Mapping'!T24,120)=0, 120, 240-MOD('(直掃)RX Mapping'!T24,120)),9999))+IF(AND(MOD('(直掃)RX Mapping'!T24,120)=0, '(直掃)RX Mapping'!T24 &lt;= 480,  '(直掃)RX Mapping'!T24 &gt; 0), 120)</f>
        <v>97</v>
      </c>
      <c r="U24">
        <f>IF(
(AND('(直掃)RX Mapping'!U24&gt;=0,'(直掃)RX Mapping'!U24&lt;=480)),
(MOD('(直掃)RX Mapping'!U24,120)-1),
IF(
(AND('(直掃)RX Mapping'!U24&gt;=480,'(直掃)RX Mapping'!U24&lt;=960)),
IF(MOD('(直掃)RX Mapping'!U24,120)=0, 120, 240-MOD('(直掃)RX Mapping'!U24,120)),9999))+IF(AND(MOD('(直掃)RX Mapping'!U24,120)=0, '(直掃)RX Mapping'!U24 &lt;= 480,  '(直掃)RX Mapping'!U24 &gt; 0), 120)</f>
        <v>67</v>
      </c>
      <c r="V24">
        <f>IF(
(AND('(直掃)RX Mapping'!V24&gt;=0,'(直掃)RX Mapping'!V24&lt;=480)),
(MOD('(直掃)RX Mapping'!V24,120)-1),
IF(
(AND('(直掃)RX Mapping'!V24&gt;=480,'(直掃)RX Mapping'!V24&lt;=960)),
IF(MOD('(直掃)RX Mapping'!V24,120)=0, 120, 240-MOD('(直掃)RX Mapping'!V24,120)),9999))+IF(AND(MOD('(直掃)RX Mapping'!V24,120)=0, '(直掃)RX Mapping'!V24 &lt;= 480,  '(直掃)RX Mapping'!V24 &gt; 0), 120)</f>
        <v>37</v>
      </c>
      <c r="W24">
        <f>IF(
(AND('(直掃)RX Mapping'!W24&gt;=0,'(直掃)RX Mapping'!W24&lt;=480)),
(MOD('(直掃)RX Mapping'!W24,120)-1),
IF(
(AND('(直掃)RX Mapping'!W24&gt;=480,'(直掃)RX Mapping'!W24&lt;=960)),
IF(MOD('(直掃)RX Mapping'!W24,120)=0, 120, 240-MOD('(直掃)RX Mapping'!W24,120)),9999))+IF(AND(MOD('(直掃)RX Mapping'!W24,120)=0, '(直掃)RX Mapping'!W24 &lt;= 480,  '(直掃)RX Mapping'!W24 &gt; 0), 120)</f>
        <v>7</v>
      </c>
      <c r="X24">
        <f>IF(
(AND('(直掃)RX Mapping'!X24&gt;=0,'(直掃)RX Mapping'!X24&lt;=480)),
(MOD('(直掃)RX Mapping'!X24,120)-1),
IF(
(AND('(直掃)RX Mapping'!X24&gt;=480,'(直掃)RX Mapping'!X24&lt;=960)),
IF(MOD('(直掃)RX Mapping'!X24,120)=0, 120, 240-MOD('(直掃)RX Mapping'!X24,120)),9999))+IF(AND(MOD('(直掃)RX Mapping'!X24,120)=0, '(直掃)RX Mapping'!X24 &lt;= 480,  '(直掃)RX Mapping'!X24 &gt; 0), 120)</f>
        <v>67</v>
      </c>
      <c r="Y24">
        <f>IF(
(AND('(直掃)RX Mapping'!Y24&gt;=0,'(直掃)RX Mapping'!Y24&lt;=480)),
(MOD('(直掃)RX Mapping'!Y24,120)-1),
IF(
(AND('(直掃)RX Mapping'!Y24&gt;=480,'(直掃)RX Mapping'!Y24&lt;=960)),
IF(MOD('(直掃)RX Mapping'!Y24,120)=0, 120, 240-MOD('(直掃)RX Mapping'!Y24,120)),9999))+IF(AND(MOD('(直掃)RX Mapping'!Y24,120)=0, '(直掃)RX Mapping'!Y24 &lt;= 480,  '(直掃)RX Mapping'!Y24 &gt; 0), 120)</f>
        <v>37</v>
      </c>
      <c r="Z24">
        <f>IF(
(AND('(直掃)RX Mapping'!Z24&gt;=0,'(直掃)RX Mapping'!Z24&lt;=480)),
(MOD('(直掃)RX Mapping'!Z24,120)-1),
IF(
(AND('(直掃)RX Mapping'!Z24&gt;=480,'(直掃)RX Mapping'!Z24&lt;=960)),
IF(MOD('(直掃)RX Mapping'!Z24,120)=0, 120, 240-MOD('(直掃)RX Mapping'!Z24,120)),9999))+IF(AND(MOD('(直掃)RX Mapping'!Z24,120)=0, '(直掃)RX Mapping'!Z24 &lt;= 480,  '(直掃)RX Mapping'!Z24 &gt; 0), 120)</f>
        <v>7</v>
      </c>
      <c r="AA24">
        <f>IF(
(AND('(直掃)RX Mapping'!AA24&gt;=0,'(直掃)RX Mapping'!AA24&lt;=480)),
(MOD('(直掃)RX Mapping'!AA24,120)-1),
IF(
(AND('(直掃)RX Mapping'!AA24&gt;=480,'(直掃)RX Mapping'!AA24&lt;=960)),
IF(MOD('(直掃)RX Mapping'!AA24,120)=0, 120, 240-MOD('(直掃)RX Mapping'!AA24,120)),9999))+IF(AND(MOD('(直掃)RX Mapping'!AA24,120)=0, '(直掃)RX Mapping'!AA24 &lt;= 480,  '(直掃)RX Mapping'!AA24 &gt; 0), 120)</f>
        <v>67</v>
      </c>
      <c r="AB24">
        <f>IF(
(AND('(直掃)RX Mapping'!AB24&gt;=0,'(直掃)RX Mapping'!AB24&lt;=480)),
(MOD('(直掃)RX Mapping'!AB24,120)-1),
IF(
(AND('(直掃)RX Mapping'!AB24&gt;=480,'(直掃)RX Mapping'!AB24&lt;=960)),
IF(MOD('(直掃)RX Mapping'!AB24,120)=0, 120, 240-MOD('(直掃)RX Mapping'!AB24,120)),9999))+IF(AND(MOD('(直掃)RX Mapping'!AB24,120)=0, '(直掃)RX Mapping'!AB24 &lt;= 480,  '(直掃)RX Mapping'!AB24 &gt; 0), 120)</f>
        <v>37</v>
      </c>
      <c r="AC24">
        <f>IF(
(AND('(直掃)RX Mapping'!AC24&gt;=0,'(直掃)RX Mapping'!AC24&lt;=480)),
(MOD('(直掃)RX Mapping'!AC24,120)-1),
IF(
(AND('(直掃)RX Mapping'!AC24&gt;=480,'(直掃)RX Mapping'!AC24&lt;=960)),
IF(MOD('(直掃)RX Mapping'!AC24,120)=0, 120, 240-MOD('(直掃)RX Mapping'!AC24,120)),9999))+IF(AND(MOD('(直掃)RX Mapping'!AC24,120)=0, '(直掃)RX Mapping'!AC24 &lt;= 480,  '(直掃)RX Mapping'!AC24 &gt; 0), 120)</f>
        <v>7</v>
      </c>
      <c r="AD24">
        <f>IF(
(AND('(直掃)RX Mapping'!AD24&gt;=0,'(直掃)RX Mapping'!AD24&lt;=480)),
(MOD('(直掃)RX Mapping'!AD24,120)-1),
IF(
(AND('(直掃)RX Mapping'!AD24&gt;=480,'(直掃)RX Mapping'!AD24&lt;=960)),
IF(MOD('(直掃)RX Mapping'!AD24,120)=0, 120, 240-MOD('(直掃)RX Mapping'!AD24,120)),9999))+IF(AND(MOD('(直掃)RX Mapping'!AD24,120)=0, '(直掃)RX Mapping'!AD24 &lt;= 480,  '(直掃)RX Mapping'!AD24 &gt; 0), 120)</f>
        <v>-1</v>
      </c>
      <c r="AE24">
        <f>IF(
(AND('(直掃)RX Mapping'!AE24&gt;=0,'(直掃)RX Mapping'!AE24&lt;=480)),
(MOD('(直掃)RX Mapping'!AE24,120)-1),
IF(
(AND('(直掃)RX Mapping'!AE24&gt;=480,'(直掃)RX Mapping'!AE24&lt;=960)),
IF(MOD('(直掃)RX Mapping'!AE24,120)=0, 120, 240-MOD('(直掃)RX Mapping'!AE24,120)),9999))+IF(AND(MOD('(直掃)RX Mapping'!AE24,120)=0, '(直掃)RX Mapping'!AE24 &lt;= 480,  '(直掃)RX Mapping'!AE24 &gt; 0), 120)</f>
        <v>-1</v>
      </c>
      <c r="AF24">
        <f>IF(
(AND('(直掃)RX Mapping'!AF24&gt;=0,'(直掃)RX Mapping'!AF24&lt;=480)),
(MOD('(直掃)RX Mapping'!AF24,120)-1),
IF(
(AND('(直掃)RX Mapping'!AF24&gt;=480,'(直掃)RX Mapping'!AF24&lt;=960)),
IF(MOD('(直掃)RX Mapping'!AF24,120)=0, 120, 240-MOD('(直掃)RX Mapping'!AF24,120)),9999))+IF(AND(MOD('(直掃)RX Mapping'!AF24,120)=0, '(直掃)RX Mapping'!AF24 &lt;= 480,  '(直掃)RX Mapping'!AF24 &gt; 0), 120)</f>
        <v>-1</v>
      </c>
      <c r="AG24">
        <f>IF(
(AND('(直掃)RX Mapping'!AG24&gt;=0,'(直掃)RX Mapping'!AG24&lt;=480)),
(MOD('(直掃)RX Mapping'!AG24,120)-1),
IF(
(AND('(直掃)RX Mapping'!AG24&gt;=480,'(直掃)RX Mapping'!AG24&lt;=960)),
IF(MOD('(直掃)RX Mapping'!AG24,120)=0, 120, 240-MOD('(直掃)RX Mapping'!AG24,120)),9999))+IF(AND(MOD('(直掃)RX Mapping'!AG24,120)=0, '(直掃)RX Mapping'!AG24 &lt;= 480,  '(直掃)RX Mapping'!AG24 &gt; 0), 120)</f>
        <v>-1</v>
      </c>
      <c r="AH24">
        <f>IF(
(AND('(直掃)RX Mapping'!AH24&gt;=0,'(直掃)RX Mapping'!AH24&lt;=480)),
(MOD('(直掃)RX Mapping'!AH24,120)-1),
IF(
(AND('(直掃)RX Mapping'!AH24&gt;=480,'(直掃)RX Mapping'!AH24&lt;=960)),
IF(MOD('(直掃)RX Mapping'!AH24,120)=0, 120, 240-MOD('(直掃)RX Mapping'!AH24,120)),9999))+IF(AND(MOD('(直掃)RX Mapping'!AH24,120)=0, '(直掃)RX Mapping'!AH24 &lt;= 480,  '(直掃)RX Mapping'!AH24 &gt; 0), 120)</f>
        <v>-1</v>
      </c>
      <c r="AI24">
        <f>IF(
(AND('(直掃)RX Mapping'!AI24&gt;=0,'(直掃)RX Mapping'!AI24&lt;=480)),
(MOD('(直掃)RX Mapping'!AI24,120)-1),
IF(
(AND('(直掃)RX Mapping'!AI24&gt;=480,'(直掃)RX Mapping'!AI24&lt;=960)),
IF(MOD('(直掃)RX Mapping'!AI24,120)=0, 120, 240-MOD('(直掃)RX Mapping'!AI24,120)),9999))+IF(AND(MOD('(直掃)RX Mapping'!AI24,120)=0, '(直掃)RX Mapping'!AI24 &lt;= 480,  '(直掃)RX Mapping'!AI24 &gt; 0), 120)</f>
        <v>-1</v>
      </c>
      <c r="AJ24">
        <f>IF(
(AND('(直掃)RX Mapping'!AJ24&gt;=0,'(直掃)RX Mapping'!AJ24&lt;=480)),
(MOD('(直掃)RX Mapping'!AJ24,120)-1),
IF(
(AND('(直掃)RX Mapping'!AJ24&gt;=480,'(直掃)RX Mapping'!AJ24&lt;=960)),
IF(MOD('(直掃)RX Mapping'!AJ24,120)=0, 120, 240-MOD('(直掃)RX Mapping'!AJ24,120)),9999))+IF(AND(MOD('(直掃)RX Mapping'!AJ24,120)=0, '(直掃)RX Mapping'!AJ24 &lt;= 480,  '(直掃)RX Mapping'!AJ24 &gt; 0), 120)</f>
        <v>-1</v>
      </c>
      <c r="AK24">
        <f>IF(
(AND('(直掃)RX Mapping'!AK24&gt;=0,'(直掃)RX Mapping'!AK24&lt;=480)),
(MOD('(直掃)RX Mapping'!AK24,120)-1),
IF(
(AND('(直掃)RX Mapping'!AK24&gt;=480,'(直掃)RX Mapping'!AK24&lt;=960)),
IF(MOD('(直掃)RX Mapping'!AK24,120)=0, 120, 240-MOD('(直掃)RX Mapping'!AK24,120)),9999))+IF(AND(MOD('(直掃)RX Mapping'!AK24,120)=0, '(直掃)RX Mapping'!AK24 &lt;= 480,  '(直掃)RX Mapping'!AK24 &gt; 0), 120)</f>
        <v>-1</v>
      </c>
      <c r="AL24">
        <f>IF(
(AND('(直掃)RX Mapping'!AL24&gt;=0,'(直掃)RX Mapping'!AL24&lt;=480)),
(MOD('(直掃)RX Mapping'!AL24,120)-1),
IF(
(AND('(直掃)RX Mapping'!AL24&gt;=480,'(直掃)RX Mapping'!AL24&lt;=960)),
IF(MOD('(直掃)RX Mapping'!AL24,120)=0, 120, 240-MOD('(直掃)RX Mapping'!AL24,120)),9999))+IF(AND(MOD('(直掃)RX Mapping'!AL24,120)=0, '(直掃)RX Mapping'!AL24 &lt;= 480,  '(直掃)RX Mapping'!AL24 &gt; 0), 120)</f>
        <v>-1</v>
      </c>
      <c r="AM24">
        <f>IF(
(AND('(直掃)RX Mapping'!AM24&gt;=0,'(直掃)RX Mapping'!AM24&lt;=480)),
(MOD('(直掃)RX Mapping'!AM24,120)-1),
IF(
(AND('(直掃)RX Mapping'!AM24&gt;=480,'(直掃)RX Mapping'!AM24&lt;=960)),
IF(MOD('(直掃)RX Mapping'!AM24,120)=0, 120, 240-MOD('(直掃)RX Mapping'!AM24,120)),9999))+IF(AND(MOD('(直掃)RX Mapping'!AM24,120)=0, '(直掃)RX Mapping'!AM24 &lt;= 480,  '(直掃)RX Mapping'!AM24 &gt; 0), 120)</f>
        <v>-1</v>
      </c>
      <c r="AN24">
        <f>IF(
(AND('(直掃)RX Mapping'!AN24&gt;=0,'(直掃)RX Mapping'!AN24&lt;=480)),
(MOD('(直掃)RX Mapping'!AN24,120)-1),
IF(
(AND('(直掃)RX Mapping'!AN24&gt;=480,'(直掃)RX Mapping'!AN24&lt;=960)),
IF(MOD('(直掃)RX Mapping'!AN24,120)=0, 120, 240-MOD('(直掃)RX Mapping'!AN24,120)),9999))+IF(AND(MOD('(直掃)RX Mapping'!AN24,120)=0, '(直掃)RX Mapping'!AN24 &lt;= 480,  '(直掃)RX Mapping'!AN24 &gt; 0), 120)</f>
        <v>-1</v>
      </c>
      <c r="AO24">
        <f>IF(
(AND('(直掃)RX Mapping'!AO24&gt;=0,'(直掃)RX Mapping'!AO24&lt;=480)),
(MOD('(直掃)RX Mapping'!AO24,120)-1),
IF(
(AND('(直掃)RX Mapping'!AO24&gt;=480,'(直掃)RX Mapping'!AO24&lt;=960)),
IF(MOD('(直掃)RX Mapping'!AO24,120)=0, 120, 240-MOD('(直掃)RX Mapping'!AO24,120)),9999))+IF(AND(MOD('(直掃)RX Mapping'!AO24,120)=0, '(直掃)RX Mapping'!AO24 &lt;= 480,  '(直掃)RX Mapping'!AO24 &gt; 0), 120)</f>
        <v>-1</v>
      </c>
      <c r="AP24">
        <f>IF(
(AND('(直掃)RX Mapping'!AP24&gt;=0,'(直掃)RX Mapping'!AP24&lt;=480)),
(MOD('(直掃)RX Mapping'!AP24,120)-1),
IF(
(AND('(直掃)RX Mapping'!AP24&gt;=480,'(直掃)RX Mapping'!AP24&lt;=960)),
IF(MOD('(直掃)RX Mapping'!AP24,120)=0, 120, 240-MOD('(直掃)RX Mapping'!AP24,120)),9999))+IF(AND(MOD('(直掃)RX Mapping'!AP24,120)=0, '(直掃)RX Mapping'!AP24 &lt;= 480,  '(直掃)RX Mapping'!AP24 &gt; 0), 120)</f>
        <v>-1</v>
      </c>
      <c r="AQ24">
        <f>IF(
(AND('(直掃)RX Mapping'!AQ24&gt;=0,'(直掃)RX Mapping'!AQ24&lt;=480)),
(MOD('(直掃)RX Mapping'!AQ24,120)-1),
IF(
(AND('(直掃)RX Mapping'!AQ24&gt;=480,'(直掃)RX Mapping'!AQ24&lt;=960)),
IF(MOD('(直掃)RX Mapping'!AQ24,120)=0, 120, 240-MOD('(直掃)RX Mapping'!AQ24,120)),9999))+IF(AND(MOD('(直掃)RX Mapping'!AQ24,120)=0, '(直掃)RX Mapping'!AQ24 &lt;= 480,  '(直掃)RX Mapping'!AQ24 &gt; 0), 120)</f>
        <v>-1</v>
      </c>
      <c r="AR24">
        <f>IF(
(AND('(直掃)RX Mapping'!AR24&gt;=0,'(直掃)RX Mapping'!AR24&lt;=480)),
(MOD('(直掃)RX Mapping'!AR24,120)-1),
IF(
(AND('(直掃)RX Mapping'!AR24&gt;=480,'(直掃)RX Mapping'!AR24&lt;=960)),
IF(MOD('(直掃)RX Mapping'!AR24,120)=0, 120, 240-MOD('(直掃)RX Mapping'!AR24,120)),9999))+IF(AND(MOD('(直掃)RX Mapping'!AR24,120)=0, '(直掃)RX Mapping'!AR24 &lt;= 480,  '(直掃)RX Mapping'!AR24 &gt; 0), 120)</f>
        <v>-1</v>
      </c>
      <c r="AS24">
        <f>IF(
(AND('(直掃)RX Mapping'!AS24&gt;=0,'(直掃)RX Mapping'!AS24&lt;=480)),
(MOD('(直掃)RX Mapping'!AS24,120)-1),
IF(
(AND('(直掃)RX Mapping'!AS24&gt;=480,'(直掃)RX Mapping'!AS24&lt;=960)),
IF(MOD('(直掃)RX Mapping'!AS24,120)=0, 120, 240-MOD('(直掃)RX Mapping'!AS24,120)),9999))+IF(AND(MOD('(直掃)RX Mapping'!AS24,120)=0, '(直掃)RX Mapping'!AS24 &lt;= 480,  '(直掃)RX Mapping'!AS24 &gt; 0), 120)</f>
        <v>-1</v>
      </c>
      <c r="AT24">
        <f>IF(AND('(橫掃)RX Mapping'!AT24&gt;=1,'(橫掃)RX Mapping'!AT24&lt;=120), ('(橫掃)RX Mapping'!AT24-1),IF(AND('(橫掃)RX Mapping'!AT24&gt;=121,'(橫掃)RX Mapping'!AT24&lt;=240), (-1)*('(橫掃)RX Mapping'!AT24-240),IF(AND('(橫掃)RX Mapping'!AT24&gt;=241,'(橫掃)RX Mapping'!AT24&lt;=360), ('(橫掃)RX Mapping'!AT24-241),IF(AND('(橫掃)RX Mapping'!AT24&gt;=361,'(橫掃)RX Mapping'!AT24&lt;=480), (-1)*('(橫掃)RX Mapping'!AT24-480),IF(AND('(橫掃)RX Mapping'!AT24&gt;=481,'(橫掃)RX Mapping'!AT24&lt;=600), ('(橫掃)RX Mapping'!AT24-361),IF(AND('(橫掃)RX Mapping'!AT24&gt;=601,'(橫掃)RX Mapping'!AT24&lt;=720), (-1)*('(橫掃)RX Mapping'!AT24-720)+120,IF(AND('(橫掃)RX Mapping'!AT24&gt;=721,'(橫掃)RX Mapping'!AT24&lt;=840), ('(橫掃)RX Mapping'!AT24-601),IF(AND('(橫掃)RX Mapping'!AT24&gt;=841,'(橫掃)RX Mapping'!AT24&lt;=960), (-1)*('(橫掃)RX Mapping'!AT24-960)+120,9999))))))))</f>
        <v>9999</v>
      </c>
      <c r="AU24">
        <f>IF(AND('(橫掃)RX Mapping'!AU24&gt;=1,'(橫掃)RX Mapping'!AU24&lt;=120), ('(橫掃)RX Mapping'!AU24-1),IF(AND('(橫掃)RX Mapping'!AU24&gt;=121,'(橫掃)RX Mapping'!AU24&lt;=240), (-1)*('(橫掃)RX Mapping'!AU24-240),IF(AND('(橫掃)RX Mapping'!AU24&gt;=241,'(橫掃)RX Mapping'!AU24&lt;=360), ('(橫掃)RX Mapping'!AU24-241),IF(AND('(橫掃)RX Mapping'!AU24&gt;=361,'(橫掃)RX Mapping'!AU24&lt;=480), (-1)*('(橫掃)RX Mapping'!AU24-480),IF(AND('(橫掃)RX Mapping'!AU24&gt;=481,'(橫掃)RX Mapping'!AU24&lt;=600), ('(橫掃)RX Mapping'!AU24-361),IF(AND('(橫掃)RX Mapping'!AU24&gt;=601,'(橫掃)RX Mapping'!AU24&lt;=720), (-1)*('(橫掃)RX Mapping'!AU24-720)+120,IF(AND('(橫掃)RX Mapping'!AU24&gt;=721,'(橫掃)RX Mapping'!AU24&lt;=840), ('(橫掃)RX Mapping'!AU24-601),IF(AND('(橫掃)RX Mapping'!AU24&gt;=841,'(橫掃)RX Mapping'!AU24&lt;=960), (-1)*('(橫掃)RX Mapping'!AU24-960)+120,9999))))))))</f>
        <v>9999</v>
      </c>
      <c r="AV24">
        <f>IF(AND('(橫掃)RX Mapping'!AV24&gt;=1,'(橫掃)RX Mapping'!AV24&lt;=120), ('(橫掃)RX Mapping'!AV24-1),IF(AND('(橫掃)RX Mapping'!AV24&gt;=121,'(橫掃)RX Mapping'!AV24&lt;=240), (-1)*('(橫掃)RX Mapping'!AV24-240),IF(AND('(橫掃)RX Mapping'!AV24&gt;=241,'(橫掃)RX Mapping'!AV24&lt;=360), ('(橫掃)RX Mapping'!AV24-241),IF(AND('(橫掃)RX Mapping'!AV24&gt;=361,'(橫掃)RX Mapping'!AV24&lt;=480), (-1)*('(橫掃)RX Mapping'!AV24-480),IF(AND('(橫掃)RX Mapping'!AV24&gt;=481,'(橫掃)RX Mapping'!AV24&lt;=600), ('(橫掃)RX Mapping'!AV24-361),IF(AND('(橫掃)RX Mapping'!AV24&gt;=601,'(橫掃)RX Mapping'!AV24&lt;=720), (-1)*('(橫掃)RX Mapping'!AV24-720)+120,IF(AND('(橫掃)RX Mapping'!AV24&gt;=721,'(橫掃)RX Mapping'!AV24&lt;=840), ('(橫掃)RX Mapping'!AV24-601),IF(AND('(橫掃)RX Mapping'!AV24&gt;=841,'(橫掃)RX Mapping'!AV24&lt;=960), (-1)*('(橫掃)RX Mapping'!AV24-960)+120,9999))))))))</f>
        <v>9999</v>
      </c>
      <c r="AW24">
        <f>IF(AND('(橫掃)RX Mapping'!AW24&gt;=1,'(橫掃)RX Mapping'!AW24&lt;=120), ('(橫掃)RX Mapping'!AW24-1),IF(AND('(橫掃)RX Mapping'!AW24&gt;=121,'(橫掃)RX Mapping'!AW24&lt;=240), (-1)*('(橫掃)RX Mapping'!AW24-240),IF(AND('(橫掃)RX Mapping'!AW24&gt;=241,'(橫掃)RX Mapping'!AW24&lt;=360), ('(橫掃)RX Mapping'!AW24-241),IF(AND('(橫掃)RX Mapping'!AW24&gt;=361,'(橫掃)RX Mapping'!AW24&lt;=480), (-1)*('(橫掃)RX Mapping'!AW24-480),IF(AND('(橫掃)RX Mapping'!AW24&gt;=481,'(橫掃)RX Mapping'!AW24&lt;=600), ('(橫掃)RX Mapping'!AW24-361),IF(AND('(橫掃)RX Mapping'!AW24&gt;=601,'(橫掃)RX Mapping'!AW24&lt;=720), (-1)*('(橫掃)RX Mapping'!AW24-720)+120,IF(AND('(橫掃)RX Mapping'!AW24&gt;=721,'(橫掃)RX Mapping'!AW24&lt;=840), ('(橫掃)RX Mapping'!AW24-601),IF(AND('(橫掃)RX Mapping'!AW24&gt;=841,'(橫掃)RX Mapping'!AW24&lt;=960), (-1)*('(橫掃)RX Mapping'!AW24-960)+120,9999))))))))</f>
        <v>9999</v>
      </c>
      <c r="AX24">
        <f>IF(AND('(橫掃)RX Mapping'!AX24&gt;=1,'(橫掃)RX Mapping'!AX24&lt;=120), ('(橫掃)RX Mapping'!AX24-1),IF(AND('(橫掃)RX Mapping'!AX24&gt;=121,'(橫掃)RX Mapping'!AX24&lt;=240), (-1)*('(橫掃)RX Mapping'!AX24-240),IF(AND('(橫掃)RX Mapping'!AX24&gt;=241,'(橫掃)RX Mapping'!AX24&lt;=360), ('(橫掃)RX Mapping'!AX24-241),IF(AND('(橫掃)RX Mapping'!AX24&gt;=361,'(橫掃)RX Mapping'!AX24&lt;=480), (-1)*('(橫掃)RX Mapping'!AX24-480),IF(AND('(橫掃)RX Mapping'!AX24&gt;=481,'(橫掃)RX Mapping'!AX24&lt;=600), ('(橫掃)RX Mapping'!AX24-361),IF(AND('(橫掃)RX Mapping'!AX24&gt;=601,'(橫掃)RX Mapping'!AX24&lt;=720), (-1)*('(橫掃)RX Mapping'!AX24-720)+120,IF(AND('(橫掃)RX Mapping'!AX24&gt;=721,'(橫掃)RX Mapping'!AX24&lt;=840), ('(橫掃)RX Mapping'!AX24-601),IF(AND('(橫掃)RX Mapping'!AX24&gt;=841,'(橫掃)RX Mapping'!AX24&lt;=960), (-1)*('(橫掃)RX Mapping'!AX24-960)+120,9999))))))))</f>
        <v>9999</v>
      </c>
      <c r="AY24">
        <f>IF(AND('(橫掃)RX Mapping'!AY24&gt;=1,'(橫掃)RX Mapping'!AY24&lt;=120), ('(橫掃)RX Mapping'!AY24-1),IF(AND('(橫掃)RX Mapping'!AY24&gt;=121,'(橫掃)RX Mapping'!AY24&lt;=240), (-1)*('(橫掃)RX Mapping'!AY24-240),IF(AND('(橫掃)RX Mapping'!AY24&gt;=241,'(橫掃)RX Mapping'!AY24&lt;=360), ('(橫掃)RX Mapping'!AY24-241),IF(AND('(橫掃)RX Mapping'!AY24&gt;=361,'(橫掃)RX Mapping'!AY24&lt;=480), (-1)*('(橫掃)RX Mapping'!AY24-480),IF(AND('(橫掃)RX Mapping'!AY24&gt;=481,'(橫掃)RX Mapping'!AY24&lt;=600), ('(橫掃)RX Mapping'!AY24-361),IF(AND('(橫掃)RX Mapping'!AY24&gt;=601,'(橫掃)RX Mapping'!AY24&lt;=720), (-1)*('(橫掃)RX Mapping'!AY24-720)+120,IF(AND('(橫掃)RX Mapping'!AY24&gt;=721,'(橫掃)RX Mapping'!AY24&lt;=840), ('(橫掃)RX Mapping'!AY24-601),IF(AND('(橫掃)RX Mapping'!AY24&gt;=841,'(橫掃)RX Mapping'!AY24&lt;=960), (-1)*('(橫掃)RX Mapping'!AY24-960)+120,9999))))))))</f>
        <v>9999</v>
      </c>
      <c r="AZ24">
        <f>IF(AND('(橫掃)RX Mapping'!AZ24&gt;=1,'(橫掃)RX Mapping'!AZ24&lt;=120), ('(橫掃)RX Mapping'!AZ24-1),IF(AND('(橫掃)RX Mapping'!AZ24&gt;=121,'(橫掃)RX Mapping'!AZ24&lt;=240), (-1)*('(橫掃)RX Mapping'!AZ24-240),IF(AND('(橫掃)RX Mapping'!AZ24&gt;=241,'(橫掃)RX Mapping'!AZ24&lt;=360), ('(橫掃)RX Mapping'!AZ24-241),IF(AND('(橫掃)RX Mapping'!AZ24&gt;=361,'(橫掃)RX Mapping'!AZ24&lt;=480), (-1)*('(橫掃)RX Mapping'!AZ24-480),IF(AND('(橫掃)RX Mapping'!AZ24&gt;=481,'(橫掃)RX Mapping'!AZ24&lt;=600), ('(橫掃)RX Mapping'!AZ24-361),IF(AND('(橫掃)RX Mapping'!AZ24&gt;=601,'(橫掃)RX Mapping'!AZ24&lt;=720), (-1)*('(橫掃)RX Mapping'!AZ24-720)+120,IF(AND('(橫掃)RX Mapping'!AZ24&gt;=721,'(橫掃)RX Mapping'!AZ24&lt;=840), ('(橫掃)RX Mapping'!AZ24-601),IF(AND('(橫掃)RX Mapping'!AZ24&gt;=841,'(橫掃)RX Mapping'!AZ24&lt;=960), (-1)*('(橫掃)RX Mapping'!AZ24-960)+120,9999))))))))</f>
        <v>9999</v>
      </c>
      <c r="BA24">
        <f>IF(AND('(橫掃)RX Mapping'!BA24&gt;=1,'(橫掃)RX Mapping'!BA24&lt;=120), ('(橫掃)RX Mapping'!BA24-1),IF(AND('(橫掃)RX Mapping'!BA24&gt;=121,'(橫掃)RX Mapping'!BA24&lt;=240), (-1)*('(橫掃)RX Mapping'!BA24-240),IF(AND('(橫掃)RX Mapping'!BA24&gt;=241,'(橫掃)RX Mapping'!BA24&lt;=360), ('(橫掃)RX Mapping'!BA24-241),IF(AND('(橫掃)RX Mapping'!BA24&gt;=361,'(橫掃)RX Mapping'!BA24&lt;=480), (-1)*('(橫掃)RX Mapping'!BA24-480),IF(AND('(橫掃)RX Mapping'!BA24&gt;=481,'(橫掃)RX Mapping'!BA24&lt;=600), ('(橫掃)RX Mapping'!BA24-361),IF(AND('(橫掃)RX Mapping'!BA24&gt;=601,'(橫掃)RX Mapping'!BA24&lt;=720), (-1)*('(橫掃)RX Mapping'!BA24-720)+120,IF(AND('(橫掃)RX Mapping'!BA24&gt;=721,'(橫掃)RX Mapping'!BA24&lt;=840), ('(橫掃)RX Mapping'!BA24-601),IF(AND('(橫掃)RX Mapping'!BA24&gt;=841,'(橫掃)RX Mapping'!BA24&lt;=960), (-1)*('(橫掃)RX Mapping'!BA24-960)+120,9999))))))))</f>
        <v>9999</v>
      </c>
      <c r="BB24">
        <f>IF(AND('(橫掃)RX Mapping'!BB24&gt;=1,'(橫掃)RX Mapping'!BB24&lt;=120), ('(橫掃)RX Mapping'!BB24-1),IF(AND('(橫掃)RX Mapping'!BB24&gt;=121,'(橫掃)RX Mapping'!BB24&lt;=240), (-1)*('(橫掃)RX Mapping'!BB24-240),IF(AND('(橫掃)RX Mapping'!BB24&gt;=241,'(橫掃)RX Mapping'!BB24&lt;=360), ('(橫掃)RX Mapping'!BB24-241),IF(AND('(橫掃)RX Mapping'!BB24&gt;=361,'(橫掃)RX Mapping'!BB24&lt;=480), (-1)*('(橫掃)RX Mapping'!BB24-480),IF(AND('(橫掃)RX Mapping'!BB24&gt;=481,'(橫掃)RX Mapping'!BB24&lt;=600), ('(橫掃)RX Mapping'!BB24-361),IF(AND('(橫掃)RX Mapping'!BB24&gt;=601,'(橫掃)RX Mapping'!BB24&lt;=720), (-1)*('(橫掃)RX Mapping'!BB24-720)+120,IF(AND('(橫掃)RX Mapping'!BB24&gt;=721,'(橫掃)RX Mapping'!BB24&lt;=840), ('(橫掃)RX Mapping'!BB24-601),IF(AND('(橫掃)RX Mapping'!BB24&gt;=841,'(橫掃)RX Mapping'!BB24&lt;=960), (-1)*('(橫掃)RX Mapping'!BB24-960)+120,9999))))))))</f>
        <v>9999</v>
      </c>
      <c r="BC24">
        <f>IF(AND('(橫掃)RX Mapping'!BC24&gt;=1,'(橫掃)RX Mapping'!BC24&lt;=120), ('(橫掃)RX Mapping'!BC24-1),IF(AND('(橫掃)RX Mapping'!BC24&gt;=121,'(橫掃)RX Mapping'!BC24&lt;=240), (-1)*('(橫掃)RX Mapping'!BC24-240),IF(AND('(橫掃)RX Mapping'!BC24&gt;=241,'(橫掃)RX Mapping'!BC24&lt;=360), ('(橫掃)RX Mapping'!BC24-241),IF(AND('(橫掃)RX Mapping'!BC24&gt;=361,'(橫掃)RX Mapping'!BC24&lt;=480), (-1)*('(橫掃)RX Mapping'!BC24-480),IF(AND('(橫掃)RX Mapping'!BC24&gt;=481,'(橫掃)RX Mapping'!BC24&lt;=600), ('(橫掃)RX Mapping'!BC24-361),IF(AND('(橫掃)RX Mapping'!BC24&gt;=601,'(橫掃)RX Mapping'!BC24&lt;=720), (-1)*('(橫掃)RX Mapping'!BC24-720)+120,IF(AND('(橫掃)RX Mapping'!BC24&gt;=721,'(橫掃)RX Mapping'!BC24&lt;=840), ('(橫掃)RX Mapping'!BC24-601),IF(AND('(橫掃)RX Mapping'!BC24&gt;=841,'(橫掃)RX Mapping'!BC24&lt;=960), (-1)*('(橫掃)RX Mapping'!BC24-960)+120,9999))))))))</f>
        <v>9999</v>
      </c>
      <c r="BD24">
        <f>IF(AND('(橫掃)RX Mapping'!BD24&gt;=1,'(橫掃)RX Mapping'!BD24&lt;=120), ('(橫掃)RX Mapping'!BD24-1),IF(AND('(橫掃)RX Mapping'!BD24&gt;=121,'(橫掃)RX Mapping'!BD24&lt;=240), (-1)*('(橫掃)RX Mapping'!BD24-240),IF(AND('(橫掃)RX Mapping'!BD24&gt;=241,'(橫掃)RX Mapping'!BD24&lt;=360), ('(橫掃)RX Mapping'!BD24-241),IF(AND('(橫掃)RX Mapping'!BD24&gt;=361,'(橫掃)RX Mapping'!BD24&lt;=480), (-1)*('(橫掃)RX Mapping'!BD24-480),IF(AND('(橫掃)RX Mapping'!BD24&gt;=481,'(橫掃)RX Mapping'!BD24&lt;=600), ('(橫掃)RX Mapping'!BD24-361),IF(AND('(橫掃)RX Mapping'!BD24&gt;=601,'(橫掃)RX Mapping'!BD24&lt;=720), (-1)*('(橫掃)RX Mapping'!BD24-720)+120,IF(AND('(橫掃)RX Mapping'!BD24&gt;=721,'(橫掃)RX Mapping'!BD24&lt;=840), ('(橫掃)RX Mapping'!BD24-601),IF(AND('(橫掃)RX Mapping'!BD24&gt;=841,'(橫掃)RX Mapping'!BD24&lt;=960), (-1)*('(橫掃)RX Mapping'!BD24-960)+120,9999))))))))</f>
        <v>9999</v>
      </c>
      <c r="BE24">
        <f>IF(AND('(橫掃)RX Mapping'!BE24&gt;=1,'(橫掃)RX Mapping'!BE24&lt;=120), ('(橫掃)RX Mapping'!BE24-1),IF(AND('(橫掃)RX Mapping'!BE24&gt;=121,'(橫掃)RX Mapping'!BE24&lt;=240), (-1)*('(橫掃)RX Mapping'!BE24-240),IF(AND('(橫掃)RX Mapping'!BE24&gt;=241,'(橫掃)RX Mapping'!BE24&lt;=360), ('(橫掃)RX Mapping'!BE24-241),IF(AND('(橫掃)RX Mapping'!BE24&gt;=361,'(橫掃)RX Mapping'!BE24&lt;=480), (-1)*('(橫掃)RX Mapping'!BE24-480),IF(AND('(橫掃)RX Mapping'!BE24&gt;=481,'(橫掃)RX Mapping'!BE24&lt;=600), ('(橫掃)RX Mapping'!BE24-361),IF(AND('(橫掃)RX Mapping'!BE24&gt;=601,'(橫掃)RX Mapping'!BE24&lt;=720), (-1)*('(橫掃)RX Mapping'!BE24-720)+120,IF(AND('(橫掃)RX Mapping'!BE24&gt;=721,'(橫掃)RX Mapping'!BE24&lt;=840), ('(橫掃)RX Mapping'!BE24-601),IF(AND('(橫掃)RX Mapping'!BE24&gt;=841,'(橫掃)RX Mapping'!BE24&lt;=960), (-1)*('(橫掃)RX Mapping'!BE24-960)+120,9999))))))))</f>
        <v>9999</v>
      </c>
      <c r="BF24">
        <f>IF(AND('(橫掃)RX Mapping'!BF24&gt;=1,'(橫掃)RX Mapping'!BF24&lt;=120), ('(橫掃)RX Mapping'!BF24-1),IF(AND('(橫掃)RX Mapping'!BF24&gt;=121,'(橫掃)RX Mapping'!BF24&lt;=240), (-1)*('(橫掃)RX Mapping'!BF24-240),IF(AND('(橫掃)RX Mapping'!BF24&gt;=241,'(橫掃)RX Mapping'!BF24&lt;=360), ('(橫掃)RX Mapping'!BF24-241),IF(AND('(橫掃)RX Mapping'!BF24&gt;=361,'(橫掃)RX Mapping'!BF24&lt;=480), (-1)*('(橫掃)RX Mapping'!BF24-480),IF(AND('(橫掃)RX Mapping'!BF24&gt;=481,'(橫掃)RX Mapping'!BF24&lt;=600), ('(橫掃)RX Mapping'!BF24-361),IF(AND('(橫掃)RX Mapping'!BF24&gt;=601,'(橫掃)RX Mapping'!BF24&lt;=720), (-1)*('(橫掃)RX Mapping'!BF24-720)+120,IF(AND('(橫掃)RX Mapping'!BF24&gt;=721,'(橫掃)RX Mapping'!BF24&lt;=840), ('(橫掃)RX Mapping'!BF24-601),IF(AND('(橫掃)RX Mapping'!BF24&gt;=841,'(橫掃)RX Mapping'!BF24&lt;=960), (-1)*('(橫掃)RX Mapping'!BF24-960)+120,9999))))))))</f>
        <v>9999</v>
      </c>
      <c r="BG24">
        <f>IF(AND('(橫掃)RX Mapping'!BG24&gt;=1,'(橫掃)RX Mapping'!BG24&lt;=120), ('(橫掃)RX Mapping'!BG24-1),IF(AND('(橫掃)RX Mapping'!BG24&gt;=121,'(橫掃)RX Mapping'!BG24&lt;=240), (-1)*('(橫掃)RX Mapping'!BG24-240),IF(AND('(橫掃)RX Mapping'!BG24&gt;=241,'(橫掃)RX Mapping'!BG24&lt;=360), ('(橫掃)RX Mapping'!BG24-241),IF(AND('(橫掃)RX Mapping'!BG24&gt;=361,'(橫掃)RX Mapping'!BG24&lt;=480), (-1)*('(橫掃)RX Mapping'!BG24-480),IF(AND('(橫掃)RX Mapping'!BG24&gt;=481,'(橫掃)RX Mapping'!BG24&lt;=600), ('(橫掃)RX Mapping'!BG24-361),IF(AND('(橫掃)RX Mapping'!BG24&gt;=601,'(橫掃)RX Mapping'!BG24&lt;=720), (-1)*('(橫掃)RX Mapping'!BG24-720)+120,IF(AND('(橫掃)RX Mapping'!BG24&gt;=721,'(橫掃)RX Mapping'!BG24&lt;=840), ('(橫掃)RX Mapping'!BG24-601),IF(AND('(橫掃)RX Mapping'!BG24&gt;=841,'(橫掃)RX Mapping'!BG24&lt;=960), (-1)*('(橫掃)RX Mapping'!BG24-960)+120,9999))))))))</f>
        <v>9999</v>
      </c>
      <c r="BH24">
        <f>IF(AND('(橫掃)RX Mapping'!BH24&gt;=1,'(橫掃)RX Mapping'!BH24&lt;=120), ('(橫掃)RX Mapping'!BH24-1),IF(AND('(橫掃)RX Mapping'!BH24&gt;=121,'(橫掃)RX Mapping'!BH24&lt;=240), (-1)*('(橫掃)RX Mapping'!BH24-240),IF(AND('(橫掃)RX Mapping'!BH24&gt;=241,'(橫掃)RX Mapping'!BH24&lt;=360), ('(橫掃)RX Mapping'!BH24-241),IF(AND('(橫掃)RX Mapping'!BH24&gt;=361,'(橫掃)RX Mapping'!BH24&lt;=480), (-1)*('(橫掃)RX Mapping'!BH24-480),IF(AND('(橫掃)RX Mapping'!BH24&gt;=481,'(橫掃)RX Mapping'!BH24&lt;=600), ('(橫掃)RX Mapping'!BH24-361),IF(AND('(橫掃)RX Mapping'!BH24&gt;=601,'(橫掃)RX Mapping'!BH24&lt;=720), (-1)*('(橫掃)RX Mapping'!BH24-720)+120,IF(AND('(橫掃)RX Mapping'!BH24&gt;=721,'(橫掃)RX Mapping'!BH24&lt;=840), ('(橫掃)RX Mapping'!BH24-601),IF(AND('(橫掃)RX Mapping'!BH24&gt;=841,'(橫掃)RX Mapping'!BH24&lt;=960), (-1)*('(橫掃)RX Mapping'!BH24-960)+120,9999))))))))</f>
        <v>9999</v>
      </c>
      <c r="BI24">
        <f>IF(AND('(橫掃)RX Mapping'!BI24&gt;=1,'(橫掃)RX Mapping'!BI24&lt;=120), ('(橫掃)RX Mapping'!BI24-1),IF(AND('(橫掃)RX Mapping'!BI24&gt;=121,'(橫掃)RX Mapping'!BI24&lt;=240), (-1)*('(橫掃)RX Mapping'!BI24-240),IF(AND('(橫掃)RX Mapping'!BI24&gt;=241,'(橫掃)RX Mapping'!BI24&lt;=360), ('(橫掃)RX Mapping'!BI24-241),IF(AND('(橫掃)RX Mapping'!BI24&gt;=361,'(橫掃)RX Mapping'!BI24&lt;=480), (-1)*('(橫掃)RX Mapping'!BI24-480),IF(AND('(橫掃)RX Mapping'!BI24&gt;=481,'(橫掃)RX Mapping'!BI24&lt;=600), ('(橫掃)RX Mapping'!BI24-361),IF(AND('(橫掃)RX Mapping'!BI24&gt;=601,'(橫掃)RX Mapping'!BI24&lt;=720), (-1)*('(橫掃)RX Mapping'!BI24-720)+120,IF(AND('(橫掃)RX Mapping'!BI24&gt;=721,'(橫掃)RX Mapping'!BI24&lt;=840), ('(橫掃)RX Mapping'!BI24-601),IF(AND('(橫掃)RX Mapping'!BI24&gt;=841,'(橫掃)RX Mapping'!BI24&lt;=960), (-1)*('(橫掃)RX Mapping'!BI24-960)+120,9999))))))))</f>
        <v>9999</v>
      </c>
    </row>
    <row r="25" spans="1:61" x14ac:dyDescent="0.25">
      <c r="A25" s="20">
        <v>24</v>
      </c>
      <c r="B25">
        <f>IF(
(AND('(直掃)RX Mapping'!B25&gt;=0,'(直掃)RX Mapping'!B25&lt;=480)),
(MOD('(直掃)RX Mapping'!B25,120)-1),
IF(
(AND('(直掃)RX Mapping'!B25&gt;=480,'(直掃)RX Mapping'!B25&lt;=960)),
IF(MOD('(直掃)RX Mapping'!B25,120)=0, 120, 240-MOD('(直掃)RX Mapping'!B25,120)),9999))+IF(AND(MOD('(直掃)RX Mapping'!B25,120)=0, '(直掃)RX Mapping'!B25 &lt;= 480,  '(直掃)RX Mapping'!B25 &gt; 0), 120)</f>
        <v>143</v>
      </c>
      <c r="C25">
        <f>IF(
(AND('(直掃)RX Mapping'!C25&gt;=0,'(直掃)RX Mapping'!C25&lt;=480)),
(MOD('(直掃)RX Mapping'!C25,120)-1),
IF(
(AND('(直掃)RX Mapping'!C25&gt;=480,'(直掃)RX Mapping'!C25&lt;=960)),
IF(MOD('(直掃)RX Mapping'!C25,120)=0, 120, 240-MOD('(直掃)RX Mapping'!C25,120)),9999))+IF(AND(MOD('(直掃)RX Mapping'!C25,120)=0, '(直掃)RX Mapping'!C25 &lt;= 480,  '(直掃)RX Mapping'!C25 &gt; 0), 120)</f>
        <v>173</v>
      </c>
      <c r="D25">
        <f>IF(
(AND('(直掃)RX Mapping'!D25&gt;=0,'(直掃)RX Mapping'!D25&lt;=480)),
(MOD('(直掃)RX Mapping'!D25,120)-1),
IF(
(AND('(直掃)RX Mapping'!D25&gt;=480,'(直掃)RX Mapping'!D25&lt;=960)),
IF(MOD('(直掃)RX Mapping'!D25,120)=0, 120, 240-MOD('(直掃)RX Mapping'!D25,120)),9999))+IF(AND(MOD('(直掃)RX Mapping'!D25,120)=0, '(直掃)RX Mapping'!D25 &lt;= 480,  '(直掃)RX Mapping'!D25 &gt; 0), 120)</f>
        <v>203</v>
      </c>
      <c r="E25">
        <f>IF(
(AND('(直掃)RX Mapping'!E25&gt;=0,'(直掃)RX Mapping'!E25&lt;=480)),
(MOD('(直掃)RX Mapping'!E25,120)-1),
IF(
(AND('(直掃)RX Mapping'!E25&gt;=480,'(直掃)RX Mapping'!E25&lt;=960)),
IF(MOD('(直掃)RX Mapping'!E25,120)=0, 120, 240-MOD('(直掃)RX Mapping'!E25,120)),9999))+IF(AND(MOD('(直掃)RX Mapping'!E25,120)=0, '(直掃)RX Mapping'!E25 &lt;= 480,  '(直掃)RX Mapping'!E25 &gt; 0), 120)</f>
        <v>143</v>
      </c>
      <c r="F25">
        <f>IF(
(AND('(直掃)RX Mapping'!F25&gt;=0,'(直掃)RX Mapping'!F25&lt;=480)),
(MOD('(直掃)RX Mapping'!F25,120)-1),
IF(
(AND('(直掃)RX Mapping'!F25&gt;=480,'(直掃)RX Mapping'!F25&lt;=960)),
IF(MOD('(直掃)RX Mapping'!F25,120)=0, 120, 240-MOD('(直掃)RX Mapping'!F25,120)),9999))+IF(AND(MOD('(直掃)RX Mapping'!F25,120)=0, '(直掃)RX Mapping'!F25 &lt;= 480,  '(直掃)RX Mapping'!F25 &gt; 0), 120)</f>
        <v>173</v>
      </c>
      <c r="G25">
        <f>IF(
(AND('(直掃)RX Mapping'!G25&gt;=0,'(直掃)RX Mapping'!G25&lt;=480)),
(MOD('(直掃)RX Mapping'!G25,120)-1),
IF(
(AND('(直掃)RX Mapping'!G25&gt;=480,'(直掃)RX Mapping'!G25&lt;=960)),
IF(MOD('(直掃)RX Mapping'!G25,120)=0, 120, 240-MOD('(直掃)RX Mapping'!G25,120)),9999))+IF(AND(MOD('(直掃)RX Mapping'!G25,120)=0, '(直掃)RX Mapping'!G25 &lt;= 480,  '(直掃)RX Mapping'!G25 &gt; 0), 120)</f>
        <v>203</v>
      </c>
      <c r="H25">
        <f>IF(
(AND('(直掃)RX Mapping'!H25&gt;=0,'(直掃)RX Mapping'!H25&lt;=480)),
(MOD('(直掃)RX Mapping'!H25,120)-1),
IF(
(AND('(直掃)RX Mapping'!H25&gt;=480,'(直掃)RX Mapping'!H25&lt;=960)),
IF(MOD('(直掃)RX Mapping'!H25,120)=0, 120, 240-MOD('(直掃)RX Mapping'!H25,120)),9999))+IF(AND(MOD('(直掃)RX Mapping'!H25,120)=0, '(直掃)RX Mapping'!H25 &lt;= 480,  '(直掃)RX Mapping'!H25 &gt; 0), 120)</f>
        <v>143</v>
      </c>
      <c r="I25">
        <f>IF(
(AND('(直掃)RX Mapping'!I25&gt;=0,'(直掃)RX Mapping'!I25&lt;=480)),
(MOD('(直掃)RX Mapping'!I25,120)-1),
IF(
(AND('(直掃)RX Mapping'!I25&gt;=480,'(直掃)RX Mapping'!I25&lt;=960)),
IF(MOD('(直掃)RX Mapping'!I25,120)=0, 120, 240-MOD('(直掃)RX Mapping'!I25,120)),9999))+IF(AND(MOD('(直掃)RX Mapping'!I25,120)=0, '(直掃)RX Mapping'!I25 &lt;= 480,  '(直掃)RX Mapping'!I25 &gt; 0), 120)</f>
        <v>173</v>
      </c>
      <c r="J25">
        <f>IF(
(AND('(直掃)RX Mapping'!J25&gt;=0,'(直掃)RX Mapping'!J25&lt;=480)),
(MOD('(直掃)RX Mapping'!J25,120)-1),
IF(
(AND('(直掃)RX Mapping'!J25&gt;=480,'(直掃)RX Mapping'!J25&lt;=960)),
IF(MOD('(直掃)RX Mapping'!J25,120)=0, 120, 240-MOD('(直掃)RX Mapping'!J25,120)),9999))+IF(AND(MOD('(直掃)RX Mapping'!J25,120)=0, '(直掃)RX Mapping'!J25 &lt;= 480,  '(直掃)RX Mapping'!J25 &gt; 0), 120)</f>
        <v>203</v>
      </c>
      <c r="K25">
        <f>IF(
(AND('(直掃)RX Mapping'!K25&gt;=0,'(直掃)RX Mapping'!K25&lt;=480)),
(MOD('(直掃)RX Mapping'!K25,120)-1),
IF(
(AND('(直掃)RX Mapping'!K25&gt;=480,'(直掃)RX Mapping'!K25&lt;=960)),
IF(MOD('(直掃)RX Mapping'!K25,120)=0, 120, 240-MOD('(直掃)RX Mapping'!K25,120)),9999))+IF(AND(MOD('(直掃)RX Mapping'!K25,120)=0, '(直掃)RX Mapping'!K25 &lt;= 480,  '(直掃)RX Mapping'!K25 &gt; 0), 120)</f>
        <v>233</v>
      </c>
      <c r="L25">
        <f>IF(
(AND('(直掃)RX Mapping'!L25&gt;=0,'(直掃)RX Mapping'!L25&lt;=480)),
(MOD('(直掃)RX Mapping'!L25,120)-1),
IF(
(AND('(直掃)RX Mapping'!L25&gt;=480,'(直掃)RX Mapping'!L25&lt;=960)),
IF(MOD('(直掃)RX Mapping'!L25,120)=0, 120, 240-MOD('(直掃)RX Mapping'!L25,120)),9999))+IF(AND(MOD('(直掃)RX Mapping'!L25,120)=0, '(直掃)RX Mapping'!L25 &lt;= 480,  '(直掃)RX Mapping'!L25 &gt; 0), 120)</f>
        <v>143</v>
      </c>
      <c r="M25">
        <f>IF(
(AND('(直掃)RX Mapping'!M25&gt;=0,'(直掃)RX Mapping'!M25&lt;=480)),
(MOD('(直掃)RX Mapping'!M25,120)-1),
IF(
(AND('(直掃)RX Mapping'!M25&gt;=480,'(直掃)RX Mapping'!M25&lt;=960)),
IF(MOD('(直掃)RX Mapping'!M25,120)=0, 120, 240-MOD('(直掃)RX Mapping'!M25,120)),9999))+IF(AND(MOD('(直掃)RX Mapping'!M25,120)=0, '(直掃)RX Mapping'!M25 &lt;= 480,  '(直掃)RX Mapping'!M25 &gt; 0), 120)</f>
        <v>173</v>
      </c>
      <c r="N25">
        <f>IF(
(AND('(直掃)RX Mapping'!N25&gt;=0,'(直掃)RX Mapping'!N25&lt;=480)),
(MOD('(直掃)RX Mapping'!N25,120)-1),
IF(
(AND('(直掃)RX Mapping'!N25&gt;=480,'(直掃)RX Mapping'!N25&lt;=960)),
IF(MOD('(直掃)RX Mapping'!N25,120)=0, 120, 240-MOD('(直掃)RX Mapping'!N25,120)),9999))+IF(AND(MOD('(直掃)RX Mapping'!N25,120)=0, '(直掃)RX Mapping'!N25 &lt;= 480,  '(直掃)RX Mapping'!N25 &gt; 0), 120)</f>
        <v>203</v>
      </c>
      <c r="O25">
        <f>IF(
(AND('(直掃)RX Mapping'!O25&gt;=0,'(直掃)RX Mapping'!O25&lt;=480)),
(MOD('(直掃)RX Mapping'!O25,120)-1),
IF(
(AND('(直掃)RX Mapping'!O25&gt;=480,'(直掃)RX Mapping'!O25&lt;=960)),
IF(MOD('(直掃)RX Mapping'!O25,120)=0, 120, 240-MOD('(直掃)RX Mapping'!O25,120)),9999))+IF(AND(MOD('(直掃)RX Mapping'!O25,120)=0, '(直掃)RX Mapping'!O25 &lt;= 480,  '(直掃)RX Mapping'!O25 &gt; 0), 120)</f>
        <v>233</v>
      </c>
      <c r="P25">
        <f>IF(
(AND('(直掃)RX Mapping'!P25&gt;=0,'(直掃)RX Mapping'!P25&lt;=480)),
(MOD('(直掃)RX Mapping'!P25,120)-1),
IF(
(AND('(直掃)RX Mapping'!P25&gt;=480,'(直掃)RX Mapping'!P25&lt;=960)),
IF(MOD('(直掃)RX Mapping'!P25,120)=0, 120, 240-MOD('(直掃)RX Mapping'!P25,120)),9999))+IF(AND(MOD('(直掃)RX Mapping'!P25,120)=0, '(直掃)RX Mapping'!P25 &lt;= 480,  '(直掃)RX Mapping'!P25 &gt; 0), 120)</f>
        <v>96</v>
      </c>
      <c r="Q25">
        <f>IF(
(AND('(直掃)RX Mapping'!Q25&gt;=0,'(直掃)RX Mapping'!Q25&lt;=480)),
(MOD('(直掃)RX Mapping'!Q25,120)-1),
IF(
(AND('(直掃)RX Mapping'!Q25&gt;=480,'(直掃)RX Mapping'!Q25&lt;=960)),
IF(MOD('(直掃)RX Mapping'!Q25,120)=0, 120, 240-MOD('(直掃)RX Mapping'!Q25,120)),9999))+IF(AND(MOD('(直掃)RX Mapping'!Q25,120)=0, '(直掃)RX Mapping'!Q25 &lt;= 480,  '(直掃)RX Mapping'!Q25 &gt; 0), 120)</f>
        <v>66</v>
      </c>
      <c r="R25">
        <f>IF(
(AND('(直掃)RX Mapping'!R25&gt;=0,'(直掃)RX Mapping'!R25&lt;=480)),
(MOD('(直掃)RX Mapping'!R25,120)-1),
IF(
(AND('(直掃)RX Mapping'!R25&gt;=480,'(直掃)RX Mapping'!R25&lt;=960)),
IF(MOD('(直掃)RX Mapping'!R25,120)=0, 120, 240-MOD('(直掃)RX Mapping'!R25,120)),9999))+IF(AND(MOD('(直掃)RX Mapping'!R25,120)=0, '(直掃)RX Mapping'!R25 &lt;= 480,  '(直掃)RX Mapping'!R25 &gt; 0), 120)</f>
        <v>36</v>
      </c>
      <c r="S25">
        <f>IF(
(AND('(直掃)RX Mapping'!S25&gt;=0,'(直掃)RX Mapping'!S25&lt;=480)),
(MOD('(直掃)RX Mapping'!S25,120)-1),
IF(
(AND('(直掃)RX Mapping'!S25&gt;=480,'(直掃)RX Mapping'!S25&lt;=960)),
IF(MOD('(直掃)RX Mapping'!S25,120)=0, 120, 240-MOD('(直掃)RX Mapping'!S25,120)),9999))+IF(AND(MOD('(直掃)RX Mapping'!S25,120)=0, '(直掃)RX Mapping'!S25 &lt;= 480,  '(直掃)RX Mapping'!S25 &gt; 0), 120)</f>
        <v>6</v>
      </c>
      <c r="T25">
        <f>IF(
(AND('(直掃)RX Mapping'!T25&gt;=0,'(直掃)RX Mapping'!T25&lt;=480)),
(MOD('(直掃)RX Mapping'!T25,120)-1),
IF(
(AND('(直掃)RX Mapping'!T25&gt;=480,'(直掃)RX Mapping'!T25&lt;=960)),
IF(MOD('(直掃)RX Mapping'!T25,120)=0, 120, 240-MOD('(直掃)RX Mapping'!T25,120)),9999))+IF(AND(MOD('(直掃)RX Mapping'!T25,120)=0, '(直掃)RX Mapping'!T25 &lt;= 480,  '(直掃)RX Mapping'!T25 &gt; 0), 120)</f>
        <v>96</v>
      </c>
      <c r="U25">
        <f>IF(
(AND('(直掃)RX Mapping'!U25&gt;=0,'(直掃)RX Mapping'!U25&lt;=480)),
(MOD('(直掃)RX Mapping'!U25,120)-1),
IF(
(AND('(直掃)RX Mapping'!U25&gt;=480,'(直掃)RX Mapping'!U25&lt;=960)),
IF(MOD('(直掃)RX Mapping'!U25,120)=0, 120, 240-MOD('(直掃)RX Mapping'!U25,120)),9999))+IF(AND(MOD('(直掃)RX Mapping'!U25,120)=0, '(直掃)RX Mapping'!U25 &lt;= 480,  '(直掃)RX Mapping'!U25 &gt; 0), 120)</f>
        <v>66</v>
      </c>
      <c r="V25">
        <f>IF(
(AND('(直掃)RX Mapping'!V25&gt;=0,'(直掃)RX Mapping'!V25&lt;=480)),
(MOD('(直掃)RX Mapping'!V25,120)-1),
IF(
(AND('(直掃)RX Mapping'!V25&gt;=480,'(直掃)RX Mapping'!V25&lt;=960)),
IF(MOD('(直掃)RX Mapping'!V25,120)=0, 120, 240-MOD('(直掃)RX Mapping'!V25,120)),9999))+IF(AND(MOD('(直掃)RX Mapping'!V25,120)=0, '(直掃)RX Mapping'!V25 &lt;= 480,  '(直掃)RX Mapping'!V25 &gt; 0), 120)</f>
        <v>36</v>
      </c>
      <c r="W25">
        <f>IF(
(AND('(直掃)RX Mapping'!W25&gt;=0,'(直掃)RX Mapping'!W25&lt;=480)),
(MOD('(直掃)RX Mapping'!W25,120)-1),
IF(
(AND('(直掃)RX Mapping'!W25&gt;=480,'(直掃)RX Mapping'!W25&lt;=960)),
IF(MOD('(直掃)RX Mapping'!W25,120)=0, 120, 240-MOD('(直掃)RX Mapping'!W25,120)),9999))+IF(AND(MOD('(直掃)RX Mapping'!W25,120)=0, '(直掃)RX Mapping'!W25 &lt;= 480,  '(直掃)RX Mapping'!W25 &gt; 0), 120)</f>
        <v>6</v>
      </c>
      <c r="X25">
        <f>IF(
(AND('(直掃)RX Mapping'!X25&gt;=0,'(直掃)RX Mapping'!X25&lt;=480)),
(MOD('(直掃)RX Mapping'!X25,120)-1),
IF(
(AND('(直掃)RX Mapping'!X25&gt;=480,'(直掃)RX Mapping'!X25&lt;=960)),
IF(MOD('(直掃)RX Mapping'!X25,120)=0, 120, 240-MOD('(直掃)RX Mapping'!X25,120)),9999))+IF(AND(MOD('(直掃)RX Mapping'!X25,120)=0, '(直掃)RX Mapping'!X25 &lt;= 480,  '(直掃)RX Mapping'!X25 &gt; 0), 120)</f>
        <v>66</v>
      </c>
      <c r="Y25">
        <f>IF(
(AND('(直掃)RX Mapping'!Y25&gt;=0,'(直掃)RX Mapping'!Y25&lt;=480)),
(MOD('(直掃)RX Mapping'!Y25,120)-1),
IF(
(AND('(直掃)RX Mapping'!Y25&gt;=480,'(直掃)RX Mapping'!Y25&lt;=960)),
IF(MOD('(直掃)RX Mapping'!Y25,120)=0, 120, 240-MOD('(直掃)RX Mapping'!Y25,120)),9999))+IF(AND(MOD('(直掃)RX Mapping'!Y25,120)=0, '(直掃)RX Mapping'!Y25 &lt;= 480,  '(直掃)RX Mapping'!Y25 &gt; 0), 120)</f>
        <v>36</v>
      </c>
      <c r="Z25">
        <f>IF(
(AND('(直掃)RX Mapping'!Z25&gt;=0,'(直掃)RX Mapping'!Z25&lt;=480)),
(MOD('(直掃)RX Mapping'!Z25,120)-1),
IF(
(AND('(直掃)RX Mapping'!Z25&gt;=480,'(直掃)RX Mapping'!Z25&lt;=960)),
IF(MOD('(直掃)RX Mapping'!Z25,120)=0, 120, 240-MOD('(直掃)RX Mapping'!Z25,120)),9999))+IF(AND(MOD('(直掃)RX Mapping'!Z25,120)=0, '(直掃)RX Mapping'!Z25 &lt;= 480,  '(直掃)RX Mapping'!Z25 &gt; 0), 120)</f>
        <v>6</v>
      </c>
      <c r="AA25">
        <f>IF(
(AND('(直掃)RX Mapping'!AA25&gt;=0,'(直掃)RX Mapping'!AA25&lt;=480)),
(MOD('(直掃)RX Mapping'!AA25,120)-1),
IF(
(AND('(直掃)RX Mapping'!AA25&gt;=480,'(直掃)RX Mapping'!AA25&lt;=960)),
IF(MOD('(直掃)RX Mapping'!AA25,120)=0, 120, 240-MOD('(直掃)RX Mapping'!AA25,120)),9999))+IF(AND(MOD('(直掃)RX Mapping'!AA25,120)=0, '(直掃)RX Mapping'!AA25 &lt;= 480,  '(直掃)RX Mapping'!AA25 &gt; 0), 120)</f>
        <v>66</v>
      </c>
      <c r="AB25">
        <f>IF(
(AND('(直掃)RX Mapping'!AB25&gt;=0,'(直掃)RX Mapping'!AB25&lt;=480)),
(MOD('(直掃)RX Mapping'!AB25,120)-1),
IF(
(AND('(直掃)RX Mapping'!AB25&gt;=480,'(直掃)RX Mapping'!AB25&lt;=960)),
IF(MOD('(直掃)RX Mapping'!AB25,120)=0, 120, 240-MOD('(直掃)RX Mapping'!AB25,120)),9999))+IF(AND(MOD('(直掃)RX Mapping'!AB25,120)=0, '(直掃)RX Mapping'!AB25 &lt;= 480,  '(直掃)RX Mapping'!AB25 &gt; 0), 120)</f>
        <v>36</v>
      </c>
      <c r="AC25">
        <f>IF(
(AND('(直掃)RX Mapping'!AC25&gt;=0,'(直掃)RX Mapping'!AC25&lt;=480)),
(MOD('(直掃)RX Mapping'!AC25,120)-1),
IF(
(AND('(直掃)RX Mapping'!AC25&gt;=480,'(直掃)RX Mapping'!AC25&lt;=960)),
IF(MOD('(直掃)RX Mapping'!AC25,120)=0, 120, 240-MOD('(直掃)RX Mapping'!AC25,120)),9999))+IF(AND(MOD('(直掃)RX Mapping'!AC25,120)=0, '(直掃)RX Mapping'!AC25 &lt;= 480,  '(直掃)RX Mapping'!AC25 &gt; 0), 120)</f>
        <v>6</v>
      </c>
      <c r="AD25">
        <f>IF(
(AND('(直掃)RX Mapping'!AD25&gt;=0,'(直掃)RX Mapping'!AD25&lt;=480)),
(MOD('(直掃)RX Mapping'!AD25,120)-1),
IF(
(AND('(直掃)RX Mapping'!AD25&gt;=480,'(直掃)RX Mapping'!AD25&lt;=960)),
IF(MOD('(直掃)RX Mapping'!AD25,120)=0, 120, 240-MOD('(直掃)RX Mapping'!AD25,120)),9999))+IF(AND(MOD('(直掃)RX Mapping'!AD25,120)=0, '(直掃)RX Mapping'!AD25 &lt;= 480,  '(直掃)RX Mapping'!AD25 &gt; 0), 120)</f>
        <v>-1</v>
      </c>
      <c r="AE25">
        <f>IF(
(AND('(直掃)RX Mapping'!AE25&gt;=0,'(直掃)RX Mapping'!AE25&lt;=480)),
(MOD('(直掃)RX Mapping'!AE25,120)-1),
IF(
(AND('(直掃)RX Mapping'!AE25&gt;=480,'(直掃)RX Mapping'!AE25&lt;=960)),
IF(MOD('(直掃)RX Mapping'!AE25,120)=0, 120, 240-MOD('(直掃)RX Mapping'!AE25,120)),9999))+IF(AND(MOD('(直掃)RX Mapping'!AE25,120)=0, '(直掃)RX Mapping'!AE25 &lt;= 480,  '(直掃)RX Mapping'!AE25 &gt; 0), 120)</f>
        <v>-1</v>
      </c>
      <c r="AF25">
        <f>IF(
(AND('(直掃)RX Mapping'!AF25&gt;=0,'(直掃)RX Mapping'!AF25&lt;=480)),
(MOD('(直掃)RX Mapping'!AF25,120)-1),
IF(
(AND('(直掃)RX Mapping'!AF25&gt;=480,'(直掃)RX Mapping'!AF25&lt;=960)),
IF(MOD('(直掃)RX Mapping'!AF25,120)=0, 120, 240-MOD('(直掃)RX Mapping'!AF25,120)),9999))+IF(AND(MOD('(直掃)RX Mapping'!AF25,120)=0, '(直掃)RX Mapping'!AF25 &lt;= 480,  '(直掃)RX Mapping'!AF25 &gt; 0), 120)</f>
        <v>-1</v>
      </c>
      <c r="AG25">
        <f>IF(
(AND('(直掃)RX Mapping'!AG25&gt;=0,'(直掃)RX Mapping'!AG25&lt;=480)),
(MOD('(直掃)RX Mapping'!AG25,120)-1),
IF(
(AND('(直掃)RX Mapping'!AG25&gt;=480,'(直掃)RX Mapping'!AG25&lt;=960)),
IF(MOD('(直掃)RX Mapping'!AG25,120)=0, 120, 240-MOD('(直掃)RX Mapping'!AG25,120)),9999))+IF(AND(MOD('(直掃)RX Mapping'!AG25,120)=0, '(直掃)RX Mapping'!AG25 &lt;= 480,  '(直掃)RX Mapping'!AG25 &gt; 0), 120)</f>
        <v>-1</v>
      </c>
      <c r="AH25">
        <f>IF(
(AND('(直掃)RX Mapping'!AH25&gt;=0,'(直掃)RX Mapping'!AH25&lt;=480)),
(MOD('(直掃)RX Mapping'!AH25,120)-1),
IF(
(AND('(直掃)RX Mapping'!AH25&gt;=480,'(直掃)RX Mapping'!AH25&lt;=960)),
IF(MOD('(直掃)RX Mapping'!AH25,120)=0, 120, 240-MOD('(直掃)RX Mapping'!AH25,120)),9999))+IF(AND(MOD('(直掃)RX Mapping'!AH25,120)=0, '(直掃)RX Mapping'!AH25 &lt;= 480,  '(直掃)RX Mapping'!AH25 &gt; 0), 120)</f>
        <v>-1</v>
      </c>
      <c r="AI25">
        <f>IF(
(AND('(直掃)RX Mapping'!AI25&gt;=0,'(直掃)RX Mapping'!AI25&lt;=480)),
(MOD('(直掃)RX Mapping'!AI25,120)-1),
IF(
(AND('(直掃)RX Mapping'!AI25&gt;=480,'(直掃)RX Mapping'!AI25&lt;=960)),
IF(MOD('(直掃)RX Mapping'!AI25,120)=0, 120, 240-MOD('(直掃)RX Mapping'!AI25,120)),9999))+IF(AND(MOD('(直掃)RX Mapping'!AI25,120)=0, '(直掃)RX Mapping'!AI25 &lt;= 480,  '(直掃)RX Mapping'!AI25 &gt; 0), 120)</f>
        <v>-1</v>
      </c>
      <c r="AJ25">
        <f>IF(
(AND('(直掃)RX Mapping'!AJ25&gt;=0,'(直掃)RX Mapping'!AJ25&lt;=480)),
(MOD('(直掃)RX Mapping'!AJ25,120)-1),
IF(
(AND('(直掃)RX Mapping'!AJ25&gt;=480,'(直掃)RX Mapping'!AJ25&lt;=960)),
IF(MOD('(直掃)RX Mapping'!AJ25,120)=0, 120, 240-MOD('(直掃)RX Mapping'!AJ25,120)),9999))+IF(AND(MOD('(直掃)RX Mapping'!AJ25,120)=0, '(直掃)RX Mapping'!AJ25 &lt;= 480,  '(直掃)RX Mapping'!AJ25 &gt; 0), 120)</f>
        <v>-1</v>
      </c>
      <c r="AK25">
        <f>IF(
(AND('(直掃)RX Mapping'!AK25&gt;=0,'(直掃)RX Mapping'!AK25&lt;=480)),
(MOD('(直掃)RX Mapping'!AK25,120)-1),
IF(
(AND('(直掃)RX Mapping'!AK25&gt;=480,'(直掃)RX Mapping'!AK25&lt;=960)),
IF(MOD('(直掃)RX Mapping'!AK25,120)=0, 120, 240-MOD('(直掃)RX Mapping'!AK25,120)),9999))+IF(AND(MOD('(直掃)RX Mapping'!AK25,120)=0, '(直掃)RX Mapping'!AK25 &lt;= 480,  '(直掃)RX Mapping'!AK25 &gt; 0), 120)</f>
        <v>-1</v>
      </c>
      <c r="AL25">
        <f>IF(
(AND('(直掃)RX Mapping'!AL25&gt;=0,'(直掃)RX Mapping'!AL25&lt;=480)),
(MOD('(直掃)RX Mapping'!AL25,120)-1),
IF(
(AND('(直掃)RX Mapping'!AL25&gt;=480,'(直掃)RX Mapping'!AL25&lt;=960)),
IF(MOD('(直掃)RX Mapping'!AL25,120)=0, 120, 240-MOD('(直掃)RX Mapping'!AL25,120)),9999))+IF(AND(MOD('(直掃)RX Mapping'!AL25,120)=0, '(直掃)RX Mapping'!AL25 &lt;= 480,  '(直掃)RX Mapping'!AL25 &gt; 0), 120)</f>
        <v>-1</v>
      </c>
      <c r="AM25">
        <f>IF(
(AND('(直掃)RX Mapping'!AM25&gt;=0,'(直掃)RX Mapping'!AM25&lt;=480)),
(MOD('(直掃)RX Mapping'!AM25,120)-1),
IF(
(AND('(直掃)RX Mapping'!AM25&gt;=480,'(直掃)RX Mapping'!AM25&lt;=960)),
IF(MOD('(直掃)RX Mapping'!AM25,120)=0, 120, 240-MOD('(直掃)RX Mapping'!AM25,120)),9999))+IF(AND(MOD('(直掃)RX Mapping'!AM25,120)=0, '(直掃)RX Mapping'!AM25 &lt;= 480,  '(直掃)RX Mapping'!AM25 &gt; 0), 120)</f>
        <v>-1</v>
      </c>
      <c r="AN25">
        <f>IF(
(AND('(直掃)RX Mapping'!AN25&gt;=0,'(直掃)RX Mapping'!AN25&lt;=480)),
(MOD('(直掃)RX Mapping'!AN25,120)-1),
IF(
(AND('(直掃)RX Mapping'!AN25&gt;=480,'(直掃)RX Mapping'!AN25&lt;=960)),
IF(MOD('(直掃)RX Mapping'!AN25,120)=0, 120, 240-MOD('(直掃)RX Mapping'!AN25,120)),9999))+IF(AND(MOD('(直掃)RX Mapping'!AN25,120)=0, '(直掃)RX Mapping'!AN25 &lt;= 480,  '(直掃)RX Mapping'!AN25 &gt; 0), 120)</f>
        <v>-1</v>
      </c>
      <c r="AO25">
        <f>IF(
(AND('(直掃)RX Mapping'!AO25&gt;=0,'(直掃)RX Mapping'!AO25&lt;=480)),
(MOD('(直掃)RX Mapping'!AO25,120)-1),
IF(
(AND('(直掃)RX Mapping'!AO25&gt;=480,'(直掃)RX Mapping'!AO25&lt;=960)),
IF(MOD('(直掃)RX Mapping'!AO25,120)=0, 120, 240-MOD('(直掃)RX Mapping'!AO25,120)),9999))+IF(AND(MOD('(直掃)RX Mapping'!AO25,120)=0, '(直掃)RX Mapping'!AO25 &lt;= 480,  '(直掃)RX Mapping'!AO25 &gt; 0), 120)</f>
        <v>-1</v>
      </c>
      <c r="AP25">
        <f>IF(
(AND('(直掃)RX Mapping'!AP25&gt;=0,'(直掃)RX Mapping'!AP25&lt;=480)),
(MOD('(直掃)RX Mapping'!AP25,120)-1),
IF(
(AND('(直掃)RX Mapping'!AP25&gt;=480,'(直掃)RX Mapping'!AP25&lt;=960)),
IF(MOD('(直掃)RX Mapping'!AP25,120)=0, 120, 240-MOD('(直掃)RX Mapping'!AP25,120)),9999))+IF(AND(MOD('(直掃)RX Mapping'!AP25,120)=0, '(直掃)RX Mapping'!AP25 &lt;= 480,  '(直掃)RX Mapping'!AP25 &gt; 0), 120)</f>
        <v>-1</v>
      </c>
      <c r="AQ25">
        <f>IF(
(AND('(直掃)RX Mapping'!AQ25&gt;=0,'(直掃)RX Mapping'!AQ25&lt;=480)),
(MOD('(直掃)RX Mapping'!AQ25,120)-1),
IF(
(AND('(直掃)RX Mapping'!AQ25&gt;=480,'(直掃)RX Mapping'!AQ25&lt;=960)),
IF(MOD('(直掃)RX Mapping'!AQ25,120)=0, 120, 240-MOD('(直掃)RX Mapping'!AQ25,120)),9999))+IF(AND(MOD('(直掃)RX Mapping'!AQ25,120)=0, '(直掃)RX Mapping'!AQ25 &lt;= 480,  '(直掃)RX Mapping'!AQ25 &gt; 0), 120)</f>
        <v>-1</v>
      </c>
      <c r="AR25">
        <f>IF(
(AND('(直掃)RX Mapping'!AR25&gt;=0,'(直掃)RX Mapping'!AR25&lt;=480)),
(MOD('(直掃)RX Mapping'!AR25,120)-1),
IF(
(AND('(直掃)RX Mapping'!AR25&gt;=480,'(直掃)RX Mapping'!AR25&lt;=960)),
IF(MOD('(直掃)RX Mapping'!AR25,120)=0, 120, 240-MOD('(直掃)RX Mapping'!AR25,120)),9999))+IF(AND(MOD('(直掃)RX Mapping'!AR25,120)=0, '(直掃)RX Mapping'!AR25 &lt;= 480,  '(直掃)RX Mapping'!AR25 &gt; 0), 120)</f>
        <v>-1</v>
      </c>
      <c r="AS25">
        <f>IF(
(AND('(直掃)RX Mapping'!AS25&gt;=0,'(直掃)RX Mapping'!AS25&lt;=480)),
(MOD('(直掃)RX Mapping'!AS25,120)-1),
IF(
(AND('(直掃)RX Mapping'!AS25&gt;=480,'(直掃)RX Mapping'!AS25&lt;=960)),
IF(MOD('(直掃)RX Mapping'!AS25,120)=0, 120, 240-MOD('(直掃)RX Mapping'!AS25,120)),9999))+IF(AND(MOD('(直掃)RX Mapping'!AS25,120)=0, '(直掃)RX Mapping'!AS25 &lt;= 480,  '(直掃)RX Mapping'!AS25 &gt; 0), 120)</f>
        <v>-1</v>
      </c>
      <c r="AT25">
        <f>IF(AND('(橫掃)RX Mapping'!AT25&gt;=1,'(橫掃)RX Mapping'!AT25&lt;=120), ('(橫掃)RX Mapping'!AT25-1),IF(AND('(橫掃)RX Mapping'!AT25&gt;=121,'(橫掃)RX Mapping'!AT25&lt;=240), (-1)*('(橫掃)RX Mapping'!AT25-240),IF(AND('(橫掃)RX Mapping'!AT25&gt;=241,'(橫掃)RX Mapping'!AT25&lt;=360), ('(橫掃)RX Mapping'!AT25-241),IF(AND('(橫掃)RX Mapping'!AT25&gt;=361,'(橫掃)RX Mapping'!AT25&lt;=480), (-1)*('(橫掃)RX Mapping'!AT25-480),IF(AND('(橫掃)RX Mapping'!AT25&gt;=481,'(橫掃)RX Mapping'!AT25&lt;=600), ('(橫掃)RX Mapping'!AT25-361),IF(AND('(橫掃)RX Mapping'!AT25&gt;=601,'(橫掃)RX Mapping'!AT25&lt;=720), (-1)*('(橫掃)RX Mapping'!AT25-720)+120,IF(AND('(橫掃)RX Mapping'!AT25&gt;=721,'(橫掃)RX Mapping'!AT25&lt;=840), ('(橫掃)RX Mapping'!AT25-601),IF(AND('(橫掃)RX Mapping'!AT25&gt;=841,'(橫掃)RX Mapping'!AT25&lt;=960), (-1)*('(橫掃)RX Mapping'!AT25-960)+120,9999))))))))</f>
        <v>9999</v>
      </c>
      <c r="AU25">
        <f>IF(AND('(橫掃)RX Mapping'!AU25&gt;=1,'(橫掃)RX Mapping'!AU25&lt;=120), ('(橫掃)RX Mapping'!AU25-1),IF(AND('(橫掃)RX Mapping'!AU25&gt;=121,'(橫掃)RX Mapping'!AU25&lt;=240), (-1)*('(橫掃)RX Mapping'!AU25-240),IF(AND('(橫掃)RX Mapping'!AU25&gt;=241,'(橫掃)RX Mapping'!AU25&lt;=360), ('(橫掃)RX Mapping'!AU25-241),IF(AND('(橫掃)RX Mapping'!AU25&gt;=361,'(橫掃)RX Mapping'!AU25&lt;=480), (-1)*('(橫掃)RX Mapping'!AU25-480),IF(AND('(橫掃)RX Mapping'!AU25&gt;=481,'(橫掃)RX Mapping'!AU25&lt;=600), ('(橫掃)RX Mapping'!AU25-361),IF(AND('(橫掃)RX Mapping'!AU25&gt;=601,'(橫掃)RX Mapping'!AU25&lt;=720), (-1)*('(橫掃)RX Mapping'!AU25-720)+120,IF(AND('(橫掃)RX Mapping'!AU25&gt;=721,'(橫掃)RX Mapping'!AU25&lt;=840), ('(橫掃)RX Mapping'!AU25-601),IF(AND('(橫掃)RX Mapping'!AU25&gt;=841,'(橫掃)RX Mapping'!AU25&lt;=960), (-1)*('(橫掃)RX Mapping'!AU25-960)+120,9999))))))))</f>
        <v>9999</v>
      </c>
      <c r="AV25">
        <f>IF(AND('(橫掃)RX Mapping'!AV25&gt;=1,'(橫掃)RX Mapping'!AV25&lt;=120), ('(橫掃)RX Mapping'!AV25-1),IF(AND('(橫掃)RX Mapping'!AV25&gt;=121,'(橫掃)RX Mapping'!AV25&lt;=240), (-1)*('(橫掃)RX Mapping'!AV25-240),IF(AND('(橫掃)RX Mapping'!AV25&gt;=241,'(橫掃)RX Mapping'!AV25&lt;=360), ('(橫掃)RX Mapping'!AV25-241),IF(AND('(橫掃)RX Mapping'!AV25&gt;=361,'(橫掃)RX Mapping'!AV25&lt;=480), (-1)*('(橫掃)RX Mapping'!AV25-480),IF(AND('(橫掃)RX Mapping'!AV25&gt;=481,'(橫掃)RX Mapping'!AV25&lt;=600), ('(橫掃)RX Mapping'!AV25-361),IF(AND('(橫掃)RX Mapping'!AV25&gt;=601,'(橫掃)RX Mapping'!AV25&lt;=720), (-1)*('(橫掃)RX Mapping'!AV25-720)+120,IF(AND('(橫掃)RX Mapping'!AV25&gt;=721,'(橫掃)RX Mapping'!AV25&lt;=840), ('(橫掃)RX Mapping'!AV25-601),IF(AND('(橫掃)RX Mapping'!AV25&gt;=841,'(橫掃)RX Mapping'!AV25&lt;=960), (-1)*('(橫掃)RX Mapping'!AV25-960)+120,9999))))))))</f>
        <v>9999</v>
      </c>
      <c r="AW25">
        <f>IF(AND('(橫掃)RX Mapping'!AW25&gt;=1,'(橫掃)RX Mapping'!AW25&lt;=120), ('(橫掃)RX Mapping'!AW25-1),IF(AND('(橫掃)RX Mapping'!AW25&gt;=121,'(橫掃)RX Mapping'!AW25&lt;=240), (-1)*('(橫掃)RX Mapping'!AW25-240),IF(AND('(橫掃)RX Mapping'!AW25&gt;=241,'(橫掃)RX Mapping'!AW25&lt;=360), ('(橫掃)RX Mapping'!AW25-241),IF(AND('(橫掃)RX Mapping'!AW25&gt;=361,'(橫掃)RX Mapping'!AW25&lt;=480), (-1)*('(橫掃)RX Mapping'!AW25-480),IF(AND('(橫掃)RX Mapping'!AW25&gt;=481,'(橫掃)RX Mapping'!AW25&lt;=600), ('(橫掃)RX Mapping'!AW25-361),IF(AND('(橫掃)RX Mapping'!AW25&gt;=601,'(橫掃)RX Mapping'!AW25&lt;=720), (-1)*('(橫掃)RX Mapping'!AW25-720)+120,IF(AND('(橫掃)RX Mapping'!AW25&gt;=721,'(橫掃)RX Mapping'!AW25&lt;=840), ('(橫掃)RX Mapping'!AW25-601),IF(AND('(橫掃)RX Mapping'!AW25&gt;=841,'(橫掃)RX Mapping'!AW25&lt;=960), (-1)*('(橫掃)RX Mapping'!AW25-960)+120,9999))))))))</f>
        <v>9999</v>
      </c>
      <c r="AX25">
        <f>IF(AND('(橫掃)RX Mapping'!AX25&gt;=1,'(橫掃)RX Mapping'!AX25&lt;=120), ('(橫掃)RX Mapping'!AX25-1),IF(AND('(橫掃)RX Mapping'!AX25&gt;=121,'(橫掃)RX Mapping'!AX25&lt;=240), (-1)*('(橫掃)RX Mapping'!AX25-240),IF(AND('(橫掃)RX Mapping'!AX25&gt;=241,'(橫掃)RX Mapping'!AX25&lt;=360), ('(橫掃)RX Mapping'!AX25-241),IF(AND('(橫掃)RX Mapping'!AX25&gt;=361,'(橫掃)RX Mapping'!AX25&lt;=480), (-1)*('(橫掃)RX Mapping'!AX25-480),IF(AND('(橫掃)RX Mapping'!AX25&gt;=481,'(橫掃)RX Mapping'!AX25&lt;=600), ('(橫掃)RX Mapping'!AX25-361),IF(AND('(橫掃)RX Mapping'!AX25&gt;=601,'(橫掃)RX Mapping'!AX25&lt;=720), (-1)*('(橫掃)RX Mapping'!AX25-720)+120,IF(AND('(橫掃)RX Mapping'!AX25&gt;=721,'(橫掃)RX Mapping'!AX25&lt;=840), ('(橫掃)RX Mapping'!AX25-601),IF(AND('(橫掃)RX Mapping'!AX25&gt;=841,'(橫掃)RX Mapping'!AX25&lt;=960), (-1)*('(橫掃)RX Mapping'!AX25-960)+120,9999))))))))</f>
        <v>9999</v>
      </c>
      <c r="AY25">
        <f>IF(AND('(橫掃)RX Mapping'!AY25&gt;=1,'(橫掃)RX Mapping'!AY25&lt;=120), ('(橫掃)RX Mapping'!AY25-1),IF(AND('(橫掃)RX Mapping'!AY25&gt;=121,'(橫掃)RX Mapping'!AY25&lt;=240), (-1)*('(橫掃)RX Mapping'!AY25-240),IF(AND('(橫掃)RX Mapping'!AY25&gt;=241,'(橫掃)RX Mapping'!AY25&lt;=360), ('(橫掃)RX Mapping'!AY25-241),IF(AND('(橫掃)RX Mapping'!AY25&gt;=361,'(橫掃)RX Mapping'!AY25&lt;=480), (-1)*('(橫掃)RX Mapping'!AY25-480),IF(AND('(橫掃)RX Mapping'!AY25&gt;=481,'(橫掃)RX Mapping'!AY25&lt;=600), ('(橫掃)RX Mapping'!AY25-361),IF(AND('(橫掃)RX Mapping'!AY25&gt;=601,'(橫掃)RX Mapping'!AY25&lt;=720), (-1)*('(橫掃)RX Mapping'!AY25-720)+120,IF(AND('(橫掃)RX Mapping'!AY25&gt;=721,'(橫掃)RX Mapping'!AY25&lt;=840), ('(橫掃)RX Mapping'!AY25-601),IF(AND('(橫掃)RX Mapping'!AY25&gt;=841,'(橫掃)RX Mapping'!AY25&lt;=960), (-1)*('(橫掃)RX Mapping'!AY25-960)+120,9999))))))))</f>
        <v>9999</v>
      </c>
      <c r="AZ25">
        <f>IF(AND('(橫掃)RX Mapping'!AZ25&gt;=1,'(橫掃)RX Mapping'!AZ25&lt;=120), ('(橫掃)RX Mapping'!AZ25-1),IF(AND('(橫掃)RX Mapping'!AZ25&gt;=121,'(橫掃)RX Mapping'!AZ25&lt;=240), (-1)*('(橫掃)RX Mapping'!AZ25-240),IF(AND('(橫掃)RX Mapping'!AZ25&gt;=241,'(橫掃)RX Mapping'!AZ25&lt;=360), ('(橫掃)RX Mapping'!AZ25-241),IF(AND('(橫掃)RX Mapping'!AZ25&gt;=361,'(橫掃)RX Mapping'!AZ25&lt;=480), (-1)*('(橫掃)RX Mapping'!AZ25-480),IF(AND('(橫掃)RX Mapping'!AZ25&gt;=481,'(橫掃)RX Mapping'!AZ25&lt;=600), ('(橫掃)RX Mapping'!AZ25-361),IF(AND('(橫掃)RX Mapping'!AZ25&gt;=601,'(橫掃)RX Mapping'!AZ25&lt;=720), (-1)*('(橫掃)RX Mapping'!AZ25-720)+120,IF(AND('(橫掃)RX Mapping'!AZ25&gt;=721,'(橫掃)RX Mapping'!AZ25&lt;=840), ('(橫掃)RX Mapping'!AZ25-601),IF(AND('(橫掃)RX Mapping'!AZ25&gt;=841,'(橫掃)RX Mapping'!AZ25&lt;=960), (-1)*('(橫掃)RX Mapping'!AZ25-960)+120,9999))))))))</f>
        <v>9999</v>
      </c>
      <c r="BA25">
        <f>IF(AND('(橫掃)RX Mapping'!BA25&gt;=1,'(橫掃)RX Mapping'!BA25&lt;=120), ('(橫掃)RX Mapping'!BA25-1),IF(AND('(橫掃)RX Mapping'!BA25&gt;=121,'(橫掃)RX Mapping'!BA25&lt;=240), (-1)*('(橫掃)RX Mapping'!BA25-240),IF(AND('(橫掃)RX Mapping'!BA25&gt;=241,'(橫掃)RX Mapping'!BA25&lt;=360), ('(橫掃)RX Mapping'!BA25-241),IF(AND('(橫掃)RX Mapping'!BA25&gt;=361,'(橫掃)RX Mapping'!BA25&lt;=480), (-1)*('(橫掃)RX Mapping'!BA25-480),IF(AND('(橫掃)RX Mapping'!BA25&gt;=481,'(橫掃)RX Mapping'!BA25&lt;=600), ('(橫掃)RX Mapping'!BA25-361),IF(AND('(橫掃)RX Mapping'!BA25&gt;=601,'(橫掃)RX Mapping'!BA25&lt;=720), (-1)*('(橫掃)RX Mapping'!BA25-720)+120,IF(AND('(橫掃)RX Mapping'!BA25&gt;=721,'(橫掃)RX Mapping'!BA25&lt;=840), ('(橫掃)RX Mapping'!BA25-601),IF(AND('(橫掃)RX Mapping'!BA25&gt;=841,'(橫掃)RX Mapping'!BA25&lt;=960), (-1)*('(橫掃)RX Mapping'!BA25-960)+120,9999))))))))</f>
        <v>9999</v>
      </c>
      <c r="BB25">
        <f>IF(AND('(橫掃)RX Mapping'!BB25&gt;=1,'(橫掃)RX Mapping'!BB25&lt;=120), ('(橫掃)RX Mapping'!BB25-1),IF(AND('(橫掃)RX Mapping'!BB25&gt;=121,'(橫掃)RX Mapping'!BB25&lt;=240), (-1)*('(橫掃)RX Mapping'!BB25-240),IF(AND('(橫掃)RX Mapping'!BB25&gt;=241,'(橫掃)RX Mapping'!BB25&lt;=360), ('(橫掃)RX Mapping'!BB25-241),IF(AND('(橫掃)RX Mapping'!BB25&gt;=361,'(橫掃)RX Mapping'!BB25&lt;=480), (-1)*('(橫掃)RX Mapping'!BB25-480),IF(AND('(橫掃)RX Mapping'!BB25&gt;=481,'(橫掃)RX Mapping'!BB25&lt;=600), ('(橫掃)RX Mapping'!BB25-361),IF(AND('(橫掃)RX Mapping'!BB25&gt;=601,'(橫掃)RX Mapping'!BB25&lt;=720), (-1)*('(橫掃)RX Mapping'!BB25-720)+120,IF(AND('(橫掃)RX Mapping'!BB25&gt;=721,'(橫掃)RX Mapping'!BB25&lt;=840), ('(橫掃)RX Mapping'!BB25-601),IF(AND('(橫掃)RX Mapping'!BB25&gt;=841,'(橫掃)RX Mapping'!BB25&lt;=960), (-1)*('(橫掃)RX Mapping'!BB25-960)+120,9999))))))))</f>
        <v>9999</v>
      </c>
      <c r="BC25">
        <f>IF(AND('(橫掃)RX Mapping'!BC25&gt;=1,'(橫掃)RX Mapping'!BC25&lt;=120), ('(橫掃)RX Mapping'!BC25-1),IF(AND('(橫掃)RX Mapping'!BC25&gt;=121,'(橫掃)RX Mapping'!BC25&lt;=240), (-1)*('(橫掃)RX Mapping'!BC25-240),IF(AND('(橫掃)RX Mapping'!BC25&gt;=241,'(橫掃)RX Mapping'!BC25&lt;=360), ('(橫掃)RX Mapping'!BC25-241),IF(AND('(橫掃)RX Mapping'!BC25&gt;=361,'(橫掃)RX Mapping'!BC25&lt;=480), (-1)*('(橫掃)RX Mapping'!BC25-480),IF(AND('(橫掃)RX Mapping'!BC25&gt;=481,'(橫掃)RX Mapping'!BC25&lt;=600), ('(橫掃)RX Mapping'!BC25-361),IF(AND('(橫掃)RX Mapping'!BC25&gt;=601,'(橫掃)RX Mapping'!BC25&lt;=720), (-1)*('(橫掃)RX Mapping'!BC25-720)+120,IF(AND('(橫掃)RX Mapping'!BC25&gt;=721,'(橫掃)RX Mapping'!BC25&lt;=840), ('(橫掃)RX Mapping'!BC25-601),IF(AND('(橫掃)RX Mapping'!BC25&gt;=841,'(橫掃)RX Mapping'!BC25&lt;=960), (-1)*('(橫掃)RX Mapping'!BC25-960)+120,9999))))))))</f>
        <v>9999</v>
      </c>
      <c r="BD25">
        <f>IF(AND('(橫掃)RX Mapping'!BD25&gt;=1,'(橫掃)RX Mapping'!BD25&lt;=120), ('(橫掃)RX Mapping'!BD25-1),IF(AND('(橫掃)RX Mapping'!BD25&gt;=121,'(橫掃)RX Mapping'!BD25&lt;=240), (-1)*('(橫掃)RX Mapping'!BD25-240),IF(AND('(橫掃)RX Mapping'!BD25&gt;=241,'(橫掃)RX Mapping'!BD25&lt;=360), ('(橫掃)RX Mapping'!BD25-241),IF(AND('(橫掃)RX Mapping'!BD25&gt;=361,'(橫掃)RX Mapping'!BD25&lt;=480), (-1)*('(橫掃)RX Mapping'!BD25-480),IF(AND('(橫掃)RX Mapping'!BD25&gt;=481,'(橫掃)RX Mapping'!BD25&lt;=600), ('(橫掃)RX Mapping'!BD25-361),IF(AND('(橫掃)RX Mapping'!BD25&gt;=601,'(橫掃)RX Mapping'!BD25&lt;=720), (-1)*('(橫掃)RX Mapping'!BD25-720)+120,IF(AND('(橫掃)RX Mapping'!BD25&gt;=721,'(橫掃)RX Mapping'!BD25&lt;=840), ('(橫掃)RX Mapping'!BD25-601),IF(AND('(橫掃)RX Mapping'!BD25&gt;=841,'(橫掃)RX Mapping'!BD25&lt;=960), (-1)*('(橫掃)RX Mapping'!BD25-960)+120,9999))))))))</f>
        <v>9999</v>
      </c>
      <c r="BE25">
        <f>IF(AND('(橫掃)RX Mapping'!BE25&gt;=1,'(橫掃)RX Mapping'!BE25&lt;=120), ('(橫掃)RX Mapping'!BE25-1),IF(AND('(橫掃)RX Mapping'!BE25&gt;=121,'(橫掃)RX Mapping'!BE25&lt;=240), (-1)*('(橫掃)RX Mapping'!BE25-240),IF(AND('(橫掃)RX Mapping'!BE25&gt;=241,'(橫掃)RX Mapping'!BE25&lt;=360), ('(橫掃)RX Mapping'!BE25-241),IF(AND('(橫掃)RX Mapping'!BE25&gt;=361,'(橫掃)RX Mapping'!BE25&lt;=480), (-1)*('(橫掃)RX Mapping'!BE25-480),IF(AND('(橫掃)RX Mapping'!BE25&gt;=481,'(橫掃)RX Mapping'!BE25&lt;=600), ('(橫掃)RX Mapping'!BE25-361),IF(AND('(橫掃)RX Mapping'!BE25&gt;=601,'(橫掃)RX Mapping'!BE25&lt;=720), (-1)*('(橫掃)RX Mapping'!BE25-720)+120,IF(AND('(橫掃)RX Mapping'!BE25&gt;=721,'(橫掃)RX Mapping'!BE25&lt;=840), ('(橫掃)RX Mapping'!BE25-601),IF(AND('(橫掃)RX Mapping'!BE25&gt;=841,'(橫掃)RX Mapping'!BE25&lt;=960), (-1)*('(橫掃)RX Mapping'!BE25-960)+120,9999))))))))</f>
        <v>9999</v>
      </c>
      <c r="BF25">
        <f>IF(AND('(橫掃)RX Mapping'!BF25&gt;=1,'(橫掃)RX Mapping'!BF25&lt;=120), ('(橫掃)RX Mapping'!BF25-1),IF(AND('(橫掃)RX Mapping'!BF25&gt;=121,'(橫掃)RX Mapping'!BF25&lt;=240), (-1)*('(橫掃)RX Mapping'!BF25-240),IF(AND('(橫掃)RX Mapping'!BF25&gt;=241,'(橫掃)RX Mapping'!BF25&lt;=360), ('(橫掃)RX Mapping'!BF25-241),IF(AND('(橫掃)RX Mapping'!BF25&gt;=361,'(橫掃)RX Mapping'!BF25&lt;=480), (-1)*('(橫掃)RX Mapping'!BF25-480),IF(AND('(橫掃)RX Mapping'!BF25&gt;=481,'(橫掃)RX Mapping'!BF25&lt;=600), ('(橫掃)RX Mapping'!BF25-361),IF(AND('(橫掃)RX Mapping'!BF25&gt;=601,'(橫掃)RX Mapping'!BF25&lt;=720), (-1)*('(橫掃)RX Mapping'!BF25-720)+120,IF(AND('(橫掃)RX Mapping'!BF25&gt;=721,'(橫掃)RX Mapping'!BF25&lt;=840), ('(橫掃)RX Mapping'!BF25-601),IF(AND('(橫掃)RX Mapping'!BF25&gt;=841,'(橫掃)RX Mapping'!BF25&lt;=960), (-1)*('(橫掃)RX Mapping'!BF25-960)+120,9999))))))))</f>
        <v>9999</v>
      </c>
      <c r="BG25">
        <f>IF(AND('(橫掃)RX Mapping'!BG25&gt;=1,'(橫掃)RX Mapping'!BG25&lt;=120), ('(橫掃)RX Mapping'!BG25-1),IF(AND('(橫掃)RX Mapping'!BG25&gt;=121,'(橫掃)RX Mapping'!BG25&lt;=240), (-1)*('(橫掃)RX Mapping'!BG25-240),IF(AND('(橫掃)RX Mapping'!BG25&gt;=241,'(橫掃)RX Mapping'!BG25&lt;=360), ('(橫掃)RX Mapping'!BG25-241),IF(AND('(橫掃)RX Mapping'!BG25&gt;=361,'(橫掃)RX Mapping'!BG25&lt;=480), (-1)*('(橫掃)RX Mapping'!BG25-480),IF(AND('(橫掃)RX Mapping'!BG25&gt;=481,'(橫掃)RX Mapping'!BG25&lt;=600), ('(橫掃)RX Mapping'!BG25-361),IF(AND('(橫掃)RX Mapping'!BG25&gt;=601,'(橫掃)RX Mapping'!BG25&lt;=720), (-1)*('(橫掃)RX Mapping'!BG25-720)+120,IF(AND('(橫掃)RX Mapping'!BG25&gt;=721,'(橫掃)RX Mapping'!BG25&lt;=840), ('(橫掃)RX Mapping'!BG25-601),IF(AND('(橫掃)RX Mapping'!BG25&gt;=841,'(橫掃)RX Mapping'!BG25&lt;=960), (-1)*('(橫掃)RX Mapping'!BG25-960)+120,9999))))))))</f>
        <v>9999</v>
      </c>
      <c r="BH25">
        <f>IF(AND('(橫掃)RX Mapping'!BH25&gt;=1,'(橫掃)RX Mapping'!BH25&lt;=120), ('(橫掃)RX Mapping'!BH25-1),IF(AND('(橫掃)RX Mapping'!BH25&gt;=121,'(橫掃)RX Mapping'!BH25&lt;=240), (-1)*('(橫掃)RX Mapping'!BH25-240),IF(AND('(橫掃)RX Mapping'!BH25&gt;=241,'(橫掃)RX Mapping'!BH25&lt;=360), ('(橫掃)RX Mapping'!BH25-241),IF(AND('(橫掃)RX Mapping'!BH25&gt;=361,'(橫掃)RX Mapping'!BH25&lt;=480), (-1)*('(橫掃)RX Mapping'!BH25-480),IF(AND('(橫掃)RX Mapping'!BH25&gt;=481,'(橫掃)RX Mapping'!BH25&lt;=600), ('(橫掃)RX Mapping'!BH25-361),IF(AND('(橫掃)RX Mapping'!BH25&gt;=601,'(橫掃)RX Mapping'!BH25&lt;=720), (-1)*('(橫掃)RX Mapping'!BH25-720)+120,IF(AND('(橫掃)RX Mapping'!BH25&gt;=721,'(橫掃)RX Mapping'!BH25&lt;=840), ('(橫掃)RX Mapping'!BH25-601),IF(AND('(橫掃)RX Mapping'!BH25&gt;=841,'(橫掃)RX Mapping'!BH25&lt;=960), (-1)*('(橫掃)RX Mapping'!BH25-960)+120,9999))))))))</f>
        <v>9999</v>
      </c>
      <c r="BI25">
        <f>IF(AND('(橫掃)RX Mapping'!BI25&gt;=1,'(橫掃)RX Mapping'!BI25&lt;=120), ('(橫掃)RX Mapping'!BI25-1),IF(AND('(橫掃)RX Mapping'!BI25&gt;=121,'(橫掃)RX Mapping'!BI25&lt;=240), (-1)*('(橫掃)RX Mapping'!BI25-240),IF(AND('(橫掃)RX Mapping'!BI25&gt;=241,'(橫掃)RX Mapping'!BI25&lt;=360), ('(橫掃)RX Mapping'!BI25-241),IF(AND('(橫掃)RX Mapping'!BI25&gt;=361,'(橫掃)RX Mapping'!BI25&lt;=480), (-1)*('(橫掃)RX Mapping'!BI25-480),IF(AND('(橫掃)RX Mapping'!BI25&gt;=481,'(橫掃)RX Mapping'!BI25&lt;=600), ('(橫掃)RX Mapping'!BI25-361),IF(AND('(橫掃)RX Mapping'!BI25&gt;=601,'(橫掃)RX Mapping'!BI25&lt;=720), (-1)*('(橫掃)RX Mapping'!BI25-720)+120,IF(AND('(橫掃)RX Mapping'!BI25&gt;=721,'(橫掃)RX Mapping'!BI25&lt;=840), ('(橫掃)RX Mapping'!BI25-601),IF(AND('(橫掃)RX Mapping'!BI25&gt;=841,'(橫掃)RX Mapping'!BI25&lt;=960), (-1)*('(橫掃)RX Mapping'!BI25-960)+120,9999))))))))</f>
        <v>9999</v>
      </c>
    </row>
    <row r="26" spans="1:61" x14ac:dyDescent="0.25">
      <c r="A26" s="20">
        <v>25</v>
      </c>
      <c r="B26">
        <f>IF(
(AND('(直掃)RX Mapping'!B26&gt;=0,'(直掃)RX Mapping'!B26&lt;=480)),
(MOD('(直掃)RX Mapping'!B26,120)-1),
IF(
(AND('(直掃)RX Mapping'!B26&gt;=480,'(直掃)RX Mapping'!B26&lt;=960)),
IF(MOD('(直掃)RX Mapping'!B26,120)=0, 120, 240-MOD('(直掃)RX Mapping'!B26,120)),9999))+IF(AND(MOD('(直掃)RX Mapping'!B26,120)=0, '(直掃)RX Mapping'!B26 &lt;= 480,  '(直掃)RX Mapping'!B26 &gt; 0), 120)</f>
        <v>144</v>
      </c>
      <c r="C26">
        <f>IF(
(AND('(直掃)RX Mapping'!C26&gt;=0,'(直掃)RX Mapping'!C26&lt;=480)),
(MOD('(直掃)RX Mapping'!C26,120)-1),
IF(
(AND('(直掃)RX Mapping'!C26&gt;=480,'(直掃)RX Mapping'!C26&lt;=960)),
IF(MOD('(直掃)RX Mapping'!C26,120)=0, 120, 240-MOD('(直掃)RX Mapping'!C26,120)),9999))+IF(AND(MOD('(直掃)RX Mapping'!C26,120)=0, '(直掃)RX Mapping'!C26 &lt;= 480,  '(直掃)RX Mapping'!C26 &gt; 0), 120)</f>
        <v>174</v>
      </c>
      <c r="D26">
        <f>IF(
(AND('(直掃)RX Mapping'!D26&gt;=0,'(直掃)RX Mapping'!D26&lt;=480)),
(MOD('(直掃)RX Mapping'!D26,120)-1),
IF(
(AND('(直掃)RX Mapping'!D26&gt;=480,'(直掃)RX Mapping'!D26&lt;=960)),
IF(MOD('(直掃)RX Mapping'!D26,120)=0, 120, 240-MOD('(直掃)RX Mapping'!D26,120)),9999))+IF(AND(MOD('(直掃)RX Mapping'!D26,120)=0, '(直掃)RX Mapping'!D26 &lt;= 480,  '(直掃)RX Mapping'!D26 &gt; 0), 120)</f>
        <v>204</v>
      </c>
      <c r="E26">
        <f>IF(
(AND('(直掃)RX Mapping'!E26&gt;=0,'(直掃)RX Mapping'!E26&lt;=480)),
(MOD('(直掃)RX Mapping'!E26,120)-1),
IF(
(AND('(直掃)RX Mapping'!E26&gt;=480,'(直掃)RX Mapping'!E26&lt;=960)),
IF(MOD('(直掃)RX Mapping'!E26,120)=0, 120, 240-MOD('(直掃)RX Mapping'!E26,120)),9999))+IF(AND(MOD('(直掃)RX Mapping'!E26,120)=0, '(直掃)RX Mapping'!E26 &lt;= 480,  '(直掃)RX Mapping'!E26 &gt; 0), 120)</f>
        <v>144</v>
      </c>
      <c r="F26">
        <f>IF(
(AND('(直掃)RX Mapping'!F26&gt;=0,'(直掃)RX Mapping'!F26&lt;=480)),
(MOD('(直掃)RX Mapping'!F26,120)-1),
IF(
(AND('(直掃)RX Mapping'!F26&gt;=480,'(直掃)RX Mapping'!F26&lt;=960)),
IF(MOD('(直掃)RX Mapping'!F26,120)=0, 120, 240-MOD('(直掃)RX Mapping'!F26,120)),9999))+IF(AND(MOD('(直掃)RX Mapping'!F26,120)=0, '(直掃)RX Mapping'!F26 &lt;= 480,  '(直掃)RX Mapping'!F26 &gt; 0), 120)</f>
        <v>174</v>
      </c>
      <c r="G26">
        <f>IF(
(AND('(直掃)RX Mapping'!G26&gt;=0,'(直掃)RX Mapping'!G26&lt;=480)),
(MOD('(直掃)RX Mapping'!G26,120)-1),
IF(
(AND('(直掃)RX Mapping'!G26&gt;=480,'(直掃)RX Mapping'!G26&lt;=960)),
IF(MOD('(直掃)RX Mapping'!G26,120)=0, 120, 240-MOD('(直掃)RX Mapping'!G26,120)),9999))+IF(AND(MOD('(直掃)RX Mapping'!G26,120)=0, '(直掃)RX Mapping'!G26 &lt;= 480,  '(直掃)RX Mapping'!G26 &gt; 0), 120)</f>
        <v>204</v>
      </c>
      <c r="H26">
        <f>IF(
(AND('(直掃)RX Mapping'!H26&gt;=0,'(直掃)RX Mapping'!H26&lt;=480)),
(MOD('(直掃)RX Mapping'!H26,120)-1),
IF(
(AND('(直掃)RX Mapping'!H26&gt;=480,'(直掃)RX Mapping'!H26&lt;=960)),
IF(MOD('(直掃)RX Mapping'!H26,120)=0, 120, 240-MOD('(直掃)RX Mapping'!H26,120)),9999))+IF(AND(MOD('(直掃)RX Mapping'!H26,120)=0, '(直掃)RX Mapping'!H26 &lt;= 480,  '(直掃)RX Mapping'!H26 &gt; 0), 120)</f>
        <v>144</v>
      </c>
      <c r="I26">
        <f>IF(
(AND('(直掃)RX Mapping'!I26&gt;=0,'(直掃)RX Mapping'!I26&lt;=480)),
(MOD('(直掃)RX Mapping'!I26,120)-1),
IF(
(AND('(直掃)RX Mapping'!I26&gt;=480,'(直掃)RX Mapping'!I26&lt;=960)),
IF(MOD('(直掃)RX Mapping'!I26,120)=0, 120, 240-MOD('(直掃)RX Mapping'!I26,120)),9999))+IF(AND(MOD('(直掃)RX Mapping'!I26,120)=0, '(直掃)RX Mapping'!I26 &lt;= 480,  '(直掃)RX Mapping'!I26 &gt; 0), 120)</f>
        <v>174</v>
      </c>
      <c r="J26">
        <f>IF(
(AND('(直掃)RX Mapping'!J26&gt;=0,'(直掃)RX Mapping'!J26&lt;=480)),
(MOD('(直掃)RX Mapping'!J26,120)-1),
IF(
(AND('(直掃)RX Mapping'!J26&gt;=480,'(直掃)RX Mapping'!J26&lt;=960)),
IF(MOD('(直掃)RX Mapping'!J26,120)=0, 120, 240-MOD('(直掃)RX Mapping'!J26,120)),9999))+IF(AND(MOD('(直掃)RX Mapping'!J26,120)=0, '(直掃)RX Mapping'!J26 &lt;= 480,  '(直掃)RX Mapping'!J26 &gt; 0), 120)</f>
        <v>204</v>
      </c>
      <c r="K26">
        <f>IF(
(AND('(直掃)RX Mapping'!K26&gt;=0,'(直掃)RX Mapping'!K26&lt;=480)),
(MOD('(直掃)RX Mapping'!K26,120)-1),
IF(
(AND('(直掃)RX Mapping'!K26&gt;=480,'(直掃)RX Mapping'!K26&lt;=960)),
IF(MOD('(直掃)RX Mapping'!K26,120)=0, 120, 240-MOD('(直掃)RX Mapping'!K26,120)),9999))+IF(AND(MOD('(直掃)RX Mapping'!K26,120)=0, '(直掃)RX Mapping'!K26 &lt;= 480,  '(直掃)RX Mapping'!K26 &gt; 0), 120)</f>
        <v>234</v>
      </c>
      <c r="L26">
        <f>IF(
(AND('(直掃)RX Mapping'!L26&gt;=0,'(直掃)RX Mapping'!L26&lt;=480)),
(MOD('(直掃)RX Mapping'!L26,120)-1),
IF(
(AND('(直掃)RX Mapping'!L26&gt;=480,'(直掃)RX Mapping'!L26&lt;=960)),
IF(MOD('(直掃)RX Mapping'!L26,120)=0, 120, 240-MOD('(直掃)RX Mapping'!L26,120)),9999))+IF(AND(MOD('(直掃)RX Mapping'!L26,120)=0, '(直掃)RX Mapping'!L26 &lt;= 480,  '(直掃)RX Mapping'!L26 &gt; 0), 120)</f>
        <v>144</v>
      </c>
      <c r="M26">
        <f>IF(
(AND('(直掃)RX Mapping'!M26&gt;=0,'(直掃)RX Mapping'!M26&lt;=480)),
(MOD('(直掃)RX Mapping'!M26,120)-1),
IF(
(AND('(直掃)RX Mapping'!M26&gt;=480,'(直掃)RX Mapping'!M26&lt;=960)),
IF(MOD('(直掃)RX Mapping'!M26,120)=0, 120, 240-MOD('(直掃)RX Mapping'!M26,120)),9999))+IF(AND(MOD('(直掃)RX Mapping'!M26,120)=0, '(直掃)RX Mapping'!M26 &lt;= 480,  '(直掃)RX Mapping'!M26 &gt; 0), 120)</f>
        <v>174</v>
      </c>
      <c r="N26">
        <f>IF(
(AND('(直掃)RX Mapping'!N26&gt;=0,'(直掃)RX Mapping'!N26&lt;=480)),
(MOD('(直掃)RX Mapping'!N26,120)-1),
IF(
(AND('(直掃)RX Mapping'!N26&gt;=480,'(直掃)RX Mapping'!N26&lt;=960)),
IF(MOD('(直掃)RX Mapping'!N26,120)=0, 120, 240-MOD('(直掃)RX Mapping'!N26,120)),9999))+IF(AND(MOD('(直掃)RX Mapping'!N26,120)=0, '(直掃)RX Mapping'!N26 &lt;= 480,  '(直掃)RX Mapping'!N26 &gt; 0), 120)</f>
        <v>204</v>
      </c>
      <c r="O26">
        <f>IF(
(AND('(直掃)RX Mapping'!O26&gt;=0,'(直掃)RX Mapping'!O26&lt;=480)),
(MOD('(直掃)RX Mapping'!O26,120)-1),
IF(
(AND('(直掃)RX Mapping'!O26&gt;=480,'(直掃)RX Mapping'!O26&lt;=960)),
IF(MOD('(直掃)RX Mapping'!O26,120)=0, 120, 240-MOD('(直掃)RX Mapping'!O26,120)),9999))+IF(AND(MOD('(直掃)RX Mapping'!O26,120)=0, '(直掃)RX Mapping'!O26 &lt;= 480,  '(直掃)RX Mapping'!O26 &gt; 0), 120)</f>
        <v>234</v>
      </c>
      <c r="P26">
        <f>IF(
(AND('(直掃)RX Mapping'!P26&gt;=0,'(直掃)RX Mapping'!P26&lt;=480)),
(MOD('(直掃)RX Mapping'!P26,120)-1),
IF(
(AND('(直掃)RX Mapping'!P26&gt;=480,'(直掃)RX Mapping'!P26&lt;=960)),
IF(MOD('(直掃)RX Mapping'!P26,120)=0, 120, 240-MOD('(直掃)RX Mapping'!P26,120)),9999))+IF(AND(MOD('(直掃)RX Mapping'!P26,120)=0, '(直掃)RX Mapping'!P26 &lt;= 480,  '(直掃)RX Mapping'!P26 &gt; 0), 120)</f>
        <v>95</v>
      </c>
      <c r="Q26">
        <f>IF(
(AND('(直掃)RX Mapping'!Q26&gt;=0,'(直掃)RX Mapping'!Q26&lt;=480)),
(MOD('(直掃)RX Mapping'!Q26,120)-1),
IF(
(AND('(直掃)RX Mapping'!Q26&gt;=480,'(直掃)RX Mapping'!Q26&lt;=960)),
IF(MOD('(直掃)RX Mapping'!Q26,120)=0, 120, 240-MOD('(直掃)RX Mapping'!Q26,120)),9999))+IF(AND(MOD('(直掃)RX Mapping'!Q26,120)=0, '(直掃)RX Mapping'!Q26 &lt;= 480,  '(直掃)RX Mapping'!Q26 &gt; 0), 120)</f>
        <v>65</v>
      </c>
      <c r="R26">
        <f>IF(
(AND('(直掃)RX Mapping'!R26&gt;=0,'(直掃)RX Mapping'!R26&lt;=480)),
(MOD('(直掃)RX Mapping'!R26,120)-1),
IF(
(AND('(直掃)RX Mapping'!R26&gt;=480,'(直掃)RX Mapping'!R26&lt;=960)),
IF(MOD('(直掃)RX Mapping'!R26,120)=0, 120, 240-MOD('(直掃)RX Mapping'!R26,120)),9999))+IF(AND(MOD('(直掃)RX Mapping'!R26,120)=0, '(直掃)RX Mapping'!R26 &lt;= 480,  '(直掃)RX Mapping'!R26 &gt; 0), 120)</f>
        <v>35</v>
      </c>
      <c r="S26">
        <f>IF(
(AND('(直掃)RX Mapping'!S26&gt;=0,'(直掃)RX Mapping'!S26&lt;=480)),
(MOD('(直掃)RX Mapping'!S26,120)-1),
IF(
(AND('(直掃)RX Mapping'!S26&gt;=480,'(直掃)RX Mapping'!S26&lt;=960)),
IF(MOD('(直掃)RX Mapping'!S26,120)=0, 120, 240-MOD('(直掃)RX Mapping'!S26,120)),9999))+IF(AND(MOD('(直掃)RX Mapping'!S26,120)=0, '(直掃)RX Mapping'!S26 &lt;= 480,  '(直掃)RX Mapping'!S26 &gt; 0), 120)</f>
        <v>5</v>
      </c>
      <c r="T26">
        <f>IF(
(AND('(直掃)RX Mapping'!T26&gt;=0,'(直掃)RX Mapping'!T26&lt;=480)),
(MOD('(直掃)RX Mapping'!T26,120)-1),
IF(
(AND('(直掃)RX Mapping'!T26&gt;=480,'(直掃)RX Mapping'!T26&lt;=960)),
IF(MOD('(直掃)RX Mapping'!T26,120)=0, 120, 240-MOD('(直掃)RX Mapping'!T26,120)),9999))+IF(AND(MOD('(直掃)RX Mapping'!T26,120)=0, '(直掃)RX Mapping'!T26 &lt;= 480,  '(直掃)RX Mapping'!T26 &gt; 0), 120)</f>
        <v>95</v>
      </c>
      <c r="U26">
        <f>IF(
(AND('(直掃)RX Mapping'!U26&gt;=0,'(直掃)RX Mapping'!U26&lt;=480)),
(MOD('(直掃)RX Mapping'!U26,120)-1),
IF(
(AND('(直掃)RX Mapping'!U26&gt;=480,'(直掃)RX Mapping'!U26&lt;=960)),
IF(MOD('(直掃)RX Mapping'!U26,120)=0, 120, 240-MOD('(直掃)RX Mapping'!U26,120)),9999))+IF(AND(MOD('(直掃)RX Mapping'!U26,120)=0, '(直掃)RX Mapping'!U26 &lt;= 480,  '(直掃)RX Mapping'!U26 &gt; 0), 120)</f>
        <v>65</v>
      </c>
      <c r="V26">
        <f>IF(
(AND('(直掃)RX Mapping'!V26&gt;=0,'(直掃)RX Mapping'!V26&lt;=480)),
(MOD('(直掃)RX Mapping'!V26,120)-1),
IF(
(AND('(直掃)RX Mapping'!V26&gt;=480,'(直掃)RX Mapping'!V26&lt;=960)),
IF(MOD('(直掃)RX Mapping'!V26,120)=0, 120, 240-MOD('(直掃)RX Mapping'!V26,120)),9999))+IF(AND(MOD('(直掃)RX Mapping'!V26,120)=0, '(直掃)RX Mapping'!V26 &lt;= 480,  '(直掃)RX Mapping'!V26 &gt; 0), 120)</f>
        <v>35</v>
      </c>
      <c r="W26">
        <f>IF(
(AND('(直掃)RX Mapping'!W26&gt;=0,'(直掃)RX Mapping'!W26&lt;=480)),
(MOD('(直掃)RX Mapping'!W26,120)-1),
IF(
(AND('(直掃)RX Mapping'!W26&gt;=480,'(直掃)RX Mapping'!W26&lt;=960)),
IF(MOD('(直掃)RX Mapping'!W26,120)=0, 120, 240-MOD('(直掃)RX Mapping'!W26,120)),9999))+IF(AND(MOD('(直掃)RX Mapping'!W26,120)=0, '(直掃)RX Mapping'!W26 &lt;= 480,  '(直掃)RX Mapping'!W26 &gt; 0), 120)</f>
        <v>5</v>
      </c>
      <c r="X26">
        <f>IF(
(AND('(直掃)RX Mapping'!X26&gt;=0,'(直掃)RX Mapping'!X26&lt;=480)),
(MOD('(直掃)RX Mapping'!X26,120)-1),
IF(
(AND('(直掃)RX Mapping'!X26&gt;=480,'(直掃)RX Mapping'!X26&lt;=960)),
IF(MOD('(直掃)RX Mapping'!X26,120)=0, 120, 240-MOD('(直掃)RX Mapping'!X26,120)),9999))+IF(AND(MOD('(直掃)RX Mapping'!X26,120)=0, '(直掃)RX Mapping'!X26 &lt;= 480,  '(直掃)RX Mapping'!X26 &gt; 0), 120)</f>
        <v>65</v>
      </c>
      <c r="Y26">
        <f>IF(
(AND('(直掃)RX Mapping'!Y26&gt;=0,'(直掃)RX Mapping'!Y26&lt;=480)),
(MOD('(直掃)RX Mapping'!Y26,120)-1),
IF(
(AND('(直掃)RX Mapping'!Y26&gt;=480,'(直掃)RX Mapping'!Y26&lt;=960)),
IF(MOD('(直掃)RX Mapping'!Y26,120)=0, 120, 240-MOD('(直掃)RX Mapping'!Y26,120)),9999))+IF(AND(MOD('(直掃)RX Mapping'!Y26,120)=0, '(直掃)RX Mapping'!Y26 &lt;= 480,  '(直掃)RX Mapping'!Y26 &gt; 0), 120)</f>
        <v>35</v>
      </c>
      <c r="Z26">
        <f>IF(
(AND('(直掃)RX Mapping'!Z26&gt;=0,'(直掃)RX Mapping'!Z26&lt;=480)),
(MOD('(直掃)RX Mapping'!Z26,120)-1),
IF(
(AND('(直掃)RX Mapping'!Z26&gt;=480,'(直掃)RX Mapping'!Z26&lt;=960)),
IF(MOD('(直掃)RX Mapping'!Z26,120)=0, 120, 240-MOD('(直掃)RX Mapping'!Z26,120)),9999))+IF(AND(MOD('(直掃)RX Mapping'!Z26,120)=0, '(直掃)RX Mapping'!Z26 &lt;= 480,  '(直掃)RX Mapping'!Z26 &gt; 0), 120)</f>
        <v>5</v>
      </c>
      <c r="AA26">
        <f>IF(
(AND('(直掃)RX Mapping'!AA26&gt;=0,'(直掃)RX Mapping'!AA26&lt;=480)),
(MOD('(直掃)RX Mapping'!AA26,120)-1),
IF(
(AND('(直掃)RX Mapping'!AA26&gt;=480,'(直掃)RX Mapping'!AA26&lt;=960)),
IF(MOD('(直掃)RX Mapping'!AA26,120)=0, 120, 240-MOD('(直掃)RX Mapping'!AA26,120)),9999))+IF(AND(MOD('(直掃)RX Mapping'!AA26,120)=0, '(直掃)RX Mapping'!AA26 &lt;= 480,  '(直掃)RX Mapping'!AA26 &gt; 0), 120)</f>
        <v>65</v>
      </c>
      <c r="AB26">
        <f>IF(
(AND('(直掃)RX Mapping'!AB26&gt;=0,'(直掃)RX Mapping'!AB26&lt;=480)),
(MOD('(直掃)RX Mapping'!AB26,120)-1),
IF(
(AND('(直掃)RX Mapping'!AB26&gt;=480,'(直掃)RX Mapping'!AB26&lt;=960)),
IF(MOD('(直掃)RX Mapping'!AB26,120)=0, 120, 240-MOD('(直掃)RX Mapping'!AB26,120)),9999))+IF(AND(MOD('(直掃)RX Mapping'!AB26,120)=0, '(直掃)RX Mapping'!AB26 &lt;= 480,  '(直掃)RX Mapping'!AB26 &gt; 0), 120)</f>
        <v>35</v>
      </c>
      <c r="AC26">
        <f>IF(
(AND('(直掃)RX Mapping'!AC26&gt;=0,'(直掃)RX Mapping'!AC26&lt;=480)),
(MOD('(直掃)RX Mapping'!AC26,120)-1),
IF(
(AND('(直掃)RX Mapping'!AC26&gt;=480,'(直掃)RX Mapping'!AC26&lt;=960)),
IF(MOD('(直掃)RX Mapping'!AC26,120)=0, 120, 240-MOD('(直掃)RX Mapping'!AC26,120)),9999))+IF(AND(MOD('(直掃)RX Mapping'!AC26,120)=0, '(直掃)RX Mapping'!AC26 &lt;= 480,  '(直掃)RX Mapping'!AC26 &gt; 0), 120)</f>
        <v>5</v>
      </c>
      <c r="AD26">
        <f>IF(
(AND('(直掃)RX Mapping'!AD26&gt;=0,'(直掃)RX Mapping'!AD26&lt;=480)),
(MOD('(直掃)RX Mapping'!AD26,120)-1),
IF(
(AND('(直掃)RX Mapping'!AD26&gt;=480,'(直掃)RX Mapping'!AD26&lt;=960)),
IF(MOD('(直掃)RX Mapping'!AD26,120)=0, 120, 240-MOD('(直掃)RX Mapping'!AD26,120)),9999))+IF(AND(MOD('(直掃)RX Mapping'!AD26,120)=0, '(直掃)RX Mapping'!AD26 &lt;= 480,  '(直掃)RX Mapping'!AD26 &gt; 0), 120)</f>
        <v>-1</v>
      </c>
      <c r="AE26">
        <f>IF(
(AND('(直掃)RX Mapping'!AE26&gt;=0,'(直掃)RX Mapping'!AE26&lt;=480)),
(MOD('(直掃)RX Mapping'!AE26,120)-1),
IF(
(AND('(直掃)RX Mapping'!AE26&gt;=480,'(直掃)RX Mapping'!AE26&lt;=960)),
IF(MOD('(直掃)RX Mapping'!AE26,120)=0, 120, 240-MOD('(直掃)RX Mapping'!AE26,120)),9999))+IF(AND(MOD('(直掃)RX Mapping'!AE26,120)=0, '(直掃)RX Mapping'!AE26 &lt;= 480,  '(直掃)RX Mapping'!AE26 &gt; 0), 120)</f>
        <v>-1</v>
      </c>
      <c r="AF26">
        <f>IF(
(AND('(直掃)RX Mapping'!AF26&gt;=0,'(直掃)RX Mapping'!AF26&lt;=480)),
(MOD('(直掃)RX Mapping'!AF26,120)-1),
IF(
(AND('(直掃)RX Mapping'!AF26&gt;=480,'(直掃)RX Mapping'!AF26&lt;=960)),
IF(MOD('(直掃)RX Mapping'!AF26,120)=0, 120, 240-MOD('(直掃)RX Mapping'!AF26,120)),9999))+IF(AND(MOD('(直掃)RX Mapping'!AF26,120)=0, '(直掃)RX Mapping'!AF26 &lt;= 480,  '(直掃)RX Mapping'!AF26 &gt; 0), 120)</f>
        <v>-1</v>
      </c>
      <c r="AG26">
        <f>IF(
(AND('(直掃)RX Mapping'!AG26&gt;=0,'(直掃)RX Mapping'!AG26&lt;=480)),
(MOD('(直掃)RX Mapping'!AG26,120)-1),
IF(
(AND('(直掃)RX Mapping'!AG26&gt;=480,'(直掃)RX Mapping'!AG26&lt;=960)),
IF(MOD('(直掃)RX Mapping'!AG26,120)=0, 120, 240-MOD('(直掃)RX Mapping'!AG26,120)),9999))+IF(AND(MOD('(直掃)RX Mapping'!AG26,120)=0, '(直掃)RX Mapping'!AG26 &lt;= 480,  '(直掃)RX Mapping'!AG26 &gt; 0), 120)</f>
        <v>-1</v>
      </c>
      <c r="AH26">
        <f>IF(
(AND('(直掃)RX Mapping'!AH26&gt;=0,'(直掃)RX Mapping'!AH26&lt;=480)),
(MOD('(直掃)RX Mapping'!AH26,120)-1),
IF(
(AND('(直掃)RX Mapping'!AH26&gt;=480,'(直掃)RX Mapping'!AH26&lt;=960)),
IF(MOD('(直掃)RX Mapping'!AH26,120)=0, 120, 240-MOD('(直掃)RX Mapping'!AH26,120)),9999))+IF(AND(MOD('(直掃)RX Mapping'!AH26,120)=0, '(直掃)RX Mapping'!AH26 &lt;= 480,  '(直掃)RX Mapping'!AH26 &gt; 0), 120)</f>
        <v>-1</v>
      </c>
      <c r="AI26">
        <f>IF(
(AND('(直掃)RX Mapping'!AI26&gt;=0,'(直掃)RX Mapping'!AI26&lt;=480)),
(MOD('(直掃)RX Mapping'!AI26,120)-1),
IF(
(AND('(直掃)RX Mapping'!AI26&gt;=480,'(直掃)RX Mapping'!AI26&lt;=960)),
IF(MOD('(直掃)RX Mapping'!AI26,120)=0, 120, 240-MOD('(直掃)RX Mapping'!AI26,120)),9999))+IF(AND(MOD('(直掃)RX Mapping'!AI26,120)=0, '(直掃)RX Mapping'!AI26 &lt;= 480,  '(直掃)RX Mapping'!AI26 &gt; 0), 120)</f>
        <v>-1</v>
      </c>
      <c r="AJ26">
        <f>IF(
(AND('(直掃)RX Mapping'!AJ26&gt;=0,'(直掃)RX Mapping'!AJ26&lt;=480)),
(MOD('(直掃)RX Mapping'!AJ26,120)-1),
IF(
(AND('(直掃)RX Mapping'!AJ26&gt;=480,'(直掃)RX Mapping'!AJ26&lt;=960)),
IF(MOD('(直掃)RX Mapping'!AJ26,120)=0, 120, 240-MOD('(直掃)RX Mapping'!AJ26,120)),9999))+IF(AND(MOD('(直掃)RX Mapping'!AJ26,120)=0, '(直掃)RX Mapping'!AJ26 &lt;= 480,  '(直掃)RX Mapping'!AJ26 &gt; 0), 120)</f>
        <v>-1</v>
      </c>
      <c r="AK26">
        <f>IF(
(AND('(直掃)RX Mapping'!AK26&gt;=0,'(直掃)RX Mapping'!AK26&lt;=480)),
(MOD('(直掃)RX Mapping'!AK26,120)-1),
IF(
(AND('(直掃)RX Mapping'!AK26&gt;=480,'(直掃)RX Mapping'!AK26&lt;=960)),
IF(MOD('(直掃)RX Mapping'!AK26,120)=0, 120, 240-MOD('(直掃)RX Mapping'!AK26,120)),9999))+IF(AND(MOD('(直掃)RX Mapping'!AK26,120)=0, '(直掃)RX Mapping'!AK26 &lt;= 480,  '(直掃)RX Mapping'!AK26 &gt; 0), 120)</f>
        <v>-1</v>
      </c>
      <c r="AL26">
        <f>IF(
(AND('(直掃)RX Mapping'!AL26&gt;=0,'(直掃)RX Mapping'!AL26&lt;=480)),
(MOD('(直掃)RX Mapping'!AL26,120)-1),
IF(
(AND('(直掃)RX Mapping'!AL26&gt;=480,'(直掃)RX Mapping'!AL26&lt;=960)),
IF(MOD('(直掃)RX Mapping'!AL26,120)=0, 120, 240-MOD('(直掃)RX Mapping'!AL26,120)),9999))+IF(AND(MOD('(直掃)RX Mapping'!AL26,120)=0, '(直掃)RX Mapping'!AL26 &lt;= 480,  '(直掃)RX Mapping'!AL26 &gt; 0), 120)</f>
        <v>-1</v>
      </c>
      <c r="AM26">
        <f>IF(
(AND('(直掃)RX Mapping'!AM26&gt;=0,'(直掃)RX Mapping'!AM26&lt;=480)),
(MOD('(直掃)RX Mapping'!AM26,120)-1),
IF(
(AND('(直掃)RX Mapping'!AM26&gt;=480,'(直掃)RX Mapping'!AM26&lt;=960)),
IF(MOD('(直掃)RX Mapping'!AM26,120)=0, 120, 240-MOD('(直掃)RX Mapping'!AM26,120)),9999))+IF(AND(MOD('(直掃)RX Mapping'!AM26,120)=0, '(直掃)RX Mapping'!AM26 &lt;= 480,  '(直掃)RX Mapping'!AM26 &gt; 0), 120)</f>
        <v>-1</v>
      </c>
      <c r="AN26">
        <f>IF(
(AND('(直掃)RX Mapping'!AN26&gt;=0,'(直掃)RX Mapping'!AN26&lt;=480)),
(MOD('(直掃)RX Mapping'!AN26,120)-1),
IF(
(AND('(直掃)RX Mapping'!AN26&gt;=480,'(直掃)RX Mapping'!AN26&lt;=960)),
IF(MOD('(直掃)RX Mapping'!AN26,120)=0, 120, 240-MOD('(直掃)RX Mapping'!AN26,120)),9999))+IF(AND(MOD('(直掃)RX Mapping'!AN26,120)=0, '(直掃)RX Mapping'!AN26 &lt;= 480,  '(直掃)RX Mapping'!AN26 &gt; 0), 120)</f>
        <v>-1</v>
      </c>
      <c r="AO26">
        <f>IF(
(AND('(直掃)RX Mapping'!AO26&gt;=0,'(直掃)RX Mapping'!AO26&lt;=480)),
(MOD('(直掃)RX Mapping'!AO26,120)-1),
IF(
(AND('(直掃)RX Mapping'!AO26&gt;=480,'(直掃)RX Mapping'!AO26&lt;=960)),
IF(MOD('(直掃)RX Mapping'!AO26,120)=0, 120, 240-MOD('(直掃)RX Mapping'!AO26,120)),9999))+IF(AND(MOD('(直掃)RX Mapping'!AO26,120)=0, '(直掃)RX Mapping'!AO26 &lt;= 480,  '(直掃)RX Mapping'!AO26 &gt; 0), 120)</f>
        <v>-1</v>
      </c>
      <c r="AP26">
        <f>IF(
(AND('(直掃)RX Mapping'!AP26&gt;=0,'(直掃)RX Mapping'!AP26&lt;=480)),
(MOD('(直掃)RX Mapping'!AP26,120)-1),
IF(
(AND('(直掃)RX Mapping'!AP26&gt;=480,'(直掃)RX Mapping'!AP26&lt;=960)),
IF(MOD('(直掃)RX Mapping'!AP26,120)=0, 120, 240-MOD('(直掃)RX Mapping'!AP26,120)),9999))+IF(AND(MOD('(直掃)RX Mapping'!AP26,120)=0, '(直掃)RX Mapping'!AP26 &lt;= 480,  '(直掃)RX Mapping'!AP26 &gt; 0), 120)</f>
        <v>-1</v>
      </c>
      <c r="AQ26">
        <f>IF(
(AND('(直掃)RX Mapping'!AQ26&gt;=0,'(直掃)RX Mapping'!AQ26&lt;=480)),
(MOD('(直掃)RX Mapping'!AQ26,120)-1),
IF(
(AND('(直掃)RX Mapping'!AQ26&gt;=480,'(直掃)RX Mapping'!AQ26&lt;=960)),
IF(MOD('(直掃)RX Mapping'!AQ26,120)=0, 120, 240-MOD('(直掃)RX Mapping'!AQ26,120)),9999))+IF(AND(MOD('(直掃)RX Mapping'!AQ26,120)=0, '(直掃)RX Mapping'!AQ26 &lt;= 480,  '(直掃)RX Mapping'!AQ26 &gt; 0), 120)</f>
        <v>-1</v>
      </c>
      <c r="AR26">
        <f>IF(
(AND('(直掃)RX Mapping'!AR26&gt;=0,'(直掃)RX Mapping'!AR26&lt;=480)),
(MOD('(直掃)RX Mapping'!AR26,120)-1),
IF(
(AND('(直掃)RX Mapping'!AR26&gt;=480,'(直掃)RX Mapping'!AR26&lt;=960)),
IF(MOD('(直掃)RX Mapping'!AR26,120)=0, 120, 240-MOD('(直掃)RX Mapping'!AR26,120)),9999))+IF(AND(MOD('(直掃)RX Mapping'!AR26,120)=0, '(直掃)RX Mapping'!AR26 &lt;= 480,  '(直掃)RX Mapping'!AR26 &gt; 0), 120)</f>
        <v>-1</v>
      </c>
      <c r="AS26">
        <f>IF(
(AND('(直掃)RX Mapping'!AS26&gt;=0,'(直掃)RX Mapping'!AS26&lt;=480)),
(MOD('(直掃)RX Mapping'!AS26,120)-1),
IF(
(AND('(直掃)RX Mapping'!AS26&gt;=480,'(直掃)RX Mapping'!AS26&lt;=960)),
IF(MOD('(直掃)RX Mapping'!AS26,120)=0, 120, 240-MOD('(直掃)RX Mapping'!AS26,120)),9999))+IF(AND(MOD('(直掃)RX Mapping'!AS26,120)=0, '(直掃)RX Mapping'!AS26 &lt;= 480,  '(直掃)RX Mapping'!AS26 &gt; 0), 120)</f>
        <v>-1</v>
      </c>
      <c r="AT26">
        <f>IF(AND('(橫掃)RX Mapping'!AT26&gt;=1,'(橫掃)RX Mapping'!AT26&lt;=120), ('(橫掃)RX Mapping'!AT26-1),IF(AND('(橫掃)RX Mapping'!AT26&gt;=121,'(橫掃)RX Mapping'!AT26&lt;=240), (-1)*('(橫掃)RX Mapping'!AT26-240),IF(AND('(橫掃)RX Mapping'!AT26&gt;=241,'(橫掃)RX Mapping'!AT26&lt;=360), ('(橫掃)RX Mapping'!AT26-241),IF(AND('(橫掃)RX Mapping'!AT26&gt;=361,'(橫掃)RX Mapping'!AT26&lt;=480), (-1)*('(橫掃)RX Mapping'!AT26-480),IF(AND('(橫掃)RX Mapping'!AT26&gt;=481,'(橫掃)RX Mapping'!AT26&lt;=600), ('(橫掃)RX Mapping'!AT26-361),IF(AND('(橫掃)RX Mapping'!AT26&gt;=601,'(橫掃)RX Mapping'!AT26&lt;=720), (-1)*('(橫掃)RX Mapping'!AT26-720)+120,IF(AND('(橫掃)RX Mapping'!AT26&gt;=721,'(橫掃)RX Mapping'!AT26&lt;=840), ('(橫掃)RX Mapping'!AT26-601),IF(AND('(橫掃)RX Mapping'!AT26&gt;=841,'(橫掃)RX Mapping'!AT26&lt;=960), (-1)*('(橫掃)RX Mapping'!AT26-960)+120,9999))))))))</f>
        <v>9999</v>
      </c>
      <c r="AU26">
        <f>IF(AND('(橫掃)RX Mapping'!AU26&gt;=1,'(橫掃)RX Mapping'!AU26&lt;=120), ('(橫掃)RX Mapping'!AU26-1),IF(AND('(橫掃)RX Mapping'!AU26&gt;=121,'(橫掃)RX Mapping'!AU26&lt;=240), (-1)*('(橫掃)RX Mapping'!AU26-240),IF(AND('(橫掃)RX Mapping'!AU26&gt;=241,'(橫掃)RX Mapping'!AU26&lt;=360), ('(橫掃)RX Mapping'!AU26-241),IF(AND('(橫掃)RX Mapping'!AU26&gt;=361,'(橫掃)RX Mapping'!AU26&lt;=480), (-1)*('(橫掃)RX Mapping'!AU26-480),IF(AND('(橫掃)RX Mapping'!AU26&gt;=481,'(橫掃)RX Mapping'!AU26&lt;=600), ('(橫掃)RX Mapping'!AU26-361),IF(AND('(橫掃)RX Mapping'!AU26&gt;=601,'(橫掃)RX Mapping'!AU26&lt;=720), (-1)*('(橫掃)RX Mapping'!AU26-720)+120,IF(AND('(橫掃)RX Mapping'!AU26&gt;=721,'(橫掃)RX Mapping'!AU26&lt;=840), ('(橫掃)RX Mapping'!AU26-601),IF(AND('(橫掃)RX Mapping'!AU26&gt;=841,'(橫掃)RX Mapping'!AU26&lt;=960), (-1)*('(橫掃)RX Mapping'!AU26-960)+120,9999))))))))</f>
        <v>9999</v>
      </c>
      <c r="AV26">
        <f>IF(AND('(橫掃)RX Mapping'!AV26&gt;=1,'(橫掃)RX Mapping'!AV26&lt;=120), ('(橫掃)RX Mapping'!AV26-1),IF(AND('(橫掃)RX Mapping'!AV26&gt;=121,'(橫掃)RX Mapping'!AV26&lt;=240), (-1)*('(橫掃)RX Mapping'!AV26-240),IF(AND('(橫掃)RX Mapping'!AV26&gt;=241,'(橫掃)RX Mapping'!AV26&lt;=360), ('(橫掃)RX Mapping'!AV26-241),IF(AND('(橫掃)RX Mapping'!AV26&gt;=361,'(橫掃)RX Mapping'!AV26&lt;=480), (-1)*('(橫掃)RX Mapping'!AV26-480),IF(AND('(橫掃)RX Mapping'!AV26&gt;=481,'(橫掃)RX Mapping'!AV26&lt;=600), ('(橫掃)RX Mapping'!AV26-361),IF(AND('(橫掃)RX Mapping'!AV26&gt;=601,'(橫掃)RX Mapping'!AV26&lt;=720), (-1)*('(橫掃)RX Mapping'!AV26-720)+120,IF(AND('(橫掃)RX Mapping'!AV26&gt;=721,'(橫掃)RX Mapping'!AV26&lt;=840), ('(橫掃)RX Mapping'!AV26-601),IF(AND('(橫掃)RX Mapping'!AV26&gt;=841,'(橫掃)RX Mapping'!AV26&lt;=960), (-1)*('(橫掃)RX Mapping'!AV26-960)+120,9999))))))))</f>
        <v>9999</v>
      </c>
      <c r="AW26">
        <f>IF(AND('(橫掃)RX Mapping'!AW26&gt;=1,'(橫掃)RX Mapping'!AW26&lt;=120), ('(橫掃)RX Mapping'!AW26-1),IF(AND('(橫掃)RX Mapping'!AW26&gt;=121,'(橫掃)RX Mapping'!AW26&lt;=240), (-1)*('(橫掃)RX Mapping'!AW26-240),IF(AND('(橫掃)RX Mapping'!AW26&gt;=241,'(橫掃)RX Mapping'!AW26&lt;=360), ('(橫掃)RX Mapping'!AW26-241),IF(AND('(橫掃)RX Mapping'!AW26&gt;=361,'(橫掃)RX Mapping'!AW26&lt;=480), (-1)*('(橫掃)RX Mapping'!AW26-480),IF(AND('(橫掃)RX Mapping'!AW26&gt;=481,'(橫掃)RX Mapping'!AW26&lt;=600), ('(橫掃)RX Mapping'!AW26-361),IF(AND('(橫掃)RX Mapping'!AW26&gt;=601,'(橫掃)RX Mapping'!AW26&lt;=720), (-1)*('(橫掃)RX Mapping'!AW26-720)+120,IF(AND('(橫掃)RX Mapping'!AW26&gt;=721,'(橫掃)RX Mapping'!AW26&lt;=840), ('(橫掃)RX Mapping'!AW26-601),IF(AND('(橫掃)RX Mapping'!AW26&gt;=841,'(橫掃)RX Mapping'!AW26&lt;=960), (-1)*('(橫掃)RX Mapping'!AW26-960)+120,9999))))))))</f>
        <v>9999</v>
      </c>
      <c r="AX26">
        <f>IF(AND('(橫掃)RX Mapping'!AX26&gt;=1,'(橫掃)RX Mapping'!AX26&lt;=120), ('(橫掃)RX Mapping'!AX26-1),IF(AND('(橫掃)RX Mapping'!AX26&gt;=121,'(橫掃)RX Mapping'!AX26&lt;=240), (-1)*('(橫掃)RX Mapping'!AX26-240),IF(AND('(橫掃)RX Mapping'!AX26&gt;=241,'(橫掃)RX Mapping'!AX26&lt;=360), ('(橫掃)RX Mapping'!AX26-241),IF(AND('(橫掃)RX Mapping'!AX26&gt;=361,'(橫掃)RX Mapping'!AX26&lt;=480), (-1)*('(橫掃)RX Mapping'!AX26-480),IF(AND('(橫掃)RX Mapping'!AX26&gt;=481,'(橫掃)RX Mapping'!AX26&lt;=600), ('(橫掃)RX Mapping'!AX26-361),IF(AND('(橫掃)RX Mapping'!AX26&gt;=601,'(橫掃)RX Mapping'!AX26&lt;=720), (-1)*('(橫掃)RX Mapping'!AX26-720)+120,IF(AND('(橫掃)RX Mapping'!AX26&gt;=721,'(橫掃)RX Mapping'!AX26&lt;=840), ('(橫掃)RX Mapping'!AX26-601),IF(AND('(橫掃)RX Mapping'!AX26&gt;=841,'(橫掃)RX Mapping'!AX26&lt;=960), (-1)*('(橫掃)RX Mapping'!AX26-960)+120,9999))))))))</f>
        <v>9999</v>
      </c>
      <c r="AY26">
        <f>IF(AND('(橫掃)RX Mapping'!AY26&gt;=1,'(橫掃)RX Mapping'!AY26&lt;=120), ('(橫掃)RX Mapping'!AY26-1),IF(AND('(橫掃)RX Mapping'!AY26&gt;=121,'(橫掃)RX Mapping'!AY26&lt;=240), (-1)*('(橫掃)RX Mapping'!AY26-240),IF(AND('(橫掃)RX Mapping'!AY26&gt;=241,'(橫掃)RX Mapping'!AY26&lt;=360), ('(橫掃)RX Mapping'!AY26-241),IF(AND('(橫掃)RX Mapping'!AY26&gt;=361,'(橫掃)RX Mapping'!AY26&lt;=480), (-1)*('(橫掃)RX Mapping'!AY26-480),IF(AND('(橫掃)RX Mapping'!AY26&gt;=481,'(橫掃)RX Mapping'!AY26&lt;=600), ('(橫掃)RX Mapping'!AY26-361),IF(AND('(橫掃)RX Mapping'!AY26&gt;=601,'(橫掃)RX Mapping'!AY26&lt;=720), (-1)*('(橫掃)RX Mapping'!AY26-720)+120,IF(AND('(橫掃)RX Mapping'!AY26&gt;=721,'(橫掃)RX Mapping'!AY26&lt;=840), ('(橫掃)RX Mapping'!AY26-601),IF(AND('(橫掃)RX Mapping'!AY26&gt;=841,'(橫掃)RX Mapping'!AY26&lt;=960), (-1)*('(橫掃)RX Mapping'!AY26-960)+120,9999))))))))</f>
        <v>9999</v>
      </c>
      <c r="AZ26">
        <f>IF(AND('(橫掃)RX Mapping'!AZ26&gt;=1,'(橫掃)RX Mapping'!AZ26&lt;=120), ('(橫掃)RX Mapping'!AZ26-1),IF(AND('(橫掃)RX Mapping'!AZ26&gt;=121,'(橫掃)RX Mapping'!AZ26&lt;=240), (-1)*('(橫掃)RX Mapping'!AZ26-240),IF(AND('(橫掃)RX Mapping'!AZ26&gt;=241,'(橫掃)RX Mapping'!AZ26&lt;=360), ('(橫掃)RX Mapping'!AZ26-241),IF(AND('(橫掃)RX Mapping'!AZ26&gt;=361,'(橫掃)RX Mapping'!AZ26&lt;=480), (-1)*('(橫掃)RX Mapping'!AZ26-480),IF(AND('(橫掃)RX Mapping'!AZ26&gt;=481,'(橫掃)RX Mapping'!AZ26&lt;=600), ('(橫掃)RX Mapping'!AZ26-361),IF(AND('(橫掃)RX Mapping'!AZ26&gt;=601,'(橫掃)RX Mapping'!AZ26&lt;=720), (-1)*('(橫掃)RX Mapping'!AZ26-720)+120,IF(AND('(橫掃)RX Mapping'!AZ26&gt;=721,'(橫掃)RX Mapping'!AZ26&lt;=840), ('(橫掃)RX Mapping'!AZ26-601),IF(AND('(橫掃)RX Mapping'!AZ26&gt;=841,'(橫掃)RX Mapping'!AZ26&lt;=960), (-1)*('(橫掃)RX Mapping'!AZ26-960)+120,9999))))))))</f>
        <v>9999</v>
      </c>
      <c r="BA26">
        <f>IF(AND('(橫掃)RX Mapping'!BA26&gt;=1,'(橫掃)RX Mapping'!BA26&lt;=120), ('(橫掃)RX Mapping'!BA26-1),IF(AND('(橫掃)RX Mapping'!BA26&gt;=121,'(橫掃)RX Mapping'!BA26&lt;=240), (-1)*('(橫掃)RX Mapping'!BA26-240),IF(AND('(橫掃)RX Mapping'!BA26&gt;=241,'(橫掃)RX Mapping'!BA26&lt;=360), ('(橫掃)RX Mapping'!BA26-241),IF(AND('(橫掃)RX Mapping'!BA26&gt;=361,'(橫掃)RX Mapping'!BA26&lt;=480), (-1)*('(橫掃)RX Mapping'!BA26-480),IF(AND('(橫掃)RX Mapping'!BA26&gt;=481,'(橫掃)RX Mapping'!BA26&lt;=600), ('(橫掃)RX Mapping'!BA26-361),IF(AND('(橫掃)RX Mapping'!BA26&gt;=601,'(橫掃)RX Mapping'!BA26&lt;=720), (-1)*('(橫掃)RX Mapping'!BA26-720)+120,IF(AND('(橫掃)RX Mapping'!BA26&gt;=721,'(橫掃)RX Mapping'!BA26&lt;=840), ('(橫掃)RX Mapping'!BA26-601),IF(AND('(橫掃)RX Mapping'!BA26&gt;=841,'(橫掃)RX Mapping'!BA26&lt;=960), (-1)*('(橫掃)RX Mapping'!BA26-960)+120,9999))))))))</f>
        <v>9999</v>
      </c>
      <c r="BB26">
        <f>IF(AND('(橫掃)RX Mapping'!BB26&gt;=1,'(橫掃)RX Mapping'!BB26&lt;=120), ('(橫掃)RX Mapping'!BB26-1),IF(AND('(橫掃)RX Mapping'!BB26&gt;=121,'(橫掃)RX Mapping'!BB26&lt;=240), (-1)*('(橫掃)RX Mapping'!BB26-240),IF(AND('(橫掃)RX Mapping'!BB26&gt;=241,'(橫掃)RX Mapping'!BB26&lt;=360), ('(橫掃)RX Mapping'!BB26-241),IF(AND('(橫掃)RX Mapping'!BB26&gt;=361,'(橫掃)RX Mapping'!BB26&lt;=480), (-1)*('(橫掃)RX Mapping'!BB26-480),IF(AND('(橫掃)RX Mapping'!BB26&gt;=481,'(橫掃)RX Mapping'!BB26&lt;=600), ('(橫掃)RX Mapping'!BB26-361),IF(AND('(橫掃)RX Mapping'!BB26&gt;=601,'(橫掃)RX Mapping'!BB26&lt;=720), (-1)*('(橫掃)RX Mapping'!BB26-720)+120,IF(AND('(橫掃)RX Mapping'!BB26&gt;=721,'(橫掃)RX Mapping'!BB26&lt;=840), ('(橫掃)RX Mapping'!BB26-601),IF(AND('(橫掃)RX Mapping'!BB26&gt;=841,'(橫掃)RX Mapping'!BB26&lt;=960), (-1)*('(橫掃)RX Mapping'!BB26-960)+120,9999))))))))</f>
        <v>9999</v>
      </c>
      <c r="BC26">
        <f>IF(AND('(橫掃)RX Mapping'!BC26&gt;=1,'(橫掃)RX Mapping'!BC26&lt;=120), ('(橫掃)RX Mapping'!BC26-1),IF(AND('(橫掃)RX Mapping'!BC26&gt;=121,'(橫掃)RX Mapping'!BC26&lt;=240), (-1)*('(橫掃)RX Mapping'!BC26-240),IF(AND('(橫掃)RX Mapping'!BC26&gt;=241,'(橫掃)RX Mapping'!BC26&lt;=360), ('(橫掃)RX Mapping'!BC26-241),IF(AND('(橫掃)RX Mapping'!BC26&gt;=361,'(橫掃)RX Mapping'!BC26&lt;=480), (-1)*('(橫掃)RX Mapping'!BC26-480),IF(AND('(橫掃)RX Mapping'!BC26&gt;=481,'(橫掃)RX Mapping'!BC26&lt;=600), ('(橫掃)RX Mapping'!BC26-361),IF(AND('(橫掃)RX Mapping'!BC26&gt;=601,'(橫掃)RX Mapping'!BC26&lt;=720), (-1)*('(橫掃)RX Mapping'!BC26-720)+120,IF(AND('(橫掃)RX Mapping'!BC26&gt;=721,'(橫掃)RX Mapping'!BC26&lt;=840), ('(橫掃)RX Mapping'!BC26-601),IF(AND('(橫掃)RX Mapping'!BC26&gt;=841,'(橫掃)RX Mapping'!BC26&lt;=960), (-1)*('(橫掃)RX Mapping'!BC26-960)+120,9999))))))))</f>
        <v>9999</v>
      </c>
      <c r="BD26">
        <f>IF(AND('(橫掃)RX Mapping'!BD26&gt;=1,'(橫掃)RX Mapping'!BD26&lt;=120), ('(橫掃)RX Mapping'!BD26-1),IF(AND('(橫掃)RX Mapping'!BD26&gt;=121,'(橫掃)RX Mapping'!BD26&lt;=240), (-1)*('(橫掃)RX Mapping'!BD26-240),IF(AND('(橫掃)RX Mapping'!BD26&gt;=241,'(橫掃)RX Mapping'!BD26&lt;=360), ('(橫掃)RX Mapping'!BD26-241),IF(AND('(橫掃)RX Mapping'!BD26&gt;=361,'(橫掃)RX Mapping'!BD26&lt;=480), (-1)*('(橫掃)RX Mapping'!BD26-480),IF(AND('(橫掃)RX Mapping'!BD26&gt;=481,'(橫掃)RX Mapping'!BD26&lt;=600), ('(橫掃)RX Mapping'!BD26-361),IF(AND('(橫掃)RX Mapping'!BD26&gt;=601,'(橫掃)RX Mapping'!BD26&lt;=720), (-1)*('(橫掃)RX Mapping'!BD26-720)+120,IF(AND('(橫掃)RX Mapping'!BD26&gt;=721,'(橫掃)RX Mapping'!BD26&lt;=840), ('(橫掃)RX Mapping'!BD26-601),IF(AND('(橫掃)RX Mapping'!BD26&gt;=841,'(橫掃)RX Mapping'!BD26&lt;=960), (-1)*('(橫掃)RX Mapping'!BD26-960)+120,9999))))))))</f>
        <v>9999</v>
      </c>
      <c r="BE26">
        <f>IF(AND('(橫掃)RX Mapping'!BE26&gt;=1,'(橫掃)RX Mapping'!BE26&lt;=120), ('(橫掃)RX Mapping'!BE26-1),IF(AND('(橫掃)RX Mapping'!BE26&gt;=121,'(橫掃)RX Mapping'!BE26&lt;=240), (-1)*('(橫掃)RX Mapping'!BE26-240),IF(AND('(橫掃)RX Mapping'!BE26&gt;=241,'(橫掃)RX Mapping'!BE26&lt;=360), ('(橫掃)RX Mapping'!BE26-241),IF(AND('(橫掃)RX Mapping'!BE26&gt;=361,'(橫掃)RX Mapping'!BE26&lt;=480), (-1)*('(橫掃)RX Mapping'!BE26-480),IF(AND('(橫掃)RX Mapping'!BE26&gt;=481,'(橫掃)RX Mapping'!BE26&lt;=600), ('(橫掃)RX Mapping'!BE26-361),IF(AND('(橫掃)RX Mapping'!BE26&gt;=601,'(橫掃)RX Mapping'!BE26&lt;=720), (-1)*('(橫掃)RX Mapping'!BE26-720)+120,IF(AND('(橫掃)RX Mapping'!BE26&gt;=721,'(橫掃)RX Mapping'!BE26&lt;=840), ('(橫掃)RX Mapping'!BE26-601),IF(AND('(橫掃)RX Mapping'!BE26&gt;=841,'(橫掃)RX Mapping'!BE26&lt;=960), (-1)*('(橫掃)RX Mapping'!BE26-960)+120,9999))))))))</f>
        <v>9999</v>
      </c>
      <c r="BF26">
        <f>IF(AND('(橫掃)RX Mapping'!BF26&gt;=1,'(橫掃)RX Mapping'!BF26&lt;=120), ('(橫掃)RX Mapping'!BF26-1),IF(AND('(橫掃)RX Mapping'!BF26&gt;=121,'(橫掃)RX Mapping'!BF26&lt;=240), (-1)*('(橫掃)RX Mapping'!BF26-240),IF(AND('(橫掃)RX Mapping'!BF26&gt;=241,'(橫掃)RX Mapping'!BF26&lt;=360), ('(橫掃)RX Mapping'!BF26-241),IF(AND('(橫掃)RX Mapping'!BF26&gt;=361,'(橫掃)RX Mapping'!BF26&lt;=480), (-1)*('(橫掃)RX Mapping'!BF26-480),IF(AND('(橫掃)RX Mapping'!BF26&gt;=481,'(橫掃)RX Mapping'!BF26&lt;=600), ('(橫掃)RX Mapping'!BF26-361),IF(AND('(橫掃)RX Mapping'!BF26&gt;=601,'(橫掃)RX Mapping'!BF26&lt;=720), (-1)*('(橫掃)RX Mapping'!BF26-720)+120,IF(AND('(橫掃)RX Mapping'!BF26&gt;=721,'(橫掃)RX Mapping'!BF26&lt;=840), ('(橫掃)RX Mapping'!BF26-601),IF(AND('(橫掃)RX Mapping'!BF26&gt;=841,'(橫掃)RX Mapping'!BF26&lt;=960), (-1)*('(橫掃)RX Mapping'!BF26-960)+120,9999))))))))</f>
        <v>9999</v>
      </c>
      <c r="BG26">
        <f>IF(AND('(橫掃)RX Mapping'!BG26&gt;=1,'(橫掃)RX Mapping'!BG26&lt;=120), ('(橫掃)RX Mapping'!BG26-1),IF(AND('(橫掃)RX Mapping'!BG26&gt;=121,'(橫掃)RX Mapping'!BG26&lt;=240), (-1)*('(橫掃)RX Mapping'!BG26-240),IF(AND('(橫掃)RX Mapping'!BG26&gt;=241,'(橫掃)RX Mapping'!BG26&lt;=360), ('(橫掃)RX Mapping'!BG26-241),IF(AND('(橫掃)RX Mapping'!BG26&gt;=361,'(橫掃)RX Mapping'!BG26&lt;=480), (-1)*('(橫掃)RX Mapping'!BG26-480),IF(AND('(橫掃)RX Mapping'!BG26&gt;=481,'(橫掃)RX Mapping'!BG26&lt;=600), ('(橫掃)RX Mapping'!BG26-361),IF(AND('(橫掃)RX Mapping'!BG26&gt;=601,'(橫掃)RX Mapping'!BG26&lt;=720), (-1)*('(橫掃)RX Mapping'!BG26-720)+120,IF(AND('(橫掃)RX Mapping'!BG26&gt;=721,'(橫掃)RX Mapping'!BG26&lt;=840), ('(橫掃)RX Mapping'!BG26-601),IF(AND('(橫掃)RX Mapping'!BG26&gt;=841,'(橫掃)RX Mapping'!BG26&lt;=960), (-1)*('(橫掃)RX Mapping'!BG26-960)+120,9999))))))))</f>
        <v>9999</v>
      </c>
      <c r="BH26">
        <f>IF(AND('(橫掃)RX Mapping'!BH26&gt;=1,'(橫掃)RX Mapping'!BH26&lt;=120), ('(橫掃)RX Mapping'!BH26-1),IF(AND('(橫掃)RX Mapping'!BH26&gt;=121,'(橫掃)RX Mapping'!BH26&lt;=240), (-1)*('(橫掃)RX Mapping'!BH26-240),IF(AND('(橫掃)RX Mapping'!BH26&gt;=241,'(橫掃)RX Mapping'!BH26&lt;=360), ('(橫掃)RX Mapping'!BH26-241),IF(AND('(橫掃)RX Mapping'!BH26&gt;=361,'(橫掃)RX Mapping'!BH26&lt;=480), (-1)*('(橫掃)RX Mapping'!BH26-480),IF(AND('(橫掃)RX Mapping'!BH26&gt;=481,'(橫掃)RX Mapping'!BH26&lt;=600), ('(橫掃)RX Mapping'!BH26-361),IF(AND('(橫掃)RX Mapping'!BH26&gt;=601,'(橫掃)RX Mapping'!BH26&lt;=720), (-1)*('(橫掃)RX Mapping'!BH26-720)+120,IF(AND('(橫掃)RX Mapping'!BH26&gt;=721,'(橫掃)RX Mapping'!BH26&lt;=840), ('(橫掃)RX Mapping'!BH26-601),IF(AND('(橫掃)RX Mapping'!BH26&gt;=841,'(橫掃)RX Mapping'!BH26&lt;=960), (-1)*('(橫掃)RX Mapping'!BH26-960)+120,9999))))))))</f>
        <v>9999</v>
      </c>
      <c r="BI26">
        <f>IF(AND('(橫掃)RX Mapping'!BI26&gt;=1,'(橫掃)RX Mapping'!BI26&lt;=120), ('(橫掃)RX Mapping'!BI26-1),IF(AND('(橫掃)RX Mapping'!BI26&gt;=121,'(橫掃)RX Mapping'!BI26&lt;=240), (-1)*('(橫掃)RX Mapping'!BI26-240),IF(AND('(橫掃)RX Mapping'!BI26&gt;=241,'(橫掃)RX Mapping'!BI26&lt;=360), ('(橫掃)RX Mapping'!BI26-241),IF(AND('(橫掃)RX Mapping'!BI26&gt;=361,'(橫掃)RX Mapping'!BI26&lt;=480), (-1)*('(橫掃)RX Mapping'!BI26-480),IF(AND('(橫掃)RX Mapping'!BI26&gt;=481,'(橫掃)RX Mapping'!BI26&lt;=600), ('(橫掃)RX Mapping'!BI26-361),IF(AND('(橫掃)RX Mapping'!BI26&gt;=601,'(橫掃)RX Mapping'!BI26&lt;=720), (-1)*('(橫掃)RX Mapping'!BI26-720)+120,IF(AND('(橫掃)RX Mapping'!BI26&gt;=721,'(橫掃)RX Mapping'!BI26&lt;=840), ('(橫掃)RX Mapping'!BI26-601),IF(AND('(橫掃)RX Mapping'!BI26&gt;=841,'(橫掃)RX Mapping'!BI26&lt;=960), (-1)*('(橫掃)RX Mapping'!BI26-960)+120,9999))))))))</f>
        <v>9999</v>
      </c>
    </row>
    <row r="27" spans="1:61" x14ac:dyDescent="0.25">
      <c r="A27" s="20">
        <v>26</v>
      </c>
      <c r="B27">
        <f>IF(
(AND('(直掃)RX Mapping'!B27&gt;=0,'(直掃)RX Mapping'!B27&lt;=480)),
(MOD('(直掃)RX Mapping'!B27,120)-1),
IF(
(AND('(直掃)RX Mapping'!B27&gt;=480,'(直掃)RX Mapping'!B27&lt;=960)),
IF(MOD('(直掃)RX Mapping'!B27,120)=0, 120, 240-MOD('(直掃)RX Mapping'!B27,120)),9999))+IF(AND(MOD('(直掃)RX Mapping'!B27,120)=0, '(直掃)RX Mapping'!B27 &lt;= 480,  '(直掃)RX Mapping'!B27 &gt; 0), 120)</f>
        <v>145</v>
      </c>
      <c r="C27">
        <f>IF(
(AND('(直掃)RX Mapping'!C27&gt;=0,'(直掃)RX Mapping'!C27&lt;=480)),
(MOD('(直掃)RX Mapping'!C27,120)-1),
IF(
(AND('(直掃)RX Mapping'!C27&gt;=480,'(直掃)RX Mapping'!C27&lt;=960)),
IF(MOD('(直掃)RX Mapping'!C27,120)=0, 120, 240-MOD('(直掃)RX Mapping'!C27,120)),9999))+IF(AND(MOD('(直掃)RX Mapping'!C27,120)=0, '(直掃)RX Mapping'!C27 &lt;= 480,  '(直掃)RX Mapping'!C27 &gt; 0), 120)</f>
        <v>175</v>
      </c>
      <c r="D27">
        <f>IF(
(AND('(直掃)RX Mapping'!D27&gt;=0,'(直掃)RX Mapping'!D27&lt;=480)),
(MOD('(直掃)RX Mapping'!D27,120)-1),
IF(
(AND('(直掃)RX Mapping'!D27&gt;=480,'(直掃)RX Mapping'!D27&lt;=960)),
IF(MOD('(直掃)RX Mapping'!D27,120)=0, 120, 240-MOD('(直掃)RX Mapping'!D27,120)),9999))+IF(AND(MOD('(直掃)RX Mapping'!D27,120)=0, '(直掃)RX Mapping'!D27 &lt;= 480,  '(直掃)RX Mapping'!D27 &gt; 0), 120)</f>
        <v>205</v>
      </c>
      <c r="E27">
        <f>IF(
(AND('(直掃)RX Mapping'!E27&gt;=0,'(直掃)RX Mapping'!E27&lt;=480)),
(MOD('(直掃)RX Mapping'!E27,120)-1),
IF(
(AND('(直掃)RX Mapping'!E27&gt;=480,'(直掃)RX Mapping'!E27&lt;=960)),
IF(MOD('(直掃)RX Mapping'!E27,120)=0, 120, 240-MOD('(直掃)RX Mapping'!E27,120)),9999))+IF(AND(MOD('(直掃)RX Mapping'!E27,120)=0, '(直掃)RX Mapping'!E27 &lt;= 480,  '(直掃)RX Mapping'!E27 &gt; 0), 120)</f>
        <v>145</v>
      </c>
      <c r="F27">
        <f>IF(
(AND('(直掃)RX Mapping'!F27&gt;=0,'(直掃)RX Mapping'!F27&lt;=480)),
(MOD('(直掃)RX Mapping'!F27,120)-1),
IF(
(AND('(直掃)RX Mapping'!F27&gt;=480,'(直掃)RX Mapping'!F27&lt;=960)),
IF(MOD('(直掃)RX Mapping'!F27,120)=0, 120, 240-MOD('(直掃)RX Mapping'!F27,120)),9999))+IF(AND(MOD('(直掃)RX Mapping'!F27,120)=0, '(直掃)RX Mapping'!F27 &lt;= 480,  '(直掃)RX Mapping'!F27 &gt; 0), 120)</f>
        <v>175</v>
      </c>
      <c r="G27">
        <f>IF(
(AND('(直掃)RX Mapping'!G27&gt;=0,'(直掃)RX Mapping'!G27&lt;=480)),
(MOD('(直掃)RX Mapping'!G27,120)-1),
IF(
(AND('(直掃)RX Mapping'!G27&gt;=480,'(直掃)RX Mapping'!G27&lt;=960)),
IF(MOD('(直掃)RX Mapping'!G27,120)=0, 120, 240-MOD('(直掃)RX Mapping'!G27,120)),9999))+IF(AND(MOD('(直掃)RX Mapping'!G27,120)=0, '(直掃)RX Mapping'!G27 &lt;= 480,  '(直掃)RX Mapping'!G27 &gt; 0), 120)</f>
        <v>205</v>
      </c>
      <c r="H27">
        <f>IF(
(AND('(直掃)RX Mapping'!H27&gt;=0,'(直掃)RX Mapping'!H27&lt;=480)),
(MOD('(直掃)RX Mapping'!H27,120)-1),
IF(
(AND('(直掃)RX Mapping'!H27&gt;=480,'(直掃)RX Mapping'!H27&lt;=960)),
IF(MOD('(直掃)RX Mapping'!H27,120)=0, 120, 240-MOD('(直掃)RX Mapping'!H27,120)),9999))+IF(AND(MOD('(直掃)RX Mapping'!H27,120)=0, '(直掃)RX Mapping'!H27 &lt;= 480,  '(直掃)RX Mapping'!H27 &gt; 0), 120)</f>
        <v>145</v>
      </c>
      <c r="I27">
        <f>IF(
(AND('(直掃)RX Mapping'!I27&gt;=0,'(直掃)RX Mapping'!I27&lt;=480)),
(MOD('(直掃)RX Mapping'!I27,120)-1),
IF(
(AND('(直掃)RX Mapping'!I27&gt;=480,'(直掃)RX Mapping'!I27&lt;=960)),
IF(MOD('(直掃)RX Mapping'!I27,120)=0, 120, 240-MOD('(直掃)RX Mapping'!I27,120)),9999))+IF(AND(MOD('(直掃)RX Mapping'!I27,120)=0, '(直掃)RX Mapping'!I27 &lt;= 480,  '(直掃)RX Mapping'!I27 &gt; 0), 120)</f>
        <v>175</v>
      </c>
      <c r="J27">
        <f>IF(
(AND('(直掃)RX Mapping'!J27&gt;=0,'(直掃)RX Mapping'!J27&lt;=480)),
(MOD('(直掃)RX Mapping'!J27,120)-1),
IF(
(AND('(直掃)RX Mapping'!J27&gt;=480,'(直掃)RX Mapping'!J27&lt;=960)),
IF(MOD('(直掃)RX Mapping'!J27,120)=0, 120, 240-MOD('(直掃)RX Mapping'!J27,120)),9999))+IF(AND(MOD('(直掃)RX Mapping'!J27,120)=0, '(直掃)RX Mapping'!J27 &lt;= 480,  '(直掃)RX Mapping'!J27 &gt; 0), 120)</f>
        <v>205</v>
      </c>
      <c r="K27">
        <f>IF(
(AND('(直掃)RX Mapping'!K27&gt;=0,'(直掃)RX Mapping'!K27&lt;=480)),
(MOD('(直掃)RX Mapping'!K27,120)-1),
IF(
(AND('(直掃)RX Mapping'!K27&gt;=480,'(直掃)RX Mapping'!K27&lt;=960)),
IF(MOD('(直掃)RX Mapping'!K27,120)=0, 120, 240-MOD('(直掃)RX Mapping'!K27,120)),9999))+IF(AND(MOD('(直掃)RX Mapping'!K27,120)=0, '(直掃)RX Mapping'!K27 &lt;= 480,  '(直掃)RX Mapping'!K27 &gt; 0), 120)</f>
        <v>235</v>
      </c>
      <c r="L27">
        <f>IF(
(AND('(直掃)RX Mapping'!L27&gt;=0,'(直掃)RX Mapping'!L27&lt;=480)),
(MOD('(直掃)RX Mapping'!L27,120)-1),
IF(
(AND('(直掃)RX Mapping'!L27&gt;=480,'(直掃)RX Mapping'!L27&lt;=960)),
IF(MOD('(直掃)RX Mapping'!L27,120)=0, 120, 240-MOD('(直掃)RX Mapping'!L27,120)),9999))+IF(AND(MOD('(直掃)RX Mapping'!L27,120)=0, '(直掃)RX Mapping'!L27 &lt;= 480,  '(直掃)RX Mapping'!L27 &gt; 0), 120)</f>
        <v>145</v>
      </c>
      <c r="M27">
        <f>IF(
(AND('(直掃)RX Mapping'!M27&gt;=0,'(直掃)RX Mapping'!M27&lt;=480)),
(MOD('(直掃)RX Mapping'!M27,120)-1),
IF(
(AND('(直掃)RX Mapping'!M27&gt;=480,'(直掃)RX Mapping'!M27&lt;=960)),
IF(MOD('(直掃)RX Mapping'!M27,120)=0, 120, 240-MOD('(直掃)RX Mapping'!M27,120)),9999))+IF(AND(MOD('(直掃)RX Mapping'!M27,120)=0, '(直掃)RX Mapping'!M27 &lt;= 480,  '(直掃)RX Mapping'!M27 &gt; 0), 120)</f>
        <v>175</v>
      </c>
      <c r="N27">
        <f>IF(
(AND('(直掃)RX Mapping'!N27&gt;=0,'(直掃)RX Mapping'!N27&lt;=480)),
(MOD('(直掃)RX Mapping'!N27,120)-1),
IF(
(AND('(直掃)RX Mapping'!N27&gt;=480,'(直掃)RX Mapping'!N27&lt;=960)),
IF(MOD('(直掃)RX Mapping'!N27,120)=0, 120, 240-MOD('(直掃)RX Mapping'!N27,120)),9999))+IF(AND(MOD('(直掃)RX Mapping'!N27,120)=0, '(直掃)RX Mapping'!N27 &lt;= 480,  '(直掃)RX Mapping'!N27 &gt; 0), 120)</f>
        <v>205</v>
      </c>
      <c r="O27">
        <f>IF(
(AND('(直掃)RX Mapping'!O27&gt;=0,'(直掃)RX Mapping'!O27&lt;=480)),
(MOD('(直掃)RX Mapping'!O27,120)-1),
IF(
(AND('(直掃)RX Mapping'!O27&gt;=480,'(直掃)RX Mapping'!O27&lt;=960)),
IF(MOD('(直掃)RX Mapping'!O27,120)=0, 120, 240-MOD('(直掃)RX Mapping'!O27,120)),9999))+IF(AND(MOD('(直掃)RX Mapping'!O27,120)=0, '(直掃)RX Mapping'!O27 &lt;= 480,  '(直掃)RX Mapping'!O27 &gt; 0), 120)</f>
        <v>235</v>
      </c>
      <c r="P27">
        <f>IF(
(AND('(直掃)RX Mapping'!P27&gt;=0,'(直掃)RX Mapping'!P27&lt;=480)),
(MOD('(直掃)RX Mapping'!P27,120)-1),
IF(
(AND('(直掃)RX Mapping'!P27&gt;=480,'(直掃)RX Mapping'!P27&lt;=960)),
IF(MOD('(直掃)RX Mapping'!P27,120)=0, 120, 240-MOD('(直掃)RX Mapping'!P27,120)),9999))+IF(AND(MOD('(直掃)RX Mapping'!P27,120)=0, '(直掃)RX Mapping'!P27 &lt;= 480,  '(直掃)RX Mapping'!P27 &gt; 0), 120)</f>
        <v>94</v>
      </c>
      <c r="Q27">
        <f>IF(
(AND('(直掃)RX Mapping'!Q27&gt;=0,'(直掃)RX Mapping'!Q27&lt;=480)),
(MOD('(直掃)RX Mapping'!Q27,120)-1),
IF(
(AND('(直掃)RX Mapping'!Q27&gt;=480,'(直掃)RX Mapping'!Q27&lt;=960)),
IF(MOD('(直掃)RX Mapping'!Q27,120)=0, 120, 240-MOD('(直掃)RX Mapping'!Q27,120)),9999))+IF(AND(MOD('(直掃)RX Mapping'!Q27,120)=0, '(直掃)RX Mapping'!Q27 &lt;= 480,  '(直掃)RX Mapping'!Q27 &gt; 0), 120)</f>
        <v>64</v>
      </c>
      <c r="R27">
        <f>IF(
(AND('(直掃)RX Mapping'!R27&gt;=0,'(直掃)RX Mapping'!R27&lt;=480)),
(MOD('(直掃)RX Mapping'!R27,120)-1),
IF(
(AND('(直掃)RX Mapping'!R27&gt;=480,'(直掃)RX Mapping'!R27&lt;=960)),
IF(MOD('(直掃)RX Mapping'!R27,120)=0, 120, 240-MOD('(直掃)RX Mapping'!R27,120)),9999))+IF(AND(MOD('(直掃)RX Mapping'!R27,120)=0, '(直掃)RX Mapping'!R27 &lt;= 480,  '(直掃)RX Mapping'!R27 &gt; 0), 120)</f>
        <v>34</v>
      </c>
      <c r="S27">
        <f>IF(
(AND('(直掃)RX Mapping'!S27&gt;=0,'(直掃)RX Mapping'!S27&lt;=480)),
(MOD('(直掃)RX Mapping'!S27,120)-1),
IF(
(AND('(直掃)RX Mapping'!S27&gt;=480,'(直掃)RX Mapping'!S27&lt;=960)),
IF(MOD('(直掃)RX Mapping'!S27,120)=0, 120, 240-MOD('(直掃)RX Mapping'!S27,120)),9999))+IF(AND(MOD('(直掃)RX Mapping'!S27,120)=0, '(直掃)RX Mapping'!S27 &lt;= 480,  '(直掃)RX Mapping'!S27 &gt; 0), 120)</f>
        <v>4</v>
      </c>
      <c r="T27">
        <f>IF(
(AND('(直掃)RX Mapping'!T27&gt;=0,'(直掃)RX Mapping'!T27&lt;=480)),
(MOD('(直掃)RX Mapping'!T27,120)-1),
IF(
(AND('(直掃)RX Mapping'!T27&gt;=480,'(直掃)RX Mapping'!T27&lt;=960)),
IF(MOD('(直掃)RX Mapping'!T27,120)=0, 120, 240-MOD('(直掃)RX Mapping'!T27,120)),9999))+IF(AND(MOD('(直掃)RX Mapping'!T27,120)=0, '(直掃)RX Mapping'!T27 &lt;= 480,  '(直掃)RX Mapping'!T27 &gt; 0), 120)</f>
        <v>94</v>
      </c>
      <c r="U27">
        <f>IF(
(AND('(直掃)RX Mapping'!U27&gt;=0,'(直掃)RX Mapping'!U27&lt;=480)),
(MOD('(直掃)RX Mapping'!U27,120)-1),
IF(
(AND('(直掃)RX Mapping'!U27&gt;=480,'(直掃)RX Mapping'!U27&lt;=960)),
IF(MOD('(直掃)RX Mapping'!U27,120)=0, 120, 240-MOD('(直掃)RX Mapping'!U27,120)),9999))+IF(AND(MOD('(直掃)RX Mapping'!U27,120)=0, '(直掃)RX Mapping'!U27 &lt;= 480,  '(直掃)RX Mapping'!U27 &gt; 0), 120)</f>
        <v>64</v>
      </c>
      <c r="V27">
        <f>IF(
(AND('(直掃)RX Mapping'!V27&gt;=0,'(直掃)RX Mapping'!V27&lt;=480)),
(MOD('(直掃)RX Mapping'!V27,120)-1),
IF(
(AND('(直掃)RX Mapping'!V27&gt;=480,'(直掃)RX Mapping'!V27&lt;=960)),
IF(MOD('(直掃)RX Mapping'!V27,120)=0, 120, 240-MOD('(直掃)RX Mapping'!V27,120)),9999))+IF(AND(MOD('(直掃)RX Mapping'!V27,120)=0, '(直掃)RX Mapping'!V27 &lt;= 480,  '(直掃)RX Mapping'!V27 &gt; 0), 120)</f>
        <v>34</v>
      </c>
      <c r="W27">
        <f>IF(
(AND('(直掃)RX Mapping'!W27&gt;=0,'(直掃)RX Mapping'!W27&lt;=480)),
(MOD('(直掃)RX Mapping'!W27,120)-1),
IF(
(AND('(直掃)RX Mapping'!W27&gt;=480,'(直掃)RX Mapping'!W27&lt;=960)),
IF(MOD('(直掃)RX Mapping'!W27,120)=0, 120, 240-MOD('(直掃)RX Mapping'!W27,120)),9999))+IF(AND(MOD('(直掃)RX Mapping'!W27,120)=0, '(直掃)RX Mapping'!W27 &lt;= 480,  '(直掃)RX Mapping'!W27 &gt; 0), 120)</f>
        <v>4</v>
      </c>
      <c r="X27">
        <f>IF(
(AND('(直掃)RX Mapping'!X27&gt;=0,'(直掃)RX Mapping'!X27&lt;=480)),
(MOD('(直掃)RX Mapping'!X27,120)-1),
IF(
(AND('(直掃)RX Mapping'!X27&gt;=480,'(直掃)RX Mapping'!X27&lt;=960)),
IF(MOD('(直掃)RX Mapping'!X27,120)=0, 120, 240-MOD('(直掃)RX Mapping'!X27,120)),9999))+IF(AND(MOD('(直掃)RX Mapping'!X27,120)=0, '(直掃)RX Mapping'!X27 &lt;= 480,  '(直掃)RX Mapping'!X27 &gt; 0), 120)</f>
        <v>64</v>
      </c>
      <c r="Y27">
        <f>IF(
(AND('(直掃)RX Mapping'!Y27&gt;=0,'(直掃)RX Mapping'!Y27&lt;=480)),
(MOD('(直掃)RX Mapping'!Y27,120)-1),
IF(
(AND('(直掃)RX Mapping'!Y27&gt;=480,'(直掃)RX Mapping'!Y27&lt;=960)),
IF(MOD('(直掃)RX Mapping'!Y27,120)=0, 120, 240-MOD('(直掃)RX Mapping'!Y27,120)),9999))+IF(AND(MOD('(直掃)RX Mapping'!Y27,120)=0, '(直掃)RX Mapping'!Y27 &lt;= 480,  '(直掃)RX Mapping'!Y27 &gt; 0), 120)</f>
        <v>34</v>
      </c>
      <c r="Z27">
        <f>IF(
(AND('(直掃)RX Mapping'!Z27&gt;=0,'(直掃)RX Mapping'!Z27&lt;=480)),
(MOD('(直掃)RX Mapping'!Z27,120)-1),
IF(
(AND('(直掃)RX Mapping'!Z27&gt;=480,'(直掃)RX Mapping'!Z27&lt;=960)),
IF(MOD('(直掃)RX Mapping'!Z27,120)=0, 120, 240-MOD('(直掃)RX Mapping'!Z27,120)),9999))+IF(AND(MOD('(直掃)RX Mapping'!Z27,120)=0, '(直掃)RX Mapping'!Z27 &lt;= 480,  '(直掃)RX Mapping'!Z27 &gt; 0), 120)</f>
        <v>4</v>
      </c>
      <c r="AA27">
        <f>IF(
(AND('(直掃)RX Mapping'!AA27&gt;=0,'(直掃)RX Mapping'!AA27&lt;=480)),
(MOD('(直掃)RX Mapping'!AA27,120)-1),
IF(
(AND('(直掃)RX Mapping'!AA27&gt;=480,'(直掃)RX Mapping'!AA27&lt;=960)),
IF(MOD('(直掃)RX Mapping'!AA27,120)=0, 120, 240-MOD('(直掃)RX Mapping'!AA27,120)),9999))+IF(AND(MOD('(直掃)RX Mapping'!AA27,120)=0, '(直掃)RX Mapping'!AA27 &lt;= 480,  '(直掃)RX Mapping'!AA27 &gt; 0), 120)</f>
        <v>64</v>
      </c>
      <c r="AB27">
        <f>IF(
(AND('(直掃)RX Mapping'!AB27&gt;=0,'(直掃)RX Mapping'!AB27&lt;=480)),
(MOD('(直掃)RX Mapping'!AB27,120)-1),
IF(
(AND('(直掃)RX Mapping'!AB27&gt;=480,'(直掃)RX Mapping'!AB27&lt;=960)),
IF(MOD('(直掃)RX Mapping'!AB27,120)=0, 120, 240-MOD('(直掃)RX Mapping'!AB27,120)),9999))+IF(AND(MOD('(直掃)RX Mapping'!AB27,120)=0, '(直掃)RX Mapping'!AB27 &lt;= 480,  '(直掃)RX Mapping'!AB27 &gt; 0), 120)</f>
        <v>34</v>
      </c>
      <c r="AC27">
        <f>IF(
(AND('(直掃)RX Mapping'!AC27&gt;=0,'(直掃)RX Mapping'!AC27&lt;=480)),
(MOD('(直掃)RX Mapping'!AC27,120)-1),
IF(
(AND('(直掃)RX Mapping'!AC27&gt;=480,'(直掃)RX Mapping'!AC27&lt;=960)),
IF(MOD('(直掃)RX Mapping'!AC27,120)=0, 120, 240-MOD('(直掃)RX Mapping'!AC27,120)),9999))+IF(AND(MOD('(直掃)RX Mapping'!AC27,120)=0, '(直掃)RX Mapping'!AC27 &lt;= 480,  '(直掃)RX Mapping'!AC27 &gt; 0), 120)</f>
        <v>4</v>
      </c>
      <c r="AD27">
        <f>IF(
(AND('(直掃)RX Mapping'!AD27&gt;=0,'(直掃)RX Mapping'!AD27&lt;=480)),
(MOD('(直掃)RX Mapping'!AD27,120)-1),
IF(
(AND('(直掃)RX Mapping'!AD27&gt;=480,'(直掃)RX Mapping'!AD27&lt;=960)),
IF(MOD('(直掃)RX Mapping'!AD27,120)=0, 120, 240-MOD('(直掃)RX Mapping'!AD27,120)),9999))+IF(AND(MOD('(直掃)RX Mapping'!AD27,120)=0, '(直掃)RX Mapping'!AD27 &lt;= 480,  '(直掃)RX Mapping'!AD27 &gt; 0), 120)</f>
        <v>-1</v>
      </c>
      <c r="AE27">
        <f>IF(
(AND('(直掃)RX Mapping'!AE27&gt;=0,'(直掃)RX Mapping'!AE27&lt;=480)),
(MOD('(直掃)RX Mapping'!AE27,120)-1),
IF(
(AND('(直掃)RX Mapping'!AE27&gt;=480,'(直掃)RX Mapping'!AE27&lt;=960)),
IF(MOD('(直掃)RX Mapping'!AE27,120)=0, 120, 240-MOD('(直掃)RX Mapping'!AE27,120)),9999))+IF(AND(MOD('(直掃)RX Mapping'!AE27,120)=0, '(直掃)RX Mapping'!AE27 &lt;= 480,  '(直掃)RX Mapping'!AE27 &gt; 0), 120)</f>
        <v>-1</v>
      </c>
      <c r="AF27">
        <f>IF(
(AND('(直掃)RX Mapping'!AF27&gt;=0,'(直掃)RX Mapping'!AF27&lt;=480)),
(MOD('(直掃)RX Mapping'!AF27,120)-1),
IF(
(AND('(直掃)RX Mapping'!AF27&gt;=480,'(直掃)RX Mapping'!AF27&lt;=960)),
IF(MOD('(直掃)RX Mapping'!AF27,120)=0, 120, 240-MOD('(直掃)RX Mapping'!AF27,120)),9999))+IF(AND(MOD('(直掃)RX Mapping'!AF27,120)=0, '(直掃)RX Mapping'!AF27 &lt;= 480,  '(直掃)RX Mapping'!AF27 &gt; 0), 120)</f>
        <v>-1</v>
      </c>
      <c r="AG27">
        <f>IF(
(AND('(直掃)RX Mapping'!AG27&gt;=0,'(直掃)RX Mapping'!AG27&lt;=480)),
(MOD('(直掃)RX Mapping'!AG27,120)-1),
IF(
(AND('(直掃)RX Mapping'!AG27&gt;=480,'(直掃)RX Mapping'!AG27&lt;=960)),
IF(MOD('(直掃)RX Mapping'!AG27,120)=0, 120, 240-MOD('(直掃)RX Mapping'!AG27,120)),9999))+IF(AND(MOD('(直掃)RX Mapping'!AG27,120)=0, '(直掃)RX Mapping'!AG27 &lt;= 480,  '(直掃)RX Mapping'!AG27 &gt; 0), 120)</f>
        <v>-1</v>
      </c>
      <c r="AH27">
        <f>IF(
(AND('(直掃)RX Mapping'!AH27&gt;=0,'(直掃)RX Mapping'!AH27&lt;=480)),
(MOD('(直掃)RX Mapping'!AH27,120)-1),
IF(
(AND('(直掃)RX Mapping'!AH27&gt;=480,'(直掃)RX Mapping'!AH27&lt;=960)),
IF(MOD('(直掃)RX Mapping'!AH27,120)=0, 120, 240-MOD('(直掃)RX Mapping'!AH27,120)),9999))+IF(AND(MOD('(直掃)RX Mapping'!AH27,120)=0, '(直掃)RX Mapping'!AH27 &lt;= 480,  '(直掃)RX Mapping'!AH27 &gt; 0), 120)</f>
        <v>-1</v>
      </c>
      <c r="AI27">
        <f>IF(
(AND('(直掃)RX Mapping'!AI27&gt;=0,'(直掃)RX Mapping'!AI27&lt;=480)),
(MOD('(直掃)RX Mapping'!AI27,120)-1),
IF(
(AND('(直掃)RX Mapping'!AI27&gt;=480,'(直掃)RX Mapping'!AI27&lt;=960)),
IF(MOD('(直掃)RX Mapping'!AI27,120)=0, 120, 240-MOD('(直掃)RX Mapping'!AI27,120)),9999))+IF(AND(MOD('(直掃)RX Mapping'!AI27,120)=0, '(直掃)RX Mapping'!AI27 &lt;= 480,  '(直掃)RX Mapping'!AI27 &gt; 0), 120)</f>
        <v>-1</v>
      </c>
      <c r="AJ27">
        <f>IF(
(AND('(直掃)RX Mapping'!AJ27&gt;=0,'(直掃)RX Mapping'!AJ27&lt;=480)),
(MOD('(直掃)RX Mapping'!AJ27,120)-1),
IF(
(AND('(直掃)RX Mapping'!AJ27&gt;=480,'(直掃)RX Mapping'!AJ27&lt;=960)),
IF(MOD('(直掃)RX Mapping'!AJ27,120)=0, 120, 240-MOD('(直掃)RX Mapping'!AJ27,120)),9999))+IF(AND(MOD('(直掃)RX Mapping'!AJ27,120)=0, '(直掃)RX Mapping'!AJ27 &lt;= 480,  '(直掃)RX Mapping'!AJ27 &gt; 0), 120)</f>
        <v>-1</v>
      </c>
      <c r="AK27">
        <f>IF(
(AND('(直掃)RX Mapping'!AK27&gt;=0,'(直掃)RX Mapping'!AK27&lt;=480)),
(MOD('(直掃)RX Mapping'!AK27,120)-1),
IF(
(AND('(直掃)RX Mapping'!AK27&gt;=480,'(直掃)RX Mapping'!AK27&lt;=960)),
IF(MOD('(直掃)RX Mapping'!AK27,120)=0, 120, 240-MOD('(直掃)RX Mapping'!AK27,120)),9999))+IF(AND(MOD('(直掃)RX Mapping'!AK27,120)=0, '(直掃)RX Mapping'!AK27 &lt;= 480,  '(直掃)RX Mapping'!AK27 &gt; 0), 120)</f>
        <v>-1</v>
      </c>
      <c r="AL27">
        <f>IF(
(AND('(直掃)RX Mapping'!AL27&gt;=0,'(直掃)RX Mapping'!AL27&lt;=480)),
(MOD('(直掃)RX Mapping'!AL27,120)-1),
IF(
(AND('(直掃)RX Mapping'!AL27&gt;=480,'(直掃)RX Mapping'!AL27&lt;=960)),
IF(MOD('(直掃)RX Mapping'!AL27,120)=0, 120, 240-MOD('(直掃)RX Mapping'!AL27,120)),9999))+IF(AND(MOD('(直掃)RX Mapping'!AL27,120)=0, '(直掃)RX Mapping'!AL27 &lt;= 480,  '(直掃)RX Mapping'!AL27 &gt; 0), 120)</f>
        <v>-1</v>
      </c>
      <c r="AM27">
        <f>IF(
(AND('(直掃)RX Mapping'!AM27&gt;=0,'(直掃)RX Mapping'!AM27&lt;=480)),
(MOD('(直掃)RX Mapping'!AM27,120)-1),
IF(
(AND('(直掃)RX Mapping'!AM27&gt;=480,'(直掃)RX Mapping'!AM27&lt;=960)),
IF(MOD('(直掃)RX Mapping'!AM27,120)=0, 120, 240-MOD('(直掃)RX Mapping'!AM27,120)),9999))+IF(AND(MOD('(直掃)RX Mapping'!AM27,120)=0, '(直掃)RX Mapping'!AM27 &lt;= 480,  '(直掃)RX Mapping'!AM27 &gt; 0), 120)</f>
        <v>-1</v>
      </c>
      <c r="AN27">
        <f>IF(
(AND('(直掃)RX Mapping'!AN27&gt;=0,'(直掃)RX Mapping'!AN27&lt;=480)),
(MOD('(直掃)RX Mapping'!AN27,120)-1),
IF(
(AND('(直掃)RX Mapping'!AN27&gt;=480,'(直掃)RX Mapping'!AN27&lt;=960)),
IF(MOD('(直掃)RX Mapping'!AN27,120)=0, 120, 240-MOD('(直掃)RX Mapping'!AN27,120)),9999))+IF(AND(MOD('(直掃)RX Mapping'!AN27,120)=0, '(直掃)RX Mapping'!AN27 &lt;= 480,  '(直掃)RX Mapping'!AN27 &gt; 0), 120)</f>
        <v>-1</v>
      </c>
      <c r="AO27">
        <f>IF(
(AND('(直掃)RX Mapping'!AO27&gt;=0,'(直掃)RX Mapping'!AO27&lt;=480)),
(MOD('(直掃)RX Mapping'!AO27,120)-1),
IF(
(AND('(直掃)RX Mapping'!AO27&gt;=480,'(直掃)RX Mapping'!AO27&lt;=960)),
IF(MOD('(直掃)RX Mapping'!AO27,120)=0, 120, 240-MOD('(直掃)RX Mapping'!AO27,120)),9999))+IF(AND(MOD('(直掃)RX Mapping'!AO27,120)=0, '(直掃)RX Mapping'!AO27 &lt;= 480,  '(直掃)RX Mapping'!AO27 &gt; 0), 120)</f>
        <v>-1</v>
      </c>
      <c r="AP27">
        <f>IF(
(AND('(直掃)RX Mapping'!AP27&gt;=0,'(直掃)RX Mapping'!AP27&lt;=480)),
(MOD('(直掃)RX Mapping'!AP27,120)-1),
IF(
(AND('(直掃)RX Mapping'!AP27&gt;=480,'(直掃)RX Mapping'!AP27&lt;=960)),
IF(MOD('(直掃)RX Mapping'!AP27,120)=0, 120, 240-MOD('(直掃)RX Mapping'!AP27,120)),9999))+IF(AND(MOD('(直掃)RX Mapping'!AP27,120)=0, '(直掃)RX Mapping'!AP27 &lt;= 480,  '(直掃)RX Mapping'!AP27 &gt; 0), 120)</f>
        <v>-1</v>
      </c>
      <c r="AQ27">
        <f>IF(
(AND('(直掃)RX Mapping'!AQ27&gt;=0,'(直掃)RX Mapping'!AQ27&lt;=480)),
(MOD('(直掃)RX Mapping'!AQ27,120)-1),
IF(
(AND('(直掃)RX Mapping'!AQ27&gt;=480,'(直掃)RX Mapping'!AQ27&lt;=960)),
IF(MOD('(直掃)RX Mapping'!AQ27,120)=0, 120, 240-MOD('(直掃)RX Mapping'!AQ27,120)),9999))+IF(AND(MOD('(直掃)RX Mapping'!AQ27,120)=0, '(直掃)RX Mapping'!AQ27 &lt;= 480,  '(直掃)RX Mapping'!AQ27 &gt; 0), 120)</f>
        <v>-1</v>
      </c>
      <c r="AR27">
        <f>IF(
(AND('(直掃)RX Mapping'!AR27&gt;=0,'(直掃)RX Mapping'!AR27&lt;=480)),
(MOD('(直掃)RX Mapping'!AR27,120)-1),
IF(
(AND('(直掃)RX Mapping'!AR27&gt;=480,'(直掃)RX Mapping'!AR27&lt;=960)),
IF(MOD('(直掃)RX Mapping'!AR27,120)=0, 120, 240-MOD('(直掃)RX Mapping'!AR27,120)),9999))+IF(AND(MOD('(直掃)RX Mapping'!AR27,120)=0, '(直掃)RX Mapping'!AR27 &lt;= 480,  '(直掃)RX Mapping'!AR27 &gt; 0), 120)</f>
        <v>-1</v>
      </c>
      <c r="AS27">
        <f>IF(
(AND('(直掃)RX Mapping'!AS27&gt;=0,'(直掃)RX Mapping'!AS27&lt;=480)),
(MOD('(直掃)RX Mapping'!AS27,120)-1),
IF(
(AND('(直掃)RX Mapping'!AS27&gt;=480,'(直掃)RX Mapping'!AS27&lt;=960)),
IF(MOD('(直掃)RX Mapping'!AS27,120)=0, 120, 240-MOD('(直掃)RX Mapping'!AS27,120)),9999))+IF(AND(MOD('(直掃)RX Mapping'!AS27,120)=0, '(直掃)RX Mapping'!AS27 &lt;= 480,  '(直掃)RX Mapping'!AS27 &gt; 0), 120)</f>
        <v>-1</v>
      </c>
      <c r="AT27">
        <f>IF(AND('(橫掃)RX Mapping'!AT27&gt;=1,'(橫掃)RX Mapping'!AT27&lt;=120), ('(橫掃)RX Mapping'!AT27-1),IF(AND('(橫掃)RX Mapping'!AT27&gt;=121,'(橫掃)RX Mapping'!AT27&lt;=240), (-1)*('(橫掃)RX Mapping'!AT27-240),IF(AND('(橫掃)RX Mapping'!AT27&gt;=241,'(橫掃)RX Mapping'!AT27&lt;=360), ('(橫掃)RX Mapping'!AT27-241),IF(AND('(橫掃)RX Mapping'!AT27&gt;=361,'(橫掃)RX Mapping'!AT27&lt;=480), (-1)*('(橫掃)RX Mapping'!AT27-480),IF(AND('(橫掃)RX Mapping'!AT27&gt;=481,'(橫掃)RX Mapping'!AT27&lt;=600), ('(橫掃)RX Mapping'!AT27-361),IF(AND('(橫掃)RX Mapping'!AT27&gt;=601,'(橫掃)RX Mapping'!AT27&lt;=720), (-1)*('(橫掃)RX Mapping'!AT27-720)+120,IF(AND('(橫掃)RX Mapping'!AT27&gt;=721,'(橫掃)RX Mapping'!AT27&lt;=840), ('(橫掃)RX Mapping'!AT27-601),IF(AND('(橫掃)RX Mapping'!AT27&gt;=841,'(橫掃)RX Mapping'!AT27&lt;=960), (-1)*('(橫掃)RX Mapping'!AT27-960)+120,9999))))))))</f>
        <v>9999</v>
      </c>
      <c r="AU27">
        <f>IF(AND('(橫掃)RX Mapping'!AU27&gt;=1,'(橫掃)RX Mapping'!AU27&lt;=120), ('(橫掃)RX Mapping'!AU27-1),IF(AND('(橫掃)RX Mapping'!AU27&gt;=121,'(橫掃)RX Mapping'!AU27&lt;=240), (-1)*('(橫掃)RX Mapping'!AU27-240),IF(AND('(橫掃)RX Mapping'!AU27&gt;=241,'(橫掃)RX Mapping'!AU27&lt;=360), ('(橫掃)RX Mapping'!AU27-241),IF(AND('(橫掃)RX Mapping'!AU27&gt;=361,'(橫掃)RX Mapping'!AU27&lt;=480), (-1)*('(橫掃)RX Mapping'!AU27-480),IF(AND('(橫掃)RX Mapping'!AU27&gt;=481,'(橫掃)RX Mapping'!AU27&lt;=600), ('(橫掃)RX Mapping'!AU27-361),IF(AND('(橫掃)RX Mapping'!AU27&gt;=601,'(橫掃)RX Mapping'!AU27&lt;=720), (-1)*('(橫掃)RX Mapping'!AU27-720)+120,IF(AND('(橫掃)RX Mapping'!AU27&gt;=721,'(橫掃)RX Mapping'!AU27&lt;=840), ('(橫掃)RX Mapping'!AU27-601),IF(AND('(橫掃)RX Mapping'!AU27&gt;=841,'(橫掃)RX Mapping'!AU27&lt;=960), (-1)*('(橫掃)RX Mapping'!AU27-960)+120,9999))))))))</f>
        <v>9999</v>
      </c>
      <c r="AV27">
        <f>IF(AND('(橫掃)RX Mapping'!AV27&gt;=1,'(橫掃)RX Mapping'!AV27&lt;=120), ('(橫掃)RX Mapping'!AV27-1),IF(AND('(橫掃)RX Mapping'!AV27&gt;=121,'(橫掃)RX Mapping'!AV27&lt;=240), (-1)*('(橫掃)RX Mapping'!AV27-240),IF(AND('(橫掃)RX Mapping'!AV27&gt;=241,'(橫掃)RX Mapping'!AV27&lt;=360), ('(橫掃)RX Mapping'!AV27-241),IF(AND('(橫掃)RX Mapping'!AV27&gt;=361,'(橫掃)RX Mapping'!AV27&lt;=480), (-1)*('(橫掃)RX Mapping'!AV27-480),IF(AND('(橫掃)RX Mapping'!AV27&gt;=481,'(橫掃)RX Mapping'!AV27&lt;=600), ('(橫掃)RX Mapping'!AV27-361),IF(AND('(橫掃)RX Mapping'!AV27&gt;=601,'(橫掃)RX Mapping'!AV27&lt;=720), (-1)*('(橫掃)RX Mapping'!AV27-720)+120,IF(AND('(橫掃)RX Mapping'!AV27&gt;=721,'(橫掃)RX Mapping'!AV27&lt;=840), ('(橫掃)RX Mapping'!AV27-601),IF(AND('(橫掃)RX Mapping'!AV27&gt;=841,'(橫掃)RX Mapping'!AV27&lt;=960), (-1)*('(橫掃)RX Mapping'!AV27-960)+120,9999))))))))</f>
        <v>9999</v>
      </c>
      <c r="AW27">
        <f>IF(AND('(橫掃)RX Mapping'!AW27&gt;=1,'(橫掃)RX Mapping'!AW27&lt;=120), ('(橫掃)RX Mapping'!AW27-1),IF(AND('(橫掃)RX Mapping'!AW27&gt;=121,'(橫掃)RX Mapping'!AW27&lt;=240), (-1)*('(橫掃)RX Mapping'!AW27-240),IF(AND('(橫掃)RX Mapping'!AW27&gt;=241,'(橫掃)RX Mapping'!AW27&lt;=360), ('(橫掃)RX Mapping'!AW27-241),IF(AND('(橫掃)RX Mapping'!AW27&gt;=361,'(橫掃)RX Mapping'!AW27&lt;=480), (-1)*('(橫掃)RX Mapping'!AW27-480),IF(AND('(橫掃)RX Mapping'!AW27&gt;=481,'(橫掃)RX Mapping'!AW27&lt;=600), ('(橫掃)RX Mapping'!AW27-361),IF(AND('(橫掃)RX Mapping'!AW27&gt;=601,'(橫掃)RX Mapping'!AW27&lt;=720), (-1)*('(橫掃)RX Mapping'!AW27-720)+120,IF(AND('(橫掃)RX Mapping'!AW27&gt;=721,'(橫掃)RX Mapping'!AW27&lt;=840), ('(橫掃)RX Mapping'!AW27-601),IF(AND('(橫掃)RX Mapping'!AW27&gt;=841,'(橫掃)RX Mapping'!AW27&lt;=960), (-1)*('(橫掃)RX Mapping'!AW27-960)+120,9999))))))))</f>
        <v>9999</v>
      </c>
      <c r="AX27">
        <f>IF(AND('(橫掃)RX Mapping'!AX27&gt;=1,'(橫掃)RX Mapping'!AX27&lt;=120), ('(橫掃)RX Mapping'!AX27-1),IF(AND('(橫掃)RX Mapping'!AX27&gt;=121,'(橫掃)RX Mapping'!AX27&lt;=240), (-1)*('(橫掃)RX Mapping'!AX27-240),IF(AND('(橫掃)RX Mapping'!AX27&gt;=241,'(橫掃)RX Mapping'!AX27&lt;=360), ('(橫掃)RX Mapping'!AX27-241),IF(AND('(橫掃)RX Mapping'!AX27&gt;=361,'(橫掃)RX Mapping'!AX27&lt;=480), (-1)*('(橫掃)RX Mapping'!AX27-480),IF(AND('(橫掃)RX Mapping'!AX27&gt;=481,'(橫掃)RX Mapping'!AX27&lt;=600), ('(橫掃)RX Mapping'!AX27-361),IF(AND('(橫掃)RX Mapping'!AX27&gt;=601,'(橫掃)RX Mapping'!AX27&lt;=720), (-1)*('(橫掃)RX Mapping'!AX27-720)+120,IF(AND('(橫掃)RX Mapping'!AX27&gt;=721,'(橫掃)RX Mapping'!AX27&lt;=840), ('(橫掃)RX Mapping'!AX27-601),IF(AND('(橫掃)RX Mapping'!AX27&gt;=841,'(橫掃)RX Mapping'!AX27&lt;=960), (-1)*('(橫掃)RX Mapping'!AX27-960)+120,9999))))))))</f>
        <v>9999</v>
      </c>
      <c r="AY27">
        <f>IF(AND('(橫掃)RX Mapping'!AY27&gt;=1,'(橫掃)RX Mapping'!AY27&lt;=120), ('(橫掃)RX Mapping'!AY27-1),IF(AND('(橫掃)RX Mapping'!AY27&gt;=121,'(橫掃)RX Mapping'!AY27&lt;=240), (-1)*('(橫掃)RX Mapping'!AY27-240),IF(AND('(橫掃)RX Mapping'!AY27&gt;=241,'(橫掃)RX Mapping'!AY27&lt;=360), ('(橫掃)RX Mapping'!AY27-241),IF(AND('(橫掃)RX Mapping'!AY27&gt;=361,'(橫掃)RX Mapping'!AY27&lt;=480), (-1)*('(橫掃)RX Mapping'!AY27-480),IF(AND('(橫掃)RX Mapping'!AY27&gt;=481,'(橫掃)RX Mapping'!AY27&lt;=600), ('(橫掃)RX Mapping'!AY27-361),IF(AND('(橫掃)RX Mapping'!AY27&gt;=601,'(橫掃)RX Mapping'!AY27&lt;=720), (-1)*('(橫掃)RX Mapping'!AY27-720)+120,IF(AND('(橫掃)RX Mapping'!AY27&gt;=721,'(橫掃)RX Mapping'!AY27&lt;=840), ('(橫掃)RX Mapping'!AY27-601),IF(AND('(橫掃)RX Mapping'!AY27&gt;=841,'(橫掃)RX Mapping'!AY27&lt;=960), (-1)*('(橫掃)RX Mapping'!AY27-960)+120,9999))))))))</f>
        <v>9999</v>
      </c>
      <c r="AZ27">
        <f>IF(AND('(橫掃)RX Mapping'!AZ27&gt;=1,'(橫掃)RX Mapping'!AZ27&lt;=120), ('(橫掃)RX Mapping'!AZ27-1),IF(AND('(橫掃)RX Mapping'!AZ27&gt;=121,'(橫掃)RX Mapping'!AZ27&lt;=240), (-1)*('(橫掃)RX Mapping'!AZ27-240),IF(AND('(橫掃)RX Mapping'!AZ27&gt;=241,'(橫掃)RX Mapping'!AZ27&lt;=360), ('(橫掃)RX Mapping'!AZ27-241),IF(AND('(橫掃)RX Mapping'!AZ27&gt;=361,'(橫掃)RX Mapping'!AZ27&lt;=480), (-1)*('(橫掃)RX Mapping'!AZ27-480),IF(AND('(橫掃)RX Mapping'!AZ27&gt;=481,'(橫掃)RX Mapping'!AZ27&lt;=600), ('(橫掃)RX Mapping'!AZ27-361),IF(AND('(橫掃)RX Mapping'!AZ27&gt;=601,'(橫掃)RX Mapping'!AZ27&lt;=720), (-1)*('(橫掃)RX Mapping'!AZ27-720)+120,IF(AND('(橫掃)RX Mapping'!AZ27&gt;=721,'(橫掃)RX Mapping'!AZ27&lt;=840), ('(橫掃)RX Mapping'!AZ27-601),IF(AND('(橫掃)RX Mapping'!AZ27&gt;=841,'(橫掃)RX Mapping'!AZ27&lt;=960), (-1)*('(橫掃)RX Mapping'!AZ27-960)+120,9999))))))))</f>
        <v>9999</v>
      </c>
      <c r="BA27">
        <f>IF(AND('(橫掃)RX Mapping'!BA27&gt;=1,'(橫掃)RX Mapping'!BA27&lt;=120), ('(橫掃)RX Mapping'!BA27-1),IF(AND('(橫掃)RX Mapping'!BA27&gt;=121,'(橫掃)RX Mapping'!BA27&lt;=240), (-1)*('(橫掃)RX Mapping'!BA27-240),IF(AND('(橫掃)RX Mapping'!BA27&gt;=241,'(橫掃)RX Mapping'!BA27&lt;=360), ('(橫掃)RX Mapping'!BA27-241),IF(AND('(橫掃)RX Mapping'!BA27&gt;=361,'(橫掃)RX Mapping'!BA27&lt;=480), (-1)*('(橫掃)RX Mapping'!BA27-480),IF(AND('(橫掃)RX Mapping'!BA27&gt;=481,'(橫掃)RX Mapping'!BA27&lt;=600), ('(橫掃)RX Mapping'!BA27-361),IF(AND('(橫掃)RX Mapping'!BA27&gt;=601,'(橫掃)RX Mapping'!BA27&lt;=720), (-1)*('(橫掃)RX Mapping'!BA27-720)+120,IF(AND('(橫掃)RX Mapping'!BA27&gt;=721,'(橫掃)RX Mapping'!BA27&lt;=840), ('(橫掃)RX Mapping'!BA27-601),IF(AND('(橫掃)RX Mapping'!BA27&gt;=841,'(橫掃)RX Mapping'!BA27&lt;=960), (-1)*('(橫掃)RX Mapping'!BA27-960)+120,9999))))))))</f>
        <v>9999</v>
      </c>
      <c r="BB27">
        <f>IF(AND('(橫掃)RX Mapping'!BB27&gt;=1,'(橫掃)RX Mapping'!BB27&lt;=120), ('(橫掃)RX Mapping'!BB27-1),IF(AND('(橫掃)RX Mapping'!BB27&gt;=121,'(橫掃)RX Mapping'!BB27&lt;=240), (-1)*('(橫掃)RX Mapping'!BB27-240),IF(AND('(橫掃)RX Mapping'!BB27&gt;=241,'(橫掃)RX Mapping'!BB27&lt;=360), ('(橫掃)RX Mapping'!BB27-241),IF(AND('(橫掃)RX Mapping'!BB27&gt;=361,'(橫掃)RX Mapping'!BB27&lt;=480), (-1)*('(橫掃)RX Mapping'!BB27-480),IF(AND('(橫掃)RX Mapping'!BB27&gt;=481,'(橫掃)RX Mapping'!BB27&lt;=600), ('(橫掃)RX Mapping'!BB27-361),IF(AND('(橫掃)RX Mapping'!BB27&gt;=601,'(橫掃)RX Mapping'!BB27&lt;=720), (-1)*('(橫掃)RX Mapping'!BB27-720)+120,IF(AND('(橫掃)RX Mapping'!BB27&gt;=721,'(橫掃)RX Mapping'!BB27&lt;=840), ('(橫掃)RX Mapping'!BB27-601),IF(AND('(橫掃)RX Mapping'!BB27&gt;=841,'(橫掃)RX Mapping'!BB27&lt;=960), (-1)*('(橫掃)RX Mapping'!BB27-960)+120,9999))))))))</f>
        <v>9999</v>
      </c>
      <c r="BC27">
        <f>IF(AND('(橫掃)RX Mapping'!BC27&gt;=1,'(橫掃)RX Mapping'!BC27&lt;=120), ('(橫掃)RX Mapping'!BC27-1),IF(AND('(橫掃)RX Mapping'!BC27&gt;=121,'(橫掃)RX Mapping'!BC27&lt;=240), (-1)*('(橫掃)RX Mapping'!BC27-240),IF(AND('(橫掃)RX Mapping'!BC27&gt;=241,'(橫掃)RX Mapping'!BC27&lt;=360), ('(橫掃)RX Mapping'!BC27-241),IF(AND('(橫掃)RX Mapping'!BC27&gt;=361,'(橫掃)RX Mapping'!BC27&lt;=480), (-1)*('(橫掃)RX Mapping'!BC27-480),IF(AND('(橫掃)RX Mapping'!BC27&gt;=481,'(橫掃)RX Mapping'!BC27&lt;=600), ('(橫掃)RX Mapping'!BC27-361),IF(AND('(橫掃)RX Mapping'!BC27&gt;=601,'(橫掃)RX Mapping'!BC27&lt;=720), (-1)*('(橫掃)RX Mapping'!BC27-720)+120,IF(AND('(橫掃)RX Mapping'!BC27&gt;=721,'(橫掃)RX Mapping'!BC27&lt;=840), ('(橫掃)RX Mapping'!BC27-601),IF(AND('(橫掃)RX Mapping'!BC27&gt;=841,'(橫掃)RX Mapping'!BC27&lt;=960), (-1)*('(橫掃)RX Mapping'!BC27-960)+120,9999))))))))</f>
        <v>9999</v>
      </c>
      <c r="BD27">
        <f>IF(AND('(橫掃)RX Mapping'!BD27&gt;=1,'(橫掃)RX Mapping'!BD27&lt;=120), ('(橫掃)RX Mapping'!BD27-1),IF(AND('(橫掃)RX Mapping'!BD27&gt;=121,'(橫掃)RX Mapping'!BD27&lt;=240), (-1)*('(橫掃)RX Mapping'!BD27-240),IF(AND('(橫掃)RX Mapping'!BD27&gt;=241,'(橫掃)RX Mapping'!BD27&lt;=360), ('(橫掃)RX Mapping'!BD27-241),IF(AND('(橫掃)RX Mapping'!BD27&gt;=361,'(橫掃)RX Mapping'!BD27&lt;=480), (-1)*('(橫掃)RX Mapping'!BD27-480),IF(AND('(橫掃)RX Mapping'!BD27&gt;=481,'(橫掃)RX Mapping'!BD27&lt;=600), ('(橫掃)RX Mapping'!BD27-361),IF(AND('(橫掃)RX Mapping'!BD27&gt;=601,'(橫掃)RX Mapping'!BD27&lt;=720), (-1)*('(橫掃)RX Mapping'!BD27-720)+120,IF(AND('(橫掃)RX Mapping'!BD27&gt;=721,'(橫掃)RX Mapping'!BD27&lt;=840), ('(橫掃)RX Mapping'!BD27-601),IF(AND('(橫掃)RX Mapping'!BD27&gt;=841,'(橫掃)RX Mapping'!BD27&lt;=960), (-1)*('(橫掃)RX Mapping'!BD27-960)+120,9999))))))))</f>
        <v>9999</v>
      </c>
      <c r="BE27">
        <f>IF(AND('(橫掃)RX Mapping'!BE27&gt;=1,'(橫掃)RX Mapping'!BE27&lt;=120), ('(橫掃)RX Mapping'!BE27-1),IF(AND('(橫掃)RX Mapping'!BE27&gt;=121,'(橫掃)RX Mapping'!BE27&lt;=240), (-1)*('(橫掃)RX Mapping'!BE27-240),IF(AND('(橫掃)RX Mapping'!BE27&gt;=241,'(橫掃)RX Mapping'!BE27&lt;=360), ('(橫掃)RX Mapping'!BE27-241),IF(AND('(橫掃)RX Mapping'!BE27&gt;=361,'(橫掃)RX Mapping'!BE27&lt;=480), (-1)*('(橫掃)RX Mapping'!BE27-480),IF(AND('(橫掃)RX Mapping'!BE27&gt;=481,'(橫掃)RX Mapping'!BE27&lt;=600), ('(橫掃)RX Mapping'!BE27-361),IF(AND('(橫掃)RX Mapping'!BE27&gt;=601,'(橫掃)RX Mapping'!BE27&lt;=720), (-1)*('(橫掃)RX Mapping'!BE27-720)+120,IF(AND('(橫掃)RX Mapping'!BE27&gt;=721,'(橫掃)RX Mapping'!BE27&lt;=840), ('(橫掃)RX Mapping'!BE27-601),IF(AND('(橫掃)RX Mapping'!BE27&gt;=841,'(橫掃)RX Mapping'!BE27&lt;=960), (-1)*('(橫掃)RX Mapping'!BE27-960)+120,9999))))))))</f>
        <v>9999</v>
      </c>
      <c r="BF27">
        <f>IF(AND('(橫掃)RX Mapping'!BF27&gt;=1,'(橫掃)RX Mapping'!BF27&lt;=120), ('(橫掃)RX Mapping'!BF27-1),IF(AND('(橫掃)RX Mapping'!BF27&gt;=121,'(橫掃)RX Mapping'!BF27&lt;=240), (-1)*('(橫掃)RX Mapping'!BF27-240),IF(AND('(橫掃)RX Mapping'!BF27&gt;=241,'(橫掃)RX Mapping'!BF27&lt;=360), ('(橫掃)RX Mapping'!BF27-241),IF(AND('(橫掃)RX Mapping'!BF27&gt;=361,'(橫掃)RX Mapping'!BF27&lt;=480), (-1)*('(橫掃)RX Mapping'!BF27-480),IF(AND('(橫掃)RX Mapping'!BF27&gt;=481,'(橫掃)RX Mapping'!BF27&lt;=600), ('(橫掃)RX Mapping'!BF27-361),IF(AND('(橫掃)RX Mapping'!BF27&gt;=601,'(橫掃)RX Mapping'!BF27&lt;=720), (-1)*('(橫掃)RX Mapping'!BF27-720)+120,IF(AND('(橫掃)RX Mapping'!BF27&gt;=721,'(橫掃)RX Mapping'!BF27&lt;=840), ('(橫掃)RX Mapping'!BF27-601),IF(AND('(橫掃)RX Mapping'!BF27&gt;=841,'(橫掃)RX Mapping'!BF27&lt;=960), (-1)*('(橫掃)RX Mapping'!BF27-960)+120,9999))))))))</f>
        <v>9999</v>
      </c>
      <c r="BG27">
        <f>IF(AND('(橫掃)RX Mapping'!BG27&gt;=1,'(橫掃)RX Mapping'!BG27&lt;=120), ('(橫掃)RX Mapping'!BG27-1),IF(AND('(橫掃)RX Mapping'!BG27&gt;=121,'(橫掃)RX Mapping'!BG27&lt;=240), (-1)*('(橫掃)RX Mapping'!BG27-240),IF(AND('(橫掃)RX Mapping'!BG27&gt;=241,'(橫掃)RX Mapping'!BG27&lt;=360), ('(橫掃)RX Mapping'!BG27-241),IF(AND('(橫掃)RX Mapping'!BG27&gt;=361,'(橫掃)RX Mapping'!BG27&lt;=480), (-1)*('(橫掃)RX Mapping'!BG27-480),IF(AND('(橫掃)RX Mapping'!BG27&gt;=481,'(橫掃)RX Mapping'!BG27&lt;=600), ('(橫掃)RX Mapping'!BG27-361),IF(AND('(橫掃)RX Mapping'!BG27&gt;=601,'(橫掃)RX Mapping'!BG27&lt;=720), (-1)*('(橫掃)RX Mapping'!BG27-720)+120,IF(AND('(橫掃)RX Mapping'!BG27&gt;=721,'(橫掃)RX Mapping'!BG27&lt;=840), ('(橫掃)RX Mapping'!BG27-601),IF(AND('(橫掃)RX Mapping'!BG27&gt;=841,'(橫掃)RX Mapping'!BG27&lt;=960), (-1)*('(橫掃)RX Mapping'!BG27-960)+120,9999))))))))</f>
        <v>9999</v>
      </c>
      <c r="BH27">
        <f>IF(AND('(橫掃)RX Mapping'!BH27&gt;=1,'(橫掃)RX Mapping'!BH27&lt;=120), ('(橫掃)RX Mapping'!BH27-1),IF(AND('(橫掃)RX Mapping'!BH27&gt;=121,'(橫掃)RX Mapping'!BH27&lt;=240), (-1)*('(橫掃)RX Mapping'!BH27-240),IF(AND('(橫掃)RX Mapping'!BH27&gt;=241,'(橫掃)RX Mapping'!BH27&lt;=360), ('(橫掃)RX Mapping'!BH27-241),IF(AND('(橫掃)RX Mapping'!BH27&gt;=361,'(橫掃)RX Mapping'!BH27&lt;=480), (-1)*('(橫掃)RX Mapping'!BH27-480),IF(AND('(橫掃)RX Mapping'!BH27&gt;=481,'(橫掃)RX Mapping'!BH27&lt;=600), ('(橫掃)RX Mapping'!BH27-361),IF(AND('(橫掃)RX Mapping'!BH27&gt;=601,'(橫掃)RX Mapping'!BH27&lt;=720), (-1)*('(橫掃)RX Mapping'!BH27-720)+120,IF(AND('(橫掃)RX Mapping'!BH27&gt;=721,'(橫掃)RX Mapping'!BH27&lt;=840), ('(橫掃)RX Mapping'!BH27-601),IF(AND('(橫掃)RX Mapping'!BH27&gt;=841,'(橫掃)RX Mapping'!BH27&lt;=960), (-1)*('(橫掃)RX Mapping'!BH27-960)+120,9999))))))))</f>
        <v>9999</v>
      </c>
      <c r="BI27">
        <f>IF(AND('(橫掃)RX Mapping'!BI27&gt;=1,'(橫掃)RX Mapping'!BI27&lt;=120), ('(橫掃)RX Mapping'!BI27-1),IF(AND('(橫掃)RX Mapping'!BI27&gt;=121,'(橫掃)RX Mapping'!BI27&lt;=240), (-1)*('(橫掃)RX Mapping'!BI27-240),IF(AND('(橫掃)RX Mapping'!BI27&gt;=241,'(橫掃)RX Mapping'!BI27&lt;=360), ('(橫掃)RX Mapping'!BI27-241),IF(AND('(橫掃)RX Mapping'!BI27&gt;=361,'(橫掃)RX Mapping'!BI27&lt;=480), (-1)*('(橫掃)RX Mapping'!BI27-480),IF(AND('(橫掃)RX Mapping'!BI27&gt;=481,'(橫掃)RX Mapping'!BI27&lt;=600), ('(橫掃)RX Mapping'!BI27-361),IF(AND('(橫掃)RX Mapping'!BI27&gt;=601,'(橫掃)RX Mapping'!BI27&lt;=720), (-1)*('(橫掃)RX Mapping'!BI27-720)+120,IF(AND('(橫掃)RX Mapping'!BI27&gt;=721,'(橫掃)RX Mapping'!BI27&lt;=840), ('(橫掃)RX Mapping'!BI27-601),IF(AND('(橫掃)RX Mapping'!BI27&gt;=841,'(橫掃)RX Mapping'!BI27&lt;=960), (-1)*('(橫掃)RX Mapping'!BI27-960)+120,9999))))))))</f>
        <v>9999</v>
      </c>
    </row>
    <row r="28" spans="1:61" x14ac:dyDescent="0.25">
      <c r="A28" s="20">
        <v>27</v>
      </c>
      <c r="B28">
        <f>IF(
(AND('(直掃)RX Mapping'!B28&gt;=0,'(直掃)RX Mapping'!B28&lt;=480)),
(MOD('(直掃)RX Mapping'!B28,120)-1),
IF(
(AND('(直掃)RX Mapping'!B28&gt;=480,'(直掃)RX Mapping'!B28&lt;=960)),
IF(MOD('(直掃)RX Mapping'!B28,120)=0, 120, 240-MOD('(直掃)RX Mapping'!B28,120)),9999))+IF(AND(MOD('(直掃)RX Mapping'!B28,120)=0, '(直掃)RX Mapping'!B28 &lt;= 480,  '(直掃)RX Mapping'!B28 &gt; 0), 120)</f>
        <v>146</v>
      </c>
      <c r="C28">
        <f>IF(
(AND('(直掃)RX Mapping'!C28&gt;=0,'(直掃)RX Mapping'!C28&lt;=480)),
(MOD('(直掃)RX Mapping'!C28,120)-1),
IF(
(AND('(直掃)RX Mapping'!C28&gt;=480,'(直掃)RX Mapping'!C28&lt;=960)),
IF(MOD('(直掃)RX Mapping'!C28,120)=0, 120, 240-MOD('(直掃)RX Mapping'!C28,120)),9999))+IF(AND(MOD('(直掃)RX Mapping'!C28,120)=0, '(直掃)RX Mapping'!C28 &lt;= 480,  '(直掃)RX Mapping'!C28 &gt; 0), 120)</f>
        <v>176</v>
      </c>
      <c r="D28">
        <f>IF(
(AND('(直掃)RX Mapping'!D28&gt;=0,'(直掃)RX Mapping'!D28&lt;=480)),
(MOD('(直掃)RX Mapping'!D28,120)-1),
IF(
(AND('(直掃)RX Mapping'!D28&gt;=480,'(直掃)RX Mapping'!D28&lt;=960)),
IF(MOD('(直掃)RX Mapping'!D28,120)=0, 120, 240-MOD('(直掃)RX Mapping'!D28,120)),9999))+IF(AND(MOD('(直掃)RX Mapping'!D28,120)=0, '(直掃)RX Mapping'!D28 &lt;= 480,  '(直掃)RX Mapping'!D28 &gt; 0), 120)</f>
        <v>206</v>
      </c>
      <c r="E28">
        <f>IF(
(AND('(直掃)RX Mapping'!E28&gt;=0,'(直掃)RX Mapping'!E28&lt;=480)),
(MOD('(直掃)RX Mapping'!E28,120)-1),
IF(
(AND('(直掃)RX Mapping'!E28&gt;=480,'(直掃)RX Mapping'!E28&lt;=960)),
IF(MOD('(直掃)RX Mapping'!E28,120)=0, 120, 240-MOD('(直掃)RX Mapping'!E28,120)),9999))+IF(AND(MOD('(直掃)RX Mapping'!E28,120)=0, '(直掃)RX Mapping'!E28 &lt;= 480,  '(直掃)RX Mapping'!E28 &gt; 0), 120)</f>
        <v>146</v>
      </c>
      <c r="F28">
        <f>IF(
(AND('(直掃)RX Mapping'!F28&gt;=0,'(直掃)RX Mapping'!F28&lt;=480)),
(MOD('(直掃)RX Mapping'!F28,120)-1),
IF(
(AND('(直掃)RX Mapping'!F28&gt;=480,'(直掃)RX Mapping'!F28&lt;=960)),
IF(MOD('(直掃)RX Mapping'!F28,120)=0, 120, 240-MOD('(直掃)RX Mapping'!F28,120)),9999))+IF(AND(MOD('(直掃)RX Mapping'!F28,120)=0, '(直掃)RX Mapping'!F28 &lt;= 480,  '(直掃)RX Mapping'!F28 &gt; 0), 120)</f>
        <v>176</v>
      </c>
      <c r="G28">
        <f>IF(
(AND('(直掃)RX Mapping'!G28&gt;=0,'(直掃)RX Mapping'!G28&lt;=480)),
(MOD('(直掃)RX Mapping'!G28,120)-1),
IF(
(AND('(直掃)RX Mapping'!G28&gt;=480,'(直掃)RX Mapping'!G28&lt;=960)),
IF(MOD('(直掃)RX Mapping'!G28,120)=0, 120, 240-MOD('(直掃)RX Mapping'!G28,120)),9999))+IF(AND(MOD('(直掃)RX Mapping'!G28,120)=0, '(直掃)RX Mapping'!G28 &lt;= 480,  '(直掃)RX Mapping'!G28 &gt; 0), 120)</f>
        <v>206</v>
      </c>
      <c r="H28">
        <f>IF(
(AND('(直掃)RX Mapping'!H28&gt;=0,'(直掃)RX Mapping'!H28&lt;=480)),
(MOD('(直掃)RX Mapping'!H28,120)-1),
IF(
(AND('(直掃)RX Mapping'!H28&gt;=480,'(直掃)RX Mapping'!H28&lt;=960)),
IF(MOD('(直掃)RX Mapping'!H28,120)=0, 120, 240-MOD('(直掃)RX Mapping'!H28,120)),9999))+IF(AND(MOD('(直掃)RX Mapping'!H28,120)=0, '(直掃)RX Mapping'!H28 &lt;= 480,  '(直掃)RX Mapping'!H28 &gt; 0), 120)</f>
        <v>146</v>
      </c>
      <c r="I28">
        <f>IF(
(AND('(直掃)RX Mapping'!I28&gt;=0,'(直掃)RX Mapping'!I28&lt;=480)),
(MOD('(直掃)RX Mapping'!I28,120)-1),
IF(
(AND('(直掃)RX Mapping'!I28&gt;=480,'(直掃)RX Mapping'!I28&lt;=960)),
IF(MOD('(直掃)RX Mapping'!I28,120)=0, 120, 240-MOD('(直掃)RX Mapping'!I28,120)),9999))+IF(AND(MOD('(直掃)RX Mapping'!I28,120)=0, '(直掃)RX Mapping'!I28 &lt;= 480,  '(直掃)RX Mapping'!I28 &gt; 0), 120)</f>
        <v>176</v>
      </c>
      <c r="J28">
        <f>IF(
(AND('(直掃)RX Mapping'!J28&gt;=0,'(直掃)RX Mapping'!J28&lt;=480)),
(MOD('(直掃)RX Mapping'!J28,120)-1),
IF(
(AND('(直掃)RX Mapping'!J28&gt;=480,'(直掃)RX Mapping'!J28&lt;=960)),
IF(MOD('(直掃)RX Mapping'!J28,120)=0, 120, 240-MOD('(直掃)RX Mapping'!J28,120)),9999))+IF(AND(MOD('(直掃)RX Mapping'!J28,120)=0, '(直掃)RX Mapping'!J28 &lt;= 480,  '(直掃)RX Mapping'!J28 &gt; 0), 120)</f>
        <v>206</v>
      </c>
      <c r="K28">
        <f>IF(
(AND('(直掃)RX Mapping'!K28&gt;=0,'(直掃)RX Mapping'!K28&lt;=480)),
(MOD('(直掃)RX Mapping'!K28,120)-1),
IF(
(AND('(直掃)RX Mapping'!K28&gt;=480,'(直掃)RX Mapping'!K28&lt;=960)),
IF(MOD('(直掃)RX Mapping'!K28,120)=0, 120, 240-MOD('(直掃)RX Mapping'!K28,120)),9999))+IF(AND(MOD('(直掃)RX Mapping'!K28,120)=0, '(直掃)RX Mapping'!K28 &lt;= 480,  '(直掃)RX Mapping'!K28 &gt; 0), 120)</f>
        <v>236</v>
      </c>
      <c r="L28">
        <f>IF(
(AND('(直掃)RX Mapping'!L28&gt;=0,'(直掃)RX Mapping'!L28&lt;=480)),
(MOD('(直掃)RX Mapping'!L28,120)-1),
IF(
(AND('(直掃)RX Mapping'!L28&gt;=480,'(直掃)RX Mapping'!L28&lt;=960)),
IF(MOD('(直掃)RX Mapping'!L28,120)=0, 120, 240-MOD('(直掃)RX Mapping'!L28,120)),9999))+IF(AND(MOD('(直掃)RX Mapping'!L28,120)=0, '(直掃)RX Mapping'!L28 &lt;= 480,  '(直掃)RX Mapping'!L28 &gt; 0), 120)</f>
        <v>146</v>
      </c>
      <c r="M28">
        <f>IF(
(AND('(直掃)RX Mapping'!M28&gt;=0,'(直掃)RX Mapping'!M28&lt;=480)),
(MOD('(直掃)RX Mapping'!M28,120)-1),
IF(
(AND('(直掃)RX Mapping'!M28&gt;=480,'(直掃)RX Mapping'!M28&lt;=960)),
IF(MOD('(直掃)RX Mapping'!M28,120)=0, 120, 240-MOD('(直掃)RX Mapping'!M28,120)),9999))+IF(AND(MOD('(直掃)RX Mapping'!M28,120)=0, '(直掃)RX Mapping'!M28 &lt;= 480,  '(直掃)RX Mapping'!M28 &gt; 0), 120)</f>
        <v>176</v>
      </c>
      <c r="N28">
        <f>IF(
(AND('(直掃)RX Mapping'!N28&gt;=0,'(直掃)RX Mapping'!N28&lt;=480)),
(MOD('(直掃)RX Mapping'!N28,120)-1),
IF(
(AND('(直掃)RX Mapping'!N28&gt;=480,'(直掃)RX Mapping'!N28&lt;=960)),
IF(MOD('(直掃)RX Mapping'!N28,120)=0, 120, 240-MOD('(直掃)RX Mapping'!N28,120)),9999))+IF(AND(MOD('(直掃)RX Mapping'!N28,120)=0, '(直掃)RX Mapping'!N28 &lt;= 480,  '(直掃)RX Mapping'!N28 &gt; 0), 120)</f>
        <v>206</v>
      </c>
      <c r="O28">
        <f>IF(
(AND('(直掃)RX Mapping'!O28&gt;=0,'(直掃)RX Mapping'!O28&lt;=480)),
(MOD('(直掃)RX Mapping'!O28,120)-1),
IF(
(AND('(直掃)RX Mapping'!O28&gt;=480,'(直掃)RX Mapping'!O28&lt;=960)),
IF(MOD('(直掃)RX Mapping'!O28,120)=0, 120, 240-MOD('(直掃)RX Mapping'!O28,120)),9999))+IF(AND(MOD('(直掃)RX Mapping'!O28,120)=0, '(直掃)RX Mapping'!O28 &lt;= 480,  '(直掃)RX Mapping'!O28 &gt; 0), 120)</f>
        <v>236</v>
      </c>
      <c r="P28">
        <f>IF(
(AND('(直掃)RX Mapping'!P28&gt;=0,'(直掃)RX Mapping'!P28&lt;=480)),
(MOD('(直掃)RX Mapping'!P28,120)-1),
IF(
(AND('(直掃)RX Mapping'!P28&gt;=480,'(直掃)RX Mapping'!P28&lt;=960)),
IF(MOD('(直掃)RX Mapping'!P28,120)=0, 120, 240-MOD('(直掃)RX Mapping'!P28,120)),9999))+IF(AND(MOD('(直掃)RX Mapping'!P28,120)=0, '(直掃)RX Mapping'!P28 &lt;= 480,  '(直掃)RX Mapping'!P28 &gt; 0), 120)</f>
        <v>93</v>
      </c>
      <c r="Q28">
        <f>IF(
(AND('(直掃)RX Mapping'!Q28&gt;=0,'(直掃)RX Mapping'!Q28&lt;=480)),
(MOD('(直掃)RX Mapping'!Q28,120)-1),
IF(
(AND('(直掃)RX Mapping'!Q28&gt;=480,'(直掃)RX Mapping'!Q28&lt;=960)),
IF(MOD('(直掃)RX Mapping'!Q28,120)=0, 120, 240-MOD('(直掃)RX Mapping'!Q28,120)),9999))+IF(AND(MOD('(直掃)RX Mapping'!Q28,120)=0, '(直掃)RX Mapping'!Q28 &lt;= 480,  '(直掃)RX Mapping'!Q28 &gt; 0), 120)</f>
        <v>63</v>
      </c>
      <c r="R28">
        <f>IF(
(AND('(直掃)RX Mapping'!R28&gt;=0,'(直掃)RX Mapping'!R28&lt;=480)),
(MOD('(直掃)RX Mapping'!R28,120)-1),
IF(
(AND('(直掃)RX Mapping'!R28&gt;=480,'(直掃)RX Mapping'!R28&lt;=960)),
IF(MOD('(直掃)RX Mapping'!R28,120)=0, 120, 240-MOD('(直掃)RX Mapping'!R28,120)),9999))+IF(AND(MOD('(直掃)RX Mapping'!R28,120)=0, '(直掃)RX Mapping'!R28 &lt;= 480,  '(直掃)RX Mapping'!R28 &gt; 0), 120)</f>
        <v>33</v>
      </c>
      <c r="S28">
        <f>IF(
(AND('(直掃)RX Mapping'!S28&gt;=0,'(直掃)RX Mapping'!S28&lt;=480)),
(MOD('(直掃)RX Mapping'!S28,120)-1),
IF(
(AND('(直掃)RX Mapping'!S28&gt;=480,'(直掃)RX Mapping'!S28&lt;=960)),
IF(MOD('(直掃)RX Mapping'!S28,120)=0, 120, 240-MOD('(直掃)RX Mapping'!S28,120)),9999))+IF(AND(MOD('(直掃)RX Mapping'!S28,120)=0, '(直掃)RX Mapping'!S28 &lt;= 480,  '(直掃)RX Mapping'!S28 &gt; 0), 120)</f>
        <v>3</v>
      </c>
      <c r="T28">
        <f>IF(
(AND('(直掃)RX Mapping'!T28&gt;=0,'(直掃)RX Mapping'!T28&lt;=480)),
(MOD('(直掃)RX Mapping'!T28,120)-1),
IF(
(AND('(直掃)RX Mapping'!T28&gt;=480,'(直掃)RX Mapping'!T28&lt;=960)),
IF(MOD('(直掃)RX Mapping'!T28,120)=0, 120, 240-MOD('(直掃)RX Mapping'!T28,120)),9999))+IF(AND(MOD('(直掃)RX Mapping'!T28,120)=0, '(直掃)RX Mapping'!T28 &lt;= 480,  '(直掃)RX Mapping'!T28 &gt; 0), 120)</f>
        <v>93</v>
      </c>
      <c r="U28">
        <f>IF(
(AND('(直掃)RX Mapping'!U28&gt;=0,'(直掃)RX Mapping'!U28&lt;=480)),
(MOD('(直掃)RX Mapping'!U28,120)-1),
IF(
(AND('(直掃)RX Mapping'!U28&gt;=480,'(直掃)RX Mapping'!U28&lt;=960)),
IF(MOD('(直掃)RX Mapping'!U28,120)=0, 120, 240-MOD('(直掃)RX Mapping'!U28,120)),9999))+IF(AND(MOD('(直掃)RX Mapping'!U28,120)=0, '(直掃)RX Mapping'!U28 &lt;= 480,  '(直掃)RX Mapping'!U28 &gt; 0), 120)</f>
        <v>63</v>
      </c>
      <c r="V28">
        <f>IF(
(AND('(直掃)RX Mapping'!V28&gt;=0,'(直掃)RX Mapping'!V28&lt;=480)),
(MOD('(直掃)RX Mapping'!V28,120)-1),
IF(
(AND('(直掃)RX Mapping'!V28&gt;=480,'(直掃)RX Mapping'!V28&lt;=960)),
IF(MOD('(直掃)RX Mapping'!V28,120)=0, 120, 240-MOD('(直掃)RX Mapping'!V28,120)),9999))+IF(AND(MOD('(直掃)RX Mapping'!V28,120)=0, '(直掃)RX Mapping'!V28 &lt;= 480,  '(直掃)RX Mapping'!V28 &gt; 0), 120)</f>
        <v>33</v>
      </c>
      <c r="W28">
        <f>IF(
(AND('(直掃)RX Mapping'!W28&gt;=0,'(直掃)RX Mapping'!W28&lt;=480)),
(MOD('(直掃)RX Mapping'!W28,120)-1),
IF(
(AND('(直掃)RX Mapping'!W28&gt;=480,'(直掃)RX Mapping'!W28&lt;=960)),
IF(MOD('(直掃)RX Mapping'!W28,120)=0, 120, 240-MOD('(直掃)RX Mapping'!W28,120)),9999))+IF(AND(MOD('(直掃)RX Mapping'!W28,120)=0, '(直掃)RX Mapping'!W28 &lt;= 480,  '(直掃)RX Mapping'!W28 &gt; 0), 120)</f>
        <v>3</v>
      </c>
      <c r="X28">
        <f>IF(
(AND('(直掃)RX Mapping'!X28&gt;=0,'(直掃)RX Mapping'!X28&lt;=480)),
(MOD('(直掃)RX Mapping'!X28,120)-1),
IF(
(AND('(直掃)RX Mapping'!X28&gt;=480,'(直掃)RX Mapping'!X28&lt;=960)),
IF(MOD('(直掃)RX Mapping'!X28,120)=0, 120, 240-MOD('(直掃)RX Mapping'!X28,120)),9999))+IF(AND(MOD('(直掃)RX Mapping'!X28,120)=0, '(直掃)RX Mapping'!X28 &lt;= 480,  '(直掃)RX Mapping'!X28 &gt; 0), 120)</f>
        <v>63</v>
      </c>
      <c r="Y28">
        <f>IF(
(AND('(直掃)RX Mapping'!Y28&gt;=0,'(直掃)RX Mapping'!Y28&lt;=480)),
(MOD('(直掃)RX Mapping'!Y28,120)-1),
IF(
(AND('(直掃)RX Mapping'!Y28&gt;=480,'(直掃)RX Mapping'!Y28&lt;=960)),
IF(MOD('(直掃)RX Mapping'!Y28,120)=0, 120, 240-MOD('(直掃)RX Mapping'!Y28,120)),9999))+IF(AND(MOD('(直掃)RX Mapping'!Y28,120)=0, '(直掃)RX Mapping'!Y28 &lt;= 480,  '(直掃)RX Mapping'!Y28 &gt; 0), 120)</f>
        <v>33</v>
      </c>
      <c r="Z28">
        <f>IF(
(AND('(直掃)RX Mapping'!Z28&gt;=0,'(直掃)RX Mapping'!Z28&lt;=480)),
(MOD('(直掃)RX Mapping'!Z28,120)-1),
IF(
(AND('(直掃)RX Mapping'!Z28&gt;=480,'(直掃)RX Mapping'!Z28&lt;=960)),
IF(MOD('(直掃)RX Mapping'!Z28,120)=0, 120, 240-MOD('(直掃)RX Mapping'!Z28,120)),9999))+IF(AND(MOD('(直掃)RX Mapping'!Z28,120)=0, '(直掃)RX Mapping'!Z28 &lt;= 480,  '(直掃)RX Mapping'!Z28 &gt; 0), 120)</f>
        <v>3</v>
      </c>
      <c r="AA28">
        <f>IF(
(AND('(直掃)RX Mapping'!AA28&gt;=0,'(直掃)RX Mapping'!AA28&lt;=480)),
(MOD('(直掃)RX Mapping'!AA28,120)-1),
IF(
(AND('(直掃)RX Mapping'!AA28&gt;=480,'(直掃)RX Mapping'!AA28&lt;=960)),
IF(MOD('(直掃)RX Mapping'!AA28,120)=0, 120, 240-MOD('(直掃)RX Mapping'!AA28,120)),9999))+IF(AND(MOD('(直掃)RX Mapping'!AA28,120)=0, '(直掃)RX Mapping'!AA28 &lt;= 480,  '(直掃)RX Mapping'!AA28 &gt; 0), 120)</f>
        <v>63</v>
      </c>
      <c r="AB28">
        <f>IF(
(AND('(直掃)RX Mapping'!AB28&gt;=0,'(直掃)RX Mapping'!AB28&lt;=480)),
(MOD('(直掃)RX Mapping'!AB28,120)-1),
IF(
(AND('(直掃)RX Mapping'!AB28&gt;=480,'(直掃)RX Mapping'!AB28&lt;=960)),
IF(MOD('(直掃)RX Mapping'!AB28,120)=0, 120, 240-MOD('(直掃)RX Mapping'!AB28,120)),9999))+IF(AND(MOD('(直掃)RX Mapping'!AB28,120)=0, '(直掃)RX Mapping'!AB28 &lt;= 480,  '(直掃)RX Mapping'!AB28 &gt; 0), 120)</f>
        <v>33</v>
      </c>
      <c r="AC28">
        <f>IF(
(AND('(直掃)RX Mapping'!AC28&gt;=0,'(直掃)RX Mapping'!AC28&lt;=480)),
(MOD('(直掃)RX Mapping'!AC28,120)-1),
IF(
(AND('(直掃)RX Mapping'!AC28&gt;=480,'(直掃)RX Mapping'!AC28&lt;=960)),
IF(MOD('(直掃)RX Mapping'!AC28,120)=0, 120, 240-MOD('(直掃)RX Mapping'!AC28,120)),9999))+IF(AND(MOD('(直掃)RX Mapping'!AC28,120)=0, '(直掃)RX Mapping'!AC28 &lt;= 480,  '(直掃)RX Mapping'!AC28 &gt; 0), 120)</f>
        <v>3</v>
      </c>
      <c r="AD28">
        <f>IF(
(AND('(直掃)RX Mapping'!AD28&gt;=0,'(直掃)RX Mapping'!AD28&lt;=480)),
(MOD('(直掃)RX Mapping'!AD28,120)-1),
IF(
(AND('(直掃)RX Mapping'!AD28&gt;=480,'(直掃)RX Mapping'!AD28&lt;=960)),
IF(MOD('(直掃)RX Mapping'!AD28,120)=0, 120, 240-MOD('(直掃)RX Mapping'!AD28,120)),9999))+IF(AND(MOD('(直掃)RX Mapping'!AD28,120)=0, '(直掃)RX Mapping'!AD28 &lt;= 480,  '(直掃)RX Mapping'!AD28 &gt; 0), 120)</f>
        <v>-1</v>
      </c>
      <c r="AE28">
        <f>IF(
(AND('(直掃)RX Mapping'!AE28&gt;=0,'(直掃)RX Mapping'!AE28&lt;=480)),
(MOD('(直掃)RX Mapping'!AE28,120)-1),
IF(
(AND('(直掃)RX Mapping'!AE28&gt;=480,'(直掃)RX Mapping'!AE28&lt;=960)),
IF(MOD('(直掃)RX Mapping'!AE28,120)=0, 120, 240-MOD('(直掃)RX Mapping'!AE28,120)),9999))+IF(AND(MOD('(直掃)RX Mapping'!AE28,120)=0, '(直掃)RX Mapping'!AE28 &lt;= 480,  '(直掃)RX Mapping'!AE28 &gt; 0), 120)</f>
        <v>-1</v>
      </c>
      <c r="AF28">
        <f>IF(
(AND('(直掃)RX Mapping'!AF28&gt;=0,'(直掃)RX Mapping'!AF28&lt;=480)),
(MOD('(直掃)RX Mapping'!AF28,120)-1),
IF(
(AND('(直掃)RX Mapping'!AF28&gt;=480,'(直掃)RX Mapping'!AF28&lt;=960)),
IF(MOD('(直掃)RX Mapping'!AF28,120)=0, 120, 240-MOD('(直掃)RX Mapping'!AF28,120)),9999))+IF(AND(MOD('(直掃)RX Mapping'!AF28,120)=0, '(直掃)RX Mapping'!AF28 &lt;= 480,  '(直掃)RX Mapping'!AF28 &gt; 0), 120)</f>
        <v>-1</v>
      </c>
      <c r="AG28">
        <f>IF(
(AND('(直掃)RX Mapping'!AG28&gt;=0,'(直掃)RX Mapping'!AG28&lt;=480)),
(MOD('(直掃)RX Mapping'!AG28,120)-1),
IF(
(AND('(直掃)RX Mapping'!AG28&gt;=480,'(直掃)RX Mapping'!AG28&lt;=960)),
IF(MOD('(直掃)RX Mapping'!AG28,120)=0, 120, 240-MOD('(直掃)RX Mapping'!AG28,120)),9999))+IF(AND(MOD('(直掃)RX Mapping'!AG28,120)=0, '(直掃)RX Mapping'!AG28 &lt;= 480,  '(直掃)RX Mapping'!AG28 &gt; 0), 120)</f>
        <v>-1</v>
      </c>
      <c r="AH28">
        <f>IF(
(AND('(直掃)RX Mapping'!AH28&gt;=0,'(直掃)RX Mapping'!AH28&lt;=480)),
(MOD('(直掃)RX Mapping'!AH28,120)-1),
IF(
(AND('(直掃)RX Mapping'!AH28&gt;=480,'(直掃)RX Mapping'!AH28&lt;=960)),
IF(MOD('(直掃)RX Mapping'!AH28,120)=0, 120, 240-MOD('(直掃)RX Mapping'!AH28,120)),9999))+IF(AND(MOD('(直掃)RX Mapping'!AH28,120)=0, '(直掃)RX Mapping'!AH28 &lt;= 480,  '(直掃)RX Mapping'!AH28 &gt; 0), 120)</f>
        <v>-1</v>
      </c>
      <c r="AI28">
        <f>IF(
(AND('(直掃)RX Mapping'!AI28&gt;=0,'(直掃)RX Mapping'!AI28&lt;=480)),
(MOD('(直掃)RX Mapping'!AI28,120)-1),
IF(
(AND('(直掃)RX Mapping'!AI28&gt;=480,'(直掃)RX Mapping'!AI28&lt;=960)),
IF(MOD('(直掃)RX Mapping'!AI28,120)=0, 120, 240-MOD('(直掃)RX Mapping'!AI28,120)),9999))+IF(AND(MOD('(直掃)RX Mapping'!AI28,120)=0, '(直掃)RX Mapping'!AI28 &lt;= 480,  '(直掃)RX Mapping'!AI28 &gt; 0), 120)</f>
        <v>-1</v>
      </c>
      <c r="AJ28">
        <f>IF(
(AND('(直掃)RX Mapping'!AJ28&gt;=0,'(直掃)RX Mapping'!AJ28&lt;=480)),
(MOD('(直掃)RX Mapping'!AJ28,120)-1),
IF(
(AND('(直掃)RX Mapping'!AJ28&gt;=480,'(直掃)RX Mapping'!AJ28&lt;=960)),
IF(MOD('(直掃)RX Mapping'!AJ28,120)=0, 120, 240-MOD('(直掃)RX Mapping'!AJ28,120)),9999))+IF(AND(MOD('(直掃)RX Mapping'!AJ28,120)=0, '(直掃)RX Mapping'!AJ28 &lt;= 480,  '(直掃)RX Mapping'!AJ28 &gt; 0), 120)</f>
        <v>-1</v>
      </c>
      <c r="AK28">
        <f>IF(
(AND('(直掃)RX Mapping'!AK28&gt;=0,'(直掃)RX Mapping'!AK28&lt;=480)),
(MOD('(直掃)RX Mapping'!AK28,120)-1),
IF(
(AND('(直掃)RX Mapping'!AK28&gt;=480,'(直掃)RX Mapping'!AK28&lt;=960)),
IF(MOD('(直掃)RX Mapping'!AK28,120)=0, 120, 240-MOD('(直掃)RX Mapping'!AK28,120)),9999))+IF(AND(MOD('(直掃)RX Mapping'!AK28,120)=0, '(直掃)RX Mapping'!AK28 &lt;= 480,  '(直掃)RX Mapping'!AK28 &gt; 0), 120)</f>
        <v>-1</v>
      </c>
      <c r="AL28">
        <f>IF(
(AND('(直掃)RX Mapping'!AL28&gt;=0,'(直掃)RX Mapping'!AL28&lt;=480)),
(MOD('(直掃)RX Mapping'!AL28,120)-1),
IF(
(AND('(直掃)RX Mapping'!AL28&gt;=480,'(直掃)RX Mapping'!AL28&lt;=960)),
IF(MOD('(直掃)RX Mapping'!AL28,120)=0, 120, 240-MOD('(直掃)RX Mapping'!AL28,120)),9999))+IF(AND(MOD('(直掃)RX Mapping'!AL28,120)=0, '(直掃)RX Mapping'!AL28 &lt;= 480,  '(直掃)RX Mapping'!AL28 &gt; 0), 120)</f>
        <v>-1</v>
      </c>
      <c r="AM28">
        <f>IF(
(AND('(直掃)RX Mapping'!AM28&gt;=0,'(直掃)RX Mapping'!AM28&lt;=480)),
(MOD('(直掃)RX Mapping'!AM28,120)-1),
IF(
(AND('(直掃)RX Mapping'!AM28&gt;=480,'(直掃)RX Mapping'!AM28&lt;=960)),
IF(MOD('(直掃)RX Mapping'!AM28,120)=0, 120, 240-MOD('(直掃)RX Mapping'!AM28,120)),9999))+IF(AND(MOD('(直掃)RX Mapping'!AM28,120)=0, '(直掃)RX Mapping'!AM28 &lt;= 480,  '(直掃)RX Mapping'!AM28 &gt; 0), 120)</f>
        <v>-1</v>
      </c>
      <c r="AN28">
        <f>IF(
(AND('(直掃)RX Mapping'!AN28&gt;=0,'(直掃)RX Mapping'!AN28&lt;=480)),
(MOD('(直掃)RX Mapping'!AN28,120)-1),
IF(
(AND('(直掃)RX Mapping'!AN28&gt;=480,'(直掃)RX Mapping'!AN28&lt;=960)),
IF(MOD('(直掃)RX Mapping'!AN28,120)=0, 120, 240-MOD('(直掃)RX Mapping'!AN28,120)),9999))+IF(AND(MOD('(直掃)RX Mapping'!AN28,120)=0, '(直掃)RX Mapping'!AN28 &lt;= 480,  '(直掃)RX Mapping'!AN28 &gt; 0), 120)</f>
        <v>-1</v>
      </c>
      <c r="AO28">
        <f>IF(
(AND('(直掃)RX Mapping'!AO28&gt;=0,'(直掃)RX Mapping'!AO28&lt;=480)),
(MOD('(直掃)RX Mapping'!AO28,120)-1),
IF(
(AND('(直掃)RX Mapping'!AO28&gt;=480,'(直掃)RX Mapping'!AO28&lt;=960)),
IF(MOD('(直掃)RX Mapping'!AO28,120)=0, 120, 240-MOD('(直掃)RX Mapping'!AO28,120)),9999))+IF(AND(MOD('(直掃)RX Mapping'!AO28,120)=0, '(直掃)RX Mapping'!AO28 &lt;= 480,  '(直掃)RX Mapping'!AO28 &gt; 0), 120)</f>
        <v>-1</v>
      </c>
      <c r="AP28">
        <f>IF(
(AND('(直掃)RX Mapping'!AP28&gt;=0,'(直掃)RX Mapping'!AP28&lt;=480)),
(MOD('(直掃)RX Mapping'!AP28,120)-1),
IF(
(AND('(直掃)RX Mapping'!AP28&gt;=480,'(直掃)RX Mapping'!AP28&lt;=960)),
IF(MOD('(直掃)RX Mapping'!AP28,120)=0, 120, 240-MOD('(直掃)RX Mapping'!AP28,120)),9999))+IF(AND(MOD('(直掃)RX Mapping'!AP28,120)=0, '(直掃)RX Mapping'!AP28 &lt;= 480,  '(直掃)RX Mapping'!AP28 &gt; 0), 120)</f>
        <v>-1</v>
      </c>
      <c r="AQ28">
        <f>IF(
(AND('(直掃)RX Mapping'!AQ28&gt;=0,'(直掃)RX Mapping'!AQ28&lt;=480)),
(MOD('(直掃)RX Mapping'!AQ28,120)-1),
IF(
(AND('(直掃)RX Mapping'!AQ28&gt;=480,'(直掃)RX Mapping'!AQ28&lt;=960)),
IF(MOD('(直掃)RX Mapping'!AQ28,120)=0, 120, 240-MOD('(直掃)RX Mapping'!AQ28,120)),9999))+IF(AND(MOD('(直掃)RX Mapping'!AQ28,120)=0, '(直掃)RX Mapping'!AQ28 &lt;= 480,  '(直掃)RX Mapping'!AQ28 &gt; 0), 120)</f>
        <v>-1</v>
      </c>
      <c r="AR28">
        <f>IF(
(AND('(直掃)RX Mapping'!AR28&gt;=0,'(直掃)RX Mapping'!AR28&lt;=480)),
(MOD('(直掃)RX Mapping'!AR28,120)-1),
IF(
(AND('(直掃)RX Mapping'!AR28&gt;=480,'(直掃)RX Mapping'!AR28&lt;=960)),
IF(MOD('(直掃)RX Mapping'!AR28,120)=0, 120, 240-MOD('(直掃)RX Mapping'!AR28,120)),9999))+IF(AND(MOD('(直掃)RX Mapping'!AR28,120)=0, '(直掃)RX Mapping'!AR28 &lt;= 480,  '(直掃)RX Mapping'!AR28 &gt; 0), 120)</f>
        <v>-1</v>
      </c>
      <c r="AS28">
        <f>IF(
(AND('(直掃)RX Mapping'!AS28&gt;=0,'(直掃)RX Mapping'!AS28&lt;=480)),
(MOD('(直掃)RX Mapping'!AS28,120)-1),
IF(
(AND('(直掃)RX Mapping'!AS28&gt;=480,'(直掃)RX Mapping'!AS28&lt;=960)),
IF(MOD('(直掃)RX Mapping'!AS28,120)=0, 120, 240-MOD('(直掃)RX Mapping'!AS28,120)),9999))+IF(AND(MOD('(直掃)RX Mapping'!AS28,120)=0, '(直掃)RX Mapping'!AS28 &lt;= 480,  '(直掃)RX Mapping'!AS28 &gt; 0), 120)</f>
        <v>-1</v>
      </c>
      <c r="AT28">
        <f>IF(AND('(橫掃)RX Mapping'!AT28&gt;=1,'(橫掃)RX Mapping'!AT28&lt;=120), ('(橫掃)RX Mapping'!AT28-1),IF(AND('(橫掃)RX Mapping'!AT28&gt;=121,'(橫掃)RX Mapping'!AT28&lt;=240), (-1)*('(橫掃)RX Mapping'!AT28-240),IF(AND('(橫掃)RX Mapping'!AT28&gt;=241,'(橫掃)RX Mapping'!AT28&lt;=360), ('(橫掃)RX Mapping'!AT28-241),IF(AND('(橫掃)RX Mapping'!AT28&gt;=361,'(橫掃)RX Mapping'!AT28&lt;=480), (-1)*('(橫掃)RX Mapping'!AT28-480),IF(AND('(橫掃)RX Mapping'!AT28&gt;=481,'(橫掃)RX Mapping'!AT28&lt;=600), ('(橫掃)RX Mapping'!AT28-361),IF(AND('(橫掃)RX Mapping'!AT28&gt;=601,'(橫掃)RX Mapping'!AT28&lt;=720), (-1)*('(橫掃)RX Mapping'!AT28-720)+120,IF(AND('(橫掃)RX Mapping'!AT28&gt;=721,'(橫掃)RX Mapping'!AT28&lt;=840), ('(橫掃)RX Mapping'!AT28-601),IF(AND('(橫掃)RX Mapping'!AT28&gt;=841,'(橫掃)RX Mapping'!AT28&lt;=960), (-1)*('(橫掃)RX Mapping'!AT28-960)+120,9999))))))))</f>
        <v>9999</v>
      </c>
      <c r="AU28">
        <f>IF(AND('(橫掃)RX Mapping'!AU28&gt;=1,'(橫掃)RX Mapping'!AU28&lt;=120), ('(橫掃)RX Mapping'!AU28-1),IF(AND('(橫掃)RX Mapping'!AU28&gt;=121,'(橫掃)RX Mapping'!AU28&lt;=240), (-1)*('(橫掃)RX Mapping'!AU28-240),IF(AND('(橫掃)RX Mapping'!AU28&gt;=241,'(橫掃)RX Mapping'!AU28&lt;=360), ('(橫掃)RX Mapping'!AU28-241),IF(AND('(橫掃)RX Mapping'!AU28&gt;=361,'(橫掃)RX Mapping'!AU28&lt;=480), (-1)*('(橫掃)RX Mapping'!AU28-480),IF(AND('(橫掃)RX Mapping'!AU28&gt;=481,'(橫掃)RX Mapping'!AU28&lt;=600), ('(橫掃)RX Mapping'!AU28-361),IF(AND('(橫掃)RX Mapping'!AU28&gt;=601,'(橫掃)RX Mapping'!AU28&lt;=720), (-1)*('(橫掃)RX Mapping'!AU28-720)+120,IF(AND('(橫掃)RX Mapping'!AU28&gt;=721,'(橫掃)RX Mapping'!AU28&lt;=840), ('(橫掃)RX Mapping'!AU28-601),IF(AND('(橫掃)RX Mapping'!AU28&gt;=841,'(橫掃)RX Mapping'!AU28&lt;=960), (-1)*('(橫掃)RX Mapping'!AU28-960)+120,9999))))))))</f>
        <v>9999</v>
      </c>
      <c r="AV28">
        <f>IF(AND('(橫掃)RX Mapping'!AV28&gt;=1,'(橫掃)RX Mapping'!AV28&lt;=120), ('(橫掃)RX Mapping'!AV28-1),IF(AND('(橫掃)RX Mapping'!AV28&gt;=121,'(橫掃)RX Mapping'!AV28&lt;=240), (-1)*('(橫掃)RX Mapping'!AV28-240),IF(AND('(橫掃)RX Mapping'!AV28&gt;=241,'(橫掃)RX Mapping'!AV28&lt;=360), ('(橫掃)RX Mapping'!AV28-241),IF(AND('(橫掃)RX Mapping'!AV28&gt;=361,'(橫掃)RX Mapping'!AV28&lt;=480), (-1)*('(橫掃)RX Mapping'!AV28-480),IF(AND('(橫掃)RX Mapping'!AV28&gt;=481,'(橫掃)RX Mapping'!AV28&lt;=600), ('(橫掃)RX Mapping'!AV28-361),IF(AND('(橫掃)RX Mapping'!AV28&gt;=601,'(橫掃)RX Mapping'!AV28&lt;=720), (-1)*('(橫掃)RX Mapping'!AV28-720)+120,IF(AND('(橫掃)RX Mapping'!AV28&gt;=721,'(橫掃)RX Mapping'!AV28&lt;=840), ('(橫掃)RX Mapping'!AV28-601),IF(AND('(橫掃)RX Mapping'!AV28&gt;=841,'(橫掃)RX Mapping'!AV28&lt;=960), (-1)*('(橫掃)RX Mapping'!AV28-960)+120,9999))))))))</f>
        <v>9999</v>
      </c>
      <c r="AW28">
        <f>IF(AND('(橫掃)RX Mapping'!AW28&gt;=1,'(橫掃)RX Mapping'!AW28&lt;=120), ('(橫掃)RX Mapping'!AW28-1),IF(AND('(橫掃)RX Mapping'!AW28&gt;=121,'(橫掃)RX Mapping'!AW28&lt;=240), (-1)*('(橫掃)RX Mapping'!AW28-240),IF(AND('(橫掃)RX Mapping'!AW28&gt;=241,'(橫掃)RX Mapping'!AW28&lt;=360), ('(橫掃)RX Mapping'!AW28-241),IF(AND('(橫掃)RX Mapping'!AW28&gt;=361,'(橫掃)RX Mapping'!AW28&lt;=480), (-1)*('(橫掃)RX Mapping'!AW28-480),IF(AND('(橫掃)RX Mapping'!AW28&gt;=481,'(橫掃)RX Mapping'!AW28&lt;=600), ('(橫掃)RX Mapping'!AW28-361),IF(AND('(橫掃)RX Mapping'!AW28&gt;=601,'(橫掃)RX Mapping'!AW28&lt;=720), (-1)*('(橫掃)RX Mapping'!AW28-720)+120,IF(AND('(橫掃)RX Mapping'!AW28&gt;=721,'(橫掃)RX Mapping'!AW28&lt;=840), ('(橫掃)RX Mapping'!AW28-601),IF(AND('(橫掃)RX Mapping'!AW28&gt;=841,'(橫掃)RX Mapping'!AW28&lt;=960), (-1)*('(橫掃)RX Mapping'!AW28-960)+120,9999))))))))</f>
        <v>9999</v>
      </c>
      <c r="AX28">
        <f>IF(AND('(橫掃)RX Mapping'!AX28&gt;=1,'(橫掃)RX Mapping'!AX28&lt;=120), ('(橫掃)RX Mapping'!AX28-1),IF(AND('(橫掃)RX Mapping'!AX28&gt;=121,'(橫掃)RX Mapping'!AX28&lt;=240), (-1)*('(橫掃)RX Mapping'!AX28-240),IF(AND('(橫掃)RX Mapping'!AX28&gt;=241,'(橫掃)RX Mapping'!AX28&lt;=360), ('(橫掃)RX Mapping'!AX28-241),IF(AND('(橫掃)RX Mapping'!AX28&gt;=361,'(橫掃)RX Mapping'!AX28&lt;=480), (-1)*('(橫掃)RX Mapping'!AX28-480),IF(AND('(橫掃)RX Mapping'!AX28&gt;=481,'(橫掃)RX Mapping'!AX28&lt;=600), ('(橫掃)RX Mapping'!AX28-361),IF(AND('(橫掃)RX Mapping'!AX28&gt;=601,'(橫掃)RX Mapping'!AX28&lt;=720), (-1)*('(橫掃)RX Mapping'!AX28-720)+120,IF(AND('(橫掃)RX Mapping'!AX28&gt;=721,'(橫掃)RX Mapping'!AX28&lt;=840), ('(橫掃)RX Mapping'!AX28-601),IF(AND('(橫掃)RX Mapping'!AX28&gt;=841,'(橫掃)RX Mapping'!AX28&lt;=960), (-1)*('(橫掃)RX Mapping'!AX28-960)+120,9999))))))))</f>
        <v>9999</v>
      </c>
      <c r="AY28">
        <f>IF(AND('(橫掃)RX Mapping'!AY28&gt;=1,'(橫掃)RX Mapping'!AY28&lt;=120), ('(橫掃)RX Mapping'!AY28-1),IF(AND('(橫掃)RX Mapping'!AY28&gt;=121,'(橫掃)RX Mapping'!AY28&lt;=240), (-1)*('(橫掃)RX Mapping'!AY28-240),IF(AND('(橫掃)RX Mapping'!AY28&gt;=241,'(橫掃)RX Mapping'!AY28&lt;=360), ('(橫掃)RX Mapping'!AY28-241),IF(AND('(橫掃)RX Mapping'!AY28&gt;=361,'(橫掃)RX Mapping'!AY28&lt;=480), (-1)*('(橫掃)RX Mapping'!AY28-480),IF(AND('(橫掃)RX Mapping'!AY28&gt;=481,'(橫掃)RX Mapping'!AY28&lt;=600), ('(橫掃)RX Mapping'!AY28-361),IF(AND('(橫掃)RX Mapping'!AY28&gt;=601,'(橫掃)RX Mapping'!AY28&lt;=720), (-1)*('(橫掃)RX Mapping'!AY28-720)+120,IF(AND('(橫掃)RX Mapping'!AY28&gt;=721,'(橫掃)RX Mapping'!AY28&lt;=840), ('(橫掃)RX Mapping'!AY28-601),IF(AND('(橫掃)RX Mapping'!AY28&gt;=841,'(橫掃)RX Mapping'!AY28&lt;=960), (-1)*('(橫掃)RX Mapping'!AY28-960)+120,9999))))))))</f>
        <v>9999</v>
      </c>
      <c r="AZ28">
        <f>IF(AND('(橫掃)RX Mapping'!AZ28&gt;=1,'(橫掃)RX Mapping'!AZ28&lt;=120), ('(橫掃)RX Mapping'!AZ28-1),IF(AND('(橫掃)RX Mapping'!AZ28&gt;=121,'(橫掃)RX Mapping'!AZ28&lt;=240), (-1)*('(橫掃)RX Mapping'!AZ28-240),IF(AND('(橫掃)RX Mapping'!AZ28&gt;=241,'(橫掃)RX Mapping'!AZ28&lt;=360), ('(橫掃)RX Mapping'!AZ28-241),IF(AND('(橫掃)RX Mapping'!AZ28&gt;=361,'(橫掃)RX Mapping'!AZ28&lt;=480), (-1)*('(橫掃)RX Mapping'!AZ28-480),IF(AND('(橫掃)RX Mapping'!AZ28&gt;=481,'(橫掃)RX Mapping'!AZ28&lt;=600), ('(橫掃)RX Mapping'!AZ28-361),IF(AND('(橫掃)RX Mapping'!AZ28&gt;=601,'(橫掃)RX Mapping'!AZ28&lt;=720), (-1)*('(橫掃)RX Mapping'!AZ28-720)+120,IF(AND('(橫掃)RX Mapping'!AZ28&gt;=721,'(橫掃)RX Mapping'!AZ28&lt;=840), ('(橫掃)RX Mapping'!AZ28-601),IF(AND('(橫掃)RX Mapping'!AZ28&gt;=841,'(橫掃)RX Mapping'!AZ28&lt;=960), (-1)*('(橫掃)RX Mapping'!AZ28-960)+120,9999))))))))</f>
        <v>9999</v>
      </c>
      <c r="BA28">
        <f>IF(AND('(橫掃)RX Mapping'!BA28&gt;=1,'(橫掃)RX Mapping'!BA28&lt;=120), ('(橫掃)RX Mapping'!BA28-1),IF(AND('(橫掃)RX Mapping'!BA28&gt;=121,'(橫掃)RX Mapping'!BA28&lt;=240), (-1)*('(橫掃)RX Mapping'!BA28-240),IF(AND('(橫掃)RX Mapping'!BA28&gt;=241,'(橫掃)RX Mapping'!BA28&lt;=360), ('(橫掃)RX Mapping'!BA28-241),IF(AND('(橫掃)RX Mapping'!BA28&gt;=361,'(橫掃)RX Mapping'!BA28&lt;=480), (-1)*('(橫掃)RX Mapping'!BA28-480),IF(AND('(橫掃)RX Mapping'!BA28&gt;=481,'(橫掃)RX Mapping'!BA28&lt;=600), ('(橫掃)RX Mapping'!BA28-361),IF(AND('(橫掃)RX Mapping'!BA28&gt;=601,'(橫掃)RX Mapping'!BA28&lt;=720), (-1)*('(橫掃)RX Mapping'!BA28-720)+120,IF(AND('(橫掃)RX Mapping'!BA28&gt;=721,'(橫掃)RX Mapping'!BA28&lt;=840), ('(橫掃)RX Mapping'!BA28-601),IF(AND('(橫掃)RX Mapping'!BA28&gt;=841,'(橫掃)RX Mapping'!BA28&lt;=960), (-1)*('(橫掃)RX Mapping'!BA28-960)+120,9999))))))))</f>
        <v>9999</v>
      </c>
      <c r="BB28">
        <f>IF(AND('(橫掃)RX Mapping'!BB28&gt;=1,'(橫掃)RX Mapping'!BB28&lt;=120), ('(橫掃)RX Mapping'!BB28-1),IF(AND('(橫掃)RX Mapping'!BB28&gt;=121,'(橫掃)RX Mapping'!BB28&lt;=240), (-1)*('(橫掃)RX Mapping'!BB28-240),IF(AND('(橫掃)RX Mapping'!BB28&gt;=241,'(橫掃)RX Mapping'!BB28&lt;=360), ('(橫掃)RX Mapping'!BB28-241),IF(AND('(橫掃)RX Mapping'!BB28&gt;=361,'(橫掃)RX Mapping'!BB28&lt;=480), (-1)*('(橫掃)RX Mapping'!BB28-480),IF(AND('(橫掃)RX Mapping'!BB28&gt;=481,'(橫掃)RX Mapping'!BB28&lt;=600), ('(橫掃)RX Mapping'!BB28-361),IF(AND('(橫掃)RX Mapping'!BB28&gt;=601,'(橫掃)RX Mapping'!BB28&lt;=720), (-1)*('(橫掃)RX Mapping'!BB28-720)+120,IF(AND('(橫掃)RX Mapping'!BB28&gt;=721,'(橫掃)RX Mapping'!BB28&lt;=840), ('(橫掃)RX Mapping'!BB28-601),IF(AND('(橫掃)RX Mapping'!BB28&gt;=841,'(橫掃)RX Mapping'!BB28&lt;=960), (-1)*('(橫掃)RX Mapping'!BB28-960)+120,9999))))))))</f>
        <v>9999</v>
      </c>
      <c r="BC28">
        <f>IF(AND('(橫掃)RX Mapping'!BC28&gt;=1,'(橫掃)RX Mapping'!BC28&lt;=120), ('(橫掃)RX Mapping'!BC28-1),IF(AND('(橫掃)RX Mapping'!BC28&gt;=121,'(橫掃)RX Mapping'!BC28&lt;=240), (-1)*('(橫掃)RX Mapping'!BC28-240),IF(AND('(橫掃)RX Mapping'!BC28&gt;=241,'(橫掃)RX Mapping'!BC28&lt;=360), ('(橫掃)RX Mapping'!BC28-241),IF(AND('(橫掃)RX Mapping'!BC28&gt;=361,'(橫掃)RX Mapping'!BC28&lt;=480), (-1)*('(橫掃)RX Mapping'!BC28-480),IF(AND('(橫掃)RX Mapping'!BC28&gt;=481,'(橫掃)RX Mapping'!BC28&lt;=600), ('(橫掃)RX Mapping'!BC28-361),IF(AND('(橫掃)RX Mapping'!BC28&gt;=601,'(橫掃)RX Mapping'!BC28&lt;=720), (-1)*('(橫掃)RX Mapping'!BC28-720)+120,IF(AND('(橫掃)RX Mapping'!BC28&gt;=721,'(橫掃)RX Mapping'!BC28&lt;=840), ('(橫掃)RX Mapping'!BC28-601),IF(AND('(橫掃)RX Mapping'!BC28&gt;=841,'(橫掃)RX Mapping'!BC28&lt;=960), (-1)*('(橫掃)RX Mapping'!BC28-960)+120,9999))))))))</f>
        <v>9999</v>
      </c>
      <c r="BD28">
        <f>IF(AND('(橫掃)RX Mapping'!BD28&gt;=1,'(橫掃)RX Mapping'!BD28&lt;=120), ('(橫掃)RX Mapping'!BD28-1),IF(AND('(橫掃)RX Mapping'!BD28&gt;=121,'(橫掃)RX Mapping'!BD28&lt;=240), (-1)*('(橫掃)RX Mapping'!BD28-240),IF(AND('(橫掃)RX Mapping'!BD28&gt;=241,'(橫掃)RX Mapping'!BD28&lt;=360), ('(橫掃)RX Mapping'!BD28-241),IF(AND('(橫掃)RX Mapping'!BD28&gt;=361,'(橫掃)RX Mapping'!BD28&lt;=480), (-1)*('(橫掃)RX Mapping'!BD28-480),IF(AND('(橫掃)RX Mapping'!BD28&gt;=481,'(橫掃)RX Mapping'!BD28&lt;=600), ('(橫掃)RX Mapping'!BD28-361),IF(AND('(橫掃)RX Mapping'!BD28&gt;=601,'(橫掃)RX Mapping'!BD28&lt;=720), (-1)*('(橫掃)RX Mapping'!BD28-720)+120,IF(AND('(橫掃)RX Mapping'!BD28&gt;=721,'(橫掃)RX Mapping'!BD28&lt;=840), ('(橫掃)RX Mapping'!BD28-601),IF(AND('(橫掃)RX Mapping'!BD28&gt;=841,'(橫掃)RX Mapping'!BD28&lt;=960), (-1)*('(橫掃)RX Mapping'!BD28-960)+120,9999))))))))</f>
        <v>9999</v>
      </c>
      <c r="BE28">
        <f>IF(AND('(橫掃)RX Mapping'!BE28&gt;=1,'(橫掃)RX Mapping'!BE28&lt;=120), ('(橫掃)RX Mapping'!BE28-1),IF(AND('(橫掃)RX Mapping'!BE28&gt;=121,'(橫掃)RX Mapping'!BE28&lt;=240), (-1)*('(橫掃)RX Mapping'!BE28-240),IF(AND('(橫掃)RX Mapping'!BE28&gt;=241,'(橫掃)RX Mapping'!BE28&lt;=360), ('(橫掃)RX Mapping'!BE28-241),IF(AND('(橫掃)RX Mapping'!BE28&gt;=361,'(橫掃)RX Mapping'!BE28&lt;=480), (-1)*('(橫掃)RX Mapping'!BE28-480),IF(AND('(橫掃)RX Mapping'!BE28&gt;=481,'(橫掃)RX Mapping'!BE28&lt;=600), ('(橫掃)RX Mapping'!BE28-361),IF(AND('(橫掃)RX Mapping'!BE28&gt;=601,'(橫掃)RX Mapping'!BE28&lt;=720), (-1)*('(橫掃)RX Mapping'!BE28-720)+120,IF(AND('(橫掃)RX Mapping'!BE28&gt;=721,'(橫掃)RX Mapping'!BE28&lt;=840), ('(橫掃)RX Mapping'!BE28-601),IF(AND('(橫掃)RX Mapping'!BE28&gt;=841,'(橫掃)RX Mapping'!BE28&lt;=960), (-1)*('(橫掃)RX Mapping'!BE28-960)+120,9999))))))))</f>
        <v>9999</v>
      </c>
      <c r="BF28">
        <f>IF(AND('(橫掃)RX Mapping'!BF28&gt;=1,'(橫掃)RX Mapping'!BF28&lt;=120), ('(橫掃)RX Mapping'!BF28-1),IF(AND('(橫掃)RX Mapping'!BF28&gt;=121,'(橫掃)RX Mapping'!BF28&lt;=240), (-1)*('(橫掃)RX Mapping'!BF28-240),IF(AND('(橫掃)RX Mapping'!BF28&gt;=241,'(橫掃)RX Mapping'!BF28&lt;=360), ('(橫掃)RX Mapping'!BF28-241),IF(AND('(橫掃)RX Mapping'!BF28&gt;=361,'(橫掃)RX Mapping'!BF28&lt;=480), (-1)*('(橫掃)RX Mapping'!BF28-480),IF(AND('(橫掃)RX Mapping'!BF28&gt;=481,'(橫掃)RX Mapping'!BF28&lt;=600), ('(橫掃)RX Mapping'!BF28-361),IF(AND('(橫掃)RX Mapping'!BF28&gt;=601,'(橫掃)RX Mapping'!BF28&lt;=720), (-1)*('(橫掃)RX Mapping'!BF28-720)+120,IF(AND('(橫掃)RX Mapping'!BF28&gt;=721,'(橫掃)RX Mapping'!BF28&lt;=840), ('(橫掃)RX Mapping'!BF28-601),IF(AND('(橫掃)RX Mapping'!BF28&gt;=841,'(橫掃)RX Mapping'!BF28&lt;=960), (-1)*('(橫掃)RX Mapping'!BF28-960)+120,9999))))))))</f>
        <v>9999</v>
      </c>
      <c r="BG28">
        <f>IF(AND('(橫掃)RX Mapping'!BG28&gt;=1,'(橫掃)RX Mapping'!BG28&lt;=120), ('(橫掃)RX Mapping'!BG28-1),IF(AND('(橫掃)RX Mapping'!BG28&gt;=121,'(橫掃)RX Mapping'!BG28&lt;=240), (-1)*('(橫掃)RX Mapping'!BG28-240),IF(AND('(橫掃)RX Mapping'!BG28&gt;=241,'(橫掃)RX Mapping'!BG28&lt;=360), ('(橫掃)RX Mapping'!BG28-241),IF(AND('(橫掃)RX Mapping'!BG28&gt;=361,'(橫掃)RX Mapping'!BG28&lt;=480), (-1)*('(橫掃)RX Mapping'!BG28-480),IF(AND('(橫掃)RX Mapping'!BG28&gt;=481,'(橫掃)RX Mapping'!BG28&lt;=600), ('(橫掃)RX Mapping'!BG28-361),IF(AND('(橫掃)RX Mapping'!BG28&gt;=601,'(橫掃)RX Mapping'!BG28&lt;=720), (-1)*('(橫掃)RX Mapping'!BG28-720)+120,IF(AND('(橫掃)RX Mapping'!BG28&gt;=721,'(橫掃)RX Mapping'!BG28&lt;=840), ('(橫掃)RX Mapping'!BG28-601),IF(AND('(橫掃)RX Mapping'!BG28&gt;=841,'(橫掃)RX Mapping'!BG28&lt;=960), (-1)*('(橫掃)RX Mapping'!BG28-960)+120,9999))))))))</f>
        <v>9999</v>
      </c>
      <c r="BH28">
        <f>IF(AND('(橫掃)RX Mapping'!BH28&gt;=1,'(橫掃)RX Mapping'!BH28&lt;=120), ('(橫掃)RX Mapping'!BH28-1),IF(AND('(橫掃)RX Mapping'!BH28&gt;=121,'(橫掃)RX Mapping'!BH28&lt;=240), (-1)*('(橫掃)RX Mapping'!BH28-240),IF(AND('(橫掃)RX Mapping'!BH28&gt;=241,'(橫掃)RX Mapping'!BH28&lt;=360), ('(橫掃)RX Mapping'!BH28-241),IF(AND('(橫掃)RX Mapping'!BH28&gt;=361,'(橫掃)RX Mapping'!BH28&lt;=480), (-1)*('(橫掃)RX Mapping'!BH28-480),IF(AND('(橫掃)RX Mapping'!BH28&gt;=481,'(橫掃)RX Mapping'!BH28&lt;=600), ('(橫掃)RX Mapping'!BH28-361),IF(AND('(橫掃)RX Mapping'!BH28&gt;=601,'(橫掃)RX Mapping'!BH28&lt;=720), (-1)*('(橫掃)RX Mapping'!BH28-720)+120,IF(AND('(橫掃)RX Mapping'!BH28&gt;=721,'(橫掃)RX Mapping'!BH28&lt;=840), ('(橫掃)RX Mapping'!BH28-601),IF(AND('(橫掃)RX Mapping'!BH28&gt;=841,'(橫掃)RX Mapping'!BH28&lt;=960), (-1)*('(橫掃)RX Mapping'!BH28-960)+120,9999))))))))</f>
        <v>9999</v>
      </c>
      <c r="BI28">
        <f>IF(AND('(橫掃)RX Mapping'!BI28&gt;=1,'(橫掃)RX Mapping'!BI28&lt;=120), ('(橫掃)RX Mapping'!BI28-1),IF(AND('(橫掃)RX Mapping'!BI28&gt;=121,'(橫掃)RX Mapping'!BI28&lt;=240), (-1)*('(橫掃)RX Mapping'!BI28-240),IF(AND('(橫掃)RX Mapping'!BI28&gt;=241,'(橫掃)RX Mapping'!BI28&lt;=360), ('(橫掃)RX Mapping'!BI28-241),IF(AND('(橫掃)RX Mapping'!BI28&gt;=361,'(橫掃)RX Mapping'!BI28&lt;=480), (-1)*('(橫掃)RX Mapping'!BI28-480),IF(AND('(橫掃)RX Mapping'!BI28&gt;=481,'(橫掃)RX Mapping'!BI28&lt;=600), ('(橫掃)RX Mapping'!BI28-361),IF(AND('(橫掃)RX Mapping'!BI28&gt;=601,'(橫掃)RX Mapping'!BI28&lt;=720), (-1)*('(橫掃)RX Mapping'!BI28-720)+120,IF(AND('(橫掃)RX Mapping'!BI28&gt;=721,'(橫掃)RX Mapping'!BI28&lt;=840), ('(橫掃)RX Mapping'!BI28-601),IF(AND('(橫掃)RX Mapping'!BI28&gt;=841,'(橫掃)RX Mapping'!BI28&lt;=960), (-1)*('(橫掃)RX Mapping'!BI28-960)+120,9999))))))))</f>
        <v>9999</v>
      </c>
    </row>
    <row r="29" spans="1:61" x14ac:dyDescent="0.25">
      <c r="A29" s="20">
        <v>28</v>
      </c>
      <c r="B29">
        <f>IF(
(AND('(直掃)RX Mapping'!B29&gt;=0,'(直掃)RX Mapping'!B29&lt;=480)),
(MOD('(直掃)RX Mapping'!B29,120)-1),
IF(
(AND('(直掃)RX Mapping'!B29&gt;=480,'(直掃)RX Mapping'!B29&lt;=960)),
IF(MOD('(直掃)RX Mapping'!B29,120)=0, 120, 240-MOD('(直掃)RX Mapping'!B29,120)),9999))+IF(AND(MOD('(直掃)RX Mapping'!B29,120)=0, '(直掃)RX Mapping'!B29 &lt;= 480,  '(直掃)RX Mapping'!B29 &gt; 0), 120)</f>
        <v>147</v>
      </c>
      <c r="C29">
        <f>IF(
(AND('(直掃)RX Mapping'!C29&gt;=0,'(直掃)RX Mapping'!C29&lt;=480)),
(MOD('(直掃)RX Mapping'!C29,120)-1),
IF(
(AND('(直掃)RX Mapping'!C29&gt;=480,'(直掃)RX Mapping'!C29&lt;=960)),
IF(MOD('(直掃)RX Mapping'!C29,120)=0, 120, 240-MOD('(直掃)RX Mapping'!C29,120)),9999))+IF(AND(MOD('(直掃)RX Mapping'!C29,120)=0, '(直掃)RX Mapping'!C29 &lt;= 480,  '(直掃)RX Mapping'!C29 &gt; 0), 120)</f>
        <v>177</v>
      </c>
      <c r="D29">
        <f>IF(
(AND('(直掃)RX Mapping'!D29&gt;=0,'(直掃)RX Mapping'!D29&lt;=480)),
(MOD('(直掃)RX Mapping'!D29,120)-1),
IF(
(AND('(直掃)RX Mapping'!D29&gt;=480,'(直掃)RX Mapping'!D29&lt;=960)),
IF(MOD('(直掃)RX Mapping'!D29,120)=0, 120, 240-MOD('(直掃)RX Mapping'!D29,120)),9999))+IF(AND(MOD('(直掃)RX Mapping'!D29,120)=0, '(直掃)RX Mapping'!D29 &lt;= 480,  '(直掃)RX Mapping'!D29 &gt; 0), 120)</f>
        <v>207</v>
      </c>
      <c r="E29">
        <f>IF(
(AND('(直掃)RX Mapping'!E29&gt;=0,'(直掃)RX Mapping'!E29&lt;=480)),
(MOD('(直掃)RX Mapping'!E29,120)-1),
IF(
(AND('(直掃)RX Mapping'!E29&gt;=480,'(直掃)RX Mapping'!E29&lt;=960)),
IF(MOD('(直掃)RX Mapping'!E29,120)=0, 120, 240-MOD('(直掃)RX Mapping'!E29,120)),9999))+IF(AND(MOD('(直掃)RX Mapping'!E29,120)=0, '(直掃)RX Mapping'!E29 &lt;= 480,  '(直掃)RX Mapping'!E29 &gt; 0), 120)</f>
        <v>147</v>
      </c>
      <c r="F29">
        <f>IF(
(AND('(直掃)RX Mapping'!F29&gt;=0,'(直掃)RX Mapping'!F29&lt;=480)),
(MOD('(直掃)RX Mapping'!F29,120)-1),
IF(
(AND('(直掃)RX Mapping'!F29&gt;=480,'(直掃)RX Mapping'!F29&lt;=960)),
IF(MOD('(直掃)RX Mapping'!F29,120)=0, 120, 240-MOD('(直掃)RX Mapping'!F29,120)),9999))+IF(AND(MOD('(直掃)RX Mapping'!F29,120)=0, '(直掃)RX Mapping'!F29 &lt;= 480,  '(直掃)RX Mapping'!F29 &gt; 0), 120)</f>
        <v>177</v>
      </c>
      <c r="G29">
        <f>IF(
(AND('(直掃)RX Mapping'!G29&gt;=0,'(直掃)RX Mapping'!G29&lt;=480)),
(MOD('(直掃)RX Mapping'!G29,120)-1),
IF(
(AND('(直掃)RX Mapping'!G29&gt;=480,'(直掃)RX Mapping'!G29&lt;=960)),
IF(MOD('(直掃)RX Mapping'!G29,120)=0, 120, 240-MOD('(直掃)RX Mapping'!G29,120)),9999))+IF(AND(MOD('(直掃)RX Mapping'!G29,120)=0, '(直掃)RX Mapping'!G29 &lt;= 480,  '(直掃)RX Mapping'!G29 &gt; 0), 120)</f>
        <v>207</v>
      </c>
      <c r="H29">
        <f>IF(
(AND('(直掃)RX Mapping'!H29&gt;=0,'(直掃)RX Mapping'!H29&lt;=480)),
(MOD('(直掃)RX Mapping'!H29,120)-1),
IF(
(AND('(直掃)RX Mapping'!H29&gt;=480,'(直掃)RX Mapping'!H29&lt;=960)),
IF(MOD('(直掃)RX Mapping'!H29,120)=0, 120, 240-MOD('(直掃)RX Mapping'!H29,120)),9999))+IF(AND(MOD('(直掃)RX Mapping'!H29,120)=0, '(直掃)RX Mapping'!H29 &lt;= 480,  '(直掃)RX Mapping'!H29 &gt; 0), 120)</f>
        <v>147</v>
      </c>
      <c r="I29">
        <f>IF(
(AND('(直掃)RX Mapping'!I29&gt;=0,'(直掃)RX Mapping'!I29&lt;=480)),
(MOD('(直掃)RX Mapping'!I29,120)-1),
IF(
(AND('(直掃)RX Mapping'!I29&gt;=480,'(直掃)RX Mapping'!I29&lt;=960)),
IF(MOD('(直掃)RX Mapping'!I29,120)=0, 120, 240-MOD('(直掃)RX Mapping'!I29,120)),9999))+IF(AND(MOD('(直掃)RX Mapping'!I29,120)=0, '(直掃)RX Mapping'!I29 &lt;= 480,  '(直掃)RX Mapping'!I29 &gt; 0), 120)</f>
        <v>177</v>
      </c>
      <c r="J29">
        <f>IF(
(AND('(直掃)RX Mapping'!J29&gt;=0,'(直掃)RX Mapping'!J29&lt;=480)),
(MOD('(直掃)RX Mapping'!J29,120)-1),
IF(
(AND('(直掃)RX Mapping'!J29&gt;=480,'(直掃)RX Mapping'!J29&lt;=960)),
IF(MOD('(直掃)RX Mapping'!J29,120)=0, 120, 240-MOD('(直掃)RX Mapping'!J29,120)),9999))+IF(AND(MOD('(直掃)RX Mapping'!J29,120)=0, '(直掃)RX Mapping'!J29 &lt;= 480,  '(直掃)RX Mapping'!J29 &gt; 0), 120)</f>
        <v>207</v>
      </c>
      <c r="K29">
        <f>IF(
(AND('(直掃)RX Mapping'!K29&gt;=0,'(直掃)RX Mapping'!K29&lt;=480)),
(MOD('(直掃)RX Mapping'!K29,120)-1),
IF(
(AND('(直掃)RX Mapping'!K29&gt;=480,'(直掃)RX Mapping'!K29&lt;=960)),
IF(MOD('(直掃)RX Mapping'!K29,120)=0, 120, 240-MOD('(直掃)RX Mapping'!K29,120)),9999))+IF(AND(MOD('(直掃)RX Mapping'!K29,120)=0, '(直掃)RX Mapping'!K29 &lt;= 480,  '(直掃)RX Mapping'!K29 &gt; 0), 120)</f>
        <v>237</v>
      </c>
      <c r="L29">
        <f>IF(
(AND('(直掃)RX Mapping'!L29&gt;=0,'(直掃)RX Mapping'!L29&lt;=480)),
(MOD('(直掃)RX Mapping'!L29,120)-1),
IF(
(AND('(直掃)RX Mapping'!L29&gt;=480,'(直掃)RX Mapping'!L29&lt;=960)),
IF(MOD('(直掃)RX Mapping'!L29,120)=0, 120, 240-MOD('(直掃)RX Mapping'!L29,120)),9999))+IF(AND(MOD('(直掃)RX Mapping'!L29,120)=0, '(直掃)RX Mapping'!L29 &lt;= 480,  '(直掃)RX Mapping'!L29 &gt; 0), 120)</f>
        <v>147</v>
      </c>
      <c r="M29">
        <f>IF(
(AND('(直掃)RX Mapping'!M29&gt;=0,'(直掃)RX Mapping'!M29&lt;=480)),
(MOD('(直掃)RX Mapping'!M29,120)-1),
IF(
(AND('(直掃)RX Mapping'!M29&gt;=480,'(直掃)RX Mapping'!M29&lt;=960)),
IF(MOD('(直掃)RX Mapping'!M29,120)=0, 120, 240-MOD('(直掃)RX Mapping'!M29,120)),9999))+IF(AND(MOD('(直掃)RX Mapping'!M29,120)=0, '(直掃)RX Mapping'!M29 &lt;= 480,  '(直掃)RX Mapping'!M29 &gt; 0), 120)</f>
        <v>177</v>
      </c>
      <c r="N29">
        <f>IF(
(AND('(直掃)RX Mapping'!N29&gt;=0,'(直掃)RX Mapping'!N29&lt;=480)),
(MOD('(直掃)RX Mapping'!N29,120)-1),
IF(
(AND('(直掃)RX Mapping'!N29&gt;=480,'(直掃)RX Mapping'!N29&lt;=960)),
IF(MOD('(直掃)RX Mapping'!N29,120)=0, 120, 240-MOD('(直掃)RX Mapping'!N29,120)),9999))+IF(AND(MOD('(直掃)RX Mapping'!N29,120)=0, '(直掃)RX Mapping'!N29 &lt;= 480,  '(直掃)RX Mapping'!N29 &gt; 0), 120)</f>
        <v>207</v>
      </c>
      <c r="O29">
        <f>IF(
(AND('(直掃)RX Mapping'!O29&gt;=0,'(直掃)RX Mapping'!O29&lt;=480)),
(MOD('(直掃)RX Mapping'!O29,120)-1),
IF(
(AND('(直掃)RX Mapping'!O29&gt;=480,'(直掃)RX Mapping'!O29&lt;=960)),
IF(MOD('(直掃)RX Mapping'!O29,120)=0, 120, 240-MOD('(直掃)RX Mapping'!O29,120)),9999))+IF(AND(MOD('(直掃)RX Mapping'!O29,120)=0, '(直掃)RX Mapping'!O29 &lt;= 480,  '(直掃)RX Mapping'!O29 &gt; 0), 120)</f>
        <v>237</v>
      </c>
      <c r="P29">
        <f>IF(
(AND('(直掃)RX Mapping'!P29&gt;=0,'(直掃)RX Mapping'!P29&lt;=480)),
(MOD('(直掃)RX Mapping'!P29,120)-1),
IF(
(AND('(直掃)RX Mapping'!P29&gt;=480,'(直掃)RX Mapping'!P29&lt;=960)),
IF(MOD('(直掃)RX Mapping'!P29,120)=0, 120, 240-MOD('(直掃)RX Mapping'!P29,120)),9999))+IF(AND(MOD('(直掃)RX Mapping'!P29,120)=0, '(直掃)RX Mapping'!P29 &lt;= 480,  '(直掃)RX Mapping'!P29 &gt; 0), 120)</f>
        <v>92</v>
      </c>
      <c r="Q29">
        <f>IF(
(AND('(直掃)RX Mapping'!Q29&gt;=0,'(直掃)RX Mapping'!Q29&lt;=480)),
(MOD('(直掃)RX Mapping'!Q29,120)-1),
IF(
(AND('(直掃)RX Mapping'!Q29&gt;=480,'(直掃)RX Mapping'!Q29&lt;=960)),
IF(MOD('(直掃)RX Mapping'!Q29,120)=0, 120, 240-MOD('(直掃)RX Mapping'!Q29,120)),9999))+IF(AND(MOD('(直掃)RX Mapping'!Q29,120)=0, '(直掃)RX Mapping'!Q29 &lt;= 480,  '(直掃)RX Mapping'!Q29 &gt; 0), 120)</f>
        <v>62</v>
      </c>
      <c r="R29">
        <f>IF(
(AND('(直掃)RX Mapping'!R29&gt;=0,'(直掃)RX Mapping'!R29&lt;=480)),
(MOD('(直掃)RX Mapping'!R29,120)-1),
IF(
(AND('(直掃)RX Mapping'!R29&gt;=480,'(直掃)RX Mapping'!R29&lt;=960)),
IF(MOD('(直掃)RX Mapping'!R29,120)=0, 120, 240-MOD('(直掃)RX Mapping'!R29,120)),9999))+IF(AND(MOD('(直掃)RX Mapping'!R29,120)=0, '(直掃)RX Mapping'!R29 &lt;= 480,  '(直掃)RX Mapping'!R29 &gt; 0), 120)</f>
        <v>32</v>
      </c>
      <c r="S29">
        <f>IF(
(AND('(直掃)RX Mapping'!S29&gt;=0,'(直掃)RX Mapping'!S29&lt;=480)),
(MOD('(直掃)RX Mapping'!S29,120)-1),
IF(
(AND('(直掃)RX Mapping'!S29&gt;=480,'(直掃)RX Mapping'!S29&lt;=960)),
IF(MOD('(直掃)RX Mapping'!S29,120)=0, 120, 240-MOD('(直掃)RX Mapping'!S29,120)),9999))+IF(AND(MOD('(直掃)RX Mapping'!S29,120)=0, '(直掃)RX Mapping'!S29 &lt;= 480,  '(直掃)RX Mapping'!S29 &gt; 0), 120)</f>
        <v>2</v>
      </c>
      <c r="T29">
        <f>IF(
(AND('(直掃)RX Mapping'!T29&gt;=0,'(直掃)RX Mapping'!T29&lt;=480)),
(MOD('(直掃)RX Mapping'!T29,120)-1),
IF(
(AND('(直掃)RX Mapping'!T29&gt;=480,'(直掃)RX Mapping'!T29&lt;=960)),
IF(MOD('(直掃)RX Mapping'!T29,120)=0, 120, 240-MOD('(直掃)RX Mapping'!T29,120)),9999))+IF(AND(MOD('(直掃)RX Mapping'!T29,120)=0, '(直掃)RX Mapping'!T29 &lt;= 480,  '(直掃)RX Mapping'!T29 &gt; 0), 120)</f>
        <v>92</v>
      </c>
      <c r="U29">
        <f>IF(
(AND('(直掃)RX Mapping'!U29&gt;=0,'(直掃)RX Mapping'!U29&lt;=480)),
(MOD('(直掃)RX Mapping'!U29,120)-1),
IF(
(AND('(直掃)RX Mapping'!U29&gt;=480,'(直掃)RX Mapping'!U29&lt;=960)),
IF(MOD('(直掃)RX Mapping'!U29,120)=0, 120, 240-MOD('(直掃)RX Mapping'!U29,120)),9999))+IF(AND(MOD('(直掃)RX Mapping'!U29,120)=0, '(直掃)RX Mapping'!U29 &lt;= 480,  '(直掃)RX Mapping'!U29 &gt; 0), 120)</f>
        <v>62</v>
      </c>
      <c r="V29">
        <f>IF(
(AND('(直掃)RX Mapping'!V29&gt;=0,'(直掃)RX Mapping'!V29&lt;=480)),
(MOD('(直掃)RX Mapping'!V29,120)-1),
IF(
(AND('(直掃)RX Mapping'!V29&gt;=480,'(直掃)RX Mapping'!V29&lt;=960)),
IF(MOD('(直掃)RX Mapping'!V29,120)=0, 120, 240-MOD('(直掃)RX Mapping'!V29,120)),9999))+IF(AND(MOD('(直掃)RX Mapping'!V29,120)=0, '(直掃)RX Mapping'!V29 &lt;= 480,  '(直掃)RX Mapping'!V29 &gt; 0), 120)</f>
        <v>32</v>
      </c>
      <c r="W29">
        <f>IF(
(AND('(直掃)RX Mapping'!W29&gt;=0,'(直掃)RX Mapping'!W29&lt;=480)),
(MOD('(直掃)RX Mapping'!W29,120)-1),
IF(
(AND('(直掃)RX Mapping'!W29&gt;=480,'(直掃)RX Mapping'!W29&lt;=960)),
IF(MOD('(直掃)RX Mapping'!W29,120)=0, 120, 240-MOD('(直掃)RX Mapping'!W29,120)),9999))+IF(AND(MOD('(直掃)RX Mapping'!W29,120)=0, '(直掃)RX Mapping'!W29 &lt;= 480,  '(直掃)RX Mapping'!W29 &gt; 0), 120)</f>
        <v>2</v>
      </c>
      <c r="X29">
        <f>IF(
(AND('(直掃)RX Mapping'!X29&gt;=0,'(直掃)RX Mapping'!X29&lt;=480)),
(MOD('(直掃)RX Mapping'!X29,120)-1),
IF(
(AND('(直掃)RX Mapping'!X29&gt;=480,'(直掃)RX Mapping'!X29&lt;=960)),
IF(MOD('(直掃)RX Mapping'!X29,120)=0, 120, 240-MOD('(直掃)RX Mapping'!X29,120)),9999))+IF(AND(MOD('(直掃)RX Mapping'!X29,120)=0, '(直掃)RX Mapping'!X29 &lt;= 480,  '(直掃)RX Mapping'!X29 &gt; 0), 120)</f>
        <v>62</v>
      </c>
      <c r="Y29">
        <f>IF(
(AND('(直掃)RX Mapping'!Y29&gt;=0,'(直掃)RX Mapping'!Y29&lt;=480)),
(MOD('(直掃)RX Mapping'!Y29,120)-1),
IF(
(AND('(直掃)RX Mapping'!Y29&gt;=480,'(直掃)RX Mapping'!Y29&lt;=960)),
IF(MOD('(直掃)RX Mapping'!Y29,120)=0, 120, 240-MOD('(直掃)RX Mapping'!Y29,120)),9999))+IF(AND(MOD('(直掃)RX Mapping'!Y29,120)=0, '(直掃)RX Mapping'!Y29 &lt;= 480,  '(直掃)RX Mapping'!Y29 &gt; 0), 120)</f>
        <v>32</v>
      </c>
      <c r="Z29">
        <f>IF(
(AND('(直掃)RX Mapping'!Z29&gt;=0,'(直掃)RX Mapping'!Z29&lt;=480)),
(MOD('(直掃)RX Mapping'!Z29,120)-1),
IF(
(AND('(直掃)RX Mapping'!Z29&gt;=480,'(直掃)RX Mapping'!Z29&lt;=960)),
IF(MOD('(直掃)RX Mapping'!Z29,120)=0, 120, 240-MOD('(直掃)RX Mapping'!Z29,120)),9999))+IF(AND(MOD('(直掃)RX Mapping'!Z29,120)=0, '(直掃)RX Mapping'!Z29 &lt;= 480,  '(直掃)RX Mapping'!Z29 &gt; 0), 120)</f>
        <v>2</v>
      </c>
      <c r="AA29">
        <f>IF(
(AND('(直掃)RX Mapping'!AA29&gt;=0,'(直掃)RX Mapping'!AA29&lt;=480)),
(MOD('(直掃)RX Mapping'!AA29,120)-1),
IF(
(AND('(直掃)RX Mapping'!AA29&gt;=480,'(直掃)RX Mapping'!AA29&lt;=960)),
IF(MOD('(直掃)RX Mapping'!AA29,120)=0, 120, 240-MOD('(直掃)RX Mapping'!AA29,120)),9999))+IF(AND(MOD('(直掃)RX Mapping'!AA29,120)=0, '(直掃)RX Mapping'!AA29 &lt;= 480,  '(直掃)RX Mapping'!AA29 &gt; 0), 120)</f>
        <v>62</v>
      </c>
      <c r="AB29">
        <f>IF(
(AND('(直掃)RX Mapping'!AB29&gt;=0,'(直掃)RX Mapping'!AB29&lt;=480)),
(MOD('(直掃)RX Mapping'!AB29,120)-1),
IF(
(AND('(直掃)RX Mapping'!AB29&gt;=480,'(直掃)RX Mapping'!AB29&lt;=960)),
IF(MOD('(直掃)RX Mapping'!AB29,120)=0, 120, 240-MOD('(直掃)RX Mapping'!AB29,120)),9999))+IF(AND(MOD('(直掃)RX Mapping'!AB29,120)=0, '(直掃)RX Mapping'!AB29 &lt;= 480,  '(直掃)RX Mapping'!AB29 &gt; 0), 120)</f>
        <v>32</v>
      </c>
      <c r="AC29">
        <f>IF(
(AND('(直掃)RX Mapping'!AC29&gt;=0,'(直掃)RX Mapping'!AC29&lt;=480)),
(MOD('(直掃)RX Mapping'!AC29,120)-1),
IF(
(AND('(直掃)RX Mapping'!AC29&gt;=480,'(直掃)RX Mapping'!AC29&lt;=960)),
IF(MOD('(直掃)RX Mapping'!AC29,120)=0, 120, 240-MOD('(直掃)RX Mapping'!AC29,120)),9999))+IF(AND(MOD('(直掃)RX Mapping'!AC29,120)=0, '(直掃)RX Mapping'!AC29 &lt;= 480,  '(直掃)RX Mapping'!AC29 &gt; 0), 120)</f>
        <v>2</v>
      </c>
      <c r="AD29">
        <f>IF(
(AND('(直掃)RX Mapping'!AD29&gt;=0,'(直掃)RX Mapping'!AD29&lt;=480)),
(MOD('(直掃)RX Mapping'!AD29,120)-1),
IF(
(AND('(直掃)RX Mapping'!AD29&gt;=480,'(直掃)RX Mapping'!AD29&lt;=960)),
IF(MOD('(直掃)RX Mapping'!AD29,120)=0, 120, 240-MOD('(直掃)RX Mapping'!AD29,120)),9999))+IF(AND(MOD('(直掃)RX Mapping'!AD29,120)=0, '(直掃)RX Mapping'!AD29 &lt;= 480,  '(直掃)RX Mapping'!AD29 &gt; 0), 120)</f>
        <v>-1</v>
      </c>
      <c r="AE29">
        <f>IF(
(AND('(直掃)RX Mapping'!AE29&gt;=0,'(直掃)RX Mapping'!AE29&lt;=480)),
(MOD('(直掃)RX Mapping'!AE29,120)-1),
IF(
(AND('(直掃)RX Mapping'!AE29&gt;=480,'(直掃)RX Mapping'!AE29&lt;=960)),
IF(MOD('(直掃)RX Mapping'!AE29,120)=0, 120, 240-MOD('(直掃)RX Mapping'!AE29,120)),9999))+IF(AND(MOD('(直掃)RX Mapping'!AE29,120)=0, '(直掃)RX Mapping'!AE29 &lt;= 480,  '(直掃)RX Mapping'!AE29 &gt; 0), 120)</f>
        <v>-1</v>
      </c>
      <c r="AF29">
        <f>IF(
(AND('(直掃)RX Mapping'!AF29&gt;=0,'(直掃)RX Mapping'!AF29&lt;=480)),
(MOD('(直掃)RX Mapping'!AF29,120)-1),
IF(
(AND('(直掃)RX Mapping'!AF29&gt;=480,'(直掃)RX Mapping'!AF29&lt;=960)),
IF(MOD('(直掃)RX Mapping'!AF29,120)=0, 120, 240-MOD('(直掃)RX Mapping'!AF29,120)),9999))+IF(AND(MOD('(直掃)RX Mapping'!AF29,120)=0, '(直掃)RX Mapping'!AF29 &lt;= 480,  '(直掃)RX Mapping'!AF29 &gt; 0), 120)</f>
        <v>-1</v>
      </c>
      <c r="AG29">
        <f>IF(
(AND('(直掃)RX Mapping'!AG29&gt;=0,'(直掃)RX Mapping'!AG29&lt;=480)),
(MOD('(直掃)RX Mapping'!AG29,120)-1),
IF(
(AND('(直掃)RX Mapping'!AG29&gt;=480,'(直掃)RX Mapping'!AG29&lt;=960)),
IF(MOD('(直掃)RX Mapping'!AG29,120)=0, 120, 240-MOD('(直掃)RX Mapping'!AG29,120)),9999))+IF(AND(MOD('(直掃)RX Mapping'!AG29,120)=0, '(直掃)RX Mapping'!AG29 &lt;= 480,  '(直掃)RX Mapping'!AG29 &gt; 0), 120)</f>
        <v>-1</v>
      </c>
      <c r="AH29">
        <f>IF(
(AND('(直掃)RX Mapping'!AH29&gt;=0,'(直掃)RX Mapping'!AH29&lt;=480)),
(MOD('(直掃)RX Mapping'!AH29,120)-1),
IF(
(AND('(直掃)RX Mapping'!AH29&gt;=480,'(直掃)RX Mapping'!AH29&lt;=960)),
IF(MOD('(直掃)RX Mapping'!AH29,120)=0, 120, 240-MOD('(直掃)RX Mapping'!AH29,120)),9999))+IF(AND(MOD('(直掃)RX Mapping'!AH29,120)=0, '(直掃)RX Mapping'!AH29 &lt;= 480,  '(直掃)RX Mapping'!AH29 &gt; 0), 120)</f>
        <v>-1</v>
      </c>
      <c r="AI29">
        <f>IF(
(AND('(直掃)RX Mapping'!AI29&gt;=0,'(直掃)RX Mapping'!AI29&lt;=480)),
(MOD('(直掃)RX Mapping'!AI29,120)-1),
IF(
(AND('(直掃)RX Mapping'!AI29&gt;=480,'(直掃)RX Mapping'!AI29&lt;=960)),
IF(MOD('(直掃)RX Mapping'!AI29,120)=0, 120, 240-MOD('(直掃)RX Mapping'!AI29,120)),9999))+IF(AND(MOD('(直掃)RX Mapping'!AI29,120)=0, '(直掃)RX Mapping'!AI29 &lt;= 480,  '(直掃)RX Mapping'!AI29 &gt; 0), 120)</f>
        <v>-1</v>
      </c>
      <c r="AJ29">
        <f>IF(
(AND('(直掃)RX Mapping'!AJ29&gt;=0,'(直掃)RX Mapping'!AJ29&lt;=480)),
(MOD('(直掃)RX Mapping'!AJ29,120)-1),
IF(
(AND('(直掃)RX Mapping'!AJ29&gt;=480,'(直掃)RX Mapping'!AJ29&lt;=960)),
IF(MOD('(直掃)RX Mapping'!AJ29,120)=0, 120, 240-MOD('(直掃)RX Mapping'!AJ29,120)),9999))+IF(AND(MOD('(直掃)RX Mapping'!AJ29,120)=0, '(直掃)RX Mapping'!AJ29 &lt;= 480,  '(直掃)RX Mapping'!AJ29 &gt; 0), 120)</f>
        <v>-1</v>
      </c>
      <c r="AK29">
        <f>IF(
(AND('(直掃)RX Mapping'!AK29&gt;=0,'(直掃)RX Mapping'!AK29&lt;=480)),
(MOD('(直掃)RX Mapping'!AK29,120)-1),
IF(
(AND('(直掃)RX Mapping'!AK29&gt;=480,'(直掃)RX Mapping'!AK29&lt;=960)),
IF(MOD('(直掃)RX Mapping'!AK29,120)=0, 120, 240-MOD('(直掃)RX Mapping'!AK29,120)),9999))+IF(AND(MOD('(直掃)RX Mapping'!AK29,120)=0, '(直掃)RX Mapping'!AK29 &lt;= 480,  '(直掃)RX Mapping'!AK29 &gt; 0), 120)</f>
        <v>-1</v>
      </c>
      <c r="AL29">
        <f>IF(
(AND('(直掃)RX Mapping'!AL29&gt;=0,'(直掃)RX Mapping'!AL29&lt;=480)),
(MOD('(直掃)RX Mapping'!AL29,120)-1),
IF(
(AND('(直掃)RX Mapping'!AL29&gt;=480,'(直掃)RX Mapping'!AL29&lt;=960)),
IF(MOD('(直掃)RX Mapping'!AL29,120)=0, 120, 240-MOD('(直掃)RX Mapping'!AL29,120)),9999))+IF(AND(MOD('(直掃)RX Mapping'!AL29,120)=0, '(直掃)RX Mapping'!AL29 &lt;= 480,  '(直掃)RX Mapping'!AL29 &gt; 0), 120)</f>
        <v>-1</v>
      </c>
      <c r="AM29">
        <f>IF(
(AND('(直掃)RX Mapping'!AM29&gt;=0,'(直掃)RX Mapping'!AM29&lt;=480)),
(MOD('(直掃)RX Mapping'!AM29,120)-1),
IF(
(AND('(直掃)RX Mapping'!AM29&gt;=480,'(直掃)RX Mapping'!AM29&lt;=960)),
IF(MOD('(直掃)RX Mapping'!AM29,120)=0, 120, 240-MOD('(直掃)RX Mapping'!AM29,120)),9999))+IF(AND(MOD('(直掃)RX Mapping'!AM29,120)=0, '(直掃)RX Mapping'!AM29 &lt;= 480,  '(直掃)RX Mapping'!AM29 &gt; 0), 120)</f>
        <v>-1</v>
      </c>
      <c r="AN29">
        <f>IF(
(AND('(直掃)RX Mapping'!AN29&gt;=0,'(直掃)RX Mapping'!AN29&lt;=480)),
(MOD('(直掃)RX Mapping'!AN29,120)-1),
IF(
(AND('(直掃)RX Mapping'!AN29&gt;=480,'(直掃)RX Mapping'!AN29&lt;=960)),
IF(MOD('(直掃)RX Mapping'!AN29,120)=0, 120, 240-MOD('(直掃)RX Mapping'!AN29,120)),9999))+IF(AND(MOD('(直掃)RX Mapping'!AN29,120)=0, '(直掃)RX Mapping'!AN29 &lt;= 480,  '(直掃)RX Mapping'!AN29 &gt; 0), 120)</f>
        <v>-1</v>
      </c>
      <c r="AO29">
        <f>IF(
(AND('(直掃)RX Mapping'!AO29&gt;=0,'(直掃)RX Mapping'!AO29&lt;=480)),
(MOD('(直掃)RX Mapping'!AO29,120)-1),
IF(
(AND('(直掃)RX Mapping'!AO29&gt;=480,'(直掃)RX Mapping'!AO29&lt;=960)),
IF(MOD('(直掃)RX Mapping'!AO29,120)=0, 120, 240-MOD('(直掃)RX Mapping'!AO29,120)),9999))+IF(AND(MOD('(直掃)RX Mapping'!AO29,120)=0, '(直掃)RX Mapping'!AO29 &lt;= 480,  '(直掃)RX Mapping'!AO29 &gt; 0), 120)</f>
        <v>-1</v>
      </c>
      <c r="AP29">
        <f>IF(
(AND('(直掃)RX Mapping'!AP29&gt;=0,'(直掃)RX Mapping'!AP29&lt;=480)),
(MOD('(直掃)RX Mapping'!AP29,120)-1),
IF(
(AND('(直掃)RX Mapping'!AP29&gt;=480,'(直掃)RX Mapping'!AP29&lt;=960)),
IF(MOD('(直掃)RX Mapping'!AP29,120)=0, 120, 240-MOD('(直掃)RX Mapping'!AP29,120)),9999))+IF(AND(MOD('(直掃)RX Mapping'!AP29,120)=0, '(直掃)RX Mapping'!AP29 &lt;= 480,  '(直掃)RX Mapping'!AP29 &gt; 0), 120)</f>
        <v>-1</v>
      </c>
      <c r="AQ29">
        <f>IF(
(AND('(直掃)RX Mapping'!AQ29&gt;=0,'(直掃)RX Mapping'!AQ29&lt;=480)),
(MOD('(直掃)RX Mapping'!AQ29,120)-1),
IF(
(AND('(直掃)RX Mapping'!AQ29&gt;=480,'(直掃)RX Mapping'!AQ29&lt;=960)),
IF(MOD('(直掃)RX Mapping'!AQ29,120)=0, 120, 240-MOD('(直掃)RX Mapping'!AQ29,120)),9999))+IF(AND(MOD('(直掃)RX Mapping'!AQ29,120)=0, '(直掃)RX Mapping'!AQ29 &lt;= 480,  '(直掃)RX Mapping'!AQ29 &gt; 0), 120)</f>
        <v>-1</v>
      </c>
      <c r="AR29">
        <f>IF(
(AND('(直掃)RX Mapping'!AR29&gt;=0,'(直掃)RX Mapping'!AR29&lt;=480)),
(MOD('(直掃)RX Mapping'!AR29,120)-1),
IF(
(AND('(直掃)RX Mapping'!AR29&gt;=480,'(直掃)RX Mapping'!AR29&lt;=960)),
IF(MOD('(直掃)RX Mapping'!AR29,120)=0, 120, 240-MOD('(直掃)RX Mapping'!AR29,120)),9999))+IF(AND(MOD('(直掃)RX Mapping'!AR29,120)=0, '(直掃)RX Mapping'!AR29 &lt;= 480,  '(直掃)RX Mapping'!AR29 &gt; 0), 120)</f>
        <v>-1</v>
      </c>
      <c r="AS29">
        <f>IF(
(AND('(直掃)RX Mapping'!AS29&gt;=0,'(直掃)RX Mapping'!AS29&lt;=480)),
(MOD('(直掃)RX Mapping'!AS29,120)-1),
IF(
(AND('(直掃)RX Mapping'!AS29&gt;=480,'(直掃)RX Mapping'!AS29&lt;=960)),
IF(MOD('(直掃)RX Mapping'!AS29,120)=0, 120, 240-MOD('(直掃)RX Mapping'!AS29,120)),9999))+IF(AND(MOD('(直掃)RX Mapping'!AS29,120)=0, '(直掃)RX Mapping'!AS29 &lt;= 480,  '(直掃)RX Mapping'!AS29 &gt; 0), 120)</f>
        <v>-1</v>
      </c>
      <c r="AT29">
        <f>IF(AND('(橫掃)RX Mapping'!AT29&gt;=1,'(橫掃)RX Mapping'!AT29&lt;=120), ('(橫掃)RX Mapping'!AT29-1),IF(AND('(橫掃)RX Mapping'!AT29&gt;=121,'(橫掃)RX Mapping'!AT29&lt;=240), (-1)*('(橫掃)RX Mapping'!AT29-240),IF(AND('(橫掃)RX Mapping'!AT29&gt;=241,'(橫掃)RX Mapping'!AT29&lt;=360), ('(橫掃)RX Mapping'!AT29-241),IF(AND('(橫掃)RX Mapping'!AT29&gt;=361,'(橫掃)RX Mapping'!AT29&lt;=480), (-1)*('(橫掃)RX Mapping'!AT29-480),IF(AND('(橫掃)RX Mapping'!AT29&gt;=481,'(橫掃)RX Mapping'!AT29&lt;=600), ('(橫掃)RX Mapping'!AT29-361),IF(AND('(橫掃)RX Mapping'!AT29&gt;=601,'(橫掃)RX Mapping'!AT29&lt;=720), (-1)*('(橫掃)RX Mapping'!AT29-720)+120,IF(AND('(橫掃)RX Mapping'!AT29&gt;=721,'(橫掃)RX Mapping'!AT29&lt;=840), ('(橫掃)RX Mapping'!AT29-601),IF(AND('(橫掃)RX Mapping'!AT29&gt;=841,'(橫掃)RX Mapping'!AT29&lt;=960), (-1)*('(橫掃)RX Mapping'!AT29-960)+120,9999))))))))</f>
        <v>9999</v>
      </c>
      <c r="AU29">
        <f>IF(AND('(橫掃)RX Mapping'!AU29&gt;=1,'(橫掃)RX Mapping'!AU29&lt;=120), ('(橫掃)RX Mapping'!AU29-1),IF(AND('(橫掃)RX Mapping'!AU29&gt;=121,'(橫掃)RX Mapping'!AU29&lt;=240), (-1)*('(橫掃)RX Mapping'!AU29-240),IF(AND('(橫掃)RX Mapping'!AU29&gt;=241,'(橫掃)RX Mapping'!AU29&lt;=360), ('(橫掃)RX Mapping'!AU29-241),IF(AND('(橫掃)RX Mapping'!AU29&gt;=361,'(橫掃)RX Mapping'!AU29&lt;=480), (-1)*('(橫掃)RX Mapping'!AU29-480),IF(AND('(橫掃)RX Mapping'!AU29&gt;=481,'(橫掃)RX Mapping'!AU29&lt;=600), ('(橫掃)RX Mapping'!AU29-361),IF(AND('(橫掃)RX Mapping'!AU29&gt;=601,'(橫掃)RX Mapping'!AU29&lt;=720), (-1)*('(橫掃)RX Mapping'!AU29-720)+120,IF(AND('(橫掃)RX Mapping'!AU29&gt;=721,'(橫掃)RX Mapping'!AU29&lt;=840), ('(橫掃)RX Mapping'!AU29-601),IF(AND('(橫掃)RX Mapping'!AU29&gt;=841,'(橫掃)RX Mapping'!AU29&lt;=960), (-1)*('(橫掃)RX Mapping'!AU29-960)+120,9999))))))))</f>
        <v>9999</v>
      </c>
      <c r="AV29">
        <f>IF(AND('(橫掃)RX Mapping'!AV29&gt;=1,'(橫掃)RX Mapping'!AV29&lt;=120), ('(橫掃)RX Mapping'!AV29-1),IF(AND('(橫掃)RX Mapping'!AV29&gt;=121,'(橫掃)RX Mapping'!AV29&lt;=240), (-1)*('(橫掃)RX Mapping'!AV29-240),IF(AND('(橫掃)RX Mapping'!AV29&gt;=241,'(橫掃)RX Mapping'!AV29&lt;=360), ('(橫掃)RX Mapping'!AV29-241),IF(AND('(橫掃)RX Mapping'!AV29&gt;=361,'(橫掃)RX Mapping'!AV29&lt;=480), (-1)*('(橫掃)RX Mapping'!AV29-480),IF(AND('(橫掃)RX Mapping'!AV29&gt;=481,'(橫掃)RX Mapping'!AV29&lt;=600), ('(橫掃)RX Mapping'!AV29-361),IF(AND('(橫掃)RX Mapping'!AV29&gt;=601,'(橫掃)RX Mapping'!AV29&lt;=720), (-1)*('(橫掃)RX Mapping'!AV29-720)+120,IF(AND('(橫掃)RX Mapping'!AV29&gt;=721,'(橫掃)RX Mapping'!AV29&lt;=840), ('(橫掃)RX Mapping'!AV29-601),IF(AND('(橫掃)RX Mapping'!AV29&gt;=841,'(橫掃)RX Mapping'!AV29&lt;=960), (-1)*('(橫掃)RX Mapping'!AV29-960)+120,9999))))))))</f>
        <v>9999</v>
      </c>
      <c r="AW29">
        <f>IF(AND('(橫掃)RX Mapping'!AW29&gt;=1,'(橫掃)RX Mapping'!AW29&lt;=120), ('(橫掃)RX Mapping'!AW29-1),IF(AND('(橫掃)RX Mapping'!AW29&gt;=121,'(橫掃)RX Mapping'!AW29&lt;=240), (-1)*('(橫掃)RX Mapping'!AW29-240),IF(AND('(橫掃)RX Mapping'!AW29&gt;=241,'(橫掃)RX Mapping'!AW29&lt;=360), ('(橫掃)RX Mapping'!AW29-241),IF(AND('(橫掃)RX Mapping'!AW29&gt;=361,'(橫掃)RX Mapping'!AW29&lt;=480), (-1)*('(橫掃)RX Mapping'!AW29-480),IF(AND('(橫掃)RX Mapping'!AW29&gt;=481,'(橫掃)RX Mapping'!AW29&lt;=600), ('(橫掃)RX Mapping'!AW29-361),IF(AND('(橫掃)RX Mapping'!AW29&gt;=601,'(橫掃)RX Mapping'!AW29&lt;=720), (-1)*('(橫掃)RX Mapping'!AW29-720)+120,IF(AND('(橫掃)RX Mapping'!AW29&gt;=721,'(橫掃)RX Mapping'!AW29&lt;=840), ('(橫掃)RX Mapping'!AW29-601),IF(AND('(橫掃)RX Mapping'!AW29&gt;=841,'(橫掃)RX Mapping'!AW29&lt;=960), (-1)*('(橫掃)RX Mapping'!AW29-960)+120,9999))))))))</f>
        <v>9999</v>
      </c>
      <c r="AX29">
        <f>IF(AND('(橫掃)RX Mapping'!AX29&gt;=1,'(橫掃)RX Mapping'!AX29&lt;=120), ('(橫掃)RX Mapping'!AX29-1),IF(AND('(橫掃)RX Mapping'!AX29&gt;=121,'(橫掃)RX Mapping'!AX29&lt;=240), (-1)*('(橫掃)RX Mapping'!AX29-240),IF(AND('(橫掃)RX Mapping'!AX29&gt;=241,'(橫掃)RX Mapping'!AX29&lt;=360), ('(橫掃)RX Mapping'!AX29-241),IF(AND('(橫掃)RX Mapping'!AX29&gt;=361,'(橫掃)RX Mapping'!AX29&lt;=480), (-1)*('(橫掃)RX Mapping'!AX29-480),IF(AND('(橫掃)RX Mapping'!AX29&gt;=481,'(橫掃)RX Mapping'!AX29&lt;=600), ('(橫掃)RX Mapping'!AX29-361),IF(AND('(橫掃)RX Mapping'!AX29&gt;=601,'(橫掃)RX Mapping'!AX29&lt;=720), (-1)*('(橫掃)RX Mapping'!AX29-720)+120,IF(AND('(橫掃)RX Mapping'!AX29&gt;=721,'(橫掃)RX Mapping'!AX29&lt;=840), ('(橫掃)RX Mapping'!AX29-601),IF(AND('(橫掃)RX Mapping'!AX29&gt;=841,'(橫掃)RX Mapping'!AX29&lt;=960), (-1)*('(橫掃)RX Mapping'!AX29-960)+120,9999))))))))</f>
        <v>9999</v>
      </c>
      <c r="AY29">
        <f>IF(AND('(橫掃)RX Mapping'!AY29&gt;=1,'(橫掃)RX Mapping'!AY29&lt;=120), ('(橫掃)RX Mapping'!AY29-1),IF(AND('(橫掃)RX Mapping'!AY29&gt;=121,'(橫掃)RX Mapping'!AY29&lt;=240), (-1)*('(橫掃)RX Mapping'!AY29-240),IF(AND('(橫掃)RX Mapping'!AY29&gt;=241,'(橫掃)RX Mapping'!AY29&lt;=360), ('(橫掃)RX Mapping'!AY29-241),IF(AND('(橫掃)RX Mapping'!AY29&gt;=361,'(橫掃)RX Mapping'!AY29&lt;=480), (-1)*('(橫掃)RX Mapping'!AY29-480),IF(AND('(橫掃)RX Mapping'!AY29&gt;=481,'(橫掃)RX Mapping'!AY29&lt;=600), ('(橫掃)RX Mapping'!AY29-361),IF(AND('(橫掃)RX Mapping'!AY29&gt;=601,'(橫掃)RX Mapping'!AY29&lt;=720), (-1)*('(橫掃)RX Mapping'!AY29-720)+120,IF(AND('(橫掃)RX Mapping'!AY29&gt;=721,'(橫掃)RX Mapping'!AY29&lt;=840), ('(橫掃)RX Mapping'!AY29-601),IF(AND('(橫掃)RX Mapping'!AY29&gt;=841,'(橫掃)RX Mapping'!AY29&lt;=960), (-1)*('(橫掃)RX Mapping'!AY29-960)+120,9999))))))))</f>
        <v>9999</v>
      </c>
      <c r="AZ29">
        <f>IF(AND('(橫掃)RX Mapping'!AZ29&gt;=1,'(橫掃)RX Mapping'!AZ29&lt;=120), ('(橫掃)RX Mapping'!AZ29-1),IF(AND('(橫掃)RX Mapping'!AZ29&gt;=121,'(橫掃)RX Mapping'!AZ29&lt;=240), (-1)*('(橫掃)RX Mapping'!AZ29-240),IF(AND('(橫掃)RX Mapping'!AZ29&gt;=241,'(橫掃)RX Mapping'!AZ29&lt;=360), ('(橫掃)RX Mapping'!AZ29-241),IF(AND('(橫掃)RX Mapping'!AZ29&gt;=361,'(橫掃)RX Mapping'!AZ29&lt;=480), (-1)*('(橫掃)RX Mapping'!AZ29-480),IF(AND('(橫掃)RX Mapping'!AZ29&gt;=481,'(橫掃)RX Mapping'!AZ29&lt;=600), ('(橫掃)RX Mapping'!AZ29-361),IF(AND('(橫掃)RX Mapping'!AZ29&gt;=601,'(橫掃)RX Mapping'!AZ29&lt;=720), (-1)*('(橫掃)RX Mapping'!AZ29-720)+120,IF(AND('(橫掃)RX Mapping'!AZ29&gt;=721,'(橫掃)RX Mapping'!AZ29&lt;=840), ('(橫掃)RX Mapping'!AZ29-601),IF(AND('(橫掃)RX Mapping'!AZ29&gt;=841,'(橫掃)RX Mapping'!AZ29&lt;=960), (-1)*('(橫掃)RX Mapping'!AZ29-960)+120,9999))))))))</f>
        <v>9999</v>
      </c>
      <c r="BA29">
        <f>IF(AND('(橫掃)RX Mapping'!BA29&gt;=1,'(橫掃)RX Mapping'!BA29&lt;=120), ('(橫掃)RX Mapping'!BA29-1),IF(AND('(橫掃)RX Mapping'!BA29&gt;=121,'(橫掃)RX Mapping'!BA29&lt;=240), (-1)*('(橫掃)RX Mapping'!BA29-240),IF(AND('(橫掃)RX Mapping'!BA29&gt;=241,'(橫掃)RX Mapping'!BA29&lt;=360), ('(橫掃)RX Mapping'!BA29-241),IF(AND('(橫掃)RX Mapping'!BA29&gt;=361,'(橫掃)RX Mapping'!BA29&lt;=480), (-1)*('(橫掃)RX Mapping'!BA29-480),IF(AND('(橫掃)RX Mapping'!BA29&gt;=481,'(橫掃)RX Mapping'!BA29&lt;=600), ('(橫掃)RX Mapping'!BA29-361),IF(AND('(橫掃)RX Mapping'!BA29&gt;=601,'(橫掃)RX Mapping'!BA29&lt;=720), (-1)*('(橫掃)RX Mapping'!BA29-720)+120,IF(AND('(橫掃)RX Mapping'!BA29&gt;=721,'(橫掃)RX Mapping'!BA29&lt;=840), ('(橫掃)RX Mapping'!BA29-601),IF(AND('(橫掃)RX Mapping'!BA29&gt;=841,'(橫掃)RX Mapping'!BA29&lt;=960), (-1)*('(橫掃)RX Mapping'!BA29-960)+120,9999))))))))</f>
        <v>9999</v>
      </c>
      <c r="BB29">
        <f>IF(AND('(橫掃)RX Mapping'!BB29&gt;=1,'(橫掃)RX Mapping'!BB29&lt;=120), ('(橫掃)RX Mapping'!BB29-1),IF(AND('(橫掃)RX Mapping'!BB29&gt;=121,'(橫掃)RX Mapping'!BB29&lt;=240), (-1)*('(橫掃)RX Mapping'!BB29-240),IF(AND('(橫掃)RX Mapping'!BB29&gt;=241,'(橫掃)RX Mapping'!BB29&lt;=360), ('(橫掃)RX Mapping'!BB29-241),IF(AND('(橫掃)RX Mapping'!BB29&gt;=361,'(橫掃)RX Mapping'!BB29&lt;=480), (-1)*('(橫掃)RX Mapping'!BB29-480),IF(AND('(橫掃)RX Mapping'!BB29&gt;=481,'(橫掃)RX Mapping'!BB29&lt;=600), ('(橫掃)RX Mapping'!BB29-361),IF(AND('(橫掃)RX Mapping'!BB29&gt;=601,'(橫掃)RX Mapping'!BB29&lt;=720), (-1)*('(橫掃)RX Mapping'!BB29-720)+120,IF(AND('(橫掃)RX Mapping'!BB29&gt;=721,'(橫掃)RX Mapping'!BB29&lt;=840), ('(橫掃)RX Mapping'!BB29-601),IF(AND('(橫掃)RX Mapping'!BB29&gt;=841,'(橫掃)RX Mapping'!BB29&lt;=960), (-1)*('(橫掃)RX Mapping'!BB29-960)+120,9999))))))))</f>
        <v>9999</v>
      </c>
      <c r="BC29">
        <f>IF(AND('(橫掃)RX Mapping'!BC29&gt;=1,'(橫掃)RX Mapping'!BC29&lt;=120), ('(橫掃)RX Mapping'!BC29-1),IF(AND('(橫掃)RX Mapping'!BC29&gt;=121,'(橫掃)RX Mapping'!BC29&lt;=240), (-1)*('(橫掃)RX Mapping'!BC29-240),IF(AND('(橫掃)RX Mapping'!BC29&gt;=241,'(橫掃)RX Mapping'!BC29&lt;=360), ('(橫掃)RX Mapping'!BC29-241),IF(AND('(橫掃)RX Mapping'!BC29&gt;=361,'(橫掃)RX Mapping'!BC29&lt;=480), (-1)*('(橫掃)RX Mapping'!BC29-480),IF(AND('(橫掃)RX Mapping'!BC29&gt;=481,'(橫掃)RX Mapping'!BC29&lt;=600), ('(橫掃)RX Mapping'!BC29-361),IF(AND('(橫掃)RX Mapping'!BC29&gt;=601,'(橫掃)RX Mapping'!BC29&lt;=720), (-1)*('(橫掃)RX Mapping'!BC29-720)+120,IF(AND('(橫掃)RX Mapping'!BC29&gt;=721,'(橫掃)RX Mapping'!BC29&lt;=840), ('(橫掃)RX Mapping'!BC29-601),IF(AND('(橫掃)RX Mapping'!BC29&gt;=841,'(橫掃)RX Mapping'!BC29&lt;=960), (-1)*('(橫掃)RX Mapping'!BC29-960)+120,9999))))))))</f>
        <v>9999</v>
      </c>
      <c r="BD29">
        <f>IF(AND('(橫掃)RX Mapping'!BD29&gt;=1,'(橫掃)RX Mapping'!BD29&lt;=120), ('(橫掃)RX Mapping'!BD29-1),IF(AND('(橫掃)RX Mapping'!BD29&gt;=121,'(橫掃)RX Mapping'!BD29&lt;=240), (-1)*('(橫掃)RX Mapping'!BD29-240),IF(AND('(橫掃)RX Mapping'!BD29&gt;=241,'(橫掃)RX Mapping'!BD29&lt;=360), ('(橫掃)RX Mapping'!BD29-241),IF(AND('(橫掃)RX Mapping'!BD29&gt;=361,'(橫掃)RX Mapping'!BD29&lt;=480), (-1)*('(橫掃)RX Mapping'!BD29-480),IF(AND('(橫掃)RX Mapping'!BD29&gt;=481,'(橫掃)RX Mapping'!BD29&lt;=600), ('(橫掃)RX Mapping'!BD29-361),IF(AND('(橫掃)RX Mapping'!BD29&gt;=601,'(橫掃)RX Mapping'!BD29&lt;=720), (-1)*('(橫掃)RX Mapping'!BD29-720)+120,IF(AND('(橫掃)RX Mapping'!BD29&gt;=721,'(橫掃)RX Mapping'!BD29&lt;=840), ('(橫掃)RX Mapping'!BD29-601),IF(AND('(橫掃)RX Mapping'!BD29&gt;=841,'(橫掃)RX Mapping'!BD29&lt;=960), (-1)*('(橫掃)RX Mapping'!BD29-960)+120,9999))))))))</f>
        <v>9999</v>
      </c>
      <c r="BE29">
        <f>IF(AND('(橫掃)RX Mapping'!BE29&gt;=1,'(橫掃)RX Mapping'!BE29&lt;=120), ('(橫掃)RX Mapping'!BE29-1),IF(AND('(橫掃)RX Mapping'!BE29&gt;=121,'(橫掃)RX Mapping'!BE29&lt;=240), (-1)*('(橫掃)RX Mapping'!BE29-240),IF(AND('(橫掃)RX Mapping'!BE29&gt;=241,'(橫掃)RX Mapping'!BE29&lt;=360), ('(橫掃)RX Mapping'!BE29-241),IF(AND('(橫掃)RX Mapping'!BE29&gt;=361,'(橫掃)RX Mapping'!BE29&lt;=480), (-1)*('(橫掃)RX Mapping'!BE29-480),IF(AND('(橫掃)RX Mapping'!BE29&gt;=481,'(橫掃)RX Mapping'!BE29&lt;=600), ('(橫掃)RX Mapping'!BE29-361),IF(AND('(橫掃)RX Mapping'!BE29&gt;=601,'(橫掃)RX Mapping'!BE29&lt;=720), (-1)*('(橫掃)RX Mapping'!BE29-720)+120,IF(AND('(橫掃)RX Mapping'!BE29&gt;=721,'(橫掃)RX Mapping'!BE29&lt;=840), ('(橫掃)RX Mapping'!BE29-601),IF(AND('(橫掃)RX Mapping'!BE29&gt;=841,'(橫掃)RX Mapping'!BE29&lt;=960), (-1)*('(橫掃)RX Mapping'!BE29-960)+120,9999))))))))</f>
        <v>9999</v>
      </c>
      <c r="BF29">
        <f>IF(AND('(橫掃)RX Mapping'!BF29&gt;=1,'(橫掃)RX Mapping'!BF29&lt;=120), ('(橫掃)RX Mapping'!BF29-1),IF(AND('(橫掃)RX Mapping'!BF29&gt;=121,'(橫掃)RX Mapping'!BF29&lt;=240), (-1)*('(橫掃)RX Mapping'!BF29-240),IF(AND('(橫掃)RX Mapping'!BF29&gt;=241,'(橫掃)RX Mapping'!BF29&lt;=360), ('(橫掃)RX Mapping'!BF29-241),IF(AND('(橫掃)RX Mapping'!BF29&gt;=361,'(橫掃)RX Mapping'!BF29&lt;=480), (-1)*('(橫掃)RX Mapping'!BF29-480),IF(AND('(橫掃)RX Mapping'!BF29&gt;=481,'(橫掃)RX Mapping'!BF29&lt;=600), ('(橫掃)RX Mapping'!BF29-361),IF(AND('(橫掃)RX Mapping'!BF29&gt;=601,'(橫掃)RX Mapping'!BF29&lt;=720), (-1)*('(橫掃)RX Mapping'!BF29-720)+120,IF(AND('(橫掃)RX Mapping'!BF29&gt;=721,'(橫掃)RX Mapping'!BF29&lt;=840), ('(橫掃)RX Mapping'!BF29-601),IF(AND('(橫掃)RX Mapping'!BF29&gt;=841,'(橫掃)RX Mapping'!BF29&lt;=960), (-1)*('(橫掃)RX Mapping'!BF29-960)+120,9999))))))))</f>
        <v>9999</v>
      </c>
      <c r="BG29">
        <f>IF(AND('(橫掃)RX Mapping'!BG29&gt;=1,'(橫掃)RX Mapping'!BG29&lt;=120), ('(橫掃)RX Mapping'!BG29-1),IF(AND('(橫掃)RX Mapping'!BG29&gt;=121,'(橫掃)RX Mapping'!BG29&lt;=240), (-1)*('(橫掃)RX Mapping'!BG29-240),IF(AND('(橫掃)RX Mapping'!BG29&gt;=241,'(橫掃)RX Mapping'!BG29&lt;=360), ('(橫掃)RX Mapping'!BG29-241),IF(AND('(橫掃)RX Mapping'!BG29&gt;=361,'(橫掃)RX Mapping'!BG29&lt;=480), (-1)*('(橫掃)RX Mapping'!BG29-480),IF(AND('(橫掃)RX Mapping'!BG29&gt;=481,'(橫掃)RX Mapping'!BG29&lt;=600), ('(橫掃)RX Mapping'!BG29-361),IF(AND('(橫掃)RX Mapping'!BG29&gt;=601,'(橫掃)RX Mapping'!BG29&lt;=720), (-1)*('(橫掃)RX Mapping'!BG29-720)+120,IF(AND('(橫掃)RX Mapping'!BG29&gt;=721,'(橫掃)RX Mapping'!BG29&lt;=840), ('(橫掃)RX Mapping'!BG29-601),IF(AND('(橫掃)RX Mapping'!BG29&gt;=841,'(橫掃)RX Mapping'!BG29&lt;=960), (-1)*('(橫掃)RX Mapping'!BG29-960)+120,9999))))))))</f>
        <v>9999</v>
      </c>
      <c r="BH29">
        <f>IF(AND('(橫掃)RX Mapping'!BH29&gt;=1,'(橫掃)RX Mapping'!BH29&lt;=120), ('(橫掃)RX Mapping'!BH29-1),IF(AND('(橫掃)RX Mapping'!BH29&gt;=121,'(橫掃)RX Mapping'!BH29&lt;=240), (-1)*('(橫掃)RX Mapping'!BH29-240),IF(AND('(橫掃)RX Mapping'!BH29&gt;=241,'(橫掃)RX Mapping'!BH29&lt;=360), ('(橫掃)RX Mapping'!BH29-241),IF(AND('(橫掃)RX Mapping'!BH29&gt;=361,'(橫掃)RX Mapping'!BH29&lt;=480), (-1)*('(橫掃)RX Mapping'!BH29-480),IF(AND('(橫掃)RX Mapping'!BH29&gt;=481,'(橫掃)RX Mapping'!BH29&lt;=600), ('(橫掃)RX Mapping'!BH29-361),IF(AND('(橫掃)RX Mapping'!BH29&gt;=601,'(橫掃)RX Mapping'!BH29&lt;=720), (-1)*('(橫掃)RX Mapping'!BH29-720)+120,IF(AND('(橫掃)RX Mapping'!BH29&gt;=721,'(橫掃)RX Mapping'!BH29&lt;=840), ('(橫掃)RX Mapping'!BH29-601),IF(AND('(橫掃)RX Mapping'!BH29&gt;=841,'(橫掃)RX Mapping'!BH29&lt;=960), (-1)*('(橫掃)RX Mapping'!BH29-960)+120,9999))))))))</f>
        <v>9999</v>
      </c>
      <c r="BI29">
        <f>IF(AND('(橫掃)RX Mapping'!BI29&gt;=1,'(橫掃)RX Mapping'!BI29&lt;=120), ('(橫掃)RX Mapping'!BI29-1),IF(AND('(橫掃)RX Mapping'!BI29&gt;=121,'(橫掃)RX Mapping'!BI29&lt;=240), (-1)*('(橫掃)RX Mapping'!BI29-240),IF(AND('(橫掃)RX Mapping'!BI29&gt;=241,'(橫掃)RX Mapping'!BI29&lt;=360), ('(橫掃)RX Mapping'!BI29-241),IF(AND('(橫掃)RX Mapping'!BI29&gt;=361,'(橫掃)RX Mapping'!BI29&lt;=480), (-1)*('(橫掃)RX Mapping'!BI29-480),IF(AND('(橫掃)RX Mapping'!BI29&gt;=481,'(橫掃)RX Mapping'!BI29&lt;=600), ('(橫掃)RX Mapping'!BI29-361),IF(AND('(橫掃)RX Mapping'!BI29&gt;=601,'(橫掃)RX Mapping'!BI29&lt;=720), (-1)*('(橫掃)RX Mapping'!BI29-720)+120,IF(AND('(橫掃)RX Mapping'!BI29&gt;=721,'(橫掃)RX Mapping'!BI29&lt;=840), ('(橫掃)RX Mapping'!BI29-601),IF(AND('(橫掃)RX Mapping'!BI29&gt;=841,'(橫掃)RX Mapping'!BI29&lt;=960), (-1)*('(橫掃)RX Mapping'!BI29-960)+120,9999))))))))</f>
        <v>9999</v>
      </c>
    </row>
    <row r="30" spans="1:61" x14ac:dyDescent="0.25">
      <c r="A30" s="20">
        <v>29</v>
      </c>
      <c r="B30">
        <f>IF(
(AND('(直掃)RX Mapping'!B30&gt;=0,'(直掃)RX Mapping'!B30&lt;=480)),
(MOD('(直掃)RX Mapping'!B30,120)-1),
IF(
(AND('(直掃)RX Mapping'!B30&gt;=480,'(直掃)RX Mapping'!B30&lt;=960)),
IF(MOD('(直掃)RX Mapping'!B30,120)=0, 120, 240-MOD('(直掃)RX Mapping'!B30,120)),9999))+IF(AND(MOD('(直掃)RX Mapping'!B30,120)=0, '(直掃)RX Mapping'!B30 &lt;= 480,  '(直掃)RX Mapping'!B30 &gt; 0), 120)</f>
        <v>148</v>
      </c>
      <c r="C30">
        <f>IF(
(AND('(直掃)RX Mapping'!C30&gt;=0,'(直掃)RX Mapping'!C30&lt;=480)),
(MOD('(直掃)RX Mapping'!C30,120)-1),
IF(
(AND('(直掃)RX Mapping'!C30&gt;=480,'(直掃)RX Mapping'!C30&lt;=960)),
IF(MOD('(直掃)RX Mapping'!C30,120)=0, 120, 240-MOD('(直掃)RX Mapping'!C30,120)),9999))+IF(AND(MOD('(直掃)RX Mapping'!C30,120)=0, '(直掃)RX Mapping'!C30 &lt;= 480,  '(直掃)RX Mapping'!C30 &gt; 0), 120)</f>
        <v>178</v>
      </c>
      <c r="D30">
        <f>IF(
(AND('(直掃)RX Mapping'!D30&gt;=0,'(直掃)RX Mapping'!D30&lt;=480)),
(MOD('(直掃)RX Mapping'!D30,120)-1),
IF(
(AND('(直掃)RX Mapping'!D30&gt;=480,'(直掃)RX Mapping'!D30&lt;=960)),
IF(MOD('(直掃)RX Mapping'!D30,120)=0, 120, 240-MOD('(直掃)RX Mapping'!D30,120)),9999))+IF(AND(MOD('(直掃)RX Mapping'!D30,120)=0, '(直掃)RX Mapping'!D30 &lt;= 480,  '(直掃)RX Mapping'!D30 &gt; 0), 120)</f>
        <v>208</v>
      </c>
      <c r="E30">
        <f>IF(
(AND('(直掃)RX Mapping'!E30&gt;=0,'(直掃)RX Mapping'!E30&lt;=480)),
(MOD('(直掃)RX Mapping'!E30,120)-1),
IF(
(AND('(直掃)RX Mapping'!E30&gt;=480,'(直掃)RX Mapping'!E30&lt;=960)),
IF(MOD('(直掃)RX Mapping'!E30,120)=0, 120, 240-MOD('(直掃)RX Mapping'!E30,120)),9999))+IF(AND(MOD('(直掃)RX Mapping'!E30,120)=0, '(直掃)RX Mapping'!E30 &lt;= 480,  '(直掃)RX Mapping'!E30 &gt; 0), 120)</f>
        <v>148</v>
      </c>
      <c r="F30">
        <f>IF(
(AND('(直掃)RX Mapping'!F30&gt;=0,'(直掃)RX Mapping'!F30&lt;=480)),
(MOD('(直掃)RX Mapping'!F30,120)-1),
IF(
(AND('(直掃)RX Mapping'!F30&gt;=480,'(直掃)RX Mapping'!F30&lt;=960)),
IF(MOD('(直掃)RX Mapping'!F30,120)=0, 120, 240-MOD('(直掃)RX Mapping'!F30,120)),9999))+IF(AND(MOD('(直掃)RX Mapping'!F30,120)=0, '(直掃)RX Mapping'!F30 &lt;= 480,  '(直掃)RX Mapping'!F30 &gt; 0), 120)</f>
        <v>178</v>
      </c>
      <c r="G30">
        <f>IF(
(AND('(直掃)RX Mapping'!G30&gt;=0,'(直掃)RX Mapping'!G30&lt;=480)),
(MOD('(直掃)RX Mapping'!G30,120)-1),
IF(
(AND('(直掃)RX Mapping'!G30&gt;=480,'(直掃)RX Mapping'!G30&lt;=960)),
IF(MOD('(直掃)RX Mapping'!G30,120)=0, 120, 240-MOD('(直掃)RX Mapping'!G30,120)),9999))+IF(AND(MOD('(直掃)RX Mapping'!G30,120)=0, '(直掃)RX Mapping'!G30 &lt;= 480,  '(直掃)RX Mapping'!G30 &gt; 0), 120)</f>
        <v>208</v>
      </c>
      <c r="H30">
        <f>IF(
(AND('(直掃)RX Mapping'!H30&gt;=0,'(直掃)RX Mapping'!H30&lt;=480)),
(MOD('(直掃)RX Mapping'!H30,120)-1),
IF(
(AND('(直掃)RX Mapping'!H30&gt;=480,'(直掃)RX Mapping'!H30&lt;=960)),
IF(MOD('(直掃)RX Mapping'!H30,120)=0, 120, 240-MOD('(直掃)RX Mapping'!H30,120)),9999))+IF(AND(MOD('(直掃)RX Mapping'!H30,120)=0, '(直掃)RX Mapping'!H30 &lt;= 480,  '(直掃)RX Mapping'!H30 &gt; 0), 120)</f>
        <v>148</v>
      </c>
      <c r="I30">
        <f>IF(
(AND('(直掃)RX Mapping'!I30&gt;=0,'(直掃)RX Mapping'!I30&lt;=480)),
(MOD('(直掃)RX Mapping'!I30,120)-1),
IF(
(AND('(直掃)RX Mapping'!I30&gt;=480,'(直掃)RX Mapping'!I30&lt;=960)),
IF(MOD('(直掃)RX Mapping'!I30,120)=0, 120, 240-MOD('(直掃)RX Mapping'!I30,120)),9999))+IF(AND(MOD('(直掃)RX Mapping'!I30,120)=0, '(直掃)RX Mapping'!I30 &lt;= 480,  '(直掃)RX Mapping'!I30 &gt; 0), 120)</f>
        <v>178</v>
      </c>
      <c r="J30">
        <f>IF(
(AND('(直掃)RX Mapping'!J30&gt;=0,'(直掃)RX Mapping'!J30&lt;=480)),
(MOD('(直掃)RX Mapping'!J30,120)-1),
IF(
(AND('(直掃)RX Mapping'!J30&gt;=480,'(直掃)RX Mapping'!J30&lt;=960)),
IF(MOD('(直掃)RX Mapping'!J30,120)=0, 120, 240-MOD('(直掃)RX Mapping'!J30,120)),9999))+IF(AND(MOD('(直掃)RX Mapping'!J30,120)=0, '(直掃)RX Mapping'!J30 &lt;= 480,  '(直掃)RX Mapping'!J30 &gt; 0), 120)</f>
        <v>208</v>
      </c>
      <c r="K30">
        <f>IF(
(AND('(直掃)RX Mapping'!K30&gt;=0,'(直掃)RX Mapping'!K30&lt;=480)),
(MOD('(直掃)RX Mapping'!K30,120)-1),
IF(
(AND('(直掃)RX Mapping'!K30&gt;=480,'(直掃)RX Mapping'!K30&lt;=960)),
IF(MOD('(直掃)RX Mapping'!K30,120)=0, 120, 240-MOD('(直掃)RX Mapping'!K30,120)),9999))+IF(AND(MOD('(直掃)RX Mapping'!K30,120)=0, '(直掃)RX Mapping'!K30 &lt;= 480,  '(直掃)RX Mapping'!K30 &gt; 0), 120)</f>
        <v>238</v>
      </c>
      <c r="L30">
        <f>IF(
(AND('(直掃)RX Mapping'!L30&gt;=0,'(直掃)RX Mapping'!L30&lt;=480)),
(MOD('(直掃)RX Mapping'!L30,120)-1),
IF(
(AND('(直掃)RX Mapping'!L30&gt;=480,'(直掃)RX Mapping'!L30&lt;=960)),
IF(MOD('(直掃)RX Mapping'!L30,120)=0, 120, 240-MOD('(直掃)RX Mapping'!L30,120)),9999))+IF(AND(MOD('(直掃)RX Mapping'!L30,120)=0, '(直掃)RX Mapping'!L30 &lt;= 480,  '(直掃)RX Mapping'!L30 &gt; 0), 120)</f>
        <v>148</v>
      </c>
      <c r="M30">
        <f>IF(
(AND('(直掃)RX Mapping'!M30&gt;=0,'(直掃)RX Mapping'!M30&lt;=480)),
(MOD('(直掃)RX Mapping'!M30,120)-1),
IF(
(AND('(直掃)RX Mapping'!M30&gt;=480,'(直掃)RX Mapping'!M30&lt;=960)),
IF(MOD('(直掃)RX Mapping'!M30,120)=0, 120, 240-MOD('(直掃)RX Mapping'!M30,120)),9999))+IF(AND(MOD('(直掃)RX Mapping'!M30,120)=0, '(直掃)RX Mapping'!M30 &lt;= 480,  '(直掃)RX Mapping'!M30 &gt; 0), 120)</f>
        <v>178</v>
      </c>
      <c r="N30">
        <f>IF(
(AND('(直掃)RX Mapping'!N30&gt;=0,'(直掃)RX Mapping'!N30&lt;=480)),
(MOD('(直掃)RX Mapping'!N30,120)-1),
IF(
(AND('(直掃)RX Mapping'!N30&gt;=480,'(直掃)RX Mapping'!N30&lt;=960)),
IF(MOD('(直掃)RX Mapping'!N30,120)=0, 120, 240-MOD('(直掃)RX Mapping'!N30,120)),9999))+IF(AND(MOD('(直掃)RX Mapping'!N30,120)=0, '(直掃)RX Mapping'!N30 &lt;= 480,  '(直掃)RX Mapping'!N30 &gt; 0), 120)</f>
        <v>208</v>
      </c>
      <c r="O30">
        <f>IF(
(AND('(直掃)RX Mapping'!O30&gt;=0,'(直掃)RX Mapping'!O30&lt;=480)),
(MOD('(直掃)RX Mapping'!O30,120)-1),
IF(
(AND('(直掃)RX Mapping'!O30&gt;=480,'(直掃)RX Mapping'!O30&lt;=960)),
IF(MOD('(直掃)RX Mapping'!O30,120)=0, 120, 240-MOD('(直掃)RX Mapping'!O30,120)),9999))+IF(AND(MOD('(直掃)RX Mapping'!O30,120)=0, '(直掃)RX Mapping'!O30 &lt;= 480,  '(直掃)RX Mapping'!O30 &gt; 0), 120)</f>
        <v>238</v>
      </c>
      <c r="P30">
        <f>IF(
(AND('(直掃)RX Mapping'!P30&gt;=0,'(直掃)RX Mapping'!P30&lt;=480)),
(MOD('(直掃)RX Mapping'!P30,120)-1),
IF(
(AND('(直掃)RX Mapping'!P30&gt;=480,'(直掃)RX Mapping'!P30&lt;=960)),
IF(MOD('(直掃)RX Mapping'!P30,120)=0, 120, 240-MOD('(直掃)RX Mapping'!P30,120)),9999))+IF(AND(MOD('(直掃)RX Mapping'!P30,120)=0, '(直掃)RX Mapping'!P30 &lt;= 480,  '(直掃)RX Mapping'!P30 &gt; 0), 120)</f>
        <v>91</v>
      </c>
      <c r="Q30">
        <f>IF(
(AND('(直掃)RX Mapping'!Q30&gt;=0,'(直掃)RX Mapping'!Q30&lt;=480)),
(MOD('(直掃)RX Mapping'!Q30,120)-1),
IF(
(AND('(直掃)RX Mapping'!Q30&gt;=480,'(直掃)RX Mapping'!Q30&lt;=960)),
IF(MOD('(直掃)RX Mapping'!Q30,120)=0, 120, 240-MOD('(直掃)RX Mapping'!Q30,120)),9999))+IF(AND(MOD('(直掃)RX Mapping'!Q30,120)=0, '(直掃)RX Mapping'!Q30 &lt;= 480,  '(直掃)RX Mapping'!Q30 &gt; 0), 120)</f>
        <v>61</v>
      </c>
      <c r="R30">
        <f>IF(
(AND('(直掃)RX Mapping'!R30&gt;=0,'(直掃)RX Mapping'!R30&lt;=480)),
(MOD('(直掃)RX Mapping'!R30,120)-1),
IF(
(AND('(直掃)RX Mapping'!R30&gt;=480,'(直掃)RX Mapping'!R30&lt;=960)),
IF(MOD('(直掃)RX Mapping'!R30,120)=0, 120, 240-MOD('(直掃)RX Mapping'!R30,120)),9999))+IF(AND(MOD('(直掃)RX Mapping'!R30,120)=0, '(直掃)RX Mapping'!R30 &lt;= 480,  '(直掃)RX Mapping'!R30 &gt; 0), 120)</f>
        <v>31</v>
      </c>
      <c r="S30">
        <f>IF(
(AND('(直掃)RX Mapping'!S30&gt;=0,'(直掃)RX Mapping'!S30&lt;=480)),
(MOD('(直掃)RX Mapping'!S30,120)-1),
IF(
(AND('(直掃)RX Mapping'!S30&gt;=480,'(直掃)RX Mapping'!S30&lt;=960)),
IF(MOD('(直掃)RX Mapping'!S30,120)=0, 120, 240-MOD('(直掃)RX Mapping'!S30,120)),9999))+IF(AND(MOD('(直掃)RX Mapping'!S30,120)=0, '(直掃)RX Mapping'!S30 &lt;= 480,  '(直掃)RX Mapping'!S30 &gt; 0), 120)</f>
        <v>1</v>
      </c>
      <c r="T30">
        <f>IF(
(AND('(直掃)RX Mapping'!T30&gt;=0,'(直掃)RX Mapping'!T30&lt;=480)),
(MOD('(直掃)RX Mapping'!T30,120)-1),
IF(
(AND('(直掃)RX Mapping'!T30&gt;=480,'(直掃)RX Mapping'!T30&lt;=960)),
IF(MOD('(直掃)RX Mapping'!T30,120)=0, 120, 240-MOD('(直掃)RX Mapping'!T30,120)),9999))+IF(AND(MOD('(直掃)RX Mapping'!T30,120)=0, '(直掃)RX Mapping'!T30 &lt;= 480,  '(直掃)RX Mapping'!T30 &gt; 0), 120)</f>
        <v>91</v>
      </c>
      <c r="U30">
        <f>IF(
(AND('(直掃)RX Mapping'!U30&gt;=0,'(直掃)RX Mapping'!U30&lt;=480)),
(MOD('(直掃)RX Mapping'!U30,120)-1),
IF(
(AND('(直掃)RX Mapping'!U30&gt;=480,'(直掃)RX Mapping'!U30&lt;=960)),
IF(MOD('(直掃)RX Mapping'!U30,120)=0, 120, 240-MOD('(直掃)RX Mapping'!U30,120)),9999))+IF(AND(MOD('(直掃)RX Mapping'!U30,120)=0, '(直掃)RX Mapping'!U30 &lt;= 480,  '(直掃)RX Mapping'!U30 &gt; 0), 120)</f>
        <v>61</v>
      </c>
      <c r="V30">
        <f>IF(
(AND('(直掃)RX Mapping'!V30&gt;=0,'(直掃)RX Mapping'!V30&lt;=480)),
(MOD('(直掃)RX Mapping'!V30,120)-1),
IF(
(AND('(直掃)RX Mapping'!V30&gt;=480,'(直掃)RX Mapping'!V30&lt;=960)),
IF(MOD('(直掃)RX Mapping'!V30,120)=0, 120, 240-MOD('(直掃)RX Mapping'!V30,120)),9999))+IF(AND(MOD('(直掃)RX Mapping'!V30,120)=0, '(直掃)RX Mapping'!V30 &lt;= 480,  '(直掃)RX Mapping'!V30 &gt; 0), 120)</f>
        <v>31</v>
      </c>
      <c r="W30">
        <f>IF(
(AND('(直掃)RX Mapping'!W30&gt;=0,'(直掃)RX Mapping'!W30&lt;=480)),
(MOD('(直掃)RX Mapping'!W30,120)-1),
IF(
(AND('(直掃)RX Mapping'!W30&gt;=480,'(直掃)RX Mapping'!W30&lt;=960)),
IF(MOD('(直掃)RX Mapping'!W30,120)=0, 120, 240-MOD('(直掃)RX Mapping'!W30,120)),9999))+IF(AND(MOD('(直掃)RX Mapping'!W30,120)=0, '(直掃)RX Mapping'!W30 &lt;= 480,  '(直掃)RX Mapping'!W30 &gt; 0), 120)</f>
        <v>1</v>
      </c>
      <c r="X30">
        <f>IF(
(AND('(直掃)RX Mapping'!X30&gt;=0,'(直掃)RX Mapping'!X30&lt;=480)),
(MOD('(直掃)RX Mapping'!X30,120)-1),
IF(
(AND('(直掃)RX Mapping'!X30&gt;=480,'(直掃)RX Mapping'!X30&lt;=960)),
IF(MOD('(直掃)RX Mapping'!X30,120)=0, 120, 240-MOD('(直掃)RX Mapping'!X30,120)),9999))+IF(AND(MOD('(直掃)RX Mapping'!X30,120)=0, '(直掃)RX Mapping'!X30 &lt;= 480,  '(直掃)RX Mapping'!X30 &gt; 0), 120)</f>
        <v>61</v>
      </c>
      <c r="Y30">
        <f>IF(
(AND('(直掃)RX Mapping'!Y30&gt;=0,'(直掃)RX Mapping'!Y30&lt;=480)),
(MOD('(直掃)RX Mapping'!Y30,120)-1),
IF(
(AND('(直掃)RX Mapping'!Y30&gt;=480,'(直掃)RX Mapping'!Y30&lt;=960)),
IF(MOD('(直掃)RX Mapping'!Y30,120)=0, 120, 240-MOD('(直掃)RX Mapping'!Y30,120)),9999))+IF(AND(MOD('(直掃)RX Mapping'!Y30,120)=0, '(直掃)RX Mapping'!Y30 &lt;= 480,  '(直掃)RX Mapping'!Y30 &gt; 0), 120)</f>
        <v>31</v>
      </c>
      <c r="Z30">
        <f>IF(
(AND('(直掃)RX Mapping'!Z30&gt;=0,'(直掃)RX Mapping'!Z30&lt;=480)),
(MOD('(直掃)RX Mapping'!Z30,120)-1),
IF(
(AND('(直掃)RX Mapping'!Z30&gt;=480,'(直掃)RX Mapping'!Z30&lt;=960)),
IF(MOD('(直掃)RX Mapping'!Z30,120)=0, 120, 240-MOD('(直掃)RX Mapping'!Z30,120)),9999))+IF(AND(MOD('(直掃)RX Mapping'!Z30,120)=0, '(直掃)RX Mapping'!Z30 &lt;= 480,  '(直掃)RX Mapping'!Z30 &gt; 0), 120)</f>
        <v>1</v>
      </c>
      <c r="AA30">
        <f>IF(
(AND('(直掃)RX Mapping'!AA30&gt;=0,'(直掃)RX Mapping'!AA30&lt;=480)),
(MOD('(直掃)RX Mapping'!AA30,120)-1),
IF(
(AND('(直掃)RX Mapping'!AA30&gt;=480,'(直掃)RX Mapping'!AA30&lt;=960)),
IF(MOD('(直掃)RX Mapping'!AA30,120)=0, 120, 240-MOD('(直掃)RX Mapping'!AA30,120)),9999))+IF(AND(MOD('(直掃)RX Mapping'!AA30,120)=0, '(直掃)RX Mapping'!AA30 &lt;= 480,  '(直掃)RX Mapping'!AA30 &gt; 0), 120)</f>
        <v>61</v>
      </c>
      <c r="AB30">
        <f>IF(
(AND('(直掃)RX Mapping'!AB30&gt;=0,'(直掃)RX Mapping'!AB30&lt;=480)),
(MOD('(直掃)RX Mapping'!AB30,120)-1),
IF(
(AND('(直掃)RX Mapping'!AB30&gt;=480,'(直掃)RX Mapping'!AB30&lt;=960)),
IF(MOD('(直掃)RX Mapping'!AB30,120)=0, 120, 240-MOD('(直掃)RX Mapping'!AB30,120)),9999))+IF(AND(MOD('(直掃)RX Mapping'!AB30,120)=0, '(直掃)RX Mapping'!AB30 &lt;= 480,  '(直掃)RX Mapping'!AB30 &gt; 0), 120)</f>
        <v>31</v>
      </c>
      <c r="AC30">
        <f>IF(
(AND('(直掃)RX Mapping'!AC30&gt;=0,'(直掃)RX Mapping'!AC30&lt;=480)),
(MOD('(直掃)RX Mapping'!AC30,120)-1),
IF(
(AND('(直掃)RX Mapping'!AC30&gt;=480,'(直掃)RX Mapping'!AC30&lt;=960)),
IF(MOD('(直掃)RX Mapping'!AC30,120)=0, 120, 240-MOD('(直掃)RX Mapping'!AC30,120)),9999))+IF(AND(MOD('(直掃)RX Mapping'!AC30,120)=0, '(直掃)RX Mapping'!AC30 &lt;= 480,  '(直掃)RX Mapping'!AC30 &gt; 0), 120)</f>
        <v>1</v>
      </c>
      <c r="AD30">
        <f>IF(
(AND('(直掃)RX Mapping'!AD30&gt;=0,'(直掃)RX Mapping'!AD30&lt;=480)),
(MOD('(直掃)RX Mapping'!AD30,120)-1),
IF(
(AND('(直掃)RX Mapping'!AD30&gt;=480,'(直掃)RX Mapping'!AD30&lt;=960)),
IF(MOD('(直掃)RX Mapping'!AD30,120)=0, 120, 240-MOD('(直掃)RX Mapping'!AD30,120)),9999))+IF(AND(MOD('(直掃)RX Mapping'!AD30,120)=0, '(直掃)RX Mapping'!AD30 &lt;= 480,  '(直掃)RX Mapping'!AD30 &gt; 0), 120)</f>
        <v>-1</v>
      </c>
      <c r="AE30">
        <f>IF(
(AND('(直掃)RX Mapping'!AE30&gt;=0,'(直掃)RX Mapping'!AE30&lt;=480)),
(MOD('(直掃)RX Mapping'!AE30,120)-1),
IF(
(AND('(直掃)RX Mapping'!AE30&gt;=480,'(直掃)RX Mapping'!AE30&lt;=960)),
IF(MOD('(直掃)RX Mapping'!AE30,120)=0, 120, 240-MOD('(直掃)RX Mapping'!AE30,120)),9999))+IF(AND(MOD('(直掃)RX Mapping'!AE30,120)=0, '(直掃)RX Mapping'!AE30 &lt;= 480,  '(直掃)RX Mapping'!AE30 &gt; 0), 120)</f>
        <v>-1</v>
      </c>
      <c r="AF30">
        <f>IF(
(AND('(直掃)RX Mapping'!AF30&gt;=0,'(直掃)RX Mapping'!AF30&lt;=480)),
(MOD('(直掃)RX Mapping'!AF30,120)-1),
IF(
(AND('(直掃)RX Mapping'!AF30&gt;=480,'(直掃)RX Mapping'!AF30&lt;=960)),
IF(MOD('(直掃)RX Mapping'!AF30,120)=0, 120, 240-MOD('(直掃)RX Mapping'!AF30,120)),9999))+IF(AND(MOD('(直掃)RX Mapping'!AF30,120)=0, '(直掃)RX Mapping'!AF30 &lt;= 480,  '(直掃)RX Mapping'!AF30 &gt; 0), 120)</f>
        <v>-1</v>
      </c>
      <c r="AG30">
        <f>IF(
(AND('(直掃)RX Mapping'!AG30&gt;=0,'(直掃)RX Mapping'!AG30&lt;=480)),
(MOD('(直掃)RX Mapping'!AG30,120)-1),
IF(
(AND('(直掃)RX Mapping'!AG30&gt;=480,'(直掃)RX Mapping'!AG30&lt;=960)),
IF(MOD('(直掃)RX Mapping'!AG30,120)=0, 120, 240-MOD('(直掃)RX Mapping'!AG30,120)),9999))+IF(AND(MOD('(直掃)RX Mapping'!AG30,120)=0, '(直掃)RX Mapping'!AG30 &lt;= 480,  '(直掃)RX Mapping'!AG30 &gt; 0), 120)</f>
        <v>-1</v>
      </c>
      <c r="AH30">
        <f>IF(
(AND('(直掃)RX Mapping'!AH30&gt;=0,'(直掃)RX Mapping'!AH30&lt;=480)),
(MOD('(直掃)RX Mapping'!AH30,120)-1),
IF(
(AND('(直掃)RX Mapping'!AH30&gt;=480,'(直掃)RX Mapping'!AH30&lt;=960)),
IF(MOD('(直掃)RX Mapping'!AH30,120)=0, 120, 240-MOD('(直掃)RX Mapping'!AH30,120)),9999))+IF(AND(MOD('(直掃)RX Mapping'!AH30,120)=0, '(直掃)RX Mapping'!AH30 &lt;= 480,  '(直掃)RX Mapping'!AH30 &gt; 0), 120)</f>
        <v>-1</v>
      </c>
      <c r="AI30">
        <f>IF(
(AND('(直掃)RX Mapping'!AI30&gt;=0,'(直掃)RX Mapping'!AI30&lt;=480)),
(MOD('(直掃)RX Mapping'!AI30,120)-1),
IF(
(AND('(直掃)RX Mapping'!AI30&gt;=480,'(直掃)RX Mapping'!AI30&lt;=960)),
IF(MOD('(直掃)RX Mapping'!AI30,120)=0, 120, 240-MOD('(直掃)RX Mapping'!AI30,120)),9999))+IF(AND(MOD('(直掃)RX Mapping'!AI30,120)=0, '(直掃)RX Mapping'!AI30 &lt;= 480,  '(直掃)RX Mapping'!AI30 &gt; 0), 120)</f>
        <v>-1</v>
      </c>
      <c r="AJ30">
        <f>IF(
(AND('(直掃)RX Mapping'!AJ30&gt;=0,'(直掃)RX Mapping'!AJ30&lt;=480)),
(MOD('(直掃)RX Mapping'!AJ30,120)-1),
IF(
(AND('(直掃)RX Mapping'!AJ30&gt;=480,'(直掃)RX Mapping'!AJ30&lt;=960)),
IF(MOD('(直掃)RX Mapping'!AJ30,120)=0, 120, 240-MOD('(直掃)RX Mapping'!AJ30,120)),9999))+IF(AND(MOD('(直掃)RX Mapping'!AJ30,120)=0, '(直掃)RX Mapping'!AJ30 &lt;= 480,  '(直掃)RX Mapping'!AJ30 &gt; 0), 120)</f>
        <v>-1</v>
      </c>
      <c r="AK30">
        <f>IF(
(AND('(直掃)RX Mapping'!AK30&gt;=0,'(直掃)RX Mapping'!AK30&lt;=480)),
(MOD('(直掃)RX Mapping'!AK30,120)-1),
IF(
(AND('(直掃)RX Mapping'!AK30&gt;=480,'(直掃)RX Mapping'!AK30&lt;=960)),
IF(MOD('(直掃)RX Mapping'!AK30,120)=0, 120, 240-MOD('(直掃)RX Mapping'!AK30,120)),9999))+IF(AND(MOD('(直掃)RX Mapping'!AK30,120)=0, '(直掃)RX Mapping'!AK30 &lt;= 480,  '(直掃)RX Mapping'!AK30 &gt; 0), 120)</f>
        <v>-1</v>
      </c>
      <c r="AL30">
        <f>IF(
(AND('(直掃)RX Mapping'!AL30&gt;=0,'(直掃)RX Mapping'!AL30&lt;=480)),
(MOD('(直掃)RX Mapping'!AL30,120)-1),
IF(
(AND('(直掃)RX Mapping'!AL30&gt;=480,'(直掃)RX Mapping'!AL30&lt;=960)),
IF(MOD('(直掃)RX Mapping'!AL30,120)=0, 120, 240-MOD('(直掃)RX Mapping'!AL30,120)),9999))+IF(AND(MOD('(直掃)RX Mapping'!AL30,120)=0, '(直掃)RX Mapping'!AL30 &lt;= 480,  '(直掃)RX Mapping'!AL30 &gt; 0), 120)</f>
        <v>-1</v>
      </c>
      <c r="AM30">
        <f>IF(
(AND('(直掃)RX Mapping'!AM30&gt;=0,'(直掃)RX Mapping'!AM30&lt;=480)),
(MOD('(直掃)RX Mapping'!AM30,120)-1),
IF(
(AND('(直掃)RX Mapping'!AM30&gt;=480,'(直掃)RX Mapping'!AM30&lt;=960)),
IF(MOD('(直掃)RX Mapping'!AM30,120)=0, 120, 240-MOD('(直掃)RX Mapping'!AM30,120)),9999))+IF(AND(MOD('(直掃)RX Mapping'!AM30,120)=0, '(直掃)RX Mapping'!AM30 &lt;= 480,  '(直掃)RX Mapping'!AM30 &gt; 0), 120)</f>
        <v>-1</v>
      </c>
      <c r="AN30">
        <f>IF(
(AND('(直掃)RX Mapping'!AN30&gt;=0,'(直掃)RX Mapping'!AN30&lt;=480)),
(MOD('(直掃)RX Mapping'!AN30,120)-1),
IF(
(AND('(直掃)RX Mapping'!AN30&gt;=480,'(直掃)RX Mapping'!AN30&lt;=960)),
IF(MOD('(直掃)RX Mapping'!AN30,120)=0, 120, 240-MOD('(直掃)RX Mapping'!AN30,120)),9999))+IF(AND(MOD('(直掃)RX Mapping'!AN30,120)=0, '(直掃)RX Mapping'!AN30 &lt;= 480,  '(直掃)RX Mapping'!AN30 &gt; 0), 120)</f>
        <v>-1</v>
      </c>
      <c r="AO30">
        <f>IF(
(AND('(直掃)RX Mapping'!AO30&gt;=0,'(直掃)RX Mapping'!AO30&lt;=480)),
(MOD('(直掃)RX Mapping'!AO30,120)-1),
IF(
(AND('(直掃)RX Mapping'!AO30&gt;=480,'(直掃)RX Mapping'!AO30&lt;=960)),
IF(MOD('(直掃)RX Mapping'!AO30,120)=0, 120, 240-MOD('(直掃)RX Mapping'!AO30,120)),9999))+IF(AND(MOD('(直掃)RX Mapping'!AO30,120)=0, '(直掃)RX Mapping'!AO30 &lt;= 480,  '(直掃)RX Mapping'!AO30 &gt; 0), 120)</f>
        <v>-1</v>
      </c>
      <c r="AP30">
        <f>IF(
(AND('(直掃)RX Mapping'!AP30&gt;=0,'(直掃)RX Mapping'!AP30&lt;=480)),
(MOD('(直掃)RX Mapping'!AP30,120)-1),
IF(
(AND('(直掃)RX Mapping'!AP30&gt;=480,'(直掃)RX Mapping'!AP30&lt;=960)),
IF(MOD('(直掃)RX Mapping'!AP30,120)=0, 120, 240-MOD('(直掃)RX Mapping'!AP30,120)),9999))+IF(AND(MOD('(直掃)RX Mapping'!AP30,120)=0, '(直掃)RX Mapping'!AP30 &lt;= 480,  '(直掃)RX Mapping'!AP30 &gt; 0), 120)</f>
        <v>-1</v>
      </c>
      <c r="AQ30">
        <f>IF(
(AND('(直掃)RX Mapping'!AQ30&gt;=0,'(直掃)RX Mapping'!AQ30&lt;=480)),
(MOD('(直掃)RX Mapping'!AQ30,120)-1),
IF(
(AND('(直掃)RX Mapping'!AQ30&gt;=480,'(直掃)RX Mapping'!AQ30&lt;=960)),
IF(MOD('(直掃)RX Mapping'!AQ30,120)=0, 120, 240-MOD('(直掃)RX Mapping'!AQ30,120)),9999))+IF(AND(MOD('(直掃)RX Mapping'!AQ30,120)=0, '(直掃)RX Mapping'!AQ30 &lt;= 480,  '(直掃)RX Mapping'!AQ30 &gt; 0), 120)</f>
        <v>-1</v>
      </c>
      <c r="AR30">
        <f>IF(
(AND('(直掃)RX Mapping'!AR30&gt;=0,'(直掃)RX Mapping'!AR30&lt;=480)),
(MOD('(直掃)RX Mapping'!AR30,120)-1),
IF(
(AND('(直掃)RX Mapping'!AR30&gt;=480,'(直掃)RX Mapping'!AR30&lt;=960)),
IF(MOD('(直掃)RX Mapping'!AR30,120)=0, 120, 240-MOD('(直掃)RX Mapping'!AR30,120)),9999))+IF(AND(MOD('(直掃)RX Mapping'!AR30,120)=0, '(直掃)RX Mapping'!AR30 &lt;= 480,  '(直掃)RX Mapping'!AR30 &gt; 0), 120)</f>
        <v>-1</v>
      </c>
      <c r="AS30">
        <f>IF(
(AND('(直掃)RX Mapping'!AS30&gt;=0,'(直掃)RX Mapping'!AS30&lt;=480)),
(MOD('(直掃)RX Mapping'!AS30,120)-1),
IF(
(AND('(直掃)RX Mapping'!AS30&gt;=480,'(直掃)RX Mapping'!AS30&lt;=960)),
IF(MOD('(直掃)RX Mapping'!AS30,120)=0, 120, 240-MOD('(直掃)RX Mapping'!AS30,120)),9999))+IF(AND(MOD('(直掃)RX Mapping'!AS30,120)=0, '(直掃)RX Mapping'!AS30 &lt;= 480,  '(直掃)RX Mapping'!AS30 &gt; 0), 120)</f>
        <v>-1</v>
      </c>
      <c r="AT30">
        <f>IF(AND('(橫掃)RX Mapping'!AT30&gt;=1,'(橫掃)RX Mapping'!AT30&lt;=120), ('(橫掃)RX Mapping'!AT30-1),IF(AND('(橫掃)RX Mapping'!AT30&gt;=121,'(橫掃)RX Mapping'!AT30&lt;=240), (-1)*('(橫掃)RX Mapping'!AT30-240),IF(AND('(橫掃)RX Mapping'!AT30&gt;=241,'(橫掃)RX Mapping'!AT30&lt;=360), ('(橫掃)RX Mapping'!AT30-241),IF(AND('(橫掃)RX Mapping'!AT30&gt;=361,'(橫掃)RX Mapping'!AT30&lt;=480), (-1)*('(橫掃)RX Mapping'!AT30-480),IF(AND('(橫掃)RX Mapping'!AT30&gt;=481,'(橫掃)RX Mapping'!AT30&lt;=600), ('(橫掃)RX Mapping'!AT30-361),IF(AND('(橫掃)RX Mapping'!AT30&gt;=601,'(橫掃)RX Mapping'!AT30&lt;=720), (-1)*('(橫掃)RX Mapping'!AT30-720)+120,IF(AND('(橫掃)RX Mapping'!AT30&gt;=721,'(橫掃)RX Mapping'!AT30&lt;=840), ('(橫掃)RX Mapping'!AT30-601),IF(AND('(橫掃)RX Mapping'!AT30&gt;=841,'(橫掃)RX Mapping'!AT30&lt;=960), (-1)*('(橫掃)RX Mapping'!AT30-960)+120,9999))))))))</f>
        <v>9999</v>
      </c>
      <c r="AU30">
        <f>IF(AND('(橫掃)RX Mapping'!AU30&gt;=1,'(橫掃)RX Mapping'!AU30&lt;=120), ('(橫掃)RX Mapping'!AU30-1),IF(AND('(橫掃)RX Mapping'!AU30&gt;=121,'(橫掃)RX Mapping'!AU30&lt;=240), (-1)*('(橫掃)RX Mapping'!AU30-240),IF(AND('(橫掃)RX Mapping'!AU30&gt;=241,'(橫掃)RX Mapping'!AU30&lt;=360), ('(橫掃)RX Mapping'!AU30-241),IF(AND('(橫掃)RX Mapping'!AU30&gt;=361,'(橫掃)RX Mapping'!AU30&lt;=480), (-1)*('(橫掃)RX Mapping'!AU30-480),IF(AND('(橫掃)RX Mapping'!AU30&gt;=481,'(橫掃)RX Mapping'!AU30&lt;=600), ('(橫掃)RX Mapping'!AU30-361),IF(AND('(橫掃)RX Mapping'!AU30&gt;=601,'(橫掃)RX Mapping'!AU30&lt;=720), (-1)*('(橫掃)RX Mapping'!AU30-720)+120,IF(AND('(橫掃)RX Mapping'!AU30&gt;=721,'(橫掃)RX Mapping'!AU30&lt;=840), ('(橫掃)RX Mapping'!AU30-601),IF(AND('(橫掃)RX Mapping'!AU30&gt;=841,'(橫掃)RX Mapping'!AU30&lt;=960), (-1)*('(橫掃)RX Mapping'!AU30-960)+120,9999))))))))</f>
        <v>9999</v>
      </c>
      <c r="AV30">
        <f>IF(AND('(橫掃)RX Mapping'!AV30&gt;=1,'(橫掃)RX Mapping'!AV30&lt;=120), ('(橫掃)RX Mapping'!AV30-1),IF(AND('(橫掃)RX Mapping'!AV30&gt;=121,'(橫掃)RX Mapping'!AV30&lt;=240), (-1)*('(橫掃)RX Mapping'!AV30-240),IF(AND('(橫掃)RX Mapping'!AV30&gt;=241,'(橫掃)RX Mapping'!AV30&lt;=360), ('(橫掃)RX Mapping'!AV30-241),IF(AND('(橫掃)RX Mapping'!AV30&gt;=361,'(橫掃)RX Mapping'!AV30&lt;=480), (-1)*('(橫掃)RX Mapping'!AV30-480),IF(AND('(橫掃)RX Mapping'!AV30&gt;=481,'(橫掃)RX Mapping'!AV30&lt;=600), ('(橫掃)RX Mapping'!AV30-361),IF(AND('(橫掃)RX Mapping'!AV30&gt;=601,'(橫掃)RX Mapping'!AV30&lt;=720), (-1)*('(橫掃)RX Mapping'!AV30-720)+120,IF(AND('(橫掃)RX Mapping'!AV30&gt;=721,'(橫掃)RX Mapping'!AV30&lt;=840), ('(橫掃)RX Mapping'!AV30-601),IF(AND('(橫掃)RX Mapping'!AV30&gt;=841,'(橫掃)RX Mapping'!AV30&lt;=960), (-1)*('(橫掃)RX Mapping'!AV30-960)+120,9999))))))))</f>
        <v>9999</v>
      </c>
      <c r="AW30">
        <f>IF(AND('(橫掃)RX Mapping'!AW30&gt;=1,'(橫掃)RX Mapping'!AW30&lt;=120), ('(橫掃)RX Mapping'!AW30-1),IF(AND('(橫掃)RX Mapping'!AW30&gt;=121,'(橫掃)RX Mapping'!AW30&lt;=240), (-1)*('(橫掃)RX Mapping'!AW30-240),IF(AND('(橫掃)RX Mapping'!AW30&gt;=241,'(橫掃)RX Mapping'!AW30&lt;=360), ('(橫掃)RX Mapping'!AW30-241),IF(AND('(橫掃)RX Mapping'!AW30&gt;=361,'(橫掃)RX Mapping'!AW30&lt;=480), (-1)*('(橫掃)RX Mapping'!AW30-480),IF(AND('(橫掃)RX Mapping'!AW30&gt;=481,'(橫掃)RX Mapping'!AW30&lt;=600), ('(橫掃)RX Mapping'!AW30-361),IF(AND('(橫掃)RX Mapping'!AW30&gt;=601,'(橫掃)RX Mapping'!AW30&lt;=720), (-1)*('(橫掃)RX Mapping'!AW30-720)+120,IF(AND('(橫掃)RX Mapping'!AW30&gt;=721,'(橫掃)RX Mapping'!AW30&lt;=840), ('(橫掃)RX Mapping'!AW30-601),IF(AND('(橫掃)RX Mapping'!AW30&gt;=841,'(橫掃)RX Mapping'!AW30&lt;=960), (-1)*('(橫掃)RX Mapping'!AW30-960)+120,9999))))))))</f>
        <v>9999</v>
      </c>
      <c r="AX30">
        <f>IF(AND('(橫掃)RX Mapping'!AX30&gt;=1,'(橫掃)RX Mapping'!AX30&lt;=120), ('(橫掃)RX Mapping'!AX30-1),IF(AND('(橫掃)RX Mapping'!AX30&gt;=121,'(橫掃)RX Mapping'!AX30&lt;=240), (-1)*('(橫掃)RX Mapping'!AX30-240),IF(AND('(橫掃)RX Mapping'!AX30&gt;=241,'(橫掃)RX Mapping'!AX30&lt;=360), ('(橫掃)RX Mapping'!AX30-241),IF(AND('(橫掃)RX Mapping'!AX30&gt;=361,'(橫掃)RX Mapping'!AX30&lt;=480), (-1)*('(橫掃)RX Mapping'!AX30-480),IF(AND('(橫掃)RX Mapping'!AX30&gt;=481,'(橫掃)RX Mapping'!AX30&lt;=600), ('(橫掃)RX Mapping'!AX30-361),IF(AND('(橫掃)RX Mapping'!AX30&gt;=601,'(橫掃)RX Mapping'!AX30&lt;=720), (-1)*('(橫掃)RX Mapping'!AX30-720)+120,IF(AND('(橫掃)RX Mapping'!AX30&gt;=721,'(橫掃)RX Mapping'!AX30&lt;=840), ('(橫掃)RX Mapping'!AX30-601),IF(AND('(橫掃)RX Mapping'!AX30&gt;=841,'(橫掃)RX Mapping'!AX30&lt;=960), (-1)*('(橫掃)RX Mapping'!AX30-960)+120,9999))))))))</f>
        <v>9999</v>
      </c>
      <c r="AY30">
        <f>IF(AND('(橫掃)RX Mapping'!AY30&gt;=1,'(橫掃)RX Mapping'!AY30&lt;=120), ('(橫掃)RX Mapping'!AY30-1),IF(AND('(橫掃)RX Mapping'!AY30&gt;=121,'(橫掃)RX Mapping'!AY30&lt;=240), (-1)*('(橫掃)RX Mapping'!AY30-240),IF(AND('(橫掃)RX Mapping'!AY30&gt;=241,'(橫掃)RX Mapping'!AY30&lt;=360), ('(橫掃)RX Mapping'!AY30-241),IF(AND('(橫掃)RX Mapping'!AY30&gt;=361,'(橫掃)RX Mapping'!AY30&lt;=480), (-1)*('(橫掃)RX Mapping'!AY30-480),IF(AND('(橫掃)RX Mapping'!AY30&gt;=481,'(橫掃)RX Mapping'!AY30&lt;=600), ('(橫掃)RX Mapping'!AY30-361),IF(AND('(橫掃)RX Mapping'!AY30&gt;=601,'(橫掃)RX Mapping'!AY30&lt;=720), (-1)*('(橫掃)RX Mapping'!AY30-720)+120,IF(AND('(橫掃)RX Mapping'!AY30&gt;=721,'(橫掃)RX Mapping'!AY30&lt;=840), ('(橫掃)RX Mapping'!AY30-601),IF(AND('(橫掃)RX Mapping'!AY30&gt;=841,'(橫掃)RX Mapping'!AY30&lt;=960), (-1)*('(橫掃)RX Mapping'!AY30-960)+120,9999))))))))</f>
        <v>9999</v>
      </c>
      <c r="AZ30">
        <f>IF(AND('(橫掃)RX Mapping'!AZ30&gt;=1,'(橫掃)RX Mapping'!AZ30&lt;=120), ('(橫掃)RX Mapping'!AZ30-1),IF(AND('(橫掃)RX Mapping'!AZ30&gt;=121,'(橫掃)RX Mapping'!AZ30&lt;=240), (-1)*('(橫掃)RX Mapping'!AZ30-240),IF(AND('(橫掃)RX Mapping'!AZ30&gt;=241,'(橫掃)RX Mapping'!AZ30&lt;=360), ('(橫掃)RX Mapping'!AZ30-241),IF(AND('(橫掃)RX Mapping'!AZ30&gt;=361,'(橫掃)RX Mapping'!AZ30&lt;=480), (-1)*('(橫掃)RX Mapping'!AZ30-480),IF(AND('(橫掃)RX Mapping'!AZ30&gt;=481,'(橫掃)RX Mapping'!AZ30&lt;=600), ('(橫掃)RX Mapping'!AZ30-361),IF(AND('(橫掃)RX Mapping'!AZ30&gt;=601,'(橫掃)RX Mapping'!AZ30&lt;=720), (-1)*('(橫掃)RX Mapping'!AZ30-720)+120,IF(AND('(橫掃)RX Mapping'!AZ30&gt;=721,'(橫掃)RX Mapping'!AZ30&lt;=840), ('(橫掃)RX Mapping'!AZ30-601),IF(AND('(橫掃)RX Mapping'!AZ30&gt;=841,'(橫掃)RX Mapping'!AZ30&lt;=960), (-1)*('(橫掃)RX Mapping'!AZ30-960)+120,9999))))))))</f>
        <v>9999</v>
      </c>
      <c r="BA30">
        <f>IF(AND('(橫掃)RX Mapping'!BA30&gt;=1,'(橫掃)RX Mapping'!BA30&lt;=120), ('(橫掃)RX Mapping'!BA30-1),IF(AND('(橫掃)RX Mapping'!BA30&gt;=121,'(橫掃)RX Mapping'!BA30&lt;=240), (-1)*('(橫掃)RX Mapping'!BA30-240),IF(AND('(橫掃)RX Mapping'!BA30&gt;=241,'(橫掃)RX Mapping'!BA30&lt;=360), ('(橫掃)RX Mapping'!BA30-241),IF(AND('(橫掃)RX Mapping'!BA30&gt;=361,'(橫掃)RX Mapping'!BA30&lt;=480), (-1)*('(橫掃)RX Mapping'!BA30-480),IF(AND('(橫掃)RX Mapping'!BA30&gt;=481,'(橫掃)RX Mapping'!BA30&lt;=600), ('(橫掃)RX Mapping'!BA30-361),IF(AND('(橫掃)RX Mapping'!BA30&gt;=601,'(橫掃)RX Mapping'!BA30&lt;=720), (-1)*('(橫掃)RX Mapping'!BA30-720)+120,IF(AND('(橫掃)RX Mapping'!BA30&gt;=721,'(橫掃)RX Mapping'!BA30&lt;=840), ('(橫掃)RX Mapping'!BA30-601),IF(AND('(橫掃)RX Mapping'!BA30&gt;=841,'(橫掃)RX Mapping'!BA30&lt;=960), (-1)*('(橫掃)RX Mapping'!BA30-960)+120,9999))))))))</f>
        <v>9999</v>
      </c>
      <c r="BB30">
        <f>IF(AND('(橫掃)RX Mapping'!BB30&gt;=1,'(橫掃)RX Mapping'!BB30&lt;=120), ('(橫掃)RX Mapping'!BB30-1),IF(AND('(橫掃)RX Mapping'!BB30&gt;=121,'(橫掃)RX Mapping'!BB30&lt;=240), (-1)*('(橫掃)RX Mapping'!BB30-240),IF(AND('(橫掃)RX Mapping'!BB30&gt;=241,'(橫掃)RX Mapping'!BB30&lt;=360), ('(橫掃)RX Mapping'!BB30-241),IF(AND('(橫掃)RX Mapping'!BB30&gt;=361,'(橫掃)RX Mapping'!BB30&lt;=480), (-1)*('(橫掃)RX Mapping'!BB30-480),IF(AND('(橫掃)RX Mapping'!BB30&gt;=481,'(橫掃)RX Mapping'!BB30&lt;=600), ('(橫掃)RX Mapping'!BB30-361),IF(AND('(橫掃)RX Mapping'!BB30&gt;=601,'(橫掃)RX Mapping'!BB30&lt;=720), (-1)*('(橫掃)RX Mapping'!BB30-720)+120,IF(AND('(橫掃)RX Mapping'!BB30&gt;=721,'(橫掃)RX Mapping'!BB30&lt;=840), ('(橫掃)RX Mapping'!BB30-601),IF(AND('(橫掃)RX Mapping'!BB30&gt;=841,'(橫掃)RX Mapping'!BB30&lt;=960), (-1)*('(橫掃)RX Mapping'!BB30-960)+120,9999))))))))</f>
        <v>9999</v>
      </c>
      <c r="BC30">
        <f>IF(AND('(橫掃)RX Mapping'!BC30&gt;=1,'(橫掃)RX Mapping'!BC30&lt;=120), ('(橫掃)RX Mapping'!BC30-1),IF(AND('(橫掃)RX Mapping'!BC30&gt;=121,'(橫掃)RX Mapping'!BC30&lt;=240), (-1)*('(橫掃)RX Mapping'!BC30-240),IF(AND('(橫掃)RX Mapping'!BC30&gt;=241,'(橫掃)RX Mapping'!BC30&lt;=360), ('(橫掃)RX Mapping'!BC30-241),IF(AND('(橫掃)RX Mapping'!BC30&gt;=361,'(橫掃)RX Mapping'!BC30&lt;=480), (-1)*('(橫掃)RX Mapping'!BC30-480),IF(AND('(橫掃)RX Mapping'!BC30&gt;=481,'(橫掃)RX Mapping'!BC30&lt;=600), ('(橫掃)RX Mapping'!BC30-361),IF(AND('(橫掃)RX Mapping'!BC30&gt;=601,'(橫掃)RX Mapping'!BC30&lt;=720), (-1)*('(橫掃)RX Mapping'!BC30-720)+120,IF(AND('(橫掃)RX Mapping'!BC30&gt;=721,'(橫掃)RX Mapping'!BC30&lt;=840), ('(橫掃)RX Mapping'!BC30-601),IF(AND('(橫掃)RX Mapping'!BC30&gt;=841,'(橫掃)RX Mapping'!BC30&lt;=960), (-1)*('(橫掃)RX Mapping'!BC30-960)+120,9999))))))))</f>
        <v>9999</v>
      </c>
      <c r="BD30">
        <f>IF(AND('(橫掃)RX Mapping'!BD30&gt;=1,'(橫掃)RX Mapping'!BD30&lt;=120), ('(橫掃)RX Mapping'!BD30-1),IF(AND('(橫掃)RX Mapping'!BD30&gt;=121,'(橫掃)RX Mapping'!BD30&lt;=240), (-1)*('(橫掃)RX Mapping'!BD30-240),IF(AND('(橫掃)RX Mapping'!BD30&gt;=241,'(橫掃)RX Mapping'!BD30&lt;=360), ('(橫掃)RX Mapping'!BD30-241),IF(AND('(橫掃)RX Mapping'!BD30&gt;=361,'(橫掃)RX Mapping'!BD30&lt;=480), (-1)*('(橫掃)RX Mapping'!BD30-480),IF(AND('(橫掃)RX Mapping'!BD30&gt;=481,'(橫掃)RX Mapping'!BD30&lt;=600), ('(橫掃)RX Mapping'!BD30-361),IF(AND('(橫掃)RX Mapping'!BD30&gt;=601,'(橫掃)RX Mapping'!BD30&lt;=720), (-1)*('(橫掃)RX Mapping'!BD30-720)+120,IF(AND('(橫掃)RX Mapping'!BD30&gt;=721,'(橫掃)RX Mapping'!BD30&lt;=840), ('(橫掃)RX Mapping'!BD30-601),IF(AND('(橫掃)RX Mapping'!BD30&gt;=841,'(橫掃)RX Mapping'!BD30&lt;=960), (-1)*('(橫掃)RX Mapping'!BD30-960)+120,9999))))))))</f>
        <v>9999</v>
      </c>
      <c r="BE30">
        <f>IF(AND('(橫掃)RX Mapping'!BE30&gt;=1,'(橫掃)RX Mapping'!BE30&lt;=120), ('(橫掃)RX Mapping'!BE30-1),IF(AND('(橫掃)RX Mapping'!BE30&gt;=121,'(橫掃)RX Mapping'!BE30&lt;=240), (-1)*('(橫掃)RX Mapping'!BE30-240),IF(AND('(橫掃)RX Mapping'!BE30&gt;=241,'(橫掃)RX Mapping'!BE30&lt;=360), ('(橫掃)RX Mapping'!BE30-241),IF(AND('(橫掃)RX Mapping'!BE30&gt;=361,'(橫掃)RX Mapping'!BE30&lt;=480), (-1)*('(橫掃)RX Mapping'!BE30-480),IF(AND('(橫掃)RX Mapping'!BE30&gt;=481,'(橫掃)RX Mapping'!BE30&lt;=600), ('(橫掃)RX Mapping'!BE30-361),IF(AND('(橫掃)RX Mapping'!BE30&gt;=601,'(橫掃)RX Mapping'!BE30&lt;=720), (-1)*('(橫掃)RX Mapping'!BE30-720)+120,IF(AND('(橫掃)RX Mapping'!BE30&gt;=721,'(橫掃)RX Mapping'!BE30&lt;=840), ('(橫掃)RX Mapping'!BE30-601),IF(AND('(橫掃)RX Mapping'!BE30&gt;=841,'(橫掃)RX Mapping'!BE30&lt;=960), (-1)*('(橫掃)RX Mapping'!BE30-960)+120,9999))))))))</f>
        <v>9999</v>
      </c>
      <c r="BF30">
        <f>IF(AND('(橫掃)RX Mapping'!BF30&gt;=1,'(橫掃)RX Mapping'!BF30&lt;=120), ('(橫掃)RX Mapping'!BF30-1),IF(AND('(橫掃)RX Mapping'!BF30&gt;=121,'(橫掃)RX Mapping'!BF30&lt;=240), (-1)*('(橫掃)RX Mapping'!BF30-240),IF(AND('(橫掃)RX Mapping'!BF30&gt;=241,'(橫掃)RX Mapping'!BF30&lt;=360), ('(橫掃)RX Mapping'!BF30-241),IF(AND('(橫掃)RX Mapping'!BF30&gt;=361,'(橫掃)RX Mapping'!BF30&lt;=480), (-1)*('(橫掃)RX Mapping'!BF30-480),IF(AND('(橫掃)RX Mapping'!BF30&gt;=481,'(橫掃)RX Mapping'!BF30&lt;=600), ('(橫掃)RX Mapping'!BF30-361),IF(AND('(橫掃)RX Mapping'!BF30&gt;=601,'(橫掃)RX Mapping'!BF30&lt;=720), (-1)*('(橫掃)RX Mapping'!BF30-720)+120,IF(AND('(橫掃)RX Mapping'!BF30&gt;=721,'(橫掃)RX Mapping'!BF30&lt;=840), ('(橫掃)RX Mapping'!BF30-601),IF(AND('(橫掃)RX Mapping'!BF30&gt;=841,'(橫掃)RX Mapping'!BF30&lt;=960), (-1)*('(橫掃)RX Mapping'!BF30-960)+120,9999))))))))</f>
        <v>9999</v>
      </c>
      <c r="BG30">
        <f>IF(AND('(橫掃)RX Mapping'!BG30&gt;=1,'(橫掃)RX Mapping'!BG30&lt;=120), ('(橫掃)RX Mapping'!BG30-1),IF(AND('(橫掃)RX Mapping'!BG30&gt;=121,'(橫掃)RX Mapping'!BG30&lt;=240), (-1)*('(橫掃)RX Mapping'!BG30-240),IF(AND('(橫掃)RX Mapping'!BG30&gt;=241,'(橫掃)RX Mapping'!BG30&lt;=360), ('(橫掃)RX Mapping'!BG30-241),IF(AND('(橫掃)RX Mapping'!BG30&gt;=361,'(橫掃)RX Mapping'!BG30&lt;=480), (-1)*('(橫掃)RX Mapping'!BG30-480),IF(AND('(橫掃)RX Mapping'!BG30&gt;=481,'(橫掃)RX Mapping'!BG30&lt;=600), ('(橫掃)RX Mapping'!BG30-361),IF(AND('(橫掃)RX Mapping'!BG30&gt;=601,'(橫掃)RX Mapping'!BG30&lt;=720), (-1)*('(橫掃)RX Mapping'!BG30-720)+120,IF(AND('(橫掃)RX Mapping'!BG30&gt;=721,'(橫掃)RX Mapping'!BG30&lt;=840), ('(橫掃)RX Mapping'!BG30-601),IF(AND('(橫掃)RX Mapping'!BG30&gt;=841,'(橫掃)RX Mapping'!BG30&lt;=960), (-1)*('(橫掃)RX Mapping'!BG30-960)+120,9999))))))))</f>
        <v>9999</v>
      </c>
      <c r="BH30">
        <f>IF(AND('(橫掃)RX Mapping'!BH30&gt;=1,'(橫掃)RX Mapping'!BH30&lt;=120), ('(橫掃)RX Mapping'!BH30-1),IF(AND('(橫掃)RX Mapping'!BH30&gt;=121,'(橫掃)RX Mapping'!BH30&lt;=240), (-1)*('(橫掃)RX Mapping'!BH30-240),IF(AND('(橫掃)RX Mapping'!BH30&gt;=241,'(橫掃)RX Mapping'!BH30&lt;=360), ('(橫掃)RX Mapping'!BH30-241),IF(AND('(橫掃)RX Mapping'!BH30&gt;=361,'(橫掃)RX Mapping'!BH30&lt;=480), (-1)*('(橫掃)RX Mapping'!BH30-480),IF(AND('(橫掃)RX Mapping'!BH30&gt;=481,'(橫掃)RX Mapping'!BH30&lt;=600), ('(橫掃)RX Mapping'!BH30-361),IF(AND('(橫掃)RX Mapping'!BH30&gt;=601,'(橫掃)RX Mapping'!BH30&lt;=720), (-1)*('(橫掃)RX Mapping'!BH30-720)+120,IF(AND('(橫掃)RX Mapping'!BH30&gt;=721,'(橫掃)RX Mapping'!BH30&lt;=840), ('(橫掃)RX Mapping'!BH30-601),IF(AND('(橫掃)RX Mapping'!BH30&gt;=841,'(橫掃)RX Mapping'!BH30&lt;=960), (-1)*('(橫掃)RX Mapping'!BH30-960)+120,9999))))))))</f>
        <v>9999</v>
      </c>
      <c r="BI30">
        <f>IF(AND('(橫掃)RX Mapping'!BI30&gt;=1,'(橫掃)RX Mapping'!BI30&lt;=120), ('(橫掃)RX Mapping'!BI30-1),IF(AND('(橫掃)RX Mapping'!BI30&gt;=121,'(橫掃)RX Mapping'!BI30&lt;=240), (-1)*('(橫掃)RX Mapping'!BI30-240),IF(AND('(橫掃)RX Mapping'!BI30&gt;=241,'(橫掃)RX Mapping'!BI30&lt;=360), ('(橫掃)RX Mapping'!BI30-241),IF(AND('(橫掃)RX Mapping'!BI30&gt;=361,'(橫掃)RX Mapping'!BI30&lt;=480), (-1)*('(橫掃)RX Mapping'!BI30-480),IF(AND('(橫掃)RX Mapping'!BI30&gt;=481,'(橫掃)RX Mapping'!BI30&lt;=600), ('(橫掃)RX Mapping'!BI30-361),IF(AND('(橫掃)RX Mapping'!BI30&gt;=601,'(橫掃)RX Mapping'!BI30&lt;=720), (-1)*('(橫掃)RX Mapping'!BI30-720)+120,IF(AND('(橫掃)RX Mapping'!BI30&gt;=721,'(橫掃)RX Mapping'!BI30&lt;=840), ('(橫掃)RX Mapping'!BI30-601),IF(AND('(橫掃)RX Mapping'!BI30&gt;=841,'(橫掃)RX Mapping'!BI30&lt;=960), (-1)*('(橫掃)RX Mapping'!BI30-960)+120,9999))))))))</f>
        <v>9999</v>
      </c>
    </row>
    <row r="31" spans="1:61" x14ac:dyDescent="0.25">
      <c r="A31" s="20">
        <v>30</v>
      </c>
      <c r="B31">
        <f>IF(
(AND('(直掃)RX Mapping'!B31&gt;=0,'(直掃)RX Mapping'!B31&lt;=480)),
(MOD('(直掃)RX Mapping'!B31,120)-1),
IF(
(AND('(直掃)RX Mapping'!B31&gt;=480,'(直掃)RX Mapping'!B31&lt;=960)),
IF(MOD('(直掃)RX Mapping'!B31,120)=0, 120, 240-MOD('(直掃)RX Mapping'!B31,120)),9999))+IF(AND(MOD('(直掃)RX Mapping'!B31,120)=0, '(直掃)RX Mapping'!B31 &lt;= 480,  '(直掃)RX Mapping'!B31 &gt; 0), 120)</f>
        <v>149</v>
      </c>
      <c r="C31">
        <f>IF(
(AND('(直掃)RX Mapping'!C31&gt;=0,'(直掃)RX Mapping'!C31&lt;=480)),
(MOD('(直掃)RX Mapping'!C31,120)-1),
IF(
(AND('(直掃)RX Mapping'!C31&gt;=480,'(直掃)RX Mapping'!C31&lt;=960)),
IF(MOD('(直掃)RX Mapping'!C31,120)=0, 120, 240-MOD('(直掃)RX Mapping'!C31,120)),9999))+IF(AND(MOD('(直掃)RX Mapping'!C31,120)=0, '(直掃)RX Mapping'!C31 &lt;= 480,  '(直掃)RX Mapping'!C31 &gt; 0), 120)</f>
        <v>179</v>
      </c>
      <c r="D31">
        <f>IF(
(AND('(直掃)RX Mapping'!D31&gt;=0,'(直掃)RX Mapping'!D31&lt;=480)),
(MOD('(直掃)RX Mapping'!D31,120)-1),
IF(
(AND('(直掃)RX Mapping'!D31&gt;=480,'(直掃)RX Mapping'!D31&lt;=960)),
IF(MOD('(直掃)RX Mapping'!D31,120)=0, 120, 240-MOD('(直掃)RX Mapping'!D31,120)),9999))+IF(AND(MOD('(直掃)RX Mapping'!D31,120)=0, '(直掃)RX Mapping'!D31 &lt;= 480,  '(直掃)RX Mapping'!D31 &gt; 0), 120)</f>
        <v>209</v>
      </c>
      <c r="E31">
        <f>IF(
(AND('(直掃)RX Mapping'!E31&gt;=0,'(直掃)RX Mapping'!E31&lt;=480)),
(MOD('(直掃)RX Mapping'!E31,120)-1),
IF(
(AND('(直掃)RX Mapping'!E31&gt;=480,'(直掃)RX Mapping'!E31&lt;=960)),
IF(MOD('(直掃)RX Mapping'!E31,120)=0, 120, 240-MOD('(直掃)RX Mapping'!E31,120)),9999))+IF(AND(MOD('(直掃)RX Mapping'!E31,120)=0, '(直掃)RX Mapping'!E31 &lt;= 480,  '(直掃)RX Mapping'!E31 &gt; 0), 120)</f>
        <v>149</v>
      </c>
      <c r="F31">
        <f>IF(
(AND('(直掃)RX Mapping'!F31&gt;=0,'(直掃)RX Mapping'!F31&lt;=480)),
(MOD('(直掃)RX Mapping'!F31,120)-1),
IF(
(AND('(直掃)RX Mapping'!F31&gt;=480,'(直掃)RX Mapping'!F31&lt;=960)),
IF(MOD('(直掃)RX Mapping'!F31,120)=0, 120, 240-MOD('(直掃)RX Mapping'!F31,120)),9999))+IF(AND(MOD('(直掃)RX Mapping'!F31,120)=0, '(直掃)RX Mapping'!F31 &lt;= 480,  '(直掃)RX Mapping'!F31 &gt; 0), 120)</f>
        <v>179</v>
      </c>
      <c r="G31">
        <f>IF(
(AND('(直掃)RX Mapping'!G31&gt;=0,'(直掃)RX Mapping'!G31&lt;=480)),
(MOD('(直掃)RX Mapping'!G31,120)-1),
IF(
(AND('(直掃)RX Mapping'!G31&gt;=480,'(直掃)RX Mapping'!G31&lt;=960)),
IF(MOD('(直掃)RX Mapping'!G31,120)=0, 120, 240-MOD('(直掃)RX Mapping'!G31,120)),9999))+IF(AND(MOD('(直掃)RX Mapping'!G31,120)=0, '(直掃)RX Mapping'!G31 &lt;= 480,  '(直掃)RX Mapping'!G31 &gt; 0), 120)</f>
        <v>209</v>
      </c>
      <c r="H31">
        <f>IF(
(AND('(直掃)RX Mapping'!H31&gt;=0,'(直掃)RX Mapping'!H31&lt;=480)),
(MOD('(直掃)RX Mapping'!H31,120)-1),
IF(
(AND('(直掃)RX Mapping'!H31&gt;=480,'(直掃)RX Mapping'!H31&lt;=960)),
IF(MOD('(直掃)RX Mapping'!H31,120)=0, 120, 240-MOD('(直掃)RX Mapping'!H31,120)),9999))+IF(AND(MOD('(直掃)RX Mapping'!H31,120)=0, '(直掃)RX Mapping'!H31 &lt;= 480,  '(直掃)RX Mapping'!H31 &gt; 0), 120)</f>
        <v>149</v>
      </c>
      <c r="I31">
        <f>IF(
(AND('(直掃)RX Mapping'!I31&gt;=0,'(直掃)RX Mapping'!I31&lt;=480)),
(MOD('(直掃)RX Mapping'!I31,120)-1),
IF(
(AND('(直掃)RX Mapping'!I31&gt;=480,'(直掃)RX Mapping'!I31&lt;=960)),
IF(MOD('(直掃)RX Mapping'!I31,120)=0, 120, 240-MOD('(直掃)RX Mapping'!I31,120)),9999))+IF(AND(MOD('(直掃)RX Mapping'!I31,120)=0, '(直掃)RX Mapping'!I31 &lt;= 480,  '(直掃)RX Mapping'!I31 &gt; 0), 120)</f>
        <v>179</v>
      </c>
      <c r="J31">
        <f>IF(
(AND('(直掃)RX Mapping'!J31&gt;=0,'(直掃)RX Mapping'!J31&lt;=480)),
(MOD('(直掃)RX Mapping'!J31,120)-1),
IF(
(AND('(直掃)RX Mapping'!J31&gt;=480,'(直掃)RX Mapping'!J31&lt;=960)),
IF(MOD('(直掃)RX Mapping'!J31,120)=0, 120, 240-MOD('(直掃)RX Mapping'!J31,120)),9999))+IF(AND(MOD('(直掃)RX Mapping'!J31,120)=0, '(直掃)RX Mapping'!J31 &lt;= 480,  '(直掃)RX Mapping'!J31 &gt; 0), 120)</f>
        <v>209</v>
      </c>
      <c r="K31">
        <f>IF(
(AND('(直掃)RX Mapping'!K31&gt;=0,'(直掃)RX Mapping'!K31&lt;=480)),
(MOD('(直掃)RX Mapping'!K31,120)-1),
IF(
(AND('(直掃)RX Mapping'!K31&gt;=480,'(直掃)RX Mapping'!K31&lt;=960)),
IF(MOD('(直掃)RX Mapping'!K31,120)=0, 120, 240-MOD('(直掃)RX Mapping'!K31,120)),9999))+IF(AND(MOD('(直掃)RX Mapping'!K31,120)=0, '(直掃)RX Mapping'!K31 &lt;= 480,  '(直掃)RX Mapping'!K31 &gt; 0), 120)</f>
        <v>239</v>
      </c>
      <c r="L31">
        <f>IF(
(AND('(直掃)RX Mapping'!L31&gt;=0,'(直掃)RX Mapping'!L31&lt;=480)),
(MOD('(直掃)RX Mapping'!L31,120)-1),
IF(
(AND('(直掃)RX Mapping'!L31&gt;=480,'(直掃)RX Mapping'!L31&lt;=960)),
IF(MOD('(直掃)RX Mapping'!L31,120)=0, 120, 240-MOD('(直掃)RX Mapping'!L31,120)),9999))+IF(AND(MOD('(直掃)RX Mapping'!L31,120)=0, '(直掃)RX Mapping'!L31 &lt;= 480,  '(直掃)RX Mapping'!L31 &gt; 0), 120)</f>
        <v>149</v>
      </c>
      <c r="M31">
        <f>IF(
(AND('(直掃)RX Mapping'!M31&gt;=0,'(直掃)RX Mapping'!M31&lt;=480)),
(MOD('(直掃)RX Mapping'!M31,120)-1),
IF(
(AND('(直掃)RX Mapping'!M31&gt;=480,'(直掃)RX Mapping'!M31&lt;=960)),
IF(MOD('(直掃)RX Mapping'!M31,120)=0, 120, 240-MOD('(直掃)RX Mapping'!M31,120)),9999))+IF(AND(MOD('(直掃)RX Mapping'!M31,120)=0, '(直掃)RX Mapping'!M31 &lt;= 480,  '(直掃)RX Mapping'!M31 &gt; 0), 120)</f>
        <v>179</v>
      </c>
      <c r="N31">
        <f>IF(
(AND('(直掃)RX Mapping'!N31&gt;=0,'(直掃)RX Mapping'!N31&lt;=480)),
(MOD('(直掃)RX Mapping'!N31,120)-1),
IF(
(AND('(直掃)RX Mapping'!N31&gt;=480,'(直掃)RX Mapping'!N31&lt;=960)),
IF(MOD('(直掃)RX Mapping'!N31,120)=0, 120, 240-MOD('(直掃)RX Mapping'!N31,120)),9999))+IF(AND(MOD('(直掃)RX Mapping'!N31,120)=0, '(直掃)RX Mapping'!N31 &lt;= 480,  '(直掃)RX Mapping'!N31 &gt; 0), 120)</f>
        <v>209</v>
      </c>
      <c r="O31">
        <f>IF(
(AND('(直掃)RX Mapping'!O31&gt;=0,'(直掃)RX Mapping'!O31&lt;=480)),
(MOD('(直掃)RX Mapping'!O31,120)-1),
IF(
(AND('(直掃)RX Mapping'!O31&gt;=480,'(直掃)RX Mapping'!O31&lt;=960)),
IF(MOD('(直掃)RX Mapping'!O31,120)=0, 120, 240-MOD('(直掃)RX Mapping'!O31,120)),9999))+IF(AND(MOD('(直掃)RX Mapping'!O31,120)=0, '(直掃)RX Mapping'!O31 &lt;= 480,  '(直掃)RX Mapping'!O31 &gt; 0), 120)</f>
        <v>239</v>
      </c>
      <c r="P31">
        <f>IF(
(AND('(直掃)RX Mapping'!P31&gt;=0,'(直掃)RX Mapping'!P31&lt;=480)),
(MOD('(直掃)RX Mapping'!P31,120)-1),
IF(
(AND('(直掃)RX Mapping'!P31&gt;=480,'(直掃)RX Mapping'!P31&lt;=960)),
IF(MOD('(直掃)RX Mapping'!P31,120)=0, 120, 240-MOD('(直掃)RX Mapping'!P31,120)),9999))+IF(AND(MOD('(直掃)RX Mapping'!P31,120)=0, '(直掃)RX Mapping'!P31 &lt;= 480,  '(直掃)RX Mapping'!P31 &gt; 0), 120)</f>
        <v>90</v>
      </c>
      <c r="Q31">
        <f>IF(
(AND('(直掃)RX Mapping'!Q31&gt;=0,'(直掃)RX Mapping'!Q31&lt;=480)),
(MOD('(直掃)RX Mapping'!Q31,120)-1),
IF(
(AND('(直掃)RX Mapping'!Q31&gt;=480,'(直掃)RX Mapping'!Q31&lt;=960)),
IF(MOD('(直掃)RX Mapping'!Q31,120)=0, 120, 240-MOD('(直掃)RX Mapping'!Q31,120)),9999))+IF(AND(MOD('(直掃)RX Mapping'!Q31,120)=0, '(直掃)RX Mapping'!Q31 &lt;= 480,  '(直掃)RX Mapping'!Q31 &gt; 0), 120)</f>
        <v>60</v>
      </c>
      <c r="R31">
        <f>IF(
(AND('(直掃)RX Mapping'!R31&gt;=0,'(直掃)RX Mapping'!R31&lt;=480)),
(MOD('(直掃)RX Mapping'!R31,120)-1),
IF(
(AND('(直掃)RX Mapping'!R31&gt;=480,'(直掃)RX Mapping'!R31&lt;=960)),
IF(MOD('(直掃)RX Mapping'!R31,120)=0, 120, 240-MOD('(直掃)RX Mapping'!R31,120)),9999))+IF(AND(MOD('(直掃)RX Mapping'!R31,120)=0, '(直掃)RX Mapping'!R31 &lt;= 480,  '(直掃)RX Mapping'!R31 &gt; 0), 120)</f>
        <v>30</v>
      </c>
      <c r="S31">
        <f>IF(
(AND('(直掃)RX Mapping'!S31&gt;=0,'(直掃)RX Mapping'!S31&lt;=480)),
(MOD('(直掃)RX Mapping'!S31,120)-1),
IF(
(AND('(直掃)RX Mapping'!S31&gt;=480,'(直掃)RX Mapping'!S31&lt;=960)),
IF(MOD('(直掃)RX Mapping'!S31,120)=0, 120, 240-MOD('(直掃)RX Mapping'!S31,120)),9999))+IF(AND(MOD('(直掃)RX Mapping'!S31,120)=0, '(直掃)RX Mapping'!S31 &lt;= 480,  '(直掃)RX Mapping'!S31 &gt; 0), 120)</f>
        <v>0</v>
      </c>
      <c r="T31">
        <f>IF(
(AND('(直掃)RX Mapping'!T31&gt;=0,'(直掃)RX Mapping'!T31&lt;=480)),
(MOD('(直掃)RX Mapping'!T31,120)-1),
IF(
(AND('(直掃)RX Mapping'!T31&gt;=480,'(直掃)RX Mapping'!T31&lt;=960)),
IF(MOD('(直掃)RX Mapping'!T31,120)=0, 120, 240-MOD('(直掃)RX Mapping'!T31,120)),9999))+IF(AND(MOD('(直掃)RX Mapping'!T31,120)=0, '(直掃)RX Mapping'!T31 &lt;= 480,  '(直掃)RX Mapping'!T31 &gt; 0), 120)</f>
        <v>90</v>
      </c>
      <c r="U31">
        <f>IF(
(AND('(直掃)RX Mapping'!U31&gt;=0,'(直掃)RX Mapping'!U31&lt;=480)),
(MOD('(直掃)RX Mapping'!U31,120)-1),
IF(
(AND('(直掃)RX Mapping'!U31&gt;=480,'(直掃)RX Mapping'!U31&lt;=960)),
IF(MOD('(直掃)RX Mapping'!U31,120)=0, 120, 240-MOD('(直掃)RX Mapping'!U31,120)),9999))+IF(AND(MOD('(直掃)RX Mapping'!U31,120)=0, '(直掃)RX Mapping'!U31 &lt;= 480,  '(直掃)RX Mapping'!U31 &gt; 0), 120)</f>
        <v>60</v>
      </c>
      <c r="V31">
        <f>IF(
(AND('(直掃)RX Mapping'!V31&gt;=0,'(直掃)RX Mapping'!V31&lt;=480)),
(MOD('(直掃)RX Mapping'!V31,120)-1),
IF(
(AND('(直掃)RX Mapping'!V31&gt;=480,'(直掃)RX Mapping'!V31&lt;=960)),
IF(MOD('(直掃)RX Mapping'!V31,120)=0, 120, 240-MOD('(直掃)RX Mapping'!V31,120)),9999))+IF(AND(MOD('(直掃)RX Mapping'!V31,120)=0, '(直掃)RX Mapping'!V31 &lt;= 480,  '(直掃)RX Mapping'!V31 &gt; 0), 120)</f>
        <v>30</v>
      </c>
      <c r="W31">
        <f>IF(
(AND('(直掃)RX Mapping'!W31&gt;=0,'(直掃)RX Mapping'!W31&lt;=480)),
(MOD('(直掃)RX Mapping'!W31,120)-1),
IF(
(AND('(直掃)RX Mapping'!W31&gt;=480,'(直掃)RX Mapping'!W31&lt;=960)),
IF(MOD('(直掃)RX Mapping'!W31,120)=0, 120, 240-MOD('(直掃)RX Mapping'!W31,120)),9999))+IF(AND(MOD('(直掃)RX Mapping'!W31,120)=0, '(直掃)RX Mapping'!W31 &lt;= 480,  '(直掃)RX Mapping'!W31 &gt; 0), 120)</f>
        <v>0</v>
      </c>
      <c r="X31">
        <f>IF(
(AND('(直掃)RX Mapping'!X31&gt;=0,'(直掃)RX Mapping'!X31&lt;=480)),
(MOD('(直掃)RX Mapping'!X31,120)-1),
IF(
(AND('(直掃)RX Mapping'!X31&gt;=480,'(直掃)RX Mapping'!X31&lt;=960)),
IF(MOD('(直掃)RX Mapping'!X31,120)=0, 120, 240-MOD('(直掃)RX Mapping'!X31,120)),9999))+IF(AND(MOD('(直掃)RX Mapping'!X31,120)=0, '(直掃)RX Mapping'!X31 &lt;= 480,  '(直掃)RX Mapping'!X31 &gt; 0), 120)</f>
        <v>60</v>
      </c>
      <c r="Y31">
        <f>IF(
(AND('(直掃)RX Mapping'!Y31&gt;=0,'(直掃)RX Mapping'!Y31&lt;=480)),
(MOD('(直掃)RX Mapping'!Y31,120)-1),
IF(
(AND('(直掃)RX Mapping'!Y31&gt;=480,'(直掃)RX Mapping'!Y31&lt;=960)),
IF(MOD('(直掃)RX Mapping'!Y31,120)=0, 120, 240-MOD('(直掃)RX Mapping'!Y31,120)),9999))+IF(AND(MOD('(直掃)RX Mapping'!Y31,120)=0, '(直掃)RX Mapping'!Y31 &lt;= 480,  '(直掃)RX Mapping'!Y31 &gt; 0), 120)</f>
        <v>30</v>
      </c>
      <c r="Z31">
        <f>IF(
(AND('(直掃)RX Mapping'!Z31&gt;=0,'(直掃)RX Mapping'!Z31&lt;=480)),
(MOD('(直掃)RX Mapping'!Z31,120)-1),
IF(
(AND('(直掃)RX Mapping'!Z31&gt;=480,'(直掃)RX Mapping'!Z31&lt;=960)),
IF(MOD('(直掃)RX Mapping'!Z31,120)=0, 120, 240-MOD('(直掃)RX Mapping'!Z31,120)),9999))+IF(AND(MOD('(直掃)RX Mapping'!Z31,120)=0, '(直掃)RX Mapping'!Z31 &lt;= 480,  '(直掃)RX Mapping'!Z31 &gt; 0), 120)</f>
        <v>0</v>
      </c>
      <c r="AA31">
        <f>IF(
(AND('(直掃)RX Mapping'!AA31&gt;=0,'(直掃)RX Mapping'!AA31&lt;=480)),
(MOD('(直掃)RX Mapping'!AA31,120)-1),
IF(
(AND('(直掃)RX Mapping'!AA31&gt;=480,'(直掃)RX Mapping'!AA31&lt;=960)),
IF(MOD('(直掃)RX Mapping'!AA31,120)=0, 120, 240-MOD('(直掃)RX Mapping'!AA31,120)),9999))+IF(AND(MOD('(直掃)RX Mapping'!AA31,120)=0, '(直掃)RX Mapping'!AA31 &lt;= 480,  '(直掃)RX Mapping'!AA31 &gt; 0), 120)</f>
        <v>60</v>
      </c>
      <c r="AB31">
        <f>IF(
(AND('(直掃)RX Mapping'!AB31&gt;=0,'(直掃)RX Mapping'!AB31&lt;=480)),
(MOD('(直掃)RX Mapping'!AB31,120)-1),
IF(
(AND('(直掃)RX Mapping'!AB31&gt;=480,'(直掃)RX Mapping'!AB31&lt;=960)),
IF(MOD('(直掃)RX Mapping'!AB31,120)=0, 120, 240-MOD('(直掃)RX Mapping'!AB31,120)),9999))+IF(AND(MOD('(直掃)RX Mapping'!AB31,120)=0, '(直掃)RX Mapping'!AB31 &lt;= 480,  '(直掃)RX Mapping'!AB31 &gt; 0), 120)</f>
        <v>30</v>
      </c>
      <c r="AC31">
        <f>IF(
(AND('(直掃)RX Mapping'!AC31&gt;=0,'(直掃)RX Mapping'!AC31&lt;=480)),
(MOD('(直掃)RX Mapping'!AC31,120)-1),
IF(
(AND('(直掃)RX Mapping'!AC31&gt;=480,'(直掃)RX Mapping'!AC31&lt;=960)),
IF(MOD('(直掃)RX Mapping'!AC31,120)=0, 120, 240-MOD('(直掃)RX Mapping'!AC31,120)),9999))+IF(AND(MOD('(直掃)RX Mapping'!AC31,120)=0, '(直掃)RX Mapping'!AC31 &lt;= 480,  '(直掃)RX Mapping'!AC31 &gt; 0), 120)</f>
        <v>0</v>
      </c>
      <c r="AD31">
        <f>IF(
(AND('(直掃)RX Mapping'!AD31&gt;=0,'(直掃)RX Mapping'!AD31&lt;=480)),
(MOD('(直掃)RX Mapping'!AD31,120)-1),
IF(
(AND('(直掃)RX Mapping'!AD31&gt;=480,'(直掃)RX Mapping'!AD31&lt;=960)),
IF(MOD('(直掃)RX Mapping'!AD31,120)=0, 120, 240-MOD('(直掃)RX Mapping'!AD31,120)),9999))+IF(AND(MOD('(直掃)RX Mapping'!AD31,120)=0, '(直掃)RX Mapping'!AD31 &lt;= 480,  '(直掃)RX Mapping'!AD31 &gt; 0), 120)</f>
        <v>-1</v>
      </c>
      <c r="AE31">
        <f>IF(
(AND('(直掃)RX Mapping'!AE31&gt;=0,'(直掃)RX Mapping'!AE31&lt;=480)),
(MOD('(直掃)RX Mapping'!AE31,120)-1),
IF(
(AND('(直掃)RX Mapping'!AE31&gt;=480,'(直掃)RX Mapping'!AE31&lt;=960)),
IF(MOD('(直掃)RX Mapping'!AE31,120)=0, 120, 240-MOD('(直掃)RX Mapping'!AE31,120)),9999))+IF(AND(MOD('(直掃)RX Mapping'!AE31,120)=0, '(直掃)RX Mapping'!AE31 &lt;= 480,  '(直掃)RX Mapping'!AE31 &gt; 0), 120)</f>
        <v>-1</v>
      </c>
      <c r="AF31">
        <f>IF(
(AND('(直掃)RX Mapping'!AF31&gt;=0,'(直掃)RX Mapping'!AF31&lt;=480)),
(MOD('(直掃)RX Mapping'!AF31,120)-1),
IF(
(AND('(直掃)RX Mapping'!AF31&gt;=480,'(直掃)RX Mapping'!AF31&lt;=960)),
IF(MOD('(直掃)RX Mapping'!AF31,120)=0, 120, 240-MOD('(直掃)RX Mapping'!AF31,120)),9999))+IF(AND(MOD('(直掃)RX Mapping'!AF31,120)=0, '(直掃)RX Mapping'!AF31 &lt;= 480,  '(直掃)RX Mapping'!AF31 &gt; 0), 120)</f>
        <v>-1</v>
      </c>
      <c r="AG31">
        <f>IF(
(AND('(直掃)RX Mapping'!AG31&gt;=0,'(直掃)RX Mapping'!AG31&lt;=480)),
(MOD('(直掃)RX Mapping'!AG31,120)-1),
IF(
(AND('(直掃)RX Mapping'!AG31&gt;=480,'(直掃)RX Mapping'!AG31&lt;=960)),
IF(MOD('(直掃)RX Mapping'!AG31,120)=0, 120, 240-MOD('(直掃)RX Mapping'!AG31,120)),9999))+IF(AND(MOD('(直掃)RX Mapping'!AG31,120)=0, '(直掃)RX Mapping'!AG31 &lt;= 480,  '(直掃)RX Mapping'!AG31 &gt; 0), 120)</f>
        <v>-1</v>
      </c>
      <c r="AH31">
        <f>IF(
(AND('(直掃)RX Mapping'!AH31&gt;=0,'(直掃)RX Mapping'!AH31&lt;=480)),
(MOD('(直掃)RX Mapping'!AH31,120)-1),
IF(
(AND('(直掃)RX Mapping'!AH31&gt;=480,'(直掃)RX Mapping'!AH31&lt;=960)),
IF(MOD('(直掃)RX Mapping'!AH31,120)=0, 120, 240-MOD('(直掃)RX Mapping'!AH31,120)),9999))+IF(AND(MOD('(直掃)RX Mapping'!AH31,120)=0, '(直掃)RX Mapping'!AH31 &lt;= 480,  '(直掃)RX Mapping'!AH31 &gt; 0), 120)</f>
        <v>-1</v>
      </c>
      <c r="AI31">
        <f>IF(
(AND('(直掃)RX Mapping'!AI31&gt;=0,'(直掃)RX Mapping'!AI31&lt;=480)),
(MOD('(直掃)RX Mapping'!AI31,120)-1),
IF(
(AND('(直掃)RX Mapping'!AI31&gt;=480,'(直掃)RX Mapping'!AI31&lt;=960)),
IF(MOD('(直掃)RX Mapping'!AI31,120)=0, 120, 240-MOD('(直掃)RX Mapping'!AI31,120)),9999))+IF(AND(MOD('(直掃)RX Mapping'!AI31,120)=0, '(直掃)RX Mapping'!AI31 &lt;= 480,  '(直掃)RX Mapping'!AI31 &gt; 0), 120)</f>
        <v>-1</v>
      </c>
      <c r="AJ31">
        <f>IF(
(AND('(直掃)RX Mapping'!AJ31&gt;=0,'(直掃)RX Mapping'!AJ31&lt;=480)),
(MOD('(直掃)RX Mapping'!AJ31,120)-1),
IF(
(AND('(直掃)RX Mapping'!AJ31&gt;=480,'(直掃)RX Mapping'!AJ31&lt;=960)),
IF(MOD('(直掃)RX Mapping'!AJ31,120)=0, 120, 240-MOD('(直掃)RX Mapping'!AJ31,120)),9999))+IF(AND(MOD('(直掃)RX Mapping'!AJ31,120)=0, '(直掃)RX Mapping'!AJ31 &lt;= 480,  '(直掃)RX Mapping'!AJ31 &gt; 0), 120)</f>
        <v>-1</v>
      </c>
      <c r="AK31">
        <f>IF(
(AND('(直掃)RX Mapping'!AK31&gt;=0,'(直掃)RX Mapping'!AK31&lt;=480)),
(MOD('(直掃)RX Mapping'!AK31,120)-1),
IF(
(AND('(直掃)RX Mapping'!AK31&gt;=480,'(直掃)RX Mapping'!AK31&lt;=960)),
IF(MOD('(直掃)RX Mapping'!AK31,120)=0, 120, 240-MOD('(直掃)RX Mapping'!AK31,120)),9999))+IF(AND(MOD('(直掃)RX Mapping'!AK31,120)=0, '(直掃)RX Mapping'!AK31 &lt;= 480,  '(直掃)RX Mapping'!AK31 &gt; 0), 120)</f>
        <v>-1</v>
      </c>
      <c r="AL31">
        <f>IF(
(AND('(直掃)RX Mapping'!AL31&gt;=0,'(直掃)RX Mapping'!AL31&lt;=480)),
(MOD('(直掃)RX Mapping'!AL31,120)-1),
IF(
(AND('(直掃)RX Mapping'!AL31&gt;=480,'(直掃)RX Mapping'!AL31&lt;=960)),
IF(MOD('(直掃)RX Mapping'!AL31,120)=0, 120, 240-MOD('(直掃)RX Mapping'!AL31,120)),9999))+IF(AND(MOD('(直掃)RX Mapping'!AL31,120)=0, '(直掃)RX Mapping'!AL31 &lt;= 480,  '(直掃)RX Mapping'!AL31 &gt; 0), 120)</f>
        <v>-1</v>
      </c>
      <c r="AM31">
        <f>IF(
(AND('(直掃)RX Mapping'!AM31&gt;=0,'(直掃)RX Mapping'!AM31&lt;=480)),
(MOD('(直掃)RX Mapping'!AM31,120)-1),
IF(
(AND('(直掃)RX Mapping'!AM31&gt;=480,'(直掃)RX Mapping'!AM31&lt;=960)),
IF(MOD('(直掃)RX Mapping'!AM31,120)=0, 120, 240-MOD('(直掃)RX Mapping'!AM31,120)),9999))+IF(AND(MOD('(直掃)RX Mapping'!AM31,120)=0, '(直掃)RX Mapping'!AM31 &lt;= 480,  '(直掃)RX Mapping'!AM31 &gt; 0), 120)</f>
        <v>-1</v>
      </c>
      <c r="AN31">
        <f>IF(
(AND('(直掃)RX Mapping'!AN31&gt;=0,'(直掃)RX Mapping'!AN31&lt;=480)),
(MOD('(直掃)RX Mapping'!AN31,120)-1),
IF(
(AND('(直掃)RX Mapping'!AN31&gt;=480,'(直掃)RX Mapping'!AN31&lt;=960)),
IF(MOD('(直掃)RX Mapping'!AN31,120)=0, 120, 240-MOD('(直掃)RX Mapping'!AN31,120)),9999))+IF(AND(MOD('(直掃)RX Mapping'!AN31,120)=0, '(直掃)RX Mapping'!AN31 &lt;= 480,  '(直掃)RX Mapping'!AN31 &gt; 0), 120)</f>
        <v>-1</v>
      </c>
      <c r="AO31">
        <f>IF(
(AND('(直掃)RX Mapping'!AO31&gt;=0,'(直掃)RX Mapping'!AO31&lt;=480)),
(MOD('(直掃)RX Mapping'!AO31,120)-1),
IF(
(AND('(直掃)RX Mapping'!AO31&gt;=480,'(直掃)RX Mapping'!AO31&lt;=960)),
IF(MOD('(直掃)RX Mapping'!AO31,120)=0, 120, 240-MOD('(直掃)RX Mapping'!AO31,120)),9999))+IF(AND(MOD('(直掃)RX Mapping'!AO31,120)=0, '(直掃)RX Mapping'!AO31 &lt;= 480,  '(直掃)RX Mapping'!AO31 &gt; 0), 120)</f>
        <v>-1</v>
      </c>
      <c r="AP31">
        <f>IF(
(AND('(直掃)RX Mapping'!AP31&gt;=0,'(直掃)RX Mapping'!AP31&lt;=480)),
(MOD('(直掃)RX Mapping'!AP31,120)-1),
IF(
(AND('(直掃)RX Mapping'!AP31&gt;=480,'(直掃)RX Mapping'!AP31&lt;=960)),
IF(MOD('(直掃)RX Mapping'!AP31,120)=0, 120, 240-MOD('(直掃)RX Mapping'!AP31,120)),9999))+IF(AND(MOD('(直掃)RX Mapping'!AP31,120)=0, '(直掃)RX Mapping'!AP31 &lt;= 480,  '(直掃)RX Mapping'!AP31 &gt; 0), 120)</f>
        <v>-1</v>
      </c>
      <c r="AQ31">
        <f>IF(
(AND('(直掃)RX Mapping'!AQ31&gt;=0,'(直掃)RX Mapping'!AQ31&lt;=480)),
(MOD('(直掃)RX Mapping'!AQ31,120)-1),
IF(
(AND('(直掃)RX Mapping'!AQ31&gt;=480,'(直掃)RX Mapping'!AQ31&lt;=960)),
IF(MOD('(直掃)RX Mapping'!AQ31,120)=0, 120, 240-MOD('(直掃)RX Mapping'!AQ31,120)),9999))+IF(AND(MOD('(直掃)RX Mapping'!AQ31,120)=0, '(直掃)RX Mapping'!AQ31 &lt;= 480,  '(直掃)RX Mapping'!AQ31 &gt; 0), 120)</f>
        <v>-1</v>
      </c>
      <c r="AR31">
        <f>IF(
(AND('(直掃)RX Mapping'!AR31&gt;=0,'(直掃)RX Mapping'!AR31&lt;=480)),
(MOD('(直掃)RX Mapping'!AR31,120)-1),
IF(
(AND('(直掃)RX Mapping'!AR31&gt;=480,'(直掃)RX Mapping'!AR31&lt;=960)),
IF(MOD('(直掃)RX Mapping'!AR31,120)=0, 120, 240-MOD('(直掃)RX Mapping'!AR31,120)),9999))+IF(AND(MOD('(直掃)RX Mapping'!AR31,120)=0, '(直掃)RX Mapping'!AR31 &lt;= 480,  '(直掃)RX Mapping'!AR31 &gt; 0), 120)</f>
        <v>-1</v>
      </c>
      <c r="AS31">
        <f>IF(
(AND('(直掃)RX Mapping'!AS31&gt;=0,'(直掃)RX Mapping'!AS31&lt;=480)),
(MOD('(直掃)RX Mapping'!AS31,120)-1),
IF(
(AND('(直掃)RX Mapping'!AS31&gt;=480,'(直掃)RX Mapping'!AS31&lt;=960)),
IF(MOD('(直掃)RX Mapping'!AS31,120)=0, 120, 240-MOD('(直掃)RX Mapping'!AS31,120)),9999))+IF(AND(MOD('(直掃)RX Mapping'!AS31,120)=0, '(直掃)RX Mapping'!AS31 &lt;= 480,  '(直掃)RX Mapping'!AS31 &gt; 0), 120)</f>
        <v>-1</v>
      </c>
      <c r="AT31">
        <f>IF(AND('(橫掃)RX Mapping'!AT31&gt;=1,'(橫掃)RX Mapping'!AT31&lt;=120), ('(橫掃)RX Mapping'!AT31-1),IF(AND('(橫掃)RX Mapping'!AT31&gt;=121,'(橫掃)RX Mapping'!AT31&lt;=240), (-1)*('(橫掃)RX Mapping'!AT31-240),IF(AND('(橫掃)RX Mapping'!AT31&gt;=241,'(橫掃)RX Mapping'!AT31&lt;=360), ('(橫掃)RX Mapping'!AT31-241),IF(AND('(橫掃)RX Mapping'!AT31&gt;=361,'(橫掃)RX Mapping'!AT31&lt;=480), (-1)*('(橫掃)RX Mapping'!AT31-480),IF(AND('(橫掃)RX Mapping'!AT31&gt;=481,'(橫掃)RX Mapping'!AT31&lt;=600), ('(橫掃)RX Mapping'!AT31-361),IF(AND('(橫掃)RX Mapping'!AT31&gt;=601,'(橫掃)RX Mapping'!AT31&lt;=720), (-1)*('(橫掃)RX Mapping'!AT31-720)+120,IF(AND('(橫掃)RX Mapping'!AT31&gt;=721,'(橫掃)RX Mapping'!AT31&lt;=840), ('(橫掃)RX Mapping'!AT31-601),IF(AND('(橫掃)RX Mapping'!AT31&gt;=841,'(橫掃)RX Mapping'!AT31&lt;=960), (-1)*('(橫掃)RX Mapping'!AT31-960)+120,9999))))))))</f>
        <v>9999</v>
      </c>
      <c r="AU31">
        <f>IF(AND('(橫掃)RX Mapping'!AK2&gt;=1,'(橫掃)RX Mapping'!AK2&lt;=120), ('(橫掃)RX Mapping'!AK2-1),IF(AND('(橫掃)RX Mapping'!AK2&gt;=121,'(橫掃)RX Mapping'!AK2&lt;=240), (-1)*('(橫掃)RX Mapping'!AK2-240),IF(AND('(橫掃)RX Mapping'!AK2&gt;=241,'(橫掃)RX Mapping'!AK2&lt;=360), ('(橫掃)RX Mapping'!AK2-241),IF(AND('(橫掃)RX Mapping'!AK2&gt;=361,'(橫掃)RX Mapping'!AK2&lt;=480), (-1)*('(橫掃)RX Mapping'!AK2-480),IF(AND('(橫掃)RX Mapping'!AK2&gt;=481,'(橫掃)RX Mapping'!AK2&lt;=600), ('(橫掃)RX Mapping'!AK2-361),IF(AND('(橫掃)RX Mapping'!AK2&gt;=601,'(橫掃)RX Mapping'!AK2&lt;=720), (-1)*('(橫掃)RX Mapping'!AK2-720)+120,IF(AND('(橫掃)RX Mapping'!AK2&gt;=721,'(橫掃)RX Mapping'!AK2&lt;=840), ('(橫掃)RX Mapping'!AK2-601),IF(AND('(橫掃)RX Mapping'!AK2&gt;=841,'(橫掃)RX Mapping'!AK2&lt;=960), (-1)*('(橫掃)RX Mapping'!AK2-960)+120,9999))))))))</f>
        <v>9999</v>
      </c>
      <c r="AV31">
        <f>IF(AND('(橫掃)RX Mapping'!AV31&gt;=1,'(橫掃)RX Mapping'!AV31&lt;=120), ('(橫掃)RX Mapping'!AV31-1),IF(AND('(橫掃)RX Mapping'!AV31&gt;=121,'(橫掃)RX Mapping'!AV31&lt;=240), (-1)*('(橫掃)RX Mapping'!AV31-240),IF(AND('(橫掃)RX Mapping'!AV31&gt;=241,'(橫掃)RX Mapping'!AV31&lt;=360), ('(橫掃)RX Mapping'!AV31-241),IF(AND('(橫掃)RX Mapping'!AV31&gt;=361,'(橫掃)RX Mapping'!AV31&lt;=480), (-1)*('(橫掃)RX Mapping'!AV31-480),IF(AND('(橫掃)RX Mapping'!AV31&gt;=481,'(橫掃)RX Mapping'!AV31&lt;=600), ('(橫掃)RX Mapping'!AV31-361),IF(AND('(橫掃)RX Mapping'!AV31&gt;=601,'(橫掃)RX Mapping'!AV31&lt;=720), (-1)*('(橫掃)RX Mapping'!AV31-720)+120,IF(AND('(橫掃)RX Mapping'!AV31&gt;=721,'(橫掃)RX Mapping'!AV31&lt;=840), ('(橫掃)RX Mapping'!AV31-601),IF(AND('(橫掃)RX Mapping'!AV31&gt;=841,'(橫掃)RX Mapping'!AV31&lt;=960), (-1)*('(橫掃)RX Mapping'!AV31-960)+120,9999))))))))</f>
        <v>9999</v>
      </c>
      <c r="AW31">
        <f>IF(AND('(橫掃)RX Mapping'!AW31&gt;=1,'(橫掃)RX Mapping'!AW31&lt;=120), ('(橫掃)RX Mapping'!AW31-1),IF(AND('(橫掃)RX Mapping'!AW31&gt;=121,'(橫掃)RX Mapping'!AW31&lt;=240), (-1)*('(橫掃)RX Mapping'!AW31-240),IF(AND('(橫掃)RX Mapping'!AW31&gt;=241,'(橫掃)RX Mapping'!AW31&lt;=360), ('(橫掃)RX Mapping'!AW31-241),IF(AND('(橫掃)RX Mapping'!AW31&gt;=361,'(橫掃)RX Mapping'!AW31&lt;=480), (-1)*('(橫掃)RX Mapping'!AW31-480),IF(AND('(橫掃)RX Mapping'!AW31&gt;=481,'(橫掃)RX Mapping'!AW31&lt;=600), ('(橫掃)RX Mapping'!AW31-361),IF(AND('(橫掃)RX Mapping'!AW31&gt;=601,'(橫掃)RX Mapping'!AW31&lt;=720), (-1)*('(橫掃)RX Mapping'!AW31-720)+120,IF(AND('(橫掃)RX Mapping'!AW31&gt;=721,'(橫掃)RX Mapping'!AW31&lt;=840), ('(橫掃)RX Mapping'!AW31-601),IF(AND('(橫掃)RX Mapping'!AW31&gt;=841,'(橫掃)RX Mapping'!AW31&lt;=960), (-1)*('(橫掃)RX Mapping'!AW31-960)+120,9999))))))))</f>
        <v>9999</v>
      </c>
      <c r="AX31">
        <f>IF(AND('(橫掃)RX Mapping'!AX31&gt;=1,'(橫掃)RX Mapping'!AX31&lt;=120), ('(橫掃)RX Mapping'!AX31-1),IF(AND('(橫掃)RX Mapping'!AX31&gt;=121,'(橫掃)RX Mapping'!AX31&lt;=240), (-1)*('(橫掃)RX Mapping'!AX31-240),IF(AND('(橫掃)RX Mapping'!AX31&gt;=241,'(橫掃)RX Mapping'!AX31&lt;=360), ('(橫掃)RX Mapping'!AX31-241),IF(AND('(橫掃)RX Mapping'!AX31&gt;=361,'(橫掃)RX Mapping'!AX31&lt;=480), (-1)*('(橫掃)RX Mapping'!AX31-480),IF(AND('(橫掃)RX Mapping'!AX31&gt;=481,'(橫掃)RX Mapping'!AX31&lt;=600), ('(橫掃)RX Mapping'!AX31-361),IF(AND('(橫掃)RX Mapping'!AX31&gt;=601,'(橫掃)RX Mapping'!AX31&lt;=720), (-1)*('(橫掃)RX Mapping'!AX31-720)+120,IF(AND('(橫掃)RX Mapping'!AX31&gt;=721,'(橫掃)RX Mapping'!AX31&lt;=840), ('(橫掃)RX Mapping'!AX31-601),IF(AND('(橫掃)RX Mapping'!AX31&gt;=841,'(橫掃)RX Mapping'!AX31&lt;=960), (-1)*('(橫掃)RX Mapping'!AX31-960)+120,9999))))))))</f>
        <v>9999</v>
      </c>
      <c r="AY31">
        <f>IF(AND('(橫掃)RX Mapping'!AY31&gt;=1,'(橫掃)RX Mapping'!AY31&lt;=120), ('(橫掃)RX Mapping'!AY31-1),IF(AND('(橫掃)RX Mapping'!AY31&gt;=121,'(橫掃)RX Mapping'!AY31&lt;=240), (-1)*('(橫掃)RX Mapping'!AY31-240),IF(AND('(橫掃)RX Mapping'!AY31&gt;=241,'(橫掃)RX Mapping'!AY31&lt;=360), ('(橫掃)RX Mapping'!AY31-241),IF(AND('(橫掃)RX Mapping'!AY31&gt;=361,'(橫掃)RX Mapping'!AY31&lt;=480), (-1)*('(橫掃)RX Mapping'!AY31-480),IF(AND('(橫掃)RX Mapping'!AY31&gt;=481,'(橫掃)RX Mapping'!AY31&lt;=600), ('(橫掃)RX Mapping'!AY31-361),IF(AND('(橫掃)RX Mapping'!AY31&gt;=601,'(橫掃)RX Mapping'!AY31&lt;=720), (-1)*('(橫掃)RX Mapping'!AY31-720)+120,IF(AND('(橫掃)RX Mapping'!AY31&gt;=721,'(橫掃)RX Mapping'!AY31&lt;=840), ('(橫掃)RX Mapping'!AY31-601),IF(AND('(橫掃)RX Mapping'!AY31&gt;=841,'(橫掃)RX Mapping'!AY31&lt;=960), (-1)*('(橫掃)RX Mapping'!AY31-960)+120,9999))))))))</f>
        <v>9999</v>
      </c>
      <c r="AZ31">
        <f>IF(AND('(橫掃)RX Mapping'!AZ31&gt;=1,'(橫掃)RX Mapping'!AZ31&lt;=120), ('(橫掃)RX Mapping'!AZ31-1),IF(AND('(橫掃)RX Mapping'!AZ31&gt;=121,'(橫掃)RX Mapping'!AZ31&lt;=240), (-1)*('(橫掃)RX Mapping'!AZ31-240),IF(AND('(橫掃)RX Mapping'!AZ31&gt;=241,'(橫掃)RX Mapping'!AZ31&lt;=360), ('(橫掃)RX Mapping'!AZ31-241),IF(AND('(橫掃)RX Mapping'!AZ31&gt;=361,'(橫掃)RX Mapping'!AZ31&lt;=480), (-1)*('(橫掃)RX Mapping'!AZ31-480),IF(AND('(橫掃)RX Mapping'!AZ31&gt;=481,'(橫掃)RX Mapping'!AZ31&lt;=600), ('(橫掃)RX Mapping'!AZ31-361),IF(AND('(橫掃)RX Mapping'!AZ31&gt;=601,'(橫掃)RX Mapping'!AZ31&lt;=720), (-1)*('(橫掃)RX Mapping'!AZ31-720)+120,IF(AND('(橫掃)RX Mapping'!AZ31&gt;=721,'(橫掃)RX Mapping'!AZ31&lt;=840), ('(橫掃)RX Mapping'!AZ31-601),IF(AND('(橫掃)RX Mapping'!AZ31&gt;=841,'(橫掃)RX Mapping'!AZ31&lt;=960), (-1)*('(橫掃)RX Mapping'!AZ31-960)+120,9999))))))))</f>
        <v>9999</v>
      </c>
      <c r="BA31">
        <f>IF(AND('(橫掃)RX Mapping'!BA31&gt;=1,'(橫掃)RX Mapping'!BA31&lt;=120), ('(橫掃)RX Mapping'!BA31-1),IF(AND('(橫掃)RX Mapping'!BA31&gt;=121,'(橫掃)RX Mapping'!BA31&lt;=240), (-1)*('(橫掃)RX Mapping'!BA31-240),IF(AND('(橫掃)RX Mapping'!BA31&gt;=241,'(橫掃)RX Mapping'!BA31&lt;=360), ('(橫掃)RX Mapping'!BA31-241),IF(AND('(橫掃)RX Mapping'!BA31&gt;=361,'(橫掃)RX Mapping'!BA31&lt;=480), (-1)*('(橫掃)RX Mapping'!BA31-480),IF(AND('(橫掃)RX Mapping'!BA31&gt;=481,'(橫掃)RX Mapping'!BA31&lt;=600), ('(橫掃)RX Mapping'!BA31-361),IF(AND('(橫掃)RX Mapping'!BA31&gt;=601,'(橫掃)RX Mapping'!BA31&lt;=720), (-1)*('(橫掃)RX Mapping'!BA31-720)+120,IF(AND('(橫掃)RX Mapping'!BA31&gt;=721,'(橫掃)RX Mapping'!BA31&lt;=840), ('(橫掃)RX Mapping'!BA31-601),IF(AND('(橫掃)RX Mapping'!BA31&gt;=841,'(橫掃)RX Mapping'!BA31&lt;=960), (-1)*('(橫掃)RX Mapping'!BA31-960)+120,9999))))))))</f>
        <v>9999</v>
      </c>
      <c r="BB31">
        <f>IF(AND('(橫掃)RX Mapping'!BB31&gt;=1,'(橫掃)RX Mapping'!BB31&lt;=120), ('(橫掃)RX Mapping'!BB31-1),IF(AND('(橫掃)RX Mapping'!BB31&gt;=121,'(橫掃)RX Mapping'!BB31&lt;=240), (-1)*('(橫掃)RX Mapping'!BB31-240),IF(AND('(橫掃)RX Mapping'!BB31&gt;=241,'(橫掃)RX Mapping'!BB31&lt;=360), ('(橫掃)RX Mapping'!BB31-241),IF(AND('(橫掃)RX Mapping'!BB31&gt;=361,'(橫掃)RX Mapping'!BB31&lt;=480), (-1)*('(橫掃)RX Mapping'!BB31-480),IF(AND('(橫掃)RX Mapping'!BB31&gt;=481,'(橫掃)RX Mapping'!BB31&lt;=600), ('(橫掃)RX Mapping'!BB31-361),IF(AND('(橫掃)RX Mapping'!BB31&gt;=601,'(橫掃)RX Mapping'!BB31&lt;=720), (-1)*('(橫掃)RX Mapping'!BB31-720)+120,IF(AND('(橫掃)RX Mapping'!BB31&gt;=721,'(橫掃)RX Mapping'!BB31&lt;=840), ('(橫掃)RX Mapping'!BB31-601),IF(AND('(橫掃)RX Mapping'!BB31&gt;=841,'(橫掃)RX Mapping'!BB31&lt;=960), (-1)*('(橫掃)RX Mapping'!BB31-960)+120,9999))))))))</f>
        <v>9999</v>
      </c>
      <c r="BC31">
        <f>IF(AND('(橫掃)RX Mapping'!BC31&gt;=1,'(橫掃)RX Mapping'!BC31&lt;=120), ('(橫掃)RX Mapping'!BC31-1),IF(AND('(橫掃)RX Mapping'!BC31&gt;=121,'(橫掃)RX Mapping'!BC31&lt;=240), (-1)*('(橫掃)RX Mapping'!BC31-240),IF(AND('(橫掃)RX Mapping'!BC31&gt;=241,'(橫掃)RX Mapping'!BC31&lt;=360), ('(橫掃)RX Mapping'!BC31-241),IF(AND('(橫掃)RX Mapping'!BC31&gt;=361,'(橫掃)RX Mapping'!BC31&lt;=480), (-1)*('(橫掃)RX Mapping'!BC31-480),IF(AND('(橫掃)RX Mapping'!BC31&gt;=481,'(橫掃)RX Mapping'!BC31&lt;=600), ('(橫掃)RX Mapping'!BC31-361),IF(AND('(橫掃)RX Mapping'!BC31&gt;=601,'(橫掃)RX Mapping'!BC31&lt;=720), (-1)*('(橫掃)RX Mapping'!BC31-720)+120,IF(AND('(橫掃)RX Mapping'!BC31&gt;=721,'(橫掃)RX Mapping'!BC31&lt;=840), ('(橫掃)RX Mapping'!BC31-601),IF(AND('(橫掃)RX Mapping'!BC31&gt;=841,'(橫掃)RX Mapping'!BC31&lt;=960), (-1)*('(橫掃)RX Mapping'!BC31-960)+120,9999))))))))</f>
        <v>9999</v>
      </c>
      <c r="BD31">
        <f>IF(AND('(橫掃)RX Mapping'!BD31&gt;=1,'(橫掃)RX Mapping'!BD31&lt;=120), ('(橫掃)RX Mapping'!BD31-1),IF(AND('(橫掃)RX Mapping'!BD31&gt;=121,'(橫掃)RX Mapping'!BD31&lt;=240), (-1)*('(橫掃)RX Mapping'!BD31-240),IF(AND('(橫掃)RX Mapping'!BD31&gt;=241,'(橫掃)RX Mapping'!BD31&lt;=360), ('(橫掃)RX Mapping'!BD31-241),IF(AND('(橫掃)RX Mapping'!BD31&gt;=361,'(橫掃)RX Mapping'!BD31&lt;=480), (-1)*('(橫掃)RX Mapping'!BD31-480),IF(AND('(橫掃)RX Mapping'!BD31&gt;=481,'(橫掃)RX Mapping'!BD31&lt;=600), ('(橫掃)RX Mapping'!BD31-361),IF(AND('(橫掃)RX Mapping'!BD31&gt;=601,'(橫掃)RX Mapping'!BD31&lt;=720), (-1)*('(橫掃)RX Mapping'!BD31-720)+120,IF(AND('(橫掃)RX Mapping'!BD31&gt;=721,'(橫掃)RX Mapping'!BD31&lt;=840), ('(橫掃)RX Mapping'!BD31-601),IF(AND('(橫掃)RX Mapping'!BD31&gt;=841,'(橫掃)RX Mapping'!BD31&lt;=960), (-1)*('(橫掃)RX Mapping'!BD31-960)+120,9999))))))))</f>
        <v>9999</v>
      </c>
      <c r="BE31">
        <f>IF(AND('(橫掃)RX Mapping'!BE31&gt;=1,'(橫掃)RX Mapping'!BE31&lt;=120), ('(橫掃)RX Mapping'!BE31-1),IF(AND('(橫掃)RX Mapping'!BE31&gt;=121,'(橫掃)RX Mapping'!BE31&lt;=240), (-1)*('(橫掃)RX Mapping'!BE31-240),IF(AND('(橫掃)RX Mapping'!BE31&gt;=241,'(橫掃)RX Mapping'!BE31&lt;=360), ('(橫掃)RX Mapping'!BE31-241),IF(AND('(橫掃)RX Mapping'!BE31&gt;=361,'(橫掃)RX Mapping'!BE31&lt;=480), (-1)*('(橫掃)RX Mapping'!BE31-480),IF(AND('(橫掃)RX Mapping'!BE31&gt;=481,'(橫掃)RX Mapping'!BE31&lt;=600), ('(橫掃)RX Mapping'!BE31-361),IF(AND('(橫掃)RX Mapping'!BE31&gt;=601,'(橫掃)RX Mapping'!BE31&lt;=720), (-1)*('(橫掃)RX Mapping'!BE31-720)+120,IF(AND('(橫掃)RX Mapping'!BE31&gt;=721,'(橫掃)RX Mapping'!BE31&lt;=840), ('(橫掃)RX Mapping'!BE31-601),IF(AND('(橫掃)RX Mapping'!BE31&gt;=841,'(橫掃)RX Mapping'!BE31&lt;=960), (-1)*('(橫掃)RX Mapping'!BE31-960)+120,9999))))))))</f>
        <v>9999</v>
      </c>
      <c r="BF31">
        <f>IF(AND('(橫掃)RX Mapping'!BF31&gt;=1,'(橫掃)RX Mapping'!BF31&lt;=120), ('(橫掃)RX Mapping'!BF31-1),IF(AND('(橫掃)RX Mapping'!BF31&gt;=121,'(橫掃)RX Mapping'!BF31&lt;=240), (-1)*('(橫掃)RX Mapping'!BF31-240),IF(AND('(橫掃)RX Mapping'!BF31&gt;=241,'(橫掃)RX Mapping'!BF31&lt;=360), ('(橫掃)RX Mapping'!BF31-241),IF(AND('(橫掃)RX Mapping'!BF31&gt;=361,'(橫掃)RX Mapping'!BF31&lt;=480), (-1)*('(橫掃)RX Mapping'!BF31-480),IF(AND('(橫掃)RX Mapping'!BF31&gt;=481,'(橫掃)RX Mapping'!BF31&lt;=600), ('(橫掃)RX Mapping'!BF31-361),IF(AND('(橫掃)RX Mapping'!BF31&gt;=601,'(橫掃)RX Mapping'!BF31&lt;=720), (-1)*('(橫掃)RX Mapping'!BF31-720)+120,IF(AND('(橫掃)RX Mapping'!BF31&gt;=721,'(橫掃)RX Mapping'!BF31&lt;=840), ('(橫掃)RX Mapping'!BF31-601),IF(AND('(橫掃)RX Mapping'!BF31&gt;=841,'(橫掃)RX Mapping'!BF31&lt;=960), (-1)*('(橫掃)RX Mapping'!BF31-960)+120,9999))))))))</f>
        <v>9999</v>
      </c>
      <c r="BG31">
        <f>IF(AND('(橫掃)RX Mapping'!BG31&gt;=1,'(橫掃)RX Mapping'!BG31&lt;=120), ('(橫掃)RX Mapping'!BG31-1),IF(AND('(橫掃)RX Mapping'!BG31&gt;=121,'(橫掃)RX Mapping'!BG31&lt;=240), (-1)*('(橫掃)RX Mapping'!BG31-240),IF(AND('(橫掃)RX Mapping'!BG31&gt;=241,'(橫掃)RX Mapping'!BG31&lt;=360), ('(橫掃)RX Mapping'!BG31-241),IF(AND('(橫掃)RX Mapping'!BG31&gt;=361,'(橫掃)RX Mapping'!BG31&lt;=480), (-1)*('(橫掃)RX Mapping'!BG31-480),IF(AND('(橫掃)RX Mapping'!BG31&gt;=481,'(橫掃)RX Mapping'!BG31&lt;=600), ('(橫掃)RX Mapping'!BG31-361),IF(AND('(橫掃)RX Mapping'!BG31&gt;=601,'(橫掃)RX Mapping'!BG31&lt;=720), (-1)*('(橫掃)RX Mapping'!BG31-720)+120,IF(AND('(橫掃)RX Mapping'!BG31&gt;=721,'(橫掃)RX Mapping'!BG31&lt;=840), ('(橫掃)RX Mapping'!BG31-601),IF(AND('(橫掃)RX Mapping'!BG31&gt;=841,'(橫掃)RX Mapping'!BG31&lt;=960), (-1)*('(橫掃)RX Mapping'!BG31-960)+120,9999))))))))</f>
        <v>9999</v>
      </c>
      <c r="BH31">
        <f>IF(AND('(橫掃)RX Mapping'!BH31&gt;=1,'(橫掃)RX Mapping'!BH31&lt;=120), ('(橫掃)RX Mapping'!BH31-1),IF(AND('(橫掃)RX Mapping'!BH31&gt;=121,'(橫掃)RX Mapping'!BH31&lt;=240), (-1)*('(橫掃)RX Mapping'!BH31-240),IF(AND('(橫掃)RX Mapping'!BH31&gt;=241,'(橫掃)RX Mapping'!BH31&lt;=360), ('(橫掃)RX Mapping'!BH31-241),IF(AND('(橫掃)RX Mapping'!BH31&gt;=361,'(橫掃)RX Mapping'!BH31&lt;=480), (-1)*('(橫掃)RX Mapping'!BH31-480),IF(AND('(橫掃)RX Mapping'!BH31&gt;=481,'(橫掃)RX Mapping'!BH31&lt;=600), ('(橫掃)RX Mapping'!BH31-361),IF(AND('(橫掃)RX Mapping'!BH31&gt;=601,'(橫掃)RX Mapping'!BH31&lt;=720), (-1)*('(橫掃)RX Mapping'!BH31-720)+120,IF(AND('(橫掃)RX Mapping'!BH31&gt;=721,'(橫掃)RX Mapping'!BH31&lt;=840), ('(橫掃)RX Mapping'!BH31-601),IF(AND('(橫掃)RX Mapping'!BH31&gt;=841,'(橫掃)RX Mapping'!BH31&lt;=960), (-1)*('(橫掃)RX Mapping'!BH31-960)+120,9999))))))))</f>
        <v>9999</v>
      </c>
      <c r="BI31">
        <f>IF(AND('(橫掃)RX Mapping'!BI31&gt;=1,'(橫掃)RX Mapping'!BI31&lt;=120), ('(橫掃)RX Mapping'!BI31-1),IF(AND('(橫掃)RX Mapping'!BI31&gt;=121,'(橫掃)RX Mapping'!BI31&lt;=240), (-1)*('(橫掃)RX Mapping'!BI31-240),IF(AND('(橫掃)RX Mapping'!BI31&gt;=241,'(橫掃)RX Mapping'!BI31&lt;=360), ('(橫掃)RX Mapping'!BI31-241),IF(AND('(橫掃)RX Mapping'!BI31&gt;=361,'(橫掃)RX Mapping'!BI31&lt;=480), (-1)*('(橫掃)RX Mapping'!BI31-480),IF(AND('(橫掃)RX Mapping'!BI31&gt;=481,'(橫掃)RX Mapping'!BI31&lt;=600), ('(橫掃)RX Mapping'!BI31-361),IF(AND('(橫掃)RX Mapping'!BI31&gt;=601,'(橫掃)RX Mapping'!BI31&lt;=720), (-1)*('(橫掃)RX Mapping'!BI31-720)+120,IF(AND('(橫掃)RX Mapping'!BI31&gt;=721,'(橫掃)RX Mapping'!BI31&lt;=840), ('(橫掃)RX Mapping'!BI31-601),IF(AND('(橫掃)RX Mapping'!BI31&gt;=841,'(橫掃)RX Mapping'!BI31&lt;=960), (-1)*('(橫掃)RX Mapping'!BI31-960)+120,9999))))))))</f>
        <v>9999</v>
      </c>
    </row>
    <row r="32" spans="1:61" x14ac:dyDescent="0.25">
      <c r="A32" s="20">
        <v>31</v>
      </c>
      <c r="B32">
        <f>IF(
(AND('(直掃)RX Mapping'!B32&gt;=0,'(直掃)RX Mapping'!B32&lt;=480)),
(MOD('(直掃)RX Mapping'!B32,120)-1),
IF(
(AND('(直掃)RX Mapping'!B32&gt;=480,'(直掃)RX Mapping'!B32&lt;=960)),
IF(MOD('(直掃)RX Mapping'!B32,120)=0, 120, 240-MOD('(直掃)RX Mapping'!B32,120)),9999))+IF(AND(MOD('(直掃)RX Mapping'!B32,120)=0, '(直掃)RX Mapping'!B32 &lt;= 480,  '(直掃)RX Mapping'!B32 &gt; 0), 120)</f>
        <v>-1</v>
      </c>
      <c r="C32">
        <f>IF(
(AND('(直掃)RX Mapping'!C32&gt;=0,'(直掃)RX Mapping'!C32&lt;=480)),
(MOD('(直掃)RX Mapping'!C32,120)-1),
IF(
(AND('(直掃)RX Mapping'!C32&gt;=480,'(直掃)RX Mapping'!C32&lt;=960)),
IF(MOD('(直掃)RX Mapping'!C32,120)=0, 120, 240-MOD('(直掃)RX Mapping'!C32,120)),9999))+IF(AND(MOD('(直掃)RX Mapping'!C32,120)=0, '(直掃)RX Mapping'!C32 &lt;= 480,  '(直掃)RX Mapping'!C32 &gt; 0), 120)</f>
        <v>-1</v>
      </c>
      <c r="D32">
        <f>IF(
(AND('(直掃)RX Mapping'!D32&gt;=0,'(直掃)RX Mapping'!D32&lt;=480)),
(MOD('(直掃)RX Mapping'!D32,120)-1),
IF(
(AND('(直掃)RX Mapping'!D32&gt;=480,'(直掃)RX Mapping'!D32&lt;=960)),
IF(MOD('(直掃)RX Mapping'!D32,120)=0, 120, 240-MOD('(直掃)RX Mapping'!D32,120)),9999))+IF(AND(MOD('(直掃)RX Mapping'!D32,120)=0, '(直掃)RX Mapping'!D32 &lt;= 480,  '(直掃)RX Mapping'!D32 &gt; 0), 120)</f>
        <v>-1</v>
      </c>
      <c r="E32">
        <f>IF(
(AND('(直掃)RX Mapping'!E32&gt;=0,'(直掃)RX Mapping'!E32&lt;=480)),
(MOD('(直掃)RX Mapping'!E32,120)-1),
IF(
(AND('(直掃)RX Mapping'!E32&gt;=480,'(直掃)RX Mapping'!E32&lt;=960)),
IF(MOD('(直掃)RX Mapping'!E32,120)=0, 120, 240-MOD('(直掃)RX Mapping'!E32,120)),9999))+IF(AND(MOD('(直掃)RX Mapping'!E32,120)=0, '(直掃)RX Mapping'!E32 &lt;= 480,  '(直掃)RX Mapping'!E32 &gt; 0), 120)</f>
        <v>-1</v>
      </c>
      <c r="F32">
        <f>IF(
(AND('(直掃)RX Mapping'!F32&gt;=0,'(直掃)RX Mapping'!F32&lt;=480)),
(MOD('(直掃)RX Mapping'!F32,120)-1),
IF(
(AND('(直掃)RX Mapping'!F32&gt;=480,'(直掃)RX Mapping'!F32&lt;=960)),
IF(MOD('(直掃)RX Mapping'!F32,120)=0, 120, 240-MOD('(直掃)RX Mapping'!F32,120)),9999))+IF(AND(MOD('(直掃)RX Mapping'!F32,120)=0, '(直掃)RX Mapping'!F32 &lt;= 480,  '(直掃)RX Mapping'!F32 &gt; 0), 120)</f>
        <v>-1</v>
      </c>
      <c r="G32">
        <f>IF(
(AND('(直掃)RX Mapping'!G32&gt;=0,'(直掃)RX Mapping'!G32&lt;=480)),
(MOD('(直掃)RX Mapping'!G32,120)-1),
IF(
(AND('(直掃)RX Mapping'!G32&gt;=480,'(直掃)RX Mapping'!G32&lt;=960)),
IF(MOD('(直掃)RX Mapping'!G32,120)=0, 120, 240-MOD('(直掃)RX Mapping'!G32,120)),9999))+IF(AND(MOD('(直掃)RX Mapping'!G32,120)=0, '(直掃)RX Mapping'!G32 &lt;= 480,  '(直掃)RX Mapping'!G32 &gt; 0), 120)</f>
        <v>-1</v>
      </c>
      <c r="H32">
        <f>IF(
(AND('(直掃)RX Mapping'!H32&gt;=0,'(直掃)RX Mapping'!H32&lt;=480)),
(MOD('(直掃)RX Mapping'!H32,120)-1),
IF(
(AND('(直掃)RX Mapping'!H32&gt;=480,'(直掃)RX Mapping'!H32&lt;=960)),
IF(MOD('(直掃)RX Mapping'!H32,120)=0, 120, 240-MOD('(直掃)RX Mapping'!H32,120)),9999))+IF(AND(MOD('(直掃)RX Mapping'!H32,120)=0, '(直掃)RX Mapping'!H32 &lt;= 480,  '(直掃)RX Mapping'!H32 &gt; 0), 120)</f>
        <v>-1</v>
      </c>
      <c r="I32">
        <f>IF(
(AND('(直掃)RX Mapping'!I32&gt;=0,'(直掃)RX Mapping'!I32&lt;=480)),
(MOD('(直掃)RX Mapping'!I32,120)-1),
IF(
(AND('(直掃)RX Mapping'!I32&gt;=480,'(直掃)RX Mapping'!I32&lt;=960)),
IF(MOD('(直掃)RX Mapping'!I32,120)=0, 120, 240-MOD('(直掃)RX Mapping'!I32,120)),9999))+IF(AND(MOD('(直掃)RX Mapping'!I32,120)=0, '(直掃)RX Mapping'!I32 &lt;= 480,  '(直掃)RX Mapping'!I32 &gt; 0), 120)</f>
        <v>-1</v>
      </c>
      <c r="J32">
        <f>IF(
(AND('(直掃)RX Mapping'!J32&gt;=0,'(直掃)RX Mapping'!J32&lt;=480)),
(MOD('(直掃)RX Mapping'!J32,120)-1),
IF(
(AND('(直掃)RX Mapping'!J32&gt;=480,'(直掃)RX Mapping'!J32&lt;=960)),
IF(MOD('(直掃)RX Mapping'!J32,120)=0, 120, 240-MOD('(直掃)RX Mapping'!J32,120)),9999))+IF(AND(MOD('(直掃)RX Mapping'!J32,120)=0, '(直掃)RX Mapping'!J32 &lt;= 480,  '(直掃)RX Mapping'!J32 &gt; 0), 120)</f>
        <v>-1</v>
      </c>
      <c r="K32">
        <f>IF(
(AND('(直掃)RX Mapping'!K32&gt;=0,'(直掃)RX Mapping'!K32&lt;=480)),
(MOD('(直掃)RX Mapping'!K32,120)-1),
IF(
(AND('(直掃)RX Mapping'!K32&gt;=480,'(直掃)RX Mapping'!K32&lt;=960)),
IF(MOD('(直掃)RX Mapping'!K32,120)=0, 120, 240-MOD('(直掃)RX Mapping'!K32,120)),9999))+IF(AND(MOD('(直掃)RX Mapping'!K32,120)=0, '(直掃)RX Mapping'!K32 &lt;= 480,  '(直掃)RX Mapping'!K32 &gt; 0), 120)</f>
        <v>-1</v>
      </c>
      <c r="L32">
        <f>IF(
(AND('(直掃)RX Mapping'!L32&gt;=0,'(直掃)RX Mapping'!L32&lt;=480)),
(MOD('(直掃)RX Mapping'!L32,120)-1),
IF(
(AND('(直掃)RX Mapping'!L32&gt;=480,'(直掃)RX Mapping'!L32&lt;=960)),
IF(MOD('(直掃)RX Mapping'!L32,120)=0, 120, 240-MOD('(直掃)RX Mapping'!L32,120)),9999))+IF(AND(MOD('(直掃)RX Mapping'!L32,120)=0, '(直掃)RX Mapping'!L32 &lt;= 480,  '(直掃)RX Mapping'!L32 &gt; 0), 120)</f>
        <v>-1</v>
      </c>
      <c r="M32">
        <f>IF(
(AND('(直掃)RX Mapping'!M32&gt;=0,'(直掃)RX Mapping'!M32&lt;=480)),
(MOD('(直掃)RX Mapping'!M32,120)-1),
IF(
(AND('(直掃)RX Mapping'!M32&gt;=480,'(直掃)RX Mapping'!M32&lt;=960)),
IF(MOD('(直掃)RX Mapping'!M32,120)=0, 120, 240-MOD('(直掃)RX Mapping'!M32,120)),9999))+IF(AND(MOD('(直掃)RX Mapping'!M32,120)=0, '(直掃)RX Mapping'!M32 &lt;= 480,  '(直掃)RX Mapping'!M32 &gt; 0), 120)</f>
        <v>-1</v>
      </c>
      <c r="N32">
        <f>IF(
(AND('(直掃)RX Mapping'!N32&gt;=0,'(直掃)RX Mapping'!N32&lt;=480)),
(MOD('(直掃)RX Mapping'!N32,120)-1),
IF(
(AND('(直掃)RX Mapping'!N32&gt;=480,'(直掃)RX Mapping'!N32&lt;=960)),
IF(MOD('(直掃)RX Mapping'!N32,120)=0, 120, 240-MOD('(直掃)RX Mapping'!N32,120)),9999))+IF(AND(MOD('(直掃)RX Mapping'!N32,120)=0, '(直掃)RX Mapping'!N32 &lt;= 480,  '(直掃)RX Mapping'!N32 &gt; 0), 120)</f>
        <v>-1</v>
      </c>
      <c r="O32">
        <f>IF(
(AND('(直掃)RX Mapping'!O32&gt;=0,'(直掃)RX Mapping'!O32&lt;=480)),
(MOD('(直掃)RX Mapping'!O32,120)-1),
IF(
(AND('(直掃)RX Mapping'!O32&gt;=480,'(直掃)RX Mapping'!O32&lt;=960)),
IF(MOD('(直掃)RX Mapping'!O32,120)=0, 120, 240-MOD('(直掃)RX Mapping'!O32,120)),9999))+IF(AND(MOD('(直掃)RX Mapping'!O32,120)=0, '(直掃)RX Mapping'!O32 &lt;= 480,  '(直掃)RX Mapping'!O32 &gt; 0), 120)</f>
        <v>-1</v>
      </c>
      <c r="P32">
        <f>IF(
(AND('(直掃)RX Mapping'!P32&gt;=0,'(直掃)RX Mapping'!P32&lt;=480)),
(MOD('(直掃)RX Mapping'!P32,120)-1),
IF(
(AND('(直掃)RX Mapping'!P32&gt;=480,'(直掃)RX Mapping'!P32&lt;=960)),
IF(MOD('(直掃)RX Mapping'!P32,120)=0, 120, 240-MOD('(直掃)RX Mapping'!P32,120)),9999))+IF(AND(MOD('(直掃)RX Mapping'!P32,120)=0, '(直掃)RX Mapping'!P32 &lt;= 480,  '(直掃)RX Mapping'!P32 &gt; 0), 120)</f>
        <v>-1</v>
      </c>
      <c r="Q32">
        <f>IF(
(AND('(直掃)RX Mapping'!Q32&gt;=0,'(直掃)RX Mapping'!Q32&lt;=480)),
(MOD('(直掃)RX Mapping'!Q32,120)-1),
IF(
(AND('(直掃)RX Mapping'!Q32&gt;=480,'(直掃)RX Mapping'!Q32&lt;=960)),
IF(MOD('(直掃)RX Mapping'!Q32,120)=0, 120, 240-MOD('(直掃)RX Mapping'!Q32,120)),9999))+IF(AND(MOD('(直掃)RX Mapping'!Q32,120)=0, '(直掃)RX Mapping'!Q32 &lt;= 480,  '(直掃)RX Mapping'!Q32 &gt; 0), 120)</f>
        <v>-1</v>
      </c>
      <c r="R32">
        <f>IF(
(AND('(直掃)RX Mapping'!R32&gt;=0,'(直掃)RX Mapping'!R32&lt;=480)),
(MOD('(直掃)RX Mapping'!R32,120)-1),
IF(
(AND('(直掃)RX Mapping'!R32&gt;=480,'(直掃)RX Mapping'!R32&lt;=960)),
IF(MOD('(直掃)RX Mapping'!R32,120)=0, 120, 240-MOD('(直掃)RX Mapping'!R32,120)),9999))+IF(AND(MOD('(直掃)RX Mapping'!R32,120)=0, '(直掃)RX Mapping'!R32 &lt;= 480,  '(直掃)RX Mapping'!R32 &gt; 0), 120)</f>
        <v>-1</v>
      </c>
      <c r="S32">
        <f>IF(
(AND('(直掃)RX Mapping'!S32&gt;=0,'(直掃)RX Mapping'!S32&lt;=480)),
(MOD('(直掃)RX Mapping'!S32,120)-1),
IF(
(AND('(直掃)RX Mapping'!S32&gt;=480,'(直掃)RX Mapping'!S32&lt;=960)),
IF(MOD('(直掃)RX Mapping'!S32,120)=0, 120, 240-MOD('(直掃)RX Mapping'!S32,120)),9999))+IF(AND(MOD('(直掃)RX Mapping'!S32,120)=0, '(直掃)RX Mapping'!S32 &lt;= 480,  '(直掃)RX Mapping'!S32 &gt; 0), 120)</f>
        <v>-1</v>
      </c>
      <c r="T32">
        <f>IF(
(AND('(直掃)RX Mapping'!T32&gt;=0,'(直掃)RX Mapping'!T32&lt;=480)),
(MOD('(直掃)RX Mapping'!T32,120)-1),
IF(
(AND('(直掃)RX Mapping'!T32&gt;=480,'(直掃)RX Mapping'!T32&lt;=960)),
IF(MOD('(直掃)RX Mapping'!T32,120)=0, 120, 240-MOD('(直掃)RX Mapping'!T32,120)),9999))+IF(AND(MOD('(直掃)RX Mapping'!T32,120)=0, '(直掃)RX Mapping'!T32 &lt;= 480,  '(直掃)RX Mapping'!T32 &gt; 0), 120)</f>
        <v>-1</v>
      </c>
      <c r="U32">
        <f>IF(
(AND('(直掃)RX Mapping'!U32&gt;=0,'(直掃)RX Mapping'!U32&lt;=480)),
(MOD('(直掃)RX Mapping'!U32,120)-1),
IF(
(AND('(直掃)RX Mapping'!U32&gt;=480,'(直掃)RX Mapping'!U32&lt;=960)),
IF(MOD('(直掃)RX Mapping'!U32,120)=0, 120, 240-MOD('(直掃)RX Mapping'!U32,120)),9999))+IF(AND(MOD('(直掃)RX Mapping'!U32,120)=0, '(直掃)RX Mapping'!U32 &lt;= 480,  '(直掃)RX Mapping'!U32 &gt; 0), 120)</f>
        <v>-1</v>
      </c>
      <c r="V32">
        <f>IF(
(AND('(直掃)RX Mapping'!V32&gt;=0,'(直掃)RX Mapping'!V32&lt;=480)),
(MOD('(直掃)RX Mapping'!V32,120)-1),
IF(
(AND('(直掃)RX Mapping'!V32&gt;=480,'(直掃)RX Mapping'!V32&lt;=960)),
IF(MOD('(直掃)RX Mapping'!V32,120)=0, 120, 240-MOD('(直掃)RX Mapping'!V32,120)),9999))+IF(AND(MOD('(直掃)RX Mapping'!V32,120)=0, '(直掃)RX Mapping'!V32 &lt;= 480,  '(直掃)RX Mapping'!V32 &gt; 0), 120)</f>
        <v>-1</v>
      </c>
      <c r="W32">
        <f>IF(
(AND('(直掃)RX Mapping'!W32&gt;=0,'(直掃)RX Mapping'!W32&lt;=480)),
(MOD('(直掃)RX Mapping'!W32,120)-1),
IF(
(AND('(直掃)RX Mapping'!W32&gt;=480,'(直掃)RX Mapping'!W32&lt;=960)),
IF(MOD('(直掃)RX Mapping'!W32,120)=0, 120, 240-MOD('(直掃)RX Mapping'!W32,120)),9999))+IF(AND(MOD('(直掃)RX Mapping'!W32,120)=0, '(直掃)RX Mapping'!W32 &lt;= 480,  '(直掃)RX Mapping'!W32 &gt; 0), 120)</f>
        <v>-1</v>
      </c>
      <c r="X32">
        <f>IF(
(AND('(直掃)RX Mapping'!X32&gt;=0,'(直掃)RX Mapping'!X32&lt;=480)),
(MOD('(直掃)RX Mapping'!X32,120)-1),
IF(
(AND('(直掃)RX Mapping'!X32&gt;=480,'(直掃)RX Mapping'!X32&lt;=960)),
IF(MOD('(直掃)RX Mapping'!X32,120)=0, 120, 240-MOD('(直掃)RX Mapping'!X32,120)),9999))+IF(AND(MOD('(直掃)RX Mapping'!X32,120)=0, '(直掃)RX Mapping'!X32 &lt;= 480,  '(直掃)RX Mapping'!X32 &gt; 0), 120)</f>
        <v>-1</v>
      </c>
      <c r="Y32">
        <f>IF(
(AND('(直掃)RX Mapping'!Y32&gt;=0,'(直掃)RX Mapping'!Y32&lt;=480)),
(MOD('(直掃)RX Mapping'!Y32,120)-1),
IF(
(AND('(直掃)RX Mapping'!Y32&gt;=480,'(直掃)RX Mapping'!Y32&lt;=960)),
IF(MOD('(直掃)RX Mapping'!Y32,120)=0, 120, 240-MOD('(直掃)RX Mapping'!Y32,120)),9999))+IF(AND(MOD('(直掃)RX Mapping'!Y32,120)=0, '(直掃)RX Mapping'!Y32 &lt;= 480,  '(直掃)RX Mapping'!Y32 &gt; 0), 120)</f>
        <v>-1</v>
      </c>
      <c r="Z32">
        <f>IF(
(AND('(直掃)RX Mapping'!Z32&gt;=0,'(直掃)RX Mapping'!Z32&lt;=480)),
(MOD('(直掃)RX Mapping'!Z32,120)-1),
IF(
(AND('(直掃)RX Mapping'!Z32&gt;=480,'(直掃)RX Mapping'!Z32&lt;=960)),
IF(MOD('(直掃)RX Mapping'!Z32,120)=0, 120, 240-MOD('(直掃)RX Mapping'!Z32,120)),9999))+IF(AND(MOD('(直掃)RX Mapping'!Z32,120)=0, '(直掃)RX Mapping'!Z32 &lt;= 480,  '(直掃)RX Mapping'!Z32 &gt; 0), 120)</f>
        <v>-1</v>
      </c>
      <c r="AA32">
        <f>IF(
(AND('(直掃)RX Mapping'!AA32&gt;=0,'(直掃)RX Mapping'!AA32&lt;=480)),
(MOD('(直掃)RX Mapping'!AA32,120)-1),
IF(
(AND('(直掃)RX Mapping'!AA32&gt;=480,'(直掃)RX Mapping'!AA32&lt;=960)),
IF(MOD('(直掃)RX Mapping'!AA32,120)=0, 120, 240-MOD('(直掃)RX Mapping'!AA32,120)),9999))+IF(AND(MOD('(直掃)RX Mapping'!AA32,120)=0, '(直掃)RX Mapping'!AA32 &lt;= 480,  '(直掃)RX Mapping'!AA32 &gt; 0), 120)</f>
        <v>-1</v>
      </c>
      <c r="AB32">
        <f>IF(
(AND('(直掃)RX Mapping'!AB32&gt;=0,'(直掃)RX Mapping'!AB32&lt;=480)),
(MOD('(直掃)RX Mapping'!AB32,120)-1),
IF(
(AND('(直掃)RX Mapping'!AB32&gt;=480,'(直掃)RX Mapping'!AB32&lt;=960)),
IF(MOD('(直掃)RX Mapping'!AB32,120)=0, 120, 240-MOD('(直掃)RX Mapping'!AB32,120)),9999))+IF(AND(MOD('(直掃)RX Mapping'!AB32,120)=0, '(直掃)RX Mapping'!AB32 &lt;= 480,  '(直掃)RX Mapping'!AB32 &gt; 0), 120)</f>
        <v>-1</v>
      </c>
      <c r="AC32">
        <f>IF(
(AND('(直掃)RX Mapping'!AC32&gt;=0,'(直掃)RX Mapping'!AC32&lt;=480)),
(MOD('(直掃)RX Mapping'!AC32,120)-1),
IF(
(AND('(直掃)RX Mapping'!AC32&gt;=480,'(直掃)RX Mapping'!AC32&lt;=960)),
IF(MOD('(直掃)RX Mapping'!AC32,120)=0, 120, 240-MOD('(直掃)RX Mapping'!AC32,120)),9999))+IF(AND(MOD('(直掃)RX Mapping'!AC32,120)=0, '(直掃)RX Mapping'!AC32 &lt;= 480,  '(直掃)RX Mapping'!AC32 &gt; 0), 120)</f>
        <v>-1</v>
      </c>
      <c r="AD32">
        <f>IF(
(AND('(直掃)RX Mapping'!AD32&gt;=0,'(直掃)RX Mapping'!AD32&lt;=480)),
(MOD('(直掃)RX Mapping'!AD32,120)-1),
IF(
(AND('(直掃)RX Mapping'!AD32&gt;=480,'(直掃)RX Mapping'!AD32&lt;=960)),
IF(MOD('(直掃)RX Mapping'!AD32,120)=0, 120, 240-MOD('(直掃)RX Mapping'!AD32,120)),9999))+IF(AND(MOD('(直掃)RX Mapping'!AD32,120)=0, '(直掃)RX Mapping'!AD32 &lt;= 480,  '(直掃)RX Mapping'!AD32 &gt; 0), 120)</f>
        <v>-1</v>
      </c>
      <c r="AE32">
        <f>IF(
(AND('(直掃)RX Mapping'!AE32&gt;=0,'(直掃)RX Mapping'!AE32&lt;=480)),
(MOD('(直掃)RX Mapping'!AE32,120)-1),
IF(
(AND('(直掃)RX Mapping'!AE32&gt;=480,'(直掃)RX Mapping'!AE32&lt;=960)),
IF(MOD('(直掃)RX Mapping'!AE32,120)=0, 120, 240-MOD('(直掃)RX Mapping'!AE32,120)),9999))+IF(AND(MOD('(直掃)RX Mapping'!AE32,120)=0, '(直掃)RX Mapping'!AE32 &lt;= 480,  '(直掃)RX Mapping'!AE32 &gt; 0), 120)</f>
        <v>-1</v>
      </c>
      <c r="AF32">
        <f>IF(
(AND('(直掃)RX Mapping'!AF32&gt;=0,'(直掃)RX Mapping'!AF32&lt;=480)),
(MOD('(直掃)RX Mapping'!AF32,120)-1),
IF(
(AND('(直掃)RX Mapping'!AF32&gt;=480,'(直掃)RX Mapping'!AF32&lt;=960)),
IF(MOD('(直掃)RX Mapping'!AF32,120)=0, 120, 240-MOD('(直掃)RX Mapping'!AF32,120)),9999))+IF(AND(MOD('(直掃)RX Mapping'!AF32,120)=0, '(直掃)RX Mapping'!AF32 &lt;= 480,  '(直掃)RX Mapping'!AF32 &gt; 0), 120)</f>
        <v>-1</v>
      </c>
      <c r="AG32">
        <f>IF(
(AND('(直掃)RX Mapping'!AG32&gt;=0,'(直掃)RX Mapping'!AG32&lt;=480)),
(MOD('(直掃)RX Mapping'!AG32,120)-1),
IF(
(AND('(直掃)RX Mapping'!AG32&gt;=480,'(直掃)RX Mapping'!AG32&lt;=960)),
IF(MOD('(直掃)RX Mapping'!AG32,120)=0, 120, 240-MOD('(直掃)RX Mapping'!AG32,120)),9999))+IF(AND(MOD('(直掃)RX Mapping'!AG32,120)=0, '(直掃)RX Mapping'!AG32 &lt;= 480,  '(直掃)RX Mapping'!AG32 &gt; 0), 120)</f>
        <v>-1</v>
      </c>
      <c r="AH32">
        <f>IF(
(AND('(直掃)RX Mapping'!AH32&gt;=0,'(直掃)RX Mapping'!AH32&lt;=480)),
(MOD('(直掃)RX Mapping'!AH32,120)-1),
IF(
(AND('(直掃)RX Mapping'!AH32&gt;=480,'(直掃)RX Mapping'!AH32&lt;=960)),
IF(MOD('(直掃)RX Mapping'!AH32,120)=0, 120, 240-MOD('(直掃)RX Mapping'!AH32,120)),9999))+IF(AND(MOD('(直掃)RX Mapping'!AH32,120)=0, '(直掃)RX Mapping'!AH32 &lt;= 480,  '(直掃)RX Mapping'!AH32 &gt; 0), 120)</f>
        <v>-1</v>
      </c>
      <c r="AI32">
        <f>IF(
(AND('(直掃)RX Mapping'!AI32&gt;=0,'(直掃)RX Mapping'!AI32&lt;=480)),
(MOD('(直掃)RX Mapping'!AI32,120)-1),
IF(
(AND('(直掃)RX Mapping'!AI32&gt;=480,'(直掃)RX Mapping'!AI32&lt;=960)),
IF(MOD('(直掃)RX Mapping'!AI32,120)=0, 120, 240-MOD('(直掃)RX Mapping'!AI32,120)),9999))+IF(AND(MOD('(直掃)RX Mapping'!AI32,120)=0, '(直掃)RX Mapping'!AI32 &lt;= 480,  '(直掃)RX Mapping'!AI32 &gt; 0), 120)</f>
        <v>-1</v>
      </c>
      <c r="AJ32">
        <f>IF(
(AND('(直掃)RX Mapping'!AJ32&gt;=0,'(直掃)RX Mapping'!AJ32&lt;=480)),
(MOD('(直掃)RX Mapping'!AJ32,120)-1),
IF(
(AND('(直掃)RX Mapping'!AJ32&gt;=480,'(直掃)RX Mapping'!AJ32&lt;=960)),
IF(MOD('(直掃)RX Mapping'!AJ32,120)=0, 120, 240-MOD('(直掃)RX Mapping'!AJ32,120)),9999))+IF(AND(MOD('(直掃)RX Mapping'!AJ32,120)=0, '(直掃)RX Mapping'!AJ32 &lt;= 480,  '(直掃)RX Mapping'!AJ32 &gt; 0), 120)</f>
        <v>-1</v>
      </c>
      <c r="AK32">
        <f>IF(
(AND('(直掃)RX Mapping'!AK32&gt;=0,'(直掃)RX Mapping'!AK32&lt;=480)),
(MOD('(直掃)RX Mapping'!AK32,120)-1),
IF(
(AND('(直掃)RX Mapping'!AK32&gt;=480,'(直掃)RX Mapping'!AK32&lt;=960)),
IF(MOD('(直掃)RX Mapping'!AK32,120)=0, 120, 240-MOD('(直掃)RX Mapping'!AK32,120)),9999))+IF(AND(MOD('(直掃)RX Mapping'!AK32,120)=0, '(直掃)RX Mapping'!AK32 &lt;= 480,  '(直掃)RX Mapping'!AK32 &gt; 0), 120)</f>
        <v>-1</v>
      </c>
      <c r="AL32">
        <f>IF(
(AND('(直掃)RX Mapping'!AL32&gt;=0,'(直掃)RX Mapping'!AL32&lt;=480)),
(MOD('(直掃)RX Mapping'!AL32,120)-1),
IF(
(AND('(直掃)RX Mapping'!AL32&gt;=480,'(直掃)RX Mapping'!AL32&lt;=960)),
IF(MOD('(直掃)RX Mapping'!AL32,120)=0, 120, 240-MOD('(直掃)RX Mapping'!AL32,120)),9999))+IF(AND(MOD('(直掃)RX Mapping'!AL32,120)=0, '(直掃)RX Mapping'!AL32 &lt;= 480,  '(直掃)RX Mapping'!AL32 &gt; 0), 120)</f>
        <v>-1</v>
      </c>
      <c r="AM32">
        <f>IF(
(AND('(直掃)RX Mapping'!AM32&gt;=0,'(直掃)RX Mapping'!AM32&lt;=480)),
(MOD('(直掃)RX Mapping'!AM32,120)-1),
IF(
(AND('(直掃)RX Mapping'!AM32&gt;=480,'(直掃)RX Mapping'!AM32&lt;=960)),
IF(MOD('(直掃)RX Mapping'!AM32,120)=0, 120, 240-MOD('(直掃)RX Mapping'!AM32,120)),9999))+IF(AND(MOD('(直掃)RX Mapping'!AM32,120)=0, '(直掃)RX Mapping'!AM32 &lt;= 480,  '(直掃)RX Mapping'!AM32 &gt; 0), 120)</f>
        <v>-1</v>
      </c>
      <c r="AN32">
        <f>IF(
(AND('(直掃)RX Mapping'!AN32&gt;=0,'(直掃)RX Mapping'!AN32&lt;=480)),
(MOD('(直掃)RX Mapping'!AN32,120)-1),
IF(
(AND('(直掃)RX Mapping'!AN32&gt;=480,'(直掃)RX Mapping'!AN32&lt;=960)),
IF(MOD('(直掃)RX Mapping'!AN32,120)=0, 120, 240-MOD('(直掃)RX Mapping'!AN32,120)),9999))+IF(AND(MOD('(直掃)RX Mapping'!AN32,120)=0, '(直掃)RX Mapping'!AN32 &lt;= 480,  '(直掃)RX Mapping'!AN32 &gt; 0), 120)</f>
        <v>-1</v>
      </c>
      <c r="AO32">
        <f>IF(
(AND('(直掃)RX Mapping'!AO32&gt;=0,'(直掃)RX Mapping'!AO32&lt;=480)),
(MOD('(直掃)RX Mapping'!AO32,120)-1),
IF(
(AND('(直掃)RX Mapping'!AO32&gt;=480,'(直掃)RX Mapping'!AO32&lt;=960)),
IF(MOD('(直掃)RX Mapping'!AO32,120)=0, 120, 240-MOD('(直掃)RX Mapping'!AO32,120)),9999))+IF(AND(MOD('(直掃)RX Mapping'!AO32,120)=0, '(直掃)RX Mapping'!AO32 &lt;= 480,  '(直掃)RX Mapping'!AO32 &gt; 0), 120)</f>
        <v>-1</v>
      </c>
      <c r="AP32">
        <f>IF(
(AND('(直掃)RX Mapping'!AP32&gt;=0,'(直掃)RX Mapping'!AP32&lt;=480)),
(MOD('(直掃)RX Mapping'!AP32,120)-1),
IF(
(AND('(直掃)RX Mapping'!AP32&gt;=480,'(直掃)RX Mapping'!AP32&lt;=960)),
IF(MOD('(直掃)RX Mapping'!AP32,120)=0, 120, 240-MOD('(直掃)RX Mapping'!AP32,120)),9999))+IF(AND(MOD('(直掃)RX Mapping'!AP32,120)=0, '(直掃)RX Mapping'!AP32 &lt;= 480,  '(直掃)RX Mapping'!AP32 &gt; 0), 120)</f>
        <v>-1</v>
      </c>
      <c r="AQ32">
        <f>IF(
(AND('(直掃)RX Mapping'!AQ32&gt;=0,'(直掃)RX Mapping'!AQ32&lt;=480)),
(MOD('(直掃)RX Mapping'!AQ32,120)-1),
IF(
(AND('(直掃)RX Mapping'!AQ32&gt;=480,'(直掃)RX Mapping'!AQ32&lt;=960)),
IF(MOD('(直掃)RX Mapping'!AQ32,120)=0, 120, 240-MOD('(直掃)RX Mapping'!AQ32,120)),9999))+IF(AND(MOD('(直掃)RX Mapping'!AQ32,120)=0, '(直掃)RX Mapping'!AQ32 &lt;= 480,  '(直掃)RX Mapping'!AQ32 &gt; 0), 120)</f>
        <v>-1</v>
      </c>
      <c r="AR32">
        <f>IF(
(AND('(直掃)RX Mapping'!AR32&gt;=0,'(直掃)RX Mapping'!AR32&lt;=480)),
(MOD('(直掃)RX Mapping'!AR32,120)-1),
IF(
(AND('(直掃)RX Mapping'!AR32&gt;=480,'(直掃)RX Mapping'!AR32&lt;=960)),
IF(MOD('(直掃)RX Mapping'!AR32,120)=0, 120, 240-MOD('(直掃)RX Mapping'!AR32,120)),9999))+IF(AND(MOD('(直掃)RX Mapping'!AR32,120)=0, '(直掃)RX Mapping'!AR32 &lt;= 480,  '(直掃)RX Mapping'!AR32 &gt; 0), 120)</f>
        <v>-1</v>
      </c>
      <c r="AS32">
        <f>IF(
(AND('(直掃)RX Mapping'!AS32&gt;=0,'(直掃)RX Mapping'!AS32&lt;=480)),
(MOD('(直掃)RX Mapping'!AS32,120)-1),
IF(
(AND('(直掃)RX Mapping'!AS32&gt;=480,'(直掃)RX Mapping'!AS32&lt;=960)),
IF(MOD('(直掃)RX Mapping'!AS32,120)=0, 120, 240-MOD('(直掃)RX Mapping'!AS32,120)),9999))+IF(AND(MOD('(直掃)RX Mapping'!AS32,120)=0, '(直掃)RX Mapping'!AS32 &lt;= 480,  '(直掃)RX Mapping'!AS32 &gt; 0), 120)</f>
        <v>-1</v>
      </c>
      <c r="AT32">
        <f>IF(AND('(橫掃)RX Mapping'!AT32&gt;=1,'(橫掃)RX Mapping'!AT32&lt;=120), ('(橫掃)RX Mapping'!AT32-1),IF(AND('(橫掃)RX Mapping'!AT32&gt;=121,'(橫掃)RX Mapping'!AT32&lt;=240), (-1)*('(橫掃)RX Mapping'!AT32-240),IF(AND('(橫掃)RX Mapping'!AT32&gt;=241,'(橫掃)RX Mapping'!AT32&lt;=360), ('(橫掃)RX Mapping'!AT32-241),IF(AND('(橫掃)RX Mapping'!AT32&gt;=361,'(橫掃)RX Mapping'!AT32&lt;=480), (-1)*('(橫掃)RX Mapping'!AT32-480),IF(AND('(橫掃)RX Mapping'!AT32&gt;=481,'(橫掃)RX Mapping'!AT32&lt;=600), ('(橫掃)RX Mapping'!AT32-361),IF(AND('(橫掃)RX Mapping'!AT32&gt;=601,'(橫掃)RX Mapping'!AT32&lt;=720), (-1)*('(橫掃)RX Mapping'!AT32-720)+120,IF(AND('(橫掃)RX Mapping'!AT32&gt;=721,'(橫掃)RX Mapping'!AT32&lt;=840), ('(橫掃)RX Mapping'!AT32-601),IF(AND('(橫掃)RX Mapping'!AT32&gt;=841,'(橫掃)RX Mapping'!AT32&lt;=960), (-1)*('(橫掃)RX Mapping'!AT32-960)+120,9999))))))))</f>
        <v>9999</v>
      </c>
      <c r="AU32">
        <f>IF(AND('(橫掃)RX Mapping'!AK3&gt;=1,'(橫掃)RX Mapping'!AK3&lt;=120), ('(橫掃)RX Mapping'!AK3-1),IF(AND('(橫掃)RX Mapping'!AK3&gt;=121,'(橫掃)RX Mapping'!AK3&lt;=240), (-1)*('(橫掃)RX Mapping'!AK3-240),IF(AND('(橫掃)RX Mapping'!AK3&gt;=241,'(橫掃)RX Mapping'!AK3&lt;=360), ('(橫掃)RX Mapping'!AK3-241),IF(AND('(橫掃)RX Mapping'!AK3&gt;=361,'(橫掃)RX Mapping'!AK3&lt;=480), (-1)*('(橫掃)RX Mapping'!AK3-480),IF(AND('(橫掃)RX Mapping'!AK3&gt;=481,'(橫掃)RX Mapping'!AK3&lt;=600), ('(橫掃)RX Mapping'!AK3-361),IF(AND('(橫掃)RX Mapping'!AK3&gt;=601,'(橫掃)RX Mapping'!AK3&lt;=720), (-1)*('(橫掃)RX Mapping'!AK3-720)+120,IF(AND('(橫掃)RX Mapping'!AK3&gt;=721,'(橫掃)RX Mapping'!AK3&lt;=840), ('(橫掃)RX Mapping'!AK3-601),IF(AND('(橫掃)RX Mapping'!AK3&gt;=841,'(橫掃)RX Mapping'!AK3&lt;=960), (-1)*('(橫掃)RX Mapping'!AK3-960)+120,9999))))))))</f>
        <v>9999</v>
      </c>
      <c r="AV32">
        <f>IF(AND('(橫掃)RX Mapping'!AV32&gt;=1,'(橫掃)RX Mapping'!AV32&lt;=120), ('(橫掃)RX Mapping'!AV32-1),IF(AND('(橫掃)RX Mapping'!AV32&gt;=121,'(橫掃)RX Mapping'!AV32&lt;=240), (-1)*('(橫掃)RX Mapping'!AV32-240),IF(AND('(橫掃)RX Mapping'!AV32&gt;=241,'(橫掃)RX Mapping'!AV32&lt;=360), ('(橫掃)RX Mapping'!AV32-241),IF(AND('(橫掃)RX Mapping'!AV32&gt;=361,'(橫掃)RX Mapping'!AV32&lt;=480), (-1)*('(橫掃)RX Mapping'!AV32-480),IF(AND('(橫掃)RX Mapping'!AV32&gt;=481,'(橫掃)RX Mapping'!AV32&lt;=600), ('(橫掃)RX Mapping'!AV32-361),IF(AND('(橫掃)RX Mapping'!AV32&gt;=601,'(橫掃)RX Mapping'!AV32&lt;=720), (-1)*('(橫掃)RX Mapping'!AV32-720)+120,IF(AND('(橫掃)RX Mapping'!AV32&gt;=721,'(橫掃)RX Mapping'!AV32&lt;=840), ('(橫掃)RX Mapping'!AV32-601),IF(AND('(橫掃)RX Mapping'!AV32&gt;=841,'(橫掃)RX Mapping'!AV32&lt;=960), (-1)*('(橫掃)RX Mapping'!AV32-960)+120,9999))))))))</f>
        <v>9999</v>
      </c>
      <c r="AW32">
        <f>IF(AND('(橫掃)RX Mapping'!AW32&gt;=1,'(橫掃)RX Mapping'!AW32&lt;=120), ('(橫掃)RX Mapping'!AW32-1),IF(AND('(橫掃)RX Mapping'!AW32&gt;=121,'(橫掃)RX Mapping'!AW32&lt;=240), (-1)*('(橫掃)RX Mapping'!AW32-240),IF(AND('(橫掃)RX Mapping'!AW32&gt;=241,'(橫掃)RX Mapping'!AW32&lt;=360), ('(橫掃)RX Mapping'!AW32-241),IF(AND('(橫掃)RX Mapping'!AW32&gt;=361,'(橫掃)RX Mapping'!AW32&lt;=480), (-1)*('(橫掃)RX Mapping'!AW32-480),IF(AND('(橫掃)RX Mapping'!AW32&gt;=481,'(橫掃)RX Mapping'!AW32&lt;=600), ('(橫掃)RX Mapping'!AW32-361),IF(AND('(橫掃)RX Mapping'!AW32&gt;=601,'(橫掃)RX Mapping'!AW32&lt;=720), (-1)*('(橫掃)RX Mapping'!AW32-720)+120,IF(AND('(橫掃)RX Mapping'!AW32&gt;=721,'(橫掃)RX Mapping'!AW32&lt;=840), ('(橫掃)RX Mapping'!AW32-601),IF(AND('(橫掃)RX Mapping'!AW32&gt;=841,'(橫掃)RX Mapping'!AW32&lt;=960), (-1)*('(橫掃)RX Mapping'!AW32-960)+120,9999))))))))</f>
        <v>9999</v>
      </c>
      <c r="AX32">
        <f>IF(AND('(橫掃)RX Mapping'!AX32&gt;=1,'(橫掃)RX Mapping'!AX32&lt;=120), ('(橫掃)RX Mapping'!AX32-1),IF(AND('(橫掃)RX Mapping'!AX32&gt;=121,'(橫掃)RX Mapping'!AX32&lt;=240), (-1)*('(橫掃)RX Mapping'!AX32-240),IF(AND('(橫掃)RX Mapping'!AX32&gt;=241,'(橫掃)RX Mapping'!AX32&lt;=360), ('(橫掃)RX Mapping'!AX32-241),IF(AND('(橫掃)RX Mapping'!AX32&gt;=361,'(橫掃)RX Mapping'!AX32&lt;=480), (-1)*('(橫掃)RX Mapping'!AX32-480),IF(AND('(橫掃)RX Mapping'!AX32&gt;=481,'(橫掃)RX Mapping'!AX32&lt;=600), ('(橫掃)RX Mapping'!AX32-361),IF(AND('(橫掃)RX Mapping'!AX32&gt;=601,'(橫掃)RX Mapping'!AX32&lt;=720), (-1)*('(橫掃)RX Mapping'!AX32-720)+120,IF(AND('(橫掃)RX Mapping'!AX32&gt;=721,'(橫掃)RX Mapping'!AX32&lt;=840), ('(橫掃)RX Mapping'!AX32-601),IF(AND('(橫掃)RX Mapping'!AX32&gt;=841,'(橫掃)RX Mapping'!AX32&lt;=960), (-1)*('(橫掃)RX Mapping'!AX32-960)+120,9999))))))))</f>
        <v>9999</v>
      </c>
      <c r="AY32">
        <f>IF(AND('(橫掃)RX Mapping'!AY32&gt;=1,'(橫掃)RX Mapping'!AY32&lt;=120), ('(橫掃)RX Mapping'!AY32-1),IF(AND('(橫掃)RX Mapping'!AY32&gt;=121,'(橫掃)RX Mapping'!AY32&lt;=240), (-1)*('(橫掃)RX Mapping'!AY32-240),IF(AND('(橫掃)RX Mapping'!AY32&gt;=241,'(橫掃)RX Mapping'!AY32&lt;=360), ('(橫掃)RX Mapping'!AY32-241),IF(AND('(橫掃)RX Mapping'!AY32&gt;=361,'(橫掃)RX Mapping'!AY32&lt;=480), (-1)*('(橫掃)RX Mapping'!AY32-480),IF(AND('(橫掃)RX Mapping'!AY32&gt;=481,'(橫掃)RX Mapping'!AY32&lt;=600), ('(橫掃)RX Mapping'!AY32-361),IF(AND('(橫掃)RX Mapping'!AY32&gt;=601,'(橫掃)RX Mapping'!AY32&lt;=720), (-1)*('(橫掃)RX Mapping'!AY32-720)+120,IF(AND('(橫掃)RX Mapping'!AY32&gt;=721,'(橫掃)RX Mapping'!AY32&lt;=840), ('(橫掃)RX Mapping'!AY32-601),IF(AND('(橫掃)RX Mapping'!AY32&gt;=841,'(橫掃)RX Mapping'!AY32&lt;=960), (-1)*('(橫掃)RX Mapping'!AY32-960)+120,9999))))))))</f>
        <v>9999</v>
      </c>
      <c r="AZ32">
        <f>IF(AND('(橫掃)RX Mapping'!AZ32&gt;=1,'(橫掃)RX Mapping'!AZ32&lt;=120), ('(橫掃)RX Mapping'!AZ32-1),IF(AND('(橫掃)RX Mapping'!AZ32&gt;=121,'(橫掃)RX Mapping'!AZ32&lt;=240), (-1)*('(橫掃)RX Mapping'!AZ32-240),IF(AND('(橫掃)RX Mapping'!AZ32&gt;=241,'(橫掃)RX Mapping'!AZ32&lt;=360), ('(橫掃)RX Mapping'!AZ32-241),IF(AND('(橫掃)RX Mapping'!AZ32&gt;=361,'(橫掃)RX Mapping'!AZ32&lt;=480), (-1)*('(橫掃)RX Mapping'!AZ32-480),IF(AND('(橫掃)RX Mapping'!AZ32&gt;=481,'(橫掃)RX Mapping'!AZ32&lt;=600), ('(橫掃)RX Mapping'!AZ32-361),IF(AND('(橫掃)RX Mapping'!AZ32&gt;=601,'(橫掃)RX Mapping'!AZ32&lt;=720), (-1)*('(橫掃)RX Mapping'!AZ32-720)+120,IF(AND('(橫掃)RX Mapping'!AZ32&gt;=721,'(橫掃)RX Mapping'!AZ32&lt;=840), ('(橫掃)RX Mapping'!AZ32-601),IF(AND('(橫掃)RX Mapping'!AZ32&gt;=841,'(橫掃)RX Mapping'!AZ32&lt;=960), (-1)*('(橫掃)RX Mapping'!AZ32-960)+120,9999))))))))</f>
        <v>9999</v>
      </c>
      <c r="BA32">
        <f>IF(AND('(橫掃)RX Mapping'!BA32&gt;=1,'(橫掃)RX Mapping'!BA32&lt;=120), ('(橫掃)RX Mapping'!BA32-1),IF(AND('(橫掃)RX Mapping'!BA32&gt;=121,'(橫掃)RX Mapping'!BA32&lt;=240), (-1)*('(橫掃)RX Mapping'!BA32-240),IF(AND('(橫掃)RX Mapping'!BA32&gt;=241,'(橫掃)RX Mapping'!BA32&lt;=360), ('(橫掃)RX Mapping'!BA32-241),IF(AND('(橫掃)RX Mapping'!BA32&gt;=361,'(橫掃)RX Mapping'!BA32&lt;=480), (-1)*('(橫掃)RX Mapping'!BA32-480),IF(AND('(橫掃)RX Mapping'!BA32&gt;=481,'(橫掃)RX Mapping'!BA32&lt;=600), ('(橫掃)RX Mapping'!BA32-361),IF(AND('(橫掃)RX Mapping'!BA32&gt;=601,'(橫掃)RX Mapping'!BA32&lt;=720), (-1)*('(橫掃)RX Mapping'!BA32-720)+120,IF(AND('(橫掃)RX Mapping'!BA32&gt;=721,'(橫掃)RX Mapping'!BA32&lt;=840), ('(橫掃)RX Mapping'!BA32-601),IF(AND('(橫掃)RX Mapping'!BA32&gt;=841,'(橫掃)RX Mapping'!BA32&lt;=960), (-1)*('(橫掃)RX Mapping'!BA32-960)+120,9999))))))))</f>
        <v>9999</v>
      </c>
      <c r="BB32">
        <f>IF(AND('(橫掃)RX Mapping'!BB32&gt;=1,'(橫掃)RX Mapping'!BB32&lt;=120), ('(橫掃)RX Mapping'!BB32-1),IF(AND('(橫掃)RX Mapping'!BB32&gt;=121,'(橫掃)RX Mapping'!BB32&lt;=240), (-1)*('(橫掃)RX Mapping'!BB32-240),IF(AND('(橫掃)RX Mapping'!BB32&gt;=241,'(橫掃)RX Mapping'!BB32&lt;=360), ('(橫掃)RX Mapping'!BB32-241),IF(AND('(橫掃)RX Mapping'!BB32&gt;=361,'(橫掃)RX Mapping'!BB32&lt;=480), (-1)*('(橫掃)RX Mapping'!BB32-480),IF(AND('(橫掃)RX Mapping'!BB32&gt;=481,'(橫掃)RX Mapping'!BB32&lt;=600), ('(橫掃)RX Mapping'!BB32-361),IF(AND('(橫掃)RX Mapping'!BB32&gt;=601,'(橫掃)RX Mapping'!BB32&lt;=720), (-1)*('(橫掃)RX Mapping'!BB32-720)+120,IF(AND('(橫掃)RX Mapping'!BB32&gt;=721,'(橫掃)RX Mapping'!BB32&lt;=840), ('(橫掃)RX Mapping'!BB32-601),IF(AND('(橫掃)RX Mapping'!BB32&gt;=841,'(橫掃)RX Mapping'!BB32&lt;=960), (-1)*('(橫掃)RX Mapping'!BB32-960)+120,9999))))))))</f>
        <v>9999</v>
      </c>
      <c r="BC32">
        <f>IF(AND('(橫掃)RX Mapping'!BC32&gt;=1,'(橫掃)RX Mapping'!BC32&lt;=120), ('(橫掃)RX Mapping'!BC32-1),IF(AND('(橫掃)RX Mapping'!BC32&gt;=121,'(橫掃)RX Mapping'!BC32&lt;=240), (-1)*('(橫掃)RX Mapping'!BC32-240),IF(AND('(橫掃)RX Mapping'!BC32&gt;=241,'(橫掃)RX Mapping'!BC32&lt;=360), ('(橫掃)RX Mapping'!BC32-241),IF(AND('(橫掃)RX Mapping'!BC32&gt;=361,'(橫掃)RX Mapping'!BC32&lt;=480), (-1)*('(橫掃)RX Mapping'!BC32-480),IF(AND('(橫掃)RX Mapping'!BC32&gt;=481,'(橫掃)RX Mapping'!BC32&lt;=600), ('(橫掃)RX Mapping'!BC32-361),IF(AND('(橫掃)RX Mapping'!BC32&gt;=601,'(橫掃)RX Mapping'!BC32&lt;=720), (-1)*('(橫掃)RX Mapping'!BC32-720)+120,IF(AND('(橫掃)RX Mapping'!BC32&gt;=721,'(橫掃)RX Mapping'!BC32&lt;=840), ('(橫掃)RX Mapping'!BC32-601),IF(AND('(橫掃)RX Mapping'!BC32&gt;=841,'(橫掃)RX Mapping'!BC32&lt;=960), (-1)*('(橫掃)RX Mapping'!BC32-960)+120,9999))))))))</f>
        <v>9999</v>
      </c>
      <c r="BD32">
        <f>IF(AND('(橫掃)RX Mapping'!BD32&gt;=1,'(橫掃)RX Mapping'!BD32&lt;=120), ('(橫掃)RX Mapping'!BD32-1),IF(AND('(橫掃)RX Mapping'!BD32&gt;=121,'(橫掃)RX Mapping'!BD32&lt;=240), (-1)*('(橫掃)RX Mapping'!BD32-240),IF(AND('(橫掃)RX Mapping'!BD32&gt;=241,'(橫掃)RX Mapping'!BD32&lt;=360), ('(橫掃)RX Mapping'!BD32-241),IF(AND('(橫掃)RX Mapping'!BD32&gt;=361,'(橫掃)RX Mapping'!BD32&lt;=480), (-1)*('(橫掃)RX Mapping'!BD32-480),IF(AND('(橫掃)RX Mapping'!BD32&gt;=481,'(橫掃)RX Mapping'!BD32&lt;=600), ('(橫掃)RX Mapping'!BD32-361),IF(AND('(橫掃)RX Mapping'!BD32&gt;=601,'(橫掃)RX Mapping'!BD32&lt;=720), (-1)*('(橫掃)RX Mapping'!BD32-720)+120,IF(AND('(橫掃)RX Mapping'!BD32&gt;=721,'(橫掃)RX Mapping'!BD32&lt;=840), ('(橫掃)RX Mapping'!BD32-601),IF(AND('(橫掃)RX Mapping'!BD32&gt;=841,'(橫掃)RX Mapping'!BD32&lt;=960), (-1)*('(橫掃)RX Mapping'!BD32-960)+120,9999))))))))</f>
        <v>9999</v>
      </c>
      <c r="BE32">
        <f>IF(AND('(橫掃)RX Mapping'!BE32&gt;=1,'(橫掃)RX Mapping'!BE32&lt;=120), ('(橫掃)RX Mapping'!BE32-1),IF(AND('(橫掃)RX Mapping'!BE32&gt;=121,'(橫掃)RX Mapping'!BE32&lt;=240), (-1)*('(橫掃)RX Mapping'!BE32-240),IF(AND('(橫掃)RX Mapping'!BE32&gt;=241,'(橫掃)RX Mapping'!BE32&lt;=360), ('(橫掃)RX Mapping'!BE32-241),IF(AND('(橫掃)RX Mapping'!BE32&gt;=361,'(橫掃)RX Mapping'!BE32&lt;=480), (-1)*('(橫掃)RX Mapping'!BE32-480),IF(AND('(橫掃)RX Mapping'!BE32&gt;=481,'(橫掃)RX Mapping'!BE32&lt;=600), ('(橫掃)RX Mapping'!BE32-361),IF(AND('(橫掃)RX Mapping'!BE32&gt;=601,'(橫掃)RX Mapping'!BE32&lt;=720), (-1)*('(橫掃)RX Mapping'!BE32-720)+120,IF(AND('(橫掃)RX Mapping'!BE32&gt;=721,'(橫掃)RX Mapping'!BE32&lt;=840), ('(橫掃)RX Mapping'!BE32-601),IF(AND('(橫掃)RX Mapping'!BE32&gt;=841,'(橫掃)RX Mapping'!BE32&lt;=960), (-1)*('(橫掃)RX Mapping'!BE32-960)+120,9999))))))))</f>
        <v>9999</v>
      </c>
      <c r="BF32">
        <f>IF(AND('(橫掃)RX Mapping'!BF32&gt;=1,'(橫掃)RX Mapping'!BF32&lt;=120), ('(橫掃)RX Mapping'!BF32-1),IF(AND('(橫掃)RX Mapping'!BF32&gt;=121,'(橫掃)RX Mapping'!BF32&lt;=240), (-1)*('(橫掃)RX Mapping'!BF32-240),IF(AND('(橫掃)RX Mapping'!BF32&gt;=241,'(橫掃)RX Mapping'!BF32&lt;=360), ('(橫掃)RX Mapping'!BF32-241),IF(AND('(橫掃)RX Mapping'!BF32&gt;=361,'(橫掃)RX Mapping'!BF32&lt;=480), (-1)*('(橫掃)RX Mapping'!BF32-480),IF(AND('(橫掃)RX Mapping'!BF32&gt;=481,'(橫掃)RX Mapping'!BF32&lt;=600), ('(橫掃)RX Mapping'!BF32-361),IF(AND('(橫掃)RX Mapping'!BF32&gt;=601,'(橫掃)RX Mapping'!BF32&lt;=720), (-1)*('(橫掃)RX Mapping'!BF32-720)+120,IF(AND('(橫掃)RX Mapping'!BF32&gt;=721,'(橫掃)RX Mapping'!BF32&lt;=840), ('(橫掃)RX Mapping'!BF32-601),IF(AND('(橫掃)RX Mapping'!BF32&gt;=841,'(橫掃)RX Mapping'!BF32&lt;=960), (-1)*('(橫掃)RX Mapping'!BF32-960)+120,9999))))))))</f>
        <v>9999</v>
      </c>
      <c r="BG32">
        <f>IF(AND('(橫掃)RX Mapping'!BG32&gt;=1,'(橫掃)RX Mapping'!BG32&lt;=120), ('(橫掃)RX Mapping'!BG32-1),IF(AND('(橫掃)RX Mapping'!BG32&gt;=121,'(橫掃)RX Mapping'!BG32&lt;=240), (-1)*('(橫掃)RX Mapping'!BG32-240),IF(AND('(橫掃)RX Mapping'!BG32&gt;=241,'(橫掃)RX Mapping'!BG32&lt;=360), ('(橫掃)RX Mapping'!BG32-241),IF(AND('(橫掃)RX Mapping'!BG32&gt;=361,'(橫掃)RX Mapping'!BG32&lt;=480), (-1)*('(橫掃)RX Mapping'!BG32-480),IF(AND('(橫掃)RX Mapping'!BG32&gt;=481,'(橫掃)RX Mapping'!BG32&lt;=600), ('(橫掃)RX Mapping'!BG32-361),IF(AND('(橫掃)RX Mapping'!BG32&gt;=601,'(橫掃)RX Mapping'!BG32&lt;=720), (-1)*('(橫掃)RX Mapping'!BG32-720)+120,IF(AND('(橫掃)RX Mapping'!BG32&gt;=721,'(橫掃)RX Mapping'!BG32&lt;=840), ('(橫掃)RX Mapping'!BG32-601),IF(AND('(橫掃)RX Mapping'!BG32&gt;=841,'(橫掃)RX Mapping'!BG32&lt;=960), (-1)*('(橫掃)RX Mapping'!BG32-960)+120,9999))))))))</f>
        <v>9999</v>
      </c>
      <c r="BH32">
        <f>IF(AND('(橫掃)RX Mapping'!BH32&gt;=1,'(橫掃)RX Mapping'!BH32&lt;=120), ('(橫掃)RX Mapping'!BH32-1),IF(AND('(橫掃)RX Mapping'!BH32&gt;=121,'(橫掃)RX Mapping'!BH32&lt;=240), (-1)*('(橫掃)RX Mapping'!BH32-240),IF(AND('(橫掃)RX Mapping'!BH32&gt;=241,'(橫掃)RX Mapping'!BH32&lt;=360), ('(橫掃)RX Mapping'!BH32-241),IF(AND('(橫掃)RX Mapping'!BH32&gt;=361,'(橫掃)RX Mapping'!BH32&lt;=480), (-1)*('(橫掃)RX Mapping'!BH32-480),IF(AND('(橫掃)RX Mapping'!BH32&gt;=481,'(橫掃)RX Mapping'!BH32&lt;=600), ('(橫掃)RX Mapping'!BH32-361),IF(AND('(橫掃)RX Mapping'!BH32&gt;=601,'(橫掃)RX Mapping'!BH32&lt;=720), (-1)*('(橫掃)RX Mapping'!BH32-720)+120,IF(AND('(橫掃)RX Mapping'!BH32&gt;=721,'(橫掃)RX Mapping'!BH32&lt;=840), ('(橫掃)RX Mapping'!BH32-601),IF(AND('(橫掃)RX Mapping'!BH32&gt;=841,'(橫掃)RX Mapping'!BH32&lt;=960), (-1)*('(橫掃)RX Mapping'!BH32-960)+120,9999))))))))</f>
        <v>9999</v>
      </c>
      <c r="BI32">
        <f>IF(AND('(橫掃)RX Mapping'!BI32&gt;=1,'(橫掃)RX Mapping'!BI32&lt;=120), ('(橫掃)RX Mapping'!BI32-1),IF(AND('(橫掃)RX Mapping'!BI32&gt;=121,'(橫掃)RX Mapping'!BI32&lt;=240), (-1)*('(橫掃)RX Mapping'!BI32-240),IF(AND('(橫掃)RX Mapping'!BI32&gt;=241,'(橫掃)RX Mapping'!BI32&lt;=360), ('(橫掃)RX Mapping'!BI32-241),IF(AND('(橫掃)RX Mapping'!BI32&gt;=361,'(橫掃)RX Mapping'!BI32&lt;=480), (-1)*('(橫掃)RX Mapping'!BI32-480),IF(AND('(橫掃)RX Mapping'!BI32&gt;=481,'(橫掃)RX Mapping'!BI32&lt;=600), ('(橫掃)RX Mapping'!BI32-361),IF(AND('(橫掃)RX Mapping'!BI32&gt;=601,'(橫掃)RX Mapping'!BI32&lt;=720), (-1)*('(橫掃)RX Mapping'!BI32-720)+120,IF(AND('(橫掃)RX Mapping'!BI32&gt;=721,'(橫掃)RX Mapping'!BI32&lt;=840), ('(橫掃)RX Mapping'!BI32-601),IF(AND('(橫掃)RX Mapping'!BI32&gt;=841,'(橫掃)RX Mapping'!BI32&lt;=960), (-1)*('(橫掃)RX Mapping'!BI32-960)+120,9999))))))))</f>
        <v>9999</v>
      </c>
    </row>
    <row r="33" spans="1:61" x14ac:dyDescent="0.25">
      <c r="A33" s="20">
        <v>32</v>
      </c>
      <c r="B33">
        <f>IF(
(AND('(直掃)RX Mapping'!B33&gt;=0,'(直掃)RX Mapping'!B33&lt;=480)),
(MOD('(直掃)RX Mapping'!B33,120)-1),
IF(
(AND('(直掃)RX Mapping'!B33&gt;=480,'(直掃)RX Mapping'!B33&lt;=960)),
IF(MOD('(直掃)RX Mapping'!B33,120)=0, 120, 240-MOD('(直掃)RX Mapping'!B33,120)),9999))+IF(AND(MOD('(直掃)RX Mapping'!B33,120)=0, '(直掃)RX Mapping'!B33 &lt;= 480,  '(直掃)RX Mapping'!B33 &gt; 0), 120)</f>
        <v>-1</v>
      </c>
      <c r="C33">
        <f>IF(
(AND('(直掃)RX Mapping'!C33&gt;=0,'(直掃)RX Mapping'!C33&lt;=480)),
(MOD('(直掃)RX Mapping'!C33,120)-1),
IF(
(AND('(直掃)RX Mapping'!C33&gt;=480,'(直掃)RX Mapping'!C33&lt;=960)),
IF(MOD('(直掃)RX Mapping'!C33,120)=0, 120, 240-MOD('(直掃)RX Mapping'!C33,120)),9999))+IF(AND(MOD('(直掃)RX Mapping'!C33,120)=0, '(直掃)RX Mapping'!C33 &lt;= 480,  '(直掃)RX Mapping'!C33 &gt; 0), 120)</f>
        <v>-1</v>
      </c>
      <c r="D33">
        <f>IF(
(AND('(直掃)RX Mapping'!D33&gt;=0,'(直掃)RX Mapping'!D33&lt;=480)),
(MOD('(直掃)RX Mapping'!D33,120)-1),
IF(
(AND('(直掃)RX Mapping'!D33&gt;=480,'(直掃)RX Mapping'!D33&lt;=960)),
IF(MOD('(直掃)RX Mapping'!D33,120)=0, 120, 240-MOD('(直掃)RX Mapping'!D33,120)),9999))+IF(AND(MOD('(直掃)RX Mapping'!D33,120)=0, '(直掃)RX Mapping'!D33 &lt;= 480,  '(直掃)RX Mapping'!D33 &gt; 0), 120)</f>
        <v>-1</v>
      </c>
      <c r="E33">
        <f>IF(
(AND('(直掃)RX Mapping'!E33&gt;=0,'(直掃)RX Mapping'!E33&lt;=480)),
(MOD('(直掃)RX Mapping'!E33,120)-1),
IF(
(AND('(直掃)RX Mapping'!E33&gt;=480,'(直掃)RX Mapping'!E33&lt;=960)),
IF(MOD('(直掃)RX Mapping'!E33,120)=0, 120, 240-MOD('(直掃)RX Mapping'!E33,120)),9999))+IF(AND(MOD('(直掃)RX Mapping'!E33,120)=0, '(直掃)RX Mapping'!E33 &lt;= 480,  '(直掃)RX Mapping'!E33 &gt; 0), 120)</f>
        <v>-1</v>
      </c>
      <c r="F33">
        <f>IF(
(AND('(直掃)RX Mapping'!F33&gt;=0,'(直掃)RX Mapping'!F33&lt;=480)),
(MOD('(直掃)RX Mapping'!F33,120)-1),
IF(
(AND('(直掃)RX Mapping'!F33&gt;=480,'(直掃)RX Mapping'!F33&lt;=960)),
IF(MOD('(直掃)RX Mapping'!F33,120)=0, 120, 240-MOD('(直掃)RX Mapping'!F33,120)),9999))+IF(AND(MOD('(直掃)RX Mapping'!F33,120)=0, '(直掃)RX Mapping'!F33 &lt;= 480,  '(直掃)RX Mapping'!F33 &gt; 0), 120)</f>
        <v>-1</v>
      </c>
      <c r="G33">
        <f>IF(
(AND('(直掃)RX Mapping'!G33&gt;=0,'(直掃)RX Mapping'!G33&lt;=480)),
(MOD('(直掃)RX Mapping'!G33,120)-1),
IF(
(AND('(直掃)RX Mapping'!G33&gt;=480,'(直掃)RX Mapping'!G33&lt;=960)),
IF(MOD('(直掃)RX Mapping'!G33,120)=0, 120, 240-MOD('(直掃)RX Mapping'!G33,120)),9999))+IF(AND(MOD('(直掃)RX Mapping'!G33,120)=0, '(直掃)RX Mapping'!G33 &lt;= 480,  '(直掃)RX Mapping'!G33 &gt; 0), 120)</f>
        <v>-1</v>
      </c>
      <c r="H33">
        <f>IF(
(AND('(直掃)RX Mapping'!H33&gt;=0,'(直掃)RX Mapping'!H33&lt;=480)),
(MOD('(直掃)RX Mapping'!H33,120)-1),
IF(
(AND('(直掃)RX Mapping'!H33&gt;=480,'(直掃)RX Mapping'!H33&lt;=960)),
IF(MOD('(直掃)RX Mapping'!H33,120)=0, 120, 240-MOD('(直掃)RX Mapping'!H33,120)),9999))+IF(AND(MOD('(直掃)RX Mapping'!H33,120)=0, '(直掃)RX Mapping'!H33 &lt;= 480,  '(直掃)RX Mapping'!H33 &gt; 0), 120)</f>
        <v>-1</v>
      </c>
      <c r="I33">
        <f>IF(
(AND('(直掃)RX Mapping'!I33&gt;=0,'(直掃)RX Mapping'!I33&lt;=480)),
(MOD('(直掃)RX Mapping'!I33,120)-1),
IF(
(AND('(直掃)RX Mapping'!I33&gt;=480,'(直掃)RX Mapping'!I33&lt;=960)),
IF(MOD('(直掃)RX Mapping'!I33,120)=0, 120, 240-MOD('(直掃)RX Mapping'!I33,120)),9999))+IF(AND(MOD('(直掃)RX Mapping'!I33,120)=0, '(直掃)RX Mapping'!I33 &lt;= 480,  '(直掃)RX Mapping'!I33 &gt; 0), 120)</f>
        <v>-1</v>
      </c>
      <c r="J33">
        <f>IF(
(AND('(直掃)RX Mapping'!J33&gt;=0,'(直掃)RX Mapping'!J33&lt;=480)),
(MOD('(直掃)RX Mapping'!J33,120)-1),
IF(
(AND('(直掃)RX Mapping'!J33&gt;=480,'(直掃)RX Mapping'!J33&lt;=960)),
IF(MOD('(直掃)RX Mapping'!J33,120)=0, 120, 240-MOD('(直掃)RX Mapping'!J33,120)),9999))+IF(AND(MOD('(直掃)RX Mapping'!J33,120)=0, '(直掃)RX Mapping'!J33 &lt;= 480,  '(直掃)RX Mapping'!J33 &gt; 0), 120)</f>
        <v>-1</v>
      </c>
      <c r="K33">
        <f>IF(
(AND('(直掃)RX Mapping'!K33&gt;=0,'(直掃)RX Mapping'!K33&lt;=480)),
(MOD('(直掃)RX Mapping'!K33,120)-1),
IF(
(AND('(直掃)RX Mapping'!K33&gt;=480,'(直掃)RX Mapping'!K33&lt;=960)),
IF(MOD('(直掃)RX Mapping'!K33,120)=0, 120, 240-MOD('(直掃)RX Mapping'!K33,120)),9999))+IF(AND(MOD('(直掃)RX Mapping'!K33,120)=0, '(直掃)RX Mapping'!K33 &lt;= 480,  '(直掃)RX Mapping'!K33 &gt; 0), 120)</f>
        <v>-1</v>
      </c>
      <c r="L33">
        <f>IF(
(AND('(直掃)RX Mapping'!L33&gt;=0,'(直掃)RX Mapping'!L33&lt;=480)),
(MOD('(直掃)RX Mapping'!L33,120)-1),
IF(
(AND('(直掃)RX Mapping'!L33&gt;=480,'(直掃)RX Mapping'!L33&lt;=960)),
IF(MOD('(直掃)RX Mapping'!L33,120)=0, 120, 240-MOD('(直掃)RX Mapping'!L33,120)),9999))+IF(AND(MOD('(直掃)RX Mapping'!L33,120)=0, '(直掃)RX Mapping'!L33 &lt;= 480,  '(直掃)RX Mapping'!L33 &gt; 0), 120)</f>
        <v>-1</v>
      </c>
      <c r="M33">
        <f>IF(
(AND('(直掃)RX Mapping'!M33&gt;=0,'(直掃)RX Mapping'!M33&lt;=480)),
(MOD('(直掃)RX Mapping'!M33,120)-1),
IF(
(AND('(直掃)RX Mapping'!M33&gt;=480,'(直掃)RX Mapping'!M33&lt;=960)),
IF(MOD('(直掃)RX Mapping'!M33,120)=0, 120, 240-MOD('(直掃)RX Mapping'!M33,120)),9999))+IF(AND(MOD('(直掃)RX Mapping'!M33,120)=0, '(直掃)RX Mapping'!M33 &lt;= 480,  '(直掃)RX Mapping'!M33 &gt; 0), 120)</f>
        <v>-1</v>
      </c>
      <c r="N33">
        <f>IF(
(AND('(直掃)RX Mapping'!N33&gt;=0,'(直掃)RX Mapping'!N33&lt;=480)),
(MOD('(直掃)RX Mapping'!N33,120)-1),
IF(
(AND('(直掃)RX Mapping'!N33&gt;=480,'(直掃)RX Mapping'!N33&lt;=960)),
IF(MOD('(直掃)RX Mapping'!N33,120)=0, 120, 240-MOD('(直掃)RX Mapping'!N33,120)),9999))+IF(AND(MOD('(直掃)RX Mapping'!N33,120)=0, '(直掃)RX Mapping'!N33 &lt;= 480,  '(直掃)RX Mapping'!N33 &gt; 0), 120)</f>
        <v>-1</v>
      </c>
      <c r="O33">
        <f>IF(
(AND('(直掃)RX Mapping'!O33&gt;=0,'(直掃)RX Mapping'!O33&lt;=480)),
(MOD('(直掃)RX Mapping'!O33,120)-1),
IF(
(AND('(直掃)RX Mapping'!O33&gt;=480,'(直掃)RX Mapping'!O33&lt;=960)),
IF(MOD('(直掃)RX Mapping'!O33,120)=0, 120, 240-MOD('(直掃)RX Mapping'!O33,120)),9999))+IF(AND(MOD('(直掃)RX Mapping'!O33,120)=0, '(直掃)RX Mapping'!O33 &lt;= 480,  '(直掃)RX Mapping'!O33 &gt; 0), 120)</f>
        <v>-1</v>
      </c>
      <c r="P33">
        <f>IF(
(AND('(直掃)RX Mapping'!P33&gt;=0,'(直掃)RX Mapping'!P33&lt;=480)),
(MOD('(直掃)RX Mapping'!P33,120)-1),
IF(
(AND('(直掃)RX Mapping'!P33&gt;=480,'(直掃)RX Mapping'!P33&lt;=960)),
IF(MOD('(直掃)RX Mapping'!P33,120)=0, 120, 240-MOD('(直掃)RX Mapping'!P33,120)),9999))+IF(AND(MOD('(直掃)RX Mapping'!P33,120)=0, '(直掃)RX Mapping'!P33 &lt;= 480,  '(直掃)RX Mapping'!P33 &gt; 0), 120)</f>
        <v>-1</v>
      </c>
      <c r="Q33">
        <f>IF(
(AND('(直掃)RX Mapping'!Q33&gt;=0,'(直掃)RX Mapping'!Q33&lt;=480)),
(MOD('(直掃)RX Mapping'!Q33,120)-1),
IF(
(AND('(直掃)RX Mapping'!Q33&gt;=480,'(直掃)RX Mapping'!Q33&lt;=960)),
IF(MOD('(直掃)RX Mapping'!Q33,120)=0, 120, 240-MOD('(直掃)RX Mapping'!Q33,120)),9999))+IF(AND(MOD('(直掃)RX Mapping'!Q33,120)=0, '(直掃)RX Mapping'!Q33 &lt;= 480,  '(直掃)RX Mapping'!Q33 &gt; 0), 120)</f>
        <v>-1</v>
      </c>
      <c r="R33">
        <f>IF(
(AND('(直掃)RX Mapping'!R33&gt;=0,'(直掃)RX Mapping'!R33&lt;=480)),
(MOD('(直掃)RX Mapping'!R33,120)-1),
IF(
(AND('(直掃)RX Mapping'!R33&gt;=480,'(直掃)RX Mapping'!R33&lt;=960)),
IF(MOD('(直掃)RX Mapping'!R33,120)=0, 120, 240-MOD('(直掃)RX Mapping'!R33,120)),9999))+IF(AND(MOD('(直掃)RX Mapping'!R33,120)=0, '(直掃)RX Mapping'!R33 &lt;= 480,  '(直掃)RX Mapping'!R33 &gt; 0), 120)</f>
        <v>-1</v>
      </c>
      <c r="S33">
        <f>IF(
(AND('(直掃)RX Mapping'!S33&gt;=0,'(直掃)RX Mapping'!S33&lt;=480)),
(MOD('(直掃)RX Mapping'!S33,120)-1),
IF(
(AND('(直掃)RX Mapping'!S33&gt;=480,'(直掃)RX Mapping'!S33&lt;=960)),
IF(MOD('(直掃)RX Mapping'!S33,120)=0, 120, 240-MOD('(直掃)RX Mapping'!S33,120)),9999))+IF(AND(MOD('(直掃)RX Mapping'!S33,120)=0, '(直掃)RX Mapping'!S33 &lt;= 480,  '(直掃)RX Mapping'!S33 &gt; 0), 120)</f>
        <v>-1</v>
      </c>
      <c r="T33">
        <f>IF(
(AND('(直掃)RX Mapping'!T33&gt;=0,'(直掃)RX Mapping'!T33&lt;=480)),
(MOD('(直掃)RX Mapping'!T33,120)-1),
IF(
(AND('(直掃)RX Mapping'!T33&gt;=480,'(直掃)RX Mapping'!T33&lt;=960)),
IF(MOD('(直掃)RX Mapping'!T33,120)=0, 120, 240-MOD('(直掃)RX Mapping'!T33,120)),9999))+IF(AND(MOD('(直掃)RX Mapping'!T33,120)=0, '(直掃)RX Mapping'!T33 &lt;= 480,  '(直掃)RX Mapping'!T33 &gt; 0), 120)</f>
        <v>-1</v>
      </c>
      <c r="U33">
        <f>IF(
(AND('(直掃)RX Mapping'!U33&gt;=0,'(直掃)RX Mapping'!U33&lt;=480)),
(MOD('(直掃)RX Mapping'!U33,120)-1),
IF(
(AND('(直掃)RX Mapping'!U33&gt;=480,'(直掃)RX Mapping'!U33&lt;=960)),
IF(MOD('(直掃)RX Mapping'!U33,120)=0, 120, 240-MOD('(直掃)RX Mapping'!U33,120)),9999))+IF(AND(MOD('(直掃)RX Mapping'!U33,120)=0, '(直掃)RX Mapping'!U33 &lt;= 480,  '(直掃)RX Mapping'!U33 &gt; 0), 120)</f>
        <v>-1</v>
      </c>
      <c r="V33">
        <f>IF(
(AND('(直掃)RX Mapping'!V33&gt;=0,'(直掃)RX Mapping'!V33&lt;=480)),
(MOD('(直掃)RX Mapping'!V33,120)-1),
IF(
(AND('(直掃)RX Mapping'!V33&gt;=480,'(直掃)RX Mapping'!V33&lt;=960)),
IF(MOD('(直掃)RX Mapping'!V33,120)=0, 120, 240-MOD('(直掃)RX Mapping'!V33,120)),9999))+IF(AND(MOD('(直掃)RX Mapping'!V33,120)=0, '(直掃)RX Mapping'!V33 &lt;= 480,  '(直掃)RX Mapping'!V33 &gt; 0), 120)</f>
        <v>-1</v>
      </c>
      <c r="W33">
        <f>IF(
(AND('(直掃)RX Mapping'!W33&gt;=0,'(直掃)RX Mapping'!W33&lt;=480)),
(MOD('(直掃)RX Mapping'!W33,120)-1),
IF(
(AND('(直掃)RX Mapping'!W33&gt;=480,'(直掃)RX Mapping'!W33&lt;=960)),
IF(MOD('(直掃)RX Mapping'!W33,120)=0, 120, 240-MOD('(直掃)RX Mapping'!W33,120)),9999))+IF(AND(MOD('(直掃)RX Mapping'!W33,120)=0, '(直掃)RX Mapping'!W33 &lt;= 480,  '(直掃)RX Mapping'!W33 &gt; 0), 120)</f>
        <v>-1</v>
      </c>
      <c r="X33">
        <f>IF(
(AND('(直掃)RX Mapping'!X33&gt;=0,'(直掃)RX Mapping'!X33&lt;=480)),
(MOD('(直掃)RX Mapping'!X33,120)-1),
IF(
(AND('(直掃)RX Mapping'!X33&gt;=480,'(直掃)RX Mapping'!X33&lt;=960)),
IF(MOD('(直掃)RX Mapping'!X33,120)=0, 120, 240-MOD('(直掃)RX Mapping'!X33,120)),9999))+IF(AND(MOD('(直掃)RX Mapping'!X33,120)=0, '(直掃)RX Mapping'!X33 &lt;= 480,  '(直掃)RX Mapping'!X33 &gt; 0), 120)</f>
        <v>-1</v>
      </c>
      <c r="Y33">
        <f>IF(
(AND('(直掃)RX Mapping'!Y33&gt;=0,'(直掃)RX Mapping'!Y33&lt;=480)),
(MOD('(直掃)RX Mapping'!Y33,120)-1),
IF(
(AND('(直掃)RX Mapping'!Y33&gt;=480,'(直掃)RX Mapping'!Y33&lt;=960)),
IF(MOD('(直掃)RX Mapping'!Y33,120)=0, 120, 240-MOD('(直掃)RX Mapping'!Y33,120)),9999))+IF(AND(MOD('(直掃)RX Mapping'!Y33,120)=0, '(直掃)RX Mapping'!Y33 &lt;= 480,  '(直掃)RX Mapping'!Y33 &gt; 0), 120)</f>
        <v>-1</v>
      </c>
      <c r="Z33">
        <f>IF(
(AND('(直掃)RX Mapping'!Z33&gt;=0,'(直掃)RX Mapping'!Z33&lt;=480)),
(MOD('(直掃)RX Mapping'!Z33,120)-1),
IF(
(AND('(直掃)RX Mapping'!Z33&gt;=480,'(直掃)RX Mapping'!Z33&lt;=960)),
IF(MOD('(直掃)RX Mapping'!Z33,120)=0, 120, 240-MOD('(直掃)RX Mapping'!Z33,120)),9999))+IF(AND(MOD('(直掃)RX Mapping'!Z33,120)=0, '(直掃)RX Mapping'!Z33 &lt;= 480,  '(直掃)RX Mapping'!Z33 &gt; 0), 120)</f>
        <v>-1</v>
      </c>
      <c r="AA33">
        <f>IF(
(AND('(直掃)RX Mapping'!AA33&gt;=0,'(直掃)RX Mapping'!AA33&lt;=480)),
(MOD('(直掃)RX Mapping'!AA33,120)-1),
IF(
(AND('(直掃)RX Mapping'!AA33&gt;=480,'(直掃)RX Mapping'!AA33&lt;=960)),
IF(MOD('(直掃)RX Mapping'!AA33,120)=0, 120, 240-MOD('(直掃)RX Mapping'!AA33,120)),9999))+IF(AND(MOD('(直掃)RX Mapping'!AA33,120)=0, '(直掃)RX Mapping'!AA33 &lt;= 480,  '(直掃)RX Mapping'!AA33 &gt; 0), 120)</f>
        <v>-1</v>
      </c>
      <c r="AB33">
        <f>IF(
(AND('(直掃)RX Mapping'!AB33&gt;=0,'(直掃)RX Mapping'!AB33&lt;=480)),
(MOD('(直掃)RX Mapping'!AB33,120)-1),
IF(
(AND('(直掃)RX Mapping'!AB33&gt;=480,'(直掃)RX Mapping'!AB33&lt;=960)),
IF(MOD('(直掃)RX Mapping'!AB33,120)=0, 120, 240-MOD('(直掃)RX Mapping'!AB33,120)),9999))+IF(AND(MOD('(直掃)RX Mapping'!AB33,120)=0, '(直掃)RX Mapping'!AB33 &lt;= 480,  '(直掃)RX Mapping'!AB33 &gt; 0), 120)</f>
        <v>-1</v>
      </c>
      <c r="AC33">
        <f>IF(
(AND('(直掃)RX Mapping'!AC33&gt;=0,'(直掃)RX Mapping'!AC33&lt;=480)),
(MOD('(直掃)RX Mapping'!AC33,120)-1),
IF(
(AND('(直掃)RX Mapping'!AC33&gt;=480,'(直掃)RX Mapping'!AC33&lt;=960)),
IF(MOD('(直掃)RX Mapping'!AC33,120)=0, 120, 240-MOD('(直掃)RX Mapping'!AC33,120)),9999))+IF(AND(MOD('(直掃)RX Mapping'!AC33,120)=0, '(直掃)RX Mapping'!AC33 &lt;= 480,  '(直掃)RX Mapping'!AC33 &gt; 0), 120)</f>
        <v>-1</v>
      </c>
      <c r="AD33">
        <f>IF(
(AND('(直掃)RX Mapping'!AD33&gt;=0,'(直掃)RX Mapping'!AD33&lt;=480)),
(MOD('(直掃)RX Mapping'!AD33,120)-1),
IF(
(AND('(直掃)RX Mapping'!AD33&gt;=480,'(直掃)RX Mapping'!AD33&lt;=960)),
IF(MOD('(直掃)RX Mapping'!AD33,120)=0, 120, 240-MOD('(直掃)RX Mapping'!AD33,120)),9999))+IF(AND(MOD('(直掃)RX Mapping'!AD33,120)=0, '(直掃)RX Mapping'!AD33 &lt;= 480,  '(直掃)RX Mapping'!AD33 &gt; 0), 120)</f>
        <v>-1</v>
      </c>
      <c r="AE33">
        <f>IF(
(AND('(直掃)RX Mapping'!AE33&gt;=0,'(直掃)RX Mapping'!AE33&lt;=480)),
(MOD('(直掃)RX Mapping'!AE33,120)-1),
IF(
(AND('(直掃)RX Mapping'!AE33&gt;=480,'(直掃)RX Mapping'!AE33&lt;=960)),
IF(MOD('(直掃)RX Mapping'!AE33,120)=0, 120, 240-MOD('(直掃)RX Mapping'!AE33,120)),9999))+IF(AND(MOD('(直掃)RX Mapping'!AE33,120)=0, '(直掃)RX Mapping'!AE33 &lt;= 480,  '(直掃)RX Mapping'!AE33 &gt; 0), 120)</f>
        <v>-1</v>
      </c>
      <c r="AF33">
        <f>IF(
(AND('(直掃)RX Mapping'!AF33&gt;=0,'(直掃)RX Mapping'!AF33&lt;=480)),
(MOD('(直掃)RX Mapping'!AF33,120)-1),
IF(
(AND('(直掃)RX Mapping'!AF33&gt;=480,'(直掃)RX Mapping'!AF33&lt;=960)),
IF(MOD('(直掃)RX Mapping'!AF33,120)=0, 120, 240-MOD('(直掃)RX Mapping'!AF33,120)),9999))+IF(AND(MOD('(直掃)RX Mapping'!AF33,120)=0, '(直掃)RX Mapping'!AF33 &lt;= 480,  '(直掃)RX Mapping'!AF33 &gt; 0), 120)</f>
        <v>-1</v>
      </c>
      <c r="AG33">
        <f>IF(
(AND('(直掃)RX Mapping'!AG33&gt;=0,'(直掃)RX Mapping'!AG33&lt;=480)),
(MOD('(直掃)RX Mapping'!AG33,120)-1),
IF(
(AND('(直掃)RX Mapping'!AG33&gt;=480,'(直掃)RX Mapping'!AG33&lt;=960)),
IF(MOD('(直掃)RX Mapping'!AG33,120)=0, 120, 240-MOD('(直掃)RX Mapping'!AG33,120)),9999))+IF(AND(MOD('(直掃)RX Mapping'!AG33,120)=0, '(直掃)RX Mapping'!AG33 &lt;= 480,  '(直掃)RX Mapping'!AG33 &gt; 0), 120)</f>
        <v>-1</v>
      </c>
      <c r="AH33">
        <f>IF(
(AND('(直掃)RX Mapping'!AH33&gt;=0,'(直掃)RX Mapping'!AH33&lt;=480)),
(MOD('(直掃)RX Mapping'!AH33,120)-1),
IF(
(AND('(直掃)RX Mapping'!AH33&gt;=480,'(直掃)RX Mapping'!AH33&lt;=960)),
IF(MOD('(直掃)RX Mapping'!AH33,120)=0, 120, 240-MOD('(直掃)RX Mapping'!AH33,120)),9999))+IF(AND(MOD('(直掃)RX Mapping'!AH33,120)=0, '(直掃)RX Mapping'!AH33 &lt;= 480,  '(直掃)RX Mapping'!AH33 &gt; 0), 120)</f>
        <v>-1</v>
      </c>
      <c r="AI33">
        <f>IF(
(AND('(直掃)RX Mapping'!AI33&gt;=0,'(直掃)RX Mapping'!AI33&lt;=480)),
(MOD('(直掃)RX Mapping'!AI33,120)-1),
IF(
(AND('(直掃)RX Mapping'!AI33&gt;=480,'(直掃)RX Mapping'!AI33&lt;=960)),
IF(MOD('(直掃)RX Mapping'!AI33,120)=0, 120, 240-MOD('(直掃)RX Mapping'!AI33,120)),9999))+IF(AND(MOD('(直掃)RX Mapping'!AI33,120)=0, '(直掃)RX Mapping'!AI33 &lt;= 480,  '(直掃)RX Mapping'!AI33 &gt; 0), 120)</f>
        <v>-1</v>
      </c>
      <c r="AJ33">
        <f>IF(
(AND('(直掃)RX Mapping'!AJ33&gt;=0,'(直掃)RX Mapping'!AJ33&lt;=480)),
(MOD('(直掃)RX Mapping'!AJ33,120)-1),
IF(
(AND('(直掃)RX Mapping'!AJ33&gt;=480,'(直掃)RX Mapping'!AJ33&lt;=960)),
IF(MOD('(直掃)RX Mapping'!AJ33,120)=0, 120, 240-MOD('(直掃)RX Mapping'!AJ33,120)),9999))+IF(AND(MOD('(直掃)RX Mapping'!AJ33,120)=0, '(直掃)RX Mapping'!AJ33 &lt;= 480,  '(直掃)RX Mapping'!AJ33 &gt; 0), 120)</f>
        <v>-1</v>
      </c>
      <c r="AK33">
        <f>IF(
(AND('(直掃)RX Mapping'!AK33&gt;=0,'(直掃)RX Mapping'!AK33&lt;=480)),
(MOD('(直掃)RX Mapping'!AK33,120)-1),
IF(
(AND('(直掃)RX Mapping'!AK33&gt;=480,'(直掃)RX Mapping'!AK33&lt;=960)),
IF(MOD('(直掃)RX Mapping'!AK33,120)=0, 120, 240-MOD('(直掃)RX Mapping'!AK33,120)),9999))+IF(AND(MOD('(直掃)RX Mapping'!AK33,120)=0, '(直掃)RX Mapping'!AK33 &lt;= 480,  '(直掃)RX Mapping'!AK33 &gt; 0), 120)</f>
        <v>-1</v>
      </c>
      <c r="AL33">
        <f>IF(
(AND('(直掃)RX Mapping'!AL33&gt;=0,'(直掃)RX Mapping'!AL33&lt;=480)),
(MOD('(直掃)RX Mapping'!AL33,120)-1),
IF(
(AND('(直掃)RX Mapping'!AL33&gt;=480,'(直掃)RX Mapping'!AL33&lt;=960)),
IF(MOD('(直掃)RX Mapping'!AL33,120)=0, 120, 240-MOD('(直掃)RX Mapping'!AL33,120)),9999))+IF(AND(MOD('(直掃)RX Mapping'!AL33,120)=0, '(直掃)RX Mapping'!AL33 &lt;= 480,  '(直掃)RX Mapping'!AL33 &gt; 0), 120)</f>
        <v>-1</v>
      </c>
      <c r="AM33">
        <f>IF(
(AND('(直掃)RX Mapping'!AM33&gt;=0,'(直掃)RX Mapping'!AM33&lt;=480)),
(MOD('(直掃)RX Mapping'!AM33,120)-1),
IF(
(AND('(直掃)RX Mapping'!AM33&gt;=480,'(直掃)RX Mapping'!AM33&lt;=960)),
IF(MOD('(直掃)RX Mapping'!AM33,120)=0, 120, 240-MOD('(直掃)RX Mapping'!AM33,120)),9999))+IF(AND(MOD('(直掃)RX Mapping'!AM33,120)=0, '(直掃)RX Mapping'!AM33 &lt;= 480,  '(直掃)RX Mapping'!AM33 &gt; 0), 120)</f>
        <v>-1</v>
      </c>
      <c r="AN33">
        <f>IF(
(AND('(直掃)RX Mapping'!AN33&gt;=0,'(直掃)RX Mapping'!AN33&lt;=480)),
(MOD('(直掃)RX Mapping'!AN33,120)-1),
IF(
(AND('(直掃)RX Mapping'!AN33&gt;=480,'(直掃)RX Mapping'!AN33&lt;=960)),
IF(MOD('(直掃)RX Mapping'!AN33,120)=0, 120, 240-MOD('(直掃)RX Mapping'!AN33,120)),9999))+IF(AND(MOD('(直掃)RX Mapping'!AN33,120)=0, '(直掃)RX Mapping'!AN33 &lt;= 480,  '(直掃)RX Mapping'!AN33 &gt; 0), 120)</f>
        <v>-1</v>
      </c>
      <c r="AO33">
        <f>IF(
(AND('(直掃)RX Mapping'!AO33&gt;=0,'(直掃)RX Mapping'!AO33&lt;=480)),
(MOD('(直掃)RX Mapping'!AO33,120)-1),
IF(
(AND('(直掃)RX Mapping'!AO33&gt;=480,'(直掃)RX Mapping'!AO33&lt;=960)),
IF(MOD('(直掃)RX Mapping'!AO33,120)=0, 120, 240-MOD('(直掃)RX Mapping'!AO33,120)),9999))+IF(AND(MOD('(直掃)RX Mapping'!AO33,120)=0, '(直掃)RX Mapping'!AO33 &lt;= 480,  '(直掃)RX Mapping'!AO33 &gt; 0), 120)</f>
        <v>-1</v>
      </c>
      <c r="AP33">
        <f>IF(
(AND('(直掃)RX Mapping'!AP33&gt;=0,'(直掃)RX Mapping'!AP33&lt;=480)),
(MOD('(直掃)RX Mapping'!AP33,120)-1),
IF(
(AND('(直掃)RX Mapping'!AP33&gt;=480,'(直掃)RX Mapping'!AP33&lt;=960)),
IF(MOD('(直掃)RX Mapping'!AP33,120)=0, 120, 240-MOD('(直掃)RX Mapping'!AP33,120)),9999))+IF(AND(MOD('(直掃)RX Mapping'!AP33,120)=0, '(直掃)RX Mapping'!AP33 &lt;= 480,  '(直掃)RX Mapping'!AP33 &gt; 0), 120)</f>
        <v>-1</v>
      </c>
      <c r="AQ33">
        <f>IF(
(AND('(直掃)RX Mapping'!AQ33&gt;=0,'(直掃)RX Mapping'!AQ33&lt;=480)),
(MOD('(直掃)RX Mapping'!AQ33,120)-1),
IF(
(AND('(直掃)RX Mapping'!AQ33&gt;=480,'(直掃)RX Mapping'!AQ33&lt;=960)),
IF(MOD('(直掃)RX Mapping'!AQ33,120)=0, 120, 240-MOD('(直掃)RX Mapping'!AQ33,120)),9999))+IF(AND(MOD('(直掃)RX Mapping'!AQ33,120)=0, '(直掃)RX Mapping'!AQ33 &lt;= 480,  '(直掃)RX Mapping'!AQ33 &gt; 0), 120)</f>
        <v>-1</v>
      </c>
      <c r="AR33">
        <f>IF(
(AND('(直掃)RX Mapping'!AR33&gt;=0,'(直掃)RX Mapping'!AR33&lt;=480)),
(MOD('(直掃)RX Mapping'!AR33,120)-1),
IF(
(AND('(直掃)RX Mapping'!AR33&gt;=480,'(直掃)RX Mapping'!AR33&lt;=960)),
IF(MOD('(直掃)RX Mapping'!AR33,120)=0, 120, 240-MOD('(直掃)RX Mapping'!AR33,120)),9999))+IF(AND(MOD('(直掃)RX Mapping'!AR33,120)=0, '(直掃)RX Mapping'!AR33 &lt;= 480,  '(直掃)RX Mapping'!AR33 &gt; 0), 120)</f>
        <v>-1</v>
      </c>
      <c r="AS33">
        <f>IF(
(AND('(直掃)RX Mapping'!AS33&gt;=0,'(直掃)RX Mapping'!AS33&lt;=480)),
(MOD('(直掃)RX Mapping'!AS33,120)-1),
IF(
(AND('(直掃)RX Mapping'!AS33&gt;=480,'(直掃)RX Mapping'!AS33&lt;=960)),
IF(MOD('(直掃)RX Mapping'!AS33,120)=0, 120, 240-MOD('(直掃)RX Mapping'!AS33,120)),9999))+IF(AND(MOD('(直掃)RX Mapping'!AS33,120)=0, '(直掃)RX Mapping'!AS33 &lt;= 480,  '(直掃)RX Mapping'!AS33 &gt; 0), 120)</f>
        <v>-1</v>
      </c>
      <c r="AT33">
        <f>IF(AND('(橫掃)RX Mapping'!AT33&gt;=1,'(橫掃)RX Mapping'!AT33&lt;=120), ('(橫掃)RX Mapping'!AT33-1),IF(AND('(橫掃)RX Mapping'!AT33&gt;=121,'(橫掃)RX Mapping'!AT33&lt;=240), (-1)*('(橫掃)RX Mapping'!AT33-240),IF(AND('(橫掃)RX Mapping'!AT33&gt;=241,'(橫掃)RX Mapping'!AT33&lt;=360), ('(橫掃)RX Mapping'!AT33-241),IF(AND('(橫掃)RX Mapping'!AT33&gt;=361,'(橫掃)RX Mapping'!AT33&lt;=480), (-1)*('(橫掃)RX Mapping'!AT33-480),IF(AND('(橫掃)RX Mapping'!AT33&gt;=481,'(橫掃)RX Mapping'!AT33&lt;=600), ('(橫掃)RX Mapping'!AT33-361),IF(AND('(橫掃)RX Mapping'!AT33&gt;=601,'(橫掃)RX Mapping'!AT33&lt;=720), (-1)*('(橫掃)RX Mapping'!AT33-720)+120,IF(AND('(橫掃)RX Mapping'!AT33&gt;=721,'(橫掃)RX Mapping'!AT33&lt;=840), ('(橫掃)RX Mapping'!AT33-601),IF(AND('(橫掃)RX Mapping'!AT33&gt;=841,'(橫掃)RX Mapping'!AT33&lt;=960), (-1)*('(橫掃)RX Mapping'!AT33-960)+120,9999))))))))</f>
        <v>9999</v>
      </c>
      <c r="AU33">
        <f>IF(AND('(橫掃)RX Mapping'!AU33&gt;=1,'(橫掃)RX Mapping'!AU33&lt;=120), ('(橫掃)RX Mapping'!AU33-1),IF(AND('(橫掃)RX Mapping'!AU33&gt;=121,'(橫掃)RX Mapping'!AU33&lt;=240), (-1)*('(橫掃)RX Mapping'!AU33-240),IF(AND('(橫掃)RX Mapping'!AU33&gt;=241,'(橫掃)RX Mapping'!AU33&lt;=360), ('(橫掃)RX Mapping'!AU33-241),IF(AND('(橫掃)RX Mapping'!AU33&gt;=361,'(橫掃)RX Mapping'!AU33&lt;=480), (-1)*('(橫掃)RX Mapping'!AU33-480),IF(AND('(橫掃)RX Mapping'!AU33&gt;=481,'(橫掃)RX Mapping'!AU33&lt;=600), ('(橫掃)RX Mapping'!AU33-361),IF(AND('(橫掃)RX Mapping'!AU33&gt;=601,'(橫掃)RX Mapping'!AU33&lt;=720), (-1)*('(橫掃)RX Mapping'!AU33-720)+120,IF(AND('(橫掃)RX Mapping'!AU33&gt;=721,'(橫掃)RX Mapping'!AU33&lt;=840), ('(橫掃)RX Mapping'!AU33-601),IF(AND('(橫掃)RX Mapping'!AU33&gt;=841,'(橫掃)RX Mapping'!AU33&lt;=960), (-1)*('(橫掃)RX Mapping'!AU33-960)+120,9999))))))))</f>
        <v>9999</v>
      </c>
      <c r="AV33">
        <f>IF(AND('(橫掃)RX Mapping'!AV33&gt;=1,'(橫掃)RX Mapping'!AV33&lt;=120), ('(橫掃)RX Mapping'!AV33-1),IF(AND('(橫掃)RX Mapping'!AV33&gt;=121,'(橫掃)RX Mapping'!AV33&lt;=240), (-1)*('(橫掃)RX Mapping'!AV33-240),IF(AND('(橫掃)RX Mapping'!AV33&gt;=241,'(橫掃)RX Mapping'!AV33&lt;=360), ('(橫掃)RX Mapping'!AV33-241),IF(AND('(橫掃)RX Mapping'!AV33&gt;=361,'(橫掃)RX Mapping'!AV33&lt;=480), (-1)*('(橫掃)RX Mapping'!AV33-480),IF(AND('(橫掃)RX Mapping'!AV33&gt;=481,'(橫掃)RX Mapping'!AV33&lt;=600), ('(橫掃)RX Mapping'!AV33-361),IF(AND('(橫掃)RX Mapping'!AV33&gt;=601,'(橫掃)RX Mapping'!AV33&lt;=720), (-1)*('(橫掃)RX Mapping'!AV33-720)+120,IF(AND('(橫掃)RX Mapping'!AV33&gt;=721,'(橫掃)RX Mapping'!AV33&lt;=840), ('(橫掃)RX Mapping'!AV33-601),IF(AND('(橫掃)RX Mapping'!AV33&gt;=841,'(橫掃)RX Mapping'!AV33&lt;=960), (-1)*('(橫掃)RX Mapping'!AV33-960)+120,9999))))))))</f>
        <v>9999</v>
      </c>
      <c r="AW33">
        <f>IF(AND('(橫掃)RX Mapping'!AW33&gt;=1,'(橫掃)RX Mapping'!AW33&lt;=120), ('(橫掃)RX Mapping'!AW33-1),IF(AND('(橫掃)RX Mapping'!AW33&gt;=121,'(橫掃)RX Mapping'!AW33&lt;=240), (-1)*('(橫掃)RX Mapping'!AW33-240),IF(AND('(橫掃)RX Mapping'!AW33&gt;=241,'(橫掃)RX Mapping'!AW33&lt;=360), ('(橫掃)RX Mapping'!AW33-241),IF(AND('(橫掃)RX Mapping'!AW33&gt;=361,'(橫掃)RX Mapping'!AW33&lt;=480), (-1)*('(橫掃)RX Mapping'!AW33-480),IF(AND('(橫掃)RX Mapping'!AW33&gt;=481,'(橫掃)RX Mapping'!AW33&lt;=600), ('(橫掃)RX Mapping'!AW33-361),IF(AND('(橫掃)RX Mapping'!AW33&gt;=601,'(橫掃)RX Mapping'!AW33&lt;=720), (-1)*('(橫掃)RX Mapping'!AW33-720)+120,IF(AND('(橫掃)RX Mapping'!AW33&gt;=721,'(橫掃)RX Mapping'!AW33&lt;=840), ('(橫掃)RX Mapping'!AW33-601),IF(AND('(橫掃)RX Mapping'!AW33&gt;=841,'(橫掃)RX Mapping'!AW33&lt;=960), (-1)*('(橫掃)RX Mapping'!AW33-960)+120,9999))))))))</f>
        <v>9999</v>
      </c>
      <c r="AX33">
        <f>IF(AND('(橫掃)RX Mapping'!AX33&gt;=1,'(橫掃)RX Mapping'!AX33&lt;=120), ('(橫掃)RX Mapping'!AX33-1),IF(AND('(橫掃)RX Mapping'!AX33&gt;=121,'(橫掃)RX Mapping'!AX33&lt;=240), (-1)*('(橫掃)RX Mapping'!AX33-240),IF(AND('(橫掃)RX Mapping'!AX33&gt;=241,'(橫掃)RX Mapping'!AX33&lt;=360), ('(橫掃)RX Mapping'!AX33-241),IF(AND('(橫掃)RX Mapping'!AX33&gt;=361,'(橫掃)RX Mapping'!AX33&lt;=480), (-1)*('(橫掃)RX Mapping'!AX33-480),IF(AND('(橫掃)RX Mapping'!AX33&gt;=481,'(橫掃)RX Mapping'!AX33&lt;=600), ('(橫掃)RX Mapping'!AX33-361),IF(AND('(橫掃)RX Mapping'!AX33&gt;=601,'(橫掃)RX Mapping'!AX33&lt;=720), (-1)*('(橫掃)RX Mapping'!AX33-720)+120,IF(AND('(橫掃)RX Mapping'!AX33&gt;=721,'(橫掃)RX Mapping'!AX33&lt;=840), ('(橫掃)RX Mapping'!AX33-601),IF(AND('(橫掃)RX Mapping'!AX33&gt;=841,'(橫掃)RX Mapping'!AX33&lt;=960), (-1)*('(橫掃)RX Mapping'!AX33-960)+120,9999))))))))</f>
        <v>9999</v>
      </c>
      <c r="AY33">
        <f>IF(AND('(橫掃)RX Mapping'!AY33&gt;=1,'(橫掃)RX Mapping'!AY33&lt;=120), ('(橫掃)RX Mapping'!AY33-1),IF(AND('(橫掃)RX Mapping'!AY33&gt;=121,'(橫掃)RX Mapping'!AY33&lt;=240), (-1)*('(橫掃)RX Mapping'!AY33-240),IF(AND('(橫掃)RX Mapping'!AY33&gt;=241,'(橫掃)RX Mapping'!AY33&lt;=360), ('(橫掃)RX Mapping'!AY33-241),IF(AND('(橫掃)RX Mapping'!AY33&gt;=361,'(橫掃)RX Mapping'!AY33&lt;=480), (-1)*('(橫掃)RX Mapping'!AY33-480),IF(AND('(橫掃)RX Mapping'!AY33&gt;=481,'(橫掃)RX Mapping'!AY33&lt;=600), ('(橫掃)RX Mapping'!AY33-361),IF(AND('(橫掃)RX Mapping'!AY33&gt;=601,'(橫掃)RX Mapping'!AY33&lt;=720), (-1)*('(橫掃)RX Mapping'!AY33-720)+120,IF(AND('(橫掃)RX Mapping'!AY33&gt;=721,'(橫掃)RX Mapping'!AY33&lt;=840), ('(橫掃)RX Mapping'!AY33-601),IF(AND('(橫掃)RX Mapping'!AY33&gt;=841,'(橫掃)RX Mapping'!AY33&lt;=960), (-1)*('(橫掃)RX Mapping'!AY33-960)+120,9999))))))))</f>
        <v>9999</v>
      </c>
      <c r="AZ33">
        <f>IF(AND('(橫掃)RX Mapping'!AZ33&gt;=1,'(橫掃)RX Mapping'!AZ33&lt;=120), ('(橫掃)RX Mapping'!AZ33-1),IF(AND('(橫掃)RX Mapping'!AZ33&gt;=121,'(橫掃)RX Mapping'!AZ33&lt;=240), (-1)*('(橫掃)RX Mapping'!AZ33-240),IF(AND('(橫掃)RX Mapping'!AZ33&gt;=241,'(橫掃)RX Mapping'!AZ33&lt;=360), ('(橫掃)RX Mapping'!AZ33-241),IF(AND('(橫掃)RX Mapping'!AZ33&gt;=361,'(橫掃)RX Mapping'!AZ33&lt;=480), (-1)*('(橫掃)RX Mapping'!AZ33-480),IF(AND('(橫掃)RX Mapping'!AZ33&gt;=481,'(橫掃)RX Mapping'!AZ33&lt;=600), ('(橫掃)RX Mapping'!AZ33-361),IF(AND('(橫掃)RX Mapping'!AZ33&gt;=601,'(橫掃)RX Mapping'!AZ33&lt;=720), (-1)*('(橫掃)RX Mapping'!AZ33-720)+120,IF(AND('(橫掃)RX Mapping'!AZ33&gt;=721,'(橫掃)RX Mapping'!AZ33&lt;=840), ('(橫掃)RX Mapping'!AZ33-601),IF(AND('(橫掃)RX Mapping'!AZ33&gt;=841,'(橫掃)RX Mapping'!AZ33&lt;=960), (-1)*('(橫掃)RX Mapping'!AZ33-960)+120,9999))))))))</f>
        <v>9999</v>
      </c>
      <c r="BA33">
        <f>IF(AND('(橫掃)RX Mapping'!BA33&gt;=1,'(橫掃)RX Mapping'!BA33&lt;=120), ('(橫掃)RX Mapping'!BA33-1),IF(AND('(橫掃)RX Mapping'!BA33&gt;=121,'(橫掃)RX Mapping'!BA33&lt;=240), (-1)*('(橫掃)RX Mapping'!BA33-240),IF(AND('(橫掃)RX Mapping'!BA33&gt;=241,'(橫掃)RX Mapping'!BA33&lt;=360), ('(橫掃)RX Mapping'!BA33-241),IF(AND('(橫掃)RX Mapping'!BA33&gt;=361,'(橫掃)RX Mapping'!BA33&lt;=480), (-1)*('(橫掃)RX Mapping'!BA33-480),IF(AND('(橫掃)RX Mapping'!BA33&gt;=481,'(橫掃)RX Mapping'!BA33&lt;=600), ('(橫掃)RX Mapping'!BA33-361),IF(AND('(橫掃)RX Mapping'!BA33&gt;=601,'(橫掃)RX Mapping'!BA33&lt;=720), (-1)*('(橫掃)RX Mapping'!BA33-720)+120,IF(AND('(橫掃)RX Mapping'!BA33&gt;=721,'(橫掃)RX Mapping'!BA33&lt;=840), ('(橫掃)RX Mapping'!BA33-601),IF(AND('(橫掃)RX Mapping'!BA33&gt;=841,'(橫掃)RX Mapping'!BA33&lt;=960), (-1)*('(橫掃)RX Mapping'!BA33-960)+120,9999))))))))</f>
        <v>9999</v>
      </c>
      <c r="BB33">
        <f>IF(AND('(橫掃)RX Mapping'!BB33&gt;=1,'(橫掃)RX Mapping'!BB33&lt;=120), ('(橫掃)RX Mapping'!BB33-1),IF(AND('(橫掃)RX Mapping'!BB33&gt;=121,'(橫掃)RX Mapping'!BB33&lt;=240), (-1)*('(橫掃)RX Mapping'!BB33-240),IF(AND('(橫掃)RX Mapping'!BB33&gt;=241,'(橫掃)RX Mapping'!BB33&lt;=360), ('(橫掃)RX Mapping'!BB33-241),IF(AND('(橫掃)RX Mapping'!BB33&gt;=361,'(橫掃)RX Mapping'!BB33&lt;=480), (-1)*('(橫掃)RX Mapping'!BB33-480),IF(AND('(橫掃)RX Mapping'!BB33&gt;=481,'(橫掃)RX Mapping'!BB33&lt;=600), ('(橫掃)RX Mapping'!BB33-361),IF(AND('(橫掃)RX Mapping'!BB33&gt;=601,'(橫掃)RX Mapping'!BB33&lt;=720), (-1)*('(橫掃)RX Mapping'!BB33-720)+120,IF(AND('(橫掃)RX Mapping'!BB33&gt;=721,'(橫掃)RX Mapping'!BB33&lt;=840), ('(橫掃)RX Mapping'!BB33-601),IF(AND('(橫掃)RX Mapping'!BB33&gt;=841,'(橫掃)RX Mapping'!BB33&lt;=960), (-1)*('(橫掃)RX Mapping'!BB33-960)+120,9999))))))))</f>
        <v>9999</v>
      </c>
      <c r="BC33">
        <f>IF(AND('(橫掃)RX Mapping'!BC33&gt;=1,'(橫掃)RX Mapping'!BC33&lt;=120), ('(橫掃)RX Mapping'!BC33-1),IF(AND('(橫掃)RX Mapping'!BC33&gt;=121,'(橫掃)RX Mapping'!BC33&lt;=240), (-1)*('(橫掃)RX Mapping'!BC33-240),IF(AND('(橫掃)RX Mapping'!BC33&gt;=241,'(橫掃)RX Mapping'!BC33&lt;=360), ('(橫掃)RX Mapping'!BC33-241),IF(AND('(橫掃)RX Mapping'!BC33&gt;=361,'(橫掃)RX Mapping'!BC33&lt;=480), (-1)*('(橫掃)RX Mapping'!BC33-480),IF(AND('(橫掃)RX Mapping'!BC33&gt;=481,'(橫掃)RX Mapping'!BC33&lt;=600), ('(橫掃)RX Mapping'!BC33-361),IF(AND('(橫掃)RX Mapping'!BC33&gt;=601,'(橫掃)RX Mapping'!BC33&lt;=720), (-1)*('(橫掃)RX Mapping'!BC33-720)+120,IF(AND('(橫掃)RX Mapping'!BC33&gt;=721,'(橫掃)RX Mapping'!BC33&lt;=840), ('(橫掃)RX Mapping'!BC33-601),IF(AND('(橫掃)RX Mapping'!BC33&gt;=841,'(橫掃)RX Mapping'!BC33&lt;=960), (-1)*('(橫掃)RX Mapping'!BC33-960)+120,9999))))))))</f>
        <v>9999</v>
      </c>
      <c r="BD33">
        <f>IF(AND('(橫掃)RX Mapping'!BD33&gt;=1,'(橫掃)RX Mapping'!BD33&lt;=120), ('(橫掃)RX Mapping'!BD33-1),IF(AND('(橫掃)RX Mapping'!BD33&gt;=121,'(橫掃)RX Mapping'!BD33&lt;=240), (-1)*('(橫掃)RX Mapping'!BD33-240),IF(AND('(橫掃)RX Mapping'!BD33&gt;=241,'(橫掃)RX Mapping'!BD33&lt;=360), ('(橫掃)RX Mapping'!BD33-241),IF(AND('(橫掃)RX Mapping'!BD33&gt;=361,'(橫掃)RX Mapping'!BD33&lt;=480), (-1)*('(橫掃)RX Mapping'!BD33-480),IF(AND('(橫掃)RX Mapping'!BD33&gt;=481,'(橫掃)RX Mapping'!BD33&lt;=600), ('(橫掃)RX Mapping'!BD33-361),IF(AND('(橫掃)RX Mapping'!BD33&gt;=601,'(橫掃)RX Mapping'!BD33&lt;=720), (-1)*('(橫掃)RX Mapping'!BD33-720)+120,IF(AND('(橫掃)RX Mapping'!BD33&gt;=721,'(橫掃)RX Mapping'!BD33&lt;=840), ('(橫掃)RX Mapping'!BD33-601),IF(AND('(橫掃)RX Mapping'!BD33&gt;=841,'(橫掃)RX Mapping'!BD33&lt;=960), (-1)*('(橫掃)RX Mapping'!BD33-960)+120,9999))))))))</f>
        <v>9999</v>
      </c>
      <c r="BE33">
        <f>IF(AND('(橫掃)RX Mapping'!BE33&gt;=1,'(橫掃)RX Mapping'!BE33&lt;=120), ('(橫掃)RX Mapping'!BE33-1),IF(AND('(橫掃)RX Mapping'!BE33&gt;=121,'(橫掃)RX Mapping'!BE33&lt;=240), (-1)*('(橫掃)RX Mapping'!BE33-240),IF(AND('(橫掃)RX Mapping'!BE33&gt;=241,'(橫掃)RX Mapping'!BE33&lt;=360), ('(橫掃)RX Mapping'!BE33-241),IF(AND('(橫掃)RX Mapping'!BE33&gt;=361,'(橫掃)RX Mapping'!BE33&lt;=480), (-1)*('(橫掃)RX Mapping'!BE33-480),IF(AND('(橫掃)RX Mapping'!BE33&gt;=481,'(橫掃)RX Mapping'!BE33&lt;=600), ('(橫掃)RX Mapping'!BE33-361),IF(AND('(橫掃)RX Mapping'!BE33&gt;=601,'(橫掃)RX Mapping'!BE33&lt;=720), (-1)*('(橫掃)RX Mapping'!BE33-720)+120,IF(AND('(橫掃)RX Mapping'!BE33&gt;=721,'(橫掃)RX Mapping'!BE33&lt;=840), ('(橫掃)RX Mapping'!BE33-601),IF(AND('(橫掃)RX Mapping'!BE33&gt;=841,'(橫掃)RX Mapping'!BE33&lt;=960), (-1)*('(橫掃)RX Mapping'!BE33-960)+120,9999))))))))</f>
        <v>9999</v>
      </c>
      <c r="BF33">
        <f>IF(AND('(橫掃)RX Mapping'!BF33&gt;=1,'(橫掃)RX Mapping'!BF33&lt;=120), ('(橫掃)RX Mapping'!BF33-1),IF(AND('(橫掃)RX Mapping'!BF33&gt;=121,'(橫掃)RX Mapping'!BF33&lt;=240), (-1)*('(橫掃)RX Mapping'!BF33-240),IF(AND('(橫掃)RX Mapping'!BF33&gt;=241,'(橫掃)RX Mapping'!BF33&lt;=360), ('(橫掃)RX Mapping'!BF33-241),IF(AND('(橫掃)RX Mapping'!BF33&gt;=361,'(橫掃)RX Mapping'!BF33&lt;=480), (-1)*('(橫掃)RX Mapping'!BF33-480),IF(AND('(橫掃)RX Mapping'!BF33&gt;=481,'(橫掃)RX Mapping'!BF33&lt;=600), ('(橫掃)RX Mapping'!BF33-361),IF(AND('(橫掃)RX Mapping'!BF33&gt;=601,'(橫掃)RX Mapping'!BF33&lt;=720), (-1)*('(橫掃)RX Mapping'!BF33-720)+120,IF(AND('(橫掃)RX Mapping'!BF33&gt;=721,'(橫掃)RX Mapping'!BF33&lt;=840), ('(橫掃)RX Mapping'!BF33-601),IF(AND('(橫掃)RX Mapping'!BF33&gt;=841,'(橫掃)RX Mapping'!BF33&lt;=960), (-1)*('(橫掃)RX Mapping'!BF33-960)+120,9999))))))))</f>
        <v>9999</v>
      </c>
      <c r="BG33">
        <f>IF(AND('(橫掃)RX Mapping'!BG33&gt;=1,'(橫掃)RX Mapping'!BG33&lt;=120), ('(橫掃)RX Mapping'!BG33-1),IF(AND('(橫掃)RX Mapping'!BG33&gt;=121,'(橫掃)RX Mapping'!BG33&lt;=240), (-1)*('(橫掃)RX Mapping'!BG33-240),IF(AND('(橫掃)RX Mapping'!BG33&gt;=241,'(橫掃)RX Mapping'!BG33&lt;=360), ('(橫掃)RX Mapping'!BG33-241),IF(AND('(橫掃)RX Mapping'!BG33&gt;=361,'(橫掃)RX Mapping'!BG33&lt;=480), (-1)*('(橫掃)RX Mapping'!BG33-480),IF(AND('(橫掃)RX Mapping'!BG33&gt;=481,'(橫掃)RX Mapping'!BG33&lt;=600), ('(橫掃)RX Mapping'!BG33-361),IF(AND('(橫掃)RX Mapping'!BG33&gt;=601,'(橫掃)RX Mapping'!BG33&lt;=720), (-1)*('(橫掃)RX Mapping'!BG33-720)+120,IF(AND('(橫掃)RX Mapping'!BG33&gt;=721,'(橫掃)RX Mapping'!BG33&lt;=840), ('(橫掃)RX Mapping'!BG33-601),IF(AND('(橫掃)RX Mapping'!BG33&gt;=841,'(橫掃)RX Mapping'!BG33&lt;=960), (-1)*('(橫掃)RX Mapping'!BG33-960)+120,9999))))))))</f>
        <v>9999</v>
      </c>
      <c r="BH33">
        <f>IF(AND('(橫掃)RX Mapping'!BH33&gt;=1,'(橫掃)RX Mapping'!BH33&lt;=120), ('(橫掃)RX Mapping'!BH33-1),IF(AND('(橫掃)RX Mapping'!BH33&gt;=121,'(橫掃)RX Mapping'!BH33&lt;=240), (-1)*('(橫掃)RX Mapping'!BH33-240),IF(AND('(橫掃)RX Mapping'!BH33&gt;=241,'(橫掃)RX Mapping'!BH33&lt;=360), ('(橫掃)RX Mapping'!BH33-241),IF(AND('(橫掃)RX Mapping'!BH33&gt;=361,'(橫掃)RX Mapping'!BH33&lt;=480), (-1)*('(橫掃)RX Mapping'!BH33-480),IF(AND('(橫掃)RX Mapping'!BH33&gt;=481,'(橫掃)RX Mapping'!BH33&lt;=600), ('(橫掃)RX Mapping'!BH33-361),IF(AND('(橫掃)RX Mapping'!BH33&gt;=601,'(橫掃)RX Mapping'!BH33&lt;=720), (-1)*('(橫掃)RX Mapping'!BH33-720)+120,IF(AND('(橫掃)RX Mapping'!BH33&gt;=721,'(橫掃)RX Mapping'!BH33&lt;=840), ('(橫掃)RX Mapping'!BH33-601),IF(AND('(橫掃)RX Mapping'!BH33&gt;=841,'(橫掃)RX Mapping'!BH33&lt;=960), (-1)*('(橫掃)RX Mapping'!BH33-960)+120,9999))))))))</f>
        <v>9999</v>
      </c>
      <c r="BI33">
        <f>IF(AND('(橫掃)RX Mapping'!BI33&gt;=1,'(橫掃)RX Mapping'!BI33&lt;=120), ('(橫掃)RX Mapping'!BI33-1),IF(AND('(橫掃)RX Mapping'!BI33&gt;=121,'(橫掃)RX Mapping'!BI33&lt;=240), (-1)*('(橫掃)RX Mapping'!BI33-240),IF(AND('(橫掃)RX Mapping'!BI33&gt;=241,'(橫掃)RX Mapping'!BI33&lt;=360), ('(橫掃)RX Mapping'!BI33-241),IF(AND('(橫掃)RX Mapping'!BI33&gt;=361,'(橫掃)RX Mapping'!BI33&lt;=480), (-1)*('(橫掃)RX Mapping'!BI33-480),IF(AND('(橫掃)RX Mapping'!BI33&gt;=481,'(橫掃)RX Mapping'!BI33&lt;=600), ('(橫掃)RX Mapping'!BI33-361),IF(AND('(橫掃)RX Mapping'!BI33&gt;=601,'(橫掃)RX Mapping'!BI33&lt;=720), (-1)*('(橫掃)RX Mapping'!BI33-720)+120,IF(AND('(橫掃)RX Mapping'!BI33&gt;=721,'(橫掃)RX Mapping'!BI33&lt;=840), ('(橫掃)RX Mapping'!BI33-601),IF(AND('(橫掃)RX Mapping'!BI33&gt;=841,'(橫掃)RX Mapping'!BI33&lt;=960), (-1)*('(橫掃)RX Mapping'!BI33-960)+120,9999))))))))</f>
        <v>9999</v>
      </c>
    </row>
    <row r="34" spans="1:61" x14ac:dyDescent="0.25">
      <c r="A34" s="20">
        <v>33</v>
      </c>
      <c r="B34">
        <f>IF(
(AND('(直掃)RX Mapping'!B34&gt;=0,'(直掃)RX Mapping'!B34&lt;=480)),
(MOD('(直掃)RX Mapping'!B34,120)-1),
IF(
(AND('(直掃)RX Mapping'!B34&gt;=480,'(直掃)RX Mapping'!B34&lt;=960)),
IF(MOD('(直掃)RX Mapping'!B34,120)=0, 120, 240-MOD('(直掃)RX Mapping'!B34,120)),9999))+IF(AND(MOD('(直掃)RX Mapping'!B34,120)=0, '(直掃)RX Mapping'!B34 &lt;= 480,  '(直掃)RX Mapping'!B34 &gt; 0), 120)</f>
        <v>-1</v>
      </c>
      <c r="C34">
        <f>IF(
(AND('(直掃)RX Mapping'!C34&gt;=0,'(直掃)RX Mapping'!C34&lt;=480)),
(MOD('(直掃)RX Mapping'!C34,120)-1),
IF(
(AND('(直掃)RX Mapping'!C34&gt;=480,'(直掃)RX Mapping'!C34&lt;=960)),
IF(MOD('(直掃)RX Mapping'!C34,120)=0, 120, 240-MOD('(直掃)RX Mapping'!C34,120)),9999))+IF(AND(MOD('(直掃)RX Mapping'!C34,120)=0, '(直掃)RX Mapping'!C34 &lt;= 480,  '(直掃)RX Mapping'!C34 &gt; 0), 120)</f>
        <v>-1</v>
      </c>
      <c r="D34">
        <f>IF(
(AND('(直掃)RX Mapping'!D34&gt;=0,'(直掃)RX Mapping'!D34&lt;=480)),
(MOD('(直掃)RX Mapping'!D34,120)-1),
IF(
(AND('(直掃)RX Mapping'!D34&gt;=480,'(直掃)RX Mapping'!D34&lt;=960)),
IF(MOD('(直掃)RX Mapping'!D34,120)=0, 120, 240-MOD('(直掃)RX Mapping'!D34,120)),9999))+IF(AND(MOD('(直掃)RX Mapping'!D34,120)=0, '(直掃)RX Mapping'!D34 &lt;= 480,  '(直掃)RX Mapping'!D34 &gt; 0), 120)</f>
        <v>-1</v>
      </c>
      <c r="E34">
        <f>IF(
(AND('(直掃)RX Mapping'!E34&gt;=0,'(直掃)RX Mapping'!E34&lt;=480)),
(MOD('(直掃)RX Mapping'!E34,120)-1),
IF(
(AND('(直掃)RX Mapping'!E34&gt;=480,'(直掃)RX Mapping'!E34&lt;=960)),
IF(MOD('(直掃)RX Mapping'!E34,120)=0, 120, 240-MOD('(直掃)RX Mapping'!E34,120)),9999))+IF(AND(MOD('(直掃)RX Mapping'!E34,120)=0, '(直掃)RX Mapping'!E34 &lt;= 480,  '(直掃)RX Mapping'!E34 &gt; 0), 120)</f>
        <v>-1</v>
      </c>
      <c r="F34">
        <f>IF(
(AND('(直掃)RX Mapping'!F34&gt;=0,'(直掃)RX Mapping'!F34&lt;=480)),
(MOD('(直掃)RX Mapping'!F34,120)-1),
IF(
(AND('(直掃)RX Mapping'!F34&gt;=480,'(直掃)RX Mapping'!F34&lt;=960)),
IF(MOD('(直掃)RX Mapping'!F34,120)=0, 120, 240-MOD('(直掃)RX Mapping'!F34,120)),9999))+IF(AND(MOD('(直掃)RX Mapping'!F34,120)=0, '(直掃)RX Mapping'!F34 &lt;= 480,  '(直掃)RX Mapping'!F34 &gt; 0), 120)</f>
        <v>-1</v>
      </c>
      <c r="G34">
        <f>IF(
(AND('(直掃)RX Mapping'!G34&gt;=0,'(直掃)RX Mapping'!G34&lt;=480)),
(MOD('(直掃)RX Mapping'!G34,120)-1),
IF(
(AND('(直掃)RX Mapping'!G34&gt;=480,'(直掃)RX Mapping'!G34&lt;=960)),
IF(MOD('(直掃)RX Mapping'!G34,120)=0, 120, 240-MOD('(直掃)RX Mapping'!G34,120)),9999))+IF(AND(MOD('(直掃)RX Mapping'!G34,120)=0, '(直掃)RX Mapping'!G34 &lt;= 480,  '(直掃)RX Mapping'!G34 &gt; 0), 120)</f>
        <v>-1</v>
      </c>
      <c r="H34">
        <f>IF(
(AND('(直掃)RX Mapping'!H34&gt;=0,'(直掃)RX Mapping'!H34&lt;=480)),
(MOD('(直掃)RX Mapping'!H34,120)-1),
IF(
(AND('(直掃)RX Mapping'!H34&gt;=480,'(直掃)RX Mapping'!H34&lt;=960)),
IF(MOD('(直掃)RX Mapping'!H34,120)=0, 120, 240-MOD('(直掃)RX Mapping'!H34,120)),9999))+IF(AND(MOD('(直掃)RX Mapping'!H34,120)=0, '(直掃)RX Mapping'!H34 &lt;= 480,  '(直掃)RX Mapping'!H34 &gt; 0), 120)</f>
        <v>-1</v>
      </c>
      <c r="I34">
        <f>IF(
(AND('(直掃)RX Mapping'!I34&gt;=0,'(直掃)RX Mapping'!I34&lt;=480)),
(MOD('(直掃)RX Mapping'!I34,120)-1),
IF(
(AND('(直掃)RX Mapping'!I34&gt;=480,'(直掃)RX Mapping'!I34&lt;=960)),
IF(MOD('(直掃)RX Mapping'!I34,120)=0, 120, 240-MOD('(直掃)RX Mapping'!I34,120)),9999))+IF(AND(MOD('(直掃)RX Mapping'!I34,120)=0, '(直掃)RX Mapping'!I34 &lt;= 480,  '(直掃)RX Mapping'!I34 &gt; 0), 120)</f>
        <v>-1</v>
      </c>
      <c r="J34">
        <f>IF(
(AND('(直掃)RX Mapping'!J34&gt;=0,'(直掃)RX Mapping'!J34&lt;=480)),
(MOD('(直掃)RX Mapping'!J34,120)-1),
IF(
(AND('(直掃)RX Mapping'!J34&gt;=480,'(直掃)RX Mapping'!J34&lt;=960)),
IF(MOD('(直掃)RX Mapping'!J34,120)=0, 120, 240-MOD('(直掃)RX Mapping'!J34,120)),9999))+IF(AND(MOD('(直掃)RX Mapping'!J34,120)=0, '(直掃)RX Mapping'!J34 &lt;= 480,  '(直掃)RX Mapping'!J34 &gt; 0), 120)</f>
        <v>-1</v>
      </c>
      <c r="K34">
        <f>IF(
(AND('(直掃)RX Mapping'!K34&gt;=0,'(直掃)RX Mapping'!K34&lt;=480)),
(MOD('(直掃)RX Mapping'!K34,120)-1),
IF(
(AND('(直掃)RX Mapping'!K34&gt;=480,'(直掃)RX Mapping'!K34&lt;=960)),
IF(MOD('(直掃)RX Mapping'!K34,120)=0, 120, 240-MOD('(直掃)RX Mapping'!K34,120)),9999))+IF(AND(MOD('(直掃)RX Mapping'!K34,120)=0, '(直掃)RX Mapping'!K34 &lt;= 480,  '(直掃)RX Mapping'!K34 &gt; 0), 120)</f>
        <v>-1</v>
      </c>
      <c r="L34">
        <f>IF(
(AND('(直掃)RX Mapping'!L34&gt;=0,'(直掃)RX Mapping'!L34&lt;=480)),
(MOD('(直掃)RX Mapping'!L34,120)-1),
IF(
(AND('(直掃)RX Mapping'!L34&gt;=480,'(直掃)RX Mapping'!L34&lt;=960)),
IF(MOD('(直掃)RX Mapping'!L34,120)=0, 120, 240-MOD('(直掃)RX Mapping'!L34,120)),9999))+IF(AND(MOD('(直掃)RX Mapping'!L34,120)=0, '(直掃)RX Mapping'!L34 &lt;= 480,  '(直掃)RX Mapping'!L34 &gt; 0), 120)</f>
        <v>-1</v>
      </c>
      <c r="M34">
        <f>IF(
(AND('(直掃)RX Mapping'!M34&gt;=0,'(直掃)RX Mapping'!M34&lt;=480)),
(MOD('(直掃)RX Mapping'!M34,120)-1),
IF(
(AND('(直掃)RX Mapping'!M34&gt;=480,'(直掃)RX Mapping'!M34&lt;=960)),
IF(MOD('(直掃)RX Mapping'!M34,120)=0, 120, 240-MOD('(直掃)RX Mapping'!M34,120)),9999))+IF(AND(MOD('(直掃)RX Mapping'!M34,120)=0, '(直掃)RX Mapping'!M34 &lt;= 480,  '(直掃)RX Mapping'!M34 &gt; 0), 120)</f>
        <v>-1</v>
      </c>
      <c r="N34">
        <f>IF(
(AND('(直掃)RX Mapping'!N34&gt;=0,'(直掃)RX Mapping'!N34&lt;=480)),
(MOD('(直掃)RX Mapping'!N34,120)-1),
IF(
(AND('(直掃)RX Mapping'!N34&gt;=480,'(直掃)RX Mapping'!N34&lt;=960)),
IF(MOD('(直掃)RX Mapping'!N34,120)=0, 120, 240-MOD('(直掃)RX Mapping'!N34,120)),9999))+IF(AND(MOD('(直掃)RX Mapping'!N34,120)=0, '(直掃)RX Mapping'!N34 &lt;= 480,  '(直掃)RX Mapping'!N34 &gt; 0), 120)</f>
        <v>-1</v>
      </c>
      <c r="O34">
        <f>IF(
(AND('(直掃)RX Mapping'!O34&gt;=0,'(直掃)RX Mapping'!O34&lt;=480)),
(MOD('(直掃)RX Mapping'!O34,120)-1),
IF(
(AND('(直掃)RX Mapping'!O34&gt;=480,'(直掃)RX Mapping'!O34&lt;=960)),
IF(MOD('(直掃)RX Mapping'!O34,120)=0, 120, 240-MOD('(直掃)RX Mapping'!O34,120)),9999))+IF(AND(MOD('(直掃)RX Mapping'!O34,120)=0, '(直掃)RX Mapping'!O34 &lt;= 480,  '(直掃)RX Mapping'!O34 &gt; 0), 120)</f>
        <v>-1</v>
      </c>
      <c r="P34">
        <f>IF(
(AND('(直掃)RX Mapping'!P34&gt;=0,'(直掃)RX Mapping'!P34&lt;=480)),
(MOD('(直掃)RX Mapping'!P34,120)-1),
IF(
(AND('(直掃)RX Mapping'!P34&gt;=480,'(直掃)RX Mapping'!P34&lt;=960)),
IF(MOD('(直掃)RX Mapping'!P34,120)=0, 120, 240-MOD('(直掃)RX Mapping'!P34,120)),9999))+IF(AND(MOD('(直掃)RX Mapping'!P34,120)=0, '(直掃)RX Mapping'!P34 &lt;= 480,  '(直掃)RX Mapping'!P34 &gt; 0), 120)</f>
        <v>-1</v>
      </c>
      <c r="Q34">
        <f>IF(
(AND('(直掃)RX Mapping'!Q34&gt;=0,'(直掃)RX Mapping'!Q34&lt;=480)),
(MOD('(直掃)RX Mapping'!Q34,120)-1),
IF(
(AND('(直掃)RX Mapping'!Q34&gt;=480,'(直掃)RX Mapping'!Q34&lt;=960)),
IF(MOD('(直掃)RX Mapping'!Q34,120)=0, 120, 240-MOD('(直掃)RX Mapping'!Q34,120)),9999))+IF(AND(MOD('(直掃)RX Mapping'!Q34,120)=0, '(直掃)RX Mapping'!Q34 &lt;= 480,  '(直掃)RX Mapping'!Q34 &gt; 0), 120)</f>
        <v>-1</v>
      </c>
      <c r="R34">
        <f>IF(
(AND('(直掃)RX Mapping'!R34&gt;=0,'(直掃)RX Mapping'!R34&lt;=480)),
(MOD('(直掃)RX Mapping'!R34,120)-1),
IF(
(AND('(直掃)RX Mapping'!R34&gt;=480,'(直掃)RX Mapping'!R34&lt;=960)),
IF(MOD('(直掃)RX Mapping'!R34,120)=0, 120, 240-MOD('(直掃)RX Mapping'!R34,120)),9999))+IF(AND(MOD('(直掃)RX Mapping'!R34,120)=0, '(直掃)RX Mapping'!R34 &lt;= 480,  '(直掃)RX Mapping'!R34 &gt; 0), 120)</f>
        <v>-1</v>
      </c>
      <c r="S34">
        <f>IF(
(AND('(直掃)RX Mapping'!S34&gt;=0,'(直掃)RX Mapping'!S34&lt;=480)),
(MOD('(直掃)RX Mapping'!S34,120)-1),
IF(
(AND('(直掃)RX Mapping'!S34&gt;=480,'(直掃)RX Mapping'!S34&lt;=960)),
IF(MOD('(直掃)RX Mapping'!S34,120)=0, 120, 240-MOD('(直掃)RX Mapping'!S34,120)),9999))+IF(AND(MOD('(直掃)RX Mapping'!S34,120)=0, '(直掃)RX Mapping'!S34 &lt;= 480,  '(直掃)RX Mapping'!S34 &gt; 0), 120)</f>
        <v>-1</v>
      </c>
      <c r="T34">
        <f>IF(
(AND('(直掃)RX Mapping'!T34&gt;=0,'(直掃)RX Mapping'!T34&lt;=480)),
(MOD('(直掃)RX Mapping'!T34,120)-1),
IF(
(AND('(直掃)RX Mapping'!T34&gt;=480,'(直掃)RX Mapping'!T34&lt;=960)),
IF(MOD('(直掃)RX Mapping'!T34,120)=0, 120, 240-MOD('(直掃)RX Mapping'!T34,120)),9999))+IF(AND(MOD('(直掃)RX Mapping'!T34,120)=0, '(直掃)RX Mapping'!T34 &lt;= 480,  '(直掃)RX Mapping'!T34 &gt; 0), 120)</f>
        <v>-1</v>
      </c>
      <c r="U34">
        <f>IF(
(AND('(直掃)RX Mapping'!U34&gt;=0,'(直掃)RX Mapping'!U34&lt;=480)),
(MOD('(直掃)RX Mapping'!U34,120)-1),
IF(
(AND('(直掃)RX Mapping'!U34&gt;=480,'(直掃)RX Mapping'!U34&lt;=960)),
IF(MOD('(直掃)RX Mapping'!U34,120)=0, 120, 240-MOD('(直掃)RX Mapping'!U34,120)),9999))+IF(AND(MOD('(直掃)RX Mapping'!U34,120)=0, '(直掃)RX Mapping'!U34 &lt;= 480,  '(直掃)RX Mapping'!U34 &gt; 0), 120)</f>
        <v>-1</v>
      </c>
      <c r="V34">
        <f>IF(
(AND('(直掃)RX Mapping'!V34&gt;=0,'(直掃)RX Mapping'!V34&lt;=480)),
(MOD('(直掃)RX Mapping'!V34,120)-1),
IF(
(AND('(直掃)RX Mapping'!V34&gt;=480,'(直掃)RX Mapping'!V34&lt;=960)),
IF(MOD('(直掃)RX Mapping'!V34,120)=0, 120, 240-MOD('(直掃)RX Mapping'!V34,120)),9999))+IF(AND(MOD('(直掃)RX Mapping'!V34,120)=0, '(直掃)RX Mapping'!V34 &lt;= 480,  '(直掃)RX Mapping'!V34 &gt; 0), 120)</f>
        <v>-1</v>
      </c>
      <c r="W34">
        <f>IF(
(AND('(直掃)RX Mapping'!W34&gt;=0,'(直掃)RX Mapping'!W34&lt;=480)),
(MOD('(直掃)RX Mapping'!W34,120)-1),
IF(
(AND('(直掃)RX Mapping'!W34&gt;=480,'(直掃)RX Mapping'!W34&lt;=960)),
IF(MOD('(直掃)RX Mapping'!W34,120)=0, 120, 240-MOD('(直掃)RX Mapping'!W34,120)),9999))+IF(AND(MOD('(直掃)RX Mapping'!W34,120)=0, '(直掃)RX Mapping'!W34 &lt;= 480,  '(直掃)RX Mapping'!W34 &gt; 0), 120)</f>
        <v>-1</v>
      </c>
      <c r="X34">
        <f>IF(
(AND('(直掃)RX Mapping'!X34&gt;=0,'(直掃)RX Mapping'!X34&lt;=480)),
(MOD('(直掃)RX Mapping'!X34,120)-1),
IF(
(AND('(直掃)RX Mapping'!X34&gt;=480,'(直掃)RX Mapping'!X34&lt;=960)),
IF(MOD('(直掃)RX Mapping'!X34,120)=0, 120, 240-MOD('(直掃)RX Mapping'!X34,120)),9999))+IF(AND(MOD('(直掃)RX Mapping'!X34,120)=0, '(直掃)RX Mapping'!X34 &lt;= 480,  '(直掃)RX Mapping'!X34 &gt; 0), 120)</f>
        <v>-1</v>
      </c>
      <c r="Y34">
        <f>IF(
(AND('(直掃)RX Mapping'!Y34&gt;=0,'(直掃)RX Mapping'!Y34&lt;=480)),
(MOD('(直掃)RX Mapping'!Y34,120)-1),
IF(
(AND('(直掃)RX Mapping'!Y34&gt;=480,'(直掃)RX Mapping'!Y34&lt;=960)),
IF(MOD('(直掃)RX Mapping'!Y34,120)=0, 120, 240-MOD('(直掃)RX Mapping'!Y34,120)),9999))+IF(AND(MOD('(直掃)RX Mapping'!Y34,120)=0, '(直掃)RX Mapping'!Y34 &lt;= 480,  '(直掃)RX Mapping'!Y34 &gt; 0), 120)</f>
        <v>-1</v>
      </c>
      <c r="Z34">
        <f>IF(
(AND('(直掃)RX Mapping'!Z34&gt;=0,'(直掃)RX Mapping'!Z34&lt;=480)),
(MOD('(直掃)RX Mapping'!Z34,120)-1),
IF(
(AND('(直掃)RX Mapping'!Z34&gt;=480,'(直掃)RX Mapping'!Z34&lt;=960)),
IF(MOD('(直掃)RX Mapping'!Z34,120)=0, 120, 240-MOD('(直掃)RX Mapping'!Z34,120)),9999))+IF(AND(MOD('(直掃)RX Mapping'!Z34,120)=0, '(直掃)RX Mapping'!Z34 &lt;= 480,  '(直掃)RX Mapping'!Z34 &gt; 0), 120)</f>
        <v>-1</v>
      </c>
      <c r="AA34">
        <f>IF(
(AND('(直掃)RX Mapping'!AA34&gt;=0,'(直掃)RX Mapping'!AA34&lt;=480)),
(MOD('(直掃)RX Mapping'!AA34,120)-1),
IF(
(AND('(直掃)RX Mapping'!AA34&gt;=480,'(直掃)RX Mapping'!AA34&lt;=960)),
IF(MOD('(直掃)RX Mapping'!AA34,120)=0, 120, 240-MOD('(直掃)RX Mapping'!AA34,120)),9999))+IF(AND(MOD('(直掃)RX Mapping'!AA34,120)=0, '(直掃)RX Mapping'!AA34 &lt;= 480,  '(直掃)RX Mapping'!AA34 &gt; 0), 120)</f>
        <v>-1</v>
      </c>
      <c r="AB34">
        <f>IF(
(AND('(直掃)RX Mapping'!AB34&gt;=0,'(直掃)RX Mapping'!AB34&lt;=480)),
(MOD('(直掃)RX Mapping'!AB34,120)-1),
IF(
(AND('(直掃)RX Mapping'!AB34&gt;=480,'(直掃)RX Mapping'!AB34&lt;=960)),
IF(MOD('(直掃)RX Mapping'!AB34,120)=0, 120, 240-MOD('(直掃)RX Mapping'!AB34,120)),9999))+IF(AND(MOD('(直掃)RX Mapping'!AB34,120)=0, '(直掃)RX Mapping'!AB34 &lt;= 480,  '(直掃)RX Mapping'!AB34 &gt; 0), 120)</f>
        <v>-1</v>
      </c>
      <c r="AC34">
        <f>IF(
(AND('(直掃)RX Mapping'!AC34&gt;=0,'(直掃)RX Mapping'!AC34&lt;=480)),
(MOD('(直掃)RX Mapping'!AC34,120)-1),
IF(
(AND('(直掃)RX Mapping'!AC34&gt;=480,'(直掃)RX Mapping'!AC34&lt;=960)),
IF(MOD('(直掃)RX Mapping'!AC34,120)=0, 120, 240-MOD('(直掃)RX Mapping'!AC34,120)),9999))+IF(AND(MOD('(直掃)RX Mapping'!AC34,120)=0, '(直掃)RX Mapping'!AC34 &lt;= 480,  '(直掃)RX Mapping'!AC34 &gt; 0), 120)</f>
        <v>-1</v>
      </c>
      <c r="AD34">
        <f>IF(
(AND('(直掃)RX Mapping'!AD34&gt;=0,'(直掃)RX Mapping'!AD34&lt;=480)),
(MOD('(直掃)RX Mapping'!AD34,120)-1),
IF(
(AND('(直掃)RX Mapping'!AD34&gt;=480,'(直掃)RX Mapping'!AD34&lt;=960)),
IF(MOD('(直掃)RX Mapping'!AD34,120)=0, 120, 240-MOD('(直掃)RX Mapping'!AD34,120)),9999))+IF(AND(MOD('(直掃)RX Mapping'!AD34,120)=0, '(直掃)RX Mapping'!AD34 &lt;= 480,  '(直掃)RX Mapping'!AD34 &gt; 0), 120)</f>
        <v>-1</v>
      </c>
      <c r="AE34">
        <f>IF(
(AND('(直掃)RX Mapping'!AE34&gt;=0,'(直掃)RX Mapping'!AE34&lt;=480)),
(MOD('(直掃)RX Mapping'!AE34,120)-1),
IF(
(AND('(直掃)RX Mapping'!AE34&gt;=480,'(直掃)RX Mapping'!AE34&lt;=960)),
IF(MOD('(直掃)RX Mapping'!AE34,120)=0, 120, 240-MOD('(直掃)RX Mapping'!AE34,120)),9999))+IF(AND(MOD('(直掃)RX Mapping'!AE34,120)=0, '(直掃)RX Mapping'!AE34 &lt;= 480,  '(直掃)RX Mapping'!AE34 &gt; 0), 120)</f>
        <v>-1</v>
      </c>
      <c r="AF34">
        <f>IF(
(AND('(直掃)RX Mapping'!AF34&gt;=0,'(直掃)RX Mapping'!AF34&lt;=480)),
(MOD('(直掃)RX Mapping'!AF34,120)-1),
IF(
(AND('(直掃)RX Mapping'!AF34&gt;=480,'(直掃)RX Mapping'!AF34&lt;=960)),
IF(MOD('(直掃)RX Mapping'!AF34,120)=0, 120, 240-MOD('(直掃)RX Mapping'!AF34,120)),9999))+IF(AND(MOD('(直掃)RX Mapping'!AF34,120)=0, '(直掃)RX Mapping'!AF34 &lt;= 480,  '(直掃)RX Mapping'!AF34 &gt; 0), 120)</f>
        <v>-1</v>
      </c>
      <c r="AG34">
        <f>IF(
(AND('(直掃)RX Mapping'!AG34&gt;=0,'(直掃)RX Mapping'!AG34&lt;=480)),
(MOD('(直掃)RX Mapping'!AG34,120)-1),
IF(
(AND('(直掃)RX Mapping'!AG34&gt;=480,'(直掃)RX Mapping'!AG34&lt;=960)),
IF(MOD('(直掃)RX Mapping'!AG34,120)=0, 120, 240-MOD('(直掃)RX Mapping'!AG34,120)),9999))+IF(AND(MOD('(直掃)RX Mapping'!AG34,120)=0, '(直掃)RX Mapping'!AG34 &lt;= 480,  '(直掃)RX Mapping'!AG34 &gt; 0), 120)</f>
        <v>-1</v>
      </c>
      <c r="AH34">
        <f>IF(
(AND('(直掃)RX Mapping'!AH34&gt;=0,'(直掃)RX Mapping'!AH34&lt;=480)),
(MOD('(直掃)RX Mapping'!AH34,120)-1),
IF(
(AND('(直掃)RX Mapping'!AH34&gt;=480,'(直掃)RX Mapping'!AH34&lt;=960)),
IF(MOD('(直掃)RX Mapping'!AH34,120)=0, 120, 240-MOD('(直掃)RX Mapping'!AH34,120)),9999))+IF(AND(MOD('(直掃)RX Mapping'!AH34,120)=0, '(直掃)RX Mapping'!AH34 &lt;= 480,  '(直掃)RX Mapping'!AH34 &gt; 0), 120)</f>
        <v>-1</v>
      </c>
      <c r="AI34">
        <f>IF(
(AND('(直掃)RX Mapping'!AI34&gt;=0,'(直掃)RX Mapping'!AI34&lt;=480)),
(MOD('(直掃)RX Mapping'!AI34,120)-1),
IF(
(AND('(直掃)RX Mapping'!AI34&gt;=480,'(直掃)RX Mapping'!AI34&lt;=960)),
IF(MOD('(直掃)RX Mapping'!AI34,120)=0, 120, 240-MOD('(直掃)RX Mapping'!AI34,120)),9999))+IF(AND(MOD('(直掃)RX Mapping'!AI34,120)=0, '(直掃)RX Mapping'!AI34 &lt;= 480,  '(直掃)RX Mapping'!AI34 &gt; 0), 120)</f>
        <v>-1</v>
      </c>
      <c r="AJ34">
        <f>IF(
(AND('(直掃)RX Mapping'!AJ34&gt;=0,'(直掃)RX Mapping'!AJ34&lt;=480)),
(MOD('(直掃)RX Mapping'!AJ34,120)-1),
IF(
(AND('(直掃)RX Mapping'!AJ34&gt;=480,'(直掃)RX Mapping'!AJ34&lt;=960)),
IF(MOD('(直掃)RX Mapping'!AJ34,120)=0, 120, 240-MOD('(直掃)RX Mapping'!AJ34,120)),9999))+IF(AND(MOD('(直掃)RX Mapping'!AJ34,120)=0, '(直掃)RX Mapping'!AJ34 &lt;= 480,  '(直掃)RX Mapping'!AJ34 &gt; 0), 120)</f>
        <v>-1</v>
      </c>
      <c r="AK34">
        <f>IF(
(AND('(直掃)RX Mapping'!AK34&gt;=0,'(直掃)RX Mapping'!AK34&lt;=480)),
(MOD('(直掃)RX Mapping'!AK34,120)-1),
IF(
(AND('(直掃)RX Mapping'!AK34&gt;=480,'(直掃)RX Mapping'!AK34&lt;=960)),
IF(MOD('(直掃)RX Mapping'!AK34,120)=0, 120, 240-MOD('(直掃)RX Mapping'!AK34,120)),9999))+IF(AND(MOD('(直掃)RX Mapping'!AK34,120)=0, '(直掃)RX Mapping'!AK34 &lt;= 480,  '(直掃)RX Mapping'!AK34 &gt; 0), 120)</f>
        <v>-1</v>
      </c>
      <c r="AL34">
        <f>IF(
(AND('(直掃)RX Mapping'!AL34&gt;=0,'(直掃)RX Mapping'!AL34&lt;=480)),
(MOD('(直掃)RX Mapping'!AL34,120)-1),
IF(
(AND('(直掃)RX Mapping'!AL34&gt;=480,'(直掃)RX Mapping'!AL34&lt;=960)),
IF(MOD('(直掃)RX Mapping'!AL34,120)=0, 120, 240-MOD('(直掃)RX Mapping'!AL34,120)),9999))+IF(AND(MOD('(直掃)RX Mapping'!AL34,120)=0, '(直掃)RX Mapping'!AL34 &lt;= 480,  '(直掃)RX Mapping'!AL34 &gt; 0), 120)</f>
        <v>-1</v>
      </c>
      <c r="AM34">
        <f>IF(
(AND('(直掃)RX Mapping'!AM34&gt;=0,'(直掃)RX Mapping'!AM34&lt;=480)),
(MOD('(直掃)RX Mapping'!AM34,120)-1),
IF(
(AND('(直掃)RX Mapping'!AM34&gt;=480,'(直掃)RX Mapping'!AM34&lt;=960)),
IF(MOD('(直掃)RX Mapping'!AM34,120)=0, 120, 240-MOD('(直掃)RX Mapping'!AM34,120)),9999))+IF(AND(MOD('(直掃)RX Mapping'!AM34,120)=0, '(直掃)RX Mapping'!AM34 &lt;= 480,  '(直掃)RX Mapping'!AM34 &gt; 0), 120)</f>
        <v>-1</v>
      </c>
      <c r="AN34">
        <f>IF(
(AND('(直掃)RX Mapping'!AN34&gt;=0,'(直掃)RX Mapping'!AN34&lt;=480)),
(MOD('(直掃)RX Mapping'!AN34,120)-1),
IF(
(AND('(直掃)RX Mapping'!AN34&gt;=480,'(直掃)RX Mapping'!AN34&lt;=960)),
IF(MOD('(直掃)RX Mapping'!AN34,120)=0, 120, 240-MOD('(直掃)RX Mapping'!AN34,120)),9999))+IF(AND(MOD('(直掃)RX Mapping'!AN34,120)=0, '(直掃)RX Mapping'!AN34 &lt;= 480,  '(直掃)RX Mapping'!AN34 &gt; 0), 120)</f>
        <v>-1</v>
      </c>
      <c r="AO34">
        <f>IF(
(AND('(直掃)RX Mapping'!AO34&gt;=0,'(直掃)RX Mapping'!AO34&lt;=480)),
(MOD('(直掃)RX Mapping'!AO34,120)-1),
IF(
(AND('(直掃)RX Mapping'!AO34&gt;=480,'(直掃)RX Mapping'!AO34&lt;=960)),
IF(MOD('(直掃)RX Mapping'!AO34,120)=0, 120, 240-MOD('(直掃)RX Mapping'!AO34,120)),9999))+IF(AND(MOD('(直掃)RX Mapping'!AO34,120)=0, '(直掃)RX Mapping'!AO34 &lt;= 480,  '(直掃)RX Mapping'!AO34 &gt; 0), 120)</f>
        <v>-1</v>
      </c>
      <c r="AP34">
        <f>IF(
(AND('(直掃)RX Mapping'!AP34&gt;=0,'(直掃)RX Mapping'!AP34&lt;=480)),
(MOD('(直掃)RX Mapping'!AP34,120)-1),
IF(
(AND('(直掃)RX Mapping'!AP34&gt;=480,'(直掃)RX Mapping'!AP34&lt;=960)),
IF(MOD('(直掃)RX Mapping'!AP34,120)=0, 120, 240-MOD('(直掃)RX Mapping'!AP34,120)),9999))+IF(AND(MOD('(直掃)RX Mapping'!AP34,120)=0, '(直掃)RX Mapping'!AP34 &lt;= 480,  '(直掃)RX Mapping'!AP34 &gt; 0), 120)</f>
        <v>-1</v>
      </c>
      <c r="AQ34">
        <f>IF(
(AND('(直掃)RX Mapping'!AQ34&gt;=0,'(直掃)RX Mapping'!AQ34&lt;=480)),
(MOD('(直掃)RX Mapping'!AQ34,120)-1),
IF(
(AND('(直掃)RX Mapping'!AQ34&gt;=480,'(直掃)RX Mapping'!AQ34&lt;=960)),
IF(MOD('(直掃)RX Mapping'!AQ34,120)=0, 120, 240-MOD('(直掃)RX Mapping'!AQ34,120)),9999))+IF(AND(MOD('(直掃)RX Mapping'!AQ34,120)=0, '(直掃)RX Mapping'!AQ34 &lt;= 480,  '(直掃)RX Mapping'!AQ34 &gt; 0), 120)</f>
        <v>-1</v>
      </c>
      <c r="AR34">
        <f>IF(
(AND('(直掃)RX Mapping'!AR34&gt;=0,'(直掃)RX Mapping'!AR34&lt;=480)),
(MOD('(直掃)RX Mapping'!AR34,120)-1),
IF(
(AND('(直掃)RX Mapping'!AR34&gt;=480,'(直掃)RX Mapping'!AR34&lt;=960)),
IF(MOD('(直掃)RX Mapping'!AR34,120)=0, 120, 240-MOD('(直掃)RX Mapping'!AR34,120)),9999))+IF(AND(MOD('(直掃)RX Mapping'!AR34,120)=0, '(直掃)RX Mapping'!AR34 &lt;= 480,  '(直掃)RX Mapping'!AR34 &gt; 0), 120)</f>
        <v>-1</v>
      </c>
      <c r="AS34">
        <f>IF(
(AND('(直掃)RX Mapping'!AS34&gt;=0,'(直掃)RX Mapping'!AS34&lt;=480)),
(MOD('(直掃)RX Mapping'!AS34,120)-1),
IF(
(AND('(直掃)RX Mapping'!AS34&gt;=480,'(直掃)RX Mapping'!AS34&lt;=960)),
IF(MOD('(直掃)RX Mapping'!AS34,120)=0, 120, 240-MOD('(直掃)RX Mapping'!AS34,120)),9999))+IF(AND(MOD('(直掃)RX Mapping'!AS34,120)=0, '(直掃)RX Mapping'!AS34 &lt;= 480,  '(直掃)RX Mapping'!AS34 &gt; 0), 120)</f>
        <v>-1</v>
      </c>
      <c r="AT34">
        <f>IF(AND('(橫掃)RX Mapping'!AT34&gt;=1,'(橫掃)RX Mapping'!AT34&lt;=120), ('(橫掃)RX Mapping'!AT34-1),IF(AND('(橫掃)RX Mapping'!AT34&gt;=121,'(橫掃)RX Mapping'!AT34&lt;=240), (-1)*('(橫掃)RX Mapping'!AT34-240),IF(AND('(橫掃)RX Mapping'!AT34&gt;=241,'(橫掃)RX Mapping'!AT34&lt;=360), ('(橫掃)RX Mapping'!AT34-241),IF(AND('(橫掃)RX Mapping'!AT34&gt;=361,'(橫掃)RX Mapping'!AT34&lt;=480), (-1)*('(橫掃)RX Mapping'!AT34-480),IF(AND('(橫掃)RX Mapping'!AT34&gt;=481,'(橫掃)RX Mapping'!AT34&lt;=600), ('(橫掃)RX Mapping'!AT34-361),IF(AND('(橫掃)RX Mapping'!AT34&gt;=601,'(橫掃)RX Mapping'!AT34&lt;=720), (-1)*('(橫掃)RX Mapping'!AT34-720)+120,IF(AND('(橫掃)RX Mapping'!AT34&gt;=721,'(橫掃)RX Mapping'!AT34&lt;=840), ('(橫掃)RX Mapping'!AT34-601),IF(AND('(橫掃)RX Mapping'!AT34&gt;=841,'(橫掃)RX Mapping'!AT34&lt;=960), (-1)*('(橫掃)RX Mapping'!AT34-960)+120,9999))))))))</f>
        <v>9999</v>
      </c>
      <c r="AU34">
        <f>IF(AND('(橫掃)RX Mapping'!AU34&gt;=1,'(橫掃)RX Mapping'!AU34&lt;=120), ('(橫掃)RX Mapping'!AU34-1),IF(AND('(橫掃)RX Mapping'!AU34&gt;=121,'(橫掃)RX Mapping'!AU34&lt;=240), (-1)*('(橫掃)RX Mapping'!AU34-240),IF(AND('(橫掃)RX Mapping'!AU34&gt;=241,'(橫掃)RX Mapping'!AU34&lt;=360), ('(橫掃)RX Mapping'!AU34-241),IF(AND('(橫掃)RX Mapping'!AU34&gt;=361,'(橫掃)RX Mapping'!AU34&lt;=480), (-1)*('(橫掃)RX Mapping'!AU34-480),IF(AND('(橫掃)RX Mapping'!AU34&gt;=481,'(橫掃)RX Mapping'!AU34&lt;=600), ('(橫掃)RX Mapping'!AU34-361),IF(AND('(橫掃)RX Mapping'!AU34&gt;=601,'(橫掃)RX Mapping'!AU34&lt;=720), (-1)*('(橫掃)RX Mapping'!AU34-720)+120,IF(AND('(橫掃)RX Mapping'!AU34&gt;=721,'(橫掃)RX Mapping'!AU34&lt;=840), ('(橫掃)RX Mapping'!AU34-601),IF(AND('(橫掃)RX Mapping'!AU34&gt;=841,'(橫掃)RX Mapping'!AU34&lt;=960), (-1)*('(橫掃)RX Mapping'!AU34-960)+120,9999))))))))</f>
        <v>9999</v>
      </c>
      <c r="AV34">
        <f>IF(AND('(橫掃)RX Mapping'!AV34&gt;=1,'(橫掃)RX Mapping'!AV34&lt;=120), ('(橫掃)RX Mapping'!AV34-1),IF(AND('(橫掃)RX Mapping'!AV34&gt;=121,'(橫掃)RX Mapping'!AV34&lt;=240), (-1)*('(橫掃)RX Mapping'!AV34-240),IF(AND('(橫掃)RX Mapping'!AV34&gt;=241,'(橫掃)RX Mapping'!AV34&lt;=360), ('(橫掃)RX Mapping'!AV34-241),IF(AND('(橫掃)RX Mapping'!AV34&gt;=361,'(橫掃)RX Mapping'!AV34&lt;=480), (-1)*('(橫掃)RX Mapping'!AV34-480),IF(AND('(橫掃)RX Mapping'!AV34&gt;=481,'(橫掃)RX Mapping'!AV34&lt;=600), ('(橫掃)RX Mapping'!AV34-361),IF(AND('(橫掃)RX Mapping'!AV34&gt;=601,'(橫掃)RX Mapping'!AV34&lt;=720), (-1)*('(橫掃)RX Mapping'!AV34-720)+120,IF(AND('(橫掃)RX Mapping'!AV34&gt;=721,'(橫掃)RX Mapping'!AV34&lt;=840), ('(橫掃)RX Mapping'!AV34-601),IF(AND('(橫掃)RX Mapping'!AV34&gt;=841,'(橫掃)RX Mapping'!AV34&lt;=960), (-1)*('(橫掃)RX Mapping'!AV34-960)+120,9999))))))))</f>
        <v>9999</v>
      </c>
      <c r="AW34">
        <f>IF(AND('(橫掃)RX Mapping'!AW34&gt;=1,'(橫掃)RX Mapping'!AW34&lt;=120), ('(橫掃)RX Mapping'!AW34-1),IF(AND('(橫掃)RX Mapping'!AW34&gt;=121,'(橫掃)RX Mapping'!AW34&lt;=240), (-1)*('(橫掃)RX Mapping'!AW34-240),IF(AND('(橫掃)RX Mapping'!AW34&gt;=241,'(橫掃)RX Mapping'!AW34&lt;=360), ('(橫掃)RX Mapping'!AW34-241),IF(AND('(橫掃)RX Mapping'!AW34&gt;=361,'(橫掃)RX Mapping'!AW34&lt;=480), (-1)*('(橫掃)RX Mapping'!AW34-480),IF(AND('(橫掃)RX Mapping'!AW34&gt;=481,'(橫掃)RX Mapping'!AW34&lt;=600), ('(橫掃)RX Mapping'!AW34-361),IF(AND('(橫掃)RX Mapping'!AW34&gt;=601,'(橫掃)RX Mapping'!AW34&lt;=720), (-1)*('(橫掃)RX Mapping'!AW34-720)+120,IF(AND('(橫掃)RX Mapping'!AW34&gt;=721,'(橫掃)RX Mapping'!AW34&lt;=840), ('(橫掃)RX Mapping'!AW34-601),IF(AND('(橫掃)RX Mapping'!AW34&gt;=841,'(橫掃)RX Mapping'!AW34&lt;=960), (-1)*('(橫掃)RX Mapping'!AW34-960)+120,9999))))))))</f>
        <v>9999</v>
      </c>
      <c r="AX34">
        <f>IF(AND('(橫掃)RX Mapping'!AX34&gt;=1,'(橫掃)RX Mapping'!AX34&lt;=120), ('(橫掃)RX Mapping'!AX34-1),IF(AND('(橫掃)RX Mapping'!AX34&gt;=121,'(橫掃)RX Mapping'!AX34&lt;=240), (-1)*('(橫掃)RX Mapping'!AX34-240),IF(AND('(橫掃)RX Mapping'!AX34&gt;=241,'(橫掃)RX Mapping'!AX34&lt;=360), ('(橫掃)RX Mapping'!AX34-241),IF(AND('(橫掃)RX Mapping'!AX34&gt;=361,'(橫掃)RX Mapping'!AX34&lt;=480), (-1)*('(橫掃)RX Mapping'!AX34-480),IF(AND('(橫掃)RX Mapping'!AX34&gt;=481,'(橫掃)RX Mapping'!AX34&lt;=600), ('(橫掃)RX Mapping'!AX34-361),IF(AND('(橫掃)RX Mapping'!AX34&gt;=601,'(橫掃)RX Mapping'!AX34&lt;=720), (-1)*('(橫掃)RX Mapping'!AX34-720)+120,IF(AND('(橫掃)RX Mapping'!AX34&gt;=721,'(橫掃)RX Mapping'!AX34&lt;=840), ('(橫掃)RX Mapping'!AX34-601),IF(AND('(橫掃)RX Mapping'!AX34&gt;=841,'(橫掃)RX Mapping'!AX34&lt;=960), (-1)*('(橫掃)RX Mapping'!AX34-960)+120,9999))))))))</f>
        <v>9999</v>
      </c>
      <c r="AY34">
        <f>IF(AND('(橫掃)RX Mapping'!AY34&gt;=1,'(橫掃)RX Mapping'!AY34&lt;=120), ('(橫掃)RX Mapping'!AY34-1),IF(AND('(橫掃)RX Mapping'!AY34&gt;=121,'(橫掃)RX Mapping'!AY34&lt;=240), (-1)*('(橫掃)RX Mapping'!AY34-240),IF(AND('(橫掃)RX Mapping'!AY34&gt;=241,'(橫掃)RX Mapping'!AY34&lt;=360), ('(橫掃)RX Mapping'!AY34-241),IF(AND('(橫掃)RX Mapping'!AY34&gt;=361,'(橫掃)RX Mapping'!AY34&lt;=480), (-1)*('(橫掃)RX Mapping'!AY34-480),IF(AND('(橫掃)RX Mapping'!AY34&gt;=481,'(橫掃)RX Mapping'!AY34&lt;=600), ('(橫掃)RX Mapping'!AY34-361),IF(AND('(橫掃)RX Mapping'!AY34&gt;=601,'(橫掃)RX Mapping'!AY34&lt;=720), (-1)*('(橫掃)RX Mapping'!AY34-720)+120,IF(AND('(橫掃)RX Mapping'!AY34&gt;=721,'(橫掃)RX Mapping'!AY34&lt;=840), ('(橫掃)RX Mapping'!AY34-601),IF(AND('(橫掃)RX Mapping'!AY34&gt;=841,'(橫掃)RX Mapping'!AY34&lt;=960), (-1)*('(橫掃)RX Mapping'!AY34-960)+120,9999))))))))</f>
        <v>9999</v>
      </c>
      <c r="AZ34">
        <f>IF(AND('(橫掃)RX Mapping'!AZ34&gt;=1,'(橫掃)RX Mapping'!AZ34&lt;=120), ('(橫掃)RX Mapping'!AZ34-1),IF(AND('(橫掃)RX Mapping'!AZ34&gt;=121,'(橫掃)RX Mapping'!AZ34&lt;=240), (-1)*('(橫掃)RX Mapping'!AZ34-240),IF(AND('(橫掃)RX Mapping'!AZ34&gt;=241,'(橫掃)RX Mapping'!AZ34&lt;=360), ('(橫掃)RX Mapping'!AZ34-241),IF(AND('(橫掃)RX Mapping'!AZ34&gt;=361,'(橫掃)RX Mapping'!AZ34&lt;=480), (-1)*('(橫掃)RX Mapping'!AZ34-480),IF(AND('(橫掃)RX Mapping'!AZ34&gt;=481,'(橫掃)RX Mapping'!AZ34&lt;=600), ('(橫掃)RX Mapping'!AZ34-361),IF(AND('(橫掃)RX Mapping'!AZ34&gt;=601,'(橫掃)RX Mapping'!AZ34&lt;=720), (-1)*('(橫掃)RX Mapping'!AZ34-720)+120,IF(AND('(橫掃)RX Mapping'!AZ34&gt;=721,'(橫掃)RX Mapping'!AZ34&lt;=840), ('(橫掃)RX Mapping'!AZ34-601),IF(AND('(橫掃)RX Mapping'!AZ34&gt;=841,'(橫掃)RX Mapping'!AZ34&lt;=960), (-1)*('(橫掃)RX Mapping'!AZ34-960)+120,9999))))))))</f>
        <v>9999</v>
      </c>
      <c r="BA34">
        <f>IF(AND('(橫掃)RX Mapping'!BA34&gt;=1,'(橫掃)RX Mapping'!BA34&lt;=120), ('(橫掃)RX Mapping'!BA34-1),IF(AND('(橫掃)RX Mapping'!BA34&gt;=121,'(橫掃)RX Mapping'!BA34&lt;=240), (-1)*('(橫掃)RX Mapping'!BA34-240),IF(AND('(橫掃)RX Mapping'!BA34&gt;=241,'(橫掃)RX Mapping'!BA34&lt;=360), ('(橫掃)RX Mapping'!BA34-241),IF(AND('(橫掃)RX Mapping'!BA34&gt;=361,'(橫掃)RX Mapping'!BA34&lt;=480), (-1)*('(橫掃)RX Mapping'!BA34-480),IF(AND('(橫掃)RX Mapping'!BA34&gt;=481,'(橫掃)RX Mapping'!BA34&lt;=600), ('(橫掃)RX Mapping'!BA34-361),IF(AND('(橫掃)RX Mapping'!BA34&gt;=601,'(橫掃)RX Mapping'!BA34&lt;=720), (-1)*('(橫掃)RX Mapping'!BA34-720)+120,IF(AND('(橫掃)RX Mapping'!BA34&gt;=721,'(橫掃)RX Mapping'!BA34&lt;=840), ('(橫掃)RX Mapping'!BA34-601),IF(AND('(橫掃)RX Mapping'!BA34&gt;=841,'(橫掃)RX Mapping'!BA34&lt;=960), (-1)*('(橫掃)RX Mapping'!BA34-960)+120,9999))))))))</f>
        <v>9999</v>
      </c>
      <c r="BB34">
        <f>IF(AND('(橫掃)RX Mapping'!BB34&gt;=1,'(橫掃)RX Mapping'!BB34&lt;=120), ('(橫掃)RX Mapping'!BB34-1),IF(AND('(橫掃)RX Mapping'!BB34&gt;=121,'(橫掃)RX Mapping'!BB34&lt;=240), (-1)*('(橫掃)RX Mapping'!BB34-240),IF(AND('(橫掃)RX Mapping'!BB34&gt;=241,'(橫掃)RX Mapping'!BB34&lt;=360), ('(橫掃)RX Mapping'!BB34-241),IF(AND('(橫掃)RX Mapping'!BB34&gt;=361,'(橫掃)RX Mapping'!BB34&lt;=480), (-1)*('(橫掃)RX Mapping'!BB34-480),IF(AND('(橫掃)RX Mapping'!BB34&gt;=481,'(橫掃)RX Mapping'!BB34&lt;=600), ('(橫掃)RX Mapping'!BB34-361),IF(AND('(橫掃)RX Mapping'!BB34&gt;=601,'(橫掃)RX Mapping'!BB34&lt;=720), (-1)*('(橫掃)RX Mapping'!BB34-720)+120,IF(AND('(橫掃)RX Mapping'!BB34&gt;=721,'(橫掃)RX Mapping'!BB34&lt;=840), ('(橫掃)RX Mapping'!BB34-601),IF(AND('(橫掃)RX Mapping'!BB34&gt;=841,'(橫掃)RX Mapping'!BB34&lt;=960), (-1)*('(橫掃)RX Mapping'!BB34-960)+120,9999))))))))</f>
        <v>9999</v>
      </c>
      <c r="BC34">
        <f>IF(AND('(橫掃)RX Mapping'!BC34&gt;=1,'(橫掃)RX Mapping'!BC34&lt;=120), ('(橫掃)RX Mapping'!BC34-1),IF(AND('(橫掃)RX Mapping'!BC34&gt;=121,'(橫掃)RX Mapping'!BC34&lt;=240), (-1)*('(橫掃)RX Mapping'!BC34-240),IF(AND('(橫掃)RX Mapping'!BC34&gt;=241,'(橫掃)RX Mapping'!BC34&lt;=360), ('(橫掃)RX Mapping'!BC34-241),IF(AND('(橫掃)RX Mapping'!BC34&gt;=361,'(橫掃)RX Mapping'!BC34&lt;=480), (-1)*('(橫掃)RX Mapping'!BC34-480),IF(AND('(橫掃)RX Mapping'!BC34&gt;=481,'(橫掃)RX Mapping'!BC34&lt;=600), ('(橫掃)RX Mapping'!BC34-361),IF(AND('(橫掃)RX Mapping'!BC34&gt;=601,'(橫掃)RX Mapping'!BC34&lt;=720), (-1)*('(橫掃)RX Mapping'!BC34-720)+120,IF(AND('(橫掃)RX Mapping'!BC34&gt;=721,'(橫掃)RX Mapping'!BC34&lt;=840), ('(橫掃)RX Mapping'!BC34-601),IF(AND('(橫掃)RX Mapping'!BC34&gt;=841,'(橫掃)RX Mapping'!BC34&lt;=960), (-1)*('(橫掃)RX Mapping'!BC34-960)+120,9999))))))))</f>
        <v>9999</v>
      </c>
      <c r="BD34">
        <f>IF(AND('(橫掃)RX Mapping'!BD34&gt;=1,'(橫掃)RX Mapping'!BD34&lt;=120), ('(橫掃)RX Mapping'!BD34-1),IF(AND('(橫掃)RX Mapping'!BD34&gt;=121,'(橫掃)RX Mapping'!BD34&lt;=240), (-1)*('(橫掃)RX Mapping'!BD34-240),IF(AND('(橫掃)RX Mapping'!BD34&gt;=241,'(橫掃)RX Mapping'!BD34&lt;=360), ('(橫掃)RX Mapping'!BD34-241),IF(AND('(橫掃)RX Mapping'!BD34&gt;=361,'(橫掃)RX Mapping'!BD34&lt;=480), (-1)*('(橫掃)RX Mapping'!BD34-480),IF(AND('(橫掃)RX Mapping'!BD34&gt;=481,'(橫掃)RX Mapping'!BD34&lt;=600), ('(橫掃)RX Mapping'!BD34-361),IF(AND('(橫掃)RX Mapping'!BD34&gt;=601,'(橫掃)RX Mapping'!BD34&lt;=720), (-1)*('(橫掃)RX Mapping'!BD34-720)+120,IF(AND('(橫掃)RX Mapping'!BD34&gt;=721,'(橫掃)RX Mapping'!BD34&lt;=840), ('(橫掃)RX Mapping'!BD34-601),IF(AND('(橫掃)RX Mapping'!BD34&gt;=841,'(橫掃)RX Mapping'!BD34&lt;=960), (-1)*('(橫掃)RX Mapping'!BD34-960)+120,9999))))))))</f>
        <v>9999</v>
      </c>
      <c r="BE34">
        <f>IF(AND('(橫掃)RX Mapping'!BE34&gt;=1,'(橫掃)RX Mapping'!BE34&lt;=120), ('(橫掃)RX Mapping'!BE34-1),IF(AND('(橫掃)RX Mapping'!BE34&gt;=121,'(橫掃)RX Mapping'!BE34&lt;=240), (-1)*('(橫掃)RX Mapping'!BE34-240),IF(AND('(橫掃)RX Mapping'!BE34&gt;=241,'(橫掃)RX Mapping'!BE34&lt;=360), ('(橫掃)RX Mapping'!BE34-241),IF(AND('(橫掃)RX Mapping'!BE34&gt;=361,'(橫掃)RX Mapping'!BE34&lt;=480), (-1)*('(橫掃)RX Mapping'!BE34-480),IF(AND('(橫掃)RX Mapping'!BE34&gt;=481,'(橫掃)RX Mapping'!BE34&lt;=600), ('(橫掃)RX Mapping'!BE34-361),IF(AND('(橫掃)RX Mapping'!BE34&gt;=601,'(橫掃)RX Mapping'!BE34&lt;=720), (-1)*('(橫掃)RX Mapping'!BE34-720)+120,IF(AND('(橫掃)RX Mapping'!BE34&gt;=721,'(橫掃)RX Mapping'!BE34&lt;=840), ('(橫掃)RX Mapping'!BE34-601),IF(AND('(橫掃)RX Mapping'!BE34&gt;=841,'(橫掃)RX Mapping'!BE34&lt;=960), (-1)*('(橫掃)RX Mapping'!BE34-960)+120,9999))))))))</f>
        <v>9999</v>
      </c>
      <c r="BF34">
        <f>IF(AND('(橫掃)RX Mapping'!BF34&gt;=1,'(橫掃)RX Mapping'!BF34&lt;=120), ('(橫掃)RX Mapping'!BF34-1),IF(AND('(橫掃)RX Mapping'!BF34&gt;=121,'(橫掃)RX Mapping'!BF34&lt;=240), (-1)*('(橫掃)RX Mapping'!BF34-240),IF(AND('(橫掃)RX Mapping'!BF34&gt;=241,'(橫掃)RX Mapping'!BF34&lt;=360), ('(橫掃)RX Mapping'!BF34-241),IF(AND('(橫掃)RX Mapping'!BF34&gt;=361,'(橫掃)RX Mapping'!BF34&lt;=480), (-1)*('(橫掃)RX Mapping'!BF34-480),IF(AND('(橫掃)RX Mapping'!BF34&gt;=481,'(橫掃)RX Mapping'!BF34&lt;=600), ('(橫掃)RX Mapping'!BF34-361),IF(AND('(橫掃)RX Mapping'!BF34&gt;=601,'(橫掃)RX Mapping'!BF34&lt;=720), (-1)*('(橫掃)RX Mapping'!BF34-720)+120,IF(AND('(橫掃)RX Mapping'!BF34&gt;=721,'(橫掃)RX Mapping'!BF34&lt;=840), ('(橫掃)RX Mapping'!BF34-601),IF(AND('(橫掃)RX Mapping'!BF34&gt;=841,'(橫掃)RX Mapping'!BF34&lt;=960), (-1)*('(橫掃)RX Mapping'!BF34-960)+120,9999))))))))</f>
        <v>9999</v>
      </c>
      <c r="BG34">
        <f>IF(AND('(橫掃)RX Mapping'!BG34&gt;=1,'(橫掃)RX Mapping'!BG34&lt;=120), ('(橫掃)RX Mapping'!BG34-1),IF(AND('(橫掃)RX Mapping'!BG34&gt;=121,'(橫掃)RX Mapping'!BG34&lt;=240), (-1)*('(橫掃)RX Mapping'!BG34-240),IF(AND('(橫掃)RX Mapping'!BG34&gt;=241,'(橫掃)RX Mapping'!BG34&lt;=360), ('(橫掃)RX Mapping'!BG34-241),IF(AND('(橫掃)RX Mapping'!BG34&gt;=361,'(橫掃)RX Mapping'!BG34&lt;=480), (-1)*('(橫掃)RX Mapping'!BG34-480),IF(AND('(橫掃)RX Mapping'!BG34&gt;=481,'(橫掃)RX Mapping'!BG34&lt;=600), ('(橫掃)RX Mapping'!BG34-361),IF(AND('(橫掃)RX Mapping'!BG34&gt;=601,'(橫掃)RX Mapping'!BG34&lt;=720), (-1)*('(橫掃)RX Mapping'!BG34-720)+120,IF(AND('(橫掃)RX Mapping'!BG34&gt;=721,'(橫掃)RX Mapping'!BG34&lt;=840), ('(橫掃)RX Mapping'!BG34-601),IF(AND('(橫掃)RX Mapping'!BG34&gt;=841,'(橫掃)RX Mapping'!BG34&lt;=960), (-1)*('(橫掃)RX Mapping'!BG34-960)+120,9999))))))))</f>
        <v>9999</v>
      </c>
      <c r="BH34">
        <f>IF(AND('(橫掃)RX Mapping'!BH34&gt;=1,'(橫掃)RX Mapping'!BH34&lt;=120), ('(橫掃)RX Mapping'!BH34-1),IF(AND('(橫掃)RX Mapping'!BH34&gt;=121,'(橫掃)RX Mapping'!BH34&lt;=240), (-1)*('(橫掃)RX Mapping'!BH34-240),IF(AND('(橫掃)RX Mapping'!BH34&gt;=241,'(橫掃)RX Mapping'!BH34&lt;=360), ('(橫掃)RX Mapping'!BH34-241),IF(AND('(橫掃)RX Mapping'!BH34&gt;=361,'(橫掃)RX Mapping'!BH34&lt;=480), (-1)*('(橫掃)RX Mapping'!BH34-480),IF(AND('(橫掃)RX Mapping'!BH34&gt;=481,'(橫掃)RX Mapping'!BH34&lt;=600), ('(橫掃)RX Mapping'!BH34-361),IF(AND('(橫掃)RX Mapping'!BH34&gt;=601,'(橫掃)RX Mapping'!BH34&lt;=720), (-1)*('(橫掃)RX Mapping'!BH34-720)+120,IF(AND('(橫掃)RX Mapping'!BH34&gt;=721,'(橫掃)RX Mapping'!BH34&lt;=840), ('(橫掃)RX Mapping'!BH34-601),IF(AND('(橫掃)RX Mapping'!BH34&gt;=841,'(橫掃)RX Mapping'!BH34&lt;=960), (-1)*('(橫掃)RX Mapping'!BH34-960)+120,9999))))))))</f>
        <v>9999</v>
      </c>
      <c r="BI34">
        <f>IF(AND('(橫掃)RX Mapping'!BI34&gt;=1,'(橫掃)RX Mapping'!BI34&lt;=120), ('(橫掃)RX Mapping'!BI34-1),IF(AND('(橫掃)RX Mapping'!BI34&gt;=121,'(橫掃)RX Mapping'!BI34&lt;=240), (-1)*('(橫掃)RX Mapping'!BI34-240),IF(AND('(橫掃)RX Mapping'!BI34&gt;=241,'(橫掃)RX Mapping'!BI34&lt;=360), ('(橫掃)RX Mapping'!BI34-241),IF(AND('(橫掃)RX Mapping'!BI34&gt;=361,'(橫掃)RX Mapping'!BI34&lt;=480), (-1)*('(橫掃)RX Mapping'!BI34-480),IF(AND('(橫掃)RX Mapping'!BI34&gt;=481,'(橫掃)RX Mapping'!BI34&lt;=600), ('(橫掃)RX Mapping'!BI34-361),IF(AND('(橫掃)RX Mapping'!BI34&gt;=601,'(橫掃)RX Mapping'!BI34&lt;=720), (-1)*('(橫掃)RX Mapping'!BI34-720)+120,IF(AND('(橫掃)RX Mapping'!BI34&gt;=721,'(橫掃)RX Mapping'!BI34&lt;=840), ('(橫掃)RX Mapping'!BI34-601),IF(AND('(橫掃)RX Mapping'!BI34&gt;=841,'(橫掃)RX Mapping'!BI34&lt;=960), (-1)*('(橫掃)RX Mapping'!BI34-960)+120,9999))))))))</f>
        <v>9999</v>
      </c>
    </row>
    <row r="35" spans="1:61" x14ac:dyDescent="0.25">
      <c r="A35" s="20">
        <v>34</v>
      </c>
      <c r="B35">
        <f>IF(
(AND('(直掃)RX Mapping'!B35&gt;=0,'(直掃)RX Mapping'!B35&lt;=480)),
(MOD('(直掃)RX Mapping'!B35,120)-1),
IF(
(AND('(直掃)RX Mapping'!B35&gt;=480,'(直掃)RX Mapping'!B35&lt;=960)),
IF(MOD('(直掃)RX Mapping'!B35,120)=0, 120, 240-MOD('(直掃)RX Mapping'!B35,120)),9999))+IF(AND(MOD('(直掃)RX Mapping'!B35,120)=0, '(直掃)RX Mapping'!B35 &lt;= 480,  '(直掃)RX Mapping'!B35 &gt; 0), 120)</f>
        <v>-1</v>
      </c>
      <c r="C35">
        <f>IF(
(AND('(直掃)RX Mapping'!C35&gt;=0,'(直掃)RX Mapping'!C35&lt;=480)),
(MOD('(直掃)RX Mapping'!C35,120)-1),
IF(
(AND('(直掃)RX Mapping'!C35&gt;=480,'(直掃)RX Mapping'!C35&lt;=960)),
IF(MOD('(直掃)RX Mapping'!C35,120)=0, 120, 240-MOD('(直掃)RX Mapping'!C35,120)),9999))+IF(AND(MOD('(直掃)RX Mapping'!C35,120)=0, '(直掃)RX Mapping'!C35 &lt;= 480,  '(直掃)RX Mapping'!C35 &gt; 0), 120)</f>
        <v>-1</v>
      </c>
      <c r="D35">
        <f>IF(
(AND('(直掃)RX Mapping'!D35&gt;=0,'(直掃)RX Mapping'!D35&lt;=480)),
(MOD('(直掃)RX Mapping'!D35,120)-1),
IF(
(AND('(直掃)RX Mapping'!D35&gt;=480,'(直掃)RX Mapping'!D35&lt;=960)),
IF(MOD('(直掃)RX Mapping'!D35,120)=0, 120, 240-MOD('(直掃)RX Mapping'!D35,120)),9999))+IF(AND(MOD('(直掃)RX Mapping'!D35,120)=0, '(直掃)RX Mapping'!D35 &lt;= 480,  '(直掃)RX Mapping'!D35 &gt; 0), 120)</f>
        <v>-1</v>
      </c>
      <c r="E35">
        <f>IF(
(AND('(直掃)RX Mapping'!E35&gt;=0,'(直掃)RX Mapping'!E35&lt;=480)),
(MOD('(直掃)RX Mapping'!E35,120)-1),
IF(
(AND('(直掃)RX Mapping'!E35&gt;=480,'(直掃)RX Mapping'!E35&lt;=960)),
IF(MOD('(直掃)RX Mapping'!E35,120)=0, 120, 240-MOD('(直掃)RX Mapping'!E35,120)),9999))+IF(AND(MOD('(直掃)RX Mapping'!E35,120)=0, '(直掃)RX Mapping'!E35 &lt;= 480,  '(直掃)RX Mapping'!E35 &gt; 0), 120)</f>
        <v>-1</v>
      </c>
      <c r="F35">
        <f>IF(
(AND('(直掃)RX Mapping'!F35&gt;=0,'(直掃)RX Mapping'!F35&lt;=480)),
(MOD('(直掃)RX Mapping'!F35,120)-1),
IF(
(AND('(直掃)RX Mapping'!F35&gt;=480,'(直掃)RX Mapping'!F35&lt;=960)),
IF(MOD('(直掃)RX Mapping'!F35,120)=0, 120, 240-MOD('(直掃)RX Mapping'!F35,120)),9999))+IF(AND(MOD('(直掃)RX Mapping'!F35,120)=0, '(直掃)RX Mapping'!F35 &lt;= 480,  '(直掃)RX Mapping'!F35 &gt; 0), 120)</f>
        <v>-1</v>
      </c>
      <c r="G35">
        <f>IF(
(AND('(直掃)RX Mapping'!G35&gt;=0,'(直掃)RX Mapping'!G35&lt;=480)),
(MOD('(直掃)RX Mapping'!G35,120)-1),
IF(
(AND('(直掃)RX Mapping'!G35&gt;=480,'(直掃)RX Mapping'!G35&lt;=960)),
IF(MOD('(直掃)RX Mapping'!G35,120)=0, 120, 240-MOD('(直掃)RX Mapping'!G35,120)),9999))+IF(AND(MOD('(直掃)RX Mapping'!G35,120)=0, '(直掃)RX Mapping'!G35 &lt;= 480,  '(直掃)RX Mapping'!G35 &gt; 0), 120)</f>
        <v>-1</v>
      </c>
      <c r="H35">
        <f>IF(
(AND('(直掃)RX Mapping'!H35&gt;=0,'(直掃)RX Mapping'!H35&lt;=480)),
(MOD('(直掃)RX Mapping'!H35,120)-1),
IF(
(AND('(直掃)RX Mapping'!H35&gt;=480,'(直掃)RX Mapping'!H35&lt;=960)),
IF(MOD('(直掃)RX Mapping'!H35,120)=0, 120, 240-MOD('(直掃)RX Mapping'!H35,120)),9999))+IF(AND(MOD('(直掃)RX Mapping'!H35,120)=0, '(直掃)RX Mapping'!H35 &lt;= 480,  '(直掃)RX Mapping'!H35 &gt; 0), 120)</f>
        <v>-1</v>
      </c>
      <c r="I35">
        <f>IF(
(AND('(直掃)RX Mapping'!I35&gt;=0,'(直掃)RX Mapping'!I35&lt;=480)),
(MOD('(直掃)RX Mapping'!I35,120)-1),
IF(
(AND('(直掃)RX Mapping'!I35&gt;=480,'(直掃)RX Mapping'!I35&lt;=960)),
IF(MOD('(直掃)RX Mapping'!I35,120)=0, 120, 240-MOD('(直掃)RX Mapping'!I35,120)),9999))+IF(AND(MOD('(直掃)RX Mapping'!I35,120)=0, '(直掃)RX Mapping'!I35 &lt;= 480,  '(直掃)RX Mapping'!I35 &gt; 0), 120)</f>
        <v>-1</v>
      </c>
      <c r="J35">
        <f>IF(
(AND('(直掃)RX Mapping'!J35&gt;=0,'(直掃)RX Mapping'!J35&lt;=480)),
(MOD('(直掃)RX Mapping'!J35,120)-1),
IF(
(AND('(直掃)RX Mapping'!J35&gt;=480,'(直掃)RX Mapping'!J35&lt;=960)),
IF(MOD('(直掃)RX Mapping'!J35,120)=0, 120, 240-MOD('(直掃)RX Mapping'!J35,120)),9999))+IF(AND(MOD('(直掃)RX Mapping'!J35,120)=0, '(直掃)RX Mapping'!J35 &lt;= 480,  '(直掃)RX Mapping'!J35 &gt; 0), 120)</f>
        <v>-1</v>
      </c>
      <c r="K35">
        <f>IF(
(AND('(直掃)RX Mapping'!K35&gt;=0,'(直掃)RX Mapping'!K35&lt;=480)),
(MOD('(直掃)RX Mapping'!K35,120)-1),
IF(
(AND('(直掃)RX Mapping'!K35&gt;=480,'(直掃)RX Mapping'!K35&lt;=960)),
IF(MOD('(直掃)RX Mapping'!K35,120)=0, 120, 240-MOD('(直掃)RX Mapping'!K35,120)),9999))+IF(AND(MOD('(直掃)RX Mapping'!K35,120)=0, '(直掃)RX Mapping'!K35 &lt;= 480,  '(直掃)RX Mapping'!K35 &gt; 0), 120)</f>
        <v>-1</v>
      </c>
      <c r="L35">
        <f>IF(
(AND('(直掃)RX Mapping'!L35&gt;=0,'(直掃)RX Mapping'!L35&lt;=480)),
(MOD('(直掃)RX Mapping'!L35,120)-1),
IF(
(AND('(直掃)RX Mapping'!L35&gt;=480,'(直掃)RX Mapping'!L35&lt;=960)),
IF(MOD('(直掃)RX Mapping'!L35,120)=0, 120, 240-MOD('(直掃)RX Mapping'!L35,120)),9999))+IF(AND(MOD('(直掃)RX Mapping'!L35,120)=0, '(直掃)RX Mapping'!L35 &lt;= 480,  '(直掃)RX Mapping'!L35 &gt; 0), 120)</f>
        <v>-1</v>
      </c>
      <c r="M35">
        <f>IF(
(AND('(直掃)RX Mapping'!M35&gt;=0,'(直掃)RX Mapping'!M35&lt;=480)),
(MOD('(直掃)RX Mapping'!M35,120)-1),
IF(
(AND('(直掃)RX Mapping'!M35&gt;=480,'(直掃)RX Mapping'!M35&lt;=960)),
IF(MOD('(直掃)RX Mapping'!M35,120)=0, 120, 240-MOD('(直掃)RX Mapping'!M35,120)),9999))+IF(AND(MOD('(直掃)RX Mapping'!M35,120)=0, '(直掃)RX Mapping'!M35 &lt;= 480,  '(直掃)RX Mapping'!M35 &gt; 0), 120)</f>
        <v>-1</v>
      </c>
      <c r="N35">
        <f>IF(
(AND('(直掃)RX Mapping'!N35&gt;=0,'(直掃)RX Mapping'!N35&lt;=480)),
(MOD('(直掃)RX Mapping'!N35,120)-1),
IF(
(AND('(直掃)RX Mapping'!N35&gt;=480,'(直掃)RX Mapping'!N35&lt;=960)),
IF(MOD('(直掃)RX Mapping'!N35,120)=0, 120, 240-MOD('(直掃)RX Mapping'!N35,120)),9999))+IF(AND(MOD('(直掃)RX Mapping'!N35,120)=0, '(直掃)RX Mapping'!N35 &lt;= 480,  '(直掃)RX Mapping'!N35 &gt; 0), 120)</f>
        <v>-1</v>
      </c>
      <c r="O35">
        <f>IF(
(AND('(直掃)RX Mapping'!O35&gt;=0,'(直掃)RX Mapping'!O35&lt;=480)),
(MOD('(直掃)RX Mapping'!O35,120)-1),
IF(
(AND('(直掃)RX Mapping'!O35&gt;=480,'(直掃)RX Mapping'!O35&lt;=960)),
IF(MOD('(直掃)RX Mapping'!O35,120)=0, 120, 240-MOD('(直掃)RX Mapping'!O35,120)),9999))+IF(AND(MOD('(直掃)RX Mapping'!O35,120)=0, '(直掃)RX Mapping'!O35 &lt;= 480,  '(直掃)RX Mapping'!O35 &gt; 0), 120)</f>
        <v>-1</v>
      </c>
      <c r="P35">
        <f>IF(
(AND('(直掃)RX Mapping'!P35&gt;=0,'(直掃)RX Mapping'!P35&lt;=480)),
(MOD('(直掃)RX Mapping'!P35,120)-1),
IF(
(AND('(直掃)RX Mapping'!P35&gt;=480,'(直掃)RX Mapping'!P35&lt;=960)),
IF(MOD('(直掃)RX Mapping'!P35,120)=0, 120, 240-MOD('(直掃)RX Mapping'!P35,120)),9999))+IF(AND(MOD('(直掃)RX Mapping'!P35,120)=0, '(直掃)RX Mapping'!P35 &lt;= 480,  '(直掃)RX Mapping'!P35 &gt; 0), 120)</f>
        <v>-1</v>
      </c>
      <c r="Q35">
        <f>IF(
(AND('(直掃)RX Mapping'!Q35&gt;=0,'(直掃)RX Mapping'!Q35&lt;=480)),
(MOD('(直掃)RX Mapping'!Q35,120)-1),
IF(
(AND('(直掃)RX Mapping'!Q35&gt;=480,'(直掃)RX Mapping'!Q35&lt;=960)),
IF(MOD('(直掃)RX Mapping'!Q35,120)=0, 120, 240-MOD('(直掃)RX Mapping'!Q35,120)),9999))+IF(AND(MOD('(直掃)RX Mapping'!Q35,120)=0, '(直掃)RX Mapping'!Q35 &lt;= 480,  '(直掃)RX Mapping'!Q35 &gt; 0), 120)</f>
        <v>-1</v>
      </c>
      <c r="R35">
        <f>IF(
(AND('(直掃)RX Mapping'!R35&gt;=0,'(直掃)RX Mapping'!R35&lt;=480)),
(MOD('(直掃)RX Mapping'!R35,120)-1),
IF(
(AND('(直掃)RX Mapping'!R35&gt;=480,'(直掃)RX Mapping'!R35&lt;=960)),
IF(MOD('(直掃)RX Mapping'!R35,120)=0, 120, 240-MOD('(直掃)RX Mapping'!R35,120)),9999))+IF(AND(MOD('(直掃)RX Mapping'!R35,120)=0, '(直掃)RX Mapping'!R35 &lt;= 480,  '(直掃)RX Mapping'!R35 &gt; 0), 120)</f>
        <v>-1</v>
      </c>
      <c r="S35">
        <f>IF(
(AND('(直掃)RX Mapping'!S35&gt;=0,'(直掃)RX Mapping'!S35&lt;=480)),
(MOD('(直掃)RX Mapping'!S35,120)-1),
IF(
(AND('(直掃)RX Mapping'!S35&gt;=480,'(直掃)RX Mapping'!S35&lt;=960)),
IF(MOD('(直掃)RX Mapping'!S35,120)=0, 120, 240-MOD('(直掃)RX Mapping'!S35,120)),9999))+IF(AND(MOD('(直掃)RX Mapping'!S35,120)=0, '(直掃)RX Mapping'!S35 &lt;= 480,  '(直掃)RX Mapping'!S35 &gt; 0), 120)</f>
        <v>-1</v>
      </c>
      <c r="T35">
        <f>IF(
(AND('(直掃)RX Mapping'!T35&gt;=0,'(直掃)RX Mapping'!T35&lt;=480)),
(MOD('(直掃)RX Mapping'!T35,120)-1),
IF(
(AND('(直掃)RX Mapping'!T35&gt;=480,'(直掃)RX Mapping'!T35&lt;=960)),
IF(MOD('(直掃)RX Mapping'!T35,120)=0, 120, 240-MOD('(直掃)RX Mapping'!T35,120)),9999))+IF(AND(MOD('(直掃)RX Mapping'!T35,120)=0, '(直掃)RX Mapping'!T35 &lt;= 480,  '(直掃)RX Mapping'!T35 &gt; 0), 120)</f>
        <v>-1</v>
      </c>
      <c r="U35">
        <f>IF(
(AND('(直掃)RX Mapping'!U35&gt;=0,'(直掃)RX Mapping'!U35&lt;=480)),
(MOD('(直掃)RX Mapping'!U35,120)-1),
IF(
(AND('(直掃)RX Mapping'!U35&gt;=480,'(直掃)RX Mapping'!U35&lt;=960)),
IF(MOD('(直掃)RX Mapping'!U35,120)=0, 120, 240-MOD('(直掃)RX Mapping'!U35,120)),9999))+IF(AND(MOD('(直掃)RX Mapping'!U35,120)=0, '(直掃)RX Mapping'!U35 &lt;= 480,  '(直掃)RX Mapping'!U35 &gt; 0), 120)</f>
        <v>-1</v>
      </c>
      <c r="V35">
        <f>IF(
(AND('(直掃)RX Mapping'!V35&gt;=0,'(直掃)RX Mapping'!V35&lt;=480)),
(MOD('(直掃)RX Mapping'!V35,120)-1),
IF(
(AND('(直掃)RX Mapping'!V35&gt;=480,'(直掃)RX Mapping'!V35&lt;=960)),
IF(MOD('(直掃)RX Mapping'!V35,120)=0, 120, 240-MOD('(直掃)RX Mapping'!V35,120)),9999))+IF(AND(MOD('(直掃)RX Mapping'!V35,120)=0, '(直掃)RX Mapping'!V35 &lt;= 480,  '(直掃)RX Mapping'!V35 &gt; 0), 120)</f>
        <v>-1</v>
      </c>
      <c r="W35">
        <f>IF(
(AND('(直掃)RX Mapping'!W35&gt;=0,'(直掃)RX Mapping'!W35&lt;=480)),
(MOD('(直掃)RX Mapping'!W35,120)-1),
IF(
(AND('(直掃)RX Mapping'!W35&gt;=480,'(直掃)RX Mapping'!W35&lt;=960)),
IF(MOD('(直掃)RX Mapping'!W35,120)=0, 120, 240-MOD('(直掃)RX Mapping'!W35,120)),9999))+IF(AND(MOD('(直掃)RX Mapping'!W35,120)=0, '(直掃)RX Mapping'!W35 &lt;= 480,  '(直掃)RX Mapping'!W35 &gt; 0), 120)</f>
        <v>-1</v>
      </c>
      <c r="X35">
        <f>IF(
(AND('(直掃)RX Mapping'!X35&gt;=0,'(直掃)RX Mapping'!X35&lt;=480)),
(MOD('(直掃)RX Mapping'!X35,120)-1),
IF(
(AND('(直掃)RX Mapping'!X35&gt;=480,'(直掃)RX Mapping'!X35&lt;=960)),
IF(MOD('(直掃)RX Mapping'!X35,120)=0, 120, 240-MOD('(直掃)RX Mapping'!X35,120)),9999))+IF(AND(MOD('(直掃)RX Mapping'!X35,120)=0, '(直掃)RX Mapping'!X35 &lt;= 480,  '(直掃)RX Mapping'!X35 &gt; 0), 120)</f>
        <v>-1</v>
      </c>
      <c r="Y35">
        <f>IF(
(AND('(直掃)RX Mapping'!Y35&gt;=0,'(直掃)RX Mapping'!Y35&lt;=480)),
(MOD('(直掃)RX Mapping'!Y35,120)-1),
IF(
(AND('(直掃)RX Mapping'!Y35&gt;=480,'(直掃)RX Mapping'!Y35&lt;=960)),
IF(MOD('(直掃)RX Mapping'!Y35,120)=0, 120, 240-MOD('(直掃)RX Mapping'!Y35,120)),9999))+IF(AND(MOD('(直掃)RX Mapping'!Y35,120)=0, '(直掃)RX Mapping'!Y35 &lt;= 480,  '(直掃)RX Mapping'!Y35 &gt; 0), 120)</f>
        <v>-1</v>
      </c>
      <c r="Z35">
        <f>IF(
(AND('(直掃)RX Mapping'!Z35&gt;=0,'(直掃)RX Mapping'!Z35&lt;=480)),
(MOD('(直掃)RX Mapping'!Z35,120)-1),
IF(
(AND('(直掃)RX Mapping'!Z35&gt;=480,'(直掃)RX Mapping'!Z35&lt;=960)),
IF(MOD('(直掃)RX Mapping'!Z35,120)=0, 120, 240-MOD('(直掃)RX Mapping'!Z35,120)),9999))+IF(AND(MOD('(直掃)RX Mapping'!Z35,120)=0, '(直掃)RX Mapping'!Z35 &lt;= 480,  '(直掃)RX Mapping'!Z35 &gt; 0), 120)</f>
        <v>-1</v>
      </c>
      <c r="AA35">
        <f>IF(
(AND('(直掃)RX Mapping'!AA35&gt;=0,'(直掃)RX Mapping'!AA35&lt;=480)),
(MOD('(直掃)RX Mapping'!AA35,120)-1),
IF(
(AND('(直掃)RX Mapping'!AA35&gt;=480,'(直掃)RX Mapping'!AA35&lt;=960)),
IF(MOD('(直掃)RX Mapping'!AA35,120)=0, 120, 240-MOD('(直掃)RX Mapping'!AA35,120)),9999))+IF(AND(MOD('(直掃)RX Mapping'!AA35,120)=0, '(直掃)RX Mapping'!AA35 &lt;= 480,  '(直掃)RX Mapping'!AA35 &gt; 0), 120)</f>
        <v>-1</v>
      </c>
      <c r="AB35">
        <f>IF(
(AND('(直掃)RX Mapping'!AB35&gt;=0,'(直掃)RX Mapping'!AB35&lt;=480)),
(MOD('(直掃)RX Mapping'!AB35,120)-1),
IF(
(AND('(直掃)RX Mapping'!AB35&gt;=480,'(直掃)RX Mapping'!AB35&lt;=960)),
IF(MOD('(直掃)RX Mapping'!AB35,120)=0, 120, 240-MOD('(直掃)RX Mapping'!AB35,120)),9999))+IF(AND(MOD('(直掃)RX Mapping'!AB35,120)=0, '(直掃)RX Mapping'!AB35 &lt;= 480,  '(直掃)RX Mapping'!AB35 &gt; 0), 120)</f>
        <v>-1</v>
      </c>
      <c r="AC35">
        <f>IF(
(AND('(直掃)RX Mapping'!AC35&gt;=0,'(直掃)RX Mapping'!AC35&lt;=480)),
(MOD('(直掃)RX Mapping'!AC35,120)-1),
IF(
(AND('(直掃)RX Mapping'!AC35&gt;=480,'(直掃)RX Mapping'!AC35&lt;=960)),
IF(MOD('(直掃)RX Mapping'!AC35,120)=0, 120, 240-MOD('(直掃)RX Mapping'!AC35,120)),9999))+IF(AND(MOD('(直掃)RX Mapping'!AC35,120)=0, '(直掃)RX Mapping'!AC35 &lt;= 480,  '(直掃)RX Mapping'!AC35 &gt; 0), 120)</f>
        <v>-1</v>
      </c>
      <c r="AD35">
        <f>IF(
(AND('(直掃)RX Mapping'!AD35&gt;=0,'(直掃)RX Mapping'!AD35&lt;=480)),
(MOD('(直掃)RX Mapping'!AD35,120)-1),
IF(
(AND('(直掃)RX Mapping'!AD35&gt;=480,'(直掃)RX Mapping'!AD35&lt;=960)),
IF(MOD('(直掃)RX Mapping'!AD35,120)=0, 120, 240-MOD('(直掃)RX Mapping'!AD35,120)),9999))+IF(AND(MOD('(直掃)RX Mapping'!AD35,120)=0, '(直掃)RX Mapping'!AD35 &lt;= 480,  '(直掃)RX Mapping'!AD35 &gt; 0), 120)</f>
        <v>-1</v>
      </c>
      <c r="AE35">
        <f>IF(
(AND('(直掃)RX Mapping'!AE35&gt;=0,'(直掃)RX Mapping'!AE35&lt;=480)),
(MOD('(直掃)RX Mapping'!AE35,120)-1),
IF(
(AND('(直掃)RX Mapping'!AE35&gt;=480,'(直掃)RX Mapping'!AE35&lt;=960)),
IF(MOD('(直掃)RX Mapping'!AE35,120)=0, 120, 240-MOD('(直掃)RX Mapping'!AE35,120)),9999))+IF(AND(MOD('(直掃)RX Mapping'!AE35,120)=0, '(直掃)RX Mapping'!AE35 &lt;= 480,  '(直掃)RX Mapping'!AE35 &gt; 0), 120)</f>
        <v>-1</v>
      </c>
      <c r="AF35">
        <f>IF(
(AND('(直掃)RX Mapping'!AF35&gt;=0,'(直掃)RX Mapping'!AF35&lt;=480)),
(MOD('(直掃)RX Mapping'!AF35,120)-1),
IF(
(AND('(直掃)RX Mapping'!AF35&gt;=480,'(直掃)RX Mapping'!AF35&lt;=960)),
IF(MOD('(直掃)RX Mapping'!AF35,120)=0, 120, 240-MOD('(直掃)RX Mapping'!AF35,120)),9999))+IF(AND(MOD('(直掃)RX Mapping'!AF35,120)=0, '(直掃)RX Mapping'!AF35 &lt;= 480,  '(直掃)RX Mapping'!AF35 &gt; 0), 120)</f>
        <v>-1</v>
      </c>
      <c r="AG35">
        <f>IF(
(AND('(直掃)RX Mapping'!AG35&gt;=0,'(直掃)RX Mapping'!AG35&lt;=480)),
(MOD('(直掃)RX Mapping'!AG35,120)-1),
IF(
(AND('(直掃)RX Mapping'!AG35&gt;=480,'(直掃)RX Mapping'!AG35&lt;=960)),
IF(MOD('(直掃)RX Mapping'!AG35,120)=0, 120, 240-MOD('(直掃)RX Mapping'!AG35,120)),9999))+IF(AND(MOD('(直掃)RX Mapping'!AG35,120)=0, '(直掃)RX Mapping'!AG35 &lt;= 480,  '(直掃)RX Mapping'!AG35 &gt; 0), 120)</f>
        <v>-1</v>
      </c>
      <c r="AH35">
        <f>IF(
(AND('(直掃)RX Mapping'!AH35&gt;=0,'(直掃)RX Mapping'!AH35&lt;=480)),
(MOD('(直掃)RX Mapping'!AH35,120)-1),
IF(
(AND('(直掃)RX Mapping'!AH35&gt;=480,'(直掃)RX Mapping'!AH35&lt;=960)),
IF(MOD('(直掃)RX Mapping'!AH35,120)=0, 120, 240-MOD('(直掃)RX Mapping'!AH35,120)),9999))+IF(AND(MOD('(直掃)RX Mapping'!AH35,120)=0, '(直掃)RX Mapping'!AH35 &lt;= 480,  '(直掃)RX Mapping'!AH35 &gt; 0), 120)</f>
        <v>-1</v>
      </c>
      <c r="AI35">
        <f>IF(
(AND('(直掃)RX Mapping'!AI35&gt;=0,'(直掃)RX Mapping'!AI35&lt;=480)),
(MOD('(直掃)RX Mapping'!AI35,120)-1),
IF(
(AND('(直掃)RX Mapping'!AI35&gt;=480,'(直掃)RX Mapping'!AI35&lt;=960)),
IF(MOD('(直掃)RX Mapping'!AI35,120)=0, 120, 240-MOD('(直掃)RX Mapping'!AI35,120)),9999))+IF(AND(MOD('(直掃)RX Mapping'!AI35,120)=0, '(直掃)RX Mapping'!AI35 &lt;= 480,  '(直掃)RX Mapping'!AI35 &gt; 0), 120)</f>
        <v>-1</v>
      </c>
      <c r="AJ35">
        <f>IF(
(AND('(直掃)RX Mapping'!AJ35&gt;=0,'(直掃)RX Mapping'!AJ35&lt;=480)),
(MOD('(直掃)RX Mapping'!AJ35,120)-1),
IF(
(AND('(直掃)RX Mapping'!AJ35&gt;=480,'(直掃)RX Mapping'!AJ35&lt;=960)),
IF(MOD('(直掃)RX Mapping'!AJ35,120)=0, 120, 240-MOD('(直掃)RX Mapping'!AJ35,120)),9999))+IF(AND(MOD('(直掃)RX Mapping'!AJ35,120)=0, '(直掃)RX Mapping'!AJ35 &lt;= 480,  '(直掃)RX Mapping'!AJ35 &gt; 0), 120)</f>
        <v>-1</v>
      </c>
      <c r="AK35">
        <f>IF(
(AND('(直掃)RX Mapping'!AK35&gt;=0,'(直掃)RX Mapping'!AK35&lt;=480)),
(MOD('(直掃)RX Mapping'!AK35,120)-1),
IF(
(AND('(直掃)RX Mapping'!AK35&gt;=480,'(直掃)RX Mapping'!AK35&lt;=960)),
IF(MOD('(直掃)RX Mapping'!AK35,120)=0, 120, 240-MOD('(直掃)RX Mapping'!AK35,120)),9999))+IF(AND(MOD('(直掃)RX Mapping'!AK35,120)=0, '(直掃)RX Mapping'!AK35 &lt;= 480,  '(直掃)RX Mapping'!AK35 &gt; 0), 120)</f>
        <v>-1</v>
      </c>
      <c r="AL35">
        <f>IF(
(AND('(直掃)RX Mapping'!AL35&gt;=0,'(直掃)RX Mapping'!AL35&lt;=480)),
(MOD('(直掃)RX Mapping'!AL35,120)-1),
IF(
(AND('(直掃)RX Mapping'!AL35&gt;=480,'(直掃)RX Mapping'!AL35&lt;=960)),
IF(MOD('(直掃)RX Mapping'!AL35,120)=0, 120, 240-MOD('(直掃)RX Mapping'!AL35,120)),9999))+IF(AND(MOD('(直掃)RX Mapping'!AL35,120)=0, '(直掃)RX Mapping'!AL35 &lt;= 480,  '(直掃)RX Mapping'!AL35 &gt; 0), 120)</f>
        <v>-1</v>
      </c>
      <c r="AM35">
        <f>IF(
(AND('(直掃)RX Mapping'!AM35&gt;=0,'(直掃)RX Mapping'!AM35&lt;=480)),
(MOD('(直掃)RX Mapping'!AM35,120)-1),
IF(
(AND('(直掃)RX Mapping'!AM35&gt;=480,'(直掃)RX Mapping'!AM35&lt;=960)),
IF(MOD('(直掃)RX Mapping'!AM35,120)=0, 120, 240-MOD('(直掃)RX Mapping'!AM35,120)),9999))+IF(AND(MOD('(直掃)RX Mapping'!AM35,120)=0, '(直掃)RX Mapping'!AM35 &lt;= 480,  '(直掃)RX Mapping'!AM35 &gt; 0), 120)</f>
        <v>-1</v>
      </c>
      <c r="AN35">
        <f>IF(
(AND('(直掃)RX Mapping'!AN35&gt;=0,'(直掃)RX Mapping'!AN35&lt;=480)),
(MOD('(直掃)RX Mapping'!AN35,120)-1),
IF(
(AND('(直掃)RX Mapping'!AN35&gt;=480,'(直掃)RX Mapping'!AN35&lt;=960)),
IF(MOD('(直掃)RX Mapping'!AN35,120)=0, 120, 240-MOD('(直掃)RX Mapping'!AN35,120)),9999))+IF(AND(MOD('(直掃)RX Mapping'!AN35,120)=0, '(直掃)RX Mapping'!AN35 &lt;= 480,  '(直掃)RX Mapping'!AN35 &gt; 0), 120)</f>
        <v>-1</v>
      </c>
      <c r="AO35">
        <f>IF(
(AND('(直掃)RX Mapping'!AO35&gt;=0,'(直掃)RX Mapping'!AO35&lt;=480)),
(MOD('(直掃)RX Mapping'!AO35,120)-1),
IF(
(AND('(直掃)RX Mapping'!AO35&gt;=480,'(直掃)RX Mapping'!AO35&lt;=960)),
IF(MOD('(直掃)RX Mapping'!AO35,120)=0, 120, 240-MOD('(直掃)RX Mapping'!AO35,120)),9999))+IF(AND(MOD('(直掃)RX Mapping'!AO35,120)=0, '(直掃)RX Mapping'!AO35 &lt;= 480,  '(直掃)RX Mapping'!AO35 &gt; 0), 120)</f>
        <v>-1</v>
      </c>
      <c r="AP35">
        <f>IF(
(AND('(直掃)RX Mapping'!AP35&gt;=0,'(直掃)RX Mapping'!AP35&lt;=480)),
(MOD('(直掃)RX Mapping'!AP35,120)-1),
IF(
(AND('(直掃)RX Mapping'!AP35&gt;=480,'(直掃)RX Mapping'!AP35&lt;=960)),
IF(MOD('(直掃)RX Mapping'!AP35,120)=0, 120, 240-MOD('(直掃)RX Mapping'!AP35,120)),9999))+IF(AND(MOD('(直掃)RX Mapping'!AP35,120)=0, '(直掃)RX Mapping'!AP35 &lt;= 480,  '(直掃)RX Mapping'!AP35 &gt; 0), 120)</f>
        <v>-1</v>
      </c>
      <c r="AQ35">
        <f>IF(
(AND('(直掃)RX Mapping'!AQ35&gt;=0,'(直掃)RX Mapping'!AQ35&lt;=480)),
(MOD('(直掃)RX Mapping'!AQ35,120)-1),
IF(
(AND('(直掃)RX Mapping'!AQ35&gt;=480,'(直掃)RX Mapping'!AQ35&lt;=960)),
IF(MOD('(直掃)RX Mapping'!AQ35,120)=0, 120, 240-MOD('(直掃)RX Mapping'!AQ35,120)),9999))+IF(AND(MOD('(直掃)RX Mapping'!AQ35,120)=0, '(直掃)RX Mapping'!AQ35 &lt;= 480,  '(直掃)RX Mapping'!AQ35 &gt; 0), 120)</f>
        <v>-1</v>
      </c>
      <c r="AR35">
        <f>IF(
(AND('(直掃)RX Mapping'!AR35&gt;=0,'(直掃)RX Mapping'!AR35&lt;=480)),
(MOD('(直掃)RX Mapping'!AR35,120)-1),
IF(
(AND('(直掃)RX Mapping'!AR35&gt;=480,'(直掃)RX Mapping'!AR35&lt;=960)),
IF(MOD('(直掃)RX Mapping'!AR35,120)=0, 120, 240-MOD('(直掃)RX Mapping'!AR35,120)),9999))+IF(AND(MOD('(直掃)RX Mapping'!AR35,120)=0, '(直掃)RX Mapping'!AR35 &lt;= 480,  '(直掃)RX Mapping'!AR35 &gt; 0), 120)</f>
        <v>-1</v>
      </c>
      <c r="AS35">
        <f>IF(
(AND('(直掃)RX Mapping'!AS35&gt;=0,'(直掃)RX Mapping'!AS35&lt;=480)),
(MOD('(直掃)RX Mapping'!AS35,120)-1),
IF(
(AND('(直掃)RX Mapping'!AS35&gt;=480,'(直掃)RX Mapping'!AS35&lt;=960)),
IF(MOD('(直掃)RX Mapping'!AS35,120)=0, 120, 240-MOD('(直掃)RX Mapping'!AS35,120)),9999))+IF(AND(MOD('(直掃)RX Mapping'!AS35,120)=0, '(直掃)RX Mapping'!AS35 &lt;= 480,  '(直掃)RX Mapping'!AS35 &gt; 0), 120)</f>
        <v>-1</v>
      </c>
      <c r="AT35">
        <f>IF(AND('(橫掃)RX Mapping'!AT35&gt;=1,'(橫掃)RX Mapping'!AT35&lt;=120), ('(橫掃)RX Mapping'!AT35-1),IF(AND('(橫掃)RX Mapping'!AT35&gt;=121,'(橫掃)RX Mapping'!AT35&lt;=240), (-1)*('(橫掃)RX Mapping'!AT35-240),IF(AND('(橫掃)RX Mapping'!AT35&gt;=241,'(橫掃)RX Mapping'!AT35&lt;=360), ('(橫掃)RX Mapping'!AT35-241),IF(AND('(橫掃)RX Mapping'!AT35&gt;=361,'(橫掃)RX Mapping'!AT35&lt;=480), (-1)*('(橫掃)RX Mapping'!AT35-480),IF(AND('(橫掃)RX Mapping'!AT35&gt;=481,'(橫掃)RX Mapping'!AT35&lt;=600), ('(橫掃)RX Mapping'!AT35-361),IF(AND('(橫掃)RX Mapping'!AT35&gt;=601,'(橫掃)RX Mapping'!AT35&lt;=720), (-1)*('(橫掃)RX Mapping'!AT35-720)+120,IF(AND('(橫掃)RX Mapping'!AT35&gt;=721,'(橫掃)RX Mapping'!AT35&lt;=840), ('(橫掃)RX Mapping'!AT35-601),IF(AND('(橫掃)RX Mapping'!AT35&gt;=841,'(橫掃)RX Mapping'!AT35&lt;=960), (-1)*('(橫掃)RX Mapping'!AT35-960)+120,9999))))))))</f>
        <v>9999</v>
      </c>
      <c r="AU35">
        <f>IF(AND('(橫掃)RX Mapping'!AU35&gt;=1,'(橫掃)RX Mapping'!AU35&lt;=120), ('(橫掃)RX Mapping'!AU35-1),IF(AND('(橫掃)RX Mapping'!AU35&gt;=121,'(橫掃)RX Mapping'!AU35&lt;=240), (-1)*('(橫掃)RX Mapping'!AU35-240),IF(AND('(橫掃)RX Mapping'!AU35&gt;=241,'(橫掃)RX Mapping'!AU35&lt;=360), ('(橫掃)RX Mapping'!AU35-241),IF(AND('(橫掃)RX Mapping'!AU35&gt;=361,'(橫掃)RX Mapping'!AU35&lt;=480), (-1)*('(橫掃)RX Mapping'!AU35-480),IF(AND('(橫掃)RX Mapping'!AU35&gt;=481,'(橫掃)RX Mapping'!AU35&lt;=600), ('(橫掃)RX Mapping'!AU35-361),IF(AND('(橫掃)RX Mapping'!AU35&gt;=601,'(橫掃)RX Mapping'!AU35&lt;=720), (-1)*('(橫掃)RX Mapping'!AU35-720)+120,IF(AND('(橫掃)RX Mapping'!AU35&gt;=721,'(橫掃)RX Mapping'!AU35&lt;=840), ('(橫掃)RX Mapping'!AU35-601),IF(AND('(橫掃)RX Mapping'!AU35&gt;=841,'(橫掃)RX Mapping'!AU35&lt;=960), (-1)*('(橫掃)RX Mapping'!AU35-960)+120,9999))))))))</f>
        <v>9999</v>
      </c>
      <c r="AV35">
        <f>IF(AND('(橫掃)RX Mapping'!AV35&gt;=1,'(橫掃)RX Mapping'!AV35&lt;=120), ('(橫掃)RX Mapping'!AV35-1),IF(AND('(橫掃)RX Mapping'!AV35&gt;=121,'(橫掃)RX Mapping'!AV35&lt;=240), (-1)*('(橫掃)RX Mapping'!AV35-240),IF(AND('(橫掃)RX Mapping'!AV35&gt;=241,'(橫掃)RX Mapping'!AV35&lt;=360), ('(橫掃)RX Mapping'!AV35-241),IF(AND('(橫掃)RX Mapping'!AV35&gt;=361,'(橫掃)RX Mapping'!AV35&lt;=480), (-1)*('(橫掃)RX Mapping'!AV35-480),IF(AND('(橫掃)RX Mapping'!AV35&gt;=481,'(橫掃)RX Mapping'!AV35&lt;=600), ('(橫掃)RX Mapping'!AV35-361),IF(AND('(橫掃)RX Mapping'!AV35&gt;=601,'(橫掃)RX Mapping'!AV35&lt;=720), (-1)*('(橫掃)RX Mapping'!AV35-720)+120,IF(AND('(橫掃)RX Mapping'!AV35&gt;=721,'(橫掃)RX Mapping'!AV35&lt;=840), ('(橫掃)RX Mapping'!AV35-601),IF(AND('(橫掃)RX Mapping'!AV35&gt;=841,'(橫掃)RX Mapping'!AV35&lt;=960), (-1)*('(橫掃)RX Mapping'!AV35-960)+120,9999))))))))</f>
        <v>9999</v>
      </c>
      <c r="AW35">
        <f>IF(AND('(橫掃)RX Mapping'!AW35&gt;=1,'(橫掃)RX Mapping'!AW35&lt;=120), ('(橫掃)RX Mapping'!AW35-1),IF(AND('(橫掃)RX Mapping'!AW35&gt;=121,'(橫掃)RX Mapping'!AW35&lt;=240), (-1)*('(橫掃)RX Mapping'!AW35-240),IF(AND('(橫掃)RX Mapping'!AW35&gt;=241,'(橫掃)RX Mapping'!AW35&lt;=360), ('(橫掃)RX Mapping'!AW35-241),IF(AND('(橫掃)RX Mapping'!AW35&gt;=361,'(橫掃)RX Mapping'!AW35&lt;=480), (-1)*('(橫掃)RX Mapping'!AW35-480),IF(AND('(橫掃)RX Mapping'!AW35&gt;=481,'(橫掃)RX Mapping'!AW35&lt;=600), ('(橫掃)RX Mapping'!AW35-361),IF(AND('(橫掃)RX Mapping'!AW35&gt;=601,'(橫掃)RX Mapping'!AW35&lt;=720), (-1)*('(橫掃)RX Mapping'!AW35-720)+120,IF(AND('(橫掃)RX Mapping'!AW35&gt;=721,'(橫掃)RX Mapping'!AW35&lt;=840), ('(橫掃)RX Mapping'!AW35-601),IF(AND('(橫掃)RX Mapping'!AW35&gt;=841,'(橫掃)RX Mapping'!AW35&lt;=960), (-1)*('(橫掃)RX Mapping'!AW35-960)+120,9999))))))))</f>
        <v>9999</v>
      </c>
      <c r="AX35">
        <f>IF(AND('(橫掃)RX Mapping'!AX35&gt;=1,'(橫掃)RX Mapping'!AX35&lt;=120), ('(橫掃)RX Mapping'!AX35-1),IF(AND('(橫掃)RX Mapping'!AX35&gt;=121,'(橫掃)RX Mapping'!AX35&lt;=240), (-1)*('(橫掃)RX Mapping'!AX35-240),IF(AND('(橫掃)RX Mapping'!AX35&gt;=241,'(橫掃)RX Mapping'!AX35&lt;=360), ('(橫掃)RX Mapping'!AX35-241),IF(AND('(橫掃)RX Mapping'!AX35&gt;=361,'(橫掃)RX Mapping'!AX35&lt;=480), (-1)*('(橫掃)RX Mapping'!AX35-480),IF(AND('(橫掃)RX Mapping'!AX35&gt;=481,'(橫掃)RX Mapping'!AX35&lt;=600), ('(橫掃)RX Mapping'!AX35-361),IF(AND('(橫掃)RX Mapping'!AX35&gt;=601,'(橫掃)RX Mapping'!AX35&lt;=720), (-1)*('(橫掃)RX Mapping'!AX35-720)+120,IF(AND('(橫掃)RX Mapping'!AX35&gt;=721,'(橫掃)RX Mapping'!AX35&lt;=840), ('(橫掃)RX Mapping'!AX35-601),IF(AND('(橫掃)RX Mapping'!AX35&gt;=841,'(橫掃)RX Mapping'!AX35&lt;=960), (-1)*('(橫掃)RX Mapping'!AX35-960)+120,9999))))))))</f>
        <v>9999</v>
      </c>
      <c r="AY35">
        <f>IF(AND('(橫掃)RX Mapping'!AY35&gt;=1,'(橫掃)RX Mapping'!AY35&lt;=120), ('(橫掃)RX Mapping'!AY35-1),IF(AND('(橫掃)RX Mapping'!AY35&gt;=121,'(橫掃)RX Mapping'!AY35&lt;=240), (-1)*('(橫掃)RX Mapping'!AY35-240),IF(AND('(橫掃)RX Mapping'!AY35&gt;=241,'(橫掃)RX Mapping'!AY35&lt;=360), ('(橫掃)RX Mapping'!AY35-241),IF(AND('(橫掃)RX Mapping'!AY35&gt;=361,'(橫掃)RX Mapping'!AY35&lt;=480), (-1)*('(橫掃)RX Mapping'!AY35-480),IF(AND('(橫掃)RX Mapping'!AY35&gt;=481,'(橫掃)RX Mapping'!AY35&lt;=600), ('(橫掃)RX Mapping'!AY35-361),IF(AND('(橫掃)RX Mapping'!AY35&gt;=601,'(橫掃)RX Mapping'!AY35&lt;=720), (-1)*('(橫掃)RX Mapping'!AY35-720)+120,IF(AND('(橫掃)RX Mapping'!AY35&gt;=721,'(橫掃)RX Mapping'!AY35&lt;=840), ('(橫掃)RX Mapping'!AY35-601),IF(AND('(橫掃)RX Mapping'!AY35&gt;=841,'(橫掃)RX Mapping'!AY35&lt;=960), (-1)*('(橫掃)RX Mapping'!AY35-960)+120,9999))))))))</f>
        <v>9999</v>
      </c>
      <c r="AZ35">
        <f>IF(AND('(橫掃)RX Mapping'!AZ35&gt;=1,'(橫掃)RX Mapping'!AZ35&lt;=120), ('(橫掃)RX Mapping'!AZ35-1),IF(AND('(橫掃)RX Mapping'!AZ35&gt;=121,'(橫掃)RX Mapping'!AZ35&lt;=240), (-1)*('(橫掃)RX Mapping'!AZ35-240),IF(AND('(橫掃)RX Mapping'!AZ35&gt;=241,'(橫掃)RX Mapping'!AZ35&lt;=360), ('(橫掃)RX Mapping'!AZ35-241),IF(AND('(橫掃)RX Mapping'!AZ35&gt;=361,'(橫掃)RX Mapping'!AZ35&lt;=480), (-1)*('(橫掃)RX Mapping'!AZ35-480),IF(AND('(橫掃)RX Mapping'!AZ35&gt;=481,'(橫掃)RX Mapping'!AZ35&lt;=600), ('(橫掃)RX Mapping'!AZ35-361),IF(AND('(橫掃)RX Mapping'!AZ35&gt;=601,'(橫掃)RX Mapping'!AZ35&lt;=720), (-1)*('(橫掃)RX Mapping'!AZ35-720)+120,IF(AND('(橫掃)RX Mapping'!AZ35&gt;=721,'(橫掃)RX Mapping'!AZ35&lt;=840), ('(橫掃)RX Mapping'!AZ35-601),IF(AND('(橫掃)RX Mapping'!AZ35&gt;=841,'(橫掃)RX Mapping'!AZ35&lt;=960), (-1)*('(橫掃)RX Mapping'!AZ35-960)+120,9999))))))))</f>
        <v>9999</v>
      </c>
      <c r="BA35">
        <f>IF(AND('(橫掃)RX Mapping'!BA35&gt;=1,'(橫掃)RX Mapping'!BA35&lt;=120), ('(橫掃)RX Mapping'!BA35-1),IF(AND('(橫掃)RX Mapping'!BA35&gt;=121,'(橫掃)RX Mapping'!BA35&lt;=240), (-1)*('(橫掃)RX Mapping'!BA35-240),IF(AND('(橫掃)RX Mapping'!BA35&gt;=241,'(橫掃)RX Mapping'!BA35&lt;=360), ('(橫掃)RX Mapping'!BA35-241),IF(AND('(橫掃)RX Mapping'!BA35&gt;=361,'(橫掃)RX Mapping'!BA35&lt;=480), (-1)*('(橫掃)RX Mapping'!BA35-480),IF(AND('(橫掃)RX Mapping'!BA35&gt;=481,'(橫掃)RX Mapping'!BA35&lt;=600), ('(橫掃)RX Mapping'!BA35-361),IF(AND('(橫掃)RX Mapping'!BA35&gt;=601,'(橫掃)RX Mapping'!BA35&lt;=720), (-1)*('(橫掃)RX Mapping'!BA35-720)+120,IF(AND('(橫掃)RX Mapping'!BA35&gt;=721,'(橫掃)RX Mapping'!BA35&lt;=840), ('(橫掃)RX Mapping'!BA35-601),IF(AND('(橫掃)RX Mapping'!BA35&gt;=841,'(橫掃)RX Mapping'!BA35&lt;=960), (-1)*('(橫掃)RX Mapping'!BA35-960)+120,9999))))))))</f>
        <v>9999</v>
      </c>
      <c r="BB35">
        <f>IF(AND('(橫掃)RX Mapping'!BB35&gt;=1,'(橫掃)RX Mapping'!BB35&lt;=120), ('(橫掃)RX Mapping'!BB35-1),IF(AND('(橫掃)RX Mapping'!BB35&gt;=121,'(橫掃)RX Mapping'!BB35&lt;=240), (-1)*('(橫掃)RX Mapping'!BB35-240),IF(AND('(橫掃)RX Mapping'!BB35&gt;=241,'(橫掃)RX Mapping'!BB35&lt;=360), ('(橫掃)RX Mapping'!BB35-241),IF(AND('(橫掃)RX Mapping'!BB35&gt;=361,'(橫掃)RX Mapping'!BB35&lt;=480), (-1)*('(橫掃)RX Mapping'!BB35-480),IF(AND('(橫掃)RX Mapping'!BB35&gt;=481,'(橫掃)RX Mapping'!BB35&lt;=600), ('(橫掃)RX Mapping'!BB35-361),IF(AND('(橫掃)RX Mapping'!BB35&gt;=601,'(橫掃)RX Mapping'!BB35&lt;=720), (-1)*('(橫掃)RX Mapping'!BB35-720)+120,IF(AND('(橫掃)RX Mapping'!BB35&gt;=721,'(橫掃)RX Mapping'!BB35&lt;=840), ('(橫掃)RX Mapping'!BB35-601),IF(AND('(橫掃)RX Mapping'!BB35&gt;=841,'(橫掃)RX Mapping'!BB35&lt;=960), (-1)*('(橫掃)RX Mapping'!BB35-960)+120,9999))))))))</f>
        <v>9999</v>
      </c>
      <c r="BC35">
        <f>IF(AND('(橫掃)RX Mapping'!BC35&gt;=1,'(橫掃)RX Mapping'!BC35&lt;=120), ('(橫掃)RX Mapping'!BC35-1),IF(AND('(橫掃)RX Mapping'!BC35&gt;=121,'(橫掃)RX Mapping'!BC35&lt;=240), (-1)*('(橫掃)RX Mapping'!BC35-240),IF(AND('(橫掃)RX Mapping'!BC35&gt;=241,'(橫掃)RX Mapping'!BC35&lt;=360), ('(橫掃)RX Mapping'!BC35-241),IF(AND('(橫掃)RX Mapping'!BC35&gt;=361,'(橫掃)RX Mapping'!BC35&lt;=480), (-1)*('(橫掃)RX Mapping'!BC35-480),IF(AND('(橫掃)RX Mapping'!BC35&gt;=481,'(橫掃)RX Mapping'!BC35&lt;=600), ('(橫掃)RX Mapping'!BC35-361),IF(AND('(橫掃)RX Mapping'!BC35&gt;=601,'(橫掃)RX Mapping'!BC35&lt;=720), (-1)*('(橫掃)RX Mapping'!BC35-720)+120,IF(AND('(橫掃)RX Mapping'!BC35&gt;=721,'(橫掃)RX Mapping'!BC35&lt;=840), ('(橫掃)RX Mapping'!BC35-601),IF(AND('(橫掃)RX Mapping'!BC35&gt;=841,'(橫掃)RX Mapping'!BC35&lt;=960), (-1)*('(橫掃)RX Mapping'!BC35-960)+120,9999))))))))</f>
        <v>9999</v>
      </c>
      <c r="BD35">
        <f>IF(AND('(橫掃)RX Mapping'!BD35&gt;=1,'(橫掃)RX Mapping'!BD35&lt;=120), ('(橫掃)RX Mapping'!BD35-1),IF(AND('(橫掃)RX Mapping'!BD35&gt;=121,'(橫掃)RX Mapping'!BD35&lt;=240), (-1)*('(橫掃)RX Mapping'!BD35-240),IF(AND('(橫掃)RX Mapping'!BD35&gt;=241,'(橫掃)RX Mapping'!BD35&lt;=360), ('(橫掃)RX Mapping'!BD35-241),IF(AND('(橫掃)RX Mapping'!BD35&gt;=361,'(橫掃)RX Mapping'!BD35&lt;=480), (-1)*('(橫掃)RX Mapping'!BD35-480),IF(AND('(橫掃)RX Mapping'!BD35&gt;=481,'(橫掃)RX Mapping'!BD35&lt;=600), ('(橫掃)RX Mapping'!BD35-361),IF(AND('(橫掃)RX Mapping'!BD35&gt;=601,'(橫掃)RX Mapping'!BD35&lt;=720), (-1)*('(橫掃)RX Mapping'!BD35-720)+120,IF(AND('(橫掃)RX Mapping'!BD35&gt;=721,'(橫掃)RX Mapping'!BD35&lt;=840), ('(橫掃)RX Mapping'!BD35-601),IF(AND('(橫掃)RX Mapping'!BD35&gt;=841,'(橫掃)RX Mapping'!BD35&lt;=960), (-1)*('(橫掃)RX Mapping'!BD35-960)+120,9999))))))))</f>
        <v>9999</v>
      </c>
      <c r="BE35">
        <f>IF(AND('(橫掃)RX Mapping'!BE35&gt;=1,'(橫掃)RX Mapping'!BE35&lt;=120), ('(橫掃)RX Mapping'!BE35-1),IF(AND('(橫掃)RX Mapping'!BE35&gt;=121,'(橫掃)RX Mapping'!BE35&lt;=240), (-1)*('(橫掃)RX Mapping'!BE35-240),IF(AND('(橫掃)RX Mapping'!BE35&gt;=241,'(橫掃)RX Mapping'!BE35&lt;=360), ('(橫掃)RX Mapping'!BE35-241),IF(AND('(橫掃)RX Mapping'!BE35&gt;=361,'(橫掃)RX Mapping'!BE35&lt;=480), (-1)*('(橫掃)RX Mapping'!BE35-480),IF(AND('(橫掃)RX Mapping'!BE35&gt;=481,'(橫掃)RX Mapping'!BE35&lt;=600), ('(橫掃)RX Mapping'!BE35-361),IF(AND('(橫掃)RX Mapping'!BE35&gt;=601,'(橫掃)RX Mapping'!BE35&lt;=720), (-1)*('(橫掃)RX Mapping'!BE35-720)+120,IF(AND('(橫掃)RX Mapping'!BE35&gt;=721,'(橫掃)RX Mapping'!BE35&lt;=840), ('(橫掃)RX Mapping'!BE35-601),IF(AND('(橫掃)RX Mapping'!BE35&gt;=841,'(橫掃)RX Mapping'!BE35&lt;=960), (-1)*('(橫掃)RX Mapping'!BE35-960)+120,9999))))))))</f>
        <v>9999</v>
      </c>
      <c r="BF35">
        <f>IF(AND('(橫掃)RX Mapping'!BF35&gt;=1,'(橫掃)RX Mapping'!BF35&lt;=120), ('(橫掃)RX Mapping'!BF35-1),IF(AND('(橫掃)RX Mapping'!BF35&gt;=121,'(橫掃)RX Mapping'!BF35&lt;=240), (-1)*('(橫掃)RX Mapping'!BF35-240),IF(AND('(橫掃)RX Mapping'!BF35&gt;=241,'(橫掃)RX Mapping'!BF35&lt;=360), ('(橫掃)RX Mapping'!BF35-241),IF(AND('(橫掃)RX Mapping'!BF35&gt;=361,'(橫掃)RX Mapping'!BF35&lt;=480), (-1)*('(橫掃)RX Mapping'!BF35-480),IF(AND('(橫掃)RX Mapping'!BF35&gt;=481,'(橫掃)RX Mapping'!BF35&lt;=600), ('(橫掃)RX Mapping'!BF35-361),IF(AND('(橫掃)RX Mapping'!BF35&gt;=601,'(橫掃)RX Mapping'!BF35&lt;=720), (-1)*('(橫掃)RX Mapping'!BF35-720)+120,IF(AND('(橫掃)RX Mapping'!BF35&gt;=721,'(橫掃)RX Mapping'!BF35&lt;=840), ('(橫掃)RX Mapping'!BF35-601),IF(AND('(橫掃)RX Mapping'!BF35&gt;=841,'(橫掃)RX Mapping'!BF35&lt;=960), (-1)*('(橫掃)RX Mapping'!BF35-960)+120,9999))))))))</f>
        <v>9999</v>
      </c>
      <c r="BG35">
        <f>IF(AND('(橫掃)RX Mapping'!BG35&gt;=1,'(橫掃)RX Mapping'!BG35&lt;=120), ('(橫掃)RX Mapping'!BG35-1),IF(AND('(橫掃)RX Mapping'!BG35&gt;=121,'(橫掃)RX Mapping'!BG35&lt;=240), (-1)*('(橫掃)RX Mapping'!BG35-240),IF(AND('(橫掃)RX Mapping'!BG35&gt;=241,'(橫掃)RX Mapping'!BG35&lt;=360), ('(橫掃)RX Mapping'!BG35-241),IF(AND('(橫掃)RX Mapping'!BG35&gt;=361,'(橫掃)RX Mapping'!BG35&lt;=480), (-1)*('(橫掃)RX Mapping'!BG35-480),IF(AND('(橫掃)RX Mapping'!BG35&gt;=481,'(橫掃)RX Mapping'!BG35&lt;=600), ('(橫掃)RX Mapping'!BG35-361),IF(AND('(橫掃)RX Mapping'!BG35&gt;=601,'(橫掃)RX Mapping'!BG35&lt;=720), (-1)*('(橫掃)RX Mapping'!BG35-720)+120,IF(AND('(橫掃)RX Mapping'!BG35&gt;=721,'(橫掃)RX Mapping'!BG35&lt;=840), ('(橫掃)RX Mapping'!BG35-601),IF(AND('(橫掃)RX Mapping'!BG35&gt;=841,'(橫掃)RX Mapping'!BG35&lt;=960), (-1)*('(橫掃)RX Mapping'!BG35-960)+120,9999))))))))</f>
        <v>9999</v>
      </c>
      <c r="BH35">
        <f>IF(AND('(橫掃)RX Mapping'!BH35&gt;=1,'(橫掃)RX Mapping'!BH35&lt;=120), ('(橫掃)RX Mapping'!BH35-1),IF(AND('(橫掃)RX Mapping'!BH35&gt;=121,'(橫掃)RX Mapping'!BH35&lt;=240), (-1)*('(橫掃)RX Mapping'!BH35-240),IF(AND('(橫掃)RX Mapping'!BH35&gt;=241,'(橫掃)RX Mapping'!BH35&lt;=360), ('(橫掃)RX Mapping'!BH35-241),IF(AND('(橫掃)RX Mapping'!BH35&gt;=361,'(橫掃)RX Mapping'!BH35&lt;=480), (-1)*('(橫掃)RX Mapping'!BH35-480),IF(AND('(橫掃)RX Mapping'!BH35&gt;=481,'(橫掃)RX Mapping'!BH35&lt;=600), ('(橫掃)RX Mapping'!BH35-361),IF(AND('(橫掃)RX Mapping'!BH35&gt;=601,'(橫掃)RX Mapping'!BH35&lt;=720), (-1)*('(橫掃)RX Mapping'!BH35-720)+120,IF(AND('(橫掃)RX Mapping'!BH35&gt;=721,'(橫掃)RX Mapping'!BH35&lt;=840), ('(橫掃)RX Mapping'!BH35-601),IF(AND('(橫掃)RX Mapping'!BH35&gt;=841,'(橫掃)RX Mapping'!BH35&lt;=960), (-1)*('(橫掃)RX Mapping'!BH35-960)+120,9999))))))))</f>
        <v>9999</v>
      </c>
      <c r="BI35">
        <f>IF(AND('(橫掃)RX Mapping'!BI35&gt;=1,'(橫掃)RX Mapping'!BI35&lt;=120), ('(橫掃)RX Mapping'!BI35-1),IF(AND('(橫掃)RX Mapping'!BI35&gt;=121,'(橫掃)RX Mapping'!BI35&lt;=240), (-1)*('(橫掃)RX Mapping'!BI35-240),IF(AND('(橫掃)RX Mapping'!BI35&gt;=241,'(橫掃)RX Mapping'!BI35&lt;=360), ('(橫掃)RX Mapping'!BI35-241),IF(AND('(橫掃)RX Mapping'!BI35&gt;=361,'(橫掃)RX Mapping'!BI35&lt;=480), (-1)*('(橫掃)RX Mapping'!BI35-480),IF(AND('(橫掃)RX Mapping'!BI35&gt;=481,'(橫掃)RX Mapping'!BI35&lt;=600), ('(橫掃)RX Mapping'!BI35-361),IF(AND('(橫掃)RX Mapping'!BI35&gt;=601,'(橫掃)RX Mapping'!BI35&lt;=720), (-1)*('(橫掃)RX Mapping'!BI35-720)+120,IF(AND('(橫掃)RX Mapping'!BI35&gt;=721,'(橫掃)RX Mapping'!BI35&lt;=840), ('(橫掃)RX Mapping'!BI35-601),IF(AND('(橫掃)RX Mapping'!BI35&gt;=841,'(橫掃)RX Mapping'!BI35&lt;=960), (-1)*('(橫掃)RX Mapping'!BI35-960)+120,9999))))))))</f>
        <v>9999</v>
      </c>
    </row>
    <row r="36" spans="1:61" x14ac:dyDescent="0.25">
      <c r="A36" s="20">
        <v>35</v>
      </c>
      <c r="B36">
        <f>IF(
(AND('(直掃)RX Mapping'!B36&gt;=0,'(直掃)RX Mapping'!B36&lt;=480)),
(MOD('(直掃)RX Mapping'!B36,120)-1),
IF(
(AND('(直掃)RX Mapping'!B36&gt;=480,'(直掃)RX Mapping'!B36&lt;=960)),
IF(MOD('(直掃)RX Mapping'!B36,120)=0, 120, 240-MOD('(直掃)RX Mapping'!B36,120)),9999))+IF(AND(MOD('(直掃)RX Mapping'!B36,120)=0, '(直掃)RX Mapping'!B36 &lt;= 480,  '(直掃)RX Mapping'!B36 &gt; 0), 120)</f>
        <v>-1</v>
      </c>
      <c r="C36">
        <f>IF(
(AND('(直掃)RX Mapping'!C36&gt;=0,'(直掃)RX Mapping'!C36&lt;=480)),
(MOD('(直掃)RX Mapping'!C36,120)-1),
IF(
(AND('(直掃)RX Mapping'!C36&gt;=480,'(直掃)RX Mapping'!C36&lt;=960)),
IF(MOD('(直掃)RX Mapping'!C36,120)=0, 120, 240-MOD('(直掃)RX Mapping'!C36,120)),9999))+IF(AND(MOD('(直掃)RX Mapping'!C36,120)=0, '(直掃)RX Mapping'!C36 &lt;= 480,  '(直掃)RX Mapping'!C36 &gt; 0), 120)</f>
        <v>-1</v>
      </c>
      <c r="D36">
        <f>IF(
(AND('(直掃)RX Mapping'!D36&gt;=0,'(直掃)RX Mapping'!D36&lt;=480)),
(MOD('(直掃)RX Mapping'!D36,120)-1),
IF(
(AND('(直掃)RX Mapping'!D36&gt;=480,'(直掃)RX Mapping'!D36&lt;=960)),
IF(MOD('(直掃)RX Mapping'!D36,120)=0, 120, 240-MOD('(直掃)RX Mapping'!D36,120)),9999))+IF(AND(MOD('(直掃)RX Mapping'!D36,120)=0, '(直掃)RX Mapping'!D36 &lt;= 480,  '(直掃)RX Mapping'!D36 &gt; 0), 120)</f>
        <v>-1</v>
      </c>
      <c r="E36">
        <f>IF(
(AND('(直掃)RX Mapping'!E36&gt;=0,'(直掃)RX Mapping'!E36&lt;=480)),
(MOD('(直掃)RX Mapping'!E36,120)-1),
IF(
(AND('(直掃)RX Mapping'!E36&gt;=480,'(直掃)RX Mapping'!E36&lt;=960)),
IF(MOD('(直掃)RX Mapping'!E36,120)=0, 120, 240-MOD('(直掃)RX Mapping'!E36,120)),9999))+IF(AND(MOD('(直掃)RX Mapping'!E36,120)=0, '(直掃)RX Mapping'!E36 &lt;= 480,  '(直掃)RX Mapping'!E36 &gt; 0), 120)</f>
        <v>-1</v>
      </c>
      <c r="F36">
        <f>IF(
(AND('(直掃)RX Mapping'!F36&gt;=0,'(直掃)RX Mapping'!F36&lt;=480)),
(MOD('(直掃)RX Mapping'!F36,120)-1),
IF(
(AND('(直掃)RX Mapping'!F36&gt;=480,'(直掃)RX Mapping'!F36&lt;=960)),
IF(MOD('(直掃)RX Mapping'!F36,120)=0, 120, 240-MOD('(直掃)RX Mapping'!F36,120)),9999))+IF(AND(MOD('(直掃)RX Mapping'!F36,120)=0, '(直掃)RX Mapping'!F36 &lt;= 480,  '(直掃)RX Mapping'!F36 &gt; 0), 120)</f>
        <v>-1</v>
      </c>
      <c r="G36">
        <f>IF(
(AND('(直掃)RX Mapping'!G36&gt;=0,'(直掃)RX Mapping'!G36&lt;=480)),
(MOD('(直掃)RX Mapping'!G36,120)-1),
IF(
(AND('(直掃)RX Mapping'!G36&gt;=480,'(直掃)RX Mapping'!G36&lt;=960)),
IF(MOD('(直掃)RX Mapping'!G36,120)=0, 120, 240-MOD('(直掃)RX Mapping'!G36,120)),9999))+IF(AND(MOD('(直掃)RX Mapping'!G36,120)=0, '(直掃)RX Mapping'!G36 &lt;= 480,  '(直掃)RX Mapping'!G36 &gt; 0), 120)</f>
        <v>-1</v>
      </c>
      <c r="H36">
        <f>IF(
(AND('(直掃)RX Mapping'!H36&gt;=0,'(直掃)RX Mapping'!H36&lt;=480)),
(MOD('(直掃)RX Mapping'!H36,120)-1),
IF(
(AND('(直掃)RX Mapping'!H36&gt;=480,'(直掃)RX Mapping'!H36&lt;=960)),
IF(MOD('(直掃)RX Mapping'!H36,120)=0, 120, 240-MOD('(直掃)RX Mapping'!H36,120)),9999))+IF(AND(MOD('(直掃)RX Mapping'!H36,120)=0, '(直掃)RX Mapping'!H36 &lt;= 480,  '(直掃)RX Mapping'!H36 &gt; 0), 120)</f>
        <v>-1</v>
      </c>
      <c r="I36">
        <f>IF(
(AND('(直掃)RX Mapping'!I36&gt;=0,'(直掃)RX Mapping'!I36&lt;=480)),
(MOD('(直掃)RX Mapping'!I36,120)-1),
IF(
(AND('(直掃)RX Mapping'!I36&gt;=480,'(直掃)RX Mapping'!I36&lt;=960)),
IF(MOD('(直掃)RX Mapping'!I36,120)=0, 120, 240-MOD('(直掃)RX Mapping'!I36,120)),9999))+IF(AND(MOD('(直掃)RX Mapping'!I36,120)=0, '(直掃)RX Mapping'!I36 &lt;= 480,  '(直掃)RX Mapping'!I36 &gt; 0), 120)</f>
        <v>-1</v>
      </c>
      <c r="J36">
        <f>IF(
(AND('(直掃)RX Mapping'!J36&gt;=0,'(直掃)RX Mapping'!J36&lt;=480)),
(MOD('(直掃)RX Mapping'!J36,120)-1),
IF(
(AND('(直掃)RX Mapping'!J36&gt;=480,'(直掃)RX Mapping'!J36&lt;=960)),
IF(MOD('(直掃)RX Mapping'!J36,120)=0, 120, 240-MOD('(直掃)RX Mapping'!J36,120)),9999))+IF(AND(MOD('(直掃)RX Mapping'!J36,120)=0, '(直掃)RX Mapping'!J36 &lt;= 480,  '(直掃)RX Mapping'!J36 &gt; 0), 120)</f>
        <v>-1</v>
      </c>
      <c r="K36">
        <f>IF(
(AND('(直掃)RX Mapping'!K36&gt;=0,'(直掃)RX Mapping'!K36&lt;=480)),
(MOD('(直掃)RX Mapping'!K36,120)-1),
IF(
(AND('(直掃)RX Mapping'!K36&gt;=480,'(直掃)RX Mapping'!K36&lt;=960)),
IF(MOD('(直掃)RX Mapping'!K36,120)=0, 120, 240-MOD('(直掃)RX Mapping'!K36,120)),9999))+IF(AND(MOD('(直掃)RX Mapping'!K36,120)=0, '(直掃)RX Mapping'!K36 &lt;= 480,  '(直掃)RX Mapping'!K36 &gt; 0), 120)</f>
        <v>-1</v>
      </c>
      <c r="L36">
        <f>IF(
(AND('(直掃)RX Mapping'!L36&gt;=0,'(直掃)RX Mapping'!L36&lt;=480)),
(MOD('(直掃)RX Mapping'!L36,120)-1),
IF(
(AND('(直掃)RX Mapping'!L36&gt;=480,'(直掃)RX Mapping'!L36&lt;=960)),
IF(MOD('(直掃)RX Mapping'!L36,120)=0, 120, 240-MOD('(直掃)RX Mapping'!L36,120)),9999))+IF(AND(MOD('(直掃)RX Mapping'!L36,120)=0, '(直掃)RX Mapping'!L36 &lt;= 480,  '(直掃)RX Mapping'!L36 &gt; 0), 120)</f>
        <v>-1</v>
      </c>
      <c r="M36">
        <f>IF(
(AND('(直掃)RX Mapping'!M36&gt;=0,'(直掃)RX Mapping'!M36&lt;=480)),
(MOD('(直掃)RX Mapping'!M36,120)-1),
IF(
(AND('(直掃)RX Mapping'!M36&gt;=480,'(直掃)RX Mapping'!M36&lt;=960)),
IF(MOD('(直掃)RX Mapping'!M36,120)=0, 120, 240-MOD('(直掃)RX Mapping'!M36,120)),9999))+IF(AND(MOD('(直掃)RX Mapping'!M36,120)=0, '(直掃)RX Mapping'!M36 &lt;= 480,  '(直掃)RX Mapping'!M36 &gt; 0), 120)</f>
        <v>-1</v>
      </c>
      <c r="N36">
        <f>IF(
(AND('(直掃)RX Mapping'!N36&gt;=0,'(直掃)RX Mapping'!N36&lt;=480)),
(MOD('(直掃)RX Mapping'!N36,120)-1),
IF(
(AND('(直掃)RX Mapping'!N36&gt;=480,'(直掃)RX Mapping'!N36&lt;=960)),
IF(MOD('(直掃)RX Mapping'!N36,120)=0, 120, 240-MOD('(直掃)RX Mapping'!N36,120)),9999))+IF(AND(MOD('(直掃)RX Mapping'!N36,120)=0, '(直掃)RX Mapping'!N36 &lt;= 480,  '(直掃)RX Mapping'!N36 &gt; 0), 120)</f>
        <v>-1</v>
      </c>
      <c r="O36">
        <f>IF(
(AND('(直掃)RX Mapping'!O36&gt;=0,'(直掃)RX Mapping'!O36&lt;=480)),
(MOD('(直掃)RX Mapping'!O36,120)-1),
IF(
(AND('(直掃)RX Mapping'!O36&gt;=480,'(直掃)RX Mapping'!O36&lt;=960)),
IF(MOD('(直掃)RX Mapping'!O36,120)=0, 120, 240-MOD('(直掃)RX Mapping'!O36,120)),9999))+IF(AND(MOD('(直掃)RX Mapping'!O36,120)=0, '(直掃)RX Mapping'!O36 &lt;= 480,  '(直掃)RX Mapping'!O36 &gt; 0), 120)</f>
        <v>-1</v>
      </c>
      <c r="P36">
        <f>IF(
(AND('(直掃)RX Mapping'!P36&gt;=0,'(直掃)RX Mapping'!P36&lt;=480)),
(MOD('(直掃)RX Mapping'!P36,120)-1),
IF(
(AND('(直掃)RX Mapping'!P36&gt;=480,'(直掃)RX Mapping'!P36&lt;=960)),
IF(MOD('(直掃)RX Mapping'!P36,120)=0, 120, 240-MOD('(直掃)RX Mapping'!P36,120)),9999))+IF(AND(MOD('(直掃)RX Mapping'!P36,120)=0, '(直掃)RX Mapping'!P36 &lt;= 480,  '(直掃)RX Mapping'!P36 &gt; 0), 120)</f>
        <v>-1</v>
      </c>
      <c r="Q36">
        <f>IF(
(AND('(直掃)RX Mapping'!Q36&gt;=0,'(直掃)RX Mapping'!Q36&lt;=480)),
(MOD('(直掃)RX Mapping'!Q36,120)-1),
IF(
(AND('(直掃)RX Mapping'!Q36&gt;=480,'(直掃)RX Mapping'!Q36&lt;=960)),
IF(MOD('(直掃)RX Mapping'!Q36,120)=0, 120, 240-MOD('(直掃)RX Mapping'!Q36,120)),9999))+IF(AND(MOD('(直掃)RX Mapping'!Q36,120)=0, '(直掃)RX Mapping'!Q36 &lt;= 480,  '(直掃)RX Mapping'!Q36 &gt; 0), 120)</f>
        <v>-1</v>
      </c>
      <c r="R36">
        <f>IF(
(AND('(直掃)RX Mapping'!R36&gt;=0,'(直掃)RX Mapping'!R36&lt;=480)),
(MOD('(直掃)RX Mapping'!R36,120)-1),
IF(
(AND('(直掃)RX Mapping'!R36&gt;=480,'(直掃)RX Mapping'!R36&lt;=960)),
IF(MOD('(直掃)RX Mapping'!R36,120)=0, 120, 240-MOD('(直掃)RX Mapping'!R36,120)),9999))+IF(AND(MOD('(直掃)RX Mapping'!R36,120)=0, '(直掃)RX Mapping'!R36 &lt;= 480,  '(直掃)RX Mapping'!R36 &gt; 0), 120)</f>
        <v>-1</v>
      </c>
      <c r="S36">
        <f>IF(
(AND('(直掃)RX Mapping'!S36&gt;=0,'(直掃)RX Mapping'!S36&lt;=480)),
(MOD('(直掃)RX Mapping'!S36,120)-1),
IF(
(AND('(直掃)RX Mapping'!S36&gt;=480,'(直掃)RX Mapping'!S36&lt;=960)),
IF(MOD('(直掃)RX Mapping'!S36,120)=0, 120, 240-MOD('(直掃)RX Mapping'!S36,120)),9999))+IF(AND(MOD('(直掃)RX Mapping'!S36,120)=0, '(直掃)RX Mapping'!S36 &lt;= 480,  '(直掃)RX Mapping'!S36 &gt; 0), 120)</f>
        <v>-1</v>
      </c>
      <c r="T36">
        <f>IF(
(AND('(直掃)RX Mapping'!T36&gt;=0,'(直掃)RX Mapping'!T36&lt;=480)),
(MOD('(直掃)RX Mapping'!T36,120)-1),
IF(
(AND('(直掃)RX Mapping'!T36&gt;=480,'(直掃)RX Mapping'!T36&lt;=960)),
IF(MOD('(直掃)RX Mapping'!T36,120)=0, 120, 240-MOD('(直掃)RX Mapping'!T36,120)),9999))+IF(AND(MOD('(直掃)RX Mapping'!T36,120)=0, '(直掃)RX Mapping'!T36 &lt;= 480,  '(直掃)RX Mapping'!T36 &gt; 0), 120)</f>
        <v>-1</v>
      </c>
      <c r="U36">
        <f>IF(
(AND('(直掃)RX Mapping'!U36&gt;=0,'(直掃)RX Mapping'!U36&lt;=480)),
(MOD('(直掃)RX Mapping'!U36,120)-1),
IF(
(AND('(直掃)RX Mapping'!U36&gt;=480,'(直掃)RX Mapping'!U36&lt;=960)),
IF(MOD('(直掃)RX Mapping'!U36,120)=0, 120, 240-MOD('(直掃)RX Mapping'!U36,120)),9999))+IF(AND(MOD('(直掃)RX Mapping'!U36,120)=0, '(直掃)RX Mapping'!U36 &lt;= 480,  '(直掃)RX Mapping'!U36 &gt; 0), 120)</f>
        <v>-1</v>
      </c>
      <c r="V36">
        <f>IF(
(AND('(直掃)RX Mapping'!V36&gt;=0,'(直掃)RX Mapping'!V36&lt;=480)),
(MOD('(直掃)RX Mapping'!V36,120)-1),
IF(
(AND('(直掃)RX Mapping'!V36&gt;=480,'(直掃)RX Mapping'!V36&lt;=960)),
IF(MOD('(直掃)RX Mapping'!V36,120)=0, 120, 240-MOD('(直掃)RX Mapping'!V36,120)),9999))+IF(AND(MOD('(直掃)RX Mapping'!V36,120)=0, '(直掃)RX Mapping'!V36 &lt;= 480,  '(直掃)RX Mapping'!V36 &gt; 0), 120)</f>
        <v>-1</v>
      </c>
      <c r="W36">
        <f>IF(
(AND('(直掃)RX Mapping'!W36&gt;=0,'(直掃)RX Mapping'!W36&lt;=480)),
(MOD('(直掃)RX Mapping'!W36,120)-1),
IF(
(AND('(直掃)RX Mapping'!W36&gt;=480,'(直掃)RX Mapping'!W36&lt;=960)),
IF(MOD('(直掃)RX Mapping'!W36,120)=0, 120, 240-MOD('(直掃)RX Mapping'!W36,120)),9999))+IF(AND(MOD('(直掃)RX Mapping'!W36,120)=0, '(直掃)RX Mapping'!W36 &lt;= 480,  '(直掃)RX Mapping'!W36 &gt; 0), 120)</f>
        <v>-1</v>
      </c>
      <c r="X36">
        <f>IF(
(AND('(直掃)RX Mapping'!X36&gt;=0,'(直掃)RX Mapping'!X36&lt;=480)),
(MOD('(直掃)RX Mapping'!X36,120)-1),
IF(
(AND('(直掃)RX Mapping'!X36&gt;=480,'(直掃)RX Mapping'!X36&lt;=960)),
IF(MOD('(直掃)RX Mapping'!X36,120)=0, 120, 240-MOD('(直掃)RX Mapping'!X36,120)),9999))+IF(AND(MOD('(直掃)RX Mapping'!X36,120)=0, '(直掃)RX Mapping'!X36 &lt;= 480,  '(直掃)RX Mapping'!X36 &gt; 0), 120)</f>
        <v>-1</v>
      </c>
      <c r="Y36">
        <f>IF(
(AND('(直掃)RX Mapping'!Y36&gt;=0,'(直掃)RX Mapping'!Y36&lt;=480)),
(MOD('(直掃)RX Mapping'!Y36,120)-1),
IF(
(AND('(直掃)RX Mapping'!Y36&gt;=480,'(直掃)RX Mapping'!Y36&lt;=960)),
IF(MOD('(直掃)RX Mapping'!Y36,120)=0, 120, 240-MOD('(直掃)RX Mapping'!Y36,120)),9999))+IF(AND(MOD('(直掃)RX Mapping'!Y36,120)=0, '(直掃)RX Mapping'!Y36 &lt;= 480,  '(直掃)RX Mapping'!Y36 &gt; 0), 120)</f>
        <v>-1</v>
      </c>
      <c r="Z36">
        <f>IF(
(AND('(直掃)RX Mapping'!Z36&gt;=0,'(直掃)RX Mapping'!Z36&lt;=480)),
(MOD('(直掃)RX Mapping'!Z36,120)-1),
IF(
(AND('(直掃)RX Mapping'!Z36&gt;=480,'(直掃)RX Mapping'!Z36&lt;=960)),
IF(MOD('(直掃)RX Mapping'!Z36,120)=0, 120, 240-MOD('(直掃)RX Mapping'!Z36,120)),9999))+IF(AND(MOD('(直掃)RX Mapping'!Z36,120)=0, '(直掃)RX Mapping'!Z36 &lt;= 480,  '(直掃)RX Mapping'!Z36 &gt; 0), 120)</f>
        <v>-1</v>
      </c>
      <c r="AA36">
        <f>IF(
(AND('(直掃)RX Mapping'!AA36&gt;=0,'(直掃)RX Mapping'!AA36&lt;=480)),
(MOD('(直掃)RX Mapping'!AA36,120)-1),
IF(
(AND('(直掃)RX Mapping'!AA36&gt;=480,'(直掃)RX Mapping'!AA36&lt;=960)),
IF(MOD('(直掃)RX Mapping'!AA36,120)=0, 120, 240-MOD('(直掃)RX Mapping'!AA36,120)),9999))+IF(AND(MOD('(直掃)RX Mapping'!AA36,120)=0, '(直掃)RX Mapping'!AA36 &lt;= 480,  '(直掃)RX Mapping'!AA36 &gt; 0), 120)</f>
        <v>-1</v>
      </c>
      <c r="AB36">
        <f>IF(
(AND('(直掃)RX Mapping'!AB36&gt;=0,'(直掃)RX Mapping'!AB36&lt;=480)),
(MOD('(直掃)RX Mapping'!AB36,120)-1),
IF(
(AND('(直掃)RX Mapping'!AB36&gt;=480,'(直掃)RX Mapping'!AB36&lt;=960)),
IF(MOD('(直掃)RX Mapping'!AB36,120)=0, 120, 240-MOD('(直掃)RX Mapping'!AB36,120)),9999))+IF(AND(MOD('(直掃)RX Mapping'!AB36,120)=0, '(直掃)RX Mapping'!AB36 &lt;= 480,  '(直掃)RX Mapping'!AB36 &gt; 0), 120)</f>
        <v>-1</v>
      </c>
      <c r="AC36">
        <f>IF(
(AND('(直掃)RX Mapping'!AC36&gt;=0,'(直掃)RX Mapping'!AC36&lt;=480)),
(MOD('(直掃)RX Mapping'!AC36,120)-1),
IF(
(AND('(直掃)RX Mapping'!AC36&gt;=480,'(直掃)RX Mapping'!AC36&lt;=960)),
IF(MOD('(直掃)RX Mapping'!AC36,120)=0, 120, 240-MOD('(直掃)RX Mapping'!AC36,120)),9999))+IF(AND(MOD('(直掃)RX Mapping'!AC36,120)=0, '(直掃)RX Mapping'!AC36 &lt;= 480,  '(直掃)RX Mapping'!AC36 &gt; 0), 120)</f>
        <v>-1</v>
      </c>
      <c r="AD36">
        <f>IF(
(AND('(直掃)RX Mapping'!AD36&gt;=0,'(直掃)RX Mapping'!AD36&lt;=480)),
(MOD('(直掃)RX Mapping'!AD36,120)-1),
IF(
(AND('(直掃)RX Mapping'!AD36&gt;=480,'(直掃)RX Mapping'!AD36&lt;=960)),
IF(MOD('(直掃)RX Mapping'!AD36,120)=0, 120, 240-MOD('(直掃)RX Mapping'!AD36,120)),9999))+IF(AND(MOD('(直掃)RX Mapping'!AD36,120)=0, '(直掃)RX Mapping'!AD36 &lt;= 480,  '(直掃)RX Mapping'!AD36 &gt; 0), 120)</f>
        <v>-1</v>
      </c>
      <c r="AE36">
        <f>IF(
(AND('(直掃)RX Mapping'!AE36&gt;=0,'(直掃)RX Mapping'!AE36&lt;=480)),
(MOD('(直掃)RX Mapping'!AE36,120)-1),
IF(
(AND('(直掃)RX Mapping'!AE36&gt;=480,'(直掃)RX Mapping'!AE36&lt;=960)),
IF(MOD('(直掃)RX Mapping'!AE36,120)=0, 120, 240-MOD('(直掃)RX Mapping'!AE36,120)),9999))+IF(AND(MOD('(直掃)RX Mapping'!AE36,120)=0, '(直掃)RX Mapping'!AE36 &lt;= 480,  '(直掃)RX Mapping'!AE36 &gt; 0), 120)</f>
        <v>-1</v>
      </c>
      <c r="AF36">
        <f>IF(
(AND('(直掃)RX Mapping'!AF36&gt;=0,'(直掃)RX Mapping'!AF36&lt;=480)),
(MOD('(直掃)RX Mapping'!AF36,120)-1),
IF(
(AND('(直掃)RX Mapping'!AF36&gt;=480,'(直掃)RX Mapping'!AF36&lt;=960)),
IF(MOD('(直掃)RX Mapping'!AF36,120)=0, 120, 240-MOD('(直掃)RX Mapping'!AF36,120)),9999))+IF(AND(MOD('(直掃)RX Mapping'!AF36,120)=0, '(直掃)RX Mapping'!AF36 &lt;= 480,  '(直掃)RX Mapping'!AF36 &gt; 0), 120)</f>
        <v>-1</v>
      </c>
      <c r="AG36">
        <f>IF(
(AND('(直掃)RX Mapping'!AG36&gt;=0,'(直掃)RX Mapping'!AG36&lt;=480)),
(MOD('(直掃)RX Mapping'!AG36,120)-1),
IF(
(AND('(直掃)RX Mapping'!AG36&gt;=480,'(直掃)RX Mapping'!AG36&lt;=960)),
IF(MOD('(直掃)RX Mapping'!AG36,120)=0, 120, 240-MOD('(直掃)RX Mapping'!AG36,120)),9999))+IF(AND(MOD('(直掃)RX Mapping'!AG36,120)=0, '(直掃)RX Mapping'!AG36 &lt;= 480,  '(直掃)RX Mapping'!AG36 &gt; 0), 120)</f>
        <v>-1</v>
      </c>
      <c r="AH36">
        <f>IF(
(AND('(直掃)RX Mapping'!AH36&gt;=0,'(直掃)RX Mapping'!AH36&lt;=480)),
(MOD('(直掃)RX Mapping'!AH36,120)-1),
IF(
(AND('(直掃)RX Mapping'!AH36&gt;=480,'(直掃)RX Mapping'!AH36&lt;=960)),
IF(MOD('(直掃)RX Mapping'!AH36,120)=0, 120, 240-MOD('(直掃)RX Mapping'!AH36,120)),9999))+IF(AND(MOD('(直掃)RX Mapping'!AH36,120)=0, '(直掃)RX Mapping'!AH36 &lt;= 480,  '(直掃)RX Mapping'!AH36 &gt; 0), 120)</f>
        <v>-1</v>
      </c>
      <c r="AI36">
        <f>IF(
(AND('(直掃)RX Mapping'!AI36&gt;=0,'(直掃)RX Mapping'!AI36&lt;=480)),
(MOD('(直掃)RX Mapping'!AI36,120)-1),
IF(
(AND('(直掃)RX Mapping'!AI36&gt;=480,'(直掃)RX Mapping'!AI36&lt;=960)),
IF(MOD('(直掃)RX Mapping'!AI36,120)=0, 120, 240-MOD('(直掃)RX Mapping'!AI36,120)),9999))+IF(AND(MOD('(直掃)RX Mapping'!AI36,120)=0, '(直掃)RX Mapping'!AI36 &lt;= 480,  '(直掃)RX Mapping'!AI36 &gt; 0), 120)</f>
        <v>-1</v>
      </c>
      <c r="AJ36">
        <f>IF(
(AND('(直掃)RX Mapping'!AJ36&gt;=0,'(直掃)RX Mapping'!AJ36&lt;=480)),
(MOD('(直掃)RX Mapping'!AJ36,120)-1),
IF(
(AND('(直掃)RX Mapping'!AJ36&gt;=480,'(直掃)RX Mapping'!AJ36&lt;=960)),
IF(MOD('(直掃)RX Mapping'!AJ36,120)=0, 120, 240-MOD('(直掃)RX Mapping'!AJ36,120)),9999))+IF(AND(MOD('(直掃)RX Mapping'!AJ36,120)=0, '(直掃)RX Mapping'!AJ36 &lt;= 480,  '(直掃)RX Mapping'!AJ36 &gt; 0), 120)</f>
        <v>-1</v>
      </c>
      <c r="AK36">
        <f>IF(
(AND('(直掃)RX Mapping'!AK36&gt;=0,'(直掃)RX Mapping'!AK36&lt;=480)),
(MOD('(直掃)RX Mapping'!AK36,120)-1),
IF(
(AND('(直掃)RX Mapping'!AK36&gt;=480,'(直掃)RX Mapping'!AK36&lt;=960)),
IF(MOD('(直掃)RX Mapping'!AK36,120)=0, 120, 240-MOD('(直掃)RX Mapping'!AK36,120)),9999))+IF(AND(MOD('(直掃)RX Mapping'!AK36,120)=0, '(直掃)RX Mapping'!AK36 &lt;= 480,  '(直掃)RX Mapping'!AK36 &gt; 0), 120)</f>
        <v>-1</v>
      </c>
      <c r="AL36">
        <f>IF(
(AND('(直掃)RX Mapping'!AL36&gt;=0,'(直掃)RX Mapping'!AL36&lt;=480)),
(MOD('(直掃)RX Mapping'!AL36,120)-1),
IF(
(AND('(直掃)RX Mapping'!AL36&gt;=480,'(直掃)RX Mapping'!AL36&lt;=960)),
IF(MOD('(直掃)RX Mapping'!AL36,120)=0, 120, 240-MOD('(直掃)RX Mapping'!AL36,120)),9999))+IF(AND(MOD('(直掃)RX Mapping'!AL36,120)=0, '(直掃)RX Mapping'!AL36 &lt;= 480,  '(直掃)RX Mapping'!AL36 &gt; 0), 120)</f>
        <v>-1</v>
      </c>
      <c r="AM36">
        <f>IF(
(AND('(直掃)RX Mapping'!AM36&gt;=0,'(直掃)RX Mapping'!AM36&lt;=480)),
(MOD('(直掃)RX Mapping'!AM36,120)-1),
IF(
(AND('(直掃)RX Mapping'!AM36&gt;=480,'(直掃)RX Mapping'!AM36&lt;=960)),
IF(MOD('(直掃)RX Mapping'!AM36,120)=0, 120, 240-MOD('(直掃)RX Mapping'!AM36,120)),9999))+IF(AND(MOD('(直掃)RX Mapping'!AM36,120)=0, '(直掃)RX Mapping'!AM36 &lt;= 480,  '(直掃)RX Mapping'!AM36 &gt; 0), 120)</f>
        <v>-1</v>
      </c>
      <c r="AN36">
        <f>IF(
(AND('(直掃)RX Mapping'!AN36&gt;=0,'(直掃)RX Mapping'!AN36&lt;=480)),
(MOD('(直掃)RX Mapping'!AN36,120)-1),
IF(
(AND('(直掃)RX Mapping'!AN36&gt;=480,'(直掃)RX Mapping'!AN36&lt;=960)),
IF(MOD('(直掃)RX Mapping'!AN36,120)=0, 120, 240-MOD('(直掃)RX Mapping'!AN36,120)),9999))+IF(AND(MOD('(直掃)RX Mapping'!AN36,120)=0, '(直掃)RX Mapping'!AN36 &lt;= 480,  '(直掃)RX Mapping'!AN36 &gt; 0), 120)</f>
        <v>-1</v>
      </c>
      <c r="AO36">
        <f>IF(
(AND('(直掃)RX Mapping'!AO36&gt;=0,'(直掃)RX Mapping'!AO36&lt;=480)),
(MOD('(直掃)RX Mapping'!AO36,120)-1),
IF(
(AND('(直掃)RX Mapping'!AO36&gt;=480,'(直掃)RX Mapping'!AO36&lt;=960)),
IF(MOD('(直掃)RX Mapping'!AO36,120)=0, 120, 240-MOD('(直掃)RX Mapping'!AO36,120)),9999))+IF(AND(MOD('(直掃)RX Mapping'!AO36,120)=0, '(直掃)RX Mapping'!AO36 &lt;= 480,  '(直掃)RX Mapping'!AO36 &gt; 0), 120)</f>
        <v>-1</v>
      </c>
      <c r="AP36">
        <f>IF(
(AND('(直掃)RX Mapping'!AP36&gt;=0,'(直掃)RX Mapping'!AP36&lt;=480)),
(MOD('(直掃)RX Mapping'!AP36,120)-1),
IF(
(AND('(直掃)RX Mapping'!AP36&gt;=480,'(直掃)RX Mapping'!AP36&lt;=960)),
IF(MOD('(直掃)RX Mapping'!AP36,120)=0, 120, 240-MOD('(直掃)RX Mapping'!AP36,120)),9999))+IF(AND(MOD('(直掃)RX Mapping'!AP36,120)=0, '(直掃)RX Mapping'!AP36 &lt;= 480,  '(直掃)RX Mapping'!AP36 &gt; 0), 120)</f>
        <v>-1</v>
      </c>
      <c r="AQ36">
        <f>IF(
(AND('(直掃)RX Mapping'!AQ36&gt;=0,'(直掃)RX Mapping'!AQ36&lt;=480)),
(MOD('(直掃)RX Mapping'!AQ36,120)-1),
IF(
(AND('(直掃)RX Mapping'!AQ36&gt;=480,'(直掃)RX Mapping'!AQ36&lt;=960)),
IF(MOD('(直掃)RX Mapping'!AQ36,120)=0, 120, 240-MOD('(直掃)RX Mapping'!AQ36,120)),9999))+IF(AND(MOD('(直掃)RX Mapping'!AQ36,120)=0, '(直掃)RX Mapping'!AQ36 &lt;= 480,  '(直掃)RX Mapping'!AQ36 &gt; 0), 120)</f>
        <v>-1</v>
      </c>
      <c r="AR36">
        <f>IF(
(AND('(直掃)RX Mapping'!AR36&gt;=0,'(直掃)RX Mapping'!AR36&lt;=480)),
(MOD('(直掃)RX Mapping'!AR36,120)-1),
IF(
(AND('(直掃)RX Mapping'!AR36&gt;=480,'(直掃)RX Mapping'!AR36&lt;=960)),
IF(MOD('(直掃)RX Mapping'!AR36,120)=0, 120, 240-MOD('(直掃)RX Mapping'!AR36,120)),9999))+IF(AND(MOD('(直掃)RX Mapping'!AR36,120)=0, '(直掃)RX Mapping'!AR36 &lt;= 480,  '(直掃)RX Mapping'!AR36 &gt; 0), 120)</f>
        <v>-1</v>
      </c>
      <c r="AS36">
        <f>IF(
(AND('(直掃)RX Mapping'!AS36&gt;=0,'(直掃)RX Mapping'!AS36&lt;=480)),
(MOD('(直掃)RX Mapping'!AS36,120)-1),
IF(
(AND('(直掃)RX Mapping'!AS36&gt;=480,'(直掃)RX Mapping'!AS36&lt;=960)),
IF(MOD('(直掃)RX Mapping'!AS36,120)=0, 120, 240-MOD('(直掃)RX Mapping'!AS36,120)),9999))+IF(AND(MOD('(直掃)RX Mapping'!AS36,120)=0, '(直掃)RX Mapping'!AS36 &lt;= 480,  '(直掃)RX Mapping'!AS36 &gt; 0), 120)</f>
        <v>-1</v>
      </c>
      <c r="AT36">
        <f>IF(AND('(橫掃)RX Mapping'!AT36&gt;=1,'(橫掃)RX Mapping'!AT36&lt;=120), ('(橫掃)RX Mapping'!AT36-1),IF(AND('(橫掃)RX Mapping'!AT36&gt;=121,'(橫掃)RX Mapping'!AT36&lt;=240), (-1)*('(橫掃)RX Mapping'!AT36-240),IF(AND('(橫掃)RX Mapping'!AT36&gt;=241,'(橫掃)RX Mapping'!AT36&lt;=360), ('(橫掃)RX Mapping'!AT36-241),IF(AND('(橫掃)RX Mapping'!AT36&gt;=361,'(橫掃)RX Mapping'!AT36&lt;=480), (-1)*('(橫掃)RX Mapping'!AT36-480),IF(AND('(橫掃)RX Mapping'!AT36&gt;=481,'(橫掃)RX Mapping'!AT36&lt;=600), ('(橫掃)RX Mapping'!AT36-361),IF(AND('(橫掃)RX Mapping'!AT36&gt;=601,'(橫掃)RX Mapping'!AT36&lt;=720), (-1)*('(橫掃)RX Mapping'!AT36-720)+120,IF(AND('(橫掃)RX Mapping'!AT36&gt;=721,'(橫掃)RX Mapping'!AT36&lt;=840), ('(橫掃)RX Mapping'!AT36-601),IF(AND('(橫掃)RX Mapping'!AT36&gt;=841,'(橫掃)RX Mapping'!AT36&lt;=960), (-1)*('(橫掃)RX Mapping'!AT36-960)+120,9999))))))))</f>
        <v>9999</v>
      </c>
      <c r="AU36">
        <f>IF(AND('(橫掃)RX Mapping'!AU36&gt;=1,'(橫掃)RX Mapping'!AU36&lt;=120), ('(橫掃)RX Mapping'!AU36-1),IF(AND('(橫掃)RX Mapping'!AU36&gt;=121,'(橫掃)RX Mapping'!AU36&lt;=240), (-1)*('(橫掃)RX Mapping'!AU36-240),IF(AND('(橫掃)RX Mapping'!AU36&gt;=241,'(橫掃)RX Mapping'!AU36&lt;=360), ('(橫掃)RX Mapping'!AU36-241),IF(AND('(橫掃)RX Mapping'!AU36&gt;=361,'(橫掃)RX Mapping'!AU36&lt;=480), (-1)*('(橫掃)RX Mapping'!AU36-480),IF(AND('(橫掃)RX Mapping'!AU36&gt;=481,'(橫掃)RX Mapping'!AU36&lt;=600), ('(橫掃)RX Mapping'!AU36-361),IF(AND('(橫掃)RX Mapping'!AU36&gt;=601,'(橫掃)RX Mapping'!AU36&lt;=720), (-1)*('(橫掃)RX Mapping'!AU36-720)+120,IF(AND('(橫掃)RX Mapping'!AU36&gt;=721,'(橫掃)RX Mapping'!AU36&lt;=840), ('(橫掃)RX Mapping'!AU36-601),IF(AND('(橫掃)RX Mapping'!AU36&gt;=841,'(橫掃)RX Mapping'!AU36&lt;=960), (-1)*('(橫掃)RX Mapping'!AU36-960)+120,9999))))))))</f>
        <v>9999</v>
      </c>
      <c r="AV36">
        <f>IF(AND('(橫掃)RX Mapping'!AV36&gt;=1,'(橫掃)RX Mapping'!AV36&lt;=120), ('(橫掃)RX Mapping'!AV36-1),IF(AND('(橫掃)RX Mapping'!AV36&gt;=121,'(橫掃)RX Mapping'!AV36&lt;=240), (-1)*('(橫掃)RX Mapping'!AV36-240),IF(AND('(橫掃)RX Mapping'!AV36&gt;=241,'(橫掃)RX Mapping'!AV36&lt;=360), ('(橫掃)RX Mapping'!AV36-241),IF(AND('(橫掃)RX Mapping'!AV36&gt;=361,'(橫掃)RX Mapping'!AV36&lt;=480), (-1)*('(橫掃)RX Mapping'!AV36-480),IF(AND('(橫掃)RX Mapping'!AV36&gt;=481,'(橫掃)RX Mapping'!AV36&lt;=600), ('(橫掃)RX Mapping'!AV36-361),IF(AND('(橫掃)RX Mapping'!AV36&gt;=601,'(橫掃)RX Mapping'!AV36&lt;=720), (-1)*('(橫掃)RX Mapping'!AV36-720)+120,IF(AND('(橫掃)RX Mapping'!AV36&gt;=721,'(橫掃)RX Mapping'!AV36&lt;=840), ('(橫掃)RX Mapping'!AV36-601),IF(AND('(橫掃)RX Mapping'!AV36&gt;=841,'(橫掃)RX Mapping'!AV36&lt;=960), (-1)*('(橫掃)RX Mapping'!AV36-960)+120,9999))))))))</f>
        <v>9999</v>
      </c>
      <c r="AW36">
        <f>IF(AND('(橫掃)RX Mapping'!AW36&gt;=1,'(橫掃)RX Mapping'!AW36&lt;=120), ('(橫掃)RX Mapping'!AW36-1),IF(AND('(橫掃)RX Mapping'!AW36&gt;=121,'(橫掃)RX Mapping'!AW36&lt;=240), (-1)*('(橫掃)RX Mapping'!AW36-240),IF(AND('(橫掃)RX Mapping'!AW36&gt;=241,'(橫掃)RX Mapping'!AW36&lt;=360), ('(橫掃)RX Mapping'!AW36-241),IF(AND('(橫掃)RX Mapping'!AW36&gt;=361,'(橫掃)RX Mapping'!AW36&lt;=480), (-1)*('(橫掃)RX Mapping'!AW36-480),IF(AND('(橫掃)RX Mapping'!AW36&gt;=481,'(橫掃)RX Mapping'!AW36&lt;=600), ('(橫掃)RX Mapping'!AW36-361),IF(AND('(橫掃)RX Mapping'!AW36&gt;=601,'(橫掃)RX Mapping'!AW36&lt;=720), (-1)*('(橫掃)RX Mapping'!AW36-720)+120,IF(AND('(橫掃)RX Mapping'!AW36&gt;=721,'(橫掃)RX Mapping'!AW36&lt;=840), ('(橫掃)RX Mapping'!AW36-601),IF(AND('(橫掃)RX Mapping'!AW36&gt;=841,'(橫掃)RX Mapping'!AW36&lt;=960), (-1)*('(橫掃)RX Mapping'!AW36-960)+120,9999))))))))</f>
        <v>9999</v>
      </c>
      <c r="AX36">
        <f>IF(AND('(橫掃)RX Mapping'!AX36&gt;=1,'(橫掃)RX Mapping'!AX36&lt;=120), ('(橫掃)RX Mapping'!AX36-1),IF(AND('(橫掃)RX Mapping'!AX36&gt;=121,'(橫掃)RX Mapping'!AX36&lt;=240), (-1)*('(橫掃)RX Mapping'!AX36-240),IF(AND('(橫掃)RX Mapping'!AX36&gt;=241,'(橫掃)RX Mapping'!AX36&lt;=360), ('(橫掃)RX Mapping'!AX36-241),IF(AND('(橫掃)RX Mapping'!AX36&gt;=361,'(橫掃)RX Mapping'!AX36&lt;=480), (-1)*('(橫掃)RX Mapping'!AX36-480),IF(AND('(橫掃)RX Mapping'!AX36&gt;=481,'(橫掃)RX Mapping'!AX36&lt;=600), ('(橫掃)RX Mapping'!AX36-361),IF(AND('(橫掃)RX Mapping'!AX36&gt;=601,'(橫掃)RX Mapping'!AX36&lt;=720), (-1)*('(橫掃)RX Mapping'!AX36-720)+120,IF(AND('(橫掃)RX Mapping'!AX36&gt;=721,'(橫掃)RX Mapping'!AX36&lt;=840), ('(橫掃)RX Mapping'!AX36-601),IF(AND('(橫掃)RX Mapping'!AX36&gt;=841,'(橫掃)RX Mapping'!AX36&lt;=960), (-1)*('(橫掃)RX Mapping'!AX36-960)+120,9999))))))))</f>
        <v>9999</v>
      </c>
      <c r="AY36">
        <f>IF(AND('(橫掃)RX Mapping'!AY36&gt;=1,'(橫掃)RX Mapping'!AY36&lt;=120), ('(橫掃)RX Mapping'!AY36-1),IF(AND('(橫掃)RX Mapping'!AY36&gt;=121,'(橫掃)RX Mapping'!AY36&lt;=240), (-1)*('(橫掃)RX Mapping'!AY36-240),IF(AND('(橫掃)RX Mapping'!AY36&gt;=241,'(橫掃)RX Mapping'!AY36&lt;=360), ('(橫掃)RX Mapping'!AY36-241),IF(AND('(橫掃)RX Mapping'!AY36&gt;=361,'(橫掃)RX Mapping'!AY36&lt;=480), (-1)*('(橫掃)RX Mapping'!AY36-480),IF(AND('(橫掃)RX Mapping'!AY36&gt;=481,'(橫掃)RX Mapping'!AY36&lt;=600), ('(橫掃)RX Mapping'!AY36-361),IF(AND('(橫掃)RX Mapping'!AY36&gt;=601,'(橫掃)RX Mapping'!AY36&lt;=720), (-1)*('(橫掃)RX Mapping'!AY36-720)+120,IF(AND('(橫掃)RX Mapping'!AY36&gt;=721,'(橫掃)RX Mapping'!AY36&lt;=840), ('(橫掃)RX Mapping'!AY36-601),IF(AND('(橫掃)RX Mapping'!AY36&gt;=841,'(橫掃)RX Mapping'!AY36&lt;=960), (-1)*('(橫掃)RX Mapping'!AY36-960)+120,9999))))))))</f>
        <v>9999</v>
      </c>
      <c r="AZ36">
        <f>IF(AND('(橫掃)RX Mapping'!AZ36&gt;=1,'(橫掃)RX Mapping'!AZ36&lt;=120), ('(橫掃)RX Mapping'!AZ36-1),IF(AND('(橫掃)RX Mapping'!AZ36&gt;=121,'(橫掃)RX Mapping'!AZ36&lt;=240), (-1)*('(橫掃)RX Mapping'!AZ36-240),IF(AND('(橫掃)RX Mapping'!AZ36&gt;=241,'(橫掃)RX Mapping'!AZ36&lt;=360), ('(橫掃)RX Mapping'!AZ36-241),IF(AND('(橫掃)RX Mapping'!AZ36&gt;=361,'(橫掃)RX Mapping'!AZ36&lt;=480), (-1)*('(橫掃)RX Mapping'!AZ36-480),IF(AND('(橫掃)RX Mapping'!AZ36&gt;=481,'(橫掃)RX Mapping'!AZ36&lt;=600), ('(橫掃)RX Mapping'!AZ36-361),IF(AND('(橫掃)RX Mapping'!AZ36&gt;=601,'(橫掃)RX Mapping'!AZ36&lt;=720), (-1)*('(橫掃)RX Mapping'!AZ36-720)+120,IF(AND('(橫掃)RX Mapping'!AZ36&gt;=721,'(橫掃)RX Mapping'!AZ36&lt;=840), ('(橫掃)RX Mapping'!AZ36-601),IF(AND('(橫掃)RX Mapping'!AZ36&gt;=841,'(橫掃)RX Mapping'!AZ36&lt;=960), (-1)*('(橫掃)RX Mapping'!AZ36-960)+120,9999))))))))</f>
        <v>9999</v>
      </c>
      <c r="BA36">
        <f>IF(AND('(橫掃)RX Mapping'!BA36&gt;=1,'(橫掃)RX Mapping'!BA36&lt;=120), ('(橫掃)RX Mapping'!BA36-1),IF(AND('(橫掃)RX Mapping'!BA36&gt;=121,'(橫掃)RX Mapping'!BA36&lt;=240), (-1)*('(橫掃)RX Mapping'!BA36-240),IF(AND('(橫掃)RX Mapping'!BA36&gt;=241,'(橫掃)RX Mapping'!BA36&lt;=360), ('(橫掃)RX Mapping'!BA36-241),IF(AND('(橫掃)RX Mapping'!BA36&gt;=361,'(橫掃)RX Mapping'!BA36&lt;=480), (-1)*('(橫掃)RX Mapping'!BA36-480),IF(AND('(橫掃)RX Mapping'!BA36&gt;=481,'(橫掃)RX Mapping'!BA36&lt;=600), ('(橫掃)RX Mapping'!BA36-361),IF(AND('(橫掃)RX Mapping'!BA36&gt;=601,'(橫掃)RX Mapping'!BA36&lt;=720), (-1)*('(橫掃)RX Mapping'!BA36-720)+120,IF(AND('(橫掃)RX Mapping'!BA36&gt;=721,'(橫掃)RX Mapping'!BA36&lt;=840), ('(橫掃)RX Mapping'!BA36-601),IF(AND('(橫掃)RX Mapping'!BA36&gt;=841,'(橫掃)RX Mapping'!BA36&lt;=960), (-1)*('(橫掃)RX Mapping'!BA36-960)+120,9999))))))))</f>
        <v>9999</v>
      </c>
      <c r="BB36">
        <f>IF(AND('(橫掃)RX Mapping'!BB36&gt;=1,'(橫掃)RX Mapping'!BB36&lt;=120), ('(橫掃)RX Mapping'!BB36-1),IF(AND('(橫掃)RX Mapping'!BB36&gt;=121,'(橫掃)RX Mapping'!BB36&lt;=240), (-1)*('(橫掃)RX Mapping'!BB36-240),IF(AND('(橫掃)RX Mapping'!BB36&gt;=241,'(橫掃)RX Mapping'!BB36&lt;=360), ('(橫掃)RX Mapping'!BB36-241),IF(AND('(橫掃)RX Mapping'!BB36&gt;=361,'(橫掃)RX Mapping'!BB36&lt;=480), (-1)*('(橫掃)RX Mapping'!BB36-480),IF(AND('(橫掃)RX Mapping'!BB36&gt;=481,'(橫掃)RX Mapping'!BB36&lt;=600), ('(橫掃)RX Mapping'!BB36-361),IF(AND('(橫掃)RX Mapping'!BB36&gt;=601,'(橫掃)RX Mapping'!BB36&lt;=720), (-1)*('(橫掃)RX Mapping'!BB36-720)+120,IF(AND('(橫掃)RX Mapping'!BB36&gt;=721,'(橫掃)RX Mapping'!BB36&lt;=840), ('(橫掃)RX Mapping'!BB36-601),IF(AND('(橫掃)RX Mapping'!BB36&gt;=841,'(橫掃)RX Mapping'!BB36&lt;=960), (-1)*('(橫掃)RX Mapping'!BB36-960)+120,9999))))))))</f>
        <v>9999</v>
      </c>
      <c r="BC36">
        <f>IF(AND('(橫掃)RX Mapping'!BC36&gt;=1,'(橫掃)RX Mapping'!BC36&lt;=120), ('(橫掃)RX Mapping'!BC36-1),IF(AND('(橫掃)RX Mapping'!BC36&gt;=121,'(橫掃)RX Mapping'!BC36&lt;=240), (-1)*('(橫掃)RX Mapping'!BC36-240),IF(AND('(橫掃)RX Mapping'!BC36&gt;=241,'(橫掃)RX Mapping'!BC36&lt;=360), ('(橫掃)RX Mapping'!BC36-241),IF(AND('(橫掃)RX Mapping'!BC36&gt;=361,'(橫掃)RX Mapping'!BC36&lt;=480), (-1)*('(橫掃)RX Mapping'!BC36-480),IF(AND('(橫掃)RX Mapping'!BC36&gt;=481,'(橫掃)RX Mapping'!BC36&lt;=600), ('(橫掃)RX Mapping'!BC36-361),IF(AND('(橫掃)RX Mapping'!BC36&gt;=601,'(橫掃)RX Mapping'!BC36&lt;=720), (-1)*('(橫掃)RX Mapping'!BC36-720)+120,IF(AND('(橫掃)RX Mapping'!BC36&gt;=721,'(橫掃)RX Mapping'!BC36&lt;=840), ('(橫掃)RX Mapping'!BC36-601),IF(AND('(橫掃)RX Mapping'!BC36&gt;=841,'(橫掃)RX Mapping'!BC36&lt;=960), (-1)*('(橫掃)RX Mapping'!BC36-960)+120,9999))))))))</f>
        <v>9999</v>
      </c>
      <c r="BD36">
        <f>IF(AND('(橫掃)RX Mapping'!BD36&gt;=1,'(橫掃)RX Mapping'!BD36&lt;=120), ('(橫掃)RX Mapping'!BD36-1),IF(AND('(橫掃)RX Mapping'!BD36&gt;=121,'(橫掃)RX Mapping'!BD36&lt;=240), (-1)*('(橫掃)RX Mapping'!BD36-240),IF(AND('(橫掃)RX Mapping'!BD36&gt;=241,'(橫掃)RX Mapping'!BD36&lt;=360), ('(橫掃)RX Mapping'!BD36-241),IF(AND('(橫掃)RX Mapping'!BD36&gt;=361,'(橫掃)RX Mapping'!BD36&lt;=480), (-1)*('(橫掃)RX Mapping'!BD36-480),IF(AND('(橫掃)RX Mapping'!BD36&gt;=481,'(橫掃)RX Mapping'!BD36&lt;=600), ('(橫掃)RX Mapping'!BD36-361),IF(AND('(橫掃)RX Mapping'!BD36&gt;=601,'(橫掃)RX Mapping'!BD36&lt;=720), (-1)*('(橫掃)RX Mapping'!BD36-720)+120,IF(AND('(橫掃)RX Mapping'!BD36&gt;=721,'(橫掃)RX Mapping'!BD36&lt;=840), ('(橫掃)RX Mapping'!BD36-601),IF(AND('(橫掃)RX Mapping'!BD36&gt;=841,'(橫掃)RX Mapping'!BD36&lt;=960), (-1)*('(橫掃)RX Mapping'!BD36-960)+120,9999))))))))</f>
        <v>9999</v>
      </c>
      <c r="BE36">
        <f>IF(AND('(橫掃)RX Mapping'!BE36&gt;=1,'(橫掃)RX Mapping'!BE36&lt;=120), ('(橫掃)RX Mapping'!BE36-1),IF(AND('(橫掃)RX Mapping'!BE36&gt;=121,'(橫掃)RX Mapping'!BE36&lt;=240), (-1)*('(橫掃)RX Mapping'!BE36-240),IF(AND('(橫掃)RX Mapping'!BE36&gt;=241,'(橫掃)RX Mapping'!BE36&lt;=360), ('(橫掃)RX Mapping'!BE36-241),IF(AND('(橫掃)RX Mapping'!BE36&gt;=361,'(橫掃)RX Mapping'!BE36&lt;=480), (-1)*('(橫掃)RX Mapping'!BE36-480),IF(AND('(橫掃)RX Mapping'!BE36&gt;=481,'(橫掃)RX Mapping'!BE36&lt;=600), ('(橫掃)RX Mapping'!BE36-361),IF(AND('(橫掃)RX Mapping'!BE36&gt;=601,'(橫掃)RX Mapping'!BE36&lt;=720), (-1)*('(橫掃)RX Mapping'!BE36-720)+120,IF(AND('(橫掃)RX Mapping'!BE36&gt;=721,'(橫掃)RX Mapping'!BE36&lt;=840), ('(橫掃)RX Mapping'!BE36-601),IF(AND('(橫掃)RX Mapping'!BE36&gt;=841,'(橫掃)RX Mapping'!BE36&lt;=960), (-1)*('(橫掃)RX Mapping'!BE36-960)+120,9999))))))))</f>
        <v>9999</v>
      </c>
      <c r="BF36">
        <f>IF(AND('(橫掃)RX Mapping'!BF36&gt;=1,'(橫掃)RX Mapping'!BF36&lt;=120), ('(橫掃)RX Mapping'!BF36-1),IF(AND('(橫掃)RX Mapping'!BF36&gt;=121,'(橫掃)RX Mapping'!BF36&lt;=240), (-1)*('(橫掃)RX Mapping'!BF36-240),IF(AND('(橫掃)RX Mapping'!BF36&gt;=241,'(橫掃)RX Mapping'!BF36&lt;=360), ('(橫掃)RX Mapping'!BF36-241),IF(AND('(橫掃)RX Mapping'!BF36&gt;=361,'(橫掃)RX Mapping'!BF36&lt;=480), (-1)*('(橫掃)RX Mapping'!BF36-480),IF(AND('(橫掃)RX Mapping'!BF36&gt;=481,'(橫掃)RX Mapping'!BF36&lt;=600), ('(橫掃)RX Mapping'!BF36-361),IF(AND('(橫掃)RX Mapping'!BF36&gt;=601,'(橫掃)RX Mapping'!BF36&lt;=720), (-1)*('(橫掃)RX Mapping'!BF36-720)+120,IF(AND('(橫掃)RX Mapping'!BF36&gt;=721,'(橫掃)RX Mapping'!BF36&lt;=840), ('(橫掃)RX Mapping'!BF36-601),IF(AND('(橫掃)RX Mapping'!BF36&gt;=841,'(橫掃)RX Mapping'!BF36&lt;=960), (-1)*('(橫掃)RX Mapping'!BF36-960)+120,9999))))))))</f>
        <v>9999</v>
      </c>
      <c r="BG36">
        <f>IF(AND('(橫掃)RX Mapping'!BG36&gt;=1,'(橫掃)RX Mapping'!BG36&lt;=120), ('(橫掃)RX Mapping'!BG36-1),IF(AND('(橫掃)RX Mapping'!BG36&gt;=121,'(橫掃)RX Mapping'!BG36&lt;=240), (-1)*('(橫掃)RX Mapping'!BG36-240),IF(AND('(橫掃)RX Mapping'!BG36&gt;=241,'(橫掃)RX Mapping'!BG36&lt;=360), ('(橫掃)RX Mapping'!BG36-241),IF(AND('(橫掃)RX Mapping'!BG36&gt;=361,'(橫掃)RX Mapping'!BG36&lt;=480), (-1)*('(橫掃)RX Mapping'!BG36-480),IF(AND('(橫掃)RX Mapping'!BG36&gt;=481,'(橫掃)RX Mapping'!BG36&lt;=600), ('(橫掃)RX Mapping'!BG36-361),IF(AND('(橫掃)RX Mapping'!BG36&gt;=601,'(橫掃)RX Mapping'!BG36&lt;=720), (-1)*('(橫掃)RX Mapping'!BG36-720)+120,IF(AND('(橫掃)RX Mapping'!BG36&gt;=721,'(橫掃)RX Mapping'!BG36&lt;=840), ('(橫掃)RX Mapping'!BG36-601),IF(AND('(橫掃)RX Mapping'!BG36&gt;=841,'(橫掃)RX Mapping'!BG36&lt;=960), (-1)*('(橫掃)RX Mapping'!BG36-960)+120,9999))))))))</f>
        <v>9999</v>
      </c>
      <c r="BH36">
        <f>IF(AND('(橫掃)RX Mapping'!BH36&gt;=1,'(橫掃)RX Mapping'!BH36&lt;=120), ('(橫掃)RX Mapping'!BH36-1),IF(AND('(橫掃)RX Mapping'!BH36&gt;=121,'(橫掃)RX Mapping'!BH36&lt;=240), (-1)*('(橫掃)RX Mapping'!BH36-240),IF(AND('(橫掃)RX Mapping'!BH36&gt;=241,'(橫掃)RX Mapping'!BH36&lt;=360), ('(橫掃)RX Mapping'!BH36-241),IF(AND('(橫掃)RX Mapping'!BH36&gt;=361,'(橫掃)RX Mapping'!BH36&lt;=480), (-1)*('(橫掃)RX Mapping'!BH36-480),IF(AND('(橫掃)RX Mapping'!BH36&gt;=481,'(橫掃)RX Mapping'!BH36&lt;=600), ('(橫掃)RX Mapping'!BH36-361),IF(AND('(橫掃)RX Mapping'!BH36&gt;=601,'(橫掃)RX Mapping'!BH36&lt;=720), (-1)*('(橫掃)RX Mapping'!BH36-720)+120,IF(AND('(橫掃)RX Mapping'!BH36&gt;=721,'(橫掃)RX Mapping'!BH36&lt;=840), ('(橫掃)RX Mapping'!BH36-601),IF(AND('(橫掃)RX Mapping'!BH36&gt;=841,'(橫掃)RX Mapping'!BH36&lt;=960), (-1)*('(橫掃)RX Mapping'!BH36-960)+120,9999))))))))</f>
        <v>9999</v>
      </c>
      <c r="BI36">
        <f>IF(AND('(橫掃)RX Mapping'!BI36&gt;=1,'(橫掃)RX Mapping'!BI36&lt;=120), ('(橫掃)RX Mapping'!BI36-1),IF(AND('(橫掃)RX Mapping'!BI36&gt;=121,'(橫掃)RX Mapping'!BI36&lt;=240), (-1)*('(橫掃)RX Mapping'!BI36-240),IF(AND('(橫掃)RX Mapping'!BI36&gt;=241,'(橫掃)RX Mapping'!BI36&lt;=360), ('(橫掃)RX Mapping'!BI36-241),IF(AND('(橫掃)RX Mapping'!BI36&gt;=361,'(橫掃)RX Mapping'!BI36&lt;=480), (-1)*('(橫掃)RX Mapping'!BI36-480),IF(AND('(橫掃)RX Mapping'!BI36&gt;=481,'(橫掃)RX Mapping'!BI36&lt;=600), ('(橫掃)RX Mapping'!BI36-361),IF(AND('(橫掃)RX Mapping'!BI36&gt;=601,'(橫掃)RX Mapping'!BI36&lt;=720), (-1)*('(橫掃)RX Mapping'!BI36-720)+120,IF(AND('(橫掃)RX Mapping'!BI36&gt;=721,'(橫掃)RX Mapping'!BI36&lt;=840), ('(橫掃)RX Mapping'!BI36-601),IF(AND('(橫掃)RX Mapping'!BI36&gt;=841,'(橫掃)RX Mapping'!BI36&lt;=960), (-1)*('(橫掃)RX Mapping'!BI36-960)+120,9999))))))))</f>
        <v>9999</v>
      </c>
    </row>
    <row r="37" spans="1:61" x14ac:dyDescent="0.25">
      <c r="A37" s="20">
        <v>36</v>
      </c>
      <c r="B37">
        <f>IF(
(AND('(直掃)RX Mapping'!B37&gt;=0,'(直掃)RX Mapping'!B37&lt;=480)),
(MOD('(直掃)RX Mapping'!B37,120)-1),
IF(
(AND('(直掃)RX Mapping'!B37&gt;=480,'(直掃)RX Mapping'!B37&lt;=960)),
IF(MOD('(直掃)RX Mapping'!B37,120)=0, 120, 240-MOD('(直掃)RX Mapping'!B37,120)),9999))+IF(AND(MOD('(直掃)RX Mapping'!B37,120)=0, '(直掃)RX Mapping'!B37 &lt;= 480,  '(直掃)RX Mapping'!B37 &gt; 0), 120)</f>
        <v>-1</v>
      </c>
      <c r="C37">
        <f>IF(
(AND('(直掃)RX Mapping'!C37&gt;=0,'(直掃)RX Mapping'!C37&lt;=480)),
(MOD('(直掃)RX Mapping'!C37,120)-1),
IF(
(AND('(直掃)RX Mapping'!C37&gt;=480,'(直掃)RX Mapping'!C37&lt;=960)),
IF(MOD('(直掃)RX Mapping'!C37,120)=0, 120, 240-MOD('(直掃)RX Mapping'!C37,120)),9999))+IF(AND(MOD('(直掃)RX Mapping'!C37,120)=0, '(直掃)RX Mapping'!C37 &lt;= 480,  '(直掃)RX Mapping'!C37 &gt; 0), 120)</f>
        <v>-1</v>
      </c>
      <c r="D37">
        <f>IF(
(AND('(直掃)RX Mapping'!D37&gt;=0,'(直掃)RX Mapping'!D37&lt;=480)),
(MOD('(直掃)RX Mapping'!D37,120)-1),
IF(
(AND('(直掃)RX Mapping'!D37&gt;=480,'(直掃)RX Mapping'!D37&lt;=960)),
IF(MOD('(直掃)RX Mapping'!D37,120)=0, 120, 240-MOD('(直掃)RX Mapping'!D37,120)),9999))+IF(AND(MOD('(直掃)RX Mapping'!D37,120)=0, '(直掃)RX Mapping'!D37 &lt;= 480,  '(直掃)RX Mapping'!D37 &gt; 0), 120)</f>
        <v>-1</v>
      </c>
      <c r="E37">
        <f>IF(
(AND('(直掃)RX Mapping'!E37&gt;=0,'(直掃)RX Mapping'!E37&lt;=480)),
(MOD('(直掃)RX Mapping'!E37,120)-1),
IF(
(AND('(直掃)RX Mapping'!E37&gt;=480,'(直掃)RX Mapping'!E37&lt;=960)),
IF(MOD('(直掃)RX Mapping'!E37,120)=0, 120, 240-MOD('(直掃)RX Mapping'!E37,120)),9999))+IF(AND(MOD('(直掃)RX Mapping'!E37,120)=0, '(直掃)RX Mapping'!E37 &lt;= 480,  '(直掃)RX Mapping'!E37 &gt; 0), 120)</f>
        <v>-1</v>
      </c>
      <c r="F37">
        <f>IF(
(AND('(直掃)RX Mapping'!F37&gt;=0,'(直掃)RX Mapping'!F37&lt;=480)),
(MOD('(直掃)RX Mapping'!F37,120)-1),
IF(
(AND('(直掃)RX Mapping'!F37&gt;=480,'(直掃)RX Mapping'!F37&lt;=960)),
IF(MOD('(直掃)RX Mapping'!F37,120)=0, 120, 240-MOD('(直掃)RX Mapping'!F37,120)),9999))+IF(AND(MOD('(直掃)RX Mapping'!F37,120)=0, '(直掃)RX Mapping'!F37 &lt;= 480,  '(直掃)RX Mapping'!F37 &gt; 0), 120)</f>
        <v>-1</v>
      </c>
      <c r="G37">
        <f>IF(
(AND('(直掃)RX Mapping'!G37&gt;=0,'(直掃)RX Mapping'!G37&lt;=480)),
(MOD('(直掃)RX Mapping'!G37,120)-1),
IF(
(AND('(直掃)RX Mapping'!G37&gt;=480,'(直掃)RX Mapping'!G37&lt;=960)),
IF(MOD('(直掃)RX Mapping'!G37,120)=0, 120, 240-MOD('(直掃)RX Mapping'!G37,120)),9999))+IF(AND(MOD('(直掃)RX Mapping'!G37,120)=0, '(直掃)RX Mapping'!G37 &lt;= 480,  '(直掃)RX Mapping'!G37 &gt; 0), 120)</f>
        <v>-1</v>
      </c>
      <c r="H37">
        <f>IF(
(AND('(直掃)RX Mapping'!H37&gt;=0,'(直掃)RX Mapping'!H37&lt;=480)),
(MOD('(直掃)RX Mapping'!H37,120)-1),
IF(
(AND('(直掃)RX Mapping'!H37&gt;=480,'(直掃)RX Mapping'!H37&lt;=960)),
IF(MOD('(直掃)RX Mapping'!H37,120)=0, 120, 240-MOD('(直掃)RX Mapping'!H37,120)),9999))+IF(AND(MOD('(直掃)RX Mapping'!H37,120)=0, '(直掃)RX Mapping'!H37 &lt;= 480,  '(直掃)RX Mapping'!H37 &gt; 0), 120)</f>
        <v>-1</v>
      </c>
      <c r="I37">
        <f>IF(
(AND('(直掃)RX Mapping'!I37&gt;=0,'(直掃)RX Mapping'!I37&lt;=480)),
(MOD('(直掃)RX Mapping'!I37,120)-1),
IF(
(AND('(直掃)RX Mapping'!I37&gt;=480,'(直掃)RX Mapping'!I37&lt;=960)),
IF(MOD('(直掃)RX Mapping'!I37,120)=0, 120, 240-MOD('(直掃)RX Mapping'!I37,120)),9999))+IF(AND(MOD('(直掃)RX Mapping'!I37,120)=0, '(直掃)RX Mapping'!I37 &lt;= 480,  '(直掃)RX Mapping'!I37 &gt; 0), 120)</f>
        <v>-1</v>
      </c>
      <c r="J37">
        <f>IF(
(AND('(直掃)RX Mapping'!J37&gt;=0,'(直掃)RX Mapping'!J37&lt;=480)),
(MOD('(直掃)RX Mapping'!J37,120)-1),
IF(
(AND('(直掃)RX Mapping'!J37&gt;=480,'(直掃)RX Mapping'!J37&lt;=960)),
IF(MOD('(直掃)RX Mapping'!J37,120)=0, 120, 240-MOD('(直掃)RX Mapping'!J37,120)),9999))+IF(AND(MOD('(直掃)RX Mapping'!J37,120)=0, '(直掃)RX Mapping'!J37 &lt;= 480,  '(直掃)RX Mapping'!J37 &gt; 0), 120)</f>
        <v>-1</v>
      </c>
      <c r="K37">
        <f>IF(
(AND('(直掃)RX Mapping'!K37&gt;=0,'(直掃)RX Mapping'!K37&lt;=480)),
(MOD('(直掃)RX Mapping'!K37,120)-1),
IF(
(AND('(直掃)RX Mapping'!K37&gt;=480,'(直掃)RX Mapping'!K37&lt;=960)),
IF(MOD('(直掃)RX Mapping'!K37,120)=0, 120, 240-MOD('(直掃)RX Mapping'!K37,120)),9999))+IF(AND(MOD('(直掃)RX Mapping'!K37,120)=0, '(直掃)RX Mapping'!K37 &lt;= 480,  '(直掃)RX Mapping'!K37 &gt; 0), 120)</f>
        <v>-1</v>
      </c>
      <c r="L37">
        <f>IF(
(AND('(直掃)RX Mapping'!L37&gt;=0,'(直掃)RX Mapping'!L37&lt;=480)),
(MOD('(直掃)RX Mapping'!L37,120)-1),
IF(
(AND('(直掃)RX Mapping'!L37&gt;=480,'(直掃)RX Mapping'!L37&lt;=960)),
IF(MOD('(直掃)RX Mapping'!L37,120)=0, 120, 240-MOD('(直掃)RX Mapping'!L37,120)),9999))+IF(AND(MOD('(直掃)RX Mapping'!L37,120)=0, '(直掃)RX Mapping'!L37 &lt;= 480,  '(直掃)RX Mapping'!L37 &gt; 0), 120)</f>
        <v>-1</v>
      </c>
      <c r="M37">
        <f>IF(
(AND('(直掃)RX Mapping'!M37&gt;=0,'(直掃)RX Mapping'!M37&lt;=480)),
(MOD('(直掃)RX Mapping'!M37,120)-1),
IF(
(AND('(直掃)RX Mapping'!M37&gt;=480,'(直掃)RX Mapping'!M37&lt;=960)),
IF(MOD('(直掃)RX Mapping'!M37,120)=0, 120, 240-MOD('(直掃)RX Mapping'!M37,120)),9999))+IF(AND(MOD('(直掃)RX Mapping'!M37,120)=0, '(直掃)RX Mapping'!M37 &lt;= 480,  '(直掃)RX Mapping'!M37 &gt; 0), 120)</f>
        <v>-1</v>
      </c>
      <c r="N37">
        <f>IF(
(AND('(直掃)RX Mapping'!N37&gt;=0,'(直掃)RX Mapping'!N37&lt;=480)),
(MOD('(直掃)RX Mapping'!N37,120)-1),
IF(
(AND('(直掃)RX Mapping'!N37&gt;=480,'(直掃)RX Mapping'!N37&lt;=960)),
IF(MOD('(直掃)RX Mapping'!N37,120)=0, 120, 240-MOD('(直掃)RX Mapping'!N37,120)),9999))+IF(AND(MOD('(直掃)RX Mapping'!N37,120)=0, '(直掃)RX Mapping'!N37 &lt;= 480,  '(直掃)RX Mapping'!N37 &gt; 0), 120)</f>
        <v>-1</v>
      </c>
      <c r="O37">
        <f>IF(
(AND('(直掃)RX Mapping'!O37&gt;=0,'(直掃)RX Mapping'!O37&lt;=480)),
(MOD('(直掃)RX Mapping'!O37,120)-1),
IF(
(AND('(直掃)RX Mapping'!O37&gt;=480,'(直掃)RX Mapping'!O37&lt;=960)),
IF(MOD('(直掃)RX Mapping'!O37,120)=0, 120, 240-MOD('(直掃)RX Mapping'!O37,120)),9999))+IF(AND(MOD('(直掃)RX Mapping'!O37,120)=0, '(直掃)RX Mapping'!O37 &lt;= 480,  '(直掃)RX Mapping'!O37 &gt; 0), 120)</f>
        <v>-1</v>
      </c>
      <c r="P37">
        <f>IF(
(AND('(直掃)RX Mapping'!P37&gt;=0,'(直掃)RX Mapping'!P37&lt;=480)),
(MOD('(直掃)RX Mapping'!P37,120)-1),
IF(
(AND('(直掃)RX Mapping'!P37&gt;=480,'(直掃)RX Mapping'!P37&lt;=960)),
IF(MOD('(直掃)RX Mapping'!P37,120)=0, 120, 240-MOD('(直掃)RX Mapping'!P37,120)),9999))+IF(AND(MOD('(直掃)RX Mapping'!P37,120)=0, '(直掃)RX Mapping'!P37 &lt;= 480,  '(直掃)RX Mapping'!P37 &gt; 0), 120)</f>
        <v>-1</v>
      </c>
      <c r="Q37">
        <f>IF(
(AND('(直掃)RX Mapping'!Q37&gt;=0,'(直掃)RX Mapping'!Q37&lt;=480)),
(MOD('(直掃)RX Mapping'!Q37,120)-1),
IF(
(AND('(直掃)RX Mapping'!Q37&gt;=480,'(直掃)RX Mapping'!Q37&lt;=960)),
IF(MOD('(直掃)RX Mapping'!Q37,120)=0, 120, 240-MOD('(直掃)RX Mapping'!Q37,120)),9999))+IF(AND(MOD('(直掃)RX Mapping'!Q37,120)=0, '(直掃)RX Mapping'!Q37 &lt;= 480,  '(直掃)RX Mapping'!Q37 &gt; 0), 120)</f>
        <v>-1</v>
      </c>
      <c r="R37">
        <f>IF(
(AND('(直掃)RX Mapping'!R37&gt;=0,'(直掃)RX Mapping'!R37&lt;=480)),
(MOD('(直掃)RX Mapping'!R37,120)-1),
IF(
(AND('(直掃)RX Mapping'!R37&gt;=480,'(直掃)RX Mapping'!R37&lt;=960)),
IF(MOD('(直掃)RX Mapping'!R37,120)=0, 120, 240-MOD('(直掃)RX Mapping'!R37,120)),9999))+IF(AND(MOD('(直掃)RX Mapping'!R37,120)=0, '(直掃)RX Mapping'!R37 &lt;= 480,  '(直掃)RX Mapping'!R37 &gt; 0), 120)</f>
        <v>-1</v>
      </c>
      <c r="S37">
        <f>IF(
(AND('(直掃)RX Mapping'!S37&gt;=0,'(直掃)RX Mapping'!S37&lt;=480)),
(MOD('(直掃)RX Mapping'!S37,120)-1),
IF(
(AND('(直掃)RX Mapping'!S37&gt;=480,'(直掃)RX Mapping'!S37&lt;=960)),
IF(MOD('(直掃)RX Mapping'!S37,120)=0, 120, 240-MOD('(直掃)RX Mapping'!S37,120)),9999))+IF(AND(MOD('(直掃)RX Mapping'!S37,120)=0, '(直掃)RX Mapping'!S37 &lt;= 480,  '(直掃)RX Mapping'!S37 &gt; 0), 120)</f>
        <v>-1</v>
      </c>
      <c r="T37">
        <f>IF(
(AND('(直掃)RX Mapping'!T37&gt;=0,'(直掃)RX Mapping'!T37&lt;=480)),
(MOD('(直掃)RX Mapping'!T37,120)-1),
IF(
(AND('(直掃)RX Mapping'!T37&gt;=480,'(直掃)RX Mapping'!T37&lt;=960)),
IF(MOD('(直掃)RX Mapping'!T37,120)=0, 120, 240-MOD('(直掃)RX Mapping'!T37,120)),9999))+IF(AND(MOD('(直掃)RX Mapping'!T37,120)=0, '(直掃)RX Mapping'!T37 &lt;= 480,  '(直掃)RX Mapping'!T37 &gt; 0), 120)</f>
        <v>-1</v>
      </c>
      <c r="U37">
        <f>IF(
(AND('(直掃)RX Mapping'!U37&gt;=0,'(直掃)RX Mapping'!U37&lt;=480)),
(MOD('(直掃)RX Mapping'!U37,120)-1),
IF(
(AND('(直掃)RX Mapping'!U37&gt;=480,'(直掃)RX Mapping'!U37&lt;=960)),
IF(MOD('(直掃)RX Mapping'!U37,120)=0, 120, 240-MOD('(直掃)RX Mapping'!U37,120)),9999))+IF(AND(MOD('(直掃)RX Mapping'!U37,120)=0, '(直掃)RX Mapping'!U37 &lt;= 480,  '(直掃)RX Mapping'!U37 &gt; 0), 120)</f>
        <v>-1</v>
      </c>
      <c r="V37">
        <f>IF(
(AND('(直掃)RX Mapping'!V37&gt;=0,'(直掃)RX Mapping'!V37&lt;=480)),
(MOD('(直掃)RX Mapping'!V37,120)-1),
IF(
(AND('(直掃)RX Mapping'!V37&gt;=480,'(直掃)RX Mapping'!V37&lt;=960)),
IF(MOD('(直掃)RX Mapping'!V37,120)=0, 120, 240-MOD('(直掃)RX Mapping'!V37,120)),9999))+IF(AND(MOD('(直掃)RX Mapping'!V37,120)=0, '(直掃)RX Mapping'!V37 &lt;= 480,  '(直掃)RX Mapping'!V37 &gt; 0), 120)</f>
        <v>-1</v>
      </c>
      <c r="W37">
        <f>IF(
(AND('(直掃)RX Mapping'!W37&gt;=0,'(直掃)RX Mapping'!W37&lt;=480)),
(MOD('(直掃)RX Mapping'!W37,120)-1),
IF(
(AND('(直掃)RX Mapping'!W37&gt;=480,'(直掃)RX Mapping'!W37&lt;=960)),
IF(MOD('(直掃)RX Mapping'!W37,120)=0, 120, 240-MOD('(直掃)RX Mapping'!W37,120)),9999))+IF(AND(MOD('(直掃)RX Mapping'!W37,120)=0, '(直掃)RX Mapping'!W37 &lt;= 480,  '(直掃)RX Mapping'!W37 &gt; 0), 120)</f>
        <v>-1</v>
      </c>
      <c r="X37">
        <f>IF(
(AND('(直掃)RX Mapping'!X37&gt;=0,'(直掃)RX Mapping'!X37&lt;=480)),
(MOD('(直掃)RX Mapping'!X37,120)-1),
IF(
(AND('(直掃)RX Mapping'!X37&gt;=480,'(直掃)RX Mapping'!X37&lt;=960)),
IF(MOD('(直掃)RX Mapping'!X37,120)=0, 120, 240-MOD('(直掃)RX Mapping'!X37,120)),9999))+IF(AND(MOD('(直掃)RX Mapping'!X37,120)=0, '(直掃)RX Mapping'!X37 &lt;= 480,  '(直掃)RX Mapping'!X37 &gt; 0), 120)</f>
        <v>-1</v>
      </c>
      <c r="Y37">
        <f>IF(
(AND('(直掃)RX Mapping'!Y37&gt;=0,'(直掃)RX Mapping'!Y37&lt;=480)),
(MOD('(直掃)RX Mapping'!Y37,120)-1),
IF(
(AND('(直掃)RX Mapping'!Y37&gt;=480,'(直掃)RX Mapping'!Y37&lt;=960)),
IF(MOD('(直掃)RX Mapping'!Y37,120)=0, 120, 240-MOD('(直掃)RX Mapping'!Y37,120)),9999))+IF(AND(MOD('(直掃)RX Mapping'!Y37,120)=0, '(直掃)RX Mapping'!Y37 &lt;= 480,  '(直掃)RX Mapping'!Y37 &gt; 0), 120)</f>
        <v>-1</v>
      </c>
      <c r="Z37">
        <f>IF(
(AND('(直掃)RX Mapping'!Z37&gt;=0,'(直掃)RX Mapping'!Z37&lt;=480)),
(MOD('(直掃)RX Mapping'!Z37,120)-1),
IF(
(AND('(直掃)RX Mapping'!Z37&gt;=480,'(直掃)RX Mapping'!Z37&lt;=960)),
IF(MOD('(直掃)RX Mapping'!Z37,120)=0, 120, 240-MOD('(直掃)RX Mapping'!Z37,120)),9999))+IF(AND(MOD('(直掃)RX Mapping'!Z37,120)=0, '(直掃)RX Mapping'!Z37 &lt;= 480,  '(直掃)RX Mapping'!Z37 &gt; 0), 120)</f>
        <v>-1</v>
      </c>
      <c r="AA37">
        <f>IF(
(AND('(直掃)RX Mapping'!AA37&gt;=0,'(直掃)RX Mapping'!AA37&lt;=480)),
(MOD('(直掃)RX Mapping'!AA37,120)-1),
IF(
(AND('(直掃)RX Mapping'!AA37&gt;=480,'(直掃)RX Mapping'!AA37&lt;=960)),
IF(MOD('(直掃)RX Mapping'!AA37,120)=0, 120, 240-MOD('(直掃)RX Mapping'!AA37,120)),9999))+IF(AND(MOD('(直掃)RX Mapping'!AA37,120)=0, '(直掃)RX Mapping'!AA37 &lt;= 480,  '(直掃)RX Mapping'!AA37 &gt; 0), 120)</f>
        <v>-1</v>
      </c>
      <c r="AB37">
        <f>IF(
(AND('(直掃)RX Mapping'!AB37&gt;=0,'(直掃)RX Mapping'!AB37&lt;=480)),
(MOD('(直掃)RX Mapping'!AB37,120)-1),
IF(
(AND('(直掃)RX Mapping'!AB37&gt;=480,'(直掃)RX Mapping'!AB37&lt;=960)),
IF(MOD('(直掃)RX Mapping'!AB37,120)=0, 120, 240-MOD('(直掃)RX Mapping'!AB37,120)),9999))+IF(AND(MOD('(直掃)RX Mapping'!AB37,120)=0, '(直掃)RX Mapping'!AB37 &lt;= 480,  '(直掃)RX Mapping'!AB37 &gt; 0), 120)</f>
        <v>-1</v>
      </c>
      <c r="AC37">
        <f>IF(
(AND('(直掃)RX Mapping'!AC37&gt;=0,'(直掃)RX Mapping'!AC37&lt;=480)),
(MOD('(直掃)RX Mapping'!AC37,120)-1),
IF(
(AND('(直掃)RX Mapping'!AC37&gt;=480,'(直掃)RX Mapping'!AC37&lt;=960)),
IF(MOD('(直掃)RX Mapping'!AC37,120)=0, 120, 240-MOD('(直掃)RX Mapping'!AC37,120)),9999))+IF(AND(MOD('(直掃)RX Mapping'!AC37,120)=0, '(直掃)RX Mapping'!AC37 &lt;= 480,  '(直掃)RX Mapping'!AC37 &gt; 0), 120)</f>
        <v>-1</v>
      </c>
      <c r="AD37">
        <f>IF(
(AND('(直掃)RX Mapping'!AD37&gt;=0,'(直掃)RX Mapping'!AD37&lt;=480)),
(MOD('(直掃)RX Mapping'!AD37,120)-1),
IF(
(AND('(直掃)RX Mapping'!AD37&gt;=480,'(直掃)RX Mapping'!AD37&lt;=960)),
IF(MOD('(直掃)RX Mapping'!AD37,120)=0, 120, 240-MOD('(直掃)RX Mapping'!AD37,120)),9999))+IF(AND(MOD('(直掃)RX Mapping'!AD37,120)=0, '(直掃)RX Mapping'!AD37 &lt;= 480,  '(直掃)RX Mapping'!AD37 &gt; 0), 120)</f>
        <v>-1</v>
      </c>
      <c r="AE37">
        <f>IF(
(AND('(直掃)RX Mapping'!AE37&gt;=0,'(直掃)RX Mapping'!AE37&lt;=480)),
(MOD('(直掃)RX Mapping'!AE37,120)-1),
IF(
(AND('(直掃)RX Mapping'!AE37&gt;=480,'(直掃)RX Mapping'!AE37&lt;=960)),
IF(MOD('(直掃)RX Mapping'!AE37,120)=0, 120, 240-MOD('(直掃)RX Mapping'!AE37,120)),9999))+IF(AND(MOD('(直掃)RX Mapping'!AE37,120)=0, '(直掃)RX Mapping'!AE37 &lt;= 480,  '(直掃)RX Mapping'!AE37 &gt; 0), 120)</f>
        <v>-1</v>
      </c>
      <c r="AF37">
        <f>IF(
(AND('(直掃)RX Mapping'!AF37&gt;=0,'(直掃)RX Mapping'!AF37&lt;=480)),
(MOD('(直掃)RX Mapping'!AF37,120)-1),
IF(
(AND('(直掃)RX Mapping'!AF37&gt;=480,'(直掃)RX Mapping'!AF37&lt;=960)),
IF(MOD('(直掃)RX Mapping'!AF37,120)=0, 120, 240-MOD('(直掃)RX Mapping'!AF37,120)),9999))+IF(AND(MOD('(直掃)RX Mapping'!AF37,120)=0, '(直掃)RX Mapping'!AF37 &lt;= 480,  '(直掃)RX Mapping'!AF37 &gt; 0), 120)</f>
        <v>-1</v>
      </c>
      <c r="AG37">
        <f>IF(
(AND('(直掃)RX Mapping'!AG37&gt;=0,'(直掃)RX Mapping'!AG37&lt;=480)),
(MOD('(直掃)RX Mapping'!AG37,120)-1),
IF(
(AND('(直掃)RX Mapping'!AG37&gt;=480,'(直掃)RX Mapping'!AG37&lt;=960)),
IF(MOD('(直掃)RX Mapping'!AG37,120)=0, 120, 240-MOD('(直掃)RX Mapping'!AG37,120)),9999))+IF(AND(MOD('(直掃)RX Mapping'!AG37,120)=0, '(直掃)RX Mapping'!AG37 &lt;= 480,  '(直掃)RX Mapping'!AG37 &gt; 0), 120)</f>
        <v>-1</v>
      </c>
      <c r="AH37">
        <f>IF(
(AND('(直掃)RX Mapping'!AH37&gt;=0,'(直掃)RX Mapping'!AH37&lt;=480)),
(MOD('(直掃)RX Mapping'!AH37,120)-1),
IF(
(AND('(直掃)RX Mapping'!AH37&gt;=480,'(直掃)RX Mapping'!AH37&lt;=960)),
IF(MOD('(直掃)RX Mapping'!AH37,120)=0, 120, 240-MOD('(直掃)RX Mapping'!AH37,120)),9999))+IF(AND(MOD('(直掃)RX Mapping'!AH37,120)=0, '(直掃)RX Mapping'!AH37 &lt;= 480,  '(直掃)RX Mapping'!AH37 &gt; 0), 120)</f>
        <v>-1</v>
      </c>
      <c r="AI37">
        <f>IF(
(AND('(直掃)RX Mapping'!AI37&gt;=0,'(直掃)RX Mapping'!AI37&lt;=480)),
(MOD('(直掃)RX Mapping'!AI37,120)-1),
IF(
(AND('(直掃)RX Mapping'!AI37&gt;=480,'(直掃)RX Mapping'!AI37&lt;=960)),
IF(MOD('(直掃)RX Mapping'!AI37,120)=0, 120, 240-MOD('(直掃)RX Mapping'!AI37,120)),9999))+IF(AND(MOD('(直掃)RX Mapping'!AI37,120)=0, '(直掃)RX Mapping'!AI37 &lt;= 480,  '(直掃)RX Mapping'!AI37 &gt; 0), 120)</f>
        <v>-1</v>
      </c>
      <c r="AJ37">
        <f>IF(
(AND('(直掃)RX Mapping'!AJ37&gt;=0,'(直掃)RX Mapping'!AJ37&lt;=480)),
(MOD('(直掃)RX Mapping'!AJ37,120)-1),
IF(
(AND('(直掃)RX Mapping'!AJ37&gt;=480,'(直掃)RX Mapping'!AJ37&lt;=960)),
IF(MOD('(直掃)RX Mapping'!AJ37,120)=0, 120, 240-MOD('(直掃)RX Mapping'!AJ37,120)),9999))+IF(AND(MOD('(直掃)RX Mapping'!AJ37,120)=0, '(直掃)RX Mapping'!AJ37 &lt;= 480,  '(直掃)RX Mapping'!AJ37 &gt; 0), 120)</f>
        <v>-1</v>
      </c>
      <c r="AK37">
        <f>IF(
(AND('(直掃)RX Mapping'!AK37&gt;=0,'(直掃)RX Mapping'!AK37&lt;=480)),
(MOD('(直掃)RX Mapping'!AK37,120)-1),
IF(
(AND('(直掃)RX Mapping'!AK37&gt;=480,'(直掃)RX Mapping'!AK37&lt;=960)),
IF(MOD('(直掃)RX Mapping'!AK37,120)=0, 120, 240-MOD('(直掃)RX Mapping'!AK37,120)),9999))+IF(AND(MOD('(直掃)RX Mapping'!AK37,120)=0, '(直掃)RX Mapping'!AK37 &lt;= 480,  '(直掃)RX Mapping'!AK37 &gt; 0), 120)</f>
        <v>-1</v>
      </c>
      <c r="AL37">
        <f>IF(
(AND('(直掃)RX Mapping'!AL37&gt;=0,'(直掃)RX Mapping'!AL37&lt;=480)),
(MOD('(直掃)RX Mapping'!AL37,120)-1),
IF(
(AND('(直掃)RX Mapping'!AL37&gt;=480,'(直掃)RX Mapping'!AL37&lt;=960)),
IF(MOD('(直掃)RX Mapping'!AL37,120)=0, 120, 240-MOD('(直掃)RX Mapping'!AL37,120)),9999))+IF(AND(MOD('(直掃)RX Mapping'!AL37,120)=0, '(直掃)RX Mapping'!AL37 &lt;= 480,  '(直掃)RX Mapping'!AL37 &gt; 0), 120)</f>
        <v>-1</v>
      </c>
      <c r="AM37">
        <f>IF(
(AND('(直掃)RX Mapping'!AM37&gt;=0,'(直掃)RX Mapping'!AM37&lt;=480)),
(MOD('(直掃)RX Mapping'!AM37,120)-1),
IF(
(AND('(直掃)RX Mapping'!AM37&gt;=480,'(直掃)RX Mapping'!AM37&lt;=960)),
IF(MOD('(直掃)RX Mapping'!AM37,120)=0, 120, 240-MOD('(直掃)RX Mapping'!AM37,120)),9999))+IF(AND(MOD('(直掃)RX Mapping'!AM37,120)=0, '(直掃)RX Mapping'!AM37 &lt;= 480,  '(直掃)RX Mapping'!AM37 &gt; 0), 120)</f>
        <v>-1</v>
      </c>
      <c r="AN37">
        <f>IF(
(AND('(直掃)RX Mapping'!AN37&gt;=0,'(直掃)RX Mapping'!AN37&lt;=480)),
(MOD('(直掃)RX Mapping'!AN37,120)-1),
IF(
(AND('(直掃)RX Mapping'!AN37&gt;=480,'(直掃)RX Mapping'!AN37&lt;=960)),
IF(MOD('(直掃)RX Mapping'!AN37,120)=0, 120, 240-MOD('(直掃)RX Mapping'!AN37,120)),9999))+IF(AND(MOD('(直掃)RX Mapping'!AN37,120)=0, '(直掃)RX Mapping'!AN37 &lt;= 480,  '(直掃)RX Mapping'!AN37 &gt; 0), 120)</f>
        <v>-1</v>
      </c>
      <c r="AO37">
        <f>IF(
(AND('(直掃)RX Mapping'!AO37&gt;=0,'(直掃)RX Mapping'!AO37&lt;=480)),
(MOD('(直掃)RX Mapping'!AO37,120)-1),
IF(
(AND('(直掃)RX Mapping'!AO37&gt;=480,'(直掃)RX Mapping'!AO37&lt;=960)),
IF(MOD('(直掃)RX Mapping'!AO37,120)=0, 120, 240-MOD('(直掃)RX Mapping'!AO37,120)),9999))+IF(AND(MOD('(直掃)RX Mapping'!AO37,120)=0, '(直掃)RX Mapping'!AO37 &lt;= 480,  '(直掃)RX Mapping'!AO37 &gt; 0), 120)</f>
        <v>-1</v>
      </c>
      <c r="AP37">
        <f>IF(
(AND('(直掃)RX Mapping'!AP37&gt;=0,'(直掃)RX Mapping'!AP37&lt;=480)),
(MOD('(直掃)RX Mapping'!AP37,120)-1),
IF(
(AND('(直掃)RX Mapping'!AP37&gt;=480,'(直掃)RX Mapping'!AP37&lt;=960)),
IF(MOD('(直掃)RX Mapping'!AP37,120)=0, 120, 240-MOD('(直掃)RX Mapping'!AP37,120)),9999))+IF(AND(MOD('(直掃)RX Mapping'!AP37,120)=0, '(直掃)RX Mapping'!AP37 &lt;= 480,  '(直掃)RX Mapping'!AP37 &gt; 0), 120)</f>
        <v>-1</v>
      </c>
      <c r="AQ37">
        <f>IF(
(AND('(直掃)RX Mapping'!AQ37&gt;=0,'(直掃)RX Mapping'!AQ37&lt;=480)),
(MOD('(直掃)RX Mapping'!AQ37,120)-1),
IF(
(AND('(直掃)RX Mapping'!AQ37&gt;=480,'(直掃)RX Mapping'!AQ37&lt;=960)),
IF(MOD('(直掃)RX Mapping'!AQ37,120)=0, 120, 240-MOD('(直掃)RX Mapping'!AQ37,120)),9999))+IF(AND(MOD('(直掃)RX Mapping'!AQ37,120)=0, '(直掃)RX Mapping'!AQ37 &lt;= 480,  '(直掃)RX Mapping'!AQ37 &gt; 0), 120)</f>
        <v>-1</v>
      </c>
      <c r="AR37">
        <f>IF(
(AND('(直掃)RX Mapping'!AR37&gt;=0,'(直掃)RX Mapping'!AR37&lt;=480)),
(MOD('(直掃)RX Mapping'!AR37,120)-1),
IF(
(AND('(直掃)RX Mapping'!AR37&gt;=480,'(直掃)RX Mapping'!AR37&lt;=960)),
IF(MOD('(直掃)RX Mapping'!AR37,120)=0, 120, 240-MOD('(直掃)RX Mapping'!AR37,120)),9999))+IF(AND(MOD('(直掃)RX Mapping'!AR37,120)=0, '(直掃)RX Mapping'!AR37 &lt;= 480,  '(直掃)RX Mapping'!AR37 &gt; 0), 120)</f>
        <v>-1</v>
      </c>
      <c r="AS37">
        <f>IF(
(AND('(直掃)RX Mapping'!AS37&gt;=0,'(直掃)RX Mapping'!AS37&lt;=480)),
(MOD('(直掃)RX Mapping'!AS37,120)-1),
IF(
(AND('(直掃)RX Mapping'!AS37&gt;=480,'(直掃)RX Mapping'!AS37&lt;=960)),
IF(MOD('(直掃)RX Mapping'!AS37,120)=0, 120, 240-MOD('(直掃)RX Mapping'!AS37,120)),9999))+IF(AND(MOD('(直掃)RX Mapping'!AS37,120)=0, '(直掃)RX Mapping'!AS37 &lt;= 480,  '(直掃)RX Mapping'!AS37 &gt; 0), 120)</f>
        <v>-1</v>
      </c>
      <c r="AT37">
        <f>IF(AND('(橫掃)RX Mapping'!AT37&gt;=1,'(橫掃)RX Mapping'!AT37&lt;=120), ('(橫掃)RX Mapping'!AT37-1),IF(AND('(橫掃)RX Mapping'!AT37&gt;=121,'(橫掃)RX Mapping'!AT37&lt;=240), (-1)*('(橫掃)RX Mapping'!AT37-240),IF(AND('(橫掃)RX Mapping'!AT37&gt;=241,'(橫掃)RX Mapping'!AT37&lt;=360), ('(橫掃)RX Mapping'!AT37-241),IF(AND('(橫掃)RX Mapping'!AT37&gt;=361,'(橫掃)RX Mapping'!AT37&lt;=480), (-1)*('(橫掃)RX Mapping'!AT37-480),IF(AND('(橫掃)RX Mapping'!AT37&gt;=481,'(橫掃)RX Mapping'!AT37&lt;=600), ('(橫掃)RX Mapping'!AT37-361),IF(AND('(橫掃)RX Mapping'!AT37&gt;=601,'(橫掃)RX Mapping'!AT37&lt;=720), (-1)*('(橫掃)RX Mapping'!AT37-720)+120,IF(AND('(橫掃)RX Mapping'!AT37&gt;=721,'(橫掃)RX Mapping'!AT37&lt;=840), ('(橫掃)RX Mapping'!AT37-601),IF(AND('(橫掃)RX Mapping'!AT37&gt;=841,'(橫掃)RX Mapping'!AT37&lt;=960), (-1)*('(橫掃)RX Mapping'!AT37-960)+120,9999))))))))</f>
        <v>9999</v>
      </c>
      <c r="AU37">
        <f>IF(AND('(橫掃)RX Mapping'!AU37&gt;=1,'(橫掃)RX Mapping'!AU37&lt;=120), ('(橫掃)RX Mapping'!AU37-1),IF(AND('(橫掃)RX Mapping'!AU37&gt;=121,'(橫掃)RX Mapping'!AU37&lt;=240), (-1)*('(橫掃)RX Mapping'!AU37-240),IF(AND('(橫掃)RX Mapping'!AU37&gt;=241,'(橫掃)RX Mapping'!AU37&lt;=360), ('(橫掃)RX Mapping'!AU37-241),IF(AND('(橫掃)RX Mapping'!AU37&gt;=361,'(橫掃)RX Mapping'!AU37&lt;=480), (-1)*('(橫掃)RX Mapping'!AU37-480),IF(AND('(橫掃)RX Mapping'!AU37&gt;=481,'(橫掃)RX Mapping'!AU37&lt;=600), ('(橫掃)RX Mapping'!AU37-361),IF(AND('(橫掃)RX Mapping'!AU37&gt;=601,'(橫掃)RX Mapping'!AU37&lt;=720), (-1)*('(橫掃)RX Mapping'!AU37-720)+120,IF(AND('(橫掃)RX Mapping'!AU37&gt;=721,'(橫掃)RX Mapping'!AU37&lt;=840), ('(橫掃)RX Mapping'!AU37-601),IF(AND('(橫掃)RX Mapping'!AU37&gt;=841,'(橫掃)RX Mapping'!AU37&lt;=960), (-1)*('(橫掃)RX Mapping'!AU37-960)+120,9999))))))))</f>
        <v>9999</v>
      </c>
      <c r="AV37">
        <f>IF(AND('(橫掃)RX Mapping'!AV37&gt;=1,'(橫掃)RX Mapping'!AV37&lt;=120), ('(橫掃)RX Mapping'!AV37-1),IF(AND('(橫掃)RX Mapping'!AV37&gt;=121,'(橫掃)RX Mapping'!AV37&lt;=240), (-1)*('(橫掃)RX Mapping'!AV37-240),IF(AND('(橫掃)RX Mapping'!AV37&gt;=241,'(橫掃)RX Mapping'!AV37&lt;=360), ('(橫掃)RX Mapping'!AV37-241),IF(AND('(橫掃)RX Mapping'!AV37&gt;=361,'(橫掃)RX Mapping'!AV37&lt;=480), (-1)*('(橫掃)RX Mapping'!AV37-480),IF(AND('(橫掃)RX Mapping'!AV37&gt;=481,'(橫掃)RX Mapping'!AV37&lt;=600), ('(橫掃)RX Mapping'!AV37-361),IF(AND('(橫掃)RX Mapping'!AV37&gt;=601,'(橫掃)RX Mapping'!AV37&lt;=720), (-1)*('(橫掃)RX Mapping'!AV37-720)+120,IF(AND('(橫掃)RX Mapping'!AV37&gt;=721,'(橫掃)RX Mapping'!AV37&lt;=840), ('(橫掃)RX Mapping'!AV37-601),IF(AND('(橫掃)RX Mapping'!AV37&gt;=841,'(橫掃)RX Mapping'!AV37&lt;=960), (-1)*('(橫掃)RX Mapping'!AV37-960)+120,9999))))))))</f>
        <v>9999</v>
      </c>
      <c r="AW37">
        <f>IF(AND('(橫掃)RX Mapping'!AW37&gt;=1,'(橫掃)RX Mapping'!AW37&lt;=120), ('(橫掃)RX Mapping'!AW37-1),IF(AND('(橫掃)RX Mapping'!AW37&gt;=121,'(橫掃)RX Mapping'!AW37&lt;=240), (-1)*('(橫掃)RX Mapping'!AW37-240),IF(AND('(橫掃)RX Mapping'!AW37&gt;=241,'(橫掃)RX Mapping'!AW37&lt;=360), ('(橫掃)RX Mapping'!AW37-241),IF(AND('(橫掃)RX Mapping'!AW37&gt;=361,'(橫掃)RX Mapping'!AW37&lt;=480), (-1)*('(橫掃)RX Mapping'!AW37-480),IF(AND('(橫掃)RX Mapping'!AW37&gt;=481,'(橫掃)RX Mapping'!AW37&lt;=600), ('(橫掃)RX Mapping'!AW37-361),IF(AND('(橫掃)RX Mapping'!AW37&gt;=601,'(橫掃)RX Mapping'!AW37&lt;=720), (-1)*('(橫掃)RX Mapping'!AW37-720)+120,IF(AND('(橫掃)RX Mapping'!AW37&gt;=721,'(橫掃)RX Mapping'!AW37&lt;=840), ('(橫掃)RX Mapping'!AW37-601),IF(AND('(橫掃)RX Mapping'!AW37&gt;=841,'(橫掃)RX Mapping'!AW37&lt;=960), (-1)*('(橫掃)RX Mapping'!AW37-960)+120,9999))))))))</f>
        <v>9999</v>
      </c>
      <c r="AX37">
        <f>IF(AND('(橫掃)RX Mapping'!AX37&gt;=1,'(橫掃)RX Mapping'!AX37&lt;=120), ('(橫掃)RX Mapping'!AX37-1),IF(AND('(橫掃)RX Mapping'!AX37&gt;=121,'(橫掃)RX Mapping'!AX37&lt;=240), (-1)*('(橫掃)RX Mapping'!AX37-240),IF(AND('(橫掃)RX Mapping'!AX37&gt;=241,'(橫掃)RX Mapping'!AX37&lt;=360), ('(橫掃)RX Mapping'!AX37-241),IF(AND('(橫掃)RX Mapping'!AX37&gt;=361,'(橫掃)RX Mapping'!AX37&lt;=480), (-1)*('(橫掃)RX Mapping'!AX37-480),IF(AND('(橫掃)RX Mapping'!AX37&gt;=481,'(橫掃)RX Mapping'!AX37&lt;=600), ('(橫掃)RX Mapping'!AX37-361),IF(AND('(橫掃)RX Mapping'!AX37&gt;=601,'(橫掃)RX Mapping'!AX37&lt;=720), (-1)*('(橫掃)RX Mapping'!AX37-720)+120,IF(AND('(橫掃)RX Mapping'!AX37&gt;=721,'(橫掃)RX Mapping'!AX37&lt;=840), ('(橫掃)RX Mapping'!AX37-601),IF(AND('(橫掃)RX Mapping'!AX37&gt;=841,'(橫掃)RX Mapping'!AX37&lt;=960), (-1)*('(橫掃)RX Mapping'!AX37-960)+120,9999))))))))</f>
        <v>9999</v>
      </c>
      <c r="AY37">
        <f>IF(AND('(橫掃)RX Mapping'!AY37&gt;=1,'(橫掃)RX Mapping'!AY37&lt;=120), ('(橫掃)RX Mapping'!AY37-1),IF(AND('(橫掃)RX Mapping'!AY37&gt;=121,'(橫掃)RX Mapping'!AY37&lt;=240), (-1)*('(橫掃)RX Mapping'!AY37-240),IF(AND('(橫掃)RX Mapping'!AY37&gt;=241,'(橫掃)RX Mapping'!AY37&lt;=360), ('(橫掃)RX Mapping'!AY37-241),IF(AND('(橫掃)RX Mapping'!AY37&gt;=361,'(橫掃)RX Mapping'!AY37&lt;=480), (-1)*('(橫掃)RX Mapping'!AY37-480),IF(AND('(橫掃)RX Mapping'!AY37&gt;=481,'(橫掃)RX Mapping'!AY37&lt;=600), ('(橫掃)RX Mapping'!AY37-361),IF(AND('(橫掃)RX Mapping'!AY37&gt;=601,'(橫掃)RX Mapping'!AY37&lt;=720), (-1)*('(橫掃)RX Mapping'!AY37-720)+120,IF(AND('(橫掃)RX Mapping'!AY37&gt;=721,'(橫掃)RX Mapping'!AY37&lt;=840), ('(橫掃)RX Mapping'!AY37-601),IF(AND('(橫掃)RX Mapping'!AY37&gt;=841,'(橫掃)RX Mapping'!AY37&lt;=960), (-1)*('(橫掃)RX Mapping'!AY37-960)+120,9999))))))))</f>
        <v>9999</v>
      </c>
      <c r="AZ37">
        <f>IF(AND('(橫掃)RX Mapping'!AZ37&gt;=1,'(橫掃)RX Mapping'!AZ37&lt;=120), ('(橫掃)RX Mapping'!AZ37-1),IF(AND('(橫掃)RX Mapping'!AZ37&gt;=121,'(橫掃)RX Mapping'!AZ37&lt;=240), (-1)*('(橫掃)RX Mapping'!AZ37-240),IF(AND('(橫掃)RX Mapping'!AZ37&gt;=241,'(橫掃)RX Mapping'!AZ37&lt;=360), ('(橫掃)RX Mapping'!AZ37-241),IF(AND('(橫掃)RX Mapping'!AZ37&gt;=361,'(橫掃)RX Mapping'!AZ37&lt;=480), (-1)*('(橫掃)RX Mapping'!AZ37-480),IF(AND('(橫掃)RX Mapping'!AZ37&gt;=481,'(橫掃)RX Mapping'!AZ37&lt;=600), ('(橫掃)RX Mapping'!AZ37-361),IF(AND('(橫掃)RX Mapping'!AZ37&gt;=601,'(橫掃)RX Mapping'!AZ37&lt;=720), (-1)*('(橫掃)RX Mapping'!AZ37-720)+120,IF(AND('(橫掃)RX Mapping'!AZ37&gt;=721,'(橫掃)RX Mapping'!AZ37&lt;=840), ('(橫掃)RX Mapping'!AZ37-601),IF(AND('(橫掃)RX Mapping'!AZ37&gt;=841,'(橫掃)RX Mapping'!AZ37&lt;=960), (-1)*('(橫掃)RX Mapping'!AZ37-960)+120,9999))))))))</f>
        <v>9999</v>
      </c>
      <c r="BA37">
        <f>IF(AND('(橫掃)RX Mapping'!BA37&gt;=1,'(橫掃)RX Mapping'!BA37&lt;=120), ('(橫掃)RX Mapping'!BA37-1),IF(AND('(橫掃)RX Mapping'!BA37&gt;=121,'(橫掃)RX Mapping'!BA37&lt;=240), (-1)*('(橫掃)RX Mapping'!BA37-240),IF(AND('(橫掃)RX Mapping'!BA37&gt;=241,'(橫掃)RX Mapping'!BA37&lt;=360), ('(橫掃)RX Mapping'!BA37-241),IF(AND('(橫掃)RX Mapping'!BA37&gt;=361,'(橫掃)RX Mapping'!BA37&lt;=480), (-1)*('(橫掃)RX Mapping'!BA37-480),IF(AND('(橫掃)RX Mapping'!BA37&gt;=481,'(橫掃)RX Mapping'!BA37&lt;=600), ('(橫掃)RX Mapping'!BA37-361),IF(AND('(橫掃)RX Mapping'!BA37&gt;=601,'(橫掃)RX Mapping'!BA37&lt;=720), (-1)*('(橫掃)RX Mapping'!BA37-720)+120,IF(AND('(橫掃)RX Mapping'!BA37&gt;=721,'(橫掃)RX Mapping'!BA37&lt;=840), ('(橫掃)RX Mapping'!BA37-601),IF(AND('(橫掃)RX Mapping'!BA37&gt;=841,'(橫掃)RX Mapping'!BA37&lt;=960), (-1)*('(橫掃)RX Mapping'!BA37-960)+120,9999))))))))</f>
        <v>9999</v>
      </c>
      <c r="BB37">
        <f>IF(AND('(橫掃)RX Mapping'!BB37&gt;=1,'(橫掃)RX Mapping'!BB37&lt;=120), ('(橫掃)RX Mapping'!BB37-1),IF(AND('(橫掃)RX Mapping'!BB37&gt;=121,'(橫掃)RX Mapping'!BB37&lt;=240), (-1)*('(橫掃)RX Mapping'!BB37-240),IF(AND('(橫掃)RX Mapping'!BB37&gt;=241,'(橫掃)RX Mapping'!BB37&lt;=360), ('(橫掃)RX Mapping'!BB37-241),IF(AND('(橫掃)RX Mapping'!BB37&gt;=361,'(橫掃)RX Mapping'!BB37&lt;=480), (-1)*('(橫掃)RX Mapping'!BB37-480),IF(AND('(橫掃)RX Mapping'!BB37&gt;=481,'(橫掃)RX Mapping'!BB37&lt;=600), ('(橫掃)RX Mapping'!BB37-361),IF(AND('(橫掃)RX Mapping'!BB37&gt;=601,'(橫掃)RX Mapping'!BB37&lt;=720), (-1)*('(橫掃)RX Mapping'!BB37-720)+120,IF(AND('(橫掃)RX Mapping'!BB37&gt;=721,'(橫掃)RX Mapping'!BB37&lt;=840), ('(橫掃)RX Mapping'!BB37-601),IF(AND('(橫掃)RX Mapping'!BB37&gt;=841,'(橫掃)RX Mapping'!BB37&lt;=960), (-1)*('(橫掃)RX Mapping'!BB37-960)+120,9999))))))))</f>
        <v>9999</v>
      </c>
      <c r="BC37">
        <f>IF(AND('(橫掃)RX Mapping'!BC37&gt;=1,'(橫掃)RX Mapping'!BC37&lt;=120), ('(橫掃)RX Mapping'!BC37-1),IF(AND('(橫掃)RX Mapping'!BC37&gt;=121,'(橫掃)RX Mapping'!BC37&lt;=240), (-1)*('(橫掃)RX Mapping'!BC37-240),IF(AND('(橫掃)RX Mapping'!BC37&gt;=241,'(橫掃)RX Mapping'!BC37&lt;=360), ('(橫掃)RX Mapping'!BC37-241),IF(AND('(橫掃)RX Mapping'!BC37&gt;=361,'(橫掃)RX Mapping'!BC37&lt;=480), (-1)*('(橫掃)RX Mapping'!BC37-480),IF(AND('(橫掃)RX Mapping'!BC37&gt;=481,'(橫掃)RX Mapping'!BC37&lt;=600), ('(橫掃)RX Mapping'!BC37-361),IF(AND('(橫掃)RX Mapping'!BC37&gt;=601,'(橫掃)RX Mapping'!BC37&lt;=720), (-1)*('(橫掃)RX Mapping'!BC37-720)+120,IF(AND('(橫掃)RX Mapping'!BC37&gt;=721,'(橫掃)RX Mapping'!BC37&lt;=840), ('(橫掃)RX Mapping'!BC37-601),IF(AND('(橫掃)RX Mapping'!BC37&gt;=841,'(橫掃)RX Mapping'!BC37&lt;=960), (-1)*('(橫掃)RX Mapping'!BC37-960)+120,9999))))))))</f>
        <v>9999</v>
      </c>
      <c r="BD37">
        <f>IF(AND('(橫掃)RX Mapping'!BD37&gt;=1,'(橫掃)RX Mapping'!BD37&lt;=120), ('(橫掃)RX Mapping'!BD37-1),IF(AND('(橫掃)RX Mapping'!BD37&gt;=121,'(橫掃)RX Mapping'!BD37&lt;=240), (-1)*('(橫掃)RX Mapping'!BD37-240),IF(AND('(橫掃)RX Mapping'!BD37&gt;=241,'(橫掃)RX Mapping'!BD37&lt;=360), ('(橫掃)RX Mapping'!BD37-241),IF(AND('(橫掃)RX Mapping'!BD37&gt;=361,'(橫掃)RX Mapping'!BD37&lt;=480), (-1)*('(橫掃)RX Mapping'!BD37-480),IF(AND('(橫掃)RX Mapping'!BD37&gt;=481,'(橫掃)RX Mapping'!BD37&lt;=600), ('(橫掃)RX Mapping'!BD37-361),IF(AND('(橫掃)RX Mapping'!BD37&gt;=601,'(橫掃)RX Mapping'!BD37&lt;=720), (-1)*('(橫掃)RX Mapping'!BD37-720)+120,IF(AND('(橫掃)RX Mapping'!BD37&gt;=721,'(橫掃)RX Mapping'!BD37&lt;=840), ('(橫掃)RX Mapping'!BD37-601),IF(AND('(橫掃)RX Mapping'!BD37&gt;=841,'(橫掃)RX Mapping'!BD37&lt;=960), (-1)*('(橫掃)RX Mapping'!BD37-960)+120,9999))))))))</f>
        <v>9999</v>
      </c>
      <c r="BE37">
        <f>IF(AND('(橫掃)RX Mapping'!BE37&gt;=1,'(橫掃)RX Mapping'!BE37&lt;=120), ('(橫掃)RX Mapping'!BE37-1),IF(AND('(橫掃)RX Mapping'!BE37&gt;=121,'(橫掃)RX Mapping'!BE37&lt;=240), (-1)*('(橫掃)RX Mapping'!BE37-240),IF(AND('(橫掃)RX Mapping'!BE37&gt;=241,'(橫掃)RX Mapping'!BE37&lt;=360), ('(橫掃)RX Mapping'!BE37-241),IF(AND('(橫掃)RX Mapping'!BE37&gt;=361,'(橫掃)RX Mapping'!BE37&lt;=480), (-1)*('(橫掃)RX Mapping'!BE37-480),IF(AND('(橫掃)RX Mapping'!BE37&gt;=481,'(橫掃)RX Mapping'!BE37&lt;=600), ('(橫掃)RX Mapping'!BE37-361),IF(AND('(橫掃)RX Mapping'!BE37&gt;=601,'(橫掃)RX Mapping'!BE37&lt;=720), (-1)*('(橫掃)RX Mapping'!BE37-720)+120,IF(AND('(橫掃)RX Mapping'!BE37&gt;=721,'(橫掃)RX Mapping'!BE37&lt;=840), ('(橫掃)RX Mapping'!BE37-601),IF(AND('(橫掃)RX Mapping'!BE37&gt;=841,'(橫掃)RX Mapping'!BE37&lt;=960), (-1)*('(橫掃)RX Mapping'!BE37-960)+120,9999))))))))</f>
        <v>9999</v>
      </c>
      <c r="BF37">
        <f>IF(AND('(橫掃)RX Mapping'!BF37&gt;=1,'(橫掃)RX Mapping'!BF37&lt;=120), ('(橫掃)RX Mapping'!BF37-1),IF(AND('(橫掃)RX Mapping'!BF37&gt;=121,'(橫掃)RX Mapping'!BF37&lt;=240), (-1)*('(橫掃)RX Mapping'!BF37-240),IF(AND('(橫掃)RX Mapping'!BF37&gt;=241,'(橫掃)RX Mapping'!BF37&lt;=360), ('(橫掃)RX Mapping'!BF37-241),IF(AND('(橫掃)RX Mapping'!BF37&gt;=361,'(橫掃)RX Mapping'!BF37&lt;=480), (-1)*('(橫掃)RX Mapping'!BF37-480),IF(AND('(橫掃)RX Mapping'!BF37&gt;=481,'(橫掃)RX Mapping'!BF37&lt;=600), ('(橫掃)RX Mapping'!BF37-361),IF(AND('(橫掃)RX Mapping'!BF37&gt;=601,'(橫掃)RX Mapping'!BF37&lt;=720), (-1)*('(橫掃)RX Mapping'!BF37-720)+120,IF(AND('(橫掃)RX Mapping'!BF37&gt;=721,'(橫掃)RX Mapping'!BF37&lt;=840), ('(橫掃)RX Mapping'!BF37-601),IF(AND('(橫掃)RX Mapping'!BF37&gt;=841,'(橫掃)RX Mapping'!BF37&lt;=960), (-1)*('(橫掃)RX Mapping'!BF37-960)+120,9999))))))))</f>
        <v>9999</v>
      </c>
      <c r="BG37">
        <f>IF(AND('(橫掃)RX Mapping'!BG37&gt;=1,'(橫掃)RX Mapping'!BG37&lt;=120), ('(橫掃)RX Mapping'!BG37-1),IF(AND('(橫掃)RX Mapping'!BG37&gt;=121,'(橫掃)RX Mapping'!BG37&lt;=240), (-1)*('(橫掃)RX Mapping'!BG37-240),IF(AND('(橫掃)RX Mapping'!BG37&gt;=241,'(橫掃)RX Mapping'!BG37&lt;=360), ('(橫掃)RX Mapping'!BG37-241),IF(AND('(橫掃)RX Mapping'!BG37&gt;=361,'(橫掃)RX Mapping'!BG37&lt;=480), (-1)*('(橫掃)RX Mapping'!BG37-480),IF(AND('(橫掃)RX Mapping'!BG37&gt;=481,'(橫掃)RX Mapping'!BG37&lt;=600), ('(橫掃)RX Mapping'!BG37-361),IF(AND('(橫掃)RX Mapping'!BG37&gt;=601,'(橫掃)RX Mapping'!BG37&lt;=720), (-1)*('(橫掃)RX Mapping'!BG37-720)+120,IF(AND('(橫掃)RX Mapping'!BG37&gt;=721,'(橫掃)RX Mapping'!BG37&lt;=840), ('(橫掃)RX Mapping'!BG37-601),IF(AND('(橫掃)RX Mapping'!BG37&gt;=841,'(橫掃)RX Mapping'!BG37&lt;=960), (-1)*('(橫掃)RX Mapping'!BG37-960)+120,9999))))))))</f>
        <v>9999</v>
      </c>
      <c r="BH37">
        <f>IF(AND('(橫掃)RX Mapping'!BH37&gt;=1,'(橫掃)RX Mapping'!BH37&lt;=120), ('(橫掃)RX Mapping'!BH37-1),IF(AND('(橫掃)RX Mapping'!BH37&gt;=121,'(橫掃)RX Mapping'!BH37&lt;=240), (-1)*('(橫掃)RX Mapping'!BH37-240),IF(AND('(橫掃)RX Mapping'!BH37&gt;=241,'(橫掃)RX Mapping'!BH37&lt;=360), ('(橫掃)RX Mapping'!BH37-241),IF(AND('(橫掃)RX Mapping'!BH37&gt;=361,'(橫掃)RX Mapping'!BH37&lt;=480), (-1)*('(橫掃)RX Mapping'!BH37-480),IF(AND('(橫掃)RX Mapping'!BH37&gt;=481,'(橫掃)RX Mapping'!BH37&lt;=600), ('(橫掃)RX Mapping'!BH37-361),IF(AND('(橫掃)RX Mapping'!BH37&gt;=601,'(橫掃)RX Mapping'!BH37&lt;=720), (-1)*('(橫掃)RX Mapping'!BH37-720)+120,IF(AND('(橫掃)RX Mapping'!BH37&gt;=721,'(橫掃)RX Mapping'!BH37&lt;=840), ('(橫掃)RX Mapping'!BH37-601),IF(AND('(橫掃)RX Mapping'!BH37&gt;=841,'(橫掃)RX Mapping'!BH37&lt;=960), (-1)*('(橫掃)RX Mapping'!BH37-960)+120,9999))))))))</f>
        <v>9999</v>
      </c>
      <c r="BI37">
        <f>IF(AND('(橫掃)RX Mapping'!BI37&gt;=1,'(橫掃)RX Mapping'!BI37&lt;=120), ('(橫掃)RX Mapping'!BI37-1),IF(AND('(橫掃)RX Mapping'!BI37&gt;=121,'(橫掃)RX Mapping'!BI37&lt;=240), (-1)*('(橫掃)RX Mapping'!BI37-240),IF(AND('(橫掃)RX Mapping'!BI37&gt;=241,'(橫掃)RX Mapping'!BI37&lt;=360), ('(橫掃)RX Mapping'!BI37-241),IF(AND('(橫掃)RX Mapping'!BI37&gt;=361,'(橫掃)RX Mapping'!BI37&lt;=480), (-1)*('(橫掃)RX Mapping'!BI37-480),IF(AND('(橫掃)RX Mapping'!BI37&gt;=481,'(橫掃)RX Mapping'!BI37&lt;=600), ('(橫掃)RX Mapping'!BI37-361),IF(AND('(橫掃)RX Mapping'!BI37&gt;=601,'(橫掃)RX Mapping'!BI37&lt;=720), (-1)*('(橫掃)RX Mapping'!BI37-720)+120,IF(AND('(橫掃)RX Mapping'!BI37&gt;=721,'(橫掃)RX Mapping'!BI37&lt;=840), ('(橫掃)RX Mapping'!BI37-601),IF(AND('(橫掃)RX Mapping'!BI37&gt;=841,'(橫掃)RX Mapping'!BI37&lt;=960), (-1)*('(橫掃)RX Mapping'!BI37-960)+120,9999))))))))</f>
        <v>9999</v>
      </c>
    </row>
    <row r="38" spans="1:61" x14ac:dyDescent="0.25">
      <c r="A38" s="20">
        <v>37</v>
      </c>
      <c r="B38">
        <f>IF(
(AND('(直掃)RX Mapping'!B38&gt;=0,'(直掃)RX Mapping'!B38&lt;=480)),
(MOD('(直掃)RX Mapping'!B38,120)-1),
IF(
(AND('(直掃)RX Mapping'!B38&gt;=480,'(直掃)RX Mapping'!B38&lt;=960)),
IF(MOD('(直掃)RX Mapping'!B38,120)=0, 120, 240-MOD('(直掃)RX Mapping'!B38,120)),9999))+IF(AND(MOD('(直掃)RX Mapping'!B38,120)=0, '(直掃)RX Mapping'!B38 &lt;= 480,  '(直掃)RX Mapping'!B38 &gt; 0), 120)</f>
        <v>-1</v>
      </c>
      <c r="C38">
        <f>IF(
(AND('(直掃)RX Mapping'!C38&gt;=0,'(直掃)RX Mapping'!C38&lt;=480)),
(MOD('(直掃)RX Mapping'!C38,120)-1),
IF(
(AND('(直掃)RX Mapping'!C38&gt;=480,'(直掃)RX Mapping'!C38&lt;=960)),
IF(MOD('(直掃)RX Mapping'!C38,120)=0, 120, 240-MOD('(直掃)RX Mapping'!C38,120)),9999))+IF(AND(MOD('(直掃)RX Mapping'!C38,120)=0, '(直掃)RX Mapping'!C38 &lt;= 480,  '(直掃)RX Mapping'!C38 &gt; 0), 120)</f>
        <v>-1</v>
      </c>
      <c r="D38">
        <f>IF(
(AND('(直掃)RX Mapping'!D38&gt;=0,'(直掃)RX Mapping'!D38&lt;=480)),
(MOD('(直掃)RX Mapping'!D38,120)-1),
IF(
(AND('(直掃)RX Mapping'!D38&gt;=480,'(直掃)RX Mapping'!D38&lt;=960)),
IF(MOD('(直掃)RX Mapping'!D38,120)=0, 120, 240-MOD('(直掃)RX Mapping'!D38,120)),9999))+IF(AND(MOD('(直掃)RX Mapping'!D38,120)=0, '(直掃)RX Mapping'!D38 &lt;= 480,  '(直掃)RX Mapping'!D38 &gt; 0), 120)</f>
        <v>-1</v>
      </c>
      <c r="E38">
        <f>IF(
(AND('(直掃)RX Mapping'!E38&gt;=0,'(直掃)RX Mapping'!E38&lt;=480)),
(MOD('(直掃)RX Mapping'!E38,120)-1),
IF(
(AND('(直掃)RX Mapping'!E38&gt;=480,'(直掃)RX Mapping'!E38&lt;=960)),
IF(MOD('(直掃)RX Mapping'!E38,120)=0, 120, 240-MOD('(直掃)RX Mapping'!E38,120)),9999))+IF(AND(MOD('(直掃)RX Mapping'!E38,120)=0, '(直掃)RX Mapping'!E38 &lt;= 480,  '(直掃)RX Mapping'!E38 &gt; 0), 120)</f>
        <v>-1</v>
      </c>
      <c r="F38">
        <f>IF(
(AND('(直掃)RX Mapping'!F38&gt;=0,'(直掃)RX Mapping'!F38&lt;=480)),
(MOD('(直掃)RX Mapping'!F38,120)-1),
IF(
(AND('(直掃)RX Mapping'!F38&gt;=480,'(直掃)RX Mapping'!F38&lt;=960)),
IF(MOD('(直掃)RX Mapping'!F38,120)=0, 120, 240-MOD('(直掃)RX Mapping'!F38,120)),9999))+IF(AND(MOD('(直掃)RX Mapping'!F38,120)=0, '(直掃)RX Mapping'!F38 &lt;= 480,  '(直掃)RX Mapping'!F38 &gt; 0), 120)</f>
        <v>-1</v>
      </c>
      <c r="G38">
        <f>IF(
(AND('(直掃)RX Mapping'!G38&gt;=0,'(直掃)RX Mapping'!G38&lt;=480)),
(MOD('(直掃)RX Mapping'!G38,120)-1),
IF(
(AND('(直掃)RX Mapping'!G38&gt;=480,'(直掃)RX Mapping'!G38&lt;=960)),
IF(MOD('(直掃)RX Mapping'!G38,120)=0, 120, 240-MOD('(直掃)RX Mapping'!G38,120)),9999))+IF(AND(MOD('(直掃)RX Mapping'!G38,120)=0, '(直掃)RX Mapping'!G38 &lt;= 480,  '(直掃)RX Mapping'!G38 &gt; 0), 120)</f>
        <v>-1</v>
      </c>
      <c r="H38">
        <f>IF(
(AND('(直掃)RX Mapping'!H38&gt;=0,'(直掃)RX Mapping'!H38&lt;=480)),
(MOD('(直掃)RX Mapping'!H38,120)-1),
IF(
(AND('(直掃)RX Mapping'!H38&gt;=480,'(直掃)RX Mapping'!H38&lt;=960)),
IF(MOD('(直掃)RX Mapping'!H38,120)=0, 120, 240-MOD('(直掃)RX Mapping'!H38,120)),9999))+IF(AND(MOD('(直掃)RX Mapping'!H38,120)=0, '(直掃)RX Mapping'!H38 &lt;= 480,  '(直掃)RX Mapping'!H38 &gt; 0), 120)</f>
        <v>-1</v>
      </c>
      <c r="I38">
        <f>IF(
(AND('(直掃)RX Mapping'!I38&gt;=0,'(直掃)RX Mapping'!I38&lt;=480)),
(MOD('(直掃)RX Mapping'!I38,120)-1),
IF(
(AND('(直掃)RX Mapping'!I38&gt;=480,'(直掃)RX Mapping'!I38&lt;=960)),
IF(MOD('(直掃)RX Mapping'!I38,120)=0, 120, 240-MOD('(直掃)RX Mapping'!I38,120)),9999))+IF(AND(MOD('(直掃)RX Mapping'!I38,120)=0, '(直掃)RX Mapping'!I38 &lt;= 480,  '(直掃)RX Mapping'!I38 &gt; 0), 120)</f>
        <v>-1</v>
      </c>
      <c r="J38">
        <f>IF(
(AND('(直掃)RX Mapping'!J38&gt;=0,'(直掃)RX Mapping'!J38&lt;=480)),
(MOD('(直掃)RX Mapping'!J38,120)-1),
IF(
(AND('(直掃)RX Mapping'!J38&gt;=480,'(直掃)RX Mapping'!J38&lt;=960)),
IF(MOD('(直掃)RX Mapping'!J38,120)=0, 120, 240-MOD('(直掃)RX Mapping'!J38,120)),9999))+IF(AND(MOD('(直掃)RX Mapping'!J38,120)=0, '(直掃)RX Mapping'!J38 &lt;= 480,  '(直掃)RX Mapping'!J38 &gt; 0), 120)</f>
        <v>-1</v>
      </c>
      <c r="K38">
        <f>IF(
(AND('(直掃)RX Mapping'!K38&gt;=0,'(直掃)RX Mapping'!K38&lt;=480)),
(MOD('(直掃)RX Mapping'!K38,120)-1),
IF(
(AND('(直掃)RX Mapping'!K38&gt;=480,'(直掃)RX Mapping'!K38&lt;=960)),
IF(MOD('(直掃)RX Mapping'!K38,120)=0, 120, 240-MOD('(直掃)RX Mapping'!K38,120)),9999))+IF(AND(MOD('(直掃)RX Mapping'!K38,120)=0, '(直掃)RX Mapping'!K38 &lt;= 480,  '(直掃)RX Mapping'!K38 &gt; 0), 120)</f>
        <v>-1</v>
      </c>
      <c r="L38">
        <f>IF(
(AND('(直掃)RX Mapping'!L38&gt;=0,'(直掃)RX Mapping'!L38&lt;=480)),
(MOD('(直掃)RX Mapping'!L38,120)-1),
IF(
(AND('(直掃)RX Mapping'!L38&gt;=480,'(直掃)RX Mapping'!L38&lt;=960)),
IF(MOD('(直掃)RX Mapping'!L38,120)=0, 120, 240-MOD('(直掃)RX Mapping'!L38,120)),9999))+IF(AND(MOD('(直掃)RX Mapping'!L38,120)=0, '(直掃)RX Mapping'!L38 &lt;= 480,  '(直掃)RX Mapping'!L38 &gt; 0), 120)</f>
        <v>-1</v>
      </c>
      <c r="M38">
        <f>IF(
(AND('(直掃)RX Mapping'!M38&gt;=0,'(直掃)RX Mapping'!M38&lt;=480)),
(MOD('(直掃)RX Mapping'!M38,120)-1),
IF(
(AND('(直掃)RX Mapping'!M38&gt;=480,'(直掃)RX Mapping'!M38&lt;=960)),
IF(MOD('(直掃)RX Mapping'!M38,120)=0, 120, 240-MOD('(直掃)RX Mapping'!M38,120)),9999))+IF(AND(MOD('(直掃)RX Mapping'!M38,120)=0, '(直掃)RX Mapping'!M38 &lt;= 480,  '(直掃)RX Mapping'!M38 &gt; 0), 120)</f>
        <v>-1</v>
      </c>
      <c r="N38">
        <f>IF(
(AND('(直掃)RX Mapping'!N38&gt;=0,'(直掃)RX Mapping'!N38&lt;=480)),
(MOD('(直掃)RX Mapping'!N38,120)-1),
IF(
(AND('(直掃)RX Mapping'!N38&gt;=480,'(直掃)RX Mapping'!N38&lt;=960)),
IF(MOD('(直掃)RX Mapping'!N38,120)=0, 120, 240-MOD('(直掃)RX Mapping'!N38,120)),9999))+IF(AND(MOD('(直掃)RX Mapping'!N38,120)=0, '(直掃)RX Mapping'!N38 &lt;= 480,  '(直掃)RX Mapping'!N38 &gt; 0), 120)</f>
        <v>-1</v>
      </c>
      <c r="O38">
        <f>IF(
(AND('(直掃)RX Mapping'!O38&gt;=0,'(直掃)RX Mapping'!O38&lt;=480)),
(MOD('(直掃)RX Mapping'!O38,120)-1),
IF(
(AND('(直掃)RX Mapping'!O38&gt;=480,'(直掃)RX Mapping'!O38&lt;=960)),
IF(MOD('(直掃)RX Mapping'!O38,120)=0, 120, 240-MOD('(直掃)RX Mapping'!O38,120)),9999))+IF(AND(MOD('(直掃)RX Mapping'!O38,120)=0, '(直掃)RX Mapping'!O38 &lt;= 480,  '(直掃)RX Mapping'!O38 &gt; 0), 120)</f>
        <v>-1</v>
      </c>
      <c r="P38">
        <f>IF(
(AND('(直掃)RX Mapping'!P38&gt;=0,'(直掃)RX Mapping'!P38&lt;=480)),
(MOD('(直掃)RX Mapping'!P38,120)-1),
IF(
(AND('(直掃)RX Mapping'!P38&gt;=480,'(直掃)RX Mapping'!P38&lt;=960)),
IF(MOD('(直掃)RX Mapping'!P38,120)=0, 120, 240-MOD('(直掃)RX Mapping'!P38,120)),9999))+IF(AND(MOD('(直掃)RX Mapping'!P38,120)=0, '(直掃)RX Mapping'!P38 &lt;= 480,  '(直掃)RX Mapping'!P38 &gt; 0), 120)</f>
        <v>-1</v>
      </c>
      <c r="Q38">
        <f>IF(
(AND('(直掃)RX Mapping'!Q38&gt;=0,'(直掃)RX Mapping'!Q38&lt;=480)),
(MOD('(直掃)RX Mapping'!Q38,120)-1),
IF(
(AND('(直掃)RX Mapping'!Q38&gt;=480,'(直掃)RX Mapping'!Q38&lt;=960)),
IF(MOD('(直掃)RX Mapping'!Q38,120)=0, 120, 240-MOD('(直掃)RX Mapping'!Q38,120)),9999))+IF(AND(MOD('(直掃)RX Mapping'!Q38,120)=0, '(直掃)RX Mapping'!Q38 &lt;= 480,  '(直掃)RX Mapping'!Q38 &gt; 0), 120)</f>
        <v>-1</v>
      </c>
      <c r="R38">
        <f>IF(
(AND('(直掃)RX Mapping'!R38&gt;=0,'(直掃)RX Mapping'!R38&lt;=480)),
(MOD('(直掃)RX Mapping'!R38,120)-1),
IF(
(AND('(直掃)RX Mapping'!R38&gt;=480,'(直掃)RX Mapping'!R38&lt;=960)),
IF(MOD('(直掃)RX Mapping'!R38,120)=0, 120, 240-MOD('(直掃)RX Mapping'!R38,120)),9999))+IF(AND(MOD('(直掃)RX Mapping'!R38,120)=0, '(直掃)RX Mapping'!R38 &lt;= 480,  '(直掃)RX Mapping'!R38 &gt; 0), 120)</f>
        <v>-1</v>
      </c>
      <c r="S38">
        <f>IF(
(AND('(直掃)RX Mapping'!S38&gt;=0,'(直掃)RX Mapping'!S38&lt;=480)),
(MOD('(直掃)RX Mapping'!S38,120)-1),
IF(
(AND('(直掃)RX Mapping'!S38&gt;=480,'(直掃)RX Mapping'!S38&lt;=960)),
IF(MOD('(直掃)RX Mapping'!S38,120)=0, 120, 240-MOD('(直掃)RX Mapping'!S38,120)),9999))+IF(AND(MOD('(直掃)RX Mapping'!S38,120)=0, '(直掃)RX Mapping'!S38 &lt;= 480,  '(直掃)RX Mapping'!S38 &gt; 0), 120)</f>
        <v>-1</v>
      </c>
      <c r="T38">
        <f>IF(
(AND('(直掃)RX Mapping'!T38&gt;=0,'(直掃)RX Mapping'!T38&lt;=480)),
(MOD('(直掃)RX Mapping'!T38,120)-1),
IF(
(AND('(直掃)RX Mapping'!T38&gt;=480,'(直掃)RX Mapping'!T38&lt;=960)),
IF(MOD('(直掃)RX Mapping'!T38,120)=0, 120, 240-MOD('(直掃)RX Mapping'!T38,120)),9999))+IF(AND(MOD('(直掃)RX Mapping'!T38,120)=0, '(直掃)RX Mapping'!T38 &lt;= 480,  '(直掃)RX Mapping'!T38 &gt; 0), 120)</f>
        <v>-1</v>
      </c>
      <c r="U38">
        <f>IF(
(AND('(直掃)RX Mapping'!U38&gt;=0,'(直掃)RX Mapping'!U38&lt;=480)),
(MOD('(直掃)RX Mapping'!U38,120)-1),
IF(
(AND('(直掃)RX Mapping'!U38&gt;=480,'(直掃)RX Mapping'!U38&lt;=960)),
IF(MOD('(直掃)RX Mapping'!U38,120)=0, 120, 240-MOD('(直掃)RX Mapping'!U38,120)),9999))+IF(AND(MOD('(直掃)RX Mapping'!U38,120)=0, '(直掃)RX Mapping'!U38 &lt;= 480,  '(直掃)RX Mapping'!U38 &gt; 0), 120)</f>
        <v>-1</v>
      </c>
      <c r="V38">
        <f>IF(
(AND('(直掃)RX Mapping'!V38&gt;=0,'(直掃)RX Mapping'!V38&lt;=480)),
(MOD('(直掃)RX Mapping'!V38,120)-1),
IF(
(AND('(直掃)RX Mapping'!V38&gt;=480,'(直掃)RX Mapping'!V38&lt;=960)),
IF(MOD('(直掃)RX Mapping'!V38,120)=0, 120, 240-MOD('(直掃)RX Mapping'!V38,120)),9999))+IF(AND(MOD('(直掃)RX Mapping'!V38,120)=0, '(直掃)RX Mapping'!V38 &lt;= 480,  '(直掃)RX Mapping'!V38 &gt; 0), 120)</f>
        <v>-1</v>
      </c>
      <c r="W38">
        <f>IF(
(AND('(直掃)RX Mapping'!W38&gt;=0,'(直掃)RX Mapping'!W38&lt;=480)),
(MOD('(直掃)RX Mapping'!W38,120)-1),
IF(
(AND('(直掃)RX Mapping'!W38&gt;=480,'(直掃)RX Mapping'!W38&lt;=960)),
IF(MOD('(直掃)RX Mapping'!W38,120)=0, 120, 240-MOD('(直掃)RX Mapping'!W38,120)),9999))+IF(AND(MOD('(直掃)RX Mapping'!W38,120)=0, '(直掃)RX Mapping'!W38 &lt;= 480,  '(直掃)RX Mapping'!W38 &gt; 0), 120)</f>
        <v>-1</v>
      </c>
      <c r="X38">
        <f>IF(
(AND('(直掃)RX Mapping'!X38&gt;=0,'(直掃)RX Mapping'!X38&lt;=480)),
(MOD('(直掃)RX Mapping'!X38,120)-1),
IF(
(AND('(直掃)RX Mapping'!X38&gt;=480,'(直掃)RX Mapping'!X38&lt;=960)),
IF(MOD('(直掃)RX Mapping'!X38,120)=0, 120, 240-MOD('(直掃)RX Mapping'!X38,120)),9999))+IF(AND(MOD('(直掃)RX Mapping'!X38,120)=0, '(直掃)RX Mapping'!X38 &lt;= 480,  '(直掃)RX Mapping'!X38 &gt; 0), 120)</f>
        <v>-1</v>
      </c>
      <c r="Y38">
        <f>IF(
(AND('(直掃)RX Mapping'!Y38&gt;=0,'(直掃)RX Mapping'!Y38&lt;=480)),
(MOD('(直掃)RX Mapping'!Y38,120)-1),
IF(
(AND('(直掃)RX Mapping'!Y38&gt;=480,'(直掃)RX Mapping'!Y38&lt;=960)),
IF(MOD('(直掃)RX Mapping'!Y38,120)=0, 120, 240-MOD('(直掃)RX Mapping'!Y38,120)),9999))+IF(AND(MOD('(直掃)RX Mapping'!Y38,120)=0, '(直掃)RX Mapping'!Y38 &lt;= 480,  '(直掃)RX Mapping'!Y38 &gt; 0), 120)</f>
        <v>-1</v>
      </c>
      <c r="Z38">
        <f>IF(
(AND('(直掃)RX Mapping'!Z38&gt;=0,'(直掃)RX Mapping'!Z38&lt;=480)),
(MOD('(直掃)RX Mapping'!Z38,120)-1),
IF(
(AND('(直掃)RX Mapping'!Z38&gt;=480,'(直掃)RX Mapping'!Z38&lt;=960)),
IF(MOD('(直掃)RX Mapping'!Z38,120)=0, 120, 240-MOD('(直掃)RX Mapping'!Z38,120)),9999))+IF(AND(MOD('(直掃)RX Mapping'!Z38,120)=0, '(直掃)RX Mapping'!Z38 &lt;= 480,  '(直掃)RX Mapping'!Z38 &gt; 0), 120)</f>
        <v>-1</v>
      </c>
      <c r="AA38">
        <f>IF(
(AND('(直掃)RX Mapping'!AA38&gt;=0,'(直掃)RX Mapping'!AA38&lt;=480)),
(MOD('(直掃)RX Mapping'!AA38,120)-1),
IF(
(AND('(直掃)RX Mapping'!AA38&gt;=480,'(直掃)RX Mapping'!AA38&lt;=960)),
IF(MOD('(直掃)RX Mapping'!AA38,120)=0, 120, 240-MOD('(直掃)RX Mapping'!AA38,120)),9999))+IF(AND(MOD('(直掃)RX Mapping'!AA38,120)=0, '(直掃)RX Mapping'!AA38 &lt;= 480,  '(直掃)RX Mapping'!AA38 &gt; 0), 120)</f>
        <v>-1</v>
      </c>
      <c r="AB38">
        <f>IF(
(AND('(直掃)RX Mapping'!AB38&gt;=0,'(直掃)RX Mapping'!AB38&lt;=480)),
(MOD('(直掃)RX Mapping'!AB38,120)-1),
IF(
(AND('(直掃)RX Mapping'!AB38&gt;=480,'(直掃)RX Mapping'!AB38&lt;=960)),
IF(MOD('(直掃)RX Mapping'!AB38,120)=0, 120, 240-MOD('(直掃)RX Mapping'!AB38,120)),9999))+IF(AND(MOD('(直掃)RX Mapping'!AB38,120)=0, '(直掃)RX Mapping'!AB38 &lt;= 480,  '(直掃)RX Mapping'!AB38 &gt; 0), 120)</f>
        <v>-1</v>
      </c>
      <c r="AC38">
        <f>IF(
(AND('(直掃)RX Mapping'!AC38&gt;=0,'(直掃)RX Mapping'!AC38&lt;=480)),
(MOD('(直掃)RX Mapping'!AC38,120)-1),
IF(
(AND('(直掃)RX Mapping'!AC38&gt;=480,'(直掃)RX Mapping'!AC38&lt;=960)),
IF(MOD('(直掃)RX Mapping'!AC38,120)=0, 120, 240-MOD('(直掃)RX Mapping'!AC38,120)),9999))+IF(AND(MOD('(直掃)RX Mapping'!AC38,120)=0, '(直掃)RX Mapping'!AC38 &lt;= 480,  '(直掃)RX Mapping'!AC38 &gt; 0), 120)</f>
        <v>-1</v>
      </c>
      <c r="AD38">
        <f>IF(
(AND('(直掃)RX Mapping'!AD38&gt;=0,'(直掃)RX Mapping'!AD38&lt;=480)),
(MOD('(直掃)RX Mapping'!AD38,120)-1),
IF(
(AND('(直掃)RX Mapping'!AD38&gt;=480,'(直掃)RX Mapping'!AD38&lt;=960)),
IF(MOD('(直掃)RX Mapping'!AD38,120)=0, 120, 240-MOD('(直掃)RX Mapping'!AD38,120)),9999))+IF(AND(MOD('(直掃)RX Mapping'!AD38,120)=0, '(直掃)RX Mapping'!AD38 &lt;= 480,  '(直掃)RX Mapping'!AD38 &gt; 0), 120)</f>
        <v>-1</v>
      </c>
      <c r="AE38">
        <f>IF(
(AND('(直掃)RX Mapping'!AE38&gt;=0,'(直掃)RX Mapping'!AE38&lt;=480)),
(MOD('(直掃)RX Mapping'!AE38,120)-1),
IF(
(AND('(直掃)RX Mapping'!AE38&gt;=480,'(直掃)RX Mapping'!AE38&lt;=960)),
IF(MOD('(直掃)RX Mapping'!AE38,120)=0, 120, 240-MOD('(直掃)RX Mapping'!AE38,120)),9999))+IF(AND(MOD('(直掃)RX Mapping'!AE38,120)=0, '(直掃)RX Mapping'!AE38 &lt;= 480,  '(直掃)RX Mapping'!AE38 &gt; 0), 120)</f>
        <v>-1</v>
      </c>
      <c r="AF38">
        <f>IF(
(AND('(直掃)RX Mapping'!AF38&gt;=0,'(直掃)RX Mapping'!AF38&lt;=480)),
(MOD('(直掃)RX Mapping'!AF38,120)-1),
IF(
(AND('(直掃)RX Mapping'!AF38&gt;=480,'(直掃)RX Mapping'!AF38&lt;=960)),
IF(MOD('(直掃)RX Mapping'!AF38,120)=0, 120, 240-MOD('(直掃)RX Mapping'!AF38,120)),9999))+IF(AND(MOD('(直掃)RX Mapping'!AF38,120)=0, '(直掃)RX Mapping'!AF38 &lt;= 480,  '(直掃)RX Mapping'!AF38 &gt; 0), 120)</f>
        <v>-1</v>
      </c>
      <c r="AG38">
        <f>IF(
(AND('(直掃)RX Mapping'!AG38&gt;=0,'(直掃)RX Mapping'!AG38&lt;=480)),
(MOD('(直掃)RX Mapping'!AG38,120)-1),
IF(
(AND('(直掃)RX Mapping'!AG38&gt;=480,'(直掃)RX Mapping'!AG38&lt;=960)),
IF(MOD('(直掃)RX Mapping'!AG38,120)=0, 120, 240-MOD('(直掃)RX Mapping'!AG38,120)),9999))+IF(AND(MOD('(直掃)RX Mapping'!AG38,120)=0, '(直掃)RX Mapping'!AG38 &lt;= 480,  '(直掃)RX Mapping'!AG38 &gt; 0), 120)</f>
        <v>-1</v>
      </c>
      <c r="AH38">
        <f>IF(
(AND('(直掃)RX Mapping'!AH38&gt;=0,'(直掃)RX Mapping'!AH38&lt;=480)),
(MOD('(直掃)RX Mapping'!AH38,120)-1),
IF(
(AND('(直掃)RX Mapping'!AH38&gt;=480,'(直掃)RX Mapping'!AH38&lt;=960)),
IF(MOD('(直掃)RX Mapping'!AH38,120)=0, 120, 240-MOD('(直掃)RX Mapping'!AH38,120)),9999))+IF(AND(MOD('(直掃)RX Mapping'!AH38,120)=0, '(直掃)RX Mapping'!AH38 &lt;= 480,  '(直掃)RX Mapping'!AH38 &gt; 0), 120)</f>
        <v>-1</v>
      </c>
      <c r="AI38">
        <f>IF(
(AND('(直掃)RX Mapping'!AI38&gt;=0,'(直掃)RX Mapping'!AI38&lt;=480)),
(MOD('(直掃)RX Mapping'!AI38,120)-1),
IF(
(AND('(直掃)RX Mapping'!AI38&gt;=480,'(直掃)RX Mapping'!AI38&lt;=960)),
IF(MOD('(直掃)RX Mapping'!AI38,120)=0, 120, 240-MOD('(直掃)RX Mapping'!AI38,120)),9999))+IF(AND(MOD('(直掃)RX Mapping'!AI38,120)=0, '(直掃)RX Mapping'!AI38 &lt;= 480,  '(直掃)RX Mapping'!AI38 &gt; 0), 120)</f>
        <v>-1</v>
      </c>
      <c r="AJ38">
        <f>IF(
(AND('(直掃)RX Mapping'!AJ38&gt;=0,'(直掃)RX Mapping'!AJ38&lt;=480)),
(MOD('(直掃)RX Mapping'!AJ38,120)-1),
IF(
(AND('(直掃)RX Mapping'!AJ38&gt;=480,'(直掃)RX Mapping'!AJ38&lt;=960)),
IF(MOD('(直掃)RX Mapping'!AJ38,120)=0, 120, 240-MOD('(直掃)RX Mapping'!AJ38,120)),9999))+IF(AND(MOD('(直掃)RX Mapping'!AJ38,120)=0, '(直掃)RX Mapping'!AJ38 &lt;= 480,  '(直掃)RX Mapping'!AJ38 &gt; 0), 120)</f>
        <v>-1</v>
      </c>
      <c r="AK38">
        <f>IF(
(AND('(直掃)RX Mapping'!AK38&gt;=0,'(直掃)RX Mapping'!AK38&lt;=480)),
(MOD('(直掃)RX Mapping'!AK38,120)-1),
IF(
(AND('(直掃)RX Mapping'!AK38&gt;=480,'(直掃)RX Mapping'!AK38&lt;=960)),
IF(MOD('(直掃)RX Mapping'!AK38,120)=0, 120, 240-MOD('(直掃)RX Mapping'!AK38,120)),9999))+IF(AND(MOD('(直掃)RX Mapping'!AK38,120)=0, '(直掃)RX Mapping'!AK38 &lt;= 480,  '(直掃)RX Mapping'!AK38 &gt; 0), 120)</f>
        <v>-1</v>
      </c>
      <c r="AL38">
        <f>IF(
(AND('(直掃)RX Mapping'!AL38&gt;=0,'(直掃)RX Mapping'!AL38&lt;=480)),
(MOD('(直掃)RX Mapping'!AL38,120)-1),
IF(
(AND('(直掃)RX Mapping'!AL38&gt;=480,'(直掃)RX Mapping'!AL38&lt;=960)),
IF(MOD('(直掃)RX Mapping'!AL38,120)=0, 120, 240-MOD('(直掃)RX Mapping'!AL38,120)),9999))+IF(AND(MOD('(直掃)RX Mapping'!AL38,120)=0, '(直掃)RX Mapping'!AL38 &lt;= 480,  '(直掃)RX Mapping'!AL38 &gt; 0), 120)</f>
        <v>-1</v>
      </c>
      <c r="AM38">
        <f>IF(
(AND('(直掃)RX Mapping'!AM38&gt;=0,'(直掃)RX Mapping'!AM38&lt;=480)),
(MOD('(直掃)RX Mapping'!AM38,120)-1),
IF(
(AND('(直掃)RX Mapping'!AM38&gt;=480,'(直掃)RX Mapping'!AM38&lt;=960)),
IF(MOD('(直掃)RX Mapping'!AM38,120)=0, 120, 240-MOD('(直掃)RX Mapping'!AM38,120)),9999))+IF(AND(MOD('(直掃)RX Mapping'!AM38,120)=0, '(直掃)RX Mapping'!AM38 &lt;= 480,  '(直掃)RX Mapping'!AM38 &gt; 0), 120)</f>
        <v>-1</v>
      </c>
      <c r="AN38">
        <f>IF(
(AND('(直掃)RX Mapping'!AN38&gt;=0,'(直掃)RX Mapping'!AN38&lt;=480)),
(MOD('(直掃)RX Mapping'!AN38,120)-1),
IF(
(AND('(直掃)RX Mapping'!AN38&gt;=480,'(直掃)RX Mapping'!AN38&lt;=960)),
IF(MOD('(直掃)RX Mapping'!AN38,120)=0, 120, 240-MOD('(直掃)RX Mapping'!AN38,120)),9999))+IF(AND(MOD('(直掃)RX Mapping'!AN38,120)=0, '(直掃)RX Mapping'!AN38 &lt;= 480,  '(直掃)RX Mapping'!AN38 &gt; 0), 120)</f>
        <v>-1</v>
      </c>
      <c r="AO38">
        <f>IF(
(AND('(直掃)RX Mapping'!AO38&gt;=0,'(直掃)RX Mapping'!AO38&lt;=480)),
(MOD('(直掃)RX Mapping'!AO38,120)-1),
IF(
(AND('(直掃)RX Mapping'!AO38&gt;=480,'(直掃)RX Mapping'!AO38&lt;=960)),
IF(MOD('(直掃)RX Mapping'!AO38,120)=0, 120, 240-MOD('(直掃)RX Mapping'!AO38,120)),9999))+IF(AND(MOD('(直掃)RX Mapping'!AO38,120)=0, '(直掃)RX Mapping'!AO38 &lt;= 480,  '(直掃)RX Mapping'!AO38 &gt; 0), 120)</f>
        <v>-1</v>
      </c>
      <c r="AP38">
        <f>IF(
(AND('(直掃)RX Mapping'!AP38&gt;=0,'(直掃)RX Mapping'!AP38&lt;=480)),
(MOD('(直掃)RX Mapping'!AP38,120)-1),
IF(
(AND('(直掃)RX Mapping'!AP38&gt;=480,'(直掃)RX Mapping'!AP38&lt;=960)),
IF(MOD('(直掃)RX Mapping'!AP38,120)=0, 120, 240-MOD('(直掃)RX Mapping'!AP38,120)),9999))+IF(AND(MOD('(直掃)RX Mapping'!AP38,120)=0, '(直掃)RX Mapping'!AP38 &lt;= 480,  '(直掃)RX Mapping'!AP38 &gt; 0), 120)</f>
        <v>-1</v>
      </c>
      <c r="AQ38">
        <f>IF(
(AND('(直掃)RX Mapping'!AQ38&gt;=0,'(直掃)RX Mapping'!AQ38&lt;=480)),
(MOD('(直掃)RX Mapping'!AQ38,120)-1),
IF(
(AND('(直掃)RX Mapping'!AQ38&gt;=480,'(直掃)RX Mapping'!AQ38&lt;=960)),
IF(MOD('(直掃)RX Mapping'!AQ38,120)=0, 120, 240-MOD('(直掃)RX Mapping'!AQ38,120)),9999))+IF(AND(MOD('(直掃)RX Mapping'!AQ38,120)=0, '(直掃)RX Mapping'!AQ38 &lt;= 480,  '(直掃)RX Mapping'!AQ38 &gt; 0), 120)</f>
        <v>-1</v>
      </c>
      <c r="AR38">
        <f>IF(
(AND('(直掃)RX Mapping'!AR38&gt;=0,'(直掃)RX Mapping'!AR38&lt;=480)),
(MOD('(直掃)RX Mapping'!AR38,120)-1),
IF(
(AND('(直掃)RX Mapping'!AR38&gt;=480,'(直掃)RX Mapping'!AR38&lt;=960)),
IF(MOD('(直掃)RX Mapping'!AR38,120)=0, 120, 240-MOD('(直掃)RX Mapping'!AR38,120)),9999))+IF(AND(MOD('(直掃)RX Mapping'!AR38,120)=0, '(直掃)RX Mapping'!AR38 &lt;= 480,  '(直掃)RX Mapping'!AR38 &gt; 0), 120)</f>
        <v>-1</v>
      </c>
      <c r="AS38">
        <f>IF(
(AND('(直掃)RX Mapping'!AS38&gt;=0,'(直掃)RX Mapping'!AS38&lt;=480)),
(MOD('(直掃)RX Mapping'!AS38,120)-1),
IF(
(AND('(直掃)RX Mapping'!AS38&gt;=480,'(直掃)RX Mapping'!AS38&lt;=960)),
IF(MOD('(直掃)RX Mapping'!AS38,120)=0, 120, 240-MOD('(直掃)RX Mapping'!AS38,120)),9999))+IF(AND(MOD('(直掃)RX Mapping'!AS38,120)=0, '(直掃)RX Mapping'!AS38 &lt;= 480,  '(直掃)RX Mapping'!AS38 &gt; 0), 120)</f>
        <v>-1</v>
      </c>
      <c r="AT38">
        <f>IF(AND('(橫掃)RX Mapping'!AT38&gt;=1,'(橫掃)RX Mapping'!AT38&lt;=120), ('(橫掃)RX Mapping'!AT38-1),IF(AND('(橫掃)RX Mapping'!AT38&gt;=121,'(橫掃)RX Mapping'!AT38&lt;=240), (-1)*('(橫掃)RX Mapping'!AT38-240),IF(AND('(橫掃)RX Mapping'!AT38&gt;=241,'(橫掃)RX Mapping'!AT38&lt;=360), ('(橫掃)RX Mapping'!AT38-241),IF(AND('(橫掃)RX Mapping'!AT38&gt;=361,'(橫掃)RX Mapping'!AT38&lt;=480), (-1)*('(橫掃)RX Mapping'!AT38-480),IF(AND('(橫掃)RX Mapping'!AT38&gt;=481,'(橫掃)RX Mapping'!AT38&lt;=600), ('(橫掃)RX Mapping'!AT38-361),IF(AND('(橫掃)RX Mapping'!AT38&gt;=601,'(橫掃)RX Mapping'!AT38&lt;=720), (-1)*('(橫掃)RX Mapping'!AT38-720)+120,IF(AND('(橫掃)RX Mapping'!AT38&gt;=721,'(橫掃)RX Mapping'!AT38&lt;=840), ('(橫掃)RX Mapping'!AT38-601),IF(AND('(橫掃)RX Mapping'!AT38&gt;=841,'(橫掃)RX Mapping'!AT38&lt;=960), (-1)*('(橫掃)RX Mapping'!AT38-960)+120,9999))))))))</f>
        <v>9999</v>
      </c>
      <c r="AU38">
        <f>IF(AND('(橫掃)RX Mapping'!AU38&gt;=1,'(橫掃)RX Mapping'!AU38&lt;=120), ('(橫掃)RX Mapping'!AU38-1),IF(AND('(橫掃)RX Mapping'!AU38&gt;=121,'(橫掃)RX Mapping'!AU38&lt;=240), (-1)*('(橫掃)RX Mapping'!AU38-240),IF(AND('(橫掃)RX Mapping'!AU38&gt;=241,'(橫掃)RX Mapping'!AU38&lt;=360), ('(橫掃)RX Mapping'!AU38-241),IF(AND('(橫掃)RX Mapping'!AU38&gt;=361,'(橫掃)RX Mapping'!AU38&lt;=480), (-1)*('(橫掃)RX Mapping'!AU38-480),IF(AND('(橫掃)RX Mapping'!AU38&gt;=481,'(橫掃)RX Mapping'!AU38&lt;=600), ('(橫掃)RX Mapping'!AU38-361),IF(AND('(橫掃)RX Mapping'!AU38&gt;=601,'(橫掃)RX Mapping'!AU38&lt;=720), (-1)*('(橫掃)RX Mapping'!AU38-720)+120,IF(AND('(橫掃)RX Mapping'!AU38&gt;=721,'(橫掃)RX Mapping'!AU38&lt;=840), ('(橫掃)RX Mapping'!AU38-601),IF(AND('(橫掃)RX Mapping'!AU38&gt;=841,'(橫掃)RX Mapping'!AU38&lt;=960), (-1)*('(橫掃)RX Mapping'!AU38-960)+120,9999))))))))</f>
        <v>9999</v>
      </c>
      <c r="AV38">
        <f>IF(AND('(橫掃)RX Mapping'!AV38&gt;=1,'(橫掃)RX Mapping'!AV38&lt;=120), ('(橫掃)RX Mapping'!AV38-1),IF(AND('(橫掃)RX Mapping'!AV38&gt;=121,'(橫掃)RX Mapping'!AV38&lt;=240), (-1)*('(橫掃)RX Mapping'!AV38-240),IF(AND('(橫掃)RX Mapping'!AV38&gt;=241,'(橫掃)RX Mapping'!AV38&lt;=360), ('(橫掃)RX Mapping'!AV38-241),IF(AND('(橫掃)RX Mapping'!AV38&gt;=361,'(橫掃)RX Mapping'!AV38&lt;=480), (-1)*('(橫掃)RX Mapping'!AV38-480),IF(AND('(橫掃)RX Mapping'!AV38&gt;=481,'(橫掃)RX Mapping'!AV38&lt;=600), ('(橫掃)RX Mapping'!AV38-361),IF(AND('(橫掃)RX Mapping'!AV38&gt;=601,'(橫掃)RX Mapping'!AV38&lt;=720), (-1)*('(橫掃)RX Mapping'!AV38-720)+120,IF(AND('(橫掃)RX Mapping'!AV38&gt;=721,'(橫掃)RX Mapping'!AV38&lt;=840), ('(橫掃)RX Mapping'!AV38-601),IF(AND('(橫掃)RX Mapping'!AV38&gt;=841,'(橫掃)RX Mapping'!AV38&lt;=960), (-1)*('(橫掃)RX Mapping'!AV38-960)+120,9999))))))))</f>
        <v>9999</v>
      </c>
      <c r="AW38">
        <f>IF(AND('(橫掃)RX Mapping'!AW38&gt;=1,'(橫掃)RX Mapping'!AW38&lt;=120), ('(橫掃)RX Mapping'!AW38-1),IF(AND('(橫掃)RX Mapping'!AW38&gt;=121,'(橫掃)RX Mapping'!AW38&lt;=240), (-1)*('(橫掃)RX Mapping'!AW38-240),IF(AND('(橫掃)RX Mapping'!AW38&gt;=241,'(橫掃)RX Mapping'!AW38&lt;=360), ('(橫掃)RX Mapping'!AW38-241),IF(AND('(橫掃)RX Mapping'!AW38&gt;=361,'(橫掃)RX Mapping'!AW38&lt;=480), (-1)*('(橫掃)RX Mapping'!AW38-480),IF(AND('(橫掃)RX Mapping'!AW38&gt;=481,'(橫掃)RX Mapping'!AW38&lt;=600), ('(橫掃)RX Mapping'!AW38-361),IF(AND('(橫掃)RX Mapping'!AW38&gt;=601,'(橫掃)RX Mapping'!AW38&lt;=720), (-1)*('(橫掃)RX Mapping'!AW38-720)+120,IF(AND('(橫掃)RX Mapping'!AW38&gt;=721,'(橫掃)RX Mapping'!AW38&lt;=840), ('(橫掃)RX Mapping'!AW38-601),IF(AND('(橫掃)RX Mapping'!AW38&gt;=841,'(橫掃)RX Mapping'!AW38&lt;=960), (-1)*('(橫掃)RX Mapping'!AW38-960)+120,9999))))))))</f>
        <v>9999</v>
      </c>
      <c r="AX38">
        <f>IF(AND('(橫掃)RX Mapping'!AX38&gt;=1,'(橫掃)RX Mapping'!AX38&lt;=120), ('(橫掃)RX Mapping'!AX38-1),IF(AND('(橫掃)RX Mapping'!AX38&gt;=121,'(橫掃)RX Mapping'!AX38&lt;=240), (-1)*('(橫掃)RX Mapping'!AX38-240),IF(AND('(橫掃)RX Mapping'!AX38&gt;=241,'(橫掃)RX Mapping'!AX38&lt;=360), ('(橫掃)RX Mapping'!AX38-241),IF(AND('(橫掃)RX Mapping'!AX38&gt;=361,'(橫掃)RX Mapping'!AX38&lt;=480), (-1)*('(橫掃)RX Mapping'!AX38-480),IF(AND('(橫掃)RX Mapping'!AX38&gt;=481,'(橫掃)RX Mapping'!AX38&lt;=600), ('(橫掃)RX Mapping'!AX38-361),IF(AND('(橫掃)RX Mapping'!AX38&gt;=601,'(橫掃)RX Mapping'!AX38&lt;=720), (-1)*('(橫掃)RX Mapping'!AX38-720)+120,IF(AND('(橫掃)RX Mapping'!AX38&gt;=721,'(橫掃)RX Mapping'!AX38&lt;=840), ('(橫掃)RX Mapping'!AX38-601),IF(AND('(橫掃)RX Mapping'!AX38&gt;=841,'(橫掃)RX Mapping'!AX38&lt;=960), (-1)*('(橫掃)RX Mapping'!AX38-960)+120,9999))))))))</f>
        <v>9999</v>
      </c>
      <c r="AY38">
        <f>IF(AND('(橫掃)RX Mapping'!AY38&gt;=1,'(橫掃)RX Mapping'!AY38&lt;=120), ('(橫掃)RX Mapping'!AY38-1),IF(AND('(橫掃)RX Mapping'!AY38&gt;=121,'(橫掃)RX Mapping'!AY38&lt;=240), (-1)*('(橫掃)RX Mapping'!AY38-240),IF(AND('(橫掃)RX Mapping'!AY38&gt;=241,'(橫掃)RX Mapping'!AY38&lt;=360), ('(橫掃)RX Mapping'!AY38-241),IF(AND('(橫掃)RX Mapping'!AY38&gt;=361,'(橫掃)RX Mapping'!AY38&lt;=480), (-1)*('(橫掃)RX Mapping'!AY38-480),IF(AND('(橫掃)RX Mapping'!AY38&gt;=481,'(橫掃)RX Mapping'!AY38&lt;=600), ('(橫掃)RX Mapping'!AY38-361),IF(AND('(橫掃)RX Mapping'!AY38&gt;=601,'(橫掃)RX Mapping'!AY38&lt;=720), (-1)*('(橫掃)RX Mapping'!AY38-720)+120,IF(AND('(橫掃)RX Mapping'!AY38&gt;=721,'(橫掃)RX Mapping'!AY38&lt;=840), ('(橫掃)RX Mapping'!AY38-601),IF(AND('(橫掃)RX Mapping'!AY38&gt;=841,'(橫掃)RX Mapping'!AY38&lt;=960), (-1)*('(橫掃)RX Mapping'!AY38-960)+120,9999))))))))</f>
        <v>9999</v>
      </c>
      <c r="AZ38">
        <f>IF(AND('(橫掃)RX Mapping'!AZ38&gt;=1,'(橫掃)RX Mapping'!AZ38&lt;=120), ('(橫掃)RX Mapping'!AZ38-1),IF(AND('(橫掃)RX Mapping'!AZ38&gt;=121,'(橫掃)RX Mapping'!AZ38&lt;=240), (-1)*('(橫掃)RX Mapping'!AZ38-240),IF(AND('(橫掃)RX Mapping'!AZ38&gt;=241,'(橫掃)RX Mapping'!AZ38&lt;=360), ('(橫掃)RX Mapping'!AZ38-241),IF(AND('(橫掃)RX Mapping'!AZ38&gt;=361,'(橫掃)RX Mapping'!AZ38&lt;=480), (-1)*('(橫掃)RX Mapping'!AZ38-480),IF(AND('(橫掃)RX Mapping'!AZ38&gt;=481,'(橫掃)RX Mapping'!AZ38&lt;=600), ('(橫掃)RX Mapping'!AZ38-361),IF(AND('(橫掃)RX Mapping'!AZ38&gt;=601,'(橫掃)RX Mapping'!AZ38&lt;=720), (-1)*('(橫掃)RX Mapping'!AZ38-720)+120,IF(AND('(橫掃)RX Mapping'!AZ38&gt;=721,'(橫掃)RX Mapping'!AZ38&lt;=840), ('(橫掃)RX Mapping'!AZ38-601),IF(AND('(橫掃)RX Mapping'!AZ38&gt;=841,'(橫掃)RX Mapping'!AZ38&lt;=960), (-1)*('(橫掃)RX Mapping'!AZ38-960)+120,9999))))))))</f>
        <v>9999</v>
      </c>
      <c r="BA38">
        <f>IF(AND('(橫掃)RX Mapping'!BA38&gt;=1,'(橫掃)RX Mapping'!BA38&lt;=120), ('(橫掃)RX Mapping'!BA38-1),IF(AND('(橫掃)RX Mapping'!BA38&gt;=121,'(橫掃)RX Mapping'!BA38&lt;=240), (-1)*('(橫掃)RX Mapping'!BA38-240),IF(AND('(橫掃)RX Mapping'!BA38&gt;=241,'(橫掃)RX Mapping'!BA38&lt;=360), ('(橫掃)RX Mapping'!BA38-241),IF(AND('(橫掃)RX Mapping'!BA38&gt;=361,'(橫掃)RX Mapping'!BA38&lt;=480), (-1)*('(橫掃)RX Mapping'!BA38-480),IF(AND('(橫掃)RX Mapping'!BA38&gt;=481,'(橫掃)RX Mapping'!BA38&lt;=600), ('(橫掃)RX Mapping'!BA38-361),IF(AND('(橫掃)RX Mapping'!BA38&gt;=601,'(橫掃)RX Mapping'!BA38&lt;=720), (-1)*('(橫掃)RX Mapping'!BA38-720)+120,IF(AND('(橫掃)RX Mapping'!BA38&gt;=721,'(橫掃)RX Mapping'!BA38&lt;=840), ('(橫掃)RX Mapping'!BA38-601),IF(AND('(橫掃)RX Mapping'!BA38&gt;=841,'(橫掃)RX Mapping'!BA38&lt;=960), (-1)*('(橫掃)RX Mapping'!BA38-960)+120,9999))))))))</f>
        <v>9999</v>
      </c>
      <c r="BB38">
        <f>IF(AND('(橫掃)RX Mapping'!BB38&gt;=1,'(橫掃)RX Mapping'!BB38&lt;=120), ('(橫掃)RX Mapping'!BB38-1),IF(AND('(橫掃)RX Mapping'!BB38&gt;=121,'(橫掃)RX Mapping'!BB38&lt;=240), (-1)*('(橫掃)RX Mapping'!BB38-240),IF(AND('(橫掃)RX Mapping'!BB38&gt;=241,'(橫掃)RX Mapping'!BB38&lt;=360), ('(橫掃)RX Mapping'!BB38-241),IF(AND('(橫掃)RX Mapping'!BB38&gt;=361,'(橫掃)RX Mapping'!BB38&lt;=480), (-1)*('(橫掃)RX Mapping'!BB38-480),IF(AND('(橫掃)RX Mapping'!BB38&gt;=481,'(橫掃)RX Mapping'!BB38&lt;=600), ('(橫掃)RX Mapping'!BB38-361),IF(AND('(橫掃)RX Mapping'!BB38&gt;=601,'(橫掃)RX Mapping'!BB38&lt;=720), (-1)*('(橫掃)RX Mapping'!BB38-720)+120,IF(AND('(橫掃)RX Mapping'!BB38&gt;=721,'(橫掃)RX Mapping'!BB38&lt;=840), ('(橫掃)RX Mapping'!BB38-601),IF(AND('(橫掃)RX Mapping'!BB38&gt;=841,'(橫掃)RX Mapping'!BB38&lt;=960), (-1)*('(橫掃)RX Mapping'!BB38-960)+120,9999))))))))</f>
        <v>9999</v>
      </c>
      <c r="BC38">
        <f>IF(AND('(橫掃)RX Mapping'!BC38&gt;=1,'(橫掃)RX Mapping'!BC38&lt;=120), ('(橫掃)RX Mapping'!BC38-1),IF(AND('(橫掃)RX Mapping'!BC38&gt;=121,'(橫掃)RX Mapping'!BC38&lt;=240), (-1)*('(橫掃)RX Mapping'!BC38-240),IF(AND('(橫掃)RX Mapping'!BC38&gt;=241,'(橫掃)RX Mapping'!BC38&lt;=360), ('(橫掃)RX Mapping'!BC38-241),IF(AND('(橫掃)RX Mapping'!BC38&gt;=361,'(橫掃)RX Mapping'!BC38&lt;=480), (-1)*('(橫掃)RX Mapping'!BC38-480),IF(AND('(橫掃)RX Mapping'!BC38&gt;=481,'(橫掃)RX Mapping'!BC38&lt;=600), ('(橫掃)RX Mapping'!BC38-361),IF(AND('(橫掃)RX Mapping'!BC38&gt;=601,'(橫掃)RX Mapping'!BC38&lt;=720), (-1)*('(橫掃)RX Mapping'!BC38-720)+120,IF(AND('(橫掃)RX Mapping'!BC38&gt;=721,'(橫掃)RX Mapping'!BC38&lt;=840), ('(橫掃)RX Mapping'!BC38-601),IF(AND('(橫掃)RX Mapping'!BC38&gt;=841,'(橫掃)RX Mapping'!BC38&lt;=960), (-1)*('(橫掃)RX Mapping'!BC38-960)+120,9999))))))))</f>
        <v>9999</v>
      </c>
      <c r="BD38">
        <f>IF(AND('(橫掃)RX Mapping'!BD38&gt;=1,'(橫掃)RX Mapping'!BD38&lt;=120), ('(橫掃)RX Mapping'!BD38-1),IF(AND('(橫掃)RX Mapping'!BD38&gt;=121,'(橫掃)RX Mapping'!BD38&lt;=240), (-1)*('(橫掃)RX Mapping'!BD38-240),IF(AND('(橫掃)RX Mapping'!BD38&gt;=241,'(橫掃)RX Mapping'!BD38&lt;=360), ('(橫掃)RX Mapping'!BD38-241),IF(AND('(橫掃)RX Mapping'!BD38&gt;=361,'(橫掃)RX Mapping'!BD38&lt;=480), (-1)*('(橫掃)RX Mapping'!BD38-480),IF(AND('(橫掃)RX Mapping'!BD38&gt;=481,'(橫掃)RX Mapping'!BD38&lt;=600), ('(橫掃)RX Mapping'!BD38-361),IF(AND('(橫掃)RX Mapping'!BD38&gt;=601,'(橫掃)RX Mapping'!BD38&lt;=720), (-1)*('(橫掃)RX Mapping'!BD38-720)+120,IF(AND('(橫掃)RX Mapping'!BD38&gt;=721,'(橫掃)RX Mapping'!BD38&lt;=840), ('(橫掃)RX Mapping'!BD38-601),IF(AND('(橫掃)RX Mapping'!BD38&gt;=841,'(橫掃)RX Mapping'!BD38&lt;=960), (-1)*('(橫掃)RX Mapping'!BD38-960)+120,9999))))))))</f>
        <v>9999</v>
      </c>
      <c r="BE38">
        <f>IF(AND('(橫掃)RX Mapping'!BE38&gt;=1,'(橫掃)RX Mapping'!BE38&lt;=120), ('(橫掃)RX Mapping'!BE38-1),IF(AND('(橫掃)RX Mapping'!BE38&gt;=121,'(橫掃)RX Mapping'!BE38&lt;=240), (-1)*('(橫掃)RX Mapping'!BE38-240),IF(AND('(橫掃)RX Mapping'!BE38&gt;=241,'(橫掃)RX Mapping'!BE38&lt;=360), ('(橫掃)RX Mapping'!BE38-241),IF(AND('(橫掃)RX Mapping'!BE38&gt;=361,'(橫掃)RX Mapping'!BE38&lt;=480), (-1)*('(橫掃)RX Mapping'!BE38-480),IF(AND('(橫掃)RX Mapping'!BE38&gt;=481,'(橫掃)RX Mapping'!BE38&lt;=600), ('(橫掃)RX Mapping'!BE38-361),IF(AND('(橫掃)RX Mapping'!BE38&gt;=601,'(橫掃)RX Mapping'!BE38&lt;=720), (-1)*('(橫掃)RX Mapping'!BE38-720)+120,IF(AND('(橫掃)RX Mapping'!BE38&gt;=721,'(橫掃)RX Mapping'!BE38&lt;=840), ('(橫掃)RX Mapping'!BE38-601),IF(AND('(橫掃)RX Mapping'!BE38&gt;=841,'(橫掃)RX Mapping'!BE38&lt;=960), (-1)*('(橫掃)RX Mapping'!BE38-960)+120,9999))))))))</f>
        <v>9999</v>
      </c>
      <c r="BF38">
        <f>IF(AND('(橫掃)RX Mapping'!BF38&gt;=1,'(橫掃)RX Mapping'!BF38&lt;=120), ('(橫掃)RX Mapping'!BF38-1),IF(AND('(橫掃)RX Mapping'!BF38&gt;=121,'(橫掃)RX Mapping'!BF38&lt;=240), (-1)*('(橫掃)RX Mapping'!BF38-240),IF(AND('(橫掃)RX Mapping'!BF38&gt;=241,'(橫掃)RX Mapping'!BF38&lt;=360), ('(橫掃)RX Mapping'!BF38-241),IF(AND('(橫掃)RX Mapping'!BF38&gt;=361,'(橫掃)RX Mapping'!BF38&lt;=480), (-1)*('(橫掃)RX Mapping'!BF38-480),IF(AND('(橫掃)RX Mapping'!BF38&gt;=481,'(橫掃)RX Mapping'!BF38&lt;=600), ('(橫掃)RX Mapping'!BF38-361),IF(AND('(橫掃)RX Mapping'!BF38&gt;=601,'(橫掃)RX Mapping'!BF38&lt;=720), (-1)*('(橫掃)RX Mapping'!BF38-720)+120,IF(AND('(橫掃)RX Mapping'!BF38&gt;=721,'(橫掃)RX Mapping'!BF38&lt;=840), ('(橫掃)RX Mapping'!BF38-601),IF(AND('(橫掃)RX Mapping'!BF38&gt;=841,'(橫掃)RX Mapping'!BF38&lt;=960), (-1)*('(橫掃)RX Mapping'!BF38-960)+120,9999))))))))</f>
        <v>9999</v>
      </c>
      <c r="BG38">
        <f>IF(AND('(橫掃)RX Mapping'!BG38&gt;=1,'(橫掃)RX Mapping'!BG38&lt;=120), ('(橫掃)RX Mapping'!BG38-1),IF(AND('(橫掃)RX Mapping'!BG38&gt;=121,'(橫掃)RX Mapping'!BG38&lt;=240), (-1)*('(橫掃)RX Mapping'!BG38-240),IF(AND('(橫掃)RX Mapping'!BG38&gt;=241,'(橫掃)RX Mapping'!BG38&lt;=360), ('(橫掃)RX Mapping'!BG38-241),IF(AND('(橫掃)RX Mapping'!BG38&gt;=361,'(橫掃)RX Mapping'!BG38&lt;=480), (-1)*('(橫掃)RX Mapping'!BG38-480),IF(AND('(橫掃)RX Mapping'!BG38&gt;=481,'(橫掃)RX Mapping'!BG38&lt;=600), ('(橫掃)RX Mapping'!BG38-361),IF(AND('(橫掃)RX Mapping'!BG38&gt;=601,'(橫掃)RX Mapping'!BG38&lt;=720), (-1)*('(橫掃)RX Mapping'!BG38-720)+120,IF(AND('(橫掃)RX Mapping'!BG38&gt;=721,'(橫掃)RX Mapping'!BG38&lt;=840), ('(橫掃)RX Mapping'!BG38-601),IF(AND('(橫掃)RX Mapping'!BG38&gt;=841,'(橫掃)RX Mapping'!BG38&lt;=960), (-1)*('(橫掃)RX Mapping'!BG38-960)+120,9999))))))))</f>
        <v>9999</v>
      </c>
      <c r="BH38">
        <f>IF(AND('(橫掃)RX Mapping'!BH38&gt;=1,'(橫掃)RX Mapping'!BH38&lt;=120), ('(橫掃)RX Mapping'!BH38-1),IF(AND('(橫掃)RX Mapping'!BH38&gt;=121,'(橫掃)RX Mapping'!BH38&lt;=240), (-1)*('(橫掃)RX Mapping'!BH38-240),IF(AND('(橫掃)RX Mapping'!BH38&gt;=241,'(橫掃)RX Mapping'!BH38&lt;=360), ('(橫掃)RX Mapping'!BH38-241),IF(AND('(橫掃)RX Mapping'!BH38&gt;=361,'(橫掃)RX Mapping'!BH38&lt;=480), (-1)*('(橫掃)RX Mapping'!BH38-480),IF(AND('(橫掃)RX Mapping'!BH38&gt;=481,'(橫掃)RX Mapping'!BH38&lt;=600), ('(橫掃)RX Mapping'!BH38-361),IF(AND('(橫掃)RX Mapping'!BH38&gt;=601,'(橫掃)RX Mapping'!BH38&lt;=720), (-1)*('(橫掃)RX Mapping'!BH38-720)+120,IF(AND('(橫掃)RX Mapping'!BH38&gt;=721,'(橫掃)RX Mapping'!BH38&lt;=840), ('(橫掃)RX Mapping'!BH38-601),IF(AND('(橫掃)RX Mapping'!BH38&gt;=841,'(橫掃)RX Mapping'!BH38&lt;=960), (-1)*('(橫掃)RX Mapping'!BH38-960)+120,9999))))))))</f>
        <v>9999</v>
      </c>
      <c r="BI38">
        <f>IF(AND('(橫掃)RX Mapping'!BI38&gt;=1,'(橫掃)RX Mapping'!BI38&lt;=120), ('(橫掃)RX Mapping'!BI38-1),IF(AND('(橫掃)RX Mapping'!BI38&gt;=121,'(橫掃)RX Mapping'!BI38&lt;=240), (-1)*('(橫掃)RX Mapping'!BI38-240),IF(AND('(橫掃)RX Mapping'!BI38&gt;=241,'(橫掃)RX Mapping'!BI38&lt;=360), ('(橫掃)RX Mapping'!BI38-241),IF(AND('(橫掃)RX Mapping'!BI38&gt;=361,'(橫掃)RX Mapping'!BI38&lt;=480), (-1)*('(橫掃)RX Mapping'!BI38-480),IF(AND('(橫掃)RX Mapping'!BI38&gt;=481,'(橫掃)RX Mapping'!BI38&lt;=600), ('(橫掃)RX Mapping'!BI38-361),IF(AND('(橫掃)RX Mapping'!BI38&gt;=601,'(橫掃)RX Mapping'!BI38&lt;=720), (-1)*('(橫掃)RX Mapping'!BI38-720)+120,IF(AND('(橫掃)RX Mapping'!BI38&gt;=721,'(橫掃)RX Mapping'!BI38&lt;=840), ('(橫掃)RX Mapping'!BI38-601),IF(AND('(橫掃)RX Mapping'!BI38&gt;=841,'(橫掃)RX Mapping'!BI38&lt;=960), (-1)*('(橫掃)RX Mapping'!BI38-960)+120,9999))))))))</f>
        <v>9999</v>
      </c>
    </row>
    <row r="39" spans="1:61" x14ac:dyDescent="0.25">
      <c r="A39" s="20">
        <v>38</v>
      </c>
      <c r="B39">
        <f>IF(AND('(橫掃)RX Mapping'!B39&gt;=1,'(橫掃)RX Mapping'!B39&lt;=120), ('(橫掃)RX Mapping'!B39-1),IF(AND('(橫掃)RX Mapping'!B39&gt;=121,'(橫掃)RX Mapping'!B39&lt;=240), (-1)*('(橫掃)RX Mapping'!B39-240),IF(AND('(橫掃)RX Mapping'!B39&gt;=241,'(橫掃)RX Mapping'!B39&lt;=360), ('(橫掃)RX Mapping'!B39-241),IF(AND('(橫掃)RX Mapping'!B39&gt;=361,'(橫掃)RX Mapping'!B39&lt;=480), (-1)*('(橫掃)RX Mapping'!B39-480),IF(AND('(橫掃)RX Mapping'!B39&gt;=481,'(橫掃)RX Mapping'!B39&lt;=600), ('(橫掃)RX Mapping'!B39-361),IF(AND('(橫掃)RX Mapping'!B39&gt;=601,'(橫掃)RX Mapping'!B39&lt;=720), (-1)*('(橫掃)RX Mapping'!B39-720)+120,IF(AND('(橫掃)RX Mapping'!B39&gt;=721,'(橫掃)RX Mapping'!B39&lt;=840), ('(橫掃)RX Mapping'!B39-601),IF(AND('(橫掃)RX Mapping'!B39&gt;=841,'(橫掃)RX Mapping'!B39&lt;=960), (-1)*('(橫掃)RX Mapping'!B39-960)+120,9999))))))))</f>
        <v>9999</v>
      </c>
      <c r="C39">
        <f>IF(AND('(橫掃)RX Mapping'!C39&gt;=1,'(橫掃)RX Mapping'!C39&lt;=120), ('(橫掃)RX Mapping'!C39-1),IF(AND('(橫掃)RX Mapping'!C39&gt;=121,'(橫掃)RX Mapping'!C39&lt;=240), (-1)*('(橫掃)RX Mapping'!C39-240),IF(AND('(橫掃)RX Mapping'!C39&gt;=241,'(橫掃)RX Mapping'!C39&lt;=360), ('(橫掃)RX Mapping'!C39-241),IF(AND('(橫掃)RX Mapping'!C39&gt;=361,'(橫掃)RX Mapping'!C39&lt;=480), (-1)*('(橫掃)RX Mapping'!C39-480),IF(AND('(橫掃)RX Mapping'!C39&gt;=481,'(橫掃)RX Mapping'!C39&lt;=600), ('(橫掃)RX Mapping'!C39-361),IF(AND('(橫掃)RX Mapping'!C39&gt;=601,'(橫掃)RX Mapping'!C39&lt;=720), (-1)*('(橫掃)RX Mapping'!C39-720)+120,IF(AND('(橫掃)RX Mapping'!C39&gt;=721,'(橫掃)RX Mapping'!C39&lt;=840), ('(橫掃)RX Mapping'!C39-601),IF(AND('(橫掃)RX Mapping'!C39&gt;=841,'(橫掃)RX Mapping'!C39&lt;=960), (-1)*('(橫掃)RX Mapping'!C39-960)+120,9999))))))))</f>
        <v>9999</v>
      </c>
      <c r="D39">
        <f>IF(AND('(橫掃)RX Mapping'!D39&gt;=1,'(橫掃)RX Mapping'!D39&lt;=120), ('(橫掃)RX Mapping'!D39-1),IF(AND('(橫掃)RX Mapping'!D39&gt;=121,'(橫掃)RX Mapping'!D39&lt;=240), (-1)*('(橫掃)RX Mapping'!D39-240),IF(AND('(橫掃)RX Mapping'!D39&gt;=241,'(橫掃)RX Mapping'!D39&lt;=360), ('(橫掃)RX Mapping'!D39-241),IF(AND('(橫掃)RX Mapping'!D39&gt;=361,'(橫掃)RX Mapping'!D39&lt;=480), (-1)*('(橫掃)RX Mapping'!D39-480),IF(AND('(橫掃)RX Mapping'!D39&gt;=481,'(橫掃)RX Mapping'!D39&lt;=600), ('(橫掃)RX Mapping'!D39-361),IF(AND('(橫掃)RX Mapping'!D39&gt;=601,'(橫掃)RX Mapping'!D39&lt;=720), (-1)*('(橫掃)RX Mapping'!D39-720)+120,IF(AND('(橫掃)RX Mapping'!D39&gt;=721,'(橫掃)RX Mapping'!D39&lt;=840), ('(橫掃)RX Mapping'!D39-601),IF(AND('(橫掃)RX Mapping'!D39&gt;=841,'(橫掃)RX Mapping'!D39&lt;=960), (-1)*('(橫掃)RX Mapping'!D39-960)+120,9999))))))))</f>
        <v>9999</v>
      </c>
      <c r="E39">
        <f>IF(AND('(橫掃)RX Mapping'!E39&gt;=1,'(橫掃)RX Mapping'!E39&lt;=120), ('(橫掃)RX Mapping'!E39-1),IF(AND('(橫掃)RX Mapping'!E39&gt;=121,'(橫掃)RX Mapping'!E39&lt;=240), (-1)*('(橫掃)RX Mapping'!E39-240),IF(AND('(橫掃)RX Mapping'!E39&gt;=241,'(橫掃)RX Mapping'!E39&lt;=360), ('(橫掃)RX Mapping'!E39-241),IF(AND('(橫掃)RX Mapping'!E39&gt;=361,'(橫掃)RX Mapping'!E39&lt;=480), (-1)*('(橫掃)RX Mapping'!E39-480),IF(AND('(橫掃)RX Mapping'!E39&gt;=481,'(橫掃)RX Mapping'!E39&lt;=600), ('(橫掃)RX Mapping'!E39-361),IF(AND('(橫掃)RX Mapping'!E39&gt;=601,'(橫掃)RX Mapping'!E39&lt;=720), (-1)*('(橫掃)RX Mapping'!E39-720)+120,IF(AND('(橫掃)RX Mapping'!E39&gt;=721,'(橫掃)RX Mapping'!E39&lt;=840), ('(橫掃)RX Mapping'!E39-601),IF(AND('(橫掃)RX Mapping'!E39&gt;=841,'(橫掃)RX Mapping'!E39&lt;=960), (-1)*('(橫掃)RX Mapping'!E39-960)+120,9999))))))))</f>
        <v>9999</v>
      </c>
      <c r="F39">
        <f>IF(AND('(橫掃)RX Mapping'!F39&gt;=1,'(橫掃)RX Mapping'!F39&lt;=120), ('(橫掃)RX Mapping'!F39-1),IF(AND('(橫掃)RX Mapping'!F39&gt;=121,'(橫掃)RX Mapping'!F39&lt;=240), (-1)*('(橫掃)RX Mapping'!F39-240),IF(AND('(橫掃)RX Mapping'!F39&gt;=241,'(橫掃)RX Mapping'!F39&lt;=360), ('(橫掃)RX Mapping'!F39-241),IF(AND('(橫掃)RX Mapping'!F39&gt;=361,'(橫掃)RX Mapping'!F39&lt;=480), (-1)*('(橫掃)RX Mapping'!F39-480),IF(AND('(橫掃)RX Mapping'!F39&gt;=481,'(橫掃)RX Mapping'!F39&lt;=600), ('(橫掃)RX Mapping'!F39-361),IF(AND('(橫掃)RX Mapping'!F39&gt;=601,'(橫掃)RX Mapping'!F39&lt;=720), (-1)*('(橫掃)RX Mapping'!F39-720)+120,IF(AND('(橫掃)RX Mapping'!F39&gt;=721,'(橫掃)RX Mapping'!F39&lt;=840), ('(橫掃)RX Mapping'!F39-601),IF(AND('(橫掃)RX Mapping'!F39&gt;=841,'(橫掃)RX Mapping'!F39&lt;=960), (-1)*('(橫掃)RX Mapping'!F39-960)+120,9999))))))))</f>
        <v>9999</v>
      </c>
      <c r="G39">
        <f>IF(AND('(橫掃)RX Mapping'!G39&gt;=1,'(橫掃)RX Mapping'!G39&lt;=120), ('(橫掃)RX Mapping'!G39-1),IF(AND('(橫掃)RX Mapping'!G39&gt;=121,'(橫掃)RX Mapping'!G39&lt;=240), (-1)*('(橫掃)RX Mapping'!G39-240),IF(AND('(橫掃)RX Mapping'!G39&gt;=241,'(橫掃)RX Mapping'!G39&lt;=360), ('(橫掃)RX Mapping'!G39-241),IF(AND('(橫掃)RX Mapping'!G39&gt;=361,'(橫掃)RX Mapping'!G39&lt;=480), (-1)*('(橫掃)RX Mapping'!G39-480),IF(AND('(橫掃)RX Mapping'!G39&gt;=481,'(橫掃)RX Mapping'!G39&lt;=600), ('(橫掃)RX Mapping'!G39-361),IF(AND('(橫掃)RX Mapping'!G39&gt;=601,'(橫掃)RX Mapping'!G39&lt;=720), (-1)*('(橫掃)RX Mapping'!G39-720)+120,IF(AND('(橫掃)RX Mapping'!G39&gt;=721,'(橫掃)RX Mapping'!G39&lt;=840), ('(橫掃)RX Mapping'!G39-601),IF(AND('(橫掃)RX Mapping'!G39&gt;=841,'(橫掃)RX Mapping'!G39&lt;=960), (-1)*('(橫掃)RX Mapping'!G39-960)+120,9999))))))))</f>
        <v>9999</v>
      </c>
      <c r="H39">
        <f>IF(AND('(橫掃)RX Mapping'!H39&gt;=1,'(橫掃)RX Mapping'!H39&lt;=120), ('(橫掃)RX Mapping'!H39-1),IF(AND('(橫掃)RX Mapping'!H39&gt;=121,'(橫掃)RX Mapping'!H39&lt;=240), (-1)*('(橫掃)RX Mapping'!H39-240),IF(AND('(橫掃)RX Mapping'!H39&gt;=241,'(橫掃)RX Mapping'!H39&lt;=360), ('(橫掃)RX Mapping'!H39-241),IF(AND('(橫掃)RX Mapping'!H39&gt;=361,'(橫掃)RX Mapping'!H39&lt;=480), (-1)*('(橫掃)RX Mapping'!H39-480),IF(AND('(橫掃)RX Mapping'!H39&gt;=481,'(橫掃)RX Mapping'!H39&lt;=600), ('(橫掃)RX Mapping'!H39-361),IF(AND('(橫掃)RX Mapping'!H39&gt;=601,'(橫掃)RX Mapping'!H39&lt;=720), (-1)*('(橫掃)RX Mapping'!H39-720)+120,IF(AND('(橫掃)RX Mapping'!H39&gt;=721,'(橫掃)RX Mapping'!H39&lt;=840), ('(橫掃)RX Mapping'!H39-601),IF(AND('(橫掃)RX Mapping'!H39&gt;=841,'(橫掃)RX Mapping'!H39&lt;=960), (-1)*('(橫掃)RX Mapping'!H39-960)+120,9999))))))))</f>
        <v>9999</v>
      </c>
      <c r="I39">
        <f>IF(AND('(橫掃)RX Mapping'!I39&gt;=1,'(橫掃)RX Mapping'!I39&lt;=120), ('(橫掃)RX Mapping'!I39-1),IF(AND('(橫掃)RX Mapping'!I39&gt;=121,'(橫掃)RX Mapping'!I39&lt;=240), (-1)*('(橫掃)RX Mapping'!I39-240),IF(AND('(橫掃)RX Mapping'!I39&gt;=241,'(橫掃)RX Mapping'!I39&lt;=360), ('(橫掃)RX Mapping'!I39-241),IF(AND('(橫掃)RX Mapping'!I39&gt;=361,'(橫掃)RX Mapping'!I39&lt;=480), (-1)*('(橫掃)RX Mapping'!I39-480),IF(AND('(橫掃)RX Mapping'!I39&gt;=481,'(橫掃)RX Mapping'!I39&lt;=600), ('(橫掃)RX Mapping'!I39-361),IF(AND('(橫掃)RX Mapping'!I39&gt;=601,'(橫掃)RX Mapping'!I39&lt;=720), (-1)*('(橫掃)RX Mapping'!I39-720)+120,IF(AND('(橫掃)RX Mapping'!I39&gt;=721,'(橫掃)RX Mapping'!I39&lt;=840), ('(橫掃)RX Mapping'!I39-601),IF(AND('(橫掃)RX Mapping'!I39&gt;=841,'(橫掃)RX Mapping'!I39&lt;=960), (-1)*('(橫掃)RX Mapping'!I39-960)+120,9999))))))))</f>
        <v>9999</v>
      </c>
      <c r="J39">
        <f>IF(AND('(橫掃)RX Mapping'!J39&gt;=1,'(橫掃)RX Mapping'!J39&lt;=120), ('(橫掃)RX Mapping'!J39-1),IF(AND('(橫掃)RX Mapping'!J39&gt;=121,'(橫掃)RX Mapping'!J39&lt;=240), (-1)*('(橫掃)RX Mapping'!J39-240),IF(AND('(橫掃)RX Mapping'!J39&gt;=241,'(橫掃)RX Mapping'!J39&lt;=360), ('(橫掃)RX Mapping'!J39-241),IF(AND('(橫掃)RX Mapping'!J39&gt;=361,'(橫掃)RX Mapping'!J39&lt;=480), (-1)*('(橫掃)RX Mapping'!J39-480),IF(AND('(橫掃)RX Mapping'!J39&gt;=481,'(橫掃)RX Mapping'!J39&lt;=600), ('(橫掃)RX Mapping'!J39-361),IF(AND('(橫掃)RX Mapping'!J39&gt;=601,'(橫掃)RX Mapping'!J39&lt;=720), (-1)*('(橫掃)RX Mapping'!J39-720)+120,IF(AND('(橫掃)RX Mapping'!J39&gt;=721,'(橫掃)RX Mapping'!J39&lt;=840), ('(橫掃)RX Mapping'!J39-601),IF(AND('(橫掃)RX Mapping'!J39&gt;=841,'(橫掃)RX Mapping'!J39&lt;=960), (-1)*('(橫掃)RX Mapping'!J39-960)+120,9999))))))))</f>
        <v>9999</v>
      </c>
      <c r="K39">
        <f>IF(AND('(橫掃)RX Mapping'!K39&gt;=1,'(橫掃)RX Mapping'!K39&lt;=120), ('(橫掃)RX Mapping'!K39-1),IF(AND('(橫掃)RX Mapping'!K39&gt;=121,'(橫掃)RX Mapping'!K39&lt;=240), (-1)*('(橫掃)RX Mapping'!K39-240),IF(AND('(橫掃)RX Mapping'!K39&gt;=241,'(橫掃)RX Mapping'!K39&lt;=360), ('(橫掃)RX Mapping'!K39-241),IF(AND('(橫掃)RX Mapping'!K39&gt;=361,'(橫掃)RX Mapping'!K39&lt;=480), (-1)*('(橫掃)RX Mapping'!K39-480),IF(AND('(橫掃)RX Mapping'!K39&gt;=481,'(橫掃)RX Mapping'!K39&lt;=600), ('(橫掃)RX Mapping'!K39-361),IF(AND('(橫掃)RX Mapping'!K39&gt;=601,'(橫掃)RX Mapping'!K39&lt;=720), (-1)*('(橫掃)RX Mapping'!K39-720)+120,IF(AND('(橫掃)RX Mapping'!K39&gt;=721,'(橫掃)RX Mapping'!K39&lt;=840), ('(橫掃)RX Mapping'!K39-601),IF(AND('(橫掃)RX Mapping'!K39&gt;=841,'(橫掃)RX Mapping'!K39&lt;=960), (-1)*('(橫掃)RX Mapping'!K39-960)+120,9999))))))))</f>
        <v>9999</v>
      </c>
      <c r="L39">
        <f>IF(AND('(橫掃)RX Mapping'!L39&gt;=1,'(橫掃)RX Mapping'!L39&lt;=120), ('(橫掃)RX Mapping'!L39-1),IF(AND('(橫掃)RX Mapping'!L39&gt;=121,'(橫掃)RX Mapping'!L39&lt;=240), (-1)*('(橫掃)RX Mapping'!L39-240),IF(AND('(橫掃)RX Mapping'!L39&gt;=241,'(橫掃)RX Mapping'!L39&lt;=360), ('(橫掃)RX Mapping'!L39-241),IF(AND('(橫掃)RX Mapping'!L39&gt;=361,'(橫掃)RX Mapping'!L39&lt;=480), (-1)*('(橫掃)RX Mapping'!L39-480),IF(AND('(橫掃)RX Mapping'!L39&gt;=481,'(橫掃)RX Mapping'!L39&lt;=600), ('(橫掃)RX Mapping'!L39-361),IF(AND('(橫掃)RX Mapping'!L39&gt;=601,'(橫掃)RX Mapping'!L39&lt;=720), (-1)*('(橫掃)RX Mapping'!L39-720)+120,IF(AND('(橫掃)RX Mapping'!L39&gt;=721,'(橫掃)RX Mapping'!L39&lt;=840), ('(橫掃)RX Mapping'!L39-601),IF(AND('(橫掃)RX Mapping'!L39&gt;=841,'(橫掃)RX Mapping'!L39&lt;=960), (-1)*('(橫掃)RX Mapping'!L39-960)+120,9999))))))))</f>
        <v>9999</v>
      </c>
      <c r="M39">
        <f>IF(AND('(橫掃)RX Mapping'!M39&gt;=1,'(橫掃)RX Mapping'!M39&lt;=120), ('(橫掃)RX Mapping'!M39-1),IF(AND('(橫掃)RX Mapping'!M39&gt;=121,'(橫掃)RX Mapping'!M39&lt;=240), (-1)*('(橫掃)RX Mapping'!M39-240),IF(AND('(橫掃)RX Mapping'!M39&gt;=241,'(橫掃)RX Mapping'!M39&lt;=360), ('(橫掃)RX Mapping'!M39-241),IF(AND('(橫掃)RX Mapping'!M39&gt;=361,'(橫掃)RX Mapping'!M39&lt;=480), (-1)*('(橫掃)RX Mapping'!M39-480),IF(AND('(橫掃)RX Mapping'!M39&gt;=481,'(橫掃)RX Mapping'!M39&lt;=600), ('(橫掃)RX Mapping'!M39-361),IF(AND('(橫掃)RX Mapping'!M39&gt;=601,'(橫掃)RX Mapping'!M39&lt;=720), (-1)*('(橫掃)RX Mapping'!M39-720)+120,IF(AND('(橫掃)RX Mapping'!M39&gt;=721,'(橫掃)RX Mapping'!M39&lt;=840), ('(橫掃)RX Mapping'!M39-601),IF(AND('(橫掃)RX Mapping'!M39&gt;=841,'(橫掃)RX Mapping'!M39&lt;=960), (-1)*('(橫掃)RX Mapping'!M39-960)+120,9999))))))))</f>
        <v>9999</v>
      </c>
      <c r="N39">
        <f>IF(AND('(橫掃)RX Mapping'!N39&gt;=1,'(橫掃)RX Mapping'!N39&lt;=120), ('(橫掃)RX Mapping'!N39-1),IF(AND('(橫掃)RX Mapping'!N39&gt;=121,'(橫掃)RX Mapping'!N39&lt;=240), (-1)*('(橫掃)RX Mapping'!N39-240),IF(AND('(橫掃)RX Mapping'!N39&gt;=241,'(橫掃)RX Mapping'!N39&lt;=360), ('(橫掃)RX Mapping'!N39-241),IF(AND('(橫掃)RX Mapping'!N39&gt;=361,'(橫掃)RX Mapping'!N39&lt;=480), (-1)*('(橫掃)RX Mapping'!N39-480),IF(AND('(橫掃)RX Mapping'!N39&gt;=481,'(橫掃)RX Mapping'!N39&lt;=600), ('(橫掃)RX Mapping'!N39-361),IF(AND('(橫掃)RX Mapping'!N39&gt;=601,'(橫掃)RX Mapping'!N39&lt;=720), (-1)*('(橫掃)RX Mapping'!N39-720)+120,IF(AND('(橫掃)RX Mapping'!N39&gt;=721,'(橫掃)RX Mapping'!N39&lt;=840), ('(橫掃)RX Mapping'!N39-601),IF(AND('(橫掃)RX Mapping'!N39&gt;=841,'(橫掃)RX Mapping'!N39&lt;=960), (-1)*('(橫掃)RX Mapping'!N39-960)+120,9999))))))))</f>
        <v>9999</v>
      </c>
      <c r="O39">
        <f>IF(AND('(橫掃)RX Mapping'!O39&gt;=1,'(橫掃)RX Mapping'!O39&lt;=120), ('(橫掃)RX Mapping'!O39-1),IF(AND('(橫掃)RX Mapping'!O39&gt;=121,'(橫掃)RX Mapping'!O39&lt;=240), (-1)*('(橫掃)RX Mapping'!O39-240),IF(AND('(橫掃)RX Mapping'!O39&gt;=241,'(橫掃)RX Mapping'!O39&lt;=360), ('(橫掃)RX Mapping'!O39-241),IF(AND('(橫掃)RX Mapping'!O39&gt;=361,'(橫掃)RX Mapping'!O39&lt;=480), (-1)*('(橫掃)RX Mapping'!O39-480),IF(AND('(橫掃)RX Mapping'!O39&gt;=481,'(橫掃)RX Mapping'!O39&lt;=600), ('(橫掃)RX Mapping'!O39-361),IF(AND('(橫掃)RX Mapping'!O39&gt;=601,'(橫掃)RX Mapping'!O39&lt;=720), (-1)*('(橫掃)RX Mapping'!O39-720)+120,IF(AND('(橫掃)RX Mapping'!O39&gt;=721,'(橫掃)RX Mapping'!O39&lt;=840), ('(橫掃)RX Mapping'!O39-601),IF(AND('(橫掃)RX Mapping'!O39&gt;=841,'(橫掃)RX Mapping'!O39&lt;=960), (-1)*('(橫掃)RX Mapping'!O39-960)+120,9999))))))))</f>
        <v>9999</v>
      </c>
      <c r="P39">
        <f>IF(AND('(橫掃)RX Mapping'!P39&gt;=1,'(橫掃)RX Mapping'!P39&lt;=120), ('(橫掃)RX Mapping'!P39-1),IF(AND('(橫掃)RX Mapping'!P39&gt;=121,'(橫掃)RX Mapping'!P39&lt;=240), (-1)*('(橫掃)RX Mapping'!P39-240),IF(AND('(橫掃)RX Mapping'!P39&gt;=241,'(橫掃)RX Mapping'!P39&lt;=360), ('(橫掃)RX Mapping'!P39-241),IF(AND('(橫掃)RX Mapping'!P39&gt;=361,'(橫掃)RX Mapping'!P39&lt;=480), (-1)*('(橫掃)RX Mapping'!P39-480),IF(AND('(橫掃)RX Mapping'!P39&gt;=481,'(橫掃)RX Mapping'!P39&lt;=600), ('(橫掃)RX Mapping'!P39-361),IF(AND('(橫掃)RX Mapping'!P39&gt;=601,'(橫掃)RX Mapping'!P39&lt;=720), (-1)*('(橫掃)RX Mapping'!P39-720)+120,IF(AND('(橫掃)RX Mapping'!P39&gt;=721,'(橫掃)RX Mapping'!P39&lt;=840), ('(橫掃)RX Mapping'!P39-601),IF(AND('(橫掃)RX Mapping'!P39&gt;=841,'(橫掃)RX Mapping'!P39&lt;=960), (-1)*('(橫掃)RX Mapping'!P39-960)+120,9999))))))))</f>
        <v>9999</v>
      </c>
      <c r="Q39">
        <f>IF(AND('(橫掃)RX Mapping'!Q39&gt;=1,'(橫掃)RX Mapping'!Q39&lt;=120), ('(橫掃)RX Mapping'!Q39-1),IF(AND('(橫掃)RX Mapping'!Q39&gt;=121,'(橫掃)RX Mapping'!Q39&lt;=240), (-1)*('(橫掃)RX Mapping'!Q39-240),IF(AND('(橫掃)RX Mapping'!Q39&gt;=241,'(橫掃)RX Mapping'!Q39&lt;=360), ('(橫掃)RX Mapping'!Q39-241),IF(AND('(橫掃)RX Mapping'!Q39&gt;=361,'(橫掃)RX Mapping'!Q39&lt;=480), (-1)*('(橫掃)RX Mapping'!Q39-480),IF(AND('(橫掃)RX Mapping'!Q39&gt;=481,'(橫掃)RX Mapping'!Q39&lt;=600), ('(橫掃)RX Mapping'!Q39-361),IF(AND('(橫掃)RX Mapping'!Q39&gt;=601,'(橫掃)RX Mapping'!Q39&lt;=720), (-1)*('(橫掃)RX Mapping'!Q39-720)+120,IF(AND('(橫掃)RX Mapping'!Q39&gt;=721,'(橫掃)RX Mapping'!Q39&lt;=840), ('(橫掃)RX Mapping'!Q39-601),IF(AND('(橫掃)RX Mapping'!Q39&gt;=841,'(橫掃)RX Mapping'!Q39&lt;=960), (-1)*('(橫掃)RX Mapping'!Q39-960)+120,9999))))))))</f>
        <v>9999</v>
      </c>
      <c r="R39">
        <f>IF(AND('(橫掃)RX Mapping'!R39&gt;=1,'(橫掃)RX Mapping'!R39&lt;=120), ('(橫掃)RX Mapping'!R39-1),IF(AND('(橫掃)RX Mapping'!R39&gt;=121,'(橫掃)RX Mapping'!R39&lt;=240), (-1)*('(橫掃)RX Mapping'!R39-240),IF(AND('(橫掃)RX Mapping'!R39&gt;=241,'(橫掃)RX Mapping'!R39&lt;=360), ('(橫掃)RX Mapping'!R39-241),IF(AND('(橫掃)RX Mapping'!R39&gt;=361,'(橫掃)RX Mapping'!R39&lt;=480), (-1)*('(橫掃)RX Mapping'!R39-480),IF(AND('(橫掃)RX Mapping'!R39&gt;=481,'(橫掃)RX Mapping'!R39&lt;=600), ('(橫掃)RX Mapping'!R39-361),IF(AND('(橫掃)RX Mapping'!R39&gt;=601,'(橫掃)RX Mapping'!R39&lt;=720), (-1)*('(橫掃)RX Mapping'!R39-720)+120,IF(AND('(橫掃)RX Mapping'!R39&gt;=721,'(橫掃)RX Mapping'!R39&lt;=840), ('(橫掃)RX Mapping'!R39-601),IF(AND('(橫掃)RX Mapping'!R39&gt;=841,'(橫掃)RX Mapping'!R39&lt;=960), (-1)*('(橫掃)RX Mapping'!R39-960)+120,9999))))))))</f>
        <v>9999</v>
      </c>
      <c r="S39">
        <f>IF(AND('(橫掃)RX Mapping'!S39&gt;=1,'(橫掃)RX Mapping'!S39&lt;=120), ('(橫掃)RX Mapping'!S39-1),IF(AND('(橫掃)RX Mapping'!S39&gt;=121,'(橫掃)RX Mapping'!S39&lt;=240), (-1)*('(橫掃)RX Mapping'!S39-240),IF(AND('(橫掃)RX Mapping'!S39&gt;=241,'(橫掃)RX Mapping'!S39&lt;=360), ('(橫掃)RX Mapping'!S39-241),IF(AND('(橫掃)RX Mapping'!S39&gt;=361,'(橫掃)RX Mapping'!S39&lt;=480), (-1)*('(橫掃)RX Mapping'!S39-480),IF(AND('(橫掃)RX Mapping'!S39&gt;=481,'(橫掃)RX Mapping'!S39&lt;=600), ('(橫掃)RX Mapping'!S39-361),IF(AND('(橫掃)RX Mapping'!S39&gt;=601,'(橫掃)RX Mapping'!S39&lt;=720), (-1)*('(橫掃)RX Mapping'!S39-720)+120,IF(AND('(橫掃)RX Mapping'!S39&gt;=721,'(橫掃)RX Mapping'!S39&lt;=840), ('(橫掃)RX Mapping'!S39-601),IF(AND('(橫掃)RX Mapping'!S39&gt;=841,'(橫掃)RX Mapping'!S39&lt;=960), (-1)*('(橫掃)RX Mapping'!S39-960)+120,9999))))))))</f>
        <v>9999</v>
      </c>
      <c r="T39">
        <f>IF(AND('(橫掃)RX Mapping'!T39&gt;=1,'(橫掃)RX Mapping'!T39&lt;=120), ('(橫掃)RX Mapping'!T39-1),IF(AND('(橫掃)RX Mapping'!T39&gt;=121,'(橫掃)RX Mapping'!T39&lt;=240), (-1)*('(橫掃)RX Mapping'!T39-240),IF(AND('(橫掃)RX Mapping'!T39&gt;=241,'(橫掃)RX Mapping'!T39&lt;=360), ('(橫掃)RX Mapping'!T39-241),IF(AND('(橫掃)RX Mapping'!T39&gt;=361,'(橫掃)RX Mapping'!T39&lt;=480), (-1)*('(橫掃)RX Mapping'!T39-480),IF(AND('(橫掃)RX Mapping'!T39&gt;=481,'(橫掃)RX Mapping'!T39&lt;=600), ('(橫掃)RX Mapping'!T39-361),IF(AND('(橫掃)RX Mapping'!T39&gt;=601,'(橫掃)RX Mapping'!T39&lt;=720), (-1)*('(橫掃)RX Mapping'!T39-720)+120,IF(AND('(橫掃)RX Mapping'!T39&gt;=721,'(橫掃)RX Mapping'!T39&lt;=840), ('(橫掃)RX Mapping'!T39-601),IF(AND('(橫掃)RX Mapping'!T39&gt;=841,'(橫掃)RX Mapping'!T39&lt;=960), (-1)*('(橫掃)RX Mapping'!T39-960)+120,9999))))))))</f>
        <v>9999</v>
      </c>
      <c r="U39">
        <f>IF(AND('(橫掃)RX Mapping'!U39&gt;=1,'(橫掃)RX Mapping'!U39&lt;=120), ('(橫掃)RX Mapping'!U39-1),IF(AND('(橫掃)RX Mapping'!U39&gt;=121,'(橫掃)RX Mapping'!U39&lt;=240), (-1)*('(橫掃)RX Mapping'!U39-240),IF(AND('(橫掃)RX Mapping'!U39&gt;=241,'(橫掃)RX Mapping'!U39&lt;=360), ('(橫掃)RX Mapping'!U39-241),IF(AND('(橫掃)RX Mapping'!U39&gt;=361,'(橫掃)RX Mapping'!U39&lt;=480), (-1)*('(橫掃)RX Mapping'!U39-480),IF(AND('(橫掃)RX Mapping'!U39&gt;=481,'(橫掃)RX Mapping'!U39&lt;=600), ('(橫掃)RX Mapping'!U39-361),IF(AND('(橫掃)RX Mapping'!U39&gt;=601,'(橫掃)RX Mapping'!U39&lt;=720), (-1)*('(橫掃)RX Mapping'!U39-720)+120,IF(AND('(橫掃)RX Mapping'!U39&gt;=721,'(橫掃)RX Mapping'!U39&lt;=840), ('(橫掃)RX Mapping'!U39-601),IF(AND('(橫掃)RX Mapping'!U39&gt;=841,'(橫掃)RX Mapping'!U39&lt;=960), (-1)*('(橫掃)RX Mapping'!U39-960)+120,9999))))))))</f>
        <v>9999</v>
      </c>
      <c r="V39">
        <f>IF(AND('(橫掃)RX Mapping'!V39&gt;=1,'(橫掃)RX Mapping'!V39&lt;=120), ('(橫掃)RX Mapping'!V39-1),IF(AND('(橫掃)RX Mapping'!V39&gt;=121,'(橫掃)RX Mapping'!V39&lt;=240), (-1)*('(橫掃)RX Mapping'!V39-240),IF(AND('(橫掃)RX Mapping'!V39&gt;=241,'(橫掃)RX Mapping'!V39&lt;=360), ('(橫掃)RX Mapping'!V39-241),IF(AND('(橫掃)RX Mapping'!V39&gt;=361,'(橫掃)RX Mapping'!V39&lt;=480), (-1)*('(橫掃)RX Mapping'!V39-480),IF(AND('(橫掃)RX Mapping'!V39&gt;=481,'(橫掃)RX Mapping'!V39&lt;=600), ('(橫掃)RX Mapping'!V39-361),IF(AND('(橫掃)RX Mapping'!V39&gt;=601,'(橫掃)RX Mapping'!V39&lt;=720), (-1)*('(橫掃)RX Mapping'!V39-720)+120,IF(AND('(橫掃)RX Mapping'!V39&gt;=721,'(橫掃)RX Mapping'!V39&lt;=840), ('(橫掃)RX Mapping'!V39-601),IF(AND('(橫掃)RX Mapping'!V39&gt;=841,'(橫掃)RX Mapping'!V39&lt;=960), (-1)*('(橫掃)RX Mapping'!V39-960)+120,9999))))))))</f>
        <v>9999</v>
      </c>
      <c r="W39">
        <f>IF(AND('(橫掃)RX Mapping'!W39&gt;=1,'(橫掃)RX Mapping'!W39&lt;=120), ('(橫掃)RX Mapping'!W39-1),IF(AND('(橫掃)RX Mapping'!W39&gt;=121,'(橫掃)RX Mapping'!W39&lt;=240), (-1)*('(橫掃)RX Mapping'!W39-240),IF(AND('(橫掃)RX Mapping'!W39&gt;=241,'(橫掃)RX Mapping'!W39&lt;=360), ('(橫掃)RX Mapping'!W39-241),IF(AND('(橫掃)RX Mapping'!W39&gt;=361,'(橫掃)RX Mapping'!W39&lt;=480), (-1)*('(橫掃)RX Mapping'!W39-480),IF(AND('(橫掃)RX Mapping'!W39&gt;=481,'(橫掃)RX Mapping'!W39&lt;=600), ('(橫掃)RX Mapping'!W39-361),IF(AND('(橫掃)RX Mapping'!W39&gt;=601,'(橫掃)RX Mapping'!W39&lt;=720), (-1)*('(橫掃)RX Mapping'!W39-720)+120,IF(AND('(橫掃)RX Mapping'!W39&gt;=721,'(橫掃)RX Mapping'!W39&lt;=840), ('(橫掃)RX Mapping'!W39-601),IF(AND('(橫掃)RX Mapping'!W39&gt;=841,'(橫掃)RX Mapping'!W39&lt;=960), (-1)*('(橫掃)RX Mapping'!W39-960)+120,9999))))))))</f>
        <v>9999</v>
      </c>
      <c r="X39">
        <f>IF(AND('(橫掃)RX Mapping'!X39&gt;=1,'(橫掃)RX Mapping'!X39&lt;=120), ('(橫掃)RX Mapping'!X39-1),IF(AND('(橫掃)RX Mapping'!X39&gt;=121,'(橫掃)RX Mapping'!X39&lt;=240), (-1)*('(橫掃)RX Mapping'!X39-240),IF(AND('(橫掃)RX Mapping'!X39&gt;=241,'(橫掃)RX Mapping'!X39&lt;=360), ('(橫掃)RX Mapping'!X39-241),IF(AND('(橫掃)RX Mapping'!X39&gt;=361,'(橫掃)RX Mapping'!X39&lt;=480), (-1)*('(橫掃)RX Mapping'!X39-480),IF(AND('(橫掃)RX Mapping'!X39&gt;=481,'(橫掃)RX Mapping'!X39&lt;=600), ('(橫掃)RX Mapping'!X39-361),IF(AND('(橫掃)RX Mapping'!X39&gt;=601,'(橫掃)RX Mapping'!X39&lt;=720), (-1)*('(橫掃)RX Mapping'!X39-720)+120,IF(AND('(橫掃)RX Mapping'!X39&gt;=721,'(橫掃)RX Mapping'!X39&lt;=840), ('(橫掃)RX Mapping'!X39-601),IF(AND('(橫掃)RX Mapping'!X39&gt;=841,'(橫掃)RX Mapping'!X39&lt;=960), (-1)*('(橫掃)RX Mapping'!X39-960)+120,9999))))))))</f>
        <v>9999</v>
      </c>
      <c r="Y39">
        <f>IF(AND('(橫掃)RX Mapping'!Y39&gt;=1,'(橫掃)RX Mapping'!Y39&lt;=120), ('(橫掃)RX Mapping'!Y39-1),IF(AND('(橫掃)RX Mapping'!Y39&gt;=121,'(橫掃)RX Mapping'!Y39&lt;=240), (-1)*('(橫掃)RX Mapping'!Y39-240),IF(AND('(橫掃)RX Mapping'!Y39&gt;=241,'(橫掃)RX Mapping'!Y39&lt;=360), ('(橫掃)RX Mapping'!Y39-241),IF(AND('(橫掃)RX Mapping'!Y39&gt;=361,'(橫掃)RX Mapping'!Y39&lt;=480), (-1)*('(橫掃)RX Mapping'!Y39-480),IF(AND('(橫掃)RX Mapping'!Y39&gt;=481,'(橫掃)RX Mapping'!Y39&lt;=600), ('(橫掃)RX Mapping'!Y39-361),IF(AND('(橫掃)RX Mapping'!Y39&gt;=601,'(橫掃)RX Mapping'!Y39&lt;=720), (-1)*('(橫掃)RX Mapping'!Y39-720)+120,IF(AND('(橫掃)RX Mapping'!Y39&gt;=721,'(橫掃)RX Mapping'!Y39&lt;=840), ('(橫掃)RX Mapping'!Y39-601),IF(AND('(橫掃)RX Mapping'!Y39&gt;=841,'(橫掃)RX Mapping'!Y39&lt;=960), (-1)*('(橫掃)RX Mapping'!Y39-960)+120,9999))))))))</f>
        <v>9999</v>
      </c>
      <c r="Z39">
        <f>IF(AND('(橫掃)RX Mapping'!Z39&gt;=1,'(橫掃)RX Mapping'!Z39&lt;=120), ('(橫掃)RX Mapping'!Z39-1),IF(AND('(橫掃)RX Mapping'!Z39&gt;=121,'(橫掃)RX Mapping'!Z39&lt;=240), (-1)*('(橫掃)RX Mapping'!Z39-240),IF(AND('(橫掃)RX Mapping'!Z39&gt;=241,'(橫掃)RX Mapping'!Z39&lt;=360), ('(橫掃)RX Mapping'!Z39-241),IF(AND('(橫掃)RX Mapping'!Z39&gt;=361,'(橫掃)RX Mapping'!Z39&lt;=480), (-1)*('(橫掃)RX Mapping'!Z39-480),IF(AND('(橫掃)RX Mapping'!Z39&gt;=481,'(橫掃)RX Mapping'!Z39&lt;=600), ('(橫掃)RX Mapping'!Z39-361),IF(AND('(橫掃)RX Mapping'!Z39&gt;=601,'(橫掃)RX Mapping'!Z39&lt;=720), (-1)*('(橫掃)RX Mapping'!Z39-720)+120,IF(AND('(橫掃)RX Mapping'!Z39&gt;=721,'(橫掃)RX Mapping'!Z39&lt;=840), ('(橫掃)RX Mapping'!Z39-601),IF(AND('(橫掃)RX Mapping'!Z39&gt;=841,'(橫掃)RX Mapping'!Z39&lt;=960), (-1)*('(橫掃)RX Mapping'!Z39-960)+120,9999))))))))</f>
        <v>9999</v>
      </c>
      <c r="AA39">
        <f>IF(AND('(橫掃)RX Mapping'!AA39&gt;=1,'(橫掃)RX Mapping'!AA39&lt;=120), ('(橫掃)RX Mapping'!AA39-1),IF(AND('(橫掃)RX Mapping'!AA39&gt;=121,'(橫掃)RX Mapping'!AA39&lt;=240), (-1)*('(橫掃)RX Mapping'!AA39-240),IF(AND('(橫掃)RX Mapping'!AA39&gt;=241,'(橫掃)RX Mapping'!AA39&lt;=360), ('(橫掃)RX Mapping'!AA39-241),IF(AND('(橫掃)RX Mapping'!AA39&gt;=361,'(橫掃)RX Mapping'!AA39&lt;=480), (-1)*('(橫掃)RX Mapping'!AA39-480),IF(AND('(橫掃)RX Mapping'!AA39&gt;=481,'(橫掃)RX Mapping'!AA39&lt;=600), ('(橫掃)RX Mapping'!AA39-361),IF(AND('(橫掃)RX Mapping'!AA39&gt;=601,'(橫掃)RX Mapping'!AA39&lt;=720), (-1)*('(橫掃)RX Mapping'!AA39-720)+120,IF(AND('(橫掃)RX Mapping'!AA39&gt;=721,'(橫掃)RX Mapping'!AA39&lt;=840), ('(橫掃)RX Mapping'!AA39-601),IF(AND('(橫掃)RX Mapping'!AA39&gt;=841,'(橫掃)RX Mapping'!AA39&lt;=960), (-1)*('(橫掃)RX Mapping'!AA39-960)+120,9999))))))))</f>
        <v>9999</v>
      </c>
      <c r="AB39">
        <f>IF(AND('(橫掃)RX Mapping'!AB39&gt;=1,'(橫掃)RX Mapping'!AB39&lt;=120), ('(橫掃)RX Mapping'!AB39-1),IF(AND('(橫掃)RX Mapping'!AB39&gt;=121,'(橫掃)RX Mapping'!AB39&lt;=240), (-1)*('(橫掃)RX Mapping'!AB39-240),IF(AND('(橫掃)RX Mapping'!AB39&gt;=241,'(橫掃)RX Mapping'!AB39&lt;=360), ('(橫掃)RX Mapping'!AB39-241),IF(AND('(橫掃)RX Mapping'!AB39&gt;=361,'(橫掃)RX Mapping'!AB39&lt;=480), (-1)*('(橫掃)RX Mapping'!AB39-480),IF(AND('(橫掃)RX Mapping'!AB39&gt;=481,'(橫掃)RX Mapping'!AB39&lt;=600), ('(橫掃)RX Mapping'!AB39-361),IF(AND('(橫掃)RX Mapping'!AB39&gt;=601,'(橫掃)RX Mapping'!AB39&lt;=720), (-1)*('(橫掃)RX Mapping'!AB39-720)+120,IF(AND('(橫掃)RX Mapping'!AB39&gt;=721,'(橫掃)RX Mapping'!AB39&lt;=840), ('(橫掃)RX Mapping'!AB39-601),IF(AND('(橫掃)RX Mapping'!AB39&gt;=841,'(橫掃)RX Mapping'!AB39&lt;=960), (-1)*('(橫掃)RX Mapping'!AB39-960)+120,9999))))))))</f>
        <v>9999</v>
      </c>
      <c r="AC39">
        <f>IF(AND('(橫掃)RX Mapping'!AC39&gt;=1,'(橫掃)RX Mapping'!AC39&lt;=120), ('(橫掃)RX Mapping'!AC39-1),IF(AND('(橫掃)RX Mapping'!AC39&gt;=121,'(橫掃)RX Mapping'!AC39&lt;=240), (-1)*('(橫掃)RX Mapping'!AC39-240),IF(AND('(橫掃)RX Mapping'!AC39&gt;=241,'(橫掃)RX Mapping'!AC39&lt;=360), ('(橫掃)RX Mapping'!AC39-241),IF(AND('(橫掃)RX Mapping'!AC39&gt;=361,'(橫掃)RX Mapping'!AC39&lt;=480), (-1)*('(橫掃)RX Mapping'!AC39-480),IF(AND('(橫掃)RX Mapping'!AC39&gt;=481,'(橫掃)RX Mapping'!AC39&lt;=600), ('(橫掃)RX Mapping'!AC39-361),IF(AND('(橫掃)RX Mapping'!AC39&gt;=601,'(橫掃)RX Mapping'!AC39&lt;=720), (-1)*('(橫掃)RX Mapping'!AC39-720)+120,IF(AND('(橫掃)RX Mapping'!AC39&gt;=721,'(橫掃)RX Mapping'!AC39&lt;=840), ('(橫掃)RX Mapping'!AC39-601),IF(AND('(橫掃)RX Mapping'!AC39&gt;=841,'(橫掃)RX Mapping'!AC39&lt;=960), (-1)*('(橫掃)RX Mapping'!AC39-960)+120,9999))))))))</f>
        <v>9999</v>
      </c>
      <c r="AD39">
        <f>IF(AND('(橫掃)RX Mapping'!AD39&gt;=1,'(橫掃)RX Mapping'!AD39&lt;=120), ('(橫掃)RX Mapping'!AD39-1),IF(AND('(橫掃)RX Mapping'!AD39&gt;=121,'(橫掃)RX Mapping'!AD39&lt;=240), (-1)*('(橫掃)RX Mapping'!AD39-240),IF(AND('(橫掃)RX Mapping'!AD39&gt;=241,'(橫掃)RX Mapping'!AD39&lt;=360), ('(橫掃)RX Mapping'!AD39-241),IF(AND('(橫掃)RX Mapping'!AD39&gt;=361,'(橫掃)RX Mapping'!AD39&lt;=480), (-1)*('(橫掃)RX Mapping'!AD39-480),IF(AND('(橫掃)RX Mapping'!AD39&gt;=481,'(橫掃)RX Mapping'!AD39&lt;=600), ('(橫掃)RX Mapping'!AD39-361),IF(AND('(橫掃)RX Mapping'!AD39&gt;=601,'(橫掃)RX Mapping'!AD39&lt;=720), (-1)*('(橫掃)RX Mapping'!AD39-720)+120,IF(AND('(橫掃)RX Mapping'!AD39&gt;=721,'(橫掃)RX Mapping'!AD39&lt;=840), ('(橫掃)RX Mapping'!AD39-601),IF(AND('(橫掃)RX Mapping'!AD39&gt;=841,'(橫掃)RX Mapping'!AD39&lt;=960), (-1)*('(橫掃)RX Mapping'!AD39-960)+120,9999))))))))</f>
        <v>9999</v>
      </c>
      <c r="AE39">
        <f>IF(AND('(橫掃)RX Mapping'!AE39&gt;=1,'(橫掃)RX Mapping'!AE39&lt;=120), ('(橫掃)RX Mapping'!AE39-1),IF(AND('(橫掃)RX Mapping'!AE39&gt;=121,'(橫掃)RX Mapping'!AE39&lt;=240), (-1)*('(橫掃)RX Mapping'!AE39-240),IF(AND('(橫掃)RX Mapping'!AE39&gt;=241,'(橫掃)RX Mapping'!AE39&lt;=360), ('(橫掃)RX Mapping'!AE39-241),IF(AND('(橫掃)RX Mapping'!AE39&gt;=361,'(橫掃)RX Mapping'!AE39&lt;=480), (-1)*('(橫掃)RX Mapping'!AE39-480),IF(AND('(橫掃)RX Mapping'!AE39&gt;=481,'(橫掃)RX Mapping'!AE39&lt;=600), ('(橫掃)RX Mapping'!AE39-361),IF(AND('(橫掃)RX Mapping'!AE39&gt;=601,'(橫掃)RX Mapping'!AE39&lt;=720), (-1)*('(橫掃)RX Mapping'!AE39-720)+120,IF(AND('(橫掃)RX Mapping'!AE39&gt;=721,'(橫掃)RX Mapping'!AE39&lt;=840), ('(橫掃)RX Mapping'!AE39-601),IF(AND('(橫掃)RX Mapping'!AE39&gt;=841,'(橫掃)RX Mapping'!AE39&lt;=960), (-1)*('(橫掃)RX Mapping'!AE39-960)+120,9999))))))))</f>
        <v>9999</v>
      </c>
      <c r="AF39">
        <f>IF(AND('(橫掃)RX Mapping'!AF39&gt;=1,'(橫掃)RX Mapping'!AF39&lt;=120), ('(橫掃)RX Mapping'!AF39-1),IF(AND('(橫掃)RX Mapping'!AF39&gt;=121,'(橫掃)RX Mapping'!AF39&lt;=240), (-1)*('(橫掃)RX Mapping'!AF39-240),IF(AND('(橫掃)RX Mapping'!AF39&gt;=241,'(橫掃)RX Mapping'!AF39&lt;=360), ('(橫掃)RX Mapping'!AF39-241),IF(AND('(橫掃)RX Mapping'!AF39&gt;=361,'(橫掃)RX Mapping'!AF39&lt;=480), (-1)*('(橫掃)RX Mapping'!AF39-480),IF(AND('(橫掃)RX Mapping'!AF39&gt;=481,'(橫掃)RX Mapping'!AF39&lt;=600), ('(橫掃)RX Mapping'!AF39-361),IF(AND('(橫掃)RX Mapping'!AF39&gt;=601,'(橫掃)RX Mapping'!AF39&lt;=720), (-1)*('(橫掃)RX Mapping'!AF39-720)+120,IF(AND('(橫掃)RX Mapping'!AF39&gt;=721,'(橫掃)RX Mapping'!AF39&lt;=840), ('(橫掃)RX Mapping'!AF39-601),IF(AND('(橫掃)RX Mapping'!AF39&gt;=841,'(橫掃)RX Mapping'!AF39&lt;=960), (-1)*('(橫掃)RX Mapping'!AF39-960)+120,9999))))))))</f>
        <v>9999</v>
      </c>
      <c r="AG39">
        <f>IF(AND('(橫掃)RX Mapping'!AG39&gt;=1,'(橫掃)RX Mapping'!AG39&lt;=120), ('(橫掃)RX Mapping'!AG39-1),IF(AND('(橫掃)RX Mapping'!AG39&gt;=121,'(橫掃)RX Mapping'!AG39&lt;=240), (-1)*('(橫掃)RX Mapping'!AG39-240),IF(AND('(橫掃)RX Mapping'!AG39&gt;=241,'(橫掃)RX Mapping'!AG39&lt;=360), ('(橫掃)RX Mapping'!AG39-241),IF(AND('(橫掃)RX Mapping'!AG39&gt;=361,'(橫掃)RX Mapping'!AG39&lt;=480), (-1)*('(橫掃)RX Mapping'!AG39-480),IF(AND('(橫掃)RX Mapping'!AG39&gt;=481,'(橫掃)RX Mapping'!AG39&lt;=600), ('(橫掃)RX Mapping'!AG39-361),IF(AND('(橫掃)RX Mapping'!AG39&gt;=601,'(橫掃)RX Mapping'!AG39&lt;=720), (-1)*('(橫掃)RX Mapping'!AG39-720)+120,IF(AND('(橫掃)RX Mapping'!AG39&gt;=721,'(橫掃)RX Mapping'!AG39&lt;=840), ('(橫掃)RX Mapping'!AG39-601),IF(AND('(橫掃)RX Mapping'!AG39&gt;=841,'(橫掃)RX Mapping'!AG39&lt;=960), (-1)*('(橫掃)RX Mapping'!AG39-960)+120,9999))))))))</f>
        <v>9999</v>
      </c>
      <c r="AH39">
        <f>IF(AND('(橫掃)RX Mapping'!AH39&gt;=1,'(橫掃)RX Mapping'!AH39&lt;=120), ('(橫掃)RX Mapping'!AH39-1),IF(AND('(橫掃)RX Mapping'!AH39&gt;=121,'(橫掃)RX Mapping'!AH39&lt;=240), (-1)*('(橫掃)RX Mapping'!AH39-240),IF(AND('(橫掃)RX Mapping'!AH39&gt;=241,'(橫掃)RX Mapping'!AH39&lt;=360), ('(橫掃)RX Mapping'!AH39-241),IF(AND('(橫掃)RX Mapping'!AH39&gt;=361,'(橫掃)RX Mapping'!AH39&lt;=480), (-1)*('(橫掃)RX Mapping'!AH39-480),IF(AND('(橫掃)RX Mapping'!AH39&gt;=481,'(橫掃)RX Mapping'!AH39&lt;=600), ('(橫掃)RX Mapping'!AH39-361),IF(AND('(橫掃)RX Mapping'!AH39&gt;=601,'(橫掃)RX Mapping'!AH39&lt;=720), (-1)*('(橫掃)RX Mapping'!AH39-720)+120,IF(AND('(橫掃)RX Mapping'!AH39&gt;=721,'(橫掃)RX Mapping'!AH39&lt;=840), ('(橫掃)RX Mapping'!AH39-601),IF(AND('(橫掃)RX Mapping'!AH39&gt;=841,'(橫掃)RX Mapping'!AH39&lt;=960), (-1)*('(橫掃)RX Mapping'!AH39-960)+120,9999))))))))</f>
        <v>9999</v>
      </c>
      <c r="AI39">
        <f>IF(AND('(橫掃)RX Mapping'!AI39&gt;=1,'(橫掃)RX Mapping'!AI39&lt;=120), ('(橫掃)RX Mapping'!AI39-1),IF(AND('(橫掃)RX Mapping'!AI39&gt;=121,'(橫掃)RX Mapping'!AI39&lt;=240), (-1)*('(橫掃)RX Mapping'!AI39-240),IF(AND('(橫掃)RX Mapping'!AI39&gt;=241,'(橫掃)RX Mapping'!AI39&lt;=360), ('(橫掃)RX Mapping'!AI39-241),IF(AND('(橫掃)RX Mapping'!AI39&gt;=361,'(橫掃)RX Mapping'!AI39&lt;=480), (-1)*('(橫掃)RX Mapping'!AI39-480),IF(AND('(橫掃)RX Mapping'!AI39&gt;=481,'(橫掃)RX Mapping'!AI39&lt;=600), ('(橫掃)RX Mapping'!AI39-361),IF(AND('(橫掃)RX Mapping'!AI39&gt;=601,'(橫掃)RX Mapping'!AI39&lt;=720), (-1)*('(橫掃)RX Mapping'!AI39-720)+120,IF(AND('(橫掃)RX Mapping'!AI39&gt;=721,'(橫掃)RX Mapping'!AI39&lt;=840), ('(橫掃)RX Mapping'!AI39-601),IF(AND('(橫掃)RX Mapping'!AI39&gt;=841,'(橫掃)RX Mapping'!AI39&lt;=960), (-1)*('(橫掃)RX Mapping'!AI39-960)+120,9999))))))))</f>
        <v>9999</v>
      </c>
      <c r="AJ39">
        <f>IF(AND('(橫掃)RX Mapping'!AJ39&gt;=1,'(橫掃)RX Mapping'!AJ39&lt;=120), ('(橫掃)RX Mapping'!AJ39-1),IF(AND('(橫掃)RX Mapping'!AJ39&gt;=121,'(橫掃)RX Mapping'!AJ39&lt;=240), (-1)*('(橫掃)RX Mapping'!AJ39-240),IF(AND('(橫掃)RX Mapping'!AJ39&gt;=241,'(橫掃)RX Mapping'!AJ39&lt;=360), ('(橫掃)RX Mapping'!AJ39-241),IF(AND('(橫掃)RX Mapping'!AJ39&gt;=361,'(橫掃)RX Mapping'!AJ39&lt;=480), (-1)*('(橫掃)RX Mapping'!AJ39-480),IF(AND('(橫掃)RX Mapping'!AJ39&gt;=481,'(橫掃)RX Mapping'!AJ39&lt;=600), ('(橫掃)RX Mapping'!AJ39-361),IF(AND('(橫掃)RX Mapping'!AJ39&gt;=601,'(橫掃)RX Mapping'!AJ39&lt;=720), (-1)*('(橫掃)RX Mapping'!AJ39-720)+120,IF(AND('(橫掃)RX Mapping'!AJ39&gt;=721,'(橫掃)RX Mapping'!AJ39&lt;=840), ('(橫掃)RX Mapping'!AJ39-601),IF(AND('(橫掃)RX Mapping'!AJ39&gt;=841,'(橫掃)RX Mapping'!AJ39&lt;=960), (-1)*('(橫掃)RX Mapping'!AJ39-960)+120,9999))))))))</f>
        <v>9999</v>
      </c>
      <c r="AK39">
        <f>IF(AND('(橫掃)RX Mapping'!AK39&gt;=1,'(橫掃)RX Mapping'!AK39&lt;=120), ('(橫掃)RX Mapping'!AK39-1),IF(AND('(橫掃)RX Mapping'!AK39&gt;=121,'(橫掃)RX Mapping'!AK39&lt;=240), (-1)*('(橫掃)RX Mapping'!AK39-240),IF(AND('(橫掃)RX Mapping'!AK39&gt;=241,'(橫掃)RX Mapping'!AK39&lt;=360), ('(橫掃)RX Mapping'!AK39-241),IF(AND('(橫掃)RX Mapping'!AK39&gt;=361,'(橫掃)RX Mapping'!AK39&lt;=480), (-1)*('(橫掃)RX Mapping'!AK39-480),IF(AND('(橫掃)RX Mapping'!AK39&gt;=481,'(橫掃)RX Mapping'!AK39&lt;=600), ('(橫掃)RX Mapping'!AK39-361),IF(AND('(橫掃)RX Mapping'!AK39&gt;=601,'(橫掃)RX Mapping'!AK39&lt;=720), (-1)*('(橫掃)RX Mapping'!AK39-720)+120,IF(AND('(橫掃)RX Mapping'!AK39&gt;=721,'(橫掃)RX Mapping'!AK39&lt;=840), ('(橫掃)RX Mapping'!AK39-601),IF(AND('(橫掃)RX Mapping'!AK39&gt;=841,'(橫掃)RX Mapping'!AK39&lt;=960), (-1)*('(橫掃)RX Mapping'!AK39-960)+120,9999))))))))</f>
        <v>9999</v>
      </c>
      <c r="AL39">
        <f>IF(AND('(橫掃)RX Mapping'!AL39&gt;=1,'(橫掃)RX Mapping'!AL39&lt;=120), ('(橫掃)RX Mapping'!AL39-1),IF(AND('(橫掃)RX Mapping'!AL39&gt;=121,'(橫掃)RX Mapping'!AL39&lt;=240), (-1)*('(橫掃)RX Mapping'!AL39-240),IF(AND('(橫掃)RX Mapping'!AL39&gt;=241,'(橫掃)RX Mapping'!AL39&lt;=360), ('(橫掃)RX Mapping'!AL39-241),IF(AND('(橫掃)RX Mapping'!AL39&gt;=361,'(橫掃)RX Mapping'!AL39&lt;=480), (-1)*('(橫掃)RX Mapping'!AL39-480),IF(AND('(橫掃)RX Mapping'!AL39&gt;=481,'(橫掃)RX Mapping'!AL39&lt;=600), ('(橫掃)RX Mapping'!AL39-361),IF(AND('(橫掃)RX Mapping'!AL39&gt;=601,'(橫掃)RX Mapping'!AL39&lt;=720), (-1)*('(橫掃)RX Mapping'!AL39-720)+120,IF(AND('(橫掃)RX Mapping'!AL39&gt;=721,'(橫掃)RX Mapping'!AL39&lt;=840), ('(橫掃)RX Mapping'!AL39-601),IF(AND('(橫掃)RX Mapping'!AL39&gt;=841,'(橫掃)RX Mapping'!AL39&lt;=960), (-1)*('(橫掃)RX Mapping'!AL39-960)+120,9999))))))))</f>
        <v>9999</v>
      </c>
      <c r="AM39">
        <f>IF(AND('(橫掃)RX Mapping'!AM39&gt;=1,'(橫掃)RX Mapping'!AM39&lt;=120), ('(橫掃)RX Mapping'!AM39-1),IF(AND('(橫掃)RX Mapping'!AM39&gt;=121,'(橫掃)RX Mapping'!AM39&lt;=240), (-1)*('(橫掃)RX Mapping'!AM39-240),IF(AND('(橫掃)RX Mapping'!AM39&gt;=241,'(橫掃)RX Mapping'!AM39&lt;=360), ('(橫掃)RX Mapping'!AM39-241),IF(AND('(橫掃)RX Mapping'!AM39&gt;=361,'(橫掃)RX Mapping'!AM39&lt;=480), (-1)*('(橫掃)RX Mapping'!AM39-480),IF(AND('(橫掃)RX Mapping'!AM39&gt;=481,'(橫掃)RX Mapping'!AM39&lt;=600), ('(橫掃)RX Mapping'!AM39-361),IF(AND('(橫掃)RX Mapping'!AM39&gt;=601,'(橫掃)RX Mapping'!AM39&lt;=720), (-1)*('(橫掃)RX Mapping'!AM39-720)+120,IF(AND('(橫掃)RX Mapping'!AM39&gt;=721,'(橫掃)RX Mapping'!AM39&lt;=840), ('(橫掃)RX Mapping'!AM39-601),IF(AND('(橫掃)RX Mapping'!AM39&gt;=841,'(橫掃)RX Mapping'!AM39&lt;=960), (-1)*('(橫掃)RX Mapping'!AM39-960)+120,9999))))))))</f>
        <v>9999</v>
      </c>
      <c r="AN39">
        <f>IF(AND('(橫掃)RX Mapping'!AN39&gt;=1,'(橫掃)RX Mapping'!AN39&lt;=120), ('(橫掃)RX Mapping'!AN39-1),IF(AND('(橫掃)RX Mapping'!AN39&gt;=121,'(橫掃)RX Mapping'!AN39&lt;=240), (-1)*('(橫掃)RX Mapping'!AN39-240),IF(AND('(橫掃)RX Mapping'!AN39&gt;=241,'(橫掃)RX Mapping'!AN39&lt;=360), ('(橫掃)RX Mapping'!AN39-241),IF(AND('(橫掃)RX Mapping'!AN39&gt;=361,'(橫掃)RX Mapping'!AN39&lt;=480), (-1)*('(橫掃)RX Mapping'!AN39-480),IF(AND('(橫掃)RX Mapping'!AN39&gt;=481,'(橫掃)RX Mapping'!AN39&lt;=600), ('(橫掃)RX Mapping'!AN39-361),IF(AND('(橫掃)RX Mapping'!AN39&gt;=601,'(橫掃)RX Mapping'!AN39&lt;=720), (-1)*('(橫掃)RX Mapping'!AN39-720)+120,IF(AND('(橫掃)RX Mapping'!AN39&gt;=721,'(橫掃)RX Mapping'!AN39&lt;=840), ('(橫掃)RX Mapping'!AN39-601),IF(AND('(橫掃)RX Mapping'!AN39&gt;=841,'(橫掃)RX Mapping'!AN39&lt;=960), (-1)*('(橫掃)RX Mapping'!AN39-960)+120,9999))))))))</f>
        <v>9999</v>
      </c>
      <c r="AO39">
        <f>IF(AND('(橫掃)RX Mapping'!AO39&gt;=1,'(橫掃)RX Mapping'!AO39&lt;=120), ('(橫掃)RX Mapping'!AO39-1),IF(AND('(橫掃)RX Mapping'!AO39&gt;=121,'(橫掃)RX Mapping'!AO39&lt;=240), (-1)*('(橫掃)RX Mapping'!AO39-240),IF(AND('(橫掃)RX Mapping'!AO39&gt;=241,'(橫掃)RX Mapping'!AO39&lt;=360), ('(橫掃)RX Mapping'!AO39-241),IF(AND('(橫掃)RX Mapping'!AO39&gt;=361,'(橫掃)RX Mapping'!AO39&lt;=480), (-1)*('(橫掃)RX Mapping'!AO39-480),IF(AND('(橫掃)RX Mapping'!AO39&gt;=481,'(橫掃)RX Mapping'!AO39&lt;=600), ('(橫掃)RX Mapping'!AO39-361),IF(AND('(橫掃)RX Mapping'!AO39&gt;=601,'(橫掃)RX Mapping'!AO39&lt;=720), (-1)*('(橫掃)RX Mapping'!AO39-720)+120,IF(AND('(橫掃)RX Mapping'!AO39&gt;=721,'(橫掃)RX Mapping'!AO39&lt;=840), ('(橫掃)RX Mapping'!AO39-601),IF(AND('(橫掃)RX Mapping'!AO39&gt;=841,'(橫掃)RX Mapping'!AO39&lt;=960), (-1)*('(橫掃)RX Mapping'!AO39-960)+120,9999))))))))</f>
        <v>9999</v>
      </c>
      <c r="AP39">
        <f>IF(AND('(橫掃)RX Mapping'!AP39&gt;=1,'(橫掃)RX Mapping'!AP39&lt;=120), ('(橫掃)RX Mapping'!AP39-1),IF(AND('(橫掃)RX Mapping'!AP39&gt;=121,'(橫掃)RX Mapping'!AP39&lt;=240), (-1)*('(橫掃)RX Mapping'!AP39-240),IF(AND('(橫掃)RX Mapping'!AP39&gt;=241,'(橫掃)RX Mapping'!AP39&lt;=360), ('(橫掃)RX Mapping'!AP39-241),IF(AND('(橫掃)RX Mapping'!AP39&gt;=361,'(橫掃)RX Mapping'!AP39&lt;=480), (-1)*('(橫掃)RX Mapping'!AP39-480),IF(AND('(橫掃)RX Mapping'!AP39&gt;=481,'(橫掃)RX Mapping'!AP39&lt;=600), ('(橫掃)RX Mapping'!AP39-361),IF(AND('(橫掃)RX Mapping'!AP39&gt;=601,'(橫掃)RX Mapping'!AP39&lt;=720), (-1)*('(橫掃)RX Mapping'!AP39-720)+120,IF(AND('(橫掃)RX Mapping'!AP39&gt;=721,'(橫掃)RX Mapping'!AP39&lt;=840), ('(橫掃)RX Mapping'!AP39-601),IF(AND('(橫掃)RX Mapping'!AP39&gt;=841,'(橫掃)RX Mapping'!AP39&lt;=960), (-1)*('(橫掃)RX Mapping'!AP39-960)+120,9999))))))))</f>
        <v>9999</v>
      </c>
      <c r="AQ39">
        <f>IF(AND('(橫掃)RX Mapping'!AQ39&gt;=1,'(橫掃)RX Mapping'!AQ39&lt;=120), ('(橫掃)RX Mapping'!AQ39-1),IF(AND('(橫掃)RX Mapping'!AQ39&gt;=121,'(橫掃)RX Mapping'!AQ39&lt;=240), (-1)*('(橫掃)RX Mapping'!AQ39-240),IF(AND('(橫掃)RX Mapping'!AQ39&gt;=241,'(橫掃)RX Mapping'!AQ39&lt;=360), ('(橫掃)RX Mapping'!AQ39-241),IF(AND('(橫掃)RX Mapping'!AQ39&gt;=361,'(橫掃)RX Mapping'!AQ39&lt;=480), (-1)*('(橫掃)RX Mapping'!AQ39-480),IF(AND('(橫掃)RX Mapping'!AQ39&gt;=481,'(橫掃)RX Mapping'!AQ39&lt;=600), ('(橫掃)RX Mapping'!AQ39-361),IF(AND('(橫掃)RX Mapping'!AQ39&gt;=601,'(橫掃)RX Mapping'!AQ39&lt;=720), (-1)*('(橫掃)RX Mapping'!AQ39-720)+120,IF(AND('(橫掃)RX Mapping'!AQ39&gt;=721,'(橫掃)RX Mapping'!AQ39&lt;=840), ('(橫掃)RX Mapping'!AQ39-601),IF(AND('(橫掃)RX Mapping'!AQ39&gt;=841,'(橫掃)RX Mapping'!AQ39&lt;=960), (-1)*('(橫掃)RX Mapping'!AQ39-960)+120,9999))))))))</f>
        <v>9999</v>
      </c>
      <c r="AR39">
        <f>IF(AND('(橫掃)RX Mapping'!AR39&gt;=1,'(橫掃)RX Mapping'!AR39&lt;=120), ('(橫掃)RX Mapping'!AR39-1),IF(AND('(橫掃)RX Mapping'!AR39&gt;=121,'(橫掃)RX Mapping'!AR39&lt;=240), (-1)*('(橫掃)RX Mapping'!AR39-240),IF(AND('(橫掃)RX Mapping'!AR39&gt;=241,'(橫掃)RX Mapping'!AR39&lt;=360), ('(橫掃)RX Mapping'!AR39-241),IF(AND('(橫掃)RX Mapping'!AR39&gt;=361,'(橫掃)RX Mapping'!AR39&lt;=480), (-1)*('(橫掃)RX Mapping'!AR39-480),IF(AND('(橫掃)RX Mapping'!AR39&gt;=481,'(橫掃)RX Mapping'!AR39&lt;=600), ('(橫掃)RX Mapping'!AR39-361),IF(AND('(橫掃)RX Mapping'!AR39&gt;=601,'(橫掃)RX Mapping'!AR39&lt;=720), (-1)*('(橫掃)RX Mapping'!AR39-720)+120,IF(AND('(橫掃)RX Mapping'!AR39&gt;=721,'(橫掃)RX Mapping'!AR39&lt;=840), ('(橫掃)RX Mapping'!AR39-601),IF(AND('(橫掃)RX Mapping'!AR39&gt;=841,'(橫掃)RX Mapping'!AR39&lt;=960), (-1)*('(橫掃)RX Mapping'!AR39-960)+120,9999))))))))</f>
        <v>9999</v>
      </c>
      <c r="AS39">
        <f>IF(AND('(橫掃)RX Mapping'!AS39&gt;=1,'(橫掃)RX Mapping'!AS39&lt;=120), ('(橫掃)RX Mapping'!AS39-1),IF(AND('(橫掃)RX Mapping'!AS39&gt;=121,'(橫掃)RX Mapping'!AS39&lt;=240), (-1)*('(橫掃)RX Mapping'!AS39-240),IF(AND('(橫掃)RX Mapping'!AS39&gt;=241,'(橫掃)RX Mapping'!AS39&lt;=360), ('(橫掃)RX Mapping'!AS39-241),IF(AND('(橫掃)RX Mapping'!AS39&gt;=361,'(橫掃)RX Mapping'!AS39&lt;=480), (-1)*('(橫掃)RX Mapping'!AS39-480),IF(AND('(橫掃)RX Mapping'!AS39&gt;=481,'(橫掃)RX Mapping'!AS39&lt;=600), ('(橫掃)RX Mapping'!AS39-361),IF(AND('(橫掃)RX Mapping'!AS39&gt;=601,'(橫掃)RX Mapping'!AS39&lt;=720), (-1)*('(橫掃)RX Mapping'!AS39-720)+120,IF(AND('(橫掃)RX Mapping'!AS39&gt;=721,'(橫掃)RX Mapping'!AS39&lt;=840), ('(橫掃)RX Mapping'!AS39-601),IF(AND('(橫掃)RX Mapping'!AS39&gt;=841,'(橫掃)RX Mapping'!AS39&lt;=960), (-1)*('(橫掃)RX Mapping'!AS39-960)+120,9999))))))))</f>
        <v>9999</v>
      </c>
      <c r="AT39">
        <f>IF(AND('(橫掃)RX Mapping'!AT39&gt;=1,'(橫掃)RX Mapping'!AT39&lt;=120), ('(橫掃)RX Mapping'!AT39-1),IF(AND('(橫掃)RX Mapping'!AT39&gt;=121,'(橫掃)RX Mapping'!AT39&lt;=240), (-1)*('(橫掃)RX Mapping'!AT39-240),IF(AND('(橫掃)RX Mapping'!AT39&gt;=241,'(橫掃)RX Mapping'!AT39&lt;=360), ('(橫掃)RX Mapping'!AT39-241),IF(AND('(橫掃)RX Mapping'!AT39&gt;=361,'(橫掃)RX Mapping'!AT39&lt;=480), (-1)*('(橫掃)RX Mapping'!AT39-480),IF(AND('(橫掃)RX Mapping'!AT39&gt;=481,'(橫掃)RX Mapping'!AT39&lt;=600), ('(橫掃)RX Mapping'!AT39-361),IF(AND('(橫掃)RX Mapping'!AT39&gt;=601,'(橫掃)RX Mapping'!AT39&lt;=720), (-1)*('(橫掃)RX Mapping'!AT39-720)+120,IF(AND('(橫掃)RX Mapping'!AT39&gt;=721,'(橫掃)RX Mapping'!AT39&lt;=840), ('(橫掃)RX Mapping'!AT39-601),IF(AND('(橫掃)RX Mapping'!AT39&gt;=841,'(橫掃)RX Mapping'!AT39&lt;=960), (-1)*('(橫掃)RX Mapping'!AT39-960)+120,9999))))))))</f>
        <v>9999</v>
      </c>
      <c r="AU39">
        <f>IF(AND('(橫掃)RX Mapping'!AU39&gt;=1,'(橫掃)RX Mapping'!AU39&lt;=120), ('(橫掃)RX Mapping'!AU39-1),IF(AND('(橫掃)RX Mapping'!AU39&gt;=121,'(橫掃)RX Mapping'!AU39&lt;=240), (-1)*('(橫掃)RX Mapping'!AU39-240),IF(AND('(橫掃)RX Mapping'!AU39&gt;=241,'(橫掃)RX Mapping'!AU39&lt;=360), ('(橫掃)RX Mapping'!AU39-241),IF(AND('(橫掃)RX Mapping'!AU39&gt;=361,'(橫掃)RX Mapping'!AU39&lt;=480), (-1)*('(橫掃)RX Mapping'!AU39-480),IF(AND('(橫掃)RX Mapping'!AU39&gt;=481,'(橫掃)RX Mapping'!AU39&lt;=600), ('(橫掃)RX Mapping'!AU39-361),IF(AND('(橫掃)RX Mapping'!AU39&gt;=601,'(橫掃)RX Mapping'!AU39&lt;=720), (-1)*('(橫掃)RX Mapping'!AU39-720)+120,IF(AND('(橫掃)RX Mapping'!AU39&gt;=721,'(橫掃)RX Mapping'!AU39&lt;=840), ('(橫掃)RX Mapping'!AU39-601),IF(AND('(橫掃)RX Mapping'!AU39&gt;=841,'(橫掃)RX Mapping'!AU39&lt;=960), (-1)*('(橫掃)RX Mapping'!AU39-960)+120,9999))))))))</f>
        <v>9999</v>
      </c>
      <c r="AV39">
        <f>IF(AND('(橫掃)RX Mapping'!AV39&gt;=1,'(橫掃)RX Mapping'!AV39&lt;=120), ('(橫掃)RX Mapping'!AV39-1),IF(AND('(橫掃)RX Mapping'!AV39&gt;=121,'(橫掃)RX Mapping'!AV39&lt;=240), (-1)*('(橫掃)RX Mapping'!AV39-240),IF(AND('(橫掃)RX Mapping'!AV39&gt;=241,'(橫掃)RX Mapping'!AV39&lt;=360), ('(橫掃)RX Mapping'!AV39-241),IF(AND('(橫掃)RX Mapping'!AV39&gt;=361,'(橫掃)RX Mapping'!AV39&lt;=480), (-1)*('(橫掃)RX Mapping'!AV39-480),IF(AND('(橫掃)RX Mapping'!AV39&gt;=481,'(橫掃)RX Mapping'!AV39&lt;=600), ('(橫掃)RX Mapping'!AV39-361),IF(AND('(橫掃)RX Mapping'!AV39&gt;=601,'(橫掃)RX Mapping'!AV39&lt;=720), (-1)*('(橫掃)RX Mapping'!AV39-720)+120,IF(AND('(橫掃)RX Mapping'!AV39&gt;=721,'(橫掃)RX Mapping'!AV39&lt;=840), ('(橫掃)RX Mapping'!AV39-601),IF(AND('(橫掃)RX Mapping'!AV39&gt;=841,'(橫掃)RX Mapping'!AV39&lt;=960), (-1)*('(橫掃)RX Mapping'!AV39-960)+120,9999))))))))</f>
        <v>9999</v>
      </c>
      <c r="AW39">
        <f>IF(AND('(橫掃)RX Mapping'!AW39&gt;=1,'(橫掃)RX Mapping'!AW39&lt;=120), ('(橫掃)RX Mapping'!AW39-1),IF(AND('(橫掃)RX Mapping'!AW39&gt;=121,'(橫掃)RX Mapping'!AW39&lt;=240), (-1)*('(橫掃)RX Mapping'!AW39-240),IF(AND('(橫掃)RX Mapping'!AW39&gt;=241,'(橫掃)RX Mapping'!AW39&lt;=360), ('(橫掃)RX Mapping'!AW39-241),IF(AND('(橫掃)RX Mapping'!AW39&gt;=361,'(橫掃)RX Mapping'!AW39&lt;=480), (-1)*('(橫掃)RX Mapping'!AW39-480),IF(AND('(橫掃)RX Mapping'!AW39&gt;=481,'(橫掃)RX Mapping'!AW39&lt;=600), ('(橫掃)RX Mapping'!AW39-361),IF(AND('(橫掃)RX Mapping'!AW39&gt;=601,'(橫掃)RX Mapping'!AW39&lt;=720), (-1)*('(橫掃)RX Mapping'!AW39-720)+120,IF(AND('(橫掃)RX Mapping'!AW39&gt;=721,'(橫掃)RX Mapping'!AW39&lt;=840), ('(橫掃)RX Mapping'!AW39-601),IF(AND('(橫掃)RX Mapping'!AW39&gt;=841,'(橫掃)RX Mapping'!AW39&lt;=960), (-1)*('(橫掃)RX Mapping'!AW39-960)+120,9999))))))))</f>
        <v>9999</v>
      </c>
      <c r="AX39">
        <f>IF(AND('(橫掃)RX Mapping'!AX39&gt;=1,'(橫掃)RX Mapping'!AX39&lt;=120), ('(橫掃)RX Mapping'!AX39-1),IF(AND('(橫掃)RX Mapping'!AX39&gt;=121,'(橫掃)RX Mapping'!AX39&lt;=240), (-1)*('(橫掃)RX Mapping'!AX39-240),IF(AND('(橫掃)RX Mapping'!AX39&gt;=241,'(橫掃)RX Mapping'!AX39&lt;=360), ('(橫掃)RX Mapping'!AX39-241),IF(AND('(橫掃)RX Mapping'!AX39&gt;=361,'(橫掃)RX Mapping'!AX39&lt;=480), (-1)*('(橫掃)RX Mapping'!AX39-480),IF(AND('(橫掃)RX Mapping'!AX39&gt;=481,'(橫掃)RX Mapping'!AX39&lt;=600), ('(橫掃)RX Mapping'!AX39-361),IF(AND('(橫掃)RX Mapping'!AX39&gt;=601,'(橫掃)RX Mapping'!AX39&lt;=720), (-1)*('(橫掃)RX Mapping'!AX39-720)+120,IF(AND('(橫掃)RX Mapping'!AX39&gt;=721,'(橫掃)RX Mapping'!AX39&lt;=840), ('(橫掃)RX Mapping'!AX39-601),IF(AND('(橫掃)RX Mapping'!AX39&gt;=841,'(橫掃)RX Mapping'!AX39&lt;=960), (-1)*('(橫掃)RX Mapping'!AX39-960)+120,9999))))))))</f>
        <v>9999</v>
      </c>
      <c r="AY39">
        <f>IF(AND('(橫掃)RX Mapping'!AY39&gt;=1,'(橫掃)RX Mapping'!AY39&lt;=120), ('(橫掃)RX Mapping'!AY39-1),IF(AND('(橫掃)RX Mapping'!AY39&gt;=121,'(橫掃)RX Mapping'!AY39&lt;=240), (-1)*('(橫掃)RX Mapping'!AY39-240),IF(AND('(橫掃)RX Mapping'!AY39&gt;=241,'(橫掃)RX Mapping'!AY39&lt;=360), ('(橫掃)RX Mapping'!AY39-241),IF(AND('(橫掃)RX Mapping'!AY39&gt;=361,'(橫掃)RX Mapping'!AY39&lt;=480), (-1)*('(橫掃)RX Mapping'!AY39-480),IF(AND('(橫掃)RX Mapping'!AY39&gt;=481,'(橫掃)RX Mapping'!AY39&lt;=600), ('(橫掃)RX Mapping'!AY39-361),IF(AND('(橫掃)RX Mapping'!AY39&gt;=601,'(橫掃)RX Mapping'!AY39&lt;=720), (-1)*('(橫掃)RX Mapping'!AY39-720)+120,IF(AND('(橫掃)RX Mapping'!AY39&gt;=721,'(橫掃)RX Mapping'!AY39&lt;=840), ('(橫掃)RX Mapping'!AY39-601),IF(AND('(橫掃)RX Mapping'!AY39&gt;=841,'(橫掃)RX Mapping'!AY39&lt;=960), (-1)*('(橫掃)RX Mapping'!AY39-960)+120,9999))))))))</f>
        <v>9999</v>
      </c>
      <c r="AZ39">
        <f>IF(AND('(橫掃)RX Mapping'!AZ39&gt;=1,'(橫掃)RX Mapping'!AZ39&lt;=120), ('(橫掃)RX Mapping'!AZ39-1),IF(AND('(橫掃)RX Mapping'!AZ39&gt;=121,'(橫掃)RX Mapping'!AZ39&lt;=240), (-1)*('(橫掃)RX Mapping'!AZ39-240),IF(AND('(橫掃)RX Mapping'!AZ39&gt;=241,'(橫掃)RX Mapping'!AZ39&lt;=360), ('(橫掃)RX Mapping'!AZ39-241),IF(AND('(橫掃)RX Mapping'!AZ39&gt;=361,'(橫掃)RX Mapping'!AZ39&lt;=480), (-1)*('(橫掃)RX Mapping'!AZ39-480),IF(AND('(橫掃)RX Mapping'!AZ39&gt;=481,'(橫掃)RX Mapping'!AZ39&lt;=600), ('(橫掃)RX Mapping'!AZ39-361),IF(AND('(橫掃)RX Mapping'!AZ39&gt;=601,'(橫掃)RX Mapping'!AZ39&lt;=720), (-1)*('(橫掃)RX Mapping'!AZ39-720)+120,IF(AND('(橫掃)RX Mapping'!AZ39&gt;=721,'(橫掃)RX Mapping'!AZ39&lt;=840), ('(橫掃)RX Mapping'!AZ39-601),IF(AND('(橫掃)RX Mapping'!AZ39&gt;=841,'(橫掃)RX Mapping'!AZ39&lt;=960), (-1)*('(橫掃)RX Mapping'!AZ39-960)+120,9999))))))))</f>
        <v>9999</v>
      </c>
      <c r="BA39">
        <f>IF(AND('(橫掃)RX Mapping'!BA39&gt;=1,'(橫掃)RX Mapping'!BA39&lt;=120), ('(橫掃)RX Mapping'!BA39-1),IF(AND('(橫掃)RX Mapping'!BA39&gt;=121,'(橫掃)RX Mapping'!BA39&lt;=240), (-1)*('(橫掃)RX Mapping'!BA39-240),IF(AND('(橫掃)RX Mapping'!BA39&gt;=241,'(橫掃)RX Mapping'!BA39&lt;=360), ('(橫掃)RX Mapping'!BA39-241),IF(AND('(橫掃)RX Mapping'!BA39&gt;=361,'(橫掃)RX Mapping'!BA39&lt;=480), (-1)*('(橫掃)RX Mapping'!BA39-480),IF(AND('(橫掃)RX Mapping'!BA39&gt;=481,'(橫掃)RX Mapping'!BA39&lt;=600), ('(橫掃)RX Mapping'!BA39-361),IF(AND('(橫掃)RX Mapping'!BA39&gt;=601,'(橫掃)RX Mapping'!BA39&lt;=720), (-1)*('(橫掃)RX Mapping'!BA39-720)+120,IF(AND('(橫掃)RX Mapping'!BA39&gt;=721,'(橫掃)RX Mapping'!BA39&lt;=840), ('(橫掃)RX Mapping'!BA39-601),IF(AND('(橫掃)RX Mapping'!BA39&gt;=841,'(橫掃)RX Mapping'!BA39&lt;=960), (-1)*('(橫掃)RX Mapping'!BA39-960)+120,9999))))))))</f>
        <v>9999</v>
      </c>
      <c r="BB39">
        <f>IF(AND('(橫掃)RX Mapping'!BB39&gt;=1,'(橫掃)RX Mapping'!BB39&lt;=120), ('(橫掃)RX Mapping'!BB39-1),IF(AND('(橫掃)RX Mapping'!BB39&gt;=121,'(橫掃)RX Mapping'!BB39&lt;=240), (-1)*('(橫掃)RX Mapping'!BB39-240),IF(AND('(橫掃)RX Mapping'!BB39&gt;=241,'(橫掃)RX Mapping'!BB39&lt;=360), ('(橫掃)RX Mapping'!BB39-241),IF(AND('(橫掃)RX Mapping'!BB39&gt;=361,'(橫掃)RX Mapping'!BB39&lt;=480), (-1)*('(橫掃)RX Mapping'!BB39-480),IF(AND('(橫掃)RX Mapping'!BB39&gt;=481,'(橫掃)RX Mapping'!BB39&lt;=600), ('(橫掃)RX Mapping'!BB39-361),IF(AND('(橫掃)RX Mapping'!BB39&gt;=601,'(橫掃)RX Mapping'!BB39&lt;=720), (-1)*('(橫掃)RX Mapping'!BB39-720)+120,IF(AND('(橫掃)RX Mapping'!BB39&gt;=721,'(橫掃)RX Mapping'!BB39&lt;=840), ('(橫掃)RX Mapping'!BB39-601),IF(AND('(橫掃)RX Mapping'!BB39&gt;=841,'(橫掃)RX Mapping'!BB39&lt;=960), (-1)*('(橫掃)RX Mapping'!BB39-960)+120,9999))))))))</f>
        <v>9999</v>
      </c>
      <c r="BC39">
        <f>IF(AND('(橫掃)RX Mapping'!BC39&gt;=1,'(橫掃)RX Mapping'!BC39&lt;=120), ('(橫掃)RX Mapping'!BC39-1),IF(AND('(橫掃)RX Mapping'!BC39&gt;=121,'(橫掃)RX Mapping'!BC39&lt;=240), (-1)*('(橫掃)RX Mapping'!BC39-240),IF(AND('(橫掃)RX Mapping'!BC39&gt;=241,'(橫掃)RX Mapping'!BC39&lt;=360), ('(橫掃)RX Mapping'!BC39-241),IF(AND('(橫掃)RX Mapping'!BC39&gt;=361,'(橫掃)RX Mapping'!BC39&lt;=480), (-1)*('(橫掃)RX Mapping'!BC39-480),IF(AND('(橫掃)RX Mapping'!BC39&gt;=481,'(橫掃)RX Mapping'!BC39&lt;=600), ('(橫掃)RX Mapping'!BC39-361),IF(AND('(橫掃)RX Mapping'!BC39&gt;=601,'(橫掃)RX Mapping'!BC39&lt;=720), (-1)*('(橫掃)RX Mapping'!BC39-720)+120,IF(AND('(橫掃)RX Mapping'!BC39&gt;=721,'(橫掃)RX Mapping'!BC39&lt;=840), ('(橫掃)RX Mapping'!BC39-601),IF(AND('(橫掃)RX Mapping'!BC39&gt;=841,'(橫掃)RX Mapping'!BC39&lt;=960), (-1)*('(橫掃)RX Mapping'!BC39-960)+120,9999))))))))</f>
        <v>9999</v>
      </c>
      <c r="BD39">
        <f>IF(AND('(橫掃)RX Mapping'!BD39&gt;=1,'(橫掃)RX Mapping'!BD39&lt;=120), ('(橫掃)RX Mapping'!BD39-1),IF(AND('(橫掃)RX Mapping'!BD39&gt;=121,'(橫掃)RX Mapping'!BD39&lt;=240), (-1)*('(橫掃)RX Mapping'!BD39-240),IF(AND('(橫掃)RX Mapping'!BD39&gt;=241,'(橫掃)RX Mapping'!BD39&lt;=360), ('(橫掃)RX Mapping'!BD39-241),IF(AND('(橫掃)RX Mapping'!BD39&gt;=361,'(橫掃)RX Mapping'!BD39&lt;=480), (-1)*('(橫掃)RX Mapping'!BD39-480),IF(AND('(橫掃)RX Mapping'!BD39&gt;=481,'(橫掃)RX Mapping'!BD39&lt;=600), ('(橫掃)RX Mapping'!BD39-361),IF(AND('(橫掃)RX Mapping'!BD39&gt;=601,'(橫掃)RX Mapping'!BD39&lt;=720), (-1)*('(橫掃)RX Mapping'!BD39-720)+120,IF(AND('(橫掃)RX Mapping'!BD39&gt;=721,'(橫掃)RX Mapping'!BD39&lt;=840), ('(橫掃)RX Mapping'!BD39-601),IF(AND('(橫掃)RX Mapping'!BD39&gt;=841,'(橫掃)RX Mapping'!BD39&lt;=960), (-1)*('(橫掃)RX Mapping'!BD39-960)+120,9999))))))))</f>
        <v>9999</v>
      </c>
      <c r="BE39">
        <f>IF(AND('(橫掃)RX Mapping'!BE39&gt;=1,'(橫掃)RX Mapping'!BE39&lt;=120), ('(橫掃)RX Mapping'!BE39-1),IF(AND('(橫掃)RX Mapping'!BE39&gt;=121,'(橫掃)RX Mapping'!BE39&lt;=240), (-1)*('(橫掃)RX Mapping'!BE39-240),IF(AND('(橫掃)RX Mapping'!BE39&gt;=241,'(橫掃)RX Mapping'!BE39&lt;=360), ('(橫掃)RX Mapping'!BE39-241),IF(AND('(橫掃)RX Mapping'!BE39&gt;=361,'(橫掃)RX Mapping'!BE39&lt;=480), (-1)*('(橫掃)RX Mapping'!BE39-480),IF(AND('(橫掃)RX Mapping'!BE39&gt;=481,'(橫掃)RX Mapping'!BE39&lt;=600), ('(橫掃)RX Mapping'!BE39-361),IF(AND('(橫掃)RX Mapping'!BE39&gt;=601,'(橫掃)RX Mapping'!BE39&lt;=720), (-1)*('(橫掃)RX Mapping'!BE39-720)+120,IF(AND('(橫掃)RX Mapping'!BE39&gt;=721,'(橫掃)RX Mapping'!BE39&lt;=840), ('(橫掃)RX Mapping'!BE39-601),IF(AND('(橫掃)RX Mapping'!BE39&gt;=841,'(橫掃)RX Mapping'!BE39&lt;=960), (-1)*('(橫掃)RX Mapping'!BE39-960)+120,9999))))))))</f>
        <v>9999</v>
      </c>
      <c r="BF39">
        <f>IF(AND('(橫掃)RX Mapping'!BF39&gt;=1,'(橫掃)RX Mapping'!BF39&lt;=120), ('(橫掃)RX Mapping'!BF39-1),IF(AND('(橫掃)RX Mapping'!BF39&gt;=121,'(橫掃)RX Mapping'!BF39&lt;=240), (-1)*('(橫掃)RX Mapping'!BF39-240),IF(AND('(橫掃)RX Mapping'!BF39&gt;=241,'(橫掃)RX Mapping'!BF39&lt;=360), ('(橫掃)RX Mapping'!BF39-241),IF(AND('(橫掃)RX Mapping'!BF39&gt;=361,'(橫掃)RX Mapping'!BF39&lt;=480), (-1)*('(橫掃)RX Mapping'!BF39-480),IF(AND('(橫掃)RX Mapping'!BF39&gt;=481,'(橫掃)RX Mapping'!BF39&lt;=600), ('(橫掃)RX Mapping'!BF39-361),IF(AND('(橫掃)RX Mapping'!BF39&gt;=601,'(橫掃)RX Mapping'!BF39&lt;=720), (-1)*('(橫掃)RX Mapping'!BF39-720)+120,IF(AND('(橫掃)RX Mapping'!BF39&gt;=721,'(橫掃)RX Mapping'!BF39&lt;=840), ('(橫掃)RX Mapping'!BF39-601),IF(AND('(橫掃)RX Mapping'!BF39&gt;=841,'(橫掃)RX Mapping'!BF39&lt;=960), (-1)*('(橫掃)RX Mapping'!BF39-960)+120,9999))))))))</f>
        <v>9999</v>
      </c>
      <c r="BG39">
        <f>IF(AND('(橫掃)RX Mapping'!BG39&gt;=1,'(橫掃)RX Mapping'!BG39&lt;=120), ('(橫掃)RX Mapping'!BG39-1),IF(AND('(橫掃)RX Mapping'!BG39&gt;=121,'(橫掃)RX Mapping'!BG39&lt;=240), (-1)*('(橫掃)RX Mapping'!BG39-240),IF(AND('(橫掃)RX Mapping'!BG39&gt;=241,'(橫掃)RX Mapping'!BG39&lt;=360), ('(橫掃)RX Mapping'!BG39-241),IF(AND('(橫掃)RX Mapping'!BG39&gt;=361,'(橫掃)RX Mapping'!BG39&lt;=480), (-1)*('(橫掃)RX Mapping'!BG39-480),IF(AND('(橫掃)RX Mapping'!BG39&gt;=481,'(橫掃)RX Mapping'!BG39&lt;=600), ('(橫掃)RX Mapping'!BG39-361),IF(AND('(橫掃)RX Mapping'!BG39&gt;=601,'(橫掃)RX Mapping'!BG39&lt;=720), (-1)*('(橫掃)RX Mapping'!BG39-720)+120,IF(AND('(橫掃)RX Mapping'!BG39&gt;=721,'(橫掃)RX Mapping'!BG39&lt;=840), ('(橫掃)RX Mapping'!BG39-601),IF(AND('(橫掃)RX Mapping'!BG39&gt;=841,'(橫掃)RX Mapping'!BG39&lt;=960), (-1)*('(橫掃)RX Mapping'!BG39-960)+120,9999))))))))</f>
        <v>9999</v>
      </c>
      <c r="BH39">
        <f>IF(AND('(橫掃)RX Mapping'!BH39&gt;=1,'(橫掃)RX Mapping'!BH39&lt;=120), ('(橫掃)RX Mapping'!BH39-1),IF(AND('(橫掃)RX Mapping'!BH39&gt;=121,'(橫掃)RX Mapping'!BH39&lt;=240), (-1)*('(橫掃)RX Mapping'!BH39-240),IF(AND('(橫掃)RX Mapping'!BH39&gt;=241,'(橫掃)RX Mapping'!BH39&lt;=360), ('(橫掃)RX Mapping'!BH39-241),IF(AND('(橫掃)RX Mapping'!BH39&gt;=361,'(橫掃)RX Mapping'!BH39&lt;=480), (-1)*('(橫掃)RX Mapping'!BH39-480),IF(AND('(橫掃)RX Mapping'!BH39&gt;=481,'(橫掃)RX Mapping'!BH39&lt;=600), ('(橫掃)RX Mapping'!BH39-361),IF(AND('(橫掃)RX Mapping'!BH39&gt;=601,'(橫掃)RX Mapping'!BH39&lt;=720), (-1)*('(橫掃)RX Mapping'!BH39-720)+120,IF(AND('(橫掃)RX Mapping'!BH39&gt;=721,'(橫掃)RX Mapping'!BH39&lt;=840), ('(橫掃)RX Mapping'!BH39-601),IF(AND('(橫掃)RX Mapping'!BH39&gt;=841,'(橫掃)RX Mapping'!BH39&lt;=960), (-1)*('(橫掃)RX Mapping'!BH39-960)+120,9999))))))))</f>
        <v>9999</v>
      </c>
      <c r="BI39">
        <f>IF(AND('(橫掃)RX Mapping'!BI39&gt;=1,'(橫掃)RX Mapping'!BI39&lt;=120), ('(橫掃)RX Mapping'!BI39-1),IF(AND('(橫掃)RX Mapping'!BI39&gt;=121,'(橫掃)RX Mapping'!BI39&lt;=240), (-1)*('(橫掃)RX Mapping'!BI39-240),IF(AND('(橫掃)RX Mapping'!BI39&gt;=241,'(橫掃)RX Mapping'!BI39&lt;=360), ('(橫掃)RX Mapping'!BI39-241),IF(AND('(橫掃)RX Mapping'!BI39&gt;=361,'(橫掃)RX Mapping'!BI39&lt;=480), (-1)*('(橫掃)RX Mapping'!BI39-480),IF(AND('(橫掃)RX Mapping'!BI39&gt;=481,'(橫掃)RX Mapping'!BI39&lt;=600), ('(橫掃)RX Mapping'!BI39-361),IF(AND('(橫掃)RX Mapping'!BI39&gt;=601,'(橫掃)RX Mapping'!BI39&lt;=720), (-1)*('(橫掃)RX Mapping'!BI39-720)+120,IF(AND('(橫掃)RX Mapping'!BI39&gt;=721,'(橫掃)RX Mapping'!BI39&lt;=840), ('(橫掃)RX Mapping'!BI39-601),IF(AND('(橫掃)RX Mapping'!BI39&gt;=841,'(橫掃)RX Mapping'!BI39&lt;=960), (-1)*('(橫掃)RX Mapping'!BI39-960)+120,9999))))))))</f>
        <v>9999</v>
      </c>
    </row>
    <row r="40" spans="1:61" x14ac:dyDescent="0.25">
      <c r="A40" s="20">
        <v>39</v>
      </c>
      <c r="B40">
        <f>IF(AND('(橫掃)RX Mapping'!B40&gt;=1,'(橫掃)RX Mapping'!B40&lt;=120), ('(橫掃)RX Mapping'!B40-1),IF(AND('(橫掃)RX Mapping'!B40&gt;=121,'(橫掃)RX Mapping'!B40&lt;=240), (-1)*('(橫掃)RX Mapping'!B40-240),IF(AND('(橫掃)RX Mapping'!B40&gt;=241,'(橫掃)RX Mapping'!B40&lt;=360), ('(橫掃)RX Mapping'!B40-241),IF(AND('(橫掃)RX Mapping'!B40&gt;=361,'(橫掃)RX Mapping'!B40&lt;=480), (-1)*('(橫掃)RX Mapping'!B40-480),IF(AND('(橫掃)RX Mapping'!B40&gt;=481,'(橫掃)RX Mapping'!B40&lt;=600), ('(橫掃)RX Mapping'!B40-361),IF(AND('(橫掃)RX Mapping'!B40&gt;=601,'(橫掃)RX Mapping'!B40&lt;=720), (-1)*('(橫掃)RX Mapping'!B40-720)+120,IF(AND('(橫掃)RX Mapping'!B40&gt;=721,'(橫掃)RX Mapping'!B40&lt;=840), ('(橫掃)RX Mapping'!B40-601),IF(AND('(橫掃)RX Mapping'!B40&gt;=841,'(橫掃)RX Mapping'!B40&lt;=960), (-1)*('(橫掃)RX Mapping'!B40-960)+120,9999))))))))</f>
        <v>9999</v>
      </c>
      <c r="C40">
        <f>IF(AND('(橫掃)RX Mapping'!C40&gt;=1,'(橫掃)RX Mapping'!C40&lt;=120), ('(橫掃)RX Mapping'!C40-1),IF(AND('(橫掃)RX Mapping'!C40&gt;=121,'(橫掃)RX Mapping'!C40&lt;=240), (-1)*('(橫掃)RX Mapping'!C40-240),IF(AND('(橫掃)RX Mapping'!C40&gt;=241,'(橫掃)RX Mapping'!C40&lt;=360), ('(橫掃)RX Mapping'!C40-241),IF(AND('(橫掃)RX Mapping'!C40&gt;=361,'(橫掃)RX Mapping'!C40&lt;=480), (-1)*('(橫掃)RX Mapping'!C40-480),IF(AND('(橫掃)RX Mapping'!C40&gt;=481,'(橫掃)RX Mapping'!C40&lt;=600), ('(橫掃)RX Mapping'!C40-361),IF(AND('(橫掃)RX Mapping'!C40&gt;=601,'(橫掃)RX Mapping'!C40&lt;=720), (-1)*('(橫掃)RX Mapping'!C40-720)+120,IF(AND('(橫掃)RX Mapping'!C40&gt;=721,'(橫掃)RX Mapping'!C40&lt;=840), ('(橫掃)RX Mapping'!C40-601),IF(AND('(橫掃)RX Mapping'!C40&gt;=841,'(橫掃)RX Mapping'!C40&lt;=960), (-1)*('(橫掃)RX Mapping'!C40-960)+120,9999))))))))</f>
        <v>9999</v>
      </c>
      <c r="D40">
        <f>IF(AND('(橫掃)RX Mapping'!D40&gt;=1,'(橫掃)RX Mapping'!D40&lt;=120), ('(橫掃)RX Mapping'!D40-1),IF(AND('(橫掃)RX Mapping'!D40&gt;=121,'(橫掃)RX Mapping'!D40&lt;=240), (-1)*('(橫掃)RX Mapping'!D40-240),IF(AND('(橫掃)RX Mapping'!D40&gt;=241,'(橫掃)RX Mapping'!D40&lt;=360), ('(橫掃)RX Mapping'!D40-241),IF(AND('(橫掃)RX Mapping'!D40&gt;=361,'(橫掃)RX Mapping'!D40&lt;=480), (-1)*('(橫掃)RX Mapping'!D40-480),IF(AND('(橫掃)RX Mapping'!D40&gt;=481,'(橫掃)RX Mapping'!D40&lt;=600), ('(橫掃)RX Mapping'!D40-361),IF(AND('(橫掃)RX Mapping'!D40&gt;=601,'(橫掃)RX Mapping'!D40&lt;=720), (-1)*('(橫掃)RX Mapping'!D40-720)+120,IF(AND('(橫掃)RX Mapping'!D40&gt;=721,'(橫掃)RX Mapping'!D40&lt;=840), ('(橫掃)RX Mapping'!D40-601),IF(AND('(橫掃)RX Mapping'!D40&gt;=841,'(橫掃)RX Mapping'!D40&lt;=960), (-1)*('(橫掃)RX Mapping'!D40-960)+120,9999))))))))</f>
        <v>9999</v>
      </c>
      <c r="E40">
        <f>IF(AND('(橫掃)RX Mapping'!E40&gt;=1,'(橫掃)RX Mapping'!E40&lt;=120), ('(橫掃)RX Mapping'!E40-1),IF(AND('(橫掃)RX Mapping'!E40&gt;=121,'(橫掃)RX Mapping'!E40&lt;=240), (-1)*('(橫掃)RX Mapping'!E40-240),IF(AND('(橫掃)RX Mapping'!E40&gt;=241,'(橫掃)RX Mapping'!E40&lt;=360), ('(橫掃)RX Mapping'!E40-241),IF(AND('(橫掃)RX Mapping'!E40&gt;=361,'(橫掃)RX Mapping'!E40&lt;=480), (-1)*('(橫掃)RX Mapping'!E40-480),IF(AND('(橫掃)RX Mapping'!E40&gt;=481,'(橫掃)RX Mapping'!E40&lt;=600), ('(橫掃)RX Mapping'!E40-361),IF(AND('(橫掃)RX Mapping'!E40&gt;=601,'(橫掃)RX Mapping'!E40&lt;=720), (-1)*('(橫掃)RX Mapping'!E40-720)+120,IF(AND('(橫掃)RX Mapping'!E40&gt;=721,'(橫掃)RX Mapping'!E40&lt;=840), ('(橫掃)RX Mapping'!E40-601),IF(AND('(橫掃)RX Mapping'!E40&gt;=841,'(橫掃)RX Mapping'!E40&lt;=960), (-1)*('(橫掃)RX Mapping'!E40-960)+120,9999))))))))</f>
        <v>9999</v>
      </c>
      <c r="F40">
        <f>IF(AND('(橫掃)RX Mapping'!F40&gt;=1,'(橫掃)RX Mapping'!F40&lt;=120), ('(橫掃)RX Mapping'!F40-1),IF(AND('(橫掃)RX Mapping'!F40&gt;=121,'(橫掃)RX Mapping'!F40&lt;=240), (-1)*('(橫掃)RX Mapping'!F40-240),IF(AND('(橫掃)RX Mapping'!F40&gt;=241,'(橫掃)RX Mapping'!F40&lt;=360), ('(橫掃)RX Mapping'!F40-241),IF(AND('(橫掃)RX Mapping'!F40&gt;=361,'(橫掃)RX Mapping'!F40&lt;=480), (-1)*('(橫掃)RX Mapping'!F40-480),IF(AND('(橫掃)RX Mapping'!F40&gt;=481,'(橫掃)RX Mapping'!F40&lt;=600), ('(橫掃)RX Mapping'!F40-361),IF(AND('(橫掃)RX Mapping'!F40&gt;=601,'(橫掃)RX Mapping'!F40&lt;=720), (-1)*('(橫掃)RX Mapping'!F40-720)+120,IF(AND('(橫掃)RX Mapping'!F40&gt;=721,'(橫掃)RX Mapping'!F40&lt;=840), ('(橫掃)RX Mapping'!F40-601),IF(AND('(橫掃)RX Mapping'!F40&gt;=841,'(橫掃)RX Mapping'!F40&lt;=960), (-1)*('(橫掃)RX Mapping'!F40-960)+120,9999))))))))</f>
        <v>9999</v>
      </c>
      <c r="G40">
        <f>IF(AND('(橫掃)RX Mapping'!G40&gt;=1,'(橫掃)RX Mapping'!G40&lt;=120), ('(橫掃)RX Mapping'!G40-1),IF(AND('(橫掃)RX Mapping'!G40&gt;=121,'(橫掃)RX Mapping'!G40&lt;=240), (-1)*('(橫掃)RX Mapping'!G40-240),IF(AND('(橫掃)RX Mapping'!G40&gt;=241,'(橫掃)RX Mapping'!G40&lt;=360), ('(橫掃)RX Mapping'!G40-241),IF(AND('(橫掃)RX Mapping'!G40&gt;=361,'(橫掃)RX Mapping'!G40&lt;=480), (-1)*('(橫掃)RX Mapping'!G40-480),IF(AND('(橫掃)RX Mapping'!G40&gt;=481,'(橫掃)RX Mapping'!G40&lt;=600), ('(橫掃)RX Mapping'!G40-361),IF(AND('(橫掃)RX Mapping'!G40&gt;=601,'(橫掃)RX Mapping'!G40&lt;=720), (-1)*('(橫掃)RX Mapping'!G40-720)+120,IF(AND('(橫掃)RX Mapping'!G40&gt;=721,'(橫掃)RX Mapping'!G40&lt;=840), ('(橫掃)RX Mapping'!G40-601),IF(AND('(橫掃)RX Mapping'!G40&gt;=841,'(橫掃)RX Mapping'!G40&lt;=960), (-1)*('(橫掃)RX Mapping'!G40-960)+120,9999))))))))</f>
        <v>9999</v>
      </c>
      <c r="H40">
        <f>IF(AND('(橫掃)RX Mapping'!H40&gt;=1,'(橫掃)RX Mapping'!H40&lt;=120), ('(橫掃)RX Mapping'!H40-1),IF(AND('(橫掃)RX Mapping'!H40&gt;=121,'(橫掃)RX Mapping'!H40&lt;=240), (-1)*('(橫掃)RX Mapping'!H40-240),IF(AND('(橫掃)RX Mapping'!H40&gt;=241,'(橫掃)RX Mapping'!H40&lt;=360), ('(橫掃)RX Mapping'!H40-241),IF(AND('(橫掃)RX Mapping'!H40&gt;=361,'(橫掃)RX Mapping'!H40&lt;=480), (-1)*('(橫掃)RX Mapping'!H40-480),IF(AND('(橫掃)RX Mapping'!H40&gt;=481,'(橫掃)RX Mapping'!H40&lt;=600), ('(橫掃)RX Mapping'!H40-361),IF(AND('(橫掃)RX Mapping'!H40&gt;=601,'(橫掃)RX Mapping'!H40&lt;=720), (-1)*('(橫掃)RX Mapping'!H40-720)+120,IF(AND('(橫掃)RX Mapping'!H40&gt;=721,'(橫掃)RX Mapping'!H40&lt;=840), ('(橫掃)RX Mapping'!H40-601),IF(AND('(橫掃)RX Mapping'!H40&gt;=841,'(橫掃)RX Mapping'!H40&lt;=960), (-1)*('(橫掃)RX Mapping'!H40-960)+120,9999))))))))</f>
        <v>9999</v>
      </c>
      <c r="I40">
        <f>IF(AND('(橫掃)RX Mapping'!I40&gt;=1,'(橫掃)RX Mapping'!I40&lt;=120), ('(橫掃)RX Mapping'!I40-1),IF(AND('(橫掃)RX Mapping'!I40&gt;=121,'(橫掃)RX Mapping'!I40&lt;=240), (-1)*('(橫掃)RX Mapping'!I40-240),IF(AND('(橫掃)RX Mapping'!I40&gt;=241,'(橫掃)RX Mapping'!I40&lt;=360), ('(橫掃)RX Mapping'!I40-241),IF(AND('(橫掃)RX Mapping'!I40&gt;=361,'(橫掃)RX Mapping'!I40&lt;=480), (-1)*('(橫掃)RX Mapping'!I40-480),IF(AND('(橫掃)RX Mapping'!I40&gt;=481,'(橫掃)RX Mapping'!I40&lt;=600), ('(橫掃)RX Mapping'!I40-361),IF(AND('(橫掃)RX Mapping'!I40&gt;=601,'(橫掃)RX Mapping'!I40&lt;=720), (-1)*('(橫掃)RX Mapping'!I40-720)+120,IF(AND('(橫掃)RX Mapping'!I40&gt;=721,'(橫掃)RX Mapping'!I40&lt;=840), ('(橫掃)RX Mapping'!I40-601),IF(AND('(橫掃)RX Mapping'!I40&gt;=841,'(橫掃)RX Mapping'!I40&lt;=960), (-1)*('(橫掃)RX Mapping'!I40-960)+120,9999))))))))</f>
        <v>9999</v>
      </c>
      <c r="J40">
        <f>IF(AND('(橫掃)RX Mapping'!J40&gt;=1,'(橫掃)RX Mapping'!J40&lt;=120), ('(橫掃)RX Mapping'!J40-1),IF(AND('(橫掃)RX Mapping'!J40&gt;=121,'(橫掃)RX Mapping'!J40&lt;=240), (-1)*('(橫掃)RX Mapping'!J40-240),IF(AND('(橫掃)RX Mapping'!J40&gt;=241,'(橫掃)RX Mapping'!J40&lt;=360), ('(橫掃)RX Mapping'!J40-241),IF(AND('(橫掃)RX Mapping'!J40&gt;=361,'(橫掃)RX Mapping'!J40&lt;=480), (-1)*('(橫掃)RX Mapping'!J40-480),IF(AND('(橫掃)RX Mapping'!J40&gt;=481,'(橫掃)RX Mapping'!J40&lt;=600), ('(橫掃)RX Mapping'!J40-361),IF(AND('(橫掃)RX Mapping'!J40&gt;=601,'(橫掃)RX Mapping'!J40&lt;=720), (-1)*('(橫掃)RX Mapping'!J40-720)+120,IF(AND('(橫掃)RX Mapping'!J40&gt;=721,'(橫掃)RX Mapping'!J40&lt;=840), ('(橫掃)RX Mapping'!J40-601),IF(AND('(橫掃)RX Mapping'!J40&gt;=841,'(橫掃)RX Mapping'!J40&lt;=960), (-1)*('(橫掃)RX Mapping'!J40-960)+120,9999))))))))</f>
        <v>9999</v>
      </c>
      <c r="K40">
        <f>IF(AND('(橫掃)RX Mapping'!K40&gt;=1,'(橫掃)RX Mapping'!K40&lt;=120), ('(橫掃)RX Mapping'!K40-1),IF(AND('(橫掃)RX Mapping'!K40&gt;=121,'(橫掃)RX Mapping'!K40&lt;=240), (-1)*('(橫掃)RX Mapping'!K40-240),IF(AND('(橫掃)RX Mapping'!K40&gt;=241,'(橫掃)RX Mapping'!K40&lt;=360), ('(橫掃)RX Mapping'!K40-241),IF(AND('(橫掃)RX Mapping'!K40&gt;=361,'(橫掃)RX Mapping'!K40&lt;=480), (-1)*('(橫掃)RX Mapping'!K40-480),IF(AND('(橫掃)RX Mapping'!K40&gt;=481,'(橫掃)RX Mapping'!K40&lt;=600), ('(橫掃)RX Mapping'!K40-361),IF(AND('(橫掃)RX Mapping'!K40&gt;=601,'(橫掃)RX Mapping'!K40&lt;=720), (-1)*('(橫掃)RX Mapping'!K40-720)+120,IF(AND('(橫掃)RX Mapping'!K40&gt;=721,'(橫掃)RX Mapping'!K40&lt;=840), ('(橫掃)RX Mapping'!K40-601),IF(AND('(橫掃)RX Mapping'!K40&gt;=841,'(橫掃)RX Mapping'!K40&lt;=960), (-1)*('(橫掃)RX Mapping'!K40-960)+120,9999))))))))</f>
        <v>9999</v>
      </c>
      <c r="L40">
        <f>IF(AND('(橫掃)RX Mapping'!L40&gt;=1,'(橫掃)RX Mapping'!L40&lt;=120), ('(橫掃)RX Mapping'!L40-1),IF(AND('(橫掃)RX Mapping'!L40&gt;=121,'(橫掃)RX Mapping'!L40&lt;=240), (-1)*('(橫掃)RX Mapping'!L40-240),IF(AND('(橫掃)RX Mapping'!L40&gt;=241,'(橫掃)RX Mapping'!L40&lt;=360), ('(橫掃)RX Mapping'!L40-241),IF(AND('(橫掃)RX Mapping'!L40&gt;=361,'(橫掃)RX Mapping'!L40&lt;=480), (-1)*('(橫掃)RX Mapping'!L40-480),IF(AND('(橫掃)RX Mapping'!L40&gt;=481,'(橫掃)RX Mapping'!L40&lt;=600), ('(橫掃)RX Mapping'!L40-361),IF(AND('(橫掃)RX Mapping'!L40&gt;=601,'(橫掃)RX Mapping'!L40&lt;=720), (-1)*('(橫掃)RX Mapping'!L40-720)+120,IF(AND('(橫掃)RX Mapping'!L40&gt;=721,'(橫掃)RX Mapping'!L40&lt;=840), ('(橫掃)RX Mapping'!L40-601),IF(AND('(橫掃)RX Mapping'!L40&gt;=841,'(橫掃)RX Mapping'!L40&lt;=960), (-1)*('(橫掃)RX Mapping'!L40-960)+120,9999))))))))</f>
        <v>9999</v>
      </c>
      <c r="M40">
        <f>IF(AND('(橫掃)RX Mapping'!M40&gt;=1,'(橫掃)RX Mapping'!M40&lt;=120), ('(橫掃)RX Mapping'!M40-1),IF(AND('(橫掃)RX Mapping'!M40&gt;=121,'(橫掃)RX Mapping'!M40&lt;=240), (-1)*('(橫掃)RX Mapping'!M40-240),IF(AND('(橫掃)RX Mapping'!M40&gt;=241,'(橫掃)RX Mapping'!M40&lt;=360), ('(橫掃)RX Mapping'!M40-241),IF(AND('(橫掃)RX Mapping'!M40&gt;=361,'(橫掃)RX Mapping'!M40&lt;=480), (-1)*('(橫掃)RX Mapping'!M40-480),IF(AND('(橫掃)RX Mapping'!M40&gt;=481,'(橫掃)RX Mapping'!M40&lt;=600), ('(橫掃)RX Mapping'!M40-361),IF(AND('(橫掃)RX Mapping'!M40&gt;=601,'(橫掃)RX Mapping'!M40&lt;=720), (-1)*('(橫掃)RX Mapping'!M40-720)+120,IF(AND('(橫掃)RX Mapping'!M40&gt;=721,'(橫掃)RX Mapping'!M40&lt;=840), ('(橫掃)RX Mapping'!M40-601),IF(AND('(橫掃)RX Mapping'!M40&gt;=841,'(橫掃)RX Mapping'!M40&lt;=960), (-1)*('(橫掃)RX Mapping'!M40-960)+120,9999))))))))</f>
        <v>9999</v>
      </c>
      <c r="N40">
        <f>IF(AND('(橫掃)RX Mapping'!N40&gt;=1,'(橫掃)RX Mapping'!N40&lt;=120), ('(橫掃)RX Mapping'!N40-1),IF(AND('(橫掃)RX Mapping'!N40&gt;=121,'(橫掃)RX Mapping'!N40&lt;=240), (-1)*('(橫掃)RX Mapping'!N40-240),IF(AND('(橫掃)RX Mapping'!N40&gt;=241,'(橫掃)RX Mapping'!N40&lt;=360), ('(橫掃)RX Mapping'!N40-241),IF(AND('(橫掃)RX Mapping'!N40&gt;=361,'(橫掃)RX Mapping'!N40&lt;=480), (-1)*('(橫掃)RX Mapping'!N40-480),IF(AND('(橫掃)RX Mapping'!N40&gt;=481,'(橫掃)RX Mapping'!N40&lt;=600), ('(橫掃)RX Mapping'!N40-361),IF(AND('(橫掃)RX Mapping'!N40&gt;=601,'(橫掃)RX Mapping'!N40&lt;=720), (-1)*('(橫掃)RX Mapping'!N40-720)+120,IF(AND('(橫掃)RX Mapping'!N40&gt;=721,'(橫掃)RX Mapping'!N40&lt;=840), ('(橫掃)RX Mapping'!N40-601),IF(AND('(橫掃)RX Mapping'!N40&gt;=841,'(橫掃)RX Mapping'!N40&lt;=960), (-1)*('(橫掃)RX Mapping'!N40-960)+120,9999))))))))</f>
        <v>9999</v>
      </c>
      <c r="O40">
        <f>IF(AND('(橫掃)RX Mapping'!O40&gt;=1,'(橫掃)RX Mapping'!O40&lt;=120), ('(橫掃)RX Mapping'!O40-1),IF(AND('(橫掃)RX Mapping'!O40&gt;=121,'(橫掃)RX Mapping'!O40&lt;=240), (-1)*('(橫掃)RX Mapping'!O40-240),IF(AND('(橫掃)RX Mapping'!O40&gt;=241,'(橫掃)RX Mapping'!O40&lt;=360), ('(橫掃)RX Mapping'!O40-241),IF(AND('(橫掃)RX Mapping'!O40&gt;=361,'(橫掃)RX Mapping'!O40&lt;=480), (-1)*('(橫掃)RX Mapping'!O40-480),IF(AND('(橫掃)RX Mapping'!O40&gt;=481,'(橫掃)RX Mapping'!O40&lt;=600), ('(橫掃)RX Mapping'!O40-361),IF(AND('(橫掃)RX Mapping'!O40&gt;=601,'(橫掃)RX Mapping'!O40&lt;=720), (-1)*('(橫掃)RX Mapping'!O40-720)+120,IF(AND('(橫掃)RX Mapping'!O40&gt;=721,'(橫掃)RX Mapping'!O40&lt;=840), ('(橫掃)RX Mapping'!O40-601),IF(AND('(橫掃)RX Mapping'!O40&gt;=841,'(橫掃)RX Mapping'!O40&lt;=960), (-1)*('(橫掃)RX Mapping'!O40-960)+120,9999))))))))</f>
        <v>9999</v>
      </c>
      <c r="P40">
        <f>IF(AND('(橫掃)RX Mapping'!P40&gt;=1,'(橫掃)RX Mapping'!P40&lt;=120), ('(橫掃)RX Mapping'!P40-1),IF(AND('(橫掃)RX Mapping'!P40&gt;=121,'(橫掃)RX Mapping'!P40&lt;=240), (-1)*('(橫掃)RX Mapping'!P40-240),IF(AND('(橫掃)RX Mapping'!P40&gt;=241,'(橫掃)RX Mapping'!P40&lt;=360), ('(橫掃)RX Mapping'!P40-241),IF(AND('(橫掃)RX Mapping'!P40&gt;=361,'(橫掃)RX Mapping'!P40&lt;=480), (-1)*('(橫掃)RX Mapping'!P40-480),IF(AND('(橫掃)RX Mapping'!P40&gt;=481,'(橫掃)RX Mapping'!P40&lt;=600), ('(橫掃)RX Mapping'!P40-361),IF(AND('(橫掃)RX Mapping'!P40&gt;=601,'(橫掃)RX Mapping'!P40&lt;=720), (-1)*('(橫掃)RX Mapping'!P40-720)+120,IF(AND('(橫掃)RX Mapping'!P40&gt;=721,'(橫掃)RX Mapping'!P40&lt;=840), ('(橫掃)RX Mapping'!P40-601),IF(AND('(橫掃)RX Mapping'!P40&gt;=841,'(橫掃)RX Mapping'!P40&lt;=960), (-1)*('(橫掃)RX Mapping'!P40-960)+120,9999))))))))</f>
        <v>9999</v>
      </c>
      <c r="Q40">
        <f>IF(AND('(橫掃)RX Mapping'!Q40&gt;=1,'(橫掃)RX Mapping'!Q40&lt;=120), ('(橫掃)RX Mapping'!Q40-1),IF(AND('(橫掃)RX Mapping'!Q40&gt;=121,'(橫掃)RX Mapping'!Q40&lt;=240), (-1)*('(橫掃)RX Mapping'!Q40-240),IF(AND('(橫掃)RX Mapping'!Q40&gt;=241,'(橫掃)RX Mapping'!Q40&lt;=360), ('(橫掃)RX Mapping'!Q40-241),IF(AND('(橫掃)RX Mapping'!Q40&gt;=361,'(橫掃)RX Mapping'!Q40&lt;=480), (-1)*('(橫掃)RX Mapping'!Q40-480),IF(AND('(橫掃)RX Mapping'!Q40&gt;=481,'(橫掃)RX Mapping'!Q40&lt;=600), ('(橫掃)RX Mapping'!Q40-361),IF(AND('(橫掃)RX Mapping'!Q40&gt;=601,'(橫掃)RX Mapping'!Q40&lt;=720), (-1)*('(橫掃)RX Mapping'!Q40-720)+120,IF(AND('(橫掃)RX Mapping'!Q40&gt;=721,'(橫掃)RX Mapping'!Q40&lt;=840), ('(橫掃)RX Mapping'!Q40-601),IF(AND('(橫掃)RX Mapping'!Q40&gt;=841,'(橫掃)RX Mapping'!Q40&lt;=960), (-1)*('(橫掃)RX Mapping'!Q40-960)+120,9999))))))))</f>
        <v>9999</v>
      </c>
      <c r="R40">
        <f>IF(AND('(橫掃)RX Mapping'!R40&gt;=1,'(橫掃)RX Mapping'!R40&lt;=120), ('(橫掃)RX Mapping'!R40-1),IF(AND('(橫掃)RX Mapping'!R40&gt;=121,'(橫掃)RX Mapping'!R40&lt;=240), (-1)*('(橫掃)RX Mapping'!R40-240),IF(AND('(橫掃)RX Mapping'!R40&gt;=241,'(橫掃)RX Mapping'!R40&lt;=360), ('(橫掃)RX Mapping'!R40-241),IF(AND('(橫掃)RX Mapping'!R40&gt;=361,'(橫掃)RX Mapping'!R40&lt;=480), (-1)*('(橫掃)RX Mapping'!R40-480),IF(AND('(橫掃)RX Mapping'!R40&gt;=481,'(橫掃)RX Mapping'!R40&lt;=600), ('(橫掃)RX Mapping'!R40-361),IF(AND('(橫掃)RX Mapping'!R40&gt;=601,'(橫掃)RX Mapping'!R40&lt;=720), (-1)*('(橫掃)RX Mapping'!R40-720)+120,IF(AND('(橫掃)RX Mapping'!R40&gt;=721,'(橫掃)RX Mapping'!R40&lt;=840), ('(橫掃)RX Mapping'!R40-601),IF(AND('(橫掃)RX Mapping'!R40&gt;=841,'(橫掃)RX Mapping'!R40&lt;=960), (-1)*('(橫掃)RX Mapping'!R40-960)+120,9999))))))))</f>
        <v>9999</v>
      </c>
      <c r="S40">
        <f>IF(AND('(橫掃)RX Mapping'!S40&gt;=1,'(橫掃)RX Mapping'!S40&lt;=120), ('(橫掃)RX Mapping'!S40-1),IF(AND('(橫掃)RX Mapping'!S40&gt;=121,'(橫掃)RX Mapping'!S40&lt;=240), (-1)*('(橫掃)RX Mapping'!S40-240),IF(AND('(橫掃)RX Mapping'!S40&gt;=241,'(橫掃)RX Mapping'!S40&lt;=360), ('(橫掃)RX Mapping'!S40-241),IF(AND('(橫掃)RX Mapping'!S40&gt;=361,'(橫掃)RX Mapping'!S40&lt;=480), (-1)*('(橫掃)RX Mapping'!S40-480),IF(AND('(橫掃)RX Mapping'!S40&gt;=481,'(橫掃)RX Mapping'!S40&lt;=600), ('(橫掃)RX Mapping'!S40-361),IF(AND('(橫掃)RX Mapping'!S40&gt;=601,'(橫掃)RX Mapping'!S40&lt;=720), (-1)*('(橫掃)RX Mapping'!S40-720)+120,IF(AND('(橫掃)RX Mapping'!S40&gt;=721,'(橫掃)RX Mapping'!S40&lt;=840), ('(橫掃)RX Mapping'!S40-601),IF(AND('(橫掃)RX Mapping'!S40&gt;=841,'(橫掃)RX Mapping'!S40&lt;=960), (-1)*('(橫掃)RX Mapping'!S40-960)+120,9999))))))))</f>
        <v>9999</v>
      </c>
      <c r="T40">
        <f>IF(AND('(橫掃)RX Mapping'!T40&gt;=1,'(橫掃)RX Mapping'!T40&lt;=120), ('(橫掃)RX Mapping'!T40-1),IF(AND('(橫掃)RX Mapping'!T40&gt;=121,'(橫掃)RX Mapping'!T40&lt;=240), (-1)*('(橫掃)RX Mapping'!T40-240),IF(AND('(橫掃)RX Mapping'!T40&gt;=241,'(橫掃)RX Mapping'!T40&lt;=360), ('(橫掃)RX Mapping'!T40-241),IF(AND('(橫掃)RX Mapping'!T40&gt;=361,'(橫掃)RX Mapping'!T40&lt;=480), (-1)*('(橫掃)RX Mapping'!T40-480),IF(AND('(橫掃)RX Mapping'!T40&gt;=481,'(橫掃)RX Mapping'!T40&lt;=600), ('(橫掃)RX Mapping'!T40-361),IF(AND('(橫掃)RX Mapping'!T40&gt;=601,'(橫掃)RX Mapping'!T40&lt;=720), (-1)*('(橫掃)RX Mapping'!T40-720)+120,IF(AND('(橫掃)RX Mapping'!T40&gt;=721,'(橫掃)RX Mapping'!T40&lt;=840), ('(橫掃)RX Mapping'!T40-601),IF(AND('(橫掃)RX Mapping'!T40&gt;=841,'(橫掃)RX Mapping'!T40&lt;=960), (-1)*('(橫掃)RX Mapping'!T40-960)+120,9999))))))))</f>
        <v>9999</v>
      </c>
      <c r="U40">
        <f>IF(AND('(橫掃)RX Mapping'!U40&gt;=1,'(橫掃)RX Mapping'!U40&lt;=120), ('(橫掃)RX Mapping'!U40-1),IF(AND('(橫掃)RX Mapping'!U40&gt;=121,'(橫掃)RX Mapping'!U40&lt;=240), (-1)*('(橫掃)RX Mapping'!U40-240),IF(AND('(橫掃)RX Mapping'!U40&gt;=241,'(橫掃)RX Mapping'!U40&lt;=360), ('(橫掃)RX Mapping'!U40-241),IF(AND('(橫掃)RX Mapping'!U40&gt;=361,'(橫掃)RX Mapping'!U40&lt;=480), (-1)*('(橫掃)RX Mapping'!U40-480),IF(AND('(橫掃)RX Mapping'!U40&gt;=481,'(橫掃)RX Mapping'!U40&lt;=600), ('(橫掃)RX Mapping'!U40-361),IF(AND('(橫掃)RX Mapping'!U40&gt;=601,'(橫掃)RX Mapping'!U40&lt;=720), (-1)*('(橫掃)RX Mapping'!U40-720)+120,IF(AND('(橫掃)RX Mapping'!U40&gt;=721,'(橫掃)RX Mapping'!U40&lt;=840), ('(橫掃)RX Mapping'!U40-601),IF(AND('(橫掃)RX Mapping'!U40&gt;=841,'(橫掃)RX Mapping'!U40&lt;=960), (-1)*('(橫掃)RX Mapping'!U40-960)+120,9999))))))))</f>
        <v>9999</v>
      </c>
      <c r="V40">
        <f>IF(AND('(橫掃)RX Mapping'!V40&gt;=1,'(橫掃)RX Mapping'!V40&lt;=120), ('(橫掃)RX Mapping'!V40-1),IF(AND('(橫掃)RX Mapping'!V40&gt;=121,'(橫掃)RX Mapping'!V40&lt;=240), (-1)*('(橫掃)RX Mapping'!V40-240),IF(AND('(橫掃)RX Mapping'!V40&gt;=241,'(橫掃)RX Mapping'!V40&lt;=360), ('(橫掃)RX Mapping'!V40-241),IF(AND('(橫掃)RX Mapping'!V40&gt;=361,'(橫掃)RX Mapping'!V40&lt;=480), (-1)*('(橫掃)RX Mapping'!V40-480),IF(AND('(橫掃)RX Mapping'!V40&gt;=481,'(橫掃)RX Mapping'!V40&lt;=600), ('(橫掃)RX Mapping'!V40-361),IF(AND('(橫掃)RX Mapping'!V40&gt;=601,'(橫掃)RX Mapping'!V40&lt;=720), (-1)*('(橫掃)RX Mapping'!V40-720)+120,IF(AND('(橫掃)RX Mapping'!V40&gt;=721,'(橫掃)RX Mapping'!V40&lt;=840), ('(橫掃)RX Mapping'!V40-601),IF(AND('(橫掃)RX Mapping'!V40&gt;=841,'(橫掃)RX Mapping'!V40&lt;=960), (-1)*('(橫掃)RX Mapping'!V40-960)+120,9999))))))))</f>
        <v>9999</v>
      </c>
      <c r="W40">
        <f>IF(AND('(橫掃)RX Mapping'!W40&gt;=1,'(橫掃)RX Mapping'!W40&lt;=120), ('(橫掃)RX Mapping'!W40-1),IF(AND('(橫掃)RX Mapping'!W40&gt;=121,'(橫掃)RX Mapping'!W40&lt;=240), (-1)*('(橫掃)RX Mapping'!W40-240),IF(AND('(橫掃)RX Mapping'!W40&gt;=241,'(橫掃)RX Mapping'!W40&lt;=360), ('(橫掃)RX Mapping'!W40-241),IF(AND('(橫掃)RX Mapping'!W40&gt;=361,'(橫掃)RX Mapping'!W40&lt;=480), (-1)*('(橫掃)RX Mapping'!W40-480),IF(AND('(橫掃)RX Mapping'!W40&gt;=481,'(橫掃)RX Mapping'!W40&lt;=600), ('(橫掃)RX Mapping'!W40-361),IF(AND('(橫掃)RX Mapping'!W40&gt;=601,'(橫掃)RX Mapping'!W40&lt;=720), (-1)*('(橫掃)RX Mapping'!W40-720)+120,IF(AND('(橫掃)RX Mapping'!W40&gt;=721,'(橫掃)RX Mapping'!W40&lt;=840), ('(橫掃)RX Mapping'!W40-601),IF(AND('(橫掃)RX Mapping'!W40&gt;=841,'(橫掃)RX Mapping'!W40&lt;=960), (-1)*('(橫掃)RX Mapping'!W40-960)+120,9999))))))))</f>
        <v>9999</v>
      </c>
      <c r="X40">
        <f>IF(AND('(橫掃)RX Mapping'!X40&gt;=1,'(橫掃)RX Mapping'!X40&lt;=120), ('(橫掃)RX Mapping'!X40-1),IF(AND('(橫掃)RX Mapping'!X40&gt;=121,'(橫掃)RX Mapping'!X40&lt;=240), (-1)*('(橫掃)RX Mapping'!X40-240),IF(AND('(橫掃)RX Mapping'!X40&gt;=241,'(橫掃)RX Mapping'!X40&lt;=360), ('(橫掃)RX Mapping'!X40-241),IF(AND('(橫掃)RX Mapping'!X40&gt;=361,'(橫掃)RX Mapping'!X40&lt;=480), (-1)*('(橫掃)RX Mapping'!X40-480),IF(AND('(橫掃)RX Mapping'!X40&gt;=481,'(橫掃)RX Mapping'!X40&lt;=600), ('(橫掃)RX Mapping'!X40-361),IF(AND('(橫掃)RX Mapping'!X40&gt;=601,'(橫掃)RX Mapping'!X40&lt;=720), (-1)*('(橫掃)RX Mapping'!X40-720)+120,IF(AND('(橫掃)RX Mapping'!X40&gt;=721,'(橫掃)RX Mapping'!X40&lt;=840), ('(橫掃)RX Mapping'!X40-601),IF(AND('(橫掃)RX Mapping'!X40&gt;=841,'(橫掃)RX Mapping'!X40&lt;=960), (-1)*('(橫掃)RX Mapping'!X40-960)+120,9999))))))))</f>
        <v>9999</v>
      </c>
      <c r="Y40">
        <f>IF(AND('(橫掃)RX Mapping'!Y40&gt;=1,'(橫掃)RX Mapping'!Y40&lt;=120), ('(橫掃)RX Mapping'!Y40-1),IF(AND('(橫掃)RX Mapping'!Y40&gt;=121,'(橫掃)RX Mapping'!Y40&lt;=240), (-1)*('(橫掃)RX Mapping'!Y40-240),IF(AND('(橫掃)RX Mapping'!Y40&gt;=241,'(橫掃)RX Mapping'!Y40&lt;=360), ('(橫掃)RX Mapping'!Y40-241),IF(AND('(橫掃)RX Mapping'!Y40&gt;=361,'(橫掃)RX Mapping'!Y40&lt;=480), (-1)*('(橫掃)RX Mapping'!Y40-480),IF(AND('(橫掃)RX Mapping'!Y40&gt;=481,'(橫掃)RX Mapping'!Y40&lt;=600), ('(橫掃)RX Mapping'!Y40-361),IF(AND('(橫掃)RX Mapping'!Y40&gt;=601,'(橫掃)RX Mapping'!Y40&lt;=720), (-1)*('(橫掃)RX Mapping'!Y40-720)+120,IF(AND('(橫掃)RX Mapping'!Y40&gt;=721,'(橫掃)RX Mapping'!Y40&lt;=840), ('(橫掃)RX Mapping'!Y40-601),IF(AND('(橫掃)RX Mapping'!Y40&gt;=841,'(橫掃)RX Mapping'!Y40&lt;=960), (-1)*('(橫掃)RX Mapping'!Y40-960)+120,9999))))))))</f>
        <v>9999</v>
      </c>
      <c r="Z40">
        <f>IF(AND('(橫掃)RX Mapping'!Z40&gt;=1,'(橫掃)RX Mapping'!Z40&lt;=120), ('(橫掃)RX Mapping'!Z40-1),IF(AND('(橫掃)RX Mapping'!Z40&gt;=121,'(橫掃)RX Mapping'!Z40&lt;=240), (-1)*('(橫掃)RX Mapping'!Z40-240),IF(AND('(橫掃)RX Mapping'!Z40&gt;=241,'(橫掃)RX Mapping'!Z40&lt;=360), ('(橫掃)RX Mapping'!Z40-241),IF(AND('(橫掃)RX Mapping'!Z40&gt;=361,'(橫掃)RX Mapping'!Z40&lt;=480), (-1)*('(橫掃)RX Mapping'!Z40-480),IF(AND('(橫掃)RX Mapping'!Z40&gt;=481,'(橫掃)RX Mapping'!Z40&lt;=600), ('(橫掃)RX Mapping'!Z40-361),IF(AND('(橫掃)RX Mapping'!Z40&gt;=601,'(橫掃)RX Mapping'!Z40&lt;=720), (-1)*('(橫掃)RX Mapping'!Z40-720)+120,IF(AND('(橫掃)RX Mapping'!Z40&gt;=721,'(橫掃)RX Mapping'!Z40&lt;=840), ('(橫掃)RX Mapping'!Z40-601),IF(AND('(橫掃)RX Mapping'!Z40&gt;=841,'(橫掃)RX Mapping'!Z40&lt;=960), (-1)*('(橫掃)RX Mapping'!Z40-960)+120,9999))))))))</f>
        <v>9999</v>
      </c>
      <c r="AA40">
        <f>IF(AND('(橫掃)RX Mapping'!AA40&gt;=1,'(橫掃)RX Mapping'!AA40&lt;=120), ('(橫掃)RX Mapping'!AA40-1),IF(AND('(橫掃)RX Mapping'!AA40&gt;=121,'(橫掃)RX Mapping'!AA40&lt;=240), (-1)*('(橫掃)RX Mapping'!AA40-240),IF(AND('(橫掃)RX Mapping'!AA40&gt;=241,'(橫掃)RX Mapping'!AA40&lt;=360), ('(橫掃)RX Mapping'!AA40-241),IF(AND('(橫掃)RX Mapping'!AA40&gt;=361,'(橫掃)RX Mapping'!AA40&lt;=480), (-1)*('(橫掃)RX Mapping'!AA40-480),IF(AND('(橫掃)RX Mapping'!AA40&gt;=481,'(橫掃)RX Mapping'!AA40&lt;=600), ('(橫掃)RX Mapping'!AA40-361),IF(AND('(橫掃)RX Mapping'!AA40&gt;=601,'(橫掃)RX Mapping'!AA40&lt;=720), (-1)*('(橫掃)RX Mapping'!AA40-720)+120,IF(AND('(橫掃)RX Mapping'!AA40&gt;=721,'(橫掃)RX Mapping'!AA40&lt;=840), ('(橫掃)RX Mapping'!AA40-601),IF(AND('(橫掃)RX Mapping'!AA40&gt;=841,'(橫掃)RX Mapping'!AA40&lt;=960), (-1)*('(橫掃)RX Mapping'!AA40-960)+120,9999))))))))</f>
        <v>9999</v>
      </c>
      <c r="AB40">
        <f>IF(AND('(橫掃)RX Mapping'!AB40&gt;=1,'(橫掃)RX Mapping'!AB40&lt;=120), ('(橫掃)RX Mapping'!AB40-1),IF(AND('(橫掃)RX Mapping'!AB40&gt;=121,'(橫掃)RX Mapping'!AB40&lt;=240), (-1)*('(橫掃)RX Mapping'!AB40-240),IF(AND('(橫掃)RX Mapping'!AB40&gt;=241,'(橫掃)RX Mapping'!AB40&lt;=360), ('(橫掃)RX Mapping'!AB40-241),IF(AND('(橫掃)RX Mapping'!AB40&gt;=361,'(橫掃)RX Mapping'!AB40&lt;=480), (-1)*('(橫掃)RX Mapping'!AB40-480),IF(AND('(橫掃)RX Mapping'!AB40&gt;=481,'(橫掃)RX Mapping'!AB40&lt;=600), ('(橫掃)RX Mapping'!AB40-361),IF(AND('(橫掃)RX Mapping'!AB40&gt;=601,'(橫掃)RX Mapping'!AB40&lt;=720), (-1)*('(橫掃)RX Mapping'!AB40-720)+120,IF(AND('(橫掃)RX Mapping'!AB40&gt;=721,'(橫掃)RX Mapping'!AB40&lt;=840), ('(橫掃)RX Mapping'!AB40-601),IF(AND('(橫掃)RX Mapping'!AB40&gt;=841,'(橫掃)RX Mapping'!AB40&lt;=960), (-1)*('(橫掃)RX Mapping'!AB40-960)+120,9999))))))))</f>
        <v>9999</v>
      </c>
      <c r="AC40">
        <f>IF(AND('(橫掃)RX Mapping'!AC40&gt;=1,'(橫掃)RX Mapping'!AC40&lt;=120), ('(橫掃)RX Mapping'!AC40-1),IF(AND('(橫掃)RX Mapping'!AC40&gt;=121,'(橫掃)RX Mapping'!AC40&lt;=240), (-1)*('(橫掃)RX Mapping'!AC40-240),IF(AND('(橫掃)RX Mapping'!AC40&gt;=241,'(橫掃)RX Mapping'!AC40&lt;=360), ('(橫掃)RX Mapping'!AC40-241),IF(AND('(橫掃)RX Mapping'!AC40&gt;=361,'(橫掃)RX Mapping'!AC40&lt;=480), (-1)*('(橫掃)RX Mapping'!AC40-480),IF(AND('(橫掃)RX Mapping'!AC40&gt;=481,'(橫掃)RX Mapping'!AC40&lt;=600), ('(橫掃)RX Mapping'!AC40-361),IF(AND('(橫掃)RX Mapping'!AC40&gt;=601,'(橫掃)RX Mapping'!AC40&lt;=720), (-1)*('(橫掃)RX Mapping'!AC40-720)+120,IF(AND('(橫掃)RX Mapping'!AC40&gt;=721,'(橫掃)RX Mapping'!AC40&lt;=840), ('(橫掃)RX Mapping'!AC40-601),IF(AND('(橫掃)RX Mapping'!AC40&gt;=841,'(橫掃)RX Mapping'!AC40&lt;=960), (-1)*('(橫掃)RX Mapping'!AC40-960)+120,9999))))))))</f>
        <v>9999</v>
      </c>
      <c r="AD40">
        <f>IF(AND('(橫掃)RX Mapping'!AD40&gt;=1,'(橫掃)RX Mapping'!AD40&lt;=120), ('(橫掃)RX Mapping'!AD40-1),IF(AND('(橫掃)RX Mapping'!AD40&gt;=121,'(橫掃)RX Mapping'!AD40&lt;=240), (-1)*('(橫掃)RX Mapping'!AD40-240),IF(AND('(橫掃)RX Mapping'!AD40&gt;=241,'(橫掃)RX Mapping'!AD40&lt;=360), ('(橫掃)RX Mapping'!AD40-241),IF(AND('(橫掃)RX Mapping'!AD40&gt;=361,'(橫掃)RX Mapping'!AD40&lt;=480), (-1)*('(橫掃)RX Mapping'!AD40-480),IF(AND('(橫掃)RX Mapping'!AD40&gt;=481,'(橫掃)RX Mapping'!AD40&lt;=600), ('(橫掃)RX Mapping'!AD40-361),IF(AND('(橫掃)RX Mapping'!AD40&gt;=601,'(橫掃)RX Mapping'!AD40&lt;=720), (-1)*('(橫掃)RX Mapping'!AD40-720)+120,IF(AND('(橫掃)RX Mapping'!AD40&gt;=721,'(橫掃)RX Mapping'!AD40&lt;=840), ('(橫掃)RX Mapping'!AD40-601),IF(AND('(橫掃)RX Mapping'!AD40&gt;=841,'(橫掃)RX Mapping'!AD40&lt;=960), (-1)*('(橫掃)RX Mapping'!AD40-960)+120,9999))))))))</f>
        <v>9999</v>
      </c>
      <c r="AE40">
        <f>IF(AND('(橫掃)RX Mapping'!AE40&gt;=1,'(橫掃)RX Mapping'!AE40&lt;=120), ('(橫掃)RX Mapping'!AE40-1),IF(AND('(橫掃)RX Mapping'!AE40&gt;=121,'(橫掃)RX Mapping'!AE40&lt;=240), (-1)*('(橫掃)RX Mapping'!AE40-240),IF(AND('(橫掃)RX Mapping'!AE40&gt;=241,'(橫掃)RX Mapping'!AE40&lt;=360), ('(橫掃)RX Mapping'!AE40-241),IF(AND('(橫掃)RX Mapping'!AE40&gt;=361,'(橫掃)RX Mapping'!AE40&lt;=480), (-1)*('(橫掃)RX Mapping'!AE40-480),IF(AND('(橫掃)RX Mapping'!AE40&gt;=481,'(橫掃)RX Mapping'!AE40&lt;=600), ('(橫掃)RX Mapping'!AE40-361),IF(AND('(橫掃)RX Mapping'!AE40&gt;=601,'(橫掃)RX Mapping'!AE40&lt;=720), (-1)*('(橫掃)RX Mapping'!AE40-720)+120,IF(AND('(橫掃)RX Mapping'!AE40&gt;=721,'(橫掃)RX Mapping'!AE40&lt;=840), ('(橫掃)RX Mapping'!AE40-601),IF(AND('(橫掃)RX Mapping'!AE40&gt;=841,'(橫掃)RX Mapping'!AE40&lt;=960), (-1)*('(橫掃)RX Mapping'!AE40-960)+120,9999))))))))</f>
        <v>9999</v>
      </c>
      <c r="AF40">
        <f>IF(AND('(橫掃)RX Mapping'!AF40&gt;=1,'(橫掃)RX Mapping'!AF40&lt;=120), ('(橫掃)RX Mapping'!AF40-1),IF(AND('(橫掃)RX Mapping'!AF40&gt;=121,'(橫掃)RX Mapping'!AF40&lt;=240), (-1)*('(橫掃)RX Mapping'!AF40-240),IF(AND('(橫掃)RX Mapping'!AF40&gt;=241,'(橫掃)RX Mapping'!AF40&lt;=360), ('(橫掃)RX Mapping'!AF40-241),IF(AND('(橫掃)RX Mapping'!AF40&gt;=361,'(橫掃)RX Mapping'!AF40&lt;=480), (-1)*('(橫掃)RX Mapping'!AF40-480),IF(AND('(橫掃)RX Mapping'!AF40&gt;=481,'(橫掃)RX Mapping'!AF40&lt;=600), ('(橫掃)RX Mapping'!AF40-361),IF(AND('(橫掃)RX Mapping'!AF40&gt;=601,'(橫掃)RX Mapping'!AF40&lt;=720), (-1)*('(橫掃)RX Mapping'!AF40-720)+120,IF(AND('(橫掃)RX Mapping'!AF40&gt;=721,'(橫掃)RX Mapping'!AF40&lt;=840), ('(橫掃)RX Mapping'!AF40-601),IF(AND('(橫掃)RX Mapping'!AF40&gt;=841,'(橫掃)RX Mapping'!AF40&lt;=960), (-1)*('(橫掃)RX Mapping'!AF40-960)+120,9999))))))))</f>
        <v>9999</v>
      </c>
      <c r="AG40">
        <f>IF(AND('(橫掃)RX Mapping'!AG40&gt;=1,'(橫掃)RX Mapping'!AG40&lt;=120), ('(橫掃)RX Mapping'!AG40-1),IF(AND('(橫掃)RX Mapping'!AG40&gt;=121,'(橫掃)RX Mapping'!AG40&lt;=240), (-1)*('(橫掃)RX Mapping'!AG40-240),IF(AND('(橫掃)RX Mapping'!AG40&gt;=241,'(橫掃)RX Mapping'!AG40&lt;=360), ('(橫掃)RX Mapping'!AG40-241),IF(AND('(橫掃)RX Mapping'!AG40&gt;=361,'(橫掃)RX Mapping'!AG40&lt;=480), (-1)*('(橫掃)RX Mapping'!AG40-480),IF(AND('(橫掃)RX Mapping'!AG40&gt;=481,'(橫掃)RX Mapping'!AG40&lt;=600), ('(橫掃)RX Mapping'!AG40-361),IF(AND('(橫掃)RX Mapping'!AG40&gt;=601,'(橫掃)RX Mapping'!AG40&lt;=720), (-1)*('(橫掃)RX Mapping'!AG40-720)+120,IF(AND('(橫掃)RX Mapping'!AG40&gt;=721,'(橫掃)RX Mapping'!AG40&lt;=840), ('(橫掃)RX Mapping'!AG40-601),IF(AND('(橫掃)RX Mapping'!AG40&gt;=841,'(橫掃)RX Mapping'!AG40&lt;=960), (-1)*('(橫掃)RX Mapping'!AG40-960)+120,9999))))))))</f>
        <v>9999</v>
      </c>
      <c r="AH40">
        <f>IF(AND('(橫掃)RX Mapping'!AH40&gt;=1,'(橫掃)RX Mapping'!AH40&lt;=120), ('(橫掃)RX Mapping'!AH40-1),IF(AND('(橫掃)RX Mapping'!AH40&gt;=121,'(橫掃)RX Mapping'!AH40&lt;=240), (-1)*('(橫掃)RX Mapping'!AH40-240),IF(AND('(橫掃)RX Mapping'!AH40&gt;=241,'(橫掃)RX Mapping'!AH40&lt;=360), ('(橫掃)RX Mapping'!AH40-241),IF(AND('(橫掃)RX Mapping'!AH40&gt;=361,'(橫掃)RX Mapping'!AH40&lt;=480), (-1)*('(橫掃)RX Mapping'!AH40-480),IF(AND('(橫掃)RX Mapping'!AH40&gt;=481,'(橫掃)RX Mapping'!AH40&lt;=600), ('(橫掃)RX Mapping'!AH40-361),IF(AND('(橫掃)RX Mapping'!AH40&gt;=601,'(橫掃)RX Mapping'!AH40&lt;=720), (-1)*('(橫掃)RX Mapping'!AH40-720)+120,IF(AND('(橫掃)RX Mapping'!AH40&gt;=721,'(橫掃)RX Mapping'!AH40&lt;=840), ('(橫掃)RX Mapping'!AH40-601),IF(AND('(橫掃)RX Mapping'!AH40&gt;=841,'(橫掃)RX Mapping'!AH40&lt;=960), (-1)*('(橫掃)RX Mapping'!AH40-960)+120,9999))))))))</f>
        <v>9999</v>
      </c>
      <c r="AI40">
        <f>IF(AND('(橫掃)RX Mapping'!AI40&gt;=1,'(橫掃)RX Mapping'!AI40&lt;=120), ('(橫掃)RX Mapping'!AI40-1),IF(AND('(橫掃)RX Mapping'!AI40&gt;=121,'(橫掃)RX Mapping'!AI40&lt;=240), (-1)*('(橫掃)RX Mapping'!AI40-240),IF(AND('(橫掃)RX Mapping'!AI40&gt;=241,'(橫掃)RX Mapping'!AI40&lt;=360), ('(橫掃)RX Mapping'!AI40-241),IF(AND('(橫掃)RX Mapping'!AI40&gt;=361,'(橫掃)RX Mapping'!AI40&lt;=480), (-1)*('(橫掃)RX Mapping'!AI40-480),IF(AND('(橫掃)RX Mapping'!AI40&gt;=481,'(橫掃)RX Mapping'!AI40&lt;=600), ('(橫掃)RX Mapping'!AI40-361),IF(AND('(橫掃)RX Mapping'!AI40&gt;=601,'(橫掃)RX Mapping'!AI40&lt;=720), (-1)*('(橫掃)RX Mapping'!AI40-720)+120,IF(AND('(橫掃)RX Mapping'!AI40&gt;=721,'(橫掃)RX Mapping'!AI40&lt;=840), ('(橫掃)RX Mapping'!AI40-601),IF(AND('(橫掃)RX Mapping'!AI40&gt;=841,'(橫掃)RX Mapping'!AI40&lt;=960), (-1)*('(橫掃)RX Mapping'!AI40-960)+120,9999))))))))</f>
        <v>9999</v>
      </c>
      <c r="AJ40">
        <f>IF(AND('(橫掃)RX Mapping'!AJ40&gt;=1,'(橫掃)RX Mapping'!AJ40&lt;=120), ('(橫掃)RX Mapping'!AJ40-1),IF(AND('(橫掃)RX Mapping'!AJ40&gt;=121,'(橫掃)RX Mapping'!AJ40&lt;=240), (-1)*('(橫掃)RX Mapping'!AJ40-240),IF(AND('(橫掃)RX Mapping'!AJ40&gt;=241,'(橫掃)RX Mapping'!AJ40&lt;=360), ('(橫掃)RX Mapping'!AJ40-241),IF(AND('(橫掃)RX Mapping'!AJ40&gt;=361,'(橫掃)RX Mapping'!AJ40&lt;=480), (-1)*('(橫掃)RX Mapping'!AJ40-480),IF(AND('(橫掃)RX Mapping'!AJ40&gt;=481,'(橫掃)RX Mapping'!AJ40&lt;=600), ('(橫掃)RX Mapping'!AJ40-361),IF(AND('(橫掃)RX Mapping'!AJ40&gt;=601,'(橫掃)RX Mapping'!AJ40&lt;=720), (-1)*('(橫掃)RX Mapping'!AJ40-720)+120,IF(AND('(橫掃)RX Mapping'!AJ40&gt;=721,'(橫掃)RX Mapping'!AJ40&lt;=840), ('(橫掃)RX Mapping'!AJ40-601),IF(AND('(橫掃)RX Mapping'!AJ40&gt;=841,'(橫掃)RX Mapping'!AJ40&lt;=960), (-1)*('(橫掃)RX Mapping'!AJ40-960)+120,9999))))))))</f>
        <v>9999</v>
      </c>
      <c r="AK40">
        <f>IF(AND('(橫掃)RX Mapping'!AK40&gt;=1,'(橫掃)RX Mapping'!AK40&lt;=120), ('(橫掃)RX Mapping'!AK40-1),IF(AND('(橫掃)RX Mapping'!AK40&gt;=121,'(橫掃)RX Mapping'!AK40&lt;=240), (-1)*('(橫掃)RX Mapping'!AK40-240),IF(AND('(橫掃)RX Mapping'!AK40&gt;=241,'(橫掃)RX Mapping'!AK40&lt;=360), ('(橫掃)RX Mapping'!AK40-241),IF(AND('(橫掃)RX Mapping'!AK40&gt;=361,'(橫掃)RX Mapping'!AK40&lt;=480), (-1)*('(橫掃)RX Mapping'!AK40-480),IF(AND('(橫掃)RX Mapping'!AK40&gt;=481,'(橫掃)RX Mapping'!AK40&lt;=600), ('(橫掃)RX Mapping'!AK40-361),IF(AND('(橫掃)RX Mapping'!AK40&gt;=601,'(橫掃)RX Mapping'!AK40&lt;=720), (-1)*('(橫掃)RX Mapping'!AK40-720)+120,IF(AND('(橫掃)RX Mapping'!AK40&gt;=721,'(橫掃)RX Mapping'!AK40&lt;=840), ('(橫掃)RX Mapping'!AK40-601),IF(AND('(橫掃)RX Mapping'!AK40&gt;=841,'(橫掃)RX Mapping'!AK40&lt;=960), (-1)*('(橫掃)RX Mapping'!AK40-960)+120,9999))))))))</f>
        <v>9999</v>
      </c>
      <c r="AL40">
        <f>IF(AND('(橫掃)RX Mapping'!AL40&gt;=1,'(橫掃)RX Mapping'!AL40&lt;=120), ('(橫掃)RX Mapping'!AL40-1),IF(AND('(橫掃)RX Mapping'!AL40&gt;=121,'(橫掃)RX Mapping'!AL40&lt;=240), (-1)*('(橫掃)RX Mapping'!AL40-240),IF(AND('(橫掃)RX Mapping'!AL40&gt;=241,'(橫掃)RX Mapping'!AL40&lt;=360), ('(橫掃)RX Mapping'!AL40-241),IF(AND('(橫掃)RX Mapping'!AL40&gt;=361,'(橫掃)RX Mapping'!AL40&lt;=480), (-1)*('(橫掃)RX Mapping'!AL40-480),IF(AND('(橫掃)RX Mapping'!AL40&gt;=481,'(橫掃)RX Mapping'!AL40&lt;=600), ('(橫掃)RX Mapping'!AL40-361),IF(AND('(橫掃)RX Mapping'!AL40&gt;=601,'(橫掃)RX Mapping'!AL40&lt;=720), (-1)*('(橫掃)RX Mapping'!AL40-720)+120,IF(AND('(橫掃)RX Mapping'!AL40&gt;=721,'(橫掃)RX Mapping'!AL40&lt;=840), ('(橫掃)RX Mapping'!AL40-601),IF(AND('(橫掃)RX Mapping'!AL40&gt;=841,'(橫掃)RX Mapping'!AL40&lt;=960), (-1)*('(橫掃)RX Mapping'!AL40-960)+120,9999))))))))</f>
        <v>9999</v>
      </c>
      <c r="AM40">
        <f>IF(AND('(橫掃)RX Mapping'!AM40&gt;=1,'(橫掃)RX Mapping'!AM40&lt;=120), ('(橫掃)RX Mapping'!AM40-1),IF(AND('(橫掃)RX Mapping'!AM40&gt;=121,'(橫掃)RX Mapping'!AM40&lt;=240), (-1)*('(橫掃)RX Mapping'!AM40-240),IF(AND('(橫掃)RX Mapping'!AM40&gt;=241,'(橫掃)RX Mapping'!AM40&lt;=360), ('(橫掃)RX Mapping'!AM40-241),IF(AND('(橫掃)RX Mapping'!AM40&gt;=361,'(橫掃)RX Mapping'!AM40&lt;=480), (-1)*('(橫掃)RX Mapping'!AM40-480),IF(AND('(橫掃)RX Mapping'!AM40&gt;=481,'(橫掃)RX Mapping'!AM40&lt;=600), ('(橫掃)RX Mapping'!AM40-361),IF(AND('(橫掃)RX Mapping'!AM40&gt;=601,'(橫掃)RX Mapping'!AM40&lt;=720), (-1)*('(橫掃)RX Mapping'!AM40-720)+120,IF(AND('(橫掃)RX Mapping'!AM40&gt;=721,'(橫掃)RX Mapping'!AM40&lt;=840), ('(橫掃)RX Mapping'!AM40-601),IF(AND('(橫掃)RX Mapping'!AM40&gt;=841,'(橫掃)RX Mapping'!AM40&lt;=960), (-1)*('(橫掃)RX Mapping'!AM40-960)+120,9999))))))))</f>
        <v>9999</v>
      </c>
      <c r="AN40">
        <f>IF(AND('(橫掃)RX Mapping'!AN40&gt;=1,'(橫掃)RX Mapping'!AN40&lt;=120), ('(橫掃)RX Mapping'!AN40-1),IF(AND('(橫掃)RX Mapping'!AN40&gt;=121,'(橫掃)RX Mapping'!AN40&lt;=240), (-1)*('(橫掃)RX Mapping'!AN40-240),IF(AND('(橫掃)RX Mapping'!AN40&gt;=241,'(橫掃)RX Mapping'!AN40&lt;=360), ('(橫掃)RX Mapping'!AN40-241),IF(AND('(橫掃)RX Mapping'!AN40&gt;=361,'(橫掃)RX Mapping'!AN40&lt;=480), (-1)*('(橫掃)RX Mapping'!AN40-480),IF(AND('(橫掃)RX Mapping'!AN40&gt;=481,'(橫掃)RX Mapping'!AN40&lt;=600), ('(橫掃)RX Mapping'!AN40-361),IF(AND('(橫掃)RX Mapping'!AN40&gt;=601,'(橫掃)RX Mapping'!AN40&lt;=720), (-1)*('(橫掃)RX Mapping'!AN40-720)+120,IF(AND('(橫掃)RX Mapping'!AN40&gt;=721,'(橫掃)RX Mapping'!AN40&lt;=840), ('(橫掃)RX Mapping'!AN40-601),IF(AND('(橫掃)RX Mapping'!AN40&gt;=841,'(橫掃)RX Mapping'!AN40&lt;=960), (-1)*('(橫掃)RX Mapping'!AN40-960)+120,9999))))))))</f>
        <v>9999</v>
      </c>
      <c r="AO40">
        <f>IF(AND('(橫掃)RX Mapping'!AO40&gt;=1,'(橫掃)RX Mapping'!AO40&lt;=120), ('(橫掃)RX Mapping'!AO40-1),IF(AND('(橫掃)RX Mapping'!AO40&gt;=121,'(橫掃)RX Mapping'!AO40&lt;=240), (-1)*('(橫掃)RX Mapping'!AO40-240),IF(AND('(橫掃)RX Mapping'!AO40&gt;=241,'(橫掃)RX Mapping'!AO40&lt;=360), ('(橫掃)RX Mapping'!AO40-241),IF(AND('(橫掃)RX Mapping'!AO40&gt;=361,'(橫掃)RX Mapping'!AO40&lt;=480), (-1)*('(橫掃)RX Mapping'!AO40-480),IF(AND('(橫掃)RX Mapping'!AO40&gt;=481,'(橫掃)RX Mapping'!AO40&lt;=600), ('(橫掃)RX Mapping'!AO40-361),IF(AND('(橫掃)RX Mapping'!AO40&gt;=601,'(橫掃)RX Mapping'!AO40&lt;=720), (-1)*('(橫掃)RX Mapping'!AO40-720)+120,IF(AND('(橫掃)RX Mapping'!AO40&gt;=721,'(橫掃)RX Mapping'!AO40&lt;=840), ('(橫掃)RX Mapping'!AO40-601),IF(AND('(橫掃)RX Mapping'!AO40&gt;=841,'(橫掃)RX Mapping'!AO40&lt;=960), (-1)*('(橫掃)RX Mapping'!AO40-960)+120,9999))))))))</f>
        <v>9999</v>
      </c>
      <c r="AP40">
        <f>IF(AND('(橫掃)RX Mapping'!AP40&gt;=1,'(橫掃)RX Mapping'!AP40&lt;=120), ('(橫掃)RX Mapping'!AP40-1),IF(AND('(橫掃)RX Mapping'!AP40&gt;=121,'(橫掃)RX Mapping'!AP40&lt;=240), (-1)*('(橫掃)RX Mapping'!AP40-240),IF(AND('(橫掃)RX Mapping'!AP40&gt;=241,'(橫掃)RX Mapping'!AP40&lt;=360), ('(橫掃)RX Mapping'!AP40-241),IF(AND('(橫掃)RX Mapping'!AP40&gt;=361,'(橫掃)RX Mapping'!AP40&lt;=480), (-1)*('(橫掃)RX Mapping'!AP40-480),IF(AND('(橫掃)RX Mapping'!AP40&gt;=481,'(橫掃)RX Mapping'!AP40&lt;=600), ('(橫掃)RX Mapping'!AP40-361),IF(AND('(橫掃)RX Mapping'!AP40&gt;=601,'(橫掃)RX Mapping'!AP40&lt;=720), (-1)*('(橫掃)RX Mapping'!AP40-720)+120,IF(AND('(橫掃)RX Mapping'!AP40&gt;=721,'(橫掃)RX Mapping'!AP40&lt;=840), ('(橫掃)RX Mapping'!AP40-601),IF(AND('(橫掃)RX Mapping'!AP40&gt;=841,'(橫掃)RX Mapping'!AP40&lt;=960), (-1)*('(橫掃)RX Mapping'!AP40-960)+120,9999))))))))</f>
        <v>9999</v>
      </c>
      <c r="AQ40">
        <f>IF(AND('(橫掃)RX Mapping'!AQ40&gt;=1,'(橫掃)RX Mapping'!AQ40&lt;=120), ('(橫掃)RX Mapping'!AQ40-1),IF(AND('(橫掃)RX Mapping'!AQ40&gt;=121,'(橫掃)RX Mapping'!AQ40&lt;=240), (-1)*('(橫掃)RX Mapping'!AQ40-240),IF(AND('(橫掃)RX Mapping'!AQ40&gt;=241,'(橫掃)RX Mapping'!AQ40&lt;=360), ('(橫掃)RX Mapping'!AQ40-241),IF(AND('(橫掃)RX Mapping'!AQ40&gt;=361,'(橫掃)RX Mapping'!AQ40&lt;=480), (-1)*('(橫掃)RX Mapping'!AQ40-480),IF(AND('(橫掃)RX Mapping'!AQ40&gt;=481,'(橫掃)RX Mapping'!AQ40&lt;=600), ('(橫掃)RX Mapping'!AQ40-361),IF(AND('(橫掃)RX Mapping'!AQ40&gt;=601,'(橫掃)RX Mapping'!AQ40&lt;=720), (-1)*('(橫掃)RX Mapping'!AQ40-720)+120,IF(AND('(橫掃)RX Mapping'!AQ40&gt;=721,'(橫掃)RX Mapping'!AQ40&lt;=840), ('(橫掃)RX Mapping'!AQ40-601),IF(AND('(橫掃)RX Mapping'!AQ40&gt;=841,'(橫掃)RX Mapping'!AQ40&lt;=960), (-1)*('(橫掃)RX Mapping'!AQ40-960)+120,9999))))))))</f>
        <v>9999</v>
      </c>
      <c r="AR40">
        <f>IF(AND('(橫掃)RX Mapping'!AR40&gt;=1,'(橫掃)RX Mapping'!AR40&lt;=120), ('(橫掃)RX Mapping'!AR40-1),IF(AND('(橫掃)RX Mapping'!AR40&gt;=121,'(橫掃)RX Mapping'!AR40&lt;=240), (-1)*('(橫掃)RX Mapping'!AR40-240),IF(AND('(橫掃)RX Mapping'!AR40&gt;=241,'(橫掃)RX Mapping'!AR40&lt;=360), ('(橫掃)RX Mapping'!AR40-241),IF(AND('(橫掃)RX Mapping'!AR40&gt;=361,'(橫掃)RX Mapping'!AR40&lt;=480), (-1)*('(橫掃)RX Mapping'!AR40-480),IF(AND('(橫掃)RX Mapping'!AR40&gt;=481,'(橫掃)RX Mapping'!AR40&lt;=600), ('(橫掃)RX Mapping'!AR40-361),IF(AND('(橫掃)RX Mapping'!AR40&gt;=601,'(橫掃)RX Mapping'!AR40&lt;=720), (-1)*('(橫掃)RX Mapping'!AR40-720)+120,IF(AND('(橫掃)RX Mapping'!AR40&gt;=721,'(橫掃)RX Mapping'!AR40&lt;=840), ('(橫掃)RX Mapping'!AR40-601),IF(AND('(橫掃)RX Mapping'!AR40&gt;=841,'(橫掃)RX Mapping'!AR40&lt;=960), (-1)*('(橫掃)RX Mapping'!AR40-960)+120,9999))))))))</f>
        <v>9999</v>
      </c>
      <c r="AS40">
        <f>IF(AND('(橫掃)RX Mapping'!AS40&gt;=1,'(橫掃)RX Mapping'!AS40&lt;=120), ('(橫掃)RX Mapping'!AS40-1),IF(AND('(橫掃)RX Mapping'!AS40&gt;=121,'(橫掃)RX Mapping'!AS40&lt;=240), (-1)*('(橫掃)RX Mapping'!AS40-240),IF(AND('(橫掃)RX Mapping'!AS40&gt;=241,'(橫掃)RX Mapping'!AS40&lt;=360), ('(橫掃)RX Mapping'!AS40-241),IF(AND('(橫掃)RX Mapping'!AS40&gt;=361,'(橫掃)RX Mapping'!AS40&lt;=480), (-1)*('(橫掃)RX Mapping'!AS40-480),IF(AND('(橫掃)RX Mapping'!AS40&gt;=481,'(橫掃)RX Mapping'!AS40&lt;=600), ('(橫掃)RX Mapping'!AS40-361),IF(AND('(橫掃)RX Mapping'!AS40&gt;=601,'(橫掃)RX Mapping'!AS40&lt;=720), (-1)*('(橫掃)RX Mapping'!AS40-720)+120,IF(AND('(橫掃)RX Mapping'!AS40&gt;=721,'(橫掃)RX Mapping'!AS40&lt;=840), ('(橫掃)RX Mapping'!AS40-601),IF(AND('(橫掃)RX Mapping'!AS40&gt;=841,'(橫掃)RX Mapping'!AS40&lt;=960), (-1)*('(橫掃)RX Mapping'!AS40-960)+120,9999))))))))</f>
        <v>9999</v>
      </c>
      <c r="AT40">
        <f>IF(AND('(橫掃)RX Mapping'!AT40&gt;=1,'(橫掃)RX Mapping'!AT40&lt;=120), ('(橫掃)RX Mapping'!AT40-1),IF(AND('(橫掃)RX Mapping'!AT40&gt;=121,'(橫掃)RX Mapping'!AT40&lt;=240), (-1)*('(橫掃)RX Mapping'!AT40-240),IF(AND('(橫掃)RX Mapping'!AT40&gt;=241,'(橫掃)RX Mapping'!AT40&lt;=360), ('(橫掃)RX Mapping'!AT40-241),IF(AND('(橫掃)RX Mapping'!AT40&gt;=361,'(橫掃)RX Mapping'!AT40&lt;=480), (-1)*('(橫掃)RX Mapping'!AT40-480),IF(AND('(橫掃)RX Mapping'!AT40&gt;=481,'(橫掃)RX Mapping'!AT40&lt;=600), ('(橫掃)RX Mapping'!AT40-361),IF(AND('(橫掃)RX Mapping'!AT40&gt;=601,'(橫掃)RX Mapping'!AT40&lt;=720), (-1)*('(橫掃)RX Mapping'!AT40-720)+120,IF(AND('(橫掃)RX Mapping'!AT40&gt;=721,'(橫掃)RX Mapping'!AT40&lt;=840), ('(橫掃)RX Mapping'!AT40-601),IF(AND('(橫掃)RX Mapping'!AT40&gt;=841,'(橫掃)RX Mapping'!AT40&lt;=960), (-1)*('(橫掃)RX Mapping'!AT40-960)+120,9999))))))))</f>
        <v>9999</v>
      </c>
      <c r="AU40">
        <f>IF(AND('(橫掃)RX Mapping'!AU40&gt;=1,'(橫掃)RX Mapping'!AU40&lt;=120), ('(橫掃)RX Mapping'!AU40-1),IF(AND('(橫掃)RX Mapping'!AU40&gt;=121,'(橫掃)RX Mapping'!AU40&lt;=240), (-1)*('(橫掃)RX Mapping'!AU40-240),IF(AND('(橫掃)RX Mapping'!AU40&gt;=241,'(橫掃)RX Mapping'!AU40&lt;=360), ('(橫掃)RX Mapping'!AU40-241),IF(AND('(橫掃)RX Mapping'!AU40&gt;=361,'(橫掃)RX Mapping'!AU40&lt;=480), (-1)*('(橫掃)RX Mapping'!AU40-480),IF(AND('(橫掃)RX Mapping'!AU40&gt;=481,'(橫掃)RX Mapping'!AU40&lt;=600), ('(橫掃)RX Mapping'!AU40-361),IF(AND('(橫掃)RX Mapping'!AU40&gt;=601,'(橫掃)RX Mapping'!AU40&lt;=720), (-1)*('(橫掃)RX Mapping'!AU40-720)+120,IF(AND('(橫掃)RX Mapping'!AU40&gt;=721,'(橫掃)RX Mapping'!AU40&lt;=840), ('(橫掃)RX Mapping'!AU40-601),IF(AND('(橫掃)RX Mapping'!AU40&gt;=841,'(橫掃)RX Mapping'!AU40&lt;=960), (-1)*('(橫掃)RX Mapping'!AU40-960)+120,9999))))))))</f>
        <v>9999</v>
      </c>
      <c r="AV40">
        <f>IF(AND('(橫掃)RX Mapping'!AV40&gt;=1,'(橫掃)RX Mapping'!AV40&lt;=120), ('(橫掃)RX Mapping'!AV40-1),IF(AND('(橫掃)RX Mapping'!AV40&gt;=121,'(橫掃)RX Mapping'!AV40&lt;=240), (-1)*('(橫掃)RX Mapping'!AV40-240),IF(AND('(橫掃)RX Mapping'!AV40&gt;=241,'(橫掃)RX Mapping'!AV40&lt;=360), ('(橫掃)RX Mapping'!AV40-241),IF(AND('(橫掃)RX Mapping'!AV40&gt;=361,'(橫掃)RX Mapping'!AV40&lt;=480), (-1)*('(橫掃)RX Mapping'!AV40-480),IF(AND('(橫掃)RX Mapping'!AV40&gt;=481,'(橫掃)RX Mapping'!AV40&lt;=600), ('(橫掃)RX Mapping'!AV40-361),IF(AND('(橫掃)RX Mapping'!AV40&gt;=601,'(橫掃)RX Mapping'!AV40&lt;=720), (-1)*('(橫掃)RX Mapping'!AV40-720)+120,IF(AND('(橫掃)RX Mapping'!AV40&gt;=721,'(橫掃)RX Mapping'!AV40&lt;=840), ('(橫掃)RX Mapping'!AV40-601),IF(AND('(橫掃)RX Mapping'!AV40&gt;=841,'(橫掃)RX Mapping'!AV40&lt;=960), (-1)*('(橫掃)RX Mapping'!AV40-960)+120,9999))))))))</f>
        <v>9999</v>
      </c>
      <c r="AW40">
        <f>IF(AND('(橫掃)RX Mapping'!AW40&gt;=1,'(橫掃)RX Mapping'!AW40&lt;=120), ('(橫掃)RX Mapping'!AW40-1),IF(AND('(橫掃)RX Mapping'!AW40&gt;=121,'(橫掃)RX Mapping'!AW40&lt;=240), (-1)*('(橫掃)RX Mapping'!AW40-240),IF(AND('(橫掃)RX Mapping'!AW40&gt;=241,'(橫掃)RX Mapping'!AW40&lt;=360), ('(橫掃)RX Mapping'!AW40-241),IF(AND('(橫掃)RX Mapping'!AW40&gt;=361,'(橫掃)RX Mapping'!AW40&lt;=480), (-1)*('(橫掃)RX Mapping'!AW40-480),IF(AND('(橫掃)RX Mapping'!AW40&gt;=481,'(橫掃)RX Mapping'!AW40&lt;=600), ('(橫掃)RX Mapping'!AW40-361),IF(AND('(橫掃)RX Mapping'!AW40&gt;=601,'(橫掃)RX Mapping'!AW40&lt;=720), (-1)*('(橫掃)RX Mapping'!AW40-720)+120,IF(AND('(橫掃)RX Mapping'!AW40&gt;=721,'(橫掃)RX Mapping'!AW40&lt;=840), ('(橫掃)RX Mapping'!AW40-601),IF(AND('(橫掃)RX Mapping'!AW40&gt;=841,'(橫掃)RX Mapping'!AW40&lt;=960), (-1)*('(橫掃)RX Mapping'!AW40-960)+120,9999))))))))</f>
        <v>9999</v>
      </c>
      <c r="AX40">
        <f>IF(AND('(橫掃)RX Mapping'!AX40&gt;=1,'(橫掃)RX Mapping'!AX40&lt;=120), ('(橫掃)RX Mapping'!AX40-1),IF(AND('(橫掃)RX Mapping'!AX40&gt;=121,'(橫掃)RX Mapping'!AX40&lt;=240), (-1)*('(橫掃)RX Mapping'!AX40-240),IF(AND('(橫掃)RX Mapping'!AX40&gt;=241,'(橫掃)RX Mapping'!AX40&lt;=360), ('(橫掃)RX Mapping'!AX40-241),IF(AND('(橫掃)RX Mapping'!AX40&gt;=361,'(橫掃)RX Mapping'!AX40&lt;=480), (-1)*('(橫掃)RX Mapping'!AX40-480),IF(AND('(橫掃)RX Mapping'!AX40&gt;=481,'(橫掃)RX Mapping'!AX40&lt;=600), ('(橫掃)RX Mapping'!AX40-361),IF(AND('(橫掃)RX Mapping'!AX40&gt;=601,'(橫掃)RX Mapping'!AX40&lt;=720), (-1)*('(橫掃)RX Mapping'!AX40-720)+120,IF(AND('(橫掃)RX Mapping'!AX40&gt;=721,'(橫掃)RX Mapping'!AX40&lt;=840), ('(橫掃)RX Mapping'!AX40-601),IF(AND('(橫掃)RX Mapping'!AX40&gt;=841,'(橫掃)RX Mapping'!AX40&lt;=960), (-1)*('(橫掃)RX Mapping'!AX40-960)+120,9999))))))))</f>
        <v>9999</v>
      </c>
      <c r="AY40">
        <f>IF(AND('(橫掃)RX Mapping'!AY40&gt;=1,'(橫掃)RX Mapping'!AY40&lt;=120), ('(橫掃)RX Mapping'!AY40-1),IF(AND('(橫掃)RX Mapping'!AY40&gt;=121,'(橫掃)RX Mapping'!AY40&lt;=240), (-1)*('(橫掃)RX Mapping'!AY40-240),IF(AND('(橫掃)RX Mapping'!AY40&gt;=241,'(橫掃)RX Mapping'!AY40&lt;=360), ('(橫掃)RX Mapping'!AY40-241),IF(AND('(橫掃)RX Mapping'!AY40&gt;=361,'(橫掃)RX Mapping'!AY40&lt;=480), (-1)*('(橫掃)RX Mapping'!AY40-480),IF(AND('(橫掃)RX Mapping'!AY40&gt;=481,'(橫掃)RX Mapping'!AY40&lt;=600), ('(橫掃)RX Mapping'!AY40-361),IF(AND('(橫掃)RX Mapping'!AY40&gt;=601,'(橫掃)RX Mapping'!AY40&lt;=720), (-1)*('(橫掃)RX Mapping'!AY40-720)+120,IF(AND('(橫掃)RX Mapping'!AY40&gt;=721,'(橫掃)RX Mapping'!AY40&lt;=840), ('(橫掃)RX Mapping'!AY40-601),IF(AND('(橫掃)RX Mapping'!AY40&gt;=841,'(橫掃)RX Mapping'!AY40&lt;=960), (-1)*('(橫掃)RX Mapping'!AY40-960)+120,9999))))))))</f>
        <v>9999</v>
      </c>
      <c r="AZ40">
        <f>IF(AND('(橫掃)RX Mapping'!AZ40&gt;=1,'(橫掃)RX Mapping'!AZ40&lt;=120), ('(橫掃)RX Mapping'!AZ40-1),IF(AND('(橫掃)RX Mapping'!AZ40&gt;=121,'(橫掃)RX Mapping'!AZ40&lt;=240), (-1)*('(橫掃)RX Mapping'!AZ40-240),IF(AND('(橫掃)RX Mapping'!AZ40&gt;=241,'(橫掃)RX Mapping'!AZ40&lt;=360), ('(橫掃)RX Mapping'!AZ40-241),IF(AND('(橫掃)RX Mapping'!AZ40&gt;=361,'(橫掃)RX Mapping'!AZ40&lt;=480), (-1)*('(橫掃)RX Mapping'!AZ40-480),IF(AND('(橫掃)RX Mapping'!AZ40&gt;=481,'(橫掃)RX Mapping'!AZ40&lt;=600), ('(橫掃)RX Mapping'!AZ40-361),IF(AND('(橫掃)RX Mapping'!AZ40&gt;=601,'(橫掃)RX Mapping'!AZ40&lt;=720), (-1)*('(橫掃)RX Mapping'!AZ40-720)+120,IF(AND('(橫掃)RX Mapping'!AZ40&gt;=721,'(橫掃)RX Mapping'!AZ40&lt;=840), ('(橫掃)RX Mapping'!AZ40-601),IF(AND('(橫掃)RX Mapping'!AZ40&gt;=841,'(橫掃)RX Mapping'!AZ40&lt;=960), (-1)*('(橫掃)RX Mapping'!AZ40-960)+120,9999))))))))</f>
        <v>9999</v>
      </c>
      <c r="BA40">
        <f>IF(AND('(橫掃)RX Mapping'!BA40&gt;=1,'(橫掃)RX Mapping'!BA40&lt;=120), ('(橫掃)RX Mapping'!BA40-1),IF(AND('(橫掃)RX Mapping'!BA40&gt;=121,'(橫掃)RX Mapping'!BA40&lt;=240), (-1)*('(橫掃)RX Mapping'!BA40-240),IF(AND('(橫掃)RX Mapping'!BA40&gt;=241,'(橫掃)RX Mapping'!BA40&lt;=360), ('(橫掃)RX Mapping'!BA40-241),IF(AND('(橫掃)RX Mapping'!BA40&gt;=361,'(橫掃)RX Mapping'!BA40&lt;=480), (-1)*('(橫掃)RX Mapping'!BA40-480),IF(AND('(橫掃)RX Mapping'!BA40&gt;=481,'(橫掃)RX Mapping'!BA40&lt;=600), ('(橫掃)RX Mapping'!BA40-361),IF(AND('(橫掃)RX Mapping'!BA40&gt;=601,'(橫掃)RX Mapping'!BA40&lt;=720), (-1)*('(橫掃)RX Mapping'!BA40-720)+120,IF(AND('(橫掃)RX Mapping'!BA40&gt;=721,'(橫掃)RX Mapping'!BA40&lt;=840), ('(橫掃)RX Mapping'!BA40-601),IF(AND('(橫掃)RX Mapping'!BA40&gt;=841,'(橫掃)RX Mapping'!BA40&lt;=960), (-1)*('(橫掃)RX Mapping'!BA40-960)+120,9999))))))))</f>
        <v>9999</v>
      </c>
      <c r="BB40">
        <f>IF(AND('(橫掃)RX Mapping'!BB40&gt;=1,'(橫掃)RX Mapping'!BB40&lt;=120), ('(橫掃)RX Mapping'!BB40-1),IF(AND('(橫掃)RX Mapping'!BB40&gt;=121,'(橫掃)RX Mapping'!BB40&lt;=240), (-1)*('(橫掃)RX Mapping'!BB40-240),IF(AND('(橫掃)RX Mapping'!BB40&gt;=241,'(橫掃)RX Mapping'!BB40&lt;=360), ('(橫掃)RX Mapping'!BB40-241),IF(AND('(橫掃)RX Mapping'!BB40&gt;=361,'(橫掃)RX Mapping'!BB40&lt;=480), (-1)*('(橫掃)RX Mapping'!BB40-480),IF(AND('(橫掃)RX Mapping'!BB40&gt;=481,'(橫掃)RX Mapping'!BB40&lt;=600), ('(橫掃)RX Mapping'!BB40-361),IF(AND('(橫掃)RX Mapping'!BB40&gt;=601,'(橫掃)RX Mapping'!BB40&lt;=720), (-1)*('(橫掃)RX Mapping'!BB40-720)+120,IF(AND('(橫掃)RX Mapping'!BB40&gt;=721,'(橫掃)RX Mapping'!BB40&lt;=840), ('(橫掃)RX Mapping'!BB40-601),IF(AND('(橫掃)RX Mapping'!BB40&gt;=841,'(橫掃)RX Mapping'!BB40&lt;=960), (-1)*('(橫掃)RX Mapping'!BB40-960)+120,9999))))))))</f>
        <v>9999</v>
      </c>
      <c r="BC40">
        <f>IF(AND('(橫掃)RX Mapping'!BC40&gt;=1,'(橫掃)RX Mapping'!BC40&lt;=120), ('(橫掃)RX Mapping'!BC40-1),IF(AND('(橫掃)RX Mapping'!BC40&gt;=121,'(橫掃)RX Mapping'!BC40&lt;=240), (-1)*('(橫掃)RX Mapping'!BC40-240),IF(AND('(橫掃)RX Mapping'!BC40&gt;=241,'(橫掃)RX Mapping'!BC40&lt;=360), ('(橫掃)RX Mapping'!BC40-241),IF(AND('(橫掃)RX Mapping'!BC40&gt;=361,'(橫掃)RX Mapping'!BC40&lt;=480), (-1)*('(橫掃)RX Mapping'!BC40-480),IF(AND('(橫掃)RX Mapping'!BC40&gt;=481,'(橫掃)RX Mapping'!BC40&lt;=600), ('(橫掃)RX Mapping'!BC40-361),IF(AND('(橫掃)RX Mapping'!BC40&gt;=601,'(橫掃)RX Mapping'!BC40&lt;=720), (-1)*('(橫掃)RX Mapping'!BC40-720)+120,IF(AND('(橫掃)RX Mapping'!BC40&gt;=721,'(橫掃)RX Mapping'!BC40&lt;=840), ('(橫掃)RX Mapping'!BC40-601),IF(AND('(橫掃)RX Mapping'!BC40&gt;=841,'(橫掃)RX Mapping'!BC40&lt;=960), (-1)*('(橫掃)RX Mapping'!BC40-960)+120,9999))))))))</f>
        <v>9999</v>
      </c>
      <c r="BD40">
        <f>IF(AND('(橫掃)RX Mapping'!BD40&gt;=1,'(橫掃)RX Mapping'!BD40&lt;=120), ('(橫掃)RX Mapping'!BD40-1),IF(AND('(橫掃)RX Mapping'!BD40&gt;=121,'(橫掃)RX Mapping'!BD40&lt;=240), (-1)*('(橫掃)RX Mapping'!BD40-240),IF(AND('(橫掃)RX Mapping'!BD40&gt;=241,'(橫掃)RX Mapping'!BD40&lt;=360), ('(橫掃)RX Mapping'!BD40-241),IF(AND('(橫掃)RX Mapping'!BD40&gt;=361,'(橫掃)RX Mapping'!BD40&lt;=480), (-1)*('(橫掃)RX Mapping'!BD40-480),IF(AND('(橫掃)RX Mapping'!BD40&gt;=481,'(橫掃)RX Mapping'!BD40&lt;=600), ('(橫掃)RX Mapping'!BD40-361),IF(AND('(橫掃)RX Mapping'!BD40&gt;=601,'(橫掃)RX Mapping'!BD40&lt;=720), (-1)*('(橫掃)RX Mapping'!BD40-720)+120,IF(AND('(橫掃)RX Mapping'!BD40&gt;=721,'(橫掃)RX Mapping'!BD40&lt;=840), ('(橫掃)RX Mapping'!BD40-601),IF(AND('(橫掃)RX Mapping'!BD40&gt;=841,'(橫掃)RX Mapping'!BD40&lt;=960), (-1)*('(橫掃)RX Mapping'!BD40-960)+120,9999))))))))</f>
        <v>9999</v>
      </c>
      <c r="BE40">
        <f>IF(AND('(橫掃)RX Mapping'!BE40&gt;=1,'(橫掃)RX Mapping'!BE40&lt;=120), ('(橫掃)RX Mapping'!BE40-1),IF(AND('(橫掃)RX Mapping'!BE40&gt;=121,'(橫掃)RX Mapping'!BE40&lt;=240), (-1)*('(橫掃)RX Mapping'!BE40-240),IF(AND('(橫掃)RX Mapping'!BE40&gt;=241,'(橫掃)RX Mapping'!BE40&lt;=360), ('(橫掃)RX Mapping'!BE40-241),IF(AND('(橫掃)RX Mapping'!BE40&gt;=361,'(橫掃)RX Mapping'!BE40&lt;=480), (-1)*('(橫掃)RX Mapping'!BE40-480),IF(AND('(橫掃)RX Mapping'!BE40&gt;=481,'(橫掃)RX Mapping'!BE40&lt;=600), ('(橫掃)RX Mapping'!BE40-361),IF(AND('(橫掃)RX Mapping'!BE40&gt;=601,'(橫掃)RX Mapping'!BE40&lt;=720), (-1)*('(橫掃)RX Mapping'!BE40-720)+120,IF(AND('(橫掃)RX Mapping'!BE40&gt;=721,'(橫掃)RX Mapping'!BE40&lt;=840), ('(橫掃)RX Mapping'!BE40-601),IF(AND('(橫掃)RX Mapping'!BE40&gt;=841,'(橫掃)RX Mapping'!BE40&lt;=960), (-1)*('(橫掃)RX Mapping'!BE40-960)+120,9999))))))))</f>
        <v>9999</v>
      </c>
      <c r="BF40">
        <f>IF(AND('(橫掃)RX Mapping'!BF40&gt;=1,'(橫掃)RX Mapping'!BF40&lt;=120), ('(橫掃)RX Mapping'!BF40-1),IF(AND('(橫掃)RX Mapping'!BF40&gt;=121,'(橫掃)RX Mapping'!BF40&lt;=240), (-1)*('(橫掃)RX Mapping'!BF40-240),IF(AND('(橫掃)RX Mapping'!BF40&gt;=241,'(橫掃)RX Mapping'!BF40&lt;=360), ('(橫掃)RX Mapping'!BF40-241),IF(AND('(橫掃)RX Mapping'!BF40&gt;=361,'(橫掃)RX Mapping'!BF40&lt;=480), (-1)*('(橫掃)RX Mapping'!BF40-480),IF(AND('(橫掃)RX Mapping'!BF40&gt;=481,'(橫掃)RX Mapping'!BF40&lt;=600), ('(橫掃)RX Mapping'!BF40-361),IF(AND('(橫掃)RX Mapping'!BF40&gt;=601,'(橫掃)RX Mapping'!BF40&lt;=720), (-1)*('(橫掃)RX Mapping'!BF40-720)+120,IF(AND('(橫掃)RX Mapping'!BF40&gt;=721,'(橫掃)RX Mapping'!BF40&lt;=840), ('(橫掃)RX Mapping'!BF40-601),IF(AND('(橫掃)RX Mapping'!BF40&gt;=841,'(橫掃)RX Mapping'!BF40&lt;=960), (-1)*('(橫掃)RX Mapping'!BF40-960)+120,9999))))))))</f>
        <v>9999</v>
      </c>
      <c r="BG40">
        <f>IF(AND('(橫掃)RX Mapping'!BG40&gt;=1,'(橫掃)RX Mapping'!BG40&lt;=120), ('(橫掃)RX Mapping'!BG40-1),IF(AND('(橫掃)RX Mapping'!BG40&gt;=121,'(橫掃)RX Mapping'!BG40&lt;=240), (-1)*('(橫掃)RX Mapping'!BG40-240),IF(AND('(橫掃)RX Mapping'!BG40&gt;=241,'(橫掃)RX Mapping'!BG40&lt;=360), ('(橫掃)RX Mapping'!BG40-241),IF(AND('(橫掃)RX Mapping'!BG40&gt;=361,'(橫掃)RX Mapping'!BG40&lt;=480), (-1)*('(橫掃)RX Mapping'!BG40-480),IF(AND('(橫掃)RX Mapping'!BG40&gt;=481,'(橫掃)RX Mapping'!BG40&lt;=600), ('(橫掃)RX Mapping'!BG40-361),IF(AND('(橫掃)RX Mapping'!BG40&gt;=601,'(橫掃)RX Mapping'!BG40&lt;=720), (-1)*('(橫掃)RX Mapping'!BG40-720)+120,IF(AND('(橫掃)RX Mapping'!BG40&gt;=721,'(橫掃)RX Mapping'!BG40&lt;=840), ('(橫掃)RX Mapping'!BG40-601),IF(AND('(橫掃)RX Mapping'!BG40&gt;=841,'(橫掃)RX Mapping'!BG40&lt;=960), (-1)*('(橫掃)RX Mapping'!BG40-960)+120,9999))))))))</f>
        <v>9999</v>
      </c>
      <c r="BH40">
        <f>IF(AND('(橫掃)RX Mapping'!BH40&gt;=1,'(橫掃)RX Mapping'!BH40&lt;=120), ('(橫掃)RX Mapping'!BH40-1),IF(AND('(橫掃)RX Mapping'!BH40&gt;=121,'(橫掃)RX Mapping'!BH40&lt;=240), (-1)*('(橫掃)RX Mapping'!BH40-240),IF(AND('(橫掃)RX Mapping'!BH40&gt;=241,'(橫掃)RX Mapping'!BH40&lt;=360), ('(橫掃)RX Mapping'!BH40-241),IF(AND('(橫掃)RX Mapping'!BH40&gt;=361,'(橫掃)RX Mapping'!BH40&lt;=480), (-1)*('(橫掃)RX Mapping'!BH40-480),IF(AND('(橫掃)RX Mapping'!BH40&gt;=481,'(橫掃)RX Mapping'!BH40&lt;=600), ('(橫掃)RX Mapping'!BH40-361),IF(AND('(橫掃)RX Mapping'!BH40&gt;=601,'(橫掃)RX Mapping'!BH40&lt;=720), (-1)*('(橫掃)RX Mapping'!BH40-720)+120,IF(AND('(橫掃)RX Mapping'!BH40&gt;=721,'(橫掃)RX Mapping'!BH40&lt;=840), ('(橫掃)RX Mapping'!BH40-601),IF(AND('(橫掃)RX Mapping'!BH40&gt;=841,'(橫掃)RX Mapping'!BH40&lt;=960), (-1)*('(橫掃)RX Mapping'!BH40-960)+120,9999))))))))</f>
        <v>9999</v>
      </c>
      <c r="BI40">
        <f>IF(AND('(橫掃)RX Mapping'!BI40&gt;=1,'(橫掃)RX Mapping'!BI40&lt;=120), ('(橫掃)RX Mapping'!BI40-1),IF(AND('(橫掃)RX Mapping'!BI40&gt;=121,'(橫掃)RX Mapping'!BI40&lt;=240), (-1)*('(橫掃)RX Mapping'!BI40-240),IF(AND('(橫掃)RX Mapping'!BI40&gt;=241,'(橫掃)RX Mapping'!BI40&lt;=360), ('(橫掃)RX Mapping'!BI40-241),IF(AND('(橫掃)RX Mapping'!BI40&gt;=361,'(橫掃)RX Mapping'!BI40&lt;=480), (-1)*('(橫掃)RX Mapping'!BI40-480),IF(AND('(橫掃)RX Mapping'!BI40&gt;=481,'(橫掃)RX Mapping'!BI40&lt;=600), ('(橫掃)RX Mapping'!BI40-361),IF(AND('(橫掃)RX Mapping'!BI40&gt;=601,'(橫掃)RX Mapping'!BI40&lt;=720), (-1)*('(橫掃)RX Mapping'!BI40-720)+120,IF(AND('(橫掃)RX Mapping'!BI40&gt;=721,'(橫掃)RX Mapping'!BI40&lt;=840), ('(橫掃)RX Mapping'!BI40-601),IF(AND('(橫掃)RX Mapping'!BI40&gt;=841,'(橫掃)RX Mapping'!BI40&lt;=960), (-1)*('(橫掃)RX Mapping'!BI40-960)+120,9999))))))))</f>
        <v>9999</v>
      </c>
    </row>
    <row r="41" spans="1:61" x14ac:dyDescent="0.25">
      <c r="A41" s="20">
        <v>40</v>
      </c>
      <c r="B41">
        <f>IF(AND('(橫掃)RX Mapping'!B41&gt;=1,'(橫掃)RX Mapping'!B41&lt;=120), ('(橫掃)RX Mapping'!B41-1),IF(AND('(橫掃)RX Mapping'!B41&gt;=121,'(橫掃)RX Mapping'!B41&lt;=240), (-1)*('(橫掃)RX Mapping'!B41-240),IF(AND('(橫掃)RX Mapping'!B41&gt;=241,'(橫掃)RX Mapping'!B41&lt;=360), ('(橫掃)RX Mapping'!B41-241),IF(AND('(橫掃)RX Mapping'!B41&gt;=361,'(橫掃)RX Mapping'!B41&lt;=480), (-1)*('(橫掃)RX Mapping'!B41-480),IF(AND('(橫掃)RX Mapping'!B41&gt;=481,'(橫掃)RX Mapping'!B41&lt;=600), ('(橫掃)RX Mapping'!B41-361),IF(AND('(橫掃)RX Mapping'!B41&gt;=601,'(橫掃)RX Mapping'!B41&lt;=720), (-1)*('(橫掃)RX Mapping'!B41-720)+120,IF(AND('(橫掃)RX Mapping'!B41&gt;=721,'(橫掃)RX Mapping'!B41&lt;=840), ('(橫掃)RX Mapping'!B41-601),IF(AND('(橫掃)RX Mapping'!B41&gt;=841,'(橫掃)RX Mapping'!B41&lt;=960), (-1)*('(橫掃)RX Mapping'!B41-960)+120,9999))))))))</f>
        <v>9999</v>
      </c>
      <c r="C41">
        <f>IF(AND('(橫掃)RX Mapping'!C41&gt;=1,'(橫掃)RX Mapping'!C41&lt;=120), ('(橫掃)RX Mapping'!C41-1),IF(AND('(橫掃)RX Mapping'!C41&gt;=121,'(橫掃)RX Mapping'!C41&lt;=240), (-1)*('(橫掃)RX Mapping'!C41-240),IF(AND('(橫掃)RX Mapping'!C41&gt;=241,'(橫掃)RX Mapping'!C41&lt;=360), ('(橫掃)RX Mapping'!C41-241),IF(AND('(橫掃)RX Mapping'!C41&gt;=361,'(橫掃)RX Mapping'!C41&lt;=480), (-1)*('(橫掃)RX Mapping'!C41-480),IF(AND('(橫掃)RX Mapping'!C41&gt;=481,'(橫掃)RX Mapping'!C41&lt;=600), ('(橫掃)RX Mapping'!C41-361),IF(AND('(橫掃)RX Mapping'!C41&gt;=601,'(橫掃)RX Mapping'!C41&lt;=720), (-1)*('(橫掃)RX Mapping'!C41-720)+120,IF(AND('(橫掃)RX Mapping'!C41&gt;=721,'(橫掃)RX Mapping'!C41&lt;=840), ('(橫掃)RX Mapping'!C41-601),IF(AND('(橫掃)RX Mapping'!C41&gt;=841,'(橫掃)RX Mapping'!C41&lt;=960), (-1)*('(橫掃)RX Mapping'!C41-960)+120,9999))))))))</f>
        <v>9999</v>
      </c>
      <c r="D41">
        <f>IF(AND('(橫掃)RX Mapping'!D41&gt;=1,'(橫掃)RX Mapping'!D41&lt;=120), ('(橫掃)RX Mapping'!D41-1),IF(AND('(橫掃)RX Mapping'!D41&gt;=121,'(橫掃)RX Mapping'!D41&lt;=240), (-1)*('(橫掃)RX Mapping'!D41-240),IF(AND('(橫掃)RX Mapping'!D41&gt;=241,'(橫掃)RX Mapping'!D41&lt;=360), ('(橫掃)RX Mapping'!D41-241),IF(AND('(橫掃)RX Mapping'!D41&gt;=361,'(橫掃)RX Mapping'!D41&lt;=480), (-1)*('(橫掃)RX Mapping'!D41-480),IF(AND('(橫掃)RX Mapping'!D41&gt;=481,'(橫掃)RX Mapping'!D41&lt;=600), ('(橫掃)RX Mapping'!D41-361),IF(AND('(橫掃)RX Mapping'!D41&gt;=601,'(橫掃)RX Mapping'!D41&lt;=720), (-1)*('(橫掃)RX Mapping'!D41-720)+120,IF(AND('(橫掃)RX Mapping'!D41&gt;=721,'(橫掃)RX Mapping'!D41&lt;=840), ('(橫掃)RX Mapping'!D41-601),IF(AND('(橫掃)RX Mapping'!D41&gt;=841,'(橫掃)RX Mapping'!D41&lt;=960), (-1)*('(橫掃)RX Mapping'!D41-960)+120,9999))))))))</f>
        <v>9999</v>
      </c>
      <c r="E41">
        <f>IF(AND('(橫掃)RX Mapping'!E41&gt;=1,'(橫掃)RX Mapping'!E41&lt;=120), ('(橫掃)RX Mapping'!E41-1),IF(AND('(橫掃)RX Mapping'!E41&gt;=121,'(橫掃)RX Mapping'!E41&lt;=240), (-1)*('(橫掃)RX Mapping'!E41-240),IF(AND('(橫掃)RX Mapping'!E41&gt;=241,'(橫掃)RX Mapping'!E41&lt;=360), ('(橫掃)RX Mapping'!E41-241),IF(AND('(橫掃)RX Mapping'!E41&gt;=361,'(橫掃)RX Mapping'!E41&lt;=480), (-1)*('(橫掃)RX Mapping'!E41-480),IF(AND('(橫掃)RX Mapping'!E41&gt;=481,'(橫掃)RX Mapping'!E41&lt;=600), ('(橫掃)RX Mapping'!E41-361),IF(AND('(橫掃)RX Mapping'!E41&gt;=601,'(橫掃)RX Mapping'!E41&lt;=720), (-1)*('(橫掃)RX Mapping'!E41-720)+120,IF(AND('(橫掃)RX Mapping'!E41&gt;=721,'(橫掃)RX Mapping'!E41&lt;=840), ('(橫掃)RX Mapping'!E41-601),IF(AND('(橫掃)RX Mapping'!E41&gt;=841,'(橫掃)RX Mapping'!E41&lt;=960), (-1)*('(橫掃)RX Mapping'!E41-960)+120,9999))))))))</f>
        <v>9999</v>
      </c>
      <c r="F41">
        <f>IF(AND('(橫掃)RX Mapping'!F41&gt;=1,'(橫掃)RX Mapping'!F41&lt;=120), ('(橫掃)RX Mapping'!F41-1),IF(AND('(橫掃)RX Mapping'!F41&gt;=121,'(橫掃)RX Mapping'!F41&lt;=240), (-1)*('(橫掃)RX Mapping'!F41-240),IF(AND('(橫掃)RX Mapping'!F41&gt;=241,'(橫掃)RX Mapping'!F41&lt;=360), ('(橫掃)RX Mapping'!F41-241),IF(AND('(橫掃)RX Mapping'!F41&gt;=361,'(橫掃)RX Mapping'!F41&lt;=480), (-1)*('(橫掃)RX Mapping'!F41-480),IF(AND('(橫掃)RX Mapping'!F41&gt;=481,'(橫掃)RX Mapping'!F41&lt;=600), ('(橫掃)RX Mapping'!F41-361),IF(AND('(橫掃)RX Mapping'!F41&gt;=601,'(橫掃)RX Mapping'!F41&lt;=720), (-1)*('(橫掃)RX Mapping'!F41-720)+120,IF(AND('(橫掃)RX Mapping'!F41&gt;=721,'(橫掃)RX Mapping'!F41&lt;=840), ('(橫掃)RX Mapping'!F41-601),IF(AND('(橫掃)RX Mapping'!F41&gt;=841,'(橫掃)RX Mapping'!F41&lt;=960), (-1)*('(橫掃)RX Mapping'!F41-960)+120,9999))))))))</f>
        <v>9999</v>
      </c>
      <c r="G41">
        <f>IF(AND('(橫掃)RX Mapping'!G41&gt;=1,'(橫掃)RX Mapping'!G41&lt;=120), ('(橫掃)RX Mapping'!G41-1),IF(AND('(橫掃)RX Mapping'!G41&gt;=121,'(橫掃)RX Mapping'!G41&lt;=240), (-1)*('(橫掃)RX Mapping'!G41-240),IF(AND('(橫掃)RX Mapping'!G41&gt;=241,'(橫掃)RX Mapping'!G41&lt;=360), ('(橫掃)RX Mapping'!G41-241),IF(AND('(橫掃)RX Mapping'!G41&gt;=361,'(橫掃)RX Mapping'!G41&lt;=480), (-1)*('(橫掃)RX Mapping'!G41-480),IF(AND('(橫掃)RX Mapping'!G41&gt;=481,'(橫掃)RX Mapping'!G41&lt;=600), ('(橫掃)RX Mapping'!G41-361),IF(AND('(橫掃)RX Mapping'!G41&gt;=601,'(橫掃)RX Mapping'!G41&lt;=720), (-1)*('(橫掃)RX Mapping'!G41-720)+120,IF(AND('(橫掃)RX Mapping'!G41&gt;=721,'(橫掃)RX Mapping'!G41&lt;=840), ('(橫掃)RX Mapping'!G41-601),IF(AND('(橫掃)RX Mapping'!G41&gt;=841,'(橫掃)RX Mapping'!G41&lt;=960), (-1)*('(橫掃)RX Mapping'!G41-960)+120,9999))))))))</f>
        <v>9999</v>
      </c>
      <c r="H41">
        <f>IF(AND('(橫掃)RX Mapping'!H41&gt;=1,'(橫掃)RX Mapping'!H41&lt;=120), ('(橫掃)RX Mapping'!H41-1),IF(AND('(橫掃)RX Mapping'!H41&gt;=121,'(橫掃)RX Mapping'!H41&lt;=240), (-1)*('(橫掃)RX Mapping'!H41-240),IF(AND('(橫掃)RX Mapping'!H41&gt;=241,'(橫掃)RX Mapping'!H41&lt;=360), ('(橫掃)RX Mapping'!H41-241),IF(AND('(橫掃)RX Mapping'!H41&gt;=361,'(橫掃)RX Mapping'!H41&lt;=480), (-1)*('(橫掃)RX Mapping'!H41-480),IF(AND('(橫掃)RX Mapping'!H41&gt;=481,'(橫掃)RX Mapping'!H41&lt;=600), ('(橫掃)RX Mapping'!H41-361),IF(AND('(橫掃)RX Mapping'!H41&gt;=601,'(橫掃)RX Mapping'!H41&lt;=720), (-1)*('(橫掃)RX Mapping'!H41-720)+120,IF(AND('(橫掃)RX Mapping'!H41&gt;=721,'(橫掃)RX Mapping'!H41&lt;=840), ('(橫掃)RX Mapping'!H41-601),IF(AND('(橫掃)RX Mapping'!H41&gt;=841,'(橫掃)RX Mapping'!H41&lt;=960), (-1)*('(橫掃)RX Mapping'!H41-960)+120,9999))))))))</f>
        <v>9999</v>
      </c>
      <c r="I41">
        <f>IF(AND('(橫掃)RX Mapping'!I41&gt;=1,'(橫掃)RX Mapping'!I41&lt;=120), ('(橫掃)RX Mapping'!I41-1),IF(AND('(橫掃)RX Mapping'!I41&gt;=121,'(橫掃)RX Mapping'!I41&lt;=240), (-1)*('(橫掃)RX Mapping'!I41-240),IF(AND('(橫掃)RX Mapping'!I41&gt;=241,'(橫掃)RX Mapping'!I41&lt;=360), ('(橫掃)RX Mapping'!I41-241),IF(AND('(橫掃)RX Mapping'!I41&gt;=361,'(橫掃)RX Mapping'!I41&lt;=480), (-1)*('(橫掃)RX Mapping'!I41-480),IF(AND('(橫掃)RX Mapping'!I41&gt;=481,'(橫掃)RX Mapping'!I41&lt;=600), ('(橫掃)RX Mapping'!I41-361),IF(AND('(橫掃)RX Mapping'!I41&gt;=601,'(橫掃)RX Mapping'!I41&lt;=720), (-1)*('(橫掃)RX Mapping'!I41-720)+120,IF(AND('(橫掃)RX Mapping'!I41&gt;=721,'(橫掃)RX Mapping'!I41&lt;=840), ('(橫掃)RX Mapping'!I41-601),IF(AND('(橫掃)RX Mapping'!I41&gt;=841,'(橫掃)RX Mapping'!I41&lt;=960), (-1)*('(橫掃)RX Mapping'!I41-960)+120,9999))))))))</f>
        <v>9999</v>
      </c>
      <c r="J41">
        <f>IF(AND('(橫掃)RX Mapping'!J41&gt;=1,'(橫掃)RX Mapping'!J41&lt;=120), ('(橫掃)RX Mapping'!J41-1),IF(AND('(橫掃)RX Mapping'!J41&gt;=121,'(橫掃)RX Mapping'!J41&lt;=240), (-1)*('(橫掃)RX Mapping'!J41-240),IF(AND('(橫掃)RX Mapping'!J41&gt;=241,'(橫掃)RX Mapping'!J41&lt;=360), ('(橫掃)RX Mapping'!J41-241),IF(AND('(橫掃)RX Mapping'!J41&gt;=361,'(橫掃)RX Mapping'!J41&lt;=480), (-1)*('(橫掃)RX Mapping'!J41-480),IF(AND('(橫掃)RX Mapping'!J41&gt;=481,'(橫掃)RX Mapping'!J41&lt;=600), ('(橫掃)RX Mapping'!J41-361),IF(AND('(橫掃)RX Mapping'!J41&gt;=601,'(橫掃)RX Mapping'!J41&lt;=720), (-1)*('(橫掃)RX Mapping'!J41-720)+120,IF(AND('(橫掃)RX Mapping'!J41&gt;=721,'(橫掃)RX Mapping'!J41&lt;=840), ('(橫掃)RX Mapping'!J41-601),IF(AND('(橫掃)RX Mapping'!J41&gt;=841,'(橫掃)RX Mapping'!J41&lt;=960), (-1)*('(橫掃)RX Mapping'!J41-960)+120,9999))))))))</f>
        <v>9999</v>
      </c>
      <c r="K41">
        <f>IF(AND('(橫掃)RX Mapping'!K41&gt;=1,'(橫掃)RX Mapping'!K41&lt;=120), ('(橫掃)RX Mapping'!K41-1),IF(AND('(橫掃)RX Mapping'!K41&gt;=121,'(橫掃)RX Mapping'!K41&lt;=240), (-1)*('(橫掃)RX Mapping'!K41-240),IF(AND('(橫掃)RX Mapping'!K41&gt;=241,'(橫掃)RX Mapping'!K41&lt;=360), ('(橫掃)RX Mapping'!K41-241),IF(AND('(橫掃)RX Mapping'!K41&gt;=361,'(橫掃)RX Mapping'!K41&lt;=480), (-1)*('(橫掃)RX Mapping'!K41-480),IF(AND('(橫掃)RX Mapping'!K41&gt;=481,'(橫掃)RX Mapping'!K41&lt;=600), ('(橫掃)RX Mapping'!K41-361),IF(AND('(橫掃)RX Mapping'!K41&gt;=601,'(橫掃)RX Mapping'!K41&lt;=720), (-1)*('(橫掃)RX Mapping'!K41-720)+120,IF(AND('(橫掃)RX Mapping'!K41&gt;=721,'(橫掃)RX Mapping'!K41&lt;=840), ('(橫掃)RX Mapping'!K41-601),IF(AND('(橫掃)RX Mapping'!K41&gt;=841,'(橫掃)RX Mapping'!K41&lt;=960), (-1)*('(橫掃)RX Mapping'!K41-960)+120,9999))))))))</f>
        <v>9999</v>
      </c>
      <c r="L41">
        <f>IF(AND('(橫掃)RX Mapping'!L41&gt;=1,'(橫掃)RX Mapping'!L41&lt;=120), ('(橫掃)RX Mapping'!L41-1),IF(AND('(橫掃)RX Mapping'!L41&gt;=121,'(橫掃)RX Mapping'!L41&lt;=240), (-1)*('(橫掃)RX Mapping'!L41-240),IF(AND('(橫掃)RX Mapping'!L41&gt;=241,'(橫掃)RX Mapping'!L41&lt;=360), ('(橫掃)RX Mapping'!L41-241),IF(AND('(橫掃)RX Mapping'!L41&gt;=361,'(橫掃)RX Mapping'!L41&lt;=480), (-1)*('(橫掃)RX Mapping'!L41-480),IF(AND('(橫掃)RX Mapping'!L41&gt;=481,'(橫掃)RX Mapping'!L41&lt;=600), ('(橫掃)RX Mapping'!L41-361),IF(AND('(橫掃)RX Mapping'!L41&gt;=601,'(橫掃)RX Mapping'!L41&lt;=720), (-1)*('(橫掃)RX Mapping'!L41-720)+120,IF(AND('(橫掃)RX Mapping'!L41&gt;=721,'(橫掃)RX Mapping'!L41&lt;=840), ('(橫掃)RX Mapping'!L41-601),IF(AND('(橫掃)RX Mapping'!L41&gt;=841,'(橫掃)RX Mapping'!L41&lt;=960), (-1)*('(橫掃)RX Mapping'!L41-960)+120,9999))))))))</f>
        <v>9999</v>
      </c>
      <c r="M41">
        <f>IF(AND('(橫掃)RX Mapping'!M41&gt;=1,'(橫掃)RX Mapping'!M41&lt;=120), ('(橫掃)RX Mapping'!M41-1),IF(AND('(橫掃)RX Mapping'!M41&gt;=121,'(橫掃)RX Mapping'!M41&lt;=240), (-1)*('(橫掃)RX Mapping'!M41-240),IF(AND('(橫掃)RX Mapping'!M41&gt;=241,'(橫掃)RX Mapping'!M41&lt;=360), ('(橫掃)RX Mapping'!M41-241),IF(AND('(橫掃)RX Mapping'!M41&gt;=361,'(橫掃)RX Mapping'!M41&lt;=480), (-1)*('(橫掃)RX Mapping'!M41-480),IF(AND('(橫掃)RX Mapping'!M41&gt;=481,'(橫掃)RX Mapping'!M41&lt;=600), ('(橫掃)RX Mapping'!M41-361),IF(AND('(橫掃)RX Mapping'!M41&gt;=601,'(橫掃)RX Mapping'!M41&lt;=720), (-1)*('(橫掃)RX Mapping'!M41-720)+120,IF(AND('(橫掃)RX Mapping'!M41&gt;=721,'(橫掃)RX Mapping'!M41&lt;=840), ('(橫掃)RX Mapping'!M41-601),IF(AND('(橫掃)RX Mapping'!M41&gt;=841,'(橫掃)RX Mapping'!M41&lt;=960), (-1)*('(橫掃)RX Mapping'!M41-960)+120,9999))))))))</f>
        <v>9999</v>
      </c>
      <c r="N41">
        <f>IF(AND('(橫掃)RX Mapping'!N41&gt;=1,'(橫掃)RX Mapping'!N41&lt;=120), ('(橫掃)RX Mapping'!N41-1),IF(AND('(橫掃)RX Mapping'!N41&gt;=121,'(橫掃)RX Mapping'!N41&lt;=240), (-1)*('(橫掃)RX Mapping'!N41-240),IF(AND('(橫掃)RX Mapping'!N41&gt;=241,'(橫掃)RX Mapping'!N41&lt;=360), ('(橫掃)RX Mapping'!N41-241),IF(AND('(橫掃)RX Mapping'!N41&gt;=361,'(橫掃)RX Mapping'!N41&lt;=480), (-1)*('(橫掃)RX Mapping'!N41-480),IF(AND('(橫掃)RX Mapping'!N41&gt;=481,'(橫掃)RX Mapping'!N41&lt;=600), ('(橫掃)RX Mapping'!N41-361),IF(AND('(橫掃)RX Mapping'!N41&gt;=601,'(橫掃)RX Mapping'!N41&lt;=720), (-1)*('(橫掃)RX Mapping'!N41-720)+120,IF(AND('(橫掃)RX Mapping'!N41&gt;=721,'(橫掃)RX Mapping'!N41&lt;=840), ('(橫掃)RX Mapping'!N41-601),IF(AND('(橫掃)RX Mapping'!N41&gt;=841,'(橫掃)RX Mapping'!N41&lt;=960), (-1)*('(橫掃)RX Mapping'!N41-960)+120,9999))))))))</f>
        <v>9999</v>
      </c>
      <c r="O41">
        <f>IF(AND('(橫掃)RX Mapping'!O41&gt;=1,'(橫掃)RX Mapping'!O41&lt;=120), ('(橫掃)RX Mapping'!O41-1),IF(AND('(橫掃)RX Mapping'!O41&gt;=121,'(橫掃)RX Mapping'!O41&lt;=240), (-1)*('(橫掃)RX Mapping'!O41-240),IF(AND('(橫掃)RX Mapping'!O41&gt;=241,'(橫掃)RX Mapping'!O41&lt;=360), ('(橫掃)RX Mapping'!O41-241),IF(AND('(橫掃)RX Mapping'!O41&gt;=361,'(橫掃)RX Mapping'!O41&lt;=480), (-1)*('(橫掃)RX Mapping'!O41-480),IF(AND('(橫掃)RX Mapping'!O41&gt;=481,'(橫掃)RX Mapping'!O41&lt;=600), ('(橫掃)RX Mapping'!O41-361),IF(AND('(橫掃)RX Mapping'!O41&gt;=601,'(橫掃)RX Mapping'!O41&lt;=720), (-1)*('(橫掃)RX Mapping'!O41-720)+120,IF(AND('(橫掃)RX Mapping'!O41&gt;=721,'(橫掃)RX Mapping'!O41&lt;=840), ('(橫掃)RX Mapping'!O41-601),IF(AND('(橫掃)RX Mapping'!O41&gt;=841,'(橫掃)RX Mapping'!O41&lt;=960), (-1)*('(橫掃)RX Mapping'!O41-960)+120,9999))))))))</f>
        <v>9999</v>
      </c>
      <c r="P41">
        <f>IF(AND('(橫掃)RX Mapping'!P41&gt;=1,'(橫掃)RX Mapping'!P41&lt;=120), ('(橫掃)RX Mapping'!P41-1),IF(AND('(橫掃)RX Mapping'!P41&gt;=121,'(橫掃)RX Mapping'!P41&lt;=240), (-1)*('(橫掃)RX Mapping'!P41-240),IF(AND('(橫掃)RX Mapping'!P41&gt;=241,'(橫掃)RX Mapping'!P41&lt;=360), ('(橫掃)RX Mapping'!P41-241),IF(AND('(橫掃)RX Mapping'!P41&gt;=361,'(橫掃)RX Mapping'!P41&lt;=480), (-1)*('(橫掃)RX Mapping'!P41-480),IF(AND('(橫掃)RX Mapping'!P41&gt;=481,'(橫掃)RX Mapping'!P41&lt;=600), ('(橫掃)RX Mapping'!P41-361),IF(AND('(橫掃)RX Mapping'!P41&gt;=601,'(橫掃)RX Mapping'!P41&lt;=720), (-1)*('(橫掃)RX Mapping'!P41-720)+120,IF(AND('(橫掃)RX Mapping'!P41&gt;=721,'(橫掃)RX Mapping'!P41&lt;=840), ('(橫掃)RX Mapping'!P41-601),IF(AND('(橫掃)RX Mapping'!P41&gt;=841,'(橫掃)RX Mapping'!P41&lt;=960), (-1)*('(橫掃)RX Mapping'!P41-960)+120,9999))))))))</f>
        <v>9999</v>
      </c>
      <c r="Q41">
        <f>IF(AND('(橫掃)RX Mapping'!Q41&gt;=1,'(橫掃)RX Mapping'!Q41&lt;=120), ('(橫掃)RX Mapping'!Q41-1),IF(AND('(橫掃)RX Mapping'!Q41&gt;=121,'(橫掃)RX Mapping'!Q41&lt;=240), (-1)*('(橫掃)RX Mapping'!Q41-240),IF(AND('(橫掃)RX Mapping'!Q41&gt;=241,'(橫掃)RX Mapping'!Q41&lt;=360), ('(橫掃)RX Mapping'!Q41-241),IF(AND('(橫掃)RX Mapping'!Q41&gt;=361,'(橫掃)RX Mapping'!Q41&lt;=480), (-1)*('(橫掃)RX Mapping'!Q41-480),IF(AND('(橫掃)RX Mapping'!Q41&gt;=481,'(橫掃)RX Mapping'!Q41&lt;=600), ('(橫掃)RX Mapping'!Q41-361),IF(AND('(橫掃)RX Mapping'!Q41&gt;=601,'(橫掃)RX Mapping'!Q41&lt;=720), (-1)*('(橫掃)RX Mapping'!Q41-720)+120,IF(AND('(橫掃)RX Mapping'!Q41&gt;=721,'(橫掃)RX Mapping'!Q41&lt;=840), ('(橫掃)RX Mapping'!Q41-601),IF(AND('(橫掃)RX Mapping'!Q41&gt;=841,'(橫掃)RX Mapping'!Q41&lt;=960), (-1)*('(橫掃)RX Mapping'!Q41-960)+120,9999))))))))</f>
        <v>9999</v>
      </c>
      <c r="R41">
        <f>IF(AND('(橫掃)RX Mapping'!R41&gt;=1,'(橫掃)RX Mapping'!R41&lt;=120), ('(橫掃)RX Mapping'!R41-1),IF(AND('(橫掃)RX Mapping'!R41&gt;=121,'(橫掃)RX Mapping'!R41&lt;=240), (-1)*('(橫掃)RX Mapping'!R41-240),IF(AND('(橫掃)RX Mapping'!R41&gt;=241,'(橫掃)RX Mapping'!R41&lt;=360), ('(橫掃)RX Mapping'!R41-241),IF(AND('(橫掃)RX Mapping'!R41&gt;=361,'(橫掃)RX Mapping'!R41&lt;=480), (-1)*('(橫掃)RX Mapping'!R41-480),IF(AND('(橫掃)RX Mapping'!R41&gt;=481,'(橫掃)RX Mapping'!R41&lt;=600), ('(橫掃)RX Mapping'!R41-361),IF(AND('(橫掃)RX Mapping'!R41&gt;=601,'(橫掃)RX Mapping'!R41&lt;=720), (-1)*('(橫掃)RX Mapping'!R41-720)+120,IF(AND('(橫掃)RX Mapping'!R41&gt;=721,'(橫掃)RX Mapping'!R41&lt;=840), ('(橫掃)RX Mapping'!R41-601),IF(AND('(橫掃)RX Mapping'!R41&gt;=841,'(橫掃)RX Mapping'!R41&lt;=960), (-1)*('(橫掃)RX Mapping'!R41-960)+120,9999))))))))</f>
        <v>9999</v>
      </c>
      <c r="S41">
        <f>IF(AND('(橫掃)RX Mapping'!S41&gt;=1,'(橫掃)RX Mapping'!S41&lt;=120), ('(橫掃)RX Mapping'!S41-1),IF(AND('(橫掃)RX Mapping'!S41&gt;=121,'(橫掃)RX Mapping'!S41&lt;=240), (-1)*('(橫掃)RX Mapping'!S41-240),IF(AND('(橫掃)RX Mapping'!S41&gt;=241,'(橫掃)RX Mapping'!S41&lt;=360), ('(橫掃)RX Mapping'!S41-241),IF(AND('(橫掃)RX Mapping'!S41&gt;=361,'(橫掃)RX Mapping'!S41&lt;=480), (-1)*('(橫掃)RX Mapping'!S41-480),IF(AND('(橫掃)RX Mapping'!S41&gt;=481,'(橫掃)RX Mapping'!S41&lt;=600), ('(橫掃)RX Mapping'!S41-361),IF(AND('(橫掃)RX Mapping'!S41&gt;=601,'(橫掃)RX Mapping'!S41&lt;=720), (-1)*('(橫掃)RX Mapping'!S41-720)+120,IF(AND('(橫掃)RX Mapping'!S41&gt;=721,'(橫掃)RX Mapping'!S41&lt;=840), ('(橫掃)RX Mapping'!S41-601),IF(AND('(橫掃)RX Mapping'!S41&gt;=841,'(橫掃)RX Mapping'!S41&lt;=960), (-1)*('(橫掃)RX Mapping'!S41-960)+120,9999))))))))</f>
        <v>9999</v>
      </c>
      <c r="T41">
        <f>IF(AND('(橫掃)RX Mapping'!T41&gt;=1,'(橫掃)RX Mapping'!T41&lt;=120), ('(橫掃)RX Mapping'!T41-1),IF(AND('(橫掃)RX Mapping'!T41&gt;=121,'(橫掃)RX Mapping'!T41&lt;=240), (-1)*('(橫掃)RX Mapping'!T41-240),IF(AND('(橫掃)RX Mapping'!T41&gt;=241,'(橫掃)RX Mapping'!T41&lt;=360), ('(橫掃)RX Mapping'!T41-241),IF(AND('(橫掃)RX Mapping'!T41&gt;=361,'(橫掃)RX Mapping'!T41&lt;=480), (-1)*('(橫掃)RX Mapping'!T41-480),IF(AND('(橫掃)RX Mapping'!T41&gt;=481,'(橫掃)RX Mapping'!T41&lt;=600), ('(橫掃)RX Mapping'!T41-361),IF(AND('(橫掃)RX Mapping'!T41&gt;=601,'(橫掃)RX Mapping'!T41&lt;=720), (-1)*('(橫掃)RX Mapping'!T41-720)+120,IF(AND('(橫掃)RX Mapping'!T41&gt;=721,'(橫掃)RX Mapping'!T41&lt;=840), ('(橫掃)RX Mapping'!T41-601),IF(AND('(橫掃)RX Mapping'!T41&gt;=841,'(橫掃)RX Mapping'!T41&lt;=960), (-1)*('(橫掃)RX Mapping'!T41-960)+120,9999))))))))</f>
        <v>9999</v>
      </c>
      <c r="U41">
        <f>IF(AND('(橫掃)RX Mapping'!U41&gt;=1,'(橫掃)RX Mapping'!U41&lt;=120), ('(橫掃)RX Mapping'!U41-1),IF(AND('(橫掃)RX Mapping'!U41&gt;=121,'(橫掃)RX Mapping'!U41&lt;=240), (-1)*('(橫掃)RX Mapping'!U41-240),IF(AND('(橫掃)RX Mapping'!U41&gt;=241,'(橫掃)RX Mapping'!U41&lt;=360), ('(橫掃)RX Mapping'!U41-241),IF(AND('(橫掃)RX Mapping'!U41&gt;=361,'(橫掃)RX Mapping'!U41&lt;=480), (-1)*('(橫掃)RX Mapping'!U41-480),IF(AND('(橫掃)RX Mapping'!U41&gt;=481,'(橫掃)RX Mapping'!U41&lt;=600), ('(橫掃)RX Mapping'!U41-361),IF(AND('(橫掃)RX Mapping'!U41&gt;=601,'(橫掃)RX Mapping'!U41&lt;=720), (-1)*('(橫掃)RX Mapping'!U41-720)+120,IF(AND('(橫掃)RX Mapping'!U41&gt;=721,'(橫掃)RX Mapping'!U41&lt;=840), ('(橫掃)RX Mapping'!U41-601),IF(AND('(橫掃)RX Mapping'!U41&gt;=841,'(橫掃)RX Mapping'!U41&lt;=960), (-1)*('(橫掃)RX Mapping'!U41-960)+120,9999))))))))</f>
        <v>9999</v>
      </c>
      <c r="V41">
        <f>IF(AND('(橫掃)RX Mapping'!V41&gt;=1,'(橫掃)RX Mapping'!V41&lt;=120), ('(橫掃)RX Mapping'!V41-1),IF(AND('(橫掃)RX Mapping'!V41&gt;=121,'(橫掃)RX Mapping'!V41&lt;=240), (-1)*('(橫掃)RX Mapping'!V41-240),IF(AND('(橫掃)RX Mapping'!V41&gt;=241,'(橫掃)RX Mapping'!V41&lt;=360), ('(橫掃)RX Mapping'!V41-241),IF(AND('(橫掃)RX Mapping'!V41&gt;=361,'(橫掃)RX Mapping'!V41&lt;=480), (-1)*('(橫掃)RX Mapping'!V41-480),IF(AND('(橫掃)RX Mapping'!V41&gt;=481,'(橫掃)RX Mapping'!V41&lt;=600), ('(橫掃)RX Mapping'!V41-361),IF(AND('(橫掃)RX Mapping'!V41&gt;=601,'(橫掃)RX Mapping'!V41&lt;=720), (-1)*('(橫掃)RX Mapping'!V41-720)+120,IF(AND('(橫掃)RX Mapping'!V41&gt;=721,'(橫掃)RX Mapping'!V41&lt;=840), ('(橫掃)RX Mapping'!V41-601),IF(AND('(橫掃)RX Mapping'!V41&gt;=841,'(橫掃)RX Mapping'!V41&lt;=960), (-1)*('(橫掃)RX Mapping'!V41-960)+120,9999))))))))</f>
        <v>9999</v>
      </c>
      <c r="W41">
        <f>IF(AND('(橫掃)RX Mapping'!W41&gt;=1,'(橫掃)RX Mapping'!W41&lt;=120), ('(橫掃)RX Mapping'!W41-1),IF(AND('(橫掃)RX Mapping'!W41&gt;=121,'(橫掃)RX Mapping'!W41&lt;=240), (-1)*('(橫掃)RX Mapping'!W41-240),IF(AND('(橫掃)RX Mapping'!W41&gt;=241,'(橫掃)RX Mapping'!W41&lt;=360), ('(橫掃)RX Mapping'!W41-241),IF(AND('(橫掃)RX Mapping'!W41&gt;=361,'(橫掃)RX Mapping'!W41&lt;=480), (-1)*('(橫掃)RX Mapping'!W41-480),IF(AND('(橫掃)RX Mapping'!W41&gt;=481,'(橫掃)RX Mapping'!W41&lt;=600), ('(橫掃)RX Mapping'!W41-361),IF(AND('(橫掃)RX Mapping'!W41&gt;=601,'(橫掃)RX Mapping'!W41&lt;=720), (-1)*('(橫掃)RX Mapping'!W41-720)+120,IF(AND('(橫掃)RX Mapping'!W41&gt;=721,'(橫掃)RX Mapping'!W41&lt;=840), ('(橫掃)RX Mapping'!W41-601),IF(AND('(橫掃)RX Mapping'!W41&gt;=841,'(橫掃)RX Mapping'!W41&lt;=960), (-1)*('(橫掃)RX Mapping'!W41-960)+120,9999))))))))</f>
        <v>9999</v>
      </c>
      <c r="X41">
        <f>IF(AND('(橫掃)RX Mapping'!X41&gt;=1,'(橫掃)RX Mapping'!X41&lt;=120), ('(橫掃)RX Mapping'!X41-1),IF(AND('(橫掃)RX Mapping'!X41&gt;=121,'(橫掃)RX Mapping'!X41&lt;=240), (-1)*('(橫掃)RX Mapping'!X41-240),IF(AND('(橫掃)RX Mapping'!X41&gt;=241,'(橫掃)RX Mapping'!X41&lt;=360), ('(橫掃)RX Mapping'!X41-241),IF(AND('(橫掃)RX Mapping'!X41&gt;=361,'(橫掃)RX Mapping'!X41&lt;=480), (-1)*('(橫掃)RX Mapping'!X41-480),IF(AND('(橫掃)RX Mapping'!X41&gt;=481,'(橫掃)RX Mapping'!X41&lt;=600), ('(橫掃)RX Mapping'!X41-361),IF(AND('(橫掃)RX Mapping'!X41&gt;=601,'(橫掃)RX Mapping'!X41&lt;=720), (-1)*('(橫掃)RX Mapping'!X41-720)+120,IF(AND('(橫掃)RX Mapping'!X41&gt;=721,'(橫掃)RX Mapping'!X41&lt;=840), ('(橫掃)RX Mapping'!X41-601),IF(AND('(橫掃)RX Mapping'!X41&gt;=841,'(橫掃)RX Mapping'!X41&lt;=960), (-1)*('(橫掃)RX Mapping'!X41-960)+120,9999))))))))</f>
        <v>9999</v>
      </c>
      <c r="Y41">
        <f>IF(AND('(橫掃)RX Mapping'!Y41&gt;=1,'(橫掃)RX Mapping'!Y41&lt;=120), ('(橫掃)RX Mapping'!Y41-1),IF(AND('(橫掃)RX Mapping'!Y41&gt;=121,'(橫掃)RX Mapping'!Y41&lt;=240), (-1)*('(橫掃)RX Mapping'!Y41-240),IF(AND('(橫掃)RX Mapping'!Y41&gt;=241,'(橫掃)RX Mapping'!Y41&lt;=360), ('(橫掃)RX Mapping'!Y41-241),IF(AND('(橫掃)RX Mapping'!Y41&gt;=361,'(橫掃)RX Mapping'!Y41&lt;=480), (-1)*('(橫掃)RX Mapping'!Y41-480),IF(AND('(橫掃)RX Mapping'!Y41&gt;=481,'(橫掃)RX Mapping'!Y41&lt;=600), ('(橫掃)RX Mapping'!Y41-361),IF(AND('(橫掃)RX Mapping'!Y41&gt;=601,'(橫掃)RX Mapping'!Y41&lt;=720), (-1)*('(橫掃)RX Mapping'!Y41-720)+120,IF(AND('(橫掃)RX Mapping'!Y41&gt;=721,'(橫掃)RX Mapping'!Y41&lt;=840), ('(橫掃)RX Mapping'!Y41-601),IF(AND('(橫掃)RX Mapping'!Y41&gt;=841,'(橫掃)RX Mapping'!Y41&lt;=960), (-1)*('(橫掃)RX Mapping'!Y41-960)+120,9999))))))))</f>
        <v>9999</v>
      </c>
      <c r="Z41">
        <f>IF(AND('(橫掃)RX Mapping'!Z41&gt;=1,'(橫掃)RX Mapping'!Z41&lt;=120), ('(橫掃)RX Mapping'!Z41-1),IF(AND('(橫掃)RX Mapping'!Z41&gt;=121,'(橫掃)RX Mapping'!Z41&lt;=240), (-1)*('(橫掃)RX Mapping'!Z41-240),IF(AND('(橫掃)RX Mapping'!Z41&gt;=241,'(橫掃)RX Mapping'!Z41&lt;=360), ('(橫掃)RX Mapping'!Z41-241),IF(AND('(橫掃)RX Mapping'!Z41&gt;=361,'(橫掃)RX Mapping'!Z41&lt;=480), (-1)*('(橫掃)RX Mapping'!Z41-480),IF(AND('(橫掃)RX Mapping'!Z41&gt;=481,'(橫掃)RX Mapping'!Z41&lt;=600), ('(橫掃)RX Mapping'!Z41-361),IF(AND('(橫掃)RX Mapping'!Z41&gt;=601,'(橫掃)RX Mapping'!Z41&lt;=720), (-1)*('(橫掃)RX Mapping'!Z41-720)+120,IF(AND('(橫掃)RX Mapping'!Z41&gt;=721,'(橫掃)RX Mapping'!Z41&lt;=840), ('(橫掃)RX Mapping'!Z41-601),IF(AND('(橫掃)RX Mapping'!Z41&gt;=841,'(橫掃)RX Mapping'!Z41&lt;=960), (-1)*('(橫掃)RX Mapping'!Z41-960)+120,9999))))))))</f>
        <v>9999</v>
      </c>
      <c r="AA41">
        <f>IF(AND('(橫掃)RX Mapping'!AA41&gt;=1,'(橫掃)RX Mapping'!AA41&lt;=120), ('(橫掃)RX Mapping'!AA41-1),IF(AND('(橫掃)RX Mapping'!AA41&gt;=121,'(橫掃)RX Mapping'!AA41&lt;=240), (-1)*('(橫掃)RX Mapping'!AA41-240),IF(AND('(橫掃)RX Mapping'!AA41&gt;=241,'(橫掃)RX Mapping'!AA41&lt;=360), ('(橫掃)RX Mapping'!AA41-241),IF(AND('(橫掃)RX Mapping'!AA41&gt;=361,'(橫掃)RX Mapping'!AA41&lt;=480), (-1)*('(橫掃)RX Mapping'!AA41-480),IF(AND('(橫掃)RX Mapping'!AA41&gt;=481,'(橫掃)RX Mapping'!AA41&lt;=600), ('(橫掃)RX Mapping'!AA41-361),IF(AND('(橫掃)RX Mapping'!AA41&gt;=601,'(橫掃)RX Mapping'!AA41&lt;=720), (-1)*('(橫掃)RX Mapping'!AA41-720)+120,IF(AND('(橫掃)RX Mapping'!AA41&gt;=721,'(橫掃)RX Mapping'!AA41&lt;=840), ('(橫掃)RX Mapping'!AA41-601),IF(AND('(橫掃)RX Mapping'!AA41&gt;=841,'(橫掃)RX Mapping'!AA41&lt;=960), (-1)*('(橫掃)RX Mapping'!AA41-960)+120,9999))))))))</f>
        <v>9999</v>
      </c>
      <c r="AB41">
        <f>IF(AND('(橫掃)RX Mapping'!AB41&gt;=1,'(橫掃)RX Mapping'!AB41&lt;=120), ('(橫掃)RX Mapping'!AB41-1),IF(AND('(橫掃)RX Mapping'!AB41&gt;=121,'(橫掃)RX Mapping'!AB41&lt;=240), (-1)*('(橫掃)RX Mapping'!AB41-240),IF(AND('(橫掃)RX Mapping'!AB41&gt;=241,'(橫掃)RX Mapping'!AB41&lt;=360), ('(橫掃)RX Mapping'!AB41-241),IF(AND('(橫掃)RX Mapping'!AB41&gt;=361,'(橫掃)RX Mapping'!AB41&lt;=480), (-1)*('(橫掃)RX Mapping'!AB41-480),IF(AND('(橫掃)RX Mapping'!AB41&gt;=481,'(橫掃)RX Mapping'!AB41&lt;=600), ('(橫掃)RX Mapping'!AB41-361),IF(AND('(橫掃)RX Mapping'!AB41&gt;=601,'(橫掃)RX Mapping'!AB41&lt;=720), (-1)*('(橫掃)RX Mapping'!AB41-720)+120,IF(AND('(橫掃)RX Mapping'!AB41&gt;=721,'(橫掃)RX Mapping'!AB41&lt;=840), ('(橫掃)RX Mapping'!AB41-601),IF(AND('(橫掃)RX Mapping'!AB41&gt;=841,'(橫掃)RX Mapping'!AB41&lt;=960), (-1)*('(橫掃)RX Mapping'!AB41-960)+120,9999))))))))</f>
        <v>9999</v>
      </c>
      <c r="AC41">
        <f>IF(AND('(橫掃)RX Mapping'!AC41&gt;=1,'(橫掃)RX Mapping'!AC41&lt;=120), ('(橫掃)RX Mapping'!AC41-1),IF(AND('(橫掃)RX Mapping'!AC41&gt;=121,'(橫掃)RX Mapping'!AC41&lt;=240), (-1)*('(橫掃)RX Mapping'!AC41-240),IF(AND('(橫掃)RX Mapping'!AC41&gt;=241,'(橫掃)RX Mapping'!AC41&lt;=360), ('(橫掃)RX Mapping'!AC41-241),IF(AND('(橫掃)RX Mapping'!AC41&gt;=361,'(橫掃)RX Mapping'!AC41&lt;=480), (-1)*('(橫掃)RX Mapping'!AC41-480),IF(AND('(橫掃)RX Mapping'!AC41&gt;=481,'(橫掃)RX Mapping'!AC41&lt;=600), ('(橫掃)RX Mapping'!AC41-361),IF(AND('(橫掃)RX Mapping'!AC41&gt;=601,'(橫掃)RX Mapping'!AC41&lt;=720), (-1)*('(橫掃)RX Mapping'!AC41-720)+120,IF(AND('(橫掃)RX Mapping'!AC41&gt;=721,'(橫掃)RX Mapping'!AC41&lt;=840), ('(橫掃)RX Mapping'!AC41-601),IF(AND('(橫掃)RX Mapping'!AC41&gt;=841,'(橫掃)RX Mapping'!AC41&lt;=960), (-1)*('(橫掃)RX Mapping'!AC41-960)+120,9999))))))))</f>
        <v>9999</v>
      </c>
      <c r="AD41">
        <f>IF(AND('(橫掃)RX Mapping'!AD41&gt;=1,'(橫掃)RX Mapping'!AD41&lt;=120), ('(橫掃)RX Mapping'!AD41-1),IF(AND('(橫掃)RX Mapping'!AD41&gt;=121,'(橫掃)RX Mapping'!AD41&lt;=240), (-1)*('(橫掃)RX Mapping'!AD41-240),IF(AND('(橫掃)RX Mapping'!AD41&gt;=241,'(橫掃)RX Mapping'!AD41&lt;=360), ('(橫掃)RX Mapping'!AD41-241),IF(AND('(橫掃)RX Mapping'!AD41&gt;=361,'(橫掃)RX Mapping'!AD41&lt;=480), (-1)*('(橫掃)RX Mapping'!AD41-480),IF(AND('(橫掃)RX Mapping'!AD41&gt;=481,'(橫掃)RX Mapping'!AD41&lt;=600), ('(橫掃)RX Mapping'!AD41-361),IF(AND('(橫掃)RX Mapping'!AD41&gt;=601,'(橫掃)RX Mapping'!AD41&lt;=720), (-1)*('(橫掃)RX Mapping'!AD41-720)+120,IF(AND('(橫掃)RX Mapping'!AD41&gt;=721,'(橫掃)RX Mapping'!AD41&lt;=840), ('(橫掃)RX Mapping'!AD41-601),IF(AND('(橫掃)RX Mapping'!AD41&gt;=841,'(橫掃)RX Mapping'!AD41&lt;=960), (-1)*('(橫掃)RX Mapping'!AD41-960)+120,9999))))))))</f>
        <v>9999</v>
      </c>
      <c r="AE41">
        <f>IF(AND('(橫掃)RX Mapping'!AE41&gt;=1,'(橫掃)RX Mapping'!AE41&lt;=120), ('(橫掃)RX Mapping'!AE41-1),IF(AND('(橫掃)RX Mapping'!AE41&gt;=121,'(橫掃)RX Mapping'!AE41&lt;=240), (-1)*('(橫掃)RX Mapping'!AE41-240),IF(AND('(橫掃)RX Mapping'!AE41&gt;=241,'(橫掃)RX Mapping'!AE41&lt;=360), ('(橫掃)RX Mapping'!AE41-241),IF(AND('(橫掃)RX Mapping'!AE41&gt;=361,'(橫掃)RX Mapping'!AE41&lt;=480), (-1)*('(橫掃)RX Mapping'!AE41-480),IF(AND('(橫掃)RX Mapping'!AE41&gt;=481,'(橫掃)RX Mapping'!AE41&lt;=600), ('(橫掃)RX Mapping'!AE41-361),IF(AND('(橫掃)RX Mapping'!AE41&gt;=601,'(橫掃)RX Mapping'!AE41&lt;=720), (-1)*('(橫掃)RX Mapping'!AE41-720)+120,IF(AND('(橫掃)RX Mapping'!AE41&gt;=721,'(橫掃)RX Mapping'!AE41&lt;=840), ('(橫掃)RX Mapping'!AE41-601),IF(AND('(橫掃)RX Mapping'!AE41&gt;=841,'(橫掃)RX Mapping'!AE41&lt;=960), (-1)*('(橫掃)RX Mapping'!AE41-960)+120,9999))))))))</f>
        <v>9999</v>
      </c>
      <c r="AF41">
        <f>IF(AND('(橫掃)RX Mapping'!AF41&gt;=1,'(橫掃)RX Mapping'!AF41&lt;=120), ('(橫掃)RX Mapping'!AF41-1),IF(AND('(橫掃)RX Mapping'!AF41&gt;=121,'(橫掃)RX Mapping'!AF41&lt;=240), (-1)*('(橫掃)RX Mapping'!AF41-240),IF(AND('(橫掃)RX Mapping'!AF41&gt;=241,'(橫掃)RX Mapping'!AF41&lt;=360), ('(橫掃)RX Mapping'!AF41-241),IF(AND('(橫掃)RX Mapping'!AF41&gt;=361,'(橫掃)RX Mapping'!AF41&lt;=480), (-1)*('(橫掃)RX Mapping'!AF41-480),IF(AND('(橫掃)RX Mapping'!AF41&gt;=481,'(橫掃)RX Mapping'!AF41&lt;=600), ('(橫掃)RX Mapping'!AF41-361),IF(AND('(橫掃)RX Mapping'!AF41&gt;=601,'(橫掃)RX Mapping'!AF41&lt;=720), (-1)*('(橫掃)RX Mapping'!AF41-720)+120,IF(AND('(橫掃)RX Mapping'!AF41&gt;=721,'(橫掃)RX Mapping'!AF41&lt;=840), ('(橫掃)RX Mapping'!AF41-601),IF(AND('(橫掃)RX Mapping'!AF41&gt;=841,'(橫掃)RX Mapping'!AF41&lt;=960), (-1)*('(橫掃)RX Mapping'!AF41-960)+120,9999))))))))</f>
        <v>9999</v>
      </c>
      <c r="AG41">
        <f>IF(AND('(橫掃)RX Mapping'!AG41&gt;=1,'(橫掃)RX Mapping'!AG41&lt;=120), ('(橫掃)RX Mapping'!AG41-1),IF(AND('(橫掃)RX Mapping'!AG41&gt;=121,'(橫掃)RX Mapping'!AG41&lt;=240), (-1)*('(橫掃)RX Mapping'!AG41-240),IF(AND('(橫掃)RX Mapping'!AG41&gt;=241,'(橫掃)RX Mapping'!AG41&lt;=360), ('(橫掃)RX Mapping'!AG41-241),IF(AND('(橫掃)RX Mapping'!AG41&gt;=361,'(橫掃)RX Mapping'!AG41&lt;=480), (-1)*('(橫掃)RX Mapping'!AG41-480),IF(AND('(橫掃)RX Mapping'!AG41&gt;=481,'(橫掃)RX Mapping'!AG41&lt;=600), ('(橫掃)RX Mapping'!AG41-361),IF(AND('(橫掃)RX Mapping'!AG41&gt;=601,'(橫掃)RX Mapping'!AG41&lt;=720), (-1)*('(橫掃)RX Mapping'!AG41-720)+120,IF(AND('(橫掃)RX Mapping'!AG41&gt;=721,'(橫掃)RX Mapping'!AG41&lt;=840), ('(橫掃)RX Mapping'!AG41-601),IF(AND('(橫掃)RX Mapping'!AG41&gt;=841,'(橫掃)RX Mapping'!AG41&lt;=960), (-1)*('(橫掃)RX Mapping'!AG41-960)+120,9999))))))))</f>
        <v>9999</v>
      </c>
      <c r="AH41">
        <f>IF(AND('(橫掃)RX Mapping'!AH41&gt;=1,'(橫掃)RX Mapping'!AH41&lt;=120), ('(橫掃)RX Mapping'!AH41-1),IF(AND('(橫掃)RX Mapping'!AH41&gt;=121,'(橫掃)RX Mapping'!AH41&lt;=240), (-1)*('(橫掃)RX Mapping'!AH41-240),IF(AND('(橫掃)RX Mapping'!AH41&gt;=241,'(橫掃)RX Mapping'!AH41&lt;=360), ('(橫掃)RX Mapping'!AH41-241),IF(AND('(橫掃)RX Mapping'!AH41&gt;=361,'(橫掃)RX Mapping'!AH41&lt;=480), (-1)*('(橫掃)RX Mapping'!AH41-480),IF(AND('(橫掃)RX Mapping'!AH41&gt;=481,'(橫掃)RX Mapping'!AH41&lt;=600), ('(橫掃)RX Mapping'!AH41-361),IF(AND('(橫掃)RX Mapping'!AH41&gt;=601,'(橫掃)RX Mapping'!AH41&lt;=720), (-1)*('(橫掃)RX Mapping'!AH41-720)+120,IF(AND('(橫掃)RX Mapping'!AH41&gt;=721,'(橫掃)RX Mapping'!AH41&lt;=840), ('(橫掃)RX Mapping'!AH41-601),IF(AND('(橫掃)RX Mapping'!AH41&gt;=841,'(橫掃)RX Mapping'!AH41&lt;=960), (-1)*('(橫掃)RX Mapping'!AH41-960)+120,9999))))))))</f>
        <v>9999</v>
      </c>
      <c r="AI41">
        <f>IF(AND('(橫掃)RX Mapping'!AI41&gt;=1,'(橫掃)RX Mapping'!AI41&lt;=120), ('(橫掃)RX Mapping'!AI41-1),IF(AND('(橫掃)RX Mapping'!AI41&gt;=121,'(橫掃)RX Mapping'!AI41&lt;=240), (-1)*('(橫掃)RX Mapping'!AI41-240),IF(AND('(橫掃)RX Mapping'!AI41&gt;=241,'(橫掃)RX Mapping'!AI41&lt;=360), ('(橫掃)RX Mapping'!AI41-241),IF(AND('(橫掃)RX Mapping'!AI41&gt;=361,'(橫掃)RX Mapping'!AI41&lt;=480), (-1)*('(橫掃)RX Mapping'!AI41-480),IF(AND('(橫掃)RX Mapping'!AI41&gt;=481,'(橫掃)RX Mapping'!AI41&lt;=600), ('(橫掃)RX Mapping'!AI41-361),IF(AND('(橫掃)RX Mapping'!AI41&gt;=601,'(橫掃)RX Mapping'!AI41&lt;=720), (-1)*('(橫掃)RX Mapping'!AI41-720)+120,IF(AND('(橫掃)RX Mapping'!AI41&gt;=721,'(橫掃)RX Mapping'!AI41&lt;=840), ('(橫掃)RX Mapping'!AI41-601),IF(AND('(橫掃)RX Mapping'!AI41&gt;=841,'(橫掃)RX Mapping'!AI41&lt;=960), (-1)*('(橫掃)RX Mapping'!AI41-960)+120,9999))))))))</f>
        <v>9999</v>
      </c>
      <c r="AJ41">
        <f>IF(AND('(橫掃)RX Mapping'!AJ41&gt;=1,'(橫掃)RX Mapping'!AJ41&lt;=120), ('(橫掃)RX Mapping'!AJ41-1),IF(AND('(橫掃)RX Mapping'!AJ41&gt;=121,'(橫掃)RX Mapping'!AJ41&lt;=240), (-1)*('(橫掃)RX Mapping'!AJ41-240),IF(AND('(橫掃)RX Mapping'!AJ41&gt;=241,'(橫掃)RX Mapping'!AJ41&lt;=360), ('(橫掃)RX Mapping'!AJ41-241),IF(AND('(橫掃)RX Mapping'!AJ41&gt;=361,'(橫掃)RX Mapping'!AJ41&lt;=480), (-1)*('(橫掃)RX Mapping'!AJ41-480),IF(AND('(橫掃)RX Mapping'!AJ41&gt;=481,'(橫掃)RX Mapping'!AJ41&lt;=600), ('(橫掃)RX Mapping'!AJ41-361),IF(AND('(橫掃)RX Mapping'!AJ41&gt;=601,'(橫掃)RX Mapping'!AJ41&lt;=720), (-1)*('(橫掃)RX Mapping'!AJ41-720)+120,IF(AND('(橫掃)RX Mapping'!AJ41&gt;=721,'(橫掃)RX Mapping'!AJ41&lt;=840), ('(橫掃)RX Mapping'!AJ41-601),IF(AND('(橫掃)RX Mapping'!AJ41&gt;=841,'(橫掃)RX Mapping'!AJ41&lt;=960), (-1)*('(橫掃)RX Mapping'!AJ41-960)+120,9999))))))))</f>
        <v>9999</v>
      </c>
      <c r="AK41">
        <f>IF(AND('(橫掃)RX Mapping'!AK41&gt;=1,'(橫掃)RX Mapping'!AK41&lt;=120), ('(橫掃)RX Mapping'!AK41-1),IF(AND('(橫掃)RX Mapping'!AK41&gt;=121,'(橫掃)RX Mapping'!AK41&lt;=240), (-1)*('(橫掃)RX Mapping'!AK41-240),IF(AND('(橫掃)RX Mapping'!AK41&gt;=241,'(橫掃)RX Mapping'!AK41&lt;=360), ('(橫掃)RX Mapping'!AK41-241),IF(AND('(橫掃)RX Mapping'!AK41&gt;=361,'(橫掃)RX Mapping'!AK41&lt;=480), (-1)*('(橫掃)RX Mapping'!AK41-480),IF(AND('(橫掃)RX Mapping'!AK41&gt;=481,'(橫掃)RX Mapping'!AK41&lt;=600), ('(橫掃)RX Mapping'!AK41-361),IF(AND('(橫掃)RX Mapping'!AK41&gt;=601,'(橫掃)RX Mapping'!AK41&lt;=720), (-1)*('(橫掃)RX Mapping'!AK41-720)+120,IF(AND('(橫掃)RX Mapping'!AK41&gt;=721,'(橫掃)RX Mapping'!AK41&lt;=840), ('(橫掃)RX Mapping'!AK41-601),IF(AND('(橫掃)RX Mapping'!AK41&gt;=841,'(橫掃)RX Mapping'!AK41&lt;=960), (-1)*('(橫掃)RX Mapping'!AK41-960)+120,9999))))))))</f>
        <v>9999</v>
      </c>
      <c r="AL41">
        <f>IF(AND('(橫掃)RX Mapping'!AL41&gt;=1,'(橫掃)RX Mapping'!AL41&lt;=120), ('(橫掃)RX Mapping'!AL41-1),IF(AND('(橫掃)RX Mapping'!AL41&gt;=121,'(橫掃)RX Mapping'!AL41&lt;=240), (-1)*('(橫掃)RX Mapping'!AL41-240),IF(AND('(橫掃)RX Mapping'!AL41&gt;=241,'(橫掃)RX Mapping'!AL41&lt;=360), ('(橫掃)RX Mapping'!AL41-241),IF(AND('(橫掃)RX Mapping'!AL41&gt;=361,'(橫掃)RX Mapping'!AL41&lt;=480), (-1)*('(橫掃)RX Mapping'!AL41-480),IF(AND('(橫掃)RX Mapping'!AL41&gt;=481,'(橫掃)RX Mapping'!AL41&lt;=600), ('(橫掃)RX Mapping'!AL41-361),IF(AND('(橫掃)RX Mapping'!AL41&gt;=601,'(橫掃)RX Mapping'!AL41&lt;=720), (-1)*('(橫掃)RX Mapping'!AL41-720)+120,IF(AND('(橫掃)RX Mapping'!AL41&gt;=721,'(橫掃)RX Mapping'!AL41&lt;=840), ('(橫掃)RX Mapping'!AL41-601),IF(AND('(橫掃)RX Mapping'!AL41&gt;=841,'(橫掃)RX Mapping'!AL41&lt;=960), (-1)*('(橫掃)RX Mapping'!AL41-960)+120,9999))))))))</f>
        <v>9999</v>
      </c>
      <c r="AM41">
        <f>IF(AND('(橫掃)RX Mapping'!AM41&gt;=1,'(橫掃)RX Mapping'!AM41&lt;=120), ('(橫掃)RX Mapping'!AM41-1),IF(AND('(橫掃)RX Mapping'!AM41&gt;=121,'(橫掃)RX Mapping'!AM41&lt;=240), (-1)*('(橫掃)RX Mapping'!AM41-240),IF(AND('(橫掃)RX Mapping'!AM41&gt;=241,'(橫掃)RX Mapping'!AM41&lt;=360), ('(橫掃)RX Mapping'!AM41-241),IF(AND('(橫掃)RX Mapping'!AM41&gt;=361,'(橫掃)RX Mapping'!AM41&lt;=480), (-1)*('(橫掃)RX Mapping'!AM41-480),IF(AND('(橫掃)RX Mapping'!AM41&gt;=481,'(橫掃)RX Mapping'!AM41&lt;=600), ('(橫掃)RX Mapping'!AM41-361),IF(AND('(橫掃)RX Mapping'!AM41&gt;=601,'(橫掃)RX Mapping'!AM41&lt;=720), (-1)*('(橫掃)RX Mapping'!AM41-720)+120,IF(AND('(橫掃)RX Mapping'!AM41&gt;=721,'(橫掃)RX Mapping'!AM41&lt;=840), ('(橫掃)RX Mapping'!AM41-601),IF(AND('(橫掃)RX Mapping'!AM41&gt;=841,'(橫掃)RX Mapping'!AM41&lt;=960), (-1)*('(橫掃)RX Mapping'!AM41-960)+120,9999))))))))</f>
        <v>9999</v>
      </c>
      <c r="AN41">
        <f>IF(AND('(橫掃)RX Mapping'!AN41&gt;=1,'(橫掃)RX Mapping'!AN41&lt;=120), ('(橫掃)RX Mapping'!AN41-1),IF(AND('(橫掃)RX Mapping'!AN41&gt;=121,'(橫掃)RX Mapping'!AN41&lt;=240), (-1)*('(橫掃)RX Mapping'!AN41-240),IF(AND('(橫掃)RX Mapping'!AN41&gt;=241,'(橫掃)RX Mapping'!AN41&lt;=360), ('(橫掃)RX Mapping'!AN41-241),IF(AND('(橫掃)RX Mapping'!AN41&gt;=361,'(橫掃)RX Mapping'!AN41&lt;=480), (-1)*('(橫掃)RX Mapping'!AN41-480),IF(AND('(橫掃)RX Mapping'!AN41&gt;=481,'(橫掃)RX Mapping'!AN41&lt;=600), ('(橫掃)RX Mapping'!AN41-361),IF(AND('(橫掃)RX Mapping'!AN41&gt;=601,'(橫掃)RX Mapping'!AN41&lt;=720), (-1)*('(橫掃)RX Mapping'!AN41-720)+120,IF(AND('(橫掃)RX Mapping'!AN41&gt;=721,'(橫掃)RX Mapping'!AN41&lt;=840), ('(橫掃)RX Mapping'!AN41-601),IF(AND('(橫掃)RX Mapping'!AN41&gt;=841,'(橫掃)RX Mapping'!AN41&lt;=960), (-1)*('(橫掃)RX Mapping'!AN41-960)+120,9999))))))))</f>
        <v>9999</v>
      </c>
      <c r="AO41">
        <f>IF(AND('(橫掃)RX Mapping'!AO41&gt;=1,'(橫掃)RX Mapping'!AO41&lt;=120), ('(橫掃)RX Mapping'!AO41-1),IF(AND('(橫掃)RX Mapping'!AO41&gt;=121,'(橫掃)RX Mapping'!AO41&lt;=240), (-1)*('(橫掃)RX Mapping'!AO41-240),IF(AND('(橫掃)RX Mapping'!AO41&gt;=241,'(橫掃)RX Mapping'!AO41&lt;=360), ('(橫掃)RX Mapping'!AO41-241),IF(AND('(橫掃)RX Mapping'!AO41&gt;=361,'(橫掃)RX Mapping'!AO41&lt;=480), (-1)*('(橫掃)RX Mapping'!AO41-480),IF(AND('(橫掃)RX Mapping'!AO41&gt;=481,'(橫掃)RX Mapping'!AO41&lt;=600), ('(橫掃)RX Mapping'!AO41-361),IF(AND('(橫掃)RX Mapping'!AO41&gt;=601,'(橫掃)RX Mapping'!AO41&lt;=720), (-1)*('(橫掃)RX Mapping'!AO41-720)+120,IF(AND('(橫掃)RX Mapping'!AO41&gt;=721,'(橫掃)RX Mapping'!AO41&lt;=840), ('(橫掃)RX Mapping'!AO41-601),IF(AND('(橫掃)RX Mapping'!AO41&gt;=841,'(橫掃)RX Mapping'!AO41&lt;=960), (-1)*('(橫掃)RX Mapping'!AO41-960)+120,9999))))))))</f>
        <v>9999</v>
      </c>
      <c r="AP41">
        <f>IF(AND('(橫掃)RX Mapping'!AP41&gt;=1,'(橫掃)RX Mapping'!AP41&lt;=120), ('(橫掃)RX Mapping'!AP41-1),IF(AND('(橫掃)RX Mapping'!AP41&gt;=121,'(橫掃)RX Mapping'!AP41&lt;=240), (-1)*('(橫掃)RX Mapping'!AP41-240),IF(AND('(橫掃)RX Mapping'!AP41&gt;=241,'(橫掃)RX Mapping'!AP41&lt;=360), ('(橫掃)RX Mapping'!AP41-241),IF(AND('(橫掃)RX Mapping'!AP41&gt;=361,'(橫掃)RX Mapping'!AP41&lt;=480), (-1)*('(橫掃)RX Mapping'!AP41-480),IF(AND('(橫掃)RX Mapping'!AP41&gt;=481,'(橫掃)RX Mapping'!AP41&lt;=600), ('(橫掃)RX Mapping'!AP41-361),IF(AND('(橫掃)RX Mapping'!AP41&gt;=601,'(橫掃)RX Mapping'!AP41&lt;=720), (-1)*('(橫掃)RX Mapping'!AP41-720)+120,IF(AND('(橫掃)RX Mapping'!AP41&gt;=721,'(橫掃)RX Mapping'!AP41&lt;=840), ('(橫掃)RX Mapping'!AP41-601),IF(AND('(橫掃)RX Mapping'!AP41&gt;=841,'(橫掃)RX Mapping'!AP41&lt;=960), (-1)*('(橫掃)RX Mapping'!AP41-960)+120,9999))))))))</f>
        <v>9999</v>
      </c>
      <c r="AQ41">
        <f>IF(AND('(橫掃)RX Mapping'!AQ41&gt;=1,'(橫掃)RX Mapping'!AQ41&lt;=120), ('(橫掃)RX Mapping'!AQ41-1),IF(AND('(橫掃)RX Mapping'!AQ41&gt;=121,'(橫掃)RX Mapping'!AQ41&lt;=240), (-1)*('(橫掃)RX Mapping'!AQ41-240),IF(AND('(橫掃)RX Mapping'!AQ41&gt;=241,'(橫掃)RX Mapping'!AQ41&lt;=360), ('(橫掃)RX Mapping'!AQ41-241),IF(AND('(橫掃)RX Mapping'!AQ41&gt;=361,'(橫掃)RX Mapping'!AQ41&lt;=480), (-1)*('(橫掃)RX Mapping'!AQ41-480),IF(AND('(橫掃)RX Mapping'!AQ41&gt;=481,'(橫掃)RX Mapping'!AQ41&lt;=600), ('(橫掃)RX Mapping'!AQ41-361),IF(AND('(橫掃)RX Mapping'!AQ41&gt;=601,'(橫掃)RX Mapping'!AQ41&lt;=720), (-1)*('(橫掃)RX Mapping'!AQ41-720)+120,IF(AND('(橫掃)RX Mapping'!AQ41&gt;=721,'(橫掃)RX Mapping'!AQ41&lt;=840), ('(橫掃)RX Mapping'!AQ41-601),IF(AND('(橫掃)RX Mapping'!AQ41&gt;=841,'(橫掃)RX Mapping'!AQ41&lt;=960), (-1)*('(橫掃)RX Mapping'!AQ41-960)+120,9999))))))))</f>
        <v>9999</v>
      </c>
      <c r="AR41">
        <f>IF(AND('(橫掃)RX Mapping'!AR41&gt;=1,'(橫掃)RX Mapping'!AR41&lt;=120), ('(橫掃)RX Mapping'!AR41-1),IF(AND('(橫掃)RX Mapping'!AR41&gt;=121,'(橫掃)RX Mapping'!AR41&lt;=240), (-1)*('(橫掃)RX Mapping'!AR41-240),IF(AND('(橫掃)RX Mapping'!AR41&gt;=241,'(橫掃)RX Mapping'!AR41&lt;=360), ('(橫掃)RX Mapping'!AR41-241),IF(AND('(橫掃)RX Mapping'!AR41&gt;=361,'(橫掃)RX Mapping'!AR41&lt;=480), (-1)*('(橫掃)RX Mapping'!AR41-480),IF(AND('(橫掃)RX Mapping'!AR41&gt;=481,'(橫掃)RX Mapping'!AR41&lt;=600), ('(橫掃)RX Mapping'!AR41-361),IF(AND('(橫掃)RX Mapping'!AR41&gt;=601,'(橫掃)RX Mapping'!AR41&lt;=720), (-1)*('(橫掃)RX Mapping'!AR41-720)+120,IF(AND('(橫掃)RX Mapping'!AR41&gt;=721,'(橫掃)RX Mapping'!AR41&lt;=840), ('(橫掃)RX Mapping'!AR41-601),IF(AND('(橫掃)RX Mapping'!AR41&gt;=841,'(橫掃)RX Mapping'!AR41&lt;=960), (-1)*('(橫掃)RX Mapping'!AR41-960)+120,9999))))))))</f>
        <v>9999</v>
      </c>
      <c r="AS41">
        <f>IF(AND('(橫掃)RX Mapping'!AS41&gt;=1,'(橫掃)RX Mapping'!AS41&lt;=120), ('(橫掃)RX Mapping'!AS41-1),IF(AND('(橫掃)RX Mapping'!AS41&gt;=121,'(橫掃)RX Mapping'!AS41&lt;=240), (-1)*('(橫掃)RX Mapping'!AS41-240),IF(AND('(橫掃)RX Mapping'!AS41&gt;=241,'(橫掃)RX Mapping'!AS41&lt;=360), ('(橫掃)RX Mapping'!AS41-241),IF(AND('(橫掃)RX Mapping'!AS41&gt;=361,'(橫掃)RX Mapping'!AS41&lt;=480), (-1)*('(橫掃)RX Mapping'!AS41-480),IF(AND('(橫掃)RX Mapping'!AS41&gt;=481,'(橫掃)RX Mapping'!AS41&lt;=600), ('(橫掃)RX Mapping'!AS41-361),IF(AND('(橫掃)RX Mapping'!AS41&gt;=601,'(橫掃)RX Mapping'!AS41&lt;=720), (-1)*('(橫掃)RX Mapping'!AS41-720)+120,IF(AND('(橫掃)RX Mapping'!AS41&gt;=721,'(橫掃)RX Mapping'!AS41&lt;=840), ('(橫掃)RX Mapping'!AS41-601),IF(AND('(橫掃)RX Mapping'!AS41&gt;=841,'(橫掃)RX Mapping'!AS41&lt;=960), (-1)*('(橫掃)RX Mapping'!AS41-960)+120,9999))))))))</f>
        <v>9999</v>
      </c>
      <c r="AT41">
        <f>IF(AND('(橫掃)RX Mapping'!AT41&gt;=1,'(橫掃)RX Mapping'!AT41&lt;=120), ('(橫掃)RX Mapping'!AT41-1),IF(AND('(橫掃)RX Mapping'!AT41&gt;=121,'(橫掃)RX Mapping'!AT41&lt;=240), (-1)*('(橫掃)RX Mapping'!AT41-240),IF(AND('(橫掃)RX Mapping'!AT41&gt;=241,'(橫掃)RX Mapping'!AT41&lt;=360), ('(橫掃)RX Mapping'!AT41-241),IF(AND('(橫掃)RX Mapping'!AT41&gt;=361,'(橫掃)RX Mapping'!AT41&lt;=480), (-1)*('(橫掃)RX Mapping'!AT41-480),IF(AND('(橫掃)RX Mapping'!AT41&gt;=481,'(橫掃)RX Mapping'!AT41&lt;=600), ('(橫掃)RX Mapping'!AT41-361),IF(AND('(橫掃)RX Mapping'!AT41&gt;=601,'(橫掃)RX Mapping'!AT41&lt;=720), (-1)*('(橫掃)RX Mapping'!AT41-720)+120,IF(AND('(橫掃)RX Mapping'!AT41&gt;=721,'(橫掃)RX Mapping'!AT41&lt;=840), ('(橫掃)RX Mapping'!AT41-601),IF(AND('(橫掃)RX Mapping'!AT41&gt;=841,'(橫掃)RX Mapping'!AT41&lt;=960), (-1)*('(橫掃)RX Mapping'!AT41-960)+120,9999))))))))</f>
        <v>9999</v>
      </c>
      <c r="AU41">
        <f>IF(AND('(橫掃)RX Mapping'!AU41&gt;=1,'(橫掃)RX Mapping'!AU41&lt;=120), ('(橫掃)RX Mapping'!AU41-1),IF(AND('(橫掃)RX Mapping'!AU41&gt;=121,'(橫掃)RX Mapping'!AU41&lt;=240), (-1)*('(橫掃)RX Mapping'!AU41-240),IF(AND('(橫掃)RX Mapping'!AU41&gt;=241,'(橫掃)RX Mapping'!AU41&lt;=360), ('(橫掃)RX Mapping'!AU41-241),IF(AND('(橫掃)RX Mapping'!AU41&gt;=361,'(橫掃)RX Mapping'!AU41&lt;=480), (-1)*('(橫掃)RX Mapping'!AU41-480),IF(AND('(橫掃)RX Mapping'!AU41&gt;=481,'(橫掃)RX Mapping'!AU41&lt;=600), ('(橫掃)RX Mapping'!AU41-361),IF(AND('(橫掃)RX Mapping'!AU41&gt;=601,'(橫掃)RX Mapping'!AU41&lt;=720), (-1)*('(橫掃)RX Mapping'!AU41-720)+120,IF(AND('(橫掃)RX Mapping'!AU41&gt;=721,'(橫掃)RX Mapping'!AU41&lt;=840), ('(橫掃)RX Mapping'!AU41-601),IF(AND('(橫掃)RX Mapping'!AU41&gt;=841,'(橫掃)RX Mapping'!AU41&lt;=960), (-1)*('(橫掃)RX Mapping'!AU41-960)+120,9999))))))))</f>
        <v>9999</v>
      </c>
      <c r="AV41">
        <f>IF(AND('(橫掃)RX Mapping'!AV41&gt;=1,'(橫掃)RX Mapping'!AV41&lt;=120), ('(橫掃)RX Mapping'!AV41-1),IF(AND('(橫掃)RX Mapping'!AV41&gt;=121,'(橫掃)RX Mapping'!AV41&lt;=240), (-1)*('(橫掃)RX Mapping'!AV41-240),IF(AND('(橫掃)RX Mapping'!AV41&gt;=241,'(橫掃)RX Mapping'!AV41&lt;=360), ('(橫掃)RX Mapping'!AV41-241),IF(AND('(橫掃)RX Mapping'!AV41&gt;=361,'(橫掃)RX Mapping'!AV41&lt;=480), (-1)*('(橫掃)RX Mapping'!AV41-480),IF(AND('(橫掃)RX Mapping'!AV41&gt;=481,'(橫掃)RX Mapping'!AV41&lt;=600), ('(橫掃)RX Mapping'!AV41-361),IF(AND('(橫掃)RX Mapping'!AV41&gt;=601,'(橫掃)RX Mapping'!AV41&lt;=720), (-1)*('(橫掃)RX Mapping'!AV41-720)+120,IF(AND('(橫掃)RX Mapping'!AV41&gt;=721,'(橫掃)RX Mapping'!AV41&lt;=840), ('(橫掃)RX Mapping'!AV41-601),IF(AND('(橫掃)RX Mapping'!AV41&gt;=841,'(橫掃)RX Mapping'!AV41&lt;=960), (-1)*('(橫掃)RX Mapping'!AV41-960)+120,9999))))))))</f>
        <v>9999</v>
      </c>
      <c r="AW41">
        <f>IF(AND('(橫掃)RX Mapping'!AW41&gt;=1,'(橫掃)RX Mapping'!AW41&lt;=120), ('(橫掃)RX Mapping'!AW41-1),IF(AND('(橫掃)RX Mapping'!AW41&gt;=121,'(橫掃)RX Mapping'!AW41&lt;=240), (-1)*('(橫掃)RX Mapping'!AW41-240),IF(AND('(橫掃)RX Mapping'!AW41&gt;=241,'(橫掃)RX Mapping'!AW41&lt;=360), ('(橫掃)RX Mapping'!AW41-241),IF(AND('(橫掃)RX Mapping'!AW41&gt;=361,'(橫掃)RX Mapping'!AW41&lt;=480), (-1)*('(橫掃)RX Mapping'!AW41-480),IF(AND('(橫掃)RX Mapping'!AW41&gt;=481,'(橫掃)RX Mapping'!AW41&lt;=600), ('(橫掃)RX Mapping'!AW41-361),IF(AND('(橫掃)RX Mapping'!AW41&gt;=601,'(橫掃)RX Mapping'!AW41&lt;=720), (-1)*('(橫掃)RX Mapping'!AW41-720)+120,IF(AND('(橫掃)RX Mapping'!AW41&gt;=721,'(橫掃)RX Mapping'!AW41&lt;=840), ('(橫掃)RX Mapping'!AW41-601),IF(AND('(橫掃)RX Mapping'!AW41&gt;=841,'(橫掃)RX Mapping'!AW41&lt;=960), (-1)*('(橫掃)RX Mapping'!AW41-960)+120,9999))))))))</f>
        <v>9999</v>
      </c>
      <c r="AX41">
        <f>IF(AND('(橫掃)RX Mapping'!AX41&gt;=1,'(橫掃)RX Mapping'!AX41&lt;=120), ('(橫掃)RX Mapping'!AX41-1),IF(AND('(橫掃)RX Mapping'!AX41&gt;=121,'(橫掃)RX Mapping'!AX41&lt;=240), (-1)*('(橫掃)RX Mapping'!AX41-240),IF(AND('(橫掃)RX Mapping'!AX41&gt;=241,'(橫掃)RX Mapping'!AX41&lt;=360), ('(橫掃)RX Mapping'!AX41-241),IF(AND('(橫掃)RX Mapping'!AX41&gt;=361,'(橫掃)RX Mapping'!AX41&lt;=480), (-1)*('(橫掃)RX Mapping'!AX41-480),IF(AND('(橫掃)RX Mapping'!AX41&gt;=481,'(橫掃)RX Mapping'!AX41&lt;=600), ('(橫掃)RX Mapping'!AX41-361),IF(AND('(橫掃)RX Mapping'!AX41&gt;=601,'(橫掃)RX Mapping'!AX41&lt;=720), (-1)*('(橫掃)RX Mapping'!AX41-720)+120,IF(AND('(橫掃)RX Mapping'!AX41&gt;=721,'(橫掃)RX Mapping'!AX41&lt;=840), ('(橫掃)RX Mapping'!AX41-601),IF(AND('(橫掃)RX Mapping'!AX41&gt;=841,'(橫掃)RX Mapping'!AX41&lt;=960), (-1)*('(橫掃)RX Mapping'!AX41-960)+120,9999))))))))</f>
        <v>9999</v>
      </c>
      <c r="AY41">
        <f>IF(AND('(橫掃)RX Mapping'!AY41&gt;=1,'(橫掃)RX Mapping'!AY41&lt;=120), ('(橫掃)RX Mapping'!AY41-1),IF(AND('(橫掃)RX Mapping'!AY41&gt;=121,'(橫掃)RX Mapping'!AY41&lt;=240), (-1)*('(橫掃)RX Mapping'!AY41-240),IF(AND('(橫掃)RX Mapping'!AY41&gt;=241,'(橫掃)RX Mapping'!AY41&lt;=360), ('(橫掃)RX Mapping'!AY41-241),IF(AND('(橫掃)RX Mapping'!AY41&gt;=361,'(橫掃)RX Mapping'!AY41&lt;=480), (-1)*('(橫掃)RX Mapping'!AY41-480),IF(AND('(橫掃)RX Mapping'!AY41&gt;=481,'(橫掃)RX Mapping'!AY41&lt;=600), ('(橫掃)RX Mapping'!AY41-361),IF(AND('(橫掃)RX Mapping'!AY41&gt;=601,'(橫掃)RX Mapping'!AY41&lt;=720), (-1)*('(橫掃)RX Mapping'!AY41-720)+120,IF(AND('(橫掃)RX Mapping'!AY41&gt;=721,'(橫掃)RX Mapping'!AY41&lt;=840), ('(橫掃)RX Mapping'!AY41-601),IF(AND('(橫掃)RX Mapping'!AY41&gt;=841,'(橫掃)RX Mapping'!AY41&lt;=960), (-1)*('(橫掃)RX Mapping'!AY41-960)+120,9999))))))))</f>
        <v>9999</v>
      </c>
      <c r="AZ41">
        <f>IF(AND('(橫掃)RX Mapping'!AZ41&gt;=1,'(橫掃)RX Mapping'!AZ41&lt;=120), ('(橫掃)RX Mapping'!AZ41-1),IF(AND('(橫掃)RX Mapping'!AZ41&gt;=121,'(橫掃)RX Mapping'!AZ41&lt;=240), (-1)*('(橫掃)RX Mapping'!AZ41-240),IF(AND('(橫掃)RX Mapping'!AZ41&gt;=241,'(橫掃)RX Mapping'!AZ41&lt;=360), ('(橫掃)RX Mapping'!AZ41-241),IF(AND('(橫掃)RX Mapping'!AZ41&gt;=361,'(橫掃)RX Mapping'!AZ41&lt;=480), (-1)*('(橫掃)RX Mapping'!AZ41-480),IF(AND('(橫掃)RX Mapping'!AZ41&gt;=481,'(橫掃)RX Mapping'!AZ41&lt;=600), ('(橫掃)RX Mapping'!AZ41-361),IF(AND('(橫掃)RX Mapping'!AZ41&gt;=601,'(橫掃)RX Mapping'!AZ41&lt;=720), (-1)*('(橫掃)RX Mapping'!AZ41-720)+120,IF(AND('(橫掃)RX Mapping'!AZ41&gt;=721,'(橫掃)RX Mapping'!AZ41&lt;=840), ('(橫掃)RX Mapping'!AZ41-601),IF(AND('(橫掃)RX Mapping'!AZ41&gt;=841,'(橫掃)RX Mapping'!AZ41&lt;=960), (-1)*('(橫掃)RX Mapping'!AZ41-960)+120,9999))))))))</f>
        <v>9999</v>
      </c>
      <c r="BA41">
        <f>IF(AND('(橫掃)RX Mapping'!BA41&gt;=1,'(橫掃)RX Mapping'!BA41&lt;=120), ('(橫掃)RX Mapping'!BA41-1),IF(AND('(橫掃)RX Mapping'!BA41&gt;=121,'(橫掃)RX Mapping'!BA41&lt;=240), (-1)*('(橫掃)RX Mapping'!BA41-240),IF(AND('(橫掃)RX Mapping'!BA41&gt;=241,'(橫掃)RX Mapping'!BA41&lt;=360), ('(橫掃)RX Mapping'!BA41-241),IF(AND('(橫掃)RX Mapping'!BA41&gt;=361,'(橫掃)RX Mapping'!BA41&lt;=480), (-1)*('(橫掃)RX Mapping'!BA41-480),IF(AND('(橫掃)RX Mapping'!BA41&gt;=481,'(橫掃)RX Mapping'!BA41&lt;=600), ('(橫掃)RX Mapping'!BA41-361),IF(AND('(橫掃)RX Mapping'!BA41&gt;=601,'(橫掃)RX Mapping'!BA41&lt;=720), (-1)*('(橫掃)RX Mapping'!BA41-720)+120,IF(AND('(橫掃)RX Mapping'!BA41&gt;=721,'(橫掃)RX Mapping'!BA41&lt;=840), ('(橫掃)RX Mapping'!BA41-601),IF(AND('(橫掃)RX Mapping'!BA41&gt;=841,'(橫掃)RX Mapping'!BA41&lt;=960), (-1)*('(橫掃)RX Mapping'!BA41-960)+120,9999))))))))</f>
        <v>9999</v>
      </c>
      <c r="BB41">
        <f>IF(AND('(橫掃)RX Mapping'!BB41&gt;=1,'(橫掃)RX Mapping'!BB41&lt;=120), ('(橫掃)RX Mapping'!BB41-1),IF(AND('(橫掃)RX Mapping'!BB41&gt;=121,'(橫掃)RX Mapping'!BB41&lt;=240), (-1)*('(橫掃)RX Mapping'!BB41-240),IF(AND('(橫掃)RX Mapping'!BB41&gt;=241,'(橫掃)RX Mapping'!BB41&lt;=360), ('(橫掃)RX Mapping'!BB41-241),IF(AND('(橫掃)RX Mapping'!BB41&gt;=361,'(橫掃)RX Mapping'!BB41&lt;=480), (-1)*('(橫掃)RX Mapping'!BB41-480),IF(AND('(橫掃)RX Mapping'!BB41&gt;=481,'(橫掃)RX Mapping'!BB41&lt;=600), ('(橫掃)RX Mapping'!BB41-361),IF(AND('(橫掃)RX Mapping'!BB41&gt;=601,'(橫掃)RX Mapping'!BB41&lt;=720), (-1)*('(橫掃)RX Mapping'!BB41-720)+120,IF(AND('(橫掃)RX Mapping'!BB41&gt;=721,'(橫掃)RX Mapping'!BB41&lt;=840), ('(橫掃)RX Mapping'!BB41-601),IF(AND('(橫掃)RX Mapping'!BB41&gt;=841,'(橫掃)RX Mapping'!BB41&lt;=960), (-1)*('(橫掃)RX Mapping'!BB41-960)+120,9999))))))))</f>
        <v>9999</v>
      </c>
      <c r="BC41">
        <f>IF(AND('(橫掃)RX Mapping'!BC41&gt;=1,'(橫掃)RX Mapping'!BC41&lt;=120), ('(橫掃)RX Mapping'!BC41-1),IF(AND('(橫掃)RX Mapping'!BC41&gt;=121,'(橫掃)RX Mapping'!BC41&lt;=240), (-1)*('(橫掃)RX Mapping'!BC41-240),IF(AND('(橫掃)RX Mapping'!BC41&gt;=241,'(橫掃)RX Mapping'!BC41&lt;=360), ('(橫掃)RX Mapping'!BC41-241),IF(AND('(橫掃)RX Mapping'!BC41&gt;=361,'(橫掃)RX Mapping'!BC41&lt;=480), (-1)*('(橫掃)RX Mapping'!BC41-480),IF(AND('(橫掃)RX Mapping'!BC41&gt;=481,'(橫掃)RX Mapping'!BC41&lt;=600), ('(橫掃)RX Mapping'!BC41-361),IF(AND('(橫掃)RX Mapping'!BC41&gt;=601,'(橫掃)RX Mapping'!BC41&lt;=720), (-1)*('(橫掃)RX Mapping'!BC41-720)+120,IF(AND('(橫掃)RX Mapping'!BC41&gt;=721,'(橫掃)RX Mapping'!BC41&lt;=840), ('(橫掃)RX Mapping'!BC41-601),IF(AND('(橫掃)RX Mapping'!BC41&gt;=841,'(橫掃)RX Mapping'!BC41&lt;=960), (-1)*('(橫掃)RX Mapping'!BC41-960)+120,9999))))))))</f>
        <v>9999</v>
      </c>
      <c r="BD41">
        <f>IF(AND('(橫掃)RX Mapping'!BD41&gt;=1,'(橫掃)RX Mapping'!BD41&lt;=120), ('(橫掃)RX Mapping'!BD41-1),IF(AND('(橫掃)RX Mapping'!BD41&gt;=121,'(橫掃)RX Mapping'!BD41&lt;=240), (-1)*('(橫掃)RX Mapping'!BD41-240),IF(AND('(橫掃)RX Mapping'!BD41&gt;=241,'(橫掃)RX Mapping'!BD41&lt;=360), ('(橫掃)RX Mapping'!BD41-241),IF(AND('(橫掃)RX Mapping'!BD41&gt;=361,'(橫掃)RX Mapping'!BD41&lt;=480), (-1)*('(橫掃)RX Mapping'!BD41-480),IF(AND('(橫掃)RX Mapping'!BD41&gt;=481,'(橫掃)RX Mapping'!BD41&lt;=600), ('(橫掃)RX Mapping'!BD41-361),IF(AND('(橫掃)RX Mapping'!BD41&gt;=601,'(橫掃)RX Mapping'!BD41&lt;=720), (-1)*('(橫掃)RX Mapping'!BD41-720)+120,IF(AND('(橫掃)RX Mapping'!BD41&gt;=721,'(橫掃)RX Mapping'!BD41&lt;=840), ('(橫掃)RX Mapping'!BD41-601),IF(AND('(橫掃)RX Mapping'!BD41&gt;=841,'(橫掃)RX Mapping'!BD41&lt;=960), (-1)*('(橫掃)RX Mapping'!BD41-960)+120,9999))))))))</f>
        <v>9999</v>
      </c>
      <c r="BE41">
        <f>IF(AND('(橫掃)RX Mapping'!BE41&gt;=1,'(橫掃)RX Mapping'!BE41&lt;=120), ('(橫掃)RX Mapping'!BE41-1),IF(AND('(橫掃)RX Mapping'!BE41&gt;=121,'(橫掃)RX Mapping'!BE41&lt;=240), (-1)*('(橫掃)RX Mapping'!BE41-240),IF(AND('(橫掃)RX Mapping'!BE41&gt;=241,'(橫掃)RX Mapping'!BE41&lt;=360), ('(橫掃)RX Mapping'!BE41-241),IF(AND('(橫掃)RX Mapping'!BE41&gt;=361,'(橫掃)RX Mapping'!BE41&lt;=480), (-1)*('(橫掃)RX Mapping'!BE41-480),IF(AND('(橫掃)RX Mapping'!BE41&gt;=481,'(橫掃)RX Mapping'!BE41&lt;=600), ('(橫掃)RX Mapping'!BE41-361),IF(AND('(橫掃)RX Mapping'!BE41&gt;=601,'(橫掃)RX Mapping'!BE41&lt;=720), (-1)*('(橫掃)RX Mapping'!BE41-720)+120,IF(AND('(橫掃)RX Mapping'!BE41&gt;=721,'(橫掃)RX Mapping'!BE41&lt;=840), ('(橫掃)RX Mapping'!BE41-601),IF(AND('(橫掃)RX Mapping'!BE41&gt;=841,'(橫掃)RX Mapping'!BE41&lt;=960), (-1)*('(橫掃)RX Mapping'!BE41-960)+120,9999))))))))</f>
        <v>9999</v>
      </c>
      <c r="BF41">
        <f>IF(AND('(橫掃)RX Mapping'!BF41&gt;=1,'(橫掃)RX Mapping'!BF41&lt;=120), ('(橫掃)RX Mapping'!BF41-1),IF(AND('(橫掃)RX Mapping'!BF41&gt;=121,'(橫掃)RX Mapping'!BF41&lt;=240), (-1)*('(橫掃)RX Mapping'!BF41-240),IF(AND('(橫掃)RX Mapping'!BF41&gt;=241,'(橫掃)RX Mapping'!BF41&lt;=360), ('(橫掃)RX Mapping'!BF41-241),IF(AND('(橫掃)RX Mapping'!BF41&gt;=361,'(橫掃)RX Mapping'!BF41&lt;=480), (-1)*('(橫掃)RX Mapping'!BF41-480),IF(AND('(橫掃)RX Mapping'!BF41&gt;=481,'(橫掃)RX Mapping'!BF41&lt;=600), ('(橫掃)RX Mapping'!BF41-361),IF(AND('(橫掃)RX Mapping'!BF41&gt;=601,'(橫掃)RX Mapping'!BF41&lt;=720), (-1)*('(橫掃)RX Mapping'!BF41-720)+120,IF(AND('(橫掃)RX Mapping'!BF41&gt;=721,'(橫掃)RX Mapping'!BF41&lt;=840), ('(橫掃)RX Mapping'!BF41-601),IF(AND('(橫掃)RX Mapping'!BF41&gt;=841,'(橫掃)RX Mapping'!BF41&lt;=960), (-1)*('(橫掃)RX Mapping'!BF41-960)+120,9999))))))))</f>
        <v>9999</v>
      </c>
      <c r="BG41">
        <f>IF(AND('(橫掃)RX Mapping'!BG41&gt;=1,'(橫掃)RX Mapping'!BG41&lt;=120), ('(橫掃)RX Mapping'!BG41-1),IF(AND('(橫掃)RX Mapping'!BG41&gt;=121,'(橫掃)RX Mapping'!BG41&lt;=240), (-1)*('(橫掃)RX Mapping'!BG41-240),IF(AND('(橫掃)RX Mapping'!BG41&gt;=241,'(橫掃)RX Mapping'!BG41&lt;=360), ('(橫掃)RX Mapping'!BG41-241),IF(AND('(橫掃)RX Mapping'!BG41&gt;=361,'(橫掃)RX Mapping'!BG41&lt;=480), (-1)*('(橫掃)RX Mapping'!BG41-480),IF(AND('(橫掃)RX Mapping'!BG41&gt;=481,'(橫掃)RX Mapping'!BG41&lt;=600), ('(橫掃)RX Mapping'!BG41-361),IF(AND('(橫掃)RX Mapping'!BG41&gt;=601,'(橫掃)RX Mapping'!BG41&lt;=720), (-1)*('(橫掃)RX Mapping'!BG41-720)+120,IF(AND('(橫掃)RX Mapping'!BG41&gt;=721,'(橫掃)RX Mapping'!BG41&lt;=840), ('(橫掃)RX Mapping'!BG41-601),IF(AND('(橫掃)RX Mapping'!BG41&gt;=841,'(橫掃)RX Mapping'!BG41&lt;=960), (-1)*('(橫掃)RX Mapping'!BG41-960)+120,9999))))))))</f>
        <v>9999</v>
      </c>
      <c r="BH41">
        <f>IF(AND('(橫掃)RX Mapping'!BH41&gt;=1,'(橫掃)RX Mapping'!BH41&lt;=120), ('(橫掃)RX Mapping'!BH41-1),IF(AND('(橫掃)RX Mapping'!BH41&gt;=121,'(橫掃)RX Mapping'!BH41&lt;=240), (-1)*('(橫掃)RX Mapping'!BH41-240),IF(AND('(橫掃)RX Mapping'!BH41&gt;=241,'(橫掃)RX Mapping'!BH41&lt;=360), ('(橫掃)RX Mapping'!BH41-241),IF(AND('(橫掃)RX Mapping'!BH41&gt;=361,'(橫掃)RX Mapping'!BH41&lt;=480), (-1)*('(橫掃)RX Mapping'!BH41-480),IF(AND('(橫掃)RX Mapping'!BH41&gt;=481,'(橫掃)RX Mapping'!BH41&lt;=600), ('(橫掃)RX Mapping'!BH41-361),IF(AND('(橫掃)RX Mapping'!BH41&gt;=601,'(橫掃)RX Mapping'!BH41&lt;=720), (-1)*('(橫掃)RX Mapping'!BH41-720)+120,IF(AND('(橫掃)RX Mapping'!BH41&gt;=721,'(橫掃)RX Mapping'!BH41&lt;=840), ('(橫掃)RX Mapping'!BH41-601),IF(AND('(橫掃)RX Mapping'!BH41&gt;=841,'(橫掃)RX Mapping'!BH41&lt;=960), (-1)*('(橫掃)RX Mapping'!BH41-960)+120,9999))))))))</f>
        <v>9999</v>
      </c>
      <c r="BI41">
        <f>IF(AND('(橫掃)RX Mapping'!BI41&gt;=1,'(橫掃)RX Mapping'!BI41&lt;=120), ('(橫掃)RX Mapping'!BI41-1),IF(AND('(橫掃)RX Mapping'!BI41&gt;=121,'(橫掃)RX Mapping'!BI41&lt;=240), (-1)*('(橫掃)RX Mapping'!BI41-240),IF(AND('(橫掃)RX Mapping'!BI41&gt;=241,'(橫掃)RX Mapping'!BI41&lt;=360), ('(橫掃)RX Mapping'!BI41-241),IF(AND('(橫掃)RX Mapping'!BI41&gt;=361,'(橫掃)RX Mapping'!BI41&lt;=480), (-1)*('(橫掃)RX Mapping'!BI41-480),IF(AND('(橫掃)RX Mapping'!BI41&gt;=481,'(橫掃)RX Mapping'!BI41&lt;=600), ('(橫掃)RX Mapping'!BI41-361),IF(AND('(橫掃)RX Mapping'!BI41&gt;=601,'(橫掃)RX Mapping'!BI41&lt;=720), (-1)*('(橫掃)RX Mapping'!BI41-720)+120,IF(AND('(橫掃)RX Mapping'!BI41&gt;=721,'(橫掃)RX Mapping'!BI41&lt;=840), ('(橫掃)RX Mapping'!BI41-601),IF(AND('(橫掃)RX Mapping'!BI41&gt;=841,'(橫掃)RX Mapping'!BI41&lt;=960), (-1)*('(橫掃)RX Mapping'!BI41-960)+120,9999))))))))</f>
        <v>9999</v>
      </c>
    </row>
    <row r="42" spans="1:61" x14ac:dyDescent="0.25">
      <c r="A42" s="20">
        <v>41</v>
      </c>
      <c r="B42">
        <f>IF(AND('(橫掃)RX Mapping'!B42&gt;=1,'(橫掃)RX Mapping'!B42&lt;=120), ('(橫掃)RX Mapping'!B42-1),IF(AND('(橫掃)RX Mapping'!B42&gt;=121,'(橫掃)RX Mapping'!B42&lt;=240), (-1)*('(橫掃)RX Mapping'!B42-240),IF(AND('(橫掃)RX Mapping'!B42&gt;=241,'(橫掃)RX Mapping'!B42&lt;=360), ('(橫掃)RX Mapping'!B42-241),IF(AND('(橫掃)RX Mapping'!B42&gt;=361,'(橫掃)RX Mapping'!B42&lt;=480), (-1)*('(橫掃)RX Mapping'!B42-480),IF(AND('(橫掃)RX Mapping'!B42&gt;=481,'(橫掃)RX Mapping'!B42&lt;=600), ('(橫掃)RX Mapping'!B42-361),IF(AND('(橫掃)RX Mapping'!B42&gt;=601,'(橫掃)RX Mapping'!B42&lt;=720), (-1)*('(橫掃)RX Mapping'!B42-720)+120,IF(AND('(橫掃)RX Mapping'!B42&gt;=721,'(橫掃)RX Mapping'!B42&lt;=840), ('(橫掃)RX Mapping'!B42-601),IF(AND('(橫掃)RX Mapping'!B42&gt;=841,'(橫掃)RX Mapping'!B42&lt;=960), (-1)*('(橫掃)RX Mapping'!B42-960)+120,9999))))))))</f>
        <v>9999</v>
      </c>
      <c r="C42">
        <f>IF(AND('(橫掃)RX Mapping'!C42&gt;=1,'(橫掃)RX Mapping'!C42&lt;=120), ('(橫掃)RX Mapping'!C42-1),IF(AND('(橫掃)RX Mapping'!C42&gt;=121,'(橫掃)RX Mapping'!C42&lt;=240), (-1)*('(橫掃)RX Mapping'!C42-240),IF(AND('(橫掃)RX Mapping'!C42&gt;=241,'(橫掃)RX Mapping'!C42&lt;=360), ('(橫掃)RX Mapping'!C42-241),IF(AND('(橫掃)RX Mapping'!C42&gt;=361,'(橫掃)RX Mapping'!C42&lt;=480), (-1)*('(橫掃)RX Mapping'!C42-480),IF(AND('(橫掃)RX Mapping'!C42&gt;=481,'(橫掃)RX Mapping'!C42&lt;=600), ('(橫掃)RX Mapping'!C42-361),IF(AND('(橫掃)RX Mapping'!C42&gt;=601,'(橫掃)RX Mapping'!C42&lt;=720), (-1)*('(橫掃)RX Mapping'!C42-720)+120,IF(AND('(橫掃)RX Mapping'!C42&gt;=721,'(橫掃)RX Mapping'!C42&lt;=840), ('(橫掃)RX Mapping'!C42-601),IF(AND('(橫掃)RX Mapping'!C42&gt;=841,'(橫掃)RX Mapping'!C42&lt;=960), (-1)*('(橫掃)RX Mapping'!C42-960)+120,9999))))))))</f>
        <v>9999</v>
      </c>
      <c r="D42">
        <f>IF(AND('(橫掃)RX Mapping'!D42&gt;=1,'(橫掃)RX Mapping'!D42&lt;=120), ('(橫掃)RX Mapping'!D42-1),IF(AND('(橫掃)RX Mapping'!D42&gt;=121,'(橫掃)RX Mapping'!D42&lt;=240), (-1)*('(橫掃)RX Mapping'!D42-240),IF(AND('(橫掃)RX Mapping'!D42&gt;=241,'(橫掃)RX Mapping'!D42&lt;=360), ('(橫掃)RX Mapping'!D42-241),IF(AND('(橫掃)RX Mapping'!D42&gt;=361,'(橫掃)RX Mapping'!D42&lt;=480), (-1)*('(橫掃)RX Mapping'!D42-480),IF(AND('(橫掃)RX Mapping'!D42&gt;=481,'(橫掃)RX Mapping'!D42&lt;=600), ('(橫掃)RX Mapping'!D42-361),IF(AND('(橫掃)RX Mapping'!D42&gt;=601,'(橫掃)RX Mapping'!D42&lt;=720), (-1)*('(橫掃)RX Mapping'!D42-720)+120,IF(AND('(橫掃)RX Mapping'!D42&gt;=721,'(橫掃)RX Mapping'!D42&lt;=840), ('(橫掃)RX Mapping'!D42-601),IF(AND('(橫掃)RX Mapping'!D42&gt;=841,'(橫掃)RX Mapping'!D42&lt;=960), (-1)*('(橫掃)RX Mapping'!D42-960)+120,9999))))))))</f>
        <v>9999</v>
      </c>
      <c r="E42">
        <f>IF(AND('(橫掃)RX Mapping'!E42&gt;=1,'(橫掃)RX Mapping'!E42&lt;=120), ('(橫掃)RX Mapping'!E42-1),IF(AND('(橫掃)RX Mapping'!E42&gt;=121,'(橫掃)RX Mapping'!E42&lt;=240), (-1)*('(橫掃)RX Mapping'!E42-240),IF(AND('(橫掃)RX Mapping'!E42&gt;=241,'(橫掃)RX Mapping'!E42&lt;=360), ('(橫掃)RX Mapping'!E42-241),IF(AND('(橫掃)RX Mapping'!E42&gt;=361,'(橫掃)RX Mapping'!E42&lt;=480), (-1)*('(橫掃)RX Mapping'!E42-480),IF(AND('(橫掃)RX Mapping'!E42&gt;=481,'(橫掃)RX Mapping'!E42&lt;=600), ('(橫掃)RX Mapping'!E42-361),IF(AND('(橫掃)RX Mapping'!E42&gt;=601,'(橫掃)RX Mapping'!E42&lt;=720), (-1)*('(橫掃)RX Mapping'!E42-720)+120,IF(AND('(橫掃)RX Mapping'!E42&gt;=721,'(橫掃)RX Mapping'!E42&lt;=840), ('(橫掃)RX Mapping'!E42-601),IF(AND('(橫掃)RX Mapping'!E42&gt;=841,'(橫掃)RX Mapping'!E42&lt;=960), (-1)*('(橫掃)RX Mapping'!E42-960)+120,9999))))))))</f>
        <v>9999</v>
      </c>
      <c r="F42">
        <f>IF(AND('(橫掃)RX Mapping'!F42&gt;=1,'(橫掃)RX Mapping'!F42&lt;=120), ('(橫掃)RX Mapping'!F42-1),IF(AND('(橫掃)RX Mapping'!F42&gt;=121,'(橫掃)RX Mapping'!F42&lt;=240), (-1)*('(橫掃)RX Mapping'!F42-240),IF(AND('(橫掃)RX Mapping'!F42&gt;=241,'(橫掃)RX Mapping'!F42&lt;=360), ('(橫掃)RX Mapping'!F42-241),IF(AND('(橫掃)RX Mapping'!F42&gt;=361,'(橫掃)RX Mapping'!F42&lt;=480), (-1)*('(橫掃)RX Mapping'!F42-480),IF(AND('(橫掃)RX Mapping'!F42&gt;=481,'(橫掃)RX Mapping'!F42&lt;=600), ('(橫掃)RX Mapping'!F42-361),IF(AND('(橫掃)RX Mapping'!F42&gt;=601,'(橫掃)RX Mapping'!F42&lt;=720), (-1)*('(橫掃)RX Mapping'!F42-720)+120,IF(AND('(橫掃)RX Mapping'!F42&gt;=721,'(橫掃)RX Mapping'!F42&lt;=840), ('(橫掃)RX Mapping'!F42-601),IF(AND('(橫掃)RX Mapping'!F42&gt;=841,'(橫掃)RX Mapping'!F42&lt;=960), (-1)*('(橫掃)RX Mapping'!F42-960)+120,9999))))))))</f>
        <v>9999</v>
      </c>
      <c r="G42">
        <f>IF(AND('(橫掃)RX Mapping'!G42&gt;=1,'(橫掃)RX Mapping'!G42&lt;=120), ('(橫掃)RX Mapping'!G42-1),IF(AND('(橫掃)RX Mapping'!G42&gt;=121,'(橫掃)RX Mapping'!G42&lt;=240), (-1)*('(橫掃)RX Mapping'!G42-240),IF(AND('(橫掃)RX Mapping'!G42&gt;=241,'(橫掃)RX Mapping'!G42&lt;=360), ('(橫掃)RX Mapping'!G42-241),IF(AND('(橫掃)RX Mapping'!G42&gt;=361,'(橫掃)RX Mapping'!G42&lt;=480), (-1)*('(橫掃)RX Mapping'!G42-480),IF(AND('(橫掃)RX Mapping'!G42&gt;=481,'(橫掃)RX Mapping'!G42&lt;=600), ('(橫掃)RX Mapping'!G42-361),IF(AND('(橫掃)RX Mapping'!G42&gt;=601,'(橫掃)RX Mapping'!G42&lt;=720), (-1)*('(橫掃)RX Mapping'!G42-720)+120,IF(AND('(橫掃)RX Mapping'!G42&gt;=721,'(橫掃)RX Mapping'!G42&lt;=840), ('(橫掃)RX Mapping'!G42-601),IF(AND('(橫掃)RX Mapping'!G42&gt;=841,'(橫掃)RX Mapping'!G42&lt;=960), (-1)*('(橫掃)RX Mapping'!G42-960)+120,9999))))))))</f>
        <v>9999</v>
      </c>
      <c r="H42">
        <f>IF(AND('(橫掃)RX Mapping'!H42&gt;=1,'(橫掃)RX Mapping'!H42&lt;=120), ('(橫掃)RX Mapping'!H42-1),IF(AND('(橫掃)RX Mapping'!H42&gt;=121,'(橫掃)RX Mapping'!H42&lt;=240), (-1)*('(橫掃)RX Mapping'!H42-240),IF(AND('(橫掃)RX Mapping'!H42&gt;=241,'(橫掃)RX Mapping'!H42&lt;=360), ('(橫掃)RX Mapping'!H42-241),IF(AND('(橫掃)RX Mapping'!H42&gt;=361,'(橫掃)RX Mapping'!H42&lt;=480), (-1)*('(橫掃)RX Mapping'!H42-480),IF(AND('(橫掃)RX Mapping'!H42&gt;=481,'(橫掃)RX Mapping'!H42&lt;=600), ('(橫掃)RX Mapping'!H42-361),IF(AND('(橫掃)RX Mapping'!H42&gt;=601,'(橫掃)RX Mapping'!H42&lt;=720), (-1)*('(橫掃)RX Mapping'!H42-720)+120,IF(AND('(橫掃)RX Mapping'!H42&gt;=721,'(橫掃)RX Mapping'!H42&lt;=840), ('(橫掃)RX Mapping'!H42-601),IF(AND('(橫掃)RX Mapping'!H42&gt;=841,'(橫掃)RX Mapping'!H42&lt;=960), (-1)*('(橫掃)RX Mapping'!H42-960)+120,9999))))))))</f>
        <v>9999</v>
      </c>
      <c r="I42">
        <f>IF(AND('(橫掃)RX Mapping'!I42&gt;=1,'(橫掃)RX Mapping'!I42&lt;=120), ('(橫掃)RX Mapping'!I42-1),IF(AND('(橫掃)RX Mapping'!I42&gt;=121,'(橫掃)RX Mapping'!I42&lt;=240), (-1)*('(橫掃)RX Mapping'!I42-240),IF(AND('(橫掃)RX Mapping'!I42&gt;=241,'(橫掃)RX Mapping'!I42&lt;=360), ('(橫掃)RX Mapping'!I42-241),IF(AND('(橫掃)RX Mapping'!I42&gt;=361,'(橫掃)RX Mapping'!I42&lt;=480), (-1)*('(橫掃)RX Mapping'!I42-480),IF(AND('(橫掃)RX Mapping'!I42&gt;=481,'(橫掃)RX Mapping'!I42&lt;=600), ('(橫掃)RX Mapping'!I42-361),IF(AND('(橫掃)RX Mapping'!I42&gt;=601,'(橫掃)RX Mapping'!I42&lt;=720), (-1)*('(橫掃)RX Mapping'!I42-720)+120,IF(AND('(橫掃)RX Mapping'!I42&gt;=721,'(橫掃)RX Mapping'!I42&lt;=840), ('(橫掃)RX Mapping'!I42-601),IF(AND('(橫掃)RX Mapping'!I42&gt;=841,'(橫掃)RX Mapping'!I42&lt;=960), (-1)*('(橫掃)RX Mapping'!I42-960)+120,9999))))))))</f>
        <v>9999</v>
      </c>
      <c r="J42">
        <f>IF(AND('(橫掃)RX Mapping'!J42&gt;=1,'(橫掃)RX Mapping'!J42&lt;=120), ('(橫掃)RX Mapping'!J42-1),IF(AND('(橫掃)RX Mapping'!J42&gt;=121,'(橫掃)RX Mapping'!J42&lt;=240), (-1)*('(橫掃)RX Mapping'!J42-240),IF(AND('(橫掃)RX Mapping'!J42&gt;=241,'(橫掃)RX Mapping'!J42&lt;=360), ('(橫掃)RX Mapping'!J42-241),IF(AND('(橫掃)RX Mapping'!J42&gt;=361,'(橫掃)RX Mapping'!J42&lt;=480), (-1)*('(橫掃)RX Mapping'!J42-480),IF(AND('(橫掃)RX Mapping'!J42&gt;=481,'(橫掃)RX Mapping'!J42&lt;=600), ('(橫掃)RX Mapping'!J42-361),IF(AND('(橫掃)RX Mapping'!J42&gt;=601,'(橫掃)RX Mapping'!J42&lt;=720), (-1)*('(橫掃)RX Mapping'!J42-720)+120,IF(AND('(橫掃)RX Mapping'!J42&gt;=721,'(橫掃)RX Mapping'!J42&lt;=840), ('(橫掃)RX Mapping'!J42-601),IF(AND('(橫掃)RX Mapping'!J42&gt;=841,'(橫掃)RX Mapping'!J42&lt;=960), (-1)*('(橫掃)RX Mapping'!J42-960)+120,9999))))))))</f>
        <v>9999</v>
      </c>
      <c r="K42">
        <f>IF(AND('(橫掃)RX Mapping'!K42&gt;=1,'(橫掃)RX Mapping'!K42&lt;=120), ('(橫掃)RX Mapping'!K42-1),IF(AND('(橫掃)RX Mapping'!K42&gt;=121,'(橫掃)RX Mapping'!K42&lt;=240), (-1)*('(橫掃)RX Mapping'!K42-240),IF(AND('(橫掃)RX Mapping'!K42&gt;=241,'(橫掃)RX Mapping'!K42&lt;=360), ('(橫掃)RX Mapping'!K42-241),IF(AND('(橫掃)RX Mapping'!K42&gt;=361,'(橫掃)RX Mapping'!K42&lt;=480), (-1)*('(橫掃)RX Mapping'!K42-480),IF(AND('(橫掃)RX Mapping'!K42&gt;=481,'(橫掃)RX Mapping'!K42&lt;=600), ('(橫掃)RX Mapping'!K42-361),IF(AND('(橫掃)RX Mapping'!K42&gt;=601,'(橫掃)RX Mapping'!K42&lt;=720), (-1)*('(橫掃)RX Mapping'!K42-720)+120,IF(AND('(橫掃)RX Mapping'!K42&gt;=721,'(橫掃)RX Mapping'!K42&lt;=840), ('(橫掃)RX Mapping'!K42-601),IF(AND('(橫掃)RX Mapping'!K42&gt;=841,'(橫掃)RX Mapping'!K42&lt;=960), (-1)*('(橫掃)RX Mapping'!K42-960)+120,9999))))))))</f>
        <v>9999</v>
      </c>
      <c r="L42">
        <f>IF(AND('(橫掃)RX Mapping'!L42&gt;=1,'(橫掃)RX Mapping'!L42&lt;=120), ('(橫掃)RX Mapping'!L42-1),IF(AND('(橫掃)RX Mapping'!L42&gt;=121,'(橫掃)RX Mapping'!L42&lt;=240), (-1)*('(橫掃)RX Mapping'!L42-240),IF(AND('(橫掃)RX Mapping'!L42&gt;=241,'(橫掃)RX Mapping'!L42&lt;=360), ('(橫掃)RX Mapping'!L42-241),IF(AND('(橫掃)RX Mapping'!L42&gt;=361,'(橫掃)RX Mapping'!L42&lt;=480), (-1)*('(橫掃)RX Mapping'!L42-480),IF(AND('(橫掃)RX Mapping'!L42&gt;=481,'(橫掃)RX Mapping'!L42&lt;=600), ('(橫掃)RX Mapping'!L42-361),IF(AND('(橫掃)RX Mapping'!L42&gt;=601,'(橫掃)RX Mapping'!L42&lt;=720), (-1)*('(橫掃)RX Mapping'!L42-720)+120,IF(AND('(橫掃)RX Mapping'!L42&gt;=721,'(橫掃)RX Mapping'!L42&lt;=840), ('(橫掃)RX Mapping'!L42-601),IF(AND('(橫掃)RX Mapping'!L42&gt;=841,'(橫掃)RX Mapping'!L42&lt;=960), (-1)*('(橫掃)RX Mapping'!L42-960)+120,9999))))))))</f>
        <v>9999</v>
      </c>
      <c r="M42">
        <f>IF(AND('(橫掃)RX Mapping'!M42&gt;=1,'(橫掃)RX Mapping'!M42&lt;=120), ('(橫掃)RX Mapping'!M42-1),IF(AND('(橫掃)RX Mapping'!M42&gt;=121,'(橫掃)RX Mapping'!M42&lt;=240), (-1)*('(橫掃)RX Mapping'!M42-240),IF(AND('(橫掃)RX Mapping'!M42&gt;=241,'(橫掃)RX Mapping'!M42&lt;=360), ('(橫掃)RX Mapping'!M42-241),IF(AND('(橫掃)RX Mapping'!M42&gt;=361,'(橫掃)RX Mapping'!M42&lt;=480), (-1)*('(橫掃)RX Mapping'!M42-480),IF(AND('(橫掃)RX Mapping'!M42&gt;=481,'(橫掃)RX Mapping'!M42&lt;=600), ('(橫掃)RX Mapping'!M42-361),IF(AND('(橫掃)RX Mapping'!M42&gt;=601,'(橫掃)RX Mapping'!M42&lt;=720), (-1)*('(橫掃)RX Mapping'!M42-720)+120,IF(AND('(橫掃)RX Mapping'!M42&gt;=721,'(橫掃)RX Mapping'!M42&lt;=840), ('(橫掃)RX Mapping'!M42-601),IF(AND('(橫掃)RX Mapping'!M42&gt;=841,'(橫掃)RX Mapping'!M42&lt;=960), (-1)*('(橫掃)RX Mapping'!M42-960)+120,9999))))))))</f>
        <v>9999</v>
      </c>
      <c r="N42">
        <f>IF(AND('(橫掃)RX Mapping'!N42&gt;=1,'(橫掃)RX Mapping'!N42&lt;=120), ('(橫掃)RX Mapping'!N42-1),IF(AND('(橫掃)RX Mapping'!N42&gt;=121,'(橫掃)RX Mapping'!N42&lt;=240), (-1)*('(橫掃)RX Mapping'!N42-240),IF(AND('(橫掃)RX Mapping'!N42&gt;=241,'(橫掃)RX Mapping'!N42&lt;=360), ('(橫掃)RX Mapping'!N42-241),IF(AND('(橫掃)RX Mapping'!N42&gt;=361,'(橫掃)RX Mapping'!N42&lt;=480), (-1)*('(橫掃)RX Mapping'!N42-480),IF(AND('(橫掃)RX Mapping'!N42&gt;=481,'(橫掃)RX Mapping'!N42&lt;=600), ('(橫掃)RX Mapping'!N42-361),IF(AND('(橫掃)RX Mapping'!N42&gt;=601,'(橫掃)RX Mapping'!N42&lt;=720), (-1)*('(橫掃)RX Mapping'!N42-720)+120,IF(AND('(橫掃)RX Mapping'!N42&gt;=721,'(橫掃)RX Mapping'!N42&lt;=840), ('(橫掃)RX Mapping'!N42-601),IF(AND('(橫掃)RX Mapping'!N42&gt;=841,'(橫掃)RX Mapping'!N42&lt;=960), (-1)*('(橫掃)RX Mapping'!N42-960)+120,9999))))))))</f>
        <v>9999</v>
      </c>
      <c r="O42">
        <f>IF(AND('(橫掃)RX Mapping'!O42&gt;=1,'(橫掃)RX Mapping'!O42&lt;=120), ('(橫掃)RX Mapping'!O42-1),IF(AND('(橫掃)RX Mapping'!O42&gt;=121,'(橫掃)RX Mapping'!O42&lt;=240), (-1)*('(橫掃)RX Mapping'!O42-240),IF(AND('(橫掃)RX Mapping'!O42&gt;=241,'(橫掃)RX Mapping'!O42&lt;=360), ('(橫掃)RX Mapping'!O42-241),IF(AND('(橫掃)RX Mapping'!O42&gt;=361,'(橫掃)RX Mapping'!O42&lt;=480), (-1)*('(橫掃)RX Mapping'!O42-480),IF(AND('(橫掃)RX Mapping'!O42&gt;=481,'(橫掃)RX Mapping'!O42&lt;=600), ('(橫掃)RX Mapping'!O42-361),IF(AND('(橫掃)RX Mapping'!O42&gt;=601,'(橫掃)RX Mapping'!O42&lt;=720), (-1)*('(橫掃)RX Mapping'!O42-720)+120,IF(AND('(橫掃)RX Mapping'!O42&gt;=721,'(橫掃)RX Mapping'!O42&lt;=840), ('(橫掃)RX Mapping'!O42-601),IF(AND('(橫掃)RX Mapping'!O42&gt;=841,'(橫掃)RX Mapping'!O42&lt;=960), (-1)*('(橫掃)RX Mapping'!O42-960)+120,9999))))))))</f>
        <v>9999</v>
      </c>
      <c r="P42">
        <f>IF(AND('(橫掃)RX Mapping'!P42&gt;=1,'(橫掃)RX Mapping'!P42&lt;=120), ('(橫掃)RX Mapping'!P42-1),IF(AND('(橫掃)RX Mapping'!P42&gt;=121,'(橫掃)RX Mapping'!P42&lt;=240), (-1)*('(橫掃)RX Mapping'!P42-240),IF(AND('(橫掃)RX Mapping'!P42&gt;=241,'(橫掃)RX Mapping'!P42&lt;=360), ('(橫掃)RX Mapping'!P42-241),IF(AND('(橫掃)RX Mapping'!P42&gt;=361,'(橫掃)RX Mapping'!P42&lt;=480), (-1)*('(橫掃)RX Mapping'!P42-480),IF(AND('(橫掃)RX Mapping'!P42&gt;=481,'(橫掃)RX Mapping'!P42&lt;=600), ('(橫掃)RX Mapping'!P42-361),IF(AND('(橫掃)RX Mapping'!P42&gt;=601,'(橫掃)RX Mapping'!P42&lt;=720), (-1)*('(橫掃)RX Mapping'!P42-720)+120,IF(AND('(橫掃)RX Mapping'!P42&gt;=721,'(橫掃)RX Mapping'!P42&lt;=840), ('(橫掃)RX Mapping'!P42-601),IF(AND('(橫掃)RX Mapping'!P42&gt;=841,'(橫掃)RX Mapping'!P42&lt;=960), (-1)*('(橫掃)RX Mapping'!P42-960)+120,9999))))))))</f>
        <v>9999</v>
      </c>
      <c r="Q42">
        <f>IF(AND('(橫掃)RX Mapping'!Q42&gt;=1,'(橫掃)RX Mapping'!Q42&lt;=120), ('(橫掃)RX Mapping'!Q42-1),IF(AND('(橫掃)RX Mapping'!Q42&gt;=121,'(橫掃)RX Mapping'!Q42&lt;=240), (-1)*('(橫掃)RX Mapping'!Q42-240),IF(AND('(橫掃)RX Mapping'!Q42&gt;=241,'(橫掃)RX Mapping'!Q42&lt;=360), ('(橫掃)RX Mapping'!Q42-241),IF(AND('(橫掃)RX Mapping'!Q42&gt;=361,'(橫掃)RX Mapping'!Q42&lt;=480), (-1)*('(橫掃)RX Mapping'!Q42-480),IF(AND('(橫掃)RX Mapping'!Q42&gt;=481,'(橫掃)RX Mapping'!Q42&lt;=600), ('(橫掃)RX Mapping'!Q42-361),IF(AND('(橫掃)RX Mapping'!Q42&gt;=601,'(橫掃)RX Mapping'!Q42&lt;=720), (-1)*('(橫掃)RX Mapping'!Q42-720)+120,IF(AND('(橫掃)RX Mapping'!Q42&gt;=721,'(橫掃)RX Mapping'!Q42&lt;=840), ('(橫掃)RX Mapping'!Q42-601),IF(AND('(橫掃)RX Mapping'!Q42&gt;=841,'(橫掃)RX Mapping'!Q42&lt;=960), (-1)*('(橫掃)RX Mapping'!Q42-960)+120,9999))))))))</f>
        <v>9999</v>
      </c>
      <c r="R42">
        <f>IF(AND('(橫掃)RX Mapping'!R42&gt;=1,'(橫掃)RX Mapping'!R42&lt;=120), ('(橫掃)RX Mapping'!R42-1),IF(AND('(橫掃)RX Mapping'!R42&gt;=121,'(橫掃)RX Mapping'!R42&lt;=240), (-1)*('(橫掃)RX Mapping'!R42-240),IF(AND('(橫掃)RX Mapping'!R42&gt;=241,'(橫掃)RX Mapping'!R42&lt;=360), ('(橫掃)RX Mapping'!R42-241),IF(AND('(橫掃)RX Mapping'!R42&gt;=361,'(橫掃)RX Mapping'!R42&lt;=480), (-1)*('(橫掃)RX Mapping'!R42-480),IF(AND('(橫掃)RX Mapping'!R42&gt;=481,'(橫掃)RX Mapping'!R42&lt;=600), ('(橫掃)RX Mapping'!R42-361),IF(AND('(橫掃)RX Mapping'!R42&gt;=601,'(橫掃)RX Mapping'!R42&lt;=720), (-1)*('(橫掃)RX Mapping'!R42-720)+120,IF(AND('(橫掃)RX Mapping'!R42&gt;=721,'(橫掃)RX Mapping'!R42&lt;=840), ('(橫掃)RX Mapping'!R42-601),IF(AND('(橫掃)RX Mapping'!R42&gt;=841,'(橫掃)RX Mapping'!R42&lt;=960), (-1)*('(橫掃)RX Mapping'!R42-960)+120,9999))))))))</f>
        <v>9999</v>
      </c>
      <c r="S42">
        <f>IF(AND('(橫掃)RX Mapping'!S42&gt;=1,'(橫掃)RX Mapping'!S42&lt;=120), ('(橫掃)RX Mapping'!S42-1),IF(AND('(橫掃)RX Mapping'!S42&gt;=121,'(橫掃)RX Mapping'!S42&lt;=240), (-1)*('(橫掃)RX Mapping'!S42-240),IF(AND('(橫掃)RX Mapping'!S42&gt;=241,'(橫掃)RX Mapping'!S42&lt;=360), ('(橫掃)RX Mapping'!S42-241),IF(AND('(橫掃)RX Mapping'!S42&gt;=361,'(橫掃)RX Mapping'!S42&lt;=480), (-1)*('(橫掃)RX Mapping'!S42-480),IF(AND('(橫掃)RX Mapping'!S42&gt;=481,'(橫掃)RX Mapping'!S42&lt;=600), ('(橫掃)RX Mapping'!S42-361),IF(AND('(橫掃)RX Mapping'!S42&gt;=601,'(橫掃)RX Mapping'!S42&lt;=720), (-1)*('(橫掃)RX Mapping'!S42-720)+120,IF(AND('(橫掃)RX Mapping'!S42&gt;=721,'(橫掃)RX Mapping'!S42&lt;=840), ('(橫掃)RX Mapping'!S42-601),IF(AND('(橫掃)RX Mapping'!S42&gt;=841,'(橫掃)RX Mapping'!S42&lt;=960), (-1)*('(橫掃)RX Mapping'!S42-960)+120,9999))))))))</f>
        <v>9999</v>
      </c>
      <c r="T42">
        <f>IF(AND('(橫掃)RX Mapping'!T42&gt;=1,'(橫掃)RX Mapping'!T42&lt;=120), ('(橫掃)RX Mapping'!T42-1),IF(AND('(橫掃)RX Mapping'!T42&gt;=121,'(橫掃)RX Mapping'!T42&lt;=240), (-1)*('(橫掃)RX Mapping'!T42-240),IF(AND('(橫掃)RX Mapping'!T42&gt;=241,'(橫掃)RX Mapping'!T42&lt;=360), ('(橫掃)RX Mapping'!T42-241),IF(AND('(橫掃)RX Mapping'!T42&gt;=361,'(橫掃)RX Mapping'!T42&lt;=480), (-1)*('(橫掃)RX Mapping'!T42-480),IF(AND('(橫掃)RX Mapping'!T42&gt;=481,'(橫掃)RX Mapping'!T42&lt;=600), ('(橫掃)RX Mapping'!T42-361),IF(AND('(橫掃)RX Mapping'!T42&gt;=601,'(橫掃)RX Mapping'!T42&lt;=720), (-1)*('(橫掃)RX Mapping'!T42-720)+120,IF(AND('(橫掃)RX Mapping'!T42&gt;=721,'(橫掃)RX Mapping'!T42&lt;=840), ('(橫掃)RX Mapping'!T42-601),IF(AND('(橫掃)RX Mapping'!T42&gt;=841,'(橫掃)RX Mapping'!T42&lt;=960), (-1)*('(橫掃)RX Mapping'!T42-960)+120,9999))))))))</f>
        <v>9999</v>
      </c>
      <c r="U42">
        <f>IF(AND('(橫掃)RX Mapping'!U42&gt;=1,'(橫掃)RX Mapping'!U42&lt;=120), ('(橫掃)RX Mapping'!U42-1),IF(AND('(橫掃)RX Mapping'!U42&gt;=121,'(橫掃)RX Mapping'!U42&lt;=240), (-1)*('(橫掃)RX Mapping'!U42-240),IF(AND('(橫掃)RX Mapping'!U42&gt;=241,'(橫掃)RX Mapping'!U42&lt;=360), ('(橫掃)RX Mapping'!U42-241),IF(AND('(橫掃)RX Mapping'!U42&gt;=361,'(橫掃)RX Mapping'!U42&lt;=480), (-1)*('(橫掃)RX Mapping'!U42-480),IF(AND('(橫掃)RX Mapping'!U42&gt;=481,'(橫掃)RX Mapping'!U42&lt;=600), ('(橫掃)RX Mapping'!U42-361),IF(AND('(橫掃)RX Mapping'!U42&gt;=601,'(橫掃)RX Mapping'!U42&lt;=720), (-1)*('(橫掃)RX Mapping'!U42-720)+120,IF(AND('(橫掃)RX Mapping'!U42&gt;=721,'(橫掃)RX Mapping'!U42&lt;=840), ('(橫掃)RX Mapping'!U42-601),IF(AND('(橫掃)RX Mapping'!U42&gt;=841,'(橫掃)RX Mapping'!U42&lt;=960), (-1)*('(橫掃)RX Mapping'!U42-960)+120,9999))))))))</f>
        <v>9999</v>
      </c>
      <c r="V42">
        <f>IF(AND('(橫掃)RX Mapping'!V42&gt;=1,'(橫掃)RX Mapping'!V42&lt;=120), ('(橫掃)RX Mapping'!V42-1),IF(AND('(橫掃)RX Mapping'!V42&gt;=121,'(橫掃)RX Mapping'!V42&lt;=240), (-1)*('(橫掃)RX Mapping'!V42-240),IF(AND('(橫掃)RX Mapping'!V42&gt;=241,'(橫掃)RX Mapping'!V42&lt;=360), ('(橫掃)RX Mapping'!V42-241),IF(AND('(橫掃)RX Mapping'!V42&gt;=361,'(橫掃)RX Mapping'!V42&lt;=480), (-1)*('(橫掃)RX Mapping'!V42-480),IF(AND('(橫掃)RX Mapping'!V42&gt;=481,'(橫掃)RX Mapping'!V42&lt;=600), ('(橫掃)RX Mapping'!V42-361),IF(AND('(橫掃)RX Mapping'!V42&gt;=601,'(橫掃)RX Mapping'!V42&lt;=720), (-1)*('(橫掃)RX Mapping'!V42-720)+120,IF(AND('(橫掃)RX Mapping'!V42&gt;=721,'(橫掃)RX Mapping'!V42&lt;=840), ('(橫掃)RX Mapping'!V42-601),IF(AND('(橫掃)RX Mapping'!V42&gt;=841,'(橫掃)RX Mapping'!V42&lt;=960), (-1)*('(橫掃)RX Mapping'!V42-960)+120,9999))))))))</f>
        <v>9999</v>
      </c>
      <c r="W42">
        <f>IF(AND('(橫掃)RX Mapping'!W42&gt;=1,'(橫掃)RX Mapping'!W42&lt;=120), ('(橫掃)RX Mapping'!W42-1),IF(AND('(橫掃)RX Mapping'!W42&gt;=121,'(橫掃)RX Mapping'!W42&lt;=240), (-1)*('(橫掃)RX Mapping'!W42-240),IF(AND('(橫掃)RX Mapping'!W42&gt;=241,'(橫掃)RX Mapping'!W42&lt;=360), ('(橫掃)RX Mapping'!W42-241),IF(AND('(橫掃)RX Mapping'!W42&gt;=361,'(橫掃)RX Mapping'!W42&lt;=480), (-1)*('(橫掃)RX Mapping'!W42-480),IF(AND('(橫掃)RX Mapping'!W42&gt;=481,'(橫掃)RX Mapping'!W42&lt;=600), ('(橫掃)RX Mapping'!W42-361),IF(AND('(橫掃)RX Mapping'!W42&gt;=601,'(橫掃)RX Mapping'!W42&lt;=720), (-1)*('(橫掃)RX Mapping'!W42-720)+120,IF(AND('(橫掃)RX Mapping'!W42&gt;=721,'(橫掃)RX Mapping'!W42&lt;=840), ('(橫掃)RX Mapping'!W42-601),IF(AND('(橫掃)RX Mapping'!W42&gt;=841,'(橫掃)RX Mapping'!W42&lt;=960), (-1)*('(橫掃)RX Mapping'!W42-960)+120,9999))))))))</f>
        <v>9999</v>
      </c>
      <c r="X42">
        <f>IF(AND('(橫掃)RX Mapping'!X42&gt;=1,'(橫掃)RX Mapping'!X42&lt;=120), ('(橫掃)RX Mapping'!X42-1),IF(AND('(橫掃)RX Mapping'!X42&gt;=121,'(橫掃)RX Mapping'!X42&lt;=240), (-1)*('(橫掃)RX Mapping'!X42-240),IF(AND('(橫掃)RX Mapping'!X42&gt;=241,'(橫掃)RX Mapping'!X42&lt;=360), ('(橫掃)RX Mapping'!X42-241),IF(AND('(橫掃)RX Mapping'!X42&gt;=361,'(橫掃)RX Mapping'!X42&lt;=480), (-1)*('(橫掃)RX Mapping'!X42-480),IF(AND('(橫掃)RX Mapping'!X42&gt;=481,'(橫掃)RX Mapping'!X42&lt;=600), ('(橫掃)RX Mapping'!X42-361),IF(AND('(橫掃)RX Mapping'!X42&gt;=601,'(橫掃)RX Mapping'!X42&lt;=720), (-1)*('(橫掃)RX Mapping'!X42-720)+120,IF(AND('(橫掃)RX Mapping'!X42&gt;=721,'(橫掃)RX Mapping'!X42&lt;=840), ('(橫掃)RX Mapping'!X42-601),IF(AND('(橫掃)RX Mapping'!X42&gt;=841,'(橫掃)RX Mapping'!X42&lt;=960), (-1)*('(橫掃)RX Mapping'!X42-960)+120,9999))))))))</f>
        <v>9999</v>
      </c>
      <c r="Y42">
        <f>IF(AND('(橫掃)RX Mapping'!Y42&gt;=1,'(橫掃)RX Mapping'!Y42&lt;=120), ('(橫掃)RX Mapping'!Y42-1),IF(AND('(橫掃)RX Mapping'!Y42&gt;=121,'(橫掃)RX Mapping'!Y42&lt;=240), (-1)*('(橫掃)RX Mapping'!Y42-240),IF(AND('(橫掃)RX Mapping'!Y42&gt;=241,'(橫掃)RX Mapping'!Y42&lt;=360), ('(橫掃)RX Mapping'!Y42-241),IF(AND('(橫掃)RX Mapping'!Y42&gt;=361,'(橫掃)RX Mapping'!Y42&lt;=480), (-1)*('(橫掃)RX Mapping'!Y42-480),IF(AND('(橫掃)RX Mapping'!Y42&gt;=481,'(橫掃)RX Mapping'!Y42&lt;=600), ('(橫掃)RX Mapping'!Y42-361),IF(AND('(橫掃)RX Mapping'!Y42&gt;=601,'(橫掃)RX Mapping'!Y42&lt;=720), (-1)*('(橫掃)RX Mapping'!Y42-720)+120,IF(AND('(橫掃)RX Mapping'!Y42&gt;=721,'(橫掃)RX Mapping'!Y42&lt;=840), ('(橫掃)RX Mapping'!Y42-601),IF(AND('(橫掃)RX Mapping'!Y42&gt;=841,'(橫掃)RX Mapping'!Y42&lt;=960), (-1)*('(橫掃)RX Mapping'!Y42-960)+120,9999))))))))</f>
        <v>9999</v>
      </c>
      <c r="Z42">
        <f>IF(AND('(橫掃)RX Mapping'!Z42&gt;=1,'(橫掃)RX Mapping'!Z42&lt;=120), ('(橫掃)RX Mapping'!Z42-1),IF(AND('(橫掃)RX Mapping'!Z42&gt;=121,'(橫掃)RX Mapping'!Z42&lt;=240), (-1)*('(橫掃)RX Mapping'!Z42-240),IF(AND('(橫掃)RX Mapping'!Z42&gt;=241,'(橫掃)RX Mapping'!Z42&lt;=360), ('(橫掃)RX Mapping'!Z42-241),IF(AND('(橫掃)RX Mapping'!Z42&gt;=361,'(橫掃)RX Mapping'!Z42&lt;=480), (-1)*('(橫掃)RX Mapping'!Z42-480),IF(AND('(橫掃)RX Mapping'!Z42&gt;=481,'(橫掃)RX Mapping'!Z42&lt;=600), ('(橫掃)RX Mapping'!Z42-361),IF(AND('(橫掃)RX Mapping'!Z42&gt;=601,'(橫掃)RX Mapping'!Z42&lt;=720), (-1)*('(橫掃)RX Mapping'!Z42-720)+120,IF(AND('(橫掃)RX Mapping'!Z42&gt;=721,'(橫掃)RX Mapping'!Z42&lt;=840), ('(橫掃)RX Mapping'!Z42-601),IF(AND('(橫掃)RX Mapping'!Z42&gt;=841,'(橫掃)RX Mapping'!Z42&lt;=960), (-1)*('(橫掃)RX Mapping'!Z42-960)+120,9999))))))))</f>
        <v>9999</v>
      </c>
      <c r="AA42">
        <f>IF(AND('(橫掃)RX Mapping'!AA42&gt;=1,'(橫掃)RX Mapping'!AA42&lt;=120), ('(橫掃)RX Mapping'!AA42-1),IF(AND('(橫掃)RX Mapping'!AA42&gt;=121,'(橫掃)RX Mapping'!AA42&lt;=240), (-1)*('(橫掃)RX Mapping'!AA42-240),IF(AND('(橫掃)RX Mapping'!AA42&gt;=241,'(橫掃)RX Mapping'!AA42&lt;=360), ('(橫掃)RX Mapping'!AA42-241),IF(AND('(橫掃)RX Mapping'!AA42&gt;=361,'(橫掃)RX Mapping'!AA42&lt;=480), (-1)*('(橫掃)RX Mapping'!AA42-480),IF(AND('(橫掃)RX Mapping'!AA42&gt;=481,'(橫掃)RX Mapping'!AA42&lt;=600), ('(橫掃)RX Mapping'!AA42-361),IF(AND('(橫掃)RX Mapping'!AA42&gt;=601,'(橫掃)RX Mapping'!AA42&lt;=720), (-1)*('(橫掃)RX Mapping'!AA42-720)+120,IF(AND('(橫掃)RX Mapping'!AA42&gt;=721,'(橫掃)RX Mapping'!AA42&lt;=840), ('(橫掃)RX Mapping'!AA42-601),IF(AND('(橫掃)RX Mapping'!AA42&gt;=841,'(橫掃)RX Mapping'!AA42&lt;=960), (-1)*('(橫掃)RX Mapping'!AA42-960)+120,9999))))))))</f>
        <v>9999</v>
      </c>
      <c r="AB42">
        <f>IF(AND('(橫掃)RX Mapping'!AB42&gt;=1,'(橫掃)RX Mapping'!AB42&lt;=120), ('(橫掃)RX Mapping'!AB42-1),IF(AND('(橫掃)RX Mapping'!AB42&gt;=121,'(橫掃)RX Mapping'!AB42&lt;=240), (-1)*('(橫掃)RX Mapping'!AB42-240),IF(AND('(橫掃)RX Mapping'!AB42&gt;=241,'(橫掃)RX Mapping'!AB42&lt;=360), ('(橫掃)RX Mapping'!AB42-241),IF(AND('(橫掃)RX Mapping'!AB42&gt;=361,'(橫掃)RX Mapping'!AB42&lt;=480), (-1)*('(橫掃)RX Mapping'!AB42-480),IF(AND('(橫掃)RX Mapping'!AB42&gt;=481,'(橫掃)RX Mapping'!AB42&lt;=600), ('(橫掃)RX Mapping'!AB42-361),IF(AND('(橫掃)RX Mapping'!AB42&gt;=601,'(橫掃)RX Mapping'!AB42&lt;=720), (-1)*('(橫掃)RX Mapping'!AB42-720)+120,IF(AND('(橫掃)RX Mapping'!AB42&gt;=721,'(橫掃)RX Mapping'!AB42&lt;=840), ('(橫掃)RX Mapping'!AB42-601),IF(AND('(橫掃)RX Mapping'!AB42&gt;=841,'(橫掃)RX Mapping'!AB42&lt;=960), (-1)*('(橫掃)RX Mapping'!AB42-960)+120,9999))))))))</f>
        <v>9999</v>
      </c>
      <c r="AC42">
        <f>IF(AND('(橫掃)RX Mapping'!AC42&gt;=1,'(橫掃)RX Mapping'!AC42&lt;=120), ('(橫掃)RX Mapping'!AC42-1),IF(AND('(橫掃)RX Mapping'!AC42&gt;=121,'(橫掃)RX Mapping'!AC42&lt;=240), (-1)*('(橫掃)RX Mapping'!AC42-240),IF(AND('(橫掃)RX Mapping'!AC42&gt;=241,'(橫掃)RX Mapping'!AC42&lt;=360), ('(橫掃)RX Mapping'!AC42-241),IF(AND('(橫掃)RX Mapping'!AC42&gt;=361,'(橫掃)RX Mapping'!AC42&lt;=480), (-1)*('(橫掃)RX Mapping'!AC42-480),IF(AND('(橫掃)RX Mapping'!AC42&gt;=481,'(橫掃)RX Mapping'!AC42&lt;=600), ('(橫掃)RX Mapping'!AC42-361),IF(AND('(橫掃)RX Mapping'!AC42&gt;=601,'(橫掃)RX Mapping'!AC42&lt;=720), (-1)*('(橫掃)RX Mapping'!AC42-720)+120,IF(AND('(橫掃)RX Mapping'!AC42&gt;=721,'(橫掃)RX Mapping'!AC42&lt;=840), ('(橫掃)RX Mapping'!AC42-601),IF(AND('(橫掃)RX Mapping'!AC42&gt;=841,'(橫掃)RX Mapping'!AC42&lt;=960), (-1)*('(橫掃)RX Mapping'!AC42-960)+120,9999))))))))</f>
        <v>9999</v>
      </c>
      <c r="AD42">
        <f>IF(AND('(橫掃)RX Mapping'!AD42&gt;=1,'(橫掃)RX Mapping'!AD42&lt;=120), ('(橫掃)RX Mapping'!AD42-1),IF(AND('(橫掃)RX Mapping'!AD42&gt;=121,'(橫掃)RX Mapping'!AD42&lt;=240), (-1)*('(橫掃)RX Mapping'!AD42-240),IF(AND('(橫掃)RX Mapping'!AD42&gt;=241,'(橫掃)RX Mapping'!AD42&lt;=360), ('(橫掃)RX Mapping'!AD42-241),IF(AND('(橫掃)RX Mapping'!AD42&gt;=361,'(橫掃)RX Mapping'!AD42&lt;=480), (-1)*('(橫掃)RX Mapping'!AD42-480),IF(AND('(橫掃)RX Mapping'!AD42&gt;=481,'(橫掃)RX Mapping'!AD42&lt;=600), ('(橫掃)RX Mapping'!AD42-361),IF(AND('(橫掃)RX Mapping'!AD42&gt;=601,'(橫掃)RX Mapping'!AD42&lt;=720), (-1)*('(橫掃)RX Mapping'!AD42-720)+120,IF(AND('(橫掃)RX Mapping'!AD42&gt;=721,'(橫掃)RX Mapping'!AD42&lt;=840), ('(橫掃)RX Mapping'!AD42-601),IF(AND('(橫掃)RX Mapping'!AD42&gt;=841,'(橫掃)RX Mapping'!AD42&lt;=960), (-1)*('(橫掃)RX Mapping'!AD42-960)+120,9999))))))))</f>
        <v>9999</v>
      </c>
      <c r="AE42">
        <f>IF(AND('(橫掃)RX Mapping'!AE42&gt;=1,'(橫掃)RX Mapping'!AE42&lt;=120), ('(橫掃)RX Mapping'!AE42-1),IF(AND('(橫掃)RX Mapping'!AE42&gt;=121,'(橫掃)RX Mapping'!AE42&lt;=240), (-1)*('(橫掃)RX Mapping'!AE42-240),IF(AND('(橫掃)RX Mapping'!AE42&gt;=241,'(橫掃)RX Mapping'!AE42&lt;=360), ('(橫掃)RX Mapping'!AE42-241),IF(AND('(橫掃)RX Mapping'!AE42&gt;=361,'(橫掃)RX Mapping'!AE42&lt;=480), (-1)*('(橫掃)RX Mapping'!AE42-480),IF(AND('(橫掃)RX Mapping'!AE42&gt;=481,'(橫掃)RX Mapping'!AE42&lt;=600), ('(橫掃)RX Mapping'!AE42-361),IF(AND('(橫掃)RX Mapping'!AE42&gt;=601,'(橫掃)RX Mapping'!AE42&lt;=720), (-1)*('(橫掃)RX Mapping'!AE42-720)+120,IF(AND('(橫掃)RX Mapping'!AE42&gt;=721,'(橫掃)RX Mapping'!AE42&lt;=840), ('(橫掃)RX Mapping'!AE42-601),IF(AND('(橫掃)RX Mapping'!AE42&gt;=841,'(橫掃)RX Mapping'!AE42&lt;=960), (-1)*('(橫掃)RX Mapping'!AE42-960)+120,9999))))))))</f>
        <v>9999</v>
      </c>
      <c r="AF42">
        <f>IF(AND('(橫掃)RX Mapping'!AF42&gt;=1,'(橫掃)RX Mapping'!AF42&lt;=120), ('(橫掃)RX Mapping'!AF42-1),IF(AND('(橫掃)RX Mapping'!AF42&gt;=121,'(橫掃)RX Mapping'!AF42&lt;=240), (-1)*('(橫掃)RX Mapping'!AF42-240),IF(AND('(橫掃)RX Mapping'!AF42&gt;=241,'(橫掃)RX Mapping'!AF42&lt;=360), ('(橫掃)RX Mapping'!AF42-241),IF(AND('(橫掃)RX Mapping'!AF42&gt;=361,'(橫掃)RX Mapping'!AF42&lt;=480), (-1)*('(橫掃)RX Mapping'!AF42-480),IF(AND('(橫掃)RX Mapping'!AF42&gt;=481,'(橫掃)RX Mapping'!AF42&lt;=600), ('(橫掃)RX Mapping'!AF42-361),IF(AND('(橫掃)RX Mapping'!AF42&gt;=601,'(橫掃)RX Mapping'!AF42&lt;=720), (-1)*('(橫掃)RX Mapping'!AF42-720)+120,IF(AND('(橫掃)RX Mapping'!AF42&gt;=721,'(橫掃)RX Mapping'!AF42&lt;=840), ('(橫掃)RX Mapping'!AF42-601),IF(AND('(橫掃)RX Mapping'!AF42&gt;=841,'(橫掃)RX Mapping'!AF42&lt;=960), (-1)*('(橫掃)RX Mapping'!AF42-960)+120,9999))))))))</f>
        <v>9999</v>
      </c>
      <c r="AG42">
        <f>IF(AND('(橫掃)RX Mapping'!AG42&gt;=1,'(橫掃)RX Mapping'!AG42&lt;=120), ('(橫掃)RX Mapping'!AG42-1),IF(AND('(橫掃)RX Mapping'!AG42&gt;=121,'(橫掃)RX Mapping'!AG42&lt;=240), (-1)*('(橫掃)RX Mapping'!AG42-240),IF(AND('(橫掃)RX Mapping'!AG42&gt;=241,'(橫掃)RX Mapping'!AG42&lt;=360), ('(橫掃)RX Mapping'!AG42-241),IF(AND('(橫掃)RX Mapping'!AG42&gt;=361,'(橫掃)RX Mapping'!AG42&lt;=480), (-1)*('(橫掃)RX Mapping'!AG42-480),IF(AND('(橫掃)RX Mapping'!AG42&gt;=481,'(橫掃)RX Mapping'!AG42&lt;=600), ('(橫掃)RX Mapping'!AG42-361),IF(AND('(橫掃)RX Mapping'!AG42&gt;=601,'(橫掃)RX Mapping'!AG42&lt;=720), (-1)*('(橫掃)RX Mapping'!AG42-720)+120,IF(AND('(橫掃)RX Mapping'!AG42&gt;=721,'(橫掃)RX Mapping'!AG42&lt;=840), ('(橫掃)RX Mapping'!AG42-601),IF(AND('(橫掃)RX Mapping'!AG42&gt;=841,'(橫掃)RX Mapping'!AG42&lt;=960), (-1)*('(橫掃)RX Mapping'!AG42-960)+120,9999))))))))</f>
        <v>9999</v>
      </c>
      <c r="AH42">
        <f>IF(AND('(橫掃)RX Mapping'!AH42&gt;=1,'(橫掃)RX Mapping'!AH42&lt;=120), ('(橫掃)RX Mapping'!AH42-1),IF(AND('(橫掃)RX Mapping'!AH42&gt;=121,'(橫掃)RX Mapping'!AH42&lt;=240), (-1)*('(橫掃)RX Mapping'!AH42-240),IF(AND('(橫掃)RX Mapping'!AH42&gt;=241,'(橫掃)RX Mapping'!AH42&lt;=360), ('(橫掃)RX Mapping'!AH42-241),IF(AND('(橫掃)RX Mapping'!AH42&gt;=361,'(橫掃)RX Mapping'!AH42&lt;=480), (-1)*('(橫掃)RX Mapping'!AH42-480),IF(AND('(橫掃)RX Mapping'!AH42&gt;=481,'(橫掃)RX Mapping'!AH42&lt;=600), ('(橫掃)RX Mapping'!AH42-361),IF(AND('(橫掃)RX Mapping'!AH42&gt;=601,'(橫掃)RX Mapping'!AH42&lt;=720), (-1)*('(橫掃)RX Mapping'!AH42-720)+120,IF(AND('(橫掃)RX Mapping'!AH42&gt;=721,'(橫掃)RX Mapping'!AH42&lt;=840), ('(橫掃)RX Mapping'!AH42-601),IF(AND('(橫掃)RX Mapping'!AH42&gt;=841,'(橫掃)RX Mapping'!AH42&lt;=960), (-1)*('(橫掃)RX Mapping'!AH42-960)+120,9999))))))))</f>
        <v>9999</v>
      </c>
      <c r="AI42">
        <f>IF(AND('(橫掃)RX Mapping'!AI42&gt;=1,'(橫掃)RX Mapping'!AI42&lt;=120), ('(橫掃)RX Mapping'!AI42-1),IF(AND('(橫掃)RX Mapping'!AI42&gt;=121,'(橫掃)RX Mapping'!AI42&lt;=240), (-1)*('(橫掃)RX Mapping'!AI42-240),IF(AND('(橫掃)RX Mapping'!AI42&gt;=241,'(橫掃)RX Mapping'!AI42&lt;=360), ('(橫掃)RX Mapping'!AI42-241),IF(AND('(橫掃)RX Mapping'!AI42&gt;=361,'(橫掃)RX Mapping'!AI42&lt;=480), (-1)*('(橫掃)RX Mapping'!AI42-480),IF(AND('(橫掃)RX Mapping'!AI42&gt;=481,'(橫掃)RX Mapping'!AI42&lt;=600), ('(橫掃)RX Mapping'!AI42-361),IF(AND('(橫掃)RX Mapping'!AI42&gt;=601,'(橫掃)RX Mapping'!AI42&lt;=720), (-1)*('(橫掃)RX Mapping'!AI42-720)+120,IF(AND('(橫掃)RX Mapping'!AI42&gt;=721,'(橫掃)RX Mapping'!AI42&lt;=840), ('(橫掃)RX Mapping'!AI42-601),IF(AND('(橫掃)RX Mapping'!AI42&gt;=841,'(橫掃)RX Mapping'!AI42&lt;=960), (-1)*('(橫掃)RX Mapping'!AI42-960)+120,9999))))))))</f>
        <v>9999</v>
      </c>
      <c r="AJ42">
        <f>IF(AND('(橫掃)RX Mapping'!AJ42&gt;=1,'(橫掃)RX Mapping'!AJ42&lt;=120), ('(橫掃)RX Mapping'!AJ42-1),IF(AND('(橫掃)RX Mapping'!AJ42&gt;=121,'(橫掃)RX Mapping'!AJ42&lt;=240), (-1)*('(橫掃)RX Mapping'!AJ42-240),IF(AND('(橫掃)RX Mapping'!AJ42&gt;=241,'(橫掃)RX Mapping'!AJ42&lt;=360), ('(橫掃)RX Mapping'!AJ42-241),IF(AND('(橫掃)RX Mapping'!AJ42&gt;=361,'(橫掃)RX Mapping'!AJ42&lt;=480), (-1)*('(橫掃)RX Mapping'!AJ42-480),IF(AND('(橫掃)RX Mapping'!AJ42&gt;=481,'(橫掃)RX Mapping'!AJ42&lt;=600), ('(橫掃)RX Mapping'!AJ42-361),IF(AND('(橫掃)RX Mapping'!AJ42&gt;=601,'(橫掃)RX Mapping'!AJ42&lt;=720), (-1)*('(橫掃)RX Mapping'!AJ42-720)+120,IF(AND('(橫掃)RX Mapping'!AJ42&gt;=721,'(橫掃)RX Mapping'!AJ42&lt;=840), ('(橫掃)RX Mapping'!AJ42-601),IF(AND('(橫掃)RX Mapping'!AJ42&gt;=841,'(橫掃)RX Mapping'!AJ42&lt;=960), (-1)*('(橫掃)RX Mapping'!AJ42-960)+120,9999))))))))</f>
        <v>9999</v>
      </c>
      <c r="AK42">
        <f>IF(AND('(橫掃)RX Mapping'!AK42&gt;=1,'(橫掃)RX Mapping'!AK42&lt;=120), ('(橫掃)RX Mapping'!AK42-1),IF(AND('(橫掃)RX Mapping'!AK42&gt;=121,'(橫掃)RX Mapping'!AK42&lt;=240), (-1)*('(橫掃)RX Mapping'!AK42-240),IF(AND('(橫掃)RX Mapping'!AK42&gt;=241,'(橫掃)RX Mapping'!AK42&lt;=360), ('(橫掃)RX Mapping'!AK42-241),IF(AND('(橫掃)RX Mapping'!AK42&gt;=361,'(橫掃)RX Mapping'!AK42&lt;=480), (-1)*('(橫掃)RX Mapping'!AK42-480),IF(AND('(橫掃)RX Mapping'!AK42&gt;=481,'(橫掃)RX Mapping'!AK42&lt;=600), ('(橫掃)RX Mapping'!AK42-361),IF(AND('(橫掃)RX Mapping'!AK42&gt;=601,'(橫掃)RX Mapping'!AK42&lt;=720), (-1)*('(橫掃)RX Mapping'!AK42-720)+120,IF(AND('(橫掃)RX Mapping'!AK42&gt;=721,'(橫掃)RX Mapping'!AK42&lt;=840), ('(橫掃)RX Mapping'!AK42-601),IF(AND('(橫掃)RX Mapping'!AK42&gt;=841,'(橫掃)RX Mapping'!AK42&lt;=960), (-1)*('(橫掃)RX Mapping'!AK42-960)+120,9999))))))))</f>
        <v>9999</v>
      </c>
      <c r="AL42">
        <f>IF(AND('(橫掃)RX Mapping'!AL42&gt;=1,'(橫掃)RX Mapping'!AL42&lt;=120), ('(橫掃)RX Mapping'!AL42-1),IF(AND('(橫掃)RX Mapping'!AL42&gt;=121,'(橫掃)RX Mapping'!AL42&lt;=240), (-1)*('(橫掃)RX Mapping'!AL42-240),IF(AND('(橫掃)RX Mapping'!AL42&gt;=241,'(橫掃)RX Mapping'!AL42&lt;=360), ('(橫掃)RX Mapping'!AL42-241),IF(AND('(橫掃)RX Mapping'!AL42&gt;=361,'(橫掃)RX Mapping'!AL42&lt;=480), (-1)*('(橫掃)RX Mapping'!AL42-480),IF(AND('(橫掃)RX Mapping'!AL42&gt;=481,'(橫掃)RX Mapping'!AL42&lt;=600), ('(橫掃)RX Mapping'!AL42-361),IF(AND('(橫掃)RX Mapping'!AL42&gt;=601,'(橫掃)RX Mapping'!AL42&lt;=720), (-1)*('(橫掃)RX Mapping'!AL42-720)+120,IF(AND('(橫掃)RX Mapping'!AL42&gt;=721,'(橫掃)RX Mapping'!AL42&lt;=840), ('(橫掃)RX Mapping'!AL42-601),IF(AND('(橫掃)RX Mapping'!AL42&gt;=841,'(橫掃)RX Mapping'!AL42&lt;=960), (-1)*('(橫掃)RX Mapping'!AL42-960)+120,9999))))))))</f>
        <v>9999</v>
      </c>
      <c r="AM42">
        <f>IF(AND('(橫掃)RX Mapping'!AM42&gt;=1,'(橫掃)RX Mapping'!AM42&lt;=120), ('(橫掃)RX Mapping'!AM42-1),IF(AND('(橫掃)RX Mapping'!AM42&gt;=121,'(橫掃)RX Mapping'!AM42&lt;=240), (-1)*('(橫掃)RX Mapping'!AM42-240),IF(AND('(橫掃)RX Mapping'!AM42&gt;=241,'(橫掃)RX Mapping'!AM42&lt;=360), ('(橫掃)RX Mapping'!AM42-241),IF(AND('(橫掃)RX Mapping'!AM42&gt;=361,'(橫掃)RX Mapping'!AM42&lt;=480), (-1)*('(橫掃)RX Mapping'!AM42-480),IF(AND('(橫掃)RX Mapping'!AM42&gt;=481,'(橫掃)RX Mapping'!AM42&lt;=600), ('(橫掃)RX Mapping'!AM42-361),IF(AND('(橫掃)RX Mapping'!AM42&gt;=601,'(橫掃)RX Mapping'!AM42&lt;=720), (-1)*('(橫掃)RX Mapping'!AM42-720)+120,IF(AND('(橫掃)RX Mapping'!AM42&gt;=721,'(橫掃)RX Mapping'!AM42&lt;=840), ('(橫掃)RX Mapping'!AM42-601),IF(AND('(橫掃)RX Mapping'!AM42&gt;=841,'(橫掃)RX Mapping'!AM42&lt;=960), (-1)*('(橫掃)RX Mapping'!AM42-960)+120,9999))))))))</f>
        <v>9999</v>
      </c>
      <c r="AN42">
        <f>IF(AND('(橫掃)RX Mapping'!AN42&gt;=1,'(橫掃)RX Mapping'!AN42&lt;=120), ('(橫掃)RX Mapping'!AN42-1),IF(AND('(橫掃)RX Mapping'!AN42&gt;=121,'(橫掃)RX Mapping'!AN42&lt;=240), (-1)*('(橫掃)RX Mapping'!AN42-240),IF(AND('(橫掃)RX Mapping'!AN42&gt;=241,'(橫掃)RX Mapping'!AN42&lt;=360), ('(橫掃)RX Mapping'!AN42-241),IF(AND('(橫掃)RX Mapping'!AN42&gt;=361,'(橫掃)RX Mapping'!AN42&lt;=480), (-1)*('(橫掃)RX Mapping'!AN42-480),IF(AND('(橫掃)RX Mapping'!AN42&gt;=481,'(橫掃)RX Mapping'!AN42&lt;=600), ('(橫掃)RX Mapping'!AN42-361),IF(AND('(橫掃)RX Mapping'!AN42&gt;=601,'(橫掃)RX Mapping'!AN42&lt;=720), (-1)*('(橫掃)RX Mapping'!AN42-720)+120,IF(AND('(橫掃)RX Mapping'!AN42&gt;=721,'(橫掃)RX Mapping'!AN42&lt;=840), ('(橫掃)RX Mapping'!AN42-601),IF(AND('(橫掃)RX Mapping'!AN42&gt;=841,'(橫掃)RX Mapping'!AN42&lt;=960), (-1)*('(橫掃)RX Mapping'!AN42-960)+120,9999))))))))</f>
        <v>9999</v>
      </c>
      <c r="AO42">
        <f>IF(AND('(橫掃)RX Mapping'!AO42&gt;=1,'(橫掃)RX Mapping'!AO42&lt;=120), ('(橫掃)RX Mapping'!AO42-1),IF(AND('(橫掃)RX Mapping'!AO42&gt;=121,'(橫掃)RX Mapping'!AO42&lt;=240), (-1)*('(橫掃)RX Mapping'!AO42-240),IF(AND('(橫掃)RX Mapping'!AO42&gt;=241,'(橫掃)RX Mapping'!AO42&lt;=360), ('(橫掃)RX Mapping'!AO42-241),IF(AND('(橫掃)RX Mapping'!AO42&gt;=361,'(橫掃)RX Mapping'!AO42&lt;=480), (-1)*('(橫掃)RX Mapping'!AO42-480),IF(AND('(橫掃)RX Mapping'!AO42&gt;=481,'(橫掃)RX Mapping'!AO42&lt;=600), ('(橫掃)RX Mapping'!AO42-361),IF(AND('(橫掃)RX Mapping'!AO42&gt;=601,'(橫掃)RX Mapping'!AO42&lt;=720), (-1)*('(橫掃)RX Mapping'!AO42-720)+120,IF(AND('(橫掃)RX Mapping'!AO42&gt;=721,'(橫掃)RX Mapping'!AO42&lt;=840), ('(橫掃)RX Mapping'!AO42-601),IF(AND('(橫掃)RX Mapping'!AO42&gt;=841,'(橫掃)RX Mapping'!AO42&lt;=960), (-1)*('(橫掃)RX Mapping'!AO42-960)+120,9999))))))))</f>
        <v>9999</v>
      </c>
      <c r="AP42">
        <f>IF(AND('(橫掃)RX Mapping'!AP42&gt;=1,'(橫掃)RX Mapping'!AP42&lt;=120), ('(橫掃)RX Mapping'!AP42-1),IF(AND('(橫掃)RX Mapping'!AP42&gt;=121,'(橫掃)RX Mapping'!AP42&lt;=240), (-1)*('(橫掃)RX Mapping'!AP42-240),IF(AND('(橫掃)RX Mapping'!AP42&gt;=241,'(橫掃)RX Mapping'!AP42&lt;=360), ('(橫掃)RX Mapping'!AP42-241),IF(AND('(橫掃)RX Mapping'!AP42&gt;=361,'(橫掃)RX Mapping'!AP42&lt;=480), (-1)*('(橫掃)RX Mapping'!AP42-480),IF(AND('(橫掃)RX Mapping'!AP42&gt;=481,'(橫掃)RX Mapping'!AP42&lt;=600), ('(橫掃)RX Mapping'!AP42-361),IF(AND('(橫掃)RX Mapping'!AP42&gt;=601,'(橫掃)RX Mapping'!AP42&lt;=720), (-1)*('(橫掃)RX Mapping'!AP42-720)+120,IF(AND('(橫掃)RX Mapping'!AP42&gt;=721,'(橫掃)RX Mapping'!AP42&lt;=840), ('(橫掃)RX Mapping'!AP42-601),IF(AND('(橫掃)RX Mapping'!AP42&gt;=841,'(橫掃)RX Mapping'!AP42&lt;=960), (-1)*('(橫掃)RX Mapping'!AP42-960)+120,9999))))))))</f>
        <v>9999</v>
      </c>
      <c r="AQ42">
        <f>IF(AND('(橫掃)RX Mapping'!AQ42&gt;=1,'(橫掃)RX Mapping'!AQ42&lt;=120), ('(橫掃)RX Mapping'!AQ42-1),IF(AND('(橫掃)RX Mapping'!AQ42&gt;=121,'(橫掃)RX Mapping'!AQ42&lt;=240), (-1)*('(橫掃)RX Mapping'!AQ42-240),IF(AND('(橫掃)RX Mapping'!AQ42&gt;=241,'(橫掃)RX Mapping'!AQ42&lt;=360), ('(橫掃)RX Mapping'!AQ42-241),IF(AND('(橫掃)RX Mapping'!AQ42&gt;=361,'(橫掃)RX Mapping'!AQ42&lt;=480), (-1)*('(橫掃)RX Mapping'!AQ42-480),IF(AND('(橫掃)RX Mapping'!AQ42&gt;=481,'(橫掃)RX Mapping'!AQ42&lt;=600), ('(橫掃)RX Mapping'!AQ42-361),IF(AND('(橫掃)RX Mapping'!AQ42&gt;=601,'(橫掃)RX Mapping'!AQ42&lt;=720), (-1)*('(橫掃)RX Mapping'!AQ42-720)+120,IF(AND('(橫掃)RX Mapping'!AQ42&gt;=721,'(橫掃)RX Mapping'!AQ42&lt;=840), ('(橫掃)RX Mapping'!AQ42-601),IF(AND('(橫掃)RX Mapping'!AQ42&gt;=841,'(橫掃)RX Mapping'!AQ42&lt;=960), (-1)*('(橫掃)RX Mapping'!AQ42-960)+120,9999))))))))</f>
        <v>9999</v>
      </c>
      <c r="AR42">
        <f>IF(AND('(橫掃)RX Mapping'!AR42&gt;=1,'(橫掃)RX Mapping'!AR42&lt;=120), ('(橫掃)RX Mapping'!AR42-1),IF(AND('(橫掃)RX Mapping'!AR42&gt;=121,'(橫掃)RX Mapping'!AR42&lt;=240), (-1)*('(橫掃)RX Mapping'!AR42-240),IF(AND('(橫掃)RX Mapping'!AR42&gt;=241,'(橫掃)RX Mapping'!AR42&lt;=360), ('(橫掃)RX Mapping'!AR42-241),IF(AND('(橫掃)RX Mapping'!AR42&gt;=361,'(橫掃)RX Mapping'!AR42&lt;=480), (-1)*('(橫掃)RX Mapping'!AR42-480),IF(AND('(橫掃)RX Mapping'!AR42&gt;=481,'(橫掃)RX Mapping'!AR42&lt;=600), ('(橫掃)RX Mapping'!AR42-361),IF(AND('(橫掃)RX Mapping'!AR42&gt;=601,'(橫掃)RX Mapping'!AR42&lt;=720), (-1)*('(橫掃)RX Mapping'!AR42-720)+120,IF(AND('(橫掃)RX Mapping'!AR42&gt;=721,'(橫掃)RX Mapping'!AR42&lt;=840), ('(橫掃)RX Mapping'!AR42-601),IF(AND('(橫掃)RX Mapping'!AR42&gt;=841,'(橫掃)RX Mapping'!AR42&lt;=960), (-1)*('(橫掃)RX Mapping'!AR42-960)+120,9999))))))))</f>
        <v>9999</v>
      </c>
      <c r="AS42">
        <f>IF(AND('(橫掃)RX Mapping'!AS42&gt;=1,'(橫掃)RX Mapping'!AS42&lt;=120), ('(橫掃)RX Mapping'!AS42-1),IF(AND('(橫掃)RX Mapping'!AS42&gt;=121,'(橫掃)RX Mapping'!AS42&lt;=240), (-1)*('(橫掃)RX Mapping'!AS42-240),IF(AND('(橫掃)RX Mapping'!AS42&gt;=241,'(橫掃)RX Mapping'!AS42&lt;=360), ('(橫掃)RX Mapping'!AS42-241),IF(AND('(橫掃)RX Mapping'!AS42&gt;=361,'(橫掃)RX Mapping'!AS42&lt;=480), (-1)*('(橫掃)RX Mapping'!AS42-480),IF(AND('(橫掃)RX Mapping'!AS42&gt;=481,'(橫掃)RX Mapping'!AS42&lt;=600), ('(橫掃)RX Mapping'!AS42-361),IF(AND('(橫掃)RX Mapping'!AS42&gt;=601,'(橫掃)RX Mapping'!AS42&lt;=720), (-1)*('(橫掃)RX Mapping'!AS42-720)+120,IF(AND('(橫掃)RX Mapping'!AS42&gt;=721,'(橫掃)RX Mapping'!AS42&lt;=840), ('(橫掃)RX Mapping'!AS42-601),IF(AND('(橫掃)RX Mapping'!AS42&gt;=841,'(橫掃)RX Mapping'!AS42&lt;=960), (-1)*('(橫掃)RX Mapping'!AS42-960)+120,9999))))))))</f>
        <v>9999</v>
      </c>
      <c r="AT42">
        <f>IF(AND('(橫掃)RX Mapping'!AT42&gt;=1,'(橫掃)RX Mapping'!AT42&lt;=120), ('(橫掃)RX Mapping'!AT42-1),IF(AND('(橫掃)RX Mapping'!AT42&gt;=121,'(橫掃)RX Mapping'!AT42&lt;=240), (-1)*('(橫掃)RX Mapping'!AT42-240),IF(AND('(橫掃)RX Mapping'!AT42&gt;=241,'(橫掃)RX Mapping'!AT42&lt;=360), ('(橫掃)RX Mapping'!AT42-241),IF(AND('(橫掃)RX Mapping'!AT42&gt;=361,'(橫掃)RX Mapping'!AT42&lt;=480), (-1)*('(橫掃)RX Mapping'!AT42-480),IF(AND('(橫掃)RX Mapping'!AT42&gt;=481,'(橫掃)RX Mapping'!AT42&lt;=600), ('(橫掃)RX Mapping'!AT42-361),IF(AND('(橫掃)RX Mapping'!AT42&gt;=601,'(橫掃)RX Mapping'!AT42&lt;=720), (-1)*('(橫掃)RX Mapping'!AT42-720)+120,IF(AND('(橫掃)RX Mapping'!AT42&gt;=721,'(橫掃)RX Mapping'!AT42&lt;=840), ('(橫掃)RX Mapping'!AT42-601),IF(AND('(橫掃)RX Mapping'!AT42&gt;=841,'(橫掃)RX Mapping'!AT42&lt;=960), (-1)*('(橫掃)RX Mapping'!AT42-960)+120,9999))))))))</f>
        <v>9999</v>
      </c>
      <c r="AU42">
        <f>IF(AND('(橫掃)RX Mapping'!AU42&gt;=1,'(橫掃)RX Mapping'!AU42&lt;=120), ('(橫掃)RX Mapping'!AU42-1),IF(AND('(橫掃)RX Mapping'!AU42&gt;=121,'(橫掃)RX Mapping'!AU42&lt;=240), (-1)*('(橫掃)RX Mapping'!AU42-240),IF(AND('(橫掃)RX Mapping'!AU42&gt;=241,'(橫掃)RX Mapping'!AU42&lt;=360), ('(橫掃)RX Mapping'!AU42-241),IF(AND('(橫掃)RX Mapping'!AU42&gt;=361,'(橫掃)RX Mapping'!AU42&lt;=480), (-1)*('(橫掃)RX Mapping'!AU42-480),IF(AND('(橫掃)RX Mapping'!AU42&gt;=481,'(橫掃)RX Mapping'!AU42&lt;=600), ('(橫掃)RX Mapping'!AU42-361),IF(AND('(橫掃)RX Mapping'!AU42&gt;=601,'(橫掃)RX Mapping'!AU42&lt;=720), (-1)*('(橫掃)RX Mapping'!AU42-720)+120,IF(AND('(橫掃)RX Mapping'!AU42&gt;=721,'(橫掃)RX Mapping'!AU42&lt;=840), ('(橫掃)RX Mapping'!AU42-601),IF(AND('(橫掃)RX Mapping'!AU42&gt;=841,'(橫掃)RX Mapping'!AU42&lt;=960), (-1)*('(橫掃)RX Mapping'!AU42-960)+120,9999))))))))</f>
        <v>9999</v>
      </c>
      <c r="AV42">
        <f>IF(AND('(橫掃)RX Mapping'!AV42&gt;=1,'(橫掃)RX Mapping'!AV42&lt;=120), ('(橫掃)RX Mapping'!AV42-1),IF(AND('(橫掃)RX Mapping'!AV42&gt;=121,'(橫掃)RX Mapping'!AV42&lt;=240), (-1)*('(橫掃)RX Mapping'!AV42-240),IF(AND('(橫掃)RX Mapping'!AV42&gt;=241,'(橫掃)RX Mapping'!AV42&lt;=360), ('(橫掃)RX Mapping'!AV42-241),IF(AND('(橫掃)RX Mapping'!AV42&gt;=361,'(橫掃)RX Mapping'!AV42&lt;=480), (-1)*('(橫掃)RX Mapping'!AV42-480),IF(AND('(橫掃)RX Mapping'!AV42&gt;=481,'(橫掃)RX Mapping'!AV42&lt;=600), ('(橫掃)RX Mapping'!AV42-361),IF(AND('(橫掃)RX Mapping'!AV42&gt;=601,'(橫掃)RX Mapping'!AV42&lt;=720), (-1)*('(橫掃)RX Mapping'!AV42-720)+120,IF(AND('(橫掃)RX Mapping'!AV42&gt;=721,'(橫掃)RX Mapping'!AV42&lt;=840), ('(橫掃)RX Mapping'!AV42-601),IF(AND('(橫掃)RX Mapping'!AV42&gt;=841,'(橫掃)RX Mapping'!AV42&lt;=960), (-1)*('(橫掃)RX Mapping'!AV42-960)+120,9999))))))))</f>
        <v>9999</v>
      </c>
      <c r="AW42">
        <f>IF(AND('(橫掃)RX Mapping'!AW42&gt;=1,'(橫掃)RX Mapping'!AW42&lt;=120), ('(橫掃)RX Mapping'!AW42-1),IF(AND('(橫掃)RX Mapping'!AW42&gt;=121,'(橫掃)RX Mapping'!AW42&lt;=240), (-1)*('(橫掃)RX Mapping'!AW42-240),IF(AND('(橫掃)RX Mapping'!AW42&gt;=241,'(橫掃)RX Mapping'!AW42&lt;=360), ('(橫掃)RX Mapping'!AW42-241),IF(AND('(橫掃)RX Mapping'!AW42&gt;=361,'(橫掃)RX Mapping'!AW42&lt;=480), (-1)*('(橫掃)RX Mapping'!AW42-480),IF(AND('(橫掃)RX Mapping'!AW42&gt;=481,'(橫掃)RX Mapping'!AW42&lt;=600), ('(橫掃)RX Mapping'!AW42-361),IF(AND('(橫掃)RX Mapping'!AW42&gt;=601,'(橫掃)RX Mapping'!AW42&lt;=720), (-1)*('(橫掃)RX Mapping'!AW42-720)+120,IF(AND('(橫掃)RX Mapping'!AW42&gt;=721,'(橫掃)RX Mapping'!AW42&lt;=840), ('(橫掃)RX Mapping'!AW42-601),IF(AND('(橫掃)RX Mapping'!AW42&gt;=841,'(橫掃)RX Mapping'!AW42&lt;=960), (-1)*('(橫掃)RX Mapping'!AW42-960)+120,9999))))))))</f>
        <v>9999</v>
      </c>
      <c r="AX42">
        <f>IF(AND('(橫掃)RX Mapping'!AX42&gt;=1,'(橫掃)RX Mapping'!AX42&lt;=120), ('(橫掃)RX Mapping'!AX42-1),IF(AND('(橫掃)RX Mapping'!AX42&gt;=121,'(橫掃)RX Mapping'!AX42&lt;=240), (-1)*('(橫掃)RX Mapping'!AX42-240),IF(AND('(橫掃)RX Mapping'!AX42&gt;=241,'(橫掃)RX Mapping'!AX42&lt;=360), ('(橫掃)RX Mapping'!AX42-241),IF(AND('(橫掃)RX Mapping'!AX42&gt;=361,'(橫掃)RX Mapping'!AX42&lt;=480), (-1)*('(橫掃)RX Mapping'!AX42-480),IF(AND('(橫掃)RX Mapping'!AX42&gt;=481,'(橫掃)RX Mapping'!AX42&lt;=600), ('(橫掃)RX Mapping'!AX42-361),IF(AND('(橫掃)RX Mapping'!AX42&gt;=601,'(橫掃)RX Mapping'!AX42&lt;=720), (-1)*('(橫掃)RX Mapping'!AX42-720)+120,IF(AND('(橫掃)RX Mapping'!AX42&gt;=721,'(橫掃)RX Mapping'!AX42&lt;=840), ('(橫掃)RX Mapping'!AX42-601),IF(AND('(橫掃)RX Mapping'!AX42&gt;=841,'(橫掃)RX Mapping'!AX42&lt;=960), (-1)*('(橫掃)RX Mapping'!AX42-960)+120,9999))))))))</f>
        <v>9999</v>
      </c>
      <c r="AY42">
        <f>IF(AND('(橫掃)RX Mapping'!AY42&gt;=1,'(橫掃)RX Mapping'!AY42&lt;=120), ('(橫掃)RX Mapping'!AY42-1),IF(AND('(橫掃)RX Mapping'!AY42&gt;=121,'(橫掃)RX Mapping'!AY42&lt;=240), (-1)*('(橫掃)RX Mapping'!AY42-240),IF(AND('(橫掃)RX Mapping'!AY42&gt;=241,'(橫掃)RX Mapping'!AY42&lt;=360), ('(橫掃)RX Mapping'!AY42-241),IF(AND('(橫掃)RX Mapping'!AY42&gt;=361,'(橫掃)RX Mapping'!AY42&lt;=480), (-1)*('(橫掃)RX Mapping'!AY42-480),IF(AND('(橫掃)RX Mapping'!AY42&gt;=481,'(橫掃)RX Mapping'!AY42&lt;=600), ('(橫掃)RX Mapping'!AY42-361),IF(AND('(橫掃)RX Mapping'!AY42&gt;=601,'(橫掃)RX Mapping'!AY42&lt;=720), (-1)*('(橫掃)RX Mapping'!AY42-720)+120,IF(AND('(橫掃)RX Mapping'!AY42&gt;=721,'(橫掃)RX Mapping'!AY42&lt;=840), ('(橫掃)RX Mapping'!AY42-601),IF(AND('(橫掃)RX Mapping'!AY42&gt;=841,'(橫掃)RX Mapping'!AY42&lt;=960), (-1)*('(橫掃)RX Mapping'!AY42-960)+120,9999))))))))</f>
        <v>9999</v>
      </c>
      <c r="AZ42">
        <f>IF(AND('(橫掃)RX Mapping'!AZ42&gt;=1,'(橫掃)RX Mapping'!AZ42&lt;=120), ('(橫掃)RX Mapping'!AZ42-1),IF(AND('(橫掃)RX Mapping'!AZ42&gt;=121,'(橫掃)RX Mapping'!AZ42&lt;=240), (-1)*('(橫掃)RX Mapping'!AZ42-240),IF(AND('(橫掃)RX Mapping'!AZ42&gt;=241,'(橫掃)RX Mapping'!AZ42&lt;=360), ('(橫掃)RX Mapping'!AZ42-241),IF(AND('(橫掃)RX Mapping'!AZ42&gt;=361,'(橫掃)RX Mapping'!AZ42&lt;=480), (-1)*('(橫掃)RX Mapping'!AZ42-480),IF(AND('(橫掃)RX Mapping'!AZ42&gt;=481,'(橫掃)RX Mapping'!AZ42&lt;=600), ('(橫掃)RX Mapping'!AZ42-361),IF(AND('(橫掃)RX Mapping'!AZ42&gt;=601,'(橫掃)RX Mapping'!AZ42&lt;=720), (-1)*('(橫掃)RX Mapping'!AZ42-720)+120,IF(AND('(橫掃)RX Mapping'!AZ42&gt;=721,'(橫掃)RX Mapping'!AZ42&lt;=840), ('(橫掃)RX Mapping'!AZ42-601),IF(AND('(橫掃)RX Mapping'!AZ42&gt;=841,'(橫掃)RX Mapping'!AZ42&lt;=960), (-1)*('(橫掃)RX Mapping'!AZ42-960)+120,9999))))))))</f>
        <v>9999</v>
      </c>
      <c r="BA42">
        <f>IF(AND('(橫掃)RX Mapping'!BA42&gt;=1,'(橫掃)RX Mapping'!BA42&lt;=120), ('(橫掃)RX Mapping'!BA42-1),IF(AND('(橫掃)RX Mapping'!BA42&gt;=121,'(橫掃)RX Mapping'!BA42&lt;=240), (-1)*('(橫掃)RX Mapping'!BA42-240),IF(AND('(橫掃)RX Mapping'!BA42&gt;=241,'(橫掃)RX Mapping'!BA42&lt;=360), ('(橫掃)RX Mapping'!BA42-241),IF(AND('(橫掃)RX Mapping'!BA42&gt;=361,'(橫掃)RX Mapping'!BA42&lt;=480), (-1)*('(橫掃)RX Mapping'!BA42-480),IF(AND('(橫掃)RX Mapping'!BA42&gt;=481,'(橫掃)RX Mapping'!BA42&lt;=600), ('(橫掃)RX Mapping'!BA42-361),IF(AND('(橫掃)RX Mapping'!BA42&gt;=601,'(橫掃)RX Mapping'!BA42&lt;=720), (-1)*('(橫掃)RX Mapping'!BA42-720)+120,IF(AND('(橫掃)RX Mapping'!BA42&gt;=721,'(橫掃)RX Mapping'!BA42&lt;=840), ('(橫掃)RX Mapping'!BA42-601),IF(AND('(橫掃)RX Mapping'!BA42&gt;=841,'(橫掃)RX Mapping'!BA42&lt;=960), (-1)*('(橫掃)RX Mapping'!BA42-960)+120,9999))))))))</f>
        <v>9999</v>
      </c>
      <c r="BB42">
        <f>IF(AND('(橫掃)RX Mapping'!BB42&gt;=1,'(橫掃)RX Mapping'!BB42&lt;=120), ('(橫掃)RX Mapping'!BB42-1),IF(AND('(橫掃)RX Mapping'!BB42&gt;=121,'(橫掃)RX Mapping'!BB42&lt;=240), (-1)*('(橫掃)RX Mapping'!BB42-240),IF(AND('(橫掃)RX Mapping'!BB42&gt;=241,'(橫掃)RX Mapping'!BB42&lt;=360), ('(橫掃)RX Mapping'!BB42-241),IF(AND('(橫掃)RX Mapping'!BB42&gt;=361,'(橫掃)RX Mapping'!BB42&lt;=480), (-1)*('(橫掃)RX Mapping'!BB42-480),IF(AND('(橫掃)RX Mapping'!BB42&gt;=481,'(橫掃)RX Mapping'!BB42&lt;=600), ('(橫掃)RX Mapping'!BB42-361),IF(AND('(橫掃)RX Mapping'!BB42&gt;=601,'(橫掃)RX Mapping'!BB42&lt;=720), (-1)*('(橫掃)RX Mapping'!BB42-720)+120,IF(AND('(橫掃)RX Mapping'!BB42&gt;=721,'(橫掃)RX Mapping'!BB42&lt;=840), ('(橫掃)RX Mapping'!BB42-601),IF(AND('(橫掃)RX Mapping'!BB42&gt;=841,'(橫掃)RX Mapping'!BB42&lt;=960), (-1)*('(橫掃)RX Mapping'!BB42-960)+120,9999))))))))</f>
        <v>9999</v>
      </c>
      <c r="BC42">
        <f>IF(AND('(橫掃)RX Mapping'!BC42&gt;=1,'(橫掃)RX Mapping'!BC42&lt;=120), ('(橫掃)RX Mapping'!BC42-1),IF(AND('(橫掃)RX Mapping'!BC42&gt;=121,'(橫掃)RX Mapping'!BC42&lt;=240), (-1)*('(橫掃)RX Mapping'!BC42-240),IF(AND('(橫掃)RX Mapping'!BC42&gt;=241,'(橫掃)RX Mapping'!BC42&lt;=360), ('(橫掃)RX Mapping'!BC42-241),IF(AND('(橫掃)RX Mapping'!BC42&gt;=361,'(橫掃)RX Mapping'!BC42&lt;=480), (-1)*('(橫掃)RX Mapping'!BC42-480),IF(AND('(橫掃)RX Mapping'!BC42&gt;=481,'(橫掃)RX Mapping'!BC42&lt;=600), ('(橫掃)RX Mapping'!BC42-361),IF(AND('(橫掃)RX Mapping'!BC42&gt;=601,'(橫掃)RX Mapping'!BC42&lt;=720), (-1)*('(橫掃)RX Mapping'!BC42-720)+120,IF(AND('(橫掃)RX Mapping'!BC42&gt;=721,'(橫掃)RX Mapping'!BC42&lt;=840), ('(橫掃)RX Mapping'!BC42-601),IF(AND('(橫掃)RX Mapping'!BC42&gt;=841,'(橫掃)RX Mapping'!BC42&lt;=960), (-1)*('(橫掃)RX Mapping'!BC42-960)+120,9999))))))))</f>
        <v>9999</v>
      </c>
      <c r="BD42">
        <f>IF(AND('(橫掃)RX Mapping'!BD42&gt;=1,'(橫掃)RX Mapping'!BD42&lt;=120), ('(橫掃)RX Mapping'!BD42-1),IF(AND('(橫掃)RX Mapping'!BD42&gt;=121,'(橫掃)RX Mapping'!BD42&lt;=240), (-1)*('(橫掃)RX Mapping'!BD42-240),IF(AND('(橫掃)RX Mapping'!BD42&gt;=241,'(橫掃)RX Mapping'!BD42&lt;=360), ('(橫掃)RX Mapping'!BD42-241),IF(AND('(橫掃)RX Mapping'!BD42&gt;=361,'(橫掃)RX Mapping'!BD42&lt;=480), (-1)*('(橫掃)RX Mapping'!BD42-480),IF(AND('(橫掃)RX Mapping'!BD42&gt;=481,'(橫掃)RX Mapping'!BD42&lt;=600), ('(橫掃)RX Mapping'!BD42-361),IF(AND('(橫掃)RX Mapping'!BD42&gt;=601,'(橫掃)RX Mapping'!BD42&lt;=720), (-1)*('(橫掃)RX Mapping'!BD42-720)+120,IF(AND('(橫掃)RX Mapping'!BD42&gt;=721,'(橫掃)RX Mapping'!BD42&lt;=840), ('(橫掃)RX Mapping'!BD42-601),IF(AND('(橫掃)RX Mapping'!BD42&gt;=841,'(橫掃)RX Mapping'!BD42&lt;=960), (-1)*('(橫掃)RX Mapping'!BD42-960)+120,9999))))))))</f>
        <v>9999</v>
      </c>
      <c r="BE42">
        <f>IF(AND('(橫掃)RX Mapping'!BE42&gt;=1,'(橫掃)RX Mapping'!BE42&lt;=120), ('(橫掃)RX Mapping'!BE42-1),IF(AND('(橫掃)RX Mapping'!BE42&gt;=121,'(橫掃)RX Mapping'!BE42&lt;=240), (-1)*('(橫掃)RX Mapping'!BE42-240),IF(AND('(橫掃)RX Mapping'!BE42&gt;=241,'(橫掃)RX Mapping'!BE42&lt;=360), ('(橫掃)RX Mapping'!BE42-241),IF(AND('(橫掃)RX Mapping'!BE42&gt;=361,'(橫掃)RX Mapping'!BE42&lt;=480), (-1)*('(橫掃)RX Mapping'!BE42-480),IF(AND('(橫掃)RX Mapping'!BE42&gt;=481,'(橫掃)RX Mapping'!BE42&lt;=600), ('(橫掃)RX Mapping'!BE42-361),IF(AND('(橫掃)RX Mapping'!BE42&gt;=601,'(橫掃)RX Mapping'!BE42&lt;=720), (-1)*('(橫掃)RX Mapping'!BE42-720)+120,IF(AND('(橫掃)RX Mapping'!BE42&gt;=721,'(橫掃)RX Mapping'!BE42&lt;=840), ('(橫掃)RX Mapping'!BE42-601),IF(AND('(橫掃)RX Mapping'!BE42&gt;=841,'(橫掃)RX Mapping'!BE42&lt;=960), (-1)*('(橫掃)RX Mapping'!BE42-960)+120,9999))))))))</f>
        <v>9999</v>
      </c>
      <c r="BF42">
        <f>IF(AND('(橫掃)RX Mapping'!BF42&gt;=1,'(橫掃)RX Mapping'!BF42&lt;=120), ('(橫掃)RX Mapping'!BF42-1),IF(AND('(橫掃)RX Mapping'!BF42&gt;=121,'(橫掃)RX Mapping'!BF42&lt;=240), (-1)*('(橫掃)RX Mapping'!BF42-240),IF(AND('(橫掃)RX Mapping'!BF42&gt;=241,'(橫掃)RX Mapping'!BF42&lt;=360), ('(橫掃)RX Mapping'!BF42-241),IF(AND('(橫掃)RX Mapping'!BF42&gt;=361,'(橫掃)RX Mapping'!BF42&lt;=480), (-1)*('(橫掃)RX Mapping'!BF42-480),IF(AND('(橫掃)RX Mapping'!BF42&gt;=481,'(橫掃)RX Mapping'!BF42&lt;=600), ('(橫掃)RX Mapping'!BF42-361),IF(AND('(橫掃)RX Mapping'!BF42&gt;=601,'(橫掃)RX Mapping'!BF42&lt;=720), (-1)*('(橫掃)RX Mapping'!BF42-720)+120,IF(AND('(橫掃)RX Mapping'!BF42&gt;=721,'(橫掃)RX Mapping'!BF42&lt;=840), ('(橫掃)RX Mapping'!BF42-601),IF(AND('(橫掃)RX Mapping'!BF42&gt;=841,'(橫掃)RX Mapping'!BF42&lt;=960), (-1)*('(橫掃)RX Mapping'!BF42-960)+120,9999))))))))</f>
        <v>9999</v>
      </c>
      <c r="BG42">
        <f>IF(AND('(橫掃)RX Mapping'!BG42&gt;=1,'(橫掃)RX Mapping'!BG42&lt;=120), ('(橫掃)RX Mapping'!BG42-1),IF(AND('(橫掃)RX Mapping'!BG42&gt;=121,'(橫掃)RX Mapping'!BG42&lt;=240), (-1)*('(橫掃)RX Mapping'!BG42-240),IF(AND('(橫掃)RX Mapping'!BG42&gt;=241,'(橫掃)RX Mapping'!BG42&lt;=360), ('(橫掃)RX Mapping'!BG42-241),IF(AND('(橫掃)RX Mapping'!BG42&gt;=361,'(橫掃)RX Mapping'!BG42&lt;=480), (-1)*('(橫掃)RX Mapping'!BG42-480),IF(AND('(橫掃)RX Mapping'!BG42&gt;=481,'(橫掃)RX Mapping'!BG42&lt;=600), ('(橫掃)RX Mapping'!BG42-361),IF(AND('(橫掃)RX Mapping'!BG42&gt;=601,'(橫掃)RX Mapping'!BG42&lt;=720), (-1)*('(橫掃)RX Mapping'!BG42-720)+120,IF(AND('(橫掃)RX Mapping'!BG42&gt;=721,'(橫掃)RX Mapping'!BG42&lt;=840), ('(橫掃)RX Mapping'!BG42-601),IF(AND('(橫掃)RX Mapping'!BG42&gt;=841,'(橫掃)RX Mapping'!BG42&lt;=960), (-1)*('(橫掃)RX Mapping'!BG42-960)+120,9999))))))))</f>
        <v>9999</v>
      </c>
      <c r="BH42">
        <f>IF(AND('(橫掃)RX Mapping'!BH42&gt;=1,'(橫掃)RX Mapping'!BH42&lt;=120), ('(橫掃)RX Mapping'!BH42-1),IF(AND('(橫掃)RX Mapping'!BH42&gt;=121,'(橫掃)RX Mapping'!BH42&lt;=240), (-1)*('(橫掃)RX Mapping'!BH42-240),IF(AND('(橫掃)RX Mapping'!BH42&gt;=241,'(橫掃)RX Mapping'!BH42&lt;=360), ('(橫掃)RX Mapping'!BH42-241),IF(AND('(橫掃)RX Mapping'!BH42&gt;=361,'(橫掃)RX Mapping'!BH42&lt;=480), (-1)*('(橫掃)RX Mapping'!BH42-480),IF(AND('(橫掃)RX Mapping'!BH42&gt;=481,'(橫掃)RX Mapping'!BH42&lt;=600), ('(橫掃)RX Mapping'!BH42-361),IF(AND('(橫掃)RX Mapping'!BH42&gt;=601,'(橫掃)RX Mapping'!BH42&lt;=720), (-1)*('(橫掃)RX Mapping'!BH42-720)+120,IF(AND('(橫掃)RX Mapping'!BH42&gt;=721,'(橫掃)RX Mapping'!BH42&lt;=840), ('(橫掃)RX Mapping'!BH42-601),IF(AND('(橫掃)RX Mapping'!BH42&gt;=841,'(橫掃)RX Mapping'!BH42&lt;=960), (-1)*('(橫掃)RX Mapping'!BH42-960)+120,9999))))))))</f>
        <v>9999</v>
      </c>
      <c r="BI42">
        <f>IF(AND('(橫掃)RX Mapping'!BI42&gt;=1,'(橫掃)RX Mapping'!BI42&lt;=120), ('(橫掃)RX Mapping'!BI42-1),IF(AND('(橫掃)RX Mapping'!BI42&gt;=121,'(橫掃)RX Mapping'!BI42&lt;=240), (-1)*('(橫掃)RX Mapping'!BI42-240),IF(AND('(橫掃)RX Mapping'!BI42&gt;=241,'(橫掃)RX Mapping'!BI42&lt;=360), ('(橫掃)RX Mapping'!BI42-241),IF(AND('(橫掃)RX Mapping'!BI42&gt;=361,'(橫掃)RX Mapping'!BI42&lt;=480), (-1)*('(橫掃)RX Mapping'!BI42-480),IF(AND('(橫掃)RX Mapping'!BI42&gt;=481,'(橫掃)RX Mapping'!BI42&lt;=600), ('(橫掃)RX Mapping'!BI42-361),IF(AND('(橫掃)RX Mapping'!BI42&gt;=601,'(橫掃)RX Mapping'!BI42&lt;=720), (-1)*('(橫掃)RX Mapping'!BI42-720)+120,IF(AND('(橫掃)RX Mapping'!BI42&gt;=721,'(橫掃)RX Mapping'!BI42&lt;=840), ('(橫掃)RX Mapping'!BI42-601),IF(AND('(橫掃)RX Mapping'!BI42&gt;=841,'(橫掃)RX Mapping'!BI42&lt;=960), (-1)*('(橫掃)RX Mapping'!BI42-960)+120,9999))))))))</f>
        <v>9999</v>
      </c>
    </row>
    <row r="43" spans="1:61" x14ac:dyDescent="0.25">
      <c r="A43" s="20">
        <v>42</v>
      </c>
      <c r="B43">
        <f>IF(AND('(橫掃)RX Mapping'!B43&gt;=1,'(橫掃)RX Mapping'!B43&lt;=120), ('(橫掃)RX Mapping'!B43-1),IF(AND('(橫掃)RX Mapping'!B43&gt;=121,'(橫掃)RX Mapping'!B43&lt;=240), (-1)*('(橫掃)RX Mapping'!B43-240),IF(AND('(橫掃)RX Mapping'!B43&gt;=241,'(橫掃)RX Mapping'!B43&lt;=360), ('(橫掃)RX Mapping'!B43-241),IF(AND('(橫掃)RX Mapping'!B43&gt;=361,'(橫掃)RX Mapping'!B43&lt;=480), (-1)*('(橫掃)RX Mapping'!B43-480),IF(AND('(橫掃)RX Mapping'!B43&gt;=481,'(橫掃)RX Mapping'!B43&lt;=600), ('(橫掃)RX Mapping'!B43-361),IF(AND('(橫掃)RX Mapping'!B43&gt;=601,'(橫掃)RX Mapping'!B43&lt;=720), (-1)*('(橫掃)RX Mapping'!B43-720)+120,IF(AND('(橫掃)RX Mapping'!B43&gt;=721,'(橫掃)RX Mapping'!B43&lt;=840), ('(橫掃)RX Mapping'!B43-601),IF(AND('(橫掃)RX Mapping'!B43&gt;=841,'(橫掃)RX Mapping'!B43&lt;=960), (-1)*('(橫掃)RX Mapping'!B43-960)+120,9999))))))))</f>
        <v>9999</v>
      </c>
      <c r="C43">
        <f>IF(AND('(橫掃)RX Mapping'!C43&gt;=1,'(橫掃)RX Mapping'!C43&lt;=120), ('(橫掃)RX Mapping'!C43-1),IF(AND('(橫掃)RX Mapping'!C43&gt;=121,'(橫掃)RX Mapping'!C43&lt;=240), (-1)*('(橫掃)RX Mapping'!C43-240),IF(AND('(橫掃)RX Mapping'!C43&gt;=241,'(橫掃)RX Mapping'!C43&lt;=360), ('(橫掃)RX Mapping'!C43-241),IF(AND('(橫掃)RX Mapping'!C43&gt;=361,'(橫掃)RX Mapping'!C43&lt;=480), (-1)*('(橫掃)RX Mapping'!C43-480),IF(AND('(橫掃)RX Mapping'!C43&gt;=481,'(橫掃)RX Mapping'!C43&lt;=600), ('(橫掃)RX Mapping'!C43-361),IF(AND('(橫掃)RX Mapping'!C43&gt;=601,'(橫掃)RX Mapping'!C43&lt;=720), (-1)*('(橫掃)RX Mapping'!C43-720)+120,IF(AND('(橫掃)RX Mapping'!C43&gt;=721,'(橫掃)RX Mapping'!C43&lt;=840), ('(橫掃)RX Mapping'!C43-601),IF(AND('(橫掃)RX Mapping'!C43&gt;=841,'(橫掃)RX Mapping'!C43&lt;=960), (-1)*('(橫掃)RX Mapping'!C43-960)+120,9999))))))))</f>
        <v>9999</v>
      </c>
      <c r="D43">
        <f>IF(AND('(橫掃)RX Mapping'!D43&gt;=1,'(橫掃)RX Mapping'!D43&lt;=120), ('(橫掃)RX Mapping'!D43-1),IF(AND('(橫掃)RX Mapping'!D43&gt;=121,'(橫掃)RX Mapping'!D43&lt;=240), (-1)*('(橫掃)RX Mapping'!D43-240),IF(AND('(橫掃)RX Mapping'!D43&gt;=241,'(橫掃)RX Mapping'!D43&lt;=360), ('(橫掃)RX Mapping'!D43-241),IF(AND('(橫掃)RX Mapping'!D43&gt;=361,'(橫掃)RX Mapping'!D43&lt;=480), (-1)*('(橫掃)RX Mapping'!D43-480),IF(AND('(橫掃)RX Mapping'!D43&gt;=481,'(橫掃)RX Mapping'!D43&lt;=600), ('(橫掃)RX Mapping'!D43-361),IF(AND('(橫掃)RX Mapping'!D43&gt;=601,'(橫掃)RX Mapping'!D43&lt;=720), (-1)*('(橫掃)RX Mapping'!D43-720)+120,IF(AND('(橫掃)RX Mapping'!D43&gt;=721,'(橫掃)RX Mapping'!D43&lt;=840), ('(橫掃)RX Mapping'!D43-601),IF(AND('(橫掃)RX Mapping'!D43&gt;=841,'(橫掃)RX Mapping'!D43&lt;=960), (-1)*('(橫掃)RX Mapping'!D43-960)+120,9999))))))))</f>
        <v>9999</v>
      </c>
      <c r="E43">
        <f>IF(AND('(橫掃)RX Mapping'!E43&gt;=1,'(橫掃)RX Mapping'!E43&lt;=120), ('(橫掃)RX Mapping'!E43-1),IF(AND('(橫掃)RX Mapping'!E43&gt;=121,'(橫掃)RX Mapping'!E43&lt;=240), (-1)*('(橫掃)RX Mapping'!E43-240),IF(AND('(橫掃)RX Mapping'!E43&gt;=241,'(橫掃)RX Mapping'!E43&lt;=360), ('(橫掃)RX Mapping'!E43-241),IF(AND('(橫掃)RX Mapping'!E43&gt;=361,'(橫掃)RX Mapping'!E43&lt;=480), (-1)*('(橫掃)RX Mapping'!E43-480),IF(AND('(橫掃)RX Mapping'!E43&gt;=481,'(橫掃)RX Mapping'!E43&lt;=600), ('(橫掃)RX Mapping'!E43-361),IF(AND('(橫掃)RX Mapping'!E43&gt;=601,'(橫掃)RX Mapping'!E43&lt;=720), (-1)*('(橫掃)RX Mapping'!E43-720)+120,IF(AND('(橫掃)RX Mapping'!E43&gt;=721,'(橫掃)RX Mapping'!E43&lt;=840), ('(橫掃)RX Mapping'!E43-601),IF(AND('(橫掃)RX Mapping'!E43&gt;=841,'(橫掃)RX Mapping'!E43&lt;=960), (-1)*('(橫掃)RX Mapping'!E43-960)+120,9999))))))))</f>
        <v>9999</v>
      </c>
      <c r="F43">
        <f>IF(AND('(橫掃)RX Mapping'!F43&gt;=1,'(橫掃)RX Mapping'!F43&lt;=120), ('(橫掃)RX Mapping'!F43-1),IF(AND('(橫掃)RX Mapping'!F43&gt;=121,'(橫掃)RX Mapping'!F43&lt;=240), (-1)*('(橫掃)RX Mapping'!F43-240),IF(AND('(橫掃)RX Mapping'!F43&gt;=241,'(橫掃)RX Mapping'!F43&lt;=360), ('(橫掃)RX Mapping'!F43-241),IF(AND('(橫掃)RX Mapping'!F43&gt;=361,'(橫掃)RX Mapping'!F43&lt;=480), (-1)*('(橫掃)RX Mapping'!F43-480),IF(AND('(橫掃)RX Mapping'!F43&gt;=481,'(橫掃)RX Mapping'!F43&lt;=600), ('(橫掃)RX Mapping'!F43-361),IF(AND('(橫掃)RX Mapping'!F43&gt;=601,'(橫掃)RX Mapping'!F43&lt;=720), (-1)*('(橫掃)RX Mapping'!F43-720)+120,IF(AND('(橫掃)RX Mapping'!F43&gt;=721,'(橫掃)RX Mapping'!F43&lt;=840), ('(橫掃)RX Mapping'!F43-601),IF(AND('(橫掃)RX Mapping'!F43&gt;=841,'(橫掃)RX Mapping'!F43&lt;=960), (-1)*('(橫掃)RX Mapping'!F43-960)+120,9999))))))))</f>
        <v>9999</v>
      </c>
      <c r="G43">
        <f>IF(AND('(橫掃)RX Mapping'!G43&gt;=1,'(橫掃)RX Mapping'!G43&lt;=120), ('(橫掃)RX Mapping'!G43-1),IF(AND('(橫掃)RX Mapping'!G43&gt;=121,'(橫掃)RX Mapping'!G43&lt;=240), (-1)*('(橫掃)RX Mapping'!G43-240),IF(AND('(橫掃)RX Mapping'!G43&gt;=241,'(橫掃)RX Mapping'!G43&lt;=360), ('(橫掃)RX Mapping'!G43-241),IF(AND('(橫掃)RX Mapping'!G43&gt;=361,'(橫掃)RX Mapping'!G43&lt;=480), (-1)*('(橫掃)RX Mapping'!G43-480),IF(AND('(橫掃)RX Mapping'!G43&gt;=481,'(橫掃)RX Mapping'!G43&lt;=600), ('(橫掃)RX Mapping'!G43-361),IF(AND('(橫掃)RX Mapping'!G43&gt;=601,'(橫掃)RX Mapping'!G43&lt;=720), (-1)*('(橫掃)RX Mapping'!G43-720)+120,IF(AND('(橫掃)RX Mapping'!G43&gt;=721,'(橫掃)RX Mapping'!G43&lt;=840), ('(橫掃)RX Mapping'!G43-601),IF(AND('(橫掃)RX Mapping'!G43&gt;=841,'(橫掃)RX Mapping'!G43&lt;=960), (-1)*('(橫掃)RX Mapping'!G43-960)+120,9999))))))))</f>
        <v>9999</v>
      </c>
      <c r="H43">
        <f>IF(AND('(橫掃)RX Mapping'!H43&gt;=1,'(橫掃)RX Mapping'!H43&lt;=120), ('(橫掃)RX Mapping'!H43-1),IF(AND('(橫掃)RX Mapping'!H43&gt;=121,'(橫掃)RX Mapping'!H43&lt;=240), (-1)*('(橫掃)RX Mapping'!H43-240),IF(AND('(橫掃)RX Mapping'!H43&gt;=241,'(橫掃)RX Mapping'!H43&lt;=360), ('(橫掃)RX Mapping'!H43-241),IF(AND('(橫掃)RX Mapping'!H43&gt;=361,'(橫掃)RX Mapping'!H43&lt;=480), (-1)*('(橫掃)RX Mapping'!H43-480),IF(AND('(橫掃)RX Mapping'!H43&gt;=481,'(橫掃)RX Mapping'!H43&lt;=600), ('(橫掃)RX Mapping'!H43-361),IF(AND('(橫掃)RX Mapping'!H43&gt;=601,'(橫掃)RX Mapping'!H43&lt;=720), (-1)*('(橫掃)RX Mapping'!H43-720)+120,IF(AND('(橫掃)RX Mapping'!H43&gt;=721,'(橫掃)RX Mapping'!H43&lt;=840), ('(橫掃)RX Mapping'!H43-601),IF(AND('(橫掃)RX Mapping'!H43&gt;=841,'(橫掃)RX Mapping'!H43&lt;=960), (-1)*('(橫掃)RX Mapping'!H43-960)+120,9999))))))))</f>
        <v>9999</v>
      </c>
      <c r="I43">
        <f>IF(AND('(橫掃)RX Mapping'!I43&gt;=1,'(橫掃)RX Mapping'!I43&lt;=120), ('(橫掃)RX Mapping'!I43-1),IF(AND('(橫掃)RX Mapping'!I43&gt;=121,'(橫掃)RX Mapping'!I43&lt;=240), (-1)*('(橫掃)RX Mapping'!I43-240),IF(AND('(橫掃)RX Mapping'!I43&gt;=241,'(橫掃)RX Mapping'!I43&lt;=360), ('(橫掃)RX Mapping'!I43-241),IF(AND('(橫掃)RX Mapping'!I43&gt;=361,'(橫掃)RX Mapping'!I43&lt;=480), (-1)*('(橫掃)RX Mapping'!I43-480),IF(AND('(橫掃)RX Mapping'!I43&gt;=481,'(橫掃)RX Mapping'!I43&lt;=600), ('(橫掃)RX Mapping'!I43-361),IF(AND('(橫掃)RX Mapping'!I43&gt;=601,'(橫掃)RX Mapping'!I43&lt;=720), (-1)*('(橫掃)RX Mapping'!I43-720)+120,IF(AND('(橫掃)RX Mapping'!I43&gt;=721,'(橫掃)RX Mapping'!I43&lt;=840), ('(橫掃)RX Mapping'!I43-601),IF(AND('(橫掃)RX Mapping'!I43&gt;=841,'(橫掃)RX Mapping'!I43&lt;=960), (-1)*('(橫掃)RX Mapping'!I43-960)+120,9999))))))))</f>
        <v>9999</v>
      </c>
      <c r="J43">
        <f>IF(AND('(橫掃)RX Mapping'!J43&gt;=1,'(橫掃)RX Mapping'!J43&lt;=120), ('(橫掃)RX Mapping'!J43-1),IF(AND('(橫掃)RX Mapping'!J43&gt;=121,'(橫掃)RX Mapping'!J43&lt;=240), (-1)*('(橫掃)RX Mapping'!J43-240),IF(AND('(橫掃)RX Mapping'!J43&gt;=241,'(橫掃)RX Mapping'!J43&lt;=360), ('(橫掃)RX Mapping'!J43-241),IF(AND('(橫掃)RX Mapping'!J43&gt;=361,'(橫掃)RX Mapping'!J43&lt;=480), (-1)*('(橫掃)RX Mapping'!J43-480),IF(AND('(橫掃)RX Mapping'!J43&gt;=481,'(橫掃)RX Mapping'!J43&lt;=600), ('(橫掃)RX Mapping'!J43-361),IF(AND('(橫掃)RX Mapping'!J43&gt;=601,'(橫掃)RX Mapping'!J43&lt;=720), (-1)*('(橫掃)RX Mapping'!J43-720)+120,IF(AND('(橫掃)RX Mapping'!J43&gt;=721,'(橫掃)RX Mapping'!J43&lt;=840), ('(橫掃)RX Mapping'!J43-601),IF(AND('(橫掃)RX Mapping'!J43&gt;=841,'(橫掃)RX Mapping'!J43&lt;=960), (-1)*('(橫掃)RX Mapping'!J43-960)+120,9999))))))))</f>
        <v>9999</v>
      </c>
      <c r="K43">
        <f>IF(AND('(橫掃)RX Mapping'!K43&gt;=1,'(橫掃)RX Mapping'!K43&lt;=120), ('(橫掃)RX Mapping'!K43-1),IF(AND('(橫掃)RX Mapping'!K43&gt;=121,'(橫掃)RX Mapping'!K43&lt;=240), (-1)*('(橫掃)RX Mapping'!K43-240),IF(AND('(橫掃)RX Mapping'!K43&gt;=241,'(橫掃)RX Mapping'!K43&lt;=360), ('(橫掃)RX Mapping'!K43-241),IF(AND('(橫掃)RX Mapping'!K43&gt;=361,'(橫掃)RX Mapping'!K43&lt;=480), (-1)*('(橫掃)RX Mapping'!K43-480),IF(AND('(橫掃)RX Mapping'!K43&gt;=481,'(橫掃)RX Mapping'!K43&lt;=600), ('(橫掃)RX Mapping'!K43-361),IF(AND('(橫掃)RX Mapping'!K43&gt;=601,'(橫掃)RX Mapping'!K43&lt;=720), (-1)*('(橫掃)RX Mapping'!K43-720)+120,IF(AND('(橫掃)RX Mapping'!K43&gt;=721,'(橫掃)RX Mapping'!K43&lt;=840), ('(橫掃)RX Mapping'!K43-601),IF(AND('(橫掃)RX Mapping'!K43&gt;=841,'(橫掃)RX Mapping'!K43&lt;=960), (-1)*('(橫掃)RX Mapping'!K43-960)+120,9999))))))))</f>
        <v>9999</v>
      </c>
      <c r="L43">
        <f>IF(AND('(橫掃)RX Mapping'!L43&gt;=1,'(橫掃)RX Mapping'!L43&lt;=120), ('(橫掃)RX Mapping'!L43-1),IF(AND('(橫掃)RX Mapping'!L43&gt;=121,'(橫掃)RX Mapping'!L43&lt;=240), (-1)*('(橫掃)RX Mapping'!L43-240),IF(AND('(橫掃)RX Mapping'!L43&gt;=241,'(橫掃)RX Mapping'!L43&lt;=360), ('(橫掃)RX Mapping'!L43-241),IF(AND('(橫掃)RX Mapping'!L43&gt;=361,'(橫掃)RX Mapping'!L43&lt;=480), (-1)*('(橫掃)RX Mapping'!L43-480),IF(AND('(橫掃)RX Mapping'!L43&gt;=481,'(橫掃)RX Mapping'!L43&lt;=600), ('(橫掃)RX Mapping'!L43-361),IF(AND('(橫掃)RX Mapping'!L43&gt;=601,'(橫掃)RX Mapping'!L43&lt;=720), (-1)*('(橫掃)RX Mapping'!L43-720)+120,IF(AND('(橫掃)RX Mapping'!L43&gt;=721,'(橫掃)RX Mapping'!L43&lt;=840), ('(橫掃)RX Mapping'!L43-601),IF(AND('(橫掃)RX Mapping'!L43&gt;=841,'(橫掃)RX Mapping'!L43&lt;=960), (-1)*('(橫掃)RX Mapping'!L43-960)+120,9999))))))))</f>
        <v>9999</v>
      </c>
      <c r="M43">
        <f>IF(AND('(橫掃)RX Mapping'!M43&gt;=1,'(橫掃)RX Mapping'!M43&lt;=120), ('(橫掃)RX Mapping'!M43-1),IF(AND('(橫掃)RX Mapping'!M43&gt;=121,'(橫掃)RX Mapping'!M43&lt;=240), (-1)*('(橫掃)RX Mapping'!M43-240),IF(AND('(橫掃)RX Mapping'!M43&gt;=241,'(橫掃)RX Mapping'!M43&lt;=360), ('(橫掃)RX Mapping'!M43-241),IF(AND('(橫掃)RX Mapping'!M43&gt;=361,'(橫掃)RX Mapping'!M43&lt;=480), (-1)*('(橫掃)RX Mapping'!M43-480),IF(AND('(橫掃)RX Mapping'!M43&gt;=481,'(橫掃)RX Mapping'!M43&lt;=600), ('(橫掃)RX Mapping'!M43-361),IF(AND('(橫掃)RX Mapping'!M43&gt;=601,'(橫掃)RX Mapping'!M43&lt;=720), (-1)*('(橫掃)RX Mapping'!M43-720)+120,IF(AND('(橫掃)RX Mapping'!M43&gt;=721,'(橫掃)RX Mapping'!M43&lt;=840), ('(橫掃)RX Mapping'!M43-601),IF(AND('(橫掃)RX Mapping'!M43&gt;=841,'(橫掃)RX Mapping'!M43&lt;=960), (-1)*('(橫掃)RX Mapping'!M43-960)+120,9999))))))))</f>
        <v>9999</v>
      </c>
      <c r="N43">
        <f>IF(AND('(橫掃)RX Mapping'!N43&gt;=1,'(橫掃)RX Mapping'!N43&lt;=120), ('(橫掃)RX Mapping'!N43-1),IF(AND('(橫掃)RX Mapping'!N43&gt;=121,'(橫掃)RX Mapping'!N43&lt;=240), (-1)*('(橫掃)RX Mapping'!N43-240),IF(AND('(橫掃)RX Mapping'!N43&gt;=241,'(橫掃)RX Mapping'!N43&lt;=360), ('(橫掃)RX Mapping'!N43-241),IF(AND('(橫掃)RX Mapping'!N43&gt;=361,'(橫掃)RX Mapping'!N43&lt;=480), (-1)*('(橫掃)RX Mapping'!N43-480),IF(AND('(橫掃)RX Mapping'!N43&gt;=481,'(橫掃)RX Mapping'!N43&lt;=600), ('(橫掃)RX Mapping'!N43-361),IF(AND('(橫掃)RX Mapping'!N43&gt;=601,'(橫掃)RX Mapping'!N43&lt;=720), (-1)*('(橫掃)RX Mapping'!N43-720)+120,IF(AND('(橫掃)RX Mapping'!N43&gt;=721,'(橫掃)RX Mapping'!N43&lt;=840), ('(橫掃)RX Mapping'!N43-601),IF(AND('(橫掃)RX Mapping'!N43&gt;=841,'(橫掃)RX Mapping'!N43&lt;=960), (-1)*('(橫掃)RX Mapping'!N43-960)+120,9999))))))))</f>
        <v>9999</v>
      </c>
      <c r="O43">
        <f>IF(AND('(橫掃)RX Mapping'!O43&gt;=1,'(橫掃)RX Mapping'!O43&lt;=120), ('(橫掃)RX Mapping'!O43-1),IF(AND('(橫掃)RX Mapping'!O43&gt;=121,'(橫掃)RX Mapping'!O43&lt;=240), (-1)*('(橫掃)RX Mapping'!O43-240),IF(AND('(橫掃)RX Mapping'!O43&gt;=241,'(橫掃)RX Mapping'!O43&lt;=360), ('(橫掃)RX Mapping'!O43-241),IF(AND('(橫掃)RX Mapping'!O43&gt;=361,'(橫掃)RX Mapping'!O43&lt;=480), (-1)*('(橫掃)RX Mapping'!O43-480),IF(AND('(橫掃)RX Mapping'!O43&gt;=481,'(橫掃)RX Mapping'!O43&lt;=600), ('(橫掃)RX Mapping'!O43-361),IF(AND('(橫掃)RX Mapping'!O43&gt;=601,'(橫掃)RX Mapping'!O43&lt;=720), (-1)*('(橫掃)RX Mapping'!O43-720)+120,IF(AND('(橫掃)RX Mapping'!O43&gt;=721,'(橫掃)RX Mapping'!O43&lt;=840), ('(橫掃)RX Mapping'!O43-601),IF(AND('(橫掃)RX Mapping'!O43&gt;=841,'(橫掃)RX Mapping'!O43&lt;=960), (-1)*('(橫掃)RX Mapping'!O43-960)+120,9999))))))))</f>
        <v>9999</v>
      </c>
      <c r="P43">
        <f>IF(AND('(橫掃)RX Mapping'!P43&gt;=1,'(橫掃)RX Mapping'!P43&lt;=120), ('(橫掃)RX Mapping'!P43-1),IF(AND('(橫掃)RX Mapping'!P43&gt;=121,'(橫掃)RX Mapping'!P43&lt;=240), (-1)*('(橫掃)RX Mapping'!P43-240),IF(AND('(橫掃)RX Mapping'!P43&gt;=241,'(橫掃)RX Mapping'!P43&lt;=360), ('(橫掃)RX Mapping'!P43-241),IF(AND('(橫掃)RX Mapping'!P43&gt;=361,'(橫掃)RX Mapping'!P43&lt;=480), (-1)*('(橫掃)RX Mapping'!P43-480),IF(AND('(橫掃)RX Mapping'!P43&gt;=481,'(橫掃)RX Mapping'!P43&lt;=600), ('(橫掃)RX Mapping'!P43-361),IF(AND('(橫掃)RX Mapping'!P43&gt;=601,'(橫掃)RX Mapping'!P43&lt;=720), (-1)*('(橫掃)RX Mapping'!P43-720)+120,IF(AND('(橫掃)RX Mapping'!P43&gt;=721,'(橫掃)RX Mapping'!P43&lt;=840), ('(橫掃)RX Mapping'!P43-601),IF(AND('(橫掃)RX Mapping'!P43&gt;=841,'(橫掃)RX Mapping'!P43&lt;=960), (-1)*('(橫掃)RX Mapping'!P43-960)+120,9999))))))))</f>
        <v>9999</v>
      </c>
      <c r="Q43">
        <f>IF(AND('(橫掃)RX Mapping'!Q43&gt;=1,'(橫掃)RX Mapping'!Q43&lt;=120), ('(橫掃)RX Mapping'!Q43-1),IF(AND('(橫掃)RX Mapping'!Q43&gt;=121,'(橫掃)RX Mapping'!Q43&lt;=240), (-1)*('(橫掃)RX Mapping'!Q43-240),IF(AND('(橫掃)RX Mapping'!Q43&gt;=241,'(橫掃)RX Mapping'!Q43&lt;=360), ('(橫掃)RX Mapping'!Q43-241),IF(AND('(橫掃)RX Mapping'!Q43&gt;=361,'(橫掃)RX Mapping'!Q43&lt;=480), (-1)*('(橫掃)RX Mapping'!Q43-480),IF(AND('(橫掃)RX Mapping'!Q43&gt;=481,'(橫掃)RX Mapping'!Q43&lt;=600), ('(橫掃)RX Mapping'!Q43-361),IF(AND('(橫掃)RX Mapping'!Q43&gt;=601,'(橫掃)RX Mapping'!Q43&lt;=720), (-1)*('(橫掃)RX Mapping'!Q43-720)+120,IF(AND('(橫掃)RX Mapping'!Q43&gt;=721,'(橫掃)RX Mapping'!Q43&lt;=840), ('(橫掃)RX Mapping'!Q43-601),IF(AND('(橫掃)RX Mapping'!Q43&gt;=841,'(橫掃)RX Mapping'!Q43&lt;=960), (-1)*('(橫掃)RX Mapping'!Q43-960)+120,9999))))))))</f>
        <v>9999</v>
      </c>
      <c r="R43">
        <f>IF(AND('(橫掃)RX Mapping'!R43&gt;=1,'(橫掃)RX Mapping'!R43&lt;=120), ('(橫掃)RX Mapping'!R43-1),IF(AND('(橫掃)RX Mapping'!R43&gt;=121,'(橫掃)RX Mapping'!R43&lt;=240), (-1)*('(橫掃)RX Mapping'!R43-240),IF(AND('(橫掃)RX Mapping'!R43&gt;=241,'(橫掃)RX Mapping'!R43&lt;=360), ('(橫掃)RX Mapping'!R43-241),IF(AND('(橫掃)RX Mapping'!R43&gt;=361,'(橫掃)RX Mapping'!R43&lt;=480), (-1)*('(橫掃)RX Mapping'!R43-480),IF(AND('(橫掃)RX Mapping'!R43&gt;=481,'(橫掃)RX Mapping'!R43&lt;=600), ('(橫掃)RX Mapping'!R43-361),IF(AND('(橫掃)RX Mapping'!R43&gt;=601,'(橫掃)RX Mapping'!R43&lt;=720), (-1)*('(橫掃)RX Mapping'!R43-720)+120,IF(AND('(橫掃)RX Mapping'!R43&gt;=721,'(橫掃)RX Mapping'!R43&lt;=840), ('(橫掃)RX Mapping'!R43-601),IF(AND('(橫掃)RX Mapping'!R43&gt;=841,'(橫掃)RX Mapping'!R43&lt;=960), (-1)*('(橫掃)RX Mapping'!R43-960)+120,9999))))))))</f>
        <v>9999</v>
      </c>
      <c r="S43">
        <f>IF(AND('(橫掃)RX Mapping'!S43&gt;=1,'(橫掃)RX Mapping'!S43&lt;=120), ('(橫掃)RX Mapping'!S43-1),IF(AND('(橫掃)RX Mapping'!S43&gt;=121,'(橫掃)RX Mapping'!S43&lt;=240), (-1)*('(橫掃)RX Mapping'!S43-240),IF(AND('(橫掃)RX Mapping'!S43&gt;=241,'(橫掃)RX Mapping'!S43&lt;=360), ('(橫掃)RX Mapping'!S43-241),IF(AND('(橫掃)RX Mapping'!S43&gt;=361,'(橫掃)RX Mapping'!S43&lt;=480), (-1)*('(橫掃)RX Mapping'!S43-480),IF(AND('(橫掃)RX Mapping'!S43&gt;=481,'(橫掃)RX Mapping'!S43&lt;=600), ('(橫掃)RX Mapping'!S43-361),IF(AND('(橫掃)RX Mapping'!S43&gt;=601,'(橫掃)RX Mapping'!S43&lt;=720), (-1)*('(橫掃)RX Mapping'!S43-720)+120,IF(AND('(橫掃)RX Mapping'!S43&gt;=721,'(橫掃)RX Mapping'!S43&lt;=840), ('(橫掃)RX Mapping'!S43-601),IF(AND('(橫掃)RX Mapping'!S43&gt;=841,'(橫掃)RX Mapping'!S43&lt;=960), (-1)*('(橫掃)RX Mapping'!S43-960)+120,9999))))))))</f>
        <v>9999</v>
      </c>
      <c r="T43">
        <f>IF(AND('(橫掃)RX Mapping'!T43&gt;=1,'(橫掃)RX Mapping'!T43&lt;=120), ('(橫掃)RX Mapping'!T43-1),IF(AND('(橫掃)RX Mapping'!T43&gt;=121,'(橫掃)RX Mapping'!T43&lt;=240), (-1)*('(橫掃)RX Mapping'!T43-240),IF(AND('(橫掃)RX Mapping'!T43&gt;=241,'(橫掃)RX Mapping'!T43&lt;=360), ('(橫掃)RX Mapping'!T43-241),IF(AND('(橫掃)RX Mapping'!T43&gt;=361,'(橫掃)RX Mapping'!T43&lt;=480), (-1)*('(橫掃)RX Mapping'!T43-480),IF(AND('(橫掃)RX Mapping'!T43&gt;=481,'(橫掃)RX Mapping'!T43&lt;=600), ('(橫掃)RX Mapping'!T43-361),IF(AND('(橫掃)RX Mapping'!T43&gt;=601,'(橫掃)RX Mapping'!T43&lt;=720), (-1)*('(橫掃)RX Mapping'!T43-720)+120,IF(AND('(橫掃)RX Mapping'!T43&gt;=721,'(橫掃)RX Mapping'!T43&lt;=840), ('(橫掃)RX Mapping'!T43-601),IF(AND('(橫掃)RX Mapping'!T43&gt;=841,'(橫掃)RX Mapping'!T43&lt;=960), (-1)*('(橫掃)RX Mapping'!T43-960)+120,9999))))))))</f>
        <v>9999</v>
      </c>
      <c r="U43">
        <f>IF(AND('(橫掃)RX Mapping'!U43&gt;=1,'(橫掃)RX Mapping'!U43&lt;=120), ('(橫掃)RX Mapping'!U43-1),IF(AND('(橫掃)RX Mapping'!U43&gt;=121,'(橫掃)RX Mapping'!U43&lt;=240), (-1)*('(橫掃)RX Mapping'!U43-240),IF(AND('(橫掃)RX Mapping'!U43&gt;=241,'(橫掃)RX Mapping'!U43&lt;=360), ('(橫掃)RX Mapping'!U43-241),IF(AND('(橫掃)RX Mapping'!U43&gt;=361,'(橫掃)RX Mapping'!U43&lt;=480), (-1)*('(橫掃)RX Mapping'!U43-480),IF(AND('(橫掃)RX Mapping'!U43&gt;=481,'(橫掃)RX Mapping'!U43&lt;=600), ('(橫掃)RX Mapping'!U43-361),IF(AND('(橫掃)RX Mapping'!U43&gt;=601,'(橫掃)RX Mapping'!U43&lt;=720), (-1)*('(橫掃)RX Mapping'!U43-720)+120,IF(AND('(橫掃)RX Mapping'!U43&gt;=721,'(橫掃)RX Mapping'!U43&lt;=840), ('(橫掃)RX Mapping'!U43-601),IF(AND('(橫掃)RX Mapping'!U43&gt;=841,'(橫掃)RX Mapping'!U43&lt;=960), (-1)*('(橫掃)RX Mapping'!U43-960)+120,9999))))))))</f>
        <v>9999</v>
      </c>
      <c r="V43">
        <f>IF(AND('(橫掃)RX Mapping'!V43&gt;=1,'(橫掃)RX Mapping'!V43&lt;=120), ('(橫掃)RX Mapping'!V43-1),IF(AND('(橫掃)RX Mapping'!V43&gt;=121,'(橫掃)RX Mapping'!V43&lt;=240), (-1)*('(橫掃)RX Mapping'!V43-240),IF(AND('(橫掃)RX Mapping'!V43&gt;=241,'(橫掃)RX Mapping'!V43&lt;=360), ('(橫掃)RX Mapping'!V43-241),IF(AND('(橫掃)RX Mapping'!V43&gt;=361,'(橫掃)RX Mapping'!V43&lt;=480), (-1)*('(橫掃)RX Mapping'!V43-480),IF(AND('(橫掃)RX Mapping'!V43&gt;=481,'(橫掃)RX Mapping'!V43&lt;=600), ('(橫掃)RX Mapping'!V43-361),IF(AND('(橫掃)RX Mapping'!V43&gt;=601,'(橫掃)RX Mapping'!V43&lt;=720), (-1)*('(橫掃)RX Mapping'!V43-720)+120,IF(AND('(橫掃)RX Mapping'!V43&gt;=721,'(橫掃)RX Mapping'!V43&lt;=840), ('(橫掃)RX Mapping'!V43-601),IF(AND('(橫掃)RX Mapping'!V43&gt;=841,'(橫掃)RX Mapping'!V43&lt;=960), (-1)*('(橫掃)RX Mapping'!V43-960)+120,9999))))))))</f>
        <v>9999</v>
      </c>
      <c r="W43">
        <f>IF(AND('(橫掃)RX Mapping'!W43&gt;=1,'(橫掃)RX Mapping'!W43&lt;=120), ('(橫掃)RX Mapping'!W43-1),IF(AND('(橫掃)RX Mapping'!W43&gt;=121,'(橫掃)RX Mapping'!W43&lt;=240), (-1)*('(橫掃)RX Mapping'!W43-240),IF(AND('(橫掃)RX Mapping'!W43&gt;=241,'(橫掃)RX Mapping'!W43&lt;=360), ('(橫掃)RX Mapping'!W43-241),IF(AND('(橫掃)RX Mapping'!W43&gt;=361,'(橫掃)RX Mapping'!W43&lt;=480), (-1)*('(橫掃)RX Mapping'!W43-480),IF(AND('(橫掃)RX Mapping'!W43&gt;=481,'(橫掃)RX Mapping'!W43&lt;=600), ('(橫掃)RX Mapping'!W43-361),IF(AND('(橫掃)RX Mapping'!W43&gt;=601,'(橫掃)RX Mapping'!W43&lt;=720), (-1)*('(橫掃)RX Mapping'!W43-720)+120,IF(AND('(橫掃)RX Mapping'!W43&gt;=721,'(橫掃)RX Mapping'!W43&lt;=840), ('(橫掃)RX Mapping'!W43-601),IF(AND('(橫掃)RX Mapping'!W43&gt;=841,'(橫掃)RX Mapping'!W43&lt;=960), (-1)*('(橫掃)RX Mapping'!W43-960)+120,9999))))))))</f>
        <v>9999</v>
      </c>
      <c r="X43">
        <f>IF(AND('(橫掃)RX Mapping'!X43&gt;=1,'(橫掃)RX Mapping'!X43&lt;=120), ('(橫掃)RX Mapping'!X43-1),IF(AND('(橫掃)RX Mapping'!X43&gt;=121,'(橫掃)RX Mapping'!X43&lt;=240), (-1)*('(橫掃)RX Mapping'!X43-240),IF(AND('(橫掃)RX Mapping'!X43&gt;=241,'(橫掃)RX Mapping'!X43&lt;=360), ('(橫掃)RX Mapping'!X43-241),IF(AND('(橫掃)RX Mapping'!X43&gt;=361,'(橫掃)RX Mapping'!X43&lt;=480), (-1)*('(橫掃)RX Mapping'!X43-480),IF(AND('(橫掃)RX Mapping'!X43&gt;=481,'(橫掃)RX Mapping'!X43&lt;=600), ('(橫掃)RX Mapping'!X43-361),IF(AND('(橫掃)RX Mapping'!X43&gt;=601,'(橫掃)RX Mapping'!X43&lt;=720), (-1)*('(橫掃)RX Mapping'!X43-720)+120,IF(AND('(橫掃)RX Mapping'!X43&gt;=721,'(橫掃)RX Mapping'!X43&lt;=840), ('(橫掃)RX Mapping'!X43-601),IF(AND('(橫掃)RX Mapping'!X43&gt;=841,'(橫掃)RX Mapping'!X43&lt;=960), (-1)*('(橫掃)RX Mapping'!X43-960)+120,9999))))))))</f>
        <v>9999</v>
      </c>
      <c r="Y43">
        <f>IF(AND('(橫掃)RX Mapping'!Y43&gt;=1,'(橫掃)RX Mapping'!Y43&lt;=120), ('(橫掃)RX Mapping'!Y43-1),IF(AND('(橫掃)RX Mapping'!Y43&gt;=121,'(橫掃)RX Mapping'!Y43&lt;=240), (-1)*('(橫掃)RX Mapping'!Y43-240),IF(AND('(橫掃)RX Mapping'!Y43&gt;=241,'(橫掃)RX Mapping'!Y43&lt;=360), ('(橫掃)RX Mapping'!Y43-241),IF(AND('(橫掃)RX Mapping'!Y43&gt;=361,'(橫掃)RX Mapping'!Y43&lt;=480), (-1)*('(橫掃)RX Mapping'!Y43-480),IF(AND('(橫掃)RX Mapping'!Y43&gt;=481,'(橫掃)RX Mapping'!Y43&lt;=600), ('(橫掃)RX Mapping'!Y43-361),IF(AND('(橫掃)RX Mapping'!Y43&gt;=601,'(橫掃)RX Mapping'!Y43&lt;=720), (-1)*('(橫掃)RX Mapping'!Y43-720)+120,IF(AND('(橫掃)RX Mapping'!Y43&gt;=721,'(橫掃)RX Mapping'!Y43&lt;=840), ('(橫掃)RX Mapping'!Y43-601),IF(AND('(橫掃)RX Mapping'!Y43&gt;=841,'(橫掃)RX Mapping'!Y43&lt;=960), (-1)*('(橫掃)RX Mapping'!Y43-960)+120,9999))))))))</f>
        <v>9999</v>
      </c>
      <c r="Z43">
        <f>IF(AND('(橫掃)RX Mapping'!Z43&gt;=1,'(橫掃)RX Mapping'!Z43&lt;=120), ('(橫掃)RX Mapping'!Z43-1),IF(AND('(橫掃)RX Mapping'!Z43&gt;=121,'(橫掃)RX Mapping'!Z43&lt;=240), (-1)*('(橫掃)RX Mapping'!Z43-240),IF(AND('(橫掃)RX Mapping'!Z43&gt;=241,'(橫掃)RX Mapping'!Z43&lt;=360), ('(橫掃)RX Mapping'!Z43-241),IF(AND('(橫掃)RX Mapping'!Z43&gt;=361,'(橫掃)RX Mapping'!Z43&lt;=480), (-1)*('(橫掃)RX Mapping'!Z43-480),IF(AND('(橫掃)RX Mapping'!Z43&gt;=481,'(橫掃)RX Mapping'!Z43&lt;=600), ('(橫掃)RX Mapping'!Z43-361),IF(AND('(橫掃)RX Mapping'!Z43&gt;=601,'(橫掃)RX Mapping'!Z43&lt;=720), (-1)*('(橫掃)RX Mapping'!Z43-720)+120,IF(AND('(橫掃)RX Mapping'!Z43&gt;=721,'(橫掃)RX Mapping'!Z43&lt;=840), ('(橫掃)RX Mapping'!Z43-601),IF(AND('(橫掃)RX Mapping'!Z43&gt;=841,'(橫掃)RX Mapping'!Z43&lt;=960), (-1)*('(橫掃)RX Mapping'!Z43-960)+120,9999))))))))</f>
        <v>9999</v>
      </c>
      <c r="AA43">
        <f>IF(AND('(橫掃)RX Mapping'!AA43&gt;=1,'(橫掃)RX Mapping'!AA43&lt;=120), ('(橫掃)RX Mapping'!AA43-1),IF(AND('(橫掃)RX Mapping'!AA43&gt;=121,'(橫掃)RX Mapping'!AA43&lt;=240), (-1)*('(橫掃)RX Mapping'!AA43-240),IF(AND('(橫掃)RX Mapping'!AA43&gt;=241,'(橫掃)RX Mapping'!AA43&lt;=360), ('(橫掃)RX Mapping'!AA43-241),IF(AND('(橫掃)RX Mapping'!AA43&gt;=361,'(橫掃)RX Mapping'!AA43&lt;=480), (-1)*('(橫掃)RX Mapping'!AA43-480),IF(AND('(橫掃)RX Mapping'!AA43&gt;=481,'(橫掃)RX Mapping'!AA43&lt;=600), ('(橫掃)RX Mapping'!AA43-361),IF(AND('(橫掃)RX Mapping'!AA43&gt;=601,'(橫掃)RX Mapping'!AA43&lt;=720), (-1)*('(橫掃)RX Mapping'!AA43-720)+120,IF(AND('(橫掃)RX Mapping'!AA43&gt;=721,'(橫掃)RX Mapping'!AA43&lt;=840), ('(橫掃)RX Mapping'!AA43-601),IF(AND('(橫掃)RX Mapping'!AA43&gt;=841,'(橫掃)RX Mapping'!AA43&lt;=960), (-1)*('(橫掃)RX Mapping'!AA43-960)+120,9999))))))))</f>
        <v>9999</v>
      </c>
      <c r="AB43">
        <f>IF(AND('(橫掃)RX Mapping'!AB43&gt;=1,'(橫掃)RX Mapping'!AB43&lt;=120), ('(橫掃)RX Mapping'!AB43-1),IF(AND('(橫掃)RX Mapping'!AB43&gt;=121,'(橫掃)RX Mapping'!AB43&lt;=240), (-1)*('(橫掃)RX Mapping'!AB43-240),IF(AND('(橫掃)RX Mapping'!AB43&gt;=241,'(橫掃)RX Mapping'!AB43&lt;=360), ('(橫掃)RX Mapping'!AB43-241),IF(AND('(橫掃)RX Mapping'!AB43&gt;=361,'(橫掃)RX Mapping'!AB43&lt;=480), (-1)*('(橫掃)RX Mapping'!AB43-480),IF(AND('(橫掃)RX Mapping'!AB43&gt;=481,'(橫掃)RX Mapping'!AB43&lt;=600), ('(橫掃)RX Mapping'!AB43-361),IF(AND('(橫掃)RX Mapping'!AB43&gt;=601,'(橫掃)RX Mapping'!AB43&lt;=720), (-1)*('(橫掃)RX Mapping'!AB43-720)+120,IF(AND('(橫掃)RX Mapping'!AB43&gt;=721,'(橫掃)RX Mapping'!AB43&lt;=840), ('(橫掃)RX Mapping'!AB43-601),IF(AND('(橫掃)RX Mapping'!AB43&gt;=841,'(橫掃)RX Mapping'!AB43&lt;=960), (-1)*('(橫掃)RX Mapping'!AB43-960)+120,9999))))))))</f>
        <v>9999</v>
      </c>
      <c r="AC43">
        <f>IF(AND('(橫掃)RX Mapping'!AC43&gt;=1,'(橫掃)RX Mapping'!AC43&lt;=120), ('(橫掃)RX Mapping'!AC43-1),IF(AND('(橫掃)RX Mapping'!AC43&gt;=121,'(橫掃)RX Mapping'!AC43&lt;=240), (-1)*('(橫掃)RX Mapping'!AC43-240),IF(AND('(橫掃)RX Mapping'!AC43&gt;=241,'(橫掃)RX Mapping'!AC43&lt;=360), ('(橫掃)RX Mapping'!AC43-241),IF(AND('(橫掃)RX Mapping'!AC43&gt;=361,'(橫掃)RX Mapping'!AC43&lt;=480), (-1)*('(橫掃)RX Mapping'!AC43-480),IF(AND('(橫掃)RX Mapping'!AC43&gt;=481,'(橫掃)RX Mapping'!AC43&lt;=600), ('(橫掃)RX Mapping'!AC43-361),IF(AND('(橫掃)RX Mapping'!AC43&gt;=601,'(橫掃)RX Mapping'!AC43&lt;=720), (-1)*('(橫掃)RX Mapping'!AC43-720)+120,IF(AND('(橫掃)RX Mapping'!AC43&gt;=721,'(橫掃)RX Mapping'!AC43&lt;=840), ('(橫掃)RX Mapping'!AC43-601),IF(AND('(橫掃)RX Mapping'!AC43&gt;=841,'(橫掃)RX Mapping'!AC43&lt;=960), (-1)*('(橫掃)RX Mapping'!AC43-960)+120,9999))))))))</f>
        <v>9999</v>
      </c>
      <c r="AD43">
        <f>IF(AND('(橫掃)RX Mapping'!AD43&gt;=1,'(橫掃)RX Mapping'!AD43&lt;=120), ('(橫掃)RX Mapping'!AD43-1),IF(AND('(橫掃)RX Mapping'!AD43&gt;=121,'(橫掃)RX Mapping'!AD43&lt;=240), (-1)*('(橫掃)RX Mapping'!AD43-240),IF(AND('(橫掃)RX Mapping'!AD43&gt;=241,'(橫掃)RX Mapping'!AD43&lt;=360), ('(橫掃)RX Mapping'!AD43-241),IF(AND('(橫掃)RX Mapping'!AD43&gt;=361,'(橫掃)RX Mapping'!AD43&lt;=480), (-1)*('(橫掃)RX Mapping'!AD43-480),IF(AND('(橫掃)RX Mapping'!AD43&gt;=481,'(橫掃)RX Mapping'!AD43&lt;=600), ('(橫掃)RX Mapping'!AD43-361),IF(AND('(橫掃)RX Mapping'!AD43&gt;=601,'(橫掃)RX Mapping'!AD43&lt;=720), (-1)*('(橫掃)RX Mapping'!AD43-720)+120,IF(AND('(橫掃)RX Mapping'!AD43&gt;=721,'(橫掃)RX Mapping'!AD43&lt;=840), ('(橫掃)RX Mapping'!AD43-601),IF(AND('(橫掃)RX Mapping'!AD43&gt;=841,'(橫掃)RX Mapping'!AD43&lt;=960), (-1)*('(橫掃)RX Mapping'!AD43-960)+120,9999))))))))</f>
        <v>9999</v>
      </c>
      <c r="AE43">
        <f>IF(AND('(橫掃)RX Mapping'!AE43&gt;=1,'(橫掃)RX Mapping'!AE43&lt;=120), ('(橫掃)RX Mapping'!AE43-1),IF(AND('(橫掃)RX Mapping'!AE43&gt;=121,'(橫掃)RX Mapping'!AE43&lt;=240), (-1)*('(橫掃)RX Mapping'!AE43-240),IF(AND('(橫掃)RX Mapping'!AE43&gt;=241,'(橫掃)RX Mapping'!AE43&lt;=360), ('(橫掃)RX Mapping'!AE43-241),IF(AND('(橫掃)RX Mapping'!AE43&gt;=361,'(橫掃)RX Mapping'!AE43&lt;=480), (-1)*('(橫掃)RX Mapping'!AE43-480),IF(AND('(橫掃)RX Mapping'!AE43&gt;=481,'(橫掃)RX Mapping'!AE43&lt;=600), ('(橫掃)RX Mapping'!AE43-361),IF(AND('(橫掃)RX Mapping'!AE43&gt;=601,'(橫掃)RX Mapping'!AE43&lt;=720), (-1)*('(橫掃)RX Mapping'!AE43-720)+120,IF(AND('(橫掃)RX Mapping'!AE43&gt;=721,'(橫掃)RX Mapping'!AE43&lt;=840), ('(橫掃)RX Mapping'!AE43-601),IF(AND('(橫掃)RX Mapping'!AE43&gt;=841,'(橫掃)RX Mapping'!AE43&lt;=960), (-1)*('(橫掃)RX Mapping'!AE43-960)+120,9999))))))))</f>
        <v>9999</v>
      </c>
      <c r="AF43">
        <f>IF(AND('(橫掃)RX Mapping'!AF43&gt;=1,'(橫掃)RX Mapping'!AF43&lt;=120), ('(橫掃)RX Mapping'!AF43-1),IF(AND('(橫掃)RX Mapping'!AF43&gt;=121,'(橫掃)RX Mapping'!AF43&lt;=240), (-1)*('(橫掃)RX Mapping'!AF43-240),IF(AND('(橫掃)RX Mapping'!AF43&gt;=241,'(橫掃)RX Mapping'!AF43&lt;=360), ('(橫掃)RX Mapping'!AF43-241),IF(AND('(橫掃)RX Mapping'!AF43&gt;=361,'(橫掃)RX Mapping'!AF43&lt;=480), (-1)*('(橫掃)RX Mapping'!AF43-480),IF(AND('(橫掃)RX Mapping'!AF43&gt;=481,'(橫掃)RX Mapping'!AF43&lt;=600), ('(橫掃)RX Mapping'!AF43-361),IF(AND('(橫掃)RX Mapping'!AF43&gt;=601,'(橫掃)RX Mapping'!AF43&lt;=720), (-1)*('(橫掃)RX Mapping'!AF43-720)+120,IF(AND('(橫掃)RX Mapping'!AF43&gt;=721,'(橫掃)RX Mapping'!AF43&lt;=840), ('(橫掃)RX Mapping'!AF43-601),IF(AND('(橫掃)RX Mapping'!AF43&gt;=841,'(橫掃)RX Mapping'!AF43&lt;=960), (-1)*('(橫掃)RX Mapping'!AF43-960)+120,9999))))))))</f>
        <v>9999</v>
      </c>
      <c r="AG43">
        <f>IF(AND('(橫掃)RX Mapping'!AG43&gt;=1,'(橫掃)RX Mapping'!AG43&lt;=120), ('(橫掃)RX Mapping'!AG43-1),IF(AND('(橫掃)RX Mapping'!AG43&gt;=121,'(橫掃)RX Mapping'!AG43&lt;=240), (-1)*('(橫掃)RX Mapping'!AG43-240),IF(AND('(橫掃)RX Mapping'!AG43&gt;=241,'(橫掃)RX Mapping'!AG43&lt;=360), ('(橫掃)RX Mapping'!AG43-241),IF(AND('(橫掃)RX Mapping'!AG43&gt;=361,'(橫掃)RX Mapping'!AG43&lt;=480), (-1)*('(橫掃)RX Mapping'!AG43-480),IF(AND('(橫掃)RX Mapping'!AG43&gt;=481,'(橫掃)RX Mapping'!AG43&lt;=600), ('(橫掃)RX Mapping'!AG43-361),IF(AND('(橫掃)RX Mapping'!AG43&gt;=601,'(橫掃)RX Mapping'!AG43&lt;=720), (-1)*('(橫掃)RX Mapping'!AG43-720)+120,IF(AND('(橫掃)RX Mapping'!AG43&gt;=721,'(橫掃)RX Mapping'!AG43&lt;=840), ('(橫掃)RX Mapping'!AG43-601),IF(AND('(橫掃)RX Mapping'!AG43&gt;=841,'(橫掃)RX Mapping'!AG43&lt;=960), (-1)*('(橫掃)RX Mapping'!AG43-960)+120,9999))))))))</f>
        <v>9999</v>
      </c>
      <c r="AH43">
        <f>IF(AND('(橫掃)RX Mapping'!AH43&gt;=1,'(橫掃)RX Mapping'!AH43&lt;=120), ('(橫掃)RX Mapping'!AH43-1),IF(AND('(橫掃)RX Mapping'!AH43&gt;=121,'(橫掃)RX Mapping'!AH43&lt;=240), (-1)*('(橫掃)RX Mapping'!AH43-240),IF(AND('(橫掃)RX Mapping'!AH43&gt;=241,'(橫掃)RX Mapping'!AH43&lt;=360), ('(橫掃)RX Mapping'!AH43-241),IF(AND('(橫掃)RX Mapping'!AH43&gt;=361,'(橫掃)RX Mapping'!AH43&lt;=480), (-1)*('(橫掃)RX Mapping'!AH43-480),IF(AND('(橫掃)RX Mapping'!AH43&gt;=481,'(橫掃)RX Mapping'!AH43&lt;=600), ('(橫掃)RX Mapping'!AH43-361),IF(AND('(橫掃)RX Mapping'!AH43&gt;=601,'(橫掃)RX Mapping'!AH43&lt;=720), (-1)*('(橫掃)RX Mapping'!AH43-720)+120,IF(AND('(橫掃)RX Mapping'!AH43&gt;=721,'(橫掃)RX Mapping'!AH43&lt;=840), ('(橫掃)RX Mapping'!AH43-601),IF(AND('(橫掃)RX Mapping'!AH43&gt;=841,'(橫掃)RX Mapping'!AH43&lt;=960), (-1)*('(橫掃)RX Mapping'!AH43-960)+120,9999))))))))</f>
        <v>9999</v>
      </c>
      <c r="AI43">
        <f>IF(AND('(橫掃)RX Mapping'!AI43&gt;=1,'(橫掃)RX Mapping'!AI43&lt;=120), ('(橫掃)RX Mapping'!AI43-1),IF(AND('(橫掃)RX Mapping'!AI43&gt;=121,'(橫掃)RX Mapping'!AI43&lt;=240), (-1)*('(橫掃)RX Mapping'!AI43-240),IF(AND('(橫掃)RX Mapping'!AI43&gt;=241,'(橫掃)RX Mapping'!AI43&lt;=360), ('(橫掃)RX Mapping'!AI43-241),IF(AND('(橫掃)RX Mapping'!AI43&gt;=361,'(橫掃)RX Mapping'!AI43&lt;=480), (-1)*('(橫掃)RX Mapping'!AI43-480),IF(AND('(橫掃)RX Mapping'!AI43&gt;=481,'(橫掃)RX Mapping'!AI43&lt;=600), ('(橫掃)RX Mapping'!AI43-361),IF(AND('(橫掃)RX Mapping'!AI43&gt;=601,'(橫掃)RX Mapping'!AI43&lt;=720), (-1)*('(橫掃)RX Mapping'!AI43-720)+120,IF(AND('(橫掃)RX Mapping'!AI43&gt;=721,'(橫掃)RX Mapping'!AI43&lt;=840), ('(橫掃)RX Mapping'!AI43-601),IF(AND('(橫掃)RX Mapping'!AI43&gt;=841,'(橫掃)RX Mapping'!AI43&lt;=960), (-1)*('(橫掃)RX Mapping'!AI43-960)+120,9999))))))))</f>
        <v>9999</v>
      </c>
      <c r="AJ43">
        <f>IF(AND('(橫掃)RX Mapping'!AJ43&gt;=1,'(橫掃)RX Mapping'!AJ43&lt;=120), ('(橫掃)RX Mapping'!AJ43-1),IF(AND('(橫掃)RX Mapping'!AJ43&gt;=121,'(橫掃)RX Mapping'!AJ43&lt;=240), (-1)*('(橫掃)RX Mapping'!AJ43-240),IF(AND('(橫掃)RX Mapping'!AJ43&gt;=241,'(橫掃)RX Mapping'!AJ43&lt;=360), ('(橫掃)RX Mapping'!AJ43-241),IF(AND('(橫掃)RX Mapping'!AJ43&gt;=361,'(橫掃)RX Mapping'!AJ43&lt;=480), (-1)*('(橫掃)RX Mapping'!AJ43-480),IF(AND('(橫掃)RX Mapping'!AJ43&gt;=481,'(橫掃)RX Mapping'!AJ43&lt;=600), ('(橫掃)RX Mapping'!AJ43-361),IF(AND('(橫掃)RX Mapping'!AJ43&gt;=601,'(橫掃)RX Mapping'!AJ43&lt;=720), (-1)*('(橫掃)RX Mapping'!AJ43-720)+120,IF(AND('(橫掃)RX Mapping'!AJ43&gt;=721,'(橫掃)RX Mapping'!AJ43&lt;=840), ('(橫掃)RX Mapping'!AJ43-601),IF(AND('(橫掃)RX Mapping'!AJ43&gt;=841,'(橫掃)RX Mapping'!AJ43&lt;=960), (-1)*('(橫掃)RX Mapping'!AJ43-960)+120,9999))))))))</f>
        <v>9999</v>
      </c>
      <c r="AK43">
        <f>IF(AND('(橫掃)RX Mapping'!AK43&gt;=1,'(橫掃)RX Mapping'!AK43&lt;=120), ('(橫掃)RX Mapping'!AK43-1),IF(AND('(橫掃)RX Mapping'!AK43&gt;=121,'(橫掃)RX Mapping'!AK43&lt;=240), (-1)*('(橫掃)RX Mapping'!AK43-240),IF(AND('(橫掃)RX Mapping'!AK43&gt;=241,'(橫掃)RX Mapping'!AK43&lt;=360), ('(橫掃)RX Mapping'!AK43-241),IF(AND('(橫掃)RX Mapping'!AK43&gt;=361,'(橫掃)RX Mapping'!AK43&lt;=480), (-1)*('(橫掃)RX Mapping'!AK43-480),IF(AND('(橫掃)RX Mapping'!AK43&gt;=481,'(橫掃)RX Mapping'!AK43&lt;=600), ('(橫掃)RX Mapping'!AK43-361),IF(AND('(橫掃)RX Mapping'!AK43&gt;=601,'(橫掃)RX Mapping'!AK43&lt;=720), (-1)*('(橫掃)RX Mapping'!AK43-720)+120,IF(AND('(橫掃)RX Mapping'!AK43&gt;=721,'(橫掃)RX Mapping'!AK43&lt;=840), ('(橫掃)RX Mapping'!AK43-601),IF(AND('(橫掃)RX Mapping'!AK43&gt;=841,'(橫掃)RX Mapping'!AK43&lt;=960), (-1)*('(橫掃)RX Mapping'!AK43-960)+120,9999))))))))</f>
        <v>9999</v>
      </c>
      <c r="AL43">
        <f>IF(AND('(橫掃)RX Mapping'!AL43&gt;=1,'(橫掃)RX Mapping'!AL43&lt;=120), ('(橫掃)RX Mapping'!AL43-1),IF(AND('(橫掃)RX Mapping'!AL43&gt;=121,'(橫掃)RX Mapping'!AL43&lt;=240), (-1)*('(橫掃)RX Mapping'!AL43-240),IF(AND('(橫掃)RX Mapping'!AL43&gt;=241,'(橫掃)RX Mapping'!AL43&lt;=360), ('(橫掃)RX Mapping'!AL43-241),IF(AND('(橫掃)RX Mapping'!AL43&gt;=361,'(橫掃)RX Mapping'!AL43&lt;=480), (-1)*('(橫掃)RX Mapping'!AL43-480),IF(AND('(橫掃)RX Mapping'!AL43&gt;=481,'(橫掃)RX Mapping'!AL43&lt;=600), ('(橫掃)RX Mapping'!AL43-361),IF(AND('(橫掃)RX Mapping'!AL43&gt;=601,'(橫掃)RX Mapping'!AL43&lt;=720), (-1)*('(橫掃)RX Mapping'!AL43-720)+120,IF(AND('(橫掃)RX Mapping'!AL43&gt;=721,'(橫掃)RX Mapping'!AL43&lt;=840), ('(橫掃)RX Mapping'!AL43-601),IF(AND('(橫掃)RX Mapping'!AL43&gt;=841,'(橫掃)RX Mapping'!AL43&lt;=960), (-1)*('(橫掃)RX Mapping'!AL43-960)+120,9999))))))))</f>
        <v>9999</v>
      </c>
      <c r="AM43">
        <f>IF(AND('(橫掃)RX Mapping'!AM43&gt;=1,'(橫掃)RX Mapping'!AM43&lt;=120), ('(橫掃)RX Mapping'!AM43-1),IF(AND('(橫掃)RX Mapping'!AM43&gt;=121,'(橫掃)RX Mapping'!AM43&lt;=240), (-1)*('(橫掃)RX Mapping'!AM43-240),IF(AND('(橫掃)RX Mapping'!AM43&gt;=241,'(橫掃)RX Mapping'!AM43&lt;=360), ('(橫掃)RX Mapping'!AM43-241),IF(AND('(橫掃)RX Mapping'!AM43&gt;=361,'(橫掃)RX Mapping'!AM43&lt;=480), (-1)*('(橫掃)RX Mapping'!AM43-480),IF(AND('(橫掃)RX Mapping'!AM43&gt;=481,'(橫掃)RX Mapping'!AM43&lt;=600), ('(橫掃)RX Mapping'!AM43-361),IF(AND('(橫掃)RX Mapping'!AM43&gt;=601,'(橫掃)RX Mapping'!AM43&lt;=720), (-1)*('(橫掃)RX Mapping'!AM43-720)+120,IF(AND('(橫掃)RX Mapping'!AM43&gt;=721,'(橫掃)RX Mapping'!AM43&lt;=840), ('(橫掃)RX Mapping'!AM43-601),IF(AND('(橫掃)RX Mapping'!AM43&gt;=841,'(橫掃)RX Mapping'!AM43&lt;=960), (-1)*('(橫掃)RX Mapping'!AM43-960)+120,9999))))))))</f>
        <v>9999</v>
      </c>
      <c r="AN43">
        <f>IF(AND('(橫掃)RX Mapping'!AN43&gt;=1,'(橫掃)RX Mapping'!AN43&lt;=120), ('(橫掃)RX Mapping'!AN43-1),IF(AND('(橫掃)RX Mapping'!AN43&gt;=121,'(橫掃)RX Mapping'!AN43&lt;=240), (-1)*('(橫掃)RX Mapping'!AN43-240),IF(AND('(橫掃)RX Mapping'!AN43&gt;=241,'(橫掃)RX Mapping'!AN43&lt;=360), ('(橫掃)RX Mapping'!AN43-241),IF(AND('(橫掃)RX Mapping'!AN43&gt;=361,'(橫掃)RX Mapping'!AN43&lt;=480), (-1)*('(橫掃)RX Mapping'!AN43-480),IF(AND('(橫掃)RX Mapping'!AN43&gt;=481,'(橫掃)RX Mapping'!AN43&lt;=600), ('(橫掃)RX Mapping'!AN43-361),IF(AND('(橫掃)RX Mapping'!AN43&gt;=601,'(橫掃)RX Mapping'!AN43&lt;=720), (-1)*('(橫掃)RX Mapping'!AN43-720)+120,IF(AND('(橫掃)RX Mapping'!AN43&gt;=721,'(橫掃)RX Mapping'!AN43&lt;=840), ('(橫掃)RX Mapping'!AN43-601),IF(AND('(橫掃)RX Mapping'!AN43&gt;=841,'(橫掃)RX Mapping'!AN43&lt;=960), (-1)*('(橫掃)RX Mapping'!AN43-960)+120,9999))))))))</f>
        <v>9999</v>
      </c>
      <c r="AO43">
        <f>IF(AND('(橫掃)RX Mapping'!AO43&gt;=1,'(橫掃)RX Mapping'!AO43&lt;=120), ('(橫掃)RX Mapping'!AO43-1),IF(AND('(橫掃)RX Mapping'!AO43&gt;=121,'(橫掃)RX Mapping'!AO43&lt;=240), (-1)*('(橫掃)RX Mapping'!AO43-240),IF(AND('(橫掃)RX Mapping'!AO43&gt;=241,'(橫掃)RX Mapping'!AO43&lt;=360), ('(橫掃)RX Mapping'!AO43-241),IF(AND('(橫掃)RX Mapping'!AO43&gt;=361,'(橫掃)RX Mapping'!AO43&lt;=480), (-1)*('(橫掃)RX Mapping'!AO43-480),IF(AND('(橫掃)RX Mapping'!AO43&gt;=481,'(橫掃)RX Mapping'!AO43&lt;=600), ('(橫掃)RX Mapping'!AO43-361),IF(AND('(橫掃)RX Mapping'!AO43&gt;=601,'(橫掃)RX Mapping'!AO43&lt;=720), (-1)*('(橫掃)RX Mapping'!AO43-720)+120,IF(AND('(橫掃)RX Mapping'!AO43&gt;=721,'(橫掃)RX Mapping'!AO43&lt;=840), ('(橫掃)RX Mapping'!AO43-601),IF(AND('(橫掃)RX Mapping'!AO43&gt;=841,'(橫掃)RX Mapping'!AO43&lt;=960), (-1)*('(橫掃)RX Mapping'!AO43-960)+120,9999))))))))</f>
        <v>9999</v>
      </c>
      <c r="AP43">
        <f>IF(AND('(橫掃)RX Mapping'!AP43&gt;=1,'(橫掃)RX Mapping'!AP43&lt;=120), ('(橫掃)RX Mapping'!AP43-1),IF(AND('(橫掃)RX Mapping'!AP43&gt;=121,'(橫掃)RX Mapping'!AP43&lt;=240), (-1)*('(橫掃)RX Mapping'!AP43-240),IF(AND('(橫掃)RX Mapping'!AP43&gt;=241,'(橫掃)RX Mapping'!AP43&lt;=360), ('(橫掃)RX Mapping'!AP43-241),IF(AND('(橫掃)RX Mapping'!AP43&gt;=361,'(橫掃)RX Mapping'!AP43&lt;=480), (-1)*('(橫掃)RX Mapping'!AP43-480),IF(AND('(橫掃)RX Mapping'!AP43&gt;=481,'(橫掃)RX Mapping'!AP43&lt;=600), ('(橫掃)RX Mapping'!AP43-361),IF(AND('(橫掃)RX Mapping'!AP43&gt;=601,'(橫掃)RX Mapping'!AP43&lt;=720), (-1)*('(橫掃)RX Mapping'!AP43-720)+120,IF(AND('(橫掃)RX Mapping'!AP43&gt;=721,'(橫掃)RX Mapping'!AP43&lt;=840), ('(橫掃)RX Mapping'!AP43-601),IF(AND('(橫掃)RX Mapping'!AP43&gt;=841,'(橫掃)RX Mapping'!AP43&lt;=960), (-1)*('(橫掃)RX Mapping'!AP43-960)+120,9999))))))))</f>
        <v>9999</v>
      </c>
      <c r="AQ43">
        <f>IF(AND('(橫掃)RX Mapping'!AQ43&gt;=1,'(橫掃)RX Mapping'!AQ43&lt;=120), ('(橫掃)RX Mapping'!AQ43-1),IF(AND('(橫掃)RX Mapping'!AQ43&gt;=121,'(橫掃)RX Mapping'!AQ43&lt;=240), (-1)*('(橫掃)RX Mapping'!AQ43-240),IF(AND('(橫掃)RX Mapping'!AQ43&gt;=241,'(橫掃)RX Mapping'!AQ43&lt;=360), ('(橫掃)RX Mapping'!AQ43-241),IF(AND('(橫掃)RX Mapping'!AQ43&gt;=361,'(橫掃)RX Mapping'!AQ43&lt;=480), (-1)*('(橫掃)RX Mapping'!AQ43-480),IF(AND('(橫掃)RX Mapping'!AQ43&gt;=481,'(橫掃)RX Mapping'!AQ43&lt;=600), ('(橫掃)RX Mapping'!AQ43-361),IF(AND('(橫掃)RX Mapping'!AQ43&gt;=601,'(橫掃)RX Mapping'!AQ43&lt;=720), (-1)*('(橫掃)RX Mapping'!AQ43-720)+120,IF(AND('(橫掃)RX Mapping'!AQ43&gt;=721,'(橫掃)RX Mapping'!AQ43&lt;=840), ('(橫掃)RX Mapping'!AQ43-601),IF(AND('(橫掃)RX Mapping'!AQ43&gt;=841,'(橫掃)RX Mapping'!AQ43&lt;=960), (-1)*('(橫掃)RX Mapping'!AQ43-960)+120,9999))))))))</f>
        <v>9999</v>
      </c>
      <c r="AR43">
        <f>IF(AND('(橫掃)RX Mapping'!AR43&gt;=1,'(橫掃)RX Mapping'!AR43&lt;=120), ('(橫掃)RX Mapping'!AR43-1),IF(AND('(橫掃)RX Mapping'!AR43&gt;=121,'(橫掃)RX Mapping'!AR43&lt;=240), (-1)*('(橫掃)RX Mapping'!AR43-240),IF(AND('(橫掃)RX Mapping'!AR43&gt;=241,'(橫掃)RX Mapping'!AR43&lt;=360), ('(橫掃)RX Mapping'!AR43-241),IF(AND('(橫掃)RX Mapping'!AR43&gt;=361,'(橫掃)RX Mapping'!AR43&lt;=480), (-1)*('(橫掃)RX Mapping'!AR43-480),IF(AND('(橫掃)RX Mapping'!AR43&gt;=481,'(橫掃)RX Mapping'!AR43&lt;=600), ('(橫掃)RX Mapping'!AR43-361),IF(AND('(橫掃)RX Mapping'!AR43&gt;=601,'(橫掃)RX Mapping'!AR43&lt;=720), (-1)*('(橫掃)RX Mapping'!AR43-720)+120,IF(AND('(橫掃)RX Mapping'!AR43&gt;=721,'(橫掃)RX Mapping'!AR43&lt;=840), ('(橫掃)RX Mapping'!AR43-601),IF(AND('(橫掃)RX Mapping'!AR43&gt;=841,'(橫掃)RX Mapping'!AR43&lt;=960), (-1)*('(橫掃)RX Mapping'!AR43-960)+120,9999))))))))</f>
        <v>9999</v>
      </c>
      <c r="AS43">
        <f>IF(AND('(橫掃)RX Mapping'!AS43&gt;=1,'(橫掃)RX Mapping'!AS43&lt;=120), ('(橫掃)RX Mapping'!AS43-1),IF(AND('(橫掃)RX Mapping'!AS43&gt;=121,'(橫掃)RX Mapping'!AS43&lt;=240), (-1)*('(橫掃)RX Mapping'!AS43-240),IF(AND('(橫掃)RX Mapping'!AS43&gt;=241,'(橫掃)RX Mapping'!AS43&lt;=360), ('(橫掃)RX Mapping'!AS43-241),IF(AND('(橫掃)RX Mapping'!AS43&gt;=361,'(橫掃)RX Mapping'!AS43&lt;=480), (-1)*('(橫掃)RX Mapping'!AS43-480),IF(AND('(橫掃)RX Mapping'!AS43&gt;=481,'(橫掃)RX Mapping'!AS43&lt;=600), ('(橫掃)RX Mapping'!AS43-361),IF(AND('(橫掃)RX Mapping'!AS43&gt;=601,'(橫掃)RX Mapping'!AS43&lt;=720), (-1)*('(橫掃)RX Mapping'!AS43-720)+120,IF(AND('(橫掃)RX Mapping'!AS43&gt;=721,'(橫掃)RX Mapping'!AS43&lt;=840), ('(橫掃)RX Mapping'!AS43-601),IF(AND('(橫掃)RX Mapping'!AS43&gt;=841,'(橫掃)RX Mapping'!AS43&lt;=960), (-1)*('(橫掃)RX Mapping'!AS43-960)+120,9999))))))))</f>
        <v>9999</v>
      </c>
      <c r="AT43">
        <f>IF(AND('(橫掃)RX Mapping'!AT43&gt;=1,'(橫掃)RX Mapping'!AT43&lt;=120), ('(橫掃)RX Mapping'!AT43-1),IF(AND('(橫掃)RX Mapping'!AT43&gt;=121,'(橫掃)RX Mapping'!AT43&lt;=240), (-1)*('(橫掃)RX Mapping'!AT43-240),IF(AND('(橫掃)RX Mapping'!AT43&gt;=241,'(橫掃)RX Mapping'!AT43&lt;=360), ('(橫掃)RX Mapping'!AT43-241),IF(AND('(橫掃)RX Mapping'!AT43&gt;=361,'(橫掃)RX Mapping'!AT43&lt;=480), (-1)*('(橫掃)RX Mapping'!AT43-480),IF(AND('(橫掃)RX Mapping'!AT43&gt;=481,'(橫掃)RX Mapping'!AT43&lt;=600), ('(橫掃)RX Mapping'!AT43-361),IF(AND('(橫掃)RX Mapping'!AT43&gt;=601,'(橫掃)RX Mapping'!AT43&lt;=720), (-1)*('(橫掃)RX Mapping'!AT43-720)+120,IF(AND('(橫掃)RX Mapping'!AT43&gt;=721,'(橫掃)RX Mapping'!AT43&lt;=840), ('(橫掃)RX Mapping'!AT43-601),IF(AND('(橫掃)RX Mapping'!AT43&gt;=841,'(橫掃)RX Mapping'!AT43&lt;=960), (-1)*('(橫掃)RX Mapping'!AT43-960)+120,9999))))))))</f>
        <v>9999</v>
      </c>
      <c r="AU43">
        <f>IF(AND('(橫掃)RX Mapping'!AU43&gt;=1,'(橫掃)RX Mapping'!AU43&lt;=120), ('(橫掃)RX Mapping'!AU43-1),IF(AND('(橫掃)RX Mapping'!AU43&gt;=121,'(橫掃)RX Mapping'!AU43&lt;=240), (-1)*('(橫掃)RX Mapping'!AU43-240),IF(AND('(橫掃)RX Mapping'!AU43&gt;=241,'(橫掃)RX Mapping'!AU43&lt;=360), ('(橫掃)RX Mapping'!AU43-241),IF(AND('(橫掃)RX Mapping'!AU43&gt;=361,'(橫掃)RX Mapping'!AU43&lt;=480), (-1)*('(橫掃)RX Mapping'!AU43-480),IF(AND('(橫掃)RX Mapping'!AU43&gt;=481,'(橫掃)RX Mapping'!AU43&lt;=600), ('(橫掃)RX Mapping'!AU43-361),IF(AND('(橫掃)RX Mapping'!AU43&gt;=601,'(橫掃)RX Mapping'!AU43&lt;=720), (-1)*('(橫掃)RX Mapping'!AU43-720)+120,IF(AND('(橫掃)RX Mapping'!AU43&gt;=721,'(橫掃)RX Mapping'!AU43&lt;=840), ('(橫掃)RX Mapping'!AU43-601),IF(AND('(橫掃)RX Mapping'!AU43&gt;=841,'(橫掃)RX Mapping'!AU43&lt;=960), (-1)*('(橫掃)RX Mapping'!AU43-960)+120,9999))))))))</f>
        <v>9999</v>
      </c>
      <c r="AV43">
        <f>IF(AND('(橫掃)RX Mapping'!AV43&gt;=1,'(橫掃)RX Mapping'!AV43&lt;=120), ('(橫掃)RX Mapping'!AV43-1),IF(AND('(橫掃)RX Mapping'!AV43&gt;=121,'(橫掃)RX Mapping'!AV43&lt;=240), (-1)*('(橫掃)RX Mapping'!AV43-240),IF(AND('(橫掃)RX Mapping'!AV43&gt;=241,'(橫掃)RX Mapping'!AV43&lt;=360), ('(橫掃)RX Mapping'!AV43-241),IF(AND('(橫掃)RX Mapping'!AV43&gt;=361,'(橫掃)RX Mapping'!AV43&lt;=480), (-1)*('(橫掃)RX Mapping'!AV43-480),IF(AND('(橫掃)RX Mapping'!AV43&gt;=481,'(橫掃)RX Mapping'!AV43&lt;=600), ('(橫掃)RX Mapping'!AV43-361),IF(AND('(橫掃)RX Mapping'!AV43&gt;=601,'(橫掃)RX Mapping'!AV43&lt;=720), (-1)*('(橫掃)RX Mapping'!AV43-720)+120,IF(AND('(橫掃)RX Mapping'!AV43&gt;=721,'(橫掃)RX Mapping'!AV43&lt;=840), ('(橫掃)RX Mapping'!AV43-601),IF(AND('(橫掃)RX Mapping'!AV43&gt;=841,'(橫掃)RX Mapping'!AV43&lt;=960), (-1)*('(橫掃)RX Mapping'!AV43-960)+120,9999))))))))</f>
        <v>9999</v>
      </c>
      <c r="AW43">
        <f>IF(AND('(橫掃)RX Mapping'!AW43&gt;=1,'(橫掃)RX Mapping'!AW43&lt;=120), ('(橫掃)RX Mapping'!AW43-1),IF(AND('(橫掃)RX Mapping'!AW43&gt;=121,'(橫掃)RX Mapping'!AW43&lt;=240), (-1)*('(橫掃)RX Mapping'!AW43-240),IF(AND('(橫掃)RX Mapping'!AW43&gt;=241,'(橫掃)RX Mapping'!AW43&lt;=360), ('(橫掃)RX Mapping'!AW43-241),IF(AND('(橫掃)RX Mapping'!AW43&gt;=361,'(橫掃)RX Mapping'!AW43&lt;=480), (-1)*('(橫掃)RX Mapping'!AW43-480),IF(AND('(橫掃)RX Mapping'!AW43&gt;=481,'(橫掃)RX Mapping'!AW43&lt;=600), ('(橫掃)RX Mapping'!AW43-361),IF(AND('(橫掃)RX Mapping'!AW43&gt;=601,'(橫掃)RX Mapping'!AW43&lt;=720), (-1)*('(橫掃)RX Mapping'!AW43-720)+120,IF(AND('(橫掃)RX Mapping'!AW43&gt;=721,'(橫掃)RX Mapping'!AW43&lt;=840), ('(橫掃)RX Mapping'!AW43-601),IF(AND('(橫掃)RX Mapping'!AW43&gt;=841,'(橫掃)RX Mapping'!AW43&lt;=960), (-1)*('(橫掃)RX Mapping'!AW43-960)+120,9999))))))))</f>
        <v>9999</v>
      </c>
      <c r="AX43">
        <f>IF(AND('(橫掃)RX Mapping'!AX43&gt;=1,'(橫掃)RX Mapping'!AX43&lt;=120), ('(橫掃)RX Mapping'!AX43-1),IF(AND('(橫掃)RX Mapping'!AX43&gt;=121,'(橫掃)RX Mapping'!AX43&lt;=240), (-1)*('(橫掃)RX Mapping'!AX43-240),IF(AND('(橫掃)RX Mapping'!AX43&gt;=241,'(橫掃)RX Mapping'!AX43&lt;=360), ('(橫掃)RX Mapping'!AX43-241),IF(AND('(橫掃)RX Mapping'!AX43&gt;=361,'(橫掃)RX Mapping'!AX43&lt;=480), (-1)*('(橫掃)RX Mapping'!AX43-480),IF(AND('(橫掃)RX Mapping'!AX43&gt;=481,'(橫掃)RX Mapping'!AX43&lt;=600), ('(橫掃)RX Mapping'!AX43-361),IF(AND('(橫掃)RX Mapping'!AX43&gt;=601,'(橫掃)RX Mapping'!AX43&lt;=720), (-1)*('(橫掃)RX Mapping'!AX43-720)+120,IF(AND('(橫掃)RX Mapping'!AX43&gt;=721,'(橫掃)RX Mapping'!AX43&lt;=840), ('(橫掃)RX Mapping'!AX43-601),IF(AND('(橫掃)RX Mapping'!AX43&gt;=841,'(橫掃)RX Mapping'!AX43&lt;=960), (-1)*('(橫掃)RX Mapping'!AX43-960)+120,9999))))))))</f>
        <v>9999</v>
      </c>
      <c r="AY43">
        <f>IF(AND('(橫掃)RX Mapping'!AY43&gt;=1,'(橫掃)RX Mapping'!AY43&lt;=120), ('(橫掃)RX Mapping'!AY43-1),IF(AND('(橫掃)RX Mapping'!AY43&gt;=121,'(橫掃)RX Mapping'!AY43&lt;=240), (-1)*('(橫掃)RX Mapping'!AY43-240),IF(AND('(橫掃)RX Mapping'!AY43&gt;=241,'(橫掃)RX Mapping'!AY43&lt;=360), ('(橫掃)RX Mapping'!AY43-241),IF(AND('(橫掃)RX Mapping'!AY43&gt;=361,'(橫掃)RX Mapping'!AY43&lt;=480), (-1)*('(橫掃)RX Mapping'!AY43-480),IF(AND('(橫掃)RX Mapping'!AY43&gt;=481,'(橫掃)RX Mapping'!AY43&lt;=600), ('(橫掃)RX Mapping'!AY43-361),IF(AND('(橫掃)RX Mapping'!AY43&gt;=601,'(橫掃)RX Mapping'!AY43&lt;=720), (-1)*('(橫掃)RX Mapping'!AY43-720)+120,IF(AND('(橫掃)RX Mapping'!AY43&gt;=721,'(橫掃)RX Mapping'!AY43&lt;=840), ('(橫掃)RX Mapping'!AY43-601),IF(AND('(橫掃)RX Mapping'!AY43&gt;=841,'(橫掃)RX Mapping'!AY43&lt;=960), (-1)*('(橫掃)RX Mapping'!AY43-960)+120,9999))))))))</f>
        <v>9999</v>
      </c>
      <c r="AZ43">
        <f>IF(AND('(橫掃)RX Mapping'!AZ43&gt;=1,'(橫掃)RX Mapping'!AZ43&lt;=120), ('(橫掃)RX Mapping'!AZ43-1),IF(AND('(橫掃)RX Mapping'!AZ43&gt;=121,'(橫掃)RX Mapping'!AZ43&lt;=240), (-1)*('(橫掃)RX Mapping'!AZ43-240),IF(AND('(橫掃)RX Mapping'!AZ43&gt;=241,'(橫掃)RX Mapping'!AZ43&lt;=360), ('(橫掃)RX Mapping'!AZ43-241),IF(AND('(橫掃)RX Mapping'!AZ43&gt;=361,'(橫掃)RX Mapping'!AZ43&lt;=480), (-1)*('(橫掃)RX Mapping'!AZ43-480),IF(AND('(橫掃)RX Mapping'!AZ43&gt;=481,'(橫掃)RX Mapping'!AZ43&lt;=600), ('(橫掃)RX Mapping'!AZ43-361),IF(AND('(橫掃)RX Mapping'!AZ43&gt;=601,'(橫掃)RX Mapping'!AZ43&lt;=720), (-1)*('(橫掃)RX Mapping'!AZ43-720)+120,IF(AND('(橫掃)RX Mapping'!AZ43&gt;=721,'(橫掃)RX Mapping'!AZ43&lt;=840), ('(橫掃)RX Mapping'!AZ43-601),IF(AND('(橫掃)RX Mapping'!AZ43&gt;=841,'(橫掃)RX Mapping'!AZ43&lt;=960), (-1)*('(橫掃)RX Mapping'!AZ43-960)+120,9999))))))))</f>
        <v>9999</v>
      </c>
      <c r="BA43">
        <f>IF(AND('(橫掃)RX Mapping'!BA43&gt;=1,'(橫掃)RX Mapping'!BA43&lt;=120), ('(橫掃)RX Mapping'!BA43-1),IF(AND('(橫掃)RX Mapping'!BA43&gt;=121,'(橫掃)RX Mapping'!BA43&lt;=240), (-1)*('(橫掃)RX Mapping'!BA43-240),IF(AND('(橫掃)RX Mapping'!BA43&gt;=241,'(橫掃)RX Mapping'!BA43&lt;=360), ('(橫掃)RX Mapping'!BA43-241),IF(AND('(橫掃)RX Mapping'!BA43&gt;=361,'(橫掃)RX Mapping'!BA43&lt;=480), (-1)*('(橫掃)RX Mapping'!BA43-480),IF(AND('(橫掃)RX Mapping'!BA43&gt;=481,'(橫掃)RX Mapping'!BA43&lt;=600), ('(橫掃)RX Mapping'!BA43-361),IF(AND('(橫掃)RX Mapping'!BA43&gt;=601,'(橫掃)RX Mapping'!BA43&lt;=720), (-1)*('(橫掃)RX Mapping'!BA43-720)+120,IF(AND('(橫掃)RX Mapping'!BA43&gt;=721,'(橫掃)RX Mapping'!BA43&lt;=840), ('(橫掃)RX Mapping'!BA43-601),IF(AND('(橫掃)RX Mapping'!BA43&gt;=841,'(橫掃)RX Mapping'!BA43&lt;=960), (-1)*('(橫掃)RX Mapping'!BA43-960)+120,9999))))))))</f>
        <v>9999</v>
      </c>
      <c r="BB43">
        <f>IF(AND('(橫掃)RX Mapping'!BB43&gt;=1,'(橫掃)RX Mapping'!BB43&lt;=120), ('(橫掃)RX Mapping'!BB43-1),IF(AND('(橫掃)RX Mapping'!BB43&gt;=121,'(橫掃)RX Mapping'!BB43&lt;=240), (-1)*('(橫掃)RX Mapping'!BB43-240),IF(AND('(橫掃)RX Mapping'!BB43&gt;=241,'(橫掃)RX Mapping'!BB43&lt;=360), ('(橫掃)RX Mapping'!BB43-241),IF(AND('(橫掃)RX Mapping'!BB43&gt;=361,'(橫掃)RX Mapping'!BB43&lt;=480), (-1)*('(橫掃)RX Mapping'!BB43-480),IF(AND('(橫掃)RX Mapping'!BB43&gt;=481,'(橫掃)RX Mapping'!BB43&lt;=600), ('(橫掃)RX Mapping'!BB43-361),IF(AND('(橫掃)RX Mapping'!BB43&gt;=601,'(橫掃)RX Mapping'!BB43&lt;=720), (-1)*('(橫掃)RX Mapping'!BB43-720)+120,IF(AND('(橫掃)RX Mapping'!BB43&gt;=721,'(橫掃)RX Mapping'!BB43&lt;=840), ('(橫掃)RX Mapping'!BB43-601),IF(AND('(橫掃)RX Mapping'!BB43&gt;=841,'(橫掃)RX Mapping'!BB43&lt;=960), (-1)*('(橫掃)RX Mapping'!BB43-960)+120,9999))))))))</f>
        <v>9999</v>
      </c>
      <c r="BC43">
        <f>IF(AND('(橫掃)RX Mapping'!BC43&gt;=1,'(橫掃)RX Mapping'!BC43&lt;=120), ('(橫掃)RX Mapping'!BC43-1),IF(AND('(橫掃)RX Mapping'!BC43&gt;=121,'(橫掃)RX Mapping'!BC43&lt;=240), (-1)*('(橫掃)RX Mapping'!BC43-240),IF(AND('(橫掃)RX Mapping'!BC43&gt;=241,'(橫掃)RX Mapping'!BC43&lt;=360), ('(橫掃)RX Mapping'!BC43-241),IF(AND('(橫掃)RX Mapping'!BC43&gt;=361,'(橫掃)RX Mapping'!BC43&lt;=480), (-1)*('(橫掃)RX Mapping'!BC43-480),IF(AND('(橫掃)RX Mapping'!BC43&gt;=481,'(橫掃)RX Mapping'!BC43&lt;=600), ('(橫掃)RX Mapping'!BC43-361),IF(AND('(橫掃)RX Mapping'!BC43&gt;=601,'(橫掃)RX Mapping'!BC43&lt;=720), (-1)*('(橫掃)RX Mapping'!BC43-720)+120,IF(AND('(橫掃)RX Mapping'!BC43&gt;=721,'(橫掃)RX Mapping'!BC43&lt;=840), ('(橫掃)RX Mapping'!BC43-601),IF(AND('(橫掃)RX Mapping'!BC43&gt;=841,'(橫掃)RX Mapping'!BC43&lt;=960), (-1)*('(橫掃)RX Mapping'!BC43-960)+120,9999))))))))</f>
        <v>9999</v>
      </c>
      <c r="BD43">
        <f>IF(AND('(橫掃)RX Mapping'!BD43&gt;=1,'(橫掃)RX Mapping'!BD43&lt;=120), ('(橫掃)RX Mapping'!BD43-1),IF(AND('(橫掃)RX Mapping'!BD43&gt;=121,'(橫掃)RX Mapping'!BD43&lt;=240), (-1)*('(橫掃)RX Mapping'!BD43-240),IF(AND('(橫掃)RX Mapping'!BD43&gt;=241,'(橫掃)RX Mapping'!BD43&lt;=360), ('(橫掃)RX Mapping'!BD43-241),IF(AND('(橫掃)RX Mapping'!BD43&gt;=361,'(橫掃)RX Mapping'!BD43&lt;=480), (-1)*('(橫掃)RX Mapping'!BD43-480),IF(AND('(橫掃)RX Mapping'!BD43&gt;=481,'(橫掃)RX Mapping'!BD43&lt;=600), ('(橫掃)RX Mapping'!BD43-361),IF(AND('(橫掃)RX Mapping'!BD43&gt;=601,'(橫掃)RX Mapping'!BD43&lt;=720), (-1)*('(橫掃)RX Mapping'!BD43-720)+120,IF(AND('(橫掃)RX Mapping'!BD43&gt;=721,'(橫掃)RX Mapping'!BD43&lt;=840), ('(橫掃)RX Mapping'!BD43-601),IF(AND('(橫掃)RX Mapping'!BD43&gt;=841,'(橫掃)RX Mapping'!BD43&lt;=960), (-1)*('(橫掃)RX Mapping'!BD43-960)+120,9999))))))))</f>
        <v>9999</v>
      </c>
      <c r="BE43">
        <f>IF(AND('(橫掃)RX Mapping'!BE43&gt;=1,'(橫掃)RX Mapping'!BE43&lt;=120), ('(橫掃)RX Mapping'!BE43-1),IF(AND('(橫掃)RX Mapping'!BE43&gt;=121,'(橫掃)RX Mapping'!BE43&lt;=240), (-1)*('(橫掃)RX Mapping'!BE43-240),IF(AND('(橫掃)RX Mapping'!BE43&gt;=241,'(橫掃)RX Mapping'!BE43&lt;=360), ('(橫掃)RX Mapping'!BE43-241),IF(AND('(橫掃)RX Mapping'!BE43&gt;=361,'(橫掃)RX Mapping'!BE43&lt;=480), (-1)*('(橫掃)RX Mapping'!BE43-480),IF(AND('(橫掃)RX Mapping'!BE43&gt;=481,'(橫掃)RX Mapping'!BE43&lt;=600), ('(橫掃)RX Mapping'!BE43-361),IF(AND('(橫掃)RX Mapping'!BE43&gt;=601,'(橫掃)RX Mapping'!BE43&lt;=720), (-1)*('(橫掃)RX Mapping'!BE43-720)+120,IF(AND('(橫掃)RX Mapping'!BE43&gt;=721,'(橫掃)RX Mapping'!BE43&lt;=840), ('(橫掃)RX Mapping'!BE43-601),IF(AND('(橫掃)RX Mapping'!BE43&gt;=841,'(橫掃)RX Mapping'!BE43&lt;=960), (-1)*('(橫掃)RX Mapping'!BE43-960)+120,9999))))))))</f>
        <v>9999</v>
      </c>
      <c r="BF43">
        <f>IF(AND('(橫掃)RX Mapping'!BF43&gt;=1,'(橫掃)RX Mapping'!BF43&lt;=120), ('(橫掃)RX Mapping'!BF43-1),IF(AND('(橫掃)RX Mapping'!BF43&gt;=121,'(橫掃)RX Mapping'!BF43&lt;=240), (-1)*('(橫掃)RX Mapping'!BF43-240),IF(AND('(橫掃)RX Mapping'!BF43&gt;=241,'(橫掃)RX Mapping'!BF43&lt;=360), ('(橫掃)RX Mapping'!BF43-241),IF(AND('(橫掃)RX Mapping'!BF43&gt;=361,'(橫掃)RX Mapping'!BF43&lt;=480), (-1)*('(橫掃)RX Mapping'!BF43-480),IF(AND('(橫掃)RX Mapping'!BF43&gt;=481,'(橫掃)RX Mapping'!BF43&lt;=600), ('(橫掃)RX Mapping'!BF43-361),IF(AND('(橫掃)RX Mapping'!BF43&gt;=601,'(橫掃)RX Mapping'!BF43&lt;=720), (-1)*('(橫掃)RX Mapping'!BF43-720)+120,IF(AND('(橫掃)RX Mapping'!BF43&gt;=721,'(橫掃)RX Mapping'!BF43&lt;=840), ('(橫掃)RX Mapping'!BF43-601),IF(AND('(橫掃)RX Mapping'!BF43&gt;=841,'(橫掃)RX Mapping'!BF43&lt;=960), (-1)*('(橫掃)RX Mapping'!BF43-960)+120,9999))))))))</f>
        <v>9999</v>
      </c>
      <c r="BG43">
        <f>IF(AND('(橫掃)RX Mapping'!BG43&gt;=1,'(橫掃)RX Mapping'!BG43&lt;=120), ('(橫掃)RX Mapping'!BG43-1),IF(AND('(橫掃)RX Mapping'!BG43&gt;=121,'(橫掃)RX Mapping'!BG43&lt;=240), (-1)*('(橫掃)RX Mapping'!BG43-240),IF(AND('(橫掃)RX Mapping'!BG43&gt;=241,'(橫掃)RX Mapping'!BG43&lt;=360), ('(橫掃)RX Mapping'!BG43-241),IF(AND('(橫掃)RX Mapping'!BG43&gt;=361,'(橫掃)RX Mapping'!BG43&lt;=480), (-1)*('(橫掃)RX Mapping'!BG43-480),IF(AND('(橫掃)RX Mapping'!BG43&gt;=481,'(橫掃)RX Mapping'!BG43&lt;=600), ('(橫掃)RX Mapping'!BG43-361),IF(AND('(橫掃)RX Mapping'!BG43&gt;=601,'(橫掃)RX Mapping'!BG43&lt;=720), (-1)*('(橫掃)RX Mapping'!BG43-720)+120,IF(AND('(橫掃)RX Mapping'!BG43&gt;=721,'(橫掃)RX Mapping'!BG43&lt;=840), ('(橫掃)RX Mapping'!BG43-601),IF(AND('(橫掃)RX Mapping'!BG43&gt;=841,'(橫掃)RX Mapping'!BG43&lt;=960), (-1)*('(橫掃)RX Mapping'!BG43-960)+120,9999))))))))</f>
        <v>9999</v>
      </c>
      <c r="BH43">
        <f>IF(AND('(橫掃)RX Mapping'!BH43&gt;=1,'(橫掃)RX Mapping'!BH43&lt;=120), ('(橫掃)RX Mapping'!BH43-1),IF(AND('(橫掃)RX Mapping'!BH43&gt;=121,'(橫掃)RX Mapping'!BH43&lt;=240), (-1)*('(橫掃)RX Mapping'!BH43-240),IF(AND('(橫掃)RX Mapping'!BH43&gt;=241,'(橫掃)RX Mapping'!BH43&lt;=360), ('(橫掃)RX Mapping'!BH43-241),IF(AND('(橫掃)RX Mapping'!BH43&gt;=361,'(橫掃)RX Mapping'!BH43&lt;=480), (-1)*('(橫掃)RX Mapping'!BH43-480),IF(AND('(橫掃)RX Mapping'!BH43&gt;=481,'(橫掃)RX Mapping'!BH43&lt;=600), ('(橫掃)RX Mapping'!BH43-361),IF(AND('(橫掃)RX Mapping'!BH43&gt;=601,'(橫掃)RX Mapping'!BH43&lt;=720), (-1)*('(橫掃)RX Mapping'!BH43-720)+120,IF(AND('(橫掃)RX Mapping'!BH43&gt;=721,'(橫掃)RX Mapping'!BH43&lt;=840), ('(橫掃)RX Mapping'!BH43-601),IF(AND('(橫掃)RX Mapping'!BH43&gt;=841,'(橫掃)RX Mapping'!BH43&lt;=960), (-1)*('(橫掃)RX Mapping'!BH43-960)+120,9999))))))))</f>
        <v>9999</v>
      </c>
      <c r="BI43">
        <f>IF(AND('(橫掃)RX Mapping'!BI43&gt;=1,'(橫掃)RX Mapping'!BI43&lt;=120), ('(橫掃)RX Mapping'!BI43-1),IF(AND('(橫掃)RX Mapping'!BI43&gt;=121,'(橫掃)RX Mapping'!BI43&lt;=240), (-1)*('(橫掃)RX Mapping'!BI43-240),IF(AND('(橫掃)RX Mapping'!BI43&gt;=241,'(橫掃)RX Mapping'!BI43&lt;=360), ('(橫掃)RX Mapping'!BI43-241),IF(AND('(橫掃)RX Mapping'!BI43&gt;=361,'(橫掃)RX Mapping'!BI43&lt;=480), (-1)*('(橫掃)RX Mapping'!BI43-480),IF(AND('(橫掃)RX Mapping'!BI43&gt;=481,'(橫掃)RX Mapping'!BI43&lt;=600), ('(橫掃)RX Mapping'!BI43-361),IF(AND('(橫掃)RX Mapping'!BI43&gt;=601,'(橫掃)RX Mapping'!BI43&lt;=720), (-1)*('(橫掃)RX Mapping'!BI43-720)+120,IF(AND('(橫掃)RX Mapping'!BI43&gt;=721,'(橫掃)RX Mapping'!BI43&lt;=840), ('(橫掃)RX Mapping'!BI43-601),IF(AND('(橫掃)RX Mapping'!BI43&gt;=841,'(橫掃)RX Mapping'!BI43&lt;=960), (-1)*('(橫掃)RX Mapping'!BI43-960)+120,9999))))))))</f>
        <v>9999</v>
      </c>
    </row>
    <row r="44" spans="1:61" x14ac:dyDescent="0.25">
      <c r="A44" s="20">
        <v>43</v>
      </c>
      <c r="B44">
        <f>IF(AND('(橫掃)RX Mapping'!B44&gt;=1,'(橫掃)RX Mapping'!B44&lt;=120), ('(橫掃)RX Mapping'!B44-1),IF(AND('(橫掃)RX Mapping'!B44&gt;=121,'(橫掃)RX Mapping'!B44&lt;=240), (-1)*('(橫掃)RX Mapping'!B44-240),IF(AND('(橫掃)RX Mapping'!B44&gt;=241,'(橫掃)RX Mapping'!B44&lt;=360), ('(橫掃)RX Mapping'!B44-241),IF(AND('(橫掃)RX Mapping'!B44&gt;=361,'(橫掃)RX Mapping'!B44&lt;=480), (-1)*('(橫掃)RX Mapping'!B44-480),IF(AND('(橫掃)RX Mapping'!B44&gt;=481,'(橫掃)RX Mapping'!B44&lt;=600), ('(橫掃)RX Mapping'!B44-361),IF(AND('(橫掃)RX Mapping'!B44&gt;=601,'(橫掃)RX Mapping'!B44&lt;=720), (-1)*('(橫掃)RX Mapping'!B44-720)+120,IF(AND('(橫掃)RX Mapping'!B44&gt;=721,'(橫掃)RX Mapping'!B44&lt;=840), ('(橫掃)RX Mapping'!B44-601),IF(AND('(橫掃)RX Mapping'!B44&gt;=841,'(橫掃)RX Mapping'!B44&lt;=960), (-1)*('(橫掃)RX Mapping'!B44-960)+120,9999))))))))</f>
        <v>9999</v>
      </c>
      <c r="C44">
        <f>IF(AND('(橫掃)RX Mapping'!C44&gt;=1,'(橫掃)RX Mapping'!C44&lt;=120), ('(橫掃)RX Mapping'!C44-1),IF(AND('(橫掃)RX Mapping'!C44&gt;=121,'(橫掃)RX Mapping'!C44&lt;=240), (-1)*('(橫掃)RX Mapping'!C44-240),IF(AND('(橫掃)RX Mapping'!C44&gt;=241,'(橫掃)RX Mapping'!C44&lt;=360), ('(橫掃)RX Mapping'!C44-241),IF(AND('(橫掃)RX Mapping'!C44&gt;=361,'(橫掃)RX Mapping'!C44&lt;=480), (-1)*('(橫掃)RX Mapping'!C44-480),IF(AND('(橫掃)RX Mapping'!C44&gt;=481,'(橫掃)RX Mapping'!C44&lt;=600), ('(橫掃)RX Mapping'!C44-361),IF(AND('(橫掃)RX Mapping'!C44&gt;=601,'(橫掃)RX Mapping'!C44&lt;=720), (-1)*('(橫掃)RX Mapping'!C44-720)+120,IF(AND('(橫掃)RX Mapping'!C44&gt;=721,'(橫掃)RX Mapping'!C44&lt;=840), ('(橫掃)RX Mapping'!C44-601),IF(AND('(橫掃)RX Mapping'!C44&gt;=841,'(橫掃)RX Mapping'!C44&lt;=960), (-1)*('(橫掃)RX Mapping'!C44-960)+120,9999))))))))</f>
        <v>9999</v>
      </c>
      <c r="D44">
        <f>IF(AND('(橫掃)RX Mapping'!D44&gt;=1,'(橫掃)RX Mapping'!D44&lt;=120), ('(橫掃)RX Mapping'!D44-1),IF(AND('(橫掃)RX Mapping'!D44&gt;=121,'(橫掃)RX Mapping'!D44&lt;=240), (-1)*('(橫掃)RX Mapping'!D44-240),IF(AND('(橫掃)RX Mapping'!D44&gt;=241,'(橫掃)RX Mapping'!D44&lt;=360), ('(橫掃)RX Mapping'!D44-241),IF(AND('(橫掃)RX Mapping'!D44&gt;=361,'(橫掃)RX Mapping'!D44&lt;=480), (-1)*('(橫掃)RX Mapping'!D44-480),IF(AND('(橫掃)RX Mapping'!D44&gt;=481,'(橫掃)RX Mapping'!D44&lt;=600), ('(橫掃)RX Mapping'!D44-361),IF(AND('(橫掃)RX Mapping'!D44&gt;=601,'(橫掃)RX Mapping'!D44&lt;=720), (-1)*('(橫掃)RX Mapping'!D44-720)+120,IF(AND('(橫掃)RX Mapping'!D44&gt;=721,'(橫掃)RX Mapping'!D44&lt;=840), ('(橫掃)RX Mapping'!D44-601),IF(AND('(橫掃)RX Mapping'!D44&gt;=841,'(橫掃)RX Mapping'!D44&lt;=960), (-1)*('(橫掃)RX Mapping'!D44-960)+120,9999))))))))</f>
        <v>9999</v>
      </c>
      <c r="E44">
        <f>IF(AND('(橫掃)RX Mapping'!E44&gt;=1,'(橫掃)RX Mapping'!E44&lt;=120), ('(橫掃)RX Mapping'!E44-1),IF(AND('(橫掃)RX Mapping'!E44&gt;=121,'(橫掃)RX Mapping'!E44&lt;=240), (-1)*('(橫掃)RX Mapping'!E44-240),IF(AND('(橫掃)RX Mapping'!E44&gt;=241,'(橫掃)RX Mapping'!E44&lt;=360), ('(橫掃)RX Mapping'!E44-241),IF(AND('(橫掃)RX Mapping'!E44&gt;=361,'(橫掃)RX Mapping'!E44&lt;=480), (-1)*('(橫掃)RX Mapping'!E44-480),IF(AND('(橫掃)RX Mapping'!E44&gt;=481,'(橫掃)RX Mapping'!E44&lt;=600), ('(橫掃)RX Mapping'!E44-361),IF(AND('(橫掃)RX Mapping'!E44&gt;=601,'(橫掃)RX Mapping'!E44&lt;=720), (-1)*('(橫掃)RX Mapping'!E44-720)+120,IF(AND('(橫掃)RX Mapping'!E44&gt;=721,'(橫掃)RX Mapping'!E44&lt;=840), ('(橫掃)RX Mapping'!E44-601),IF(AND('(橫掃)RX Mapping'!E44&gt;=841,'(橫掃)RX Mapping'!E44&lt;=960), (-1)*('(橫掃)RX Mapping'!E44-960)+120,9999))))))))</f>
        <v>9999</v>
      </c>
      <c r="F44">
        <f>IF(AND('(橫掃)RX Mapping'!F44&gt;=1,'(橫掃)RX Mapping'!F44&lt;=120), ('(橫掃)RX Mapping'!F44-1),IF(AND('(橫掃)RX Mapping'!F44&gt;=121,'(橫掃)RX Mapping'!F44&lt;=240), (-1)*('(橫掃)RX Mapping'!F44-240),IF(AND('(橫掃)RX Mapping'!F44&gt;=241,'(橫掃)RX Mapping'!F44&lt;=360), ('(橫掃)RX Mapping'!F44-241),IF(AND('(橫掃)RX Mapping'!F44&gt;=361,'(橫掃)RX Mapping'!F44&lt;=480), (-1)*('(橫掃)RX Mapping'!F44-480),IF(AND('(橫掃)RX Mapping'!F44&gt;=481,'(橫掃)RX Mapping'!F44&lt;=600), ('(橫掃)RX Mapping'!F44-361),IF(AND('(橫掃)RX Mapping'!F44&gt;=601,'(橫掃)RX Mapping'!F44&lt;=720), (-1)*('(橫掃)RX Mapping'!F44-720)+120,IF(AND('(橫掃)RX Mapping'!F44&gt;=721,'(橫掃)RX Mapping'!F44&lt;=840), ('(橫掃)RX Mapping'!F44-601),IF(AND('(橫掃)RX Mapping'!F44&gt;=841,'(橫掃)RX Mapping'!F44&lt;=960), (-1)*('(橫掃)RX Mapping'!F44-960)+120,9999))))))))</f>
        <v>9999</v>
      </c>
      <c r="G44">
        <f>IF(AND('(橫掃)RX Mapping'!G44&gt;=1,'(橫掃)RX Mapping'!G44&lt;=120), ('(橫掃)RX Mapping'!G44-1),IF(AND('(橫掃)RX Mapping'!G44&gt;=121,'(橫掃)RX Mapping'!G44&lt;=240), (-1)*('(橫掃)RX Mapping'!G44-240),IF(AND('(橫掃)RX Mapping'!G44&gt;=241,'(橫掃)RX Mapping'!G44&lt;=360), ('(橫掃)RX Mapping'!G44-241),IF(AND('(橫掃)RX Mapping'!G44&gt;=361,'(橫掃)RX Mapping'!G44&lt;=480), (-1)*('(橫掃)RX Mapping'!G44-480),IF(AND('(橫掃)RX Mapping'!G44&gt;=481,'(橫掃)RX Mapping'!G44&lt;=600), ('(橫掃)RX Mapping'!G44-361),IF(AND('(橫掃)RX Mapping'!G44&gt;=601,'(橫掃)RX Mapping'!G44&lt;=720), (-1)*('(橫掃)RX Mapping'!G44-720)+120,IF(AND('(橫掃)RX Mapping'!G44&gt;=721,'(橫掃)RX Mapping'!G44&lt;=840), ('(橫掃)RX Mapping'!G44-601),IF(AND('(橫掃)RX Mapping'!G44&gt;=841,'(橫掃)RX Mapping'!G44&lt;=960), (-1)*('(橫掃)RX Mapping'!G44-960)+120,9999))))))))</f>
        <v>9999</v>
      </c>
      <c r="H44">
        <f>IF(AND('(橫掃)RX Mapping'!H44&gt;=1,'(橫掃)RX Mapping'!H44&lt;=120), ('(橫掃)RX Mapping'!H44-1),IF(AND('(橫掃)RX Mapping'!H44&gt;=121,'(橫掃)RX Mapping'!H44&lt;=240), (-1)*('(橫掃)RX Mapping'!H44-240),IF(AND('(橫掃)RX Mapping'!H44&gt;=241,'(橫掃)RX Mapping'!H44&lt;=360), ('(橫掃)RX Mapping'!H44-241),IF(AND('(橫掃)RX Mapping'!H44&gt;=361,'(橫掃)RX Mapping'!H44&lt;=480), (-1)*('(橫掃)RX Mapping'!H44-480),IF(AND('(橫掃)RX Mapping'!H44&gt;=481,'(橫掃)RX Mapping'!H44&lt;=600), ('(橫掃)RX Mapping'!H44-361),IF(AND('(橫掃)RX Mapping'!H44&gt;=601,'(橫掃)RX Mapping'!H44&lt;=720), (-1)*('(橫掃)RX Mapping'!H44-720)+120,IF(AND('(橫掃)RX Mapping'!H44&gt;=721,'(橫掃)RX Mapping'!H44&lt;=840), ('(橫掃)RX Mapping'!H44-601),IF(AND('(橫掃)RX Mapping'!H44&gt;=841,'(橫掃)RX Mapping'!H44&lt;=960), (-1)*('(橫掃)RX Mapping'!H44-960)+120,9999))))))))</f>
        <v>9999</v>
      </c>
      <c r="I44">
        <f>IF(AND('(橫掃)RX Mapping'!I44&gt;=1,'(橫掃)RX Mapping'!I44&lt;=120), ('(橫掃)RX Mapping'!I44-1),IF(AND('(橫掃)RX Mapping'!I44&gt;=121,'(橫掃)RX Mapping'!I44&lt;=240), (-1)*('(橫掃)RX Mapping'!I44-240),IF(AND('(橫掃)RX Mapping'!I44&gt;=241,'(橫掃)RX Mapping'!I44&lt;=360), ('(橫掃)RX Mapping'!I44-241),IF(AND('(橫掃)RX Mapping'!I44&gt;=361,'(橫掃)RX Mapping'!I44&lt;=480), (-1)*('(橫掃)RX Mapping'!I44-480),IF(AND('(橫掃)RX Mapping'!I44&gt;=481,'(橫掃)RX Mapping'!I44&lt;=600), ('(橫掃)RX Mapping'!I44-361),IF(AND('(橫掃)RX Mapping'!I44&gt;=601,'(橫掃)RX Mapping'!I44&lt;=720), (-1)*('(橫掃)RX Mapping'!I44-720)+120,IF(AND('(橫掃)RX Mapping'!I44&gt;=721,'(橫掃)RX Mapping'!I44&lt;=840), ('(橫掃)RX Mapping'!I44-601),IF(AND('(橫掃)RX Mapping'!I44&gt;=841,'(橫掃)RX Mapping'!I44&lt;=960), (-1)*('(橫掃)RX Mapping'!I44-960)+120,9999))))))))</f>
        <v>9999</v>
      </c>
      <c r="J44">
        <f>IF(AND('(橫掃)RX Mapping'!J44&gt;=1,'(橫掃)RX Mapping'!J44&lt;=120), ('(橫掃)RX Mapping'!J44-1),IF(AND('(橫掃)RX Mapping'!J44&gt;=121,'(橫掃)RX Mapping'!J44&lt;=240), (-1)*('(橫掃)RX Mapping'!J44-240),IF(AND('(橫掃)RX Mapping'!J44&gt;=241,'(橫掃)RX Mapping'!J44&lt;=360), ('(橫掃)RX Mapping'!J44-241),IF(AND('(橫掃)RX Mapping'!J44&gt;=361,'(橫掃)RX Mapping'!J44&lt;=480), (-1)*('(橫掃)RX Mapping'!J44-480),IF(AND('(橫掃)RX Mapping'!J44&gt;=481,'(橫掃)RX Mapping'!J44&lt;=600), ('(橫掃)RX Mapping'!J44-361),IF(AND('(橫掃)RX Mapping'!J44&gt;=601,'(橫掃)RX Mapping'!J44&lt;=720), (-1)*('(橫掃)RX Mapping'!J44-720)+120,IF(AND('(橫掃)RX Mapping'!J44&gt;=721,'(橫掃)RX Mapping'!J44&lt;=840), ('(橫掃)RX Mapping'!J44-601),IF(AND('(橫掃)RX Mapping'!J44&gt;=841,'(橫掃)RX Mapping'!J44&lt;=960), (-1)*('(橫掃)RX Mapping'!J44-960)+120,9999))))))))</f>
        <v>9999</v>
      </c>
      <c r="K44">
        <f>IF(AND('(橫掃)RX Mapping'!K44&gt;=1,'(橫掃)RX Mapping'!K44&lt;=120), ('(橫掃)RX Mapping'!K44-1),IF(AND('(橫掃)RX Mapping'!K44&gt;=121,'(橫掃)RX Mapping'!K44&lt;=240), (-1)*('(橫掃)RX Mapping'!K44-240),IF(AND('(橫掃)RX Mapping'!K44&gt;=241,'(橫掃)RX Mapping'!K44&lt;=360), ('(橫掃)RX Mapping'!K44-241),IF(AND('(橫掃)RX Mapping'!K44&gt;=361,'(橫掃)RX Mapping'!K44&lt;=480), (-1)*('(橫掃)RX Mapping'!K44-480),IF(AND('(橫掃)RX Mapping'!K44&gt;=481,'(橫掃)RX Mapping'!K44&lt;=600), ('(橫掃)RX Mapping'!K44-361),IF(AND('(橫掃)RX Mapping'!K44&gt;=601,'(橫掃)RX Mapping'!K44&lt;=720), (-1)*('(橫掃)RX Mapping'!K44-720)+120,IF(AND('(橫掃)RX Mapping'!K44&gt;=721,'(橫掃)RX Mapping'!K44&lt;=840), ('(橫掃)RX Mapping'!K44-601),IF(AND('(橫掃)RX Mapping'!K44&gt;=841,'(橫掃)RX Mapping'!K44&lt;=960), (-1)*('(橫掃)RX Mapping'!K44-960)+120,9999))))))))</f>
        <v>9999</v>
      </c>
      <c r="L44">
        <f>IF(AND('(橫掃)RX Mapping'!L44&gt;=1,'(橫掃)RX Mapping'!L44&lt;=120), ('(橫掃)RX Mapping'!L44-1),IF(AND('(橫掃)RX Mapping'!L44&gt;=121,'(橫掃)RX Mapping'!L44&lt;=240), (-1)*('(橫掃)RX Mapping'!L44-240),IF(AND('(橫掃)RX Mapping'!L44&gt;=241,'(橫掃)RX Mapping'!L44&lt;=360), ('(橫掃)RX Mapping'!L44-241),IF(AND('(橫掃)RX Mapping'!L44&gt;=361,'(橫掃)RX Mapping'!L44&lt;=480), (-1)*('(橫掃)RX Mapping'!L44-480),IF(AND('(橫掃)RX Mapping'!L44&gt;=481,'(橫掃)RX Mapping'!L44&lt;=600), ('(橫掃)RX Mapping'!L44-361),IF(AND('(橫掃)RX Mapping'!L44&gt;=601,'(橫掃)RX Mapping'!L44&lt;=720), (-1)*('(橫掃)RX Mapping'!L44-720)+120,IF(AND('(橫掃)RX Mapping'!L44&gt;=721,'(橫掃)RX Mapping'!L44&lt;=840), ('(橫掃)RX Mapping'!L44-601),IF(AND('(橫掃)RX Mapping'!L44&gt;=841,'(橫掃)RX Mapping'!L44&lt;=960), (-1)*('(橫掃)RX Mapping'!L44-960)+120,9999))))))))</f>
        <v>9999</v>
      </c>
      <c r="M44">
        <f>IF(AND('(橫掃)RX Mapping'!M44&gt;=1,'(橫掃)RX Mapping'!M44&lt;=120), ('(橫掃)RX Mapping'!M44-1),IF(AND('(橫掃)RX Mapping'!M44&gt;=121,'(橫掃)RX Mapping'!M44&lt;=240), (-1)*('(橫掃)RX Mapping'!M44-240),IF(AND('(橫掃)RX Mapping'!M44&gt;=241,'(橫掃)RX Mapping'!M44&lt;=360), ('(橫掃)RX Mapping'!M44-241),IF(AND('(橫掃)RX Mapping'!M44&gt;=361,'(橫掃)RX Mapping'!M44&lt;=480), (-1)*('(橫掃)RX Mapping'!M44-480),IF(AND('(橫掃)RX Mapping'!M44&gt;=481,'(橫掃)RX Mapping'!M44&lt;=600), ('(橫掃)RX Mapping'!M44-361),IF(AND('(橫掃)RX Mapping'!M44&gt;=601,'(橫掃)RX Mapping'!M44&lt;=720), (-1)*('(橫掃)RX Mapping'!M44-720)+120,IF(AND('(橫掃)RX Mapping'!M44&gt;=721,'(橫掃)RX Mapping'!M44&lt;=840), ('(橫掃)RX Mapping'!M44-601),IF(AND('(橫掃)RX Mapping'!M44&gt;=841,'(橫掃)RX Mapping'!M44&lt;=960), (-1)*('(橫掃)RX Mapping'!M44-960)+120,9999))))))))</f>
        <v>9999</v>
      </c>
      <c r="N44">
        <f>IF(AND('(橫掃)RX Mapping'!N44&gt;=1,'(橫掃)RX Mapping'!N44&lt;=120), ('(橫掃)RX Mapping'!N44-1),IF(AND('(橫掃)RX Mapping'!N44&gt;=121,'(橫掃)RX Mapping'!N44&lt;=240), (-1)*('(橫掃)RX Mapping'!N44-240),IF(AND('(橫掃)RX Mapping'!N44&gt;=241,'(橫掃)RX Mapping'!N44&lt;=360), ('(橫掃)RX Mapping'!N44-241),IF(AND('(橫掃)RX Mapping'!N44&gt;=361,'(橫掃)RX Mapping'!N44&lt;=480), (-1)*('(橫掃)RX Mapping'!N44-480),IF(AND('(橫掃)RX Mapping'!N44&gt;=481,'(橫掃)RX Mapping'!N44&lt;=600), ('(橫掃)RX Mapping'!N44-361),IF(AND('(橫掃)RX Mapping'!N44&gt;=601,'(橫掃)RX Mapping'!N44&lt;=720), (-1)*('(橫掃)RX Mapping'!N44-720)+120,IF(AND('(橫掃)RX Mapping'!N44&gt;=721,'(橫掃)RX Mapping'!N44&lt;=840), ('(橫掃)RX Mapping'!N44-601),IF(AND('(橫掃)RX Mapping'!N44&gt;=841,'(橫掃)RX Mapping'!N44&lt;=960), (-1)*('(橫掃)RX Mapping'!N44-960)+120,9999))))))))</f>
        <v>9999</v>
      </c>
      <c r="O44">
        <f>IF(AND('(橫掃)RX Mapping'!O44&gt;=1,'(橫掃)RX Mapping'!O44&lt;=120), ('(橫掃)RX Mapping'!O44-1),IF(AND('(橫掃)RX Mapping'!O44&gt;=121,'(橫掃)RX Mapping'!O44&lt;=240), (-1)*('(橫掃)RX Mapping'!O44-240),IF(AND('(橫掃)RX Mapping'!O44&gt;=241,'(橫掃)RX Mapping'!O44&lt;=360), ('(橫掃)RX Mapping'!O44-241),IF(AND('(橫掃)RX Mapping'!O44&gt;=361,'(橫掃)RX Mapping'!O44&lt;=480), (-1)*('(橫掃)RX Mapping'!O44-480),IF(AND('(橫掃)RX Mapping'!O44&gt;=481,'(橫掃)RX Mapping'!O44&lt;=600), ('(橫掃)RX Mapping'!O44-361),IF(AND('(橫掃)RX Mapping'!O44&gt;=601,'(橫掃)RX Mapping'!O44&lt;=720), (-1)*('(橫掃)RX Mapping'!O44-720)+120,IF(AND('(橫掃)RX Mapping'!O44&gt;=721,'(橫掃)RX Mapping'!O44&lt;=840), ('(橫掃)RX Mapping'!O44-601),IF(AND('(橫掃)RX Mapping'!O44&gt;=841,'(橫掃)RX Mapping'!O44&lt;=960), (-1)*('(橫掃)RX Mapping'!O44-960)+120,9999))))))))</f>
        <v>9999</v>
      </c>
      <c r="P44">
        <f>IF(AND('(橫掃)RX Mapping'!P44&gt;=1,'(橫掃)RX Mapping'!P44&lt;=120), ('(橫掃)RX Mapping'!P44-1),IF(AND('(橫掃)RX Mapping'!P44&gt;=121,'(橫掃)RX Mapping'!P44&lt;=240), (-1)*('(橫掃)RX Mapping'!P44-240),IF(AND('(橫掃)RX Mapping'!P44&gt;=241,'(橫掃)RX Mapping'!P44&lt;=360), ('(橫掃)RX Mapping'!P44-241),IF(AND('(橫掃)RX Mapping'!P44&gt;=361,'(橫掃)RX Mapping'!P44&lt;=480), (-1)*('(橫掃)RX Mapping'!P44-480),IF(AND('(橫掃)RX Mapping'!P44&gt;=481,'(橫掃)RX Mapping'!P44&lt;=600), ('(橫掃)RX Mapping'!P44-361),IF(AND('(橫掃)RX Mapping'!P44&gt;=601,'(橫掃)RX Mapping'!P44&lt;=720), (-1)*('(橫掃)RX Mapping'!P44-720)+120,IF(AND('(橫掃)RX Mapping'!P44&gt;=721,'(橫掃)RX Mapping'!P44&lt;=840), ('(橫掃)RX Mapping'!P44-601),IF(AND('(橫掃)RX Mapping'!P44&gt;=841,'(橫掃)RX Mapping'!P44&lt;=960), (-1)*('(橫掃)RX Mapping'!P44-960)+120,9999))))))))</f>
        <v>9999</v>
      </c>
      <c r="Q44">
        <f>IF(AND('(橫掃)RX Mapping'!Q44&gt;=1,'(橫掃)RX Mapping'!Q44&lt;=120), ('(橫掃)RX Mapping'!Q44-1),IF(AND('(橫掃)RX Mapping'!Q44&gt;=121,'(橫掃)RX Mapping'!Q44&lt;=240), (-1)*('(橫掃)RX Mapping'!Q44-240),IF(AND('(橫掃)RX Mapping'!Q44&gt;=241,'(橫掃)RX Mapping'!Q44&lt;=360), ('(橫掃)RX Mapping'!Q44-241),IF(AND('(橫掃)RX Mapping'!Q44&gt;=361,'(橫掃)RX Mapping'!Q44&lt;=480), (-1)*('(橫掃)RX Mapping'!Q44-480),IF(AND('(橫掃)RX Mapping'!Q44&gt;=481,'(橫掃)RX Mapping'!Q44&lt;=600), ('(橫掃)RX Mapping'!Q44-361),IF(AND('(橫掃)RX Mapping'!Q44&gt;=601,'(橫掃)RX Mapping'!Q44&lt;=720), (-1)*('(橫掃)RX Mapping'!Q44-720)+120,IF(AND('(橫掃)RX Mapping'!Q44&gt;=721,'(橫掃)RX Mapping'!Q44&lt;=840), ('(橫掃)RX Mapping'!Q44-601),IF(AND('(橫掃)RX Mapping'!Q44&gt;=841,'(橫掃)RX Mapping'!Q44&lt;=960), (-1)*('(橫掃)RX Mapping'!Q44-960)+120,9999))))))))</f>
        <v>9999</v>
      </c>
      <c r="R44">
        <f>IF(AND('(橫掃)RX Mapping'!R44&gt;=1,'(橫掃)RX Mapping'!R44&lt;=120), ('(橫掃)RX Mapping'!R44-1),IF(AND('(橫掃)RX Mapping'!R44&gt;=121,'(橫掃)RX Mapping'!R44&lt;=240), (-1)*('(橫掃)RX Mapping'!R44-240),IF(AND('(橫掃)RX Mapping'!R44&gt;=241,'(橫掃)RX Mapping'!R44&lt;=360), ('(橫掃)RX Mapping'!R44-241),IF(AND('(橫掃)RX Mapping'!R44&gt;=361,'(橫掃)RX Mapping'!R44&lt;=480), (-1)*('(橫掃)RX Mapping'!R44-480),IF(AND('(橫掃)RX Mapping'!R44&gt;=481,'(橫掃)RX Mapping'!R44&lt;=600), ('(橫掃)RX Mapping'!R44-361),IF(AND('(橫掃)RX Mapping'!R44&gt;=601,'(橫掃)RX Mapping'!R44&lt;=720), (-1)*('(橫掃)RX Mapping'!R44-720)+120,IF(AND('(橫掃)RX Mapping'!R44&gt;=721,'(橫掃)RX Mapping'!R44&lt;=840), ('(橫掃)RX Mapping'!R44-601),IF(AND('(橫掃)RX Mapping'!R44&gt;=841,'(橫掃)RX Mapping'!R44&lt;=960), (-1)*('(橫掃)RX Mapping'!R44-960)+120,9999))))))))</f>
        <v>9999</v>
      </c>
      <c r="S44">
        <f>IF(AND('(橫掃)RX Mapping'!S44&gt;=1,'(橫掃)RX Mapping'!S44&lt;=120), ('(橫掃)RX Mapping'!S44-1),IF(AND('(橫掃)RX Mapping'!S44&gt;=121,'(橫掃)RX Mapping'!S44&lt;=240), (-1)*('(橫掃)RX Mapping'!S44-240),IF(AND('(橫掃)RX Mapping'!S44&gt;=241,'(橫掃)RX Mapping'!S44&lt;=360), ('(橫掃)RX Mapping'!S44-241),IF(AND('(橫掃)RX Mapping'!S44&gt;=361,'(橫掃)RX Mapping'!S44&lt;=480), (-1)*('(橫掃)RX Mapping'!S44-480),IF(AND('(橫掃)RX Mapping'!S44&gt;=481,'(橫掃)RX Mapping'!S44&lt;=600), ('(橫掃)RX Mapping'!S44-361),IF(AND('(橫掃)RX Mapping'!S44&gt;=601,'(橫掃)RX Mapping'!S44&lt;=720), (-1)*('(橫掃)RX Mapping'!S44-720)+120,IF(AND('(橫掃)RX Mapping'!S44&gt;=721,'(橫掃)RX Mapping'!S44&lt;=840), ('(橫掃)RX Mapping'!S44-601),IF(AND('(橫掃)RX Mapping'!S44&gt;=841,'(橫掃)RX Mapping'!S44&lt;=960), (-1)*('(橫掃)RX Mapping'!S44-960)+120,9999))))))))</f>
        <v>9999</v>
      </c>
      <c r="T44">
        <f>IF(AND('(橫掃)RX Mapping'!T44&gt;=1,'(橫掃)RX Mapping'!T44&lt;=120), ('(橫掃)RX Mapping'!T44-1),IF(AND('(橫掃)RX Mapping'!T44&gt;=121,'(橫掃)RX Mapping'!T44&lt;=240), (-1)*('(橫掃)RX Mapping'!T44-240),IF(AND('(橫掃)RX Mapping'!T44&gt;=241,'(橫掃)RX Mapping'!T44&lt;=360), ('(橫掃)RX Mapping'!T44-241),IF(AND('(橫掃)RX Mapping'!T44&gt;=361,'(橫掃)RX Mapping'!T44&lt;=480), (-1)*('(橫掃)RX Mapping'!T44-480),IF(AND('(橫掃)RX Mapping'!T44&gt;=481,'(橫掃)RX Mapping'!T44&lt;=600), ('(橫掃)RX Mapping'!T44-361),IF(AND('(橫掃)RX Mapping'!T44&gt;=601,'(橫掃)RX Mapping'!T44&lt;=720), (-1)*('(橫掃)RX Mapping'!T44-720)+120,IF(AND('(橫掃)RX Mapping'!T44&gt;=721,'(橫掃)RX Mapping'!T44&lt;=840), ('(橫掃)RX Mapping'!T44-601),IF(AND('(橫掃)RX Mapping'!T44&gt;=841,'(橫掃)RX Mapping'!T44&lt;=960), (-1)*('(橫掃)RX Mapping'!T44-960)+120,9999))))))))</f>
        <v>9999</v>
      </c>
      <c r="U44">
        <f>IF(AND('(橫掃)RX Mapping'!U44&gt;=1,'(橫掃)RX Mapping'!U44&lt;=120), ('(橫掃)RX Mapping'!U44-1),IF(AND('(橫掃)RX Mapping'!U44&gt;=121,'(橫掃)RX Mapping'!U44&lt;=240), (-1)*('(橫掃)RX Mapping'!U44-240),IF(AND('(橫掃)RX Mapping'!U44&gt;=241,'(橫掃)RX Mapping'!U44&lt;=360), ('(橫掃)RX Mapping'!U44-241),IF(AND('(橫掃)RX Mapping'!U44&gt;=361,'(橫掃)RX Mapping'!U44&lt;=480), (-1)*('(橫掃)RX Mapping'!U44-480),IF(AND('(橫掃)RX Mapping'!U44&gt;=481,'(橫掃)RX Mapping'!U44&lt;=600), ('(橫掃)RX Mapping'!U44-361),IF(AND('(橫掃)RX Mapping'!U44&gt;=601,'(橫掃)RX Mapping'!U44&lt;=720), (-1)*('(橫掃)RX Mapping'!U44-720)+120,IF(AND('(橫掃)RX Mapping'!U44&gt;=721,'(橫掃)RX Mapping'!U44&lt;=840), ('(橫掃)RX Mapping'!U44-601),IF(AND('(橫掃)RX Mapping'!U44&gt;=841,'(橫掃)RX Mapping'!U44&lt;=960), (-1)*('(橫掃)RX Mapping'!U44-960)+120,9999))))))))</f>
        <v>9999</v>
      </c>
      <c r="V44">
        <f>IF(AND('(橫掃)RX Mapping'!V44&gt;=1,'(橫掃)RX Mapping'!V44&lt;=120), ('(橫掃)RX Mapping'!V44-1),IF(AND('(橫掃)RX Mapping'!V44&gt;=121,'(橫掃)RX Mapping'!V44&lt;=240), (-1)*('(橫掃)RX Mapping'!V44-240),IF(AND('(橫掃)RX Mapping'!V44&gt;=241,'(橫掃)RX Mapping'!V44&lt;=360), ('(橫掃)RX Mapping'!V44-241),IF(AND('(橫掃)RX Mapping'!V44&gt;=361,'(橫掃)RX Mapping'!V44&lt;=480), (-1)*('(橫掃)RX Mapping'!V44-480),IF(AND('(橫掃)RX Mapping'!V44&gt;=481,'(橫掃)RX Mapping'!V44&lt;=600), ('(橫掃)RX Mapping'!V44-361),IF(AND('(橫掃)RX Mapping'!V44&gt;=601,'(橫掃)RX Mapping'!V44&lt;=720), (-1)*('(橫掃)RX Mapping'!V44-720)+120,IF(AND('(橫掃)RX Mapping'!V44&gt;=721,'(橫掃)RX Mapping'!V44&lt;=840), ('(橫掃)RX Mapping'!V44-601),IF(AND('(橫掃)RX Mapping'!V44&gt;=841,'(橫掃)RX Mapping'!V44&lt;=960), (-1)*('(橫掃)RX Mapping'!V44-960)+120,9999))))))))</f>
        <v>9999</v>
      </c>
      <c r="W44">
        <f>IF(AND('(橫掃)RX Mapping'!W44&gt;=1,'(橫掃)RX Mapping'!W44&lt;=120), ('(橫掃)RX Mapping'!W44-1),IF(AND('(橫掃)RX Mapping'!W44&gt;=121,'(橫掃)RX Mapping'!W44&lt;=240), (-1)*('(橫掃)RX Mapping'!W44-240),IF(AND('(橫掃)RX Mapping'!W44&gt;=241,'(橫掃)RX Mapping'!W44&lt;=360), ('(橫掃)RX Mapping'!W44-241),IF(AND('(橫掃)RX Mapping'!W44&gt;=361,'(橫掃)RX Mapping'!W44&lt;=480), (-1)*('(橫掃)RX Mapping'!W44-480),IF(AND('(橫掃)RX Mapping'!W44&gt;=481,'(橫掃)RX Mapping'!W44&lt;=600), ('(橫掃)RX Mapping'!W44-361),IF(AND('(橫掃)RX Mapping'!W44&gt;=601,'(橫掃)RX Mapping'!W44&lt;=720), (-1)*('(橫掃)RX Mapping'!W44-720)+120,IF(AND('(橫掃)RX Mapping'!W44&gt;=721,'(橫掃)RX Mapping'!W44&lt;=840), ('(橫掃)RX Mapping'!W44-601),IF(AND('(橫掃)RX Mapping'!W44&gt;=841,'(橫掃)RX Mapping'!W44&lt;=960), (-1)*('(橫掃)RX Mapping'!W44-960)+120,9999))))))))</f>
        <v>9999</v>
      </c>
      <c r="X44">
        <f>IF(AND('(橫掃)RX Mapping'!X44&gt;=1,'(橫掃)RX Mapping'!X44&lt;=120), ('(橫掃)RX Mapping'!X44-1),IF(AND('(橫掃)RX Mapping'!X44&gt;=121,'(橫掃)RX Mapping'!X44&lt;=240), (-1)*('(橫掃)RX Mapping'!X44-240),IF(AND('(橫掃)RX Mapping'!X44&gt;=241,'(橫掃)RX Mapping'!X44&lt;=360), ('(橫掃)RX Mapping'!X44-241),IF(AND('(橫掃)RX Mapping'!X44&gt;=361,'(橫掃)RX Mapping'!X44&lt;=480), (-1)*('(橫掃)RX Mapping'!X44-480),IF(AND('(橫掃)RX Mapping'!X44&gt;=481,'(橫掃)RX Mapping'!X44&lt;=600), ('(橫掃)RX Mapping'!X44-361),IF(AND('(橫掃)RX Mapping'!X44&gt;=601,'(橫掃)RX Mapping'!X44&lt;=720), (-1)*('(橫掃)RX Mapping'!X44-720)+120,IF(AND('(橫掃)RX Mapping'!X44&gt;=721,'(橫掃)RX Mapping'!X44&lt;=840), ('(橫掃)RX Mapping'!X44-601),IF(AND('(橫掃)RX Mapping'!X44&gt;=841,'(橫掃)RX Mapping'!X44&lt;=960), (-1)*('(橫掃)RX Mapping'!X44-960)+120,9999))))))))</f>
        <v>9999</v>
      </c>
      <c r="Y44">
        <f>IF(AND('(橫掃)RX Mapping'!Y44&gt;=1,'(橫掃)RX Mapping'!Y44&lt;=120), ('(橫掃)RX Mapping'!Y44-1),IF(AND('(橫掃)RX Mapping'!Y44&gt;=121,'(橫掃)RX Mapping'!Y44&lt;=240), (-1)*('(橫掃)RX Mapping'!Y44-240),IF(AND('(橫掃)RX Mapping'!Y44&gt;=241,'(橫掃)RX Mapping'!Y44&lt;=360), ('(橫掃)RX Mapping'!Y44-241),IF(AND('(橫掃)RX Mapping'!Y44&gt;=361,'(橫掃)RX Mapping'!Y44&lt;=480), (-1)*('(橫掃)RX Mapping'!Y44-480),IF(AND('(橫掃)RX Mapping'!Y44&gt;=481,'(橫掃)RX Mapping'!Y44&lt;=600), ('(橫掃)RX Mapping'!Y44-361),IF(AND('(橫掃)RX Mapping'!Y44&gt;=601,'(橫掃)RX Mapping'!Y44&lt;=720), (-1)*('(橫掃)RX Mapping'!Y44-720)+120,IF(AND('(橫掃)RX Mapping'!Y44&gt;=721,'(橫掃)RX Mapping'!Y44&lt;=840), ('(橫掃)RX Mapping'!Y44-601),IF(AND('(橫掃)RX Mapping'!Y44&gt;=841,'(橫掃)RX Mapping'!Y44&lt;=960), (-1)*('(橫掃)RX Mapping'!Y44-960)+120,9999))))))))</f>
        <v>9999</v>
      </c>
      <c r="Z44">
        <f>IF(AND('(橫掃)RX Mapping'!Z44&gt;=1,'(橫掃)RX Mapping'!Z44&lt;=120), ('(橫掃)RX Mapping'!Z44-1),IF(AND('(橫掃)RX Mapping'!Z44&gt;=121,'(橫掃)RX Mapping'!Z44&lt;=240), (-1)*('(橫掃)RX Mapping'!Z44-240),IF(AND('(橫掃)RX Mapping'!Z44&gt;=241,'(橫掃)RX Mapping'!Z44&lt;=360), ('(橫掃)RX Mapping'!Z44-241),IF(AND('(橫掃)RX Mapping'!Z44&gt;=361,'(橫掃)RX Mapping'!Z44&lt;=480), (-1)*('(橫掃)RX Mapping'!Z44-480),IF(AND('(橫掃)RX Mapping'!Z44&gt;=481,'(橫掃)RX Mapping'!Z44&lt;=600), ('(橫掃)RX Mapping'!Z44-361),IF(AND('(橫掃)RX Mapping'!Z44&gt;=601,'(橫掃)RX Mapping'!Z44&lt;=720), (-1)*('(橫掃)RX Mapping'!Z44-720)+120,IF(AND('(橫掃)RX Mapping'!Z44&gt;=721,'(橫掃)RX Mapping'!Z44&lt;=840), ('(橫掃)RX Mapping'!Z44-601),IF(AND('(橫掃)RX Mapping'!Z44&gt;=841,'(橫掃)RX Mapping'!Z44&lt;=960), (-1)*('(橫掃)RX Mapping'!Z44-960)+120,9999))))))))</f>
        <v>9999</v>
      </c>
      <c r="AA44">
        <f>IF(AND('(橫掃)RX Mapping'!AA44&gt;=1,'(橫掃)RX Mapping'!AA44&lt;=120), ('(橫掃)RX Mapping'!AA44-1),IF(AND('(橫掃)RX Mapping'!AA44&gt;=121,'(橫掃)RX Mapping'!AA44&lt;=240), (-1)*('(橫掃)RX Mapping'!AA44-240),IF(AND('(橫掃)RX Mapping'!AA44&gt;=241,'(橫掃)RX Mapping'!AA44&lt;=360), ('(橫掃)RX Mapping'!AA44-241),IF(AND('(橫掃)RX Mapping'!AA44&gt;=361,'(橫掃)RX Mapping'!AA44&lt;=480), (-1)*('(橫掃)RX Mapping'!AA44-480),IF(AND('(橫掃)RX Mapping'!AA44&gt;=481,'(橫掃)RX Mapping'!AA44&lt;=600), ('(橫掃)RX Mapping'!AA44-361),IF(AND('(橫掃)RX Mapping'!AA44&gt;=601,'(橫掃)RX Mapping'!AA44&lt;=720), (-1)*('(橫掃)RX Mapping'!AA44-720)+120,IF(AND('(橫掃)RX Mapping'!AA44&gt;=721,'(橫掃)RX Mapping'!AA44&lt;=840), ('(橫掃)RX Mapping'!AA44-601),IF(AND('(橫掃)RX Mapping'!AA44&gt;=841,'(橫掃)RX Mapping'!AA44&lt;=960), (-1)*('(橫掃)RX Mapping'!AA44-960)+120,9999))))))))</f>
        <v>9999</v>
      </c>
      <c r="AB44">
        <f>IF(AND('(橫掃)RX Mapping'!AB44&gt;=1,'(橫掃)RX Mapping'!AB44&lt;=120), ('(橫掃)RX Mapping'!AB44-1),IF(AND('(橫掃)RX Mapping'!AB44&gt;=121,'(橫掃)RX Mapping'!AB44&lt;=240), (-1)*('(橫掃)RX Mapping'!AB44-240),IF(AND('(橫掃)RX Mapping'!AB44&gt;=241,'(橫掃)RX Mapping'!AB44&lt;=360), ('(橫掃)RX Mapping'!AB44-241),IF(AND('(橫掃)RX Mapping'!AB44&gt;=361,'(橫掃)RX Mapping'!AB44&lt;=480), (-1)*('(橫掃)RX Mapping'!AB44-480),IF(AND('(橫掃)RX Mapping'!AB44&gt;=481,'(橫掃)RX Mapping'!AB44&lt;=600), ('(橫掃)RX Mapping'!AB44-361),IF(AND('(橫掃)RX Mapping'!AB44&gt;=601,'(橫掃)RX Mapping'!AB44&lt;=720), (-1)*('(橫掃)RX Mapping'!AB44-720)+120,IF(AND('(橫掃)RX Mapping'!AB44&gt;=721,'(橫掃)RX Mapping'!AB44&lt;=840), ('(橫掃)RX Mapping'!AB44-601),IF(AND('(橫掃)RX Mapping'!AB44&gt;=841,'(橫掃)RX Mapping'!AB44&lt;=960), (-1)*('(橫掃)RX Mapping'!AB44-960)+120,9999))))))))</f>
        <v>9999</v>
      </c>
      <c r="AC44">
        <f>IF(AND('(橫掃)RX Mapping'!AC44&gt;=1,'(橫掃)RX Mapping'!AC44&lt;=120), ('(橫掃)RX Mapping'!AC44-1),IF(AND('(橫掃)RX Mapping'!AC44&gt;=121,'(橫掃)RX Mapping'!AC44&lt;=240), (-1)*('(橫掃)RX Mapping'!AC44-240),IF(AND('(橫掃)RX Mapping'!AC44&gt;=241,'(橫掃)RX Mapping'!AC44&lt;=360), ('(橫掃)RX Mapping'!AC44-241),IF(AND('(橫掃)RX Mapping'!AC44&gt;=361,'(橫掃)RX Mapping'!AC44&lt;=480), (-1)*('(橫掃)RX Mapping'!AC44-480),IF(AND('(橫掃)RX Mapping'!AC44&gt;=481,'(橫掃)RX Mapping'!AC44&lt;=600), ('(橫掃)RX Mapping'!AC44-361),IF(AND('(橫掃)RX Mapping'!AC44&gt;=601,'(橫掃)RX Mapping'!AC44&lt;=720), (-1)*('(橫掃)RX Mapping'!AC44-720)+120,IF(AND('(橫掃)RX Mapping'!AC44&gt;=721,'(橫掃)RX Mapping'!AC44&lt;=840), ('(橫掃)RX Mapping'!AC44-601),IF(AND('(橫掃)RX Mapping'!AC44&gt;=841,'(橫掃)RX Mapping'!AC44&lt;=960), (-1)*('(橫掃)RX Mapping'!AC44-960)+120,9999))))))))</f>
        <v>9999</v>
      </c>
      <c r="AD44">
        <f>IF(AND('(橫掃)RX Mapping'!AD44&gt;=1,'(橫掃)RX Mapping'!AD44&lt;=120), ('(橫掃)RX Mapping'!AD44-1),IF(AND('(橫掃)RX Mapping'!AD44&gt;=121,'(橫掃)RX Mapping'!AD44&lt;=240), (-1)*('(橫掃)RX Mapping'!AD44-240),IF(AND('(橫掃)RX Mapping'!AD44&gt;=241,'(橫掃)RX Mapping'!AD44&lt;=360), ('(橫掃)RX Mapping'!AD44-241),IF(AND('(橫掃)RX Mapping'!AD44&gt;=361,'(橫掃)RX Mapping'!AD44&lt;=480), (-1)*('(橫掃)RX Mapping'!AD44-480),IF(AND('(橫掃)RX Mapping'!AD44&gt;=481,'(橫掃)RX Mapping'!AD44&lt;=600), ('(橫掃)RX Mapping'!AD44-361),IF(AND('(橫掃)RX Mapping'!AD44&gt;=601,'(橫掃)RX Mapping'!AD44&lt;=720), (-1)*('(橫掃)RX Mapping'!AD44-720)+120,IF(AND('(橫掃)RX Mapping'!AD44&gt;=721,'(橫掃)RX Mapping'!AD44&lt;=840), ('(橫掃)RX Mapping'!AD44-601),IF(AND('(橫掃)RX Mapping'!AD44&gt;=841,'(橫掃)RX Mapping'!AD44&lt;=960), (-1)*('(橫掃)RX Mapping'!AD44-960)+120,9999))))))))</f>
        <v>9999</v>
      </c>
      <c r="AE44">
        <f>IF(AND('(橫掃)RX Mapping'!AE44&gt;=1,'(橫掃)RX Mapping'!AE44&lt;=120), ('(橫掃)RX Mapping'!AE44-1),IF(AND('(橫掃)RX Mapping'!AE44&gt;=121,'(橫掃)RX Mapping'!AE44&lt;=240), (-1)*('(橫掃)RX Mapping'!AE44-240),IF(AND('(橫掃)RX Mapping'!AE44&gt;=241,'(橫掃)RX Mapping'!AE44&lt;=360), ('(橫掃)RX Mapping'!AE44-241),IF(AND('(橫掃)RX Mapping'!AE44&gt;=361,'(橫掃)RX Mapping'!AE44&lt;=480), (-1)*('(橫掃)RX Mapping'!AE44-480),IF(AND('(橫掃)RX Mapping'!AE44&gt;=481,'(橫掃)RX Mapping'!AE44&lt;=600), ('(橫掃)RX Mapping'!AE44-361),IF(AND('(橫掃)RX Mapping'!AE44&gt;=601,'(橫掃)RX Mapping'!AE44&lt;=720), (-1)*('(橫掃)RX Mapping'!AE44-720)+120,IF(AND('(橫掃)RX Mapping'!AE44&gt;=721,'(橫掃)RX Mapping'!AE44&lt;=840), ('(橫掃)RX Mapping'!AE44-601),IF(AND('(橫掃)RX Mapping'!AE44&gt;=841,'(橫掃)RX Mapping'!AE44&lt;=960), (-1)*('(橫掃)RX Mapping'!AE44-960)+120,9999))))))))</f>
        <v>9999</v>
      </c>
      <c r="AF44">
        <f>IF(AND('(橫掃)RX Mapping'!AF44&gt;=1,'(橫掃)RX Mapping'!AF44&lt;=120), ('(橫掃)RX Mapping'!AF44-1),IF(AND('(橫掃)RX Mapping'!AF44&gt;=121,'(橫掃)RX Mapping'!AF44&lt;=240), (-1)*('(橫掃)RX Mapping'!AF44-240),IF(AND('(橫掃)RX Mapping'!AF44&gt;=241,'(橫掃)RX Mapping'!AF44&lt;=360), ('(橫掃)RX Mapping'!AF44-241),IF(AND('(橫掃)RX Mapping'!AF44&gt;=361,'(橫掃)RX Mapping'!AF44&lt;=480), (-1)*('(橫掃)RX Mapping'!AF44-480),IF(AND('(橫掃)RX Mapping'!AF44&gt;=481,'(橫掃)RX Mapping'!AF44&lt;=600), ('(橫掃)RX Mapping'!AF44-361),IF(AND('(橫掃)RX Mapping'!AF44&gt;=601,'(橫掃)RX Mapping'!AF44&lt;=720), (-1)*('(橫掃)RX Mapping'!AF44-720)+120,IF(AND('(橫掃)RX Mapping'!AF44&gt;=721,'(橫掃)RX Mapping'!AF44&lt;=840), ('(橫掃)RX Mapping'!AF44-601),IF(AND('(橫掃)RX Mapping'!AF44&gt;=841,'(橫掃)RX Mapping'!AF44&lt;=960), (-1)*('(橫掃)RX Mapping'!AF44-960)+120,9999))))))))</f>
        <v>9999</v>
      </c>
      <c r="AG44">
        <f>IF(AND('(橫掃)RX Mapping'!AG44&gt;=1,'(橫掃)RX Mapping'!AG44&lt;=120), ('(橫掃)RX Mapping'!AG44-1),IF(AND('(橫掃)RX Mapping'!AG44&gt;=121,'(橫掃)RX Mapping'!AG44&lt;=240), (-1)*('(橫掃)RX Mapping'!AG44-240),IF(AND('(橫掃)RX Mapping'!AG44&gt;=241,'(橫掃)RX Mapping'!AG44&lt;=360), ('(橫掃)RX Mapping'!AG44-241),IF(AND('(橫掃)RX Mapping'!AG44&gt;=361,'(橫掃)RX Mapping'!AG44&lt;=480), (-1)*('(橫掃)RX Mapping'!AG44-480),IF(AND('(橫掃)RX Mapping'!AG44&gt;=481,'(橫掃)RX Mapping'!AG44&lt;=600), ('(橫掃)RX Mapping'!AG44-361),IF(AND('(橫掃)RX Mapping'!AG44&gt;=601,'(橫掃)RX Mapping'!AG44&lt;=720), (-1)*('(橫掃)RX Mapping'!AG44-720)+120,IF(AND('(橫掃)RX Mapping'!AG44&gt;=721,'(橫掃)RX Mapping'!AG44&lt;=840), ('(橫掃)RX Mapping'!AG44-601),IF(AND('(橫掃)RX Mapping'!AG44&gt;=841,'(橫掃)RX Mapping'!AG44&lt;=960), (-1)*('(橫掃)RX Mapping'!AG44-960)+120,9999))))))))</f>
        <v>9999</v>
      </c>
      <c r="AH44">
        <f>IF(AND('(橫掃)RX Mapping'!AH44&gt;=1,'(橫掃)RX Mapping'!AH44&lt;=120), ('(橫掃)RX Mapping'!AH44-1),IF(AND('(橫掃)RX Mapping'!AH44&gt;=121,'(橫掃)RX Mapping'!AH44&lt;=240), (-1)*('(橫掃)RX Mapping'!AH44-240),IF(AND('(橫掃)RX Mapping'!AH44&gt;=241,'(橫掃)RX Mapping'!AH44&lt;=360), ('(橫掃)RX Mapping'!AH44-241),IF(AND('(橫掃)RX Mapping'!AH44&gt;=361,'(橫掃)RX Mapping'!AH44&lt;=480), (-1)*('(橫掃)RX Mapping'!AH44-480),IF(AND('(橫掃)RX Mapping'!AH44&gt;=481,'(橫掃)RX Mapping'!AH44&lt;=600), ('(橫掃)RX Mapping'!AH44-361),IF(AND('(橫掃)RX Mapping'!AH44&gt;=601,'(橫掃)RX Mapping'!AH44&lt;=720), (-1)*('(橫掃)RX Mapping'!AH44-720)+120,IF(AND('(橫掃)RX Mapping'!AH44&gt;=721,'(橫掃)RX Mapping'!AH44&lt;=840), ('(橫掃)RX Mapping'!AH44-601),IF(AND('(橫掃)RX Mapping'!AH44&gt;=841,'(橫掃)RX Mapping'!AH44&lt;=960), (-1)*('(橫掃)RX Mapping'!AH44-960)+120,9999))))))))</f>
        <v>9999</v>
      </c>
      <c r="AI44">
        <f>IF(AND('(橫掃)RX Mapping'!AI44&gt;=1,'(橫掃)RX Mapping'!AI44&lt;=120), ('(橫掃)RX Mapping'!AI44-1),IF(AND('(橫掃)RX Mapping'!AI44&gt;=121,'(橫掃)RX Mapping'!AI44&lt;=240), (-1)*('(橫掃)RX Mapping'!AI44-240),IF(AND('(橫掃)RX Mapping'!AI44&gt;=241,'(橫掃)RX Mapping'!AI44&lt;=360), ('(橫掃)RX Mapping'!AI44-241),IF(AND('(橫掃)RX Mapping'!AI44&gt;=361,'(橫掃)RX Mapping'!AI44&lt;=480), (-1)*('(橫掃)RX Mapping'!AI44-480),IF(AND('(橫掃)RX Mapping'!AI44&gt;=481,'(橫掃)RX Mapping'!AI44&lt;=600), ('(橫掃)RX Mapping'!AI44-361),IF(AND('(橫掃)RX Mapping'!AI44&gt;=601,'(橫掃)RX Mapping'!AI44&lt;=720), (-1)*('(橫掃)RX Mapping'!AI44-720)+120,IF(AND('(橫掃)RX Mapping'!AI44&gt;=721,'(橫掃)RX Mapping'!AI44&lt;=840), ('(橫掃)RX Mapping'!AI44-601),IF(AND('(橫掃)RX Mapping'!AI44&gt;=841,'(橫掃)RX Mapping'!AI44&lt;=960), (-1)*('(橫掃)RX Mapping'!AI44-960)+120,9999))))))))</f>
        <v>9999</v>
      </c>
      <c r="AJ44">
        <f>IF(AND('(橫掃)RX Mapping'!AJ44&gt;=1,'(橫掃)RX Mapping'!AJ44&lt;=120), ('(橫掃)RX Mapping'!AJ44-1),IF(AND('(橫掃)RX Mapping'!AJ44&gt;=121,'(橫掃)RX Mapping'!AJ44&lt;=240), (-1)*('(橫掃)RX Mapping'!AJ44-240),IF(AND('(橫掃)RX Mapping'!AJ44&gt;=241,'(橫掃)RX Mapping'!AJ44&lt;=360), ('(橫掃)RX Mapping'!AJ44-241),IF(AND('(橫掃)RX Mapping'!AJ44&gt;=361,'(橫掃)RX Mapping'!AJ44&lt;=480), (-1)*('(橫掃)RX Mapping'!AJ44-480),IF(AND('(橫掃)RX Mapping'!AJ44&gt;=481,'(橫掃)RX Mapping'!AJ44&lt;=600), ('(橫掃)RX Mapping'!AJ44-361),IF(AND('(橫掃)RX Mapping'!AJ44&gt;=601,'(橫掃)RX Mapping'!AJ44&lt;=720), (-1)*('(橫掃)RX Mapping'!AJ44-720)+120,IF(AND('(橫掃)RX Mapping'!AJ44&gt;=721,'(橫掃)RX Mapping'!AJ44&lt;=840), ('(橫掃)RX Mapping'!AJ44-601),IF(AND('(橫掃)RX Mapping'!AJ44&gt;=841,'(橫掃)RX Mapping'!AJ44&lt;=960), (-1)*('(橫掃)RX Mapping'!AJ44-960)+120,9999))))))))</f>
        <v>9999</v>
      </c>
      <c r="AK44">
        <f>IF(AND('(橫掃)RX Mapping'!AK44&gt;=1,'(橫掃)RX Mapping'!AK44&lt;=120), ('(橫掃)RX Mapping'!AK44-1),IF(AND('(橫掃)RX Mapping'!AK44&gt;=121,'(橫掃)RX Mapping'!AK44&lt;=240), (-1)*('(橫掃)RX Mapping'!AK44-240),IF(AND('(橫掃)RX Mapping'!AK44&gt;=241,'(橫掃)RX Mapping'!AK44&lt;=360), ('(橫掃)RX Mapping'!AK44-241),IF(AND('(橫掃)RX Mapping'!AK44&gt;=361,'(橫掃)RX Mapping'!AK44&lt;=480), (-1)*('(橫掃)RX Mapping'!AK44-480),IF(AND('(橫掃)RX Mapping'!AK44&gt;=481,'(橫掃)RX Mapping'!AK44&lt;=600), ('(橫掃)RX Mapping'!AK44-361),IF(AND('(橫掃)RX Mapping'!AK44&gt;=601,'(橫掃)RX Mapping'!AK44&lt;=720), (-1)*('(橫掃)RX Mapping'!AK44-720)+120,IF(AND('(橫掃)RX Mapping'!AK44&gt;=721,'(橫掃)RX Mapping'!AK44&lt;=840), ('(橫掃)RX Mapping'!AK44-601),IF(AND('(橫掃)RX Mapping'!AK44&gt;=841,'(橫掃)RX Mapping'!AK44&lt;=960), (-1)*('(橫掃)RX Mapping'!AK44-960)+120,9999))))))))</f>
        <v>9999</v>
      </c>
      <c r="AL44">
        <f>IF(AND('(橫掃)RX Mapping'!AL44&gt;=1,'(橫掃)RX Mapping'!AL44&lt;=120), ('(橫掃)RX Mapping'!AL44-1),IF(AND('(橫掃)RX Mapping'!AL44&gt;=121,'(橫掃)RX Mapping'!AL44&lt;=240), (-1)*('(橫掃)RX Mapping'!AL44-240),IF(AND('(橫掃)RX Mapping'!AL44&gt;=241,'(橫掃)RX Mapping'!AL44&lt;=360), ('(橫掃)RX Mapping'!AL44-241),IF(AND('(橫掃)RX Mapping'!AL44&gt;=361,'(橫掃)RX Mapping'!AL44&lt;=480), (-1)*('(橫掃)RX Mapping'!AL44-480),IF(AND('(橫掃)RX Mapping'!AL44&gt;=481,'(橫掃)RX Mapping'!AL44&lt;=600), ('(橫掃)RX Mapping'!AL44-361),IF(AND('(橫掃)RX Mapping'!AL44&gt;=601,'(橫掃)RX Mapping'!AL44&lt;=720), (-1)*('(橫掃)RX Mapping'!AL44-720)+120,IF(AND('(橫掃)RX Mapping'!AL44&gt;=721,'(橫掃)RX Mapping'!AL44&lt;=840), ('(橫掃)RX Mapping'!AL44-601),IF(AND('(橫掃)RX Mapping'!AL44&gt;=841,'(橫掃)RX Mapping'!AL44&lt;=960), (-1)*('(橫掃)RX Mapping'!AL44-960)+120,9999))))))))</f>
        <v>9999</v>
      </c>
      <c r="AM44">
        <f>IF(AND('(橫掃)RX Mapping'!AM44&gt;=1,'(橫掃)RX Mapping'!AM44&lt;=120), ('(橫掃)RX Mapping'!AM44-1),IF(AND('(橫掃)RX Mapping'!AM44&gt;=121,'(橫掃)RX Mapping'!AM44&lt;=240), (-1)*('(橫掃)RX Mapping'!AM44-240),IF(AND('(橫掃)RX Mapping'!AM44&gt;=241,'(橫掃)RX Mapping'!AM44&lt;=360), ('(橫掃)RX Mapping'!AM44-241),IF(AND('(橫掃)RX Mapping'!AM44&gt;=361,'(橫掃)RX Mapping'!AM44&lt;=480), (-1)*('(橫掃)RX Mapping'!AM44-480),IF(AND('(橫掃)RX Mapping'!AM44&gt;=481,'(橫掃)RX Mapping'!AM44&lt;=600), ('(橫掃)RX Mapping'!AM44-361),IF(AND('(橫掃)RX Mapping'!AM44&gt;=601,'(橫掃)RX Mapping'!AM44&lt;=720), (-1)*('(橫掃)RX Mapping'!AM44-720)+120,IF(AND('(橫掃)RX Mapping'!AM44&gt;=721,'(橫掃)RX Mapping'!AM44&lt;=840), ('(橫掃)RX Mapping'!AM44-601),IF(AND('(橫掃)RX Mapping'!AM44&gt;=841,'(橫掃)RX Mapping'!AM44&lt;=960), (-1)*('(橫掃)RX Mapping'!AM44-960)+120,9999))))))))</f>
        <v>9999</v>
      </c>
      <c r="AN44">
        <f>IF(AND('(橫掃)RX Mapping'!AN44&gt;=1,'(橫掃)RX Mapping'!AN44&lt;=120), ('(橫掃)RX Mapping'!AN44-1),IF(AND('(橫掃)RX Mapping'!AN44&gt;=121,'(橫掃)RX Mapping'!AN44&lt;=240), (-1)*('(橫掃)RX Mapping'!AN44-240),IF(AND('(橫掃)RX Mapping'!AN44&gt;=241,'(橫掃)RX Mapping'!AN44&lt;=360), ('(橫掃)RX Mapping'!AN44-241),IF(AND('(橫掃)RX Mapping'!AN44&gt;=361,'(橫掃)RX Mapping'!AN44&lt;=480), (-1)*('(橫掃)RX Mapping'!AN44-480),IF(AND('(橫掃)RX Mapping'!AN44&gt;=481,'(橫掃)RX Mapping'!AN44&lt;=600), ('(橫掃)RX Mapping'!AN44-361),IF(AND('(橫掃)RX Mapping'!AN44&gt;=601,'(橫掃)RX Mapping'!AN44&lt;=720), (-1)*('(橫掃)RX Mapping'!AN44-720)+120,IF(AND('(橫掃)RX Mapping'!AN44&gt;=721,'(橫掃)RX Mapping'!AN44&lt;=840), ('(橫掃)RX Mapping'!AN44-601),IF(AND('(橫掃)RX Mapping'!AN44&gt;=841,'(橫掃)RX Mapping'!AN44&lt;=960), (-1)*('(橫掃)RX Mapping'!AN44-960)+120,9999))))))))</f>
        <v>9999</v>
      </c>
      <c r="AO44">
        <f>IF(AND('(橫掃)RX Mapping'!AO44&gt;=1,'(橫掃)RX Mapping'!AO44&lt;=120), ('(橫掃)RX Mapping'!AO44-1),IF(AND('(橫掃)RX Mapping'!AO44&gt;=121,'(橫掃)RX Mapping'!AO44&lt;=240), (-1)*('(橫掃)RX Mapping'!AO44-240),IF(AND('(橫掃)RX Mapping'!AO44&gt;=241,'(橫掃)RX Mapping'!AO44&lt;=360), ('(橫掃)RX Mapping'!AO44-241),IF(AND('(橫掃)RX Mapping'!AO44&gt;=361,'(橫掃)RX Mapping'!AO44&lt;=480), (-1)*('(橫掃)RX Mapping'!AO44-480),IF(AND('(橫掃)RX Mapping'!AO44&gt;=481,'(橫掃)RX Mapping'!AO44&lt;=600), ('(橫掃)RX Mapping'!AO44-361),IF(AND('(橫掃)RX Mapping'!AO44&gt;=601,'(橫掃)RX Mapping'!AO44&lt;=720), (-1)*('(橫掃)RX Mapping'!AO44-720)+120,IF(AND('(橫掃)RX Mapping'!AO44&gt;=721,'(橫掃)RX Mapping'!AO44&lt;=840), ('(橫掃)RX Mapping'!AO44-601),IF(AND('(橫掃)RX Mapping'!AO44&gt;=841,'(橫掃)RX Mapping'!AO44&lt;=960), (-1)*('(橫掃)RX Mapping'!AO44-960)+120,9999))))))))</f>
        <v>9999</v>
      </c>
      <c r="AP44">
        <f>IF(AND('(橫掃)RX Mapping'!AP44&gt;=1,'(橫掃)RX Mapping'!AP44&lt;=120), ('(橫掃)RX Mapping'!AP44-1),IF(AND('(橫掃)RX Mapping'!AP44&gt;=121,'(橫掃)RX Mapping'!AP44&lt;=240), (-1)*('(橫掃)RX Mapping'!AP44-240),IF(AND('(橫掃)RX Mapping'!AP44&gt;=241,'(橫掃)RX Mapping'!AP44&lt;=360), ('(橫掃)RX Mapping'!AP44-241),IF(AND('(橫掃)RX Mapping'!AP44&gt;=361,'(橫掃)RX Mapping'!AP44&lt;=480), (-1)*('(橫掃)RX Mapping'!AP44-480),IF(AND('(橫掃)RX Mapping'!AP44&gt;=481,'(橫掃)RX Mapping'!AP44&lt;=600), ('(橫掃)RX Mapping'!AP44-361),IF(AND('(橫掃)RX Mapping'!AP44&gt;=601,'(橫掃)RX Mapping'!AP44&lt;=720), (-1)*('(橫掃)RX Mapping'!AP44-720)+120,IF(AND('(橫掃)RX Mapping'!AP44&gt;=721,'(橫掃)RX Mapping'!AP44&lt;=840), ('(橫掃)RX Mapping'!AP44-601),IF(AND('(橫掃)RX Mapping'!AP44&gt;=841,'(橫掃)RX Mapping'!AP44&lt;=960), (-1)*('(橫掃)RX Mapping'!AP44-960)+120,9999))))))))</f>
        <v>9999</v>
      </c>
      <c r="AQ44">
        <f>IF(AND('(橫掃)RX Mapping'!AQ44&gt;=1,'(橫掃)RX Mapping'!AQ44&lt;=120), ('(橫掃)RX Mapping'!AQ44-1),IF(AND('(橫掃)RX Mapping'!AQ44&gt;=121,'(橫掃)RX Mapping'!AQ44&lt;=240), (-1)*('(橫掃)RX Mapping'!AQ44-240),IF(AND('(橫掃)RX Mapping'!AQ44&gt;=241,'(橫掃)RX Mapping'!AQ44&lt;=360), ('(橫掃)RX Mapping'!AQ44-241),IF(AND('(橫掃)RX Mapping'!AQ44&gt;=361,'(橫掃)RX Mapping'!AQ44&lt;=480), (-1)*('(橫掃)RX Mapping'!AQ44-480),IF(AND('(橫掃)RX Mapping'!AQ44&gt;=481,'(橫掃)RX Mapping'!AQ44&lt;=600), ('(橫掃)RX Mapping'!AQ44-361),IF(AND('(橫掃)RX Mapping'!AQ44&gt;=601,'(橫掃)RX Mapping'!AQ44&lt;=720), (-1)*('(橫掃)RX Mapping'!AQ44-720)+120,IF(AND('(橫掃)RX Mapping'!AQ44&gt;=721,'(橫掃)RX Mapping'!AQ44&lt;=840), ('(橫掃)RX Mapping'!AQ44-601),IF(AND('(橫掃)RX Mapping'!AQ44&gt;=841,'(橫掃)RX Mapping'!AQ44&lt;=960), (-1)*('(橫掃)RX Mapping'!AQ44-960)+120,9999))))))))</f>
        <v>9999</v>
      </c>
      <c r="AR44">
        <f>IF(AND('(橫掃)RX Mapping'!AR44&gt;=1,'(橫掃)RX Mapping'!AR44&lt;=120), ('(橫掃)RX Mapping'!AR44-1),IF(AND('(橫掃)RX Mapping'!AR44&gt;=121,'(橫掃)RX Mapping'!AR44&lt;=240), (-1)*('(橫掃)RX Mapping'!AR44-240),IF(AND('(橫掃)RX Mapping'!AR44&gt;=241,'(橫掃)RX Mapping'!AR44&lt;=360), ('(橫掃)RX Mapping'!AR44-241),IF(AND('(橫掃)RX Mapping'!AR44&gt;=361,'(橫掃)RX Mapping'!AR44&lt;=480), (-1)*('(橫掃)RX Mapping'!AR44-480),IF(AND('(橫掃)RX Mapping'!AR44&gt;=481,'(橫掃)RX Mapping'!AR44&lt;=600), ('(橫掃)RX Mapping'!AR44-361),IF(AND('(橫掃)RX Mapping'!AR44&gt;=601,'(橫掃)RX Mapping'!AR44&lt;=720), (-1)*('(橫掃)RX Mapping'!AR44-720)+120,IF(AND('(橫掃)RX Mapping'!AR44&gt;=721,'(橫掃)RX Mapping'!AR44&lt;=840), ('(橫掃)RX Mapping'!AR44-601),IF(AND('(橫掃)RX Mapping'!AR44&gt;=841,'(橫掃)RX Mapping'!AR44&lt;=960), (-1)*('(橫掃)RX Mapping'!AR44-960)+120,9999))))))))</f>
        <v>9999</v>
      </c>
      <c r="AS44">
        <f>IF(AND('(橫掃)RX Mapping'!AS44&gt;=1,'(橫掃)RX Mapping'!AS44&lt;=120), ('(橫掃)RX Mapping'!AS44-1),IF(AND('(橫掃)RX Mapping'!AS44&gt;=121,'(橫掃)RX Mapping'!AS44&lt;=240), (-1)*('(橫掃)RX Mapping'!AS44-240),IF(AND('(橫掃)RX Mapping'!AS44&gt;=241,'(橫掃)RX Mapping'!AS44&lt;=360), ('(橫掃)RX Mapping'!AS44-241),IF(AND('(橫掃)RX Mapping'!AS44&gt;=361,'(橫掃)RX Mapping'!AS44&lt;=480), (-1)*('(橫掃)RX Mapping'!AS44-480),IF(AND('(橫掃)RX Mapping'!AS44&gt;=481,'(橫掃)RX Mapping'!AS44&lt;=600), ('(橫掃)RX Mapping'!AS44-361),IF(AND('(橫掃)RX Mapping'!AS44&gt;=601,'(橫掃)RX Mapping'!AS44&lt;=720), (-1)*('(橫掃)RX Mapping'!AS44-720)+120,IF(AND('(橫掃)RX Mapping'!AS44&gt;=721,'(橫掃)RX Mapping'!AS44&lt;=840), ('(橫掃)RX Mapping'!AS44-601),IF(AND('(橫掃)RX Mapping'!AS44&gt;=841,'(橫掃)RX Mapping'!AS44&lt;=960), (-1)*('(橫掃)RX Mapping'!AS44-960)+120,9999))))))))</f>
        <v>9999</v>
      </c>
      <c r="AT44">
        <f>IF(AND('(橫掃)RX Mapping'!AT44&gt;=1,'(橫掃)RX Mapping'!AT44&lt;=120), ('(橫掃)RX Mapping'!AT44-1),IF(AND('(橫掃)RX Mapping'!AT44&gt;=121,'(橫掃)RX Mapping'!AT44&lt;=240), (-1)*('(橫掃)RX Mapping'!AT44-240),IF(AND('(橫掃)RX Mapping'!AT44&gt;=241,'(橫掃)RX Mapping'!AT44&lt;=360), ('(橫掃)RX Mapping'!AT44-241),IF(AND('(橫掃)RX Mapping'!AT44&gt;=361,'(橫掃)RX Mapping'!AT44&lt;=480), (-1)*('(橫掃)RX Mapping'!AT44-480),IF(AND('(橫掃)RX Mapping'!AT44&gt;=481,'(橫掃)RX Mapping'!AT44&lt;=600), ('(橫掃)RX Mapping'!AT44-361),IF(AND('(橫掃)RX Mapping'!AT44&gt;=601,'(橫掃)RX Mapping'!AT44&lt;=720), (-1)*('(橫掃)RX Mapping'!AT44-720)+120,IF(AND('(橫掃)RX Mapping'!AT44&gt;=721,'(橫掃)RX Mapping'!AT44&lt;=840), ('(橫掃)RX Mapping'!AT44-601),IF(AND('(橫掃)RX Mapping'!AT44&gt;=841,'(橫掃)RX Mapping'!AT44&lt;=960), (-1)*('(橫掃)RX Mapping'!AT44-960)+120,9999))))))))</f>
        <v>9999</v>
      </c>
      <c r="AU44">
        <f>IF(AND('(橫掃)RX Mapping'!AU44&gt;=1,'(橫掃)RX Mapping'!AU44&lt;=120), ('(橫掃)RX Mapping'!AU44-1),IF(AND('(橫掃)RX Mapping'!AU44&gt;=121,'(橫掃)RX Mapping'!AU44&lt;=240), (-1)*('(橫掃)RX Mapping'!AU44-240),IF(AND('(橫掃)RX Mapping'!AU44&gt;=241,'(橫掃)RX Mapping'!AU44&lt;=360), ('(橫掃)RX Mapping'!AU44-241),IF(AND('(橫掃)RX Mapping'!AU44&gt;=361,'(橫掃)RX Mapping'!AU44&lt;=480), (-1)*('(橫掃)RX Mapping'!AU44-480),IF(AND('(橫掃)RX Mapping'!AU44&gt;=481,'(橫掃)RX Mapping'!AU44&lt;=600), ('(橫掃)RX Mapping'!AU44-361),IF(AND('(橫掃)RX Mapping'!AU44&gt;=601,'(橫掃)RX Mapping'!AU44&lt;=720), (-1)*('(橫掃)RX Mapping'!AU44-720)+120,IF(AND('(橫掃)RX Mapping'!AU44&gt;=721,'(橫掃)RX Mapping'!AU44&lt;=840), ('(橫掃)RX Mapping'!AU44-601),IF(AND('(橫掃)RX Mapping'!AU44&gt;=841,'(橫掃)RX Mapping'!AU44&lt;=960), (-1)*('(橫掃)RX Mapping'!AU44-960)+120,9999))))))))</f>
        <v>9999</v>
      </c>
      <c r="AV44">
        <f>IF(AND('(橫掃)RX Mapping'!AV44&gt;=1,'(橫掃)RX Mapping'!AV44&lt;=120), ('(橫掃)RX Mapping'!AV44-1),IF(AND('(橫掃)RX Mapping'!AV44&gt;=121,'(橫掃)RX Mapping'!AV44&lt;=240), (-1)*('(橫掃)RX Mapping'!AV44-240),IF(AND('(橫掃)RX Mapping'!AV44&gt;=241,'(橫掃)RX Mapping'!AV44&lt;=360), ('(橫掃)RX Mapping'!AV44-241),IF(AND('(橫掃)RX Mapping'!AV44&gt;=361,'(橫掃)RX Mapping'!AV44&lt;=480), (-1)*('(橫掃)RX Mapping'!AV44-480),IF(AND('(橫掃)RX Mapping'!AV44&gt;=481,'(橫掃)RX Mapping'!AV44&lt;=600), ('(橫掃)RX Mapping'!AV44-361),IF(AND('(橫掃)RX Mapping'!AV44&gt;=601,'(橫掃)RX Mapping'!AV44&lt;=720), (-1)*('(橫掃)RX Mapping'!AV44-720)+120,IF(AND('(橫掃)RX Mapping'!AV44&gt;=721,'(橫掃)RX Mapping'!AV44&lt;=840), ('(橫掃)RX Mapping'!AV44-601),IF(AND('(橫掃)RX Mapping'!AV44&gt;=841,'(橫掃)RX Mapping'!AV44&lt;=960), (-1)*('(橫掃)RX Mapping'!AV44-960)+120,9999))))))))</f>
        <v>9999</v>
      </c>
      <c r="AW44">
        <f>IF(AND('(橫掃)RX Mapping'!AW44&gt;=1,'(橫掃)RX Mapping'!AW44&lt;=120), ('(橫掃)RX Mapping'!AW44-1),IF(AND('(橫掃)RX Mapping'!AW44&gt;=121,'(橫掃)RX Mapping'!AW44&lt;=240), (-1)*('(橫掃)RX Mapping'!AW44-240),IF(AND('(橫掃)RX Mapping'!AW44&gt;=241,'(橫掃)RX Mapping'!AW44&lt;=360), ('(橫掃)RX Mapping'!AW44-241),IF(AND('(橫掃)RX Mapping'!AW44&gt;=361,'(橫掃)RX Mapping'!AW44&lt;=480), (-1)*('(橫掃)RX Mapping'!AW44-480),IF(AND('(橫掃)RX Mapping'!AW44&gt;=481,'(橫掃)RX Mapping'!AW44&lt;=600), ('(橫掃)RX Mapping'!AW44-361),IF(AND('(橫掃)RX Mapping'!AW44&gt;=601,'(橫掃)RX Mapping'!AW44&lt;=720), (-1)*('(橫掃)RX Mapping'!AW44-720)+120,IF(AND('(橫掃)RX Mapping'!AW44&gt;=721,'(橫掃)RX Mapping'!AW44&lt;=840), ('(橫掃)RX Mapping'!AW44-601),IF(AND('(橫掃)RX Mapping'!AW44&gt;=841,'(橫掃)RX Mapping'!AW44&lt;=960), (-1)*('(橫掃)RX Mapping'!AW44-960)+120,9999))))))))</f>
        <v>9999</v>
      </c>
      <c r="AX44">
        <f>IF(AND('(橫掃)RX Mapping'!AX44&gt;=1,'(橫掃)RX Mapping'!AX44&lt;=120), ('(橫掃)RX Mapping'!AX44-1),IF(AND('(橫掃)RX Mapping'!AX44&gt;=121,'(橫掃)RX Mapping'!AX44&lt;=240), (-1)*('(橫掃)RX Mapping'!AX44-240),IF(AND('(橫掃)RX Mapping'!AX44&gt;=241,'(橫掃)RX Mapping'!AX44&lt;=360), ('(橫掃)RX Mapping'!AX44-241),IF(AND('(橫掃)RX Mapping'!AX44&gt;=361,'(橫掃)RX Mapping'!AX44&lt;=480), (-1)*('(橫掃)RX Mapping'!AX44-480),IF(AND('(橫掃)RX Mapping'!AX44&gt;=481,'(橫掃)RX Mapping'!AX44&lt;=600), ('(橫掃)RX Mapping'!AX44-361),IF(AND('(橫掃)RX Mapping'!AX44&gt;=601,'(橫掃)RX Mapping'!AX44&lt;=720), (-1)*('(橫掃)RX Mapping'!AX44-720)+120,IF(AND('(橫掃)RX Mapping'!AX44&gt;=721,'(橫掃)RX Mapping'!AX44&lt;=840), ('(橫掃)RX Mapping'!AX44-601),IF(AND('(橫掃)RX Mapping'!AX44&gt;=841,'(橫掃)RX Mapping'!AX44&lt;=960), (-1)*('(橫掃)RX Mapping'!AX44-960)+120,9999))))))))</f>
        <v>9999</v>
      </c>
      <c r="AY44">
        <f>IF(AND('(橫掃)RX Mapping'!AY44&gt;=1,'(橫掃)RX Mapping'!AY44&lt;=120), ('(橫掃)RX Mapping'!AY44-1),IF(AND('(橫掃)RX Mapping'!AY44&gt;=121,'(橫掃)RX Mapping'!AY44&lt;=240), (-1)*('(橫掃)RX Mapping'!AY44-240),IF(AND('(橫掃)RX Mapping'!AY44&gt;=241,'(橫掃)RX Mapping'!AY44&lt;=360), ('(橫掃)RX Mapping'!AY44-241),IF(AND('(橫掃)RX Mapping'!AY44&gt;=361,'(橫掃)RX Mapping'!AY44&lt;=480), (-1)*('(橫掃)RX Mapping'!AY44-480),IF(AND('(橫掃)RX Mapping'!AY44&gt;=481,'(橫掃)RX Mapping'!AY44&lt;=600), ('(橫掃)RX Mapping'!AY44-361),IF(AND('(橫掃)RX Mapping'!AY44&gt;=601,'(橫掃)RX Mapping'!AY44&lt;=720), (-1)*('(橫掃)RX Mapping'!AY44-720)+120,IF(AND('(橫掃)RX Mapping'!AY44&gt;=721,'(橫掃)RX Mapping'!AY44&lt;=840), ('(橫掃)RX Mapping'!AY44-601),IF(AND('(橫掃)RX Mapping'!AY44&gt;=841,'(橫掃)RX Mapping'!AY44&lt;=960), (-1)*('(橫掃)RX Mapping'!AY44-960)+120,9999))))))))</f>
        <v>9999</v>
      </c>
      <c r="AZ44">
        <f>IF(AND('(橫掃)RX Mapping'!AZ44&gt;=1,'(橫掃)RX Mapping'!AZ44&lt;=120), ('(橫掃)RX Mapping'!AZ44-1),IF(AND('(橫掃)RX Mapping'!AZ44&gt;=121,'(橫掃)RX Mapping'!AZ44&lt;=240), (-1)*('(橫掃)RX Mapping'!AZ44-240),IF(AND('(橫掃)RX Mapping'!AZ44&gt;=241,'(橫掃)RX Mapping'!AZ44&lt;=360), ('(橫掃)RX Mapping'!AZ44-241),IF(AND('(橫掃)RX Mapping'!AZ44&gt;=361,'(橫掃)RX Mapping'!AZ44&lt;=480), (-1)*('(橫掃)RX Mapping'!AZ44-480),IF(AND('(橫掃)RX Mapping'!AZ44&gt;=481,'(橫掃)RX Mapping'!AZ44&lt;=600), ('(橫掃)RX Mapping'!AZ44-361),IF(AND('(橫掃)RX Mapping'!AZ44&gt;=601,'(橫掃)RX Mapping'!AZ44&lt;=720), (-1)*('(橫掃)RX Mapping'!AZ44-720)+120,IF(AND('(橫掃)RX Mapping'!AZ44&gt;=721,'(橫掃)RX Mapping'!AZ44&lt;=840), ('(橫掃)RX Mapping'!AZ44-601),IF(AND('(橫掃)RX Mapping'!AZ44&gt;=841,'(橫掃)RX Mapping'!AZ44&lt;=960), (-1)*('(橫掃)RX Mapping'!AZ44-960)+120,9999))))))))</f>
        <v>9999</v>
      </c>
      <c r="BA44">
        <f>IF(AND('(橫掃)RX Mapping'!BA44&gt;=1,'(橫掃)RX Mapping'!BA44&lt;=120), ('(橫掃)RX Mapping'!BA44-1),IF(AND('(橫掃)RX Mapping'!BA44&gt;=121,'(橫掃)RX Mapping'!BA44&lt;=240), (-1)*('(橫掃)RX Mapping'!BA44-240),IF(AND('(橫掃)RX Mapping'!BA44&gt;=241,'(橫掃)RX Mapping'!BA44&lt;=360), ('(橫掃)RX Mapping'!BA44-241),IF(AND('(橫掃)RX Mapping'!BA44&gt;=361,'(橫掃)RX Mapping'!BA44&lt;=480), (-1)*('(橫掃)RX Mapping'!BA44-480),IF(AND('(橫掃)RX Mapping'!BA44&gt;=481,'(橫掃)RX Mapping'!BA44&lt;=600), ('(橫掃)RX Mapping'!BA44-361),IF(AND('(橫掃)RX Mapping'!BA44&gt;=601,'(橫掃)RX Mapping'!BA44&lt;=720), (-1)*('(橫掃)RX Mapping'!BA44-720)+120,IF(AND('(橫掃)RX Mapping'!BA44&gt;=721,'(橫掃)RX Mapping'!BA44&lt;=840), ('(橫掃)RX Mapping'!BA44-601),IF(AND('(橫掃)RX Mapping'!BA44&gt;=841,'(橫掃)RX Mapping'!BA44&lt;=960), (-1)*('(橫掃)RX Mapping'!BA44-960)+120,9999))))))))</f>
        <v>9999</v>
      </c>
      <c r="BB44">
        <f>IF(AND('(橫掃)RX Mapping'!BB44&gt;=1,'(橫掃)RX Mapping'!BB44&lt;=120), ('(橫掃)RX Mapping'!BB44-1),IF(AND('(橫掃)RX Mapping'!BB44&gt;=121,'(橫掃)RX Mapping'!BB44&lt;=240), (-1)*('(橫掃)RX Mapping'!BB44-240),IF(AND('(橫掃)RX Mapping'!BB44&gt;=241,'(橫掃)RX Mapping'!BB44&lt;=360), ('(橫掃)RX Mapping'!BB44-241),IF(AND('(橫掃)RX Mapping'!BB44&gt;=361,'(橫掃)RX Mapping'!BB44&lt;=480), (-1)*('(橫掃)RX Mapping'!BB44-480),IF(AND('(橫掃)RX Mapping'!BB44&gt;=481,'(橫掃)RX Mapping'!BB44&lt;=600), ('(橫掃)RX Mapping'!BB44-361),IF(AND('(橫掃)RX Mapping'!BB44&gt;=601,'(橫掃)RX Mapping'!BB44&lt;=720), (-1)*('(橫掃)RX Mapping'!BB44-720)+120,IF(AND('(橫掃)RX Mapping'!BB44&gt;=721,'(橫掃)RX Mapping'!BB44&lt;=840), ('(橫掃)RX Mapping'!BB44-601),IF(AND('(橫掃)RX Mapping'!BB44&gt;=841,'(橫掃)RX Mapping'!BB44&lt;=960), (-1)*('(橫掃)RX Mapping'!BB44-960)+120,9999))))))))</f>
        <v>9999</v>
      </c>
      <c r="BC44">
        <f>IF(AND('(橫掃)RX Mapping'!BC44&gt;=1,'(橫掃)RX Mapping'!BC44&lt;=120), ('(橫掃)RX Mapping'!BC44-1),IF(AND('(橫掃)RX Mapping'!BC44&gt;=121,'(橫掃)RX Mapping'!BC44&lt;=240), (-1)*('(橫掃)RX Mapping'!BC44-240),IF(AND('(橫掃)RX Mapping'!BC44&gt;=241,'(橫掃)RX Mapping'!BC44&lt;=360), ('(橫掃)RX Mapping'!BC44-241),IF(AND('(橫掃)RX Mapping'!BC44&gt;=361,'(橫掃)RX Mapping'!BC44&lt;=480), (-1)*('(橫掃)RX Mapping'!BC44-480),IF(AND('(橫掃)RX Mapping'!BC44&gt;=481,'(橫掃)RX Mapping'!BC44&lt;=600), ('(橫掃)RX Mapping'!BC44-361),IF(AND('(橫掃)RX Mapping'!BC44&gt;=601,'(橫掃)RX Mapping'!BC44&lt;=720), (-1)*('(橫掃)RX Mapping'!BC44-720)+120,IF(AND('(橫掃)RX Mapping'!BC44&gt;=721,'(橫掃)RX Mapping'!BC44&lt;=840), ('(橫掃)RX Mapping'!BC44-601),IF(AND('(橫掃)RX Mapping'!BC44&gt;=841,'(橫掃)RX Mapping'!BC44&lt;=960), (-1)*('(橫掃)RX Mapping'!BC44-960)+120,9999))))))))</f>
        <v>9999</v>
      </c>
      <c r="BD44">
        <f>IF(AND('(橫掃)RX Mapping'!BD44&gt;=1,'(橫掃)RX Mapping'!BD44&lt;=120), ('(橫掃)RX Mapping'!BD44-1),IF(AND('(橫掃)RX Mapping'!BD44&gt;=121,'(橫掃)RX Mapping'!BD44&lt;=240), (-1)*('(橫掃)RX Mapping'!BD44-240),IF(AND('(橫掃)RX Mapping'!BD44&gt;=241,'(橫掃)RX Mapping'!BD44&lt;=360), ('(橫掃)RX Mapping'!BD44-241),IF(AND('(橫掃)RX Mapping'!BD44&gt;=361,'(橫掃)RX Mapping'!BD44&lt;=480), (-1)*('(橫掃)RX Mapping'!BD44-480),IF(AND('(橫掃)RX Mapping'!BD44&gt;=481,'(橫掃)RX Mapping'!BD44&lt;=600), ('(橫掃)RX Mapping'!BD44-361),IF(AND('(橫掃)RX Mapping'!BD44&gt;=601,'(橫掃)RX Mapping'!BD44&lt;=720), (-1)*('(橫掃)RX Mapping'!BD44-720)+120,IF(AND('(橫掃)RX Mapping'!BD44&gt;=721,'(橫掃)RX Mapping'!BD44&lt;=840), ('(橫掃)RX Mapping'!BD44-601),IF(AND('(橫掃)RX Mapping'!BD44&gt;=841,'(橫掃)RX Mapping'!BD44&lt;=960), (-1)*('(橫掃)RX Mapping'!BD44-960)+120,9999))))))))</f>
        <v>9999</v>
      </c>
      <c r="BE44">
        <f>IF(AND('(橫掃)RX Mapping'!BE44&gt;=1,'(橫掃)RX Mapping'!BE44&lt;=120), ('(橫掃)RX Mapping'!BE44-1),IF(AND('(橫掃)RX Mapping'!BE44&gt;=121,'(橫掃)RX Mapping'!BE44&lt;=240), (-1)*('(橫掃)RX Mapping'!BE44-240),IF(AND('(橫掃)RX Mapping'!BE44&gt;=241,'(橫掃)RX Mapping'!BE44&lt;=360), ('(橫掃)RX Mapping'!BE44-241),IF(AND('(橫掃)RX Mapping'!BE44&gt;=361,'(橫掃)RX Mapping'!BE44&lt;=480), (-1)*('(橫掃)RX Mapping'!BE44-480),IF(AND('(橫掃)RX Mapping'!BE44&gt;=481,'(橫掃)RX Mapping'!BE44&lt;=600), ('(橫掃)RX Mapping'!BE44-361),IF(AND('(橫掃)RX Mapping'!BE44&gt;=601,'(橫掃)RX Mapping'!BE44&lt;=720), (-1)*('(橫掃)RX Mapping'!BE44-720)+120,IF(AND('(橫掃)RX Mapping'!BE44&gt;=721,'(橫掃)RX Mapping'!BE44&lt;=840), ('(橫掃)RX Mapping'!BE44-601),IF(AND('(橫掃)RX Mapping'!BE44&gt;=841,'(橫掃)RX Mapping'!BE44&lt;=960), (-1)*('(橫掃)RX Mapping'!BE44-960)+120,9999))))))))</f>
        <v>9999</v>
      </c>
      <c r="BF44">
        <f>IF(AND('(橫掃)RX Mapping'!BF44&gt;=1,'(橫掃)RX Mapping'!BF44&lt;=120), ('(橫掃)RX Mapping'!BF44-1),IF(AND('(橫掃)RX Mapping'!BF44&gt;=121,'(橫掃)RX Mapping'!BF44&lt;=240), (-1)*('(橫掃)RX Mapping'!BF44-240),IF(AND('(橫掃)RX Mapping'!BF44&gt;=241,'(橫掃)RX Mapping'!BF44&lt;=360), ('(橫掃)RX Mapping'!BF44-241),IF(AND('(橫掃)RX Mapping'!BF44&gt;=361,'(橫掃)RX Mapping'!BF44&lt;=480), (-1)*('(橫掃)RX Mapping'!BF44-480),IF(AND('(橫掃)RX Mapping'!BF44&gt;=481,'(橫掃)RX Mapping'!BF44&lt;=600), ('(橫掃)RX Mapping'!BF44-361),IF(AND('(橫掃)RX Mapping'!BF44&gt;=601,'(橫掃)RX Mapping'!BF44&lt;=720), (-1)*('(橫掃)RX Mapping'!BF44-720)+120,IF(AND('(橫掃)RX Mapping'!BF44&gt;=721,'(橫掃)RX Mapping'!BF44&lt;=840), ('(橫掃)RX Mapping'!BF44-601),IF(AND('(橫掃)RX Mapping'!BF44&gt;=841,'(橫掃)RX Mapping'!BF44&lt;=960), (-1)*('(橫掃)RX Mapping'!BF44-960)+120,9999))))))))</f>
        <v>9999</v>
      </c>
      <c r="BG44">
        <f>IF(AND('(橫掃)RX Mapping'!BG44&gt;=1,'(橫掃)RX Mapping'!BG44&lt;=120), ('(橫掃)RX Mapping'!BG44-1),IF(AND('(橫掃)RX Mapping'!BG44&gt;=121,'(橫掃)RX Mapping'!BG44&lt;=240), (-1)*('(橫掃)RX Mapping'!BG44-240),IF(AND('(橫掃)RX Mapping'!BG44&gt;=241,'(橫掃)RX Mapping'!BG44&lt;=360), ('(橫掃)RX Mapping'!BG44-241),IF(AND('(橫掃)RX Mapping'!BG44&gt;=361,'(橫掃)RX Mapping'!BG44&lt;=480), (-1)*('(橫掃)RX Mapping'!BG44-480),IF(AND('(橫掃)RX Mapping'!BG44&gt;=481,'(橫掃)RX Mapping'!BG44&lt;=600), ('(橫掃)RX Mapping'!BG44-361),IF(AND('(橫掃)RX Mapping'!BG44&gt;=601,'(橫掃)RX Mapping'!BG44&lt;=720), (-1)*('(橫掃)RX Mapping'!BG44-720)+120,IF(AND('(橫掃)RX Mapping'!BG44&gt;=721,'(橫掃)RX Mapping'!BG44&lt;=840), ('(橫掃)RX Mapping'!BG44-601),IF(AND('(橫掃)RX Mapping'!BG44&gt;=841,'(橫掃)RX Mapping'!BG44&lt;=960), (-1)*('(橫掃)RX Mapping'!BG44-960)+120,9999))))))))</f>
        <v>9999</v>
      </c>
      <c r="BH44">
        <f>IF(AND('(橫掃)RX Mapping'!BH44&gt;=1,'(橫掃)RX Mapping'!BH44&lt;=120), ('(橫掃)RX Mapping'!BH44-1),IF(AND('(橫掃)RX Mapping'!BH44&gt;=121,'(橫掃)RX Mapping'!BH44&lt;=240), (-1)*('(橫掃)RX Mapping'!BH44-240),IF(AND('(橫掃)RX Mapping'!BH44&gt;=241,'(橫掃)RX Mapping'!BH44&lt;=360), ('(橫掃)RX Mapping'!BH44-241),IF(AND('(橫掃)RX Mapping'!BH44&gt;=361,'(橫掃)RX Mapping'!BH44&lt;=480), (-1)*('(橫掃)RX Mapping'!BH44-480),IF(AND('(橫掃)RX Mapping'!BH44&gt;=481,'(橫掃)RX Mapping'!BH44&lt;=600), ('(橫掃)RX Mapping'!BH44-361),IF(AND('(橫掃)RX Mapping'!BH44&gt;=601,'(橫掃)RX Mapping'!BH44&lt;=720), (-1)*('(橫掃)RX Mapping'!BH44-720)+120,IF(AND('(橫掃)RX Mapping'!BH44&gt;=721,'(橫掃)RX Mapping'!BH44&lt;=840), ('(橫掃)RX Mapping'!BH44-601),IF(AND('(橫掃)RX Mapping'!BH44&gt;=841,'(橫掃)RX Mapping'!BH44&lt;=960), (-1)*('(橫掃)RX Mapping'!BH44-960)+120,9999))))))))</f>
        <v>9999</v>
      </c>
      <c r="BI44">
        <f>IF(AND('(橫掃)RX Mapping'!BI44&gt;=1,'(橫掃)RX Mapping'!BI44&lt;=120), ('(橫掃)RX Mapping'!BI44-1),IF(AND('(橫掃)RX Mapping'!BI44&gt;=121,'(橫掃)RX Mapping'!BI44&lt;=240), (-1)*('(橫掃)RX Mapping'!BI44-240),IF(AND('(橫掃)RX Mapping'!BI44&gt;=241,'(橫掃)RX Mapping'!BI44&lt;=360), ('(橫掃)RX Mapping'!BI44-241),IF(AND('(橫掃)RX Mapping'!BI44&gt;=361,'(橫掃)RX Mapping'!BI44&lt;=480), (-1)*('(橫掃)RX Mapping'!BI44-480),IF(AND('(橫掃)RX Mapping'!BI44&gt;=481,'(橫掃)RX Mapping'!BI44&lt;=600), ('(橫掃)RX Mapping'!BI44-361),IF(AND('(橫掃)RX Mapping'!BI44&gt;=601,'(橫掃)RX Mapping'!BI44&lt;=720), (-1)*('(橫掃)RX Mapping'!BI44-720)+120,IF(AND('(橫掃)RX Mapping'!BI44&gt;=721,'(橫掃)RX Mapping'!BI44&lt;=840), ('(橫掃)RX Mapping'!BI44-601),IF(AND('(橫掃)RX Mapping'!BI44&gt;=841,'(橫掃)RX Mapping'!BI44&lt;=960), (-1)*('(橫掃)RX Mapping'!BI44-960)+120,9999))))))))</f>
        <v>9999</v>
      </c>
    </row>
    <row r="45" spans="1:61" x14ac:dyDescent="0.25">
      <c r="A45" s="20">
        <v>44</v>
      </c>
      <c r="B45">
        <f>IF(AND('(橫掃)RX Mapping'!B45&gt;=1,'(橫掃)RX Mapping'!B45&lt;=120), ('(橫掃)RX Mapping'!B45-1),IF(AND('(橫掃)RX Mapping'!B45&gt;=121,'(橫掃)RX Mapping'!B45&lt;=240), (-1)*('(橫掃)RX Mapping'!B45-240),IF(AND('(橫掃)RX Mapping'!B45&gt;=241,'(橫掃)RX Mapping'!B45&lt;=360), ('(橫掃)RX Mapping'!B45-241),IF(AND('(橫掃)RX Mapping'!B45&gt;=361,'(橫掃)RX Mapping'!B45&lt;=480), (-1)*('(橫掃)RX Mapping'!B45-480),IF(AND('(橫掃)RX Mapping'!B45&gt;=481,'(橫掃)RX Mapping'!B45&lt;=600), ('(橫掃)RX Mapping'!B45-361),IF(AND('(橫掃)RX Mapping'!B45&gt;=601,'(橫掃)RX Mapping'!B45&lt;=720), (-1)*('(橫掃)RX Mapping'!B45-720)+120,IF(AND('(橫掃)RX Mapping'!B45&gt;=721,'(橫掃)RX Mapping'!B45&lt;=840), ('(橫掃)RX Mapping'!B45-601),IF(AND('(橫掃)RX Mapping'!B45&gt;=841,'(橫掃)RX Mapping'!B45&lt;=960), (-1)*('(橫掃)RX Mapping'!B45-960)+120,9999))))))))</f>
        <v>9999</v>
      </c>
      <c r="C45">
        <f>IF(AND('(橫掃)RX Mapping'!C45&gt;=1,'(橫掃)RX Mapping'!C45&lt;=120), ('(橫掃)RX Mapping'!C45-1),IF(AND('(橫掃)RX Mapping'!C45&gt;=121,'(橫掃)RX Mapping'!C45&lt;=240), (-1)*('(橫掃)RX Mapping'!C45-240),IF(AND('(橫掃)RX Mapping'!C45&gt;=241,'(橫掃)RX Mapping'!C45&lt;=360), ('(橫掃)RX Mapping'!C45-241),IF(AND('(橫掃)RX Mapping'!C45&gt;=361,'(橫掃)RX Mapping'!C45&lt;=480), (-1)*('(橫掃)RX Mapping'!C45-480),IF(AND('(橫掃)RX Mapping'!C45&gt;=481,'(橫掃)RX Mapping'!C45&lt;=600), ('(橫掃)RX Mapping'!C45-361),IF(AND('(橫掃)RX Mapping'!C45&gt;=601,'(橫掃)RX Mapping'!C45&lt;=720), (-1)*('(橫掃)RX Mapping'!C45-720)+120,IF(AND('(橫掃)RX Mapping'!C45&gt;=721,'(橫掃)RX Mapping'!C45&lt;=840), ('(橫掃)RX Mapping'!C45-601),IF(AND('(橫掃)RX Mapping'!C45&gt;=841,'(橫掃)RX Mapping'!C45&lt;=960), (-1)*('(橫掃)RX Mapping'!C45-960)+120,9999))))))))</f>
        <v>9999</v>
      </c>
      <c r="D45">
        <f>IF(AND('(橫掃)RX Mapping'!D45&gt;=1,'(橫掃)RX Mapping'!D45&lt;=120), ('(橫掃)RX Mapping'!D45-1),IF(AND('(橫掃)RX Mapping'!D45&gt;=121,'(橫掃)RX Mapping'!D45&lt;=240), (-1)*('(橫掃)RX Mapping'!D45-240),IF(AND('(橫掃)RX Mapping'!D45&gt;=241,'(橫掃)RX Mapping'!D45&lt;=360), ('(橫掃)RX Mapping'!D45-241),IF(AND('(橫掃)RX Mapping'!D45&gt;=361,'(橫掃)RX Mapping'!D45&lt;=480), (-1)*('(橫掃)RX Mapping'!D45-480),IF(AND('(橫掃)RX Mapping'!D45&gt;=481,'(橫掃)RX Mapping'!D45&lt;=600), ('(橫掃)RX Mapping'!D45-361),IF(AND('(橫掃)RX Mapping'!D45&gt;=601,'(橫掃)RX Mapping'!D45&lt;=720), (-1)*('(橫掃)RX Mapping'!D45-720)+120,IF(AND('(橫掃)RX Mapping'!D45&gt;=721,'(橫掃)RX Mapping'!D45&lt;=840), ('(橫掃)RX Mapping'!D45-601),IF(AND('(橫掃)RX Mapping'!D45&gt;=841,'(橫掃)RX Mapping'!D45&lt;=960), (-1)*('(橫掃)RX Mapping'!D45-960)+120,9999))))))))</f>
        <v>9999</v>
      </c>
      <c r="E45">
        <f>IF(AND('(橫掃)RX Mapping'!E45&gt;=1,'(橫掃)RX Mapping'!E45&lt;=120), ('(橫掃)RX Mapping'!E45-1),IF(AND('(橫掃)RX Mapping'!E45&gt;=121,'(橫掃)RX Mapping'!E45&lt;=240), (-1)*('(橫掃)RX Mapping'!E45-240),IF(AND('(橫掃)RX Mapping'!E45&gt;=241,'(橫掃)RX Mapping'!E45&lt;=360), ('(橫掃)RX Mapping'!E45-241),IF(AND('(橫掃)RX Mapping'!E45&gt;=361,'(橫掃)RX Mapping'!E45&lt;=480), (-1)*('(橫掃)RX Mapping'!E45-480),IF(AND('(橫掃)RX Mapping'!E45&gt;=481,'(橫掃)RX Mapping'!E45&lt;=600), ('(橫掃)RX Mapping'!E45-361),IF(AND('(橫掃)RX Mapping'!E45&gt;=601,'(橫掃)RX Mapping'!E45&lt;=720), (-1)*('(橫掃)RX Mapping'!E45-720)+120,IF(AND('(橫掃)RX Mapping'!E45&gt;=721,'(橫掃)RX Mapping'!E45&lt;=840), ('(橫掃)RX Mapping'!E45-601),IF(AND('(橫掃)RX Mapping'!E45&gt;=841,'(橫掃)RX Mapping'!E45&lt;=960), (-1)*('(橫掃)RX Mapping'!E45-960)+120,9999))))))))</f>
        <v>9999</v>
      </c>
      <c r="F45">
        <f>IF(AND('(橫掃)RX Mapping'!F45&gt;=1,'(橫掃)RX Mapping'!F45&lt;=120), ('(橫掃)RX Mapping'!F45-1),IF(AND('(橫掃)RX Mapping'!F45&gt;=121,'(橫掃)RX Mapping'!F45&lt;=240), (-1)*('(橫掃)RX Mapping'!F45-240),IF(AND('(橫掃)RX Mapping'!F45&gt;=241,'(橫掃)RX Mapping'!F45&lt;=360), ('(橫掃)RX Mapping'!F45-241),IF(AND('(橫掃)RX Mapping'!F45&gt;=361,'(橫掃)RX Mapping'!F45&lt;=480), (-1)*('(橫掃)RX Mapping'!F45-480),IF(AND('(橫掃)RX Mapping'!F45&gt;=481,'(橫掃)RX Mapping'!F45&lt;=600), ('(橫掃)RX Mapping'!F45-361),IF(AND('(橫掃)RX Mapping'!F45&gt;=601,'(橫掃)RX Mapping'!F45&lt;=720), (-1)*('(橫掃)RX Mapping'!F45-720)+120,IF(AND('(橫掃)RX Mapping'!F45&gt;=721,'(橫掃)RX Mapping'!F45&lt;=840), ('(橫掃)RX Mapping'!F45-601),IF(AND('(橫掃)RX Mapping'!F45&gt;=841,'(橫掃)RX Mapping'!F45&lt;=960), (-1)*('(橫掃)RX Mapping'!F45-960)+120,9999))))))))</f>
        <v>9999</v>
      </c>
      <c r="G45">
        <f>IF(AND('(橫掃)RX Mapping'!G45&gt;=1,'(橫掃)RX Mapping'!G45&lt;=120), ('(橫掃)RX Mapping'!G45-1),IF(AND('(橫掃)RX Mapping'!G45&gt;=121,'(橫掃)RX Mapping'!G45&lt;=240), (-1)*('(橫掃)RX Mapping'!G45-240),IF(AND('(橫掃)RX Mapping'!G45&gt;=241,'(橫掃)RX Mapping'!G45&lt;=360), ('(橫掃)RX Mapping'!G45-241),IF(AND('(橫掃)RX Mapping'!G45&gt;=361,'(橫掃)RX Mapping'!G45&lt;=480), (-1)*('(橫掃)RX Mapping'!G45-480),IF(AND('(橫掃)RX Mapping'!G45&gt;=481,'(橫掃)RX Mapping'!G45&lt;=600), ('(橫掃)RX Mapping'!G45-361),IF(AND('(橫掃)RX Mapping'!G45&gt;=601,'(橫掃)RX Mapping'!G45&lt;=720), (-1)*('(橫掃)RX Mapping'!G45-720)+120,IF(AND('(橫掃)RX Mapping'!G45&gt;=721,'(橫掃)RX Mapping'!G45&lt;=840), ('(橫掃)RX Mapping'!G45-601),IF(AND('(橫掃)RX Mapping'!G45&gt;=841,'(橫掃)RX Mapping'!G45&lt;=960), (-1)*('(橫掃)RX Mapping'!G45-960)+120,9999))))))))</f>
        <v>9999</v>
      </c>
      <c r="H45">
        <f>IF(AND('(橫掃)RX Mapping'!H45&gt;=1,'(橫掃)RX Mapping'!H45&lt;=120), ('(橫掃)RX Mapping'!H45-1),IF(AND('(橫掃)RX Mapping'!H45&gt;=121,'(橫掃)RX Mapping'!H45&lt;=240), (-1)*('(橫掃)RX Mapping'!H45-240),IF(AND('(橫掃)RX Mapping'!H45&gt;=241,'(橫掃)RX Mapping'!H45&lt;=360), ('(橫掃)RX Mapping'!H45-241),IF(AND('(橫掃)RX Mapping'!H45&gt;=361,'(橫掃)RX Mapping'!H45&lt;=480), (-1)*('(橫掃)RX Mapping'!H45-480),IF(AND('(橫掃)RX Mapping'!H45&gt;=481,'(橫掃)RX Mapping'!H45&lt;=600), ('(橫掃)RX Mapping'!H45-361),IF(AND('(橫掃)RX Mapping'!H45&gt;=601,'(橫掃)RX Mapping'!H45&lt;=720), (-1)*('(橫掃)RX Mapping'!H45-720)+120,IF(AND('(橫掃)RX Mapping'!H45&gt;=721,'(橫掃)RX Mapping'!H45&lt;=840), ('(橫掃)RX Mapping'!H45-601),IF(AND('(橫掃)RX Mapping'!H45&gt;=841,'(橫掃)RX Mapping'!H45&lt;=960), (-1)*('(橫掃)RX Mapping'!H45-960)+120,9999))))))))</f>
        <v>9999</v>
      </c>
      <c r="I45">
        <f>IF(AND('(橫掃)RX Mapping'!I45&gt;=1,'(橫掃)RX Mapping'!I45&lt;=120), ('(橫掃)RX Mapping'!I45-1),IF(AND('(橫掃)RX Mapping'!I45&gt;=121,'(橫掃)RX Mapping'!I45&lt;=240), (-1)*('(橫掃)RX Mapping'!I45-240),IF(AND('(橫掃)RX Mapping'!I45&gt;=241,'(橫掃)RX Mapping'!I45&lt;=360), ('(橫掃)RX Mapping'!I45-241),IF(AND('(橫掃)RX Mapping'!I45&gt;=361,'(橫掃)RX Mapping'!I45&lt;=480), (-1)*('(橫掃)RX Mapping'!I45-480),IF(AND('(橫掃)RX Mapping'!I45&gt;=481,'(橫掃)RX Mapping'!I45&lt;=600), ('(橫掃)RX Mapping'!I45-361),IF(AND('(橫掃)RX Mapping'!I45&gt;=601,'(橫掃)RX Mapping'!I45&lt;=720), (-1)*('(橫掃)RX Mapping'!I45-720)+120,IF(AND('(橫掃)RX Mapping'!I45&gt;=721,'(橫掃)RX Mapping'!I45&lt;=840), ('(橫掃)RX Mapping'!I45-601),IF(AND('(橫掃)RX Mapping'!I45&gt;=841,'(橫掃)RX Mapping'!I45&lt;=960), (-1)*('(橫掃)RX Mapping'!I45-960)+120,9999))))))))</f>
        <v>9999</v>
      </c>
      <c r="J45">
        <f>IF(AND('(橫掃)RX Mapping'!J45&gt;=1,'(橫掃)RX Mapping'!J45&lt;=120), ('(橫掃)RX Mapping'!J45-1),IF(AND('(橫掃)RX Mapping'!J45&gt;=121,'(橫掃)RX Mapping'!J45&lt;=240), (-1)*('(橫掃)RX Mapping'!J45-240),IF(AND('(橫掃)RX Mapping'!J45&gt;=241,'(橫掃)RX Mapping'!J45&lt;=360), ('(橫掃)RX Mapping'!J45-241),IF(AND('(橫掃)RX Mapping'!J45&gt;=361,'(橫掃)RX Mapping'!J45&lt;=480), (-1)*('(橫掃)RX Mapping'!J45-480),IF(AND('(橫掃)RX Mapping'!J45&gt;=481,'(橫掃)RX Mapping'!J45&lt;=600), ('(橫掃)RX Mapping'!J45-361),IF(AND('(橫掃)RX Mapping'!J45&gt;=601,'(橫掃)RX Mapping'!J45&lt;=720), (-1)*('(橫掃)RX Mapping'!J45-720)+120,IF(AND('(橫掃)RX Mapping'!J45&gt;=721,'(橫掃)RX Mapping'!J45&lt;=840), ('(橫掃)RX Mapping'!J45-601),IF(AND('(橫掃)RX Mapping'!J45&gt;=841,'(橫掃)RX Mapping'!J45&lt;=960), (-1)*('(橫掃)RX Mapping'!J45-960)+120,9999))))))))</f>
        <v>9999</v>
      </c>
      <c r="K45">
        <f>IF(AND('(橫掃)RX Mapping'!K45&gt;=1,'(橫掃)RX Mapping'!K45&lt;=120), ('(橫掃)RX Mapping'!K45-1),IF(AND('(橫掃)RX Mapping'!K45&gt;=121,'(橫掃)RX Mapping'!K45&lt;=240), (-1)*('(橫掃)RX Mapping'!K45-240),IF(AND('(橫掃)RX Mapping'!K45&gt;=241,'(橫掃)RX Mapping'!K45&lt;=360), ('(橫掃)RX Mapping'!K45-241),IF(AND('(橫掃)RX Mapping'!K45&gt;=361,'(橫掃)RX Mapping'!K45&lt;=480), (-1)*('(橫掃)RX Mapping'!K45-480),IF(AND('(橫掃)RX Mapping'!K45&gt;=481,'(橫掃)RX Mapping'!K45&lt;=600), ('(橫掃)RX Mapping'!K45-361),IF(AND('(橫掃)RX Mapping'!K45&gt;=601,'(橫掃)RX Mapping'!K45&lt;=720), (-1)*('(橫掃)RX Mapping'!K45-720)+120,IF(AND('(橫掃)RX Mapping'!K45&gt;=721,'(橫掃)RX Mapping'!K45&lt;=840), ('(橫掃)RX Mapping'!K45-601),IF(AND('(橫掃)RX Mapping'!K45&gt;=841,'(橫掃)RX Mapping'!K45&lt;=960), (-1)*('(橫掃)RX Mapping'!K45-960)+120,9999))))))))</f>
        <v>9999</v>
      </c>
      <c r="L45">
        <f>IF(AND('(橫掃)RX Mapping'!L45&gt;=1,'(橫掃)RX Mapping'!L45&lt;=120), ('(橫掃)RX Mapping'!L45-1),IF(AND('(橫掃)RX Mapping'!L45&gt;=121,'(橫掃)RX Mapping'!L45&lt;=240), (-1)*('(橫掃)RX Mapping'!L45-240),IF(AND('(橫掃)RX Mapping'!L45&gt;=241,'(橫掃)RX Mapping'!L45&lt;=360), ('(橫掃)RX Mapping'!L45-241),IF(AND('(橫掃)RX Mapping'!L45&gt;=361,'(橫掃)RX Mapping'!L45&lt;=480), (-1)*('(橫掃)RX Mapping'!L45-480),IF(AND('(橫掃)RX Mapping'!L45&gt;=481,'(橫掃)RX Mapping'!L45&lt;=600), ('(橫掃)RX Mapping'!L45-361),IF(AND('(橫掃)RX Mapping'!L45&gt;=601,'(橫掃)RX Mapping'!L45&lt;=720), (-1)*('(橫掃)RX Mapping'!L45-720)+120,IF(AND('(橫掃)RX Mapping'!L45&gt;=721,'(橫掃)RX Mapping'!L45&lt;=840), ('(橫掃)RX Mapping'!L45-601),IF(AND('(橫掃)RX Mapping'!L45&gt;=841,'(橫掃)RX Mapping'!L45&lt;=960), (-1)*('(橫掃)RX Mapping'!L45-960)+120,9999))))))))</f>
        <v>9999</v>
      </c>
      <c r="M45">
        <f>IF(AND('(橫掃)RX Mapping'!M45&gt;=1,'(橫掃)RX Mapping'!M45&lt;=120), ('(橫掃)RX Mapping'!M45-1),IF(AND('(橫掃)RX Mapping'!M45&gt;=121,'(橫掃)RX Mapping'!M45&lt;=240), (-1)*('(橫掃)RX Mapping'!M45-240),IF(AND('(橫掃)RX Mapping'!M45&gt;=241,'(橫掃)RX Mapping'!M45&lt;=360), ('(橫掃)RX Mapping'!M45-241),IF(AND('(橫掃)RX Mapping'!M45&gt;=361,'(橫掃)RX Mapping'!M45&lt;=480), (-1)*('(橫掃)RX Mapping'!M45-480),IF(AND('(橫掃)RX Mapping'!M45&gt;=481,'(橫掃)RX Mapping'!M45&lt;=600), ('(橫掃)RX Mapping'!M45-361),IF(AND('(橫掃)RX Mapping'!M45&gt;=601,'(橫掃)RX Mapping'!M45&lt;=720), (-1)*('(橫掃)RX Mapping'!M45-720)+120,IF(AND('(橫掃)RX Mapping'!M45&gt;=721,'(橫掃)RX Mapping'!M45&lt;=840), ('(橫掃)RX Mapping'!M45-601),IF(AND('(橫掃)RX Mapping'!M45&gt;=841,'(橫掃)RX Mapping'!M45&lt;=960), (-1)*('(橫掃)RX Mapping'!M45-960)+120,9999))))))))</f>
        <v>9999</v>
      </c>
      <c r="N45">
        <f>IF(AND('(橫掃)RX Mapping'!N45&gt;=1,'(橫掃)RX Mapping'!N45&lt;=120), ('(橫掃)RX Mapping'!N45-1),IF(AND('(橫掃)RX Mapping'!N45&gt;=121,'(橫掃)RX Mapping'!N45&lt;=240), (-1)*('(橫掃)RX Mapping'!N45-240),IF(AND('(橫掃)RX Mapping'!N45&gt;=241,'(橫掃)RX Mapping'!N45&lt;=360), ('(橫掃)RX Mapping'!N45-241),IF(AND('(橫掃)RX Mapping'!N45&gt;=361,'(橫掃)RX Mapping'!N45&lt;=480), (-1)*('(橫掃)RX Mapping'!N45-480),IF(AND('(橫掃)RX Mapping'!N45&gt;=481,'(橫掃)RX Mapping'!N45&lt;=600), ('(橫掃)RX Mapping'!N45-361),IF(AND('(橫掃)RX Mapping'!N45&gt;=601,'(橫掃)RX Mapping'!N45&lt;=720), (-1)*('(橫掃)RX Mapping'!N45-720)+120,IF(AND('(橫掃)RX Mapping'!N45&gt;=721,'(橫掃)RX Mapping'!N45&lt;=840), ('(橫掃)RX Mapping'!N45-601),IF(AND('(橫掃)RX Mapping'!N45&gt;=841,'(橫掃)RX Mapping'!N45&lt;=960), (-1)*('(橫掃)RX Mapping'!N45-960)+120,9999))))))))</f>
        <v>9999</v>
      </c>
      <c r="O45">
        <f>IF(AND('(橫掃)RX Mapping'!O45&gt;=1,'(橫掃)RX Mapping'!O45&lt;=120), ('(橫掃)RX Mapping'!O45-1),IF(AND('(橫掃)RX Mapping'!O45&gt;=121,'(橫掃)RX Mapping'!O45&lt;=240), (-1)*('(橫掃)RX Mapping'!O45-240),IF(AND('(橫掃)RX Mapping'!O45&gt;=241,'(橫掃)RX Mapping'!O45&lt;=360), ('(橫掃)RX Mapping'!O45-241),IF(AND('(橫掃)RX Mapping'!O45&gt;=361,'(橫掃)RX Mapping'!O45&lt;=480), (-1)*('(橫掃)RX Mapping'!O45-480),IF(AND('(橫掃)RX Mapping'!O45&gt;=481,'(橫掃)RX Mapping'!O45&lt;=600), ('(橫掃)RX Mapping'!O45-361),IF(AND('(橫掃)RX Mapping'!O45&gt;=601,'(橫掃)RX Mapping'!O45&lt;=720), (-1)*('(橫掃)RX Mapping'!O45-720)+120,IF(AND('(橫掃)RX Mapping'!O45&gt;=721,'(橫掃)RX Mapping'!O45&lt;=840), ('(橫掃)RX Mapping'!O45-601),IF(AND('(橫掃)RX Mapping'!O45&gt;=841,'(橫掃)RX Mapping'!O45&lt;=960), (-1)*('(橫掃)RX Mapping'!O45-960)+120,9999))))))))</f>
        <v>9999</v>
      </c>
      <c r="P45">
        <f>IF(AND('(橫掃)RX Mapping'!P45&gt;=1,'(橫掃)RX Mapping'!P45&lt;=120), ('(橫掃)RX Mapping'!P45-1),IF(AND('(橫掃)RX Mapping'!P45&gt;=121,'(橫掃)RX Mapping'!P45&lt;=240), (-1)*('(橫掃)RX Mapping'!P45-240),IF(AND('(橫掃)RX Mapping'!P45&gt;=241,'(橫掃)RX Mapping'!P45&lt;=360), ('(橫掃)RX Mapping'!P45-241),IF(AND('(橫掃)RX Mapping'!P45&gt;=361,'(橫掃)RX Mapping'!P45&lt;=480), (-1)*('(橫掃)RX Mapping'!P45-480),IF(AND('(橫掃)RX Mapping'!P45&gt;=481,'(橫掃)RX Mapping'!P45&lt;=600), ('(橫掃)RX Mapping'!P45-361),IF(AND('(橫掃)RX Mapping'!P45&gt;=601,'(橫掃)RX Mapping'!P45&lt;=720), (-1)*('(橫掃)RX Mapping'!P45-720)+120,IF(AND('(橫掃)RX Mapping'!P45&gt;=721,'(橫掃)RX Mapping'!P45&lt;=840), ('(橫掃)RX Mapping'!P45-601),IF(AND('(橫掃)RX Mapping'!P45&gt;=841,'(橫掃)RX Mapping'!P45&lt;=960), (-1)*('(橫掃)RX Mapping'!P45-960)+120,9999))))))))</f>
        <v>9999</v>
      </c>
      <c r="Q45">
        <f>IF(AND('(橫掃)RX Mapping'!Q45&gt;=1,'(橫掃)RX Mapping'!Q45&lt;=120), ('(橫掃)RX Mapping'!Q45-1),IF(AND('(橫掃)RX Mapping'!Q45&gt;=121,'(橫掃)RX Mapping'!Q45&lt;=240), (-1)*('(橫掃)RX Mapping'!Q45-240),IF(AND('(橫掃)RX Mapping'!Q45&gt;=241,'(橫掃)RX Mapping'!Q45&lt;=360), ('(橫掃)RX Mapping'!Q45-241),IF(AND('(橫掃)RX Mapping'!Q45&gt;=361,'(橫掃)RX Mapping'!Q45&lt;=480), (-1)*('(橫掃)RX Mapping'!Q45-480),IF(AND('(橫掃)RX Mapping'!Q45&gt;=481,'(橫掃)RX Mapping'!Q45&lt;=600), ('(橫掃)RX Mapping'!Q45-361),IF(AND('(橫掃)RX Mapping'!Q45&gt;=601,'(橫掃)RX Mapping'!Q45&lt;=720), (-1)*('(橫掃)RX Mapping'!Q45-720)+120,IF(AND('(橫掃)RX Mapping'!Q45&gt;=721,'(橫掃)RX Mapping'!Q45&lt;=840), ('(橫掃)RX Mapping'!Q45-601),IF(AND('(橫掃)RX Mapping'!Q45&gt;=841,'(橫掃)RX Mapping'!Q45&lt;=960), (-1)*('(橫掃)RX Mapping'!Q45-960)+120,9999))))))))</f>
        <v>9999</v>
      </c>
      <c r="R45">
        <f>IF(AND('(橫掃)RX Mapping'!R45&gt;=1,'(橫掃)RX Mapping'!R45&lt;=120), ('(橫掃)RX Mapping'!R45-1),IF(AND('(橫掃)RX Mapping'!R45&gt;=121,'(橫掃)RX Mapping'!R45&lt;=240), (-1)*('(橫掃)RX Mapping'!R45-240),IF(AND('(橫掃)RX Mapping'!R45&gt;=241,'(橫掃)RX Mapping'!R45&lt;=360), ('(橫掃)RX Mapping'!R45-241),IF(AND('(橫掃)RX Mapping'!R45&gt;=361,'(橫掃)RX Mapping'!R45&lt;=480), (-1)*('(橫掃)RX Mapping'!R45-480),IF(AND('(橫掃)RX Mapping'!R45&gt;=481,'(橫掃)RX Mapping'!R45&lt;=600), ('(橫掃)RX Mapping'!R45-361),IF(AND('(橫掃)RX Mapping'!R45&gt;=601,'(橫掃)RX Mapping'!R45&lt;=720), (-1)*('(橫掃)RX Mapping'!R45-720)+120,IF(AND('(橫掃)RX Mapping'!R45&gt;=721,'(橫掃)RX Mapping'!R45&lt;=840), ('(橫掃)RX Mapping'!R45-601),IF(AND('(橫掃)RX Mapping'!R45&gt;=841,'(橫掃)RX Mapping'!R45&lt;=960), (-1)*('(橫掃)RX Mapping'!R45-960)+120,9999))))))))</f>
        <v>9999</v>
      </c>
      <c r="S45">
        <f>IF(AND('(橫掃)RX Mapping'!S45&gt;=1,'(橫掃)RX Mapping'!S45&lt;=120), ('(橫掃)RX Mapping'!S45-1),IF(AND('(橫掃)RX Mapping'!S45&gt;=121,'(橫掃)RX Mapping'!S45&lt;=240), (-1)*('(橫掃)RX Mapping'!S45-240),IF(AND('(橫掃)RX Mapping'!S45&gt;=241,'(橫掃)RX Mapping'!S45&lt;=360), ('(橫掃)RX Mapping'!S45-241),IF(AND('(橫掃)RX Mapping'!S45&gt;=361,'(橫掃)RX Mapping'!S45&lt;=480), (-1)*('(橫掃)RX Mapping'!S45-480),IF(AND('(橫掃)RX Mapping'!S45&gt;=481,'(橫掃)RX Mapping'!S45&lt;=600), ('(橫掃)RX Mapping'!S45-361),IF(AND('(橫掃)RX Mapping'!S45&gt;=601,'(橫掃)RX Mapping'!S45&lt;=720), (-1)*('(橫掃)RX Mapping'!S45-720)+120,IF(AND('(橫掃)RX Mapping'!S45&gt;=721,'(橫掃)RX Mapping'!S45&lt;=840), ('(橫掃)RX Mapping'!S45-601),IF(AND('(橫掃)RX Mapping'!S45&gt;=841,'(橫掃)RX Mapping'!S45&lt;=960), (-1)*('(橫掃)RX Mapping'!S45-960)+120,9999))))))))</f>
        <v>9999</v>
      </c>
      <c r="T45">
        <f>IF(AND('(橫掃)RX Mapping'!T45&gt;=1,'(橫掃)RX Mapping'!T45&lt;=120), ('(橫掃)RX Mapping'!T45-1),IF(AND('(橫掃)RX Mapping'!T45&gt;=121,'(橫掃)RX Mapping'!T45&lt;=240), (-1)*('(橫掃)RX Mapping'!T45-240),IF(AND('(橫掃)RX Mapping'!T45&gt;=241,'(橫掃)RX Mapping'!T45&lt;=360), ('(橫掃)RX Mapping'!T45-241),IF(AND('(橫掃)RX Mapping'!T45&gt;=361,'(橫掃)RX Mapping'!T45&lt;=480), (-1)*('(橫掃)RX Mapping'!T45-480),IF(AND('(橫掃)RX Mapping'!T45&gt;=481,'(橫掃)RX Mapping'!T45&lt;=600), ('(橫掃)RX Mapping'!T45-361),IF(AND('(橫掃)RX Mapping'!T45&gt;=601,'(橫掃)RX Mapping'!T45&lt;=720), (-1)*('(橫掃)RX Mapping'!T45-720)+120,IF(AND('(橫掃)RX Mapping'!T45&gt;=721,'(橫掃)RX Mapping'!T45&lt;=840), ('(橫掃)RX Mapping'!T45-601),IF(AND('(橫掃)RX Mapping'!T45&gt;=841,'(橫掃)RX Mapping'!T45&lt;=960), (-1)*('(橫掃)RX Mapping'!T45-960)+120,9999))))))))</f>
        <v>9999</v>
      </c>
      <c r="U45">
        <f>IF(AND('(橫掃)RX Mapping'!U45&gt;=1,'(橫掃)RX Mapping'!U45&lt;=120), ('(橫掃)RX Mapping'!U45-1),IF(AND('(橫掃)RX Mapping'!U45&gt;=121,'(橫掃)RX Mapping'!U45&lt;=240), (-1)*('(橫掃)RX Mapping'!U45-240),IF(AND('(橫掃)RX Mapping'!U45&gt;=241,'(橫掃)RX Mapping'!U45&lt;=360), ('(橫掃)RX Mapping'!U45-241),IF(AND('(橫掃)RX Mapping'!U45&gt;=361,'(橫掃)RX Mapping'!U45&lt;=480), (-1)*('(橫掃)RX Mapping'!U45-480),IF(AND('(橫掃)RX Mapping'!U45&gt;=481,'(橫掃)RX Mapping'!U45&lt;=600), ('(橫掃)RX Mapping'!U45-361),IF(AND('(橫掃)RX Mapping'!U45&gt;=601,'(橫掃)RX Mapping'!U45&lt;=720), (-1)*('(橫掃)RX Mapping'!U45-720)+120,IF(AND('(橫掃)RX Mapping'!U45&gt;=721,'(橫掃)RX Mapping'!U45&lt;=840), ('(橫掃)RX Mapping'!U45-601),IF(AND('(橫掃)RX Mapping'!U45&gt;=841,'(橫掃)RX Mapping'!U45&lt;=960), (-1)*('(橫掃)RX Mapping'!U45-960)+120,9999))))))))</f>
        <v>9999</v>
      </c>
      <c r="V45">
        <f>IF(AND('(橫掃)RX Mapping'!V45&gt;=1,'(橫掃)RX Mapping'!V45&lt;=120), ('(橫掃)RX Mapping'!V45-1),IF(AND('(橫掃)RX Mapping'!V45&gt;=121,'(橫掃)RX Mapping'!V45&lt;=240), (-1)*('(橫掃)RX Mapping'!V45-240),IF(AND('(橫掃)RX Mapping'!V45&gt;=241,'(橫掃)RX Mapping'!V45&lt;=360), ('(橫掃)RX Mapping'!V45-241),IF(AND('(橫掃)RX Mapping'!V45&gt;=361,'(橫掃)RX Mapping'!V45&lt;=480), (-1)*('(橫掃)RX Mapping'!V45-480),IF(AND('(橫掃)RX Mapping'!V45&gt;=481,'(橫掃)RX Mapping'!V45&lt;=600), ('(橫掃)RX Mapping'!V45-361),IF(AND('(橫掃)RX Mapping'!V45&gt;=601,'(橫掃)RX Mapping'!V45&lt;=720), (-1)*('(橫掃)RX Mapping'!V45-720)+120,IF(AND('(橫掃)RX Mapping'!V45&gt;=721,'(橫掃)RX Mapping'!V45&lt;=840), ('(橫掃)RX Mapping'!V45-601),IF(AND('(橫掃)RX Mapping'!V45&gt;=841,'(橫掃)RX Mapping'!V45&lt;=960), (-1)*('(橫掃)RX Mapping'!V45-960)+120,9999))))))))</f>
        <v>9999</v>
      </c>
      <c r="W45">
        <f>IF(AND('(橫掃)RX Mapping'!W45&gt;=1,'(橫掃)RX Mapping'!W45&lt;=120), ('(橫掃)RX Mapping'!W45-1),IF(AND('(橫掃)RX Mapping'!W45&gt;=121,'(橫掃)RX Mapping'!W45&lt;=240), (-1)*('(橫掃)RX Mapping'!W45-240),IF(AND('(橫掃)RX Mapping'!W45&gt;=241,'(橫掃)RX Mapping'!W45&lt;=360), ('(橫掃)RX Mapping'!W45-241),IF(AND('(橫掃)RX Mapping'!W45&gt;=361,'(橫掃)RX Mapping'!W45&lt;=480), (-1)*('(橫掃)RX Mapping'!W45-480),IF(AND('(橫掃)RX Mapping'!W45&gt;=481,'(橫掃)RX Mapping'!W45&lt;=600), ('(橫掃)RX Mapping'!W45-361),IF(AND('(橫掃)RX Mapping'!W45&gt;=601,'(橫掃)RX Mapping'!W45&lt;=720), (-1)*('(橫掃)RX Mapping'!W45-720)+120,IF(AND('(橫掃)RX Mapping'!W45&gt;=721,'(橫掃)RX Mapping'!W45&lt;=840), ('(橫掃)RX Mapping'!W45-601),IF(AND('(橫掃)RX Mapping'!W45&gt;=841,'(橫掃)RX Mapping'!W45&lt;=960), (-1)*('(橫掃)RX Mapping'!W45-960)+120,9999))))))))</f>
        <v>9999</v>
      </c>
      <c r="X45">
        <f>IF(AND('(橫掃)RX Mapping'!X45&gt;=1,'(橫掃)RX Mapping'!X45&lt;=120), ('(橫掃)RX Mapping'!X45-1),IF(AND('(橫掃)RX Mapping'!X45&gt;=121,'(橫掃)RX Mapping'!X45&lt;=240), (-1)*('(橫掃)RX Mapping'!X45-240),IF(AND('(橫掃)RX Mapping'!X45&gt;=241,'(橫掃)RX Mapping'!X45&lt;=360), ('(橫掃)RX Mapping'!X45-241),IF(AND('(橫掃)RX Mapping'!X45&gt;=361,'(橫掃)RX Mapping'!X45&lt;=480), (-1)*('(橫掃)RX Mapping'!X45-480),IF(AND('(橫掃)RX Mapping'!X45&gt;=481,'(橫掃)RX Mapping'!X45&lt;=600), ('(橫掃)RX Mapping'!X45-361),IF(AND('(橫掃)RX Mapping'!X45&gt;=601,'(橫掃)RX Mapping'!X45&lt;=720), (-1)*('(橫掃)RX Mapping'!X45-720)+120,IF(AND('(橫掃)RX Mapping'!X45&gt;=721,'(橫掃)RX Mapping'!X45&lt;=840), ('(橫掃)RX Mapping'!X45-601),IF(AND('(橫掃)RX Mapping'!X45&gt;=841,'(橫掃)RX Mapping'!X45&lt;=960), (-1)*('(橫掃)RX Mapping'!X45-960)+120,9999))))))))</f>
        <v>9999</v>
      </c>
      <c r="Y45">
        <f>IF(AND('(橫掃)RX Mapping'!Y45&gt;=1,'(橫掃)RX Mapping'!Y45&lt;=120), ('(橫掃)RX Mapping'!Y45-1),IF(AND('(橫掃)RX Mapping'!Y45&gt;=121,'(橫掃)RX Mapping'!Y45&lt;=240), (-1)*('(橫掃)RX Mapping'!Y45-240),IF(AND('(橫掃)RX Mapping'!Y45&gt;=241,'(橫掃)RX Mapping'!Y45&lt;=360), ('(橫掃)RX Mapping'!Y45-241),IF(AND('(橫掃)RX Mapping'!Y45&gt;=361,'(橫掃)RX Mapping'!Y45&lt;=480), (-1)*('(橫掃)RX Mapping'!Y45-480),IF(AND('(橫掃)RX Mapping'!Y45&gt;=481,'(橫掃)RX Mapping'!Y45&lt;=600), ('(橫掃)RX Mapping'!Y45-361),IF(AND('(橫掃)RX Mapping'!Y45&gt;=601,'(橫掃)RX Mapping'!Y45&lt;=720), (-1)*('(橫掃)RX Mapping'!Y45-720)+120,IF(AND('(橫掃)RX Mapping'!Y45&gt;=721,'(橫掃)RX Mapping'!Y45&lt;=840), ('(橫掃)RX Mapping'!Y45-601),IF(AND('(橫掃)RX Mapping'!Y45&gt;=841,'(橫掃)RX Mapping'!Y45&lt;=960), (-1)*('(橫掃)RX Mapping'!Y45-960)+120,9999))))))))</f>
        <v>9999</v>
      </c>
      <c r="Z45">
        <f>IF(AND('(橫掃)RX Mapping'!Z45&gt;=1,'(橫掃)RX Mapping'!Z45&lt;=120), ('(橫掃)RX Mapping'!Z45-1),IF(AND('(橫掃)RX Mapping'!Z45&gt;=121,'(橫掃)RX Mapping'!Z45&lt;=240), (-1)*('(橫掃)RX Mapping'!Z45-240),IF(AND('(橫掃)RX Mapping'!Z45&gt;=241,'(橫掃)RX Mapping'!Z45&lt;=360), ('(橫掃)RX Mapping'!Z45-241),IF(AND('(橫掃)RX Mapping'!Z45&gt;=361,'(橫掃)RX Mapping'!Z45&lt;=480), (-1)*('(橫掃)RX Mapping'!Z45-480),IF(AND('(橫掃)RX Mapping'!Z45&gt;=481,'(橫掃)RX Mapping'!Z45&lt;=600), ('(橫掃)RX Mapping'!Z45-361),IF(AND('(橫掃)RX Mapping'!Z45&gt;=601,'(橫掃)RX Mapping'!Z45&lt;=720), (-1)*('(橫掃)RX Mapping'!Z45-720)+120,IF(AND('(橫掃)RX Mapping'!Z45&gt;=721,'(橫掃)RX Mapping'!Z45&lt;=840), ('(橫掃)RX Mapping'!Z45-601),IF(AND('(橫掃)RX Mapping'!Z45&gt;=841,'(橫掃)RX Mapping'!Z45&lt;=960), (-1)*('(橫掃)RX Mapping'!Z45-960)+120,9999))))))))</f>
        <v>9999</v>
      </c>
      <c r="AA45">
        <f>IF(AND('(橫掃)RX Mapping'!AA45&gt;=1,'(橫掃)RX Mapping'!AA45&lt;=120), ('(橫掃)RX Mapping'!AA45-1),IF(AND('(橫掃)RX Mapping'!AA45&gt;=121,'(橫掃)RX Mapping'!AA45&lt;=240), (-1)*('(橫掃)RX Mapping'!AA45-240),IF(AND('(橫掃)RX Mapping'!AA45&gt;=241,'(橫掃)RX Mapping'!AA45&lt;=360), ('(橫掃)RX Mapping'!AA45-241),IF(AND('(橫掃)RX Mapping'!AA45&gt;=361,'(橫掃)RX Mapping'!AA45&lt;=480), (-1)*('(橫掃)RX Mapping'!AA45-480),IF(AND('(橫掃)RX Mapping'!AA45&gt;=481,'(橫掃)RX Mapping'!AA45&lt;=600), ('(橫掃)RX Mapping'!AA45-361),IF(AND('(橫掃)RX Mapping'!AA45&gt;=601,'(橫掃)RX Mapping'!AA45&lt;=720), (-1)*('(橫掃)RX Mapping'!AA45-720)+120,IF(AND('(橫掃)RX Mapping'!AA45&gt;=721,'(橫掃)RX Mapping'!AA45&lt;=840), ('(橫掃)RX Mapping'!AA45-601),IF(AND('(橫掃)RX Mapping'!AA45&gt;=841,'(橫掃)RX Mapping'!AA45&lt;=960), (-1)*('(橫掃)RX Mapping'!AA45-960)+120,9999))))))))</f>
        <v>9999</v>
      </c>
      <c r="AB45">
        <f>IF(AND('(橫掃)RX Mapping'!AB45&gt;=1,'(橫掃)RX Mapping'!AB45&lt;=120), ('(橫掃)RX Mapping'!AB45-1),IF(AND('(橫掃)RX Mapping'!AB45&gt;=121,'(橫掃)RX Mapping'!AB45&lt;=240), (-1)*('(橫掃)RX Mapping'!AB45-240),IF(AND('(橫掃)RX Mapping'!AB45&gt;=241,'(橫掃)RX Mapping'!AB45&lt;=360), ('(橫掃)RX Mapping'!AB45-241),IF(AND('(橫掃)RX Mapping'!AB45&gt;=361,'(橫掃)RX Mapping'!AB45&lt;=480), (-1)*('(橫掃)RX Mapping'!AB45-480),IF(AND('(橫掃)RX Mapping'!AB45&gt;=481,'(橫掃)RX Mapping'!AB45&lt;=600), ('(橫掃)RX Mapping'!AB45-361),IF(AND('(橫掃)RX Mapping'!AB45&gt;=601,'(橫掃)RX Mapping'!AB45&lt;=720), (-1)*('(橫掃)RX Mapping'!AB45-720)+120,IF(AND('(橫掃)RX Mapping'!AB45&gt;=721,'(橫掃)RX Mapping'!AB45&lt;=840), ('(橫掃)RX Mapping'!AB45-601),IF(AND('(橫掃)RX Mapping'!AB45&gt;=841,'(橫掃)RX Mapping'!AB45&lt;=960), (-1)*('(橫掃)RX Mapping'!AB45-960)+120,9999))))))))</f>
        <v>9999</v>
      </c>
      <c r="AC45">
        <f>IF(AND('(橫掃)RX Mapping'!AC45&gt;=1,'(橫掃)RX Mapping'!AC45&lt;=120), ('(橫掃)RX Mapping'!AC45-1),IF(AND('(橫掃)RX Mapping'!AC45&gt;=121,'(橫掃)RX Mapping'!AC45&lt;=240), (-1)*('(橫掃)RX Mapping'!AC45-240),IF(AND('(橫掃)RX Mapping'!AC45&gt;=241,'(橫掃)RX Mapping'!AC45&lt;=360), ('(橫掃)RX Mapping'!AC45-241),IF(AND('(橫掃)RX Mapping'!AC45&gt;=361,'(橫掃)RX Mapping'!AC45&lt;=480), (-1)*('(橫掃)RX Mapping'!AC45-480),IF(AND('(橫掃)RX Mapping'!AC45&gt;=481,'(橫掃)RX Mapping'!AC45&lt;=600), ('(橫掃)RX Mapping'!AC45-361),IF(AND('(橫掃)RX Mapping'!AC45&gt;=601,'(橫掃)RX Mapping'!AC45&lt;=720), (-1)*('(橫掃)RX Mapping'!AC45-720)+120,IF(AND('(橫掃)RX Mapping'!AC45&gt;=721,'(橫掃)RX Mapping'!AC45&lt;=840), ('(橫掃)RX Mapping'!AC45-601),IF(AND('(橫掃)RX Mapping'!AC45&gt;=841,'(橫掃)RX Mapping'!AC45&lt;=960), (-1)*('(橫掃)RX Mapping'!AC45-960)+120,9999))))))))</f>
        <v>9999</v>
      </c>
      <c r="AD45">
        <f>IF(AND('(橫掃)RX Mapping'!AD45&gt;=1,'(橫掃)RX Mapping'!AD45&lt;=120), ('(橫掃)RX Mapping'!AD45-1),IF(AND('(橫掃)RX Mapping'!AD45&gt;=121,'(橫掃)RX Mapping'!AD45&lt;=240), (-1)*('(橫掃)RX Mapping'!AD45-240),IF(AND('(橫掃)RX Mapping'!AD45&gt;=241,'(橫掃)RX Mapping'!AD45&lt;=360), ('(橫掃)RX Mapping'!AD45-241),IF(AND('(橫掃)RX Mapping'!AD45&gt;=361,'(橫掃)RX Mapping'!AD45&lt;=480), (-1)*('(橫掃)RX Mapping'!AD45-480),IF(AND('(橫掃)RX Mapping'!AD45&gt;=481,'(橫掃)RX Mapping'!AD45&lt;=600), ('(橫掃)RX Mapping'!AD45-361),IF(AND('(橫掃)RX Mapping'!AD45&gt;=601,'(橫掃)RX Mapping'!AD45&lt;=720), (-1)*('(橫掃)RX Mapping'!AD45-720)+120,IF(AND('(橫掃)RX Mapping'!AD45&gt;=721,'(橫掃)RX Mapping'!AD45&lt;=840), ('(橫掃)RX Mapping'!AD45-601),IF(AND('(橫掃)RX Mapping'!AD45&gt;=841,'(橫掃)RX Mapping'!AD45&lt;=960), (-1)*('(橫掃)RX Mapping'!AD45-960)+120,9999))))))))</f>
        <v>9999</v>
      </c>
      <c r="AE45">
        <f>IF(AND('(橫掃)RX Mapping'!AE45&gt;=1,'(橫掃)RX Mapping'!AE45&lt;=120), ('(橫掃)RX Mapping'!AE45-1),IF(AND('(橫掃)RX Mapping'!AE45&gt;=121,'(橫掃)RX Mapping'!AE45&lt;=240), (-1)*('(橫掃)RX Mapping'!AE45-240),IF(AND('(橫掃)RX Mapping'!AE45&gt;=241,'(橫掃)RX Mapping'!AE45&lt;=360), ('(橫掃)RX Mapping'!AE45-241),IF(AND('(橫掃)RX Mapping'!AE45&gt;=361,'(橫掃)RX Mapping'!AE45&lt;=480), (-1)*('(橫掃)RX Mapping'!AE45-480),IF(AND('(橫掃)RX Mapping'!AE45&gt;=481,'(橫掃)RX Mapping'!AE45&lt;=600), ('(橫掃)RX Mapping'!AE45-361),IF(AND('(橫掃)RX Mapping'!AE45&gt;=601,'(橫掃)RX Mapping'!AE45&lt;=720), (-1)*('(橫掃)RX Mapping'!AE45-720)+120,IF(AND('(橫掃)RX Mapping'!AE45&gt;=721,'(橫掃)RX Mapping'!AE45&lt;=840), ('(橫掃)RX Mapping'!AE45-601),IF(AND('(橫掃)RX Mapping'!AE45&gt;=841,'(橫掃)RX Mapping'!AE45&lt;=960), (-1)*('(橫掃)RX Mapping'!AE45-960)+120,9999))))))))</f>
        <v>9999</v>
      </c>
      <c r="AF45">
        <f>IF(AND('(橫掃)RX Mapping'!AF45&gt;=1,'(橫掃)RX Mapping'!AF45&lt;=120), ('(橫掃)RX Mapping'!AF45-1),IF(AND('(橫掃)RX Mapping'!AF45&gt;=121,'(橫掃)RX Mapping'!AF45&lt;=240), (-1)*('(橫掃)RX Mapping'!AF45-240),IF(AND('(橫掃)RX Mapping'!AF45&gt;=241,'(橫掃)RX Mapping'!AF45&lt;=360), ('(橫掃)RX Mapping'!AF45-241),IF(AND('(橫掃)RX Mapping'!AF45&gt;=361,'(橫掃)RX Mapping'!AF45&lt;=480), (-1)*('(橫掃)RX Mapping'!AF45-480),IF(AND('(橫掃)RX Mapping'!AF45&gt;=481,'(橫掃)RX Mapping'!AF45&lt;=600), ('(橫掃)RX Mapping'!AF45-361),IF(AND('(橫掃)RX Mapping'!AF45&gt;=601,'(橫掃)RX Mapping'!AF45&lt;=720), (-1)*('(橫掃)RX Mapping'!AF45-720)+120,IF(AND('(橫掃)RX Mapping'!AF45&gt;=721,'(橫掃)RX Mapping'!AF45&lt;=840), ('(橫掃)RX Mapping'!AF45-601),IF(AND('(橫掃)RX Mapping'!AF45&gt;=841,'(橫掃)RX Mapping'!AF45&lt;=960), (-1)*('(橫掃)RX Mapping'!AF45-960)+120,9999))))))))</f>
        <v>9999</v>
      </c>
      <c r="AG45">
        <f>IF(AND('(橫掃)RX Mapping'!AG45&gt;=1,'(橫掃)RX Mapping'!AG45&lt;=120), ('(橫掃)RX Mapping'!AG45-1),IF(AND('(橫掃)RX Mapping'!AG45&gt;=121,'(橫掃)RX Mapping'!AG45&lt;=240), (-1)*('(橫掃)RX Mapping'!AG45-240),IF(AND('(橫掃)RX Mapping'!AG45&gt;=241,'(橫掃)RX Mapping'!AG45&lt;=360), ('(橫掃)RX Mapping'!AG45-241),IF(AND('(橫掃)RX Mapping'!AG45&gt;=361,'(橫掃)RX Mapping'!AG45&lt;=480), (-1)*('(橫掃)RX Mapping'!AG45-480),IF(AND('(橫掃)RX Mapping'!AG45&gt;=481,'(橫掃)RX Mapping'!AG45&lt;=600), ('(橫掃)RX Mapping'!AG45-361),IF(AND('(橫掃)RX Mapping'!AG45&gt;=601,'(橫掃)RX Mapping'!AG45&lt;=720), (-1)*('(橫掃)RX Mapping'!AG45-720)+120,IF(AND('(橫掃)RX Mapping'!AG45&gt;=721,'(橫掃)RX Mapping'!AG45&lt;=840), ('(橫掃)RX Mapping'!AG45-601),IF(AND('(橫掃)RX Mapping'!AG45&gt;=841,'(橫掃)RX Mapping'!AG45&lt;=960), (-1)*('(橫掃)RX Mapping'!AG45-960)+120,9999))))))))</f>
        <v>9999</v>
      </c>
      <c r="AH45">
        <f>IF(AND('(橫掃)RX Mapping'!AH45&gt;=1,'(橫掃)RX Mapping'!AH45&lt;=120), ('(橫掃)RX Mapping'!AH45-1),IF(AND('(橫掃)RX Mapping'!AH45&gt;=121,'(橫掃)RX Mapping'!AH45&lt;=240), (-1)*('(橫掃)RX Mapping'!AH45-240),IF(AND('(橫掃)RX Mapping'!AH45&gt;=241,'(橫掃)RX Mapping'!AH45&lt;=360), ('(橫掃)RX Mapping'!AH45-241),IF(AND('(橫掃)RX Mapping'!AH45&gt;=361,'(橫掃)RX Mapping'!AH45&lt;=480), (-1)*('(橫掃)RX Mapping'!AH45-480),IF(AND('(橫掃)RX Mapping'!AH45&gt;=481,'(橫掃)RX Mapping'!AH45&lt;=600), ('(橫掃)RX Mapping'!AH45-361),IF(AND('(橫掃)RX Mapping'!AH45&gt;=601,'(橫掃)RX Mapping'!AH45&lt;=720), (-1)*('(橫掃)RX Mapping'!AH45-720)+120,IF(AND('(橫掃)RX Mapping'!AH45&gt;=721,'(橫掃)RX Mapping'!AH45&lt;=840), ('(橫掃)RX Mapping'!AH45-601),IF(AND('(橫掃)RX Mapping'!AH45&gt;=841,'(橫掃)RX Mapping'!AH45&lt;=960), (-1)*('(橫掃)RX Mapping'!AH45-960)+120,9999))))))))</f>
        <v>9999</v>
      </c>
      <c r="AI45">
        <f>IF(AND('(橫掃)RX Mapping'!AI45&gt;=1,'(橫掃)RX Mapping'!AI45&lt;=120), ('(橫掃)RX Mapping'!AI45-1),IF(AND('(橫掃)RX Mapping'!AI45&gt;=121,'(橫掃)RX Mapping'!AI45&lt;=240), (-1)*('(橫掃)RX Mapping'!AI45-240),IF(AND('(橫掃)RX Mapping'!AI45&gt;=241,'(橫掃)RX Mapping'!AI45&lt;=360), ('(橫掃)RX Mapping'!AI45-241),IF(AND('(橫掃)RX Mapping'!AI45&gt;=361,'(橫掃)RX Mapping'!AI45&lt;=480), (-1)*('(橫掃)RX Mapping'!AI45-480),IF(AND('(橫掃)RX Mapping'!AI45&gt;=481,'(橫掃)RX Mapping'!AI45&lt;=600), ('(橫掃)RX Mapping'!AI45-361),IF(AND('(橫掃)RX Mapping'!AI45&gt;=601,'(橫掃)RX Mapping'!AI45&lt;=720), (-1)*('(橫掃)RX Mapping'!AI45-720)+120,IF(AND('(橫掃)RX Mapping'!AI45&gt;=721,'(橫掃)RX Mapping'!AI45&lt;=840), ('(橫掃)RX Mapping'!AI45-601),IF(AND('(橫掃)RX Mapping'!AI45&gt;=841,'(橫掃)RX Mapping'!AI45&lt;=960), (-1)*('(橫掃)RX Mapping'!AI45-960)+120,9999))))))))</f>
        <v>9999</v>
      </c>
      <c r="AJ45">
        <f>IF(AND('(橫掃)RX Mapping'!AJ45&gt;=1,'(橫掃)RX Mapping'!AJ45&lt;=120), ('(橫掃)RX Mapping'!AJ45-1),IF(AND('(橫掃)RX Mapping'!AJ45&gt;=121,'(橫掃)RX Mapping'!AJ45&lt;=240), (-1)*('(橫掃)RX Mapping'!AJ45-240),IF(AND('(橫掃)RX Mapping'!AJ45&gt;=241,'(橫掃)RX Mapping'!AJ45&lt;=360), ('(橫掃)RX Mapping'!AJ45-241),IF(AND('(橫掃)RX Mapping'!AJ45&gt;=361,'(橫掃)RX Mapping'!AJ45&lt;=480), (-1)*('(橫掃)RX Mapping'!AJ45-480),IF(AND('(橫掃)RX Mapping'!AJ45&gt;=481,'(橫掃)RX Mapping'!AJ45&lt;=600), ('(橫掃)RX Mapping'!AJ45-361),IF(AND('(橫掃)RX Mapping'!AJ45&gt;=601,'(橫掃)RX Mapping'!AJ45&lt;=720), (-1)*('(橫掃)RX Mapping'!AJ45-720)+120,IF(AND('(橫掃)RX Mapping'!AJ45&gt;=721,'(橫掃)RX Mapping'!AJ45&lt;=840), ('(橫掃)RX Mapping'!AJ45-601),IF(AND('(橫掃)RX Mapping'!AJ45&gt;=841,'(橫掃)RX Mapping'!AJ45&lt;=960), (-1)*('(橫掃)RX Mapping'!AJ45-960)+120,9999))))))))</f>
        <v>9999</v>
      </c>
      <c r="AK45">
        <f>IF(AND('(橫掃)RX Mapping'!AK45&gt;=1,'(橫掃)RX Mapping'!AK45&lt;=120), ('(橫掃)RX Mapping'!AK45-1),IF(AND('(橫掃)RX Mapping'!AK45&gt;=121,'(橫掃)RX Mapping'!AK45&lt;=240), (-1)*('(橫掃)RX Mapping'!AK45-240),IF(AND('(橫掃)RX Mapping'!AK45&gt;=241,'(橫掃)RX Mapping'!AK45&lt;=360), ('(橫掃)RX Mapping'!AK45-241),IF(AND('(橫掃)RX Mapping'!AK45&gt;=361,'(橫掃)RX Mapping'!AK45&lt;=480), (-1)*('(橫掃)RX Mapping'!AK45-480),IF(AND('(橫掃)RX Mapping'!AK45&gt;=481,'(橫掃)RX Mapping'!AK45&lt;=600), ('(橫掃)RX Mapping'!AK45-361),IF(AND('(橫掃)RX Mapping'!AK45&gt;=601,'(橫掃)RX Mapping'!AK45&lt;=720), (-1)*('(橫掃)RX Mapping'!AK45-720)+120,IF(AND('(橫掃)RX Mapping'!AK45&gt;=721,'(橫掃)RX Mapping'!AK45&lt;=840), ('(橫掃)RX Mapping'!AK45-601),IF(AND('(橫掃)RX Mapping'!AK45&gt;=841,'(橫掃)RX Mapping'!AK45&lt;=960), (-1)*('(橫掃)RX Mapping'!AK45-960)+120,9999))))))))</f>
        <v>9999</v>
      </c>
      <c r="AL45">
        <f>IF(AND('(橫掃)RX Mapping'!AL45&gt;=1,'(橫掃)RX Mapping'!AL45&lt;=120), ('(橫掃)RX Mapping'!AL45-1),IF(AND('(橫掃)RX Mapping'!AL45&gt;=121,'(橫掃)RX Mapping'!AL45&lt;=240), (-1)*('(橫掃)RX Mapping'!AL45-240),IF(AND('(橫掃)RX Mapping'!AL45&gt;=241,'(橫掃)RX Mapping'!AL45&lt;=360), ('(橫掃)RX Mapping'!AL45-241),IF(AND('(橫掃)RX Mapping'!AL45&gt;=361,'(橫掃)RX Mapping'!AL45&lt;=480), (-1)*('(橫掃)RX Mapping'!AL45-480),IF(AND('(橫掃)RX Mapping'!AL45&gt;=481,'(橫掃)RX Mapping'!AL45&lt;=600), ('(橫掃)RX Mapping'!AL45-361),IF(AND('(橫掃)RX Mapping'!AL45&gt;=601,'(橫掃)RX Mapping'!AL45&lt;=720), (-1)*('(橫掃)RX Mapping'!AL45-720)+120,IF(AND('(橫掃)RX Mapping'!AL45&gt;=721,'(橫掃)RX Mapping'!AL45&lt;=840), ('(橫掃)RX Mapping'!AL45-601),IF(AND('(橫掃)RX Mapping'!AL45&gt;=841,'(橫掃)RX Mapping'!AL45&lt;=960), (-1)*('(橫掃)RX Mapping'!AL45-960)+120,9999))))))))</f>
        <v>9999</v>
      </c>
      <c r="AM45">
        <f>IF(AND('(橫掃)RX Mapping'!AM45&gt;=1,'(橫掃)RX Mapping'!AM45&lt;=120), ('(橫掃)RX Mapping'!AM45-1),IF(AND('(橫掃)RX Mapping'!AM45&gt;=121,'(橫掃)RX Mapping'!AM45&lt;=240), (-1)*('(橫掃)RX Mapping'!AM45-240),IF(AND('(橫掃)RX Mapping'!AM45&gt;=241,'(橫掃)RX Mapping'!AM45&lt;=360), ('(橫掃)RX Mapping'!AM45-241),IF(AND('(橫掃)RX Mapping'!AM45&gt;=361,'(橫掃)RX Mapping'!AM45&lt;=480), (-1)*('(橫掃)RX Mapping'!AM45-480),IF(AND('(橫掃)RX Mapping'!AM45&gt;=481,'(橫掃)RX Mapping'!AM45&lt;=600), ('(橫掃)RX Mapping'!AM45-361),IF(AND('(橫掃)RX Mapping'!AM45&gt;=601,'(橫掃)RX Mapping'!AM45&lt;=720), (-1)*('(橫掃)RX Mapping'!AM45-720)+120,IF(AND('(橫掃)RX Mapping'!AM45&gt;=721,'(橫掃)RX Mapping'!AM45&lt;=840), ('(橫掃)RX Mapping'!AM45-601),IF(AND('(橫掃)RX Mapping'!AM45&gt;=841,'(橫掃)RX Mapping'!AM45&lt;=960), (-1)*('(橫掃)RX Mapping'!AM45-960)+120,9999))))))))</f>
        <v>9999</v>
      </c>
      <c r="AN45">
        <f>IF(AND('(橫掃)RX Mapping'!AN45&gt;=1,'(橫掃)RX Mapping'!AN45&lt;=120), ('(橫掃)RX Mapping'!AN45-1),IF(AND('(橫掃)RX Mapping'!AN45&gt;=121,'(橫掃)RX Mapping'!AN45&lt;=240), (-1)*('(橫掃)RX Mapping'!AN45-240),IF(AND('(橫掃)RX Mapping'!AN45&gt;=241,'(橫掃)RX Mapping'!AN45&lt;=360), ('(橫掃)RX Mapping'!AN45-241),IF(AND('(橫掃)RX Mapping'!AN45&gt;=361,'(橫掃)RX Mapping'!AN45&lt;=480), (-1)*('(橫掃)RX Mapping'!AN45-480),IF(AND('(橫掃)RX Mapping'!AN45&gt;=481,'(橫掃)RX Mapping'!AN45&lt;=600), ('(橫掃)RX Mapping'!AN45-361),IF(AND('(橫掃)RX Mapping'!AN45&gt;=601,'(橫掃)RX Mapping'!AN45&lt;=720), (-1)*('(橫掃)RX Mapping'!AN45-720)+120,IF(AND('(橫掃)RX Mapping'!AN45&gt;=721,'(橫掃)RX Mapping'!AN45&lt;=840), ('(橫掃)RX Mapping'!AN45-601),IF(AND('(橫掃)RX Mapping'!AN45&gt;=841,'(橫掃)RX Mapping'!AN45&lt;=960), (-1)*('(橫掃)RX Mapping'!AN45-960)+120,9999))))))))</f>
        <v>9999</v>
      </c>
      <c r="AO45">
        <f>IF(AND('(橫掃)RX Mapping'!AO45&gt;=1,'(橫掃)RX Mapping'!AO45&lt;=120), ('(橫掃)RX Mapping'!AO45-1),IF(AND('(橫掃)RX Mapping'!AO45&gt;=121,'(橫掃)RX Mapping'!AO45&lt;=240), (-1)*('(橫掃)RX Mapping'!AO45-240),IF(AND('(橫掃)RX Mapping'!AO45&gt;=241,'(橫掃)RX Mapping'!AO45&lt;=360), ('(橫掃)RX Mapping'!AO45-241),IF(AND('(橫掃)RX Mapping'!AO45&gt;=361,'(橫掃)RX Mapping'!AO45&lt;=480), (-1)*('(橫掃)RX Mapping'!AO45-480),IF(AND('(橫掃)RX Mapping'!AO45&gt;=481,'(橫掃)RX Mapping'!AO45&lt;=600), ('(橫掃)RX Mapping'!AO45-361),IF(AND('(橫掃)RX Mapping'!AO45&gt;=601,'(橫掃)RX Mapping'!AO45&lt;=720), (-1)*('(橫掃)RX Mapping'!AO45-720)+120,IF(AND('(橫掃)RX Mapping'!AO45&gt;=721,'(橫掃)RX Mapping'!AO45&lt;=840), ('(橫掃)RX Mapping'!AO45-601),IF(AND('(橫掃)RX Mapping'!AO45&gt;=841,'(橫掃)RX Mapping'!AO45&lt;=960), (-1)*('(橫掃)RX Mapping'!AO45-960)+120,9999))))))))</f>
        <v>9999</v>
      </c>
      <c r="AP45">
        <f>IF(AND('(橫掃)RX Mapping'!AP45&gt;=1,'(橫掃)RX Mapping'!AP45&lt;=120), ('(橫掃)RX Mapping'!AP45-1),IF(AND('(橫掃)RX Mapping'!AP45&gt;=121,'(橫掃)RX Mapping'!AP45&lt;=240), (-1)*('(橫掃)RX Mapping'!AP45-240),IF(AND('(橫掃)RX Mapping'!AP45&gt;=241,'(橫掃)RX Mapping'!AP45&lt;=360), ('(橫掃)RX Mapping'!AP45-241),IF(AND('(橫掃)RX Mapping'!AP45&gt;=361,'(橫掃)RX Mapping'!AP45&lt;=480), (-1)*('(橫掃)RX Mapping'!AP45-480),IF(AND('(橫掃)RX Mapping'!AP45&gt;=481,'(橫掃)RX Mapping'!AP45&lt;=600), ('(橫掃)RX Mapping'!AP45-361),IF(AND('(橫掃)RX Mapping'!AP45&gt;=601,'(橫掃)RX Mapping'!AP45&lt;=720), (-1)*('(橫掃)RX Mapping'!AP45-720)+120,IF(AND('(橫掃)RX Mapping'!AP45&gt;=721,'(橫掃)RX Mapping'!AP45&lt;=840), ('(橫掃)RX Mapping'!AP45-601),IF(AND('(橫掃)RX Mapping'!AP45&gt;=841,'(橫掃)RX Mapping'!AP45&lt;=960), (-1)*('(橫掃)RX Mapping'!AP45-960)+120,9999))))))))</f>
        <v>9999</v>
      </c>
      <c r="AQ45">
        <f>IF(AND('(橫掃)RX Mapping'!AQ45&gt;=1,'(橫掃)RX Mapping'!AQ45&lt;=120), ('(橫掃)RX Mapping'!AQ45-1),IF(AND('(橫掃)RX Mapping'!AQ45&gt;=121,'(橫掃)RX Mapping'!AQ45&lt;=240), (-1)*('(橫掃)RX Mapping'!AQ45-240),IF(AND('(橫掃)RX Mapping'!AQ45&gt;=241,'(橫掃)RX Mapping'!AQ45&lt;=360), ('(橫掃)RX Mapping'!AQ45-241),IF(AND('(橫掃)RX Mapping'!AQ45&gt;=361,'(橫掃)RX Mapping'!AQ45&lt;=480), (-1)*('(橫掃)RX Mapping'!AQ45-480),IF(AND('(橫掃)RX Mapping'!AQ45&gt;=481,'(橫掃)RX Mapping'!AQ45&lt;=600), ('(橫掃)RX Mapping'!AQ45-361),IF(AND('(橫掃)RX Mapping'!AQ45&gt;=601,'(橫掃)RX Mapping'!AQ45&lt;=720), (-1)*('(橫掃)RX Mapping'!AQ45-720)+120,IF(AND('(橫掃)RX Mapping'!AQ45&gt;=721,'(橫掃)RX Mapping'!AQ45&lt;=840), ('(橫掃)RX Mapping'!AQ45-601),IF(AND('(橫掃)RX Mapping'!AQ45&gt;=841,'(橫掃)RX Mapping'!AQ45&lt;=960), (-1)*('(橫掃)RX Mapping'!AQ45-960)+120,9999))))))))</f>
        <v>9999</v>
      </c>
      <c r="AR45">
        <f>IF(AND('(橫掃)RX Mapping'!AR45&gt;=1,'(橫掃)RX Mapping'!AR45&lt;=120), ('(橫掃)RX Mapping'!AR45-1),IF(AND('(橫掃)RX Mapping'!AR45&gt;=121,'(橫掃)RX Mapping'!AR45&lt;=240), (-1)*('(橫掃)RX Mapping'!AR45-240),IF(AND('(橫掃)RX Mapping'!AR45&gt;=241,'(橫掃)RX Mapping'!AR45&lt;=360), ('(橫掃)RX Mapping'!AR45-241),IF(AND('(橫掃)RX Mapping'!AR45&gt;=361,'(橫掃)RX Mapping'!AR45&lt;=480), (-1)*('(橫掃)RX Mapping'!AR45-480),IF(AND('(橫掃)RX Mapping'!AR45&gt;=481,'(橫掃)RX Mapping'!AR45&lt;=600), ('(橫掃)RX Mapping'!AR45-361),IF(AND('(橫掃)RX Mapping'!AR45&gt;=601,'(橫掃)RX Mapping'!AR45&lt;=720), (-1)*('(橫掃)RX Mapping'!AR45-720)+120,IF(AND('(橫掃)RX Mapping'!AR45&gt;=721,'(橫掃)RX Mapping'!AR45&lt;=840), ('(橫掃)RX Mapping'!AR45-601),IF(AND('(橫掃)RX Mapping'!AR45&gt;=841,'(橫掃)RX Mapping'!AR45&lt;=960), (-1)*('(橫掃)RX Mapping'!AR45-960)+120,9999))))))))</f>
        <v>9999</v>
      </c>
      <c r="AS45">
        <f>IF(AND('(橫掃)RX Mapping'!AS45&gt;=1,'(橫掃)RX Mapping'!AS45&lt;=120), ('(橫掃)RX Mapping'!AS45-1),IF(AND('(橫掃)RX Mapping'!AS45&gt;=121,'(橫掃)RX Mapping'!AS45&lt;=240), (-1)*('(橫掃)RX Mapping'!AS45-240),IF(AND('(橫掃)RX Mapping'!AS45&gt;=241,'(橫掃)RX Mapping'!AS45&lt;=360), ('(橫掃)RX Mapping'!AS45-241),IF(AND('(橫掃)RX Mapping'!AS45&gt;=361,'(橫掃)RX Mapping'!AS45&lt;=480), (-1)*('(橫掃)RX Mapping'!AS45-480),IF(AND('(橫掃)RX Mapping'!AS45&gt;=481,'(橫掃)RX Mapping'!AS45&lt;=600), ('(橫掃)RX Mapping'!AS45-361),IF(AND('(橫掃)RX Mapping'!AS45&gt;=601,'(橫掃)RX Mapping'!AS45&lt;=720), (-1)*('(橫掃)RX Mapping'!AS45-720)+120,IF(AND('(橫掃)RX Mapping'!AS45&gt;=721,'(橫掃)RX Mapping'!AS45&lt;=840), ('(橫掃)RX Mapping'!AS45-601),IF(AND('(橫掃)RX Mapping'!AS45&gt;=841,'(橫掃)RX Mapping'!AS45&lt;=960), (-1)*('(橫掃)RX Mapping'!AS45-960)+120,9999))))))))</f>
        <v>9999</v>
      </c>
      <c r="AT45">
        <f>IF(AND('(橫掃)RX Mapping'!AT45&gt;=1,'(橫掃)RX Mapping'!AT45&lt;=120), ('(橫掃)RX Mapping'!AT45-1),IF(AND('(橫掃)RX Mapping'!AT45&gt;=121,'(橫掃)RX Mapping'!AT45&lt;=240), (-1)*('(橫掃)RX Mapping'!AT45-240),IF(AND('(橫掃)RX Mapping'!AT45&gt;=241,'(橫掃)RX Mapping'!AT45&lt;=360), ('(橫掃)RX Mapping'!AT45-241),IF(AND('(橫掃)RX Mapping'!AT45&gt;=361,'(橫掃)RX Mapping'!AT45&lt;=480), (-1)*('(橫掃)RX Mapping'!AT45-480),IF(AND('(橫掃)RX Mapping'!AT45&gt;=481,'(橫掃)RX Mapping'!AT45&lt;=600), ('(橫掃)RX Mapping'!AT45-361),IF(AND('(橫掃)RX Mapping'!AT45&gt;=601,'(橫掃)RX Mapping'!AT45&lt;=720), (-1)*('(橫掃)RX Mapping'!AT45-720)+120,IF(AND('(橫掃)RX Mapping'!AT45&gt;=721,'(橫掃)RX Mapping'!AT45&lt;=840), ('(橫掃)RX Mapping'!AT45-601),IF(AND('(橫掃)RX Mapping'!AT45&gt;=841,'(橫掃)RX Mapping'!AT45&lt;=960), (-1)*('(橫掃)RX Mapping'!AT45-960)+120,9999))))))))</f>
        <v>9999</v>
      </c>
      <c r="AU45">
        <f>IF(AND('(橫掃)RX Mapping'!AU45&gt;=1,'(橫掃)RX Mapping'!AU45&lt;=120), ('(橫掃)RX Mapping'!AU45-1),IF(AND('(橫掃)RX Mapping'!AU45&gt;=121,'(橫掃)RX Mapping'!AU45&lt;=240), (-1)*('(橫掃)RX Mapping'!AU45-240),IF(AND('(橫掃)RX Mapping'!AU45&gt;=241,'(橫掃)RX Mapping'!AU45&lt;=360), ('(橫掃)RX Mapping'!AU45-241),IF(AND('(橫掃)RX Mapping'!AU45&gt;=361,'(橫掃)RX Mapping'!AU45&lt;=480), (-1)*('(橫掃)RX Mapping'!AU45-480),IF(AND('(橫掃)RX Mapping'!AU45&gt;=481,'(橫掃)RX Mapping'!AU45&lt;=600), ('(橫掃)RX Mapping'!AU45-361),IF(AND('(橫掃)RX Mapping'!AU45&gt;=601,'(橫掃)RX Mapping'!AU45&lt;=720), (-1)*('(橫掃)RX Mapping'!AU45-720)+120,IF(AND('(橫掃)RX Mapping'!AU45&gt;=721,'(橫掃)RX Mapping'!AU45&lt;=840), ('(橫掃)RX Mapping'!AU45-601),IF(AND('(橫掃)RX Mapping'!AU45&gt;=841,'(橫掃)RX Mapping'!AU45&lt;=960), (-1)*('(橫掃)RX Mapping'!AU45-960)+120,9999))))))))</f>
        <v>9999</v>
      </c>
      <c r="AV45">
        <f>IF(AND('(橫掃)RX Mapping'!AV45&gt;=1,'(橫掃)RX Mapping'!AV45&lt;=120), ('(橫掃)RX Mapping'!AV45-1),IF(AND('(橫掃)RX Mapping'!AV45&gt;=121,'(橫掃)RX Mapping'!AV45&lt;=240), (-1)*('(橫掃)RX Mapping'!AV45-240),IF(AND('(橫掃)RX Mapping'!AV45&gt;=241,'(橫掃)RX Mapping'!AV45&lt;=360), ('(橫掃)RX Mapping'!AV45-241),IF(AND('(橫掃)RX Mapping'!AV45&gt;=361,'(橫掃)RX Mapping'!AV45&lt;=480), (-1)*('(橫掃)RX Mapping'!AV45-480),IF(AND('(橫掃)RX Mapping'!AV45&gt;=481,'(橫掃)RX Mapping'!AV45&lt;=600), ('(橫掃)RX Mapping'!AV45-361),IF(AND('(橫掃)RX Mapping'!AV45&gt;=601,'(橫掃)RX Mapping'!AV45&lt;=720), (-1)*('(橫掃)RX Mapping'!AV45-720)+120,IF(AND('(橫掃)RX Mapping'!AV45&gt;=721,'(橫掃)RX Mapping'!AV45&lt;=840), ('(橫掃)RX Mapping'!AV45-601),IF(AND('(橫掃)RX Mapping'!AV45&gt;=841,'(橫掃)RX Mapping'!AV45&lt;=960), (-1)*('(橫掃)RX Mapping'!AV45-960)+120,9999))))))))</f>
        <v>9999</v>
      </c>
      <c r="AW45">
        <f>IF(AND('(橫掃)RX Mapping'!AW45&gt;=1,'(橫掃)RX Mapping'!AW45&lt;=120), ('(橫掃)RX Mapping'!AW45-1),IF(AND('(橫掃)RX Mapping'!AW45&gt;=121,'(橫掃)RX Mapping'!AW45&lt;=240), (-1)*('(橫掃)RX Mapping'!AW45-240),IF(AND('(橫掃)RX Mapping'!AW45&gt;=241,'(橫掃)RX Mapping'!AW45&lt;=360), ('(橫掃)RX Mapping'!AW45-241),IF(AND('(橫掃)RX Mapping'!AW45&gt;=361,'(橫掃)RX Mapping'!AW45&lt;=480), (-1)*('(橫掃)RX Mapping'!AW45-480),IF(AND('(橫掃)RX Mapping'!AW45&gt;=481,'(橫掃)RX Mapping'!AW45&lt;=600), ('(橫掃)RX Mapping'!AW45-361),IF(AND('(橫掃)RX Mapping'!AW45&gt;=601,'(橫掃)RX Mapping'!AW45&lt;=720), (-1)*('(橫掃)RX Mapping'!AW45-720)+120,IF(AND('(橫掃)RX Mapping'!AW45&gt;=721,'(橫掃)RX Mapping'!AW45&lt;=840), ('(橫掃)RX Mapping'!AW45-601),IF(AND('(橫掃)RX Mapping'!AW45&gt;=841,'(橫掃)RX Mapping'!AW45&lt;=960), (-1)*('(橫掃)RX Mapping'!AW45-960)+120,9999))))))))</f>
        <v>9999</v>
      </c>
      <c r="AX45">
        <f>IF(AND('(橫掃)RX Mapping'!AX45&gt;=1,'(橫掃)RX Mapping'!AX45&lt;=120), ('(橫掃)RX Mapping'!AX45-1),IF(AND('(橫掃)RX Mapping'!AX45&gt;=121,'(橫掃)RX Mapping'!AX45&lt;=240), (-1)*('(橫掃)RX Mapping'!AX45-240),IF(AND('(橫掃)RX Mapping'!AX45&gt;=241,'(橫掃)RX Mapping'!AX45&lt;=360), ('(橫掃)RX Mapping'!AX45-241),IF(AND('(橫掃)RX Mapping'!AX45&gt;=361,'(橫掃)RX Mapping'!AX45&lt;=480), (-1)*('(橫掃)RX Mapping'!AX45-480),IF(AND('(橫掃)RX Mapping'!AX45&gt;=481,'(橫掃)RX Mapping'!AX45&lt;=600), ('(橫掃)RX Mapping'!AX45-361),IF(AND('(橫掃)RX Mapping'!AX45&gt;=601,'(橫掃)RX Mapping'!AX45&lt;=720), (-1)*('(橫掃)RX Mapping'!AX45-720)+120,IF(AND('(橫掃)RX Mapping'!AX45&gt;=721,'(橫掃)RX Mapping'!AX45&lt;=840), ('(橫掃)RX Mapping'!AX45-601),IF(AND('(橫掃)RX Mapping'!AX45&gt;=841,'(橫掃)RX Mapping'!AX45&lt;=960), (-1)*('(橫掃)RX Mapping'!AX45-960)+120,9999))))))))</f>
        <v>9999</v>
      </c>
      <c r="AY45">
        <f>IF(AND('(橫掃)RX Mapping'!AY45&gt;=1,'(橫掃)RX Mapping'!AY45&lt;=120), ('(橫掃)RX Mapping'!AY45-1),IF(AND('(橫掃)RX Mapping'!AY45&gt;=121,'(橫掃)RX Mapping'!AY45&lt;=240), (-1)*('(橫掃)RX Mapping'!AY45-240),IF(AND('(橫掃)RX Mapping'!AY45&gt;=241,'(橫掃)RX Mapping'!AY45&lt;=360), ('(橫掃)RX Mapping'!AY45-241),IF(AND('(橫掃)RX Mapping'!AY45&gt;=361,'(橫掃)RX Mapping'!AY45&lt;=480), (-1)*('(橫掃)RX Mapping'!AY45-480),IF(AND('(橫掃)RX Mapping'!AY45&gt;=481,'(橫掃)RX Mapping'!AY45&lt;=600), ('(橫掃)RX Mapping'!AY45-361),IF(AND('(橫掃)RX Mapping'!AY45&gt;=601,'(橫掃)RX Mapping'!AY45&lt;=720), (-1)*('(橫掃)RX Mapping'!AY45-720)+120,IF(AND('(橫掃)RX Mapping'!AY45&gt;=721,'(橫掃)RX Mapping'!AY45&lt;=840), ('(橫掃)RX Mapping'!AY45-601),IF(AND('(橫掃)RX Mapping'!AY45&gt;=841,'(橫掃)RX Mapping'!AY45&lt;=960), (-1)*('(橫掃)RX Mapping'!AY45-960)+120,9999))))))))</f>
        <v>9999</v>
      </c>
      <c r="AZ45">
        <f>IF(AND('(橫掃)RX Mapping'!AZ45&gt;=1,'(橫掃)RX Mapping'!AZ45&lt;=120), ('(橫掃)RX Mapping'!AZ45-1),IF(AND('(橫掃)RX Mapping'!AZ45&gt;=121,'(橫掃)RX Mapping'!AZ45&lt;=240), (-1)*('(橫掃)RX Mapping'!AZ45-240),IF(AND('(橫掃)RX Mapping'!AZ45&gt;=241,'(橫掃)RX Mapping'!AZ45&lt;=360), ('(橫掃)RX Mapping'!AZ45-241),IF(AND('(橫掃)RX Mapping'!AZ45&gt;=361,'(橫掃)RX Mapping'!AZ45&lt;=480), (-1)*('(橫掃)RX Mapping'!AZ45-480),IF(AND('(橫掃)RX Mapping'!AZ45&gt;=481,'(橫掃)RX Mapping'!AZ45&lt;=600), ('(橫掃)RX Mapping'!AZ45-361),IF(AND('(橫掃)RX Mapping'!AZ45&gt;=601,'(橫掃)RX Mapping'!AZ45&lt;=720), (-1)*('(橫掃)RX Mapping'!AZ45-720)+120,IF(AND('(橫掃)RX Mapping'!AZ45&gt;=721,'(橫掃)RX Mapping'!AZ45&lt;=840), ('(橫掃)RX Mapping'!AZ45-601),IF(AND('(橫掃)RX Mapping'!AZ45&gt;=841,'(橫掃)RX Mapping'!AZ45&lt;=960), (-1)*('(橫掃)RX Mapping'!AZ45-960)+120,9999))))))))</f>
        <v>9999</v>
      </c>
      <c r="BA45">
        <f>IF(AND('(橫掃)RX Mapping'!BA45&gt;=1,'(橫掃)RX Mapping'!BA45&lt;=120), ('(橫掃)RX Mapping'!BA45-1),IF(AND('(橫掃)RX Mapping'!BA45&gt;=121,'(橫掃)RX Mapping'!BA45&lt;=240), (-1)*('(橫掃)RX Mapping'!BA45-240),IF(AND('(橫掃)RX Mapping'!BA45&gt;=241,'(橫掃)RX Mapping'!BA45&lt;=360), ('(橫掃)RX Mapping'!BA45-241),IF(AND('(橫掃)RX Mapping'!BA45&gt;=361,'(橫掃)RX Mapping'!BA45&lt;=480), (-1)*('(橫掃)RX Mapping'!BA45-480),IF(AND('(橫掃)RX Mapping'!BA45&gt;=481,'(橫掃)RX Mapping'!BA45&lt;=600), ('(橫掃)RX Mapping'!BA45-361),IF(AND('(橫掃)RX Mapping'!BA45&gt;=601,'(橫掃)RX Mapping'!BA45&lt;=720), (-1)*('(橫掃)RX Mapping'!BA45-720)+120,IF(AND('(橫掃)RX Mapping'!BA45&gt;=721,'(橫掃)RX Mapping'!BA45&lt;=840), ('(橫掃)RX Mapping'!BA45-601),IF(AND('(橫掃)RX Mapping'!BA45&gt;=841,'(橫掃)RX Mapping'!BA45&lt;=960), (-1)*('(橫掃)RX Mapping'!BA45-960)+120,9999))))))))</f>
        <v>9999</v>
      </c>
      <c r="BB45">
        <f>IF(AND('(橫掃)RX Mapping'!BB45&gt;=1,'(橫掃)RX Mapping'!BB45&lt;=120), ('(橫掃)RX Mapping'!BB45-1),IF(AND('(橫掃)RX Mapping'!BB45&gt;=121,'(橫掃)RX Mapping'!BB45&lt;=240), (-1)*('(橫掃)RX Mapping'!BB45-240),IF(AND('(橫掃)RX Mapping'!BB45&gt;=241,'(橫掃)RX Mapping'!BB45&lt;=360), ('(橫掃)RX Mapping'!BB45-241),IF(AND('(橫掃)RX Mapping'!BB45&gt;=361,'(橫掃)RX Mapping'!BB45&lt;=480), (-1)*('(橫掃)RX Mapping'!BB45-480),IF(AND('(橫掃)RX Mapping'!BB45&gt;=481,'(橫掃)RX Mapping'!BB45&lt;=600), ('(橫掃)RX Mapping'!BB45-361),IF(AND('(橫掃)RX Mapping'!BB45&gt;=601,'(橫掃)RX Mapping'!BB45&lt;=720), (-1)*('(橫掃)RX Mapping'!BB45-720)+120,IF(AND('(橫掃)RX Mapping'!BB45&gt;=721,'(橫掃)RX Mapping'!BB45&lt;=840), ('(橫掃)RX Mapping'!BB45-601),IF(AND('(橫掃)RX Mapping'!BB45&gt;=841,'(橫掃)RX Mapping'!BB45&lt;=960), (-1)*('(橫掃)RX Mapping'!BB45-960)+120,9999))))))))</f>
        <v>9999</v>
      </c>
      <c r="BC45">
        <f>IF(AND('(橫掃)RX Mapping'!BC45&gt;=1,'(橫掃)RX Mapping'!BC45&lt;=120), ('(橫掃)RX Mapping'!BC45-1),IF(AND('(橫掃)RX Mapping'!BC45&gt;=121,'(橫掃)RX Mapping'!BC45&lt;=240), (-1)*('(橫掃)RX Mapping'!BC45-240),IF(AND('(橫掃)RX Mapping'!BC45&gt;=241,'(橫掃)RX Mapping'!BC45&lt;=360), ('(橫掃)RX Mapping'!BC45-241),IF(AND('(橫掃)RX Mapping'!BC45&gt;=361,'(橫掃)RX Mapping'!BC45&lt;=480), (-1)*('(橫掃)RX Mapping'!BC45-480),IF(AND('(橫掃)RX Mapping'!BC45&gt;=481,'(橫掃)RX Mapping'!BC45&lt;=600), ('(橫掃)RX Mapping'!BC45-361),IF(AND('(橫掃)RX Mapping'!BC45&gt;=601,'(橫掃)RX Mapping'!BC45&lt;=720), (-1)*('(橫掃)RX Mapping'!BC45-720)+120,IF(AND('(橫掃)RX Mapping'!BC45&gt;=721,'(橫掃)RX Mapping'!BC45&lt;=840), ('(橫掃)RX Mapping'!BC45-601),IF(AND('(橫掃)RX Mapping'!BC45&gt;=841,'(橫掃)RX Mapping'!BC45&lt;=960), (-1)*('(橫掃)RX Mapping'!BC45-960)+120,9999))))))))</f>
        <v>9999</v>
      </c>
      <c r="BD45">
        <f>IF(AND('(橫掃)RX Mapping'!BD45&gt;=1,'(橫掃)RX Mapping'!BD45&lt;=120), ('(橫掃)RX Mapping'!BD45-1),IF(AND('(橫掃)RX Mapping'!BD45&gt;=121,'(橫掃)RX Mapping'!BD45&lt;=240), (-1)*('(橫掃)RX Mapping'!BD45-240),IF(AND('(橫掃)RX Mapping'!BD45&gt;=241,'(橫掃)RX Mapping'!BD45&lt;=360), ('(橫掃)RX Mapping'!BD45-241),IF(AND('(橫掃)RX Mapping'!BD45&gt;=361,'(橫掃)RX Mapping'!BD45&lt;=480), (-1)*('(橫掃)RX Mapping'!BD45-480),IF(AND('(橫掃)RX Mapping'!BD45&gt;=481,'(橫掃)RX Mapping'!BD45&lt;=600), ('(橫掃)RX Mapping'!BD45-361),IF(AND('(橫掃)RX Mapping'!BD45&gt;=601,'(橫掃)RX Mapping'!BD45&lt;=720), (-1)*('(橫掃)RX Mapping'!BD45-720)+120,IF(AND('(橫掃)RX Mapping'!BD45&gt;=721,'(橫掃)RX Mapping'!BD45&lt;=840), ('(橫掃)RX Mapping'!BD45-601),IF(AND('(橫掃)RX Mapping'!BD45&gt;=841,'(橫掃)RX Mapping'!BD45&lt;=960), (-1)*('(橫掃)RX Mapping'!BD45-960)+120,9999))))))))</f>
        <v>9999</v>
      </c>
      <c r="BE45">
        <f>IF(AND('(橫掃)RX Mapping'!BE45&gt;=1,'(橫掃)RX Mapping'!BE45&lt;=120), ('(橫掃)RX Mapping'!BE45-1),IF(AND('(橫掃)RX Mapping'!BE45&gt;=121,'(橫掃)RX Mapping'!BE45&lt;=240), (-1)*('(橫掃)RX Mapping'!BE45-240),IF(AND('(橫掃)RX Mapping'!BE45&gt;=241,'(橫掃)RX Mapping'!BE45&lt;=360), ('(橫掃)RX Mapping'!BE45-241),IF(AND('(橫掃)RX Mapping'!BE45&gt;=361,'(橫掃)RX Mapping'!BE45&lt;=480), (-1)*('(橫掃)RX Mapping'!BE45-480),IF(AND('(橫掃)RX Mapping'!BE45&gt;=481,'(橫掃)RX Mapping'!BE45&lt;=600), ('(橫掃)RX Mapping'!BE45-361),IF(AND('(橫掃)RX Mapping'!BE45&gt;=601,'(橫掃)RX Mapping'!BE45&lt;=720), (-1)*('(橫掃)RX Mapping'!BE45-720)+120,IF(AND('(橫掃)RX Mapping'!BE45&gt;=721,'(橫掃)RX Mapping'!BE45&lt;=840), ('(橫掃)RX Mapping'!BE45-601),IF(AND('(橫掃)RX Mapping'!BE45&gt;=841,'(橫掃)RX Mapping'!BE45&lt;=960), (-1)*('(橫掃)RX Mapping'!BE45-960)+120,9999))))))))</f>
        <v>9999</v>
      </c>
      <c r="BF45">
        <f>IF(AND('(橫掃)RX Mapping'!BF45&gt;=1,'(橫掃)RX Mapping'!BF45&lt;=120), ('(橫掃)RX Mapping'!BF45-1),IF(AND('(橫掃)RX Mapping'!BF45&gt;=121,'(橫掃)RX Mapping'!BF45&lt;=240), (-1)*('(橫掃)RX Mapping'!BF45-240),IF(AND('(橫掃)RX Mapping'!BF45&gt;=241,'(橫掃)RX Mapping'!BF45&lt;=360), ('(橫掃)RX Mapping'!BF45-241),IF(AND('(橫掃)RX Mapping'!BF45&gt;=361,'(橫掃)RX Mapping'!BF45&lt;=480), (-1)*('(橫掃)RX Mapping'!BF45-480),IF(AND('(橫掃)RX Mapping'!BF45&gt;=481,'(橫掃)RX Mapping'!BF45&lt;=600), ('(橫掃)RX Mapping'!BF45-361),IF(AND('(橫掃)RX Mapping'!BF45&gt;=601,'(橫掃)RX Mapping'!BF45&lt;=720), (-1)*('(橫掃)RX Mapping'!BF45-720)+120,IF(AND('(橫掃)RX Mapping'!BF45&gt;=721,'(橫掃)RX Mapping'!BF45&lt;=840), ('(橫掃)RX Mapping'!BF45-601),IF(AND('(橫掃)RX Mapping'!BF45&gt;=841,'(橫掃)RX Mapping'!BF45&lt;=960), (-1)*('(橫掃)RX Mapping'!BF45-960)+120,9999))))))))</f>
        <v>9999</v>
      </c>
      <c r="BG45">
        <f>IF(AND('(橫掃)RX Mapping'!BG45&gt;=1,'(橫掃)RX Mapping'!BG45&lt;=120), ('(橫掃)RX Mapping'!BG45-1),IF(AND('(橫掃)RX Mapping'!BG45&gt;=121,'(橫掃)RX Mapping'!BG45&lt;=240), (-1)*('(橫掃)RX Mapping'!BG45-240),IF(AND('(橫掃)RX Mapping'!BG45&gt;=241,'(橫掃)RX Mapping'!BG45&lt;=360), ('(橫掃)RX Mapping'!BG45-241),IF(AND('(橫掃)RX Mapping'!BG45&gt;=361,'(橫掃)RX Mapping'!BG45&lt;=480), (-1)*('(橫掃)RX Mapping'!BG45-480),IF(AND('(橫掃)RX Mapping'!BG45&gt;=481,'(橫掃)RX Mapping'!BG45&lt;=600), ('(橫掃)RX Mapping'!BG45-361),IF(AND('(橫掃)RX Mapping'!BG45&gt;=601,'(橫掃)RX Mapping'!BG45&lt;=720), (-1)*('(橫掃)RX Mapping'!BG45-720)+120,IF(AND('(橫掃)RX Mapping'!BG45&gt;=721,'(橫掃)RX Mapping'!BG45&lt;=840), ('(橫掃)RX Mapping'!BG45-601),IF(AND('(橫掃)RX Mapping'!BG45&gt;=841,'(橫掃)RX Mapping'!BG45&lt;=960), (-1)*('(橫掃)RX Mapping'!BG45-960)+120,9999))))))))</f>
        <v>9999</v>
      </c>
      <c r="BH45">
        <f>IF(AND('(橫掃)RX Mapping'!BH45&gt;=1,'(橫掃)RX Mapping'!BH45&lt;=120), ('(橫掃)RX Mapping'!BH45-1),IF(AND('(橫掃)RX Mapping'!BH45&gt;=121,'(橫掃)RX Mapping'!BH45&lt;=240), (-1)*('(橫掃)RX Mapping'!BH45-240),IF(AND('(橫掃)RX Mapping'!BH45&gt;=241,'(橫掃)RX Mapping'!BH45&lt;=360), ('(橫掃)RX Mapping'!BH45-241),IF(AND('(橫掃)RX Mapping'!BH45&gt;=361,'(橫掃)RX Mapping'!BH45&lt;=480), (-1)*('(橫掃)RX Mapping'!BH45-480),IF(AND('(橫掃)RX Mapping'!BH45&gt;=481,'(橫掃)RX Mapping'!BH45&lt;=600), ('(橫掃)RX Mapping'!BH45-361),IF(AND('(橫掃)RX Mapping'!BH45&gt;=601,'(橫掃)RX Mapping'!BH45&lt;=720), (-1)*('(橫掃)RX Mapping'!BH45-720)+120,IF(AND('(橫掃)RX Mapping'!BH45&gt;=721,'(橫掃)RX Mapping'!BH45&lt;=840), ('(橫掃)RX Mapping'!BH45-601),IF(AND('(橫掃)RX Mapping'!BH45&gt;=841,'(橫掃)RX Mapping'!BH45&lt;=960), (-1)*('(橫掃)RX Mapping'!BH45-960)+120,9999))))))))</f>
        <v>9999</v>
      </c>
      <c r="BI45">
        <f>IF(AND('(橫掃)RX Mapping'!BI45&gt;=1,'(橫掃)RX Mapping'!BI45&lt;=120), ('(橫掃)RX Mapping'!BI45-1),IF(AND('(橫掃)RX Mapping'!BI45&gt;=121,'(橫掃)RX Mapping'!BI45&lt;=240), (-1)*('(橫掃)RX Mapping'!BI45-240),IF(AND('(橫掃)RX Mapping'!BI45&gt;=241,'(橫掃)RX Mapping'!BI45&lt;=360), ('(橫掃)RX Mapping'!BI45-241),IF(AND('(橫掃)RX Mapping'!BI45&gt;=361,'(橫掃)RX Mapping'!BI45&lt;=480), (-1)*('(橫掃)RX Mapping'!BI45-480),IF(AND('(橫掃)RX Mapping'!BI45&gt;=481,'(橫掃)RX Mapping'!BI45&lt;=600), ('(橫掃)RX Mapping'!BI45-361),IF(AND('(橫掃)RX Mapping'!BI45&gt;=601,'(橫掃)RX Mapping'!BI45&lt;=720), (-1)*('(橫掃)RX Mapping'!BI45-720)+120,IF(AND('(橫掃)RX Mapping'!BI45&gt;=721,'(橫掃)RX Mapping'!BI45&lt;=840), ('(橫掃)RX Mapping'!BI45-601),IF(AND('(橫掃)RX Mapping'!BI45&gt;=841,'(橫掃)RX Mapping'!BI45&lt;=960), (-1)*('(橫掃)RX Mapping'!BI45-960)+120,9999))))))))</f>
        <v>9999</v>
      </c>
    </row>
    <row r="46" spans="1:61" x14ac:dyDescent="0.25">
      <c r="A46" s="20">
        <v>45</v>
      </c>
      <c r="B46">
        <f>IF(AND('(橫掃)RX Mapping'!B46&gt;=1,'(橫掃)RX Mapping'!B46&lt;=120), ('(橫掃)RX Mapping'!B46-1),IF(AND('(橫掃)RX Mapping'!B46&gt;=121,'(橫掃)RX Mapping'!B46&lt;=240), (-1)*('(橫掃)RX Mapping'!B46-240),IF(AND('(橫掃)RX Mapping'!B46&gt;=241,'(橫掃)RX Mapping'!B46&lt;=360), ('(橫掃)RX Mapping'!B46-241),IF(AND('(橫掃)RX Mapping'!B46&gt;=361,'(橫掃)RX Mapping'!B46&lt;=480), (-1)*('(橫掃)RX Mapping'!B46-480),IF(AND('(橫掃)RX Mapping'!B46&gt;=481,'(橫掃)RX Mapping'!B46&lt;=600), ('(橫掃)RX Mapping'!B46-361),IF(AND('(橫掃)RX Mapping'!B46&gt;=601,'(橫掃)RX Mapping'!B46&lt;=720), (-1)*('(橫掃)RX Mapping'!B46-720)+120,IF(AND('(橫掃)RX Mapping'!B46&gt;=721,'(橫掃)RX Mapping'!B46&lt;=840), ('(橫掃)RX Mapping'!B46-601),IF(AND('(橫掃)RX Mapping'!B46&gt;=841,'(橫掃)RX Mapping'!B46&lt;=960), (-1)*('(橫掃)RX Mapping'!B46-960)+120,9999))))))))</f>
        <v>9999</v>
      </c>
      <c r="C46">
        <f>IF(AND('(橫掃)RX Mapping'!C46&gt;=1,'(橫掃)RX Mapping'!C46&lt;=120), ('(橫掃)RX Mapping'!C46-1),IF(AND('(橫掃)RX Mapping'!C46&gt;=121,'(橫掃)RX Mapping'!C46&lt;=240), (-1)*('(橫掃)RX Mapping'!C46-240),IF(AND('(橫掃)RX Mapping'!C46&gt;=241,'(橫掃)RX Mapping'!C46&lt;=360), ('(橫掃)RX Mapping'!C46-241),IF(AND('(橫掃)RX Mapping'!C46&gt;=361,'(橫掃)RX Mapping'!C46&lt;=480), (-1)*('(橫掃)RX Mapping'!C46-480),IF(AND('(橫掃)RX Mapping'!C46&gt;=481,'(橫掃)RX Mapping'!C46&lt;=600), ('(橫掃)RX Mapping'!C46-361),IF(AND('(橫掃)RX Mapping'!C46&gt;=601,'(橫掃)RX Mapping'!C46&lt;=720), (-1)*('(橫掃)RX Mapping'!C46-720)+120,IF(AND('(橫掃)RX Mapping'!C46&gt;=721,'(橫掃)RX Mapping'!C46&lt;=840), ('(橫掃)RX Mapping'!C46-601),IF(AND('(橫掃)RX Mapping'!C46&gt;=841,'(橫掃)RX Mapping'!C46&lt;=960), (-1)*('(橫掃)RX Mapping'!C46-960)+120,9999))))))))</f>
        <v>9999</v>
      </c>
      <c r="D46">
        <f>IF(AND('(橫掃)RX Mapping'!D46&gt;=1,'(橫掃)RX Mapping'!D46&lt;=120), ('(橫掃)RX Mapping'!D46-1),IF(AND('(橫掃)RX Mapping'!D46&gt;=121,'(橫掃)RX Mapping'!D46&lt;=240), (-1)*('(橫掃)RX Mapping'!D46-240),IF(AND('(橫掃)RX Mapping'!D46&gt;=241,'(橫掃)RX Mapping'!D46&lt;=360), ('(橫掃)RX Mapping'!D46-241),IF(AND('(橫掃)RX Mapping'!D46&gt;=361,'(橫掃)RX Mapping'!D46&lt;=480), (-1)*('(橫掃)RX Mapping'!D46-480),IF(AND('(橫掃)RX Mapping'!D46&gt;=481,'(橫掃)RX Mapping'!D46&lt;=600), ('(橫掃)RX Mapping'!D46-361),IF(AND('(橫掃)RX Mapping'!D46&gt;=601,'(橫掃)RX Mapping'!D46&lt;=720), (-1)*('(橫掃)RX Mapping'!D46-720)+120,IF(AND('(橫掃)RX Mapping'!D46&gt;=721,'(橫掃)RX Mapping'!D46&lt;=840), ('(橫掃)RX Mapping'!D46-601),IF(AND('(橫掃)RX Mapping'!D46&gt;=841,'(橫掃)RX Mapping'!D46&lt;=960), (-1)*('(橫掃)RX Mapping'!D46-960)+120,9999))))))))</f>
        <v>9999</v>
      </c>
      <c r="E46">
        <f>IF(AND('(橫掃)RX Mapping'!E46&gt;=1,'(橫掃)RX Mapping'!E46&lt;=120), ('(橫掃)RX Mapping'!E46-1),IF(AND('(橫掃)RX Mapping'!E46&gt;=121,'(橫掃)RX Mapping'!E46&lt;=240), (-1)*('(橫掃)RX Mapping'!E46-240),IF(AND('(橫掃)RX Mapping'!E46&gt;=241,'(橫掃)RX Mapping'!E46&lt;=360), ('(橫掃)RX Mapping'!E46-241),IF(AND('(橫掃)RX Mapping'!E46&gt;=361,'(橫掃)RX Mapping'!E46&lt;=480), (-1)*('(橫掃)RX Mapping'!E46-480),IF(AND('(橫掃)RX Mapping'!E46&gt;=481,'(橫掃)RX Mapping'!E46&lt;=600), ('(橫掃)RX Mapping'!E46-361),IF(AND('(橫掃)RX Mapping'!E46&gt;=601,'(橫掃)RX Mapping'!E46&lt;=720), (-1)*('(橫掃)RX Mapping'!E46-720)+120,IF(AND('(橫掃)RX Mapping'!E46&gt;=721,'(橫掃)RX Mapping'!E46&lt;=840), ('(橫掃)RX Mapping'!E46-601),IF(AND('(橫掃)RX Mapping'!E46&gt;=841,'(橫掃)RX Mapping'!E46&lt;=960), (-1)*('(橫掃)RX Mapping'!E46-960)+120,9999))))))))</f>
        <v>9999</v>
      </c>
      <c r="F46">
        <f>IF(AND('(橫掃)RX Mapping'!F46&gt;=1,'(橫掃)RX Mapping'!F46&lt;=120), ('(橫掃)RX Mapping'!F46-1),IF(AND('(橫掃)RX Mapping'!F46&gt;=121,'(橫掃)RX Mapping'!F46&lt;=240), (-1)*('(橫掃)RX Mapping'!F46-240),IF(AND('(橫掃)RX Mapping'!F46&gt;=241,'(橫掃)RX Mapping'!F46&lt;=360), ('(橫掃)RX Mapping'!F46-241),IF(AND('(橫掃)RX Mapping'!F46&gt;=361,'(橫掃)RX Mapping'!F46&lt;=480), (-1)*('(橫掃)RX Mapping'!F46-480),IF(AND('(橫掃)RX Mapping'!F46&gt;=481,'(橫掃)RX Mapping'!F46&lt;=600), ('(橫掃)RX Mapping'!F46-361),IF(AND('(橫掃)RX Mapping'!F46&gt;=601,'(橫掃)RX Mapping'!F46&lt;=720), (-1)*('(橫掃)RX Mapping'!F46-720)+120,IF(AND('(橫掃)RX Mapping'!F46&gt;=721,'(橫掃)RX Mapping'!F46&lt;=840), ('(橫掃)RX Mapping'!F46-601),IF(AND('(橫掃)RX Mapping'!F46&gt;=841,'(橫掃)RX Mapping'!F46&lt;=960), (-1)*('(橫掃)RX Mapping'!F46-960)+120,9999))))))))</f>
        <v>9999</v>
      </c>
      <c r="G46">
        <f>IF(AND('(橫掃)RX Mapping'!G46&gt;=1,'(橫掃)RX Mapping'!G46&lt;=120), ('(橫掃)RX Mapping'!G46-1),IF(AND('(橫掃)RX Mapping'!G46&gt;=121,'(橫掃)RX Mapping'!G46&lt;=240), (-1)*('(橫掃)RX Mapping'!G46-240),IF(AND('(橫掃)RX Mapping'!G46&gt;=241,'(橫掃)RX Mapping'!G46&lt;=360), ('(橫掃)RX Mapping'!G46-241),IF(AND('(橫掃)RX Mapping'!G46&gt;=361,'(橫掃)RX Mapping'!G46&lt;=480), (-1)*('(橫掃)RX Mapping'!G46-480),IF(AND('(橫掃)RX Mapping'!G46&gt;=481,'(橫掃)RX Mapping'!G46&lt;=600), ('(橫掃)RX Mapping'!G46-361),IF(AND('(橫掃)RX Mapping'!G46&gt;=601,'(橫掃)RX Mapping'!G46&lt;=720), (-1)*('(橫掃)RX Mapping'!G46-720)+120,IF(AND('(橫掃)RX Mapping'!G46&gt;=721,'(橫掃)RX Mapping'!G46&lt;=840), ('(橫掃)RX Mapping'!G46-601),IF(AND('(橫掃)RX Mapping'!G46&gt;=841,'(橫掃)RX Mapping'!G46&lt;=960), (-1)*('(橫掃)RX Mapping'!G46-960)+120,9999))))))))</f>
        <v>9999</v>
      </c>
      <c r="H46">
        <f>IF(AND('(橫掃)RX Mapping'!H46&gt;=1,'(橫掃)RX Mapping'!H46&lt;=120), ('(橫掃)RX Mapping'!H46-1),IF(AND('(橫掃)RX Mapping'!H46&gt;=121,'(橫掃)RX Mapping'!H46&lt;=240), (-1)*('(橫掃)RX Mapping'!H46-240),IF(AND('(橫掃)RX Mapping'!H46&gt;=241,'(橫掃)RX Mapping'!H46&lt;=360), ('(橫掃)RX Mapping'!H46-241),IF(AND('(橫掃)RX Mapping'!H46&gt;=361,'(橫掃)RX Mapping'!H46&lt;=480), (-1)*('(橫掃)RX Mapping'!H46-480),IF(AND('(橫掃)RX Mapping'!H46&gt;=481,'(橫掃)RX Mapping'!H46&lt;=600), ('(橫掃)RX Mapping'!H46-361),IF(AND('(橫掃)RX Mapping'!H46&gt;=601,'(橫掃)RX Mapping'!H46&lt;=720), (-1)*('(橫掃)RX Mapping'!H46-720)+120,IF(AND('(橫掃)RX Mapping'!H46&gt;=721,'(橫掃)RX Mapping'!H46&lt;=840), ('(橫掃)RX Mapping'!H46-601),IF(AND('(橫掃)RX Mapping'!H46&gt;=841,'(橫掃)RX Mapping'!H46&lt;=960), (-1)*('(橫掃)RX Mapping'!H46-960)+120,9999))))))))</f>
        <v>9999</v>
      </c>
      <c r="I46">
        <f>IF(AND('(橫掃)RX Mapping'!I46&gt;=1,'(橫掃)RX Mapping'!I46&lt;=120), ('(橫掃)RX Mapping'!I46-1),IF(AND('(橫掃)RX Mapping'!I46&gt;=121,'(橫掃)RX Mapping'!I46&lt;=240), (-1)*('(橫掃)RX Mapping'!I46-240),IF(AND('(橫掃)RX Mapping'!I46&gt;=241,'(橫掃)RX Mapping'!I46&lt;=360), ('(橫掃)RX Mapping'!I46-241),IF(AND('(橫掃)RX Mapping'!I46&gt;=361,'(橫掃)RX Mapping'!I46&lt;=480), (-1)*('(橫掃)RX Mapping'!I46-480),IF(AND('(橫掃)RX Mapping'!I46&gt;=481,'(橫掃)RX Mapping'!I46&lt;=600), ('(橫掃)RX Mapping'!I46-361),IF(AND('(橫掃)RX Mapping'!I46&gt;=601,'(橫掃)RX Mapping'!I46&lt;=720), (-1)*('(橫掃)RX Mapping'!I46-720)+120,IF(AND('(橫掃)RX Mapping'!I46&gt;=721,'(橫掃)RX Mapping'!I46&lt;=840), ('(橫掃)RX Mapping'!I46-601),IF(AND('(橫掃)RX Mapping'!I46&gt;=841,'(橫掃)RX Mapping'!I46&lt;=960), (-1)*('(橫掃)RX Mapping'!I46-960)+120,9999))))))))</f>
        <v>9999</v>
      </c>
      <c r="J46">
        <f>IF(AND('(橫掃)RX Mapping'!J46&gt;=1,'(橫掃)RX Mapping'!J46&lt;=120), ('(橫掃)RX Mapping'!J46-1),IF(AND('(橫掃)RX Mapping'!J46&gt;=121,'(橫掃)RX Mapping'!J46&lt;=240), (-1)*('(橫掃)RX Mapping'!J46-240),IF(AND('(橫掃)RX Mapping'!J46&gt;=241,'(橫掃)RX Mapping'!J46&lt;=360), ('(橫掃)RX Mapping'!J46-241),IF(AND('(橫掃)RX Mapping'!J46&gt;=361,'(橫掃)RX Mapping'!J46&lt;=480), (-1)*('(橫掃)RX Mapping'!J46-480),IF(AND('(橫掃)RX Mapping'!J46&gt;=481,'(橫掃)RX Mapping'!J46&lt;=600), ('(橫掃)RX Mapping'!J46-361),IF(AND('(橫掃)RX Mapping'!J46&gt;=601,'(橫掃)RX Mapping'!J46&lt;=720), (-1)*('(橫掃)RX Mapping'!J46-720)+120,IF(AND('(橫掃)RX Mapping'!J46&gt;=721,'(橫掃)RX Mapping'!J46&lt;=840), ('(橫掃)RX Mapping'!J46-601),IF(AND('(橫掃)RX Mapping'!J46&gt;=841,'(橫掃)RX Mapping'!J46&lt;=960), (-1)*('(橫掃)RX Mapping'!J46-960)+120,9999))))))))</f>
        <v>9999</v>
      </c>
      <c r="K46">
        <f>IF(AND('(橫掃)RX Mapping'!K46&gt;=1,'(橫掃)RX Mapping'!K46&lt;=120), ('(橫掃)RX Mapping'!K46-1),IF(AND('(橫掃)RX Mapping'!K46&gt;=121,'(橫掃)RX Mapping'!K46&lt;=240), (-1)*('(橫掃)RX Mapping'!K46-240),IF(AND('(橫掃)RX Mapping'!K46&gt;=241,'(橫掃)RX Mapping'!K46&lt;=360), ('(橫掃)RX Mapping'!K46-241),IF(AND('(橫掃)RX Mapping'!K46&gt;=361,'(橫掃)RX Mapping'!K46&lt;=480), (-1)*('(橫掃)RX Mapping'!K46-480),IF(AND('(橫掃)RX Mapping'!K46&gt;=481,'(橫掃)RX Mapping'!K46&lt;=600), ('(橫掃)RX Mapping'!K46-361),IF(AND('(橫掃)RX Mapping'!K46&gt;=601,'(橫掃)RX Mapping'!K46&lt;=720), (-1)*('(橫掃)RX Mapping'!K46-720)+120,IF(AND('(橫掃)RX Mapping'!K46&gt;=721,'(橫掃)RX Mapping'!K46&lt;=840), ('(橫掃)RX Mapping'!K46-601),IF(AND('(橫掃)RX Mapping'!K46&gt;=841,'(橫掃)RX Mapping'!K46&lt;=960), (-1)*('(橫掃)RX Mapping'!K46-960)+120,9999))))))))</f>
        <v>9999</v>
      </c>
      <c r="L46">
        <f>IF(AND('(橫掃)RX Mapping'!L46&gt;=1,'(橫掃)RX Mapping'!L46&lt;=120), ('(橫掃)RX Mapping'!L46-1),IF(AND('(橫掃)RX Mapping'!L46&gt;=121,'(橫掃)RX Mapping'!L46&lt;=240), (-1)*('(橫掃)RX Mapping'!L46-240),IF(AND('(橫掃)RX Mapping'!L46&gt;=241,'(橫掃)RX Mapping'!L46&lt;=360), ('(橫掃)RX Mapping'!L46-241),IF(AND('(橫掃)RX Mapping'!L46&gt;=361,'(橫掃)RX Mapping'!L46&lt;=480), (-1)*('(橫掃)RX Mapping'!L46-480),IF(AND('(橫掃)RX Mapping'!L46&gt;=481,'(橫掃)RX Mapping'!L46&lt;=600), ('(橫掃)RX Mapping'!L46-361),IF(AND('(橫掃)RX Mapping'!L46&gt;=601,'(橫掃)RX Mapping'!L46&lt;=720), (-1)*('(橫掃)RX Mapping'!L46-720)+120,IF(AND('(橫掃)RX Mapping'!L46&gt;=721,'(橫掃)RX Mapping'!L46&lt;=840), ('(橫掃)RX Mapping'!L46-601),IF(AND('(橫掃)RX Mapping'!L46&gt;=841,'(橫掃)RX Mapping'!L46&lt;=960), (-1)*('(橫掃)RX Mapping'!L46-960)+120,9999))))))))</f>
        <v>9999</v>
      </c>
      <c r="M46">
        <f>IF(AND('(橫掃)RX Mapping'!M46&gt;=1,'(橫掃)RX Mapping'!M46&lt;=120), ('(橫掃)RX Mapping'!M46-1),IF(AND('(橫掃)RX Mapping'!M46&gt;=121,'(橫掃)RX Mapping'!M46&lt;=240), (-1)*('(橫掃)RX Mapping'!M46-240),IF(AND('(橫掃)RX Mapping'!M46&gt;=241,'(橫掃)RX Mapping'!M46&lt;=360), ('(橫掃)RX Mapping'!M46-241),IF(AND('(橫掃)RX Mapping'!M46&gt;=361,'(橫掃)RX Mapping'!M46&lt;=480), (-1)*('(橫掃)RX Mapping'!M46-480),IF(AND('(橫掃)RX Mapping'!M46&gt;=481,'(橫掃)RX Mapping'!M46&lt;=600), ('(橫掃)RX Mapping'!M46-361),IF(AND('(橫掃)RX Mapping'!M46&gt;=601,'(橫掃)RX Mapping'!M46&lt;=720), (-1)*('(橫掃)RX Mapping'!M46-720)+120,IF(AND('(橫掃)RX Mapping'!M46&gt;=721,'(橫掃)RX Mapping'!M46&lt;=840), ('(橫掃)RX Mapping'!M46-601),IF(AND('(橫掃)RX Mapping'!M46&gt;=841,'(橫掃)RX Mapping'!M46&lt;=960), (-1)*('(橫掃)RX Mapping'!M46-960)+120,9999))))))))</f>
        <v>9999</v>
      </c>
      <c r="N46">
        <f>IF(AND('(橫掃)RX Mapping'!N46&gt;=1,'(橫掃)RX Mapping'!N46&lt;=120), ('(橫掃)RX Mapping'!N46-1),IF(AND('(橫掃)RX Mapping'!N46&gt;=121,'(橫掃)RX Mapping'!N46&lt;=240), (-1)*('(橫掃)RX Mapping'!N46-240),IF(AND('(橫掃)RX Mapping'!N46&gt;=241,'(橫掃)RX Mapping'!N46&lt;=360), ('(橫掃)RX Mapping'!N46-241),IF(AND('(橫掃)RX Mapping'!N46&gt;=361,'(橫掃)RX Mapping'!N46&lt;=480), (-1)*('(橫掃)RX Mapping'!N46-480),IF(AND('(橫掃)RX Mapping'!N46&gt;=481,'(橫掃)RX Mapping'!N46&lt;=600), ('(橫掃)RX Mapping'!N46-361),IF(AND('(橫掃)RX Mapping'!N46&gt;=601,'(橫掃)RX Mapping'!N46&lt;=720), (-1)*('(橫掃)RX Mapping'!N46-720)+120,IF(AND('(橫掃)RX Mapping'!N46&gt;=721,'(橫掃)RX Mapping'!N46&lt;=840), ('(橫掃)RX Mapping'!N46-601),IF(AND('(橫掃)RX Mapping'!N46&gt;=841,'(橫掃)RX Mapping'!N46&lt;=960), (-1)*('(橫掃)RX Mapping'!N46-960)+120,9999))))))))</f>
        <v>9999</v>
      </c>
      <c r="O46">
        <f>IF(AND('(橫掃)RX Mapping'!O46&gt;=1,'(橫掃)RX Mapping'!O46&lt;=120), ('(橫掃)RX Mapping'!O46-1),IF(AND('(橫掃)RX Mapping'!O46&gt;=121,'(橫掃)RX Mapping'!O46&lt;=240), (-1)*('(橫掃)RX Mapping'!O46-240),IF(AND('(橫掃)RX Mapping'!O46&gt;=241,'(橫掃)RX Mapping'!O46&lt;=360), ('(橫掃)RX Mapping'!O46-241),IF(AND('(橫掃)RX Mapping'!O46&gt;=361,'(橫掃)RX Mapping'!O46&lt;=480), (-1)*('(橫掃)RX Mapping'!O46-480),IF(AND('(橫掃)RX Mapping'!O46&gt;=481,'(橫掃)RX Mapping'!O46&lt;=600), ('(橫掃)RX Mapping'!O46-361),IF(AND('(橫掃)RX Mapping'!O46&gt;=601,'(橫掃)RX Mapping'!O46&lt;=720), (-1)*('(橫掃)RX Mapping'!O46-720)+120,IF(AND('(橫掃)RX Mapping'!O46&gt;=721,'(橫掃)RX Mapping'!O46&lt;=840), ('(橫掃)RX Mapping'!O46-601),IF(AND('(橫掃)RX Mapping'!O46&gt;=841,'(橫掃)RX Mapping'!O46&lt;=960), (-1)*('(橫掃)RX Mapping'!O46-960)+120,9999))))))))</f>
        <v>9999</v>
      </c>
      <c r="P46">
        <f>IF(AND('(橫掃)RX Mapping'!P46&gt;=1,'(橫掃)RX Mapping'!P46&lt;=120), ('(橫掃)RX Mapping'!P46-1),IF(AND('(橫掃)RX Mapping'!P46&gt;=121,'(橫掃)RX Mapping'!P46&lt;=240), (-1)*('(橫掃)RX Mapping'!P46-240),IF(AND('(橫掃)RX Mapping'!P46&gt;=241,'(橫掃)RX Mapping'!P46&lt;=360), ('(橫掃)RX Mapping'!P46-241),IF(AND('(橫掃)RX Mapping'!P46&gt;=361,'(橫掃)RX Mapping'!P46&lt;=480), (-1)*('(橫掃)RX Mapping'!P46-480),IF(AND('(橫掃)RX Mapping'!P46&gt;=481,'(橫掃)RX Mapping'!P46&lt;=600), ('(橫掃)RX Mapping'!P46-361),IF(AND('(橫掃)RX Mapping'!P46&gt;=601,'(橫掃)RX Mapping'!P46&lt;=720), (-1)*('(橫掃)RX Mapping'!P46-720)+120,IF(AND('(橫掃)RX Mapping'!P46&gt;=721,'(橫掃)RX Mapping'!P46&lt;=840), ('(橫掃)RX Mapping'!P46-601),IF(AND('(橫掃)RX Mapping'!P46&gt;=841,'(橫掃)RX Mapping'!P46&lt;=960), (-1)*('(橫掃)RX Mapping'!P46-960)+120,9999))))))))</f>
        <v>9999</v>
      </c>
      <c r="Q46">
        <f>IF(AND('(橫掃)RX Mapping'!Q46&gt;=1,'(橫掃)RX Mapping'!Q46&lt;=120), ('(橫掃)RX Mapping'!Q46-1),IF(AND('(橫掃)RX Mapping'!Q46&gt;=121,'(橫掃)RX Mapping'!Q46&lt;=240), (-1)*('(橫掃)RX Mapping'!Q46-240),IF(AND('(橫掃)RX Mapping'!Q46&gt;=241,'(橫掃)RX Mapping'!Q46&lt;=360), ('(橫掃)RX Mapping'!Q46-241),IF(AND('(橫掃)RX Mapping'!Q46&gt;=361,'(橫掃)RX Mapping'!Q46&lt;=480), (-1)*('(橫掃)RX Mapping'!Q46-480),IF(AND('(橫掃)RX Mapping'!Q46&gt;=481,'(橫掃)RX Mapping'!Q46&lt;=600), ('(橫掃)RX Mapping'!Q46-361),IF(AND('(橫掃)RX Mapping'!Q46&gt;=601,'(橫掃)RX Mapping'!Q46&lt;=720), (-1)*('(橫掃)RX Mapping'!Q46-720)+120,IF(AND('(橫掃)RX Mapping'!Q46&gt;=721,'(橫掃)RX Mapping'!Q46&lt;=840), ('(橫掃)RX Mapping'!Q46-601),IF(AND('(橫掃)RX Mapping'!Q46&gt;=841,'(橫掃)RX Mapping'!Q46&lt;=960), (-1)*('(橫掃)RX Mapping'!Q46-960)+120,9999))))))))</f>
        <v>9999</v>
      </c>
      <c r="R46">
        <f>IF(AND('(橫掃)RX Mapping'!R46&gt;=1,'(橫掃)RX Mapping'!R46&lt;=120), ('(橫掃)RX Mapping'!R46-1),IF(AND('(橫掃)RX Mapping'!R46&gt;=121,'(橫掃)RX Mapping'!R46&lt;=240), (-1)*('(橫掃)RX Mapping'!R46-240),IF(AND('(橫掃)RX Mapping'!R46&gt;=241,'(橫掃)RX Mapping'!R46&lt;=360), ('(橫掃)RX Mapping'!R46-241),IF(AND('(橫掃)RX Mapping'!R46&gt;=361,'(橫掃)RX Mapping'!R46&lt;=480), (-1)*('(橫掃)RX Mapping'!R46-480),IF(AND('(橫掃)RX Mapping'!R46&gt;=481,'(橫掃)RX Mapping'!R46&lt;=600), ('(橫掃)RX Mapping'!R46-361),IF(AND('(橫掃)RX Mapping'!R46&gt;=601,'(橫掃)RX Mapping'!R46&lt;=720), (-1)*('(橫掃)RX Mapping'!R46-720)+120,IF(AND('(橫掃)RX Mapping'!R46&gt;=721,'(橫掃)RX Mapping'!R46&lt;=840), ('(橫掃)RX Mapping'!R46-601),IF(AND('(橫掃)RX Mapping'!R46&gt;=841,'(橫掃)RX Mapping'!R46&lt;=960), (-1)*('(橫掃)RX Mapping'!R46-960)+120,9999))))))))</f>
        <v>9999</v>
      </c>
      <c r="S46">
        <f>IF(AND('(橫掃)RX Mapping'!S46&gt;=1,'(橫掃)RX Mapping'!S46&lt;=120), ('(橫掃)RX Mapping'!S46-1),IF(AND('(橫掃)RX Mapping'!S46&gt;=121,'(橫掃)RX Mapping'!S46&lt;=240), (-1)*('(橫掃)RX Mapping'!S46-240),IF(AND('(橫掃)RX Mapping'!S46&gt;=241,'(橫掃)RX Mapping'!S46&lt;=360), ('(橫掃)RX Mapping'!S46-241),IF(AND('(橫掃)RX Mapping'!S46&gt;=361,'(橫掃)RX Mapping'!S46&lt;=480), (-1)*('(橫掃)RX Mapping'!S46-480),IF(AND('(橫掃)RX Mapping'!S46&gt;=481,'(橫掃)RX Mapping'!S46&lt;=600), ('(橫掃)RX Mapping'!S46-361),IF(AND('(橫掃)RX Mapping'!S46&gt;=601,'(橫掃)RX Mapping'!S46&lt;=720), (-1)*('(橫掃)RX Mapping'!S46-720)+120,IF(AND('(橫掃)RX Mapping'!S46&gt;=721,'(橫掃)RX Mapping'!S46&lt;=840), ('(橫掃)RX Mapping'!S46-601),IF(AND('(橫掃)RX Mapping'!S46&gt;=841,'(橫掃)RX Mapping'!S46&lt;=960), (-1)*('(橫掃)RX Mapping'!S46-960)+120,9999))))))))</f>
        <v>9999</v>
      </c>
      <c r="T46">
        <f>IF(AND('(橫掃)RX Mapping'!T46&gt;=1,'(橫掃)RX Mapping'!T46&lt;=120), ('(橫掃)RX Mapping'!T46-1),IF(AND('(橫掃)RX Mapping'!T46&gt;=121,'(橫掃)RX Mapping'!T46&lt;=240), (-1)*('(橫掃)RX Mapping'!T46-240),IF(AND('(橫掃)RX Mapping'!T46&gt;=241,'(橫掃)RX Mapping'!T46&lt;=360), ('(橫掃)RX Mapping'!T46-241),IF(AND('(橫掃)RX Mapping'!T46&gt;=361,'(橫掃)RX Mapping'!T46&lt;=480), (-1)*('(橫掃)RX Mapping'!T46-480),IF(AND('(橫掃)RX Mapping'!T46&gt;=481,'(橫掃)RX Mapping'!T46&lt;=600), ('(橫掃)RX Mapping'!T46-361),IF(AND('(橫掃)RX Mapping'!T46&gt;=601,'(橫掃)RX Mapping'!T46&lt;=720), (-1)*('(橫掃)RX Mapping'!T46-720)+120,IF(AND('(橫掃)RX Mapping'!T46&gt;=721,'(橫掃)RX Mapping'!T46&lt;=840), ('(橫掃)RX Mapping'!T46-601),IF(AND('(橫掃)RX Mapping'!T46&gt;=841,'(橫掃)RX Mapping'!T46&lt;=960), (-1)*('(橫掃)RX Mapping'!T46-960)+120,9999))))))))</f>
        <v>9999</v>
      </c>
      <c r="U46">
        <f>IF(AND('(橫掃)RX Mapping'!U46&gt;=1,'(橫掃)RX Mapping'!U46&lt;=120), ('(橫掃)RX Mapping'!U46-1),IF(AND('(橫掃)RX Mapping'!U46&gt;=121,'(橫掃)RX Mapping'!U46&lt;=240), (-1)*('(橫掃)RX Mapping'!U46-240),IF(AND('(橫掃)RX Mapping'!U46&gt;=241,'(橫掃)RX Mapping'!U46&lt;=360), ('(橫掃)RX Mapping'!U46-241),IF(AND('(橫掃)RX Mapping'!U46&gt;=361,'(橫掃)RX Mapping'!U46&lt;=480), (-1)*('(橫掃)RX Mapping'!U46-480),IF(AND('(橫掃)RX Mapping'!U46&gt;=481,'(橫掃)RX Mapping'!U46&lt;=600), ('(橫掃)RX Mapping'!U46-361),IF(AND('(橫掃)RX Mapping'!U46&gt;=601,'(橫掃)RX Mapping'!U46&lt;=720), (-1)*('(橫掃)RX Mapping'!U46-720)+120,IF(AND('(橫掃)RX Mapping'!U46&gt;=721,'(橫掃)RX Mapping'!U46&lt;=840), ('(橫掃)RX Mapping'!U46-601),IF(AND('(橫掃)RX Mapping'!U46&gt;=841,'(橫掃)RX Mapping'!U46&lt;=960), (-1)*('(橫掃)RX Mapping'!U46-960)+120,9999))))))))</f>
        <v>9999</v>
      </c>
      <c r="V46">
        <f>IF(AND('(橫掃)RX Mapping'!V46&gt;=1,'(橫掃)RX Mapping'!V46&lt;=120), ('(橫掃)RX Mapping'!V46-1),IF(AND('(橫掃)RX Mapping'!V46&gt;=121,'(橫掃)RX Mapping'!V46&lt;=240), (-1)*('(橫掃)RX Mapping'!V46-240),IF(AND('(橫掃)RX Mapping'!V46&gt;=241,'(橫掃)RX Mapping'!V46&lt;=360), ('(橫掃)RX Mapping'!V46-241),IF(AND('(橫掃)RX Mapping'!V46&gt;=361,'(橫掃)RX Mapping'!V46&lt;=480), (-1)*('(橫掃)RX Mapping'!V46-480),IF(AND('(橫掃)RX Mapping'!V46&gt;=481,'(橫掃)RX Mapping'!V46&lt;=600), ('(橫掃)RX Mapping'!V46-361),IF(AND('(橫掃)RX Mapping'!V46&gt;=601,'(橫掃)RX Mapping'!V46&lt;=720), (-1)*('(橫掃)RX Mapping'!V46-720)+120,IF(AND('(橫掃)RX Mapping'!V46&gt;=721,'(橫掃)RX Mapping'!V46&lt;=840), ('(橫掃)RX Mapping'!V46-601),IF(AND('(橫掃)RX Mapping'!V46&gt;=841,'(橫掃)RX Mapping'!V46&lt;=960), (-1)*('(橫掃)RX Mapping'!V46-960)+120,9999))))))))</f>
        <v>9999</v>
      </c>
      <c r="W46">
        <f>IF(AND('(橫掃)RX Mapping'!W46&gt;=1,'(橫掃)RX Mapping'!W46&lt;=120), ('(橫掃)RX Mapping'!W46-1),IF(AND('(橫掃)RX Mapping'!W46&gt;=121,'(橫掃)RX Mapping'!W46&lt;=240), (-1)*('(橫掃)RX Mapping'!W46-240),IF(AND('(橫掃)RX Mapping'!W46&gt;=241,'(橫掃)RX Mapping'!W46&lt;=360), ('(橫掃)RX Mapping'!W46-241),IF(AND('(橫掃)RX Mapping'!W46&gt;=361,'(橫掃)RX Mapping'!W46&lt;=480), (-1)*('(橫掃)RX Mapping'!W46-480),IF(AND('(橫掃)RX Mapping'!W46&gt;=481,'(橫掃)RX Mapping'!W46&lt;=600), ('(橫掃)RX Mapping'!W46-361),IF(AND('(橫掃)RX Mapping'!W46&gt;=601,'(橫掃)RX Mapping'!W46&lt;=720), (-1)*('(橫掃)RX Mapping'!W46-720)+120,IF(AND('(橫掃)RX Mapping'!W46&gt;=721,'(橫掃)RX Mapping'!W46&lt;=840), ('(橫掃)RX Mapping'!W46-601),IF(AND('(橫掃)RX Mapping'!W46&gt;=841,'(橫掃)RX Mapping'!W46&lt;=960), (-1)*('(橫掃)RX Mapping'!W46-960)+120,9999))))))))</f>
        <v>9999</v>
      </c>
      <c r="X46">
        <f>IF(AND('(橫掃)RX Mapping'!X46&gt;=1,'(橫掃)RX Mapping'!X46&lt;=120), ('(橫掃)RX Mapping'!X46-1),IF(AND('(橫掃)RX Mapping'!X46&gt;=121,'(橫掃)RX Mapping'!X46&lt;=240), (-1)*('(橫掃)RX Mapping'!X46-240),IF(AND('(橫掃)RX Mapping'!X46&gt;=241,'(橫掃)RX Mapping'!X46&lt;=360), ('(橫掃)RX Mapping'!X46-241),IF(AND('(橫掃)RX Mapping'!X46&gt;=361,'(橫掃)RX Mapping'!X46&lt;=480), (-1)*('(橫掃)RX Mapping'!X46-480),IF(AND('(橫掃)RX Mapping'!X46&gt;=481,'(橫掃)RX Mapping'!X46&lt;=600), ('(橫掃)RX Mapping'!X46-361),IF(AND('(橫掃)RX Mapping'!X46&gt;=601,'(橫掃)RX Mapping'!X46&lt;=720), (-1)*('(橫掃)RX Mapping'!X46-720)+120,IF(AND('(橫掃)RX Mapping'!X46&gt;=721,'(橫掃)RX Mapping'!X46&lt;=840), ('(橫掃)RX Mapping'!X46-601),IF(AND('(橫掃)RX Mapping'!X46&gt;=841,'(橫掃)RX Mapping'!X46&lt;=960), (-1)*('(橫掃)RX Mapping'!X46-960)+120,9999))))))))</f>
        <v>9999</v>
      </c>
      <c r="Y46">
        <f>IF(AND('(橫掃)RX Mapping'!Y46&gt;=1,'(橫掃)RX Mapping'!Y46&lt;=120), ('(橫掃)RX Mapping'!Y46-1),IF(AND('(橫掃)RX Mapping'!Y46&gt;=121,'(橫掃)RX Mapping'!Y46&lt;=240), (-1)*('(橫掃)RX Mapping'!Y46-240),IF(AND('(橫掃)RX Mapping'!Y46&gt;=241,'(橫掃)RX Mapping'!Y46&lt;=360), ('(橫掃)RX Mapping'!Y46-241),IF(AND('(橫掃)RX Mapping'!Y46&gt;=361,'(橫掃)RX Mapping'!Y46&lt;=480), (-1)*('(橫掃)RX Mapping'!Y46-480),IF(AND('(橫掃)RX Mapping'!Y46&gt;=481,'(橫掃)RX Mapping'!Y46&lt;=600), ('(橫掃)RX Mapping'!Y46-361),IF(AND('(橫掃)RX Mapping'!Y46&gt;=601,'(橫掃)RX Mapping'!Y46&lt;=720), (-1)*('(橫掃)RX Mapping'!Y46-720)+120,IF(AND('(橫掃)RX Mapping'!Y46&gt;=721,'(橫掃)RX Mapping'!Y46&lt;=840), ('(橫掃)RX Mapping'!Y46-601),IF(AND('(橫掃)RX Mapping'!Y46&gt;=841,'(橫掃)RX Mapping'!Y46&lt;=960), (-1)*('(橫掃)RX Mapping'!Y46-960)+120,9999))))))))</f>
        <v>9999</v>
      </c>
      <c r="Z46">
        <f>IF(AND('(橫掃)RX Mapping'!Z46&gt;=1,'(橫掃)RX Mapping'!Z46&lt;=120), ('(橫掃)RX Mapping'!Z46-1),IF(AND('(橫掃)RX Mapping'!Z46&gt;=121,'(橫掃)RX Mapping'!Z46&lt;=240), (-1)*('(橫掃)RX Mapping'!Z46-240),IF(AND('(橫掃)RX Mapping'!Z46&gt;=241,'(橫掃)RX Mapping'!Z46&lt;=360), ('(橫掃)RX Mapping'!Z46-241),IF(AND('(橫掃)RX Mapping'!Z46&gt;=361,'(橫掃)RX Mapping'!Z46&lt;=480), (-1)*('(橫掃)RX Mapping'!Z46-480),IF(AND('(橫掃)RX Mapping'!Z46&gt;=481,'(橫掃)RX Mapping'!Z46&lt;=600), ('(橫掃)RX Mapping'!Z46-361),IF(AND('(橫掃)RX Mapping'!Z46&gt;=601,'(橫掃)RX Mapping'!Z46&lt;=720), (-1)*('(橫掃)RX Mapping'!Z46-720)+120,IF(AND('(橫掃)RX Mapping'!Z46&gt;=721,'(橫掃)RX Mapping'!Z46&lt;=840), ('(橫掃)RX Mapping'!Z46-601),IF(AND('(橫掃)RX Mapping'!Z46&gt;=841,'(橫掃)RX Mapping'!Z46&lt;=960), (-1)*('(橫掃)RX Mapping'!Z46-960)+120,9999))))))))</f>
        <v>9999</v>
      </c>
      <c r="AA46">
        <f>IF(AND('(橫掃)RX Mapping'!AA46&gt;=1,'(橫掃)RX Mapping'!AA46&lt;=120), ('(橫掃)RX Mapping'!AA46-1),IF(AND('(橫掃)RX Mapping'!AA46&gt;=121,'(橫掃)RX Mapping'!AA46&lt;=240), (-1)*('(橫掃)RX Mapping'!AA46-240),IF(AND('(橫掃)RX Mapping'!AA46&gt;=241,'(橫掃)RX Mapping'!AA46&lt;=360), ('(橫掃)RX Mapping'!AA46-241),IF(AND('(橫掃)RX Mapping'!AA46&gt;=361,'(橫掃)RX Mapping'!AA46&lt;=480), (-1)*('(橫掃)RX Mapping'!AA46-480),IF(AND('(橫掃)RX Mapping'!AA46&gt;=481,'(橫掃)RX Mapping'!AA46&lt;=600), ('(橫掃)RX Mapping'!AA46-361),IF(AND('(橫掃)RX Mapping'!AA46&gt;=601,'(橫掃)RX Mapping'!AA46&lt;=720), (-1)*('(橫掃)RX Mapping'!AA46-720)+120,IF(AND('(橫掃)RX Mapping'!AA46&gt;=721,'(橫掃)RX Mapping'!AA46&lt;=840), ('(橫掃)RX Mapping'!AA46-601),IF(AND('(橫掃)RX Mapping'!AA46&gt;=841,'(橫掃)RX Mapping'!AA46&lt;=960), (-1)*('(橫掃)RX Mapping'!AA46-960)+120,9999))))))))</f>
        <v>9999</v>
      </c>
      <c r="AB46">
        <f>IF(AND('(橫掃)RX Mapping'!AB46&gt;=1,'(橫掃)RX Mapping'!AB46&lt;=120), ('(橫掃)RX Mapping'!AB46-1),IF(AND('(橫掃)RX Mapping'!AB46&gt;=121,'(橫掃)RX Mapping'!AB46&lt;=240), (-1)*('(橫掃)RX Mapping'!AB46-240),IF(AND('(橫掃)RX Mapping'!AB46&gt;=241,'(橫掃)RX Mapping'!AB46&lt;=360), ('(橫掃)RX Mapping'!AB46-241),IF(AND('(橫掃)RX Mapping'!AB46&gt;=361,'(橫掃)RX Mapping'!AB46&lt;=480), (-1)*('(橫掃)RX Mapping'!AB46-480),IF(AND('(橫掃)RX Mapping'!AB46&gt;=481,'(橫掃)RX Mapping'!AB46&lt;=600), ('(橫掃)RX Mapping'!AB46-361),IF(AND('(橫掃)RX Mapping'!AB46&gt;=601,'(橫掃)RX Mapping'!AB46&lt;=720), (-1)*('(橫掃)RX Mapping'!AB46-720)+120,IF(AND('(橫掃)RX Mapping'!AB46&gt;=721,'(橫掃)RX Mapping'!AB46&lt;=840), ('(橫掃)RX Mapping'!AB46-601),IF(AND('(橫掃)RX Mapping'!AB46&gt;=841,'(橫掃)RX Mapping'!AB46&lt;=960), (-1)*('(橫掃)RX Mapping'!AB46-960)+120,9999))))))))</f>
        <v>9999</v>
      </c>
      <c r="AC46">
        <f>IF(AND('(橫掃)RX Mapping'!AC46&gt;=1,'(橫掃)RX Mapping'!AC46&lt;=120), ('(橫掃)RX Mapping'!AC46-1),IF(AND('(橫掃)RX Mapping'!AC46&gt;=121,'(橫掃)RX Mapping'!AC46&lt;=240), (-1)*('(橫掃)RX Mapping'!AC46-240),IF(AND('(橫掃)RX Mapping'!AC46&gt;=241,'(橫掃)RX Mapping'!AC46&lt;=360), ('(橫掃)RX Mapping'!AC46-241),IF(AND('(橫掃)RX Mapping'!AC46&gt;=361,'(橫掃)RX Mapping'!AC46&lt;=480), (-1)*('(橫掃)RX Mapping'!AC46-480),IF(AND('(橫掃)RX Mapping'!AC46&gt;=481,'(橫掃)RX Mapping'!AC46&lt;=600), ('(橫掃)RX Mapping'!AC46-361),IF(AND('(橫掃)RX Mapping'!AC46&gt;=601,'(橫掃)RX Mapping'!AC46&lt;=720), (-1)*('(橫掃)RX Mapping'!AC46-720)+120,IF(AND('(橫掃)RX Mapping'!AC46&gt;=721,'(橫掃)RX Mapping'!AC46&lt;=840), ('(橫掃)RX Mapping'!AC46-601),IF(AND('(橫掃)RX Mapping'!AC46&gt;=841,'(橫掃)RX Mapping'!AC46&lt;=960), (-1)*('(橫掃)RX Mapping'!AC46-960)+120,9999))))))))</f>
        <v>9999</v>
      </c>
      <c r="AD46">
        <f>IF(AND('(橫掃)RX Mapping'!AD46&gt;=1,'(橫掃)RX Mapping'!AD46&lt;=120), ('(橫掃)RX Mapping'!AD46-1),IF(AND('(橫掃)RX Mapping'!AD46&gt;=121,'(橫掃)RX Mapping'!AD46&lt;=240), (-1)*('(橫掃)RX Mapping'!AD46-240),IF(AND('(橫掃)RX Mapping'!AD46&gt;=241,'(橫掃)RX Mapping'!AD46&lt;=360), ('(橫掃)RX Mapping'!AD46-241),IF(AND('(橫掃)RX Mapping'!AD46&gt;=361,'(橫掃)RX Mapping'!AD46&lt;=480), (-1)*('(橫掃)RX Mapping'!AD46-480),IF(AND('(橫掃)RX Mapping'!AD46&gt;=481,'(橫掃)RX Mapping'!AD46&lt;=600), ('(橫掃)RX Mapping'!AD46-361),IF(AND('(橫掃)RX Mapping'!AD46&gt;=601,'(橫掃)RX Mapping'!AD46&lt;=720), (-1)*('(橫掃)RX Mapping'!AD46-720)+120,IF(AND('(橫掃)RX Mapping'!AD46&gt;=721,'(橫掃)RX Mapping'!AD46&lt;=840), ('(橫掃)RX Mapping'!AD46-601),IF(AND('(橫掃)RX Mapping'!AD46&gt;=841,'(橫掃)RX Mapping'!AD46&lt;=960), (-1)*('(橫掃)RX Mapping'!AD46-960)+120,9999))))))))</f>
        <v>9999</v>
      </c>
      <c r="AE46">
        <f>IF(AND('(橫掃)RX Mapping'!AE46&gt;=1,'(橫掃)RX Mapping'!AE46&lt;=120), ('(橫掃)RX Mapping'!AE46-1),IF(AND('(橫掃)RX Mapping'!AE46&gt;=121,'(橫掃)RX Mapping'!AE46&lt;=240), (-1)*('(橫掃)RX Mapping'!AE46-240),IF(AND('(橫掃)RX Mapping'!AE46&gt;=241,'(橫掃)RX Mapping'!AE46&lt;=360), ('(橫掃)RX Mapping'!AE46-241),IF(AND('(橫掃)RX Mapping'!AE46&gt;=361,'(橫掃)RX Mapping'!AE46&lt;=480), (-1)*('(橫掃)RX Mapping'!AE46-480),IF(AND('(橫掃)RX Mapping'!AE46&gt;=481,'(橫掃)RX Mapping'!AE46&lt;=600), ('(橫掃)RX Mapping'!AE46-361),IF(AND('(橫掃)RX Mapping'!AE46&gt;=601,'(橫掃)RX Mapping'!AE46&lt;=720), (-1)*('(橫掃)RX Mapping'!AE46-720)+120,IF(AND('(橫掃)RX Mapping'!AE46&gt;=721,'(橫掃)RX Mapping'!AE46&lt;=840), ('(橫掃)RX Mapping'!AE46-601),IF(AND('(橫掃)RX Mapping'!AE46&gt;=841,'(橫掃)RX Mapping'!AE46&lt;=960), (-1)*('(橫掃)RX Mapping'!AE46-960)+120,9999))))))))</f>
        <v>9999</v>
      </c>
      <c r="AF46">
        <f>IF(AND('(橫掃)RX Mapping'!AF46&gt;=1,'(橫掃)RX Mapping'!AF46&lt;=120), ('(橫掃)RX Mapping'!AF46-1),IF(AND('(橫掃)RX Mapping'!AF46&gt;=121,'(橫掃)RX Mapping'!AF46&lt;=240), (-1)*('(橫掃)RX Mapping'!AF46-240),IF(AND('(橫掃)RX Mapping'!AF46&gt;=241,'(橫掃)RX Mapping'!AF46&lt;=360), ('(橫掃)RX Mapping'!AF46-241),IF(AND('(橫掃)RX Mapping'!AF46&gt;=361,'(橫掃)RX Mapping'!AF46&lt;=480), (-1)*('(橫掃)RX Mapping'!AF46-480),IF(AND('(橫掃)RX Mapping'!AF46&gt;=481,'(橫掃)RX Mapping'!AF46&lt;=600), ('(橫掃)RX Mapping'!AF46-361),IF(AND('(橫掃)RX Mapping'!AF46&gt;=601,'(橫掃)RX Mapping'!AF46&lt;=720), (-1)*('(橫掃)RX Mapping'!AF46-720)+120,IF(AND('(橫掃)RX Mapping'!AF46&gt;=721,'(橫掃)RX Mapping'!AF46&lt;=840), ('(橫掃)RX Mapping'!AF46-601),IF(AND('(橫掃)RX Mapping'!AF46&gt;=841,'(橫掃)RX Mapping'!AF46&lt;=960), (-1)*('(橫掃)RX Mapping'!AF46-960)+120,9999))))))))</f>
        <v>9999</v>
      </c>
      <c r="AG46">
        <f>IF(AND('(橫掃)RX Mapping'!AG46&gt;=1,'(橫掃)RX Mapping'!AG46&lt;=120), ('(橫掃)RX Mapping'!AG46-1),IF(AND('(橫掃)RX Mapping'!AG46&gt;=121,'(橫掃)RX Mapping'!AG46&lt;=240), (-1)*('(橫掃)RX Mapping'!AG46-240),IF(AND('(橫掃)RX Mapping'!AG46&gt;=241,'(橫掃)RX Mapping'!AG46&lt;=360), ('(橫掃)RX Mapping'!AG46-241),IF(AND('(橫掃)RX Mapping'!AG46&gt;=361,'(橫掃)RX Mapping'!AG46&lt;=480), (-1)*('(橫掃)RX Mapping'!AG46-480),IF(AND('(橫掃)RX Mapping'!AG46&gt;=481,'(橫掃)RX Mapping'!AG46&lt;=600), ('(橫掃)RX Mapping'!AG46-361),IF(AND('(橫掃)RX Mapping'!AG46&gt;=601,'(橫掃)RX Mapping'!AG46&lt;=720), (-1)*('(橫掃)RX Mapping'!AG46-720)+120,IF(AND('(橫掃)RX Mapping'!AG46&gt;=721,'(橫掃)RX Mapping'!AG46&lt;=840), ('(橫掃)RX Mapping'!AG46-601),IF(AND('(橫掃)RX Mapping'!AG46&gt;=841,'(橫掃)RX Mapping'!AG46&lt;=960), (-1)*('(橫掃)RX Mapping'!AG46-960)+120,9999))))))))</f>
        <v>9999</v>
      </c>
      <c r="AH46">
        <f>IF(AND('(橫掃)RX Mapping'!AH46&gt;=1,'(橫掃)RX Mapping'!AH46&lt;=120), ('(橫掃)RX Mapping'!AH46-1),IF(AND('(橫掃)RX Mapping'!AH46&gt;=121,'(橫掃)RX Mapping'!AH46&lt;=240), (-1)*('(橫掃)RX Mapping'!AH46-240),IF(AND('(橫掃)RX Mapping'!AH46&gt;=241,'(橫掃)RX Mapping'!AH46&lt;=360), ('(橫掃)RX Mapping'!AH46-241),IF(AND('(橫掃)RX Mapping'!AH46&gt;=361,'(橫掃)RX Mapping'!AH46&lt;=480), (-1)*('(橫掃)RX Mapping'!AH46-480),IF(AND('(橫掃)RX Mapping'!AH46&gt;=481,'(橫掃)RX Mapping'!AH46&lt;=600), ('(橫掃)RX Mapping'!AH46-361),IF(AND('(橫掃)RX Mapping'!AH46&gt;=601,'(橫掃)RX Mapping'!AH46&lt;=720), (-1)*('(橫掃)RX Mapping'!AH46-720)+120,IF(AND('(橫掃)RX Mapping'!AH46&gt;=721,'(橫掃)RX Mapping'!AH46&lt;=840), ('(橫掃)RX Mapping'!AH46-601),IF(AND('(橫掃)RX Mapping'!AH46&gt;=841,'(橫掃)RX Mapping'!AH46&lt;=960), (-1)*('(橫掃)RX Mapping'!AH46-960)+120,9999))))))))</f>
        <v>9999</v>
      </c>
      <c r="AI46">
        <f>IF(AND('(橫掃)RX Mapping'!AI46&gt;=1,'(橫掃)RX Mapping'!AI46&lt;=120), ('(橫掃)RX Mapping'!AI46-1),IF(AND('(橫掃)RX Mapping'!AI46&gt;=121,'(橫掃)RX Mapping'!AI46&lt;=240), (-1)*('(橫掃)RX Mapping'!AI46-240),IF(AND('(橫掃)RX Mapping'!AI46&gt;=241,'(橫掃)RX Mapping'!AI46&lt;=360), ('(橫掃)RX Mapping'!AI46-241),IF(AND('(橫掃)RX Mapping'!AI46&gt;=361,'(橫掃)RX Mapping'!AI46&lt;=480), (-1)*('(橫掃)RX Mapping'!AI46-480),IF(AND('(橫掃)RX Mapping'!AI46&gt;=481,'(橫掃)RX Mapping'!AI46&lt;=600), ('(橫掃)RX Mapping'!AI46-361),IF(AND('(橫掃)RX Mapping'!AI46&gt;=601,'(橫掃)RX Mapping'!AI46&lt;=720), (-1)*('(橫掃)RX Mapping'!AI46-720)+120,IF(AND('(橫掃)RX Mapping'!AI46&gt;=721,'(橫掃)RX Mapping'!AI46&lt;=840), ('(橫掃)RX Mapping'!AI46-601),IF(AND('(橫掃)RX Mapping'!AI46&gt;=841,'(橫掃)RX Mapping'!AI46&lt;=960), (-1)*('(橫掃)RX Mapping'!AI46-960)+120,9999))))))))</f>
        <v>9999</v>
      </c>
      <c r="AJ46">
        <f>IF(AND('(橫掃)RX Mapping'!AJ46&gt;=1,'(橫掃)RX Mapping'!AJ46&lt;=120), ('(橫掃)RX Mapping'!AJ46-1),IF(AND('(橫掃)RX Mapping'!AJ46&gt;=121,'(橫掃)RX Mapping'!AJ46&lt;=240), (-1)*('(橫掃)RX Mapping'!AJ46-240),IF(AND('(橫掃)RX Mapping'!AJ46&gt;=241,'(橫掃)RX Mapping'!AJ46&lt;=360), ('(橫掃)RX Mapping'!AJ46-241),IF(AND('(橫掃)RX Mapping'!AJ46&gt;=361,'(橫掃)RX Mapping'!AJ46&lt;=480), (-1)*('(橫掃)RX Mapping'!AJ46-480),IF(AND('(橫掃)RX Mapping'!AJ46&gt;=481,'(橫掃)RX Mapping'!AJ46&lt;=600), ('(橫掃)RX Mapping'!AJ46-361),IF(AND('(橫掃)RX Mapping'!AJ46&gt;=601,'(橫掃)RX Mapping'!AJ46&lt;=720), (-1)*('(橫掃)RX Mapping'!AJ46-720)+120,IF(AND('(橫掃)RX Mapping'!AJ46&gt;=721,'(橫掃)RX Mapping'!AJ46&lt;=840), ('(橫掃)RX Mapping'!AJ46-601),IF(AND('(橫掃)RX Mapping'!AJ46&gt;=841,'(橫掃)RX Mapping'!AJ46&lt;=960), (-1)*('(橫掃)RX Mapping'!AJ46-960)+120,9999))))))))</f>
        <v>9999</v>
      </c>
      <c r="AK46">
        <f>IF(AND('(橫掃)RX Mapping'!AK46&gt;=1,'(橫掃)RX Mapping'!AK46&lt;=120), ('(橫掃)RX Mapping'!AK46-1),IF(AND('(橫掃)RX Mapping'!AK46&gt;=121,'(橫掃)RX Mapping'!AK46&lt;=240), (-1)*('(橫掃)RX Mapping'!AK46-240),IF(AND('(橫掃)RX Mapping'!AK46&gt;=241,'(橫掃)RX Mapping'!AK46&lt;=360), ('(橫掃)RX Mapping'!AK46-241),IF(AND('(橫掃)RX Mapping'!AK46&gt;=361,'(橫掃)RX Mapping'!AK46&lt;=480), (-1)*('(橫掃)RX Mapping'!AK46-480),IF(AND('(橫掃)RX Mapping'!AK46&gt;=481,'(橫掃)RX Mapping'!AK46&lt;=600), ('(橫掃)RX Mapping'!AK46-361),IF(AND('(橫掃)RX Mapping'!AK46&gt;=601,'(橫掃)RX Mapping'!AK46&lt;=720), (-1)*('(橫掃)RX Mapping'!AK46-720)+120,IF(AND('(橫掃)RX Mapping'!AK46&gt;=721,'(橫掃)RX Mapping'!AK46&lt;=840), ('(橫掃)RX Mapping'!AK46-601),IF(AND('(橫掃)RX Mapping'!AK46&gt;=841,'(橫掃)RX Mapping'!AK46&lt;=960), (-1)*('(橫掃)RX Mapping'!AK46-960)+120,9999))))))))</f>
        <v>9999</v>
      </c>
      <c r="AL46">
        <f>IF(AND('(橫掃)RX Mapping'!AL46&gt;=1,'(橫掃)RX Mapping'!AL46&lt;=120), ('(橫掃)RX Mapping'!AL46-1),IF(AND('(橫掃)RX Mapping'!AL46&gt;=121,'(橫掃)RX Mapping'!AL46&lt;=240), (-1)*('(橫掃)RX Mapping'!AL46-240),IF(AND('(橫掃)RX Mapping'!AL46&gt;=241,'(橫掃)RX Mapping'!AL46&lt;=360), ('(橫掃)RX Mapping'!AL46-241),IF(AND('(橫掃)RX Mapping'!AL46&gt;=361,'(橫掃)RX Mapping'!AL46&lt;=480), (-1)*('(橫掃)RX Mapping'!AL46-480),IF(AND('(橫掃)RX Mapping'!AL46&gt;=481,'(橫掃)RX Mapping'!AL46&lt;=600), ('(橫掃)RX Mapping'!AL46-361),IF(AND('(橫掃)RX Mapping'!AL46&gt;=601,'(橫掃)RX Mapping'!AL46&lt;=720), (-1)*('(橫掃)RX Mapping'!AL46-720)+120,IF(AND('(橫掃)RX Mapping'!AL46&gt;=721,'(橫掃)RX Mapping'!AL46&lt;=840), ('(橫掃)RX Mapping'!AL46-601),IF(AND('(橫掃)RX Mapping'!AL46&gt;=841,'(橫掃)RX Mapping'!AL46&lt;=960), (-1)*('(橫掃)RX Mapping'!AL46-960)+120,9999))))))))</f>
        <v>9999</v>
      </c>
      <c r="AM46">
        <f>IF(AND('(橫掃)RX Mapping'!AM46&gt;=1,'(橫掃)RX Mapping'!AM46&lt;=120), ('(橫掃)RX Mapping'!AM46-1),IF(AND('(橫掃)RX Mapping'!AM46&gt;=121,'(橫掃)RX Mapping'!AM46&lt;=240), (-1)*('(橫掃)RX Mapping'!AM46-240),IF(AND('(橫掃)RX Mapping'!AM46&gt;=241,'(橫掃)RX Mapping'!AM46&lt;=360), ('(橫掃)RX Mapping'!AM46-241),IF(AND('(橫掃)RX Mapping'!AM46&gt;=361,'(橫掃)RX Mapping'!AM46&lt;=480), (-1)*('(橫掃)RX Mapping'!AM46-480),IF(AND('(橫掃)RX Mapping'!AM46&gt;=481,'(橫掃)RX Mapping'!AM46&lt;=600), ('(橫掃)RX Mapping'!AM46-361),IF(AND('(橫掃)RX Mapping'!AM46&gt;=601,'(橫掃)RX Mapping'!AM46&lt;=720), (-1)*('(橫掃)RX Mapping'!AM46-720)+120,IF(AND('(橫掃)RX Mapping'!AM46&gt;=721,'(橫掃)RX Mapping'!AM46&lt;=840), ('(橫掃)RX Mapping'!AM46-601),IF(AND('(橫掃)RX Mapping'!AM46&gt;=841,'(橫掃)RX Mapping'!AM46&lt;=960), (-1)*('(橫掃)RX Mapping'!AM46-960)+120,9999))))))))</f>
        <v>9999</v>
      </c>
      <c r="AN46">
        <f>IF(AND('(橫掃)RX Mapping'!AN46&gt;=1,'(橫掃)RX Mapping'!AN46&lt;=120), ('(橫掃)RX Mapping'!AN46-1),IF(AND('(橫掃)RX Mapping'!AN46&gt;=121,'(橫掃)RX Mapping'!AN46&lt;=240), (-1)*('(橫掃)RX Mapping'!AN46-240),IF(AND('(橫掃)RX Mapping'!AN46&gt;=241,'(橫掃)RX Mapping'!AN46&lt;=360), ('(橫掃)RX Mapping'!AN46-241),IF(AND('(橫掃)RX Mapping'!AN46&gt;=361,'(橫掃)RX Mapping'!AN46&lt;=480), (-1)*('(橫掃)RX Mapping'!AN46-480),IF(AND('(橫掃)RX Mapping'!AN46&gt;=481,'(橫掃)RX Mapping'!AN46&lt;=600), ('(橫掃)RX Mapping'!AN46-361),IF(AND('(橫掃)RX Mapping'!AN46&gt;=601,'(橫掃)RX Mapping'!AN46&lt;=720), (-1)*('(橫掃)RX Mapping'!AN46-720)+120,IF(AND('(橫掃)RX Mapping'!AN46&gt;=721,'(橫掃)RX Mapping'!AN46&lt;=840), ('(橫掃)RX Mapping'!AN46-601),IF(AND('(橫掃)RX Mapping'!AN46&gt;=841,'(橫掃)RX Mapping'!AN46&lt;=960), (-1)*('(橫掃)RX Mapping'!AN46-960)+120,9999))))))))</f>
        <v>9999</v>
      </c>
      <c r="AO46">
        <f>IF(AND('(橫掃)RX Mapping'!AO46&gt;=1,'(橫掃)RX Mapping'!AO46&lt;=120), ('(橫掃)RX Mapping'!AO46-1),IF(AND('(橫掃)RX Mapping'!AO46&gt;=121,'(橫掃)RX Mapping'!AO46&lt;=240), (-1)*('(橫掃)RX Mapping'!AO46-240),IF(AND('(橫掃)RX Mapping'!AO46&gt;=241,'(橫掃)RX Mapping'!AO46&lt;=360), ('(橫掃)RX Mapping'!AO46-241),IF(AND('(橫掃)RX Mapping'!AO46&gt;=361,'(橫掃)RX Mapping'!AO46&lt;=480), (-1)*('(橫掃)RX Mapping'!AO46-480),IF(AND('(橫掃)RX Mapping'!AO46&gt;=481,'(橫掃)RX Mapping'!AO46&lt;=600), ('(橫掃)RX Mapping'!AO46-361),IF(AND('(橫掃)RX Mapping'!AO46&gt;=601,'(橫掃)RX Mapping'!AO46&lt;=720), (-1)*('(橫掃)RX Mapping'!AO46-720)+120,IF(AND('(橫掃)RX Mapping'!AO46&gt;=721,'(橫掃)RX Mapping'!AO46&lt;=840), ('(橫掃)RX Mapping'!AO46-601),IF(AND('(橫掃)RX Mapping'!AO46&gt;=841,'(橫掃)RX Mapping'!AO46&lt;=960), (-1)*('(橫掃)RX Mapping'!AO46-960)+120,9999))))))))</f>
        <v>9999</v>
      </c>
      <c r="AP46">
        <f>IF(AND('(橫掃)RX Mapping'!AP46&gt;=1,'(橫掃)RX Mapping'!AP46&lt;=120), ('(橫掃)RX Mapping'!AP46-1),IF(AND('(橫掃)RX Mapping'!AP46&gt;=121,'(橫掃)RX Mapping'!AP46&lt;=240), (-1)*('(橫掃)RX Mapping'!AP46-240),IF(AND('(橫掃)RX Mapping'!AP46&gt;=241,'(橫掃)RX Mapping'!AP46&lt;=360), ('(橫掃)RX Mapping'!AP46-241),IF(AND('(橫掃)RX Mapping'!AP46&gt;=361,'(橫掃)RX Mapping'!AP46&lt;=480), (-1)*('(橫掃)RX Mapping'!AP46-480),IF(AND('(橫掃)RX Mapping'!AP46&gt;=481,'(橫掃)RX Mapping'!AP46&lt;=600), ('(橫掃)RX Mapping'!AP46-361),IF(AND('(橫掃)RX Mapping'!AP46&gt;=601,'(橫掃)RX Mapping'!AP46&lt;=720), (-1)*('(橫掃)RX Mapping'!AP46-720)+120,IF(AND('(橫掃)RX Mapping'!AP46&gt;=721,'(橫掃)RX Mapping'!AP46&lt;=840), ('(橫掃)RX Mapping'!AP46-601),IF(AND('(橫掃)RX Mapping'!AP46&gt;=841,'(橫掃)RX Mapping'!AP46&lt;=960), (-1)*('(橫掃)RX Mapping'!AP46-960)+120,9999))))))))</f>
        <v>9999</v>
      </c>
      <c r="AQ46">
        <f>IF(AND('(橫掃)RX Mapping'!AQ46&gt;=1,'(橫掃)RX Mapping'!AQ46&lt;=120), ('(橫掃)RX Mapping'!AQ46-1),IF(AND('(橫掃)RX Mapping'!AQ46&gt;=121,'(橫掃)RX Mapping'!AQ46&lt;=240), (-1)*('(橫掃)RX Mapping'!AQ46-240),IF(AND('(橫掃)RX Mapping'!AQ46&gt;=241,'(橫掃)RX Mapping'!AQ46&lt;=360), ('(橫掃)RX Mapping'!AQ46-241),IF(AND('(橫掃)RX Mapping'!AQ46&gt;=361,'(橫掃)RX Mapping'!AQ46&lt;=480), (-1)*('(橫掃)RX Mapping'!AQ46-480),IF(AND('(橫掃)RX Mapping'!AQ46&gt;=481,'(橫掃)RX Mapping'!AQ46&lt;=600), ('(橫掃)RX Mapping'!AQ46-361),IF(AND('(橫掃)RX Mapping'!AQ46&gt;=601,'(橫掃)RX Mapping'!AQ46&lt;=720), (-1)*('(橫掃)RX Mapping'!AQ46-720)+120,IF(AND('(橫掃)RX Mapping'!AQ46&gt;=721,'(橫掃)RX Mapping'!AQ46&lt;=840), ('(橫掃)RX Mapping'!AQ46-601),IF(AND('(橫掃)RX Mapping'!AQ46&gt;=841,'(橫掃)RX Mapping'!AQ46&lt;=960), (-1)*('(橫掃)RX Mapping'!AQ46-960)+120,9999))))))))</f>
        <v>9999</v>
      </c>
      <c r="AR46">
        <f>IF(AND('(橫掃)RX Mapping'!AR46&gt;=1,'(橫掃)RX Mapping'!AR46&lt;=120), ('(橫掃)RX Mapping'!AR46-1),IF(AND('(橫掃)RX Mapping'!AR46&gt;=121,'(橫掃)RX Mapping'!AR46&lt;=240), (-1)*('(橫掃)RX Mapping'!AR46-240),IF(AND('(橫掃)RX Mapping'!AR46&gt;=241,'(橫掃)RX Mapping'!AR46&lt;=360), ('(橫掃)RX Mapping'!AR46-241),IF(AND('(橫掃)RX Mapping'!AR46&gt;=361,'(橫掃)RX Mapping'!AR46&lt;=480), (-1)*('(橫掃)RX Mapping'!AR46-480),IF(AND('(橫掃)RX Mapping'!AR46&gt;=481,'(橫掃)RX Mapping'!AR46&lt;=600), ('(橫掃)RX Mapping'!AR46-361),IF(AND('(橫掃)RX Mapping'!AR46&gt;=601,'(橫掃)RX Mapping'!AR46&lt;=720), (-1)*('(橫掃)RX Mapping'!AR46-720)+120,IF(AND('(橫掃)RX Mapping'!AR46&gt;=721,'(橫掃)RX Mapping'!AR46&lt;=840), ('(橫掃)RX Mapping'!AR46-601),IF(AND('(橫掃)RX Mapping'!AR46&gt;=841,'(橫掃)RX Mapping'!AR46&lt;=960), (-1)*('(橫掃)RX Mapping'!AR46-960)+120,9999))))))))</f>
        <v>9999</v>
      </c>
      <c r="AS46">
        <f>IF(AND('(橫掃)RX Mapping'!AS46&gt;=1,'(橫掃)RX Mapping'!AS46&lt;=120), ('(橫掃)RX Mapping'!AS46-1),IF(AND('(橫掃)RX Mapping'!AS46&gt;=121,'(橫掃)RX Mapping'!AS46&lt;=240), (-1)*('(橫掃)RX Mapping'!AS46-240),IF(AND('(橫掃)RX Mapping'!AS46&gt;=241,'(橫掃)RX Mapping'!AS46&lt;=360), ('(橫掃)RX Mapping'!AS46-241),IF(AND('(橫掃)RX Mapping'!AS46&gt;=361,'(橫掃)RX Mapping'!AS46&lt;=480), (-1)*('(橫掃)RX Mapping'!AS46-480),IF(AND('(橫掃)RX Mapping'!AS46&gt;=481,'(橫掃)RX Mapping'!AS46&lt;=600), ('(橫掃)RX Mapping'!AS46-361),IF(AND('(橫掃)RX Mapping'!AS46&gt;=601,'(橫掃)RX Mapping'!AS46&lt;=720), (-1)*('(橫掃)RX Mapping'!AS46-720)+120,IF(AND('(橫掃)RX Mapping'!AS46&gt;=721,'(橫掃)RX Mapping'!AS46&lt;=840), ('(橫掃)RX Mapping'!AS46-601),IF(AND('(橫掃)RX Mapping'!AS46&gt;=841,'(橫掃)RX Mapping'!AS46&lt;=960), (-1)*('(橫掃)RX Mapping'!AS46-960)+120,9999))))))))</f>
        <v>9999</v>
      </c>
      <c r="AT46">
        <f>IF(AND('(橫掃)RX Mapping'!AT46&gt;=1,'(橫掃)RX Mapping'!AT46&lt;=120), ('(橫掃)RX Mapping'!AT46-1),IF(AND('(橫掃)RX Mapping'!AT46&gt;=121,'(橫掃)RX Mapping'!AT46&lt;=240), (-1)*('(橫掃)RX Mapping'!AT46-240),IF(AND('(橫掃)RX Mapping'!AT46&gt;=241,'(橫掃)RX Mapping'!AT46&lt;=360), ('(橫掃)RX Mapping'!AT46-241),IF(AND('(橫掃)RX Mapping'!AT46&gt;=361,'(橫掃)RX Mapping'!AT46&lt;=480), (-1)*('(橫掃)RX Mapping'!AT46-480),IF(AND('(橫掃)RX Mapping'!AT46&gt;=481,'(橫掃)RX Mapping'!AT46&lt;=600), ('(橫掃)RX Mapping'!AT46-361),IF(AND('(橫掃)RX Mapping'!AT46&gt;=601,'(橫掃)RX Mapping'!AT46&lt;=720), (-1)*('(橫掃)RX Mapping'!AT46-720)+120,IF(AND('(橫掃)RX Mapping'!AT46&gt;=721,'(橫掃)RX Mapping'!AT46&lt;=840), ('(橫掃)RX Mapping'!AT46-601),IF(AND('(橫掃)RX Mapping'!AT46&gt;=841,'(橫掃)RX Mapping'!AT46&lt;=960), (-1)*('(橫掃)RX Mapping'!AT46-960)+120,9999))))))))</f>
        <v>9999</v>
      </c>
      <c r="AU46">
        <f>IF(AND('(橫掃)RX Mapping'!AU46&gt;=1,'(橫掃)RX Mapping'!AU46&lt;=120), ('(橫掃)RX Mapping'!AU46-1),IF(AND('(橫掃)RX Mapping'!AU46&gt;=121,'(橫掃)RX Mapping'!AU46&lt;=240), (-1)*('(橫掃)RX Mapping'!AU46-240),IF(AND('(橫掃)RX Mapping'!AU46&gt;=241,'(橫掃)RX Mapping'!AU46&lt;=360), ('(橫掃)RX Mapping'!AU46-241),IF(AND('(橫掃)RX Mapping'!AU46&gt;=361,'(橫掃)RX Mapping'!AU46&lt;=480), (-1)*('(橫掃)RX Mapping'!AU46-480),IF(AND('(橫掃)RX Mapping'!AU46&gt;=481,'(橫掃)RX Mapping'!AU46&lt;=600), ('(橫掃)RX Mapping'!AU46-361),IF(AND('(橫掃)RX Mapping'!AU46&gt;=601,'(橫掃)RX Mapping'!AU46&lt;=720), (-1)*('(橫掃)RX Mapping'!AU46-720)+120,IF(AND('(橫掃)RX Mapping'!AU46&gt;=721,'(橫掃)RX Mapping'!AU46&lt;=840), ('(橫掃)RX Mapping'!AU46-601),IF(AND('(橫掃)RX Mapping'!AU46&gt;=841,'(橫掃)RX Mapping'!AU46&lt;=960), (-1)*('(橫掃)RX Mapping'!AU46-960)+120,9999))))))))</f>
        <v>9999</v>
      </c>
      <c r="AV46">
        <f>IF(AND('(橫掃)RX Mapping'!AV46&gt;=1,'(橫掃)RX Mapping'!AV46&lt;=120), ('(橫掃)RX Mapping'!AV46-1),IF(AND('(橫掃)RX Mapping'!AV46&gt;=121,'(橫掃)RX Mapping'!AV46&lt;=240), (-1)*('(橫掃)RX Mapping'!AV46-240),IF(AND('(橫掃)RX Mapping'!AV46&gt;=241,'(橫掃)RX Mapping'!AV46&lt;=360), ('(橫掃)RX Mapping'!AV46-241),IF(AND('(橫掃)RX Mapping'!AV46&gt;=361,'(橫掃)RX Mapping'!AV46&lt;=480), (-1)*('(橫掃)RX Mapping'!AV46-480),IF(AND('(橫掃)RX Mapping'!AV46&gt;=481,'(橫掃)RX Mapping'!AV46&lt;=600), ('(橫掃)RX Mapping'!AV46-361),IF(AND('(橫掃)RX Mapping'!AV46&gt;=601,'(橫掃)RX Mapping'!AV46&lt;=720), (-1)*('(橫掃)RX Mapping'!AV46-720)+120,IF(AND('(橫掃)RX Mapping'!AV46&gt;=721,'(橫掃)RX Mapping'!AV46&lt;=840), ('(橫掃)RX Mapping'!AV46-601),IF(AND('(橫掃)RX Mapping'!AV46&gt;=841,'(橫掃)RX Mapping'!AV46&lt;=960), (-1)*('(橫掃)RX Mapping'!AV46-960)+120,9999))))))))</f>
        <v>9999</v>
      </c>
      <c r="AW46">
        <f>IF(AND('(橫掃)RX Mapping'!AW46&gt;=1,'(橫掃)RX Mapping'!AW46&lt;=120), ('(橫掃)RX Mapping'!AW46-1),IF(AND('(橫掃)RX Mapping'!AW46&gt;=121,'(橫掃)RX Mapping'!AW46&lt;=240), (-1)*('(橫掃)RX Mapping'!AW46-240),IF(AND('(橫掃)RX Mapping'!AW46&gt;=241,'(橫掃)RX Mapping'!AW46&lt;=360), ('(橫掃)RX Mapping'!AW46-241),IF(AND('(橫掃)RX Mapping'!AW46&gt;=361,'(橫掃)RX Mapping'!AW46&lt;=480), (-1)*('(橫掃)RX Mapping'!AW46-480),IF(AND('(橫掃)RX Mapping'!AW46&gt;=481,'(橫掃)RX Mapping'!AW46&lt;=600), ('(橫掃)RX Mapping'!AW46-361),IF(AND('(橫掃)RX Mapping'!AW46&gt;=601,'(橫掃)RX Mapping'!AW46&lt;=720), (-1)*('(橫掃)RX Mapping'!AW46-720)+120,IF(AND('(橫掃)RX Mapping'!AW46&gt;=721,'(橫掃)RX Mapping'!AW46&lt;=840), ('(橫掃)RX Mapping'!AW46-601),IF(AND('(橫掃)RX Mapping'!AW46&gt;=841,'(橫掃)RX Mapping'!AW46&lt;=960), (-1)*('(橫掃)RX Mapping'!AW46-960)+120,9999))))))))</f>
        <v>9999</v>
      </c>
      <c r="AX46">
        <f>IF(AND('(橫掃)RX Mapping'!AX46&gt;=1,'(橫掃)RX Mapping'!AX46&lt;=120), ('(橫掃)RX Mapping'!AX46-1),IF(AND('(橫掃)RX Mapping'!AX46&gt;=121,'(橫掃)RX Mapping'!AX46&lt;=240), (-1)*('(橫掃)RX Mapping'!AX46-240),IF(AND('(橫掃)RX Mapping'!AX46&gt;=241,'(橫掃)RX Mapping'!AX46&lt;=360), ('(橫掃)RX Mapping'!AX46-241),IF(AND('(橫掃)RX Mapping'!AX46&gt;=361,'(橫掃)RX Mapping'!AX46&lt;=480), (-1)*('(橫掃)RX Mapping'!AX46-480),IF(AND('(橫掃)RX Mapping'!AX46&gt;=481,'(橫掃)RX Mapping'!AX46&lt;=600), ('(橫掃)RX Mapping'!AX46-361),IF(AND('(橫掃)RX Mapping'!AX46&gt;=601,'(橫掃)RX Mapping'!AX46&lt;=720), (-1)*('(橫掃)RX Mapping'!AX46-720)+120,IF(AND('(橫掃)RX Mapping'!AX46&gt;=721,'(橫掃)RX Mapping'!AX46&lt;=840), ('(橫掃)RX Mapping'!AX46-601),IF(AND('(橫掃)RX Mapping'!AX46&gt;=841,'(橫掃)RX Mapping'!AX46&lt;=960), (-1)*('(橫掃)RX Mapping'!AX46-960)+120,9999))))))))</f>
        <v>9999</v>
      </c>
      <c r="AY46">
        <f>IF(AND('(橫掃)RX Mapping'!AY46&gt;=1,'(橫掃)RX Mapping'!AY46&lt;=120), ('(橫掃)RX Mapping'!AY46-1),IF(AND('(橫掃)RX Mapping'!AY46&gt;=121,'(橫掃)RX Mapping'!AY46&lt;=240), (-1)*('(橫掃)RX Mapping'!AY46-240),IF(AND('(橫掃)RX Mapping'!AY46&gt;=241,'(橫掃)RX Mapping'!AY46&lt;=360), ('(橫掃)RX Mapping'!AY46-241),IF(AND('(橫掃)RX Mapping'!AY46&gt;=361,'(橫掃)RX Mapping'!AY46&lt;=480), (-1)*('(橫掃)RX Mapping'!AY46-480),IF(AND('(橫掃)RX Mapping'!AY46&gt;=481,'(橫掃)RX Mapping'!AY46&lt;=600), ('(橫掃)RX Mapping'!AY46-361),IF(AND('(橫掃)RX Mapping'!AY46&gt;=601,'(橫掃)RX Mapping'!AY46&lt;=720), (-1)*('(橫掃)RX Mapping'!AY46-720)+120,IF(AND('(橫掃)RX Mapping'!AY46&gt;=721,'(橫掃)RX Mapping'!AY46&lt;=840), ('(橫掃)RX Mapping'!AY46-601),IF(AND('(橫掃)RX Mapping'!AY46&gt;=841,'(橫掃)RX Mapping'!AY46&lt;=960), (-1)*('(橫掃)RX Mapping'!AY46-960)+120,9999))))))))</f>
        <v>9999</v>
      </c>
      <c r="AZ46">
        <f>IF(AND('(橫掃)RX Mapping'!AZ46&gt;=1,'(橫掃)RX Mapping'!AZ46&lt;=120), ('(橫掃)RX Mapping'!AZ46-1),IF(AND('(橫掃)RX Mapping'!AZ46&gt;=121,'(橫掃)RX Mapping'!AZ46&lt;=240), (-1)*('(橫掃)RX Mapping'!AZ46-240),IF(AND('(橫掃)RX Mapping'!AZ46&gt;=241,'(橫掃)RX Mapping'!AZ46&lt;=360), ('(橫掃)RX Mapping'!AZ46-241),IF(AND('(橫掃)RX Mapping'!AZ46&gt;=361,'(橫掃)RX Mapping'!AZ46&lt;=480), (-1)*('(橫掃)RX Mapping'!AZ46-480),IF(AND('(橫掃)RX Mapping'!AZ46&gt;=481,'(橫掃)RX Mapping'!AZ46&lt;=600), ('(橫掃)RX Mapping'!AZ46-361),IF(AND('(橫掃)RX Mapping'!AZ46&gt;=601,'(橫掃)RX Mapping'!AZ46&lt;=720), (-1)*('(橫掃)RX Mapping'!AZ46-720)+120,IF(AND('(橫掃)RX Mapping'!AZ46&gt;=721,'(橫掃)RX Mapping'!AZ46&lt;=840), ('(橫掃)RX Mapping'!AZ46-601),IF(AND('(橫掃)RX Mapping'!AZ46&gt;=841,'(橫掃)RX Mapping'!AZ46&lt;=960), (-1)*('(橫掃)RX Mapping'!AZ46-960)+120,9999))))))))</f>
        <v>9999</v>
      </c>
      <c r="BA46">
        <f>IF(AND('(橫掃)RX Mapping'!BA46&gt;=1,'(橫掃)RX Mapping'!BA46&lt;=120), ('(橫掃)RX Mapping'!BA46-1),IF(AND('(橫掃)RX Mapping'!BA46&gt;=121,'(橫掃)RX Mapping'!BA46&lt;=240), (-1)*('(橫掃)RX Mapping'!BA46-240),IF(AND('(橫掃)RX Mapping'!BA46&gt;=241,'(橫掃)RX Mapping'!BA46&lt;=360), ('(橫掃)RX Mapping'!BA46-241),IF(AND('(橫掃)RX Mapping'!BA46&gt;=361,'(橫掃)RX Mapping'!BA46&lt;=480), (-1)*('(橫掃)RX Mapping'!BA46-480),IF(AND('(橫掃)RX Mapping'!BA46&gt;=481,'(橫掃)RX Mapping'!BA46&lt;=600), ('(橫掃)RX Mapping'!BA46-361),IF(AND('(橫掃)RX Mapping'!BA46&gt;=601,'(橫掃)RX Mapping'!BA46&lt;=720), (-1)*('(橫掃)RX Mapping'!BA46-720)+120,IF(AND('(橫掃)RX Mapping'!BA46&gt;=721,'(橫掃)RX Mapping'!BA46&lt;=840), ('(橫掃)RX Mapping'!BA46-601),IF(AND('(橫掃)RX Mapping'!BA46&gt;=841,'(橫掃)RX Mapping'!BA46&lt;=960), (-1)*('(橫掃)RX Mapping'!BA46-960)+120,9999))))))))</f>
        <v>9999</v>
      </c>
      <c r="BB46">
        <f>IF(AND('(橫掃)RX Mapping'!BB46&gt;=1,'(橫掃)RX Mapping'!BB46&lt;=120), ('(橫掃)RX Mapping'!BB46-1),IF(AND('(橫掃)RX Mapping'!BB46&gt;=121,'(橫掃)RX Mapping'!BB46&lt;=240), (-1)*('(橫掃)RX Mapping'!BB46-240),IF(AND('(橫掃)RX Mapping'!BB46&gt;=241,'(橫掃)RX Mapping'!BB46&lt;=360), ('(橫掃)RX Mapping'!BB46-241),IF(AND('(橫掃)RX Mapping'!BB46&gt;=361,'(橫掃)RX Mapping'!BB46&lt;=480), (-1)*('(橫掃)RX Mapping'!BB46-480),IF(AND('(橫掃)RX Mapping'!BB46&gt;=481,'(橫掃)RX Mapping'!BB46&lt;=600), ('(橫掃)RX Mapping'!BB46-361),IF(AND('(橫掃)RX Mapping'!BB46&gt;=601,'(橫掃)RX Mapping'!BB46&lt;=720), (-1)*('(橫掃)RX Mapping'!BB46-720)+120,IF(AND('(橫掃)RX Mapping'!BB46&gt;=721,'(橫掃)RX Mapping'!BB46&lt;=840), ('(橫掃)RX Mapping'!BB46-601),IF(AND('(橫掃)RX Mapping'!BB46&gt;=841,'(橫掃)RX Mapping'!BB46&lt;=960), (-1)*('(橫掃)RX Mapping'!BB46-960)+120,9999))))))))</f>
        <v>9999</v>
      </c>
      <c r="BC46">
        <f>IF(AND('(橫掃)RX Mapping'!BC46&gt;=1,'(橫掃)RX Mapping'!BC46&lt;=120), ('(橫掃)RX Mapping'!BC46-1),IF(AND('(橫掃)RX Mapping'!BC46&gt;=121,'(橫掃)RX Mapping'!BC46&lt;=240), (-1)*('(橫掃)RX Mapping'!BC46-240),IF(AND('(橫掃)RX Mapping'!BC46&gt;=241,'(橫掃)RX Mapping'!BC46&lt;=360), ('(橫掃)RX Mapping'!BC46-241),IF(AND('(橫掃)RX Mapping'!BC46&gt;=361,'(橫掃)RX Mapping'!BC46&lt;=480), (-1)*('(橫掃)RX Mapping'!BC46-480),IF(AND('(橫掃)RX Mapping'!BC46&gt;=481,'(橫掃)RX Mapping'!BC46&lt;=600), ('(橫掃)RX Mapping'!BC46-361),IF(AND('(橫掃)RX Mapping'!BC46&gt;=601,'(橫掃)RX Mapping'!BC46&lt;=720), (-1)*('(橫掃)RX Mapping'!BC46-720)+120,IF(AND('(橫掃)RX Mapping'!BC46&gt;=721,'(橫掃)RX Mapping'!BC46&lt;=840), ('(橫掃)RX Mapping'!BC46-601),IF(AND('(橫掃)RX Mapping'!BC46&gt;=841,'(橫掃)RX Mapping'!BC46&lt;=960), (-1)*('(橫掃)RX Mapping'!BC46-960)+120,9999))))))))</f>
        <v>9999</v>
      </c>
      <c r="BD46">
        <f>IF(AND('(橫掃)RX Mapping'!BD46&gt;=1,'(橫掃)RX Mapping'!BD46&lt;=120), ('(橫掃)RX Mapping'!BD46-1),IF(AND('(橫掃)RX Mapping'!BD46&gt;=121,'(橫掃)RX Mapping'!BD46&lt;=240), (-1)*('(橫掃)RX Mapping'!BD46-240),IF(AND('(橫掃)RX Mapping'!BD46&gt;=241,'(橫掃)RX Mapping'!BD46&lt;=360), ('(橫掃)RX Mapping'!BD46-241),IF(AND('(橫掃)RX Mapping'!BD46&gt;=361,'(橫掃)RX Mapping'!BD46&lt;=480), (-1)*('(橫掃)RX Mapping'!BD46-480),IF(AND('(橫掃)RX Mapping'!BD46&gt;=481,'(橫掃)RX Mapping'!BD46&lt;=600), ('(橫掃)RX Mapping'!BD46-361),IF(AND('(橫掃)RX Mapping'!BD46&gt;=601,'(橫掃)RX Mapping'!BD46&lt;=720), (-1)*('(橫掃)RX Mapping'!BD46-720)+120,IF(AND('(橫掃)RX Mapping'!BD46&gt;=721,'(橫掃)RX Mapping'!BD46&lt;=840), ('(橫掃)RX Mapping'!BD46-601),IF(AND('(橫掃)RX Mapping'!BD46&gt;=841,'(橫掃)RX Mapping'!BD46&lt;=960), (-1)*('(橫掃)RX Mapping'!BD46-960)+120,9999))))))))</f>
        <v>9999</v>
      </c>
      <c r="BE46">
        <f>IF(AND('(橫掃)RX Mapping'!BE46&gt;=1,'(橫掃)RX Mapping'!BE46&lt;=120), ('(橫掃)RX Mapping'!BE46-1),IF(AND('(橫掃)RX Mapping'!BE46&gt;=121,'(橫掃)RX Mapping'!BE46&lt;=240), (-1)*('(橫掃)RX Mapping'!BE46-240),IF(AND('(橫掃)RX Mapping'!BE46&gt;=241,'(橫掃)RX Mapping'!BE46&lt;=360), ('(橫掃)RX Mapping'!BE46-241),IF(AND('(橫掃)RX Mapping'!BE46&gt;=361,'(橫掃)RX Mapping'!BE46&lt;=480), (-1)*('(橫掃)RX Mapping'!BE46-480),IF(AND('(橫掃)RX Mapping'!BE46&gt;=481,'(橫掃)RX Mapping'!BE46&lt;=600), ('(橫掃)RX Mapping'!BE46-361),IF(AND('(橫掃)RX Mapping'!BE46&gt;=601,'(橫掃)RX Mapping'!BE46&lt;=720), (-1)*('(橫掃)RX Mapping'!BE46-720)+120,IF(AND('(橫掃)RX Mapping'!BE46&gt;=721,'(橫掃)RX Mapping'!BE46&lt;=840), ('(橫掃)RX Mapping'!BE46-601),IF(AND('(橫掃)RX Mapping'!BE46&gt;=841,'(橫掃)RX Mapping'!BE46&lt;=960), (-1)*('(橫掃)RX Mapping'!BE46-960)+120,9999))))))))</f>
        <v>9999</v>
      </c>
      <c r="BF46">
        <f>IF(AND('(橫掃)RX Mapping'!BF46&gt;=1,'(橫掃)RX Mapping'!BF46&lt;=120), ('(橫掃)RX Mapping'!BF46-1),IF(AND('(橫掃)RX Mapping'!BF46&gt;=121,'(橫掃)RX Mapping'!BF46&lt;=240), (-1)*('(橫掃)RX Mapping'!BF46-240),IF(AND('(橫掃)RX Mapping'!BF46&gt;=241,'(橫掃)RX Mapping'!BF46&lt;=360), ('(橫掃)RX Mapping'!BF46-241),IF(AND('(橫掃)RX Mapping'!BF46&gt;=361,'(橫掃)RX Mapping'!BF46&lt;=480), (-1)*('(橫掃)RX Mapping'!BF46-480),IF(AND('(橫掃)RX Mapping'!BF46&gt;=481,'(橫掃)RX Mapping'!BF46&lt;=600), ('(橫掃)RX Mapping'!BF46-361),IF(AND('(橫掃)RX Mapping'!BF46&gt;=601,'(橫掃)RX Mapping'!BF46&lt;=720), (-1)*('(橫掃)RX Mapping'!BF46-720)+120,IF(AND('(橫掃)RX Mapping'!BF46&gt;=721,'(橫掃)RX Mapping'!BF46&lt;=840), ('(橫掃)RX Mapping'!BF46-601),IF(AND('(橫掃)RX Mapping'!BF46&gt;=841,'(橫掃)RX Mapping'!BF46&lt;=960), (-1)*('(橫掃)RX Mapping'!BF46-960)+120,9999))))))))</f>
        <v>9999</v>
      </c>
      <c r="BG46">
        <f>IF(AND('(橫掃)RX Mapping'!BG46&gt;=1,'(橫掃)RX Mapping'!BG46&lt;=120), ('(橫掃)RX Mapping'!BG46-1),IF(AND('(橫掃)RX Mapping'!BG46&gt;=121,'(橫掃)RX Mapping'!BG46&lt;=240), (-1)*('(橫掃)RX Mapping'!BG46-240),IF(AND('(橫掃)RX Mapping'!BG46&gt;=241,'(橫掃)RX Mapping'!BG46&lt;=360), ('(橫掃)RX Mapping'!BG46-241),IF(AND('(橫掃)RX Mapping'!BG46&gt;=361,'(橫掃)RX Mapping'!BG46&lt;=480), (-1)*('(橫掃)RX Mapping'!BG46-480),IF(AND('(橫掃)RX Mapping'!BG46&gt;=481,'(橫掃)RX Mapping'!BG46&lt;=600), ('(橫掃)RX Mapping'!BG46-361),IF(AND('(橫掃)RX Mapping'!BG46&gt;=601,'(橫掃)RX Mapping'!BG46&lt;=720), (-1)*('(橫掃)RX Mapping'!BG46-720)+120,IF(AND('(橫掃)RX Mapping'!BG46&gt;=721,'(橫掃)RX Mapping'!BG46&lt;=840), ('(橫掃)RX Mapping'!BG46-601),IF(AND('(橫掃)RX Mapping'!BG46&gt;=841,'(橫掃)RX Mapping'!BG46&lt;=960), (-1)*('(橫掃)RX Mapping'!BG46-960)+120,9999))))))))</f>
        <v>9999</v>
      </c>
      <c r="BH46">
        <f>IF(AND('(橫掃)RX Mapping'!BH46&gt;=1,'(橫掃)RX Mapping'!BH46&lt;=120), ('(橫掃)RX Mapping'!BH46-1),IF(AND('(橫掃)RX Mapping'!BH46&gt;=121,'(橫掃)RX Mapping'!BH46&lt;=240), (-1)*('(橫掃)RX Mapping'!BH46-240),IF(AND('(橫掃)RX Mapping'!BH46&gt;=241,'(橫掃)RX Mapping'!BH46&lt;=360), ('(橫掃)RX Mapping'!BH46-241),IF(AND('(橫掃)RX Mapping'!BH46&gt;=361,'(橫掃)RX Mapping'!BH46&lt;=480), (-1)*('(橫掃)RX Mapping'!BH46-480),IF(AND('(橫掃)RX Mapping'!BH46&gt;=481,'(橫掃)RX Mapping'!BH46&lt;=600), ('(橫掃)RX Mapping'!BH46-361),IF(AND('(橫掃)RX Mapping'!BH46&gt;=601,'(橫掃)RX Mapping'!BH46&lt;=720), (-1)*('(橫掃)RX Mapping'!BH46-720)+120,IF(AND('(橫掃)RX Mapping'!BH46&gt;=721,'(橫掃)RX Mapping'!BH46&lt;=840), ('(橫掃)RX Mapping'!BH46-601),IF(AND('(橫掃)RX Mapping'!BH46&gt;=841,'(橫掃)RX Mapping'!BH46&lt;=960), (-1)*('(橫掃)RX Mapping'!BH46-960)+120,9999))))))))</f>
        <v>9999</v>
      </c>
      <c r="BI46">
        <f>IF(AND('(橫掃)RX Mapping'!BI46&gt;=1,'(橫掃)RX Mapping'!BI46&lt;=120), ('(橫掃)RX Mapping'!BI46-1),IF(AND('(橫掃)RX Mapping'!BI46&gt;=121,'(橫掃)RX Mapping'!BI46&lt;=240), (-1)*('(橫掃)RX Mapping'!BI46-240),IF(AND('(橫掃)RX Mapping'!BI46&gt;=241,'(橫掃)RX Mapping'!BI46&lt;=360), ('(橫掃)RX Mapping'!BI46-241),IF(AND('(橫掃)RX Mapping'!BI46&gt;=361,'(橫掃)RX Mapping'!BI46&lt;=480), (-1)*('(橫掃)RX Mapping'!BI46-480),IF(AND('(橫掃)RX Mapping'!BI46&gt;=481,'(橫掃)RX Mapping'!BI46&lt;=600), ('(橫掃)RX Mapping'!BI46-361),IF(AND('(橫掃)RX Mapping'!BI46&gt;=601,'(橫掃)RX Mapping'!BI46&lt;=720), (-1)*('(橫掃)RX Mapping'!BI46-720)+120,IF(AND('(橫掃)RX Mapping'!BI46&gt;=721,'(橫掃)RX Mapping'!BI46&lt;=840), ('(橫掃)RX Mapping'!BI46-601),IF(AND('(橫掃)RX Mapping'!BI46&gt;=841,'(橫掃)RX Mapping'!BI46&lt;=960), (-1)*('(橫掃)RX Mapping'!BI46-960)+120,9999))))))))</f>
        <v>9999</v>
      </c>
    </row>
    <row r="47" spans="1:61" x14ac:dyDescent="0.25">
      <c r="A47" s="20">
        <v>46</v>
      </c>
      <c r="B47">
        <f>IF(AND('(橫掃)RX Mapping'!B47&gt;=1,'(橫掃)RX Mapping'!B47&lt;=120), ('(橫掃)RX Mapping'!B47-1),IF(AND('(橫掃)RX Mapping'!B47&gt;=121,'(橫掃)RX Mapping'!B47&lt;=240), (-1)*('(橫掃)RX Mapping'!B47-240),IF(AND('(橫掃)RX Mapping'!B47&gt;=241,'(橫掃)RX Mapping'!B47&lt;=360), ('(橫掃)RX Mapping'!B47-241),IF(AND('(橫掃)RX Mapping'!B47&gt;=361,'(橫掃)RX Mapping'!B47&lt;=480), (-1)*('(橫掃)RX Mapping'!B47-480),IF(AND('(橫掃)RX Mapping'!B47&gt;=481,'(橫掃)RX Mapping'!B47&lt;=600), ('(橫掃)RX Mapping'!B47-361),IF(AND('(橫掃)RX Mapping'!B47&gt;=601,'(橫掃)RX Mapping'!B47&lt;=720), (-1)*('(橫掃)RX Mapping'!B47-720)+120,IF(AND('(橫掃)RX Mapping'!B47&gt;=721,'(橫掃)RX Mapping'!B47&lt;=840), ('(橫掃)RX Mapping'!B47-601),IF(AND('(橫掃)RX Mapping'!B47&gt;=841,'(橫掃)RX Mapping'!B47&lt;=960), (-1)*('(橫掃)RX Mapping'!B47-960)+120,9999))))))))</f>
        <v>9999</v>
      </c>
      <c r="C47">
        <f>IF(AND('(橫掃)RX Mapping'!C47&gt;=1,'(橫掃)RX Mapping'!C47&lt;=120), ('(橫掃)RX Mapping'!C47-1),IF(AND('(橫掃)RX Mapping'!C47&gt;=121,'(橫掃)RX Mapping'!C47&lt;=240), (-1)*('(橫掃)RX Mapping'!C47-240),IF(AND('(橫掃)RX Mapping'!C47&gt;=241,'(橫掃)RX Mapping'!C47&lt;=360), ('(橫掃)RX Mapping'!C47-241),IF(AND('(橫掃)RX Mapping'!C47&gt;=361,'(橫掃)RX Mapping'!C47&lt;=480), (-1)*('(橫掃)RX Mapping'!C47-480),IF(AND('(橫掃)RX Mapping'!C47&gt;=481,'(橫掃)RX Mapping'!C47&lt;=600), ('(橫掃)RX Mapping'!C47-361),IF(AND('(橫掃)RX Mapping'!C47&gt;=601,'(橫掃)RX Mapping'!C47&lt;=720), (-1)*('(橫掃)RX Mapping'!C47-720)+120,IF(AND('(橫掃)RX Mapping'!C47&gt;=721,'(橫掃)RX Mapping'!C47&lt;=840), ('(橫掃)RX Mapping'!C47-601),IF(AND('(橫掃)RX Mapping'!C47&gt;=841,'(橫掃)RX Mapping'!C47&lt;=960), (-1)*('(橫掃)RX Mapping'!C47-960)+120,9999))))))))</f>
        <v>9999</v>
      </c>
      <c r="D47">
        <f>IF(AND('(橫掃)RX Mapping'!D47&gt;=1,'(橫掃)RX Mapping'!D47&lt;=120), ('(橫掃)RX Mapping'!D47-1),IF(AND('(橫掃)RX Mapping'!D47&gt;=121,'(橫掃)RX Mapping'!D47&lt;=240), (-1)*('(橫掃)RX Mapping'!D47-240),IF(AND('(橫掃)RX Mapping'!D47&gt;=241,'(橫掃)RX Mapping'!D47&lt;=360), ('(橫掃)RX Mapping'!D47-241),IF(AND('(橫掃)RX Mapping'!D47&gt;=361,'(橫掃)RX Mapping'!D47&lt;=480), (-1)*('(橫掃)RX Mapping'!D47-480),IF(AND('(橫掃)RX Mapping'!D47&gt;=481,'(橫掃)RX Mapping'!D47&lt;=600), ('(橫掃)RX Mapping'!D47-361),IF(AND('(橫掃)RX Mapping'!D47&gt;=601,'(橫掃)RX Mapping'!D47&lt;=720), (-1)*('(橫掃)RX Mapping'!D47-720)+120,IF(AND('(橫掃)RX Mapping'!D47&gt;=721,'(橫掃)RX Mapping'!D47&lt;=840), ('(橫掃)RX Mapping'!D47-601),IF(AND('(橫掃)RX Mapping'!D47&gt;=841,'(橫掃)RX Mapping'!D47&lt;=960), (-1)*('(橫掃)RX Mapping'!D47-960)+120,9999))))))))</f>
        <v>9999</v>
      </c>
      <c r="E47">
        <f>IF(AND('(橫掃)RX Mapping'!E47&gt;=1,'(橫掃)RX Mapping'!E47&lt;=120), ('(橫掃)RX Mapping'!E47-1),IF(AND('(橫掃)RX Mapping'!E47&gt;=121,'(橫掃)RX Mapping'!E47&lt;=240), (-1)*('(橫掃)RX Mapping'!E47-240),IF(AND('(橫掃)RX Mapping'!E47&gt;=241,'(橫掃)RX Mapping'!E47&lt;=360), ('(橫掃)RX Mapping'!E47-241),IF(AND('(橫掃)RX Mapping'!E47&gt;=361,'(橫掃)RX Mapping'!E47&lt;=480), (-1)*('(橫掃)RX Mapping'!E47-480),IF(AND('(橫掃)RX Mapping'!E47&gt;=481,'(橫掃)RX Mapping'!E47&lt;=600), ('(橫掃)RX Mapping'!E47-361),IF(AND('(橫掃)RX Mapping'!E47&gt;=601,'(橫掃)RX Mapping'!E47&lt;=720), (-1)*('(橫掃)RX Mapping'!E47-720)+120,IF(AND('(橫掃)RX Mapping'!E47&gt;=721,'(橫掃)RX Mapping'!E47&lt;=840), ('(橫掃)RX Mapping'!E47-601),IF(AND('(橫掃)RX Mapping'!E47&gt;=841,'(橫掃)RX Mapping'!E47&lt;=960), (-1)*('(橫掃)RX Mapping'!E47-960)+120,9999))))))))</f>
        <v>9999</v>
      </c>
      <c r="F47">
        <f>IF(AND('(橫掃)RX Mapping'!F47&gt;=1,'(橫掃)RX Mapping'!F47&lt;=120), ('(橫掃)RX Mapping'!F47-1),IF(AND('(橫掃)RX Mapping'!F47&gt;=121,'(橫掃)RX Mapping'!F47&lt;=240), (-1)*('(橫掃)RX Mapping'!F47-240),IF(AND('(橫掃)RX Mapping'!F47&gt;=241,'(橫掃)RX Mapping'!F47&lt;=360), ('(橫掃)RX Mapping'!F47-241),IF(AND('(橫掃)RX Mapping'!F47&gt;=361,'(橫掃)RX Mapping'!F47&lt;=480), (-1)*('(橫掃)RX Mapping'!F47-480),IF(AND('(橫掃)RX Mapping'!F47&gt;=481,'(橫掃)RX Mapping'!F47&lt;=600), ('(橫掃)RX Mapping'!F47-361),IF(AND('(橫掃)RX Mapping'!F47&gt;=601,'(橫掃)RX Mapping'!F47&lt;=720), (-1)*('(橫掃)RX Mapping'!F47-720)+120,IF(AND('(橫掃)RX Mapping'!F47&gt;=721,'(橫掃)RX Mapping'!F47&lt;=840), ('(橫掃)RX Mapping'!F47-601),IF(AND('(橫掃)RX Mapping'!F47&gt;=841,'(橫掃)RX Mapping'!F47&lt;=960), (-1)*('(橫掃)RX Mapping'!F47-960)+120,9999))))))))</f>
        <v>9999</v>
      </c>
      <c r="G47">
        <f>IF(AND('(橫掃)RX Mapping'!G47&gt;=1,'(橫掃)RX Mapping'!G47&lt;=120), ('(橫掃)RX Mapping'!G47-1),IF(AND('(橫掃)RX Mapping'!G47&gt;=121,'(橫掃)RX Mapping'!G47&lt;=240), (-1)*('(橫掃)RX Mapping'!G47-240),IF(AND('(橫掃)RX Mapping'!G47&gt;=241,'(橫掃)RX Mapping'!G47&lt;=360), ('(橫掃)RX Mapping'!G47-241),IF(AND('(橫掃)RX Mapping'!G47&gt;=361,'(橫掃)RX Mapping'!G47&lt;=480), (-1)*('(橫掃)RX Mapping'!G47-480),IF(AND('(橫掃)RX Mapping'!G47&gt;=481,'(橫掃)RX Mapping'!G47&lt;=600), ('(橫掃)RX Mapping'!G47-361),IF(AND('(橫掃)RX Mapping'!G47&gt;=601,'(橫掃)RX Mapping'!G47&lt;=720), (-1)*('(橫掃)RX Mapping'!G47-720)+120,IF(AND('(橫掃)RX Mapping'!G47&gt;=721,'(橫掃)RX Mapping'!G47&lt;=840), ('(橫掃)RX Mapping'!G47-601),IF(AND('(橫掃)RX Mapping'!G47&gt;=841,'(橫掃)RX Mapping'!G47&lt;=960), (-1)*('(橫掃)RX Mapping'!G47-960)+120,9999))))))))</f>
        <v>9999</v>
      </c>
      <c r="H47">
        <f>IF(AND('(橫掃)RX Mapping'!H47&gt;=1,'(橫掃)RX Mapping'!H47&lt;=120), ('(橫掃)RX Mapping'!H47-1),IF(AND('(橫掃)RX Mapping'!H47&gt;=121,'(橫掃)RX Mapping'!H47&lt;=240), (-1)*('(橫掃)RX Mapping'!H47-240),IF(AND('(橫掃)RX Mapping'!H47&gt;=241,'(橫掃)RX Mapping'!H47&lt;=360), ('(橫掃)RX Mapping'!H47-241),IF(AND('(橫掃)RX Mapping'!H47&gt;=361,'(橫掃)RX Mapping'!H47&lt;=480), (-1)*('(橫掃)RX Mapping'!H47-480),IF(AND('(橫掃)RX Mapping'!H47&gt;=481,'(橫掃)RX Mapping'!H47&lt;=600), ('(橫掃)RX Mapping'!H47-361),IF(AND('(橫掃)RX Mapping'!H47&gt;=601,'(橫掃)RX Mapping'!H47&lt;=720), (-1)*('(橫掃)RX Mapping'!H47-720)+120,IF(AND('(橫掃)RX Mapping'!H47&gt;=721,'(橫掃)RX Mapping'!H47&lt;=840), ('(橫掃)RX Mapping'!H47-601),IF(AND('(橫掃)RX Mapping'!H47&gt;=841,'(橫掃)RX Mapping'!H47&lt;=960), (-1)*('(橫掃)RX Mapping'!H47-960)+120,9999))))))))</f>
        <v>9999</v>
      </c>
      <c r="I47">
        <f>IF(AND('(橫掃)RX Mapping'!I47&gt;=1,'(橫掃)RX Mapping'!I47&lt;=120), ('(橫掃)RX Mapping'!I47-1),IF(AND('(橫掃)RX Mapping'!I47&gt;=121,'(橫掃)RX Mapping'!I47&lt;=240), (-1)*('(橫掃)RX Mapping'!I47-240),IF(AND('(橫掃)RX Mapping'!I47&gt;=241,'(橫掃)RX Mapping'!I47&lt;=360), ('(橫掃)RX Mapping'!I47-241),IF(AND('(橫掃)RX Mapping'!I47&gt;=361,'(橫掃)RX Mapping'!I47&lt;=480), (-1)*('(橫掃)RX Mapping'!I47-480),IF(AND('(橫掃)RX Mapping'!I47&gt;=481,'(橫掃)RX Mapping'!I47&lt;=600), ('(橫掃)RX Mapping'!I47-361),IF(AND('(橫掃)RX Mapping'!I47&gt;=601,'(橫掃)RX Mapping'!I47&lt;=720), (-1)*('(橫掃)RX Mapping'!I47-720)+120,IF(AND('(橫掃)RX Mapping'!I47&gt;=721,'(橫掃)RX Mapping'!I47&lt;=840), ('(橫掃)RX Mapping'!I47-601),IF(AND('(橫掃)RX Mapping'!I47&gt;=841,'(橫掃)RX Mapping'!I47&lt;=960), (-1)*('(橫掃)RX Mapping'!I47-960)+120,9999))))))))</f>
        <v>9999</v>
      </c>
      <c r="J47">
        <f>IF(AND('(橫掃)RX Mapping'!J47&gt;=1,'(橫掃)RX Mapping'!J47&lt;=120), ('(橫掃)RX Mapping'!J47-1),IF(AND('(橫掃)RX Mapping'!J47&gt;=121,'(橫掃)RX Mapping'!J47&lt;=240), (-1)*('(橫掃)RX Mapping'!J47-240),IF(AND('(橫掃)RX Mapping'!J47&gt;=241,'(橫掃)RX Mapping'!J47&lt;=360), ('(橫掃)RX Mapping'!J47-241),IF(AND('(橫掃)RX Mapping'!J47&gt;=361,'(橫掃)RX Mapping'!J47&lt;=480), (-1)*('(橫掃)RX Mapping'!J47-480),IF(AND('(橫掃)RX Mapping'!J47&gt;=481,'(橫掃)RX Mapping'!J47&lt;=600), ('(橫掃)RX Mapping'!J47-361),IF(AND('(橫掃)RX Mapping'!J47&gt;=601,'(橫掃)RX Mapping'!J47&lt;=720), (-1)*('(橫掃)RX Mapping'!J47-720)+120,IF(AND('(橫掃)RX Mapping'!J47&gt;=721,'(橫掃)RX Mapping'!J47&lt;=840), ('(橫掃)RX Mapping'!J47-601),IF(AND('(橫掃)RX Mapping'!J47&gt;=841,'(橫掃)RX Mapping'!J47&lt;=960), (-1)*('(橫掃)RX Mapping'!J47-960)+120,9999))))))))</f>
        <v>9999</v>
      </c>
      <c r="K47">
        <f>IF(AND('(橫掃)RX Mapping'!K47&gt;=1,'(橫掃)RX Mapping'!K47&lt;=120), ('(橫掃)RX Mapping'!K47-1),IF(AND('(橫掃)RX Mapping'!K47&gt;=121,'(橫掃)RX Mapping'!K47&lt;=240), (-1)*('(橫掃)RX Mapping'!K47-240),IF(AND('(橫掃)RX Mapping'!K47&gt;=241,'(橫掃)RX Mapping'!K47&lt;=360), ('(橫掃)RX Mapping'!K47-241),IF(AND('(橫掃)RX Mapping'!K47&gt;=361,'(橫掃)RX Mapping'!K47&lt;=480), (-1)*('(橫掃)RX Mapping'!K47-480),IF(AND('(橫掃)RX Mapping'!K47&gt;=481,'(橫掃)RX Mapping'!K47&lt;=600), ('(橫掃)RX Mapping'!K47-361),IF(AND('(橫掃)RX Mapping'!K47&gt;=601,'(橫掃)RX Mapping'!K47&lt;=720), (-1)*('(橫掃)RX Mapping'!K47-720)+120,IF(AND('(橫掃)RX Mapping'!K47&gt;=721,'(橫掃)RX Mapping'!K47&lt;=840), ('(橫掃)RX Mapping'!K47-601),IF(AND('(橫掃)RX Mapping'!K47&gt;=841,'(橫掃)RX Mapping'!K47&lt;=960), (-1)*('(橫掃)RX Mapping'!K47-960)+120,9999))))))))</f>
        <v>9999</v>
      </c>
      <c r="L47">
        <f>IF(AND('(橫掃)RX Mapping'!L47&gt;=1,'(橫掃)RX Mapping'!L47&lt;=120), ('(橫掃)RX Mapping'!L47-1),IF(AND('(橫掃)RX Mapping'!L47&gt;=121,'(橫掃)RX Mapping'!L47&lt;=240), (-1)*('(橫掃)RX Mapping'!L47-240),IF(AND('(橫掃)RX Mapping'!L47&gt;=241,'(橫掃)RX Mapping'!L47&lt;=360), ('(橫掃)RX Mapping'!L47-241),IF(AND('(橫掃)RX Mapping'!L47&gt;=361,'(橫掃)RX Mapping'!L47&lt;=480), (-1)*('(橫掃)RX Mapping'!L47-480),IF(AND('(橫掃)RX Mapping'!L47&gt;=481,'(橫掃)RX Mapping'!L47&lt;=600), ('(橫掃)RX Mapping'!L47-361),IF(AND('(橫掃)RX Mapping'!L47&gt;=601,'(橫掃)RX Mapping'!L47&lt;=720), (-1)*('(橫掃)RX Mapping'!L47-720)+120,IF(AND('(橫掃)RX Mapping'!L47&gt;=721,'(橫掃)RX Mapping'!L47&lt;=840), ('(橫掃)RX Mapping'!L47-601),IF(AND('(橫掃)RX Mapping'!L47&gt;=841,'(橫掃)RX Mapping'!L47&lt;=960), (-1)*('(橫掃)RX Mapping'!L47-960)+120,9999))))))))</f>
        <v>9999</v>
      </c>
      <c r="M47">
        <f>IF(AND('(橫掃)RX Mapping'!M47&gt;=1,'(橫掃)RX Mapping'!M47&lt;=120), ('(橫掃)RX Mapping'!M47-1),IF(AND('(橫掃)RX Mapping'!M47&gt;=121,'(橫掃)RX Mapping'!M47&lt;=240), (-1)*('(橫掃)RX Mapping'!M47-240),IF(AND('(橫掃)RX Mapping'!M47&gt;=241,'(橫掃)RX Mapping'!M47&lt;=360), ('(橫掃)RX Mapping'!M47-241),IF(AND('(橫掃)RX Mapping'!M47&gt;=361,'(橫掃)RX Mapping'!M47&lt;=480), (-1)*('(橫掃)RX Mapping'!M47-480),IF(AND('(橫掃)RX Mapping'!M47&gt;=481,'(橫掃)RX Mapping'!M47&lt;=600), ('(橫掃)RX Mapping'!M47-361),IF(AND('(橫掃)RX Mapping'!M47&gt;=601,'(橫掃)RX Mapping'!M47&lt;=720), (-1)*('(橫掃)RX Mapping'!M47-720)+120,IF(AND('(橫掃)RX Mapping'!M47&gt;=721,'(橫掃)RX Mapping'!M47&lt;=840), ('(橫掃)RX Mapping'!M47-601),IF(AND('(橫掃)RX Mapping'!M47&gt;=841,'(橫掃)RX Mapping'!M47&lt;=960), (-1)*('(橫掃)RX Mapping'!M47-960)+120,9999))))))))</f>
        <v>9999</v>
      </c>
      <c r="N47">
        <f>IF(AND('(橫掃)RX Mapping'!N47&gt;=1,'(橫掃)RX Mapping'!N47&lt;=120), ('(橫掃)RX Mapping'!N47-1),IF(AND('(橫掃)RX Mapping'!N47&gt;=121,'(橫掃)RX Mapping'!N47&lt;=240), (-1)*('(橫掃)RX Mapping'!N47-240),IF(AND('(橫掃)RX Mapping'!N47&gt;=241,'(橫掃)RX Mapping'!N47&lt;=360), ('(橫掃)RX Mapping'!N47-241),IF(AND('(橫掃)RX Mapping'!N47&gt;=361,'(橫掃)RX Mapping'!N47&lt;=480), (-1)*('(橫掃)RX Mapping'!N47-480),IF(AND('(橫掃)RX Mapping'!N47&gt;=481,'(橫掃)RX Mapping'!N47&lt;=600), ('(橫掃)RX Mapping'!N47-361),IF(AND('(橫掃)RX Mapping'!N47&gt;=601,'(橫掃)RX Mapping'!N47&lt;=720), (-1)*('(橫掃)RX Mapping'!N47-720)+120,IF(AND('(橫掃)RX Mapping'!N47&gt;=721,'(橫掃)RX Mapping'!N47&lt;=840), ('(橫掃)RX Mapping'!N47-601),IF(AND('(橫掃)RX Mapping'!N47&gt;=841,'(橫掃)RX Mapping'!N47&lt;=960), (-1)*('(橫掃)RX Mapping'!N47-960)+120,9999))))))))</f>
        <v>9999</v>
      </c>
      <c r="O47">
        <f>IF(AND('(橫掃)RX Mapping'!O47&gt;=1,'(橫掃)RX Mapping'!O47&lt;=120), ('(橫掃)RX Mapping'!O47-1),IF(AND('(橫掃)RX Mapping'!O47&gt;=121,'(橫掃)RX Mapping'!O47&lt;=240), (-1)*('(橫掃)RX Mapping'!O47-240),IF(AND('(橫掃)RX Mapping'!O47&gt;=241,'(橫掃)RX Mapping'!O47&lt;=360), ('(橫掃)RX Mapping'!O47-241),IF(AND('(橫掃)RX Mapping'!O47&gt;=361,'(橫掃)RX Mapping'!O47&lt;=480), (-1)*('(橫掃)RX Mapping'!O47-480),IF(AND('(橫掃)RX Mapping'!O47&gt;=481,'(橫掃)RX Mapping'!O47&lt;=600), ('(橫掃)RX Mapping'!O47-361),IF(AND('(橫掃)RX Mapping'!O47&gt;=601,'(橫掃)RX Mapping'!O47&lt;=720), (-1)*('(橫掃)RX Mapping'!O47-720)+120,IF(AND('(橫掃)RX Mapping'!O47&gt;=721,'(橫掃)RX Mapping'!O47&lt;=840), ('(橫掃)RX Mapping'!O47-601),IF(AND('(橫掃)RX Mapping'!O47&gt;=841,'(橫掃)RX Mapping'!O47&lt;=960), (-1)*('(橫掃)RX Mapping'!O47-960)+120,9999))))))))</f>
        <v>9999</v>
      </c>
      <c r="P47">
        <f>IF(AND('(橫掃)RX Mapping'!P47&gt;=1,'(橫掃)RX Mapping'!P47&lt;=120), ('(橫掃)RX Mapping'!P47-1),IF(AND('(橫掃)RX Mapping'!P47&gt;=121,'(橫掃)RX Mapping'!P47&lt;=240), (-1)*('(橫掃)RX Mapping'!P47-240),IF(AND('(橫掃)RX Mapping'!P47&gt;=241,'(橫掃)RX Mapping'!P47&lt;=360), ('(橫掃)RX Mapping'!P47-241),IF(AND('(橫掃)RX Mapping'!P47&gt;=361,'(橫掃)RX Mapping'!P47&lt;=480), (-1)*('(橫掃)RX Mapping'!P47-480),IF(AND('(橫掃)RX Mapping'!P47&gt;=481,'(橫掃)RX Mapping'!P47&lt;=600), ('(橫掃)RX Mapping'!P47-361),IF(AND('(橫掃)RX Mapping'!P47&gt;=601,'(橫掃)RX Mapping'!P47&lt;=720), (-1)*('(橫掃)RX Mapping'!P47-720)+120,IF(AND('(橫掃)RX Mapping'!P47&gt;=721,'(橫掃)RX Mapping'!P47&lt;=840), ('(橫掃)RX Mapping'!P47-601),IF(AND('(橫掃)RX Mapping'!P47&gt;=841,'(橫掃)RX Mapping'!P47&lt;=960), (-1)*('(橫掃)RX Mapping'!P47-960)+120,9999))))))))</f>
        <v>9999</v>
      </c>
      <c r="Q47">
        <f>IF(AND('(橫掃)RX Mapping'!Q47&gt;=1,'(橫掃)RX Mapping'!Q47&lt;=120), ('(橫掃)RX Mapping'!Q47-1),IF(AND('(橫掃)RX Mapping'!Q47&gt;=121,'(橫掃)RX Mapping'!Q47&lt;=240), (-1)*('(橫掃)RX Mapping'!Q47-240),IF(AND('(橫掃)RX Mapping'!Q47&gt;=241,'(橫掃)RX Mapping'!Q47&lt;=360), ('(橫掃)RX Mapping'!Q47-241),IF(AND('(橫掃)RX Mapping'!Q47&gt;=361,'(橫掃)RX Mapping'!Q47&lt;=480), (-1)*('(橫掃)RX Mapping'!Q47-480),IF(AND('(橫掃)RX Mapping'!Q47&gt;=481,'(橫掃)RX Mapping'!Q47&lt;=600), ('(橫掃)RX Mapping'!Q47-361),IF(AND('(橫掃)RX Mapping'!Q47&gt;=601,'(橫掃)RX Mapping'!Q47&lt;=720), (-1)*('(橫掃)RX Mapping'!Q47-720)+120,IF(AND('(橫掃)RX Mapping'!Q47&gt;=721,'(橫掃)RX Mapping'!Q47&lt;=840), ('(橫掃)RX Mapping'!Q47-601),IF(AND('(橫掃)RX Mapping'!Q47&gt;=841,'(橫掃)RX Mapping'!Q47&lt;=960), (-1)*('(橫掃)RX Mapping'!Q47-960)+120,9999))))))))</f>
        <v>9999</v>
      </c>
      <c r="R47">
        <f>IF(AND('(橫掃)RX Mapping'!R47&gt;=1,'(橫掃)RX Mapping'!R47&lt;=120), ('(橫掃)RX Mapping'!R47-1),IF(AND('(橫掃)RX Mapping'!R47&gt;=121,'(橫掃)RX Mapping'!R47&lt;=240), (-1)*('(橫掃)RX Mapping'!R47-240),IF(AND('(橫掃)RX Mapping'!R47&gt;=241,'(橫掃)RX Mapping'!R47&lt;=360), ('(橫掃)RX Mapping'!R47-241),IF(AND('(橫掃)RX Mapping'!R47&gt;=361,'(橫掃)RX Mapping'!R47&lt;=480), (-1)*('(橫掃)RX Mapping'!R47-480),IF(AND('(橫掃)RX Mapping'!R47&gt;=481,'(橫掃)RX Mapping'!R47&lt;=600), ('(橫掃)RX Mapping'!R47-361),IF(AND('(橫掃)RX Mapping'!R47&gt;=601,'(橫掃)RX Mapping'!R47&lt;=720), (-1)*('(橫掃)RX Mapping'!R47-720)+120,IF(AND('(橫掃)RX Mapping'!R47&gt;=721,'(橫掃)RX Mapping'!R47&lt;=840), ('(橫掃)RX Mapping'!R47-601),IF(AND('(橫掃)RX Mapping'!R47&gt;=841,'(橫掃)RX Mapping'!R47&lt;=960), (-1)*('(橫掃)RX Mapping'!R47-960)+120,9999))))))))</f>
        <v>9999</v>
      </c>
      <c r="S47">
        <f>IF(AND('(橫掃)RX Mapping'!S47&gt;=1,'(橫掃)RX Mapping'!S47&lt;=120), ('(橫掃)RX Mapping'!S47-1),IF(AND('(橫掃)RX Mapping'!S47&gt;=121,'(橫掃)RX Mapping'!S47&lt;=240), (-1)*('(橫掃)RX Mapping'!S47-240),IF(AND('(橫掃)RX Mapping'!S47&gt;=241,'(橫掃)RX Mapping'!S47&lt;=360), ('(橫掃)RX Mapping'!S47-241),IF(AND('(橫掃)RX Mapping'!S47&gt;=361,'(橫掃)RX Mapping'!S47&lt;=480), (-1)*('(橫掃)RX Mapping'!S47-480),IF(AND('(橫掃)RX Mapping'!S47&gt;=481,'(橫掃)RX Mapping'!S47&lt;=600), ('(橫掃)RX Mapping'!S47-361),IF(AND('(橫掃)RX Mapping'!S47&gt;=601,'(橫掃)RX Mapping'!S47&lt;=720), (-1)*('(橫掃)RX Mapping'!S47-720)+120,IF(AND('(橫掃)RX Mapping'!S47&gt;=721,'(橫掃)RX Mapping'!S47&lt;=840), ('(橫掃)RX Mapping'!S47-601),IF(AND('(橫掃)RX Mapping'!S47&gt;=841,'(橫掃)RX Mapping'!S47&lt;=960), (-1)*('(橫掃)RX Mapping'!S47-960)+120,9999))))))))</f>
        <v>9999</v>
      </c>
      <c r="T47">
        <f>IF(AND('(橫掃)RX Mapping'!T47&gt;=1,'(橫掃)RX Mapping'!T47&lt;=120), ('(橫掃)RX Mapping'!T47-1),IF(AND('(橫掃)RX Mapping'!T47&gt;=121,'(橫掃)RX Mapping'!T47&lt;=240), (-1)*('(橫掃)RX Mapping'!T47-240),IF(AND('(橫掃)RX Mapping'!T47&gt;=241,'(橫掃)RX Mapping'!T47&lt;=360), ('(橫掃)RX Mapping'!T47-241),IF(AND('(橫掃)RX Mapping'!T47&gt;=361,'(橫掃)RX Mapping'!T47&lt;=480), (-1)*('(橫掃)RX Mapping'!T47-480),IF(AND('(橫掃)RX Mapping'!T47&gt;=481,'(橫掃)RX Mapping'!T47&lt;=600), ('(橫掃)RX Mapping'!T47-361),IF(AND('(橫掃)RX Mapping'!T47&gt;=601,'(橫掃)RX Mapping'!T47&lt;=720), (-1)*('(橫掃)RX Mapping'!T47-720)+120,IF(AND('(橫掃)RX Mapping'!T47&gt;=721,'(橫掃)RX Mapping'!T47&lt;=840), ('(橫掃)RX Mapping'!T47-601),IF(AND('(橫掃)RX Mapping'!T47&gt;=841,'(橫掃)RX Mapping'!T47&lt;=960), (-1)*('(橫掃)RX Mapping'!T47-960)+120,9999))))))))</f>
        <v>9999</v>
      </c>
      <c r="U47">
        <f>IF(AND('(橫掃)RX Mapping'!U47&gt;=1,'(橫掃)RX Mapping'!U47&lt;=120), ('(橫掃)RX Mapping'!U47-1),IF(AND('(橫掃)RX Mapping'!U47&gt;=121,'(橫掃)RX Mapping'!U47&lt;=240), (-1)*('(橫掃)RX Mapping'!U47-240),IF(AND('(橫掃)RX Mapping'!U47&gt;=241,'(橫掃)RX Mapping'!U47&lt;=360), ('(橫掃)RX Mapping'!U47-241),IF(AND('(橫掃)RX Mapping'!U47&gt;=361,'(橫掃)RX Mapping'!U47&lt;=480), (-1)*('(橫掃)RX Mapping'!U47-480),IF(AND('(橫掃)RX Mapping'!U47&gt;=481,'(橫掃)RX Mapping'!U47&lt;=600), ('(橫掃)RX Mapping'!U47-361),IF(AND('(橫掃)RX Mapping'!U47&gt;=601,'(橫掃)RX Mapping'!U47&lt;=720), (-1)*('(橫掃)RX Mapping'!U47-720)+120,IF(AND('(橫掃)RX Mapping'!U47&gt;=721,'(橫掃)RX Mapping'!U47&lt;=840), ('(橫掃)RX Mapping'!U47-601),IF(AND('(橫掃)RX Mapping'!U47&gt;=841,'(橫掃)RX Mapping'!U47&lt;=960), (-1)*('(橫掃)RX Mapping'!U47-960)+120,9999))))))))</f>
        <v>9999</v>
      </c>
      <c r="V47">
        <f>IF(AND('(橫掃)RX Mapping'!V47&gt;=1,'(橫掃)RX Mapping'!V47&lt;=120), ('(橫掃)RX Mapping'!V47-1),IF(AND('(橫掃)RX Mapping'!V47&gt;=121,'(橫掃)RX Mapping'!V47&lt;=240), (-1)*('(橫掃)RX Mapping'!V47-240),IF(AND('(橫掃)RX Mapping'!V47&gt;=241,'(橫掃)RX Mapping'!V47&lt;=360), ('(橫掃)RX Mapping'!V47-241),IF(AND('(橫掃)RX Mapping'!V47&gt;=361,'(橫掃)RX Mapping'!V47&lt;=480), (-1)*('(橫掃)RX Mapping'!V47-480),IF(AND('(橫掃)RX Mapping'!V47&gt;=481,'(橫掃)RX Mapping'!V47&lt;=600), ('(橫掃)RX Mapping'!V47-361),IF(AND('(橫掃)RX Mapping'!V47&gt;=601,'(橫掃)RX Mapping'!V47&lt;=720), (-1)*('(橫掃)RX Mapping'!V47-720)+120,IF(AND('(橫掃)RX Mapping'!V47&gt;=721,'(橫掃)RX Mapping'!V47&lt;=840), ('(橫掃)RX Mapping'!V47-601),IF(AND('(橫掃)RX Mapping'!V47&gt;=841,'(橫掃)RX Mapping'!V47&lt;=960), (-1)*('(橫掃)RX Mapping'!V47-960)+120,9999))))))))</f>
        <v>9999</v>
      </c>
      <c r="W47">
        <f>IF(AND('(橫掃)RX Mapping'!W47&gt;=1,'(橫掃)RX Mapping'!W47&lt;=120), ('(橫掃)RX Mapping'!W47-1),IF(AND('(橫掃)RX Mapping'!W47&gt;=121,'(橫掃)RX Mapping'!W47&lt;=240), (-1)*('(橫掃)RX Mapping'!W47-240),IF(AND('(橫掃)RX Mapping'!W47&gt;=241,'(橫掃)RX Mapping'!W47&lt;=360), ('(橫掃)RX Mapping'!W47-241),IF(AND('(橫掃)RX Mapping'!W47&gt;=361,'(橫掃)RX Mapping'!W47&lt;=480), (-1)*('(橫掃)RX Mapping'!W47-480),IF(AND('(橫掃)RX Mapping'!W47&gt;=481,'(橫掃)RX Mapping'!W47&lt;=600), ('(橫掃)RX Mapping'!W47-361),IF(AND('(橫掃)RX Mapping'!W47&gt;=601,'(橫掃)RX Mapping'!W47&lt;=720), (-1)*('(橫掃)RX Mapping'!W47-720)+120,IF(AND('(橫掃)RX Mapping'!W47&gt;=721,'(橫掃)RX Mapping'!W47&lt;=840), ('(橫掃)RX Mapping'!W47-601),IF(AND('(橫掃)RX Mapping'!W47&gt;=841,'(橫掃)RX Mapping'!W47&lt;=960), (-1)*('(橫掃)RX Mapping'!W47-960)+120,9999))))))))</f>
        <v>9999</v>
      </c>
      <c r="X47">
        <f>IF(AND('(橫掃)RX Mapping'!X47&gt;=1,'(橫掃)RX Mapping'!X47&lt;=120), ('(橫掃)RX Mapping'!X47-1),IF(AND('(橫掃)RX Mapping'!X47&gt;=121,'(橫掃)RX Mapping'!X47&lt;=240), (-1)*('(橫掃)RX Mapping'!X47-240),IF(AND('(橫掃)RX Mapping'!X47&gt;=241,'(橫掃)RX Mapping'!X47&lt;=360), ('(橫掃)RX Mapping'!X47-241),IF(AND('(橫掃)RX Mapping'!X47&gt;=361,'(橫掃)RX Mapping'!X47&lt;=480), (-1)*('(橫掃)RX Mapping'!X47-480),IF(AND('(橫掃)RX Mapping'!X47&gt;=481,'(橫掃)RX Mapping'!X47&lt;=600), ('(橫掃)RX Mapping'!X47-361),IF(AND('(橫掃)RX Mapping'!X47&gt;=601,'(橫掃)RX Mapping'!X47&lt;=720), (-1)*('(橫掃)RX Mapping'!X47-720)+120,IF(AND('(橫掃)RX Mapping'!X47&gt;=721,'(橫掃)RX Mapping'!X47&lt;=840), ('(橫掃)RX Mapping'!X47-601),IF(AND('(橫掃)RX Mapping'!X47&gt;=841,'(橫掃)RX Mapping'!X47&lt;=960), (-1)*('(橫掃)RX Mapping'!X47-960)+120,9999))))))))</f>
        <v>9999</v>
      </c>
      <c r="Y47">
        <f>IF(AND('(橫掃)RX Mapping'!Y47&gt;=1,'(橫掃)RX Mapping'!Y47&lt;=120), ('(橫掃)RX Mapping'!Y47-1),IF(AND('(橫掃)RX Mapping'!Y47&gt;=121,'(橫掃)RX Mapping'!Y47&lt;=240), (-1)*('(橫掃)RX Mapping'!Y47-240),IF(AND('(橫掃)RX Mapping'!Y47&gt;=241,'(橫掃)RX Mapping'!Y47&lt;=360), ('(橫掃)RX Mapping'!Y47-241),IF(AND('(橫掃)RX Mapping'!Y47&gt;=361,'(橫掃)RX Mapping'!Y47&lt;=480), (-1)*('(橫掃)RX Mapping'!Y47-480),IF(AND('(橫掃)RX Mapping'!Y47&gt;=481,'(橫掃)RX Mapping'!Y47&lt;=600), ('(橫掃)RX Mapping'!Y47-361),IF(AND('(橫掃)RX Mapping'!Y47&gt;=601,'(橫掃)RX Mapping'!Y47&lt;=720), (-1)*('(橫掃)RX Mapping'!Y47-720)+120,IF(AND('(橫掃)RX Mapping'!Y47&gt;=721,'(橫掃)RX Mapping'!Y47&lt;=840), ('(橫掃)RX Mapping'!Y47-601),IF(AND('(橫掃)RX Mapping'!Y47&gt;=841,'(橫掃)RX Mapping'!Y47&lt;=960), (-1)*('(橫掃)RX Mapping'!Y47-960)+120,9999))))))))</f>
        <v>9999</v>
      </c>
      <c r="Z47">
        <f>IF(AND('(橫掃)RX Mapping'!Z47&gt;=1,'(橫掃)RX Mapping'!Z47&lt;=120), ('(橫掃)RX Mapping'!Z47-1),IF(AND('(橫掃)RX Mapping'!Z47&gt;=121,'(橫掃)RX Mapping'!Z47&lt;=240), (-1)*('(橫掃)RX Mapping'!Z47-240),IF(AND('(橫掃)RX Mapping'!Z47&gt;=241,'(橫掃)RX Mapping'!Z47&lt;=360), ('(橫掃)RX Mapping'!Z47-241),IF(AND('(橫掃)RX Mapping'!Z47&gt;=361,'(橫掃)RX Mapping'!Z47&lt;=480), (-1)*('(橫掃)RX Mapping'!Z47-480),IF(AND('(橫掃)RX Mapping'!Z47&gt;=481,'(橫掃)RX Mapping'!Z47&lt;=600), ('(橫掃)RX Mapping'!Z47-361),IF(AND('(橫掃)RX Mapping'!Z47&gt;=601,'(橫掃)RX Mapping'!Z47&lt;=720), (-1)*('(橫掃)RX Mapping'!Z47-720)+120,IF(AND('(橫掃)RX Mapping'!Z47&gt;=721,'(橫掃)RX Mapping'!Z47&lt;=840), ('(橫掃)RX Mapping'!Z47-601),IF(AND('(橫掃)RX Mapping'!Z47&gt;=841,'(橫掃)RX Mapping'!Z47&lt;=960), (-1)*('(橫掃)RX Mapping'!Z47-960)+120,9999))))))))</f>
        <v>9999</v>
      </c>
      <c r="AA47">
        <f>IF(AND('(橫掃)RX Mapping'!AA47&gt;=1,'(橫掃)RX Mapping'!AA47&lt;=120), ('(橫掃)RX Mapping'!AA47-1),IF(AND('(橫掃)RX Mapping'!AA47&gt;=121,'(橫掃)RX Mapping'!AA47&lt;=240), (-1)*('(橫掃)RX Mapping'!AA47-240),IF(AND('(橫掃)RX Mapping'!AA47&gt;=241,'(橫掃)RX Mapping'!AA47&lt;=360), ('(橫掃)RX Mapping'!AA47-241),IF(AND('(橫掃)RX Mapping'!AA47&gt;=361,'(橫掃)RX Mapping'!AA47&lt;=480), (-1)*('(橫掃)RX Mapping'!AA47-480),IF(AND('(橫掃)RX Mapping'!AA47&gt;=481,'(橫掃)RX Mapping'!AA47&lt;=600), ('(橫掃)RX Mapping'!AA47-361),IF(AND('(橫掃)RX Mapping'!AA47&gt;=601,'(橫掃)RX Mapping'!AA47&lt;=720), (-1)*('(橫掃)RX Mapping'!AA47-720)+120,IF(AND('(橫掃)RX Mapping'!AA47&gt;=721,'(橫掃)RX Mapping'!AA47&lt;=840), ('(橫掃)RX Mapping'!AA47-601),IF(AND('(橫掃)RX Mapping'!AA47&gt;=841,'(橫掃)RX Mapping'!AA47&lt;=960), (-1)*('(橫掃)RX Mapping'!AA47-960)+120,9999))))))))</f>
        <v>9999</v>
      </c>
      <c r="AB47">
        <f>IF(AND('(橫掃)RX Mapping'!AB47&gt;=1,'(橫掃)RX Mapping'!AB47&lt;=120), ('(橫掃)RX Mapping'!AB47-1),IF(AND('(橫掃)RX Mapping'!AB47&gt;=121,'(橫掃)RX Mapping'!AB47&lt;=240), (-1)*('(橫掃)RX Mapping'!AB47-240),IF(AND('(橫掃)RX Mapping'!AB47&gt;=241,'(橫掃)RX Mapping'!AB47&lt;=360), ('(橫掃)RX Mapping'!AB47-241),IF(AND('(橫掃)RX Mapping'!AB47&gt;=361,'(橫掃)RX Mapping'!AB47&lt;=480), (-1)*('(橫掃)RX Mapping'!AB47-480),IF(AND('(橫掃)RX Mapping'!AB47&gt;=481,'(橫掃)RX Mapping'!AB47&lt;=600), ('(橫掃)RX Mapping'!AB47-361),IF(AND('(橫掃)RX Mapping'!AB47&gt;=601,'(橫掃)RX Mapping'!AB47&lt;=720), (-1)*('(橫掃)RX Mapping'!AB47-720)+120,IF(AND('(橫掃)RX Mapping'!AB47&gt;=721,'(橫掃)RX Mapping'!AB47&lt;=840), ('(橫掃)RX Mapping'!AB47-601),IF(AND('(橫掃)RX Mapping'!AB47&gt;=841,'(橫掃)RX Mapping'!AB47&lt;=960), (-1)*('(橫掃)RX Mapping'!AB47-960)+120,9999))))))))</f>
        <v>9999</v>
      </c>
      <c r="AC47">
        <f>IF(AND('(橫掃)RX Mapping'!AC47&gt;=1,'(橫掃)RX Mapping'!AC47&lt;=120), ('(橫掃)RX Mapping'!AC47-1),IF(AND('(橫掃)RX Mapping'!AC47&gt;=121,'(橫掃)RX Mapping'!AC47&lt;=240), (-1)*('(橫掃)RX Mapping'!AC47-240),IF(AND('(橫掃)RX Mapping'!AC47&gt;=241,'(橫掃)RX Mapping'!AC47&lt;=360), ('(橫掃)RX Mapping'!AC47-241),IF(AND('(橫掃)RX Mapping'!AC47&gt;=361,'(橫掃)RX Mapping'!AC47&lt;=480), (-1)*('(橫掃)RX Mapping'!AC47-480),IF(AND('(橫掃)RX Mapping'!AC47&gt;=481,'(橫掃)RX Mapping'!AC47&lt;=600), ('(橫掃)RX Mapping'!AC47-361),IF(AND('(橫掃)RX Mapping'!AC47&gt;=601,'(橫掃)RX Mapping'!AC47&lt;=720), (-1)*('(橫掃)RX Mapping'!AC47-720)+120,IF(AND('(橫掃)RX Mapping'!AC47&gt;=721,'(橫掃)RX Mapping'!AC47&lt;=840), ('(橫掃)RX Mapping'!AC47-601),IF(AND('(橫掃)RX Mapping'!AC47&gt;=841,'(橫掃)RX Mapping'!AC47&lt;=960), (-1)*('(橫掃)RX Mapping'!AC47-960)+120,9999))))))))</f>
        <v>9999</v>
      </c>
      <c r="AD47">
        <f>IF(AND('(橫掃)RX Mapping'!AD47&gt;=1,'(橫掃)RX Mapping'!AD47&lt;=120), ('(橫掃)RX Mapping'!AD47-1),IF(AND('(橫掃)RX Mapping'!AD47&gt;=121,'(橫掃)RX Mapping'!AD47&lt;=240), (-1)*('(橫掃)RX Mapping'!AD47-240),IF(AND('(橫掃)RX Mapping'!AD47&gt;=241,'(橫掃)RX Mapping'!AD47&lt;=360), ('(橫掃)RX Mapping'!AD47-241),IF(AND('(橫掃)RX Mapping'!AD47&gt;=361,'(橫掃)RX Mapping'!AD47&lt;=480), (-1)*('(橫掃)RX Mapping'!AD47-480),IF(AND('(橫掃)RX Mapping'!AD47&gt;=481,'(橫掃)RX Mapping'!AD47&lt;=600), ('(橫掃)RX Mapping'!AD47-361),IF(AND('(橫掃)RX Mapping'!AD47&gt;=601,'(橫掃)RX Mapping'!AD47&lt;=720), (-1)*('(橫掃)RX Mapping'!AD47-720)+120,IF(AND('(橫掃)RX Mapping'!AD47&gt;=721,'(橫掃)RX Mapping'!AD47&lt;=840), ('(橫掃)RX Mapping'!AD47-601),IF(AND('(橫掃)RX Mapping'!AD47&gt;=841,'(橫掃)RX Mapping'!AD47&lt;=960), (-1)*('(橫掃)RX Mapping'!AD47-960)+120,9999))))))))</f>
        <v>9999</v>
      </c>
      <c r="AE47">
        <f>IF(AND('(橫掃)RX Mapping'!AE47&gt;=1,'(橫掃)RX Mapping'!AE47&lt;=120), ('(橫掃)RX Mapping'!AE47-1),IF(AND('(橫掃)RX Mapping'!AE47&gt;=121,'(橫掃)RX Mapping'!AE47&lt;=240), (-1)*('(橫掃)RX Mapping'!AE47-240),IF(AND('(橫掃)RX Mapping'!AE47&gt;=241,'(橫掃)RX Mapping'!AE47&lt;=360), ('(橫掃)RX Mapping'!AE47-241),IF(AND('(橫掃)RX Mapping'!AE47&gt;=361,'(橫掃)RX Mapping'!AE47&lt;=480), (-1)*('(橫掃)RX Mapping'!AE47-480),IF(AND('(橫掃)RX Mapping'!AE47&gt;=481,'(橫掃)RX Mapping'!AE47&lt;=600), ('(橫掃)RX Mapping'!AE47-361),IF(AND('(橫掃)RX Mapping'!AE47&gt;=601,'(橫掃)RX Mapping'!AE47&lt;=720), (-1)*('(橫掃)RX Mapping'!AE47-720)+120,IF(AND('(橫掃)RX Mapping'!AE47&gt;=721,'(橫掃)RX Mapping'!AE47&lt;=840), ('(橫掃)RX Mapping'!AE47-601),IF(AND('(橫掃)RX Mapping'!AE47&gt;=841,'(橫掃)RX Mapping'!AE47&lt;=960), (-1)*('(橫掃)RX Mapping'!AE47-960)+120,9999))))))))</f>
        <v>9999</v>
      </c>
      <c r="AF47">
        <f>IF(AND('(橫掃)RX Mapping'!AF47&gt;=1,'(橫掃)RX Mapping'!AF47&lt;=120), ('(橫掃)RX Mapping'!AF47-1),IF(AND('(橫掃)RX Mapping'!AF47&gt;=121,'(橫掃)RX Mapping'!AF47&lt;=240), (-1)*('(橫掃)RX Mapping'!AF47-240),IF(AND('(橫掃)RX Mapping'!AF47&gt;=241,'(橫掃)RX Mapping'!AF47&lt;=360), ('(橫掃)RX Mapping'!AF47-241),IF(AND('(橫掃)RX Mapping'!AF47&gt;=361,'(橫掃)RX Mapping'!AF47&lt;=480), (-1)*('(橫掃)RX Mapping'!AF47-480),IF(AND('(橫掃)RX Mapping'!AF47&gt;=481,'(橫掃)RX Mapping'!AF47&lt;=600), ('(橫掃)RX Mapping'!AF47-361),IF(AND('(橫掃)RX Mapping'!AF47&gt;=601,'(橫掃)RX Mapping'!AF47&lt;=720), (-1)*('(橫掃)RX Mapping'!AF47-720)+120,IF(AND('(橫掃)RX Mapping'!AF47&gt;=721,'(橫掃)RX Mapping'!AF47&lt;=840), ('(橫掃)RX Mapping'!AF47-601),IF(AND('(橫掃)RX Mapping'!AF47&gt;=841,'(橫掃)RX Mapping'!AF47&lt;=960), (-1)*('(橫掃)RX Mapping'!AF47-960)+120,9999))))))))</f>
        <v>9999</v>
      </c>
      <c r="AG47">
        <f>IF(AND('(橫掃)RX Mapping'!AG47&gt;=1,'(橫掃)RX Mapping'!AG47&lt;=120), ('(橫掃)RX Mapping'!AG47-1),IF(AND('(橫掃)RX Mapping'!AG47&gt;=121,'(橫掃)RX Mapping'!AG47&lt;=240), (-1)*('(橫掃)RX Mapping'!AG47-240),IF(AND('(橫掃)RX Mapping'!AG47&gt;=241,'(橫掃)RX Mapping'!AG47&lt;=360), ('(橫掃)RX Mapping'!AG47-241),IF(AND('(橫掃)RX Mapping'!AG47&gt;=361,'(橫掃)RX Mapping'!AG47&lt;=480), (-1)*('(橫掃)RX Mapping'!AG47-480),IF(AND('(橫掃)RX Mapping'!AG47&gt;=481,'(橫掃)RX Mapping'!AG47&lt;=600), ('(橫掃)RX Mapping'!AG47-361),IF(AND('(橫掃)RX Mapping'!AG47&gt;=601,'(橫掃)RX Mapping'!AG47&lt;=720), (-1)*('(橫掃)RX Mapping'!AG47-720)+120,IF(AND('(橫掃)RX Mapping'!AG47&gt;=721,'(橫掃)RX Mapping'!AG47&lt;=840), ('(橫掃)RX Mapping'!AG47-601),IF(AND('(橫掃)RX Mapping'!AG47&gt;=841,'(橫掃)RX Mapping'!AG47&lt;=960), (-1)*('(橫掃)RX Mapping'!AG47-960)+120,9999))))))))</f>
        <v>9999</v>
      </c>
      <c r="AH47">
        <f>IF(AND('(橫掃)RX Mapping'!AH47&gt;=1,'(橫掃)RX Mapping'!AH47&lt;=120), ('(橫掃)RX Mapping'!AH47-1),IF(AND('(橫掃)RX Mapping'!AH47&gt;=121,'(橫掃)RX Mapping'!AH47&lt;=240), (-1)*('(橫掃)RX Mapping'!AH47-240),IF(AND('(橫掃)RX Mapping'!AH47&gt;=241,'(橫掃)RX Mapping'!AH47&lt;=360), ('(橫掃)RX Mapping'!AH47-241),IF(AND('(橫掃)RX Mapping'!AH47&gt;=361,'(橫掃)RX Mapping'!AH47&lt;=480), (-1)*('(橫掃)RX Mapping'!AH47-480),IF(AND('(橫掃)RX Mapping'!AH47&gt;=481,'(橫掃)RX Mapping'!AH47&lt;=600), ('(橫掃)RX Mapping'!AH47-361),IF(AND('(橫掃)RX Mapping'!AH47&gt;=601,'(橫掃)RX Mapping'!AH47&lt;=720), (-1)*('(橫掃)RX Mapping'!AH47-720)+120,IF(AND('(橫掃)RX Mapping'!AH47&gt;=721,'(橫掃)RX Mapping'!AH47&lt;=840), ('(橫掃)RX Mapping'!AH47-601),IF(AND('(橫掃)RX Mapping'!AH47&gt;=841,'(橫掃)RX Mapping'!AH47&lt;=960), (-1)*('(橫掃)RX Mapping'!AH47-960)+120,9999))))))))</f>
        <v>9999</v>
      </c>
      <c r="AI47">
        <f>IF(AND('(橫掃)RX Mapping'!AI47&gt;=1,'(橫掃)RX Mapping'!AI47&lt;=120), ('(橫掃)RX Mapping'!AI47-1),IF(AND('(橫掃)RX Mapping'!AI47&gt;=121,'(橫掃)RX Mapping'!AI47&lt;=240), (-1)*('(橫掃)RX Mapping'!AI47-240),IF(AND('(橫掃)RX Mapping'!AI47&gt;=241,'(橫掃)RX Mapping'!AI47&lt;=360), ('(橫掃)RX Mapping'!AI47-241),IF(AND('(橫掃)RX Mapping'!AI47&gt;=361,'(橫掃)RX Mapping'!AI47&lt;=480), (-1)*('(橫掃)RX Mapping'!AI47-480),IF(AND('(橫掃)RX Mapping'!AI47&gt;=481,'(橫掃)RX Mapping'!AI47&lt;=600), ('(橫掃)RX Mapping'!AI47-361),IF(AND('(橫掃)RX Mapping'!AI47&gt;=601,'(橫掃)RX Mapping'!AI47&lt;=720), (-1)*('(橫掃)RX Mapping'!AI47-720)+120,IF(AND('(橫掃)RX Mapping'!AI47&gt;=721,'(橫掃)RX Mapping'!AI47&lt;=840), ('(橫掃)RX Mapping'!AI47-601),IF(AND('(橫掃)RX Mapping'!AI47&gt;=841,'(橫掃)RX Mapping'!AI47&lt;=960), (-1)*('(橫掃)RX Mapping'!AI47-960)+120,9999))))))))</f>
        <v>9999</v>
      </c>
      <c r="AJ47">
        <f>IF(AND('(橫掃)RX Mapping'!AJ47&gt;=1,'(橫掃)RX Mapping'!AJ47&lt;=120), ('(橫掃)RX Mapping'!AJ47-1),IF(AND('(橫掃)RX Mapping'!AJ47&gt;=121,'(橫掃)RX Mapping'!AJ47&lt;=240), (-1)*('(橫掃)RX Mapping'!AJ47-240),IF(AND('(橫掃)RX Mapping'!AJ47&gt;=241,'(橫掃)RX Mapping'!AJ47&lt;=360), ('(橫掃)RX Mapping'!AJ47-241),IF(AND('(橫掃)RX Mapping'!AJ47&gt;=361,'(橫掃)RX Mapping'!AJ47&lt;=480), (-1)*('(橫掃)RX Mapping'!AJ47-480),IF(AND('(橫掃)RX Mapping'!AJ47&gt;=481,'(橫掃)RX Mapping'!AJ47&lt;=600), ('(橫掃)RX Mapping'!AJ47-361),IF(AND('(橫掃)RX Mapping'!AJ47&gt;=601,'(橫掃)RX Mapping'!AJ47&lt;=720), (-1)*('(橫掃)RX Mapping'!AJ47-720)+120,IF(AND('(橫掃)RX Mapping'!AJ47&gt;=721,'(橫掃)RX Mapping'!AJ47&lt;=840), ('(橫掃)RX Mapping'!AJ47-601),IF(AND('(橫掃)RX Mapping'!AJ47&gt;=841,'(橫掃)RX Mapping'!AJ47&lt;=960), (-1)*('(橫掃)RX Mapping'!AJ47-960)+120,9999))))))))</f>
        <v>9999</v>
      </c>
      <c r="AK47">
        <f>IF(AND('(橫掃)RX Mapping'!AK47&gt;=1,'(橫掃)RX Mapping'!AK47&lt;=120), ('(橫掃)RX Mapping'!AK47-1),IF(AND('(橫掃)RX Mapping'!AK47&gt;=121,'(橫掃)RX Mapping'!AK47&lt;=240), (-1)*('(橫掃)RX Mapping'!AK47-240),IF(AND('(橫掃)RX Mapping'!AK47&gt;=241,'(橫掃)RX Mapping'!AK47&lt;=360), ('(橫掃)RX Mapping'!AK47-241),IF(AND('(橫掃)RX Mapping'!AK47&gt;=361,'(橫掃)RX Mapping'!AK47&lt;=480), (-1)*('(橫掃)RX Mapping'!AK47-480),IF(AND('(橫掃)RX Mapping'!AK47&gt;=481,'(橫掃)RX Mapping'!AK47&lt;=600), ('(橫掃)RX Mapping'!AK47-361),IF(AND('(橫掃)RX Mapping'!AK47&gt;=601,'(橫掃)RX Mapping'!AK47&lt;=720), (-1)*('(橫掃)RX Mapping'!AK47-720)+120,IF(AND('(橫掃)RX Mapping'!AK47&gt;=721,'(橫掃)RX Mapping'!AK47&lt;=840), ('(橫掃)RX Mapping'!AK47-601),IF(AND('(橫掃)RX Mapping'!AK47&gt;=841,'(橫掃)RX Mapping'!AK47&lt;=960), (-1)*('(橫掃)RX Mapping'!AK47-960)+120,9999))))))))</f>
        <v>9999</v>
      </c>
      <c r="AL47">
        <f>IF(AND('(橫掃)RX Mapping'!AL47&gt;=1,'(橫掃)RX Mapping'!AL47&lt;=120), ('(橫掃)RX Mapping'!AL47-1),IF(AND('(橫掃)RX Mapping'!AL47&gt;=121,'(橫掃)RX Mapping'!AL47&lt;=240), (-1)*('(橫掃)RX Mapping'!AL47-240),IF(AND('(橫掃)RX Mapping'!AL47&gt;=241,'(橫掃)RX Mapping'!AL47&lt;=360), ('(橫掃)RX Mapping'!AL47-241),IF(AND('(橫掃)RX Mapping'!AL47&gt;=361,'(橫掃)RX Mapping'!AL47&lt;=480), (-1)*('(橫掃)RX Mapping'!AL47-480),IF(AND('(橫掃)RX Mapping'!AL47&gt;=481,'(橫掃)RX Mapping'!AL47&lt;=600), ('(橫掃)RX Mapping'!AL47-361),IF(AND('(橫掃)RX Mapping'!AL47&gt;=601,'(橫掃)RX Mapping'!AL47&lt;=720), (-1)*('(橫掃)RX Mapping'!AL47-720)+120,IF(AND('(橫掃)RX Mapping'!AL47&gt;=721,'(橫掃)RX Mapping'!AL47&lt;=840), ('(橫掃)RX Mapping'!AL47-601),IF(AND('(橫掃)RX Mapping'!AL47&gt;=841,'(橫掃)RX Mapping'!AL47&lt;=960), (-1)*('(橫掃)RX Mapping'!AL47-960)+120,9999))))))))</f>
        <v>9999</v>
      </c>
      <c r="AM47">
        <f>IF(AND('(橫掃)RX Mapping'!AM47&gt;=1,'(橫掃)RX Mapping'!AM47&lt;=120), ('(橫掃)RX Mapping'!AM47-1),IF(AND('(橫掃)RX Mapping'!AM47&gt;=121,'(橫掃)RX Mapping'!AM47&lt;=240), (-1)*('(橫掃)RX Mapping'!AM47-240),IF(AND('(橫掃)RX Mapping'!AM47&gt;=241,'(橫掃)RX Mapping'!AM47&lt;=360), ('(橫掃)RX Mapping'!AM47-241),IF(AND('(橫掃)RX Mapping'!AM47&gt;=361,'(橫掃)RX Mapping'!AM47&lt;=480), (-1)*('(橫掃)RX Mapping'!AM47-480),IF(AND('(橫掃)RX Mapping'!AM47&gt;=481,'(橫掃)RX Mapping'!AM47&lt;=600), ('(橫掃)RX Mapping'!AM47-361),IF(AND('(橫掃)RX Mapping'!AM47&gt;=601,'(橫掃)RX Mapping'!AM47&lt;=720), (-1)*('(橫掃)RX Mapping'!AM47-720)+120,IF(AND('(橫掃)RX Mapping'!AM47&gt;=721,'(橫掃)RX Mapping'!AM47&lt;=840), ('(橫掃)RX Mapping'!AM47-601),IF(AND('(橫掃)RX Mapping'!AM47&gt;=841,'(橫掃)RX Mapping'!AM47&lt;=960), (-1)*('(橫掃)RX Mapping'!AM47-960)+120,9999))))))))</f>
        <v>9999</v>
      </c>
      <c r="AN47">
        <f>IF(AND('(橫掃)RX Mapping'!AN47&gt;=1,'(橫掃)RX Mapping'!AN47&lt;=120), ('(橫掃)RX Mapping'!AN47-1),IF(AND('(橫掃)RX Mapping'!AN47&gt;=121,'(橫掃)RX Mapping'!AN47&lt;=240), (-1)*('(橫掃)RX Mapping'!AN47-240),IF(AND('(橫掃)RX Mapping'!AN47&gt;=241,'(橫掃)RX Mapping'!AN47&lt;=360), ('(橫掃)RX Mapping'!AN47-241),IF(AND('(橫掃)RX Mapping'!AN47&gt;=361,'(橫掃)RX Mapping'!AN47&lt;=480), (-1)*('(橫掃)RX Mapping'!AN47-480),IF(AND('(橫掃)RX Mapping'!AN47&gt;=481,'(橫掃)RX Mapping'!AN47&lt;=600), ('(橫掃)RX Mapping'!AN47-361),IF(AND('(橫掃)RX Mapping'!AN47&gt;=601,'(橫掃)RX Mapping'!AN47&lt;=720), (-1)*('(橫掃)RX Mapping'!AN47-720)+120,IF(AND('(橫掃)RX Mapping'!AN47&gt;=721,'(橫掃)RX Mapping'!AN47&lt;=840), ('(橫掃)RX Mapping'!AN47-601),IF(AND('(橫掃)RX Mapping'!AN47&gt;=841,'(橫掃)RX Mapping'!AN47&lt;=960), (-1)*('(橫掃)RX Mapping'!AN47-960)+120,9999))))))))</f>
        <v>9999</v>
      </c>
      <c r="AO47">
        <f>IF(AND('(橫掃)RX Mapping'!AO47&gt;=1,'(橫掃)RX Mapping'!AO47&lt;=120), ('(橫掃)RX Mapping'!AO47-1),IF(AND('(橫掃)RX Mapping'!AO47&gt;=121,'(橫掃)RX Mapping'!AO47&lt;=240), (-1)*('(橫掃)RX Mapping'!AO47-240),IF(AND('(橫掃)RX Mapping'!AO47&gt;=241,'(橫掃)RX Mapping'!AO47&lt;=360), ('(橫掃)RX Mapping'!AO47-241),IF(AND('(橫掃)RX Mapping'!AO47&gt;=361,'(橫掃)RX Mapping'!AO47&lt;=480), (-1)*('(橫掃)RX Mapping'!AO47-480),IF(AND('(橫掃)RX Mapping'!AO47&gt;=481,'(橫掃)RX Mapping'!AO47&lt;=600), ('(橫掃)RX Mapping'!AO47-361),IF(AND('(橫掃)RX Mapping'!AO47&gt;=601,'(橫掃)RX Mapping'!AO47&lt;=720), (-1)*('(橫掃)RX Mapping'!AO47-720)+120,IF(AND('(橫掃)RX Mapping'!AO47&gt;=721,'(橫掃)RX Mapping'!AO47&lt;=840), ('(橫掃)RX Mapping'!AO47-601),IF(AND('(橫掃)RX Mapping'!AO47&gt;=841,'(橫掃)RX Mapping'!AO47&lt;=960), (-1)*('(橫掃)RX Mapping'!AO47-960)+120,9999))))))))</f>
        <v>9999</v>
      </c>
      <c r="AP47">
        <f>IF(AND('(橫掃)RX Mapping'!AP47&gt;=1,'(橫掃)RX Mapping'!AP47&lt;=120), ('(橫掃)RX Mapping'!AP47-1),IF(AND('(橫掃)RX Mapping'!AP47&gt;=121,'(橫掃)RX Mapping'!AP47&lt;=240), (-1)*('(橫掃)RX Mapping'!AP47-240),IF(AND('(橫掃)RX Mapping'!AP47&gt;=241,'(橫掃)RX Mapping'!AP47&lt;=360), ('(橫掃)RX Mapping'!AP47-241),IF(AND('(橫掃)RX Mapping'!AP47&gt;=361,'(橫掃)RX Mapping'!AP47&lt;=480), (-1)*('(橫掃)RX Mapping'!AP47-480),IF(AND('(橫掃)RX Mapping'!AP47&gt;=481,'(橫掃)RX Mapping'!AP47&lt;=600), ('(橫掃)RX Mapping'!AP47-361),IF(AND('(橫掃)RX Mapping'!AP47&gt;=601,'(橫掃)RX Mapping'!AP47&lt;=720), (-1)*('(橫掃)RX Mapping'!AP47-720)+120,IF(AND('(橫掃)RX Mapping'!AP47&gt;=721,'(橫掃)RX Mapping'!AP47&lt;=840), ('(橫掃)RX Mapping'!AP47-601),IF(AND('(橫掃)RX Mapping'!AP47&gt;=841,'(橫掃)RX Mapping'!AP47&lt;=960), (-1)*('(橫掃)RX Mapping'!AP47-960)+120,9999))))))))</f>
        <v>9999</v>
      </c>
      <c r="AQ47">
        <f>IF(AND('(橫掃)RX Mapping'!AQ47&gt;=1,'(橫掃)RX Mapping'!AQ47&lt;=120), ('(橫掃)RX Mapping'!AQ47-1),IF(AND('(橫掃)RX Mapping'!AQ47&gt;=121,'(橫掃)RX Mapping'!AQ47&lt;=240), (-1)*('(橫掃)RX Mapping'!AQ47-240),IF(AND('(橫掃)RX Mapping'!AQ47&gt;=241,'(橫掃)RX Mapping'!AQ47&lt;=360), ('(橫掃)RX Mapping'!AQ47-241),IF(AND('(橫掃)RX Mapping'!AQ47&gt;=361,'(橫掃)RX Mapping'!AQ47&lt;=480), (-1)*('(橫掃)RX Mapping'!AQ47-480),IF(AND('(橫掃)RX Mapping'!AQ47&gt;=481,'(橫掃)RX Mapping'!AQ47&lt;=600), ('(橫掃)RX Mapping'!AQ47-361),IF(AND('(橫掃)RX Mapping'!AQ47&gt;=601,'(橫掃)RX Mapping'!AQ47&lt;=720), (-1)*('(橫掃)RX Mapping'!AQ47-720)+120,IF(AND('(橫掃)RX Mapping'!AQ47&gt;=721,'(橫掃)RX Mapping'!AQ47&lt;=840), ('(橫掃)RX Mapping'!AQ47-601),IF(AND('(橫掃)RX Mapping'!AQ47&gt;=841,'(橫掃)RX Mapping'!AQ47&lt;=960), (-1)*('(橫掃)RX Mapping'!AQ47-960)+120,9999))))))))</f>
        <v>9999</v>
      </c>
      <c r="AR47">
        <f>IF(AND('(橫掃)RX Mapping'!AR47&gt;=1,'(橫掃)RX Mapping'!AR47&lt;=120), ('(橫掃)RX Mapping'!AR47-1),IF(AND('(橫掃)RX Mapping'!AR47&gt;=121,'(橫掃)RX Mapping'!AR47&lt;=240), (-1)*('(橫掃)RX Mapping'!AR47-240),IF(AND('(橫掃)RX Mapping'!AR47&gt;=241,'(橫掃)RX Mapping'!AR47&lt;=360), ('(橫掃)RX Mapping'!AR47-241),IF(AND('(橫掃)RX Mapping'!AR47&gt;=361,'(橫掃)RX Mapping'!AR47&lt;=480), (-1)*('(橫掃)RX Mapping'!AR47-480),IF(AND('(橫掃)RX Mapping'!AR47&gt;=481,'(橫掃)RX Mapping'!AR47&lt;=600), ('(橫掃)RX Mapping'!AR47-361),IF(AND('(橫掃)RX Mapping'!AR47&gt;=601,'(橫掃)RX Mapping'!AR47&lt;=720), (-1)*('(橫掃)RX Mapping'!AR47-720)+120,IF(AND('(橫掃)RX Mapping'!AR47&gt;=721,'(橫掃)RX Mapping'!AR47&lt;=840), ('(橫掃)RX Mapping'!AR47-601),IF(AND('(橫掃)RX Mapping'!AR47&gt;=841,'(橫掃)RX Mapping'!AR47&lt;=960), (-1)*('(橫掃)RX Mapping'!AR47-960)+120,9999))))))))</f>
        <v>9999</v>
      </c>
      <c r="AS47">
        <f>IF(AND('(橫掃)RX Mapping'!AS47&gt;=1,'(橫掃)RX Mapping'!AS47&lt;=120), ('(橫掃)RX Mapping'!AS47-1),IF(AND('(橫掃)RX Mapping'!AS47&gt;=121,'(橫掃)RX Mapping'!AS47&lt;=240), (-1)*('(橫掃)RX Mapping'!AS47-240),IF(AND('(橫掃)RX Mapping'!AS47&gt;=241,'(橫掃)RX Mapping'!AS47&lt;=360), ('(橫掃)RX Mapping'!AS47-241),IF(AND('(橫掃)RX Mapping'!AS47&gt;=361,'(橫掃)RX Mapping'!AS47&lt;=480), (-1)*('(橫掃)RX Mapping'!AS47-480),IF(AND('(橫掃)RX Mapping'!AS47&gt;=481,'(橫掃)RX Mapping'!AS47&lt;=600), ('(橫掃)RX Mapping'!AS47-361),IF(AND('(橫掃)RX Mapping'!AS47&gt;=601,'(橫掃)RX Mapping'!AS47&lt;=720), (-1)*('(橫掃)RX Mapping'!AS47-720)+120,IF(AND('(橫掃)RX Mapping'!AS47&gt;=721,'(橫掃)RX Mapping'!AS47&lt;=840), ('(橫掃)RX Mapping'!AS47-601),IF(AND('(橫掃)RX Mapping'!AS47&gt;=841,'(橫掃)RX Mapping'!AS47&lt;=960), (-1)*('(橫掃)RX Mapping'!AS47-960)+120,9999))))))))</f>
        <v>9999</v>
      </c>
      <c r="AT47">
        <f>IF(AND('(橫掃)RX Mapping'!AT47&gt;=1,'(橫掃)RX Mapping'!AT47&lt;=120), ('(橫掃)RX Mapping'!AT47-1),IF(AND('(橫掃)RX Mapping'!AT47&gt;=121,'(橫掃)RX Mapping'!AT47&lt;=240), (-1)*('(橫掃)RX Mapping'!AT47-240),IF(AND('(橫掃)RX Mapping'!AT47&gt;=241,'(橫掃)RX Mapping'!AT47&lt;=360), ('(橫掃)RX Mapping'!AT47-241),IF(AND('(橫掃)RX Mapping'!AT47&gt;=361,'(橫掃)RX Mapping'!AT47&lt;=480), (-1)*('(橫掃)RX Mapping'!AT47-480),IF(AND('(橫掃)RX Mapping'!AT47&gt;=481,'(橫掃)RX Mapping'!AT47&lt;=600), ('(橫掃)RX Mapping'!AT47-361),IF(AND('(橫掃)RX Mapping'!AT47&gt;=601,'(橫掃)RX Mapping'!AT47&lt;=720), (-1)*('(橫掃)RX Mapping'!AT47-720)+120,IF(AND('(橫掃)RX Mapping'!AT47&gt;=721,'(橫掃)RX Mapping'!AT47&lt;=840), ('(橫掃)RX Mapping'!AT47-601),IF(AND('(橫掃)RX Mapping'!AT47&gt;=841,'(橫掃)RX Mapping'!AT47&lt;=960), (-1)*('(橫掃)RX Mapping'!AT47-960)+120,9999))))))))</f>
        <v>9999</v>
      </c>
      <c r="AU47">
        <f>IF(AND('(橫掃)RX Mapping'!AU47&gt;=1,'(橫掃)RX Mapping'!AU47&lt;=120), ('(橫掃)RX Mapping'!AU47-1),IF(AND('(橫掃)RX Mapping'!AU47&gt;=121,'(橫掃)RX Mapping'!AU47&lt;=240), (-1)*('(橫掃)RX Mapping'!AU47-240),IF(AND('(橫掃)RX Mapping'!AU47&gt;=241,'(橫掃)RX Mapping'!AU47&lt;=360), ('(橫掃)RX Mapping'!AU47-241),IF(AND('(橫掃)RX Mapping'!AU47&gt;=361,'(橫掃)RX Mapping'!AU47&lt;=480), (-1)*('(橫掃)RX Mapping'!AU47-480),IF(AND('(橫掃)RX Mapping'!AU47&gt;=481,'(橫掃)RX Mapping'!AU47&lt;=600), ('(橫掃)RX Mapping'!AU47-361),IF(AND('(橫掃)RX Mapping'!AU47&gt;=601,'(橫掃)RX Mapping'!AU47&lt;=720), (-1)*('(橫掃)RX Mapping'!AU47-720)+120,IF(AND('(橫掃)RX Mapping'!AU47&gt;=721,'(橫掃)RX Mapping'!AU47&lt;=840), ('(橫掃)RX Mapping'!AU47-601),IF(AND('(橫掃)RX Mapping'!AU47&gt;=841,'(橫掃)RX Mapping'!AU47&lt;=960), (-1)*('(橫掃)RX Mapping'!AU47-960)+120,9999))))))))</f>
        <v>9999</v>
      </c>
      <c r="AV47">
        <f>IF(AND('(橫掃)RX Mapping'!AV47&gt;=1,'(橫掃)RX Mapping'!AV47&lt;=120), ('(橫掃)RX Mapping'!AV47-1),IF(AND('(橫掃)RX Mapping'!AV47&gt;=121,'(橫掃)RX Mapping'!AV47&lt;=240), (-1)*('(橫掃)RX Mapping'!AV47-240),IF(AND('(橫掃)RX Mapping'!AV47&gt;=241,'(橫掃)RX Mapping'!AV47&lt;=360), ('(橫掃)RX Mapping'!AV47-241),IF(AND('(橫掃)RX Mapping'!AV47&gt;=361,'(橫掃)RX Mapping'!AV47&lt;=480), (-1)*('(橫掃)RX Mapping'!AV47-480),IF(AND('(橫掃)RX Mapping'!AV47&gt;=481,'(橫掃)RX Mapping'!AV47&lt;=600), ('(橫掃)RX Mapping'!AV47-361),IF(AND('(橫掃)RX Mapping'!AV47&gt;=601,'(橫掃)RX Mapping'!AV47&lt;=720), (-1)*('(橫掃)RX Mapping'!AV47-720)+120,IF(AND('(橫掃)RX Mapping'!AV47&gt;=721,'(橫掃)RX Mapping'!AV47&lt;=840), ('(橫掃)RX Mapping'!AV47-601),IF(AND('(橫掃)RX Mapping'!AV47&gt;=841,'(橫掃)RX Mapping'!AV47&lt;=960), (-1)*('(橫掃)RX Mapping'!AV47-960)+120,9999))))))))</f>
        <v>9999</v>
      </c>
      <c r="AW47">
        <f>IF(AND('(橫掃)RX Mapping'!AW47&gt;=1,'(橫掃)RX Mapping'!AW47&lt;=120), ('(橫掃)RX Mapping'!AW47-1),IF(AND('(橫掃)RX Mapping'!AW47&gt;=121,'(橫掃)RX Mapping'!AW47&lt;=240), (-1)*('(橫掃)RX Mapping'!AW47-240),IF(AND('(橫掃)RX Mapping'!AW47&gt;=241,'(橫掃)RX Mapping'!AW47&lt;=360), ('(橫掃)RX Mapping'!AW47-241),IF(AND('(橫掃)RX Mapping'!AW47&gt;=361,'(橫掃)RX Mapping'!AW47&lt;=480), (-1)*('(橫掃)RX Mapping'!AW47-480),IF(AND('(橫掃)RX Mapping'!AW47&gt;=481,'(橫掃)RX Mapping'!AW47&lt;=600), ('(橫掃)RX Mapping'!AW47-361),IF(AND('(橫掃)RX Mapping'!AW47&gt;=601,'(橫掃)RX Mapping'!AW47&lt;=720), (-1)*('(橫掃)RX Mapping'!AW47-720)+120,IF(AND('(橫掃)RX Mapping'!AW47&gt;=721,'(橫掃)RX Mapping'!AW47&lt;=840), ('(橫掃)RX Mapping'!AW47-601),IF(AND('(橫掃)RX Mapping'!AW47&gt;=841,'(橫掃)RX Mapping'!AW47&lt;=960), (-1)*('(橫掃)RX Mapping'!AW47-960)+120,9999))))))))</f>
        <v>9999</v>
      </c>
      <c r="AX47">
        <f>IF(AND('(橫掃)RX Mapping'!AX47&gt;=1,'(橫掃)RX Mapping'!AX47&lt;=120), ('(橫掃)RX Mapping'!AX47-1),IF(AND('(橫掃)RX Mapping'!AX47&gt;=121,'(橫掃)RX Mapping'!AX47&lt;=240), (-1)*('(橫掃)RX Mapping'!AX47-240),IF(AND('(橫掃)RX Mapping'!AX47&gt;=241,'(橫掃)RX Mapping'!AX47&lt;=360), ('(橫掃)RX Mapping'!AX47-241),IF(AND('(橫掃)RX Mapping'!AX47&gt;=361,'(橫掃)RX Mapping'!AX47&lt;=480), (-1)*('(橫掃)RX Mapping'!AX47-480),IF(AND('(橫掃)RX Mapping'!AX47&gt;=481,'(橫掃)RX Mapping'!AX47&lt;=600), ('(橫掃)RX Mapping'!AX47-361),IF(AND('(橫掃)RX Mapping'!AX47&gt;=601,'(橫掃)RX Mapping'!AX47&lt;=720), (-1)*('(橫掃)RX Mapping'!AX47-720)+120,IF(AND('(橫掃)RX Mapping'!AX47&gt;=721,'(橫掃)RX Mapping'!AX47&lt;=840), ('(橫掃)RX Mapping'!AX47-601),IF(AND('(橫掃)RX Mapping'!AX47&gt;=841,'(橫掃)RX Mapping'!AX47&lt;=960), (-1)*('(橫掃)RX Mapping'!AX47-960)+120,9999))))))))</f>
        <v>9999</v>
      </c>
      <c r="AY47">
        <f>IF(AND('(橫掃)RX Mapping'!AY47&gt;=1,'(橫掃)RX Mapping'!AY47&lt;=120), ('(橫掃)RX Mapping'!AY47-1),IF(AND('(橫掃)RX Mapping'!AY47&gt;=121,'(橫掃)RX Mapping'!AY47&lt;=240), (-1)*('(橫掃)RX Mapping'!AY47-240),IF(AND('(橫掃)RX Mapping'!AY47&gt;=241,'(橫掃)RX Mapping'!AY47&lt;=360), ('(橫掃)RX Mapping'!AY47-241),IF(AND('(橫掃)RX Mapping'!AY47&gt;=361,'(橫掃)RX Mapping'!AY47&lt;=480), (-1)*('(橫掃)RX Mapping'!AY47-480),IF(AND('(橫掃)RX Mapping'!AY47&gt;=481,'(橫掃)RX Mapping'!AY47&lt;=600), ('(橫掃)RX Mapping'!AY47-361),IF(AND('(橫掃)RX Mapping'!AY47&gt;=601,'(橫掃)RX Mapping'!AY47&lt;=720), (-1)*('(橫掃)RX Mapping'!AY47-720)+120,IF(AND('(橫掃)RX Mapping'!AY47&gt;=721,'(橫掃)RX Mapping'!AY47&lt;=840), ('(橫掃)RX Mapping'!AY47-601),IF(AND('(橫掃)RX Mapping'!AY47&gt;=841,'(橫掃)RX Mapping'!AY47&lt;=960), (-1)*('(橫掃)RX Mapping'!AY47-960)+120,9999))))))))</f>
        <v>9999</v>
      </c>
      <c r="AZ47">
        <f>IF(AND('(橫掃)RX Mapping'!AZ47&gt;=1,'(橫掃)RX Mapping'!AZ47&lt;=120), ('(橫掃)RX Mapping'!AZ47-1),IF(AND('(橫掃)RX Mapping'!AZ47&gt;=121,'(橫掃)RX Mapping'!AZ47&lt;=240), (-1)*('(橫掃)RX Mapping'!AZ47-240),IF(AND('(橫掃)RX Mapping'!AZ47&gt;=241,'(橫掃)RX Mapping'!AZ47&lt;=360), ('(橫掃)RX Mapping'!AZ47-241),IF(AND('(橫掃)RX Mapping'!AZ47&gt;=361,'(橫掃)RX Mapping'!AZ47&lt;=480), (-1)*('(橫掃)RX Mapping'!AZ47-480),IF(AND('(橫掃)RX Mapping'!AZ47&gt;=481,'(橫掃)RX Mapping'!AZ47&lt;=600), ('(橫掃)RX Mapping'!AZ47-361),IF(AND('(橫掃)RX Mapping'!AZ47&gt;=601,'(橫掃)RX Mapping'!AZ47&lt;=720), (-1)*('(橫掃)RX Mapping'!AZ47-720)+120,IF(AND('(橫掃)RX Mapping'!AZ47&gt;=721,'(橫掃)RX Mapping'!AZ47&lt;=840), ('(橫掃)RX Mapping'!AZ47-601),IF(AND('(橫掃)RX Mapping'!AZ47&gt;=841,'(橫掃)RX Mapping'!AZ47&lt;=960), (-1)*('(橫掃)RX Mapping'!AZ47-960)+120,9999))))))))</f>
        <v>9999</v>
      </c>
      <c r="BA47">
        <f>IF(AND('(橫掃)RX Mapping'!BA47&gt;=1,'(橫掃)RX Mapping'!BA47&lt;=120), ('(橫掃)RX Mapping'!BA47-1),IF(AND('(橫掃)RX Mapping'!BA47&gt;=121,'(橫掃)RX Mapping'!BA47&lt;=240), (-1)*('(橫掃)RX Mapping'!BA47-240),IF(AND('(橫掃)RX Mapping'!BA47&gt;=241,'(橫掃)RX Mapping'!BA47&lt;=360), ('(橫掃)RX Mapping'!BA47-241),IF(AND('(橫掃)RX Mapping'!BA47&gt;=361,'(橫掃)RX Mapping'!BA47&lt;=480), (-1)*('(橫掃)RX Mapping'!BA47-480),IF(AND('(橫掃)RX Mapping'!BA47&gt;=481,'(橫掃)RX Mapping'!BA47&lt;=600), ('(橫掃)RX Mapping'!BA47-361),IF(AND('(橫掃)RX Mapping'!BA47&gt;=601,'(橫掃)RX Mapping'!BA47&lt;=720), (-1)*('(橫掃)RX Mapping'!BA47-720)+120,IF(AND('(橫掃)RX Mapping'!BA47&gt;=721,'(橫掃)RX Mapping'!BA47&lt;=840), ('(橫掃)RX Mapping'!BA47-601),IF(AND('(橫掃)RX Mapping'!BA47&gt;=841,'(橫掃)RX Mapping'!BA47&lt;=960), (-1)*('(橫掃)RX Mapping'!BA47-960)+120,9999))))))))</f>
        <v>9999</v>
      </c>
      <c r="BB47">
        <f>IF(AND('(橫掃)RX Mapping'!BB47&gt;=1,'(橫掃)RX Mapping'!BB47&lt;=120), ('(橫掃)RX Mapping'!BB47-1),IF(AND('(橫掃)RX Mapping'!BB47&gt;=121,'(橫掃)RX Mapping'!BB47&lt;=240), (-1)*('(橫掃)RX Mapping'!BB47-240),IF(AND('(橫掃)RX Mapping'!BB47&gt;=241,'(橫掃)RX Mapping'!BB47&lt;=360), ('(橫掃)RX Mapping'!BB47-241),IF(AND('(橫掃)RX Mapping'!BB47&gt;=361,'(橫掃)RX Mapping'!BB47&lt;=480), (-1)*('(橫掃)RX Mapping'!BB47-480),IF(AND('(橫掃)RX Mapping'!BB47&gt;=481,'(橫掃)RX Mapping'!BB47&lt;=600), ('(橫掃)RX Mapping'!BB47-361),IF(AND('(橫掃)RX Mapping'!BB47&gt;=601,'(橫掃)RX Mapping'!BB47&lt;=720), (-1)*('(橫掃)RX Mapping'!BB47-720)+120,IF(AND('(橫掃)RX Mapping'!BB47&gt;=721,'(橫掃)RX Mapping'!BB47&lt;=840), ('(橫掃)RX Mapping'!BB47-601),IF(AND('(橫掃)RX Mapping'!BB47&gt;=841,'(橫掃)RX Mapping'!BB47&lt;=960), (-1)*('(橫掃)RX Mapping'!BB47-960)+120,9999))))))))</f>
        <v>9999</v>
      </c>
      <c r="BC47">
        <f>IF(AND('(橫掃)RX Mapping'!BC47&gt;=1,'(橫掃)RX Mapping'!BC47&lt;=120), ('(橫掃)RX Mapping'!BC47-1),IF(AND('(橫掃)RX Mapping'!BC47&gt;=121,'(橫掃)RX Mapping'!BC47&lt;=240), (-1)*('(橫掃)RX Mapping'!BC47-240),IF(AND('(橫掃)RX Mapping'!BC47&gt;=241,'(橫掃)RX Mapping'!BC47&lt;=360), ('(橫掃)RX Mapping'!BC47-241),IF(AND('(橫掃)RX Mapping'!BC47&gt;=361,'(橫掃)RX Mapping'!BC47&lt;=480), (-1)*('(橫掃)RX Mapping'!BC47-480),IF(AND('(橫掃)RX Mapping'!BC47&gt;=481,'(橫掃)RX Mapping'!BC47&lt;=600), ('(橫掃)RX Mapping'!BC47-361),IF(AND('(橫掃)RX Mapping'!BC47&gt;=601,'(橫掃)RX Mapping'!BC47&lt;=720), (-1)*('(橫掃)RX Mapping'!BC47-720)+120,IF(AND('(橫掃)RX Mapping'!BC47&gt;=721,'(橫掃)RX Mapping'!BC47&lt;=840), ('(橫掃)RX Mapping'!BC47-601),IF(AND('(橫掃)RX Mapping'!BC47&gt;=841,'(橫掃)RX Mapping'!BC47&lt;=960), (-1)*('(橫掃)RX Mapping'!BC47-960)+120,9999))))))))</f>
        <v>9999</v>
      </c>
      <c r="BD47">
        <f>IF(AND('(橫掃)RX Mapping'!BD47&gt;=1,'(橫掃)RX Mapping'!BD47&lt;=120), ('(橫掃)RX Mapping'!BD47-1),IF(AND('(橫掃)RX Mapping'!BD47&gt;=121,'(橫掃)RX Mapping'!BD47&lt;=240), (-1)*('(橫掃)RX Mapping'!BD47-240),IF(AND('(橫掃)RX Mapping'!BD47&gt;=241,'(橫掃)RX Mapping'!BD47&lt;=360), ('(橫掃)RX Mapping'!BD47-241),IF(AND('(橫掃)RX Mapping'!BD47&gt;=361,'(橫掃)RX Mapping'!BD47&lt;=480), (-1)*('(橫掃)RX Mapping'!BD47-480),IF(AND('(橫掃)RX Mapping'!BD47&gt;=481,'(橫掃)RX Mapping'!BD47&lt;=600), ('(橫掃)RX Mapping'!BD47-361),IF(AND('(橫掃)RX Mapping'!BD47&gt;=601,'(橫掃)RX Mapping'!BD47&lt;=720), (-1)*('(橫掃)RX Mapping'!BD47-720)+120,IF(AND('(橫掃)RX Mapping'!BD47&gt;=721,'(橫掃)RX Mapping'!BD47&lt;=840), ('(橫掃)RX Mapping'!BD47-601),IF(AND('(橫掃)RX Mapping'!BD47&gt;=841,'(橫掃)RX Mapping'!BD47&lt;=960), (-1)*('(橫掃)RX Mapping'!BD47-960)+120,9999))))))))</f>
        <v>9999</v>
      </c>
      <c r="BE47">
        <f>IF(AND('(橫掃)RX Mapping'!BE47&gt;=1,'(橫掃)RX Mapping'!BE47&lt;=120), ('(橫掃)RX Mapping'!BE47-1),IF(AND('(橫掃)RX Mapping'!BE47&gt;=121,'(橫掃)RX Mapping'!BE47&lt;=240), (-1)*('(橫掃)RX Mapping'!BE47-240),IF(AND('(橫掃)RX Mapping'!BE47&gt;=241,'(橫掃)RX Mapping'!BE47&lt;=360), ('(橫掃)RX Mapping'!BE47-241),IF(AND('(橫掃)RX Mapping'!BE47&gt;=361,'(橫掃)RX Mapping'!BE47&lt;=480), (-1)*('(橫掃)RX Mapping'!BE47-480),IF(AND('(橫掃)RX Mapping'!BE47&gt;=481,'(橫掃)RX Mapping'!BE47&lt;=600), ('(橫掃)RX Mapping'!BE47-361),IF(AND('(橫掃)RX Mapping'!BE47&gt;=601,'(橫掃)RX Mapping'!BE47&lt;=720), (-1)*('(橫掃)RX Mapping'!BE47-720)+120,IF(AND('(橫掃)RX Mapping'!BE47&gt;=721,'(橫掃)RX Mapping'!BE47&lt;=840), ('(橫掃)RX Mapping'!BE47-601),IF(AND('(橫掃)RX Mapping'!BE47&gt;=841,'(橫掃)RX Mapping'!BE47&lt;=960), (-1)*('(橫掃)RX Mapping'!BE47-960)+120,9999))))))))</f>
        <v>9999</v>
      </c>
      <c r="BF47">
        <f>IF(AND('(橫掃)RX Mapping'!BF47&gt;=1,'(橫掃)RX Mapping'!BF47&lt;=120), ('(橫掃)RX Mapping'!BF47-1),IF(AND('(橫掃)RX Mapping'!BF47&gt;=121,'(橫掃)RX Mapping'!BF47&lt;=240), (-1)*('(橫掃)RX Mapping'!BF47-240),IF(AND('(橫掃)RX Mapping'!BF47&gt;=241,'(橫掃)RX Mapping'!BF47&lt;=360), ('(橫掃)RX Mapping'!BF47-241),IF(AND('(橫掃)RX Mapping'!BF47&gt;=361,'(橫掃)RX Mapping'!BF47&lt;=480), (-1)*('(橫掃)RX Mapping'!BF47-480),IF(AND('(橫掃)RX Mapping'!BF47&gt;=481,'(橫掃)RX Mapping'!BF47&lt;=600), ('(橫掃)RX Mapping'!BF47-361),IF(AND('(橫掃)RX Mapping'!BF47&gt;=601,'(橫掃)RX Mapping'!BF47&lt;=720), (-1)*('(橫掃)RX Mapping'!BF47-720)+120,IF(AND('(橫掃)RX Mapping'!BF47&gt;=721,'(橫掃)RX Mapping'!BF47&lt;=840), ('(橫掃)RX Mapping'!BF47-601),IF(AND('(橫掃)RX Mapping'!BF47&gt;=841,'(橫掃)RX Mapping'!BF47&lt;=960), (-1)*('(橫掃)RX Mapping'!BF47-960)+120,9999))))))))</f>
        <v>9999</v>
      </c>
      <c r="BG47">
        <f>IF(AND('(橫掃)RX Mapping'!BG47&gt;=1,'(橫掃)RX Mapping'!BG47&lt;=120), ('(橫掃)RX Mapping'!BG47-1),IF(AND('(橫掃)RX Mapping'!BG47&gt;=121,'(橫掃)RX Mapping'!BG47&lt;=240), (-1)*('(橫掃)RX Mapping'!BG47-240),IF(AND('(橫掃)RX Mapping'!BG47&gt;=241,'(橫掃)RX Mapping'!BG47&lt;=360), ('(橫掃)RX Mapping'!BG47-241),IF(AND('(橫掃)RX Mapping'!BG47&gt;=361,'(橫掃)RX Mapping'!BG47&lt;=480), (-1)*('(橫掃)RX Mapping'!BG47-480),IF(AND('(橫掃)RX Mapping'!BG47&gt;=481,'(橫掃)RX Mapping'!BG47&lt;=600), ('(橫掃)RX Mapping'!BG47-361),IF(AND('(橫掃)RX Mapping'!BG47&gt;=601,'(橫掃)RX Mapping'!BG47&lt;=720), (-1)*('(橫掃)RX Mapping'!BG47-720)+120,IF(AND('(橫掃)RX Mapping'!BG47&gt;=721,'(橫掃)RX Mapping'!BG47&lt;=840), ('(橫掃)RX Mapping'!BG47-601),IF(AND('(橫掃)RX Mapping'!BG47&gt;=841,'(橫掃)RX Mapping'!BG47&lt;=960), (-1)*('(橫掃)RX Mapping'!BG47-960)+120,9999))))))))</f>
        <v>9999</v>
      </c>
      <c r="BH47">
        <f>IF(AND('(橫掃)RX Mapping'!BH47&gt;=1,'(橫掃)RX Mapping'!BH47&lt;=120), ('(橫掃)RX Mapping'!BH47-1),IF(AND('(橫掃)RX Mapping'!BH47&gt;=121,'(橫掃)RX Mapping'!BH47&lt;=240), (-1)*('(橫掃)RX Mapping'!BH47-240),IF(AND('(橫掃)RX Mapping'!BH47&gt;=241,'(橫掃)RX Mapping'!BH47&lt;=360), ('(橫掃)RX Mapping'!BH47-241),IF(AND('(橫掃)RX Mapping'!BH47&gt;=361,'(橫掃)RX Mapping'!BH47&lt;=480), (-1)*('(橫掃)RX Mapping'!BH47-480),IF(AND('(橫掃)RX Mapping'!BH47&gt;=481,'(橫掃)RX Mapping'!BH47&lt;=600), ('(橫掃)RX Mapping'!BH47-361),IF(AND('(橫掃)RX Mapping'!BH47&gt;=601,'(橫掃)RX Mapping'!BH47&lt;=720), (-1)*('(橫掃)RX Mapping'!BH47-720)+120,IF(AND('(橫掃)RX Mapping'!BH47&gt;=721,'(橫掃)RX Mapping'!BH47&lt;=840), ('(橫掃)RX Mapping'!BH47-601),IF(AND('(橫掃)RX Mapping'!BH47&gt;=841,'(橫掃)RX Mapping'!BH47&lt;=960), (-1)*('(橫掃)RX Mapping'!BH47-960)+120,9999))))))))</f>
        <v>9999</v>
      </c>
      <c r="BI47">
        <f>IF(AND('(橫掃)RX Mapping'!BI47&gt;=1,'(橫掃)RX Mapping'!BI47&lt;=120), ('(橫掃)RX Mapping'!BI47-1),IF(AND('(橫掃)RX Mapping'!BI47&gt;=121,'(橫掃)RX Mapping'!BI47&lt;=240), (-1)*('(橫掃)RX Mapping'!BI47-240),IF(AND('(橫掃)RX Mapping'!BI47&gt;=241,'(橫掃)RX Mapping'!BI47&lt;=360), ('(橫掃)RX Mapping'!BI47-241),IF(AND('(橫掃)RX Mapping'!BI47&gt;=361,'(橫掃)RX Mapping'!BI47&lt;=480), (-1)*('(橫掃)RX Mapping'!BI47-480),IF(AND('(橫掃)RX Mapping'!BI47&gt;=481,'(橫掃)RX Mapping'!BI47&lt;=600), ('(橫掃)RX Mapping'!BI47-361),IF(AND('(橫掃)RX Mapping'!BI47&gt;=601,'(橫掃)RX Mapping'!BI47&lt;=720), (-1)*('(橫掃)RX Mapping'!BI47-720)+120,IF(AND('(橫掃)RX Mapping'!BI47&gt;=721,'(橫掃)RX Mapping'!BI47&lt;=840), ('(橫掃)RX Mapping'!BI47-601),IF(AND('(橫掃)RX Mapping'!BI47&gt;=841,'(橫掃)RX Mapping'!BI47&lt;=960), (-1)*('(橫掃)RX Mapping'!BI47-960)+120,9999))))))))</f>
        <v>9999</v>
      </c>
    </row>
    <row r="48" spans="1:61" x14ac:dyDescent="0.25">
      <c r="A48" s="20">
        <v>47</v>
      </c>
      <c r="B48">
        <f>IF(AND('(橫掃)RX Mapping'!B48&gt;=1,'(橫掃)RX Mapping'!B48&lt;=120), ('(橫掃)RX Mapping'!B48-1),IF(AND('(橫掃)RX Mapping'!B48&gt;=121,'(橫掃)RX Mapping'!B48&lt;=240), (-1)*('(橫掃)RX Mapping'!B48-240),IF(AND('(橫掃)RX Mapping'!B48&gt;=241,'(橫掃)RX Mapping'!B48&lt;=360), ('(橫掃)RX Mapping'!B48-241),IF(AND('(橫掃)RX Mapping'!B48&gt;=361,'(橫掃)RX Mapping'!B48&lt;=480), (-1)*('(橫掃)RX Mapping'!B48-480),IF(AND('(橫掃)RX Mapping'!B48&gt;=481,'(橫掃)RX Mapping'!B48&lt;=600), ('(橫掃)RX Mapping'!B48-361),IF(AND('(橫掃)RX Mapping'!B48&gt;=601,'(橫掃)RX Mapping'!B48&lt;=720), (-1)*('(橫掃)RX Mapping'!B48-720)+120,IF(AND('(橫掃)RX Mapping'!B48&gt;=721,'(橫掃)RX Mapping'!B48&lt;=840), ('(橫掃)RX Mapping'!B48-601),IF(AND('(橫掃)RX Mapping'!B48&gt;=841,'(橫掃)RX Mapping'!B48&lt;=960), (-1)*('(橫掃)RX Mapping'!B48-960)+120,9999))))))))</f>
        <v>9999</v>
      </c>
      <c r="C48">
        <f>IF(AND('(橫掃)RX Mapping'!C48&gt;=1,'(橫掃)RX Mapping'!C48&lt;=120), ('(橫掃)RX Mapping'!C48-1),IF(AND('(橫掃)RX Mapping'!C48&gt;=121,'(橫掃)RX Mapping'!C48&lt;=240), (-1)*('(橫掃)RX Mapping'!C48-240),IF(AND('(橫掃)RX Mapping'!C48&gt;=241,'(橫掃)RX Mapping'!C48&lt;=360), ('(橫掃)RX Mapping'!C48-241),IF(AND('(橫掃)RX Mapping'!C48&gt;=361,'(橫掃)RX Mapping'!C48&lt;=480), (-1)*('(橫掃)RX Mapping'!C48-480),IF(AND('(橫掃)RX Mapping'!C48&gt;=481,'(橫掃)RX Mapping'!C48&lt;=600), ('(橫掃)RX Mapping'!C48-361),IF(AND('(橫掃)RX Mapping'!C48&gt;=601,'(橫掃)RX Mapping'!C48&lt;=720), (-1)*('(橫掃)RX Mapping'!C48-720)+120,IF(AND('(橫掃)RX Mapping'!C48&gt;=721,'(橫掃)RX Mapping'!C48&lt;=840), ('(橫掃)RX Mapping'!C48-601),IF(AND('(橫掃)RX Mapping'!C48&gt;=841,'(橫掃)RX Mapping'!C48&lt;=960), (-1)*('(橫掃)RX Mapping'!C48-960)+120,9999))))))))</f>
        <v>9999</v>
      </c>
      <c r="D48">
        <f>IF(AND('(橫掃)RX Mapping'!D48&gt;=1,'(橫掃)RX Mapping'!D48&lt;=120), ('(橫掃)RX Mapping'!D48-1),IF(AND('(橫掃)RX Mapping'!D48&gt;=121,'(橫掃)RX Mapping'!D48&lt;=240), (-1)*('(橫掃)RX Mapping'!D48-240),IF(AND('(橫掃)RX Mapping'!D48&gt;=241,'(橫掃)RX Mapping'!D48&lt;=360), ('(橫掃)RX Mapping'!D48-241),IF(AND('(橫掃)RX Mapping'!D48&gt;=361,'(橫掃)RX Mapping'!D48&lt;=480), (-1)*('(橫掃)RX Mapping'!D48-480),IF(AND('(橫掃)RX Mapping'!D48&gt;=481,'(橫掃)RX Mapping'!D48&lt;=600), ('(橫掃)RX Mapping'!D48-361),IF(AND('(橫掃)RX Mapping'!D48&gt;=601,'(橫掃)RX Mapping'!D48&lt;=720), (-1)*('(橫掃)RX Mapping'!D48-720)+120,IF(AND('(橫掃)RX Mapping'!D48&gt;=721,'(橫掃)RX Mapping'!D48&lt;=840), ('(橫掃)RX Mapping'!D48-601),IF(AND('(橫掃)RX Mapping'!D48&gt;=841,'(橫掃)RX Mapping'!D48&lt;=960), (-1)*('(橫掃)RX Mapping'!D48-960)+120,9999))))))))</f>
        <v>9999</v>
      </c>
      <c r="E48">
        <f>IF(AND('(橫掃)RX Mapping'!E48&gt;=1,'(橫掃)RX Mapping'!E48&lt;=120), ('(橫掃)RX Mapping'!E48-1),IF(AND('(橫掃)RX Mapping'!E48&gt;=121,'(橫掃)RX Mapping'!E48&lt;=240), (-1)*('(橫掃)RX Mapping'!E48-240),IF(AND('(橫掃)RX Mapping'!E48&gt;=241,'(橫掃)RX Mapping'!E48&lt;=360), ('(橫掃)RX Mapping'!E48-241),IF(AND('(橫掃)RX Mapping'!E48&gt;=361,'(橫掃)RX Mapping'!E48&lt;=480), (-1)*('(橫掃)RX Mapping'!E48-480),IF(AND('(橫掃)RX Mapping'!E48&gt;=481,'(橫掃)RX Mapping'!E48&lt;=600), ('(橫掃)RX Mapping'!E48-361),IF(AND('(橫掃)RX Mapping'!E48&gt;=601,'(橫掃)RX Mapping'!E48&lt;=720), (-1)*('(橫掃)RX Mapping'!E48-720)+120,IF(AND('(橫掃)RX Mapping'!E48&gt;=721,'(橫掃)RX Mapping'!E48&lt;=840), ('(橫掃)RX Mapping'!E48-601),IF(AND('(橫掃)RX Mapping'!E48&gt;=841,'(橫掃)RX Mapping'!E48&lt;=960), (-1)*('(橫掃)RX Mapping'!E48-960)+120,9999))))))))</f>
        <v>9999</v>
      </c>
      <c r="F48">
        <f>IF(AND('(橫掃)RX Mapping'!F48&gt;=1,'(橫掃)RX Mapping'!F48&lt;=120), ('(橫掃)RX Mapping'!F48-1),IF(AND('(橫掃)RX Mapping'!F48&gt;=121,'(橫掃)RX Mapping'!F48&lt;=240), (-1)*('(橫掃)RX Mapping'!F48-240),IF(AND('(橫掃)RX Mapping'!F48&gt;=241,'(橫掃)RX Mapping'!F48&lt;=360), ('(橫掃)RX Mapping'!F48-241),IF(AND('(橫掃)RX Mapping'!F48&gt;=361,'(橫掃)RX Mapping'!F48&lt;=480), (-1)*('(橫掃)RX Mapping'!F48-480),IF(AND('(橫掃)RX Mapping'!F48&gt;=481,'(橫掃)RX Mapping'!F48&lt;=600), ('(橫掃)RX Mapping'!F48-361),IF(AND('(橫掃)RX Mapping'!F48&gt;=601,'(橫掃)RX Mapping'!F48&lt;=720), (-1)*('(橫掃)RX Mapping'!F48-720)+120,IF(AND('(橫掃)RX Mapping'!F48&gt;=721,'(橫掃)RX Mapping'!F48&lt;=840), ('(橫掃)RX Mapping'!F48-601),IF(AND('(橫掃)RX Mapping'!F48&gt;=841,'(橫掃)RX Mapping'!F48&lt;=960), (-1)*('(橫掃)RX Mapping'!F48-960)+120,9999))))))))</f>
        <v>9999</v>
      </c>
      <c r="G48">
        <f>IF(AND('(橫掃)RX Mapping'!G48&gt;=1,'(橫掃)RX Mapping'!G48&lt;=120), ('(橫掃)RX Mapping'!G48-1),IF(AND('(橫掃)RX Mapping'!G48&gt;=121,'(橫掃)RX Mapping'!G48&lt;=240), (-1)*('(橫掃)RX Mapping'!G48-240),IF(AND('(橫掃)RX Mapping'!G48&gt;=241,'(橫掃)RX Mapping'!G48&lt;=360), ('(橫掃)RX Mapping'!G48-241),IF(AND('(橫掃)RX Mapping'!G48&gt;=361,'(橫掃)RX Mapping'!G48&lt;=480), (-1)*('(橫掃)RX Mapping'!G48-480),IF(AND('(橫掃)RX Mapping'!G48&gt;=481,'(橫掃)RX Mapping'!G48&lt;=600), ('(橫掃)RX Mapping'!G48-361),IF(AND('(橫掃)RX Mapping'!G48&gt;=601,'(橫掃)RX Mapping'!G48&lt;=720), (-1)*('(橫掃)RX Mapping'!G48-720)+120,IF(AND('(橫掃)RX Mapping'!G48&gt;=721,'(橫掃)RX Mapping'!G48&lt;=840), ('(橫掃)RX Mapping'!G48-601),IF(AND('(橫掃)RX Mapping'!G48&gt;=841,'(橫掃)RX Mapping'!G48&lt;=960), (-1)*('(橫掃)RX Mapping'!G48-960)+120,9999))))))))</f>
        <v>9999</v>
      </c>
      <c r="H48">
        <f>IF(AND('(橫掃)RX Mapping'!H48&gt;=1,'(橫掃)RX Mapping'!H48&lt;=120), ('(橫掃)RX Mapping'!H48-1),IF(AND('(橫掃)RX Mapping'!H48&gt;=121,'(橫掃)RX Mapping'!H48&lt;=240), (-1)*('(橫掃)RX Mapping'!H48-240),IF(AND('(橫掃)RX Mapping'!H48&gt;=241,'(橫掃)RX Mapping'!H48&lt;=360), ('(橫掃)RX Mapping'!H48-241),IF(AND('(橫掃)RX Mapping'!H48&gt;=361,'(橫掃)RX Mapping'!H48&lt;=480), (-1)*('(橫掃)RX Mapping'!H48-480),IF(AND('(橫掃)RX Mapping'!H48&gt;=481,'(橫掃)RX Mapping'!H48&lt;=600), ('(橫掃)RX Mapping'!H48-361),IF(AND('(橫掃)RX Mapping'!H48&gt;=601,'(橫掃)RX Mapping'!H48&lt;=720), (-1)*('(橫掃)RX Mapping'!H48-720)+120,IF(AND('(橫掃)RX Mapping'!H48&gt;=721,'(橫掃)RX Mapping'!H48&lt;=840), ('(橫掃)RX Mapping'!H48-601),IF(AND('(橫掃)RX Mapping'!H48&gt;=841,'(橫掃)RX Mapping'!H48&lt;=960), (-1)*('(橫掃)RX Mapping'!H48-960)+120,9999))))))))</f>
        <v>9999</v>
      </c>
      <c r="I48">
        <f>IF(AND('(橫掃)RX Mapping'!I48&gt;=1,'(橫掃)RX Mapping'!I48&lt;=120), ('(橫掃)RX Mapping'!I48-1),IF(AND('(橫掃)RX Mapping'!I48&gt;=121,'(橫掃)RX Mapping'!I48&lt;=240), (-1)*('(橫掃)RX Mapping'!I48-240),IF(AND('(橫掃)RX Mapping'!I48&gt;=241,'(橫掃)RX Mapping'!I48&lt;=360), ('(橫掃)RX Mapping'!I48-241),IF(AND('(橫掃)RX Mapping'!I48&gt;=361,'(橫掃)RX Mapping'!I48&lt;=480), (-1)*('(橫掃)RX Mapping'!I48-480),IF(AND('(橫掃)RX Mapping'!I48&gt;=481,'(橫掃)RX Mapping'!I48&lt;=600), ('(橫掃)RX Mapping'!I48-361),IF(AND('(橫掃)RX Mapping'!I48&gt;=601,'(橫掃)RX Mapping'!I48&lt;=720), (-1)*('(橫掃)RX Mapping'!I48-720)+120,IF(AND('(橫掃)RX Mapping'!I48&gt;=721,'(橫掃)RX Mapping'!I48&lt;=840), ('(橫掃)RX Mapping'!I48-601),IF(AND('(橫掃)RX Mapping'!I48&gt;=841,'(橫掃)RX Mapping'!I48&lt;=960), (-1)*('(橫掃)RX Mapping'!I48-960)+120,9999))))))))</f>
        <v>9999</v>
      </c>
      <c r="J48">
        <f>IF(AND('(橫掃)RX Mapping'!J48&gt;=1,'(橫掃)RX Mapping'!J48&lt;=120), ('(橫掃)RX Mapping'!J48-1),IF(AND('(橫掃)RX Mapping'!J48&gt;=121,'(橫掃)RX Mapping'!J48&lt;=240), (-1)*('(橫掃)RX Mapping'!J48-240),IF(AND('(橫掃)RX Mapping'!J48&gt;=241,'(橫掃)RX Mapping'!J48&lt;=360), ('(橫掃)RX Mapping'!J48-241),IF(AND('(橫掃)RX Mapping'!J48&gt;=361,'(橫掃)RX Mapping'!J48&lt;=480), (-1)*('(橫掃)RX Mapping'!J48-480),IF(AND('(橫掃)RX Mapping'!J48&gt;=481,'(橫掃)RX Mapping'!J48&lt;=600), ('(橫掃)RX Mapping'!J48-361),IF(AND('(橫掃)RX Mapping'!J48&gt;=601,'(橫掃)RX Mapping'!J48&lt;=720), (-1)*('(橫掃)RX Mapping'!J48-720)+120,IF(AND('(橫掃)RX Mapping'!J48&gt;=721,'(橫掃)RX Mapping'!J48&lt;=840), ('(橫掃)RX Mapping'!J48-601),IF(AND('(橫掃)RX Mapping'!J48&gt;=841,'(橫掃)RX Mapping'!J48&lt;=960), (-1)*('(橫掃)RX Mapping'!J48-960)+120,9999))))))))</f>
        <v>9999</v>
      </c>
      <c r="K48">
        <f>IF(AND('(橫掃)RX Mapping'!K48&gt;=1,'(橫掃)RX Mapping'!K48&lt;=120), ('(橫掃)RX Mapping'!K48-1),IF(AND('(橫掃)RX Mapping'!K48&gt;=121,'(橫掃)RX Mapping'!K48&lt;=240), (-1)*('(橫掃)RX Mapping'!K48-240),IF(AND('(橫掃)RX Mapping'!K48&gt;=241,'(橫掃)RX Mapping'!K48&lt;=360), ('(橫掃)RX Mapping'!K48-241),IF(AND('(橫掃)RX Mapping'!K48&gt;=361,'(橫掃)RX Mapping'!K48&lt;=480), (-1)*('(橫掃)RX Mapping'!K48-480),IF(AND('(橫掃)RX Mapping'!K48&gt;=481,'(橫掃)RX Mapping'!K48&lt;=600), ('(橫掃)RX Mapping'!K48-361),IF(AND('(橫掃)RX Mapping'!K48&gt;=601,'(橫掃)RX Mapping'!K48&lt;=720), (-1)*('(橫掃)RX Mapping'!K48-720)+120,IF(AND('(橫掃)RX Mapping'!K48&gt;=721,'(橫掃)RX Mapping'!K48&lt;=840), ('(橫掃)RX Mapping'!K48-601),IF(AND('(橫掃)RX Mapping'!K48&gt;=841,'(橫掃)RX Mapping'!K48&lt;=960), (-1)*('(橫掃)RX Mapping'!K48-960)+120,9999))))))))</f>
        <v>9999</v>
      </c>
      <c r="L48">
        <f>IF(AND('(橫掃)RX Mapping'!L48&gt;=1,'(橫掃)RX Mapping'!L48&lt;=120), ('(橫掃)RX Mapping'!L48-1),IF(AND('(橫掃)RX Mapping'!L48&gt;=121,'(橫掃)RX Mapping'!L48&lt;=240), (-1)*('(橫掃)RX Mapping'!L48-240),IF(AND('(橫掃)RX Mapping'!L48&gt;=241,'(橫掃)RX Mapping'!L48&lt;=360), ('(橫掃)RX Mapping'!L48-241),IF(AND('(橫掃)RX Mapping'!L48&gt;=361,'(橫掃)RX Mapping'!L48&lt;=480), (-1)*('(橫掃)RX Mapping'!L48-480),IF(AND('(橫掃)RX Mapping'!L48&gt;=481,'(橫掃)RX Mapping'!L48&lt;=600), ('(橫掃)RX Mapping'!L48-361),IF(AND('(橫掃)RX Mapping'!L48&gt;=601,'(橫掃)RX Mapping'!L48&lt;=720), (-1)*('(橫掃)RX Mapping'!L48-720)+120,IF(AND('(橫掃)RX Mapping'!L48&gt;=721,'(橫掃)RX Mapping'!L48&lt;=840), ('(橫掃)RX Mapping'!L48-601),IF(AND('(橫掃)RX Mapping'!L48&gt;=841,'(橫掃)RX Mapping'!L48&lt;=960), (-1)*('(橫掃)RX Mapping'!L48-960)+120,9999))))))))</f>
        <v>9999</v>
      </c>
      <c r="M48">
        <f>IF(AND('(橫掃)RX Mapping'!M48&gt;=1,'(橫掃)RX Mapping'!M48&lt;=120), ('(橫掃)RX Mapping'!M48-1),IF(AND('(橫掃)RX Mapping'!M48&gt;=121,'(橫掃)RX Mapping'!M48&lt;=240), (-1)*('(橫掃)RX Mapping'!M48-240),IF(AND('(橫掃)RX Mapping'!M48&gt;=241,'(橫掃)RX Mapping'!M48&lt;=360), ('(橫掃)RX Mapping'!M48-241),IF(AND('(橫掃)RX Mapping'!M48&gt;=361,'(橫掃)RX Mapping'!M48&lt;=480), (-1)*('(橫掃)RX Mapping'!M48-480),IF(AND('(橫掃)RX Mapping'!M48&gt;=481,'(橫掃)RX Mapping'!M48&lt;=600), ('(橫掃)RX Mapping'!M48-361),IF(AND('(橫掃)RX Mapping'!M48&gt;=601,'(橫掃)RX Mapping'!M48&lt;=720), (-1)*('(橫掃)RX Mapping'!M48-720)+120,IF(AND('(橫掃)RX Mapping'!M48&gt;=721,'(橫掃)RX Mapping'!M48&lt;=840), ('(橫掃)RX Mapping'!M48-601),IF(AND('(橫掃)RX Mapping'!M48&gt;=841,'(橫掃)RX Mapping'!M48&lt;=960), (-1)*('(橫掃)RX Mapping'!M48-960)+120,9999))))))))</f>
        <v>9999</v>
      </c>
      <c r="N48">
        <f>IF(AND('(橫掃)RX Mapping'!N48&gt;=1,'(橫掃)RX Mapping'!N48&lt;=120), ('(橫掃)RX Mapping'!N48-1),IF(AND('(橫掃)RX Mapping'!N48&gt;=121,'(橫掃)RX Mapping'!N48&lt;=240), (-1)*('(橫掃)RX Mapping'!N48-240),IF(AND('(橫掃)RX Mapping'!N48&gt;=241,'(橫掃)RX Mapping'!N48&lt;=360), ('(橫掃)RX Mapping'!N48-241),IF(AND('(橫掃)RX Mapping'!N48&gt;=361,'(橫掃)RX Mapping'!N48&lt;=480), (-1)*('(橫掃)RX Mapping'!N48-480),IF(AND('(橫掃)RX Mapping'!N48&gt;=481,'(橫掃)RX Mapping'!N48&lt;=600), ('(橫掃)RX Mapping'!N48-361),IF(AND('(橫掃)RX Mapping'!N48&gt;=601,'(橫掃)RX Mapping'!N48&lt;=720), (-1)*('(橫掃)RX Mapping'!N48-720)+120,IF(AND('(橫掃)RX Mapping'!N48&gt;=721,'(橫掃)RX Mapping'!N48&lt;=840), ('(橫掃)RX Mapping'!N48-601),IF(AND('(橫掃)RX Mapping'!N48&gt;=841,'(橫掃)RX Mapping'!N48&lt;=960), (-1)*('(橫掃)RX Mapping'!N48-960)+120,9999))))))))</f>
        <v>9999</v>
      </c>
      <c r="O48">
        <f>IF(AND('(橫掃)RX Mapping'!O48&gt;=1,'(橫掃)RX Mapping'!O48&lt;=120), ('(橫掃)RX Mapping'!O48-1),IF(AND('(橫掃)RX Mapping'!O48&gt;=121,'(橫掃)RX Mapping'!O48&lt;=240), (-1)*('(橫掃)RX Mapping'!O48-240),IF(AND('(橫掃)RX Mapping'!O48&gt;=241,'(橫掃)RX Mapping'!O48&lt;=360), ('(橫掃)RX Mapping'!O48-241),IF(AND('(橫掃)RX Mapping'!O48&gt;=361,'(橫掃)RX Mapping'!O48&lt;=480), (-1)*('(橫掃)RX Mapping'!O48-480),IF(AND('(橫掃)RX Mapping'!O48&gt;=481,'(橫掃)RX Mapping'!O48&lt;=600), ('(橫掃)RX Mapping'!O48-361),IF(AND('(橫掃)RX Mapping'!O48&gt;=601,'(橫掃)RX Mapping'!O48&lt;=720), (-1)*('(橫掃)RX Mapping'!O48-720)+120,IF(AND('(橫掃)RX Mapping'!O48&gt;=721,'(橫掃)RX Mapping'!O48&lt;=840), ('(橫掃)RX Mapping'!O48-601),IF(AND('(橫掃)RX Mapping'!O48&gt;=841,'(橫掃)RX Mapping'!O48&lt;=960), (-1)*('(橫掃)RX Mapping'!O48-960)+120,9999))))))))</f>
        <v>9999</v>
      </c>
      <c r="P48">
        <f>IF(AND('(橫掃)RX Mapping'!P48&gt;=1,'(橫掃)RX Mapping'!P48&lt;=120), ('(橫掃)RX Mapping'!P48-1),IF(AND('(橫掃)RX Mapping'!P48&gt;=121,'(橫掃)RX Mapping'!P48&lt;=240), (-1)*('(橫掃)RX Mapping'!P48-240),IF(AND('(橫掃)RX Mapping'!P48&gt;=241,'(橫掃)RX Mapping'!P48&lt;=360), ('(橫掃)RX Mapping'!P48-241),IF(AND('(橫掃)RX Mapping'!P48&gt;=361,'(橫掃)RX Mapping'!P48&lt;=480), (-1)*('(橫掃)RX Mapping'!P48-480),IF(AND('(橫掃)RX Mapping'!P48&gt;=481,'(橫掃)RX Mapping'!P48&lt;=600), ('(橫掃)RX Mapping'!P48-361),IF(AND('(橫掃)RX Mapping'!P48&gt;=601,'(橫掃)RX Mapping'!P48&lt;=720), (-1)*('(橫掃)RX Mapping'!P48-720)+120,IF(AND('(橫掃)RX Mapping'!P48&gt;=721,'(橫掃)RX Mapping'!P48&lt;=840), ('(橫掃)RX Mapping'!P48-601),IF(AND('(橫掃)RX Mapping'!P48&gt;=841,'(橫掃)RX Mapping'!P48&lt;=960), (-1)*('(橫掃)RX Mapping'!P48-960)+120,9999))))))))</f>
        <v>9999</v>
      </c>
      <c r="Q48">
        <f>IF(AND('(橫掃)RX Mapping'!Q48&gt;=1,'(橫掃)RX Mapping'!Q48&lt;=120), ('(橫掃)RX Mapping'!Q48-1),IF(AND('(橫掃)RX Mapping'!Q48&gt;=121,'(橫掃)RX Mapping'!Q48&lt;=240), (-1)*('(橫掃)RX Mapping'!Q48-240),IF(AND('(橫掃)RX Mapping'!Q48&gt;=241,'(橫掃)RX Mapping'!Q48&lt;=360), ('(橫掃)RX Mapping'!Q48-241),IF(AND('(橫掃)RX Mapping'!Q48&gt;=361,'(橫掃)RX Mapping'!Q48&lt;=480), (-1)*('(橫掃)RX Mapping'!Q48-480),IF(AND('(橫掃)RX Mapping'!Q48&gt;=481,'(橫掃)RX Mapping'!Q48&lt;=600), ('(橫掃)RX Mapping'!Q48-361),IF(AND('(橫掃)RX Mapping'!Q48&gt;=601,'(橫掃)RX Mapping'!Q48&lt;=720), (-1)*('(橫掃)RX Mapping'!Q48-720)+120,IF(AND('(橫掃)RX Mapping'!Q48&gt;=721,'(橫掃)RX Mapping'!Q48&lt;=840), ('(橫掃)RX Mapping'!Q48-601),IF(AND('(橫掃)RX Mapping'!Q48&gt;=841,'(橫掃)RX Mapping'!Q48&lt;=960), (-1)*('(橫掃)RX Mapping'!Q48-960)+120,9999))))))))</f>
        <v>9999</v>
      </c>
      <c r="R48">
        <f>IF(AND('(橫掃)RX Mapping'!R48&gt;=1,'(橫掃)RX Mapping'!R48&lt;=120), ('(橫掃)RX Mapping'!R48-1),IF(AND('(橫掃)RX Mapping'!R48&gt;=121,'(橫掃)RX Mapping'!R48&lt;=240), (-1)*('(橫掃)RX Mapping'!R48-240),IF(AND('(橫掃)RX Mapping'!R48&gt;=241,'(橫掃)RX Mapping'!R48&lt;=360), ('(橫掃)RX Mapping'!R48-241),IF(AND('(橫掃)RX Mapping'!R48&gt;=361,'(橫掃)RX Mapping'!R48&lt;=480), (-1)*('(橫掃)RX Mapping'!R48-480),IF(AND('(橫掃)RX Mapping'!R48&gt;=481,'(橫掃)RX Mapping'!R48&lt;=600), ('(橫掃)RX Mapping'!R48-361),IF(AND('(橫掃)RX Mapping'!R48&gt;=601,'(橫掃)RX Mapping'!R48&lt;=720), (-1)*('(橫掃)RX Mapping'!R48-720)+120,IF(AND('(橫掃)RX Mapping'!R48&gt;=721,'(橫掃)RX Mapping'!R48&lt;=840), ('(橫掃)RX Mapping'!R48-601),IF(AND('(橫掃)RX Mapping'!R48&gt;=841,'(橫掃)RX Mapping'!R48&lt;=960), (-1)*('(橫掃)RX Mapping'!R48-960)+120,9999))))))))</f>
        <v>9999</v>
      </c>
      <c r="S48">
        <f>IF(AND('(橫掃)RX Mapping'!S48&gt;=1,'(橫掃)RX Mapping'!S48&lt;=120), ('(橫掃)RX Mapping'!S48-1),IF(AND('(橫掃)RX Mapping'!S48&gt;=121,'(橫掃)RX Mapping'!S48&lt;=240), (-1)*('(橫掃)RX Mapping'!S48-240),IF(AND('(橫掃)RX Mapping'!S48&gt;=241,'(橫掃)RX Mapping'!S48&lt;=360), ('(橫掃)RX Mapping'!S48-241),IF(AND('(橫掃)RX Mapping'!S48&gt;=361,'(橫掃)RX Mapping'!S48&lt;=480), (-1)*('(橫掃)RX Mapping'!S48-480),IF(AND('(橫掃)RX Mapping'!S48&gt;=481,'(橫掃)RX Mapping'!S48&lt;=600), ('(橫掃)RX Mapping'!S48-361),IF(AND('(橫掃)RX Mapping'!S48&gt;=601,'(橫掃)RX Mapping'!S48&lt;=720), (-1)*('(橫掃)RX Mapping'!S48-720)+120,IF(AND('(橫掃)RX Mapping'!S48&gt;=721,'(橫掃)RX Mapping'!S48&lt;=840), ('(橫掃)RX Mapping'!S48-601),IF(AND('(橫掃)RX Mapping'!S48&gt;=841,'(橫掃)RX Mapping'!S48&lt;=960), (-1)*('(橫掃)RX Mapping'!S48-960)+120,9999))))))))</f>
        <v>9999</v>
      </c>
      <c r="T48">
        <f>IF(AND('(橫掃)RX Mapping'!T48&gt;=1,'(橫掃)RX Mapping'!T48&lt;=120), ('(橫掃)RX Mapping'!T48-1),IF(AND('(橫掃)RX Mapping'!T48&gt;=121,'(橫掃)RX Mapping'!T48&lt;=240), (-1)*('(橫掃)RX Mapping'!T48-240),IF(AND('(橫掃)RX Mapping'!T48&gt;=241,'(橫掃)RX Mapping'!T48&lt;=360), ('(橫掃)RX Mapping'!T48-241),IF(AND('(橫掃)RX Mapping'!T48&gt;=361,'(橫掃)RX Mapping'!T48&lt;=480), (-1)*('(橫掃)RX Mapping'!T48-480),IF(AND('(橫掃)RX Mapping'!T48&gt;=481,'(橫掃)RX Mapping'!T48&lt;=600), ('(橫掃)RX Mapping'!T48-361),IF(AND('(橫掃)RX Mapping'!T48&gt;=601,'(橫掃)RX Mapping'!T48&lt;=720), (-1)*('(橫掃)RX Mapping'!T48-720)+120,IF(AND('(橫掃)RX Mapping'!T48&gt;=721,'(橫掃)RX Mapping'!T48&lt;=840), ('(橫掃)RX Mapping'!T48-601),IF(AND('(橫掃)RX Mapping'!T48&gt;=841,'(橫掃)RX Mapping'!T48&lt;=960), (-1)*('(橫掃)RX Mapping'!T48-960)+120,9999))))))))</f>
        <v>9999</v>
      </c>
      <c r="U48">
        <f>IF(AND('(橫掃)RX Mapping'!U48&gt;=1,'(橫掃)RX Mapping'!U48&lt;=120), ('(橫掃)RX Mapping'!U48-1),IF(AND('(橫掃)RX Mapping'!U48&gt;=121,'(橫掃)RX Mapping'!U48&lt;=240), (-1)*('(橫掃)RX Mapping'!U48-240),IF(AND('(橫掃)RX Mapping'!U48&gt;=241,'(橫掃)RX Mapping'!U48&lt;=360), ('(橫掃)RX Mapping'!U48-241),IF(AND('(橫掃)RX Mapping'!U48&gt;=361,'(橫掃)RX Mapping'!U48&lt;=480), (-1)*('(橫掃)RX Mapping'!U48-480),IF(AND('(橫掃)RX Mapping'!U48&gt;=481,'(橫掃)RX Mapping'!U48&lt;=600), ('(橫掃)RX Mapping'!U48-361),IF(AND('(橫掃)RX Mapping'!U48&gt;=601,'(橫掃)RX Mapping'!U48&lt;=720), (-1)*('(橫掃)RX Mapping'!U48-720)+120,IF(AND('(橫掃)RX Mapping'!U48&gt;=721,'(橫掃)RX Mapping'!U48&lt;=840), ('(橫掃)RX Mapping'!U48-601),IF(AND('(橫掃)RX Mapping'!U48&gt;=841,'(橫掃)RX Mapping'!U48&lt;=960), (-1)*('(橫掃)RX Mapping'!U48-960)+120,9999))))))))</f>
        <v>9999</v>
      </c>
      <c r="V48">
        <f>IF(AND('(橫掃)RX Mapping'!V48&gt;=1,'(橫掃)RX Mapping'!V48&lt;=120), ('(橫掃)RX Mapping'!V48-1),IF(AND('(橫掃)RX Mapping'!V48&gt;=121,'(橫掃)RX Mapping'!V48&lt;=240), (-1)*('(橫掃)RX Mapping'!V48-240),IF(AND('(橫掃)RX Mapping'!V48&gt;=241,'(橫掃)RX Mapping'!V48&lt;=360), ('(橫掃)RX Mapping'!V48-241),IF(AND('(橫掃)RX Mapping'!V48&gt;=361,'(橫掃)RX Mapping'!V48&lt;=480), (-1)*('(橫掃)RX Mapping'!V48-480),IF(AND('(橫掃)RX Mapping'!V48&gt;=481,'(橫掃)RX Mapping'!V48&lt;=600), ('(橫掃)RX Mapping'!V48-361),IF(AND('(橫掃)RX Mapping'!V48&gt;=601,'(橫掃)RX Mapping'!V48&lt;=720), (-1)*('(橫掃)RX Mapping'!V48-720)+120,IF(AND('(橫掃)RX Mapping'!V48&gt;=721,'(橫掃)RX Mapping'!V48&lt;=840), ('(橫掃)RX Mapping'!V48-601),IF(AND('(橫掃)RX Mapping'!V48&gt;=841,'(橫掃)RX Mapping'!V48&lt;=960), (-1)*('(橫掃)RX Mapping'!V48-960)+120,9999))))))))</f>
        <v>9999</v>
      </c>
      <c r="W48">
        <f>IF(AND('(橫掃)RX Mapping'!W48&gt;=1,'(橫掃)RX Mapping'!W48&lt;=120), ('(橫掃)RX Mapping'!W48-1),IF(AND('(橫掃)RX Mapping'!W48&gt;=121,'(橫掃)RX Mapping'!W48&lt;=240), (-1)*('(橫掃)RX Mapping'!W48-240),IF(AND('(橫掃)RX Mapping'!W48&gt;=241,'(橫掃)RX Mapping'!W48&lt;=360), ('(橫掃)RX Mapping'!W48-241),IF(AND('(橫掃)RX Mapping'!W48&gt;=361,'(橫掃)RX Mapping'!W48&lt;=480), (-1)*('(橫掃)RX Mapping'!W48-480),IF(AND('(橫掃)RX Mapping'!W48&gt;=481,'(橫掃)RX Mapping'!W48&lt;=600), ('(橫掃)RX Mapping'!W48-361),IF(AND('(橫掃)RX Mapping'!W48&gt;=601,'(橫掃)RX Mapping'!W48&lt;=720), (-1)*('(橫掃)RX Mapping'!W48-720)+120,IF(AND('(橫掃)RX Mapping'!W48&gt;=721,'(橫掃)RX Mapping'!W48&lt;=840), ('(橫掃)RX Mapping'!W48-601),IF(AND('(橫掃)RX Mapping'!W48&gt;=841,'(橫掃)RX Mapping'!W48&lt;=960), (-1)*('(橫掃)RX Mapping'!W48-960)+120,9999))))))))</f>
        <v>9999</v>
      </c>
      <c r="X48">
        <f>IF(AND('(橫掃)RX Mapping'!X48&gt;=1,'(橫掃)RX Mapping'!X48&lt;=120), ('(橫掃)RX Mapping'!X48-1),IF(AND('(橫掃)RX Mapping'!X48&gt;=121,'(橫掃)RX Mapping'!X48&lt;=240), (-1)*('(橫掃)RX Mapping'!X48-240),IF(AND('(橫掃)RX Mapping'!X48&gt;=241,'(橫掃)RX Mapping'!X48&lt;=360), ('(橫掃)RX Mapping'!X48-241),IF(AND('(橫掃)RX Mapping'!X48&gt;=361,'(橫掃)RX Mapping'!X48&lt;=480), (-1)*('(橫掃)RX Mapping'!X48-480),IF(AND('(橫掃)RX Mapping'!X48&gt;=481,'(橫掃)RX Mapping'!X48&lt;=600), ('(橫掃)RX Mapping'!X48-361),IF(AND('(橫掃)RX Mapping'!X48&gt;=601,'(橫掃)RX Mapping'!X48&lt;=720), (-1)*('(橫掃)RX Mapping'!X48-720)+120,IF(AND('(橫掃)RX Mapping'!X48&gt;=721,'(橫掃)RX Mapping'!X48&lt;=840), ('(橫掃)RX Mapping'!X48-601),IF(AND('(橫掃)RX Mapping'!X48&gt;=841,'(橫掃)RX Mapping'!X48&lt;=960), (-1)*('(橫掃)RX Mapping'!X48-960)+120,9999))))))))</f>
        <v>9999</v>
      </c>
      <c r="Y48">
        <f>IF(AND('(橫掃)RX Mapping'!Y48&gt;=1,'(橫掃)RX Mapping'!Y48&lt;=120), ('(橫掃)RX Mapping'!Y48-1),IF(AND('(橫掃)RX Mapping'!Y48&gt;=121,'(橫掃)RX Mapping'!Y48&lt;=240), (-1)*('(橫掃)RX Mapping'!Y48-240),IF(AND('(橫掃)RX Mapping'!Y48&gt;=241,'(橫掃)RX Mapping'!Y48&lt;=360), ('(橫掃)RX Mapping'!Y48-241),IF(AND('(橫掃)RX Mapping'!Y48&gt;=361,'(橫掃)RX Mapping'!Y48&lt;=480), (-1)*('(橫掃)RX Mapping'!Y48-480),IF(AND('(橫掃)RX Mapping'!Y48&gt;=481,'(橫掃)RX Mapping'!Y48&lt;=600), ('(橫掃)RX Mapping'!Y48-361),IF(AND('(橫掃)RX Mapping'!Y48&gt;=601,'(橫掃)RX Mapping'!Y48&lt;=720), (-1)*('(橫掃)RX Mapping'!Y48-720)+120,IF(AND('(橫掃)RX Mapping'!Y48&gt;=721,'(橫掃)RX Mapping'!Y48&lt;=840), ('(橫掃)RX Mapping'!Y48-601),IF(AND('(橫掃)RX Mapping'!Y48&gt;=841,'(橫掃)RX Mapping'!Y48&lt;=960), (-1)*('(橫掃)RX Mapping'!Y48-960)+120,9999))))))))</f>
        <v>9999</v>
      </c>
      <c r="Z48">
        <f>IF(AND('(橫掃)RX Mapping'!Z48&gt;=1,'(橫掃)RX Mapping'!Z48&lt;=120), ('(橫掃)RX Mapping'!Z48-1),IF(AND('(橫掃)RX Mapping'!Z48&gt;=121,'(橫掃)RX Mapping'!Z48&lt;=240), (-1)*('(橫掃)RX Mapping'!Z48-240),IF(AND('(橫掃)RX Mapping'!Z48&gt;=241,'(橫掃)RX Mapping'!Z48&lt;=360), ('(橫掃)RX Mapping'!Z48-241),IF(AND('(橫掃)RX Mapping'!Z48&gt;=361,'(橫掃)RX Mapping'!Z48&lt;=480), (-1)*('(橫掃)RX Mapping'!Z48-480),IF(AND('(橫掃)RX Mapping'!Z48&gt;=481,'(橫掃)RX Mapping'!Z48&lt;=600), ('(橫掃)RX Mapping'!Z48-361),IF(AND('(橫掃)RX Mapping'!Z48&gt;=601,'(橫掃)RX Mapping'!Z48&lt;=720), (-1)*('(橫掃)RX Mapping'!Z48-720)+120,IF(AND('(橫掃)RX Mapping'!Z48&gt;=721,'(橫掃)RX Mapping'!Z48&lt;=840), ('(橫掃)RX Mapping'!Z48-601),IF(AND('(橫掃)RX Mapping'!Z48&gt;=841,'(橫掃)RX Mapping'!Z48&lt;=960), (-1)*('(橫掃)RX Mapping'!Z48-960)+120,9999))))))))</f>
        <v>9999</v>
      </c>
      <c r="AA48">
        <f>IF(AND('(橫掃)RX Mapping'!AA48&gt;=1,'(橫掃)RX Mapping'!AA48&lt;=120), ('(橫掃)RX Mapping'!AA48-1),IF(AND('(橫掃)RX Mapping'!AA48&gt;=121,'(橫掃)RX Mapping'!AA48&lt;=240), (-1)*('(橫掃)RX Mapping'!AA48-240),IF(AND('(橫掃)RX Mapping'!AA48&gt;=241,'(橫掃)RX Mapping'!AA48&lt;=360), ('(橫掃)RX Mapping'!AA48-241),IF(AND('(橫掃)RX Mapping'!AA48&gt;=361,'(橫掃)RX Mapping'!AA48&lt;=480), (-1)*('(橫掃)RX Mapping'!AA48-480),IF(AND('(橫掃)RX Mapping'!AA48&gt;=481,'(橫掃)RX Mapping'!AA48&lt;=600), ('(橫掃)RX Mapping'!AA48-361),IF(AND('(橫掃)RX Mapping'!AA48&gt;=601,'(橫掃)RX Mapping'!AA48&lt;=720), (-1)*('(橫掃)RX Mapping'!AA48-720)+120,IF(AND('(橫掃)RX Mapping'!AA48&gt;=721,'(橫掃)RX Mapping'!AA48&lt;=840), ('(橫掃)RX Mapping'!AA48-601),IF(AND('(橫掃)RX Mapping'!AA48&gt;=841,'(橫掃)RX Mapping'!AA48&lt;=960), (-1)*('(橫掃)RX Mapping'!AA48-960)+120,9999))))))))</f>
        <v>9999</v>
      </c>
      <c r="AB48">
        <f>IF(AND('(橫掃)RX Mapping'!AB48&gt;=1,'(橫掃)RX Mapping'!AB48&lt;=120), ('(橫掃)RX Mapping'!AB48-1),IF(AND('(橫掃)RX Mapping'!AB48&gt;=121,'(橫掃)RX Mapping'!AB48&lt;=240), (-1)*('(橫掃)RX Mapping'!AB48-240),IF(AND('(橫掃)RX Mapping'!AB48&gt;=241,'(橫掃)RX Mapping'!AB48&lt;=360), ('(橫掃)RX Mapping'!AB48-241),IF(AND('(橫掃)RX Mapping'!AB48&gt;=361,'(橫掃)RX Mapping'!AB48&lt;=480), (-1)*('(橫掃)RX Mapping'!AB48-480),IF(AND('(橫掃)RX Mapping'!AB48&gt;=481,'(橫掃)RX Mapping'!AB48&lt;=600), ('(橫掃)RX Mapping'!AB48-361),IF(AND('(橫掃)RX Mapping'!AB48&gt;=601,'(橫掃)RX Mapping'!AB48&lt;=720), (-1)*('(橫掃)RX Mapping'!AB48-720)+120,IF(AND('(橫掃)RX Mapping'!AB48&gt;=721,'(橫掃)RX Mapping'!AB48&lt;=840), ('(橫掃)RX Mapping'!AB48-601),IF(AND('(橫掃)RX Mapping'!AB48&gt;=841,'(橫掃)RX Mapping'!AB48&lt;=960), (-1)*('(橫掃)RX Mapping'!AB48-960)+120,9999))))))))</f>
        <v>9999</v>
      </c>
      <c r="AC48">
        <f>IF(AND('(橫掃)RX Mapping'!AC48&gt;=1,'(橫掃)RX Mapping'!AC48&lt;=120), ('(橫掃)RX Mapping'!AC48-1),IF(AND('(橫掃)RX Mapping'!AC48&gt;=121,'(橫掃)RX Mapping'!AC48&lt;=240), (-1)*('(橫掃)RX Mapping'!AC48-240),IF(AND('(橫掃)RX Mapping'!AC48&gt;=241,'(橫掃)RX Mapping'!AC48&lt;=360), ('(橫掃)RX Mapping'!AC48-241),IF(AND('(橫掃)RX Mapping'!AC48&gt;=361,'(橫掃)RX Mapping'!AC48&lt;=480), (-1)*('(橫掃)RX Mapping'!AC48-480),IF(AND('(橫掃)RX Mapping'!AC48&gt;=481,'(橫掃)RX Mapping'!AC48&lt;=600), ('(橫掃)RX Mapping'!AC48-361),IF(AND('(橫掃)RX Mapping'!AC48&gt;=601,'(橫掃)RX Mapping'!AC48&lt;=720), (-1)*('(橫掃)RX Mapping'!AC48-720)+120,IF(AND('(橫掃)RX Mapping'!AC48&gt;=721,'(橫掃)RX Mapping'!AC48&lt;=840), ('(橫掃)RX Mapping'!AC48-601),IF(AND('(橫掃)RX Mapping'!AC48&gt;=841,'(橫掃)RX Mapping'!AC48&lt;=960), (-1)*('(橫掃)RX Mapping'!AC48-960)+120,9999))))))))</f>
        <v>9999</v>
      </c>
      <c r="AD48">
        <f>IF(AND('(橫掃)RX Mapping'!AD48&gt;=1,'(橫掃)RX Mapping'!AD48&lt;=120), ('(橫掃)RX Mapping'!AD48-1),IF(AND('(橫掃)RX Mapping'!AD48&gt;=121,'(橫掃)RX Mapping'!AD48&lt;=240), (-1)*('(橫掃)RX Mapping'!AD48-240),IF(AND('(橫掃)RX Mapping'!AD48&gt;=241,'(橫掃)RX Mapping'!AD48&lt;=360), ('(橫掃)RX Mapping'!AD48-241),IF(AND('(橫掃)RX Mapping'!AD48&gt;=361,'(橫掃)RX Mapping'!AD48&lt;=480), (-1)*('(橫掃)RX Mapping'!AD48-480),IF(AND('(橫掃)RX Mapping'!AD48&gt;=481,'(橫掃)RX Mapping'!AD48&lt;=600), ('(橫掃)RX Mapping'!AD48-361),IF(AND('(橫掃)RX Mapping'!AD48&gt;=601,'(橫掃)RX Mapping'!AD48&lt;=720), (-1)*('(橫掃)RX Mapping'!AD48-720)+120,IF(AND('(橫掃)RX Mapping'!AD48&gt;=721,'(橫掃)RX Mapping'!AD48&lt;=840), ('(橫掃)RX Mapping'!AD48-601),IF(AND('(橫掃)RX Mapping'!AD48&gt;=841,'(橫掃)RX Mapping'!AD48&lt;=960), (-1)*('(橫掃)RX Mapping'!AD48-960)+120,9999))))))))</f>
        <v>9999</v>
      </c>
      <c r="AE48">
        <f>IF(AND('(橫掃)RX Mapping'!AE48&gt;=1,'(橫掃)RX Mapping'!AE48&lt;=120), ('(橫掃)RX Mapping'!AE48-1),IF(AND('(橫掃)RX Mapping'!AE48&gt;=121,'(橫掃)RX Mapping'!AE48&lt;=240), (-1)*('(橫掃)RX Mapping'!AE48-240),IF(AND('(橫掃)RX Mapping'!AE48&gt;=241,'(橫掃)RX Mapping'!AE48&lt;=360), ('(橫掃)RX Mapping'!AE48-241),IF(AND('(橫掃)RX Mapping'!AE48&gt;=361,'(橫掃)RX Mapping'!AE48&lt;=480), (-1)*('(橫掃)RX Mapping'!AE48-480),IF(AND('(橫掃)RX Mapping'!AE48&gt;=481,'(橫掃)RX Mapping'!AE48&lt;=600), ('(橫掃)RX Mapping'!AE48-361),IF(AND('(橫掃)RX Mapping'!AE48&gt;=601,'(橫掃)RX Mapping'!AE48&lt;=720), (-1)*('(橫掃)RX Mapping'!AE48-720)+120,IF(AND('(橫掃)RX Mapping'!AE48&gt;=721,'(橫掃)RX Mapping'!AE48&lt;=840), ('(橫掃)RX Mapping'!AE48-601),IF(AND('(橫掃)RX Mapping'!AE48&gt;=841,'(橫掃)RX Mapping'!AE48&lt;=960), (-1)*('(橫掃)RX Mapping'!AE48-960)+120,9999))))))))</f>
        <v>9999</v>
      </c>
      <c r="AF48">
        <f>IF(AND('(橫掃)RX Mapping'!AF48&gt;=1,'(橫掃)RX Mapping'!AF48&lt;=120), ('(橫掃)RX Mapping'!AF48-1),IF(AND('(橫掃)RX Mapping'!AF48&gt;=121,'(橫掃)RX Mapping'!AF48&lt;=240), (-1)*('(橫掃)RX Mapping'!AF48-240),IF(AND('(橫掃)RX Mapping'!AF48&gt;=241,'(橫掃)RX Mapping'!AF48&lt;=360), ('(橫掃)RX Mapping'!AF48-241),IF(AND('(橫掃)RX Mapping'!AF48&gt;=361,'(橫掃)RX Mapping'!AF48&lt;=480), (-1)*('(橫掃)RX Mapping'!AF48-480),IF(AND('(橫掃)RX Mapping'!AF48&gt;=481,'(橫掃)RX Mapping'!AF48&lt;=600), ('(橫掃)RX Mapping'!AF48-361),IF(AND('(橫掃)RX Mapping'!AF48&gt;=601,'(橫掃)RX Mapping'!AF48&lt;=720), (-1)*('(橫掃)RX Mapping'!AF48-720)+120,IF(AND('(橫掃)RX Mapping'!AF48&gt;=721,'(橫掃)RX Mapping'!AF48&lt;=840), ('(橫掃)RX Mapping'!AF48-601),IF(AND('(橫掃)RX Mapping'!AF48&gt;=841,'(橫掃)RX Mapping'!AF48&lt;=960), (-1)*('(橫掃)RX Mapping'!AF48-960)+120,9999))))))))</f>
        <v>9999</v>
      </c>
      <c r="AG48">
        <f>IF(AND('(橫掃)RX Mapping'!AG48&gt;=1,'(橫掃)RX Mapping'!AG48&lt;=120), ('(橫掃)RX Mapping'!AG48-1),IF(AND('(橫掃)RX Mapping'!AG48&gt;=121,'(橫掃)RX Mapping'!AG48&lt;=240), (-1)*('(橫掃)RX Mapping'!AG48-240),IF(AND('(橫掃)RX Mapping'!AG48&gt;=241,'(橫掃)RX Mapping'!AG48&lt;=360), ('(橫掃)RX Mapping'!AG48-241),IF(AND('(橫掃)RX Mapping'!AG48&gt;=361,'(橫掃)RX Mapping'!AG48&lt;=480), (-1)*('(橫掃)RX Mapping'!AG48-480),IF(AND('(橫掃)RX Mapping'!AG48&gt;=481,'(橫掃)RX Mapping'!AG48&lt;=600), ('(橫掃)RX Mapping'!AG48-361),IF(AND('(橫掃)RX Mapping'!AG48&gt;=601,'(橫掃)RX Mapping'!AG48&lt;=720), (-1)*('(橫掃)RX Mapping'!AG48-720)+120,IF(AND('(橫掃)RX Mapping'!AG48&gt;=721,'(橫掃)RX Mapping'!AG48&lt;=840), ('(橫掃)RX Mapping'!AG48-601),IF(AND('(橫掃)RX Mapping'!AG48&gt;=841,'(橫掃)RX Mapping'!AG48&lt;=960), (-1)*('(橫掃)RX Mapping'!AG48-960)+120,9999))))))))</f>
        <v>9999</v>
      </c>
      <c r="AH48">
        <f>IF(AND('(橫掃)RX Mapping'!AH48&gt;=1,'(橫掃)RX Mapping'!AH48&lt;=120), ('(橫掃)RX Mapping'!AH48-1),IF(AND('(橫掃)RX Mapping'!AH48&gt;=121,'(橫掃)RX Mapping'!AH48&lt;=240), (-1)*('(橫掃)RX Mapping'!AH48-240),IF(AND('(橫掃)RX Mapping'!AH48&gt;=241,'(橫掃)RX Mapping'!AH48&lt;=360), ('(橫掃)RX Mapping'!AH48-241),IF(AND('(橫掃)RX Mapping'!AH48&gt;=361,'(橫掃)RX Mapping'!AH48&lt;=480), (-1)*('(橫掃)RX Mapping'!AH48-480),IF(AND('(橫掃)RX Mapping'!AH48&gt;=481,'(橫掃)RX Mapping'!AH48&lt;=600), ('(橫掃)RX Mapping'!AH48-361),IF(AND('(橫掃)RX Mapping'!AH48&gt;=601,'(橫掃)RX Mapping'!AH48&lt;=720), (-1)*('(橫掃)RX Mapping'!AH48-720)+120,IF(AND('(橫掃)RX Mapping'!AH48&gt;=721,'(橫掃)RX Mapping'!AH48&lt;=840), ('(橫掃)RX Mapping'!AH48-601),IF(AND('(橫掃)RX Mapping'!AH48&gt;=841,'(橫掃)RX Mapping'!AH48&lt;=960), (-1)*('(橫掃)RX Mapping'!AH48-960)+120,9999))))))))</f>
        <v>9999</v>
      </c>
      <c r="AI48">
        <f>IF(AND('(橫掃)RX Mapping'!AI48&gt;=1,'(橫掃)RX Mapping'!AI48&lt;=120), ('(橫掃)RX Mapping'!AI48-1),IF(AND('(橫掃)RX Mapping'!AI48&gt;=121,'(橫掃)RX Mapping'!AI48&lt;=240), (-1)*('(橫掃)RX Mapping'!AI48-240),IF(AND('(橫掃)RX Mapping'!AI48&gt;=241,'(橫掃)RX Mapping'!AI48&lt;=360), ('(橫掃)RX Mapping'!AI48-241),IF(AND('(橫掃)RX Mapping'!AI48&gt;=361,'(橫掃)RX Mapping'!AI48&lt;=480), (-1)*('(橫掃)RX Mapping'!AI48-480),IF(AND('(橫掃)RX Mapping'!AI48&gt;=481,'(橫掃)RX Mapping'!AI48&lt;=600), ('(橫掃)RX Mapping'!AI48-361),IF(AND('(橫掃)RX Mapping'!AI48&gt;=601,'(橫掃)RX Mapping'!AI48&lt;=720), (-1)*('(橫掃)RX Mapping'!AI48-720)+120,IF(AND('(橫掃)RX Mapping'!AI48&gt;=721,'(橫掃)RX Mapping'!AI48&lt;=840), ('(橫掃)RX Mapping'!AI48-601),IF(AND('(橫掃)RX Mapping'!AI48&gt;=841,'(橫掃)RX Mapping'!AI48&lt;=960), (-1)*('(橫掃)RX Mapping'!AI48-960)+120,9999))))))))</f>
        <v>9999</v>
      </c>
      <c r="AJ48">
        <f>IF(AND('(橫掃)RX Mapping'!AJ48&gt;=1,'(橫掃)RX Mapping'!AJ48&lt;=120), ('(橫掃)RX Mapping'!AJ48-1),IF(AND('(橫掃)RX Mapping'!AJ48&gt;=121,'(橫掃)RX Mapping'!AJ48&lt;=240), (-1)*('(橫掃)RX Mapping'!AJ48-240),IF(AND('(橫掃)RX Mapping'!AJ48&gt;=241,'(橫掃)RX Mapping'!AJ48&lt;=360), ('(橫掃)RX Mapping'!AJ48-241),IF(AND('(橫掃)RX Mapping'!AJ48&gt;=361,'(橫掃)RX Mapping'!AJ48&lt;=480), (-1)*('(橫掃)RX Mapping'!AJ48-480),IF(AND('(橫掃)RX Mapping'!AJ48&gt;=481,'(橫掃)RX Mapping'!AJ48&lt;=600), ('(橫掃)RX Mapping'!AJ48-361),IF(AND('(橫掃)RX Mapping'!AJ48&gt;=601,'(橫掃)RX Mapping'!AJ48&lt;=720), (-1)*('(橫掃)RX Mapping'!AJ48-720)+120,IF(AND('(橫掃)RX Mapping'!AJ48&gt;=721,'(橫掃)RX Mapping'!AJ48&lt;=840), ('(橫掃)RX Mapping'!AJ48-601),IF(AND('(橫掃)RX Mapping'!AJ48&gt;=841,'(橫掃)RX Mapping'!AJ48&lt;=960), (-1)*('(橫掃)RX Mapping'!AJ48-960)+120,9999))))))))</f>
        <v>9999</v>
      </c>
      <c r="AK48">
        <f>IF(AND('(橫掃)RX Mapping'!AK48&gt;=1,'(橫掃)RX Mapping'!AK48&lt;=120), ('(橫掃)RX Mapping'!AK48-1),IF(AND('(橫掃)RX Mapping'!AK48&gt;=121,'(橫掃)RX Mapping'!AK48&lt;=240), (-1)*('(橫掃)RX Mapping'!AK48-240),IF(AND('(橫掃)RX Mapping'!AK48&gt;=241,'(橫掃)RX Mapping'!AK48&lt;=360), ('(橫掃)RX Mapping'!AK48-241),IF(AND('(橫掃)RX Mapping'!AK48&gt;=361,'(橫掃)RX Mapping'!AK48&lt;=480), (-1)*('(橫掃)RX Mapping'!AK48-480),IF(AND('(橫掃)RX Mapping'!AK48&gt;=481,'(橫掃)RX Mapping'!AK48&lt;=600), ('(橫掃)RX Mapping'!AK48-361),IF(AND('(橫掃)RX Mapping'!AK48&gt;=601,'(橫掃)RX Mapping'!AK48&lt;=720), (-1)*('(橫掃)RX Mapping'!AK48-720)+120,IF(AND('(橫掃)RX Mapping'!AK48&gt;=721,'(橫掃)RX Mapping'!AK48&lt;=840), ('(橫掃)RX Mapping'!AK48-601),IF(AND('(橫掃)RX Mapping'!AK48&gt;=841,'(橫掃)RX Mapping'!AK48&lt;=960), (-1)*('(橫掃)RX Mapping'!AK48-960)+120,9999))))))))</f>
        <v>9999</v>
      </c>
      <c r="AL48">
        <f>IF(AND('(橫掃)RX Mapping'!AL48&gt;=1,'(橫掃)RX Mapping'!AL48&lt;=120), ('(橫掃)RX Mapping'!AL48-1),IF(AND('(橫掃)RX Mapping'!AL48&gt;=121,'(橫掃)RX Mapping'!AL48&lt;=240), (-1)*('(橫掃)RX Mapping'!AL48-240),IF(AND('(橫掃)RX Mapping'!AL48&gt;=241,'(橫掃)RX Mapping'!AL48&lt;=360), ('(橫掃)RX Mapping'!AL48-241),IF(AND('(橫掃)RX Mapping'!AL48&gt;=361,'(橫掃)RX Mapping'!AL48&lt;=480), (-1)*('(橫掃)RX Mapping'!AL48-480),IF(AND('(橫掃)RX Mapping'!AL48&gt;=481,'(橫掃)RX Mapping'!AL48&lt;=600), ('(橫掃)RX Mapping'!AL48-361),IF(AND('(橫掃)RX Mapping'!AL48&gt;=601,'(橫掃)RX Mapping'!AL48&lt;=720), (-1)*('(橫掃)RX Mapping'!AL48-720)+120,IF(AND('(橫掃)RX Mapping'!AL48&gt;=721,'(橫掃)RX Mapping'!AL48&lt;=840), ('(橫掃)RX Mapping'!AL48-601),IF(AND('(橫掃)RX Mapping'!AL48&gt;=841,'(橫掃)RX Mapping'!AL48&lt;=960), (-1)*('(橫掃)RX Mapping'!AL48-960)+120,9999))))))))</f>
        <v>9999</v>
      </c>
      <c r="AM48">
        <f>IF(AND('(橫掃)RX Mapping'!AM48&gt;=1,'(橫掃)RX Mapping'!AM48&lt;=120), ('(橫掃)RX Mapping'!AM48-1),IF(AND('(橫掃)RX Mapping'!AM48&gt;=121,'(橫掃)RX Mapping'!AM48&lt;=240), (-1)*('(橫掃)RX Mapping'!AM48-240),IF(AND('(橫掃)RX Mapping'!AM48&gt;=241,'(橫掃)RX Mapping'!AM48&lt;=360), ('(橫掃)RX Mapping'!AM48-241),IF(AND('(橫掃)RX Mapping'!AM48&gt;=361,'(橫掃)RX Mapping'!AM48&lt;=480), (-1)*('(橫掃)RX Mapping'!AM48-480),IF(AND('(橫掃)RX Mapping'!AM48&gt;=481,'(橫掃)RX Mapping'!AM48&lt;=600), ('(橫掃)RX Mapping'!AM48-361),IF(AND('(橫掃)RX Mapping'!AM48&gt;=601,'(橫掃)RX Mapping'!AM48&lt;=720), (-1)*('(橫掃)RX Mapping'!AM48-720)+120,IF(AND('(橫掃)RX Mapping'!AM48&gt;=721,'(橫掃)RX Mapping'!AM48&lt;=840), ('(橫掃)RX Mapping'!AM48-601),IF(AND('(橫掃)RX Mapping'!AM48&gt;=841,'(橫掃)RX Mapping'!AM48&lt;=960), (-1)*('(橫掃)RX Mapping'!AM48-960)+120,9999))))))))</f>
        <v>9999</v>
      </c>
      <c r="AN48">
        <f>IF(AND('(橫掃)RX Mapping'!AN48&gt;=1,'(橫掃)RX Mapping'!AN48&lt;=120), ('(橫掃)RX Mapping'!AN48-1),IF(AND('(橫掃)RX Mapping'!AN48&gt;=121,'(橫掃)RX Mapping'!AN48&lt;=240), (-1)*('(橫掃)RX Mapping'!AN48-240),IF(AND('(橫掃)RX Mapping'!AN48&gt;=241,'(橫掃)RX Mapping'!AN48&lt;=360), ('(橫掃)RX Mapping'!AN48-241),IF(AND('(橫掃)RX Mapping'!AN48&gt;=361,'(橫掃)RX Mapping'!AN48&lt;=480), (-1)*('(橫掃)RX Mapping'!AN48-480),IF(AND('(橫掃)RX Mapping'!AN48&gt;=481,'(橫掃)RX Mapping'!AN48&lt;=600), ('(橫掃)RX Mapping'!AN48-361),IF(AND('(橫掃)RX Mapping'!AN48&gt;=601,'(橫掃)RX Mapping'!AN48&lt;=720), (-1)*('(橫掃)RX Mapping'!AN48-720)+120,IF(AND('(橫掃)RX Mapping'!AN48&gt;=721,'(橫掃)RX Mapping'!AN48&lt;=840), ('(橫掃)RX Mapping'!AN48-601),IF(AND('(橫掃)RX Mapping'!AN48&gt;=841,'(橫掃)RX Mapping'!AN48&lt;=960), (-1)*('(橫掃)RX Mapping'!AN48-960)+120,9999))))))))</f>
        <v>9999</v>
      </c>
      <c r="AO48">
        <f>IF(AND('(橫掃)RX Mapping'!AO48&gt;=1,'(橫掃)RX Mapping'!AO48&lt;=120), ('(橫掃)RX Mapping'!AO48-1),IF(AND('(橫掃)RX Mapping'!AO48&gt;=121,'(橫掃)RX Mapping'!AO48&lt;=240), (-1)*('(橫掃)RX Mapping'!AO48-240),IF(AND('(橫掃)RX Mapping'!AO48&gt;=241,'(橫掃)RX Mapping'!AO48&lt;=360), ('(橫掃)RX Mapping'!AO48-241),IF(AND('(橫掃)RX Mapping'!AO48&gt;=361,'(橫掃)RX Mapping'!AO48&lt;=480), (-1)*('(橫掃)RX Mapping'!AO48-480),IF(AND('(橫掃)RX Mapping'!AO48&gt;=481,'(橫掃)RX Mapping'!AO48&lt;=600), ('(橫掃)RX Mapping'!AO48-361),IF(AND('(橫掃)RX Mapping'!AO48&gt;=601,'(橫掃)RX Mapping'!AO48&lt;=720), (-1)*('(橫掃)RX Mapping'!AO48-720)+120,IF(AND('(橫掃)RX Mapping'!AO48&gt;=721,'(橫掃)RX Mapping'!AO48&lt;=840), ('(橫掃)RX Mapping'!AO48-601),IF(AND('(橫掃)RX Mapping'!AO48&gt;=841,'(橫掃)RX Mapping'!AO48&lt;=960), (-1)*('(橫掃)RX Mapping'!AO48-960)+120,9999))))))))</f>
        <v>9999</v>
      </c>
      <c r="AP48">
        <f>IF(AND('(橫掃)RX Mapping'!AP48&gt;=1,'(橫掃)RX Mapping'!AP48&lt;=120), ('(橫掃)RX Mapping'!AP48-1),IF(AND('(橫掃)RX Mapping'!AP48&gt;=121,'(橫掃)RX Mapping'!AP48&lt;=240), (-1)*('(橫掃)RX Mapping'!AP48-240),IF(AND('(橫掃)RX Mapping'!AP48&gt;=241,'(橫掃)RX Mapping'!AP48&lt;=360), ('(橫掃)RX Mapping'!AP48-241),IF(AND('(橫掃)RX Mapping'!AP48&gt;=361,'(橫掃)RX Mapping'!AP48&lt;=480), (-1)*('(橫掃)RX Mapping'!AP48-480),IF(AND('(橫掃)RX Mapping'!AP48&gt;=481,'(橫掃)RX Mapping'!AP48&lt;=600), ('(橫掃)RX Mapping'!AP48-361),IF(AND('(橫掃)RX Mapping'!AP48&gt;=601,'(橫掃)RX Mapping'!AP48&lt;=720), (-1)*('(橫掃)RX Mapping'!AP48-720)+120,IF(AND('(橫掃)RX Mapping'!AP48&gt;=721,'(橫掃)RX Mapping'!AP48&lt;=840), ('(橫掃)RX Mapping'!AP48-601),IF(AND('(橫掃)RX Mapping'!AP48&gt;=841,'(橫掃)RX Mapping'!AP48&lt;=960), (-1)*('(橫掃)RX Mapping'!AP48-960)+120,9999))))))))</f>
        <v>9999</v>
      </c>
      <c r="AQ48">
        <f>IF(AND('(橫掃)RX Mapping'!AQ48&gt;=1,'(橫掃)RX Mapping'!AQ48&lt;=120), ('(橫掃)RX Mapping'!AQ48-1),IF(AND('(橫掃)RX Mapping'!AQ48&gt;=121,'(橫掃)RX Mapping'!AQ48&lt;=240), (-1)*('(橫掃)RX Mapping'!AQ48-240),IF(AND('(橫掃)RX Mapping'!AQ48&gt;=241,'(橫掃)RX Mapping'!AQ48&lt;=360), ('(橫掃)RX Mapping'!AQ48-241),IF(AND('(橫掃)RX Mapping'!AQ48&gt;=361,'(橫掃)RX Mapping'!AQ48&lt;=480), (-1)*('(橫掃)RX Mapping'!AQ48-480),IF(AND('(橫掃)RX Mapping'!AQ48&gt;=481,'(橫掃)RX Mapping'!AQ48&lt;=600), ('(橫掃)RX Mapping'!AQ48-361),IF(AND('(橫掃)RX Mapping'!AQ48&gt;=601,'(橫掃)RX Mapping'!AQ48&lt;=720), (-1)*('(橫掃)RX Mapping'!AQ48-720)+120,IF(AND('(橫掃)RX Mapping'!AQ48&gt;=721,'(橫掃)RX Mapping'!AQ48&lt;=840), ('(橫掃)RX Mapping'!AQ48-601),IF(AND('(橫掃)RX Mapping'!AQ48&gt;=841,'(橫掃)RX Mapping'!AQ48&lt;=960), (-1)*('(橫掃)RX Mapping'!AQ48-960)+120,9999))))))))</f>
        <v>9999</v>
      </c>
      <c r="AR48">
        <f>IF(AND('(橫掃)RX Mapping'!AR48&gt;=1,'(橫掃)RX Mapping'!AR48&lt;=120), ('(橫掃)RX Mapping'!AR48-1),IF(AND('(橫掃)RX Mapping'!AR48&gt;=121,'(橫掃)RX Mapping'!AR48&lt;=240), (-1)*('(橫掃)RX Mapping'!AR48-240),IF(AND('(橫掃)RX Mapping'!AR48&gt;=241,'(橫掃)RX Mapping'!AR48&lt;=360), ('(橫掃)RX Mapping'!AR48-241),IF(AND('(橫掃)RX Mapping'!AR48&gt;=361,'(橫掃)RX Mapping'!AR48&lt;=480), (-1)*('(橫掃)RX Mapping'!AR48-480),IF(AND('(橫掃)RX Mapping'!AR48&gt;=481,'(橫掃)RX Mapping'!AR48&lt;=600), ('(橫掃)RX Mapping'!AR48-361),IF(AND('(橫掃)RX Mapping'!AR48&gt;=601,'(橫掃)RX Mapping'!AR48&lt;=720), (-1)*('(橫掃)RX Mapping'!AR48-720)+120,IF(AND('(橫掃)RX Mapping'!AR48&gt;=721,'(橫掃)RX Mapping'!AR48&lt;=840), ('(橫掃)RX Mapping'!AR48-601),IF(AND('(橫掃)RX Mapping'!AR48&gt;=841,'(橫掃)RX Mapping'!AR48&lt;=960), (-1)*('(橫掃)RX Mapping'!AR48-960)+120,9999))))))))</f>
        <v>9999</v>
      </c>
      <c r="AS48">
        <f>IF(AND('(橫掃)RX Mapping'!AS48&gt;=1,'(橫掃)RX Mapping'!AS48&lt;=120), ('(橫掃)RX Mapping'!AS48-1),IF(AND('(橫掃)RX Mapping'!AS48&gt;=121,'(橫掃)RX Mapping'!AS48&lt;=240), (-1)*('(橫掃)RX Mapping'!AS48-240),IF(AND('(橫掃)RX Mapping'!AS48&gt;=241,'(橫掃)RX Mapping'!AS48&lt;=360), ('(橫掃)RX Mapping'!AS48-241),IF(AND('(橫掃)RX Mapping'!AS48&gt;=361,'(橫掃)RX Mapping'!AS48&lt;=480), (-1)*('(橫掃)RX Mapping'!AS48-480),IF(AND('(橫掃)RX Mapping'!AS48&gt;=481,'(橫掃)RX Mapping'!AS48&lt;=600), ('(橫掃)RX Mapping'!AS48-361),IF(AND('(橫掃)RX Mapping'!AS48&gt;=601,'(橫掃)RX Mapping'!AS48&lt;=720), (-1)*('(橫掃)RX Mapping'!AS48-720)+120,IF(AND('(橫掃)RX Mapping'!AS48&gt;=721,'(橫掃)RX Mapping'!AS48&lt;=840), ('(橫掃)RX Mapping'!AS48-601),IF(AND('(橫掃)RX Mapping'!AS48&gt;=841,'(橫掃)RX Mapping'!AS48&lt;=960), (-1)*('(橫掃)RX Mapping'!AS48-960)+120,9999))))))))</f>
        <v>9999</v>
      </c>
      <c r="AT48">
        <f>IF(AND('(橫掃)RX Mapping'!AT48&gt;=1,'(橫掃)RX Mapping'!AT48&lt;=120), ('(橫掃)RX Mapping'!AT48-1),IF(AND('(橫掃)RX Mapping'!AT48&gt;=121,'(橫掃)RX Mapping'!AT48&lt;=240), (-1)*('(橫掃)RX Mapping'!AT48-240),IF(AND('(橫掃)RX Mapping'!AT48&gt;=241,'(橫掃)RX Mapping'!AT48&lt;=360), ('(橫掃)RX Mapping'!AT48-241),IF(AND('(橫掃)RX Mapping'!AT48&gt;=361,'(橫掃)RX Mapping'!AT48&lt;=480), (-1)*('(橫掃)RX Mapping'!AT48-480),IF(AND('(橫掃)RX Mapping'!AT48&gt;=481,'(橫掃)RX Mapping'!AT48&lt;=600), ('(橫掃)RX Mapping'!AT48-361),IF(AND('(橫掃)RX Mapping'!AT48&gt;=601,'(橫掃)RX Mapping'!AT48&lt;=720), (-1)*('(橫掃)RX Mapping'!AT48-720)+120,IF(AND('(橫掃)RX Mapping'!AT48&gt;=721,'(橫掃)RX Mapping'!AT48&lt;=840), ('(橫掃)RX Mapping'!AT48-601),IF(AND('(橫掃)RX Mapping'!AT48&gt;=841,'(橫掃)RX Mapping'!AT48&lt;=960), (-1)*('(橫掃)RX Mapping'!AT48-960)+120,9999))))))))</f>
        <v>9999</v>
      </c>
      <c r="AU48">
        <f>IF(AND('(橫掃)RX Mapping'!AU48&gt;=1,'(橫掃)RX Mapping'!AU48&lt;=120), ('(橫掃)RX Mapping'!AU48-1),IF(AND('(橫掃)RX Mapping'!AU48&gt;=121,'(橫掃)RX Mapping'!AU48&lt;=240), (-1)*('(橫掃)RX Mapping'!AU48-240),IF(AND('(橫掃)RX Mapping'!AU48&gt;=241,'(橫掃)RX Mapping'!AU48&lt;=360), ('(橫掃)RX Mapping'!AU48-241),IF(AND('(橫掃)RX Mapping'!AU48&gt;=361,'(橫掃)RX Mapping'!AU48&lt;=480), (-1)*('(橫掃)RX Mapping'!AU48-480),IF(AND('(橫掃)RX Mapping'!AU48&gt;=481,'(橫掃)RX Mapping'!AU48&lt;=600), ('(橫掃)RX Mapping'!AU48-361),IF(AND('(橫掃)RX Mapping'!AU48&gt;=601,'(橫掃)RX Mapping'!AU48&lt;=720), (-1)*('(橫掃)RX Mapping'!AU48-720)+120,IF(AND('(橫掃)RX Mapping'!AU48&gt;=721,'(橫掃)RX Mapping'!AU48&lt;=840), ('(橫掃)RX Mapping'!AU48-601),IF(AND('(橫掃)RX Mapping'!AU48&gt;=841,'(橫掃)RX Mapping'!AU48&lt;=960), (-1)*('(橫掃)RX Mapping'!AU48-960)+120,9999))))))))</f>
        <v>9999</v>
      </c>
      <c r="AV48">
        <f>IF(AND('(橫掃)RX Mapping'!AV48&gt;=1,'(橫掃)RX Mapping'!AV48&lt;=120), ('(橫掃)RX Mapping'!AV48-1),IF(AND('(橫掃)RX Mapping'!AV48&gt;=121,'(橫掃)RX Mapping'!AV48&lt;=240), (-1)*('(橫掃)RX Mapping'!AV48-240),IF(AND('(橫掃)RX Mapping'!AV48&gt;=241,'(橫掃)RX Mapping'!AV48&lt;=360), ('(橫掃)RX Mapping'!AV48-241),IF(AND('(橫掃)RX Mapping'!AV48&gt;=361,'(橫掃)RX Mapping'!AV48&lt;=480), (-1)*('(橫掃)RX Mapping'!AV48-480),IF(AND('(橫掃)RX Mapping'!AV48&gt;=481,'(橫掃)RX Mapping'!AV48&lt;=600), ('(橫掃)RX Mapping'!AV48-361),IF(AND('(橫掃)RX Mapping'!AV48&gt;=601,'(橫掃)RX Mapping'!AV48&lt;=720), (-1)*('(橫掃)RX Mapping'!AV48-720)+120,IF(AND('(橫掃)RX Mapping'!AV48&gt;=721,'(橫掃)RX Mapping'!AV48&lt;=840), ('(橫掃)RX Mapping'!AV48-601),IF(AND('(橫掃)RX Mapping'!AV48&gt;=841,'(橫掃)RX Mapping'!AV48&lt;=960), (-1)*('(橫掃)RX Mapping'!AV48-960)+120,9999))))))))</f>
        <v>9999</v>
      </c>
      <c r="AW48">
        <f>IF(AND('(橫掃)RX Mapping'!AW48&gt;=1,'(橫掃)RX Mapping'!AW48&lt;=120), ('(橫掃)RX Mapping'!AW48-1),IF(AND('(橫掃)RX Mapping'!AW48&gt;=121,'(橫掃)RX Mapping'!AW48&lt;=240), (-1)*('(橫掃)RX Mapping'!AW48-240),IF(AND('(橫掃)RX Mapping'!AW48&gt;=241,'(橫掃)RX Mapping'!AW48&lt;=360), ('(橫掃)RX Mapping'!AW48-241),IF(AND('(橫掃)RX Mapping'!AW48&gt;=361,'(橫掃)RX Mapping'!AW48&lt;=480), (-1)*('(橫掃)RX Mapping'!AW48-480),IF(AND('(橫掃)RX Mapping'!AW48&gt;=481,'(橫掃)RX Mapping'!AW48&lt;=600), ('(橫掃)RX Mapping'!AW48-361),IF(AND('(橫掃)RX Mapping'!AW48&gt;=601,'(橫掃)RX Mapping'!AW48&lt;=720), (-1)*('(橫掃)RX Mapping'!AW48-720)+120,IF(AND('(橫掃)RX Mapping'!AW48&gt;=721,'(橫掃)RX Mapping'!AW48&lt;=840), ('(橫掃)RX Mapping'!AW48-601),IF(AND('(橫掃)RX Mapping'!AW48&gt;=841,'(橫掃)RX Mapping'!AW48&lt;=960), (-1)*('(橫掃)RX Mapping'!AW48-960)+120,9999))))))))</f>
        <v>9999</v>
      </c>
      <c r="AX48">
        <f>IF(AND('(橫掃)RX Mapping'!AX48&gt;=1,'(橫掃)RX Mapping'!AX48&lt;=120), ('(橫掃)RX Mapping'!AX48-1),IF(AND('(橫掃)RX Mapping'!AX48&gt;=121,'(橫掃)RX Mapping'!AX48&lt;=240), (-1)*('(橫掃)RX Mapping'!AX48-240),IF(AND('(橫掃)RX Mapping'!AX48&gt;=241,'(橫掃)RX Mapping'!AX48&lt;=360), ('(橫掃)RX Mapping'!AX48-241),IF(AND('(橫掃)RX Mapping'!AX48&gt;=361,'(橫掃)RX Mapping'!AX48&lt;=480), (-1)*('(橫掃)RX Mapping'!AX48-480),IF(AND('(橫掃)RX Mapping'!AX48&gt;=481,'(橫掃)RX Mapping'!AX48&lt;=600), ('(橫掃)RX Mapping'!AX48-361),IF(AND('(橫掃)RX Mapping'!AX48&gt;=601,'(橫掃)RX Mapping'!AX48&lt;=720), (-1)*('(橫掃)RX Mapping'!AX48-720)+120,IF(AND('(橫掃)RX Mapping'!AX48&gt;=721,'(橫掃)RX Mapping'!AX48&lt;=840), ('(橫掃)RX Mapping'!AX48-601),IF(AND('(橫掃)RX Mapping'!AX48&gt;=841,'(橫掃)RX Mapping'!AX48&lt;=960), (-1)*('(橫掃)RX Mapping'!AX48-960)+120,9999))))))))</f>
        <v>9999</v>
      </c>
      <c r="AY48">
        <f>IF(AND('(橫掃)RX Mapping'!AY48&gt;=1,'(橫掃)RX Mapping'!AY48&lt;=120), ('(橫掃)RX Mapping'!AY48-1),IF(AND('(橫掃)RX Mapping'!AY48&gt;=121,'(橫掃)RX Mapping'!AY48&lt;=240), (-1)*('(橫掃)RX Mapping'!AY48-240),IF(AND('(橫掃)RX Mapping'!AY48&gt;=241,'(橫掃)RX Mapping'!AY48&lt;=360), ('(橫掃)RX Mapping'!AY48-241),IF(AND('(橫掃)RX Mapping'!AY48&gt;=361,'(橫掃)RX Mapping'!AY48&lt;=480), (-1)*('(橫掃)RX Mapping'!AY48-480),IF(AND('(橫掃)RX Mapping'!AY48&gt;=481,'(橫掃)RX Mapping'!AY48&lt;=600), ('(橫掃)RX Mapping'!AY48-361),IF(AND('(橫掃)RX Mapping'!AY48&gt;=601,'(橫掃)RX Mapping'!AY48&lt;=720), (-1)*('(橫掃)RX Mapping'!AY48-720)+120,IF(AND('(橫掃)RX Mapping'!AY48&gt;=721,'(橫掃)RX Mapping'!AY48&lt;=840), ('(橫掃)RX Mapping'!AY48-601),IF(AND('(橫掃)RX Mapping'!AY48&gt;=841,'(橫掃)RX Mapping'!AY48&lt;=960), (-1)*('(橫掃)RX Mapping'!AY48-960)+120,9999))))))))</f>
        <v>9999</v>
      </c>
      <c r="AZ48">
        <f>IF(AND('(橫掃)RX Mapping'!AZ48&gt;=1,'(橫掃)RX Mapping'!AZ48&lt;=120), ('(橫掃)RX Mapping'!AZ48-1),IF(AND('(橫掃)RX Mapping'!AZ48&gt;=121,'(橫掃)RX Mapping'!AZ48&lt;=240), (-1)*('(橫掃)RX Mapping'!AZ48-240),IF(AND('(橫掃)RX Mapping'!AZ48&gt;=241,'(橫掃)RX Mapping'!AZ48&lt;=360), ('(橫掃)RX Mapping'!AZ48-241),IF(AND('(橫掃)RX Mapping'!AZ48&gt;=361,'(橫掃)RX Mapping'!AZ48&lt;=480), (-1)*('(橫掃)RX Mapping'!AZ48-480),IF(AND('(橫掃)RX Mapping'!AZ48&gt;=481,'(橫掃)RX Mapping'!AZ48&lt;=600), ('(橫掃)RX Mapping'!AZ48-361),IF(AND('(橫掃)RX Mapping'!AZ48&gt;=601,'(橫掃)RX Mapping'!AZ48&lt;=720), (-1)*('(橫掃)RX Mapping'!AZ48-720)+120,IF(AND('(橫掃)RX Mapping'!AZ48&gt;=721,'(橫掃)RX Mapping'!AZ48&lt;=840), ('(橫掃)RX Mapping'!AZ48-601),IF(AND('(橫掃)RX Mapping'!AZ48&gt;=841,'(橫掃)RX Mapping'!AZ48&lt;=960), (-1)*('(橫掃)RX Mapping'!AZ48-960)+120,9999))))))))</f>
        <v>9999</v>
      </c>
      <c r="BA48">
        <f>IF(AND('(橫掃)RX Mapping'!BA48&gt;=1,'(橫掃)RX Mapping'!BA48&lt;=120), ('(橫掃)RX Mapping'!BA48-1),IF(AND('(橫掃)RX Mapping'!BA48&gt;=121,'(橫掃)RX Mapping'!BA48&lt;=240), (-1)*('(橫掃)RX Mapping'!BA48-240),IF(AND('(橫掃)RX Mapping'!BA48&gt;=241,'(橫掃)RX Mapping'!BA48&lt;=360), ('(橫掃)RX Mapping'!BA48-241),IF(AND('(橫掃)RX Mapping'!BA48&gt;=361,'(橫掃)RX Mapping'!BA48&lt;=480), (-1)*('(橫掃)RX Mapping'!BA48-480),IF(AND('(橫掃)RX Mapping'!BA48&gt;=481,'(橫掃)RX Mapping'!BA48&lt;=600), ('(橫掃)RX Mapping'!BA48-361),IF(AND('(橫掃)RX Mapping'!BA48&gt;=601,'(橫掃)RX Mapping'!BA48&lt;=720), (-1)*('(橫掃)RX Mapping'!BA48-720)+120,IF(AND('(橫掃)RX Mapping'!BA48&gt;=721,'(橫掃)RX Mapping'!BA48&lt;=840), ('(橫掃)RX Mapping'!BA48-601),IF(AND('(橫掃)RX Mapping'!BA48&gt;=841,'(橫掃)RX Mapping'!BA48&lt;=960), (-1)*('(橫掃)RX Mapping'!BA48-960)+120,9999))))))))</f>
        <v>9999</v>
      </c>
      <c r="BB48">
        <f>IF(AND('(橫掃)RX Mapping'!BB48&gt;=1,'(橫掃)RX Mapping'!BB48&lt;=120), ('(橫掃)RX Mapping'!BB48-1),IF(AND('(橫掃)RX Mapping'!BB48&gt;=121,'(橫掃)RX Mapping'!BB48&lt;=240), (-1)*('(橫掃)RX Mapping'!BB48-240),IF(AND('(橫掃)RX Mapping'!BB48&gt;=241,'(橫掃)RX Mapping'!BB48&lt;=360), ('(橫掃)RX Mapping'!BB48-241),IF(AND('(橫掃)RX Mapping'!BB48&gt;=361,'(橫掃)RX Mapping'!BB48&lt;=480), (-1)*('(橫掃)RX Mapping'!BB48-480),IF(AND('(橫掃)RX Mapping'!BB48&gt;=481,'(橫掃)RX Mapping'!BB48&lt;=600), ('(橫掃)RX Mapping'!BB48-361),IF(AND('(橫掃)RX Mapping'!BB48&gt;=601,'(橫掃)RX Mapping'!BB48&lt;=720), (-1)*('(橫掃)RX Mapping'!BB48-720)+120,IF(AND('(橫掃)RX Mapping'!BB48&gt;=721,'(橫掃)RX Mapping'!BB48&lt;=840), ('(橫掃)RX Mapping'!BB48-601),IF(AND('(橫掃)RX Mapping'!BB48&gt;=841,'(橫掃)RX Mapping'!BB48&lt;=960), (-1)*('(橫掃)RX Mapping'!BB48-960)+120,9999))))))))</f>
        <v>9999</v>
      </c>
      <c r="BC48">
        <f>IF(AND('(橫掃)RX Mapping'!BC48&gt;=1,'(橫掃)RX Mapping'!BC48&lt;=120), ('(橫掃)RX Mapping'!BC48-1),IF(AND('(橫掃)RX Mapping'!BC48&gt;=121,'(橫掃)RX Mapping'!BC48&lt;=240), (-1)*('(橫掃)RX Mapping'!BC48-240),IF(AND('(橫掃)RX Mapping'!BC48&gt;=241,'(橫掃)RX Mapping'!BC48&lt;=360), ('(橫掃)RX Mapping'!BC48-241),IF(AND('(橫掃)RX Mapping'!BC48&gt;=361,'(橫掃)RX Mapping'!BC48&lt;=480), (-1)*('(橫掃)RX Mapping'!BC48-480),IF(AND('(橫掃)RX Mapping'!BC48&gt;=481,'(橫掃)RX Mapping'!BC48&lt;=600), ('(橫掃)RX Mapping'!BC48-361),IF(AND('(橫掃)RX Mapping'!BC48&gt;=601,'(橫掃)RX Mapping'!BC48&lt;=720), (-1)*('(橫掃)RX Mapping'!BC48-720)+120,IF(AND('(橫掃)RX Mapping'!BC48&gt;=721,'(橫掃)RX Mapping'!BC48&lt;=840), ('(橫掃)RX Mapping'!BC48-601),IF(AND('(橫掃)RX Mapping'!BC48&gt;=841,'(橫掃)RX Mapping'!BC48&lt;=960), (-1)*('(橫掃)RX Mapping'!BC48-960)+120,9999))))))))</f>
        <v>9999</v>
      </c>
      <c r="BD48">
        <f>IF(AND('(橫掃)RX Mapping'!BD48&gt;=1,'(橫掃)RX Mapping'!BD48&lt;=120), ('(橫掃)RX Mapping'!BD48-1),IF(AND('(橫掃)RX Mapping'!BD48&gt;=121,'(橫掃)RX Mapping'!BD48&lt;=240), (-1)*('(橫掃)RX Mapping'!BD48-240),IF(AND('(橫掃)RX Mapping'!BD48&gt;=241,'(橫掃)RX Mapping'!BD48&lt;=360), ('(橫掃)RX Mapping'!BD48-241),IF(AND('(橫掃)RX Mapping'!BD48&gt;=361,'(橫掃)RX Mapping'!BD48&lt;=480), (-1)*('(橫掃)RX Mapping'!BD48-480),IF(AND('(橫掃)RX Mapping'!BD48&gt;=481,'(橫掃)RX Mapping'!BD48&lt;=600), ('(橫掃)RX Mapping'!BD48-361),IF(AND('(橫掃)RX Mapping'!BD48&gt;=601,'(橫掃)RX Mapping'!BD48&lt;=720), (-1)*('(橫掃)RX Mapping'!BD48-720)+120,IF(AND('(橫掃)RX Mapping'!BD48&gt;=721,'(橫掃)RX Mapping'!BD48&lt;=840), ('(橫掃)RX Mapping'!BD48-601),IF(AND('(橫掃)RX Mapping'!BD48&gt;=841,'(橫掃)RX Mapping'!BD48&lt;=960), (-1)*('(橫掃)RX Mapping'!BD48-960)+120,9999))))))))</f>
        <v>9999</v>
      </c>
      <c r="BE48">
        <f>IF(AND('(橫掃)RX Mapping'!BE48&gt;=1,'(橫掃)RX Mapping'!BE48&lt;=120), ('(橫掃)RX Mapping'!BE48-1),IF(AND('(橫掃)RX Mapping'!BE48&gt;=121,'(橫掃)RX Mapping'!BE48&lt;=240), (-1)*('(橫掃)RX Mapping'!BE48-240),IF(AND('(橫掃)RX Mapping'!BE48&gt;=241,'(橫掃)RX Mapping'!BE48&lt;=360), ('(橫掃)RX Mapping'!BE48-241),IF(AND('(橫掃)RX Mapping'!BE48&gt;=361,'(橫掃)RX Mapping'!BE48&lt;=480), (-1)*('(橫掃)RX Mapping'!BE48-480),IF(AND('(橫掃)RX Mapping'!BE48&gt;=481,'(橫掃)RX Mapping'!BE48&lt;=600), ('(橫掃)RX Mapping'!BE48-361),IF(AND('(橫掃)RX Mapping'!BE48&gt;=601,'(橫掃)RX Mapping'!BE48&lt;=720), (-1)*('(橫掃)RX Mapping'!BE48-720)+120,IF(AND('(橫掃)RX Mapping'!BE48&gt;=721,'(橫掃)RX Mapping'!BE48&lt;=840), ('(橫掃)RX Mapping'!BE48-601),IF(AND('(橫掃)RX Mapping'!BE48&gt;=841,'(橫掃)RX Mapping'!BE48&lt;=960), (-1)*('(橫掃)RX Mapping'!BE48-960)+120,9999))))))))</f>
        <v>9999</v>
      </c>
      <c r="BF48">
        <f>IF(AND('(橫掃)RX Mapping'!BF48&gt;=1,'(橫掃)RX Mapping'!BF48&lt;=120), ('(橫掃)RX Mapping'!BF48-1),IF(AND('(橫掃)RX Mapping'!BF48&gt;=121,'(橫掃)RX Mapping'!BF48&lt;=240), (-1)*('(橫掃)RX Mapping'!BF48-240),IF(AND('(橫掃)RX Mapping'!BF48&gt;=241,'(橫掃)RX Mapping'!BF48&lt;=360), ('(橫掃)RX Mapping'!BF48-241),IF(AND('(橫掃)RX Mapping'!BF48&gt;=361,'(橫掃)RX Mapping'!BF48&lt;=480), (-1)*('(橫掃)RX Mapping'!BF48-480),IF(AND('(橫掃)RX Mapping'!BF48&gt;=481,'(橫掃)RX Mapping'!BF48&lt;=600), ('(橫掃)RX Mapping'!BF48-361),IF(AND('(橫掃)RX Mapping'!BF48&gt;=601,'(橫掃)RX Mapping'!BF48&lt;=720), (-1)*('(橫掃)RX Mapping'!BF48-720)+120,IF(AND('(橫掃)RX Mapping'!BF48&gt;=721,'(橫掃)RX Mapping'!BF48&lt;=840), ('(橫掃)RX Mapping'!BF48-601),IF(AND('(橫掃)RX Mapping'!BF48&gt;=841,'(橫掃)RX Mapping'!BF48&lt;=960), (-1)*('(橫掃)RX Mapping'!BF48-960)+120,9999))))))))</f>
        <v>9999</v>
      </c>
      <c r="BG48">
        <f>IF(AND('(橫掃)RX Mapping'!BG48&gt;=1,'(橫掃)RX Mapping'!BG48&lt;=120), ('(橫掃)RX Mapping'!BG48-1),IF(AND('(橫掃)RX Mapping'!BG48&gt;=121,'(橫掃)RX Mapping'!BG48&lt;=240), (-1)*('(橫掃)RX Mapping'!BG48-240),IF(AND('(橫掃)RX Mapping'!BG48&gt;=241,'(橫掃)RX Mapping'!BG48&lt;=360), ('(橫掃)RX Mapping'!BG48-241),IF(AND('(橫掃)RX Mapping'!BG48&gt;=361,'(橫掃)RX Mapping'!BG48&lt;=480), (-1)*('(橫掃)RX Mapping'!BG48-480),IF(AND('(橫掃)RX Mapping'!BG48&gt;=481,'(橫掃)RX Mapping'!BG48&lt;=600), ('(橫掃)RX Mapping'!BG48-361),IF(AND('(橫掃)RX Mapping'!BG48&gt;=601,'(橫掃)RX Mapping'!BG48&lt;=720), (-1)*('(橫掃)RX Mapping'!BG48-720)+120,IF(AND('(橫掃)RX Mapping'!BG48&gt;=721,'(橫掃)RX Mapping'!BG48&lt;=840), ('(橫掃)RX Mapping'!BG48-601),IF(AND('(橫掃)RX Mapping'!BG48&gt;=841,'(橫掃)RX Mapping'!BG48&lt;=960), (-1)*('(橫掃)RX Mapping'!BG48-960)+120,9999))))))))</f>
        <v>9999</v>
      </c>
      <c r="BH48">
        <f>IF(AND('(橫掃)RX Mapping'!BH48&gt;=1,'(橫掃)RX Mapping'!BH48&lt;=120), ('(橫掃)RX Mapping'!BH48-1),IF(AND('(橫掃)RX Mapping'!BH48&gt;=121,'(橫掃)RX Mapping'!BH48&lt;=240), (-1)*('(橫掃)RX Mapping'!BH48-240),IF(AND('(橫掃)RX Mapping'!BH48&gt;=241,'(橫掃)RX Mapping'!BH48&lt;=360), ('(橫掃)RX Mapping'!BH48-241),IF(AND('(橫掃)RX Mapping'!BH48&gt;=361,'(橫掃)RX Mapping'!BH48&lt;=480), (-1)*('(橫掃)RX Mapping'!BH48-480),IF(AND('(橫掃)RX Mapping'!BH48&gt;=481,'(橫掃)RX Mapping'!BH48&lt;=600), ('(橫掃)RX Mapping'!BH48-361),IF(AND('(橫掃)RX Mapping'!BH48&gt;=601,'(橫掃)RX Mapping'!BH48&lt;=720), (-1)*('(橫掃)RX Mapping'!BH48-720)+120,IF(AND('(橫掃)RX Mapping'!BH48&gt;=721,'(橫掃)RX Mapping'!BH48&lt;=840), ('(橫掃)RX Mapping'!BH48-601),IF(AND('(橫掃)RX Mapping'!BH48&gt;=841,'(橫掃)RX Mapping'!BH48&lt;=960), (-1)*('(橫掃)RX Mapping'!BH48-960)+120,9999))))))))</f>
        <v>9999</v>
      </c>
      <c r="BI48">
        <f>IF(AND('(橫掃)RX Mapping'!BI48&gt;=1,'(橫掃)RX Mapping'!BI48&lt;=120), ('(橫掃)RX Mapping'!BI48-1),IF(AND('(橫掃)RX Mapping'!BI48&gt;=121,'(橫掃)RX Mapping'!BI48&lt;=240), (-1)*('(橫掃)RX Mapping'!BI48-240),IF(AND('(橫掃)RX Mapping'!BI48&gt;=241,'(橫掃)RX Mapping'!BI48&lt;=360), ('(橫掃)RX Mapping'!BI48-241),IF(AND('(橫掃)RX Mapping'!BI48&gt;=361,'(橫掃)RX Mapping'!BI48&lt;=480), (-1)*('(橫掃)RX Mapping'!BI48-480),IF(AND('(橫掃)RX Mapping'!BI48&gt;=481,'(橫掃)RX Mapping'!BI48&lt;=600), ('(橫掃)RX Mapping'!BI48-361),IF(AND('(橫掃)RX Mapping'!BI48&gt;=601,'(橫掃)RX Mapping'!BI48&lt;=720), (-1)*('(橫掃)RX Mapping'!BI48-720)+120,IF(AND('(橫掃)RX Mapping'!BI48&gt;=721,'(橫掃)RX Mapping'!BI48&lt;=840), ('(橫掃)RX Mapping'!BI48-601),IF(AND('(橫掃)RX Mapping'!BI48&gt;=841,'(橫掃)RX Mapping'!BI48&lt;=960), (-1)*('(橫掃)RX Mapping'!BI48-960)+120,9999))))))))</f>
        <v>9999</v>
      </c>
    </row>
    <row r="49" spans="1:61" x14ac:dyDescent="0.25">
      <c r="A49" s="20">
        <v>48</v>
      </c>
      <c r="B49">
        <f>IF(AND('(橫掃)RX Mapping'!B49&gt;=1,'(橫掃)RX Mapping'!B49&lt;=120), ('(橫掃)RX Mapping'!B49-1),IF(AND('(橫掃)RX Mapping'!B49&gt;=121,'(橫掃)RX Mapping'!B49&lt;=240), (-1)*('(橫掃)RX Mapping'!B49-240),IF(AND('(橫掃)RX Mapping'!B49&gt;=241,'(橫掃)RX Mapping'!B49&lt;=360), ('(橫掃)RX Mapping'!B49-241),IF(AND('(橫掃)RX Mapping'!B49&gt;=361,'(橫掃)RX Mapping'!B49&lt;=480), (-1)*('(橫掃)RX Mapping'!B49-480),IF(AND('(橫掃)RX Mapping'!B49&gt;=481,'(橫掃)RX Mapping'!B49&lt;=600), ('(橫掃)RX Mapping'!B49-361),IF(AND('(橫掃)RX Mapping'!B49&gt;=601,'(橫掃)RX Mapping'!B49&lt;=720), (-1)*('(橫掃)RX Mapping'!B49-720)+120,IF(AND('(橫掃)RX Mapping'!B49&gt;=721,'(橫掃)RX Mapping'!B49&lt;=840), ('(橫掃)RX Mapping'!B49-601),IF(AND('(橫掃)RX Mapping'!B49&gt;=841,'(橫掃)RX Mapping'!B49&lt;=960), (-1)*('(橫掃)RX Mapping'!B49-960)+120,9999))))))))</f>
        <v>9999</v>
      </c>
      <c r="C49">
        <f>IF(AND('(橫掃)RX Mapping'!C49&gt;=1,'(橫掃)RX Mapping'!C49&lt;=120), ('(橫掃)RX Mapping'!C49-1),IF(AND('(橫掃)RX Mapping'!C49&gt;=121,'(橫掃)RX Mapping'!C49&lt;=240), (-1)*('(橫掃)RX Mapping'!C49-240),IF(AND('(橫掃)RX Mapping'!C49&gt;=241,'(橫掃)RX Mapping'!C49&lt;=360), ('(橫掃)RX Mapping'!C49-241),IF(AND('(橫掃)RX Mapping'!C49&gt;=361,'(橫掃)RX Mapping'!C49&lt;=480), (-1)*('(橫掃)RX Mapping'!C49-480),IF(AND('(橫掃)RX Mapping'!C49&gt;=481,'(橫掃)RX Mapping'!C49&lt;=600), ('(橫掃)RX Mapping'!C49-361),IF(AND('(橫掃)RX Mapping'!C49&gt;=601,'(橫掃)RX Mapping'!C49&lt;=720), (-1)*('(橫掃)RX Mapping'!C49-720)+120,IF(AND('(橫掃)RX Mapping'!C49&gt;=721,'(橫掃)RX Mapping'!C49&lt;=840), ('(橫掃)RX Mapping'!C49-601),IF(AND('(橫掃)RX Mapping'!C49&gt;=841,'(橫掃)RX Mapping'!C49&lt;=960), (-1)*('(橫掃)RX Mapping'!C49-960)+120,9999))))))))</f>
        <v>9999</v>
      </c>
      <c r="D49">
        <f>IF(AND('(橫掃)RX Mapping'!D49&gt;=1,'(橫掃)RX Mapping'!D49&lt;=120), ('(橫掃)RX Mapping'!D49-1),IF(AND('(橫掃)RX Mapping'!D49&gt;=121,'(橫掃)RX Mapping'!D49&lt;=240), (-1)*('(橫掃)RX Mapping'!D49-240),IF(AND('(橫掃)RX Mapping'!D49&gt;=241,'(橫掃)RX Mapping'!D49&lt;=360), ('(橫掃)RX Mapping'!D49-241),IF(AND('(橫掃)RX Mapping'!D49&gt;=361,'(橫掃)RX Mapping'!D49&lt;=480), (-1)*('(橫掃)RX Mapping'!D49-480),IF(AND('(橫掃)RX Mapping'!D49&gt;=481,'(橫掃)RX Mapping'!D49&lt;=600), ('(橫掃)RX Mapping'!D49-361),IF(AND('(橫掃)RX Mapping'!D49&gt;=601,'(橫掃)RX Mapping'!D49&lt;=720), (-1)*('(橫掃)RX Mapping'!D49-720)+120,IF(AND('(橫掃)RX Mapping'!D49&gt;=721,'(橫掃)RX Mapping'!D49&lt;=840), ('(橫掃)RX Mapping'!D49-601),IF(AND('(橫掃)RX Mapping'!D49&gt;=841,'(橫掃)RX Mapping'!D49&lt;=960), (-1)*('(橫掃)RX Mapping'!D49-960)+120,9999))))))))</f>
        <v>9999</v>
      </c>
      <c r="E49">
        <f>IF(AND('(橫掃)RX Mapping'!E49&gt;=1,'(橫掃)RX Mapping'!E49&lt;=120), ('(橫掃)RX Mapping'!E49-1),IF(AND('(橫掃)RX Mapping'!E49&gt;=121,'(橫掃)RX Mapping'!E49&lt;=240), (-1)*('(橫掃)RX Mapping'!E49-240),IF(AND('(橫掃)RX Mapping'!E49&gt;=241,'(橫掃)RX Mapping'!E49&lt;=360), ('(橫掃)RX Mapping'!E49-241),IF(AND('(橫掃)RX Mapping'!E49&gt;=361,'(橫掃)RX Mapping'!E49&lt;=480), (-1)*('(橫掃)RX Mapping'!E49-480),IF(AND('(橫掃)RX Mapping'!E49&gt;=481,'(橫掃)RX Mapping'!E49&lt;=600), ('(橫掃)RX Mapping'!E49-361),IF(AND('(橫掃)RX Mapping'!E49&gt;=601,'(橫掃)RX Mapping'!E49&lt;=720), (-1)*('(橫掃)RX Mapping'!E49-720)+120,IF(AND('(橫掃)RX Mapping'!E49&gt;=721,'(橫掃)RX Mapping'!E49&lt;=840), ('(橫掃)RX Mapping'!E49-601),IF(AND('(橫掃)RX Mapping'!E49&gt;=841,'(橫掃)RX Mapping'!E49&lt;=960), (-1)*('(橫掃)RX Mapping'!E49-960)+120,9999))))))))</f>
        <v>9999</v>
      </c>
      <c r="F49">
        <f>IF(AND('(橫掃)RX Mapping'!F49&gt;=1,'(橫掃)RX Mapping'!F49&lt;=120), ('(橫掃)RX Mapping'!F49-1),IF(AND('(橫掃)RX Mapping'!F49&gt;=121,'(橫掃)RX Mapping'!F49&lt;=240), (-1)*('(橫掃)RX Mapping'!F49-240),IF(AND('(橫掃)RX Mapping'!F49&gt;=241,'(橫掃)RX Mapping'!F49&lt;=360), ('(橫掃)RX Mapping'!F49-241),IF(AND('(橫掃)RX Mapping'!F49&gt;=361,'(橫掃)RX Mapping'!F49&lt;=480), (-1)*('(橫掃)RX Mapping'!F49-480),IF(AND('(橫掃)RX Mapping'!F49&gt;=481,'(橫掃)RX Mapping'!F49&lt;=600), ('(橫掃)RX Mapping'!F49-361),IF(AND('(橫掃)RX Mapping'!F49&gt;=601,'(橫掃)RX Mapping'!F49&lt;=720), (-1)*('(橫掃)RX Mapping'!F49-720)+120,IF(AND('(橫掃)RX Mapping'!F49&gt;=721,'(橫掃)RX Mapping'!F49&lt;=840), ('(橫掃)RX Mapping'!F49-601),IF(AND('(橫掃)RX Mapping'!F49&gt;=841,'(橫掃)RX Mapping'!F49&lt;=960), (-1)*('(橫掃)RX Mapping'!F49-960)+120,9999))))))))</f>
        <v>9999</v>
      </c>
      <c r="G49">
        <f>IF(AND('(橫掃)RX Mapping'!G49&gt;=1,'(橫掃)RX Mapping'!G49&lt;=120), ('(橫掃)RX Mapping'!G49-1),IF(AND('(橫掃)RX Mapping'!G49&gt;=121,'(橫掃)RX Mapping'!G49&lt;=240), (-1)*('(橫掃)RX Mapping'!G49-240),IF(AND('(橫掃)RX Mapping'!G49&gt;=241,'(橫掃)RX Mapping'!G49&lt;=360), ('(橫掃)RX Mapping'!G49-241),IF(AND('(橫掃)RX Mapping'!G49&gt;=361,'(橫掃)RX Mapping'!G49&lt;=480), (-1)*('(橫掃)RX Mapping'!G49-480),IF(AND('(橫掃)RX Mapping'!G49&gt;=481,'(橫掃)RX Mapping'!G49&lt;=600), ('(橫掃)RX Mapping'!G49-361),IF(AND('(橫掃)RX Mapping'!G49&gt;=601,'(橫掃)RX Mapping'!G49&lt;=720), (-1)*('(橫掃)RX Mapping'!G49-720)+120,IF(AND('(橫掃)RX Mapping'!G49&gt;=721,'(橫掃)RX Mapping'!G49&lt;=840), ('(橫掃)RX Mapping'!G49-601),IF(AND('(橫掃)RX Mapping'!G49&gt;=841,'(橫掃)RX Mapping'!G49&lt;=960), (-1)*('(橫掃)RX Mapping'!G49-960)+120,9999))))))))</f>
        <v>9999</v>
      </c>
      <c r="H49">
        <f>IF(AND('(橫掃)RX Mapping'!H49&gt;=1,'(橫掃)RX Mapping'!H49&lt;=120), ('(橫掃)RX Mapping'!H49-1),IF(AND('(橫掃)RX Mapping'!H49&gt;=121,'(橫掃)RX Mapping'!H49&lt;=240), (-1)*('(橫掃)RX Mapping'!H49-240),IF(AND('(橫掃)RX Mapping'!H49&gt;=241,'(橫掃)RX Mapping'!H49&lt;=360), ('(橫掃)RX Mapping'!H49-241),IF(AND('(橫掃)RX Mapping'!H49&gt;=361,'(橫掃)RX Mapping'!H49&lt;=480), (-1)*('(橫掃)RX Mapping'!H49-480),IF(AND('(橫掃)RX Mapping'!H49&gt;=481,'(橫掃)RX Mapping'!H49&lt;=600), ('(橫掃)RX Mapping'!H49-361),IF(AND('(橫掃)RX Mapping'!H49&gt;=601,'(橫掃)RX Mapping'!H49&lt;=720), (-1)*('(橫掃)RX Mapping'!H49-720)+120,IF(AND('(橫掃)RX Mapping'!H49&gt;=721,'(橫掃)RX Mapping'!H49&lt;=840), ('(橫掃)RX Mapping'!H49-601),IF(AND('(橫掃)RX Mapping'!H49&gt;=841,'(橫掃)RX Mapping'!H49&lt;=960), (-1)*('(橫掃)RX Mapping'!H49-960)+120,9999))))))))</f>
        <v>9999</v>
      </c>
      <c r="I49">
        <f>IF(AND('(橫掃)RX Mapping'!I49&gt;=1,'(橫掃)RX Mapping'!I49&lt;=120), ('(橫掃)RX Mapping'!I49-1),IF(AND('(橫掃)RX Mapping'!I49&gt;=121,'(橫掃)RX Mapping'!I49&lt;=240), (-1)*('(橫掃)RX Mapping'!I49-240),IF(AND('(橫掃)RX Mapping'!I49&gt;=241,'(橫掃)RX Mapping'!I49&lt;=360), ('(橫掃)RX Mapping'!I49-241),IF(AND('(橫掃)RX Mapping'!I49&gt;=361,'(橫掃)RX Mapping'!I49&lt;=480), (-1)*('(橫掃)RX Mapping'!I49-480),IF(AND('(橫掃)RX Mapping'!I49&gt;=481,'(橫掃)RX Mapping'!I49&lt;=600), ('(橫掃)RX Mapping'!I49-361),IF(AND('(橫掃)RX Mapping'!I49&gt;=601,'(橫掃)RX Mapping'!I49&lt;=720), (-1)*('(橫掃)RX Mapping'!I49-720)+120,IF(AND('(橫掃)RX Mapping'!I49&gt;=721,'(橫掃)RX Mapping'!I49&lt;=840), ('(橫掃)RX Mapping'!I49-601),IF(AND('(橫掃)RX Mapping'!I49&gt;=841,'(橫掃)RX Mapping'!I49&lt;=960), (-1)*('(橫掃)RX Mapping'!I49-960)+120,9999))))))))</f>
        <v>9999</v>
      </c>
      <c r="J49">
        <f>IF(AND('(橫掃)RX Mapping'!J49&gt;=1,'(橫掃)RX Mapping'!J49&lt;=120), ('(橫掃)RX Mapping'!J49-1),IF(AND('(橫掃)RX Mapping'!J49&gt;=121,'(橫掃)RX Mapping'!J49&lt;=240), (-1)*('(橫掃)RX Mapping'!J49-240),IF(AND('(橫掃)RX Mapping'!J49&gt;=241,'(橫掃)RX Mapping'!J49&lt;=360), ('(橫掃)RX Mapping'!J49-241),IF(AND('(橫掃)RX Mapping'!J49&gt;=361,'(橫掃)RX Mapping'!J49&lt;=480), (-1)*('(橫掃)RX Mapping'!J49-480),IF(AND('(橫掃)RX Mapping'!J49&gt;=481,'(橫掃)RX Mapping'!J49&lt;=600), ('(橫掃)RX Mapping'!J49-361),IF(AND('(橫掃)RX Mapping'!J49&gt;=601,'(橫掃)RX Mapping'!J49&lt;=720), (-1)*('(橫掃)RX Mapping'!J49-720)+120,IF(AND('(橫掃)RX Mapping'!J49&gt;=721,'(橫掃)RX Mapping'!J49&lt;=840), ('(橫掃)RX Mapping'!J49-601),IF(AND('(橫掃)RX Mapping'!J49&gt;=841,'(橫掃)RX Mapping'!J49&lt;=960), (-1)*('(橫掃)RX Mapping'!J49-960)+120,9999))))))))</f>
        <v>9999</v>
      </c>
      <c r="K49">
        <f>IF(AND('(橫掃)RX Mapping'!K49&gt;=1,'(橫掃)RX Mapping'!K49&lt;=120), ('(橫掃)RX Mapping'!K49-1),IF(AND('(橫掃)RX Mapping'!K49&gt;=121,'(橫掃)RX Mapping'!K49&lt;=240), (-1)*('(橫掃)RX Mapping'!K49-240),IF(AND('(橫掃)RX Mapping'!K49&gt;=241,'(橫掃)RX Mapping'!K49&lt;=360), ('(橫掃)RX Mapping'!K49-241),IF(AND('(橫掃)RX Mapping'!K49&gt;=361,'(橫掃)RX Mapping'!K49&lt;=480), (-1)*('(橫掃)RX Mapping'!K49-480),IF(AND('(橫掃)RX Mapping'!K49&gt;=481,'(橫掃)RX Mapping'!K49&lt;=600), ('(橫掃)RX Mapping'!K49-361),IF(AND('(橫掃)RX Mapping'!K49&gt;=601,'(橫掃)RX Mapping'!K49&lt;=720), (-1)*('(橫掃)RX Mapping'!K49-720)+120,IF(AND('(橫掃)RX Mapping'!K49&gt;=721,'(橫掃)RX Mapping'!K49&lt;=840), ('(橫掃)RX Mapping'!K49-601),IF(AND('(橫掃)RX Mapping'!K49&gt;=841,'(橫掃)RX Mapping'!K49&lt;=960), (-1)*('(橫掃)RX Mapping'!K49-960)+120,9999))))))))</f>
        <v>9999</v>
      </c>
      <c r="L49">
        <f>IF(AND('(橫掃)RX Mapping'!L49&gt;=1,'(橫掃)RX Mapping'!L49&lt;=120), ('(橫掃)RX Mapping'!L49-1),IF(AND('(橫掃)RX Mapping'!L49&gt;=121,'(橫掃)RX Mapping'!L49&lt;=240), (-1)*('(橫掃)RX Mapping'!L49-240),IF(AND('(橫掃)RX Mapping'!L49&gt;=241,'(橫掃)RX Mapping'!L49&lt;=360), ('(橫掃)RX Mapping'!L49-241),IF(AND('(橫掃)RX Mapping'!L49&gt;=361,'(橫掃)RX Mapping'!L49&lt;=480), (-1)*('(橫掃)RX Mapping'!L49-480),IF(AND('(橫掃)RX Mapping'!L49&gt;=481,'(橫掃)RX Mapping'!L49&lt;=600), ('(橫掃)RX Mapping'!L49-361),IF(AND('(橫掃)RX Mapping'!L49&gt;=601,'(橫掃)RX Mapping'!L49&lt;=720), (-1)*('(橫掃)RX Mapping'!L49-720)+120,IF(AND('(橫掃)RX Mapping'!L49&gt;=721,'(橫掃)RX Mapping'!L49&lt;=840), ('(橫掃)RX Mapping'!L49-601),IF(AND('(橫掃)RX Mapping'!L49&gt;=841,'(橫掃)RX Mapping'!L49&lt;=960), (-1)*('(橫掃)RX Mapping'!L49-960)+120,9999))))))))</f>
        <v>9999</v>
      </c>
      <c r="M49">
        <f>IF(AND('(橫掃)RX Mapping'!M49&gt;=1,'(橫掃)RX Mapping'!M49&lt;=120), ('(橫掃)RX Mapping'!M49-1),IF(AND('(橫掃)RX Mapping'!M49&gt;=121,'(橫掃)RX Mapping'!M49&lt;=240), (-1)*('(橫掃)RX Mapping'!M49-240),IF(AND('(橫掃)RX Mapping'!M49&gt;=241,'(橫掃)RX Mapping'!M49&lt;=360), ('(橫掃)RX Mapping'!M49-241),IF(AND('(橫掃)RX Mapping'!M49&gt;=361,'(橫掃)RX Mapping'!M49&lt;=480), (-1)*('(橫掃)RX Mapping'!M49-480),IF(AND('(橫掃)RX Mapping'!M49&gt;=481,'(橫掃)RX Mapping'!M49&lt;=600), ('(橫掃)RX Mapping'!M49-361),IF(AND('(橫掃)RX Mapping'!M49&gt;=601,'(橫掃)RX Mapping'!M49&lt;=720), (-1)*('(橫掃)RX Mapping'!M49-720)+120,IF(AND('(橫掃)RX Mapping'!M49&gt;=721,'(橫掃)RX Mapping'!M49&lt;=840), ('(橫掃)RX Mapping'!M49-601),IF(AND('(橫掃)RX Mapping'!M49&gt;=841,'(橫掃)RX Mapping'!M49&lt;=960), (-1)*('(橫掃)RX Mapping'!M49-960)+120,9999))))))))</f>
        <v>9999</v>
      </c>
      <c r="N49">
        <f>IF(AND('(橫掃)RX Mapping'!N49&gt;=1,'(橫掃)RX Mapping'!N49&lt;=120), ('(橫掃)RX Mapping'!N49-1),IF(AND('(橫掃)RX Mapping'!N49&gt;=121,'(橫掃)RX Mapping'!N49&lt;=240), (-1)*('(橫掃)RX Mapping'!N49-240),IF(AND('(橫掃)RX Mapping'!N49&gt;=241,'(橫掃)RX Mapping'!N49&lt;=360), ('(橫掃)RX Mapping'!N49-241),IF(AND('(橫掃)RX Mapping'!N49&gt;=361,'(橫掃)RX Mapping'!N49&lt;=480), (-1)*('(橫掃)RX Mapping'!N49-480),IF(AND('(橫掃)RX Mapping'!N49&gt;=481,'(橫掃)RX Mapping'!N49&lt;=600), ('(橫掃)RX Mapping'!N49-361),IF(AND('(橫掃)RX Mapping'!N49&gt;=601,'(橫掃)RX Mapping'!N49&lt;=720), (-1)*('(橫掃)RX Mapping'!N49-720)+120,IF(AND('(橫掃)RX Mapping'!N49&gt;=721,'(橫掃)RX Mapping'!N49&lt;=840), ('(橫掃)RX Mapping'!N49-601),IF(AND('(橫掃)RX Mapping'!N49&gt;=841,'(橫掃)RX Mapping'!N49&lt;=960), (-1)*('(橫掃)RX Mapping'!N49-960)+120,9999))))))))</f>
        <v>9999</v>
      </c>
      <c r="O49">
        <f>IF(AND('(橫掃)RX Mapping'!O49&gt;=1,'(橫掃)RX Mapping'!O49&lt;=120), ('(橫掃)RX Mapping'!O49-1),IF(AND('(橫掃)RX Mapping'!O49&gt;=121,'(橫掃)RX Mapping'!O49&lt;=240), (-1)*('(橫掃)RX Mapping'!O49-240),IF(AND('(橫掃)RX Mapping'!O49&gt;=241,'(橫掃)RX Mapping'!O49&lt;=360), ('(橫掃)RX Mapping'!O49-241),IF(AND('(橫掃)RX Mapping'!O49&gt;=361,'(橫掃)RX Mapping'!O49&lt;=480), (-1)*('(橫掃)RX Mapping'!O49-480),IF(AND('(橫掃)RX Mapping'!O49&gt;=481,'(橫掃)RX Mapping'!O49&lt;=600), ('(橫掃)RX Mapping'!O49-361),IF(AND('(橫掃)RX Mapping'!O49&gt;=601,'(橫掃)RX Mapping'!O49&lt;=720), (-1)*('(橫掃)RX Mapping'!O49-720)+120,IF(AND('(橫掃)RX Mapping'!O49&gt;=721,'(橫掃)RX Mapping'!O49&lt;=840), ('(橫掃)RX Mapping'!O49-601),IF(AND('(橫掃)RX Mapping'!O49&gt;=841,'(橫掃)RX Mapping'!O49&lt;=960), (-1)*('(橫掃)RX Mapping'!O49-960)+120,9999))))))))</f>
        <v>9999</v>
      </c>
      <c r="P49">
        <f>IF(AND('(橫掃)RX Mapping'!P49&gt;=1,'(橫掃)RX Mapping'!P49&lt;=120), ('(橫掃)RX Mapping'!P49-1),IF(AND('(橫掃)RX Mapping'!P49&gt;=121,'(橫掃)RX Mapping'!P49&lt;=240), (-1)*('(橫掃)RX Mapping'!P49-240),IF(AND('(橫掃)RX Mapping'!P49&gt;=241,'(橫掃)RX Mapping'!P49&lt;=360), ('(橫掃)RX Mapping'!P49-241),IF(AND('(橫掃)RX Mapping'!P49&gt;=361,'(橫掃)RX Mapping'!P49&lt;=480), (-1)*('(橫掃)RX Mapping'!P49-480),IF(AND('(橫掃)RX Mapping'!P49&gt;=481,'(橫掃)RX Mapping'!P49&lt;=600), ('(橫掃)RX Mapping'!P49-361),IF(AND('(橫掃)RX Mapping'!P49&gt;=601,'(橫掃)RX Mapping'!P49&lt;=720), (-1)*('(橫掃)RX Mapping'!P49-720)+120,IF(AND('(橫掃)RX Mapping'!P49&gt;=721,'(橫掃)RX Mapping'!P49&lt;=840), ('(橫掃)RX Mapping'!P49-601),IF(AND('(橫掃)RX Mapping'!P49&gt;=841,'(橫掃)RX Mapping'!P49&lt;=960), (-1)*('(橫掃)RX Mapping'!P49-960)+120,9999))))))))</f>
        <v>9999</v>
      </c>
      <c r="Q49">
        <f>IF(AND('(橫掃)RX Mapping'!Q49&gt;=1,'(橫掃)RX Mapping'!Q49&lt;=120), ('(橫掃)RX Mapping'!Q49-1),IF(AND('(橫掃)RX Mapping'!Q49&gt;=121,'(橫掃)RX Mapping'!Q49&lt;=240), (-1)*('(橫掃)RX Mapping'!Q49-240),IF(AND('(橫掃)RX Mapping'!Q49&gt;=241,'(橫掃)RX Mapping'!Q49&lt;=360), ('(橫掃)RX Mapping'!Q49-241),IF(AND('(橫掃)RX Mapping'!Q49&gt;=361,'(橫掃)RX Mapping'!Q49&lt;=480), (-1)*('(橫掃)RX Mapping'!Q49-480),IF(AND('(橫掃)RX Mapping'!Q49&gt;=481,'(橫掃)RX Mapping'!Q49&lt;=600), ('(橫掃)RX Mapping'!Q49-361),IF(AND('(橫掃)RX Mapping'!Q49&gt;=601,'(橫掃)RX Mapping'!Q49&lt;=720), (-1)*('(橫掃)RX Mapping'!Q49-720)+120,IF(AND('(橫掃)RX Mapping'!Q49&gt;=721,'(橫掃)RX Mapping'!Q49&lt;=840), ('(橫掃)RX Mapping'!Q49-601),IF(AND('(橫掃)RX Mapping'!Q49&gt;=841,'(橫掃)RX Mapping'!Q49&lt;=960), (-1)*('(橫掃)RX Mapping'!Q49-960)+120,9999))))))))</f>
        <v>9999</v>
      </c>
      <c r="R49">
        <f>IF(AND('(橫掃)RX Mapping'!R49&gt;=1,'(橫掃)RX Mapping'!R49&lt;=120), ('(橫掃)RX Mapping'!R49-1),IF(AND('(橫掃)RX Mapping'!R49&gt;=121,'(橫掃)RX Mapping'!R49&lt;=240), (-1)*('(橫掃)RX Mapping'!R49-240),IF(AND('(橫掃)RX Mapping'!R49&gt;=241,'(橫掃)RX Mapping'!R49&lt;=360), ('(橫掃)RX Mapping'!R49-241),IF(AND('(橫掃)RX Mapping'!R49&gt;=361,'(橫掃)RX Mapping'!R49&lt;=480), (-1)*('(橫掃)RX Mapping'!R49-480),IF(AND('(橫掃)RX Mapping'!R49&gt;=481,'(橫掃)RX Mapping'!R49&lt;=600), ('(橫掃)RX Mapping'!R49-361),IF(AND('(橫掃)RX Mapping'!R49&gt;=601,'(橫掃)RX Mapping'!R49&lt;=720), (-1)*('(橫掃)RX Mapping'!R49-720)+120,IF(AND('(橫掃)RX Mapping'!R49&gt;=721,'(橫掃)RX Mapping'!R49&lt;=840), ('(橫掃)RX Mapping'!R49-601),IF(AND('(橫掃)RX Mapping'!R49&gt;=841,'(橫掃)RX Mapping'!R49&lt;=960), (-1)*('(橫掃)RX Mapping'!R49-960)+120,9999))))))))</f>
        <v>9999</v>
      </c>
      <c r="S49">
        <f>IF(AND('(橫掃)RX Mapping'!S49&gt;=1,'(橫掃)RX Mapping'!S49&lt;=120), ('(橫掃)RX Mapping'!S49-1),IF(AND('(橫掃)RX Mapping'!S49&gt;=121,'(橫掃)RX Mapping'!S49&lt;=240), (-1)*('(橫掃)RX Mapping'!S49-240),IF(AND('(橫掃)RX Mapping'!S49&gt;=241,'(橫掃)RX Mapping'!S49&lt;=360), ('(橫掃)RX Mapping'!S49-241),IF(AND('(橫掃)RX Mapping'!S49&gt;=361,'(橫掃)RX Mapping'!S49&lt;=480), (-1)*('(橫掃)RX Mapping'!S49-480),IF(AND('(橫掃)RX Mapping'!S49&gt;=481,'(橫掃)RX Mapping'!S49&lt;=600), ('(橫掃)RX Mapping'!S49-361),IF(AND('(橫掃)RX Mapping'!S49&gt;=601,'(橫掃)RX Mapping'!S49&lt;=720), (-1)*('(橫掃)RX Mapping'!S49-720)+120,IF(AND('(橫掃)RX Mapping'!S49&gt;=721,'(橫掃)RX Mapping'!S49&lt;=840), ('(橫掃)RX Mapping'!S49-601),IF(AND('(橫掃)RX Mapping'!S49&gt;=841,'(橫掃)RX Mapping'!S49&lt;=960), (-1)*('(橫掃)RX Mapping'!S49-960)+120,9999))))))))</f>
        <v>9999</v>
      </c>
      <c r="T49">
        <f>IF(AND('(橫掃)RX Mapping'!T49&gt;=1,'(橫掃)RX Mapping'!T49&lt;=120), ('(橫掃)RX Mapping'!T49-1),IF(AND('(橫掃)RX Mapping'!T49&gt;=121,'(橫掃)RX Mapping'!T49&lt;=240), (-1)*('(橫掃)RX Mapping'!T49-240),IF(AND('(橫掃)RX Mapping'!T49&gt;=241,'(橫掃)RX Mapping'!T49&lt;=360), ('(橫掃)RX Mapping'!T49-241),IF(AND('(橫掃)RX Mapping'!T49&gt;=361,'(橫掃)RX Mapping'!T49&lt;=480), (-1)*('(橫掃)RX Mapping'!T49-480),IF(AND('(橫掃)RX Mapping'!T49&gt;=481,'(橫掃)RX Mapping'!T49&lt;=600), ('(橫掃)RX Mapping'!T49-361),IF(AND('(橫掃)RX Mapping'!T49&gt;=601,'(橫掃)RX Mapping'!T49&lt;=720), (-1)*('(橫掃)RX Mapping'!T49-720)+120,IF(AND('(橫掃)RX Mapping'!T49&gt;=721,'(橫掃)RX Mapping'!T49&lt;=840), ('(橫掃)RX Mapping'!T49-601),IF(AND('(橫掃)RX Mapping'!T49&gt;=841,'(橫掃)RX Mapping'!T49&lt;=960), (-1)*('(橫掃)RX Mapping'!T49-960)+120,9999))))))))</f>
        <v>9999</v>
      </c>
      <c r="U49">
        <f>IF(AND('(橫掃)RX Mapping'!U49&gt;=1,'(橫掃)RX Mapping'!U49&lt;=120), ('(橫掃)RX Mapping'!U49-1),IF(AND('(橫掃)RX Mapping'!U49&gt;=121,'(橫掃)RX Mapping'!U49&lt;=240), (-1)*('(橫掃)RX Mapping'!U49-240),IF(AND('(橫掃)RX Mapping'!U49&gt;=241,'(橫掃)RX Mapping'!U49&lt;=360), ('(橫掃)RX Mapping'!U49-241),IF(AND('(橫掃)RX Mapping'!U49&gt;=361,'(橫掃)RX Mapping'!U49&lt;=480), (-1)*('(橫掃)RX Mapping'!U49-480),IF(AND('(橫掃)RX Mapping'!U49&gt;=481,'(橫掃)RX Mapping'!U49&lt;=600), ('(橫掃)RX Mapping'!U49-361),IF(AND('(橫掃)RX Mapping'!U49&gt;=601,'(橫掃)RX Mapping'!U49&lt;=720), (-1)*('(橫掃)RX Mapping'!U49-720)+120,IF(AND('(橫掃)RX Mapping'!U49&gt;=721,'(橫掃)RX Mapping'!U49&lt;=840), ('(橫掃)RX Mapping'!U49-601),IF(AND('(橫掃)RX Mapping'!U49&gt;=841,'(橫掃)RX Mapping'!U49&lt;=960), (-1)*('(橫掃)RX Mapping'!U49-960)+120,9999))))))))</f>
        <v>9999</v>
      </c>
      <c r="V49">
        <f>IF(AND('(橫掃)RX Mapping'!V49&gt;=1,'(橫掃)RX Mapping'!V49&lt;=120), ('(橫掃)RX Mapping'!V49-1),IF(AND('(橫掃)RX Mapping'!V49&gt;=121,'(橫掃)RX Mapping'!V49&lt;=240), (-1)*('(橫掃)RX Mapping'!V49-240),IF(AND('(橫掃)RX Mapping'!V49&gt;=241,'(橫掃)RX Mapping'!V49&lt;=360), ('(橫掃)RX Mapping'!V49-241),IF(AND('(橫掃)RX Mapping'!V49&gt;=361,'(橫掃)RX Mapping'!V49&lt;=480), (-1)*('(橫掃)RX Mapping'!V49-480),IF(AND('(橫掃)RX Mapping'!V49&gt;=481,'(橫掃)RX Mapping'!V49&lt;=600), ('(橫掃)RX Mapping'!V49-361),IF(AND('(橫掃)RX Mapping'!V49&gt;=601,'(橫掃)RX Mapping'!V49&lt;=720), (-1)*('(橫掃)RX Mapping'!V49-720)+120,IF(AND('(橫掃)RX Mapping'!V49&gt;=721,'(橫掃)RX Mapping'!V49&lt;=840), ('(橫掃)RX Mapping'!V49-601),IF(AND('(橫掃)RX Mapping'!V49&gt;=841,'(橫掃)RX Mapping'!V49&lt;=960), (-1)*('(橫掃)RX Mapping'!V49-960)+120,9999))))))))</f>
        <v>9999</v>
      </c>
      <c r="W49">
        <f>IF(AND('(橫掃)RX Mapping'!W49&gt;=1,'(橫掃)RX Mapping'!W49&lt;=120), ('(橫掃)RX Mapping'!W49-1),IF(AND('(橫掃)RX Mapping'!W49&gt;=121,'(橫掃)RX Mapping'!W49&lt;=240), (-1)*('(橫掃)RX Mapping'!W49-240),IF(AND('(橫掃)RX Mapping'!W49&gt;=241,'(橫掃)RX Mapping'!W49&lt;=360), ('(橫掃)RX Mapping'!W49-241),IF(AND('(橫掃)RX Mapping'!W49&gt;=361,'(橫掃)RX Mapping'!W49&lt;=480), (-1)*('(橫掃)RX Mapping'!W49-480),IF(AND('(橫掃)RX Mapping'!W49&gt;=481,'(橫掃)RX Mapping'!W49&lt;=600), ('(橫掃)RX Mapping'!W49-361),IF(AND('(橫掃)RX Mapping'!W49&gt;=601,'(橫掃)RX Mapping'!W49&lt;=720), (-1)*('(橫掃)RX Mapping'!W49-720)+120,IF(AND('(橫掃)RX Mapping'!W49&gt;=721,'(橫掃)RX Mapping'!W49&lt;=840), ('(橫掃)RX Mapping'!W49-601),IF(AND('(橫掃)RX Mapping'!W49&gt;=841,'(橫掃)RX Mapping'!W49&lt;=960), (-1)*('(橫掃)RX Mapping'!W49-960)+120,9999))))))))</f>
        <v>9999</v>
      </c>
      <c r="X49">
        <f>IF(AND('(橫掃)RX Mapping'!X49&gt;=1,'(橫掃)RX Mapping'!X49&lt;=120), ('(橫掃)RX Mapping'!X49-1),IF(AND('(橫掃)RX Mapping'!X49&gt;=121,'(橫掃)RX Mapping'!X49&lt;=240), (-1)*('(橫掃)RX Mapping'!X49-240),IF(AND('(橫掃)RX Mapping'!X49&gt;=241,'(橫掃)RX Mapping'!X49&lt;=360), ('(橫掃)RX Mapping'!X49-241),IF(AND('(橫掃)RX Mapping'!X49&gt;=361,'(橫掃)RX Mapping'!X49&lt;=480), (-1)*('(橫掃)RX Mapping'!X49-480),IF(AND('(橫掃)RX Mapping'!X49&gt;=481,'(橫掃)RX Mapping'!X49&lt;=600), ('(橫掃)RX Mapping'!X49-361),IF(AND('(橫掃)RX Mapping'!X49&gt;=601,'(橫掃)RX Mapping'!X49&lt;=720), (-1)*('(橫掃)RX Mapping'!X49-720)+120,IF(AND('(橫掃)RX Mapping'!X49&gt;=721,'(橫掃)RX Mapping'!X49&lt;=840), ('(橫掃)RX Mapping'!X49-601),IF(AND('(橫掃)RX Mapping'!X49&gt;=841,'(橫掃)RX Mapping'!X49&lt;=960), (-1)*('(橫掃)RX Mapping'!X49-960)+120,9999))))))))</f>
        <v>9999</v>
      </c>
      <c r="Y49">
        <f>IF(AND('(橫掃)RX Mapping'!Y49&gt;=1,'(橫掃)RX Mapping'!Y49&lt;=120), ('(橫掃)RX Mapping'!Y49-1),IF(AND('(橫掃)RX Mapping'!Y49&gt;=121,'(橫掃)RX Mapping'!Y49&lt;=240), (-1)*('(橫掃)RX Mapping'!Y49-240),IF(AND('(橫掃)RX Mapping'!Y49&gt;=241,'(橫掃)RX Mapping'!Y49&lt;=360), ('(橫掃)RX Mapping'!Y49-241),IF(AND('(橫掃)RX Mapping'!Y49&gt;=361,'(橫掃)RX Mapping'!Y49&lt;=480), (-1)*('(橫掃)RX Mapping'!Y49-480),IF(AND('(橫掃)RX Mapping'!Y49&gt;=481,'(橫掃)RX Mapping'!Y49&lt;=600), ('(橫掃)RX Mapping'!Y49-361),IF(AND('(橫掃)RX Mapping'!Y49&gt;=601,'(橫掃)RX Mapping'!Y49&lt;=720), (-1)*('(橫掃)RX Mapping'!Y49-720)+120,IF(AND('(橫掃)RX Mapping'!Y49&gt;=721,'(橫掃)RX Mapping'!Y49&lt;=840), ('(橫掃)RX Mapping'!Y49-601),IF(AND('(橫掃)RX Mapping'!Y49&gt;=841,'(橫掃)RX Mapping'!Y49&lt;=960), (-1)*('(橫掃)RX Mapping'!Y49-960)+120,9999))))))))</f>
        <v>9999</v>
      </c>
      <c r="Z49">
        <f>IF(AND('(橫掃)RX Mapping'!Z49&gt;=1,'(橫掃)RX Mapping'!Z49&lt;=120), ('(橫掃)RX Mapping'!Z49-1),IF(AND('(橫掃)RX Mapping'!Z49&gt;=121,'(橫掃)RX Mapping'!Z49&lt;=240), (-1)*('(橫掃)RX Mapping'!Z49-240),IF(AND('(橫掃)RX Mapping'!Z49&gt;=241,'(橫掃)RX Mapping'!Z49&lt;=360), ('(橫掃)RX Mapping'!Z49-241),IF(AND('(橫掃)RX Mapping'!Z49&gt;=361,'(橫掃)RX Mapping'!Z49&lt;=480), (-1)*('(橫掃)RX Mapping'!Z49-480),IF(AND('(橫掃)RX Mapping'!Z49&gt;=481,'(橫掃)RX Mapping'!Z49&lt;=600), ('(橫掃)RX Mapping'!Z49-361),IF(AND('(橫掃)RX Mapping'!Z49&gt;=601,'(橫掃)RX Mapping'!Z49&lt;=720), (-1)*('(橫掃)RX Mapping'!Z49-720)+120,IF(AND('(橫掃)RX Mapping'!Z49&gt;=721,'(橫掃)RX Mapping'!Z49&lt;=840), ('(橫掃)RX Mapping'!Z49-601),IF(AND('(橫掃)RX Mapping'!Z49&gt;=841,'(橫掃)RX Mapping'!Z49&lt;=960), (-1)*('(橫掃)RX Mapping'!Z49-960)+120,9999))))))))</f>
        <v>9999</v>
      </c>
      <c r="AA49">
        <f>IF(AND('(橫掃)RX Mapping'!AA49&gt;=1,'(橫掃)RX Mapping'!AA49&lt;=120), ('(橫掃)RX Mapping'!AA49-1),IF(AND('(橫掃)RX Mapping'!AA49&gt;=121,'(橫掃)RX Mapping'!AA49&lt;=240), (-1)*('(橫掃)RX Mapping'!AA49-240),IF(AND('(橫掃)RX Mapping'!AA49&gt;=241,'(橫掃)RX Mapping'!AA49&lt;=360), ('(橫掃)RX Mapping'!AA49-241),IF(AND('(橫掃)RX Mapping'!AA49&gt;=361,'(橫掃)RX Mapping'!AA49&lt;=480), (-1)*('(橫掃)RX Mapping'!AA49-480),IF(AND('(橫掃)RX Mapping'!AA49&gt;=481,'(橫掃)RX Mapping'!AA49&lt;=600), ('(橫掃)RX Mapping'!AA49-361),IF(AND('(橫掃)RX Mapping'!AA49&gt;=601,'(橫掃)RX Mapping'!AA49&lt;=720), (-1)*('(橫掃)RX Mapping'!AA49-720)+120,IF(AND('(橫掃)RX Mapping'!AA49&gt;=721,'(橫掃)RX Mapping'!AA49&lt;=840), ('(橫掃)RX Mapping'!AA49-601),IF(AND('(橫掃)RX Mapping'!AA49&gt;=841,'(橫掃)RX Mapping'!AA49&lt;=960), (-1)*('(橫掃)RX Mapping'!AA49-960)+120,9999))))))))</f>
        <v>9999</v>
      </c>
      <c r="AB49">
        <f>IF(AND('(橫掃)RX Mapping'!AB49&gt;=1,'(橫掃)RX Mapping'!AB49&lt;=120), ('(橫掃)RX Mapping'!AB49-1),IF(AND('(橫掃)RX Mapping'!AB49&gt;=121,'(橫掃)RX Mapping'!AB49&lt;=240), (-1)*('(橫掃)RX Mapping'!AB49-240),IF(AND('(橫掃)RX Mapping'!AB49&gt;=241,'(橫掃)RX Mapping'!AB49&lt;=360), ('(橫掃)RX Mapping'!AB49-241),IF(AND('(橫掃)RX Mapping'!AB49&gt;=361,'(橫掃)RX Mapping'!AB49&lt;=480), (-1)*('(橫掃)RX Mapping'!AB49-480),IF(AND('(橫掃)RX Mapping'!AB49&gt;=481,'(橫掃)RX Mapping'!AB49&lt;=600), ('(橫掃)RX Mapping'!AB49-361),IF(AND('(橫掃)RX Mapping'!AB49&gt;=601,'(橫掃)RX Mapping'!AB49&lt;=720), (-1)*('(橫掃)RX Mapping'!AB49-720)+120,IF(AND('(橫掃)RX Mapping'!AB49&gt;=721,'(橫掃)RX Mapping'!AB49&lt;=840), ('(橫掃)RX Mapping'!AB49-601),IF(AND('(橫掃)RX Mapping'!AB49&gt;=841,'(橫掃)RX Mapping'!AB49&lt;=960), (-1)*('(橫掃)RX Mapping'!AB49-960)+120,9999))))))))</f>
        <v>9999</v>
      </c>
      <c r="AC49">
        <f>IF(AND('(橫掃)RX Mapping'!AC49&gt;=1,'(橫掃)RX Mapping'!AC49&lt;=120), ('(橫掃)RX Mapping'!AC49-1),IF(AND('(橫掃)RX Mapping'!AC49&gt;=121,'(橫掃)RX Mapping'!AC49&lt;=240), (-1)*('(橫掃)RX Mapping'!AC49-240),IF(AND('(橫掃)RX Mapping'!AC49&gt;=241,'(橫掃)RX Mapping'!AC49&lt;=360), ('(橫掃)RX Mapping'!AC49-241),IF(AND('(橫掃)RX Mapping'!AC49&gt;=361,'(橫掃)RX Mapping'!AC49&lt;=480), (-1)*('(橫掃)RX Mapping'!AC49-480),IF(AND('(橫掃)RX Mapping'!AC49&gt;=481,'(橫掃)RX Mapping'!AC49&lt;=600), ('(橫掃)RX Mapping'!AC49-361),IF(AND('(橫掃)RX Mapping'!AC49&gt;=601,'(橫掃)RX Mapping'!AC49&lt;=720), (-1)*('(橫掃)RX Mapping'!AC49-720)+120,IF(AND('(橫掃)RX Mapping'!AC49&gt;=721,'(橫掃)RX Mapping'!AC49&lt;=840), ('(橫掃)RX Mapping'!AC49-601),IF(AND('(橫掃)RX Mapping'!AC49&gt;=841,'(橫掃)RX Mapping'!AC49&lt;=960), (-1)*('(橫掃)RX Mapping'!AC49-960)+120,9999))))))))</f>
        <v>9999</v>
      </c>
      <c r="AD49">
        <f>IF(AND('(橫掃)RX Mapping'!AD49&gt;=1,'(橫掃)RX Mapping'!AD49&lt;=120), ('(橫掃)RX Mapping'!AD49-1),IF(AND('(橫掃)RX Mapping'!AD49&gt;=121,'(橫掃)RX Mapping'!AD49&lt;=240), (-1)*('(橫掃)RX Mapping'!AD49-240),IF(AND('(橫掃)RX Mapping'!AD49&gt;=241,'(橫掃)RX Mapping'!AD49&lt;=360), ('(橫掃)RX Mapping'!AD49-241),IF(AND('(橫掃)RX Mapping'!AD49&gt;=361,'(橫掃)RX Mapping'!AD49&lt;=480), (-1)*('(橫掃)RX Mapping'!AD49-480),IF(AND('(橫掃)RX Mapping'!AD49&gt;=481,'(橫掃)RX Mapping'!AD49&lt;=600), ('(橫掃)RX Mapping'!AD49-361),IF(AND('(橫掃)RX Mapping'!AD49&gt;=601,'(橫掃)RX Mapping'!AD49&lt;=720), (-1)*('(橫掃)RX Mapping'!AD49-720)+120,IF(AND('(橫掃)RX Mapping'!AD49&gt;=721,'(橫掃)RX Mapping'!AD49&lt;=840), ('(橫掃)RX Mapping'!AD49-601),IF(AND('(橫掃)RX Mapping'!AD49&gt;=841,'(橫掃)RX Mapping'!AD49&lt;=960), (-1)*('(橫掃)RX Mapping'!AD49-960)+120,9999))))))))</f>
        <v>9999</v>
      </c>
      <c r="AE49">
        <f>IF(AND('(橫掃)RX Mapping'!AE49&gt;=1,'(橫掃)RX Mapping'!AE49&lt;=120), ('(橫掃)RX Mapping'!AE49-1),IF(AND('(橫掃)RX Mapping'!AE49&gt;=121,'(橫掃)RX Mapping'!AE49&lt;=240), (-1)*('(橫掃)RX Mapping'!AE49-240),IF(AND('(橫掃)RX Mapping'!AE49&gt;=241,'(橫掃)RX Mapping'!AE49&lt;=360), ('(橫掃)RX Mapping'!AE49-241),IF(AND('(橫掃)RX Mapping'!AE49&gt;=361,'(橫掃)RX Mapping'!AE49&lt;=480), (-1)*('(橫掃)RX Mapping'!AE49-480),IF(AND('(橫掃)RX Mapping'!AE49&gt;=481,'(橫掃)RX Mapping'!AE49&lt;=600), ('(橫掃)RX Mapping'!AE49-361),IF(AND('(橫掃)RX Mapping'!AE49&gt;=601,'(橫掃)RX Mapping'!AE49&lt;=720), (-1)*('(橫掃)RX Mapping'!AE49-720)+120,IF(AND('(橫掃)RX Mapping'!AE49&gt;=721,'(橫掃)RX Mapping'!AE49&lt;=840), ('(橫掃)RX Mapping'!AE49-601),IF(AND('(橫掃)RX Mapping'!AE49&gt;=841,'(橫掃)RX Mapping'!AE49&lt;=960), (-1)*('(橫掃)RX Mapping'!AE49-960)+120,9999))))))))</f>
        <v>9999</v>
      </c>
      <c r="AF49">
        <f>IF(AND('(橫掃)RX Mapping'!AF49&gt;=1,'(橫掃)RX Mapping'!AF49&lt;=120), ('(橫掃)RX Mapping'!AF49-1),IF(AND('(橫掃)RX Mapping'!AF49&gt;=121,'(橫掃)RX Mapping'!AF49&lt;=240), (-1)*('(橫掃)RX Mapping'!AF49-240),IF(AND('(橫掃)RX Mapping'!AF49&gt;=241,'(橫掃)RX Mapping'!AF49&lt;=360), ('(橫掃)RX Mapping'!AF49-241),IF(AND('(橫掃)RX Mapping'!AF49&gt;=361,'(橫掃)RX Mapping'!AF49&lt;=480), (-1)*('(橫掃)RX Mapping'!AF49-480),IF(AND('(橫掃)RX Mapping'!AF49&gt;=481,'(橫掃)RX Mapping'!AF49&lt;=600), ('(橫掃)RX Mapping'!AF49-361),IF(AND('(橫掃)RX Mapping'!AF49&gt;=601,'(橫掃)RX Mapping'!AF49&lt;=720), (-1)*('(橫掃)RX Mapping'!AF49-720)+120,IF(AND('(橫掃)RX Mapping'!AF49&gt;=721,'(橫掃)RX Mapping'!AF49&lt;=840), ('(橫掃)RX Mapping'!AF49-601),IF(AND('(橫掃)RX Mapping'!AF49&gt;=841,'(橫掃)RX Mapping'!AF49&lt;=960), (-1)*('(橫掃)RX Mapping'!AF49-960)+120,9999))))))))</f>
        <v>9999</v>
      </c>
      <c r="AG49">
        <f>IF(AND('(橫掃)RX Mapping'!AG49&gt;=1,'(橫掃)RX Mapping'!AG49&lt;=120), ('(橫掃)RX Mapping'!AG49-1),IF(AND('(橫掃)RX Mapping'!AG49&gt;=121,'(橫掃)RX Mapping'!AG49&lt;=240), (-1)*('(橫掃)RX Mapping'!AG49-240),IF(AND('(橫掃)RX Mapping'!AG49&gt;=241,'(橫掃)RX Mapping'!AG49&lt;=360), ('(橫掃)RX Mapping'!AG49-241),IF(AND('(橫掃)RX Mapping'!AG49&gt;=361,'(橫掃)RX Mapping'!AG49&lt;=480), (-1)*('(橫掃)RX Mapping'!AG49-480),IF(AND('(橫掃)RX Mapping'!AG49&gt;=481,'(橫掃)RX Mapping'!AG49&lt;=600), ('(橫掃)RX Mapping'!AG49-361),IF(AND('(橫掃)RX Mapping'!AG49&gt;=601,'(橫掃)RX Mapping'!AG49&lt;=720), (-1)*('(橫掃)RX Mapping'!AG49-720)+120,IF(AND('(橫掃)RX Mapping'!AG49&gt;=721,'(橫掃)RX Mapping'!AG49&lt;=840), ('(橫掃)RX Mapping'!AG49-601),IF(AND('(橫掃)RX Mapping'!AG49&gt;=841,'(橫掃)RX Mapping'!AG49&lt;=960), (-1)*('(橫掃)RX Mapping'!AG49-960)+120,9999))))))))</f>
        <v>9999</v>
      </c>
      <c r="AH49">
        <f>IF(AND('(橫掃)RX Mapping'!AH49&gt;=1,'(橫掃)RX Mapping'!AH49&lt;=120), ('(橫掃)RX Mapping'!AH49-1),IF(AND('(橫掃)RX Mapping'!AH49&gt;=121,'(橫掃)RX Mapping'!AH49&lt;=240), (-1)*('(橫掃)RX Mapping'!AH49-240),IF(AND('(橫掃)RX Mapping'!AH49&gt;=241,'(橫掃)RX Mapping'!AH49&lt;=360), ('(橫掃)RX Mapping'!AH49-241),IF(AND('(橫掃)RX Mapping'!AH49&gt;=361,'(橫掃)RX Mapping'!AH49&lt;=480), (-1)*('(橫掃)RX Mapping'!AH49-480),IF(AND('(橫掃)RX Mapping'!AH49&gt;=481,'(橫掃)RX Mapping'!AH49&lt;=600), ('(橫掃)RX Mapping'!AH49-361),IF(AND('(橫掃)RX Mapping'!AH49&gt;=601,'(橫掃)RX Mapping'!AH49&lt;=720), (-1)*('(橫掃)RX Mapping'!AH49-720)+120,IF(AND('(橫掃)RX Mapping'!AH49&gt;=721,'(橫掃)RX Mapping'!AH49&lt;=840), ('(橫掃)RX Mapping'!AH49-601),IF(AND('(橫掃)RX Mapping'!AH49&gt;=841,'(橫掃)RX Mapping'!AH49&lt;=960), (-1)*('(橫掃)RX Mapping'!AH49-960)+120,9999))))))))</f>
        <v>9999</v>
      </c>
      <c r="AI49">
        <f>IF(AND('(橫掃)RX Mapping'!AI49&gt;=1,'(橫掃)RX Mapping'!AI49&lt;=120), ('(橫掃)RX Mapping'!AI49-1),IF(AND('(橫掃)RX Mapping'!AI49&gt;=121,'(橫掃)RX Mapping'!AI49&lt;=240), (-1)*('(橫掃)RX Mapping'!AI49-240),IF(AND('(橫掃)RX Mapping'!AI49&gt;=241,'(橫掃)RX Mapping'!AI49&lt;=360), ('(橫掃)RX Mapping'!AI49-241),IF(AND('(橫掃)RX Mapping'!AI49&gt;=361,'(橫掃)RX Mapping'!AI49&lt;=480), (-1)*('(橫掃)RX Mapping'!AI49-480),IF(AND('(橫掃)RX Mapping'!AI49&gt;=481,'(橫掃)RX Mapping'!AI49&lt;=600), ('(橫掃)RX Mapping'!AI49-361),IF(AND('(橫掃)RX Mapping'!AI49&gt;=601,'(橫掃)RX Mapping'!AI49&lt;=720), (-1)*('(橫掃)RX Mapping'!AI49-720)+120,IF(AND('(橫掃)RX Mapping'!AI49&gt;=721,'(橫掃)RX Mapping'!AI49&lt;=840), ('(橫掃)RX Mapping'!AI49-601),IF(AND('(橫掃)RX Mapping'!AI49&gt;=841,'(橫掃)RX Mapping'!AI49&lt;=960), (-1)*('(橫掃)RX Mapping'!AI49-960)+120,9999))))))))</f>
        <v>9999</v>
      </c>
      <c r="AJ49">
        <f>IF(AND('(橫掃)RX Mapping'!AJ49&gt;=1,'(橫掃)RX Mapping'!AJ49&lt;=120), ('(橫掃)RX Mapping'!AJ49-1),IF(AND('(橫掃)RX Mapping'!AJ49&gt;=121,'(橫掃)RX Mapping'!AJ49&lt;=240), (-1)*('(橫掃)RX Mapping'!AJ49-240),IF(AND('(橫掃)RX Mapping'!AJ49&gt;=241,'(橫掃)RX Mapping'!AJ49&lt;=360), ('(橫掃)RX Mapping'!AJ49-241),IF(AND('(橫掃)RX Mapping'!AJ49&gt;=361,'(橫掃)RX Mapping'!AJ49&lt;=480), (-1)*('(橫掃)RX Mapping'!AJ49-480),IF(AND('(橫掃)RX Mapping'!AJ49&gt;=481,'(橫掃)RX Mapping'!AJ49&lt;=600), ('(橫掃)RX Mapping'!AJ49-361),IF(AND('(橫掃)RX Mapping'!AJ49&gt;=601,'(橫掃)RX Mapping'!AJ49&lt;=720), (-1)*('(橫掃)RX Mapping'!AJ49-720)+120,IF(AND('(橫掃)RX Mapping'!AJ49&gt;=721,'(橫掃)RX Mapping'!AJ49&lt;=840), ('(橫掃)RX Mapping'!AJ49-601),IF(AND('(橫掃)RX Mapping'!AJ49&gt;=841,'(橫掃)RX Mapping'!AJ49&lt;=960), (-1)*('(橫掃)RX Mapping'!AJ49-960)+120,9999))))))))</f>
        <v>9999</v>
      </c>
      <c r="AK49">
        <f>IF(AND('(橫掃)RX Mapping'!AK49&gt;=1,'(橫掃)RX Mapping'!AK49&lt;=120), ('(橫掃)RX Mapping'!AK49-1),IF(AND('(橫掃)RX Mapping'!AK49&gt;=121,'(橫掃)RX Mapping'!AK49&lt;=240), (-1)*('(橫掃)RX Mapping'!AK49-240),IF(AND('(橫掃)RX Mapping'!AK49&gt;=241,'(橫掃)RX Mapping'!AK49&lt;=360), ('(橫掃)RX Mapping'!AK49-241),IF(AND('(橫掃)RX Mapping'!AK49&gt;=361,'(橫掃)RX Mapping'!AK49&lt;=480), (-1)*('(橫掃)RX Mapping'!AK49-480),IF(AND('(橫掃)RX Mapping'!AK49&gt;=481,'(橫掃)RX Mapping'!AK49&lt;=600), ('(橫掃)RX Mapping'!AK49-361),IF(AND('(橫掃)RX Mapping'!AK49&gt;=601,'(橫掃)RX Mapping'!AK49&lt;=720), (-1)*('(橫掃)RX Mapping'!AK49-720)+120,IF(AND('(橫掃)RX Mapping'!AK49&gt;=721,'(橫掃)RX Mapping'!AK49&lt;=840), ('(橫掃)RX Mapping'!AK49-601),IF(AND('(橫掃)RX Mapping'!AK49&gt;=841,'(橫掃)RX Mapping'!AK49&lt;=960), (-1)*('(橫掃)RX Mapping'!AK49-960)+120,9999))))))))</f>
        <v>9999</v>
      </c>
      <c r="AL49">
        <f>IF(AND('(橫掃)RX Mapping'!AL49&gt;=1,'(橫掃)RX Mapping'!AL49&lt;=120), ('(橫掃)RX Mapping'!AL49-1),IF(AND('(橫掃)RX Mapping'!AL49&gt;=121,'(橫掃)RX Mapping'!AL49&lt;=240), (-1)*('(橫掃)RX Mapping'!AL49-240),IF(AND('(橫掃)RX Mapping'!AL49&gt;=241,'(橫掃)RX Mapping'!AL49&lt;=360), ('(橫掃)RX Mapping'!AL49-241),IF(AND('(橫掃)RX Mapping'!AL49&gt;=361,'(橫掃)RX Mapping'!AL49&lt;=480), (-1)*('(橫掃)RX Mapping'!AL49-480),IF(AND('(橫掃)RX Mapping'!AL49&gt;=481,'(橫掃)RX Mapping'!AL49&lt;=600), ('(橫掃)RX Mapping'!AL49-361),IF(AND('(橫掃)RX Mapping'!AL49&gt;=601,'(橫掃)RX Mapping'!AL49&lt;=720), (-1)*('(橫掃)RX Mapping'!AL49-720)+120,IF(AND('(橫掃)RX Mapping'!AL49&gt;=721,'(橫掃)RX Mapping'!AL49&lt;=840), ('(橫掃)RX Mapping'!AL49-601),IF(AND('(橫掃)RX Mapping'!AL49&gt;=841,'(橫掃)RX Mapping'!AL49&lt;=960), (-1)*('(橫掃)RX Mapping'!AL49-960)+120,9999))))))))</f>
        <v>9999</v>
      </c>
      <c r="AM49">
        <f>IF(AND('(橫掃)RX Mapping'!AM49&gt;=1,'(橫掃)RX Mapping'!AM49&lt;=120), ('(橫掃)RX Mapping'!AM49-1),IF(AND('(橫掃)RX Mapping'!AM49&gt;=121,'(橫掃)RX Mapping'!AM49&lt;=240), (-1)*('(橫掃)RX Mapping'!AM49-240),IF(AND('(橫掃)RX Mapping'!AM49&gt;=241,'(橫掃)RX Mapping'!AM49&lt;=360), ('(橫掃)RX Mapping'!AM49-241),IF(AND('(橫掃)RX Mapping'!AM49&gt;=361,'(橫掃)RX Mapping'!AM49&lt;=480), (-1)*('(橫掃)RX Mapping'!AM49-480),IF(AND('(橫掃)RX Mapping'!AM49&gt;=481,'(橫掃)RX Mapping'!AM49&lt;=600), ('(橫掃)RX Mapping'!AM49-361),IF(AND('(橫掃)RX Mapping'!AM49&gt;=601,'(橫掃)RX Mapping'!AM49&lt;=720), (-1)*('(橫掃)RX Mapping'!AM49-720)+120,IF(AND('(橫掃)RX Mapping'!AM49&gt;=721,'(橫掃)RX Mapping'!AM49&lt;=840), ('(橫掃)RX Mapping'!AM49-601),IF(AND('(橫掃)RX Mapping'!AM49&gt;=841,'(橫掃)RX Mapping'!AM49&lt;=960), (-1)*('(橫掃)RX Mapping'!AM49-960)+120,9999))))))))</f>
        <v>9999</v>
      </c>
      <c r="AN49">
        <f>IF(AND('(橫掃)RX Mapping'!AN49&gt;=1,'(橫掃)RX Mapping'!AN49&lt;=120), ('(橫掃)RX Mapping'!AN49-1),IF(AND('(橫掃)RX Mapping'!AN49&gt;=121,'(橫掃)RX Mapping'!AN49&lt;=240), (-1)*('(橫掃)RX Mapping'!AN49-240),IF(AND('(橫掃)RX Mapping'!AN49&gt;=241,'(橫掃)RX Mapping'!AN49&lt;=360), ('(橫掃)RX Mapping'!AN49-241),IF(AND('(橫掃)RX Mapping'!AN49&gt;=361,'(橫掃)RX Mapping'!AN49&lt;=480), (-1)*('(橫掃)RX Mapping'!AN49-480),IF(AND('(橫掃)RX Mapping'!AN49&gt;=481,'(橫掃)RX Mapping'!AN49&lt;=600), ('(橫掃)RX Mapping'!AN49-361),IF(AND('(橫掃)RX Mapping'!AN49&gt;=601,'(橫掃)RX Mapping'!AN49&lt;=720), (-1)*('(橫掃)RX Mapping'!AN49-720)+120,IF(AND('(橫掃)RX Mapping'!AN49&gt;=721,'(橫掃)RX Mapping'!AN49&lt;=840), ('(橫掃)RX Mapping'!AN49-601),IF(AND('(橫掃)RX Mapping'!AN49&gt;=841,'(橫掃)RX Mapping'!AN49&lt;=960), (-1)*('(橫掃)RX Mapping'!AN49-960)+120,9999))))))))</f>
        <v>9999</v>
      </c>
      <c r="AO49">
        <f>IF(AND('(橫掃)RX Mapping'!AO49&gt;=1,'(橫掃)RX Mapping'!AO49&lt;=120), ('(橫掃)RX Mapping'!AO49-1),IF(AND('(橫掃)RX Mapping'!AO49&gt;=121,'(橫掃)RX Mapping'!AO49&lt;=240), (-1)*('(橫掃)RX Mapping'!AO49-240),IF(AND('(橫掃)RX Mapping'!AO49&gt;=241,'(橫掃)RX Mapping'!AO49&lt;=360), ('(橫掃)RX Mapping'!AO49-241),IF(AND('(橫掃)RX Mapping'!AO49&gt;=361,'(橫掃)RX Mapping'!AO49&lt;=480), (-1)*('(橫掃)RX Mapping'!AO49-480),IF(AND('(橫掃)RX Mapping'!AO49&gt;=481,'(橫掃)RX Mapping'!AO49&lt;=600), ('(橫掃)RX Mapping'!AO49-361),IF(AND('(橫掃)RX Mapping'!AO49&gt;=601,'(橫掃)RX Mapping'!AO49&lt;=720), (-1)*('(橫掃)RX Mapping'!AO49-720)+120,IF(AND('(橫掃)RX Mapping'!AO49&gt;=721,'(橫掃)RX Mapping'!AO49&lt;=840), ('(橫掃)RX Mapping'!AO49-601),IF(AND('(橫掃)RX Mapping'!AO49&gt;=841,'(橫掃)RX Mapping'!AO49&lt;=960), (-1)*('(橫掃)RX Mapping'!AO49-960)+120,9999))))))))</f>
        <v>9999</v>
      </c>
      <c r="AP49">
        <f>IF(AND('(橫掃)RX Mapping'!AP49&gt;=1,'(橫掃)RX Mapping'!AP49&lt;=120), ('(橫掃)RX Mapping'!AP49-1),IF(AND('(橫掃)RX Mapping'!AP49&gt;=121,'(橫掃)RX Mapping'!AP49&lt;=240), (-1)*('(橫掃)RX Mapping'!AP49-240),IF(AND('(橫掃)RX Mapping'!AP49&gt;=241,'(橫掃)RX Mapping'!AP49&lt;=360), ('(橫掃)RX Mapping'!AP49-241),IF(AND('(橫掃)RX Mapping'!AP49&gt;=361,'(橫掃)RX Mapping'!AP49&lt;=480), (-1)*('(橫掃)RX Mapping'!AP49-480),IF(AND('(橫掃)RX Mapping'!AP49&gt;=481,'(橫掃)RX Mapping'!AP49&lt;=600), ('(橫掃)RX Mapping'!AP49-361),IF(AND('(橫掃)RX Mapping'!AP49&gt;=601,'(橫掃)RX Mapping'!AP49&lt;=720), (-1)*('(橫掃)RX Mapping'!AP49-720)+120,IF(AND('(橫掃)RX Mapping'!AP49&gt;=721,'(橫掃)RX Mapping'!AP49&lt;=840), ('(橫掃)RX Mapping'!AP49-601),IF(AND('(橫掃)RX Mapping'!AP49&gt;=841,'(橫掃)RX Mapping'!AP49&lt;=960), (-1)*('(橫掃)RX Mapping'!AP49-960)+120,9999))))))))</f>
        <v>9999</v>
      </c>
      <c r="AQ49">
        <f>IF(AND('(橫掃)RX Mapping'!AQ49&gt;=1,'(橫掃)RX Mapping'!AQ49&lt;=120), ('(橫掃)RX Mapping'!AQ49-1),IF(AND('(橫掃)RX Mapping'!AQ49&gt;=121,'(橫掃)RX Mapping'!AQ49&lt;=240), (-1)*('(橫掃)RX Mapping'!AQ49-240),IF(AND('(橫掃)RX Mapping'!AQ49&gt;=241,'(橫掃)RX Mapping'!AQ49&lt;=360), ('(橫掃)RX Mapping'!AQ49-241),IF(AND('(橫掃)RX Mapping'!AQ49&gt;=361,'(橫掃)RX Mapping'!AQ49&lt;=480), (-1)*('(橫掃)RX Mapping'!AQ49-480),IF(AND('(橫掃)RX Mapping'!AQ49&gt;=481,'(橫掃)RX Mapping'!AQ49&lt;=600), ('(橫掃)RX Mapping'!AQ49-361),IF(AND('(橫掃)RX Mapping'!AQ49&gt;=601,'(橫掃)RX Mapping'!AQ49&lt;=720), (-1)*('(橫掃)RX Mapping'!AQ49-720)+120,IF(AND('(橫掃)RX Mapping'!AQ49&gt;=721,'(橫掃)RX Mapping'!AQ49&lt;=840), ('(橫掃)RX Mapping'!AQ49-601),IF(AND('(橫掃)RX Mapping'!AQ49&gt;=841,'(橫掃)RX Mapping'!AQ49&lt;=960), (-1)*('(橫掃)RX Mapping'!AQ49-960)+120,9999))))))))</f>
        <v>9999</v>
      </c>
      <c r="AR49">
        <f>IF(AND('(橫掃)RX Mapping'!AR49&gt;=1,'(橫掃)RX Mapping'!AR49&lt;=120), ('(橫掃)RX Mapping'!AR49-1),IF(AND('(橫掃)RX Mapping'!AR49&gt;=121,'(橫掃)RX Mapping'!AR49&lt;=240), (-1)*('(橫掃)RX Mapping'!AR49-240),IF(AND('(橫掃)RX Mapping'!AR49&gt;=241,'(橫掃)RX Mapping'!AR49&lt;=360), ('(橫掃)RX Mapping'!AR49-241),IF(AND('(橫掃)RX Mapping'!AR49&gt;=361,'(橫掃)RX Mapping'!AR49&lt;=480), (-1)*('(橫掃)RX Mapping'!AR49-480),IF(AND('(橫掃)RX Mapping'!AR49&gt;=481,'(橫掃)RX Mapping'!AR49&lt;=600), ('(橫掃)RX Mapping'!AR49-361),IF(AND('(橫掃)RX Mapping'!AR49&gt;=601,'(橫掃)RX Mapping'!AR49&lt;=720), (-1)*('(橫掃)RX Mapping'!AR49-720)+120,IF(AND('(橫掃)RX Mapping'!AR49&gt;=721,'(橫掃)RX Mapping'!AR49&lt;=840), ('(橫掃)RX Mapping'!AR49-601),IF(AND('(橫掃)RX Mapping'!AR49&gt;=841,'(橫掃)RX Mapping'!AR49&lt;=960), (-1)*('(橫掃)RX Mapping'!AR49-960)+120,9999))))))))</f>
        <v>9999</v>
      </c>
      <c r="AS49">
        <f>IF(AND('(橫掃)RX Mapping'!AS49&gt;=1,'(橫掃)RX Mapping'!AS49&lt;=120), ('(橫掃)RX Mapping'!AS49-1),IF(AND('(橫掃)RX Mapping'!AS49&gt;=121,'(橫掃)RX Mapping'!AS49&lt;=240), (-1)*('(橫掃)RX Mapping'!AS49-240),IF(AND('(橫掃)RX Mapping'!AS49&gt;=241,'(橫掃)RX Mapping'!AS49&lt;=360), ('(橫掃)RX Mapping'!AS49-241),IF(AND('(橫掃)RX Mapping'!AS49&gt;=361,'(橫掃)RX Mapping'!AS49&lt;=480), (-1)*('(橫掃)RX Mapping'!AS49-480),IF(AND('(橫掃)RX Mapping'!AS49&gt;=481,'(橫掃)RX Mapping'!AS49&lt;=600), ('(橫掃)RX Mapping'!AS49-361),IF(AND('(橫掃)RX Mapping'!AS49&gt;=601,'(橫掃)RX Mapping'!AS49&lt;=720), (-1)*('(橫掃)RX Mapping'!AS49-720)+120,IF(AND('(橫掃)RX Mapping'!AS49&gt;=721,'(橫掃)RX Mapping'!AS49&lt;=840), ('(橫掃)RX Mapping'!AS49-601),IF(AND('(橫掃)RX Mapping'!AS49&gt;=841,'(橫掃)RX Mapping'!AS49&lt;=960), (-1)*('(橫掃)RX Mapping'!AS49-960)+120,9999))))))))</f>
        <v>9999</v>
      </c>
      <c r="AT49">
        <f>IF(AND('(橫掃)RX Mapping'!AT49&gt;=1,'(橫掃)RX Mapping'!AT49&lt;=120), ('(橫掃)RX Mapping'!AT49-1),IF(AND('(橫掃)RX Mapping'!AT49&gt;=121,'(橫掃)RX Mapping'!AT49&lt;=240), (-1)*('(橫掃)RX Mapping'!AT49-240),IF(AND('(橫掃)RX Mapping'!AT49&gt;=241,'(橫掃)RX Mapping'!AT49&lt;=360), ('(橫掃)RX Mapping'!AT49-241),IF(AND('(橫掃)RX Mapping'!AT49&gt;=361,'(橫掃)RX Mapping'!AT49&lt;=480), (-1)*('(橫掃)RX Mapping'!AT49-480),IF(AND('(橫掃)RX Mapping'!AT49&gt;=481,'(橫掃)RX Mapping'!AT49&lt;=600), ('(橫掃)RX Mapping'!AT49-361),IF(AND('(橫掃)RX Mapping'!AT49&gt;=601,'(橫掃)RX Mapping'!AT49&lt;=720), (-1)*('(橫掃)RX Mapping'!AT49-720)+120,IF(AND('(橫掃)RX Mapping'!AT49&gt;=721,'(橫掃)RX Mapping'!AT49&lt;=840), ('(橫掃)RX Mapping'!AT49-601),IF(AND('(橫掃)RX Mapping'!AT49&gt;=841,'(橫掃)RX Mapping'!AT49&lt;=960), (-1)*('(橫掃)RX Mapping'!AT49-960)+120,9999))))))))</f>
        <v>9999</v>
      </c>
      <c r="AU49">
        <f>IF(AND('(橫掃)RX Mapping'!AU49&gt;=1,'(橫掃)RX Mapping'!AU49&lt;=120), ('(橫掃)RX Mapping'!AU49-1),IF(AND('(橫掃)RX Mapping'!AU49&gt;=121,'(橫掃)RX Mapping'!AU49&lt;=240), (-1)*('(橫掃)RX Mapping'!AU49-240),IF(AND('(橫掃)RX Mapping'!AU49&gt;=241,'(橫掃)RX Mapping'!AU49&lt;=360), ('(橫掃)RX Mapping'!AU49-241),IF(AND('(橫掃)RX Mapping'!AU49&gt;=361,'(橫掃)RX Mapping'!AU49&lt;=480), (-1)*('(橫掃)RX Mapping'!AU49-480),IF(AND('(橫掃)RX Mapping'!AU49&gt;=481,'(橫掃)RX Mapping'!AU49&lt;=600), ('(橫掃)RX Mapping'!AU49-361),IF(AND('(橫掃)RX Mapping'!AU49&gt;=601,'(橫掃)RX Mapping'!AU49&lt;=720), (-1)*('(橫掃)RX Mapping'!AU49-720)+120,IF(AND('(橫掃)RX Mapping'!AU49&gt;=721,'(橫掃)RX Mapping'!AU49&lt;=840), ('(橫掃)RX Mapping'!AU49-601),IF(AND('(橫掃)RX Mapping'!AU49&gt;=841,'(橫掃)RX Mapping'!AU49&lt;=960), (-1)*('(橫掃)RX Mapping'!AU49-960)+120,9999))))))))</f>
        <v>9999</v>
      </c>
      <c r="AV49">
        <f>IF(AND('(橫掃)RX Mapping'!AV49&gt;=1,'(橫掃)RX Mapping'!AV49&lt;=120), ('(橫掃)RX Mapping'!AV49-1),IF(AND('(橫掃)RX Mapping'!AV49&gt;=121,'(橫掃)RX Mapping'!AV49&lt;=240), (-1)*('(橫掃)RX Mapping'!AV49-240),IF(AND('(橫掃)RX Mapping'!AV49&gt;=241,'(橫掃)RX Mapping'!AV49&lt;=360), ('(橫掃)RX Mapping'!AV49-241),IF(AND('(橫掃)RX Mapping'!AV49&gt;=361,'(橫掃)RX Mapping'!AV49&lt;=480), (-1)*('(橫掃)RX Mapping'!AV49-480),IF(AND('(橫掃)RX Mapping'!AV49&gt;=481,'(橫掃)RX Mapping'!AV49&lt;=600), ('(橫掃)RX Mapping'!AV49-361),IF(AND('(橫掃)RX Mapping'!AV49&gt;=601,'(橫掃)RX Mapping'!AV49&lt;=720), (-1)*('(橫掃)RX Mapping'!AV49-720)+120,IF(AND('(橫掃)RX Mapping'!AV49&gt;=721,'(橫掃)RX Mapping'!AV49&lt;=840), ('(橫掃)RX Mapping'!AV49-601),IF(AND('(橫掃)RX Mapping'!AV49&gt;=841,'(橫掃)RX Mapping'!AV49&lt;=960), (-1)*('(橫掃)RX Mapping'!AV49-960)+120,9999))))))))</f>
        <v>9999</v>
      </c>
      <c r="AW49">
        <f>IF(AND('(橫掃)RX Mapping'!AW49&gt;=1,'(橫掃)RX Mapping'!AW49&lt;=120), ('(橫掃)RX Mapping'!AW49-1),IF(AND('(橫掃)RX Mapping'!AW49&gt;=121,'(橫掃)RX Mapping'!AW49&lt;=240), (-1)*('(橫掃)RX Mapping'!AW49-240),IF(AND('(橫掃)RX Mapping'!AW49&gt;=241,'(橫掃)RX Mapping'!AW49&lt;=360), ('(橫掃)RX Mapping'!AW49-241),IF(AND('(橫掃)RX Mapping'!AW49&gt;=361,'(橫掃)RX Mapping'!AW49&lt;=480), (-1)*('(橫掃)RX Mapping'!AW49-480),IF(AND('(橫掃)RX Mapping'!AW49&gt;=481,'(橫掃)RX Mapping'!AW49&lt;=600), ('(橫掃)RX Mapping'!AW49-361),IF(AND('(橫掃)RX Mapping'!AW49&gt;=601,'(橫掃)RX Mapping'!AW49&lt;=720), (-1)*('(橫掃)RX Mapping'!AW49-720)+120,IF(AND('(橫掃)RX Mapping'!AW49&gt;=721,'(橫掃)RX Mapping'!AW49&lt;=840), ('(橫掃)RX Mapping'!AW49-601),IF(AND('(橫掃)RX Mapping'!AW49&gt;=841,'(橫掃)RX Mapping'!AW49&lt;=960), (-1)*('(橫掃)RX Mapping'!AW49-960)+120,9999))))))))</f>
        <v>9999</v>
      </c>
      <c r="AX49">
        <f>IF(AND('(橫掃)RX Mapping'!AX49&gt;=1,'(橫掃)RX Mapping'!AX49&lt;=120), ('(橫掃)RX Mapping'!AX49-1),IF(AND('(橫掃)RX Mapping'!AX49&gt;=121,'(橫掃)RX Mapping'!AX49&lt;=240), (-1)*('(橫掃)RX Mapping'!AX49-240),IF(AND('(橫掃)RX Mapping'!AX49&gt;=241,'(橫掃)RX Mapping'!AX49&lt;=360), ('(橫掃)RX Mapping'!AX49-241),IF(AND('(橫掃)RX Mapping'!AX49&gt;=361,'(橫掃)RX Mapping'!AX49&lt;=480), (-1)*('(橫掃)RX Mapping'!AX49-480),IF(AND('(橫掃)RX Mapping'!AX49&gt;=481,'(橫掃)RX Mapping'!AX49&lt;=600), ('(橫掃)RX Mapping'!AX49-361),IF(AND('(橫掃)RX Mapping'!AX49&gt;=601,'(橫掃)RX Mapping'!AX49&lt;=720), (-1)*('(橫掃)RX Mapping'!AX49-720)+120,IF(AND('(橫掃)RX Mapping'!AX49&gt;=721,'(橫掃)RX Mapping'!AX49&lt;=840), ('(橫掃)RX Mapping'!AX49-601),IF(AND('(橫掃)RX Mapping'!AX49&gt;=841,'(橫掃)RX Mapping'!AX49&lt;=960), (-1)*('(橫掃)RX Mapping'!AX49-960)+120,9999))))))))</f>
        <v>9999</v>
      </c>
      <c r="AY49">
        <f>IF(AND('(橫掃)RX Mapping'!AY49&gt;=1,'(橫掃)RX Mapping'!AY49&lt;=120), ('(橫掃)RX Mapping'!AY49-1),IF(AND('(橫掃)RX Mapping'!AY49&gt;=121,'(橫掃)RX Mapping'!AY49&lt;=240), (-1)*('(橫掃)RX Mapping'!AY49-240),IF(AND('(橫掃)RX Mapping'!AY49&gt;=241,'(橫掃)RX Mapping'!AY49&lt;=360), ('(橫掃)RX Mapping'!AY49-241),IF(AND('(橫掃)RX Mapping'!AY49&gt;=361,'(橫掃)RX Mapping'!AY49&lt;=480), (-1)*('(橫掃)RX Mapping'!AY49-480),IF(AND('(橫掃)RX Mapping'!AY49&gt;=481,'(橫掃)RX Mapping'!AY49&lt;=600), ('(橫掃)RX Mapping'!AY49-361),IF(AND('(橫掃)RX Mapping'!AY49&gt;=601,'(橫掃)RX Mapping'!AY49&lt;=720), (-1)*('(橫掃)RX Mapping'!AY49-720)+120,IF(AND('(橫掃)RX Mapping'!AY49&gt;=721,'(橫掃)RX Mapping'!AY49&lt;=840), ('(橫掃)RX Mapping'!AY49-601),IF(AND('(橫掃)RX Mapping'!AY49&gt;=841,'(橫掃)RX Mapping'!AY49&lt;=960), (-1)*('(橫掃)RX Mapping'!AY49-960)+120,9999))))))))</f>
        <v>9999</v>
      </c>
      <c r="AZ49">
        <f>IF(AND('(橫掃)RX Mapping'!AZ49&gt;=1,'(橫掃)RX Mapping'!AZ49&lt;=120), ('(橫掃)RX Mapping'!AZ49-1),IF(AND('(橫掃)RX Mapping'!AZ49&gt;=121,'(橫掃)RX Mapping'!AZ49&lt;=240), (-1)*('(橫掃)RX Mapping'!AZ49-240),IF(AND('(橫掃)RX Mapping'!AZ49&gt;=241,'(橫掃)RX Mapping'!AZ49&lt;=360), ('(橫掃)RX Mapping'!AZ49-241),IF(AND('(橫掃)RX Mapping'!AZ49&gt;=361,'(橫掃)RX Mapping'!AZ49&lt;=480), (-1)*('(橫掃)RX Mapping'!AZ49-480),IF(AND('(橫掃)RX Mapping'!AZ49&gt;=481,'(橫掃)RX Mapping'!AZ49&lt;=600), ('(橫掃)RX Mapping'!AZ49-361),IF(AND('(橫掃)RX Mapping'!AZ49&gt;=601,'(橫掃)RX Mapping'!AZ49&lt;=720), (-1)*('(橫掃)RX Mapping'!AZ49-720)+120,IF(AND('(橫掃)RX Mapping'!AZ49&gt;=721,'(橫掃)RX Mapping'!AZ49&lt;=840), ('(橫掃)RX Mapping'!AZ49-601),IF(AND('(橫掃)RX Mapping'!AZ49&gt;=841,'(橫掃)RX Mapping'!AZ49&lt;=960), (-1)*('(橫掃)RX Mapping'!AZ49-960)+120,9999))))))))</f>
        <v>9999</v>
      </c>
      <c r="BA49">
        <f>IF(AND('(橫掃)RX Mapping'!BA49&gt;=1,'(橫掃)RX Mapping'!BA49&lt;=120), ('(橫掃)RX Mapping'!BA49-1),IF(AND('(橫掃)RX Mapping'!BA49&gt;=121,'(橫掃)RX Mapping'!BA49&lt;=240), (-1)*('(橫掃)RX Mapping'!BA49-240),IF(AND('(橫掃)RX Mapping'!BA49&gt;=241,'(橫掃)RX Mapping'!BA49&lt;=360), ('(橫掃)RX Mapping'!BA49-241),IF(AND('(橫掃)RX Mapping'!BA49&gt;=361,'(橫掃)RX Mapping'!BA49&lt;=480), (-1)*('(橫掃)RX Mapping'!BA49-480),IF(AND('(橫掃)RX Mapping'!BA49&gt;=481,'(橫掃)RX Mapping'!BA49&lt;=600), ('(橫掃)RX Mapping'!BA49-361),IF(AND('(橫掃)RX Mapping'!BA49&gt;=601,'(橫掃)RX Mapping'!BA49&lt;=720), (-1)*('(橫掃)RX Mapping'!BA49-720)+120,IF(AND('(橫掃)RX Mapping'!BA49&gt;=721,'(橫掃)RX Mapping'!BA49&lt;=840), ('(橫掃)RX Mapping'!BA49-601),IF(AND('(橫掃)RX Mapping'!BA49&gt;=841,'(橫掃)RX Mapping'!BA49&lt;=960), (-1)*('(橫掃)RX Mapping'!BA49-960)+120,9999))))))))</f>
        <v>9999</v>
      </c>
      <c r="BB49">
        <f>IF(AND('(橫掃)RX Mapping'!BB49&gt;=1,'(橫掃)RX Mapping'!BB49&lt;=120), ('(橫掃)RX Mapping'!BB49-1),IF(AND('(橫掃)RX Mapping'!BB49&gt;=121,'(橫掃)RX Mapping'!BB49&lt;=240), (-1)*('(橫掃)RX Mapping'!BB49-240),IF(AND('(橫掃)RX Mapping'!BB49&gt;=241,'(橫掃)RX Mapping'!BB49&lt;=360), ('(橫掃)RX Mapping'!BB49-241),IF(AND('(橫掃)RX Mapping'!BB49&gt;=361,'(橫掃)RX Mapping'!BB49&lt;=480), (-1)*('(橫掃)RX Mapping'!BB49-480),IF(AND('(橫掃)RX Mapping'!BB49&gt;=481,'(橫掃)RX Mapping'!BB49&lt;=600), ('(橫掃)RX Mapping'!BB49-361),IF(AND('(橫掃)RX Mapping'!BB49&gt;=601,'(橫掃)RX Mapping'!BB49&lt;=720), (-1)*('(橫掃)RX Mapping'!BB49-720)+120,IF(AND('(橫掃)RX Mapping'!BB49&gt;=721,'(橫掃)RX Mapping'!BB49&lt;=840), ('(橫掃)RX Mapping'!BB49-601),IF(AND('(橫掃)RX Mapping'!BB49&gt;=841,'(橫掃)RX Mapping'!BB49&lt;=960), (-1)*('(橫掃)RX Mapping'!BB49-960)+120,9999))))))))</f>
        <v>9999</v>
      </c>
      <c r="BC49">
        <f>IF(AND('(橫掃)RX Mapping'!BC49&gt;=1,'(橫掃)RX Mapping'!BC49&lt;=120), ('(橫掃)RX Mapping'!BC49-1),IF(AND('(橫掃)RX Mapping'!BC49&gt;=121,'(橫掃)RX Mapping'!BC49&lt;=240), (-1)*('(橫掃)RX Mapping'!BC49-240),IF(AND('(橫掃)RX Mapping'!BC49&gt;=241,'(橫掃)RX Mapping'!BC49&lt;=360), ('(橫掃)RX Mapping'!BC49-241),IF(AND('(橫掃)RX Mapping'!BC49&gt;=361,'(橫掃)RX Mapping'!BC49&lt;=480), (-1)*('(橫掃)RX Mapping'!BC49-480),IF(AND('(橫掃)RX Mapping'!BC49&gt;=481,'(橫掃)RX Mapping'!BC49&lt;=600), ('(橫掃)RX Mapping'!BC49-361),IF(AND('(橫掃)RX Mapping'!BC49&gt;=601,'(橫掃)RX Mapping'!BC49&lt;=720), (-1)*('(橫掃)RX Mapping'!BC49-720)+120,IF(AND('(橫掃)RX Mapping'!BC49&gt;=721,'(橫掃)RX Mapping'!BC49&lt;=840), ('(橫掃)RX Mapping'!BC49-601),IF(AND('(橫掃)RX Mapping'!BC49&gt;=841,'(橫掃)RX Mapping'!BC49&lt;=960), (-1)*('(橫掃)RX Mapping'!BC49-960)+120,9999))))))))</f>
        <v>9999</v>
      </c>
      <c r="BD49">
        <f>IF(AND('(橫掃)RX Mapping'!BD49&gt;=1,'(橫掃)RX Mapping'!BD49&lt;=120), ('(橫掃)RX Mapping'!BD49-1),IF(AND('(橫掃)RX Mapping'!BD49&gt;=121,'(橫掃)RX Mapping'!BD49&lt;=240), (-1)*('(橫掃)RX Mapping'!BD49-240),IF(AND('(橫掃)RX Mapping'!BD49&gt;=241,'(橫掃)RX Mapping'!BD49&lt;=360), ('(橫掃)RX Mapping'!BD49-241),IF(AND('(橫掃)RX Mapping'!BD49&gt;=361,'(橫掃)RX Mapping'!BD49&lt;=480), (-1)*('(橫掃)RX Mapping'!BD49-480),IF(AND('(橫掃)RX Mapping'!BD49&gt;=481,'(橫掃)RX Mapping'!BD49&lt;=600), ('(橫掃)RX Mapping'!BD49-361),IF(AND('(橫掃)RX Mapping'!BD49&gt;=601,'(橫掃)RX Mapping'!BD49&lt;=720), (-1)*('(橫掃)RX Mapping'!BD49-720)+120,IF(AND('(橫掃)RX Mapping'!BD49&gt;=721,'(橫掃)RX Mapping'!BD49&lt;=840), ('(橫掃)RX Mapping'!BD49-601),IF(AND('(橫掃)RX Mapping'!BD49&gt;=841,'(橫掃)RX Mapping'!BD49&lt;=960), (-1)*('(橫掃)RX Mapping'!BD49-960)+120,9999))))))))</f>
        <v>9999</v>
      </c>
      <c r="BE49">
        <f>IF(AND('(橫掃)RX Mapping'!BE49&gt;=1,'(橫掃)RX Mapping'!BE49&lt;=120), ('(橫掃)RX Mapping'!BE49-1),IF(AND('(橫掃)RX Mapping'!BE49&gt;=121,'(橫掃)RX Mapping'!BE49&lt;=240), (-1)*('(橫掃)RX Mapping'!BE49-240),IF(AND('(橫掃)RX Mapping'!BE49&gt;=241,'(橫掃)RX Mapping'!BE49&lt;=360), ('(橫掃)RX Mapping'!BE49-241),IF(AND('(橫掃)RX Mapping'!BE49&gt;=361,'(橫掃)RX Mapping'!BE49&lt;=480), (-1)*('(橫掃)RX Mapping'!BE49-480),IF(AND('(橫掃)RX Mapping'!BE49&gt;=481,'(橫掃)RX Mapping'!BE49&lt;=600), ('(橫掃)RX Mapping'!BE49-361),IF(AND('(橫掃)RX Mapping'!BE49&gt;=601,'(橫掃)RX Mapping'!BE49&lt;=720), (-1)*('(橫掃)RX Mapping'!BE49-720)+120,IF(AND('(橫掃)RX Mapping'!BE49&gt;=721,'(橫掃)RX Mapping'!BE49&lt;=840), ('(橫掃)RX Mapping'!BE49-601),IF(AND('(橫掃)RX Mapping'!BE49&gt;=841,'(橫掃)RX Mapping'!BE49&lt;=960), (-1)*('(橫掃)RX Mapping'!BE49-960)+120,9999))))))))</f>
        <v>9999</v>
      </c>
      <c r="BF49">
        <f>IF(AND('(橫掃)RX Mapping'!BF49&gt;=1,'(橫掃)RX Mapping'!BF49&lt;=120), ('(橫掃)RX Mapping'!BF49-1),IF(AND('(橫掃)RX Mapping'!BF49&gt;=121,'(橫掃)RX Mapping'!BF49&lt;=240), (-1)*('(橫掃)RX Mapping'!BF49-240),IF(AND('(橫掃)RX Mapping'!BF49&gt;=241,'(橫掃)RX Mapping'!BF49&lt;=360), ('(橫掃)RX Mapping'!BF49-241),IF(AND('(橫掃)RX Mapping'!BF49&gt;=361,'(橫掃)RX Mapping'!BF49&lt;=480), (-1)*('(橫掃)RX Mapping'!BF49-480),IF(AND('(橫掃)RX Mapping'!BF49&gt;=481,'(橫掃)RX Mapping'!BF49&lt;=600), ('(橫掃)RX Mapping'!BF49-361),IF(AND('(橫掃)RX Mapping'!BF49&gt;=601,'(橫掃)RX Mapping'!BF49&lt;=720), (-1)*('(橫掃)RX Mapping'!BF49-720)+120,IF(AND('(橫掃)RX Mapping'!BF49&gt;=721,'(橫掃)RX Mapping'!BF49&lt;=840), ('(橫掃)RX Mapping'!BF49-601),IF(AND('(橫掃)RX Mapping'!BF49&gt;=841,'(橫掃)RX Mapping'!BF49&lt;=960), (-1)*('(橫掃)RX Mapping'!BF49-960)+120,9999))))))))</f>
        <v>9999</v>
      </c>
      <c r="BG49">
        <f>IF(AND('(橫掃)RX Mapping'!BG49&gt;=1,'(橫掃)RX Mapping'!BG49&lt;=120), ('(橫掃)RX Mapping'!BG49-1),IF(AND('(橫掃)RX Mapping'!BG49&gt;=121,'(橫掃)RX Mapping'!BG49&lt;=240), (-1)*('(橫掃)RX Mapping'!BG49-240),IF(AND('(橫掃)RX Mapping'!BG49&gt;=241,'(橫掃)RX Mapping'!BG49&lt;=360), ('(橫掃)RX Mapping'!BG49-241),IF(AND('(橫掃)RX Mapping'!BG49&gt;=361,'(橫掃)RX Mapping'!BG49&lt;=480), (-1)*('(橫掃)RX Mapping'!BG49-480),IF(AND('(橫掃)RX Mapping'!BG49&gt;=481,'(橫掃)RX Mapping'!BG49&lt;=600), ('(橫掃)RX Mapping'!BG49-361),IF(AND('(橫掃)RX Mapping'!BG49&gt;=601,'(橫掃)RX Mapping'!BG49&lt;=720), (-1)*('(橫掃)RX Mapping'!BG49-720)+120,IF(AND('(橫掃)RX Mapping'!BG49&gt;=721,'(橫掃)RX Mapping'!BG49&lt;=840), ('(橫掃)RX Mapping'!BG49-601),IF(AND('(橫掃)RX Mapping'!BG49&gt;=841,'(橫掃)RX Mapping'!BG49&lt;=960), (-1)*('(橫掃)RX Mapping'!BG49-960)+120,9999))))))))</f>
        <v>9999</v>
      </c>
      <c r="BH49">
        <f>IF(AND('(橫掃)RX Mapping'!BH49&gt;=1,'(橫掃)RX Mapping'!BH49&lt;=120), ('(橫掃)RX Mapping'!BH49-1),IF(AND('(橫掃)RX Mapping'!BH49&gt;=121,'(橫掃)RX Mapping'!BH49&lt;=240), (-1)*('(橫掃)RX Mapping'!BH49-240),IF(AND('(橫掃)RX Mapping'!BH49&gt;=241,'(橫掃)RX Mapping'!BH49&lt;=360), ('(橫掃)RX Mapping'!BH49-241),IF(AND('(橫掃)RX Mapping'!BH49&gt;=361,'(橫掃)RX Mapping'!BH49&lt;=480), (-1)*('(橫掃)RX Mapping'!BH49-480),IF(AND('(橫掃)RX Mapping'!BH49&gt;=481,'(橫掃)RX Mapping'!BH49&lt;=600), ('(橫掃)RX Mapping'!BH49-361),IF(AND('(橫掃)RX Mapping'!BH49&gt;=601,'(橫掃)RX Mapping'!BH49&lt;=720), (-1)*('(橫掃)RX Mapping'!BH49-720)+120,IF(AND('(橫掃)RX Mapping'!BH49&gt;=721,'(橫掃)RX Mapping'!BH49&lt;=840), ('(橫掃)RX Mapping'!BH49-601),IF(AND('(橫掃)RX Mapping'!BH49&gt;=841,'(橫掃)RX Mapping'!BH49&lt;=960), (-1)*('(橫掃)RX Mapping'!BH49-960)+120,9999))))))))</f>
        <v>9999</v>
      </c>
      <c r="BI49">
        <f>IF(AND('(橫掃)RX Mapping'!BI49&gt;=1,'(橫掃)RX Mapping'!BI49&lt;=120), ('(橫掃)RX Mapping'!BI49-1),IF(AND('(橫掃)RX Mapping'!BI49&gt;=121,'(橫掃)RX Mapping'!BI49&lt;=240), (-1)*('(橫掃)RX Mapping'!BI49-240),IF(AND('(橫掃)RX Mapping'!BI49&gt;=241,'(橫掃)RX Mapping'!BI49&lt;=360), ('(橫掃)RX Mapping'!BI49-241),IF(AND('(橫掃)RX Mapping'!BI49&gt;=361,'(橫掃)RX Mapping'!BI49&lt;=480), (-1)*('(橫掃)RX Mapping'!BI49-480),IF(AND('(橫掃)RX Mapping'!BI49&gt;=481,'(橫掃)RX Mapping'!BI49&lt;=600), ('(橫掃)RX Mapping'!BI49-361),IF(AND('(橫掃)RX Mapping'!BI49&gt;=601,'(橫掃)RX Mapping'!BI49&lt;=720), (-1)*('(橫掃)RX Mapping'!BI49-720)+120,IF(AND('(橫掃)RX Mapping'!BI49&gt;=721,'(橫掃)RX Mapping'!BI49&lt;=840), ('(橫掃)RX Mapping'!BI49-601),IF(AND('(橫掃)RX Mapping'!BI49&gt;=841,'(橫掃)RX Mapping'!BI49&lt;=960), (-1)*('(橫掃)RX Mapping'!BI49-960)+120,9999))))))))</f>
        <v>9999</v>
      </c>
    </row>
    <row r="50" spans="1:61" x14ac:dyDescent="0.25">
      <c r="A50" s="20">
        <v>49</v>
      </c>
      <c r="B50">
        <f>IF(AND('(橫掃)RX Mapping'!B50&gt;=1,'(橫掃)RX Mapping'!B50&lt;=120), ('(橫掃)RX Mapping'!B50-1),IF(AND('(橫掃)RX Mapping'!B50&gt;=121,'(橫掃)RX Mapping'!B50&lt;=240), (-1)*('(橫掃)RX Mapping'!B50-240),IF(AND('(橫掃)RX Mapping'!B50&gt;=241,'(橫掃)RX Mapping'!B50&lt;=360), ('(橫掃)RX Mapping'!B50-241),IF(AND('(橫掃)RX Mapping'!B50&gt;=361,'(橫掃)RX Mapping'!B50&lt;=480), (-1)*('(橫掃)RX Mapping'!B50-480),IF(AND('(橫掃)RX Mapping'!B50&gt;=481,'(橫掃)RX Mapping'!B50&lt;=600), ('(橫掃)RX Mapping'!B50-361),IF(AND('(橫掃)RX Mapping'!B50&gt;=601,'(橫掃)RX Mapping'!B50&lt;=720), (-1)*('(橫掃)RX Mapping'!B50-720)+120,IF(AND('(橫掃)RX Mapping'!B50&gt;=721,'(橫掃)RX Mapping'!B50&lt;=840), ('(橫掃)RX Mapping'!B50-601),IF(AND('(橫掃)RX Mapping'!B50&gt;=841,'(橫掃)RX Mapping'!B50&lt;=960), (-1)*('(橫掃)RX Mapping'!B50-960)+120,9999))))))))</f>
        <v>9999</v>
      </c>
      <c r="C50">
        <f>IF(AND('(橫掃)RX Mapping'!C50&gt;=1,'(橫掃)RX Mapping'!C50&lt;=120), ('(橫掃)RX Mapping'!C50-1),IF(AND('(橫掃)RX Mapping'!C50&gt;=121,'(橫掃)RX Mapping'!C50&lt;=240), (-1)*('(橫掃)RX Mapping'!C50-240),IF(AND('(橫掃)RX Mapping'!C50&gt;=241,'(橫掃)RX Mapping'!C50&lt;=360), ('(橫掃)RX Mapping'!C50-241),IF(AND('(橫掃)RX Mapping'!C50&gt;=361,'(橫掃)RX Mapping'!C50&lt;=480), (-1)*('(橫掃)RX Mapping'!C50-480),IF(AND('(橫掃)RX Mapping'!C50&gt;=481,'(橫掃)RX Mapping'!C50&lt;=600), ('(橫掃)RX Mapping'!C50-361),IF(AND('(橫掃)RX Mapping'!C50&gt;=601,'(橫掃)RX Mapping'!C50&lt;=720), (-1)*('(橫掃)RX Mapping'!C50-720)+120,IF(AND('(橫掃)RX Mapping'!C50&gt;=721,'(橫掃)RX Mapping'!C50&lt;=840), ('(橫掃)RX Mapping'!C50-601),IF(AND('(橫掃)RX Mapping'!C50&gt;=841,'(橫掃)RX Mapping'!C50&lt;=960), (-1)*('(橫掃)RX Mapping'!C50-960)+120,9999))))))))</f>
        <v>9999</v>
      </c>
      <c r="D50">
        <f>IF(AND('(橫掃)RX Mapping'!D50&gt;=1,'(橫掃)RX Mapping'!D50&lt;=120), ('(橫掃)RX Mapping'!D50-1),IF(AND('(橫掃)RX Mapping'!D50&gt;=121,'(橫掃)RX Mapping'!D50&lt;=240), (-1)*('(橫掃)RX Mapping'!D50-240),IF(AND('(橫掃)RX Mapping'!D50&gt;=241,'(橫掃)RX Mapping'!D50&lt;=360), ('(橫掃)RX Mapping'!D50-241),IF(AND('(橫掃)RX Mapping'!D50&gt;=361,'(橫掃)RX Mapping'!D50&lt;=480), (-1)*('(橫掃)RX Mapping'!D50-480),IF(AND('(橫掃)RX Mapping'!D50&gt;=481,'(橫掃)RX Mapping'!D50&lt;=600), ('(橫掃)RX Mapping'!D50-361),IF(AND('(橫掃)RX Mapping'!D50&gt;=601,'(橫掃)RX Mapping'!D50&lt;=720), (-1)*('(橫掃)RX Mapping'!D50-720)+120,IF(AND('(橫掃)RX Mapping'!D50&gt;=721,'(橫掃)RX Mapping'!D50&lt;=840), ('(橫掃)RX Mapping'!D50-601),IF(AND('(橫掃)RX Mapping'!D50&gt;=841,'(橫掃)RX Mapping'!D50&lt;=960), (-1)*('(橫掃)RX Mapping'!D50-960)+120,9999))))))))</f>
        <v>9999</v>
      </c>
      <c r="E50">
        <f>IF(AND('(橫掃)RX Mapping'!E50&gt;=1,'(橫掃)RX Mapping'!E50&lt;=120), ('(橫掃)RX Mapping'!E50-1),IF(AND('(橫掃)RX Mapping'!E50&gt;=121,'(橫掃)RX Mapping'!E50&lt;=240), (-1)*('(橫掃)RX Mapping'!E50-240),IF(AND('(橫掃)RX Mapping'!E50&gt;=241,'(橫掃)RX Mapping'!E50&lt;=360), ('(橫掃)RX Mapping'!E50-241),IF(AND('(橫掃)RX Mapping'!E50&gt;=361,'(橫掃)RX Mapping'!E50&lt;=480), (-1)*('(橫掃)RX Mapping'!E50-480),IF(AND('(橫掃)RX Mapping'!E50&gt;=481,'(橫掃)RX Mapping'!E50&lt;=600), ('(橫掃)RX Mapping'!E50-361),IF(AND('(橫掃)RX Mapping'!E50&gt;=601,'(橫掃)RX Mapping'!E50&lt;=720), (-1)*('(橫掃)RX Mapping'!E50-720)+120,IF(AND('(橫掃)RX Mapping'!E50&gt;=721,'(橫掃)RX Mapping'!E50&lt;=840), ('(橫掃)RX Mapping'!E50-601),IF(AND('(橫掃)RX Mapping'!E50&gt;=841,'(橫掃)RX Mapping'!E50&lt;=960), (-1)*('(橫掃)RX Mapping'!E50-960)+120,9999))))))))</f>
        <v>9999</v>
      </c>
      <c r="F50">
        <f>IF(AND('(橫掃)RX Mapping'!F50&gt;=1,'(橫掃)RX Mapping'!F50&lt;=120), ('(橫掃)RX Mapping'!F50-1),IF(AND('(橫掃)RX Mapping'!F50&gt;=121,'(橫掃)RX Mapping'!F50&lt;=240), (-1)*('(橫掃)RX Mapping'!F50-240),IF(AND('(橫掃)RX Mapping'!F50&gt;=241,'(橫掃)RX Mapping'!F50&lt;=360), ('(橫掃)RX Mapping'!F50-241),IF(AND('(橫掃)RX Mapping'!F50&gt;=361,'(橫掃)RX Mapping'!F50&lt;=480), (-1)*('(橫掃)RX Mapping'!F50-480),IF(AND('(橫掃)RX Mapping'!F50&gt;=481,'(橫掃)RX Mapping'!F50&lt;=600), ('(橫掃)RX Mapping'!F50-361),IF(AND('(橫掃)RX Mapping'!F50&gt;=601,'(橫掃)RX Mapping'!F50&lt;=720), (-1)*('(橫掃)RX Mapping'!F50-720)+120,IF(AND('(橫掃)RX Mapping'!F50&gt;=721,'(橫掃)RX Mapping'!F50&lt;=840), ('(橫掃)RX Mapping'!F50-601),IF(AND('(橫掃)RX Mapping'!F50&gt;=841,'(橫掃)RX Mapping'!F50&lt;=960), (-1)*('(橫掃)RX Mapping'!F50-960)+120,9999))))))))</f>
        <v>9999</v>
      </c>
      <c r="G50">
        <f>IF(AND('(橫掃)RX Mapping'!G50&gt;=1,'(橫掃)RX Mapping'!G50&lt;=120), ('(橫掃)RX Mapping'!G50-1),IF(AND('(橫掃)RX Mapping'!G50&gt;=121,'(橫掃)RX Mapping'!G50&lt;=240), (-1)*('(橫掃)RX Mapping'!G50-240),IF(AND('(橫掃)RX Mapping'!G50&gt;=241,'(橫掃)RX Mapping'!G50&lt;=360), ('(橫掃)RX Mapping'!G50-241),IF(AND('(橫掃)RX Mapping'!G50&gt;=361,'(橫掃)RX Mapping'!G50&lt;=480), (-1)*('(橫掃)RX Mapping'!G50-480),IF(AND('(橫掃)RX Mapping'!G50&gt;=481,'(橫掃)RX Mapping'!G50&lt;=600), ('(橫掃)RX Mapping'!G50-361),IF(AND('(橫掃)RX Mapping'!G50&gt;=601,'(橫掃)RX Mapping'!G50&lt;=720), (-1)*('(橫掃)RX Mapping'!G50-720)+120,IF(AND('(橫掃)RX Mapping'!G50&gt;=721,'(橫掃)RX Mapping'!G50&lt;=840), ('(橫掃)RX Mapping'!G50-601),IF(AND('(橫掃)RX Mapping'!G50&gt;=841,'(橫掃)RX Mapping'!G50&lt;=960), (-1)*('(橫掃)RX Mapping'!G50-960)+120,9999))))))))</f>
        <v>9999</v>
      </c>
      <c r="H50">
        <f>IF(AND('(橫掃)RX Mapping'!H50&gt;=1,'(橫掃)RX Mapping'!H50&lt;=120), ('(橫掃)RX Mapping'!H50-1),IF(AND('(橫掃)RX Mapping'!H50&gt;=121,'(橫掃)RX Mapping'!H50&lt;=240), (-1)*('(橫掃)RX Mapping'!H50-240),IF(AND('(橫掃)RX Mapping'!H50&gt;=241,'(橫掃)RX Mapping'!H50&lt;=360), ('(橫掃)RX Mapping'!H50-241),IF(AND('(橫掃)RX Mapping'!H50&gt;=361,'(橫掃)RX Mapping'!H50&lt;=480), (-1)*('(橫掃)RX Mapping'!H50-480),IF(AND('(橫掃)RX Mapping'!H50&gt;=481,'(橫掃)RX Mapping'!H50&lt;=600), ('(橫掃)RX Mapping'!H50-361),IF(AND('(橫掃)RX Mapping'!H50&gt;=601,'(橫掃)RX Mapping'!H50&lt;=720), (-1)*('(橫掃)RX Mapping'!H50-720)+120,IF(AND('(橫掃)RX Mapping'!H50&gt;=721,'(橫掃)RX Mapping'!H50&lt;=840), ('(橫掃)RX Mapping'!H50-601),IF(AND('(橫掃)RX Mapping'!H50&gt;=841,'(橫掃)RX Mapping'!H50&lt;=960), (-1)*('(橫掃)RX Mapping'!H50-960)+120,9999))))))))</f>
        <v>9999</v>
      </c>
      <c r="I50">
        <f>IF(AND('(橫掃)RX Mapping'!I50&gt;=1,'(橫掃)RX Mapping'!I50&lt;=120), ('(橫掃)RX Mapping'!I50-1),IF(AND('(橫掃)RX Mapping'!I50&gt;=121,'(橫掃)RX Mapping'!I50&lt;=240), (-1)*('(橫掃)RX Mapping'!I50-240),IF(AND('(橫掃)RX Mapping'!I50&gt;=241,'(橫掃)RX Mapping'!I50&lt;=360), ('(橫掃)RX Mapping'!I50-241),IF(AND('(橫掃)RX Mapping'!I50&gt;=361,'(橫掃)RX Mapping'!I50&lt;=480), (-1)*('(橫掃)RX Mapping'!I50-480),IF(AND('(橫掃)RX Mapping'!I50&gt;=481,'(橫掃)RX Mapping'!I50&lt;=600), ('(橫掃)RX Mapping'!I50-361),IF(AND('(橫掃)RX Mapping'!I50&gt;=601,'(橫掃)RX Mapping'!I50&lt;=720), (-1)*('(橫掃)RX Mapping'!I50-720)+120,IF(AND('(橫掃)RX Mapping'!I50&gt;=721,'(橫掃)RX Mapping'!I50&lt;=840), ('(橫掃)RX Mapping'!I50-601),IF(AND('(橫掃)RX Mapping'!I50&gt;=841,'(橫掃)RX Mapping'!I50&lt;=960), (-1)*('(橫掃)RX Mapping'!I50-960)+120,9999))))))))</f>
        <v>9999</v>
      </c>
      <c r="J50">
        <f>IF(AND('(橫掃)RX Mapping'!J50&gt;=1,'(橫掃)RX Mapping'!J50&lt;=120), ('(橫掃)RX Mapping'!J50-1),IF(AND('(橫掃)RX Mapping'!J50&gt;=121,'(橫掃)RX Mapping'!J50&lt;=240), (-1)*('(橫掃)RX Mapping'!J50-240),IF(AND('(橫掃)RX Mapping'!J50&gt;=241,'(橫掃)RX Mapping'!J50&lt;=360), ('(橫掃)RX Mapping'!J50-241),IF(AND('(橫掃)RX Mapping'!J50&gt;=361,'(橫掃)RX Mapping'!J50&lt;=480), (-1)*('(橫掃)RX Mapping'!J50-480),IF(AND('(橫掃)RX Mapping'!J50&gt;=481,'(橫掃)RX Mapping'!J50&lt;=600), ('(橫掃)RX Mapping'!J50-361),IF(AND('(橫掃)RX Mapping'!J50&gt;=601,'(橫掃)RX Mapping'!J50&lt;=720), (-1)*('(橫掃)RX Mapping'!J50-720)+120,IF(AND('(橫掃)RX Mapping'!J50&gt;=721,'(橫掃)RX Mapping'!J50&lt;=840), ('(橫掃)RX Mapping'!J50-601),IF(AND('(橫掃)RX Mapping'!J50&gt;=841,'(橫掃)RX Mapping'!J50&lt;=960), (-1)*('(橫掃)RX Mapping'!J50-960)+120,9999))))))))</f>
        <v>9999</v>
      </c>
      <c r="K50">
        <f>IF(AND('(橫掃)RX Mapping'!K50&gt;=1,'(橫掃)RX Mapping'!K50&lt;=120), ('(橫掃)RX Mapping'!K50-1),IF(AND('(橫掃)RX Mapping'!K50&gt;=121,'(橫掃)RX Mapping'!K50&lt;=240), (-1)*('(橫掃)RX Mapping'!K50-240),IF(AND('(橫掃)RX Mapping'!K50&gt;=241,'(橫掃)RX Mapping'!K50&lt;=360), ('(橫掃)RX Mapping'!K50-241),IF(AND('(橫掃)RX Mapping'!K50&gt;=361,'(橫掃)RX Mapping'!K50&lt;=480), (-1)*('(橫掃)RX Mapping'!K50-480),IF(AND('(橫掃)RX Mapping'!K50&gt;=481,'(橫掃)RX Mapping'!K50&lt;=600), ('(橫掃)RX Mapping'!K50-361),IF(AND('(橫掃)RX Mapping'!K50&gt;=601,'(橫掃)RX Mapping'!K50&lt;=720), (-1)*('(橫掃)RX Mapping'!K50-720)+120,IF(AND('(橫掃)RX Mapping'!K50&gt;=721,'(橫掃)RX Mapping'!K50&lt;=840), ('(橫掃)RX Mapping'!K50-601),IF(AND('(橫掃)RX Mapping'!K50&gt;=841,'(橫掃)RX Mapping'!K50&lt;=960), (-1)*('(橫掃)RX Mapping'!K50-960)+120,9999))))))))</f>
        <v>9999</v>
      </c>
      <c r="L50">
        <f>IF(AND('(橫掃)RX Mapping'!L50&gt;=1,'(橫掃)RX Mapping'!L50&lt;=120), ('(橫掃)RX Mapping'!L50-1),IF(AND('(橫掃)RX Mapping'!L50&gt;=121,'(橫掃)RX Mapping'!L50&lt;=240), (-1)*('(橫掃)RX Mapping'!L50-240),IF(AND('(橫掃)RX Mapping'!L50&gt;=241,'(橫掃)RX Mapping'!L50&lt;=360), ('(橫掃)RX Mapping'!L50-241),IF(AND('(橫掃)RX Mapping'!L50&gt;=361,'(橫掃)RX Mapping'!L50&lt;=480), (-1)*('(橫掃)RX Mapping'!L50-480),IF(AND('(橫掃)RX Mapping'!L50&gt;=481,'(橫掃)RX Mapping'!L50&lt;=600), ('(橫掃)RX Mapping'!L50-361),IF(AND('(橫掃)RX Mapping'!L50&gt;=601,'(橫掃)RX Mapping'!L50&lt;=720), (-1)*('(橫掃)RX Mapping'!L50-720)+120,IF(AND('(橫掃)RX Mapping'!L50&gt;=721,'(橫掃)RX Mapping'!L50&lt;=840), ('(橫掃)RX Mapping'!L50-601),IF(AND('(橫掃)RX Mapping'!L50&gt;=841,'(橫掃)RX Mapping'!L50&lt;=960), (-1)*('(橫掃)RX Mapping'!L50-960)+120,9999))))))))</f>
        <v>9999</v>
      </c>
      <c r="M50">
        <f>IF(AND('(橫掃)RX Mapping'!M50&gt;=1,'(橫掃)RX Mapping'!M50&lt;=120), ('(橫掃)RX Mapping'!M50-1),IF(AND('(橫掃)RX Mapping'!M50&gt;=121,'(橫掃)RX Mapping'!M50&lt;=240), (-1)*('(橫掃)RX Mapping'!M50-240),IF(AND('(橫掃)RX Mapping'!M50&gt;=241,'(橫掃)RX Mapping'!M50&lt;=360), ('(橫掃)RX Mapping'!M50-241),IF(AND('(橫掃)RX Mapping'!M50&gt;=361,'(橫掃)RX Mapping'!M50&lt;=480), (-1)*('(橫掃)RX Mapping'!M50-480),IF(AND('(橫掃)RX Mapping'!M50&gt;=481,'(橫掃)RX Mapping'!M50&lt;=600), ('(橫掃)RX Mapping'!M50-361),IF(AND('(橫掃)RX Mapping'!M50&gt;=601,'(橫掃)RX Mapping'!M50&lt;=720), (-1)*('(橫掃)RX Mapping'!M50-720)+120,IF(AND('(橫掃)RX Mapping'!M50&gt;=721,'(橫掃)RX Mapping'!M50&lt;=840), ('(橫掃)RX Mapping'!M50-601),IF(AND('(橫掃)RX Mapping'!M50&gt;=841,'(橫掃)RX Mapping'!M50&lt;=960), (-1)*('(橫掃)RX Mapping'!M50-960)+120,9999))))))))</f>
        <v>9999</v>
      </c>
      <c r="N50">
        <f>IF(AND('(橫掃)RX Mapping'!N50&gt;=1,'(橫掃)RX Mapping'!N50&lt;=120), ('(橫掃)RX Mapping'!N50-1),IF(AND('(橫掃)RX Mapping'!N50&gt;=121,'(橫掃)RX Mapping'!N50&lt;=240), (-1)*('(橫掃)RX Mapping'!N50-240),IF(AND('(橫掃)RX Mapping'!N50&gt;=241,'(橫掃)RX Mapping'!N50&lt;=360), ('(橫掃)RX Mapping'!N50-241),IF(AND('(橫掃)RX Mapping'!N50&gt;=361,'(橫掃)RX Mapping'!N50&lt;=480), (-1)*('(橫掃)RX Mapping'!N50-480),IF(AND('(橫掃)RX Mapping'!N50&gt;=481,'(橫掃)RX Mapping'!N50&lt;=600), ('(橫掃)RX Mapping'!N50-361),IF(AND('(橫掃)RX Mapping'!N50&gt;=601,'(橫掃)RX Mapping'!N50&lt;=720), (-1)*('(橫掃)RX Mapping'!N50-720)+120,IF(AND('(橫掃)RX Mapping'!N50&gt;=721,'(橫掃)RX Mapping'!N50&lt;=840), ('(橫掃)RX Mapping'!N50-601),IF(AND('(橫掃)RX Mapping'!N50&gt;=841,'(橫掃)RX Mapping'!N50&lt;=960), (-1)*('(橫掃)RX Mapping'!N50-960)+120,9999))))))))</f>
        <v>9999</v>
      </c>
      <c r="O50">
        <f>IF(AND('(橫掃)RX Mapping'!O50&gt;=1,'(橫掃)RX Mapping'!O50&lt;=120), ('(橫掃)RX Mapping'!O50-1),IF(AND('(橫掃)RX Mapping'!O50&gt;=121,'(橫掃)RX Mapping'!O50&lt;=240), (-1)*('(橫掃)RX Mapping'!O50-240),IF(AND('(橫掃)RX Mapping'!O50&gt;=241,'(橫掃)RX Mapping'!O50&lt;=360), ('(橫掃)RX Mapping'!O50-241),IF(AND('(橫掃)RX Mapping'!O50&gt;=361,'(橫掃)RX Mapping'!O50&lt;=480), (-1)*('(橫掃)RX Mapping'!O50-480),IF(AND('(橫掃)RX Mapping'!O50&gt;=481,'(橫掃)RX Mapping'!O50&lt;=600), ('(橫掃)RX Mapping'!O50-361),IF(AND('(橫掃)RX Mapping'!O50&gt;=601,'(橫掃)RX Mapping'!O50&lt;=720), (-1)*('(橫掃)RX Mapping'!O50-720)+120,IF(AND('(橫掃)RX Mapping'!O50&gt;=721,'(橫掃)RX Mapping'!O50&lt;=840), ('(橫掃)RX Mapping'!O50-601),IF(AND('(橫掃)RX Mapping'!O50&gt;=841,'(橫掃)RX Mapping'!O50&lt;=960), (-1)*('(橫掃)RX Mapping'!O50-960)+120,9999))))))))</f>
        <v>9999</v>
      </c>
      <c r="P50">
        <f>IF(AND('(橫掃)RX Mapping'!P50&gt;=1,'(橫掃)RX Mapping'!P50&lt;=120), ('(橫掃)RX Mapping'!P50-1),IF(AND('(橫掃)RX Mapping'!P50&gt;=121,'(橫掃)RX Mapping'!P50&lt;=240), (-1)*('(橫掃)RX Mapping'!P50-240),IF(AND('(橫掃)RX Mapping'!P50&gt;=241,'(橫掃)RX Mapping'!P50&lt;=360), ('(橫掃)RX Mapping'!P50-241),IF(AND('(橫掃)RX Mapping'!P50&gt;=361,'(橫掃)RX Mapping'!P50&lt;=480), (-1)*('(橫掃)RX Mapping'!P50-480),IF(AND('(橫掃)RX Mapping'!P50&gt;=481,'(橫掃)RX Mapping'!P50&lt;=600), ('(橫掃)RX Mapping'!P50-361),IF(AND('(橫掃)RX Mapping'!P50&gt;=601,'(橫掃)RX Mapping'!P50&lt;=720), (-1)*('(橫掃)RX Mapping'!P50-720)+120,IF(AND('(橫掃)RX Mapping'!P50&gt;=721,'(橫掃)RX Mapping'!P50&lt;=840), ('(橫掃)RX Mapping'!P50-601),IF(AND('(橫掃)RX Mapping'!P50&gt;=841,'(橫掃)RX Mapping'!P50&lt;=960), (-1)*('(橫掃)RX Mapping'!P50-960)+120,9999))))))))</f>
        <v>9999</v>
      </c>
      <c r="Q50">
        <f>IF(AND('(橫掃)RX Mapping'!Q50&gt;=1,'(橫掃)RX Mapping'!Q50&lt;=120), ('(橫掃)RX Mapping'!Q50-1),IF(AND('(橫掃)RX Mapping'!Q50&gt;=121,'(橫掃)RX Mapping'!Q50&lt;=240), (-1)*('(橫掃)RX Mapping'!Q50-240),IF(AND('(橫掃)RX Mapping'!Q50&gt;=241,'(橫掃)RX Mapping'!Q50&lt;=360), ('(橫掃)RX Mapping'!Q50-241),IF(AND('(橫掃)RX Mapping'!Q50&gt;=361,'(橫掃)RX Mapping'!Q50&lt;=480), (-1)*('(橫掃)RX Mapping'!Q50-480),IF(AND('(橫掃)RX Mapping'!Q50&gt;=481,'(橫掃)RX Mapping'!Q50&lt;=600), ('(橫掃)RX Mapping'!Q50-361),IF(AND('(橫掃)RX Mapping'!Q50&gt;=601,'(橫掃)RX Mapping'!Q50&lt;=720), (-1)*('(橫掃)RX Mapping'!Q50-720)+120,IF(AND('(橫掃)RX Mapping'!Q50&gt;=721,'(橫掃)RX Mapping'!Q50&lt;=840), ('(橫掃)RX Mapping'!Q50-601),IF(AND('(橫掃)RX Mapping'!Q50&gt;=841,'(橫掃)RX Mapping'!Q50&lt;=960), (-1)*('(橫掃)RX Mapping'!Q50-960)+120,9999))))))))</f>
        <v>9999</v>
      </c>
      <c r="R50">
        <f>IF(AND('(橫掃)RX Mapping'!R50&gt;=1,'(橫掃)RX Mapping'!R50&lt;=120), ('(橫掃)RX Mapping'!R50-1),IF(AND('(橫掃)RX Mapping'!R50&gt;=121,'(橫掃)RX Mapping'!R50&lt;=240), (-1)*('(橫掃)RX Mapping'!R50-240),IF(AND('(橫掃)RX Mapping'!R50&gt;=241,'(橫掃)RX Mapping'!R50&lt;=360), ('(橫掃)RX Mapping'!R50-241),IF(AND('(橫掃)RX Mapping'!R50&gt;=361,'(橫掃)RX Mapping'!R50&lt;=480), (-1)*('(橫掃)RX Mapping'!R50-480),IF(AND('(橫掃)RX Mapping'!R50&gt;=481,'(橫掃)RX Mapping'!R50&lt;=600), ('(橫掃)RX Mapping'!R50-361),IF(AND('(橫掃)RX Mapping'!R50&gt;=601,'(橫掃)RX Mapping'!R50&lt;=720), (-1)*('(橫掃)RX Mapping'!R50-720)+120,IF(AND('(橫掃)RX Mapping'!R50&gt;=721,'(橫掃)RX Mapping'!R50&lt;=840), ('(橫掃)RX Mapping'!R50-601),IF(AND('(橫掃)RX Mapping'!R50&gt;=841,'(橫掃)RX Mapping'!R50&lt;=960), (-1)*('(橫掃)RX Mapping'!R50-960)+120,9999))))))))</f>
        <v>9999</v>
      </c>
      <c r="S50">
        <f>IF(AND('(橫掃)RX Mapping'!S50&gt;=1,'(橫掃)RX Mapping'!S50&lt;=120), ('(橫掃)RX Mapping'!S50-1),IF(AND('(橫掃)RX Mapping'!S50&gt;=121,'(橫掃)RX Mapping'!S50&lt;=240), (-1)*('(橫掃)RX Mapping'!S50-240),IF(AND('(橫掃)RX Mapping'!S50&gt;=241,'(橫掃)RX Mapping'!S50&lt;=360), ('(橫掃)RX Mapping'!S50-241),IF(AND('(橫掃)RX Mapping'!S50&gt;=361,'(橫掃)RX Mapping'!S50&lt;=480), (-1)*('(橫掃)RX Mapping'!S50-480),IF(AND('(橫掃)RX Mapping'!S50&gt;=481,'(橫掃)RX Mapping'!S50&lt;=600), ('(橫掃)RX Mapping'!S50-361),IF(AND('(橫掃)RX Mapping'!S50&gt;=601,'(橫掃)RX Mapping'!S50&lt;=720), (-1)*('(橫掃)RX Mapping'!S50-720)+120,IF(AND('(橫掃)RX Mapping'!S50&gt;=721,'(橫掃)RX Mapping'!S50&lt;=840), ('(橫掃)RX Mapping'!S50-601),IF(AND('(橫掃)RX Mapping'!S50&gt;=841,'(橫掃)RX Mapping'!S50&lt;=960), (-1)*('(橫掃)RX Mapping'!S50-960)+120,9999))))))))</f>
        <v>9999</v>
      </c>
      <c r="T50">
        <f>IF(AND('(橫掃)RX Mapping'!T50&gt;=1,'(橫掃)RX Mapping'!T50&lt;=120), ('(橫掃)RX Mapping'!T50-1),IF(AND('(橫掃)RX Mapping'!T50&gt;=121,'(橫掃)RX Mapping'!T50&lt;=240), (-1)*('(橫掃)RX Mapping'!T50-240),IF(AND('(橫掃)RX Mapping'!T50&gt;=241,'(橫掃)RX Mapping'!T50&lt;=360), ('(橫掃)RX Mapping'!T50-241),IF(AND('(橫掃)RX Mapping'!T50&gt;=361,'(橫掃)RX Mapping'!T50&lt;=480), (-1)*('(橫掃)RX Mapping'!T50-480),IF(AND('(橫掃)RX Mapping'!T50&gt;=481,'(橫掃)RX Mapping'!T50&lt;=600), ('(橫掃)RX Mapping'!T50-361),IF(AND('(橫掃)RX Mapping'!T50&gt;=601,'(橫掃)RX Mapping'!T50&lt;=720), (-1)*('(橫掃)RX Mapping'!T50-720)+120,IF(AND('(橫掃)RX Mapping'!T50&gt;=721,'(橫掃)RX Mapping'!T50&lt;=840), ('(橫掃)RX Mapping'!T50-601),IF(AND('(橫掃)RX Mapping'!T50&gt;=841,'(橫掃)RX Mapping'!T50&lt;=960), (-1)*('(橫掃)RX Mapping'!T50-960)+120,9999))))))))</f>
        <v>9999</v>
      </c>
      <c r="U50">
        <f>IF(AND('(橫掃)RX Mapping'!U50&gt;=1,'(橫掃)RX Mapping'!U50&lt;=120), ('(橫掃)RX Mapping'!U50-1),IF(AND('(橫掃)RX Mapping'!U50&gt;=121,'(橫掃)RX Mapping'!U50&lt;=240), (-1)*('(橫掃)RX Mapping'!U50-240),IF(AND('(橫掃)RX Mapping'!U50&gt;=241,'(橫掃)RX Mapping'!U50&lt;=360), ('(橫掃)RX Mapping'!U50-241),IF(AND('(橫掃)RX Mapping'!U50&gt;=361,'(橫掃)RX Mapping'!U50&lt;=480), (-1)*('(橫掃)RX Mapping'!U50-480),IF(AND('(橫掃)RX Mapping'!U50&gt;=481,'(橫掃)RX Mapping'!U50&lt;=600), ('(橫掃)RX Mapping'!U50-361),IF(AND('(橫掃)RX Mapping'!U50&gt;=601,'(橫掃)RX Mapping'!U50&lt;=720), (-1)*('(橫掃)RX Mapping'!U50-720)+120,IF(AND('(橫掃)RX Mapping'!U50&gt;=721,'(橫掃)RX Mapping'!U50&lt;=840), ('(橫掃)RX Mapping'!U50-601),IF(AND('(橫掃)RX Mapping'!U50&gt;=841,'(橫掃)RX Mapping'!U50&lt;=960), (-1)*('(橫掃)RX Mapping'!U50-960)+120,9999))))))))</f>
        <v>9999</v>
      </c>
      <c r="V50">
        <f>IF(AND('(橫掃)RX Mapping'!V50&gt;=1,'(橫掃)RX Mapping'!V50&lt;=120), ('(橫掃)RX Mapping'!V50-1),IF(AND('(橫掃)RX Mapping'!V50&gt;=121,'(橫掃)RX Mapping'!V50&lt;=240), (-1)*('(橫掃)RX Mapping'!V50-240),IF(AND('(橫掃)RX Mapping'!V50&gt;=241,'(橫掃)RX Mapping'!V50&lt;=360), ('(橫掃)RX Mapping'!V50-241),IF(AND('(橫掃)RX Mapping'!V50&gt;=361,'(橫掃)RX Mapping'!V50&lt;=480), (-1)*('(橫掃)RX Mapping'!V50-480),IF(AND('(橫掃)RX Mapping'!V50&gt;=481,'(橫掃)RX Mapping'!V50&lt;=600), ('(橫掃)RX Mapping'!V50-361),IF(AND('(橫掃)RX Mapping'!V50&gt;=601,'(橫掃)RX Mapping'!V50&lt;=720), (-1)*('(橫掃)RX Mapping'!V50-720)+120,IF(AND('(橫掃)RX Mapping'!V50&gt;=721,'(橫掃)RX Mapping'!V50&lt;=840), ('(橫掃)RX Mapping'!V50-601),IF(AND('(橫掃)RX Mapping'!V50&gt;=841,'(橫掃)RX Mapping'!V50&lt;=960), (-1)*('(橫掃)RX Mapping'!V50-960)+120,9999))))))))</f>
        <v>9999</v>
      </c>
      <c r="W50">
        <f>IF(AND('(橫掃)RX Mapping'!W50&gt;=1,'(橫掃)RX Mapping'!W50&lt;=120), ('(橫掃)RX Mapping'!W50-1),IF(AND('(橫掃)RX Mapping'!W50&gt;=121,'(橫掃)RX Mapping'!W50&lt;=240), (-1)*('(橫掃)RX Mapping'!W50-240),IF(AND('(橫掃)RX Mapping'!W50&gt;=241,'(橫掃)RX Mapping'!W50&lt;=360), ('(橫掃)RX Mapping'!W50-241),IF(AND('(橫掃)RX Mapping'!W50&gt;=361,'(橫掃)RX Mapping'!W50&lt;=480), (-1)*('(橫掃)RX Mapping'!W50-480),IF(AND('(橫掃)RX Mapping'!W50&gt;=481,'(橫掃)RX Mapping'!W50&lt;=600), ('(橫掃)RX Mapping'!W50-361),IF(AND('(橫掃)RX Mapping'!W50&gt;=601,'(橫掃)RX Mapping'!W50&lt;=720), (-1)*('(橫掃)RX Mapping'!W50-720)+120,IF(AND('(橫掃)RX Mapping'!W50&gt;=721,'(橫掃)RX Mapping'!W50&lt;=840), ('(橫掃)RX Mapping'!W50-601),IF(AND('(橫掃)RX Mapping'!W50&gt;=841,'(橫掃)RX Mapping'!W50&lt;=960), (-1)*('(橫掃)RX Mapping'!W50-960)+120,9999))))))))</f>
        <v>9999</v>
      </c>
      <c r="X50">
        <f>IF(AND('(橫掃)RX Mapping'!X50&gt;=1,'(橫掃)RX Mapping'!X50&lt;=120), ('(橫掃)RX Mapping'!X50-1),IF(AND('(橫掃)RX Mapping'!X50&gt;=121,'(橫掃)RX Mapping'!X50&lt;=240), (-1)*('(橫掃)RX Mapping'!X50-240),IF(AND('(橫掃)RX Mapping'!X50&gt;=241,'(橫掃)RX Mapping'!X50&lt;=360), ('(橫掃)RX Mapping'!X50-241),IF(AND('(橫掃)RX Mapping'!X50&gt;=361,'(橫掃)RX Mapping'!X50&lt;=480), (-1)*('(橫掃)RX Mapping'!X50-480),IF(AND('(橫掃)RX Mapping'!X50&gt;=481,'(橫掃)RX Mapping'!X50&lt;=600), ('(橫掃)RX Mapping'!X50-361),IF(AND('(橫掃)RX Mapping'!X50&gt;=601,'(橫掃)RX Mapping'!X50&lt;=720), (-1)*('(橫掃)RX Mapping'!X50-720)+120,IF(AND('(橫掃)RX Mapping'!X50&gt;=721,'(橫掃)RX Mapping'!X50&lt;=840), ('(橫掃)RX Mapping'!X50-601),IF(AND('(橫掃)RX Mapping'!X50&gt;=841,'(橫掃)RX Mapping'!X50&lt;=960), (-1)*('(橫掃)RX Mapping'!X50-960)+120,9999))))))))</f>
        <v>9999</v>
      </c>
      <c r="Y50">
        <f>IF(AND('(橫掃)RX Mapping'!Y50&gt;=1,'(橫掃)RX Mapping'!Y50&lt;=120), ('(橫掃)RX Mapping'!Y50-1),IF(AND('(橫掃)RX Mapping'!Y50&gt;=121,'(橫掃)RX Mapping'!Y50&lt;=240), (-1)*('(橫掃)RX Mapping'!Y50-240),IF(AND('(橫掃)RX Mapping'!Y50&gt;=241,'(橫掃)RX Mapping'!Y50&lt;=360), ('(橫掃)RX Mapping'!Y50-241),IF(AND('(橫掃)RX Mapping'!Y50&gt;=361,'(橫掃)RX Mapping'!Y50&lt;=480), (-1)*('(橫掃)RX Mapping'!Y50-480),IF(AND('(橫掃)RX Mapping'!Y50&gt;=481,'(橫掃)RX Mapping'!Y50&lt;=600), ('(橫掃)RX Mapping'!Y50-361),IF(AND('(橫掃)RX Mapping'!Y50&gt;=601,'(橫掃)RX Mapping'!Y50&lt;=720), (-1)*('(橫掃)RX Mapping'!Y50-720)+120,IF(AND('(橫掃)RX Mapping'!Y50&gt;=721,'(橫掃)RX Mapping'!Y50&lt;=840), ('(橫掃)RX Mapping'!Y50-601),IF(AND('(橫掃)RX Mapping'!Y50&gt;=841,'(橫掃)RX Mapping'!Y50&lt;=960), (-1)*('(橫掃)RX Mapping'!Y50-960)+120,9999))))))))</f>
        <v>9999</v>
      </c>
      <c r="Z50">
        <f>IF(AND('(橫掃)RX Mapping'!Z50&gt;=1,'(橫掃)RX Mapping'!Z50&lt;=120), ('(橫掃)RX Mapping'!Z50-1),IF(AND('(橫掃)RX Mapping'!Z50&gt;=121,'(橫掃)RX Mapping'!Z50&lt;=240), (-1)*('(橫掃)RX Mapping'!Z50-240),IF(AND('(橫掃)RX Mapping'!Z50&gt;=241,'(橫掃)RX Mapping'!Z50&lt;=360), ('(橫掃)RX Mapping'!Z50-241),IF(AND('(橫掃)RX Mapping'!Z50&gt;=361,'(橫掃)RX Mapping'!Z50&lt;=480), (-1)*('(橫掃)RX Mapping'!Z50-480),IF(AND('(橫掃)RX Mapping'!Z50&gt;=481,'(橫掃)RX Mapping'!Z50&lt;=600), ('(橫掃)RX Mapping'!Z50-361),IF(AND('(橫掃)RX Mapping'!Z50&gt;=601,'(橫掃)RX Mapping'!Z50&lt;=720), (-1)*('(橫掃)RX Mapping'!Z50-720)+120,IF(AND('(橫掃)RX Mapping'!Z50&gt;=721,'(橫掃)RX Mapping'!Z50&lt;=840), ('(橫掃)RX Mapping'!Z50-601),IF(AND('(橫掃)RX Mapping'!Z50&gt;=841,'(橫掃)RX Mapping'!Z50&lt;=960), (-1)*('(橫掃)RX Mapping'!Z50-960)+120,9999))))))))</f>
        <v>9999</v>
      </c>
      <c r="AA50">
        <f>IF(AND('(橫掃)RX Mapping'!AA50&gt;=1,'(橫掃)RX Mapping'!AA50&lt;=120), ('(橫掃)RX Mapping'!AA50-1),IF(AND('(橫掃)RX Mapping'!AA50&gt;=121,'(橫掃)RX Mapping'!AA50&lt;=240), (-1)*('(橫掃)RX Mapping'!AA50-240),IF(AND('(橫掃)RX Mapping'!AA50&gt;=241,'(橫掃)RX Mapping'!AA50&lt;=360), ('(橫掃)RX Mapping'!AA50-241),IF(AND('(橫掃)RX Mapping'!AA50&gt;=361,'(橫掃)RX Mapping'!AA50&lt;=480), (-1)*('(橫掃)RX Mapping'!AA50-480),IF(AND('(橫掃)RX Mapping'!AA50&gt;=481,'(橫掃)RX Mapping'!AA50&lt;=600), ('(橫掃)RX Mapping'!AA50-361),IF(AND('(橫掃)RX Mapping'!AA50&gt;=601,'(橫掃)RX Mapping'!AA50&lt;=720), (-1)*('(橫掃)RX Mapping'!AA50-720)+120,IF(AND('(橫掃)RX Mapping'!AA50&gt;=721,'(橫掃)RX Mapping'!AA50&lt;=840), ('(橫掃)RX Mapping'!AA50-601),IF(AND('(橫掃)RX Mapping'!AA50&gt;=841,'(橫掃)RX Mapping'!AA50&lt;=960), (-1)*('(橫掃)RX Mapping'!AA50-960)+120,9999))))))))</f>
        <v>9999</v>
      </c>
      <c r="AB50">
        <f>IF(AND('(橫掃)RX Mapping'!AB50&gt;=1,'(橫掃)RX Mapping'!AB50&lt;=120), ('(橫掃)RX Mapping'!AB50-1),IF(AND('(橫掃)RX Mapping'!AB50&gt;=121,'(橫掃)RX Mapping'!AB50&lt;=240), (-1)*('(橫掃)RX Mapping'!AB50-240),IF(AND('(橫掃)RX Mapping'!AB50&gt;=241,'(橫掃)RX Mapping'!AB50&lt;=360), ('(橫掃)RX Mapping'!AB50-241),IF(AND('(橫掃)RX Mapping'!AB50&gt;=361,'(橫掃)RX Mapping'!AB50&lt;=480), (-1)*('(橫掃)RX Mapping'!AB50-480),IF(AND('(橫掃)RX Mapping'!AB50&gt;=481,'(橫掃)RX Mapping'!AB50&lt;=600), ('(橫掃)RX Mapping'!AB50-361),IF(AND('(橫掃)RX Mapping'!AB50&gt;=601,'(橫掃)RX Mapping'!AB50&lt;=720), (-1)*('(橫掃)RX Mapping'!AB50-720)+120,IF(AND('(橫掃)RX Mapping'!AB50&gt;=721,'(橫掃)RX Mapping'!AB50&lt;=840), ('(橫掃)RX Mapping'!AB50-601),IF(AND('(橫掃)RX Mapping'!AB50&gt;=841,'(橫掃)RX Mapping'!AB50&lt;=960), (-1)*('(橫掃)RX Mapping'!AB50-960)+120,9999))))))))</f>
        <v>9999</v>
      </c>
      <c r="AC50">
        <f>IF(AND('(橫掃)RX Mapping'!AC50&gt;=1,'(橫掃)RX Mapping'!AC50&lt;=120), ('(橫掃)RX Mapping'!AC50-1),IF(AND('(橫掃)RX Mapping'!AC50&gt;=121,'(橫掃)RX Mapping'!AC50&lt;=240), (-1)*('(橫掃)RX Mapping'!AC50-240),IF(AND('(橫掃)RX Mapping'!AC50&gt;=241,'(橫掃)RX Mapping'!AC50&lt;=360), ('(橫掃)RX Mapping'!AC50-241),IF(AND('(橫掃)RX Mapping'!AC50&gt;=361,'(橫掃)RX Mapping'!AC50&lt;=480), (-1)*('(橫掃)RX Mapping'!AC50-480),IF(AND('(橫掃)RX Mapping'!AC50&gt;=481,'(橫掃)RX Mapping'!AC50&lt;=600), ('(橫掃)RX Mapping'!AC50-361),IF(AND('(橫掃)RX Mapping'!AC50&gt;=601,'(橫掃)RX Mapping'!AC50&lt;=720), (-1)*('(橫掃)RX Mapping'!AC50-720)+120,IF(AND('(橫掃)RX Mapping'!AC50&gt;=721,'(橫掃)RX Mapping'!AC50&lt;=840), ('(橫掃)RX Mapping'!AC50-601),IF(AND('(橫掃)RX Mapping'!AC50&gt;=841,'(橫掃)RX Mapping'!AC50&lt;=960), (-1)*('(橫掃)RX Mapping'!AC50-960)+120,9999))))))))</f>
        <v>9999</v>
      </c>
      <c r="AD50">
        <f>IF(AND('(橫掃)RX Mapping'!AD50&gt;=1,'(橫掃)RX Mapping'!AD50&lt;=120), ('(橫掃)RX Mapping'!AD50-1),IF(AND('(橫掃)RX Mapping'!AD50&gt;=121,'(橫掃)RX Mapping'!AD50&lt;=240), (-1)*('(橫掃)RX Mapping'!AD50-240),IF(AND('(橫掃)RX Mapping'!AD50&gt;=241,'(橫掃)RX Mapping'!AD50&lt;=360), ('(橫掃)RX Mapping'!AD50-241),IF(AND('(橫掃)RX Mapping'!AD50&gt;=361,'(橫掃)RX Mapping'!AD50&lt;=480), (-1)*('(橫掃)RX Mapping'!AD50-480),IF(AND('(橫掃)RX Mapping'!AD50&gt;=481,'(橫掃)RX Mapping'!AD50&lt;=600), ('(橫掃)RX Mapping'!AD50-361),IF(AND('(橫掃)RX Mapping'!AD50&gt;=601,'(橫掃)RX Mapping'!AD50&lt;=720), (-1)*('(橫掃)RX Mapping'!AD50-720)+120,IF(AND('(橫掃)RX Mapping'!AD50&gt;=721,'(橫掃)RX Mapping'!AD50&lt;=840), ('(橫掃)RX Mapping'!AD50-601),IF(AND('(橫掃)RX Mapping'!AD50&gt;=841,'(橫掃)RX Mapping'!AD50&lt;=960), (-1)*('(橫掃)RX Mapping'!AD50-960)+120,9999))))))))</f>
        <v>9999</v>
      </c>
      <c r="AE50">
        <f>IF(AND('(橫掃)RX Mapping'!AE50&gt;=1,'(橫掃)RX Mapping'!AE50&lt;=120), ('(橫掃)RX Mapping'!AE50-1),IF(AND('(橫掃)RX Mapping'!AE50&gt;=121,'(橫掃)RX Mapping'!AE50&lt;=240), (-1)*('(橫掃)RX Mapping'!AE50-240),IF(AND('(橫掃)RX Mapping'!AE50&gt;=241,'(橫掃)RX Mapping'!AE50&lt;=360), ('(橫掃)RX Mapping'!AE50-241),IF(AND('(橫掃)RX Mapping'!AE50&gt;=361,'(橫掃)RX Mapping'!AE50&lt;=480), (-1)*('(橫掃)RX Mapping'!AE50-480),IF(AND('(橫掃)RX Mapping'!AE50&gt;=481,'(橫掃)RX Mapping'!AE50&lt;=600), ('(橫掃)RX Mapping'!AE50-361),IF(AND('(橫掃)RX Mapping'!AE50&gt;=601,'(橫掃)RX Mapping'!AE50&lt;=720), (-1)*('(橫掃)RX Mapping'!AE50-720)+120,IF(AND('(橫掃)RX Mapping'!AE50&gt;=721,'(橫掃)RX Mapping'!AE50&lt;=840), ('(橫掃)RX Mapping'!AE50-601),IF(AND('(橫掃)RX Mapping'!AE50&gt;=841,'(橫掃)RX Mapping'!AE50&lt;=960), (-1)*('(橫掃)RX Mapping'!AE50-960)+120,9999))))))))</f>
        <v>9999</v>
      </c>
      <c r="AF50">
        <f>IF(AND('(橫掃)RX Mapping'!AF50&gt;=1,'(橫掃)RX Mapping'!AF50&lt;=120), ('(橫掃)RX Mapping'!AF50-1),IF(AND('(橫掃)RX Mapping'!AF50&gt;=121,'(橫掃)RX Mapping'!AF50&lt;=240), (-1)*('(橫掃)RX Mapping'!AF50-240),IF(AND('(橫掃)RX Mapping'!AF50&gt;=241,'(橫掃)RX Mapping'!AF50&lt;=360), ('(橫掃)RX Mapping'!AF50-241),IF(AND('(橫掃)RX Mapping'!AF50&gt;=361,'(橫掃)RX Mapping'!AF50&lt;=480), (-1)*('(橫掃)RX Mapping'!AF50-480),IF(AND('(橫掃)RX Mapping'!AF50&gt;=481,'(橫掃)RX Mapping'!AF50&lt;=600), ('(橫掃)RX Mapping'!AF50-361),IF(AND('(橫掃)RX Mapping'!AF50&gt;=601,'(橫掃)RX Mapping'!AF50&lt;=720), (-1)*('(橫掃)RX Mapping'!AF50-720)+120,IF(AND('(橫掃)RX Mapping'!AF50&gt;=721,'(橫掃)RX Mapping'!AF50&lt;=840), ('(橫掃)RX Mapping'!AF50-601),IF(AND('(橫掃)RX Mapping'!AF50&gt;=841,'(橫掃)RX Mapping'!AF50&lt;=960), (-1)*('(橫掃)RX Mapping'!AF50-960)+120,9999))))))))</f>
        <v>9999</v>
      </c>
      <c r="AG50">
        <f>IF(AND('(橫掃)RX Mapping'!AG50&gt;=1,'(橫掃)RX Mapping'!AG50&lt;=120), ('(橫掃)RX Mapping'!AG50-1),IF(AND('(橫掃)RX Mapping'!AG50&gt;=121,'(橫掃)RX Mapping'!AG50&lt;=240), (-1)*('(橫掃)RX Mapping'!AG50-240),IF(AND('(橫掃)RX Mapping'!AG50&gt;=241,'(橫掃)RX Mapping'!AG50&lt;=360), ('(橫掃)RX Mapping'!AG50-241),IF(AND('(橫掃)RX Mapping'!AG50&gt;=361,'(橫掃)RX Mapping'!AG50&lt;=480), (-1)*('(橫掃)RX Mapping'!AG50-480),IF(AND('(橫掃)RX Mapping'!AG50&gt;=481,'(橫掃)RX Mapping'!AG50&lt;=600), ('(橫掃)RX Mapping'!AG50-361),IF(AND('(橫掃)RX Mapping'!AG50&gt;=601,'(橫掃)RX Mapping'!AG50&lt;=720), (-1)*('(橫掃)RX Mapping'!AG50-720)+120,IF(AND('(橫掃)RX Mapping'!AG50&gt;=721,'(橫掃)RX Mapping'!AG50&lt;=840), ('(橫掃)RX Mapping'!AG50-601),IF(AND('(橫掃)RX Mapping'!AG50&gt;=841,'(橫掃)RX Mapping'!AG50&lt;=960), (-1)*('(橫掃)RX Mapping'!AG50-960)+120,9999))))))))</f>
        <v>9999</v>
      </c>
      <c r="AH50">
        <f>IF(AND('(橫掃)RX Mapping'!AH50&gt;=1,'(橫掃)RX Mapping'!AH50&lt;=120), ('(橫掃)RX Mapping'!AH50-1),IF(AND('(橫掃)RX Mapping'!AH50&gt;=121,'(橫掃)RX Mapping'!AH50&lt;=240), (-1)*('(橫掃)RX Mapping'!AH50-240),IF(AND('(橫掃)RX Mapping'!AH50&gt;=241,'(橫掃)RX Mapping'!AH50&lt;=360), ('(橫掃)RX Mapping'!AH50-241),IF(AND('(橫掃)RX Mapping'!AH50&gt;=361,'(橫掃)RX Mapping'!AH50&lt;=480), (-1)*('(橫掃)RX Mapping'!AH50-480),IF(AND('(橫掃)RX Mapping'!AH50&gt;=481,'(橫掃)RX Mapping'!AH50&lt;=600), ('(橫掃)RX Mapping'!AH50-361),IF(AND('(橫掃)RX Mapping'!AH50&gt;=601,'(橫掃)RX Mapping'!AH50&lt;=720), (-1)*('(橫掃)RX Mapping'!AH50-720)+120,IF(AND('(橫掃)RX Mapping'!AH50&gt;=721,'(橫掃)RX Mapping'!AH50&lt;=840), ('(橫掃)RX Mapping'!AH50-601),IF(AND('(橫掃)RX Mapping'!AH50&gt;=841,'(橫掃)RX Mapping'!AH50&lt;=960), (-1)*('(橫掃)RX Mapping'!AH50-960)+120,9999))))))))</f>
        <v>9999</v>
      </c>
      <c r="AI50">
        <f>IF(AND('(橫掃)RX Mapping'!AI50&gt;=1,'(橫掃)RX Mapping'!AI50&lt;=120), ('(橫掃)RX Mapping'!AI50-1),IF(AND('(橫掃)RX Mapping'!AI50&gt;=121,'(橫掃)RX Mapping'!AI50&lt;=240), (-1)*('(橫掃)RX Mapping'!AI50-240),IF(AND('(橫掃)RX Mapping'!AI50&gt;=241,'(橫掃)RX Mapping'!AI50&lt;=360), ('(橫掃)RX Mapping'!AI50-241),IF(AND('(橫掃)RX Mapping'!AI50&gt;=361,'(橫掃)RX Mapping'!AI50&lt;=480), (-1)*('(橫掃)RX Mapping'!AI50-480),IF(AND('(橫掃)RX Mapping'!AI50&gt;=481,'(橫掃)RX Mapping'!AI50&lt;=600), ('(橫掃)RX Mapping'!AI50-361),IF(AND('(橫掃)RX Mapping'!AI50&gt;=601,'(橫掃)RX Mapping'!AI50&lt;=720), (-1)*('(橫掃)RX Mapping'!AI50-720)+120,IF(AND('(橫掃)RX Mapping'!AI50&gt;=721,'(橫掃)RX Mapping'!AI50&lt;=840), ('(橫掃)RX Mapping'!AI50-601),IF(AND('(橫掃)RX Mapping'!AI50&gt;=841,'(橫掃)RX Mapping'!AI50&lt;=960), (-1)*('(橫掃)RX Mapping'!AI50-960)+120,9999))))))))</f>
        <v>9999</v>
      </c>
      <c r="AJ50">
        <f>IF(AND('(橫掃)RX Mapping'!AJ50&gt;=1,'(橫掃)RX Mapping'!AJ50&lt;=120), ('(橫掃)RX Mapping'!AJ50-1),IF(AND('(橫掃)RX Mapping'!AJ50&gt;=121,'(橫掃)RX Mapping'!AJ50&lt;=240), (-1)*('(橫掃)RX Mapping'!AJ50-240),IF(AND('(橫掃)RX Mapping'!AJ50&gt;=241,'(橫掃)RX Mapping'!AJ50&lt;=360), ('(橫掃)RX Mapping'!AJ50-241),IF(AND('(橫掃)RX Mapping'!AJ50&gt;=361,'(橫掃)RX Mapping'!AJ50&lt;=480), (-1)*('(橫掃)RX Mapping'!AJ50-480),IF(AND('(橫掃)RX Mapping'!AJ50&gt;=481,'(橫掃)RX Mapping'!AJ50&lt;=600), ('(橫掃)RX Mapping'!AJ50-361),IF(AND('(橫掃)RX Mapping'!AJ50&gt;=601,'(橫掃)RX Mapping'!AJ50&lt;=720), (-1)*('(橫掃)RX Mapping'!AJ50-720)+120,IF(AND('(橫掃)RX Mapping'!AJ50&gt;=721,'(橫掃)RX Mapping'!AJ50&lt;=840), ('(橫掃)RX Mapping'!AJ50-601),IF(AND('(橫掃)RX Mapping'!AJ50&gt;=841,'(橫掃)RX Mapping'!AJ50&lt;=960), (-1)*('(橫掃)RX Mapping'!AJ50-960)+120,9999))))))))</f>
        <v>9999</v>
      </c>
      <c r="AK50">
        <f>IF(AND('(橫掃)RX Mapping'!AK50&gt;=1,'(橫掃)RX Mapping'!AK50&lt;=120), ('(橫掃)RX Mapping'!AK50-1),IF(AND('(橫掃)RX Mapping'!AK50&gt;=121,'(橫掃)RX Mapping'!AK50&lt;=240), (-1)*('(橫掃)RX Mapping'!AK50-240),IF(AND('(橫掃)RX Mapping'!AK50&gt;=241,'(橫掃)RX Mapping'!AK50&lt;=360), ('(橫掃)RX Mapping'!AK50-241),IF(AND('(橫掃)RX Mapping'!AK50&gt;=361,'(橫掃)RX Mapping'!AK50&lt;=480), (-1)*('(橫掃)RX Mapping'!AK50-480),IF(AND('(橫掃)RX Mapping'!AK50&gt;=481,'(橫掃)RX Mapping'!AK50&lt;=600), ('(橫掃)RX Mapping'!AK50-361),IF(AND('(橫掃)RX Mapping'!AK50&gt;=601,'(橫掃)RX Mapping'!AK50&lt;=720), (-1)*('(橫掃)RX Mapping'!AK50-720)+120,IF(AND('(橫掃)RX Mapping'!AK50&gt;=721,'(橫掃)RX Mapping'!AK50&lt;=840), ('(橫掃)RX Mapping'!AK50-601),IF(AND('(橫掃)RX Mapping'!AK50&gt;=841,'(橫掃)RX Mapping'!AK50&lt;=960), (-1)*('(橫掃)RX Mapping'!AK50-960)+120,9999))))))))</f>
        <v>9999</v>
      </c>
      <c r="AL50">
        <f>IF(AND('(橫掃)RX Mapping'!AL50&gt;=1,'(橫掃)RX Mapping'!AL50&lt;=120), ('(橫掃)RX Mapping'!AL50-1),IF(AND('(橫掃)RX Mapping'!AL50&gt;=121,'(橫掃)RX Mapping'!AL50&lt;=240), (-1)*('(橫掃)RX Mapping'!AL50-240),IF(AND('(橫掃)RX Mapping'!AL50&gt;=241,'(橫掃)RX Mapping'!AL50&lt;=360), ('(橫掃)RX Mapping'!AL50-241),IF(AND('(橫掃)RX Mapping'!AL50&gt;=361,'(橫掃)RX Mapping'!AL50&lt;=480), (-1)*('(橫掃)RX Mapping'!AL50-480),IF(AND('(橫掃)RX Mapping'!AL50&gt;=481,'(橫掃)RX Mapping'!AL50&lt;=600), ('(橫掃)RX Mapping'!AL50-361),IF(AND('(橫掃)RX Mapping'!AL50&gt;=601,'(橫掃)RX Mapping'!AL50&lt;=720), (-1)*('(橫掃)RX Mapping'!AL50-720)+120,IF(AND('(橫掃)RX Mapping'!AL50&gt;=721,'(橫掃)RX Mapping'!AL50&lt;=840), ('(橫掃)RX Mapping'!AL50-601),IF(AND('(橫掃)RX Mapping'!AL50&gt;=841,'(橫掃)RX Mapping'!AL50&lt;=960), (-1)*('(橫掃)RX Mapping'!AL50-960)+120,9999))))))))</f>
        <v>9999</v>
      </c>
      <c r="AM50">
        <f>IF(AND('(橫掃)RX Mapping'!AM50&gt;=1,'(橫掃)RX Mapping'!AM50&lt;=120), ('(橫掃)RX Mapping'!AM50-1),IF(AND('(橫掃)RX Mapping'!AM50&gt;=121,'(橫掃)RX Mapping'!AM50&lt;=240), (-1)*('(橫掃)RX Mapping'!AM50-240),IF(AND('(橫掃)RX Mapping'!AM50&gt;=241,'(橫掃)RX Mapping'!AM50&lt;=360), ('(橫掃)RX Mapping'!AM50-241),IF(AND('(橫掃)RX Mapping'!AM50&gt;=361,'(橫掃)RX Mapping'!AM50&lt;=480), (-1)*('(橫掃)RX Mapping'!AM50-480),IF(AND('(橫掃)RX Mapping'!AM50&gt;=481,'(橫掃)RX Mapping'!AM50&lt;=600), ('(橫掃)RX Mapping'!AM50-361),IF(AND('(橫掃)RX Mapping'!AM50&gt;=601,'(橫掃)RX Mapping'!AM50&lt;=720), (-1)*('(橫掃)RX Mapping'!AM50-720)+120,IF(AND('(橫掃)RX Mapping'!AM50&gt;=721,'(橫掃)RX Mapping'!AM50&lt;=840), ('(橫掃)RX Mapping'!AM50-601),IF(AND('(橫掃)RX Mapping'!AM50&gt;=841,'(橫掃)RX Mapping'!AM50&lt;=960), (-1)*('(橫掃)RX Mapping'!AM50-960)+120,9999))))))))</f>
        <v>9999</v>
      </c>
      <c r="AN50">
        <f>IF(AND('(橫掃)RX Mapping'!AN50&gt;=1,'(橫掃)RX Mapping'!AN50&lt;=120), ('(橫掃)RX Mapping'!AN50-1),IF(AND('(橫掃)RX Mapping'!AN50&gt;=121,'(橫掃)RX Mapping'!AN50&lt;=240), (-1)*('(橫掃)RX Mapping'!AN50-240),IF(AND('(橫掃)RX Mapping'!AN50&gt;=241,'(橫掃)RX Mapping'!AN50&lt;=360), ('(橫掃)RX Mapping'!AN50-241),IF(AND('(橫掃)RX Mapping'!AN50&gt;=361,'(橫掃)RX Mapping'!AN50&lt;=480), (-1)*('(橫掃)RX Mapping'!AN50-480),IF(AND('(橫掃)RX Mapping'!AN50&gt;=481,'(橫掃)RX Mapping'!AN50&lt;=600), ('(橫掃)RX Mapping'!AN50-361),IF(AND('(橫掃)RX Mapping'!AN50&gt;=601,'(橫掃)RX Mapping'!AN50&lt;=720), (-1)*('(橫掃)RX Mapping'!AN50-720)+120,IF(AND('(橫掃)RX Mapping'!AN50&gt;=721,'(橫掃)RX Mapping'!AN50&lt;=840), ('(橫掃)RX Mapping'!AN50-601),IF(AND('(橫掃)RX Mapping'!AN50&gt;=841,'(橫掃)RX Mapping'!AN50&lt;=960), (-1)*('(橫掃)RX Mapping'!AN50-960)+120,9999))))))))</f>
        <v>9999</v>
      </c>
      <c r="AO50">
        <f>IF(AND('(橫掃)RX Mapping'!AO50&gt;=1,'(橫掃)RX Mapping'!AO50&lt;=120), ('(橫掃)RX Mapping'!AO50-1),IF(AND('(橫掃)RX Mapping'!AO50&gt;=121,'(橫掃)RX Mapping'!AO50&lt;=240), (-1)*('(橫掃)RX Mapping'!AO50-240),IF(AND('(橫掃)RX Mapping'!AO50&gt;=241,'(橫掃)RX Mapping'!AO50&lt;=360), ('(橫掃)RX Mapping'!AO50-241),IF(AND('(橫掃)RX Mapping'!AO50&gt;=361,'(橫掃)RX Mapping'!AO50&lt;=480), (-1)*('(橫掃)RX Mapping'!AO50-480),IF(AND('(橫掃)RX Mapping'!AO50&gt;=481,'(橫掃)RX Mapping'!AO50&lt;=600), ('(橫掃)RX Mapping'!AO50-361),IF(AND('(橫掃)RX Mapping'!AO50&gt;=601,'(橫掃)RX Mapping'!AO50&lt;=720), (-1)*('(橫掃)RX Mapping'!AO50-720)+120,IF(AND('(橫掃)RX Mapping'!AO50&gt;=721,'(橫掃)RX Mapping'!AO50&lt;=840), ('(橫掃)RX Mapping'!AO50-601),IF(AND('(橫掃)RX Mapping'!AO50&gt;=841,'(橫掃)RX Mapping'!AO50&lt;=960), (-1)*('(橫掃)RX Mapping'!AO50-960)+120,9999))))))))</f>
        <v>9999</v>
      </c>
      <c r="AP50">
        <f>IF(AND('(橫掃)RX Mapping'!AP50&gt;=1,'(橫掃)RX Mapping'!AP50&lt;=120), ('(橫掃)RX Mapping'!AP50-1),IF(AND('(橫掃)RX Mapping'!AP50&gt;=121,'(橫掃)RX Mapping'!AP50&lt;=240), (-1)*('(橫掃)RX Mapping'!AP50-240),IF(AND('(橫掃)RX Mapping'!AP50&gt;=241,'(橫掃)RX Mapping'!AP50&lt;=360), ('(橫掃)RX Mapping'!AP50-241),IF(AND('(橫掃)RX Mapping'!AP50&gt;=361,'(橫掃)RX Mapping'!AP50&lt;=480), (-1)*('(橫掃)RX Mapping'!AP50-480),IF(AND('(橫掃)RX Mapping'!AP50&gt;=481,'(橫掃)RX Mapping'!AP50&lt;=600), ('(橫掃)RX Mapping'!AP50-361),IF(AND('(橫掃)RX Mapping'!AP50&gt;=601,'(橫掃)RX Mapping'!AP50&lt;=720), (-1)*('(橫掃)RX Mapping'!AP50-720)+120,IF(AND('(橫掃)RX Mapping'!AP50&gt;=721,'(橫掃)RX Mapping'!AP50&lt;=840), ('(橫掃)RX Mapping'!AP50-601),IF(AND('(橫掃)RX Mapping'!AP50&gt;=841,'(橫掃)RX Mapping'!AP50&lt;=960), (-1)*('(橫掃)RX Mapping'!AP50-960)+120,9999))))))))</f>
        <v>9999</v>
      </c>
      <c r="AQ50">
        <f>IF(AND('(橫掃)RX Mapping'!AQ50&gt;=1,'(橫掃)RX Mapping'!AQ50&lt;=120), ('(橫掃)RX Mapping'!AQ50-1),IF(AND('(橫掃)RX Mapping'!AQ50&gt;=121,'(橫掃)RX Mapping'!AQ50&lt;=240), (-1)*('(橫掃)RX Mapping'!AQ50-240),IF(AND('(橫掃)RX Mapping'!AQ50&gt;=241,'(橫掃)RX Mapping'!AQ50&lt;=360), ('(橫掃)RX Mapping'!AQ50-241),IF(AND('(橫掃)RX Mapping'!AQ50&gt;=361,'(橫掃)RX Mapping'!AQ50&lt;=480), (-1)*('(橫掃)RX Mapping'!AQ50-480),IF(AND('(橫掃)RX Mapping'!AQ50&gt;=481,'(橫掃)RX Mapping'!AQ50&lt;=600), ('(橫掃)RX Mapping'!AQ50-361),IF(AND('(橫掃)RX Mapping'!AQ50&gt;=601,'(橫掃)RX Mapping'!AQ50&lt;=720), (-1)*('(橫掃)RX Mapping'!AQ50-720)+120,IF(AND('(橫掃)RX Mapping'!AQ50&gt;=721,'(橫掃)RX Mapping'!AQ50&lt;=840), ('(橫掃)RX Mapping'!AQ50-601),IF(AND('(橫掃)RX Mapping'!AQ50&gt;=841,'(橫掃)RX Mapping'!AQ50&lt;=960), (-1)*('(橫掃)RX Mapping'!AQ50-960)+120,9999))))))))</f>
        <v>9999</v>
      </c>
      <c r="AR50">
        <f>IF(AND('(橫掃)RX Mapping'!AR50&gt;=1,'(橫掃)RX Mapping'!AR50&lt;=120), ('(橫掃)RX Mapping'!AR50-1),IF(AND('(橫掃)RX Mapping'!AR50&gt;=121,'(橫掃)RX Mapping'!AR50&lt;=240), (-1)*('(橫掃)RX Mapping'!AR50-240),IF(AND('(橫掃)RX Mapping'!AR50&gt;=241,'(橫掃)RX Mapping'!AR50&lt;=360), ('(橫掃)RX Mapping'!AR50-241),IF(AND('(橫掃)RX Mapping'!AR50&gt;=361,'(橫掃)RX Mapping'!AR50&lt;=480), (-1)*('(橫掃)RX Mapping'!AR50-480),IF(AND('(橫掃)RX Mapping'!AR50&gt;=481,'(橫掃)RX Mapping'!AR50&lt;=600), ('(橫掃)RX Mapping'!AR50-361),IF(AND('(橫掃)RX Mapping'!AR50&gt;=601,'(橫掃)RX Mapping'!AR50&lt;=720), (-1)*('(橫掃)RX Mapping'!AR50-720)+120,IF(AND('(橫掃)RX Mapping'!AR50&gt;=721,'(橫掃)RX Mapping'!AR50&lt;=840), ('(橫掃)RX Mapping'!AR50-601),IF(AND('(橫掃)RX Mapping'!AR50&gt;=841,'(橫掃)RX Mapping'!AR50&lt;=960), (-1)*('(橫掃)RX Mapping'!AR50-960)+120,9999))))))))</f>
        <v>9999</v>
      </c>
      <c r="AS50">
        <f>IF(AND('(橫掃)RX Mapping'!AS50&gt;=1,'(橫掃)RX Mapping'!AS50&lt;=120), ('(橫掃)RX Mapping'!AS50-1),IF(AND('(橫掃)RX Mapping'!AS50&gt;=121,'(橫掃)RX Mapping'!AS50&lt;=240), (-1)*('(橫掃)RX Mapping'!AS50-240),IF(AND('(橫掃)RX Mapping'!AS50&gt;=241,'(橫掃)RX Mapping'!AS50&lt;=360), ('(橫掃)RX Mapping'!AS50-241),IF(AND('(橫掃)RX Mapping'!AS50&gt;=361,'(橫掃)RX Mapping'!AS50&lt;=480), (-1)*('(橫掃)RX Mapping'!AS50-480),IF(AND('(橫掃)RX Mapping'!AS50&gt;=481,'(橫掃)RX Mapping'!AS50&lt;=600), ('(橫掃)RX Mapping'!AS50-361),IF(AND('(橫掃)RX Mapping'!AS50&gt;=601,'(橫掃)RX Mapping'!AS50&lt;=720), (-1)*('(橫掃)RX Mapping'!AS50-720)+120,IF(AND('(橫掃)RX Mapping'!AS50&gt;=721,'(橫掃)RX Mapping'!AS50&lt;=840), ('(橫掃)RX Mapping'!AS50-601),IF(AND('(橫掃)RX Mapping'!AS50&gt;=841,'(橫掃)RX Mapping'!AS50&lt;=960), (-1)*('(橫掃)RX Mapping'!AS50-960)+120,9999))))))))</f>
        <v>9999</v>
      </c>
      <c r="AT50">
        <f>IF(AND('(橫掃)RX Mapping'!AT50&gt;=1,'(橫掃)RX Mapping'!AT50&lt;=120), ('(橫掃)RX Mapping'!AT50-1),IF(AND('(橫掃)RX Mapping'!AT50&gt;=121,'(橫掃)RX Mapping'!AT50&lt;=240), (-1)*('(橫掃)RX Mapping'!AT50-240),IF(AND('(橫掃)RX Mapping'!AT50&gt;=241,'(橫掃)RX Mapping'!AT50&lt;=360), ('(橫掃)RX Mapping'!AT50-241),IF(AND('(橫掃)RX Mapping'!AT50&gt;=361,'(橫掃)RX Mapping'!AT50&lt;=480), (-1)*('(橫掃)RX Mapping'!AT50-480),IF(AND('(橫掃)RX Mapping'!AT50&gt;=481,'(橫掃)RX Mapping'!AT50&lt;=600), ('(橫掃)RX Mapping'!AT50-361),IF(AND('(橫掃)RX Mapping'!AT50&gt;=601,'(橫掃)RX Mapping'!AT50&lt;=720), (-1)*('(橫掃)RX Mapping'!AT50-720)+120,IF(AND('(橫掃)RX Mapping'!AT50&gt;=721,'(橫掃)RX Mapping'!AT50&lt;=840), ('(橫掃)RX Mapping'!AT50-601),IF(AND('(橫掃)RX Mapping'!AT50&gt;=841,'(橫掃)RX Mapping'!AT50&lt;=960), (-1)*('(橫掃)RX Mapping'!AT50-960)+120,9999))))))))</f>
        <v>9999</v>
      </c>
      <c r="AU50">
        <f>IF(AND('(橫掃)RX Mapping'!AU50&gt;=1,'(橫掃)RX Mapping'!AU50&lt;=120), ('(橫掃)RX Mapping'!AU50-1),IF(AND('(橫掃)RX Mapping'!AU50&gt;=121,'(橫掃)RX Mapping'!AU50&lt;=240), (-1)*('(橫掃)RX Mapping'!AU50-240),IF(AND('(橫掃)RX Mapping'!AU50&gt;=241,'(橫掃)RX Mapping'!AU50&lt;=360), ('(橫掃)RX Mapping'!AU50-241),IF(AND('(橫掃)RX Mapping'!AU50&gt;=361,'(橫掃)RX Mapping'!AU50&lt;=480), (-1)*('(橫掃)RX Mapping'!AU50-480),IF(AND('(橫掃)RX Mapping'!AU50&gt;=481,'(橫掃)RX Mapping'!AU50&lt;=600), ('(橫掃)RX Mapping'!AU50-361),IF(AND('(橫掃)RX Mapping'!AU50&gt;=601,'(橫掃)RX Mapping'!AU50&lt;=720), (-1)*('(橫掃)RX Mapping'!AU50-720)+120,IF(AND('(橫掃)RX Mapping'!AU50&gt;=721,'(橫掃)RX Mapping'!AU50&lt;=840), ('(橫掃)RX Mapping'!AU50-601),IF(AND('(橫掃)RX Mapping'!AU50&gt;=841,'(橫掃)RX Mapping'!AU50&lt;=960), (-1)*('(橫掃)RX Mapping'!AU50-960)+120,9999))))))))</f>
        <v>9999</v>
      </c>
      <c r="AV50">
        <f>IF(AND('(橫掃)RX Mapping'!AV50&gt;=1,'(橫掃)RX Mapping'!AV50&lt;=120), ('(橫掃)RX Mapping'!AV50-1),IF(AND('(橫掃)RX Mapping'!AV50&gt;=121,'(橫掃)RX Mapping'!AV50&lt;=240), (-1)*('(橫掃)RX Mapping'!AV50-240),IF(AND('(橫掃)RX Mapping'!AV50&gt;=241,'(橫掃)RX Mapping'!AV50&lt;=360), ('(橫掃)RX Mapping'!AV50-241),IF(AND('(橫掃)RX Mapping'!AV50&gt;=361,'(橫掃)RX Mapping'!AV50&lt;=480), (-1)*('(橫掃)RX Mapping'!AV50-480),IF(AND('(橫掃)RX Mapping'!AV50&gt;=481,'(橫掃)RX Mapping'!AV50&lt;=600), ('(橫掃)RX Mapping'!AV50-361),IF(AND('(橫掃)RX Mapping'!AV50&gt;=601,'(橫掃)RX Mapping'!AV50&lt;=720), (-1)*('(橫掃)RX Mapping'!AV50-720)+120,IF(AND('(橫掃)RX Mapping'!AV50&gt;=721,'(橫掃)RX Mapping'!AV50&lt;=840), ('(橫掃)RX Mapping'!AV50-601),IF(AND('(橫掃)RX Mapping'!AV50&gt;=841,'(橫掃)RX Mapping'!AV50&lt;=960), (-1)*('(橫掃)RX Mapping'!AV50-960)+120,9999))))))))</f>
        <v>9999</v>
      </c>
      <c r="AW50">
        <f>IF(AND('(橫掃)RX Mapping'!AW50&gt;=1,'(橫掃)RX Mapping'!AW50&lt;=120), ('(橫掃)RX Mapping'!AW50-1),IF(AND('(橫掃)RX Mapping'!AW50&gt;=121,'(橫掃)RX Mapping'!AW50&lt;=240), (-1)*('(橫掃)RX Mapping'!AW50-240),IF(AND('(橫掃)RX Mapping'!AW50&gt;=241,'(橫掃)RX Mapping'!AW50&lt;=360), ('(橫掃)RX Mapping'!AW50-241),IF(AND('(橫掃)RX Mapping'!AW50&gt;=361,'(橫掃)RX Mapping'!AW50&lt;=480), (-1)*('(橫掃)RX Mapping'!AW50-480),IF(AND('(橫掃)RX Mapping'!AW50&gt;=481,'(橫掃)RX Mapping'!AW50&lt;=600), ('(橫掃)RX Mapping'!AW50-361),IF(AND('(橫掃)RX Mapping'!AW50&gt;=601,'(橫掃)RX Mapping'!AW50&lt;=720), (-1)*('(橫掃)RX Mapping'!AW50-720)+120,IF(AND('(橫掃)RX Mapping'!AW50&gt;=721,'(橫掃)RX Mapping'!AW50&lt;=840), ('(橫掃)RX Mapping'!AW50-601),IF(AND('(橫掃)RX Mapping'!AW50&gt;=841,'(橫掃)RX Mapping'!AW50&lt;=960), (-1)*('(橫掃)RX Mapping'!AW50-960)+120,9999))))))))</f>
        <v>9999</v>
      </c>
      <c r="AX50">
        <f>IF(AND('(橫掃)RX Mapping'!AX50&gt;=1,'(橫掃)RX Mapping'!AX50&lt;=120), ('(橫掃)RX Mapping'!AX50-1),IF(AND('(橫掃)RX Mapping'!AX50&gt;=121,'(橫掃)RX Mapping'!AX50&lt;=240), (-1)*('(橫掃)RX Mapping'!AX50-240),IF(AND('(橫掃)RX Mapping'!AX50&gt;=241,'(橫掃)RX Mapping'!AX50&lt;=360), ('(橫掃)RX Mapping'!AX50-241),IF(AND('(橫掃)RX Mapping'!AX50&gt;=361,'(橫掃)RX Mapping'!AX50&lt;=480), (-1)*('(橫掃)RX Mapping'!AX50-480),IF(AND('(橫掃)RX Mapping'!AX50&gt;=481,'(橫掃)RX Mapping'!AX50&lt;=600), ('(橫掃)RX Mapping'!AX50-361),IF(AND('(橫掃)RX Mapping'!AX50&gt;=601,'(橫掃)RX Mapping'!AX50&lt;=720), (-1)*('(橫掃)RX Mapping'!AX50-720)+120,IF(AND('(橫掃)RX Mapping'!AX50&gt;=721,'(橫掃)RX Mapping'!AX50&lt;=840), ('(橫掃)RX Mapping'!AX50-601),IF(AND('(橫掃)RX Mapping'!AX50&gt;=841,'(橫掃)RX Mapping'!AX50&lt;=960), (-1)*('(橫掃)RX Mapping'!AX50-960)+120,9999))))))))</f>
        <v>9999</v>
      </c>
      <c r="AY50">
        <f>IF(AND('(橫掃)RX Mapping'!AY50&gt;=1,'(橫掃)RX Mapping'!AY50&lt;=120), ('(橫掃)RX Mapping'!AY50-1),IF(AND('(橫掃)RX Mapping'!AY50&gt;=121,'(橫掃)RX Mapping'!AY50&lt;=240), (-1)*('(橫掃)RX Mapping'!AY50-240),IF(AND('(橫掃)RX Mapping'!AY50&gt;=241,'(橫掃)RX Mapping'!AY50&lt;=360), ('(橫掃)RX Mapping'!AY50-241),IF(AND('(橫掃)RX Mapping'!AY50&gt;=361,'(橫掃)RX Mapping'!AY50&lt;=480), (-1)*('(橫掃)RX Mapping'!AY50-480),IF(AND('(橫掃)RX Mapping'!AY50&gt;=481,'(橫掃)RX Mapping'!AY50&lt;=600), ('(橫掃)RX Mapping'!AY50-361),IF(AND('(橫掃)RX Mapping'!AY50&gt;=601,'(橫掃)RX Mapping'!AY50&lt;=720), (-1)*('(橫掃)RX Mapping'!AY50-720)+120,IF(AND('(橫掃)RX Mapping'!AY50&gt;=721,'(橫掃)RX Mapping'!AY50&lt;=840), ('(橫掃)RX Mapping'!AY50-601),IF(AND('(橫掃)RX Mapping'!AY50&gt;=841,'(橫掃)RX Mapping'!AY50&lt;=960), (-1)*('(橫掃)RX Mapping'!AY50-960)+120,9999))))))))</f>
        <v>9999</v>
      </c>
      <c r="AZ50">
        <f>IF(AND('(橫掃)RX Mapping'!AZ50&gt;=1,'(橫掃)RX Mapping'!AZ50&lt;=120), ('(橫掃)RX Mapping'!AZ50-1),IF(AND('(橫掃)RX Mapping'!AZ50&gt;=121,'(橫掃)RX Mapping'!AZ50&lt;=240), (-1)*('(橫掃)RX Mapping'!AZ50-240),IF(AND('(橫掃)RX Mapping'!AZ50&gt;=241,'(橫掃)RX Mapping'!AZ50&lt;=360), ('(橫掃)RX Mapping'!AZ50-241),IF(AND('(橫掃)RX Mapping'!AZ50&gt;=361,'(橫掃)RX Mapping'!AZ50&lt;=480), (-1)*('(橫掃)RX Mapping'!AZ50-480),IF(AND('(橫掃)RX Mapping'!AZ50&gt;=481,'(橫掃)RX Mapping'!AZ50&lt;=600), ('(橫掃)RX Mapping'!AZ50-361),IF(AND('(橫掃)RX Mapping'!AZ50&gt;=601,'(橫掃)RX Mapping'!AZ50&lt;=720), (-1)*('(橫掃)RX Mapping'!AZ50-720)+120,IF(AND('(橫掃)RX Mapping'!AZ50&gt;=721,'(橫掃)RX Mapping'!AZ50&lt;=840), ('(橫掃)RX Mapping'!AZ50-601),IF(AND('(橫掃)RX Mapping'!AZ50&gt;=841,'(橫掃)RX Mapping'!AZ50&lt;=960), (-1)*('(橫掃)RX Mapping'!AZ50-960)+120,9999))))))))</f>
        <v>9999</v>
      </c>
      <c r="BA50">
        <f>IF(AND('(橫掃)RX Mapping'!BA50&gt;=1,'(橫掃)RX Mapping'!BA50&lt;=120), ('(橫掃)RX Mapping'!BA50-1),IF(AND('(橫掃)RX Mapping'!BA50&gt;=121,'(橫掃)RX Mapping'!BA50&lt;=240), (-1)*('(橫掃)RX Mapping'!BA50-240),IF(AND('(橫掃)RX Mapping'!BA50&gt;=241,'(橫掃)RX Mapping'!BA50&lt;=360), ('(橫掃)RX Mapping'!BA50-241),IF(AND('(橫掃)RX Mapping'!BA50&gt;=361,'(橫掃)RX Mapping'!BA50&lt;=480), (-1)*('(橫掃)RX Mapping'!BA50-480),IF(AND('(橫掃)RX Mapping'!BA50&gt;=481,'(橫掃)RX Mapping'!BA50&lt;=600), ('(橫掃)RX Mapping'!BA50-361),IF(AND('(橫掃)RX Mapping'!BA50&gt;=601,'(橫掃)RX Mapping'!BA50&lt;=720), (-1)*('(橫掃)RX Mapping'!BA50-720)+120,IF(AND('(橫掃)RX Mapping'!BA50&gt;=721,'(橫掃)RX Mapping'!BA50&lt;=840), ('(橫掃)RX Mapping'!BA50-601),IF(AND('(橫掃)RX Mapping'!BA50&gt;=841,'(橫掃)RX Mapping'!BA50&lt;=960), (-1)*('(橫掃)RX Mapping'!BA50-960)+120,9999))))))))</f>
        <v>9999</v>
      </c>
      <c r="BB50">
        <f>IF(AND('(橫掃)RX Mapping'!BB50&gt;=1,'(橫掃)RX Mapping'!BB50&lt;=120), ('(橫掃)RX Mapping'!BB50-1),IF(AND('(橫掃)RX Mapping'!BB50&gt;=121,'(橫掃)RX Mapping'!BB50&lt;=240), (-1)*('(橫掃)RX Mapping'!BB50-240),IF(AND('(橫掃)RX Mapping'!BB50&gt;=241,'(橫掃)RX Mapping'!BB50&lt;=360), ('(橫掃)RX Mapping'!BB50-241),IF(AND('(橫掃)RX Mapping'!BB50&gt;=361,'(橫掃)RX Mapping'!BB50&lt;=480), (-1)*('(橫掃)RX Mapping'!BB50-480),IF(AND('(橫掃)RX Mapping'!BB50&gt;=481,'(橫掃)RX Mapping'!BB50&lt;=600), ('(橫掃)RX Mapping'!BB50-361),IF(AND('(橫掃)RX Mapping'!BB50&gt;=601,'(橫掃)RX Mapping'!BB50&lt;=720), (-1)*('(橫掃)RX Mapping'!BB50-720)+120,IF(AND('(橫掃)RX Mapping'!BB50&gt;=721,'(橫掃)RX Mapping'!BB50&lt;=840), ('(橫掃)RX Mapping'!BB50-601),IF(AND('(橫掃)RX Mapping'!BB50&gt;=841,'(橫掃)RX Mapping'!BB50&lt;=960), (-1)*('(橫掃)RX Mapping'!BB50-960)+120,9999))))))))</f>
        <v>9999</v>
      </c>
      <c r="BC50">
        <f>IF(AND('(橫掃)RX Mapping'!BC50&gt;=1,'(橫掃)RX Mapping'!BC50&lt;=120), ('(橫掃)RX Mapping'!BC50-1),IF(AND('(橫掃)RX Mapping'!BC50&gt;=121,'(橫掃)RX Mapping'!BC50&lt;=240), (-1)*('(橫掃)RX Mapping'!BC50-240),IF(AND('(橫掃)RX Mapping'!BC50&gt;=241,'(橫掃)RX Mapping'!BC50&lt;=360), ('(橫掃)RX Mapping'!BC50-241),IF(AND('(橫掃)RX Mapping'!BC50&gt;=361,'(橫掃)RX Mapping'!BC50&lt;=480), (-1)*('(橫掃)RX Mapping'!BC50-480),IF(AND('(橫掃)RX Mapping'!BC50&gt;=481,'(橫掃)RX Mapping'!BC50&lt;=600), ('(橫掃)RX Mapping'!BC50-361),IF(AND('(橫掃)RX Mapping'!BC50&gt;=601,'(橫掃)RX Mapping'!BC50&lt;=720), (-1)*('(橫掃)RX Mapping'!BC50-720)+120,IF(AND('(橫掃)RX Mapping'!BC50&gt;=721,'(橫掃)RX Mapping'!BC50&lt;=840), ('(橫掃)RX Mapping'!BC50-601),IF(AND('(橫掃)RX Mapping'!BC50&gt;=841,'(橫掃)RX Mapping'!BC50&lt;=960), (-1)*('(橫掃)RX Mapping'!BC50-960)+120,9999))))))))</f>
        <v>9999</v>
      </c>
      <c r="BD50">
        <f>IF(AND('(橫掃)RX Mapping'!BD50&gt;=1,'(橫掃)RX Mapping'!BD50&lt;=120), ('(橫掃)RX Mapping'!BD50-1),IF(AND('(橫掃)RX Mapping'!BD50&gt;=121,'(橫掃)RX Mapping'!BD50&lt;=240), (-1)*('(橫掃)RX Mapping'!BD50-240),IF(AND('(橫掃)RX Mapping'!BD50&gt;=241,'(橫掃)RX Mapping'!BD50&lt;=360), ('(橫掃)RX Mapping'!BD50-241),IF(AND('(橫掃)RX Mapping'!BD50&gt;=361,'(橫掃)RX Mapping'!BD50&lt;=480), (-1)*('(橫掃)RX Mapping'!BD50-480),IF(AND('(橫掃)RX Mapping'!BD50&gt;=481,'(橫掃)RX Mapping'!BD50&lt;=600), ('(橫掃)RX Mapping'!BD50-361),IF(AND('(橫掃)RX Mapping'!BD50&gt;=601,'(橫掃)RX Mapping'!BD50&lt;=720), (-1)*('(橫掃)RX Mapping'!BD50-720)+120,IF(AND('(橫掃)RX Mapping'!BD50&gt;=721,'(橫掃)RX Mapping'!BD50&lt;=840), ('(橫掃)RX Mapping'!BD50-601),IF(AND('(橫掃)RX Mapping'!BD50&gt;=841,'(橫掃)RX Mapping'!BD50&lt;=960), (-1)*('(橫掃)RX Mapping'!BD50-960)+120,9999))))))))</f>
        <v>9999</v>
      </c>
      <c r="BE50">
        <f>IF(AND('(橫掃)RX Mapping'!BE50&gt;=1,'(橫掃)RX Mapping'!BE50&lt;=120), ('(橫掃)RX Mapping'!BE50-1),IF(AND('(橫掃)RX Mapping'!BE50&gt;=121,'(橫掃)RX Mapping'!BE50&lt;=240), (-1)*('(橫掃)RX Mapping'!BE50-240),IF(AND('(橫掃)RX Mapping'!BE50&gt;=241,'(橫掃)RX Mapping'!BE50&lt;=360), ('(橫掃)RX Mapping'!BE50-241),IF(AND('(橫掃)RX Mapping'!BE50&gt;=361,'(橫掃)RX Mapping'!BE50&lt;=480), (-1)*('(橫掃)RX Mapping'!BE50-480),IF(AND('(橫掃)RX Mapping'!BE50&gt;=481,'(橫掃)RX Mapping'!BE50&lt;=600), ('(橫掃)RX Mapping'!BE50-361),IF(AND('(橫掃)RX Mapping'!BE50&gt;=601,'(橫掃)RX Mapping'!BE50&lt;=720), (-1)*('(橫掃)RX Mapping'!BE50-720)+120,IF(AND('(橫掃)RX Mapping'!BE50&gt;=721,'(橫掃)RX Mapping'!BE50&lt;=840), ('(橫掃)RX Mapping'!BE50-601),IF(AND('(橫掃)RX Mapping'!BE50&gt;=841,'(橫掃)RX Mapping'!BE50&lt;=960), (-1)*('(橫掃)RX Mapping'!BE50-960)+120,9999))))))))</f>
        <v>9999</v>
      </c>
      <c r="BF50">
        <f>IF(AND('(橫掃)RX Mapping'!BF50&gt;=1,'(橫掃)RX Mapping'!BF50&lt;=120), ('(橫掃)RX Mapping'!BF50-1),IF(AND('(橫掃)RX Mapping'!BF50&gt;=121,'(橫掃)RX Mapping'!BF50&lt;=240), (-1)*('(橫掃)RX Mapping'!BF50-240),IF(AND('(橫掃)RX Mapping'!BF50&gt;=241,'(橫掃)RX Mapping'!BF50&lt;=360), ('(橫掃)RX Mapping'!BF50-241),IF(AND('(橫掃)RX Mapping'!BF50&gt;=361,'(橫掃)RX Mapping'!BF50&lt;=480), (-1)*('(橫掃)RX Mapping'!BF50-480),IF(AND('(橫掃)RX Mapping'!BF50&gt;=481,'(橫掃)RX Mapping'!BF50&lt;=600), ('(橫掃)RX Mapping'!BF50-361),IF(AND('(橫掃)RX Mapping'!BF50&gt;=601,'(橫掃)RX Mapping'!BF50&lt;=720), (-1)*('(橫掃)RX Mapping'!BF50-720)+120,IF(AND('(橫掃)RX Mapping'!BF50&gt;=721,'(橫掃)RX Mapping'!BF50&lt;=840), ('(橫掃)RX Mapping'!BF50-601),IF(AND('(橫掃)RX Mapping'!BF50&gt;=841,'(橫掃)RX Mapping'!BF50&lt;=960), (-1)*('(橫掃)RX Mapping'!BF50-960)+120,9999))))))))</f>
        <v>9999</v>
      </c>
      <c r="BG50">
        <f>IF(AND('(橫掃)RX Mapping'!BG50&gt;=1,'(橫掃)RX Mapping'!BG50&lt;=120), ('(橫掃)RX Mapping'!BG50-1),IF(AND('(橫掃)RX Mapping'!BG50&gt;=121,'(橫掃)RX Mapping'!BG50&lt;=240), (-1)*('(橫掃)RX Mapping'!BG50-240),IF(AND('(橫掃)RX Mapping'!BG50&gt;=241,'(橫掃)RX Mapping'!BG50&lt;=360), ('(橫掃)RX Mapping'!BG50-241),IF(AND('(橫掃)RX Mapping'!BG50&gt;=361,'(橫掃)RX Mapping'!BG50&lt;=480), (-1)*('(橫掃)RX Mapping'!BG50-480),IF(AND('(橫掃)RX Mapping'!BG50&gt;=481,'(橫掃)RX Mapping'!BG50&lt;=600), ('(橫掃)RX Mapping'!BG50-361),IF(AND('(橫掃)RX Mapping'!BG50&gt;=601,'(橫掃)RX Mapping'!BG50&lt;=720), (-1)*('(橫掃)RX Mapping'!BG50-720)+120,IF(AND('(橫掃)RX Mapping'!BG50&gt;=721,'(橫掃)RX Mapping'!BG50&lt;=840), ('(橫掃)RX Mapping'!BG50-601),IF(AND('(橫掃)RX Mapping'!BG50&gt;=841,'(橫掃)RX Mapping'!BG50&lt;=960), (-1)*('(橫掃)RX Mapping'!BG50-960)+120,9999))))))))</f>
        <v>9999</v>
      </c>
      <c r="BH50">
        <f>IF(AND('(橫掃)RX Mapping'!BH50&gt;=1,'(橫掃)RX Mapping'!BH50&lt;=120), ('(橫掃)RX Mapping'!BH50-1),IF(AND('(橫掃)RX Mapping'!BH50&gt;=121,'(橫掃)RX Mapping'!BH50&lt;=240), (-1)*('(橫掃)RX Mapping'!BH50-240),IF(AND('(橫掃)RX Mapping'!BH50&gt;=241,'(橫掃)RX Mapping'!BH50&lt;=360), ('(橫掃)RX Mapping'!BH50-241),IF(AND('(橫掃)RX Mapping'!BH50&gt;=361,'(橫掃)RX Mapping'!BH50&lt;=480), (-1)*('(橫掃)RX Mapping'!BH50-480),IF(AND('(橫掃)RX Mapping'!BH50&gt;=481,'(橫掃)RX Mapping'!BH50&lt;=600), ('(橫掃)RX Mapping'!BH50-361),IF(AND('(橫掃)RX Mapping'!BH50&gt;=601,'(橫掃)RX Mapping'!BH50&lt;=720), (-1)*('(橫掃)RX Mapping'!BH50-720)+120,IF(AND('(橫掃)RX Mapping'!BH50&gt;=721,'(橫掃)RX Mapping'!BH50&lt;=840), ('(橫掃)RX Mapping'!BH50-601),IF(AND('(橫掃)RX Mapping'!BH50&gt;=841,'(橫掃)RX Mapping'!BH50&lt;=960), (-1)*('(橫掃)RX Mapping'!BH50-960)+120,9999))))))))</f>
        <v>9999</v>
      </c>
      <c r="BI50">
        <f>IF(AND('(橫掃)RX Mapping'!BI50&gt;=1,'(橫掃)RX Mapping'!BI50&lt;=120), ('(橫掃)RX Mapping'!BI50-1),IF(AND('(橫掃)RX Mapping'!BI50&gt;=121,'(橫掃)RX Mapping'!BI50&lt;=240), (-1)*('(橫掃)RX Mapping'!BI50-240),IF(AND('(橫掃)RX Mapping'!BI50&gt;=241,'(橫掃)RX Mapping'!BI50&lt;=360), ('(橫掃)RX Mapping'!BI50-241),IF(AND('(橫掃)RX Mapping'!BI50&gt;=361,'(橫掃)RX Mapping'!BI50&lt;=480), (-1)*('(橫掃)RX Mapping'!BI50-480),IF(AND('(橫掃)RX Mapping'!BI50&gt;=481,'(橫掃)RX Mapping'!BI50&lt;=600), ('(橫掃)RX Mapping'!BI50-361),IF(AND('(橫掃)RX Mapping'!BI50&gt;=601,'(橫掃)RX Mapping'!BI50&lt;=720), (-1)*('(橫掃)RX Mapping'!BI50-720)+120,IF(AND('(橫掃)RX Mapping'!BI50&gt;=721,'(橫掃)RX Mapping'!BI50&lt;=840), ('(橫掃)RX Mapping'!BI50-601),IF(AND('(橫掃)RX Mapping'!BI50&gt;=841,'(橫掃)RX Mapping'!BI50&lt;=960), (-1)*('(橫掃)RX Mapping'!BI50-960)+120,9999))))))))</f>
        <v>9999</v>
      </c>
    </row>
    <row r="51" spans="1:61" x14ac:dyDescent="0.25">
      <c r="A51" s="20">
        <v>50</v>
      </c>
      <c r="B51">
        <f>IF(AND('(橫掃)RX Mapping'!B51&gt;=1,'(橫掃)RX Mapping'!B51&lt;=120), ('(橫掃)RX Mapping'!B51-1),IF(AND('(橫掃)RX Mapping'!B51&gt;=121,'(橫掃)RX Mapping'!B51&lt;=240), (-1)*('(橫掃)RX Mapping'!B51-240),IF(AND('(橫掃)RX Mapping'!B51&gt;=241,'(橫掃)RX Mapping'!B51&lt;=360), ('(橫掃)RX Mapping'!B51-241),IF(AND('(橫掃)RX Mapping'!B51&gt;=361,'(橫掃)RX Mapping'!B51&lt;=480), (-1)*('(橫掃)RX Mapping'!B51-480),IF(AND('(橫掃)RX Mapping'!B51&gt;=481,'(橫掃)RX Mapping'!B51&lt;=600), ('(橫掃)RX Mapping'!B51-361),IF(AND('(橫掃)RX Mapping'!B51&gt;=601,'(橫掃)RX Mapping'!B51&lt;=720), (-1)*('(橫掃)RX Mapping'!B51-720)+120,IF(AND('(橫掃)RX Mapping'!B51&gt;=721,'(橫掃)RX Mapping'!B51&lt;=840), ('(橫掃)RX Mapping'!B51-601),IF(AND('(橫掃)RX Mapping'!B51&gt;=841,'(橫掃)RX Mapping'!B51&lt;=960), (-1)*('(橫掃)RX Mapping'!B51-960)+120,9999))))))))</f>
        <v>9999</v>
      </c>
      <c r="C51">
        <f>IF(AND('(橫掃)RX Mapping'!C51&gt;=1,'(橫掃)RX Mapping'!C51&lt;=120), ('(橫掃)RX Mapping'!C51-1),IF(AND('(橫掃)RX Mapping'!C51&gt;=121,'(橫掃)RX Mapping'!C51&lt;=240), (-1)*('(橫掃)RX Mapping'!C51-240),IF(AND('(橫掃)RX Mapping'!C51&gt;=241,'(橫掃)RX Mapping'!C51&lt;=360), ('(橫掃)RX Mapping'!C51-241),IF(AND('(橫掃)RX Mapping'!C51&gt;=361,'(橫掃)RX Mapping'!C51&lt;=480), (-1)*('(橫掃)RX Mapping'!C51-480),IF(AND('(橫掃)RX Mapping'!C51&gt;=481,'(橫掃)RX Mapping'!C51&lt;=600), ('(橫掃)RX Mapping'!C51-361),IF(AND('(橫掃)RX Mapping'!C51&gt;=601,'(橫掃)RX Mapping'!C51&lt;=720), (-1)*('(橫掃)RX Mapping'!C51-720)+120,IF(AND('(橫掃)RX Mapping'!C51&gt;=721,'(橫掃)RX Mapping'!C51&lt;=840), ('(橫掃)RX Mapping'!C51-601),IF(AND('(橫掃)RX Mapping'!C51&gt;=841,'(橫掃)RX Mapping'!C51&lt;=960), (-1)*('(橫掃)RX Mapping'!C51-960)+120,9999))))))))</f>
        <v>9999</v>
      </c>
      <c r="D51">
        <f>IF(AND('(橫掃)RX Mapping'!D51&gt;=1,'(橫掃)RX Mapping'!D51&lt;=120), ('(橫掃)RX Mapping'!D51-1),IF(AND('(橫掃)RX Mapping'!D51&gt;=121,'(橫掃)RX Mapping'!D51&lt;=240), (-1)*('(橫掃)RX Mapping'!D51-240),IF(AND('(橫掃)RX Mapping'!D51&gt;=241,'(橫掃)RX Mapping'!D51&lt;=360), ('(橫掃)RX Mapping'!D51-241),IF(AND('(橫掃)RX Mapping'!D51&gt;=361,'(橫掃)RX Mapping'!D51&lt;=480), (-1)*('(橫掃)RX Mapping'!D51-480),IF(AND('(橫掃)RX Mapping'!D51&gt;=481,'(橫掃)RX Mapping'!D51&lt;=600), ('(橫掃)RX Mapping'!D51-361),IF(AND('(橫掃)RX Mapping'!D51&gt;=601,'(橫掃)RX Mapping'!D51&lt;=720), (-1)*('(橫掃)RX Mapping'!D51-720)+120,IF(AND('(橫掃)RX Mapping'!D51&gt;=721,'(橫掃)RX Mapping'!D51&lt;=840), ('(橫掃)RX Mapping'!D51-601),IF(AND('(橫掃)RX Mapping'!D51&gt;=841,'(橫掃)RX Mapping'!D51&lt;=960), (-1)*('(橫掃)RX Mapping'!D51-960)+120,9999))))))))</f>
        <v>9999</v>
      </c>
      <c r="E51">
        <f>IF(AND('(橫掃)RX Mapping'!E51&gt;=1,'(橫掃)RX Mapping'!E51&lt;=120), ('(橫掃)RX Mapping'!E51-1),IF(AND('(橫掃)RX Mapping'!E51&gt;=121,'(橫掃)RX Mapping'!E51&lt;=240), (-1)*('(橫掃)RX Mapping'!E51-240),IF(AND('(橫掃)RX Mapping'!E51&gt;=241,'(橫掃)RX Mapping'!E51&lt;=360), ('(橫掃)RX Mapping'!E51-241),IF(AND('(橫掃)RX Mapping'!E51&gt;=361,'(橫掃)RX Mapping'!E51&lt;=480), (-1)*('(橫掃)RX Mapping'!E51-480),IF(AND('(橫掃)RX Mapping'!E51&gt;=481,'(橫掃)RX Mapping'!E51&lt;=600), ('(橫掃)RX Mapping'!E51-361),IF(AND('(橫掃)RX Mapping'!E51&gt;=601,'(橫掃)RX Mapping'!E51&lt;=720), (-1)*('(橫掃)RX Mapping'!E51-720)+120,IF(AND('(橫掃)RX Mapping'!E51&gt;=721,'(橫掃)RX Mapping'!E51&lt;=840), ('(橫掃)RX Mapping'!E51-601),IF(AND('(橫掃)RX Mapping'!E51&gt;=841,'(橫掃)RX Mapping'!E51&lt;=960), (-1)*('(橫掃)RX Mapping'!E51-960)+120,9999))))))))</f>
        <v>9999</v>
      </c>
      <c r="F51">
        <f>IF(AND('(橫掃)RX Mapping'!F51&gt;=1,'(橫掃)RX Mapping'!F51&lt;=120), ('(橫掃)RX Mapping'!F51-1),IF(AND('(橫掃)RX Mapping'!F51&gt;=121,'(橫掃)RX Mapping'!F51&lt;=240), (-1)*('(橫掃)RX Mapping'!F51-240),IF(AND('(橫掃)RX Mapping'!F51&gt;=241,'(橫掃)RX Mapping'!F51&lt;=360), ('(橫掃)RX Mapping'!F51-241),IF(AND('(橫掃)RX Mapping'!F51&gt;=361,'(橫掃)RX Mapping'!F51&lt;=480), (-1)*('(橫掃)RX Mapping'!F51-480),IF(AND('(橫掃)RX Mapping'!F51&gt;=481,'(橫掃)RX Mapping'!F51&lt;=600), ('(橫掃)RX Mapping'!F51-361),IF(AND('(橫掃)RX Mapping'!F51&gt;=601,'(橫掃)RX Mapping'!F51&lt;=720), (-1)*('(橫掃)RX Mapping'!F51-720)+120,IF(AND('(橫掃)RX Mapping'!F51&gt;=721,'(橫掃)RX Mapping'!F51&lt;=840), ('(橫掃)RX Mapping'!F51-601),IF(AND('(橫掃)RX Mapping'!F51&gt;=841,'(橫掃)RX Mapping'!F51&lt;=960), (-1)*('(橫掃)RX Mapping'!F51-960)+120,9999))))))))</f>
        <v>9999</v>
      </c>
      <c r="G51">
        <f>IF(AND('(橫掃)RX Mapping'!G51&gt;=1,'(橫掃)RX Mapping'!G51&lt;=120), ('(橫掃)RX Mapping'!G51-1),IF(AND('(橫掃)RX Mapping'!G51&gt;=121,'(橫掃)RX Mapping'!G51&lt;=240), (-1)*('(橫掃)RX Mapping'!G51-240),IF(AND('(橫掃)RX Mapping'!G51&gt;=241,'(橫掃)RX Mapping'!G51&lt;=360), ('(橫掃)RX Mapping'!G51-241),IF(AND('(橫掃)RX Mapping'!G51&gt;=361,'(橫掃)RX Mapping'!G51&lt;=480), (-1)*('(橫掃)RX Mapping'!G51-480),IF(AND('(橫掃)RX Mapping'!G51&gt;=481,'(橫掃)RX Mapping'!G51&lt;=600), ('(橫掃)RX Mapping'!G51-361),IF(AND('(橫掃)RX Mapping'!G51&gt;=601,'(橫掃)RX Mapping'!G51&lt;=720), (-1)*('(橫掃)RX Mapping'!G51-720)+120,IF(AND('(橫掃)RX Mapping'!G51&gt;=721,'(橫掃)RX Mapping'!G51&lt;=840), ('(橫掃)RX Mapping'!G51-601),IF(AND('(橫掃)RX Mapping'!G51&gt;=841,'(橫掃)RX Mapping'!G51&lt;=960), (-1)*('(橫掃)RX Mapping'!G51-960)+120,9999))))))))</f>
        <v>9999</v>
      </c>
      <c r="H51">
        <f>IF(AND('(橫掃)RX Mapping'!H51&gt;=1,'(橫掃)RX Mapping'!H51&lt;=120), ('(橫掃)RX Mapping'!H51-1),IF(AND('(橫掃)RX Mapping'!H51&gt;=121,'(橫掃)RX Mapping'!H51&lt;=240), (-1)*('(橫掃)RX Mapping'!H51-240),IF(AND('(橫掃)RX Mapping'!H51&gt;=241,'(橫掃)RX Mapping'!H51&lt;=360), ('(橫掃)RX Mapping'!H51-241),IF(AND('(橫掃)RX Mapping'!H51&gt;=361,'(橫掃)RX Mapping'!H51&lt;=480), (-1)*('(橫掃)RX Mapping'!H51-480),IF(AND('(橫掃)RX Mapping'!H51&gt;=481,'(橫掃)RX Mapping'!H51&lt;=600), ('(橫掃)RX Mapping'!H51-361),IF(AND('(橫掃)RX Mapping'!H51&gt;=601,'(橫掃)RX Mapping'!H51&lt;=720), (-1)*('(橫掃)RX Mapping'!H51-720)+120,IF(AND('(橫掃)RX Mapping'!H51&gt;=721,'(橫掃)RX Mapping'!H51&lt;=840), ('(橫掃)RX Mapping'!H51-601),IF(AND('(橫掃)RX Mapping'!H51&gt;=841,'(橫掃)RX Mapping'!H51&lt;=960), (-1)*('(橫掃)RX Mapping'!H51-960)+120,9999))))))))</f>
        <v>9999</v>
      </c>
      <c r="I51">
        <f>IF(AND('(橫掃)RX Mapping'!I51&gt;=1,'(橫掃)RX Mapping'!I51&lt;=120), ('(橫掃)RX Mapping'!I51-1),IF(AND('(橫掃)RX Mapping'!I51&gt;=121,'(橫掃)RX Mapping'!I51&lt;=240), (-1)*('(橫掃)RX Mapping'!I51-240),IF(AND('(橫掃)RX Mapping'!I51&gt;=241,'(橫掃)RX Mapping'!I51&lt;=360), ('(橫掃)RX Mapping'!I51-241),IF(AND('(橫掃)RX Mapping'!I51&gt;=361,'(橫掃)RX Mapping'!I51&lt;=480), (-1)*('(橫掃)RX Mapping'!I51-480),IF(AND('(橫掃)RX Mapping'!I51&gt;=481,'(橫掃)RX Mapping'!I51&lt;=600), ('(橫掃)RX Mapping'!I51-361),IF(AND('(橫掃)RX Mapping'!I51&gt;=601,'(橫掃)RX Mapping'!I51&lt;=720), (-1)*('(橫掃)RX Mapping'!I51-720)+120,IF(AND('(橫掃)RX Mapping'!I51&gt;=721,'(橫掃)RX Mapping'!I51&lt;=840), ('(橫掃)RX Mapping'!I51-601),IF(AND('(橫掃)RX Mapping'!I51&gt;=841,'(橫掃)RX Mapping'!I51&lt;=960), (-1)*('(橫掃)RX Mapping'!I51-960)+120,9999))))))))</f>
        <v>9999</v>
      </c>
      <c r="J51">
        <f>IF(AND('(橫掃)RX Mapping'!J51&gt;=1,'(橫掃)RX Mapping'!J51&lt;=120), ('(橫掃)RX Mapping'!J51-1),IF(AND('(橫掃)RX Mapping'!J51&gt;=121,'(橫掃)RX Mapping'!J51&lt;=240), (-1)*('(橫掃)RX Mapping'!J51-240),IF(AND('(橫掃)RX Mapping'!J51&gt;=241,'(橫掃)RX Mapping'!J51&lt;=360), ('(橫掃)RX Mapping'!J51-241),IF(AND('(橫掃)RX Mapping'!J51&gt;=361,'(橫掃)RX Mapping'!J51&lt;=480), (-1)*('(橫掃)RX Mapping'!J51-480),IF(AND('(橫掃)RX Mapping'!J51&gt;=481,'(橫掃)RX Mapping'!J51&lt;=600), ('(橫掃)RX Mapping'!J51-361),IF(AND('(橫掃)RX Mapping'!J51&gt;=601,'(橫掃)RX Mapping'!J51&lt;=720), (-1)*('(橫掃)RX Mapping'!J51-720)+120,IF(AND('(橫掃)RX Mapping'!J51&gt;=721,'(橫掃)RX Mapping'!J51&lt;=840), ('(橫掃)RX Mapping'!J51-601),IF(AND('(橫掃)RX Mapping'!J51&gt;=841,'(橫掃)RX Mapping'!J51&lt;=960), (-1)*('(橫掃)RX Mapping'!J51-960)+120,9999))))))))</f>
        <v>9999</v>
      </c>
      <c r="K51">
        <f>IF(AND('(橫掃)RX Mapping'!K51&gt;=1,'(橫掃)RX Mapping'!K51&lt;=120), ('(橫掃)RX Mapping'!K51-1),IF(AND('(橫掃)RX Mapping'!K51&gt;=121,'(橫掃)RX Mapping'!K51&lt;=240), (-1)*('(橫掃)RX Mapping'!K51-240),IF(AND('(橫掃)RX Mapping'!K51&gt;=241,'(橫掃)RX Mapping'!K51&lt;=360), ('(橫掃)RX Mapping'!K51-241),IF(AND('(橫掃)RX Mapping'!K51&gt;=361,'(橫掃)RX Mapping'!K51&lt;=480), (-1)*('(橫掃)RX Mapping'!K51-480),IF(AND('(橫掃)RX Mapping'!K51&gt;=481,'(橫掃)RX Mapping'!K51&lt;=600), ('(橫掃)RX Mapping'!K51-361),IF(AND('(橫掃)RX Mapping'!K51&gt;=601,'(橫掃)RX Mapping'!K51&lt;=720), (-1)*('(橫掃)RX Mapping'!K51-720)+120,IF(AND('(橫掃)RX Mapping'!K51&gt;=721,'(橫掃)RX Mapping'!K51&lt;=840), ('(橫掃)RX Mapping'!K51-601),IF(AND('(橫掃)RX Mapping'!K51&gt;=841,'(橫掃)RX Mapping'!K51&lt;=960), (-1)*('(橫掃)RX Mapping'!K51-960)+120,9999))))))))</f>
        <v>9999</v>
      </c>
      <c r="L51">
        <f>IF(AND('(橫掃)RX Mapping'!L51&gt;=1,'(橫掃)RX Mapping'!L51&lt;=120), ('(橫掃)RX Mapping'!L51-1),IF(AND('(橫掃)RX Mapping'!L51&gt;=121,'(橫掃)RX Mapping'!L51&lt;=240), (-1)*('(橫掃)RX Mapping'!L51-240),IF(AND('(橫掃)RX Mapping'!L51&gt;=241,'(橫掃)RX Mapping'!L51&lt;=360), ('(橫掃)RX Mapping'!L51-241),IF(AND('(橫掃)RX Mapping'!L51&gt;=361,'(橫掃)RX Mapping'!L51&lt;=480), (-1)*('(橫掃)RX Mapping'!L51-480),IF(AND('(橫掃)RX Mapping'!L51&gt;=481,'(橫掃)RX Mapping'!L51&lt;=600), ('(橫掃)RX Mapping'!L51-361),IF(AND('(橫掃)RX Mapping'!L51&gt;=601,'(橫掃)RX Mapping'!L51&lt;=720), (-1)*('(橫掃)RX Mapping'!L51-720)+120,IF(AND('(橫掃)RX Mapping'!L51&gt;=721,'(橫掃)RX Mapping'!L51&lt;=840), ('(橫掃)RX Mapping'!L51-601),IF(AND('(橫掃)RX Mapping'!L51&gt;=841,'(橫掃)RX Mapping'!L51&lt;=960), (-1)*('(橫掃)RX Mapping'!L51-960)+120,9999))))))))</f>
        <v>9999</v>
      </c>
      <c r="M51">
        <f>IF(AND('(橫掃)RX Mapping'!M51&gt;=1,'(橫掃)RX Mapping'!M51&lt;=120), ('(橫掃)RX Mapping'!M51-1),IF(AND('(橫掃)RX Mapping'!M51&gt;=121,'(橫掃)RX Mapping'!M51&lt;=240), (-1)*('(橫掃)RX Mapping'!M51-240),IF(AND('(橫掃)RX Mapping'!M51&gt;=241,'(橫掃)RX Mapping'!M51&lt;=360), ('(橫掃)RX Mapping'!M51-241),IF(AND('(橫掃)RX Mapping'!M51&gt;=361,'(橫掃)RX Mapping'!M51&lt;=480), (-1)*('(橫掃)RX Mapping'!M51-480),IF(AND('(橫掃)RX Mapping'!M51&gt;=481,'(橫掃)RX Mapping'!M51&lt;=600), ('(橫掃)RX Mapping'!M51-361),IF(AND('(橫掃)RX Mapping'!M51&gt;=601,'(橫掃)RX Mapping'!M51&lt;=720), (-1)*('(橫掃)RX Mapping'!M51-720)+120,IF(AND('(橫掃)RX Mapping'!M51&gt;=721,'(橫掃)RX Mapping'!M51&lt;=840), ('(橫掃)RX Mapping'!M51-601),IF(AND('(橫掃)RX Mapping'!M51&gt;=841,'(橫掃)RX Mapping'!M51&lt;=960), (-1)*('(橫掃)RX Mapping'!M51-960)+120,9999))))))))</f>
        <v>9999</v>
      </c>
      <c r="N51">
        <f>IF(AND('(橫掃)RX Mapping'!N51&gt;=1,'(橫掃)RX Mapping'!N51&lt;=120), ('(橫掃)RX Mapping'!N51-1),IF(AND('(橫掃)RX Mapping'!N51&gt;=121,'(橫掃)RX Mapping'!N51&lt;=240), (-1)*('(橫掃)RX Mapping'!N51-240),IF(AND('(橫掃)RX Mapping'!N51&gt;=241,'(橫掃)RX Mapping'!N51&lt;=360), ('(橫掃)RX Mapping'!N51-241),IF(AND('(橫掃)RX Mapping'!N51&gt;=361,'(橫掃)RX Mapping'!N51&lt;=480), (-1)*('(橫掃)RX Mapping'!N51-480),IF(AND('(橫掃)RX Mapping'!N51&gt;=481,'(橫掃)RX Mapping'!N51&lt;=600), ('(橫掃)RX Mapping'!N51-361),IF(AND('(橫掃)RX Mapping'!N51&gt;=601,'(橫掃)RX Mapping'!N51&lt;=720), (-1)*('(橫掃)RX Mapping'!N51-720)+120,IF(AND('(橫掃)RX Mapping'!N51&gt;=721,'(橫掃)RX Mapping'!N51&lt;=840), ('(橫掃)RX Mapping'!N51-601),IF(AND('(橫掃)RX Mapping'!N51&gt;=841,'(橫掃)RX Mapping'!N51&lt;=960), (-1)*('(橫掃)RX Mapping'!N51-960)+120,9999))))))))</f>
        <v>9999</v>
      </c>
      <c r="O51">
        <f>IF(AND('(橫掃)RX Mapping'!O51&gt;=1,'(橫掃)RX Mapping'!O51&lt;=120), ('(橫掃)RX Mapping'!O51-1),IF(AND('(橫掃)RX Mapping'!O51&gt;=121,'(橫掃)RX Mapping'!O51&lt;=240), (-1)*('(橫掃)RX Mapping'!O51-240),IF(AND('(橫掃)RX Mapping'!O51&gt;=241,'(橫掃)RX Mapping'!O51&lt;=360), ('(橫掃)RX Mapping'!O51-241),IF(AND('(橫掃)RX Mapping'!O51&gt;=361,'(橫掃)RX Mapping'!O51&lt;=480), (-1)*('(橫掃)RX Mapping'!O51-480),IF(AND('(橫掃)RX Mapping'!O51&gt;=481,'(橫掃)RX Mapping'!O51&lt;=600), ('(橫掃)RX Mapping'!O51-361),IF(AND('(橫掃)RX Mapping'!O51&gt;=601,'(橫掃)RX Mapping'!O51&lt;=720), (-1)*('(橫掃)RX Mapping'!O51-720)+120,IF(AND('(橫掃)RX Mapping'!O51&gt;=721,'(橫掃)RX Mapping'!O51&lt;=840), ('(橫掃)RX Mapping'!O51-601),IF(AND('(橫掃)RX Mapping'!O51&gt;=841,'(橫掃)RX Mapping'!O51&lt;=960), (-1)*('(橫掃)RX Mapping'!O51-960)+120,9999))))))))</f>
        <v>9999</v>
      </c>
      <c r="P51">
        <f>IF(AND('(橫掃)RX Mapping'!P51&gt;=1,'(橫掃)RX Mapping'!P51&lt;=120), ('(橫掃)RX Mapping'!P51-1),IF(AND('(橫掃)RX Mapping'!P51&gt;=121,'(橫掃)RX Mapping'!P51&lt;=240), (-1)*('(橫掃)RX Mapping'!P51-240),IF(AND('(橫掃)RX Mapping'!P51&gt;=241,'(橫掃)RX Mapping'!P51&lt;=360), ('(橫掃)RX Mapping'!P51-241),IF(AND('(橫掃)RX Mapping'!P51&gt;=361,'(橫掃)RX Mapping'!P51&lt;=480), (-1)*('(橫掃)RX Mapping'!P51-480),IF(AND('(橫掃)RX Mapping'!P51&gt;=481,'(橫掃)RX Mapping'!P51&lt;=600), ('(橫掃)RX Mapping'!P51-361),IF(AND('(橫掃)RX Mapping'!P51&gt;=601,'(橫掃)RX Mapping'!P51&lt;=720), (-1)*('(橫掃)RX Mapping'!P51-720)+120,IF(AND('(橫掃)RX Mapping'!P51&gt;=721,'(橫掃)RX Mapping'!P51&lt;=840), ('(橫掃)RX Mapping'!P51-601),IF(AND('(橫掃)RX Mapping'!P51&gt;=841,'(橫掃)RX Mapping'!P51&lt;=960), (-1)*('(橫掃)RX Mapping'!P51-960)+120,9999))))))))</f>
        <v>9999</v>
      </c>
      <c r="Q51">
        <f>IF(AND('(橫掃)RX Mapping'!Q51&gt;=1,'(橫掃)RX Mapping'!Q51&lt;=120), ('(橫掃)RX Mapping'!Q51-1),IF(AND('(橫掃)RX Mapping'!Q51&gt;=121,'(橫掃)RX Mapping'!Q51&lt;=240), (-1)*('(橫掃)RX Mapping'!Q51-240),IF(AND('(橫掃)RX Mapping'!Q51&gt;=241,'(橫掃)RX Mapping'!Q51&lt;=360), ('(橫掃)RX Mapping'!Q51-241),IF(AND('(橫掃)RX Mapping'!Q51&gt;=361,'(橫掃)RX Mapping'!Q51&lt;=480), (-1)*('(橫掃)RX Mapping'!Q51-480),IF(AND('(橫掃)RX Mapping'!Q51&gt;=481,'(橫掃)RX Mapping'!Q51&lt;=600), ('(橫掃)RX Mapping'!Q51-361),IF(AND('(橫掃)RX Mapping'!Q51&gt;=601,'(橫掃)RX Mapping'!Q51&lt;=720), (-1)*('(橫掃)RX Mapping'!Q51-720)+120,IF(AND('(橫掃)RX Mapping'!Q51&gt;=721,'(橫掃)RX Mapping'!Q51&lt;=840), ('(橫掃)RX Mapping'!Q51-601),IF(AND('(橫掃)RX Mapping'!Q51&gt;=841,'(橫掃)RX Mapping'!Q51&lt;=960), (-1)*('(橫掃)RX Mapping'!Q51-960)+120,9999))))))))</f>
        <v>9999</v>
      </c>
      <c r="R51">
        <f>IF(AND('(橫掃)RX Mapping'!R51&gt;=1,'(橫掃)RX Mapping'!R51&lt;=120), ('(橫掃)RX Mapping'!R51-1),IF(AND('(橫掃)RX Mapping'!R51&gt;=121,'(橫掃)RX Mapping'!R51&lt;=240), (-1)*('(橫掃)RX Mapping'!R51-240),IF(AND('(橫掃)RX Mapping'!R51&gt;=241,'(橫掃)RX Mapping'!R51&lt;=360), ('(橫掃)RX Mapping'!R51-241),IF(AND('(橫掃)RX Mapping'!R51&gt;=361,'(橫掃)RX Mapping'!R51&lt;=480), (-1)*('(橫掃)RX Mapping'!R51-480),IF(AND('(橫掃)RX Mapping'!R51&gt;=481,'(橫掃)RX Mapping'!R51&lt;=600), ('(橫掃)RX Mapping'!R51-361),IF(AND('(橫掃)RX Mapping'!R51&gt;=601,'(橫掃)RX Mapping'!R51&lt;=720), (-1)*('(橫掃)RX Mapping'!R51-720)+120,IF(AND('(橫掃)RX Mapping'!R51&gt;=721,'(橫掃)RX Mapping'!R51&lt;=840), ('(橫掃)RX Mapping'!R51-601),IF(AND('(橫掃)RX Mapping'!R51&gt;=841,'(橫掃)RX Mapping'!R51&lt;=960), (-1)*('(橫掃)RX Mapping'!R51-960)+120,9999))))))))</f>
        <v>9999</v>
      </c>
      <c r="S51">
        <f>IF(AND('(橫掃)RX Mapping'!S51&gt;=1,'(橫掃)RX Mapping'!S51&lt;=120), ('(橫掃)RX Mapping'!S51-1),IF(AND('(橫掃)RX Mapping'!S51&gt;=121,'(橫掃)RX Mapping'!S51&lt;=240), (-1)*('(橫掃)RX Mapping'!S51-240),IF(AND('(橫掃)RX Mapping'!S51&gt;=241,'(橫掃)RX Mapping'!S51&lt;=360), ('(橫掃)RX Mapping'!S51-241),IF(AND('(橫掃)RX Mapping'!S51&gt;=361,'(橫掃)RX Mapping'!S51&lt;=480), (-1)*('(橫掃)RX Mapping'!S51-480),IF(AND('(橫掃)RX Mapping'!S51&gt;=481,'(橫掃)RX Mapping'!S51&lt;=600), ('(橫掃)RX Mapping'!S51-361),IF(AND('(橫掃)RX Mapping'!S51&gt;=601,'(橫掃)RX Mapping'!S51&lt;=720), (-1)*('(橫掃)RX Mapping'!S51-720)+120,IF(AND('(橫掃)RX Mapping'!S51&gt;=721,'(橫掃)RX Mapping'!S51&lt;=840), ('(橫掃)RX Mapping'!S51-601),IF(AND('(橫掃)RX Mapping'!S51&gt;=841,'(橫掃)RX Mapping'!S51&lt;=960), (-1)*('(橫掃)RX Mapping'!S51-960)+120,9999))))))))</f>
        <v>9999</v>
      </c>
      <c r="T51">
        <f>IF(AND('(橫掃)RX Mapping'!T51&gt;=1,'(橫掃)RX Mapping'!T51&lt;=120), ('(橫掃)RX Mapping'!T51-1),IF(AND('(橫掃)RX Mapping'!T51&gt;=121,'(橫掃)RX Mapping'!T51&lt;=240), (-1)*('(橫掃)RX Mapping'!T51-240),IF(AND('(橫掃)RX Mapping'!T51&gt;=241,'(橫掃)RX Mapping'!T51&lt;=360), ('(橫掃)RX Mapping'!T51-241),IF(AND('(橫掃)RX Mapping'!T51&gt;=361,'(橫掃)RX Mapping'!T51&lt;=480), (-1)*('(橫掃)RX Mapping'!T51-480),IF(AND('(橫掃)RX Mapping'!T51&gt;=481,'(橫掃)RX Mapping'!T51&lt;=600), ('(橫掃)RX Mapping'!T51-361),IF(AND('(橫掃)RX Mapping'!T51&gt;=601,'(橫掃)RX Mapping'!T51&lt;=720), (-1)*('(橫掃)RX Mapping'!T51-720)+120,IF(AND('(橫掃)RX Mapping'!T51&gt;=721,'(橫掃)RX Mapping'!T51&lt;=840), ('(橫掃)RX Mapping'!T51-601),IF(AND('(橫掃)RX Mapping'!T51&gt;=841,'(橫掃)RX Mapping'!T51&lt;=960), (-1)*('(橫掃)RX Mapping'!T51-960)+120,9999))))))))</f>
        <v>9999</v>
      </c>
      <c r="U51">
        <f>IF(AND('(橫掃)RX Mapping'!U51&gt;=1,'(橫掃)RX Mapping'!U51&lt;=120), ('(橫掃)RX Mapping'!U51-1),IF(AND('(橫掃)RX Mapping'!U51&gt;=121,'(橫掃)RX Mapping'!U51&lt;=240), (-1)*('(橫掃)RX Mapping'!U51-240),IF(AND('(橫掃)RX Mapping'!U51&gt;=241,'(橫掃)RX Mapping'!U51&lt;=360), ('(橫掃)RX Mapping'!U51-241),IF(AND('(橫掃)RX Mapping'!U51&gt;=361,'(橫掃)RX Mapping'!U51&lt;=480), (-1)*('(橫掃)RX Mapping'!U51-480),IF(AND('(橫掃)RX Mapping'!U51&gt;=481,'(橫掃)RX Mapping'!U51&lt;=600), ('(橫掃)RX Mapping'!U51-361),IF(AND('(橫掃)RX Mapping'!U51&gt;=601,'(橫掃)RX Mapping'!U51&lt;=720), (-1)*('(橫掃)RX Mapping'!U51-720)+120,IF(AND('(橫掃)RX Mapping'!U51&gt;=721,'(橫掃)RX Mapping'!U51&lt;=840), ('(橫掃)RX Mapping'!U51-601),IF(AND('(橫掃)RX Mapping'!U51&gt;=841,'(橫掃)RX Mapping'!U51&lt;=960), (-1)*('(橫掃)RX Mapping'!U51-960)+120,9999))))))))</f>
        <v>9999</v>
      </c>
      <c r="V51">
        <f>IF(AND('(橫掃)RX Mapping'!V51&gt;=1,'(橫掃)RX Mapping'!V51&lt;=120), ('(橫掃)RX Mapping'!V51-1),IF(AND('(橫掃)RX Mapping'!V51&gt;=121,'(橫掃)RX Mapping'!V51&lt;=240), (-1)*('(橫掃)RX Mapping'!V51-240),IF(AND('(橫掃)RX Mapping'!V51&gt;=241,'(橫掃)RX Mapping'!V51&lt;=360), ('(橫掃)RX Mapping'!V51-241),IF(AND('(橫掃)RX Mapping'!V51&gt;=361,'(橫掃)RX Mapping'!V51&lt;=480), (-1)*('(橫掃)RX Mapping'!V51-480),IF(AND('(橫掃)RX Mapping'!V51&gt;=481,'(橫掃)RX Mapping'!V51&lt;=600), ('(橫掃)RX Mapping'!V51-361),IF(AND('(橫掃)RX Mapping'!V51&gt;=601,'(橫掃)RX Mapping'!V51&lt;=720), (-1)*('(橫掃)RX Mapping'!V51-720)+120,IF(AND('(橫掃)RX Mapping'!V51&gt;=721,'(橫掃)RX Mapping'!V51&lt;=840), ('(橫掃)RX Mapping'!V51-601),IF(AND('(橫掃)RX Mapping'!V51&gt;=841,'(橫掃)RX Mapping'!V51&lt;=960), (-1)*('(橫掃)RX Mapping'!V51-960)+120,9999))))))))</f>
        <v>9999</v>
      </c>
      <c r="W51">
        <f>IF(AND('(橫掃)RX Mapping'!W51&gt;=1,'(橫掃)RX Mapping'!W51&lt;=120), ('(橫掃)RX Mapping'!W51-1),IF(AND('(橫掃)RX Mapping'!W51&gt;=121,'(橫掃)RX Mapping'!W51&lt;=240), (-1)*('(橫掃)RX Mapping'!W51-240),IF(AND('(橫掃)RX Mapping'!W51&gt;=241,'(橫掃)RX Mapping'!W51&lt;=360), ('(橫掃)RX Mapping'!W51-241),IF(AND('(橫掃)RX Mapping'!W51&gt;=361,'(橫掃)RX Mapping'!W51&lt;=480), (-1)*('(橫掃)RX Mapping'!W51-480),IF(AND('(橫掃)RX Mapping'!W51&gt;=481,'(橫掃)RX Mapping'!W51&lt;=600), ('(橫掃)RX Mapping'!W51-361),IF(AND('(橫掃)RX Mapping'!W51&gt;=601,'(橫掃)RX Mapping'!W51&lt;=720), (-1)*('(橫掃)RX Mapping'!W51-720)+120,IF(AND('(橫掃)RX Mapping'!W51&gt;=721,'(橫掃)RX Mapping'!W51&lt;=840), ('(橫掃)RX Mapping'!W51-601),IF(AND('(橫掃)RX Mapping'!W51&gt;=841,'(橫掃)RX Mapping'!W51&lt;=960), (-1)*('(橫掃)RX Mapping'!W51-960)+120,9999))))))))</f>
        <v>9999</v>
      </c>
      <c r="X51">
        <f>IF(AND('(橫掃)RX Mapping'!X51&gt;=1,'(橫掃)RX Mapping'!X51&lt;=120), ('(橫掃)RX Mapping'!X51-1),IF(AND('(橫掃)RX Mapping'!X51&gt;=121,'(橫掃)RX Mapping'!X51&lt;=240), (-1)*('(橫掃)RX Mapping'!X51-240),IF(AND('(橫掃)RX Mapping'!X51&gt;=241,'(橫掃)RX Mapping'!X51&lt;=360), ('(橫掃)RX Mapping'!X51-241),IF(AND('(橫掃)RX Mapping'!X51&gt;=361,'(橫掃)RX Mapping'!X51&lt;=480), (-1)*('(橫掃)RX Mapping'!X51-480),IF(AND('(橫掃)RX Mapping'!X51&gt;=481,'(橫掃)RX Mapping'!X51&lt;=600), ('(橫掃)RX Mapping'!X51-361),IF(AND('(橫掃)RX Mapping'!X51&gt;=601,'(橫掃)RX Mapping'!X51&lt;=720), (-1)*('(橫掃)RX Mapping'!X51-720)+120,IF(AND('(橫掃)RX Mapping'!X51&gt;=721,'(橫掃)RX Mapping'!X51&lt;=840), ('(橫掃)RX Mapping'!X51-601),IF(AND('(橫掃)RX Mapping'!X51&gt;=841,'(橫掃)RX Mapping'!X51&lt;=960), (-1)*('(橫掃)RX Mapping'!X51-960)+120,9999))))))))</f>
        <v>9999</v>
      </c>
      <c r="Y51">
        <f>IF(AND('(橫掃)RX Mapping'!Y51&gt;=1,'(橫掃)RX Mapping'!Y51&lt;=120), ('(橫掃)RX Mapping'!Y51-1),IF(AND('(橫掃)RX Mapping'!Y51&gt;=121,'(橫掃)RX Mapping'!Y51&lt;=240), (-1)*('(橫掃)RX Mapping'!Y51-240),IF(AND('(橫掃)RX Mapping'!Y51&gt;=241,'(橫掃)RX Mapping'!Y51&lt;=360), ('(橫掃)RX Mapping'!Y51-241),IF(AND('(橫掃)RX Mapping'!Y51&gt;=361,'(橫掃)RX Mapping'!Y51&lt;=480), (-1)*('(橫掃)RX Mapping'!Y51-480),IF(AND('(橫掃)RX Mapping'!Y51&gt;=481,'(橫掃)RX Mapping'!Y51&lt;=600), ('(橫掃)RX Mapping'!Y51-361),IF(AND('(橫掃)RX Mapping'!Y51&gt;=601,'(橫掃)RX Mapping'!Y51&lt;=720), (-1)*('(橫掃)RX Mapping'!Y51-720)+120,IF(AND('(橫掃)RX Mapping'!Y51&gt;=721,'(橫掃)RX Mapping'!Y51&lt;=840), ('(橫掃)RX Mapping'!Y51-601),IF(AND('(橫掃)RX Mapping'!Y51&gt;=841,'(橫掃)RX Mapping'!Y51&lt;=960), (-1)*('(橫掃)RX Mapping'!Y51-960)+120,9999))))))))</f>
        <v>9999</v>
      </c>
      <c r="Z51">
        <f>IF(AND('(橫掃)RX Mapping'!Z51&gt;=1,'(橫掃)RX Mapping'!Z51&lt;=120), ('(橫掃)RX Mapping'!Z51-1),IF(AND('(橫掃)RX Mapping'!Z51&gt;=121,'(橫掃)RX Mapping'!Z51&lt;=240), (-1)*('(橫掃)RX Mapping'!Z51-240),IF(AND('(橫掃)RX Mapping'!Z51&gt;=241,'(橫掃)RX Mapping'!Z51&lt;=360), ('(橫掃)RX Mapping'!Z51-241),IF(AND('(橫掃)RX Mapping'!Z51&gt;=361,'(橫掃)RX Mapping'!Z51&lt;=480), (-1)*('(橫掃)RX Mapping'!Z51-480),IF(AND('(橫掃)RX Mapping'!Z51&gt;=481,'(橫掃)RX Mapping'!Z51&lt;=600), ('(橫掃)RX Mapping'!Z51-361),IF(AND('(橫掃)RX Mapping'!Z51&gt;=601,'(橫掃)RX Mapping'!Z51&lt;=720), (-1)*('(橫掃)RX Mapping'!Z51-720)+120,IF(AND('(橫掃)RX Mapping'!Z51&gt;=721,'(橫掃)RX Mapping'!Z51&lt;=840), ('(橫掃)RX Mapping'!Z51-601),IF(AND('(橫掃)RX Mapping'!Z51&gt;=841,'(橫掃)RX Mapping'!Z51&lt;=960), (-1)*('(橫掃)RX Mapping'!Z51-960)+120,9999))))))))</f>
        <v>9999</v>
      </c>
      <c r="AA51">
        <f>IF(AND('(橫掃)RX Mapping'!AA51&gt;=1,'(橫掃)RX Mapping'!AA51&lt;=120), ('(橫掃)RX Mapping'!AA51-1),IF(AND('(橫掃)RX Mapping'!AA51&gt;=121,'(橫掃)RX Mapping'!AA51&lt;=240), (-1)*('(橫掃)RX Mapping'!AA51-240),IF(AND('(橫掃)RX Mapping'!AA51&gt;=241,'(橫掃)RX Mapping'!AA51&lt;=360), ('(橫掃)RX Mapping'!AA51-241),IF(AND('(橫掃)RX Mapping'!AA51&gt;=361,'(橫掃)RX Mapping'!AA51&lt;=480), (-1)*('(橫掃)RX Mapping'!AA51-480),IF(AND('(橫掃)RX Mapping'!AA51&gt;=481,'(橫掃)RX Mapping'!AA51&lt;=600), ('(橫掃)RX Mapping'!AA51-361),IF(AND('(橫掃)RX Mapping'!AA51&gt;=601,'(橫掃)RX Mapping'!AA51&lt;=720), (-1)*('(橫掃)RX Mapping'!AA51-720)+120,IF(AND('(橫掃)RX Mapping'!AA51&gt;=721,'(橫掃)RX Mapping'!AA51&lt;=840), ('(橫掃)RX Mapping'!AA51-601),IF(AND('(橫掃)RX Mapping'!AA51&gt;=841,'(橫掃)RX Mapping'!AA51&lt;=960), (-1)*('(橫掃)RX Mapping'!AA51-960)+120,9999))))))))</f>
        <v>9999</v>
      </c>
      <c r="AB51">
        <f>IF(AND('(橫掃)RX Mapping'!AB51&gt;=1,'(橫掃)RX Mapping'!AB51&lt;=120), ('(橫掃)RX Mapping'!AB51-1),IF(AND('(橫掃)RX Mapping'!AB51&gt;=121,'(橫掃)RX Mapping'!AB51&lt;=240), (-1)*('(橫掃)RX Mapping'!AB51-240),IF(AND('(橫掃)RX Mapping'!AB51&gt;=241,'(橫掃)RX Mapping'!AB51&lt;=360), ('(橫掃)RX Mapping'!AB51-241),IF(AND('(橫掃)RX Mapping'!AB51&gt;=361,'(橫掃)RX Mapping'!AB51&lt;=480), (-1)*('(橫掃)RX Mapping'!AB51-480),IF(AND('(橫掃)RX Mapping'!AB51&gt;=481,'(橫掃)RX Mapping'!AB51&lt;=600), ('(橫掃)RX Mapping'!AB51-361),IF(AND('(橫掃)RX Mapping'!AB51&gt;=601,'(橫掃)RX Mapping'!AB51&lt;=720), (-1)*('(橫掃)RX Mapping'!AB51-720)+120,IF(AND('(橫掃)RX Mapping'!AB51&gt;=721,'(橫掃)RX Mapping'!AB51&lt;=840), ('(橫掃)RX Mapping'!AB51-601),IF(AND('(橫掃)RX Mapping'!AB51&gt;=841,'(橫掃)RX Mapping'!AB51&lt;=960), (-1)*('(橫掃)RX Mapping'!AB51-960)+120,9999))))))))</f>
        <v>9999</v>
      </c>
      <c r="AC51">
        <f>IF(AND('(橫掃)RX Mapping'!AC51&gt;=1,'(橫掃)RX Mapping'!AC51&lt;=120), ('(橫掃)RX Mapping'!AC51-1),IF(AND('(橫掃)RX Mapping'!AC51&gt;=121,'(橫掃)RX Mapping'!AC51&lt;=240), (-1)*('(橫掃)RX Mapping'!AC51-240),IF(AND('(橫掃)RX Mapping'!AC51&gt;=241,'(橫掃)RX Mapping'!AC51&lt;=360), ('(橫掃)RX Mapping'!AC51-241),IF(AND('(橫掃)RX Mapping'!AC51&gt;=361,'(橫掃)RX Mapping'!AC51&lt;=480), (-1)*('(橫掃)RX Mapping'!AC51-480),IF(AND('(橫掃)RX Mapping'!AC51&gt;=481,'(橫掃)RX Mapping'!AC51&lt;=600), ('(橫掃)RX Mapping'!AC51-361),IF(AND('(橫掃)RX Mapping'!AC51&gt;=601,'(橫掃)RX Mapping'!AC51&lt;=720), (-1)*('(橫掃)RX Mapping'!AC51-720)+120,IF(AND('(橫掃)RX Mapping'!AC51&gt;=721,'(橫掃)RX Mapping'!AC51&lt;=840), ('(橫掃)RX Mapping'!AC51-601),IF(AND('(橫掃)RX Mapping'!AC51&gt;=841,'(橫掃)RX Mapping'!AC51&lt;=960), (-1)*('(橫掃)RX Mapping'!AC51-960)+120,9999))))))))</f>
        <v>9999</v>
      </c>
      <c r="AD51">
        <f>IF(AND('(橫掃)RX Mapping'!AD51&gt;=1,'(橫掃)RX Mapping'!AD51&lt;=120), ('(橫掃)RX Mapping'!AD51-1),IF(AND('(橫掃)RX Mapping'!AD51&gt;=121,'(橫掃)RX Mapping'!AD51&lt;=240), (-1)*('(橫掃)RX Mapping'!AD51-240),IF(AND('(橫掃)RX Mapping'!AD51&gt;=241,'(橫掃)RX Mapping'!AD51&lt;=360), ('(橫掃)RX Mapping'!AD51-241),IF(AND('(橫掃)RX Mapping'!AD51&gt;=361,'(橫掃)RX Mapping'!AD51&lt;=480), (-1)*('(橫掃)RX Mapping'!AD51-480),IF(AND('(橫掃)RX Mapping'!AD51&gt;=481,'(橫掃)RX Mapping'!AD51&lt;=600), ('(橫掃)RX Mapping'!AD51-361),IF(AND('(橫掃)RX Mapping'!AD51&gt;=601,'(橫掃)RX Mapping'!AD51&lt;=720), (-1)*('(橫掃)RX Mapping'!AD51-720)+120,IF(AND('(橫掃)RX Mapping'!AD51&gt;=721,'(橫掃)RX Mapping'!AD51&lt;=840), ('(橫掃)RX Mapping'!AD51-601),IF(AND('(橫掃)RX Mapping'!AD51&gt;=841,'(橫掃)RX Mapping'!AD51&lt;=960), (-1)*('(橫掃)RX Mapping'!AD51-960)+120,9999))))))))</f>
        <v>9999</v>
      </c>
      <c r="AE51">
        <f>IF(AND('(橫掃)RX Mapping'!AE51&gt;=1,'(橫掃)RX Mapping'!AE51&lt;=120), ('(橫掃)RX Mapping'!AE51-1),IF(AND('(橫掃)RX Mapping'!AE51&gt;=121,'(橫掃)RX Mapping'!AE51&lt;=240), (-1)*('(橫掃)RX Mapping'!AE51-240),IF(AND('(橫掃)RX Mapping'!AE51&gt;=241,'(橫掃)RX Mapping'!AE51&lt;=360), ('(橫掃)RX Mapping'!AE51-241),IF(AND('(橫掃)RX Mapping'!AE51&gt;=361,'(橫掃)RX Mapping'!AE51&lt;=480), (-1)*('(橫掃)RX Mapping'!AE51-480),IF(AND('(橫掃)RX Mapping'!AE51&gt;=481,'(橫掃)RX Mapping'!AE51&lt;=600), ('(橫掃)RX Mapping'!AE51-361),IF(AND('(橫掃)RX Mapping'!AE51&gt;=601,'(橫掃)RX Mapping'!AE51&lt;=720), (-1)*('(橫掃)RX Mapping'!AE51-720)+120,IF(AND('(橫掃)RX Mapping'!AE51&gt;=721,'(橫掃)RX Mapping'!AE51&lt;=840), ('(橫掃)RX Mapping'!AE51-601),IF(AND('(橫掃)RX Mapping'!AE51&gt;=841,'(橫掃)RX Mapping'!AE51&lt;=960), (-1)*('(橫掃)RX Mapping'!AE51-960)+120,9999))))))))</f>
        <v>9999</v>
      </c>
      <c r="AF51">
        <f>IF(AND('(橫掃)RX Mapping'!AF51&gt;=1,'(橫掃)RX Mapping'!AF51&lt;=120), ('(橫掃)RX Mapping'!AF51-1),IF(AND('(橫掃)RX Mapping'!AF51&gt;=121,'(橫掃)RX Mapping'!AF51&lt;=240), (-1)*('(橫掃)RX Mapping'!AF51-240),IF(AND('(橫掃)RX Mapping'!AF51&gt;=241,'(橫掃)RX Mapping'!AF51&lt;=360), ('(橫掃)RX Mapping'!AF51-241),IF(AND('(橫掃)RX Mapping'!AF51&gt;=361,'(橫掃)RX Mapping'!AF51&lt;=480), (-1)*('(橫掃)RX Mapping'!AF51-480),IF(AND('(橫掃)RX Mapping'!AF51&gt;=481,'(橫掃)RX Mapping'!AF51&lt;=600), ('(橫掃)RX Mapping'!AF51-361),IF(AND('(橫掃)RX Mapping'!AF51&gt;=601,'(橫掃)RX Mapping'!AF51&lt;=720), (-1)*('(橫掃)RX Mapping'!AF51-720)+120,IF(AND('(橫掃)RX Mapping'!AF51&gt;=721,'(橫掃)RX Mapping'!AF51&lt;=840), ('(橫掃)RX Mapping'!AF51-601),IF(AND('(橫掃)RX Mapping'!AF51&gt;=841,'(橫掃)RX Mapping'!AF51&lt;=960), (-1)*('(橫掃)RX Mapping'!AF51-960)+120,9999))))))))</f>
        <v>9999</v>
      </c>
      <c r="AG51">
        <f>IF(AND('(橫掃)RX Mapping'!AG51&gt;=1,'(橫掃)RX Mapping'!AG51&lt;=120), ('(橫掃)RX Mapping'!AG51-1),IF(AND('(橫掃)RX Mapping'!AG51&gt;=121,'(橫掃)RX Mapping'!AG51&lt;=240), (-1)*('(橫掃)RX Mapping'!AG51-240),IF(AND('(橫掃)RX Mapping'!AG51&gt;=241,'(橫掃)RX Mapping'!AG51&lt;=360), ('(橫掃)RX Mapping'!AG51-241),IF(AND('(橫掃)RX Mapping'!AG51&gt;=361,'(橫掃)RX Mapping'!AG51&lt;=480), (-1)*('(橫掃)RX Mapping'!AG51-480),IF(AND('(橫掃)RX Mapping'!AG51&gt;=481,'(橫掃)RX Mapping'!AG51&lt;=600), ('(橫掃)RX Mapping'!AG51-361),IF(AND('(橫掃)RX Mapping'!AG51&gt;=601,'(橫掃)RX Mapping'!AG51&lt;=720), (-1)*('(橫掃)RX Mapping'!AG51-720)+120,IF(AND('(橫掃)RX Mapping'!AG51&gt;=721,'(橫掃)RX Mapping'!AG51&lt;=840), ('(橫掃)RX Mapping'!AG51-601),IF(AND('(橫掃)RX Mapping'!AG51&gt;=841,'(橫掃)RX Mapping'!AG51&lt;=960), (-1)*('(橫掃)RX Mapping'!AG51-960)+120,9999))))))))</f>
        <v>9999</v>
      </c>
      <c r="AH51">
        <f>IF(AND('(橫掃)RX Mapping'!AH51&gt;=1,'(橫掃)RX Mapping'!AH51&lt;=120), ('(橫掃)RX Mapping'!AH51-1),IF(AND('(橫掃)RX Mapping'!AH51&gt;=121,'(橫掃)RX Mapping'!AH51&lt;=240), (-1)*('(橫掃)RX Mapping'!AH51-240),IF(AND('(橫掃)RX Mapping'!AH51&gt;=241,'(橫掃)RX Mapping'!AH51&lt;=360), ('(橫掃)RX Mapping'!AH51-241),IF(AND('(橫掃)RX Mapping'!AH51&gt;=361,'(橫掃)RX Mapping'!AH51&lt;=480), (-1)*('(橫掃)RX Mapping'!AH51-480),IF(AND('(橫掃)RX Mapping'!AH51&gt;=481,'(橫掃)RX Mapping'!AH51&lt;=600), ('(橫掃)RX Mapping'!AH51-361),IF(AND('(橫掃)RX Mapping'!AH51&gt;=601,'(橫掃)RX Mapping'!AH51&lt;=720), (-1)*('(橫掃)RX Mapping'!AH51-720)+120,IF(AND('(橫掃)RX Mapping'!AH51&gt;=721,'(橫掃)RX Mapping'!AH51&lt;=840), ('(橫掃)RX Mapping'!AH51-601),IF(AND('(橫掃)RX Mapping'!AH51&gt;=841,'(橫掃)RX Mapping'!AH51&lt;=960), (-1)*('(橫掃)RX Mapping'!AH51-960)+120,9999))))))))</f>
        <v>9999</v>
      </c>
      <c r="AI51">
        <f>IF(AND('(橫掃)RX Mapping'!AI51&gt;=1,'(橫掃)RX Mapping'!AI51&lt;=120), ('(橫掃)RX Mapping'!AI51-1),IF(AND('(橫掃)RX Mapping'!AI51&gt;=121,'(橫掃)RX Mapping'!AI51&lt;=240), (-1)*('(橫掃)RX Mapping'!AI51-240),IF(AND('(橫掃)RX Mapping'!AI51&gt;=241,'(橫掃)RX Mapping'!AI51&lt;=360), ('(橫掃)RX Mapping'!AI51-241),IF(AND('(橫掃)RX Mapping'!AI51&gt;=361,'(橫掃)RX Mapping'!AI51&lt;=480), (-1)*('(橫掃)RX Mapping'!AI51-480),IF(AND('(橫掃)RX Mapping'!AI51&gt;=481,'(橫掃)RX Mapping'!AI51&lt;=600), ('(橫掃)RX Mapping'!AI51-361),IF(AND('(橫掃)RX Mapping'!AI51&gt;=601,'(橫掃)RX Mapping'!AI51&lt;=720), (-1)*('(橫掃)RX Mapping'!AI51-720)+120,IF(AND('(橫掃)RX Mapping'!AI51&gt;=721,'(橫掃)RX Mapping'!AI51&lt;=840), ('(橫掃)RX Mapping'!AI51-601),IF(AND('(橫掃)RX Mapping'!AI51&gt;=841,'(橫掃)RX Mapping'!AI51&lt;=960), (-1)*('(橫掃)RX Mapping'!AI51-960)+120,9999))))))))</f>
        <v>9999</v>
      </c>
      <c r="AJ51">
        <f>IF(AND('(橫掃)RX Mapping'!AJ51&gt;=1,'(橫掃)RX Mapping'!AJ51&lt;=120), ('(橫掃)RX Mapping'!AJ51-1),IF(AND('(橫掃)RX Mapping'!AJ51&gt;=121,'(橫掃)RX Mapping'!AJ51&lt;=240), (-1)*('(橫掃)RX Mapping'!AJ51-240),IF(AND('(橫掃)RX Mapping'!AJ51&gt;=241,'(橫掃)RX Mapping'!AJ51&lt;=360), ('(橫掃)RX Mapping'!AJ51-241),IF(AND('(橫掃)RX Mapping'!AJ51&gt;=361,'(橫掃)RX Mapping'!AJ51&lt;=480), (-1)*('(橫掃)RX Mapping'!AJ51-480),IF(AND('(橫掃)RX Mapping'!AJ51&gt;=481,'(橫掃)RX Mapping'!AJ51&lt;=600), ('(橫掃)RX Mapping'!AJ51-361),IF(AND('(橫掃)RX Mapping'!AJ51&gt;=601,'(橫掃)RX Mapping'!AJ51&lt;=720), (-1)*('(橫掃)RX Mapping'!AJ51-720)+120,IF(AND('(橫掃)RX Mapping'!AJ51&gt;=721,'(橫掃)RX Mapping'!AJ51&lt;=840), ('(橫掃)RX Mapping'!AJ51-601),IF(AND('(橫掃)RX Mapping'!AJ51&gt;=841,'(橫掃)RX Mapping'!AJ51&lt;=960), (-1)*('(橫掃)RX Mapping'!AJ51-960)+120,9999))))))))</f>
        <v>9999</v>
      </c>
      <c r="AK51">
        <f>IF(AND('(橫掃)RX Mapping'!AK51&gt;=1,'(橫掃)RX Mapping'!AK51&lt;=120), ('(橫掃)RX Mapping'!AK51-1),IF(AND('(橫掃)RX Mapping'!AK51&gt;=121,'(橫掃)RX Mapping'!AK51&lt;=240), (-1)*('(橫掃)RX Mapping'!AK51-240),IF(AND('(橫掃)RX Mapping'!AK51&gt;=241,'(橫掃)RX Mapping'!AK51&lt;=360), ('(橫掃)RX Mapping'!AK51-241),IF(AND('(橫掃)RX Mapping'!AK51&gt;=361,'(橫掃)RX Mapping'!AK51&lt;=480), (-1)*('(橫掃)RX Mapping'!AK51-480),IF(AND('(橫掃)RX Mapping'!AK51&gt;=481,'(橫掃)RX Mapping'!AK51&lt;=600), ('(橫掃)RX Mapping'!AK51-361),IF(AND('(橫掃)RX Mapping'!AK51&gt;=601,'(橫掃)RX Mapping'!AK51&lt;=720), (-1)*('(橫掃)RX Mapping'!AK51-720)+120,IF(AND('(橫掃)RX Mapping'!AK51&gt;=721,'(橫掃)RX Mapping'!AK51&lt;=840), ('(橫掃)RX Mapping'!AK51-601),IF(AND('(橫掃)RX Mapping'!AK51&gt;=841,'(橫掃)RX Mapping'!AK51&lt;=960), (-1)*('(橫掃)RX Mapping'!AK51-960)+120,9999))))))))</f>
        <v>9999</v>
      </c>
      <c r="AL51">
        <f>IF(AND('(橫掃)RX Mapping'!AL51&gt;=1,'(橫掃)RX Mapping'!AL51&lt;=120), ('(橫掃)RX Mapping'!AL51-1),IF(AND('(橫掃)RX Mapping'!AL51&gt;=121,'(橫掃)RX Mapping'!AL51&lt;=240), (-1)*('(橫掃)RX Mapping'!AL51-240),IF(AND('(橫掃)RX Mapping'!AL51&gt;=241,'(橫掃)RX Mapping'!AL51&lt;=360), ('(橫掃)RX Mapping'!AL51-241),IF(AND('(橫掃)RX Mapping'!AL51&gt;=361,'(橫掃)RX Mapping'!AL51&lt;=480), (-1)*('(橫掃)RX Mapping'!AL51-480),IF(AND('(橫掃)RX Mapping'!AL51&gt;=481,'(橫掃)RX Mapping'!AL51&lt;=600), ('(橫掃)RX Mapping'!AL51-361),IF(AND('(橫掃)RX Mapping'!AL51&gt;=601,'(橫掃)RX Mapping'!AL51&lt;=720), (-1)*('(橫掃)RX Mapping'!AL51-720)+120,IF(AND('(橫掃)RX Mapping'!AL51&gt;=721,'(橫掃)RX Mapping'!AL51&lt;=840), ('(橫掃)RX Mapping'!AL51-601),IF(AND('(橫掃)RX Mapping'!AL51&gt;=841,'(橫掃)RX Mapping'!AL51&lt;=960), (-1)*('(橫掃)RX Mapping'!AL51-960)+120,9999))))))))</f>
        <v>9999</v>
      </c>
      <c r="AM51">
        <f>IF(AND('(橫掃)RX Mapping'!AM51&gt;=1,'(橫掃)RX Mapping'!AM51&lt;=120), ('(橫掃)RX Mapping'!AM51-1),IF(AND('(橫掃)RX Mapping'!AM51&gt;=121,'(橫掃)RX Mapping'!AM51&lt;=240), (-1)*('(橫掃)RX Mapping'!AM51-240),IF(AND('(橫掃)RX Mapping'!AM51&gt;=241,'(橫掃)RX Mapping'!AM51&lt;=360), ('(橫掃)RX Mapping'!AM51-241),IF(AND('(橫掃)RX Mapping'!AM51&gt;=361,'(橫掃)RX Mapping'!AM51&lt;=480), (-1)*('(橫掃)RX Mapping'!AM51-480),IF(AND('(橫掃)RX Mapping'!AM51&gt;=481,'(橫掃)RX Mapping'!AM51&lt;=600), ('(橫掃)RX Mapping'!AM51-361),IF(AND('(橫掃)RX Mapping'!AM51&gt;=601,'(橫掃)RX Mapping'!AM51&lt;=720), (-1)*('(橫掃)RX Mapping'!AM51-720)+120,IF(AND('(橫掃)RX Mapping'!AM51&gt;=721,'(橫掃)RX Mapping'!AM51&lt;=840), ('(橫掃)RX Mapping'!AM51-601),IF(AND('(橫掃)RX Mapping'!AM51&gt;=841,'(橫掃)RX Mapping'!AM51&lt;=960), (-1)*('(橫掃)RX Mapping'!AM51-960)+120,9999))))))))</f>
        <v>9999</v>
      </c>
      <c r="AN51">
        <f>IF(AND('(橫掃)RX Mapping'!AN51&gt;=1,'(橫掃)RX Mapping'!AN51&lt;=120), ('(橫掃)RX Mapping'!AN51-1),IF(AND('(橫掃)RX Mapping'!AN51&gt;=121,'(橫掃)RX Mapping'!AN51&lt;=240), (-1)*('(橫掃)RX Mapping'!AN51-240),IF(AND('(橫掃)RX Mapping'!AN51&gt;=241,'(橫掃)RX Mapping'!AN51&lt;=360), ('(橫掃)RX Mapping'!AN51-241),IF(AND('(橫掃)RX Mapping'!AN51&gt;=361,'(橫掃)RX Mapping'!AN51&lt;=480), (-1)*('(橫掃)RX Mapping'!AN51-480),IF(AND('(橫掃)RX Mapping'!AN51&gt;=481,'(橫掃)RX Mapping'!AN51&lt;=600), ('(橫掃)RX Mapping'!AN51-361),IF(AND('(橫掃)RX Mapping'!AN51&gt;=601,'(橫掃)RX Mapping'!AN51&lt;=720), (-1)*('(橫掃)RX Mapping'!AN51-720)+120,IF(AND('(橫掃)RX Mapping'!AN51&gt;=721,'(橫掃)RX Mapping'!AN51&lt;=840), ('(橫掃)RX Mapping'!AN51-601),IF(AND('(橫掃)RX Mapping'!AN51&gt;=841,'(橫掃)RX Mapping'!AN51&lt;=960), (-1)*('(橫掃)RX Mapping'!AN51-960)+120,9999))))))))</f>
        <v>9999</v>
      </c>
      <c r="AO51">
        <f>IF(AND('(橫掃)RX Mapping'!AO51&gt;=1,'(橫掃)RX Mapping'!AO51&lt;=120), ('(橫掃)RX Mapping'!AO51-1),IF(AND('(橫掃)RX Mapping'!AO51&gt;=121,'(橫掃)RX Mapping'!AO51&lt;=240), (-1)*('(橫掃)RX Mapping'!AO51-240),IF(AND('(橫掃)RX Mapping'!AO51&gt;=241,'(橫掃)RX Mapping'!AO51&lt;=360), ('(橫掃)RX Mapping'!AO51-241),IF(AND('(橫掃)RX Mapping'!AO51&gt;=361,'(橫掃)RX Mapping'!AO51&lt;=480), (-1)*('(橫掃)RX Mapping'!AO51-480),IF(AND('(橫掃)RX Mapping'!AO51&gt;=481,'(橫掃)RX Mapping'!AO51&lt;=600), ('(橫掃)RX Mapping'!AO51-361),IF(AND('(橫掃)RX Mapping'!AO51&gt;=601,'(橫掃)RX Mapping'!AO51&lt;=720), (-1)*('(橫掃)RX Mapping'!AO51-720)+120,IF(AND('(橫掃)RX Mapping'!AO51&gt;=721,'(橫掃)RX Mapping'!AO51&lt;=840), ('(橫掃)RX Mapping'!AO51-601),IF(AND('(橫掃)RX Mapping'!AO51&gt;=841,'(橫掃)RX Mapping'!AO51&lt;=960), (-1)*('(橫掃)RX Mapping'!AO51-960)+120,9999))))))))</f>
        <v>9999</v>
      </c>
      <c r="AP51">
        <f>IF(AND('(橫掃)RX Mapping'!AP51&gt;=1,'(橫掃)RX Mapping'!AP51&lt;=120), ('(橫掃)RX Mapping'!AP51-1),IF(AND('(橫掃)RX Mapping'!AP51&gt;=121,'(橫掃)RX Mapping'!AP51&lt;=240), (-1)*('(橫掃)RX Mapping'!AP51-240),IF(AND('(橫掃)RX Mapping'!AP51&gt;=241,'(橫掃)RX Mapping'!AP51&lt;=360), ('(橫掃)RX Mapping'!AP51-241),IF(AND('(橫掃)RX Mapping'!AP51&gt;=361,'(橫掃)RX Mapping'!AP51&lt;=480), (-1)*('(橫掃)RX Mapping'!AP51-480),IF(AND('(橫掃)RX Mapping'!AP51&gt;=481,'(橫掃)RX Mapping'!AP51&lt;=600), ('(橫掃)RX Mapping'!AP51-361),IF(AND('(橫掃)RX Mapping'!AP51&gt;=601,'(橫掃)RX Mapping'!AP51&lt;=720), (-1)*('(橫掃)RX Mapping'!AP51-720)+120,IF(AND('(橫掃)RX Mapping'!AP51&gt;=721,'(橫掃)RX Mapping'!AP51&lt;=840), ('(橫掃)RX Mapping'!AP51-601),IF(AND('(橫掃)RX Mapping'!AP51&gt;=841,'(橫掃)RX Mapping'!AP51&lt;=960), (-1)*('(橫掃)RX Mapping'!AP51-960)+120,9999))))))))</f>
        <v>9999</v>
      </c>
      <c r="AQ51">
        <f>IF(AND('(橫掃)RX Mapping'!AQ51&gt;=1,'(橫掃)RX Mapping'!AQ51&lt;=120), ('(橫掃)RX Mapping'!AQ51-1),IF(AND('(橫掃)RX Mapping'!AQ51&gt;=121,'(橫掃)RX Mapping'!AQ51&lt;=240), (-1)*('(橫掃)RX Mapping'!AQ51-240),IF(AND('(橫掃)RX Mapping'!AQ51&gt;=241,'(橫掃)RX Mapping'!AQ51&lt;=360), ('(橫掃)RX Mapping'!AQ51-241),IF(AND('(橫掃)RX Mapping'!AQ51&gt;=361,'(橫掃)RX Mapping'!AQ51&lt;=480), (-1)*('(橫掃)RX Mapping'!AQ51-480),IF(AND('(橫掃)RX Mapping'!AQ51&gt;=481,'(橫掃)RX Mapping'!AQ51&lt;=600), ('(橫掃)RX Mapping'!AQ51-361),IF(AND('(橫掃)RX Mapping'!AQ51&gt;=601,'(橫掃)RX Mapping'!AQ51&lt;=720), (-1)*('(橫掃)RX Mapping'!AQ51-720)+120,IF(AND('(橫掃)RX Mapping'!AQ51&gt;=721,'(橫掃)RX Mapping'!AQ51&lt;=840), ('(橫掃)RX Mapping'!AQ51-601),IF(AND('(橫掃)RX Mapping'!AQ51&gt;=841,'(橫掃)RX Mapping'!AQ51&lt;=960), (-1)*('(橫掃)RX Mapping'!AQ51-960)+120,9999))))))))</f>
        <v>9999</v>
      </c>
      <c r="AR51">
        <f>IF(AND('(橫掃)RX Mapping'!AR51&gt;=1,'(橫掃)RX Mapping'!AR51&lt;=120), ('(橫掃)RX Mapping'!AR51-1),IF(AND('(橫掃)RX Mapping'!AR51&gt;=121,'(橫掃)RX Mapping'!AR51&lt;=240), (-1)*('(橫掃)RX Mapping'!AR51-240),IF(AND('(橫掃)RX Mapping'!AR51&gt;=241,'(橫掃)RX Mapping'!AR51&lt;=360), ('(橫掃)RX Mapping'!AR51-241),IF(AND('(橫掃)RX Mapping'!AR51&gt;=361,'(橫掃)RX Mapping'!AR51&lt;=480), (-1)*('(橫掃)RX Mapping'!AR51-480),IF(AND('(橫掃)RX Mapping'!AR51&gt;=481,'(橫掃)RX Mapping'!AR51&lt;=600), ('(橫掃)RX Mapping'!AR51-361),IF(AND('(橫掃)RX Mapping'!AR51&gt;=601,'(橫掃)RX Mapping'!AR51&lt;=720), (-1)*('(橫掃)RX Mapping'!AR51-720)+120,IF(AND('(橫掃)RX Mapping'!AR51&gt;=721,'(橫掃)RX Mapping'!AR51&lt;=840), ('(橫掃)RX Mapping'!AR51-601),IF(AND('(橫掃)RX Mapping'!AR51&gt;=841,'(橫掃)RX Mapping'!AR51&lt;=960), (-1)*('(橫掃)RX Mapping'!AR51-960)+120,9999))))))))</f>
        <v>9999</v>
      </c>
      <c r="AS51">
        <f>IF(AND('(橫掃)RX Mapping'!AS51&gt;=1,'(橫掃)RX Mapping'!AS51&lt;=120), ('(橫掃)RX Mapping'!AS51-1),IF(AND('(橫掃)RX Mapping'!AS51&gt;=121,'(橫掃)RX Mapping'!AS51&lt;=240), (-1)*('(橫掃)RX Mapping'!AS51-240),IF(AND('(橫掃)RX Mapping'!AS51&gt;=241,'(橫掃)RX Mapping'!AS51&lt;=360), ('(橫掃)RX Mapping'!AS51-241),IF(AND('(橫掃)RX Mapping'!AS51&gt;=361,'(橫掃)RX Mapping'!AS51&lt;=480), (-1)*('(橫掃)RX Mapping'!AS51-480),IF(AND('(橫掃)RX Mapping'!AS51&gt;=481,'(橫掃)RX Mapping'!AS51&lt;=600), ('(橫掃)RX Mapping'!AS51-361),IF(AND('(橫掃)RX Mapping'!AS51&gt;=601,'(橫掃)RX Mapping'!AS51&lt;=720), (-1)*('(橫掃)RX Mapping'!AS51-720)+120,IF(AND('(橫掃)RX Mapping'!AS51&gt;=721,'(橫掃)RX Mapping'!AS51&lt;=840), ('(橫掃)RX Mapping'!AS51-601),IF(AND('(橫掃)RX Mapping'!AS51&gt;=841,'(橫掃)RX Mapping'!AS51&lt;=960), (-1)*('(橫掃)RX Mapping'!AS51-960)+120,9999))))))))</f>
        <v>9999</v>
      </c>
      <c r="AT51">
        <f>IF(AND('(橫掃)RX Mapping'!AT51&gt;=1,'(橫掃)RX Mapping'!AT51&lt;=120), ('(橫掃)RX Mapping'!AT51-1),IF(AND('(橫掃)RX Mapping'!AT51&gt;=121,'(橫掃)RX Mapping'!AT51&lt;=240), (-1)*('(橫掃)RX Mapping'!AT51-240),IF(AND('(橫掃)RX Mapping'!AT51&gt;=241,'(橫掃)RX Mapping'!AT51&lt;=360), ('(橫掃)RX Mapping'!AT51-241),IF(AND('(橫掃)RX Mapping'!AT51&gt;=361,'(橫掃)RX Mapping'!AT51&lt;=480), (-1)*('(橫掃)RX Mapping'!AT51-480),IF(AND('(橫掃)RX Mapping'!AT51&gt;=481,'(橫掃)RX Mapping'!AT51&lt;=600), ('(橫掃)RX Mapping'!AT51-361),IF(AND('(橫掃)RX Mapping'!AT51&gt;=601,'(橫掃)RX Mapping'!AT51&lt;=720), (-1)*('(橫掃)RX Mapping'!AT51-720)+120,IF(AND('(橫掃)RX Mapping'!AT51&gt;=721,'(橫掃)RX Mapping'!AT51&lt;=840), ('(橫掃)RX Mapping'!AT51-601),IF(AND('(橫掃)RX Mapping'!AT51&gt;=841,'(橫掃)RX Mapping'!AT51&lt;=960), (-1)*('(橫掃)RX Mapping'!AT51-960)+120,9999))))))))</f>
        <v>9999</v>
      </c>
      <c r="AU51">
        <f>IF(AND('(橫掃)RX Mapping'!AU51&gt;=1,'(橫掃)RX Mapping'!AU51&lt;=120), ('(橫掃)RX Mapping'!AU51-1),IF(AND('(橫掃)RX Mapping'!AU51&gt;=121,'(橫掃)RX Mapping'!AU51&lt;=240), (-1)*('(橫掃)RX Mapping'!AU51-240),IF(AND('(橫掃)RX Mapping'!AU51&gt;=241,'(橫掃)RX Mapping'!AU51&lt;=360), ('(橫掃)RX Mapping'!AU51-241),IF(AND('(橫掃)RX Mapping'!AU51&gt;=361,'(橫掃)RX Mapping'!AU51&lt;=480), (-1)*('(橫掃)RX Mapping'!AU51-480),IF(AND('(橫掃)RX Mapping'!AU51&gt;=481,'(橫掃)RX Mapping'!AU51&lt;=600), ('(橫掃)RX Mapping'!AU51-361),IF(AND('(橫掃)RX Mapping'!AU51&gt;=601,'(橫掃)RX Mapping'!AU51&lt;=720), (-1)*('(橫掃)RX Mapping'!AU51-720)+120,IF(AND('(橫掃)RX Mapping'!AU51&gt;=721,'(橫掃)RX Mapping'!AU51&lt;=840), ('(橫掃)RX Mapping'!AU51-601),IF(AND('(橫掃)RX Mapping'!AU51&gt;=841,'(橫掃)RX Mapping'!AU51&lt;=960), (-1)*('(橫掃)RX Mapping'!AU51-960)+120,9999))))))))</f>
        <v>9999</v>
      </c>
      <c r="AV51">
        <f>IF(AND('(橫掃)RX Mapping'!AV51&gt;=1,'(橫掃)RX Mapping'!AV51&lt;=120), ('(橫掃)RX Mapping'!AV51-1),IF(AND('(橫掃)RX Mapping'!AV51&gt;=121,'(橫掃)RX Mapping'!AV51&lt;=240), (-1)*('(橫掃)RX Mapping'!AV51-240),IF(AND('(橫掃)RX Mapping'!AV51&gt;=241,'(橫掃)RX Mapping'!AV51&lt;=360), ('(橫掃)RX Mapping'!AV51-241),IF(AND('(橫掃)RX Mapping'!AV51&gt;=361,'(橫掃)RX Mapping'!AV51&lt;=480), (-1)*('(橫掃)RX Mapping'!AV51-480),IF(AND('(橫掃)RX Mapping'!AV51&gt;=481,'(橫掃)RX Mapping'!AV51&lt;=600), ('(橫掃)RX Mapping'!AV51-361),IF(AND('(橫掃)RX Mapping'!AV51&gt;=601,'(橫掃)RX Mapping'!AV51&lt;=720), (-1)*('(橫掃)RX Mapping'!AV51-720)+120,IF(AND('(橫掃)RX Mapping'!AV51&gt;=721,'(橫掃)RX Mapping'!AV51&lt;=840), ('(橫掃)RX Mapping'!AV51-601),IF(AND('(橫掃)RX Mapping'!AV51&gt;=841,'(橫掃)RX Mapping'!AV51&lt;=960), (-1)*('(橫掃)RX Mapping'!AV51-960)+120,9999))))))))</f>
        <v>9999</v>
      </c>
      <c r="AW51">
        <f>IF(AND('(橫掃)RX Mapping'!AW51&gt;=1,'(橫掃)RX Mapping'!AW51&lt;=120), ('(橫掃)RX Mapping'!AW51-1),IF(AND('(橫掃)RX Mapping'!AW51&gt;=121,'(橫掃)RX Mapping'!AW51&lt;=240), (-1)*('(橫掃)RX Mapping'!AW51-240),IF(AND('(橫掃)RX Mapping'!AW51&gt;=241,'(橫掃)RX Mapping'!AW51&lt;=360), ('(橫掃)RX Mapping'!AW51-241),IF(AND('(橫掃)RX Mapping'!AW51&gt;=361,'(橫掃)RX Mapping'!AW51&lt;=480), (-1)*('(橫掃)RX Mapping'!AW51-480),IF(AND('(橫掃)RX Mapping'!AW51&gt;=481,'(橫掃)RX Mapping'!AW51&lt;=600), ('(橫掃)RX Mapping'!AW51-361),IF(AND('(橫掃)RX Mapping'!AW51&gt;=601,'(橫掃)RX Mapping'!AW51&lt;=720), (-1)*('(橫掃)RX Mapping'!AW51-720)+120,IF(AND('(橫掃)RX Mapping'!AW51&gt;=721,'(橫掃)RX Mapping'!AW51&lt;=840), ('(橫掃)RX Mapping'!AW51-601),IF(AND('(橫掃)RX Mapping'!AW51&gt;=841,'(橫掃)RX Mapping'!AW51&lt;=960), (-1)*('(橫掃)RX Mapping'!AW51-960)+120,9999))))))))</f>
        <v>9999</v>
      </c>
      <c r="AX51">
        <f>IF(AND('(橫掃)RX Mapping'!AX51&gt;=1,'(橫掃)RX Mapping'!AX51&lt;=120), ('(橫掃)RX Mapping'!AX51-1),IF(AND('(橫掃)RX Mapping'!AX51&gt;=121,'(橫掃)RX Mapping'!AX51&lt;=240), (-1)*('(橫掃)RX Mapping'!AX51-240),IF(AND('(橫掃)RX Mapping'!AX51&gt;=241,'(橫掃)RX Mapping'!AX51&lt;=360), ('(橫掃)RX Mapping'!AX51-241),IF(AND('(橫掃)RX Mapping'!AX51&gt;=361,'(橫掃)RX Mapping'!AX51&lt;=480), (-1)*('(橫掃)RX Mapping'!AX51-480),IF(AND('(橫掃)RX Mapping'!AX51&gt;=481,'(橫掃)RX Mapping'!AX51&lt;=600), ('(橫掃)RX Mapping'!AX51-361),IF(AND('(橫掃)RX Mapping'!AX51&gt;=601,'(橫掃)RX Mapping'!AX51&lt;=720), (-1)*('(橫掃)RX Mapping'!AX51-720)+120,IF(AND('(橫掃)RX Mapping'!AX51&gt;=721,'(橫掃)RX Mapping'!AX51&lt;=840), ('(橫掃)RX Mapping'!AX51-601),IF(AND('(橫掃)RX Mapping'!AX51&gt;=841,'(橫掃)RX Mapping'!AX51&lt;=960), (-1)*('(橫掃)RX Mapping'!AX51-960)+120,9999))))))))</f>
        <v>9999</v>
      </c>
      <c r="AY51">
        <f>IF(AND('(橫掃)RX Mapping'!AY51&gt;=1,'(橫掃)RX Mapping'!AY51&lt;=120), ('(橫掃)RX Mapping'!AY51-1),IF(AND('(橫掃)RX Mapping'!AY51&gt;=121,'(橫掃)RX Mapping'!AY51&lt;=240), (-1)*('(橫掃)RX Mapping'!AY51-240),IF(AND('(橫掃)RX Mapping'!AY51&gt;=241,'(橫掃)RX Mapping'!AY51&lt;=360), ('(橫掃)RX Mapping'!AY51-241),IF(AND('(橫掃)RX Mapping'!AY51&gt;=361,'(橫掃)RX Mapping'!AY51&lt;=480), (-1)*('(橫掃)RX Mapping'!AY51-480),IF(AND('(橫掃)RX Mapping'!AY51&gt;=481,'(橫掃)RX Mapping'!AY51&lt;=600), ('(橫掃)RX Mapping'!AY51-361),IF(AND('(橫掃)RX Mapping'!AY51&gt;=601,'(橫掃)RX Mapping'!AY51&lt;=720), (-1)*('(橫掃)RX Mapping'!AY51-720)+120,IF(AND('(橫掃)RX Mapping'!AY51&gt;=721,'(橫掃)RX Mapping'!AY51&lt;=840), ('(橫掃)RX Mapping'!AY51-601),IF(AND('(橫掃)RX Mapping'!AY51&gt;=841,'(橫掃)RX Mapping'!AY51&lt;=960), (-1)*('(橫掃)RX Mapping'!AY51-960)+120,9999))))))))</f>
        <v>9999</v>
      </c>
      <c r="AZ51">
        <f>IF(AND('(橫掃)RX Mapping'!AZ51&gt;=1,'(橫掃)RX Mapping'!AZ51&lt;=120), ('(橫掃)RX Mapping'!AZ51-1),IF(AND('(橫掃)RX Mapping'!AZ51&gt;=121,'(橫掃)RX Mapping'!AZ51&lt;=240), (-1)*('(橫掃)RX Mapping'!AZ51-240),IF(AND('(橫掃)RX Mapping'!AZ51&gt;=241,'(橫掃)RX Mapping'!AZ51&lt;=360), ('(橫掃)RX Mapping'!AZ51-241),IF(AND('(橫掃)RX Mapping'!AZ51&gt;=361,'(橫掃)RX Mapping'!AZ51&lt;=480), (-1)*('(橫掃)RX Mapping'!AZ51-480),IF(AND('(橫掃)RX Mapping'!AZ51&gt;=481,'(橫掃)RX Mapping'!AZ51&lt;=600), ('(橫掃)RX Mapping'!AZ51-361),IF(AND('(橫掃)RX Mapping'!AZ51&gt;=601,'(橫掃)RX Mapping'!AZ51&lt;=720), (-1)*('(橫掃)RX Mapping'!AZ51-720)+120,IF(AND('(橫掃)RX Mapping'!AZ51&gt;=721,'(橫掃)RX Mapping'!AZ51&lt;=840), ('(橫掃)RX Mapping'!AZ51-601),IF(AND('(橫掃)RX Mapping'!AZ51&gt;=841,'(橫掃)RX Mapping'!AZ51&lt;=960), (-1)*('(橫掃)RX Mapping'!AZ51-960)+120,9999))))))))</f>
        <v>9999</v>
      </c>
      <c r="BA51">
        <f>IF(AND('(橫掃)RX Mapping'!BA51&gt;=1,'(橫掃)RX Mapping'!BA51&lt;=120), ('(橫掃)RX Mapping'!BA51-1),IF(AND('(橫掃)RX Mapping'!BA51&gt;=121,'(橫掃)RX Mapping'!BA51&lt;=240), (-1)*('(橫掃)RX Mapping'!BA51-240),IF(AND('(橫掃)RX Mapping'!BA51&gt;=241,'(橫掃)RX Mapping'!BA51&lt;=360), ('(橫掃)RX Mapping'!BA51-241),IF(AND('(橫掃)RX Mapping'!BA51&gt;=361,'(橫掃)RX Mapping'!BA51&lt;=480), (-1)*('(橫掃)RX Mapping'!BA51-480),IF(AND('(橫掃)RX Mapping'!BA51&gt;=481,'(橫掃)RX Mapping'!BA51&lt;=600), ('(橫掃)RX Mapping'!BA51-361),IF(AND('(橫掃)RX Mapping'!BA51&gt;=601,'(橫掃)RX Mapping'!BA51&lt;=720), (-1)*('(橫掃)RX Mapping'!BA51-720)+120,IF(AND('(橫掃)RX Mapping'!BA51&gt;=721,'(橫掃)RX Mapping'!BA51&lt;=840), ('(橫掃)RX Mapping'!BA51-601),IF(AND('(橫掃)RX Mapping'!BA51&gt;=841,'(橫掃)RX Mapping'!BA51&lt;=960), (-1)*('(橫掃)RX Mapping'!BA51-960)+120,9999))))))))</f>
        <v>9999</v>
      </c>
      <c r="BB51">
        <f>IF(AND('(橫掃)RX Mapping'!BB51&gt;=1,'(橫掃)RX Mapping'!BB51&lt;=120), ('(橫掃)RX Mapping'!BB51-1),IF(AND('(橫掃)RX Mapping'!BB51&gt;=121,'(橫掃)RX Mapping'!BB51&lt;=240), (-1)*('(橫掃)RX Mapping'!BB51-240),IF(AND('(橫掃)RX Mapping'!BB51&gt;=241,'(橫掃)RX Mapping'!BB51&lt;=360), ('(橫掃)RX Mapping'!BB51-241),IF(AND('(橫掃)RX Mapping'!BB51&gt;=361,'(橫掃)RX Mapping'!BB51&lt;=480), (-1)*('(橫掃)RX Mapping'!BB51-480),IF(AND('(橫掃)RX Mapping'!BB51&gt;=481,'(橫掃)RX Mapping'!BB51&lt;=600), ('(橫掃)RX Mapping'!BB51-361),IF(AND('(橫掃)RX Mapping'!BB51&gt;=601,'(橫掃)RX Mapping'!BB51&lt;=720), (-1)*('(橫掃)RX Mapping'!BB51-720)+120,IF(AND('(橫掃)RX Mapping'!BB51&gt;=721,'(橫掃)RX Mapping'!BB51&lt;=840), ('(橫掃)RX Mapping'!BB51-601),IF(AND('(橫掃)RX Mapping'!BB51&gt;=841,'(橫掃)RX Mapping'!BB51&lt;=960), (-1)*('(橫掃)RX Mapping'!BB51-960)+120,9999))))))))</f>
        <v>9999</v>
      </c>
      <c r="BC51">
        <f>IF(AND('(橫掃)RX Mapping'!BC51&gt;=1,'(橫掃)RX Mapping'!BC51&lt;=120), ('(橫掃)RX Mapping'!BC51-1),IF(AND('(橫掃)RX Mapping'!BC51&gt;=121,'(橫掃)RX Mapping'!BC51&lt;=240), (-1)*('(橫掃)RX Mapping'!BC51-240),IF(AND('(橫掃)RX Mapping'!BC51&gt;=241,'(橫掃)RX Mapping'!BC51&lt;=360), ('(橫掃)RX Mapping'!BC51-241),IF(AND('(橫掃)RX Mapping'!BC51&gt;=361,'(橫掃)RX Mapping'!BC51&lt;=480), (-1)*('(橫掃)RX Mapping'!BC51-480),IF(AND('(橫掃)RX Mapping'!BC51&gt;=481,'(橫掃)RX Mapping'!BC51&lt;=600), ('(橫掃)RX Mapping'!BC51-361),IF(AND('(橫掃)RX Mapping'!BC51&gt;=601,'(橫掃)RX Mapping'!BC51&lt;=720), (-1)*('(橫掃)RX Mapping'!BC51-720)+120,IF(AND('(橫掃)RX Mapping'!BC51&gt;=721,'(橫掃)RX Mapping'!BC51&lt;=840), ('(橫掃)RX Mapping'!BC51-601),IF(AND('(橫掃)RX Mapping'!BC51&gt;=841,'(橫掃)RX Mapping'!BC51&lt;=960), (-1)*('(橫掃)RX Mapping'!BC51-960)+120,9999))))))))</f>
        <v>9999</v>
      </c>
      <c r="BD51">
        <f>IF(AND('(橫掃)RX Mapping'!BD51&gt;=1,'(橫掃)RX Mapping'!BD51&lt;=120), ('(橫掃)RX Mapping'!BD51-1),IF(AND('(橫掃)RX Mapping'!BD51&gt;=121,'(橫掃)RX Mapping'!BD51&lt;=240), (-1)*('(橫掃)RX Mapping'!BD51-240),IF(AND('(橫掃)RX Mapping'!BD51&gt;=241,'(橫掃)RX Mapping'!BD51&lt;=360), ('(橫掃)RX Mapping'!BD51-241),IF(AND('(橫掃)RX Mapping'!BD51&gt;=361,'(橫掃)RX Mapping'!BD51&lt;=480), (-1)*('(橫掃)RX Mapping'!BD51-480),IF(AND('(橫掃)RX Mapping'!BD51&gt;=481,'(橫掃)RX Mapping'!BD51&lt;=600), ('(橫掃)RX Mapping'!BD51-361),IF(AND('(橫掃)RX Mapping'!BD51&gt;=601,'(橫掃)RX Mapping'!BD51&lt;=720), (-1)*('(橫掃)RX Mapping'!BD51-720)+120,IF(AND('(橫掃)RX Mapping'!BD51&gt;=721,'(橫掃)RX Mapping'!BD51&lt;=840), ('(橫掃)RX Mapping'!BD51-601),IF(AND('(橫掃)RX Mapping'!BD51&gt;=841,'(橫掃)RX Mapping'!BD51&lt;=960), (-1)*('(橫掃)RX Mapping'!BD51-960)+120,9999))))))))</f>
        <v>9999</v>
      </c>
      <c r="BE51">
        <f>IF(AND('(橫掃)RX Mapping'!BE51&gt;=1,'(橫掃)RX Mapping'!BE51&lt;=120), ('(橫掃)RX Mapping'!BE51-1),IF(AND('(橫掃)RX Mapping'!BE51&gt;=121,'(橫掃)RX Mapping'!BE51&lt;=240), (-1)*('(橫掃)RX Mapping'!BE51-240),IF(AND('(橫掃)RX Mapping'!BE51&gt;=241,'(橫掃)RX Mapping'!BE51&lt;=360), ('(橫掃)RX Mapping'!BE51-241),IF(AND('(橫掃)RX Mapping'!BE51&gt;=361,'(橫掃)RX Mapping'!BE51&lt;=480), (-1)*('(橫掃)RX Mapping'!BE51-480),IF(AND('(橫掃)RX Mapping'!BE51&gt;=481,'(橫掃)RX Mapping'!BE51&lt;=600), ('(橫掃)RX Mapping'!BE51-361),IF(AND('(橫掃)RX Mapping'!BE51&gt;=601,'(橫掃)RX Mapping'!BE51&lt;=720), (-1)*('(橫掃)RX Mapping'!BE51-720)+120,IF(AND('(橫掃)RX Mapping'!BE51&gt;=721,'(橫掃)RX Mapping'!BE51&lt;=840), ('(橫掃)RX Mapping'!BE51-601),IF(AND('(橫掃)RX Mapping'!BE51&gt;=841,'(橫掃)RX Mapping'!BE51&lt;=960), (-1)*('(橫掃)RX Mapping'!BE51-960)+120,9999))))))))</f>
        <v>9999</v>
      </c>
      <c r="BF51">
        <f>IF(AND('(橫掃)RX Mapping'!BF51&gt;=1,'(橫掃)RX Mapping'!BF51&lt;=120), ('(橫掃)RX Mapping'!BF51-1),IF(AND('(橫掃)RX Mapping'!BF51&gt;=121,'(橫掃)RX Mapping'!BF51&lt;=240), (-1)*('(橫掃)RX Mapping'!BF51-240),IF(AND('(橫掃)RX Mapping'!BF51&gt;=241,'(橫掃)RX Mapping'!BF51&lt;=360), ('(橫掃)RX Mapping'!BF51-241),IF(AND('(橫掃)RX Mapping'!BF51&gt;=361,'(橫掃)RX Mapping'!BF51&lt;=480), (-1)*('(橫掃)RX Mapping'!BF51-480),IF(AND('(橫掃)RX Mapping'!BF51&gt;=481,'(橫掃)RX Mapping'!BF51&lt;=600), ('(橫掃)RX Mapping'!BF51-361),IF(AND('(橫掃)RX Mapping'!BF51&gt;=601,'(橫掃)RX Mapping'!BF51&lt;=720), (-1)*('(橫掃)RX Mapping'!BF51-720)+120,IF(AND('(橫掃)RX Mapping'!BF51&gt;=721,'(橫掃)RX Mapping'!BF51&lt;=840), ('(橫掃)RX Mapping'!BF51-601),IF(AND('(橫掃)RX Mapping'!BF51&gt;=841,'(橫掃)RX Mapping'!BF51&lt;=960), (-1)*('(橫掃)RX Mapping'!BF51-960)+120,9999))))))))</f>
        <v>9999</v>
      </c>
      <c r="BG51">
        <f>IF(AND('(橫掃)RX Mapping'!BG51&gt;=1,'(橫掃)RX Mapping'!BG51&lt;=120), ('(橫掃)RX Mapping'!BG51-1),IF(AND('(橫掃)RX Mapping'!BG51&gt;=121,'(橫掃)RX Mapping'!BG51&lt;=240), (-1)*('(橫掃)RX Mapping'!BG51-240),IF(AND('(橫掃)RX Mapping'!BG51&gt;=241,'(橫掃)RX Mapping'!BG51&lt;=360), ('(橫掃)RX Mapping'!BG51-241),IF(AND('(橫掃)RX Mapping'!BG51&gt;=361,'(橫掃)RX Mapping'!BG51&lt;=480), (-1)*('(橫掃)RX Mapping'!BG51-480),IF(AND('(橫掃)RX Mapping'!BG51&gt;=481,'(橫掃)RX Mapping'!BG51&lt;=600), ('(橫掃)RX Mapping'!BG51-361),IF(AND('(橫掃)RX Mapping'!BG51&gt;=601,'(橫掃)RX Mapping'!BG51&lt;=720), (-1)*('(橫掃)RX Mapping'!BG51-720)+120,IF(AND('(橫掃)RX Mapping'!BG51&gt;=721,'(橫掃)RX Mapping'!BG51&lt;=840), ('(橫掃)RX Mapping'!BG51-601),IF(AND('(橫掃)RX Mapping'!BG51&gt;=841,'(橫掃)RX Mapping'!BG51&lt;=960), (-1)*('(橫掃)RX Mapping'!BG51-960)+120,9999))))))))</f>
        <v>9999</v>
      </c>
      <c r="BH51">
        <f>IF(AND('(橫掃)RX Mapping'!BH51&gt;=1,'(橫掃)RX Mapping'!BH51&lt;=120), ('(橫掃)RX Mapping'!BH51-1),IF(AND('(橫掃)RX Mapping'!BH51&gt;=121,'(橫掃)RX Mapping'!BH51&lt;=240), (-1)*('(橫掃)RX Mapping'!BH51-240),IF(AND('(橫掃)RX Mapping'!BH51&gt;=241,'(橫掃)RX Mapping'!BH51&lt;=360), ('(橫掃)RX Mapping'!BH51-241),IF(AND('(橫掃)RX Mapping'!BH51&gt;=361,'(橫掃)RX Mapping'!BH51&lt;=480), (-1)*('(橫掃)RX Mapping'!BH51-480),IF(AND('(橫掃)RX Mapping'!BH51&gt;=481,'(橫掃)RX Mapping'!BH51&lt;=600), ('(橫掃)RX Mapping'!BH51-361),IF(AND('(橫掃)RX Mapping'!BH51&gt;=601,'(橫掃)RX Mapping'!BH51&lt;=720), (-1)*('(橫掃)RX Mapping'!BH51-720)+120,IF(AND('(橫掃)RX Mapping'!BH51&gt;=721,'(橫掃)RX Mapping'!BH51&lt;=840), ('(橫掃)RX Mapping'!BH51-601),IF(AND('(橫掃)RX Mapping'!BH51&gt;=841,'(橫掃)RX Mapping'!BH51&lt;=960), (-1)*('(橫掃)RX Mapping'!BH51-960)+120,9999))))))))</f>
        <v>9999</v>
      </c>
      <c r="BI51">
        <f>IF(AND('(橫掃)RX Mapping'!BI51&gt;=1,'(橫掃)RX Mapping'!BI51&lt;=120), ('(橫掃)RX Mapping'!BI51-1),IF(AND('(橫掃)RX Mapping'!BI51&gt;=121,'(橫掃)RX Mapping'!BI51&lt;=240), (-1)*('(橫掃)RX Mapping'!BI51-240),IF(AND('(橫掃)RX Mapping'!BI51&gt;=241,'(橫掃)RX Mapping'!BI51&lt;=360), ('(橫掃)RX Mapping'!BI51-241),IF(AND('(橫掃)RX Mapping'!BI51&gt;=361,'(橫掃)RX Mapping'!BI51&lt;=480), (-1)*('(橫掃)RX Mapping'!BI51-480),IF(AND('(橫掃)RX Mapping'!BI51&gt;=481,'(橫掃)RX Mapping'!BI51&lt;=600), ('(橫掃)RX Mapping'!BI51-361),IF(AND('(橫掃)RX Mapping'!BI51&gt;=601,'(橫掃)RX Mapping'!BI51&lt;=720), (-1)*('(橫掃)RX Mapping'!BI51-720)+120,IF(AND('(橫掃)RX Mapping'!BI51&gt;=721,'(橫掃)RX Mapping'!BI51&lt;=840), ('(橫掃)RX Mapping'!BI51-601),IF(AND('(橫掃)RX Mapping'!BI51&gt;=841,'(橫掃)RX Mapping'!BI51&lt;=960), (-1)*('(橫掃)RX Mapping'!BI51-960)+120,9999))))))))</f>
        <v>9999</v>
      </c>
    </row>
    <row r="52" spans="1:61" x14ac:dyDescent="0.25">
      <c r="A52" s="20">
        <v>51</v>
      </c>
      <c r="B52">
        <f>IF(AND('(橫掃)RX Mapping'!B52&gt;=1,'(橫掃)RX Mapping'!B52&lt;=120), ('(橫掃)RX Mapping'!B52-1),IF(AND('(橫掃)RX Mapping'!B52&gt;=121,'(橫掃)RX Mapping'!B52&lt;=240), (-1)*('(橫掃)RX Mapping'!B52-240),IF(AND('(橫掃)RX Mapping'!B52&gt;=241,'(橫掃)RX Mapping'!B52&lt;=360), ('(橫掃)RX Mapping'!B52-241),IF(AND('(橫掃)RX Mapping'!B52&gt;=361,'(橫掃)RX Mapping'!B52&lt;=480), (-1)*('(橫掃)RX Mapping'!B52-480),IF(AND('(橫掃)RX Mapping'!B52&gt;=481,'(橫掃)RX Mapping'!B52&lt;=600), ('(橫掃)RX Mapping'!B52-361),IF(AND('(橫掃)RX Mapping'!B52&gt;=601,'(橫掃)RX Mapping'!B52&lt;=720), (-1)*('(橫掃)RX Mapping'!B52-720)+120,IF(AND('(橫掃)RX Mapping'!B52&gt;=721,'(橫掃)RX Mapping'!B52&lt;=840), ('(橫掃)RX Mapping'!B52-601),IF(AND('(橫掃)RX Mapping'!B52&gt;=841,'(橫掃)RX Mapping'!B52&lt;=960), (-1)*('(橫掃)RX Mapping'!B52-960)+120,9999))))))))</f>
        <v>9999</v>
      </c>
      <c r="C52">
        <f>IF(AND('(橫掃)RX Mapping'!C52&gt;=1,'(橫掃)RX Mapping'!C52&lt;=120), ('(橫掃)RX Mapping'!C52-1),IF(AND('(橫掃)RX Mapping'!C52&gt;=121,'(橫掃)RX Mapping'!C52&lt;=240), (-1)*('(橫掃)RX Mapping'!C52-240),IF(AND('(橫掃)RX Mapping'!C52&gt;=241,'(橫掃)RX Mapping'!C52&lt;=360), ('(橫掃)RX Mapping'!C52-241),IF(AND('(橫掃)RX Mapping'!C52&gt;=361,'(橫掃)RX Mapping'!C52&lt;=480), (-1)*('(橫掃)RX Mapping'!C52-480),IF(AND('(橫掃)RX Mapping'!C52&gt;=481,'(橫掃)RX Mapping'!C52&lt;=600), ('(橫掃)RX Mapping'!C52-361),IF(AND('(橫掃)RX Mapping'!C52&gt;=601,'(橫掃)RX Mapping'!C52&lt;=720), (-1)*('(橫掃)RX Mapping'!C52-720)+120,IF(AND('(橫掃)RX Mapping'!C52&gt;=721,'(橫掃)RX Mapping'!C52&lt;=840), ('(橫掃)RX Mapping'!C52-601),IF(AND('(橫掃)RX Mapping'!C52&gt;=841,'(橫掃)RX Mapping'!C52&lt;=960), (-1)*('(橫掃)RX Mapping'!C52-960)+120,9999))))))))</f>
        <v>9999</v>
      </c>
      <c r="D52">
        <f>IF(AND('(橫掃)RX Mapping'!D52&gt;=1,'(橫掃)RX Mapping'!D52&lt;=120), ('(橫掃)RX Mapping'!D52-1),IF(AND('(橫掃)RX Mapping'!D52&gt;=121,'(橫掃)RX Mapping'!D52&lt;=240), (-1)*('(橫掃)RX Mapping'!D52-240),IF(AND('(橫掃)RX Mapping'!D52&gt;=241,'(橫掃)RX Mapping'!D52&lt;=360), ('(橫掃)RX Mapping'!D52-241),IF(AND('(橫掃)RX Mapping'!D52&gt;=361,'(橫掃)RX Mapping'!D52&lt;=480), (-1)*('(橫掃)RX Mapping'!D52-480),IF(AND('(橫掃)RX Mapping'!D52&gt;=481,'(橫掃)RX Mapping'!D52&lt;=600), ('(橫掃)RX Mapping'!D52-361),IF(AND('(橫掃)RX Mapping'!D52&gt;=601,'(橫掃)RX Mapping'!D52&lt;=720), (-1)*('(橫掃)RX Mapping'!D52-720)+120,IF(AND('(橫掃)RX Mapping'!D52&gt;=721,'(橫掃)RX Mapping'!D52&lt;=840), ('(橫掃)RX Mapping'!D52-601),IF(AND('(橫掃)RX Mapping'!D52&gt;=841,'(橫掃)RX Mapping'!D52&lt;=960), (-1)*('(橫掃)RX Mapping'!D52-960)+120,9999))))))))</f>
        <v>9999</v>
      </c>
      <c r="E52">
        <f>IF(AND('(橫掃)RX Mapping'!E52&gt;=1,'(橫掃)RX Mapping'!E52&lt;=120), ('(橫掃)RX Mapping'!E52-1),IF(AND('(橫掃)RX Mapping'!E52&gt;=121,'(橫掃)RX Mapping'!E52&lt;=240), (-1)*('(橫掃)RX Mapping'!E52-240),IF(AND('(橫掃)RX Mapping'!E52&gt;=241,'(橫掃)RX Mapping'!E52&lt;=360), ('(橫掃)RX Mapping'!E52-241),IF(AND('(橫掃)RX Mapping'!E52&gt;=361,'(橫掃)RX Mapping'!E52&lt;=480), (-1)*('(橫掃)RX Mapping'!E52-480),IF(AND('(橫掃)RX Mapping'!E52&gt;=481,'(橫掃)RX Mapping'!E52&lt;=600), ('(橫掃)RX Mapping'!E52-361),IF(AND('(橫掃)RX Mapping'!E52&gt;=601,'(橫掃)RX Mapping'!E52&lt;=720), (-1)*('(橫掃)RX Mapping'!E52-720)+120,IF(AND('(橫掃)RX Mapping'!E52&gt;=721,'(橫掃)RX Mapping'!E52&lt;=840), ('(橫掃)RX Mapping'!E52-601),IF(AND('(橫掃)RX Mapping'!E52&gt;=841,'(橫掃)RX Mapping'!E52&lt;=960), (-1)*('(橫掃)RX Mapping'!E52-960)+120,9999))))))))</f>
        <v>9999</v>
      </c>
      <c r="F52">
        <f>IF(AND('(橫掃)RX Mapping'!F52&gt;=1,'(橫掃)RX Mapping'!F52&lt;=120), ('(橫掃)RX Mapping'!F52-1),IF(AND('(橫掃)RX Mapping'!F52&gt;=121,'(橫掃)RX Mapping'!F52&lt;=240), (-1)*('(橫掃)RX Mapping'!F52-240),IF(AND('(橫掃)RX Mapping'!F52&gt;=241,'(橫掃)RX Mapping'!F52&lt;=360), ('(橫掃)RX Mapping'!F52-241),IF(AND('(橫掃)RX Mapping'!F52&gt;=361,'(橫掃)RX Mapping'!F52&lt;=480), (-1)*('(橫掃)RX Mapping'!F52-480),IF(AND('(橫掃)RX Mapping'!F52&gt;=481,'(橫掃)RX Mapping'!F52&lt;=600), ('(橫掃)RX Mapping'!F52-361),IF(AND('(橫掃)RX Mapping'!F52&gt;=601,'(橫掃)RX Mapping'!F52&lt;=720), (-1)*('(橫掃)RX Mapping'!F52-720)+120,IF(AND('(橫掃)RX Mapping'!F52&gt;=721,'(橫掃)RX Mapping'!F52&lt;=840), ('(橫掃)RX Mapping'!F52-601),IF(AND('(橫掃)RX Mapping'!F52&gt;=841,'(橫掃)RX Mapping'!F52&lt;=960), (-1)*('(橫掃)RX Mapping'!F52-960)+120,9999))))))))</f>
        <v>9999</v>
      </c>
      <c r="G52">
        <f>IF(AND('(橫掃)RX Mapping'!G52&gt;=1,'(橫掃)RX Mapping'!G52&lt;=120), ('(橫掃)RX Mapping'!G52-1),IF(AND('(橫掃)RX Mapping'!G52&gt;=121,'(橫掃)RX Mapping'!G52&lt;=240), (-1)*('(橫掃)RX Mapping'!G52-240),IF(AND('(橫掃)RX Mapping'!G52&gt;=241,'(橫掃)RX Mapping'!G52&lt;=360), ('(橫掃)RX Mapping'!G52-241),IF(AND('(橫掃)RX Mapping'!G52&gt;=361,'(橫掃)RX Mapping'!G52&lt;=480), (-1)*('(橫掃)RX Mapping'!G52-480),IF(AND('(橫掃)RX Mapping'!G52&gt;=481,'(橫掃)RX Mapping'!G52&lt;=600), ('(橫掃)RX Mapping'!G52-361),IF(AND('(橫掃)RX Mapping'!G52&gt;=601,'(橫掃)RX Mapping'!G52&lt;=720), (-1)*('(橫掃)RX Mapping'!G52-720)+120,IF(AND('(橫掃)RX Mapping'!G52&gt;=721,'(橫掃)RX Mapping'!G52&lt;=840), ('(橫掃)RX Mapping'!G52-601),IF(AND('(橫掃)RX Mapping'!G52&gt;=841,'(橫掃)RX Mapping'!G52&lt;=960), (-1)*('(橫掃)RX Mapping'!G52-960)+120,9999))))))))</f>
        <v>9999</v>
      </c>
      <c r="H52">
        <f>IF(AND('(橫掃)RX Mapping'!H52&gt;=1,'(橫掃)RX Mapping'!H52&lt;=120), ('(橫掃)RX Mapping'!H52-1),IF(AND('(橫掃)RX Mapping'!H52&gt;=121,'(橫掃)RX Mapping'!H52&lt;=240), (-1)*('(橫掃)RX Mapping'!H52-240),IF(AND('(橫掃)RX Mapping'!H52&gt;=241,'(橫掃)RX Mapping'!H52&lt;=360), ('(橫掃)RX Mapping'!H52-241),IF(AND('(橫掃)RX Mapping'!H52&gt;=361,'(橫掃)RX Mapping'!H52&lt;=480), (-1)*('(橫掃)RX Mapping'!H52-480),IF(AND('(橫掃)RX Mapping'!H52&gt;=481,'(橫掃)RX Mapping'!H52&lt;=600), ('(橫掃)RX Mapping'!H52-361),IF(AND('(橫掃)RX Mapping'!H52&gt;=601,'(橫掃)RX Mapping'!H52&lt;=720), (-1)*('(橫掃)RX Mapping'!H52-720)+120,IF(AND('(橫掃)RX Mapping'!H52&gt;=721,'(橫掃)RX Mapping'!H52&lt;=840), ('(橫掃)RX Mapping'!H52-601),IF(AND('(橫掃)RX Mapping'!H52&gt;=841,'(橫掃)RX Mapping'!H52&lt;=960), (-1)*('(橫掃)RX Mapping'!H52-960)+120,9999))))))))</f>
        <v>9999</v>
      </c>
      <c r="I52">
        <f>IF(AND('(橫掃)RX Mapping'!I52&gt;=1,'(橫掃)RX Mapping'!I52&lt;=120), ('(橫掃)RX Mapping'!I52-1),IF(AND('(橫掃)RX Mapping'!I52&gt;=121,'(橫掃)RX Mapping'!I52&lt;=240), (-1)*('(橫掃)RX Mapping'!I52-240),IF(AND('(橫掃)RX Mapping'!I52&gt;=241,'(橫掃)RX Mapping'!I52&lt;=360), ('(橫掃)RX Mapping'!I52-241),IF(AND('(橫掃)RX Mapping'!I52&gt;=361,'(橫掃)RX Mapping'!I52&lt;=480), (-1)*('(橫掃)RX Mapping'!I52-480),IF(AND('(橫掃)RX Mapping'!I52&gt;=481,'(橫掃)RX Mapping'!I52&lt;=600), ('(橫掃)RX Mapping'!I52-361),IF(AND('(橫掃)RX Mapping'!I52&gt;=601,'(橫掃)RX Mapping'!I52&lt;=720), (-1)*('(橫掃)RX Mapping'!I52-720)+120,IF(AND('(橫掃)RX Mapping'!I52&gt;=721,'(橫掃)RX Mapping'!I52&lt;=840), ('(橫掃)RX Mapping'!I52-601),IF(AND('(橫掃)RX Mapping'!I52&gt;=841,'(橫掃)RX Mapping'!I52&lt;=960), (-1)*('(橫掃)RX Mapping'!I52-960)+120,9999))))))))</f>
        <v>9999</v>
      </c>
      <c r="J52">
        <f>IF(AND('(橫掃)RX Mapping'!J52&gt;=1,'(橫掃)RX Mapping'!J52&lt;=120), ('(橫掃)RX Mapping'!J52-1),IF(AND('(橫掃)RX Mapping'!J52&gt;=121,'(橫掃)RX Mapping'!J52&lt;=240), (-1)*('(橫掃)RX Mapping'!J52-240),IF(AND('(橫掃)RX Mapping'!J52&gt;=241,'(橫掃)RX Mapping'!J52&lt;=360), ('(橫掃)RX Mapping'!J52-241),IF(AND('(橫掃)RX Mapping'!J52&gt;=361,'(橫掃)RX Mapping'!J52&lt;=480), (-1)*('(橫掃)RX Mapping'!J52-480),IF(AND('(橫掃)RX Mapping'!J52&gt;=481,'(橫掃)RX Mapping'!J52&lt;=600), ('(橫掃)RX Mapping'!J52-361),IF(AND('(橫掃)RX Mapping'!J52&gt;=601,'(橫掃)RX Mapping'!J52&lt;=720), (-1)*('(橫掃)RX Mapping'!J52-720)+120,IF(AND('(橫掃)RX Mapping'!J52&gt;=721,'(橫掃)RX Mapping'!J52&lt;=840), ('(橫掃)RX Mapping'!J52-601),IF(AND('(橫掃)RX Mapping'!J52&gt;=841,'(橫掃)RX Mapping'!J52&lt;=960), (-1)*('(橫掃)RX Mapping'!J52-960)+120,9999))))))))</f>
        <v>9999</v>
      </c>
      <c r="K52">
        <f>IF(AND('(橫掃)RX Mapping'!K52&gt;=1,'(橫掃)RX Mapping'!K52&lt;=120), ('(橫掃)RX Mapping'!K52-1),IF(AND('(橫掃)RX Mapping'!K52&gt;=121,'(橫掃)RX Mapping'!K52&lt;=240), (-1)*('(橫掃)RX Mapping'!K52-240),IF(AND('(橫掃)RX Mapping'!K52&gt;=241,'(橫掃)RX Mapping'!K52&lt;=360), ('(橫掃)RX Mapping'!K52-241),IF(AND('(橫掃)RX Mapping'!K52&gt;=361,'(橫掃)RX Mapping'!K52&lt;=480), (-1)*('(橫掃)RX Mapping'!K52-480),IF(AND('(橫掃)RX Mapping'!K52&gt;=481,'(橫掃)RX Mapping'!K52&lt;=600), ('(橫掃)RX Mapping'!K52-361),IF(AND('(橫掃)RX Mapping'!K52&gt;=601,'(橫掃)RX Mapping'!K52&lt;=720), (-1)*('(橫掃)RX Mapping'!K52-720)+120,IF(AND('(橫掃)RX Mapping'!K52&gt;=721,'(橫掃)RX Mapping'!K52&lt;=840), ('(橫掃)RX Mapping'!K52-601),IF(AND('(橫掃)RX Mapping'!K52&gt;=841,'(橫掃)RX Mapping'!K52&lt;=960), (-1)*('(橫掃)RX Mapping'!K52-960)+120,9999))))))))</f>
        <v>9999</v>
      </c>
      <c r="L52">
        <f>IF(AND('(橫掃)RX Mapping'!L52&gt;=1,'(橫掃)RX Mapping'!L52&lt;=120), ('(橫掃)RX Mapping'!L52-1),IF(AND('(橫掃)RX Mapping'!L52&gt;=121,'(橫掃)RX Mapping'!L52&lt;=240), (-1)*('(橫掃)RX Mapping'!L52-240),IF(AND('(橫掃)RX Mapping'!L52&gt;=241,'(橫掃)RX Mapping'!L52&lt;=360), ('(橫掃)RX Mapping'!L52-241),IF(AND('(橫掃)RX Mapping'!L52&gt;=361,'(橫掃)RX Mapping'!L52&lt;=480), (-1)*('(橫掃)RX Mapping'!L52-480),IF(AND('(橫掃)RX Mapping'!L52&gt;=481,'(橫掃)RX Mapping'!L52&lt;=600), ('(橫掃)RX Mapping'!L52-361),IF(AND('(橫掃)RX Mapping'!L52&gt;=601,'(橫掃)RX Mapping'!L52&lt;=720), (-1)*('(橫掃)RX Mapping'!L52-720)+120,IF(AND('(橫掃)RX Mapping'!L52&gt;=721,'(橫掃)RX Mapping'!L52&lt;=840), ('(橫掃)RX Mapping'!L52-601),IF(AND('(橫掃)RX Mapping'!L52&gt;=841,'(橫掃)RX Mapping'!L52&lt;=960), (-1)*('(橫掃)RX Mapping'!L52-960)+120,9999))))))))</f>
        <v>9999</v>
      </c>
      <c r="M52">
        <f>IF(AND('(橫掃)RX Mapping'!M52&gt;=1,'(橫掃)RX Mapping'!M52&lt;=120), ('(橫掃)RX Mapping'!M52-1),IF(AND('(橫掃)RX Mapping'!M52&gt;=121,'(橫掃)RX Mapping'!M52&lt;=240), (-1)*('(橫掃)RX Mapping'!M52-240),IF(AND('(橫掃)RX Mapping'!M52&gt;=241,'(橫掃)RX Mapping'!M52&lt;=360), ('(橫掃)RX Mapping'!M52-241),IF(AND('(橫掃)RX Mapping'!M52&gt;=361,'(橫掃)RX Mapping'!M52&lt;=480), (-1)*('(橫掃)RX Mapping'!M52-480),IF(AND('(橫掃)RX Mapping'!M52&gt;=481,'(橫掃)RX Mapping'!M52&lt;=600), ('(橫掃)RX Mapping'!M52-361),IF(AND('(橫掃)RX Mapping'!M52&gt;=601,'(橫掃)RX Mapping'!M52&lt;=720), (-1)*('(橫掃)RX Mapping'!M52-720)+120,IF(AND('(橫掃)RX Mapping'!M52&gt;=721,'(橫掃)RX Mapping'!M52&lt;=840), ('(橫掃)RX Mapping'!M52-601),IF(AND('(橫掃)RX Mapping'!M52&gt;=841,'(橫掃)RX Mapping'!M52&lt;=960), (-1)*('(橫掃)RX Mapping'!M52-960)+120,9999))))))))</f>
        <v>9999</v>
      </c>
      <c r="N52">
        <f>IF(AND('(橫掃)RX Mapping'!N52&gt;=1,'(橫掃)RX Mapping'!N52&lt;=120), ('(橫掃)RX Mapping'!N52-1),IF(AND('(橫掃)RX Mapping'!N52&gt;=121,'(橫掃)RX Mapping'!N52&lt;=240), (-1)*('(橫掃)RX Mapping'!N52-240),IF(AND('(橫掃)RX Mapping'!N52&gt;=241,'(橫掃)RX Mapping'!N52&lt;=360), ('(橫掃)RX Mapping'!N52-241),IF(AND('(橫掃)RX Mapping'!N52&gt;=361,'(橫掃)RX Mapping'!N52&lt;=480), (-1)*('(橫掃)RX Mapping'!N52-480),IF(AND('(橫掃)RX Mapping'!N52&gt;=481,'(橫掃)RX Mapping'!N52&lt;=600), ('(橫掃)RX Mapping'!N52-361),IF(AND('(橫掃)RX Mapping'!N52&gt;=601,'(橫掃)RX Mapping'!N52&lt;=720), (-1)*('(橫掃)RX Mapping'!N52-720)+120,IF(AND('(橫掃)RX Mapping'!N52&gt;=721,'(橫掃)RX Mapping'!N52&lt;=840), ('(橫掃)RX Mapping'!N52-601),IF(AND('(橫掃)RX Mapping'!N52&gt;=841,'(橫掃)RX Mapping'!N52&lt;=960), (-1)*('(橫掃)RX Mapping'!N52-960)+120,9999))))))))</f>
        <v>9999</v>
      </c>
      <c r="O52">
        <f>IF(AND('(橫掃)RX Mapping'!O52&gt;=1,'(橫掃)RX Mapping'!O52&lt;=120), ('(橫掃)RX Mapping'!O52-1),IF(AND('(橫掃)RX Mapping'!O52&gt;=121,'(橫掃)RX Mapping'!O52&lt;=240), (-1)*('(橫掃)RX Mapping'!O52-240),IF(AND('(橫掃)RX Mapping'!O52&gt;=241,'(橫掃)RX Mapping'!O52&lt;=360), ('(橫掃)RX Mapping'!O52-241),IF(AND('(橫掃)RX Mapping'!O52&gt;=361,'(橫掃)RX Mapping'!O52&lt;=480), (-1)*('(橫掃)RX Mapping'!O52-480),IF(AND('(橫掃)RX Mapping'!O52&gt;=481,'(橫掃)RX Mapping'!O52&lt;=600), ('(橫掃)RX Mapping'!O52-361),IF(AND('(橫掃)RX Mapping'!O52&gt;=601,'(橫掃)RX Mapping'!O52&lt;=720), (-1)*('(橫掃)RX Mapping'!O52-720)+120,IF(AND('(橫掃)RX Mapping'!O52&gt;=721,'(橫掃)RX Mapping'!O52&lt;=840), ('(橫掃)RX Mapping'!O52-601),IF(AND('(橫掃)RX Mapping'!O52&gt;=841,'(橫掃)RX Mapping'!O52&lt;=960), (-1)*('(橫掃)RX Mapping'!O52-960)+120,9999))))))))</f>
        <v>9999</v>
      </c>
      <c r="P52">
        <f>IF(AND('(橫掃)RX Mapping'!P52&gt;=1,'(橫掃)RX Mapping'!P52&lt;=120), ('(橫掃)RX Mapping'!P52-1),IF(AND('(橫掃)RX Mapping'!P52&gt;=121,'(橫掃)RX Mapping'!P52&lt;=240), (-1)*('(橫掃)RX Mapping'!P52-240),IF(AND('(橫掃)RX Mapping'!P52&gt;=241,'(橫掃)RX Mapping'!P52&lt;=360), ('(橫掃)RX Mapping'!P52-241),IF(AND('(橫掃)RX Mapping'!P52&gt;=361,'(橫掃)RX Mapping'!P52&lt;=480), (-1)*('(橫掃)RX Mapping'!P52-480),IF(AND('(橫掃)RX Mapping'!P52&gt;=481,'(橫掃)RX Mapping'!P52&lt;=600), ('(橫掃)RX Mapping'!P52-361),IF(AND('(橫掃)RX Mapping'!P52&gt;=601,'(橫掃)RX Mapping'!P52&lt;=720), (-1)*('(橫掃)RX Mapping'!P52-720)+120,IF(AND('(橫掃)RX Mapping'!P52&gt;=721,'(橫掃)RX Mapping'!P52&lt;=840), ('(橫掃)RX Mapping'!P52-601),IF(AND('(橫掃)RX Mapping'!P52&gt;=841,'(橫掃)RX Mapping'!P52&lt;=960), (-1)*('(橫掃)RX Mapping'!P52-960)+120,9999))))))))</f>
        <v>9999</v>
      </c>
      <c r="Q52">
        <f>IF(AND('(橫掃)RX Mapping'!Q52&gt;=1,'(橫掃)RX Mapping'!Q52&lt;=120), ('(橫掃)RX Mapping'!Q52-1),IF(AND('(橫掃)RX Mapping'!Q52&gt;=121,'(橫掃)RX Mapping'!Q52&lt;=240), (-1)*('(橫掃)RX Mapping'!Q52-240),IF(AND('(橫掃)RX Mapping'!Q52&gt;=241,'(橫掃)RX Mapping'!Q52&lt;=360), ('(橫掃)RX Mapping'!Q52-241),IF(AND('(橫掃)RX Mapping'!Q52&gt;=361,'(橫掃)RX Mapping'!Q52&lt;=480), (-1)*('(橫掃)RX Mapping'!Q52-480),IF(AND('(橫掃)RX Mapping'!Q52&gt;=481,'(橫掃)RX Mapping'!Q52&lt;=600), ('(橫掃)RX Mapping'!Q52-361),IF(AND('(橫掃)RX Mapping'!Q52&gt;=601,'(橫掃)RX Mapping'!Q52&lt;=720), (-1)*('(橫掃)RX Mapping'!Q52-720)+120,IF(AND('(橫掃)RX Mapping'!Q52&gt;=721,'(橫掃)RX Mapping'!Q52&lt;=840), ('(橫掃)RX Mapping'!Q52-601),IF(AND('(橫掃)RX Mapping'!Q52&gt;=841,'(橫掃)RX Mapping'!Q52&lt;=960), (-1)*('(橫掃)RX Mapping'!Q52-960)+120,9999))))))))</f>
        <v>9999</v>
      </c>
      <c r="R52">
        <f>IF(AND('(橫掃)RX Mapping'!R52&gt;=1,'(橫掃)RX Mapping'!R52&lt;=120), ('(橫掃)RX Mapping'!R52-1),IF(AND('(橫掃)RX Mapping'!R52&gt;=121,'(橫掃)RX Mapping'!R52&lt;=240), (-1)*('(橫掃)RX Mapping'!R52-240),IF(AND('(橫掃)RX Mapping'!R52&gt;=241,'(橫掃)RX Mapping'!R52&lt;=360), ('(橫掃)RX Mapping'!R52-241),IF(AND('(橫掃)RX Mapping'!R52&gt;=361,'(橫掃)RX Mapping'!R52&lt;=480), (-1)*('(橫掃)RX Mapping'!R52-480),IF(AND('(橫掃)RX Mapping'!R52&gt;=481,'(橫掃)RX Mapping'!R52&lt;=600), ('(橫掃)RX Mapping'!R52-361),IF(AND('(橫掃)RX Mapping'!R52&gt;=601,'(橫掃)RX Mapping'!R52&lt;=720), (-1)*('(橫掃)RX Mapping'!R52-720)+120,IF(AND('(橫掃)RX Mapping'!R52&gt;=721,'(橫掃)RX Mapping'!R52&lt;=840), ('(橫掃)RX Mapping'!R52-601),IF(AND('(橫掃)RX Mapping'!R52&gt;=841,'(橫掃)RX Mapping'!R52&lt;=960), (-1)*('(橫掃)RX Mapping'!R52-960)+120,9999))))))))</f>
        <v>9999</v>
      </c>
      <c r="S52">
        <f>IF(AND('(橫掃)RX Mapping'!S52&gt;=1,'(橫掃)RX Mapping'!S52&lt;=120), ('(橫掃)RX Mapping'!S52-1),IF(AND('(橫掃)RX Mapping'!S52&gt;=121,'(橫掃)RX Mapping'!S52&lt;=240), (-1)*('(橫掃)RX Mapping'!S52-240),IF(AND('(橫掃)RX Mapping'!S52&gt;=241,'(橫掃)RX Mapping'!S52&lt;=360), ('(橫掃)RX Mapping'!S52-241),IF(AND('(橫掃)RX Mapping'!S52&gt;=361,'(橫掃)RX Mapping'!S52&lt;=480), (-1)*('(橫掃)RX Mapping'!S52-480),IF(AND('(橫掃)RX Mapping'!S52&gt;=481,'(橫掃)RX Mapping'!S52&lt;=600), ('(橫掃)RX Mapping'!S52-361),IF(AND('(橫掃)RX Mapping'!S52&gt;=601,'(橫掃)RX Mapping'!S52&lt;=720), (-1)*('(橫掃)RX Mapping'!S52-720)+120,IF(AND('(橫掃)RX Mapping'!S52&gt;=721,'(橫掃)RX Mapping'!S52&lt;=840), ('(橫掃)RX Mapping'!S52-601),IF(AND('(橫掃)RX Mapping'!S52&gt;=841,'(橫掃)RX Mapping'!S52&lt;=960), (-1)*('(橫掃)RX Mapping'!S52-960)+120,9999))))))))</f>
        <v>9999</v>
      </c>
      <c r="T52">
        <f>IF(AND('(橫掃)RX Mapping'!T52&gt;=1,'(橫掃)RX Mapping'!T52&lt;=120), ('(橫掃)RX Mapping'!T52-1),IF(AND('(橫掃)RX Mapping'!T52&gt;=121,'(橫掃)RX Mapping'!T52&lt;=240), (-1)*('(橫掃)RX Mapping'!T52-240),IF(AND('(橫掃)RX Mapping'!T52&gt;=241,'(橫掃)RX Mapping'!T52&lt;=360), ('(橫掃)RX Mapping'!T52-241),IF(AND('(橫掃)RX Mapping'!T52&gt;=361,'(橫掃)RX Mapping'!T52&lt;=480), (-1)*('(橫掃)RX Mapping'!T52-480),IF(AND('(橫掃)RX Mapping'!T52&gt;=481,'(橫掃)RX Mapping'!T52&lt;=600), ('(橫掃)RX Mapping'!T52-361),IF(AND('(橫掃)RX Mapping'!T52&gt;=601,'(橫掃)RX Mapping'!T52&lt;=720), (-1)*('(橫掃)RX Mapping'!T52-720)+120,IF(AND('(橫掃)RX Mapping'!T52&gt;=721,'(橫掃)RX Mapping'!T52&lt;=840), ('(橫掃)RX Mapping'!T52-601),IF(AND('(橫掃)RX Mapping'!T52&gt;=841,'(橫掃)RX Mapping'!T52&lt;=960), (-1)*('(橫掃)RX Mapping'!T52-960)+120,9999))))))))</f>
        <v>9999</v>
      </c>
      <c r="U52">
        <f>IF(AND('(橫掃)RX Mapping'!U52&gt;=1,'(橫掃)RX Mapping'!U52&lt;=120), ('(橫掃)RX Mapping'!U52-1),IF(AND('(橫掃)RX Mapping'!U52&gt;=121,'(橫掃)RX Mapping'!U52&lt;=240), (-1)*('(橫掃)RX Mapping'!U52-240),IF(AND('(橫掃)RX Mapping'!U52&gt;=241,'(橫掃)RX Mapping'!U52&lt;=360), ('(橫掃)RX Mapping'!U52-241),IF(AND('(橫掃)RX Mapping'!U52&gt;=361,'(橫掃)RX Mapping'!U52&lt;=480), (-1)*('(橫掃)RX Mapping'!U52-480),IF(AND('(橫掃)RX Mapping'!U52&gt;=481,'(橫掃)RX Mapping'!U52&lt;=600), ('(橫掃)RX Mapping'!U52-361),IF(AND('(橫掃)RX Mapping'!U52&gt;=601,'(橫掃)RX Mapping'!U52&lt;=720), (-1)*('(橫掃)RX Mapping'!U52-720)+120,IF(AND('(橫掃)RX Mapping'!U52&gt;=721,'(橫掃)RX Mapping'!U52&lt;=840), ('(橫掃)RX Mapping'!U52-601),IF(AND('(橫掃)RX Mapping'!U52&gt;=841,'(橫掃)RX Mapping'!U52&lt;=960), (-1)*('(橫掃)RX Mapping'!U52-960)+120,9999))))))))</f>
        <v>9999</v>
      </c>
      <c r="V52">
        <f>IF(AND('(橫掃)RX Mapping'!V52&gt;=1,'(橫掃)RX Mapping'!V52&lt;=120), ('(橫掃)RX Mapping'!V52-1),IF(AND('(橫掃)RX Mapping'!V52&gt;=121,'(橫掃)RX Mapping'!V52&lt;=240), (-1)*('(橫掃)RX Mapping'!V52-240),IF(AND('(橫掃)RX Mapping'!V52&gt;=241,'(橫掃)RX Mapping'!V52&lt;=360), ('(橫掃)RX Mapping'!V52-241),IF(AND('(橫掃)RX Mapping'!V52&gt;=361,'(橫掃)RX Mapping'!V52&lt;=480), (-1)*('(橫掃)RX Mapping'!V52-480),IF(AND('(橫掃)RX Mapping'!V52&gt;=481,'(橫掃)RX Mapping'!V52&lt;=600), ('(橫掃)RX Mapping'!V52-361),IF(AND('(橫掃)RX Mapping'!V52&gt;=601,'(橫掃)RX Mapping'!V52&lt;=720), (-1)*('(橫掃)RX Mapping'!V52-720)+120,IF(AND('(橫掃)RX Mapping'!V52&gt;=721,'(橫掃)RX Mapping'!V52&lt;=840), ('(橫掃)RX Mapping'!V52-601),IF(AND('(橫掃)RX Mapping'!V52&gt;=841,'(橫掃)RX Mapping'!V52&lt;=960), (-1)*('(橫掃)RX Mapping'!V52-960)+120,9999))))))))</f>
        <v>9999</v>
      </c>
      <c r="W52">
        <f>IF(AND('(橫掃)RX Mapping'!W52&gt;=1,'(橫掃)RX Mapping'!W52&lt;=120), ('(橫掃)RX Mapping'!W52-1),IF(AND('(橫掃)RX Mapping'!W52&gt;=121,'(橫掃)RX Mapping'!W52&lt;=240), (-1)*('(橫掃)RX Mapping'!W52-240),IF(AND('(橫掃)RX Mapping'!W52&gt;=241,'(橫掃)RX Mapping'!W52&lt;=360), ('(橫掃)RX Mapping'!W52-241),IF(AND('(橫掃)RX Mapping'!W52&gt;=361,'(橫掃)RX Mapping'!W52&lt;=480), (-1)*('(橫掃)RX Mapping'!W52-480),IF(AND('(橫掃)RX Mapping'!W52&gt;=481,'(橫掃)RX Mapping'!W52&lt;=600), ('(橫掃)RX Mapping'!W52-361),IF(AND('(橫掃)RX Mapping'!W52&gt;=601,'(橫掃)RX Mapping'!W52&lt;=720), (-1)*('(橫掃)RX Mapping'!W52-720)+120,IF(AND('(橫掃)RX Mapping'!W52&gt;=721,'(橫掃)RX Mapping'!W52&lt;=840), ('(橫掃)RX Mapping'!W52-601),IF(AND('(橫掃)RX Mapping'!W52&gt;=841,'(橫掃)RX Mapping'!W52&lt;=960), (-1)*('(橫掃)RX Mapping'!W52-960)+120,9999))))))))</f>
        <v>9999</v>
      </c>
      <c r="X52">
        <f>IF(AND('(橫掃)RX Mapping'!X52&gt;=1,'(橫掃)RX Mapping'!X52&lt;=120), ('(橫掃)RX Mapping'!X52-1),IF(AND('(橫掃)RX Mapping'!X52&gt;=121,'(橫掃)RX Mapping'!X52&lt;=240), (-1)*('(橫掃)RX Mapping'!X52-240),IF(AND('(橫掃)RX Mapping'!X52&gt;=241,'(橫掃)RX Mapping'!X52&lt;=360), ('(橫掃)RX Mapping'!X52-241),IF(AND('(橫掃)RX Mapping'!X52&gt;=361,'(橫掃)RX Mapping'!X52&lt;=480), (-1)*('(橫掃)RX Mapping'!X52-480),IF(AND('(橫掃)RX Mapping'!X52&gt;=481,'(橫掃)RX Mapping'!X52&lt;=600), ('(橫掃)RX Mapping'!X52-361),IF(AND('(橫掃)RX Mapping'!X52&gt;=601,'(橫掃)RX Mapping'!X52&lt;=720), (-1)*('(橫掃)RX Mapping'!X52-720)+120,IF(AND('(橫掃)RX Mapping'!X52&gt;=721,'(橫掃)RX Mapping'!X52&lt;=840), ('(橫掃)RX Mapping'!X52-601),IF(AND('(橫掃)RX Mapping'!X52&gt;=841,'(橫掃)RX Mapping'!X52&lt;=960), (-1)*('(橫掃)RX Mapping'!X52-960)+120,9999))))))))</f>
        <v>9999</v>
      </c>
      <c r="Y52">
        <f>IF(AND('(橫掃)RX Mapping'!Y52&gt;=1,'(橫掃)RX Mapping'!Y52&lt;=120), ('(橫掃)RX Mapping'!Y52-1),IF(AND('(橫掃)RX Mapping'!Y52&gt;=121,'(橫掃)RX Mapping'!Y52&lt;=240), (-1)*('(橫掃)RX Mapping'!Y52-240),IF(AND('(橫掃)RX Mapping'!Y52&gt;=241,'(橫掃)RX Mapping'!Y52&lt;=360), ('(橫掃)RX Mapping'!Y52-241),IF(AND('(橫掃)RX Mapping'!Y52&gt;=361,'(橫掃)RX Mapping'!Y52&lt;=480), (-1)*('(橫掃)RX Mapping'!Y52-480),IF(AND('(橫掃)RX Mapping'!Y52&gt;=481,'(橫掃)RX Mapping'!Y52&lt;=600), ('(橫掃)RX Mapping'!Y52-361),IF(AND('(橫掃)RX Mapping'!Y52&gt;=601,'(橫掃)RX Mapping'!Y52&lt;=720), (-1)*('(橫掃)RX Mapping'!Y52-720)+120,IF(AND('(橫掃)RX Mapping'!Y52&gt;=721,'(橫掃)RX Mapping'!Y52&lt;=840), ('(橫掃)RX Mapping'!Y52-601),IF(AND('(橫掃)RX Mapping'!Y52&gt;=841,'(橫掃)RX Mapping'!Y52&lt;=960), (-1)*('(橫掃)RX Mapping'!Y52-960)+120,9999))))))))</f>
        <v>9999</v>
      </c>
      <c r="Z52">
        <f>IF(AND('(橫掃)RX Mapping'!Z52&gt;=1,'(橫掃)RX Mapping'!Z52&lt;=120), ('(橫掃)RX Mapping'!Z52-1),IF(AND('(橫掃)RX Mapping'!Z52&gt;=121,'(橫掃)RX Mapping'!Z52&lt;=240), (-1)*('(橫掃)RX Mapping'!Z52-240),IF(AND('(橫掃)RX Mapping'!Z52&gt;=241,'(橫掃)RX Mapping'!Z52&lt;=360), ('(橫掃)RX Mapping'!Z52-241),IF(AND('(橫掃)RX Mapping'!Z52&gt;=361,'(橫掃)RX Mapping'!Z52&lt;=480), (-1)*('(橫掃)RX Mapping'!Z52-480),IF(AND('(橫掃)RX Mapping'!Z52&gt;=481,'(橫掃)RX Mapping'!Z52&lt;=600), ('(橫掃)RX Mapping'!Z52-361),IF(AND('(橫掃)RX Mapping'!Z52&gt;=601,'(橫掃)RX Mapping'!Z52&lt;=720), (-1)*('(橫掃)RX Mapping'!Z52-720)+120,IF(AND('(橫掃)RX Mapping'!Z52&gt;=721,'(橫掃)RX Mapping'!Z52&lt;=840), ('(橫掃)RX Mapping'!Z52-601),IF(AND('(橫掃)RX Mapping'!Z52&gt;=841,'(橫掃)RX Mapping'!Z52&lt;=960), (-1)*('(橫掃)RX Mapping'!Z52-960)+120,9999))))))))</f>
        <v>9999</v>
      </c>
      <c r="AA52">
        <f>IF(AND('(橫掃)RX Mapping'!AA52&gt;=1,'(橫掃)RX Mapping'!AA52&lt;=120), ('(橫掃)RX Mapping'!AA52-1),IF(AND('(橫掃)RX Mapping'!AA52&gt;=121,'(橫掃)RX Mapping'!AA52&lt;=240), (-1)*('(橫掃)RX Mapping'!AA52-240),IF(AND('(橫掃)RX Mapping'!AA52&gt;=241,'(橫掃)RX Mapping'!AA52&lt;=360), ('(橫掃)RX Mapping'!AA52-241),IF(AND('(橫掃)RX Mapping'!AA52&gt;=361,'(橫掃)RX Mapping'!AA52&lt;=480), (-1)*('(橫掃)RX Mapping'!AA52-480),IF(AND('(橫掃)RX Mapping'!AA52&gt;=481,'(橫掃)RX Mapping'!AA52&lt;=600), ('(橫掃)RX Mapping'!AA52-361),IF(AND('(橫掃)RX Mapping'!AA52&gt;=601,'(橫掃)RX Mapping'!AA52&lt;=720), (-1)*('(橫掃)RX Mapping'!AA52-720)+120,IF(AND('(橫掃)RX Mapping'!AA52&gt;=721,'(橫掃)RX Mapping'!AA52&lt;=840), ('(橫掃)RX Mapping'!AA52-601),IF(AND('(橫掃)RX Mapping'!AA52&gt;=841,'(橫掃)RX Mapping'!AA52&lt;=960), (-1)*('(橫掃)RX Mapping'!AA52-960)+120,9999))))))))</f>
        <v>9999</v>
      </c>
      <c r="AB52">
        <f>IF(AND('(橫掃)RX Mapping'!AB52&gt;=1,'(橫掃)RX Mapping'!AB52&lt;=120), ('(橫掃)RX Mapping'!AB52-1),IF(AND('(橫掃)RX Mapping'!AB52&gt;=121,'(橫掃)RX Mapping'!AB52&lt;=240), (-1)*('(橫掃)RX Mapping'!AB52-240),IF(AND('(橫掃)RX Mapping'!AB52&gt;=241,'(橫掃)RX Mapping'!AB52&lt;=360), ('(橫掃)RX Mapping'!AB52-241),IF(AND('(橫掃)RX Mapping'!AB52&gt;=361,'(橫掃)RX Mapping'!AB52&lt;=480), (-1)*('(橫掃)RX Mapping'!AB52-480),IF(AND('(橫掃)RX Mapping'!AB52&gt;=481,'(橫掃)RX Mapping'!AB52&lt;=600), ('(橫掃)RX Mapping'!AB52-361),IF(AND('(橫掃)RX Mapping'!AB52&gt;=601,'(橫掃)RX Mapping'!AB52&lt;=720), (-1)*('(橫掃)RX Mapping'!AB52-720)+120,IF(AND('(橫掃)RX Mapping'!AB52&gt;=721,'(橫掃)RX Mapping'!AB52&lt;=840), ('(橫掃)RX Mapping'!AB52-601),IF(AND('(橫掃)RX Mapping'!AB52&gt;=841,'(橫掃)RX Mapping'!AB52&lt;=960), (-1)*('(橫掃)RX Mapping'!AB52-960)+120,9999))))))))</f>
        <v>9999</v>
      </c>
      <c r="AC52">
        <f>IF(AND('(橫掃)RX Mapping'!AC52&gt;=1,'(橫掃)RX Mapping'!AC52&lt;=120), ('(橫掃)RX Mapping'!AC52-1),IF(AND('(橫掃)RX Mapping'!AC52&gt;=121,'(橫掃)RX Mapping'!AC52&lt;=240), (-1)*('(橫掃)RX Mapping'!AC52-240),IF(AND('(橫掃)RX Mapping'!AC52&gt;=241,'(橫掃)RX Mapping'!AC52&lt;=360), ('(橫掃)RX Mapping'!AC52-241),IF(AND('(橫掃)RX Mapping'!AC52&gt;=361,'(橫掃)RX Mapping'!AC52&lt;=480), (-1)*('(橫掃)RX Mapping'!AC52-480),IF(AND('(橫掃)RX Mapping'!AC52&gt;=481,'(橫掃)RX Mapping'!AC52&lt;=600), ('(橫掃)RX Mapping'!AC52-361),IF(AND('(橫掃)RX Mapping'!AC52&gt;=601,'(橫掃)RX Mapping'!AC52&lt;=720), (-1)*('(橫掃)RX Mapping'!AC52-720)+120,IF(AND('(橫掃)RX Mapping'!AC52&gt;=721,'(橫掃)RX Mapping'!AC52&lt;=840), ('(橫掃)RX Mapping'!AC52-601),IF(AND('(橫掃)RX Mapping'!AC52&gt;=841,'(橫掃)RX Mapping'!AC52&lt;=960), (-1)*('(橫掃)RX Mapping'!AC52-960)+120,9999))))))))</f>
        <v>9999</v>
      </c>
      <c r="AD52">
        <f>IF(AND('(橫掃)RX Mapping'!AD52&gt;=1,'(橫掃)RX Mapping'!AD52&lt;=120), ('(橫掃)RX Mapping'!AD52-1),IF(AND('(橫掃)RX Mapping'!AD52&gt;=121,'(橫掃)RX Mapping'!AD52&lt;=240), (-1)*('(橫掃)RX Mapping'!AD52-240),IF(AND('(橫掃)RX Mapping'!AD52&gt;=241,'(橫掃)RX Mapping'!AD52&lt;=360), ('(橫掃)RX Mapping'!AD52-241),IF(AND('(橫掃)RX Mapping'!AD52&gt;=361,'(橫掃)RX Mapping'!AD52&lt;=480), (-1)*('(橫掃)RX Mapping'!AD52-480),IF(AND('(橫掃)RX Mapping'!AD52&gt;=481,'(橫掃)RX Mapping'!AD52&lt;=600), ('(橫掃)RX Mapping'!AD52-361),IF(AND('(橫掃)RX Mapping'!AD52&gt;=601,'(橫掃)RX Mapping'!AD52&lt;=720), (-1)*('(橫掃)RX Mapping'!AD52-720)+120,IF(AND('(橫掃)RX Mapping'!AD52&gt;=721,'(橫掃)RX Mapping'!AD52&lt;=840), ('(橫掃)RX Mapping'!AD52-601),IF(AND('(橫掃)RX Mapping'!AD52&gt;=841,'(橫掃)RX Mapping'!AD52&lt;=960), (-1)*('(橫掃)RX Mapping'!AD52-960)+120,9999))))))))</f>
        <v>9999</v>
      </c>
      <c r="AE52">
        <f>IF(AND('(橫掃)RX Mapping'!AE52&gt;=1,'(橫掃)RX Mapping'!AE52&lt;=120), ('(橫掃)RX Mapping'!AE52-1),IF(AND('(橫掃)RX Mapping'!AE52&gt;=121,'(橫掃)RX Mapping'!AE52&lt;=240), (-1)*('(橫掃)RX Mapping'!AE52-240),IF(AND('(橫掃)RX Mapping'!AE52&gt;=241,'(橫掃)RX Mapping'!AE52&lt;=360), ('(橫掃)RX Mapping'!AE52-241),IF(AND('(橫掃)RX Mapping'!AE52&gt;=361,'(橫掃)RX Mapping'!AE52&lt;=480), (-1)*('(橫掃)RX Mapping'!AE52-480),IF(AND('(橫掃)RX Mapping'!AE52&gt;=481,'(橫掃)RX Mapping'!AE52&lt;=600), ('(橫掃)RX Mapping'!AE52-361),IF(AND('(橫掃)RX Mapping'!AE52&gt;=601,'(橫掃)RX Mapping'!AE52&lt;=720), (-1)*('(橫掃)RX Mapping'!AE52-720)+120,IF(AND('(橫掃)RX Mapping'!AE52&gt;=721,'(橫掃)RX Mapping'!AE52&lt;=840), ('(橫掃)RX Mapping'!AE52-601),IF(AND('(橫掃)RX Mapping'!AE52&gt;=841,'(橫掃)RX Mapping'!AE52&lt;=960), (-1)*('(橫掃)RX Mapping'!AE52-960)+120,9999))))))))</f>
        <v>9999</v>
      </c>
      <c r="AF52">
        <f>IF(AND('(橫掃)RX Mapping'!AF52&gt;=1,'(橫掃)RX Mapping'!AF52&lt;=120), ('(橫掃)RX Mapping'!AF52-1),IF(AND('(橫掃)RX Mapping'!AF52&gt;=121,'(橫掃)RX Mapping'!AF52&lt;=240), (-1)*('(橫掃)RX Mapping'!AF52-240),IF(AND('(橫掃)RX Mapping'!AF52&gt;=241,'(橫掃)RX Mapping'!AF52&lt;=360), ('(橫掃)RX Mapping'!AF52-241),IF(AND('(橫掃)RX Mapping'!AF52&gt;=361,'(橫掃)RX Mapping'!AF52&lt;=480), (-1)*('(橫掃)RX Mapping'!AF52-480),IF(AND('(橫掃)RX Mapping'!AF52&gt;=481,'(橫掃)RX Mapping'!AF52&lt;=600), ('(橫掃)RX Mapping'!AF52-361),IF(AND('(橫掃)RX Mapping'!AF52&gt;=601,'(橫掃)RX Mapping'!AF52&lt;=720), (-1)*('(橫掃)RX Mapping'!AF52-720)+120,IF(AND('(橫掃)RX Mapping'!AF52&gt;=721,'(橫掃)RX Mapping'!AF52&lt;=840), ('(橫掃)RX Mapping'!AF52-601),IF(AND('(橫掃)RX Mapping'!AF52&gt;=841,'(橫掃)RX Mapping'!AF52&lt;=960), (-1)*('(橫掃)RX Mapping'!AF52-960)+120,9999))))))))</f>
        <v>9999</v>
      </c>
      <c r="AG52">
        <f>IF(AND('(橫掃)RX Mapping'!AG52&gt;=1,'(橫掃)RX Mapping'!AG52&lt;=120), ('(橫掃)RX Mapping'!AG52-1),IF(AND('(橫掃)RX Mapping'!AG52&gt;=121,'(橫掃)RX Mapping'!AG52&lt;=240), (-1)*('(橫掃)RX Mapping'!AG52-240),IF(AND('(橫掃)RX Mapping'!AG52&gt;=241,'(橫掃)RX Mapping'!AG52&lt;=360), ('(橫掃)RX Mapping'!AG52-241),IF(AND('(橫掃)RX Mapping'!AG52&gt;=361,'(橫掃)RX Mapping'!AG52&lt;=480), (-1)*('(橫掃)RX Mapping'!AG52-480),IF(AND('(橫掃)RX Mapping'!AG52&gt;=481,'(橫掃)RX Mapping'!AG52&lt;=600), ('(橫掃)RX Mapping'!AG52-361),IF(AND('(橫掃)RX Mapping'!AG52&gt;=601,'(橫掃)RX Mapping'!AG52&lt;=720), (-1)*('(橫掃)RX Mapping'!AG52-720)+120,IF(AND('(橫掃)RX Mapping'!AG52&gt;=721,'(橫掃)RX Mapping'!AG52&lt;=840), ('(橫掃)RX Mapping'!AG52-601),IF(AND('(橫掃)RX Mapping'!AG52&gt;=841,'(橫掃)RX Mapping'!AG52&lt;=960), (-1)*('(橫掃)RX Mapping'!AG52-960)+120,9999))))))))</f>
        <v>9999</v>
      </c>
      <c r="AH52">
        <f>IF(AND('(橫掃)RX Mapping'!AH52&gt;=1,'(橫掃)RX Mapping'!AH52&lt;=120), ('(橫掃)RX Mapping'!AH52-1),IF(AND('(橫掃)RX Mapping'!AH52&gt;=121,'(橫掃)RX Mapping'!AH52&lt;=240), (-1)*('(橫掃)RX Mapping'!AH52-240),IF(AND('(橫掃)RX Mapping'!AH52&gt;=241,'(橫掃)RX Mapping'!AH52&lt;=360), ('(橫掃)RX Mapping'!AH52-241),IF(AND('(橫掃)RX Mapping'!AH52&gt;=361,'(橫掃)RX Mapping'!AH52&lt;=480), (-1)*('(橫掃)RX Mapping'!AH52-480),IF(AND('(橫掃)RX Mapping'!AH52&gt;=481,'(橫掃)RX Mapping'!AH52&lt;=600), ('(橫掃)RX Mapping'!AH52-361),IF(AND('(橫掃)RX Mapping'!AH52&gt;=601,'(橫掃)RX Mapping'!AH52&lt;=720), (-1)*('(橫掃)RX Mapping'!AH52-720)+120,IF(AND('(橫掃)RX Mapping'!AH52&gt;=721,'(橫掃)RX Mapping'!AH52&lt;=840), ('(橫掃)RX Mapping'!AH52-601),IF(AND('(橫掃)RX Mapping'!AH52&gt;=841,'(橫掃)RX Mapping'!AH52&lt;=960), (-1)*('(橫掃)RX Mapping'!AH52-960)+120,9999))))))))</f>
        <v>9999</v>
      </c>
      <c r="AI52">
        <f>IF(AND('(橫掃)RX Mapping'!AI52&gt;=1,'(橫掃)RX Mapping'!AI52&lt;=120), ('(橫掃)RX Mapping'!AI52-1),IF(AND('(橫掃)RX Mapping'!AI52&gt;=121,'(橫掃)RX Mapping'!AI52&lt;=240), (-1)*('(橫掃)RX Mapping'!AI52-240),IF(AND('(橫掃)RX Mapping'!AI52&gt;=241,'(橫掃)RX Mapping'!AI52&lt;=360), ('(橫掃)RX Mapping'!AI52-241),IF(AND('(橫掃)RX Mapping'!AI52&gt;=361,'(橫掃)RX Mapping'!AI52&lt;=480), (-1)*('(橫掃)RX Mapping'!AI52-480),IF(AND('(橫掃)RX Mapping'!AI52&gt;=481,'(橫掃)RX Mapping'!AI52&lt;=600), ('(橫掃)RX Mapping'!AI52-361),IF(AND('(橫掃)RX Mapping'!AI52&gt;=601,'(橫掃)RX Mapping'!AI52&lt;=720), (-1)*('(橫掃)RX Mapping'!AI52-720)+120,IF(AND('(橫掃)RX Mapping'!AI52&gt;=721,'(橫掃)RX Mapping'!AI52&lt;=840), ('(橫掃)RX Mapping'!AI52-601),IF(AND('(橫掃)RX Mapping'!AI52&gt;=841,'(橫掃)RX Mapping'!AI52&lt;=960), (-1)*('(橫掃)RX Mapping'!AI52-960)+120,9999))))))))</f>
        <v>9999</v>
      </c>
      <c r="AJ52">
        <f>IF(AND('(橫掃)RX Mapping'!AJ52&gt;=1,'(橫掃)RX Mapping'!AJ52&lt;=120), ('(橫掃)RX Mapping'!AJ52-1),IF(AND('(橫掃)RX Mapping'!AJ52&gt;=121,'(橫掃)RX Mapping'!AJ52&lt;=240), (-1)*('(橫掃)RX Mapping'!AJ52-240),IF(AND('(橫掃)RX Mapping'!AJ52&gt;=241,'(橫掃)RX Mapping'!AJ52&lt;=360), ('(橫掃)RX Mapping'!AJ52-241),IF(AND('(橫掃)RX Mapping'!AJ52&gt;=361,'(橫掃)RX Mapping'!AJ52&lt;=480), (-1)*('(橫掃)RX Mapping'!AJ52-480),IF(AND('(橫掃)RX Mapping'!AJ52&gt;=481,'(橫掃)RX Mapping'!AJ52&lt;=600), ('(橫掃)RX Mapping'!AJ52-361),IF(AND('(橫掃)RX Mapping'!AJ52&gt;=601,'(橫掃)RX Mapping'!AJ52&lt;=720), (-1)*('(橫掃)RX Mapping'!AJ52-720)+120,IF(AND('(橫掃)RX Mapping'!AJ52&gt;=721,'(橫掃)RX Mapping'!AJ52&lt;=840), ('(橫掃)RX Mapping'!AJ52-601),IF(AND('(橫掃)RX Mapping'!AJ52&gt;=841,'(橫掃)RX Mapping'!AJ52&lt;=960), (-1)*('(橫掃)RX Mapping'!AJ52-960)+120,9999))))))))</f>
        <v>9999</v>
      </c>
      <c r="AK52">
        <f>IF(AND('(橫掃)RX Mapping'!AK52&gt;=1,'(橫掃)RX Mapping'!AK52&lt;=120), ('(橫掃)RX Mapping'!AK52-1),IF(AND('(橫掃)RX Mapping'!AK52&gt;=121,'(橫掃)RX Mapping'!AK52&lt;=240), (-1)*('(橫掃)RX Mapping'!AK52-240),IF(AND('(橫掃)RX Mapping'!AK52&gt;=241,'(橫掃)RX Mapping'!AK52&lt;=360), ('(橫掃)RX Mapping'!AK52-241),IF(AND('(橫掃)RX Mapping'!AK52&gt;=361,'(橫掃)RX Mapping'!AK52&lt;=480), (-1)*('(橫掃)RX Mapping'!AK52-480),IF(AND('(橫掃)RX Mapping'!AK52&gt;=481,'(橫掃)RX Mapping'!AK52&lt;=600), ('(橫掃)RX Mapping'!AK52-361),IF(AND('(橫掃)RX Mapping'!AK52&gt;=601,'(橫掃)RX Mapping'!AK52&lt;=720), (-1)*('(橫掃)RX Mapping'!AK52-720)+120,IF(AND('(橫掃)RX Mapping'!AK52&gt;=721,'(橫掃)RX Mapping'!AK52&lt;=840), ('(橫掃)RX Mapping'!AK52-601),IF(AND('(橫掃)RX Mapping'!AK52&gt;=841,'(橫掃)RX Mapping'!AK52&lt;=960), (-1)*('(橫掃)RX Mapping'!AK52-960)+120,9999))))))))</f>
        <v>9999</v>
      </c>
      <c r="AL52">
        <f>IF(AND('(橫掃)RX Mapping'!AL52&gt;=1,'(橫掃)RX Mapping'!AL52&lt;=120), ('(橫掃)RX Mapping'!AL52-1),IF(AND('(橫掃)RX Mapping'!AL52&gt;=121,'(橫掃)RX Mapping'!AL52&lt;=240), (-1)*('(橫掃)RX Mapping'!AL52-240),IF(AND('(橫掃)RX Mapping'!AL52&gt;=241,'(橫掃)RX Mapping'!AL52&lt;=360), ('(橫掃)RX Mapping'!AL52-241),IF(AND('(橫掃)RX Mapping'!AL52&gt;=361,'(橫掃)RX Mapping'!AL52&lt;=480), (-1)*('(橫掃)RX Mapping'!AL52-480),IF(AND('(橫掃)RX Mapping'!AL52&gt;=481,'(橫掃)RX Mapping'!AL52&lt;=600), ('(橫掃)RX Mapping'!AL52-361),IF(AND('(橫掃)RX Mapping'!AL52&gt;=601,'(橫掃)RX Mapping'!AL52&lt;=720), (-1)*('(橫掃)RX Mapping'!AL52-720)+120,IF(AND('(橫掃)RX Mapping'!AL52&gt;=721,'(橫掃)RX Mapping'!AL52&lt;=840), ('(橫掃)RX Mapping'!AL52-601),IF(AND('(橫掃)RX Mapping'!AL52&gt;=841,'(橫掃)RX Mapping'!AL52&lt;=960), (-1)*('(橫掃)RX Mapping'!AL52-960)+120,9999))))))))</f>
        <v>9999</v>
      </c>
      <c r="AM52">
        <f>IF(AND('(橫掃)RX Mapping'!AM52&gt;=1,'(橫掃)RX Mapping'!AM52&lt;=120), ('(橫掃)RX Mapping'!AM52-1),IF(AND('(橫掃)RX Mapping'!AM52&gt;=121,'(橫掃)RX Mapping'!AM52&lt;=240), (-1)*('(橫掃)RX Mapping'!AM52-240),IF(AND('(橫掃)RX Mapping'!AM52&gt;=241,'(橫掃)RX Mapping'!AM52&lt;=360), ('(橫掃)RX Mapping'!AM52-241),IF(AND('(橫掃)RX Mapping'!AM52&gt;=361,'(橫掃)RX Mapping'!AM52&lt;=480), (-1)*('(橫掃)RX Mapping'!AM52-480),IF(AND('(橫掃)RX Mapping'!AM52&gt;=481,'(橫掃)RX Mapping'!AM52&lt;=600), ('(橫掃)RX Mapping'!AM52-361),IF(AND('(橫掃)RX Mapping'!AM52&gt;=601,'(橫掃)RX Mapping'!AM52&lt;=720), (-1)*('(橫掃)RX Mapping'!AM52-720)+120,IF(AND('(橫掃)RX Mapping'!AM52&gt;=721,'(橫掃)RX Mapping'!AM52&lt;=840), ('(橫掃)RX Mapping'!AM52-601),IF(AND('(橫掃)RX Mapping'!AM52&gt;=841,'(橫掃)RX Mapping'!AM52&lt;=960), (-1)*('(橫掃)RX Mapping'!AM52-960)+120,9999))))))))</f>
        <v>9999</v>
      </c>
      <c r="AN52">
        <f>IF(AND('(橫掃)RX Mapping'!AN52&gt;=1,'(橫掃)RX Mapping'!AN52&lt;=120), ('(橫掃)RX Mapping'!AN52-1),IF(AND('(橫掃)RX Mapping'!AN52&gt;=121,'(橫掃)RX Mapping'!AN52&lt;=240), (-1)*('(橫掃)RX Mapping'!AN52-240),IF(AND('(橫掃)RX Mapping'!AN52&gt;=241,'(橫掃)RX Mapping'!AN52&lt;=360), ('(橫掃)RX Mapping'!AN52-241),IF(AND('(橫掃)RX Mapping'!AN52&gt;=361,'(橫掃)RX Mapping'!AN52&lt;=480), (-1)*('(橫掃)RX Mapping'!AN52-480),IF(AND('(橫掃)RX Mapping'!AN52&gt;=481,'(橫掃)RX Mapping'!AN52&lt;=600), ('(橫掃)RX Mapping'!AN52-361),IF(AND('(橫掃)RX Mapping'!AN52&gt;=601,'(橫掃)RX Mapping'!AN52&lt;=720), (-1)*('(橫掃)RX Mapping'!AN52-720)+120,IF(AND('(橫掃)RX Mapping'!AN52&gt;=721,'(橫掃)RX Mapping'!AN52&lt;=840), ('(橫掃)RX Mapping'!AN52-601),IF(AND('(橫掃)RX Mapping'!AN52&gt;=841,'(橫掃)RX Mapping'!AN52&lt;=960), (-1)*('(橫掃)RX Mapping'!AN52-960)+120,9999))))))))</f>
        <v>9999</v>
      </c>
      <c r="AO52">
        <f>IF(AND('(橫掃)RX Mapping'!AO52&gt;=1,'(橫掃)RX Mapping'!AO52&lt;=120), ('(橫掃)RX Mapping'!AO52-1),IF(AND('(橫掃)RX Mapping'!AO52&gt;=121,'(橫掃)RX Mapping'!AO52&lt;=240), (-1)*('(橫掃)RX Mapping'!AO52-240),IF(AND('(橫掃)RX Mapping'!AO52&gt;=241,'(橫掃)RX Mapping'!AO52&lt;=360), ('(橫掃)RX Mapping'!AO52-241),IF(AND('(橫掃)RX Mapping'!AO52&gt;=361,'(橫掃)RX Mapping'!AO52&lt;=480), (-1)*('(橫掃)RX Mapping'!AO52-480),IF(AND('(橫掃)RX Mapping'!AO52&gt;=481,'(橫掃)RX Mapping'!AO52&lt;=600), ('(橫掃)RX Mapping'!AO52-361),IF(AND('(橫掃)RX Mapping'!AO52&gt;=601,'(橫掃)RX Mapping'!AO52&lt;=720), (-1)*('(橫掃)RX Mapping'!AO52-720)+120,IF(AND('(橫掃)RX Mapping'!AO52&gt;=721,'(橫掃)RX Mapping'!AO52&lt;=840), ('(橫掃)RX Mapping'!AO52-601),IF(AND('(橫掃)RX Mapping'!AO52&gt;=841,'(橫掃)RX Mapping'!AO52&lt;=960), (-1)*('(橫掃)RX Mapping'!AO52-960)+120,9999))))))))</f>
        <v>9999</v>
      </c>
      <c r="AP52">
        <f>IF(AND('(橫掃)RX Mapping'!AP52&gt;=1,'(橫掃)RX Mapping'!AP52&lt;=120), ('(橫掃)RX Mapping'!AP52-1),IF(AND('(橫掃)RX Mapping'!AP52&gt;=121,'(橫掃)RX Mapping'!AP52&lt;=240), (-1)*('(橫掃)RX Mapping'!AP52-240),IF(AND('(橫掃)RX Mapping'!AP52&gt;=241,'(橫掃)RX Mapping'!AP52&lt;=360), ('(橫掃)RX Mapping'!AP52-241),IF(AND('(橫掃)RX Mapping'!AP52&gt;=361,'(橫掃)RX Mapping'!AP52&lt;=480), (-1)*('(橫掃)RX Mapping'!AP52-480),IF(AND('(橫掃)RX Mapping'!AP52&gt;=481,'(橫掃)RX Mapping'!AP52&lt;=600), ('(橫掃)RX Mapping'!AP52-361),IF(AND('(橫掃)RX Mapping'!AP52&gt;=601,'(橫掃)RX Mapping'!AP52&lt;=720), (-1)*('(橫掃)RX Mapping'!AP52-720)+120,IF(AND('(橫掃)RX Mapping'!AP52&gt;=721,'(橫掃)RX Mapping'!AP52&lt;=840), ('(橫掃)RX Mapping'!AP52-601),IF(AND('(橫掃)RX Mapping'!AP52&gt;=841,'(橫掃)RX Mapping'!AP52&lt;=960), (-1)*('(橫掃)RX Mapping'!AP52-960)+120,9999))))))))</f>
        <v>9999</v>
      </c>
      <c r="AQ52">
        <f>IF(AND('(橫掃)RX Mapping'!AQ52&gt;=1,'(橫掃)RX Mapping'!AQ52&lt;=120), ('(橫掃)RX Mapping'!AQ52-1),IF(AND('(橫掃)RX Mapping'!AQ52&gt;=121,'(橫掃)RX Mapping'!AQ52&lt;=240), (-1)*('(橫掃)RX Mapping'!AQ52-240),IF(AND('(橫掃)RX Mapping'!AQ52&gt;=241,'(橫掃)RX Mapping'!AQ52&lt;=360), ('(橫掃)RX Mapping'!AQ52-241),IF(AND('(橫掃)RX Mapping'!AQ52&gt;=361,'(橫掃)RX Mapping'!AQ52&lt;=480), (-1)*('(橫掃)RX Mapping'!AQ52-480),IF(AND('(橫掃)RX Mapping'!AQ52&gt;=481,'(橫掃)RX Mapping'!AQ52&lt;=600), ('(橫掃)RX Mapping'!AQ52-361),IF(AND('(橫掃)RX Mapping'!AQ52&gt;=601,'(橫掃)RX Mapping'!AQ52&lt;=720), (-1)*('(橫掃)RX Mapping'!AQ52-720)+120,IF(AND('(橫掃)RX Mapping'!AQ52&gt;=721,'(橫掃)RX Mapping'!AQ52&lt;=840), ('(橫掃)RX Mapping'!AQ52-601),IF(AND('(橫掃)RX Mapping'!AQ52&gt;=841,'(橫掃)RX Mapping'!AQ52&lt;=960), (-1)*('(橫掃)RX Mapping'!AQ52-960)+120,9999))))))))</f>
        <v>9999</v>
      </c>
      <c r="AR52">
        <f>IF(AND('(橫掃)RX Mapping'!AR52&gt;=1,'(橫掃)RX Mapping'!AR52&lt;=120), ('(橫掃)RX Mapping'!AR52-1),IF(AND('(橫掃)RX Mapping'!AR52&gt;=121,'(橫掃)RX Mapping'!AR52&lt;=240), (-1)*('(橫掃)RX Mapping'!AR52-240),IF(AND('(橫掃)RX Mapping'!AR52&gt;=241,'(橫掃)RX Mapping'!AR52&lt;=360), ('(橫掃)RX Mapping'!AR52-241),IF(AND('(橫掃)RX Mapping'!AR52&gt;=361,'(橫掃)RX Mapping'!AR52&lt;=480), (-1)*('(橫掃)RX Mapping'!AR52-480),IF(AND('(橫掃)RX Mapping'!AR52&gt;=481,'(橫掃)RX Mapping'!AR52&lt;=600), ('(橫掃)RX Mapping'!AR52-361),IF(AND('(橫掃)RX Mapping'!AR52&gt;=601,'(橫掃)RX Mapping'!AR52&lt;=720), (-1)*('(橫掃)RX Mapping'!AR52-720)+120,IF(AND('(橫掃)RX Mapping'!AR52&gt;=721,'(橫掃)RX Mapping'!AR52&lt;=840), ('(橫掃)RX Mapping'!AR52-601),IF(AND('(橫掃)RX Mapping'!AR52&gt;=841,'(橫掃)RX Mapping'!AR52&lt;=960), (-1)*('(橫掃)RX Mapping'!AR52-960)+120,9999))))))))</f>
        <v>9999</v>
      </c>
      <c r="AS52">
        <f>IF(AND('(橫掃)RX Mapping'!AS52&gt;=1,'(橫掃)RX Mapping'!AS52&lt;=120), ('(橫掃)RX Mapping'!AS52-1),IF(AND('(橫掃)RX Mapping'!AS52&gt;=121,'(橫掃)RX Mapping'!AS52&lt;=240), (-1)*('(橫掃)RX Mapping'!AS52-240),IF(AND('(橫掃)RX Mapping'!AS52&gt;=241,'(橫掃)RX Mapping'!AS52&lt;=360), ('(橫掃)RX Mapping'!AS52-241),IF(AND('(橫掃)RX Mapping'!AS52&gt;=361,'(橫掃)RX Mapping'!AS52&lt;=480), (-1)*('(橫掃)RX Mapping'!AS52-480),IF(AND('(橫掃)RX Mapping'!AS52&gt;=481,'(橫掃)RX Mapping'!AS52&lt;=600), ('(橫掃)RX Mapping'!AS52-361),IF(AND('(橫掃)RX Mapping'!AS52&gt;=601,'(橫掃)RX Mapping'!AS52&lt;=720), (-1)*('(橫掃)RX Mapping'!AS52-720)+120,IF(AND('(橫掃)RX Mapping'!AS52&gt;=721,'(橫掃)RX Mapping'!AS52&lt;=840), ('(橫掃)RX Mapping'!AS52-601),IF(AND('(橫掃)RX Mapping'!AS52&gt;=841,'(橫掃)RX Mapping'!AS52&lt;=960), (-1)*('(橫掃)RX Mapping'!AS52-960)+120,9999))))))))</f>
        <v>9999</v>
      </c>
      <c r="AT52">
        <f>IF(AND('(橫掃)RX Mapping'!AT52&gt;=1,'(橫掃)RX Mapping'!AT52&lt;=120), ('(橫掃)RX Mapping'!AT52-1),IF(AND('(橫掃)RX Mapping'!AT52&gt;=121,'(橫掃)RX Mapping'!AT52&lt;=240), (-1)*('(橫掃)RX Mapping'!AT52-240),IF(AND('(橫掃)RX Mapping'!AT52&gt;=241,'(橫掃)RX Mapping'!AT52&lt;=360), ('(橫掃)RX Mapping'!AT52-241),IF(AND('(橫掃)RX Mapping'!AT52&gt;=361,'(橫掃)RX Mapping'!AT52&lt;=480), (-1)*('(橫掃)RX Mapping'!AT52-480),IF(AND('(橫掃)RX Mapping'!AT52&gt;=481,'(橫掃)RX Mapping'!AT52&lt;=600), ('(橫掃)RX Mapping'!AT52-361),IF(AND('(橫掃)RX Mapping'!AT52&gt;=601,'(橫掃)RX Mapping'!AT52&lt;=720), (-1)*('(橫掃)RX Mapping'!AT52-720)+120,IF(AND('(橫掃)RX Mapping'!AT52&gt;=721,'(橫掃)RX Mapping'!AT52&lt;=840), ('(橫掃)RX Mapping'!AT52-601),IF(AND('(橫掃)RX Mapping'!AT52&gt;=841,'(橫掃)RX Mapping'!AT52&lt;=960), (-1)*('(橫掃)RX Mapping'!AT52-960)+120,9999))))))))</f>
        <v>9999</v>
      </c>
      <c r="AU52">
        <f>IF(AND('(橫掃)RX Mapping'!AU52&gt;=1,'(橫掃)RX Mapping'!AU52&lt;=120), ('(橫掃)RX Mapping'!AU52-1),IF(AND('(橫掃)RX Mapping'!AU52&gt;=121,'(橫掃)RX Mapping'!AU52&lt;=240), (-1)*('(橫掃)RX Mapping'!AU52-240),IF(AND('(橫掃)RX Mapping'!AU52&gt;=241,'(橫掃)RX Mapping'!AU52&lt;=360), ('(橫掃)RX Mapping'!AU52-241),IF(AND('(橫掃)RX Mapping'!AU52&gt;=361,'(橫掃)RX Mapping'!AU52&lt;=480), (-1)*('(橫掃)RX Mapping'!AU52-480),IF(AND('(橫掃)RX Mapping'!AU52&gt;=481,'(橫掃)RX Mapping'!AU52&lt;=600), ('(橫掃)RX Mapping'!AU52-361),IF(AND('(橫掃)RX Mapping'!AU52&gt;=601,'(橫掃)RX Mapping'!AU52&lt;=720), (-1)*('(橫掃)RX Mapping'!AU52-720)+120,IF(AND('(橫掃)RX Mapping'!AU52&gt;=721,'(橫掃)RX Mapping'!AU52&lt;=840), ('(橫掃)RX Mapping'!AU52-601),IF(AND('(橫掃)RX Mapping'!AU52&gt;=841,'(橫掃)RX Mapping'!AU52&lt;=960), (-1)*('(橫掃)RX Mapping'!AU52-960)+120,9999))))))))</f>
        <v>9999</v>
      </c>
      <c r="AV52">
        <f>IF(AND('(橫掃)RX Mapping'!AV52&gt;=1,'(橫掃)RX Mapping'!AV52&lt;=120), ('(橫掃)RX Mapping'!AV52-1),IF(AND('(橫掃)RX Mapping'!AV52&gt;=121,'(橫掃)RX Mapping'!AV52&lt;=240), (-1)*('(橫掃)RX Mapping'!AV52-240),IF(AND('(橫掃)RX Mapping'!AV52&gt;=241,'(橫掃)RX Mapping'!AV52&lt;=360), ('(橫掃)RX Mapping'!AV52-241),IF(AND('(橫掃)RX Mapping'!AV52&gt;=361,'(橫掃)RX Mapping'!AV52&lt;=480), (-1)*('(橫掃)RX Mapping'!AV52-480),IF(AND('(橫掃)RX Mapping'!AV52&gt;=481,'(橫掃)RX Mapping'!AV52&lt;=600), ('(橫掃)RX Mapping'!AV52-361),IF(AND('(橫掃)RX Mapping'!AV52&gt;=601,'(橫掃)RX Mapping'!AV52&lt;=720), (-1)*('(橫掃)RX Mapping'!AV52-720)+120,IF(AND('(橫掃)RX Mapping'!AV52&gt;=721,'(橫掃)RX Mapping'!AV52&lt;=840), ('(橫掃)RX Mapping'!AV52-601),IF(AND('(橫掃)RX Mapping'!AV52&gt;=841,'(橫掃)RX Mapping'!AV52&lt;=960), (-1)*('(橫掃)RX Mapping'!AV52-960)+120,9999))))))))</f>
        <v>9999</v>
      </c>
      <c r="AW52">
        <f>IF(AND('(橫掃)RX Mapping'!AW52&gt;=1,'(橫掃)RX Mapping'!AW52&lt;=120), ('(橫掃)RX Mapping'!AW52-1),IF(AND('(橫掃)RX Mapping'!AW52&gt;=121,'(橫掃)RX Mapping'!AW52&lt;=240), (-1)*('(橫掃)RX Mapping'!AW52-240),IF(AND('(橫掃)RX Mapping'!AW52&gt;=241,'(橫掃)RX Mapping'!AW52&lt;=360), ('(橫掃)RX Mapping'!AW52-241),IF(AND('(橫掃)RX Mapping'!AW52&gt;=361,'(橫掃)RX Mapping'!AW52&lt;=480), (-1)*('(橫掃)RX Mapping'!AW52-480),IF(AND('(橫掃)RX Mapping'!AW52&gt;=481,'(橫掃)RX Mapping'!AW52&lt;=600), ('(橫掃)RX Mapping'!AW52-361),IF(AND('(橫掃)RX Mapping'!AW52&gt;=601,'(橫掃)RX Mapping'!AW52&lt;=720), (-1)*('(橫掃)RX Mapping'!AW52-720)+120,IF(AND('(橫掃)RX Mapping'!AW52&gt;=721,'(橫掃)RX Mapping'!AW52&lt;=840), ('(橫掃)RX Mapping'!AW52-601),IF(AND('(橫掃)RX Mapping'!AW52&gt;=841,'(橫掃)RX Mapping'!AW52&lt;=960), (-1)*('(橫掃)RX Mapping'!AW52-960)+120,9999))))))))</f>
        <v>9999</v>
      </c>
      <c r="AX52">
        <f>IF(AND('(橫掃)RX Mapping'!AX52&gt;=1,'(橫掃)RX Mapping'!AX52&lt;=120), ('(橫掃)RX Mapping'!AX52-1),IF(AND('(橫掃)RX Mapping'!AX52&gt;=121,'(橫掃)RX Mapping'!AX52&lt;=240), (-1)*('(橫掃)RX Mapping'!AX52-240),IF(AND('(橫掃)RX Mapping'!AX52&gt;=241,'(橫掃)RX Mapping'!AX52&lt;=360), ('(橫掃)RX Mapping'!AX52-241),IF(AND('(橫掃)RX Mapping'!AX52&gt;=361,'(橫掃)RX Mapping'!AX52&lt;=480), (-1)*('(橫掃)RX Mapping'!AX52-480),IF(AND('(橫掃)RX Mapping'!AX52&gt;=481,'(橫掃)RX Mapping'!AX52&lt;=600), ('(橫掃)RX Mapping'!AX52-361),IF(AND('(橫掃)RX Mapping'!AX52&gt;=601,'(橫掃)RX Mapping'!AX52&lt;=720), (-1)*('(橫掃)RX Mapping'!AX52-720)+120,IF(AND('(橫掃)RX Mapping'!AX52&gt;=721,'(橫掃)RX Mapping'!AX52&lt;=840), ('(橫掃)RX Mapping'!AX52-601),IF(AND('(橫掃)RX Mapping'!AX52&gt;=841,'(橫掃)RX Mapping'!AX52&lt;=960), (-1)*('(橫掃)RX Mapping'!AX52-960)+120,9999))))))))</f>
        <v>9999</v>
      </c>
      <c r="AY52">
        <f>IF(AND('(橫掃)RX Mapping'!AY52&gt;=1,'(橫掃)RX Mapping'!AY52&lt;=120), ('(橫掃)RX Mapping'!AY52-1),IF(AND('(橫掃)RX Mapping'!AY52&gt;=121,'(橫掃)RX Mapping'!AY52&lt;=240), (-1)*('(橫掃)RX Mapping'!AY52-240),IF(AND('(橫掃)RX Mapping'!AY52&gt;=241,'(橫掃)RX Mapping'!AY52&lt;=360), ('(橫掃)RX Mapping'!AY52-241),IF(AND('(橫掃)RX Mapping'!AY52&gt;=361,'(橫掃)RX Mapping'!AY52&lt;=480), (-1)*('(橫掃)RX Mapping'!AY52-480),IF(AND('(橫掃)RX Mapping'!AY52&gt;=481,'(橫掃)RX Mapping'!AY52&lt;=600), ('(橫掃)RX Mapping'!AY52-361),IF(AND('(橫掃)RX Mapping'!AY52&gt;=601,'(橫掃)RX Mapping'!AY52&lt;=720), (-1)*('(橫掃)RX Mapping'!AY52-720)+120,IF(AND('(橫掃)RX Mapping'!AY52&gt;=721,'(橫掃)RX Mapping'!AY52&lt;=840), ('(橫掃)RX Mapping'!AY52-601),IF(AND('(橫掃)RX Mapping'!AY52&gt;=841,'(橫掃)RX Mapping'!AY52&lt;=960), (-1)*('(橫掃)RX Mapping'!AY52-960)+120,9999))))))))</f>
        <v>9999</v>
      </c>
      <c r="AZ52">
        <f>IF(AND('(橫掃)RX Mapping'!AZ52&gt;=1,'(橫掃)RX Mapping'!AZ52&lt;=120), ('(橫掃)RX Mapping'!AZ52-1),IF(AND('(橫掃)RX Mapping'!AZ52&gt;=121,'(橫掃)RX Mapping'!AZ52&lt;=240), (-1)*('(橫掃)RX Mapping'!AZ52-240),IF(AND('(橫掃)RX Mapping'!AZ52&gt;=241,'(橫掃)RX Mapping'!AZ52&lt;=360), ('(橫掃)RX Mapping'!AZ52-241),IF(AND('(橫掃)RX Mapping'!AZ52&gt;=361,'(橫掃)RX Mapping'!AZ52&lt;=480), (-1)*('(橫掃)RX Mapping'!AZ52-480),IF(AND('(橫掃)RX Mapping'!AZ52&gt;=481,'(橫掃)RX Mapping'!AZ52&lt;=600), ('(橫掃)RX Mapping'!AZ52-361),IF(AND('(橫掃)RX Mapping'!AZ52&gt;=601,'(橫掃)RX Mapping'!AZ52&lt;=720), (-1)*('(橫掃)RX Mapping'!AZ52-720)+120,IF(AND('(橫掃)RX Mapping'!AZ52&gt;=721,'(橫掃)RX Mapping'!AZ52&lt;=840), ('(橫掃)RX Mapping'!AZ52-601),IF(AND('(橫掃)RX Mapping'!AZ52&gt;=841,'(橫掃)RX Mapping'!AZ52&lt;=960), (-1)*('(橫掃)RX Mapping'!AZ52-960)+120,9999))))))))</f>
        <v>9999</v>
      </c>
      <c r="BA52">
        <f>IF(AND('(橫掃)RX Mapping'!BA52&gt;=1,'(橫掃)RX Mapping'!BA52&lt;=120), ('(橫掃)RX Mapping'!BA52-1),IF(AND('(橫掃)RX Mapping'!BA52&gt;=121,'(橫掃)RX Mapping'!BA52&lt;=240), (-1)*('(橫掃)RX Mapping'!BA52-240),IF(AND('(橫掃)RX Mapping'!BA52&gt;=241,'(橫掃)RX Mapping'!BA52&lt;=360), ('(橫掃)RX Mapping'!BA52-241),IF(AND('(橫掃)RX Mapping'!BA52&gt;=361,'(橫掃)RX Mapping'!BA52&lt;=480), (-1)*('(橫掃)RX Mapping'!BA52-480),IF(AND('(橫掃)RX Mapping'!BA52&gt;=481,'(橫掃)RX Mapping'!BA52&lt;=600), ('(橫掃)RX Mapping'!BA52-361),IF(AND('(橫掃)RX Mapping'!BA52&gt;=601,'(橫掃)RX Mapping'!BA52&lt;=720), (-1)*('(橫掃)RX Mapping'!BA52-720)+120,IF(AND('(橫掃)RX Mapping'!BA52&gt;=721,'(橫掃)RX Mapping'!BA52&lt;=840), ('(橫掃)RX Mapping'!BA52-601),IF(AND('(橫掃)RX Mapping'!BA52&gt;=841,'(橫掃)RX Mapping'!BA52&lt;=960), (-1)*('(橫掃)RX Mapping'!BA52-960)+120,9999))))))))</f>
        <v>9999</v>
      </c>
      <c r="BB52">
        <f>IF(AND('(橫掃)RX Mapping'!BB52&gt;=1,'(橫掃)RX Mapping'!BB52&lt;=120), ('(橫掃)RX Mapping'!BB52-1),IF(AND('(橫掃)RX Mapping'!BB52&gt;=121,'(橫掃)RX Mapping'!BB52&lt;=240), (-1)*('(橫掃)RX Mapping'!BB52-240),IF(AND('(橫掃)RX Mapping'!BB52&gt;=241,'(橫掃)RX Mapping'!BB52&lt;=360), ('(橫掃)RX Mapping'!BB52-241),IF(AND('(橫掃)RX Mapping'!BB52&gt;=361,'(橫掃)RX Mapping'!BB52&lt;=480), (-1)*('(橫掃)RX Mapping'!BB52-480),IF(AND('(橫掃)RX Mapping'!BB52&gt;=481,'(橫掃)RX Mapping'!BB52&lt;=600), ('(橫掃)RX Mapping'!BB52-361),IF(AND('(橫掃)RX Mapping'!BB52&gt;=601,'(橫掃)RX Mapping'!BB52&lt;=720), (-1)*('(橫掃)RX Mapping'!BB52-720)+120,IF(AND('(橫掃)RX Mapping'!BB52&gt;=721,'(橫掃)RX Mapping'!BB52&lt;=840), ('(橫掃)RX Mapping'!BB52-601),IF(AND('(橫掃)RX Mapping'!BB52&gt;=841,'(橫掃)RX Mapping'!BB52&lt;=960), (-1)*('(橫掃)RX Mapping'!BB52-960)+120,9999))))))))</f>
        <v>9999</v>
      </c>
      <c r="BC52">
        <f>IF(AND('(橫掃)RX Mapping'!BC52&gt;=1,'(橫掃)RX Mapping'!BC52&lt;=120), ('(橫掃)RX Mapping'!BC52-1),IF(AND('(橫掃)RX Mapping'!BC52&gt;=121,'(橫掃)RX Mapping'!BC52&lt;=240), (-1)*('(橫掃)RX Mapping'!BC52-240),IF(AND('(橫掃)RX Mapping'!BC52&gt;=241,'(橫掃)RX Mapping'!BC52&lt;=360), ('(橫掃)RX Mapping'!BC52-241),IF(AND('(橫掃)RX Mapping'!BC52&gt;=361,'(橫掃)RX Mapping'!BC52&lt;=480), (-1)*('(橫掃)RX Mapping'!BC52-480),IF(AND('(橫掃)RX Mapping'!BC52&gt;=481,'(橫掃)RX Mapping'!BC52&lt;=600), ('(橫掃)RX Mapping'!BC52-361),IF(AND('(橫掃)RX Mapping'!BC52&gt;=601,'(橫掃)RX Mapping'!BC52&lt;=720), (-1)*('(橫掃)RX Mapping'!BC52-720)+120,IF(AND('(橫掃)RX Mapping'!BC52&gt;=721,'(橫掃)RX Mapping'!BC52&lt;=840), ('(橫掃)RX Mapping'!BC52-601),IF(AND('(橫掃)RX Mapping'!BC52&gt;=841,'(橫掃)RX Mapping'!BC52&lt;=960), (-1)*('(橫掃)RX Mapping'!BC52-960)+120,9999))))))))</f>
        <v>9999</v>
      </c>
      <c r="BD52">
        <f>IF(AND('(橫掃)RX Mapping'!BD52&gt;=1,'(橫掃)RX Mapping'!BD52&lt;=120), ('(橫掃)RX Mapping'!BD52-1),IF(AND('(橫掃)RX Mapping'!BD52&gt;=121,'(橫掃)RX Mapping'!BD52&lt;=240), (-1)*('(橫掃)RX Mapping'!BD52-240),IF(AND('(橫掃)RX Mapping'!BD52&gt;=241,'(橫掃)RX Mapping'!BD52&lt;=360), ('(橫掃)RX Mapping'!BD52-241),IF(AND('(橫掃)RX Mapping'!BD52&gt;=361,'(橫掃)RX Mapping'!BD52&lt;=480), (-1)*('(橫掃)RX Mapping'!BD52-480),IF(AND('(橫掃)RX Mapping'!BD52&gt;=481,'(橫掃)RX Mapping'!BD52&lt;=600), ('(橫掃)RX Mapping'!BD52-361),IF(AND('(橫掃)RX Mapping'!BD52&gt;=601,'(橫掃)RX Mapping'!BD52&lt;=720), (-1)*('(橫掃)RX Mapping'!BD52-720)+120,IF(AND('(橫掃)RX Mapping'!BD52&gt;=721,'(橫掃)RX Mapping'!BD52&lt;=840), ('(橫掃)RX Mapping'!BD52-601),IF(AND('(橫掃)RX Mapping'!BD52&gt;=841,'(橫掃)RX Mapping'!BD52&lt;=960), (-1)*('(橫掃)RX Mapping'!BD52-960)+120,9999))))))))</f>
        <v>9999</v>
      </c>
      <c r="BE52">
        <f>IF(AND('(橫掃)RX Mapping'!BE52&gt;=1,'(橫掃)RX Mapping'!BE52&lt;=120), ('(橫掃)RX Mapping'!BE52-1),IF(AND('(橫掃)RX Mapping'!BE52&gt;=121,'(橫掃)RX Mapping'!BE52&lt;=240), (-1)*('(橫掃)RX Mapping'!BE52-240),IF(AND('(橫掃)RX Mapping'!BE52&gt;=241,'(橫掃)RX Mapping'!BE52&lt;=360), ('(橫掃)RX Mapping'!BE52-241),IF(AND('(橫掃)RX Mapping'!BE52&gt;=361,'(橫掃)RX Mapping'!BE52&lt;=480), (-1)*('(橫掃)RX Mapping'!BE52-480),IF(AND('(橫掃)RX Mapping'!BE52&gt;=481,'(橫掃)RX Mapping'!BE52&lt;=600), ('(橫掃)RX Mapping'!BE52-361),IF(AND('(橫掃)RX Mapping'!BE52&gt;=601,'(橫掃)RX Mapping'!BE52&lt;=720), (-1)*('(橫掃)RX Mapping'!BE52-720)+120,IF(AND('(橫掃)RX Mapping'!BE52&gt;=721,'(橫掃)RX Mapping'!BE52&lt;=840), ('(橫掃)RX Mapping'!BE52-601),IF(AND('(橫掃)RX Mapping'!BE52&gt;=841,'(橫掃)RX Mapping'!BE52&lt;=960), (-1)*('(橫掃)RX Mapping'!BE52-960)+120,9999))))))))</f>
        <v>9999</v>
      </c>
      <c r="BF52">
        <f>IF(AND('(橫掃)RX Mapping'!BF52&gt;=1,'(橫掃)RX Mapping'!BF52&lt;=120), ('(橫掃)RX Mapping'!BF52-1),IF(AND('(橫掃)RX Mapping'!BF52&gt;=121,'(橫掃)RX Mapping'!BF52&lt;=240), (-1)*('(橫掃)RX Mapping'!BF52-240),IF(AND('(橫掃)RX Mapping'!BF52&gt;=241,'(橫掃)RX Mapping'!BF52&lt;=360), ('(橫掃)RX Mapping'!BF52-241),IF(AND('(橫掃)RX Mapping'!BF52&gt;=361,'(橫掃)RX Mapping'!BF52&lt;=480), (-1)*('(橫掃)RX Mapping'!BF52-480),IF(AND('(橫掃)RX Mapping'!BF52&gt;=481,'(橫掃)RX Mapping'!BF52&lt;=600), ('(橫掃)RX Mapping'!BF52-361),IF(AND('(橫掃)RX Mapping'!BF52&gt;=601,'(橫掃)RX Mapping'!BF52&lt;=720), (-1)*('(橫掃)RX Mapping'!BF52-720)+120,IF(AND('(橫掃)RX Mapping'!BF52&gt;=721,'(橫掃)RX Mapping'!BF52&lt;=840), ('(橫掃)RX Mapping'!BF52-601),IF(AND('(橫掃)RX Mapping'!BF52&gt;=841,'(橫掃)RX Mapping'!BF52&lt;=960), (-1)*('(橫掃)RX Mapping'!BF52-960)+120,9999))))))))</f>
        <v>9999</v>
      </c>
      <c r="BG52">
        <f>IF(AND('(橫掃)RX Mapping'!BG52&gt;=1,'(橫掃)RX Mapping'!BG52&lt;=120), ('(橫掃)RX Mapping'!BG52-1),IF(AND('(橫掃)RX Mapping'!BG52&gt;=121,'(橫掃)RX Mapping'!BG52&lt;=240), (-1)*('(橫掃)RX Mapping'!BG52-240),IF(AND('(橫掃)RX Mapping'!BG52&gt;=241,'(橫掃)RX Mapping'!BG52&lt;=360), ('(橫掃)RX Mapping'!BG52-241),IF(AND('(橫掃)RX Mapping'!BG52&gt;=361,'(橫掃)RX Mapping'!BG52&lt;=480), (-1)*('(橫掃)RX Mapping'!BG52-480),IF(AND('(橫掃)RX Mapping'!BG52&gt;=481,'(橫掃)RX Mapping'!BG52&lt;=600), ('(橫掃)RX Mapping'!BG52-361),IF(AND('(橫掃)RX Mapping'!BG52&gt;=601,'(橫掃)RX Mapping'!BG52&lt;=720), (-1)*('(橫掃)RX Mapping'!BG52-720)+120,IF(AND('(橫掃)RX Mapping'!BG52&gt;=721,'(橫掃)RX Mapping'!BG52&lt;=840), ('(橫掃)RX Mapping'!BG52-601),IF(AND('(橫掃)RX Mapping'!BG52&gt;=841,'(橫掃)RX Mapping'!BG52&lt;=960), (-1)*('(橫掃)RX Mapping'!BG52-960)+120,9999))))))))</f>
        <v>9999</v>
      </c>
      <c r="BH52">
        <f>IF(AND('(橫掃)RX Mapping'!BH52&gt;=1,'(橫掃)RX Mapping'!BH52&lt;=120), ('(橫掃)RX Mapping'!BH52-1),IF(AND('(橫掃)RX Mapping'!BH52&gt;=121,'(橫掃)RX Mapping'!BH52&lt;=240), (-1)*('(橫掃)RX Mapping'!BH52-240),IF(AND('(橫掃)RX Mapping'!BH52&gt;=241,'(橫掃)RX Mapping'!BH52&lt;=360), ('(橫掃)RX Mapping'!BH52-241),IF(AND('(橫掃)RX Mapping'!BH52&gt;=361,'(橫掃)RX Mapping'!BH52&lt;=480), (-1)*('(橫掃)RX Mapping'!BH52-480),IF(AND('(橫掃)RX Mapping'!BH52&gt;=481,'(橫掃)RX Mapping'!BH52&lt;=600), ('(橫掃)RX Mapping'!BH52-361),IF(AND('(橫掃)RX Mapping'!BH52&gt;=601,'(橫掃)RX Mapping'!BH52&lt;=720), (-1)*('(橫掃)RX Mapping'!BH52-720)+120,IF(AND('(橫掃)RX Mapping'!BH52&gt;=721,'(橫掃)RX Mapping'!BH52&lt;=840), ('(橫掃)RX Mapping'!BH52-601),IF(AND('(橫掃)RX Mapping'!BH52&gt;=841,'(橫掃)RX Mapping'!BH52&lt;=960), (-1)*('(橫掃)RX Mapping'!BH52-960)+120,9999))))))))</f>
        <v>9999</v>
      </c>
      <c r="BI52">
        <f>IF(AND('(橫掃)RX Mapping'!BI52&gt;=1,'(橫掃)RX Mapping'!BI52&lt;=120), ('(橫掃)RX Mapping'!BI52-1),IF(AND('(橫掃)RX Mapping'!BI52&gt;=121,'(橫掃)RX Mapping'!BI52&lt;=240), (-1)*('(橫掃)RX Mapping'!BI52-240),IF(AND('(橫掃)RX Mapping'!BI52&gt;=241,'(橫掃)RX Mapping'!BI52&lt;=360), ('(橫掃)RX Mapping'!BI52-241),IF(AND('(橫掃)RX Mapping'!BI52&gt;=361,'(橫掃)RX Mapping'!BI52&lt;=480), (-1)*('(橫掃)RX Mapping'!BI52-480),IF(AND('(橫掃)RX Mapping'!BI52&gt;=481,'(橫掃)RX Mapping'!BI52&lt;=600), ('(橫掃)RX Mapping'!BI52-361),IF(AND('(橫掃)RX Mapping'!BI52&gt;=601,'(橫掃)RX Mapping'!BI52&lt;=720), (-1)*('(橫掃)RX Mapping'!BI52-720)+120,IF(AND('(橫掃)RX Mapping'!BI52&gt;=721,'(橫掃)RX Mapping'!BI52&lt;=840), ('(橫掃)RX Mapping'!BI52-601),IF(AND('(橫掃)RX Mapping'!BI52&gt;=841,'(橫掃)RX Mapping'!BI52&lt;=960), (-1)*('(橫掃)RX Mapping'!BI52-960)+120,9999))))))))</f>
        <v>9999</v>
      </c>
    </row>
    <row r="53" spans="1:61" x14ac:dyDescent="0.25">
      <c r="A53" s="20">
        <v>52</v>
      </c>
      <c r="B53">
        <f>IF(AND('(橫掃)RX Mapping'!B53&gt;=1,'(橫掃)RX Mapping'!B53&lt;=120), ('(橫掃)RX Mapping'!B53-1),IF(AND('(橫掃)RX Mapping'!B53&gt;=121,'(橫掃)RX Mapping'!B53&lt;=240), (-1)*('(橫掃)RX Mapping'!B53-240),IF(AND('(橫掃)RX Mapping'!B53&gt;=241,'(橫掃)RX Mapping'!B53&lt;=360), ('(橫掃)RX Mapping'!B53-241),IF(AND('(橫掃)RX Mapping'!B53&gt;=361,'(橫掃)RX Mapping'!B53&lt;=480), (-1)*('(橫掃)RX Mapping'!B53-480),IF(AND('(橫掃)RX Mapping'!B53&gt;=481,'(橫掃)RX Mapping'!B53&lt;=600), ('(橫掃)RX Mapping'!B53-361),IF(AND('(橫掃)RX Mapping'!B53&gt;=601,'(橫掃)RX Mapping'!B53&lt;=720), (-1)*('(橫掃)RX Mapping'!B53-720)+120,IF(AND('(橫掃)RX Mapping'!B53&gt;=721,'(橫掃)RX Mapping'!B53&lt;=840), ('(橫掃)RX Mapping'!B53-601),IF(AND('(橫掃)RX Mapping'!B53&gt;=841,'(橫掃)RX Mapping'!B53&lt;=960), (-1)*('(橫掃)RX Mapping'!B53-960)+120,9999))))))))</f>
        <v>9999</v>
      </c>
      <c r="C53">
        <f>IF(AND('(橫掃)RX Mapping'!C53&gt;=1,'(橫掃)RX Mapping'!C53&lt;=120), ('(橫掃)RX Mapping'!C53-1),IF(AND('(橫掃)RX Mapping'!C53&gt;=121,'(橫掃)RX Mapping'!C53&lt;=240), (-1)*('(橫掃)RX Mapping'!C53-240),IF(AND('(橫掃)RX Mapping'!C53&gt;=241,'(橫掃)RX Mapping'!C53&lt;=360), ('(橫掃)RX Mapping'!C53-241),IF(AND('(橫掃)RX Mapping'!C53&gt;=361,'(橫掃)RX Mapping'!C53&lt;=480), (-1)*('(橫掃)RX Mapping'!C53-480),IF(AND('(橫掃)RX Mapping'!C53&gt;=481,'(橫掃)RX Mapping'!C53&lt;=600), ('(橫掃)RX Mapping'!C53-361),IF(AND('(橫掃)RX Mapping'!C53&gt;=601,'(橫掃)RX Mapping'!C53&lt;=720), (-1)*('(橫掃)RX Mapping'!C53-720)+120,IF(AND('(橫掃)RX Mapping'!C53&gt;=721,'(橫掃)RX Mapping'!C53&lt;=840), ('(橫掃)RX Mapping'!C53-601),IF(AND('(橫掃)RX Mapping'!C53&gt;=841,'(橫掃)RX Mapping'!C53&lt;=960), (-1)*('(橫掃)RX Mapping'!C53-960)+120,9999))))))))</f>
        <v>9999</v>
      </c>
      <c r="D53">
        <f>IF(AND('(橫掃)RX Mapping'!D53&gt;=1,'(橫掃)RX Mapping'!D53&lt;=120), ('(橫掃)RX Mapping'!D53-1),IF(AND('(橫掃)RX Mapping'!D53&gt;=121,'(橫掃)RX Mapping'!D53&lt;=240), (-1)*('(橫掃)RX Mapping'!D53-240),IF(AND('(橫掃)RX Mapping'!D53&gt;=241,'(橫掃)RX Mapping'!D53&lt;=360), ('(橫掃)RX Mapping'!D53-241),IF(AND('(橫掃)RX Mapping'!D53&gt;=361,'(橫掃)RX Mapping'!D53&lt;=480), (-1)*('(橫掃)RX Mapping'!D53-480),IF(AND('(橫掃)RX Mapping'!D53&gt;=481,'(橫掃)RX Mapping'!D53&lt;=600), ('(橫掃)RX Mapping'!D53-361),IF(AND('(橫掃)RX Mapping'!D53&gt;=601,'(橫掃)RX Mapping'!D53&lt;=720), (-1)*('(橫掃)RX Mapping'!D53-720)+120,IF(AND('(橫掃)RX Mapping'!D53&gt;=721,'(橫掃)RX Mapping'!D53&lt;=840), ('(橫掃)RX Mapping'!D53-601),IF(AND('(橫掃)RX Mapping'!D53&gt;=841,'(橫掃)RX Mapping'!D53&lt;=960), (-1)*('(橫掃)RX Mapping'!D53-960)+120,9999))))))))</f>
        <v>9999</v>
      </c>
      <c r="E53">
        <f>IF(AND('(橫掃)RX Mapping'!E53&gt;=1,'(橫掃)RX Mapping'!E53&lt;=120), ('(橫掃)RX Mapping'!E53-1),IF(AND('(橫掃)RX Mapping'!E53&gt;=121,'(橫掃)RX Mapping'!E53&lt;=240), (-1)*('(橫掃)RX Mapping'!E53-240),IF(AND('(橫掃)RX Mapping'!E53&gt;=241,'(橫掃)RX Mapping'!E53&lt;=360), ('(橫掃)RX Mapping'!E53-241),IF(AND('(橫掃)RX Mapping'!E53&gt;=361,'(橫掃)RX Mapping'!E53&lt;=480), (-1)*('(橫掃)RX Mapping'!E53-480),IF(AND('(橫掃)RX Mapping'!E53&gt;=481,'(橫掃)RX Mapping'!E53&lt;=600), ('(橫掃)RX Mapping'!E53-361),IF(AND('(橫掃)RX Mapping'!E53&gt;=601,'(橫掃)RX Mapping'!E53&lt;=720), (-1)*('(橫掃)RX Mapping'!E53-720)+120,IF(AND('(橫掃)RX Mapping'!E53&gt;=721,'(橫掃)RX Mapping'!E53&lt;=840), ('(橫掃)RX Mapping'!E53-601),IF(AND('(橫掃)RX Mapping'!E53&gt;=841,'(橫掃)RX Mapping'!E53&lt;=960), (-1)*('(橫掃)RX Mapping'!E53-960)+120,9999))))))))</f>
        <v>9999</v>
      </c>
      <c r="F53">
        <f>IF(AND('(橫掃)RX Mapping'!F53&gt;=1,'(橫掃)RX Mapping'!F53&lt;=120), ('(橫掃)RX Mapping'!F53-1),IF(AND('(橫掃)RX Mapping'!F53&gt;=121,'(橫掃)RX Mapping'!F53&lt;=240), (-1)*('(橫掃)RX Mapping'!F53-240),IF(AND('(橫掃)RX Mapping'!F53&gt;=241,'(橫掃)RX Mapping'!F53&lt;=360), ('(橫掃)RX Mapping'!F53-241),IF(AND('(橫掃)RX Mapping'!F53&gt;=361,'(橫掃)RX Mapping'!F53&lt;=480), (-1)*('(橫掃)RX Mapping'!F53-480),IF(AND('(橫掃)RX Mapping'!F53&gt;=481,'(橫掃)RX Mapping'!F53&lt;=600), ('(橫掃)RX Mapping'!F53-361),IF(AND('(橫掃)RX Mapping'!F53&gt;=601,'(橫掃)RX Mapping'!F53&lt;=720), (-1)*('(橫掃)RX Mapping'!F53-720)+120,IF(AND('(橫掃)RX Mapping'!F53&gt;=721,'(橫掃)RX Mapping'!F53&lt;=840), ('(橫掃)RX Mapping'!F53-601),IF(AND('(橫掃)RX Mapping'!F53&gt;=841,'(橫掃)RX Mapping'!F53&lt;=960), (-1)*('(橫掃)RX Mapping'!F53-960)+120,9999))))))))</f>
        <v>9999</v>
      </c>
      <c r="G53">
        <f>IF(AND('(橫掃)RX Mapping'!G53&gt;=1,'(橫掃)RX Mapping'!G53&lt;=120), ('(橫掃)RX Mapping'!G53-1),IF(AND('(橫掃)RX Mapping'!G53&gt;=121,'(橫掃)RX Mapping'!G53&lt;=240), (-1)*('(橫掃)RX Mapping'!G53-240),IF(AND('(橫掃)RX Mapping'!G53&gt;=241,'(橫掃)RX Mapping'!G53&lt;=360), ('(橫掃)RX Mapping'!G53-241),IF(AND('(橫掃)RX Mapping'!G53&gt;=361,'(橫掃)RX Mapping'!G53&lt;=480), (-1)*('(橫掃)RX Mapping'!G53-480),IF(AND('(橫掃)RX Mapping'!G53&gt;=481,'(橫掃)RX Mapping'!G53&lt;=600), ('(橫掃)RX Mapping'!G53-361),IF(AND('(橫掃)RX Mapping'!G53&gt;=601,'(橫掃)RX Mapping'!G53&lt;=720), (-1)*('(橫掃)RX Mapping'!G53-720)+120,IF(AND('(橫掃)RX Mapping'!G53&gt;=721,'(橫掃)RX Mapping'!G53&lt;=840), ('(橫掃)RX Mapping'!G53-601),IF(AND('(橫掃)RX Mapping'!G53&gt;=841,'(橫掃)RX Mapping'!G53&lt;=960), (-1)*('(橫掃)RX Mapping'!G53-960)+120,9999))))))))</f>
        <v>9999</v>
      </c>
      <c r="H53">
        <f>IF(AND('(橫掃)RX Mapping'!H53&gt;=1,'(橫掃)RX Mapping'!H53&lt;=120), ('(橫掃)RX Mapping'!H53-1),IF(AND('(橫掃)RX Mapping'!H53&gt;=121,'(橫掃)RX Mapping'!H53&lt;=240), (-1)*('(橫掃)RX Mapping'!H53-240),IF(AND('(橫掃)RX Mapping'!H53&gt;=241,'(橫掃)RX Mapping'!H53&lt;=360), ('(橫掃)RX Mapping'!H53-241),IF(AND('(橫掃)RX Mapping'!H53&gt;=361,'(橫掃)RX Mapping'!H53&lt;=480), (-1)*('(橫掃)RX Mapping'!H53-480),IF(AND('(橫掃)RX Mapping'!H53&gt;=481,'(橫掃)RX Mapping'!H53&lt;=600), ('(橫掃)RX Mapping'!H53-361),IF(AND('(橫掃)RX Mapping'!H53&gt;=601,'(橫掃)RX Mapping'!H53&lt;=720), (-1)*('(橫掃)RX Mapping'!H53-720)+120,IF(AND('(橫掃)RX Mapping'!H53&gt;=721,'(橫掃)RX Mapping'!H53&lt;=840), ('(橫掃)RX Mapping'!H53-601),IF(AND('(橫掃)RX Mapping'!H53&gt;=841,'(橫掃)RX Mapping'!H53&lt;=960), (-1)*('(橫掃)RX Mapping'!H53-960)+120,9999))))))))</f>
        <v>9999</v>
      </c>
      <c r="I53">
        <f>IF(AND('(橫掃)RX Mapping'!I53&gt;=1,'(橫掃)RX Mapping'!I53&lt;=120), ('(橫掃)RX Mapping'!I53-1),IF(AND('(橫掃)RX Mapping'!I53&gt;=121,'(橫掃)RX Mapping'!I53&lt;=240), (-1)*('(橫掃)RX Mapping'!I53-240),IF(AND('(橫掃)RX Mapping'!I53&gt;=241,'(橫掃)RX Mapping'!I53&lt;=360), ('(橫掃)RX Mapping'!I53-241),IF(AND('(橫掃)RX Mapping'!I53&gt;=361,'(橫掃)RX Mapping'!I53&lt;=480), (-1)*('(橫掃)RX Mapping'!I53-480),IF(AND('(橫掃)RX Mapping'!I53&gt;=481,'(橫掃)RX Mapping'!I53&lt;=600), ('(橫掃)RX Mapping'!I53-361),IF(AND('(橫掃)RX Mapping'!I53&gt;=601,'(橫掃)RX Mapping'!I53&lt;=720), (-1)*('(橫掃)RX Mapping'!I53-720)+120,IF(AND('(橫掃)RX Mapping'!I53&gt;=721,'(橫掃)RX Mapping'!I53&lt;=840), ('(橫掃)RX Mapping'!I53-601),IF(AND('(橫掃)RX Mapping'!I53&gt;=841,'(橫掃)RX Mapping'!I53&lt;=960), (-1)*('(橫掃)RX Mapping'!I53-960)+120,9999))))))))</f>
        <v>9999</v>
      </c>
      <c r="J53">
        <f>IF(AND('(橫掃)RX Mapping'!J53&gt;=1,'(橫掃)RX Mapping'!J53&lt;=120), ('(橫掃)RX Mapping'!J53-1),IF(AND('(橫掃)RX Mapping'!J53&gt;=121,'(橫掃)RX Mapping'!J53&lt;=240), (-1)*('(橫掃)RX Mapping'!J53-240),IF(AND('(橫掃)RX Mapping'!J53&gt;=241,'(橫掃)RX Mapping'!J53&lt;=360), ('(橫掃)RX Mapping'!J53-241),IF(AND('(橫掃)RX Mapping'!J53&gt;=361,'(橫掃)RX Mapping'!J53&lt;=480), (-1)*('(橫掃)RX Mapping'!J53-480),IF(AND('(橫掃)RX Mapping'!J53&gt;=481,'(橫掃)RX Mapping'!J53&lt;=600), ('(橫掃)RX Mapping'!J53-361),IF(AND('(橫掃)RX Mapping'!J53&gt;=601,'(橫掃)RX Mapping'!J53&lt;=720), (-1)*('(橫掃)RX Mapping'!J53-720)+120,IF(AND('(橫掃)RX Mapping'!J53&gt;=721,'(橫掃)RX Mapping'!J53&lt;=840), ('(橫掃)RX Mapping'!J53-601),IF(AND('(橫掃)RX Mapping'!J53&gt;=841,'(橫掃)RX Mapping'!J53&lt;=960), (-1)*('(橫掃)RX Mapping'!J53-960)+120,9999))))))))</f>
        <v>9999</v>
      </c>
      <c r="K53">
        <f>IF(AND('(橫掃)RX Mapping'!K53&gt;=1,'(橫掃)RX Mapping'!K53&lt;=120), ('(橫掃)RX Mapping'!K53-1),IF(AND('(橫掃)RX Mapping'!K53&gt;=121,'(橫掃)RX Mapping'!K53&lt;=240), (-1)*('(橫掃)RX Mapping'!K53-240),IF(AND('(橫掃)RX Mapping'!K53&gt;=241,'(橫掃)RX Mapping'!K53&lt;=360), ('(橫掃)RX Mapping'!K53-241),IF(AND('(橫掃)RX Mapping'!K53&gt;=361,'(橫掃)RX Mapping'!K53&lt;=480), (-1)*('(橫掃)RX Mapping'!K53-480),IF(AND('(橫掃)RX Mapping'!K53&gt;=481,'(橫掃)RX Mapping'!K53&lt;=600), ('(橫掃)RX Mapping'!K53-361),IF(AND('(橫掃)RX Mapping'!K53&gt;=601,'(橫掃)RX Mapping'!K53&lt;=720), (-1)*('(橫掃)RX Mapping'!K53-720)+120,IF(AND('(橫掃)RX Mapping'!K53&gt;=721,'(橫掃)RX Mapping'!K53&lt;=840), ('(橫掃)RX Mapping'!K53-601),IF(AND('(橫掃)RX Mapping'!K53&gt;=841,'(橫掃)RX Mapping'!K53&lt;=960), (-1)*('(橫掃)RX Mapping'!K53-960)+120,9999))))))))</f>
        <v>9999</v>
      </c>
      <c r="L53">
        <f>IF(AND('(橫掃)RX Mapping'!L53&gt;=1,'(橫掃)RX Mapping'!L53&lt;=120), ('(橫掃)RX Mapping'!L53-1),IF(AND('(橫掃)RX Mapping'!L53&gt;=121,'(橫掃)RX Mapping'!L53&lt;=240), (-1)*('(橫掃)RX Mapping'!L53-240),IF(AND('(橫掃)RX Mapping'!L53&gt;=241,'(橫掃)RX Mapping'!L53&lt;=360), ('(橫掃)RX Mapping'!L53-241),IF(AND('(橫掃)RX Mapping'!L53&gt;=361,'(橫掃)RX Mapping'!L53&lt;=480), (-1)*('(橫掃)RX Mapping'!L53-480),IF(AND('(橫掃)RX Mapping'!L53&gt;=481,'(橫掃)RX Mapping'!L53&lt;=600), ('(橫掃)RX Mapping'!L53-361),IF(AND('(橫掃)RX Mapping'!L53&gt;=601,'(橫掃)RX Mapping'!L53&lt;=720), (-1)*('(橫掃)RX Mapping'!L53-720)+120,IF(AND('(橫掃)RX Mapping'!L53&gt;=721,'(橫掃)RX Mapping'!L53&lt;=840), ('(橫掃)RX Mapping'!L53-601),IF(AND('(橫掃)RX Mapping'!L53&gt;=841,'(橫掃)RX Mapping'!L53&lt;=960), (-1)*('(橫掃)RX Mapping'!L53-960)+120,9999))))))))</f>
        <v>9999</v>
      </c>
      <c r="M53">
        <f>IF(AND('(橫掃)RX Mapping'!M53&gt;=1,'(橫掃)RX Mapping'!M53&lt;=120), ('(橫掃)RX Mapping'!M53-1),IF(AND('(橫掃)RX Mapping'!M53&gt;=121,'(橫掃)RX Mapping'!M53&lt;=240), (-1)*('(橫掃)RX Mapping'!M53-240),IF(AND('(橫掃)RX Mapping'!M53&gt;=241,'(橫掃)RX Mapping'!M53&lt;=360), ('(橫掃)RX Mapping'!M53-241),IF(AND('(橫掃)RX Mapping'!M53&gt;=361,'(橫掃)RX Mapping'!M53&lt;=480), (-1)*('(橫掃)RX Mapping'!M53-480),IF(AND('(橫掃)RX Mapping'!M53&gt;=481,'(橫掃)RX Mapping'!M53&lt;=600), ('(橫掃)RX Mapping'!M53-361),IF(AND('(橫掃)RX Mapping'!M53&gt;=601,'(橫掃)RX Mapping'!M53&lt;=720), (-1)*('(橫掃)RX Mapping'!M53-720)+120,IF(AND('(橫掃)RX Mapping'!M53&gt;=721,'(橫掃)RX Mapping'!M53&lt;=840), ('(橫掃)RX Mapping'!M53-601),IF(AND('(橫掃)RX Mapping'!M53&gt;=841,'(橫掃)RX Mapping'!M53&lt;=960), (-1)*('(橫掃)RX Mapping'!M53-960)+120,9999))))))))</f>
        <v>9999</v>
      </c>
      <c r="N53">
        <f>IF(AND('(橫掃)RX Mapping'!N53&gt;=1,'(橫掃)RX Mapping'!N53&lt;=120), ('(橫掃)RX Mapping'!N53-1),IF(AND('(橫掃)RX Mapping'!N53&gt;=121,'(橫掃)RX Mapping'!N53&lt;=240), (-1)*('(橫掃)RX Mapping'!N53-240),IF(AND('(橫掃)RX Mapping'!N53&gt;=241,'(橫掃)RX Mapping'!N53&lt;=360), ('(橫掃)RX Mapping'!N53-241),IF(AND('(橫掃)RX Mapping'!N53&gt;=361,'(橫掃)RX Mapping'!N53&lt;=480), (-1)*('(橫掃)RX Mapping'!N53-480),IF(AND('(橫掃)RX Mapping'!N53&gt;=481,'(橫掃)RX Mapping'!N53&lt;=600), ('(橫掃)RX Mapping'!N53-361),IF(AND('(橫掃)RX Mapping'!N53&gt;=601,'(橫掃)RX Mapping'!N53&lt;=720), (-1)*('(橫掃)RX Mapping'!N53-720)+120,IF(AND('(橫掃)RX Mapping'!N53&gt;=721,'(橫掃)RX Mapping'!N53&lt;=840), ('(橫掃)RX Mapping'!N53-601),IF(AND('(橫掃)RX Mapping'!N53&gt;=841,'(橫掃)RX Mapping'!N53&lt;=960), (-1)*('(橫掃)RX Mapping'!N53-960)+120,9999))))))))</f>
        <v>9999</v>
      </c>
      <c r="O53">
        <f>IF(AND('(橫掃)RX Mapping'!O53&gt;=1,'(橫掃)RX Mapping'!O53&lt;=120), ('(橫掃)RX Mapping'!O53-1),IF(AND('(橫掃)RX Mapping'!O53&gt;=121,'(橫掃)RX Mapping'!O53&lt;=240), (-1)*('(橫掃)RX Mapping'!O53-240),IF(AND('(橫掃)RX Mapping'!O53&gt;=241,'(橫掃)RX Mapping'!O53&lt;=360), ('(橫掃)RX Mapping'!O53-241),IF(AND('(橫掃)RX Mapping'!O53&gt;=361,'(橫掃)RX Mapping'!O53&lt;=480), (-1)*('(橫掃)RX Mapping'!O53-480),IF(AND('(橫掃)RX Mapping'!O53&gt;=481,'(橫掃)RX Mapping'!O53&lt;=600), ('(橫掃)RX Mapping'!O53-361),IF(AND('(橫掃)RX Mapping'!O53&gt;=601,'(橫掃)RX Mapping'!O53&lt;=720), (-1)*('(橫掃)RX Mapping'!O53-720)+120,IF(AND('(橫掃)RX Mapping'!O53&gt;=721,'(橫掃)RX Mapping'!O53&lt;=840), ('(橫掃)RX Mapping'!O53-601),IF(AND('(橫掃)RX Mapping'!O53&gt;=841,'(橫掃)RX Mapping'!O53&lt;=960), (-1)*('(橫掃)RX Mapping'!O53-960)+120,9999))))))))</f>
        <v>9999</v>
      </c>
      <c r="P53">
        <f>IF(AND('(橫掃)RX Mapping'!P53&gt;=1,'(橫掃)RX Mapping'!P53&lt;=120), ('(橫掃)RX Mapping'!P53-1),IF(AND('(橫掃)RX Mapping'!P53&gt;=121,'(橫掃)RX Mapping'!P53&lt;=240), (-1)*('(橫掃)RX Mapping'!P53-240),IF(AND('(橫掃)RX Mapping'!P53&gt;=241,'(橫掃)RX Mapping'!P53&lt;=360), ('(橫掃)RX Mapping'!P53-241),IF(AND('(橫掃)RX Mapping'!P53&gt;=361,'(橫掃)RX Mapping'!P53&lt;=480), (-1)*('(橫掃)RX Mapping'!P53-480),IF(AND('(橫掃)RX Mapping'!P53&gt;=481,'(橫掃)RX Mapping'!P53&lt;=600), ('(橫掃)RX Mapping'!P53-361),IF(AND('(橫掃)RX Mapping'!P53&gt;=601,'(橫掃)RX Mapping'!P53&lt;=720), (-1)*('(橫掃)RX Mapping'!P53-720)+120,IF(AND('(橫掃)RX Mapping'!P53&gt;=721,'(橫掃)RX Mapping'!P53&lt;=840), ('(橫掃)RX Mapping'!P53-601),IF(AND('(橫掃)RX Mapping'!P53&gt;=841,'(橫掃)RX Mapping'!P53&lt;=960), (-1)*('(橫掃)RX Mapping'!P53-960)+120,9999))))))))</f>
        <v>9999</v>
      </c>
      <c r="Q53">
        <f>IF(AND('(橫掃)RX Mapping'!Q53&gt;=1,'(橫掃)RX Mapping'!Q53&lt;=120), ('(橫掃)RX Mapping'!Q53-1),IF(AND('(橫掃)RX Mapping'!Q53&gt;=121,'(橫掃)RX Mapping'!Q53&lt;=240), (-1)*('(橫掃)RX Mapping'!Q53-240),IF(AND('(橫掃)RX Mapping'!Q53&gt;=241,'(橫掃)RX Mapping'!Q53&lt;=360), ('(橫掃)RX Mapping'!Q53-241),IF(AND('(橫掃)RX Mapping'!Q53&gt;=361,'(橫掃)RX Mapping'!Q53&lt;=480), (-1)*('(橫掃)RX Mapping'!Q53-480),IF(AND('(橫掃)RX Mapping'!Q53&gt;=481,'(橫掃)RX Mapping'!Q53&lt;=600), ('(橫掃)RX Mapping'!Q53-361),IF(AND('(橫掃)RX Mapping'!Q53&gt;=601,'(橫掃)RX Mapping'!Q53&lt;=720), (-1)*('(橫掃)RX Mapping'!Q53-720)+120,IF(AND('(橫掃)RX Mapping'!Q53&gt;=721,'(橫掃)RX Mapping'!Q53&lt;=840), ('(橫掃)RX Mapping'!Q53-601),IF(AND('(橫掃)RX Mapping'!Q53&gt;=841,'(橫掃)RX Mapping'!Q53&lt;=960), (-1)*('(橫掃)RX Mapping'!Q53-960)+120,9999))))))))</f>
        <v>9999</v>
      </c>
      <c r="R53">
        <f>IF(AND('(橫掃)RX Mapping'!R53&gt;=1,'(橫掃)RX Mapping'!R53&lt;=120), ('(橫掃)RX Mapping'!R53-1),IF(AND('(橫掃)RX Mapping'!R53&gt;=121,'(橫掃)RX Mapping'!R53&lt;=240), (-1)*('(橫掃)RX Mapping'!R53-240),IF(AND('(橫掃)RX Mapping'!R53&gt;=241,'(橫掃)RX Mapping'!R53&lt;=360), ('(橫掃)RX Mapping'!R53-241),IF(AND('(橫掃)RX Mapping'!R53&gt;=361,'(橫掃)RX Mapping'!R53&lt;=480), (-1)*('(橫掃)RX Mapping'!R53-480),IF(AND('(橫掃)RX Mapping'!R53&gt;=481,'(橫掃)RX Mapping'!R53&lt;=600), ('(橫掃)RX Mapping'!R53-361),IF(AND('(橫掃)RX Mapping'!R53&gt;=601,'(橫掃)RX Mapping'!R53&lt;=720), (-1)*('(橫掃)RX Mapping'!R53-720)+120,IF(AND('(橫掃)RX Mapping'!R53&gt;=721,'(橫掃)RX Mapping'!R53&lt;=840), ('(橫掃)RX Mapping'!R53-601),IF(AND('(橫掃)RX Mapping'!R53&gt;=841,'(橫掃)RX Mapping'!R53&lt;=960), (-1)*('(橫掃)RX Mapping'!R53-960)+120,9999))))))))</f>
        <v>9999</v>
      </c>
      <c r="S53">
        <f>IF(AND('(橫掃)RX Mapping'!S53&gt;=1,'(橫掃)RX Mapping'!S53&lt;=120), ('(橫掃)RX Mapping'!S53-1),IF(AND('(橫掃)RX Mapping'!S53&gt;=121,'(橫掃)RX Mapping'!S53&lt;=240), (-1)*('(橫掃)RX Mapping'!S53-240),IF(AND('(橫掃)RX Mapping'!S53&gt;=241,'(橫掃)RX Mapping'!S53&lt;=360), ('(橫掃)RX Mapping'!S53-241),IF(AND('(橫掃)RX Mapping'!S53&gt;=361,'(橫掃)RX Mapping'!S53&lt;=480), (-1)*('(橫掃)RX Mapping'!S53-480),IF(AND('(橫掃)RX Mapping'!S53&gt;=481,'(橫掃)RX Mapping'!S53&lt;=600), ('(橫掃)RX Mapping'!S53-361),IF(AND('(橫掃)RX Mapping'!S53&gt;=601,'(橫掃)RX Mapping'!S53&lt;=720), (-1)*('(橫掃)RX Mapping'!S53-720)+120,IF(AND('(橫掃)RX Mapping'!S53&gt;=721,'(橫掃)RX Mapping'!S53&lt;=840), ('(橫掃)RX Mapping'!S53-601),IF(AND('(橫掃)RX Mapping'!S53&gt;=841,'(橫掃)RX Mapping'!S53&lt;=960), (-1)*('(橫掃)RX Mapping'!S53-960)+120,9999))))))))</f>
        <v>9999</v>
      </c>
      <c r="T53">
        <f>IF(AND('(橫掃)RX Mapping'!T53&gt;=1,'(橫掃)RX Mapping'!T53&lt;=120), ('(橫掃)RX Mapping'!T53-1),IF(AND('(橫掃)RX Mapping'!T53&gt;=121,'(橫掃)RX Mapping'!T53&lt;=240), (-1)*('(橫掃)RX Mapping'!T53-240),IF(AND('(橫掃)RX Mapping'!T53&gt;=241,'(橫掃)RX Mapping'!T53&lt;=360), ('(橫掃)RX Mapping'!T53-241),IF(AND('(橫掃)RX Mapping'!T53&gt;=361,'(橫掃)RX Mapping'!T53&lt;=480), (-1)*('(橫掃)RX Mapping'!T53-480),IF(AND('(橫掃)RX Mapping'!T53&gt;=481,'(橫掃)RX Mapping'!T53&lt;=600), ('(橫掃)RX Mapping'!T53-361),IF(AND('(橫掃)RX Mapping'!T53&gt;=601,'(橫掃)RX Mapping'!T53&lt;=720), (-1)*('(橫掃)RX Mapping'!T53-720)+120,IF(AND('(橫掃)RX Mapping'!T53&gt;=721,'(橫掃)RX Mapping'!T53&lt;=840), ('(橫掃)RX Mapping'!T53-601),IF(AND('(橫掃)RX Mapping'!T53&gt;=841,'(橫掃)RX Mapping'!T53&lt;=960), (-1)*('(橫掃)RX Mapping'!T53-960)+120,9999))))))))</f>
        <v>9999</v>
      </c>
      <c r="U53">
        <f>IF(AND('(橫掃)RX Mapping'!U53&gt;=1,'(橫掃)RX Mapping'!U53&lt;=120), ('(橫掃)RX Mapping'!U53-1),IF(AND('(橫掃)RX Mapping'!U53&gt;=121,'(橫掃)RX Mapping'!U53&lt;=240), (-1)*('(橫掃)RX Mapping'!U53-240),IF(AND('(橫掃)RX Mapping'!U53&gt;=241,'(橫掃)RX Mapping'!U53&lt;=360), ('(橫掃)RX Mapping'!U53-241),IF(AND('(橫掃)RX Mapping'!U53&gt;=361,'(橫掃)RX Mapping'!U53&lt;=480), (-1)*('(橫掃)RX Mapping'!U53-480),IF(AND('(橫掃)RX Mapping'!U53&gt;=481,'(橫掃)RX Mapping'!U53&lt;=600), ('(橫掃)RX Mapping'!U53-361),IF(AND('(橫掃)RX Mapping'!U53&gt;=601,'(橫掃)RX Mapping'!U53&lt;=720), (-1)*('(橫掃)RX Mapping'!U53-720)+120,IF(AND('(橫掃)RX Mapping'!U53&gt;=721,'(橫掃)RX Mapping'!U53&lt;=840), ('(橫掃)RX Mapping'!U53-601),IF(AND('(橫掃)RX Mapping'!U53&gt;=841,'(橫掃)RX Mapping'!U53&lt;=960), (-1)*('(橫掃)RX Mapping'!U53-960)+120,9999))))))))</f>
        <v>9999</v>
      </c>
      <c r="V53">
        <f>IF(AND('(橫掃)RX Mapping'!V53&gt;=1,'(橫掃)RX Mapping'!V53&lt;=120), ('(橫掃)RX Mapping'!V53-1),IF(AND('(橫掃)RX Mapping'!V53&gt;=121,'(橫掃)RX Mapping'!V53&lt;=240), (-1)*('(橫掃)RX Mapping'!V53-240),IF(AND('(橫掃)RX Mapping'!V53&gt;=241,'(橫掃)RX Mapping'!V53&lt;=360), ('(橫掃)RX Mapping'!V53-241),IF(AND('(橫掃)RX Mapping'!V53&gt;=361,'(橫掃)RX Mapping'!V53&lt;=480), (-1)*('(橫掃)RX Mapping'!V53-480),IF(AND('(橫掃)RX Mapping'!V53&gt;=481,'(橫掃)RX Mapping'!V53&lt;=600), ('(橫掃)RX Mapping'!V53-361),IF(AND('(橫掃)RX Mapping'!V53&gt;=601,'(橫掃)RX Mapping'!V53&lt;=720), (-1)*('(橫掃)RX Mapping'!V53-720)+120,IF(AND('(橫掃)RX Mapping'!V53&gt;=721,'(橫掃)RX Mapping'!V53&lt;=840), ('(橫掃)RX Mapping'!V53-601),IF(AND('(橫掃)RX Mapping'!V53&gt;=841,'(橫掃)RX Mapping'!V53&lt;=960), (-1)*('(橫掃)RX Mapping'!V53-960)+120,9999))))))))</f>
        <v>9999</v>
      </c>
      <c r="W53">
        <f>IF(AND('(橫掃)RX Mapping'!W53&gt;=1,'(橫掃)RX Mapping'!W53&lt;=120), ('(橫掃)RX Mapping'!W53-1),IF(AND('(橫掃)RX Mapping'!W53&gt;=121,'(橫掃)RX Mapping'!W53&lt;=240), (-1)*('(橫掃)RX Mapping'!W53-240),IF(AND('(橫掃)RX Mapping'!W53&gt;=241,'(橫掃)RX Mapping'!W53&lt;=360), ('(橫掃)RX Mapping'!W53-241),IF(AND('(橫掃)RX Mapping'!W53&gt;=361,'(橫掃)RX Mapping'!W53&lt;=480), (-1)*('(橫掃)RX Mapping'!W53-480),IF(AND('(橫掃)RX Mapping'!W53&gt;=481,'(橫掃)RX Mapping'!W53&lt;=600), ('(橫掃)RX Mapping'!W53-361),IF(AND('(橫掃)RX Mapping'!W53&gt;=601,'(橫掃)RX Mapping'!W53&lt;=720), (-1)*('(橫掃)RX Mapping'!W53-720)+120,IF(AND('(橫掃)RX Mapping'!W53&gt;=721,'(橫掃)RX Mapping'!W53&lt;=840), ('(橫掃)RX Mapping'!W53-601),IF(AND('(橫掃)RX Mapping'!W53&gt;=841,'(橫掃)RX Mapping'!W53&lt;=960), (-1)*('(橫掃)RX Mapping'!W53-960)+120,9999))))))))</f>
        <v>9999</v>
      </c>
      <c r="X53">
        <f>IF(AND('(橫掃)RX Mapping'!X53&gt;=1,'(橫掃)RX Mapping'!X53&lt;=120), ('(橫掃)RX Mapping'!X53-1),IF(AND('(橫掃)RX Mapping'!X53&gt;=121,'(橫掃)RX Mapping'!X53&lt;=240), (-1)*('(橫掃)RX Mapping'!X53-240),IF(AND('(橫掃)RX Mapping'!X53&gt;=241,'(橫掃)RX Mapping'!X53&lt;=360), ('(橫掃)RX Mapping'!X53-241),IF(AND('(橫掃)RX Mapping'!X53&gt;=361,'(橫掃)RX Mapping'!X53&lt;=480), (-1)*('(橫掃)RX Mapping'!X53-480),IF(AND('(橫掃)RX Mapping'!X53&gt;=481,'(橫掃)RX Mapping'!X53&lt;=600), ('(橫掃)RX Mapping'!X53-361),IF(AND('(橫掃)RX Mapping'!X53&gt;=601,'(橫掃)RX Mapping'!X53&lt;=720), (-1)*('(橫掃)RX Mapping'!X53-720)+120,IF(AND('(橫掃)RX Mapping'!X53&gt;=721,'(橫掃)RX Mapping'!X53&lt;=840), ('(橫掃)RX Mapping'!X53-601),IF(AND('(橫掃)RX Mapping'!X53&gt;=841,'(橫掃)RX Mapping'!X53&lt;=960), (-1)*('(橫掃)RX Mapping'!X53-960)+120,9999))))))))</f>
        <v>9999</v>
      </c>
      <c r="Y53">
        <f>IF(AND('(橫掃)RX Mapping'!Y53&gt;=1,'(橫掃)RX Mapping'!Y53&lt;=120), ('(橫掃)RX Mapping'!Y53-1),IF(AND('(橫掃)RX Mapping'!Y53&gt;=121,'(橫掃)RX Mapping'!Y53&lt;=240), (-1)*('(橫掃)RX Mapping'!Y53-240),IF(AND('(橫掃)RX Mapping'!Y53&gt;=241,'(橫掃)RX Mapping'!Y53&lt;=360), ('(橫掃)RX Mapping'!Y53-241),IF(AND('(橫掃)RX Mapping'!Y53&gt;=361,'(橫掃)RX Mapping'!Y53&lt;=480), (-1)*('(橫掃)RX Mapping'!Y53-480),IF(AND('(橫掃)RX Mapping'!Y53&gt;=481,'(橫掃)RX Mapping'!Y53&lt;=600), ('(橫掃)RX Mapping'!Y53-361),IF(AND('(橫掃)RX Mapping'!Y53&gt;=601,'(橫掃)RX Mapping'!Y53&lt;=720), (-1)*('(橫掃)RX Mapping'!Y53-720)+120,IF(AND('(橫掃)RX Mapping'!Y53&gt;=721,'(橫掃)RX Mapping'!Y53&lt;=840), ('(橫掃)RX Mapping'!Y53-601),IF(AND('(橫掃)RX Mapping'!Y53&gt;=841,'(橫掃)RX Mapping'!Y53&lt;=960), (-1)*('(橫掃)RX Mapping'!Y53-960)+120,9999))))))))</f>
        <v>9999</v>
      </c>
      <c r="Z53">
        <f>IF(AND('(橫掃)RX Mapping'!Z53&gt;=1,'(橫掃)RX Mapping'!Z53&lt;=120), ('(橫掃)RX Mapping'!Z53-1),IF(AND('(橫掃)RX Mapping'!Z53&gt;=121,'(橫掃)RX Mapping'!Z53&lt;=240), (-1)*('(橫掃)RX Mapping'!Z53-240),IF(AND('(橫掃)RX Mapping'!Z53&gt;=241,'(橫掃)RX Mapping'!Z53&lt;=360), ('(橫掃)RX Mapping'!Z53-241),IF(AND('(橫掃)RX Mapping'!Z53&gt;=361,'(橫掃)RX Mapping'!Z53&lt;=480), (-1)*('(橫掃)RX Mapping'!Z53-480),IF(AND('(橫掃)RX Mapping'!Z53&gt;=481,'(橫掃)RX Mapping'!Z53&lt;=600), ('(橫掃)RX Mapping'!Z53-361),IF(AND('(橫掃)RX Mapping'!Z53&gt;=601,'(橫掃)RX Mapping'!Z53&lt;=720), (-1)*('(橫掃)RX Mapping'!Z53-720)+120,IF(AND('(橫掃)RX Mapping'!Z53&gt;=721,'(橫掃)RX Mapping'!Z53&lt;=840), ('(橫掃)RX Mapping'!Z53-601),IF(AND('(橫掃)RX Mapping'!Z53&gt;=841,'(橫掃)RX Mapping'!Z53&lt;=960), (-1)*('(橫掃)RX Mapping'!Z53-960)+120,9999))))))))</f>
        <v>9999</v>
      </c>
      <c r="AA53">
        <f>IF(AND('(橫掃)RX Mapping'!AA53&gt;=1,'(橫掃)RX Mapping'!AA53&lt;=120), ('(橫掃)RX Mapping'!AA53-1),IF(AND('(橫掃)RX Mapping'!AA53&gt;=121,'(橫掃)RX Mapping'!AA53&lt;=240), (-1)*('(橫掃)RX Mapping'!AA53-240),IF(AND('(橫掃)RX Mapping'!AA53&gt;=241,'(橫掃)RX Mapping'!AA53&lt;=360), ('(橫掃)RX Mapping'!AA53-241),IF(AND('(橫掃)RX Mapping'!AA53&gt;=361,'(橫掃)RX Mapping'!AA53&lt;=480), (-1)*('(橫掃)RX Mapping'!AA53-480),IF(AND('(橫掃)RX Mapping'!AA53&gt;=481,'(橫掃)RX Mapping'!AA53&lt;=600), ('(橫掃)RX Mapping'!AA53-361),IF(AND('(橫掃)RX Mapping'!AA53&gt;=601,'(橫掃)RX Mapping'!AA53&lt;=720), (-1)*('(橫掃)RX Mapping'!AA53-720)+120,IF(AND('(橫掃)RX Mapping'!AA53&gt;=721,'(橫掃)RX Mapping'!AA53&lt;=840), ('(橫掃)RX Mapping'!AA53-601),IF(AND('(橫掃)RX Mapping'!AA53&gt;=841,'(橫掃)RX Mapping'!AA53&lt;=960), (-1)*('(橫掃)RX Mapping'!AA53-960)+120,9999))))))))</f>
        <v>9999</v>
      </c>
      <c r="AB53">
        <f>IF(AND('(橫掃)RX Mapping'!AB53&gt;=1,'(橫掃)RX Mapping'!AB53&lt;=120), ('(橫掃)RX Mapping'!AB53-1),IF(AND('(橫掃)RX Mapping'!AB53&gt;=121,'(橫掃)RX Mapping'!AB53&lt;=240), (-1)*('(橫掃)RX Mapping'!AB53-240),IF(AND('(橫掃)RX Mapping'!AB53&gt;=241,'(橫掃)RX Mapping'!AB53&lt;=360), ('(橫掃)RX Mapping'!AB53-241),IF(AND('(橫掃)RX Mapping'!AB53&gt;=361,'(橫掃)RX Mapping'!AB53&lt;=480), (-1)*('(橫掃)RX Mapping'!AB53-480),IF(AND('(橫掃)RX Mapping'!AB53&gt;=481,'(橫掃)RX Mapping'!AB53&lt;=600), ('(橫掃)RX Mapping'!AB53-361),IF(AND('(橫掃)RX Mapping'!AB53&gt;=601,'(橫掃)RX Mapping'!AB53&lt;=720), (-1)*('(橫掃)RX Mapping'!AB53-720)+120,IF(AND('(橫掃)RX Mapping'!AB53&gt;=721,'(橫掃)RX Mapping'!AB53&lt;=840), ('(橫掃)RX Mapping'!AB53-601),IF(AND('(橫掃)RX Mapping'!AB53&gt;=841,'(橫掃)RX Mapping'!AB53&lt;=960), (-1)*('(橫掃)RX Mapping'!AB53-960)+120,9999))))))))</f>
        <v>9999</v>
      </c>
      <c r="AC53">
        <f>IF(AND('(橫掃)RX Mapping'!AC53&gt;=1,'(橫掃)RX Mapping'!AC53&lt;=120), ('(橫掃)RX Mapping'!AC53-1),IF(AND('(橫掃)RX Mapping'!AC53&gt;=121,'(橫掃)RX Mapping'!AC53&lt;=240), (-1)*('(橫掃)RX Mapping'!AC53-240),IF(AND('(橫掃)RX Mapping'!AC53&gt;=241,'(橫掃)RX Mapping'!AC53&lt;=360), ('(橫掃)RX Mapping'!AC53-241),IF(AND('(橫掃)RX Mapping'!AC53&gt;=361,'(橫掃)RX Mapping'!AC53&lt;=480), (-1)*('(橫掃)RX Mapping'!AC53-480),IF(AND('(橫掃)RX Mapping'!AC53&gt;=481,'(橫掃)RX Mapping'!AC53&lt;=600), ('(橫掃)RX Mapping'!AC53-361),IF(AND('(橫掃)RX Mapping'!AC53&gt;=601,'(橫掃)RX Mapping'!AC53&lt;=720), (-1)*('(橫掃)RX Mapping'!AC53-720)+120,IF(AND('(橫掃)RX Mapping'!AC53&gt;=721,'(橫掃)RX Mapping'!AC53&lt;=840), ('(橫掃)RX Mapping'!AC53-601),IF(AND('(橫掃)RX Mapping'!AC53&gt;=841,'(橫掃)RX Mapping'!AC53&lt;=960), (-1)*('(橫掃)RX Mapping'!AC53-960)+120,9999))))))))</f>
        <v>9999</v>
      </c>
      <c r="AD53">
        <f>IF(AND('(橫掃)RX Mapping'!AD53&gt;=1,'(橫掃)RX Mapping'!AD53&lt;=120), ('(橫掃)RX Mapping'!AD53-1),IF(AND('(橫掃)RX Mapping'!AD53&gt;=121,'(橫掃)RX Mapping'!AD53&lt;=240), (-1)*('(橫掃)RX Mapping'!AD53-240),IF(AND('(橫掃)RX Mapping'!AD53&gt;=241,'(橫掃)RX Mapping'!AD53&lt;=360), ('(橫掃)RX Mapping'!AD53-241),IF(AND('(橫掃)RX Mapping'!AD53&gt;=361,'(橫掃)RX Mapping'!AD53&lt;=480), (-1)*('(橫掃)RX Mapping'!AD53-480),IF(AND('(橫掃)RX Mapping'!AD53&gt;=481,'(橫掃)RX Mapping'!AD53&lt;=600), ('(橫掃)RX Mapping'!AD53-361),IF(AND('(橫掃)RX Mapping'!AD53&gt;=601,'(橫掃)RX Mapping'!AD53&lt;=720), (-1)*('(橫掃)RX Mapping'!AD53-720)+120,IF(AND('(橫掃)RX Mapping'!AD53&gt;=721,'(橫掃)RX Mapping'!AD53&lt;=840), ('(橫掃)RX Mapping'!AD53-601),IF(AND('(橫掃)RX Mapping'!AD53&gt;=841,'(橫掃)RX Mapping'!AD53&lt;=960), (-1)*('(橫掃)RX Mapping'!AD53-960)+120,9999))))))))</f>
        <v>9999</v>
      </c>
      <c r="AE53">
        <f>IF(AND('(橫掃)RX Mapping'!AE53&gt;=1,'(橫掃)RX Mapping'!AE53&lt;=120), ('(橫掃)RX Mapping'!AE53-1),IF(AND('(橫掃)RX Mapping'!AE53&gt;=121,'(橫掃)RX Mapping'!AE53&lt;=240), (-1)*('(橫掃)RX Mapping'!AE53-240),IF(AND('(橫掃)RX Mapping'!AE53&gt;=241,'(橫掃)RX Mapping'!AE53&lt;=360), ('(橫掃)RX Mapping'!AE53-241),IF(AND('(橫掃)RX Mapping'!AE53&gt;=361,'(橫掃)RX Mapping'!AE53&lt;=480), (-1)*('(橫掃)RX Mapping'!AE53-480),IF(AND('(橫掃)RX Mapping'!AE53&gt;=481,'(橫掃)RX Mapping'!AE53&lt;=600), ('(橫掃)RX Mapping'!AE53-361),IF(AND('(橫掃)RX Mapping'!AE53&gt;=601,'(橫掃)RX Mapping'!AE53&lt;=720), (-1)*('(橫掃)RX Mapping'!AE53-720)+120,IF(AND('(橫掃)RX Mapping'!AE53&gt;=721,'(橫掃)RX Mapping'!AE53&lt;=840), ('(橫掃)RX Mapping'!AE53-601),IF(AND('(橫掃)RX Mapping'!AE53&gt;=841,'(橫掃)RX Mapping'!AE53&lt;=960), (-1)*('(橫掃)RX Mapping'!AE53-960)+120,9999))))))))</f>
        <v>9999</v>
      </c>
      <c r="AF53">
        <f>IF(AND('(橫掃)RX Mapping'!AF53&gt;=1,'(橫掃)RX Mapping'!AF53&lt;=120), ('(橫掃)RX Mapping'!AF53-1),IF(AND('(橫掃)RX Mapping'!AF53&gt;=121,'(橫掃)RX Mapping'!AF53&lt;=240), (-1)*('(橫掃)RX Mapping'!AF53-240),IF(AND('(橫掃)RX Mapping'!AF53&gt;=241,'(橫掃)RX Mapping'!AF53&lt;=360), ('(橫掃)RX Mapping'!AF53-241),IF(AND('(橫掃)RX Mapping'!AF53&gt;=361,'(橫掃)RX Mapping'!AF53&lt;=480), (-1)*('(橫掃)RX Mapping'!AF53-480),IF(AND('(橫掃)RX Mapping'!AF53&gt;=481,'(橫掃)RX Mapping'!AF53&lt;=600), ('(橫掃)RX Mapping'!AF53-361),IF(AND('(橫掃)RX Mapping'!AF53&gt;=601,'(橫掃)RX Mapping'!AF53&lt;=720), (-1)*('(橫掃)RX Mapping'!AF53-720)+120,IF(AND('(橫掃)RX Mapping'!AF53&gt;=721,'(橫掃)RX Mapping'!AF53&lt;=840), ('(橫掃)RX Mapping'!AF53-601),IF(AND('(橫掃)RX Mapping'!AF53&gt;=841,'(橫掃)RX Mapping'!AF53&lt;=960), (-1)*('(橫掃)RX Mapping'!AF53-960)+120,9999))))))))</f>
        <v>9999</v>
      </c>
      <c r="AG53">
        <f>IF(AND('(橫掃)RX Mapping'!AG53&gt;=1,'(橫掃)RX Mapping'!AG53&lt;=120), ('(橫掃)RX Mapping'!AG53-1),IF(AND('(橫掃)RX Mapping'!AG53&gt;=121,'(橫掃)RX Mapping'!AG53&lt;=240), (-1)*('(橫掃)RX Mapping'!AG53-240),IF(AND('(橫掃)RX Mapping'!AG53&gt;=241,'(橫掃)RX Mapping'!AG53&lt;=360), ('(橫掃)RX Mapping'!AG53-241),IF(AND('(橫掃)RX Mapping'!AG53&gt;=361,'(橫掃)RX Mapping'!AG53&lt;=480), (-1)*('(橫掃)RX Mapping'!AG53-480),IF(AND('(橫掃)RX Mapping'!AG53&gt;=481,'(橫掃)RX Mapping'!AG53&lt;=600), ('(橫掃)RX Mapping'!AG53-361),IF(AND('(橫掃)RX Mapping'!AG53&gt;=601,'(橫掃)RX Mapping'!AG53&lt;=720), (-1)*('(橫掃)RX Mapping'!AG53-720)+120,IF(AND('(橫掃)RX Mapping'!AG53&gt;=721,'(橫掃)RX Mapping'!AG53&lt;=840), ('(橫掃)RX Mapping'!AG53-601),IF(AND('(橫掃)RX Mapping'!AG53&gt;=841,'(橫掃)RX Mapping'!AG53&lt;=960), (-1)*('(橫掃)RX Mapping'!AG53-960)+120,9999))))))))</f>
        <v>9999</v>
      </c>
      <c r="AH53">
        <f>IF(AND('(橫掃)RX Mapping'!AH53&gt;=1,'(橫掃)RX Mapping'!AH53&lt;=120), ('(橫掃)RX Mapping'!AH53-1),IF(AND('(橫掃)RX Mapping'!AH53&gt;=121,'(橫掃)RX Mapping'!AH53&lt;=240), (-1)*('(橫掃)RX Mapping'!AH53-240),IF(AND('(橫掃)RX Mapping'!AH53&gt;=241,'(橫掃)RX Mapping'!AH53&lt;=360), ('(橫掃)RX Mapping'!AH53-241),IF(AND('(橫掃)RX Mapping'!AH53&gt;=361,'(橫掃)RX Mapping'!AH53&lt;=480), (-1)*('(橫掃)RX Mapping'!AH53-480),IF(AND('(橫掃)RX Mapping'!AH53&gt;=481,'(橫掃)RX Mapping'!AH53&lt;=600), ('(橫掃)RX Mapping'!AH53-361),IF(AND('(橫掃)RX Mapping'!AH53&gt;=601,'(橫掃)RX Mapping'!AH53&lt;=720), (-1)*('(橫掃)RX Mapping'!AH53-720)+120,IF(AND('(橫掃)RX Mapping'!AH53&gt;=721,'(橫掃)RX Mapping'!AH53&lt;=840), ('(橫掃)RX Mapping'!AH53-601),IF(AND('(橫掃)RX Mapping'!AH53&gt;=841,'(橫掃)RX Mapping'!AH53&lt;=960), (-1)*('(橫掃)RX Mapping'!AH53-960)+120,9999))))))))</f>
        <v>9999</v>
      </c>
      <c r="AI53">
        <f>IF(AND('(橫掃)RX Mapping'!AI53&gt;=1,'(橫掃)RX Mapping'!AI53&lt;=120), ('(橫掃)RX Mapping'!AI53-1),IF(AND('(橫掃)RX Mapping'!AI53&gt;=121,'(橫掃)RX Mapping'!AI53&lt;=240), (-1)*('(橫掃)RX Mapping'!AI53-240),IF(AND('(橫掃)RX Mapping'!AI53&gt;=241,'(橫掃)RX Mapping'!AI53&lt;=360), ('(橫掃)RX Mapping'!AI53-241),IF(AND('(橫掃)RX Mapping'!AI53&gt;=361,'(橫掃)RX Mapping'!AI53&lt;=480), (-1)*('(橫掃)RX Mapping'!AI53-480),IF(AND('(橫掃)RX Mapping'!AI53&gt;=481,'(橫掃)RX Mapping'!AI53&lt;=600), ('(橫掃)RX Mapping'!AI53-361),IF(AND('(橫掃)RX Mapping'!AI53&gt;=601,'(橫掃)RX Mapping'!AI53&lt;=720), (-1)*('(橫掃)RX Mapping'!AI53-720)+120,IF(AND('(橫掃)RX Mapping'!AI53&gt;=721,'(橫掃)RX Mapping'!AI53&lt;=840), ('(橫掃)RX Mapping'!AI53-601),IF(AND('(橫掃)RX Mapping'!AI53&gt;=841,'(橫掃)RX Mapping'!AI53&lt;=960), (-1)*('(橫掃)RX Mapping'!AI53-960)+120,9999))))))))</f>
        <v>9999</v>
      </c>
      <c r="AJ53">
        <f>IF(AND('(橫掃)RX Mapping'!AJ53&gt;=1,'(橫掃)RX Mapping'!AJ53&lt;=120), ('(橫掃)RX Mapping'!AJ53-1),IF(AND('(橫掃)RX Mapping'!AJ53&gt;=121,'(橫掃)RX Mapping'!AJ53&lt;=240), (-1)*('(橫掃)RX Mapping'!AJ53-240),IF(AND('(橫掃)RX Mapping'!AJ53&gt;=241,'(橫掃)RX Mapping'!AJ53&lt;=360), ('(橫掃)RX Mapping'!AJ53-241),IF(AND('(橫掃)RX Mapping'!AJ53&gt;=361,'(橫掃)RX Mapping'!AJ53&lt;=480), (-1)*('(橫掃)RX Mapping'!AJ53-480),IF(AND('(橫掃)RX Mapping'!AJ53&gt;=481,'(橫掃)RX Mapping'!AJ53&lt;=600), ('(橫掃)RX Mapping'!AJ53-361),IF(AND('(橫掃)RX Mapping'!AJ53&gt;=601,'(橫掃)RX Mapping'!AJ53&lt;=720), (-1)*('(橫掃)RX Mapping'!AJ53-720)+120,IF(AND('(橫掃)RX Mapping'!AJ53&gt;=721,'(橫掃)RX Mapping'!AJ53&lt;=840), ('(橫掃)RX Mapping'!AJ53-601),IF(AND('(橫掃)RX Mapping'!AJ53&gt;=841,'(橫掃)RX Mapping'!AJ53&lt;=960), (-1)*('(橫掃)RX Mapping'!AJ53-960)+120,9999))))))))</f>
        <v>9999</v>
      </c>
      <c r="AK53">
        <f>IF(AND('(橫掃)RX Mapping'!AK53&gt;=1,'(橫掃)RX Mapping'!AK53&lt;=120), ('(橫掃)RX Mapping'!AK53-1),IF(AND('(橫掃)RX Mapping'!AK53&gt;=121,'(橫掃)RX Mapping'!AK53&lt;=240), (-1)*('(橫掃)RX Mapping'!AK53-240),IF(AND('(橫掃)RX Mapping'!AK53&gt;=241,'(橫掃)RX Mapping'!AK53&lt;=360), ('(橫掃)RX Mapping'!AK53-241),IF(AND('(橫掃)RX Mapping'!AK53&gt;=361,'(橫掃)RX Mapping'!AK53&lt;=480), (-1)*('(橫掃)RX Mapping'!AK53-480),IF(AND('(橫掃)RX Mapping'!AK53&gt;=481,'(橫掃)RX Mapping'!AK53&lt;=600), ('(橫掃)RX Mapping'!AK53-361),IF(AND('(橫掃)RX Mapping'!AK53&gt;=601,'(橫掃)RX Mapping'!AK53&lt;=720), (-1)*('(橫掃)RX Mapping'!AK53-720)+120,IF(AND('(橫掃)RX Mapping'!AK53&gt;=721,'(橫掃)RX Mapping'!AK53&lt;=840), ('(橫掃)RX Mapping'!AK53-601),IF(AND('(橫掃)RX Mapping'!AK53&gt;=841,'(橫掃)RX Mapping'!AK53&lt;=960), (-1)*('(橫掃)RX Mapping'!AK53-960)+120,9999))))))))</f>
        <v>9999</v>
      </c>
      <c r="AL53">
        <f>IF(AND('(橫掃)RX Mapping'!AL53&gt;=1,'(橫掃)RX Mapping'!AL53&lt;=120), ('(橫掃)RX Mapping'!AL53-1),IF(AND('(橫掃)RX Mapping'!AL53&gt;=121,'(橫掃)RX Mapping'!AL53&lt;=240), (-1)*('(橫掃)RX Mapping'!AL53-240),IF(AND('(橫掃)RX Mapping'!AL53&gt;=241,'(橫掃)RX Mapping'!AL53&lt;=360), ('(橫掃)RX Mapping'!AL53-241),IF(AND('(橫掃)RX Mapping'!AL53&gt;=361,'(橫掃)RX Mapping'!AL53&lt;=480), (-1)*('(橫掃)RX Mapping'!AL53-480),IF(AND('(橫掃)RX Mapping'!AL53&gt;=481,'(橫掃)RX Mapping'!AL53&lt;=600), ('(橫掃)RX Mapping'!AL53-361),IF(AND('(橫掃)RX Mapping'!AL53&gt;=601,'(橫掃)RX Mapping'!AL53&lt;=720), (-1)*('(橫掃)RX Mapping'!AL53-720)+120,IF(AND('(橫掃)RX Mapping'!AL53&gt;=721,'(橫掃)RX Mapping'!AL53&lt;=840), ('(橫掃)RX Mapping'!AL53-601),IF(AND('(橫掃)RX Mapping'!AL53&gt;=841,'(橫掃)RX Mapping'!AL53&lt;=960), (-1)*('(橫掃)RX Mapping'!AL53-960)+120,9999))))))))</f>
        <v>9999</v>
      </c>
      <c r="AM53">
        <f>IF(AND('(橫掃)RX Mapping'!AM53&gt;=1,'(橫掃)RX Mapping'!AM53&lt;=120), ('(橫掃)RX Mapping'!AM53-1),IF(AND('(橫掃)RX Mapping'!AM53&gt;=121,'(橫掃)RX Mapping'!AM53&lt;=240), (-1)*('(橫掃)RX Mapping'!AM53-240),IF(AND('(橫掃)RX Mapping'!AM53&gt;=241,'(橫掃)RX Mapping'!AM53&lt;=360), ('(橫掃)RX Mapping'!AM53-241),IF(AND('(橫掃)RX Mapping'!AM53&gt;=361,'(橫掃)RX Mapping'!AM53&lt;=480), (-1)*('(橫掃)RX Mapping'!AM53-480),IF(AND('(橫掃)RX Mapping'!AM53&gt;=481,'(橫掃)RX Mapping'!AM53&lt;=600), ('(橫掃)RX Mapping'!AM53-361),IF(AND('(橫掃)RX Mapping'!AM53&gt;=601,'(橫掃)RX Mapping'!AM53&lt;=720), (-1)*('(橫掃)RX Mapping'!AM53-720)+120,IF(AND('(橫掃)RX Mapping'!AM53&gt;=721,'(橫掃)RX Mapping'!AM53&lt;=840), ('(橫掃)RX Mapping'!AM53-601),IF(AND('(橫掃)RX Mapping'!AM53&gt;=841,'(橫掃)RX Mapping'!AM53&lt;=960), (-1)*('(橫掃)RX Mapping'!AM53-960)+120,9999))))))))</f>
        <v>9999</v>
      </c>
      <c r="AN53">
        <f>IF(AND('(橫掃)RX Mapping'!AN53&gt;=1,'(橫掃)RX Mapping'!AN53&lt;=120), ('(橫掃)RX Mapping'!AN53-1),IF(AND('(橫掃)RX Mapping'!AN53&gt;=121,'(橫掃)RX Mapping'!AN53&lt;=240), (-1)*('(橫掃)RX Mapping'!AN53-240),IF(AND('(橫掃)RX Mapping'!AN53&gt;=241,'(橫掃)RX Mapping'!AN53&lt;=360), ('(橫掃)RX Mapping'!AN53-241),IF(AND('(橫掃)RX Mapping'!AN53&gt;=361,'(橫掃)RX Mapping'!AN53&lt;=480), (-1)*('(橫掃)RX Mapping'!AN53-480),IF(AND('(橫掃)RX Mapping'!AN53&gt;=481,'(橫掃)RX Mapping'!AN53&lt;=600), ('(橫掃)RX Mapping'!AN53-361),IF(AND('(橫掃)RX Mapping'!AN53&gt;=601,'(橫掃)RX Mapping'!AN53&lt;=720), (-1)*('(橫掃)RX Mapping'!AN53-720)+120,IF(AND('(橫掃)RX Mapping'!AN53&gt;=721,'(橫掃)RX Mapping'!AN53&lt;=840), ('(橫掃)RX Mapping'!AN53-601),IF(AND('(橫掃)RX Mapping'!AN53&gt;=841,'(橫掃)RX Mapping'!AN53&lt;=960), (-1)*('(橫掃)RX Mapping'!AN53-960)+120,9999))))))))</f>
        <v>9999</v>
      </c>
      <c r="AO53">
        <f>IF(AND('(橫掃)RX Mapping'!AO53&gt;=1,'(橫掃)RX Mapping'!AO53&lt;=120), ('(橫掃)RX Mapping'!AO53-1),IF(AND('(橫掃)RX Mapping'!AO53&gt;=121,'(橫掃)RX Mapping'!AO53&lt;=240), (-1)*('(橫掃)RX Mapping'!AO53-240),IF(AND('(橫掃)RX Mapping'!AO53&gt;=241,'(橫掃)RX Mapping'!AO53&lt;=360), ('(橫掃)RX Mapping'!AO53-241),IF(AND('(橫掃)RX Mapping'!AO53&gt;=361,'(橫掃)RX Mapping'!AO53&lt;=480), (-1)*('(橫掃)RX Mapping'!AO53-480),IF(AND('(橫掃)RX Mapping'!AO53&gt;=481,'(橫掃)RX Mapping'!AO53&lt;=600), ('(橫掃)RX Mapping'!AO53-361),IF(AND('(橫掃)RX Mapping'!AO53&gt;=601,'(橫掃)RX Mapping'!AO53&lt;=720), (-1)*('(橫掃)RX Mapping'!AO53-720)+120,IF(AND('(橫掃)RX Mapping'!AO53&gt;=721,'(橫掃)RX Mapping'!AO53&lt;=840), ('(橫掃)RX Mapping'!AO53-601),IF(AND('(橫掃)RX Mapping'!AO53&gt;=841,'(橫掃)RX Mapping'!AO53&lt;=960), (-1)*('(橫掃)RX Mapping'!AO53-960)+120,9999))))))))</f>
        <v>9999</v>
      </c>
      <c r="AP53">
        <f>IF(AND('(橫掃)RX Mapping'!AP53&gt;=1,'(橫掃)RX Mapping'!AP53&lt;=120), ('(橫掃)RX Mapping'!AP53-1),IF(AND('(橫掃)RX Mapping'!AP53&gt;=121,'(橫掃)RX Mapping'!AP53&lt;=240), (-1)*('(橫掃)RX Mapping'!AP53-240),IF(AND('(橫掃)RX Mapping'!AP53&gt;=241,'(橫掃)RX Mapping'!AP53&lt;=360), ('(橫掃)RX Mapping'!AP53-241),IF(AND('(橫掃)RX Mapping'!AP53&gt;=361,'(橫掃)RX Mapping'!AP53&lt;=480), (-1)*('(橫掃)RX Mapping'!AP53-480),IF(AND('(橫掃)RX Mapping'!AP53&gt;=481,'(橫掃)RX Mapping'!AP53&lt;=600), ('(橫掃)RX Mapping'!AP53-361),IF(AND('(橫掃)RX Mapping'!AP53&gt;=601,'(橫掃)RX Mapping'!AP53&lt;=720), (-1)*('(橫掃)RX Mapping'!AP53-720)+120,IF(AND('(橫掃)RX Mapping'!AP53&gt;=721,'(橫掃)RX Mapping'!AP53&lt;=840), ('(橫掃)RX Mapping'!AP53-601),IF(AND('(橫掃)RX Mapping'!AP53&gt;=841,'(橫掃)RX Mapping'!AP53&lt;=960), (-1)*('(橫掃)RX Mapping'!AP53-960)+120,9999))))))))</f>
        <v>9999</v>
      </c>
      <c r="AQ53">
        <f>IF(AND('(橫掃)RX Mapping'!AQ53&gt;=1,'(橫掃)RX Mapping'!AQ53&lt;=120), ('(橫掃)RX Mapping'!AQ53-1),IF(AND('(橫掃)RX Mapping'!AQ53&gt;=121,'(橫掃)RX Mapping'!AQ53&lt;=240), (-1)*('(橫掃)RX Mapping'!AQ53-240),IF(AND('(橫掃)RX Mapping'!AQ53&gt;=241,'(橫掃)RX Mapping'!AQ53&lt;=360), ('(橫掃)RX Mapping'!AQ53-241),IF(AND('(橫掃)RX Mapping'!AQ53&gt;=361,'(橫掃)RX Mapping'!AQ53&lt;=480), (-1)*('(橫掃)RX Mapping'!AQ53-480),IF(AND('(橫掃)RX Mapping'!AQ53&gt;=481,'(橫掃)RX Mapping'!AQ53&lt;=600), ('(橫掃)RX Mapping'!AQ53-361),IF(AND('(橫掃)RX Mapping'!AQ53&gt;=601,'(橫掃)RX Mapping'!AQ53&lt;=720), (-1)*('(橫掃)RX Mapping'!AQ53-720)+120,IF(AND('(橫掃)RX Mapping'!AQ53&gt;=721,'(橫掃)RX Mapping'!AQ53&lt;=840), ('(橫掃)RX Mapping'!AQ53-601),IF(AND('(橫掃)RX Mapping'!AQ53&gt;=841,'(橫掃)RX Mapping'!AQ53&lt;=960), (-1)*('(橫掃)RX Mapping'!AQ53-960)+120,9999))))))))</f>
        <v>9999</v>
      </c>
      <c r="AR53">
        <f>IF(AND('(橫掃)RX Mapping'!AR53&gt;=1,'(橫掃)RX Mapping'!AR53&lt;=120), ('(橫掃)RX Mapping'!AR53-1),IF(AND('(橫掃)RX Mapping'!AR53&gt;=121,'(橫掃)RX Mapping'!AR53&lt;=240), (-1)*('(橫掃)RX Mapping'!AR53-240),IF(AND('(橫掃)RX Mapping'!AR53&gt;=241,'(橫掃)RX Mapping'!AR53&lt;=360), ('(橫掃)RX Mapping'!AR53-241),IF(AND('(橫掃)RX Mapping'!AR53&gt;=361,'(橫掃)RX Mapping'!AR53&lt;=480), (-1)*('(橫掃)RX Mapping'!AR53-480),IF(AND('(橫掃)RX Mapping'!AR53&gt;=481,'(橫掃)RX Mapping'!AR53&lt;=600), ('(橫掃)RX Mapping'!AR53-361),IF(AND('(橫掃)RX Mapping'!AR53&gt;=601,'(橫掃)RX Mapping'!AR53&lt;=720), (-1)*('(橫掃)RX Mapping'!AR53-720)+120,IF(AND('(橫掃)RX Mapping'!AR53&gt;=721,'(橫掃)RX Mapping'!AR53&lt;=840), ('(橫掃)RX Mapping'!AR53-601),IF(AND('(橫掃)RX Mapping'!AR53&gt;=841,'(橫掃)RX Mapping'!AR53&lt;=960), (-1)*('(橫掃)RX Mapping'!AR53-960)+120,9999))))))))</f>
        <v>9999</v>
      </c>
      <c r="AS53">
        <f>IF(AND('(橫掃)RX Mapping'!AS53&gt;=1,'(橫掃)RX Mapping'!AS53&lt;=120), ('(橫掃)RX Mapping'!AS53-1),IF(AND('(橫掃)RX Mapping'!AS53&gt;=121,'(橫掃)RX Mapping'!AS53&lt;=240), (-1)*('(橫掃)RX Mapping'!AS53-240),IF(AND('(橫掃)RX Mapping'!AS53&gt;=241,'(橫掃)RX Mapping'!AS53&lt;=360), ('(橫掃)RX Mapping'!AS53-241),IF(AND('(橫掃)RX Mapping'!AS53&gt;=361,'(橫掃)RX Mapping'!AS53&lt;=480), (-1)*('(橫掃)RX Mapping'!AS53-480),IF(AND('(橫掃)RX Mapping'!AS53&gt;=481,'(橫掃)RX Mapping'!AS53&lt;=600), ('(橫掃)RX Mapping'!AS53-361),IF(AND('(橫掃)RX Mapping'!AS53&gt;=601,'(橫掃)RX Mapping'!AS53&lt;=720), (-1)*('(橫掃)RX Mapping'!AS53-720)+120,IF(AND('(橫掃)RX Mapping'!AS53&gt;=721,'(橫掃)RX Mapping'!AS53&lt;=840), ('(橫掃)RX Mapping'!AS53-601),IF(AND('(橫掃)RX Mapping'!AS53&gt;=841,'(橫掃)RX Mapping'!AS53&lt;=960), (-1)*('(橫掃)RX Mapping'!AS53-960)+120,9999))))))))</f>
        <v>9999</v>
      </c>
      <c r="AT53">
        <f>IF(AND('(橫掃)RX Mapping'!AT53&gt;=1,'(橫掃)RX Mapping'!AT53&lt;=120), ('(橫掃)RX Mapping'!AT53-1),IF(AND('(橫掃)RX Mapping'!AT53&gt;=121,'(橫掃)RX Mapping'!AT53&lt;=240), (-1)*('(橫掃)RX Mapping'!AT53-240),IF(AND('(橫掃)RX Mapping'!AT53&gt;=241,'(橫掃)RX Mapping'!AT53&lt;=360), ('(橫掃)RX Mapping'!AT53-241),IF(AND('(橫掃)RX Mapping'!AT53&gt;=361,'(橫掃)RX Mapping'!AT53&lt;=480), (-1)*('(橫掃)RX Mapping'!AT53-480),IF(AND('(橫掃)RX Mapping'!AT53&gt;=481,'(橫掃)RX Mapping'!AT53&lt;=600), ('(橫掃)RX Mapping'!AT53-361),IF(AND('(橫掃)RX Mapping'!AT53&gt;=601,'(橫掃)RX Mapping'!AT53&lt;=720), (-1)*('(橫掃)RX Mapping'!AT53-720)+120,IF(AND('(橫掃)RX Mapping'!AT53&gt;=721,'(橫掃)RX Mapping'!AT53&lt;=840), ('(橫掃)RX Mapping'!AT53-601),IF(AND('(橫掃)RX Mapping'!AT53&gt;=841,'(橫掃)RX Mapping'!AT53&lt;=960), (-1)*('(橫掃)RX Mapping'!AT53-960)+120,9999))))))))</f>
        <v>9999</v>
      </c>
      <c r="AU53">
        <f>IF(AND('(橫掃)RX Mapping'!AU53&gt;=1,'(橫掃)RX Mapping'!AU53&lt;=120), ('(橫掃)RX Mapping'!AU53-1),IF(AND('(橫掃)RX Mapping'!AU53&gt;=121,'(橫掃)RX Mapping'!AU53&lt;=240), (-1)*('(橫掃)RX Mapping'!AU53-240),IF(AND('(橫掃)RX Mapping'!AU53&gt;=241,'(橫掃)RX Mapping'!AU53&lt;=360), ('(橫掃)RX Mapping'!AU53-241),IF(AND('(橫掃)RX Mapping'!AU53&gt;=361,'(橫掃)RX Mapping'!AU53&lt;=480), (-1)*('(橫掃)RX Mapping'!AU53-480),IF(AND('(橫掃)RX Mapping'!AU53&gt;=481,'(橫掃)RX Mapping'!AU53&lt;=600), ('(橫掃)RX Mapping'!AU53-361),IF(AND('(橫掃)RX Mapping'!AU53&gt;=601,'(橫掃)RX Mapping'!AU53&lt;=720), (-1)*('(橫掃)RX Mapping'!AU53-720)+120,IF(AND('(橫掃)RX Mapping'!AU53&gt;=721,'(橫掃)RX Mapping'!AU53&lt;=840), ('(橫掃)RX Mapping'!AU53-601),IF(AND('(橫掃)RX Mapping'!AU53&gt;=841,'(橫掃)RX Mapping'!AU53&lt;=960), (-1)*('(橫掃)RX Mapping'!AU53-960)+120,9999))))))))</f>
        <v>9999</v>
      </c>
      <c r="AV53">
        <f>IF(AND('(橫掃)RX Mapping'!AV53&gt;=1,'(橫掃)RX Mapping'!AV53&lt;=120), ('(橫掃)RX Mapping'!AV53-1),IF(AND('(橫掃)RX Mapping'!AV53&gt;=121,'(橫掃)RX Mapping'!AV53&lt;=240), (-1)*('(橫掃)RX Mapping'!AV53-240),IF(AND('(橫掃)RX Mapping'!AV53&gt;=241,'(橫掃)RX Mapping'!AV53&lt;=360), ('(橫掃)RX Mapping'!AV53-241),IF(AND('(橫掃)RX Mapping'!AV53&gt;=361,'(橫掃)RX Mapping'!AV53&lt;=480), (-1)*('(橫掃)RX Mapping'!AV53-480),IF(AND('(橫掃)RX Mapping'!AV53&gt;=481,'(橫掃)RX Mapping'!AV53&lt;=600), ('(橫掃)RX Mapping'!AV53-361),IF(AND('(橫掃)RX Mapping'!AV53&gt;=601,'(橫掃)RX Mapping'!AV53&lt;=720), (-1)*('(橫掃)RX Mapping'!AV53-720)+120,IF(AND('(橫掃)RX Mapping'!AV53&gt;=721,'(橫掃)RX Mapping'!AV53&lt;=840), ('(橫掃)RX Mapping'!AV53-601),IF(AND('(橫掃)RX Mapping'!AV53&gt;=841,'(橫掃)RX Mapping'!AV53&lt;=960), (-1)*('(橫掃)RX Mapping'!AV53-960)+120,9999))))))))</f>
        <v>9999</v>
      </c>
      <c r="AW53">
        <f>IF(AND('(橫掃)RX Mapping'!AW53&gt;=1,'(橫掃)RX Mapping'!AW53&lt;=120), ('(橫掃)RX Mapping'!AW53-1),IF(AND('(橫掃)RX Mapping'!AW53&gt;=121,'(橫掃)RX Mapping'!AW53&lt;=240), (-1)*('(橫掃)RX Mapping'!AW53-240),IF(AND('(橫掃)RX Mapping'!AW53&gt;=241,'(橫掃)RX Mapping'!AW53&lt;=360), ('(橫掃)RX Mapping'!AW53-241),IF(AND('(橫掃)RX Mapping'!AW53&gt;=361,'(橫掃)RX Mapping'!AW53&lt;=480), (-1)*('(橫掃)RX Mapping'!AW53-480),IF(AND('(橫掃)RX Mapping'!AW53&gt;=481,'(橫掃)RX Mapping'!AW53&lt;=600), ('(橫掃)RX Mapping'!AW53-361),IF(AND('(橫掃)RX Mapping'!AW53&gt;=601,'(橫掃)RX Mapping'!AW53&lt;=720), (-1)*('(橫掃)RX Mapping'!AW53-720)+120,IF(AND('(橫掃)RX Mapping'!AW53&gt;=721,'(橫掃)RX Mapping'!AW53&lt;=840), ('(橫掃)RX Mapping'!AW53-601),IF(AND('(橫掃)RX Mapping'!AW53&gt;=841,'(橫掃)RX Mapping'!AW53&lt;=960), (-1)*('(橫掃)RX Mapping'!AW53-960)+120,9999))))))))</f>
        <v>9999</v>
      </c>
      <c r="AX53">
        <f>IF(AND('(橫掃)RX Mapping'!AX53&gt;=1,'(橫掃)RX Mapping'!AX53&lt;=120), ('(橫掃)RX Mapping'!AX53-1),IF(AND('(橫掃)RX Mapping'!AX53&gt;=121,'(橫掃)RX Mapping'!AX53&lt;=240), (-1)*('(橫掃)RX Mapping'!AX53-240),IF(AND('(橫掃)RX Mapping'!AX53&gt;=241,'(橫掃)RX Mapping'!AX53&lt;=360), ('(橫掃)RX Mapping'!AX53-241),IF(AND('(橫掃)RX Mapping'!AX53&gt;=361,'(橫掃)RX Mapping'!AX53&lt;=480), (-1)*('(橫掃)RX Mapping'!AX53-480),IF(AND('(橫掃)RX Mapping'!AX53&gt;=481,'(橫掃)RX Mapping'!AX53&lt;=600), ('(橫掃)RX Mapping'!AX53-361),IF(AND('(橫掃)RX Mapping'!AX53&gt;=601,'(橫掃)RX Mapping'!AX53&lt;=720), (-1)*('(橫掃)RX Mapping'!AX53-720)+120,IF(AND('(橫掃)RX Mapping'!AX53&gt;=721,'(橫掃)RX Mapping'!AX53&lt;=840), ('(橫掃)RX Mapping'!AX53-601),IF(AND('(橫掃)RX Mapping'!AX53&gt;=841,'(橫掃)RX Mapping'!AX53&lt;=960), (-1)*('(橫掃)RX Mapping'!AX53-960)+120,9999))))))))</f>
        <v>9999</v>
      </c>
      <c r="AY53">
        <f>IF(AND('(橫掃)RX Mapping'!AY53&gt;=1,'(橫掃)RX Mapping'!AY53&lt;=120), ('(橫掃)RX Mapping'!AY53-1),IF(AND('(橫掃)RX Mapping'!AY53&gt;=121,'(橫掃)RX Mapping'!AY53&lt;=240), (-1)*('(橫掃)RX Mapping'!AY53-240),IF(AND('(橫掃)RX Mapping'!AY53&gt;=241,'(橫掃)RX Mapping'!AY53&lt;=360), ('(橫掃)RX Mapping'!AY53-241),IF(AND('(橫掃)RX Mapping'!AY53&gt;=361,'(橫掃)RX Mapping'!AY53&lt;=480), (-1)*('(橫掃)RX Mapping'!AY53-480),IF(AND('(橫掃)RX Mapping'!AY53&gt;=481,'(橫掃)RX Mapping'!AY53&lt;=600), ('(橫掃)RX Mapping'!AY53-361),IF(AND('(橫掃)RX Mapping'!AY53&gt;=601,'(橫掃)RX Mapping'!AY53&lt;=720), (-1)*('(橫掃)RX Mapping'!AY53-720)+120,IF(AND('(橫掃)RX Mapping'!AY53&gt;=721,'(橫掃)RX Mapping'!AY53&lt;=840), ('(橫掃)RX Mapping'!AY53-601),IF(AND('(橫掃)RX Mapping'!AY53&gt;=841,'(橫掃)RX Mapping'!AY53&lt;=960), (-1)*('(橫掃)RX Mapping'!AY53-960)+120,9999))))))))</f>
        <v>9999</v>
      </c>
      <c r="AZ53">
        <f>IF(AND('(橫掃)RX Mapping'!AZ53&gt;=1,'(橫掃)RX Mapping'!AZ53&lt;=120), ('(橫掃)RX Mapping'!AZ53-1),IF(AND('(橫掃)RX Mapping'!AZ53&gt;=121,'(橫掃)RX Mapping'!AZ53&lt;=240), (-1)*('(橫掃)RX Mapping'!AZ53-240),IF(AND('(橫掃)RX Mapping'!AZ53&gt;=241,'(橫掃)RX Mapping'!AZ53&lt;=360), ('(橫掃)RX Mapping'!AZ53-241),IF(AND('(橫掃)RX Mapping'!AZ53&gt;=361,'(橫掃)RX Mapping'!AZ53&lt;=480), (-1)*('(橫掃)RX Mapping'!AZ53-480),IF(AND('(橫掃)RX Mapping'!AZ53&gt;=481,'(橫掃)RX Mapping'!AZ53&lt;=600), ('(橫掃)RX Mapping'!AZ53-361),IF(AND('(橫掃)RX Mapping'!AZ53&gt;=601,'(橫掃)RX Mapping'!AZ53&lt;=720), (-1)*('(橫掃)RX Mapping'!AZ53-720)+120,IF(AND('(橫掃)RX Mapping'!AZ53&gt;=721,'(橫掃)RX Mapping'!AZ53&lt;=840), ('(橫掃)RX Mapping'!AZ53-601),IF(AND('(橫掃)RX Mapping'!AZ53&gt;=841,'(橫掃)RX Mapping'!AZ53&lt;=960), (-1)*('(橫掃)RX Mapping'!AZ53-960)+120,9999))))))))</f>
        <v>9999</v>
      </c>
      <c r="BA53">
        <f>IF(AND('(橫掃)RX Mapping'!BA53&gt;=1,'(橫掃)RX Mapping'!BA53&lt;=120), ('(橫掃)RX Mapping'!BA53-1),IF(AND('(橫掃)RX Mapping'!BA53&gt;=121,'(橫掃)RX Mapping'!BA53&lt;=240), (-1)*('(橫掃)RX Mapping'!BA53-240),IF(AND('(橫掃)RX Mapping'!BA53&gt;=241,'(橫掃)RX Mapping'!BA53&lt;=360), ('(橫掃)RX Mapping'!BA53-241),IF(AND('(橫掃)RX Mapping'!BA53&gt;=361,'(橫掃)RX Mapping'!BA53&lt;=480), (-1)*('(橫掃)RX Mapping'!BA53-480),IF(AND('(橫掃)RX Mapping'!BA53&gt;=481,'(橫掃)RX Mapping'!BA53&lt;=600), ('(橫掃)RX Mapping'!BA53-361),IF(AND('(橫掃)RX Mapping'!BA53&gt;=601,'(橫掃)RX Mapping'!BA53&lt;=720), (-1)*('(橫掃)RX Mapping'!BA53-720)+120,IF(AND('(橫掃)RX Mapping'!BA53&gt;=721,'(橫掃)RX Mapping'!BA53&lt;=840), ('(橫掃)RX Mapping'!BA53-601),IF(AND('(橫掃)RX Mapping'!BA53&gt;=841,'(橫掃)RX Mapping'!BA53&lt;=960), (-1)*('(橫掃)RX Mapping'!BA53-960)+120,9999))))))))</f>
        <v>9999</v>
      </c>
      <c r="BB53">
        <f>IF(AND('(橫掃)RX Mapping'!BB53&gt;=1,'(橫掃)RX Mapping'!BB53&lt;=120), ('(橫掃)RX Mapping'!BB53-1),IF(AND('(橫掃)RX Mapping'!BB53&gt;=121,'(橫掃)RX Mapping'!BB53&lt;=240), (-1)*('(橫掃)RX Mapping'!BB53-240),IF(AND('(橫掃)RX Mapping'!BB53&gt;=241,'(橫掃)RX Mapping'!BB53&lt;=360), ('(橫掃)RX Mapping'!BB53-241),IF(AND('(橫掃)RX Mapping'!BB53&gt;=361,'(橫掃)RX Mapping'!BB53&lt;=480), (-1)*('(橫掃)RX Mapping'!BB53-480),IF(AND('(橫掃)RX Mapping'!BB53&gt;=481,'(橫掃)RX Mapping'!BB53&lt;=600), ('(橫掃)RX Mapping'!BB53-361),IF(AND('(橫掃)RX Mapping'!BB53&gt;=601,'(橫掃)RX Mapping'!BB53&lt;=720), (-1)*('(橫掃)RX Mapping'!BB53-720)+120,IF(AND('(橫掃)RX Mapping'!BB53&gt;=721,'(橫掃)RX Mapping'!BB53&lt;=840), ('(橫掃)RX Mapping'!BB53-601),IF(AND('(橫掃)RX Mapping'!BB53&gt;=841,'(橫掃)RX Mapping'!BB53&lt;=960), (-1)*('(橫掃)RX Mapping'!BB53-960)+120,9999))))))))</f>
        <v>9999</v>
      </c>
      <c r="BC53">
        <f>IF(AND('(橫掃)RX Mapping'!BC53&gt;=1,'(橫掃)RX Mapping'!BC53&lt;=120), ('(橫掃)RX Mapping'!BC53-1),IF(AND('(橫掃)RX Mapping'!BC53&gt;=121,'(橫掃)RX Mapping'!BC53&lt;=240), (-1)*('(橫掃)RX Mapping'!BC53-240),IF(AND('(橫掃)RX Mapping'!BC53&gt;=241,'(橫掃)RX Mapping'!BC53&lt;=360), ('(橫掃)RX Mapping'!BC53-241),IF(AND('(橫掃)RX Mapping'!BC53&gt;=361,'(橫掃)RX Mapping'!BC53&lt;=480), (-1)*('(橫掃)RX Mapping'!BC53-480),IF(AND('(橫掃)RX Mapping'!BC53&gt;=481,'(橫掃)RX Mapping'!BC53&lt;=600), ('(橫掃)RX Mapping'!BC53-361),IF(AND('(橫掃)RX Mapping'!BC53&gt;=601,'(橫掃)RX Mapping'!BC53&lt;=720), (-1)*('(橫掃)RX Mapping'!BC53-720)+120,IF(AND('(橫掃)RX Mapping'!BC53&gt;=721,'(橫掃)RX Mapping'!BC53&lt;=840), ('(橫掃)RX Mapping'!BC53-601),IF(AND('(橫掃)RX Mapping'!BC53&gt;=841,'(橫掃)RX Mapping'!BC53&lt;=960), (-1)*('(橫掃)RX Mapping'!BC53-960)+120,9999))))))))</f>
        <v>9999</v>
      </c>
      <c r="BD53">
        <f>IF(AND('(橫掃)RX Mapping'!BD53&gt;=1,'(橫掃)RX Mapping'!BD53&lt;=120), ('(橫掃)RX Mapping'!BD53-1),IF(AND('(橫掃)RX Mapping'!BD53&gt;=121,'(橫掃)RX Mapping'!BD53&lt;=240), (-1)*('(橫掃)RX Mapping'!BD53-240),IF(AND('(橫掃)RX Mapping'!BD53&gt;=241,'(橫掃)RX Mapping'!BD53&lt;=360), ('(橫掃)RX Mapping'!BD53-241),IF(AND('(橫掃)RX Mapping'!BD53&gt;=361,'(橫掃)RX Mapping'!BD53&lt;=480), (-1)*('(橫掃)RX Mapping'!BD53-480),IF(AND('(橫掃)RX Mapping'!BD53&gt;=481,'(橫掃)RX Mapping'!BD53&lt;=600), ('(橫掃)RX Mapping'!BD53-361),IF(AND('(橫掃)RX Mapping'!BD53&gt;=601,'(橫掃)RX Mapping'!BD53&lt;=720), (-1)*('(橫掃)RX Mapping'!BD53-720)+120,IF(AND('(橫掃)RX Mapping'!BD53&gt;=721,'(橫掃)RX Mapping'!BD53&lt;=840), ('(橫掃)RX Mapping'!BD53-601),IF(AND('(橫掃)RX Mapping'!BD53&gt;=841,'(橫掃)RX Mapping'!BD53&lt;=960), (-1)*('(橫掃)RX Mapping'!BD53-960)+120,9999))))))))</f>
        <v>9999</v>
      </c>
      <c r="BE53">
        <f>IF(AND('(橫掃)RX Mapping'!BE53&gt;=1,'(橫掃)RX Mapping'!BE53&lt;=120), ('(橫掃)RX Mapping'!BE53-1),IF(AND('(橫掃)RX Mapping'!BE53&gt;=121,'(橫掃)RX Mapping'!BE53&lt;=240), (-1)*('(橫掃)RX Mapping'!BE53-240),IF(AND('(橫掃)RX Mapping'!BE53&gt;=241,'(橫掃)RX Mapping'!BE53&lt;=360), ('(橫掃)RX Mapping'!BE53-241),IF(AND('(橫掃)RX Mapping'!BE53&gt;=361,'(橫掃)RX Mapping'!BE53&lt;=480), (-1)*('(橫掃)RX Mapping'!BE53-480),IF(AND('(橫掃)RX Mapping'!BE53&gt;=481,'(橫掃)RX Mapping'!BE53&lt;=600), ('(橫掃)RX Mapping'!BE53-361),IF(AND('(橫掃)RX Mapping'!BE53&gt;=601,'(橫掃)RX Mapping'!BE53&lt;=720), (-1)*('(橫掃)RX Mapping'!BE53-720)+120,IF(AND('(橫掃)RX Mapping'!BE53&gt;=721,'(橫掃)RX Mapping'!BE53&lt;=840), ('(橫掃)RX Mapping'!BE53-601),IF(AND('(橫掃)RX Mapping'!BE53&gt;=841,'(橫掃)RX Mapping'!BE53&lt;=960), (-1)*('(橫掃)RX Mapping'!BE53-960)+120,9999))))))))</f>
        <v>9999</v>
      </c>
      <c r="BF53">
        <f>IF(AND('(橫掃)RX Mapping'!BF53&gt;=1,'(橫掃)RX Mapping'!BF53&lt;=120), ('(橫掃)RX Mapping'!BF53-1),IF(AND('(橫掃)RX Mapping'!BF53&gt;=121,'(橫掃)RX Mapping'!BF53&lt;=240), (-1)*('(橫掃)RX Mapping'!BF53-240),IF(AND('(橫掃)RX Mapping'!BF53&gt;=241,'(橫掃)RX Mapping'!BF53&lt;=360), ('(橫掃)RX Mapping'!BF53-241),IF(AND('(橫掃)RX Mapping'!BF53&gt;=361,'(橫掃)RX Mapping'!BF53&lt;=480), (-1)*('(橫掃)RX Mapping'!BF53-480),IF(AND('(橫掃)RX Mapping'!BF53&gt;=481,'(橫掃)RX Mapping'!BF53&lt;=600), ('(橫掃)RX Mapping'!BF53-361),IF(AND('(橫掃)RX Mapping'!BF53&gt;=601,'(橫掃)RX Mapping'!BF53&lt;=720), (-1)*('(橫掃)RX Mapping'!BF53-720)+120,IF(AND('(橫掃)RX Mapping'!BF53&gt;=721,'(橫掃)RX Mapping'!BF53&lt;=840), ('(橫掃)RX Mapping'!BF53-601),IF(AND('(橫掃)RX Mapping'!BF53&gt;=841,'(橫掃)RX Mapping'!BF53&lt;=960), (-1)*('(橫掃)RX Mapping'!BF53-960)+120,9999))))))))</f>
        <v>9999</v>
      </c>
      <c r="BG53">
        <f>IF(AND('(橫掃)RX Mapping'!BG53&gt;=1,'(橫掃)RX Mapping'!BG53&lt;=120), ('(橫掃)RX Mapping'!BG53-1),IF(AND('(橫掃)RX Mapping'!BG53&gt;=121,'(橫掃)RX Mapping'!BG53&lt;=240), (-1)*('(橫掃)RX Mapping'!BG53-240),IF(AND('(橫掃)RX Mapping'!BG53&gt;=241,'(橫掃)RX Mapping'!BG53&lt;=360), ('(橫掃)RX Mapping'!BG53-241),IF(AND('(橫掃)RX Mapping'!BG53&gt;=361,'(橫掃)RX Mapping'!BG53&lt;=480), (-1)*('(橫掃)RX Mapping'!BG53-480),IF(AND('(橫掃)RX Mapping'!BG53&gt;=481,'(橫掃)RX Mapping'!BG53&lt;=600), ('(橫掃)RX Mapping'!BG53-361),IF(AND('(橫掃)RX Mapping'!BG53&gt;=601,'(橫掃)RX Mapping'!BG53&lt;=720), (-1)*('(橫掃)RX Mapping'!BG53-720)+120,IF(AND('(橫掃)RX Mapping'!BG53&gt;=721,'(橫掃)RX Mapping'!BG53&lt;=840), ('(橫掃)RX Mapping'!BG53-601),IF(AND('(橫掃)RX Mapping'!BG53&gt;=841,'(橫掃)RX Mapping'!BG53&lt;=960), (-1)*('(橫掃)RX Mapping'!BG53-960)+120,9999))))))))</f>
        <v>9999</v>
      </c>
      <c r="BH53">
        <f>IF(AND('(橫掃)RX Mapping'!BH53&gt;=1,'(橫掃)RX Mapping'!BH53&lt;=120), ('(橫掃)RX Mapping'!BH53-1),IF(AND('(橫掃)RX Mapping'!BH53&gt;=121,'(橫掃)RX Mapping'!BH53&lt;=240), (-1)*('(橫掃)RX Mapping'!BH53-240),IF(AND('(橫掃)RX Mapping'!BH53&gt;=241,'(橫掃)RX Mapping'!BH53&lt;=360), ('(橫掃)RX Mapping'!BH53-241),IF(AND('(橫掃)RX Mapping'!BH53&gt;=361,'(橫掃)RX Mapping'!BH53&lt;=480), (-1)*('(橫掃)RX Mapping'!BH53-480),IF(AND('(橫掃)RX Mapping'!BH53&gt;=481,'(橫掃)RX Mapping'!BH53&lt;=600), ('(橫掃)RX Mapping'!BH53-361),IF(AND('(橫掃)RX Mapping'!BH53&gt;=601,'(橫掃)RX Mapping'!BH53&lt;=720), (-1)*('(橫掃)RX Mapping'!BH53-720)+120,IF(AND('(橫掃)RX Mapping'!BH53&gt;=721,'(橫掃)RX Mapping'!BH53&lt;=840), ('(橫掃)RX Mapping'!BH53-601),IF(AND('(橫掃)RX Mapping'!BH53&gt;=841,'(橫掃)RX Mapping'!BH53&lt;=960), (-1)*('(橫掃)RX Mapping'!BH53-960)+120,9999))))))))</f>
        <v>9999</v>
      </c>
      <c r="BI53">
        <f>IF(AND('(橫掃)RX Mapping'!BI53&gt;=1,'(橫掃)RX Mapping'!BI53&lt;=120), ('(橫掃)RX Mapping'!BI53-1),IF(AND('(橫掃)RX Mapping'!BI53&gt;=121,'(橫掃)RX Mapping'!BI53&lt;=240), (-1)*('(橫掃)RX Mapping'!BI53-240),IF(AND('(橫掃)RX Mapping'!BI53&gt;=241,'(橫掃)RX Mapping'!BI53&lt;=360), ('(橫掃)RX Mapping'!BI53-241),IF(AND('(橫掃)RX Mapping'!BI53&gt;=361,'(橫掃)RX Mapping'!BI53&lt;=480), (-1)*('(橫掃)RX Mapping'!BI53-480),IF(AND('(橫掃)RX Mapping'!BI53&gt;=481,'(橫掃)RX Mapping'!BI53&lt;=600), ('(橫掃)RX Mapping'!BI53-361),IF(AND('(橫掃)RX Mapping'!BI53&gt;=601,'(橫掃)RX Mapping'!BI53&lt;=720), (-1)*('(橫掃)RX Mapping'!BI53-720)+120,IF(AND('(橫掃)RX Mapping'!BI53&gt;=721,'(橫掃)RX Mapping'!BI53&lt;=840), ('(橫掃)RX Mapping'!BI53-601),IF(AND('(橫掃)RX Mapping'!BI53&gt;=841,'(橫掃)RX Mapping'!BI53&lt;=960), (-1)*('(橫掃)RX Mapping'!BI53-960)+120,9999))))))))</f>
        <v>9999</v>
      </c>
    </row>
    <row r="54" spans="1:61" x14ac:dyDescent="0.25">
      <c r="A54" s="20">
        <v>53</v>
      </c>
      <c r="B54">
        <f>IF(AND('(橫掃)RX Mapping'!B54&gt;=1,'(橫掃)RX Mapping'!B54&lt;=120), ('(橫掃)RX Mapping'!B54-1),IF(AND('(橫掃)RX Mapping'!B54&gt;=121,'(橫掃)RX Mapping'!B54&lt;=240), (-1)*('(橫掃)RX Mapping'!B54-240),IF(AND('(橫掃)RX Mapping'!B54&gt;=241,'(橫掃)RX Mapping'!B54&lt;=360), ('(橫掃)RX Mapping'!B54-241),IF(AND('(橫掃)RX Mapping'!B54&gt;=361,'(橫掃)RX Mapping'!B54&lt;=480), (-1)*('(橫掃)RX Mapping'!B54-480),IF(AND('(橫掃)RX Mapping'!B54&gt;=481,'(橫掃)RX Mapping'!B54&lt;=600), ('(橫掃)RX Mapping'!B54-361),IF(AND('(橫掃)RX Mapping'!B54&gt;=601,'(橫掃)RX Mapping'!B54&lt;=720), (-1)*('(橫掃)RX Mapping'!B54-720)+120,IF(AND('(橫掃)RX Mapping'!B54&gt;=721,'(橫掃)RX Mapping'!B54&lt;=840), ('(橫掃)RX Mapping'!B54-601),IF(AND('(橫掃)RX Mapping'!B54&gt;=841,'(橫掃)RX Mapping'!B54&lt;=960), (-1)*('(橫掃)RX Mapping'!B54-960)+120,9999))))))))</f>
        <v>9999</v>
      </c>
      <c r="C54">
        <f>IF(AND('(橫掃)RX Mapping'!C54&gt;=1,'(橫掃)RX Mapping'!C54&lt;=120), ('(橫掃)RX Mapping'!C54-1),IF(AND('(橫掃)RX Mapping'!C54&gt;=121,'(橫掃)RX Mapping'!C54&lt;=240), (-1)*('(橫掃)RX Mapping'!C54-240),IF(AND('(橫掃)RX Mapping'!C54&gt;=241,'(橫掃)RX Mapping'!C54&lt;=360), ('(橫掃)RX Mapping'!C54-241),IF(AND('(橫掃)RX Mapping'!C54&gt;=361,'(橫掃)RX Mapping'!C54&lt;=480), (-1)*('(橫掃)RX Mapping'!C54-480),IF(AND('(橫掃)RX Mapping'!C54&gt;=481,'(橫掃)RX Mapping'!C54&lt;=600), ('(橫掃)RX Mapping'!C54-361),IF(AND('(橫掃)RX Mapping'!C54&gt;=601,'(橫掃)RX Mapping'!C54&lt;=720), (-1)*('(橫掃)RX Mapping'!C54-720)+120,IF(AND('(橫掃)RX Mapping'!C54&gt;=721,'(橫掃)RX Mapping'!C54&lt;=840), ('(橫掃)RX Mapping'!C54-601),IF(AND('(橫掃)RX Mapping'!C54&gt;=841,'(橫掃)RX Mapping'!C54&lt;=960), (-1)*('(橫掃)RX Mapping'!C54-960)+120,9999))))))))</f>
        <v>9999</v>
      </c>
      <c r="D54">
        <f>IF(AND('(橫掃)RX Mapping'!D54&gt;=1,'(橫掃)RX Mapping'!D54&lt;=120), ('(橫掃)RX Mapping'!D54-1),IF(AND('(橫掃)RX Mapping'!D54&gt;=121,'(橫掃)RX Mapping'!D54&lt;=240), (-1)*('(橫掃)RX Mapping'!D54-240),IF(AND('(橫掃)RX Mapping'!D54&gt;=241,'(橫掃)RX Mapping'!D54&lt;=360), ('(橫掃)RX Mapping'!D54-241),IF(AND('(橫掃)RX Mapping'!D54&gt;=361,'(橫掃)RX Mapping'!D54&lt;=480), (-1)*('(橫掃)RX Mapping'!D54-480),IF(AND('(橫掃)RX Mapping'!D54&gt;=481,'(橫掃)RX Mapping'!D54&lt;=600), ('(橫掃)RX Mapping'!D54-361),IF(AND('(橫掃)RX Mapping'!D54&gt;=601,'(橫掃)RX Mapping'!D54&lt;=720), (-1)*('(橫掃)RX Mapping'!D54-720)+120,IF(AND('(橫掃)RX Mapping'!D54&gt;=721,'(橫掃)RX Mapping'!D54&lt;=840), ('(橫掃)RX Mapping'!D54-601),IF(AND('(橫掃)RX Mapping'!D54&gt;=841,'(橫掃)RX Mapping'!D54&lt;=960), (-1)*('(橫掃)RX Mapping'!D54-960)+120,9999))))))))</f>
        <v>9999</v>
      </c>
      <c r="E54">
        <f>IF(AND('(橫掃)RX Mapping'!E54&gt;=1,'(橫掃)RX Mapping'!E54&lt;=120), ('(橫掃)RX Mapping'!E54-1),IF(AND('(橫掃)RX Mapping'!E54&gt;=121,'(橫掃)RX Mapping'!E54&lt;=240), (-1)*('(橫掃)RX Mapping'!E54-240),IF(AND('(橫掃)RX Mapping'!E54&gt;=241,'(橫掃)RX Mapping'!E54&lt;=360), ('(橫掃)RX Mapping'!E54-241),IF(AND('(橫掃)RX Mapping'!E54&gt;=361,'(橫掃)RX Mapping'!E54&lt;=480), (-1)*('(橫掃)RX Mapping'!E54-480),IF(AND('(橫掃)RX Mapping'!E54&gt;=481,'(橫掃)RX Mapping'!E54&lt;=600), ('(橫掃)RX Mapping'!E54-361),IF(AND('(橫掃)RX Mapping'!E54&gt;=601,'(橫掃)RX Mapping'!E54&lt;=720), (-1)*('(橫掃)RX Mapping'!E54-720)+120,IF(AND('(橫掃)RX Mapping'!E54&gt;=721,'(橫掃)RX Mapping'!E54&lt;=840), ('(橫掃)RX Mapping'!E54-601),IF(AND('(橫掃)RX Mapping'!E54&gt;=841,'(橫掃)RX Mapping'!E54&lt;=960), (-1)*('(橫掃)RX Mapping'!E54-960)+120,9999))))))))</f>
        <v>9999</v>
      </c>
      <c r="F54">
        <f>IF(AND('(橫掃)RX Mapping'!F54&gt;=1,'(橫掃)RX Mapping'!F54&lt;=120), ('(橫掃)RX Mapping'!F54-1),IF(AND('(橫掃)RX Mapping'!F54&gt;=121,'(橫掃)RX Mapping'!F54&lt;=240), (-1)*('(橫掃)RX Mapping'!F54-240),IF(AND('(橫掃)RX Mapping'!F54&gt;=241,'(橫掃)RX Mapping'!F54&lt;=360), ('(橫掃)RX Mapping'!F54-241),IF(AND('(橫掃)RX Mapping'!F54&gt;=361,'(橫掃)RX Mapping'!F54&lt;=480), (-1)*('(橫掃)RX Mapping'!F54-480),IF(AND('(橫掃)RX Mapping'!F54&gt;=481,'(橫掃)RX Mapping'!F54&lt;=600), ('(橫掃)RX Mapping'!F54-361),IF(AND('(橫掃)RX Mapping'!F54&gt;=601,'(橫掃)RX Mapping'!F54&lt;=720), (-1)*('(橫掃)RX Mapping'!F54-720)+120,IF(AND('(橫掃)RX Mapping'!F54&gt;=721,'(橫掃)RX Mapping'!F54&lt;=840), ('(橫掃)RX Mapping'!F54-601),IF(AND('(橫掃)RX Mapping'!F54&gt;=841,'(橫掃)RX Mapping'!F54&lt;=960), (-1)*('(橫掃)RX Mapping'!F54-960)+120,9999))))))))</f>
        <v>9999</v>
      </c>
      <c r="G54">
        <f>IF(AND('(橫掃)RX Mapping'!G54&gt;=1,'(橫掃)RX Mapping'!G54&lt;=120), ('(橫掃)RX Mapping'!G54-1),IF(AND('(橫掃)RX Mapping'!G54&gt;=121,'(橫掃)RX Mapping'!G54&lt;=240), (-1)*('(橫掃)RX Mapping'!G54-240),IF(AND('(橫掃)RX Mapping'!G54&gt;=241,'(橫掃)RX Mapping'!G54&lt;=360), ('(橫掃)RX Mapping'!G54-241),IF(AND('(橫掃)RX Mapping'!G54&gt;=361,'(橫掃)RX Mapping'!G54&lt;=480), (-1)*('(橫掃)RX Mapping'!G54-480),IF(AND('(橫掃)RX Mapping'!G54&gt;=481,'(橫掃)RX Mapping'!G54&lt;=600), ('(橫掃)RX Mapping'!G54-361),IF(AND('(橫掃)RX Mapping'!G54&gt;=601,'(橫掃)RX Mapping'!G54&lt;=720), (-1)*('(橫掃)RX Mapping'!G54-720)+120,IF(AND('(橫掃)RX Mapping'!G54&gt;=721,'(橫掃)RX Mapping'!G54&lt;=840), ('(橫掃)RX Mapping'!G54-601),IF(AND('(橫掃)RX Mapping'!G54&gt;=841,'(橫掃)RX Mapping'!G54&lt;=960), (-1)*('(橫掃)RX Mapping'!G54-960)+120,9999))))))))</f>
        <v>9999</v>
      </c>
      <c r="H54">
        <f>IF(AND('(橫掃)RX Mapping'!H54&gt;=1,'(橫掃)RX Mapping'!H54&lt;=120), ('(橫掃)RX Mapping'!H54-1),IF(AND('(橫掃)RX Mapping'!H54&gt;=121,'(橫掃)RX Mapping'!H54&lt;=240), (-1)*('(橫掃)RX Mapping'!H54-240),IF(AND('(橫掃)RX Mapping'!H54&gt;=241,'(橫掃)RX Mapping'!H54&lt;=360), ('(橫掃)RX Mapping'!H54-241),IF(AND('(橫掃)RX Mapping'!H54&gt;=361,'(橫掃)RX Mapping'!H54&lt;=480), (-1)*('(橫掃)RX Mapping'!H54-480),IF(AND('(橫掃)RX Mapping'!H54&gt;=481,'(橫掃)RX Mapping'!H54&lt;=600), ('(橫掃)RX Mapping'!H54-361),IF(AND('(橫掃)RX Mapping'!H54&gt;=601,'(橫掃)RX Mapping'!H54&lt;=720), (-1)*('(橫掃)RX Mapping'!H54-720)+120,IF(AND('(橫掃)RX Mapping'!H54&gt;=721,'(橫掃)RX Mapping'!H54&lt;=840), ('(橫掃)RX Mapping'!H54-601),IF(AND('(橫掃)RX Mapping'!H54&gt;=841,'(橫掃)RX Mapping'!H54&lt;=960), (-1)*('(橫掃)RX Mapping'!H54-960)+120,9999))))))))</f>
        <v>9999</v>
      </c>
      <c r="I54">
        <f>IF(AND('(橫掃)RX Mapping'!I54&gt;=1,'(橫掃)RX Mapping'!I54&lt;=120), ('(橫掃)RX Mapping'!I54-1),IF(AND('(橫掃)RX Mapping'!I54&gt;=121,'(橫掃)RX Mapping'!I54&lt;=240), (-1)*('(橫掃)RX Mapping'!I54-240),IF(AND('(橫掃)RX Mapping'!I54&gt;=241,'(橫掃)RX Mapping'!I54&lt;=360), ('(橫掃)RX Mapping'!I54-241),IF(AND('(橫掃)RX Mapping'!I54&gt;=361,'(橫掃)RX Mapping'!I54&lt;=480), (-1)*('(橫掃)RX Mapping'!I54-480),IF(AND('(橫掃)RX Mapping'!I54&gt;=481,'(橫掃)RX Mapping'!I54&lt;=600), ('(橫掃)RX Mapping'!I54-361),IF(AND('(橫掃)RX Mapping'!I54&gt;=601,'(橫掃)RX Mapping'!I54&lt;=720), (-1)*('(橫掃)RX Mapping'!I54-720)+120,IF(AND('(橫掃)RX Mapping'!I54&gt;=721,'(橫掃)RX Mapping'!I54&lt;=840), ('(橫掃)RX Mapping'!I54-601),IF(AND('(橫掃)RX Mapping'!I54&gt;=841,'(橫掃)RX Mapping'!I54&lt;=960), (-1)*('(橫掃)RX Mapping'!I54-960)+120,9999))))))))</f>
        <v>9999</v>
      </c>
      <c r="J54">
        <f>IF(AND('(橫掃)RX Mapping'!J54&gt;=1,'(橫掃)RX Mapping'!J54&lt;=120), ('(橫掃)RX Mapping'!J54-1),IF(AND('(橫掃)RX Mapping'!J54&gt;=121,'(橫掃)RX Mapping'!J54&lt;=240), (-1)*('(橫掃)RX Mapping'!J54-240),IF(AND('(橫掃)RX Mapping'!J54&gt;=241,'(橫掃)RX Mapping'!J54&lt;=360), ('(橫掃)RX Mapping'!J54-241),IF(AND('(橫掃)RX Mapping'!J54&gt;=361,'(橫掃)RX Mapping'!J54&lt;=480), (-1)*('(橫掃)RX Mapping'!J54-480),IF(AND('(橫掃)RX Mapping'!J54&gt;=481,'(橫掃)RX Mapping'!J54&lt;=600), ('(橫掃)RX Mapping'!J54-361),IF(AND('(橫掃)RX Mapping'!J54&gt;=601,'(橫掃)RX Mapping'!J54&lt;=720), (-1)*('(橫掃)RX Mapping'!J54-720)+120,IF(AND('(橫掃)RX Mapping'!J54&gt;=721,'(橫掃)RX Mapping'!J54&lt;=840), ('(橫掃)RX Mapping'!J54-601),IF(AND('(橫掃)RX Mapping'!J54&gt;=841,'(橫掃)RX Mapping'!J54&lt;=960), (-1)*('(橫掃)RX Mapping'!J54-960)+120,9999))))))))</f>
        <v>9999</v>
      </c>
      <c r="K54">
        <f>IF(AND('(橫掃)RX Mapping'!K54&gt;=1,'(橫掃)RX Mapping'!K54&lt;=120), ('(橫掃)RX Mapping'!K54-1),IF(AND('(橫掃)RX Mapping'!K54&gt;=121,'(橫掃)RX Mapping'!K54&lt;=240), (-1)*('(橫掃)RX Mapping'!K54-240),IF(AND('(橫掃)RX Mapping'!K54&gt;=241,'(橫掃)RX Mapping'!K54&lt;=360), ('(橫掃)RX Mapping'!K54-241),IF(AND('(橫掃)RX Mapping'!K54&gt;=361,'(橫掃)RX Mapping'!K54&lt;=480), (-1)*('(橫掃)RX Mapping'!K54-480),IF(AND('(橫掃)RX Mapping'!K54&gt;=481,'(橫掃)RX Mapping'!K54&lt;=600), ('(橫掃)RX Mapping'!K54-361),IF(AND('(橫掃)RX Mapping'!K54&gt;=601,'(橫掃)RX Mapping'!K54&lt;=720), (-1)*('(橫掃)RX Mapping'!K54-720)+120,IF(AND('(橫掃)RX Mapping'!K54&gt;=721,'(橫掃)RX Mapping'!K54&lt;=840), ('(橫掃)RX Mapping'!K54-601),IF(AND('(橫掃)RX Mapping'!K54&gt;=841,'(橫掃)RX Mapping'!K54&lt;=960), (-1)*('(橫掃)RX Mapping'!K54-960)+120,9999))))))))</f>
        <v>9999</v>
      </c>
      <c r="L54">
        <f>IF(AND('(橫掃)RX Mapping'!L54&gt;=1,'(橫掃)RX Mapping'!L54&lt;=120), ('(橫掃)RX Mapping'!L54-1),IF(AND('(橫掃)RX Mapping'!L54&gt;=121,'(橫掃)RX Mapping'!L54&lt;=240), (-1)*('(橫掃)RX Mapping'!L54-240),IF(AND('(橫掃)RX Mapping'!L54&gt;=241,'(橫掃)RX Mapping'!L54&lt;=360), ('(橫掃)RX Mapping'!L54-241),IF(AND('(橫掃)RX Mapping'!L54&gt;=361,'(橫掃)RX Mapping'!L54&lt;=480), (-1)*('(橫掃)RX Mapping'!L54-480),IF(AND('(橫掃)RX Mapping'!L54&gt;=481,'(橫掃)RX Mapping'!L54&lt;=600), ('(橫掃)RX Mapping'!L54-361),IF(AND('(橫掃)RX Mapping'!L54&gt;=601,'(橫掃)RX Mapping'!L54&lt;=720), (-1)*('(橫掃)RX Mapping'!L54-720)+120,IF(AND('(橫掃)RX Mapping'!L54&gt;=721,'(橫掃)RX Mapping'!L54&lt;=840), ('(橫掃)RX Mapping'!L54-601),IF(AND('(橫掃)RX Mapping'!L54&gt;=841,'(橫掃)RX Mapping'!L54&lt;=960), (-1)*('(橫掃)RX Mapping'!L54-960)+120,9999))))))))</f>
        <v>9999</v>
      </c>
      <c r="M54">
        <f>IF(AND('(橫掃)RX Mapping'!M54&gt;=1,'(橫掃)RX Mapping'!M54&lt;=120), ('(橫掃)RX Mapping'!M54-1),IF(AND('(橫掃)RX Mapping'!M54&gt;=121,'(橫掃)RX Mapping'!M54&lt;=240), (-1)*('(橫掃)RX Mapping'!M54-240),IF(AND('(橫掃)RX Mapping'!M54&gt;=241,'(橫掃)RX Mapping'!M54&lt;=360), ('(橫掃)RX Mapping'!M54-241),IF(AND('(橫掃)RX Mapping'!M54&gt;=361,'(橫掃)RX Mapping'!M54&lt;=480), (-1)*('(橫掃)RX Mapping'!M54-480),IF(AND('(橫掃)RX Mapping'!M54&gt;=481,'(橫掃)RX Mapping'!M54&lt;=600), ('(橫掃)RX Mapping'!M54-361),IF(AND('(橫掃)RX Mapping'!M54&gt;=601,'(橫掃)RX Mapping'!M54&lt;=720), (-1)*('(橫掃)RX Mapping'!M54-720)+120,IF(AND('(橫掃)RX Mapping'!M54&gt;=721,'(橫掃)RX Mapping'!M54&lt;=840), ('(橫掃)RX Mapping'!M54-601),IF(AND('(橫掃)RX Mapping'!M54&gt;=841,'(橫掃)RX Mapping'!M54&lt;=960), (-1)*('(橫掃)RX Mapping'!M54-960)+120,9999))))))))</f>
        <v>9999</v>
      </c>
      <c r="N54">
        <f>IF(AND('(橫掃)RX Mapping'!N54&gt;=1,'(橫掃)RX Mapping'!N54&lt;=120), ('(橫掃)RX Mapping'!N54-1),IF(AND('(橫掃)RX Mapping'!N54&gt;=121,'(橫掃)RX Mapping'!N54&lt;=240), (-1)*('(橫掃)RX Mapping'!N54-240),IF(AND('(橫掃)RX Mapping'!N54&gt;=241,'(橫掃)RX Mapping'!N54&lt;=360), ('(橫掃)RX Mapping'!N54-241),IF(AND('(橫掃)RX Mapping'!N54&gt;=361,'(橫掃)RX Mapping'!N54&lt;=480), (-1)*('(橫掃)RX Mapping'!N54-480),IF(AND('(橫掃)RX Mapping'!N54&gt;=481,'(橫掃)RX Mapping'!N54&lt;=600), ('(橫掃)RX Mapping'!N54-361),IF(AND('(橫掃)RX Mapping'!N54&gt;=601,'(橫掃)RX Mapping'!N54&lt;=720), (-1)*('(橫掃)RX Mapping'!N54-720)+120,IF(AND('(橫掃)RX Mapping'!N54&gt;=721,'(橫掃)RX Mapping'!N54&lt;=840), ('(橫掃)RX Mapping'!N54-601),IF(AND('(橫掃)RX Mapping'!N54&gt;=841,'(橫掃)RX Mapping'!N54&lt;=960), (-1)*('(橫掃)RX Mapping'!N54-960)+120,9999))))))))</f>
        <v>9999</v>
      </c>
      <c r="O54">
        <f>IF(AND('(橫掃)RX Mapping'!O54&gt;=1,'(橫掃)RX Mapping'!O54&lt;=120), ('(橫掃)RX Mapping'!O54-1),IF(AND('(橫掃)RX Mapping'!O54&gt;=121,'(橫掃)RX Mapping'!O54&lt;=240), (-1)*('(橫掃)RX Mapping'!O54-240),IF(AND('(橫掃)RX Mapping'!O54&gt;=241,'(橫掃)RX Mapping'!O54&lt;=360), ('(橫掃)RX Mapping'!O54-241),IF(AND('(橫掃)RX Mapping'!O54&gt;=361,'(橫掃)RX Mapping'!O54&lt;=480), (-1)*('(橫掃)RX Mapping'!O54-480),IF(AND('(橫掃)RX Mapping'!O54&gt;=481,'(橫掃)RX Mapping'!O54&lt;=600), ('(橫掃)RX Mapping'!O54-361),IF(AND('(橫掃)RX Mapping'!O54&gt;=601,'(橫掃)RX Mapping'!O54&lt;=720), (-1)*('(橫掃)RX Mapping'!O54-720)+120,IF(AND('(橫掃)RX Mapping'!O54&gt;=721,'(橫掃)RX Mapping'!O54&lt;=840), ('(橫掃)RX Mapping'!O54-601),IF(AND('(橫掃)RX Mapping'!O54&gt;=841,'(橫掃)RX Mapping'!O54&lt;=960), (-1)*('(橫掃)RX Mapping'!O54-960)+120,9999))))))))</f>
        <v>9999</v>
      </c>
      <c r="P54">
        <f>IF(AND('(橫掃)RX Mapping'!P54&gt;=1,'(橫掃)RX Mapping'!P54&lt;=120), ('(橫掃)RX Mapping'!P54-1),IF(AND('(橫掃)RX Mapping'!P54&gt;=121,'(橫掃)RX Mapping'!P54&lt;=240), (-1)*('(橫掃)RX Mapping'!P54-240),IF(AND('(橫掃)RX Mapping'!P54&gt;=241,'(橫掃)RX Mapping'!P54&lt;=360), ('(橫掃)RX Mapping'!P54-241),IF(AND('(橫掃)RX Mapping'!P54&gt;=361,'(橫掃)RX Mapping'!P54&lt;=480), (-1)*('(橫掃)RX Mapping'!P54-480),IF(AND('(橫掃)RX Mapping'!P54&gt;=481,'(橫掃)RX Mapping'!P54&lt;=600), ('(橫掃)RX Mapping'!P54-361),IF(AND('(橫掃)RX Mapping'!P54&gt;=601,'(橫掃)RX Mapping'!P54&lt;=720), (-1)*('(橫掃)RX Mapping'!P54-720)+120,IF(AND('(橫掃)RX Mapping'!P54&gt;=721,'(橫掃)RX Mapping'!P54&lt;=840), ('(橫掃)RX Mapping'!P54-601),IF(AND('(橫掃)RX Mapping'!P54&gt;=841,'(橫掃)RX Mapping'!P54&lt;=960), (-1)*('(橫掃)RX Mapping'!P54-960)+120,9999))))))))</f>
        <v>9999</v>
      </c>
      <c r="Q54">
        <f>IF(AND('(橫掃)RX Mapping'!Q54&gt;=1,'(橫掃)RX Mapping'!Q54&lt;=120), ('(橫掃)RX Mapping'!Q54-1),IF(AND('(橫掃)RX Mapping'!Q54&gt;=121,'(橫掃)RX Mapping'!Q54&lt;=240), (-1)*('(橫掃)RX Mapping'!Q54-240),IF(AND('(橫掃)RX Mapping'!Q54&gt;=241,'(橫掃)RX Mapping'!Q54&lt;=360), ('(橫掃)RX Mapping'!Q54-241),IF(AND('(橫掃)RX Mapping'!Q54&gt;=361,'(橫掃)RX Mapping'!Q54&lt;=480), (-1)*('(橫掃)RX Mapping'!Q54-480),IF(AND('(橫掃)RX Mapping'!Q54&gt;=481,'(橫掃)RX Mapping'!Q54&lt;=600), ('(橫掃)RX Mapping'!Q54-361),IF(AND('(橫掃)RX Mapping'!Q54&gt;=601,'(橫掃)RX Mapping'!Q54&lt;=720), (-1)*('(橫掃)RX Mapping'!Q54-720)+120,IF(AND('(橫掃)RX Mapping'!Q54&gt;=721,'(橫掃)RX Mapping'!Q54&lt;=840), ('(橫掃)RX Mapping'!Q54-601),IF(AND('(橫掃)RX Mapping'!Q54&gt;=841,'(橫掃)RX Mapping'!Q54&lt;=960), (-1)*('(橫掃)RX Mapping'!Q54-960)+120,9999))))))))</f>
        <v>9999</v>
      </c>
      <c r="R54">
        <f>IF(AND('(橫掃)RX Mapping'!R54&gt;=1,'(橫掃)RX Mapping'!R54&lt;=120), ('(橫掃)RX Mapping'!R54-1),IF(AND('(橫掃)RX Mapping'!R54&gt;=121,'(橫掃)RX Mapping'!R54&lt;=240), (-1)*('(橫掃)RX Mapping'!R54-240),IF(AND('(橫掃)RX Mapping'!R54&gt;=241,'(橫掃)RX Mapping'!R54&lt;=360), ('(橫掃)RX Mapping'!R54-241),IF(AND('(橫掃)RX Mapping'!R54&gt;=361,'(橫掃)RX Mapping'!R54&lt;=480), (-1)*('(橫掃)RX Mapping'!R54-480),IF(AND('(橫掃)RX Mapping'!R54&gt;=481,'(橫掃)RX Mapping'!R54&lt;=600), ('(橫掃)RX Mapping'!R54-361),IF(AND('(橫掃)RX Mapping'!R54&gt;=601,'(橫掃)RX Mapping'!R54&lt;=720), (-1)*('(橫掃)RX Mapping'!R54-720)+120,IF(AND('(橫掃)RX Mapping'!R54&gt;=721,'(橫掃)RX Mapping'!R54&lt;=840), ('(橫掃)RX Mapping'!R54-601),IF(AND('(橫掃)RX Mapping'!R54&gt;=841,'(橫掃)RX Mapping'!R54&lt;=960), (-1)*('(橫掃)RX Mapping'!R54-960)+120,9999))))))))</f>
        <v>9999</v>
      </c>
      <c r="S54">
        <f>IF(AND('(橫掃)RX Mapping'!S54&gt;=1,'(橫掃)RX Mapping'!S54&lt;=120), ('(橫掃)RX Mapping'!S54-1),IF(AND('(橫掃)RX Mapping'!S54&gt;=121,'(橫掃)RX Mapping'!S54&lt;=240), (-1)*('(橫掃)RX Mapping'!S54-240),IF(AND('(橫掃)RX Mapping'!S54&gt;=241,'(橫掃)RX Mapping'!S54&lt;=360), ('(橫掃)RX Mapping'!S54-241),IF(AND('(橫掃)RX Mapping'!S54&gt;=361,'(橫掃)RX Mapping'!S54&lt;=480), (-1)*('(橫掃)RX Mapping'!S54-480),IF(AND('(橫掃)RX Mapping'!S54&gt;=481,'(橫掃)RX Mapping'!S54&lt;=600), ('(橫掃)RX Mapping'!S54-361),IF(AND('(橫掃)RX Mapping'!S54&gt;=601,'(橫掃)RX Mapping'!S54&lt;=720), (-1)*('(橫掃)RX Mapping'!S54-720)+120,IF(AND('(橫掃)RX Mapping'!S54&gt;=721,'(橫掃)RX Mapping'!S54&lt;=840), ('(橫掃)RX Mapping'!S54-601),IF(AND('(橫掃)RX Mapping'!S54&gt;=841,'(橫掃)RX Mapping'!S54&lt;=960), (-1)*('(橫掃)RX Mapping'!S54-960)+120,9999))))))))</f>
        <v>9999</v>
      </c>
      <c r="T54">
        <f>IF(AND('(橫掃)RX Mapping'!T54&gt;=1,'(橫掃)RX Mapping'!T54&lt;=120), ('(橫掃)RX Mapping'!T54-1),IF(AND('(橫掃)RX Mapping'!T54&gt;=121,'(橫掃)RX Mapping'!T54&lt;=240), (-1)*('(橫掃)RX Mapping'!T54-240),IF(AND('(橫掃)RX Mapping'!T54&gt;=241,'(橫掃)RX Mapping'!T54&lt;=360), ('(橫掃)RX Mapping'!T54-241),IF(AND('(橫掃)RX Mapping'!T54&gt;=361,'(橫掃)RX Mapping'!T54&lt;=480), (-1)*('(橫掃)RX Mapping'!T54-480),IF(AND('(橫掃)RX Mapping'!T54&gt;=481,'(橫掃)RX Mapping'!T54&lt;=600), ('(橫掃)RX Mapping'!T54-361),IF(AND('(橫掃)RX Mapping'!T54&gt;=601,'(橫掃)RX Mapping'!T54&lt;=720), (-1)*('(橫掃)RX Mapping'!T54-720)+120,IF(AND('(橫掃)RX Mapping'!T54&gt;=721,'(橫掃)RX Mapping'!T54&lt;=840), ('(橫掃)RX Mapping'!T54-601),IF(AND('(橫掃)RX Mapping'!T54&gt;=841,'(橫掃)RX Mapping'!T54&lt;=960), (-1)*('(橫掃)RX Mapping'!T54-960)+120,9999))))))))</f>
        <v>9999</v>
      </c>
      <c r="U54">
        <f>IF(AND('(橫掃)RX Mapping'!U54&gt;=1,'(橫掃)RX Mapping'!U54&lt;=120), ('(橫掃)RX Mapping'!U54-1),IF(AND('(橫掃)RX Mapping'!U54&gt;=121,'(橫掃)RX Mapping'!U54&lt;=240), (-1)*('(橫掃)RX Mapping'!U54-240),IF(AND('(橫掃)RX Mapping'!U54&gt;=241,'(橫掃)RX Mapping'!U54&lt;=360), ('(橫掃)RX Mapping'!U54-241),IF(AND('(橫掃)RX Mapping'!U54&gt;=361,'(橫掃)RX Mapping'!U54&lt;=480), (-1)*('(橫掃)RX Mapping'!U54-480),IF(AND('(橫掃)RX Mapping'!U54&gt;=481,'(橫掃)RX Mapping'!U54&lt;=600), ('(橫掃)RX Mapping'!U54-361),IF(AND('(橫掃)RX Mapping'!U54&gt;=601,'(橫掃)RX Mapping'!U54&lt;=720), (-1)*('(橫掃)RX Mapping'!U54-720)+120,IF(AND('(橫掃)RX Mapping'!U54&gt;=721,'(橫掃)RX Mapping'!U54&lt;=840), ('(橫掃)RX Mapping'!U54-601),IF(AND('(橫掃)RX Mapping'!U54&gt;=841,'(橫掃)RX Mapping'!U54&lt;=960), (-1)*('(橫掃)RX Mapping'!U54-960)+120,9999))))))))</f>
        <v>9999</v>
      </c>
      <c r="V54">
        <f>IF(AND('(橫掃)RX Mapping'!V54&gt;=1,'(橫掃)RX Mapping'!V54&lt;=120), ('(橫掃)RX Mapping'!V54-1),IF(AND('(橫掃)RX Mapping'!V54&gt;=121,'(橫掃)RX Mapping'!V54&lt;=240), (-1)*('(橫掃)RX Mapping'!V54-240),IF(AND('(橫掃)RX Mapping'!V54&gt;=241,'(橫掃)RX Mapping'!V54&lt;=360), ('(橫掃)RX Mapping'!V54-241),IF(AND('(橫掃)RX Mapping'!V54&gt;=361,'(橫掃)RX Mapping'!V54&lt;=480), (-1)*('(橫掃)RX Mapping'!V54-480),IF(AND('(橫掃)RX Mapping'!V54&gt;=481,'(橫掃)RX Mapping'!V54&lt;=600), ('(橫掃)RX Mapping'!V54-361),IF(AND('(橫掃)RX Mapping'!V54&gt;=601,'(橫掃)RX Mapping'!V54&lt;=720), (-1)*('(橫掃)RX Mapping'!V54-720)+120,IF(AND('(橫掃)RX Mapping'!V54&gt;=721,'(橫掃)RX Mapping'!V54&lt;=840), ('(橫掃)RX Mapping'!V54-601),IF(AND('(橫掃)RX Mapping'!V54&gt;=841,'(橫掃)RX Mapping'!V54&lt;=960), (-1)*('(橫掃)RX Mapping'!V54-960)+120,9999))))))))</f>
        <v>9999</v>
      </c>
      <c r="W54">
        <f>IF(AND('(橫掃)RX Mapping'!W54&gt;=1,'(橫掃)RX Mapping'!W54&lt;=120), ('(橫掃)RX Mapping'!W54-1),IF(AND('(橫掃)RX Mapping'!W54&gt;=121,'(橫掃)RX Mapping'!W54&lt;=240), (-1)*('(橫掃)RX Mapping'!W54-240),IF(AND('(橫掃)RX Mapping'!W54&gt;=241,'(橫掃)RX Mapping'!W54&lt;=360), ('(橫掃)RX Mapping'!W54-241),IF(AND('(橫掃)RX Mapping'!W54&gt;=361,'(橫掃)RX Mapping'!W54&lt;=480), (-1)*('(橫掃)RX Mapping'!W54-480),IF(AND('(橫掃)RX Mapping'!W54&gt;=481,'(橫掃)RX Mapping'!W54&lt;=600), ('(橫掃)RX Mapping'!W54-361),IF(AND('(橫掃)RX Mapping'!W54&gt;=601,'(橫掃)RX Mapping'!W54&lt;=720), (-1)*('(橫掃)RX Mapping'!W54-720)+120,IF(AND('(橫掃)RX Mapping'!W54&gt;=721,'(橫掃)RX Mapping'!W54&lt;=840), ('(橫掃)RX Mapping'!W54-601),IF(AND('(橫掃)RX Mapping'!W54&gt;=841,'(橫掃)RX Mapping'!W54&lt;=960), (-1)*('(橫掃)RX Mapping'!W54-960)+120,9999))))))))</f>
        <v>9999</v>
      </c>
      <c r="X54">
        <f>IF(AND('(橫掃)RX Mapping'!X54&gt;=1,'(橫掃)RX Mapping'!X54&lt;=120), ('(橫掃)RX Mapping'!X54-1),IF(AND('(橫掃)RX Mapping'!X54&gt;=121,'(橫掃)RX Mapping'!X54&lt;=240), (-1)*('(橫掃)RX Mapping'!X54-240),IF(AND('(橫掃)RX Mapping'!X54&gt;=241,'(橫掃)RX Mapping'!X54&lt;=360), ('(橫掃)RX Mapping'!X54-241),IF(AND('(橫掃)RX Mapping'!X54&gt;=361,'(橫掃)RX Mapping'!X54&lt;=480), (-1)*('(橫掃)RX Mapping'!X54-480),IF(AND('(橫掃)RX Mapping'!X54&gt;=481,'(橫掃)RX Mapping'!X54&lt;=600), ('(橫掃)RX Mapping'!X54-361),IF(AND('(橫掃)RX Mapping'!X54&gt;=601,'(橫掃)RX Mapping'!X54&lt;=720), (-1)*('(橫掃)RX Mapping'!X54-720)+120,IF(AND('(橫掃)RX Mapping'!X54&gt;=721,'(橫掃)RX Mapping'!X54&lt;=840), ('(橫掃)RX Mapping'!X54-601),IF(AND('(橫掃)RX Mapping'!X54&gt;=841,'(橫掃)RX Mapping'!X54&lt;=960), (-1)*('(橫掃)RX Mapping'!X54-960)+120,9999))))))))</f>
        <v>9999</v>
      </c>
      <c r="Y54">
        <f>IF(AND('(橫掃)RX Mapping'!Y54&gt;=1,'(橫掃)RX Mapping'!Y54&lt;=120), ('(橫掃)RX Mapping'!Y54-1),IF(AND('(橫掃)RX Mapping'!Y54&gt;=121,'(橫掃)RX Mapping'!Y54&lt;=240), (-1)*('(橫掃)RX Mapping'!Y54-240),IF(AND('(橫掃)RX Mapping'!Y54&gt;=241,'(橫掃)RX Mapping'!Y54&lt;=360), ('(橫掃)RX Mapping'!Y54-241),IF(AND('(橫掃)RX Mapping'!Y54&gt;=361,'(橫掃)RX Mapping'!Y54&lt;=480), (-1)*('(橫掃)RX Mapping'!Y54-480),IF(AND('(橫掃)RX Mapping'!Y54&gt;=481,'(橫掃)RX Mapping'!Y54&lt;=600), ('(橫掃)RX Mapping'!Y54-361),IF(AND('(橫掃)RX Mapping'!Y54&gt;=601,'(橫掃)RX Mapping'!Y54&lt;=720), (-1)*('(橫掃)RX Mapping'!Y54-720)+120,IF(AND('(橫掃)RX Mapping'!Y54&gt;=721,'(橫掃)RX Mapping'!Y54&lt;=840), ('(橫掃)RX Mapping'!Y54-601),IF(AND('(橫掃)RX Mapping'!Y54&gt;=841,'(橫掃)RX Mapping'!Y54&lt;=960), (-1)*('(橫掃)RX Mapping'!Y54-960)+120,9999))))))))</f>
        <v>9999</v>
      </c>
      <c r="Z54">
        <f>IF(AND('(橫掃)RX Mapping'!Z54&gt;=1,'(橫掃)RX Mapping'!Z54&lt;=120), ('(橫掃)RX Mapping'!Z54-1),IF(AND('(橫掃)RX Mapping'!Z54&gt;=121,'(橫掃)RX Mapping'!Z54&lt;=240), (-1)*('(橫掃)RX Mapping'!Z54-240),IF(AND('(橫掃)RX Mapping'!Z54&gt;=241,'(橫掃)RX Mapping'!Z54&lt;=360), ('(橫掃)RX Mapping'!Z54-241),IF(AND('(橫掃)RX Mapping'!Z54&gt;=361,'(橫掃)RX Mapping'!Z54&lt;=480), (-1)*('(橫掃)RX Mapping'!Z54-480),IF(AND('(橫掃)RX Mapping'!Z54&gt;=481,'(橫掃)RX Mapping'!Z54&lt;=600), ('(橫掃)RX Mapping'!Z54-361),IF(AND('(橫掃)RX Mapping'!Z54&gt;=601,'(橫掃)RX Mapping'!Z54&lt;=720), (-1)*('(橫掃)RX Mapping'!Z54-720)+120,IF(AND('(橫掃)RX Mapping'!Z54&gt;=721,'(橫掃)RX Mapping'!Z54&lt;=840), ('(橫掃)RX Mapping'!Z54-601),IF(AND('(橫掃)RX Mapping'!Z54&gt;=841,'(橫掃)RX Mapping'!Z54&lt;=960), (-1)*('(橫掃)RX Mapping'!Z54-960)+120,9999))))))))</f>
        <v>9999</v>
      </c>
      <c r="AA54">
        <f>IF(AND('(橫掃)RX Mapping'!AA54&gt;=1,'(橫掃)RX Mapping'!AA54&lt;=120), ('(橫掃)RX Mapping'!AA54-1),IF(AND('(橫掃)RX Mapping'!AA54&gt;=121,'(橫掃)RX Mapping'!AA54&lt;=240), (-1)*('(橫掃)RX Mapping'!AA54-240),IF(AND('(橫掃)RX Mapping'!AA54&gt;=241,'(橫掃)RX Mapping'!AA54&lt;=360), ('(橫掃)RX Mapping'!AA54-241),IF(AND('(橫掃)RX Mapping'!AA54&gt;=361,'(橫掃)RX Mapping'!AA54&lt;=480), (-1)*('(橫掃)RX Mapping'!AA54-480),IF(AND('(橫掃)RX Mapping'!AA54&gt;=481,'(橫掃)RX Mapping'!AA54&lt;=600), ('(橫掃)RX Mapping'!AA54-361),IF(AND('(橫掃)RX Mapping'!AA54&gt;=601,'(橫掃)RX Mapping'!AA54&lt;=720), (-1)*('(橫掃)RX Mapping'!AA54-720)+120,IF(AND('(橫掃)RX Mapping'!AA54&gt;=721,'(橫掃)RX Mapping'!AA54&lt;=840), ('(橫掃)RX Mapping'!AA54-601),IF(AND('(橫掃)RX Mapping'!AA54&gt;=841,'(橫掃)RX Mapping'!AA54&lt;=960), (-1)*('(橫掃)RX Mapping'!AA54-960)+120,9999))))))))</f>
        <v>9999</v>
      </c>
      <c r="AB54">
        <f>IF(AND('(橫掃)RX Mapping'!AB54&gt;=1,'(橫掃)RX Mapping'!AB54&lt;=120), ('(橫掃)RX Mapping'!AB54-1),IF(AND('(橫掃)RX Mapping'!AB54&gt;=121,'(橫掃)RX Mapping'!AB54&lt;=240), (-1)*('(橫掃)RX Mapping'!AB54-240),IF(AND('(橫掃)RX Mapping'!AB54&gt;=241,'(橫掃)RX Mapping'!AB54&lt;=360), ('(橫掃)RX Mapping'!AB54-241),IF(AND('(橫掃)RX Mapping'!AB54&gt;=361,'(橫掃)RX Mapping'!AB54&lt;=480), (-1)*('(橫掃)RX Mapping'!AB54-480),IF(AND('(橫掃)RX Mapping'!AB54&gt;=481,'(橫掃)RX Mapping'!AB54&lt;=600), ('(橫掃)RX Mapping'!AB54-361),IF(AND('(橫掃)RX Mapping'!AB54&gt;=601,'(橫掃)RX Mapping'!AB54&lt;=720), (-1)*('(橫掃)RX Mapping'!AB54-720)+120,IF(AND('(橫掃)RX Mapping'!AB54&gt;=721,'(橫掃)RX Mapping'!AB54&lt;=840), ('(橫掃)RX Mapping'!AB54-601),IF(AND('(橫掃)RX Mapping'!AB54&gt;=841,'(橫掃)RX Mapping'!AB54&lt;=960), (-1)*('(橫掃)RX Mapping'!AB54-960)+120,9999))))))))</f>
        <v>9999</v>
      </c>
      <c r="AC54">
        <f>IF(AND('(橫掃)RX Mapping'!AC54&gt;=1,'(橫掃)RX Mapping'!AC54&lt;=120), ('(橫掃)RX Mapping'!AC54-1),IF(AND('(橫掃)RX Mapping'!AC54&gt;=121,'(橫掃)RX Mapping'!AC54&lt;=240), (-1)*('(橫掃)RX Mapping'!AC54-240),IF(AND('(橫掃)RX Mapping'!AC54&gt;=241,'(橫掃)RX Mapping'!AC54&lt;=360), ('(橫掃)RX Mapping'!AC54-241),IF(AND('(橫掃)RX Mapping'!AC54&gt;=361,'(橫掃)RX Mapping'!AC54&lt;=480), (-1)*('(橫掃)RX Mapping'!AC54-480),IF(AND('(橫掃)RX Mapping'!AC54&gt;=481,'(橫掃)RX Mapping'!AC54&lt;=600), ('(橫掃)RX Mapping'!AC54-361),IF(AND('(橫掃)RX Mapping'!AC54&gt;=601,'(橫掃)RX Mapping'!AC54&lt;=720), (-1)*('(橫掃)RX Mapping'!AC54-720)+120,IF(AND('(橫掃)RX Mapping'!AC54&gt;=721,'(橫掃)RX Mapping'!AC54&lt;=840), ('(橫掃)RX Mapping'!AC54-601),IF(AND('(橫掃)RX Mapping'!AC54&gt;=841,'(橫掃)RX Mapping'!AC54&lt;=960), (-1)*('(橫掃)RX Mapping'!AC54-960)+120,9999))))))))</f>
        <v>9999</v>
      </c>
      <c r="AD54">
        <f>IF(AND('(橫掃)RX Mapping'!AD54&gt;=1,'(橫掃)RX Mapping'!AD54&lt;=120), ('(橫掃)RX Mapping'!AD54-1),IF(AND('(橫掃)RX Mapping'!AD54&gt;=121,'(橫掃)RX Mapping'!AD54&lt;=240), (-1)*('(橫掃)RX Mapping'!AD54-240),IF(AND('(橫掃)RX Mapping'!AD54&gt;=241,'(橫掃)RX Mapping'!AD54&lt;=360), ('(橫掃)RX Mapping'!AD54-241),IF(AND('(橫掃)RX Mapping'!AD54&gt;=361,'(橫掃)RX Mapping'!AD54&lt;=480), (-1)*('(橫掃)RX Mapping'!AD54-480),IF(AND('(橫掃)RX Mapping'!AD54&gt;=481,'(橫掃)RX Mapping'!AD54&lt;=600), ('(橫掃)RX Mapping'!AD54-361),IF(AND('(橫掃)RX Mapping'!AD54&gt;=601,'(橫掃)RX Mapping'!AD54&lt;=720), (-1)*('(橫掃)RX Mapping'!AD54-720)+120,IF(AND('(橫掃)RX Mapping'!AD54&gt;=721,'(橫掃)RX Mapping'!AD54&lt;=840), ('(橫掃)RX Mapping'!AD54-601),IF(AND('(橫掃)RX Mapping'!AD54&gt;=841,'(橫掃)RX Mapping'!AD54&lt;=960), (-1)*('(橫掃)RX Mapping'!AD54-960)+120,9999))))))))</f>
        <v>9999</v>
      </c>
      <c r="AE54">
        <f>IF(AND('(橫掃)RX Mapping'!AE54&gt;=1,'(橫掃)RX Mapping'!AE54&lt;=120), ('(橫掃)RX Mapping'!AE54-1),IF(AND('(橫掃)RX Mapping'!AE54&gt;=121,'(橫掃)RX Mapping'!AE54&lt;=240), (-1)*('(橫掃)RX Mapping'!AE54-240),IF(AND('(橫掃)RX Mapping'!AE54&gt;=241,'(橫掃)RX Mapping'!AE54&lt;=360), ('(橫掃)RX Mapping'!AE54-241),IF(AND('(橫掃)RX Mapping'!AE54&gt;=361,'(橫掃)RX Mapping'!AE54&lt;=480), (-1)*('(橫掃)RX Mapping'!AE54-480),IF(AND('(橫掃)RX Mapping'!AE54&gt;=481,'(橫掃)RX Mapping'!AE54&lt;=600), ('(橫掃)RX Mapping'!AE54-361),IF(AND('(橫掃)RX Mapping'!AE54&gt;=601,'(橫掃)RX Mapping'!AE54&lt;=720), (-1)*('(橫掃)RX Mapping'!AE54-720)+120,IF(AND('(橫掃)RX Mapping'!AE54&gt;=721,'(橫掃)RX Mapping'!AE54&lt;=840), ('(橫掃)RX Mapping'!AE54-601),IF(AND('(橫掃)RX Mapping'!AE54&gt;=841,'(橫掃)RX Mapping'!AE54&lt;=960), (-1)*('(橫掃)RX Mapping'!AE54-960)+120,9999))))))))</f>
        <v>9999</v>
      </c>
      <c r="AF54">
        <f>IF(AND('(橫掃)RX Mapping'!AF54&gt;=1,'(橫掃)RX Mapping'!AF54&lt;=120), ('(橫掃)RX Mapping'!AF54-1),IF(AND('(橫掃)RX Mapping'!AF54&gt;=121,'(橫掃)RX Mapping'!AF54&lt;=240), (-1)*('(橫掃)RX Mapping'!AF54-240),IF(AND('(橫掃)RX Mapping'!AF54&gt;=241,'(橫掃)RX Mapping'!AF54&lt;=360), ('(橫掃)RX Mapping'!AF54-241),IF(AND('(橫掃)RX Mapping'!AF54&gt;=361,'(橫掃)RX Mapping'!AF54&lt;=480), (-1)*('(橫掃)RX Mapping'!AF54-480),IF(AND('(橫掃)RX Mapping'!AF54&gt;=481,'(橫掃)RX Mapping'!AF54&lt;=600), ('(橫掃)RX Mapping'!AF54-361),IF(AND('(橫掃)RX Mapping'!AF54&gt;=601,'(橫掃)RX Mapping'!AF54&lt;=720), (-1)*('(橫掃)RX Mapping'!AF54-720)+120,IF(AND('(橫掃)RX Mapping'!AF54&gt;=721,'(橫掃)RX Mapping'!AF54&lt;=840), ('(橫掃)RX Mapping'!AF54-601),IF(AND('(橫掃)RX Mapping'!AF54&gt;=841,'(橫掃)RX Mapping'!AF54&lt;=960), (-1)*('(橫掃)RX Mapping'!AF54-960)+120,9999))))))))</f>
        <v>9999</v>
      </c>
      <c r="AG54">
        <f>IF(AND('(橫掃)RX Mapping'!AG54&gt;=1,'(橫掃)RX Mapping'!AG54&lt;=120), ('(橫掃)RX Mapping'!AG54-1),IF(AND('(橫掃)RX Mapping'!AG54&gt;=121,'(橫掃)RX Mapping'!AG54&lt;=240), (-1)*('(橫掃)RX Mapping'!AG54-240),IF(AND('(橫掃)RX Mapping'!AG54&gt;=241,'(橫掃)RX Mapping'!AG54&lt;=360), ('(橫掃)RX Mapping'!AG54-241),IF(AND('(橫掃)RX Mapping'!AG54&gt;=361,'(橫掃)RX Mapping'!AG54&lt;=480), (-1)*('(橫掃)RX Mapping'!AG54-480),IF(AND('(橫掃)RX Mapping'!AG54&gt;=481,'(橫掃)RX Mapping'!AG54&lt;=600), ('(橫掃)RX Mapping'!AG54-361),IF(AND('(橫掃)RX Mapping'!AG54&gt;=601,'(橫掃)RX Mapping'!AG54&lt;=720), (-1)*('(橫掃)RX Mapping'!AG54-720)+120,IF(AND('(橫掃)RX Mapping'!AG54&gt;=721,'(橫掃)RX Mapping'!AG54&lt;=840), ('(橫掃)RX Mapping'!AG54-601),IF(AND('(橫掃)RX Mapping'!AG54&gt;=841,'(橫掃)RX Mapping'!AG54&lt;=960), (-1)*('(橫掃)RX Mapping'!AG54-960)+120,9999))))))))</f>
        <v>9999</v>
      </c>
      <c r="AH54">
        <f>IF(AND('(橫掃)RX Mapping'!AH54&gt;=1,'(橫掃)RX Mapping'!AH54&lt;=120), ('(橫掃)RX Mapping'!AH54-1),IF(AND('(橫掃)RX Mapping'!AH54&gt;=121,'(橫掃)RX Mapping'!AH54&lt;=240), (-1)*('(橫掃)RX Mapping'!AH54-240),IF(AND('(橫掃)RX Mapping'!AH54&gt;=241,'(橫掃)RX Mapping'!AH54&lt;=360), ('(橫掃)RX Mapping'!AH54-241),IF(AND('(橫掃)RX Mapping'!AH54&gt;=361,'(橫掃)RX Mapping'!AH54&lt;=480), (-1)*('(橫掃)RX Mapping'!AH54-480),IF(AND('(橫掃)RX Mapping'!AH54&gt;=481,'(橫掃)RX Mapping'!AH54&lt;=600), ('(橫掃)RX Mapping'!AH54-361),IF(AND('(橫掃)RX Mapping'!AH54&gt;=601,'(橫掃)RX Mapping'!AH54&lt;=720), (-1)*('(橫掃)RX Mapping'!AH54-720)+120,IF(AND('(橫掃)RX Mapping'!AH54&gt;=721,'(橫掃)RX Mapping'!AH54&lt;=840), ('(橫掃)RX Mapping'!AH54-601),IF(AND('(橫掃)RX Mapping'!AH54&gt;=841,'(橫掃)RX Mapping'!AH54&lt;=960), (-1)*('(橫掃)RX Mapping'!AH54-960)+120,9999))))))))</f>
        <v>9999</v>
      </c>
      <c r="AI54">
        <f>IF(AND('(橫掃)RX Mapping'!AI54&gt;=1,'(橫掃)RX Mapping'!AI54&lt;=120), ('(橫掃)RX Mapping'!AI54-1),IF(AND('(橫掃)RX Mapping'!AI54&gt;=121,'(橫掃)RX Mapping'!AI54&lt;=240), (-1)*('(橫掃)RX Mapping'!AI54-240),IF(AND('(橫掃)RX Mapping'!AI54&gt;=241,'(橫掃)RX Mapping'!AI54&lt;=360), ('(橫掃)RX Mapping'!AI54-241),IF(AND('(橫掃)RX Mapping'!AI54&gt;=361,'(橫掃)RX Mapping'!AI54&lt;=480), (-1)*('(橫掃)RX Mapping'!AI54-480),IF(AND('(橫掃)RX Mapping'!AI54&gt;=481,'(橫掃)RX Mapping'!AI54&lt;=600), ('(橫掃)RX Mapping'!AI54-361),IF(AND('(橫掃)RX Mapping'!AI54&gt;=601,'(橫掃)RX Mapping'!AI54&lt;=720), (-1)*('(橫掃)RX Mapping'!AI54-720)+120,IF(AND('(橫掃)RX Mapping'!AI54&gt;=721,'(橫掃)RX Mapping'!AI54&lt;=840), ('(橫掃)RX Mapping'!AI54-601),IF(AND('(橫掃)RX Mapping'!AI54&gt;=841,'(橫掃)RX Mapping'!AI54&lt;=960), (-1)*('(橫掃)RX Mapping'!AI54-960)+120,9999))))))))</f>
        <v>9999</v>
      </c>
      <c r="AJ54">
        <f>IF(AND('(橫掃)RX Mapping'!AJ54&gt;=1,'(橫掃)RX Mapping'!AJ54&lt;=120), ('(橫掃)RX Mapping'!AJ54-1),IF(AND('(橫掃)RX Mapping'!AJ54&gt;=121,'(橫掃)RX Mapping'!AJ54&lt;=240), (-1)*('(橫掃)RX Mapping'!AJ54-240),IF(AND('(橫掃)RX Mapping'!AJ54&gt;=241,'(橫掃)RX Mapping'!AJ54&lt;=360), ('(橫掃)RX Mapping'!AJ54-241),IF(AND('(橫掃)RX Mapping'!AJ54&gt;=361,'(橫掃)RX Mapping'!AJ54&lt;=480), (-1)*('(橫掃)RX Mapping'!AJ54-480),IF(AND('(橫掃)RX Mapping'!AJ54&gt;=481,'(橫掃)RX Mapping'!AJ54&lt;=600), ('(橫掃)RX Mapping'!AJ54-361),IF(AND('(橫掃)RX Mapping'!AJ54&gt;=601,'(橫掃)RX Mapping'!AJ54&lt;=720), (-1)*('(橫掃)RX Mapping'!AJ54-720)+120,IF(AND('(橫掃)RX Mapping'!AJ54&gt;=721,'(橫掃)RX Mapping'!AJ54&lt;=840), ('(橫掃)RX Mapping'!AJ54-601),IF(AND('(橫掃)RX Mapping'!AJ54&gt;=841,'(橫掃)RX Mapping'!AJ54&lt;=960), (-1)*('(橫掃)RX Mapping'!AJ54-960)+120,9999))))))))</f>
        <v>9999</v>
      </c>
      <c r="AK54">
        <f>IF(AND('(橫掃)RX Mapping'!AK54&gt;=1,'(橫掃)RX Mapping'!AK54&lt;=120), ('(橫掃)RX Mapping'!AK54-1),IF(AND('(橫掃)RX Mapping'!AK54&gt;=121,'(橫掃)RX Mapping'!AK54&lt;=240), (-1)*('(橫掃)RX Mapping'!AK54-240),IF(AND('(橫掃)RX Mapping'!AK54&gt;=241,'(橫掃)RX Mapping'!AK54&lt;=360), ('(橫掃)RX Mapping'!AK54-241),IF(AND('(橫掃)RX Mapping'!AK54&gt;=361,'(橫掃)RX Mapping'!AK54&lt;=480), (-1)*('(橫掃)RX Mapping'!AK54-480),IF(AND('(橫掃)RX Mapping'!AK54&gt;=481,'(橫掃)RX Mapping'!AK54&lt;=600), ('(橫掃)RX Mapping'!AK54-361),IF(AND('(橫掃)RX Mapping'!AK54&gt;=601,'(橫掃)RX Mapping'!AK54&lt;=720), (-1)*('(橫掃)RX Mapping'!AK54-720)+120,IF(AND('(橫掃)RX Mapping'!AK54&gt;=721,'(橫掃)RX Mapping'!AK54&lt;=840), ('(橫掃)RX Mapping'!AK54-601),IF(AND('(橫掃)RX Mapping'!AK54&gt;=841,'(橫掃)RX Mapping'!AK54&lt;=960), (-1)*('(橫掃)RX Mapping'!AK54-960)+120,9999))))))))</f>
        <v>9999</v>
      </c>
      <c r="AL54">
        <f>IF(AND('(橫掃)RX Mapping'!AL54&gt;=1,'(橫掃)RX Mapping'!AL54&lt;=120), ('(橫掃)RX Mapping'!AL54-1),IF(AND('(橫掃)RX Mapping'!AL54&gt;=121,'(橫掃)RX Mapping'!AL54&lt;=240), (-1)*('(橫掃)RX Mapping'!AL54-240),IF(AND('(橫掃)RX Mapping'!AL54&gt;=241,'(橫掃)RX Mapping'!AL54&lt;=360), ('(橫掃)RX Mapping'!AL54-241),IF(AND('(橫掃)RX Mapping'!AL54&gt;=361,'(橫掃)RX Mapping'!AL54&lt;=480), (-1)*('(橫掃)RX Mapping'!AL54-480),IF(AND('(橫掃)RX Mapping'!AL54&gt;=481,'(橫掃)RX Mapping'!AL54&lt;=600), ('(橫掃)RX Mapping'!AL54-361),IF(AND('(橫掃)RX Mapping'!AL54&gt;=601,'(橫掃)RX Mapping'!AL54&lt;=720), (-1)*('(橫掃)RX Mapping'!AL54-720)+120,IF(AND('(橫掃)RX Mapping'!AL54&gt;=721,'(橫掃)RX Mapping'!AL54&lt;=840), ('(橫掃)RX Mapping'!AL54-601),IF(AND('(橫掃)RX Mapping'!AL54&gt;=841,'(橫掃)RX Mapping'!AL54&lt;=960), (-1)*('(橫掃)RX Mapping'!AL54-960)+120,9999))))))))</f>
        <v>9999</v>
      </c>
      <c r="AM54">
        <f>IF(AND('(橫掃)RX Mapping'!AM54&gt;=1,'(橫掃)RX Mapping'!AM54&lt;=120), ('(橫掃)RX Mapping'!AM54-1),IF(AND('(橫掃)RX Mapping'!AM54&gt;=121,'(橫掃)RX Mapping'!AM54&lt;=240), (-1)*('(橫掃)RX Mapping'!AM54-240),IF(AND('(橫掃)RX Mapping'!AM54&gt;=241,'(橫掃)RX Mapping'!AM54&lt;=360), ('(橫掃)RX Mapping'!AM54-241),IF(AND('(橫掃)RX Mapping'!AM54&gt;=361,'(橫掃)RX Mapping'!AM54&lt;=480), (-1)*('(橫掃)RX Mapping'!AM54-480),IF(AND('(橫掃)RX Mapping'!AM54&gt;=481,'(橫掃)RX Mapping'!AM54&lt;=600), ('(橫掃)RX Mapping'!AM54-361),IF(AND('(橫掃)RX Mapping'!AM54&gt;=601,'(橫掃)RX Mapping'!AM54&lt;=720), (-1)*('(橫掃)RX Mapping'!AM54-720)+120,IF(AND('(橫掃)RX Mapping'!AM54&gt;=721,'(橫掃)RX Mapping'!AM54&lt;=840), ('(橫掃)RX Mapping'!AM54-601),IF(AND('(橫掃)RX Mapping'!AM54&gt;=841,'(橫掃)RX Mapping'!AM54&lt;=960), (-1)*('(橫掃)RX Mapping'!AM54-960)+120,9999))))))))</f>
        <v>9999</v>
      </c>
      <c r="AN54">
        <f>IF(AND('(橫掃)RX Mapping'!AN54&gt;=1,'(橫掃)RX Mapping'!AN54&lt;=120), ('(橫掃)RX Mapping'!AN54-1),IF(AND('(橫掃)RX Mapping'!AN54&gt;=121,'(橫掃)RX Mapping'!AN54&lt;=240), (-1)*('(橫掃)RX Mapping'!AN54-240),IF(AND('(橫掃)RX Mapping'!AN54&gt;=241,'(橫掃)RX Mapping'!AN54&lt;=360), ('(橫掃)RX Mapping'!AN54-241),IF(AND('(橫掃)RX Mapping'!AN54&gt;=361,'(橫掃)RX Mapping'!AN54&lt;=480), (-1)*('(橫掃)RX Mapping'!AN54-480),IF(AND('(橫掃)RX Mapping'!AN54&gt;=481,'(橫掃)RX Mapping'!AN54&lt;=600), ('(橫掃)RX Mapping'!AN54-361),IF(AND('(橫掃)RX Mapping'!AN54&gt;=601,'(橫掃)RX Mapping'!AN54&lt;=720), (-1)*('(橫掃)RX Mapping'!AN54-720)+120,IF(AND('(橫掃)RX Mapping'!AN54&gt;=721,'(橫掃)RX Mapping'!AN54&lt;=840), ('(橫掃)RX Mapping'!AN54-601),IF(AND('(橫掃)RX Mapping'!AN54&gt;=841,'(橫掃)RX Mapping'!AN54&lt;=960), (-1)*('(橫掃)RX Mapping'!AN54-960)+120,9999))))))))</f>
        <v>9999</v>
      </c>
      <c r="AO54">
        <f>IF(AND('(橫掃)RX Mapping'!AO54&gt;=1,'(橫掃)RX Mapping'!AO54&lt;=120), ('(橫掃)RX Mapping'!AO54-1),IF(AND('(橫掃)RX Mapping'!AO54&gt;=121,'(橫掃)RX Mapping'!AO54&lt;=240), (-1)*('(橫掃)RX Mapping'!AO54-240),IF(AND('(橫掃)RX Mapping'!AO54&gt;=241,'(橫掃)RX Mapping'!AO54&lt;=360), ('(橫掃)RX Mapping'!AO54-241),IF(AND('(橫掃)RX Mapping'!AO54&gt;=361,'(橫掃)RX Mapping'!AO54&lt;=480), (-1)*('(橫掃)RX Mapping'!AO54-480),IF(AND('(橫掃)RX Mapping'!AO54&gt;=481,'(橫掃)RX Mapping'!AO54&lt;=600), ('(橫掃)RX Mapping'!AO54-361),IF(AND('(橫掃)RX Mapping'!AO54&gt;=601,'(橫掃)RX Mapping'!AO54&lt;=720), (-1)*('(橫掃)RX Mapping'!AO54-720)+120,IF(AND('(橫掃)RX Mapping'!AO54&gt;=721,'(橫掃)RX Mapping'!AO54&lt;=840), ('(橫掃)RX Mapping'!AO54-601),IF(AND('(橫掃)RX Mapping'!AO54&gt;=841,'(橫掃)RX Mapping'!AO54&lt;=960), (-1)*('(橫掃)RX Mapping'!AO54-960)+120,9999))))))))</f>
        <v>9999</v>
      </c>
      <c r="AP54">
        <f>IF(AND('(橫掃)RX Mapping'!AP54&gt;=1,'(橫掃)RX Mapping'!AP54&lt;=120), ('(橫掃)RX Mapping'!AP54-1),IF(AND('(橫掃)RX Mapping'!AP54&gt;=121,'(橫掃)RX Mapping'!AP54&lt;=240), (-1)*('(橫掃)RX Mapping'!AP54-240),IF(AND('(橫掃)RX Mapping'!AP54&gt;=241,'(橫掃)RX Mapping'!AP54&lt;=360), ('(橫掃)RX Mapping'!AP54-241),IF(AND('(橫掃)RX Mapping'!AP54&gt;=361,'(橫掃)RX Mapping'!AP54&lt;=480), (-1)*('(橫掃)RX Mapping'!AP54-480),IF(AND('(橫掃)RX Mapping'!AP54&gt;=481,'(橫掃)RX Mapping'!AP54&lt;=600), ('(橫掃)RX Mapping'!AP54-361),IF(AND('(橫掃)RX Mapping'!AP54&gt;=601,'(橫掃)RX Mapping'!AP54&lt;=720), (-1)*('(橫掃)RX Mapping'!AP54-720)+120,IF(AND('(橫掃)RX Mapping'!AP54&gt;=721,'(橫掃)RX Mapping'!AP54&lt;=840), ('(橫掃)RX Mapping'!AP54-601),IF(AND('(橫掃)RX Mapping'!AP54&gt;=841,'(橫掃)RX Mapping'!AP54&lt;=960), (-1)*('(橫掃)RX Mapping'!AP54-960)+120,9999))))))))</f>
        <v>9999</v>
      </c>
      <c r="AQ54">
        <f>IF(AND('(橫掃)RX Mapping'!AQ54&gt;=1,'(橫掃)RX Mapping'!AQ54&lt;=120), ('(橫掃)RX Mapping'!AQ54-1),IF(AND('(橫掃)RX Mapping'!AQ54&gt;=121,'(橫掃)RX Mapping'!AQ54&lt;=240), (-1)*('(橫掃)RX Mapping'!AQ54-240),IF(AND('(橫掃)RX Mapping'!AQ54&gt;=241,'(橫掃)RX Mapping'!AQ54&lt;=360), ('(橫掃)RX Mapping'!AQ54-241),IF(AND('(橫掃)RX Mapping'!AQ54&gt;=361,'(橫掃)RX Mapping'!AQ54&lt;=480), (-1)*('(橫掃)RX Mapping'!AQ54-480),IF(AND('(橫掃)RX Mapping'!AQ54&gt;=481,'(橫掃)RX Mapping'!AQ54&lt;=600), ('(橫掃)RX Mapping'!AQ54-361),IF(AND('(橫掃)RX Mapping'!AQ54&gt;=601,'(橫掃)RX Mapping'!AQ54&lt;=720), (-1)*('(橫掃)RX Mapping'!AQ54-720)+120,IF(AND('(橫掃)RX Mapping'!AQ54&gt;=721,'(橫掃)RX Mapping'!AQ54&lt;=840), ('(橫掃)RX Mapping'!AQ54-601),IF(AND('(橫掃)RX Mapping'!AQ54&gt;=841,'(橫掃)RX Mapping'!AQ54&lt;=960), (-1)*('(橫掃)RX Mapping'!AQ54-960)+120,9999))))))))</f>
        <v>9999</v>
      </c>
      <c r="AR54">
        <f>IF(AND('(橫掃)RX Mapping'!AR54&gt;=1,'(橫掃)RX Mapping'!AR54&lt;=120), ('(橫掃)RX Mapping'!AR54-1),IF(AND('(橫掃)RX Mapping'!AR54&gt;=121,'(橫掃)RX Mapping'!AR54&lt;=240), (-1)*('(橫掃)RX Mapping'!AR54-240),IF(AND('(橫掃)RX Mapping'!AR54&gt;=241,'(橫掃)RX Mapping'!AR54&lt;=360), ('(橫掃)RX Mapping'!AR54-241),IF(AND('(橫掃)RX Mapping'!AR54&gt;=361,'(橫掃)RX Mapping'!AR54&lt;=480), (-1)*('(橫掃)RX Mapping'!AR54-480),IF(AND('(橫掃)RX Mapping'!AR54&gt;=481,'(橫掃)RX Mapping'!AR54&lt;=600), ('(橫掃)RX Mapping'!AR54-361),IF(AND('(橫掃)RX Mapping'!AR54&gt;=601,'(橫掃)RX Mapping'!AR54&lt;=720), (-1)*('(橫掃)RX Mapping'!AR54-720)+120,IF(AND('(橫掃)RX Mapping'!AR54&gt;=721,'(橫掃)RX Mapping'!AR54&lt;=840), ('(橫掃)RX Mapping'!AR54-601),IF(AND('(橫掃)RX Mapping'!AR54&gt;=841,'(橫掃)RX Mapping'!AR54&lt;=960), (-1)*('(橫掃)RX Mapping'!AR54-960)+120,9999))))))))</f>
        <v>9999</v>
      </c>
      <c r="AS54">
        <f>IF(AND('(橫掃)RX Mapping'!AS54&gt;=1,'(橫掃)RX Mapping'!AS54&lt;=120), ('(橫掃)RX Mapping'!AS54-1),IF(AND('(橫掃)RX Mapping'!AS54&gt;=121,'(橫掃)RX Mapping'!AS54&lt;=240), (-1)*('(橫掃)RX Mapping'!AS54-240),IF(AND('(橫掃)RX Mapping'!AS54&gt;=241,'(橫掃)RX Mapping'!AS54&lt;=360), ('(橫掃)RX Mapping'!AS54-241),IF(AND('(橫掃)RX Mapping'!AS54&gt;=361,'(橫掃)RX Mapping'!AS54&lt;=480), (-1)*('(橫掃)RX Mapping'!AS54-480),IF(AND('(橫掃)RX Mapping'!AS54&gt;=481,'(橫掃)RX Mapping'!AS54&lt;=600), ('(橫掃)RX Mapping'!AS54-361),IF(AND('(橫掃)RX Mapping'!AS54&gt;=601,'(橫掃)RX Mapping'!AS54&lt;=720), (-1)*('(橫掃)RX Mapping'!AS54-720)+120,IF(AND('(橫掃)RX Mapping'!AS54&gt;=721,'(橫掃)RX Mapping'!AS54&lt;=840), ('(橫掃)RX Mapping'!AS54-601),IF(AND('(橫掃)RX Mapping'!AS54&gt;=841,'(橫掃)RX Mapping'!AS54&lt;=960), (-1)*('(橫掃)RX Mapping'!AS54-960)+120,9999))))))))</f>
        <v>9999</v>
      </c>
      <c r="AT54">
        <f>IF(AND('(橫掃)RX Mapping'!AT54&gt;=1,'(橫掃)RX Mapping'!AT54&lt;=120), ('(橫掃)RX Mapping'!AT54-1),IF(AND('(橫掃)RX Mapping'!AT54&gt;=121,'(橫掃)RX Mapping'!AT54&lt;=240), (-1)*('(橫掃)RX Mapping'!AT54-240),IF(AND('(橫掃)RX Mapping'!AT54&gt;=241,'(橫掃)RX Mapping'!AT54&lt;=360), ('(橫掃)RX Mapping'!AT54-241),IF(AND('(橫掃)RX Mapping'!AT54&gt;=361,'(橫掃)RX Mapping'!AT54&lt;=480), (-1)*('(橫掃)RX Mapping'!AT54-480),IF(AND('(橫掃)RX Mapping'!AT54&gt;=481,'(橫掃)RX Mapping'!AT54&lt;=600), ('(橫掃)RX Mapping'!AT54-361),IF(AND('(橫掃)RX Mapping'!AT54&gt;=601,'(橫掃)RX Mapping'!AT54&lt;=720), (-1)*('(橫掃)RX Mapping'!AT54-720)+120,IF(AND('(橫掃)RX Mapping'!AT54&gt;=721,'(橫掃)RX Mapping'!AT54&lt;=840), ('(橫掃)RX Mapping'!AT54-601),IF(AND('(橫掃)RX Mapping'!AT54&gt;=841,'(橫掃)RX Mapping'!AT54&lt;=960), (-1)*('(橫掃)RX Mapping'!AT54-960)+120,9999))))))))</f>
        <v>9999</v>
      </c>
      <c r="AU54">
        <f>IF(AND('(橫掃)RX Mapping'!AU54&gt;=1,'(橫掃)RX Mapping'!AU54&lt;=120), ('(橫掃)RX Mapping'!AU54-1),IF(AND('(橫掃)RX Mapping'!AU54&gt;=121,'(橫掃)RX Mapping'!AU54&lt;=240), (-1)*('(橫掃)RX Mapping'!AU54-240),IF(AND('(橫掃)RX Mapping'!AU54&gt;=241,'(橫掃)RX Mapping'!AU54&lt;=360), ('(橫掃)RX Mapping'!AU54-241),IF(AND('(橫掃)RX Mapping'!AU54&gt;=361,'(橫掃)RX Mapping'!AU54&lt;=480), (-1)*('(橫掃)RX Mapping'!AU54-480),IF(AND('(橫掃)RX Mapping'!AU54&gt;=481,'(橫掃)RX Mapping'!AU54&lt;=600), ('(橫掃)RX Mapping'!AU54-361),IF(AND('(橫掃)RX Mapping'!AU54&gt;=601,'(橫掃)RX Mapping'!AU54&lt;=720), (-1)*('(橫掃)RX Mapping'!AU54-720)+120,IF(AND('(橫掃)RX Mapping'!AU54&gt;=721,'(橫掃)RX Mapping'!AU54&lt;=840), ('(橫掃)RX Mapping'!AU54-601),IF(AND('(橫掃)RX Mapping'!AU54&gt;=841,'(橫掃)RX Mapping'!AU54&lt;=960), (-1)*('(橫掃)RX Mapping'!AU54-960)+120,9999))))))))</f>
        <v>9999</v>
      </c>
      <c r="AV54">
        <f>IF(AND('(橫掃)RX Mapping'!AV54&gt;=1,'(橫掃)RX Mapping'!AV54&lt;=120), ('(橫掃)RX Mapping'!AV54-1),IF(AND('(橫掃)RX Mapping'!AV54&gt;=121,'(橫掃)RX Mapping'!AV54&lt;=240), (-1)*('(橫掃)RX Mapping'!AV54-240),IF(AND('(橫掃)RX Mapping'!AV54&gt;=241,'(橫掃)RX Mapping'!AV54&lt;=360), ('(橫掃)RX Mapping'!AV54-241),IF(AND('(橫掃)RX Mapping'!AV54&gt;=361,'(橫掃)RX Mapping'!AV54&lt;=480), (-1)*('(橫掃)RX Mapping'!AV54-480),IF(AND('(橫掃)RX Mapping'!AV54&gt;=481,'(橫掃)RX Mapping'!AV54&lt;=600), ('(橫掃)RX Mapping'!AV54-361),IF(AND('(橫掃)RX Mapping'!AV54&gt;=601,'(橫掃)RX Mapping'!AV54&lt;=720), (-1)*('(橫掃)RX Mapping'!AV54-720)+120,IF(AND('(橫掃)RX Mapping'!AV54&gt;=721,'(橫掃)RX Mapping'!AV54&lt;=840), ('(橫掃)RX Mapping'!AV54-601),IF(AND('(橫掃)RX Mapping'!AV54&gt;=841,'(橫掃)RX Mapping'!AV54&lt;=960), (-1)*('(橫掃)RX Mapping'!AV54-960)+120,9999))))))))</f>
        <v>9999</v>
      </c>
      <c r="AW54">
        <f>IF(AND('(橫掃)RX Mapping'!AW54&gt;=1,'(橫掃)RX Mapping'!AW54&lt;=120), ('(橫掃)RX Mapping'!AW54-1),IF(AND('(橫掃)RX Mapping'!AW54&gt;=121,'(橫掃)RX Mapping'!AW54&lt;=240), (-1)*('(橫掃)RX Mapping'!AW54-240),IF(AND('(橫掃)RX Mapping'!AW54&gt;=241,'(橫掃)RX Mapping'!AW54&lt;=360), ('(橫掃)RX Mapping'!AW54-241),IF(AND('(橫掃)RX Mapping'!AW54&gt;=361,'(橫掃)RX Mapping'!AW54&lt;=480), (-1)*('(橫掃)RX Mapping'!AW54-480),IF(AND('(橫掃)RX Mapping'!AW54&gt;=481,'(橫掃)RX Mapping'!AW54&lt;=600), ('(橫掃)RX Mapping'!AW54-361),IF(AND('(橫掃)RX Mapping'!AW54&gt;=601,'(橫掃)RX Mapping'!AW54&lt;=720), (-1)*('(橫掃)RX Mapping'!AW54-720)+120,IF(AND('(橫掃)RX Mapping'!AW54&gt;=721,'(橫掃)RX Mapping'!AW54&lt;=840), ('(橫掃)RX Mapping'!AW54-601),IF(AND('(橫掃)RX Mapping'!AW54&gt;=841,'(橫掃)RX Mapping'!AW54&lt;=960), (-1)*('(橫掃)RX Mapping'!AW54-960)+120,9999))))))))</f>
        <v>9999</v>
      </c>
      <c r="AX54">
        <f>IF(AND('(橫掃)RX Mapping'!AX54&gt;=1,'(橫掃)RX Mapping'!AX54&lt;=120), ('(橫掃)RX Mapping'!AX54-1),IF(AND('(橫掃)RX Mapping'!AX54&gt;=121,'(橫掃)RX Mapping'!AX54&lt;=240), (-1)*('(橫掃)RX Mapping'!AX54-240),IF(AND('(橫掃)RX Mapping'!AX54&gt;=241,'(橫掃)RX Mapping'!AX54&lt;=360), ('(橫掃)RX Mapping'!AX54-241),IF(AND('(橫掃)RX Mapping'!AX54&gt;=361,'(橫掃)RX Mapping'!AX54&lt;=480), (-1)*('(橫掃)RX Mapping'!AX54-480),IF(AND('(橫掃)RX Mapping'!AX54&gt;=481,'(橫掃)RX Mapping'!AX54&lt;=600), ('(橫掃)RX Mapping'!AX54-361),IF(AND('(橫掃)RX Mapping'!AX54&gt;=601,'(橫掃)RX Mapping'!AX54&lt;=720), (-1)*('(橫掃)RX Mapping'!AX54-720)+120,IF(AND('(橫掃)RX Mapping'!AX54&gt;=721,'(橫掃)RX Mapping'!AX54&lt;=840), ('(橫掃)RX Mapping'!AX54-601),IF(AND('(橫掃)RX Mapping'!AX54&gt;=841,'(橫掃)RX Mapping'!AX54&lt;=960), (-1)*('(橫掃)RX Mapping'!AX54-960)+120,9999))))))))</f>
        <v>9999</v>
      </c>
      <c r="AY54">
        <f>IF(AND('(橫掃)RX Mapping'!AY54&gt;=1,'(橫掃)RX Mapping'!AY54&lt;=120), ('(橫掃)RX Mapping'!AY54-1),IF(AND('(橫掃)RX Mapping'!AY54&gt;=121,'(橫掃)RX Mapping'!AY54&lt;=240), (-1)*('(橫掃)RX Mapping'!AY54-240),IF(AND('(橫掃)RX Mapping'!AY54&gt;=241,'(橫掃)RX Mapping'!AY54&lt;=360), ('(橫掃)RX Mapping'!AY54-241),IF(AND('(橫掃)RX Mapping'!AY54&gt;=361,'(橫掃)RX Mapping'!AY54&lt;=480), (-1)*('(橫掃)RX Mapping'!AY54-480),IF(AND('(橫掃)RX Mapping'!AY54&gt;=481,'(橫掃)RX Mapping'!AY54&lt;=600), ('(橫掃)RX Mapping'!AY54-361),IF(AND('(橫掃)RX Mapping'!AY54&gt;=601,'(橫掃)RX Mapping'!AY54&lt;=720), (-1)*('(橫掃)RX Mapping'!AY54-720)+120,IF(AND('(橫掃)RX Mapping'!AY54&gt;=721,'(橫掃)RX Mapping'!AY54&lt;=840), ('(橫掃)RX Mapping'!AY54-601),IF(AND('(橫掃)RX Mapping'!AY54&gt;=841,'(橫掃)RX Mapping'!AY54&lt;=960), (-1)*('(橫掃)RX Mapping'!AY54-960)+120,9999))))))))</f>
        <v>9999</v>
      </c>
      <c r="AZ54">
        <f>IF(AND('(橫掃)RX Mapping'!AZ54&gt;=1,'(橫掃)RX Mapping'!AZ54&lt;=120), ('(橫掃)RX Mapping'!AZ54-1),IF(AND('(橫掃)RX Mapping'!AZ54&gt;=121,'(橫掃)RX Mapping'!AZ54&lt;=240), (-1)*('(橫掃)RX Mapping'!AZ54-240),IF(AND('(橫掃)RX Mapping'!AZ54&gt;=241,'(橫掃)RX Mapping'!AZ54&lt;=360), ('(橫掃)RX Mapping'!AZ54-241),IF(AND('(橫掃)RX Mapping'!AZ54&gt;=361,'(橫掃)RX Mapping'!AZ54&lt;=480), (-1)*('(橫掃)RX Mapping'!AZ54-480),IF(AND('(橫掃)RX Mapping'!AZ54&gt;=481,'(橫掃)RX Mapping'!AZ54&lt;=600), ('(橫掃)RX Mapping'!AZ54-361),IF(AND('(橫掃)RX Mapping'!AZ54&gt;=601,'(橫掃)RX Mapping'!AZ54&lt;=720), (-1)*('(橫掃)RX Mapping'!AZ54-720)+120,IF(AND('(橫掃)RX Mapping'!AZ54&gt;=721,'(橫掃)RX Mapping'!AZ54&lt;=840), ('(橫掃)RX Mapping'!AZ54-601),IF(AND('(橫掃)RX Mapping'!AZ54&gt;=841,'(橫掃)RX Mapping'!AZ54&lt;=960), (-1)*('(橫掃)RX Mapping'!AZ54-960)+120,9999))))))))</f>
        <v>9999</v>
      </c>
      <c r="BA54">
        <f>IF(AND('(橫掃)RX Mapping'!BA54&gt;=1,'(橫掃)RX Mapping'!BA54&lt;=120), ('(橫掃)RX Mapping'!BA54-1),IF(AND('(橫掃)RX Mapping'!BA54&gt;=121,'(橫掃)RX Mapping'!BA54&lt;=240), (-1)*('(橫掃)RX Mapping'!BA54-240),IF(AND('(橫掃)RX Mapping'!BA54&gt;=241,'(橫掃)RX Mapping'!BA54&lt;=360), ('(橫掃)RX Mapping'!BA54-241),IF(AND('(橫掃)RX Mapping'!BA54&gt;=361,'(橫掃)RX Mapping'!BA54&lt;=480), (-1)*('(橫掃)RX Mapping'!BA54-480),IF(AND('(橫掃)RX Mapping'!BA54&gt;=481,'(橫掃)RX Mapping'!BA54&lt;=600), ('(橫掃)RX Mapping'!BA54-361),IF(AND('(橫掃)RX Mapping'!BA54&gt;=601,'(橫掃)RX Mapping'!BA54&lt;=720), (-1)*('(橫掃)RX Mapping'!BA54-720)+120,IF(AND('(橫掃)RX Mapping'!BA54&gt;=721,'(橫掃)RX Mapping'!BA54&lt;=840), ('(橫掃)RX Mapping'!BA54-601),IF(AND('(橫掃)RX Mapping'!BA54&gt;=841,'(橫掃)RX Mapping'!BA54&lt;=960), (-1)*('(橫掃)RX Mapping'!BA54-960)+120,9999))))))))</f>
        <v>9999</v>
      </c>
      <c r="BB54">
        <f>IF(AND('(橫掃)RX Mapping'!BB54&gt;=1,'(橫掃)RX Mapping'!BB54&lt;=120), ('(橫掃)RX Mapping'!BB54-1),IF(AND('(橫掃)RX Mapping'!BB54&gt;=121,'(橫掃)RX Mapping'!BB54&lt;=240), (-1)*('(橫掃)RX Mapping'!BB54-240),IF(AND('(橫掃)RX Mapping'!BB54&gt;=241,'(橫掃)RX Mapping'!BB54&lt;=360), ('(橫掃)RX Mapping'!BB54-241),IF(AND('(橫掃)RX Mapping'!BB54&gt;=361,'(橫掃)RX Mapping'!BB54&lt;=480), (-1)*('(橫掃)RX Mapping'!BB54-480),IF(AND('(橫掃)RX Mapping'!BB54&gt;=481,'(橫掃)RX Mapping'!BB54&lt;=600), ('(橫掃)RX Mapping'!BB54-361),IF(AND('(橫掃)RX Mapping'!BB54&gt;=601,'(橫掃)RX Mapping'!BB54&lt;=720), (-1)*('(橫掃)RX Mapping'!BB54-720)+120,IF(AND('(橫掃)RX Mapping'!BB54&gt;=721,'(橫掃)RX Mapping'!BB54&lt;=840), ('(橫掃)RX Mapping'!BB54-601),IF(AND('(橫掃)RX Mapping'!BB54&gt;=841,'(橫掃)RX Mapping'!BB54&lt;=960), (-1)*('(橫掃)RX Mapping'!BB54-960)+120,9999))))))))</f>
        <v>9999</v>
      </c>
      <c r="BC54">
        <f>IF(AND('(橫掃)RX Mapping'!BC54&gt;=1,'(橫掃)RX Mapping'!BC54&lt;=120), ('(橫掃)RX Mapping'!BC54-1),IF(AND('(橫掃)RX Mapping'!BC54&gt;=121,'(橫掃)RX Mapping'!BC54&lt;=240), (-1)*('(橫掃)RX Mapping'!BC54-240),IF(AND('(橫掃)RX Mapping'!BC54&gt;=241,'(橫掃)RX Mapping'!BC54&lt;=360), ('(橫掃)RX Mapping'!BC54-241),IF(AND('(橫掃)RX Mapping'!BC54&gt;=361,'(橫掃)RX Mapping'!BC54&lt;=480), (-1)*('(橫掃)RX Mapping'!BC54-480),IF(AND('(橫掃)RX Mapping'!BC54&gt;=481,'(橫掃)RX Mapping'!BC54&lt;=600), ('(橫掃)RX Mapping'!BC54-361),IF(AND('(橫掃)RX Mapping'!BC54&gt;=601,'(橫掃)RX Mapping'!BC54&lt;=720), (-1)*('(橫掃)RX Mapping'!BC54-720)+120,IF(AND('(橫掃)RX Mapping'!BC54&gt;=721,'(橫掃)RX Mapping'!BC54&lt;=840), ('(橫掃)RX Mapping'!BC54-601),IF(AND('(橫掃)RX Mapping'!BC54&gt;=841,'(橫掃)RX Mapping'!BC54&lt;=960), (-1)*('(橫掃)RX Mapping'!BC54-960)+120,9999))))))))</f>
        <v>9999</v>
      </c>
      <c r="BD54">
        <f>IF(AND('(橫掃)RX Mapping'!BD54&gt;=1,'(橫掃)RX Mapping'!BD54&lt;=120), ('(橫掃)RX Mapping'!BD54-1),IF(AND('(橫掃)RX Mapping'!BD54&gt;=121,'(橫掃)RX Mapping'!BD54&lt;=240), (-1)*('(橫掃)RX Mapping'!BD54-240),IF(AND('(橫掃)RX Mapping'!BD54&gt;=241,'(橫掃)RX Mapping'!BD54&lt;=360), ('(橫掃)RX Mapping'!BD54-241),IF(AND('(橫掃)RX Mapping'!BD54&gt;=361,'(橫掃)RX Mapping'!BD54&lt;=480), (-1)*('(橫掃)RX Mapping'!BD54-480),IF(AND('(橫掃)RX Mapping'!BD54&gt;=481,'(橫掃)RX Mapping'!BD54&lt;=600), ('(橫掃)RX Mapping'!BD54-361),IF(AND('(橫掃)RX Mapping'!BD54&gt;=601,'(橫掃)RX Mapping'!BD54&lt;=720), (-1)*('(橫掃)RX Mapping'!BD54-720)+120,IF(AND('(橫掃)RX Mapping'!BD54&gt;=721,'(橫掃)RX Mapping'!BD54&lt;=840), ('(橫掃)RX Mapping'!BD54-601),IF(AND('(橫掃)RX Mapping'!BD54&gt;=841,'(橫掃)RX Mapping'!BD54&lt;=960), (-1)*('(橫掃)RX Mapping'!BD54-960)+120,9999))))))))</f>
        <v>9999</v>
      </c>
      <c r="BE54">
        <f>IF(AND('(橫掃)RX Mapping'!BE54&gt;=1,'(橫掃)RX Mapping'!BE54&lt;=120), ('(橫掃)RX Mapping'!BE54-1),IF(AND('(橫掃)RX Mapping'!BE54&gt;=121,'(橫掃)RX Mapping'!BE54&lt;=240), (-1)*('(橫掃)RX Mapping'!BE54-240),IF(AND('(橫掃)RX Mapping'!BE54&gt;=241,'(橫掃)RX Mapping'!BE54&lt;=360), ('(橫掃)RX Mapping'!BE54-241),IF(AND('(橫掃)RX Mapping'!BE54&gt;=361,'(橫掃)RX Mapping'!BE54&lt;=480), (-1)*('(橫掃)RX Mapping'!BE54-480),IF(AND('(橫掃)RX Mapping'!BE54&gt;=481,'(橫掃)RX Mapping'!BE54&lt;=600), ('(橫掃)RX Mapping'!BE54-361),IF(AND('(橫掃)RX Mapping'!BE54&gt;=601,'(橫掃)RX Mapping'!BE54&lt;=720), (-1)*('(橫掃)RX Mapping'!BE54-720)+120,IF(AND('(橫掃)RX Mapping'!BE54&gt;=721,'(橫掃)RX Mapping'!BE54&lt;=840), ('(橫掃)RX Mapping'!BE54-601),IF(AND('(橫掃)RX Mapping'!BE54&gt;=841,'(橫掃)RX Mapping'!BE54&lt;=960), (-1)*('(橫掃)RX Mapping'!BE54-960)+120,9999))))))))</f>
        <v>9999</v>
      </c>
      <c r="BF54">
        <f>IF(AND('(橫掃)RX Mapping'!BF54&gt;=1,'(橫掃)RX Mapping'!BF54&lt;=120), ('(橫掃)RX Mapping'!BF54-1),IF(AND('(橫掃)RX Mapping'!BF54&gt;=121,'(橫掃)RX Mapping'!BF54&lt;=240), (-1)*('(橫掃)RX Mapping'!BF54-240),IF(AND('(橫掃)RX Mapping'!BF54&gt;=241,'(橫掃)RX Mapping'!BF54&lt;=360), ('(橫掃)RX Mapping'!BF54-241),IF(AND('(橫掃)RX Mapping'!BF54&gt;=361,'(橫掃)RX Mapping'!BF54&lt;=480), (-1)*('(橫掃)RX Mapping'!BF54-480),IF(AND('(橫掃)RX Mapping'!BF54&gt;=481,'(橫掃)RX Mapping'!BF54&lt;=600), ('(橫掃)RX Mapping'!BF54-361),IF(AND('(橫掃)RX Mapping'!BF54&gt;=601,'(橫掃)RX Mapping'!BF54&lt;=720), (-1)*('(橫掃)RX Mapping'!BF54-720)+120,IF(AND('(橫掃)RX Mapping'!BF54&gt;=721,'(橫掃)RX Mapping'!BF54&lt;=840), ('(橫掃)RX Mapping'!BF54-601),IF(AND('(橫掃)RX Mapping'!BF54&gt;=841,'(橫掃)RX Mapping'!BF54&lt;=960), (-1)*('(橫掃)RX Mapping'!BF54-960)+120,9999))))))))</f>
        <v>9999</v>
      </c>
      <c r="BG54">
        <f>IF(AND('(橫掃)RX Mapping'!BG54&gt;=1,'(橫掃)RX Mapping'!BG54&lt;=120), ('(橫掃)RX Mapping'!BG54-1),IF(AND('(橫掃)RX Mapping'!BG54&gt;=121,'(橫掃)RX Mapping'!BG54&lt;=240), (-1)*('(橫掃)RX Mapping'!BG54-240),IF(AND('(橫掃)RX Mapping'!BG54&gt;=241,'(橫掃)RX Mapping'!BG54&lt;=360), ('(橫掃)RX Mapping'!BG54-241),IF(AND('(橫掃)RX Mapping'!BG54&gt;=361,'(橫掃)RX Mapping'!BG54&lt;=480), (-1)*('(橫掃)RX Mapping'!BG54-480),IF(AND('(橫掃)RX Mapping'!BG54&gt;=481,'(橫掃)RX Mapping'!BG54&lt;=600), ('(橫掃)RX Mapping'!BG54-361),IF(AND('(橫掃)RX Mapping'!BG54&gt;=601,'(橫掃)RX Mapping'!BG54&lt;=720), (-1)*('(橫掃)RX Mapping'!BG54-720)+120,IF(AND('(橫掃)RX Mapping'!BG54&gt;=721,'(橫掃)RX Mapping'!BG54&lt;=840), ('(橫掃)RX Mapping'!BG54-601),IF(AND('(橫掃)RX Mapping'!BG54&gt;=841,'(橫掃)RX Mapping'!BG54&lt;=960), (-1)*('(橫掃)RX Mapping'!BG54-960)+120,9999))))))))</f>
        <v>9999</v>
      </c>
      <c r="BH54">
        <f>IF(AND('(橫掃)RX Mapping'!BH54&gt;=1,'(橫掃)RX Mapping'!BH54&lt;=120), ('(橫掃)RX Mapping'!BH54-1),IF(AND('(橫掃)RX Mapping'!BH54&gt;=121,'(橫掃)RX Mapping'!BH54&lt;=240), (-1)*('(橫掃)RX Mapping'!BH54-240),IF(AND('(橫掃)RX Mapping'!BH54&gt;=241,'(橫掃)RX Mapping'!BH54&lt;=360), ('(橫掃)RX Mapping'!BH54-241),IF(AND('(橫掃)RX Mapping'!BH54&gt;=361,'(橫掃)RX Mapping'!BH54&lt;=480), (-1)*('(橫掃)RX Mapping'!BH54-480),IF(AND('(橫掃)RX Mapping'!BH54&gt;=481,'(橫掃)RX Mapping'!BH54&lt;=600), ('(橫掃)RX Mapping'!BH54-361),IF(AND('(橫掃)RX Mapping'!BH54&gt;=601,'(橫掃)RX Mapping'!BH54&lt;=720), (-1)*('(橫掃)RX Mapping'!BH54-720)+120,IF(AND('(橫掃)RX Mapping'!BH54&gt;=721,'(橫掃)RX Mapping'!BH54&lt;=840), ('(橫掃)RX Mapping'!BH54-601),IF(AND('(橫掃)RX Mapping'!BH54&gt;=841,'(橫掃)RX Mapping'!BH54&lt;=960), (-1)*('(橫掃)RX Mapping'!BH54-960)+120,9999))))))))</f>
        <v>9999</v>
      </c>
      <c r="BI54">
        <f>IF(AND('(橫掃)RX Mapping'!BI54&gt;=1,'(橫掃)RX Mapping'!BI54&lt;=120), ('(橫掃)RX Mapping'!BI54-1),IF(AND('(橫掃)RX Mapping'!BI54&gt;=121,'(橫掃)RX Mapping'!BI54&lt;=240), (-1)*('(橫掃)RX Mapping'!BI54-240),IF(AND('(橫掃)RX Mapping'!BI54&gt;=241,'(橫掃)RX Mapping'!BI54&lt;=360), ('(橫掃)RX Mapping'!BI54-241),IF(AND('(橫掃)RX Mapping'!BI54&gt;=361,'(橫掃)RX Mapping'!BI54&lt;=480), (-1)*('(橫掃)RX Mapping'!BI54-480),IF(AND('(橫掃)RX Mapping'!BI54&gt;=481,'(橫掃)RX Mapping'!BI54&lt;=600), ('(橫掃)RX Mapping'!BI54-361),IF(AND('(橫掃)RX Mapping'!BI54&gt;=601,'(橫掃)RX Mapping'!BI54&lt;=720), (-1)*('(橫掃)RX Mapping'!BI54-720)+120,IF(AND('(橫掃)RX Mapping'!BI54&gt;=721,'(橫掃)RX Mapping'!BI54&lt;=840), ('(橫掃)RX Mapping'!BI54-601),IF(AND('(橫掃)RX Mapping'!BI54&gt;=841,'(橫掃)RX Mapping'!BI54&lt;=960), (-1)*('(橫掃)RX Mapping'!BI54-960)+120,9999))))))))</f>
        <v>9999</v>
      </c>
    </row>
    <row r="55" spans="1:61" x14ac:dyDescent="0.25">
      <c r="A55" s="20">
        <v>54</v>
      </c>
      <c r="B55">
        <f>IF(AND('(橫掃)RX Mapping'!B55&gt;=1,'(橫掃)RX Mapping'!B55&lt;=120), ('(橫掃)RX Mapping'!B55-1),IF(AND('(橫掃)RX Mapping'!B55&gt;=121,'(橫掃)RX Mapping'!B55&lt;=240), (-1)*('(橫掃)RX Mapping'!B55-240),IF(AND('(橫掃)RX Mapping'!B55&gt;=241,'(橫掃)RX Mapping'!B55&lt;=360), ('(橫掃)RX Mapping'!B55-241),IF(AND('(橫掃)RX Mapping'!B55&gt;=361,'(橫掃)RX Mapping'!B55&lt;=480), (-1)*('(橫掃)RX Mapping'!B55-480),IF(AND('(橫掃)RX Mapping'!B55&gt;=481,'(橫掃)RX Mapping'!B55&lt;=600), ('(橫掃)RX Mapping'!B55-361),IF(AND('(橫掃)RX Mapping'!B55&gt;=601,'(橫掃)RX Mapping'!B55&lt;=720), (-1)*('(橫掃)RX Mapping'!B55-720)+120,IF(AND('(橫掃)RX Mapping'!B55&gt;=721,'(橫掃)RX Mapping'!B55&lt;=840), ('(橫掃)RX Mapping'!B55-601),IF(AND('(橫掃)RX Mapping'!B55&gt;=841,'(橫掃)RX Mapping'!B55&lt;=960), (-1)*('(橫掃)RX Mapping'!B55-960)+120,9999))))))))</f>
        <v>9999</v>
      </c>
      <c r="C55">
        <f>IF(AND('(橫掃)RX Mapping'!C55&gt;=1,'(橫掃)RX Mapping'!C55&lt;=120), ('(橫掃)RX Mapping'!C55-1),IF(AND('(橫掃)RX Mapping'!C55&gt;=121,'(橫掃)RX Mapping'!C55&lt;=240), (-1)*('(橫掃)RX Mapping'!C55-240),IF(AND('(橫掃)RX Mapping'!C55&gt;=241,'(橫掃)RX Mapping'!C55&lt;=360), ('(橫掃)RX Mapping'!C55-241),IF(AND('(橫掃)RX Mapping'!C55&gt;=361,'(橫掃)RX Mapping'!C55&lt;=480), (-1)*('(橫掃)RX Mapping'!C55-480),IF(AND('(橫掃)RX Mapping'!C55&gt;=481,'(橫掃)RX Mapping'!C55&lt;=600), ('(橫掃)RX Mapping'!C55-361),IF(AND('(橫掃)RX Mapping'!C55&gt;=601,'(橫掃)RX Mapping'!C55&lt;=720), (-1)*('(橫掃)RX Mapping'!C55-720)+120,IF(AND('(橫掃)RX Mapping'!C55&gt;=721,'(橫掃)RX Mapping'!C55&lt;=840), ('(橫掃)RX Mapping'!C55-601),IF(AND('(橫掃)RX Mapping'!C55&gt;=841,'(橫掃)RX Mapping'!C55&lt;=960), (-1)*('(橫掃)RX Mapping'!C55-960)+120,9999))))))))</f>
        <v>9999</v>
      </c>
      <c r="D55">
        <f>IF(AND('(橫掃)RX Mapping'!D55&gt;=1,'(橫掃)RX Mapping'!D55&lt;=120), ('(橫掃)RX Mapping'!D55-1),IF(AND('(橫掃)RX Mapping'!D55&gt;=121,'(橫掃)RX Mapping'!D55&lt;=240), (-1)*('(橫掃)RX Mapping'!D55-240),IF(AND('(橫掃)RX Mapping'!D55&gt;=241,'(橫掃)RX Mapping'!D55&lt;=360), ('(橫掃)RX Mapping'!D55-241),IF(AND('(橫掃)RX Mapping'!D55&gt;=361,'(橫掃)RX Mapping'!D55&lt;=480), (-1)*('(橫掃)RX Mapping'!D55-480),IF(AND('(橫掃)RX Mapping'!D55&gt;=481,'(橫掃)RX Mapping'!D55&lt;=600), ('(橫掃)RX Mapping'!D55-361),IF(AND('(橫掃)RX Mapping'!D55&gt;=601,'(橫掃)RX Mapping'!D55&lt;=720), (-1)*('(橫掃)RX Mapping'!D55-720)+120,IF(AND('(橫掃)RX Mapping'!D55&gt;=721,'(橫掃)RX Mapping'!D55&lt;=840), ('(橫掃)RX Mapping'!D55-601),IF(AND('(橫掃)RX Mapping'!D55&gt;=841,'(橫掃)RX Mapping'!D55&lt;=960), (-1)*('(橫掃)RX Mapping'!D55-960)+120,9999))))))))</f>
        <v>9999</v>
      </c>
      <c r="E55">
        <f>IF(AND('(橫掃)RX Mapping'!E55&gt;=1,'(橫掃)RX Mapping'!E55&lt;=120), ('(橫掃)RX Mapping'!E55-1),IF(AND('(橫掃)RX Mapping'!E55&gt;=121,'(橫掃)RX Mapping'!E55&lt;=240), (-1)*('(橫掃)RX Mapping'!E55-240),IF(AND('(橫掃)RX Mapping'!E55&gt;=241,'(橫掃)RX Mapping'!E55&lt;=360), ('(橫掃)RX Mapping'!E55-241),IF(AND('(橫掃)RX Mapping'!E55&gt;=361,'(橫掃)RX Mapping'!E55&lt;=480), (-1)*('(橫掃)RX Mapping'!E55-480),IF(AND('(橫掃)RX Mapping'!E55&gt;=481,'(橫掃)RX Mapping'!E55&lt;=600), ('(橫掃)RX Mapping'!E55-361),IF(AND('(橫掃)RX Mapping'!E55&gt;=601,'(橫掃)RX Mapping'!E55&lt;=720), (-1)*('(橫掃)RX Mapping'!E55-720)+120,IF(AND('(橫掃)RX Mapping'!E55&gt;=721,'(橫掃)RX Mapping'!E55&lt;=840), ('(橫掃)RX Mapping'!E55-601),IF(AND('(橫掃)RX Mapping'!E55&gt;=841,'(橫掃)RX Mapping'!E55&lt;=960), (-1)*('(橫掃)RX Mapping'!E55-960)+120,9999))))))))</f>
        <v>9999</v>
      </c>
      <c r="F55">
        <f>IF(AND('(橫掃)RX Mapping'!F55&gt;=1,'(橫掃)RX Mapping'!F55&lt;=120), ('(橫掃)RX Mapping'!F55-1),IF(AND('(橫掃)RX Mapping'!F55&gt;=121,'(橫掃)RX Mapping'!F55&lt;=240), (-1)*('(橫掃)RX Mapping'!F55-240),IF(AND('(橫掃)RX Mapping'!F55&gt;=241,'(橫掃)RX Mapping'!F55&lt;=360), ('(橫掃)RX Mapping'!F55-241),IF(AND('(橫掃)RX Mapping'!F55&gt;=361,'(橫掃)RX Mapping'!F55&lt;=480), (-1)*('(橫掃)RX Mapping'!F55-480),IF(AND('(橫掃)RX Mapping'!F55&gt;=481,'(橫掃)RX Mapping'!F55&lt;=600), ('(橫掃)RX Mapping'!F55-361),IF(AND('(橫掃)RX Mapping'!F55&gt;=601,'(橫掃)RX Mapping'!F55&lt;=720), (-1)*('(橫掃)RX Mapping'!F55-720)+120,IF(AND('(橫掃)RX Mapping'!F55&gt;=721,'(橫掃)RX Mapping'!F55&lt;=840), ('(橫掃)RX Mapping'!F55-601),IF(AND('(橫掃)RX Mapping'!F55&gt;=841,'(橫掃)RX Mapping'!F55&lt;=960), (-1)*('(橫掃)RX Mapping'!F55-960)+120,9999))))))))</f>
        <v>9999</v>
      </c>
      <c r="G55">
        <f>IF(AND('(橫掃)RX Mapping'!G55&gt;=1,'(橫掃)RX Mapping'!G55&lt;=120), ('(橫掃)RX Mapping'!G55-1),IF(AND('(橫掃)RX Mapping'!G55&gt;=121,'(橫掃)RX Mapping'!G55&lt;=240), (-1)*('(橫掃)RX Mapping'!G55-240),IF(AND('(橫掃)RX Mapping'!G55&gt;=241,'(橫掃)RX Mapping'!G55&lt;=360), ('(橫掃)RX Mapping'!G55-241),IF(AND('(橫掃)RX Mapping'!G55&gt;=361,'(橫掃)RX Mapping'!G55&lt;=480), (-1)*('(橫掃)RX Mapping'!G55-480),IF(AND('(橫掃)RX Mapping'!G55&gt;=481,'(橫掃)RX Mapping'!G55&lt;=600), ('(橫掃)RX Mapping'!G55-361),IF(AND('(橫掃)RX Mapping'!G55&gt;=601,'(橫掃)RX Mapping'!G55&lt;=720), (-1)*('(橫掃)RX Mapping'!G55-720)+120,IF(AND('(橫掃)RX Mapping'!G55&gt;=721,'(橫掃)RX Mapping'!G55&lt;=840), ('(橫掃)RX Mapping'!G55-601),IF(AND('(橫掃)RX Mapping'!G55&gt;=841,'(橫掃)RX Mapping'!G55&lt;=960), (-1)*('(橫掃)RX Mapping'!G55-960)+120,9999))))))))</f>
        <v>9999</v>
      </c>
      <c r="H55">
        <f>IF(AND('(橫掃)RX Mapping'!H55&gt;=1,'(橫掃)RX Mapping'!H55&lt;=120), ('(橫掃)RX Mapping'!H55-1),IF(AND('(橫掃)RX Mapping'!H55&gt;=121,'(橫掃)RX Mapping'!H55&lt;=240), (-1)*('(橫掃)RX Mapping'!H55-240),IF(AND('(橫掃)RX Mapping'!H55&gt;=241,'(橫掃)RX Mapping'!H55&lt;=360), ('(橫掃)RX Mapping'!H55-241),IF(AND('(橫掃)RX Mapping'!H55&gt;=361,'(橫掃)RX Mapping'!H55&lt;=480), (-1)*('(橫掃)RX Mapping'!H55-480),IF(AND('(橫掃)RX Mapping'!H55&gt;=481,'(橫掃)RX Mapping'!H55&lt;=600), ('(橫掃)RX Mapping'!H55-361),IF(AND('(橫掃)RX Mapping'!H55&gt;=601,'(橫掃)RX Mapping'!H55&lt;=720), (-1)*('(橫掃)RX Mapping'!H55-720)+120,IF(AND('(橫掃)RX Mapping'!H55&gt;=721,'(橫掃)RX Mapping'!H55&lt;=840), ('(橫掃)RX Mapping'!H55-601),IF(AND('(橫掃)RX Mapping'!H55&gt;=841,'(橫掃)RX Mapping'!H55&lt;=960), (-1)*('(橫掃)RX Mapping'!H55-960)+120,9999))))))))</f>
        <v>9999</v>
      </c>
      <c r="I55">
        <f>IF(AND('(橫掃)RX Mapping'!I55&gt;=1,'(橫掃)RX Mapping'!I55&lt;=120), ('(橫掃)RX Mapping'!I55-1),IF(AND('(橫掃)RX Mapping'!I55&gt;=121,'(橫掃)RX Mapping'!I55&lt;=240), (-1)*('(橫掃)RX Mapping'!I55-240),IF(AND('(橫掃)RX Mapping'!I55&gt;=241,'(橫掃)RX Mapping'!I55&lt;=360), ('(橫掃)RX Mapping'!I55-241),IF(AND('(橫掃)RX Mapping'!I55&gt;=361,'(橫掃)RX Mapping'!I55&lt;=480), (-1)*('(橫掃)RX Mapping'!I55-480),IF(AND('(橫掃)RX Mapping'!I55&gt;=481,'(橫掃)RX Mapping'!I55&lt;=600), ('(橫掃)RX Mapping'!I55-361),IF(AND('(橫掃)RX Mapping'!I55&gt;=601,'(橫掃)RX Mapping'!I55&lt;=720), (-1)*('(橫掃)RX Mapping'!I55-720)+120,IF(AND('(橫掃)RX Mapping'!I55&gt;=721,'(橫掃)RX Mapping'!I55&lt;=840), ('(橫掃)RX Mapping'!I55-601),IF(AND('(橫掃)RX Mapping'!I55&gt;=841,'(橫掃)RX Mapping'!I55&lt;=960), (-1)*('(橫掃)RX Mapping'!I55-960)+120,9999))))))))</f>
        <v>9999</v>
      </c>
      <c r="J55">
        <f>IF(AND('(橫掃)RX Mapping'!J55&gt;=1,'(橫掃)RX Mapping'!J55&lt;=120), ('(橫掃)RX Mapping'!J55-1),IF(AND('(橫掃)RX Mapping'!J55&gt;=121,'(橫掃)RX Mapping'!J55&lt;=240), (-1)*('(橫掃)RX Mapping'!J55-240),IF(AND('(橫掃)RX Mapping'!J55&gt;=241,'(橫掃)RX Mapping'!J55&lt;=360), ('(橫掃)RX Mapping'!J55-241),IF(AND('(橫掃)RX Mapping'!J55&gt;=361,'(橫掃)RX Mapping'!J55&lt;=480), (-1)*('(橫掃)RX Mapping'!J55-480),IF(AND('(橫掃)RX Mapping'!J55&gt;=481,'(橫掃)RX Mapping'!J55&lt;=600), ('(橫掃)RX Mapping'!J55-361),IF(AND('(橫掃)RX Mapping'!J55&gt;=601,'(橫掃)RX Mapping'!J55&lt;=720), (-1)*('(橫掃)RX Mapping'!J55-720)+120,IF(AND('(橫掃)RX Mapping'!J55&gt;=721,'(橫掃)RX Mapping'!J55&lt;=840), ('(橫掃)RX Mapping'!J55-601),IF(AND('(橫掃)RX Mapping'!J55&gt;=841,'(橫掃)RX Mapping'!J55&lt;=960), (-1)*('(橫掃)RX Mapping'!J55-960)+120,9999))))))))</f>
        <v>9999</v>
      </c>
      <c r="K55">
        <f>IF(AND('(橫掃)RX Mapping'!K55&gt;=1,'(橫掃)RX Mapping'!K55&lt;=120), ('(橫掃)RX Mapping'!K55-1),IF(AND('(橫掃)RX Mapping'!K55&gt;=121,'(橫掃)RX Mapping'!K55&lt;=240), (-1)*('(橫掃)RX Mapping'!K55-240),IF(AND('(橫掃)RX Mapping'!K55&gt;=241,'(橫掃)RX Mapping'!K55&lt;=360), ('(橫掃)RX Mapping'!K55-241),IF(AND('(橫掃)RX Mapping'!K55&gt;=361,'(橫掃)RX Mapping'!K55&lt;=480), (-1)*('(橫掃)RX Mapping'!K55-480),IF(AND('(橫掃)RX Mapping'!K55&gt;=481,'(橫掃)RX Mapping'!K55&lt;=600), ('(橫掃)RX Mapping'!K55-361),IF(AND('(橫掃)RX Mapping'!K55&gt;=601,'(橫掃)RX Mapping'!K55&lt;=720), (-1)*('(橫掃)RX Mapping'!K55-720)+120,IF(AND('(橫掃)RX Mapping'!K55&gt;=721,'(橫掃)RX Mapping'!K55&lt;=840), ('(橫掃)RX Mapping'!K55-601),IF(AND('(橫掃)RX Mapping'!K55&gt;=841,'(橫掃)RX Mapping'!K55&lt;=960), (-1)*('(橫掃)RX Mapping'!K55-960)+120,9999))))))))</f>
        <v>9999</v>
      </c>
      <c r="L55">
        <f>IF(AND('(橫掃)RX Mapping'!L55&gt;=1,'(橫掃)RX Mapping'!L55&lt;=120), ('(橫掃)RX Mapping'!L55-1),IF(AND('(橫掃)RX Mapping'!L55&gt;=121,'(橫掃)RX Mapping'!L55&lt;=240), (-1)*('(橫掃)RX Mapping'!L55-240),IF(AND('(橫掃)RX Mapping'!L55&gt;=241,'(橫掃)RX Mapping'!L55&lt;=360), ('(橫掃)RX Mapping'!L55-241),IF(AND('(橫掃)RX Mapping'!L55&gt;=361,'(橫掃)RX Mapping'!L55&lt;=480), (-1)*('(橫掃)RX Mapping'!L55-480),IF(AND('(橫掃)RX Mapping'!L55&gt;=481,'(橫掃)RX Mapping'!L55&lt;=600), ('(橫掃)RX Mapping'!L55-361),IF(AND('(橫掃)RX Mapping'!L55&gt;=601,'(橫掃)RX Mapping'!L55&lt;=720), (-1)*('(橫掃)RX Mapping'!L55-720)+120,IF(AND('(橫掃)RX Mapping'!L55&gt;=721,'(橫掃)RX Mapping'!L55&lt;=840), ('(橫掃)RX Mapping'!L55-601),IF(AND('(橫掃)RX Mapping'!L55&gt;=841,'(橫掃)RX Mapping'!L55&lt;=960), (-1)*('(橫掃)RX Mapping'!L55-960)+120,9999))))))))</f>
        <v>9999</v>
      </c>
      <c r="M55">
        <f>IF(AND('(橫掃)RX Mapping'!M55&gt;=1,'(橫掃)RX Mapping'!M55&lt;=120), ('(橫掃)RX Mapping'!M55-1),IF(AND('(橫掃)RX Mapping'!M55&gt;=121,'(橫掃)RX Mapping'!M55&lt;=240), (-1)*('(橫掃)RX Mapping'!M55-240),IF(AND('(橫掃)RX Mapping'!M55&gt;=241,'(橫掃)RX Mapping'!M55&lt;=360), ('(橫掃)RX Mapping'!M55-241),IF(AND('(橫掃)RX Mapping'!M55&gt;=361,'(橫掃)RX Mapping'!M55&lt;=480), (-1)*('(橫掃)RX Mapping'!M55-480),IF(AND('(橫掃)RX Mapping'!M55&gt;=481,'(橫掃)RX Mapping'!M55&lt;=600), ('(橫掃)RX Mapping'!M55-361),IF(AND('(橫掃)RX Mapping'!M55&gt;=601,'(橫掃)RX Mapping'!M55&lt;=720), (-1)*('(橫掃)RX Mapping'!M55-720)+120,IF(AND('(橫掃)RX Mapping'!M55&gt;=721,'(橫掃)RX Mapping'!M55&lt;=840), ('(橫掃)RX Mapping'!M55-601),IF(AND('(橫掃)RX Mapping'!M55&gt;=841,'(橫掃)RX Mapping'!M55&lt;=960), (-1)*('(橫掃)RX Mapping'!M55-960)+120,9999))))))))</f>
        <v>9999</v>
      </c>
      <c r="N55">
        <f>IF(AND('(橫掃)RX Mapping'!N55&gt;=1,'(橫掃)RX Mapping'!N55&lt;=120), ('(橫掃)RX Mapping'!N55-1),IF(AND('(橫掃)RX Mapping'!N55&gt;=121,'(橫掃)RX Mapping'!N55&lt;=240), (-1)*('(橫掃)RX Mapping'!N55-240),IF(AND('(橫掃)RX Mapping'!N55&gt;=241,'(橫掃)RX Mapping'!N55&lt;=360), ('(橫掃)RX Mapping'!N55-241),IF(AND('(橫掃)RX Mapping'!N55&gt;=361,'(橫掃)RX Mapping'!N55&lt;=480), (-1)*('(橫掃)RX Mapping'!N55-480),IF(AND('(橫掃)RX Mapping'!N55&gt;=481,'(橫掃)RX Mapping'!N55&lt;=600), ('(橫掃)RX Mapping'!N55-361),IF(AND('(橫掃)RX Mapping'!N55&gt;=601,'(橫掃)RX Mapping'!N55&lt;=720), (-1)*('(橫掃)RX Mapping'!N55-720)+120,IF(AND('(橫掃)RX Mapping'!N55&gt;=721,'(橫掃)RX Mapping'!N55&lt;=840), ('(橫掃)RX Mapping'!N55-601),IF(AND('(橫掃)RX Mapping'!N55&gt;=841,'(橫掃)RX Mapping'!N55&lt;=960), (-1)*('(橫掃)RX Mapping'!N55-960)+120,9999))))))))</f>
        <v>9999</v>
      </c>
      <c r="O55">
        <f>IF(AND('(橫掃)RX Mapping'!O55&gt;=1,'(橫掃)RX Mapping'!O55&lt;=120), ('(橫掃)RX Mapping'!O55-1),IF(AND('(橫掃)RX Mapping'!O55&gt;=121,'(橫掃)RX Mapping'!O55&lt;=240), (-1)*('(橫掃)RX Mapping'!O55-240),IF(AND('(橫掃)RX Mapping'!O55&gt;=241,'(橫掃)RX Mapping'!O55&lt;=360), ('(橫掃)RX Mapping'!O55-241),IF(AND('(橫掃)RX Mapping'!O55&gt;=361,'(橫掃)RX Mapping'!O55&lt;=480), (-1)*('(橫掃)RX Mapping'!O55-480),IF(AND('(橫掃)RX Mapping'!O55&gt;=481,'(橫掃)RX Mapping'!O55&lt;=600), ('(橫掃)RX Mapping'!O55-361),IF(AND('(橫掃)RX Mapping'!O55&gt;=601,'(橫掃)RX Mapping'!O55&lt;=720), (-1)*('(橫掃)RX Mapping'!O55-720)+120,IF(AND('(橫掃)RX Mapping'!O55&gt;=721,'(橫掃)RX Mapping'!O55&lt;=840), ('(橫掃)RX Mapping'!O55-601),IF(AND('(橫掃)RX Mapping'!O55&gt;=841,'(橫掃)RX Mapping'!O55&lt;=960), (-1)*('(橫掃)RX Mapping'!O55-960)+120,9999))))))))</f>
        <v>9999</v>
      </c>
      <c r="P55">
        <f>IF(AND('(橫掃)RX Mapping'!P55&gt;=1,'(橫掃)RX Mapping'!P55&lt;=120), ('(橫掃)RX Mapping'!P55-1),IF(AND('(橫掃)RX Mapping'!P55&gt;=121,'(橫掃)RX Mapping'!P55&lt;=240), (-1)*('(橫掃)RX Mapping'!P55-240),IF(AND('(橫掃)RX Mapping'!P55&gt;=241,'(橫掃)RX Mapping'!P55&lt;=360), ('(橫掃)RX Mapping'!P55-241),IF(AND('(橫掃)RX Mapping'!P55&gt;=361,'(橫掃)RX Mapping'!P55&lt;=480), (-1)*('(橫掃)RX Mapping'!P55-480),IF(AND('(橫掃)RX Mapping'!P55&gt;=481,'(橫掃)RX Mapping'!P55&lt;=600), ('(橫掃)RX Mapping'!P55-361),IF(AND('(橫掃)RX Mapping'!P55&gt;=601,'(橫掃)RX Mapping'!P55&lt;=720), (-1)*('(橫掃)RX Mapping'!P55-720)+120,IF(AND('(橫掃)RX Mapping'!P55&gt;=721,'(橫掃)RX Mapping'!P55&lt;=840), ('(橫掃)RX Mapping'!P55-601),IF(AND('(橫掃)RX Mapping'!P55&gt;=841,'(橫掃)RX Mapping'!P55&lt;=960), (-1)*('(橫掃)RX Mapping'!P55-960)+120,9999))))))))</f>
        <v>9999</v>
      </c>
      <c r="Q55">
        <f>IF(AND('(橫掃)RX Mapping'!Q55&gt;=1,'(橫掃)RX Mapping'!Q55&lt;=120), ('(橫掃)RX Mapping'!Q55-1),IF(AND('(橫掃)RX Mapping'!Q55&gt;=121,'(橫掃)RX Mapping'!Q55&lt;=240), (-1)*('(橫掃)RX Mapping'!Q55-240),IF(AND('(橫掃)RX Mapping'!Q55&gt;=241,'(橫掃)RX Mapping'!Q55&lt;=360), ('(橫掃)RX Mapping'!Q55-241),IF(AND('(橫掃)RX Mapping'!Q55&gt;=361,'(橫掃)RX Mapping'!Q55&lt;=480), (-1)*('(橫掃)RX Mapping'!Q55-480),IF(AND('(橫掃)RX Mapping'!Q55&gt;=481,'(橫掃)RX Mapping'!Q55&lt;=600), ('(橫掃)RX Mapping'!Q55-361),IF(AND('(橫掃)RX Mapping'!Q55&gt;=601,'(橫掃)RX Mapping'!Q55&lt;=720), (-1)*('(橫掃)RX Mapping'!Q55-720)+120,IF(AND('(橫掃)RX Mapping'!Q55&gt;=721,'(橫掃)RX Mapping'!Q55&lt;=840), ('(橫掃)RX Mapping'!Q55-601),IF(AND('(橫掃)RX Mapping'!Q55&gt;=841,'(橫掃)RX Mapping'!Q55&lt;=960), (-1)*('(橫掃)RX Mapping'!Q55-960)+120,9999))))))))</f>
        <v>9999</v>
      </c>
      <c r="R55">
        <f>IF(AND('(橫掃)RX Mapping'!R55&gt;=1,'(橫掃)RX Mapping'!R55&lt;=120), ('(橫掃)RX Mapping'!R55-1),IF(AND('(橫掃)RX Mapping'!R55&gt;=121,'(橫掃)RX Mapping'!R55&lt;=240), (-1)*('(橫掃)RX Mapping'!R55-240),IF(AND('(橫掃)RX Mapping'!R55&gt;=241,'(橫掃)RX Mapping'!R55&lt;=360), ('(橫掃)RX Mapping'!R55-241),IF(AND('(橫掃)RX Mapping'!R55&gt;=361,'(橫掃)RX Mapping'!R55&lt;=480), (-1)*('(橫掃)RX Mapping'!R55-480),IF(AND('(橫掃)RX Mapping'!R55&gt;=481,'(橫掃)RX Mapping'!R55&lt;=600), ('(橫掃)RX Mapping'!R55-361),IF(AND('(橫掃)RX Mapping'!R55&gt;=601,'(橫掃)RX Mapping'!R55&lt;=720), (-1)*('(橫掃)RX Mapping'!R55-720)+120,IF(AND('(橫掃)RX Mapping'!R55&gt;=721,'(橫掃)RX Mapping'!R55&lt;=840), ('(橫掃)RX Mapping'!R55-601),IF(AND('(橫掃)RX Mapping'!R55&gt;=841,'(橫掃)RX Mapping'!R55&lt;=960), (-1)*('(橫掃)RX Mapping'!R55-960)+120,9999))))))))</f>
        <v>9999</v>
      </c>
      <c r="S55">
        <f>IF(AND('(橫掃)RX Mapping'!S55&gt;=1,'(橫掃)RX Mapping'!S55&lt;=120), ('(橫掃)RX Mapping'!S55-1),IF(AND('(橫掃)RX Mapping'!S55&gt;=121,'(橫掃)RX Mapping'!S55&lt;=240), (-1)*('(橫掃)RX Mapping'!S55-240),IF(AND('(橫掃)RX Mapping'!S55&gt;=241,'(橫掃)RX Mapping'!S55&lt;=360), ('(橫掃)RX Mapping'!S55-241),IF(AND('(橫掃)RX Mapping'!S55&gt;=361,'(橫掃)RX Mapping'!S55&lt;=480), (-1)*('(橫掃)RX Mapping'!S55-480),IF(AND('(橫掃)RX Mapping'!S55&gt;=481,'(橫掃)RX Mapping'!S55&lt;=600), ('(橫掃)RX Mapping'!S55-361),IF(AND('(橫掃)RX Mapping'!S55&gt;=601,'(橫掃)RX Mapping'!S55&lt;=720), (-1)*('(橫掃)RX Mapping'!S55-720)+120,IF(AND('(橫掃)RX Mapping'!S55&gt;=721,'(橫掃)RX Mapping'!S55&lt;=840), ('(橫掃)RX Mapping'!S55-601),IF(AND('(橫掃)RX Mapping'!S55&gt;=841,'(橫掃)RX Mapping'!S55&lt;=960), (-1)*('(橫掃)RX Mapping'!S55-960)+120,9999))))))))</f>
        <v>9999</v>
      </c>
      <c r="T55">
        <f>IF(AND('(橫掃)RX Mapping'!T55&gt;=1,'(橫掃)RX Mapping'!T55&lt;=120), ('(橫掃)RX Mapping'!T55-1),IF(AND('(橫掃)RX Mapping'!T55&gt;=121,'(橫掃)RX Mapping'!T55&lt;=240), (-1)*('(橫掃)RX Mapping'!T55-240),IF(AND('(橫掃)RX Mapping'!T55&gt;=241,'(橫掃)RX Mapping'!T55&lt;=360), ('(橫掃)RX Mapping'!T55-241),IF(AND('(橫掃)RX Mapping'!T55&gt;=361,'(橫掃)RX Mapping'!T55&lt;=480), (-1)*('(橫掃)RX Mapping'!T55-480),IF(AND('(橫掃)RX Mapping'!T55&gt;=481,'(橫掃)RX Mapping'!T55&lt;=600), ('(橫掃)RX Mapping'!T55-361),IF(AND('(橫掃)RX Mapping'!T55&gt;=601,'(橫掃)RX Mapping'!T55&lt;=720), (-1)*('(橫掃)RX Mapping'!T55-720)+120,IF(AND('(橫掃)RX Mapping'!T55&gt;=721,'(橫掃)RX Mapping'!T55&lt;=840), ('(橫掃)RX Mapping'!T55-601),IF(AND('(橫掃)RX Mapping'!T55&gt;=841,'(橫掃)RX Mapping'!T55&lt;=960), (-1)*('(橫掃)RX Mapping'!T55-960)+120,9999))))))))</f>
        <v>9999</v>
      </c>
      <c r="U55">
        <f>IF(AND('(橫掃)RX Mapping'!U55&gt;=1,'(橫掃)RX Mapping'!U55&lt;=120), ('(橫掃)RX Mapping'!U55-1),IF(AND('(橫掃)RX Mapping'!U55&gt;=121,'(橫掃)RX Mapping'!U55&lt;=240), (-1)*('(橫掃)RX Mapping'!U55-240),IF(AND('(橫掃)RX Mapping'!U55&gt;=241,'(橫掃)RX Mapping'!U55&lt;=360), ('(橫掃)RX Mapping'!U55-241),IF(AND('(橫掃)RX Mapping'!U55&gt;=361,'(橫掃)RX Mapping'!U55&lt;=480), (-1)*('(橫掃)RX Mapping'!U55-480),IF(AND('(橫掃)RX Mapping'!U55&gt;=481,'(橫掃)RX Mapping'!U55&lt;=600), ('(橫掃)RX Mapping'!U55-361),IF(AND('(橫掃)RX Mapping'!U55&gt;=601,'(橫掃)RX Mapping'!U55&lt;=720), (-1)*('(橫掃)RX Mapping'!U55-720)+120,IF(AND('(橫掃)RX Mapping'!U55&gt;=721,'(橫掃)RX Mapping'!U55&lt;=840), ('(橫掃)RX Mapping'!U55-601),IF(AND('(橫掃)RX Mapping'!U55&gt;=841,'(橫掃)RX Mapping'!U55&lt;=960), (-1)*('(橫掃)RX Mapping'!U55-960)+120,9999))))))))</f>
        <v>9999</v>
      </c>
      <c r="V55">
        <f>IF(AND('(橫掃)RX Mapping'!V55&gt;=1,'(橫掃)RX Mapping'!V55&lt;=120), ('(橫掃)RX Mapping'!V55-1),IF(AND('(橫掃)RX Mapping'!V55&gt;=121,'(橫掃)RX Mapping'!V55&lt;=240), (-1)*('(橫掃)RX Mapping'!V55-240),IF(AND('(橫掃)RX Mapping'!V55&gt;=241,'(橫掃)RX Mapping'!V55&lt;=360), ('(橫掃)RX Mapping'!V55-241),IF(AND('(橫掃)RX Mapping'!V55&gt;=361,'(橫掃)RX Mapping'!V55&lt;=480), (-1)*('(橫掃)RX Mapping'!V55-480),IF(AND('(橫掃)RX Mapping'!V55&gt;=481,'(橫掃)RX Mapping'!V55&lt;=600), ('(橫掃)RX Mapping'!V55-361),IF(AND('(橫掃)RX Mapping'!V55&gt;=601,'(橫掃)RX Mapping'!V55&lt;=720), (-1)*('(橫掃)RX Mapping'!V55-720)+120,IF(AND('(橫掃)RX Mapping'!V55&gt;=721,'(橫掃)RX Mapping'!V55&lt;=840), ('(橫掃)RX Mapping'!V55-601),IF(AND('(橫掃)RX Mapping'!V55&gt;=841,'(橫掃)RX Mapping'!V55&lt;=960), (-1)*('(橫掃)RX Mapping'!V55-960)+120,9999))))))))</f>
        <v>9999</v>
      </c>
      <c r="W55">
        <f>IF(AND('(橫掃)RX Mapping'!W55&gt;=1,'(橫掃)RX Mapping'!W55&lt;=120), ('(橫掃)RX Mapping'!W55-1),IF(AND('(橫掃)RX Mapping'!W55&gt;=121,'(橫掃)RX Mapping'!W55&lt;=240), (-1)*('(橫掃)RX Mapping'!W55-240),IF(AND('(橫掃)RX Mapping'!W55&gt;=241,'(橫掃)RX Mapping'!W55&lt;=360), ('(橫掃)RX Mapping'!W55-241),IF(AND('(橫掃)RX Mapping'!W55&gt;=361,'(橫掃)RX Mapping'!W55&lt;=480), (-1)*('(橫掃)RX Mapping'!W55-480),IF(AND('(橫掃)RX Mapping'!W55&gt;=481,'(橫掃)RX Mapping'!W55&lt;=600), ('(橫掃)RX Mapping'!W55-361),IF(AND('(橫掃)RX Mapping'!W55&gt;=601,'(橫掃)RX Mapping'!W55&lt;=720), (-1)*('(橫掃)RX Mapping'!W55-720)+120,IF(AND('(橫掃)RX Mapping'!W55&gt;=721,'(橫掃)RX Mapping'!W55&lt;=840), ('(橫掃)RX Mapping'!W55-601),IF(AND('(橫掃)RX Mapping'!W55&gt;=841,'(橫掃)RX Mapping'!W55&lt;=960), (-1)*('(橫掃)RX Mapping'!W55-960)+120,9999))))))))</f>
        <v>9999</v>
      </c>
      <c r="X55">
        <f>IF(AND('(橫掃)RX Mapping'!X55&gt;=1,'(橫掃)RX Mapping'!X55&lt;=120), ('(橫掃)RX Mapping'!X55-1),IF(AND('(橫掃)RX Mapping'!X55&gt;=121,'(橫掃)RX Mapping'!X55&lt;=240), (-1)*('(橫掃)RX Mapping'!X55-240),IF(AND('(橫掃)RX Mapping'!X55&gt;=241,'(橫掃)RX Mapping'!X55&lt;=360), ('(橫掃)RX Mapping'!X55-241),IF(AND('(橫掃)RX Mapping'!X55&gt;=361,'(橫掃)RX Mapping'!X55&lt;=480), (-1)*('(橫掃)RX Mapping'!X55-480),IF(AND('(橫掃)RX Mapping'!X55&gt;=481,'(橫掃)RX Mapping'!X55&lt;=600), ('(橫掃)RX Mapping'!X55-361),IF(AND('(橫掃)RX Mapping'!X55&gt;=601,'(橫掃)RX Mapping'!X55&lt;=720), (-1)*('(橫掃)RX Mapping'!X55-720)+120,IF(AND('(橫掃)RX Mapping'!X55&gt;=721,'(橫掃)RX Mapping'!X55&lt;=840), ('(橫掃)RX Mapping'!X55-601),IF(AND('(橫掃)RX Mapping'!X55&gt;=841,'(橫掃)RX Mapping'!X55&lt;=960), (-1)*('(橫掃)RX Mapping'!X55-960)+120,9999))))))))</f>
        <v>9999</v>
      </c>
      <c r="Y55">
        <f>IF(AND('(橫掃)RX Mapping'!Y55&gt;=1,'(橫掃)RX Mapping'!Y55&lt;=120), ('(橫掃)RX Mapping'!Y55-1),IF(AND('(橫掃)RX Mapping'!Y55&gt;=121,'(橫掃)RX Mapping'!Y55&lt;=240), (-1)*('(橫掃)RX Mapping'!Y55-240),IF(AND('(橫掃)RX Mapping'!Y55&gt;=241,'(橫掃)RX Mapping'!Y55&lt;=360), ('(橫掃)RX Mapping'!Y55-241),IF(AND('(橫掃)RX Mapping'!Y55&gt;=361,'(橫掃)RX Mapping'!Y55&lt;=480), (-1)*('(橫掃)RX Mapping'!Y55-480),IF(AND('(橫掃)RX Mapping'!Y55&gt;=481,'(橫掃)RX Mapping'!Y55&lt;=600), ('(橫掃)RX Mapping'!Y55-361),IF(AND('(橫掃)RX Mapping'!Y55&gt;=601,'(橫掃)RX Mapping'!Y55&lt;=720), (-1)*('(橫掃)RX Mapping'!Y55-720)+120,IF(AND('(橫掃)RX Mapping'!Y55&gt;=721,'(橫掃)RX Mapping'!Y55&lt;=840), ('(橫掃)RX Mapping'!Y55-601),IF(AND('(橫掃)RX Mapping'!Y55&gt;=841,'(橫掃)RX Mapping'!Y55&lt;=960), (-1)*('(橫掃)RX Mapping'!Y55-960)+120,9999))))))))</f>
        <v>9999</v>
      </c>
      <c r="Z55">
        <f>IF(AND('(橫掃)RX Mapping'!Z55&gt;=1,'(橫掃)RX Mapping'!Z55&lt;=120), ('(橫掃)RX Mapping'!Z55-1),IF(AND('(橫掃)RX Mapping'!Z55&gt;=121,'(橫掃)RX Mapping'!Z55&lt;=240), (-1)*('(橫掃)RX Mapping'!Z55-240),IF(AND('(橫掃)RX Mapping'!Z55&gt;=241,'(橫掃)RX Mapping'!Z55&lt;=360), ('(橫掃)RX Mapping'!Z55-241),IF(AND('(橫掃)RX Mapping'!Z55&gt;=361,'(橫掃)RX Mapping'!Z55&lt;=480), (-1)*('(橫掃)RX Mapping'!Z55-480),IF(AND('(橫掃)RX Mapping'!Z55&gt;=481,'(橫掃)RX Mapping'!Z55&lt;=600), ('(橫掃)RX Mapping'!Z55-361),IF(AND('(橫掃)RX Mapping'!Z55&gt;=601,'(橫掃)RX Mapping'!Z55&lt;=720), (-1)*('(橫掃)RX Mapping'!Z55-720)+120,IF(AND('(橫掃)RX Mapping'!Z55&gt;=721,'(橫掃)RX Mapping'!Z55&lt;=840), ('(橫掃)RX Mapping'!Z55-601),IF(AND('(橫掃)RX Mapping'!Z55&gt;=841,'(橫掃)RX Mapping'!Z55&lt;=960), (-1)*('(橫掃)RX Mapping'!Z55-960)+120,9999))))))))</f>
        <v>9999</v>
      </c>
      <c r="AA55">
        <f>IF(AND('(橫掃)RX Mapping'!AA55&gt;=1,'(橫掃)RX Mapping'!AA55&lt;=120), ('(橫掃)RX Mapping'!AA55-1),IF(AND('(橫掃)RX Mapping'!AA55&gt;=121,'(橫掃)RX Mapping'!AA55&lt;=240), (-1)*('(橫掃)RX Mapping'!AA55-240),IF(AND('(橫掃)RX Mapping'!AA55&gt;=241,'(橫掃)RX Mapping'!AA55&lt;=360), ('(橫掃)RX Mapping'!AA55-241),IF(AND('(橫掃)RX Mapping'!AA55&gt;=361,'(橫掃)RX Mapping'!AA55&lt;=480), (-1)*('(橫掃)RX Mapping'!AA55-480),IF(AND('(橫掃)RX Mapping'!AA55&gt;=481,'(橫掃)RX Mapping'!AA55&lt;=600), ('(橫掃)RX Mapping'!AA55-361),IF(AND('(橫掃)RX Mapping'!AA55&gt;=601,'(橫掃)RX Mapping'!AA55&lt;=720), (-1)*('(橫掃)RX Mapping'!AA55-720)+120,IF(AND('(橫掃)RX Mapping'!AA55&gt;=721,'(橫掃)RX Mapping'!AA55&lt;=840), ('(橫掃)RX Mapping'!AA55-601),IF(AND('(橫掃)RX Mapping'!AA55&gt;=841,'(橫掃)RX Mapping'!AA55&lt;=960), (-1)*('(橫掃)RX Mapping'!AA55-960)+120,9999))))))))</f>
        <v>9999</v>
      </c>
      <c r="AB55">
        <f>IF(AND('(橫掃)RX Mapping'!AB55&gt;=1,'(橫掃)RX Mapping'!AB55&lt;=120), ('(橫掃)RX Mapping'!AB55-1),IF(AND('(橫掃)RX Mapping'!AB55&gt;=121,'(橫掃)RX Mapping'!AB55&lt;=240), (-1)*('(橫掃)RX Mapping'!AB55-240),IF(AND('(橫掃)RX Mapping'!AB55&gt;=241,'(橫掃)RX Mapping'!AB55&lt;=360), ('(橫掃)RX Mapping'!AB55-241),IF(AND('(橫掃)RX Mapping'!AB55&gt;=361,'(橫掃)RX Mapping'!AB55&lt;=480), (-1)*('(橫掃)RX Mapping'!AB55-480),IF(AND('(橫掃)RX Mapping'!AB55&gt;=481,'(橫掃)RX Mapping'!AB55&lt;=600), ('(橫掃)RX Mapping'!AB55-361),IF(AND('(橫掃)RX Mapping'!AB55&gt;=601,'(橫掃)RX Mapping'!AB55&lt;=720), (-1)*('(橫掃)RX Mapping'!AB55-720)+120,IF(AND('(橫掃)RX Mapping'!AB55&gt;=721,'(橫掃)RX Mapping'!AB55&lt;=840), ('(橫掃)RX Mapping'!AB55-601),IF(AND('(橫掃)RX Mapping'!AB55&gt;=841,'(橫掃)RX Mapping'!AB55&lt;=960), (-1)*('(橫掃)RX Mapping'!AB55-960)+120,9999))))))))</f>
        <v>9999</v>
      </c>
      <c r="AC55">
        <f>IF(AND('(橫掃)RX Mapping'!AC55&gt;=1,'(橫掃)RX Mapping'!AC55&lt;=120), ('(橫掃)RX Mapping'!AC55-1),IF(AND('(橫掃)RX Mapping'!AC55&gt;=121,'(橫掃)RX Mapping'!AC55&lt;=240), (-1)*('(橫掃)RX Mapping'!AC55-240),IF(AND('(橫掃)RX Mapping'!AC55&gt;=241,'(橫掃)RX Mapping'!AC55&lt;=360), ('(橫掃)RX Mapping'!AC55-241),IF(AND('(橫掃)RX Mapping'!AC55&gt;=361,'(橫掃)RX Mapping'!AC55&lt;=480), (-1)*('(橫掃)RX Mapping'!AC55-480),IF(AND('(橫掃)RX Mapping'!AC55&gt;=481,'(橫掃)RX Mapping'!AC55&lt;=600), ('(橫掃)RX Mapping'!AC55-361),IF(AND('(橫掃)RX Mapping'!AC55&gt;=601,'(橫掃)RX Mapping'!AC55&lt;=720), (-1)*('(橫掃)RX Mapping'!AC55-720)+120,IF(AND('(橫掃)RX Mapping'!AC55&gt;=721,'(橫掃)RX Mapping'!AC55&lt;=840), ('(橫掃)RX Mapping'!AC55-601),IF(AND('(橫掃)RX Mapping'!AC55&gt;=841,'(橫掃)RX Mapping'!AC55&lt;=960), (-1)*('(橫掃)RX Mapping'!AC55-960)+120,9999))))))))</f>
        <v>9999</v>
      </c>
      <c r="AD55">
        <f>IF(AND('(橫掃)RX Mapping'!AD55&gt;=1,'(橫掃)RX Mapping'!AD55&lt;=120), ('(橫掃)RX Mapping'!AD55-1),IF(AND('(橫掃)RX Mapping'!AD55&gt;=121,'(橫掃)RX Mapping'!AD55&lt;=240), (-1)*('(橫掃)RX Mapping'!AD55-240),IF(AND('(橫掃)RX Mapping'!AD55&gt;=241,'(橫掃)RX Mapping'!AD55&lt;=360), ('(橫掃)RX Mapping'!AD55-241),IF(AND('(橫掃)RX Mapping'!AD55&gt;=361,'(橫掃)RX Mapping'!AD55&lt;=480), (-1)*('(橫掃)RX Mapping'!AD55-480),IF(AND('(橫掃)RX Mapping'!AD55&gt;=481,'(橫掃)RX Mapping'!AD55&lt;=600), ('(橫掃)RX Mapping'!AD55-361),IF(AND('(橫掃)RX Mapping'!AD55&gt;=601,'(橫掃)RX Mapping'!AD55&lt;=720), (-1)*('(橫掃)RX Mapping'!AD55-720)+120,IF(AND('(橫掃)RX Mapping'!AD55&gt;=721,'(橫掃)RX Mapping'!AD55&lt;=840), ('(橫掃)RX Mapping'!AD55-601),IF(AND('(橫掃)RX Mapping'!AD55&gt;=841,'(橫掃)RX Mapping'!AD55&lt;=960), (-1)*('(橫掃)RX Mapping'!AD55-960)+120,9999))))))))</f>
        <v>9999</v>
      </c>
      <c r="AE55">
        <f>IF(AND('(橫掃)RX Mapping'!AE55&gt;=1,'(橫掃)RX Mapping'!AE55&lt;=120), ('(橫掃)RX Mapping'!AE55-1),IF(AND('(橫掃)RX Mapping'!AE55&gt;=121,'(橫掃)RX Mapping'!AE55&lt;=240), (-1)*('(橫掃)RX Mapping'!AE55-240),IF(AND('(橫掃)RX Mapping'!AE55&gt;=241,'(橫掃)RX Mapping'!AE55&lt;=360), ('(橫掃)RX Mapping'!AE55-241),IF(AND('(橫掃)RX Mapping'!AE55&gt;=361,'(橫掃)RX Mapping'!AE55&lt;=480), (-1)*('(橫掃)RX Mapping'!AE55-480),IF(AND('(橫掃)RX Mapping'!AE55&gt;=481,'(橫掃)RX Mapping'!AE55&lt;=600), ('(橫掃)RX Mapping'!AE55-361),IF(AND('(橫掃)RX Mapping'!AE55&gt;=601,'(橫掃)RX Mapping'!AE55&lt;=720), (-1)*('(橫掃)RX Mapping'!AE55-720)+120,IF(AND('(橫掃)RX Mapping'!AE55&gt;=721,'(橫掃)RX Mapping'!AE55&lt;=840), ('(橫掃)RX Mapping'!AE55-601),IF(AND('(橫掃)RX Mapping'!AE55&gt;=841,'(橫掃)RX Mapping'!AE55&lt;=960), (-1)*('(橫掃)RX Mapping'!AE55-960)+120,9999))))))))</f>
        <v>9999</v>
      </c>
      <c r="AF55">
        <f>IF(AND('(橫掃)RX Mapping'!AF55&gt;=1,'(橫掃)RX Mapping'!AF55&lt;=120), ('(橫掃)RX Mapping'!AF55-1),IF(AND('(橫掃)RX Mapping'!AF55&gt;=121,'(橫掃)RX Mapping'!AF55&lt;=240), (-1)*('(橫掃)RX Mapping'!AF55-240),IF(AND('(橫掃)RX Mapping'!AF55&gt;=241,'(橫掃)RX Mapping'!AF55&lt;=360), ('(橫掃)RX Mapping'!AF55-241),IF(AND('(橫掃)RX Mapping'!AF55&gt;=361,'(橫掃)RX Mapping'!AF55&lt;=480), (-1)*('(橫掃)RX Mapping'!AF55-480),IF(AND('(橫掃)RX Mapping'!AF55&gt;=481,'(橫掃)RX Mapping'!AF55&lt;=600), ('(橫掃)RX Mapping'!AF55-361),IF(AND('(橫掃)RX Mapping'!AF55&gt;=601,'(橫掃)RX Mapping'!AF55&lt;=720), (-1)*('(橫掃)RX Mapping'!AF55-720)+120,IF(AND('(橫掃)RX Mapping'!AF55&gt;=721,'(橫掃)RX Mapping'!AF55&lt;=840), ('(橫掃)RX Mapping'!AF55-601),IF(AND('(橫掃)RX Mapping'!AF55&gt;=841,'(橫掃)RX Mapping'!AF55&lt;=960), (-1)*('(橫掃)RX Mapping'!AF55-960)+120,9999))))))))</f>
        <v>9999</v>
      </c>
      <c r="AG55">
        <f>IF(AND('(橫掃)RX Mapping'!AG55&gt;=1,'(橫掃)RX Mapping'!AG55&lt;=120), ('(橫掃)RX Mapping'!AG55-1),IF(AND('(橫掃)RX Mapping'!AG55&gt;=121,'(橫掃)RX Mapping'!AG55&lt;=240), (-1)*('(橫掃)RX Mapping'!AG55-240),IF(AND('(橫掃)RX Mapping'!AG55&gt;=241,'(橫掃)RX Mapping'!AG55&lt;=360), ('(橫掃)RX Mapping'!AG55-241),IF(AND('(橫掃)RX Mapping'!AG55&gt;=361,'(橫掃)RX Mapping'!AG55&lt;=480), (-1)*('(橫掃)RX Mapping'!AG55-480),IF(AND('(橫掃)RX Mapping'!AG55&gt;=481,'(橫掃)RX Mapping'!AG55&lt;=600), ('(橫掃)RX Mapping'!AG55-361),IF(AND('(橫掃)RX Mapping'!AG55&gt;=601,'(橫掃)RX Mapping'!AG55&lt;=720), (-1)*('(橫掃)RX Mapping'!AG55-720)+120,IF(AND('(橫掃)RX Mapping'!AG55&gt;=721,'(橫掃)RX Mapping'!AG55&lt;=840), ('(橫掃)RX Mapping'!AG55-601),IF(AND('(橫掃)RX Mapping'!AG55&gt;=841,'(橫掃)RX Mapping'!AG55&lt;=960), (-1)*('(橫掃)RX Mapping'!AG55-960)+120,9999))))))))</f>
        <v>9999</v>
      </c>
      <c r="AH55">
        <f>IF(AND('(橫掃)RX Mapping'!AH55&gt;=1,'(橫掃)RX Mapping'!AH55&lt;=120), ('(橫掃)RX Mapping'!AH55-1),IF(AND('(橫掃)RX Mapping'!AH55&gt;=121,'(橫掃)RX Mapping'!AH55&lt;=240), (-1)*('(橫掃)RX Mapping'!AH55-240),IF(AND('(橫掃)RX Mapping'!AH55&gt;=241,'(橫掃)RX Mapping'!AH55&lt;=360), ('(橫掃)RX Mapping'!AH55-241),IF(AND('(橫掃)RX Mapping'!AH55&gt;=361,'(橫掃)RX Mapping'!AH55&lt;=480), (-1)*('(橫掃)RX Mapping'!AH55-480),IF(AND('(橫掃)RX Mapping'!AH55&gt;=481,'(橫掃)RX Mapping'!AH55&lt;=600), ('(橫掃)RX Mapping'!AH55-361),IF(AND('(橫掃)RX Mapping'!AH55&gt;=601,'(橫掃)RX Mapping'!AH55&lt;=720), (-1)*('(橫掃)RX Mapping'!AH55-720)+120,IF(AND('(橫掃)RX Mapping'!AH55&gt;=721,'(橫掃)RX Mapping'!AH55&lt;=840), ('(橫掃)RX Mapping'!AH55-601),IF(AND('(橫掃)RX Mapping'!AH55&gt;=841,'(橫掃)RX Mapping'!AH55&lt;=960), (-1)*('(橫掃)RX Mapping'!AH55-960)+120,9999))))))))</f>
        <v>9999</v>
      </c>
      <c r="AI55">
        <f>IF(AND('(橫掃)RX Mapping'!AI55&gt;=1,'(橫掃)RX Mapping'!AI55&lt;=120), ('(橫掃)RX Mapping'!AI55-1),IF(AND('(橫掃)RX Mapping'!AI55&gt;=121,'(橫掃)RX Mapping'!AI55&lt;=240), (-1)*('(橫掃)RX Mapping'!AI55-240),IF(AND('(橫掃)RX Mapping'!AI55&gt;=241,'(橫掃)RX Mapping'!AI55&lt;=360), ('(橫掃)RX Mapping'!AI55-241),IF(AND('(橫掃)RX Mapping'!AI55&gt;=361,'(橫掃)RX Mapping'!AI55&lt;=480), (-1)*('(橫掃)RX Mapping'!AI55-480),IF(AND('(橫掃)RX Mapping'!AI55&gt;=481,'(橫掃)RX Mapping'!AI55&lt;=600), ('(橫掃)RX Mapping'!AI55-361),IF(AND('(橫掃)RX Mapping'!AI55&gt;=601,'(橫掃)RX Mapping'!AI55&lt;=720), (-1)*('(橫掃)RX Mapping'!AI55-720)+120,IF(AND('(橫掃)RX Mapping'!AI55&gt;=721,'(橫掃)RX Mapping'!AI55&lt;=840), ('(橫掃)RX Mapping'!AI55-601),IF(AND('(橫掃)RX Mapping'!AI55&gt;=841,'(橫掃)RX Mapping'!AI55&lt;=960), (-1)*('(橫掃)RX Mapping'!AI55-960)+120,9999))))))))</f>
        <v>9999</v>
      </c>
      <c r="AJ55">
        <f>IF(AND('(橫掃)RX Mapping'!AJ55&gt;=1,'(橫掃)RX Mapping'!AJ55&lt;=120), ('(橫掃)RX Mapping'!AJ55-1),IF(AND('(橫掃)RX Mapping'!AJ55&gt;=121,'(橫掃)RX Mapping'!AJ55&lt;=240), (-1)*('(橫掃)RX Mapping'!AJ55-240),IF(AND('(橫掃)RX Mapping'!AJ55&gt;=241,'(橫掃)RX Mapping'!AJ55&lt;=360), ('(橫掃)RX Mapping'!AJ55-241),IF(AND('(橫掃)RX Mapping'!AJ55&gt;=361,'(橫掃)RX Mapping'!AJ55&lt;=480), (-1)*('(橫掃)RX Mapping'!AJ55-480),IF(AND('(橫掃)RX Mapping'!AJ55&gt;=481,'(橫掃)RX Mapping'!AJ55&lt;=600), ('(橫掃)RX Mapping'!AJ55-361),IF(AND('(橫掃)RX Mapping'!AJ55&gt;=601,'(橫掃)RX Mapping'!AJ55&lt;=720), (-1)*('(橫掃)RX Mapping'!AJ55-720)+120,IF(AND('(橫掃)RX Mapping'!AJ55&gt;=721,'(橫掃)RX Mapping'!AJ55&lt;=840), ('(橫掃)RX Mapping'!AJ55-601),IF(AND('(橫掃)RX Mapping'!AJ55&gt;=841,'(橫掃)RX Mapping'!AJ55&lt;=960), (-1)*('(橫掃)RX Mapping'!AJ55-960)+120,9999))))))))</f>
        <v>9999</v>
      </c>
      <c r="AK55">
        <f>IF(AND('(橫掃)RX Mapping'!AK55&gt;=1,'(橫掃)RX Mapping'!AK55&lt;=120), ('(橫掃)RX Mapping'!AK55-1),IF(AND('(橫掃)RX Mapping'!AK55&gt;=121,'(橫掃)RX Mapping'!AK55&lt;=240), (-1)*('(橫掃)RX Mapping'!AK55-240),IF(AND('(橫掃)RX Mapping'!AK55&gt;=241,'(橫掃)RX Mapping'!AK55&lt;=360), ('(橫掃)RX Mapping'!AK55-241),IF(AND('(橫掃)RX Mapping'!AK55&gt;=361,'(橫掃)RX Mapping'!AK55&lt;=480), (-1)*('(橫掃)RX Mapping'!AK55-480),IF(AND('(橫掃)RX Mapping'!AK55&gt;=481,'(橫掃)RX Mapping'!AK55&lt;=600), ('(橫掃)RX Mapping'!AK55-361),IF(AND('(橫掃)RX Mapping'!AK55&gt;=601,'(橫掃)RX Mapping'!AK55&lt;=720), (-1)*('(橫掃)RX Mapping'!AK55-720)+120,IF(AND('(橫掃)RX Mapping'!AK55&gt;=721,'(橫掃)RX Mapping'!AK55&lt;=840), ('(橫掃)RX Mapping'!AK55-601),IF(AND('(橫掃)RX Mapping'!AK55&gt;=841,'(橫掃)RX Mapping'!AK55&lt;=960), (-1)*('(橫掃)RX Mapping'!AK55-960)+120,9999))))))))</f>
        <v>9999</v>
      </c>
      <c r="AL55">
        <f>IF(AND('(橫掃)RX Mapping'!AL55&gt;=1,'(橫掃)RX Mapping'!AL55&lt;=120), ('(橫掃)RX Mapping'!AL55-1),IF(AND('(橫掃)RX Mapping'!AL55&gt;=121,'(橫掃)RX Mapping'!AL55&lt;=240), (-1)*('(橫掃)RX Mapping'!AL55-240),IF(AND('(橫掃)RX Mapping'!AL55&gt;=241,'(橫掃)RX Mapping'!AL55&lt;=360), ('(橫掃)RX Mapping'!AL55-241),IF(AND('(橫掃)RX Mapping'!AL55&gt;=361,'(橫掃)RX Mapping'!AL55&lt;=480), (-1)*('(橫掃)RX Mapping'!AL55-480),IF(AND('(橫掃)RX Mapping'!AL55&gt;=481,'(橫掃)RX Mapping'!AL55&lt;=600), ('(橫掃)RX Mapping'!AL55-361),IF(AND('(橫掃)RX Mapping'!AL55&gt;=601,'(橫掃)RX Mapping'!AL55&lt;=720), (-1)*('(橫掃)RX Mapping'!AL55-720)+120,IF(AND('(橫掃)RX Mapping'!AL55&gt;=721,'(橫掃)RX Mapping'!AL55&lt;=840), ('(橫掃)RX Mapping'!AL55-601),IF(AND('(橫掃)RX Mapping'!AL55&gt;=841,'(橫掃)RX Mapping'!AL55&lt;=960), (-1)*('(橫掃)RX Mapping'!AL55-960)+120,9999))))))))</f>
        <v>9999</v>
      </c>
      <c r="AM55">
        <f>IF(AND('(橫掃)RX Mapping'!AM55&gt;=1,'(橫掃)RX Mapping'!AM55&lt;=120), ('(橫掃)RX Mapping'!AM55-1),IF(AND('(橫掃)RX Mapping'!AM55&gt;=121,'(橫掃)RX Mapping'!AM55&lt;=240), (-1)*('(橫掃)RX Mapping'!AM55-240),IF(AND('(橫掃)RX Mapping'!AM55&gt;=241,'(橫掃)RX Mapping'!AM55&lt;=360), ('(橫掃)RX Mapping'!AM55-241),IF(AND('(橫掃)RX Mapping'!AM55&gt;=361,'(橫掃)RX Mapping'!AM55&lt;=480), (-1)*('(橫掃)RX Mapping'!AM55-480),IF(AND('(橫掃)RX Mapping'!AM55&gt;=481,'(橫掃)RX Mapping'!AM55&lt;=600), ('(橫掃)RX Mapping'!AM55-361),IF(AND('(橫掃)RX Mapping'!AM55&gt;=601,'(橫掃)RX Mapping'!AM55&lt;=720), (-1)*('(橫掃)RX Mapping'!AM55-720)+120,IF(AND('(橫掃)RX Mapping'!AM55&gt;=721,'(橫掃)RX Mapping'!AM55&lt;=840), ('(橫掃)RX Mapping'!AM55-601),IF(AND('(橫掃)RX Mapping'!AM55&gt;=841,'(橫掃)RX Mapping'!AM55&lt;=960), (-1)*('(橫掃)RX Mapping'!AM55-960)+120,9999))))))))</f>
        <v>9999</v>
      </c>
      <c r="AN55">
        <f>IF(AND('(橫掃)RX Mapping'!AN55&gt;=1,'(橫掃)RX Mapping'!AN55&lt;=120), ('(橫掃)RX Mapping'!AN55-1),IF(AND('(橫掃)RX Mapping'!AN55&gt;=121,'(橫掃)RX Mapping'!AN55&lt;=240), (-1)*('(橫掃)RX Mapping'!AN55-240),IF(AND('(橫掃)RX Mapping'!AN55&gt;=241,'(橫掃)RX Mapping'!AN55&lt;=360), ('(橫掃)RX Mapping'!AN55-241),IF(AND('(橫掃)RX Mapping'!AN55&gt;=361,'(橫掃)RX Mapping'!AN55&lt;=480), (-1)*('(橫掃)RX Mapping'!AN55-480),IF(AND('(橫掃)RX Mapping'!AN55&gt;=481,'(橫掃)RX Mapping'!AN55&lt;=600), ('(橫掃)RX Mapping'!AN55-361),IF(AND('(橫掃)RX Mapping'!AN55&gt;=601,'(橫掃)RX Mapping'!AN55&lt;=720), (-1)*('(橫掃)RX Mapping'!AN55-720)+120,IF(AND('(橫掃)RX Mapping'!AN55&gt;=721,'(橫掃)RX Mapping'!AN55&lt;=840), ('(橫掃)RX Mapping'!AN55-601),IF(AND('(橫掃)RX Mapping'!AN55&gt;=841,'(橫掃)RX Mapping'!AN55&lt;=960), (-1)*('(橫掃)RX Mapping'!AN55-960)+120,9999))))))))</f>
        <v>9999</v>
      </c>
      <c r="AO55">
        <f>IF(AND('(橫掃)RX Mapping'!AO55&gt;=1,'(橫掃)RX Mapping'!AO55&lt;=120), ('(橫掃)RX Mapping'!AO55-1),IF(AND('(橫掃)RX Mapping'!AO55&gt;=121,'(橫掃)RX Mapping'!AO55&lt;=240), (-1)*('(橫掃)RX Mapping'!AO55-240),IF(AND('(橫掃)RX Mapping'!AO55&gt;=241,'(橫掃)RX Mapping'!AO55&lt;=360), ('(橫掃)RX Mapping'!AO55-241),IF(AND('(橫掃)RX Mapping'!AO55&gt;=361,'(橫掃)RX Mapping'!AO55&lt;=480), (-1)*('(橫掃)RX Mapping'!AO55-480),IF(AND('(橫掃)RX Mapping'!AO55&gt;=481,'(橫掃)RX Mapping'!AO55&lt;=600), ('(橫掃)RX Mapping'!AO55-361),IF(AND('(橫掃)RX Mapping'!AO55&gt;=601,'(橫掃)RX Mapping'!AO55&lt;=720), (-1)*('(橫掃)RX Mapping'!AO55-720)+120,IF(AND('(橫掃)RX Mapping'!AO55&gt;=721,'(橫掃)RX Mapping'!AO55&lt;=840), ('(橫掃)RX Mapping'!AO55-601),IF(AND('(橫掃)RX Mapping'!AO55&gt;=841,'(橫掃)RX Mapping'!AO55&lt;=960), (-1)*('(橫掃)RX Mapping'!AO55-960)+120,9999))))))))</f>
        <v>9999</v>
      </c>
      <c r="AP55">
        <f>IF(AND('(橫掃)RX Mapping'!AP55&gt;=1,'(橫掃)RX Mapping'!AP55&lt;=120), ('(橫掃)RX Mapping'!AP55-1),IF(AND('(橫掃)RX Mapping'!AP55&gt;=121,'(橫掃)RX Mapping'!AP55&lt;=240), (-1)*('(橫掃)RX Mapping'!AP55-240),IF(AND('(橫掃)RX Mapping'!AP55&gt;=241,'(橫掃)RX Mapping'!AP55&lt;=360), ('(橫掃)RX Mapping'!AP55-241),IF(AND('(橫掃)RX Mapping'!AP55&gt;=361,'(橫掃)RX Mapping'!AP55&lt;=480), (-1)*('(橫掃)RX Mapping'!AP55-480),IF(AND('(橫掃)RX Mapping'!AP55&gt;=481,'(橫掃)RX Mapping'!AP55&lt;=600), ('(橫掃)RX Mapping'!AP55-361),IF(AND('(橫掃)RX Mapping'!AP55&gt;=601,'(橫掃)RX Mapping'!AP55&lt;=720), (-1)*('(橫掃)RX Mapping'!AP55-720)+120,IF(AND('(橫掃)RX Mapping'!AP55&gt;=721,'(橫掃)RX Mapping'!AP55&lt;=840), ('(橫掃)RX Mapping'!AP55-601),IF(AND('(橫掃)RX Mapping'!AP55&gt;=841,'(橫掃)RX Mapping'!AP55&lt;=960), (-1)*('(橫掃)RX Mapping'!AP55-960)+120,9999))))))))</f>
        <v>9999</v>
      </c>
      <c r="AQ55">
        <f>IF(AND('(橫掃)RX Mapping'!AQ55&gt;=1,'(橫掃)RX Mapping'!AQ55&lt;=120), ('(橫掃)RX Mapping'!AQ55-1),IF(AND('(橫掃)RX Mapping'!AQ55&gt;=121,'(橫掃)RX Mapping'!AQ55&lt;=240), (-1)*('(橫掃)RX Mapping'!AQ55-240),IF(AND('(橫掃)RX Mapping'!AQ55&gt;=241,'(橫掃)RX Mapping'!AQ55&lt;=360), ('(橫掃)RX Mapping'!AQ55-241),IF(AND('(橫掃)RX Mapping'!AQ55&gt;=361,'(橫掃)RX Mapping'!AQ55&lt;=480), (-1)*('(橫掃)RX Mapping'!AQ55-480),IF(AND('(橫掃)RX Mapping'!AQ55&gt;=481,'(橫掃)RX Mapping'!AQ55&lt;=600), ('(橫掃)RX Mapping'!AQ55-361),IF(AND('(橫掃)RX Mapping'!AQ55&gt;=601,'(橫掃)RX Mapping'!AQ55&lt;=720), (-1)*('(橫掃)RX Mapping'!AQ55-720)+120,IF(AND('(橫掃)RX Mapping'!AQ55&gt;=721,'(橫掃)RX Mapping'!AQ55&lt;=840), ('(橫掃)RX Mapping'!AQ55-601),IF(AND('(橫掃)RX Mapping'!AQ55&gt;=841,'(橫掃)RX Mapping'!AQ55&lt;=960), (-1)*('(橫掃)RX Mapping'!AQ55-960)+120,9999))))))))</f>
        <v>9999</v>
      </c>
      <c r="AR55">
        <f>IF(AND('(橫掃)RX Mapping'!AR55&gt;=1,'(橫掃)RX Mapping'!AR55&lt;=120), ('(橫掃)RX Mapping'!AR55-1),IF(AND('(橫掃)RX Mapping'!AR55&gt;=121,'(橫掃)RX Mapping'!AR55&lt;=240), (-1)*('(橫掃)RX Mapping'!AR55-240),IF(AND('(橫掃)RX Mapping'!AR55&gt;=241,'(橫掃)RX Mapping'!AR55&lt;=360), ('(橫掃)RX Mapping'!AR55-241),IF(AND('(橫掃)RX Mapping'!AR55&gt;=361,'(橫掃)RX Mapping'!AR55&lt;=480), (-1)*('(橫掃)RX Mapping'!AR55-480),IF(AND('(橫掃)RX Mapping'!AR55&gt;=481,'(橫掃)RX Mapping'!AR55&lt;=600), ('(橫掃)RX Mapping'!AR55-361),IF(AND('(橫掃)RX Mapping'!AR55&gt;=601,'(橫掃)RX Mapping'!AR55&lt;=720), (-1)*('(橫掃)RX Mapping'!AR55-720)+120,IF(AND('(橫掃)RX Mapping'!AR55&gt;=721,'(橫掃)RX Mapping'!AR55&lt;=840), ('(橫掃)RX Mapping'!AR55-601),IF(AND('(橫掃)RX Mapping'!AR55&gt;=841,'(橫掃)RX Mapping'!AR55&lt;=960), (-1)*('(橫掃)RX Mapping'!AR55-960)+120,9999))))))))</f>
        <v>9999</v>
      </c>
      <c r="AS55">
        <f>IF(AND('(橫掃)RX Mapping'!AS55&gt;=1,'(橫掃)RX Mapping'!AS55&lt;=120), ('(橫掃)RX Mapping'!AS55-1),IF(AND('(橫掃)RX Mapping'!AS55&gt;=121,'(橫掃)RX Mapping'!AS55&lt;=240), (-1)*('(橫掃)RX Mapping'!AS55-240),IF(AND('(橫掃)RX Mapping'!AS55&gt;=241,'(橫掃)RX Mapping'!AS55&lt;=360), ('(橫掃)RX Mapping'!AS55-241),IF(AND('(橫掃)RX Mapping'!AS55&gt;=361,'(橫掃)RX Mapping'!AS55&lt;=480), (-1)*('(橫掃)RX Mapping'!AS55-480),IF(AND('(橫掃)RX Mapping'!AS55&gt;=481,'(橫掃)RX Mapping'!AS55&lt;=600), ('(橫掃)RX Mapping'!AS55-361),IF(AND('(橫掃)RX Mapping'!AS55&gt;=601,'(橫掃)RX Mapping'!AS55&lt;=720), (-1)*('(橫掃)RX Mapping'!AS55-720)+120,IF(AND('(橫掃)RX Mapping'!AS55&gt;=721,'(橫掃)RX Mapping'!AS55&lt;=840), ('(橫掃)RX Mapping'!AS55-601),IF(AND('(橫掃)RX Mapping'!AS55&gt;=841,'(橫掃)RX Mapping'!AS55&lt;=960), (-1)*('(橫掃)RX Mapping'!AS55-960)+120,9999))))))))</f>
        <v>9999</v>
      </c>
      <c r="AT55">
        <f>IF(AND('(橫掃)RX Mapping'!AT55&gt;=1,'(橫掃)RX Mapping'!AT55&lt;=120), ('(橫掃)RX Mapping'!AT55-1),IF(AND('(橫掃)RX Mapping'!AT55&gt;=121,'(橫掃)RX Mapping'!AT55&lt;=240), (-1)*('(橫掃)RX Mapping'!AT55-240),IF(AND('(橫掃)RX Mapping'!AT55&gt;=241,'(橫掃)RX Mapping'!AT55&lt;=360), ('(橫掃)RX Mapping'!AT55-241),IF(AND('(橫掃)RX Mapping'!AT55&gt;=361,'(橫掃)RX Mapping'!AT55&lt;=480), (-1)*('(橫掃)RX Mapping'!AT55-480),IF(AND('(橫掃)RX Mapping'!AT55&gt;=481,'(橫掃)RX Mapping'!AT55&lt;=600), ('(橫掃)RX Mapping'!AT55-361),IF(AND('(橫掃)RX Mapping'!AT55&gt;=601,'(橫掃)RX Mapping'!AT55&lt;=720), (-1)*('(橫掃)RX Mapping'!AT55-720)+120,IF(AND('(橫掃)RX Mapping'!AT55&gt;=721,'(橫掃)RX Mapping'!AT55&lt;=840), ('(橫掃)RX Mapping'!AT55-601),IF(AND('(橫掃)RX Mapping'!AT55&gt;=841,'(橫掃)RX Mapping'!AT55&lt;=960), (-1)*('(橫掃)RX Mapping'!AT55-960)+120,9999))))))))</f>
        <v>9999</v>
      </c>
      <c r="AU55">
        <f>IF(AND('(橫掃)RX Mapping'!AU55&gt;=1,'(橫掃)RX Mapping'!AU55&lt;=120), ('(橫掃)RX Mapping'!AU55-1),IF(AND('(橫掃)RX Mapping'!AU55&gt;=121,'(橫掃)RX Mapping'!AU55&lt;=240), (-1)*('(橫掃)RX Mapping'!AU55-240),IF(AND('(橫掃)RX Mapping'!AU55&gt;=241,'(橫掃)RX Mapping'!AU55&lt;=360), ('(橫掃)RX Mapping'!AU55-241),IF(AND('(橫掃)RX Mapping'!AU55&gt;=361,'(橫掃)RX Mapping'!AU55&lt;=480), (-1)*('(橫掃)RX Mapping'!AU55-480),IF(AND('(橫掃)RX Mapping'!AU55&gt;=481,'(橫掃)RX Mapping'!AU55&lt;=600), ('(橫掃)RX Mapping'!AU55-361),IF(AND('(橫掃)RX Mapping'!AU55&gt;=601,'(橫掃)RX Mapping'!AU55&lt;=720), (-1)*('(橫掃)RX Mapping'!AU55-720)+120,IF(AND('(橫掃)RX Mapping'!AU55&gt;=721,'(橫掃)RX Mapping'!AU55&lt;=840), ('(橫掃)RX Mapping'!AU55-601),IF(AND('(橫掃)RX Mapping'!AU55&gt;=841,'(橫掃)RX Mapping'!AU55&lt;=960), (-1)*('(橫掃)RX Mapping'!AU55-960)+120,9999))))))))</f>
        <v>9999</v>
      </c>
      <c r="AV55">
        <f>IF(AND('(橫掃)RX Mapping'!AV55&gt;=1,'(橫掃)RX Mapping'!AV55&lt;=120), ('(橫掃)RX Mapping'!AV55-1),IF(AND('(橫掃)RX Mapping'!AV55&gt;=121,'(橫掃)RX Mapping'!AV55&lt;=240), (-1)*('(橫掃)RX Mapping'!AV55-240),IF(AND('(橫掃)RX Mapping'!AV55&gt;=241,'(橫掃)RX Mapping'!AV55&lt;=360), ('(橫掃)RX Mapping'!AV55-241),IF(AND('(橫掃)RX Mapping'!AV55&gt;=361,'(橫掃)RX Mapping'!AV55&lt;=480), (-1)*('(橫掃)RX Mapping'!AV55-480),IF(AND('(橫掃)RX Mapping'!AV55&gt;=481,'(橫掃)RX Mapping'!AV55&lt;=600), ('(橫掃)RX Mapping'!AV55-361),IF(AND('(橫掃)RX Mapping'!AV55&gt;=601,'(橫掃)RX Mapping'!AV55&lt;=720), (-1)*('(橫掃)RX Mapping'!AV55-720)+120,IF(AND('(橫掃)RX Mapping'!AV55&gt;=721,'(橫掃)RX Mapping'!AV55&lt;=840), ('(橫掃)RX Mapping'!AV55-601),IF(AND('(橫掃)RX Mapping'!AV55&gt;=841,'(橫掃)RX Mapping'!AV55&lt;=960), (-1)*('(橫掃)RX Mapping'!AV55-960)+120,9999))))))))</f>
        <v>9999</v>
      </c>
      <c r="AW55">
        <f>IF(AND('(橫掃)RX Mapping'!AW55&gt;=1,'(橫掃)RX Mapping'!AW55&lt;=120), ('(橫掃)RX Mapping'!AW55-1),IF(AND('(橫掃)RX Mapping'!AW55&gt;=121,'(橫掃)RX Mapping'!AW55&lt;=240), (-1)*('(橫掃)RX Mapping'!AW55-240),IF(AND('(橫掃)RX Mapping'!AW55&gt;=241,'(橫掃)RX Mapping'!AW55&lt;=360), ('(橫掃)RX Mapping'!AW55-241),IF(AND('(橫掃)RX Mapping'!AW55&gt;=361,'(橫掃)RX Mapping'!AW55&lt;=480), (-1)*('(橫掃)RX Mapping'!AW55-480),IF(AND('(橫掃)RX Mapping'!AW55&gt;=481,'(橫掃)RX Mapping'!AW55&lt;=600), ('(橫掃)RX Mapping'!AW55-361),IF(AND('(橫掃)RX Mapping'!AW55&gt;=601,'(橫掃)RX Mapping'!AW55&lt;=720), (-1)*('(橫掃)RX Mapping'!AW55-720)+120,IF(AND('(橫掃)RX Mapping'!AW55&gt;=721,'(橫掃)RX Mapping'!AW55&lt;=840), ('(橫掃)RX Mapping'!AW55-601),IF(AND('(橫掃)RX Mapping'!AW55&gt;=841,'(橫掃)RX Mapping'!AW55&lt;=960), (-1)*('(橫掃)RX Mapping'!AW55-960)+120,9999))))))))</f>
        <v>9999</v>
      </c>
      <c r="AX55">
        <f>IF(AND('(橫掃)RX Mapping'!AX55&gt;=1,'(橫掃)RX Mapping'!AX55&lt;=120), ('(橫掃)RX Mapping'!AX55-1),IF(AND('(橫掃)RX Mapping'!AX55&gt;=121,'(橫掃)RX Mapping'!AX55&lt;=240), (-1)*('(橫掃)RX Mapping'!AX55-240),IF(AND('(橫掃)RX Mapping'!AX55&gt;=241,'(橫掃)RX Mapping'!AX55&lt;=360), ('(橫掃)RX Mapping'!AX55-241),IF(AND('(橫掃)RX Mapping'!AX55&gt;=361,'(橫掃)RX Mapping'!AX55&lt;=480), (-1)*('(橫掃)RX Mapping'!AX55-480),IF(AND('(橫掃)RX Mapping'!AX55&gt;=481,'(橫掃)RX Mapping'!AX55&lt;=600), ('(橫掃)RX Mapping'!AX55-361),IF(AND('(橫掃)RX Mapping'!AX55&gt;=601,'(橫掃)RX Mapping'!AX55&lt;=720), (-1)*('(橫掃)RX Mapping'!AX55-720)+120,IF(AND('(橫掃)RX Mapping'!AX55&gt;=721,'(橫掃)RX Mapping'!AX55&lt;=840), ('(橫掃)RX Mapping'!AX55-601),IF(AND('(橫掃)RX Mapping'!AX55&gt;=841,'(橫掃)RX Mapping'!AX55&lt;=960), (-1)*('(橫掃)RX Mapping'!AX55-960)+120,9999))))))))</f>
        <v>9999</v>
      </c>
      <c r="AY55">
        <f>IF(AND('(橫掃)RX Mapping'!AY55&gt;=1,'(橫掃)RX Mapping'!AY55&lt;=120), ('(橫掃)RX Mapping'!AY55-1),IF(AND('(橫掃)RX Mapping'!AY55&gt;=121,'(橫掃)RX Mapping'!AY55&lt;=240), (-1)*('(橫掃)RX Mapping'!AY55-240),IF(AND('(橫掃)RX Mapping'!AY55&gt;=241,'(橫掃)RX Mapping'!AY55&lt;=360), ('(橫掃)RX Mapping'!AY55-241),IF(AND('(橫掃)RX Mapping'!AY55&gt;=361,'(橫掃)RX Mapping'!AY55&lt;=480), (-1)*('(橫掃)RX Mapping'!AY55-480),IF(AND('(橫掃)RX Mapping'!AY55&gt;=481,'(橫掃)RX Mapping'!AY55&lt;=600), ('(橫掃)RX Mapping'!AY55-361),IF(AND('(橫掃)RX Mapping'!AY55&gt;=601,'(橫掃)RX Mapping'!AY55&lt;=720), (-1)*('(橫掃)RX Mapping'!AY55-720)+120,IF(AND('(橫掃)RX Mapping'!AY55&gt;=721,'(橫掃)RX Mapping'!AY55&lt;=840), ('(橫掃)RX Mapping'!AY55-601),IF(AND('(橫掃)RX Mapping'!AY55&gt;=841,'(橫掃)RX Mapping'!AY55&lt;=960), (-1)*('(橫掃)RX Mapping'!AY55-960)+120,9999))))))))</f>
        <v>9999</v>
      </c>
      <c r="AZ55">
        <f>IF(AND('(橫掃)RX Mapping'!AZ55&gt;=1,'(橫掃)RX Mapping'!AZ55&lt;=120), ('(橫掃)RX Mapping'!AZ55-1),IF(AND('(橫掃)RX Mapping'!AZ55&gt;=121,'(橫掃)RX Mapping'!AZ55&lt;=240), (-1)*('(橫掃)RX Mapping'!AZ55-240),IF(AND('(橫掃)RX Mapping'!AZ55&gt;=241,'(橫掃)RX Mapping'!AZ55&lt;=360), ('(橫掃)RX Mapping'!AZ55-241),IF(AND('(橫掃)RX Mapping'!AZ55&gt;=361,'(橫掃)RX Mapping'!AZ55&lt;=480), (-1)*('(橫掃)RX Mapping'!AZ55-480),IF(AND('(橫掃)RX Mapping'!AZ55&gt;=481,'(橫掃)RX Mapping'!AZ55&lt;=600), ('(橫掃)RX Mapping'!AZ55-361),IF(AND('(橫掃)RX Mapping'!AZ55&gt;=601,'(橫掃)RX Mapping'!AZ55&lt;=720), (-1)*('(橫掃)RX Mapping'!AZ55-720)+120,IF(AND('(橫掃)RX Mapping'!AZ55&gt;=721,'(橫掃)RX Mapping'!AZ55&lt;=840), ('(橫掃)RX Mapping'!AZ55-601),IF(AND('(橫掃)RX Mapping'!AZ55&gt;=841,'(橫掃)RX Mapping'!AZ55&lt;=960), (-1)*('(橫掃)RX Mapping'!AZ55-960)+120,9999))))))))</f>
        <v>9999</v>
      </c>
      <c r="BA55">
        <f>IF(AND('(橫掃)RX Mapping'!BA55&gt;=1,'(橫掃)RX Mapping'!BA55&lt;=120), ('(橫掃)RX Mapping'!BA55-1),IF(AND('(橫掃)RX Mapping'!BA55&gt;=121,'(橫掃)RX Mapping'!BA55&lt;=240), (-1)*('(橫掃)RX Mapping'!BA55-240),IF(AND('(橫掃)RX Mapping'!BA55&gt;=241,'(橫掃)RX Mapping'!BA55&lt;=360), ('(橫掃)RX Mapping'!BA55-241),IF(AND('(橫掃)RX Mapping'!BA55&gt;=361,'(橫掃)RX Mapping'!BA55&lt;=480), (-1)*('(橫掃)RX Mapping'!BA55-480),IF(AND('(橫掃)RX Mapping'!BA55&gt;=481,'(橫掃)RX Mapping'!BA55&lt;=600), ('(橫掃)RX Mapping'!BA55-361),IF(AND('(橫掃)RX Mapping'!BA55&gt;=601,'(橫掃)RX Mapping'!BA55&lt;=720), (-1)*('(橫掃)RX Mapping'!BA55-720)+120,IF(AND('(橫掃)RX Mapping'!BA55&gt;=721,'(橫掃)RX Mapping'!BA55&lt;=840), ('(橫掃)RX Mapping'!BA55-601),IF(AND('(橫掃)RX Mapping'!BA55&gt;=841,'(橫掃)RX Mapping'!BA55&lt;=960), (-1)*('(橫掃)RX Mapping'!BA55-960)+120,9999))))))))</f>
        <v>9999</v>
      </c>
      <c r="BB55">
        <f>IF(AND('(橫掃)RX Mapping'!BB55&gt;=1,'(橫掃)RX Mapping'!BB55&lt;=120), ('(橫掃)RX Mapping'!BB55-1),IF(AND('(橫掃)RX Mapping'!BB55&gt;=121,'(橫掃)RX Mapping'!BB55&lt;=240), (-1)*('(橫掃)RX Mapping'!BB55-240),IF(AND('(橫掃)RX Mapping'!BB55&gt;=241,'(橫掃)RX Mapping'!BB55&lt;=360), ('(橫掃)RX Mapping'!BB55-241),IF(AND('(橫掃)RX Mapping'!BB55&gt;=361,'(橫掃)RX Mapping'!BB55&lt;=480), (-1)*('(橫掃)RX Mapping'!BB55-480),IF(AND('(橫掃)RX Mapping'!BB55&gt;=481,'(橫掃)RX Mapping'!BB55&lt;=600), ('(橫掃)RX Mapping'!BB55-361),IF(AND('(橫掃)RX Mapping'!BB55&gt;=601,'(橫掃)RX Mapping'!BB55&lt;=720), (-1)*('(橫掃)RX Mapping'!BB55-720)+120,IF(AND('(橫掃)RX Mapping'!BB55&gt;=721,'(橫掃)RX Mapping'!BB55&lt;=840), ('(橫掃)RX Mapping'!BB55-601),IF(AND('(橫掃)RX Mapping'!BB55&gt;=841,'(橫掃)RX Mapping'!BB55&lt;=960), (-1)*('(橫掃)RX Mapping'!BB55-960)+120,9999))))))))</f>
        <v>9999</v>
      </c>
      <c r="BC55">
        <f>IF(AND('(橫掃)RX Mapping'!BC55&gt;=1,'(橫掃)RX Mapping'!BC55&lt;=120), ('(橫掃)RX Mapping'!BC55-1),IF(AND('(橫掃)RX Mapping'!BC55&gt;=121,'(橫掃)RX Mapping'!BC55&lt;=240), (-1)*('(橫掃)RX Mapping'!BC55-240),IF(AND('(橫掃)RX Mapping'!BC55&gt;=241,'(橫掃)RX Mapping'!BC55&lt;=360), ('(橫掃)RX Mapping'!BC55-241),IF(AND('(橫掃)RX Mapping'!BC55&gt;=361,'(橫掃)RX Mapping'!BC55&lt;=480), (-1)*('(橫掃)RX Mapping'!BC55-480),IF(AND('(橫掃)RX Mapping'!BC55&gt;=481,'(橫掃)RX Mapping'!BC55&lt;=600), ('(橫掃)RX Mapping'!BC55-361),IF(AND('(橫掃)RX Mapping'!BC55&gt;=601,'(橫掃)RX Mapping'!BC55&lt;=720), (-1)*('(橫掃)RX Mapping'!BC55-720)+120,IF(AND('(橫掃)RX Mapping'!BC55&gt;=721,'(橫掃)RX Mapping'!BC55&lt;=840), ('(橫掃)RX Mapping'!BC55-601),IF(AND('(橫掃)RX Mapping'!BC55&gt;=841,'(橫掃)RX Mapping'!BC55&lt;=960), (-1)*('(橫掃)RX Mapping'!BC55-960)+120,9999))))))))</f>
        <v>9999</v>
      </c>
      <c r="BD55">
        <f>IF(AND('(橫掃)RX Mapping'!BD55&gt;=1,'(橫掃)RX Mapping'!BD55&lt;=120), ('(橫掃)RX Mapping'!BD55-1),IF(AND('(橫掃)RX Mapping'!BD55&gt;=121,'(橫掃)RX Mapping'!BD55&lt;=240), (-1)*('(橫掃)RX Mapping'!BD55-240),IF(AND('(橫掃)RX Mapping'!BD55&gt;=241,'(橫掃)RX Mapping'!BD55&lt;=360), ('(橫掃)RX Mapping'!BD55-241),IF(AND('(橫掃)RX Mapping'!BD55&gt;=361,'(橫掃)RX Mapping'!BD55&lt;=480), (-1)*('(橫掃)RX Mapping'!BD55-480),IF(AND('(橫掃)RX Mapping'!BD55&gt;=481,'(橫掃)RX Mapping'!BD55&lt;=600), ('(橫掃)RX Mapping'!BD55-361),IF(AND('(橫掃)RX Mapping'!BD55&gt;=601,'(橫掃)RX Mapping'!BD55&lt;=720), (-1)*('(橫掃)RX Mapping'!BD55-720)+120,IF(AND('(橫掃)RX Mapping'!BD55&gt;=721,'(橫掃)RX Mapping'!BD55&lt;=840), ('(橫掃)RX Mapping'!BD55-601),IF(AND('(橫掃)RX Mapping'!BD55&gt;=841,'(橫掃)RX Mapping'!BD55&lt;=960), (-1)*('(橫掃)RX Mapping'!BD55-960)+120,9999))))))))</f>
        <v>9999</v>
      </c>
      <c r="BE55">
        <f>IF(AND('(橫掃)RX Mapping'!BE55&gt;=1,'(橫掃)RX Mapping'!BE55&lt;=120), ('(橫掃)RX Mapping'!BE55-1),IF(AND('(橫掃)RX Mapping'!BE55&gt;=121,'(橫掃)RX Mapping'!BE55&lt;=240), (-1)*('(橫掃)RX Mapping'!BE55-240),IF(AND('(橫掃)RX Mapping'!BE55&gt;=241,'(橫掃)RX Mapping'!BE55&lt;=360), ('(橫掃)RX Mapping'!BE55-241),IF(AND('(橫掃)RX Mapping'!BE55&gt;=361,'(橫掃)RX Mapping'!BE55&lt;=480), (-1)*('(橫掃)RX Mapping'!BE55-480),IF(AND('(橫掃)RX Mapping'!BE55&gt;=481,'(橫掃)RX Mapping'!BE55&lt;=600), ('(橫掃)RX Mapping'!BE55-361),IF(AND('(橫掃)RX Mapping'!BE55&gt;=601,'(橫掃)RX Mapping'!BE55&lt;=720), (-1)*('(橫掃)RX Mapping'!BE55-720)+120,IF(AND('(橫掃)RX Mapping'!BE55&gt;=721,'(橫掃)RX Mapping'!BE55&lt;=840), ('(橫掃)RX Mapping'!BE55-601),IF(AND('(橫掃)RX Mapping'!BE55&gt;=841,'(橫掃)RX Mapping'!BE55&lt;=960), (-1)*('(橫掃)RX Mapping'!BE55-960)+120,9999))))))))</f>
        <v>9999</v>
      </c>
      <c r="BF55">
        <f>IF(AND('(橫掃)RX Mapping'!BF55&gt;=1,'(橫掃)RX Mapping'!BF55&lt;=120), ('(橫掃)RX Mapping'!BF55-1),IF(AND('(橫掃)RX Mapping'!BF55&gt;=121,'(橫掃)RX Mapping'!BF55&lt;=240), (-1)*('(橫掃)RX Mapping'!BF55-240),IF(AND('(橫掃)RX Mapping'!BF55&gt;=241,'(橫掃)RX Mapping'!BF55&lt;=360), ('(橫掃)RX Mapping'!BF55-241),IF(AND('(橫掃)RX Mapping'!BF55&gt;=361,'(橫掃)RX Mapping'!BF55&lt;=480), (-1)*('(橫掃)RX Mapping'!BF55-480),IF(AND('(橫掃)RX Mapping'!BF55&gt;=481,'(橫掃)RX Mapping'!BF55&lt;=600), ('(橫掃)RX Mapping'!BF55-361),IF(AND('(橫掃)RX Mapping'!BF55&gt;=601,'(橫掃)RX Mapping'!BF55&lt;=720), (-1)*('(橫掃)RX Mapping'!BF55-720)+120,IF(AND('(橫掃)RX Mapping'!BF55&gt;=721,'(橫掃)RX Mapping'!BF55&lt;=840), ('(橫掃)RX Mapping'!BF55-601),IF(AND('(橫掃)RX Mapping'!BF55&gt;=841,'(橫掃)RX Mapping'!BF55&lt;=960), (-1)*('(橫掃)RX Mapping'!BF55-960)+120,9999))))))))</f>
        <v>9999</v>
      </c>
      <c r="BG55">
        <f>IF(AND('(橫掃)RX Mapping'!BG55&gt;=1,'(橫掃)RX Mapping'!BG55&lt;=120), ('(橫掃)RX Mapping'!BG55-1),IF(AND('(橫掃)RX Mapping'!BG55&gt;=121,'(橫掃)RX Mapping'!BG55&lt;=240), (-1)*('(橫掃)RX Mapping'!BG55-240),IF(AND('(橫掃)RX Mapping'!BG55&gt;=241,'(橫掃)RX Mapping'!BG55&lt;=360), ('(橫掃)RX Mapping'!BG55-241),IF(AND('(橫掃)RX Mapping'!BG55&gt;=361,'(橫掃)RX Mapping'!BG55&lt;=480), (-1)*('(橫掃)RX Mapping'!BG55-480),IF(AND('(橫掃)RX Mapping'!BG55&gt;=481,'(橫掃)RX Mapping'!BG55&lt;=600), ('(橫掃)RX Mapping'!BG55-361),IF(AND('(橫掃)RX Mapping'!BG55&gt;=601,'(橫掃)RX Mapping'!BG55&lt;=720), (-1)*('(橫掃)RX Mapping'!BG55-720)+120,IF(AND('(橫掃)RX Mapping'!BG55&gt;=721,'(橫掃)RX Mapping'!BG55&lt;=840), ('(橫掃)RX Mapping'!BG55-601),IF(AND('(橫掃)RX Mapping'!BG55&gt;=841,'(橫掃)RX Mapping'!BG55&lt;=960), (-1)*('(橫掃)RX Mapping'!BG55-960)+120,9999))))))))</f>
        <v>9999</v>
      </c>
      <c r="BH55">
        <f>IF(AND('(橫掃)RX Mapping'!BH55&gt;=1,'(橫掃)RX Mapping'!BH55&lt;=120), ('(橫掃)RX Mapping'!BH55-1),IF(AND('(橫掃)RX Mapping'!BH55&gt;=121,'(橫掃)RX Mapping'!BH55&lt;=240), (-1)*('(橫掃)RX Mapping'!BH55-240),IF(AND('(橫掃)RX Mapping'!BH55&gt;=241,'(橫掃)RX Mapping'!BH55&lt;=360), ('(橫掃)RX Mapping'!BH55-241),IF(AND('(橫掃)RX Mapping'!BH55&gt;=361,'(橫掃)RX Mapping'!BH55&lt;=480), (-1)*('(橫掃)RX Mapping'!BH55-480),IF(AND('(橫掃)RX Mapping'!BH55&gt;=481,'(橫掃)RX Mapping'!BH55&lt;=600), ('(橫掃)RX Mapping'!BH55-361),IF(AND('(橫掃)RX Mapping'!BH55&gt;=601,'(橫掃)RX Mapping'!BH55&lt;=720), (-1)*('(橫掃)RX Mapping'!BH55-720)+120,IF(AND('(橫掃)RX Mapping'!BH55&gt;=721,'(橫掃)RX Mapping'!BH55&lt;=840), ('(橫掃)RX Mapping'!BH55-601),IF(AND('(橫掃)RX Mapping'!BH55&gt;=841,'(橫掃)RX Mapping'!BH55&lt;=960), (-1)*('(橫掃)RX Mapping'!BH55-960)+120,9999))))))))</f>
        <v>9999</v>
      </c>
      <c r="BI55">
        <f>IF(AND('(橫掃)RX Mapping'!BI55&gt;=1,'(橫掃)RX Mapping'!BI55&lt;=120), ('(橫掃)RX Mapping'!BI55-1),IF(AND('(橫掃)RX Mapping'!BI55&gt;=121,'(橫掃)RX Mapping'!BI55&lt;=240), (-1)*('(橫掃)RX Mapping'!BI55-240),IF(AND('(橫掃)RX Mapping'!BI55&gt;=241,'(橫掃)RX Mapping'!BI55&lt;=360), ('(橫掃)RX Mapping'!BI55-241),IF(AND('(橫掃)RX Mapping'!BI55&gt;=361,'(橫掃)RX Mapping'!BI55&lt;=480), (-1)*('(橫掃)RX Mapping'!BI55-480),IF(AND('(橫掃)RX Mapping'!BI55&gt;=481,'(橫掃)RX Mapping'!BI55&lt;=600), ('(橫掃)RX Mapping'!BI55-361),IF(AND('(橫掃)RX Mapping'!BI55&gt;=601,'(橫掃)RX Mapping'!BI55&lt;=720), (-1)*('(橫掃)RX Mapping'!BI55-720)+120,IF(AND('(橫掃)RX Mapping'!BI55&gt;=721,'(橫掃)RX Mapping'!BI55&lt;=840), ('(橫掃)RX Mapping'!BI55-601),IF(AND('(橫掃)RX Mapping'!BI55&gt;=841,'(橫掃)RX Mapping'!BI55&lt;=960), (-1)*('(橫掃)RX Mapping'!BI55-960)+120,9999))))))))</f>
        <v>9999</v>
      </c>
    </row>
    <row r="56" spans="1:61" x14ac:dyDescent="0.25">
      <c r="A56" s="20">
        <v>55</v>
      </c>
      <c r="B56">
        <f>IF(AND('(橫掃)RX Mapping'!B56&gt;=1,'(橫掃)RX Mapping'!B56&lt;=120), ('(橫掃)RX Mapping'!B56-1),IF(AND('(橫掃)RX Mapping'!B56&gt;=121,'(橫掃)RX Mapping'!B56&lt;=240), (-1)*('(橫掃)RX Mapping'!B56-240),IF(AND('(橫掃)RX Mapping'!B56&gt;=241,'(橫掃)RX Mapping'!B56&lt;=360), ('(橫掃)RX Mapping'!B56-241),IF(AND('(橫掃)RX Mapping'!B56&gt;=361,'(橫掃)RX Mapping'!B56&lt;=480), (-1)*('(橫掃)RX Mapping'!B56-480),IF(AND('(橫掃)RX Mapping'!B56&gt;=481,'(橫掃)RX Mapping'!B56&lt;=600), ('(橫掃)RX Mapping'!B56-361),IF(AND('(橫掃)RX Mapping'!B56&gt;=601,'(橫掃)RX Mapping'!B56&lt;=720), (-1)*('(橫掃)RX Mapping'!B56-720)+120,IF(AND('(橫掃)RX Mapping'!B56&gt;=721,'(橫掃)RX Mapping'!B56&lt;=840), ('(橫掃)RX Mapping'!B56-601),IF(AND('(橫掃)RX Mapping'!B56&gt;=841,'(橫掃)RX Mapping'!B56&lt;=960), (-1)*('(橫掃)RX Mapping'!B56-960)+120,9999))))))))</f>
        <v>9999</v>
      </c>
      <c r="C56">
        <f>IF(AND('(橫掃)RX Mapping'!C56&gt;=1,'(橫掃)RX Mapping'!C56&lt;=120), ('(橫掃)RX Mapping'!C56-1),IF(AND('(橫掃)RX Mapping'!C56&gt;=121,'(橫掃)RX Mapping'!C56&lt;=240), (-1)*('(橫掃)RX Mapping'!C56-240),IF(AND('(橫掃)RX Mapping'!C56&gt;=241,'(橫掃)RX Mapping'!C56&lt;=360), ('(橫掃)RX Mapping'!C56-241),IF(AND('(橫掃)RX Mapping'!C56&gt;=361,'(橫掃)RX Mapping'!C56&lt;=480), (-1)*('(橫掃)RX Mapping'!C56-480),IF(AND('(橫掃)RX Mapping'!C56&gt;=481,'(橫掃)RX Mapping'!C56&lt;=600), ('(橫掃)RX Mapping'!C56-361),IF(AND('(橫掃)RX Mapping'!C56&gt;=601,'(橫掃)RX Mapping'!C56&lt;=720), (-1)*('(橫掃)RX Mapping'!C56-720)+120,IF(AND('(橫掃)RX Mapping'!C56&gt;=721,'(橫掃)RX Mapping'!C56&lt;=840), ('(橫掃)RX Mapping'!C56-601),IF(AND('(橫掃)RX Mapping'!C56&gt;=841,'(橫掃)RX Mapping'!C56&lt;=960), (-1)*('(橫掃)RX Mapping'!C56-960)+120,9999))))))))</f>
        <v>9999</v>
      </c>
      <c r="D56">
        <f>IF(AND('(橫掃)RX Mapping'!D56&gt;=1,'(橫掃)RX Mapping'!D56&lt;=120), ('(橫掃)RX Mapping'!D56-1),IF(AND('(橫掃)RX Mapping'!D56&gt;=121,'(橫掃)RX Mapping'!D56&lt;=240), (-1)*('(橫掃)RX Mapping'!D56-240),IF(AND('(橫掃)RX Mapping'!D56&gt;=241,'(橫掃)RX Mapping'!D56&lt;=360), ('(橫掃)RX Mapping'!D56-241),IF(AND('(橫掃)RX Mapping'!D56&gt;=361,'(橫掃)RX Mapping'!D56&lt;=480), (-1)*('(橫掃)RX Mapping'!D56-480),IF(AND('(橫掃)RX Mapping'!D56&gt;=481,'(橫掃)RX Mapping'!D56&lt;=600), ('(橫掃)RX Mapping'!D56-361),IF(AND('(橫掃)RX Mapping'!D56&gt;=601,'(橫掃)RX Mapping'!D56&lt;=720), (-1)*('(橫掃)RX Mapping'!D56-720)+120,IF(AND('(橫掃)RX Mapping'!D56&gt;=721,'(橫掃)RX Mapping'!D56&lt;=840), ('(橫掃)RX Mapping'!D56-601),IF(AND('(橫掃)RX Mapping'!D56&gt;=841,'(橫掃)RX Mapping'!D56&lt;=960), (-1)*('(橫掃)RX Mapping'!D56-960)+120,9999))))))))</f>
        <v>9999</v>
      </c>
      <c r="E56">
        <f>IF(AND('(橫掃)RX Mapping'!E56&gt;=1,'(橫掃)RX Mapping'!E56&lt;=120), ('(橫掃)RX Mapping'!E56-1),IF(AND('(橫掃)RX Mapping'!E56&gt;=121,'(橫掃)RX Mapping'!E56&lt;=240), (-1)*('(橫掃)RX Mapping'!E56-240),IF(AND('(橫掃)RX Mapping'!E56&gt;=241,'(橫掃)RX Mapping'!E56&lt;=360), ('(橫掃)RX Mapping'!E56-241),IF(AND('(橫掃)RX Mapping'!E56&gt;=361,'(橫掃)RX Mapping'!E56&lt;=480), (-1)*('(橫掃)RX Mapping'!E56-480),IF(AND('(橫掃)RX Mapping'!E56&gt;=481,'(橫掃)RX Mapping'!E56&lt;=600), ('(橫掃)RX Mapping'!E56-361),IF(AND('(橫掃)RX Mapping'!E56&gt;=601,'(橫掃)RX Mapping'!E56&lt;=720), (-1)*('(橫掃)RX Mapping'!E56-720)+120,IF(AND('(橫掃)RX Mapping'!E56&gt;=721,'(橫掃)RX Mapping'!E56&lt;=840), ('(橫掃)RX Mapping'!E56-601),IF(AND('(橫掃)RX Mapping'!E56&gt;=841,'(橫掃)RX Mapping'!E56&lt;=960), (-1)*('(橫掃)RX Mapping'!E56-960)+120,9999))))))))</f>
        <v>9999</v>
      </c>
      <c r="F56">
        <f>IF(AND('(橫掃)RX Mapping'!F56&gt;=1,'(橫掃)RX Mapping'!F56&lt;=120), ('(橫掃)RX Mapping'!F56-1),IF(AND('(橫掃)RX Mapping'!F56&gt;=121,'(橫掃)RX Mapping'!F56&lt;=240), (-1)*('(橫掃)RX Mapping'!F56-240),IF(AND('(橫掃)RX Mapping'!F56&gt;=241,'(橫掃)RX Mapping'!F56&lt;=360), ('(橫掃)RX Mapping'!F56-241),IF(AND('(橫掃)RX Mapping'!F56&gt;=361,'(橫掃)RX Mapping'!F56&lt;=480), (-1)*('(橫掃)RX Mapping'!F56-480),IF(AND('(橫掃)RX Mapping'!F56&gt;=481,'(橫掃)RX Mapping'!F56&lt;=600), ('(橫掃)RX Mapping'!F56-361),IF(AND('(橫掃)RX Mapping'!F56&gt;=601,'(橫掃)RX Mapping'!F56&lt;=720), (-1)*('(橫掃)RX Mapping'!F56-720)+120,IF(AND('(橫掃)RX Mapping'!F56&gt;=721,'(橫掃)RX Mapping'!F56&lt;=840), ('(橫掃)RX Mapping'!F56-601),IF(AND('(橫掃)RX Mapping'!F56&gt;=841,'(橫掃)RX Mapping'!F56&lt;=960), (-1)*('(橫掃)RX Mapping'!F56-960)+120,9999))))))))</f>
        <v>9999</v>
      </c>
      <c r="G56">
        <f>IF(AND('(橫掃)RX Mapping'!G56&gt;=1,'(橫掃)RX Mapping'!G56&lt;=120), ('(橫掃)RX Mapping'!G56-1),IF(AND('(橫掃)RX Mapping'!G56&gt;=121,'(橫掃)RX Mapping'!G56&lt;=240), (-1)*('(橫掃)RX Mapping'!G56-240),IF(AND('(橫掃)RX Mapping'!G56&gt;=241,'(橫掃)RX Mapping'!G56&lt;=360), ('(橫掃)RX Mapping'!G56-241),IF(AND('(橫掃)RX Mapping'!G56&gt;=361,'(橫掃)RX Mapping'!G56&lt;=480), (-1)*('(橫掃)RX Mapping'!G56-480),IF(AND('(橫掃)RX Mapping'!G56&gt;=481,'(橫掃)RX Mapping'!G56&lt;=600), ('(橫掃)RX Mapping'!G56-361),IF(AND('(橫掃)RX Mapping'!G56&gt;=601,'(橫掃)RX Mapping'!G56&lt;=720), (-1)*('(橫掃)RX Mapping'!G56-720)+120,IF(AND('(橫掃)RX Mapping'!G56&gt;=721,'(橫掃)RX Mapping'!G56&lt;=840), ('(橫掃)RX Mapping'!G56-601),IF(AND('(橫掃)RX Mapping'!G56&gt;=841,'(橫掃)RX Mapping'!G56&lt;=960), (-1)*('(橫掃)RX Mapping'!G56-960)+120,9999))))))))</f>
        <v>9999</v>
      </c>
      <c r="H56">
        <f>IF(AND('(橫掃)RX Mapping'!H56&gt;=1,'(橫掃)RX Mapping'!H56&lt;=120), ('(橫掃)RX Mapping'!H56-1),IF(AND('(橫掃)RX Mapping'!H56&gt;=121,'(橫掃)RX Mapping'!H56&lt;=240), (-1)*('(橫掃)RX Mapping'!H56-240),IF(AND('(橫掃)RX Mapping'!H56&gt;=241,'(橫掃)RX Mapping'!H56&lt;=360), ('(橫掃)RX Mapping'!H56-241),IF(AND('(橫掃)RX Mapping'!H56&gt;=361,'(橫掃)RX Mapping'!H56&lt;=480), (-1)*('(橫掃)RX Mapping'!H56-480),IF(AND('(橫掃)RX Mapping'!H56&gt;=481,'(橫掃)RX Mapping'!H56&lt;=600), ('(橫掃)RX Mapping'!H56-361),IF(AND('(橫掃)RX Mapping'!H56&gt;=601,'(橫掃)RX Mapping'!H56&lt;=720), (-1)*('(橫掃)RX Mapping'!H56-720)+120,IF(AND('(橫掃)RX Mapping'!H56&gt;=721,'(橫掃)RX Mapping'!H56&lt;=840), ('(橫掃)RX Mapping'!H56-601),IF(AND('(橫掃)RX Mapping'!H56&gt;=841,'(橫掃)RX Mapping'!H56&lt;=960), (-1)*('(橫掃)RX Mapping'!H56-960)+120,9999))))))))</f>
        <v>9999</v>
      </c>
      <c r="I56">
        <f>IF(AND('(橫掃)RX Mapping'!I56&gt;=1,'(橫掃)RX Mapping'!I56&lt;=120), ('(橫掃)RX Mapping'!I56-1),IF(AND('(橫掃)RX Mapping'!I56&gt;=121,'(橫掃)RX Mapping'!I56&lt;=240), (-1)*('(橫掃)RX Mapping'!I56-240),IF(AND('(橫掃)RX Mapping'!I56&gt;=241,'(橫掃)RX Mapping'!I56&lt;=360), ('(橫掃)RX Mapping'!I56-241),IF(AND('(橫掃)RX Mapping'!I56&gt;=361,'(橫掃)RX Mapping'!I56&lt;=480), (-1)*('(橫掃)RX Mapping'!I56-480),IF(AND('(橫掃)RX Mapping'!I56&gt;=481,'(橫掃)RX Mapping'!I56&lt;=600), ('(橫掃)RX Mapping'!I56-361),IF(AND('(橫掃)RX Mapping'!I56&gt;=601,'(橫掃)RX Mapping'!I56&lt;=720), (-1)*('(橫掃)RX Mapping'!I56-720)+120,IF(AND('(橫掃)RX Mapping'!I56&gt;=721,'(橫掃)RX Mapping'!I56&lt;=840), ('(橫掃)RX Mapping'!I56-601),IF(AND('(橫掃)RX Mapping'!I56&gt;=841,'(橫掃)RX Mapping'!I56&lt;=960), (-1)*('(橫掃)RX Mapping'!I56-960)+120,9999))))))))</f>
        <v>9999</v>
      </c>
      <c r="J56">
        <f>IF(AND('(橫掃)RX Mapping'!J56&gt;=1,'(橫掃)RX Mapping'!J56&lt;=120), ('(橫掃)RX Mapping'!J56-1),IF(AND('(橫掃)RX Mapping'!J56&gt;=121,'(橫掃)RX Mapping'!J56&lt;=240), (-1)*('(橫掃)RX Mapping'!J56-240),IF(AND('(橫掃)RX Mapping'!J56&gt;=241,'(橫掃)RX Mapping'!J56&lt;=360), ('(橫掃)RX Mapping'!J56-241),IF(AND('(橫掃)RX Mapping'!J56&gt;=361,'(橫掃)RX Mapping'!J56&lt;=480), (-1)*('(橫掃)RX Mapping'!J56-480),IF(AND('(橫掃)RX Mapping'!J56&gt;=481,'(橫掃)RX Mapping'!J56&lt;=600), ('(橫掃)RX Mapping'!J56-361),IF(AND('(橫掃)RX Mapping'!J56&gt;=601,'(橫掃)RX Mapping'!J56&lt;=720), (-1)*('(橫掃)RX Mapping'!J56-720)+120,IF(AND('(橫掃)RX Mapping'!J56&gt;=721,'(橫掃)RX Mapping'!J56&lt;=840), ('(橫掃)RX Mapping'!J56-601),IF(AND('(橫掃)RX Mapping'!J56&gt;=841,'(橫掃)RX Mapping'!J56&lt;=960), (-1)*('(橫掃)RX Mapping'!J56-960)+120,9999))))))))</f>
        <v>9999</v>
      </c>
      <c r="K56">
        <f>IF(AND('(橫掃)RX Mapping'!K56&gt;=1,'(橫掃)RX Mapping'!K56&lt;=120), ('(橫掃)RX Mapping'!K56-1),IF(AND('(橫掃)RX Mapping'!K56&gt;=121,'(橫掃)RX Mapping'!K56&lt;=240), (-1)*('(橫掃)RX Mapping'!K56-240),IF(AND('(橫掃)RX Mapping'!K56&gt;=241,'(橫掃)RX Mapping'!K56&lt;=360), ('(橫掃)RX Mapping'!K56-241),IF(AND('(橫掃)RX Mapping'!K56&gt;=361,'(橫掃)RX Mapping'!K56&lt;=480), (-1)*('(橫掃)RX Mapping'!K56-480),IF(AND('(橫掃)RX Mapping'!K56&gt;=481,'(橫掃)RX Mapping'!K56&lt;=600), ('(橫掃)RX Mapping'!K56-361),IF(AND('(橫掃)RX Mapping'!K56&gt;=601,'(橫掃)RX Mapping'!K56&lt;=720), (-1)*('(橫掃)RX Mapping'!K56-720)+120,IF(AND('(橫掃)RX Mapping'!K56&gt;=721,'(橫掃)RX Mapping'!K56&lt;=840), ('(橫掃)RX Mapping'!K56-601),IF(AND('(橫掃)RX Mapping'!K56&gt;=841,'(橫掃)RX Mapping'!K56&lt;=960), (-1)*('(橫掃)RX Mapping'!K56-960)+120,9999))))))))</f>
        <v>9999</v>
      </c>
      <c r="L56">
        <f>IF(AND('(橫掃)RX Mapping'!L56&gt;=1,'(橫掃)RX Mapping'!L56&lt;=120), ('(橫掃)RX Mapping'!L56-1),IF(AND('(橫掃)RX Mapping'!L56&gt;=121,'(橫掃)RX Mapping'!L56&lt;=240), (-1)*('(橫掃)RX Mapping'!L56-240),IF(AND('(橫掃)RX Mapping'!L56&gt;=241,'(橫掃)RX Mapping'!L56&lt;=360), ('(橫掃)RX Mapping'!L56-241),IF(AND('(橫掃)RX Mapping'!L56&gt;=361,'(橫掃)RX Mapping'!L56&lt;=480), (-1)*('(橫掃)RX Mapping'!L56-480),IF(AND('(橫掃)RX Mapping'!L56&gt;=481,'(橫掃)RX Mapping'!L56&lt;=600), ('(橫掃)RX Mapping'!L56-361),IF(AND('(橫掃)RX Mapping'!L56&gt;=601,'(橫掃)RX Mapping'!L56&lt;=720), (-1)*('(橫掃)RX Mapping'!L56-720)+120,IF(AND('(橫掃)RX Mapping'!L56&gt;=721,'(橫掃)RX Mapping'!L56&lt;=840), ('(橫掃)RX Mapping'!L56-601),IF(AND('(橫掃)RX Mapping'!L56&gt;=841,'(橫掃)RX Mapping'!L56&lt;=960), (-1)*('(橫掃)RX Mapping'!L56-960)+120,9999))))))))</f>
        <v>9999</v>
      </c>
      <c r="M56">
        <f>IF(AND('(橫掃)RX Mapping'!M56&gt;=1,'(橫掃)RX Mapping'!M56&lt;=120), ('(橫掃)RX Mapping'!M56-1),IF(AND('(橫掃)RX Mapping'!M56&gt;=121,'(橫掃)RX Mapping'!M56&lt;=240), (-1)*('(橫掃)RX Mapping'!M56-240),IF(AND('(橫掃)RX Mapping'!M56&gt;=241,'(橫掃)RX Mapping'!M56&lt;=360), ('(橫掃)RX Mapping'!M56-241),IF(AND('(橫掃)RX Mapping'!M56&gt;=361,'(橫掃)RX Mapping'!M56&lt;=480), (-1)*('(橫掃)RX Mapping'!M56-480),IF(AND('(橫掃)RX Mapping'!M56&gt;=481,'(橫掃)RX Mapping'!M56&lt;=600), ('(橫掃)RX Mapping'!M56-361),IF(AND('(橫掃)RX Mapping'!M56&gt;=601,'(橫掃)RX Mapping'!M56&lt;=720), (-1)*('(橫掃)RX Mapping'!M56-720)+120,IF(AND('(橫掃)RX Mapping'!M56&gt;=721,'(橫掃)RX Mapping'!M56&lt;=840), ('(橫掃)RX Mapping'!M56-601),IF(AND('(橫掃)RX Mapping'!M56&gt;=841,'(橫掃)RX Mapping'!M56&lt;=960), (-1)*('(橫掃)RX Mapping'!M56-960)+120,9999))))))))</f>
        <v>9999</v>
      </c>
      <c r="N56">
        <f>IF(AND('(橫掃)RX Mapping'!N56&gt;=1,'(橫掃)RX Mapping'!N56&lt;=120), ('(橫掃)RX Mapping'!N56-1),IF(AND('(橫掃)RX Mapping'!N56&gt;=121,'(橫掃)RX Mapping'!N56&lt;=240), (-1)*('(橫掃)RX Mapping'!N56-240),IF(AND('(橫掃)RX Mapping'!N56&gt;=241,'(橫掃)RX Mapping'!N56&lt;=360), ('(橫掃)RX Mapping'!N56-241),IF(AND('(橫掃)RX Mapping'!N56&gt;=361,'(橫掃)RX Mapping'!N56&lt;=480), (-1)*('(橫掃)RX Mapping'!N56-480),IF(AND('(橫掃)RX Mapping'!N56&gt;=481,'(橫掃)RX Mapping'!N56&lt;=600), ('(橫掃)RX Mapping'!N56-361),IF(AND('(橫掃)RX Mapping'!N56&gt;=601,'(橫掃)RX Mapping'!N56&lt;=720), (-1)*('(橫掃)RX Mapping'!N56-720)+120,IF(AND('(橫掃)RX Mapping'!N56&gt;=721,'(橫掃)RX Mapping'!N56&lt;=840), ('(橫掃)RX Mapping'!N56-601),IF(AND('(橫掃)RX Mapping'!N56&gt;=841,'(橫掃)RX Mapping'!N56&lt;=960), (-1)*('(橫掃)RX Mapping'!N56-960)+120,9999))))))))</f>
        <v>9999</v>
      </c>
      <c r="O56">
        <f>IF(AND('(橫掃)RX Mapping'!O56&gt;=1,'(橫掃)RX Mapping'!O56&lt;=120), ('(橫掃)RX Mapping'!O56-1),IF(AND('(橫掃)RX Mapping'!O56&gt;=121,'(橫掃)RX Mapping'!O56&lt;=240), (-1)*('(橫掃)RX Mapping'!O56-240),IF(AND('(橫掃)RX Mapping'!O56&gt;=241,'(橫掃)RX Mapping'!O56&lt;=360), ('(橫掃)RX Mapping'!O56-241),IF(AND('(橫掃)RX Mapping'!O56&gt;=361,'(橫掃)RX Mapping'!O56&lt;=480), (-1)*('(橫掃)RX Mapping'!O56-480),IF(AND('(橫掃)RX Mapping'!O56&gt;=481,'(橫掃)RX Mapping'!O56&lt;=600), ('(橫掃)RX Mapping'!O56-361),IF(AND('(橫掃)RX Mapping'!O56&gt;=601,'(橫掃)RX Mapping'!O56&lt;=720), (-1)*('(橫掃)RX Mapping'!O56-720)+120,IF(AND('(橫掃)RX Mapping'!O56&gt;=721,'(橫掃)RX Mapping'!O56&lt;=840), ('(橫掃)RX Mapping'!O56-601),IF(AND('(橫掃)RX Mapping'!O56&gt;=841,'(橫掃)RX Mapping'!O56&lt;=960), (-1)*('(橫掃)RX Mapping'!O56-960)+120,9999))))))))</f>
        <v>9999</v>
      </c>
      <c r="P56">
        <f>IF(AND('(橫掃)RX Mapping'!P56&gt;=1,'(橫掃)RX Mapping'!P56&lt;=120), ('(橫掃)RX Mapping'!P56-1),IF(AND('(橫掃)RX Mapping'!P56&gt;=121,'(橫掃)RX Mapping'!P56&lt;=240), (-1)*('(橫掃)RX Mapping'!P56-240),IF(AND('(橫掃)RX Mapping'!P56&gt;=241,'(橫掃)RX Mapping'!P56&lt;=360), ('(橫掃)RX Mapping'!P56-241),IF(AND('(橫掃)RX Mapping'!P56&gt;=361,'(橫掃)RX Mapping'!P56&lt;=480), (-1)*('(橫掃)RX Mapping'!P56-480),IF(AND('(橫掃)RX Mapping'!P56&gt;=481,'(橫掃)RX Mapping'!P56&lt;=600), ('(橫掃)RX Mapping'!P56-361),IF(AND('(橫掃)RX Mapping'!P56&gt;=601,'(橫掃)RX Mapping'!P56&lt;=720), (-1)*('(橫掃)RX Mapping'!P56-720)+120,IF(AND('(橫掃)RX Mapping'!P56&gt;=721,'(橫掃)RX Mapping'!P56&lt;=840), ('(橫掃)RX Mapping'!P56-601),IF(AND('(橫掃)RX Mapping'!P56&gt;=841,'(橫掃)RX Mapping'!P56&lt;=960), (-1)*('(橫掃)RX Mapping'!P56-960)+120,9999))))))))</f>
        <v>9999</v>
      </c>
      <c r="Q56">
        <f>IF(AND('(橫掃)RX Mapping'!Q56&gt;=1,'(橫掃)RX Mapping'!Q56&lt;=120), ('(橫掃)RX Mapping'!Q56-1),IF(AND('(橫掃)RX Mapping'!Q56&gt;=121,'(橫掃)RX Mapping'!Q56&lt;=240), (-1)*('(橫掃)RX Mapping'!Q56-240),IF(AND('(橫掃)RX Mapping'!Q56&gt;=241,'(橫掃)RX Mapping'!Q56&lt;=360), ('(橫掃)RX Mapping'!Q56-241),IF(AND('(橫掃)RX Mapping'!Q56&gt;=361,'(橫掃)RX Mapping'!Q56&lt;=480), (-1)*('(橫掃)RX Mapping'!Q56-480),IF(AND('(橫掃)RX Mapping'!Q56&gt;=481,'(橫掃)RX Mapping'!Q56&lt;=600), ('(橫掃)RX Mapping'!Q56-361),IF(AND('(橫掃)RX Mapping'!Q56&gt;=601,'(橫掃)RX Mapping'!Q56&lt;=720), (-1)*('(橫掃)RX Mapping'!Q56-720)+120,IF(AND('(橫掃)RX Mapping'!Q56&gt;=721,'(橫掃)RX Mapping'!Q56&lt;=840), ('(橫掃)RX Mapping'!Q56-601),IF(AND('(橫掃)RX Mapping'!Q56&gt;=841,'(橫掃)RX Mapping'!Q56&lt;=960), (-1)*('(橫掃)RX Mapping'!Q56-960)+120,9999))))))))</f>
        <v>9999</v>
      </c>
      <c r="R56">
        <f>IF(AND('(橫掃)RX Mapping'!R56&gt;=1,'(橫掃)RX Mapping'!R56&lt;=120), ('(橫掃)RX Mapping'!R56-1),IF(AND('(橫掃)RX Mapping'!R56&gt;=121,'(橫掃)RX Mapping'!R56&lt;=240), (-1)*('(橫掃)RX Mapping'!R56-240),IF(AND('(橫掃)RX Mapping'!R56&gt;=241,'(橫掃)RX Mapping'!R56&lt;=360), ('(橫掃)RX Mapping'!R56-241),IF(AND('(橫掃)RX Mapping'!R56&gt;=361,'(橫掃)RX Mapping'!R56&lt;=480), (-1)*('(橫掃)RX Mapping'!R56-480),IF(AND('(橫掃)RX Mapping'!R56&gt;=481,'(橫掃)RX Mapping'!R56&lt;=600), ('(橫掃)RX Mapping'!R56-361),IF(AND('(橫掃)RX Mapping'!R56&gt;=601,'(橫掃)RX Mapping'!R56&lt;=720), (-1)*('(橫掃)RX Mapping'!R56-720)+120,IF(AND('(橫掃)RX Mapping'!R56&gt;=721,'(橫掃)RX Mapping'!R56&lt;=840), ('(橫掃)RX Mapping'!R56-601),IF(AND('(橫掃)RX Mapping'!R56&gt;=841,'(橫掃)RX Mapping'!R56&lt;=960), (-1)*('(橫掃)RX Mapping'!R56-960)+120,9999))))))))</f>
        <v>9999</v>
      </c>
      <c r="S56">
        <f>IF(AND('(橫掃)RX Mapping'!S56&gt;=1,'(橫掃)RX Mapping'!S56&lt;=120), ('(橫掃)RX Mapping'!S56-1),IF(AND('(橫掃)RX Mapping'!S56&gt;=121,'(橫掃)RX Mapping'!S56&lt;=240), (-1)*('(橫掃)RX Mapping'!S56-240),IF(AND('(橫掃)RX Mapping'!S56&gt;=241,'(橫掃)RX Mapping'!S56&lt;=360), ('(橫掃)RX Mapping'!S56-241),IF(AND('(橫掃)RX Mapping'!S56&gt;=361,'(橫掃)RX Mapping'!S56&lt;=480), (-1)*('(橫掃)RX Mapping'!S56-480),IF(AND('(橫掃)RX Mapping'!S56&gt;=481,'(橫掃)RX Mapping'!S56&lt;=600), ('(橫掃)RX Mapping'!S56-361),IF(AND('(橫掃)RX Mapping'!S56&gt;=601,'(橫掃)RX Mapping'!S56&lt;=720), (-1)*('(橫掃)RX Mapping'!S56-720)+120,IF(AND('(橫掃)RX Mapping'!S56&gt;=721,'(橫掃)RX Mapping'!S56&lt;=840), ('(橫掃)RX Mapping'!S56-601),IF(AND('(橫掃)RX Mapping'!S56&gt;=841,'(橫掃)RX Mapping'!S56&lt;=960), (-1)*('(橫掃)RX Mapping'!S56-960)+120,9999))))))))</f>
        <v>9999</v>
      </c>
      <c r="T56">
        <f>IF(AND('(橫掃)RX Mapping'!T56&gt;=1,'(橫掃)RX Mapping'!T56&lt;=120), ('(橫掃)RX Mapping'!T56-1),IF(AND('(橫掃)RX Mapping'!T56&gt;=121,'(橫掃)RX Mapping'!T56&lt;=240), (-1)*('(橫掃)RX Mapping'!T56-240),IF(AND('(橫掃)RX Mapping'!T56&gt;=241,'(橫掃)RX Mapping'!T56&lt;=360), ('(橫掃)RX Mapping'!T56-241),IF(AND('(橫掃)RX Mapping'!T56&gt;=361,'(橫掃)RX Mapping'!T56&lt;=480), (-1)*('(橫掃)RX Mapping'!T56-480),IF(AND('(橫掃)RX Mapping'!T56&gt;=481,'(橫掃)RX Mapping'!T56&lt;=600), ('(橫掃)RX Mapping'!T56-361),IF(AND('(橫掃)RX Mapping'!T56&gt;=601,'(橫掃)RX Mapping'!T56&lt;=720), (-1)*('(橫掃)RX Mapping'!T56-720)+120,IF(AND('(橫掃)RX Mapping'!T56&gt;=721,'(橫掃)RX Mapping'!T56&lt;=840), ('(橫掃)RX Mapping'!T56-601),IF(AND('(橫掃)RX Mapping'!T56&gt;=841,'(橫掃)RX Mapping'!T56&lt;=960), (-1)*('(橫掃)RX Mapping'!T56-960)+120,9999))))))))</f>
        <v>9999</v>
      </c>
      <c r="U56">
        <f>IF(AND('(橫掃)RX Mapping'!U56&gt;=1,'(橫掃)RX Mapping'!U56&lt;=120), ('(橫掃)RX Mapping'!U56-1),IF(AND('(橫掃)RX Mapping'!U56&gt;=121,'(橫掃)RX Mapping'!U56&lt;=240), (-1)*('(橫掃)RX Mapping'!U56-240),IF(AND('(橫掃)RX Mapping'!U56&gt;=241,'(橫掃)RX Mapping'!U56&lt;=360), ('(橫掃)RX Mapping'!U56-241),IF(AND('(橫掃)RX Mapping'!U56&gt;=361,'(橫掃)RX Mapping'!U56&lt;=480), (-1)*('(橫掃)RX Mapping'!U56-480),IF(AND('(橫掃)RX Mapping'!U56&gt;=481,'(橫掃)RX Mapping'!U56&lt;=600), ('(橫掃)RX Mapping'!U56-361),IF(AND('(橫掃)RX Mapping'!U56&gt;=601,'(橫掃)RX Mapping'!U56&lt;=720), (-1)*('(橫掃)RX Mapping'!U56-720)+120,IF(AND('(橫掃)RX Mapping'!U56&gt;=721,'(橫掃)RX Mapping'!U56&lt;=840), ('(橫掃)RX Mapping'!U56-601),IF(AND('(橫掃)RX Mapping'!U56&gt;=841,'(橫掃)RX Mapping'!U56&lt;=960), (-1)*('(橫掃)RX Mapping'!U56-960)+120,9999))))))))</f>
        <v>9999</v>
      </c>
      <c r="V56">
        <f>IF(AND('(橫掃)RX Mapping'!V56&gt;=1,'(橫掃)RX Mapping'!V56&lt;=120), ('(橫掃)RX Mapping'!V56-1),IF(AND('(橫掃)RX Mapping'!V56&gt;=121,'(橫掃)RX Mapping'!V56&lt;=240), (-1)*('(橫掃)RX Mapping'!V56-240),IF(AND('(橫掃)RX Mapping'!V56&gt;=241,'(橫掃)RX Mapping'!V56&lt;=360), ('(橫掃)RX Mapping'!V56-241),IF(AND('(橫掃)RX Mapping'!V56&gt;=361,'(橫掃)RX Mapping'!V56&lt;=480), (-1)*('(橫掃)RX Mapping'!V56-480),IF(AND('(橫掃)RX Mapping'!V56&gt;=481,'(橫掃)RX Mapping'!V56&lt;=600), ('(橫掃)RX Mapping'!V56-361),IF(AND('(橫掃)RX Mapping'!V56&gt;=601,'(橫掃)RX Mapping'!V56&lt;=720), (-1)*('(橫掃)RX Mapping'!V56-720)+120,IF(AND('(橫掃)RX Mapping'!V56&gt;=721,'(橫掃)RX Mapping'!V56&lt;=840), ('(橫掃)RX Mapping'!V56-601),IF(AND('(橫掃)RX Mapping'!V56&gt;=841,'(橫掃)RX Mapping'!V56&lt;=960), (-1)*('(橫掃)RX Mapping'!V56-960)+120,9999))))))))</f>
        <v>9999</v>
      </c>
      <c r="W56">
        <f>IF(AND('(橫掃)RX Mapping'!W56&gt;=1,'(橫掃)RX Mapping'!W56&lt;=120), ('(橫掃)RX Mapping'!W56-1),IF(AND('(橫掃)RX Mapping'!W56&gt;=121,'(橫掃)RX Mapping'!W56&lt;=240), (-1)*('(橫掃)RX Mapping'!W56-240),IF(AND('(橫掃)RX Mapping'!W56&gt;=241,'(橫掃)RX Mapping'!W56&lt;=360), ('(橫掃)RX Mapping'!W56-241),IF(AND('(橫掃)RX Mapping'!W56&gt;=361,'(橫掃)RX Mapping'!W56&lt;=480), (-1)*('(橫掃)RX Mapping'!W56-480),IF(AND('(橫掃)RX Mapping'!W56&gt;=481,'(橫掃)RX Mapping'!W56&lt;=600), ('(橫掃)RX Mapping'!W56-361),IF(AND('(橫掃)RX Mapping'!W56&gt;=601,'(橫掃)RX Mapping'!W56&lt;=720), (-1)*('(橫掃)RX Mapping'!W56-720)+120,IF(AND('(橫掃)RX Mapping'!W56&gt;=721,'(橫掃)RX Mapping'!W56&lt;=840), ('(橫掃)RX Mapping'!W56-601),IF(AND('(橫掃)RX Mapping'!W56&gt;=841,'(橫掃)RX Mapping'!W56&lt;=960), (-1)*('(橫掃)RX Mapping'!W56-960)+120,9999))))))))</f>
        <v>9999</v>
      </c>
      <c r="X56">
        <f>IF(AND('(橫掃)RX Mapping'!X56&gt;=1,'(橫掃)RX Mapping'!X56&lt;=120), ('(橫掃)RX Mapping'!X56-1),IF(AND('(橫掃)RX Mapping'!X56&gt;=121,'(橫掃)RX Mapping'!X56&lt;=240), (-1)*('(橫掃)RX Mapping'!X56-240),IF(AND('(橫掃)RX Mapping'!X56&gt;=241,'(橫掃)RX Mapping'!X56&lt;=360), ('(橫掃)RX Mapping'!X56-241),IF(AND('(橫掃)RX Mapping'!X56&gt;=361,'(橫掃)RX Mapping'!X56&lt;=480), (-1)*('(橫掃)RX Mapping'!X56-480),IF(AND('(橫掃)RX Mapping'!X56&gt;=481,'(橫掃)RX Mapping'!X56&lt;=600), ('(橫掃)RX Mapping'!X56-361),IF(AND('(橫掃)RX Mapping'!X56&gt;=601,'(橫掃)RX Mapping'!X56&lt;=720), (-1)*('(橫掃)RX Mapping'!X56-720)+120,IF(AND('(橫掃)RX Mapping'!X56&gt;=721,'(橫掃)RX Mapping'!X56&lt;=840), ('(橫掃)RX Mapping'!X56-601),IF(AND('(橫掃)RX Mapping'!X56&gt;=841,'(橫掃)RX Mapping'!X56&lt;=960), (-1)*('(橫掃)RX Mapping'!X56-960)+120,9999))))))))</f>
        <v>9999</v>
      </c>
      <c r="Y56">
        <f>IF(AND('(橫掃)RX Mapping'!Y56&gt;=1,'(橫掃)RX Mapping'!Y56&lt;=120), ('(橫掃)RX Mapping'!Y56-1),IF(AND('(橫掃)RX Mapping'!Y56&gt;=121,'(橫掃)RX Mapping'!Y56&lt;=240), (-1)*('(橫掃)RX Mapping'!Y56-240),IF(AND('(橫掃)RX Mapping'!Y56&gt;=241,'(橫掃)RX Mapping'!Y56&lt;=360), ('(橫掃)RX Mapping'!Y56-241),IF(AND('(橫掃)RX Mapping'!Y56&gt;=361,'(橫掃)RX Mapping'!Y56&lt;=480), (-1)*('(橫掃)RX Mapping'!Y56-480),IF(AND('(橫掃)RX Mapping'!Y56&gt;=481,'(橫掃)RX Mapping'!Y56&lt;=600), ('(橫掃)RX Mapping'!Y56-361),IF(AND('(橫掃)RX Mapping'!Y56&gt;=601,'(橫掃)RX Mapping'!Y56&lt;=720), (-1)*('(橫掃)RX Mapping'!Y56-720)+120,IF(AND('(橫掃)RX Mapping'!Y56&gt;=721,'(橫掃)RX Mapping'!Y56&lt;=840), ('(橫掃)RX Mapping'!Y56-601),IF(AND('(橫掃)RX Mapping'!Y56&gt;=841,'(橫掃)RX Mapping'!Y56&lt;=960), (-1)*('(橫掃)RX Mapping'!Y56-960)+120,9999))))))))</f>
        <v>9999</v>
      </c>
      <c r="Z56">
        <f>IF(AND('(橫掃)RX Mapping'!Z56&gt;=1,'(橫掃)RX Mapping'!Z56&lt;=120), ('(橫掃)RX Mapping'!Z56-1),IF(AND('(橫掃)RX Mapping'!Z56&gt;=121,'(橫掃)RX Mapping'!Z56&lt;=240), (-1)*('(橫掃)RX Mapping'!Z56-240),IF(AND('(橫掃)RX Mapping'!Z56&gt;=241,'(橫掃)RX Mapping'!Z56&lt;=360), ('(橫掃)RX Mapping'!Z56-241),IF(AND('(橫掃)RX Mapping'!Z56&gt;=361,'(橫掃)RX Mapping'!Z56&lt;=480), (-1)*('(橫掃)RX Mapping'!Z56-480),IF(AND('(橫掃)RX Mapping'!Z56&gt;=481,'(橫掃)RX Mapping'!Z56&lt;=600), ('(橫掃)RX Mapping'!Z56-361),IF(AND('(橫掃)RX Mapping'!Z56&gt;=601,'(橫掃)RX Mapping'!Z56&lt;=720), (-1)*('(橫掃)RX Mapping'!Z56-720)+120,IF(AND('(橫掃)RX Mapping'!Z56&gt;=721,'(橫掃)RX Mapping'!Z56&lt;=840), ('(橫掃)RX Mapping'!Z56-601),IF(AND('(橫掃)RX Mapping'!Z56&gt;=841,'(橫掃)RX Mapping'!Z56&lt;=960), (-1)*('(橫掃)RX Mapping'!Z56-960)+120,9999))))))))</f>
        <v>9999</v>
      </c>
      <c r="AA56">
        <f>IF(AND('(橫掃)RX Mapping'!AA56&gt;=1,'(橫掃)RX Mapping'!AA56&lt;=120), ('(橫掃)RX Mapping'!AA56-1),IF(AND('(橫掃)RX Mapping'!AA56&gt;=121,'(橫掃)RX Mapping'!AA56&lt;=240), (-1)*('(橫掃)RX Mapping'!AA56-240),IF(AND('(橫掃)RX Mapping'!AA56&gt;=241,'(橫掃)RX Mapping'!AA56&lt;=360), ('(橫掃)RX Mapping'!AA56-241),IF(AND('(橫掃)RX Mapping'!AA56&gt;=361,'(橫掃)RX Mapping'!AA56&lt;=480), (-1)*('(橫掃)RX Mapping'!AA56-480),IF(AND('(橫掃)RX Mapping'!AA56&gt;=481,'(橫掃)RX Mapping'!AA56&lt;=600), ('(橫掃)RX Mapping'!AA56-361),IF(AND('(橫掃)RX Mapping'!AA56&gt;=601,'(橫掃)RX Mapping'!AA56&lt;=720), (-1)*('(橫掃)RX Mapping'!AA56-720)+120,IF(AND('(橫掃)RX Mapping'!AA56&gt;=721,'(橫掃)RX Mapping'!AA56&lt;=840), ('(橫掃)RX Mapping'!AA56-601),IF(AND('(橫掃)RX Mapping'!AA56&gt;=841,'(橫掃)RX Mapping'!AA56&lt;=960), (-1)*('(橫掃)RX Mapping'!AA56-960)+120,9999))))))))</f>
        <v>9999</v>
      </c>
      <c r="AB56">
        <f>IF(AND('(橫掃)RX Mapping'!AB56&gt;=1,'(橫掃)RX Mapping'!AB56&lt;=120), ('(橫掃)RX Mapping'!AB56-1),IF(AND('(橫掃)RX Mapping'!AB56&gt;=121,'(橫掃)RX Mapping'!AB56&lt;=240), (-1)*('(橫掃)RX Mapping'!AB56-240),IF(AND('(橫掃)RX Mapping'!AB56&gt;=241,'(橫掃)RX Mapping'!AB56&lt;=360), ('(橫掃)RX Mapping'!AB56-241),IF(AND('(橫掃)RX Mapping'!AB56&gt;=361,'(橫掃)RX Mapping'!AB56&lt;=480), (-1)*('(橫掃)RX Mapping'!AB56-480),IF(AND('(橫掃)RX Mapping'!AB56&gt;=481,'(橫掃)RX Mapping'!AB56&lt;=600), ('(橫掃)RX Mapping'!AB56-361),IF(AND('(橫掃)RX Mapping'!AB56&gt;=601,'(橫掃)RX Mapping'!AB56&lt;=720), (-1)*('(橫掃)RX Mapping'!AB56-720)+120,IF(AND('(橫掃)RX Mapping'!AB56&gt;=721,'(橫掃)RX Mapping'!AB56&lt;=840), ('(橫掃)RX Mapping'!AB56-601),IF(AND('(橫掃)RX Mapping'!AB56&gt;=841,'(橫掃)RX Mapping'!AB56&lt;=960), (-1)*('(橫掃)RX Mapping'!AB56-960)+120,9999))))))))</f>
        <v>9999</v>
      </c>
      <c r="AC56">
        <f>IF(AND('(橫掃)RX Mapping'!AC56&gt;=1,'(橫掃)RX Mapping'!AC56&lt;=120), ('(橫掃)RX Mapping'!AC56-1),IF(AND('(橫掃)RX Mapping'!AC56&gt;=121,'(橫掃)RX Mapping'!AC56&lt;=240), (-1)*('(橫掃)RX Mapping'!AC56-240),IF(AND('(橫掃)RX Mapping'!AC56&gt;=241,'(橫掃)RX Mapping'!AC56&lt;=360), ('(橫掃)RX Mapping'!AC56-241),IF(AND('(橫掃)RX Mapping'!AC56&gt;=361,'(橫掃)RX Mapping'!AC56&lt;=480), (-1)*('(橫掃)RX Mapping'!AC56-480),IF(AND('(橫掃)RX Mapping'!AC56&gt;=481,'(橫掃)RX Mapping'!AC56&lt;=600), ('(橫掃)RX Mapping'!AC56-361),IF(AND('(橫掃)RX Mapping'!AC56&gt;=601,'(橫掃)RX Mapping'!AC56&lt;=720), (-1)*('(橫掃)RX Mapping'!AC56-720)+120,IF(AND('(橫掃)RX Mapping'!AC56&gt;=721,'(橫掃)RX Mapping'!AC56&lt;=840), ('(橫掃)RX Mapping'!AC56-601),IF(AND('(橫掃)RX Mapping'!AC56&gt;=841,'(橫掃)RX Mapping'!AC56&lt;=960), (-1)*('(橫掃)RX Mapping'!AC56-960)+120,9999))))))))</f>
        <v>9999</v>
      </c>
      <c r="AD56">
        <f>IF(AND('(橫掃)RX Mapping'!AD56&gt;=1,'(橫掃)RX Mapping'!AD56&lt;=120), ('(橫掃)RX Mapping'!AD56-1),IF(AND('(橫掃)RX Mapping'!AD56&gt;=121,'(橫掃)RX Mapping'!AD56&lt;=240), (-1)*('(橫掃)RX Mapping'!AD56-240),IF(AND('(橫掃)RX Mapping'!AD56&gt;=241,'(橫掃)RX Mapping'!AD56&lt;=360), ('(橫掃)RX Mapping'!AD56-241),IF(AND('(橫掃)RX Mapping'!AD56&gt;=361,'(橫掃)RX Mapping'!AD56&lt;=480), (-1)*('(橫掃)RX Mapping'!AD56-480),IF(AND('(橫掃)RX Mapping'!AD56&gt;=481,'(橫掃)RX Mapping'!AD56&lt;=600), ('(橫掃)RX Mapping'!AD56-361),IF(AND('(橫掃)RX Mapping'!AD56&gt;=601,'(橫掃)RX Mapping'!AD56&lt;=720), (-1)*('(橫掃)RX Mapping'!AD56-720)+120,IF(AND('(橫掃)RX Mapping'!AD56&gt;=721,'(橫掃)RX Mapping'!AD56&lt;=840), ('(橫掃)RX Mapping'!AD56-601),IF(AND('(橫掃)RX Mapping'!AD56&gt;=841,'(橫掃)RX Mapping'!AD56&lt;=960), (-1)*('(橫掃)RX Mapping'!AD56-960)+120,9999))))))))</f>
        <v>9999</v>
      </c>
      <c r="AE56">
        <f>IF(AND('(橫掃)RX Mapping'!AE56&gt;=1,'(橫掃)RX Mapping'!AE56&lt;=120), ('(橫掃)RX Mapping'!AE56-1),IF(AND('(橫掃)RX Mapping'!AE56&gt;=121,'(橫掃)RX Mapping'!AE56&lt;=240), (-1)*('(橫掃)RX Mapping'!AE56-240),IF(AND('(橫掃)RX Mapping'!AE56&gt;=241,'(橫掃)RX Mapping'!AE56&lt;=360), ('(橫掃)RX Mapping'!AE56-241),IF(AND('(橫掃)RX Mapping'!AE56&gt;=361,'(橫掃)RX Mapping'!AE56&lt;=480), (-1)*('(橫掃)RX Mapping'!AE56-480),IF(AND('(橫掃)RX Mapping'!AE56&gt;=481,'(橫掃)RX Mapping'!AE56&lt;=600), ('(橫掃)RX Mapping'!AE56-361),IF(AND('(橫掃)RX Mapping'!AE56&gt;=601,'(橫掃)RX Mapping'!AE56&lt;=720), (-1)*('(橫掃)RX Mapping'!AE56-720)+120,IF(AND('(橫掃)RX Mapping'!AE56&gt;=721,'(橫掃)RX Mapping'!AE56&lt;=840), ('(橫掃)RX Mapping'!AE56-601),IF(AND('(橫掃)RX Mapping'!AE56&gt;=841,'(橫掃)RX Mapping'!AE56&lt;=960), (-1)*('(橫掃)RX Mapping'!AE56-960)+120,9999))))))))</f>
        <v>9999</v>
      </c>
      <c r="AF56">
        <f>IF(AND('(橫掃)RX Mapping'!AF56&gt;=1,'(橫掃)RX Mapping'!AF56&lt;=120), ('(橫掃)RX Mapping'!AF56-1),IF(AND('(橫掃)RX Mapping'!AF56&gt;=121,'(橫掃)RX Mapping'!AF56&lt;=240), (-1)*('(橫掃)RX Mapping'!AF56-240),IF(AND('(橫掃)RX Mapping'!AF56&gt;=241,'(橫掃)RX Mapping'!AF56&lt;=360), ('(橫掃)RX Mapping'!AF56-241),IF(AND('(橫掃)RX Mapping'!AF56&gt;=361,'(橫掃)RX Mapping'!AF56&lt;=480), (-1)*('(橫掃)RX Mapping'!AF56-480),IF(AND('(橫掃)RX Mapping'!AF56&gt;=481,'(橫掃)RX Mapping'!AF56&lt;=600), ('(橫掃)RX Mapping'!AF56-361),IF(AND('(橫掃)RX Mapping'!AF56&gt;=601,'(橫掃)RX Mapping'!AF56&lt;=720), (-1)*('(橫掃)RX Mapping'!AF56-720)+120,IF(AND('(橫掃)RX Mapping'!AF56&gt;=721,'(橫掃)RX Mapping'!AF56&lt;=840), ('(橫掃)RX Mapping'!AF56-601),IF(AND('(橫掃)RX Mapping'!AF56&gt;=841,'(橫掃)RX Mapping'!AF56&lt;=960), (-1)*('(橫掃)RX Mapping'!AF56-960)+120,9999))))))))</f>
        <v>9999</v>
      </c>
      <c r="AG56">
        <f>IF(AND('(橫掃)RX Mapping'!AG56&gt;=1,'(橫掃)RX Mapping'!AG56&lt;=120), ('(橫掃)RX Mapping'!AG56-1),IF(AND('(橫掃)RX Mapping'!AG56&gt;=121,'(橫掃)RX Mapping'!AG56&lt;=240), (-1)*('(橫掃)RX Mapping'!AG56-240),IF(AND('(橫掃)RX Mapping'!AG56&gt;=241,'(橫掃)RX Mapping'!AG56&lt;=360), ('(橫掃)RX Mapping'!AG56-241),IF(AND('(橫掃)RX Mapping'!AG56&gt;=361,'(橫掃)RX Mapping'!AG56&lt;=480), (-1)*('(橫掃)RX Mapping'!AG56-480),IF(AND('(橫掃)RX Mapping'!AG56&gt;=481,'(橫掃)RX Mapping'!AG56&lt;=600), ('(橫掃)RX Mapping'!AG56-361),IF(AND('(橫掃)RX Mapping'!AG56&gt;=601,'(橫掃)RX Mapping'!AG56&lt;=720), (-1)*('(橫掃)RX Mapping'!AG56-720)+120,IF(AND('(橫掃)RX Mapping'!AG56&gt;=721,'(橫掃)RX Mapping'!AG56&lt;=840), ('(橫掃)RX Mapping'!AG56-601),IF(AND('(橫掃)RX Mapping'!AG56&gt;=841,'(橫掃)RX Mapping'!AG56&lt;=960), (-1)*('(橫掃)RX Mapping'!AG56-960)+120,9999))))))))</f>
        <v>9999</v>
      </c>
      <c r="AH56">
        <f>IF(AND('(橫掃)RX Mapping'!AH56&gt;=1,'(橫掃)RX Mapping'!AH56&lt;=120), ('(橫掃)RX Mapping'!AH56-1),IF(AND('(橫掃)RX Mapping'!AH56&gt;=121,'(橫掃)RX Mapping'!AH56&lt;=240), (-1)*('(橫掃)RX Mapping'!AH56-240),IF(AND('(橫掃)RX Mapping'!AH56&gt;=241,'(橫掃)RX Mapping'!AH56&lt;=360), ('(橫掃)RX Mapping'!AH56-241),IF(AND('(橫掃)RX Mapping'!AH56&gt;=361,'(橫掃)RX Mapping'!AH56&lt;=480), (-1)*('(橫掃)RX Mapping'!AH56-480),IF(AND('(橫掃)RX Mapping'!AH56&gt;=481,'(橫掃)RX Mapping'!AH56&lt;=600), ('(橫掃)RX Mapping'!AH56-361),IF(AND('(橫掃)RX Mapping'!AH56&gt;=601,'(橫掃)RX Mapping'!AH56&lt;=720), (-1)*('(橫掃)RX Mapping'!AH56-720)+120,IF(AND('(橫掃)RX Mapping'!AH56&gt;=721,'(橫掃)RX Mapping'!AH56&lt;=840), ('(橫掃)RX Mapping'!AH56-601),IF(AND('(橫掃)RX Mapping'!AH56&gt;=841,'(橫掃)RX Mapping'!AH56&lt;=960), (-1)*('(橫掃)RX Mapping'!AH56-960)+120,9999))))))))</f>
        <v>9999</v>
      </c>
      <c r="AI56">
        <f>IF(AND('(橫掃)RX Mapping'!AI56&gt;=1,'(橫掃)RX Mapping'!AI56&lt;=120), ('(橫掃)RX Mapping'!AI56-1),IF(AND('(橫掃)RX Mapping'!AI56&gt;=121,'(橫掃)RX Mapping'!AI56&lt;=240), (-1)*('(橫掃)RX Mapping'!AI56-240),IF(AND('(橫掃)RX Mapping'!AI56&gt;=241,'(橫掃)RX Mapping'!AI56&lt;=360), ('(橫掃)RX Mapping'!AI56-241),IF(AND('(橫掃)RX Mapping'!AI56&gt;=361,'(橫掃)RX Mapping'!AI56&lt;=480), (-1)*('(橫掃)RX Mapping'!AI56-480),IF(AND('(橫掃)RX Mapping'!AI56&gt;=481,'(橫掃)RX Mapping'!AI56&lt;=600), ('(橫掃)RX Mapping'!AI56-361),IF(AND('(橫掃)RX Mapping'!AI56&gt;=601,'(橫掃)RX Mapping'!AI56&lt;=720), (-1)*('(橫掃)RX Mapping'!AI56-720)+120,IF(AND('(橫掃)RX Mapping'!AI56&gt;=721,'(橫掃)RX Mapping'!AI56&lt;=840), ('(橫掃)RX Mapping'!AI56-601),IF(AND('(橫掃)RX Mapping'!AI56&gt;=841,'(橫掃)RX Mapping'!AI56&lt;=960), (-1)*('(橫掃)RX Mapping'!AI56-960)+120,9999))))))))</f>
        <v>9999</v>
      </c>
      <c r="AJ56">
        <f>IF(AND('(橫掃)RX Mapping'!AJ56&gt;=1,'(橫掃)RX Mapping'!AJ56&lt;=120), ('(橫掃)RX Mapping'!AJ56-1),IF(AND('(橫掃)RX Mapping'!AJ56&gt;=121,'(橫掃)RX Mapping'!AJ56&lt;=240), (-1)*('(橫掃)RX Mapping'!AJ56-240),IF(AND('(橫掃)RX Mapping'!AJ56&gt;=241,'(橫掃)RX Mapping'!AJ56&lt;=360), ('(橫掃)RX Mapping'!AJ56-241),IF(AND('(橫掃)RX Mapping'!AJ56&gt;=361,'(橫掃)RX Mapping'!AJ56&lt;=480), (-1)*('(橫掃)RX Mapping'!AJ56-480),IF(AND('(橫掃)RX Mapping'!AJ56&gt;=481,'(橫掃)RX Mapping'!AJ56&lt;=600), ('(橫掃)RX Mapping'!AJ56-361),IF(AND('(橫掃)RX Mapping'!AJ56&gt;=601,'(橫掃)RX Mapping'!AJ56&lt;=720), (-1)*('(橫掃)RX Mapping'!AJ56-720)+120,IF(AND('(橫掃)RX Mapping'!AJ56&gt;=721,'(橫掃)RX Mapping'!AJ56&lt;=840), ('(橫掃)RX Mapping'!AJ56-601),IF(AND('(橫掃)RX Mapping'!AJ56&gt;=841,'(橫掃)RX Mapping'!AJ56&lt;=960), (-1)*('(橫掃)RX Mapping'!AJ56-960)+120,9999))))))))</f>
        <v>9999</v>
      </c>
      <c r="AK56">
        <f>IF(AND('(橫掃)RX Mapping'!AK56&gt;=1,'(橫掃)RX Mapping'!AK56&lt;=120), ('(橫掃)RX Mapping'!AK56-1),IF(AND('(橫掃)RX Mapping'!AK56&gt;=121,'(橫掃)RX Mapping'!AK56&lt;=240), (-1)*('(橫掃)RX Mapping'!AK56-240),IF(AND('(橫掃)RX Mapping'!AK56&gt;=241,'(橫掃)RX Mapping'!AK56&lt;=360), ('(橫掃)RX Mapping'!AK56-241),IF(AND('(橫掃)RX Mapping'!AK56&gt;=361,'(橫掃)RX Mapping'!AK56&lt;=480), (-1)*('(橫掃)RX Mapping'!AK56-480),IF(AND('(橫掃)RX Mapping'!AK56&gt;=481,'(橫掃)RX Mapping'!AK56&lt;=600), ('(橫掃)RX Mapping'!AK56-361),IF(AND('(橫掃)RX Mapping'!AK56&gt;=601,'(橫掃)RX Mapping'!AK56&lt;=720), (-1)*('(橫掃)RX Mapping'!AK56-720)+120,IF(AND('(橫掃)RX Mapping'!AK56&gt;=721,'(橫掃)RX Mapping'!AK56&lt;=840), ('(橫掃)RX Mapping'!AK56-601),IF(AND('(橫掃)RX Mapping'!AK56&gt;=841,'(橫掃)RX Mapping'!AK56&lt;=960), (-1)*('(橫掃)RX Mapping'!AK56-960)+120,9999))))))))</f>
        <v>9999</v>
      </c>
      <c r="AL56">
        <f>IF(AND('(橫掃)RX Mapping'!AL56&gt;=1,'(橫掃)RX Mapping'!AL56&lt;=120), ('(橫掃)RX Mapping'!AL56-1),IF(AND('(橫掃)RX Mapping'!AL56&gt;=121,'(橫掃)RX Mapping'!AL56&lt;=240), (-1)*('(橫掃)RX Mapping'!AL56-240),IF(AND('(橫掃)RX Mapping'!AL56&gt;=241,'(橫掃)RX Mapping'!AL56&lt;=360), ('(橫掃)RX Mapping'!AL56-241),IF(AND('(橫掃)RX Mapping'!AL56&gt;=361,'(橫掃)RX Mapping'!AL56&lt;=480), (-1)*('(橫掃)RX Mapping'!AL56-480),IF(AND('(橫掃)RX Mapping'!AL56&gt;=481,'(橫掃)RX Mapping'!AL56&lt;=600), ('(橫掃)RX Mapping'!AL56-361),IF(AND('(橫掃)RX Mapping'!AL56&gt;=601,'(橫掃)RX Mapping'!AL56&lt;=720), (-1)*('(橫掃)RX Mapping'!AL56-720)+120,IF(AND('(橫掃)RX Mapping'!AL56&gt;=721,'(橫掃)RX Mapping'!AL56&lt;=840), ('(橫掃)RX Mapping'!AL56-601),IF(AND('(橫掃)RX Mapping'!AL56&gt;=841,'(橫掃)RX Mapping'!AL56&lt;=960), (-1)*('(橫掃)RX Mapping'!AL56-960)+120,9999))))))))</f>
        <v>9999</v>
      </c>
      <c r="AM56">
        <f>IF(AND('(橫掃)RX Mapping'!AM56&gt;=1,'(橫掃)RX Mapping'!AM56&lt;=120), ('(橫掃)RX Mapping'!AM56-1),IF(AND('(橫掃)RX Mapping'!AM56&gt;=121,'(橫掃)RX Mapping'!AM56&lt;=240), (-1)*('(橫掃)RX Mapping'!AM56-240),IF(AND('(橫掃)RX Mapping'!AM56&gt;=241,'(橫掃)RX Mapping'!AM56&lt;=360), ('(橫掃)RX Mapping'!AM56-241),IF(AND('(橫掃)RX Mapping'!AM56&gt;=361,'(橫掃)RX Mapping'!AM56&lt;=480), (-1)*('(橫掃)RX Mapping'!AM56-480),IF(AND('(橫掃)RX Mapping'!AM56&gt;=481,'(橫掃)RX Mapping'!AM56&lt;=600), ('(橫掃)RX Mapping'!AM56-361),IF(AND('(橫掃)RX Mapping'!AM56&gt;=601,'(橫掃)RX Mapping'!AM56&lt;=720), (-1)*('(橫掃)RX Mapping'!AM56-720)+120,IF(AND('(橫掃)RX Mapping'!AM56&gt;=721,'(橫掃)RX Mapping'!AM56&lt;=840), ('(橫掃)RX Mapping'!AM56-601),IF(AND('(橫掃)RX Mapping'!AM56&gt;=841,'(橫掃)RX Mapping'!AM56&lt;=960), (-1)*('(橫掃)RX Mapping'!AM56-960)+120,9999))))))))</f>
        <v>9999</v>
      </c>
      <c r="AN56">
        <f>IF(AND('(橫掃)RX Mapping'!AN56&gt;=1,'(橫掃)RX Mapping'!AN56&lt;=120), ('(橫掃)RX Mapping'!AN56-1),IF(AND('(橫掃)RX Mapping'!AN56&gt;=121,'(橫掃)RX Mapping'!AN56&lt;=240), (-1)*('(橫掃)RX Mapping'!AN56-240),IF(AND('(橫掃)RX Mapping'!AN56&gt;=241,'(橫掃)RX Mapping'!AN56&lt;=360), ('(橫掃)RX Mapping'!AN56-241),IF(AND('(橫掃)RX Mapping'!AN56&gt;=361,'(橫掃)RX Mapping'!AN56&lt;=480), (-1)*('(橫掃)RX Mapping'!AN56-480),IF(AND('(橫掃)RX Mapping'!AN56&gt;=481,'(橫掃)RX Mapping'!AN56&lt;=600), ('(橫掃)RX Mapping'!AN56-361),IF(AND('(橫掃)RX Mapping'!AN56&gt;=601,'(橫掃)RX Mapping'!AN56&lt;=720), (-1)*('(橫掃)RX Mapping'!AN56-720)+120,IF(AND('(橫掃)RX Mapping'!AN56&gt;=721,'(橫掃)RX Mapping'!AN56&lt;=840), ('(橫掃)RX Mapping'!AN56-601),IF(AND('(橫掃)RX Mapping'!AN56&gt;=841,'(橫掃)RX Mapping'!AN56&lt;=960), (-1)*('(橫掃)RX Mapping'!AN56-960)+120,9999))))))))</f>
        <v>9999</v>
      </c>
      <c r="AO56">
        <f>IF(AND('(橫掃)RX Mapping'!AO56&gt;=1,'(橫掃)RX Mapping'!AO56&lt;=120), ('(橫掃)RX Mapping'!AO56-1),IF(AND('(橫掃)RX Mapping'!AO56&gt;=121,'(橫掃)RX Mapping'!AO56&lt;=240), (-1)*('(橫掃)RX Mapping'!AO56-240),IF(AND('(橫掃)RX Mapping'!AO56&gt;=241,'(橫掃)RX Mapping'!AO56&lt;=360), ('(橫掃)RX Mapping'!AO56-241),IF(AND('(橫掃)RX Mapping'!AO56&gt;=361,'(橫掃)RX Mapping'!AO56&lt;=480), (-1)*('(橫掃)RX Mapping'!AO56-480),IF(AND('(橫掃)RX Mapping'!AO56&gt;=481,'(橫掃)RX Mapping'!AO56&lt;=600), ('(橫掃)RX Mapping'!AO56-361),IF(AND('(橫掃)RX Mapping'!AO56&gt;=601,'(橫掃)RX Mapping'!AO56&lt;=720), (-1)*('(橫掃)RX Mapping'!AO56-720)+120,IF(AND('(橫掃)RX Mapping'!AO56&gt;=721,'(橫掃)RX Mapping'!AO56&lt;=840), ('(橫掃)RX Mapping'!AO56-601),IF(AND('(橫掃)RX Mapping'!AO56&gt;=841,'(橫掃)RX Mapping'!AO56&lt;=960), (-1)*('(橫掃)RX Mapping'!AO56-960)+120,9999))))))))</f>
        <v>9999</v>
      </c>
      <c r="AP56">
        <f>IF(AND('(橫掃)RX Mapping'!AP56&gt;=1,'(橫掃)RX Mapping'!AP56&lt;=120), ('(橫掃)RX Mapping'!AP56-1),IF(AND('(橫掃)RX Mapping'!AP56&gt;=121,'(橫掃)RX Mapping'!AP56&lt;=240), (-1)*('(橫掃)RX Mapping'!AP56-240),IF(AND('(橫掃)RX Mapping'!AP56&gt;=241,'(橫掃)RX Mapping'!AP56&lt;=360), ('(橫掃)RX Mapping'!AP56-241),IF(AND('(橫掃)RX Mapping'!AP56&gt;=361,'(橫掃)RX Mapping'!AP56&lt;=480), (-1)*('(橫掃)RX Mapping'!AP56-480),IF(AND('(橫掃)RX Mapping'!AP56&gt;=481,'(橫掃)RX Mapping'!AP56&lt;=600), ('(橫掃)RX Mapping'!AP56-361),IF(AND('(橫掃)RX Mapping'!AP56&gt;=601,'(橫掃)RX Mapping'!AP56&lt;=720), (-1)*('(橫掃)RX Mapping'!AP56-720)+120,IF(AND('(橫掃)RX Mapping'!AP56&gt;=721,'(橫掃)RX Mapping'!AP56&lt;=840), ('(橫掃)RX Mapping'!AP56-601),IF(AND('(橫掃)RX Mapping'!AP56&gt;=841,'(橫掃)RX Mapping'!AP56&lt;=960), (-1)*('(橫掃)RX Mapping'!AP56-960)+120,9999))))))))</f>
        <v>9999</v>
      </c>
      <c r="AQ56">
        <f>IF(AND('(橫掃)RX Mapping'!AQ56&gt;=1,'(橫掃)RX Mapping'!AQ56&lt;=120), ('(橫掃)RX Mapping'!AQ56-1),IF(AND('(橫掃)RX Mapping'!AQ56&gt;=121,'(橫掃)RX Mapping'!AQ56&lt;=240), (-1)*('(橫掃)RX Mapping'!AQ56-240),IF(AND('(橫掃)RX Mapping'!AQ56&gt;=241,'(橫掃)RX Mapping'!AQ56&lt;=360), ('(橫掃)RX Mapping'!AQ56-241),IF(AND('(橫掃)RX Mapping'!AQ56&gt;=361,'(橫掃)RX Mapping'!AQ56&lt;=480), (-1)*('(橫掃)RX Mapping'!AQ56-480),IF(AND('(橫掃)RX Mapping'!AQ56&gt;=481,'(橫掃)RX Mapping'!AQ56&lt;=600), ('(橫掃)RX Mapping'!AQ56-361),IF(AND('(橫掃)RX Mapping'!AQ56&gt;=601,'(橫掃)RX Mapping'!AQ56&lt;=720), (-1)*('(橫掃)RX Mapping'!AQ56-720)+120,IF(AND('(橫掃)RX Mapping'!AQ56&gt;=721,'(橫掃)RX Mapping'!AQ56&lt;=840), ('(橫掃)RX Mapping'!AQ56-601),IF(AND('(橫掃)RX Mapping'!AQ56&gt;=841,'(橫掃)RX Mapping'!AQ56&lt;=960), (-1)*('(橫掃)RX Mapping'!AQ56-960)+120,9999))))))))</f>
        <v>9999</v>
      </c>
      <c r="AR56">
        <f>IF(AND('(橫掃)RX Mapping'!AR56&gt;=1,'(橫掃)RX Mapping'!AR56&lt;=120), ('(橫掃)RX Mapping'!AR56-1),IF(AND('(橫掃)RX Mapping'!AR56&gt;=121,'(橫掃)RX Mapping'!AR56&lt;=240), (-1)*('(橫掃)RX Mapping'!AR56-240),IF(AND('(橫掃)RX Mapping'!AR56&gt;=241,'(橫掃)RX Mapping'!AR56&lt;=360), ('(橫掃)RX Mapping'!AR56-241),IF(AND('(橫掃)RX Mapping'!AR56&gt;=361,'(橫掃)RX Mapping'!AR56&lt;=480), (-1)*('(橫掃)RX Mapping'!AR56-480),IF(AND('(橫掃)RX Mapping'!AR56&gt;=481,'(橫掃)RX Mapping'!AR56&lt;=600), ('(橫掃)RX Mapping'!AR56-361),IF(AND('(橫掃)RX Mapping'!AR56&gt;=601,'(橫掃)RX Mapping'!AR56&lt;=720), (-1)*('(橫掃)RX Mapping'!AR56-720)+120,IF(AND('(橫掃)RX Mapping'!AR56&gt;=721,'(橫掃)RX Mapping'!AR56&lt;=840), ('(橫掃)RX Mapping'!AR56-601),IF(AND('(橫掃)RX Mapping'!AR56&gt;=841,'(橫掃)RX Mapping'!AR56&lt;=960), (-1)*('(橫掃)RX Mapping'!AR56-960)+120,9999))))))))</f>
        <v>9999</v>
      </c>
      <c r="AS56">
        <f>IF(AND('(橫掃)RX Mapping'!AS56&gt;=1,'(橫掃)RX Mapping'!AS56&lt;=120), ('(橫掃)RX Mapping'!AS56-1),IF(AND('(橫掃)RX Mapping'!AS56&gt;=121,'(橫掃)RX Mapping'!AS56&lt;=240), (-1)*('(橫掃)RX Mapping'!AS56-240),IF(AND('(橫掃)RX Mapping'!AS56&gt;=241,'(橫掃)RX Mapping'!AS56&lt;=360), ('(橫掃)RX Mapping'!AS56-241),IF(AND('(橫掃)RX Mapping'!AS56&gt;=361,'(橫掃)RX Mapping'!AS56&lt;=480), (-1)*('(橫掃)RX Mapping'!AS56-480),IF(AND('(橫掃)RX Mapping'!AS56&gt;=481,'(橫掃)RX Mapping'!AS56&lt;=600), ('(橫掃)RX Mapping'!AS56-361),IF(AND('(橫掃)RX Mapping'!AS56&gt;=601,'(橫掃)RX Mapping'!AS56&lt;=720), (-1)*('(橫掃)RX Mapping'!AS56-720)+120,IF(AND('(橫掃)RX Mapping'!AS56&gt;=721,'(橫掃)RX Mapping'!AS56&lt;=840), ('(橫掃)RX Mapping'!AS56-601),IF(AND('(橫掃)RX Mapping'!AS56&gt;=841,'(橫掃)RX Mapping'!AS56&lt;=960), (-1)*('(橫掃)RX Mapping'!AS56-960)+120,9999))))))))</f>
        <v>9999</v>
      </c>
      <c r="AT56">
        <f>IF(AND('(橫掃)RX Mapping'!AT56&gt;=1,'(橫掃)RX Mapping'!AT56&lt;=120), ('(橫掃)RX Mapping'!AT56-1),IF(AND('(橫掃)RX Mapping'!AT56&gt;=121,'(橫掃)RX Mapping'!AT56&lt;=240), (-1)*('(橫掃)RX Mapping'!AT56-240),IF(AND('(橫掃)RX Mapping'!AT56&gt;=241,'(橫掃)RX Mapping'!AT56&lt;=360), ('(橫掃)RX Mapping'!AT56-241),IF(AND('(橫掃)RX Mapping'!AT56&gt;=361,'(橫掃)RX Mapping'!AT56&lt;=480), (-1)*('(橫掃)RX Mapping'!AT56-480),IF(AND('(橫掃)RX Mapping'!AT56&gt;=481,'(橫掃)RX Mapping'!AT56&lt;=600), ('(橫掃)RX Mapping'!AT56-361),IF(AND('(橫掃)RX Mapping'!AT56&gt;=601,'(橫掃)RX Mapping'!AT56&lt;=720), (-1)*('(橫掃)RX Mapping'!AT56-720)+120,IF(AND('(橫掃)RX Mapping'!AT56&gt;=721,'(橫掃)RX Mapping'!AT56&lt;=840), ('(橫掃)RX Mapping'!AT56-601),IF(AND('(橫掃)RX Mapping'!AT56&gt;=841,'(橫掃)RX Mapping'!AT56&lt;=960), (-1)*('(橫掃)RX Mapping'!AT56-960)+120,9999))))))))</f>
        <v>9999</v>
      </c>
      <c r="AU56">
        <f>IF(AND('(橫掃)RX Mapping'!AU56&gt;=1,'(橫掃)RX Mapping'!AU56&lt;=120), ('(橫掃)RX Mapping'!AU56-1),IF(AND('(橫掃)RX Mapping'!AU56&gt;=121,'(橫掃)RX Mapping'!AU56&lt;=240), (-1)*('(橫掃)RX Mapping'!AU56-240),IF(AND('(橫掃)RX Mapping'!AU56&gt;=241,'(橫掃)RX Mapping'!AU56&lt;=360), ('(橫掃)RX Mapping'!AU56-241),IF(AND('(橫掃)RX Mapping'!AU56&gt;=361,'(橫掃)RX Mapping'!AU56&lt;=480), (-1)*('(橫掃)RX Mapping'!AU56-480),IF(AND('(橫掃)RX Mapping'!AU56&gt;=481,'(橫掃)RX Mapping'!AU56&lt;=600), ('(橫掃)RX Mapping'!AU56-361),IF(AND('(橫掃)RX Mapping'!AU56&gt;=601,'(橫掃)RX Mapping'!AU56&lt;=720), (-1)*('(橫掃)RX Mapping'!AU56-720)+120,IF(AND('(橫掃)RX Mapping'!AU56&gt;=721,'(橫掃)RX Mapping'!AU56&lt;=840), ('(橫掃)RX Mapping'!AU56-601),IF(AND('(橫掃)RX Mapping'!AU56&gt;=841,'(橫掃)RX Mapping'!AU56&lt;=960), (-1)*('(橫掃)RX Mapping'!AU56-960)+120,9999))))))))</f>
        <v>9999</v>
      </c>
      <c r="AV56">
        <f>IF(AND('(橫掃)RX Mapping'!AV56&gt;=1,'(橫掃)RX Mapping'!AV56&lt;=120), ('(橫掃)RX Mapping'!AV56-1),IF(AND('(橫掃)RX Mapping'!AV56&gt;=121,'(橫掃)RX Mapping'!AV56&lt;=240), (-1)*('(橫掃)RX Mapping'!AV56-240),IF(AND('(橫掃)RX Mapping'!AV56&gt;=241,'(橫掃)RX Mapping'!AV56&lt;=360), ('(橫掃)RX Mapping'!AV56-241),IF(AND('(橫掃)RX Mapping'!AV56&gt;=361,'(橫掃)RX Mapping'!AV56&lt;=480), (-1)*('(橫掃)RX Mapping'!AV56-480),IF(AND('(橫掃)RX Mapping'!AV56&gt;=481,'(橫掃)RX Mapping'!AV56&lt;=600), ('(橫掃)RX Mapping'!AV56-361),IF(AND('(橫掃)RX Mapping'!AV56&gt;=601,'(橫掃)RX Mapping'!AV56&lt;=720), (-1)*('(橫掃)RX Mapping'!AV56-720)+120,IF(AND('(橫掃)RX Mapping'!AV56&gt;=721,'(橫掃)RX Mapping'!AV56&lt;=840), ('(橫掃)RX Mapping'!AV56-601),IF(AND('(橫掃)RX Mapping'!AV56&gt;=841,'(橫掃)RX Mapping'!AV56&lt;=960), (-1)*('(橫掃)RX Mapping'!AV56-960)+120,9999))))))))</f>
        <v>9999</v>
      </c>
      <c r="AW56">
        <f>IF(AND('(橫掃)RX Mapping'!AW56&gt;=1,'(橫掃)RX Mapping'!AW56&lt;=120), ('(橫掃)RX Mapping'!AW56-1),IF(AND('(橫掃)RX Mapping'!AW56&gt;=121,'(橫掃)RX Mapping'!AW56&lt;=240), (-1)*('(橫掃)RX Mapping'!AW56-240),IF(AND('(橫掃)RX Mapping'!AW56&gt;=241,'(橫掃)RX Mapping'!AW56&lt;=360), ('(橫掃)RX Mapping'!AW56-241),IF(AND('(橫掃)RX Mapping'!AW56&gt;=361,'(橫掃)RX Mapping'!AW56&lt;=480), (-1)*('(橫掃)RX Mapping'!AW56-480),IF(AND('(橫掃)RX Mapping'!AW56&gt;=481,'(橫掃)RX Mapping'!AW56&lt;=600), ('(橫掃)RX Mapping'!AW56-361),IF(AND('(橫掃)RX Mapping'!AW56&gt;=601,'(橫掃)RX Mapping'!AW56&lt;=720), (-1)*('(橫掃)RX Mapping'!AW56-720)+120,IF(AND('(橫掃)RX Mapping'!AW56&gt;=721,'(橫掃)RX Mapping'!AW56&lt;=840), ('(橫掃)RX Mapping'!AW56-601),IF(AND('(橫掃)RX Mapping'!AW56&gt;=841,'(橫掃)RX Mapping'!AW56&lt;=960), (-1)*('(橫掃)RX Mapping'!AW56-960)+120,9999))))))))</f>
        <v>9999</v>
      </c>
      <c r="AX56">
        <f>IF(AND('(橫掃)RX Mapping'!AX56&gt;=1,'(橫掃)RX Mapping'!AX56&lt;=120), ('(橫掃)RX Mapping'!AX56-1),IF(AND('(橫掃)RX Mapping'!AX56&gt;=121,'(橫掃)RX Mapping'!AX56&lt;=240), (-1)*('(橫掃)RX Mapping'!AX56-240),IF(AND('(橫掃)RX Mapping'!AX56&gt;=241,'(橫掃)RX Mapping'!AX56&lt;=360), ('(橫掃)RX Mapping'!AX56-241),IF(AND('(橫掃)RX Mapping'!AX56&gt;=361,'(橫掃)RX Mapping'!AX56&lt;=480), (-1)*('(橫掃)RX Mapping'!AX56-480),IF(AND('(橫掃)RX Mapping'!AX56&gt;=481,'(橫掃)RX Mapping'!AX56&lt;=600), ('(橫掃)RX Mapping'!AX56-361),IF(AND('(橫掃)RX Mapping'!AX56&gt;=601,'(橫掃)RX Mapping'!AX56&lt;=720), (-1)*('(橫掃)RX Mapping'!AX56-720)+120,IF(AND('(橫掃)RX Mapping'!AX56&gt;=721,'(橫掃)RX Mapping'!AX56&lt;=840), ('(橫掃)RX Mapping'!AX56-601),IF(AND('(橫掃)RX Mapping'!AX56&gt;=841,'(橫掃)RX Mapping'!AX56&lt;=960), (-1)*('(橫掃)RX Mapping'!AX56-960)+120,9999))))))))</f>
        <v>9999</v>
      </c>
      <c r="AY56">
        <f>IF(AND('(橫掃)RX Mapping'!AY56&gt;=1,'(橫掃)RX Mapping'!AY56&lt;=120), ('(橫掃)RX Mapping'!AY56-1),IF(AND('(橫掃)RX Mapping'!AY56&gt;=121,'(橫掃)RX Mapping'!AY56&lt;=240), (-1)*('(橫掃)RX Mapping'!AY56-240),IF(AND('(橫掃)RX Mapping'!AY56&gt;=241,'(橫掃)RX Mapping'!AY56&lt;=360), ('(橫掃)RX Mapping'!AY56-241),IF(AND('(橫掃)RX Mapping'!AY56&gt;=361,'(橫掃)RX Mapping'!AY56&lt;=480), (-1)*('(橫掃)RX Mapping'!AY56-480),IF(AND('(橫掃)RX Mapping'!AY56&gt;=481,'(橫掃)RX Mapping'!AY56&lt;=600), ('(橫掃)RX Mapping'!AY56-361),IF(AND('(橫掃)RX Mapping'!AY56&gt;=601,'(橫掃)RX Mapping'!AY56&lt;=720), (-1)*('(橫掃)RX Mapping'!AY56-720)+120,IF(AND('(橫掃)RX Mapping'!AY56&gt;=721,'(橫掃)RX Mapping'!AY56&lt;=840), ('(橫掃)RX Mapping'!AY56-601),IF(AND('(橫掃)RX Mapping'!AY56&gt;=841,'(橫掃)RX Mapping'!AY56&lt;=960), (-1)*('(橫掃)RX Mapping'!AY56-960)+120,9999))))))))</f>
        <v>9999</v>
      </c>
      <c r="AZ56">
        <f>IF(AND('(橫掃)RX Mapping'!AZ56&gt;=1,'(橫掃)RX Mapping'!AZ56&lt;=120), ('(橫掃)RX Mapping'!AZ56-1),IF(AND('(橫掃)RX Mapping'!AZ56&gt;=121,'(橫掃)RX Mapping'!AZ56&lt;=240), (-1)*('(橫掃)RX Mapping'!AZ56-240),IF(AND('(橫掃)RX Mapping'!AZ56&gt;=241,'(橫掃)RX Mapping'!AZ56&lt;=360), ('(橫掃)RX Mapping'!AZ56-241),IF(AND('(橫掃)RX Mapping'!AZ56&gt;=361,'(橫掃)RX Mapping'!AZ56&lt;=480), (-1)*('(橫掃)RX Mapping'!AZ56-480),IF(AND('(橫掃)RX Mapping'!AZ56&gt;=481,'(橫掃)RX Mapping'!AZ56&lt;=600), ('(橫掃)RX Mapping'!AZ56-361),IF(AND('(橫掃)RX Mapping'!AZ56&gt;=601,'(橫掃)RX Mapping'!AZ56&lt;=720), (-1)*('(橫掃)RX Mapping'!AZ56-720)+120,IF(AND('(橫掃)RX Mapping'!AZ56&gt;=721,'(橫掃)RX Mapping'!AZ56&lt;=840), ('(橫掃)RX Mapping'!AZ56-601),IF(AND('(橫掃)RX Mapping'!AZ56&gt;=841,'(橫掃)RX Mapping'!AZ56&lt;=960), (-1)*('(橫掃)RX Mapping'!AZ56-960)+120,9999))))))))</f>
        <v>9999</v>
      </c>
      <c r="BA56">
        <f>IF(AND('(橫掃)RX Mapping'!BA56&gt;=1,'(橫掃)RX Mapping'!BA56&lt;=120), ('(橫掃)RX Mapping'!BA56-1),IF(AND('(橫掃)RX Mapping'!BA56&gt;=121,'(橫掃)RX Mapping'!BA56&lt;=240), (-1)*('(橫掃)RX Mapping'!BA56-240),IF(AND('(橫掃)RX Mapping'!BA56&gt;=241,'(橫掃)RX Mapping'!BA56&lt;=360), ('(橫掃)RX Mapping'!BA56-241),IF(AND('(橫掃)RX Mapping'!BA56&gt;=361,'(橫掃)RX Mapping'!BA56&lt;=480), (-1)*('(橫掃)RX Mapping'!BA56-480),IF(AND('(橫掃)RX Mapping'!BA56&gt;=481,'(橫掃)RX Mapping'!BA56&lt;=600), ('(橫掃)RX Mapping'!BA56-361),IF(AND('(橫掃)RX Mapping'!BA56&gt;=601,'(橫掃)RX Mapping'!BA56&lt;=720), (-1)*('(橫掃)RX Mapping'!BA56-720)+120,IF(AND('(橫掃)RX Mapping'!BA56&gt;=721,'(橫掃)RX Mapping'!BA56&lt;=840), ('(橫掃)RX Mapping'!BA56-601),IF(AND('(橫掃)RX Mapping'!BA56&gt;=841,'(橫掃)RX Mapping'!BA56&lt;=960), (-1)*('(橫掃)RX Mapping'!BA56-960)+120,9999))))))))</f>
        <v>9999</v>
      </c>
      <c r="BB56">
        <f>IF(AND('(橫掃)RX Mapping'!BB56&gt;=1,'(橫掃)RX Mapping'!BB56&lt;=120), ('(橫掃)RX Mapping'!BB56-1),IF(AND('(橫掃)RX Mapping'!BB56&gt;=121,'(橫掃)RX Mapping'!BB56&lt;=240), (-1)*('(橫掃)RX Mapping'!BB56-240),IF(AND('(橫掃)RX Mapping'!BB56&gt;=241,'(橫掃)RX Mapping'!BB56&lt;=360), ('(橫掃)RX Mapping'!BB56-241),IF(AND('(橫掃)RX Mapping'!BB56&gt;=361,'(橫掃)RX Mapping'!BB56&lt;=480), (-1)*('(橫掃)RX Mapping'!BB56-480),IF(AND('(橫掃)RX Mapping'!BB56&gt;=481,'(橫掃)RX Mapping'!BB56&lt;=600), ('(橫掃)RX Mapping'!BB56-361),IF(AND('(橫掃)RX Mapping'!BB56&gt;=601,'(橫掃)RX Mapping'!BB56&lt;=720), (-1)*('(橫掃)RX Mapping'!BB56-720)+120,IF(AND('(橫掃)RX Mapping'!BB56&gt;=721,'(橫掃)RX Mapping'!BB56&lt;=840), ('(橫掃)RX Mapping'!BB56-601),IF(AND('(橫掃)RX Mapping'!BB56&gt;=841,'(橫掃)RX Mapping'!BB56&lt;=960), (-1)*('(橫掃)RX Mapping'!BB56-960)+120,9999))))))))</f>
        <v>9999</v>
      </c>
      <c r="BC56">
        <f>IF(AND('(橫掃)RX Mapping'!BC56&gt;=1,'(橫掃)RX Mapping'!BC56&lt;=120), ('(橫掃)RX Mapping'!BC56-1),IF(AND('(橫掃)RX Mapping'!BC56&gt;=121,'(橫掃)RX Mapping'!BC56&lt;=240), (-1)*('(橫掃)RX Mapping'!BC56-240),IF(AND('(橫掃)RX Mapping'!BC56&gt;=241,'(橫掃)RX Mapping'!BC56&lt;=360), ('(橫掃)RX Mapping'!BC56-241),IF(AND('(橫掃)RX Mapping'!BC56&gt;=361,'(橫掃)RX Mapping'!BC56&lt;=480), (-1)*('(橫掃)RX Mapping'!BC56-480),IF(AND('(橫掃)RX Mapping'!BC56&gt;=481,'(橫掃)RX Mapping'!BC56&lt;=600), ('(橫掃)RX Mapping'!BC56-361),IF(AND('(橫掃)RX Mapping'!BC56&gt;=601,'(橫掃)RX Mapping'!BC56&lt;=720), (-1)*('(橫掃)RX Mapping'!BC56-720)+120,IF(AND('(橫掃)RX Mapping'!BC56&gt;=721,'(橫掃)RX Mapping'!BC56&lt;=840), ('(橫掃)RX Mapping'!BC56-601),IF(AND('(橫掃)RX Mapping'!BC56&gt;=841,'(橫掃)RX Mapping'!BC56&lt;=960), (-1)*('(橫掃)RX Mapping'!BC56-960)+120,9999))))))))</f>
        <v>9999</v>
      </c>
      <c r="BD56">
        <f>IF(AND('(橫掃)RX Mapping'!BD56&gt;=1,'(橫掃)RX Mapping'!BD56&lt;=120), ('(橫掃)RX Mapping'!BD56-1),IF(AND('(橫掃)RX Mapping'!BD56&gt;=121,'(橫掃)RX Mapping'!BD56&lt;=240), (-1)*('(橫掃)RX Mapping'!BD56-240),IF(AND('(橫掃)RX Mapping'!BD56&gt;=241,'(橫掃)RX Mapping'!BD56&lt;=360), ('(橫掃)RX Mapping'!BD56-241),IF(AND('(橫掃)RX Mapping'!BD56&gt;=361,'(橫掃)RX Mapping'!BD56&lt;=480), (-1)*('(橫掃)RX Mapping'!BD56-480),IF(AND('(橫掃)RX Mapping'!BD56&gt;=481,'(橫掃)RX Mapping'!BD56&lt;=600), ('(橫掃)RX Mapping'!BD56-361),IF(AND('(橫掃)RX Mapping'!BD56&gt;=601,'(橫掃)RX Mapping'!BD56&lt;=720), (-1)*('(橫掃)RX Mapping'!BD56-720)+120,IF(AND('(橫掃)RX Mapping'!BD56&gt;=721,'(橫掃)RX Mapping'!BD56&lt;=840), ('(橫掃)RX Mapping'!BD56-601),IF(AND('(橫掃)RX Mapping'!BD56&gt;=841,'(橫掃)RX Mapping'!BD56&lt;=960), (-1)*('(橫掃)RX Mapping'!BD56-960)+120,9999))))))))</f>
        <v>9999</v>
      </c>
      <c r="BE56">
        <f>IF(AND('(橫掃)RX Mapping'!BE56&gt;=1,'(橫掃)RX Mapping'!BE56&lt;=120), ('(橫掃)RX Mapping'!BE56-1),IF(AND('(橫掃)RX Mapping'!BE56&gt;=121,'(橫掃)RX Mapping'!BE56&lt;=240), (-1)*('(橫掃)RX Mapping'!BE56-240),IF(AND('(橫掃)RX Mapping'!BE56&gt;=241,'(橫掃)RX Mapping'!BE56&lt;=360), ('(橫掃)RX Mapping'!BE56-241),IF(AND('(橫掃)RX Mapping'!BE56&gt;=361,'(橫掃)RX Mapping'!BE56&lt;=480), (-1)*('(橫掃)RX Mapping'!BE56-480),IF(AND('(橫掃)RX Mapping'!BE56&gt;=481,'(橫掃)RX Mapping'!BE56&lt;=600), ('(橫掃)RX Mapping'!BE56-361),IF(AND('(橫掃)RX Mapping'!BE56&gt;=601,'(橫掃)RX Mapping'!BE56&lt;=720), (-1)*('(橫掃)RX Mapping'!BE56-720)+120,IF(AND('(橫掃)RX Mapping'!BE56&gt;=721,'(橫掃)RX Mapping'!BE56&lt;=840), ('(橫掃)RX Mapping'!BE56-601),IF(AND('(橫掃)RX Mapping'!BE56&gt;=841,'(橫掃)RX Mapping'!BE56&lt;=960), (-1)*('(橫掃)RX Mapping'!BE56-960)+120,9999))))))))</f>
        <v>9999</v>
      </c>
      <c r="BF56">
        <f>IF(AND('(橫掃)RX Mapping'!BF56&gt;=1,'(橫掃)RX Mapping'!BF56&lt;=120), ('(橫掃)RX Mapping'!BF56-1),IF(AND('(橫掃)RX Mapping'!BF56&gt;=121,'(橫掃)RX Mapping'!BF56&lt;=240), (-1)*('(橫掃)RX Mapping'!BF56-240),IF(AND('(橫掃)RX Mapping'!BF56&gt;=241,'(橫掃)RX Mapping'!BF56&lt;=360), ('(橫掃)RX Mapping'!BF56-241),IF(AND('(橫掃)RX Mapping'!BF56&gt;=361,'(橫掃)RX Mapping'!BF56&lt;=480), (-1)*('(橫掃)RX Mapping'!BF56-480),IF(AND('(橫掃)RX Mapping'!BF56&gt;=481,'(橫掃)RX Mapping'!BF56&lt;=600), ('(橫掃)RX Mapping'!BF56-361),IF(AND('(橫掃)RX Mapping'!BF56&gt;=601,'(橫掃)RX Mapping'!BF56&lt;=720), (-1)*('(橫掃)RX Mapping'!BF56-720)+120,IF(AND('(橫掃)RX Mapping'!BF56&gt;=721,'(橫掃)RX Mapping'!BF56&lt;=840), ('(橫掃)RX Mapping'!BF56-601),IF(AND('(橫掃)RX Mapping'!BF56&gt;=841,'(橫掃)RX Mapping'!BF56&lt;=960), (-1)*('(橫掃)RX Mapping'!BF56-960)+120,9999))))))))</f>
        <v>9999</v>
      </c>
      <c r="BG56">
        <f>IF(AND('(橫掃)RX Mapping'!BG56&gt;=1,'(橫掃)RX Mapping'!BG56&lt;=120), ('(橫掃)RX Mapping'!BG56-1),IF(AND('(橫掃)RX Mapping'!BG56&gt;=121,'(橫掃)RX Mapping'!BG56&lt;=240), (-1)*('(橫掃)RX Mapping'!BG56-240),IF(AND('(橫掃)RX Mapping'!BG56&gt;=241,'(橫掃)RX Mapping'!BG56&lt;=360), ('(橫掃)RX Mapping'!BG56-241),IF(AND('(橫掃)RX Mapping'!BG56&gt;=361,'(橫掃)RX Mapping'!BG56&lt;=480), (-1)*('(橫掃)RX Mapping'!BG56-480),IF(AND('(橫掃)RX Mapping'!BG56&gt;=481,'(橫掃)RX Mapping'!BG56&lt;=600), ('(橫掃)RX Mapping'!BG56-361),IF(AND('(橫掃)RX Mapping'!BG56&gt;=601,'(橫掃)RX Mapping'!BG56&lt;=720), (-1)*('(橫掃)RX Mapping'!BG56-720)+120,IF(AND('(橫掃)RX Mapping'!BG56&gt;=721,'(橫掃)RX Mapping'!BG56&lt;=840), ('(橫掃)RX Mapping'!BG56-601),IF(AND('(橫掃)RX Mapping'!BG56&gt;=841,'(橫掃)RX Mapping'!BG56&lt;=960), (-1)*('(橫掃)RX Mapping'!BG56-960)+120,9999))))))))</f>
        <v>9999</v>
      </c>
      <c r="BH56">
        <f>IF(AND('(橫掃)RX Mapping'!BH56&gt;=1,'(橫掃)RX Mapping'!BH56&lt;=120), ('(橫掃)RX Mapping'!BH56-1),IF(AND('(橫掃)RX Mapping'!BH56&gt;=121,'(橫掃)RX Mapping'!BH56&lt;=240), (-1)*('(橫掃)RX Mapping'!BH56-240),IF(AND('(橫掃)RX Mapping'!BH56&gt;=241,'(橫掃)RX Mapping'!BH56&lt;=360), ('(橫掃)RX Mapping'!BH56-241),IF(AND('(橫掃)RX Mapping'!BH56&gt;=361,'(橫掃)RX Mapping'!BH56&lt;=480), (-1)*('(橫掃)RX Mapping'!BH56-480),IF(AND('(橫掃)RX Mapping'!BH56&gt;=481,'(橫掃)RX Mapping'!BH56&lt;=600), ('(橫掃)RX Mapping'!BH56-361),IF(AND('(橫掃)RX Mapping'!BH56&gt;=601,'(橫掃)RX Mapping'!BH56&lt;=720), (-1)*('(橫掃)RX Mapping'!BH56-720)+120,IF(AND('(橫掃)RX Mapping'!BH56&gt;=721,'(橫掃)RX Mapping'!BH56&lt;=840), ('(橫掃)RX Mapping'!BH56-601),IF(AND('(橫掃)RX Mapping'!BH56&gt;=841,'(橫掃)RX Mapping'!BH56&lt;=960), (-1)*('(橫掃)RX Mapping'!BH56-960)+120,9999))))))))</f>
        <v>9999</v>
      </c>
      <c r="BI56">
        <f>IF(AND('(橫掃)RX Mapping'!BI56&gt;=1,'(橫掃)RX Mapping'!BI56&lt;=120), ('(橫掃)RX Mapping'!BI56-1),IF(AND('(橫掃)RX Mapping'!BI56&gt;=121,'(橫掃)RX Mapping'!BI56&lt;=240), (-1)*('(橫掃)RX Mapping'!BI56-240),IF(AND('(橫掃)RX Mapping'!BI56&gt;=241,'(橫掃)RX Mapping'!BI56&lt;=360), ('(橫掃)RX Mapping'!BI56-241),IF(AND('(橫掃)RX Mapping'!BI56&gt;=361,'(橫掃)RX Mapping'!BI56&lt;=480), (-1)*('(橫掃)RX Mapping'!BI56-480),IF(AND('(橫掃)RX Mapping'!BI56&gt;=481,'(橫掃)RX Mapping'!BI56&lt;=600), ('(橫掃)RX Mapping'!BI56-361),IF(AND('(橫掃)RX Mapping'!BI56&gt;=601,'(橫掃)RX Mapping'!BI56&lt;=720), (-1)*('(橫掃)RX Mapping'!BI56-720)+120,IF(AND('(橫掃)RX Mapping'!BI56&gt;=721,'(橫掃)RX Mapping'!BI56&lt;=840), ('(橫掃)RX Mapping'!BI56-601),IF(AND('(橫掃)RX Mapping'!BI56&gt;=841,'(橫掃)RX Mapping'!BI56&lt;=960), (-1)*('(橫掃)RX Mapping'!BI56-960)+120,9999))))))))</f>
        <v>9999</v>
      </c>
    </row>
    <row r="57" spans="1:61" x14ac:dyDescent="0.25">
      <c r="A57" s="20">
        <v>56</v>
      </c>
      <c r="B57">
        <f>IF(AND('(橫掃)RX Mapping'!B57&gt;=1,'(橫掃)RX Mapping'!B57&lt;=120), ('(橫掃)RX Mapping'!B57-1),IF(AND('(橫掃)RX Mapping'!B57&gt;=121,'(橫掃)RX Mapping'!B57&lt;=240), (-1)*('(橫掃)RX Mapping'!B57-240),IF(AND('(橫掃)RX Mapping'!B57&gt;=241,'(橫掃)RX Mapping'!B57&lt;=360), ('(橫掃)RX Mapping'!B57-241),IF(AND('(橫掃)RX Mapping'!B57&gt;=361,'(橫掃)RX Mapping'!B57&lt;=480), (-1)*('(橫掃)RX Mapping'!B57-480),IF(AND('(橫掃)RX Mapping'!B57&gt;=481,'(橫掃)RX Mapping'!B57&lt;=600), ('(橫掃)RX Mapping'!B57-361),IF(AND('(橫掃)RX Mapping'!B57&gt;=601,'(橫掃)RX Mapping'!B57&lt;=720), (-1)*('(橫掃)RX Mapping'!B57-720)+120,IF(AND('(橫掃)RX Mapping'!B57&gt;=721,'(橫掃)RX Mapping'!B57&lt;=840), ('(橫掃)RX Mapping'!B57-601),IF(AND('(橫掃)RX Mapping'!B57&gt;=841,'(橫掃)RX Mapping'!B57&lt;=960), (-1)*('(橫掃)RX Mapping'!B57-960)+120,9999))))))))</f>
        <v>9999</v>
      </c>
      <c r="C57">
        <f>IF(AND('(橫掃)RX Mapping'!C57&gt;=1,'(橫掃)RX Mapping'!C57&lt;=120), ('(橫掃)RX Mapping'!C57-1),IF(AND('(橫掃)RX Mapping'!C57&gt;=121,'(橫掃)RX Mapping'!C57&lt;=240), (-1)*('(橫掃)RX Mapping'!C57-240),IF(AND('(橫掃)RX Mapping'!C57&gt;=241,'(橫掃)RX Mapping'!C57&lt;=360), ('(橫掃)RX Mapping'!C57-241),IF(AND('(橫掃)RX Mapping'!C57&gt;=361,'(橫掃)RX Mapping'!C57&lt;=480), (-1)*('(橫掃)RX Mapping'!C57-480),IF(AND('(橫掃)RX Mapping'!C57&gt;=481,'(橫掃)RX Mapping'!C57&lt;=600), ('(橫掃)RX Mapping'!C57-361),IF(AND('(橫掃)RX Mapping'!C57&gt;=601,'(橫掃)RX Mapping'!C57&lt;=720), (-1)*('(橫掃)RX Mapping'!C57-720)+120,IF(AND('(橫掃)RX Mapping'!C57&gt;=721,'(橫掃)RX Mapping'!C57&lt;=840), ('(橫掃)RX Mapping'!C57-601),IF(AND('(橫掃)RX Mapping'!C57&gt;=841,'(橫掃)RX Mapping'!C57&lt;=960), (-1)*('(橫掃)RX Mapping'!C57-960)+120,9999))))))))</f>
        <v>9999</v>
      </c>
      <c r="D57">
        <f>IF(AND('(橫掃)RX Mapping'!D57&gt;=1,'(橫掃)RX Mapping'!D57&lt;=120), ('(橫掃)RX Mapping'!D57-1),IF(AND('(橫掃)RX Mapping'!D57&gt;=121,'(橫掃)RX Mapping'!D57&lt;=240), (-1)*('(橫掃)RX Mapping'!D57-240),IF(AND('(橫掃)RX Mapping'!D57&gt;=241,'(橫掃)RX Mapping'!D57&lt;=360), ('(橫掃)RX Mapping'!D57-241),IF(AND('(橫掃)RX Mapping'!D57&gt;=361,'(橫掃)RX Mapping'!D57&lt;=480), (-1)*('(橫掃)RX Mapping'!D57-480),IF(AND('(橫掃)RX Mapping'!D57&gt;=481,'(橫掃)RX Mapping'!D57&lt;=600), ('(橫掃)RX Mapping'!D57-361),IF(AND('(橫掃)RX Mapping'!D57&gt;=601,'(橫掃)RX Mapping'!D57&lt;=720), (-1)*('(橫掃)RX Mapping'!D57-720)+120,IF(AND('(橫掃)RX Mapping'!D57&gt;=721,'(橫掃)RX Mapping'!D57&lt;=840), ('(橫掃)RX Mapping'!D57-601),IF(AND('(橫掃)RX Mapping'!D57&gt;=841,'(橫掃)RX Mapping'!D57&lt;=960), (-1)*('(橫掃)RX Mapping'!D57-960)+120,9999))))))))</f>
        <v>9999</v>
      </c>
      <c r="E57">
        <f>IF(AND('(橫掃)RX Mapping'!E57&gt;=1,'(橫掃)RX Mapping'!E57&lt;=120), ('(橫掃)RX Mapping'!E57-1),IF(AND('(橫掃)RX Mapping'!E57&gt;=121,'(橫掃)RX Mapping'!E57&lt;=240), (-1)*('(橫掃)RX Mapping'!E57-240),IF(AND('(橫掃)RX Mapping'!E57&gt;=241,'(橫掃)RX Mapping'!E57&lt;=360), ('(橫掃)RX Mapping'!E57-241),IF(AND('(橫掃)RX Mapping'!E57&gt;=361,'(橫掃)RX Mapping'!E57&lt;=480), (-1)*('(橫掃)RX Mapping'!E57-480),IF(AND('(橫掃)RX Mapping'!E57&gt;=481,'(橫掃)RX Mapping'!E57&lt;=600), ('(橫掃)RX Mapping'!E57-361),IF(AND('(橫掃)RX Mapping'!E57&gt;=601,'(橫掃)RX Mapping'!E57&lt;=720), (-1)*('(橫掃)RX Mapping'!E57-720)+120,IF(AND('(橫掃)RX Mapping'!E57&gt;=721,'(橫掃)RX Mapping'!E57&lt;=840), ('(橫掃)RX Mapping'!E57-601),IF(AND('(橫掃)RX Mapping'!E57&gt;=841,'(橫掃)RX Mapping'!E57&lt;=960), (-1)*('(橫掃)RX Mapping'!E57-960)+120,9999))))))))</f>
        <v>9999</v>
      </c>
      <c r="F57">
        <f>IF(AND('(橫掃)RX Mapping'!F57&gt;=1,'(橫掃)RX Mapping'!F57&lt;=120), ('(橫掃)RX Mapping'!F57-1),IF(AND('(橫掃)RX Mapping'!F57&gt;=121,'(橫掃)RX Mapping'!F57&lt;=240), (-1)*('(橫掃)RX Mapping'!F57-240),IF(AND('(橫掃)RX Mapping'!F57&gt;=241,'(橫掃)RX Mapping'!F57&lt;=360), ('(橫掃)RX Mapping'!F57-241),IF(AND('(橫掃)RX Mapping'!F57&gt;=361,'(橫掃)RX Mapping'!F57&lt;=480), (-1)*('(橫掃)RX Mapping'!F57-480),IF(AND('(橫掃)RX Mapping'!F57&gt;=481,'(橫掃)RX Mapping'!F57&lt;=600), ('(橫掃)RX Mapping'!F57-361),IF(AND('(橫掃)RX Mapping'!F57&gt;=601,'(橫掃)RX Mapping'!F57&lt;=720), (-1)*('(橫掃)RX Mapping'!F57-720)+120,IF(AND('(橫掃)RX Mapping'!F57&gt;=721,'(橫掃)RX Mapping'!F57&lt;=840), ('(橫掃)RX Mapping'!F57-601),IF(AND('(橫掃)RX Mapping'!F57&gt;=841,'(橫掃)RX Mapping'!F57&lt;=960), (-1)*('(橫掃)RX Mapping'!F57-960)+120,9999))))))))</f>
        <v>9999</v>
      </c>
      <c r="G57">
        <f>IF(AND('(橫掃)RX Mapping'!G57&gt;=1,'(橫掃)RX Mapping'!G57&lt;=120), ('(橫掃)RX Mapping'!G57-1),IF(AND('(橫掃)RX Mapping'!G57&gt;=121,'(橫掃)RX Mapping'!G57&lt;=240), (-1)*('(橫掃)RX Mapping'!G57-240),IF(AND('(橫掃)RX Mapping'!G57&gt;=241,'(橫掃)RX Mapping'!G57&lt;=360), ('(橫掃)RX Mapping'!G57-241),IF(AND('(橫掃)RX Mapping'!G57&gt;=361,'(橫掃)RX Mapping'!G57&lt;=480), (-1)*('(橫掃)RX Mapping'!G57-480),IF(AND('(橫掃)RX Mapping'!G57&gt;=481,'(橫掃)RX Mapping'!G57&lt;=600), ('(橫掃)RX Mapping'!G57-361),IF(AND('(橫掃)RX Mapping'!G57&gt;=601,'(橫掃)RX Mapping'!G57&lt;=720), (-1)*('(橫掃)RX Mapping'!G57-720)+120,IF(AND('(橫掃)RX Mapping'!G57&gt;=721,'(橫掃)RX Mapping'!G57&lt;=840), ('(橫掃)RX Mapping'!G57-601),IF(AND('(橫掃)RX Mapping'!G57&gt;=841,'(橫掃)RX Mapping'!G57&lt;=960), (-1)*('(橫掃)RX Mapping'!G57-960)+120,9999))))))))</f>
        <v>9999</v>
      </c>
      <c r="H57">
        <f>IF(AND('(橫掃)RX Mapping'!H57&gt;=1,'(橫掃)RX Mapping'!H57&lt;=120), ('(橫掃)RX Mapping'!H57-1),IF(AND('(橫掃)RX Mapping'!H57&gt;=121,'(橫掃)RX Mapping'!H57&lt;=240), (-1)*('(橫掃)RX Mapping'!H57-240),IF(AND('(橫掃)RX Mapping'!H57&gt;=241,'(橫掃)RX Mapping'!H57&lt;=360), ('(橫掃)RX Mapping'!H57-241),IF(AND('(橫掃)RX Mapping'!H57&gt;=361,'(橫掃)RX Mapping'!H57&lt;=480), (-1)*('(橫掃)RX Mapping'!H57-480),IF(AND('(橫掃)RX Mapping'!H57&gt;=481,'(橫掃)RX Mapping'!H57&lt;=600), ('(橫掃)RX Mapping'!H57-361),IF(AND('(橫掃)RX Mapping'!H57&gt;=601,'(橫掃)RX Mapping'!H57&lt;=720), (-1)*('(橫掃)RX Mapping'!H57-720)+120,IF(AND('(橫掃)RX Mapping'!H57&gt;=721,'(橫掃)RX Mapping'!H57&lt;=840), ('(橫掃)RX Mapping'!H57-601),IF(AND('(橫掃)RX Mapping'!H57&gt;=841,'(橫掃)RX Mapping'!H57&lt;=960), (-1)*('(橫掃)RX Mapping'!H57-960)+120,9999))))))))</f>
        <v>9999</v>
      </c>
      <c r="I57">
        <f>IF(AND('(橫掃)RX Mapping'!I57&gt;=1,'(橫掃)RX Mapping'!I57&lt;=120), ('(橫掃)RX Mapping'!I57-1),IF(AND('(橫掃)RX Mapping'!I57&gt;=121,'(橫掃)RX Mapping'!I57&lt;=240), (-1)*('(橫掃)RX Mapping'!I57-240),IF(AND('(橫掃)RX Mapping'!I57&gt;=241,'(橫掃)RX Mapping'!I57&lt;=360), ('(橫掃)RX Mapping'!I57-241),IF(AND('(橫掃)RX Mapping'!I57&gt;=361,'(橫掃)RX Mapping'!I57&lt;=480), (-1)*('(橫掃)RX Mapping'!I57-480),IF(AND('(橫掃)RX Mapping'!I57&gt;=481,'(橫掃)RX Mapping'!I57&lt;=600), ('(橫掃)RX Mapping'!I57-361),IF(AND('(橫掃)RX Mapping'!I57&gt;=601,'(橫掃)RX Mapping'!I57&lt;=720), (-1)*('(橫掃)RX Mapping'!I57-720)+120,IF(AND('(橫掃)RX Mapping'!I57&gt;=721,'(橫掃)RX Mapping'!I57&lt;=840), ('(橫掃)RX Mapping'!I57-601),IF(AND('(橫掃)RX Mapping'!I57&gt;=841,'(橫掃)RX Mapping'!I57&lt;=960), (-1)*('(橫掃)RX Mapping'!I57-960)+120,9999))))))))</f>
        <v>9999</v>
      </c>
      <c r="J57">
        <f>IF(AND('(橫掃)RX Mapping'!J57&gt;=1,'(橫掃)RX Mapping'!J57&lt;=120), ('(橫掃)RX Mapping'!J57-1),IF(AND('(橫掃)RX Mapping'!J57&gt;=121,'(橫掃)RX Mapping'!J57&lt;=240), (-1)*('(橫掃)RX Mapping'!J57-240),IF(AND('(橫掃)RX Mapping'!J57&gt;=241,'(橫掃)RX Mapping'!J57&lt;=360), ('(橫掃)RX Mapping'!J57-241),IF(AND('(橫掃)RX Mapping'!J57&gt;=361,'(橫掃)RX Mapping'!J57&lt;=480), (-1)*('(橫掃)RX Mapping'!J57-480),IF(AND('(橫掃)RX Mapping'!J57&gt;=481,'(橫掃)RX Mapping'!J57&lt;=600), ('(橫掃)RX Mapping'!J57-361),IF(AND('(橫掃)RX Mapping'!J57&gt;=601,'(橫掃)RX Mapping'!J57&lt;=720), (-1)*('(橫掃)RX Mapping'!J57-720)+120,IF(AND('(橫掃)RX Mapping'!J57&gt;=721,'(橫掃)RX Mapping'!J57&lt;=840), ('(橫掃)RX Mapping'!J57-601),IF(AND('(橫掃)RX Mapping'!J57&gt;=841,'(橫掃)RX Mapping'!J57&lt;=960), (-1)*('(橫掃)RX Mapping'!J57-960)+120,9999))))))))</f>
        <v>9999</v>
      </c>
      <c r="K57">
        <f>IF(AND('(橫掃)RX Mapping'!K57&gt;=1,'(橫掃)RX Mapping'!K57&lt;=120), ('(橫掃)RX Mapping'!K57-1),IF(AND('(橫掃)RX Mapping'!K57&gt;=121,'(橫掃)RX Mapping'!K57&lt;=240), (-1)*('(橫掃)RX Mapping'!K57-240),IF(AND('(橫掃)RX Mapping'!K57&gt;=241,'(橫掃)RX Mapping'!K57&lt;=360), ('(橫掃)RX Mapping'!K57-241),IF(AND('(橫掃)RX Mapping'!K57&gt;=361,'(橫掃)RX Mapping'!K57&lt;=480), (-1)*('(橫掃)RX Mapping'!K57-480),IF(AND('(橫掃)RX Mapping'!K57&gt;=481,'(橫掃)RX Mapping'!K57&lt;=600), ('(橫掃)RX Mapping'!K57-361),IF(AND('(橫掃)RX Mapping'!K57&gt;=601,'(橫掃)RX Mapping'!K57&lt;=720), (-1)*('(橫掃)RX Mapping'!K57-720)+120,IF(AND('(橫掃)RX Mapping'!K57&gt;=721,'(橫掃)RX Mapping'!K57&lt;=840), ('(橫掃)RX Mapping'!K57-601),IF(AND('(橫掃)RX Mapping'!K57&gt;=841,'(橫掃)RX Mapping'!K57&lt;=960), (-1)*('(橫掃)RX Mapping'!K57-960)+120,9999))))))))</f>
        <v>9999</v>
      </c>
      <c r="L57">
        <f>IF(AND('(橫掃)RX Mapping'!L57&gt;=1,'(橫掃)RX Mapping'!L57&lt;=120), ('(橫掃)RX Mapping'!L57-1),IF(AND('(橫掃)RX Mapping'!L57&gt;=121,'(橫掃)RX Mapping'!L57&lt;=240), (-1)*('(橫掃)RX Mapping'!L57-240),IF(AND('(橫掃)RX Mapping'!L57&gt;=241,'(橫掃)RX Mapping'!L57&lt;=360), ('(橫掃)RX Mapping'!L57-241),IF(AND('(橫掃)RX Mapping'!L57&gt;=361,'(橫掃)RX Mapping'!L57&lt;=480), (-1)*('(橫掃)RX Mapping'!L57-480),IF(AND('(橫掃)RX Mapping'!L57&gt;=481,'(橫掃)RX Mapping'!L57&lt;=600), ('(橫掃)RX Mapping'!L57-361),IF(AND('(橫掃)RX Mapping'!L57&gt;=601,'(橫掃)RX Mapping'!L57&lt;=720), (-1)*('(橫掃)RX Mapping'!L57-720)+120,IF(AND('(橫掃)RX Mapping'!L57&gt;=721,'(橫掃)RX Mapping'!L57&lt;=840), ('(橫掃)RX Mapping'!L57-601),IF(AND('(橫掃)RX Mapping'!L57&gt;=841,'(橫掃)RX Mapping'!L57&lt;=960), (-1)*('(橫掃)RX Mapping'!L57-960)+120,9999))))))))</f>
        <v>9999</v>
      </c>
      <c r="M57">
        <f>IF(AND('(橫掃)RX Mapping'!M57&gt;=1,'(橫掃)RX Mapping'!M57&lt;=120), ('(橫掃)RX Mapping'!M57-1),IF(AND('(橫掃)RX Mapping'!M57&gt;=121,'(橫掃)RX Mapping'!M57&lt;=240), (-1)*('(橫掃)RX Mapping'!M57-240),IF(AND('(橫掃)RX Mapping'!M57&gt;=241,'(橫掃)RX Mapping'!M57&lt;=360), ('(橫掃)RX Mapping'!M57-241),IF(AND('(橫掃)RX Mapping'!M57&gt;=361,'(橫掃)RX Mapping'!M57&lt;=480), (-1)*('(橫掃)RX Mapping'!M57-480),IF(AND('(橫掃)RX Mapping'!M57&gt;=481,'(橫掃)RX Mapping'!M57&lt;=600), ('(橫掃)RX Mapping'!M57-361),IF(AND('(橫掃)RX Mapping'!M57&gt;=601,'(橫掃)RX Mapping'!M57&lt;=720), (-1)*('(橫掃)RX Mapping'!M57-720)+120,IF(AND('(橫掃)RX Mapping'!M57&gt;=721,'(橫掃)RX Mapping'!M57&lt;=840), ('(橫掃)RX Mapping'!M57-601),IF(AND('(橫掃)RX Mapping'!M57&gt;=841,'(橫掃)RX Mapping'!M57&lt;=960), (-1)*('(橫掃)RX Mapping'!M57-960)+120,9999))))))))</f>
        <v>9999</v>
      </c>
      <c r="N57">
        <f>IF(AND('(橫掃)RX Mapping'!N57&gt;=1,'(橫掃)RX Mapping'!N57&lt;=120), ('(橫掃)RX Mapping'!N57-1),IF(AND('(橫掃)RX Mapping'!N57&gt;=121,'(橫掃)RX Mapping'!N57&lt;=240), (-1)*('(橫掃)RX Mapping'!N57-240),IF(AND('(橫掃)RX Mapping'!N57&gt;=241,'(橫掃)RX Mapping'!N57&lt;=360), ('(橫掃)RX Mapping'!N57-241),IF(AND('(橫掃)RX Mapping'!N57&gt;=361,'(橫掃)RX Mapping'!N57&lt;=480), (-1)*('(橫掃)RX Mapping'!N57-480),IF(AND('(橫掃)RX Mapping'!N57&gt;=481,'(橫掃)RX Mapping'!N57&lt;=600), ('(橫掃)RX Mapping'!N57-361),IF(AND('(橫掃)RX Mapping'!N57&gt;=601,'(橫掃)RX Mapping'!N57&lt;=720), (-1)*('(橫掃)RX Mapping'!N57-720)+120,IF(AND('(橫掃)RX Mapping'!N57&gt;=721,'(橫掃)RX Mapping'!N57&lt;=840), ('(橫掃)RX Mapping'!N57-601),IF(AND('(橫掃)RX Mapping'!N57&gt;=841,'(橫掃)RX Mapping'!N57&lt;=960), (-1)*('(橫掃)RX Mapping'!N57-960)+120,9999))))))))</f>
        <v>9999</v>
      </c>
      <c r="O57">
        <f>IF(AND('(橫掃)RX Mapping'!O57&gt;=1,'(橫掃)RX Mapping'!O57&lt;=120), ('(橫掃)RX Mapping'!O57-1),IF(AND('(橫掃)RX Mapping'!O57&gt;=121,'(橫掃)RX Mapping'!O57&lt;=240), (-1)*('(橫掃)RX Mapping'!O57-240),IF(AND('(橫掃)RX Mapping'!O57&gt;=241,'(橫掃)RX Mapping'!O57&lt;=360), ('(橫掃)RX Mapping'!O57-241),IF(AND('(橫掃)RX Mapping'!O57&gt;=361,'(橫掃)RX Mapping'!O57&lt;=480), (-1)*('(橫掃)RX Mapping'!O57-480),IF(AND('(橫掃)RX Mapping'!O57&gt;=481,'(橫掃)RX Mapping'!O57&lt;=600), ('(橫掃)RX Mapping'!O57-361),IF(AND('(橫掃)RX Mapping'!O57&gt;=601,'(橫掃)RX Mapping'!O57&lt;=720), (-1)*('(橫掃)RX Mapping'!O57-720)+120,IF(AND('(橫掃)RX Mapping'!O57&gt;=721,'(橫掃)RX Mapping'!O57&lt;=840), ('(橫掃)RX Mapping'!O57-601),IF(AND('(橫掃)RX Mapping'!O57&gt;=841,'(橫掃)RX Mapping'!O57&lt;=960), (-1)*('(橫掃)RX Mapping'!O57-960)+120,9999))))))))</f>
        <v>9999</v>
      </c>
      <c r="P57">
        <f>IF(AND('(橫掃)RX Mapping'!P57&gt;=1,'(橫掃)RX Mapping'!P57&lt;=120), ('(橫掃)RX Mapping'!P57-1),IF(AND('(橫掃)RX Mapping'!P57&gt;=121,'(橫掃)RX Mapping'!P57&lt;=240), (-1)*('(橫掃)RX Mapping'!P57-240),IF(AND('(橫掃)RX Mapping'!P57&gt;=241,'(橫掃)RX Mapping'!P57&lt;=360), ('(橫掃)RX Mapping'!P57-241),IF(AND('(橫掃)RX Mapping'!P57&gt;=361,'(橫掃)RX Mapping'!P57&lt;=480), (-1)*('(橫掃)RX Mapping'!P57-480),IF(AND('(橫掃)RX Mapping'!P57&gt;=481,'(橫掃)RX Mapping'!P57&lt;=600), ('(橫掃)RX Mapping'!P57-361),IF(AND('(橫掃)RX Mapping'!P57&gt;=601,'(橫掃)RX Mapping'!P57&lt;=720), (-1)*('(橫掃)RX Mapping'!P57-720)+120,IF(AND('(橫掃)RX Mapping'!P57&gt;=721,'(橫掃)RX Mapping'!P57&lt;=840), ('(橫掃)RX Mapping'!P57-601),IF(AND('(橫掃)RX Mapping'!P57&gt;=841,'(橫掃)RX Mapping'!P57&lt;=960), (-1)*('(橫掃)RX Mapping'!P57-960)+120,9999))))))))</f>
        <v>9999</v>
      </c>
      <c r="Q57">
        <f>IF(AND('(橫掃)RX Mapping'!Q57&gt;=1,'(橫掃)RX Mapping'!Q57&lt;=120), ('(橫掃)RX Mapping'!Q57-1),IF(AND('(橫掃)RX Mapping'!Q57&gt;=121,'(橫掃)RX Mapping'!Q57&lt;=240), (-1)*('(橫掃)RX Mapping'!Q57-240),IF(AND('(橫掃)RX Mapping'!Q57&gt;=241,'(橫掃)RX Mapping'!Q57&lt;=360), ('(橫掃)RX Mapping'!Q57-241),IF(AND('(橫掃)RX Mapping'!Q57&gt;=361,'(橫掃)RX Mapping'!Q57&lt;=480), (-1)*('(橫掃)RX Mapping'!Q57-480),IF(AND('(橫掃)RX Mapping'!Q57&gt;=481,'(橫掃)RX Mapping'!Q57&lt;=600), ('(橫掃)RX Mapping'!Q57-361),IF(AND('(橫掃)RX Mapping'!Q57&gt;=601,'(橫掃)RX Mapping'!Q57&lt;=720), (-1)*('(橫掃)RX Mapping'!Q57-720)+120,IF(AND('(橫掃)RX Mapping'!Q57&gt;=721,'(橫掃)RX Mapping'!Q57&lt;=840), ('(橫掃)RX Mapping'!Q57-601),IF(AND('(橫掃)RX Mapping'!Q57&gt;=841,'(橫掃)RX Mapping'!Q57&lt;=960), (-1)*('(橫掃)RX Mapping'!Q57-960)+120,9999))))))))</f>
        <v>9999</v>
      </c>
      <c r="R57">
        <f>IF(AND('(橫掃)RX Mapping'!R57&gt;=1,'(橫掃)RX Mapping'!R57&lt;=120), ('(橫掃)RX Mapping'!R57-1),IF(AND('(橫掃)RX Mapping'!R57&gt;=121,'(橫掃)RX Mapping'!R57&lt;=240), (-1)*('(橫掃)RX Mapping'!R57-240),IF(AND('(橫掃)RX Mapping'!R57&gt;=241,'(橫掃)RX Mapping'!R57&lt;=360), ('(橫掃)RX Mapping'!R57-241),IF(AND('(橫掃)RX Mapping'!R57&gt;=361,'(橫掃)RX Mapping'!R57&lt;=480), (-1)*('(橫掃)RX Mapping'!R57-480),IF(AND('(橫掃)RX Mapping'!R57&gt;=481,'(橫掃)RX Mapping'!R57&lt;=600), ('(橫掃)RX Mapping'!R57-361),IF(AND('(橫掃)RX Mapping'!R57&gt;=601,'(橫掃)RX Mapping'!R57&lt;=720), (-1)*('(橫掃)RX Mapping'!R57-720)+120,IF(AND('(橫掃)RX Mapping'!R57&gt;=721,'(橫掃)RX Mapping'!R57&lt;=840), ('(橫掃)RX Mapping'!R57-601),IF(AND('(橫掃)RX Mapping'!R57&gt;=841,'(橫掃)RX Mapping'!R57&lt;=960), (-1)*('(橫掃)RX Mapping'!R57-960)+120,9999))))))))</f>
        <v>9999</v>
      </c>
      <c r="S57">
        <f>IF(AND('(橫掃)RX Mapping'!S57&gt;=1,'(橫掃)RX Mapping'!S57&lt;=120), ('(橫掃)RX Mapping'!S57-1),IF(AND('(橫掃)RX Mapping'!S57&gt;=121,'(橫掃)RX Mapping'!S57&lt;=240), (-1)*('(橫掃)RX Mapping'!S57-240),IF(AND('(橫掃)RX Mapping'!S57&gt;=241,'(橫掃)RX Mapping'!S57&lt;=360), ('(橫掃)RX Mapping'!S57-241),IF(AND('(橫掃)RX Mapping'!S57&gt;=361,'(橫掃)RX Mapping'!S57&lt;=480), (-1)*('(橫掃)RX Mapping'!S57-480),IF(AND('(橫掃)RX Mapping'!S57&gt;=481,'(橫掃)RX Mapping'!S57&lt;=600), ('(橫掃)RX Mapping'!S57-361),IF(AND('(橫掃)RX Mapping'!S57&gt;=601,'(橫掃)RX Mapping'!S57&lt;=720), (-1)*('(橫掃)RX Mapping'!S57-720)+120,IF(AND('(橫掃)RX Mapping'!S57&gt;=721,'(橫掃)RX Mapping'!S57&lt;=840), ('(橫掃)RX Mapping'!S57-601),IF(AND('(橫掃)RX Mapping'!S57&gt;=841,'(橫掃)RX Mapping'!S57&lt;=960), (-1)*('(橫掃)RX Mapping'!S57-960)+120,9999))))))))</f>
        <v>9999</v>
      </c>
      <c r="T57">
        <f>IF(AND('(橫掃)RX Mapping'!T57&gt;=1,'(橫掃)RX Mapping'!T57&lt;=120), ('(橫掃)RX Mapping'!T57-1),IF(AND('(橫掃)RX Mapping'!T57&gt;=121,'(橫掃)RX Mapping'!T57&lt;=240), (-1)*('(橫掃)RX Mapping'!T57-240),IF(AND('(橫掃)RX Mapping'!T57&gt;=241,'(橫掃)RX Mapping'!T57&lt;=360), ('(橫掃)RX Mapping'!T57-241),IF(AND('(橫掃)RX Mapping'!T57&gt;=361,'(橫掃)RX Mapping'!T57&lt;=480), (-1)*('(橫掃)RX Mapping'!T57-480),IF(AND('(橫掃)RX Mapping'!T57&gt;=481,'(橫掃)RX Mapping'!T57&lt;=600), ('(橫掃)RX Mapping'!T57-361),IF(AND('(橫掃)RX Mapping'!T57&gt;=601,'(橫掃)RX Mapping'!T57&lt;=720), (-1)*('(橫掃)RX Mapping'!T57-720)+120,IF(AND('(橫掃)RX Mapping'!T57&gt;=721,'(橫掃)RX Mapping'!T57&lt;=840), ('(橫掃)RX Mapping'!T57-601),IF(AND('(橫掃)RX Mapping'!T57&gt;=841,'(橫掃)RX Mapping'!T57&lt;=960), (-1)*('(橫掃)RX Mapping'!T57-960)+120,9999))))))))</f>
        <v>9999</v>
      </c>
      <c r="U57">
        <f>IF(AND('(橫掃)RX Mapping'!U57&gt;=1,'(橫掃)RX Mapping'!U57&lt;=120), ('(橫掃)RX Mapping'!U57-1),IF(AND('(橫掃)RX Mapping'!U57&gt;=121,'(橫掃)RX Mapping'!U57&lt;=240), (-1)*('(橫掃)RX Mapping'!U57-240),IF(AND('(橫掃)RX Mapping'!U57&gt;=241,'(橫掃)RX Mapping'!U57&lt;=360), ('(橫掃)RX Mapping'!U57-241),IF(AND('(橫掃)RX Mapping'!U57&gt;=361,'(橫掃)RX Mapping'!U57&lt;=480), (-1)*('(橫掃)RX Mapping'!U57-480),IF(AND('(橫掃)RX Mapping'!U57&gt;=481,'(橫掃)RX Mapping'!U57&lt;=600), ('(橫掃)RX Mapping'!U57-361),IF(AND('(橫掃)RX Mapping'!U57&gt;=601,'(橫掃)RX Mapping'!U57&lt;=720), (-1)*('(橫掃)RX Mapping'!U57-720)+120,IF(AND('(橫掃)RX Mapping'!U57&gt;=721,'(橫掃)RX Mapping'!U57&lt;=840), ('(橫掃)RX Mapping'!U57-601),IF(AND('(橫掃)RX Mapping'!U57&gt;=841,'(橫掃)RX Mapping'!U57&lt;=960), (-1)*('(橫掃)RX Mapping'!U57-960)+120,9999))))))))</f>
        <v>9999</v>
      </c>
      <c r="V57">
        <f>IF(AND('(橫掃)RX Mapping'!V57&gt;=1,'(橫掃)RX Mapping'!V57&lt;=120), ('(橫掃)RX Mapping'!V57-1),IF(AND('(橫掃)RX Mapping'!V57&gt;=121,'(橫掃)RX Mapping'!V57&lt;=240), (-1)*('(橫掃)RX Mapping'!V57-240),IF(AND('(橫掃)RX Mapping'!V57&gt;=241,'(橫掃)RX Mapping'!V57&lt;=360), ('(橫掃)RX Mapping'!V57-241),IF(AND('(橫掃)RX Mapping'!V57&gt;=361,'(橫掃)RX Mapping'!V57&lt;=480), (-1)*('(橫掃)RX Mapping'!V57-480),IF(AND('(橫掃)RX Mapping'!V57&gt;=481,'(橫掃)RX Mapping'!V57&lt;=600), ('(橫掃)RX Mapping'!V57-361),IF(AND('(橫掃)RX Mapping'!V57&gt;=601,'(橫掃)RX Mapping'!V57&lt;=720), (-1)*('(橫掃)RX Mapping'!V57-720)+120,IF(AND('(橫掃)RX Mapping'!V57&gt;=721,'(橫掃)RX Mapping'!V57&lt;=840), ('(橫掃)RX Mapping'!V57-601),IF(AND('(橫掃)RX Mapping'!V57&gt;=841,'(橫掃)RX Mapping'!V57&lt;=960), (-1)*('(橫掃)RX Mapping'!V57-960)+120,9999))))))))</f>
        <v>9999</v>
      </c>
      <c r="W57">
        <f>IF(AND('(橫掃)RX Mapping'!W57&gt;=1,'(橫掃)RX Mapping'!W57&lt;=120), ('(橫掃)RX Mapping'!W57-1),IF(AND('(橫掃)RX Mapping'!W57&gt;=121,'(橫掃)RX Mapping'!W57&lt;=240), (-1)*('(橫掃)RX Mapping'!W57-240),IF(AND('(橫掃)RX Mapping'!W57&gt;=241,'(橫掃)RX Mapping'!W57&lt;=360), ('(橫掃)RX Mapping'!W57-241),IF(AND('(橫掃)RX Mapping'!W57&gt;=361,'(橫掃)RX Mapping'!W57&lt;=480), (-1)*('(橫掃)RX Mapping'!W57-480),IF(AND('(橫掃)RX Mapping'!W57&gt;=481,'(橫掃)RX Mapping'!W57&lt;=600), ('(橫掃)RX Mapping'!W57-361),IF(AND('(橫掃)RX Mapping'!W57&gt;=601,'(橫掃)RX Mapping'!W57&lt;=720), (-1)*('(橫掃)RX Mapping'!W57-720)+120,IF(AND('(橫掃)RX Mapping'!W57&gt;=721,'(橫掃)RX Mapping'!W57&lt;=840), ('(橫掃)RX Mapping'!W57-601),IF(AND('(橫掃)RX Mapping'!W57&gt;=841,'(橫掃)RX Mapping'!W57&lt;=960), (-1)*('(橫掃)RX Mapping'!W57-960)+120,9999))))))))</f>
        <v>9999</v>
      </c>
      <c r="X57">
        <f>IF(AND('(橫掃)RX Mapping'!X57&gt;=1,'(橫掃)RX Mapping'!X57&lt;=120), ('(橫掃)RX Mapping'!X57-1),IF(AND('(橫掃)RX Mapping'!X57&gt;=121,'(橫掃)RX Mapping'!X57&lt;=240), (-1)*('(橫掃)RX Mapping'!X57-240),IF(AND('(橫掃)RX Mapping'!X57&gt;=241,'(橫掃)RX Mapping'!X57&lt;=360), ('(橫掃)RX Mapping'!X57-241),IF(AND('(橫掃)RX Mapping'!X57&gt;=361,'(橫掃)RX Mapping'!X57&lt;=480), (-1)*('(橫掃)RX Mapping'!X57-480),IF(AND('(橫掃)RX Mapping'!X57&gt;=481,'(橫掃)RX Mapping'!X57&lt;=600), ('(橫掃)RX Mapping'!X57-361),IF(AND('(橫掃)RX Mapping'!X57&gt;=601,'(橫掃)RX Mapping'!X57&lt;=720), (-1)*('(橫掃)RX Mapping'!X57-720)+120,IF(AND('(橫掃)RX Mapping'!X57&gt;=721,'(橫掃)RX Mapping'!X57&lt;=840), ('(橫掃)RX Mapping'!X57-601),IF(AND('(橫掃)RX Mapping'!X57&gt;=841,'(橫掃)RX Mapping'!X57&lt;=960), (-1)*('(橫掃)RX Mapping'!X57-960)+120,9999))))))))</f>
        <v>9999</v>
      </c>
      <c r="Y57">
        <f>IF(AND('(橫掃)RX Mapping'!Y57&gt;=1,'(橫掃)RX Mapping'!Y57&lt;=120), ('(橫掃)RX Mapping'!Y57-1),IF(AND('(橫掃)RX Mapping'!Y57&gt;=121,'(橫掃)RX Mapping'!Y57&lt;=240), (-1)*('(橫掃)RX Mapping'!Y57-240),IF(AND('(橫掃)RX Mapping'!Y57&gt;=241,'(橫掃)RX Mapping'!Y57&lt;=360), ('(橫掃)RX Mapping'!Y57-241),IF(AND('(橫掃)RX Mapping'!Y57&gt;=361,'(橫掃)RX Mapping'!Y57&lt;=480), (-1)*('(橫掃)RX Mapping'!Y57-480),IF(AND('(橫掃)RX Mapping'!Y57&gt;=481,'(橫掃)RX Mapping'!Y57&lt;=600), ('(橫掃)RX Mapping'!Y57-361),IF(AND('(橫掃)RX Mapping'!Y57&gt;=601,'(橫掃)RX Mapping'!Y57&lt;=720), (-1)*('(橫掃)RX Mapping'!Y57-720)+120,IF(AND('(橫掃)RX Mapping'!Y57&gt;=721,'(橫掃)RX Mapping'!Y57&lt;=840), ('(橫掃)RX Mapping'!Y57-601),IF(AND('(橫掃)RX Mapping'!Y57&gt;=841,'(橫掃)RX Mapping'!Y57&lt;=960), (-1)*('(橫掃)RX Mapping'!Y57-960)+120,9999))))))))</f>
        <v>9999</v>
      </c>
      <c r="Z57">
        <f>IF(AND('(橫掃)RX Mapping'!Z57&gt;=1,'(橫掃)RX Mapping'!Z57&lt;=120), ('(橫掃)RX Mapping'!Z57-1),IF(AND('(橫掃)RX Mapping'!Z57&gt;=121,'(橫掃)RX Mapping'!Z57&lt;=240), (-1)*('(橫掃)RX Mapping'!Z57-240),IF(AND('(橫掃)RX Mapping'!Z57&gt;=241,'(橫掃)RX Mapping'!Z57&lt;=360), ('(橫掃)RX Mapping'!Z57-241),IF(AND('(橫掃)RX Mapping'!Z57&gt;=361,'(橫掃)RX Mapping'!Z57&lt;=480), (-1)*('(橫掃)RX Mapping'!Z57-480),IF(AND('(橫掃)RX Mapping'!Z57&gt;=481,'(橫掃)RX Mapping'!Z57&lt;=600), ('(橫掃)RX Mapping'!Z57-361),IF(AND('(橫掃)RX Mapping'!Z57&gt;=601,'(橫掃)RX Mapping'!Z57&lt;=720), (-1)*('(橫掃)RX Mapping'!Z57-720)+120,IF(AND('(橫掃)RX Mapping'!Z57&gt;=721,'(橫掃)RX Mapping'!Z57&lt;=840), ('(橫掃)RX Mapping'!Z57-601),IF(AND('(橫掃)RX Mapping'!Z57&gt;=841,'(橫掃)RX Mapping'!Z57&lt;=960), (-1)*('(橫掃)RX Mapping'!Z57-960)+120,9999))))))))</f>
        <v>9999</v>
      </c>
      <c r="AA57">
        <f>IF(AND('(橫掃)RX Mapping'!AA57&gt;=1,'(橫掃)RX Mapping'!AA57&lt;=120), ('(橫掃)RX Mapping'!AA57-1),IF(AND('(橫掃)RX Mapping'!AA57&gt;=121,'(橫掃)RX Mapping'!AA57&lt;=240), (-1)*('(橫掃)RX Mapping'!AA57-240),IF(AND('(橫掃)RX Mapping'!AA57&gt;=241,'(橫掃)RX Mapping'!AA57&lt;=360), ('(橫掃)RX Mapping'!AA57-241),IF(AND('(橫掃)RX Mapping'!AA57&gt;=361,'(橫掃)RX Mapping'!AA57&lt;=480), (-1)*('(橫掃)RX Mapping'!AA57-480),IF(AND('(橫掃)RX Mapping'!AA57&gt;=481,'(橫掃)RX Mapping'!AA57&lt;=600), ('(橫掃)RX Mapping'!AA57-361),IF(AND('(橫掃)RX Mapping'!AA57&gt;=601,'(橫掃)RX Mapping'!AA57&lt;=720), (-1)*('(橫掃)RX Mapping'!AA57-720)+120,IF(AND('(橫掃)RX Mapping'!AA57&gt;=721,'(橫掃)RX Mapping'!AA57&lt;=840), ('(橫掃)RX Mapping'!AA57-601),IF(AND('(橫掃)RX Mapping'!AA57&gt;=841,'(橫掃)RX Mapping'!AA57&lt;=960), (-1)*('(橫掃)RX Mapping'!AA57-960)+120,9999))))))))</f>
        <v>9999</v>
      </c>
      <c r="AB57">
        <f>IF(AND('(橫掃)RX Mapping'!AB57&gt;=1,'(橫掃)RX Mapping'!AB57&lt;=120), ('(橫掃)RX Mapping'!AB57-1),IF(AND('(橫掃)RX Mapping'!AB57&gt;=121,'(橫掃)RX Mapping'!AB57&lt;=240), (-1)*('(橫掃)RX Mapping'!AB57-240),IF(AND('(橫掃)RX Mapping'!AB57&gt;=241,'(橫掃)RX Mapping'!AB57&lt;=360), ('(橫掃)RX Mapping'!AB57-241),IF(AND('(橫掃)RX Mapping'!AB57&gt;=361,'(橫掃)RX Mapping'!AB57&lt;=480), (-1)*('(橫掃)RX Mapping'!AB57-480),IF(AND('(橫掃)RX Mapping'!AB57&gt;=481,'(橫掃)RX Mapping'!AB57&lt;=600), ('(橫掃)RX Mapping'!AB57-361),IF(AND('(橫掃)RX Mapping'!AB57&gt;=601,'(橫掃)RX Mapping'!AB57&lt;=720), (-1)*('(橫掃)RX Mapping'!AB57-720)+120,IF(AND('(橫掃)RX Mapping'!AB57&gt;=721,'(橫掃)RX Mapping'!AB57&lt;=840), ('(橫掃)RX Mapping'!AB57-601),IF(AND('(橫掃)RX Mapping'!AB57&gt;=841,'(橫掃)RX Mapping'!AB57&lt;=960), (-1)*('(橫掃)RX Mapping'!AB57-960)+120,9999))))))))</f>
        <v>9999</v>
      </c>
      <c r="AC57">
        <f>IF(AND('(橫掃)RX Mapping'!AC57&gt;=1,'(橫掃)RX Mapping'!AC57&lt;=120), ('(橫掃)RX Mapping'!AC57-1),IF(AND('(橫掃)RX Mapping'!AC57&gt;=121,'(橫掃)RX Mapping'!AC57&lt;=240), (-1)*('(橫掃)RX Mapping'!AC57-240),IF(AND('(橫掃)RX Mapping'!AC57&gt;=241,'(橫掃)RX Mapping'!AC57&lt;=360), ('(橫掃)RX Mapping'!AC57-241),IF(AND('(橫掃)RX Mapping'!AC57&gt;=361,'(橫掃)RX Mapping'!AC57&lt;=480), (-1)*('(橫掃)RX Mapping'!AC57-480),IF(AND('(橫掃)RX Mapping'!AC57&gt;=481,'(橫掃)RX Mapping'!AC57&lt;=600), ('(橫掃)RX Mapping'!AC57-361),IF(AND('(橫掃)RX Mapping'!AC57&gt;=601,'(橫掃)RX Mapping'!AC57&lt;=720), (-1)*('(橫掃)RX Mapping'!AC57-720)+120,IF(AND('(橫掃)RX Mapping'!AC57&gt;=721,'(橫掃)RX Mapping'!AC57&lt;=840), ('(橫掃)RX Mapping'!AC57-601),IF(AND('(橫掃)RX Mapping'!AC57&gt;=841,'(橫掃)RX Mapping'!AC57&lt;=960), (-1)*('(橫掃)RX Mapping'!AC57-960)+120,9999))))))))</f>
        <v>9999</v>
      </c>
      <c r="AD57">
        <f>IF(AND('(橫掃)RX Mapping'!AD57&gt;=1,'(橫掃)RX Mapping'!AD57&lt;=120), ('(橫掃)RX Mapping'!AD57-1),IF(AND('(橫掃)RX Mapping'!AD57&gt;=121,'(橫掃)RX Mapping'!AD57&lt;=240), (-1)*('(橫掃)RX Mapping'!AD57-240),IF(AND('(橫掃)RX Mapping'!AD57&gt;=241,'(橫掃)RX Mapping'!AD57&lt;=360), ('(橫掃)RX Mapping'!AD57-241),IF(AND('(橫掃)RX Mapping'!AD57&gt;=361,'(橫掃)RX Mapping'!AD57&lt;=480), (-1)*('(橫掃)RX Mapping'!AD57-480),IF(AND('(橫掃)RX Mapping'!AD57&gt;=481,'(橫掃)RX Mapping'!AD57&lt;=600), ('(橫掃)RX Mapping'!AD57-361),IF(AND('(橫掃)RX Mapping'!AD57&gt;=601,'(橫掃)RX Mapping'!AD57&lt;=720), (-1)*('(橫掃)RX Mapping'!AD57-720)+120,IF(AND('(橫掃)RX Mapping'!AD57&gt;=721,'(橫掃)RX Mapping'!AD57&lt;=840), ('(橫掃)RX Mapping'!AD57-601),IF(AND('(橫掃)RX Mapping'!AD57&gt;=841,'(橫掃)RX Mapping'!AD57&lt;=960), (-1)*('(橫掃)RX Mapping'!AD57-960)+120,9999))))))))</f>
        <v>9999</v>
      </c>
      <c r="AE57">
        <f>IF(AND('(橫掃)RX Mapping'!AE57&gt;=1,'(橫掃)RX Mapping'!AE57&lt;=120), ('(橫掃)RX Mapping'!AE57-1),IF(AND('(橫掃)RX Mapping'!AE57&gt;=121,'(橫掃)RX Mapping'!AE57&lt;=240), (-1)*('(橫掃)RX Mapping'!AE57-240),IF(AND('(橫掃)RX Mapping'!AE57&gt;=241,'(橫掃)RX Mapping'!AE57&lt;=360), ('(橫掃)RX Mapping'!AE57-241),IF(AND('(橫掃)RX Mapping'!AE57&gt;=361,'(橫掃)RX Mapping'!AE57&lt;=480), (-1)*('(橫掃)RX Mapping'!AE57-480),IF(AND('(橫掃)RX Mapping'!AE57&gt;=481,'(橫掃)RX Mapping'!AE57&lt;=600), ('(橫掃)RX Mapping'!AE57-361),IF(AND('(橫掃)RX Mapping'!AE57&gt;=601,'(橫掃)RX Mapping'!AE57&lt;=720), (-1)*('(橫掃)RX Mapping'!AE57-720)+120,IF(AND('(橫掃)RX Mapping'!AE57&gt;=721,'(橫掃)RX Mapping'!AE57&lt;=840), ('(橫掃)RX Mapping'!AE57-601),IF(AND('(橫掃)RX Mapping'!AE57&gt;=841,'(橫掃)RX Mapping'!AE57&lt;=960), (-1)*('(橫掃)RX Mapping'!AE57-960)+120,9999))))))))</f>
        <v>9999</v>
      </c>
      <c r="AF57">
        <f>IF(AND('(橫掃)RX Mapping'!AF57&gt;=1,'(橫掃)RX Mapping'!AF57&lt;=120), ('(橫掃)RX Mapping'!AF57-1),IF(AND('(橫掃)RX Mapping'!AF57&gt;=121,'(橫掃)RX Mapping'!AF57&lt;=240), (-1)*('(橫掃)RX Mapping'!AF57-240),IF(AND('(橫掃)RX Mapping'!AF57&gt;=241,'(橫掃)RX Mapping'!AF57&lt;=360), ('(橫掃)RX Mapping'!AF57-241),IF(AND('(橫掃)RX Mapping'!AF57&gt;=361,'(橫掃)RX Mapping'!AF57&lt;=480), (-1)*('(橫掃)RX Mapping'!AF57-480),IF(AND('(橫掃)RX Mapping'!AF57&gt;=481,'(橫掃)RX Mapping'!AF57&lt;=600), ('(橫掃)RX Mapping'!AF57-361),IF(AND('(橫掃)RX Mapping'!AF57&gt;=601,'(橫掃)RX Mapping'!AF57&lt;=720), (-1)*('(橫掃)RX Mapping'!AF57-720)+120,IF(AND('(橫掃)RX Mapping'!AF57&gt;=721,'(橫掃)RX Mapping'!AF57&lt;=840), ('(橫掃)RX Mapping'!AF57-601),IF(AND('(橫掃)RX Mapping'!AF57&gt;=841,'(橫掃)RX Mapping'!AF57&lt;=960), (-1)*('(橫掃)RX Mapping'!AF57-960)+120,9999))))))))</f>
        <v>9999</v>
      </c>
      <c r="AG57">
        <f>IF(AND('(橫掃)RX Mapping'!AG57&gt;=1,'(橫掃)RX Mapping'!AG57&lt;=120), ('(橫掃)RX Mapping'!AG57-1),IF(AND('(橫掃)RX Mapping'!AG57&gt;=121,'(橫掃)RX Mapping'!AG57&lt;=240), (-1)*('(橫掃)RX Mapping'!AG57-240),IF(AND('(橫掃)RX Mapping'!AG57&gt;=241,'(橫掃)RX Mapping'!AG57&lt;=360), ('(橫掃)RX Mapping'!AG57-241),IF(AND('(橫掃)RX Mapping'!AG57&gt;=361,'(橫掃)RX Mapping'!AG57&lt;=480), (-1)*('(橫掃)RX Mapping'!AG57-480),IF(AND('(橫掃)RX Mapping'!AG57&gt;=481,'(橫掃)RX Mapping'!AG57&lt;=600), ('(橫掃)RX Mapping'!AG57-361),IF(AND('(橫掃)RX Mapping'!AG57&gt;=601,'(橫掃)RX Mapping'!AG57&lt;=720), (-1)*('(橫掃)RX Mapping'!AG57-720)+120,IF(AND('(橫掃)RX Mapping'!AG57&gt;=721,'(橫掃)RX Mapping'!AG57&lt;=840), ('(橫掃)RX Mapping'!AG57-601),IF(AND('(橫掃)RX Mapping'!AG57&gt;=841,'(橫掃)RX Mapping'!AG57&lt;=960), (-1)*('(橫掃)RX Mapping'!AG57-960)+120,9999))))))))</f>
        <v>9999</v>
      </c>
      <c r="AH57">
        <f>IF(AND('(橫掃)RX Mapping'!AH57&gt;=1,'(橫掃)RX Mapping'!AH57&lt;=120), ('(橫掃)RX Mapping'!AH57-1),IF(AND('(橫掃)RX Mapping'!AH57&gt;=121,'(橫掃)RX Mapping'!AH57&lt;=240), (-1)*('(橫掃)RX Mapping'!AH57-240),IF(AND('(橫掃)RX Mapping'!AH57&gt;=241,'(橫掃)RX Mapping'!AH57&lt;=360), ('(橫掃)RX Mapping'!AH57-241),IF(AND('(橫掃)RX Mapping'!AH57&gt;=361,'(橫掃)RX Mapping'!AH57&lt;=480), (-1)*('(橫掃)RX Mapping'!AH57-480),IF(AND('(橫掃)RX Mapping'!AH57&gt;=481,'(橫掃)RX Mapping'!AH57&lt;=600), ('(橫掃)RX Mapping'!AH57-361),IF(AND('(橫掃)RX Mapping'!AH57&gt;=601,'(橫掃)RX Mapping'!AH57&lt;=720), (-1)*('(橫掃)RX Mapping'!AH57-720)+120,IF(AND('(橫掃)RX Mapping'!AH57&gt;=721,'(橫掃)RX Mapping'!AH57&lt;=840), ('(橫掃)RX Mapping'!AH57-601),IF(AND('(橫掃)RX Mapping'!AH57&gt;=841,'(橫掃)RX Mapping'!AH57&lt;=960), (-1)*('(橫掃)RX Mapping'!AH57-960)+120,9999))))))))</f>
        <v>9999</v>
      </c>
      <c r="AI57">
        <f>IF(AND('(橫掃)RX Mapping'!AI57&gt;=1,'(橫掃)RX Mapping'!AI57&lt;=120), ('(橫掃)RX Mapping'!AI57-1),IF(AND('(橫掃)RX Mapping'!AI57&gt;=121,'(橫掃)RX Mapping'!AI57&lt;=240), (-1)*('(橫掃)RX Mapping'!AI57-240),IF(AND('(橫掃)RX Mapping'!AI57&gt;=241,'(橫掃)RX Mapping'!AI57&lt;=360), ('(橫掃)RX Mapping'!AI57-241),IF(AND('(橫掃)RX Mapping'!AI57&gt;=361,'(橫掃)RX Mapping'!AI57&lt;=480), (-1)*('(橫掃)RX Mapping'!AI57-480),IF(AND('(橫掃)RX Mapping'!AI57&gt;=481,'(橫掃)RX Mapping'!AI57&lt;=600), ('(橫掃)RX Mapping'!AI57-361),IF(AND('(橫掃)RX Mapping'!AI57&gt;=601,'(橫掃)RX Mapping'!AI57&lt;=720), (-1)*('(橫掃)RX Mapping'!AI57-720)+120,IF(AND('(橫掃)RX Mapping'!AI57&gt;=721,'(橫掃)RX Mapping'!AI57&lt;=840), ('(橫掃)RX Mapping'!AI57-601),IF(AND('(橫掃)RX Mapping'!AI57&gt;=841,'(橫掃)RX Mapping'!AI57&lt;=960), (-1)*('(橫掃)RX Mapping'!AI57-960)+120,9999))))))))</f>
        <v>9999</v>
      </c>
      <c r="AJ57">
        <f>IF(AND('(橫掃)RX Mapping'!AJ57&gt;=1,'(橫掃)RX Mapping'!AJ57&lt;=120), ('(橫掃)RX Mapping'!AJ57-1),IF(AND('(橫掃)RX Mapping'!AJ57&gt;=121,'(橫掃)RX Mapping'!AJ57&lt;=240), (-1)*('(橫掃)RX Mapping'!AJ57-240),IF(AND('(橫掃)RX Mapping'!AJ57&gt;=241,'(橫掃)RX Mapping'!AJ57&lt;=360), ('(橫掃)RX Mapping'!AJ57-241),IF(AND('(橫掃)RX Mapping'!AJ57&gt;=361,'(橫掃)RX Mapping'!AJ57&lt;=480), (-1)*('(橫掃)RX Mapping'!AJ57-480),IF(AND('(橫掃)RX Mapping'!AJ57&gt;=481,'(橫掃)RX Mapping'!AJ57&lt;=600), ('(橫掃)RX Mapping'!AJ57-361),IF(AND('(橫掃)RX Mapping'!AJ57&gt;=601,'(橫掃)RX Mapping'!AJ57&lt;=720), (-1)*('(橫掃)RX Mapping'!AJ57-720)+120,IF(AND('(橫掃)RX Mapping'!AJ57&gt;=721,'(橫掃)RX Mapping'!AJ57&lt;=840), ('(橫掃)RX Mapping'!AJ57-601),IF(AND('(橫掃)RX Mapping'!AJ57&gt;=841,'(橫掃)RX Mapping'!AJ57&lt;=960), (-1)*('(橫掃)RX Mapping'!AJ57-960)+120,9999))))))))</f>
        <v>9999</v>
      </c>
      <c r="AK57">
        <f>IF(AND('(橫掃)RX Mapping'!AK57&gt;=1,'(橫掃)RX Mapping'!AK57&lt;=120), ('(橫掃)RX Mapping'!AK57-1),IF(AND('(橫掃)RX Mapping'!AK57&gt;=121,'(橫掃)RX Mapping'!AK57&lt;=240), (-1)*('(橫掃)RX Mapping'!AK57-240),IF(AND('(橫掃)RX Mapping'!AK57&gt;=241,'(橫掃)RX Mapping'!AK57&lt;=360), ('(橫掃)RX Mapping'!AK57-241),IF(AND('(橫掃)RX Mapping'!AK57&gt;=361,'(橫掃)RX Mapping'!AK57&lt;=480), (-1)*('(橫掃)RX Mapping'!AK57-480),IF(AND('(橫掃)RX Mapping'!AK57&gt;=481,'(橫掃)RX Mapping'!AK57&lt;=600), ('(橫掃)RX Mapping'!AK57-361),IF(AND('(橫掃)RX Mapping'!AK57&gt;=601,'(橫掃)RX Mapping'!AK57&lt;=720), (-1)*('(橫掃)RX Mapping'!AK57-720)+120,IF(AND('(橫掃)RX Mapping'!AK57&gt;=721,'(橫掃)RX Mapping'!AK57&lt;=840), ('(橫掃)RX Mapping'!AK57-601),IF(AND('(橫掃)RX Mapping'!AK57&gt;=841,'(橫掃)RX Mapping'!AK57&lt;=960), (-1)*('(橫掃)RX Mapping'!AK57-960)+120,9999))))))))</f>
        <v>9999</v>
      </c>
      <c r="AL57">
        <f>IF(AND('(橫掃)RX Mapping'!AL57&gt;=1,'(橫掃)RX Mapping'!AL57&lt;=120), ('(橫掃)RX Mapping'!AL57-1),IF(AND('(橫掃)RX Mapping'!AL57&gt;=121,'(橫掃)RX Mapping'!AL57&lt;=240), (-1)*('(橫掃)RX Mapping'!AL57-240),IF(AND('(橫掃)RX Mapping'!AL57&gt;=241,'(橫掃)RX Mapping'!AL57&lt;=360), ('(橫掃)RX Mapping'!AL57-241),IF(AND('(橫掃)RX Mapping'!AL57&gt;=361,'(橫掃)RX Mapping'!AL57&lt;=480), (-1)*('(橫掃)RX Mapping'!AL57-480),IF(AND('(橫掃)RX Mapping'!AL57&gt;=481,'(橫掃)RX Mapping'!AL57&lt;=600), ('(橫掃)RX Mapping'!AL57-361),IF(AND('(橫掃)RX Mapping'!AL57&gt;=601,'(橫掃)RX Mapping'!AL57&lt;=720), (-1)*('(橫掃)RX Mapping'!AL57-720)+120,IF(AND('(橫掃)RX Mapping'!AL57&gt;=721,'(橫掃)RX Mapping'!AL57&lt;=840), ('(橫掃)RX Mapping'!AL57-601),IF(AND('(橫掃)RX Mapping'!AL57&gt;=841,'(橫掃)RX Mapping'!AL57&lt;=960), (-1)*('(橫掃)RX Mapping'!AL57-960)+120,9999))))))))</f>
        <v>9999</v>
      </c>
      <c r="AM57">
        <f>IF(AND('(橫掃)RX Mapping'!AM57&gt;=1,'(橫掃)RX Mapping'!AM57&lt;=120), ('(橫掃)RX Mapping'!AM57-1),IF(AND('(橫掃)RX Mapping'!AM57&gt;=121,'(橫掃)RX Mapping'!AM57&lt;=240), (-1)*('(橫掃)RX Mapping'!AM57-240),IF(AND('(橫掃)RX Mapping'!AM57&gt;=241,'(橫掃)RX Mapping'!AM57&lt;=360), ('(橫掃)RX Mapping'!AM57-241),IF(AND('(橫掃)RX Mapping'!AM57&gt;=361,'(橫掃)RX Mapping'!AM57&lt;=480), (-1)*('(橫掃)RX Mapping'!AM57-480),IF(AND('(橫掃)RX Mapping'!AM57&gt;=481,'(橫掃)RX Mapping'!AM57&lt;=600), ('(橫掃)RX Mapping'!AM57-361),IF(AND('(橫掃)RX Mapping'!AM57&gt;=601,'(橫掃)RX Mapping'!AM57&lt;=720), (-1)*('(橫掃)RX Mapping'!AM57-720)+120,IF(AND('(橫掃)RX Mapping'!AM57&gt;=721,'(橫掃)RX Mapping'!AM57&lt;=840), ('(橫掃)RX Mapping'!AM57-601),IF(AND('(橫掃)RX Mapping'!AM57&gt;=841,'(橫掃)RX Mapping'!AM57&lt;=960), (-1)*('(橫掃)RX Mapping'!AM57-960)+120,9999))))))))</f>
        <v>9999</v>
      </c>
      <c r="AN57">
        <f>IF(AND('(橫掃)RX Mapping'!AN57&gt;=1,'(橫掃)RX Mapping'!AN57&lt;=120), ('(橫掃)RX Mapping'!AN57-1),IF(AND('(橫掃)RX Mapping'!AN57&gt;=121,'(橫掃)RX Mapping'!AN57&lt;=240), (-1)*('(橫掃)RX Mapping'!AN57-240),IF(AND('(橫掃)RX Mapping'!AN57&gt;=241,'(橫掃)RX Mapping'!AN57&lt;=360), ('(橫掃)RX Mapping'!AN57-241),IF(AND('(橫掃)RX Mapping'!AN57&gt;=361,'(橫掃)RX Mapping'!AN57&lt;=480), (-1)*('(橫掃)RX Mapping'!AN57-480),IF(AND('(橫掃)RX Mapping'!AN57&gt;=481,'(橫掃)RX Mapping'!AN57&lt;=600), ('(橫掃)RX Mapping'!AN57-361),IF(AND('(橫掃)RX Mapping'!AN57&gt;=601,'(橫掃)RX Mapping'!AN57&lt;=720), (-1)*('(橫掃)RX Mapping'!AN57-720)+120,IF(AND('(橫掃)RX Mapping'!AN57&gt;=721,'(橫掃)RX Mapping'!AN57&lt;=840), ('(橫掃)RX Mapping'!AN57-601),IF(AND('(橫掃)RX Mapping'!AN57&gt;=841,'(橫掃)RX Mapping'!AN57&lt;=960), (-1)*('(橫掃)RX Mapping'!AN57-960)+120,9999))))))))</f>
        <v>9999</v>
      </c>
      <c r="AO57">
        <f>IF(AND('(橫掃)RX Mapping'!AO57&gt;=1,'(橫掃)RX Mapping'!AO57&lt;=120), ('(橫掃)RX Mapping'!AO57-1),IF(AND('(橫掃)RX Mapping'!AO57&gt;=121,'(橫掃)RX Mapping'!AO57&lt;=240), (-1)*('(橫掃)RX Mapping'!AO57-240),IF(AND('(橫掃)RX Mapping'!AO57&gt;=241,'(橫掃)RX Mapping'!AO57&lt;=360), ('(橫掃)RX Mapping'!AO57-241),IF(AND('(橫掃)RX Mapping'!AO57&gt;=361,'(橫掃)RX Mapping'!AO57&lt;=480), (-1)*('(橫掃)RX Mapping'!AO57-480),IF(AND('(橫掃)RX Mapping'!AO57&gt;=481,'(橫掃)RX Mapping'!AO57&lt;=600), ('(橫掃)RX Mapping'!AO57-361),IF(AND('(橫掃)RX Mapping'!AO57&gt;=601,'(橫掃)RX Mapping'!AO57&lt;=720), (-1)*('(橫掃)RX Mapping'!AO57-720)+120,IF(AND('(橫掃)RX Mapping'!AO57&gt;=721,'(橫掃)RX Mapping'!AO57&lt;=840), ('(橫掃)RX Mapping'!AO57-601),IF(AND('(橫掃)RX Mapping'!AO57&gt;=841,'(橫掃)RX Mapping'!AO57&lt;=960), (-1)*('(橫掃)RX Mapping'!AO57-960)+120,9999))))))))</f>
        <v>9999</v>
      </c>
      <c r="AP57">
        <f>IF(AND('(橫掃)RX Mapping'!AP57&gt;=1,'(橫掃)RX Mapping'!AP57&lt;=120), ('(橫掃)RX Mapping'!AP57-1),IF(AND('(橫掃)RX Mapping'!AP57&gt;=121,'(橫掃)RX Mapping'!AP57&lt;=240), (-1)*('(橫掃)RX Mapping'!AP57-240),IF(AND('(橫掃)RX Mapping'!AP57&gt;=241,'(橫掃)RX Mapping'!AP57&lt;=360), ('(橫掃)RX Mapping'!AP57-241),IF(AND('(橫掃)RX Mapping'!AP57&gt;=361,'(橫掃)RX Mapping'!AP57&lt;=480), (-1)*('(橫掃)RX Mapping'!AP57-480),IF(AND('(橫掃)RX Mapping'!AP57&gt;=481,'(橫掃)RX Mapping'!AP57&lt;=600), ('(橫掃)RX Mapping'!AP57-361),IF(AND('(橫掃)RX Mapping'!AP57&gt;=601,'(橫掃)RX Mapping'!AP57&lt;=720), (-1)*('(橫掃)RX Mapping'!AP57-720)+120,IF(AND('(橫掃)RX Mapping'!AP57&gt;=721,'(橫掃)RX Mapping'!AP57&lt;=840), ('(橫掃)RX Mapping'!AP57-601),IF(AND('(橫掃)RX Mapping'!AP57&gt;=841,'(橫掃)RX Mapping'!AP57&lt;=960), (-1)*('(橫掃)RX Mapping'!AP57-960)+120,9999))))))))</f>
        <v>9999</v>
      </c>
      <c r="AQ57">
        <f>IF(AND('(橫掃)RX Mapping'!AQ57&gt;=1,'(橫掃)RX Mapping'!AQ57&lt;=120), ('(橫掃)RX Mapping'!AQ57-1),IF(AND('(橫掃)RX Mapping'!AQ57&gt;=121,'(橫掃)RX Mapping'!AQ57&lt;=240), (-1)*('(橫掃)RX Mapping'!AQ57-240),IF(AND('(橫掃)RX Mapping'!AQ57&gt;=241,'(橫掃)RX Mapping'!AQ57&lt;=360), ('(橫掃)RX Mapping'!AQ57-241),IF(AND('(橫掃)RX Mapping'!AQ57&gt;=361,'(橫掃)RX Mapping'!AQ57&lt;=480), (-1)*('(橫掃)RX Mapping'!AQ57-480),IF(AND('(橫掃)RX Mapping'!AQ57&gt;=481,'(橫掃)RX Mapping'!AQ57&lt;=600), ('(橫掃)RX Mapping'!AQ57-361),IF(AND('(橫掃)RX Mapping'!AQ57&gt;=601,'(橫掃)RX Mapping'!AQ57&lt;=720), (-1)*('(橫掃)RX Mapping'!AQ57-720)+120,IF(AND('(橫掃)RX Mapping'!AQ57&gt;=721,'(橫掃)RX Mapping'!AQ57&lt;=840), ('(橫掃)RX Mapping'!AQ57-601),IF(AND('(橫掃)RX Mapping'!AQ57&gt;=841,'(橫掃)RX Mapping'!AQ57&lt;=960), (-1)*('(橫掃)RX Mapping'!AQ57-960)+120,9999))))))))</f>
        <v>9999</v>
      </c>
      <c r="AR57">
        <f>IF(AND('(橫掃)RX Mapping'!AR57&gt;=1,'(橫掃)RX Mapping'!AR57&lt;=120), ('(橫掃)RX Mapping'!AR57-1),IF(AND('(橫掃)RX Mapping'!AR57&gt;=121,'(橫掃)RX Mapping'!AR57&lt;=240), (-1)*('(橫掃)RX Mapping'!AR57-240),IF(AND('(橫掃)RX Mapping'!AR57&gt;=241,'(橫掃)RX Mapping'!AR57&lt;=360), ('(橫掃)RX Mapping'!AR57-241),IF(AND('(橫掃)RX Mapping'!AR57&gt;=361,'(橫掃)RX Mapping'!AR57&lt;=480), (-1)*('(橫掃)RX Mapping'!AR57-480),IF(AND('(橫掃)RX Mapping'!AR57&gt;=481,'(橫掃)RX Mapping'!AR57&lt;=600), ('(橫掃)RX Mapping'!AR57-361),IF(AND('(橫掃)RX Mapping'!AR57&gt;=601,'(橫掃)RX Mapping'!AR57&lt;=720), (-1)*('(橫掃)RX Mapping'!AR57-720)+120,IF(AND('(橫掃)RX Mapping'!AR57&gt;=721,'(橫掃)RX Mapping'!AR57&lt;=840), ('(橫掃)RX Mapping'!AR57-601),IF(AND('(橫掃)RX Mapping'!AR57&gt;=841,'(橫掃)RX Mapping'!AR57&lt;=960), (-1)*('(橫掃)RX Mapping'!AR57-960)+120,9999))))))))</f>
        <v>9999</v>
      </c>
      <c r="AS57">
        <f>IF(AND('(橫掃)RX Mapping'!AS57&gt;=1,'(橫掃)RX Mapping'!AS57&lt;=120), ('(橫掃)RX Mapping'!AS57-1),IF(AND('(橫掃)RX Mapping'!AS57&gt;=121,'(橫掃)RX Mapping'!AS57&lt;=240), (-1)*('(橫掃)RX Mapping'!AS57-240),IF(AND('(橫掃)RX Mapping'!AS57&gt;=241,'(橫掃)RX Mapping'!AS57&lt;=360), ('(橫掃)RX Mapping'!AS57-241),IF(AND('(橫掃)RX Mapping'!AS57&gt;=361,'(橫掃)RX Mapping'!AS57&lt;=480), (-1)*('(橫掃)RX Mapping'!AS57-480),IF(AND('(橫掃)RX Mapping'!AS57&gt;=481,'(橫掃)RX Mapping'!AS57&lt;=600), ('(橫掃)RX Mapping'!AS57-361),IF(AND('(橫掃)RX Mapping'!AS57&gt;=601,'(橫掃)RX Mapping'!AS57&lt;=720), (-1)*('(橫掃)RX Mapping'!AS57-720)+120,IF(AND('(橫掃)RX Mapping'!AS57&gt;=721,'(橫掃)RX Mapping'!AS57&lt;=840), ('(橫掃)RX Mapping'!AS57-601),IF(AND('(橫掃)RX Mapping'!AS57&gt;=841,'(橫掃)RX Mapping'!AS57&lt;=960), (-1)*('(橫掃)RX Mapping'!AS57-960)+120,9999))))))))</f>
        <v>9999</v>
      </c>
      <c r="AT57">
        <f>IF(AND('(橫掃)RX Mapping'!AT57&gt;=1,'(橫掃)RX Mapping'!AT57&lt;=120), ('(橫掃)RX Mapping'!AT57-1),IF(AND('(橫掃)RX Mapping'!AT57&gt;=121,'(橫掃)RX Mapping'!AT57&lt;=240), (-1)*('(橫掃)RX Mapping'!AT57-240),IF(AND('(橫掃)RX Mapping'!AT57&gt;=241,'(橫掃)RX Mapping'!AT57&lt;=360), ('(橫掃)RX Mapping'!AT57-241),IF(AND('(橫掃)RX Mapping'!AT57&gt;=361,'(橫掃)RX Mapping'!AT57&lt;=480), (-1)*('(橫掃)RX Mapping'!AT57-480),IF(AND('(橫掃)RX Mapping'!AT57&gt;=481,'(橫掃)RX Mapping'!AT57&lt;=600), ('(橫掃)RX Mapping'!AT57-361),IF(AND('(橫掃)RX Mapping'!AT57&gt;=601,'(橫掃)RX Mapping'!AT57&lt;=720), (-1)*('(橫掃)RX Mapping'!AT57-720)+120,IF(AND('(橫掃)RX Mapping'!AT57&gt;=721,'(橫掃)RX Mapping'!AT57&lt;=840), ('(橫掃)RX Mapping'!AT57-601),IF(AND('(橫掃)RX Mapping'!AT57&gt;=841,'(橫掃)RX Mapping'!AT57&lt;=960), (-1)*('(橫掃)RX Mapping'!AT57-960)+120,9999))))))))</f>
        <v>9999</v>
      </c>
      <c r="AU57">
        <f>IF(AND('(橫掃)RX Mapping'!AU57&gt;=1,'(橫掃)RX Mapping'!AU57&lt;=120), ('(橫掃)RX Mapping'!AU57-1),IF(AND('(橫掃)RX Mapping'!AU57&gt;=121,'(橫掃)RX Mapping'!AU57&lt;=240), (-1)*('(橫掃)RX Mapping'!AU57-240),IF(AND('(橫掃)RX Mapping'!AU57&gt;=241,'(橫掃)RX Mapping'!AU57&lt;=360), ('(橫掃)RX Mapping'!AU57-241),IF(AND('(橫掃)RX Mapping'!AU57&gt;=361,'(橫掃)RX Mapping'!AU57&lt;=480), (-1)*('(橫掃)RX Mapping'!AU57-480),IF(AND('(橫掃)RX Mapping'!AU57&gt;=481,'(橫掃)RX Mapping'!AU57&lt;=600), ('(橫掃)RX Mapping'!AU57-361),IF(AND('(橫掃)RX Mapping'!AU57&gt;=601,'(橫掃)RX Mapping'!AU57&lt;=720), (-1)*('(橫掃)RX Mapping'!AU57-720)+120,IF(AND('(橫掃)RX Mapping'!AU57&gt;=721,'(橫掃)RX Mapping'!AU57&lt;=840), ('(橫掃)RX Mapping'!AU57-601),IF(AND('(橫掃)RX Mapping'!AU57&gt;=841,'(橫掃)RX Mapping'!AU57&lt;=960), (-1)*('(橫掃)RX Mapping'!AU57-960)+120,9999))))))))</f>
        <v>9999</v>
      </c>
      <c r="AV57">
        <f>IF(AND('(橫掃)RX Mapping'!AV57&gt;=1,'(橫掃)RX Mapping'!AV57&lt;=120), ('(橫掃)RX Mapping'!AV57-1),IF(AND('(橫掃)RX Mapping'!AV57&gt;=121,'(橫掃)RX Mapping'!AV57&lt;=240), (-1)*('(橫掃)RX Mapping'!AV57-240),IF(AND('(橫掃)RX Mapping'!AV57&gt;=241,'(橫掃)RX Mapping'!AV57&lt;=360), ('(橫掃)RX Mapping'!AV57-241),IF(AND('(橫掃)RX Mapping'!AV57&gt;=361,'(橫掃)RX Mapping'!AV57&lt;=480), (-1)*('(橫掃)RX Mapping'!AV57-480),IF(AND('(橫掃)RX Mapping'!AV57&gt;=481,'(橫掃)RX Mapping'!AV57&lt;=600), ('(橫掃)RX Mapping'!AV57-361),IF(AND('(橫掃)RX Mapping'!AV57&gt;=601,'(橫掃)RX Mapping'!AV57&lt;=720), (-1)*('(橫掃)RX Mapping'!AV57-720)+120,IF(AND('(橫掃)RX Mapping'!AV57&gt;=721,'(橫掃)RX Mapping'!AV57&lt;=840), ('(橫掃)RX Mapping'!AV57-601),IF(AND('(橫掃)RX Mapping'!AV57&gt;=841,'(橫掃)RX Mapping'!AV57&lt;=960), (-1)*('(橫掃)RX Mapping'!AV57-960)+120,9999))))))))</f>
        <v>9999</v>
      </c>
      <c r="AW57">
        <f>IF(AND('(橫掃)RX Mapping'!AW57&gt;=1,'(橫掃)RX Mapping'!AW57&lt;=120), ('(橫掃)RX Mapping'!AW57-1),IF(AND('(橫掃)RX Mapping'!AW57&gt;=121,'(橫掃)RX Mapping'!AW57&lt;=240), (-1)*('(橫掃)RX Mapping'!AW57-240),IF(AND('(橫掃)RX Mapping'!AW57&gt;=241,'(橫掃)RX Mapping'!AW57&lt;=360), ('(橫掃)RX Mapping'!AW57-241),IF(AND('(橫掃)RX Mapping'!AW57&gt;=361,'(橫掃)RX Mapping'!AW57&lt;=480), (-1)*('(橫掃)RX Mapping'!AW57-480),IF(AND('(橫掃)RX Mapping'!AW57&gt;=481,'(橫掃)RX Mapping'!AW57&lt;=600), ('(橫掃)RX Mapping'!AW57-361),IF(AND('(橫掃)RX Mapping'!AW57&gt;=601,'(橫掃)RX Mapping'!AW57&lt;=720), (-1)*('(橫掃)RX Mapping'!AW57-720)+120,IF(AND('(橫掃)RX Mapping'!AW57&gt;=721,'(橫掃)RX Mapping'!AW57&lt;=840), ('(橫掃)RX Mapping'!AW57-601),IF(AND('(橫掃)RX Mapping'!AW57&gt;=841,'(橫掃)RX Mapping'!AW57&lt;=960), (-1)*('(橫掃)RX Mapping'!AW57-960)+120,9999))))))))</f>
        <v>9999</v>
      </c>
      <c r="AX57">
        <f>IF(AND('(橫掃)RX Mapping'!AX57&gt;=1,'(橫掃)RX Mapping'!AX57&lt;=120), ('(橫掃)RX Mapping'!AX57-1),IF(AND('(橫掃)RX Mapping'!AX57&gt;=121,'(橫掃)RX Mapping'!AX57&lt;=240), (-1)*('(橫掃)RX Mapping'!AX57-240),IF(AND('(橫掃)RX Mapping'!AX57&gt;=241,'(橫掃)RX Mapping'!AX57&lt;=360), ('(橫掃)RX Mapping'!AX57-241),IF(AND('(橫掃)RX Mapping'!AX57&gt;=361,'(橫掃)RX Mapping'!AX57&lt;=480), (-1)*('(橫掃)RX Mapping'!AX57-480),IF(AND('(橫掃)RX Mapping'!AX57&gt;=481,'(橫掃)RX Mapping'!AX57&lt;=600), ('(橫掃)RX Mapping'!AX57-361),IF(AND('(橫掃)RX Mapping'!AX57&gt;=601,'(橫掃)RX Mapping'!AX57&lt;=720), (-1)*('(橫掃)RX Mapping'!AX57-720)+120,IF(AND('(橫掃)RX Mapping'!AX57&gt;=721,'(橫掃)RX Mapping'!AX57&lt;=840), ('(橫掃)RX Mapping'!AX57-601),IF(AND('(橫掃)RX Mapping'!AX57&gt;=841,'(橫掃)RX Mapping'!AX57&lt;=960), (-1)*('(橫掃)RX Mapping'!AX57-960)+120,9999))))))))</f>
        <v>9999</v>
      </c>
      <c r="AY57">
        <f>IF(AND('(橫掃)RX Mapping'!AY57&gt;=1,'(橫掃)RX Mapping'!AY57&lt;=120), ('(橫掃)RX Mapping'!AY57-1),IF(AND('(橫掃)RX Mapping'!AY57&gt;=121,'(橫掃)RX Mapping'!AY57&lt;=240), (-1)*('(橫掃)RX Mapping'!AY57-240),IF(AND('(橫掃)RX Mapping'!AY57&gt;=241,'(橫掃)RX Mapping'!AY57&lt;=360), ('(橫掃)RX Mapping'!AY57-241),IF(AND('(橫掃)RX Mapping'!AY57&gt;=361,'(橫掃)RX Mapping'!AY57&lt;=480), (-1)*('(橫掃)RX Mapping'!AY57-480),IF(AND('(橫掃)RX Mapping'!AY57&gt;=481,'(橫掃)RX Mapping'!AY57&lt;=600), ('(橫掃)RX Mapping'!AY57-361),IF(AND('(橫掃)RX Mapping'!AY57&gt;=601,'(橫掃)RX Mapping'!AY57&lt;=720), (-1)*('(橫掃)RX Mapping'!AY57-720)+120,IF(AND('(橫掃)RX Mapping'!AY57&gt;=721,'(橫掃)RX Mapping'!AY57&lt;=840), ('(橫掃)RX Mapping'!AY57-601),IF(AND('(橫掃)RX Mapping'!AY57&gt;=841,'(橫掃)RX Mapping'!AY57&lt;=960), (-1)*('(橫掃)RX Mapping'!AY57-960)+120,9999))))))))</f>
        <v>9999</v>
      </c>
      <c r="AZ57">
        <f>IF(AND('(橫掃)RX Mapping'!AZ57&gt;=1,'(橫掃)RX Mapping'!AZ57&lt;=120), ('(橫掃)RX Mapping'!AZ57-1),IF(AND('(橫掃)RX Mapping'!AZ57&gt;=121,'(橫掃)RX Mapping'!AZ57&lt;=240), (-1)*('(橫掃)RX Mapping'!AZ57-240),IF(AND('(橫掃)RX Mapping'!AZ57&gt;=241,'(橫掃)RX Mapping'!AZ57&lt;=360), ('(橫掃)RX Mapping'!AZ57-241),IF(AND('(橫掃)RX Mapping'!AZ57&gt;=361,'(橫掃)RX Mapping'!AZ57&lt;=480), (-1)*('(橫掃)RX Mapping'!AZ57-480),IF(AND('(橫掃)RX Mapping'!AZ57&gt;=481,'(橫掃)RX Mapping'!AZ57&lt;=600), ('(橫掃)RX Mapping'!AZ57-361),IF(AND('(橫掃)RX Mapping'!AZ57&gt;=601,'(橫掃)RX Mapping'!AZ57&lt;=720), (-1)*('(橫掃)RX Mapping'!AZ57-720)+120,IF(AND('(橫掃)RX Mapping'!AZ57&gt;=721,'(橫掃)RX Mapping'!AZ57&lt;=840), ('(橫掃)RX Mapping'!AZ57-601),IF(AND('(橫掃)RX Mapping'!AZ57&gt;=841,'(橫掃)RX Mapping'!AZ57&lt;=960), (-1)*('(橫掃)RX Mapping'!AZ57-960)+120,9999))))))))</f>
        <v>9999</v>
      </c>
      <c r="BA57">
        <f>IF(AND('(橫掃)RX Mapping'!BA57&gt;=1,'(橫掃)RX Mapping'!BA57&lt;=120), ('(橫掃)RX Mapping'!BA57-1),IF(AND('(橫掃)RX Mapping'!BA57&gt;=121,'(橫掃)RX Mapping'!BA57&lt;=240), (-1)*('(橫掃)RX Mapping'!BA57-240),IF(AND('(橫掃)RX Mapping'!BA57&gt;=241,'(橫掃)RX Mapping'!BA57&lt;=360), ('(橫掃)RX Mapping'!BA57-241),IF(AND('(橫掃)RX Mapping'!BA57&gt;=361,'(橫掃)RX Mapping'!BA57&lt;=480), (-1)*('(橫掃)RX Mapping'!BA57-480),IF(AND('(橫掃)RX Mapping'!BA57&gt;=481,'(橫掃)RX Mapping'!BA57&lt;=600), ('(橫掃)RX Mapping'!BA57-361),IF(AND('(橫掃)RX Mapping'!BA57&gt;=601,'(橫掃)RX Mapping'!BA57&lt;=720), (-1)*('(橫掃)RX Mapping'!BA57-720)+120,IF(AND('(橫掃)RX Mapping'!BA57&gt;=721,'(橫掃)RX Mapping'!BA57&lt;=840), ('(橫掃)RX Mapping'!BA57-601),IF(AND('(橫掃)RX Mapping'!BA57&gt;=841,'(橫掃)RX Mapping'!BA57&lt;=960), (-1)*('(橫掃)RX Mapping'!BA57-960)+120,9999))))))))</f>
        <v>9999</v>
      </c>
      <c r="BB57">
        <f>IF(AND('(橫掃)RX Mapping'!BB57&gt;=1,'(橫掃)RX Mapping'!BB57&lt;=120), ('(橫掃)RX Mapping'!BB57-1),IF(AND('(橫掃)RX Mapping'!BB57&gt;=121,'(橫掃)RX Mapping'!BB57&lt;=240), (-1)*('(橫掃)RX Mapping'!BB57-240),IF(AND('(橫掃)RX Mapping'!BB57&gt;=241,'(橫掃)RX Mapping'!BB57&lt;=360), ('(橫掃)RX Mapping'!BB57-241),IF(AND('(橫掃)RX Mapping'!BB57&gt;=361,'(橫掃)RX Mapping'!BB57&lt;=480), (-1)*('(橫掃)RX Mapping'!BB57-480),IF(AND('(橫掃)RX Mapping'!BB57&gt;=481,'(橫掃)RX Mapping'!BB57&lt;=600), ('(橫掃)RX Mapping'!BB57-361),IF(AND('(橫掃)RX Mapping'!BB57&gt;=601,'(橫掃)RX Mapping'!BB57&lt;=720), (-1)*('(橫掃)RX Mapping'!BB57-720)+120,IF(AND('(橫掃)RX Mapping'!BB57&gt;=721,'(橫掃)RX Mapping'!BB57&lt;=840), ('(橫掃)RX Mapping'!BB57-601),IF(AND('(橫掃)RX Mapping'!BB57&gt;=841,'(橫掃)RX Mapping'!BB57&lt;=960), (-1)*('(橫掃)RX Mapping'!BB57-960)+120,9999))))))))</f>
        <v>9999</v>
      </c>
      <c r="BC57">
        <f>IF(AND('(橫掃)RX Mapping'!BC57&gt;=1,'(橫掃)RX Mapping'!BC57&lt;=120), ('(橫掃)RX Mapping'!BC57-1),IF(AND('(橫掃)RX Mapping'!BC57&gt;=121,'(橫掃)RX Mapping'!BC57&lt;=240), (-1)*('(橫掃)RX Mapping'!BC57-240),IF(AND('(橫掃)RX Mapping'!BC57&gt;=241,'(橫掃)RX Mapping'!BC57&lt;=360), ('(橫掃)RX Mapping'!BC57-241),IF(AND('(橫掃)RX Mapping'!BC57&gt;=361,'(橫掃)RX Mapping'!BC57&lt;=480), (-1)*('(橫掃)RX Mapping'!BC57-480),IF(AND('(橫掃)RX Mapping'!BC57&gt;=481,'(橫掃)RX Mapping'!BC57&lt;=600), ('(橫掃)RX Mapping'!BC57-361),IF(AND('(橫掃)RX Mapping'!BC57&gt;=601,'(橫掃)RX Mapping'!BC57&lt;=720), (-1)*('(橫掃)RX Mapping'!BC57-720)+120,IF(AND('(橫掃)RX Mapping'!BC57&gt;=721,'(橫掃)RX Mapping'!BC57&lt;=840), ('(橫掃)RX Mapping'!BC57-601),IF(AND('(橫掃)RX Mapping'!BC57&gt;=841,'(橫掃)RX Mapping'!BC57&lt;=960), (-1)*('(橫掃)RX Mapping'!BC57-960)+120,9999))))))))</f>
        <v>9999</v>
      </c>
      <c r="BD57">
        <f>IF(AND('(橫掃)RX Mapping'!BD57&gt;=1,'(橫掃)RX Mapping'!BD57&lt;=120), ('(橫掃)RX Mapping'!BD57-1),IF(AND('(橫掃)RX Mapping'!BD57&gt;=121,'(橫掃)RX Mapping'!BD57&lt;=240), (-1)*('(橫掃)RX Mapping'!BD57-240),IF(AND('(橫掃)RX Mapping'!BD57&gt;=241,'(橫掃)RX Mapping'!BD57&lt;=360), ('(橫掃)RX Mapping'!BD57-241),IF(AND('(橫掃)RX Mapping'!BD57&gt;=361,'(橫掃)RX Mapping'!BD57&lt;=480), (-1)*('(橫掃)RX Mapping'!BD57-480),IF(AND('(橫掃)RX Mapping'!BD57&gt;=481,'(橫掃)RX Mapping'!BD57&lt;=600), ('(橫掃)RX Mapping'!BD57-361),IF(AND('(橫掃)RX Mapping'!BD57&gt;=601,'(橫掃)RX Mapping'!BD57&lt;=720), (-1)*('(橫掃)RX Mapping'!BD57-720)+120,IF(AND('(橫掃)RX Mapping'!BD57&gt;=721,'(橫掃)RX Mapping'!BD57&lt;=840), ('(橫掃)RX Mapping'!BD57-601),IF(AND('(橫掃)RX Mapping'!BD57&gt;=841,'(橫掃)RX Mapping'!BD57&lt;=960), (-1)*('(橫掃)RX Mapping'!BD57-960)+120,9999))))))))</f>
        <v>9999</v>
      </c>
      <c r="BE57">
        <f>IF(AND('(橫掃)RX Mapping'!BE57&gt;=1,'(橫掃)RX Mapping'!BE57&lt;=120), ('(橫掃)RX Mapping'!BE57-1),IF(AND('(橫掃)RX Mapping'!BE57&gt;=121,'(橫掃)RX Mapping'!BE57&lt;=240), (-1)*('(橫掃)RX Mapping'!BE57-240),IF(AND('(橫掃)RX Mapping'!BE57&gt;=241,'(橫掃)RX Mapping'!BE57&lt;=360), ('(橫掃)RX Mapping'!BE57-241),IF(AND('(橫掃)RX Mapping'!BE57&gt;=361,'(橫掃)RX Mapping'!BE57&lt;=480), (-1)*('(橫掃)RX Mapping'!BE57-480),IF(AND('(橫掃)RX Mapping'!BE57&gt;=481,'(橫掃)RX Mapping'!BE57&lt;=600), ('(橫掃)RX Mapping'!BE57-361),IF(AND('(橫掃)RX Mapping'!BE57&gt;=601,'(橫掃)RX Mapping'!BE57&lt;=720), (-1)*('(橫掃)RX Mapping'!BE57-720)+120,IF(AND('(橫掃)RX Mapping'!BE57&gt;=721,'(橫掃)RX Mapping'!BE57&lt;=840), ('(橫掃)RX Mapping'!BE57-601),IF(AND('(橫掃)RX Mapping'!BE57&gt;=841,'(橫掃)RX Mapping'!BE57&lt;=960), (-1)*('(橫掃)RX Mapping'!BE57-960)+120,9999))))))))</f>
        <v>9999</v>
      </c>
      <c r="BF57">
        <f>IF(AND('(橫掃)RX Mapping'!BF57&gt;=1,'(橫掃)RX Mapping'!BF57&lt;=120), ('(橫掃)RX Mapping'!BF57-1),IF(AND('(橫掃)RX Mapping'!BF57&gt;=121,'(橫掃)RX Mapping'!BF57&lt;=240), (-1)*('(橫掃)RX Mapping'!BF57-240),IF(AND('(橫掃)RX Mapping'!BF57&gt;=241,'(橫掃)RX Mapping'!BF57&lt;=360), ('(橫掃)RX Mapping'!BF57-241),IF(AND('(橫掃)RX Mapping'!BF57&gt;=361,'(橫掃)RX Mapping'!BF57&lt;=480), (-1)*('(橫掃)RX Mapping'!BF57-480),IF(AND('(橫掃)RX Mapping'!BF57&gt;=481,'(橫掃)RX Mapping'!BF57&lt;=600), ('(橫掃)RX Mapping'!BF57-361),IF(AND('(橫掃)RX Mapping'!BF57&gt;=601,'(橫掃)RX Mapping'!BF57&lt;=720), (-1)*('(橫掃)RX Mapping'!BF57-720)+120,IF(AND('(橫掃)RX Mapping'!BF57&gt;=721,'(橫掃)RX Mapping'!BF57&lt;=840), ('(橫掃)RX Mapping'!BF57-601),IF(AND('(橫掃)RX Mapping'!BF57&gt;=841,'(橫掃)RX Mapping'!BF57&lt;=960), (-1)*('(橫掃)RX Mapping'!BF57-960)+120,9999))))))))</f>
        <v>9999</v>
      </c>
      <c r="BG57">
        <f>IF(AND('(橫掃)RX Mapping'!BG57&gt;=1,'(橫掃)RX Mapping'!BG57&lt;=120), ('(橫掃)RX Mapping'!BG57-1),IF(AND('(橫掃)RX Mapping'!BG57&gt;=121,'(橫掃)RX Mapping'!BG57&lt;=240), (-1)*('(橫掃)RX Mapping'!BG57-240),IF(AND('(橫掃)RX Mapping'!BG57&gt;=241,'(橫掃)RX Mapping'!BG57&lt;=360), ('(橫掃)RX Mapping'!BG57-241),IF(AND('(橫掃)RX Mapping'!BG57&gt;=361,'(橫掃)RX Mapping'!BG57&lt;=480), (-1)*('(橫掃)RX Mapping'!BG57-480),IF(AND('(橫掃)RX Mapping'!BG57&gt;=481,'(橫掃)RX Mapping'!BG57&lt;=600), ('(橫掃)RX Mapping'!BG57-361),IF(AND('(橫掃)RX Mapping'!BG57&gt;=601,'(橫掃)RX Mapping'!BG57&lt;=720), (-1)*('(橫掃)RX Mapping'!BG57-720)+120,IF(AND('(橫掃)RX Mapping'!BG57&gt;=721,'(橫掃)RX Mapping'!BG57&lt;=840), ('(橫掃)RX Mapping'!BG57-601),IF(AND('(橫掃)RX Mapping'!BG57&gt;=841,'(橫掃)RX Mapping'!BG57&lt;=960), (-1)*('(橫掃)RX Mapping'!BG57-960)+120,9999))))))))</f>
        <v>9999</v>
      </c>
      <c r="BH57">
        <f>IF(AND('(橫掃)RX Mapping'!BH57&gt;=1,'(橫掃)RX Mapping'!BH57&lt;=120), ('(橫掃)RX Mapping'!BH57-1),IF(AND('(橫掃)RX Mapping'!BH57&gt;=121,'(橫掃)RX Mapping'!BH57&lt;=240), (-1)*('(橫掃)RX Mapping'!BH57-240),IF(AND('(橫掃)RX Mapping'!BH57&gt;=241,'(橫掃)RX Mapping'!BH57&lt;=360), ('(橫掃)RX Mapping'!BH57-241),IF(AND('(橫掃)RX Mapping'!BH57&gt;=361,'(橫掃)RX Mapping'!BH57&lt;=480), (-1)*('(橫掃)RX Mapping'!BH57-480),IF(AND('(橫掃)RX Mapping'!BH57&gt;=481,'(橫掃)RX Mapping'!BH57&lt;=600), ('(橫掃)RX Mapping'!BH57-361),IF(AND('(橫掃)RX Mapping'!BH57&gt;=601,'(橫掃)RX Mapping'!BH57&lt;=720), (-1)*('(橫掃)RX Mapping'!BH57-720)+120,IF(AND('(橫掃)RX Mapping'!BH57&gt;=721,'(橫掃)RX Mapping'!BH57&lt;=840), ('(橫掃)RX Mapping'!BH57-601),IF(AND('(橫掃)RX Mapping'!BH57&gt;=841,'(橫掃)RX Mapping'!BH57&lt;=960), (-1)*('(橫掃)RX Mapping'!BH57-960)+120,9999))))))))</f>
        <v>9999</v>
      </c>
      <c r="BI57">
        <f>IF(AND('(橫掃)RX Mapping'!BI57&gt;=1,'(橫掃)RX Mapping'!BI57&lt;=120), ('(橫掃)RX Mapping'!BI57-1),IF(AND('(橫掃)RX Mapping'!BI57&gt;=121,'(橫掃)RX Mapping'!BI57&lt;=240), (-1)*('(橫掃)RX Mapping'!BI57-240),IF(AND('(橫掃)RX Mapping'!BI57&gt;=241,'(橫掃)RX Mapping'!BI57&lt;=360), ('(橫掃)RX Mapping'!BI57-241),IF(AND('(橫掃)RX Mapping'!BI57&gt;=361,'(橫掃)RX Mapping'!BI57&lt;=480), (-1)*('(橫掃)RX Mapping'!BI57-480),IF(AND('(橫掃)RX Mapping'!BI57&gt;=481,'(橫掃)RX Mapping'!BI57&lt;=600), ('(橫掃)RX Mapping'!BI57-361),IF(AND('(橫掃)RX Mapping'!BI57&gt;=601,'(橫掃)RX Mapping'!BI57&lt;=720), (-1)*('(橫掃)RX Mapping'!BI57-720)+120,IF(AND('(橫掃)RX Mapping'!BI57&gt;=721,'(橫掃)RX Mapping'!BI57&lt;=840), ('(橫掃)RX Mapping'!BI57-601),IF(AND('(橫掃)RX Mapping'!BI57&gt;=841,'(橫掃)RX Mapping'!BI57&lt;=960), (-1)*('(橫掃)RX Mapping'!BI57-960)+120,9999))))))))</f>
        <v>9999</v>
      </c>
    </row>
    <row r="58" spans="1:61" x14ac:dyDescent="0.25">
      <c r="A58" s="20">
        <v>57</v>
      </c>
      <c r="B58">
        <f>IF(AND('(橫掃)RX Mapping'!B58&gt;=1,'(橫掃)RX Mapping'!B58&lt;=120), ('(橫掃)RX Mapping'!B58-1),IF(AND('(橫掃)RX Mapping'!B58&gt;=121,'(橫掃)RX Mapping'!B58&lt;=240), (-1)*('(橫掃)RX Mapping'!B58-240),IF(AND('(橫掃)RX Mapping'!B58&gt;=241,'(橫掃)RX Mapping'!B58&lt;=360), ('(橫掃)RX Mapping'!B58-241),IF(AND('(橫掃)RX Mapping'!B58&gt;=361,'(橫掃)RX Mapping'!B58&lt;=480), (-1)*('(橫掃)RX Mapping'!B58-480),IF(AND('(橫掃)RX Mapping'!B58&gt;=481,'(橫掃)RX Mapping'!B58&lt;=600), ('(橫掃)RX Mapping'!B58-361),IF(AND('(橫掃)RX Mapping'!B58&gt;=601,'(橫掃)RX Mapping'!B58&lt;=720), (-1)*('(橫掃)RX Mapping'!B58-720)+120,IF(AND('(橫掃)RX Mapping'!B58&gt;=721,'(橫掃)RX Mapping'!B58&lt;=840), ('(橫掃)RX Mapping'!B58-601),IF(AND('(橫掃)RX Mapping'!B58&gt;=841,'(橫掃)RX Mapping'!B58&lt;=960), (-1)*('(橫掃)RX Mapping'!B58-960)+120,9999))))))))</f>
        <v>9999</v>
      </c>
      <c r="C58">
        <f>IF(AND('(橫掃)RX Mapping'!C58&gt;=1,'(橫掃)RX Mapping'!C58&lt;=120), ('(橫掃)RX Mapping'!C58-1),IF(AND('(橫掃)RX Mapping'!C58&gt;=121,'(橫掃)RX Mapping'!C58&lt;=240), (-1)*('(橫掃)RX Mapping'!C58-240),IF(AND('(橫掃)RX Mapping'!C58&gt;=241,'(橫掃)RX Mapping'!C58&lt;=360), ('(橫掃)RX Mapping'!C58-241),IF(AND('(橫掃)RX Mapping'!C58&gt;=361,'(橫掃)RX Mapping'!C58&lt;=480), (-1)*('(橫掃)RX Mapping'!C58-480),IF(AND('(橫掃)RX Mapping'!C58&gt;=481,'(橫掃)RX Mapping'!C58&lt;=600), ('(橫掃)RX Mapping'!C58-361),IF(AND('(橫掃)RX Mapping'!C58&gt;=601,'(橫掃)RX Mapping'!C58&lt;=720), (-1)*('(橫掃)RX Mapping'!C58-720)+120,IF(AND('(橫掃)RX Mapping'!C58&gt;=721,'(橫掃)RX Mapping'!C58&lt;=840), ('(橫掃)RX Mapping'!C58-601),IF(AND('(橫掃)RX Mapping'!C58&gt;=841,'(橫掃)RX Mapping'!C58&lt;=960), (-1)*('(橫掃)RX Mapping'!C58-960)+120,9999))))))))</f>
        <v>9999</v>
      </c>
      <c r="D58">
        <f>IF(AND('(橫掃)RX Mapping'!D58&gt;=1,'(橫掃)RX Mapping'!D58&lt;=120), ('(橫掃)RX Mapping'!D58-1),IF(AND('(橫掃)RX Mapping'!D58&gt;=121,'(橫掃)RX Mapping'!D58&lt;=240), (-1)*('(橫掃)RX Mapping'!D58-240),IF(AND('(橫掃)RX Mapping'!D58&gt;=241,'(橫掃)RX Mapping'!D58&lt;=360), ('(橫掃)RX Mapping'!D58-241),IF(AND('(橫掃)RX Mapping'!D58&gt;=361,'(橫掃)RX Mapping'!D58&lt;=480), (-1)*('(橫掃)RX Mapping'!D58-480),IF(AND('(橫掃)RX Mapping'!D58&gt;=481,'(橫掃)RX Mapping'!D58&lt;=600), ('(橫掃)RX Mapping'!D58-361),IF(AND('(橫掃)RX Mapping'!D58&gt;=601,'(橫掃)RX Mapping'!D58&lt;=720), (-1)*('(橫掃)RX Mapping'!D58-720)+120,IF(AND('(橫掃)RX Mapping'!D58&gt;=721,'(橫掃)RX Mapping'!D58&lt;=840), ('(橫掃)RX Mapping'!D58-601),IF(AND('(橫掃)RX Mapping'!D58&gt;=841,'(橫掃)RX Mapping'!D58&lt;=960), (-1)*('(橫掃)RX Mapping'!D58-960)+120,9999))))))))</f>
        <v>9999</v>
      </c>
      <c r="E58">
        <f>IF(AND('(橫掃)RX Mapping'!E58&gt;=1,'(橫掃)RX Mapping'!E58&lt;=120), ('(橫掃)RX Mapping'!E58-1),IF(AND('(橫掃)RX Mapping'!E58&gt;=121,'(橫掃)RX Mapping'!E58&lt;=240), (-1)*('(橫掃)RX Mapping'!E58-240),IF(AND('(橫掃)RX Mapping'!E58&gt;=241,'(橫掃)RX Mapping'!E58&lt;=360), ('(橫掃)RX Mapping'!E58-241),IF(AND('(橫掃)RX Mapping'!E58&gt;=361,'(橫掃)RX Mapping'!E58&lt;=480), (-1)*('(橫掃)RX Mapping'!E58-480),IF(AND('(橫掃)RX Mapping'!E58&gt;=481,'(橫掃)RX Mapping'!E58&lt;=600), ('(橫掃)RX Mapping'!E58-361),IF(AND('(橫掃)RX Mapping'!E58&gt;=601,'(橫掃)RX Mapping'!E58&lt;=720), (-1)*('(橫掃)RX Mapping'!E58-720)+120,IF(AND('(橫掃)RX Mapping'!E58&gt;=721,'(橫掃)RX Mapping'!E58&lt;=840), ('(橫掃)RX Mapping'!E58-601),IF(AND('(橫掃)RX Mapping'!E58&gt;=841,'(橫掃)RX Mapping'!E58&lt;=960), (-1)*('(橫掃)RX Mapping'!E58-960)+120,9999))))))))</f>
        <v>9999</v>
      </c>
      <c r="F58">
        <f>IF(AND('(橫掃)RX Mapping'!F58&gt;=1,'(橫掃)RX Mapping'!F58&lt;=120), ('(橫掃)RX Mapping'!F58-1),IF(AND('(橫掃)RX Mapping'!F58&gt;=121,'(橫掃)RX Mapping'!F58&lt;=240), (-1)*('(橫掃)RX Mapping'!F58-240),IF(AND('(橫掃)RX Mapping'!F58&gt;=241,'(橫掃)RX Mapping'!F58&lt;=360), ('(橫掃)RX Mapping'!F58-241),IF(AND('(橫掃)RX Mapping'!F58&gt;=361,'(橫掃)RX Mapping'!F58&lt;=480), (-1)*('(橫掃)RX Mapping'!F58-480),IF(AND('(橫掃)RX Mapping'!F58&gt;=481,'(橫掃)RX Mapping'!F58&lt;=600), ('(橫掃)RX Mapping'!F58-361),IF(AND('(橫掃)RX Mapping'!F58&gt;=601,'(橫掃)RX Mapping'!F58&lt;=720), (-1)*('(橫掃)RX Mapping'!F58-720)+120,IF(AND('(橫掃)RX Mapping'!F58&gt;=721,'(橫掃)RX Mapping'!F58&lt;=840), ('(橫掃)RX Mapping'!F58-601),IF(AND('(橫掃)RX Mapping'!F58&gt;=841,'(橫掃)RX Mapping'!F58&lt;=960), (-1)*('(橫掃)RX Mapping'!F58-960)+120,9999))))))))</f>
        <v>9999</v>
      </c>
      <c r="G58">
        <f>IF(AND('(橫掃)RX Mapping'!G58&gt;=1,'(橫掃)RX Mapping'!G58&lt;=120), ('(橫掃)RX Mapping'!G58-1),IF(AND('(橫掃)RX Mapping'!G58&gt;=121,'(橫掃)RX Mapping'!G58&lt;=240), (-1)*('(橫掃)RX Mapping'!G58-240),IF(AND('(橫掃)RX Mapping'!G58&gt;=241,'(橫掃)RX Mapping'!G58&lt;=360), ('(橫掃)RX Mapping'!G58-241),IF(AND('(橫掃)RX Mapping'!G58&gt;=361,'(橫掃)RX Mapping'!G58&lt;=480), (-1)*('(橫掃)RX Mapping'!G58-480),IF(AND('(橫掃)RX Mapping'!G58&gt;=481,'(橫掃)RX Mapping'!G58&lt;=600), ('(橫掃)RX Mapping'!G58-361),IF(AND('(橫掃)RX Mapping'!G58&gt;=601,'(橫掃)RX Mapping'!G58&lt;=720), (-1)*('(橫掃)RX Mapping'!G58-720)+120,IF(AND('(橫掃)RX Mapping'!G58&gt;=721,'(橫掃)RX Mapping'!G58&lt;=840), ('(橫掃)RX Mapping'!G58-601),IF(AND('(橫掃)RX Mapping'!G58&gt;=841,'(橫掃)RX Mapping'!G58&lt;=960), (-1)*('(橫掃)RX Mapping'!G58-960)+120,9999))))))))</f>
        <v>9999</v>
      </c>
      <c r="H58">
        <f>IF(AND('(橫掃)RX Mapping'!H58&gt;=1,'(橫掃)RX Mapping'!H58&lt;=120), ('(橫掃)RX Mapping'!H58-1),IF(AND('(橫掃)RX Mapping'!H58&gt;=121,'(橫掃)RX Mapping'!H58&lt;=240), (-1)*('(橫掃)RX Mapping'!H58-240),IF(AND('(橫掃)RX Mapping'!H58&gt;=241,'(橫掃)RX Mapping'!H58&lt;=360), ('(橫掃)RX Mapping'!H58-241),IF(AND('(橫掃)RX Mapping'!H58&gt;=361,'(橫掃)RX Mapping'!H58&lt;=480), (-1)*('(橫掃)RX Mapping'!H58-480),IF(AND('(橫掃)RX Mapping'!H58&gt;=481,'(橫掃)RX Mapping'!H58&lt;=600), ('(橫掃)RX Mapping'!H58-361),IF(AND('(橫掃)RX Mapping'!H58&gt;=601,'(橫掃)RX Mapping'!H58&lt;=720), (-1)*('(橫掃)RX Mapping'!H58-720)+120,IF(AND('(橫掃)RX Mapping'!H58&gt;=721,'(橫掃)RX Mapping'!H58&lt;=840), ('(橫掃)RX Mapping'!H58-601),IF(AND('(橫掃)RX Mapping'!H58&gt;=841,'(橫掃)RX Mapping'!H58&lt;=960), (-1)*('(橫掃)RX Mapping'!H58-960)+120,9999))))))))</f>
        <v>9999</v>
      </c>
      <c r="I58">
        <f>IF(AND('(橫掃)RX Mapping'!I58&gt;=1,'(橫掃)RX Mapping'!I58&lt;=120), ('(橫掃)RX Mapping'!I58-1),IF(AND('(橫掃)RX Mapping'!I58&gt;=121,'(橫掃)RX Mapping'!I58&lt;=240), (-1)*('(橫掃)RX Mapping'!I58-240),IF(AND('(橫掃)RX Mapping'!I58&gt;=241,'(橫掃)RX Mapping'!I58&lt;=360), ('(橫掃)RX Mapping'!I58-241),IF(AND('(橫掃)RX Mapping'!I58&gt;=361,'(橫掃)RX Mapping'!I58&lt;=480), (-1)*('(橫掃)RX Mapping'!I58-480),IF(AND('(橫掃)RX Mapping'!I58&gt;=481,'(橫掃)RX Mapping'!I58&lt;=600), ('(橫掃)RX Mapping'!I58-361),IF(AND('(橫掃)RX Mapping'!I58&gt;=601,'(橫掃)RX Mapping'!I58&lt;=720), (-1)*('(橫掃)RX Mapping'!I58-720)+120,IF(AND('(橫掃)RX Mapping'!I58&gt;=721,'(橫掃)RX Mapping'!I58&lt;=840), ('(橫掃)RX Mapping'!I58-601),IF(AND('(橫掃)RX Mapping'!I58&gt;=841,'(橫掃)RX Mapping'!I58&lt;=960), (-1)*('(橫掃)RX Mapping'!I58-960)+120,9999))))))))</f>
        <v>9999</v>
      </c>
      <c r="J58">
        <f>IF(AND('(橫掃)RX Mapping'!J58&gt;=1,'(橫掃)RX Mapping'!J58&lt;=120), ('(橫掃)RX Mapping'!J58-1),IF(AND('(橫掃)RX Mapping'!J58&gt;=121,'(橫掃)RX Mapping'!J58&lt;=240), (-1)*('(橫掃)RX Mapping'!J58-240),IF(AND('(橫掃)RX Mapping'!J58&gt;=241,'(橫掃)RX Mapping'!J58&lt;=360), ('(橫掃)RX Mapping'!J58-241),IF(AND('(橫掃)RX Mapping'!J58&gt;=361,'(橫掃)RX Mapping'!J58&lt;=480), (-1)*('(橫掃)RX Mapping'!J58-480),IF(AND('(橫掃)RX Mapping'!J58&gt;=481,'(橫掃)RX Mapping'!J58&lt;=600), ('(橫掃)RX Mapping'!J58-361),IF(AND('(橫掃)RX Mapping'!J58&gt;=601,'(橫掃)RX Mapping'!J58&lt;=720), (-1)*('(橫掃)RX Mapping'!J58-720)+120,IF(AND('(橫掃)RX Mapping'!J58&gt;=721,'(橫掃)RX Mapping'!J58&lt;=840), ('(橫掃)RX Mapping'!J58-601),IF(AND('(橫掃)RX Mapping'!J58&gt;=841,'(橫掃)RX Mapping'!J58&lt;=960), (-1)*('(橫掃)RX Mapping'!J58-960)+120,9999))))))))</f>
        <v>9999</v>
      </c>
      <c r="K58">
        <f>IF(AND('(橫掃)RX Mapping'!K58&gt;=1,'(橫掃)RX Mapping'!K58&lt;=120), ('(橫掃)RX Mapping'!K58-1),IF(AND('(橫掃)RX Mapping'!K58&gt;=121,'(橫掃)RX Mapping'!K58&lt;=240), (-1)*('(橫掃)RX Mapping'!K58-240),IF(AND('(橫掃)RX Mapping'!K58&gt;=241,'(橫掃)RX Mapping'!K58&lt;=360), ('(橫掃)RX Mapping'!K58-241),IF(AND('(橫掃)RX Mapping'!K58&gt;=361,'(橫掃)RX Mapping'!K58&lt;=480), (-1)*('(橫掃)RX Mapping'!K58-480),IF(AND('(橫掃)RX Mapping'!K58&gt;=481,'(橫掃)RX Mapping'!K58&lt;=600), ('(橫掃)RX Mapping'!K58-361),IF(AND('(橫掃)RX Mapping'!K58&gt;=601,'(橫掃)RX Mapping'!K58&lt;=720), (-1)*('(橫掃)RX Mapping'!K58-720)+120,IF(AND('(橫掃)RX Mapping'!K58&gt;=721,'(橫掃)RX Mapping'!K58&lt;=840), ('(橫掃)RX Mapping'!K58-601),IF(AND('(橫掃)RX Mapping'!K58&gt;=841,'(橫掃)RX Mapping'!K58&lt;=960), (-1)*('(橫掃)RX Mapping'!K58-960)+120,9999))))))))</f>
        <v>9999</v>
      </c>
      <c r="L58">
        <f>IF(AND('(橫掃)RX Mapping'!L58&gt;=1,'(橫掃)RX Mapping'!L58&lt;=120), ('(橫掃)RX Mapping'!L58-1),IF(AND('(橫掃)RX Mapping'!L58&gt;=121,'(橫掃)RX Mapping'!L58&lt;=240), (-1)*('(橫掃)RX Mapping'!L58-240),IF(AND('(橫掃)RX Mapping'!L58&gt;=241,'(橫掃)RX Mapping'!L58&lt;=360), ('(橫掃)RX Mapping'!L58-241),IF(AND('(橫掃)RX Mapping'!L58&gt;=361,'(橫掃)RX Mapping'!L58&lt;=480), (-1)*('(橫掃)RX Mapping'!L58-480),IF(AND('(橫掃)RX Mapping'!L58&gt;=481,'(橫掃)RX Mapping'!L58&lt;=600), ('(橫掃)RX Mapping'!L58-361),IF(AND('(橫掃)RX Mapping'!L58&gt;=601,'(橫掃)RX Mapping'!L58&lt;=720), (-1)*('(橫掃)RX Mapping'!L58-720)+120,IF(AND('(橫掃)RX Mapping'!L58&gt;=721,'(橫掃)RX Mapping'!L58&lt;=840), ('(橫掃)RX Mapping'!L58-601),IF(AND('(橫掃)RX Mapping'!L58&gt;=841,'(橫掃)RX Mapping'!L58&lt;=960), (-1)*('(橫掃)RX Mapping'!L58-960)+120,9999))))))))</f>
        <v>9999</v>
      </c>
      <c r="M58">
        <f>IF(AND('(橫掃)RX Mapping'!M58&gt;=1,'(橫掃)RX Mapping'!M58&lt;=120), ('(橫掃)RX Mapping'!M58-1),IF(AND('(橫掃)RX Mapping'!M58&gt;=121,'(橫掃)RX Mapping'!M58&lt;=240), (-1)*('(橫掃)RX Mapping'!M58-240),IF(AND('(橫掃)RX Mapping'!M58&gt;=241,'(橫掃)RX Mapping'!M58&lt;=360), ('(橫掃)RX Mapping'!M58-241),IF(AND('(橫掃)RX Mapping'!M58&gt;=361,'(橫掃)RX Mapping'!M58&lt;=480), (-1)*('(橫掃)RX Mapping'!M58-480),IF(AND('(橫掃)RX Mapping'!M58&gt;=481,'(橫掃)RX Mapping'!M58&lt;=600), ('(橫掃)RX Mapping'!M58-361),IF(AND('(橫掃)RX Mapping'!M58&gt;=601,'(橫掃)RX Mapping'!M58&lt;=720), (-1)*('(橫掃)RX Mapping'!M58-720)+120,IF(AND('(橫掃)RX Mapping'!M58&gt;=721,'(橫掃)RX Mapping'!M58&lt;=840), ('(橫掃)RX Mapping'!M58-601),IF(AND('(橫掃)RX Mapping'!M58&gt;=841,'(橫掃)RX Mapping'!M58&lt;=960), (-1)*('(橫掃)RX Mapping'!M58-960)+120,9999))))))))</f>
        <v>9999</v>
      </c>
      <c r="N58">
        <f>IF(AND('(橫掃)RX Mapping'!N58&gt;=1,'(橫掃)RX Mapping'!N58&lt;=120), ('(橫掃)RX Mapping'!N58-1),IF(AND('(橫掃)RX Mapping'!N58&gt;=121,'(橫掃)RX Mapping'!N58&lt;=240), (-1)*('(橫掃)RX Mapping'!N58-240),IF(AND('(橫掃)RX Mapping'!N58&gt;=241,'(橫掃)RX Mapping'!N58&lt;=360), ('(橫掃)RX Mapping'!N58-241),IF(AND('(橫掃)RX Mapping'!N58&gt;=361,'(橫掃)RX Mapping'!N58&lt;=480), (-1)*('(橫掃)RX Mapping'!N58-480),IF(AND('(橫掃)RX Mapping'!N58&gt;=481,'(橫掃)RX Mapping'!N58&lt;=600), ('(橫掃)RX Mapping'!N58-361),IF(AND('(橫掃)RX Mapping'!N58&gt;=601,'(橫掃)RX Mapping'!N58&lt;=720), (-1)*('(橫掃)RX Mapping'!N58-720)+120,IF(AND('(橫掃)RX Mapping'!N58&gt;=721,'(橫掃)RX Mapping'!N58&lt;=840), ('(橫掃)RX Mapping'!N58-601),IF(AND('(橫掃)RX Mapping'!N58&gt;=841,'(橫掃)RX Mapping'!N58&lt;=960), (-1)*('(橫掃)RX Mapping'!N58-960)+120,9999))))))))</f>
        <v>9999</v>
      </c>
      <c r="O58">
        <f>IF(AND('(橫掃)RX Mapping'!O58&gt;=1,'(橫掃)RX Mapping'!O58&lt;=120), ('(橫掃)RX Mapping'!O58-1),IF(AND('(橫掃)RX Mapping'!O58&gt;=121,'(橫掃)RX Mapping'!O58&lt;=240), (-1)*('(橫掃)RX Mapping'!O58-240),IF(AND('(橫掃)RX Mapping'!O58&gt;=241,'(橫掃)RX Mapping'!O58&lt;=360), ('(橫掃)RX Mapping'!O58-241),IF(AND('(橫掃)RX Mapping'!O58&gt;=361,'(橫掃)RX Mapping'!O58&lt;=480), (-1)*('(橫掃)RX Mapping'!O58-480),IF(AND('(橫掃)RX Mapping'!O58&gt;=481,'(橫掃)RX Mapping'!O58&lt;=600), ('(橫掃)RX Mapping'!O58-361),IF(AND('(橫掃)RX Mapping'!O58&gt;=601,'(橫掃)RX Mapping'!O58&lt;=720), (-1)*('(橫掃)RX Mapping'!O58-720)+120,IF(AND('(橫掃)RX Mapping'!O58&gt;=721,'(橫掃)RX Mapping'!O58&lt;=840), ('(橫掃)RX Mapping'!O58-601),IF(AND('(橫掃)RX Mapping'!O58&gt;=841,'(橫掃)RX Mapping'!O58&lt;=960), (-1)*('(橫掃)RX Mapping'!O58-960)+120,9999))))))))</f>
        <v>9999</v>
      </c>
      <c r="P58">
        <f>IF(AND('(橫掃)RX Mapping'!P58&gt;=1,'(橫掃)RX Mapping'!P58&lt;=120), ('(橫掃)RX Mapping'!P58-1),IF(AND('(橫掃)RX Mapping'!P58&gt;=121,'(橫掃)RX Mapping'!P58&lt;=240), (-1)*('(橫掃)RX Mapping'!P58-240),IF(AND('(橫掃)RX Mapping'!P58&gt;=241,'(橫掃)RX Mapping'!P58&lt;=360), ('(橫掃)RX Mapping'!P58-241),IF(AND('(橫掃)RX Mapping'!P58&gt;=361,'(橫掃)RX Mapping'!P58&lt;=480), (-1)*('(橫掃)RX Mapping'!P58-480),IF(AND('(橫掃)RX Mapping'!P58&gt;=481,'(橫掃)RX Mapping'!P58&lt;=600), ('(橫掃)RX Mapping'!P58-361),IF(AND('(橫掃)RX Mapping'!P58&gt;=601,'(橫掃)RX Mapping'!P58&lt;=720), (-1)*('(橫掃)RX Mapping'!P58-720)+120,IF(AND('(橫掃)RX Mapping'!P58&gt;=721,'(橫掃)RX Mapping'!P58&lt;=840), ('(橫掃)RX Mapping'!P58-601),IF(AND('(橫掃)RX Mapping'!P58&gt;=841,'(橫掃)RX Mapping'!P58&lt;=960), (-1)*('(橫掃)RX Mapping'!P58-960)+120,9999))))))))</f>
        <v>9999</v>
      </c>
      <c r="Q58">
        <f>IF(AND('(橫掃)RX Mapping'!Q58&gt;=1,'(橫掃)RX Mapping'!Q58&lt;=120), ('(橫掃)RX Mapping'!Q58-1),IF(AND('(橫掃)RX Mapping'!Q58&gt;=121,'(橫掃)RX Mapping'!Q58&lt;=240), (-1)*('(橫掃)RX Mapping'!Q58-240),IF(AND('(橫掃)RX Mapping'!Q58&gt;=241,'(橫掃)RX Mapping'!Q58&lt;=360), ('(橫掃)RX Mapping'!Q58-241),IF(AND('(橫掃)RX Mapping'!Q58&gt;=361,'(橫掃)RX Mapping'!Q58&lt;=480), (-1)*('(橫掃)RX Mapping'!Q58-480),IF(AND('(橫掃)RX Mapping'!Q58&gt;=481,'(橫掃)RX Mapping'!Q58&lt;=600), ('(橫掃)RX Mapping'!Q58-361),IF(AND('(橫掃)RX Mapping'!Q58&gt;=601,'(橫掃)RX Mapping'!Q58&lt;=720), (-1)*('(橫掃)RX Mapping'!Q58-720)+120,IF(AND('(橫掃)RX Mapping'!Q58&gt;=721,'(橫掃)RX Mapping'!Q58&lt;=840), ('(橫掃)RX Mapping'!Q58-601),IF(AND('(橫掃)RX Mapping'!Q58&gt;=841,'(橫掃)RX Mapping'!Q58&lt;=960), (-1)*('(橫掃)RX Mapping'!Q58-960)+120,9999))))))))</f>
        <v>9999</v>
      </c>
      <c r="R58">
        <f>IF(AND('(橫掃)RX Mapping'!R58&gt;=1,'(橫掃)RX Mapping'!R58&lt;=120), ('(橫掃)RX Mapping'!R58-1),IF(AND('(橫掃)RX Mapping'!R58&gt;=121,'(橫掃)RX Mapping'!R58&lt;=240), (-1)*('(橫掃)RX Mapping'!R58-240),IF(AND('(橫掃)RX Mapping'!R58&gt;=241,'(橫掃)RX Mapping'!R58&lt;=360), ('(橫掃)RX Mapping'!R58-241),IF(AND('(橫掃)RX Mapping'!R58&gt;=361,'(橫掃)RX Mapping'!R58&lt;=480), (-1)*('(橫掃)RX Mapping'!R58-480),IF(AND('(橫掃)RX Mapping'!R58&gt;=481,'(橫掃)RX Mapping'!R58&lt;=600), ('(橫掃)RX Mapping'!R58-361),IF(AND('(橫掃)RX Mapping'!R58&gt;=601,'(橫掃)RX Mapping'!R58&lt;=720), (-1)*('(橫掃)RX Mapping'!R58-720)+120,IF(AND('(橫掃)RX Mapping'!R58&gt;=721,'(橫掃)RX Mapping'!R58&lt;=840), ('(橫掃)RX Mapping'!R58-601),IF(AND('(橫掃)RX Mapping'!R58&gt;=841,'(橫掃)RX Mapping'!R58&lt;=960), (-1)*('(橫掃)RX Mapping'!R58-960)+120,9999))))))))</f>
        <v>9999</v>
      </c>
      <c r="S58">
        <f>IF(AND('(橫掃)RX Mapping'!S58&gt;=1,'(橫掃)RX Mapping'!S58&lt;=120), ('(橫掃)RX Mapping'!S58-1),IF(AND('(橫掃)RX Mapping'!S58&gt;=121,'(橫掃)RX Mapping'!S58&lt;=240), (-1)*('(橫掃)RX Mapping'!S58-240),IF(AND('(橫掃)RX Mapping'!S58&gt;=241,'(橫掃)RX Mapping'!S58&lt;=360), ('(橫掃)RX Mapping'!S58-241),IF(AND('(橫掃)RX Mapping'!S58&gt;=361,'(橫掃)RX Mapping'!S58&lt;=480), (-1)*('(橫掃)RX Mapping'!S58-480),IF(AND('(橫掃)RX Mapping'!S58&gt;=481,'(橫掃)RX Mapping'!S58&lt;=600), ('(橫掃)RX Mapping'!S58-361),IF(AND('(橫掃)RX Mapping'!S58&gt;=601,'(橫掃)RX Mapping'!S58&lt;=720), (-1)*('(橫掃)RX Mapping'!S58-720)+120,IF(AND('(橫掃)RX Mapping'!S58&gt;=721,'(橫掃)RX Mapping'!S58&lt;=840), ('(橫掃)RX Mapping'!S58-601),IF(AND('(橫掃)RX Mapping'!S58&gt;=841,'(橫掃)RX Mapping'!S58&lt;=960), (-1)*('(橫掃)RX Mapping'!S58-960)+120,9999))))))))</f>
        <v>9999</v>
      </c>
      <c r="T58">
        <f>IF(AND('(橫掃)RX Mapping'!T58&gt;=1,'(橫掃)RX Mapping'!T58&lt;=120), ('(橫掃)RX Mapping'!T58-1),IF(AND('(橫掃)RX Mapping'!T58&gt;=121,'(橫掃)RX Mapping'!T58&lt;=240), (-1)*('(橫掃)RX Mapping'!T58-240),IF(AND('(橫掃)RX Mapping'!T58&gt;=241,'(橫掃)RX Mapping'!T58&lt;=360), ('(橫掃)RX Mapping'!T58-241),IF(AND('(橫掃)RX Mapping'!T58&gt;=361,'(橫掃)RX Mapping'!T58&lt;=480), (-1)*('(橫掃)RX Mapping'!T58-480),IF(AND('(橫掃)RX Mapping'!T58&gt;=481,'(橫掃)RX Mapping'!T58&lt;=600), ('(橫掃)RX Mapping'!T58-361),IF(AND('(橫掃)RX Mapping'!T58&gt;=601,'(橫掃)RX Mapping'!T58&lt;=720), (-1)*('(橫掃)RX Mapping'!T58-720)+120,IF(AND('(橫掃)RX Mapping'!T58&gt;=721,'(橫掃)RX Mapping'!T58&lt;=840), ('(橫掃)RX Mapping'!T58-601),IF(AND('(橫掃)RX Mapping'!T58&gt;=841,'(橫掃)RX Mapping'!T58&lt;=960), (-1)*('(橫掃)RX Mapping'!T58-960)+120,9999))))))))</f>
        <v>9999</v>
      </c>
      <c r="U58">
        <f>IF(AND('(橫掃)RX Mapping'!U58&gt;=1,'(橫掃)RX Mapping'!U58&lt;=120), ('(橫掃)RX Mapping'!U58-1),IF(AND('(橫掃)RX Mapping'!U58&gt;=121,'(橫掃)RX Mapping'!U58&lt;=240), (-1)*('(橫掃)RX Mapping'!U58-240),IF(AND('(橫掃)RX Mapping'!U58&gt;=241,'(橫掃)RX Mapping'!U58&lt;=360), ('(橫掃)RX Mapping'!U58-241),IF(AND('(橫掃)RX Mapping'!U58&gt;=361,'(橫掃)RX Mapping'!U58&lt;=480), (-1)*('(橫掃)RX Mapping'!U58-480),IF(AND('(橫掃)RX Mapping'!U58&gt;=481,'(橫掃)RX Mapping'!U58&lt;=600), ('(橫掃)RX Mapping'!U58-361),IF(AND('(橫掃)RX Mapping'!U58&gt;=601,'(橫掃)RX Mapping'!U58&lt;=720), (-1)*('(橫掃)RX Mapping'!U58-720)+120,IF(AND('(橫掃)RX Mapping'!U58&gt;=721,'(橫掃)RX Mapping'!U58&lt;=840), ('(橫掃)RX Mapping'!U58-601),IF(AND('(橫掃)RX Mapping'!U58&gt;=841,'(橫掃)RX Mapping'!U58&lt;=960), (-1)*('(橫掃)RX Mapping'!U58-960)+120,9999))))))))</f>
        <v>9999</v>
      </c>
      <c r="V58">
        <f>IF(AND('(橫掃)RX Mapping'!V58&gt;=1,'(橫掃)RX Mapping'!V58&lt;=120), ('(橫掃)RX Mapping'!V58-1),IF(AND('(橫掃)RX Mapping'!V58&gt;=121,'(橫掃)RX Mapping'!V58&lt;=240), (-1)*('(橫掃)RX Mapping'!V58-240),IF(AND('(橫掃)RX Mapping'!V58&gt;=241,'(橫掃)RX Mapping'!V58&lt;=360), ('(橫掃)RX Mapping'!V58-241),IF(AND('(橫掃)RX Mapping'!V58&gt;=361,'(橫掃)RX Mapping'!V58&lt;=480), (-1)*('(橫掃)RX Mapping'!V58-480),IF(AND('(橫掃)RX Mapping'!V58&gt;=481,'(橫掃)RX Mapping'!V58&lt;=600), ('(橫掃)RX Mapping'!V58-361),IF(AND('(橫掃)RX Mapping'!V58&gt;=601,'(橫掃)RX Mapping'!V58&lt;=720), (-1)*('(橫掃)RX Mapping'!V58-720)+120,IF(AND('(橫掃)RX Mapping'!V58&gt;=721,'(橫掃)RX Mapping'!V58&lt;=840), ('(橫掃)RX Mapping'!V58-601),IF(AND('(橫掃)RX Mapping'!V58&gt;=841,'(橫掃)RX Mapping'!V58&lt;=960), (-1)*('(橫掃)RX Mapping'!V58-960)+120,9999))))))))</f>
        <v>9999</v>
      </c>
      <c r="W58">
        <f>IF(AND('(橫掃)RX Mapping'!W58&gt;=1,'(橫掃)RX Mapping'!W58&lt;=120), ('(橫掃)RX Mapping'!W58-1),IF(AND('(橫掃)RX Mapping'!W58&gt;=121,'(橫掃)RX Mapping'!W58&lt;=240), (-1)*('(橫掃)RX Mapping'!W58-240),IF(AND('(橫掃)RX Mapping'!W58&gt;=241,'(橫掃)RX Mapping'!W58&lt;=360), ('(橫掃)RX Mapping'!W58-241),IF(AND('(橫掃)RX Mapping'!W58&gt;=361,'(橫掃)RX Mapping'!W58&lt;=480), (-1)*('(橫掃)RX Mapping'!W58-480),IF(AND('(橫掃)RX Mapping'!W58&gt;=481,'(橫掃)RX Mapping'!W58&lt;=600), ('(橫掃)RX Mapping'!W58-361),IF(AND('(橫掃)RX Mapping'!W58&gt;=601,'(橫掃)RX Mapping'!W58&lt;=720), (-1)*('(橫掃)RX Mapping'!W58-720)+120,IF(AND('(橫掃)RX Mapping'!W58&gt;=721,'(橫掃)RX Mapping'!W58&lt;=840), ('(橫掃)RX Mapping'!W58-601),IF(AND('(橫掃)RX Mapping'!W58&gt;=841,'(橫掃)RX Mapping'!W58&lt;=960), (-1)*('(橫掃)RX Mapping'!W58-960)+120,9999))))))))</f>
        <v>9999</v>
      </c>
      <c r="X58">
        <f>IF(AND('(橫掃)RX Mapping'!X58&gt;=1,'(橫掃)RX Mapping'!X58&lt;=120), ('(橫掃)RX Mapping'!X58-1),IF(AND('(橫掃)RX Mapping'!X58&gt;=121,'(橫掃)RX Mapping'!X58&lt;=240), (-1)*('(橫掃)RX Mapping'!X58-240),IF(AND('(橫掃)RX Mapping'!X58&gt;=241,'(橫掃)RX Mapping'!X58&lt;=360), ('(橫掃)RX Mapping'!X58-241),IF(AND('(橫掃)RX Mapping'!X58&gt;=361,'(橫掃)RX Mapping'!X58&lt;=480), (-1)*('(橫掃)RX Mapping'!X58-480),IF(AND('(橫掃)RX Mapping'!X58&gt;=481,'(橫掃)RX Mapping'!X58&lt;=600), ('(橫掃)RX Mapping'!X58-361),IF(AND('(橫掃)RX Mapping'!X58&gt;=601,'(橫掃)RX Mapping'!X58&lt;=720), (-1)*('(橫掃)RX Mapping'!X58-720)+120,IF(AND('(橫掃)RX Mapping'!X58&gt;=721,'(橫掃)RX Mapping'!X58&lt;=840), ('(橫掃)RX Mapping'!X58-601),IF(AND('(橫掃)RX Mapping'!X58&gt;=841,'(橫掃)RX Mapping'!X58&lt;=960), (-1)*('(橫掃)RX Mapping'!X58-960)+120,9999))))))))</f>
        <v>9999</v>
      </c>
      <c r="Y58">
        <f>IF(AND('(橫掃)RX Mapping'!Y58&gt;=1,'(橫掃)RX Mapping'!Y58&lt;=120), ('(橫掃)RX Mapping'!Y58-1),IF(AND('(橫掃)RX Mapping'!Y58&gt;=121,'(橫掃)RX Mapping'!Y58&lt;=240), (-1)*('(橫掃)RX Mapping'!Y58-240),IF(AND('(橫掃)RX Mapping'!Y58&gt;=241,'(橫掃)RX Mapping'!Y58&lt;=360), ('(橫掃)RX Mapping'!Y58-241),IF(AND('(橫掃)RX Mapping'!Y58&gt;=361,'(橫掃)RX Mapping'!Y58&lt;=480), (-1)*('(橫掃)RX Mapping'!Y58-480),IF(AND('(橫掃)RX Mapping'!Y58&gt;=481,'(橫掃)RX Mapping'!Y58&lt;=600), ('(橫掃)RX Mapping'!Y58-361),IF(AND('(橫掃)RX Mapping'!Y58&gt;=601,'(橫掃)RX Mapping'!Y58&lt;=720), (-1)*('(橫掃)RX Mapping'!Y58-720)+120,IF(AND('(橫掃)RX Mapping'!Y58&gt;=721,'(橫掃)RX Mapping'!Y58&lt;=840), ('(橫掃)RX Mapping'!Y58-601),IF(AND('(橫掃)RX Mapping'!Y58&gt;=841,'(橫掃)RX Mapping'!Y58&lt;=960), (-1)*('(橫掃)RX Mapping'!Y58-960)+120,9999))))))))</f>
        <v>9999</v>
      </c>
      <c r="Z58">
        <f>IF(AND('(橫掃)RX Mapping'!Z58&gt;=1,'(橫掃)RX Mapping'!Z58&lt;=120), ('(橫掃)RX Mapping'!Z58-1),IF(AND('(橫掃)RX Mapping'!Z58&gt;=121,'(橫掃)RX Mapping'!Z58&lt;=240), (-1)*('(橫掃)RX Mapping'!Z58-240),IF(AND('(橫掃)RX Mapping'!Z58&gt;=241,'(橫掃)RX Mapping'!Z58&lt;=360), ('(橫掃)RX Mapping'!Z58-241),IF(AND('(橫掃)RX Mapping'!Z58&gt;=361,'(橫掃)RX Mapping'!Z58&lt;=480), (-1)*('(橫掃)RX Mapping'!Z58-480),IF(AND('(橫掃)RX Mapping'!Z58&gt;=481,'(橫掃)RX Mapping'!Z58&lt;=600), ('(橫掃)RX Mapping'!Z58-361),IF(AND('(橫掃)RX Mapping'!Z58&gt;=601,'(橫掃)RX Mapping'!Z58&lt;=720), (-1)*('(橫掃)RX Mapping'!Z58-720)+120,IF(AND('(橫掃)RX Mapping'!Z58&gt;=721,'(橫掃)RX Mapping'!Z58&lt;=840), ('(橫掃)RX Mapping'!Z58-601),IF(AND('(橫掃)RX Mapping'!Z58&gt;=841,'(橫掃)RX Mapping'!Z58&lt;=960), (-1)*('(橫掃)RX Mapping'!Z58-960)+120,9999))))))))</f>
        <v>9999</v>
      </c>
      <c r="AA58">
        <f>IF(AND('(橫掃)RX Mapping'!AA58&gt;=1,'(橫掃)RX Mapping'!AA58&lt;=120), ('(橫掃)RX Mapping'!AA58-1),IF(AND('(橫掃)RX Mapping'!AA58&gt;=121,'(橫掃)RX Mapping'!AA58&lt;=240), (-1)*('(橫掃)RX Mapping'!AA58-240),IF(AND('(橫掃)RX Mapping'!AA58&gt;=241,'(橫掃)RX Mapping'!AA58&lt;=360), ('(橫掃)RX Mapping'!AA58-241),IF(AND('(橫掃)RX Mapping'!AA58&gt;=361,'(橫掃)RX Mapping'!AA58&lt;=480), (-1)*('(橫掃)RX Mapping'!AA58-480),IF(AND('(橫掃)RX Mapping'!AA58&gt;=481,'(橫掃)RX Mapping'!AA58&lt;=600), ('(橫掃)RX Mapping'!AA58-361),IF(AND('(橫掃)RX Mapping'!AA58&gt;=601,'(橫掃)RX Mapping'!AA58&lt;=720), (-1)*('(橫掃)RX Mapping'!AA58-720)+120,IF(AND('(橫掃)RX Mapping'!AA58&gt;=721,'(橫掃)RX Mapping'!AA58&lt;=840), ('(橫掃)RX Mapping'!AA58-601),IF(AND('(橫掃)RX Mapping'!AA58&gt;=841,'(橫掃)RX Mapping'!AA58&lt;=960), (-1)*('(橫掃)RX Mapping'!AA58-960)+120,9999))))))))</f>
        <v>9999</v>
      </c>
      <c r="AB58">
        <f>IF(AND('(橫掃)RX Mapping'!AB58&gt;=1,'(橫掃)RX Mapping'!AB58&lt;=120), ('(橫掃)RX Mapping'!AB58-1),IF(AND('(橫掃)RX Mapping'!AB58&gt;=121,'(橫掃)RX Mapping'!AB58&lt;=240), (-1)*('(橫掃)RX Mapping'!AB58-240),IF(AND('(橫掃)RX Mapping'!AB58&gt;=241,'(橫掃)RX Mapping'!AB58&lt;=360), ('(橫掃)RX Mapping'!AB58-241),IF(AND('(橫掃)RX Mapping'!AB58&gt;=361,'(橫掃)RX Mapping'!AB58&lt;=480), (-1)*('(橫掃)RX Mapping'!AB58-480),IF(AND('(橫掃)RX Mapping'!AB58&gt;=481,'(橫掃)RX Mapping'!AB58&lt;=600), ('(橫掃)RX Mapping'!AB58-361),IF(AND('(橫掃)RX Mapping'!AB58&gt;=601,'(橫掃)RX Mapping'!AB58&lt;=720), (-1)*('(橫掃)RX Mapping'!AB58-720)+120,IF(AND('(橫掃)RX Mapping'!AB58&gt;=721,'(橫掃)RX Mapping'!AB58&lt;=840), ('(橫掃)RX Mapping'!AB58-601),IF(AND('(橫掃)RX Mapping'!AB58&gt;=841,'(橫掃)RX Mapping'!AB58&lt;=960), (-1)*('(橫掃)RX Mapping'!AB58-960)+120,9999))))))))</f>
        <v>9999</v>
      </c>
      <c r="AC58">
        <f>IF(AND('(橫掃)RX Mapping'!AC58&gt;=1,'(橫掃)RX Mapping'!AC58&lt;=120), ('(橫掃)RX Mapping'!AC58-1),IF(AND('(橫掃)RX Mapping'!AC58&gt;=121,'(橫掃)RX Mapping'!AC58&lt;=240), (-1)*('(橫掃)RX Mapping'!AC58-240),IF(AND('(橫掃)RX Mapping'!AC58&gt;=241,'(橫掃)RX Mapping'!AC58&lt;=360), ('(橫掃)RX Mapping'!AC58-241),IF(AND('(橫掃)RX Mapping'!AC58&gt;=361,'(橫掃)RX Mapping'!AC58&lt;=480), (-1)*('(橫掃)RX Mapping'!AC58-480),IF(AND('(橫掃)RX Mapping'!AC58&gt;=481,'(橫掃)RX Mapping'!AC58&lt;=600), ('(橫掃)RX Mapping'!AC58-361),IF(AND('(橫掃)RX Mapping'!AC58&gt;=601,'(橫掃)RX Mapping'!AC58&lt;=720), (-1)*('(橫掃)RX Mapping'!AC58-720)+120,IF(AND('(橫掃)RX Mapping'!AC58&gt;=721,'(橫掃)RX Mapping'!AC58&lt;=840), ('(橫掃)RX Mapping'!AC58-601),IF(AND('(橫掃)RX Mapping'!AC58&gt;=841,'(橫掃)RX Mapping'!AC58&lt;=960), (-1)*('(橫掃)RX Mapping'!AC58-960)+120,9999))))))))</f>
        <v>9999</v>
      </c>
      <c r="AD58">
        <f>IF(AND('(橫掃)RX Mapping'!AD58&gt;=1,'(橫掃)RX Mapping'!AD58&lt;=120), ('(橫掃)RX Mapping'!AD58-1),IF(AND('(橫掃)RX Mapping'!AD58&gt;=121,'(橫掃)RX Mapping'!AD58&lt;=240), (-1)*('(橫掃)RX Mapping'!AD58-240),IF(AND('(橫掃)RX Mapping'!AD58&gt;=241,'(橫掃)RX Mapping'!AD58&lt;=360), ('(橫掃)RX Mapping'!AD58-241),IF(AND('(橫掃)RX Mapping'!AD58&gt;=361,'(橫掃)RX Mapping'!AD58&lt;=480), (-1)*('(橫掃)RX Mapping'!AD58-480),IF(AND('(橫掃)RX Mapping'!AD58&gt;=481,'(橫掃)RX Mapping'!AD58&lt;=600), ('(橫掃)RX Mapping'!AD58-361),IF(AND('(橫掃)RX Mapping'!AD58&gt;=601,'(橫掃)RX Mapping'!AD58&lt;=720), (-1)*('(橫掃)RX Mapping'!AD58-720)+120,IF(AND('(橫掃)RX Mapping'!AD58&gt;=721,'(橫掃)RX Mapping'!AD58&lt;=840), ('(橫掃)RX Mapping'!AD58-601),IF(AND('(橫掃)RX Mapping'!AD58&gt;=841,'(橫掃)RX Mapping'!AD58&lt;=960), (-1)*('(橫掃)RX Mapping'!AD58-960)+120,9999))))))))</f>
        <v>9999</v>
      </c>
      <c r="AE58">
        <f>IF(AND('(橫掃)RX Mapping'!AE58&gt;=1,'(橫掃)RX Mapping'!AE58&lt;=120), ('(橫掃)RX Mapping'!AE58-1),IF(AND('(橫掃)RX Mapping'!AE58&gt;=121,'(橫掃)RX Mapping'!AE58&lt;=240), (-1)*('(橫掃)RX Mapping'!AE58-240),IF(AND('(橫掃)RX Mapping'!AE58&gt;=241,'(橫掃)RX Mapping'!AE58&lt;=360), ('(橫掃)RX Mapping'!AE58-241),IF(AND('(橫掃)RX Mapping'!AE58&gt;=361,'(橫掃)RX Mapping'!AE58&lt;=480), (-1)*('(橫掃)RX Mapping'!AE58-480),IF(AND('(橫掃)RX Mapping'!AE58&gt;=481,'(橫掃)RX Mapping'!AE58&lt;=600), ('(橫掃)RX Mapping'!AE58-361),IF(AND('(橫掃)RX Mapping'!AE58&gt;=601,'(橫掃)RX Mapping'!AE58&lt;=720), (-1)*('(橫掃)RX Mapping'!AE58-720)+120,IF(AND('(橫掃)RX Mapping'!AE58&gt;=721,'(橫掃)RX Mapping'!AE58&lt;=840), ('(橫掃)RX Mapping'!AE58-601),IF(AND('(橫掃)RX Mapping'!AE58&gt;=841,'(橫掃)RX Mapping'!AE58&lt;=960), (-1)*('(橫掃)RX Mapping'!AE58-960)+120,9999))))))))</f>
        <v>9999</v>
      </c>
      <c r="AF58">
        <f>IF(AND('(橫掃)RX Mapping'!AF58&gt;=1,'(橫掃)RX Mapping'!AF58&lt;=120), ('(橫掃)RX Mapping'!AF58-1),IF(AND('(橫掃)RX Mapping'!AF58&gt;=121,'(橫掃)RX Mapping'!AF58&lt;=240), (-1)*('(橫掃)RX Mapping'!AF58-240),IF(AND('(橫掃)RX Mapping'!AF58&gt;=241,'(橫掃)RX Mapping'!AF58&lt;=360), ('(橫掃)RX Mapping'!AF58-241),IF(AND('(橫掃)RX Mapping'!AF58&gt;=361,'(橫掃)RX Mapping'!AF58&lt;=480), (-1)*('(橫掃)RX Mapping'!AF58-480),IF(AND('(橫掃)RX Mapping'!AF58&gt;=481,'(橫掃)RX Mapping'!AF58&lt;=600), ('(橫掃)RX Mapping'!AF58-361),IF(AND('(橫掃)RX Mapping'!AF58&gt;=601,'(橫掃)RX Mapping'!AF58&lt;=720), (-1)*('(橫掃)RX Mapping'!AF58-720)+120,IF(AND('(橫掃)RX Mapping'!AF58&gt;=721,'(橫掃)RX Mapping'!AF58&lt;=840), ('(橫掃)RX Mapping'!AF58-601),IF(AND('(橫掃)RX Mapping'!AF58&gt;=841,'(橫掃)RX Mapping'!AF58&lt;=960), (-1)*('(橫掃)RX Mapping'!AF58-960)+120,9999))))))))</f>
        <v>9999</v>
      </c>
      <c r="AG58">
        <f>IF(AND('(橫掃)RX Mapping'!AG58&gt;=1,'(橫掃)RX Mapping'!AG58&lt;=120), ('(橫掃)RX Mapping'!AG58-1),IF(AND('(橫掃)RX Mapping'!AG58&gt;=121,'(橫掃)RX Mapping'!AG58&lt;=240), (-1)*('(橫掃)RX Mapping'!AG58-240),IF(AND('(橫掃)RX Mapping'!AG58&gt;=241,'(橫掃)RX Mapping'!AG58&lt;=360), ('(橫掃)RX Mapping'!AG58-241),IF(AND('(橫掃)RX Mapping'!AG58&gt;=361,'(橫掃)RX Mapping'!AG58&lt;=480), (-1)*('(橫掃)RX Mapping'!AG58-480),IF(AND('(橫掃)RX Mapping'!AG58&gt;=481,'(橫掃)RX Mapping'!AG58&lt;=600), ('(橫掃)RX Mapping'!AG58-361),IF(AND('(橫掃)RX Mapping'!AG58&gt;=601,'(橫掃)RX Mapping'!AG58&lt;=720), (-1)*('(橫掃)RX Mapping'!AG58-720)+120,IF(AND('(橫掃)RX Mapping'!AG58&gt;=721,'(橫掃)RX Mapping'!AG58&lt;=840), ('(橫掃)RX Mapping'!AG58-601),IF(AND('(橫掃)RX Mapping'!AG58&gt;=841,'(橫掃)RX Mapping'!AG58&lt;=960), (-1)*('(橫掃)RX Mapping'!AG58-960)+120,9999))))))))</f>
        <v>9999</v>
      </c>
      <c r="AH58">
        <f>IF(AND('(橫掃)RX Mapping'!AH58&gt;=1,'(橫掃)RX Mapping'!AH58&lt;=120), ('(橫掃)RX Mapping'!AH58-1),IF(AND('(橫掃)RX Mapping'!AH58&gt;=121,'(橫掃)RX Mapping'!AH58&lt;=240), (-1)*('(橫掃)RX Mapping'!AH58-240),IF(AND('(橫掃)RX Mapping'!AH58&gt;=241,'(橫掃)RX Mapping'!AH58&lt;=360), ('(橫掃)RX Mapping'!AH58-241),IF(AND('(橫掃)RX Mapping'!AH58&gt;=361,'(橫掃)RX Mapping'!AH58&lt;=480), (-1)*('(橫掃)RX Mapping'!AH58-480),IF(AND('(橫掃)RX Mapping'!AH58&gt;=481,'(橫掃)RX Mapping'!AH58&lt;=600), ('(橫掃)RX Mapping'!AH58-361),IF(AND('(橫掃)RX Mapping'!AH58&gt;=601,'(橫掃)RX Mapping'!AH58&lt;=720), (-1)*('(橫掃)RX Mapping'!AH58-720)+120,IF(AND('(橫掃)RX Mapping'!AH58&gt;=721,'(橫掃)RX Mapping'!AH58&lt;=840), ('(橫掃)RX Mapping'!AH58-601),IF(AND('(橫掃)RX Mapping'!AH58&gt;=841,'(橫掃)RX Mapping'!AH58&lt;=960), (-1)*('(橫掃)RX Mapping'!AH58-960)+120,9999))))))))</f>
        <v>9999</v>
      </c>
      <c r="AI58">
        <f>IF(AND('(橫掃)RX Mapping'!AI58&gt;=1,'(橫掃)RX Mapping'!AI58&lt;=120), ('(橫掃)RX Mapping'!AI58-1),IF(AND('(橫掃)RX Mapping'!AI58&gt;=121,'(橫掃)RX Mapping'!AI58&lt;=240), (-1)*('(橫掃)RX Mapping'!AI58-240),IF(AND('(橫掃)RX Mapping'!AI58&gt;=241,'(橫掃)RX Mapping'!AI58&lt;=360), ('(橫掃)RX Mapping'!AI58-241),IF(AND('(橫掃)RX Mapping'!AI58&gt;=361,'(橫掃)RX Mapping'!AI58&lt;=480), (-1)*('(橫掃)RX Mapping'!AI58-480),IF(AND('(橫掃)RX Mapping'!AI58&gt;=481,'(橫掃)RX Mapping'!AI58&lt;=600), ('(橫掃)RX Mapping'!AI58-361),IF(AND('(橫掃)RX Mapping'!AI58&gt;=601,'(橫掃)RX Mapping'!AI58&lt;=720), (-1)*('(橫掃)RX Mapping'!AI58-720)+120,IF(AND('(橫掃)RX Mapping'!AI58&gt;=721,'(橫掃)RX Mapping'!AI58&lt;=840), ('(橫掃)RX Mapping'!AI58-601),IF(AND('(橫掃)RX Mapping'!AI58&gt;=841,'(橫掃)RX Mapping'!AI58&lt;=960), (-1)*('(橫掃)RX Mapping'!AI58-960)+120,9999))))))))</f>
        <v>9999</v>
      </c>
      <c r="AJ58">
        <f>IF(AND('(橫掃)RX Mapping'!AJ58&gt;=1,'(橫掃)RX Mapping'!AJ58&lt;=120), ('(橫掃)RX Mapping'!AJ58-1),IF(AND('(橫掃)RX Mapping'!AJ58&gt;=121,'(橫掃)RX Mapping'!AJ58&lt;=240), (-1)*('(橫掃)RX Mapping'!AJ58-240),IF(AND('(橫掃)RX Mapping'!AJ58&gt;=241,'(橫掃)RX Mapping'!AJ58&lt;=360), ('(橫掃)RX Mapping'!AJ58-241),IF(AND('(橫掃)RX Mapping'!AJ58&gt;=361,'(橫掃)RX Mapping'!AJ58&lt;=480), (-1)*('(橫掃)RX Mapping'!AJ58-480),IF(AND('(橫掃)RX Mapping'!AJ58&gt;=481,'(橫掃)RX Mapping'!AJ58&lt;=600), ('(橫掃)RX Mapping'!AJ58-361),IF(AND('(橫掃)RX Mapping'!AJ58&gt;=601,'(橫掃)RX Mapping'!AJ58&lt;=720), (-1)*('(橫掃)RX Mapping'!AJ58-720)+120,IF(AND('(橫掃)RX Mapping'!AJ58&gt;=721,'(橫掃)RX Mapping'!AJ58&lt;=840), ('(橫掃)RX Mapping'!AJ58-601),IF(AND('(橫掃)RX Mapping'!AJ58&gt;=841,'(橫掃)RX Mapping'!AJ58&lt;=960), (-1)*('(橫掃)RX Mapping'!AJ58-960)+120,9999))))))))</f>
        <v>9999</v>
      </c>
      <c r="AK58">
        <f>IF(AND('(橫掃)RX Mapping'!AK58&gt;=1,'(橫掃)RX Mapping'!AK58&lt;=120), ('(橫掃)RX Mapping'!AK58-1),IF(AND('(橫掃)RX Mapping'!AK58&gt;=121,'(橫掃)RX Mapping'!AK58&lt;=240), (-1)*('(橫掃)RX Mapping'!AK58-240),IF(AND('(橫掃)RX Mapping'!AK58&gt;=241,'(橫掃)RX Mapping'!AK58&lt;=360), ('(橫掃)RX Mapping'!AK58-241),IF(AND('(橫掃)RX Mapping'!AK58&gt;=361,'(橫掃)RX Mapping'!AK58&lt;=480), (-1)*('(橫掃)RX Mapping'!AK58-480),IF(AND('(橫掃)RX Mapping'!AK58&gt;=481,'(橫掃)RX Mapping'!AK58&lt;=600), ('(橫掃)RX Mapping'!AK58-361),IF(AND('(橫掃)RX Mapping'!AK58&gt;=601,'(橫掃)RX Mapping'!AK58&lt;=720), (-1)*('(橫掃)RX Mapping'!AK58-720)+120,IF(AND('(橫掃)RX Mapping'!AK58&gt;=721,'(橫掃)RX Mapping'!AK58&lt;=840), ('(橫掃)RX Mapping'!AK58-601),IF(AND('(橫掃)RX Mapping'!AK58&gt;=841,'(橫掃)RX Mapping'!AK58&lt;=960), (-1)*('(橫掃)RX Mapping'!AK58-960)+120,9999))))))))</f>
        <v>9999</v>
      </c>
      <c r="AL58">
        <f>IF(AND('(橫掃)RX Mapping'!AL58&gt;=1,'(橫掃)RX Mapping'!AL58&lt;=120), ('(橫掃)RX Mapping'!AL58-1),IF(AND('(橫掃)RX Mapping'!AL58&gt;=121,'(橫掃)RX Mapping'!AL58&lt;=240), (-1)*('(橫掃)RX Mapping'!AL58-240),IF(AND('(橫掃)RX Mapping'!AL58&gt;=241,'(橫掃)RX Mapping'!AL58&lt;=360), ('(橫掃)RX Mapping'!AL58-241),IF(AND('(橫掃)RX Mapping'!AL58&gt;=361,'(橫掃)RX Mapping'!AL58&lt;=480), (-1)*('(橫掃)RX Mapping'!AL58-480),IF(AND('(橫掃)RX Mapping'!AL58&gt;=481,'(橫掃)RX Mapping'!AL58&lt;=600), ('(橫掃)RX Mapping'!AL58-361),IF(AND('(橫掃)RX Mapping'!AL58&gt;=601,'(橫掃)RX Mapping'!AL58&lt;=720), (-1)*('(橫掃)RX Mapping'!AL58-720)+120,IF(AND('(橫掃)RX Mapping'!AL58&gt;=721,'(橫掃)RX Mapping'!AL58&lt;=840), ('(橫掃)RX Mapping'!AL58-601),IF(AND('(橫掃)RX Mapping'!AL58&gt;=841,'(橫掃)RX Mapping'!AL58&lt;=960), (-1)*('(橫掃)RX Mapping'!AL58-960)+120,9999))))))))</f>
        <v>9999</v>
      </c>
      <c r="AM58">
        <f>IF(AND('(橫掃)RX Mapping'!AM58&gt;=1,'(橫掃)RX Mapping'!AM58&lt;=120), ('(橫掃)RX Mapping'!AM58-1),IF(AND('(橫掃)RX Mapping'!AM58&gt;=121,'(橫掃)RX Mapping'!AM58&lt;=240), (-1)*('(橫掃)RX Mapping'!AM58-240),IF(AND('(橫掃)RX Mapping'!AM58&gt;=241,'(橫掃)RX Mapping'!AM58&lt;=360), ('(橫掃)RX Mapping'!AM58-241),IF(AND('(橫掃)RX Mapping'!AM58&gt;=361,'(橫掃)RX Mapping'!AM58&lt;=480), (-1)*('(橫掃)RX Mapping'!AM58-480),IF(AND('(橫掃)RX Mapping'!AM58&gt;=481,'(橫掃)RX Mapping'!AM58&lt;=600), ('(橫掃)RX Mapping'!AM58-361),IF(AND('(橫掃)RX Mapping'!AM58&gt;=601,'(橫掃)RX Mapping'!AM58&lt;=720), (-1)*('(橫掃)RX Mapping'!AM58-720)+120,IF(AND('(橫掃)RX Mapping'!AM58&gt;=721,'(橫掃)RX Mapping'!AM58&lt;=840), ('(橫掃)RX Mapping'!AM58-601),IF(AND('(橫掃)RX Mapping'!AM58&gt;=841,'(橫掃)RX Mapping'!AM58&lt;=960), (-1)*('(橫掃)RX Mapping'!AM58-960)+120,9999))))))))</f>
        <v>9999</v>
      </c>
      <c r="AN58">
        <f>IF(AND('(橫掃)RX Mapping'!AN58&gt;=1,'(橫掃)RX Mapping'!AN58&lt;=120), ('(橫掃)RX Mapping'!AN58-1),IF(AND('(橫掃)RX Mapping'!AN58&gt;=121,'(橫掃)RX Mapping'!AN58&lt;=240), (-1)*('(橫掃)RX Mapping'!AN58-240),IF(AND('(橫掃)RX Mapping'!AN58&gt;=241,'(橫掃)RX Mapping'!AN58&lt;=360), ('(橫掃)RX Mapping'!AN58-241),IF(AND('(橫掃)RX Mapping'!AN58&gt;=361,'(橫掃)RX Mapping'!AN58&lt;=480), (-1)*('(橫掃)RX Mapping'!AN58-480),IF(AND('(橫掃)RX Mapping'!AN58&gt;=481,'(橫掃)RX Mapping'!AN58&lt;=600), ('(橫掃)RX Mapping'!AN58-361),IF(AND('(橫掃)RX Mapping'!AN58&gt;=601,'(橫掃)RX Mapping'!AN58&lt;=720), (-1)*('(橫掃)RX Mapping'!AN58-720)+120,IF(AND('(橫掃)RX Mapping'!AN58&gt;=721,'(橫掃)RX Mapping'!AN58&lt;=840), ('(橫掃)RX Mapping'!AN58-601),IF(AND('(橫掃)RX Mapping'!AN58&gt;=841,'(橫掃)RX Mapping'!AN58&lt;=960), (-1)*('(橫掃)RX Mapping'!AN58-960)+120,9999))))))))</f>
        <v>9999</v>
      </c>
      <c r="AO58">
        <f>IF(AND('(橫掃)RX Mapping'!AO58&gt;=1,'(橫掃)RX Mapping'!AO58&lt;=120), ('(橫掃)RX Mapping'!AO58-1),IF(AND('(橫掃)RX Mapping'!AO58&gt;=121,'(橫掃)RX Mapping'!AO58&lt;=240), (-1)*('(橫掃)RX Mapping'!AO58-240),IF(AND('(橫掃)RX Mapping'!AO58&gt;=241,'(橫掃)RX Mapping'!AO58&lt;=360), ('(橫掃)RX Mapping'!AO58-241),IF(AND('(橫掃)RX Mapping'!AO58&gt;=361,'(橫掃)RX Mapping'!AO58&lt;=480), (-1)*('(橫掃)RX Mapping'!AO58-480),IF(AND('(橫掃)RX Mapping'!AO58&gt;=481,'(橫掃)RX Mapping'!AO58&lt;=600), ('(橫掃)RX Mapping'!AO58-361),IF(AND('(橫掃)RX Mapping'!AO58&gt;=601,'(橫掃)RX Mapping'!AO58&lt;=720), (-1)*('(橫掃)RX Mapping'!AO58-720)+120,IF(AND('(橫掃)RX Mapping'!AO58&gt;=721,'(橫掃)RX Mapping'!AO58&lt;=840), ('(橫掃)RX Mapping'!AO58-601),IF(AND('(橫掃)RX Mapping'!AO58&gt;=841,'(橫掃)RX Mapping'!AO58&lt;=960), (-1)*('(橫掃)RX Mapping'!AO58-960)+120,9999))))))))</f>
        <v>9999</v>
      </c>
      <c r="AP58">
        <f>IF(AND('(橫掃)RX Mapping'!AP58&gt;=1,'(橫掃)RX Mapping'!AP58&lt;=120), ('(橫掃)RX Mapping'!AP58-1),IF(AND('(橫掃)RX Mapping'!AP58&gt;=121,'(橫掃)RX Mapping'!AP58&lt;=240), (-1)*('(橫掃)RX Mapping'!AP58-240),IF(AND('(橫掃)RX Mapping'!AP58&gt;=241,'(橫掃)RX Mapping'!AP58&lt;=360), ('(橫掃)RX Mapping'!AP58-241),IF(AND('(橫掃)RX Mapping'!AP58&gt;=361,'(橫掃)RX Mapping'!AP58&lt;=480), (-1)*('(橫掃)RX Mapping'!AP58-480),IF(AND('(橫掃)RX Mapping'!AP58&gt;=481,'(橫掃)RX Mapping'!AP58&lt;=600), ('(橫掃)RX Mapping'!AP58-361),IF(AND('(橫掃)RX Mapping'!AP58&gt;=601,'(橫掃)RX Mapping'!AP58&lt;=720), (-1)*('(橫掃)RX Mapping'!AP58-720)+120,IF(AND('(橫掃)RX Mapping'!AP58&gt;=721,'(橫掃)RX Mapping'!AP58&lt;=840), ('(橫掃)RX Mapping'!AP58-601),IF(AND('(橫掃)RX Mapping'!AP58&gt;=841,'(橫掃)RX Mapping'!AP58&lt;=960), (-1)*('(橫掃)RX Mapping'!AP58-960)+120,9999))))))))</f>
        <v>9999</v>
      </c>
      <c r="AQ58">
        <f>IF(AND('(橫掃)RX Mapping'!AQ58&gt;=1,'(橫掃)RX Mapping'!AQ58&lt;=120), ('(橫掃)RX Mapping'!AQ58-1),IF(AND('(橫掃)RX Mapping'!AQ58&gt;=121,'(橫掃)RX Mapping'!AQ58&lt;=240), (-1)*('(橫掃)RX Mapping'!AQ58-240),IF(AND('(橫掃)RX Mapping'!AQ58&gt;=241,'(橫掃)RX Mapping'!AQ58&lt;=360), ('(橫掃)RX Mapping'!AQ58-241),IF(AND('(橫掃)RX Mapping'!AQ58&gt;=361,'(橫掃)RX Mapping'!AQ58&lt;=480), (-1)*('(橫掃)RX Mapping'!AQ58-480),IF(AND('(橫掃)RX Mapping'!AQ58&gt;=481,'(橫掃)RX Mapping'!AQ58&lt;=600), ('(橫掃)RX Mapping'!AQ58-361),IF(AND('(橫掃)RX Mapping'!AQ58&gt;=601,'(橫掃)RX Mapping'!AQ58&lt;=720), (-1)*('(橫掃)RX Mapping'!AQ58-720)+120,IF(AND('(橫掃)RX Mapping'!AQ58&gt;=721,'(橫掃)RX Mapping'!AQ58&lt;=840), ('(橫掃)RX Mapping'!AQ58-601),IF(AND('(橫掃)RX Mapping'!AQ58&gt;=841,'(橫掃)RX Mapping'!AQ58&lt;=960), (-1)*('(橫掃)RX Mapping'!AQ58-960)+120,9999))))))))</f>
        <v>9999</v>
      </c>
      <c r="AR58">
        <f>IF(AND('(橫掃)RX Mapping'!AR58&gt;=1,'(橫掃)RX Mapping'!AR58&lt;=120), ('(橫掃)RX Mapping'!AR58-1),IF(AND('(橫掃)RX Mapping'!AR58&gt;=121,'(橫掃)RX Mapping'!AR58&lt;=240), (-1)*('(橫掃)RX Mapping'!AR58-240),IF(AND('(橫掃)RX Mapping'!AR58&gt;=241,'(橫掃)RX Mapping'!AR58&lt;=360), ('(橫掃)RX Mapping'!AR58-241),IF(AND('(橫掃)RX Mapping'!AR58&gt;=361,'(橫掃)RX Mapping'!AR58&lt;=480), (-1)*('(橫掃)RX Mapping'!AR58-480),IF(AND('(橫掃)RX Mapping'!AR58&gt;=481,'(橫掃)RX Mapping'!AR58&lt;=600), ('(橫掃)RX Mapping'!AR58-361),IF(AND('(橫掃)RX Mapping'!AR58&gt;=601,'(橫掃)RX Mapping'!AR58&lt;=720), (-1)*('(橫掃)RX Mapping'!AR58-720)+120,IF(AND('(橫掃)RX Mapping'!AR58&gt;=721,'(橫掃)RX Mapping'!AR58&lt;=840), ('(橫掃)RX Mapping'!AR58-601),IF(AND('(橫掃)RX Mapping'!AR58&gt;=841,'(橫掃)RX Mapping'!AR58&lt;=960), (-1)*('(橫掃)RX Mapping'!AR58-960)+120,9999))))))))</f>
        <v>9999</v>
      </c>
      <c r="AS58">
        <f>IF(AND('(橫掃)RX Mapping'!AS58&gt;=1,'(橫掃)RX Mapping'!AS58&lt;=120), ('(橫掃)RX Mapping'!AS58-1),IF(AND('(橫掃)RX Mapping'!AS58&gt;=121,'(橫掃)RX Mapping'!AS58&lt;=240), (-1)*('(橫掃)RX Mapping'!AS58-240),IF(AND('(橫掃)RX Mapping'!AS58&gt;=241,'(橫掃)RX Mapping'!AS58&lt;=360), ('(橫掃)RX Mapping'!AS58-241),IF(AND('(橫掃)RX Mapping'!AS58&gt;=361,'(橫掃)RX Mapping'!AS58&lt;=480), (-1)*('(橫掃)RX Mapping'!AS58-480),IF(AND('(橫掃)RX Mapping'!AS58&gt;=481,'(橫掃)RX Mapping'!AS58&lt;=600), ('(橫掃)RX Mapping'!AS58-361),IF(AND('(橫掃)RX Mapping'!AS58&gt;=601,'(橫掃)RX Mapping'!AS58&lt;=720), (-1)*('(橫掃)RX Mapping'!AS58-720)+120,IF(AND('(橫掃)RX Mapping'!AS58&gt;=721,'(橫掃)RX Mapping'!AS58&lt;=840), ('(橫掃)RX Mapping'!AS58-601),IF(AND('(橫掃)RX Mapping'!AS58&gt;=841,'(橫掃)RX Mapping'!AS58&lt;=960), (-1)*('(橫掃)RX Mapping'!AS58-960)+120,9999))))))))</f>
        <v>9999</v>
      </c>
      <c r="AT58">
        <f>IF(AND('(橫掃)RX Mapping'!AT58&gt;=1,'(橫掃)RX Mapping'!AT58&lt;=120), ('(橫掃)RX Mapping'!AT58-1),IF(AND('(橫掃)RX Mapping'!AT58&gt;=121,'(橫掃)RX Mapping'!AT58&lt;=240), (-1)*('(橫掃)RX Mapping'!AT58-240),IF(AND('(橫掃)RX Mapping'!AT58&gt;=241,'(橫掃)RX Mapping'!AT58&lt;=360), ('(橫掃)RX Mapping'!AT58-241),IF(AND('(橫掃)RX Mapping'!AT58&gt;=361,'(橫掃)RX Mapping'!AT58&lt;=480), (-1)*('(橫掃)RX Mapping'!AT58-480),IF(AND('(橫掃)RX Mapping'!AT58&gt;=481,'(橫掃)RX Mapping'!AT58&lt;=600), ('(橫掃)RX Mapping'!AT58-361),IF(AND('(橫掃)RX Mapping'!AT58&gt;=601,'(橫掃)RX Mapping'!AT58&lt;=720), (-1)*('(橫掃)RX Mapping'!AT58-720)+120,IF(AND('(橫掃)RX Mapping'!AT58&gt;=721,'(橫掃)RX Mapping'!AT58&lt;=840), ('(橫掃)RX Mapping'!AT58-601),IF(AND('(橫掃)RX Mapping'!AT58&gt;=841,'(橫掃)RX Mapping'!AT58&lt;=960), (-1)*('(橫掃)RX Mapping'!AT58-960)+120,9999))))))))</f>
        <v>9999</v>
      </c>
      <c r="AU58">
        <f>IF(AND('(橫掃)RX Mapping'!AU58&gt;=1,'(橫掃)RX Mapping'!AU58&lt;=120), ('(橫掃)RX Mapping'!AU58-1),IF(AND('(橫掃)RX Mapping'!AU58&gt;=121,'(橫掃)RX Mapping'!AU58&lt;=240), (-1)*('(橫掃)RX Mapping'!AU58-240),IF(AND('(橫掃)RX Mapping'!AU58&gt;=241,'(橫掃)RX Mapping'!AU58&lt;=360), ('(橫掃)RX Mapping'!AU58-241),IF(AND('(橫掃)RX Mapping'!AU58&gt;=361,'(橫掃)RX Mapping'!AU58&lt;=480), (-1)*('(橫掃)RX Mapping'!AU58-480),IF(AND('(橫掃)RX Mapping'!AU58&gt;=481,'(橫掃)RX Mapping'!AU58&lt;=600), ('(橫掃)RX Mapping'!AU58-361),IF(AND('(橫掃)RX Mapping'!AU58&gt;=601,'(橫掃)RX Mapping'!AU58&lt;=720), (-1)*('(橫掃)RX Mapping'!AU58-720)+120,IF(AND('(橫掃)RX Mapping'!AU58&gt;=721,'(橫掃)RX Mapping'!AU58&lt;=840), ('(橫掃)RX Mapping'!AU58-601),IF(AND('(橫掃)RX Mapping'!AU58&gt;=841,'(橫掃)RX Mapping'!AU58&lt;=960), (-1)*('(橫掃)RX Mapping'!AU58-960)+120,9999))))))))</f>
        <v>9999</v>
      </c>
      <c r="AV58">
        <f>IF(AND('(橫掃)RX Mapping'!AV58&gt;=1,'(橫掃)RX Mapping'!AV58&lt;=120), ('(橫掃)RX Mapping'!AV58-1),IF(AND('(橫掃)RX Mapping'!AV58&gt;=121,'(橫掃)RX Mapping'!AV58&lt;=240), (-1)*('(橫掃)RX Mapping'!AV58-240),IF(AND('(橫掃)RX Mapping'!AV58&gt;=241,'(橫掃)RX Mapping'!AV58&lt;=360), ('(橫掃)RX Mapping'!AV58-241),IF(AND('(橫掃)RX Mapping'!AV58&gt;=361,'(橫掃)RX Mapping'!AV58&lt;=480), (-1)*('(橫掃)RX Mapping'!AV58-480),IF(AND('(橫掃)RX Mapping'!AV58&gt;=481,'(橫掃)RX Mapping'!AV58&lt;=600), ('(橫掃)RX Mapping'!AV58-361),IF(AND('(橫掃)RX Mapping'!AV58&gt;=601,'(橫掃)RX Mapping'!AV58&lt;=720), (-1)*('(橫掃)RX Mapping'!AV58-720)+120,IF(AND('(橫掃)RX Mapping'!AV58&gt;=721,'(橫掃)RX Mapping'!AV58&lt;=840), ('(橫掃)RX Mapping'!AV58-601),IF(AND('(橫掃)RX Mapping'!AV58&gt;=841,'(橫掃)RX Mapping'!AV58&lt;=960), (-1)*('(橫掃)RX Mapping'!AV58-960)+120,9999))))))))</f>
        <v>9999</v>
      </c>
      <c r="AW58">
        <f>IF(AND('(橫掃)RX Mapping'!AW58&gt;=1,'(橫掃)RX Mapping'!AW58&lt;=120), ('(橫掃)RX Mapping'!AW58-1),IF(AND('(橫掃)RX Mapping'!AW58&gt;=121,'(橫掃)RX Mapping'!AW58&lt;=240), (-1)*('(橫掃)RX Mapping'!AW58-240),IF(AND('(橫掃)RX Mapping'!AW58&gt;=241,'(橫掃)RX Mapping'!AW58&lt;=360), ('(橫掃)RX Mapping'!AW58-241),IF(AND('(橫掃)RX Mapping'!AW58&gt;=361,'(橫掃)RX Mapping'!AW58&lt;=480), (-1)*('(橫掃)RX Mapping'!AW58-480),IF(AND('(橫掃)RX Mapping'!AW58&gt;=481,'(橫掃)RX Mapping'!AW58&lt;=600), ('(橫掃)RX Mapping'!AW58-361),IF(AND('(橫掃)RX Mapping'!AW58&gt;=601,'(橫掃)RX Mapping'!AW58&lt;=720), (-1)*('(橫掃)RX Mapping'!AW58-720)+120,IF(AND('(橫掃)RX Mapping'!AW58&gt;=721,'(橫掃)RX Mapping'!AW58&lt;=840), ('(橫掃)RX Mapping'!AW58-601),IF(AND('(橫掃)RX Mapping'!AW58&gt;=841,'(橫掃)RX Mapping'!AW58&lt;=960), (-1)*('(橫掃)RX Mapping'!AW58-960)+120,9999))))))))</f>
        <v>9999</v>
      </c>
      <c r="AX58">
        <f>IF(AND('(橫掃)RX Mapping'!AX58&gt;=1,'(橫掃)RX Mapping'!AX58&lt;=120), ('(橫掃)RX Mapping'!AX58-1),IF(AND('(橫掃)RX Mapping'!AX58&gt;=121,'(橫掃)RX Mapping'!AX58&lt;=240), (-1)*('(橫掃)RX Mapping'!AX58-240),IF(AND('(橫掃)RX Mapping'!AX58&gt;=241,'(橫掃)RX Mapping'!AX58&lt;=360), ('(橫掃)RX Mapping'!AX58-241),IF(AND('(橫掃)RX Mapping'!AX58&gt;=361,'(橫掃)RX Mapping'!AX58&lt;=480), (-1)*('(橫掃)RX Mapping'!AX58-480),IF(AND('(橫掃)RX Mapping'!AX58&gt;=481,'(橫掃)RX Mapping'!AX58&lt;=600), ('(橫掃)RX Mapping'!AX58-361),IF(AND('(橫掃)RX Mapping'!AX58&gt;=601,'(橫掃)RX Mapping'!AX58&lt;=720), (-1)*('(橫掃)RX Mapping'!AX58-720)+120,IF(AND('(橫掃)RX Mapping'!AX58&gt;=721,'(橫掃)RX Mapping'!AX58&lt;=840), ('(橫掃)RX Mapping'!AX58-601),IF(AND('(橫掃)RX Mapping'!AX58&gt;=841,'(橫掃)RX Mapping'!AX58&lt;=960), (-1)*('(橫掃)RX Mapping'!AX58-960)+120,9999))))))))</f>
        <v>9999</v>
      </c>
      <c r="AY58">
        <f>IF(AND('(橫掃)RX Mapping'!AY58&gt;=1,'(橫掃)RX Mapping'!AY58&lt;=120), ('(橫掃)RX Mapping'!AY58-1),IF(AND('(橫掃)RX Mapping'!AY58&gt;=121,'(橫掃)RX Mapping'!AY58&lt;=240), (-1)*('(橫掃)RX Mapping'!AY58-240),IF(AND('(橫掃)RX Mapping'!AY58&gt;=241,'(橫掃)RX Mapping'!AY58&lt;=360), ('(橫掃)RX Mapping'!AY58-241),IF(AND('(橫掃)RX Mapping'!AY58&gt;=361,'(橫掃)RX Mapping'!AY58&lt;=480), (-1)*('(橫掃)RX Mapping'!AY58-480),IF(AND('(橫掃)RX Mapping'!AY58&gt;=481,'(橫掃)RX Mapping'!AY58&lt;=600), ('(橫掃)RX Mapping'!AY58-361),IF(AND('(橫掃)RX Mapping'!AY58&gt;=601,'(橫掃)RX Mapping'!AY58&lt;=720), (-1)*('(橫掃)RX Mapping'!AY58-720)+120,IF(AND('(橫掃)RX Mapping'!AY58&gt;=721,'(橫掃)RX Mapping'!AY58&lt;=840), ('(橫掃)RX Mapping'!AY58-601),IF(AND('(橫掃)RX Mapping'!AY58&gt;=841,'(橫掃)RX Mapping'!AY58&lt;=960), (-1)*('(橫掃)RX Mapping'!AY58-960)+120,9999))))))))</f>
        <v>9999</v>
      </c>
      <c r="AZ58">
        <f>IF(AND('(橫掃)RX Mapping'!AZ58&gt;=1,'(橫掃)RX Mapping'!AZ58&lt;=120), ('(橫掃)RX Mapping'!AZ58-1),IF(AND('(橫掃)RX Mapping'!AZ58&gt;=121,'(橫掃)RX Mapping'!AZ58&lt;=240), (-1)*('(橫掃)RX Mapping'!AZ58-240),IF(AND('(橫掃)RX Mapping'!AZ58&gt;=241,'(橫掃)RX Mapping'!AZ58&lt;=360), ('(橫掃)RX Mapping'!AZ58-241),IF(AND('(橫掃)RX Mapping'!AZ58&gt;=361,'(橫掃)RX Mapping'!AZ58&lt;=480), (-1)*('(橫掃)RX Mapping'!AZ58-480),IF(AND('(橫掃)RX Mapping'!AZ58&gt;=481,'(橫掃)RX Mapping'!AZ58&lt;=600), ('(橫掃)RX Mapping'!AZ58-361),IF(AND('(橫掃)RX Mapping'!AZ58&gt;=601,'(橫掃)RX Mapping'!AZ58&lt;=720), (-1)*('(橫掃)RX Mapping'!AZ58-720)+120,IF(AND('(橫掃)RX Mapping'!AZ58&gt;=721,'(橫掃)RX Mapping'!AZ58&lt;=840), ('(橫掃)RX Mapping'!AZ58-601),IF(AND('(橫掃)RX Mapping'!AZ58&gt;=841,'(橫掃)RX Mapping'!AZ58&lt;=960), (-1)*('(橫掃)RX Mapping'!AZ58-960)+120,9999))))))))</f>
        <v>9999</v>
      </c>
      <c r="BA58">
        <f>IF(AND('(橫掃)RX Mapping'!BA58&gt;=1,'(橫掃)RX Mapping'!BA58&lt;=120), ('(橫掃)RX Mapping'!BA58-1),IF(AND('(橫掃)RX Mapping'!BA58&gt;=121,'(橫掃)RX Mapping'!BA58&lt;=240), (-1)*('(橫掃)RX Mapping'!BA58-240),IF(AND('(橫掃)RX Mapping'!BA58&gt;=241,'(橫掃)RX Mapping'!BA58&lt;=360), ('(橫掃)RX Mapping'!BA58-241),IF(AND('(橫掃)RX Mapping'!BA58&gt;=361,'(橫掃)RX Mapping'!BA58&lt;=480), (-1)*('(橫掃)RX Mapping'!BA58-480),IF(AND('(橫掃)RX Mapping'!BA58&gt;=481,'(橫掃)RX Mapping'!BA58&lt;=600), ('(橫掃)RX Mapping'!BA58-361),IF(AND('(橫掃)RX Mapping'!BA58&gt;=601,'(橫掃)RX Mapping'!BA58&lt;=720), (-1)*('(橫掃)RX Mapping'!BA58-720)+120,IF(AND('(橫掃)RX Mapping'!BA58&gt;=721,'(橫掃)RX Mapping'!BA58&lt;=840), ('(橫掃)RX Mapping'!BA58-601),IF(AND('(橫掃)RX Mapping'!BA58&gt;=841,'(橫掃)RX Mapping'!BA58&lt;=960), (-1)*('(橫掃)RX Mapping'!BA58-960)+120,9999))))))))</f>
        <v>9999</v>
      </c>
      <c r="BB58">
        <f>IF(AND('(橫掃)RX Mapping'!BB58&gt;=1,'(橫掃)RX Mapping'!BB58&lt;=120), ('(橫掃)RX Mapping'!BB58-1),IF(AND('(橫掃)RX Mapping'!BB58&gt;=121,'(橫掃)RX Mapping'!BB58&lt;=240), (-1)*('(橫掃)RX Mapping'!BB58-240),IF(AND('(橫掃)RX Mapping'!BB58&gt;=241,'(橫掃)RX Mapping'!BB58&lt;=360), ('(橫掃)RX Mapping'!BB58-241),IF(AND('(橫掃)RX Mapping'!BB58&gt;=361,'(橫掃)RX Mapping'!BB58&lt;=480), (-1)*('(橫掃)RX Mapping'!BB58-480),IF(AND('(橫掃)RX Mapping'!BB58&gt;=481,'(橫掃)RX Mapping'!BB58&lt;=600), ('(橫掃)RX Mapping'!BB58-361),IF(AND('(橫掃)RX Mapping'!BB58&gt;=601,'(橫掃)RX Mapping'!BB58&lt;=720), (-1)*('(橫掃)RX Mapping'!BB58-720)+120,IF(AND('(橫掃)RX Mapping'!BB58&gt;=721,'(橫掃)RX Mapping'!BB58&lt;=840), ('(橫掃)RX Mapping'!BB58-601),IF(AND('(橫掃)RX Mapping'!BB58&gt;=841,'(橫掃)RX Mapping'!BB58&lt;=960), (-1)*('(橫掃)RX Mapping'!BB58-960)+120,9999))))))))</f>
        <v>9999</v>
      </c>
      <c r="BC58">
        <f>IF(AND('(橫掃)RX Mapping'!BC58&gt;=1,'(橫掃)RX Mapping'!BC58&lt;=120), ('(橫掃)RX Mapping'!BC58-1),IF(AND('(橫掃)RX Mapping'!BC58&gt;=121,'(橫掃)RX Mapping'!BC58&lt;=240), (-1)*('(橫掃)RX Mapping'!BC58-240),IF(AND('(橫掃)RX Mapping'!BC58&gt;=241,'(橫掃)RX Mapping'!BC58&lt;=360), ('(橫掃)RX Mapping'!BC58-241),IF(AND('(橫掃)RX Mapping'!BC58&gt;=361,'(橫掃)RX Mapping'!BC58&lt;=480), (-1)*('(橫掃)RX Mapping'!BC58-480),IF(AND('(橫掃)RX Mapping'!BC58&gt;=481,'(橫掃)RX Mapping'!BC58&lt;=600), ('(橫掃)RX Mapping'!BC58-361),IF(AND('(橫掃)RX Mapping'!BC58&gt;=601,'(橫掃)RX Mapping'!BC58&lt;=720), (-1)*('(橫掃)RX Mapping'!BC58-720)+120,IF(AND('(橫掃)RX Mapping'!BC58&gt;=721,'(橫掃)RX Mapping'!BC58&lt;=840), ('(橫掃)RX Mapping'!BC58-601),IF(AND('(橫掃)RX Mapping'!BC58&gt;=841,'(橫掃)RX Mapping'!BC58&lt;=960), (-1)*('(橫掃)RX Mapping'!BC58-960)+120,9999))))))))</f>
        <v>9999</v>
      </c>
      <c r="BD58">
        <f>IF(AND('(橫掃)RX Mapping'!BD58&gt;=1,'(橫掃)RX Mapping'!BD58&lt;=120), ('(橫掃)RX Mapping'!BD58-1),IF(AND('(橫掃)RX Mapping'!BD58&gt;=121,'(橫掃)RX Mapping'!BD58&lt;=240), (-1)*('(橫掃)RX Mapping'!BD58-240),IF(AND('(橫掃)RX Mapping'!BD58&gt;=241,'(橫掃)RX Mapping'!BD58&lt;=360), ('(橫掃)RX Mapping'!BD58-241),IF(AND('(橫掃)RX Mapping'!BD58&gt;=361,'(橫掃)RX Mapping'!BD58&lt;=480), (-1)*('(橫掃)RX Mapping'!BD58-480),IF(AND('(橫掃)RX Mapping'!BD58&gt;=481,'(橫掃)RX Mapping'!BD58&lt;=600), ('(橫掃)RX Mapping'!BD58-361),IF(AND('(橫掃)RX Mapping'!BD58&gt;=601,'(橫掃)RX Mapping'!BD58&lt;=720), (-1)*('(橫掃)RX Mapping'!BD58-720)+120,IF(AND('(橫掃)RX Mapping'!BD58&gt;=721,'(橫掃)RX Mapping'!BD58&lt;=840), ('(橫掃)RX Mapping'!BD58-601),IF(AND('(橫掃)RX Mapping'!BD58&gt;=841,'(橫掃)RX Mapping'!BD58&lt;=960), (-1)*('(橫掃)RX Mapping'!BD58-960)+120,9999))))))))</f>
        <v>9999</v>
      </c>
      <c r="BE58">
        <f>IF(AND('(橫掃)RX Mapping'!BE58&gt;=1,'(橫掃)RX Mapping'!BE58&lt;=120), ('(橫掃)RX Mapping'!BE58-1),IF(AND('(橫掃)RX Mapping'!BE58&gt;=121,'(橫掃)RX Mapping'!BE58&lt;=240), (-1)*('(橫掃)RX Mapping'!BE58-240),IF(AND('(橫掃)RX Mapping'!BE58&gt;=241,'(橫掃)RX Mapping'!BE58&lt;=360), ('(橫掃)RX Mapping'!BE58-241),IF(AND('(橫掃)RX Mapping'!BE58&gt;=361,'(橫掃)RX Mapping'!BE58&lt;=480), (-1)*('(橫掃)RX Mapping'!BE58-480),IF(AND('(橫掃)RX Mapping'!BE58&gt;=481,'(橫掃)RX Mapping'!BE58&lt;=600), ('(橫掃)RX Mapping'!BE58-361),IF(AND('(橫掃)RX Mapping'!BE58&gt;=601,'(橫掃)RX Mapping'!BE58&lt;=720), (-1)*('(橫掃)RX Mapping'!BE58-720)+120,IF(AND('(橫掃)RX Mapping'!BE58&gt;=721,'(橫掃)RX Mapping'!BE58&lt;=840), ('(橫掃)RX Mapping'!BE58-601),IF(AND('(橫掃)RX Mapping'!BE58&gt;=841,'(橫掃)RX Mapping'!BE58&lt;=960), (-1)*('(橫掃)RX Mapping'!BE58-960)+120,9999))))))))</f>
        <v>9999</v>
      </c>
      <c r="BF58">
        <f>IF(AND('(橫掃)RX Mapping'!BF58&gt;=1,'(橫掃)RX Mapping'!BF58&lt;=120), ('(橫掃)RX Mapping'!BF58-1),IF(AND('(橫掃)RX Mapping'!BF58&gt;=121,'(橫掃)RX Mapping'!BF58&lt;=240), (-1)*('(橫掃)RX Mapping'!BF58-240),IF(AND('(橫掃)RX Mapping'!BF58&gt;=241,'(橫掃)RX Mapping'!BF58&lt;=360), ('(橫掃)RX Mapping'!BF58-241),IF(AND('(橫掃)RX Mapping'!BF58&gt;=361,'(橫掃)RX Mapping'!BF58&lt;=480), (-1)*('(橫掃)RX Mapping'!BF58-480),IF(AND('(橫掃)RX Mapping'!BF58&gt;=481,'(橫掃)RX Mapping'!BF58&lt;=600), ('(橫掃)RX Mapping'!BF58-361),IF(AND('(橫掃)RX Mapping'!BF58&gt;=601,'(橫掃)RX Mapping'!BF58&lt;=720), (-1)*('(橫掃)RX Mapping'!BF58-720)+120,IF(AND('(橫掃)RX Mapping'!BF58&gt;=721,'(橫掃)RX Mapping'!BF58&lt;=840), ('(橫掃)RX Mapping'!BF58-601),IF(AND('(橫掃)RX Mapping'!BF58&gt;=841,'(橫掃)RX Mapping'!BF58&lt;=960), (-1)*('(橫掃)RX Mapping'!BF58-960)+120,9999))))))))</f>
        <v>9999</v>
      </c>
      <c r="BG58">
        <f>IF(AND('(橫掃)RX Mapping'!BG58&gt;=1,'(橫掃)RX Mapping'!BG58&lt;=120), ('(橫掃)RX Mapping'!BG58-1),IF(AND('(橫掃)RX Mapping'!BG58&gt;=121,'(橫掃)RX Mapping'!BG58&lt;=240), (-1)*('(橫掃)RX Mapping'!BG58-240),IF(AND('(橫掃)RX Mapping'!BG58&gt;=241,'(橫掃)RX Mapping'!BG58&lt;=360), ('(橫掃)RX Mapping'!BG58-241),IF(AND('(橫掃)RX Mapping'!BG58&gt;=361,'(橫掃)RX Mapping'!BG58&lt;=480), (-1)*('(橫掃)RX Mapping'!BG58-480),IF(AND('(橫掃)RX Mapping'!BG58&gt;=481,'(橫掃)RX Mapping'!BG58&lt;=600), ('(橫掃)RX Mapping'!BG58-361),IF(AND('(橫掃)RX Mapping'!BG58&gt;=601,'(橫掃)RX Mapping'!BG58&lt;=720), (-1)*('(橫掃)RX Mapping'!BG58-720)+120,IF(AND('(橫掃)RX Mapping'!BG58&gt;=721,'(橫掃)RX Mapping'!BG58&lt;=840), ('(橫掃)RX Mapping'!BG58-601),IF(AND('(橫掃)RX Mapping'!BG58&gt;=841,'(橫掃)RX Mapping'!BG58&lt;=960), (-1)*('(橫掃)RX Mapping'!BG58-960)+120,9999))))))))</f>
        <v>9999</v>
      </c>
      <c r="BH58">
        <f>IF(AND('(橫掃)RX Mapping'!BH58&gt;=1,'(橫掃)RX Mapping'!BH58&lt;=120), ('(橫掃)RX Mapping'!BH58-1),IF(AND('(橫掃)RX Mapping'!BH58&gt;=121,'(橫掃)RX Mapping'!BH58&lt;=240), (-1)*('(橫掃)RX Mapping'!BH58-240),IF(AND('(橫掃)RX Mapping'!BH58&gt;=241,'(橫掃)RX Mapping'!BH58&lt;=360), ('(橫掃)RX Mapping'!BH58-241),IF(AND('(橫掃)RX Mapping'!BH58&gt;=361,'(橫掃)RX Mapping'!BH58&lt;=480), (-1)*('(橫掃)RX Mapping'!BH58-480),IF(AND('(橫掃)RX Mapping'!BH58&gt;=481,'(橫掃)RX Mapping'!BH58&lt;=600), ('(橫掃)RX Mapping'!BH58-361),IF(AND('(橫掃)RX Mapping'!BH58&gt;=601,'(橫掃)RX Mapping'!BH58&lt;=720), (-1)*('(橫掃)RX Mapping'!BH58-720)+120,IF(AND('(橫掃)RX Mapping'!BH58&gt;=721,'(橫掃)RX Mapping'!BH58&lt;=840), ('(橫掃)RX Mapping'!BH58-601),IF(AND('(橫掃)RX Mapping'!BH58&gt;=841,'(橫掃)RX Mapping'!BH58&lt;=960), (-1)*('(橫掃)RX Mapping'!BH58-960)+120,9999))))))))</f>
        <v>9999</v>
      </c>
      <c r="BI58">
        <f>IF(AND('(橫掃)RX Mapping'!BI58&gt;=1,'(橫掃)RX Mapping'!BI58&lt;=120), ('(橫掃)RX Mapping'!BI58-1),IF(AND('(橫掃)RX Mapping'!BI58&gt;=121,'(橫掃)RX Mapping'!BI58&lt;=240), (-1)*('(橫掃)RX Mapping'!BI58-240),IF(AND('(橫掃)RX Mapping'!BI58&gt;=241,'(橫掃)RX Mapping'!BI58&lt;=360), ('(橫掃)RX Mapping'!BI58-241),IF(AND('(橫掃)RX Mapping'!BI58&gt;=361,'(橫掃)RX Mapping'!BI58&lt;=480), (-1)*('(橫掃)RX Mapping'!BI58-480),IF(AND('(橫掃)RX Mapping'!BI58&gt;=481,'(橫掃)RX Mapping'!BI58&lt;=600), ('(橫掃)RX Mapping'!BI58-361),IF(AND('(橫掃)RX Mapping'!BI58&gt;=601,'(橫掃)RX Mapping'!BI58&lt;=720), (-1)*('(橫掃)RX Mapping'!BI58-720)+120,IF(AND('(橫掃)RX Mapping'!BI58&gt;=721,'(橫掃)RX Mapping'!BI58&lt;=840), ('(橫掃)RX Mapping'!BI58-601),IF(AND('(橫掃)RX Mapping'!BI58&gt;=841,'(橫掃)RX Mapping'!BI58&lt;=960), (-1)*('(橫掃)RX Mapping'!BI58-960)+120,9999))))))))</f>
        <v>9999</v>
      </c>
    </row>
    <row r="59" spans="1:61" x14ac:dyDescent="0.25">
      <c r="A59" s="20">
        <v>58</v>
      </c>
      <c r="B59">
        <f>IF(AND('(橫掃)RX Mapping'!B59&gt;=1,'(橫掃)RX Mapping'!B59&lt;=120), ('(橫掃)RX Mapping'!B59-1),IF(AND('(橫掃)RX Mapping'!B59&gt;=121,'(橫掃)RX Mapping'!B59&lt;=240), (-1)*('(橫掃)RX Mapping'!B59-240),IF(AND('(橫掃)RX Mapping'!B59&gt;=241,'(橫掃)RX Mapping'!B59&lt;=360), ('(橫掃)RX Mapping'!B59-241),IF(AND('(橫掃)RX Mapping'!B59&gt;=361,'(橫掃)RX Mapping'!B59&lt;=480), (-1)*('(橫掃)RX Mapping'!B59-480),IF(AND('(橫掃)RX Mapping'!B59&gt;=481,'(橫掃)RX Mapping'!B59&lt;=600), ('(橫掃)RX Mapping'!B59-361),IF(AND('(橫掃)RX Mapping'!B59&gt;=601,'(橫掃)RX Mapping'!B59&lt;=720), (-1)*('(橫掃)RX Mapping'!B59-720)+120,IF(AND('(橫掃)RX Mapping'!B59&gt;=721,'(橫掃)RX Mapping'!B59&lt;=840), ('(橫掃)RX Mapping'!B59-601),IF(AND('(橫掃)RX Mapping'!B59&gt;=841,'(橫掃)RX Mapping'!B59&lt;=960), (-1)*('(橫掃)RX Mapping'!B59-960)+120,9999))))))))</f>
        <v>9999</v>
      </c>
      <c r="C59">
        <f>IF(AND('(橫掃)RX Mapping'!C59&gt;=1,'(橫掃)RX Mapping'!C59&lt;=120), ('(橫掃)RX Mapping'!C59-1),IF(AND('(橫掃)RX Mapping'!C59&gt;=121,'(橫掃)RX Mapping'!C59&lt;=240), (-1)*('(橫掃)RX Mapping'!C59-240),IF(AND('(橫掃)RX Mapping'!C59&gt;=241,'(橫掃)RX Mapping'!C59&lt;=360), ('(橫掃)RX Mapping'!C59-241),IF(AND('(橫掃)RX Mapping'!C59&gt;=361,'(橫掃)RX Mapping'!C59&lt;=480), (-1)*('(橫掃)RX Mapping'!C59-480),IF(AND('(橫掃)RX Mapping'!C59&gt;=481,'(橫掃)RX Mapping'!C59&lt;=600), ('(橫掃)RX Mapping'!C59-361),IF(AND('(橫掃)RX Mapping'!C59&gt;=601,'(橫掃)RX Mapping'!C59&lt;=720), (-1)*('(橫掃)RX Mapping'!C59-720)+120,IF(AND('(橫掃)RX Mapping'!C59&gt;=721,'(橫掃)RX Mapping'!C59&lt;=840), ('(橫掃)RX Mapping'!C59-601),IF(AND('(橫掃)RX Mapping'!C59&gt;=841,'(橫掃)RX Mapping'!C59&lt;=960), (-1)*('(橫掃)RX Mapping'!C59-960)+120,9999))))))))</f>
        <v>9999</v>
      </c>
      <c r="D59">
        <f>IF(AND('(橫掃)RX Mapping'!D59&gt;=1,'(橫掃)RX Mapping'!D59&lt;=120), ('(橫掃)RX Mapping'!D59-1),IF(AND('(橫掃)RX Mapping'!D59&gt;=121,'(橫掃)RX Mapping'!D59&lt;=240), (-1)*('(橫掃)RX Mapping'!D59-240),IF(AND('(橫掃)RX Mapping'!D59&gt;=241,'(橫掃)RX Mapping'!D59&lt;=360), ('(橫掃)RX Mapping'!D59-241),IF(AND('(橫掃)RX Mapping'!D59&gt;=361,'(橫掃)RX Mapping'!D59&lt;=480), (-1)*('(橫掃)RX Mapping'!D59-480),IF(AND('(橫掃)RX Mapping'!D59&gt;=481,'(橫掃)RX Mapping'!D59&lt;=600), ('(橫掃)RX Mapping'!D59-361),IF(AND('(橫掃)RX Mapping'!D59&gt;=601,'(橫掃)RX Mapping'!D59&lt;=720), (-1)*('(橫掃)RX Mapping'!D59-720)+120,IF(AND('(橫掃)RX Mapping'!D59&gt;=721,'(橫掃)RX Mapping'!D59&lt;=840), ('(橫掃)RX Mapping'!D59-601),IF(AND('(橫掃)RX Mapping'!D59&gt;=841,'(橫掃)RX Mapping'!D59&lt;=960), (-1)*('(橫掃)RX Mapping'!D59-960)+120,9999))))))))</f>
        <v>9999</v>
      </c>
      <c r="E59">
        <f>IF(AND('(橫掃)RX Mapping'!E59&gt;=1,'(橫掃)RX Mapping'!E59&lt;=120), ('(橫掃)RX Mapping'!E59-1),IF(AND('(橫掃)RX Mapping'!E59&gt;=121,'(橫掃)RX Mapping'!E59&lt;=240), (-1)*('(橫掃)RX Mapping'!E59-240),IF(AND('(橫掃)RX Mapping'!E59&gt;=241,'(橫掃)RX Mapping'!E59&lt;=360), ('(橫掃)RX Mapping'!E59-241),IF(AND('(橫掃)RX Mapping'!E59&gt;=361,'(橫掃)RX Mapping'!E59&lt;=480), (-1)*('(橫掃)RX Mapping'!E59-480),IF(AND('(橫掃)RX Mapping'!E59&gt;=481,'(橫掃)RX Mapping'!E59&lt;=600), ('(橫掃)RX Mapping'!E59-361),IF(AND('(橫掃)RX Mapping'!E59&gt;=601,'(橫掃)RX Mapping'!E59&lt;=720), (-1)*('(橫掃)RX Mapping'!E59-720)+120,IF(AND('(橫掃)RX Mapping'!E59&gt;=721,'(橫掃)RX Mapping'!E59&lt;=840), ('(橫掃)RX Mapping'!E59-601),IF(AND('(橫掃)RX Mapping'!E59&gt;=841,'(橫掃)RX Mapping'!E59&lt;=960), (-1)*('(橫掃)RX Mapping'!E59-960)+120,9999))))))))</f>
        <v>9999</v>
      </c>
      <c r="F59">
        <f>IF(AND('(橫掃)RX Mapping'!F59&gt;=1,'(橫掃)RX Mapping'!F59&lt;=120), ('(橫掃)RX Mapping'!F59-1),IF(AND('(橫掃)RX Mapping'!F59&gt;=121,'(橫掃)RX Mapping'!F59&lt;=240), (-1)*('(橫掃)RX Mapping'!F59-240),IF(AND('(橫掃)RX Mapping'!F59&gt;=241,'(橫掃)RX Mapping'!F59&lt;=360), ('(橫掃)RX Mapping'!F59-241),IF(AND('(橫掃)RX Mapping'!F59&gt;=361,'(橫掃)RX Mapping'!F59&lt;=480), (-1)*('(橫掃)RX Mapping'!F59-480),IF(AND('(橫掃)RX Mapping'!F59&gt;=481,'(橫掃)RX Mapping'!F59&lt;=600), ('(橫掃)RX Mapping'!F59-361),IF(AND('(橫掃)RX Mapping'!F59&gt;=601,'(橫掃)RX Mapping'!F59&lt;=720), (-1)*('(橫掃)RX Mapping'!F59-720)+120,IF(AND('(橫掃)RX Mapping'!F59&gt;=721,'(橫掃)RX Mapping'!F59&lt;=840), ('(橫掃)RX Mapping'!F59-601),IF(AND('(橫掃)RX Mapping'!F59&gt;=841,'(橫掃)RX Mapping'!F59&lt;=960), (-1)*('(橫掃)RX Mapping'!F59-960)+120,9999))))))))</f>
        <v>9999</v>
      </c>
      <c r="G59">
        <f>IF(AND('(橫掃)RX Mapping'!G59&gt;=1,'(橫掃)RX Mapping'!G59&lt;=120), ('(橫掃)RX Mapping'!G59-1),IF(AND('(橫掃)RX Mapping'!G59&gt;=121,'(橫掃)RX Mapping'!G59&lt;=240), (-1)*('(橫掃)RX Mapping'!G59-240),IF(AND('(橫掃)RX Mapping'!G59&gt;=241,'(橫掃)RX Mapping'!G59&lt;=360), ('(橫掃)RX Mapping'!G59-241),IF(AND('(橫掃)RX Mapping'!G59&gt;=361,'(橫掃)RX Mapping'!G59&lt;=480), (-1)*('(橫掃)RX Mapping'!G59-480),IF(AND('(橫掃)RX Mapping'!G59&gt;=481,'(橫掃)RX Mapping'!G59&lt;=600), ('(橫掃)RX Mapping'!G59-361),IF(AND('(橫掃)RX Mapping'!G59&gt;=601,'(橫掃)RX Mapping'!G59&lt;=720), (-1)*('(橫掃)RX Mapping'!G59-720)+120,IF(AND('(橫掃)RX Mapping'!G59&gt;=721,'(橫掃)RX Mapping'!G59&lt;=840), ('(橫掃)RX Mapping'!G59-601),IF(AND('(橫掃)RX Mapping'!G59&gt;=841,'(橫掃)RX Mapping'!G59&lt;=960), (-1)*('(橫掃)RX Mapping'!G59-960)+120,9999))))))))</f>
        <v>9999</v>
      </c>
      <c r="H59">
        <f>IF(AND('(橫掃)RX Mapping'!H59&gt;=1,'(橫掃)RX Mapping'!H59&lt;=120), ('(橫掃)RX Mapping'!H59-1),IF(AND('(橫掃)RX Mapping'!H59&gt;=121,'(橫掃)RX Mapping'!H59&lt;=240), (-1)*('(橫掃)RX Mapping'!H59-240),IF(AND('(橫掃)RX Mapping'!H59&gt;=241,'(橫掃)RX Mapping'!H59&lt;=360), ('(橫掃)RX Mapping'!H59-241),IF(AND('(橫掃)RX Mapping'!H59&gt;=361,'(橫掃)RX Mapping'!H59&lt;=480), (-1)*('(橫掃)RX Mapping'!H59-480),IF(AND('(橫掃)RX Mapping'!H59&gt;=481,'(橫掃)RX Mapping'!H59&lt;=600), ('(橫掃)RX Mapping'!H59-361),IF(AND('(橫掃)RX Mapping'!H59&gt;=601,'(橫掃)RX Mapping'!H59&lt;=720), (-1)*('(橫掃)RX Mapping'!H59-720)+120,IF(AND('(橫掃)RX Mapping'!H59&gt;=721,'(橫掃)RX Mapping'!H59&lt;=840), ('(橫掃)RX Mapping'!H59-601),IF(AND('(橫掃)RX Mapping'!H59&gt;=841,'(橫掃)RX Mapping'!H59&lt;=960), (-1)*('(橫掃)RX Mapping'!H59-960)+120,9999))))))))</f>
        <v>9999</v>
      </c>
      <c r="I59">
        <f>IF(AND('(橫掃)RX Mapping'!I59&gt;=1,'(橫掃)RX Mapping'!I59&lt;=120), ('(橫掃)RX Mapping'!I59-1),IF(AND('(橫掃)RX Mapping'!I59&gt;=121,'(橫掃)RX Mapping'!I59&lt;=240), (-1)*('(橫掃)RX Mapping'!I59-240),IF(AND('(橫掃)RX Mapping'!I59&gt;=241,'(橫掃)RX Mapping'!I59&lt;=360), ('(橫掃)RX Mapping'!I59-241),IF(AND('(橫掃)RX Mapping'!I59&gt;=361,'(橫掃)RX Mapping'!I59&lt;=480), (-1)*('(橫掃)RX Mapping'!I59-480),IF(AND('(橫掃)RX Mapping'!I59&gt;=481,'(橫掃)RX Mapping'!I59&lt;=600), ('(橫掃)RX Mapping'!I59-361),IF(AND('(橫掃)RX Mapping'!I59&gt;=601,'(橫掃)RX Mapping'!I59&lt;=720), (-1)*('(橫掃)RX Mapping'!I59-720)+120,IF(AND('(橫掃)RX Mapping'!I59&gt;=721,'(橫掃)RX Mapping'!I59&lt;=840), ('(橫掃)RX Mapping'!I59-601),IF(AND('(橫掃)RX Mapping'!I59&gt;=841,'(橫掃)RX Mapping'!I59&lt;=960), (-1)*('(橫掃)RX Mapping'!I59-960)+120,9999))))))))</f>
        <v>9999</v>
      </c>
      <c r="J59">
        <f>IF(AND('(橫掃)RX Mapping'!J59&gt;=1,'(橫掃)RX Mapping'!J59&lt;=120), ('(橫掃)RX Mapping'!J59-1),IF(AND('(橫掃)RX Mapping'!J59&gt;=121,'(橫掃)RX Mapping'!J59&lt;=240), (-1)*('(橫掃)RX Mapping'!J59-240),IF(AND('(橫掃)RX Mapping'!J59&gt;=241,'(橫掃)RX Mapping'!J59&lt;=360), ('(橫掃)RX Mapping'!J59-241),IF(AND('(橫掃)RX Mapping'!J59&gt;=361,'(橫掃)RX Mapping'!J59&lt;=480), (-1)*('(橫掃)RX Mapping'!J59-480),IF(AND('(橫掃)RX Mapping'!J59&gt;=481,'(橫掃)RX Mapping'!J59&lt;=600), ('(橫掃)RX Mapping'!J59-361),IF(AND('(橫掃)RX Mapping'!J59&gt;=601,'(橫掃)RX Mapping'!J59&lt;=720), (-1)*('(橫掃)RX Mapping'!J59-720)+120,IF(AND('(橫掃)RX Mapping'!J59&gt;=721,'(橫掃)RX Mapping'!J59&lt;=840), ('(橫掃)RX Mapping'!J59-601),IF(AND('(橫掃)RX Mapping'!J59&gt;=841,'(橫掃)RX Mapping'!J59&lt;=960), (-1)*('(橫掃)RX Mapping'!J59-960)+120,9999))))))))</f>
        <v>9999</v>
      </c>
      <c r="K59">
        <f>IF(AND('(橫掃)RX Mapping'!K59&gt;=1,'(橫掃)RX Mapping'!K59&lt;=120), ('(橫掃)RX Mapping'!K59-1),IF(AND('(橫掃)RX Mapping'!K59&gt;=121,'(橫掃)RX Mapping'!K59&lt;=240), (-1)*('(橫掃)RX Mapping'!K59-240),IF(AND('(橫掃)RX Mapping'!K59&gt;=241,'(橫掃)RX Mapping'!K59&lt;=360), ('(橫掃)RX Mapping'!K59-241),IF(AND('(橫掃)RX Mapping'!K59&gt;=361,'(橫掃)RX Mapping'!K59&lt;=480), (-1)*('(橫掃)RX Mapping'!K59-480),IF(AND('(橫掃)RX Mapping'!K59&gt;=481,'(橫掃)RX Mapping'!K59&lt;=600), ('(橫掃)RX Mapping'!K59-361),IF(AND('(橫掃)RX Mapping'!K59&gt;=601,'(橫掃)RX Mapping'!K59&lt;=720), (-1)*('(橫掃)RX Mapping'!K59-720)+120,IF(AND('(橫掃)RX Mapping'!K59&gt;=721,'(橫掃)RX Mapping'!K59&lt;=840), ('(橫掃)RX Mapping'!K59-601),IF(AND('(橫掃)RX Mapping'!K59&gt;=841,'(橫掃)RX Mapping'!K59&lt;=960), (-1)*('(橫掃)RX Mapping'!K59-960)+120,9999))))))))</f>
        <v>9999</v>
      </c>
      <c r="L59">
        <f>IF(AND('(橫掃)RX Mapping'!L59&gt;=1,'(橫掃)RX Mapping'!L59&lt;=120), ('(橫掃)RX Mapping'!L59-1),IF(AND('(橫掃)RX Mapping'!L59&gt;=121,'(橫掃)RX Mapping'!L59&lt;=240), (-1)*('(橫掃)RX Mapping'!L59-240),IF(AND('(橫掃)RX Mapping'!L59&gt;=241,'(橫掃)RX Mapping'!L59&lt;=360), ('(橫掃)RX Mapping'!L59-241),IF(AND('(橫掃)RX Mapping'!L59&gt;=361,'(橫掃)RX Mapping'!L59&lt;=480), (-1)*('(橫掃)RX Mapping'!L59-480),IF(AND('(橫掃)RX Mapping'!L59&gt;=481,'(橫掃)RX Mapping'!L59&lt;=600), ('(橫掃)RX Mapping'!L59-361),IF(AND('(橫掃)RX Mapping'!L59&gt;=601,'(橫掃)RX Mapping'!L59&lt;=720), (-1)*('(橫掃)RX Mapping'!L59-720)+120,IF(AND('(橫掃)RX Mapping'!L59&gt;=721,'(橫掃)RX Mapping'!L59&lt;=840), ('(橫掃)RX Mapping'!L59-601),IF(AND('(橫掃)RX Mapping'!L59&gt;=841,'(橫掃)RX Mapping'!L59&lt;=960), (-1)*('(橫掃)RX Mapping'!L59-960)+120,9999))))))))</f>
        <v>9999</v>
      </c>
      <c r="M59">
        <f>IF(AND('(橫掃)RX Mapping'!M59&gt;=1,'(橫掃)RX Mapping'!M59&lt;=120), ('(橫掃)RX Mapping'!M59-1),IF(AND('(橫掃)RX Mapping'!M59&gt;=121,'(橫掃)RX Mapping'!M59&lt;=240), (-1)*('(橫掃)RX Mapping'!M59-240),IF(AND('(橫掃)RX Mapping'!M59&gt;=241,'(橫掃)RX Mapping'!M59&lt;=360), ('(橫掃)RX Mapping'!M59-241),IF(AND('(橫掃)RX Mapping'!M59&gt;=361,'(橫掃)RX Mapping'!M59&lt;=480), (-1)*('(橫掃)RX Mapping'!M59-480),IF(AND('(橫掃)RX Mapping'!M59&gt;=481,'(橫掃)RX Mapping'!M59&lt;=600), ('(橫掃)RX Mapping'!M59-361),IF(AND('(橫掃)RX Mapping'!M59&gt;=601,'(橫掃)RX Mapping'!M59&lt;=720), (-1)*('(橫掃)RX Mapping'!M59-720)+120,IF(AND('(橫掃)RX Mapping'!M59&gt;=721,'(橫掃)RX Mapping'!M59&lt;=840), ('(橫掃)RX Mapping'!M59-601),IF(AND('(橫掃)RX Mapping'!M59&gt;=841,'(橫掃)RX Mapping'!M59&lt;=960), (-1)*('(橫掃)RX Mapping'!M59-960)+120,9999))))))))</f>
        <v>9999</v>
      </c>
      <c r="N59">
        <f>IF(AND('(橫掃)RX Mapping'!N59&gt;=1,'(橫掃)RX Mapping'!N59&lt;=120), ('(橫掃)RX Mapping'!N59-1),IF(AND('(橫掃)RX Mapping'!N59&gt;=121,'(橫掃)RX Mapping'!N59&lt;=240), (-1)*('(橫掃)RX Mapping'!N59-240),IF(AND('(橫掃)RX Mapping'!N59&gt;=241,'(橫掃)RX Mapping'!N59&lt;=360), ('(橫掃)RX Mapping'!N59-241),IF(AND('(橫掃)RX Mapping'!N59&gt;=361,'(橫掃)RX Mapping'!N59&lt;=480), (-1)*('(橫掃)RX Mapping'!N59-480),IF(AND('(橫掃)RX Mapping'!N59&gt;=481,'(橫掃)RX Mapping'!N59&lt;=600), ('(橫掃)RX Mapping'!N59-361),IF(AND('(橫掃)RX Mapping'!N59&gt;=601,'(橫掃)RX Mapping'!N59&lt;=720), (-1)*('(橫掃)RX Mapping'!N59-720)+120,IF(AND('(橫掃)RX Mapping'!N59&gt;=721,'(橫掃)RX Mapping'!N59&lt;=840), ('(橫掃)RX Mapping'!N59-601),IF(AND('(橫掃)RX Mapping'!N59&gt;=841,'(橫掃)RX Mapping'!N59&lt;=960), (-1)*('(橫掃)RX Mapping'!N59-960)+120,9999))))))))</f>
        <v>9999</v>
      </c>
      <c r="O59">
        <f>IF(AND('(橫掃)RX Mapping'!O59&gt;=1,'(橫掃)RX Mapping'!O59&lt;=120), ('(橫掃)RX Mapping'!O59-1),IF(AND('(橫掃)RX Mapping'!O59&gt;=121,'(橫掃)RX Mapping'!O59&lt;=240), (-1)*('(橫掃)RX Mapping'!O59-240),IF(AND('(橫掃)RX Mapping'!O59&gt;=241,'(橫掃)RX Mapping'!O59&lt;=360), ('(橫掃)RX Mapping'!O59-241),IF(AND('(橫掃)RX Mapping'!O59&gt;=361,'(橫掃)RX Mapping'!O59&lt;=480), (-1)*('(橫掃)RX Mapping'!O59-480),IF(AND('(橫掃)RX Mapping'!O59&gt;=481,'(橫掃)RX Mapping'!O59&lt;=600), ('(橫掃)RX Mapping'!O59-361),IF(AND('(橫掃)RX Mapping'!O59&gt;=601,'(橫掃)RX Mapping'!O59&lt;=720), (-1)*('(橫掃)RX Mapping'!O59-720)+120,IF(AND('(橫掃)RX Mapping'!O59&gt;=721,'(橫掃)RX Mapping'!O59&lt;=840), ('(橫掃)RX Mapping'!O59-601),IF(AND('(橫掃)RX Mapping'!O59&gt;=841,'(橫掃)RX Mapping'!O59&lt;=960), (-1)*('(橫掃)RX Mapping'!O59-960)+120,9999))))))))</f>
        <v>9999</v>
      </c>
      <c r="P59">
        <f>IF(AND('(橫掃)RX Mapping'!P59&gt;=1,'(橫掃)RX Mapping'!P59&lt;=120), ('(橫掃)RX Mapping'!P59-1),IF(AND('(橫掃)RX Mapping'!P59&gt;=121,'(橫掃)RX Mapping'!P59&lt;=240), (-1)*('(橫掃)RX Mapping'!P59-240),IF(AND('(橫掃)RX Mapping'!P59&gt;=241,'(橫掃)RX Mapping'!P59&lt;=360), ('(橫掃)RX Mapping'!P59-241),IF(AND('(橫掃)RX Mapping'!P59&gt;=361,'(橫掃)RX Mapping'!P59&lt;=480), (-1)*('(橫掃)RX Mapping'!P59-480),IF(AND('(橫掃)RX Mapping'!P59&gt;=481,'(橫掃)RX Mapping'!P59&lt;=600), ('(橫掃)RX Mapping'!P59-361),IF(AND('(橫掃)RX Mapping'!P59&gt;=601,'(橫掃)RX Mapping'!P59&lt;=720), (-1)*('(橫掃)RX Mapping'!P59-720)+120,IF(AND('(橫掃)RX Mapping'!P59&gt;=721,'(橫掃)RX Mapping'!P59&lt;=840), ('(橫掃)RX Mapping'!P59-601),IF(AND('(橫掃)RX Mapping'!P59&gt;=841,'(橫掃)RX Mapping'!P59&lt;=960), (-1)*('(橫掃)RX Mapping'!P59-960)+120,9999))))))))</f>
        <v>9999</v>
      </c>
      <c r="Q59">
        <f>IF(AND('(橫掃)RX Mapping'!Q59&gt;=1,'(橫掃)RX Mapping'!Q59&lt;=120), ('(橫掃)RX Mapping'!Q59-1),IF(AND('(橫掃)RX Mapping'!Q59&gt;=121,'(橫掃)RX Mapping'!Q59&lt;=240), (-1)*('(橫掃)RX Mapping'!Q59-240),IF(AND('(橫掃)RX Mapping'!Q59&gt;=241,'(橫掃)RX Mapping'!Q59&lt;=360), ('(橫掃)RX Mapping'!Q59-241),IF(AND('(橫掃)RX Mapping'!Q59&gt;=361,'(橫掃)RX Mapping'!Q59&lt;=480), (-1)*('(橫掃)RX Mapping'!Q59-480),IF(AND('(橫掃)RX Mapping'!Q59&gt;=481,'(橫掃)RX Mapping'!Q59&lt;=600), ('(橫掃)RX Mapping'!Q59-361),IF(AND('(橫掃)RX Mapping'!Q59&gt;=601,'(橫掃)RX Mapping'!Q59&lt;=720), (-1)*('(橫掃)RX Mapping'!Q59-720)+120,IF(AND('(橫掃)RX Mapping'!Q59&gt;=721,'(橫掃)RX Mapping'!Q59&lt;=840), ('(橫掃)RX Mapping'!Q59-601),IF(AND('(橫掃)RX Mapping'!Q59&gt;=841,'(橫掃)RX Mapping'!Q59&lt;=960), (-1)*('(橫掃)RX Mapping'!Q59-960)+120,9999))))))))</f>
        <v>9999</v>
      </c>
      <c r="R59">
        <f>IF(AND('(橫掃)RX Mapping'!R59&gt;=1,'(橫掃)RX Mapping'!R59&lt;=120), ('(橫掃)RX Mapping'!R59-1),IF(AND('(橫掃)RX Mapping'!R59&gt;=121,'(橫掃)RX Mapping'!R59&lt;=240), (-1)*('(橫掃)RX Mapping'!R59-240),IF(AND('(橫掃)RX Mapping'!R59&gt;=241,'(橫掃)RX Mapping'!R59&lt;=360), ('(橫掃)RX Mapping'!R59-241),IF(AND('(橫掃)RX Mapping'!R59&gt;=361,'(橫掃)RX Mapping'!R59&lt;=480), (-1)*('(橫掃)RX Mapping'!R59-480),IF(AND('(橫掃)RX Mapping'!R59&gt;=481,'(橫掃)RX Mapping'!R59&lt;=600), ('(橫掃)RX Mapping'!R59-361),IF(AND('(橫掃)RX Mapping'!R59&gt;=601,'(橫掃)RX Mapping'!R59&lt;=720), (-1)*('(橫掃)RX Mapping'!R59-720)+120,IF(AND('(橫掃)RX Mapping'!R59&gt;=721,'(橫掃)RX Mapping'!R59&lt;=840), ('(橫掃)RX Mapping'!R59-601),IF(AND('(橫掃)RX Mapping'!R59&gt;=841,'(橫掃)RX Mapping'!R59&lt;=960), (-1)*('(橫掃)RX Mapping'!R59-960)+120,9999))))))))</f>
        <v>9999</v>
      </c>
      <c r="S59">
        <f>IF(AND('(橫掃)RX Mapping'!S59&gt;=1,'(橫掃)RX Mapping'!S59&lt;=120), ('(橫掃)RX Mapping'!S59-1),IF(AND('(橫掃)RX Mapping'!S59&gt;=121,'(橫掃)RX Mapping'!S59&lt;=240), (-1)*('(橫掃)RX Mapping'!S59-240),IF(AND('(橫掃)RX Mapping'!S59&gt;=241,'(橫掃)RX Mapping'!S59&lt;=360), ('(橫掃)RX Mapping'!S59-241),IF(AND('(橫掃)RX Mapping'!S59&gt;=361,'(橫掃)RX Mapping'!S59&lt;=480), (-1)*('(橫掃)RX Mapping'!S59-480),IF(AND('(橫掃)RX Mapping'!S59&gt;=481,'(橫掃)RX Mapping'!S59&lt;=600), ('(橫掃)RX Mapping'!S59-361),IF(AND('(橫掃)RX Mapping'!S59&gt;=601,'(橫掃)RX Mapping'!S59&lt;=720), (-1)*('(橫掃)RX Mapping'!S59-720)+120,IF(AND('(橫掃)RX Mapping'!S59&gt;=721,'(橫掃)RX Mapping'!S59&lt;=840), ('(橫掃)RX Mapping'!S59-601),IF(AND('(橫掃)RX Mapping'!S59&gt;=841,'(橫掃)RX Mapping'!S59&lt;=960), (-1)*('(橫掃)RX Mapping'!S59-960)+120,9999))))))))</f>
        <v>9999</v>
      </c>
      <c r="T59">
        <f>IF(AND('(橫掃)RX Mapping'!T59&gt;=1,'(橫掃)RX Mapping'!T59&lt;=120), ('(橫掃)RX Mapping'!T59-1),IF(AND('(橫掃)RX Mapping'!T59&gt;=121,'(橫掃)RX Mapping'!T59&lt;=240), (-1)*('(橫掃)RX Mapping'!T59-240),IF(AND('(橫掃)RX Mapping'!T59&gt;=241,'(橫掃)RX Mapping'!T59&lt;=360), ('(橫掃)RX Mapping'!T59-241),IF(AND('(橫掃)RX Mapping'!T59&gt;=361,'(橫掃)RX Mapping'!T59&lt;=480), (-1)*('(橫掃)RX Mapping'!T59-480),IF(AND('(橫掃)RX Mapping'!T59&gt;=481,'(橫掃)RX Mapping'!T59&lt;=600), ('(橫掃)RX Mapping'!T59-361),IF(AND('(橫掃)RX Mapping'!T59&gt;=601,'(橫掃)RX Mapping'!T59&lt;=720), (-1)*('(橫掃)RX Mapping'!T59-720)+120,IF(AND('(橫掃)RX Mapping'!T59&gt;=721,'(橫掃)RX Mapping'!T59&lt;=840), ('(橫掃)RX Mapping'!T59-601),IF(AND('(橫掃)RX Mapping'!T59&gt;=841,'(橫掃)RX Mapping'!T59&lt;=960), (-1)*('(橫掃)RX Mapping'!T59-960)+120,9999))))))))</f>
        <v>9999</v>
      </c>
      <c r="U59">
        <f>IF(AND('(橫掃)RX Mapping'!U59&gt;=1,'(橫掃)RX Mapping'!U59&lt;=120), ('(橫掃)RX Mapping'!U59-1),IF(AND('(橫掃)RX Mapping'!U59&gt;=121,'(橫掃)RX Mapping'!U59&lt;=240), (-1)*('(橫掃)RX Mapping'!U59-240),IF(AND('(橫掃)RX Mapping'!U59&gt;=241,'(橫掃)RX Mapping'!U59&lt;=360), ('(橫掃)RX Mapping'!U59-241),IF(AND('(橫掃)RX Mapping'!U59&gt;=361,'(橫掃)RX Mapping'!U59&lt;=480), (-1)*('(橫掃)RX Mapping'!U59-480),IF(AND('(橫掃)RX Mapping'!U59&gt;=481,'(橫掃)RX Mapping'!U59&lt;=600), ('(橫掃)RX Mapping'!U59-361),IF(AND('(橫掃)RX Mapping'!U59&gt;=601,'(橫掃)RX Mapping'!U59&lt;=720), (-1)*('(橫掃)RX Mapping'!U59-720)+120,IF(AND('(橫掃)RX Mapping'!U59&gt;=721,'(橫掃)RX Mapping'!U59&lt;=840), ('(橫掃)RX Mapping'!U59-601),IF(AND('(橫掃)RX Mapping'!U59&gt;=841,'(橫掃)RX Mapping'!U59&lt;=960), (-1)*('(橫掃)RX Mapping'!U59-960)+120,9999))))))))</f>
        <v>9999</v>
      </c>
      <c r="V59">
        <f>IF(AND('(橫掃)RX Mapping'!V59&gt;=1,'(橫掃)RX Mapping'!V59&lt;=120), ('(橫掃)RX Mapping'!V59-1),IF(AND('(橫掃)RX Mapping'!V59&gt;=121,'(橫掃)RX Mapping'!V59&lt;=240), (-1)*('(橫掃)RX Mapping'!V59-240),IF(AND('(橫掃)RX Mapping'!V59&gt;=241,'(橫掃)RX Mapping'!V59&lt;=360), ('(橫掃)RX Mapping'!V59-241),IF(AND('(橫掃)RX Mapping'!V59&gt;=361,'(橫掃)RX Mapping'!V59&lt;=480), (-1)*('(橫掃)RX Mapping'!V59-480),IF(AND('(橫掃)RX Mapping'!V59&gt;=481,'(橫掃)RX Mapping'!V59&lt;=600), ('(橫掃)RX Mapping'!V59-361),IF(AND('(橫掃)RX Mapping'!V59&gt;=601,'(橫掃)RX Mapping'!V59&lt;=720), (-1)*('(橫掃)RX Mapping'!V59-720)+120,IF(AND('(橫掃)RX Mapping'!V59&gt;=721,'(橫掃)RX Mapping'!V59&lt;=840), ('(橫掃)RX Mapping'!V59-601),IF(AND('(橫掃)RX Mapping'!V59&gt;=841,'(橫掃)RX Mapping'!V59&lt;=960), (-1)*('(橫掃)RX Mapping'!V59-960)+120,9999))))))))</f>
        <v>9999</v>
      </c>
      <c r="W59">
        <f>IF(AND('(橫掃)RX Mapping'!W59&gt;=1,'(橫掃)RX Mapping'!W59&lt;=120), ('(橫掃)RX Mapping'!W59-1),IF(AND('(橫掃)RX Mapping'!W59&gt;=121,'(橫掃)RX Mapping'!W59&lt;=240), (-1)*('(橫掃)RX Mapping'!W59-240),IF(AND('(橫掃)RX Mapping'!W59&gt;=241,'(橫掃)RX Mapping'!W59&lt;=360), ('(橫掃)RX Mapping'!W59-241),IF(AND('(橫掃)RX Mapping'!W59&gt;=361,'(橫掃)RX Mapping'!W59&lt;=480), (-1)*('(橫掃)RX Mapping'!W59-480),IF(AND('(橫掃)RX Mapping'!W59&gt;=481,'(橫掃)RX Mapping'!W59&lt;=600), ('(橫掃)RX Mapping'!W59-361),IF(AND('(橫掃)RX Mapping'!W59&gt;=601,'(橫掃)RX Mapping'!W59&lt;=720), (-1)*('(橫掃)RX Mapping'!W59-720)+120,IF(AND('(橫掃)RX Mapping'!W59&gt;=721,'(橫掃)RX Mapping'!W59&lt;=840), ('(橫掃)RX Mapping'!W59-601),IF(AND('(橫掃)RX Mapping'!W59&gt;=841,'(橫掃)RX Mapping'!W59&lt;=960), (-1)*('(橫掃)RX Mapping'!W59-960)+120,9999))))))))</f>
        <v>9999</v>
      </c>
      <c r="X59">
        <f>IF(AND('(橫掃)RX Mapping'!X59&gt;=1,'(橫掃)RX Mapping'!X59&lt;=120), ('(橫掃)RX Mapping'!X59-1),IF(AND('(橫掃)RX Mapping'!X59&gt;=121,'(橫掃)RX Mapping'!X59&lt;=240), (-1)*('(橫掃)RX Mapping'!X59-240),IF(AND('(橫掃)RX Mapping'!X59&gt;=241,'(橫掃)RX Mapping'!X59&lt;=360), ('(橫掃)RX Mapping'!X59-241),IF(AND('(橫掃)RX Mapping'!X59&gt;=361,'(橫掃)RX Mapping'!X59&lt;=480), (-1)*('(橫掃)RX Mapping'!X59-480),IF(AND('(橫掃)RX Mapping'!X59&gt;=481,'(橫掃)RX Mapping'!X59&lt;=600), ('(橫掃)RX Mapping'!X59-361),IF(AND('(橫掃)RX Mapping'!X59&gt;=601,'(橫掃)RX Mapping'!X59&lt;=720), (-1)*('(橫掃)RX Mapping'!X59-720)+120,IF(AND('(橫掃)RX Mapping'!X59&gt;=721,'(橫掃)RX Mapping'!X59&lt;=840), ('(橫掃)RX Mapping'!X59-601),IF(AND('(橫掃)RX Mapping'!X59&gt;=841,'(橫掃)RX Mapping'!X59&lt;=960), (-1)*('(橫掃)RX Mapping'!X59-960)+120,9999))))))))</f>
        <v>9999</v>
      </c>
      <c r="Y59">
        <f>IF(AND('(橫掃)RX Mapping'!Y59&gt;=1,'(橫掃)RX Mapping'!Y59&lt;=120), ('(橫掃)RX Mapping'!Y59-1),IF(AND('(橫掃)RX Mapping'!Y59&gt;=121,'(橫掃)RX Mapping'!Y59&lt;=240), (-1)*('(橫掃)RX Mapping'!Y59-240),IF(AND('(橫掃)RX Mapping'!Y59&gt;=241,'(橫掃)RX Mapping'!Y59&lt;=360), ('(橫掃)RX Mapping'!Y59-241),IF(AND('(橫掃)RX Mapping'!Y59&gt;=361,'(橫掃)RX Mapping'!Y59&lt;=480), (-1)*('(橫掃)RX Mapping'!Y59-480),IF(AND('(橫掃)RX Mapping'!Y59&gt;=481,'(橫掃)RX Mapping'!Y59&lt;=600), ('(橫掃)RX Mapping'!Y59-361),IF(AND('(橫掃)RX Mapping'!Y59&gt;=601,'(橫掃)RX Mapping'!Y59&lt;=720), (-1)*('(橫掃)RX Mapping'!Y59-720)+120,IF(AND('(橫掃)RX Mapping'!Y59&gt;=721,'(橫掃)RX Mapping'!Y59&lt;=840), ('(橫掃)RX Mapping'!Y59-601),IF(AND('(橫掃)RX Mapping'!Y59&gt;=841,'(橫掃)RX Mapping'!Y59&lt;=960), (-1)*('(橫掃)RX Mapping'!Y59-960)+120,9999))))))))</f>
        <v>9999</v>
      </c>
      <c r="Z59">
        <f>IF(AND('(橫掃)RX Mapping'!Z59&gt;=1,'(橫掃)RX Mapping'!Z59&lt;=120), ('(橫掃)RX Mapping'!Z59-1),IF(AND('(橫掃)RX Mapping'!Z59&gt;=121,'(橫掃)RX Mapping'!Z59&lt;=240), (-1)*('(橫掃)RX Mapping'!Z59-240),IF(AND('(橫掃)RX Mapping'!Z59&gt;=241,'(橫掃)RX Mapping'!Z59&lt;=360), ('(橫掃)RX Mapping'!Z59-241),IF(AND('(橫掃)RX Mapping'!Z59&gt;=361,'(橫掃)RX Mapping'!Z59&lt;=480), (-1)*('(橫掃)RX Mapping'!Z59-480),IF(AND('(橫掃)RX Mapping'!Z59&gt;=481,'(橫掃)RX Mapping'!Z59&lt;=600), ('(橫掃)RX Mapping'!Z59-361),IF(AND('(橫掃)RX Mapping'!Z59&gt;=601,'(橫掃)RX Mapping'!Z59&lt;=720), (-1)*('(橫掃)RX Mapping'!Z59-720)+120,IF(AND('(橫掃)RX Mapping'!Z59&gt;=721,'(橫掃)RX Mapping'!Z59&lt;=840), ('(橫掃)RX Mapping'!Z59-601),IF(AND('(橫掃)RX Mapping'!Z59&gt;=841,'(橫掃)RX Mapping'!Z59&lt;=960), (-1)*('(橫掃)RX Mapping'!Z59-960)+120,9999))))))))</f>
        <v>9999</v>
      </c>
      <c r="AA59">
        <f>IF(AND('(橫掃)RX Mapping'!AA59&gt;=1,'(橫掃)RX Mapping'!AA59&lt;=120), ('(橫掃)RX Mapping'!AA59-1),IF(AND('(橫掃)RX Mapping'!AA59&gt;=121,'(橫掃)RX Mapping'!AA59&lt;=240), (-1)*('(橫掃)RX Mapping'!AA59-240),IF(AND('(橫掃)RX Mapping'!AA59&gt;=241,'(橫掃)RX Mapping'!AA59&lt;=360), ('(橫掃)RX Mapping'!AA59-241),IF(AND('(橫掃)RX Mapping'!AA59&gt;=361,'(橫掃)RX Mapping'!AA59&lt;=480), (-1)*('(橫掃)RX Mapping'!AA59-480),IF(AND('(橫掃)RX Mapping'!AA59&gt;=481,'(橫掃)RX Mapping'!AA59&lt;=600), ('(橫掃)RX Mapping'!AA59-361),IF(AND('(橫掃)RX Mapping'!AA59&gt;=601,'(橫掃)RX Mapping'!AA59&lt;=720), (-1)*('(橫掃)RX Mapping'!AA59-720)+120,IF(AND('(橫掃)RX Mapping'!AA59&gt;=721,'(橫掃)RX Mapping'!AA59&lt;=840), ('(橫掃)RX Mapping'!AA59-601),IF(AND('(橫掃)RX Mapping'!AA59&gt;=841,'(橫掃)RX Mapping'!AA59&lt;=960), (-1)*('(橫掃)RX Mapping'!AA59-960)+120,9999))))))))</f>
        <v>9999</v>
      </c>
      <c r="AB59">
        <f>IF(AND('(橫掃)RX Mapping'!AB59&gt;=1,'(橫掃)RX Mapping'!AB59&lt;=120), ('(橫掃)RX Mapping'!AB59-1),IF(AND('(橫掃)RX Mapping'!AB59&gt;=121,'(橫掃)RX Mapping'!AB59&lt;=240), (-1)*('(橫掃)RX Mapping'!AB59-240),IF(AND('(橫掃)RX Mapping'!AB59&gt;=241,'(橫掃)RX Mapping'!AB59&lt;=360), ('(橫掃)RX Mapping'!AB59-241),IF(AND('(橫掃)RX Mapping'!AB59&gt;=361,'(橫掃)RX Mapping'!AB59&lt;=480), (-1)*('(橫掃)RX Mapping'!AB59-480),IF(AND('(橫掃)RX Mapping'!AB59&gt;=481,'(橫掃)RX Mapping'!AB59&lt;=600), ('(橫掃)RX Mapping'!AB59-361),IF(AND('(橫掃)RX Mapping'!AB59&gt;=601,'(橫掃)RX Mapping'!AB59&lt;=720), (-1)*('(橫掃)RX Mapping'!AB59-720)+120,IF(AND('(橫掃)RX Mapping'!AB59&gt;=721,'(橫掃)RX Mapping'!AB59&lt;=840), ('(橫掃)RX Mapping'!AB59-601),IF(AND('(橫掃)RX Mapping'!AB59&gt;=841,'(橫掃)RX Mapping'!AB59&lt;=960), (-1)*('(橫掃)RX Mapping'!AB59-960)+120,9999))))))))</f>
        <v>9999</v>
      </c>
      <c r="AC59">
        <f>IF(AND('(橫掃)RX Mapping'!AC59&gt;=1,'(橫掃)RX Mapping'!AC59&lt;=120), ('(橫掃)RX Mapping'!AC59-1),IF(AND('(橫掃)RX Mapping'!AC59&gt;=121,'(橫掃)RX Mapping'!AC59&lt;=240), (-1)*('(橫掃)RX Mapping'!AC59-240),IF(AND('(橫掃)RX Mapping'!AC59&gt;=241,'(橫掃)RX Mapping'!AC59&lt;=360), ('(橫掃)RX Mapping'!AC59-241),IF(AND('(橫掃)RX Mapping'!AC59&gt;=361,'(橫掃)RX Mapping'!AC59&lt;=480), (-1)*('(橫掃)RX Mapping'!AC59-480),IF(AND('(橫掃)RX Mapping'!AC59&gt;=481,'(橫掃)RX Mapping'!AC59&lt;=600), ('(橫掃)RX Mapping'!AC59-361),IF(AND('(橫掃)RX Mapping'!AC59&gt;=601,'(橫掃)RX Mapping'!AC59&lt;=720), (-1)*('(橫掃)RX Mapping'!AC59-720)+120,IF(AND('(橫掃)RX Mapping'!AC59&gt;=721,'(橫掃)RX Mapping'!AC59&lt;=840), ('(橫掃)RX Mapping'!AC59-601),IF(AND('(橫掃)RX Mapping'!AC59&gt;=841,'(橫掃)RX Mapping'!AC59&lt;=960), (-1)*('(橫掃)RX Mapping'!AC59-960)+120,9999))))))))</f>
        <v>9999</v>
      </c>
      <c r="AD59">
        <f>IF(AND('(橫掃)RX Mapping'!AD59&gt;=1,'(橫掃)RX Mapping'!AD59&lt;=120), ('(橫掃)RX Mapping'!AD59-1),IF(AND('(橫掃)RX Mapping'!AD59&gt;=121,'(橫掃)RX Mapping'!AD59&lt;=240), (-1)*('(橫掃)RX Mapping'!AD59-240),IF(AND('(橫掃)RX Mapping'!AD59&gt;=241,'(橫掃)RX Mapping'!AD59&lt;=360), ('(橫掃)RX Mapping'!AD59-241),IF(AND('(橫掃)RX Mapping'!AD59&gt;=361,'(橫掃)RX Mapping'!AD59&lt;=480), (-1)*('(橫掃)RX Mapping'!AD59-480),IF(AND('(橫掃)RX Mapping'!AD59&gt;=481,'(橫掃)RX Mapping'!AD59&lt;=600), ('(橫掃)RX Mapping'!AD59-361),IF(AND('(橫掃)RX Mapping'!AD59&gt;=601,'(橫掃)RX Mapping'!AD59&lt;=720), (-1)*('(橫掃)RX Mapping'!AD59-720)+120,IF(AND('(橫掃)RX Mapping'!AD59&gt;=721,'(橫掃)RX Mapping'!AD59&lt;=840), ('(橫掃)RX Mapping'!AD59-601),IF(AND('(橫掃)RX Mapping'!AD59&gt;=841,'(橫掃)RX Mapping'!AD59&lt;=960), (-1)*('(橫掃)RX Mapping'!AD59-960)+120,9999))))))))</f>
        <v>9999</v>
      </c>
      <c r="AE59">
        <f>IF(AND('(橫掃)RX Mapping'!AE59&gt;=1,'(橫掃)RX Mapping'!AE59&lt;=120), ('(橫掃)RX Mapping'!AE59-1),IF(AND('(橫掃)RX Mapping'!AE59&gt;=121,'(橫掃)RX Mapping'!AE59&lt;=240), (-1)*('(橫掃)RX Mapping'!AE59-240),IF(AND('(橫掃)RX Mapping'!AE59&gt;=241,'(橫掃)RX Mapping'!AE59&lt;=360), ('(橫掃)RX Mapping'!AE59-241),IF(AND('(橫掃)RX Mapping'!AE59&gt;=361,'(橫掃)RX Mapping'!AE59&lt;=480), (-1)*('(橫掃)RX Mapping'!AE59-480),IF(AND('(橫掃)RX Mapping'!AE59&gt;=481,'(橫掃)RX Mapping'!AE59&lt;=600), ('(橫掃)RX Mapping'!AE59-361),IF(AND('(橫掃)RX Mapping'!AE59&gt;=601,'(橫掃)RX Mapping'!AE59&lt;=720), (-1)*('(橫掃)RX Mapping'!AE59-720)+120,IF(AND('(橫掃)RX Mapping'!AE59&gt;=721,'(橫掃)RX Mapping'!AE59&lt;=840), ('(橫掃)RX Mapping'!AE59-601),IF(AND('(橫掃)RX Mapping'!AE59&gt;=841,'(橫掃)RX Mapping'!AE59&lt;=960), (-1)*('(橫掃)RX Mapping'!AE59-960)+120,9999))))))))</f>
        <v>9999</v>
      </c>
      <c r="AF59">
        <f>IF(AND('(橫掃)RX Mapping'!AF59&gt;=1,'(橫掃)RX Mapping'!AF59&lt;=120), ('(橫掃)RX Mapping'!AF59-1),IF(AND('(橫掃)RX Mapping'!AF59&gt;=121,'(橫掃)RX Mapping'!AF59&lt;=240), (-1)*('(橫掃)RX Mapping'!AF59-240),IF(AND('(橫掃)RX Mapping'!AF59&gt;=241,'(橫掃)RX Mapping'!AF59&lt;=360), ('(橫掃)RX Mapping'!AF59-241),IF(AND('(橫掃)RX Mapping'!AF59&gt;=361,'(橫掃)RX Mapping'!AF59&lt;=480), (-1)*('(橫掃)RX Mapping'!AF59-480),IF(AND('(橫掃)RX Mapping'!AF59&gt;=481,'(橫掃)RX Mapping'!AF59&lt;=600), ('(橫掃)RX Mapping'!AF59-361),IF(AND('(橫掃)RX Mapping'!AF59&gt;=601,'(橫掃)RX Mapping'!AF59&lt;=720), (-1)*('(橫掃)RX Mapping'!AF59-720)+120,IF(AND('(橫掃)RX Mapping'!AF59&gt;=721,'(橫掃)RX Mapping'!AF59&lt;=840), ('(橫掃)RX Mapping'!AF59-601),IF(AND('(橫掃)RX Mapping'!AF59&gt;=841,'(橫掃)RX Mapping'!AF59&lt;=960), (-1)*('(橫掃)RX Mapping'!AF59-960)+120,9999))))))))</f>
        <v>9999</v>
      </c>
      <c r="AG59">
        <f>IF(AND('(橫掃)RX Mapping'!AG59&gt;=1,'(橫掃)RX Mapping'!AG59&lt;=120), ('(橫掃)RX Mapping'!AG59-1),IF(AND('(橫掃)RX Mapping'!AG59&gt;=121,'(橫掃)RX Mapping'!AG59&lt;=240), (-1)*('(橫掃)RX Mapping'!AG59-240),IF(AND('(橫掃)RX Mapping'!AG59&gt;=241,'(橫掃)RX Mapping'!AG59&lt;=360), ('(橫掃)RX Mapping'!AG59-241),IF(AND('(橫掃)RX Mapping'!AG59&gt;=361,'(橫掃)RX Mapping'!AG59&lt;=480), (-1)*('(橫掃)RX Mapping'!AG59-480),IF(AND('(橫掃)RX Mapping'!AG59&gt;=481,'(橫掃)RX Mapping'!AG59&lt;=600), ('(橫掃)RX Mapping'!AG59-361),IF(AND('(橫掃)RX Mapping'!AG59&gt;=601,'(橫掃)RX Mapping'!AG59&lt;=720), (-1)*('(橫掃)RX Mapping'!AG59-720)+120,IF(AND('(橫掃)RX Mapping'!AG59&gt;=721,'(橫掃)RX Mapping'!AG59&lt;=840), ('(橫掃)RX Mapping'!AG59-601),IF(AND('(橫掃)RX Mapping'!AG59&gt;=841,'(橫掃)RX Mapping'!AG59&lt;=960), (-1)*('(橫掃)RX Mapping'!AG59-960)+120,9999))))))))</f>
        <v>9999</v>
      </c>
      <c r="AH59">
        <f>IF(AND('(橫掃)RX Mapping'!AH59&gt;=1,'(橫掃)RX Mapping'!AH59&lt;=120), ('(橫掃)RX Mapping'!AH59-1),IF(AND('(橫掃)RX Mapping'!AH59&gt;=121,'(橫掃)RX Mapping'!AH59&lt;=240), (-1)*('(橫掃)RX Mapping'!AH59-240),IF(AND('(橫掃)RX Mapping'!AH59&gt;=241,'(橫掃)RX Mapping'!AH59&lt;=360), ('(橫掃)RX Mapping'!AH59-241),IF(AND('(橫掃)RX Mapping'!AH59&gt;=361,'(橫掃)RX Mapping'!AH59&lt;=480), (-1)*('(橫掃)RX Mapping'!AH59-480),IF(AND('(橫掃)RX Mapping'!AH59&gt;=481,'(橫掃)RX Mapping'!AH59&lt;=600), ('(橫掃)RX Mapping'!AH59-361),IF(AND('(橫掃)RX Mapping'!AH59&gt;=601,'(橫掃)RX Mapping'!AH59&lt;=720), (-1)*('(橫掃)RX Mapping'!AH59-720)+120,IF(AND('(橫掃)RX Mapping'!AH59&gt;=721,'(橫掃)RX Mapping'!AH59&lt;=840), ('(橫掃)RX Mapping'!AH59-601),IF(AND('(橫掃)RX Mapping'!AH59&gt;=841,'(橫掃)RX Mapping'!AH59&lt;=960), (-1)*('(橫掃)RX Mapping'!AH59-960)+120,9999))))))))</f>
        <v>9999</v>
      </c>
      <c r="AI59">
        <f>IF(AND('(橫掃)RX Mapping'!AI59&gt;=1,'(橫掃)RX Mapping'!AI59&lt;=120), ('(橫掃)RX Mapping'!AI59-1),IF(AND('(橫掃)RX Mapping'!AI59&gt;=121,'(橫掃)RX Mapping'!AI59&lt;=240), (-1)*('(橫掃)RX Mapping'!AI59-240),IF(AND('(橫掃)RX Mapping'!AI59&gt;=241,'(橫掃)RX Mapping'!AI59&lt;=360), ('(橫掃)RX Mapping'!AI59-241),IF(AND('(橫掃)RX Mapping'!AI59&gt;=361,'(橫掃)RX Mapping'!AI59&lt;=480), (-1)*('(橫掃)RX Mapping'!AI59-480),IF(AND('(橫掃)RX Mapping'!AI59&gt;=481,'(橫掃)RX Mapping'!AI59&lt;=600), ('(橫掃)RX Mapping'!AI59-361),IF(AND('(橫掃)RX Mapping'!AI59&gt;=601,'(橫掃)RX Mapping'!AI59&lt;=720), (-1)*('(橫掃)RX Mapping'!AI59-720)+120,IF(AND('(橫掃)RX Mapping'!AI59&gt;=721,'(橫掃)RX Mapping'!AI59&lt;=840), ('(橫掃)RX Mapping'!AI59-601),IF(AND('(橫掃)RX Mapping'!AI59&gt;=841,'(橫掃)RX Mapping'!AI59&lt;=960), (-1)*('(橫掃)RX Mapping'!AI59-960)+120,9999))))))))</f>
        <v>9999</v>
      </c>
      <c r="AJ59">
        <f>IF(AND('(橫掃)RX Mapping'!AJ59&gt;=1,'(橫掃)RX Mapping'!AJ59&lt;=120), ('(橫掃)RX Mapping'!AJ59-1),IF(AND('(橫掃)RX Mapping'!AJ59&gt;=121,'(橫掃)RX Mapping'!AJ59&lt;=240), (-1)*('(橫掃)RX Mapping'!AJ59-240),IF(AND('(橫掃)RX Mapping'!AJ59&gt;=241,'(橫掃)RX Mapping'!AJ59&lt;=360), ('(橫掃)RX Mapping'!AJ59-241),IF(AND('(橫掃)RX Mapping'!AJ59&gt;=361,'(橫掃)RX Mapping'!AJ59&lt;=480), (-1)*('(橫掃)RX Mapping'!AJ59-480),IF(AND('(橫掃)RX Mapping'!AJ59&gt;=481,'(橫掃)RX Mapping'!AJ59&lt;=600), ('(橫掃)RX Mapping'!AJ59-361),IF(AND('(橫掃)RX Mapping'!AJ59&gt;=601,'(橫掃)RX Mapping'!AJ59&lt;=720), (-1)*('(橫掃)RX Mapping'!AJ59-720)+120,IF(AND('(橫掃)RX Mapping'!AJ59&gt;=721,'(橫掃)RX Mapping'!AJ59&lt;=840), ('(橫掃)RX Mapping'!AJ59-601),IF(AND('(橫掃)RX Mapping'!AJ59&gt;=841,'(橫掃)RX Mapping'!AJ59&lt;=960), (-1)*('(橫掃)RX Mapping'!AJ59-960)+120,9999))))))))</f>
        <v>9999</v>
      </c>
      <c r="AK59">
        <f>IF(AND('(橫掃)RX Mapping'!AK59&gt;=1,'(橫掃)RX Mapping'!AK59&lt;=120), ('(橫掃)RX Mapping'!AK59-1),IF(AND('(橫掃)RX Mapping'!AK59&gt;=121,'(橫掃)RX Mapping'!AK59&lt;=240), (-1)*('(橫掃)RX Mapping'!AK59-240),IF(AND('(橫掃)RX Mapping'!AK59&gt;=241,'(橫掃)RX Mapping'!AK59&lt;=360), ('(橫掃)RX Mapping'!AK59-241),IF(AND('(橫掃)RX Mapping'!AK59&gt;=361,'(橫掃)RX Mapping'!AK59&lt;=480), (-1)*('(橫掃)RX Mapping'!AK59-480),IF(AND('(橫掃)RX Mapping'!AK59&gt;=481,'(橫掃)RX Mapping'!AK59&lt;=600), ('(橫掃)RX Mapping'!AK59-361),IF(AND('(橫掃)RX Mapping'!AK59&gt;=601,'(橫掃)RX Mapping'!AK59&lt;=720), (-1)*('(橫掃)RX Mapping'!AK59-720)+120,IF(AND('(橫掃)RX Mapping'!AK59&gt;=721,'(橫掃)RX Mapping'!AK59&lt;=840), ('(橫掃)RX Mapping'!AK59-601),IF(AND('(橫掃)RX Mapping'!AK59&gt;=841,'(橫掃)RX Mapping'!AK59&lt;=960), (-1)*('(橫掃)RX Mapping'!AK59-960)+120,9999))))))))</f>
        <v>9999</v>
      </c>
      <c r="AL59">
        <f>IF(AND('(橫掃)RX Mapping'!AL59&gt;=1,'(橫掃)RX Mapping'!AL59&lt;=120), ('(橫掃)RX Mapping'!AL59-1),IF(AND('(橫掃)RX Mapping'!AL59&gt;=121,'(橫掃)RX Mapping'!AL59&lt;=240), (-1)*('(橫掃)RX Mapping'!AL59-240),IF(AND('(橫掃)RX Mapping'!AL59&gt;=241,'(橫掃)RX Mapping'!AL59&lt;=360), ('(橫掃)RX Mapping'!AL59-241),IF(AND('(橫掃)RX Mapping'!AL59&gt;=361,'(橫掃)RX Mapping'!AL59&lt;=480), (-1)*('(橫掃)RX Mapping'!AL59-480),IF(AND('(橫掃)RX Mapping'!AL59&gt;=481,'(橫掃)RX Mapping'!AL59&lt;=600), ('(橫掃)RX Mapping'!AL59-361),IF(AND('(橫掃)RX Mapping'!AL59&gt;=601,'(橫掃)RX Mapping'!AL59&lt;=720), (-1)*('(橫掃)RX Mapping'!AL59-720)+120,IF(AND('(橫掃)RX Mapping'!AL59&gt;=721,'(橫掃)RX Mapping'!AL59&lt;=840), ('(橫掃)RX Mapping'!AL59-601),IF(AND('(橫掃)RX Mapping'!AL59&gt;=841,'(橫掃)RX Mapping'!AL59&lt;=960), (-1)*('(橫掃)RX Mapping'!AL59-960)+120,9999))))))))</f>
        <v>9999</v>
      </c>
      <c r="AM59">
        <f>IF(AND('(橫掃)RX Mapping'!AM59&gt;=1,'(橫掃)RX Mapping'!AM59&lt;=120), ('(橫掃)RX Mapping'!AM59-1),IF(AND('(橫掃)RX Mapping'!AM59&gt;=121,'(橫掃)RX Mapping'!AM59&lt;=240), (-1)*('(橫掃)RX Mapping'!AM59-240),IF(AND('(橫掃)RX Mapping'!AM59&gt;=241,'(橫掃)RX Mapping'!AM59&lt;=360), ('(橫掃)RX Mapping'!AM59-241),IF(AND('(橫掃)RX Mapping'!AM59&gt;=361,'(橫掃)RX Mapping'!AM59&lt;=480), (-1)*('(橫掃)RX Mapping'!AM59-480),IF(AND('(橫掃)RX Mapping'!AM59&gt;=481,'(橫掃)RX Mapping'!AM59&lt;=600), ('(橫掃)RX Mapping'!AM59-361),IF(AND('(橫掃)RX Mapping'!AM59&gt;=601,'(橫掃)RX Mapping'!AM59&lt;=720), (-1)*('(橫掃)RX Mapping'!AM59-720)+120,IF(AND('(橫掃)RX Mapping'!AM59&gt;=721,'(橫掃)RX Mapping'!AM59&lt;=840), ('(橫掃)RX Mapping'!AM59-601),IF(AND('(橫掃)RX Mapping'!AM59&gt;=841,'(橫掃)RX Mapping'!AM59&lt;=960), (-1)*('(橫掃)RX Mapping'!AM59-960)+120,9999))))))))</f>
        <v>9999</v>
      </c>
      <c r="AN59">
        <f>IF(AND('(橫掃)RX Mapping'!AN59&gt;=1,'(橫掃)RX Mapping'!AN59&lt;=120), ('(橫掃)RX Mapping'!AN59-1),IF(AND('(橫掃)RX Mapping'!AN59&gt;=121,'(橫掃)RX Mapping'!AN59&lt;=240), (-1)*('(橫掃)RX Mapping'!AN59-240),IF(AND('(橫掃)RX Mapping'!AN59&gt;=241,'(橫掃)RX Mapping'!AN59&lt;=360), ('(橫掃)RX Mapping'!AN59-241),IF(AND('(橫掃)RX Mapping'!AN59&gt;=361,'(橫掃)RX Mapping'!AN59&lt;=480), (-1)*('(橫掃)RX Mapping'!AN59-480),IF(AND('(橫掃)RX Mapping'!AN59&gt;=481,'(橫掃)RX Mapping'!AN59&lt;=600), ('(橫掃)RX Mapping'!AN59-361),IF(AND('(橫掃)RX Mapping'!AN59&gt;=601,'(橫掃)RX Mapping'!AN59&lt;=720), (-1)*('(橫掃)RX Mapping'!AN59-720)+120,IF(AND('(橫掃)RX Mapping'!AN59&gt;=721,'(橫掃)RX Mapping'!AN59&lt;=840), ('(橫掃)RX Mapping'!AN59-601),IF(AND('(橫掃)RX Mapping'!AN59&gt;=841,'(橫掃)RX Mapping'!AN59&lt;=960), (-1)*('(橫掃)RX Mapping'!AN59-960)+120,9999))))))))</f>
        <v>9999</v>
      </c>
      <c r="AO59">
        <f>IF(AND('(橫掃)RX Mapping'!AO59&gt;=1,'(橫掃)RX Mapping'!AO59&lt;=120), ('(橫掃)RX Mapping'!AO59-1),IF(AND('(橫掃)RX Mapping'!AO59&gt;=121,'(橫掃)RX Mapping'!AO59&lt;=240), (-1)*('(橫掃)RX Mapping'!AO59-240),IF(AND('(橫掃)RX Mapping'!AO59&gt;=241,'(橫掃)RX Mapping'!AO59&lt;=360), ('(橫掃)RX Mapping'!AO59-241),IF(AND('(橫掃)RX Mapping'!AO59&gt;=361,'(橫掃)RX Mapping'!AO59&lt;=480), (-1)*('(橫掃)RX Mapping'!AO59-480),IF(AND('(橫掃)RX Mapping'!AO59&gt;=481,'(橫掃)RX Mapping'!AO59&lt;=600), ('(橫掃)RX Mapping'!AO59-361),IF(AND('(橫掃)RX Mapping'!AO59&gt;=601,'(橫掃)RX Mapping'!AO59&lt;=720), (-1)*('(橫掃)RX Mapping'!AO59-720)+120,IF(AND('(橫掃)RX Mapping'!AO59&gt;=721,'(橫掃)RX Mapping'!AO59&lt;=840), ('(橫掃)RX Mapping'!AO59-601),IF(AND('(橫掃)RX Mapping'!AO59&gt;=841,'(橫掃)RX Mapping'!AO59&lt;=960), (-1)*('(橫掃)RX Mapping'!AO59-960)+120,9999))))))))</f>
        <v>9999</v>
      </c>
      <c r="AP59">
        <f>IF(AND('(橫掃)RX Mapping'!AP59&gt;=1,'(橫掃)RX Mapping'!AP59&lt;=120), ('(橫掃)RX Mapping'!AP59-1),IF(AND('(橫掃)RX Mapping'!AP59&gt;=121,'(橫掃)RX Mapping'!AP59&lt;=240), (-1)*('(橫掃)RX Mapping'!AP59-240),IF(AND('(橫掃)RX Mapping'!AP59&gt;=241,'(橫掃)RX Mapping'!AP59&lt;=360), ('(橫掃)RX Mapping'!AP59-241),IF(AND('(橫掃)RX Mapping'!AP59&gt;=361,'(橫掃)RX Mapping'!AP59&lt;=480), (-1)*('(橫掃)RX Mapping'!AP59-480),IF(AND('(橫掃)RX Mapping'!AP59&gt;=481,'(橫掃)RX Mapping'!AP59&lt;=600), ('(橫掃)RX Mapping'!AP59-361),IF(AND('(橫掃)RX Mapping'!AP59&gt;=601,'(橫掃)RX Mapping'!AP59&lt;=720), (-1)*('(橫掃)RX Mapping'!AP59-720)+120,IF(AND('(橫掃)RX Mapping'!AP59&gt;=721,'(橫掃)RX Mapping'!AP59&lt;=840), ('(橫掃)RX Mapping'!AP59-601),IF(AND('(橫掃)RX Mapping'!AP59&gt;=841,'(橫掃)RX Mapping'!AP59&lt;=960), (-1)*('(橫掃)RX Mapping'!AP59-960)+120,9999))))))))</f>
        <v>9999</v>
      </c>
      <c r="AQ59">
        <f>IF(AND('(橫掃)RX Mapping'!AQ59&gt;=1,'(橫掃)RX Mapping'!AQ59&lt;=120), ('(橫掃)RX Mapping'!AQ59-1),IF(AND('(橫掃)RX Mapping'!AQ59&gt;=121,'(橫掃)RX Mapping'!AQ59&lt;=240), (-1)*('(橫掃)RX Mapping'!AQ59-240),IF(AND('(橫掃)RX Mapping'!AQ59&gt;=241,'(橫掃)RX Mapping'!AQ59&lt;=360), ('(橫掃)RX Mapping'!AQ59-241),IF(AND('(橫掃)RX Mapping'!AQ59&gt;=361,'(橫掃)RX Mapping'!AQ59&lt;=480), (-1)*('(橫掃)RX Mapping'!AQ59-480),IF(AND('(橫掃)RX Mapping'!AQ59&gt;=481,'(橫掃)RX Mapping'!AQ59&lt;=600), ('(橫掃)RX Mapping'!AQ59-361),IF(AND('(橫掃)RX Mapping'!AQ59&gt;=601,'(橫掃)RX Mapping'!AQ59&lt;=720), (-1)*('(橫掃)RX Mapping'!AQ59-720)+120,IF(AND('(橫掃)RX Mapping'!AQ59&gt;=721,'(橫掃)RX Mapping'!AQ59&lt;=840), ('(橫掃)RX Mapping'!AQ59-601),IF(AND('(橫掃)RX Mapping'!AQ59&gt;=841,'(橫掃)RX Mapping'!AQ59&lt;=960), (-1)*('(橫掃)RX Mapping'!AQ59-960)+120,9999))))))))</f>
        <v>9999</v>
      </c>
      <c r="AR59">
        <f>IF(AND('(橫掃)RX Mapping'!AR59&gt;=1,'(橫掃)RX Mapping'!AR59&lt;=120), ('(橫掃)RX Mapping'!AR59-1),IF(AND('(橫掃)RX Mapping'!AR59&gt;=121,'(橫掃)RX Mapping'!AR59&lt;=240), (-1)*('(橫掃)RX Mapping'!AR59-240),IF(AND('(橫掃)RX Mapping'!AR59&gt;=241,'(橫掃)RX Mapping'!AR59&lt;=360), ('(橫掃)RX Mapping'!AR59-241),IF(AND('(橫掃)RX Mapping'!AR59&gt;=361,'(橫掃)RX Mapping'!AR59&lt;=480), (-1)*('(橫掃)RX Mapping'!AR59-480),IF(AND('(橫掃)RX Mapping'!AR59&gt;=481,'(橫掃)RX Mapping'!AR59&lt;=600), ('(橫掃)RX Mapping'!AR59-361),IF(AND('(橫掃)RX Mapping'!AR59&gt;=601,'(橫掃)RX Mapping'!AR59&lt;=720), (-1)*('(橫掃)RX Mapping'!AR59-720)+120,IF(AND('(橫掃)RX Mapping'!AR59&gt;=721,'(橫掃)RX Mapping'!AR59&lt;=840), ('(橫掃)RX Mapping'!AR59-601),IF(AND('(橫掃)RX Mapping'!AR59&gt;=841,'(橫掃)RX Mapping'!AR59&lt;=960), (-1)*('(橫掃)RX Mapping'!AR59-960)+120,9999))))))))</f>
        <v>9999</v>
      </c>
      <c r="AS59">
        <f>IF(AND('(橫掃)RX Mapping'!AS59&gt;=1,'(橫掃)RX Mapping'!AS59&lt;=120), ('(橫掃)RX Mapping'!AS59-1),IF(AND('(橫掃)RX Mapping'!AS59&gt;=121,'(橫掃)RX Mapping'!AS59&lt;=240), (-1)*('(橫掃)RX Mapping'!AS59-240),IF(AND('(橫掃)RX Mapping'!AS59&gt;=241,'(橫掃)RX Mapping'!AS59&lt;=360), ('(橫掃)RX Mapping'!AS59-241),IF(AND('(橫掃)RX Mapping'!AS59&gt;=361,'(橫掃)RX Mapping'!AS59&lt;=480), (-1)*('(橫掃)RX Mapping'!AS59-480),IF(AND('(橫掃)RX Mapping'!AS59&gt;=481,'(橫掃)RX Mapping'!AS59&lt;=600), ('(橫掃)RX Mapping'!AS59-361),IF(AND('(橫掃)RX Mapping'!AS59&gt;=601,'(橫掃)RX Mapping'!AS59&lt;=720), (-1)*('(橫掃)RX Mapping'!AS59-720)+120,IF(AND('(橫掃)RX Mapping'!AS59&gt;=721,'(橫掃)RX Mapping'!AS59&lt;=840), ('(橫掃)RX Mapping'!AS59-601),IF(AND('(橫掃)RX Mapping'!AS59&gt;=841,'(橫掃)RX Mapping'!AS59&lt;=960), (-1)*('(橫掃)RX Mapping'!AS59-960)+120,9999))))))))</f>
        <v>9999</v>
      </c>
      <c r="AT59">
        <f>IF(AND('(橫掃)RX Mapping'!AT59&gt;=1,'(橫掃)RX Mapping'!AT59&lt;=120), ('(橫掃)RX Mapping'!AT59-1),IF(AND('(橫掃)RX Mapping'!AT59&gt;=121,'(橫掃)RX Mapping'!AT59&lt;=240), (-1)*('(橫掃)RX Mapping'!AT59-240),IF(AND('(橫掃)RX Mapping'!AT59&gt;=241,'(橫掃)RX Mapping'!AT59&lt;=360), ('(橫掃)RX Mapping'!AT59-241),IF(AND('(橫掃)RX Mapping'!AT59&gt;=361,'(橫掃)RX Mapping'!AT59&lt;=480), (-1)*('(橫掃)RX Mapping'!AT59-480),IF(AND('(橫掃)RX Mapping'!AT59&gt;=481,'(橫掃)RX Mapping'!AT59&lt;=600), ('(橫掃)RX Mapping'!AT59-361),IF(AND('(橫掃)RX Mapping'!AT59&gt;=601,'(橫掃)RX Mapping'!AT59&lt;=720), (-1)*('(橫掃)RX Mapping'!AT59-720)+120,IF(AND('(橫掃)RX Mapping'!AT59&gt;=721,'(橫掃)RX Mapping'!AT59&lt;=840), ('(橫掃)RX Mapping'!AT59-601),IF(AND('(橫掃)RX Mapping'!AT59&gt;=841,'(橫掃)RX Mapping'!AT59&lt;=960), (-1)*('(橫掃)RX Mapping'!AT59-960)+120,9999))))))))</f>
        <v>9999</v>
      </c>
      <c r="AU59">
        <f>IF(AND('(橫掃)RX Mapping'!AU59&gt;=1,'(橫掃)RX Mapping'!AU59&lt;=120), ('(橫掃)RX Mapping'!AU59-1),IF(AND('(橫掃)RX Mapping'!AU59&gt;=121,'(橫掃)RX Mapping'!AU59&lt;=240), (-1)*('(橫掃)RX Mapping'!AU59-240),IF(AND('(橫掃)RX Mapping'!AU59&gt;=241,'(橫掃)RX Mapping'!AU59&lt;=360), ('(橫掃)RX Mapping'!AU59-241),IF(AND('(橫掃)RX Mapping'!AU59&gt;=361,'(橫掃)RX Mapping'!AU59&lt;=480), (-1)*('(橫掃)RX Mapping'!AU59-480),IF(AND('(橫掃)RX Mapping'!AU59&gt;=481,'(橫掃)RX Mapping'!AU59&lt;=600), ('(橫掃)RX Mapping'!AU59-361),IF(AND('(橫掃)RX Mapping'!AU59&gt;=601,'(橫掃)RX Mapping'!AU59&lt;=720), (-1)*('(橫掃)RX Mapping'!AU59-720)+120,IF(AND('(橫掃)RX Mapping'!AU59&gt;=721,'(橫掃)RX Mapping'!AU59&lt;=840), ('(橫掃)RX Mapping'!AU59-601),IF(AND('(橫掃)RX Mapping'!AU59&gt;=841,'(橫掃)RX Mapping'!AU59&lt;=960), (-1)*('(橫掃)RX Mapping'!AU59-960)+120,9999))))))))</f>
        <v>9999</v>
      </c>
      <c r="AV59">
        <f>IF(AND('(橫掃)RX Mapping'!AV59&gt;=1,'(橫掃)RX Mapping'!AV59&lt;=120), ('(橫掃)RX Mapping'!AV59-1),IF(AND('(橫掃)RX Mapping'!AV59&gt;=121,'(橫掃)RX Mapping'!AV59&lt;=240), (-1)*('(橫掃)RX Mapping'!AV59-240),IF(AND('(橫掃)RX Mapping'!AV59&gt;=241,'(橫掃)RX Mapping'!AV59&lt;=360), ('(橫掃)RX Mapping'!AV59-241),IF(AND('(橫掃)RX Mapping'!AV59&gt;=361,'(橫掃)RX Mapping'!AV59&lt;=480), (-1)*('(橫掃)RX Mapping'!AV59-480),IF(AND('(橫掃)RX Mapping'!AV59&gt;=481,'(橫掃)RX Mapping'!AV59&lt;=600), ('(橫掃)RX Mapping'!AV59-361),IF(AND('(橫掃)RX Mapping'!AV59&gt;=601,'(橫掃)RX Mapping'!AV59&lt;=720), (-1)*('(橫掃)RX Mapping'!AV59-720)+120,IF(AND('(橫掃)RX Mapping'!AV59&gt;=721,'(橫掃)RX Mapping'!AV59&lt;=840), ('(橫掃)RX Mapping'!AV59-601),IF(AND('(橫掃)RX Mapping'!AV59&gt;=841,'(橫掃)RX Mapping'!AV59&lt;=960), (-1)*('(橫掃)RX Mapping'!AV59-960)+120,9999))))))))</f>
        <v>9999</v>
      </c>
      <c r="AW59">
        <f>IF(AND('(橫掃)RX Mapping'!AW59&gt;=1,'(橫掃)RX Mapping'!AW59&lt;=120), ('(橫掃)RX Mapping'!AW59-1),IF(AND('(橫掃)RX Mapping'!AW59&gt;=121,'(橫掃)RX Mapping'!AW59&lt;=240), (-1)*('(橫掃)RX Mapping'!AW59-240),IF(AND('(橫掃)RX Mapping'!AW59&gt;=241,'(橫掃)RX Mapping'!AW59&lt;=360), ('(橫掃)RX Mapping'!AW59-241),IF(AND('(橫掃)RX Mapping'!AW59&gt;=361,'(橫掃)RX Mapping'!AW59&lt;=480), (-1)*('(橫掃)RX Mapping'!AW59-480),IF(AND('(橫掃)RX Mapping'!AW59&gt;=481,'(橫掃)RX Mapping'!AW59&lt;=600), ('(橫掃)RX Mapping'!AW59-361),IF(AND('(橫掃)RX Mapping'!AW59&gt;=601,'(橫掃)RX Mapping'!AW59&lt;=720), (-1)*('(橫掃)RX Mapping'!AW59-720)+120,IF(AND('(橫掃)RX Mapping'!AW59&gt;=721,'(橫掃)RX Mapping'!AW59&lt;=840), ('(橫掃)RX Mapping'!AW59-601),IF(AND('(橫掃)RX Mapping'!AW59&gt;=841,'(橫掃)RX Mapping'!AW59&lt;=960), (-1)*('(橫掃)RX Mapping'!AW59-960)+120,9999))))))))</f>
        <v>9999</v>
      </c>
      <c r="AX59">
        <f>IF(AND('(橫掃)RX Mapping'!AX59&gt;=1,'(橫掃)RX Mapping'!AX59&lt;=120), ('(橫掃)RX Mapping'!AX59-1),IF(AND('(橫掃)RX Mapping'!AX59&gt;=121,'(橫掃)RX Mapping'!AX59&lt;=240), (-1)*('(橫掃)RX Mapping'!AX59-240),IF(AND('(橫掃)RX Mapping'!AX59&gt;=241,'(橫掃)RX Mapping'!AX59&lt;=360), ('(橫掃)RX Mapping'!AX59-241),IF(AND('(橫掃)RX Mapping'!AX59&gt;=361,'(橫掃)RX Mapping'!AX59&lt;=480), (-1)*('(橫掃)RX Mapping'!AX59-480),IF(AND('(橫掃)RX Mapping'!AX59&gt;=481,'(橫掃)RX Mapping'!AX59&lt;=600), ('(橫掃)RX Mapping'!AX59-361),IF(AND('(橫掃)RX Mapping'!AX59&gt;=601,'(橫掃)RX Mapping'!AX59&lt;=720), (-1)*('(橫掃)RX Mapping'!AX59-720)+120,IF(AND('(橫掃)RX Mapping'!AX59&gt;=721,'(橫掃)RX Mapping'!AX59&lt;=840), ('(橫掃)RX Mapping'!AX59-601),IF(AND('(橫掃)RX Mapping'!AX59&gt;=841,'(橫掃)RX Mapping'!AX59&lt;=960), (-1)*('(橫掃)RX Mapping'!AX59-960)+120,9999))))))))</f>
        <v>9999</v>
      </c>
      <c r="AY59">
        <f>IF(AND('(橫掃)RX Mapping'!AY59&gt;=1,'(橫掃)RX Mapping'!AY59&lt;=120), ('(橫掃)RX Mapping'!AY59-1),IF(AND('(橫掃)RX Mapping'!AY59&gt;=121,'(橫掃)RX Mapping'!AY59&lt;=240), (-1)*('(橫掃)RX Mapping'!AY59-240),IF(AND('(橫掃)RX Mapping'!AY59&gt;=241,'(橫掃)RX Mapping'!AY59&lt;=360), ('(橫掃)RX Mapping'!AY59-241),IF(AND('(橫掃)RX Mapping'!AY59&gt;=361,'(橫掃)RX Mapping'!AY59&lt;=480), (-1)*('(橫掃)RX Mapping'!AY59-480),IF(AND('(橫掃)RX Mapping'!AY59&gt;=481,'(橫掃)RX Mapping'!AY59&lt;=600), ('(橫掃)RX Mapping'!AY59-361),IF(AND('(橫掃)RX Mapping'!AY59&gt;=601,'(橫掃)RX Mapping'!AY59&lt;=720), (-1)*('(橫掃)RX Mapping'!AY59-720)+120,IF(AND('(橫掃)RX Mapping'!AY59&gt;=721,'(橫掃)RX Mapping'!AY59&lt;=840), ('(橫掃)RX Mapping'!AY59-601),IF(AND('(橫掃)RX Mapping'!AY59&gt;=841,'(橫掃)RX Mapping'!AY59&lt;=960), (-1)*('(橫掃)RX Mapping'!AY59-960)+120,9999))))))))</f>
        <v>9999</v>
      </c>
      <c r="AZ59">
        <f>IF(AND('(橫掃)RX Mapping'!AZ59&gt;=1,'(橫掃)RX Mapping'!AZ59&lt;=120), ('(橫掃)RX Mapping'!AZ59-1),IF(AND('(橫掃)RX Mapping'!AZ59&gt;=121,'(橫掃)RX Mapping'!AZ59&lt;=240), (-1)*('(橫掃)RX Mapping'!AZ59-240),IF(AND('(橫掃)RX Mapping'!AZ59&gt;=241,'(橫掃)RX Mapping'!AZ59&lt;=360), ('(橫掃)RX Mapping'!AZ59-241),IF(AND('(橫掃)RX Mapping'!AZ59&gt;=361,'(橫掃)RX Mapping'!AZ59&lt;=480), (-1)*('(橫掃)RX Mapping'!AZ59-480),IF(AND('(橫掃)RX Mapping'!AZ59&gt;=481,'(橫掃)RX Mapping'!AZ59&lt;=600), ('(橫掃)RX Mapping'!AZ59-361),IF(AND('(橫掃)RX Mapping'!AZ59&gt;=601,'(橫掃)RX Mapping'!AZ59&lt;=720), (-1)*('(橫掃)RX Mapping'!AZ59-720)+120,IF(AND('(橫掃)RX Mapping'!AZ59&gt;=721,'(橫掃)RX Mapping'!AZ59&lt;=840), ('(橫掃)RX Mapping'!AZ59-601),IF(AND('(橫掃)RX Mapping'!AZ59&gt;=841,'(橫掃)RX Mapping'!AZ59&lt;=960), (-1)*('(橫掃)RX Mapping'!AZ59-960)+120,9999))))))))</f>
        <v>9999</v>
      </c>
      <c r="BA59">
        <f>IF(AND('(橫掃)RX Mapping'!BA59&gt;=1,'(橫掃)RX Mapping'!BA59&lt;=120), ('(橫掃)RX Mapping'!BA59-1),IF(AND('(橫掃)RX Mapping'!BA59&gt;=121,'(橫掃)RX Mapping'!BA59&lt;=240), (-1)*('(橫掃)RX Mapping'!BA59-240),IF(AND('(橫掃)RX Mapping'!BA59&gt;=241,'(橫掃)RX Mapping'!BA59&lt;=360), ('(橫掃)RX Mapping'!BA59-241),IF(AND('(橫掃)RX Mapping'!BA59&gt;=361,'(橫掃)RX Mapping'!BA59&lt;=480), (-1)*('(橫掃)RX Mapping'!BA59-480),IF(AND('(橫掃)RX Mapping'!BA59&gt;=481,'(橫掃)RX Mapping'!BA59&lt;=600), ('(橫掃)RX Mapping'!BA59-361),IF(AND('(橫掃)RX Mapping'!BA59&gt;=601,'(橫掃)RX Mapping'!BA59&lt;=720), (-1)*('(橫掃)RX Mapping'!BA59-720)+120,IF(AND('(橫掃)RX Mapping'!BA59&gt;=721,'(橫掃)RX Mapping'!BA59&lt;=840), ('(橫掃)RX Mapping'!BA59-601),IF(AND('(橫掃)RX Mapping'!BA59&gt;=841,'(橫掃)RX Mapping'!BA59&lt;=960), (-1)*('(橫掃)RX Mapping'!BA59-960)+120,9999))))))))</f>
        <v>9999</v>
      </c>
      <c r="BB59">
        <f>IF(AND('(橫掃)RX Mapping'!BB59&gt;=1,'(橫掃)RX Mapping'!BB59&lt;=120), ('(橫掃)RX Mapping'!BB59-1),IF(AND('(橫掃)RX Mapping'!BB59&gt;=121,'(橫掃)RX Mapping'!BB59&lt;=240), (-1)*('(橫掃)RX Mapping'!BB59-240),IF(AND('(橫掃)RX Mapping'!BB59&gt;=241,'(橫掃)RX Mapping'!BB59&lt;=360), ('(橫掃)RX Mapping'!BB59-241),IF(AND('(橫掃)RX Mapping'!BB59&gt;=361,'(橫掃)RX Mapping'!BB59&lt;=480), (-1)*('(橫掃)RX Mapping'!BB59-480),IF(AND('(橫掃)RX Mapping'!BB59&gt;=481,'(橫掃)RX Mapping'!BB59&lt;=600), ('(橫掃)RX Mapping'!BB59-361),IF(AND('(橫掃)RX Mapping'!BB59&gt;=601,'(橫掃)RX Mapping'!BB59&lt;=720), (-1)*('(橫掃)RX Mapping'!BB59-720)+120,IF(AND('(橫掃)RX Mapping'!BB59&gt;=721,'(橫掃)RX Mapping'!BB59&lt;=840), ('(橫掃)RX Mapping'!BB59-601),IF(AND('(橫掃)RX Mapping'!BB59&gt;=841,'(橫掃)RX Mapping'!BB59&lt;=960), (-1)*('(橫掃)RX Mapping'!BB59-960)+120,9999))))))))</f>
        <v>9999</v>
      </c>
      <c r="BC59">
        <f>IF(AND('(橫掃)RX Mapping'!BC59&gt;=1,'(橫掃)RX Mapping'!BC59&lt;=120), ('(橫掃)RX Mapping'!BC59-1),IF(AND('(橫掃)RX Mapping'!BC59&gt;=121,'(橫掃)RX Mapping'!BC59&lt;=240), (-1)*('(橫掃)RX Mapping'!BC59-240),IF(AND('(橫掃)RX Mapping'!BC59&gt;=241,'(橫掃)RX Mapping'!BC59&lt;=360), ('(橫掃)RX Mapping'!BC59-241),IF(AND('(橫掃)RX Mapping'!BC59&gt;=361,'(橫掃)RX Mapping'!BC59&lt;=480), (-1)*('(橫掃)RX Mapping'!BC59-480),IF(AND('(橫掃)RX Mapping'!BC59&gt;=481,'(橫掃)RX Mapping'!BC59&lt;=600), ('(橫掃)RX Mapping'!BC59-361),IF(AND('(橫掃)RX Mapping'!BC59&gt;=601,'(橫掃)RX Mapping'!BC59&lt;=720), (-1)*('(橫掃)RX Mapping'!BC59-720)+120,IF(AND('(橫掃)RX Mapping'!BC59&gt;=721,'(橫掃)RX Mapping'!BC59&lt;=840), ('(橫掃)RX Mapping'!BC59-601),IF(AND('(橫掃)RX Mapping'!BC59&gt;=841,'(橫掃)RX Mapping'!BC59&lt;=960), (-1)*('(橫掃)RX Mapping'!BC59-960)+120,9999))))))))</f>
        <v>9999</v>
      </c>
      <c r="BD59">
        <f>IF(AND('(橫掃)RX Mapping'!BD59&gt;=1,'(橫掃)RX Mapping'!BD59&lt;=120), ('(橫掃)RX Mapping'!BD59-1),IF(AND('(橫掃)RX Mapping'!BD59&gt;=121,'(橫掃)RX Mapping'!BD59&lt;=240), (-1)*('(橫掃)RX Mapping'!BD59-240),IF(AND('(橫掃)RX Mapping'!BD59&gt;=241,'(橫掃)RX Mapping'!BD59&lt;=360), ('(橫掃)RX Mapping'!BD59-241),IF(AND('(橫掃)RX Mapping'!BD59&gt;=361,'(橫掃)RX Mapping'!BD59&lt;=480), (-1)*('(橫掃)RX Mapping'!BD59-480),IF(AND('(橫掃)RX Mapping'!BD59&gt;=481,'(橫掃)RX Mapping'!BD59&lt;=600), ('(橫掃)RX Mapping'!BD59-361),IF(AND('(橫掃)RX Mapping'!BD59&gt;=601,'(橫掃)RX Mapping'!BD59&lt;=720), (-1)*('(橫掃)RX Mapping'!BD59-720)+120,IF(AND('(橫掃)RX Mapping'!BD59&gt;=721,'(橫掃)RX Mapping'!BD59&lt;=840), ('(橫掃)RX Mapping'!BD59-601),IF(AND('(橫掃)RX Mapping'!BD59&gt;=841,'(橫掃)RX Mapping'!BD59&lt;=960), (-1)*('(橫掃)RX Mapping'!BD59-960)+120,9999))))))))</f>
        <v>9999</v>
      </c>
      <c r="BE59">
        <f>IF(AND('(橫掃)RX Mapping'!BE59&gt;=1,'(橫掃)RX Mapping'!BE59&lt;=120), ('(橫掃)RX Mapping'!BE59-1),IF(AND('(橫掃)RX Mapping'!BE59&gt;=121,'(橫掃)RX Mapping'!BE59&lt;=240), (-1)*('(橫掃)RX Mapping'!BE59-240),IF(AND('(橫掃)RX Mapping'!BE59&gt;=241,'(橫掃)RX Mapping'!BE59&lt;=360), ('(橫掃)RX Mapping'!BE59-241),IF(AND('(橫掃)RX Mapping'!BE59&gt;=361,'(橫掃)RX Mapping'!BE59&lt;=480), (-1)*('(橫掃)RX Mapping'!BE59-480),IF(AND('(橫掃)RX Mapping'!BE59&gt;=481,'(橫掃)RX Mapping'!BE59&lt;=600), ('(橫掃)RX Mapping'!BE59-361),IF(AND('(橫掃)RX Mapping'!BE59&gt;=601,'(橫掃)RX Mapping'!BE59&lt;=720), (-1)*('(橫掃)RX Mapping'!BE59-720)+120,IF(AND('(橫掃)RX Mapping'!BE59&gt;=721,'(橫掃)RX Mapping'!BE59&lt;=840), ('(橫掃)RX Mapping'!BE59-601),IF(AND('(橫掃)RX Mapping'!BE59&gt;=841,'(橫掃)RX Mapping'!BE59&lt;=960), (-1)*('(橫掃)RX Mapping'!BE59-960)+120,9999))))))))</f>
        <v>9999</v>
      </c>
      <c r="BF59">
        <f>IF(AND('(橫掃)RX Mapping'!BF59&gt;=1,'(橫掃)RX Mapping'!BF59&lt;=120), ('(橫掃)RX Mapping'!BF59-1),IF(AND('(橫掃)RX Mapping'!BF59&gt;=121,'(橫掃)RX Mapping'!BF59&lt;=240), (-1)*('(橫掃)RX Mapping'!BF59-240),IF(AND('(橫掃)RX Mapping'!BF59&gt;=241,'(橫掃)RX Mapping'!BF59&lt;=360), ('(橫掃)RX Mapping'!BF59-241),IF(AND('(橫掃)RX Mapping'!BF59&gt;=361,'(橫掃)RX Mapping'!BF59&lt;=480), (-1)*('(橫掃)RX Mapping'!BF59-480),IF(AND('(橫掃)RX Mapping'!BF59&gt;=481,'(橫掃)RX Mapping'!BF59&lt;=600), ('(橫掃)RX Mapping'!BF59-361),IF(AND('(橫掃)RX Mapping'!BF59&gt;=601,'(橫掃)RX Mapping'!BF59&lt;=720), (-1)*('(橫掃)RX Mapping'!BF59-720)+120,IF(AND('(橫掃)RX Mapping'!BF59&gt;=721,'(橫掃)RX Mapping'!BF59&lt;=840), ('(橫掃)RX Mapping'!BF59-601),IF(AND('(橫掃)RX Mapping'!BF59&gt;=841,'(橫掃)RX Mapping'!BF59&lt;=960), (-1)*('(橫掃)RX Mapping'!BF59-960)+120,9999))))))))</f>
        <v>9999</v>
      </c>
      <c r="BG59">
        <f>IF(AND('(橫掃)RX Mapping'!BG59&gt;=1,'(橫掃)RX Mapping'!BG59&lt;=120), ('(橫掃)RX Mapping'!BG59-1),IF(AND('(橫掃)RX Mapping'!BG59&gt;=121,'(橫掃)RX Mapping'!BG59&lt;=240), (-1)*('(橫掃)RX Mapping'!BG59-240),IF(AND('(橫掃)RX Mapping'!BG59&gt;=241,'(橫掃)RX Mapping'!BG59&lt;=360), ('(橫掃)RX Mapping'!BG59-241),IF(AND('(橫掃)RX Mapping'!BG59&gt;=361,'(橫掃)RX Mapping'!BG59&lt;=480), (-1)*('(橫掃)RX Mapping'!BG59-480),IF(AND('(橫掃)RX Mapping'!BG59&gt;=481,'(橫掃)RX Mapping'!BG59&lt;=600), ('(橫掃)RX Mapping'!BG59-361),IF(AND('(橫掃)RX Mapping'!BG59&gt;=601,'(橫掃)RX Mapping'!BG59&lt;=720), (-1)*('(橫掃)RX Mapping'!BG59-720)+120,IF(AND('(橫掃)RX Mapping'!BG59&gt;=721,'(橫掃)RX Mapping'!BG59&lt;=840), ('(橫掃)RX Mapping'!BG59-601),IF(AND('(橫掃)RX Mapping'!BG59&gt;=841,'(橫掃)RX Mapping'!BG59&lt;=960), (-1)*('(橫掃)RX Mapping'!BG59-960)+120,9999))))))))</f>
        <v>9999</v>
      </c>
      <c r="BH59">
        <f>IF(AND('(橫掃)RX Mapping'!BH59&gt;=1,'(橫掃)RX Mapping'!BH59&lt;=120), ('(橫掃)RX Mapping'!BH59-1),IF(AND('(橫掃)RX Mapping'!BH59&gt;=121,'(橫掃)RX Mapping'!BH59&lt;=240), (-1)*('(橫掃)RX Mapping'!BH59-240),IF(AND('(橫掃)RX Mapping'!BH59&gt;=241,'(橫掃)RX Mapping'!BH59&lt;=360), ('(橫掃)RX Mapping'!BH59-241),IF(AND('(橫掃)RX Mapping'!BH59&gt;=361,'(橫掃)RX Mapping'!BH59&lt;=480), (-1)*('(橫掃)RX Mapping'!BH59-480),IF(AND('(橫掃)RX Mapping'!BH59&gt;=481,'(橫掃)RX Mapping'!BH59&lt;=600), ('(橫掃)RX Mapping'!BH59-361),IF(AND('(橫掃)RX Mapping'!BH59&gt;=601,'(橫掃)RX Mapping'!BH59&lt;=720), (-1)*('(橫掃)RX Mapping'!BH59-720)+120,IF(AND('(橫掃)RX Mapping'!BH59&gt;=721,'(橫掃)RX Mapping'!BH59&lt;=840), ('(橫掃)RX Mapping'!BH59-601),IF(AND('(橫掃)RX Mapping'!BH59&gt;=841,'(橫掃)RX Mapping'!BH59&lt;=960), (-1)*('(橫掃)RX Mapping'!BH59-960)+120,9999))))))))</f>
        <v>9999</v>
      </c>
      <c r="BI59">
        <f>IF(AND('(橫掃)RX Mapping'!BI59&gt;=1,'(橫掃)RX Mapping'!BI59&lt;=120), ('(橫掃)RX Mapping'!BI59-1),IF(AND('(橫掃)RX Mapping'!BI59&gt;=121,'(橫掃)RX Mapping'!BI59&lt;=240), (-1)*('(橫掃)RX Mapping'!BI59-240),IF(AND('(橫掃)RX Mapping'!BI59&gt;=241,'(橫掃)RX Mapping'!BI59&lt;=360), ('(橫掃)RX Mapping'!BI59-241),IF(AND('(橫掃)RX Mapping'!BI59&gt;=361,'(橫掃)RX Mapping'!BI59&lt;=480), (-1)*('(橫掃)RX Mapping'!BI59-480),IF(AND('(橫掃)RX Mapping'!BI59&gt;=481,'(橫掃)RX Mapping'!BI59&lt;=600), ('(橫掃)RX Mapping'!BI59-361),IF(AND('(橫掃)RX Mapping'!BI59&gt;=601,'(橫掃)RX Mapping'!BI59&lt;=720), (-1)*('(橫掃)RX Mapping'!BI59-720)+120,IF(AND('(橫掃)RX Mapping'!BI59&gt;=721,'(橫掃)RX Mapping'!BI59&lt;=840), ('(橫掃)RX Mapping'!BI59-601),IF(AND('(橫掃)RX Mapping'!BI59&gt;=841,'(橫掃)RX Mapping'!BI59&lt;=960), (-1)*('(橫掃)RX Mapping'!BI59-960)+120,9999))))))))</f>
        <v>9999</v>
      </c>
    </row>
    <row r="60" spans="1:61" x14ac:dyDescent="0.25">
      <c r="A60" s="20">
        <v>59</v>
      </c>
      <c r="B60">
        <f>IF(AND('(橫掃)RX Mapping'!B60&gt;=1,'(橫掃)RX Mapping'!B60&lt;=120), ('(橫掃)RX Mapping'!B60-1),IF(AND('(橫掃)RX Mapping'!B60&gt;=121,'(橫掃)RX Mapping'!B60&lt;=240), (-1)*('(橫掃)RX Mapping'!B60-240),IF(AND('(橫掃)RX Mapping'!B60&gt;=241,'(橫掃)RX Mapping'!B60&lt;=360), ('(橫掃)RX Mapping'!B60-241),IF(AND('(橫掃)RX Mapping'!B60&gt;=361,'(橫掃)RX Mapping'!B60&lt;=480), (-1)*('(橫掃)RX Mapping'!B60-480),IF(AND('(橫掃)RX Mapping'!B60&gt;=481,'(橫掃)RX Mapping'!B60&lt;=600), ('(橫掃)RX Mapping'!B60-361),IF(AND('(橫掃)RX Mapping'!B60&gt;=601,'(橫掃)RX Mapping'!B60&lt;=720), (-1)*('(橫掃)RX Mapping'!B60-720)+120,IF(AND('(橫掃)RX Mapping'!B60&gt;=721,'(橫掃)RX Mapping'!B60&lt;=840), ('(橫掃)RX Mapping'!B60-601),IF(AND('(橫掃)RX Mapping'!B60&gt;=841,'(橫掃)RX Mapping'!B60&lt;=960), (-1)*('(橫掃)RX Mapping'!B60-960)+120,9999))))))))</f>
        <v>9999</v>
      </c>
      <c r="C60">
        <f>IF(AND('(橫掃)RX Mapping'!C60&gt;=1,'(橫掃)RX Mapping'!C60&lt;=120), ('(橫掃)RX Mapping'!C60-1),IF(AND('(橫掃)RX Mapping'!C60&gt;=121,'(橫掃)RX Mapping'!C60&lt;=240), (-1)*('(橫掃)RX Mapping'!C60-240),IF(AND('(橫掃)RX Mapping'!C60&gt;=241,'(橫掃)RX Mapping'!C60&lt;=360), ('(橫掃)RX Mapping'!C60-241),IF(AND('(橫掃)RX Mapping'!C60&gt;=361,'(橫掃)RX Mapping'!C60&lt;=480), (-1)*('(橫掃)RX Mapping'!C60-480),IF(AND('(橫掃)RX Mapping'!C60&gt;=481,'(橫掃)RX Mapping'!C60&lt;=600), ('(橫掃)RX Mapping'!C60-361),IF(AND('(橫掃)RX Mapping'!C60&gt;=601,'(橫掃)RX Mapping'!C60&lt;=720), (-1)*('(橫掃)RX Mapping'!C60-720)+120,IF(AND('(橫掃)RX Mapping'!C60&gt;=721,'(橫掃)RX Mapping'!C60&lt;=840), ('(橫掃)RX Mapping'!C60-601),IF(AND('(橫掃)RX Mapping'!C60&gt;=841,'(橫掃)RX Mapping'!C60&lt;=960), (-1)*('(橫掃)RX Mapping'!C60-960)+120,9999))))))))</f>
        <v>9999</v>
      </c>
      <c r="D60">
        <f>IF(AND('(橫掃)RX Mapping'!D60&gt;=1,'(橫掃)RX Mapping'!D60&lt;=120), ('(橫掃)RX Mapping'!D60-1),IF(AND('(橫掃)RX Mapping'!D60&gt;=121,'(橫掃)RX Mapping'!D60&lt;=240), (-1)*('(橫掃)RX Mapping'!D60-240),IF(AND('(橫掃)RX Mapping'!D60&gt;=241,'(橫掃)RX Mapping'!D60&lt;=360), ('(橫掃)RX Mapping'!D60-241),IF(AND('(橫掃)RX Mapping'!D60&gt;=361,'(橫掃)RX Mapping'!D60&lt;=480), (-1)*('(橫掃)RX Mapping'!D60-480),IF(AND('(橫掃)RX Mapping'!D60&gt;=481,'(橫掃)RX Mapping'!D60&lt;=600), ('(橫掃)RX Mapping'!D60-361),IF(AND('(橫掃)RX Mapping'!D60&gt;=601,'(橫掃)RX Mapping'!D60&lt;=720), (-1)*('(橫掃)RX Mapping'!D60-720)+120,IF(AND('(橫掃)RX Mapping'!D60&gt;=721,'(橫掃)RX Mapping'!D60&lt;=840), ('(橫掃)RX Mapping'!D60-601),IF(AND('(橫掃)RX Mapping'!D60&gt;=841,'(橫掃)RX Mapping'!D60&lt;=960), (-1)*('(橫掃)RX Mapping'!D60-960)+120,9999))))))))</f>
        <v>9999</v>
      </c>
      <c r="E60">
        <f>IF(AND('(橫掃)RX Mapping'!E60&gt;=1,'(橫掃)RX Mapping'!E60&lt;=120), ('(橫掃)RX Mapping'!E60-1),IF(AND('(橫掃)RX Mapping'!E60&gt;=121,'(橫掃)RX Mapping'!E60&lt;=240), (-1)*('(橫掃)RX Mapping'!E60-240),IF(AND('(橫掃)RX Mapping'!E60&gt;=241,'(橫掃)RX Mapping'!E60&lt;=360), ('(橫掃)RX Mapping'!E60-241),IF(AND('(橫掃)RX Mapping'!E60&gt;=361,'(橫掃)RX Mapping'!E60&lt;=480), (-1)*('(橫掃)RX Mapping'!E60-480),IF(AND('(橫掃)RX Mapping'!E60&gt;=481,'(橫掃)RX Mapping'!E60&lt;=600), ('(橫掃)RX Mapping'!E60-361),IF(AND('(橫掃)RX Mapping'!E60&gt;=601,'(橫掃)RX Mapping'!E60&lt;=720), (-1)*('(橫掃)RX Mapping'!E60-720)+120,IF(AND('(橫掃)RX Mapping'!E60&gt;=721,'(橫掃)RX Mapping'!E60&lt;=840), ('(橫掃)RX Mapping'!E60-601),IF(AND('(橫掃)RX Mapping'!E60&gt;=841,'(橫掃)RX Mapping'!E60&lt;=960), (-1)*('(橫掃)RX Mapping'!E60-960)+120,9999))))))))</f>
        <v>9999</v>
      </c>
      <c r="F60">
        <f>IF(AND('(橫掃)RX Mapping'!F60&gt;=1,'(橫掃)RX Mapping'!F60&lt;=120), ('(橫掃)RX Mapping'!F60-1),IF(AND('(橫掃)RX Mapping'!F60&gt;=121,'(橫掃)RX Mapping'!F60&lt;=240), (-1)*('(橫掃)RX Mapping'!F60-240),IF(AND('(橫掃)RX Mapping'!F60&gt;=241,'(橫掃)RX Mapping'!F60&lt;=360), ('(橫掃)RX Mapping'!F60-241),IF(AND('(橫掃)RX Mapping'!F60&gt;=361,'(橫掃)RX Mapping'!F60&lt;=480), (-1)*('(橫掃)RX Mapping'!F60-480),IF(AND('(橫掃)RX Mapping'!F60&gt;=481,'(橫掃)RX Mapping'!F60&lt;=600), ('(橫掃)RX Mapping'!F60-361),IF(AND('(橫掃)RX Mapping'!F60&gt;=601,'(橫掃)RX Mapping'!F60&lt;=720), (-1)*('(橫掃)RX Mapping'!F60-720)+120,IF(AND('(橫掃)RX Mapping'!F60&gt;=721,'(橫掃)RX Mapping'!F60&lt;=840), ('(橫掃)RX Mapping'!F60-601),IF(AND('(橫掃)RX Mapping'!F60&gt;=841,'(橫掃)RX Mapping'!F60&lt;=960), (-1)*('(橫掃)RX Mapping'!F60-960)+120,9999))))))))</f>
        <v>9999</v>
      </c>
      <c r="G60">
        <f>IF(AND('(橫掃)RX Mapping'!G60&gt;=1,'(橫掃)RX Mapping'!G60&lt;=120), ('(橫掃)RX Mapping'!G60-1),IF(AND('(橫掃)RX Mapping'!G60&gt;=121,'(橫掃)RX Mapping'!G60&lt;=240), (-1)*('(橫掃)RX Mapping'!G60-240),IF(AND('(橫掃)RX Mapping'!G60&gt;=241,'(橫掃)RX Mapping'!G60&lt;=360), ('(橫掃)RX Mapping'!G60-241),IF(AND('(橫掃)RX Mapping'!G60&gt;=361,'(橫掃)RX Mapping'!G60&lt;=480), (-1)*('(橫掃)RX Mapping'!G60-480),IF(AND('(橫掃)RX Mapping'!G60&gt;=481,'(橫掃)RX Mapping'!G60&lt;=600), ('(橫掃)RX Mapping'!G60-361),IF(AND('(橫掃)RX Mapping'!G60&gt;=601,'(橫掃)RX Mapping'!G60&lt;=720), (-1)*('(橫掃)RX Mapping'!G60-720)+120,IF(AND('(橫掃)RX Mapping'!G60&gt;=721,'(橫掃)RX Mapping'!G60&lt;=840), ('(橫掃)RX Mapping'!G60-601),IF(AND('(橫掃)RX Mapping'!G60&gt;=841,'(橫掃)RX Mapping'!G60&lt;=960), (-1)*('(橫掃)RX Mapping'!G60-960)+120,9999))))))))</f>
        <v>9999</v>
      </c>
      <c r="H60">
        <f>IF(AND('(橫掃)RX Mapping'!H60&gt;=1,'(橫掃)RX Mapping'!H60&lt;=120), ('(橫掃)RX Mapping'!H60-1),IF(AND('(橫掃)RX Mapping'!H60&gt;=121,'(橫掃)RX Mapping'!H60&lt;=240), (-1)*('(橫掃)RX Mapping'!H60-240),IF(AND('(橫掃)RX Mapping'!H60&gt;=241,'(橫掃)RX Mapping'!H60&lt;=360), ('(橫掃)RX Mapping'!H60-241),IF(AND('(橫掃)RX Mapping'!H60&gt;=361,'(橫掃)RX Mapping'!H60&lt;=480), (-1)*('(橫掃)RX Mapping'!H60-480),IF(AND('(橫掃)RX Mapping'!H60&gt;=481,'(橫掃)RX Mapping'!H60&lt;=600), ('(橫掃)RX Mapping'!H60-361),IF(AND('(橫掃)RX Mapping'!H60&gt;=601,'(橫掃)RX Mapping'!H60&lt;=720), (-1)*('(橫掃)RX Mapping'!H60-720)+120,IF(AND('(橫掃)RX Mapping'!H60&gt;=721,'(橫掃)RX Mapping'!H60&lt;=840), ('(橫掃)RX Mapping'!H60-601),IF(AND('(橫掃)RX Mapping'!H60&gt;=841,'(橫掃)RX Mapping'!H60&lt;=960), (-1)*('(橫掃)RX Mapping'!H60-960)+120,9999))))))))</f>
        <v>9999</v>
      </c>
      <c r="I60">
        <f>IF(AND('(橫掃)RX Mapping'!I60&gt;=1,'(橫掃)RX Mapping'!I60&lt;=120), ('(橫掃)RX Mapping'!I60-1),IF(AND('(橫掃)RX Mapping'!I60&gt;=121,'(橫掃)RX Mapping'!I60&lt;=240), (-1)*('(橫掃)RX Mapping'!I60-240),IF(AND('(橫掃)RX Mapping'!I60&gt;=241,'(橫掃)RX Mapping'!I60&lt;=360), ('(橫掃)RX Mapping'!I60-241),IF(AND('(橫掃)RX Mapping'!I60&gt;=361,'(橫掃)RX Mapping'!I60&lt;=480), (-1)*('(橫掃)RX Mapping'!I60-480),IF(AND('(橫掃)RX Mapping'!I60&gt;=481,'(橫掃)RX Mapping'!I60&lt;=600), ('(橫掃)RX Mapping'!I60-361),IF(AND('(橫掃)RX Mapping'!I60&gt;=601,'(橫掃)RX Mapping'!I60&lt;=720), (-1)*('(橫掃)RX Mapping'!I60-720)+120,IF(AND('(橫掃)RX Mapping'!I60&gt;=721,'(橫掃)RX Mapping'!I60&lt;=840), ('(橫掃)RX Mapping'!I60-601),IF(AND('(橫掃)RX Mapping'!I60&gt;=841,'(橫掃)RX Mapping'!I60&lt;=960), (-1)*('(橫掃)RX Mapping'!I60-960)+120,9999))))))))</f>
        <v>9999</v>
      </c>
      <c r="J60">
        <f>IF(AND('(橫掃)RX Mapping'!J60&gt;=1,'(橫掃)RX Mapping'!J60&lt;=120), ('(橫掃)RX Mapping'!J60-1),IF(AND('(橫掃)RX Mapping'!J60&gt;=121,'(橫掃)RX Mapping'!J60&lt;=240), (-1)*('(橫掃)RX Mapping'!J60-240),IF(AND('(橫掃)RX Mapping'!J60&gt;=241,'(橫掃)RX Mapping'!J60&lt;=360), ('(橫掃)RX Mapping'!J60-241),IF(AND('(橫掃)RX Mapping'!J60&gt;=361,'(橫掃)RX Mapping'!J60&lt;=480), (-1)*('(橫掃)RX Mapping'!J60-480),IF(AND('(橫掃)RX Mapping'!J60&gt;=481,'(橫掃)RX Mapping'!J60&lt;=600), ('(橫掃)RX Mapping'!J60-361),IF(AND('(橫掃)RX Mapping'!J60&gt;=601,'(橫掃)RX Mapping'!J60&lt;=720), (-1)*('(橫掃)RX Mapping'!J60-720)+120,IF(AND('(橫掃)RX Mapping'!J60&gt;=721,'(橫掃)RX Mapping'!J60&lt;=840), ('(橫掃)RX Mapping'!J60-601),IF(AND('(橫掃)RX Mapping'!J60&gt;=841,'(橫掃)RX Mapping'!J60&lt;=960), (-1)*('(橫掃)RX Mapping'!J60-960)+120,9999))))))))</f>
        <v>9999</v>
      </c>
      <c r="K60">
        <f>IF(AND('(橫掃)RX Mapping'!K60&gt;=1,'(橫掃)RX Mapping'!K60&lt;=120), ('(橫掃)RX Mapping'!K60-1),IF(AND('(橫掃)RX Mapping'!K60&gt;=121,'(橫掃)RX Mapping'!K60&lt;=240), (-1)*('(橫掃)RX Mapping'!K60-240),IF(AND('(橫掃)RX Mapping'!K60&gt;=241,'(橫掃)RX Mapping'!K60&lt;=360), ('(橫掃)RX Mapping'!K60-241),IF(AND('(橫掃)RX Mapping'!K60&gt;=361,'(橫掃)RX Mapping'!K60&lt;=480), (-1)*('(橫掃)RX Mapping'!K60-480),IF(AND('(橫掃)RX Mapping'!K60&gt;=481,'(橫掃)RX Mapping'!K60&lt;=600), ('(橫掃)RX Mapping'!K60-361),IF(AND('(橫掃)RX Mapping'!K60&gt;=601,'(橫掃)RX Mapping'!K60&lt;=720), (-1)*('(橫掃)RX Mapping'!K60-720)+120,IF(AND('(橫掃)RX Mapping'!K60&gt;=721,'(橫掃)RX Mapping'!K60&lt;=840), ('(橫掃)RX Mapping'!K60-601),IF(AND('(橫掃)RX Mapping'!K60&gt;=841,'(橫掃)RX Mapping'!K60&lt;=960), (-1)*('(橫掃)RX Mapping'!K60-960)+120,9999))))))))</f>
        <v>9999</v>
      </c>
      <c r="L60">
        <f>IF(AND('(橫掃)RX Mapping'!L60&gt;=1,'(橫掃)RX Mapping'!L60&lt;=120), ('(橫掃)RX Mapping'!L60-1),IF(AND('(橫掃)RX Mapping'!L60&gt;=121,'(橫掃)RX Mapping'!L60&lt;=240), (-1)*('(橫掃)RX Mapping'!L60-240),IF(AND('(橫掃)RX Mapping'!L60&gt;=241,'(橫掃)RX Mapping'!L60&lt;=360), ('(橫掃)RX Mapping'!L60-241),IF(AND('(橫掃)RX Mapping'!L60&gt;=361,'(橫掃)RX Mapping'!L60&lt;=480), (-1)*('(橫掃)RX Mapping'!L60-480),IF(AND('(橫掃)RX Mapping'!L60&gt;=481,'(橫掃)RX Mapping'!L60&lt;=600), ('(橫掃)RX Mapping'!L60-361),IF(AND('(橫掃)RX Mapping'!L60&gt;=601,'(橫掃)RX Mapping'!L60&lt;=720), (-1)*('(橫掃)RX Mapping'!L60-720)+120,IF(AND('(橫掃)RX Mapping'!L60&gt;=721,'(橫掃)RX Mapping'!L60&lt;=840), ('(橫掃)RX Mapping'!L60-601),IF(AND('(橫掃)RX Mapping'!L60&gt;=841,'(橫掃)RX Mapping'!L60&lt;=960), (-1)*('(橫掃)RX Mapping'!L60-960)+120,9999))))))))</f>
        <v>9999</v>
      </c>
      <c r="M60">
        <f>IF(AND('(橫掃)RX Mapping'!M60&gt;=1,'(橫掃)RX Mapping'!M60&lt;=120), ('(橫掃)RX Mapping'!M60-1),IF(AND('(橫掃)RX Mapping'!M60&gt;=121,'(橫掃)RX Mapping'!M60&lt;=240), (-1)*('(橫掃)RX Mapping'!M60-240),IF(AND('(橫掃)RX Mapping'!M60&gt;=241,'(橫掃)RX Mapping'!M60&lt;=360), ('(橫掃)RX Mapping'!M60-241),IF(AND('(橫掃)RX Mapping'!M60&gt;=361,'(橫掃)RX Mapping'!M60&lt;=480), (-1)*('(橫掃)RX Mapping'!M60-480),IF(AND('(橫掃)RX Mapping'!M60&gt;=481,'(橫掃)RX Mapping'!M60&lt;=600), ('(橫掃)RX Mapping'!M60-361),IF(AND('(橫掃)RX Mapping'!M60&gt;=601,'(橫掃)RX Mapping'!M60&lt;=720), (-1)*('(橫掃)RX Mapping'!M60-720)+120,IF(AND('(橫掃)RX Mapping'!M60&gt;=721,'(橫掃)RX Mapping'!M60&lt;=840), ('(橫掃)RX Mapping'!M60-601),IF(AND('(橫掃)RX Mapping'!M60&gt;=841,'(橫掃)RX Mapping'!M60&lt;=960), (-1)*('(橫掃)RX Mapping'!M60-960)+120,9999))))))))</f>
        <v>9999</v>
      </c>
      <c r="N60">
        <f>IF(AND('(橫掃)RX Mapping'!N60&gt;=1,'(橫掃)RX Mapping'!N60&lt;=120), ('(橫掃)RX Mapping'!N60-1),IF(AND('(橫掃)RX Mapping'!N60&gt;=121,'(橫掃)RX Mapping'!N60&lt;=240), (-1)*('(橫掃)RX Mapping'!N60-240),IF(AND('(橫掃)RX Mapping'!N60&gt;=241,'(橫掃)RX Mapping'!N60&lt;=360), ('(橫掃)RX Mapping'!N60-241),IF(AND('(橫掃)RX Mapping'!N60&gt;=361,'(橫掃)RX Mapping'!N60&lt;=480), (-1)*('(橫掃)RX Mapping'!N60-480),IF(AND('(橫掃)RX Mapping'!N60&gt;=481,'(橫掃)RX Mapping'!N60&lt;=600), ('(橫掃)RX Mapping'!N60-361),IF(AND('(橫掃)RX Mapping'!N60&gt;=601,'(橫掃)RX Mapping'!N60&lt;=720), (-1)*('(橫掃)RX Mapping'!N60-720)+120,IF(AND('(橫掃)RX Mapping'!N60&gt;=721,'(橫掃)RX Mapping'!N60&lt;=840), ('(橫掃)RX Mapping'!N60-601),IF(AND('(橫掃)RX Mapping'!N60&gt;=841,'(橫掃)RX Mapping'!N60&lt;=960), (-1)*('(橫掃)RX Mapping'!N60-960)+120,9999))))))))</f>
        <v>9999</v>
      </c>
      <c r="O60">
        <f>IF(AND('(橫掃)RX Mapping'!O60&gt;=1,'(橫掃)RX Mapping'!O60&lt;=120), ('(橫掃)RX Mapping'!O60-1),IF(AND('(橫掃)RX Mapping'!O60&gt;=121,'(橫掃)RX Mapping'!O60&lt;=240), (-1)*('(橫掃)RX Mapping'!O60-240),IF(AND('(橫掃)RX Mapping'!O60&gt;=241,'(橫掃)RX Mapping'!O60&lt;=360), ('(橫掃)RX Mapping'!O60-241),IF(AND('(橫掃)RX Mapping'!O60&gt;=361,'(橫掃)RX Mapping'!O60&lt;=480), (-1)*('(橫掃)RX Mapping'!O60-480),IF(AND('(橫掃)RX Mapping'!O60&gt;=481,'(橫掃)RX Mapping'!O60&lt;=600), ('(橫掃)RX Mapping'!O60-361),IF(AND('(橫掃)RX Mapping'!O60&gt;=601,'(橫掃)RX Mapping'!O60&lt;=720), (-1)*('(橫掃)RX Mapping'!O60-720)+120,IF(AND('(橫掃)RX Mapping'!O60&gt;=721,'(橫掃)RX Mapping'!O60&lt;=840), ('(橫掃)RX Mapping'!O60-601),IF(AND('(橫掃)RX Mapping'!O60&gt;=841,'(橫掃)RX Mapping'!O60&lt;=960), (-1)*('(橫掃)RX Mapping'!O60-960)+120,9999))))))))</f>
        <v>9999</v>
      </c>
      <c r="P60">
        <f>IF(AND('(橫掃)RX Mapping'!P60&gt;=1,'(橫掃)RX Mapping'!P60&lt;=120), ('(橫掃)RX Mapping'!P60-1),IF(AND('(橫掃)RX Mapping'!P60&gt;=121,'(橫掃)RX Mapping'!P60&lt;=240), (-1)*('(橫掃)RX Mapping'!P60-240),IF(AND('(橫掃)RX Mapping'!P60&gt;=241,'(橫掃)RX Mapping'!P60&lt;=360), ('(橫掃)RX Mapping'!P60-241),IF(AND('(橫掃)RX Mapping'!P60&gt;=361,'(橫掃)RX Mapping'!P60&lt;=480), (-1)*('(橫掃)RX Mapping'!P60-480),IF(AND('(橫掃)RX Mapping'!P60&gt;=481,'(橫掃)RX Mapping'!P60&lt;=600), ('(橫掃)RX Mapping'!P60-361),IF(AND('(橫掃)RX Mapping'!P60&gt;=601,'(橫掃)RX Mapping'!P60&lt;=720), (-1)*('(橫掃)RX Mapping'!P60-720)+120,IF(AND('(橫掃)RX Mapping'!P60&gt;=721,'(橫掃)RX Mapping'!P60&lt;=840), ('(橫掃)RX Mapping'!P60-601),IF(AND('(橫掃)RX Mapping'!P60&gt;=841,'(橫掃)RX Mapping'!P60&lt;=960), (-1)*('(橫掃)RX Mapping'!P60-960)+120,9999))))))))</f>
        <v>9999</v>
      </c>
      <c r="Q60">
        <f>IF(AND('(橫掃)RX Mapping'!Q60&gt;=1,'(橫掃)RX Mapping'!Q60&lt;=120), ('(橫掃)RX Mapping'!Q60-1),IF(AND('(橫掃)RX Mapping'!Q60&gt;=121,'(橫掃)RX Mapping'!Q60&lt;=240), (-1)*('(橫掃)RX Mapping'!Q60-240),IF(AND('(橫掃)RX Mapping'!Q60&gt;=241,'(橫掃)RX Mapping'!Q60&lt;=360), ('(橫掃)RX Mapping'!Q60-241),IF(AND('(橫掃)RX Mapping'!Q60&gt;=361,'(橫掃)RX Mapping'!Q60&lt;=480), (-1)*('(橫掃)RX Mapping'!Q60-480),IF(AND('(橫掃)RX Mapping'!Q60&gt;=481,'(橫掃)RX Mapping'!Q60&lt;=600), ('(橫掃)RX Mapping'!Q60-361),IF(AND('(橫掃)RX Mapping'!Q60&gt;=601,'(橫掃)RX Mapping'!Q60&lt;=720), (-1)*('(橫掃)RX Mapping'!Q60-720)+120,IF(AND('(橫掃)RX Mapping'!Q60&gt;=721,'(橫掃)RX Mapping'!Q60&lt;=840), ('(橫掃)RX Mapping'!Q60-601),IF(AND('(橫掃)RX Mapping'!Q60&gt;=841,'(橫掃)RX Mapping'!Q60&lt;=960), (-1)*('(橫掃)RX Mapping'!Q60-960)+120,9999))))))))</f>
        <v>9999</v>
      </c>
      <c r="R60">
        <f>IF(AND('(橫掃)RX Mapping'!R60&gt;=1,'(橫掃)RX Mapping'!R60&lt;=120), ('(橫掃)RX Mapping'!R60-1),IF(AND('(橫掃)RX Mapping'!R60&gt;=121,'(橫掃)RX Mapping'!R60&lt;=240), (-1)*('(橫掃)RX Mapping'!R60-240),IF(AND('(橫掃)RX Mapping'!R60&gt;=241,'(橫掃)RX Mapping'!R60&lt;=360), ('(橫掃)RX Mapping'!R60-241),IF(AND('(橫掃)RX Mapping'!R60&gt;=361,'(橫掃)RX Mapping'!R60&lt;=480), (-1)*('(橫掃)RX Mapping'!R60-480),IF(AND('(橫掃)RX Mapping'!R60&gt;=481,'(橫掃)RX Mapping'!R60&lt;=600), ('(橫掃)RX Mapping'!R60-361),IF(AND('(橫掃)RX Mapping'!R60&gt;=601,'(橫掃)RX Mapping'!R60&lt;=720), (-1)*('(橫掃)RX Mapping'!R60-720)+120,IF(AND('(橫掃)RX Mapping'!R60&gt;=721,'(橫掃)RX Mapping'!R60&lt;=840), ('(橫掃)RX Mapping'!R60-601),IF(AND('(橫掃)RX Mapping'!R60&gt;=841,'(橫掃)RX Mapping'!R60&lt;=960), (-1)*('(橫掃)RX Mapping'!R60-960)+120,9999))))))))</f>
        <v>9999</v>
      </c>
      <c r="S60">
        <f>IF(AND('(橫掃)RX Mapping'!S60&gt;=1,'(橫掃)RX Mapping'!S60&lt;=120), ('(橫掃)RX Mapping'!S60-1),IF(AND('(橫掃)RX Mapping'!S60&gt;=121,'(橫掃)RX Mapping'!S60&lt;=240), (-1)*('(橫掃)RX Mapping'!S60-240),IF(AND('(橫掃)RX Mapping'!S60&gt;=241,'(橫掃)RX Mapping'!S60&lt;=360), ('(橫掃)RX Mapping'!S60-241),IF(AND('(橫掃)RX Mapping'!S60&gt;=361,'(橫掃)RX Mapping'!S60&lt;=480), (-1)*('(橫掃)RX Mapping'!S60-480),IF(AND('(橫掃)RX Mapping'!S60&gt;=481,'(橫掃)RX Mapping'!S60&lt;=600), ('(橫掃)RX Mapping'!S60-361),IF(AND('(橫掃)RX Mapping'!S60&gt;=601,'(橫掃)RX Mapping'!S60&lt;=720), (-1)*('(橫掃)RX Mapping'!S60-720)+120,IF(AND('(橫掃)RX Mapping'!S60&gt;=721,'(橫掃)RX Mapping'!S60&lt;=840), ('(橫掃)RX Mapping'!S60-601),IF(AND('(橫掃)RX Mapping'!S60&gt;=841,'(橫掃)RX Mapping'!S60&lt;=960), (-1)*('(橫掃)RX Mapping'!S60-960)+120,9999))))))))</f>
        <v>9999</v>
      </c>
      <c r="T60">
        <f>IF(AND('(橫掃)RX Mapping'!T60&gt;=1,'(橫掃)RX Mapping'!T60&lt;=120), ('(橫掃)RX Mapping'!T60-1),IF(AND('(橫掃)RX Mapping'!T60&gt;=121,'(橫掃)RX Mapping'!T60&lt;=240), (-1)*('(橫掃)RX Mapping'!T60-240),IF(AND('(橫掃)RX Mapping'!T60&gt;=241,'(橫掃)RX Mapping'!T60&lt;=360), ('(橫掃)RX Mapping'!T60-241),IF(AND('(橫掃)RX Mapping'!T60&gt;=361,'(橫掃)RX Mapping'!T60&lt;=480), (-1)*('(橫掃)RX Mapping'!T60-480),IF(AND('(橫掃)RX Mapping'!T60&gt;=481,'(橫掃)RX Mapping'!T60&lt;=600), ('(橫掃)RX Mapping'!T60-361),IF(AND('(橫掃)RX Mapping'!T60&gt;=601,'(橫掃)RX Mapping'!T60&lt;=720), (-1)*('(橫掃)RX Mapping'!T60-720)+120,IF(AND('(橫掃)RX Mapping'!T60&gt;=721,'(橫掃)RX Mapping'!T60&lt;=840), ('(橫掃)RX Mapping'!T60-601),IF(AND('(橫掃)RX Mapping'!T60&gt;=841,'(橫掃)RX Mapping'!T60&lt;=960), (-1)*('(橫掃)RX Mapping'!T60-960)+120,9999))))))))</f>
        <v>9999</v>
      </c>
      <c r="U60">
        <f>IF(AND('(橫掃)RX Mapping'!U60&gt;=1,'(橫掃)RX Mapping'!U60&lt;=120), ('(橫掃)RX Mapping'!U60-1),IF(AND('(橫掃)RX Mapping'!U60&gt;=121,'(橫掃)RX Mapping'!U60&lt;=240), (-1)*('(橫掃)RX Mapping'!U60-240),IF(AND('(橫掃)RX Mapping'!U60&gt;=241,'(橫掃)RX Mapping'!U60&lt;=360), ('(橫掃)RX Mapping'!U60-241),IF(AND('(橫掃)RX Mapping'!U60&gt;=361,'(橫掃)RX Mapping'!U60&lt;=480), (-1)*('(橫掃)RX Mapping'!U60-480),IF(AND('(橫掃)RX Mapping'!U60&gt;=481,'(橫掃)RX Mapping'!U60&lt;=600), ('(橫掃)RX Mapping'!U60-361),IF(AND('(橫掃)RX Mapping'!U60&gt;=601,'(橫掃)RX Mapping'!U60&lt;=720), (-1)*('(橫掃)RX Mapping'!U60-720)+120,IF(AND('(橫掃)RX Mapping'!U60&gt;=721,'(橫掃)RX Mapping'!U60&lt;=840), ('(橫掃)RX Mapping'!U60-601),IF(AND('(橫掃)RX Mapping'!U60&gt;=841,'(橫掃)RX Mapping'!U60&lt;=960), (-1)*('(橫掃)RX Mapping'!U60-960)+120,9999))))))))</f>
        <v>9999</v>
      </c>
      <c r="V60">
        <f>IF(AND('(橫掃)RX Mapping'!V60&gt;=1,'(橫掃)RX Mapping'!V60&lt;=120), ('(橫掃)RX Mapping'!V60-1),IF(AND('(橫掃)RX Mapping'!V60&gt;=121,'(橫掃)RX Mapping'!V60&lt;=240), (-1)*('(橫掃)RX Mapping'!V60-240),IF(AND('(橫掃)RX Mapping'!V60&gt;=241,'(橫掃)RX Mapping'!V60&lt;=360), ('(橫掃)RX Mapping'!V60-241),IF(AND('(橫掃)RX Mapping'!V60&gt;=361,'(橫掃)RX Mapping'!V60&lt;=480), (-1)*('(橫掃)RX Mapping'!V60-480),IF(AND('(橫掃)RX Mapping'!V60&gt;=481,'(橫掃)RX Mapping'!V60&lt;=600), ('(橫掃)RX Mapping'!V60-361),IF(AND('(橫掃)RX Mapping'!V60&gt;=601,'(橫掃)RX Mapping'!V60&lt;=720), (-1)*('(橫掃)RX Mapping'!V60-720)+120,IF(AND('(橫掃)RX Mapping'!V60&gt;=721,'(橫掃)RX Mapping'!V60&lt;=840), ('(橫掃)RX Mapping'!V60-601),IF(AND('(橫掃)RX Mapping'!V60&gt;=841,'(橫掃)RX Mapping'!V60&lt;=960), (-1)*('(橫掃)RX Mapping'!V60-960)+120,9999))))))))</f>
        <v>9999</v>
      </c>
      <c r="W60">
        <f>IF(AND('(橫掃)RX Mapping'!W60&gt;=1,'(橫掃)RX Mapping'!W60&lt;=120), ('(橫掃)RX Mapping'!W60-1),IF(AND('(橫掃)RX Mapping'!W60&gt;=121,'(橫掃)RX Mapping'!W60&lt;=240), (-1)*('(橫掃)RX Mapping'!W60-240),IF(AND('(橫掃)RX Mapping'!W60&gt;=241,'(橫掃)RX Mapping'!W60&lt;=360), ('(橫掃)RX Mapping'!W60-241),IF(AND('(橫掃)RX Mapping'!W60&gt;=361,'(橫掃)RX Mapping'!W60&lt;=480), (-1)*('(橫掃)RX Mapping'!W60-480),IF(AND('(橫掃)RX Mapping'!W60&gt;=481,'(橫掃)RX Mapping'!W60&lt;=600), ('(橫掃)RX Mapping'!W60-361),IF(AND('(橫掃)RX Mapping'!W60&gt;=601,'(橫掃)RX Mapping'!W60&lt;=720), (-1)*('(橫掃)RX Mapping'!W60-720)+120,IF(AND('(橫掃)RX Mapping'!W60&gt;=721,'(橫掃)RX Mapping'!W60&lt;=840), ('(橫掃)RX Mapping'!W60-601),IF(AND('(橫掃)RX Mapping'!W60&gt;=841,'(橫掃)RX Mapping'!W60&lt;=960), (-1)*('(橫掃)RX Mapping'!W60-960)+120,9999))))))))</f>
        <v>9999</v>
      </c>
      <c r="X60">
        <f>IF(AND('(橫掃)RX Mapping'!X60&gt;=1,'(橫掃)RX Mapping'!X60&lt;=120), ('(橫掃)RX Mapping'!X60-1),IF(AND('(橫掃)RX Mapping'!X60&gt;=121,'(橫掃)RX Mapping'!X60&lt;=240), (-1)*('(橫掃)RX Mapping'!X60-240),IF(AND('(橫掃)RX Mapping'!X60&gt;=241,'(橫掃)RX Mapping'!X60&lt;=360), ('(橫掃)RX Mapping'!X60-241),IF(AND('(橫掃)RX Mapping'!X60&gt;=361,'(橫掃)RX Mapping'!X60&lt;=480), (-1)*('(橫掃)RX Mapping'!X60-480),IF(AND('(橫掃)RX Mapping'!X60&gt;=481,'(橫掃)RX Mapping'!X60&lt;=600), ('(橫掃)RX Mapping'!X60-361),IF(AND('(橫掃)RX Mapping'!X60&gt;=601,'(橫掃)RX Mapping'!X60&lt;=720), (-1)*('(橫掃)RX Mapping'!X60-720)+120,IF(AND('(橫掃)RX Mapping'!X60&gt;=721,'(橫掃)RX Mapping'!X60&lt;=840), ('(橫掃)RX Mapping'!X60-601),IF(AND('(橫掃)RX Mapping'!X60&gt;=841,'(橫掃)RX Mapping'!X60&lt;=960), (-1)*('(橫掃)RX Mapping'!X60-960)+120,9999))))))))</f>
        <v>9999</v>
      </c>
      <c r="Y60">
        <f>IF(AND('(橫掃)RX Mapping'!Y60&gt;=1,'(橫掃)RX Mapping'!Y60&lt;=120), ('(橫掃)RX Mapping'!Y60-1),IF(AND('(橫掃)RX Mapping'!Y60&gt;=121,'(橫掃)RX Mapping'!Y60&lt;=240), (-1)*('(橫掃)RX Mapping'!Y60-240),IF(AND('(橫掃)RX Mapping'!Y60&gt;=241,'(橫掃)RX Mapping'!Y60&lt;=360), ('(橫掃)RX Mapping'!Y60-241),IF(AND('(橫掃)RX Mapping'!Y60&gt;=361,'(橫掃)RX Mapping'!Y60&lt;=480), (-1)*('(橫掃)RX Mapping'!Y60-480),IF(AND('(橫掃)RX Mapping'!Y60&gt;=481,'(橫掃)RX Mapping'!Y60&lt;=600), ('(橫掃)RX Mapping'!Y60-361),IF(AND('(橫掃)RX Mapping'!Y60&gt;=601,'(橫掃)RX Mapping'!Y60&lt;=720), (-1)*('(橫掃)RX Mapping'!Y60-720)+120,IF(AND('(橫掃)RX Mapping'!Y60&gt;=721,'(橫掃)RX Mapping'!Y60&lt;=840), ('(橫掃)RX Mapping'!Y60-601),IF(AND('(橫掃)RX Mapping'!Y60&gt;=841,'(橫掃)RX Mapping'!Y60&lt;=960), (-1)*('(橫掃)RX Mapping'!Y60-960)+120,9999))))))))</f>
        <v>9999</v>
      </c>
      <c r="Z60">
        <f>IF(AND('(橫掃)RX Mapping'!Z60&gt;=1,'(橫掃)RX Mapping'!Z60&lt;=120), ('(橫掃)RX Mapping'!Z60-1),IF(AND('(橫掃)RX Mapping'!Z60&gt;=121,'(橫掃)RX Mapping'!Z60&lt;=240), (-1)*('(橫掃)RX Mapping'!Z60-240),IF(AND('(橫掃)RX Mapping'!Z60&gt;=241,'(橫掃)RX Mapping'!Z60&lt;=360), ('(橫掃)RX Mapping'!Z60-241),IF(AND('(橫掃)RX Mapping'!Z60&gt;=361,'(橫掃)RX Mapping'!Z60&lt;=480), (-1)*('(橫掃)RX Mapping'!Z60-480),IF(AND('(橫掃)RX Mapping'!Z60&gt;=481,'(橫掃)RX Mapping'!Z60&lt;=600), ('(橫掃)RX Mapping'!Z60-361),IF(AND('(橫掃)RX Mapping'!Z60&gt;=601,'(橫掃)RX Mapping'!Z60&lt;=720), (-1)*('(橫掃)RX Mapping'!Z60-720)+120,IF(AND('(橫掃)RX Mapping'!Z60&gt;=721,'(橫掃)RX Mapping'!Z60&lt;=840), ('(橫掃)RX Mapping'!Z60-601),IF(AND('(橫掃)RX Mapping'!Z60&gt;=841,'(橫掃)RX Mapping'!Z60&lt;=960), (-1)*('(橫掃)RX Mapping'!Z60-960)+120,9999))))))))</f>
        <v>9999</v>
      </c>
      <c r="AA60">
        <f>IF(AND('(橫掃)RX Mapping'!AA60&gt;=1,'(橫掃)RX Mapping'!AA60&lt;=120), ('(橫掃)RX Mapping'!AA60-1),IF(AND('(橫掃)RX Mapping'!AA60&gt;=121,'(橫掃)RX Mapping'!AA60&lt;=240), (-1)*('(橫掃)RX Mapping'!AA60-240),IF(AND('(橫掃)RX Mapping'!AA60&gt;=241,'(橫掃)RX Mapping'!AA60&lt;=360), ('(橫掃)RX Mapping'!AA60-241),IF(AND('(橫掃)RX Mapping'!AA60&gt;=361,'(橫掃)RX Mapping'!AA60&lt;=480), (-1)*('(橫掃)RX Mapping'!AA60-480),IF(AND('(橫掃)RX Mapping'!AA60&gt;=481,'(橫掃)RX Mapping'!AA60&lt;=600), ('(橫掃)RX Mapping'!AA60-361),IF(AND('(橫掃)RX Mapping'!AA60&gt;=601,'(橫掃)RX Mapping'!AA60&lt;=720), (-1)*('(橫掃)RX Mapping'!AA60-720)+120,IF(AND('(橫掃)RX Mapping'!AA60&gt;=721,'(橫掃)RX Mapping'!AA60&lt;=840), ('(橫掃)RX Mapping'!AA60-601),IF(AND('(橫掃)RX Mapping'!AA60&gt;=841,'(橫掃)RX Mapping'!AA60&lt;=960), (-1)*('(橫掃)RX Mapping'!AA60-960)+120,9999))))))))</f>
        <v>9999</v>
      </c>
      <c r="AB60">
        <f>IF(AND('(橫掃)RX Mapping'!AB60&gt;=1,'(橫掃)RX Mapping'!AB60&lt;=120), ('(橫掃)RX Mapping'!AB60-1),IF(AND('(橫掃)RX Mapping'!AB60&gt;=121,'(橫掃)RX Mapping'!AB60&lt;=240), (-1)*('(橫掃)RX Mapping'!AB60-240),IF(AND('(橫掃)RX Mapping'!AB60&gt;=241,'(橫掃)RX Mapping'!AB60&lt;=360), ('(橫掃)RX Mapping'!AB60-241),IF(AND('(橫掃)RX Mapping'!AB60&gt;=361,'(橫掃)RX Mapping'!AB60&lt;=480), (-1)*('(橫掃)RX Mapping'!AB60-480),IF(AND('(橫掃)RX Mapping'!AB60&gt;=481,'(橫掃)RX Mapping'!AB60&lt;=600), ('(橫掃)RX Mapping'!AB60-361),IF(AND('(橫掃)RX Mapping'!AB60&gt;=601,'(橫掃)RX Mapping'!AB60&lt;=720), (-1)*('(橫掃)RX Mapping'!AB60-720)+120,IF(AND('(橫掃)RX Mapping'!AB60&gt;=721,'(橫掃)RX Mapping'!AB60&lt;=840), ('(橫掃)RX Mapping'!AB60-601),IF(AND('(橫掃)RX Mapping'!AB60&gt;=841,'(橫掃)RX Mapping'!AB60&lt;=960), (-1)*('(橫掃)RX Mapping'!AB60-960)+120,9999))))))))</f>
        <v>9999</v>
      </c>
      <c r="AC60">
        <f>IF(AND('(橫掃)RX Mapping'!AC60&gt;=1,'(橫掃)RX Mapping'!AC60&lt;=120), ('(橫掃)RX Mapping'!AC60-1),IF(AND('(橫掃)RX Mapping'!AC60&gt;=121,'(橫掃)RX Mapping'!AC60&lt;=240), (-1)*('(橫掃)RX Mapping'!AC60-240),IF(AND('(橫掃)RX Mapping'!AC60&gt;=241,'(橫掃)RX Mapping'!AC60&lt;=360), ('(橫掃)RX Mapping'!AC60-241),IF(AND('(橫掃)RX Mapping'!AC60&gt;=361,'(橫掃)RX Mapping'!AC60&lt;=480), (-1)*('(橫掃)RX Mapping'!AC60-480),IF(AND('(橫掃)RX Mapping'!AC60&gt;=481,'(橫掃)RX Mapping'!AC60&lt;=600), ('(橫掃)RX Mapping'!AC60-361),IF(AND('(橫掃)RX Mapping'!AC60&gt;=601,'(橫掃)RX Mapping'!AC60&lt;=720), (-1)*('(橫掃)RX Mapping'!AC60-720)+120,IF(AND('(橫掃)RX Mapping'!AC60&gt;=721,'(橫掃)RX Mapping'!AC60&lt;=840), ('(橫掃)RX Mapping'!AC60-601),IF(AND('(橫掃)RX Mapping'!AC60&gt;=841,'(橫掃)RX Mapping'!AC60&lt;=960), (-1)*('(橫掃)RX Mapping'!AC60-960)+120,9999))))))))</f>
        <v>9999</v>
      </c>
      <c r="AD60">
        <f>IF(AND('(橫掃)RX Mapping'!AD60&gt;=1,'(橫掃)RX Mapping'!AD60&lt;=120), ('(橫掃)RX Mapping'!AD60-1),IF(AND('(橫掃)RX Mapping'!AD60&gt;=121,'(橫掃)RX Mapping'!AD60&lt;=240), (-1)*('(橫掃)RX Mapping'!AD60-240),IF(AND('(橫掃)RX Mapping'!AD60&gt;=241,'(橫掃)RX Mapping'!AD60&lt;=360), ('(橫掃)RX Mapping'!AD60-241),IF(AND('(橫掃)RX Mapping'!AD60&gt;=361,'(橫掃)RX Mapping'!AD60&lt;=480), (-1)*('(橫掃)RX Mapping'!AD60-480),IF(AND('(橫掃)RX Mapping'!AD60&gt;=481,'(橫掃)RX Mapping'!AD60&lt;=600), ('(橫掃)RX Mapping'!AD60-361),IF(AND('(橫掃)RX Mapping'!AD60&gt;=601,'(橫掃)RX Mapping'!AD60&lt;=720), (-1)*('(橫掃)RX Mapping'!AD60-720)+120,IF(AND('(橫掃)RX Mapping'!AD60&gt;=721,'(橫掃)RX Mapping'!AD60&lt;=840), ('(橫掃)RX Mapping'!AD60-601),IF(AND('(橫掃)RX Mapping'!AD60&gt;=841,'(橫掃)RX Mapping'!AD60&lt;=960), (-1)*('(橫掃)RX Mapping'!AD60-960)+120,9999))))))))</f>
        <v>9999</v>
      </c>
      <c r="AE60">
        <f>IF(AND('(橫掃)RX Mapping'!AE60&gt;=1,'(橫掃)RX Mapping'!AE60&lt;=120), ('(橫掃)RX Mapping'!AE60-1),IF(AND('(橫掃)RX Mapping'!AE60&gt;=121,'(橫掃)RX Mapping'!AE60&lt;=240), (-1)*('(橫掃)RX Mapping'!AE60-240),IF(AND('(橫掃)RX Mapping'!AE60&gt;=241,'(橫掃)RX Mapping'!AE60&lt;=360), ('(橫掃)RX Mapping'!AE60-241),IF(AND('(橫掃)RX Mapping'!AE60&gt;=361,'(橫掃)RX Mapping'!AE60&lt;=480), (-1)*('(橫掃)RX Mapping'!AE60-480),IF(AND('(橫掃)RX Mapping'!AE60&gt;=481,'(橫掃)RX Mapping'!AE60&lt;=600), ('(橫掃)RX Mapping'!AE60-361),IF(AND('(橫掃)RX Mapping'!AE60&gt;=601,'(橫掃)RX Mapping'!AE60&lt;=720), (-1)*('(橫掃)RX Mapping'!AE60-720)+120,IF(AND('(橫掃)RX Mapping'!AE60&gt;=721,'(橫掃)RX Mapping'!AE60&lt;=840), ('(橫掃)RX Mapping'!AE60-601),IF(AND('(橫掃)RX Mapping'!AE60&gt;=841,'(橫掃)RX Mapping'!AE60&lt;=960), (-1)*('(橫掃)RX Mapping'!AE60-960)+120,9999))))))))</f>
        <v>9999</v>
      </c>
      <c r="AF60">
        <f>IF(AND('(橫掃)RX Mapping'!AF60&gt;=1,'(橫掃)RX Mapping'!AF60&lt;=120), ('(橫掃)RX Mapping'!AF60-1),IF(AND('(橫掃)RX Mapping'!AF60&gt;=121,'(橫掃)RX Mapping'!AF60&lt;=240), (-1)*('(橫掃)RX Mapping'!AF60-240),IF(AND('(橫掃)RX Mapping'!AF60&gt;=241,'(橫掃)RX Mapping'!AF60&lt;=360), ('(橫掃)RX Mapping'!AF60-241),IF(AND('(橫掃)RX Mapping'!AF60&gt;=361,'(橫掃)RX Mapping'!AF60&lt;=480), (-1)*('(橫掃)RX Mapping'!AF60-480),IF(AND('(橫掃)RX Mapping'!AF60&gt;=481,'(橫掃)RX Mapping'!AF60&lt;=600), ('(橫掃)RX Mapping'!AF60-361),IF(AND('(橫掃)RX Mapping'!AF60&gt;=601,'(橫掃)RX Mapping'!AF60&lt;=720), (-1)*('(橫掃)RX Mapping'!AF60-720)+120,IF(AND('(橫掃)RX Mapping'!AF60&gt;=721,'(橫掃)RX Mapping'!AF60&lt;=840), ('(橫掃)RX Mapping'!AF60-601),IF(AND('(橫掃)RX Mapping'!AF60&gt;=841,'(橫掃)RX Mapping'!AF60&lt;=960), (-1)*('(橫掃)RX Mapping'!AF60-960)+120,9999))))))))</f>
        <v>9999</v>
      </c>
      <c r="AG60">
        <f>IF(AND('(橫掃)RX Mapping'!AG60&gt;=1,'(橫掃)RX Mapping'!AG60&lt;=120), ('(橫掃)RX Mapping'!AG60-1),IF(AND('(橫掃)RX Mapping'!AG60&gt;=121,'(橫掃)RX Mapping'!AG60&lt;=240), (-1)*('(橫掃)RX Mapping'!AG60-240),IF(AND('(橫掃)RX Mapping'!AG60&gt;=241,'(橫掃)RX Mapping'!AG60&lt;=360), ('(橫掃)RX Mapping'!AG60-241),IF(AND('(橫掃)RX Mapping'!AG60&gt;=361,'(橫掃)RX Mapping'!AG60&lt;=480), (-1)*('(橫掃)RX Mapping'!AG60-480),IF(AND('(橫掃)RX Mapping'!AG60&gt;=481,'(橫掃)RX Mapping'!AG60&lt;=600), ('(橫掃)RX Mapping'!AG60-361),IF(AND('(橫掃)RX Mapping'!AG60&gt;=601,'(橫掃)RX Mapping'!AG60&lt;=720), (-1)*('(橫掃)RX Mapping'!AG60-720)+120,IF(AND('(橫掃)RX Mapping'!AG60&gt;=721,'(橫掃)RX Mapping'!AG60&lt;=840), ('(橫掃)RX Mapping'!AG60-601),IF(AND('(橫掃)RX Mapping'!AG60&gt;=841,'(橫掃)RX Mapping'!AG60&lt;=960), (-1)*('(橫掃)RX Mapping'!AG60-960)+120,9999))))))))</f>
        <v>9999</v>
      </c>
      <c r="AH60">
        <f>IF(AND('(橫掃)RX Mapping'!AH60&gt;=1,'(橫掃)RX Mapping'!AH60&lt;=120), ('(橫掃)RX Mapping'!AH60-1),IF(AND('(橫掃)RX Mapping'!AH60&gt;=121,'(橫掃)RX Mapping'!AH60&lt;=240), (-1)*('(橫掃)RX Mapping'!AH60-240),IF(AND('(橫掃)RX Mapping'!AH60&gt;=241,'(橫掃)RX Mapping'!AH60&lt;=360), ('(橫掃)RX Mapping'!AH60-241),IF(AND('(橫掃)RX Mapping'!AH60&gt;=361,'(橫掃)RX Mapping'!AH60&lt;=480), (-1)*('(橫掃)RX Mapping'!AH60-480),IF(AND('(橫掃)RX Mapping'!AH60&gt;=481,'(橫掃)RX Mapping'!AH60&lt;=600), ('(橫掃)RX Mapping'!AH60-361),IF(AND('(橫掃)RX Mapping'!AH60&gt;=601,'(橫掃)RX Mapping'!AH60&lt;=720), (-1)*('(橫掃)RX Mapping'!AH60-720)+120,IF(AND('(橫掃)RX Mapping'!AH60&gt;=721,'(橫掃)RX Mapping'!AH60&lt;=840), ('(橫掃)RX Mapping'!AH60-601),IF(AND('(橫掃)RX Mapping'!AH60&gt;=841,'(橫掃)RX Mapping'!AH60&lt;=960), (-1)*('(橫掃)RX Mapping'!AH60-960)+120,9999))))))))</f>
        <v>9999</v>
      </c>
      <c r="AI60">
        <f>IF(AND('(橫掃)RX Mapping'!AI60&gt;=1,'(橫掃)RX Mapping'!AI60&lt;=120), ('(橫掃)RX Mapping'!AI60-1),IF(AND('(橫掃)RX Mapping'!AI60&gt;=121,'(橫掃)RX Mapping'!AI60&lt;=240), (-1)*('(橫掃)RX Mapping'!AI60-240),IF(AND('(橫掃)RX Mapping'!AI60&gt;=241,'(橫掃)RX Mapping'!AI60&lt;=360), ('(橫掃)RX Mapping'!AI60-241),IF(AND('(橫掃)RX Mapping'!AI60&gt;=361,'(橫掃)RX Mapping'!AI60&lt;=480), (-1)*('(橫掃)RX Mapping'!AI60-480),IF(AND('(橫掃)RX Mapping'!AI60&gt;=481,'(橫掃)RX Mapping'!AI60&lt;=600), ('(橫掃)RX Mapping'!AI60-361),IF(AND('(橫掃)RX Mapping'!AI60&gt;=601,'(橫掃)RX Mapping'!AI60&lt;=720), (-1)*('(橫掃)RX Mapping'!AI60-720)+120,IF(AND('(橫掃)RX Mapping'!AI60&gt;=721,'(橫掃)RX Mapping'!AI60&lt;=840), ('(橫掃)RX Mapping'!AI60-601),IF(AND('(橫掃)RX Mapping'!AI60&gt;=841,'(橫掃)RX Mapping'!AI60&lt;=960), (-1)*('(橫掃)RX Mapping'!AI60-960)+120,9999))))))))</f>
        <v>9999</v>
      </c>
      <c r="AJ60">
        <f>IF(AND('(橫掃)RX Mapping'!AJ60&gt;=1,'(橫掃)RX Mapping'!AJ60&lt;=120), ('(橫掃)RX Mapping'!AJ60-1),IF(AND('(橫掃)RX Mapping'!AJ60&gt;=121,'(橫掃)RX Mapping'!AJ60&lt;=240), (-1)*('(橫掃)RX Mapping'!AJ60-240),IF(AND('(橫掃)RX Mapping'!AJ60&gt;=241,'(橫掃)RX Mapping'!AJ60&lt;=360), ('(橫掃)RX Mapping'!AJ60-241),IF(AND('(橫掃)RX Mapping'!AJ60&gt;=361,'(橫掃)RX Mapping'!AJ60&lt;=480), (-1)*('(橫掃)RX Mapping'!AJ60-480),IF(AND('(橫掃)RX Mapping'!AJ60&gt;=481,'(橫掃)RX Mapping'!AJ60&lt;=600), ('(橫掃)RX Mapping'!AJ60-361),IF(AND('(橫掃)RX Mapping'!AJ60&gt;=601,'(橫掃)RX Mapping'!AJ60&lt;=720), (-1)*('(橫掃)RX Mapping'!AJ60-720)+120,IF(AND('(橫掃)RX Mapping'!AJ60&gt;=721,'(橫掃)RX Mapping'!AJ60&lt;=840), ('(橫掃)RX Mapping'!AJ60-601),IF(AND('(橫掃)RX Mapping'!AJ60&gt;=841,'(橫掃)RX Mapping'!AJ60&lt;=960), (-1)*('(橫掃)RX Mapping'!AJ60-960)+120,9999))))))))</f>
        <v>9999</v>
      </c>
      <c r="AK60">
        <f>IF(AND('(橫掃)RX Mapping'!AK60&gt;=1,'(橫掃)RX Mapping'!AK60&lt;=120), ('(橫掃)RX Mapping'!AK60-1),IF(AND('(橫掃)RX Mapping'!AK60&gt;=121,'(橫掃)RX Mapping'!AK60&lt;=240), (-1)*('(橫掃)RX Mapping'!AK60-240),IF(AND('(橫掃)RX Mapping'!AK60&gt;=241,'(橫掃)RX Mapping'!AK60&lt;=360), ('(橫掃)RX Mapping'!AK60-241),IF(AND('(橫掃)RX Mapping'!AK60&gt;=361,'(橫掃)RX Mapping'!AK60&lt;=480), (-1)*('(橫掃)RX Mapping'!AK60-480),IF(AND('(橫掃)RX Mapping'!AK60&gt;=481,'(橫掃)RX Mapping'!AK60&lt;=600), ('(橫掃)RX Mapping'!AK60-361),IF(AND('(橫掃)RX Mapping'!AK60&gt;=601,'(橫掃)RX Mapping'!AK60&lt;=720), (-1)*('(橫掃)RX Mapping'!AK60-720)+120,IF(AND('(橫掃)RX Mapping'!AK60&gt;=721,'(橫掃)RX Mapping'!AK60&lt;=840), ('(橫掃)RX Mapping'!AK60-601),IF(AND('(橫掃)RX Mapping'!AK60&gt;=841,'(橫掃)RX Mapping'!AK60&lt;=960), (-1)*('(橫掃)RX Mapping'!AK60-960)+120,9999))))))))</f>
        <v>9999</v>
      </c>
      <c r="AL60">
        <f>IF(AND('(橫掃)RX Mapping'!AL60&gt;=1,'(橫掃)RX Mapping'!AL60&lt;=120), ('(橫掃)RX Mapping'!AL60-1),IF(AND('(橫掃)RX Mapping'!AL60&gt;=121,'(橫掃)RX Mapping'!AL60&lt;=240), (-1)*('(橫掃)RX Mapping'!AL60-240),IF(AND('(橫掃)RX Mapping'!AL60&gt;=241,'(橫掃)RX Mapping'!AL60&lt;=360), ('(橫掃)RX Mapping'!AL60-241),IF(AND('(橫掃)RX Mapping'!AL60&gt;=361,'(橫掃)RX Mapping'!AL60&lt;=480), (-1)*('(橫掃)RX Mapping'!AL60-480),IF(AND('(橫掃)RX Mapping'!AL60&gt;=481,'(橫掃)RX Mapping'!AL60&lt;=600), ('(橫掃)RX Mapping'!AL60-361),IF(AND('(橫掃)RX Mapping'!AL60&gt;=601,'(橫掃)RX Mapping'!AL60&lt;=720), (-1)*('(橫掃)RX Mapping'!AL60-720)+120,IF(AND('(橫掃)RX Mapping'!AL60&gt;=721,'(橫掃)RX Mapping'!AL60&lt;=840), ('(橫掃)RX Mapping'!AL60-601),IF(AND('(橫掃)RX Mapping'!AL60&gt;=841,'(橫掃)RX Mapping'!AL60&lt;=960), (-1)*('(橫掃)RX Mapping'!AL60-960)+120,9999))))))))</f>
        <v>9999</v>
      </c>
      <c r="AM60">
        <f>IF(AND('(橫掃)RX Mapping'!AM60&gt;=1,'(橫掃)RX Mapping'!AM60&lt;=120), ('(橫掃)RX Mapping'!AM60-1),IF(AND('(橫掃)RX Mapping'!AM60&gt;=121,'(橫掃)RX Mapping'!AM60&lt;=240), (-1)*('(橫掃)RX Mapping'!AM60-240),IF(AND('(橫掃)RX Mapping'!AM60&gt;=241,'(橫掃)RX Mapping'!AM60&lt;=360), ('(橫掃)RX Mapping'!AM60-241),IF(AND('(橫掃)RX Mapping'!AM60&gt;=361,'(橫掃)RX Mapping'!AM60&lt;=480), (-1)*('(橫掃)RX Mapping'!AM60-480),IF(AND('(橫掃)RX Mapping'!AM60&gt;=481,'(橫掃)RX Mapping'!AM60&lt;=600), ('(橫掃)RX Mapping'!AM60-361),IF(AND('(橫掃)RX Mapping'!AM60&gt;=601,'(橫掃)RX Mapping'!AM60&lt;=720), (-1)*('(橫掃)RX Mapping'!AM60-720)+120,IF(AND('(橫掃)RX Mapping'!AM60&gt;=721,'(橫掃)RX Mapping'!AM60&lt;=840), ('(橫掃)RX Mapping'!AM60-601),IF(AND('(橫掃)RX Mapping'!AM60&gt;=841,'(橫掃)RX Mapping'!AM60&lt;=960), (-1)*('(橫掃)RX Mapping'!AM60-960)+120,9999))))))))</f>
        <v>9999</v>
      </c>
      <c r="AN60">
        <f>IF(AND('(橫掃)RX Mapping'!AN60&gt;=1,'(橫掃)RX Mapping'!AN60&lt;=120), ('(橫掃)RX Mapping'!AN60-1),IF(AND('(橫掃)RX Mapping'!AN60&gt;=121,'(橫掃)RX Mapping'!AN60&lt;=240), (-1)*('(橫掃)RX Mapping'!AN60-240),IF(AND('(橫掃)RX Mapping'!AN60&gt;=241,'(橫掃)RX Mapping'!AN60&lt;=360), ('(橫掃)RX Mapping'!AN60-241),IF(AND('(橫掃)RX Mapping'!AN60&gt;=361,'(橫掃)RX Mapping'!AN60&lt;=480), (-1)*('(橫掃)RX Mapping'!AN60-480),IF(AND('(橫掃)RX Mapping'!AN60&gt;=481,'(橫掃)RX Mapping'!AN60&lt;=600), ('(橫掃)RX Mapping'!AN60-361),IF(AND('(橫掃)RX Mapping'!AN60&gt;=601,'(橫掃)RX Mapping'!AN60&lt;=720), (-1)*('(橫掃)RX Mapping'!AN60-720)+120,IF(AND('(橫掃)RX Mapping'!AN60&gt;=721,'(橫掃)RX Mapping'!AN60&lt;=840), ('(橫掃)RX Mapping'!AN60-601),IF(AND('(橫掃)RX Mapping'!AN60&gt;=841,'(橫掃)RX Mapping'!AN60&lt;=960), (-1)*('(橫掃)RX Mapping'!AN60-960)+120,9999))))))))</f>
        <v>9999</v>
      </c>
      <c r="AO60">
        <f>IF(AND('(橫掃)RX Mapping'!AO60&gt;=1,'(橫掃)RX Mapping'!AO60&lt;=120), ('(橫掃)RX Mapping'!AO60-1),IF(AND('(橫掃)RX Mapping'!AO60&gt;=121,'(橫掃)RX Mapping'!AO60&lt;=240), (-1)*('(橫掃)RX Mapping'!AO60-240),IF(AND('(橫掃)RX Mapping'!AO60&gt;=241,'(橫掃)RX Mapping'!AO60&lt;=360), ('(橫掃)RX Mapping'!AO60-241),IF(AND('(橫掃)RX Mapping'!AO60&gt;=361,'(橫掃)RX Mapping'!AO60&lt;=480), (-1)*('(橫掃)RX Mapping'!AO60-480),IF(AND('(橫掃)RX Mapping'!AO60&gt;=481,'(橫掃)RX Mapping'!AO60&lt;=600), ('(橫掃)RX Mapping'!AO60-361),IF(AND('(橫掃)RX Mapping'!AO60&gt;=601,'(橫掃)RX Mapping'!AO60&lt;=720), (-1)*('(橫掃)RX Mapping'!AO60-720)+120,IF(AND('(橫掃)RX Mapping'!AO60&gt;=721,'(橫掃)RX Mapping'!AO60&lt;=840), ('(橫掃)RX Mapping'!AO60-601),IF(AND('(橫掃)RX Mapping'!AO60&gt;=841,'(橫掃)RX Mapping'!AO60&lt;=960), (-1)*('(橫掃)RX Mapping'!AO60-960)+120,9999))))))))</f>
        <v>9999</v>
      </c>
      <c r="AP60">
        <f>IF(AND('(橫掃)RX Mapping'!AP60&gt;=1,'(橫掃)RX Mapping'!AP60&lt;=120), ('(橫掃)RX Mapping'!AP60-1),IF(AND('(橫掃)RX Mapping'!AP60&gt;=121,'(橫掃)RX Mapping'!AP60&lt;=240), (-1)*('(橫掃)RX Mapping'!AP60-240),IF(AND('(橫掃)RX Mapping'!AP60&gt;=241,'(橫掃)RX Mapping'!AP60&lt;=360), ('(橫掃)RX Mapping'!AP60-241),IF(AND('(橫掃)RX Mapping'!AP60&gt;=361,'(橫掃)RX Mapping'!AP60&lt;=480), (-1)*('(橫掃)RX Mapping'!AP60-480),IF(AND('(橫掃)RX Mapping'!AP60&gt;=481,'(橫掃)RX Mapping'!AP60&lt;=600), ('(橫掃)RX Mapping'!AP60-361),IF(AND('(橫掃)RX Mapping'!AP60&gt;=601,'(橫掃)RX Mapping'!AP60&lt;=720), (-1)*('(橫掃)RX Mapping'!AP60-720)+120,IF(AND('(橫掃)RX Mapping'!AP60&gt;=721,'(橫掃)RX Mapping'!AP60&lt;=840), ('(橫掃)RX Mapping'!AP60-601),IF(AND('(橫掃)RX Mapping'!AP60&gt;=841,'(橫掃)RX Mapping'!AP60&lt;=960), (-1)*('(橫掃)RX Mapping'!AP60-960)+120,9999))))))))</f>
        <v>9999</v>
      </c>
      <c r="AQ60">
        <f>IF(AND('(橫掃)RX Mapping'!AQ60&gt;=1,'(橫掃)RX Mapping'!AQ60&lt;=120), ('(橫掃)RX Mapping'!AQ60-1),IF(AND('(橫掃)RX Mapping'!AQ60&gt;=121,'(橫掃)RX Mapping'!AQ60&lt;=240), (-1)*('(橫掃)RX Mapping'!AQ60-240),IF(AND('(橫掃)RX Mapping'!AQ60&gt;=241,'(橫掃)RX Mapping'!AQ60&lt;=360), ('(橫掃)RX Mapping'!AQ60-241),IF(AND('(橫掃)RX Mapping'!AQ60&gt;=361,'(橫掃)RX Mapping'!AQ60&lt;=480), (-1)*('(橫掃)RX Mapping'!AQ60-480),IF(AND('(橫掃)RX Mapping'!AQ60&gt;=481,'(橫掃)RX Mapping'!AQ60&lt;=600), ('(橫掃)RX Mapping'!AQ60-361),IF(AND('(橫掃)RX Mapping'!AQ60&gt;=601,'(橫掃)RX Mapping'!AQ60&lt;=720), (-1)*('(橫掃)RX Mapping'!AQ60-720)+120,IF(AND('(橫掃)RX Mapping'!AQ60&gt;=721,'(橫掃)RX Mapping'!AQ60&lt;=840), ('(橫掃)RX Mapping'!AQ60-601),IF(AND('(橫掃)RX Mapping'!AQ60&gt;=841,'(橫掃)RX Mapping'!AQ60&lt;=960), (-1)*('(橫掃)RX Mapping'!AQ60-960)+120,9999))))))))</f>
        <v>9999</v>
      </c>
      <c r="AR60">
        <f>IF(AND('(橫掃)RX Mapping'!AR60&gt;=1,'(橫掃)RX Mapping'!AR60&lt;=120), ('(橫掃)RX Mapping'!AR60-1),IF(AND('(橫掃)RX Mapping'!AR60&gt;=121,'(橫掃)RX Mapping'!AR60&lt;=240), (-1)*('(橫掃)RX Mapping'!AR60-240),IF(AND('(橫掃)RX Mapping'!AR60&gt;=241,'(橫掃)RX Mapping'!AR60&lt;=360), ('(橫掃)RX Mapping'!AR60-241),IF(AND('(橫掃)RX Mapping'!AR60&gt;=361,'(橫掃)RX Mapping'!AR60&lt;=480), (-1)*('(橫掃)RX Mapping'!AR60-480),IF(AND('(橫掃)RX Mapping'!AR60&gt;=481,'(橫掃)RX Mapping'!AR60&lt;=600), ('(橫掃)RX Mapping'!AR60-361),IF(AND('(橫掃)RX Mapping'!AR60&gt;=601,'(橫掃)RX Mapping'!AR60&lt;=720), (-1)*('(橫掃)RX Mapping'!AR60-720)+120,IF(AND('(橫掃)RX Mapping'!AR60&gt;=721,'(橫掃)RX Mapping'!AR60&lt;=840), ('(橫掃)RX Mapping'!AR60-601),IF(AND('(橫掃)RX Mapping'!AR60&gt;=841,'(橫掃)RX Mapping'!AR60&lt;=960), (-1)*('(橫掃)RX Mapping'!AR60-960)+120,9999))))))))</f>
        <v>9999</v>
      </c>
      <c r="AS60">
        <f>IF(AND('(橫掃)RX Mapping'!AS60&gt;=1,'(橫掃)RX Mapping'!AS60&lt;=120), ('(橫掃)RX Mapping'!AS60-1),IF(AND('(橫掃)RX Mapping'!AS60&gt;=121,'(橫掃)RX Mapping'!AS60&lt;=240), (-1)*('(橫掃)RX Mapping'!AS60-240),IF(AND('(橫掃)RX Mapping'!AS60&gt;=241,'(橫掃)RX Mapping'!AS60&lt;=360), ('(橫掃)RX Mapping'!AS60-241),IF(AND('(橫掃)RX Mapping'!AS60&gt;=361,'(橫掃)RX Mapping'!AS60&lt;=480), (-1)*('(橫掃)RX Mapping'!AS60-480),IF(AND('(橫掃)RX Mapping'!AS60&gt;=481,'(橫掃)RX Mapping'!AS60&lt;=600), ('(橫掃)RX Mapping'!AS60-361),IF(AND('(橫掃)RX Mapping'!AS60&gt;=601,'(橫掃)RX Mapping'!AS60&lt;=720), (-1)*('(橫掃)RX Mapping'!AS60-720)+120,IF(AND('(橫掃)RX Mapping'!AS60&gt;=721,'(橫掃)RX Mapping'!AS60&lt;=840), ('(橫掃)RX Mapping'!AS60-601),IF(AND('(橫掃)RX Mapping'!AS60&gt;=841,'(橫掃)RX Mapping'!AS60&lt;=960), (-1)*('(橫掃)RX Mapping'!AS60-960)+120,9999))))))))</f>
        <v>9999</v>
      </c>
      <c r="AT60">
        <f>IF(AND('(橫掃)RX Mapping'!AT60&gt;=1,'(橫掃)RX Mapping'!AT60&lt;=120), ('(橫掃)RX Mapping'!AT60-1),IF(AND('(橫掃)RX Mapping'!AT60&gt;=121,'(橫掃)RX Mapping'!AT60&lt;=240), (-1)*('(橫掃)RX Mapping'!AT60-240),IF(AND('(橫掃)RX Mapping'!AT60&gt;=241,'(橫掃)RX Mapping'!AT60&lt;=360), ('(橫掃)RX Mapping'!AT60-241),IF(AND('(橫掃)RX Mapping'!AT60&gt;=361,'(橫掃)RX Mapping'!AT60&lt;=480), (-1)*('(橫掃)RX Mapping'!AT60-480),IF(AND('(橫掃)RX Mapping'!AT60&gt;=481,'(橫掃)RX Mapping'!AT60&lt;=600), ('(橫掃)RX Mapping'!AT60-361),IF(AND('(橫掃)RX Mapping'!AT60&gt;=601,'(橫掃)RX Mapping'!AT60&lt;=720), (-1)*('(橫掃)RX Mapping'!AT60-720)+120,IF(AND('(橫掃)RX Mapping'!AT60&gt;=721,'(橫掃)RX Mapping'!AT60&lt;=840), ('(橫掃)RX Mapping'!AT60-601),IF(AND('(橫掃)RX Mapping'!AT60&gt;=841,'(橫掃)RX Mapping'!AT60&lt;=960), (-1)*('(橫掃)RX Mapping'!AT60-960)+120,9999))))))))</f>
        <v>9999</v>
      </c>
      <c r="AU60">
        <f>IF(AND('(橫掃)RX Mapping'!AU60&gt;=1,'(橫掃)RX Mapping'!AU60&lt;=120), ('(橫掃)RX Mapping'!AU60-1),IF(AND('(橫掃)RX Mapping'!AU60&gt;=121,'(橫掃)RX Mapping'!AU60&lt;=240), (-1)*('(橫掃)RX Mapping'!AU60-240),IF(AND('(橫掃)RX Mapping'!AU60&gt;=241,'(橫掃)RX Mapping'!AU60&lt;=360), ('(橫掃)RX Mapping'!AU60-241),IF(AND('(橫掃)RX Mapping'!AU60&gt;=361,'(橫掃)RX Mapping'!AU60&lt;=480), (-1)*('(橫掃)RX Mapping'!AU60-480),IF(AND('(橫掃)RX Mapping'!AU60&gt;=481,'(橫掃)RX Mapping'!AU60&lt;=600), ('(橫掃)RX Mapping'!AU60-361),IF(AND('(橫掃)RX Mapping'!AU60&gt;=601,'(橫掃)RX Mapping'!AU60&lt;=720), (-1)*('(橫掃)RX Mapping'!AU60-720)+120,IF(AND('(橫掃)RX Mapping'!AU60&gt;=721,'(橫掃)RX Mapping'!AU60&lt;=840), ('(橫掃)RX Mapping'!AU60-601),IF(AND('(橫掃)RX Mapping'!AU60&gt;=841,'(橫掃)RX Mapping'!AU60&lt;=960), (-1)*('(橫掃)RX Mapping'!AU60-960)+120,9999))))))))</f>
        <v>9999</v>
      </c>
      <c r="AV60">
        <f>IF(AND('(橫掃)RX Mapping'!AV60&gt;=1,'(橫掃)RX Mapping'!AV60&lt;=120), ('(橫掃)RX Mapping'!AV60-1),IF(AND('(橫掃)RX Mapping'!AV60&gt;=121,'(橫掃)RX Mapping'!AV60&lt;=240), (-1)*('(橫掃)RX Mapping'!AV60-240),IF(AND('(橫掃)RX Mapping'!AV60&gt;=241,'(橫掃)RX Mapping'!AV60&lt;=360), ('(橫掃)RX Mapping'!AV60-241),IF(AND('(橫掃)RX Mapping'!AV60&gt;=361,'(橫掃)RX Mapping'!AV60&lt;=480), (-1)*('(橫掃)RX Mapping'!AV60-480),IF(AND('(橫掃)RX Mapping'!AV60&gt;=481,'(橫掃)RX Mapping'!AV60&lt;=600), ('(橫掃)RX Mapping'!AV60-361),IF(AND('(橫掃)RX Mapping'!AV60&gt;=601,'(橫掃)RX Mapping'!AV60&lt;=720), (-1)*('(橫掃)RX Mapping'!AV60-720)+120,IF(AND('(橫掃)RX Mapping'!AV60&gt;=721,'(橫掃)RX Mapping'!AV60&lt;=840), ('(橫掃)RX Mapping'!AV60-601),IF(AND('(橫掃)RX Mapping'!AV60&gt;=841,'(橫掃)RX Mapping'!AV60&lt;=960), (-1)*('(橫掃)RX Mapping'!AV60-960)+120,9999))))))))</f>
        <v>9999</v>
      </c>
      <c r="AW60">
        <f>IF(AND('(橫掃)RX Mapping'!AW60&gt;=1,'(橫掃)RX Mapping'!AW60&lt;=120), ('(橫掃)RX Mapping'!AW60-1),IF(AND('(橫掃)RX Mapping'!AW60&gt;=121,'(橫掃)RX Mapping'!AW60&lt;=240), (-1)*('(橫掃)RX Mapping'!AW60-240),IF(AND('(橫掃)RX Mapping'!AW60&gt;=241,'(橫掃)RX Mapping'!AW60&lt;=360), ('(橫掃)RX Mapping'!AW60-241),IF(AND('(橫掃)RX Mapping'!AW60&gt;=361,'(橫掃)RX Mapping'!AW60&lt;=480), (-1)*('(橫掃)RX Mapping'!AW60-480),IF(AND('(橫掃)RX Mapping'!AW60&gt;=481,'(橫掃)RX Mapping'!AW60&lt;=600), ('(橫掃)RX Mapping'!AW60-361),IF(AND('(橫掃)RX Mapping'!AW60&gt;=601,'(橫掃)RX Mapping'!AW60&lt;=720), (-1)*('(橫掃)RX Mapping'!AW60-720)+120,IF(AND('(橫掃)RX Mapping'!AW60&gt;=721,'(橫掃)RX Mapping'!AW60&lt;=840), ('(橫掃)RX Mapping'!AW60-601),IF(AND('(橫掃)RX Mapping'!AW60&gt;=841,'(橫掃)RX Mapping'!AW60&lt;=960), (-1)*('(橫掃)RX Mapping'!AW60-960)+120,9999))))))))</f>
        <v>9999</v>
      </c>
      <c r="AX60">
        <f>IF(AND('(橫掃)RX Mapping'!AX60&gt;=1,'(橫掃)RX Mapping'!AX60&lt;=120), ('(橫掃)RX Mapping'!AX60-1),IF(AND('(橫掃)RX Mapping'!AX60&gt;=121,'(橫掃)RX Mapping'!AX60&lt;=240), (-1)*('(橫掃)RX Mapping'!AX60-240),IF(AND('(橫掃)RX Mapping'!AX60&gt;=241,'(橫掃)RX Mapping'!AX60&lt;=360), ('(橫掃)RX Mapping'!AX60-241),IF(AND('(橫掃)RX Mapping'!AX60&gt;=361,'(橫掃)RX Mapping'!AX60&lt;=480), (-1)*('(橫掃)RX Mapping'!AX60-480),IF(AND('(橫掃)RX Mapping'!AX60&gt;=481,'(橫掃)RX Mapping'!AX60&lt;=600), ('(橫掃)RX Mapping'!AX60-361),IF(AND('(橫掃)RX Mapping'!AX60&gt;=601,'(橫掃)RX Mapping'!AX60&lt;=720), (-1)*('(橫掃)RX Mapping'!AX60-720)+120,IF(AND('(橫掃)RX Mapping'!AX60&gt;=721,'(橫掃)RX Mapping'!AX60&lt;=840), ('(橫掃)RX Mapping'!AX60-601),IF(AND('(橫掃)RX Mapping'!AX60&gt;=841,'(橫掃)RX Mapping'!AX60&lt;=960), (-1)*('(橫掃)RX Mapping'!AX60-960)+120,9999))))))))</f>
        <v>9999</v>
      </c>
      <c r="AY60">
        <f>IF(AND('(橫掃)RX Mapping'!AY60&gt;=1,'(橫掃)RX Mapping'!AY60&lt;=120), ('(橫掃)RX Mapping'!AY60-1),IF(AND('(橫掃)RX Mapping'!AY60&gt;=121,'(橫掃)RX Mapping'!AY60&lt;=240), (-1)*('(橫掃)RX Mapping'!AY60-240),IF(AND('(橫掃)RX Mapping'!AY60&gt;=241,'(橫掃)RX Mapping'!AY60&lt;=360), ('(橫掃)RX Mapping'!AY60-241),IF(AND('(橫掃)RX Mapping'!AY60&gt;=361,'(橫掃)RX Mapping'!AY60&lt;=480), (-1)*('(橫掃)RX Mapping'!AY60-480),IF(AND('(橫掃)RX Mapping'!AY60&gt;=481,'(橫掃)RX Mapping'!AY60&lt;=600), ('(橫掃)RX Mapping'!AY60-361),IF(AND('(橫掃)RX Mapping'!AY60&gt;=601,'(橫掃)RX Mapping'!AY60&lt;=720), (-1)*('(橫掃)RX Mapping'!AY60-720)+120,IF(AND('(橫掃)RX Mapping'!AY60&gt;=721,'(橫掃)RX Mapping'!AY60&lt;=840), ('(橫掃)RX Mapping'!AY60-601),IF(AND('(橫掃)RX Mapping'!AY60&gt;=841,'(橫掃)RX Mapping'!AY60&lt;=960), (-1)*('(橫掃)RX Mapping'!AY60-960)+120,9999))))))))</f>
        <v>9999</v>
      </c>
      <c r="AZ60">
        <f>IF(AND('(橫掃)RX Mapping'!AZ60&gt;=1,'(橫掃)RX Mapping'!AZ60&lt;=120), ('(橫掃)RX Mapping'!AZ60-1),IF(AND('(橫掃)RX Mapping'!AZ60&gt;=121,'(橫掃)RX Mapping'!AZ60&lt;=240), (-1)*('(橫掃)RX Mapping'!AZ60-240),IF(AND('(橫掃)RX Mapping'!AZ60&gt;=241,'(橫掃)RX Mapping'!AZ60&lt;=360), ('(橫掃)RX Mapping'!AZ60-241),IF(AND('(橫掃)RX Mapping'!AZ60&gt;=361,'(橫掃)RX Mapping'!AZ60&lt;=480), (-1)*('(橫掃)RX Mapping'!AZ60-480),IF(AND('(橫掃)RX Mapping'!AZ60&gt;=481,'(橫掃)RX Mapping'!AZ60&lt;=600), ('(橫掃)RX Mapping'!AZ60-361),IF(AND('(橫掃)RX Mapping'!AZ60&gt;=601,'(橫掃)RX Mapping'!AZ60&lt;=720), (-1)*('(橫掃)RX Mapping'!AZ60-720)+120,IF(AND('(橫掃)RX Mapping'!AZ60&gt;=721,'(橫掃)RX Mapping'!AZ60&lt;=840), ('(橫掃)RX Mapping'!AZ60-601),IF(AND('(橫掃)RX Mapping'!AZ60&gt;=841,'(橫掃)RX Mapping'!AZ60&lt;=960), (-1)*('(橫掃)RX Mapping'!AZ60-960)+120,9999))))))))</f>
        <v>9999</v>
      </c>
      <c r="BA60">
        <f>IF(AND('(橫掃)RX Mapping'!BA60&gt;=1,'(橫掃)RX Mapping'!BA60&lt;=120), ('(橫掃)RX Mapping'!BA60-1),IF(AND('(橫掃)RX Mapping'!BA60&gt;=121,'(橫掃)RX Mapping'!BA60&lt;=240), (-1)*('(橫掃)RX Mapping'!BA60-240),IF(AND('(橫掃)RX Mapping'!BA60&gt;=241,'(橫掃)RX Mapping'!BA60&lt;=360), ('(橫掃)RX Mapping'!BA60-241),IF(AND('(橫掃)RX Mapping'!BA60&gt;=361,'(橫掃)RX Mapping'!BA60&lt;=480), (-1)*('(橫掃)RX Mapping'!BA60-480),IF(AND('(橫掃)RX Mapping'!BA60&gt;=481,'(橫掃)RX Mapping'!BA60&lt;=600), ('(橫掃)RX Mapping'!BA60-361),IF(AND('(橫掃)RX Mapping'!BA60&gt;=601,'(橫掃)RX Mapping'!BA60&lt;=720), (-1)*('(橫掃)RX Mapping'!BA60-720)+120,IF(AND('(橫掃)RX Mapping'!BA60&gt;=721,'(橫掃)RX Mapping'!BA60&lt;=840), ('(橫掃)RX Mapping'!BA60-601),IF(AND('(橫掃)RX Mapping'!BA60&gt;=841,'(橫掃)RX Mapping'!BA60&lt;=960), (-1)*('(橫掃)RX Mapping'!BA60-960)+120,9999))))))))</f>
        <v>9999</v>
      </c>
      <c r="BB60">
        <f>IF(AND('(橫掃)RX Mapping'!BB60&gt;=1,'(橫掃)RX Mapping'!BB60&lt;=120), ('(橫掃)RX Mapping'!BB60-1),IF(AND('(橫掃)RX Mapping'!BB60&gt;=121,'(橫掃)RX Mapping'!BB60&lt;=240), (-1)*('(橫掃)RX Mapping'!BB60-240),IF(AND('(橫掃)RX Mapping'!BB60&gt;=241,'(橫掃)RX Mapping'!BB60&lt;=360), ('(橫掃)RX Mapping'!BB60-241),IF(AND('(橫掃)RX Mapping'!BB60&gt;=361,'(橫掃)RX Mapping'!BB60&lt;=480), (-1)*('(橫掃)RX Mapping'!BB60-480),IF(AND('(橫掃)RX Mapping'!BB60&gt;=481,'(橫掃)RX Mapping'!BB60&lt;=600), ('(橫掃)RX Mapping'!BB60-361),IF(AND('(橫掃)RX Mapping'!BB60&gt;=601,'(橫掃)RX Mapping'!BB60&lt;=720), (-1)*('(橫掃)RX Mapping'!BB60-720)+120,IF(AND('(橫掃)RX Mapping'!BB60&gt;=721,'(橫掃)RX Mapping'!BB60&lt;=840), ('(橫掃)RX Mapping'!BB60-601),IF(AND('(橫掃)RX Mapping'!BB60&gt;=841,'(橫掃)RX Mapping'!BB60&lt;=960), (-1)*('(橫掃)RX Mapping'!BB60-960)+120,9999))))))))</f>
        <v>9999</v>
      </c>
      <c r="BC60">
        <f>IF(AND('(橫掃)RX Mapping'!BC60&gt;=1,'(橫掃)RX Mapping'!BC60&lt;=120), ('(橫掃)RX Mapping'!BC60-1),IF(AND('(橫掃)RX Mapping'!BC60&gt;=121,'(橫掃)RX Mapping'!BC60&lt;=240), (-1)*('(橫掃)RX Mapping'!BC60-240),IF(AND('(橫掃)RX Mapping'!BC60&gt;=241,'(橫掃)RX Mapping'!BC60&lt;=360), ('(橫掃)RX Mapping'!BC60-241),IF(AND('(橫掃)RX Mapping'!BC60&gt;=361,'(橫掃)RX Mapping'!BC60&lt;=480), (-1)*('(橫掃)RX Mapping'!BC60-480),IF(AND('(橫掃)RX Mapping'!BC60&gt;=481,'(橫掃)RX Mapping'!BC60&lt;=600), ('(橫掃)RX Mapping'!BC60-361),IF(AND('(橫掃)RX Mapping'!BC60&gt;=601,'(橫掃)RX Mapping'!BC60&lt;=720), (-1)*('(橫掃)RX Mapping'!BC60-720)+120,IF(AND('(橫掃)RX Mapping'!BC60&gt;=721,'(橫掃)RX Mapping'!BC60&lt;=840), ('(橫掃)RX Mapping'!BC60-601),IF(AND('(橫掃)RX Mapping'!BC60&gt;=841,'(橫掃)RX Mapping'!BC60&lt;=960), (-1)*('(橫掃)RX Mapping'!BC60-960)+120,9999))))))))</f>
        <v>9999</v>
      </c>
      <c r="BD60">
        <f>IF(AND('(橫掃)RX Mapping'!BD60&gt;=1,'(橫掃)RX Mapping'!BD60&lt;=120), ('(橫掃)RX Mapping'!BD60-1),IF(AND('(橫掃)RX Mapping'!BD60&gt;=121,'(橫掃)RX Mapping'!BD60&lt;=240), (-1)*('(橫掃)RX Mapping'!BD60-240),IF(AND('(橫掃)RX Mapping'!BD60&gt;=241,'(橫掃)RX Mapping'!BD60&lt;=360), ('(橫掃)RX Mapping'!BD60-241),IF(AND('(橫掃)RX Mapping'!BD60&gt;=361,'(橫掃)RX Mapping'!BD60&lt;=480), (-1)*('(橫掃)RX Mapping'!BD60-480),IF(AND('(橫掃)RX Mapping'!BD60&gt;=481,'(橫掃)RX Mapping'!BD60&lt;=600), ('(橫掃)RX Mapping'!BD60-361),IF(AND('(橫掃)RX Mapping'!BD60&gt;=601,'(橫掃)RX Mapping'!BD60&lt;=720), (-1)*('(橫掃)RX Mapping'!BD60-720)+120,IF(AND('(橫掃)RX Mapping'!BD60&gt;=721,'(橫掃)RX Mapping'!BD60&lt;=840), ('(橫掃)RX Mapping'!BD60-601),IF(AND('(橫掃)RX Mapping'!BD60&gt;=841,'(橫掃)RX Mapping'!BD60&lt;=960), (-1)*('(橫掃)RX Mapping'!BD60-960)+120,9999))))))))</f>
        <v>9999</v>
      </c>
      <c r="BE60">
        <f>IF(AND('(橫掃)RX Mapping'!BE60&gt;=1,'(橫掃)RX Mapping'!BE60&lt;=120), ('(橫掃)RX Mapping'!BE60-1),IF(AND('(橫掃)RX Mapping'!BE60&gt;=121,'(橫掃)RX Mapping'!BE60&lt;=240), (-1)*('(橫掃)RX Mapping'!BE60-240),IF(AND('(橫掃)RX Mapping'!BE60&gt;=241,'(橫掃)RX Mapping'!BE60&lt;=360), ('(橫掃)RX Mapping'!BE60-241),IF(AND('(橫掃)RX Mapping'!BE60&gt;=361,'(橫掃)RX Mapping'!BE60&lt;=480), (-1)*('(橫掃)RX Mapping'!BE60-480),IF(AND('(橫掃)RX Mapping'!BE60&gt;=481,'(橫掃)RX Mapping'!BE60&lt;=600), ('(橫掃)RX Mapping'!BE60-361),IF(AND('(橫掃)RX Mapping'!BE60&gt;=601,'(橫掃)RX Mapping'!BE60&lt;=720), (-1)*('(橫掃)RX Mapping'!BE60-720)+120,IF(AND('(橫掃)RX Mapping'!BE60&gt;=721,'(橫掃)RX Mapping'!BE60&lt;=840), ('(橫掃)RX Mapping'!BE60-601),IF(AND('(橫掃)RX Mapping'!BE60&gt;=841,'(橫掃)RX Mapping'!BE60&lt;=960), (-1)*('(橫掃)RX Mapping'!BE60-960)+120,9999))))))))</f>
        <v>9999</v>
      </c>
      <c r="BF60">
        <f>IF(AND('(橫掃)RX Mapping'!BF60&gt;=1,'(橫掃)RX Mapping'!BF60&lt;=120), ('(橫掃)RX Mapping'!BF60-1),IF(AND('(橫掃)RX Mapping'!BF60&gt;=121,'(橫掃)RX Mapping'!BF60&lt;=240), (-1)*('(橫掃)RX Mapping'!BF60-240),IF(AND('(橫掃)RX Mapping'!BF60&gt;=241,'(橫掃)RX Mapping'!BF60&lt;=360), ('(橫掃)RX Mapping'!BF60-241),IF(AND('(橫掃)RX Mapping'!BF60&gt;=361,'(橫掃)RX Mapping'!BF60&lt;=480), (-1)*('(橫掃)RX Mapping'!BF60-480),IF(AND('(橫掃)RX Mapping'!BF60&gt;=481,'(橫掃)RX Mapping'!BF60&lt;=600), ('(橫掃)RX Mapping'!BF60-361),IF(AND('(橫掃)RX Mapping'!BF60&gt;=601,'(橫掃)RX Mapping'!BF60&lt;=720), (-1)*('(橫掃)RX Mapping'!BF60-720)+120,IF(AND('(橫掃)RX Mapping'!BF60&gt;=721,'(橫掃)RX Mapping'!BF60&lt;=840), ('(橫掃)RX Mapping'!BF60-601),IF(AND('(橫掃)RX Mapping'!BF60&gt;=841,'(橫掃)RX Mapping'!BF60&lt;=960), (-1)*('(橫掃)RX Mapping'!BF60-960)+120,9999))))))))</f>
        <v>9999</v>
      </c>
      <c r="BG60">
        <f>IF(AND('(橫掃)RX Mapping'!BG60&gt;=1,'(橫掃)RX Mapping'!BG60&lt;=120), ('(橫掃)RX Mapping'!BG60-1),IF(AND('(橫掃)RX Mapping'!BG60&gt;=121,'(橫掃)RX Mapping'!BG60&lt;=240), (-1)*('(橫掃)RX Mapping'!BG60-240),IF(AND('(橫掃)RX Mapping'!BG60&gt;=241,'(橫掃)RX Mapping'!BG60&lt;=360), ('(橫掃)RX Mapping'!BG60-241),IF(AND('(橫掃)RX Mapping'!BG60&gt;=361,'(橫掃)RX Mapping'!BG60&lt;=480), (-1)*('(橫掃)RX Mapping'!BG60-480),IF(AND('(橫掃)RX Mapping'!BG60&gt;=481,'(橫掃)RX Mapping'!BG60&lt;=600), ('(橫掃)RX Mapping'!BG60-361),IF(AND('(橫掃)RX Mapping'!BG60&gt;=601,'(橫掃)RX Mapping'!BG60&lt;=720), (-1)*('(橫掃)RX Mapping'!BG60-720)+120,IF(AND('(橫掃)RX Mapping'!BG60&gt;=721,'(橫掃)RX Mapping'!BG60&lt;=840), ('(橫掃)RX Mapping'!BG60-601),IF(AND('(橫掃)RX Mapping'!BG60&gt;=841,'(橫掃)RX Mapping'!BG60&lt;=960), (-1)*('(橫掃)RX Mapping'!BG60-960)+120,9999))))))))</f>
        <v>9999</v>
      </c>
      <c r="BH60">
        <f>IF(AND('(橫掃)RX Mapping'!BH60&gt;=1,'(橫掃)RX Mapping'!BH60&lt;=120), ('(橫掃)RX Mapping'!BH60-1),IF(AND('(橫掃)RX Mapping'!BH60&gt;=121,'(橫掃)RX Mapping'!BH60&lt;=240), (-1)*('(橫掃)RX Mapping'!BH60-240),IF(AND('(橫掃)RX Mapping'!BH60&gt;=241,'(橫掃)RX Mapping'!BH60&lt;=360), ('(橫掃)RX Mapping'!BH60-241),IF(AND('(橫掃)RX Mapping'!BH60&gt;=361,'(橫掃)RX Mapping'!BH60&lt;=480), (-1)*('(橫掃)RX Mapping'!BH60-480),IF(AND('(橫掃)RX Mapping'!BH60&gt;=481,'(橫掃)RX Mapping'!BH60&lt;=600), ('(橫掃)RX Mapping'!BH60-361),IF(AND('(橫掃)RX Mapping'!BH60&gt;=601,'(橫掃)RX Mapping'!BH60&lt;=720), (-1)*('(橫掃)RX Mapping'!BH60-720)+120,IF(AND('(橫掃)RX Mapping'!BH60&gt;=721,'(橫掃)RX Mapping'!BH60&lt;=840), ('(橫掃)RX Mapping'!BH60-601),IF(AND('(橫掃)RX Mapping'!BH60&gt;=841,'(橫掃)RX Mapping'!BH60&lt;=960), (-1)*('(橫掃)RX Mapping'!BH60-960)+120,9999))))))))</f>
        <v>9999</v>
      </c>
      <c r="BI60">
        <f>IF(AND('(橫掃)RX Mapping'!BI60&gt;=1,'(橫掃)RX Mapping'!BI60&lt;=120), ('(橫掃)RX Mapping'!BI60-1),IF(AND('(橫掃)RX Mapping'!BI60&gt;=121,'(橫掃)RX Mapping'!BI60&lt;=240), (-1)*('(橫掃)RX Mapping'!BI60-240),IF(AND('(橫掃)RX Mapping'!BI60&gt;=241,'(橫掃)RX Mapping'!BI60&lt;=360), ('(橫掃)RX Mapping'!BI60-241),IF(AND('(橫掃)RX Mapping'!BI60&gt;=361,'(橫掃)RX Mapping'!BI60&lt;=480), (-1)*('(橫掃)RX Mapping'!BI60-480),IF(AND('(橫掃)RX Mapping'!BI60&gt;=481,'(橫掃)RX Mapping'!BI60&lt;=600), ('(橫掃)RX Mapping'!BI60-361),IF(AND('(橫掃)RX Mapping'!BI60&gt;=601,'(橫掃)RX Mapping'!BI60&lt;=720), (-1)*('(橫掃)RX Mapping'!BI60-720)+120,IF(AND('(橫掃)RX Mapping'!BI60&gt;=721,'(橫掃)RX Mapping'!BI60&lt;=840), ('(橫掃)RX Mapping'!BI60-601),IF(AND('(橫掃)RX Mapping'!BI60&gt;=841,'(橫掃)RX Mapping'!BI60&lt;=960), (-1)*('(橫掃)RX Mapping'!BI60-960)+120,9999))))))))</f>
        <v>9999</v>
      </c>
    </row>
    <row r="61" spans="1:61" x14ac:dyDescent="0.25">
      <c r="A61" s="20">
        <v>60</v>
      </c>
      <c r="B61">
        <f>IF(AND('(橫掃)RX Mapping'!B61&gt;=1,'(橫掃)RX Mapping'!B61&lt;=120), ('(橫掃)RX Mapping'!B61-1),IF(AND('(橫掃)RX Mapping'!B61&gt;=121,'(橫掃)RX Mapping'!B61&lt;=240), (-1)*('(橫掃)RX Mapping'!B61-240),IF(AND('(橫掃)RX Mapping'!B61&gt;=241,'(橫掃)RX Mapping'!B61&lt;=360), ('(橫掃)RX Mapping'!B61-241),IF(AND('(橫掃)RX Mapping'!B61&gt;=361,'(橫掃)RX Mapping'!B61&lt;=480), (-1)*('(橫掃)RX Mapping'!B61-480),IF(AND('(橫掃)RX Mapping'!B61&gt;=481,'(橫掃)RX Mapping'!B61&lt;=600), ('(橫掃)RX Mapping'!B61-361),IF(AND('(橫掃)RX Mapping'!B61&gt;=601,'(橫掃)RX Mapping'!B61&lt;=720), (-1)*('(橫掃)RX Mapping'!B61-720)+120,IF(AND('(橫掃)RX Mapping'!B61&gt;=721,'(橫掃)RX Mapping'!B61&lt;=840), ('(橫掃)RX Mapping'!B61-601),IF(AND('(橫掃)RX Mapping'!B61&gt;=841,'(橫掃)RX Mapping'!B61&lt;=960), (-1)*('(橫掃)RX Mapping'!B61-960)+120,9999))))))))</f>
        <v>9999</v>
      </c>
      <c r="C61">
        <f>IF(AND('(橫掃)RX Mapping'!C61&gt;=1,'(橫掃)RX Mapping'!C61&lt;=120), ('(橫掃)RX Mapping'!C61-1),IF(AND('(橫掃)RX Mapping'!C61&gt;=121,'(橫掃)RX Mapping'!C61&lt;=240), (-1)*('(橫掃)RX Mapping'!C61-240),IF(AND('(橫掃)RX Mapping'!C61&gt;=241,'(橫掃)RX Mapping'!C61&lt;=360), ('(橫掃)RX Mapping'!C61-241),IF(AND('(橫掃)RX Mapping'!C61&gt;=361,'(橫掃)RX Mapping'!C61&lt;=480), (-1)*('(橫掃)RX Mapping'!C61-480),IF(AND('(橫掃)RX Mapping'!C61&gt;=481,'(橫掃)RX Mapping'!C61&lt;=600), ('(橫掃)RX Mapping'!C61-361),IF(AND('(橫掃)RX Mapping'!C61&gt;=601,'(橫掃)RX Mapping'!C61&lt;=720), (-1)*('(橫掃)RX Mapping'!C61-720)+120,IF(AND('(橫掃)RX Mapping'!C61&gt;=721,'(橫掃)RX Mapping'!C61&lt;=840), ('(橫掃)RX Mapping'!C61-601),IF(AND('(橫掃)RX Mapping'!C61&gt;=841,'(橫掃)RX Mapping'!C61&lt;=960), (-1)*('(橫掃)RX Mapping'!C61-960)+120,9999))))))))</f>
        <v>9999</v>
      </c>
      <c r="D61">
        <f>IF(AND('(橫掃)RX Mapping'!D61&gt;=1,'(橫掃)RX Mapping'!D61&lt;=120), ('(橫掃)RX Mapping'!D61-1),IF(AND('(橫掃)RX Mapping'!D61&gt;=121,'(橫掃)RX Mapping'!D61&lt;=240), (-1)*('(橫掃)RX Mapping'!D61-240),IF(AND('(橫掃)RX Mapping'!D61&gt;=241,'(橫掃)RX Mapping'!D61&lt;=360), ('(橫掃)RX Mapping'!D61-241),IF(AND('(橫掃)RX Mapping'!D61&gt;=361,'(橫掃)RX Mapping'!D61&lt;=480), (-1)*('(橫掃)RX Mapping'!D61-480),IF(AND('(橫掃)RX Mapping'!D61&gt;=481,'(橫掃)RX Mapping'!D61&lt;=600), ('(橫掃)RX Mapping'!D61-361),IF(AND('(橫掃)RX Mapping'!D61&gt;=601,'(橫掃)RX Mapping'!D61&lt;=720), (-1)*('(橫掃)RX Mapping'!D61-720)+120,IF(AND('(橫掃)RX Mapping'!D61&gt;=721,'(橫掃)RX Mapping'!D61&lt;=840), ('(橫掃)RX Mapping'!D61-601),IF(AND('(橫掃)RX Mapping'!D61&gt;=841,'(橫掃)RX Mapping'!D61&lt;=960), (-1)*('(橫掃)RX Mapping'!D61-960)+120,9999))))))))</f>
        <v>9999</v>
      </c>
      <c r="E61">
        <f>IF(AND('(橫掃)RX Mapping'!E61&gt;=1,'(橫掃)RX Mapping'!E61&lt;=120), ('(橫掃)RX Mapping'!E61-1),IF(AND('(橫掃)RX Mapping'!E61&gt;=121,'(橫掃)RX Mapping'!E61&lt;=240), (-1)*('(橫掃)RX Mapping'!E61-240),IF(AND('(橫掃)RX Mapping'!E61&gt;=241,'(橫掃)RX Mapping'!E61&lt;=360), ('(橫掃)RX Mapping'!E61-241),IF(AND('(橫掃)RX Mapping'!E61&gt;=361,'(橫掃)RX Mapping'!E61&lt;=480), (-1)*('(橫掃)RX Mapping'!E61-480),IF(AND('(橫掃)RX Mapping'!E61&gt;=481,'(橫掃)RX Mapping'!E61&lt;=600), ('(橫掃)RX Mapping'!E61-361),IF(AND('(橫掃)RX Mapping'!E61&gt;=601,'(橫掃)RX Mapping'!E61&lt;=720), (-1)*('(橫掃)RX Mapping'!E61-720)+120,IF(AND('(橫掃)RX Mapping'!E61&gt;=721,'(橫掃)RX Mapping'!E61&lt;=840), ('(橫掃)RX Mapping'!E61-601),IF(AND('(橫掃)RX Mapping'!E61&gt;=841,'(橫掃)RX Mapping'!E61&lt;=960), (-1)*('(橫掃)RX Mapping'!E61-960)+120,9999))))))))</f>
        <v>9999</v>
      </c>
      <c r="F61">
        <f>IF(AND('(橫掃)RX Mapping'!F61&gt;=1,'(橫掃)RX Mapping'!F61&lt;=120), ('(橫掃)RX Mapping'!F61-1),IF(AND('(橫掃)RX Mapping'!F61&gt;=121,'(橫掃)RX Mapping'!F61&lt;=240), (-1)*('(橫掃)RX Mapping'!F61-240),IF(AND('(橫掃)RX Mapping'!F61&gt;=241,'(橫掃)RX Mapping'!F61&lt;=360), ('(橫掃)RX Mapping'!F61-241),IF(AND('(橫掃)RX Mapping'!F61&gt;=361,'(橫掃)RX Mapping'!F61&lt;=480), (-1)*('(橫掃)RX Mapping'!F61-480),IF(AND('(橫掃)RX Mapping'!F61&gt;=481,'(橫掃)RX Mapping'!F61&lt;=600), ('(橫掃)RX Mapping'!F61-361),IF(AND('(橫掃)RX Mapping'!F61&gt;=601,'(橫掃)RX Mapping'!F61&lt;=720), (-1)*('(橫掃)RX Mapping'!F61-720)+120,IF(AND('(橫掃)RX Mapping'!F61&gt;=721,'(橫掃)RX Mapping'!F61&lt;=840), ('(橫掃)RX Mapping'!F61-601),IF(AND('(橫掃)RX Mapping'!F61&gt;=841,'(橫掃)RX Mapping'!F61&lt;=960), (-1)*('(橫掃)RX Mapping'!F61-960)+120,9999))))))))</f>
        <v>9999</v>
      </c>
      <c r="G61">
        <f>IF(AND('(橫掃)RX Mapping'!G61&gt;=1,'(橫掃)RX Mapping'!G61&lt;=120), ('(橫掃)RX Mapping'!G61-1),IF(AND('(橫掃)RX Mapping'!G61&gt;=121,'(橫掃)RX Mapping'!G61&lt;=240), (-1)*('(橫掃)RX Mapping'!G61-240),IF(AND('(橫掃)RX Mapping'!G61&gt;=241,'(橫掃)RX Mapping'!G61&lt;=360), ('(橫掃)RX Mapping'!G61-241),IF(AND('(橫掃)RX Mapping'!G61&gt;=361,'(橫掃)RX Mapping'!G61&lt;=480), (-1)*('(橫掃)RX Mapping'!G61-480),IF(AND('(橫掃)RX Mapping'!G61&gt;=481,'(橫掃)RX Mapping'!G61&lt;=600), ('(橫掃)RX Mapping'!G61-361),IF(AND('(橫掃)RX Mapping'!G61&gt;=601,'(橫掃)RX Mapping'!G61&lt;=720), (-1)*('(橫掃)RX Mapping'!G61-720)+120,IF(AND('(橫掃)RX Mapping'!G61&gt;=721,'(橫掃)RX Mapping'!G61&lt;=840), ('(橫掃)RX Mapping'!G61-601),IF(AND('(橫掃)RX Mapping'!G61&gt;=841,'(橫掃)RX Mapping'!G61&lt;=960), (-1)*('(橫掃)RX Mapping'!G61-960)+120,9999))))))))</f>
        <v>9999</v>
      </c>
      <c r="H61">
        <f>IF(AND('(橫掃)RX Mapping'!H61&gt;=1,'(橫掃)RX Mapping'!H61&lt;=120), ('(橫掃)RX Mapping'!H61-1),IF(AND('(橫掃)RX Mapping'!H61&gt;=121,'(橫掃)RX Mapping'!H61&lt;=240), (-1)*('(橫掃)RX Mapping'!H61-240),IF(AND('(橫掃)RX Mapping'!H61&gt;=241,'(橫掃)RX Mapping'!H61&lt;=360), ('(橫掃)RX Mapping'!H61-241),IF(AND('(橫掃)RX Mapping'!H61&gt;=361,'(橫掃)RX Mapping'!H61&lt;=480), (-1)*('(橫掃)RX Mapping'!H61-480),IF(AND('(橫掃)RX Mapping'!H61&gt;=481,'(橫掃)RX Mapping'!H61&lt;=600), ('(橫掃)RX Mapping'!H61-361),IF(AND('(橫掃)RX Mapping'!H61&gt;=601,'(橫掃)RX Mapping'!H61&lt;=720), (-1)*('(橫掃)RX Mapping'!H61-720)+120,IF(AND('(橫掃)RX Mapping'!H61&gt;=721,'(橫掃)RX Mapping'!H61&lt;=840), ('(橫掃)RX Mapping'!H61-601),IF(AND('(橫掃)RX Mapping'!H61&gt;=841,'(橫掃)RX Mapping'!H61&lt;=960), (-1)*('(橫掃)RX Mapping'!H61-960)+120,9999))))))))</f>
        <v>9999</v>
      </c>
      <c r="I61">
        <f>IF(AND('(橫掃)RX Mapping'!I61&gt;=1,'(橫掃)RX Mapping'!I61&lt;=120), ('(橫掃)RX Mapping'!I61-1),IF(AND('(橫掃)RX Mapping'!I61&gt;=121,'(橫掃)RX Mapping'!I61&lt;=240), (-1)*('(橫掃)RX Mapping'!I61-240),IF(AND('(橫掃)RX Mapping'!I61&gt;=241,'(橫掃)RX Mapping'!I61&lt;=360), ('(橫掃)RX Mapping'!I61-241),IF(AND('(橫掃)RX Mapping'!I61&gt;=361,'(橫掃)RX Mapping'!I61&lt;=480), (-1)*('(橫掃)RX Mapping'!I61-480),IF(AND('(橫掃)RX Mapping'!I61&gt;=481,'(橫掃)RX Mapping'!I61&lt;=600), ('(橫掃)RX Mapping'!I61-361),IF(AND('(橫掃)RX Mapping'!I61&gt;=601,'(橫掃)RX Mapping'!I61&lt;=720), (-1)*('(橫掃)RX Mapping'!I61-720)+120,IF(AND('(橫掃)RX Mapping'!I61&gt;=721,'(橫掃)RX Mapping'!I61&lt;=840), ('(橫掃)RX Mapping'!I61-601),IF(AND('(橫掃)RX Mapping'!I61&gt;=841,'(橫掃)RX Mapping'!I61&lt;=960), (-1)*('(橫掃)RX Mapping'!I61-960)+120,9999))))))))</f>
        <v>9999</v>
      </c>
      <c r="J61">
        <f>IF(AND('(橫掃)RX Mapping'!J61&gt;=1,'(橫掃)RX Mapping'!J61&lt;=120), ('(橫掃)RX Mapping'!J61-1),IF(AND('(橫掃)RX Mapping'!J61&gt;=121,'(橫掃)RX Mapping'!J61&lt;=240), (-1)*('(橫掃)RX Mapping'!J61-240),IF(AND('(橫掃)RX Mapping'!J61&gt;=241,'(橫掃)RX Mapping'!J61&lt;=360), ('(橫掃)RX Mapping'!J61-241),IF(AND('(橫掃)RX Mapping'!J61&gt;=361,'(橫掃)RX Mapping'!J61&lt;=480), (-1)*('(橫掃)RX Mapping'!J61-480),IF(AND('(橫掃)RX Mapping'!J61&gt;=481,'(橫掃)RX Mapping'!J61&lt;=600), ('(橫掃)RX Mapping'!J61-361),IF(AND('(橫掃)RX Mapping'!J61&gt;=601,'(橫掃)RX Mapping'!J61&lt;=720), (-1)*('(橫掃)RX Mapping'!J61-720)+120,IF(AND('(橫掃)RX Mapping'!J61&gt;=721,'(橫掃)RX Mapping'!J61&lt;=840), ('(橫掃)RX Mapping'!J61-601),IF(AND('(橫掃)RX Mapping'!J61&gt;=841,'(橫掃)RX Mapping'!J61&lt;=960), (-1)*('(橫掃)RX Mapping'!J61-960)+120,9999))))))))</f>
        <v>9999</v>
      </c>
      <c r="K61">
        <f>IF(AND('(橫掃)RX Mapping'!K61&gt;=1,'(橫掃)RX Mapping'!K61&lt;=120), ('(橫掃)RX Mapping'!K61-1),IF(AND('(橫掃)RX Mapping'!K61&gt;=121,'(橫掃)RX Mapping'!K61&lt;=240), (-1)*('(橫掃)RX Mapping'!K61-240),IF(AND('(橫掃)RX Mapping'!K61&gt;=241,'(橫掃)RX Mapping'!K61&lt;=360), ('(橫掃)RX Mapping'!K61-241),IF(AND('(橫掃)RX Mapping'!K61&gt;=361,'(橫掃)RX Mapping'!K61&lt;=480), (-1)*('(橫掃)RX Mapping'!K61-480),IF(AND('(橫掃)RX Mapping'!K61&gt;=481,'(橫掃)RX Mapping'!K61&lt;=600), ('(橫掃)RX Mapping'!K61-361),IF(AND('(橫掃)RX Mapping'!K61&gt;=601,'(橫掃)RX Mapping'!K61&lt;=720), (-1)*('(橫掃)RX Mapping'!K61-720)+120,IF(AND('(橫掃)RX Mapping'!K61&gt;=721,'(橫掃)RX Mapping'!K61&lt;=840), ('(橫掃)RX Mapping'!K61-601),IF(AND('(橫掃)RX Mapping'!K61&gt;=841,'(橫掃)RX Mapping'!K61&lt;=960), (-1)*('(橫掃)RX Mapping'!K61-960)+120,9999))))))))</f>
        <v>9999</v>
      </c>
      <c r="L61">
        <f>IF(AND('(橫掃)RX Mapping'!L61&gt;=1,'(橫掃)RX Mapping'!L61&lt;=120), ('(橫掃)RX Mapping'!L61-1),IF(AND('(橫掃)RX Mapping'!L61&gt;=121,'(橫掃)RX Mapping'!L61&lt;=240), (-1)*('(橫掃)RX Mapping'!L61-240),IF(AND('(橫掃)RX Mapping'!L61&gt;=241,'(橫掃)RX Mapping'!L61&lt;=360), ('(橫掃)RX Mapping'!L61-241),IF(AND('(橫掃)RX Mapping'!L61&gt;=361,'(橫掃)RX Mapping'!L61&lt;=480), (-1)*('(橫掃)RX Mapping'!L61-480),IF(AND('(橫掃)RX Mapping'!L61&gt;=481,'(橫掃)RX Mapping'!L61&lt;=600), ('(橫掃)RX Mapping'!L61-361),IF(AND('(橫掃)RX Mapping'!L61&gt;=601,'(橫掃)RX Mapping'!L61&lt;=720), (-1)*('(橫掃)RX Mapping'!L61-720)+120,IF(AND('(橫掃)RX Mapping'!L61&gt;=721,'(橫掃)RX Mapping'!L61&lt;=840), ('(橫掃)RX Mapping'!L61-601),IF(AND('(橫掃)RX Mapping'!L61&gt;=841,'(橫掃)RX Mapping'!L61&lt;=960), (-1)*('(橫掃)RX Mapping'!L61-960)+120,9999))))))))</f>
        <v>9999</v>
      </c>
      <c r="M61">
        <f>IF(AND('(橫掃)RX Mapping'!M61&gt;=1,'(橫掃)RX Mapping'!M61&lt;=120), ('(橫掃)RX Mapping'!M61-1),IF(AND('(橫掃)RX Mapping'!M61&gt;=121,'(橫掃)RX Mapping'!M61&lt;=240), (-1)*('(橫掃)RX Mapping'!M61-240),IF(AND('(橫掃)RX Mapping'!M61&gt;=241,'(橫掃)RX Mapping'!M61&lt;=360), ('(橫掃)RX Mapping'!M61-241),IF(AND('(橫掃)RX Mapping'!M61&gt;=361,'(橫掃)RX Mapping'!M61&lt;=480), (-1)*('(橫掃)RX Mapping'!M61-480),IF(AND('(橫掃)RX Mapping'!M61&gt;=481,'(橫掃)RX Mapping'!M61&lt;=600), ('(橫掃)RX Mapping'!M61-361),IF(AND('(橫掃)RX Mapping'!M61&gt;=601,'(橫掃)RX Mapping'!M61&lt;=720), (-1)*('(橫掃)RX Mapping'!M61-720)+120,IF(AND('(橫掃)RX Mapping'!M61&gt;=721,'(橫掃)RX Mapping'!M61&lt;=840), ('(橫掃)RX Mapping'!M61-601),IF(AND('(橫掃)RX Mapping'!M61&gt;=841,'(橫掃)RX Mapping'!M61&lt;=960), (-1)*('(橫掃)RX Mapping'!M61-960)+120,9999))))))))</f>
        <v>9999</v>
      </c>
      <c r="N61">
        <f>IF(AND('(橫掃)RX Mapping'!N61&gt;=1,'(橫掃)RX Mapping'!N61&lt;=120), ('(橫掃)RX Mapping'!N61-1),IF(AND('(橫掃)RX Mapping'!N61&gt;=121,'(橫掃)RX Mapping'!N61&lt;=240), (-1)*('(橫掃)RX Mapping'!N61-240),IF(AND('(橫掃)RX Mapping'!N61&gt;=241,'(橫掃)RX Mapping'!N61&lt;=360), ('(橫掃)RX Mapping'!N61-241),IF(AND('(橫掃)RX Mapping'!N61&gt;=361,'(橫掃)RX Mapping'!N61&lt;=480), (-1)*('(橫掃)RX Mapping'!N61-480),IF(AND('(橫掃)RX Mapping'!N61&gt;=481,'(橫掃)RX Mapping'!N61&lt;=600), ('(橫掃)RX Mapping'!N61-361),IF(AND('(橫掃)RX Mapping'!N61&gt;=601,'(橫掃)RX Mapping'!N61&lt;=720), (-1)*('(橫掃)RX Mapping'!N61-720)+120,IF(AND('(橫掃)RX Mapping'!N61&gt;=721,'(橫掃)RX Mapping'!N61&lt;=840), ('(橫掃)RX Mapping'!N61-601),IF(AND('(橫掃)RX Mapping'!N61&gt;=841,'(橫掃)RX Mapping'!N61&lt;=960), (-1)*('(橫掃)RX Mapping'!N61-960)+120,9999))))))))</f>
        <v>9999</v>
      </c>
      <c r="O61">
        <f>IF(AND('(橫掃)RX Mapping'!O61&gt;=1,'(橫掃)RX Mapping'!O61&lt;=120), ('(橫掃)RX Mapping'!O61-1),IF(AND('(橫掃)RX Mapping'!O61&gt;=121,'(橫掃)RX Mapping'!O61&lt;=240), (-1)*('(橫掃)RX Mapping'!O61-240),IF(AND('(橫掃)RX Mapping'!O61&gt;=241,'(橫掃)RX Mapping'!O61&lt;=360), ('(橫掃)RX Mapping'!O61-241),IF(AND('(橫掃)RX Mapping'!O61&gt;=361,'(橫掃)RX Mapping'!O61&lt;=480), (-1)*('(橫掃)RX Mapping'!O61-480),IF(AND('(橫掃)RX Mapping'!O61&gt;=481,'(橫掃)RX Mapping'!O61&lt;=600), ('(橫掃)RX Mapping'!O61-361),IF(AND('(橫掃)RX Mapping'!O61&gt;=601,'(橫掃)RX Mapping'!O61&lt;=720), (-1)*('(橫掃)RX Mapping'!O61-720)+120,IF(AND('(橫掃)RX Mapping'!O61&gt;=721,'(橫掃)RX Mapping'!O61&lt;=840), ('(橫掃)RX Mapping'!O61-601),IF(AND('(橫掃)RX Mapping'!O61&gt;=841,'(橫掃)RX Mapping'!O61&lt;=960), (-1)*('(橫掃)RX Mapping'!O61-960)+120,9999))))))))</f>
        <v>9999</v>
      </c>
      <c r="P61">
        <f>IF(AND('(橫掃)RX Mapping'!P61&gt;=1,'(橫掃)RX Mapping'!P61&lt;=120), ('(橫掃)RX Mapping'!P61-1),IF(AND('(橫掃)RX Mapping'!P61&gt;=121,'(橫掃)RX Mapping'!P61&lt;=240), (-1)*('(橫掃)RX Mapping'!P61-240),IF(AND('(橫掃)RX Mapping'!P61&gt;=241,'(橫掃)RX Mapping'!P61&lt;=360), ('(橫掃)RX Mapping'!P61-241),IF(AND('(橫掃)RX Mapping'!P61&gt;=361,'(橫掃)RX Mapping'!P61&lt;=480), (-1)*('(橫掃)RX Mapping'!P61-480),IF(AND('(橫掃)RX Mapping'!P61&gt;=481,'(橫掃)RX Mapping'!P61&lt;=600), ('(橫掃)RX Mapping'!P61-361),IF(AND('(橫掃)RX Mapping'!P61&gt;=601,'(橫掃)RX Mapping'!P61&lt;=720), (-1)*('(橫掃)RX Mapping'!P61-720)+120,IF(AND('(橫掃)RX Mapping'!P61&gt;=721,'(橫掃)RX Mapping'!P61&lt;=840), ('(橫掃)RX Mapping'!P61-601),IF(AND('(橫掃)RX Mapping'!P61&gt;=841,'(橫掃)RX Mapping'!P61&lt;=960), (-1)*('(橫掃)RX Mapping'!P61-960)+120,9999))))))))</f>
        <v>9999</v>
      </c>
      <c r="Q61">
        <f>IF(AND('(橫掃)RX Mapping'!Q61&gt;=1,'(橫掃)RX Mapping'!Q61&lt;=120), ('(橫掃)RX Mapping'!Q61-1),IF(AND('(橫掃)RX Mapping'!Q61&gt;=121,'(橫掃)RX Mapping'!Q61&lt;=240), (-1)*('(橫掃)RX Mapping'!Q61-240),IF(AND('(橫掃)RX Mapping'!Q61&gt;=241,'(橫掃)RX Mapping'!Q61&lt;=360), ('(橫掃)RX Mapping'!Q61-241),IF(AND('(橫掃)RX Mapping'!Q61&gt;=361,'(橫掃)RX Mapping'!Q61&lt;=480), (-1)*('(橫掃)RX Mapping'!Q61-480),IF(AND('(橫掃)RX Mapping'!Q61&gt;=481,'(橫掃)RX Mapping'!Q61&lt;=600), ('(橫掃)RX Mapping'!Q61-361),IF(AND('(橫掃)RX Mapping'!Q61&gt;=601,'(橫掃)RX Mapping'!Q61&lt;=720), (-1)*('(橫掃)RX Mapping'!Q61-720)+120,IF(AND('(橫掃)RX Mapping'!Q61&gt;=721,'(橫掃)RX Mapping'!Q61&lt;=840), ('(橫掃)RX Mapping'!Q61-601),IF(AND('(橫掃)RX Mapping'!Q61&gt;=841,'(橫掃)RX Mapping'!Q61&lt;=960), (-1)*('(橫掃)RX Mapping'!Q61-960)+120,9999))))))))</f>
        <v>9999</v>
      </c>
      <c r="R61">
        <f>IF(AND('(橫掃)RX Mapping'!R61&gt;=1,'(橫掃)RX Mapping'!R61&lt;=120), ('(橫掃)RX Mapping'!R61-1),IF(AND('(橫掃)RX Mapping'!R61&gt;=121,'(橫掃)RX Mapping'!R61&lt;=240), (-1)*('(橫掃)RX Mapping'!R61-240),IF(AND('(橫掃)RX Mapping'!R61&gt;=241,'(橫掃)RX Mapping'!R61&lt;=360), ('(橫掃)RX Mapping'!R61-241),IF(AND('(橫掃)RX Mapping'!R61&gt;=361,'(橫掃)RX Mapping'!R61&lt;=480), (-1)*('(橫掃)RX Mapping'!R61-480),IF(AND('(橫掃)RX Mapping'!R61&gt;=481,'(橫掃)RX Mapping'!R61&lt;=600), ('(橫掃)RX Mapping'!R61-361),IF(AND('(橫掃)RX Mapping'!R61&gt;=601,'(橫掃)RX Mapping'!R61&lt;=720), (-1)*('(橫掃)RX Mapping'!R61-720)+120,IF(AND('(橫掃)RX Mapping'!R61&gt;=721,'(橫掃)RX Mapping'!R61&lt;=840), ('(橫掃)RX Mapping'!R61-601),IF(AND('(橫掃)RX Mapping'!R61&gt;=841,'(橫掃)RX Mapping'!R61&lt;=960), (-1)*('(橫掃)RX Mapping'!R61-960)+120,9999))))))))</f>
        <v>9999</v>
      </c>
      <c r="S61">
        <f>IF(AND('(橫掃)RX Mapping'!S61&gt;=1,'(橫掃)RX Mapping'!S61&lt;=120), ('(橫掃)RX Mapping'!S61-1),IF(AND('(橫掃)RX Mapping'!S61&gt;=121,'(橫掃)RX Mapping'!S61&lt;=240), (-1)*('(橫掃)RX Mapping'!S61-240),IF(AND('(橫掃)RX Mapping'!S61&gt;=241,'(橫掃)RX Mapping'!S61&lt;=360), ('(橫掃)RX Mapping'!S61-241),IF(AND('(橫掃)RX Mapping'!S61&gt;=361,'(橫掃)RX Mapping'!S61&lt;=480), (-1)*('(橫掃)RX Mapping'!S61-480),IF(AND('(橫掃)RX Mapping'!S61&gt;=481,'(橫掃)RX Mapping'!S61&lt;=600), ('(橫掃)RX Mapping'!S61-361),IF(AND('(橫掃)RX Mapping'!S61&gt;=601,'(橫掃)RX Mapping'!S61&lt;=720), (-1)*('(橫掃)RX Mapping'!S61-720)+120,IF(AND('(橫掃)RX Mapping'!S61&gt;=721,'(橫掃)RX Mapping'!S61&lt;=840), ('(橫掃)RX Mapping'!S61-601),IF(AND('(橫掃)RX Mapping'!S61&gt;=841,'(橫掃)RX Mapping'!S61&lt;=960), (-1)*('(橫掃)RX Mapping'!S61-960)+120,9999))))))))</f>
        <v>9999</v>
      </c>
      <c r="T61">
        <f>IF(AND('(橫掃)RX Mapping'!T61&gt;=1,'(橫掃)RX Mapping'!T61&lt;=120), ('(橫掃)RX Mapping'!T61-1),IF(AND('(橫掃)RX Mapping'!T61&gt;=121,'(橫掃)RX Mapping'!T61&lt;=240), (-1)*('(橫掃)RX Mapping'!T61-240),IF(AND('(橫掃)RX Mapping'!T61&gt;=241,'(橫掃)RX Mapping'!T61&lt;=360), ('(橫掃)RX Mapping'!T61-241),IF(AND('(橫掃)RX Mapping'!T61&gt;=361,'(橫掃)RX Mapping'!T61&lt;=480), (-1)*('(橫掃)RX Mapping'!T61-480),IF(AND('(橫掃)RX Mapping'!T61&gt;=481,'(橫掃)RX Mapping'!T61&lt;=600), ('(橫掃)RX Mapping'!T61-361),IF(AND('(橫掃)RX Mapping'!T61&gt;=601,'(橫掃)RX Mapping'!T61&lt;=720), (-1)*('(橫掃)RX Mapping'!T61-720)+120,IF(AND('(橫掃)RX Mapping'!T61&gt;=721,'(橫掃)RX Mapping'!T61&lt;=840), ('(橫掃)RX Mapping'!T61-601),IF(AND('(橫掃)RX Mapping'!T61&gt;=841,'(橫掃)RX Mapping'!T61&lt;=960), (-1)*('(橫掃)RX Mapping'!T61-960)+120,9999))))))))</f>
        <v>9999</v>
      </c>
      <c r="U61">
        <f>IF(AND('(橫掃)RX Mapping'!U61&gt;=1,'(橫掃)RX Mapping'!U61&lt;=120), ('(橫掃)RX Mapping'!U61-1),IF(AND('(橫掃)RX Mapping'!U61&gt;=121,'(橫掃)RX Mapping'!U61&lt;=240), (-1)*('(橫掃)RX Mapping'!U61-240),IF(AND('(橫掃)RX Mapping'!U61&gt;=241,'(橫掃)RX Mapping'!U61&lt;=360), ('(橫掃)RX Mapping'!U61-241),IF(AND('(橫掃)RX Mapping'!U61&gt;=361,'(橫掃)RX Mapping'!U61&lt;=480), (-1)*('(橫掃)RX Mapping'!U61-480),IF(AND('(橫掃)RX Mapping'!U61&gt;=481,'(橫掃)RX Mapping'!U61&lt;=600), ('(橫掃)RX Mapping'!U61-361),IF(AND('(橫掃)RX Mapping'!U61&gt;=601,'(橫掃)RX Mapping'!U61&lt;=720), (-1)*('(橫掃)RX Mapping'!U61-720)+120,IF(AND('(橫掃)RX Mapping'!U61&gt;=721,'(橫掃)RX Mapping'!U61&lt;=840), ('(橫掃)RX Mapping'!U61-601),IF(AND('(橫掃)RX Mapping'!U61&gt;=841,'(橫掃)RX Mapping'!U61&lt;=960), (-1)*('(橫掃)RX Mapping'!U61-960)+120,9999))))))))</f>
        <v>9999</v>
      </c>
      <c r="V61">
        <f>IF(AND('(橫掃)RX Mapping'!V61&gt;=1,'(橫掃)RX Mapping'!V61&lt;=120), ('(橫掃)RX Mapping'!V61-1),IF(AND('(橫掃)RX Mapping'!V61&gt;=121,'(橫掃)RX Mapping'!V61&lt;=240), (-1)*('(橫掃)RX Mapping'!V61-240),IF(AND('(橫掃)RX Mapping'!V61&gt;=241,'(橫掃)RX Mapping'!V61&lt;=360), ('(橫掃)RX Mapping'!V61-241),IF(AND('(橫掃)RX Mapping'!V61&gt;=361,'(橫掃)RX Mapping'!V61&lt;=480), (-1)*('(橫掃)RX Mapping'!V61-480),IF(AND('(橫掃)RX Mapping'!V61&gt;=481,'(橫掃)RX Mapping'!V61&lt;=600), ('(橫掃)RX Mapping'!V61-361),IF(AND('(橫掃)RX Mapping'!V61&gt;=601,'(橫掃)RX Mapping'!V61&lt;=720), (-1)*('(橫掃)RX Mapping'!V61-720)+120,IF(AND('(橫掃)RX Mapping'!V61&gt;=721,'(橫掃)RX Mapping'!V61&lt;=840), ('(橫掃)RX Mapping'!V61-601),IF(AND('(橫掃)RX Mapping'!V61&gt;=841,'(橫掃)RX Mapping'!V61&lt;=960), (-1)*('(橫掃)RX Mapping'!V61-960)+120,9999))))))))</f>
        <v>9999</v>
      </c>
      <c r="W61">
        <f>IF(AND('(橫掃)RX Mapping'!W61&gt;=1,'(橫掃)RX Mapping'!W61&lt;=120), ('(橫掃)RX Mapping'!W61-1),IF(AND('(橫掃)RX Mapping'!W61&gt;=121,'(橫掃)RX Mapping'!W61&lt;=240), (-1)*('(橫掃)RX Mapping'!W61-240),IF(AND('(橫掃)RX Mapping'!W61&gt;=241,'(橫掃)RX Mapping'!W61&lt;=360), ('(橫掃)RX Mapping'!W61-241),IF(AND('(橫掃)RX Mapping'!W61&gt;=361,'(橫掃)RX Mapping'!W61&lt;=480), (-1)*('(橫掃)RX Mapping'!W61-480),IF(AND('(橫掃)RX Mapping'!W61&gt;=481,'(橫掃)RX Mapping'!W61&lt;=600), ('(橫掃)RX Mapping'!W61-361),IF(AND('(橫掃)RX Mapping'!W61&gt;=601,'(橫掃)RX Mapping'!W61&lt;=720), (-1)*('(橫掃)RX Mapping'!W61-720)+120,IF(AND('(橫掃)RX Mapping'!W61&gt;=721,'(橫掃)RX Mapping'!W61&lt;=840), ('(橫掃)RX Mapping'!W61-601),IF(AND('(橫掃)RX Mapping'!W61&gt;=841,'(橫掃)RX Mapping'!W61&lt;=960), (-1)*('(橫掃)RX Mapping'!W61-960)+120,9999))))))))</f>
        <v>9999</v>
      </c>
      <c r="X61">
        <f>IF(AND('(橫掃)RX Mapping'!X61&gt;=1,'(橫掃)RX Mapping'!X61&lt;=120), ('(橫掃)RX Mapping'!X61-1),IF(AND('(橫掃)RX Mapping'!X61&gt;=121,'(橫掃)RX Mapping'!X61&lt;=240), (-1)*('(橫掃)RX Mapping'!X61-240),IF(AND('(橫掃)RX Mapping'!X61&gt;=241,'(橫掃)RX Mapping'!X61&lt;=360), ('(橫掃)RX Mapping'!X61-241),IF(AND('(橫掃)RX Mapping'!X61&gt;=361,'(橫掃)RX Mapping'!X61&lt;=480), (-1)*('(橫掃)RX Mapping'!X61-480),IF(AND('(橫掃)RX Mapping'!X61&gt;=481,'(橫掃)RX Mapping'!X61&lt;=600), ('(橫掃)RX Mapping'!X61-361),IF(AND('(橫掃)RX Mapping'!X61&gt;=601,'(橫掃)RX Mapping'!X61&lt;=720), (-1)*('(橫掃)RX Mapping'!X61-720)+120,IF(AND('(橫掃)RX Mapping'!X61&gt;=721,'(橫掃)RX Mapping'!X61&lt;=840), ('(橫掃)RX Mapping'!X61-601),IF(AND('(橫掃)RX Mapping'!X61&gt;=841,'(橫掃)RX Mapping'!X61&lt;=960), (-1)*('(橫掃)RX Mapping'!X61-960)+120,9999))))))))</f>
        <v>9999</v>
      </c>
      <c r="Y61">
        <f>IF(AND('(橫掃)RX Mapping'!Y61&gt;=1,'(橫掃)RX Mapping'!Y61&lt;=120), ('(橫掃)RX Mapping'!Y61-1),IF(AND('(橫掃)RX Mapping'!Y61&gt;=121,'(橫掃)RX Mapping'!Y61&lt;=240), (-1)*('(橫掃)RX Mapping'!Y61-240),IF(AND('(橫掃)RX Mapping'!Y61&gt;=241,'(橫掃)RX Mapping'!Y61&lt;=360), ('(橫掃)RX Mapping'!Y61-241),IF(AND('(橫掃)RX Mapping'!Y61&gt;=361,'(橫掃)RX Mapping'!Y61&lt;=480), (-1)*('(橫掃)RX Mapping'!Y61-480),IF(AND('(橫掃)RX Mapping'!Y61&gt;=481,'(橫掃)RX Mapping'!Y61&lt;=600), ('(橫掃)RX Mapping'!Y61-361),IF(AND('(橫掃)RX Mapping'!Y61&gt;=601,'(橫掃)RX Mapping'!Y61&lt;=720), (-1)*('(橫掃)RX Mapping'!Y61-720)+120,IF(AND('(橫掃)RX Mapping'!Y61&gt;=721,'(橫掃)RX Mapping'!Y61&lt;=840), ('(橫掃)RX Mapping'!Y61-601),IF(AND('(橫掃)RX Mapping'!Y61&gt;=841,'(橫掃)RX Mapping'!Y61&lt;=960), (-1)*('(橫掃)RX Mapping'!Y61-960)+120,9999))))))))</f>
        <v>9999</v>
      </c>
      <c r="Z61">
        <f>IF(AND('(橫掃)RX Mapping'!Z61&gt;=1,'(橫掃)RX Mapping'!Z61&lt;=120), ('(橫掃)RX Mapping'!Z61-1),IF(AND('(橫掃)RX Mapping'!Z61&gt;=121,'(橫掃)RX Mapping'!Z61&lt;=240), (-1)*('(橫掃)RX Mapping'!Z61-240),IF(AND('(橫掃)RX Mapping'!Z61&gt;=241,'(橫掃)RX Mapping'!Z61&lt;=360), ('(橫掃)RX Mapping'!Z61-241),IF(AND('(橫掃)RX Mapping'!Z61&gt;=361,'(橫掃)RX Mapping'!Z61&lt;=480), (-1)*('(橫掃)RX Mapping'!Z61-480),IF(AND('(橫掃)RX Mapping'!Z61&gt;=481,'(橫掃)RX Mapping'!Z61&lt;=600), ('(橫掃)RX Mapping'!Z61-361),IF(AND('(橫掃)RX Mapping'!Z61&gt;=601,'(橫掃)RX Mapping'!Z61&lt;=720), (-1)*('(橫掃)RX Mapping'!Z61-720)+120,IF(AND('(橫掃)RX Mapping'!Z61&gt;=721,'(橫掃)RX Mapping'!Z61&lt;=840), ('(橫掃)RX Mapping'!Z61-601),IF(AND('(橫掃)RX Mapping'!Z61&gt;=841,'(橫掃)RX Mapping'!Z61&lt;=960), (-1)*('(橫掃)RX Mapping'!Z61-960)+120,9999))))))))</f>
        <v>9999</v>
      </c>
      <c r="AA61">
        <f>IF(AND('(橫掃)RX Mapping'!AA61&gt;=1,'(橫掃)RX Mapping'!AA61&lt;=120), ('(橫掃)RX Mapping'!AA61-1),IF(AND('(橫掃)RX Mapping'!AA61&gt;=121,'(橫掃)RX Mapping'!AA61&lt;=240), (-1)*('(橫掃)RX Mapping'!AA61-240),IF(AND('(橫掃)RX Mapping'!AA61&gt;=241,'(橫掃)RX Mapping'!AA61&lt;=360), ('(橫掃)RX Mapping'!AA61-241),IF(AND('(橫掃)RX Mapping'!AA61&gt;=361,'(橫掃)RX Mapping'!AA61&lt;=480), (-1)*('(橫掃)RX Mapping'!AA61-480),IF(AND('(橫掃)RX Mapping'!AA61&gt;=481,'(橫掃)RX Mapping'!AA61&lt;=600), ('(橫掃)RX Mapping'!AA61-361),IF(AND('(橫掃)RX Mapping'!AA61&gt;=601,'(橫掃)RX Mapping'!AA61&lt;=720), (-1)*('(橫掃)RX Mapping'!AA61-720)+120,IF(AND('(橫掃)RX Mapping'!AA61&gt;=721,'(橫掃)RX Mapping'!AA61&lt;=840), ('(橫掃)RX Mapping'!AA61-601),IF(AND('(橫掃)RX Mapping'!AA61&gt;=841,'(橫掃)RX Mapping'!AA61&lt;=960), (-1)*('(橫掃)RX Mapping'!AA61-960)+120,9999))))))))</f>
        <v>9999</v>
      </c>
      <c r="AB61">
        <f>IF(AND('(橫掃)RX Mapping'!AB61&gt;=1,'(橫掃)RX Mapping'!AB61&lt;=120), ('(橫掃)RX Mapping'!AB61-1),IF(AND('(橫掃)RX Mapping'!AB61&gt;=121,'(橫掃)RX Mapping'!AB61&lt;=240), (-1)*('(橫掃)RX Mapping'!AB61-240),IF(AND('(橫掃)RX Mapping'!AB61&gt;=241,'(橫掃)RX Mapping'!AB61&lt;=360), ('(橫掃)RX Mapping'!AB61-241),IF(AND('(橫掃)RX Mapping'!AB61&gt;=361,'(橫掃)RX Mapping'!AB61&lt;=480), (-1)*('(橫掃)RX Mapping'!AB61-480),IF(AND('(橫掃)RX Mapping'!AB61&gt;=481,'(橫掃)RX Mapping'!AB61&lt;=600), ('(橫掃)RX Mapping'!AB61-361),IF(AND('(橫掃)RX Mapping'!AB61&gt;=601,'(橫掃)RX Mapping'!AB61&lt;=720), (-1)*('(橫掃)RX Mapping'!AB61-720)+120,IF(AND('(橫掃)RX Mapping'!AB61&gt;=721,'(橫掃)RX Mapping'!AB61&lt;=840), ('(橫掃)RX Mapping'!AB61-601),IF(AND('(橫掃)RX Mapping'!AB61&gt;=841,'(橫掃)RX Mapping'!AB61&lt;=960), (-1)*('(橫掃)RX Mapping'!AB61-960)+120,9999))))))))</f>
        <v>9999</v>
      </c>
      <c r="AC61">
        <f>IF(AND('(橫掃)RX Mapping'!AC61&gt;=1,'(橫掃)RX Mapping'!AC61&lt;=120), ('(橫掃)RX Mapping'!AC61-1),IF(AND('(橫掃)RX Mapping'!AC61&gt;=121,'(橫掃)RX Mapping'!AC61&lt;=240), (-1)*('(橫掃)RX Mapping'!AC61-240),IF(AND('(橫掃)RX Mapping'!AC61&gt;=241,'(橫掃)RX Mapping'!AC61&lt;=360), ('(橫掃)RX Mapping'!AC61-241),IF(AND('(橫掃)RX Mapping'!AC61&gt;=361,'(橫掃)RX Mapping'!AC61&lt;=480), (-1)*('(橫掃)RX Mapping'!AC61-480),IF(AND('(橫掃)RX Mapping'!AC61&gt;=481,'(橫掃)RX Mapping'!AC61&lt;=600), ('(橫掃)RX Mapping'!AC61-361),IF(AND('(橫掃)RX Mapping'!AC61&gt;=601,'(橫掃)RX Mapping'!AC61&lt;=720), (-1)*('(橫掃)RX Mapping'!AC61-720)+120,IF(AND('(橫掃)RX Mapping'!AC61&gt;=721,'(橫掃)RX Mapping'!AC61&lt;=840), ('(橫掃)RX Mapping'!AC61-601),IF(AND('(橫掃)RX Mapping'!AC61&gt;=841,'(橫掃)RX Mapping'!AC61&lt;=960), (-1)*('(橫掃)RX Mapping'!AC61-960)+120,9999))))))))</f>
        <v>9999</v>
      </c>
      <c r="AD61">
        <f>IF(AND('(橫掃)RX Mapping'!AD61&gt;=1,'(橫掃)RX Mapping'!AD61&lt;=120), ('(橫掃)RX Mapping'!AD61-1),IF(AND('(橫掃)RX Mapping'!AD61&gt;=121,'(橫掃)RX Mapping'!AD61&lt;=240), (-1)*('(橫掃)RX Mapping'!AD61-240),IF(AND('(橫掃)RX Mapping'!AD61&gt;=241,'(橫掃)RX Mapping'!AD61&lt;=360), ('(橫掃)RX Mapping'!AD61-241),IF(AND('(橫掃)RX Mapping'!AD61&gt;=361,'(橫掃)RX Mapping'!AD61&lt;=480), (-1)*('(橫掃)RX Mapping'!AD61-480),IF(AND('(橫掃)RX Mapping'!AD61&gt;=481,'(橫掃)RX Mapping'!AD61&lt;=600), ('(橫掃)RX Mapping'!AD61-361),IF(AND('(橫掃)RX Mapping'!AD61&gt;=601,'(橫掃)RX Mapping'!AD61&lt;=720), (-1)*('(橫掃)RX Mapping'!AD61-720)+120,IF(AND('(橫掃)RX Mapping'!AD61&gt;=721,'(橫掃)RX Mapping'!AD61&lt;=840), ('(橫掃)RX Mapping'!AD61-601),IF(AND('(橫掃)RX Mapping'!AD61&gt;=841,'(橫掃)RX Mapping'!AD61&lt;=960), (-1)*('(橫掃)RX Mapping'!AD61-960)+120,9999))))))))</f>
        <v>9999</v>
      </c>
      <c r="AE61">
        <f>IF(AND('(橫掃)RX Mapping'!AE61&gt;=1,'(橫掃)RX Mapping'!AE61&lt;=120), ('(橫掃)RX Mapping'!AE61-1),IF(AND('(橫掃)RX Mapping'!AE61&gt;=121,'(橫掃)RX Mapping'!AE61&lt;=240), (-1)*('(橫掃)RX Mapping'!AE61-240),IF(AND('(橫掃)RX Mapping'!AE61&gt;=241,'(橫掃)RX Mapping'!AE61&lt;=360), ('(橫掃)RX Mapping'!AE61-241),IF(AND('(橫掃)RX Mapping'!AE61&gt;=361,'(橫掃)RX Mapping'!AE61&lt;=480), (-1)*('(橫掃)RX Mapping'!AE61-480),IF(AND('(橫掃)RX Mapping'!AE61&gt;=481,'(橫掃)RX Mapping'!AE61&lt;=600), ('(橫掃)RX Mapping'!AE61-361),IF(AND('(橫掃)RX Mapping'!AE61&gt;=601,'(橫掃)RX Mapping'!AE61&lt;=720), (-1)*('(橫掃)RX Mapping'!AE61-720)+120,IF(AND('(橫掃)RX Mapping'!AE61&gt;=721,'(橫掃)RX Mapping'!AE61&lt;=840), ('(橫掃)RX Mapping'!AE61-601),IF(AND('(橫掃)RX Mapping'!AE61&gt;=841,'(橫掃)RX Mapping'!AE61&lt;=960), (-1)*('(橫掃)RX Mapping'!AE61-960)+120,9999))))))))</f>
        <v>9999</v>
      </c>
      <c r="AF61">
        <f>IF(AND('(橫掃)RX Mapping'!AF61&gt;=1,'(橫掃)RX Mapping'!AF61&lt;=120), ('(橫掃)RX Mapping'!AF61-1),IF(AND('(橫掃)RX Mapping'!AF61&gt;=121,'(橫掃)RX Mapping'!AF61&lt;=240), (-1)*('(橫掃)RX Mapping'!AF61-240),IF(AND('(橫掃)RX Mapping'!AF61&gt;=241,'(橫掃)RX Mapping'!AF61&lt;=360), ('(橫掃)RX Mapping'!AF61-241),IF(AND('(橫掃)RX Mapping'!AF61&gt;=361,'(橫掃)RX Mapping'!AF61&lt;=480), (-1)*('(橫掃)RX Mapping'!AF61-480),IF(AND('(橫掃)RX Mapping'!AF61&gt;=481,'(橫掃)RX Mapping'!AF61&lt;=600), ('(橫掃)RX Mapping'!AF61-361),IF(AND('(橫掃)RX Mapping'!AF61&gt;=601,'(橫掃)RX Mapping'!AF61&lt;=720), (-1)*('(橫掃)RX Mapping'!AF61-720)+120,IF(AND('(橫掃)RX Mapping'!AF61&gt;=721,'(橫掃)RX Mapping'!AF61&lt;=840), ('(橫掃)RX Mapping'!AF61-601),IF(AND('(橫掃)RX Mapping'!AF61&gt;=841,'(橫掃)RX Mapping'!AF61&lt;=960), (-1)*('(橫掃)RX Mapping'!AF61-960)+120,9999))))))))</f>
        <v>9999</v>
      </c>
      <c r="AG61">
        <f>IF(AND('(橫掃)RX Mapping'!AG61&gt;=1,'(橫掃)RX Mapping'!AG61&lt;=120), ('(橫掃)RX Mapping'!AG61-1),IF(AND('(橫掃)RX Mapping'!AG61&gt;=121,'(橫掃)RX Mapping'!AG61&lt;=240), (-1)*('(橫掃)RX Mapping'!AG61-240),IF(AND('(橫掃)RX Mapping'!AG61&gt;=241,'(橫掃)RX Mapping'!AG61&lt;=360), ('(橫掃)RX Mapping'!AG61-241),IF(AND('(橫掃)RX Mapping'!AG61&gt;=361,'(橫掃)RX Mapping'!AG61&lt;=480), (-1)*('(橫掃)RX Mapping'!AG61-480),IF(AND('(橫掃)RX Mapping'!AG61&gt;=481,'(橫掃)RX Mapping'!AG61&lt;=600), ('(橫掃)RX Mapping'!AG61-361),IF(AND('(橫掃)RX Mapping'!AG61&gt;=601,'(橫掃)RX Mapping'!AG61&lt;=720), (-1)*('(橫掃)RX Mapping'!AG61-720)+120,IF(AND('(橫掃)RX Mapping'!AG61&gt;=721,'(橫掃)RX Mapping'!AG61&lt;=840), ('(橫掃)RX Mapping'!AG61-601),IF(AND('(橫掃)RX Mapping'!AG61&gt;=841,'(橫掃)RX Mapping'!AG61&lt;=960), (-1)*('(橫掃)RX Mapping'!AG61-960)+120,9999))))))))</f>
        <v>9999</v>
      </c>
      <c r="AH61">
        <f>IF(AND('(橫掃)RX Mapping'!AH61&gt;=1,'(橫掃)RX Mapping'!AH61&lt;=120), ('(橫掃)RX Mapping'!AH61-1),IF(AND('(橫掃)RX Mapping'!AH61&gt;=121,'(橫掃)RX Mapping'!AH61&lt;=240), (-1)*('(橫掃)RX Mapping'!AH61-240),IF(AND('(橫掃)RX Mapping'!AH61&gt;=241,'(橫掃)RX Mapping'!AH61&lt;=360), ('(橫掃)RX Mapping'!AH61-241),IF(AND('(橫掃)RX Mapping'!AH61&gt;=361,'(橫掃)RX Mapping'!AH61&lt;=480), (-1)*('(橫掃)RX Mapping'!AH61-480),IF(AND('(橫掃)RX Mapping'!AH61&gt;=481,'(橫掃)RX Mapping'!AH61&lt;=600), ('(橫掃)RX Mapping'!AH61-361),IF(AND('(橫掃)RX Mapping'!AH61&gt;=601,'(橫掃)RX Mapping'!AH61&lt;=720), (-1)*('(橫掃)RX Mapping'!AH61-720)+120,IF(AND('(橫掃)RX Mapping'!AH61&gt;=721,'(橫掃)RX Mapping'!AH61&lt;=840), ('(橫掃)RX Mapping'!AH61-601),IF(AND('(橫掃)RX Mapping'!AH61&gt;=841,'(橫掃)RX Mapping'!AH61&lt;=960), (-1)*('(橫掃)RX Mapping'!AH61-960)+120,9999))))))))</f>
        <v>9999</v>
      </c>
      <c r="AI61">
        <f>IF(AND('(橫掃)RX Mapping'!AI61&gt;=1,'(橫掃)RX Mapping'!AI61&lt;=120), ('(橫掃)RX Mapping'!AI61-1),IF(AND('(橫掃)RX Mapping'!AI61&gt;=121,'(橫掃)RX Mapping'!AI61&lt;=240), (-1)*('(橫掃)RX Mapping'!AI61-240),IF(AND('(橫掃)RX Mapping'!AI61&gt;=241,'(橫掃)RX Mapping'!AI61&lt;=360), ('(橫掃)RX Mapping'!AI61-241),IF(AND('(橫掃)RX Mapping'!AI61&gt;=361,'(橫掃)RX Mapping'!AI61&lt;=480), (-1)*('(橫掃)RX Mapping'!AI61-480),IF(AND('(橫掃)RX Mapping'!AI61&gt;=481,'(橫掃)RX Mapping'!AI61&lt;=600), ('(橫掃)RX Mapping'!AI61-361),IF(AND('(橫掃)RX Mapping'!AI61&gt;=601,'(橫掃)RX Mapping'!AI61&lt;=720), (-1)*('(橫掃)RX Mapping'!AI61-720)+120,IF(AND('(橫掃)RX Mapping'!AI61&gt;=721,'(橫掃)RX Mapping'!AI61&lt;=840), ('(橫掃)RX Mapping'!AI61-601),IF(AND('(橫掃)RX Mapping'!AI61&gt;=841,'(橫掃)RX Mapping'!AI61&lt;=960), (-1)*('(橫掃)RX Mapping'!AI61-960)+120,9999))))))))</f>
        <v>9999</v>
      </c>
      <c r="AJ61">
        <f>IF(AND('(橫掃)RX Mapping'!AJ61&gt;=1,'(橫掃)RX Mapping'!AJ61&lt;=120), ('(橫掃)RX Mapping'!AJ61-1),IF(AND('(橫掃)RX Mapping'!AJ61&gt;=121,'(橫掃)RX Mapping'!AJ61&lt;=240), (-1)*('(橫掃)RX Mapping'!AJ61-240),IF(AND('(橫掃)RX Mapping'!AJ61&gt;=241,'(橫掃)RX Mapping'!AJ61&lt;=360), ('(橫掃)RX Mapping'!AJ61-241),IF(AND('(橫掃)RX Mapping'!AJ61&gt;=361,'(橫掃)RX Mapping'!AJ61&lt;=480), (-1)*('(橫掃)RX Mapping'!AJ61-480),IF(AND('(橫掃)RX Mapping'!AJ61&gt;=481,'(橫掃)RX Mapping'!AJ61&lt;=600), ('(橫掃)RX Mapping'!AJ61-361),IF(AND('(橫掃)RX Mapping'!AJ61&gt;=601,'(橫掃)RX Mapping'!AJ61&lt;=720), (-1)*('(橫掃)RX Mapping'!AJ61-720)+120,IF(AND('(橫掃)RX Mapping'!AJ61&gt;=721,'(橫掃)RX Mapping'!AJ61&lt;=840), ('(橫掃)RX Mapping'!AJ61-601),IF(AND('(橫掃)RX Mapping'!AJ61&gt;=841,'(橫掃)RX Mapping'!AJ61&lt;=960), (-1)*('(橫掃)RX Mapping'!AJ61-960)+120,9999))))))))</f>
        <v>9999</v>
      </c>
      <c r="AK61">
        <f>IF(AND('(橫掃)RX Mapping'!AK61&gt;=1,'(橫掃)RX Mapping'!AK61&lt;=120), ('(橫掃)RX Mapping'!AK61-1),IF(AND('(橫掃)RX Mapping'!AK61&gt;=121,'(橫掃)RX Mapping'!AK61&lt;=240), (-1)*('(橫掃)RX Mapping'!AK61-240),IF(AND('(橫掃)RX Mapping'!AK61&gt;=241,'(橫掃)RX Mapping'!AK61&lt;=360), ('(橫掃)RX Mapping'!AK61-241),IF(AND('(橫掃)RX Mapping'!AK61&gt;=361,'(橫掃)RX Mapping'!AK61&lt;=480), (-1)*('(橫掃)RX Mapping'!AK61-480),IF(AND('(橫掃)RX Mapping'!AK61&gt;=481,'(橫掃)RX Mapping'!AK61&lt;=600), ('(橫掃)RX Mapping'!AK61-361),IF(AND('(橫掃)RX Mapping'!AK61&gt;=601,'(橫掃)RX Mapping'!AK61&lt;=720), (-1)*('(橫掃)RX Mapping'!AK61-720)+120,IF(AND('(橫掃)RX Mapping'!AK61&gt;=721,'(橫掃)RX Mapping'!AK61&lt;=840), ('(橫掃)RX Mapping'!AK61-601),IF(AND('(橫掃)RX Mapping'!AK61&gt;=841,'(橫掃)RX Mapping'!AK61&lt;=960), (-1)*('(橫掃)RX Mapping'!AK61-960)+120,9999))))))))</f>
        <v>9999</v>
      </c>
      <c r="AL61">
        <f>IF(AND('(橫掃)RX Mapping'!AL61&gt;=1,'(橫掃)RX Mapping'!AL61&lt;=120), ('(橫掃)RX Mapping'!AL61-1),IF(AND('(橫掃)RX Mapping'!AL61&gt;=121,'(橫掃)RX Mapping'!AL61&lt;=240), (-1)*('(橫掃)RX Mapping'!AL61-240),IF(AND('(橫掃)RX Mapping'!AL61&gt;=241,'(橫掃)RX Mapping'!AL61&lt;=360), ('(橫掃)RX Mapping'!AL61-241),IF(AND('(橫掃)RX Mapping'!AL61&gt;=361,'(橫掃)RX Mapping'!AL61&lt;=480), (-1)*('(橫掃)RX Mapping'!AL61-480),IF(AND('(橫掃)RX Mapping'!AL61&gt;=481,'(橫掃)RX Mapping'!AL61&lt;=600), ('(橫掃)RX Mapping'!AL61-361),IF(AND('(橫掃)RX Mapping'!AL61&gt;=601,'(橫掃)RX Mapping'!AL61&lt;=720), (-1)*('(橫掃)RX Mapping'!AL61-720)+120,IF(AND('(橫掃)RX Mapping'!AL61&gt;=721,'(橫掃)RX Mapping'!AL61&lt;=840), ('(橫掃)RX Mapping'!AL61-601),IF(AND('(橫掃)RX Mapping'!AL61&gt;=841,'(橫掃)RX Mapping'!AL61&lt;=960), (-1)*('(橫掃)RX Mapping'!AL61-960)+120,9999))))))))</f>
        <v>9999</v>
      </c>
      <c r="AM61">
        <f>IF(AND('(橫掃)RX Mapping'!AM61&gt;=1,'(橫掃)RX Mapping'!AM61&lt;=120), ('(橫掃)RX Mapping'!AM61-1),IF(AND('(橫掃)RX Mapping'!AM61&gt;=121,'(橫掃)RX Mapping'!AM61&lt;=240), (-1)*('(橫掃)RX Mapping'!AM61-240),IF(AND('(橫掃)RX Mapping'!AM61&gt;=241,'(橫掃)RX Mapping'!AM61&lt;=360), ('(橫掃)RX Mapping'!AM61-241),IF(AND('(橫掃)RX Mapping'!AM61&gt;=361,'(橫掃)RX Mapping'!AM61&lt;=480), (-1)*('(橫掃)RX Mapping'!AM61-480),IF(AND('(橫掃)RX Mapping'!AM61&gt;=481,'(橫掃)RX Mapping'!AM61&lt;=600), ('(橫掃)RX Mapping'!AM61-361),IF(AND('(橫掃)RX Mapping'!AM61&gt;=601,'(橫掃)RX Mapping'!AM61&lt;=720), (-1)*('(橫掃)RX Mapping'!AM61-720)+120,IF(AND('(橫掃)RX Mapping'!AM61&gt;=721,'(橫掃)RX Mapping'!AM61&lt;=840), ('(橫掃)RX Mapping'!AM61-601),IF(AND('(橫掃)RX Mapping'!AM61&gt;=841,'(橫掃)RX Mapping'!AM61&lt;=960), (-1)*('(橫掃)RX Mapping'!AM61-960)+120,9999))))))))</f>
        <v>9999</v>
      </c>
      <c r="AN61">
        <f>IF(AND('(橫掃)RX Mapping'!AN61&gt;=1,'(橫掃)RX Mapping'!AN61&lt;=120), ('(橫掃)RX Mapping'!AN61-1),IF(AND('(橫掃)RX Mapping'!AN61&gt;=121,'(橫掃)RX Mapping'!AN61&lt;=240), (-1)*('(橫掃)RX Mapping'!AN61-240),IF(AND('(橫掃)RX Mapping'!AN61&gt;=241,'(橫掃)RX Mapping'!AN61&lt;=360), ('(橫掃)RX Mapping'!AN61-241),IF(AND('(橫掃)RX Mapping'!AN61&gt;=361,'(橫掃)RX Mapping'!AN61&lt;=480), (-1)*('(橫掃)RX Mapping'!AN61-480),IF(AND('(橫掃)RX Mapping'!AN61&gt;=481,'(橫掃)RX Mapping'!AN61&lt;=600), ('(橫掃)RX Mapping'!AN61-361),IF(AND('(橫掃)RX Mapping'!AN61&gt;=601,'(橫掃)RX Mapping'!AN61&lt;=720), (-1)*('(橫掃)RX Mapping'!AN61-720)+120,IF(AND('(橫掃)RX Mapping'!AN61&gt;=721,'(橫掃)RX Mapping'!AN61&lt;=840), ('(橫掃)RX Mapping'!AN61-601),IF(AND('(橫掃)RX Mapping'!AN61&gt;=841,'(橫掃)RX Mapping'!AN61&lt;=960), (-1)*('(橫掃)RX Mapping'!AN61-960)+120,9999))))))))</f>
        <v>9999</v>
      </c>
      <c r="AO61">
        <f>IF(AND('(橫掃)RX Mapping'!AO61&gt;=1,'(橫掃)RX Mapping'!AO61&lt;=120), ('(橫掃)RX Mapping'!AO61-1),IF(AND('(橫掃)RX Mapping'!AO61&gt;=121,'(橫掃)RX Mapping'!AO61&lt;=240), (-1)*('(橫掃)RX Mapping'!AO61-240),IF(AND('(橫掃)RX Mapping'!AO61&gt;=241,'(橫掃)RX Mapping'!AO61&lt;=360), ('(橫掃)RX Mapping'!AO61-241),IF(AND('(橫掃)RX Mapping'!AO61&gt;=361,'(橫掃)RX Mapping'!AO61&lt;=480), (-1)*('(橫掃)RX Mapping'!AO61-480),IF(AND('(橫掃)RX Mapping'!AO61&gt;=481,'(橫掃)RX Mapping'!AO61&lt;=600), ('(橫掃)RX Mapping'!AO61-361),IF(AND('(橫掃)RX Mapping'!AO61&gt;=601,'(橫掃)RX Mapping'!AO61&lt;=720), (-1)*('(橫掃)RX Mapping'!AO61-720)+120,IF(AND('(橫掃)RX Mapping'!AO61&gt;=721,'(橫掃)RX Mapping'!AO61&lt;=840), ('(橫掃)RX Mapping'!AO61-601),IF(AND('(橫掃)RX Mapping'!AO61&gt;=841,'(橫掃)RX Mapping'!AO61&lt;=960), (-1)*('(橫掃)RX Mapping'!AO61-960)+120,9999))))))))</f>
        <v>9999</v>
      </c>
      <c r="AP61">
        <f>IF(AND('(橫掃)RX Mapping'!AP61&gt;=1,'(橫掃)RX Mapping'!AP61&lt;=120), ('(橫掃)RX Mapping'!AP61-1),IF(AND('(橫掃)RX Mapping'!AP61&gt;=121,'(橫掃)RX Mapping'!AP61&lt;=240), (-1)*('(橫掃)RX Mapping'!AP61-240),IF(AND('(橫掃)RX Mapping'!AP61&gt;=241,'(橫掃)RX Mapping'!AP61&lt;=360), ('(橫掃)RX Mapping'!AP61-241),IF(AND('(橫掃)RX Mapping'!AP61&gt;=361,'(橫掃)RX Mapping'!AP61&lt;=480), (-1)*('(橫掃)RX Mapping'!AP61-480),IF(AND('(橫掃)RX Mapping'!AP61&gt;=481,'(橫掃)RX Mapping'!AP61&lt;=600), ('(橫掃)RX Mapping'!AP61-361),IF(AND('(橫掃)RX Mapping'!AP61&gt;=601,'(橫掃)RX Mapping'!AP61&lt;=720), (-1)*('(橫掃)RX Mapping'!AP61-720)+120,IF(AND('(橫掃)RX Mapping'!AP61&gt;=721,'(橫掃)RX Mapping'!AP61&lt;=840), ('(橫掃)RX Mapping'!AP61-601),IF(AND('(橫掃)RX Mapping'!AP61&gt;=841,'(橫掃)RX Mapping'!AP61&lt;=960), (-1)*('(橫掃)RX Mapping'!AP61-960)+120,9999))))))))</f>
        <v>9999</v>
      </c>
      <c r="AQ61">
        <f>IF(AND('(橫掃)RX Mapping'!AQ61&gt;=1,'(橫掃)RX Mapping'!AQ61&lt;=120), ('(橫掃)RX Mapping'!AQ61-1),IF(AND('(橫掃)RX Mapping'!AQ61&gt;=121,'(橫掃)RX Mapping'!AQ61&lt;=240), (-1)*('(橫掃)RX Mapping'!AQ61-240),IF(AND('(橫掃)RX Mapping'!AQ61&gt;=241,'(橫掃)RX Mapping'!AQ61&lt;=360), ('(橫掃)RX Mapping'!AQ61-241),IF(AND('(橫掃)RX Mapping'!AQ61&gt;=361,'(橫掃)RX Mapping'!AQ61&lt;=480), (-1)*('(橫掃)RX Mapping'!AQ61-480),IF(AND('(橫掃)RX Mapping'!AQ61&gt;=481,'(橫掃)RX Mapping'!AQ61&lt;=600), ('(橫掃)RX Mapping'!AQ61-361),IF(AND('(橫掃)RX Mapping'!AQ61&gt;=601,'(橫掃)RX Mapping'!AQ61&lt;=720), (-1)*('(橫掃)RX Mapping'!AQ61-720)+120,IF(AND('(橫掃)RX Mapping'!AQ61&gt;=721,'(橫掃)RX Mapping'!AQ61&lt;=840), ('(橫掃)RX Mapping'!AQ61-601),IF(AND('(橫掃)RX Mapping'!AQ61&gt;=841,'(橫掃)RX Mapping'!AQ61&lt;=960), (-1)*('(橫掃)RX Mapping'!AQ61-960)+120,9999))))))))</f>
        <v>9999</v>
      </c>
      <c r="AR61">
        <f>IF(AND('(橫掃)RX Mapping'!AR61&gt;=1,'(橫掃)RX Mapping'!AR61&lt;=120), ('(橫掃)RX Mapping'!AR61-1),IF(AND('(橫掃)RX Mapping'!AR61&gt;=121,'(橫掃)RX Mapping'!AR61&lt;=240), (-1)*('(橫掃)RX Mapping'!AR61-240),IF(AND('(橫掃)RX Mapping'!AR61&gt;=241,'(橫掃)RX Mapping'!AR61&lt;=360), ('(橫掃)RX Mapping'!AR61-241),IF(AND('(橫掃)RX Mapping'!AR61&gt;=361,'(橫掃)RX Mapping'!AR61&lt;=480), (-1)*('(橫掃)RX Mapping'!AR61-480),IF(AND('(橫掃)RX Mapping'!AR61&gt;=481,'(橫掃)RX Mapping'!AR61&lt;=600), ('(橫掃)RX Mapping'!AR61-361),IF(AND('(橫掃)RX Mapping'!AR61&gt;=601,'(橫掃)RX Mapping'!AR61&lt;=720), (-1)*('(橫掃)RX Mapping'!AR61-720)+120,IF(AND('(橫掃)RX Mapping'!AR61&gt;=721,'(橫掃)RX Mapping'!AR61&lt;=840), ('(橫掃)RX Mapping'!AR61-601),IF(AND('(橫掃)RX Mapping'!AR61&gt;=841,'(橫掃)RX Mapping'!AR61&lt;=960), (-1)*('(橫掃)RX Mapping'!AR61-960)+120,9999))))))))</f>
        <v>9999</v>
      </c>
      <c r="AS61">
        <f>IF(AND('(橫掃)RX Mapping'!AS61&gt;=1,'(橫掃)RX Mapping'!AS61&lt;=120), ('(橫掃)RX Mapping'!AS61-1),IF(AND('(橫掃)RX Mapping'!AS61&gt;=121,'(橫掃)RX Mapping'!AS61&lt;=240), (-1)*('(橫掃)RX Mapping'!AS61-240),IF(AND('(橫掃)RX Mapping'!AS61&gt;=241,'(橫掃)RX Mapping'!AS61&lt;=360), ('(橫掃)RX Mapping'!AS61-241),IF(AND('(橫掃)RX Mapping'!AS61&gt;=361,'(橫掃)RX Mapping'!AS61&lt;=480), (-1)*('(橫掃)RX Mapping'!AS61-480),IF(AND('(橫掃)RX Mapping'!AS61&gt;=481,'(橫掃)RX Mapping'!AS61&lt;=600), ('(橫掃)RX Mapping'!AS61-361),IF(AND('(橫掃)RX Mapping'!AS61&gt;=601,'(橫掃)RX Mapping'!AS61&lt;=720), (-1)*('(橫掃)RX Mapping'!AS61-720)+120,IF(AND('(橫掃)RX Mapping'!AS61&gt;=721,'(橫掃)RX Mapping'!AS61&lt;=840), ('(橫掃)RX Mapping'!AS61-601),IF(AND('(橫掃)RX Mapping'!AS61&gt;=841,'(橫掃)RX Mapping'!AS61&lt;=960), (-1)*('(橫掃)RX Mapping'!AS61-960)+120,9999))))))))</f>
        <v>9999</v>
      </c>
      <c r="AT61">
        <f>IF(AND('(橫掃)RX Mapping'!AT61&gt;=1,'(橫掃)RX Mapping'!AT61&lt;=120), ('(橫掃)RX Mapping'!AT61-1),IF(AND('(橫掃)RX Mapping'!AT61&gt;=121,'(橫掃)RX Mapping'!AT61&lt;=240), (-1)*('(橫掃)RX Mapping'!AT61-240),IF(AND('(橫掃)RX Mapping'!AT61&gt;=241,'(橫掃)RX Mapping'!AT61&lt;=360), ('(橫掃)RX Mapping'!AT61-241),IF(AND('(橫掃)RX Mapping'!AT61&gt;=361,'(橫掃)RX Mapping'!AT61&lt;=480), (-1)*('(橫掃)RX Mapping'!AT61-480),IF(AND('(橫掃)RX Mapping'!AT61&gt;=481,'(橫掃)RX Mapping'!AT61&lt;=600), ('(橫掃)RX Mapping'!AT61-361),IF(AND('(橫掃)RX Mapping'!AT61&gt;=601,'(橫掃)RX Mapping'!AT61&lt;=720), (-1)*('(橫掃)RX Mapping'!AT61-720)+120,IF(AND('(橫掃)RX Mapping'!AT61&gt;=721,'(橫掃)RX Mapping'!AT61&lt;=840), ('(橫掃)RX Mapping'!AT61-601),IF(AND('(橫掃)RX Mapping'!AT61&gt;=841,'(橫掃)RX Mapping'!AT61&lt;=960), (-1)*('(橫掃)RX Mapping'!AT61-960)+120,9999))))))))</f>
        <v>9999</v>
      </c>
      <c r="AU61">
        <f>IF(AND('(橫掃)RX Mapping'!AU61&gt;=1,'(橫掃)RX Mapping'!AU61&lt;=120), ('(橫掃)RX Mapping'!AU61-1),IF(AND('(橫掃)RX Mapping'!AU61&gt;=121,'(橫掃)RX Mapping'!AU61&lt;=240), (-1)*('(橫掃)RX Mapping'!AU61-240),IF(AND('(橫掃)RX Mapping'!AU61&gt;=241,'(橫掃)RX Mapping'!AU61&lt;=360), ('(橫掃)RX Mapping'!AU61-241),IF(AND('(橫掃)RX Mapping'!AU61&gt;=361,'(橫掃)RX Mapping'!AU61&lt;=480), (-1)*('(橫掃)RX Mapping'!AU61-480),IF(AND('(橫掃)RX Mapping'!AU61&gt;=481,'(橫掃)RX Mapping'!AU61&lt;=600), ('(橫掃)RX Mapping'!AU61-361),IF(AND('(橫掃)RX Mapping'!AU61&gt;=601,'(橫掃)RX Mapping'!AU61&lt;=720), (-1)*('(橫掃)RX Mapping'!AU61-720)+120,IF(AND('(橫掃)RX Mapping'!AU61&gt;=721,'(橫掃)RX Mapping'!AU61&lt;=840), ('(橫掃)RX Mapping'!AU61-601),IF(AND('(橫掃)RX Mapping'!AU61&gt;=841,'(橫掃)RX Mapping'!AU61&lt;=960), (-1)*('(橫掃)RX Mapping'!AU61-960)+120,9999))))))))</f>
        <v>9999</v>
      </c>
      <c r="AV61">
        <f>IF(AND('(橫掃)RX Mapping'!AV61&gt;=1,'(橫掃)RX Mapping'!AV61&lt;=120), ('(橫掃)RX Mapping'!AV61-1),IF(AND('(橫掃)RX Mapping'!AV61&gt;=121,'(橫掃)RX Mapping'!AV61&lt;=240), (-1)*('(橫掃)RX Mapping'!AV61-240),IF(AND('(橫掃)RX Mapping'!AV61&gt;=241,'(橫掃)RX Mapping'!AV61&lt;=360), ('(橫掃)RX Mapping'!AV61-241),IF(AND('(橫掃)RX Mapping'!AV61&gt;=361,'(橫掃)RX Mapping'!AV61&lt;=480), (-1)*('(橫掃)RX Mapping'!AV61-480),IF(AND('(橫掃)RX Mapping'!AV61&gt;=481,'(橫掃)RX Mapping'!AV61&lt;=600), ('(橫掃)RX Mapping'!AV61-361),IF(AND('(橫掃)RX Mapping'!AV61&gt;=601,'(橫掃)RX Mapping'!AV61&lt;=720), (-1)*('(橫掃)RX Mapping'!AV61-720)+120,IF(AND('(橫掃)RX Mapping'!AV61&gt;=721,'(橫掃)RX Mapping'!AV61&lt;=840), ('(橫掃)RX Mapping'!AV61-601),IF(AND('(橫掃)RX Mapping'!AV61&gt;=841,'(橫掃)RX Mapping'!AV61&lt;=960), (-1)*('(橫掃)RX Mapping'!AV61-960)+120,9999))))))))</f>
        <v>9999</v>
      </c>
      <c r="AW61">
        <f>IF(AND('(橫掃)RX Mapping'!AW61&gt;=1,'(橫掃)RX Mapping'!AW61&lt;=120), ('(橫掃)RX Mapping'!AW61-1),IF(AND('(橫掃)RX Mapping'!AW61&gt;=121,'(橫掃)RX Mapping'!AW61&lt;=240), (-1)*('(橫掃)RX Mapping'!AW61-240),IF(AND('(橫掃)RX Mapping'!AW61&gt;=241,'(橫掃)RX Mapping'!AW61&lt;=360), ('(橫掃)RX Mapping'!AW61-241),IF(AND('(橫掃)RX Mapping'!AW61&gt;=361,'(橫掃)RX Mapping'!AW61&lt;=480), (-1)*('(橫掃)RX Mapping'!AW61-480),IF(AND('(橫掃)RX Mapping'!AW61&gt;=481,'(橫掃)RX Mapping'!AW61&lt;=600), ('(橫掃)RX Mapping'!AW61-361),IF(AND('(橫掃)RX Mapping'!AW61&gt;=601,'(橫掃)RX Mapping'!AW61&lt;=720), (-1)*('(橫掃)RX Mapping'!AW61-720)+120,IF(AND('(橫掃)RX Mapping'!AW61&gt;=721,'(橫掃)RX Mapping'!AW61&lt;=840), ('(橫掃)RX Mapping'!AW61-601),IF(AND('(橫掃)RX Mapping'!AW61&gt;=841,'(橫掃)RX Mapping'!AW61&lt;=960), (-1)*('(橫掃)RX Mapping'!AW61-960)+120,9999))))))))</f>
        <v>9999</v>
      </c>
      <c r="AX61">
        <f>IF(AND('(橫掃)RX Mapping'!AX61&gt;=1,'(橫掃)RX Mapping'!AX61&lt;=120), ('(橫掃)RX Mapping'!AX61-1),IF(AND('(橫掃)RX Mapping'!AX61&gt;=121,'(橫掃)RX Mapping'!AX61&lt;=240), (-1)*('(橫掃)RX Mapping'!AX61-240),IF(AND('(橫掃)RX Mapping'!AX61&gt;=241,'(橫掃)RX Mapping'!AX61&lt;=360), ('(橫掃)RX Mapping'!AX61-241),IF(AND('(橫掃)RX Mapping'!AX61&gt;=361,'(橫掃)RX Mapping'!AX61&lt;=480), (-1)*('(橫掃)RX Mapping'!AX61-480),IF(AND('(橫掃)RX Mapping'!AX61&gt;=481,'(橫掃)RX Mapping'!AX61&lt;=600), ('(橫掃)RX Mapping'!AX61-361),IF(AND('(橫掃)RX Mapping'!AX61&gt;=601,'(橫掃)RX Mapping'!AX61&lt;=720), (-1)*('(橫掃)RX Mapping'!AX61-720)+120,IF(AND('(橫掃)RX Mapping'!AX61&gt;=721,'(橫掃)RX Mapping'!AX61&lt;=840), ('(橫掃)RX Mapping'!AX61-601),IF(AND('(橫掃)RX Mapping'!AX61&gt;=841,'(橫掃)RX Mapping'!AX61&lt;=960), (-1)*('(橫掃)RX Mapping'!AX61-960)+120,9999))))))))</f>
        <v>9999</v>
      </c>
      <c r="AY61">
        <f>IF(AND('(橫掃)RX Mapping'!AY61&gt;=1,'(橫掃)RX Mapping'!AY61&lt;=120), ('(橫掃)RX Mapping'!AY61-1),IF(AND('(橫掃)RX Mapping'!AY61&gt;=121,'(橫掃)RX Mapping'!AY61&lt;=240), (-1)*('(橫掃)RX Mapping'!AY61-240),IF(AND('(橫掃)RX Mapping'!AY61&gt;=241,'(橫掃)RX Mapping'!AY61&lt;=360), ('(橫掃)RX Mapping'!AY61-241),IF(AND('(橫掃)RX Mapping'!AY61&gt;=361,'(橫掃)RX Mapping'!AY61&lt;=480), (-1)*('(橫掃)RX Mapping'!AY61-480),IF(AND('(橫掃)RX Mapping'!AY61&gt;=481,'(橫掃)RX Mapping'!AY61&lt;=600), ('(橫掃)RX Mapping'!AY61-361),IF(AND('(橫掃)RX Mapping'!AY61&gt;=601,'(橫掃)RX Mapping'!AY61&lt;=720), (-1)*('(橫掃)RX Mapping'!AY61-720)+120,IF(AND('(橫掃)RX Mapping'!AY61&gt;=721,'(橫掃)RX Mapping'!AY61&lt;=840), ('(橫掃)RX Mapping'!AY61-601),IF(AND('(橫掃)RX Mapping'!AY61&gt;=841,'(橫掃)RX Mapping'!AY61&lt;=960), (-1)*('(橫掃)RX Mapping'!AY61-960)+120,9999))))))))</f>
        <v>9999</v>
      </c>
      <c r="AZ61">
        <f>IF(AND('(橫掃)RX Mapping'!AZ61&gt;=1,'(橫掃)RX Mapping'!AZ61&lt;=120), ('(橫掃)RX Mapping'!AZ61-1),IF(AND('(橫掃)RX Mapping'!AZ61&gt;=121,'(橫掃)RX Mapping'!AZ61&lt;=240), (-1)*('(橫掃)RX Mapping'!AZ61-240),IF(AND('(橫掃)RX Mapping'!AZ61&gt;=241,'(橫掃)RX Mapping'!AZ61&lt;=360), ('(橫掃)RX Mapping'!AZ61-241),IF(AND('(橫掃)RX Mapping'!AZ61&gt;=361,'(橫掃)RX Mapping'!AZ61&lt;=480), (-1)*('(橫掃)RX Mapping'!AZ61-480),IF(AND('(橫掃)RX Mapping'!AZ61&gt;=481,'(橫掃)RX Mapping'!AZ61&lt;=600), ('(橫掃)RX Mapping'!AZ61-361),IF(AND('(橫掃)RX Mapping'!AZ61&gt;=601,'(橫掃)RX Mapping'!AZ61&lt;=720), (-1)*('(橫掃)RX Mapping'!AZ61-720)+120,IF(AND('(橫掃)RX Mapping'!AZ61&gt;=721,'(橫掃)RX Mapping'!AZ61&lt;=840), ('(橫掃)RX Mapping'!AZ61-601),IF(AND('(橫掃)RX Mapping'!AZ61&gt;=841,'(橫掃)RX Mapping'!AZ61&lt;=960), (-1)*('(橫掃)RX Mapping'!AZ61-960)+120,9999))))))))</f>
        <v>9999</v>
      </c>
      <c r="BA61">
        <f>IF(AND('(橫掃)RX Mapping'!BA61&gt;=1,'(橫掃)RX Mapping'!BA61&lt;=120), ('(橫掃)RX Mapping'!BA61-1),IF(AND('(橫掃)RX Mapping'!BA61&gt;=121,'(橫掃)RX Mapping'!BA61&lt;=240), (-1)*('(橫掃)RX Mapping'!BA61-240),IF(AND('(橫掃)RX Mapping'!BA61&gt;=241,'(橫掃)RX Mapping'!BA61&lt;=360), ('(橫掃)RX Mapping'!BA61-241),IF(AND('(橫掃)RX Mapping'!BA61&gt;=361,'(橫掃)RX Mapping'!BA61&lt;=480), (-1)*('(橫掃)RX Mapping'!BA61-480),IF(AND('(橫掃)RX Mapping'!BA61&gt;=481,'(橫掃)RX Mapping'!BA61&lt;=600), ('(橫掃)RX Mapping'!BA61-361),IF(AND('(橫掃)RX Mapping'!BA61&gt;=601,'(橫掃)RX Mapping'!BA61&lt;=720), (-1)*('(橫掃)RX Mapping'!BA61-720)+120,IF(AND('(橫掃)RX Mapping'!BA61&gt;=721,'(橫掃)RX Mapping'!BA61&lt;=840), ('(橫掃)RX Mapping'!BA61-601),IF(AND('(橫掃)RX Mapping'!BA61&gt;=841,'(橫掃)RX Mapping'!BA61&lt;=960), (-1)*('(橫掃)RX Mapping'!BA61-960)+120,9999))))))))</f>
        <v>9999</v>
      </c>
      <c r="BB61">
        <f>IF(AND('(橫掃)RX Mapping'!BB61&gt;=1,'(橫掃)RX Mapping'!BB61&lt;=120), ('(橫掃)RX Mapping'!BB61-1),IF(AND('(橫掃)RX Mapping'!BB61&gt;=121,'(橫掃)RX Mapping'!BB61&lt;=240), (-1)*('(橫掃)RX Mapping'!BB61-240),IF(AND('(橫掃)RX Mapping'!BB61&gt;=241,'(橫掃)RX Mapping'!BB61&lt;=360), ('(橫掃)RX Mapping'!BB61-241),IF(AND('(橫掃)RX Mapping'!BB61&gt;=361,'(橫掃)RX Mapping'!BB61&lt;=480), (-1)*('(橫掃)RX Mapping'!BB61-480),IF(AND('(橫掃)RX Mapping'!BB61&gt;=481,'(橫掃)RX Mapping'!BB61&lt;=600), ('(橫掃)RX Mapping'!BB61-361),IF(AND('(橫掃)RX Mapping'!BB61&gt;=601,'(橫掃)RX Mapping'!BB61&lt;=720), (-1)*('(橫掃)RX Mapping'!BB61-720)+120,IF(AND('(橫掃)RX Mapping'!BB61&gt;=721,'(橫掃)RX Mapping'!BB61&lt;=840), ('(橫掃)RX Mapping'!BB61-601),IF(AND('(橫掃)RX Mapping'!BB61&gt;=841,'(橫掃)RX Mapping'!BB61&lt;=960), (-1)*('(橫掃)RX Mapping'!BB61-960)+120,9999))))))))</f>
        <v>9999</v>
      </c>
      <c r="BC61">
        <f>IF(AND('(橫掃)RX Mapping'!BC61&gt;=1,'(橫掃)RX Mapping'!BC61&lt;=120), ('(橫掃)RX Mapping'!BC61-1),IF(AND('(橫掃)RX Mapping'!BC61&gt;=121,'(橫掃)RX Mapping'!BC61&lt;=240), (-1)*('(橫掃)RX Mapping'!BC61-240),IF(AND('(橫掃)RX Mapping'!BC61&gt;=241,'(橫掃)RX Mapping'!BC61&lt;=360), ('(橫掃)RX Mapping'!BC61-241),IF(AND('(橫掃)RX Mapping'!BC61&gt;=361,'(橫掃)RX Mapping'!BC61&lt;=480), (-1)*('(橫掃)RX Mapping'!BC61-480),IF(AND('(橫掃)RX Mapping'!BC61&gt;=481,'(橫掃)RX Mapping'!BC61&lt;=600), ('(橫掃)RX Mapping'!BC61-361),IF(AND('(橫掃)RX Mapping'!BC61&gt;=601,'(橫掃)RX Mapping'!BC61&lt;=720), (-1)*('(橫掃)RX Mapping'!BC61-720)+120,IF(AND('(橫掃)RX Mapping'!BC61&gt;=721,'(橫掃)RX Mapping'!BC61&lt;=840), ('(橫掃)RX Mapping'!BC61-601),IF(AND('(橫掃)RX Mapping'!BC61&gt;=841,'(橫掃)RX Mapping'!BC61&lt;=960), (-1)*('(橫掃)RX Mapping'!BC61-960)+120,9999))))))))</f>
        <v>9999</v>
      </c>
      <c r="BD61">
        <f>IF(AND('(橫掃)RX Mapping'!BD61&gt;=1,'(橫掃)RX Mapping'!BD61&lt;=120), ('(橫掃)RX Mapping'!BD61-1),IF(AND('(橫掃)RX Mapping'!BD61&gt;=121,'(橫掃)RX Mapping'!BD61&lt;=240), (-1)*('(橫掃)RX Mapping'!BD61-240),IF(AND('(橫掃)RX Mapping'!BD61&gt;=241,'(橫掃)RX Mapping'!BD61&lt;=360), ('(橫掃)RX Mapping'!BD61-241),IF(AND('(橫掃)RX Mapping'!BD61&gt;=361,'(橫掃)RX Mapping'!BD61&lt;=480), (-1)*('(橫掃)RX Mapping'!BD61-480),IF(AND('(橫掃)RX Mapping'!BD61&gt;=481,'(橫掃)RX Mapping'!BD61&lt;=600), ('(橫掃)RX Mapping'!BD61-361),IF(AND('(橫掃)RX Mapping'!BD61&gt;=601,'(橫掃)RX Mapping'!BD61&lt;=720), (-1)*('(橫掃)RX Mapping'!BD61-720)+120,IF(AND('(橫掃)RX Mapping'!BD61&gt;=721,'(橫掃)RX Mapping'!BD61&lt;=840), ('(橫掃)RX Mapping'!BD61-601),IF(AND('(橫掃)RX Mapping'!BD61&gt;=841,'(橫掃)RX Mapping'!BD61&lt;=960), (-1)*('(橫掃)RX Mapping'!BD61-960)+120,9999))))))))</f>
        <v>9999</v>
      </c>
      <c r="BE61">
        <f>IF(AND('(橫掃)RX Mapping'!BE61&gt;=1,'(橫掃)RX Mapping'!BE61&lt;=120), ('(橫掃)RX Mapping'!BE61-1),IF(AND('(橫掃)RX Mapping'!BE61&gt;=121,'(橫掃)RX Mapping'!BE61&lt;=240), (-1)*('(橫掃)RX Mapping'!BE61-240),IF(AND('(橫掃)RX Mapping'!BE61&gt;=241,'(橫掃)RX Mapping'!BE61&lt;=360), ('(橫掃)RX Mapping'!BE61-241),IF(AND('(橫掃)RX Mapping'!BE61&gt;=361,'(橫掃)RX Mapping'!BE61&lt;=480), (-1)*('(橫掃)RX Mapping'!BE61-480),IF(AND('(橫掃)RX Mapping'!BE61&gt;=481,'(橫掃)RX Mapping'!BE61&lt;=600), ('(橫掃)RX Mapping'!BE61-361),IF(AND('(橫掃)RX Mapping'!BE61&gt;=601,'(橫掃)RX Mapping'!BE61&lt;=720), (-1)*('(橫掃)RX Mapping'!BE61-720)+120,IF(AND('(橫掃)RX Mapping'!BE61&gt;=721,'(橫掃)RX Mapping'!BE61&lt;=840), ('(橫掃)RX Mapping'!BE61-601),IF(AND('(橫掃)RX Mapping'!BE61&gt;=841,'(橫掃)RX Mapping'!BE61&lt;=960), (-1)*('(橫掃)RX Mapping'!BE61-960)+120,9999))))))))</f>
        <v>9999</v>
      </c>
      <c r="BF61">
        <f>IF(AND('(橫掃)RX Mapping'!BF61&gt;=1,'(橫掃)RX Mapping'!BF61&lt;=120), ('(橫掃)RX Mapping'!BF61-1),IF(AND('(橫掃)RX Mapping'!BF61&gt;=121,'(橫掃)RX Mapping'!BF61&lt;=240), (-1)*('(橫掃)RX Mapping'!BF61-240),IF(AND('(橫掃)RX Mapping'!BF61&gt;=241,'(橫掃)RX Mapping'!BF61&lt;=360), ('(橫掃)RX Mapping'!BF61-241),IF(AND('(橫掃)RX Mapping'!BF61&gt;=361,'(橫掃)RX Mapping'!BF61&lt;=480), (-1)*('(橫掃)RX Mapping'!BF61-480),IF(AND('(橫掃)RX Mapping'!BF61&gt;=481,'(橫掃)RX Mapping'!BF61&lt;=600), ('(橫掃)RX Mapping'!BF61-361),IF(AND('(橫掃)RX Mapping'!BF61&gt;=601,'(橫掃)RX Mapping'!BF61&lt;=720), (-1)*('(橫掃)RX Mapping'!BF61-720)+120,IF(AND('(橫掃)RX Mapping'!BF61&gt;=721,'(橫掃)RX Mapping'!BF61&lt;=840), ('(橫掃)RX Mapping'!BF61-601),IF(AND('(橫掃)RX Mapping'!BF61&gt;=841,'(橫掃)RX Mapping'!BF61&lt;=960), (-1)*('(橫掃)RX Mapping'!BF61-960)+120,9999))))))))</f>
        <v>9999</v>
      </c>
      <c r="BG61">
        <f>IF(AND('(橫掃)RX Mapping'!BG61&gt;=1,'(橫掃)RX Mapping'!BG61&lt;=120), ('(橫掃)RX Mapping'!BG61-1),IF(AND('(橫掃)RX Mapping'!BG61&gt;=121,'(橫掃)RX Mapping'!BG61&lt;=240), (-1)*('(橫掃)RX Mapping'!BG61-240),IF(AND('(橫掃)RX Mapping'!BG61&gt;=241,'(橫掃)RX Mapping'!BG61&lt;=360), ('(橫掃)RX Mapping'!BG61-241),IF(AND('(橫掃)RX Mapping'!BG61&gt;=361,'(橫掃)RX Mapping'!BG61&lt;=480), (-1)*('(橫掃)RX Mapping'!BG61-480),IF(AND('(橫掃)RX Mapping'!BG61&gt;=481,'(橫掃)RX Mapping'!BG61&lt;=600), ('(橫掃)RX Mapping'!BG61-361),IF(AND('(橫掃)RX Mapping'!BG61&gt;=601,'(橫掃)RX Mapping'!BG61&lt;=720), (-1)*('(橫掃)RX Mapping'!BG61-720)+120,IF(AND('(橫掃)RX Mapping'!BG61&gt;=721,'(橫掃)RX Mapping'!BG61&lt;=840), ('(橫掃)RX Mapping'!BG61-601),IF(AND('(橫掃)RX Mapping'!BG61&gt;=841,'(橫掃)RX Mapping'!BG61&lt;=960), (-1)*('(橫掃)RX Mapping'!BG61-960)+120,9999))))))))</f>
        <v>9999</v>
      </c>
      <c r="BH61">
        <f>IF(AND('(橫掃)RX Mapping'!BH61&gt;=1,'(橫掃)RX Mapping'!BH61&lt;=120), ('(橫掃)RX Mapping'!BH61-1),IF(AND('(橫掃)RX Mapping'!BH61&gt;=121,'(橫掃)RX Mapping'!BH61&lt;=240), (-1)*('(橫掃)RX Mapping'!BH61-240),IF(AND('(橫掃)RX Mapping'!BH61&gt;=241,'(橫掃)RX Mapping'!BH61&lt;=360), ('(橫掃)RX Mapping'!BH61-241),IF(AND('(橫掃)RX Mapping'!BH61&gt;=361,'(橫掃)RX Mapping'!BH61&lt;=480), (-1)*('(橫掃)RX Mapping'!BH61-480),IF(AND('(橫掃)RX Mapping'!BH61&gt;=481,'(橫掃)RX Mapping'!BH61&lt;=600), ('(橫掃)RX Mapping'!BH61-361),IF(AND('(橫掃)RX Mapping'!BH61&gt;=601,'(橫掃)RX Mapping'!BH61&lt;=720), (-1)*('(橫掃)RX Mapping'!BH61-720)+120,IF(AND('(橫掃)RX Mapping'!BH61&gt;=721,'(橫掃)RX Mapping'!BH61&lt;=840), ('(橫掃)RX Mapping'!BH61-601),IF(AND('(橫掃)RX Mapping'!BH61&gt;=841,'(橫掃)RX Mapping'!BH61&lt;=960), (-1)*('(橫掃)RX Mapping'!BH61-960)+120,9999))))))))</f>
        <v>9999</v>
      </c>
      <c r="BI61">
        <f>IF(AND('(橫掃)RX Mapping'!BI61&gt;=1,'(橫掃)RX Mapping'!BI61&lt;=120), ('(橫掃)RX Mapping'!BI61-1),IF(AND('(橫掃)RX Mapping'!BI61&gt;=121,'(橫掃)RX Mapping'!BI61&lt;=240), (-1)*('(橫掃)RX Mapping'!BI61-240),IF(AND('(橫掃)RX Mapping'!BI61&gt;=241,'(橫掃)RX Mapping'!BI61&lt;=360), ('(橫掃)RX Mapping'!BI61-241),IF(AND('(橫掃)RX Mapping'!BI61&gt;=361,'(橫掃)RX Mapping'!BI61&lt;=480), (-1)*('(橫掃)RX Mapping'!BI61-480),IF(AND('(橫掃)RX Mapping'!BI61&gt;=481,'(橫掃)RX Mapping'!BI61&lt;=600), ('(橫掃)RX Mapping'!BI61-361),IF(AND('(橫掃)RX Mapping'!BI61&gt;=601,'(橫掃)RX Mapping'!BI61&lt;=720), (-1)*('(橫掃)RX Mapping'!BI61-720)+120,IF(AND('(橫掃)RX Mapping'!BI61&gt;=721,'(橫掃)RX Mapping'!BI61&lt;=840), ('(橫掃)RX Mapping'!BI61-601),IF(AND('(橫掃)RX Mapping'!BI61&gt;=841,'(橫掃)RX Mapping'!BI61&lt;=960), (-1)*('(橫掃)RX Mapping'!BI61-960)+120,9999))))))))</f>
        <v>9999</v>
      </c>
    </row>
    <row r="65" spans="1:61" x14ac:dyDescent="0.25">
      <c r="B65" s="20">
        <v>1</v>
      </c>
      <c r="C65" s="20">
        <v>2</v>
      </c>
      <c r="D65" s="20">
        <v>3</v>
      </c>
      <c r="E65" s="20">
        <v>4</v>
      </c>
      <c r="F65" s="20">
        <v>5</v>
      </c>
      <c r="G65" s="20">
        <v>6</v>
      </c>
      <c r="H65" s="20">
        <v>7</v>
      </c>
      <c r="I65" s="20">
        <v>8</v>
      </c>
      <c r="J65" s="20">
        <v>9</v>
      </c>
      <c r="K65" s="20">
        <v>10</v>
      </c>
      <c r="L65" s="20">
        <v>11</v>
      </c>
      <c r="M65" s="20">
        <v>12</v>
      </c>
      <c r="N65" s="20">
        <v>13</v>
      </c>
      <c r="O65" s="20">
        <v>14</v>
      </c>
      <c r="P65" s="20">
        <v>15</v>
      </c>
      <c r="Q65" s="20">
        <v>16</v>
      </c>
      <c r="R65" s="20">
        <v>17</v>
      </c>
      <c r="S65" s="20">
        <v>18</v>
      </c>
      <c r="T65" s="20">
        <v>19</v>
      </c>
      <c r="U65" s="20">
        <v>20</v>
      </c>
      <c r="V65" s="20">
        <v>21</v>
      </c>
      <c r="W65" s="20">
        <v>22</v>
      </c>
      <c r="X65" s="20">
        <v>23</v>
      </c>
      <c r="Y65" s="20">
        <v>24</v>
      </c>
      <c r="Z65" s="20">
        <v>25</v>
      </c>
      <c r="AA65" s="20">
        <v>26</v>
      </c>
      <c r="AB65" s="20">
        <v>27</v>
      </c>
      <c r="AC65" s="20">
        <v>28</v>
      </c>
      <c r="AD65" s="20">
        <v>29</v>
      </c>
      <c r="AE65" s="20">
        <v>30</v>
      </c>
      <c r="AF65" s="20">
        <v>31</v>
      </c>
      <c r="AG65" s="20">
        <v>32</v>
      </c>
      <c r="AH65" s="20">
        <v>33</v>
      </c>
      <c r="AI65" s="20">
        <v>34</v>
      </c>
      <c r="AJ65" s="20">
        <v>35</v>
      </c>
      <c r="AK65" s="20">
        <v>36</v>
      </c>
      <c r="AL65" s="20">
        <v>37</v>
      </c>
      <c r="AM65" s="20">
        <v>38</v>
      </c>
      <c r="AN65" s="20">
        <v>39</v>
      </c>
      <c r="AO65" s="20">
        <v>40</v>
      </c>
      <c r="AP65" s="20">
        <v>41</v>
      </c>
      <c r="AQ65" s="20">
        <v>42</v>
      </c>
      <c r="AR65" s="20">
        <v>43</v>
      </c>
      <c r="AS65" s="20">
        <v>44</v>
      </c>
      <c r="AT65" s="20">
        <v>45</v>
      </c>
      <c r="AU65" s="20">
        <v>46</v>
      </c>
      <c r="AV65" s="20">
        <v>47</v>
      </c>
      <c r="AW65" s="20">
        <v>48</v>
      </c>
      <c r="AX65" s="20">
        <v>49</v>
      </c>
      <c r="AY65" s="20">
        <v>50</v>
      </c>
      <c r="AZ65" s="20">
        <v>51</v>
      </c>
      <c r="BA65" s="20">
        <v>52</v>
      </c>
      <c r="BB65" s="20">
        <v>53</v>
      </c>
      <c r="BC65" s="20">
        <v>54</v>
      </c>
      <c r="BD65" s="20">
        <v>55</v>
      </c>
      <c r="BE65" s="20">
        <v>56</v>
      </c>
      <c r="BF65" s="20">
        <v>57</v>
      </c>
      <c r="BG65" s="20">
        <v>58</v>
      </c>
      <c r="BH65" s="20">
        <v>59</v>
      </c>
      <c r="BI65" s="20">
        <v>60</v>
      </c>
    </row>
    <row r="66" spans="1:61" x14ac:dyDescent="0.25">
      <c r="A66" s="20">
        <v>1</v>
      </c>
      <c r="B66">
        <f ca="1">OFFSET($B$2,60-B$65,60-$A66)</f>
        <v>9999</v>
      </c>
      <c r="C66">
        <f t="shared" ref="C66:BI70" ca="1" si="0">OFFSET($B$2,60-C$65,60-$A66)</f>
        <v>9999</v>
      </c>
      <c r="D66">
        <f t="shared" ca="1" si="0"/>
        <v>9999</v>
      </c>
      <c r="E66">
        <f t="shared" ca="1" si="0"/>
        <v>9999</v>
      </c>
      <c r="F66">
        <f t="shared" ca="1" si="0"/>
        <v>9999</v>
      </c>
      <c r="G66">
        <f t="shared" ca="1" si="0"/>
        <v>9999</v>
      </c>
      <c r="H66">
        <f t="shared" ca="1" si="0"/>
        <v>9999</v>
      </c>
      <c r="I66">
        <f t="shared" ca="1" si="0"/>
        <v>9999</v>
      </c>
      <c r="J66">
        <f t="shared" ca="1" si="0"/>
        <v>9999</v>
      </c>
      <c r="K66">
        <f t="shared" ca="1" si="0"/>
        <v>9999</v>
      </c>
      <c r="L66">
        <f t="shared" ca="1" si="0"/>
        <v>9999</v>
      </c>
      <c r="M66">
        <f t="shared" ca="1" si="0"/>
        <v>9999</v>
      </c>
      <c r="N66">
        <f t="shared" ca="1" si="0"/>
        <v>9999</v>
      </c>
      <c r="O66">
        <f t="shared" ca="1" si="0"/>
        <v>9999</v>
      </c>
      <c r="P66">
        <f t="shared" ca="1" si="0"/>
        <v>9999</v>
      </c>
      <c r="Q66">
        <f t="shared" ca="1" si="0"/>
        <v>9999</v>
      </c>
      <c r="R66">
        <f t="shared" ca="1" si="0"/>
        <v>9999</v>
      </c>
      <c r="S66">
        <f t="shared" ca="1" si="0"/>
        <v>9999</v>
      </c>
      <c r="T66">
        <f t="shared" ca="1" si="0"/>
        <v>9999</v>
      </c>
      <c r="U66">
        <f t="shared" ca="1" si="0"/>
        <v>9999</v>
      </c>
      <c r="V66">
        <f t="shared" ca="1" si="0"/>
        <v>9999</v>
      </c>
      <c r="W66">
        <f t="shared" ca="1" si="0"/>
        <v>9999</v>
      </c>
      <c r="X66">
        <f t="shared" ca="1" si="0"/>
        <v>9999</v>
      </c>
      <c r="Y66">
        <f t="shared" ca="1" si="0"/>
        <v>9999</v>
      </c>
      <c r="Z66">
        <f t="shared" ca="1" si="0"/>
        <v>9999</v>
      </c>
      <c r="AA66">
        <f t="shared" ca="1" si="0"/>
        <v>9999</v>
      </c>
      <c r="AB66">
        <f t="shared" ca="1" si="0"/>
        <v>9999</v>
      </c>
      <c r="AC66">
        <f t="shared" ca="1" si="0"/>
        <v>9999</v>
      </c>
      <c r="AD66">
        <f t="shared" ca="1" si="0"/>
        <v>9999</v>
      </c>
      <c r="AE66">
        <f t="shared" ca="1" si="0"/>
        <v>9999</v>
      </c>
      <c r="AF66">
        <f t="shared" ca="1" si="0"/>
        <v>9999</v>
      </c>
      <c r="AG66">
        <f t="shared" ca="1" si="0"/>
        <v>9999</v>
      </c>
      <c r="AH66">
        <f t="shared" ca="1" si="0"/>
        <v>9999</v>
      </c>
      <c r="AI66">
        <f t="shared" ca="1" si="0"/>
        <v>9999</v>
      </c>
      <c r="AJ66">
        <f t="shared" ca="1" si="0"/>
        <v>9999</v>
      </c>
      <c r="AK66">
        <f t="shared" ca="1" si="0"/>
        <v>9999</v>
      </c>
      <c r="AL66">
        <f t="shared" ca="1" si="0"/>
        <v>9999</v>
      </c>
      <c r="AM66">
        <f t="shared" ca="1" si="0"/>
        <v>9999</v>
      </c>
      <c r="AN66">
        <f t="shared" ca="1" si="0"/>
        <v>9999</v>
      </c>
      <c r="AO66">
        <f t="shared" ca="1" si="0"/>
        <v>9999</v>
      </c>
      <c r="AP66">
        <f t="shared" ca="1" si="0"/>
        <v>9999</v>
      </c>
      <c r="AQ66">
        <f t="shared" ca="1" si="0"/>
        <v>9999</v>
      </c>
      <c r="AR66">
        <f t="shared" ca="1" si="0"/>
        <v>9999</v>
      </c>
      <c r="AS66">
        <f t="shared" ca="1" si="0"/>
        <v>9999</v>
      </c>
      <c r="AT66">
        <f t="shared" ca="1" si="0"/>
        <v>9999</v>
      </c>
      <c r="AU66">
        <f t="shared" ca="1" si="0"/>
        <v>9999</v>
      </c>
      <c r="AV66">
        <f t="shared" ca="1" si="0"/>
        <v>9999</v>
      </c>
      <c r="AW66">
        <f t="shared" ca="1" si="0"/>
        <v>9999</v>
      </c>
      <c r="AX66">
        <f t="shared" ca="1" si="0"/>
        <v>9999</v>
      </c>
      <c r="AY66">
        <f t="shared" ca="1" si="0"/>
        <v>9999</v>
      </c>
      <c r="AZ66">
        <f t="shared" ca="1" si="0"/>
        <v>9999</v>
      </c>
      <c r="BA66">
        <f t="shared" ca="1" si="0"/>
        <v>9999</v>
      </c>
      <c r="BB66">
        <f t="shared" ca="1" si="0"/>
        <v>9999</v>
      </c>
      <c r="BC66">
        <f t="shared" ca="1" si="0"/>
        <v>9999</v>
      </c>
      <c r="BD66">
        <f t="shared" ca="1" si="0"/>
        <v>9999</v>
      </c>
      <c r="BE66">
        <f t="shared" ca="1" si="0"/>
        <v>9999</v>
      </c>
      <c r="BF66">
        <f t="shared" ca="1" si="0"/>
        <v>9999</v>
      </c>
      <c r="BG66">
        <f t="shared" ca="1" si="0"/>
        <v>9999</v>
      </c>
      <c r="BH66">
        <f t="shared" ca="1" si="0"/>
        <v>9999</v>
      </c>
      <c r="BI66">
        <f t="shared" ca="1" si="0"/>
        <v>9999</v>
      </c>
    </row>
    <row r="67" spans="1:61" x14ac:dyDescent="0.25">
      <c r="A67" s="20">
        <v>2</v>
      </c>
      <c r="B67">
        <f t="shared" ref="B67:Q86" ca="1" si="1">OFFSET($B$2,60-B$65,60-$A67)</f>
        <v>9999</v>
      </c>
      <c r="C67">
        <f t="shared" ca="1" si="0"/>
        <v>9999</v>
      </c>
      <c r="D67">
        <f t="shared" ca="1" si="0"/>
        <v>9999</v>
      </c>
      <c r="E67">
        <f t="shared" ca="1" si="0"/>
        <v>9999</v>
      </c>
      <c r="F67">
        <f t="shared" ca="1" si="0"/>
        <v>9999</v>
      </c>
      <c r="G67">
        <f t="shared" ca="1" si="0"/>
        <v>9999</v>
      </c>
      <c r="H67">
        <f t="shared" ca="1" si="0"/>
        <v>9999</v>
      </c>
      <c r="I67">
        <f t="shared" ca="1" si="0"/>
        <v>9999</v>
      </c>
      <c r="J67">
        <f t="shared" ca="1" si="0"/>
        <v>9999</v>
      </c>
      <c r="K67">
        <f t="shared" ca="1" si="0"/>
        <v>9999</v>
      </c>
      <c r="L67">
        <f t="shared" ca="1" si="0"/>
        <v>9999</v>
      </c>
      <c r="M67">
        <f t="shared" ca="1" si="0"/>
        <v>9999</v>
      </c>
      <c r="N67">
        <f t="shared" ca="1" si="0"/>
        <v>9999</v>
      </c>
      <c r="O67">
        <f t="shared" ca="1" si="0"/>
        <v>9999</v>
      </c>
      <c r="P67">
        <f t="shared" ca="1" si="0"/>
        <v>9999</v>
      </c>
      <c r="Q67">
        <f t="shared" ca="1" si="0"/>
        <v>9999</v>
      </c>
      <c r="R67">
        <f t="shared" ca="1" si="0"/>
        <v>9999</v>
      </c>
      <c r="S67">
        <f t="shared" ca="1" si="0"/>
        <v>9999</v>
      </c>
      <c r="T67">
        <f t="shared" ca="1" si="0"/>
        <v>9999</v>
      </c>
      <c r="U67">
        <f t="shared" ca="1" si="0"/>
        <v>9999</v>
      </c>
      <c r="V67">
        <f t="shared" ca="1" si="0"/>
        <v>9999</v>
      </c>
      <c r="W67">
        <f t="shared" ca="1" si="0"/>
        <v>9999</v>
      </c>
      <c r="X67">
        <f t="shared" ca="1" si="0"/>
        <v>9999</v>
      </c>
      <c r="Y67">
        <f t="shared" ca="1" si="0"/>
        <v>9999</v>
      </c>
      <c r="Z67">
        <f t="shared" ca="1" si="0"/>
        <v>9999</v>
      </c>
      <c r="AA67">
        <f t="shared" ca="1" si="0"/>
        <v>9999</v>
      </c>
      <c r="AB67">
        <f t="shared" ca="1" si="0"/>
        <v>9999</v>
      </c>
      <c r="AC67">
        <f t="shared" ca="1" si="0"/>
        <v>9999</v>
      </c>
      <c r="AD67">
        <f t="shared" ca="1" si="0"/>
        <v>9999</v>
      </c>
      <c r="AE67">
        <f t="shared" ca="1" si="0"/>
        <v>9999</v>
      </c>
      <c r="AF67">
        <f t="shared" ca="1" si="0"/>
        <v>9999</v>
      </c>
      <c r="AG67">
        <f t="shared" ca="1" si="0"/>
        <v>9999</v>
      </c>
      <c r="AH67">
        <f t="shared" ca="1" si="0"/>
        <v>9999</v>
      </c>
      <c r="AI67">
        <f t="shared" ca="1" si="0"/>
        <v>9999</v>
      </c>
      <c r="AJ67">
        <f t="shared" ca="1" si="0"/>
        <v>9999</v>
      </c>
      <c r="AK67">
        <f t="shared" ca="1" si="0"/>
        <v>9999</v>
      </c>
      <c r="AL67">
        <f t="shared" ca="1" si="0"/>
        <v>9999</v>
      </c>
      <c r="AM67">
        <f t="shared" ca="1" si="0"/>
        <v>9999</v>
      </c>
      <c r="AN67">
        <f t="shared" ca="1" si="0"/>
        <v>9999</v>
      </c>
      <c r="AO67">
        <f t="shared" ca="1" si="0"/>
        <v>9999</v>
      </c>
      <c r="AP67">
        <f t="shared" ca="1" si="0"/>
        <v>9999</v>
      </c>
      <c r="AQ67">
        <f t="shared" ca="1" si="0"/>
        <v>9999</v>
      </c>
      <c r="AR67">
        <f t="shared" ca="1" si="0"/>
        <v>9999</v>
      </c>
      <c r="AS67">
        <f t="shared" ca="1" si="0"/>
        <v>9999</v>
      </c>
      <c r="AT67">
        <f t="shared" ca="1" si="0"/>
        <v>9999</v>
      </c>
      <c r="AU67">
        <f t="shared" ca="1" si="0"/>
        <v>9999</v>
      </c>
      <c r="AV67">
        <f t="shared" ca="1" si="0"/>
        <v>9999</v>
      </c>
      <c r="AW67">
        <f t="shared" ca="1" si="0"/>
        <v>9999</v>
      </c>
      <c r="AX67">
        <f t="shared" ca="1" si="0"/>
        <v>9999</v>
      </c>
      <c r="AY67">
        <f t="shared" ca="1" si="0"/>
        <v>9999</v>
      </c>
      <c r="AZ67">
        <f t="shared" ca="1" si="0"/>
        <v>9999</v>
      </c>
      <c r="BA67">
        <f t="shared" ca="1" si="0"/>
        <v>9999</v>
      </c>
      <c r="BB67">
        <f t="shared" ca="1" si="0"/>
        <v>9999</v>
      </c>
      <c r="BC67">
        <f t="shared" ca="1" si="0"/>
        <v>9999</v>
      </c>
      <c r="BD67">
        <f t="shared" ca="1" si="0"/>
        <v>9999</v>
      </c>
      <c r="BE67">
        <f t="shared" ca="1" si="0"/>
        <v>9999</v>
      </c>
      <c r="BF67">
        <f t="shared" ca="1" si="0"/>
        <v>9999</v>
      </c>
      <c r="BG67">
        <f t="shared" ca="1" si="0"/>
        <v>9999</v>
      </c>
      <c r="BH67">
        <f t="shared" ca="1" si="0"/>
        <v>9999</v>
      </c>
      <c r="BI67">
        <f t="shared" ca="1" si="0"/>
        <v>9999</v>
      </c>
    </row>
    <row r="68" spans="1:61" x14ac:dyDescent="0.25">
      <c r="A68" s="20">
        <v>3</v>
      </c>
      <c r="B68">
        <f t="shared" ca="1" si="1"/>
        <v>9999</v>
      </c>
      <c r="C68">
        <f t="shared" ca="1" si="0"/>
        <v>9999</v>
      </c>
      <c r="D68">
        <f t="shared" ca="1" si="0"/>
        <v>9999</v>
      </c>
      <c r="E68">
        <f t="shared" ca="1" si="0"/>
        <v>9999</v>
      </c>
      <c r="F68">
        <f t="shared" ca="1" si="0"/>
        <v>9999</v>
      </c>
      <c r="G68">
        <f t="shared" ca="1" si="0"/>
        <v>9999</v>
      </c>
      <c r="H68">
        <f t="shared" ca="1" si="0"/>
        <v>9999</v>
      </c>
      <c r="I68">
        <f t="shared" ca="1" si="0"/>
        <v>9999</v>
      </c>
      <c r="J68">
        <f t="shared" ca="1" si="0"/>
        <v>9999</v>
      </c>
      <c r="K68">
        <f t="shared" ca="1" si="0"/>
        <v>9999</v>
      </c>
      <c r="L68">
        <f t="shared" ca="1" si="0"/>
        <v>9999</v>
      </c>
      <c r="M68">
        <f t="shared" ca="1" si="0"/>
        <v>9999</v>
      </c>
      <c r="N68">
        <f t="shared" ca="1" si="0"/>
        <v>9999</v>
      </c>
      <c r="O68">
        <f t="shared" ca="1" si="0"/>
        <v>9999</v>
      </c>
      <c r="P68">
        <f t="shared" ca="1" si="0"/>
        <v>9999</v>
      </c>
      <c r="Q68">
        <f t="shared" ca="1" si="0"/>
        <v>9999</v>
      </c>
      <c r="R68">
        <f t="shared" ca="1" si="0"/>
        <v>9999</v>
      </c>
      <c r="S68">
        <f t="shared" ca="1" si="0"/>
        <v>9999</v>
      </c>
      <c r="T68">
        <f t="shared" ca="1" si="0"/>
        <v>9999</v>
      </c>
      <c r="U68">
        <f t="shared" ca="1" si="0"/>
        <v>9999</v>
      </c>
      <c r="V68">
        <f t="shared" ca="1" si="0"/>
        <v>9999</v>
      </c>
      <c r="W68">
        <f t="shared" ca="1" si="0"/>
        <v>9999</v>
      </c>
      <c r="X68">
        <f t="shared" ca="1" si="0"/>
        <v>9999</v>
      </c>
      <c r="Y68">
        <f t="shared" ca="1" si="0"/>
        <v>9999</v>
      </c>
      <c r="Z68">
        <f t="shared" ca="1" si="0"/>
        <v>9999</v>
      </c>
      <c r="AA68">
        <f t="shared" ca="1" si="0"/>
        <v>9999</v>
      </c>
      <c r="AB68">
        <f t="shared" ca="1" si="0"/>
        <v>9999</v>
      </c>
      <c r="AC68">
        <f t="shared" ca="1" si="0"/>
        <v>9999</v>
      </c>
      <c r="AD68">
        <f t="shared" ca="1" si="0"/>
        <v>9999</v>
      </c>
      <c r="AE68">
        <f t="shared" ca="1" si="0"/>
        <v>9999</v>
      </c>
      <c r="AF68">
        <f t="shared" ca="1" si="0"/>
        <v>9999</v>
      </c>
      <c r="AG68">
        <f t="shared" ca="1" si="0"/>
        <v>9999</v>
      </c>
      <c r="AH68">
        <f t="shared" ca="1" si="0"/>
        <v>9999</v>
      </c>
      <c r="AI68">
        <f t="shared" ca="1" si="0"/>
        <v>9999</v>
      </c>
      <c r="AJ68">
        <f t="shared" ca="1" si="0"/>
        <v>9999</v>
      </c>
      <c r="AK68">
        <f t="shared" ca="1" si="0"/>
        <v>9999</v>
      </c>
      <c r="AL68">
        <f t="shared" ca="1" si="0"/>
        <v>9999</v>
      </c>
      <c r="AM68">
        <f t="shared" ca="1" si="0"/>
        <v>9999</v>
      </c>
      <c r="AN68">
        <f t="shared" ca="1" si="0"/>
        <v>9999</v>
      </c>
      <c r="AO68">
        <f t="shared" ca="1" si="0"/>
        <v>9999</v>
      </c>
      <c r="AP68">
        <f t="shared" ca="1" si="0"/>
        <v>9999</v>
      </c>
      <c r="AQ68">
        <f t="shared" ca="1" si="0"/>
        <v>9999</v>
      </c>
      <c r="AR68">
        <f t="shared" ca="1" si="0"/>
        <v>9999</v>
      </c>
      <c r="AS68">
        <f t="shared" ca="1" si="0"/>
        <v>9999</v>
      </c>
      <c r="AT68">
        <f t="shared" ca="1" si="0"/>
        <v>9999</v>
      </c>
      <c r="AU68">
        <f t="shared" ca="1" si="0"/>
        <v>9999</v>
      </c>
      <c r="AV68">
        <f t="shared" ca="1" si="0"/>
        <v>9999</v>
      </c>
      <c r="AW68">
        <f t="shared" ca="1" si="0"/>
        <v>9999</v>
      </c>
      <c r="AX68">
        <f t="shared" ca="1" si="0"/>
        <v>9999</v>
      </c>
      <c r="AY68">
        <f t="shared" ca="1" si="0"/>
        <v>9999</v>
      </c>
      <c r="AZ68">
        <f t="shared" ca="1" si="0"/>
        <v>9999</v>
      </c>
      <c r="BA68">
        <f t="shared" ca="1" si="0"/>
        <v>9999</v>
      </c>
      <c r="BB68">
        <f t="shared" ca="1" si="0"/>
        <v>9999</v>
      </c>
      <c r="BC68">
        <f t="shared" ca="1" si="0"/>
        <v>9999</v>
      </c>
      <c r="BD68">
        <f t="shared" ca="1" si="0"/>
        <v>9999</v>
      </c>
      <c r="BE68">
        <f t="shared" ca="1" si="0"/>
        <v>9999</v>
      </c>
      <c r="BF68">
        <f t="shared" ca="1" si="0"/>
        <v>9999</v>
      </c>
      <c r="BG68">
        <f t="shared" ca="1" si="0"/>
        <v>9999</v>
      </c>
      <c r="BH68">
        <f t="shared" ca="1" si="0"/>
        <v>9999</v>
      </c>
      <c r="BI68">
        <f t="shared" ca="1" si="0"/>
        <v>9999</v>
      </c>
    </row>
    <row r="69" spans="1:61" x14ac:dyDescent="0.25">
      <c r="A69" s="20">
        <v>4</v>
      </c>
      <c r="B69">
        <f t="shared" ca="1" si="1"/>
        <v>9999</v>
      </c>
      <c r="C69">
        <f t="shared" ca="1" si="0"/>
        <v>9999</v>
      </c>
      <c r="D69">
        <f t="shared" ca="1" si="0"/>
        <v>9999</v>
      </c>
      <c r="E69">
        <f t="shared" ca="1" si="0"/>
        <v>9999</v>
      </c>
      <c r="F69">
        <f t="shared" ca="1" si="0"/>
        <v>9999</v>
      </c>
      <c r="G69">
        <f t="shared" ca="1" si="0"/>
        <v>9999</v>
      </c>
      <c r="H69">
        <f t="shared" ca="1" si="0"/>
        <v>9999</v>
      </c>
      <c r="I69">
        <f t="shared" ca="1" si="0"/>
        <v>9999</v>
      </c>
      <c r="J69">
        <f t="shared" ca="1" si="0"/>
        <v>9999</v>
      </c>
      <c r="K69">
        <f t="shared" ca="1" si="0"/>
        <v>9999</v>
      </c>
      <c r="L69">
        <f t="shared" ca="1" si="0"/>
        <v>9999</v>
      </c>
      <c r="M69">
        <f t="shared" ca="1" si="0"/>
        <v>9999</v>
      </c>
      <c r="N69">
        <f t="shared" ca="1" si="0"/>
        <v>9999</v>
      </c>
      <c r="O69">
        <f t="shared" ca="1" si="0"/>
        <v>9999</v>
      </c>
      <c r="P69">
        <f t="shared" ca="1" si="0"/>
        <v>9999</v>
      </c>
      <c r="Q69">
        <f t="shared" ca="1" si="0"/>
        <v>9999</v>
      </c>
      <c r="R69">
        <f t="shared" ca="1" si="0"/>
        <v>9999</v>
      </c>
      <c r="S69">
        <f t="shared" ca="1" si="0"/>
        <v>9999</v>
      </c>
      <c r="T69">
        <f t="shared" ca="1" si="0"/>
        <v>9999</v>
      </c>
      <c r="U69">
        <f t="shared" ca="1" si="0"/>
        <v>9999</v>
      </c>
      <c r="V69">
        <f t="shared" ca="1" si="0"/>
        <v>9999</v>
      </c>
      <c r="W69">
        <f t="shared" ca="1" si="0"/>
        <v>9999</v>
      </c>
      <c r="X69">
        <f t="shared" ca="1" si="0"/>
        <v>9999</v>
      </c>
      <c r="Y69">
        <f t="shared" ca="1" si="0"/>
        <v>9999</v>
      </c>
      <c r="Z69">
        <f t="shared" ca="1" si="0"/>
        <v>9999</v>
      </c>
      <c r="AA69">
        <f t="shared" ca="1" si="0"/>
        <v>9999</v>
      </c>
      <c r="AB69">
        <f t="shared" ca="1" si="0"/>
        <v>9999</v>
      </c>
      <c r="AC69">
        <f t="shared" ca="1" si="0"/>
        <v>9999</v>
      </c>
      <c r="AD69">
        <f t="shared" ca="1" si="0"/>
        <v>9999</v>
      </c>
      <c r="AE69">
        <f t="shared" ca="1" si="0"/>
        <v>9999</v>
      </c>
      <c r="AF69">
        <f t="shared" ca="1" si="0"/>
        <v>9999</v>
      </c>
      <c r="AG69">
        <f t="shared" ca="1" si="0"/>
        <v>9999</v>
      </c>
      <c r="AH69">
        <f t="shared" ca="1" si="0"/>
        <v>9999</v>
      </c>
      <c r="AI69">
        <f t="shared" ca="1" si="0"/>
        <v>9999</v>
      </c>
      <c r="AJ69">
        <f t="shared" ca="1" si="0"/>
        <v>9999</v>
      </c>
      <c r="AK69">
        <f t="shared" ca="1" si="0"/>
        <v>9999</v>
      </c>
      <c r="AL69">
        <f t="shared" ca="1" si="0"/>
        <v>9999</v>
      </c>
      <c r="AM69">
        <f t="shared" ca="1" si="0"/>
        <v>9999</v>
      </c>
      <c r="AN69">
        <f t="shared" ca="1" si="0"/>
        <v>9999</v>
      </c>
      <c r="AO69">
        <f t="shared" ca="1" si="0"/>
        <v>9999</v>
      </c>
      <c r="AP69">
        <f t="shared" ca="1" si="0"/>
        <v>9999</v>
      </c>
      <c r="AQ69">
        <f t="shared" ca="1" si="0"/>
        <v>9999</v>
      </c>
      <c r="AR69">
        <f t="shared" ca="1" si="0"/>
        <v>9999</v>
      </c>
      <c r="AS69">
        <f t="shared" ca="1" si="0"/>
        <v>9999</v>
      </c>
      <c r="AT69">
        <f t="shared" ca="1" si="0"/>
        <v>9999</v>
      </c>
      <c r="AU69">
        <f t="shared" ca="1" si="0"/>
        <v>9999</v>
      </c>
      <c r="AV69">
        <f t="shared" ca="1" si="0"/>
        <v>9999</v>
      </c>
      <c r="AW69">
        <f t="shared" ca="1" si="0"/>
        <v>9999</v>
      </c>
      <c r="AX69">
        <f t="shared" ca="1" si="0"/>
        <v>9999</v>
      </c>
      <c r="AY69">
        <f t="shared" ca="1" si="0"/>
        <v>9999</v>
      </c>
      <c r="AZ69">
        <f t="shared" ca="1" si="0"/>
        <v>9999</v>
      </c>
      <c r="BA69">
        <f t="shared" ca="1" si="0"/>
        <v>9999</v>
      </c>
      <c r="BB69">
        <f t="shared" ca="1" si="0"/>
        <v>9999</v>
      </c>
      <c r="BC69">
        <f t="shared" ca="1" si="0"/>
        <v>9999</v>
      </c>
      <c r="BD69">
        <f t="shared" ca="1" si="0"/>
        <v>9999</v>
      </c>
      <c r="BE69">
        <f t="shared" ca="1" si="0"/>
        <v>9999</v>
      </c>
      <c r="BF69">
        <f t="shared" ca="1" si="0"/>
        <v>9999</v>
      </c>
      <c r="BG69">
        <f t="shared" ca="1" si="0"/>
        <v>9999</v>
      </c>
      <c r="BH69">
        <f t="shared" ca="1" si="0"/>
        <v>9999</v>
      </c>
      <c r="BI69">
        <f t="shared" ca="1" si="0"/>
        <v>9999</v>
      </c>
    </row>
    <row r="70" spans="1:61" x14ac:dyDescent="0.25">
      <c r="A70" s="20">
        <v>5</v>
      </c>
      <c r="B70">
        <f t="shared" ca="1" si="1"/>
        <v>9999</v>
      </c>
      <c r="C70">
        <f t="shared" ca="1" si="0"/>
        <v>9999</v>
      </c>
      <c r="D70">
        <f t="shared" ca="1" si="0"/>
        <v>9999</v>
      </c>
      <c r="E70">
        <f t="shared" ca="1" si="0"/>
        <v>9999</v>
      </c>
      <c r="F70">
        <f t="shared" ca="1" si="0"/>
        <v>9999</v>
      </c>
      <c r="G70">
        <f t="shared" ca="1" si="0"/>
        <v>9999</v>
      </c>
      <c r="H70">
        <f t="shared" ca="1" si="0"/>
        <v>9999</v>
      </c>
      <c r="I70">
        <f t="shared" ca="1" si="0"/>
        <v>9999</v>
      </c>
      <c r="J70">
        <f t="shared" ca="1" si="0"/>
        <v>9999</v>
      </c>
      <c r="K70">
        <f t="shared" ca="1" si="0"/>
        <v>9999</v>
      </c>
      <c r="L70">
        <f t="shared" ca="1" si="0"/>
        <v>9999</v>
      </c>
      <c r="M70">
        <f t="shared" ca="1" si="0"/>
        <v>9999</v>
      </c>
      <c r="N70">
        <f t="shared" ca="1" si="0"/>
        <v>9999</v>
      </c>
      <c r="O70">
        <f t="shared" ca="1" si="0"/>
        <v>9999</v>
      </c>
      <c r="P70">
        <f t="shared" ca="1" si="0"/>
        <v>9999</v>
      </c>
      <c r="Q70">
        <f t="shared" ca="1" si="0"/>
        <v>9999</v>
      </c>
      <c r="R70">
        <f t="shared" ca="1" si="0"/>
        <v>9999</v>
      </c>
      <c r="S70">
        <f t="shared" ca="1" si="0"/>
        <v>9999</v>
      </c>
      <c r="T70">
        <f t="shared" ca="1" si="0"/>
        <v>9999</v>
      </c>
      <c r="U70">
        <f t="shared" ca="1" si="0"/>
        <v>9999</v>
      </c>
      <c r="V70">
        <f t="shared" ref="V70:AK70" ca="1" si="2">OFFSET($B$2,60-V$65,60-$A70)</f>
        <v>9999</v>
      </c>
      <c r="W70">
        <f t="shared" ca="1" si="2"/>
        <v>9999</v>
      </c>
      <c r="X70">
        <f t="shared" ca="1" si="2"/>
        <v>9999</v>
      </c>
      <c r="Y70">
        <f t="shared" ca="1" si="2"/>
        <v>9999</v>
      </c>
      <c r="Z70">
        <f t="shared" ca="1" si="2"/>
        <v>9999</v>
      </c>
      <c r="AA70">
        <f t="shared" ca="1" si="2"/>
        <v>9999</v>
      </c>
      <c r="AB70">
        <f t="shared" ca="1" si="2"/>
        <v>9999</v>
      </c>
      <c r="AC70">
        <f t="shared" ca="1" si="2"/>
        <v>9999</v>
      </c>
      <c r="AD70">
        <f t="shared" ca="1" si="2"/>
        <v>9999</v>
      </c>
      <c r="AE70">
        <f t="shared" ca="1" si="2"/>
        <v>9999</v>
      </c>
      <c r="AF70">
        <f t="shared" ca="1" si="2"/>
        <v>9999</v>
      </c>
      <c r="AG70">
        <f t="shared" ca="1" si="2"/>
        <v>9999</v>
      </c>
      <c r="AH70">
        <f t="shared" ca="1" si="2"/>
        <v>9999</v>
      </c>
      <c r="AI70">
        <f t="shared" ca="1" si="2"/>
        <v>9999</v>
      </c>
      <c r="AJ70">
        <f t="shared" ca="1" si="2"/>
        <v>9999</v>
      </c>
      <c r="AK70">
        <f t="shared" ca="1" si="2"/>
        <v>9999</v>
      </c>
      <c r="AL70">
        <f t="shared" ref="AL70:BA85" ca="1" si="3">OFFSET($B$2,60-AL$65,60-$A70)</f>
        <v>9999</v>
      </c>
      <c r="AM70">
        <f t="shared" ca="1" si="3"/>
        <v>9999</v>
      </c>
      <c r="AN70">
        <f t="shared" ca="1" si="3"/>
        <v>9999</v>
      </c>
      <c r="AO70">
        <f t="shared" ca="1" si="3"/>
        <v>9999</v>
      </c>
      <c r="AP70">
        <f t="shared" ca="1" si="3"/>
        <v>9999</v>
      </c>
      <c r="AQ70">
        <f t="shared" ca="1" si="3"/>
        <v>9999</v>
      </c>
      <c r="AR70">
        <f t="shared" ca="1" si="3"/>
        <v>9999</v>
      </c>
      <c r="AS70">
        <f t="shared" ca="1" si="3"/>
        <v>9999</v>
      </c>
      <c r="AT70">
        <f t="shared" ca="1" si="3"/>
        <v>9999</v>
      </c>
      <c r="AU70">
        <f t="shared" ca="1" si="3"/>
        <v>9999</v>
      </c>
      <c r="AV70">
        <f t="shared" ca="1" si="3"/>
        <v>9999</v>
      </c>
      <c r="AW70">
        <f t="shared" ca="1" si="3"/>
        <v>9999</v>
      </c>
      <c r="AX70">
        <f t="shared" ca="1" si="3"/>
        <v>9999</v>
      </c>
      <c r="AY70">
        <f t="shared" ca="1" si="3"/>
        <v>9999</v>
      </c>
      <c r="AZ70">
        <f t="shared" ca="1" si="3"/>
        <v>9999</v>
      </c>
      <c r="BA70">
        <f t="shared" ca="1" si="3"/>
        <v>9999</v>
      </c>
      <c r="BB70">
        <f t="shared" ref="BB70:BI84" ca="1" si="4">OFFSET($B$2,60-BB$65,60-$A70)</f>
        <v>9999</v>
      </c>
      <c r="BC70">
        <f t="shared" ca="1" si="4"/>
        <v>9999</v>
      </c>
      <c r="BD70">
        <f t="shared" ca="1" si="4"/>
        <v>9999</v>
      </c>
      <c r="BE70">
        <f t="shared" ca="1" si="4"/>
        <v>9999</v>
      </c>
      <c r="BF70">
        <f t="shared" ca="1" si="4"/>
        <v>9999</v>
      </c>
      <c r="BG70">
        <f t="shared" ca="1" si="4"/>
        <v>9999</v>
      </c>
      <c r="BH70">
        <f t="shared" ca="1" si="4"/>
        <v>9999</v>
      </c>
      <c r="BI70">
        <f t="shared" ca="1" si="4"/>
        <v>9999</v>
      </c>
    </row>
    <row r="71" spans="1:61" x14ac:dyDescent="0.25">
      <c r="A71" s="20">
        <v>6</v>
      </c>
      <c r="B71">
        <f t="shared" ca="1" si="1"/>
        <v>9999</v>
      </c>
      <c r="C71">
        <f t="shared" ca="1" si="1"/>
        <v>9999</v>
      </c>
      <c r="D71">
        <f t="shared" ca="1" si="1"/>
        <v>9999</v>
      </c>
      <c r="E71">
        <f t="shared" ca="1" si="1"/>
        <v>9999</v>
      </c>
      <c r="F71">
        <f t="shared" ca="1" si="1"/>
        <v>9999</v>
      </c>
      <c r="G71">
        <f t="shared" ca="1" si="1"/>
        <v>9999</v>
      </c>
      <c r="H71">
        <f t="shared" ca="1" si="1"/>
        <v>9999</v>
      </c>
      <c r="I71">
        <f t="shared" ca="1" si="1"/>
        <v>9999</v>
      </c>
      <c r="J71">
        <f t="shared" ca="1" si="1"/>
        <v>9999</v>
      </c>
      <c r="K71">
        <f t="shared" ca="1" si="1"/>
        <v>9999</v>
      </c>
      <c r="L71">
        <f t="shared" ca="1" si="1"/>
        <v>9999</v>
      </c>
      <c r="M71">
        <f t="shared" ca="1" si="1"/>
        <v>9999</v>
      </c>
      <c r="N71">
        <f t="shared" ca="1" si="1"/>
        <v>9999</v>
      </c>
      <c r="O71">
        <f t="shared" ca="1" si="1"/>
        <v>9999</v>
      </c>
      <c r="P71">
        <f t="shared" ca="1" si="1"/>
        <v>9999</v>
      </c>
      <c r="Q71">
        <f t="shared" ca="1" si="1"/>
        <v>9999</v>
      </c>
      <c r="R71">
        <f t="shared" ref="R71:AG88" ca="1" si="5">OFFSET($B$2,60-R$65,60-$A71)</f>
        <v>9999</v>
      </c>
      <c r="S71">
        <f t="shared" ca="1" si="5"/>
        <v>9999</v>
      </c>
      <c r="T71">
        <f t="shared" ca="1" si="5"/>
        <v>9999</v>
      </c>
      <c r="U71">
        <f t="shared" ca="1" si="5"/>
        <v>9999</v>
      </c>
      <c r="V71">
        <f t="shared" ca="1" si="5"/>
        <v>9999</v>
      </c>
      <c r="W71">
        <f t="shared" ca="1" si="5"/>
        <v>9999</v>
      </c>
      <c r="X71">
        <f t="shared" ca="1" si="5"/>
        <v>9999</v>
      </c>
      <c r="Y71">
        <f t="shared" ca="1" si="5"/>
        <v>9999</v>
      </c>
      <c r="Z71">
        <f t="shared" ca="1" si="5"/>
        <v>9999</v>
      </c>
      <c r="AA71">
        <f t="shared" ca="1" si="5"/>
        <v>9999</v>
      </c>
      <c r="AB71">
        <f t="shared" ca="1" si="5"/>
        <v>9999</v>
      </c>
      <c r="AC71">
        <f t="shared" ca="1" si="5"/>
        <v>9999</v>
      </c>
      <c r="AD71">
        <f t="shared" ca="1" si="5"/>
        <v>9999</v>
      </c>
      <c r="AE71">
        <f t="shared" ca="1" si="5"/>
        <v>9999</v>
      </c>
      <c r="AF71">
        <f t="shared" ca="1" si="5"/>
        <v>9999</v>
      </c>
      <c r="AG71">
        <f t="shared" ca="1" si="5"/>
        <v>9999</v>
      </c>
      <c r="AH71">
        <f t="shared" ref="AH71:AK88" ca="1" si="6">OFFSET($B$2,60-AH$65,60-$A71)</f>
        <v>9999</v>
      </c>
      <c r="AI71">
        <f t="shared" ca="1" si="6"/>
        <v>9999</v>
      </c>
      <c r="AJ71">
        <f t="shared" ca="1" si="6"/>
        <v>9999</v>
      </c>
      <c r="AK71">
        <f t="shared" ca="1" si="6"/>
        <v>9999</v>
      </c>
      <c r="AL71">
        <f t="shared" ca="1" si="3"/>
        <v>9999</v>
      </c>
      <c r="AM71">
        <f t="shared" ca="1" si="3"/>
        <v>9999</v>
      </c>
      <c r="AN71">
        <f t="shared" ca="1" si="3"/>
        <v>9999</v>
      </c>
      <c r="AO71">
        <f t="shared" ca="1" si="3"/>
        <v>9999</v>
      </c>
      <c r="AP71">
        <f t="shared" ca="1" si="3"/>
        <v>9999</v>
      </c>
      <c r="AQ71">
        <f t="shared" ca="1" si="3"/>
        <v>9999</v>
      </c>
      <c r="AR71">
        <f t="shared" ca="1" si="3"/>
        <v>9999</v>
      </c>
      <c r="AS71">
        <f t="shared" ca="1" si="3"/>
        <v>9999</v>
      </c>
      <c r="AT71">
        <f t="shared" ca="1" si="3"/>
        <v>9999</v>
      </c>
      <c r="AU71">
        <f t="shared" ca="1" si="3"/>
        <v>9999</v>
      </c>
      <c r="AV71">
        <f t="shared" ca="1" si="3"/>
        <v>9999</v>
      </c>
      <c r="AW71">
        <f t="shared" ca="1" si="3"/>
        <v>9999</v>
      </c>
      <c r="AX71">
        <f t="shared" ca="1" si="3"/>
        <v>9999</v>
      </c>
      <c r="AY71">
        <f t="shared" ca="1" si="3"/>
        <v>9999</v>
      </c>
      <c r="AZ71">
        <f t="shared" ca="1" si="3"/>
        <v>9999</v>
      </c>
      <c r="BA71">
        <f t="shared" ca="1" si="3"/>
        <v>9999</v>
      </c>
      <c r="BB71">
        <f t="shared" ca="1" si="4"/>
        <v>9999</v>
      </c>
      <c r="BC71">
        <f t="shared" ca="1" si="4"/>
        <v>9999</v>
      </c>
      <c r="BD71">
        <f t="shared" ca="1" si="4"/>
        <v>9999</v>
      </c>
      <c r="BE71">
        <f t="shared" ca="1" si="4"/>
        <v>9999</v>
      </c>
      <c r="BF71">
        <f t="shared" ca="1" si="4"/>
        <v>9999</v>
      </c>
      <c r="BG71">
        <f t="shared" ca="1" si="4"/>
        <v>9999</v>
      </c>
      <c r="BH71">
        <f t="shared" ca="1" si="4"/>
        <v>9999</v>
      </c>
      <c r="BI71">
        <f t="shared" ca="1" si="4"/>
        <v>9999</v>
      </c>
    </row>
    <row r="72" spans="1:61" x14ac:dyDescent="0.25">
      <c r="A72" s="20">
        <v>7</v>
      </c>
      <c r="B72">
        <f t="shared" ca="1" si="1"/>
        <v>9999</v>
      </c>
      <c r="C72">
        <f t="shared" ca="1" si="1"/>
        <v>9999</v>
      </c>
      <c r="D72">
        <f t="shared" ca="1" si="1"/>
        <v>9999</v>
      </c>
      <c r="E72">
        <f t="shared" ca="1" si="1"/>
        <v>9999</v>
      </c>
      <c r="F72">
        <f t="shared" ca="1" si="1"/>
        <v>9999</v>
      </c>
      <c r="G72">
        <f t="shared" ca="1" si="1"/>
        <v>9999</v>
      </c>
      <c r="H72">
        <f t="shared" ca="1" si="1"/>
        <v>9999</v>
      </c>
      <c r="I72">
        <f t="shared" ca="1" si="1"/>
        <v>9999</v>
      </c>
      <c r="J72">
        <f t="shared" ca="1" si="1"/>
        <v>9999</v>
      </c>
      <c r="K72">
        <f t="shared" ca="1" si="1"/>
        <v>9999</v>
      </c>
      <c r="L72">
        <f t="shared" ca="1" si="1"/>
        <v>9999</v>
      </c>
      <c r="M72">
        <f t="shared" ca="1" si="1"/>
        <v>9999</v>
      </c>
      <c r="N72">
        <f t="shared" ca="1" si="1"/>
        <v>9999</v>
      </c>
      <c r="O72">
        <f t="shared" ca="1" si="1"/>
        <v>9999</v>
      </c>
      <c r="P72">
        <f t="shared" ca="1" si="1"/>
        <v>9999</v>
      </c>
      <c r="Q72">
        <f t="shared" ca="1" si="1"/>
        <v>9999</v>
      </c>
      <c r="R72">
        <f t="shared" ca="1" si="5"/>
        <v>9999</v>
      </c>
      <c r="S72">
        <f t="shared" ca="1" si="5"/>
        <v>9999</v>
      </c>
      <c r="T72">
        <f t="shared" ca="1" si="5"/>
        <v>9999</v>
      </c>
      <c r="U72">
        <f t="shared" ca="1" si="5"/>
        <v>9999</v>
      </c>
      <c r="V72">
        <f t="shared" ca="1" si="5"/>
        <v>9999</v>
      </c>
      <c r="W72">
        <f t="shared" ca="1" si="5"/>
        <v>9999</v>
      </c>
      <c r="X72">
        <f t="shared" ca="1" si="5"/>
        <v>9999</v>
      </c>
      <c r="Y72">
        <f t="shared" ca="1" si="5"/>
        <v>9999</v>
      </c>
      <c r="Z72">
        <f t="shared" ca="1" si="5"/>
        <v>9999</v>
      </c>
      <c r="AA72">
        <f t="shared" ca="1" si="5"/>
        <v>9999</v>
      </c>
      <c r="AB72">
        <f t="shared" ca="1" si="5"/>
        <v>9999</v>
      </c>
      <c r="AC72">
        <f t="shared" ca="1" si="5"/>
        <v>9999</v>
      </c>
      <c r="AD72">
        <f t="shared" ca="1" si="5"/>
        <v>9999</v>
      </c>
      <c r="AE72">
        <f t="shared" ca="1" si="5"/>
        <v>9999</v>
      </c>
      <c r="AF72">
        <f t="shared" ca="1" si="5"/>
        <v>9999</v>
      </c>
      <c r="AG72">
        <f t="shared" ca="1" si="5"/>
        <v>9999</v>
      </c>
      <c r="AH72">
        <f t="shared" ca="1" si="6"/>
        <v>9999</v>
      </c>
      <c r="AI72">
        <f t="shared" ca="1" si="6"/>
        <v>9999</v>
      </c>
      <c r="AJ72">
        <f t="shared" ca="1" si="6"/>
        <v>9999</v>
      </c>
      <c r="AK72">
        <f t="shared" ca="1" si="6"/>
        <v>9999</v>
      </c>
      <c r="AL72">
        <f t="shared" ca="1" si="3"/>
        <v>9999</v>
      </c>
      <c r="AM72">
        <f t="shared" ca="1" si="3"/>
        <v>9999</v>
      </c>
      <c r="AN72">
        <f t="shared" ca="1" si="3"/>
        <v>9999</v>
      </c>
      <c r="AO72">
        <f t="shared" ca="1" si="3"/>
        <v>9999</v>
      </c>
      <c r="AP72">
        <f t="shared" ca="1" si="3"/>
        <v>9999</v>
      </c>
      <c r="AQ72">
        <f t="shared" ca="1" si="3"/>
        <v>9999</v>
      </c>
      <c r="AR72">
        <f t="shared" ca="1" si="3"/>
        <v>9999</v>
      </c>
      <c r="AS72">
        <f t="shared" ca="1" si="3"/>
        <v>9999</v>
      </c>
      <c r="AT72">
        <f t="shared" ca="1" si="3"/>
        <v>9999</v>
      </c>
      <c r="AU72">
        <f t="shared" ca="1" si="3"/>
        <v>9999</v>
      </c>
      <c r="AV72">
        <f t="shared" ca="1" si="3"/>
        <v>9999</v>
      </c>
      <c r="AW72">
        <f t="shared" ca="1" si="3"/>
        <v>9999</v>
      </c>
      <c r="AX72">
        <f t="shared" ca="1" si="3"/>
        <v>9999</v>
      </c>
      <c r="AY72">
        <f t="shared" ca="1" si="3"/>
        <v>9999</v>
      </c>
      <c r="AZ72">
        <f t="shared" ca="1" si="3"/>
        <v>9999</v>
      </c>
      <c r="BA72">
        <f t="shared" ca="1" si="3"/>
        <v>9999</v>
      </c>
      <c r="BB72">
        <f t="shared" ca="1" si="4"/>
        <v>9999</v>
      </c>
      <c r="BC72">
        <f t="shared" ca="1" si="4"/>
        <v>9999</v>
      </c>
      <c r="BD72">
        <f t="shared" ca="1" si="4"/>
        <v>9999</v>
      </c>
      <c r="BE72">
        <f t="shared" ca="1" si="4"/>
        <v>9999</v>
      </c>
      <c r="BF72">
        <f t="shared" ca="1" si="4"/>
        <v>9999</v>
      </c>
      <c r="BG72">
        <f t="shared" ca="1" si="4"/>
        <v>9999</v>
      </c>
      <c r="BH72">
        <f t="shared" ca="1" si="4"/>
        <v>9999</v>
      </c>
      <c r="BI72">
        <f t="shared" ca="1" si="4"/>
        <v>9999</v>
      </c>
    </row>
    <row r="73" spans="1:61" x14ac:dyDescent="0.25">
      <c r="A73" s="20">
        <v>8</v>
      </c>
      <c r="B73">
        <f t="shared" ca="1" si="1"/>
        <v>9999</v>
      </c>
      <c r="C73">
        <f t="shared" ca="1" si="1"/>
        <v>9999</v>
      </c>
      <c r="D73">
        <f t="shared" ca="1" si="1"/>
        <v>9999</v>
      </c>
      <c r="E73">
        <f t="shared" ca="1" si="1"/>
        <v>9999</v>
      </c>
      <c r="F73">
        <f t="shared" ca="1" si="1"/>
        <v>9999</v>
      </c>
      <c r="G73">
        <f t="shared" ca="1" si="1"/>
        <v>9999</v>
      </c>
      <c r="H73">
        <f t="shared" ca="1" si="1"/>
        <v>9999</v>
      </c>
      <c r="I73">
        <f t="shared" ca="1" si="1"/>
        <v>9999</v>
      </c>
      <c r="J73">
        <f t="shared" ca="1" si="1"/>
        <v>9999</v>
      </c>
      <c r="K73">
        <f t="shared" ca="1" si="1"/>
        <v>9999</v>
      </c>
      <c r="L73">
        <f t="shared" ca="1" si="1"/>
        <v>9999</v>
      </c>
      <c r="M73">
        <f t="shared" ca="1" si="1"/>
        <v>9999</v>
      </c>
      <c r="N73">
        <f t="shared" ca="1" si="1"/>
        <v>9999</v>
      </c>
      <c r="O73">
        <f t="shared" ca="1" si="1"/>
        <v>9999</v>
      </c>
      <c r="P73">
        <f t="shared" ca="1" si="1"/>
        <v>9999</v>
      </c>
      <c r="Q73">
        <f t="shared" ca="1" si="1"/>
        <v>9999</v>
      </c>
      <c r="R73">
        <f t="shared" ca="1" si="5"/>
        <v>9999</v>
      </c>
      <c r="S73">
        <f t="shared" ca="1" si="5"/>
        <v>9999</v>
      </c>
      <c r="T73">
        <f t="shared" ca="1" si="5"/>
        <v>9999</v>
      </c>
      <c r="U73">
        <f t="shared" ca="1" si="5"/>
        <v>9999</v>
      </c>
      <c r="V73">
        <f t="shared" ca="1" si="5"/>
        <v>9999</v>
      </c>
      <c r="W73">
        <f t="shared" ca="1" si="5"/>
        <v>9999</v>
      </c>
      <c r="X73">
        <f t="shared" ca="1" si="5"/>
        <v>9999</v>
      </c>
      <c r="Y73">
        <f t="shared" ca="1" si="5"/>
        <v>9999</v>
      </c>
      <c r="Z73">
        <f t="shared" ca="1" si="5"/>
        <v>9999</v>
      </c>
      <c r="AA73">
        <f t="shared" ca="1" si="5"/>
        <v>9999</v>
      </c>
      <c r="AB73">
        <f t="shared" ca="1" si="5"/>
        <v>9999</v>
      </c>
      <c r="AC73">
        <f t="shared" ca="1" si="5"/>
        <v>9999</v>
      </c>
      <c r="AD73">
        <f t="shared" ca="1" si="5"/>
        <v>9999</v>
      </c>
      <c r="AE73">
        <f t="shared" ca="1" si="5"/>
        <v>9999</v>
      </c>
      <c r="AF73">
        <f t="shared" ca="1" si="5"/>
        <v>9999</v>
      </c>
      <c r="AG73">
        <f t="shared" ca="1" si="5"/>
        <v>9999</v>
      </c>
      <c r="AH73">
        <f t="shared" ca="1" si="6"/>
        <v>9999</v>
      </c>
      <c r="AI73">
        <f t="shared" ca="1" si="6"/>
        <v>9999</v>
      </c>
      <c r="AJ73">
        <f t="shared" ca="1" si="6"/>
        <v>9999</v>
      </c>
      <c r="AK73">
        <f t="shared" ca="1" si="6"/>
        <v>9999</v>
      </c>
      <c r="AL73">
        <f t="shared" ca="1" si="3"/>
        <v>9999</v>
      </c>
      <c r="AM73">
        <f t="shared" ca="1" si="3"/>
        <v>9999</v>
      </c>
      <c r="AN73">
        <f t="shared" ca="1" si="3"/>
        <v>9999</v>
      </c>
      <c r="AO73">
        <f t="shared" ca="1" si="3"/>
        <v>9999</v>
      </c>
      <c r="AP73">
        <f t="shared" ca="1" si="3"/>
        <v>9999</v>
      </c>
      <c r="AQ73">
        <f t="shared" ca="1" si="3"/>
        <v>9999</v>
      </c>
      <c r="AR73">
        <f t="shared" ca="1" si="3"/>
        <v>9999</v>
      </c>
      <c r="AS73">
        <f t="shared" ca="1" si="3"/>
        <v>9999</v>
      </c>
      <c r="AT73">
        <f t="shared" ca="1" si="3"/>
        <v>9999</v>
      </c>
      <c r="AU73">
        <f t="shared" ca="1" si="3"/>
        <v>9999</v>
      </c>
      <c r="AV73">
        <f t="shared" ca="1" si="3"/>
        <v>9999</v>
      </c>
      <c r="AW73">
        <f t="shared" ca="1" si="3"/>
        <v>9999</v>
      </c>
      <c r="AX73">
        <f t="shared" ca="1" si="3"/>
        <v>9999</v>
      </c>
      <c r="AY73">
        <f t="shared" ca="1" si="3"/>
        <v>9999</v>
      </c>
      <c r="AZ73">
        <f t="shared" ca="1" si="3"/>
        <v>9999</v>
      </c>
      <c r="BA73">
        <f t="shared" ca="1" si="3"/>
        <v>9999</v>
      </c>
      <c r="BB73">
        <f t="shared" ca="1" si="4"/>
        <v>9999</v>
      </c>
      <c r="BC73">
        <f t="shared" ca="1" si="4"/>
        <v>9999</v>
      </c>
      <c r="BD73">
        <f t="shared" ca="1" si="4"/>
        <v>9999</v>
      </c>
      <c r="BE73">
        <f t="shared" ca="1" si="4"/>
        <v>9999</v>
      </c>
      <c r="BF73">
        <f t="shared" ca="1" si="4"/>
        <v>9999</v>
      </c>
      <c r="BG73">
        <f t="shared" ca="1" si="4"/>
        <v>9999</v>
      </c>
      <c r="BH73">
        <f t="shared" ca="1" si="4"/>
        <v>9999</v>
      </c>
      <c r="BI73">
        <f t="shared" ca="1" si="4"/>
        <v>9999</v>
      </c>
    </row>
    <row r="74" spans="1:61" x14ac:dyDescent="0.25">
      <c r="A74" s="20">
        <v>9</v>
      </c>
      <c r="B74">
        <f t="shared" ca="1" si="1"/>
        <v>9999</v>
      </c>
      <c r="C74">
        <f t="shared" ca="1" si="1"/>
        <v>9999</v>
      </c>
      <c r="D74">
        <f t="shared" ca="1" si="1"/>
        <v>9999</v>
      </c>
      <c r="E74">
        <f t="shared" ca="1" si="1"/>
        <v>9999</v>
      </c>
      <c r="F74">
        <f t="shared" ca="1" si="1"/>
        <v>9999</v>
      </c>
      <c r="G74">
        <f t="shared" ca="1" si="1"/>
        <v>9999</v>
      </c>
      <c r="H74">
        <f t="shared" ca="1" si="1"/>
        <v>9999</v>
      </c>
      <c r="I74">
        <f t="shared" ca="1" si="1"/>
        <v>9999</v>
      </c>
      <c r="J74">
        <f t="shared" ca="1" si="1"/>
        <v>9999</v>
      </c>
      <c r="K74">
        <f t="shared" ca="1" si="1"/>
        <v>9999</v>
      </c>
      <c r="L74">
        <f t="shared" ca="1" si="1"/>
        <v>9999</v>
      </c>
      <c r="M74">
        <f t="shared" ca="1" si="1"/>
        <v>9999</v>
      </c>
      <c r="N74">
        <f t="shared" ca="1" si="1"/>
        <v>9999</v>
      </c>
      <c r="O74">
        <f t="shared" ca="1" si="1"/>
        <v>9999</v>
      </c>
      <c r="P74">
        <f t="shared" ca="1" si="1"/>
        <v>9999</v>
      </c>
      <c r="Q74">
        <f t="shared" ca="1" si="1"/>
        <v>9999</v>
      </c>
      <c r="R74">
        <f t="shared" ca="1" si="5"/>
        <v>9999</v>
      </c>
      <c r="S74">
        <f t="shared" ca="1" si="5"/>
        <v>9999</v>
      </c>
      <c r="T74">
        <f t="shared" ca="1" si="5"/>
        <v>9999</v>
      </c>
      <c r="U74">
        <f t="shared" ca="1" si="5"/>
        <v>9999</v>
      </c>
      <c r="V74">
        <f t="shared" ca="1" si="5"/>
        <v>9999</v>
      </c>
      <c r="W74">
        <f t="shared" ca="1" si="5"/>
        <v>9999</v>
      </c>
      <c r="X74">
        <f t="shared" ca="1" si="5"/>
        <v>9999</v>
      </c>
      <c r="Y74">
        <f t="shared" ca="1" si="5"/>
        <v>9999</v>
      </c>
      <c r="Z74">
        <f t="shared" ca="1" si="5"/>
        <v>9999</v>
      </c>
      <c r="AA74">
        <f t="shared" ca="1" si="5"/>
        <v>9999</v>
      </c>
      <c r="AB74">
        <f t="shared" ca="1" si="5"/>
        <v>9999</v>
      </c>
      <c r="AC74">
        <f t="shared" ca="1" si="5"/>
        <v>9999</v>
      </c>
      <c r="AD74">
        <f t="shared" ca="1" si="5"/>
        <v>9999</v>
      </c>
      <c r="AE74">
        <f t="shared" ca="1" si="5"/>
        <v>9999</v>
      </c>
      <c r="AF74">
        <f t="shared" ca="1" si="5"/>
        <v>9999</v>
      </c>
      <c r="AG74">
        <f t="shared" ca="1" si="5"/>
        <v>9999</v>
      </c>
      <c r="AH74">
        <f t="shared" ca="1" si="6"/>
        <v>9999</v>
      </c>
      <c r="AI74">
        <f t="shared" ca="1" si="6"/>
        <v>9999</v>
      </c>
      <c r="AJ74">
        <f t="shared" ca="1" si="6"/>
        <v>9999</v>
      </c>
      <c r="AK74">
        <f t="shared" ca="1" si="6"/>
        <v>9999</v>
      </c>
      <c r="AL74">
        <f t="shared" ca="1" si="3"/>
        <v>9999</v>
      </c>
      <c r="AM74">
        <f t="shared" ca="1" si="3"/>
        <v>9999</v>
      </c>
      <c r="AN74">
        <f t="shared" ca="1" si="3"/>
        <v>9999</v>
      </c>
      <c r="AO74">
        <f t="shared" ca="1" si="3"/>
        <v>9999</v>
      </c>
      <c r="AP74">
        <f t="shared" ca="1" si="3"/>
        <v>9999</v>
      </c>
      <c r="AQ74">
        <f t="shared" ca="1" si="3"/>
        <v>9999</v>
      </c>
      <c r="AR74">
        <f t="shared" ca="1" si="3"/>
        <v>9999</v>
      </c>
      <c r="AS74">
        <f t="shared" ca="1" si="3"/>
        <v>9999</v>
      </c>
      <c r="AT74">
        <f t="shared" ca="1" si="3"/>
        <v>9999</v>
      </c>
      <c r="AU74">
        <f t="shared" ca="1" si="3"/>
        <v>9999</v>
      </c>
      <c r="AV74">
        <f t="shared" ca="1" si="3"/>
        <v>9999</v>
      </c>
      <c r="AW74">
        <f t="shared" ca="1" si="3"/>
        <v>9999</v>
      </c>
      <c r="AX74">
        <f t="shared" ca="1" si="3"/>
        <v>9999</v>
      </c>
      <c r="AY74">
        <f t="shared" ca="1" si="3"/>
        <v>9999</v>
      </c>
      <c r="AZ74">
        <f t="shared" ca="1" si="3"/>
        <v>9999</v>
      </c>
      <c r="BA74">
        <f t="shared" ca="1" si="3"/>
        <v>9999</v>
      </c>
      <c r="BB74">
        <f t="shared" ca="1" si="4"/>
        <v>9999</v>
      </c>
      <c r="BC74">
        <f t="shared" ca="1" si="4"/>
        <v>9999</v>
      </c>
      <c r="BD74">
        <f t="shared" ca="1" si="4"/>
        <v>9999</v>
      </c>
      <c r="BE74">
        <f t="shared" ca="1" si="4"/>
        <v>9999</v>
      </c>
      <c r="BF74">
        <f t="shared" ca="1" si="4"/>
        <v>9999</v>
      </c>
      <c r="BG74">
        <f t="shared" ca="1" si="4"/>
        <v>9999</v>
      </c>
      <c r="BH74">
        <f t="shared" ca="1" si="4"/>
        <v>9999</v>
      </c>
      <c r="BI74">
        <f t="shared" ca="1" si="4"/>
        <v>9999</v>
      </c>
    </row>
    <row r="75" spans="1:61" x14ac:dyDescent="0.25">
      <c r="A75" s="20">
        <v>10</v>
      </c>
      <c r="B75">
        <f t="shared" ca="1" si="1"/>
        <v>9999</v>
      </c>
      <c r="C75">
        <f t="shared" ca="1" si="1"/>
        <v>9999</v>
      </c>
      <c r="D75">
        <f t="shared" ca="1" si="1"/>
        <v>9999</v>
      </c>
      <c r="E75">
        <f t="shared" ca="1" si="1"/>
        <v>9999</v>
      </c>
      <c r="F75">
        <f t="shared" ca="1" si="1"/>
        <v>9999</v>
      </c>
      <c r="G75">
        <f t="shared" ca="1" si="1"/>
        <v>9999</v>
      </c>
      <c r="H75">
        <f t="shared" ca="1" si="1"/>
        <v>9999</v>
      </c>
      <c r="I75">
        <f t="shared" ca="1" si="1"/>
        <v>9999</v>
      </c>
      <c r="J75">
        <f t="shared" ca="1" si="1"/>
        <v>9999</v>
      </c>
      <c r="K75">
        <f t="shared" ca="1" si="1"/>
        <v>9999</v>
      </c>
      <c r="L75">
        <f t="shared" ca="1" si="1"/>
        <v>9999</v>
      </c>
      <c r="M75">
        <f t="shared" ca="1" si="1"/>
        <v>9999</v>
      </c>
      <c r="N75">
        <f t="shared" ca="1" si="1"/>
        <v>9999</v>
      </c>
      <c r="O75">
        <f t="shared" ca="1" si="1"/>
        <v>9999</v>
      </c>
      <c r="P75">
        <f t="shared" ca="1" si="1"/>
        <v>9999</v>
      </c>
      <c r="Q75">
        <f t="shared" ca="1" si="1"/>
        <v>9999</v>
      </c>
      <c r="R75">
        <f t="shared" ca="1" si="5"/>
        <v>9999</v>
      </c>
      <c r="S75">
        <f t="shared" ca="1" si="5"/>
        <v>9999</v>
      </c>
      <c r="T75">
        <f t="shared" ca="1" si="5"/>
        <v>9999</v>
      </c>
      <c r="U75">
        <f t="shared" ca="1" si="5"/>
        <v>9999</v>
      </c>
      <c r="V75">
        <f t="shared" ca="1" si="5"/>
        <v>9999</v>
      </c>
      <c r="W75">
        <f t="shared" ca="1" si="5"/>
        <v>9999</v>
      </c>
      <c r="X75">
        <f t="shared" ca="1" si="5"/>
        <v>9999</v>
      </c>
      <c r="Y75">
        <f t="shared" ca="1" si="5"/>
        <v>9999</v>
      </c>
      <c r="Z75">
        <f t="shared" ca="1" si="5"/>
        <v>9999</v>
      </c>
      <c r="AA75">
        <f t="shared" ca="1" si="5"/>
        <v>9999</v>
      </c>
      <c r="AB75">
        <f t="shared" ca="1" si="5"/>
        <v>9999</v>
      </c>
      <c r="AC75">
        <f t="shared" ca="1" si="5"/>
        <v>9999</v>
      </c>
      <c r="AD75">
        <f t="shared" ca="1" si="5"/>
        <v>9999</v>
      </c>
      <c r="AE75">
        <f t="shared" ca="1" si="5"/>
        <v>9999</v>
      </c>
      <c r="AF75">
        <f t="shared" ca="1" si="5"/>
        <v>9999</v>
      </c>
      <c r="AG75">
        <f t="shared" ca="1" si="5"/>
        <v>9999</v>
      </c>
      <c r="AH75">
        <f t="shared" ca="1" si="6"/>
        <v>9999</v>
      </c>
      <c r="AI75">
        <f t="shared" ca="1" si="6"/>
        <v>9999</v>
      </c>
      <c r="AJ75">
        <f t="shared" ca="1" si="6"/>
        <v>9999</v>
      </c>
      <c r="AK75">
        <f t="shared" ca="1" si="6"/>
        <v>9999</v>
      </c>
      <c r="AL75">
        <f t="shared" ca="1" si="3"/>
        <v>9999</v>
      </c>
      <c r="AM75">
        <f t="shared" ca="1" si="3"/>
        <v>9999</v>
      </c>
      <c r="AN75">
        <f t="shared" ca="1" si="3"/>
        <v>9999</v>
      </c>
      <c r="AO75">
        <f t="shared" ca="1" si="3"/>
        <v>9999</v>
      </c>
      <c r="AP75">
        <f t="shared" ca="1" si="3"/>
        <v>9999</v>
      </c>
      <c r="AQ75">
        <f t="shared" ca="1" si="3"/>
        <v>9999</v>
      </c>
      <c r="AR75">
        <f t="shared" ca="1" si="3"/>
        <v>9999</v>
      </c>
      <c r="AS75">
        <f t="shared" ca="1" si="3"/>
        <v>9999</v>
      </c>
      <c r="AT75">
        <f t="shared" ca="1" si="3"/>
        <v>9999</v>
      </c>
      <c r="AU75">
        <f t="shared" ca="1" si="3"/>
        <v>9999</v>
      </c>
      <c r="AV75">
        <f t="shared" ca="1" si="3"/>
        <v>9999</v>
      </c>
      <c r="AW75">
        <f t="shared" ca="1" si="3"/>
        <v>9999</v>
      </c>
      <c r="AX75">
        <f t="shared" ca="1" si="3"/>
        <v>9999</v>
      </c>
      <c r="AY75">
        <f t="shared" ca="1" si="3"/>
        <v>9999</v>
      </c>
      <c r="AZ75">
        <f t="shared" ca="1" si="3"/>
        <v>9999</v>
      </c>
      <c r="BA75">
        <f t="shared" ca="1" si="3"/>
        <v>9999</v>
      </c>
      <c r="BB75">
        <f t="shared" ca="1" si="4"/>
        <v>9999</v>
      </c>
      <c r="BC75">
        <f t="shared" ca="1" si="4"/>
        <v>9999</v>
      </c>
      <c r="BD75">
        <f t="shared" ca="1" si="4"/>
        <v>9999</v>
      </c>
      <c r="BE75">
        <f t="shared" ca="1" si="4"/>
        <v>9999</v>
      </c>
      <c r="BF75">
        <f t="shared" ca="1" si="4"/>
        <v>9999</v>
      </c>
      <c r="BG75">
        <f t="shared" ca="1" si="4"/>
        <v>9999</v>
      </c>
      <c r="BH75">
        <f t="shared" ca="1" si="4"/>
        <v>9999</v>
      </c>
      <c r="BI75">
        <f t="shared" ca="1" si="4"/>
        <v>9999</v>
      </c>
    </row>
    <row r="76" spans="1:61" x14ac:dyDescent="0.25">
      <c r="A76" s="20">
        <v>11</v>
      </c>
      <c r="B76">
        <f t="shared" ca="1" si="1"/>
        <v>9999</v>
      </c>
      <c r="C76">
        <f t="shared" ca="1" si="1"/>
        <v>9999</v>
      </c>
      <c r="D76">
        <f t="shared" ca="1" si="1"/>
        <v>9999</v>
      </c>
      <c r="E76">
        <f t="shared" ca="1" si="1"/>
        <v>9999</v>
      </c>
      <c r="F76">
        <f t="shared" ca="1" si="1"/>
        <v>9999</v>
      </c>
      <c r="G76">
        <f t="shared" ca="1" si="1"/>
        <v>9999</v>
      </c>
      <c r="H76">
        <f t="shared" ca="1" si="1"/>
        <v>9999</v>
      </c>
      <c r="I76">
        <f t="shared" ca="1" si="1"/>
        <v>9999</v>
      </c>
      <c r="J76">
        <f t="shared" ca="1" si="1"/>
        <v>9999</v>
      </c>
      <c r="K76">
        <f t="shared" ca="1" si="1"/>
        <v>9999</v>
      </c>
      <c r="L76">
        <f t="shared" ca="1" si="1"/>
        <v>9999</v>
      </c>
      <c r="M76">
        <f t="shared" ca="1" si="1"/>
        <v>9999</v>
      </c>
      <c r="N76">
        <f t="shared" ca="1" si="1"/>
        <v>9999</v>
      </c>
      <c r="O76">
        <f t="shared" ca="1" si="1"/>
        <v>9999</v>
      </c>
      <c r="P76">
        <f t="shared" ca="1" si="1"/>
        <v>9999</v>
      </c>
      <c r="Q76">
        <f t="shared" ca="1" si="1"/>
        <v>9999</v>
      </c>
      <c r="R76">
        <f t="shared" ca="1" si="5"/>
        <v>9999</v>
      </c>
      <c r="S76">
        <f t="shared" ca="1" si="5"/>
        <v>9999</v>
      </c>
      <c r="T76">
        <f t="shared" ca="1" si="5"/>
        <v>9999</v>
      </c>
      <c r="U76">
        <f t="shared" ca="1" si="5"/>
        <v>9999</v>
      </c>
      <c r="V76">
        <f t="shared" ca="1" si="5"/>
        <v>9999</v>
      </c>
      <c r="W76">
        <f t="shared" ca="1" si="5"/>
        <v>9999</v>
      </c>
      <c r="X76">
        <f t="shared" ca="1" si="5"/>
        <v>9999</v>
      </c>
      <c r="Y76">
        <f t="shared" ca="1" si="5"/>
        <v>9999</v>
      </c>
      <c r="Z76">
        <f t="shared" ca="1" si="5"/>
        <v>9999</v>
      </c>
      <c r="AA76">
        <f t="shared" ca="1" si="5"/>
        <v>9999</v>
      </c>
      <c r="AB76">
        <f t="shared" ca="1" si="5"/>
        <v>9999</v>
      </c>
      <c r="AC76">
        <f t="shared" ca="1" si="5"/>
        <v>9999</v>
      </c>
      <c r="AD76">
        <f t="shared" ca="1" si="5"/>
        <v>9999</v>
      </c>
      <c r="AE76">
        <f t="shared" ca="1" si="5"/>
        <v>9999</v>
      </c>
      <c r="AF76">
        <f t="shared" ca="1" si="5"/>
        <v>9999</v>
      </c>
      <c r="AG76">
        <f t="shared" ca="1" si="5"/>
        <v>9999</v>
      </c>
      <c r="AH76">
        <f t="shared" ca="1" si="6"/>
        <v>9999</v>
      </c>
      <c r="AI76">
        <f t="shared" ca="1" si="6"/>
        <v>9999</v>
      </c>
      <c r="AJ76">
        <f t="shared" ca="1" si="6"/>
        <v>9999</v>
      </c>
      <c r="AK76">
        <f t="shared" ca="1" si="6"/>
        <v>9999</v>
      </c>
      <c r="AL76">
        <f t="shared" ca="1" si="3"/>
        <v>9999</v>
      </c>
      <c r="AM76">
        <f t="shared" ca="1" si="3"/>
        <v>9999</v>
      </c>
      <c r="AN76">
        <f t="shared" ca="1" si="3"/>
        <v>9999</v>
      </c>
      <c r="AO76">
        <f t="shared" ca="1" si="3"/>
        <v>9999</v>
      </c>
      <c r="AP76">
        <f t="shared" ca="1" si="3"/>
        <v>9999</v>
      </c>
      <c r="AQ76">
        <f t="shared" ca="1" si="3"/>
        <v>9999</v>
      </c>
      <c r="AR76">
        <f t="shared" ca="1" si="3"/>
        <v>9999</v>
      </c>
      <c r="AS76">
        <f t="shared" ca="1" si="3"/>
        <v>9999</v>
      </c>
      <c r="AT76">
        <f t="shared" ca="1" si="3"/>
        <v>9999</v>
      </c>
      <c r="AU76">
        <f t="shared" ca="1" si="3"/>
        <v>9999</v>
      </c>
      <c r="AV76">
        <f t="shared" ca="1" si="3"/>
        <v>9999</v>
      </c>
      <c r="AW76">
        <f t="shared" ca="1" si="3"/>
        <v>9999</v>
      </c>
      <c r="AX76">
        <f t="shared" ca="1" si="3"/>
        <v>9999</v>
      </c>
      <c r="AY76">
        <f t="shared" ca="1" si="3"/>
        <v>9999</v>
      </c>
      <c r="AZ76">
        <f t="shared" ca="1" si="3"/>
        <v>9999</v>
      </c>
      <c r="BA76">
        <f t="shared" ca="1" si="3"/>
        <v>9999</v>
      </c>
      <c r="BB76">
        <f t="shared" ca="1" si="4"/>
        <v>9999</v>
      </c>
      <c r="BC76">
        <f t="shared" ca="1" si="4"/>
        <v>9999</v>
      </c>
      <c r="BD76">
        <f t="shared" ca="1" si="4"/>
        <v>9999</v>
      </c>
      <c r="BE76">
        <f t="shared" ca="1" si="4"/>
        <v>9999</v>
      </c>
      <c r="BF76">
        <f t="shared" ca="1" si="4"/>
        <v>9999</v>
      </c>
      <c r="BG76">
        <f t="shared" ca="1" si="4"/>
        <v>9999</v>
      </c>
      <c r="BH76">
        <f t="shared" ca="1" si="4"/>
        <v>9999</v>
      </c>
      <c r="BI76">
        <f t="shared" ca="1" si="4"/>
        <v>9999</v>
      </c>
    </row>
    <row r="77" spans="1:61" x14ac:dyDescent="0.25">
      <c r="A77" s="20">
        <v>12</v>
      </c>
      <c r="B77">
        <f t="shared" ca="1" si="1"/>
        <v>9999</v>
      </c>
      <c r="C77">
        <f t="shared" ca="1" si="1"/>
        <v>9999</v>
      </c>
      <c r="D77">
        <f t="shared" ca="1" si="1"/>
        <v>9999</v>
      </c>
      <c r="E77">
        <f t="shared" ca="1" si="1"/>
        <v>9999</v>
      </c>
      <c r="F77">
        <f t="shared" ca="1" si="1"/>
        <v>9999</v>
      </c>
      <c r="G77">
        <f t="shared" ca="1" si="1"/>
        <v>9999</v>
      </c>
      <c r="H77">
        <f t="shared" ca="1" si="1"/>
        <v>9999</v>
      </c>
      <c r="I77">
        <f t="shared" ca="1" si="1"/>
        <v>9999</v>
      </c>
      <c r="J77">
        <f t="shared" ca="1" si="1"/>
        <v>9999</v>
      </c>
      <c r="K77">
        <f t="shared" ca="1" si="1"/>
        <v>9999</v>
      </c>
      <c r="L77">
        <f t="shared" ca="1" si="1"/>
        <v>9999</v>
      </c>
      <c r="M77">
        <f t="shared" ca="1" si="1"/>
        <v>9999</v>
      </c>
      <c r="N77">
        <f t="shared" ca="1" si="1"/>
        <v>9999</v>
      </c>
      <c r="O77">
        <f t="shared" ca="1" si="1"/>
        <v>9999</v>
      </c>
      <c r="P77">
        <f t="shared" ca="1" si="1"/>
        <v>9999</v>
      </c>
      <c r="Q77">
        <f t="shared" ca="1" si="1"/>
        <v>9999</v>
      </c>
      <c r="R77">
        <f t="shared" ca="1" si="5"/>
        <v>9999</v>
      </c>
      <c r="S77">
        <f t="shared" ca="1" si="5"/>
        <v>9999</v>
      </c>
      <c r="T77">
        <f t="shared" ca="1" si="5"/>
        <v>9999</v>
      </c>
      <c r="U77">
        <f t="shared" ca="1" si="5"/>
        <v>9999</v>
      </c>
      <c r="V77">
        <f t="shared" ca="1" si="5"/>
        <v>9999</v>
      </c>
      <c r="W77">
        <f t="shared" ca="1" si="5"/>
        <v>9999</v>
      </c>
      <c r="X77">
        <f t="shared" ca="1" si="5"/>
        <v>9999</v>
      </c>
      <c r="Y77">
        <f t="shared" ca="1" si="5"/>
        <v>9999</v>
      </c>
      <c r="Z77">
        <f t="shared" ca="1" si="5"/>
        <v>9999</v>
      </c>
      <c r="AA77">
        <f t="shared" ca="1" si="5"/>
        <v>9999</v>
      </c>
      <c r="AB77">
        <f t="shared" ca="1" si="5"/>
        <v>9999</v>
      </c>
      <c r="AC77">
        <f t="shared" ca="1" si="5"/>
        <v>9999</v>
      </c>
      <c r="AD77">
        <f t="shared" ca="1" si="5"/>
        <v>9999</v>
      </c>
      <c r="AE77">
        <f t="shared" ca="1" si="5"/>
        <v>9999</v>
      </c>
      <c r="AF77">
        <f t="shared" ca="1" si="5"/>
        <v>9999</v>
      </c>
      <c r="AG77">
        <f t="shared" ca="1" si="5"/>
        <v>9999</v>
      </c>
      <c r="AH77">
        <f t="shared" ca="1" si="6"/>
        <v>9999</v>
      </c>
      <c r="AI77">
        <f t="shared" ca="1" si="6"/>
        <v>9999</v>
      </c>
      <c r="AJ77">
        <f t="shared" ca="1" si="6"/>
        <v>9999</v>
      </c>
      <c r="AK77">
        <f t="shared" ca="1" si="6"/>
        <v>9999</v>
      </c>
      <c r="AL77">
        <f t="shared" ca="1" si="3"/>
        <v>9999</v>
      </c>
      <c r="AM77">
        <f t="shared" ca="1" si="3"/>
        <v>9999</v>
      </c>
      <c r="AN77">
        <f t="shared" ca="1" si="3"/>
        <v>9999</v>
      </c>
      <c r="AO77">
        <f t="shared" ca="1" si="3"/>
        <v>9999</v>
      </c>
      <c r="AP77">
        <f t="shared" ca="1" si="3"/>
        <v>9999</v>
      </c>
      <c r="AQ77">
        <f t="shared" ca="1" si="3"/>
        <v>9999</v>
      </c>
      <c r="AR77">
        <f t="shared" ca="1" si="3"/>
        <v>9999</v>
      </c>
      <c r="AS77">
        <f t="shared" ca="1" si="3"/>
        <v>9999</v>
      </c>
      <c r="AT77">
        <f t="shared" ca="1" si="3"/>
        <v>9999</v>
      </c>
      <c r="AU77">
        <f t="shared" ca="1" si="3"/>
        <v>9999</v>
      </c>
      <c r="AV77">
        <f t="shared" ca="1" si="3"/>
        <v>9999</v>
      </c>
      <c r="AW77">
        <f t="shared" ca="1" si="3"/>
        <v>9999</v>
      </c>
      <c r="AX77">
        <f t="shared" ca="1" si="3"/>
        <v>9999</v>
      </c>
      <c r="AY77">
        <f t="shared" ca="1" si="3"/>
        <v>9999</v>
      </c>
      <c r="AZ77">
        <f t="shared" ca="1" si="3"/>
        <v>9999</v>
      </c>
      <c r="BA77">
        <f t="shared" ca="1" si="3"/>
        <v>9999</v>
      </c>
      <c r="BB77">
        <f t="shared" ca="1" si="4"/>
        <v>9999</v>
      </c>
      <c r="BC77">
        <f t="shared" ca="1" si="4"/>
        <v>9999</v>
      </c>
      <c r="BD77">
        <f t="shared" ca="1" si="4"/>
        <v>9999</v>
      </c>
      <c r="BE77">
        <f t="shared" ca="1" si="4"/>
        <v>9999</v>
      </c>
      <c r="BF77">
        <f t="shared" ca="1" si="4"/>
        <v>9999</v>
      </c>
      <c r="BG77">
        <f t="shared" ca="1" si="4"/>
        <v>9999</v>
      </c>
      <c r="BH77">
        <f t="shared" ca="1" si="4"/>
        <v>9999</v>
      </c>
      <c r="BI77">
        <f t="shared" ca="1" si="4"/>
        <v>9999</v>
      </c>
    </row>
    <row r="78" spans="1:61" x14ac:dyDescent="0.25">
      <c r="A78" s="20">
        <v>13</v>
      </c>
      <c r="B78">
        <f t="shared" ca="1" si="1"/>
        <v>9999</v>
      </c>
      <c r="C78">
        <f t="shared" ca="1" si="1"/>
        <v>9999</v>
      </c>
      <c r="D78">
        <f t="shared" ca="1" si="1"/>
        <v>9999</v>
      </c>
      <c r="E78">
        <f t="shared" ca="1" si="1"/>
        <v>9999</v>
      </c>
      <c r="F78">
        <f t="shared" ca="1" si="1"/>
        <v>9999</v>
      </c>
      <c r="G78">
        <f t="shared" ca="1" si="1"/>
        <v>9999</v>
      </c>
      <c r="H78">
        <f t="shared" ca="1" si="1"/>
        <v>9999</v>
      </c>
      <c r="I78">
        <f t="shared" ca="1" si="1"/>
        <v>9999</v>
      </c>
      <c r="J78">
        <f t="shared" ca="1" si="1"/>
        <v>9999</v>
      </c>
      <c r="K78">
        <f t="shared" ca="1" si="1"/>
        <v>9999</v>
      </c>
      <c r="L78">
        <f t="shared" ca="1" si="1"/>
        <v>9999</v>
      </c>
      <c r="M78">
        <f t="shared" ca="1" si="1"/>
        <v>9999</v>
      </c>
      <c r="N78">
        <f t="shared" ca="1" si="1"/>
        <v>9999</v>
      </c>
      <c r="O78">
        <f t="shared" ca="1" si="1"/>
        <v>9999</v>
      </c>
      <c r="P78">
        <f t="shared" ca="1" si="1"/>
        <v>9999</v>
      </c>
      <c r="Q78">
        <f t="shared" ca="1" si="1"/>
        <v>9999</v>
      </c>
      <c r="R78">
        <f t="shared" ca="1" si="5"/>
        <v>9999</v>
      </c>
      <c r="S78">
        <f t="shared" ca="1" si="5"/>
        <v>9999</v>
      </c>
      <c r="T78">
        <f t="shared" ca="1" si="5"/>
        <v>9999</v>
      </c>
      <c r="U78">
        <f t="shared" ca="1" si="5"/>
        <v>9999</v>
      </c>
      <c r="V78">
        <f t="shared" ca="1" si="5"/>
        <v>9999</v>
      </c>
      <c r="W78">
        <f t="shared" ca="1" si="5"/>
        <v>9999</v>
      </c>
      <c r="X78">
        <f t="shared" ca="1" si="5"/>
        <v>9999</v>
      </c>
      <c r="Y78">
        <f t="shared" ca="1" si="5"/>
        <v>9999</v>
      </c>
      <c r="Z78">
        <f t="shared" ca="1" si="5"/>
        <v>9999</v>
      </c>
      <c r="AA78">
        <f t="shared" ca="1" si="5"/>
        <v>9999</v>
      </c>
      <c r="AB78">
        <f t="shared" ca="1" si="5"/>
        <v>9999</v>
      </c>
      <c r="AC78">
        <f t="shared" ca="1" si="5"/>
        <v>9999</v>
      </c>
      <c r="AD78">
        <f t="shared" ca="1" si="5"/>
        <v>9999</v>
      </c>
      <c r="AE78">
        <f t="shared" ca="1" si="5"/>
        <v>9999</v>
      </c>
      <c r="AF78">
        <f t="shared" ca="1" si="5"/>
        <v>9999</v>
      </c>
      <c r="AG78">
        <f t="shared" ca="1" si="5"/>
        <v>9999</v>
      </c>
      <c r="AH78">
        <f t="shared" ca="1" si="6"/>
        <v>9999</v>
      </c>
      <c r="AI78">
        <f t="shared" ca="1" si="6"/>
        <v>9999</v>
      </c>
      <c r="AJ78">
        <f t="shared" ca="1" si="6"/>
        <v>9999</v>
      </c>
      <c r="AK78">
        <f t="shared" ca="1" si="6"/>
        <v>9999</v>
      </c>
      <c r="AL78">
        <f t="shared" ca="1" si="3"/>
        <v>9999</v>
      </c>
      <c r="AM78">
        <f t="shared" ca="1" si="3"/>
        <v>9999</v>
      </c>
      <c r="AN78">
        <f t="shared" ca="1" si="3"/>
        <v>9999</v>
      </c>
      <c r="AO78">
        <f t="shared" ca="1" si="3"/>
        <v>9999</v>
      </c>
      <c r="AP78">
        <f t="shared" ca="1" si="3"/>
        <v>9999</v>
      </c>
      <c r="AQ78">
        <f t="shared" ca="1" si="3"/>
        <v>9999</v>
      </c>
      <c r="AR78">
        <f t="shared" ca="1" si="3"/>
        <v>9999</v>
      </c>
      <c r="AS78">
        <f t="shared" ca="1" si="3"/>
        <v>9999</v>
      </c>
      <c r="AT78">
        <f t="shared" ca="1" si="3"/>
        <v>9999</v>
      </c>
      <c r="AU78">
        <f t="shared" ca="1" si="3"/>
        <v>9999</v>
      </c>
      <c r="AV78">
        <f t="shared" ca="1" si="3"/>
        <v>9999</v>
      </c>
      <c r="AW78">
        <f t="shared" ca="1" si="3"/>
        <v>9999</v>
      </c>
      <c r="AX78">
        <f t="shared" ca="1" si="3"/>
        <v>9999</v>
      </c>
      <c r="AY78">
        <f t="shared" ca="1" si="3"/>
        <v>9999</v>
      </c>
      <c r="AZ78">
        <f t="shared" ca="1" si="3"/>
        <v>9999</v>
      </c>
      <c r="BA78">
        <f t="shared" ca="1" si="3"/>
        <v>9999</v>
      </c>
      <c r="BB78">
        <f t="shared" ca="1" si="4"/>
        <v>9999</v>
      </c>
      <c r="BC78">
        <f t="shared" ca="1" si="4"/>
        <v>9999</v>
      </c>
      <c r="BD78">
        <f t="shared" ca="1" si="4"/>
        <v>9999</v>
      </c>
      <c r="BE78">
        <f t="shared" ca="1" si="4"/>
        <v>9999</v>
      </c>
      <c r="BF78">
        <f t="shared" ca="1" si="4"/>
        <v>9999</v>
      </c>
      <c r="BG78">
        <f t="shared" ca="1" si="4"/>
        <v>9999</v>
      </c>
      <c r="BH78">
        <f t="shared" ca="1" si="4"/>
        <v>9999</v>
      </c>
      <c r="BI78">
        <f t="shared" ca="1" si="4"/>
        <v>9999</v>
      </c>
    </row>
    <row r="79" spans="1:61" x14ac:dyDescent="0.25">
      <c r="A79" s="20">
        <v>14</v>
      </c>
      <c r="B79">
        <f t="shared" ca="1" si="1"/>
        <v>9999</v>
      </c>
      <c r="C79">
        <f t="shared" ca="1" si="1"/>
        <v>9999</v>
      </c>
      <c r="D79">
        <f t="shared" ca="1" si="1"/>
        <v>9999</v>
      </c>
      <c r="E79">
        <f t="shared" ca="1" si="1"/>
        <v>9999</v>
      </c>
      <c r="F79">
        <f t="shared" ca="1" si="1"/>
        <v>9999</v>
      </c>
      <c r="G79">
        <f t="shared" ca="1" si="1"/>
        <v>9999</v>
      </c>
      <c r="H79">
        <f t="shared" ca="1" si="1"/>
        <v>9999</v>
      </c>
      <c r="I79">
        <f t="shared" ca="1" si="1"/>
        <v>9999</v>
      </c>
      <c r="J79">
        <f t="shared" ca="1" si="1"/>
        <v>9999</v>
      </c>
      <c r="K79">
        <f t="shared" ca="1" si="1"/>
        <v>9999</v>
      </c>
      <c r="L79">
        <f t="shared" ca="1" si="1"/>
        <v>9999</v>
      </c>
      <c r="M79">
        <f t="shared" ca="1" si="1"/>
        <v>9999</v>
      </c>
      <c r="N79">
        <f t="shared" ca="1" si="1"/>
        <v>9999</v>
      </c>
      <c r="O79">
        <f t="shared" ca="1" si="1"/>
        <v>9999</v>
      </c>
      <c r="P79">
        <f t="shared" ca="1" si="1"/>
        <v>9999</v>
      </c>
      <c r="Q79">
        <f t="shared" ca="1" si="1"/>
        <v>9999</v>
      </c>
      <c r="R79">
        <f t="shared" ca="1" si="5"/>
        <v>9999</v>
      </c>
      <c r="S79">
        <f t="shared" ca="1" si="5"/>
        <v>9999</v>
      </c>
      <c r="T79">
        <f t="shared" ca="1" si="5"/>
        <v>9999</v>
      </c>
      <c r="U79">
        <f t="shared" ca="1" si="5"/>
        <v>9999</v>
      </c>
      <c r="V79">
        <f t="shared" ca="1" si="5"/>
        <v>9999</v>
      </c>
      <c r="W79">
        <f t="shared" ca="1" si="5"/>
        <v>9999</v>
      </c>
      <c r="X79">
        <f t="shared" ca="1" si="5"/>
        <v>9999</v>
      </c>
      <c r="Y79">
        <f t="shared" ca="1" si="5"/>
        <v>9999</v>
      </c>
      <c r="Z79">
        <f t="shared" ca="1" si="5"/>
        <v>9999</v>
      </c>
      <c r="AA79">
        <f t="shared" ca="1" si="5"/>
        <v>9999</v>
      </c>
      <c r="AB79">
        <f t="shared" ca="1" si="5"/>
        <v>9999</v>
      </c>
      <c r="AC79">
        <f t="shared" ca="1" si="5"/>
        <v>9999</v>
      </c>
      <c r="AD79">
        <f t="shared" ca="1" si="5"/>
        <v>9999</v>
      </c>
      <c r="AE79">
        <f t="shared" ca="1" si="5"/>
        <v>9999</v>
      </c>
      <c r="AF79">
        <f t="shared" ca="1" si="5"/>
        <v>9999</v>
      </c>
      <c r="AG79">
        <f t="shared" ca="1" si="5"/>
        <v>9999</v>
      </c>
      <c r="AH79">
        <f t="shared" ca="1" si="6"/>
        <v>9999</v>
      </c>
      <c r="AI79">
        <f t="shared" ca="1" si="6"/>
        <v>9999</v>
      </c>
      <c r="AJ79">
        <f t="shared" ca="1" si="6"/>
        <v>9999</v>
      </c>
      <c r="AK79">
        <f t="shared" ca="1" si="6"/>
        <v>9999</v>
      </c>
      <c r="AL79">
        <f t="shared" ca="1" si="3"/>
        <v>9999</v>
      </c>
      <c r="AM79">
        <f t="shared" ca="1" si="3"/>
        <v>9999</v>
      </c>
      <c r="AN79">
        <f t="shared" ca="1" si="3"/>
        <v>9999</v>
      </c>
      <c r="AO79">
        <f t="shared" ca="1" si="3"/>
        <v>9999</v>
      </c>
      <c r="AP79">
        <f t="shared" ca="1" si="3"/>
        <v>9999</v>
      </c>
      <c r="AQ79">
        <f t="shared" ca="1" si="3"/>
        <v>9999</v>
      </c>
      <c r="AR79">
        <f t="shared" ca="1" si="3"/>
        <v>9999</v>
      </c>
      <c r="AS79">
        <f t="shared" ca="1" si="3"/>
        <v>9999</v>
      </c>
      <c r="AT79">
        <f t="shared" ca="1" si="3"/>
        <v>9999</v>
      </c>
      <c r="AU79">
        <f t="shared" ca="1" si="3"/>
        <v>9999</v>
      </c>
      <c r="AV79">
        <f t="shared" ca="1" si="3"/>
        <v>9999</v>
      </c>
      <c r="AW79">
        <f t="shared" ca="1" si="3"/>
        <v>9999</v>
      </c>
      <c r="AX79">
        <f t="shared" ca="1" si="3"/>
        <v>9999</v>
      </c>
      <c r="AY79">
        <f t="shared" ca="1" si="3"/>
        <v>9999</v>
      </c>
      <c r="AZ79">
        <f t="shared" ca="1" si="3"/>
        <v>9999</v>
      </c>
      <c r="BA79">
        <f t="shared" ca="1" si="3"/>
        <v>9999</v>
      </c>
      <c r="BB79">
        <f t="shared" ca="1" si="4"/>
        <v>9999</v>
      </c>
      <c r="BC79">
        <f t="shared" ca="1" si="4"/>
        <v>9999</v>
      </c>
      <c r="BD79">
        <f t="shared" ca="1" si="4"/>
        <v>9999</v>
      </c>
      <c r="BE79">
        <f t="shared" ca="1" si="4"/>
        <v>9999</v>
      </c>
      <c r="BF79">
        <f t="shared" ca="1" si="4"/>
        <v>9999</v>
      </c>
      <c r="BG79">
        <f t="shared" ca="1" si="4"/>
        <v>9999</v>
      </c>
      <c r="BH79">
        <f t="shared" ca="1" si="4"/>
        <v>9999</v>
      </c>
      <c r="BI79">
        <f t="shared" ca="1" si="4"/>
        <v>9999</v>
      </c>
    </row>
    <row r="80" spans="1:61" x14ac:dyDescent="0.25">
      <c r="A80" s="20">
        <v>15</v>
      </c>
      <c r="B80">
        <f t="shared" ca="1" si="1"/>
        <v>9999</v>
      </c>
      <c r="C80">
        <f t="shared" ca="1" si="1"/>
        <v>9999</v>
      </c>
      <c r="D80">
        <f t="shared" ca="1" si="1"/>
        <v>9999</v>
      </c>
      <c r="E80">
        <f t="shared" ca="1" si="1"/>
        <v>9999</v>
      </c>
      <c r="F80">
        <f t="shared" ca="1" si="1"/>
        <v>9999</v>
      </c>
      <c r="G80">
        <f t="shared" ca="1" si="1"/>
        <v>9999</v>
      </c>
      <c r="H80">
        <f t="shared" ca="1" si="1"/>
        <v>9999</v>
      </c>
      <c r="I80">
        <f t="shared" ca="1" si="1"/>
        <v>9999</v>
      </c>
      <c r="J80">
        <f t="shared" ca="1" si="1"/>
        <v>9999</v>
      </c>
      <c r="K80">
        <f t="shared" ca="1" si="1"/>
        <v>9999</v>
      </c>
      <c r="L80">
        <f t="shared" ca="1" si="1"/>
        <v>9999</v>
      </c>
      <c r="M80">
        <f t="shared" ca="1" si="1"/>
        <v>9999</v>
      </c>
      <c r="N80">
        <f t="shared" ca="1" si="1"/>
        <v>9999</v>
      </c>
      <c r="O80">
        <f t="shared" ca="1" si="1"/>
        <v>9999</v>
      </c>
      <c r="P80">
        <f t="shared" ca="1" si="1"/>
        <v>9999</v>
      </c>
      <c r="Q80">
        <f t="shared" ca="1" si="1"/>
        <v>9999</v>
      </c>
      <c r="R80">
        <f t="shared" ca="1" si="5"/>
        <v>9999</v>
      </c>
      <c r="S80">
        <f t="shared" ca="1" si="5"/>
        <v>9999</v>
      </c>
      <c r="T80">
        <f t="shared" ca="1" si="5"/>
        <v>9999</v>
      </c>
      <c r="U80">
        <f t="shared" ca="1" si="5"/>
        <v>9999</v>
      </c>
      <c r="V80">
        <f t="shared" ca="1" si="5"/>
        <v>9999</v>
      </c>
      <c r="W80">
        <f t="shared" ca="1" si="5"/>
        <v>9999</v>
      </c>
      <c r="X80">
        <f t="shared" ca="1" si="5"/>
        <v>9999</v>
      </c>
      <c r="Y80">
        <f t="shared" ca="1" si="5"/>
        <v>9999</v>
      </c>
      <c r="Z80">
        <f t="shared" ca="1" si="5"/>
        <v>9999</v>
      </c>
      <c r="AA80">
        <f t="shared" ca="1" si="5"/>
        <v>9999</v>
      </c>
      <c r="AB80">
        <f t="shared" ca="1" si="5"/>
        <v>9999</v>
      </c>
      <c r="AC80">
        <f t="shared" ca="1" si="5"/>
        <v>9999</v>
      </c>
      <c r="AD80">
        <f t="shared" ca="1" si="5"/>
        <v>9999</v>
      </c>
      <c r="AE80">
        <f t="shared" ca="1" si="5"/>
        <v>9999</v>
      </c>
      <c r="AF80">
        <f t="shared" ca="1" si="5"/>
        <v>9999</v>
      </c>
      <c r="AG80">
        <f t="shared" ca="1" si="5"/>
        <v>9999</v>
      </c>
      <c r="AH80">
        <f t="shared" ca="1" si="6"/>
        <v>9999</v>
      </c>
      <c r="AI80">
        <f t="shared" ca="1" si="6"/>
        <v>9999</v>
      </c>
      <c r="AJ80">
        <f t="shared" ca="1" si="6"/>
        <v>9999</v>
      </c>
      <c r="AK80">
        <f t="shared" ca="1" si="6"/>
        <v>9999</v>
      </c>
      <c r="AL80">
        <f t="shared" ca="1" si="3"/>
        <v>9999</v>
      </c>
      <c r="AM80">
        <f t="shared" ca="1" si="3"/>
        <v>9999</v>
      </c>
      <c r="AN80">
        <f t="shared" ca="1" si="3"/>
        <v>9999</v>
      </c>
      <c r="AO80">
        <f t="shared" ca="1" si="3"/>
        <v>9999</v>
      </c>
      <c r="AP80">
        <f t="shared" ca="1" si="3"/>
        <v>9999</v>
      </c>
      <c r="AQ80">
        <f t="shared" ca="1" si="3"/>
        <v>9999</v>
      </c>
      <c r="AR80">
        <f t="shared" ca="1" si="3"/>
        <v>9999</v>
      </c>
      <c r="AS80">
        <f t="shared" ca="1" si="3"/>
        <v>9999</v>
      </c>
      <c r="AT80">
        <f t="shared" ca="1" si="3"/>
        <v>9999</v>
      </c>
      <c r="AU80">
        <f t="shared" ca="1" si="3"/>
        <v>9999</v>
      </c>
      <c r="AV80">
        <f t="shared" ca="1" si="3"/>
        <v>9999</v>
      </c>
      <c r="AW80">
        <f t="shared" ca="1" si="3"/>
        <v>9999</v>
      </c>
      <c r="AX80">
        <f t="shared" ca="1" si="3"/>
        <v>9999</v>
      </c>
      <c r="AY80">
        <f t="shared" ca="1" si="3"/>
        <v>9999</v>
      </c>
      <c r="AZ80">
        <f t="shared" ca="1" si="3"/>
        <v>9999</v>
      </c>
      <c r="BA80">
        <f t="shared" ca="1" si="3"/>
        <v>9999</v>
      </c>
      <c r="BB80">
        <f t="shared" ca="1" si="4"/>
        <v>9999</v>
      </c>
      <c r="BC80">
        <f t="shared" ca="1" si="4"/>
        <v>9999</v>
      </c>
      <c r="BD80">
        <f t="shared" ca="1" si="4"/>
        <v>9999</v>
      </c>
      <c r="BE80">
        <f t="shared" ca="1" si="4"/>
        <v>9999</v>
      </c>
      <c r="BF80">
        <f t="shared" ca="1" si="4"/>
        <v>9999</v>
      </c>
      <c r="BG80">
        <f t="shared" ca="1" si="4"/>
        <v>9999</v>
      </c>
      <c r="BH80">
        <f t="shared" ca="1" si="4"/>
        <v>9999</v>
      </c>
      <c r="BI80">
        <f t="shared" ca="1" si="4"/>
        <v>9999</v>
      </c>
    </row>
    <row r="81" spans="1:61" x14ac:dyDescent="0.25">
      <c r="A81" s="20">
        <v>16</v>
      </c>
      <c r="B81">
        <f t="shared" ca="1" si="1"/>
        <v>9999</v>
      </c>
      <c r="C81">
        <f t="shared" ca="1" si="1"/>
        <v>9999</v>
      </c>
      <c r="D81">
        <f t="shared" ca="1" si="1"/>
        <v>9999</v>
      </c>
      <c r="E81">
        <f t="shared" ca="1" si="1"/>
        <v>9999</v>
      </c>
      <c r="F81">
        <f t="shared" ca="1" si="1"/>
        <v>9999</v>
      </c>
      <c r="G81">
        <f t="shared" ca="1" si="1"/>
        <v>9999</v>
      </c>
      <c r="H81">
        <f t="shared" ca="1" si="1"/>
        <v>9999</v>
      </c>
      <c r="I81">
        <f t="shared" ca="1" si="1"/>
        <v>9999</v>
      </c>
      <c r="J81">
        <f t="shared" ca="1" si="1"/>
        <v>9999</v>
      </c>
      <c r="K81">
        <f t="shared" ca="1" si="1"/>
        <v>9999</v>
      </c>
      <c r="L81">
        <f t="shared" ca="1" si="1"/>
        <v>9999</v>
      </c>
      <c r="M81">
        <f t="shared" ca="1" si="1"/>
        <v>9999</v>
      </c>
      <c r="N81">
        <f t="shared" ca="1" si="1"/>
        <v>9999</v>
      </c>
      <c r="O81">
        <f t="shared" ca="1" si="1"/>
        <v>9999</v>
      </c>
      <c r="P81">
        <f t="shared" ca="1" si="1"/>
        <v>9999</v>
      </c>
      <c r="Q81">
        <f t="shared" ca="1" si="1"/>
        <v>9999</v>
      </c>
      <c r="R81">
        <f t="shared" ca="1" si="5"/>
        <v>9999</v>
      </c>
      <c r="S81">
        <f t="shared" ca="1" si="5"/>
        <v>9999</v>
      </c>
      <c r="T81">
        <f t="shared" ca="1" si="5"/>
        <v>9999</v>
      </c>
      <c r="U81">
        <f t="shared" ca="1" si="5"/>
        <v>9999</v>
      </c>
      <c r="V81">
        <f t="shared" ca="1" si="5"/>
        <v>9999</v>
      </c>
      <c r="W81">
        <f t="shared" ca="1" si="5"/>
        <v>9999</v>
      </c>
      <c r="X81">
        <f t="shared" ca="1" si="5"/>
        <v>9999</v>
      </c>
      <c r="Y81">
        <f t="shared" ca="1" si="5"/>
        <v>9999</v>
      </c>
      <c r="Z81">
        <f t="shared" ca="1" si="5"/>
        <v>9999</v>
      </c>
      <c r="AA81">
        <f t="shared" ca="1" si="5"/>
        <v>9999</v>
      </c>
      <c r="AB81">
        <f t="shared" ca="1" si="5"/>
        <v>9999</v>
      </c>
      <c r="AC81">
        <f t="shared" ca="1" si="5"/>
        <v>9999</v>
      </c>
      <c r="AD81">
        <f t="shared" ca="1" si="5"/>
        <v>9999</v>
      </c>
      <c r="AE81">
        <f t="shared" ca="1" si="5"/>
        <v>9999</v>
      </c>
      <c r="AF81">
        <f t="shared" ca="1" si="5"/>
        <v>9999</v>
      </c>
      <c r="AG81">
        <f t="shared" ca="1" si="5"/>
        <v>9999</v>
      </c>
      <c r="AH81">
        <f t="shared" ca="1" si="6"/>
        <v>9999</v>
      </c>
      <c r="AI81">
        <f t="shared" ca="1" si="6"/>
        <v>9999</v>
      </c>
      <c r="AJ81">
        <f t="shared" ca="1" si="6"/>
        <v>9999</v>
      </c>
      <c r="AK81">
        <f t="shared" ca="1" si="6"/>
        <v>9999</v>
      </c>
      <c r="AL81">
        <f t="shared" ca="1" si="3"/>
        <v>9999</v>
      </c>
      <c r="AM81">
        <f t="shared" ca="1" si="3"/>
        <v>9999</v>
      </c>
      <c r="AN81">
        <f t="shared" ca="1" si="3"/>
        <v>9999</v>
      </c>
      <c r="AO81">
        <f t="shared" ca="1" si="3"/>
        <v>9999</v>
      </c>
      <c r="AP81">
        <f t="shared" ca="1" si="3"/>
        <v>9999</v>
      </c>
      <c r="AQ81">
        <f t="shared" ca="1" si="3"/>
        <v>9999</v>
      </c>
      <c r="AR81">
        <f t="shared" ca="1" si="3"/>
        <v>9999</v>
      </c>
      <c r="AS81">
        <f t="shared" ca="1" si="3"/>
        <v>9999</v>
      </c>
      <c r="AT81">
        <f t="shared" ca="1" si="3"/>
        <v>9999</v>
      </c>
      <c r="AU81">
        <f t="shared" ca="1" si="3"/>
        <v>9999</v>
      </c>
      <c r="AV81">
        <f t="shared" ca="1" si="3"/>
        <v>9999</v>
      </c>
      <c r="AW81">
        <f t="shared" ca="1" si="3"/>
        <v>9999</v>
      </c>
      <c r="AX81">
        <f t="shared" ca="1" si="3"/>
        <v>9999</v>
      </c>
      <c r="AY81">
        <f t="shared" ca="1" si="3"/>
        <v>9999</v>
      </c>
      <c r="AZ81">
        <f t="shared" ca="1" si="3"/>
        <v>9999</v>
      </c>
      <c r="BA81">
        <f t="shared" ca="1" si="3"/>
        <v>9999</v>
      </c>
      <c r="BB81">
        <f t="shared" ca="1" si="4"/>
        <v>9999</v>
      </c>
      <c r="BC81">
        <f t="shared" ca="1" si="4"/>
        <v>9999</v>
      </c>
      <c r="BD81">
        <f t="shared" ca="1" si="4"/>
        <v>9999</v>
      </c>
      <c r="BE81">
        <f t="shared" ca="1" si="4"/>
        <v>9999</v>
      </c>
      <c r="BF81">
        <f t="shared" ca="1" si="4"/>
        <v>9999</v>
      </c>
      <c r="BG81">
        <f t="shared" ca="1" si="4"/>
        <v>9999</v>
      </c>
      <c r="BH81">
        <f t="shared" ca="1" si="4"/>
        <v>9999</v>
      </c>
      <c r="BI81">
        <f t="shared" ca="1" si="4"/>
        <v>9999</v>
      </c>
    </row>
    <row r="82" spans="1:61" x14ac:dyDescent="0.25">
      <c r="A82" s="20">
        <v>17</v>
      </c>
      <c r="B82">
        <f t="shared" ca="1" si="1"/>
        <v>9999</v>
      </c>
      <c r="C82">
        <f t="shared" ca="1" si="1"/>
        <v>9999</v>
      </c>
      <c r="D82">
        <f t="shared" ca="1" si="1"/>
        <v>9999</v>
      </c>
      <c r="E82">
        <f t="shared" ca="1" si="1"/>
        <v>9999</v>
      </c>
      <c r="F82">
        <f t="shared" ca="1" si="1"/>
        <v>9999</v>
      </c>
      <c r="G82">
        <f t="shared" ca="1" si="1"/>
        <v>9999</v>
      </c>
      <c r="H82">
        <f t="shared" ca="1" si="1"/>
        <v>9999</v>
      </c>
      <c r="I82">
        <f t="shared" ca="1" si="1"/>
        <v>9999</v>
      </c>
      <c r="J82">
        <f t="shared" ca="1" si="1"/>
        <v>9999</v>
      </c>
      <c r="K82">
        <f t="shared" ca="1" si="1"/>
        <v>9999</v>
      </c>
      <c r="L82">
        <f t="shared" ca="1" si="1"/>
        <v>9999</v>
      </c>
      <c r="M82">
        <f t="shared" ca="1" si="1"/>
        <v>9999</v>
      </c>
      <c r="N82">
        <f t="shared" ca="1" si="1"/>
        <v>9999</v>
      </c>
      <c r="O82">
        <f t="shared" ca="1" si="1"/>
        <v>9999</v>
      </c>
      <c r="P82">
        <f t="shared" ca="1" si="1"/>
        <v>9999</v>
      </c>
      <c r="Q82">
        <f t="shared" ca="1" si="1"/>
        <v>9999</v>
      </c>
      <c r="R82">
        <f t="shared" ca="1" si="5"/>
        <v>9999</v>
      </c>
      <c r="S82">
        <f t="shared" ca="1" si="5"/>
        <v>9999</v>
      </c>
      <c r="T82">
        <f t="shared" ca="1" si="5"/>
        <v>9999</v>
      </c>
      <c r="U82">
        <f t="shared" ca="1" si="5"/>
        <v>9999</v>
      </c>
      <c r="V82">
        <f t="shared" ca="1" si="5"/>
        <v>9999</v>
      </c>
      <c r="W82">
        <f t="shared" ca="1" si="5"/>
        <v>9999</v>
      </c>
      <c r="X82">
        <f t="shared" ca="1" si="5"/>
        <v>9999</v>
      </c>
      <c r="Y82">
        <f t="shared" ca="1" si="5"/>
        <v>-1</v>
      </c>
      <c r="Z82">
        <f t="shared" ca="1" si="5"/>
        <v>-1</v>
      </c>
      <c r="AA82">
        <f t="shared" ca="1" si="5"/>
        <v>-1</v>
      </c>
      <c r="AB82">
        <f t="shared" ca="1" si="5"/>
        <v>-1</v>
      </c>
      <c r="AC82">
        <f t="shared" ca="1" si="5"/>
        <v>-1</v>
      </c>
      <c r="AD82">
        <f t="shared" ca="1" si="5"/>
        <v>-1</v>
      </c>
      <c r="AE82">
        <f t="shared" ca="1" si="5"/>
        <v>-1</v>
      </c>
      <c r="AF82">
        <f t="shared" ca="1" si="5"/>
        <v>-1</v>
      </c>
      <c r="AG82">
        <f t="shared" ca="1" si="5"/>
        <v>-1</v>
      </c>
      <c r="AH82">
        <f t="shared" ca="1" si="6"/>
        <v>-1</v>
      </c>
      <c r="AI82">
        <f t="shared" ca="1" si="6"/>
        <v>-1</v>
      </c>
      <c r="AJ82">
        <f t="shared" ca="1" si="6"/>
        <v>-1</v>
      </c>
      <c r="AK82">
        <f t="shared" ca="1" si="6"/>
        <v>-1</v>
      </c>
      <c r="AL82">
        <f t="shared" ca="1" si="3"/>
        <v>-1</v>
      </c>
      <c r="AM82">
        <f t="shared" ca="1" si="3"/>
        <v>-1</v>
      </c>
      <c r="AN82">
        <f t="shared" ca="1" si="3"/>
        <v>-1</v>
      </c>
      <c r="AO82">
        <f t="shared" ca="1" si="3"/>
        <v>-1</v>
      </c>
      <c r="AP82">
        <f t="shared" ca="1" si="3"/>
        <v>-1</v>
      </c>
      <c r="AQ82">
        <f t="shared" ca="1" si="3"/>
        <v>-1</v>
      </c>
      <c r="AR82">
        <f t="shared" ca="1" si="3"/>
        <v>-1</v>
      </c>
      <c r="AS82">
        <f t="shared" ca="1" si="3"/>
        <v>-1</v>
      </c>
      <c r="AT82">
        <f t="shared" ca="1" si="3"/>
        <v>-1</v>
      </c>
      <c r="AU82">
        <f t="shared" ca="1" si="3"/>
        <v>-1</v>
      </c>
      <c r="AV82">
        <f t="shared" ca="1" si="3"/>
        <v>-1</v>
      </c>
      <c r="AW82">
        <f t="shared" ca="1" si="3"/>
        <v>-1</v>
      </c>
      <c r="AX82">
        <f t="shared" ca="1" si="3"/>
        <v>-1</v>
      </c>
      <c r="AY82">
        <f t="shared" ca="1" si="3"/>
        <v>-1</v>
      </c>
      <c r="AZ82">
        <f t="shared" ca="1" si="3"/>
        <v>-1</v>
      </c>
      <c r="BA82">
        <f t="shared" ca="1" si="3"/>
        <v>-1</v>
      </c>
      <c r="BB82">
        <f t="shared" ca="1" si="4"/>
        <v>-1</v>
      </c>
      <c r="BC82">
        <f t="shared" ca="1" si="4"/>
        <v>-1</v>
      </c>
      <c r="BD82">
        <f t="shared" ca="1" si="4"/>
        <v>-1</v>
      </c>
      <c r="BE82">
        <f t="shared" ca="1" si="4"/>
        <v>-1</v>
      </c>
      <c r="BF82">
        <f t="shared" ca="1" si="4"/>
        <v>-1</v>
      </c>
      <c r="BG82">
        <f t="shared" ca="1" si="4"/>
        <v>-1</v>
      </c>
      <c r="BH82">
        <f t="shared" ca="1" si="4"/>
        <v>-1</v>
      </c>
      <c r="BI82">
        <f t="shared" ca="1" si="4"/>
        <v>-1</v>
      </c>
    </row>
    <row r="83" spans="1:61" x14ac:dyDescent="0.25">
      <c r="A83" s="20">
        <v>18</v>
      </c>
      <c r="B83">
        <f t="shared" ca="1" si="1"/>
        <v>9999</v>
      </c>
      <c r="C83">
        <f t="shared" ca="1" si="1"/>
        <v>9999</v>
      </c>
      <c r="D83">
        <f t="shared" ca="1" si="1"/>
        <v>9999</v>
      </c>
      <c r="E83">
        <f t="shared" ca="1" si="1"/>
        <v>9999</v>
      </c>
      <c r="F83">
        <f t="shared" ca="1" si="1"/>
        <v>9999</v>
      </c>
      <c r="G83">
        <f t="shared" ca="1" si="1"/>
        <v>9999</v>
      </c>
      <c r="H83">
        <f t="shared" ca="1" si="1"/>
        <v>9999</v>
      </c>
      <c r="I83">
        <f t="shared" ca="1" si="1"/>
        <v>9999</v>
      </c>
      <c r="J83">
        <f t="shared" ca="1" si="1"/>
        <v>9999</v>
      </c>
      <c r="K83">
        <f t="shared" ca="1" si="1"/>
        <v>9999</v>
      </c>
      <c r="L83">
        <f t="shared" ca="1" si="1"/>
        <v>9999</v>
      </c>
      <c r="M83">
        <f t="shared" ca="1" si="1"/>
        <v>9999</v>
      </c>
      <c r="N83">
        <f t="shared" ca="1" si="1"/>
        <v>9999</v>
      </c>
      <c r="O83">
        <f t="shared" ca="1" si="1"/>
        <v>9999</v>
      </c>
      <c r="P83">
        <f t="shared" ca="1" si="1"/>
        <v>9999</v>
      </c>
      <c r="Q83">
        <f t="shared" ca="1" si="1"/>
        <v>9999</v>
      </c>
      <c r="R83">
        <f t="shared" ca="1" si="5"/>
        <v>9999</v>
      </c>
      <c r="S83">
        <f t="shared" ca="1" si="5"/>
        <v>9999</v>
      </c>
      <c r="T83">
        <f t="shared" ca="1" si="5"/>
        <v>9999</v>
      </c>
      <c r="U83">
        <f t="shared" ca="1" si="5"/>
        <v>9999</v>
      </c>
      <c r="V83">
        <f t="shared" ca="1" si="5"/>
        <v>9999</v>
      </c>
      <c r="W83">
        <f t="shared" ca="1" si="5"/>
        <v>9999</v>
      </c>
      <c r="X83">
        <f t="shared" ca="1" si="5"/>
        <v>9999</v>
      </c>
      <c r="Y83">
        <f t="shared" ca="1" si="5"/>
        <v>-1</v>
      </c>
      <c r="Z83">
        <f t="shared" ca="1" si="5"/>
        <v>-1</v>
      </c>
      <c r="AA83">
        <f t="shared" ca="1" si="5"/>
        <v>-1</v>
      </c>
      <c r="AB83">
        <f t="shared" ca="1" si="5"/>
        <v>-1</v>
      </c>
      <c r="AC83">
        <f t="shared" ca="1" si="5"/>
        <v>-1</v>
      </c>
      <c r="AD83">
        <f t="shared" ca="1" si="5"/>
        <v>-1</v>
      </c>
      <c r="AE83">
        <f t="shared" ca="1" si="5"/>
        <v>-1</v>
      </c>
      <c r="AF83">
        <f t="shared" ca="1" si="5"/>
        <v>-1</v>
      </c>
      <c r="AG83">
        <f t="shared" ca="1" si="5"/>
        <v>-1</v>
      </c>
      <c r="AH83">
        <f t="shared" ca="1" si="6"/>
        <v>-1</v>
      </c>
      <c r="AI83">
        <f t="shared" ca="1" si="6"/>
        <v>-1</v>
      </c>
      <c r="AJ83">
        <f t="shared" ca="1" si="6"/>
        <v>-1</v>
      </c>
      <c r="AK83">
        <f t="shared" ca="1" si="6"/>
        <v>-1</v>
      </c>
      <c r="AL83">
        <f t="shared" ca="1" si="3"/>
        <v>-1</v>
      </c>
      <c r="AM83">
        <f t="shared" ca="1" si="3"/>
        <v>-1</v>
      </c>
      <c r="AN83">
        <f t="shared" ca="1" si="3"/>
        <v>-1</v>
      </c>
      <c r="AO83">
        <f t="shared" ca="1" si="3"/>
        <v>-1</v>
      </c>
      <c r="AP83">
        <f t="shared" ca="1" si="3"/>
        <v>-1</v>
      </c>
      <c r="AQ83">
        <f t="shared" ca="1" si="3"/>
        <v>-1</v>
      </c>
      <c r="AR83">
        <f t="shared" ca="1" si="3"/>
        <v>-1</v>
      </c>
      <c r="AS83">
        <f t="shared" ca="1" si="3"/>
        <v>-1</v>
      </c>
      <c r="AT83">
        <f t="shared" ca="1" si="3"/>
        <v>-1</v>
      </c>
      <c r="AU83">
        <f t="shared" ca="1" si="3"/>
        <v>-1</v>
      </c>
      <c r="AV83">
        <f t="shared" ca="1" si="3"/>
        <v>-1</v>
      </c>
      <c r="AW83">
        <f t="shared" ca="1" si="3"/>
        <v>-1</v>
      </c>
      <c r="AX83">
        <f t="shared" ca="1" si="3"/>
        <v>-1</v>
      </c>
      <c r="AY83">
        <f t="shared" ca="1" si="3"/>
        <v>-1</v>
      </c>
      <c r="AZ83">
        <f t="shared" ca="1" si="3"/>
        <v>-1</v>
      </c>
      <c r="BA83">
        <f t="shared" ca="1" si="3"/>
        <v>-1</v>
      </c>
      <c r="BB83">
        <f t="shared" ca="1" si="4"/>
        <v>-1</v>
      </c>
      <c r="BC83">
        <f t="shared" ca="1" si="4"/>
        <v>-1</v>
      </c>
      <c r="BD83">
        <f t="shared" ca="1" si="4"/>
        <v>-1</v>
      </c>
      <c r="BE83">
        <f t="shared" ca="1" si="4"/>
        <v>-1</v>
      </c>
      <c r="BF83">
        <f t="shared" ca="1" si="4"/>
        <v>-1</v>
      </c>
      <c r="BG83">
        <f t="shared" ca="1" si="4"/>
        <v>-1</v>
      </c>
      <c r="BH83">
        <f t="shared" ca="1" si="4"/>
        <v>-1</v>
      </c>
      <c r="BI83">
        <f t="shared" ca="1" si="4"/>
        <v>-1</v>
      </c>
    </row>
    <row r="84" spans="1:61" x14ac:dyDescent="0.25">
      <c r="A84" s="20">
        <v>19</v>
      </c>
      <c r="B84">
        <f t="shared" ca="1" si="1"/>
        <v>9999</v>
      </c>
      <c r="C84">
        <f t="shared" ca="1" si="1"/>
        <v>9999</v>
      </c>
      <c r="D84">
        <f t="shared" ca="1" si="1"/>
        <v>9999</v>
      </c>
      <c r="E84">
        <f t="shared" ca="1" si="1"/>
        <v>9999</v>
      </c>
      <c r="F84">
        <f t="shared" ca="1" si="1"/>
        <v>9999</v>
      </c>
      <c r="G84">
        <f t="shared" ca="1" si="1"/>
        <v>9999</v>
      </c>
      <c r="H84">
        <f t="shared" ca="1" si="1"/>
        <v>9999</v>
      </c>
      <c r="I84">
        <f t="shared" ca="1" si="1"/>
        <v>9999</v>
      </c>
      <c r="J84">
        <f t="shared" ca="1" si="1"/>
        <v>9999</v>
      </c>
      <c r="K84">
        <f t="shared" ca="1" si="1"/>
        <v>9999</v>
      </c>
      <c r="L84">
        <f t="shared" ca="1" si="1"/>
        <v>9999</v>
      </c>
      <c r="M84">
        <f t="shared" ca="1" si="1"/>
        <v>9999</v>
      </c>
      <c r="N84">
        <f t="shared" ca="1" si="1"/>
        <v>9999</v>
      </c>
      <c r="O84">
        <f t="shared" ca="1" si="1"/>
        <v>9999</v>
      </c>
      <c r="P84">
        <f t="shared" ca="1" si="1"/>
        <v>9999</v>
      </c>
      <c r="Q84">
        <f t="shared" ca="1" si="1"/>
        <v>9999</v>
      </c>
      <c r="R84">
        <f t="shared" ca="1" si="5"/>
        <v>9999</v>
      </c>
      <c r="S84">
        <f t="shared" ca="1" si="5"/>
        <v>9999</v>
      </c>
      <c r="T84">
        <f t="shared" ca="1" si="5"/>
        <v>9999</v>
      </c>
      <c r="U84">
        <f t="shared" ca="1" si="5"/>
        <v>9999</v>
      </c>
      <c r="V84">
        <f t="shared" ca="1" si="5"/>
        <v>9999</v>
      </c>
      <c r="W84">
        <f t="shared" ca="1" si="5"/>
        <v>9999</v>
      </c>
      <c r="X84">
        <f t="shared" ca="1" si="5"/>
        <v>9999</v>
      </c>
      <c r="Y84">
        <f t="shared" ca="1" si="5"/>
        <v>-1</v>
      </c>
      <c r="Z84">
        <f t="shared" ca="1" si="5"/>
        <v>-1</v>
      </c>
      <c r="AA84">
        <f t="shared" ca="1" si="5"/>
        <v>-1</v>
      </c>
      <c r="AB84">
        <f t="shared" ca="1" si="5"/>
        <v>-1</v>
      </c>
      <c r="AC84">
        <f t="shared" ca="1" si="5"/>
        <v>-1</v>
      </c>
      <c r="AD84">
        <f t="shared" ca="1" si="5"/>
        <v>-1</v>
      </c>
      <c r="AE84">
        <f t="shared" ca="1" si="5"/>
        <v>-1</v>
      </c>
      <c r="AF84">
        <f t="shared" ca="1" si="5"/>
        <v>-1</v>
      </c>
      <c r="AG84">
        <f t="shared" ca="1" si="5"/>
        <v>-1</v>
      </c>
      <c r="AH84">
        <f t="shared" ca="1" si="6"/>
        <v>-1</v>
      </c>
      <c r="AI84">
        <f t="shared" ca="1" si="6"/>
        <v>-1</v>
      </c>
      <c r="AJ84">
        <f t="shared" ca="1" si="6"/>
        <v>-1</v>
      </c>
      <c r="AK84">
        <f t="shared" ca="1" si="6"/>
        <v>-1</v>
      </c>
      <c r="AL84">
        <f t="shared" ca="1" si="3"/>
        <v>-1</v>
      </c>
      <c r="AM84">
        <f t="shared" ca="1" si="3"/>
        <v>-1</v>
      </c>
      <c r="AN84">
        <f t="shared" ca="1" si="3"/>
        <v>-1</v>
      </c>
      <c r="AO84">
        <f t="shared" ca="1" si="3"/>
        <v>-1</v>
      </c>
      <c r="AP84">
        <f t="shared" ca="1" si="3"/>
        <v>-1</v>
      </c>
      <c r="AQ84">
        <f t="shared" ca="1" si="3"/>
        <v>-1</v>
      </c>
      <c r="AR84">
        <f t="shared" ca="1" si="3"/>
        <v>-1</v>
      </c>
      <c r="AS84">
        <f t="shared" ca="1" si="3"/>
        <v>-1</v>
      </c>
      <c r="AT84">
        <f t="shared" ca="1" si="3"/>
        <v>-1</v>
      </c>
      <c r="AU84">
        <f t="shared" ca="1" si="3"/>
        <v>-1</v>
      </c>
      <c r="AV84">
        <f t="shared" ca="1" si="3"/>
        <v>-1</v>
      </c>
      <c r="AW84">
        <f t="shared" ca="1" si="3"/>
        <v>-1</v>
      </c>
      <c r="AX84">
        <f t="shared" ca="1" si="3"/>
        <v>-1</v>
      </c>
      <c r="AY84">
        <f t="shared" ca="1" si="3"/>
        <v>-1</v>
      </c>
      <c r="AZ84">
        <f t="shared" ca="1" si="3"/>
        <v>-1</v>
      </c>
      <c r="BA84">
        <f t="shared" ca="1" si="3"/>
        <v>-1</v>
      </c>
      <c r="BB84">
        <f t="shared" ca="1" si="4"/>
        <v>-1</v>
      </c>
      <c r="BC84">
        <f t="shared" ca="1" si="4"/>
        <v>-1</v>
      </c>
      <c r="BD84">
        <f t="shared" ca="1" si="4"/>
        <v>-1</v>
      </c>
      <c r="BE84">
        <f t="shared" ca="1" si="4"/>
        <v>-1</v>
      </c>
      <c r="BF84">
        <f t="shared" ca="1" si="4"/>
        <v>-1</v>
      </c>
      <c r="BG84">
        <f t="shared" ca="1" si="4"/>
        <v>-1</v>
      </c>
      <c r="BH84">
        <f t="shared" ca="1" si="4"/>
        <v>-1</v>
      </c>
      <c r="BI84">
        <f t="shared" ca="1" si="4"/>
        <v>-1</v>
      </c>
    </row>
    <row r="85" spans="1:61" x14ac:dyDescent="0.25">
      <c r="A85" s="20">
        <v>20</v>
      </c>
      <c r="B85">
        <f t="shared" ca="1" si="1"/>
        <v>9999</v>
      </c>
      <c r="C85">
        <f t="shared" ca="1" si="1"/>
        <v>9999</v>
      </c>
      <c r="D85">
        <f t="shared" ca="1" si="1"/>
        <v>9999</v>
      </c>
      <c r="E85">
        <f t="shared" ca="1" si="1"/>
        <v>9999</v>
      </c>
      <c r="F85">
        <f t="shared" ca="1" si="1"/>
        <v>9999</v>
      </c>
      <c r="G85">
        <f t="shared" ca="1" si="1"/>
        <v>9999</v>
      </c>
      <c r="H85">
        <f t="shared" ca="1" si="1"/>
        <v>9999</v>
      </c>
      <c r="I85">
        <f t="shared" ca="1" si="1"/>
        <v>9999</v>
      </c>
      <c r="J85">
        <f t="shared" ca="1" si="1"/>
        <v>9999</v>
      </c>
      <c r="K85">
        <f t="shared" ca="1" si="1"/>
        <v>9999</v>
      </c>
      <c r="L85">
        <f t="shared" ca="1" si="1"/>
        <v>9999</v>
      </c>
      <c r="M85">
        <f t="shared" ca="1" si="1"/>
        <v>9999</v>
      </c>
      <c r="N85">
        <f t="shared" ca="1" si="1"/>
        <v>9999</v>
      </c>
      <c r="O85">
        <f t="shared" ca="1" si="1"/>
        <v>9999</v>
      </c>
      <c r="P85">
        <f t="shared" ca="1" si="1"/>
        <v>9999</v>
      </c>
      <c r="Q85">
        <f t="shared" ca="1" si="1"/>
        <v>9999</v>
      </c>
      <c r="R85">
        <f t="shared" ca="1" si="5"/>
        <v>9999</v>
      </c>
      <c r="S85">
        <f t="shared" ca="1" si="5"/>
        <v>9999</v>
      </c>
      <c r="T85">
        <f t="shared" ca="1" si="5"/>
        <v>9999</v>
      </c>
      <c r="U85">
        <f t="shared" ca="1" si="5"/>
        <v>9999</v>
      </c>
      <c r="V85">
        <f t="shared" ca="1" si="5"/>
        <v>9999</v>
      </c>
      <c r="W85">
        <f t="shared" ca="1" si="5"/>
        <v>9999</v>
      </c>
      <c r="X85">
        <f t="shared" ca="1" si="5"/>
        <v>9999</v>
      </c>
      <c r="Y85">
        <f t="shared" ca="1" si="5"/>
        <v>-1</v>
      </c>
      <c r="Z85">
        <f t="shared" ca="1" si="5"/>
        <v>-1</v>
      </c>
      <c r="AA85">
        <f t="shared" ca="1" si="5"/>
        <v>-1</v>
      </c>
      <c r="AB85">
        <f t="shared" ca="1" si="5"/>
        <v>-1</v>
      </c>
      <c r="AC85">
        <f t="shared" ca="1" si="5"/>
        <v>-1</v>
      </c>
      <c r="AD85">
        <f t="shared" ca="1" si="5"/>
        <v>-1</v>
      </c>
      <c r="AE85">
        <f t="shared" ca="1" si="5"/>
        <v>-1</v>
      </c>
      <c r="AF85">
        <f t="shared" ca="1" si="5"/>
        <v>-1</v>
      </c>
      <c r="AG85">
        <f t="shared" ca="1" si="5"/>
        <v>-1</v>
      </c>
      <c r="AH85">
        <f t="shared" ca="1" si="6"/>
        <v>-1</v>
      </c>
      <c r="AI85">
        <f t="shared" ca="1" si="6"/>
        <v>-1</v>
      </c>
      <c r="AJ85">
        <f t="shared" ca="1" si="6"/>
        <v>-1</v>
      </c>
      <c r="AK85">
        <f t="shared" ca="1" si="6"/>
        <v>-1</v>
      </c>
      <c r="AL85">
        <f t="shared" ca="1" si="3"/>
        <v>-1</v>
      </c>
      <c r="AM85">
        <f t="shared" ca="1" si="3"/>
        <v>-1</v>
      </c>
      <c r="AN85">
        <f t="shared" ca="1" si="3"/>
        <v>-1</v>
      </c>
      <c r="AO85">
        <f t="shared" ca="1" si="3"/>
        <v>-1</v>
      </c>
      <c r="AP85">
        <f t="shared" ca="1" si="3"/>
        <v>-1</v>
      </c>
      <c r="AQ85">
        <f t="shared" ca="1" si="3"/>
        <v>-1</v>
      </c>
      <c r="AR85">
        <f t="shared" ca="1" si="3"/>
        <v>-1</v>
      </c>
      <c r="AS85">
        <f t="shared" ca="1" si="3"/>
        <v>-1</v>
      </c>
      <c r="AT85">
        <f t="shared" ca="1" si="3"/>
        <v>-1</v>
      </c>
      <c r="AU85">
        <f t="shared" ca="1" si="3"/>
        <v>-1</v>
      </c>
      <c r="AV85">
        <f t="shared" ca="1" si="3"/>
        <v>-1</v>
      </c>
      <c r="AW85">
        <f t="shared" ca="1" si="3"/>
        <v>-1</v>
      </c>
      <c r="AX85">
        <f t="shared" ca="1" si="3"/>
        <v>-1</v>
      </c>
      <c r="AY85">
        <f t="shared" ca="1" si="3"/>
        <v>-1</v>
      </c>
      <c r="AZ85">
        <f t="shared" ca="1" si="3"/>
        <v>-1</v>
      </c>
      <c r="BA85">
        <f t="shared" ref="BA85:BI120" ca="1" si="7">OFFSET($B$2,60-BA$65,60-$A85)</f>
        <v>-1</v>
      </c>
      <c r="BB85">
        <f t="shared" ca="1" si="7"/>
        <v>-1</v>
      </c>
      <c r="BC85">
        <f t="shared" ca="1" si="7"/>
        <v>-1</v>
      </c>
      <c r="BD85">
        <f t="shared" ca="1" si="7"/>
        <v>-1</v>
      </c>
      <c r="BE85">
        <f t="shared" ca="1" si="7"/>
        <v>-1</v>
      </c>
      <c r="BF85">
        <f t="shared" ca="1" si="7"/>
        <v>-1</v>
      </c>
      <c r="BG85">
        <f t="shared" ca="1" si="7"/>
        <v>-1</v>
      </c>
      <c r="BH85">
        <f t="shared" ca="1" si="7"/>
        <v>-1</v>
      </c>
      <c r="BI85">
        <f t="shared" ca="1" si="7"/>
        <v>-1</v>
      </c>
    </row>
    <row r="86" spans="1:61" x14ac:dyDescent="0.25">
      <c r="A86" s="20">
        <v>21</v>
      </c>
      <c r="B86">
        <f t="shared" ca="1" si="1"/>
        <v>9999</v>
      </c>
      <c r="C86">
        <f t="shared" ca="1" si="1"/>
        <v>9999</v>
      </c>
      <c r="D86">
        <f t="shared" ca="1" si="1"/>
        <v>9999</v>
      </c>
      <c r="E86">
        <f t="shared" ca="1" si="1"/>
        <v>9999</v>
      </c>
      <c r="F86">
        <f t="shared" ca="1" si="1"/>
        <v>9999</v>
      </c>
      <c r="G86">
        <f t="shared" ca="1" si="1"/>
        <v>9999</v>
      </c>
      <c r="H86">
        <f t="shared" ca="1" si="1"/>
        <v>9999</v>
      </c>
      <c r="I86">
        <f t="shared" ca="1" si="1"/>
        <v>9999</v>
      </c>
      <c r="J86">
        <f t="shared" ca="1" si="1"/>
        <v>9999</v>
      </c>
      <c r="K86">
        <f t="shared" ca="1" si="1"/>
        <v>9999</v>
      </c>
      <c r="L86">
        <f t="shared" ca="1" si="1"/>
        <v>9999</v>
      </c>
      <c r="M86">
        <f t="shared" ref="M86:AB101" ca="1" si="8">OFFSET($B$2,60-M$65,60-$A86)</f>
        <v>9999</v>
      </c>
      <c r="N86">
        <f t="shared" ca="1" si="8"/>
        <v>9999</v>
      </c>
      <c r="O86">
        <f t="shared" ca="1" si="8"/>
        <v>9999</v>
      </c>
      <c r="P86">
        <f t="shared" ca="1" si="8"/>
        <v>9999</v>
      </c>
      <c r="Q86">
        <f t="shared" ca="1" si="8"/>
        <v>9999</v>
      </c>
      <c r="R86">
        <f t="shared" ca="1" si="8"/>
        <v>9999</v>
      </c>
      <c r="S86">
        <f t="shared" ca="1" si="8"/>
        <v>9999</v>
      </c>
      <c r="T86">
        <f t="shared" ca="1" si="8"/>
        <v>9999</v>
      </c>
      <c r="U86">
        <f t="shared" ca="1" si="8"/>
        <v>9999</v>
      </c>
      <c r="V86">
        <f t="shared" ca="1" si="8"/>
        <v>9999</v>
      </c>
      <c r="W86">
        <f t="shared" ca="1" si="8"/>
        <v>9999</v>
      </c>
      <c r="X86">
        <f t="shared" ca="1" si="8"/>
        <v>9999</v>
      </c>
      <c r="Y86">
        <f t="shared" ca="1" si="8"/>
        <v>-1</v>
      </c>
      <c r="Z86">
        <f t="shared" ca="1" si="8"/>
        <v>-1</v>
      </c>
      <c r="AA86">
        <f t="shared" ca="1" si="8"/>
        <v>-1</v>
      </c>
      <c r="AB86">
        <f t="shared" ca="1" si="8"/>
        <v>-1</v>
      </c>
      <c r="AC86">
        <f t="shared" ca="1" si="5"/>
        <v>-1</v>
      </c>
      <c r="AD86">
        <f t="shared" ca="1" si="5"/>
        <v>-1</v>
      </c>
      <c r="AE86">
        <f t="shared" ca="1" si="5"/>
        <v>-1</v>
      </c>
      <c r="AF86">
        <f t="shared" ca="1" si="5"/>
        <v>-1</v>
      </c>
      <c r="AG86">
        <f t="shared" ca="1" si="5"/>
        <v>-1</v>
      </c>
      <c r="AH86">
        <f t="shared" ca="1" si="6"/>
        <v>-1</v>
      </c>
      <c r="AI86">
        <f t="shared" ca="1" si="6"/>
        <v>-1</v>
      </c>
      <c r="AJ86">
        <f t="shared" ca="1" si="6"/>
        <v>-1</v>
      </c>
      <c r="AK86">
        <f t="shared" ca="1" si="6"/>
        <v>-1</v>
      </c>
      <c r="AL86">
        <f t="shared" ref="AL86:BA104" ca="1" si="9">OFFSET($B$2,60-AL$65,60-$A86)</f>
        <v>-1</v>
      </c>
      <c r="AM86">
        <f t="shared" ca="1" si="9"/>
        <v>-1</v>
      </c>
      <c r="AN86">
        <f t="shared" ca="1" si="9"/>
        <v>-1</v>
      </c>
      <c r="AO86">
        <f t="shared" ca="1" si="9"/>
        <v>-1</v>
      </c>
      <c r="AP86">
        <f t="shared" ca="1" si="9"/>
        <v>-1</v>
      </c>
      <c r="AQ86">
        <f t="shared" ca="1" si="9"/>
        <v>-1</v>
      </c>
      <c r="AR86">
        <f t="shared" ca="1" si="9"/>
        <v>-1</v>
      </c>
      <c r="AS86">
        <f t="shared" ca="1" si="9"/>
        <v>-1</v>
      </c>
      <c r="AT86">
        <f t="shared" ca="1" si="9"/>
        <v>-1</v>
      </c>
      <c r="AU86">
        <f t="shared" ca="1" si="9"/>
        <v>-1</v>
      </c>
      <c r="AV86">
        <f t="shared" ca="1" si="9"/>
        <v>-1</v>
      </c>
      <c r="AW86">
        <f t="shared" ca="1" si="9"/>
        <v>-1</v>
      </c>
      <c r="AX86">
        <f t="shared" ca="1" si="9"/>
        <v>-1</v>
      </c>
      <c r="AY86">
        <f t="shared" ca="1" si="9"/>
        <v>-1</v>
      </c>
      <c r="AZ86">
        <f t="shared" ca="1" si="9"/>
        <v>-1</v>
      </c>
      <c r="BA86">
        <f t="shared" ca="1" si="9"/>
        <v>-1</v>
      </c>
      <c r="BB86">
        <f t="shared" ca="1" si="7"/>
        <v>-1</v>
      </c>
      <c r="BC86">
        <f t="shared" ca="1" si="7"/>
        <v>-1</v>
      </c>
      <c r="BD86">
        <f t="shared" ca="1" si="7"/>
        <v>-1</v>
      </c>
      <c r="BE86">
        <f t="shared" ca="1" si="7"/>
        <v>-1</v>
      </c>
      <c r="BF86">
        <f t="shared" ca="1" si="7"/>
        <v>-1</v>
      </c>
      <c r="BG86">
        <f t="shared" ca="1" si="7"/>
        <v>-1</v>
      </c>
      <c r="BH86">
        <f t="shared" ca="1" si="7"/>
        <v>-1</v>
      </c>
      <c r="BI86">
        <f t="shared" ca="1" si="7"/>
        <v>-1</v>
      </c>
    </row>
    <row r="87" spans="1:61" x14ac:dyDescent="0.25">
      <c r="A87" s="20">
        <v>22</v>
      </c>
      <c r="B87">
        <f t="shared" ref="B87:Q102" ca="1" si="10">OFFSET($B$2,60-B$65,60-$A87)</f>
        <v>9999</v>
      </c>
      <c r="C87">
        <f t="shared" ca="1" si="10"/>
        <v>9999</v>
      </c>
      <c r="D87">
        <f t="shared" ca="1" si="10"/>
        <v>9999</v>
      </c>
      <c r="E87">
        <f t="shared" ca="1" si="10"/>
        <v>9999</v>
      </c>
      <c r="F87">
        <f t="shared" ca="1" si="10"/>
        <v>9999</v>
      </c>
      <c r="G87">
        <f t="shared" ca="1" si="10"/>
        <v>9999</v>
      </c>
      <c r="H87">
        <f t="shared" ca="1" si="10"/>
        <v>9999</v>
      </c>
      <c r="I87">
        <f t="shared" ca="1" si="10"/>
        <v>9999</v>
      </c>
      <c r="J87">
        <f t="shared" ca="1" si="10"/>
        <v>9999</v>
      </c>
      <c r="K87">
        <f t="shared" ca="1" si="10"/>
        <v>9999</v>
      </c>
      <c r="L87">
        <f t="shared" ca="1" si="10"/>
        <v>9999</v>
      </c>
      <c r="M87">
        <f t="shared" ca="1" si="10"/>
        <v>9999</v>
      </c>
      <c r="N87">
        <f t="shared" ca="1" si="10"/>
        <v>9999</v>
      </c>
      <c r="O87">
        <f t="shared" ca="1" si="10"/>
        <v>9999</v>
      </c>
      <c r="P87">
        <f t="shared" ca="1" si="10"/>
        <v>9999</v>
      </c>
      <c r="Q87">
        <f t="shared" ca="1" si="10"/>
        <v>9999</v>
      </c>
      <c r="R87">
        <f t="shared" ca="1" si="8"/>
        <v>9999</v>
      </c>
      <c r="S87">
        <f t="shared" ca="1" si="8"/>
        <v>9999</v>
      </c>
      <c r="T87">
        <f t="shared" ca="1" si="8"/>
        <v>9999</v>
      </c>
      <c r="U87">
        <f t="shared" ca="1" si="8"/>
        <v>9999</v>
      </c>
      <c r="V87">
        <f t="shared" ca="1" si="8"/>
        <v>9999</v>
      </c>
      <c r="W87">
        <f t="shared" ca="1" si="8"/>
        <v>9999</v>
      </c>
      <c r="X87">
        <f t="shared" ca="1" si="8"/>
        <v>9999</v>
      </c>
      <c r="Y87">
        <f t="shared" ca="1" si="8"/>
        <v>-1</v>
      </c>
      <c r="Z87">
        <f t="shared" ca="1" si="8"/>
        <v>-1</v>
      </c>
      <c r="AA87">
        <f t="shared" ca="1" si="8"/>
        <v>-1</v>
      </c>
      <c r="AB87">
        <f t="shared" ca="1" si="8"/>
        <v>-1</v>
      </c>
      <c r="AC87">
        <f t="shared" ca="1" si="5"/>
        <v>-1</v>
      </c>
      <c r="AD87">
        <f t="shared" ca="1" si="5"/>
        <v>-1</v>
      </c>
      <c r="AE87">
        <f t="shared" ca="1" si="5"/>
        <v>-1</v>
      </c>
      <c r="AF87">
        <f t="shared" ca="1" si="5"/>
        <v>-1</v>
      </c>
      <c r="AG87">
        <f t="shared" ca="1" si="5"/>
        <v>-1</v>
      </c>
      <c r="AH87">
        <f t="shared" ca="1" si="6"/>
        <v>-1</v>
      </c>
      <c r="AI87">
        <f t="shared" ca="1" si="6"/>
        <v>-1</v>
      </c>
      <c r="AJ87">
        <f t="shared" ca="1" si="6"/>
        <v>-1</v>
      </c>
      <c r="AK87">
        <f t="shared" ca="1" si="6"/>
        <v>-1</v>
      </c>
      <c r="AL87">
        <f t="shared" ca="1" si="9"/>
        <v>-1</v>
      </c>
      <c r="AM87">
        <f t="shared" ca="1" si="9"/>
        <v>-1</v>
      </c>
      <c r="AN87">
        <f t="shared" ca="1" si="9"/>
        <v>-1</v>
      </c>
      <c r="AO87">
        <f t="shared" ca="1" si="9"/>
        <v>-1</v>
      </c>
      <c r="AP87">
        <f t="shared" ca="1" si="9"/>
        <v>-1</v>
      </c>
      <c r="AQ87">
        <f t="shared" ca="1" si="9"/>
        <v>-1</v>
      </c>
      <c r="AR87">
        <f t="shared" ca="1" si="9"/>
        <v>-1</v>
      </c>
      <c r="AS87">
        <f t="shared" ca="1" si="9"/>
        <v>-1</v>
      </c>
      <c r="AT87">
        <f t="shared" ca="1" si="9"/>
        <v>-1</v>
      </c>
      <c r="AU87">
        <f t="shared" ca="1" si="9"/>
        <v>-1</v>
      </c>
      <c r="AV87">
        <f t="shared" ca="1" si="9"/>
        <v>-1</v>
      </c>
      <c r="AW87">
        <f t="shared" ca="1" si="9"/>
        <v>-1</v>
      </c>
      <c r="AX87">
        <f t="shared" ca="1" si="9"/>
        <v>-1</v>
      </c>
      <c r="AY87">
        <f t="shared" ca="1" si="9"/>
        <v>-1</v>
      </c>
      <c r="AZ87">
        <f t="shared" ca="1" si="9"/>
        <v>-1</v>
      </c>
      <c r="BA87">
        <f t="shared" ca="1" si="9"/>
        <v>-1</v>
      </c>
      <c r="BB87">
        <f t="shared" ca="1" si="7"/>
        <v>-1</v>
      </c>
      <c r="BC87">
        <f t="shared" ca="1" si="7"/>
        <v>-1</v>
      </c>
      <c r="BD87">
        <f t="shared" ca="1" si="7"/>
        <v>-1</v>
      </c>
      <c r="BE87">
        <f t="shared" ca="1" si="7"/>
        <v>-1</v>
      </c>
      <c r="BF87">
        <f t="shared" ca="1" si="7"/>
        <v>-1</v>
      </c>
      <c r="BG87">
        <f t="shared" ca="1" si="7"/>
        <v>-1</v>
      </c>
      <c r="BH87">
        <f t="shared" ca="1" si="7"/>
        <v>-1</v>
      </c>
      <c r="BI87">
        <f t="shared" ca="1" si="7"/>
        <v>-1</v>
      </c>
    </row>
    <row r="88" spans="1:61" x14ac:dyDescent="0.25">
      <c r="A88" s="20">
        <v>23</v>
      </c>
      <c r="B88">
        <f t="shared" ca="1" si="10"/>
        <v>9999</v>
      </c>
      <c r="C88">
        <f t="shared" ca="1" si="10"/>
        <v>9999</v>
      </c>
      <c r="D88">
        <f t="shared" ca="1" si="10"/>
        <v>9999</v>
      </c>
      <c r="E88">
        <f t="shared" ca="1" si="10"/>
        <v>9999</v>
      </c>
      <c r="F88">
        <f t="shared" ca="1" si="10"/>
        <v>9999</v>
      </c>
      <c r="G88">
        <f t="shared" ca="1" si="10"/>
        <v>9999</v>
      </c>
      <c r="H88">
        <f t="shared" ca="1" si="10"/>
        <v>9999</v>
      </c>
      <c r="I88">
        <f t="shared" ca="1" si="10"/>
        <v>9999</v>
      </c>
      <c r="J88">
        <f t="shared" ca="1" si="10"/>
        <v>9999</v>
      </c>
      <c r="K88">
        <f t="shared" ca="1" si="10"/>
        <v>9999</v>
      </c>
      <c r="L88">
        <f t="shared" ca="1" si="10"/>
        <v>9999</v>
      </c>
      <c r="M88">
        <f t="shared" ca="1" si="10"/>
        <v>9999</v>
      </c>
      <c r="N88">
        <f t="shared" ca="1" si="10"/>
        <v>9999</v>
      </c>
      <c r="O88">
        <f t="shared" ca="1" si="10"/>
        <v>9999</v>
      </c>
      <c r="P88">
        <f t="shared" ca="1" si="10"/>
        <v>9999</v>
      </c>
      <c r="Q88">
        <f t="shared" ca="1" si="10"/>
        <v>9999</v>
      </c>
      <c r="R88">
        <f t="shared" ca="1" si="8"/>
        <v>9999</v>
      </c>
      <c r="S88">
        <f t="shared" ca="1" si="8"/>
        <v>9999</v>
      </c>
      <c r="T88">
        <f t="shared" ca="1" si="8"/>
        <v>9999</v>
      </c>
      <c r="U88">
        <f t="shared" ca="1" si="8"/>
        <v>9999</v>
      </c>
      <c r="V88">
        <f t="shared" ca="1" si="8"/>
        <v>9999</v>
      </c>
      <c r="W88">
        <f t="shared" ca="1" si="8"/>
        <v>9999</v>
      </c>
      <c r="X88">
        <f t="shared" ca="1" si="8"/>
        <v>9999</v>
      </c>
      <c r="Y88">
        <f t="shared" ca="1" si="8"/>
        <v>-1</v>
      </c>
      <c r="Z88">
        <f t="shared" ca="1" si="8"/>
        <v>-1</v>
      </c>
      <c r="AA88">
        <f t="shared" ca="1" si="8"/>
        <v>-1</v>
      </c>
      <c r="AB88">
        <f t="shared" ca="1" si="8"/>
        <v>-1</v>
      </c>
      <c r="AC88">
        <f t="shared" ca="1" si="5"/>
        <v>-1</v>
      </c>
      <c r="AD88">
        <f t="shared" ca="1" si="5"/>
        <v>-1</v>
      </c>
      <c r="AE88">
        <f t="shared" ca="1" si="5"/>
        <v>-1</v>
      </c>
      <c r="AF88">
        <f t="shared" ca="1" si="5"/>
        <v>-1</v>
      </c>
      <c r="AG88">
        <f t="shared" ca="1" si="5"/>
        <v>-1</v>
      </c>
      <c r="AH88">
        <f t="shared" ca="1" si="6"/>
        <v>-1</v>
      </c>
      <c r="AI88">
        <f t="shared" ca="1" si="6"/>
        <v>-1</v>
      </c>
      <c r="AJ88">
        <f t="shared" ca="1" si="6"/>
        <v>-1</v>
      </c>
      <c r="AK88">
        <f t="shared" ca="1" si="6"/>
        <v>-1</v>
      </c>
      <c r="AL88">
        <f t="shared" ca="1" si="9"/>
        <v>-1</v>
      </c>
      <c r="AM88">
        <f t="shared" ca="1" si="9"/>
        <v>-1</v>
      </c>
      <c r="AN88">
        <f t="shared" ca="1" si="9"/>
        <v>-1</v>
      </c>
      <c r="AO88">
        <f t="shared" ca="1" si="9"/>
        <v>-1</v>
      </c>
      <c r="AP88">
        <f t="shared" ca="1" si="9"/>
        <v>-1</v>
      </c>
      <c r="AQ88">
        <f t="shared" ca="1" si="9"/>
        <v>-1</v>
      </c>
      <c r="AR88">
        <f t="shared" ca="1" si="9"/>
        <v>-1</v>
      </c>
      <c r="AS88">
        <f t="shared" ca="1" si="9"/>
        <v>-1</v>
      </c>
      <c r="AT88">
        <f t="shared" ca="1" si="9"/>
        <v>-1</v>
      </c>
      <c r="AU88">
        <f t="shared" ca="1" si="9"/>
        <v>-1</v>
      </c>
      <c r="AV88">
        <f t="shared" ca="1" si="9"/>
        <v>-1</v>
      </c>
      <c r="AW88">
        <f t="shared" ca="1" si="9"/>
        <v>-1</v>
      </c>
      <c r="AX88">
        <f t="shared" ca="1" si="9"/>
        <v>-1</v>
      </c>
      <c r="AY88">
        <f t="shared" ca="1" si="9"/>
        <v>-1</v>
      </c>
      <c r="AZ88">
        <f t="shared" ca="1" si="9"/>
        <v>-1</v>
      </c>
      <c r="BA88">
        <f t="shared" ca="1" si="9"/>
        <v>-1</v>
      </c>
      <c r="BB88">
        <f t="shared" ca="1" si="7"/>
        <v>-1</v>
      </c>
      <c r="BC88">
        <f t="shared" ca="1" si="7"/>
        <v>-1</v>
      </c>
      <c r="BD88">
        <f t="shared" ca="1" si="7"/>
        <v>-1</v>
      </c>
      <c r="BE88">
        <f t="shared" ca="1" si="7"/>
        <v>-1</v>
      </c>
      <c r="BF88">
        <f t="shared" ca="1" si="7"/>
        <v>-1</v>
      </c>
      <c r="BG88">
        <f t="shared" ca="1" si="7"/>
        <v>-1</v>
      </c>
      <c r="BH88">
        <f t="shared" ca="1" si="7"/>
        <v>-1</v>
      </c>
      <c r="BI88">
        <f t="shared" ca="1" si="7"/>
        <v>-1</v>
      </c>
    </row>
    <row r="89" spans="1:61" x14ac:dyDescent="0.25">
      <c r="A89" s="20">
        <v>24</v>
      </c>
      <c r="B89">
        <f t="shared" ca="1" si="10"/>
        <v>9999</v>
      </c>
      <c r="C89">
        <f t="shared" ca="1" si="10"/>
        <v>9999</v>
      </c>
      <c r="D89">
        <f t="shared" ca="1" si="10"/>
        <v>9999</v>
      </c>
      <c r="E89">
        <f t="shared" ca="1" si="10"/>
        <v>9999</v>
      </c>
      <c r="F89">
        <f t="shared" ca="1" si="10"/>
        <v>9999</v>
      </c>
      <c r="G89">
        <f t="shared" ca="1" si="10"/>
        <v>9999</v>
      </c>
      <c r="H89">
        <f t="shared" ca="1" si="10"/>
        <v>9999</v>
      </c>
      <c r="I89">
        <f t="shared" ca="1" si="10"/>
        <v>9999</v>
      </c>
      <c r="J89">
        <f t="shared" ca="1" si="10"/>
        <v>9999</v>
      </c>
      <c r="K89">
        <f t="shared" ca="1" si="10"/>
        <v>9999</v>
      </c>
      <c r="L89">
        <f t="shared" ca="1" si="10"/>
        <v>9999</v>
      </c>
      <c r="M89">
        <f t="shared" ca="1" si="10"/>
        <v>9999</v>
      </c>
      <c r="N89">
        <f t="shared" ca="1" si="10"/>
        <v>9999</v>
      </c>
      <c r="O89">
        <f t="shared" ca="1" si="10"/>
        <v>9999</v>
      </c>
      <c r="P89">
        <f t="shared" ca="1" si="10"/>
        <v>9999</v>
      </c>
      <c r="Q89">
        <f t="shared" ca="1" si="10"/>
        <v>9999</v>
      </c>
      <c r="R89">
        <f t="shared" ca="1" si="8"/>
        <v>9999</v>
      </c>
      <c r="S89">
        <f t="shared" ca="1" si="8"/>
        <v>9999</v>
      </c>
      <c r="T89">
        <f t="shared" ca="1" si="8"/>
        <v>9999</v>
      </c>
      <c r="U89">
        <f t="shared" ca="1" si="8"/>
        <v>9999</v>
      </c>
      <c r="V89">
        <f t="shared" ca="1" si="8"/>
        <v>9999</v>
      </c>
      <c r="W89">
        <f t="shared" ca="1" si="8"/>
        <v>9999</v>
      </c>
      <c r="X89">
        <f t="shared" ca="1" si="8"/>
        <v>9999</v>
      </c>
      <c r="Y89">
        <f t="shared" ca="1" si="8"/>
        <v>-1</v>
      </c>
      <c r="Z89">
        <f t="shared" ca="1" si="8"/>
        <v>-1</v>
      </c>
      <c r="AA89">
        <f t="shared" ca="1" si="8"/>
        <v>-1</v>
      </c>
      <c r="AB89">
        <f t="shared" ca="1" si="8"/>
        <v>-1</v>
      </c>
      <c r="AC89">
        <f t="shared" ref="AC89:AR105" ca="1" si="11">OFFSET($B$2,60-AC$65,60-$A89)</f>
        <v>-1</v>
      </c>
      <c r="AD89">
        <f t="shared" ca="1" si="11"/>
        <v>-1</v>
      </c>
      <c r="AE89">
        <f t="shared" ca="1" si="11"/>
        <v>-1</v>
      </c>
      <c r="AF89">
        <f t="shared" ca="1" si="11"/>
        <v>-1</v>
      </c>
      <c r="AG89">
        <f t="shared" ca="1" si="11"/>
        <v>-1</v>
      </c>
      <c r="AH89">
        <f t="shared" ca="1" si="11"/>
        <v>-1</v>
      </c>
      <c r="AI89">
        <f t="shared" ca="1" si="11"/>
        <v>-1</v>
      </c>
      <c r="AJ89">
        <f t="shared" ca="1" si="11"/>
        <v>-1</v>
      </c>
      <c r="AK89">
        <f t="shared" ca="1" si="11"/>
        <v>-1</v>
      </c>
      <c r="AL89">
        <f t="shared" ca="1" si="11"/>
        <v>-1</v>
      </c>
      <c r="AM89">
        <f t="shared" ca="1" si="11"/>
        <v>-1</v>
      </c>
      <c r="AN89">
        <f t="shared" ca="1" si="11"/>
        <v>-1</v>
      </c>
      <c r="AO89">
        <f t="shared" ca="1" si="11"/>
        <v>-1</v>
      </c>
      <c r="AP89">
        <f t="shared" ca="1" si="11"/>
        <v>-1</v>
      </c>
      <c r="AQ89">
        <f t="shared" ca="1" si="11"/>
        <v>-1</v>
      </c>
      <c r="AR89">
        <f t="shared" ca="1" si="11"/>
        <v>-1</v>
      </c>
      <c r="AS89">
        <f t="shared" ca="1" si="9"/>
        <v>-1</v>
      </c>
      <c r="AT89">
        <f t="shared" ca="1" si="9"/>
        <v>-1</v>
      </c>
      <c r="AU89">
        <f t="shared" ca="1" si="9"/>
        <v>-1</v>
      </c>
      <c r="AV89">
        <f t="shared" ca="1" si="9"/>
        <v>-1</v>
      </c>
      <c r="AW89">
        <f t="shared" ca="1" si="9"/>
        <v>-1</v>
      </c>
      <c r="AX89">
        <f t="shared" ca="1" si="9"/>
        <v>-1</v>
      </c>
      <c r="AY89">
        <f t="shared" ca="1" si="9"/>
        <v>-1</v>
      </c>
      <c r="AZ89">
        <f t="shared" ca="1" si="9"/>
        <v>-1</v>
      </c>
      <c r="BA89">
        <f t="shared" ca="1" si="9"/>
        <v>-1</v>
      </c>
      <c r="BB89">
        <f t="shared" ca="1" si="7"/>
        <v>-1</v>
      </c>
      <c r="BC89">
        <f t="shared" ca="1" si="7"/>
        <v>-1</v>
      </c>
      <c r="BD89">
        <f t="shared" ca="1" si="7"/>
        <v>-1</v>
      </c>
      <c r="BE89">
        <f t="shared" ca="1" si="7"/>
        <v>-1</v>
      </c>
      <c r="BF89">
        <f t="shared" ca="1" si="7"/>
        <v>-1</v>
      </c>
      <c r="BG89">
        <f t="shared" ca="1" si="7"/>
        <v>-1</v>
      </c>
      <c r="BH89">
        <f t="shared" ca="1" si="7"/>
        <v>-1</v>
      </c>
      <c r="BI89">
        <f t="shared" ca="1" si="7"/>
        <v>-1</v>
      </c>
    </row>
    <row r="90" spans="1:61" x14ac:dyDescent="0.25">
      <c r="A90" s="20">
        <v>25</v>
      </c>
      <c r="B90">
        <f t="shared" ca="1" si="10"/>
        <v>9999</v>
      </c>
      <c r="C90">
        <f t="shared" ca="1" si="10"/>
        <v>9999</v>
      </c>
      <c r="D90">
        <f t="shared" ca="1" si="10"/>
        <v>9999</v>
      </c>
      <c r="E90">
        <f t="shared" ca="1" si="10"/>
        <v>9999</v>
      </c>
      <c r="F90">
        <f t="shared" ca="1" si="10"/>
        <v>9999</v>
      </c>
      <c r="G90">
        <f t="shared" ca="1" si="10"/>
        <v>9999</v>
      </c>
      <c r="H90">
        <f t="shared" ca="1" si="10"/>
        <v>9999</v>
      </c>
      <c r="I90">
        <f t="shared" ca="1" si="10"/>
        <v>9999</v>
      </c>
      <c r="J90">
        <f t="shared" ca="1" si="10"/>
        <v>9999</v>
      </c>
      <c r="K90">
        <f t="shared" ca="1" si="10"/>
        <v>9999</v>
      </c>
      <c r="L90">
        <f t="shared" ca="1" si="10"/>
        <v>9999</v>
      </c>
      <c r="M90">
        <f t="shared" ca="1" si="10"/>
        <v>9999</v>
      </c>
      <c r="N90">
        <f t="shared" ca="1" si="10"/>
        <v>9999</v>
      </c>
      <c r="O90">
        <f t="shared" ca="1" si="10"/>
        <v>9999</v>
      </c>
      <c r="P90">
        <f t="shared" ca="1" si="10"/>
        <v>9999</v>
      </c>
      <c r="Q90">
        <f t="shared" ca="1" si="10"/>
        <v>9999</v>
      </c>
      <c r="R90">
        <f t="shared" ca="1" si="8"/>
        <v>9999</v>
      </c>
      <c r="S90">
        <f t="shared" ca="1" si="8"/>
        <v>9999</v>
      </c>
      <c r="T90">
        <f t="shared" ca="1" si="8"/>
        <v>9999</v>
      </c>
      <c r="U90">
        <f t="shared" ca="1" si="8"/>
        <v>9999</v>
      </c>
      <c r="V90">
        <f t="shared" ca="1" si="8"/>
        <v>9999</v>
      </c>
      <c r="W90">
        <f t="shared" ca="1" si="8"/>
        <v>9999</v>
      </c>
      <c r="X90">
        <f t="shared" ca="1" si="8"/>
        <v>9999</v>
      </c>
      <c r="Y90">
        <f t="shared" ca="1" si="8"/>
        <v>-1</v>
      </c>
      <c r="Z90">
        <f t="shared" ca="1" si="8"/>
        <v>-1</v>
      </c>
      <c r="AA90">
        <f t="shared" ca="1" si="8"/>
        <v>-1</v>
      </c>
      <c r="AB90">
        <f t="shared" ca="1" si="8"/>
        <v>-1</v>
      </c>
      <c r="AC90">
        <f t="shared" ca="1" si="11"/>
        <v>-1</v>
      </c>
      <c r="AD90">
        <f t="shared" ca="1" si="11"/>
        <v>-1</v>
      </c>
      <c r="AE90">
        <f t="shared" ca="1" si="11"/>
        <v>-1</v>
      </c>
      <c r="AF90">
        <f t="shared" ca="1" si="11"/>
        <v>-1</v>
      </c>
      <c r="AG90">
        <f t="shared" ca="1" si="11"/>
        <v>-1</v>
      </c>
      <c r="AH90">
        <f t="shared" ca="1" si="11"/>
        <v>-1</v>
      </c>
      <c r="AI90">
        <f t="shared" ca="1" si="11"/>
        <v>-1</v>
      </c>
      <c r="AJ90">
        <f t="shared" ca="1" si="11"/>
        <v>-1</v>
      </c>
      <c r="AK90">
        <f t="shared" ca="1" si="11"/>
        <v>-1</v>
      </c>
      <c r="AL90">
        <f t="shared" ca="1" si="11"/>
        <v>-1</v>
      </c>
      <c r="AM90">
        <f t="shared" ca="1" si="11"/>
        <v>-1</v>
      </c>
      <c r="AN90">
        <f t="shared" ca="1" si="11"/>
        <v>-1</v>
      </c>
      <c r="AO90">
        <f t="shared" ca="1" si="11"/>
        <v>-1</v>
      </c>
      <c r="AP90">
        <f t="shared" ca="1" si="11"/>
        <v>-1</v>
      </c>
      <c r="AQ90">
        <f t="shared" ca="1" si="11"/>
        <v>-1</v>
      </c>
      <c r="AR90">
        <f t="shared" ca="1" si="11"/>
        <v>-1</v>
      </c>
      <c r="AS90">
        <f t="shared" ca="1" si="9"/>
        <v>-1</v>
      </c>
      <c r="AT90">
        <f t="shared" ca="1" si="9"/>
        <v>-1</v>
      </c>
      <c r="AU90">
        <f t="shared" ca="1" si="9"/>
        <v>-1</v>
      </c>
      <c r="AV90">
        <f t="shared" ca="1" si="9"/>
        <v>-1</v>
      </c>
      <c r="AW90">
        <f t="shared" ca="1" si="9"/>
        <v>-1</v>
      </c>
      <c r="AX90">
        <f t="shared" ca="1" si="9"/>
        <v>-1</v>
      </c>
      <c r="AY90">
        <f t="shared" ca="1" si="9"/>
        <v>-1</v>
      </c>
      <c r="AZ90">
        <f t="shared" ca="1" si="9"/>
        <v>-1</v>
      </c>
      <c r="BA90">
        <f t="shared" ca="1" si="9"/>
        <v>-1</v>
      </c>
      <c r="BB90">
        <f t="shared" ca="1" si="7"/>
        <v>-1</v>
      </c>
      <c r="BC90">
        <f t="shared" ca="1" si="7"/>
        <v>-1</v>
      </c>
      <c r="BD90">
        <f t="shared" ca="1" si="7"/>
        <v>-1</v>
      </c>
      <c r="BE90">
        <f t="shared" ca="1" si="7"/>
        <v>-1</v>
      </c>
      <c r="BF90">
        <f t="shared" ca="1" si="7"/>
        <v>-1</v>
      </c>
      <c r="BG90">
        <f t="shared" ca="1" si="7"/>
        <v>-1</v>
      </c>
      <c r="BH90">
        <f t="shared" ca="1" si="7"/>
        <v>-1</v>
      </c>
      <c r="BI90">
        <f t="shared" ca="1" si="7"/>
        <v>-1</v>
      </c>
    </row>
    <row r="91" spans="1:61" x14ac:dyDescent="0.25">
      <c r="A91" s="20">
        <v>26</v>
      </c>
      <c r="B91">
        <f t="shared" ca="1" si="10"/>
        <v>9999</v>
      </c>
      <c r="C91">
        <f t="shared" ca="1" si="10"/>
        <v>9999</v>
      </c>
      <c r="D91">
        <f t="shared" ca="1" si="10"/>
        <v>9999</v>
      </c>
      <c r="E91">
        <f t="shared" ca="1" si="10"/>
        <v>9999</v>
      </c>
      <c r="F91">
        <f t="shared" ca="1" si="10"/>
        <v>9999</v>
      </c>
      <c r="G91">
        <f t="shared" ca="1" si="10"/>
        <v>9999</v>
      </c>
      <c r="H91">
        <f t="shared" ca="1" si="10"/>
        <v>9999</v>
      </c>
      <c r="I91">
        <f t="shared" ca="1" si="10"/>
        <v>9999</v>
      </c>
      <c r="J91">
        <f t="shared" ca="1" si="10"/>
        <v>9999</v>
      </c>
      <c r="K91">
        <f t="shared" ca="1" si="10"/>
        <v>9999</v>
      </c>
      <c r="L91">
        <f t="shared" ca="1" si="10"/>
        <v>9999</v>
      </c>
      <c r="M91">
        <f t="shared" ca="1" si="10"/>
        <v>9999</v>
      </c>
      <c r="N91">
        <f t="shared" ca="1" si="10"/>
        <v>9999</v>
      </c>
      <c r="O91">
        <f t="shared" ca="1" si="10"/>
        <v>9999</v>
      </c>
      <c r="P91">
        <f t="shared" ca="1" si="10"/>
        <v>9999</v>
      </c>
      <c r="Q91">
        <f t="shared" ca="1" si="10"/>
        <v>9999</v>
      </c>
      <c r="R91">
        <f t="shared" ca="1" si="8"/>
        <v>9999</v>
      </c>
      <c r="S91">
        <f t="shared" ca="1" si="8"/>
        <v>9999</v>
      </c>
      <c r="T91">
        <f t="shared" ca="1" si="8"/>
        <v>9999</v>
      </c>
      <c r="U91">
        <f t="shared" ca="1" si="8"/>
        <v>9999</v>
      </c>
      <c r="V91">
        <f t="shared" ca="1" si="8"/>
        <v>9999</v>
      </c>
      <c r="W91">
        <f t="shared" ca="1" si="8"/>
        <v>9999</v>
      </c>
      <c r="X91">
        <f t="shared" ca="1" si="8"/>
        <v>9999</v>
      </c>
      <c r="Y91">
        <f t="shared" ca="1" si="8"/>
        <v>-1</v>
      </c>
      <c r="Z91">
        <f t="shared" ca="1" si="8"/>
        <v>-1</v>
      </c>
      <c r="AA91">
        <f t="shared" ca="1" si="8"/>
        <v>-1</v>
      </c>
      <c r="AB91">
        <f t="shared" ca="1" si="8"/>
        <v>-1</v>
      </c>
      <c r="AC91">
        <f t="shared" ca="1" si="11"/>
        <v>-1</v>
      </c>
      <c r="AD91">
        <f t="shared" ca="1" si="11"/>
        <v>-1</v>
      </c>
      <c r="AE91">
        <f t="shared" ca="1" si="11"/>
        <v>-1</v>
      </c>
      <c r="AF91">
        <f t="shared" ca="1" si="11"/>
        <v>-1</v>
      </c>
      <c r="AG91">
        <f t="shared" ca="1" si="11"/>
        <v>-1</v>
      </c>
      <c r="AH91">
        <f t="shared" ca="1" si="11"/>
        <v>-1</v>
      </c>
      <c r="AI91">
        <f t="shared" ca="1" si="11"/>
        <v>-1</v>
      </c>
      <c r="AJ91">
        <f t="shared" ca="1" si="11"/>
        <v>-1</v>
      </c>
      <c r="AK91">
        <f t="shared" ca="1" si="11"/>
        <v>-1</v>
      </c>
      <c r="AL91">
        <f t="shared" ca="1" si="11"/>
        <v>-1</v>
      </c>
      <c r="AM91">
        <f t="shared" ca="1" si="11"/>
        <v>-1</v>
      </c>
      <c r="AN91">
        <f t="shared" ca="1" si="11"/>
        <v>-1</v>
      </c>
      <c r="AO91">
        <f t="shared" ca="1" si="11"/>
        <v>-1</v>
      </c>
      <c r="AP91">
        <f t="shared" ca="1" si="11"/>
        <v>-1</v>
      </c>
      <c r="AQ91">
        <f t="shared" ca="1" si="11"/>
        <v>-1</v>
      </c>
      <c r="AR91">
        <f t="shared" ca="1" si="11"/>
        <v>-1</v>
      </c>
      <c r="AS91">
        <f t="shared" ca="1" si="9"/>
        <v>-1</v>
      </c>
      <c r="AT91">
        <f t="shared" ca="1" si="9"/>
        <v>-1</v>
      </c>
      <c r="AU91">
        <f t="shared" ca="1" si="9"/>
        <v>-1</v>
      </c>
      <c r="AV91">
        <f t="shared" ca="1" si="9"/>
        <v>-1</v>
      </c>
      <c r="AW91">
        <f t="shared" ca="1" si="9"/>
        <v>-1</v>
      </c>
      <c r="AX91">
        <f t="shared" ca="1" si="9"/>
        <v>-1</v>
      </c>
      <c r="AY91">
        <f t="shared" ca="1" si="9"/>
        <v>-1</v>
      </c>
      <c r="AZ91">
        <f t="shared" ca="1" si="9"/>
        <v>-1</v>
      </c>
      <c r="BA91">
        <f t="shared" ca="1" si="9"/>
        <v>-1</v>
      </c>
      <c r="BB91">
        <f t="shared" ca="1" si="7"/>
        <v>-1</v>
      </c>
      <c r="BC91">
        <f t="shared" ca="1" si="7"/>
        <v>-1</v>
      </c>
      <c r="BD91">
        <f t="shared" ca="1" si="7"/>
        <v>-1</v>
      </c>
      <c r="BE91">
        <f t="shared" ca="1" si="7"/>
        <v>-1</v>
      </c>
      <c r="BF91">
        <f t="shared" ca="1" si="7"/>
        <v>-1</v>
      </c>
      <c r="BG91">
        <f t="shared" ca="1" si="7"/>
        <v>-1</v>
      </c>
      <c r="BH91">
        <f t="shared" ca="1" si="7"/>
        <v>-1</v>
      </c>
      <c r="BI91">
        <f t="shared" ca="1" si="7"/>
        <v>-1</v>
      </c>
    </row>
    <row r="92" spans="1:61" x14ac:dyDescent="0.25">
      <c r="A92" s="20">
        <v>27</v>
      </c>
      <c r="B92">
        <f t="shared" ca="1" si="10"/>
        <v>9999</v>
      </c>
      <c r="C92">
        <f t="shared" ca="1" si="10"/>
        <v>9999</v>
      </c>
      <c r="D92">
        <f t="shared" ca="1" si="10"/>
        <v>9999</v>
      </c>
      <c r="E92">
        <f t="shared" ca="1" si="10"/>
        <v>9999</v>
      </c>
      <c r="F92">
        <f t="shared" ca="1" si="10"/>
        <v>9999</v>
      </c>
      <c r="G92">
        <f t="shared" ca="1" si="10"/>
        <v>9999</v>
      </c>
      <c r="H92">
        <f t="shared" ca="1" si="10"/>
        <v>9999</v>
      </c>
      <c r="I92">
        <f t="shared" ca="1" si="10"/>
        <v>9999</v>
      </c>
      <c r="J92">
        <f t="shared" ca="1" si="10"/>
        <v>9999</v>
      </c>
      <c r="K92">
        <f t="shared" ca="1" si="10"/>
        <v>9999</v>
      </c>
      <c r="L92">
        <f t="shared" ca="1" si="10"/>
        <v>9999</v>
      </c>
      <c r="M92">
        <f t="shared" ca="1" si="10"/>
        <v>9999</v>
      </c>
      <c r="N92">
        <f t="shared" ca="1" si="10"/>
        <v>9999</v>
      </c>
      <c r="O92">
        <f t="shared" ca="1" si="10"/>
        <v>9999</v>
      </c>
      <c r="P92">
        <f t="shared" ca="1" si="10"/>
        <v>9999</v>
      </c>
      <c r="Q92">
        <f t="shared" ca="1" si="10"/>
        <v>9999</v>
      </c>
      <c r="R92">
        <f t="shared" ca="1" si="8"/>
        <v>9999</v>
      </c>
      <c r="S92">
        <f t="shared" ca="1" si="8"/>
        <v>9999</v>
      </c>
      <c r="T92">
        <f t="shared" ca="1" si="8"/>
        <v>9999</v>
      </c>
      <c r="U92">
        <f t="shared" ca="1" si="8"/>
        <v>9999</v>
      </c>
      <c r="V92">
        <f t="shared" ca="1" si="8"/>
        <v>9999</v>
      </c>
      <c r="W92">
        <f t="shared" ca="1" si="8"/>
        <v>9999</v>
      </c>
      <c r="X92">
        <f t="shared" ca="1" si="8"/>
        <v>9999</v>
      </c>
      <c r="Y92">
        <f t="shared" ca="1" si="8"/>
        <v>-1</v>
      </c>
      <c r="Z92">
        <f t="shared" ca="1" si="8"/>
        <v>-1</v>
      </c>
      <c r="AA92">
        <f t="shared" ca="1" si="8"/>
        <v>-1</v>
      </c>
      <c r="AB92">
        <f t="shared" ca="1" si="8"/>
        <v>-1</v>
      </c>
      <c r="AC92">
        <f t="shared" ca="1" si="11"/>
        <v>-1</v>
      </c>
      <c r="AD92">
        <f t="shared" ca="1" si="11"/>
        <v>-1</v>
      </c>
      <c r="AE92">
        <f t="shared" ca="1" si="11"/>
        <v>-1</v>
      </c>
      <c r="AF92">
        <f t="shared" ca="1" si="11"/>
        <v>-1</v>
      </c>
      <c r="AG92">
        <f t="shared" ca="1" si="11"/>
        <v>-1</v>
      </c>
      <c r="AH92">
        <f t="shared" ca="1" si="11"/>
        <v>-1</v>
      </c>
      <c r="AI92">
        <f t="shared" ca="1" si="11"/>
        <v>-1</v>
      </c>
      <c r="AJ92">
        <f t="shared" ca="1" si="11"/>
        <v>-1</v>
      </c>
      <c r="AK92">
        <f t="shared" ca="1" si="11"/>
        <v>-1</v>
      </c>
      <c r="AL92">
        <f t="shared" ca="1" si="11"/>
        <v>-1</v>
      </c>
      <c r="AM92">
        <f t="shared" ca="1" si="11"/>
        <v>-1</v>
      </c>
      <c r="AN92">
        <f t="shared" ca="1" si="11"/>
        <v>-1</v>
      </c>
      <c r="AO92">
        <f t="shared" ca="1" si="11"/>
        <v>-1</v>
      </c>
      <c r="AP92">
        <f t="shared" ca="1" si="11"/>
        <v>-1</v>
      </c>
      <c r="AQ92">
        <f t="shared" ca="1" si="11"/>
        <v>-1</v>
      </c>
      <c r="AR92">
        <f t="shared" ca="1" si="11"/>
        <v>-1</v>
      </c>
      <c r="AS92">
        <f t="shared" ca="1" si="9"/>
        <v>-1</v>
      </c>
      <c r="AT92">
        <f t="shared" ca="1" si="9"/>
        <v>-1</v>
      </c>
      <c r="AU92">
        <f t="shared" ca="1" si="9"/>
        <v>-1</v>
      </c>
      <c r="AV92">
        <f t="shared" ca="1" si="9"/>
        <v>-1</v>
      </c>
      <c r="AW92">
        <f t="shared" ca="1" si="9"/>
        <v>-1</v>
      </c>
      <c r="AX92">
        <f t="shared" ca="1" si="9"/>
        <v>-1</v>
      </c>
      <c r="AY92">
        <f t="shared" ca="1" si="9"/>
        <v>-1</v>
      </c>
      <c r="AZ92">
        <f t="shared" ca="1" si="9"/>
        <v>-1</v>
      </c>
      <c r="BA92">
        <f t="shared" ca="1" si="9"/>
        <v>-1</v>
      </c>
      <c r="BB92">
        <f t="shared" ca="1" si="7"/>
        <v>-1</v>
      </c>
      <c r="BC92">
        <f t="shared" ca="1" si="7"/>
        <v>-1</v>
      </c>
      <c r="BD92">
        <f t="shared" ca="1" si="7"/>
        <v>-1</v>
      </c>
      <c r="BE92">
        <f t="shared" ca="1" si="7"/>
        <v>-1</v>
      </c>
      <c r="BF92">
        <f t="shared" ca="1" si="7"/>
        <v>-1</v>
      </c>
      <c r="BG92">
        <f t="shared" ca="1" si="7"/>
        <v>-1</v>
      </c>
      <c r="BH92">
        <f t="shared" ca="1" si="7"/>
        <v>-1</v>
      </c>
      <c r="BI92">
        <f t="shared" ca="1" si="7"/>
        <v>-1</v>
      </c>
    </row>
    <row r="93" spans="1:61" x14ac:dyDescent="0.25">
      <c r="A93" s="20">
        <v>28</v>
      </c>
      <c r="B93">
        <f t="shared" ca="1" si="10"/>
        <v>9999</v>
      </c>
      <c r="C93">
        <f t="shared" ca="1" si="10"/>
        <v>9999</v>
      </c>
      <c r="D93">
        <f t="shared" ca="1" si="10"/>
        <v>9999</v>
      </c>
      <c r="E93">
        <f t="shared" ca="1" si="10"/>
        <v>9999</v>
      </c>
      <c r="F93">
        <f t="shared" ca="1" si="10"/>
        <v>9999</v>
      </c>
      <c r="G93">
        <f t="shared" ca="1" si="10"/>
        <v>9999</v>
      </c>
      <c r="H93">
        <f t="shared" ca="1" si="10"/>
        <v>9999</v>
      </c>
      <c r="I93">
        <f t="shared" ca="1" si="10"/>
        <v>9999</v>
      </c>
      <c r="J93">
        <f t="shared" ca="1" si="10"/>
        <v>9999</v>
      </c>
      <c r="K93">
        <f t="shared" ca="1" si="10"/>
        <v>9999</v>
      </c>
      <c r="L93">
        <f t="shared" ca="1" si="10"/>
        <v>9999</v>
      </c>
      <c r="M93">
        <f t="shared" ca="1" si="10"/>
        <v>9999</v>
      </c>
      <c r="N93">
        <f t="shared" ca="1" si="10"/>
        <v>9999</v>
      </c>
      <c r="O93">
        <f t="shared" ca="1" si="10"/>
        <v>9999</v>
      </c>
      <c r="P93">
        <f t="shared" ca="1" si="10"/>
        <v>9999</v>
      </c>
      <c r="Q93">
        <f t="shared" ca="1" si="10"/>
        <v>9999</v>
      </c>
      <c r="R93">
        <f t="shared" ca="1" si="8"/>
        <v>9999</v>
      </c>
      <c r="S93">
        <f t="shared" ca="1" si="8"/>
        <v>9999</v>
      </c>
      <c r="T93">
        <f t="shared" ca="1" si="8"/>
        <v>9999</v>
      </c>
      <c r="U93">
        <f t="shared" ca="1" si="8"/>
        <v>9999</v>
      </c>
      <c r="V93">
        <f t="shared" ca="1" si="8"/>
        <v>9999</v>
      </c>
      <c r="W93">
        <f t="shared" ca="1" si="8"/>
        <v>9999</v>
      </c>
      <c r="X93">
        <f t="shared" ca="1" si="8"/>
        <v>9999</v>
      </c>
      <c r="Y93">
        <f t="shared" ca="1" si="8"/>
        <v>-1</v>
      </c>
      <c r="Z93">
        <f t="shared" ca="1" si="8"/>
        <v>-1</v>
      </c>
      <c r="AA93">
        <f t="shared" ca="1" si="8"/>
        <v>-1</v>
      </c>
      <c r="AB93">
        <f t="shared" ca="1" si="8"/>
        <v>-1</v>
      </c>
      <c r="AC93">
        <f t="shared" ca="1" si="11"/>
        <v>-1</v>
      </c>
      <c r="AD93">
        <f t="shared" ca="1" si="11"/>
        <v>-1</v>
      </c>
      <c r="AE93">
        <f t="shared" ca="1" si="11"/>
        <v>-1</v>
      </c>
      <c r="AF93">
        <f t="shared" ca="1" si="11"/>
        <v>-1</v>
      </c>
      <c r="AG93">
        <f t="shared" ca="1" si="11"/>
        <v>-1</v>
      </c>
      <c r="AH93">
        <f t="shared" ca="1" si="11"/>
        <v>-1</v>
      </c>
      <c r="AI93">
        <f t="shared" ca="1" si="11"/>
        <v>-1</v>
      </c>
      <c r="AJ93">
        <f t="shared" ca="1" si="11"/>
        <v>-1</v>
      </c>
      <c r="AK93">
        <f t="shared" ca="1" si="11"/>
        <v>-1</v>
      </c>
      <c r="AL93">
        <f t="shared" ca="1" si="11"/>
        <v>-1</v>
      </c>
      <c r="AM93">
        <f t="shared" ca="1" si="11"/>
        <v>-1</v>
      </c>
      <c r="AN93">
        <f t="shared" ca="1" si="11"/>
        <v>-1</v>
      </c>
      <c r="AO93">
        <f t="shared" ca="1" si="11"/>
        <v>-1</v>
      </c>
      <c r="AP93">
        <f t="shared" ca="1" si="11"/>
        <v>-1</v>
      </c>
      <c r="AQ93">
        <f t="shared" ca="1" si="11"/>
        <v>-1</v>
      </c>
      <c r="AR93">
        <f t="shared" ca="1" si="11"/>
        <v>-1</v>
      </c>
      <c r="AS93">
        <f t="shared" ca="1" si="9"/>
        <v>-1</v>
      </c>
      <c r="AT93">
        <f t="shared" ca="1" si="9"/>
        <v>-1</v>
      </c>
      <c r="AU93">
        <f t="shared" ca="1" si="9"/>
        <v>-1</v>
      </c>
      <c r="AV93">
        <f t="shared" ca="1" si="9"/>
        <v>-1</v>
      </c>
      <c r="AW93">
        <f t="shared" ca="1" si="9"/>
        <v>-1</v>
      </c>
      <c r="AX93">
        <f t="shared" ca="1" si="9"/>
        <v>-1</v>
      </c>
      <c r="AY93">
        <f t="shared" ca="1" si="9"/>
        <v>-1</v>
      </c>
      <c r="AZ93">
        <f t="shared" ca="1" si="9"/>
        <v>-1</v>
      </c>
      <c r="BA93">
        <f t="shared" ca="1" si="9"/>
        <v>-1</v>
      </c>
      <c r="BB93">
        <f t="shared" ca="1" si="7"/>
        <v>-1</v>
      </c>
      <c r="BC93">
        <f t="shared" ca="1" si="7"/>
        <v>-1</v>
      </c>
      <c r="BD93">
        <f t="shared" ca="1" si="7"/>
        <v>-1</v>
      </c>
      <c r="BE93">
        <f t="shared" ca="1" si="7"/>
        <v>-1</v>
      </c>
      <c r="BF93">
        <f t="shared" ca="1" si="7"/>
        <v>-1</v>
      </c>
      <c r="BG93">
        <f t="shared" ca="1" si="7"/>
        <v>-1</v>
      </c>
      <c r="BH93">
        <f t="shared" ca="1" si="7"/>
        <v>-1</v>
      </c>
      <c r="BI93">
        <f t="shared" ca="1" si="7"/>
        <v>-1</v>
      </c>
    </row>
    <row r="94" spans="1:61" x14ac:dyDescent="0.25">
      <c r="A94" s="20">
        <v>29</v>
      </c>
      <c r="B94">
        <f t="shared" ca="1" si="10"/>
        <v>9999</v>
      </c>
      <c r="C94">
        <f t="shared" ca="1" si="10"/>
        <v>9999</v>
      </c>
      <c r="D94">
        <f t="shared" ca="1" si="10"/>
        <v>9999</v>
      </c>
      <c r="E94">
        <f t="shared" ca="1" si="10"/>
        <v>9999</v>
      </c>
      <c r="F94">
        <f t="shared" ca="1" si="10"/>
        <v>9999</v>
      </c>
      <c r="G94">
        <f t="shared" ca="1" si="10"/>
        <v>9999</v>
      </c>
      <c r="H94">
        <f t="shared" ca="1" si="10"/>
        <v>9999</v>
      </c>
      <c r="I94">
        <f t="shared" ca="1" si="10"/>
        <v>9999</v>
      </c>
      <c r="J94">
        <f t="shared" ca="1" si="10"/>
        <v>9999</v>
      </c>
      <c r="K94">
        <f t="shared" ca="1" si="10"/>
        <v>9999</v>
      </c>
      <c r="L94">
        <f t="shared" ca="1" si="10"/>
        <v>9999</v>
      </c>
      <c r="M94">
        <f t="shared" ca="1" si="10"/>
        <v>9999</v>
      </c>
      <c r="N94">
        <f t="shared" ca="1" si="10"/>
        <v>9999</v>
      </c>
      <c r="O94">
        <f t="shared" ca="1" si="10"/>
        <v>9999</v>
      </c>
      <c r="P94">
        <f t="shared" ca="1" si="10"/>
        <v>9999</v>
      </c>
      <c r="Q94">
        <f t="shared" ca="1" si="10"/>
        <v>9999</v>
      </c>
      <c r="R94">
        <f t="shared" ca="1" si="8"/>
        <v>9999</v>
      </c>
      <c r="S94">
        <f t="shared" ca="1" si="8"/>
        <v>9999</v>
      </c>
      <c r="T94">
        <f t="shared" ca="1" si="8"/>
        <v>9999</v>
      </c>
      <c r="U94">
        <f t="shared" ca="1" si="8"/>
        <v>9999</v>
      </c>
      <c r="V94">
        <f t="shared" ca="1" si="8"/>
        <v>9999</v>
      </c>
      <c r="W94">
        <f t="shared" ca="1" si="8"/>
        <v>9999</v>
      </c>
      <c r="X94">
        <f t="shared" ca="1" si="8"/>
        <v>9999</v>
      </c>
      <c r="Y94">
        <f t="shared" ca="1" si="8"/>
        <v>-1</v>
      </c>
      <c r="Z94">
        <f t="shared" ca="1" si="8"/>
        <v>-1</v>
      </c>
      <c r="AA94">
        <f t="shared" ca="1" si="8"/>
        <v>-1</v>
      </c>
      <c r="AB94">
        <f t="shared" ca="1" si="8"/>
        <v>-1</v>
      </c>
      <c r="AC94">
        <f t="shared" ca="1" si="11"/>
        <v>-1</v>
      </c>
      <c r="AD94">
        <f t="shared" ca="1" si="11"/>
        <v>-1</v>
      </c>
      <c r="AE94">
        <f t="shared" ca="1" si="11"/>
        <v>-1</v>
      </c>
      <c r="AF94">
        <f t="shared" ca="1" si="11"/>
        <v>-1</v>
      </c>
      <c r="AG94">
        <f t="shared" ca="1" si="11"/>
        <v>-1</v>
      </c>
      <c r="AH94">
        <f t="shared" ca="1" si="11"/>
        <v>-1</v>
      </c>
      <c r="AI94">
        <f t="shared" ca="1" si="11"/>
        <v>-1</v>
      </c>
      <c r="AJ94">
        <f t="shared" ca="1" si="11"/>
        <v>-1</v>
      </c>
      <c r="AK94">
        <f t="shared" ca="1" si="11"/>
        <v>-1</v>
      </c>
      <c r="AL94">
        <f t="shared" ca="1" si="11"/>
        <v>-1</v>
      </c>
      <c r="AM94">
        <f t="shared" ca="1" si="11"/>
        <v>-1</v>
      </c>
      <c r="AN94">
        <f t="shared" ca="1" si="11"/>
        <v>-1</v>
      </c>
      <c r="AO94">
        <f t="shared" ca="1" si="11"/>
        <v>-1</v>
      </c>
      <c r="AP94">
        <f t="shared" ca="1" si="11"/>
        <v>-1</v>
      </c>
      <c r="AQ94">
        <f t="shared" ca="1" si="11"/>
        <v>-1</v>
      </c>
      <c r="AR94">
        <f t="shared" ca="1" si="11"/>
        <v>-1</v>
      </c>
      <c r="AS94">
        <f t="shared" ca="1" si="9"/>
        <v>-1</v>
      </c>
      <c r="AT94">
        <f t="shared" ca="1" si="9"/>
        <v>-1</v>
      </c>
      <c r="AU94">
        <f t="shared" ca="1" si="9"/>
        <v>-1</v>
      </c>
      <c r="AV94">
        <f t="shared" ca="1" si="9"/>
        <v>-1</v>
      </c>
      <c r="AW94">
        <f t="shared" ca="1" si="9"/>
        <v>-1</v>
      </c>
      <c r="AX94">
        <f t="shared" ca="1" si="9"/>
        <v>-1</v>
      </c>
      <c r="AY94">
        <f t="shared" ca="1" si="9"/>
        <v>-1</v>
      </c>
      <c r="AZ94">
        <f t="shared" ca="1" si="9"/>
        <v>-1</v>
      </c>
      <c r="BA94">
        <f t="shared" ca="1" si="9"/>
        <v>-1</v>
      </c>
      <c r="BB94">
        <f t="shared" ca="1" si="7"/>
        <v>-1</v>
      </c>
      <c r="BC94">
        <f t="shared" ca="1" si="7"/>
        <v>-1</v>
      </c>
      <c r="BD94">
        <f t="shared" ca="1" si="7"/>
        <v>-1</v>
      </c>
      <c r="BE94">
        <f t="shared" ca="1" si="7"/>
        <v>-1</v>
      </c>
      <c r="BF94">
        <f t="shared" ca="1" si="7"/>
        <v>-1</v>
      </c>
      <c r="BG94">
        <f t="shared" ca="1" si="7"/>
        <v>-1</v>
      </c>
      <c r="BH94">
        <f t="shared" ca="1" si="7"/>
        <v>-1</v>
      </c>
      <c r="BI94">
        <f t="shared" ca="1" si="7"/>
        <v>-1</v>
      </c>
    </row>
    <row r="95" spans="1:61" x14ac:dyDescent="0.25">
      <c r="A95" s="20">
        <v>30</v>
      </c>
      <c r="B95">
        <f t="shared" ca="1" si="10"/>
        <v>9999</v>
      </c>
      <c r="C95">
        <f t="shared" ca="1" si="10"/>
        <v>9999</v>
      </c>
      <c r="D95">
        <f t="shared" ca="1" si="10"/>
        <v>9999</v>
      </c>
      <c r="E95">
        <f t="shared" ca="1" si="10"/>
        <v>9999</v>
      </c>
      <c r="F95">
        <f t="shared" ca="1" si="10"/>
        <v>9999</v>
      </c>
      <c r="G95">
        <f t="shared" ca="1" si="10"/>
        <v>9999</v>
      </c>
      <c r="H95">
        <f t="shared" ca="1" si="10"/>
        <v>9999</v>
      </c>
      <c r="I95">
        <f t="shared" ca="1" si="10"/>
        <v>9999</v>
      </c>
      <c r="J95">
        <f t="shared" ca="1" si="10"/>
        <v>9999</v>
      </c>
      <c r="K95">
        <f t="shared" ca="1" si="10"/>
        <v>9999</v>
      </c>
      <c r="L95">
        <f t="shared" ca="1" si="10"/>
        <v>9999</v>
      </c>
      <c r="M95">
        <f t="shared" ca="1" si="10"/>
        <v>9999</v>
      </c>
      <c r="N95">
        <f t="shared" ca="1" si="10"/>
        <v>9999</v>
      </c>
      <c r="O95">
        <f t="shared" ca="1" si="10"/>
        <v>9999</v>
      </c>
      <c r="P95">
        <f t="shared" ca="1" si="10"/>
        <v>9999</v>
      </c>
      <c r="Q95">
        <f t="shared" ca="1" si="10"/>
        <v>9999</v>
      </c>
      <c r="R95">
        <f t="shared" ca="1" si="8"/>
        <v>9999</v>
      </c>
      <c r="S95">
        <f t="shared" ca="1" si="8"/>
        <v>9999</v>
      </c>
      <c r="T95">
        <f t="shared" ca="1" si="8"/>
        <v>9999</v>
      </c>
      <c r="U95">
        <f t="shared" ca="1" si="8"/>
        <v>9999</v>
      </c>
      <c r="V95">
        <f t="shared" ca="1" si="8"/>
        <v>9999</v>
      </c>
      <c r="W95">
        <f t="shared" ca="1" si="8"/>
        <v>9999</v>
      </c>
      <c r="X95">
        <f t="shared" ca="1" si="8"/>
        <v>9999</v>
      </c>
      <c r="Y95">
        <f t="shared" ca="1" si="8"/>
        <v>-1</v>
      </c>
      <c r="Z95">
        <f t="shared" ca="1" si="8"/>
        <v>-1</v>
      </c>
      <c r="AA95">
        <f t="shared" ca="1" si="8"/>
        <v>-1</v>
      </c>
      <c r="AB95">
        <f t="shared" ca="1" si="8"/>
        <v>-1</v>
      </c>
      <c r="AC95">
        <f t="shared" ca="1" si="11"/>
        <v>-1</v>
      </c>
      <c r="AD95">
        <f t="shared" ca="1" si="11"/>
        <v>-1</v>
      </c>
      <c r="AE95">
        <f t="shared" ca="1" si="11"/>
        <v>-1</v>
      </c>
      <c r="AF95">
        <f t="shared" ca="1" si="11"/>
        <v>-1</v>
      </c>
      <c r="AG95">
        <f t="shared" ca="1" si="11"/>
        <v>-1</v>
      </c>
      <c r="AH95">
        <f t="shared" ca="1" si="11"/>
        <v>-1</v>
      </c>
      <c r="AI95">
        <f t="shared" ca="1" si="11"/>
        <v>-1</v>
      </c>
      <c r="AJ95">
        <f t="shared" ca="1" si="11"/>
        <v>-1</v>
      </c>
      <c r="AK95">
        <f t="shared" ca="1" si="11"/>
        <v>-1</v>
      </c>
      <c r="AL95">
        <f t="shared" ca="1" si="11"/>
        <v>-1</v>
      </c>
      <c r="AM95">
        <f t="shared" ca="1" si="11"/>
        <v>-1</v>
      </c>
      <c r="AN95">
        <f t="shared" ca="1" si="11"/>
        <v>-1</v>
      </c>
      <c r="AO95">
        <f t="shared" ca="1" si="11"/>
        <v>-1</v>
      </c>
      <c r="AP95">
        <f t="shared" ca="1" si="11"/>
        <v>-1</v>
      </c>
      <c r="AQ95">
        <f t="shared" ca="1" si="11"/>
        <v>-1</v>
      </c>
      <c r="AR95">
        <f t="shared" ca="1" si="11"/>
        <v>-1</v>
      </c>
      <c r="AS95">
        <f t="shared" ca="1" si="9"/>
        <v>-1</v>
      </c>
      <c r="AT95">
        <f t="shared" ca="1" si="9"/>
        <v>-1</v>
      </c>
      <c r="AU95">
        <f t="shared" ca="1" si="9"/>
        <v>-1</v>
      </c>
      <c r="AV95">
        <f t="shared" ca="1" si="9"/>
        <v>-1</v>
      </c>
      <c r="AW95">
        <f t="shared" ca="1" si="9"/>
        <v>-1</v>
      </c>
      <c r="AX95">
        <f t="shared" ca="1" si="9"/>
        <v>-1</v>
      </c>
      <c r="AY95">
        <f t="shared" ca="1" si="9"/>
        <v>-1</v>
      </c>
      <c r="AZ95">
        <f t="shared" ca="1" si="9"/>
        <v>-1</v>
      </c>
      <c r="BA95">
        <f t="shared" ca="1" si="9"/>
        <v>-1</v>
      </c>
      <c r="BB95">
        <f t="shared" ca="1" si="7"/>
        <v>-1</v>
      </c>
      <c r="BC95">
        <f t="shared" ca="1" si="7"/>
        <v>-1</v>
      </c>
      <c r="BD95">
        <f t="shared" ca="1" si="7"/>
        <v>-1</v>
      </c>
      <c r="BE95">
        <f t="shared" ca="1" si="7"/>
        <v>-1</v>
      </c>
      <c r="BF95">
        <f t="shared" ca="1" si="7"/>
        <v>-1</v>
      </c>
      <c r="BG95">
        <f t="shared" ca="1" si="7"/>
        <v>-1</v>
      </c>
      <c r="BH95">
        <f t="shared" ca="1" si="7"/>
        <v>-1</v>
      </c>
      <c r="BI95">
        <f t="shared" ca="1" si="7"/>
        <v>-1</v>
      </c>
    </row>
    <row r="96" spans="1:61" x14ac:dyDescent="0.25">
      <c r="A96" s="20">
        <v>31</v>
      </c>
      <c r="B96">
        <f t="shared" ca="1" si="10"/>
        <v>9999</v>
      </c>
      <c r="C96">
        <f t="shared" ca="1" si="10"/>
        <v>9999</v>
      </c>
      <c r="D96">
        <f t="shared" ca="1" si="10"/>
        <v>9999</v>
      </c>
      <c r="E96">
        <f t="shared" ca="1" si="10"/>
        <v>9999</v>
      </c>
      <c r="F96">
        <f t="shared" ca="1" si="10"/>
        <v>9999</v>
      </c>
      <c r="G96">
        <f t="shared" ca="1" si="10"/>
        <v>9999</v>
      </c>
      <c r="H96">
        <f t="shared" ca="1" si="10"/>
        <v>9999</v>
      </c>
      <c r="I96">
        <f t="shared" ca="1" si="10"/>
        <v>9999</v>
      </c>
      <c r="J96">
        <f t="shared" ca="1" si="10"/>
        <v>9999</v>
      </c>
      <c r="K96">
        <f t="shared" ca="1" si="10"/>
        <v>9999</v>
      </c>
      <c r="L96">
        <f t="shared" ca="1" si="10"/>
        <v>9999</v>
      </c>
      <c r="M96">
        <f t="shared" ca="1" si="10"/>
        <v>9999</v>
      </c>
      <c r="N96">
        <f t="shared" ca="1" si="10"/>
        <v>9999</v>
      </c>
      <c r="O96">
        <f t="shared" ca="1" si="10"/>
        <v>9999</v>
      </c>
      <c r="P96">
        <f t="shared" ca="1" si="10"/>
        <v>9999</v>
      </c>
      <c r="Q96">
        <f t="shared" ca="1" si="10"/>
        <v>9999</v>
      </c>
      <c r="R96">
        <f t="shared" ca="1" si="8"/>
        <v>9999</v>
      </c>
      <c r="S96">
        <f t="shared" ca="1" si="8"/>
        <v>9999</v>
      </c>
      <c r="T96">
        <f t="shared" ca="1" si="8"/>
        <v>9999</v>
      </c>
      <c r="U96">
        <f t="shared" ca="1" si="8"/>
        <v>9999</v>
      </c>
      <c r="V96">
        <f t="shared" ca="1" si="8"/>
        <v>9999</v>
      </c>
      <c r="W96">
        <f t="shared" ca="1" si="8"/>
        <v>9999</v>
      </c>
      <c r="X96">
        <f t="shared" ca="1" si="8"/>
        <v>9999</v>
      </c>
      <c r="Y96">
        <f t="shared" ca="1" si="8"/>
        <v>-1</v>
      </c>
      <c r="Z96">
        <f t="shared" ca="1" si="8"/>
        <v>-1</v>
      </c>
      <c r="AA96">
        <f t="shared" ca="1" si="8"/>
        <v>-1</v>
      </c>
      <c r="AB96">
        <f t="shared" ca="1" si="8"/>
        <v>-1</v>
      </c>
      <c r="AC96">
        <f t="shared" ca="1" si="11"/>
        <v>-1</v>
      </c>
      <c r="AD96">
        <f t="shared" ca="1" si="11"/>
        <v>-1</v>
      </c>
      <c r="AE96">
        <f t="shared" ca="1" si="11"/>
        <v>-1</v>
      </c>
      <c r="AF96">
        <f t="shared" ca="1" si="11"/>
        <v>-1</v>
      </c>
      <c r="AG96">
        <f t="shared" ca="1" si="11"/>
        <v>-1</v>
      </c>
      <c r="AH96">
        <f t="shared" ca="1" si="11"/>
        <v>-1</v>
      </c>
      <c r="AI96">
        <f t="shared" ca="1" si="11"/>
        <v>-1</v>
      </c>
      <c r="AJ96">
        <f t="shared" ca="1" si="11"/>
        <v>-1</v>
      </c>
      <c r="AK96">
        <f t="shared" ca="1" si="11"/>
        <v>-1</v>
      </c>
      <c r="AL96">
        <f t="shared" ca="1" si="11"/>
        <v>-1</v>
      </c>
      <c r="AM96">
        <f t="shared" ca="1" si="11"/>
        <v>-1</v>
      </c>
      <c r="AN96">
        <f t="shared" ca="1" si="11"/>
        <v>-1</v>
      </c>
      <c r="AO96">
        <f t="shared" ca="1" si="11"/>
        <v>-1</v>
      </c>
      <c r="AP96">
        <f t="shared" ca="1" si="11"/>
        <v>-1</v>
      </c>
      <c r="AQ96">
        <f t="shared" ca="1" si="11"/>
        <v>-1</v>
      </c>
      <c r="AR96">
        <f t="shared" ca="1" si="11"/>
        <v>-1</v>
      </c>
      <c r="AS96">
        <f t="shared" ca="1" si="9"/>
        <v>-1</v>
      </c>
      <c r="AT96">
        <f t="shared" ca="1" si="9"/>
        <v>-1</v>
      </c>
      <c r="AU96">
        <f t="shared" ca="1" si="9"/>
        <v>-1</v>
      </c>
      <c r="AV96">
        <f t="shared" ca="1" si="9"/>
        <v>-1</v>
      </c>
      <c r="AW96">
        <f t="shared" ca="1" si="9"/>
        <v>-1</v>
      </c>
      <c r="AX96">
        <f t="shared" ca="1" si="9"/>
        <v>-1</v>
      </c>
      <c r="AY96">
        <f t="shared" ca="1" si="9"/>
        <v>-1</v>
      </c>
      <c r="AZ96">
        <f t="shared" ca="1" si="9"/>
        <v>-1</v>
      </c>
      <c r="BA96">
        <f t="shared" ca="1" si="9"/>
        <v>-1</v>
      </c>
      <c r="BB96">
        <f t="shared" ca="1" si="7"/>
        <v>-1</v>
      </c>
      <c r="BC96">
        <f t="shared" ca="1" si="7"/>
        <v>-1</v>
      </c>
      <c r="BD96">
        <f t="shared" ca="1" si="7"/>
        <v>-1</v>
      </c>
      <c r="BE96">
        <f t="shared" ca="1" si="7"/>
        <v>-1</v>
      </c>
      <c r="BF96">
        <f t="shared" ca="1" si="7"/>
        <v>-1</v>
      </c>
      <c r="BG96">
        <f t="shared" ca="1" si="7"/>
        <v>-1</v>
      </c>
      <c r="BH96">
        <f t="shared" ca="1" si="7"/>
        <v>-1</v>
      </c>
      <c r="BI96">
        <f t="shared" ca="1" si="7"/>
        <v>-1</v>
      </c>
    </row>
    <row r="97" spans="1:61" x14ac:dyDescent="0.25">
      <c r="A97" s="20">
        <v>32</v>
      </c>
      <c r="B97">
        <f t="shared" ca="1" si="10"/>
        <v>9999</v>
      </c>
      <c r="C97">
        <f t="shared" ca="1" si="10"/>
        <v>9999</v>
      </c>
      <c r="D97">
        <f t="shared" ca="1" si="10"/>
        <v>9999</v>
      </c>
      <c r="E97">
        <f t="shared" ca="1" si="10"/>
        <v>9999</v>
      </c>
      <c r="F97">
        <f t="shared" ca="1" si="10"/>
        <v>9999</v>
      </c>
      <c r="G97">
        <f t="shared" ca="1" si="10"/>
        <v>9999</v>
      </c>
      <c r="H97">
        <f t="shared" ca="1" si="10"/>
        <v>9999</v>
      </c>
      <c r="I97">
        <f t="shared" ca="1" si="10"/>
        <v>9999</v>
      </c>
      <c r="J97">
        <f t="shared" ca="1" si="10"/>
        <v>9999</v>
      </c>
      <c r="K97">
        <f t="shared" ca="1" si="10"/>
        <v>9999</v>
      </c>
      <c r="L97">
        <f t="shared" ca="1" si="10"/>
        <v>9999</v>
      </c>
      <c r="M97">
        <f t="shared" ca="1" si="10"/>
        <v>9999</v>
      </c>
      <c r="N97">
        <f t="shared" ca="1" si="10"/>
        <v>9999</v>
      </c>
      <c r="O97">
        <f t="shared" ca="1" si="10"/>
        <v>9999</v>
      </c>
      <c r="P97">
        <f t="shared" ca="1" si="10"/>
        <v>9999</v>
      </c>
      <c r="Q97">
        <f t="shared" ca="1" si="10"/>
        <v>9999</v>
      </c>
      <c r="R97">
        <f t="shared" ca="1" si="8"/>
        <v>9999</v>
      </c>
      <c r="S97">
        <f t="shared" ca="1" si="8"/>
        <v>9999</v>
      </c>
      <c r="T97">
        <f t="shared" ca="1" si="8"/>
        <v>9999</v>
      </c>
      <c r="U97">
        <f t="shared" ca="1" si="8"/>
        <v>9999</v>
      </c>
      <c r="V97">
        <f t="shared" ca="1" si="8"/>
        <v>9999</v>
      </c>
      <c r="W97">
        <f t="shared" ca="1" si="8"/>
        <v>9999</v>
      </c>
      <c r="X97">
        <f t="shared" ca="1" si="8"/>
        <v>9999</v>
      </c>
      <c r="Y97">
        <f t="shared" ca="1" si="8"/>
        <v>-1</v>
      </c>
      <c r="Z97">
        <f t="shared" ca="1" si="8"/>
        <v>-1</v>
      </c>
      <c r="AA97">
        <f t="shared" ca="1" si="8"/>
        <v>-1</v>
      </c>
      <c r="AB97">
        <f t="shared" ca="1" si="8"/>
        <v>-1</v>
      </c>
      <c r="AC97">
        <f t="shared" ca="1" si="11"/>
        <v>-1</v>
      </c>
      <c r="AD97">
        <f t="shared" ca="1" si="11"/>
        <v>-1</v>
      </c>
      <c r="AE97">
        <f t="shared" ca="1" si="11"/>
        <v>-1</v>
      </c>
      <c r="AF97">
        <f t="shared" ca="1" si="11"/>
        <v>-1</v>
      </c>
      <c r="AG97">
        <f t="shared" ca="1" si="11"/>
        <v>-1</v>
      </c>
      <c r="AH97">
        <f t="shared" ca="1" si="11"/>
        <v>-1</v>
      </c>
      <c r="AI97">
        <f t="shared" ca="1" si="11"/>
        <v>-1</v>
      </c>
      <c r="AJ97">
        <f t="shared" ca="1" si="11"/>
        <v>-1</v>
      </c>
      <c r="AK97">
        <f t="shared" ca="1" si="11"/>
        <v>-1</v>
      </c>
      <c r="AL97">
        <f t="shared" ca="1" si="11"/>
        <v>-1</v>
      </c>
      <c r="AM97">
        <f t="shared" ca="1" si="11"/>
        <v>-1</v>
      </c>
      <c r="AN97">
        <f t="shared" ca="1" si="11"/>
        <v>-1</v>
      </c>
      <c r="AO97">
        <f t="shared" ca="1" si="11"/>
        <v>-1</v>
      </c>
      <c r="AP97">
        <f t="shared" ca="1" si="11"/>
        <v>-1</v>
      </c>
      <c r="AQ97">
        <f t="shared" ca="1" si="11"/>
        <v>-1</v>
      </c>
      <c r="AR97">
        <f t="shared" ca="1" si="11"/>
        <v>-1</v>
      </c>
      <c r="AS97">
        <f t="shared" ca="1" si="9"/>
        <v>-1</v>
      </c>
      <c r="AT97">
        <f t="shared" ca="1" si="9"/>
        <v>-1</v>
      </c>
      <c r="AU97">
        <f t="shared" ca="1" si="9"/>
        <v>-1</v>
      </c>
      <c r="AV97">
        <f t="shared" ca="1" si="9"/>
        <v>-1</v>
      </c>
      <c r="AW97">
        <f t="shared" ca="1" si="9"/>
        <v>-1</v>
      </c>
      <c r="AX97">
        <f t="shared" ca="1" si="9"/>
        <v>-1</v>
      </c>
      <c r="AY97">
        <f t="shared" ca="1" si="9"/>
        <v>-1</v>
      </c>
      <c r="AZ97">
        <f t="shared" ca="1" si="9"/>
        <v>-1</v>
      </c>
      <c r="BA97">
        <f t="shared" ca="1" si="9"/>
        <v>-1</v>
      </c>
      <c r="BB97">
        <f t="shared" ca="1" si="7"/>
        <v>-1</v>
      </c>
      <c r="BC97">
        <f t="shared" ca="1" si="7"/>
        <v>-1</v>
      </c>
      <c r="BD97">
        <f t="shared" ca="1" si="7"/>
        <v>-1</v>
      </c>
      <c r="BE97">
        <f t="shared" ca="1" si="7"/>
        <v>-1</v>
      </c>
      <c r="BF97">
        <f t="shared" ca="1" si="7"/>
        <v>-1</v>
      </c>
      <c r="BG97">
        <f t="shared" ca="1" si="7"/>
        <v>-1</v>
      </c>
      <c r="BH97">
        <f t="shared" ca="1" si="7"/>
        <v>-1</v>
      </c>
      <c r="BI97">
        <f t="shared" ca="1" si="7"/>
        <v>-1</v>
      </c>
    </row>
    <row r="98" spans="1:61" x14ac:dyDescent="0.25">
      <c r="A98" s="20">
        <v>33</v>
      </c>
      <c r="B98">
        <f t="shared" ca="1" si="10"/>
        <v>9999</v>
      </c>
      <c r="C98">
        <f t="shared" ca="1" si="10"/>
        <v>9999</v>
      </c>
      <c r="D98">
        <f t="shared" ca="1" si="10"/>
        <v>9999</v>
      </c>
      <c r="E98">
        <f t="shared" ca="1" si="10"/>
        <v>9999</v>
      </c>
      <c r="F98">
        <f t="shared" ca="1" si="10"/>
        <v>9999</v>
      </c>
      <c r="G98">
        <f t="shared" ca="1" si="10"/>
        <v>9999</v>
      </c>
      <c r="H98">
        <f t="shared" ca="1" si="10"/>
        <v>9999</v>
      </c>
      <c r="I98">
        <f t="shared" ca="1" si="10"/>
        <v>9999</v>
      </c>
      <c r="J98">
        <f t="shared" ca="1" si="10"/>
        <v>9999</v>
      </c>
      <c r="K98">
        <f t="shared" ca="1" si="10"/>
        <v>9999</v>
      </c>
      <c r="L98">
        <f t="shared" ca="1" si="10"/>
        <v>9999</v>
      </c>
      <c r="M98">
        <f t="shared" ca="1" si="10"/>
        <v>9999</v>
      </c>
      <c r="N98">
        <f t="shared" ca="1" si="10"/>
        <v>9999</v>
      </c>
      <c r="O98">
        <f t="shared" ca="1" si="10"/>
        <v>9999</v>
      </c>
      <c r="P98">
        <f t="shared" ca="1" si="10"/>
        <v>9999</v>
      </c>
      <c r="Q98">
        <f t="shared" ca="1" si="10"/>
        <v>9999</v>
      </c>
      <c r="R98">
        <f t="shared" ca="1" si="8"/>
        <v>9999</v>
      </c>
      <c r="S98">
        <f t="shared" ca="1" si="8"/>
        <v>9999</v>
      </c>
      <c r="T98">
        <f t="shared" ca="1" si="8"/>
        <v>9999</v>
      </c>
      <c r="U98">
        <f t="shared" ca="1" si="8"/>
        <v>9999</v>
      </c>
      <c r="V98">
        <f t="shared" ca="1" si="8"/>
        <v>9999</v>
      </c>
      <c r="W98">
        <f t="shared" ca="1" si="8"/>
        <v>9999</v>
      </c>
      <c r="X98">
        <f t="shared" ca="1" si="8"/>
        <v>9999</v>
      </c>
      <c r="Y98">
        <f t="shared" ca="1" si="8"/>
        <v>-1</v>
      </c>
      <c r="Z98">
        <f t="shared" ca="1" si="8"/>
        <v>-1</v>
      </c>
      <c r="AA98">
        <f t="shared" ca="1" si="8"/>
        <v>-1</v>
      </c>
      <c r="AB98">
        <f t="shared" ca="1" si="8"/>
        <v>-1</v>
      </c>
      <c r="AC98">
        <f t="shared" ca="1" si="11"/>
        <v>-1</v>
      </c>
      <c r="AD98">
        <f t="shared" ca="1" si="11"/>
        <v>-1</v>
      </c>
      <c r="AE98">
        <f t="shared" ca="1" si="11"/>
        <v>-1</v>
      </c>
      <c r="AF98">
        <f t="shared" ca="1" si="11"/>
        <v>0</v>
      </c>
      <c r="AG98">
        <f t="shared" ca="1" si="11"/>
        <v>1</v>
      </c>
      <c r="AH98">
        <f t="shared" ca="1" si="11"/>
        <v>2</v>
      </c>
      <c r="AI98">
        <f t="shared" ca="1" si="11"/>
        <v>3</v>
      </c>
      <c r="AJ98">
        <f t="shared" ca="1" si="11"/>
        <v>4</v>
      </c>
      <c r="AK98">
        <f t="shared" ca="1" si="11"/>
        <v>5</v>
      </c>
      <c r="AL98">
        <f t="shared" ca="1" si="11"/>
        <v>6</v>
      </c>
      <c r="AM98">
        <f t="shared" ca="1" si="11"/>
        <v>7</v>
      </c>
      <c r="AN98">
        <f t="shared" ca="1" si="11"/>
        <v>8</v>
      </c>
      <c r="AO98">
        <f t="shared" ca="1" si="11"/>
        <v>9</v>
      </c>
      <c r="AP98">
        <f t="shared" ca="1" si="11"/>
        <v>10</v>
      </c>
      <c r="AQ98">
        <f t="shared" ca="1" si="11"/>
        <v>11</v>
      </c>
      <c r="AR98">
        <f t="shared" ca="1" si="11"/>
        <v>12</v>
      </c>
      <c r="AS98">
        <f t="shared" ca="1" si="9"/>
        <v>13</v>
      </c>
      <c r="AT98">
        <f t="shared" ca="1" si="9"/>
        <v>14</v>
      </c>
      <c r="AU98">
        <f t="shared" ca="1" si="9"/>
        <v>15</v>
      </c>
      <c r="AV98">
        <f t="shared" ca="1" si="9"/>
        <v>16</v>
      </c>
      <c r="AW98">
        <f t="shared" ca="1" si="9"/>
        <v>17</v>
      </c>
      <c r="AX98">
        <f t="shared" ca="1" si="9"/>
        <v>18</v>
      </c>
      <c r="AY98">
        <f t="shared" ca="1" si="9"/>
        <v>19</v>
      </c>
      <c r="AZ98">
        <f t="shared" ca="1" si="9"/>
        <v>20</v>
      </c>
      <c r="BA98">
        <f t="shared" ca="1" si="9"/>
        <v>21</v>
      </c>
      <c r="BB98">
        <f t="shared" ca="1" si="7"/>
        <v>22</v>
      </c>
      <c r="BC98">
        <f t="shared" ca="1" si="7"/>
        <v>23</v>
      </c>
      <c r="BD98">
        <f t="shared" ca="1" si="7"/>
        <v>24</v>
      </c>
      <c r="BE98">
        <f t="shared" ca="1" si="7"/>
        <v>25</v>
      </c>
      <c r="BF98">
        <f t="shared" ca="1" si="7"/>
        <v>26</v>
      </c>
      <c r="BG98">
        <f t="shared" ca="1" si="7"/>
        <v>27</v>
      </c>
      <c r="BH98">
        <f t="shared" ca="1" si="7"/>
        <v>28</v>
      </c>
      <c r="BI98">
        <f t="shared" ca="1" si="7"/>
        <v>29</v>
      </c>
    </row>
    <row r="99" spans="1:61" x14ac:dyDescent="0.25">
      <c r="A99" s="20">
        <v>34</v>
      </c>
      <c r="B99">
        <f t="shared" ca="1" si="10"/>
        <v>9999</v>
      </c>
      <c r="C99">
        <f t="shared" ca="1" si="10"/>
        <v>9999</v>
      </c>
      <c r="D99">
        <f t="shared" ca="1" si="10"/>
        <v>9999</v>
      </c>
      <c r="E99">
        <f t="shared" ca="1" si="10"/>
        <v>9999</v>
      </c>
      <c r="F99">
        <f t="shared" ca="1" si="10"/>
        <v>9999</v>
      </c>
      <c r="G99">
        <f t="shared" ca="1" si="10"/>
        <v>9999</v>
      </c>
      <c r="H99">
        <f t="shared" ca="1" si="10"/>
        <v>9999</v>
      </c>
      <c r="I99">
        <f t="shared" ca="1" si="10"/>
        <v>9999</v>
      </c>
      <c r="J99">
        <f t="shared" ca="1" si="10"/>
        <v>9999</v>
      </c>
      <c r="K99">
        <f t="shared" ca="1" si="10"/>
        <v>9999</v>
      </c>
      <c r="L99">
        <f t="shared" ca="1" si="10"/>
        <v>9999</v>
      </c>
      <c r="M99">
        <f t="shared" ca="1" si="10"/>
        <v>9999</v>
      </c>
      <c r="N99">
        <f t="shared" ca="1" si="10"/>
        <v>9999</v>
      </c>
      <c r="O99">
        <f t="shared" ca="1" si="10"/>
        <v>9999</v>
      </c>
      <c r="P99">
        <f t="shared" ca="1" si="10"/>
        <v>9999</v>
      </c>
      <c r="Q99">
        <f t="shared" ca="1" si="10"/>
        <v>9999</v>
      </c>
      <c r="R99">
        <f t="shared" ca="1" si="8"/>
        <v>9999</v>
      </c>
      <c r="S99">
        <f t="shared" ca="1" si="8"/>
        <v>9999</v>
      </c>
      <c r="T99">
        <f t="shared" ca="1" si="8"/>
        <v>9999</v>
      </c>
      <c r="U99">
        <f t="shared" ca="1" si="8"/>
        <v>9999</v>
      </c>
      <c r="V99">
        <f t="shared" ca="1" si="8"/>
        <v>9999</v>
      </c>
      <c r="W99">
        <f t="shared" ca="1" si="8"/>
        <v>9999</v>
      </c>
      <c r="X99">
        <f t="shared" ca="1" si="8"/>
        <v>9999</v>
      </c>
      <c r="Y99">
        <f t="shared" ca="1" si="8"/>
        <v>-1</v>
      </c>
      <c r="Z99">
        <f t="shared" ca="1" si="8"/>
        <v>-1</v>
      </c>
      <c r="AA99">
        <f t="shared" ca="1" si="8"/>
        <v>-1</v>
      </c>
      <c r="AB99">
        <f t="shared" ca="1" si="8"/>
        <v>-1</v>
      </c>
      <c r="AC99">
        <f t="shared" ca="1" si="11"/>
        <v>-1</v>
      </c>
      <c r="AD99">
        <f t="shared" ca="1" si="11"/>
        <v>-1</v>
      </c>
      <c r="AE99">
        <f t="shared" ca="1" si="11"/>
        <v>-1</v>
      </c>
      <c r="AF99">
        <f t="shared" ca="1" si="11"/>
        <v>30</v>
      </c>
      <c r="AG99">
        <f t="shared" ca="1" si="11"/>
        <v>31</v>
      </c>
      <c r="AH99">
        <f t="shared" ca="1" si="11"/>
        <v>32</v>
      </c>
      <c r="AI99">
        <f t="shared" ca="1" si="11"/>
        <v>33</v>
      </c>
      <c r="AJ99">
        <f t="shared" ca="1" si="11"/>
        <v>34</v>
      </c>
      <c r="AK99">
        <f t="shared" ca="1" si="11"/>
        <v>35</v>
      </c>
      <c r="AL99">
        <f t="shared" ca="1" si="11"/>
        <v>36</v>
      </c>
      <c r="AM99">
        <f t="shared" ca="1" si="11"/>
        <v>37</v>
      </c>
      <c r="AN99">
        <f t="shared" ca="1" si="11"/>
        <v>38</v>
      </c>
      <c r="AO99">
        <f t="shared" ca="1" si="11"/>
        <v>39</v>
      </c>
      <c r="AP99">
        <f t="shared" ca="1" si="11"/>
        <v>40</v>
      </c>
      <c r="AQ99">
        <f t="shared" ca="1" si="11"/>
        <v>41</v>
      </c>
      <c r="AR99">
        <f t="shared" ca="1" si="11"/>
        <v>42</v>
      </c>
      <c r="AS99">
        <f t="shared" ca="1" si="9"/>
        <v>43</v>
      </c>
      <c r="AT99">
        <f t="shared" ca="1" si="9"/>
        <v>44</v>
      </c>
      <c r="AU99">
        <f t="shared" ca="1" si="9"/>
        <v>45</v>
      </c>
      <c r="AV99">
        <f t="shared" ca="1" si="9"/>
        <v>46</v>
      </c>
      <c r="AW99">
        <f t="shared" ca="1" si="9"/>
        <v>47</v>
      </c>
      <c r="AX99">
        <f t="shared" ca="1" si="9"/>
        <v>48</v>
      </c>
      <c r="AY99">
        <f t="shared" ca="1" si="9"/>
        <v>49</v>
      </c>
      <c r="AZ99">
        <f t="shared" ca="1" si="9"/>
        <v>50</v>
      </c>
      <c r="BA99">
        <f t="shared" ca="1" si="9"/>
        <v>51</v>
      </c>
      <c r="BB99">
        <f t="shared" ca="1" si="7"/>
        <v>52</v>
      </c>
      <c r="BC99">
        <f t="shared" ca="1" si="7"/>
        <v>53</v>
      </c>
      <c r="BD99">
        <f t="shared" ca="1" si="7"/>
        <v>54</v>
      </c>
      <c r="BE99">
        <f t="shared" ca="1" si="7"/>
        <v>55</v>
      </c>
      <c r="BF99">
        <f t="shared" ca="1" si="7"/>
        <v>56</v>
      </c>
      <c r="BG99">
        <f t="shared" ca="1" si="7"/>
        <v>57</v>
      </c>
      <c r="BH99">
        <f t="shared" ca="1" si="7"/>
        <v>58</v>
      </c>
      <c r="BI99">
        <f t="shared" ca="1" si="7"/>
        <v>59</v>
      </c>
    </row>
    <row r="100" spans="1:61" x14ac:dyDescent="0.25">
      <c r="A100" s="20">
        <v>35</v>
      </c>
      <c r="B100">
        <f t="shared" ca="1" si="10"/>
        <v>9999</v>
      </c>
      <c r="C100">
        <f t="shared" ca="1" si="10"/>
        <v>9999</v>
      </c>
      <c r="D100">
        <f t="shared" ca="1" si="10"/>
        <v>9999</v>
      </c>
      <c r="E100">
        <f t="shared" ca="1" si="10"/>
        <v>9999</v>
      </c>
      <c r="F100">
        <f t="shared" ca="1" si="10"/>
        <v>9999</v>
      </c>
      <c r="G100">
        <f t="shared" ca="1" si="10"/>
        <v>9999</v>
      </c>
      <c r="H100">
        <f t="shared" ca="1" si="10"/>
        <v>9999</v>
      </c>
      <c r="I100">
        <f t="shared" ca="1" si="10"/>
        <v>9999</v>
      </c>
      <c r="J100">
        <f t="shared" ca="1" si="10"/>
        <v>9999</v>
      </c>
      <c r="K100">
        <f t="shared" ca="1" si="10"/>
        <v>9999</v>
      </c>
      <c r="L100">
        <f t="shared" ca="1" si="10"/>
        <v>9999</v>
      </c>
      <c r="M100">
        <f t="shared" ca="1" si="10"/>
        <v>9999</v>
      </c>
      <c r="N100">
        <f t="shared" ca="1" si="10"/>
        <v>9999</v>
      </c>
      <c r="O100">
        <f t="shared" ca="1" si="10"/>
        <v>9999</v>
      </c>
      <c r="P100">
        <f t="shared" ca="1" si="10"/>
        <v>9999</v>
      </c>
      <c r="Q100">
        <f t="shared" ca="1" si="10"/>
        <v>9999</v>
      </c>
      <c r="R100">
        <f t="shared" ca="1" si="8"/>
        <v>9999</v>
      </c>
      <c r="S100">
        <f t="shared" ca="1" si="8"/>
        <v>9999</v>
      </c>
      <c r="T100">
        <f t="shared" ca="1" si="8"/>
        <v>9999</v>
      </c>
      <c r="U100">
        <f t="shared" ca="1" si="8"/>
        <v>9999</v>
      </c>
      <c r="V100">
        <f t="shared" ca="1" si="8"/>
        <v>9999</v>
      </c>
      <c r="W100">
        <f t="shared" ca="1" si="8"/>
        <v>9999</v>
      </c>
      <c r="X100">
        <f t="shared" ca="1" si="8"/>
        <v>9999</v>
      </c>
      <c r="Y100">
        <f t="shared" ca="1" si="8"/>
        <v>-1</v>
      </c>
      <c r="Z100">
        <f t="shared" ca="1" si="8"/>
        <v>-1</v>
      </c>
      <c r="AA100">
        <f t="shared" ca="1" si="8"/>
        <v>-1</v>
      </c>
      <c r="AB100">
        <f t="shared" ca="1" si="8"/>
        <v>-1</v>
      </c>
      <c r="AC100">
        <f t="shared" ca="1" si="11"/>
        <v>-1</v>
      </c>
      <c r="AD100">
        <f t="shared" ca="1" si="11"/>
        <v>-1</v>
      </c>
      <c r="AE100">
        <f t="shared" ca="1" si="11"/>
        <v>-1</v>
      </c>
      <c r="AF100">
        <f t="shared" ca="1" si="11"/>
        <v>60</v>
      </c>
      <c r="AG100">
        <f t="shared" ca="1" si="11"/>
        <v>61</v>
      </c>
      <c r="AH100">
        <f t="shared" ca="1" si="11"/>
        <v>62</v>
      </c>
      <c r="AI100">
        <f t="shared" ca="1" si="11"/>
        <v>63</v>
      </c>
      <c r="AJ100">
        <f t="shared" ca="1" si="11"/>
        <v>64</v>
      </c>
      <c r="AK100">
        <f t="shared" ca="1" si="11"/>
        <v>65</v>
      </c>
      <c r="AL100">
        <f t="shared" ca="1" si="11"/>
        <v>66</v>
      </c>
      <c r="AM100">
        <f t="shared" ca="1" si="11"/>
        <v>67</v>
      </c>
      <c r="AN100">
        <f t="shared" ca="1" si="11"/>
        <v>68</v>
      </c>
      <c r="AO100">
        <f t="shared" ca="1" si="11"/>
        <v>69</v>
      </c>
      <c r="AP100">
        <f t="shared" ca="1" si="11"/>
        <v>70</v>
      </c>
      <c r="AQ100">
        <f t="shared" ca="1" si="11"/>
        <v>71</v>
      </c>
      <c r="AR100">
        <f t="shared" ca="1" si="11"/>
        <v>72</v>
      </c>
      <c r="AS100">
        <f t="shared" ca="1" si="9"/>
        <v>73</v>
      </c>
      <c r="AT100">
        <f t="shared" ca="1" si="9"/>
        <v>74</v>
      </c>
      <c r="AU100">
        <f t="shared" ca="1" si="9"/>
        <v>75</v>
      </c>
      <c r="AV100">
        <f t="shared" ca="1" si="9"/>
        <v>76</v>
      </c>
      <c r="AW100">
        <f t="shared" ca="1" si="9"/>
        <v>77</v>
      </c>
      <c r="AX100">
        <f t="shared" ca="1" si="9"/>
        <v>78</v>
      </c>
      <c r="AY100">
        <f t="shared" ca="1" si="9"/>
        <v>79</v>
      </c>
      <c r="AZ100">
        <f t="shared" ca="1" si="9"/>
        <v>80</v>
      </c>
      <c r="BA100">
        <f t="shared" ca="1" si="9"/>
        <v>81</v>
      </c>
      <c r="BB100">
        <f t="shared" ca="1" si="7"/>
        <v>82</v>
      </c>
      <c r="BC100">
        <f t="shared" ca="1" si="7"/>
        <v>83</v>
      </c>
      <c r="BD100">
        <f t="shared" ca="1" si="7"/>
        <v>84</v>
      </c>
      <c r="BE100">
        <f t="shared" ca="1" si="7"/>
        <v>85</v>
      </c>
      <c r="BF100">
        <f t="shared" ca="1" si="7"/>
        <v>86</v>
      </c>
      <c r="BG100">
        <f t="shared" ca="1" si="7"/>
        <v>87</v>
      </c>
      <c r="BH100">
        <f t="shared" ca="1" si="7"/>
        <v>88</v>
      </c>
      <c r="BI100">
        <f t="shared" ca="1" si="7"/>
        <v>89</v>
      </c>
    </row>
    <row r="101" spans="1:61" x14ac:dyDescent="0.25">
      <c r="A101" s="20">
        <v>36</v>
      </c>
      <c r="B101">
        <f t="shared" ca="1" si="10"/>
        <v>9999</v>
      </c>
      <c r="C101">
        <f t="shared" ca="1" si="10"/>
        <v>9999</v>
      </c>
      <c r="D101">
        <f t="shared" ca="1" si="10"/>
        <v>9999</v>
      </c>
      <c r="E101">
        <f t="shared" ca="1" si="10"/>
        <v>9999</v>
      </c>
      <c r="F101">
        <f t="shared" ca="1" si="10"/>
        <v>9999</v>
      </c>
      <c r="G101">
        <f t="shared" ca="1" si="10"/>
        <v>9999</v>
      </c>
      <c r="H101">
        <f t="shared" ca="1" si="10"/>
        <v>9999</v>
      </c>
      <c r="I101">
        <f t="shared" ca="1" si="10"/>
        <v>9999</v>
      </c>
      <c r="J101">
        <f t="shared" ca="1" si="10"/>
        <v>9999</v>
      </c>
      <c r="K101">
        <f t="shared" ca="1" si="10"/>
        <v>9999</v>
      </c>
      <c r="L101">
        <f t="shared" ca="1" si="10"/>
        <v>9999</v>
      </c>
      <c r="M101">
        <f t="shared" ca="1" si="10"/>
        <v>9999</v>
      </c>
      <c r="N101">
        <f t="shared" ca="1" si="10"/>
        <v>9999</v>
      </c>
      <c r="O101">
        <f t="shared" ca="1" si="10"/>
        <v>9999</v>
      </c>
      <c r="P101">
        <f t="shared" ca="1" si="10"/>
        <v>9999</v>
      </c>
      <c r="Q101">
        <f t="shared" ca="1" si="10"/>
        <v>9999</v>
      </c>
      <c r="R101">
        <f t="shared" ca="1" si="8"/>
        <v>9999</v>
      </c>
      <c r="S101">
        <f t="shared" ca="1" si="8"/>
        <v>9999</v>
      </c>
      <c r="T101">
        <f t="shared" ca="1" si="8"/>
        <v>9999</v>
      </c>
      <c r="U101">
        <f t="shared" ca="1" si="8"/>
        <v>9999</v>
      </c>
      <c r="V101">
        <f t="shared" ca="1" si="8"/>
        <v>9999</v>
      </c>
      <c r="W101">
        <f t="shared" ca="1" si="8"/>
        <v>9999</v>
      </c>
      <c r="X101">
        <f t="shared" ca="1" si="8"/>
        <v>9999</v>
      </c>
      <c r="Y101">
        <f t="shared" ca="1" si="8"/>
        <v>-1</v>
      </c>
      <c r="Z101">
        <f t="shared" ca="1" si="8"/>
        <v>-1</v>
      </c>
      <c r="AA101">
        <f t="shared" ca="1" si="8"/>
        <v>-1</v>
      </c>
      <c r="AB101">
        <f t="shared" ca="1" si="8"/>
        <v>-1</v>
      </c>
      <c r="AC101">
        <f t="shared" ca="1" si="11"/>
        <v>-1</v>
      </c>
      <c r="AD101">
        <f t="shared" ca="1" si="11"/>
        <v>-1</v>
      </c>
      <c r="AE101">
        <f t="shared" ca="1" si="11"/>
        <v>-1</v>
      </c>
      <c r="AF101">
        <f t="shared" ca="1" si="11"/>
        <v>0</v>
      </c>
      <c r="AG101">
        <f t="shared" ca="1" si="11"/>
        <v>1</v>
      </c>
      <c r="AH101">
        <f t="shared" ca="1" si="11"/>
        <v>2</v>
      </c>
      <c r="AI101">
        <f t="shared" ca="1" si="11"/>
        <v>3</v>
      </c>
      <c r="AJ101">
        <f t="shared" ca="1" si="11"/>
        <v>4</v>
      </c>
      <c r="AK101">
        <f t="shared" ca="1" si="11"/>
        <v>5</v>
      </c>
      <c r="AL101">
        <f t="shared" ca="1" si="11"/>
        <v>6</v>
      </c>
      <c r="AM101">
        <f t="shared" ca="1" si="11"/>
        <v>7</v>
      </c>
      <c r="AN101">
        <f t="shared" ca="1" si="11"/>
        <v>8</v>
      </c>
      <c r="AO101">
        <f t="shared" ca="1" si="11"/>
        <v>9</v>
      </c>
      <c r="AP101">
        <f t="shared" ca="1" si="11"/>
        <v>10</v>
      </c>
      <c r="AQ101">
        <f t="shared" ca="1" si="11"/>
        <v>11</v>
      </c>
      <c r="AR101">
        <f t="shared" ca="1" si="11"/>
        <v>12</v>
      </c>
      <c r="AS101">
        <f t="shared" ca="1" si="9"/>
        <v>13</v>
      </c>
      <c r="AT101">
        <f t="shared" ca="1" si="9"/>
        <v>14</v>
      </c>
      <c r="AU101">
        <f t="shared" ca="1" si="9"/>
        <v>15</v>
      </c>
      <c r="AV101">
        <f t="shared" ca="1" si="9"/>
        <v>16</v>
      </c>
      <c r="AW101">
        <f t="shared" ca="1" si="9"/>
        <v>17</v>
      </c>
      <c r="AX101">
        <f t="shared" ca="1" si="9"/>
        <v>18</v>
      </c>
      <c r="AY101">
        <f t="shared" ca="1" si="9"/>
        <v>19</v>
      </c>
      <c r="AZ101">
        <f t="shared" ca="1" si="9"/>
        <v>20</v>
      </c>
      <c r="BA101">
        <f t="shared" ca="1" si="9"/>
        <v>21</v>
      </c>
      <c r="BB101">
        <f t="shared" ca="1" si="7"/>
        <v>22</v>
      </c>
      <c r="BC101">
        <f t="shared" ca="1" si="7"/>
        <v>23</v>
      </c>
      <c r="BD101">
        <f t="shared" ca="1" si="7"/>
        <v>24</v>
      </c>
      <c r="BE101">
        <f t="shared" ca="1" si="7"/>
        <v>25</v>
      </c>
      <c r="BF101">
        <f t="shared" ca="1" si="7"/>
        <v>26</v>
      </c>
      <c r="BG101">
        <f t="shared" ca="1" si="7"/>
        <v>27</v>
      </c>
      <c r="BH101">
        <f t="shared" ca="1" si="7"/>
        <v>28</v>
      </c>
      <c r="BI101">
        <f t="shared" ca="1" si="7"/>
        <v>29</v>
      </c>
    </row>
    <row r="102" spans="1:61" x14ac:dyDescent="0.25">
      <c r="A102" s="20">
        <v>37</v>
      </c>
      <c r="B102">
        <f t="shared" ca="1" si="10"/>
        <v>9999</v>
      </c>
      <c r="C102">
        <f t="shared" ca="1" si="10"/>
        <v>9999</v>
      </c>
      <c r="D102">
        <f t="shared" ca="1" si="10"/>
        <v>9999</v>
      </c>
      <c r="E102">
        <f t="shared" ca="1" si="10"/>
        <v>9999</v>
      </c>
      <c r="F102">
        <f t="shared" ca="1" si="10"/>
        <v>9999</v>
      </c>
      <c r="G102">
        <f t="shared" ca="1" si="10"/>
        <v>9999</v>
      </c>
      <c r="H102">
        <f t="shared" ca="1" si="10"/>
        <v>9999</v>
      </c>
      <c r="I102">
        <f t="shared" ca="1" si="10"/>
        <v>9999</v>
      </c>
      <c r="J102">
        <f t="shared" ca="1" si="10"/>
        <v>9999</v>
      </c>
      <c r="K102">
        <f t="shared" ca="1" si="10"/>
        <v>9999</v>
      </c>
      <c r="L102">
        <f t="shared" ca="1" si="10"/>
        <v>9999</v>
      </c>
      <c r="M102">
        <f t="shared" ca="1" si="10"/>
        <v>9999</v>
      </c>
      <c r="N102">
        <f t="shared" ca="1" si="10"/>
        <v>9999</v>
      </c>
      <c r="O102">
        <f t="shared" ca="1" si="10"/>
        <v>9999</v>
      </c>
      <c r="P102">
        <f t="shared" ca="1" si="10"/>
        <v>9999</v>
      </c>
      <c r="Q102">
        <f t="shared" ref="Q102:AF117" ca="1" si="12">OFFSET($B$2,60-Q$65,60-$A102)</f>
        <v>9999</v>
      </c>
      <c r="R102">
        <f t="shared" ca="1" si="12"/>
        <v>9999</v>
      </c>
      <c r="S102">
        <f t="shared" ca="1" si="12"/>
        <v>9999</v>
      </c>
      <c r="T102">
        <f t="shared" ca="1" si="12"/>
        <v>9999</v>
      </c>
      <c r="U102">
        <f t="shared" ca="1" si="12"/>
        <v>9999</v>
      </c>
      <c r="V102">
        <f t="shared" ca="1" si="12"/>
        <v>9999</v>
      </c>
      <c r="W102">
        <f t="shared" ca="1" si="12"/>
        <v>9999</v>
      </c>
      <c r="X102">
        <f t="shared" ca="1" si="12"/>
        <v>9999</v>
      </c>
      <c r="Y102">
        <f t="shared" ca="1" si="12"/>
        <v>-1</v>
      </c>
      <c r="Z102">
        <f t="shared" ca="1" si="12"/>
        <v>-1</v>
      </c>
      <c r="AA102">
        <f t="shared" ca="1" si="12"/>
        <v>-1</v>
      </c>
      <c r="AB102">
        <f t="shared" ca="1" si="12"/>
        <v>-1</v>
      </c>
      <c r="AC102">
        <f t="shared" ca="1" si="12"/>
        <v>-1</v>
      </c>
      <c r="AD102">
        <f t="shared" ca="1" si="12"/>
        <v>-1</v>
      </c>
      <c r="AE102">
        <f t="shared" ca="1" si="12"/>
        <v>-1</v>
      </c>
      <c r="AF102">
        <f t="shared" ca="1" si="12"/>
        <v>30</v>
      </c>
      <c r="AG102">
        <f t="shared" ca="1" si="11"/>
        <v>31</v>
      </c>
      <c r="AH102">
        <f t="shared" ca="1" si="11"/>
        <v>32</v>
      </c>
      <c r="AI102">
        <f t="shared" ca="1" si="11"/>
        <v>33</v>
      </c>
      <c r="AJ102">
        <f t="shared" ca="1" si="11"/>
        <v>34</v>
      </c>
      <c r="AK102">
        <f t="shared" ca="1" si="11"/>
        <v>35</v>
      </c>
      <c r="AL102">
        <f t="shared" ca="1" si="11"/>
        <v>36</v>
      </c>
      <c r="AM102">
        <f t="shared" ca="1" si="11"/>
        <v>37</v>
      </c>
      <c r="AN102">
        <f t="shared" ca="1" si="11"/>
        <v>38</v>
      </c>
      <c r="AO102">
        <f t="shared" ca="1" si="11"/>
        <v>39</v>
      </c>
      <c r="AP102">
        <f t="shared" ca="1" si="11"/>
        <v>40</v>
      </c>
      <c r="AQ102">
        <f t="shared" ca="1" si="11"/>
        <v>41</v>
      </c>
      <c r="AR102">
        <f t="shared" ca="1" si="11"/>
        <v>42</v>
      </c>
      <c r="AS102">
        <f t="shared" ca="1" si="9"/>
        <v>43</v>
      </c>
      <c r="AT102">
        <f t="shared" ca="1" si="9"/>
        <v>44</v>
      </c>
      <c r="AU102">
        <f t="shared" ca="1" si="9"/>
        <v>45</v>
      </c>
      <c r="AV102">
        <f t="shared" ca="1" si="9"/>
        <v>46</v>
      </c>
      <c r="AW102">
        <f t="shared" ca="1" si="9"/>
        <v>47</v>
      </c>
      <c r="AX102">
        <f t="shared" ca="1" si="9"/>
        <v>48</v>
      </c>
      <c r="AY102">
        <f t="shared" ca="1" si="9"/>
        <v>49</v>
      </c>
      <c r="AZ102">
        <f t="shared" ca="1" si="9"/>
        <v>50</v>
      </c>
      <c r="BA102">
        <f t="shared" ca="1" si="9"/>
        <v>51</v>
      </c>
      <c r="BB102">
        <f t="shared" ca="1" si="7"/>
        <v>52</v>
      </c>
      <c r="BC102">
        <f t="shared" ca="1" si="7"/>
        <v>53</v>
      </c>
      <c r="BD102">
        <f t="shared" ca="1" si="7"/>
        <v>54</v>
      </c>
      <c r="BE102">
        <f t="shared" ca="1" si="7"/>
        <v>55</v>
      </c>
      <c r="BF102">
        <f t="shared" ca="1" si="7"/>
        <v>56</v>
      </c>
      <c r="BG102">
        <f t="shared" ca="1" si="7"/>
        <v>57</v>
      </c>
      <c r="BH102">
        <f t="shared" ca="1" si="7"/>
        <v>58</v>
      </c>
      <c r="BI102">
        <f t="shared" ca="1" si="7"/>
        <v>59</v>
      </c>
    </row>
    <row r="103" spans="1:61" x14ac:dyDescent="0.25">
      <c r="A103" s="20">
        <v>38</v>
      </c>
      <c r="B103">
        <f t="shared" ref="B103:Q118" ca="1" si="13">OFFSET($B$2,60-B$65,60-$A103)</f>
        <v>9999</v>
      </c>
      <c r="C103">
        <f t="shared" ca="1" si="13"/>
        <v>9999</v>
      </c>
      <c r="D103">
        <f t="shared" ca="1" si="13"/>
        <v>9999</v>
      </c>
      <c r="E103">
        <f t="shared" ca="1" si="13"/>
        <v>9999</v>
      </c>
      <c r="F103">
        <f t="shared" ca="1" si="13"/>
        <v>9999</v>
      </c>
      <c r="G103">
        <f t="shared" ca="1" si="13"/>
        <v>9999</v>
      </c>
      <c r="H103">
        <f t="shared" ca="1" si="13"/>
        <v>9999</v>
      </c>
      <c r="I103">
        <f t="shared" ca="1" si="13"/>
        <v>9999</v>
      </c>
      <c r="J103">
        <f t="shared" ca="1" si="13"/>
        <v>9999</v>
      </c>
      <c r="K103">
        <f t="shared" ca="1" si="13"/>
        <v>9999</v>
      </c>
      <c r="L103">
        <f t="shared" ca="1" si="13"/>
        <v>9999</v>
      </c>
      <c r="M103">
        <f t="shared" ca="1" si="13"/>
        <v>9999</v>
      </c>
      <c r="N103">
        <f t="shared" ca="1" si="13"/>
        <v>9999</v>
      </c>
      <c r="O103">
        <f t="shared" ca="1" si="13"/>
        <v>9999</v>
      </c>
      <c r="P103">
        <f t="shared" ca="1" si="13"/>
        <v>9999</v>
      </c>
      <c r="Q103">
        <f t="shared" ca="1" si="13"/>
        <v>9999</v>
      </c>
      <c r="R103">
        <f t="shared" ca="1" si="12"/>
        <v>9999</v>
      </c>
      <c r="S103">
        <f t="shared" ca="1" si="12"/>
        <v>9999</v>
      </c>
      <c r="T103">
        <f t="shared" ca="1" si="12"/>
        <v>9999</v>
      </c>
      <c r="U103">
        <f t="shared" ca="1" si="12"/>
        <v>9999</v>
      </c>
      <c r="V103">
        <f t="shared" ca="1" si="12"/>
        <v>9999</v>
      </c>
      <c r="W103">
        <f t="shared" ca="1" si="12"/>
        <v>9999</v>
      </c>
      <c r="X103">
        <f t="shared" ca="1" si="12"/>
        <v>9999</v>
      </c>
      <c r="Y103">
        <f t="shared" ca="1" si="12"/>
        <v>-1</v>
      </c>
      <c r="Z103">
        <f t="shared" ca="1" si="12"/>
        <v>-1</v>
      </c>
      <c r="AA103">
        <f t="shared" ca="1" si="12"/>
        <v>-1</v>
      </c>
      <c r="AB103">
        <f t="shared" ca="1" si="12"/>
        <v>-1</v>
      </c>
      <c r="AC103">
        <f t="shared" ca="1" si="12"/>
        <v>-1</v>
      </c>
      <c r="AD103">
        <f t="shared" ca="1" si="12"/>
        <v>-1</v>
      </c>
      <c r="AE103">
        <f t="shared" ca="1" si="12"/>
        <v>-1</v>
      </c>
      <c r="AF103">
        <f t="shared" ca="1" si="12"/>
        <v>60</v>
      </c>
      <c r="AG103">
        <f t="shared" ca="1" si="11"/>
        <v>61</v>
      </c>
      <c r="AH103">
        <f t="shared" ca="1" si="11"/>
        <v>62</v>
      </c>
      <c r="AI103">
        <f t="shared" ca="1" si="11"/>
        <v>63</v>
      </c>
      <c r="AJ103">
        <f t="shared" ca="1" si="11"/>
        <v>64</v>
      </c>
      <c r="AK103">
        <f t="shared" ca="1" si="11"/>
        <v>65</v>
      </c>
      <c r="AL103">
        <f t="shared" ca="1" si="11"/>
        <v>66</v>
      </c>
      <c r="AM103">
        <f t="shared" ca="1" si="11"/>
        <v>67</v>
      </c>
      <c r="AN103">
        <f t="shared" ca="1" si="11"/>
        <v>68</v>
      </c>
      <c r="AO103">
        <f t="shared" ca="1" si="11"/>
        <v>69</v>
      </c>
      <c r="AP103">
        <f t="shared" ca="1" si="11"/>
        <v>70</v>
      </c>
      <c r="AQ103">
        <f t="shared" ca="1" si="11"/>
        <v>71</v>
      </c>
      <c r="AR103">
        <f t="shared" ca="1" si="11"/>
        <v>72</v>
      </c>
      <c r="AS103">
        <f t="shared" ca="1" si="9"/>
        <v>73</v>
      </c>
      <c r="AT103">
        <f t="shared" ca="1" si="9"/>
        <v>74</v>
      </c>
      <c r="AU103">
        <f t="shared" ca="1" si="9"/>
        <v>75</v>
      </c>
      <c r="AV103">
        <f t="shared" ca="1" si="9"/>
        <v>76</v>
      </c>
      <c r="AW103">
        <f t="shared" ca="1" si="9"/>
        <v>77</v>
      </c>
      <c r="AX103">
        <f t="shared" ca="1" si="9"/>
        <v>78</v>
      </c>
      <c r="AY103">
        <f t="shared" ca="1" si="9"/>
        <v>79</v>
      </c>
      <c r="AZ103">
        <f t="shared" ca="1" si="9"/>
        <v>80</v>
      </c>
      <c r="BA103">
        <f t="shared" ca="1" si="9"/>
        <v>81</v>
      </c>
      <c r="BB103">
        <f t="shared" ca="1" si="7"/>
        <v>82</v>
      </c>
      <c r="BC103">
        <f t="shared" ca="1" si="7"/>
        <v>83</v>
      </c>
      <c r="BD103">
        <f t="shared" ca="1" si="7"/>
        <v>84</v>
      </c>
      <c r="BE103">
        <f t="shared" ca="1" si="7"/>
        <v>85</v>
      </c>
      <c r="BF103">
        <f t="shared" ca="1" si="7"/>
        <v>86</v>
      </c>
      <c r="BG103">
        <f t="shared" ca="1" si="7"/>
        <v>87</v>
      </c>
      <c r="BH103">
        <f t="shared" ca="1" si="7"/>
        <v>88</v>
      </c>
      <c r="BI103">
        <f t="shared" ca="1" si="7"/>
        <v>89</v>
      </c>
    </row>
    <row r="104" spans="1:61" x14ac:dyDescent="0.25">
      <c r="A104" s="20">
        <v>39</v>
      </c>
      <c r="B104">
        <f t="shared" ca="1" si="13"/>
        <v>9999</v>
      </c>
      <c r="C104">
        <f t="shared" ca="1" si="13"/>
        <v>9999</v>
      </c>
      <c r="D104">
        <f t="shared" ca="1" si="13"/>
        <v>9999</v>
      </c>
      <c r="E104">
        <f t="shared" ca="1" si="13"/>
        <v>9999</v>
      </c>
      <c r="F104">
        <f t="shared" ca="1" si="13"/>
        <v>9999</v>
      </c>
      <c r="G104">
        <f t="shared" ca="1" si="13"/>
        <v>9999</v>
      </c>
      <c r="H104">
        <f t="shared" ca="1" si="13"/>
        <v>9999</v>
      </c>
      <c r="I104">
        <f t="shared" ca="1" si="13"/>
        <v>9999</v>
      </c>
      <c r="J104">
        <f t="shared" ca="1" si="13"/>
        <v>9999</v>
      </c>
      <c r="K104">
        <f t="shared" ca="1" si="13"/>
        <v>9999</v>
      </c>
      <c r="L104">
        <f t="shared" ca="1" si="13"/>
        <v>9999</v>
      </c>
      <c r="M104">
        <f t="shared" ca="1" si="13"/>
        <v>9999</v>
      </c>
      <c r="N104">
        <f t="shared" ca="1" si="13"/>
        <v>9999</v>
      </c>
      <c r="O104">
        <f t="shared" ca="1" si="13"/>
        <v>9999</v>
      </c>
      <c r="P104">
        <f t="shared" ca="1" si="13"/>
        <v>9999</v>
      </c>
      <c r="Q104">
        <f t="shared" ca="1" si="13"/>
        <v>9999</v>
      </c>
      <c r="R104">
        <f t="shared" ca="1" si="12"/>
        <v>9999</v>
      </c>
      <c r="S104">
        <f t="shared" ca="1" si="12"/>
        <v>9999</v>
      </c>
      <c r="T104">
        <f t="shared" ca="1" si="12"/>
        <v>9999</v>
      </c>
      <c r="U104">
        <f t="shared" ca="1" si="12"/>
        <v>9999</v>
      </c>
      <c r="V104">
        <f t="shared" ca="1" si="12"/>
        <v>9999</v>
      </c>
      <c r="W104">
        <f t="shared" ca="1" si="12"/>
        <v>9999</v>
      </c>
      <c r="X104">
        <f t="shared" ca="1" si="12"/>
        <v>9999</v>
      </c>
      <c r="Y104">
        <f t="shared" ca="1" si="12"/>
        <v>-1</v>
      </c>
      <c r="Z104">
        <f t="shared" ca="1" si="12"/>
        <v>-1</v>
      </c>
      <c r="AA104">
        <f t="shared" ca="1" si="12"/>
        <v>-1</v>
      </c>
      <c r="AB104">
        <f t="shared" ca="1" si="12"/>
        <v>-1</v>
      </c>
      <c r="AC104">
        <f t="shared" ca="1" si="12"/>
        <v>-1</v>
      </c>
      <c r="AD104">
        <f t="shared" ca="1" si="12"/>
        <v>-1</v>
      </c>
      <c r="AE104">
        <f t="shared" ca="1" si="12"/>
        <v>-1</v>
      </c>
      <c r="AF104">
        <f t="shared" ca="1" si="12"/>
        <v>0</v>
      </c>
      <c r="AG104">
        <f t="shared" ca="1" si="11"/>
        <v>1</v>
      </c>
      <c r="AH104">
        <f t="shared" ca="1" si="11"/>
        <v>2</v>
      </c>
      <c r="AI104">
        <f t="shared" ca="1" si="11"/>
        <v>3</v>
      </c>
      <c r="AJ104">
        <f t="shared" ca="1" si="11"/>
        <v>4</v>
      </c>
      <c r="AK104">
        <f t="shared" ca="1" si="11"/>
        <v>5</v>
      </c>
      <c r="AL104">
        <f t="shared" ca="1" si="11"/>
        <v>6</v>
      </c>
      <c r="AM104">
        <f t="shared" ca="1" si="11"/>
        <v>7</v>
      </c>
      <c r="AN104">
        <f t="shared" ca="1" si="11"/>
        <v>8</v>
      </c>
      <c r="AO104">
        <f t="shared" ca="1" si="11"/>
        <v>9</v>
      </c>
      <c r="AP104">
        <f t="shared" ca="1" si="11"/>
        <v>10</v>
      </c>
      <c r="AQ104">
        <f t="shared" ca="1" si="11"/>
        <v>11</v>
      </c>
      <c r="AR104">
        <f t="shared" ca="1" si="11"/>
        <v>12</v>
      </c>
      <c r="AS104">
        <f t="shared" ca="1" si="9"/>
        <v>13</v>
      </c>
      <c r="AT104">
        <f t="shared" ca="1" si="9"/>
        <v>14</v>
      </c>
      <c r="AU104">
        <f t="shared" ca="1" si="9"/>
        <v>15</v>
      </c>
      <c r="AV104">
        <f t="shared" ca="1" si="9"/>
        <v>16</v>
      </c>
      <c r="AW104">
        <f t="shared" ca="1" si="9"/>
        <v>17</v>
      </c>
      <c r="AX104">
        <f t="shared" ca="1" si="9"/>
        <v>18</v>
      </c>
      <c r="AY104">
        <f t="shared" ca="1" si="9"/>
        <v>19</v>
      </c>
      <c r="AZ104">
        <f t="shared" ca="1" si="9"/>
        <v>20</v>
      </c>
      <c r="BA104">
        <f t="shared" ca="1" si="9"/>
        <v>21</v>
      </c>
      <c r="BB104">
        <f t="shared" ca="1" si="7"/>
        <v>22</v>
      </c>
      <c r="BC104">
        <f t="shared" ca="1" si="7"/>
        <v>23</v>
      </c>
      <c r="BD104">
        <f t="shared" ca="1" si="7"/>
        <v>24</v>
      </c>
      <c r="BE104">
        <f t="shared" ca="1" si="7"/>
        <v>25</v>
      </c>
      <c r="BF104">
        <f t="shared" ca="1" si="7"/>
        <v>26</v>
      </c>
      <c r="BG104">
        <f t="shared" ca="1" si="7"/>
        <v>27</v>
      </c>
      <c r="BH104">
        <f t="shared" ca="1" si="7"/>
        <v>28</v>
      </c>
      <c r="BI104">
        <f t="shared" ca="1" si="7"/>
        <v>29</v>
      </c>
    </row>
    <row r="105" spans="1:61" x14ac:dyDescent="0.25">
      <c r="A105" s="20">
        <v>40</v>
      </c>
      <c r="B105">
        <f t="shared" ca="1" si="13"/>
        <v>9999</v>
      </c>
      <c r="C105">
        <f t="shared" ca="1" si="13"/>
        <v>9999</v>
      </c>
      <c r="D105">
        <f t="shared" ca="1" si="13"/>
        <v>9999</v>
      </c>
      <c r="E105">
        <f t="shared" ca="1" si="13"/>
        <v>9999</v>
      </c>
      <c r="F105">
        <f t="shared" ca="1" si="13"/>
        <v>9999</v>
      </c>
      <c r="G105">
        <f t="shared" ca="1" si="13"/>
        <v>9999</v>
      </c>
      <c r="H105">
        <f t="shared" ca="1" si="13"/>
        <v>9999</v>
      </c>
      <c r="I105">
        <f t="shared" ca="1" si="13"/>
        <v>9999</v>
      </c>
      <c r="J105">
        <f t="shared" ca="1" si="13"/>
        <v>9999</v>
      </c>
      <c r="K105">
        <f t="shared" ca="1" si="13"/>
        <v>9999</v>
      </c>
      <c r="L105">
        <f t="shared" ca="1" si="13"/>
        <v>9999</v>
      </c>
      <c r="M105">
        <f t="shared" ca="1" si="13"/>
        <v>9999</v>
      </c>
      <c r="N105">
        <f t="shared" ca="1" si="13"/>
        <v>9999</v>
      </c>
      <c r="O105">
        <f t="shared" ca="1" si="13"/>
        <v>9999</v>
      </c>
      <c r="P105">
        <f t="shared" ca="1" si="13"/>
        <v>9999</v>
      </c>
      <c r="Q105">
        <f t="shared" ca="1" si="13"/>
        <v>9999</v>
      </c>
      <c r="R105">
        <f t="shared" ca="1" si="12"/>
        <v>9999</v>
      </c>
      <c r="S105">
        <f t="shared" ca="1" si="12"/>
        <v>9999</v>
      </c>
      <c r="T105">
        <f t="shared" ca="1" si="12"/>
        <v>9999</v>
      </c>
      <c r="U105">
        <f t="shared" ca="1" si="12"/>
        <v>9999</v>
      </c>
      <c r="V105">
        <f t="shared" ca="1" si="12"/>
        <v>9999</v>
      </c>
      <c r="W105">
        <f t="shared" ca="1" si="12"/>
        <v>9999</v>
      </c>
      <c r="X105">
        <f t="shared" ca="1" si="12"/>
        <v>9999</v>
      </c>
      <c r="Y105">
        <f t="shared" ca="1" si="12"/>
        <v>-1</v>
      </c>
      <c r="Z105">
        <f t="shared" ca="1" si="12"/>
        <v>-1</v>
      </c>
      <c r="AA105">
        <f t="shared" ca="1" si="12"/>
        <v>-1</v>
      </c>
      <c r="AB105">
        <f t="shared" ca="1" si="12"/>
        <v>-1</v>
      </c>
      <c r="AC105">
        <f t="shared" ca="1" si="12"/>
        <v>-1</v>
      </c>
      <c r="AD105">
        <f t="shared" ca="1" si="12"/>
        <v>-1</v>
      </c>
      <c r="AE105">
        <f t="shared" ca="1" si="12"/>
        <v>-1</v>
      </c>
      <c r="AF105">
        <f t="shared" ca="1" si="12"/>
        <v>30</v>
      </c>
      <c r="AG105">
        <f t="shared" ca="1" si="11"/>
        <v>31</v>
      </c>
      <c r="AH105">
        <f t="shared" ca="1" si="11"/>
        <v>32</v>
      </c>
      <c r="AI105">
        <f t="shared" ca="1" si="11"/>
        <v>33</v>
      </c>
      <c r="AJ105">
        <f t="shared" ca="1" si="11"/>
        <v>34</v>
      </c>
      <c r="AK105">
        <f t="shared" ca="1" si="11"/>
        <v>35</v>
      </c>
      <c r="AL105">
        <f t="shared" ca="1" si="11"/>
        <v>36</v>
      </c>
      <c r="AM105">
        <f t="shared" ca="1" si="11"/>
        <v>37</v>
      </c>
      <c r="AN105">
        <f t="shared" ca="1" si="11"/>
        <v>38</v>
      </c>
      <c r="AO105">
        <f t="shared" ca="1" si="11"/>
        <v>39</v>
      </c>
      <c r="AP105">
        <f t="shared" ca="1" si="11"/>
        <v>40</v>
      </c>
      <c r="AQ105">
        <f t="shared" ca="1" si="11"/>
        <v>41</v>
      </c>
      <c r="AR105">
        <f t="shared" ref="AR105:BG120" ca="1" si="14">OFFSET($B$2,60-AR$65,60-$A105)</f>
        <v>42</v>
      </c>
      <c r="AS105">
        <f t="shared" ca="1" si="14"/>
        <v>43</v>
      </c>
      <c r="AT105">
        <f t="shared" ca="1" si="14"/>
        <v>44</v>
      </c>
      <c r="AU105">
        <f t="shared" ca="1" si="14"/>
        <v>45</v>
      </c>
      <c r="AV105">
        <f t="shared" ca="1" si="14"/>
        <v>46</v>
      </c>
      <c r="AW105">
        <f t="shared" ca="1" si="14"/>
        <v>47</v>
      </c>
      <c r="AX105">
        <f t="shared" ca="1" si="14"/>
        <v>48</v>
      </c>
      <c r="AY105">
        <f t="shared" ca="1" si="14"/>
        <v>49</v>
      </c>
      <c r="AZ105">
        <f t="shared" ca="1" si="14"/>
        <v>50</v>
      </c>
      <c r="BA105">
        <f t="shared" ca="1" si="14"/>
        <v>51</v>
      </c>
      <c r="BB105">
        <f t="shared" ca="1" si="14"/>
        <v>52</v>
      </c>
      <c r="BC105">
        <f t="shared" ca="1" si="14"/>
        <v>53</v>
      </c>
      <c r="BD105">
        <f t="shared" ca="1" si="14"/>
        <v>54</v>
      </c>
      <c r="BE105">
        <f t="shared" ca="1" si="14"/>
        <v>55</v>
      </c>
      <c r="BF105">
        <f t="shared" ca="1" si="14"/>
        <v>56</v>
      </c>
      <c r="BG105">
        <f t="shared" ca="1" si="14"/>
        <v>57</v>
      </c>
      <c r="BH105">
        <f t="shared" ca="1" si="7"/>
        <v>58</v>
      </c>
      <c r="BI105">
        <f t="shared" ca="1" si="7"/>
        <v>59</v>
      </c>
    </row>
    <row r="106" spans="1:61" x14ac:dyDescent="0.25">
      <c r="A106" s="20">
        <v>41</v>
      </c>
      <c r="B106">
        <f t="shared" ca="1" si="13"/>
        <v>9999</v>
      </c>
      <c r="C106">
        <f t="shared" ca="1" si="13"/>
        <v>9999</v>
      </c>
      <c r="D106">
        <f t="shared" ca="1" si="13"/>
        <v>9999</v>
      </c>
      <c r="E106">
        <f t="shared" ca="1" si="13"/>
        <v>9999</v>
      </c>
      <c r="F106">
        <f t="shared" ca="1" si="13"/>
        <v>9999</v>
      </c>
      <c r="G106">
        <f t="shared" ca="1" si="13"/>
        <v>9999</v>
      </c>
      <c r="H106">
        <f t="shared" ca="1" si="13"/>
        <v>9999</v>
      </c>
      <c r="I106">
        <f t="shared" ca="1" si="13"/>
        <v>9999</v>
      </c>
      <c r="J106">
        <f t="shared" ca="1" si="13"/>
        <v>9999</v>
      </c>
      <c r="K106">
        <f t="shared" ca="1" si="13"/>
        <v>9999</v>
      </c>
      <c r="L106">
        <f t="shared" ca="1" si="13"/>
        <v>9999</v>
      </c>
      <c r="M106">
        <f t="shared" ca="1" si="13"/>
        <v>9999</v>
      </c>
      <c r="N106">
        <f t="shared" ca="1" si="13"/>
        <v>9999</v>
      </c>
      <c r="O106">
        <f t="shared" ca="1" si="13"/>
        <v>9999</v>
      </c>
      <c r="P106">
        <f t="shared" ca="1" si="13"/>
        <v>9999</v>
      </c>
      <c r="Q106">
        <f t="shared" ca="1" si="13"/>
        <v>9999</v>
      </c>
      <c r="R106">
        <f t="shared" ca="1" si="12"/>
        <v>9999</v>
      </c>
      <c r="S106">
        <f t="shared" ca="1" si="12"/>
        <v>9999</v>
      </c>
      <c r="T106">
        <f t="shared" ca="1" si="12"/>
        <v>9999</v>
      </c>
      <c r="U106">
        <f t="shared" ca="1" si="12"/>
        <v>9999</v>
      </c>
      <c r="V106">
        <f t="shared" ca="1" si="12"/>
        <v>9999</v>
      </c>
      <c r="W106">
        <f t="shared" ca="1" si="12"/>
        <v>9999</v>
      </c>
      <c r="X106">
        <f t="shared" ca="1" si="12"/>
        <v>9999</v>
      </c>
      <c r="Y106">
        <f t="shared" ca="1" si="12"/>
        <v>-1</v>
      </c>
      <c r="Z106">
        <f t="shared" ca="1" si="12"/>
        <v>-1</v>
      </c>
      <c r="AA106">
        <f t="shared" ca="1" si="12"/>
        <v>-1</v>
      </c>
      <c r="AB106">
        <f t="shared" ca="1" si="12"/>
        <v>-1</v>
      </c>
      <c r="AC106">
        <f t="shared" ca="1" si="12"/>
        <v>-1</v>
      </c>
      <c r="AD106">
        <f t="shared" ca="1" si="12"/>
        <v>-1</v>
      </c>
      <c r="AE106">
        <f t="shared" ca="1" si="12"/>
        <v>-1</v>
      </c>
      <c r="AF106">
        <f t="shared" ca="1" si="12"/>
        <v>60</v>
      </c>
      <c r="AG106">
        <f t="shared" ref="AG106:AV121" ca="1" si="15">OFFSET($B$2,60-AG$65,60-$A106)</f>
        <v>61</v>
      </c>
      <c r="AH106">
        <f t="shared" ca="1" si="15"/>
        <v>62</v>
      </c>
      <c r="AI106">
        <f t="shared" ca="1" si="15"/>
        <v>63</v>
      </c>
      <c r="AJ106">
        <f t="shared" ca="1" si="15"/>
        <v>64</v>
      </c>
      <c r="AK106">
        <f t="shared" ca="1" si="15"/>
        <v>65</v>
      </c>
      <c r="AL106">
        <f t="shared" ca="1" si="15"/>
        <v>66</v>
      </c>
      <c r="AM106">
        <f t="shared" ca="1" si="15"/>
        <v>67</v>
      </c>
      <c r="AN106">
        <f t="shared" ca="1" si="15"/>
        <v>68</v>
      </c>
      <c r="AO106">
        <f t="shared" ca="1" si="15"/>
        <v>69</v>
      </c>
      <c r="AP106">
        <f t="shared" ca="1" si="15"/>
        <v>70</v>
      </c>
      <c r="AQ106">
        <f t="shared" ca="1" si="15"/>
        <v>71</v>
      </c>
      <c r="AR106">
        <f t="shared" ca="1" si="15"/>
        <v>72</v>
      </c>
      <c r="AS106">
        <f t="shared" ca="1" si="15"/>
        <v>73</v>
      </c>
      <c r="AT106">
        <f t="shared" ca="1" si="15"/>
        <v>74</v>
      </c>
      <c r="AU106">
        <f t="shared" ca="1" si="15"/>
        <v>75</v>
      </c>
      <c r="AV106">
        <f t="shared" ca="1" si="15"/>
        <v>76</v>
      </c>
      <c r="AW106">
        <f t="shared" ca="1" si="14"/>
        <v>77</v>
      </c>
      <c r="AX106">
        <f t="shared" ca="1" si="14"/>
        <v>78</v>
      </c>
      <c r="AY106">
        <f t="shared" ca="1" si="14"/>
        <v>79</v>
      </c>
      <c r="AZ106">
        <f t="shared" ca="1" si="14"/>
        <v>80</v>
      </c>
      <c r="BA106">
        <f t="shared" ca="1" si="14"/>
        <v>81</v>
      </c>
      <c r="BB106">
        <f t="shared" ca="1" si="14"/>
        <v>82</v>
      </c>
      <c r="BC106">
        <f t="shared" ca="1" si="14"/>
        <v>83</v>
      </c>
      <c r="BD106">
        <f t="shared" ca="1" si="14"/>
        <v>84</v>
      </c>
      <c r="BE106">
        <f t="shared" ca="1" si="14"/>
        <v>85</v>
      </c>
      <c r="BF106">
        <f t="shared" ca="1" si="14"/>
        <v>86</v>
      </c>
      <c r="BG106">
        <f t="shared" ca="1" si="14"/>
        <v>87</v>
      </c>
      <c r="BH106">
        <f t="shared" ca="1" si="7"/>
        <v>88</v>
      </c>
      <c r="BI106">
        <f t="shared" ca="1" si="7"/>
        <v>89</v>
      </c>
    </row>
    <row r="107" spans="1:61" x14ac:dyDescent="0.25">
      <c r="A107" s="20">
        <v>42</v>
      </c>
      <c r="B107">
        <f t="shared" ca="1" si="13"/>
        <v>9999</v>
      </c>
      <c r="C107">
        <f t="shared" ca="1" si="13"/>
        <v>9999</v>
      </c>
      <c r="D107">
        <f t="shared" ca="1" si="13"/>
        <v>9999</v>
      </c>
      <c r="E107">
        <f t="shared" ca="1" si="13"/>
        <v>9999</v>
      </c>
      <c r="F107">
        <f t="shared" ca="1" si="13"/>
        <v>9999</v>
      </c>
      <c r="G107">
        <f t="shared" ca="1" si="13"/>
        <v>9999</v>
      </c>
      <c r="H107">
        <f t="shared" ca="1" si="13"/>
        <v>9999</v>
      </c>
      <c r="I107">
        <f t="shared" ca="1" si="13"/>
        <v>9999</v>
      </c>
      <c r="J107">
        <f t="shared" ca="1" si="13"/>
        <v>9999</v>
      </c>
      <c r="K107">
        <f t="shared" ca="1" si="13"/>
        <v>9999</v>
      </c>
      <c r="L107">
        <f t="shared" ca="1" si="13"/>
        <v>9999</v>
      </c>
      <c r="M107">
        <f t="shared" ca="1" si="13"/>
        <v>9999</v>
      </c>
      <c r="N107">
        <f t="shared" ca="1" si="13"/>
        <v>9999</v>
      </c>
      <c r="O107">
        <f t="shared" ca="1" si="13"/>
        <v>9999</v>
      </c>
      <c r="P107">
        <f t="shared" ca="1" si="13"/>
        <v>9999</v>
      </c>
      <c r="Q107">
        <f t="shared" ca="1" si="13"/>
        <v>9999</v>
      </c>
      <c r="R107">
        <f t="shared" ca="1" si="12"/>
        <v>9999</v>
      </c>
      <c r="S107">
        <f t="shared" ca="1" si="12"/>
        <v>9999</v>
      </c>
      <c r="T107">
        <f t="shared" ca="1" si="12"/>
        <v>9999</v>
      </c>
      <c r="U107">
        <f t="shared" ca="1" si="12"/>
        <v>9999</v>
      </c>
      <c r="V107">
        <f t="shared" ca="1" si="12"/>
        <v>9999</v>
      </c>
      <c r="W107">
        <f t="shared" ca="1" si="12"/>
        <v>9999</v>
      </c>
      <c r="X107">
        <f t="shared" ca="1" si="12"/>
        <v>9999</v>
      </c>
      <c r="Y107">
        <f t="shared" ca="1" si="12"/>
        <v>-1</v>
      </c>
      <c r="Z107">
        <f t="shared" ca="1" si="12"/>
        <v>-1</v>
      </c>
      <c r="AA107">
        <f t="shared" ca="1" si="12"/>
        <v>-1</v>
      </c>
      <c r="AB107">
        <f t="shared" ca="1" si="12"/>
        <v>-1</v>
      </c>
      <c r="AC107">
        <f t="shared" ca="1" si="12"/>
        <v>-1</v>
      </c>
      <c r="AD107">
        <f t="shared" ca="1" si="12"/>
        <v>-1</v>
      </c>
      <c r="AE107">
        <f t="shared" ca="1" si="12"/>
        <v>-1</v>
      </c>
      <c r="AF107">
        <f t="shared" ca="1" si="12"/>
        <v>90</v>
      </c>
      <c r="AG107">
        <f t="shared" ca="1" si="15"/>
        <v>91</v>
      </c>
      <c r="AH107">
        <f t="shared" ca="1" si="15"/>
        <v>92</v>
      </c>
      <c r="AI107">
        <f t="shared" ca="1" si="15"/>
        <v>93</v>
      </c>
      <c r="AJ107">
        <f t="shared" ca="1" si="15"/>
        <v>94</v>
      </c>
      <c r="AK107">
        <f t="shared" ca="1" si="15"/>
        <v>95</v>
      </c>
      <c r="AL107">
        <f t="shared" ca="1" si="15"/>
        <v>96</v>
      </c>
      <c r="AM107">
        <f t="shared" ca="1" si="15"/>
        <v>97</v>
      </c>
      <c r="AN107">
        <f t="shared" ca="1" si="15"/>
        <v>98</v>
      </c>
      <c r="AO107">
        <f t="shared" ca="1" si="15"/>
        <v>99</v>
      </c>
      <c r="AP107">
        <f t="shared" ca="1" si="15"/>
        <v>100</v>
      </c>
      <c r="AQ107">
        <f t="shared" ca="1" si="15"/>
        <v>101</v>
      </c>
      <c r="AR107">
        <f t="shared" ca="1" si="15"/>
        <v>102</v>
      </c>
      <c r="AS107">
        <f t="shared" ca="1" si="15"/>
        <v>103</v>
      </c>
      <c r="AT107">
        <f t="shared" ca="1" si="15"/>
        <v>104</v>
      </c>
      <c r="AU107">
        <f t="shared" ca="1" si="15"/>
        <v>105</v>
      </c>
      <c r="AV107">
        <f t="shared" ca="1" si="15"/>
        <v>106</v>
      </c>
      <c r="AW107">
        <f t="shared" ca="1" si="14"/>
        <v>107</v>
      </c>
      <c r="AX107">
        <f t="shared" ca="1" si="14"/>
        <v>108</v>
      </c>
      <c r="AY107">
        <f t="shared" ca="1" si="14"/>
        <v>109</v>
      </c>
      <c r="AZ107">
        <f t="shared" ca="1" si="14"/>
        <v>110</v>
      </c>
      <c r="BA107">
        <f t="shared" ca="1" si="14"/>
        <v>111</v>
      </c>
      <c r="BB107">
        <f t="shared" ca="1" si="14"/>
        <v>112</v>
      </c>
      <c r="BC107">
        <f t="shared" ca="1" si="14"/>
        <v>113</v>
      </c>
      <c r="BD107">
        <f t="shared" ca="1" si="14"/>
        <v>114</v>
      </c>
      <c r="BE107">
        <f t="shared" ca="1" si="14"/>
        <v>115</v>
      </c>
      <c r="BF107">
        <f t="shared" ca="1" si="14"/>
        <v>116</v>
      </c>
      <c r="BG107">
        <f t="shared" ca="1" si="14"/>
        <v>117</v>
      </c>
      <c r="BH107">
        <f t="shared" ca="1" si="7"/>
        <v>118</v>
      </c>
      <c r="BI107">
        <f t="shared" ca="1" si="7"/>
        <v>119</v>
      </c>
    </row>
    <row r="108" spans="1:61" x14ac:dyDescent="0.25">
      <c r="A108" s="20">
        <v>43</v>
      </c>
      <c r="B108">
        <f t="shared" ca="1" si="13"/>
        <v>9999</v>
      </c>
      <c r="C108">
        <f t="shared" ca="1" si="13"/>
        <v>9999</v>
      </c>
      <c r="D108">
        <f t="shared" ca="1" si="13"/>
        <v>9999</v>
      </c>
      <c r="E108">
        <f t="shared" ca="1" si="13"/>
        <v>9999</v>
      </c>
      <c r="F108">
        <f t="shared" ca="1" si="13"/>
        <v>9999</v>
      </c>
      <c r="G108">
        <f t="shared" ca="1" si="13"/>
        <v>9999</v>
      </c>
      <c r="H108">
        <f t="shared" ca="1" si="13"/>
        <v>9999</v>
      </c>
      <c r="I108">
        <f t="shared" ca="1" si="13"/>
        <v>9999</v>
      </c>
      <c r="J108">
        <f t="shared" ca="1" si="13"/>
        <v>9999</v>
      </c>
      <c r="K108">
        <f t="shared" ca="1" si="13"/>
        <v>9999</v>
      </c>
      <c r="L108">
        <f t="shared" ca="1" si="13"/>
        <v>9999</v>
      </c>
      <c r="M108">
        <f t="shared" ca="1" si="13"/>
        <v>9999</v>
      </c>
      <c r="N108">
        <f t="shared" ca="1" si="13"/>
        <v>9999</v>
      </c>
      <c r="O108">
        <f t="shared" ca="1" si="13"/>
        <v>9999</v>
      </c>
      <c r="P108">
        <f t="shared" ca="1" si="13"/>
        <v>9999</v>
      </c>
      <c r="Q108">
        <f t="shared" ca="1" si="13"/>
        <v>9999</v>
      </c>
      <c r="R108">
        <f t="shared" ca="1" si="12"/>
        <v>9999</v>
      </c>
      <c r="S108">
        <f t="shared" ca="1" si="12"/>
        <v>9999</v>
      </c>
      <c r="T108">
        <f t="shared" ca="1" si="12"/>
        <v>9999</v>
      </c>
      <c r="U108">
        <f t="shared" ca="1" si="12"/>
        <v>9999</v>
      </c>
      <c r="V108">
        <f t="shared" ca="1" si="12"/>
        <v>9999</v>
      </c>
      <c r="W108">
        <f t="shared" ca="1" si="12"/>
        <v>9999</v>
      </c>
      <c r="X108">
        <f t="shared" ca="1" si="12"/>
        <v>9999</v>
      </c>
      <c r="Y108">
        <f t="shared" ca="1" si="12"/>
        <v>-1</v>
      </c>
      <c r="Z108">
        <f t="shared" ca="1" si="12"/>
        <v>-1</v>
      </c>
      <c r="AA108">
        <f t="shared" ca="1" si="12"/>
        <v>-1</v>
      </c>
      <c r="AB108">
        <f t="shared" ca="1" si="12"/>
        <v>-1</v>
      </c>
      <c r="AC108">
        <f t="shared" ca="1" si="12"/>
        <v>-1</v>
      </c>
      <c r="AD108">
        <f t="shared" ca="1" si="12"/>
        <v>-1</v>
      </c>
      <c r="AE108">
        <f t="shared" ca="1" si="12"/>
        <v>-1</v>
      </c>
      <c r="AF108">
        <f t="shared" ca="1" si="12"/>
        <v>0</v>
      </c>
      <c r="AG108">
        <f t="shared" ca="1" si="15"/>
        <v>1</v>
      </c>
      <c r="AH108">
        <f t="shared" ca="1" si="15"/>
        <v>2</v>
      </c>
      <c r="AI108">
        <f t="shared" ca="1" si="15"/>
        <v>3</v>
      </c>
      <c r="AJ108">
        <f t="shared" ca="1" si="15"/>
        <v>4</v>
      </c>
      <c r="AK108">
        <f t="shared" ca="1" si="15"/>
        <v>5</v>
      </c>
      <c r="AL108">
        <f t="shared" ca="1" si="15"/>
        <v>6</v>
      </c>
      <c r="AM108">
        <f t="shared" ca="1" si="15"/>
        <v>7</v>
      </c>
      <c r="AN108">
        <f t="shared" ca="1" si="15"/>
        <v>8</v>
      </c>
      <c r="AO108">
        <f t="shared" ca="1" si="15"/>
        <v>9</v>
      </c>
      <c r="AP108">
        <f t="shared" ca="1" si="15"/>
        <v>10</v>
      </c>
      <c r="AQ108">
        <f t="shared" ca="1" si="15"/>
        <v>11</v>
      </c>
      <c r="AR108">
        <f t="shared" ca="1" si="15"/>
        <v>12</v>
      </c>
      <c r="AS108">
        <f t="shared" ca="1" si="15"/>
        <v>13</v>
      </c>
      <c r="AT108">
        <f t="shared" ca="1" si="15"/>
        <v>14</v>
      </c>
      <c r="AU108">
        <f t="shared" ca="1" si="15"/>
        <v>15</v>
      </c>
      <c r="AV108">
        <f t="shared" ca="1" si="15"/>
        <v>16</v>
      </c>
      <c r="AW108">
        <f t="shared" ca="1" si="14"/>
        <v>17</v>
      </c>
      <c r="AX108">
        <f t="shared" ca="1" si="14"/>
        <v>18</v>
      </c>
      <c r="AY108">
        <f t="shared" ca="1" si="14"/>
        <v>19</v>
      </c>
      <c r="AZ108">
        <f t="shared" ca="1" si="14"/>
        <v>20</v>
      </c>
      <c r="BA108">
        <f t="shared" ca="1" si="14"/>
        <v>21</v>
      </c>
      <c r="BB108">
        <f t="shared" ca="1" si="14"/>
        <v>22</v>
      </c>
      <c r="BC108">
        <f t="shared" ca="1" si="14"/>
        <v>23</v>
      </c>
      <c r="BD108">
        <f t="shared" ca="1" si="14"/>
        <v>24</v>
      </c>
      <c r="BE108">
        <f t="shared" ca="1" si="14"/>
        <v>25</v>
      </c>
      <c r="BF108">
        <f t="shared" ca="1" si="14"/>
        <v>26</v>
      </c>
      <c r="BG108">
        <f t="shared" ca="1" si="14"/>
        <v>27</v>
      </c>
      <c r="BH108">
        <f t="shared" ca="1" si="7"/>
        <v>28</v>
      </c>
      <c r="BI108">
        <f t="shared" ca="1" si="7"/>
        <v>29</v>
      </c>
    </row>
    <row r="109" spans="1:61" x14ac:dyDescent="0.25">
      <c r="A109" s="20">
        <v>44</v>
      </c>
      <c r="B109">
        <f t="shared" ca="1" si="13"/>
        <v>9999</v>
      </c>
      <c r="C109">
        <f t="shared" ca="1" si="13"/>
        <v>9999</v>
      </c>
      <c r="D109">
        <f t="shared" ca="1" si="13"/>
        <v>9999</v>
      </c>
      <c r="E109">
        <f t="shared" ca="1" si="13"/>
        <v>9999</v>
      </c>
      <c r="F109">
        <f t="shared" ca="1" si="13"/>
        <v>9999</v>
      </c>
      <c r="G109">
        <f t="shared" ca="1" si="13"/>
        <v>9999</v>
      </c>
      <c r="H109">
        <f t="shared" ca="1" si="13"/>
        <v>9999</v>
      </c>
      <c r="I109">
        <f t="shared" ca="1" si="13"/>
        <v>9999</v>
      </c>
      <c r="J109">
        <f t="shared" ca="1" si="13"/>
        <v>9999</v>
      </c>
      <c r="K109">
        <f t="shared" ca="1" si="13"/>
        <v>9999</v>
      </c>
      <c r="L109">
        <f t="shared" ca="1" si="13"/>
        <v>9999</v>
      </c>
      <c r="M109">
        <f t="shared" ca="1" si="13"/>
        <v>9999</v>
      </c>
      <c r="N109">
        <f t="shared" ca="1" si="13"/>
        <v>9999</v>
      </c>
      <c r="O109">
        <f t="shared" ca="1" si="13"/>
        <v>9999</v>
      </c>
      <c r="P109">
        <f t="shared" ca="1" si="13"/>
        <v>9999</v>
      </c>
      <c r="Q109">
        <f t="shared" ca="1" si="13"/>
        <v>9999</v>
      </c>
      <c r="R109">
        <f t="shared" ca="1" si="12"/>
        <v>9999</v>
      </c>
      <c r="S109">
        <f t="shared" ca="1" si="12"/>
        <v>9999</v>
      </c>
      <c r="T109">
        <f t="shared" ca="1" si="12"/>
        <v>9999</v>
      </c>
      <c r="U109">
        <f t="shared" ca="1" si="12"/>
        <v>9999</v>
      </c>
      <c r="V109">
        <f t="shared" ca="1" si="12"/>
        <v>9999</v>
      </c>
      <c r="W109">
        <f t="shared" ca="1" si="12"/>
        <v>9999</v>
      </c>
      <c r="X109">
        <f t="shared" ca="1" si="12"/>
        <v>9999</v>
      </c>
      <c r="Y109">
        <f t="shared" ca="1" si="12"/>
        <v>-1</v>
      </c>
      <c r="Z109">
        <f t="shared" ca="1" si="12"/>
        <v>-1</v>
      </c>
      <c r="AA109">
        <f t="shared" ca="1" si="12"/>
        <v>-1</v>
      </c>
      <c r="AB109">
        <f t="shared" ca="1" si="12"/>
        <v>-1</v>
      </c>
      <c r="AC109">
        <f t="shared" ca="1" si="12"/>
        <v>-1</v>
      </c>
      <c r="AD109">
        <f t="shared" ca="1" si="12"/>
        <v>-1</v>
      </c>
      <c r="AE109">
        <f t="shared" ca="1" si="12"/>
        <v>-1</v>
      </c>
      <c r="AF109">
        <f t="shared" ca="1" si="12"/>
        <v>30</v>
      </c>
      <c r="AG109">
        <f t="shared" ca="1" si="15"/>
        <v>31</v>
      </c>
      <c r="AH109">
        <f t="shared" ca="1" si="15"/>
        <v>32</v>
      </c>
      <c r="AI109">
        <f t="shared" ca="1" si="15"/>
        <v>33</v>
      </c>
      <c r="AJ109">
        <f t="shared" ca="1" si="15"/>
        <v>34</v>
      </c>
      <c r="AK109">
        <f t="shared" ca="1" si="15"/>
        <v>35</v>
      </c>
      <c r="AL109">
        <f t="shared" ca="1" si="15"/>
        <v>36</v>
      </c>
      <c r="AM109">
        <f t="shared" ca="1" si="15"/>
        <v>37</v>
      </c>
      <c r="AN109">
        <f t="shared" ca="1" si="15"/>
        <v>38</v>
      </c>
      <c r="AO109">
        <f t="shared" ca="1" si="15"/>
        <v>39</v>
      </c>
      <c r="AP109">
        <f t="shared" ca="1" si="15"/>
        <v>40</v>
      </c>
      <c r="AQ109">
        <f t="shared" ca="1" si="15"/>
        <v>41</v>
      </c>
      <c r="AR109">
        <f t="shared" ca="1" si="15"/>
        <v>42</v>
      </c>
      <c r="AS109">
        <f t="shared" ca="1" si="15"/>
        <v>43</v>
      </c>
      <c r="AT109">
        <f t="shared" ca="1" si="15"/>
        <v>44</v>
      </c>
      <c r="AU109">
        <f t="shared" ca="1" si="15"/>
        <v>45</v>
      </c>
      <c r="AV109">
        <f t="shared" ca="1" si="15"/>
        <v>46</v>
      </c>
      <c r="AW109">
        <f t="shared" ca="1" si="14"/>
        <v>47</v>
      </c>
      <c r="AX109">
        <f t="shared" ca="1" si="14"/>
        <v>48</v>
      </c>
      <c r="AY109">
        <f t="shared" ca="1" si="14"/>
        <v>49</v>
      </c>
      <c r="AZ109">
        <f t="shared" ca="1" si="14"/>
        <v>50</v>
      </c>
      <c r="BA109">
        <f t="shared" ca="1" si="14"/>
        <v>51</v>
      </c>
      <c r="BB109">
        <f t="shared" ca="1" si="14"/>
        <v>52</v>
      </c>
      <c r="BC109">
        <f t="shared" ca="1" si="14"/>
        <v>53</v>
      </c>
      <c r="BD109">
        <f t="shared" ca="1" si="14"/>
        <v>54</v>
      </c>
      <c r="BE109">
        <f t="shared" ca="1" si="14"/>
        <v>55</v>
      </c>
      <c r="BF109">
        <f t="shared" ca="1" si="14"/>
        <v>56</v>
      </c>
      <c r="BG109">
        <f t="shared" ca="1" si="14"/>
        <v>57</v>
      </c>
      <c r="BH109">
        <f t="shared" ca="1" si="7"/>
        <v>58</v>
      </c>
      <c r="BI109">
        <f t="shared" ca="1" si="7"/>
        <v>59</v>
      </c>
    </row>
    <row r="110" spans="1:61" x14ac:dyDescent="0.25">
      <c r="A110" s="20">
        <v>45</v>
      </c>
      <c r="B110">
        <f t="shared" ca="1" si="13"/>
        <v>9999</v>
      </c>
      <c r="C110">
        <f t="shared" ca="1" si="13"/>
        <v>9999</v>
      </c>
      <c r="D110">
        <f t="shared" ca="1" si="13"/>
        <v>9999</v>
      </c>
      <c r="E110">
        <f t="shared" ca="1" si="13"/>
        <v>9999</v>
      </c>
      <c r="F110">
        <f t="shared" ca="1" si="13"/>
        <v>9999</v>
      </c>
      <c r="G110">
        <f t="shared" ca="1" si="13"/>
        <v>9999</v>
      </c>
      <c r="H110">
        <f t="shared" ca="1" si="13"/>
        <v>9999</v>
      </c>
      <c r="I110">
        <f t="shared" ca="1" si="13"/>
        <v>9999</v>
      </c>
      <c r="J110">
        <f t="shared" ca="1" si="13"/>
        <v>9999</v>
      </c>
      <c r="K110">
        <f t="shared" ca="1" si="13"/>
        <v>9999</v>
      </c>
      <c r="L110">
        <f t="shared" ca="1" si="13"/>
        <v>9999</v>
      </c>
      <c r="M110">
        <f t="shared" ca="1" si="13"/>
        <v>9999</v>
      </c>
      <c r="N110">
        <f t="shared" ca="1" si="13"/>
        <v>9999</v>
      </c>
      <c r="O110">
        <f t="shared" ca="1" si="13"/>
        <v>9999</v>
      </c>
      <c r="P110">
        <f t="shared" ca="1" si="13"/>
        <v>9999</v>
      </c>
      <c r="Q110">
        <f t="shared" ca="1" si="13"/>
        <v>9999</v>
      </c>
      <c r="R110">
        <f t="shared" ca="1" si="12"/>
        <v>9999</v>
      </c>
      <c r="S110">
        <f t="shared" ca="1" si="12"/>
        <v>9999</v>
      </c>
      <c r="T110">
        <f t="shared" ca="1" si="12"/>
        <v>9999</v>
      </c>
      <c r="U110">
        <f t="shared" ca="1" si="12"/>
        <v>9999</v>
      </c>
      <c r="V110">
        <f t="shared" ca="1" si="12"/>
        <v>9999</v>
      </c>
      <c r="W110">
        <f t="shared" ca="1" si="12"/>
        <v>9999</v>
      </c>
      <c r="X110">
        <f t="shared" ca="1" si="12"/>
        <v>9999</v>
      </c>
      <c r="Y110">
        <f t="shared" ca="1" si="12"/>
        <v>-1</v>
      </c>
      <c r="Z110">
        <f t="shared" ca="1" si="12"/>
        <v>-1</v>
      </c>
      <c r="AA110">
        <f t="shared" ca="1" si="12"/>
        <v>-1</v>
      </c>
      <c r="AB110">
        <f t="shared" ca="1" si="12"/>
        <v>-1</v>
      </c>
      <c r="AC110">
        <f t="shared" ca="1" si="12"/>
        <v>-1</v>
      </c>
      <c r="AD110">
        <f t="shared" ca="1" si="12"/>
        <v>-1</v>
      </c>
      <c r="AE110">
        <f t="shared" ca="1" si="12"/>
        <v>-1</v>
      </c>
      <c r="AF110">
        <f t="shared" ca="1" si="12"/>
        <v>60</v>
      </c>
      <c r="AG110">
        <f t="shared" ca="1" si="15"/>
        <v>61</v>
      </c>
      <c r="AH110">
        <f t="shared" ca="1" si="15"/>
        <v>62</v>
      </c>
      <c r="AI110">
        <f t="shared" ca="1" si="15"/>
        <v>63</v>
      </c>
      <c r="AJ110">
        <f t="shared" ca="1" si="15"/>
        <v>64</v>
      </c>
      <c r="AK110">
        <f t="shared" ca="1" si="15"/>
        <v>65</v>
      </c>
      <c r="AL110">
        <f t="shared" ca="1" si="15"/>
        <v>66</v>
      </c>
      <c r="AM110">
        <f t="shared" ca="1" si="15"/>
        <v>67</v>
      </c>
      <c r="AN110">
        <f t="shared" ca="1" si="15"/>
        <v>68</v>
      </c>
      <c r="AO110">
        <f t="shared" ca="1" si="15"/>
        <v>69</v>
      </c>
      <c r="AP110">
        <f t="shared" ca="1" si="15"/>
        <v>70</v>
      </c>
      <c r="AQ110">
        <f t="shared" ca="1" si="15"/>
        <v>71</v>
      </c>
      <c r="AR110">
        <f t="shared" ca="1" si="15"/>
        <v>72</v>
      </c>
      <c r="AS110">
        <f t="shared" ca="1" si="15"/>
        <v>73</v>
      </c>
      <c r="AT110">
        <f t="shared" ca="1" si="15"/>
        <v>74</v>
      </c>
      <c r="AU110">
        <f t="shared" ca="1" si="15"/>
        <v>75</v>
      </c>
      <c r="AV110">
        <f t="shared" ca="1" si="15"/>
        <v>76</v>
      </c>
      <c r="AW110">
        <f t="shared" ca="1" si="14"/>
        <v>77</v>
      </c>
      <c r="AX110">
        <f t="shared" ca="1" si="14"/>
        <v>78</v>
      </c>
      <c r="AY110">
        <f t="shared" ca="1" si="14"/>
        <v>79</v>
      </c>
      <c r="AZ110">
        <f t="shared" ca="1" si="14"/>
        <v>80</v>
      </c>
      <c r="BA110">
        <f t="shared" ca="1" si="14"/>
        <v>81</v>
      </c>
      <c r="BB110">
        <f t="shared" ca="1" si="14"/>
        <v>82</v>
      </c>
      <c r="BC110">
        <f t="shared" ca="1" si="14"/>
        <v>83</v>
      </c>
      <c r="BD110">
        <f t="shared" ca="1" si="14"/>
        <v>84</v>
      </c>
      <c r="BE110">
        <f t="shared" ca="1" si="14"/>
        <v>85</v>
      </c>
      <c r="BF110">
        <f t="shared" ca="1" si="14"/>
        <v>86</v>
      </c>
      <c r="BG110">
        <f t="shared" ca="1" si="14"/>
        <v>87</v>
      </c>
      <c r="BH110">
        <f t="shared" ca="1" si="7"/>
        <v>88</v>
      </c>
      <c r="BI110">
        <f t="shared" ca="1" si="7"/>
        <v>89</v>
      </c>
    </row>
    <row r="111" spans="1:61" x14ac:dyDescent="0.25">
      <c r="A111" s="20">
        <v>46</v>
      </c>
      <c r="B111">
        <f t="shared" ca="1" si="13"/>
        <v>9999</v>
      </c>
      <c r="C111">
        <f t="shared" ca="1" si="13"/>
        <v>9999</v>
      </c>
      <c r="D111">
        <f t="shared" ca="1" si="13"/>
        <v>9999</v>
      </c>
      <c r="E111">
        <f t="shared" ca="1" si="13"/>
        <v>9999</v>
      </c>
      <c r="F111">
        <f t="shared" ca="1" si="13"/>
        <v>9999</v>
      </c>
      <c r="G111">
        <f t="shared" ca="1" si="13"/>
        <v>9999</v>
      </c>
      <c r="H111">
        <f t="shared" ca="1" si="13"/>
        <v>9999</v>
      </c>
      <c r="I111">
        <f t="shared" ca="1" si="13"/>
        <v>9999</v>
      </c>
      <c r="J111">
        <f t="shared" ca="1" si="13"/>
        <v>9999</v>
      </c>
      <c r="K111">
        <f t="shared" ca="1" si="13"/>
        <v>9999</v>
      </c>
      <c r="L111">
        <f t="shared" ca="1" si="13"/>
        <v>9999</v>
      </c>
      <c r="M111">
        <f t="shared" ca="1" si="13"/>
        <v>9999</v>
      </c>
      <c r="N111">
        <f t="shared" ca="1" si="13"/>
        <v>9999</v>
      </c>
      <c r="O111">
        <f t="shared" ca="1" si="13"/>
        <v>9999</v>
      </c>
      <c r="P111">
        <f t="shared" ca="1" si="13"/>
        <v>9999</v>
      </c>
      <c r="Q111">
        <f t="shared" ca="1" si="13"/>
        <v>9999</v>
      </c>
      <c r="R111">
        <f t="shared" ca="1" si="12"/>
        <v>9999</v>
      </c>
      <c r="S111">
        <f t="shared" ca="1" si="12"/>
        <v>9999</v>
      </c>
      <c r="T111">
        <f t="shared" ca="1" si="12"/>
        <v>9999</v>
      </c>
      <c r="U111">
        <f t="shared" ca="1" si="12"/>
        <v>9999</v>
      </c>
      <c r="V111">
        <f t="shared" ca="1" si="12"/>
        <v>9999</v>
      </c>
      <c r="W111">
        <f t="shared" ca="1" si="12"/>
        <v>9999</v>
      </c>
      <c r="X111">
        <f t="shared" ca="1" si="12"/>
        <v>9999</v>
      </c>
      <c r="Y111">
        <f t="shared" ca="1" si="12"/>
        <v>-1</v>
      </c>
      <c r="Z111">
        <f t="shared" ca="1" si="12"/>
        <v>-1</v>
      </c>
      <c r="AA111">
        <f t="shared" ca="1" si="12"/>
        <v>-1</v>
      </c>
      <c r="AB111">
        <f t="shared" ca="1" si="12"/>
        <v>-1</v>
      </c>
      <c r="AC111">
        <f t="shared" ca="1" si="12"/>
        <v>-1</v>
      </c>
      <c r="AD111">
        <f t="shared" ca="1" si="12"/>
        <v>-1</v>
      </c>
      <c r="AE111">
        <f t="shared" ca="1" si="12"/>
        <v>-1</v>
      </c>
      <c r="AF111">
        <f t="shared" ca="1" si="12"/>
        <v>90</v>
      </c>
      <c r="AG111">
        <f t="shared" ca="1" si="15"/>
        <v>91</v>
      </c>
      <c r="AH111">
        <f t="shared" ca="1" si="15"/>
        <v>92</v>
      </c>
      <c r="AI111">
        <f t="shared" ca="1" si="15"/>
        <v>93</v>
      </c>
      <c r="AJ111">
        <f t="shared" ca="1" si="15"/>
        <v>94</v>
      </c>
      <c r="AK111">
        <f t="shared" ca="1" si="15"/>
        <v>95</v>
      </c>
      <c r="AL111">
        <f t="shared" ca="1" si="15"/>
        <v>96</v>
      </c>
      <c r="AM111">
        <f t="shared" ca="1" si="15"/>
        <v>97</v>
      </c>
      <c r="AN111">
        <f t="shared" ca="1" si="15"/>
        <v>98</v>
      </c>
      <c r="AO111">
        <f t="shared" ca="1" si="15"/>
        <v>99</v>
      </c>
      <c r="AP111">
        <f t="shared" ca="1" si="15"/>
        <v>100</v>
      </c>
      <c r="AQ111">
        <f t="shared" ca="1" si="15"/>
        <v>101</v>
      </c>
      <c r="AR111">
        <f t="shared" ca="1" si="15"/>
        <v>102</v>
      </c>
      <c r="AS111">
        <f t="shared" ca="1" si="15"/>
        <v>103</v>
      </c>
      <c r="AT111">
        <f t="shared" ca="1" si="15"/>
        <v>104</v>
      </c>
      <c r="AU111">
        <f t="shared" ca="1" si="15"/>
        <v>105</v>
      </c>
      <c r="AV111">
        <f t="shared" ca="1" si="15"/>
        <v>106</v>
      </c>
      <c r="AW111">
        <f t="shared" ca="1" si="14"/>
        <v>107</v>
      </c>
      <c r="AX111">
        <f t="shared" ca="1" si="14"/>
        <v>108</v>
      </c>
      <c r="AY111">
        <f t="shared" ca="1" si="14"/>
        <v>109</v>
      </c>
      <c r="AZ111">
        <f t="shared" ca="1" si="14"/>
        <v>110</v>
      </c>
      <c r="BA111">
        <f t="shared" ca="1" si="14"/>
        <v>111</v>
      </c>
      <c r="BB111">
        <f t="shared" ca="1" si="14"/>
        <v>112</v>
      </c>
      <c r="BC111">
        <f t="shared" ca="1" si="14"/>
        <v>113</v>
      </c>
      <c r="BD111">
        <f t="shared" ca="1" si="14"/>
        <v>114</v>
      </c>
      <c r="BE111">
        <f t="shared" ca="1" si="14"/>
        <v>115</v>
      </c>
      <c r="BF111">
        <f t="shared" ca="1" si="14"/>
        <v>116</v>
      </c>
      <c r="BG111">
        <f t="shared" ca="1" si="14"/>
        <v>117</v>
      </c>
      <c r="BH111">
        <f t="shared" ca="1" si="7"/>
        <v>118</v>
      </c>
      <c r="BI111">
        <f t="shared" ca="1" si="7"/>
        <v>119</v>
      </c>
    </row>
    <row r="112" spans="1:61" x14ac:dyDescent="0.25">
      <c r="A112" s="20">
        <v>47</v>
      </c>
      <c r="B112">
        <f t="shared" ca="1" si="13"/>
        <v>9999</v>
      </c>
      <c r="C112">
        <f t="shared" ca="1" si="13"/>
        <v>9999</v>
      </c>
      <c r="D112">
        <f t="shared" ca="1" si="13"/>
        <v>9999</v>
      </c>
      <c r="E112">
        <f t="shared" ca="1" si="13"/>
        <v>9999</v>
      </c>
      <c r="F112">
        <f t="shared" ca="1" si="13"/>
        <v>9999</v>
      </c>
      <c r="G112">
        <f t="shared" ca="1" si="13"/>
        <v>9999</v>
      </c>
      <c r="H112">
        <f t="shared" ca="1" si="13"/>
        <v>9999</v>
      </c>
      <c r="I112">
        <f t="shared" ca="1" si="13"/>
        <v>9999</v>
      </c>
      <c r="J112">
        <f t="shared" ca="1" si="13"/>
        <v>9999</v>
      </c>
      <c r="K112">
        <f t="shared" ca="1" si="13"/>
        <v>9999</v>
      </c>
      <c r="L112">
        <f t="shared" ca="1" si="13"/>
        <v>9999</v>
      </c>
      <c r="M112">
        <f t="shared" ca="1" si="13"/>
        <v>9999</v>
      </c>
      <c r="N112">
        <f t="shared" ca="1" si="13"/>
        <v>9999</v>
      </c>
      <c r="O112">
        <f t="shared" ca="1" si="13"/>
        <v>9999</v>
      </c>
      <c r="P112">
        <f t="shared" ca="1" si="13"/>
        <v>9999</v>
      </c>
      <c r="Q112">
        <f t="shared" ca="1" si="13"/>
        <v>9999</v>
      </c>
      <c r="R112">
        <f t="shared" ca="1" si="12"/>
        <v>9999</v>
      </c>
      <c r="S112">
        <f t="shared" ca="1" si="12"/>
        <v>9999</v>
      </c>
      <c r="T112">
        <f t="shared" ca="1" si="12"/>
        <v>9999</v>
      </c>
      <c r="U112">
        <f t="shared" ca="1" si="12"/>
        <v>9999</v>
      </c>
      <c r="V112">
        <f t="shared" ca="1" si="12"/>
        <v>9999</v>
      </c>
      <c r="W112">
        <f t="shared" ca="1" si="12"/>
        <v>9999</v>
      </c>
      <c r="X112">
        <f t="shared" ca="1" si="12"/>
        <v>9999</v>
      </c>
      <c r="Y112">
        <f t="shared" ca="1" si="12"/>
        <v>-1</v>
      </c>
      <c r="Z112">
        <f t="shared" ca="1" si="12"/>
        <v>-1</v>
      </c>
      <c r="AA112">
        <f t="shared" ca="1" si="12"/>
        <v>-1</v>
      </c>
      <c r="AB112">
        <f t="shared" ca="1" si="12"/>
        <v>-1</v>
      </c>
      <c r="AC112">
        <f t="shared" ca="1" si="12"/>
        <v>-1</v>
      </c>
      <c r="AD112">
        <f t="shared" ca="1" si="12"/>
        <v>-1</v>
      </c>
      <c r="AE112">
        <f t="shared" ca="1" si="12"/>
        <v>-1</v>
      </c>
      <c r="AF112">
        <f t="shared" ca="1" si="12"/>
        <v>239</v>
      </c>
      <c r="AG112">
        <f t="shared" ca="1" si="15"/>
        <v>238</v>
      </c>
      <c r="AH112">
        <f t="shared" ca="1" si="15"/>
        <v>237</v>
      </c>
      <c r="AI112">
        <f t="shared" ca="1" si="15"/>
        <v>236</v>
      </c>
      <c r="AJ112">
        <f t="shared" ca="1" si="15"/>
        <v>235</v>
      </c>
      <c r="AK112">
        <f t="shared" ca="1" si="15"/>
        <v>234</v>
      </c>
      <c r="AL112">
        <f t="shared" ca="1" si="15"/>
        <v>233</v>
      </c>
      <c r="AM112">
        <f t="shared" ca="1" si="15"/>
        <v>232</v>
      </c>
      <c r="AN112">
        <f t="shared" ca="1" si="15"/>
        <v>231</v>
      </c>
      <c r="AO112">
        <f t="shared" ca="1" si="15"/>
        <v>230</v>
      </c>
      <c r="AP112">
        <f t="shared" ca="1" si="15"/>
        <v>229</v>
      </c>
      <c r="AQ112">
        <f t="shared" ca="1" si="15"/>
        <v>228</v>
      </c>
      <c r="AR112">
        <f t="shared" ca="1" si="15"/>
        <v>227</v>
      </c>
      <c r="AS112">
        <f t="shared" ca="1" si="15"/>
        <v>226</v>
      </c>
      <c r="AT112">
        <f t="shared" ca="1" si="15"/>
        <v>225</v>
      </c>
      <c r="AU112">
        <f t="shared" ca="1" si="15"/>
        <v>224</v>
      </c>
      <c r="AV112">
        <f t="shared" ca="1" si="15"/>
        <v>223</v>
      </c>
      <c r="AW112">
        <f t="shared" ca="1" si="14"/>
        <v>222</v>
      </c>
      <c r="AX112">
        <f t="shared" ca="1" si="14"/>
        <v>221</v>
      </c>
      <c r="AY112">
        <f t="shared" ca="1" si="14"/>
        <v>220</v>
      </c>
      <c r="AZ112">
        <f t="shared" ca="1" si="14"/>
        <v>219</v>
      </c>
      <c r="BA112">
        <f t="shared" ca="1" si="14"/>
        <v>218</v>
      </c>
      <c r="BB112">
        <f t="shared" ca="1" si="14"/>
        <v>217</v>
      </c>
      <c r="BC112">
        <f t="shared" ca="1" si="14"/>
        <v>216</v>
      </c>
      <c r="BD112">
        <f t="shared" ca="1" si="14"/>
        <v>215</v>
      </c>
      <c r="BE112">
        <f t="shared" ca="1" si="14"/>
        <v>214</v>
      </c>
      <c r="BF112">
        <f t="shared" ca="1" si="14"/>
        <v>213</v>
      </c>
      <c r="BG112">
        <f t="shared" ca="1" si="14"/>
        <v>212</v>
      </c>
      <c r="BH112">
        <f t="shared" ca="1" si="7"/>
        <v>211</v>
      </c>
      <c r="BI112">
        <f t="shared" ca="1" si="7"/>
        <v>210</v>
      </c>
    </row>
    <row r="113" spans="1:61" x14ac:dyDescent="0.25">
      <c r="A113" s="20">
        <v>48</v>
      </c>
      <c r="B113">
        <f t="shared" ca="1" si="13"/>
        <v>9999</v>
      </c>
      <c r="C113">
        <f t="shared" ca="1" si="13"/>
        <v>9999</v>
      </c>
      <c r="D113">
        <f t="shared" ca="1" si="13"/>
        <v>9999</v>
      </c>
      <c r="E113">
        <f t="shared" ca="1" si="13"/>
        <v>9999</v>
      </c>
      <c r="F113">
        <f t="shared" ca="1" si="13"/>
        <v>9999</v>
      </c>
      <c r="G113">
        <f t="shared" ca="1" si="13"/>
        <v>9999</v>
      </c>
      <c r="H113">
        <f t="shared" ca="1" si="13"/>
        <v>9999</v>
      </c>
      <c r="I113">
        <f t="shared" ca="1" si="13"/>
        <v>9999</v>
      </c>
      <c r="J113">
        <f t="shared" ca="1" si="13"/>
        <v>9999</v>
      </c>
      <c r="K113">
        <f t="shared" ca="1" si="13"/>
        <v>9999</v>
      </c>
      <c r="L113">
        <f t="shared" ca="1" si="13"/>
        <v>9999</v>
      </c>
      <c r="M113">
        <f t="shared" ca="1" si="13"/>
        <v>9999</v>
      </c>
      <c r="N113">
        <f t="shared" ca="1" si="13"/>
        <v>9999</v>
      </c>
      <c r="O113">
        <f t="shared" ca="1" si="13"/>
        <v>9999</v>
      </c>
      <c r="P113">
        <f t="shared" ca="1" si="13"/>
        <v>9999</v>
      </c>
      <c r="Q113">
        <f t="shared" ca="1" si="13"/>
        <v>9999</v>
      </c>
      <c r="R113">
        <f t="shared" ca="1" si="12"/>
        <v>9999</v>
      </c>
      <c r="S113">
        <f t="shared" ca="1" si="12"/>
        <v>9999</v>
      </c>
      <c r="T113">
        <f t="shared" ca="1" si="12"/>
        <v>9999</v>
      </c>
      <c r="U113">
        <f t="shared" ca="1" si="12"/>
        <v>9999</v>
      </c>
      <c r="V113">
        <f t="shared" ca="1" si="12"/>
        <v>9999</v>
      </c>
      <c r="W113">
        <f t="shared" ca="1" si="12"/>
        <v>9999</v>
      </c>
      <c r="X113">
        <f t="shared" ca="1" si="12"/>
        <v>9999</v>
      </c>
      <c r="Y113">
        <f t="shared" ca="1" si="12"/>
        <v>-1</v>
      </c>
      <c r="Z113">
        <f t="shared" ca="1" si="12"/>
        <v>-1</v>
      </c>
      <c r="AA113">
        <f t="shared" ca="1" si="12"/>
        <v>-1</v>
      </c>
      <c r="AB113">
        <f t="shared" ca="1" si="12"/>
        <v>-1</v>
      </c>
      <c r="AC113">
        <f t="shared" ca="1" si="12"/>
        <v>-1</v>
      </c>
      <c r="AD113">
        <f t="shared" ca="1" si="12"/>
        <v>-1</v>
      </c>
      <c r="AE113">
        <f t="shared" ca="1" si="12"/>
        <v>-1</v>
      </c>
      <c r="AF113">
        <f t="shared" ca="1" si="12"/>
        <v>209</v>
      </c>
      <c r="AG113">
        <f t="shared" ca="1" si="15"/>
        <v>208</v>
      </c>
      <c r="AH113">
        <f t="shared" ca="1" si="15"/>
        <v>207</v>
      </c>
      <c r="AI113">
        <f t="shared" ca="1" si="15"/>
        <v>206</v>
      </c>
      <c r="AJ113">
        <f t="shared" ca="1" si="15"/>
        <v>205</v>
      </c>
      <c r="AK113">
        <f t="shared" ca="1" si="15"/>
        <v>204</v>
      </c>
      <c r="AL113">
        <f t="shared" ca="1" si="15"/>
        <v>203</v>
      </c>
      <c r="AM113">
        <f t="shared" ca="1" si="15"/>
        <v>202</v>
      </c>
      <c r="AN113">
        <f t="shared" ca="1" si="15"/>
        <v>201</v>
      </c>
      <c r="AO113">
        <f t="shared" ca="1" si="15"/>
        <v>200</v>
      </c>
      <c r="AP113">
        <f t="shared" ca="1" si="15"/>
        <v>199</v>
      </c>
      <c r="AQ113">
        <f t="shared" ca="1" si="15"/>
        <v>198</v>
      </c>
      <c r="AR113">
        <f t="shared" ca="1" si="15"/>
        <v>197</v>
      </c>
      <c r="AS113">
        <f t="shared" ca="1" si="15"/>
        <v>196</v>
      </c>
      <c r="AT113">
        <f t="shared" ca="1" si="15"/>
        <v>195</v>
      </c>
      <c r="AU113">
        <f t="shared" ca="1" si="15"/>
        <v>194</v>
      </c>
      <c r="AV113">
        <f t="shared" ca="1" si="15"/>
        <v>193</v>
      </c>
      <c r="AW113">
        <f t="shared" ca="1" si="14"/>
        <v>192</v>
      </c>
      <c r="AX113">
        <f t="shared" ca="1" si="14"/>
        <v>191</v>
      </c>
      <c r="AY113">
        <f t="shared" ca="1" si="14"/>
        <v>190</v>
      </c>
      <c r="AZ113">
        <f t="shared" ca="1" si="14"/>
        <v>189</v>
      </c>
      <c r="BA113">
        <f t="shared" ca="1" si="14"/>
        <v>188</v>
      </c>
      <c r="BB113">
        <f t="shared" ca="1" si="14"/>
        <v>187</v>
      </c>
      <c r="BC113">
        <f t="shared" ca="1" si="14"/>
        <v>186</v>
      </c>
      <c r="BD113">
        <f t="shared" ca="1" si="14"/>
        <v>185</v>
      </c>
      <c r="BE113">
        <f t="shared" ca="1" si="14"/>
        <v>184</v>
      </c>
      <c r="BF113">
        <f t="shared" ca="1" si="14"/>
        <v>183</v>
      </c>
      <c r="BG113">
        <f t="shared" ca="1" si="14"/>
        <v>182</v>
      </c>
      <c r="BH113">
        <f t="shared" ca="1" si="7"/>
        <v>181</v>
      </c>
      <c r="BI113">
        <f t="shared" ca="1" si="7"/>
        <v>180</v>
      </c>
    </row>
    <row r="114" spans="1:61" x14ac:dyDescent="0.25">
      <c r="A114" s="20">
        <v>49</v>
      </c>
      <c r="B114">
        <f t="shared" ca="1" si="13"/>
        <v>9999</v>
      </c>
      <c r="C114">
        <f t="shared" ca="1" si="13"/>
        <v>9999</v>
      </c>
      <c r="D114">
        <f t="shared" ca="1" si="13"/>
        <v>9999</v>
      </c>
      <c r="E114">
        <f t="shared" ca="1" si="13"/>
        <v>9999</v>
      </c>
      <c r="F114">
        <f t="shared" ca="1" si="13"/>
        <v>9999</v>
      </c>
      <c r="G114">
        <f t="shared" ca="1" si="13"/>
        <v>9999</v>
      </c>
      <c r="H114">
        <f t="shared" ca="1" si="13"/>
        <v>9999</v>
      </c>
      <c r="I114">
        <f t="shared" ca="1" si="13"/>
        <v>9999</v>
      </c>
      <c r="J114">
        <f t="shared" ca="1" si="13"/>
        <v>9999</v>
      </c>
      <c r="K114">
        <f t="shared" ca="1" si="13"/>
        <v>9999</v>
      </c>
      <c r="L114">
        <f t="shared" ca="1" si="13"/>
        <v>9999</v>
      </c>
      <c r="M114">
        <f t="shared" ca="1" si="13"/>
        <v>9999</v>
      </c>
      <c r="N114">
        <f t="shared" ca="1" si="13"/>
        <v>9999</v>
      </c>
      <c r="O114">
        <f t="shared" ca="1" si="13"/>
        <v>9999</v>
      </c>
      <c r="P114">
        <f t="shared" ca="1" si="13"/>
        <v>9999</v>
      </c>
      <c r="Q114">
        <f t="shared" ca="1" si="13"/>
        <v>9999</v>
      </c>
      <c r="R114">
        <f t="shared" ca="1" si="12"/>
        <v>9999</v>
      </c>
      <c r="S114">
        <f t="shared" ca="1" si="12"/>
        <v>9999</v>
      </c>
      <c r="T114">
        <f t="shared" ca="1" si="12"/>
        <v>9999</v>
      </c>
      <c r="U114">
        <f t="shared" ca="1" si="12"/>
        <v>9999</v>
      </c>
      <c r="V114">
        <f t="shared" ca="1" si="12"/>
        <v>9999</v>
      </c>
      <c r="W114">
        <f t="shared" ca="1" si="12"/>
        <v>9999</v>
      </c>
      <c r="X114">
        <f t="shared" ca="1" si="12"/>
        <v>9999</v>
      </c>
      <c r="Y114">
        <f t="shared" ca="1" si="12"/>
        <v>-1</v>
      </c>
      <c r="Z114">
        <f t="shared" ca="1" si="12"/>
        <v>-1</v>
      </c>
      <c r="AA114">
        <f t="shared" ca="1" si="12"/>
        <v>-1</v>
      </c>
      <c r="AB114">
        <f t="shared" ca="1" si="12"/>
        <v>-1</v>
      </c>
      <c r="AC114">
        <f t="shared" ca="1" si="12"/>
        <v>-1</v>
      </c>
      <c r="AD114">
        <f t="shared" ca="1" si="12"/>
        <v>-1</v>
      </c>
      <c r="AE114">
        <f t="shared" ca="1" si="12"/>
        <v>-1</v>
      </c>
      <c r="AF114">
        <f t="shared" ca="1" si="12"/>
        <v>179</v>
      </c>
      <c r="AG114">
        <f t="shared" ca="1" si="15"/>
        <v>178</v>
      </c>
      <c r="AH114">
        <f t="shared" ca="1" si="15"/>
        <v>177</v>
      </c>
      <c r="AI114">
        <f t="shared" ca="1" si="15"/>
        <v>176</v>
      </c>
      <c r="AJ114">
        <f t="shared" ca="1" si="15"/>
        <v>175</v>
      </c>
      <c r="AK114">
        <f t="shared" ca="1" si="15"/>
        <v>174</v>
      </c>
      <c r="AL114">
        <f t="shared" ca="1" si="15"/>
        <v>173</v>
      </c>
      <c r="AM114">
        <f t="shared" ca="1" si="15"/>
        <v>172</v>
      </c>
      <c r="AN114">
        <f t="shared" ca="1" si="15"/>
        <v>171</v>
      </c>
      <c r="AO114">
        <f t="shared" ca="1" si="15"/>
        <v>170</v>
      </c>
      <c r="AP114">
        <f t="shared" ca="1" si="15"/>
        <v>169</v>
      </c>
      <c r="AQ114">
        <f t="shared" ca="1" si="15"/>
        <v>168</v>
      </c>
      <c r="AR114">
        <f t="shared" ca="1" si="15"/>
        <v>167</v>
      </c>
      <c r="AS114">
        <f t="shared" ca="1" si="15"/>
        <v>166</v>
      </c>
      <c r="AT114">
        <f t="shared" ca="1" si="15"/>
        <v>165</v>
      </c>
      <c r="AU114">
        <f t="shared" ca="1" si="15"/>
        <v>164</v>
      </c>
      <c r="AV114">
        <f t="shared" ca="1" si="15"/>
        <v>163</v>
      </c>
      <c r="AW114">
        <f t="shared" ca="1" si="14"/>
        <v>162</v>
      </c>
      <c r="AX114">
        <f t="shared" ca="1" si="14"/>
        <v>161</v>
      </c>
      <c r="AY114">
        <f t="shared" ca="1" si="14"/>
        <v>160</v>
      </c>
      <c r="AZ114">
        <f t="shared" ca="1" si="14"/>
        <v>159</v>
      </c>
      <c r="BA114">
        <f t="shared" ca="1" si="14"/>
        <v>158</v>
      </c>
      <c r="BB114">
        <f t="shared" ca="1" si="14"/>
        <v>157</v>
      </c>
      <c r="BC114">
        <f t="shared" ca="1" si="14"/>
        <v>156</v>
      </c>
      <c r="BD114">
        <f t="shared" ca="1" si="14"/>
        <v>155</v>
      </c>
      <c r="BE114">
        <f t="shared" ca="1" si="14"/>
        <v>154</v>
      </c>
      <c r="BF114">
        <f t="shared" ca="1" si="14"/>
        <v>153</v>
      </c>
      <c r="BG114">
        <f t="shared" ca="1" si="14"/>
        <v>152</v>
      </c>
      <c r="BH114">
        <f t="shared" ca="1" si="7"/>
        <v>151</v>
      </c>
      <c r="BI114">
        <f t="shared" ca="1" si="7"/>
        <v>150</v>
      </c>
    </row>
    <row r="115" spans="1:61" x14ac:dyDescent="0.25">
      <c r="A115" s="20">
        <v>50</v>
      </c>
      <c r="B115">
        <f t="shared" ca="1" si="13"/>
        <v>9999</v>
      </c>
      <c r="C115">
        <f t="shared" ca="1" si="13"/>
        <v>9999</v>
      </c>
      <c r="D115">
        <f t="shared" ca="1" si="13"/>
        <v>9999</v>
      </c>
      <c r="E115">
        <f t="shared" ca="1" si="13"/>
        <v>9999</v>
      </c>
      <c r="F115">
        <f t="shared" ca="1" si="13"/>
        <v>9999</v>
      </c>
      <c r="G115">
        <f t="shared" ca="1" si="13"/>
        <v>9999</v>
      </c>
      <c r="H115">
        <f t="shared" ca="1" si="13"/>
        <v>9999</v>
      </c>
      <c r="I115">
        <f t="shared" ca="1" si="13"/>
        <v>9999</v>
      </c>
      <c r="J115">
        <f t="shared" ca="1" si="13"/>
        <v>9999</v>
      </c>
      <c r="K115">
        <f t="shared" ca="1" si="13"/>
        <v>9999</v>
      </c>
      <c r="L115">
        <f t="shared" ca="1" si="13"/>
        <v>9999</v>
      </c>
      <c r="M115">
        <f t="shared" ca="1" si="13"/>
        <v>9999</v>
      </c>
      <c r="N115">
        <f t="shared" ca="1" si="13"/>
        <v>9999</v>
      </c>
      <c r="O115">
        <f t="shared" ca="1" si="13"/>
        <v>9999</v>
      </c>
      <c r="P115">
        <f t="shared" ca="1" si="13"/>
        <v>9999</v>
      </c>
      <c r="Q115">
        <f t="shared" ca="1" si="13"/>
        <v>9999</v>
      </c>
      <c r="R115">
        <f t="shared" ca="1" si="12"/>
        <v>9999</v>
      </c>
      <c r="S115">
        <f t="shared" ca="1" si="12"/>
        <v>9999</v>
      </c>
      <c r="T115">
        <f t="shared" ca="1" si="12"/>
        <v>9999</v>
      </c>
      <c r="U115">
        <f t="shared" ca="1" si="12"/>
        <v>9999</v>
      </c>
      <c r="V115">
        <f t="shared" ca="1" si="12"/>
        <v>9999</v>
      </c>
      <c r="W115">
        <f t="shared" ca="1" si="12"/>
        <v>9999</v>
      </c>
      <c r="X115">
        <f t="shared" ca="1" si="12"/>
        <v>9999</v>
      </c>
      <c r="Y115">
        <f t="shared" ca="1" si="12"/>
        <v>-1</v>
      </c>
      <c r="Z115">
        <f t="shared" ca="1" si="12"/>
        <v>-1</v>
      </c>
      <c r="AA115">
        <f t="shared" ca="1" si="12"/>
        <v>-1</v>
      </c>
      <c r="AB115">
        <f t="shared" ca="1" si="12"/>
        <v>-1</v>
      </c>
      <c r="AC115">
        <f t="shared" ca="1" si="12"/>
        <v>-1</v>
      </c>
      <c r="AD115">
        <f t="shared" ca="1" si="12"/>
        <v>-1</v>
      </c>
      <c r="AE115">
        <f t="shared" ca="1" si="12"/>
        <v>-1</v>
      </c>
      <c r="AF115">
        <f t="shared" ca="1" si="12"/>
        <v>149</v>
      </c>
      <c r="AG115">
        <f t="shared" ca="1" si="15"/>
        <v>148</v>
      </c>
      <c r="AH115">
        <f t="shared" ca="1" si="15"/>
        <v>147</v>
      </c>
      <c r="AI115">
        <f t="shared" ca="1" si="15"/>
        <v>146</v>
      </c>
      <c r="AJ115">
        <f t="shared" ca="1" si="15"/>
        <v>145</v>
      </c>
      <c r="AK115">
        <f t="shared" ca="1" si="15"/>
        <v>144</v>
      </c>
      <c r="AL115">
        <f t="shared" ca="1" si="15"/>
        <v>143</v>
      </c>
      <c r="AM115">
        <f t="shared" ca="1" si="15"/>
        <v>142</v>
      </c>
      <c r="AN115">
        <f t="shared" ca="1" si="15"/>
        <v>141</v>
      </c>
      <c r="AO115">
        <f t="shared" ca="1" si="15"/>
        <v>140</v>
      </c>
      <c r="AP115">
        <f t="shared" ca="1" si="15"/>
        <v>139</v>
      </c>
      <c r="AQ115">
        <f t="shared" ca="1" si="15"/>
        <v>138</v>
      </c>
      <c r="AR115">
        <f t="shared" ca="1" si="15"/>
        <v>137</v>
      </c>
      <c r="AS115">
        <f t="shared" ca="1" si="15"/>
        <v>136</v>
      </c>
      <c r="AT115">
        <f t="shared" ca="1" si="15"/>
        <v>135</v>
      </c>
      <c r="AU115">
        <f t="shared" ca="1" si="15"/>
        <v>134</v>
      </c>
      <c r="AV115">
        <f t="shared" ca="1" si="15"/>
        <v>133</v>
      </c>
      <c r="AW115">
        <f t="shared" ca="1" si="14"/>
        <v>132</v>
      </c>
      <c r="AX115">
        <f t="shared" ca="1" si="14"/>
        <v>131</v>
      </c>
      <c r="AY115">
        <f t="shared" ca="1" si="14"/>
        <v>130</v>
      </c>
      <c r="AZ115">
        <f t="shared" ca="1" si="14"/>
        <v>129</v>
      </c>
      <c r="BA115">
        <f t="shared" ca="1" si="14"/>
        <v>128</v>
      </c>
      <c r="BB115">
        <f t="shared" ca="1" si="14"/>
        <v>127</v>
      </c>
      <c r="BC115">
        <f t="shared" ca="1" si="14"/>
        <v>126</v>
      </c>
      <c r="BD115">
        <f t="shared" ca="1" si="14"/>
        <v>125</v>
      </c>
      <c r="BE115">
        <f t="shared" ca="1" si="14"/>
        <v>124</v>
      </c>
      <c r="BF115">
        <f t="shared" ca="1" si="14"/>
        <v>123</v>
      </c>
      <c r="BG115">
        <f t="shared" ca="1" si="14"/>
        <v>122</v>
      </c>
      <c r="BH115">
        <f t="shared" ca="1" si="7"/>
        <v>121</v>
      </c>
      <c r="BI115">
        <f t="shared" ca="1" si="7"/>
        <v>120</v>
      </c>
    </row>
    <row r="116" spans="1:61" x14ac:dyDescent="0.25">
      <c r="A116" s="20">
        <v>51</v>
      </c>
      <c r="B116">
        <f t="shared" ca="1" si="13"/>
        <v>9999</v>
      </c>
      <c r="C116">
        <f t="shared" ca="1" si="13"/>
        <v>9999</v>
      </c>
      <c r="D116">
        <f t="shared" ca="1" si="13"/>
        <v>9999</v>
      </c>
      <c r="E116">
        <f t="shared" ca="1" si="13"/>
        <v>9999</v>
      </c>
      <c r="F116">
        <f t="shared" ca="1" si="13"/>
        <v>9999</v>
      </c>
      <c r="G116">
        <f t="shared" ca="1" si="13"/>
        <v>9999</v>
      </c>
      <c r="H116">
        <f t="shared" ca="1" si="13"/>
        <v>9999</v>
      </c>
      <c r="I116">
        <f t="shared" ca="1" si="13"/>
        <v>9999</v>
      </c>
      <c r="J116">
        <f t="shared" ca="1" si="13"/>
        <v>9999</v>
      </c>
      <c r="K116">
        <f t="shared" ca="1" si="13"/>
        <v>9999</v>
      </c>
      <c r="L116">
        <f t="shared" ca="1" si="13"/>
        <v>9999</v>
      </c>
      <c r="M116">
        <f t="shared" ca="1" si="13"/>
        <v>9999</v>
      </c>
      <c r="N116">
        <f t="shared" ca="1" si="13"/>
        <v>9999</v>
      </c>
      <c r="O116">
        <f t="shared" ca="1" si="13"/>
        <v>9999</v>
      </c>
      <c r="P116">
        <f t="shared" ca="1" si="13"/>
        <v>9999</v>
      </c>
      <c r="Q116">
        <f t="shared" ca="1" si="13"/>
        <v>9999</v>
      </c>
      <c r="R116">
        <f t="shared" ca="1" si="12"/>
        <v>9999</v>
      </c>
      <c r="S116">
        <f t="shared" ca="1" si="12"/>
        <v>9999</v>
      </c>
      <c r="T116">
        <f t="shared" ca="1" si="12"/>
        <v>9999</v>
      </c>
      <c r="U116">
        <f t="shared" ca="1" si="12"/>
        <v>9999</v>
      </c>
      <c r="V116">
        <f t="shared" ca="1" si="12"/>
        <v>9999</v>
      </c>
      <c r="W116">
        <f t="shared" ca="1" si="12"/>
        <v>9999</v>
      </c>
      <c r="X116">
        <f t="shared" ca="1" si="12"/>
        <v>9999</v>
      </c>
      <c r="Y116">
        <f t="shared" ca="1" si="12"/>
        <v>-1</v>
      </c>
      <c r="Z116">
        <f t="shared" ca="1" si="12"/>
        <v>-1</v>
      </c>
      <c r="AA116">
        <f t="shared" ca="1" si="12"/>
        <v>-1</v>
      </c>
      <c r="AB116">
        <f t="shared" ca="1" si="12"/>
        <v>-1</v>
      </c>
      <c r="AC116">
        <f t="shared" ca="1" si="12"/>
        <v>-1</v>
      </c>
      <c r="AD116">
        <f t="shared" ca="1" si="12"/>
        <v>-1</v>
      </c>
      <c r="AE116">
        <f t="shared" ca="1" si="12"/>
        <v>-1</v>
      </c>
      <c r="AF116">
        <f t="shared" ca="1" si="12"/>
        <v>239</v>
      </c>
      <c r="AG116">
        <f t="shared" ca="1" si="15"/>
        <v>238</v>
      </c>
      <c r="AH116">
        <f t="shared" ca="1" si="15"/>
        <v>237</v>
      </c>
      <c r="AI116">
        <f t="shared" ca="1" si="15"/>
        <v>236</v>
      </c>
      <c r="AJ116">
        <f t="shared" ca="1" si="15"/>
        <v>235</v>
      </c>
      <c r="AK116">
        <f t="shared" ca="1" si="15"/>
        <v>234</v>
      </c>
      <c r="AL116">
        <f t="shared" ca="1" si="15"/>
        <v>233</v>
      </c>
      <c r="AM116">
        <f t="shared" ca="1" si="15"/>
        <v>232</v>
      </c>
      <c r="AN116">
        <f t="shared" ca="1" si="15"/>
        <v>231</v>
      </c>
      <c r="AO116">
        <f t="shared" ca="1" si="15"/>
        <v>230</v>
      </c>
      <c r="AP116">
        <f t="shared" ca="1" si="15"/>
        <v>229</v>
      </c>
      <c r="AQ116">
        <f t="shared" ca="1" si="15"/>
        <v>228</v>
      </c>
      <c r="AR116">
        <f t="shared" ca="1" si="15"/>
        <v>227</v>
      </c>
      <c r="AS116">
        <f t="shared" ca="1" si="15"/>
        <v>226</v>
      </c>
      <c r="AT116">
        <f t="shared" ca="1" si="15"/>
        <v>225</v>
      </c>
      <c r="AU116">
        <f t="shared" ca="1" si="15"/>
        <v>224</v>
      </c>
      <c r="AV116">
        <f t="shared" ca="1" si="15"/>
        <v>223</v>
      </c>
      <c r="AW116">
        <f t="shared" ca="1" si="14"/>
        <v>222</v>
      </c>
      <c r="AX116">
        <f t="shared" ca="1" si="14"/>
        <v>221</v>
      </c>
      <c r="AY116">
        <f t="shared" ca="1" si="14"/>
        <v>220</v>
      </c>
      <c r="AZ116">
        <f t="shared" ca="1" si="14"/>
        <v>219</v>
      </c>
      <c r="BA116">
        <f t="shared" ca="1" si="14"/>
        <v>218</v>
      </c>
      <c r="BB116">
        <f t="shared" ca="1" si="14"/>
        <v>217</v>
      </c>
      <c r="BC116">
        <f t="shared" ca="1" si="14"/>
        <v>216</v>
      </c>
      <c r="BD116">
        <f t="shared" ca="1" si="14"/>
        <v>215</v>
      </c>
      <c r="BE116">
        <f t="shared" ca="1" si="14"/>
        <v>214</v>
      </c>
      <c r="BF116">
        <f t="shared" ca="1" si="14"/>
        <v>213</v>
      </c>
      <c r="BG116">
        <f t="shared" ca="1" si="14"/>
        <v>212</v>
      </c>
      <c r="BH116">
        <f t="shared" ca="1" si="7"/>
        <v>211</v>
      </c>
      <c r="BI116">
        <f t="shared" ca="1" si="7"/>
        <v>210</v>
      </c>
    </row>
    <row r="117" spans="1:61" x14ac:dyDescent="0.25">
      <c r="A117" s="20">
        <v>52</v>
      </c>
      <c r="B117">
        <f t="shared" ca="1" si="13"/>
        <v>9999</v>
      </c>
      <c r="C117">
        <f t="shared" ca="1" si="13"/>
        <v>9999</v>
      </c>
      <c r="D117">
        <f t="shared" ca="1" si="13"/>
        <v>9999</v>
      </c>
      <c r="E117">
        <f t="shared" ca="1" si="13"/>
        <v>9999</v>
      </c>
      <c r="F117">
        <f t="shared" ca="1" si="13"/>
        <v>9999</v>
      </c>
      <c r="G117">
        <f t="shared" ca="1" si="13"/>
        <v>9999</v>
      </c>
      <c r="H117">
        <f t="shared" ca="1" si="13"/>
        <v>9999</v>
      </c>
      <c r="I117">
        <f t="shared" ca="1" si="13"/>
        <v>9999</v>
      </c>
      <c r="J117">
        <f t="shared" ca="1" si="13"/>
        <v>9999</v>
      </c>
      <c r="K117">
        <f t="shared" ca="1" si="13"/>
        <v>9999</v>
      </c>
      <c r="L117">
        <f t="shared" ca="1" si="13"/>
        <v>9999</v>
      </c>
      <c r="M117">
        <f t="shared" ca="1" si="13"/>
        <v>9999</v>
      </c>
      <c r="N117">
        <f t="shared" ca="1" si="13"/>
        <v>9999</v>
      </c>
      <c r="O117">
        <f t="shared" ca="1" si="13"/>
        <v>9999</v>
      </c>
      <c r="P117">
        <f t="shared" ca="1" si="13"/>
        <v>9999</v>
      </c>
      <c r="Q117">
        <f t="shared" ca="1" si="13"/>
        <v>9999</v>
      </c>
      <c r="R117">
        <f t="shared" ca="1" si="12"/>
        <v>9999</v>
      </c>
      <c r="S117">
        <f t="shared" ca="1" si="12"/>
        <v>9999</v>
      </c>
      <c r="T117">
        <f t="shared" ca="1" si="12"/>
        <v>9999</v>
      </c>
      <c r="U117">
        <f t="shared" ca="1" si="12"/>
        <v>9999</v>
      </c>
      <c r="V117">
        <f t="shared" ca="1" si="12"/>
        <v>9999</v>
      </c>
      <c r="W117">
        <f t="shared" ca="1" si="12"/>
        <v>9999</v>
      </c>
      <c r="X117">
        <f t="shared" ca="1" si="12"/>
        <v>9999</v>
      </c>
      <c r="Y117">
        <f t="shared" ca="1" si="12"/>
        <v>-1</v>
      </c>
      <c r="Z117">
        <f t="shared" ca="1" si="12"/>
        <v>-1</v>
      </c>
      <c r="AA117">
        <f t="shared" ca="1" si="12"/>
        <v>-1</v>
      </c>
      <c r="AB117">
        <f t="shared" ca="1" si="12"/>
        <v>-1</v>
      </c>
      <c r="AC117">
        <f t="shared" ca="1" si="12"/>
        <v>-1</v>
      </c>
      <c r="AD117">
        <f t="shared" ca="1" si="12"/>
        <v>-1</v>
      </c>
      <c r="AE117">
        <f t="shared" ca="1" si="12"/>
        <v>-1</v>
      </c>
      <c r="AF117">
        <f t="shared" ca="1" si="12"/>
        <v>209</v>
      </c>
      <c r="AG117">
        <f t="shared" ca="1" si="15"/>
        <v>208</v>
      </c>
      <c r="AH117">
        <f t="shared" ca="1" si="15"/>
        <v>207</v>
      </c>
      <c r="AI117">
        <f t="shared" ca="1" si="15"/>
        <v>206</v>
      </c>
      <c r="AJ117">
        <f t="shared" ca="1" si="15"/>
        <v>205</v>
      </c>
      <c r="AK117">
        <f t="shared" ca="1" si="15"/>
        <v>204</v>
      </c>
      <c r="AL117">
        <f t="shared" ca="1" si="15"/>
        <v>203</v>
      </c>
      <c r="AM117">
        <f t="shared" ca="1" si="15"/>
        <v>202</v>
      </c>
      <c r="AN117">
        <f t="shared" ca="1" si="15"/>
        <v>201</v>
      </c>
      <c r="AO117">
        <f t="shared" ca="1" si="15"/>
        <v>200</v>
      </c>
      <c r="AP117">
        <f t="shared" ca="1" si="15"/>
        <v>199</v>
      </c>
      <c r="AQ117">
        <f t="shared" ca="1" si="15"/>
        <v>198</v>
      </c>
      <c r="AR117">
        <f t="shared" ca="1" si="15"/>
        <v>197</v>
      </c>
      <c r="AS117">
        <f t="shared" ca="1" si="15"/>
        <v>196</v>
      </c>
      <c r="AT117">
        <f t="shared" ca="1" si="15"/>
        <v>195</v>
      </c>
      <c r="AU117">
        <f t="shared" ca="1" si="15"/>
        <v>194</v>
      </c>
      <c r="AV117">
        <f t="shared" ca="1" si="15"/>
        <v>193</v>
      </c>
      <c r="AW117">
        <f t="shared" ca="1" si="14"/>
        <v>192</v>
      </c>
      <c r="AX117">
        <f t="shared" ca="1" si="14"/>
        <v>191</v>
      </c>
      <c r="AY117">
        <f t="shared" ca="1" si="14"/>
        <v>190</v>
      </c>
      <c r="AZ117">
        <f t="shared" ca="1" si="14"/>
        <v>189</v>
      </c>
      <c r="BA117">
        <f t="shared" ca="1" si="14"/>
        <v>188</v>
      </c>
      <c r="BB117">
        <f t="shared" ca="1" si="14"/>
        <v>187</v>
      </c>
      <c r="BC117">
        <f t="shared" ca="1" si="14"/>
        <v>186</v>
      </c>
      <c r="BD117">
        <f t="shared" ca="1" si="14"/>
        <v>185</v>
      </c>
      <c r="BE117">
        <f t="shared" ca="1" si="14"/>
        <v>184</v>
      </c>
      <c r="BF117">
        <f t="shared" ca="1" si="14"/>
        <v>183</v>
      </c>
      <c r="BG117">
        <f t="shared" ca="1" si="14"/>
        <v>182</v>
      </c>
      <c r="BH117">
        <f t="shared" ca="1" si="7"/>
        <v>181</v>
      </c>
      <c r="BI117">
        <f t="shared" ca="1" si="7"/>
        <v>180</v>
      </c>
    </row>
    <row r="118" spans="1:61" x14ac:dyDescent="0.25">
      <c r="A118" s="20">
        <v>53</v>
      </c>
      <c r="B118">
        <f t="shared" ca="1" si="13"/>
        <v>9999</v>
      </c>
      <c r="C118">
        <f t="shared" ca="1" si="13"/>
        <v>9999</v>
      </c>
      <c r="D118">
        <f t="shared" ca="1" si="13"/>
        <v>9999</v>
      </c>
      <c r="E118">
        <f t="shared" ca="1" si="13"/>
        <v>9999</v>
      </c>
      <c r="F118">
        <f t="shared" ca="1" si="13"/>
        <v>9999</v>
      </c>
      <c r="G118">
        <f t="shared" ca="1" si="13"/>
        <v>9999</v>
      </c>
      <c r="H118">
        <f t="shared" ca="1" si="13"/>
        <v>9999</v>
      </c>
      <c r="I118">
        <f t="shared" ca="1" si="13"/>
        <v>9999</v>
      </c>
      <c r="J118">
        <f t="shared" ca="1" si="13"/>
        <v>9999</v>
      </c>
      <c r="K118">
        <f t="shared" ca="1" si="13"/>
        <v>9999</v>
      </c>
      <c r="L118">
        <f t="shared" ca="1" si="13"/>
        <v>9999</v>
      </c>
      <c r="M118">
        <f t="shared" ca="1" si="13"/>
        <v>9999</v>
      </c>
      <c r="N118">
        <f t="shared" ca="1" si="13"/>
        <v>9999</v>
      </c>
      <c r="O118">
        <f t="shared" ca="1" si="13"/>
        <v>9999</v>
      </c>
      <c r="P118">
        <f t="shared" ca="1" si="13"/>
        <v>9999</v>
      </c>
      <c r="Q118">
        <f t="shared" ref="Q118:AF125" ca="1" si="16">OFFSET($B$2,60-Q$65,60-$A118)</f>
        <v>9999</v>
      </c>
      <c r="R118">
        <f t="shared" ca="1" si="16"/>
        <v>9999</v>
      </c>
      <c r="S118">
        <f t="shared" ca="1" si="16"/>
        <v>9999</v>
      </c>
      <c r="T118">
        <f t="shared" ca="1" si="16"/>
        <v>9999</v>
      </c>
      <c r="U118">
        <f t="shared" ca="1" si="16"/>
        <v>9999</v>
      </c>
      <c r="V118">
        <f t="shared" ca="1" si="16"/>
        <v>9999</v>
      </c>
      <c r="W118">
        <f t="shared" ca="1" si="16"/>
        <v>9999</v>
      </c>
      <c r="X118">
        <f t="shared" ca="1" si="16"/>
        <v>9999</v>
      </c>
      <c r="Y118">
        <f t="shared" ca="1" si="16"/>
        <v>-1</v>
      </c>
      <c r="Z118">
        <f t="shared" ca="1" si="16"/>
        <v>-1</v>
      </c>
      <c r="AA118">
        <f t="shared" ca="1" si="16"/>
        <v>-1</v>
      </c>
      <c r="AB118">
        <f t="shared" ca="1" si="16"/>
        <v>-1</v>
      </c>
      <c r="AC118">
        <f t="shared" ca="1" si="16"/>
        <v>-1</v>
      </c>
      <c r="AD118">
        <f t="shared" ca="1" si="16"/>
        <v>-1</v>
      </c>
      <c r="AE118">
        <f t="shared" ca="1" si="16"/>
        <v>-1</v>
      </c>
      <c r="AF118">
        <f t="shared" ca="1" si="16"/>
        <v>179</v>
      </c>
      <c r="AG118">
        <f t="shared" ca="1" si="15"/>
        <v>178</v>
      </c>
      <c r="AH118">
        <f t="shared" ca="1" si="15"/>
        <v>177</v>
      </c>
      <c r="AI118">
        <f t="shared" ca="1" si="15"/>
        <v>176</v>
      </c>
      <c r="AJ118">
        <f t="shared" ca="1" si="15"/>
        <v>175</v>
      </c>
      <c r="AK118">
        <f t="shared" ca="1" si="15"/>
        <v>174</v>
      </c>
      <c r="AL118">
        <f t="shared" ca="1" si="15"/>
        <v>173</v>
      </c>
      <c r="AM118">
        <f t="shared" ca="1" si="15"/>
        <v>172</v>
      </c>
      <c r="AN118">
        <f t="shared" ca="1" si="15"/>
        <v>171</v>
      </c>
      <c r="AO118">
        <f t="shared" ca="1" si="15"/>
        <v>170</v>
      </c>
      <c r="AP118">
        <f t="shared" ca="1" si="15"/>
        <v>169</v>
      </c>
      <c r="AQ118">
        <f t="shared" ca="1" si="15"/>
        <v>168</v>
      </c>
      <c r="AR118">
        <f t="shared" ca="1" si="15"/>
        <v>167</v>
      </c>
      <c r="AS118">
        <f t="shared" ca="1" si="15"/>
        <v>166</v>
      </c>
      <c r="AT118">
        <f t="shared" ca="1" si="15"/>
        <v>165</v>
      </c>
      <c r="AU118">
        <f t="shared" ca="1" si="15"/>
        <v>164</v>
      </c>
      <c r="AV118">
        <f t="shared" ca="1" si="15"/>
        <v>163</v>
      </c>
      <c r="AW118">
        <f t="shared" ca="1" si="14"/>
        <v>162</v>
      </c>
      <c r="AX118">
        <f t="shared" ca="1" si="14"/>
        <v>161</v>
      </c>
      <c r="AY118">
        <f t="shared" ca="1" si="14"/>
        <v>160</v>
      </c>
      <c r="AZ118">
        <f t="shared" ca="1" si="14"/>
        <v>159</v>
      </c>
      <c r="BA118">
        <f t="shared" ca="1" si="14"/>
        <v>158</v>
      </c>
      <c r="BB118">
        <f t="shared" ca="1" si="14"/>
        <v>157</v>
      </c>
      <c r="BC118">
        <f t="shared" ca="1" si="14"/>
        <v>156</v>
      </c>
      <c r="BD118">
        <f t="shared" ca="1" si="14"/>
        <v>155</v>
      </c>
      <c r="BE118">
        <f t="shared" ca="1" si="14"/>
        <v>154</v>
      </c>
      <c r="BF118">
        <f t="shared" ca="1" si="14"/>
        <v>153</v>
      </c>
      <c r="BG118">
        <f t="shared" ca="1" si="14"/>
        <v>152</v>
      </c>
      <c r="BH118">
        <f t="shared" ca="1" si="7"/>
        <v>151</v>
      </c>
      <c r="BI118">
        <f t="shared" ca="1" si="7"/>
        <v>150</v>
      </c>
    </row>
    <row r="119" spans="1:61" x14ac:dyDescent="0.25">
      <c r="A119" s="20">
        <v>54</v>
      </c>
      <c r="B119">
        <f t="shared" ref="B119:Q125" ca="1" si="17">OFFSET($B$2,60-B$65,60-$A119)</f>
        <v>9999</v>
      </c>
      <c r="C119">
        <f t="shared" ca="1" si="17"/>
        <v>9999</v>
      </c>
      <c r="D119">
        <f t="shared" ca="1" si="17"/>
        <v>9999</v>
      </c>
      <c r="E119">
        <f t="shared" ca="1" si="17"/>
        <v>9999</v>
      </c>
      <c r="F119">
        <f t="shared" ca="1" si="17"/>
        <v>9999</v>
      </c>
      <c r="G119">
        <f t="shared" ca="1" si="17"/>
        <v>9999</v>
      </c>
      <c r="H119">
        <f t="shared" ca="1" si="17"/>
        <v>9999</v>
      </c>
      <c r="I119">
        <f t="shared" ca="1" si="17"/>
        <v>9999</v>
      </c>
      <c r="J119">
        <f t="shared" ca="1" si="17"/>
        <v>9999</v>
      </c>
      <c r="K119">
        <f t="shared" ca="1" si="17"/>
        <v>9999</v>
      </c>
      <c r="L119">
        <f t="shared" ca="1" si="17"/>
        <v>9999</v>
      </c>
      <c r="M119">
        <f t="shared" ca="1" si="17"/>
        <v>9999</v>
      </c>
      <c r="N119">
        <f t="shared" ca="1" si="17"/>
        <v>9999</v>
      </c>
      <c r="O119">
        <f t="shared" ca="1" si="17"/>
        <v>9999</v>
      </c>
      <c r="P119">
        <f t="shared" ca="1" si="17"/>
        <v>9999</v>
      </c>
      <c r="Q119">
        <f t="shared" ca="1" si="17"/>
        <v>9999</v>
      </c>
      <c r="R119">
        <f t="shared" ca="1" si="16"/>
        <v>9999</v>
      </c>
      <c r="S119">
        <f t="shared" ca="1" si="16"/>
        <v>9999</v>
      </c>
      <c r="T119">
        <f t="shared" ca="1" si="16"/>
        <v>9999</v>
      </c>
      <c r="U119">
        <f t="shared" ca="1" si="16"/>
        <v>9999</v>
      </c>
      <c r="V119">
        <f t="shared" ca="1" si="16"/>
        <v>9999</v>
      </c>
      <c r="W119">
        <f t="shared" ca="1" si="16"/>
        <v>9999</v>
      </c>
      <c r="X119">
        <f t="shared" ca="1" si="16"/>
        <v>9999</v>
      </c>
      <c r="Y119">
        <f t="shared" ca="1" si="16"/>
        <v>-1</v>
      </c>
      <c r="Z119">
        <f t="shared" ca="1" si="16"/>
        <v>-1</v>
      </c>
      <c r="AA119">
        <f t="shared" ca="1" si="16"/>
        <v>-1</v>
      </c>
      <c r="AB119">
        <f t="shared" ca="1" si="16"/>
        <v>-1</v>
      </c>
      <c r="AC119">
        <f t="shared" ca="1" si="16"/>
        <v>-1</v>
      </c>
      <c r="AD119">
        <f t="shared" ca="1" si="16"/>
        <v>-1</v>
      </c>
      <c r="AE119">
        <f t="shared" ca="1" si="16"/>
        <v>-1</v>
      </c>
      <c r="AF119">
        <f t="shared" ca="1" si="16"/>
        <v>149</v>
      </c>
      <c r="AG119">
        <f t="shared" ca="1" si="15"/>
        <v>148</v>
      </c>
      <c r="AH119">
        <f t="shared" ca="1" si="15"/>
        <v>147</v>
      </c>
      <c r="AI119">
        <f t="shared" ca="1" si="15"/>
        <v>146</v>
      </c>
      <c r="AJ119">
        <f t="shared" ca="1" si="15"/>
        <v>145</v>
      </c>
      <c r="AK119">
        <f t="shared" ca="1" si="15"/>
        <v>144</v>
      </c>
      <c r="AL119">
        <f t="shared" ca="1" si="15"/>
        <v>143</v>
      </c>
      <c r="AM119">
        <f t="shared" ca="1" si="15"/>
        <v>142</v>
      </c>
      <c r="AN119">
        <f t="shared" ca="1" si="15"/>
        <v>141</v>
      </c>
      <c r="AO119">
        <f t="shared" ca="1" si="15"/>
        <v>140</v>
      </c>
      <c r="AP119">
        <f t="shared" ca="1" si="15"/>
        <v>139</v>
      </c>
      <c r="AQ119">
        <f t="shared" ca="1" si="15"/>
        <v>138</v>
      </c>
      <c r="AR119">
        <f t="shared" ca="1" si="15"/>
        <v>137</v>
      </c>
      <c r="AS119">
        <f t="shared" ca="1" si="15"/>
        <v>136</v>
      </c>
      <c r="AT119">
        <f t="shared" ca="1" si="15"/>
        <v>135</v>
      </c>
      <c r="AU119">
        <f t="shared" ca="1" si="15"/>
        <v>134</v>
      </c>
      <c r="AV119">
        <f t="shared" ca="1" si="15"/>
        <v>133</v>
      </c>
      <c r="AW119">
        <f t="shared" ca="1" si="14"/>
        <v>132</v>
      </c>
      <c r="AX119">
        <f t="shared" ca="1" si="14"/>
        <v>131</v>
      </c>
      <c r="AY119">
        <f t="shared" ca="1" si="14"/>
        <v>130</v>
      </c>
      <c r="AZ119">
        <f t="shared" ca="1" si="14"/>
        <v>129</v>
      </c>
      <c r="BA119">
        <f t="shared" ca="1" si="14"/>
        <v>128</v>
      </c>
      <c r="BB119">
        <f t="shared" ca="1" si="14"/>
        <v>127</v>
      </c>
      <c r="BC119">
        <f t="shared" ca="1" si="14"/>
        <v>126</v>
      </c>
      <c r="BD119">
        <f t="shared" ca="1" si="14"/>
        <v>125</v>
      </c>
      <c r="BE119">
        <f t="shared" ca="1" si="14"/>
        <v>124</v>
      </c>
      <c r="BF119">
        <f t="shared" ca="1" si="14"/>
        <v>123</v>
      </c>
      <c r="BG119">
        <f t="shared" ca="1" si="14"/>
        <v>122</v>
      </c>
      <c r="BH119">
        <f t="shared" ca="1" si="7"/>
        <v>121</v>
      </c>
      <c r="BI119">
        <f t="shared" ca="1" si="7"/>
        <v>120</v>
      </c>
    </row>
    <row r="120" spans="1:61" x14ac:dyDescent="0.25">
      <c r="A120" s="20">
        <v>55</v>
      </c>
      <c r="B120">
        <f t="shared" ca="1" si="17"/>
        <v>9999</v>
      </c>
      <c r="C120">
        <f t="shared" ca="1" si="17"/>
        <v>9999</v>
      </c>
      <c r="D120">
        <f t="shared" ca="1" si="17"/>
        <v>9999</v>
      </c>
      <c r="E120">
        <f t="shared" ca="1" si="17"/>
        <v>9999</v>
      </c>
      <c r="F120">
        <f t="shared" ca="1" si="17"/>
        <v>9999</v>
      </c>
      <c r="G120">
        <f t="shared" ca="1" si="17"/>
        <v>9999</v>
      </c>
      <c r="H120">
        <f t="shared" ca="1" si="17"/>
        <v>9999</v>
      </c>
      <c r="I120">
        <f t="shared" ca="1" si="17"/>
        <v>9999</v>
      </c>
      <c r="J120">
        <f t="shared" ca="1" si="17"/>
        <v>9999</v>
      </c>
      <c r="K120">
        <f t="shared" ca="1" si="17"/>
        <v>9999</v>
      </c>
      <c r="L120">
        <f t="shared" ca="1" si="17"/>
        <v>9999</v>
      </c>
      <c r="M120">
        <f t="shared" ca="1" si="17"/>
        <v>9999</v>
      </c>
      <c r="N120">
        <f t="shared" ca="1" si="17"/>
        <v>9999</v>
      </c>
      <c r="O120">
        <f t="shared" ca="1" si="17"/>
        <v>9999</v>
      </c>
      <c r="P120">
        <f t="shared" ca="1" si="17"/>
        <v>9999</v>
      </c>
      <c r="Q120">
        <f t="shared" ca="1" si="17"/>
        <v>9999</v>
      </c>
      <c r="R120">
        <f t="shared" ca="1" si="16"/>
        <v>9999</v>
      </c>
      <c r="S120">
        <f t="shared" ca="1" si="16"/>
        <v>9999</v>
      </c>
      <c r="T120">
        <f t="shared" ca="1" si="16"/>
        <v>9999</v>
      </c>
      <c r="U120">
        <f t="shared" ca="1" si="16"/>
        <v>9999</v>
      </c>
      <c r="V120">
        <f t="shared" ca="1" si="16"/>
        <v>9999</v>
      </c>
      <c r="W120">
        <f t="shared" ca="1" si="16"/>
        <v>9999</v>
      </c>
      <c r="X120">
        <f t="shared" ca="1" si="16"/>
        <v>9999</v>
      </c>
      <c r="Y120">
        <f t="shared" ca="1" si="16"/>
        <v>-1</v>
      </c>
      <c r="Z120">
        <f t="shared" ca="1" si="16"/>
        <v>-1</v>
      </c>
      <c r="AA120">
        <f t="shared" ca="1" si="16"/>
        <v>-1</v>
      </c>
      <c r="AB120">
        <f t="shared" ca="1" si="16"/>
        <v>-1</v>
      </c>
      <c r="AC120">
        <f t="shared" ca="1" si="16"/>
        <v>-1</v>
      </c>
      <c r="AD120">
        <f t="shared" ca="1" si="16"/>
        <v>-1</v>
      </c>
      <c r="AE120">
        <f t="shared" ca="1" si="16"/>
        <v>-1</v>
      </c>
      <c r="AF120">
        <f t="shared" ca="1" si="16"/>
        <v>209</v>
      </c>
      <c r="AG120">
        <f t="shared" ca="1" si="15"/>
        <v>208</v>
      </c>
      <c r="AH120">
        <f t="shared" ca="1" si="15"/>
        <v>207</v>
      </c>
      <c r="AI120">
        <f t="shared" ca="1" si="15"/>
        <v>206</v>
      </c>
      <c r="AJ120">
        <f t="shared" ca="1" si="15"/>
        <v>205</v>
      </c>
      <c r="AK120">
        <f t="shared" ca="1" si="15"/>
        <v>204</v>
      </c>
      <c r="AL120">
        <f t="shared" ca="1" si="15"/>
        <v>203</v>
      </c>
      <c r="AM120">
        <f t="shared" ca="1" si="15"/>
        <v>202</v>
      </c>
      <c r="AN120">
        <f t="shared" ca="1" si="15"/>
        <v>201</v>
      </c>
      <c r="AO120">
        <f t="shared" ca="1" si="15"/>
        <v>200</v>
      </c>
      <c r="AP120">
        <f t="shared" ca="1" si="15"/>
        <v>199</v>
      </c>
      <c r="AQ120">
        <f t="shared" ca="1" si="15"/>
        <v>198</v>
      </c>
      <c r="AR120">
        <f t="shared" ca="1" si="15"/>
        <v>197</v>
      </c>
      <c r="AS120">
        <f t="shared" ca="1" si="15"/>
        <v>196</v>
      </c>
      <c r="AT120">
        <f t="shared" ca="1" si="15"/>
        <v>195</v>
      </c>
      <c r="AU120">
        <f t="shared" ca="1" si="15"/>
        <v>194</v>
      </c>
      <c r="AV120">
        <f t="shared" ca="1" si="15"/>
        <v>193</v>
      </c>
      <c r="AW120">
        <f t="shared" ca="1" si="14"/>
        <v>192</v>
      </c>
      <c r="AX120">
        <f t="shared" ca="1" si="14"/>
        <v>191</v>
      </c>
      <c r="AY120">
        <f t="shared" ca="1" si="14"/>
        <v>190</v>
      </c>
      <c r="AZ120">
        <f t="shared" ca="1" si="14"/>
        <v>189</v>
      </c>
      <c r="BA120">
        <f t="shared" ca="1" si="14"/>
        <v>188</v>
      </c>
      <c r="BB120">
        <f t="shared" ca="1" si="14"/>
        <v>187</v>
      </c>
      <c r="BC120">
        <f t="shared" ca="1" si="14"/>
        <v>186</v>
      </c>
      <c r="BD120">
        <f t="shared" ca="1" si="14"/>
        <v>185</v>
      </c>
      <c r="BE120">
        <f t="shared" ca="1" si="14"/>
        <v>184</v>
      </c>
      <c r="BF120">
        <f t="shared" ca="1" si="14"/>
        <v>183</v>
      </c>
      <c r="BG120">
        <f t="shared" ca="1" si="14"/>
        <v>182</v>
      </c>
      <c r="BH120">
        <f t="shared" ca="1" si="7"/>
        <v>181</v>
      </c>
      <c r="BI120">
        <f t="shared" ca="1" si="7"/>
        <v>180</v>
      </c>
    </row>
    <row r="121" spans="1:61" x14ac:dyDescent="0.25">
      <c r="A121" s="20">
        <v>56</v>
      </c>
      <c r="B121">
        <f t="shared" ca="1" si="17"/>
        <v>9999</v>
      </c>
      <c r="C121">
        <f t="shared" ca="1" si="17"/>
        <v>9999</v>
      </c>
      <c r="D121">
        <f t="shared" ca="1" si="17"/>
        <v>9999</v>
      </c>
      <c r="E121">
        <f t="shared" ca="1" si="17"/>
        <v>9999</v>
      </c>
      <c r="F121">
        <f t="shared" ca="1" si="17"/>
        <v>9999</v>
      </c>
      <c r="G121">
        <f t="shared" ca="1" si="17"/>
        <v>9999</v>
      </c>
      <c r="H121">
        <f t="shared" ca="1" si="17"/>
        <v>9999</v>
      </c>
      <c r="I121">
        <f t="shared" ca="1" si="17"/>
        <v>9999</v>
      </c>
      <c r="J121">
        <f t="shared" ca="1" si="17"/>
        <v>9999</v>
      </c>
      <c r="K121">
        <f t="shared" ca="1" si="17"/>
        <v>9999</v>
      </c>
      <c r="L121">
        <f t="shared" ca="1" si="17"/>
        <v>9999</v>
      </c>
      <c r="M121">
        <f t="shared" ca="1" si="17"/>
        <v>9999</v>
      </c>
      <c r="N121">
        <f t="shared" ca="1" si="17"/>
        <v>9999</v>
      </c>
      <c r="O121">
        <f t="shared" ca="1" si="17"/>
        <v>9999</v>
      </c>
      <c r="P121">
        <f t="shared" ca="1" si="17"/>
        <v>9999</v>
      </c>
      <c r="Q121">
        <f t="shared" ca="1" si="17"/>
        <v>9999</v>
      </c>
      <c r="R121">
        <f t="shared" ca="1" si="16"/>
        <v>9999</v>
      </c>
      <c r="S121">
        <f t="shared" ca="1" si="16"/>
        <v>9999</v>
      </c>
      <c r="T121">
        <f t="shared" ca="1" si="16"/>
        <v>9999</v>
      </c>
      <c r="U121">
        <f t="shared" ca="1" si="16"/>
        <v>9999</v>
      </c>
      <c r="V121">
        <f t="shared" ca="1" si="16"/>
        <v>9999</v>
      </c>
      <c r="W121">
        <f t="shared" ca="1" si="16"/>
        <v>9999</v>
      </c>
      <c r="X121">
        <f t="shared" ca="1" si="16"/>
        <v>9999</v>
      </c>
      <c r="Y121">
        <f t="shared" ca="1" si="16"/>
        <v>-1</v>
      </c>
      <c r="Z121">
        <f t="shared" ca="1" si="16"/>
        <v>-1</v>
      </c>
      <c r="AA121">
        <f t="shared" ca="1" si="16"/>
        <v>-1</v>
      </c>
      <c r="AB121">
        <f t="shared" ca="1" si="16"/>
        <v>-1</v>
      </c>
      <c r="AC121">
        <f t="shared" ca="1" si="16"/>
        <v>-1</v>
      </c>
      <c r="AD121">
        <f t="shared" ca="1" si="16"/>
        <v>-1</v>
      </c>
      <c r="AE121">
        <f t="shared" ca="1" si="16"/>
        <v>-1</v>
      </c>
      <c r="AF121">
        <f t="shared" ca="1" si="16"/>
        <v>179</v>
      </c>
      <c r="AG121">
        <f t="shared" ca="1" si="15"/>
        <v>178</v>
      </c>
      <c r="AH121">
        <f t="shared" ca="1" si="15"/>
        <v>177</v>
      </c>
      <c r="AI121">
        <f t="shared" ca="1" si="15"/>
        <v>176</v>
      </c>
      <c r="AJ121">
        <f t="shared" ca="1" si="15"/>
        <v>175</v>
      </c>
      <c r="AK121">
        <f t="shared" ca="1" si="15"/>
        <v>174</v>
      </c>
      <c r="AL121">
        <f t="shared" ca="1" si="15"/>
        <v>173</v>
      </c>
      <c r="AM121">
        <f t="shared" ca="1" si="15"/>
        <v>172</v>
      </c>
      <c r="AN121">
        <f t="shared" ca="1" si="15"/>
        <v>171</v>
      </c>
      <c r="AO121">
        <f t="shared" ca="1" si="15"/>
        <v>170</v>
      </c>
      <c r="AP121">
        <f t="shared" ca="1" si="15"/>
        <v>169</v>
      </c>
      <c r="AQ121">
        <f t="shared" ca="1" si="15"/>
        <v>168</v>
      </c>
      <c r="AR121">
        <f t="shared" ca="1" si="15"/>
        <v>167</v>
      </c>
      <c r="AS121">
        <f t="shared" ca="1" si="15"/>
        <v>166</v>
      </c>
      <c r="AT121">
        <f t="shared" ca="1" si="15"/>
        <v>165</v>
      </c>
      <c r="AU121">
        <f t="shared" ca="1" si="15"/>
        <v>164</v>
      </c>
      <c r="AV121">
        <f t="shared" ref="AV121:BI125" ca="1" si="18">OFFSET($B$2,60-AV$65,60-$A121)</f>
        <v>163</v>
      </c>
      <c r="AW121">
        <f t="shared" ca="1" si="18"/>
        <v>162</v>
      </c>
      <c r="AX121">
        <f t="shared" ca="1" si="18"/>
        <v>161</v>
      </c>
      <c r="AY121">
        <f t="shared" ca="1" si="18"/>
        <v>160</v>
      </c>
      <c r="AZ121">
        <f t="shared" ca="1" si="18"/>
        <v>159</v>
      </c>
      <c r="BA121">
        <f t="shared" ca="1" si="18"/>
        <v>158</v>
      </c>
      <c r="BB121">
        <f t="shared" ca="1" si="18"/>
        <v>157</v>
      </c>
      <c r="BC121">
        <f t="shared" ca="1" si="18"/>
        <v>156</v>
      </c>
      <c r="BD121">
        <f t="shared" ca="1" si="18"/>
        <v>155</v>
      </c>
      <c r="BE121">
        <f t="shared" ca="1" si="18"/>
        <v>154</v>
      </c>
      <c r="BF121">
        <f t="shared" ca="1" si="18"/>
        <v>153</v>
      </c>
      <c r="BG121">
        <f t="shared" ca="1" si="18"/>
        <v>152</v>
      </c>
      <c r="BH121">
        <f t="shared" ca="1" si="18"/>
        <v>151</v>
      </c>
      <c r="BI121">
        <f t="shared" ca="1" si="18"/>
        <v>150</v>
      </c>
    </row>
    <row r="122" spans="1:61" x14ac:dyDescent="0.25">
      <c r="A122" s="20">
        <v>57</v>
      </c>
      <c r="B122">
        <f t="shared" ca="1" si="17"/>
        <v>9999</v>
      </c>
      <c r="C122">
        <f t="shared" ca="1" si="17"/>
        <v>9999</v>
      </c>
      <c r="D122">
        <f t="shared" ca="1" si="17"/>
        <v>9999</v>
      </c>
      <c r="E122">
        <f t="shared" ca="1" si="17"/>
        <v>9999</v>
      </c>
      <c r="F122">
        <f t="shared" ca="1" si="17"/>
        <v>9999</v>
      </c>
      <c r="G122">
        <f t="shared" ca="1" si="17"/>
        <v>9999</v>
      </c>
      <c r="H122">
        <f t="shared" ca="1" si="17"/>
        <v>9999</v>
      </c>
      <c r="I122">
        <f t="shared" ca="1" si="17"/>
        <v>9999</v>
      </c>
      <c r="J122">
        <f t="shared" ca="1" si="17"/>
        <v>9999</v>
      </c>
      <c r="K122">
        <f t="shared" ca="1" si="17"/>
        <v>9999</v>
      </c>
      <c r="L122">
        <f t="shared" ca="1" si="17"/>
        <v>9999</v>
      </c>
      <c r="M122">
        <f t="shared" ca="1" si="17"/>
        <v>9999</v>
      </c>
      <c r="N122">
        <f t="shared" ca="1" si="17"/>
        <v>9999</v>
      </c>
      <c r="O122">
        <f t="shared" ca="1" si="17"/>
        <v>9999</v>
      </c>
      <c r="P122">
        <f t="shared" ca="1" si="17"/>
        <v>9999</v>
      </c>
      <c r="Q122">
        <f t="shared" ca="1" si="17"/>
        <v>9999</v>
      </c>
      <c r="R122">
        <f t="shared" ca="1" si="16"/>
        <v>9999</v>
      </c>
      <c r="S122">
        <f t="shared" ca="1" si="16"/>
        <v>9999</v>
      </c>
      <c r="T122">
        <f t="shared" ca="1" si="16"/>
        <v>9999</v>
      </c>
      <c r="U122">
        <f t="shared" ca="1" si="16"/>
        <v>9999</v>
      </c>
      <c r="V122">
        <f t="shared" ca="1" si="16"/>
        <v>9999</v>
      </c>
      <c r="W122">
        <f t="shared" ca="1" si="16"/>
        <v>9999</v>
      </c>
      <c r="X122">
        <f t="shared" ca="1" si="16"/>
        <v>9999</v>
      </c>
      <c r="Y122">
        <f t="shared" ca="1" si="16"/>
        <v>-1</v>
      </c>
      <c r="Z122">
        <f t="shared" ca="1" si="16"/>
        <v>-1</v>
      </c>
      <c r="AA122">
        <f t="shared" ca="1" si="16"/>
        <v>-1</v>
      </c>
      <c r="AB122">
        <f t="shared" ca="1" si="16"/>
        <v>-1</v>
      </c>
      <c r="AC122">
        <f t="shared" ca="1" si="16"/>
        <v>-1</v>
      </c>
      <c r="AD122">
        <f t="shared" ca="1" si="16"/>
        <v>-1</v>
      </c>
      <c r="AE122">
        <f t="shared" ca="1" si="16"/>
        <v>-1</v>
      </c>
      <c r="AF122">
        <f t="shared" ca="1" si="16"/>
        <v>149</v>
      </c>
      <c r="AG122">
        <f t="shared" ref="AG122:AV125" ca="1" si="19">OFFSET($B$2,60-AG$65,60-$A122)</f>
        <v>148</v>
      </c>
      <c r="AH122">
        <f t="shared" ca="1" si="19"/>
        <v>147</v>
      </c>
      <c r="AI122">
        <f t="shared" ca="1" si="19"/>
        <v>146</v>
      </c>
      <c r="AJ122">
        <f t="shared" ca="1" si="19"/>
        <v>145</v>
      </c>
      <c r="AK122">
        <f t="shared" ca="1" si="19"/>
        <v>144</v>
      </c>
      <c r="AL122">
        <f t="shared" ca="1" si="19"/>
        <v>143</v>
      </c>
      <c r="AM122">
        <f t="shared" ca="1" si="19"/>
        <v>142</v>
      </c>
      <c r="AN122">
        <f t="shared" ca="1" si="19"/>
        <v>141</v>
      </c>
      <c r="AO122">
        <f t="shared" ca="1" si="19"/>
        <v>140</v>
      </c>
      <c r="AP122">
        <f t="shared" ca="1" si="19"/>
        <v>139</v>
      </c>
      <c r="AQ122">
        <f t="shared" ca="1" si="19"/>
        <v>138</v>
      </c>
      <c r="AR122">
        <f t="shared" ca="1" si="19"/>
        <v>137</v>
      </c>
      <c r="AS122">
        <f t="shared" ca="1" si="19"/>
        <v>136</v>
      </c>
      <c r="AT122">
        <f t="shared" ca="1" si="19"/>
        <v>135</v>
      </c>
      <c r="AU122">
        <f t="shared" ca="1" si="19"/>
        <v>134</v>
      </c>
      <c r="AV122">
        <f t="shared" ca="1" si="19"/>
        <v>133</v>
      </c>
      <c r="AW122">
        <f t="shared" ca="1" si="18"/>
        <v>132</v>
      </c>
      <c r="AX122">
        <f t="shared" ca="1" si="18"/>
        <v>131</v>
      </c>
      <c r="AY122">
        <f t="shared" ca="1" si="18"/>
        <v>130</v>
      </c>
      <c r="AZ122">
        <f t="shared" ca="1" si="18"/>
        <v>129</v>
      </c>
      <c r="BA122">
        <f t="shared" ca="1" si="18"/>
        <v>128</v>
      </c>
      <c r="BB122">
        <f t="shared" ca="1" si="18"/>
        <v>127</v>
      </c>
      <c r="BC122">
        <f t="shared" ca="1" si="18"/>
        <v>126</v>
      </c>
      <c r="BD122">
        <f t="shared" ca="1" si="18"/>
        <v>125</v>
      </c>
      <c r="BE122">
        <f t="shared" ca="1" si="18"/>
        <v>124</v>
      </c>
      <c r="BF122">
        <f t="shared" ca="1" si="18"/>
        <v>123</v>
      </c>
      <c r="BG122">
        <f t="shared" ca="1" si="18"/>
        <v>122</v>
      </c>
      <c r="BH122">
        <f t="shared" ca="1" si="18"/>
        <v>121</v>
      </c>
      <c r="BI122">
        <f t="shared" ca="1" si="18"/>
        <v>120</v>
      </c>
    </row>
    <row r="123" spans="1:61" x14ac:dyDescent="0.25">
      <c r="A123" s="20">
        <v>58</v>
      </c>
      <c r="B123">
        <f t="shared" ca="1" si="17"/>
        <v>9999</v>
      </c>
      <c r="C123">
        <f t="shared" ca="1" si="17"/>
        <v>9999</v>
      </c>
      <c r="D123">
        <f t="shared" ca="1" si="17"/>
        <v>9999</v>
      </c>
      <c r="E123">
        <f t="shared" ca="1" si="17"/>
        <v>9999</v>
      </c>
      <c r="F123">
        <f t="shared" ca="1" si="17"/>
        <v>9999</v>
      </c>
      <c r="G123">
        <f t="shared" ca="1" si="17"/>
        <v>9999</v>
      </c>
      <c r="H123">
        <f t="shared" ca="1" si="17"/>
        <v>9999</v>
      </c>
      <c r="I123">
        <f t="shared" ca="1" si="17"/>
        <v>9999</v>
      </c>
      <c r="J123">
        <f t="shared" ca="1" si="17"/>
        <v>9999</v>
      </c>
      <c r="K123">
        <f t="shared" ca="1" si="17"/>
        <v>9999</v>
      </c>
      <c r="L123">
        <f t="shared" ca="1" si="17"/>
        <v>9999</v>
      </c>
      <c r="M123">
        <f t="shared" ca="1" si="17"/>
        <v>9999</v>
      </c>
      <c r="N123">
        <f t="shared" ca="1" si="17"/>
        <v>9999</v>
      </c>
      <c r="O123">
        <f t="shared" ca="1" si="17"/>
        <v>9999</v>
      </c>
      <c r="P123">
        <f t="shared" ca="1" si="17"/>
        <v>9999</v>
      </c>
      <c r="Q123">
        <f t="shared" ca="1" si="17"/>
        <v>9999</v>
      </c>
      <c r="R123">
        <f t="shared" ca="1" si="16"/>
        <v>9999</v>
      </c>
      <c r="S123">
        <f t="shared" ca="1" si="16"/>
        <v>9999</v>
      </c>
      <c r="T123">
        <f t="shared" ca="1" si="16"/>
        <v>9999</v>
      </c>
      <c r="U123">
        <f t="shared" ca="1" si="16"/>
        <v>9999</v>
      </c>
      <c r="V123">
        <f t="shared" ca="1" si="16"/>
        <v>9999</v>
      </c>
      <c r="W123">
        <f t="shared" ca="1" si="16"/>
        <v>9999</v>
      </c>
      <c r="X123">
        <f t="shared" ca="1" si="16"/>
        <v>9999</v>
      </c>
      <c r="Y123">
        <f t="shared" ca="1" si="16"/>
        <v>-1</v>
      </c>
      <c r="Z123">
        <f t="shared" ca="1" si="16"/>
        <v>-1</v>
      </c>
      <c r="AA123">
        <f t="shared" ca="1" si="16"/>
        <v>-1</v>
      </c>
      <c r="AB123">
        <f t="shared" ca="1" si="16"/>
        <v>-1</v>
      </c>
      <c r="AC123">
        <f t="shared" ca="1" si="16"/>
        <v>-1</v>
      </c>
      <c r="AD123">
        <f t="shared" ca="1" si="16"/>
        <v>-1</v>
      </c>
      <c r="AE123">
        <f t="shared" ca="1" si="16"/>
        <v>-1</v>
      </c>
      <c r="AF123">
        <f t="shared" ca="1" si="16"/>
        <v>209</v>
      </c>
      <c r="AG123">
        <f t="shared" ca="1" si="19"/>
        <v>208</v>
      </c>
      <c r="AH123">
        <f t="shared" ca="1" si="19"/>
        <v>207</v>
      </c>
      <c r="AI123">
        <f t="shared" ca="1" si="19"/>
        <v>206</v>
      </c>
      <c r="AJ123">
        <f t="shared" ca="1" si="19"/>
        <v>205</v>
      </c>
      <c r="AK123">
        <f t="shared" ca="1" si="19"/>
        <v>204</v>
      </c>
      <c r="AL123">
        <f t="shared" ca="1" si="19"/>
        <v>203</v>
      </c>
      <c r="AM123">
        <f t="shared" ca="1" si="19"/>
        <v>202</v>
      </c>
      <c r="AN123">
        <f t="shared" ca="1" si="19"/>
        <v>201</v>
      </c>
      <c r="AO123">
        <f t="shared" ca="1" si="19"/>
        <v>200</v>
      </c>
      <c r="AP123">
        <f t="shared" ca="1" si="19"/>
        <v>199</v>
      </c>
      <c r="AQ123">
        <f t="shared" ca="1" si="19"/>
        <v>198</v>
      </c>
      <c r="AR123">
        <f t="shared" ca="1" si="19"/>
        <v>197</v>
      </c>
      <c r="AS123">
        <f t="shared" ca="1" si="19"/>
        <v>196</v>
      </c>
      <c r="AT123">
        <f t="shared" ca="1" si="19"/>
        <v>195</v>
      </c>
      <c r="AU123">
        <f t="shared" ca="1" si="19"/>
        <v>194</v>
      </c>
      <c r="AV123">
        <f t="shared" ca="1" si="19"/>
        <v>193</v>
      </c>
      <c r="AW123">
        <f t="shared" ca="1" si="18"/>
        <v>192</v>
      </c>
      <c r="AX123">
        <f t="shared" ca="1" si="18"/>
        <v>191</v>
      </c>
      <c r="AY123">
        <f t="shared" ca="1" si="18"/>
        <v>190</v>
      </c>
      <c r="AZ123">
        <f t="shared" ca="1" si="18"/>
        <v>189</v>
      </c>
      <c r="BA123">
        <f t="shared" ca="1" si="18"/>
        <v>188</v>
      </c>
      <c r="BB123">
        <f t="shared" ca="1" si="18"/>
        <v>187</v>
      </c>
      <c r="BC123">
        <f t="shared" ca="1" si="18"/>
        <v>186</v>
      </c>
      <c r="BD123">
        <f t="shared" ca="1" si="18"/>
        <v>185</v>
      </c>
      <c r="BE123">
        <f t="shared" ca="1" si="18"/>
        <v>184</v>
      </c>
      <c r="BF123">
        <f t="shared" ca="1" si="18"/>
        <v>183</v>
      </c>
      <c r="BG123">
        <f t="shared" ca="1" si="18"/>
        <v>182</v>
      </c>
      <c r="BH123">
        <f t="shared" ca="1" si="18"/>
        <v>181</v>
      </c>
      <c r="BI123">
        <f t="shared" ca="1" si="18"/>
        <v>180</v>
      </c>
    </row>
    <row r="124" spans="1:61" x14ac:dyDescent="0.25">
      <c r="A124" s="20">
        <v>59</v>
      </c>
      <c r="B124">
        <f t="shared" ca="1" si="17"/>
        <v>9999</v>
      </c>
      <c r="C124">
        <f t="shared" ca="1" si="17"/>
        <v>9999</v>
      </c>
      <c r="D124">
        <f t="shared" ca="1" si="17"/>
        <v>9999</v>
      </c>
      <c r="E124">
        <f t="shared" ca="1" si="17"/>
        <v>9999</v>
      </c>
      <c r="F124">
        <f t="shared" ca="1" si="17"/>
        <v>9999</v>
      </c>
      <c r="G124">
        <f t="shared" ca="1" si="17"/>
        <v>9999</v>
      </c>
      <c r="H124">
        <f t="shared" ca="1" si="17"/>
        <v>9999</v>
      </c>
      <c r="I124">
        <f t="shared" ca="1" si="17"/>
        <v>9999</v>
      </c>
      <c r="J124">
        <f t="shared" ca="1" si="17"/>
        <v>9999</v>
      </c>
      <c r="K124">
        <f t="shared" ca="1" si="17"/>
        <v>9999</v>
      </c>
      <c r="L124">
        <f t="shared" ca="1" si="17"/>
        <v>9999</v>
      </c>
      <c r="M124">
        <f t="shared" ca="1" si="17"/>
        <v>9999</v>
      </c>
      <c r="N124">
        <f t="shared" ca="1" si="17"/>
        <v>9999</v>
      </c>
      <c r="O124">
        <f t="shared" ca="1" si="17"/>
        <v>9999</v>
      </c>
      <c r="P124">
        <f t="shared" ca="1" si="17"/>
        <v>9999</v>
      </c>
      <c r="Q124">
        <f t="shared" ca="1" si="17"/>
        <v>9999</v>
      </c>
      <c r="R124">
        <f t="shared" ca="1" si="16"/>
        <v>9999</v>
      </c>
      <c r="S124">
        <f t="shared" ca="1" si="16"/>
        <v>9999</v>
      </c>
      <c r="T124">
        <f t="shared" ca="1" si="16"/>
        <v>9999</v>
      </c>
      <c r="U124">
        <f t="shared" ca="1" si="16"/>
        <v>9999</v>
      </c>
      <c r="V124">
        <f t="shared" ca="1" si="16"/>
        <v>9999</v>
      </c>
      <c r="W124">
        <f t="shared" ca="1" si="16"/>
        <v>9999</v>
      </c>
      <c r="X124">
        <f t="shared" ca="1" si="16"/>
        <v>9999</v>
      </c>
      <c r="Y124">
        <f t="shared" ca="1" si="16"/>
        <v>-1</v>
      </c>
      <c r="Z124">
        <f t="shared" ca="1" si="16"/>
        <v>-1</v>
      </c>
      <c r="AA124">
        <f t="shared" ca="1" si="16"/>
        <v>-1</v>
      </c>
      <c r="AB124">
        <f t="shared" ca="1" si="16"/>
        <v>-1</v>
      </c>
      <c r="AC124">
        <f t="shared" ca="1" si="16"/>
        <v>-1</v>
      </c>
      <c r="AD124">
        <f t="shared" ca="1" si="16"/>
        <v>-1</v>
      </c>
      <c r="AE124">
        <f t="shared" ca="1" si="16"/>
        <v>-1</v>
      </c>
      <c r="AF124">
        <f t="shared" ca="1" si="16"/>
        <v>179</v>
      </c>
      <c r="AG124">
        <f t="shared" ca="1" si="19"/>
        <v>178</v>
      </c>
      <c r="AH124">
        <f t="shared" ca="1" si="19"/>
        <v>177</v>
      </c>
      <c r="AI124">
        <f t="shared" ca="1" si="19"/>
        <v>176</v>
      </c>
      <c r="AJ124">
        <f t="shared" ca="1" si="19"/>
        <v>175</v>
      </c>
      <c r="AK124">
        <f t="shared" ca="1" si="19"/>
        <v>174</v>
      </c>
      <c r="AL124">
        <f t="shared" ca="1" si="19"/>
        <v>173</v>
      </c>
      <c r="AM124">
        <f t="shared" ca="1" si="19"/>
        <v>172</v>
      </c>
      <c r="AN124">
        <f t="shared" ca="1" si="19"/>
        <v>171</v>
      </c>
      <c r="AO124">
        <f t="shared" ca="1" si="19"/>
        <v>170</v>
      </c>
      <c r="AP124">
        <f t="shared" ca="1" si="19"/>
        <v>169</v>
      </c>
      <c r="AQ124">
        <f t="shared" ca="1" si="19"/>
        <v>168</v>
      </c>
      <c r="AR124">
        <f t="shared" ca="1" si="19"/>
        <v>167</v>
      </c>
      <c r="AS124">
        <f t="shared" ca="1" si="19"/>
        <v>166</v>
      </c>
      <c r="AT124">
        <f t="shared" ca="1" si="19"/>
        <v>165</v>
      </c>
      <c r="AU124">
        <f t="shared" ca="1" si="19"/>
        <v>164</v>
      </c>
      <c r="AV124">
        <f t="shared" ca="1" si="19"/>
        <v>163</v>
      </c>
      <c r="AW124">
        <f t="shared" ca="1" si="18"/>
        <v>162</v>
      </c>
      <c r="AX124">
        <f t="shared" ca="1" si="18"/>
        <v>161</v>
      </c>
      <c r="AY124">
        <f t="shared" ca="1" si="18"/>
        <v>160</v>
      </c>
      <c r="AZ124">
        <f t="shared" ca="1" si="18"/>
        <v>159</v>
      </c>
      <c r="BA124">
        <f t="shared" ca="1" si="18"/>
        <v>158</v>
      </c>
      <c r="BB124">
        <f t="shared" ca="1" si="18"/>
        <v>157</v>
      </c>
      <c r="BC124">
        <f t="shared" ca="1" si="18"/>
        <v>156</v>
      </c>
      <c r="BD124">
        <f t="shared" ca="1" si="18"/>
        <v>155</v>
      </c>
      <c r="BE124">
        <f t="shared" ca="1" si="18"/>
        <v>154</v>
      </c>
      <c r="BF124">
        <f t="shared" ca="1" si="18"/>
        <v>153</v>
      </c>
      <c r="BG124">
        <f t="shared" ca="1" si="18"/>
        <v>152</v>
      </c>
      <c r="BH124">
        <f t="shared" ca="1" si="18"/>
        <v>151</v>
      </c>
      <c r="BI124">
        <f t="shared" ca="1" si="18"/>
        <v>150</v>
      </c>
    </row>
    <row r="125" spans="1:61" x14ac:dyDescent="0.25">
      <c r="A125" s="20">
        <v>60</v>
      </c>
      <c r="B125">
        <f t="shared" ca="1" si="17"/>
        <v>9999</v>
      </c>
      <c r="C125">
        <f t="shared" ca="1" si="17"/>
        <v>9999</v>
      </c>
      <c r="D125">
        <f t="shared" ca="1" si="17"/>
        <v>9999</v>
      </c>
      <c r="E125">
        <f t="shared" ca="1" si="17"/>
        <v>9999</v>
      </c>
      <c r="F125">
        <f t="shared" ca="1" si="17"/>
        <v>9999</v>
      </c>
      <c r="G125">
        <f t="shared" ca="1" si="17"/>
        <v>9999</v>
      </c>
      <c r="H125">
        <f t="shared" ca="1" si="17"/>
        <v>9999</v>
      </c>
      <c r="I125">
        <f t="shared" ca="1" si="17"/>
        <v>9999</v>
      </c>
      <c r="J125">
        <f t="shared" ca="1" si="17"/>
        <v>9999</v>
      </c>
      <c r="K125">
        <f t="shared" ca="1" si="17"/>
        <v>9999</v>
      </c>
      <c r="L125">
        <f t="shared" ca="1" si="17"/>
        <v>9999</v>
      </c>
      <c r="M125">
        <f t="shared" ca="1" si="17"/>
        <v>9999</v>
      </c>
      <c r="N125">
        <f t="shared" ca="1" si="17"/>
        <v>9999</v>
      </c>
      <c r="O125">
        <f t="shared" ca="1" si="17"/>
        <v>9999</v>
      </c>
      <c r="P125">
        <f t="shared" ca="1" si="17"/>
        <v>9999</v>
      </c>
      <c r="Q125">
        <f t="shared" ca="1" si="17"/>
        <v>9999</v>
      </c>
      <c r="R125">
        <f t="shared" ca="1" si="16"/>
        <v>9999</v>
      </c>
      <c r="S125">
        <f t="shared" ca="1" si="16"/>
        <v>9999</v>
      </c>
      <c r="T125">
        <f t="shared" ca="1" si="16"/>
        <v>9999</v>
      </c>
      <c r="U125">
        <f t="shared" ca="1" si="16"/>
        <v>9999</v>
      </c>
      <c r="V125">
        <f t="shared" ca="1" si="16"/>
        <v>9999</v>
      </c>
      <c r="W125">
        <f t="shared" ca="1" si="16"/>
        <v>9999</v>
      </c>
      <c r="X125">
        <f t="shared" ca="1" si="16"/>
        <v>9999</v>
      </c>
      <c r="Y125">
        <f t="shared" ca="1" si="16"/>
        <v>-1</v>
      </c>
      <c r="Z125">
        <f t="shared" ca="1" si="16"/>
        <v>-1</v>
      </c>
      <c r="AA125">
        <f t="shared" ca="1" si="16"/>
        <v>-1</v>
      </c>
      <c r="AB125">
        <f t="shared" ca="1" si="16"/>
        <v>-1</v>
      </c>
      <c r="AC125">
        <f t="shared" ca="1" si="16"/>
        <v>-1</v>
      </c>
      <c r="AD125">
        <f t="shared" ca="1" si="16"/>
        <v>-1</v>
      </c>
      <c r="AE125">
        <f t="shared" ca="1" si="16"/>
        <v>-1</v>
      </c>
      <c r="AF125">
        <f t="shared" ca="1" si="16"/>
        <v>149</v>
      </c>
      <c r="AG125">
        <f t="shared" ca="1" si="19"/>
        <v>148</v>
      </c>
      <c r="AH125">
        <f t="shared" ca="1" si="19"/>
        <v>147</v>
      </c>
      <c r="AI125">
        <f t="shared" ca="1" si="19"/>
        <v>146</v>
      </c>
      <c r="AJ125">
        <f t="shared" ca="1" si="19"/>
        <v>145</v>
      </c>
      <c r="AK125">
        <f t="shared" ca="1" si="19"/>
        <v>144</v>
      </c>
      <c r="AL125">
        <f t="shared" ca="1" si="19"/>
        <v>143</v>
      </c>
      <c r="AM125">
        <f t="shared" ca="1" si="19"/>
        <v>142</v>
      </c>
      <c r="AN125">
        <f t="shared" ca="1" si="19"/>
        <v>141</v>
      </c>
      <c r="AO125">
        <f t="shared" ca="1" si="19"/>
        <v>140</v>
      </c>
      <c r="AP125">
        <f t="shared" ca="1" si="19"/>
        <v>139</v>
      </c>
      <c r="AQ125">
        <f t="shared" ca="1" si="19"/>
        <v>138</v>
      </c>
      <c r="AR125">
        <f t="shared" ca="1" si="19"/>
        <v>137</v>
      </c>
      <c r="AS125">
        <f t="shared" ca="1" si="19"/>
        <v>136</v>
      </c>
      <c r="AT125">
        <f t="shared" ca="1" si="19"/>
        <v>135</v>
      </c>
      <c r="AU125">
        <f t="shared" ca="1" si="19"/>
        <v>134</v>
      </c>
      <c r="AV125">
        <f t="shared" ca="1" si="19"/>
        <v>133</v>
      </c>
      <c r="AW125">
        <f t="shared" ca="1" si="18"/>
        <v>132</v>
      </c>
      <c r="AX125">
        <f t="shared" ca="1" si="18"/>
        <v>131</v>
      </c>
      <c r="AY125">
        <f t="shared" ca="1" si="18"/>
        <v>130</v>
      </c>
      <c r="AZ125">
        <f t="shared" ca="1" si="18"/>
        <v>129</v>
      </c>
      <c r="BA125">
        <f t="shared" ca="1" si="18"/>
        <v>128</v>
      </c>
      <c r="BB125">
        <f t="shared" ca="1" si="18"/>
        <v>127</v>
      </c>
      <c r="BC125">
        <f t="shared" ca="1" si="18"/>
        <v>126</v>
      </c>
      <c r="BD125">
        <f t="shared" ca="1" si="18"/>
        <v>125</v>
      </c>
      <c r="BE125">
        <f t="shared" ca="1" si="18"/>
        <v>124</v>
      </c>
      <c r="BF125">
        <f t="shared" ca="1" si="18"/>
        <v>123</v>
      </c>
      <c r="BG125">
        <f t="shared" ca="1" si="18"/>
        <v>122</v>
      </c>
      <c r="BH125">
        <f t="shared" ca="1" si="18"/>
        <v>121</v>
      </c>
      <c r="BI125">
        <f t="shared" ca="1" si="18"/>
        <v>120</v>
      </c>
    </row>
    <row r="169" spans="2:61" x14ac:dyDescent="0.25">
      <c r="B169">
        <f>IF(AND('(橫掃)RX Mapping'!B169&gt;=1,'(橫掃)RX Mapping'!B169&lt;=120), ('(橫掃)RX Mapping'!B169-1),0)</f>
        <v>0</v>
      </c>
      <c r="C169">
        <f>IF(AND('(橫掃)RX Mapping'!C169&gt;=1,'(橫掃)RX Mapping'!C169&lt;=120), ('(橫掃)RX Mapping'!C169-1),0)</f>
        <v>0</v>
      </c>
      <c r="D169">
        <f>IF(AND('(橫掃)RX Mapping'!D169&gt;=1,'(橫掃)RX Mapping'!D169&lt;=120), ('(橫掃)RX Mapping'!D169-1),0)</f>
        <v>0</v>
      </c>
      <c r="E169">
        <f>IF(AND('(橫掃)RX Mapping'!E169&gt;=1,'(橫掃)RX Mapping'!E169&lt;=120), ('(橫掃)RX Mapping'!E169-1),0)</f>
        <v>0</v>
      </c>
      <c r="F169">
        <f>IF(AND('(橫掃)RX Mapping'!F169&gt;=1,'(橫掃)RX Mapping'!F169&lt;=120), ('(橫掃)RX Mapping'!F169-1),0)</f>
        <v>0</v>
      </c>
      <c r="G169">
        <f>IF(AND('(橫掃)RX Mapping'!G169&gt;=1,'(橫掃)RX Mapping'!G169&lt;=120), ('(橫掃)RX Mapping'!G169-1),0)</f>
        <v>0</v>
      </c>
      <c r="H169">
        <f>IF(AND('(橫掃)RX Mapping'!H169&gt;=1,'(橫掃)RX Mapping'!H169&lt;=120), ('(橫掃)RX Mapping'!H169-1),0)</f>
        <v>0</v>
      </c>
      <c r="I169">
        <f>IF(AND('(橫掃)RX Mapping'!I169&gt;=1,'(橫掃)RX Mapping'!I169&lt;=120), ('(橫掃)RX Mapping'!I169-1),0)</f>
        <v>0</v>
      </c>
      <c r="J169">
        <f>IF(AND('(橫掃)RX Mapping'!J169&gt;=1,'(橫掃)RX Mapping'!J169&lt;=120), ('(橫掃)RX Mapping'!J169-1),0)</f>
        <v>0</v>
      </c>
      <c r="K169">
        <f>IF(AND('(橫掃)RX Mapping'!K169&gt;=1,'(橫掃)RX Mapping'!K169&lt;=120), ('(橫掃)RX Mapping'!K169-1),0)</f>
        <v>0</v>
      </c>
      <c r="L169">
        <f>IF(AND('(橫掃)RX Mapping'!L169&gt;=1,'(橫掃)RX Mapping'!L169&lt;=120), ('(橫掃)RX Mapping'!L169-1),0)</f>
        <v>0</v>
      </c>
      <c r="M169">
        <f>IF(AND('(橫掃)RX Mapping'!M169&gt;=1,'(橫掃)RX Mapping'!M169&lt;=120), ('(橫掃)RX Mapping'!M169-1),0)</f>
        <v>0</v>
      </c>
      <c r="N169">
        <f>IF(AND('(橫掃)RX Mapping'!N169&gt;=1,'(橫掃)RX Mapping'!N169&lt;=120), ('(橫掃)RX Mapping'!N169-1),0)</f>
        <v>0</v>
      </c>
      <c r="O169">
        <f>IF(AND('(橫掃)RX Mapping'!O169&gt;=1,'(橫掃)RX Mapping'!O169&lt;=120), ('(橫掃)RX Mapping'!O169-1),0)</f>
        <v>0</v>
      </c>
      <c r="P169">
        <f>IF(AND('(橫掃)RX Mapping'!P169&gt;=1,'(橫掃)RX Mapping'!P169&lt;=120), ('(橫掃)RX Mapping'!P169-1),0)</f>
        <v>0</v>
      </c>
      <c r="Q169">
        <f>IF(AND('(橫掃)RX Mapping'!Q169&gt;=1,'(橫掃)RX Mapping'!Q169&lt;=120), ('(橫掃)RX Mapping'!Q169-1),0)</f>
        <v>0</v>
      </c>
      <c r="R169">
        <f>IF(AND('(橫掃)RX Mapping'!R169&gt;=1,'(橫掃)RX Mapping'!R169&lt;=120), ('(橫掃)RX Mapping'!R169-1),0)</f>
        <v>0</v>
      </c>
      <c r="S169">
        <f>IF(AND('(橫掃)RX Mapping'!S169&gt;=1,'(橫掃)RX Mapping'!S169&lt;=120), ('(橫掃)RX Mapping'!S169-1),0)</f>
        <v>0</v>
      </c>
      <c r="T169">
        <f>IF(AND('(橫掃)RX Mapping'!T169&gt;=1,'(橫掃)RX Mapping'!T169&lt;=120), ('(橫掃)RX Mapping'!T169-1),0)</f>
        <v>0</v>
      </c>
      <c r="U169">
        <f>IF(AND('(橫掃)RX Mapping'!U169&gt;=1,'(橫掃)RX Mapping'!U169&lt;=120), ('(橫掃)RX Mapping'!U169-1),0)</f>
        <v>0</v>
      </c>
      <c r="V169">
        <f>IF(AND('(橫掃)RX Mapping'!V169&gt;=1,'(橫掃)RX Mapping'!V169&lt;=120), ('(橫掃)RX Mapping'!V169-1),0)</f>
        <v>0</v>
      </c>
      <c r="W169">
        <f>IF(AND('(橫掃)RX Mapping'!W169&gt;=1,'(橫掃)RX Mapping'!W169&lt;=120), ('(橫掃)RX Mapping'!W169-1),0)</f>
        <v>0</v>
      </c>
      <c r="X169">
        <f>IF(AND('(橫掃)RX Mapping'!X169&gt;=1,'(橫掃)RX Mapping'!X169&lt;=120), ('(橫掃)RX Mapping'!X169-1),0)</f>
        <v>0</v>
      </c>
      <c r="Y169">
        <f>IF(AND('(橫掃)RX Mapping'!Y169&gt;=1,'(橫掃)RX Mapping'!Y169&lt;=120), ('(橫掃)RX Mapping'!Y169-1),0)</f>
        <v>0</v>
      </c>
      <c r="Z169">
        <f>IF(AND('(橫掃)RX Mapping'!Z169&gt;=1,'(橫掃)RX Mapping'!Z169&lt;=120), ('(橫掃)RX Mapping'!Z169-1),0)</f>
        <v>0</v>
      </c>
      <c r="AA169">
        <f>IF(AND('(橫掃)RX Mapping'!AA169&gt;=1,'(橫掃)RX Mapping'!AA169&lt;=120), ('(橫掃)RX Mapping'!AA169-1),0)</f>
        <v>0</v>
      </c>
      <c r="AB169">
        <f>IF(AND('(橫掃)RX Mapping'!AB169&gt;=1,'(橫掃)RX Mapping'!AB169&lt;=120), ('(橫掃)RX Mapping'!AB169-1),0)</f>
        <v>0</v>
      </c>
      <c r="AC169">
        <f>IF(AND('(橫掃)RX Mapping'!AC169&gt;=1,'(橫掃)RX Mapping'!AC169&lt;=120), ('(橫掃)RX Mapping'!AC169-1),0)</f>
        <v>0</v>
      </c>
      <c r="AD169">
        <f>IF(AND('(橫掃)RX Mapping'!AD169&gt;=1,'(橫掃)RX Mapping'!AD169&lt;=120), ('(橫掃)RX Mapping'!AD169-1),0)</f>
        <v>0</v>
      </c>
      <c r="AE169">
        <f>IF(AND('(橫掃)RX Mapping'!AE169&gt;=1,'(橫掃)RX Mapping'!AE169&lt;=120), ('(橫掃)RX Mapping'!AE169-1),0)</f>
        <v>0</v>
      </c>
      <c r="AF169">
        <f>IF(AND('(橫掃)RX Mapping'!AF169&gt;=1,'(橫掃)RX Mapping'!AF169&lt;=120), ('(橫掃)RX Mapping'!AF169-1),0)</f>
        <v>0</v>
      </c>
      <c r="AG169">
        <f>IF(AND('(橫掃)RX Mapping'!AG169&gt;=1,'(橫掃)RX Mapping'!AG169&lt;=120), ('(橫掃)RX Mapping'!AG169-1),0)</f>
        <v>0</v>
      </c>
      <c r="AH169">
        <f>IF(AND('(橫掃)RX Mapping'!AH169&gt;=1,'(橫掃)RX Mapping'!AH169&lt;=120), ('(橫掃)RX Mapping'!AH169-1),0)</f>
        <v>0</v>
      </c>
      <c r="AI169">
        <f>IF(AND('(橫掃)RX Mapping'!AI169&gt;=1,'(橫掃)RX Mapping'!AI169&lt;=120), ('(橫掃)RX Mapping'!AI169-1),0)</f>
        <v>0</v>
      </c>
      <c r="AJ169">
        <f>IF(AND('(橫掃)RX Mapping'!AJ169&gt;=1,'(橫掃)RX Mapping'!AJ169&lt;=120), ('(橫掃)RX Mapping'!AJ169-1),0)</f>
        <v>0</v>
      </c>
      <c r="AK169">
        <f>IF(AND('(橫掃)RX Mapping'!AK169&gt;=1,'(橫掃)RX Mapping'!AK169&lt;=120), ('(橫掃)RX Mapping'!AK169-1),0)</f>
        <v>0</v>
      </c>
      <c r="AL169">
        <f>IF(AND('(橫掃)RX Mapping'!AL169&gt;=1,'(橫掃)RX Mapping'!AL169&lt;=120), ('(橫掃)RX Mapping'!AL169-1),0)</f>
        <v>0</v>
      </c>
      <c r="AM169">
        <f>IF(AND('(橫掃)RX Mapping'!AM169&gt;=1,'(橫掃)RX Mapping'!AM169&lt;=120), ('(橫掃)RX Mapping'!AM169-1),0)</f>
        <v>0</v>
      </c>
      <c r="AN169">
        <f>IF(AND('(橫掃)RX Mapping'!AN169&gt;=1,'(橫掃)RX Mapping'!AN169&lt;=120), ('(橫掃)RX Mapping'!AN169-1),0)</f>
        <v>0</v>
      </c>
      <c r="AO169">
        <f>IF(AND('(橫掃)RX Mapping'!AO169&gt;=1,'(橫掃)RX Mapping'!AO169&lt;=120), ('(橫掃)RX Mapping'!AO169-1),0)</f>
        <v>0</v>
      </c>
      <c r="AP169">
        <f>IF(AND('(橫掃)RX Mapping'!AP169&gt;=1,'(橫掃)RX Mapping'!AP169&lt;=120), ('(橫掃)RX Mapping'!AP169-1),0)</f>
        <v>0</v>
      </c>
      <c r="AQ169">
        <f>IF(AND('(橫掃)RX Mapping'!AQ169&gt;=1,'(橫掃)RX Mapping'!AQ169&lt;=120), ('(橫掃)RX Mapping'!AQ169-1),0)</f>
        <v>0</v>
      </c>
      <c r="AR169">
        <f>IF(AND('(橫掃)RX Mapping'!AR169&gt;=1,'(橫掃)RX Mapping'!AR169&lt;=120), ('(橫掃)RX Mapping'!AR169-1),0)</f>
        <v>0</v>
      </c>
      <c r="AS169">
        <f>IF(AND('(橫掃)RX Mapping'!AS169&gt;=1,'(橫掃)RX Mapping'!AS169&lt;=120), ('(橫掃)RX Mapping'!AS169-1),0)</f>
        <v>0</v>
      </c>
      <c r="AT169">
        <f>IF(AND('(橫掃)RX Mapping'!AT169&gt;=1,'(橫掃)RX Mapping'!AT169&lt;=120), ('(橫掃)RX Mapping'!AT169-1),0)</f>
        <v>0</v>
      </c>
      <c r="AU169">
        <f>IF(AND('(橫掃)RX Mapping'!AU169&gt;=1,'(橫掃)RX Mapping'!AU169&lt;=120), ('(橫掃)RX Mapping'!AU169-1),0)</f>
        <v>0</v>
      </c>
      <c r="AV169">
        <f>IF(AND('(橫掃)RX Mapping'!AV169&gt;=1,'(橫掃)RX Mapping'!AV169&lt;=120), ('(橫掃)RX Mapping'!AV169-1),0)</f>
        <v>0</v>
      </c>
      <c r="AW169">
        <f>IF(AND('(橫掃)RX Mapping'!AW169&gt;=1,'(橫掃)RX Mapping'!AW169&lt;=120), ('(橫掃)RX Mapping'!AW169-1),0)</f>
        <v>0</v>
      </c>
      <c r="AX169">
        <f>IF(AND('(橫掃)RX Mapping'!AX169&gt;=1,'(橫掃)RX Mapping'!AX169&lt;=120), ('(橫掃)RX Mapping'!AX169-1),0)</f>
        <v>0</v>
      </c>
      <c r="AY169">
        <f>IF(AND('(橫掃)RX Mapping'!AY169&gt;=1,'(橫掃)RX Mapping'!AY169&lt;=120), ('(橫掃)RX Mapping'!AY169-1),0)</f>
        <v>0</v>
      </c>
      <c r="AZ169">
        <f>IF(AND('(橫掃)RX Mapping'!AZ169&gt;=1,'(橫掃)RX Mapping'!AZ169&lt;=120), ('(橫掃)RX Mapping'!AZ169-1),0)</f>
        <v>0</v>
      </c>
      <c r="BA169">
        <f>IF(AND('(橫掃)RX Mapping'!BA169&gt;=1,'(橫掃)RX Mapping'!BA169&lt;=120), ('(橫掃)RX Mapping'!BA169-1),0)</f>
        <v>0</v>
      </c>
      <c r="BB169">
        <f>IF(AND('(橫掃)RX Mapping'!BB169&gt;=1,'(橫掃)RX Mapping'!BB169&lt;=120), ('(橫掃)RX Mapping'!BB169-1),0)</f>
        <v>0</v>
      </c>
      <c r="BC169">
        <f>IF(AND('(橫掃)RX Mapping'!BC169&gt;=1,'(橫掃)RX Mapping'!BC169&lt;=120), ('(橫掃)RX Mapping'!BC169-1),0)</f>
        <v>0</v>
      </c>
      <c r="BD169">
        <f>IF(AND('(橫掃)RX Mapping'!BD169&gt;=1,'(橫掃)RX Mapping'!BD169&lt;=120), ('(橫掃)RX Mapping'!BD169-1),0)</f>
        <v>0</v>
      </c>
      <c r="BE169">
        <f>IF(AND('(橫掃)RX Mapping'!BE169&gt;=1,'(橫掃)RX Mapping'!BE169&lt;=120), ('(橫掃)RX Mapping'!BE169-1),0)</f>
        <v>0</v>
      </c>
      <c r="BF169">
        <f>IF(AND('(橫掃)RX Mapping'!BF169&gt;=1,'(橫掃)RX Mapping'!BF169&lt;=120), ('(橫掃)RX Mapping'!BF169-1),0)</f>
        <v>0</v>
      </c>
      <c r="BG169">
        <f>IF(AND('(橫掃)RX Mapping'!BG169&gt;=1,'(橫掃)RX Mapping'!BG169&lt;=120), ('(橫掃)RX Mapping'!BG169-1),0)</f>
        <v>0</v>
      </c>
      <c r="BH169">
        <f>IF(AND('(橫掃)RX Mapping'!BH169&gt;=1,'(橫掃)RX Mapping'!BH169&lt;=120), ('(橫掃)RX Mapping'!BH169-1),0)</f>
        <v>0</v>
      </c>
      <c r="BI169">
        <f>IF(AND('(橫掃)RX Mapping'!BI169&gt;=1,'(橫掃)RX Mapping'!BI169&lt;=120), ('(橫掃)RX Mapping'!BI169-1),0)</f>
        <v>0</v>
      </c>
    </row>
  </sheetData>
  <phoneticPr fontId="2" type="noConversion"/>
  <conditionalFormatting sqref="B2:BI61">
    <cfRule type="colorScale" priority="2">
      <colorScale>
        <cfvo type="min"/>
        <cfvo type="percentile" val="50"/>
        <cfvo type="max"/>
        <color rgb="FF63BE7B"/>
        <color rgb="FFFFEB84"/>
        <color rgb="FFF8696B"/>
      </colorScale>
    </cfRule>
  </conditionalFormatting>
  <conditionalFormatting sqref="B66:BI125">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91AE7-E505-4FB3-972F-4A7AED597E2A}">
  <sheetPr>
    <tabColor theme="7"/>
  </sheetPr>
  <dimension ref="A1:BI61"/>
  <sheetViews>
    <sheetView topLeftCell="B26" zoomScale="70" zoomScaleNormal="70" workbookViewId="0">
      <selection activeCell="AF34" sqref="AF34"/>
    </sheetView>
  </sheetViews>
  <sheetFormatPr defaultRowHeight="15.75" x14ac:dyDescent="0.25"/>
  <cols>
    <col min="1" max="1" width="5.7109375" style="20" customWidth="1"/>
    <col min="2" max="61" width="5.7109375" customWidth="1"/>
  </cols>
  <sheetData>
    <row r="1" spans="1:61" x14ac:dyDescent="0.25">
      <c r="B1" s="20">
        <v>1</v>
      </c>
      <c r="C1" s="20">
        <v>2</v>
      </c>
      <c r="D1" s="20">
        <v>3</v>
      </c>
      <c r="E1" s="20">
        <v>4</v>
      </c>
      <c r="F1" s="20">
        <v>5</v>
      </c>
      <c r="G1" s="20">
        <v>6</v>
      </c>
      <c r="H1" s="20">
        <v>7</v>
      </c>
      <c r="I1" s="20">
        <v>8</v>
      </c>
      <c r="J1" s="20">
        <v>9</v>
      </c>
      <c r="K1" s="20">
        <v>10</v>
      </c>
      <c r="L1" s="20">
        <v>11</v>
      </c>
      <c r="M1" s="20">
        <v>12</v>
      </c>
      <c r="N1" s="20">
        <v>13</v>
      </c>
      <c r="O1" s="20">
        <v>14</v>
      </c>
      <c r="P1" s="20">
        <v>15</v>
      </c>
      <c r="Q1" s="20">
        <v>16</v>
      </c>
      <c r="R1" s="20">
        <v>17</v>
      </c>
      <c r="S1" s="20">
        <v>18</v>
      </c>
      <c r="T1" s="20">
        <v>19</v>
      </c>
      <c r="U1" s="20">
        <v>20</v>
      </c>
      <c r="V1" s="20">
        <v>21</v>
      </c>
      <c r="W1" s="20">
        <v>22</v>
      </c>
      <c r="X1" s="20">
        <v>23</v>
      </c>
      <c r="Y1" s="20">
        <v>24</v>
      </c>
      <c r="Z1" s="20">
        <v>25</v>
      </c>
      <c r="AA1" s="20">
        <v>26</v>
      </c>
      <c r="AB1" s="20">
        <v>27</v>
      </c>
      <c r="AC1" s="20">
        <v>28</v>
      </c>
      <c r="AD1" s="20">
        <v>29</v>
      </c>
      <c r="AE1" s="20">
        <v>30</v>
      </c>
      <c r="AF1" s="20">
        <v>31</v>
      </c>
      <c r="AG1" s="20">
        <v>32</v>
      </c>
      <c r="AH1" s="20">
        <v>33</v>
      </c>
      <c r="AI1" s="20">
        <v>34</v>
      </c>
      <c r="AJ1" s="20">
        <v>35</v>
      </c>
      <c r="AK1" s="20">
        <v>36</v>
      </c>
      <c r="AL1" s="20">
        <v>37</v>
      </c>
      <c r="AM1" s="20">
        <v>38</v>
      </c>
      <c r="AN1" s="20">
        <v>39</v>
      </c>
      <c r="AO1" s="20">
        <v>40</v>
      </c>
      <c r="AP1" s="20">
        <v>41</v>
      </c>
      <c r="AQ1" s="20">
        <v>42</v>
      </c>
      <c r="AR1" s="20">
        <v>43</v>
      </c>
      <c r="AS1" s="20">
        <v>44</v>
      </c>
      <c r="AT1" s="20">
        <v>45</v>
      </c>
      <c r="AU1" s="20">
        <v>46</v>
      </c>
      <c r="AV1" s="20">
        <v>47</v>
      </c>
      <c r="AW1" s="20">
        <v>48</v>
      </c>
      <c r="AX1" s="20">
        <v>49</v>
      </c>
      <c r="AY1" s="20">
        <v>50</v>
      </c>
      <c r="AZ1" s="20">
        <v>51</v>
      </c>
      <c r="BA1" s="20">
        <v>52</v>
      </c>
      <c r="BB1" s="20">
        <v>53</v>
      </c>
      <c r="BC1" s="20">
        <v>54</v>
      </c>
      <c r="BD1" s="20">
        <v>55</v>
      </c>
      <c r="BE1" s="20">
        <v>56</v>
      </c>
      <c r="BF1" s="20">
        <v>57</v>
      </c>
      <c r="BG1" s="20">
        <v>58</v>
      </c>
      <c r="BH1" s="20">
        <v>59</v>
      </c>
      <c r="BI1" s="20">
        <v>60</v>
      </c>
    </row>
    <row r="2" spans="1:61" x14ac:dyDescent="0.25">
      <c r="A2" s="20">
        <v>1</v>
      </c>
      <c r="B2" t="str">
        <f ca="1">'(直掃)Change to adc mapping '!B66 &amp; ","</f>
        <v>9999,</v>
      </c>
      <c r="C2" t="str">
        <f ca="1">'(直掃)Change to adc mapping '!C66 &amp; ","</f>
        <v>9999,</v>
      </c>
      <c r="D2" t="str">
        <f ca="1">'(直掃)Change to adc mapping '!D66 &amp; ","</f>
        <v>9999,</v>
      </c>
      <c r="E2" t="str">
        <f ca="1">'(直掃)Change to adc mapping '!E66 &amp; ","</f>
        <v>9999,</v>
      </c>
      <c r="F2" t="str">
        <f ca="1">'(直掃)Change to adc mapping '!F66 &amp; ","</f>
        <v>9999,</v>
      </c>
      <c r="G2" t="str">
        <f ca="1">'(直掃)Change to adc mapping '!G66 &amp; ","</f>
        <v>9999,</v>
      </c>
      <c r="H2" t="str">
        <f ca="1">'(直掃)Change to adc mapping '!H66 &amp; ","</f>
        <v>9999,</v>
      </c>
      <c r="I2" t="str">
        <f ca="1">'(直掃)Change to adc mapping '!I66 &amp; ","</f>
        <v>9999,</v>
      </c>
      <c r="J2" t="str">
        <f ca="1">'(直掃)Change to adc mapping '!J66 &amp; ","</f>
        <v>9999,</v>
      </c>
      <c r="K2" t="str">
        <f ca="1">'(直掃)Change to adc mapping '!K66 &amp; ","</f>
        <v>9999,</v>
      </c>
      <c r="L2" t="str">
        <f ca="1">'(直掃)Change to adc mapping '!L66 &amp; ","</f>
        <v>9999,</v>
      </c>
      <c r="M2" t="str">
        <f ca="1">'(直掃)Change to adc mapping '!M66 &amp; ","</f>
        <v>9999,</v>
      </c>
      <c r="N2" t="str">
        <f ca="1">'(直掃)Change to adc mapping '!N66 &amp; ","</f>
        <v>9999,</v>
      </c>
      <c r="O2" t="str">
        <f ca="1">'(直掃)Change to adc mapping '!O66 &amp; ","</f>
        <v>9999,</v>
      </c>
      <c r="P2" t="str">
        <f ca="1">'(直掃)Change to adc mapping '!P66 &amp; ","</f>
        <v>9999,</v>
      </c>
      <c r="Q2" t="str">
        <f ca="1">'(直掃)Change to adc mapping '!Q66 &amp; ","</f>
        <v>9999,</v>
      </c>
      <c r="R2" t="str">
        <f ca="1">'(直掃)Change to adc mapping '!R66 &amp; ","</f>
        <v>9999,</v>
      </c>
      <c r="S2" t="str">
        <f ca="1">'(直掃)Change to adc mapping '!S66 &amp; ","</f>
        <v>9999,</v>
      </c>
      <c r="T2" t="str">
        <f ca="1">'(直掃)Change to adc mapping '!T66 &amp; ","</f>
        <v>9999,</v>
      </c>
      <c r="U2" t="str">
        <f ca="1">'(直掃)Change to adc mapping '!U66 &amp; ","</f>
        <v>9999,</v>
      </c>
      <c r="V2" t="str">
        <f ca="1">'(直掃)Change to adc mapping '!V66 &amp; ","</f>
        <v>9999,</v>
      </c>
      <c r="W2" t="str">
        <f ca="1">'(直掃)Change to adc mapping '!W66 &amp; ","</f>
        <v>9999,</v>
      </c>
      <c r="X2" t="str">
        <f ca="1">'(直掃)Change to adc mapping '!X66 &amp; ","</f>
        <v>9999,</v>
      </c>
      <c r="Y2" t="str">
        <f ca="1">'(直掃)Change to adc mapping '!Y66 &amp; ","</f>
        <v>9999,</v>
      </c>
      <c r="Z2" t="str">
        <f ca="1">'(直掃)Change to adc mapping '!Z66 &amp; ","</f>
        <v>9999,</v>
      </c>
      <c r="AA2" t="str">
        <f ca="1">'(直掃)Change to adc mapping '!AA66 &amp; ","</f>
        <v>9999,</v>
      </c>
      <c r="AB2" t="str">
        <f ca="1">'(直掃)Change to adc mapping '!AB66 &amp; ","</f>
        <v>9999,</v>
      </c>
      <c r="AC2" t="str">
        <f ca="1">'(直掃)Change to adc mapping '!AC66 &amp; ","</f>
        <v>9999,</v>
      </c>
      <c r="AD2" t="str">
        <f ca="1">'(直掃)Change to adc mapping '!AD66 &amp; ","</f>
        <v>9999,</v>
      </c>
      <c r="AE2" t="str">
        <f ca="1">'(直掃)Change to adc mapping '!AE66 &amp; ","</f>
        <v>9999,</v>
      </c>
      <c r="AF2" t="str">
        <f ca="1">'(直掃)Change to adc mapping '!AF66 &amp; ","</f>
        <v>9999,</v>
      </c>
      <c r="AG2" t="str">
        <f ca="1">'(直掃)Change to adc mapping '!AG66 &amp; ","</f>
        <v>9999,</v>
      </c>
      <c r="AH2" t="str">
        <f ca="1">'(直掃)Change to adc mapping '!AH66 &amp; ","</f>
        <v>9999,</v>
      </c>
      <c r="AI2" t="str">
        <f ca="1">'(直掃)Change to adc mapping '!AI66 &amp; ","</f>
        <v>9999,</v>
      </c>
      <c r="AJ2" t="str">
        <f ca="1">'(直掃)Change to adc mapping '!AJ66 &amp; ","</f>
        <v>9999,</v>
      </c>
      <c r="AK2" t="str">
        <f ca="1">'(直掃)Change to adc mapping '!AK66 &amp; ","</f>
        <v>9999,</v>
      </c>
      <c r="AL2" t="str">
        <f ca="1">'(直掃)Change to adc mapping '!AL66 &amp; ","</f>
        <v>9999,</v>
      </c>
      <c r="AM2" t="str">
        <f ca="1">'(直掃)Change to adc mapping '!AM66 &amp; ","</f>
        <v>9999,</v>
      </c>
      <c r="AN2" t="str">
        <f ca="1">'(直掃)Change to adc mapping '!AN66 &amp; ","</f>
        <v>9999,</v>
      </c>
      <c r="AO2" t="str">
        <f ca="1">'(直掃)Change to adc mapping '!AO66 &amp; ","</f>
        <v>9999,</v>
      </c>
      <c r="AP2" t="str">
        <f ca="1">'(直掃)Change to adc mapping '!AP66 &amp; ","</f>
        <v>9999,</v>
      </c>
      <c r="AQ2" t="str">
        <f ca="1">'(直掃)Change to adc mapping '!AQ66 &amp; ","</f>
        <v>9999,</v>
      </c>
      <c r="AR2" t="str">
        <f ca="1">'(直掃)Change to adc mapping '!AR66 &amp; ","</f>
        <v>9999,</v>
      </c>
      <c r="AS2" t="str">
        <f ca="1">'(直掃)Change to adc mapping '!AS66 &amp; ","</f>
        <v>9999,</v>
      </c>
      <c r="AT2" t="str">
        <f ca="1">'(直掃)Change to adc mapping '!AT66 &amp; ","</f>
        <v>9999,</v>
      </c>
      <c r="AU2" t="str">
        <f ca="1">'(直掃)Change to adc mapping '!AU66 &amp; ","</f>
        <v>9999,</v>
      </c>
      <c r="AV2" t="str">
        <f ca="1">'(直掃)Change to adc mapping '!AV66 &amp; ","</f>
        <v>9999,</v>
      </c>
      <c r="AW2" t="str">
        <f ca="1">'(直掃)Change to adc mapping '!AW66 &amp; ","</f>
        <v>9999,</v>
      </c>
      <c r="AX2" t="str">
        <f ca="1">'(直掃)Change to adc mapping '!AX66 &amp; ","</f>
        <v>9999,</v>
      </c>
      <c r="AY2" t="str">
        <f ca="1">'(直掃)Change to adc mapping '!AY66 &amp; ","</f>
        <v>9999,</v>
      </c>
      <c r="AZ2" t="str">
        <f ca="1">'(直掃)Change to adc mapping '!AZ66 &amp; ","</f>
        <v>9999,</v>
      </c>
      <c r="BA2" t="str">
        <f ca="1">'(直掃)Change to adc mapping '!BA66 &amp; ","</f>
        <v>9999,</v>
      </c>
      <c r="BB2" t="str">
        <f ca="1">'(直掃)Change to adc mapping '!BB66 &amp; ","</f>
        <v>9999,</v>
      </c>
      <c r="BC2" t="str">
        <f ca="1">'(直掃)Change to adc mapping '!BC66 &amp; ","</f>
        <v>9999,</v>
      </c>
      <c r="BD2" t="str">
        <f ca="1">'(直掃)Change to adc mapping '!BD66 &amp; ","</f>
        <v>9999,</v>
      </c>
      <c r="BE2" t="str">
        <f ca="1">'(直掃)Change to adc mapping '!BE66 &amp; ","</f>
        <v>9999,</v>
      </c>
      <c r="BF2" t="str">
        <f ca="1">'(直掃)Change to adc mapping '!BF66 &amp; ","</f>
        <v>9999,</v>
      </c>
      <c r="BG2" t="str">
        <f ca="1">'(直掃)Change to adc mapping '!BG66 &amp; ","</f>
        <v>9999,</v>
      </c>
      <c r="BH2" t="str">
        <f ca="1">'(直掃)Change to adc mapping '!BH66 &amp; ","</f>
        <v>9999,</v>
      </c>
      <c r="BI2" t="str">
        <f ca="1">'(直掃)Change to adc mapping '!BI66 &amp; ","</f>
        <v>9999,</v>
      </c>
    </row>
    <row r="3" spans="1:61" x14ac:dyDescent="0.25">
      <c r="A3" s="20">
        <v>2</v>
      </c>
      <c r="B3" t="str">
        <f ca="1">'(直掃)Change to adc mapping '!B67 &amp; ","</f>
        <v>9999,</v>
      </c>
      <c r="C3" t="str">
        <f ca="1">'(直掃)Change to adc mapping '!C67 &amp; ","</f>
        <v>9999,</v>
      </c>
      <c r="D3" t="str">
        <f ca="1">'(直掃)Change to adc mapping '!D67 &amp; ","</f>
        <v>9999,</v>
      </c>
      <c r="E3" t="str">
        <f ca="1">'(直掃)Change to adc mapping '!E67 &amp; ","</f>
        <v>9999,</v>
      </c>
      <c r="F3" t="str">
        <f ca="1">'(直掃)Change to adc mapping '!F67 &amp; ","</f>
        <v>9999,</v>
      </c>
      <c r="G3" t="str">
        <f ca="1">'(直掃)Change to adc mapping '!G67 &amp; ","</f>
        <v>9999,</v>
      </c>
      <c r="H3" t="str">
        <f ca="1">'(直掃)Change to adc mapping '!H67 &amp; ","</f>
        <v>9999,</v>
      </c>
      <c r="I3" t="str">
        <f ca="1">'(直掃)Change to adc mapping '!I67 &amp; ","</f>
        <v>9999,</v>
      </c>
      <c r="J3" t="str">
        <f ca="1">'(直掃)Change to adc mapping '!J67 &amp; ","</f>
        <v>9999,</v>
      </c>
      <c r="K3" t="str">
        <f ca="1">'(直掃)Change to adc mapping '!K67 &amp; ","</f>
        <v>9999,</v>
      </c>
      <c r="L3" t="str">
        <f ca="1">'(直掃)Change to adc mapping '!L67 &amp; ","</f>
        <v>9999,</v>
      </c>
      <c r="M3" t="str">
        <f ca="1">'(直掃)Change to adc mapping '!M67 &amp; ","</f>
        <v>9999,</v>
      </c>
      <c r="N3" t="str">
        <f ca="1">'(直掃)Change to adc mapping '!N67 &amp; ","</f>
        <v>9999,</v>
      </c>
      <c r="O3" t="str">
        <f ca="1">'(直掃)Change to adc mapping '!O67 &amp; ","</f>
        <v>9999,</v>
      </c>
      <c r="P3" t="str">
        <f ca="1">'(直掃)Change to adc mapping '!P67 &amp; ","</f>
        <v>9999,</v>
      </c>
      <c r="Q3" t="str">
        <f ca="1">'(直掃)Change to adc mapping '!Q67 &amp; ","</f>
        <v>9999,</v>
      </c>
      <c r="R3" t="str">
        <f ca="1">'(直掃)Change to adc mapping '!R67 &amp; ","</f>
        <v>9999,</v>
      </c>
      <c r="S3" t="str">
        <f ca="1">'(直掃)Change to adc mapping '!S67 &amp; ","</f>
        <v>9999,</v>
      </c>
      <c r="T3" t="str">
        <f ca="1">'(直掃)Change to adc mapping '!T67 &amp; ","</f>
        <v>9999,</v>
      </c>
      <c r="U3" t="str">
        <f ca="1">'(直掃)Change to adc mapping '!U67 &amp; ","</f>
        <v>9999,</v>
      </c>
      <c r="V3" t="str">
        <f ca="1">'(直掃)Change to adc mapping '!V67 &amp; ","</f>
        <v>9999,</v>
      </c>
      <c r="W3" t="str">
        <f ca="1">'(直掃)Change to adc mapping '!W67 &amp; ","</f>
        <v>9999,</v>
      </c>
      <c r="X3" t="str">
        <f ca="1">'(直掃)Change to adc mapping '!X67 &amp; ","</f>
        <v>9999,</v>
      </c>
      <c r="Y3" t="str">
        <f ca="1">'(直掃)Change to adc mapping '!Y67 &amp; ","</f>
        <v>9999,</v>
      </c>
      <c r="Z3" t="str">
        <f ca="1">'(直掃)Change to adc mapping '!Z67 &amp; ","</f>
        <v>9999,</v>
      </c>
      <c r="AA3" t="str">
        <f ca="1">'(直掃)Change to adc mapping '!AA67 &amp; ","</f>
        <v>9999,</v>
      </c>
      <c r="AB3" t="str">
        <f ca="1">'(直掃)Change to adc mapping '!AB67 &amp; ","</f>
        <v>9999,</v>
      </c>
      <c r="AC3" t="str">
        <f ca="1">'(直掃)Change to adc mapping '!AC67 &amp; ","</f>
        <v>9999,</v>
      </c>
      <c r="AD3" t="str">
        <f ca="1">'(直掃)Change to adc mapping '!AD67 &amp; ","</f>
        <v>9999,</v>
      </c>
      <c r="AE3" t="str">
        <f ca="1">'(直掃)Change to adc mapping '!AE67 &amp; ","</f>
        <v>9999,</v>
      </c>
      <c r="AF3" t="str">
        <f ca="1">'(直掃)Change to adc mapping '!AF67 &amp; ","</f>
        <v>9999,</v>
      </c>
      <c r="AG3" t="str">
        <f ca="1">'(直掃)Change to adc mapping '!AG67 &amp; ","</f>
        <v>9999,</v>
      </c>
      <c r="AH3" t="str">
        <f ca="1">'(直掃)Change to adc mapping '!AH67 &amp; ","</f>
        <v>9999,</v>
      </c>
      <c r="AI3" t="str">
        <f ca="1">'(直掃)Change to adc mapping '!AI67 &amp; ","</f>
        <v>9999,</v>
      </c>
      <c r="AJ3" t="str">
        <f ca="1">'(直掃)Change to adc mapping '!AJ67 &amp; ","</f>
        <v>9999,</v>
      </c>
      <c r="AK3" t="str">
        <f ca="1">'(直掃)Change to adc mapping '!AK67 &amp; ","</f>
        <v>9999,</v>
      </c>
      <c r="AL3" t="str">
        <f ca="1">'(直掃)Change to adc mapping '!AL67 &amp; ","</f>
        <v>9999,</v>
      </c>
      <c r="AM3" t="str">
        <f ca="1">'(直掃)Change to adc mapping '!AM67 &amp; ","</f>
        <v>9999,</v>
      </c>
      <c r="AN3" t="str">
        <f ca="1">'(直掃)Change to adc mapping '!AN67 &amp; ","</f>
        <v>9999,</v>
      </c>
      <c r="AO3" t="str">
        <f ca="1">'(直掃)Change to adc mapping '!AO67 &amp; ","</f>
        <v>9999,</v>
      </c>
      <c r="AP3" t="str">
        <f ca="1">'(直掃)Change to adc mapping '!AP67 &amp; ","</f>
        <v>9999,</v>
      </c>
      <c r="AQ3" t="str">
        <f ca="1">'(直掃)Change to adc mapping '!AQ67 &amp; ","</f>
        <v>9999,</v>
      </c>
      <c r="AR3" t="str">
        <f ca="1">'(直掃)Change to adc mapping '!AR67 &amp; ","</f>
        <v>9999,</v>
      </c>
      <c r="AS3" t="str">
        <f ca="1">'(直掃)Change to adc mapping '!AS67 &amp; ","</f>
        <v>9999,</v>
      </c>
      <c r="AT3" t="str">
        <f ca="1">'(直掃)Change to adc mapping '!AT67 &amp; ","</f>
        <v>9999,</v>
      </c>
      <c r="AU3" t="str">
        <f ca="1">'(直掃)Change to adc mapping '!AU67 &amp; ","</f>
        <v>9999,</v>
      </c>
      <c r="AV3" t="str">
        <f ca="1">'(直掃)Change to adc mapping '!AV67 &amp; ","</f>
        <v>9999,</v>
      </c>
      <c r="AW3" t="str">
        <f ca="1">'(直掃)Change to adc mapping '!AW67 &amp; ","</f>
        <v>9999,</v>
      </c>
      <c r="AX3" t="str">
        <f ca="1">'(直掃)Change to adc mapping '!AX67 &amp; ","</f>
        <v>9999,</v>
      </c>
      <c r="AY3" t="str">
        <f ca="1">'(直掃)Change to adc mapping '!AY67 &amp; ","</f>
        <v>9999,</v>
      </c>
      <c r="AZ3" t="str">
        <f ca="1">'(直掃)Change to adc mapping '!AZ67 &amp; ","</f>
        <v>9999,</v>
      </c>
      <c r="BA3" t="str">
        <f ca="1">'(直掃)Change to adc mapping '!BA67 &amp; ","</f>
        <v>9999,</v>
      </c>
      <c r="BB3" t="str">
        <f ca="1">'(直掃)Change to adc mapping '!BB67 &amp; ","</f>
        <v>9999,</v>
      </c>
      <c r="BC3" t="str">
        <f ca="1">'(直掃)Change to adc mapping '!BC67 &amp; ","</f>
        <v>9999,</v>
      </c>
      <c r="BD3" t="str">
        <f ca="1">'(直掃)Change to adc mapping '!BD67 &amp; ","</f>
        <v>9999,</v>
      </c>
      <c r="BE3" t="str">
        <f ca="1">'(直掃)Change to adc mapping '!BE67 &amp; ","</f>
        <v>9999,</v>
      </c>
      <c r="BF3" t="str">
        <f ca="1">'(直掃)Change to adc mapping '!BF67 &amp; ","</f>
        <v>9999,</v>
      </c>
      <c r="BG3" t="str">
        <f ca="1">'(直掃)Change to adc mapping '!BG67 &amp; ","</f>
        <v>9999,</v>
      </c>
      <c r="BH3" t="str">
        <f ca="1">'(直掃)Change to adc mapping '!BH67 &amp; ","</f>
        <v>9999,</v>
      </c>
      <c r="BI3" t="str">
        <f ca="1">'(直掃)Change to adc mapping '!BI67 &amp; ","</f>
        <v>9999,</v>
      </c>
    </row>
    <row r="4" spans="1:61" x14ac:dyDescent="0.25">
      <c r="A4" s="20">
        <v>3</v>
      </c>
      <c r="B4" t="str">
        <f ca="1">'(直掃)Change to adc mapping '!B68 &amp; ","</f>
        <v>9999,</v>
      </c>
      <c r="C4" t="str">
        <f ca="1">'(直掃)Change to adc mapping '!C68 &amp; ","</f>
        <v>9999,</v>
      </c>
      <c r="D4" t="str">
        <f ca="1">'(直掃)Change to adc mapping '!D68 &amp; ","</f>
        <v>9999,</v>
      </c>
      <c r="E4" t="str">
        <f ca="1">'(直掃)Change to adc mapping '!E68 &amp; ","</f>
        <v>9999,</v>
      </c>
      <c r="F4" t="str">
        <f ca="1">'(直掃)Change to adc mapping '!F68 &amp; ","</f>
        <v>9999,</v>
      </c>
      <c r="G4" t="str">
        <f ca="1">'(直掃)Change to adc mapping '!G68 &amp; ","</f>
        <v>9999,</v>
      </c>
      <c r="H4" t="str">
        <f ca="1">'(直掃)Change to adc mapping '!H68 &amp; ","</f>
        <v>9999,</v>
      </c>
      <c r="I4" t="str">
        <f ca="1">'(直掃)Change to adc mapping '!I68 &amp; ","</f>
        <v>9999,</v>
      </c>
      <c r="J4" t="str">
        <f ca="1">'(直掃)Change to adc mapping '!J68 &amp; ","</f>
        <v>9999,</v>
      </c>
      <c r="K4" t="str">
        <f ca="1">'(直掃)Change to adc mapping '!K68 &amp; ","</f>
        <v>9999,</v>
      </c>
      <c r="L4" t="str">
        <f ca="1">'(直掃)Change to adc mapping '!L68 &amp; ","</f>
        <v>9999,</v>
      </c>
      <c r="M4" t="str">
        <f ca="1">'(直掃)Change to adc mapping '!M68 &amp; ","</f>
        <v>9999,</v>
      </c>
      <c r="N4" t="str">
        <f ca="1">'(直掃)Change to adc mapping '!N68 &amp; ","</f>
        <v>9999,</v>
      </c>
      <c r="O4" t="str">
        <f ca="1">'(直掃)Change to adc mapping '!O68 &amp; ","</f>
        <v>9999,</v>
      </c>
      <c r="P4" t="str">
        <f ca="1">'(直掃)Change to adc mapping '!P68 &amp; ","</f>
        <v>9999,</v>
      </c>
      <c r="Q4" t="str">
        <f ca="1">'(直掃)Change to adc mapping '!Q68 &amp; ","</f>
        <v>9999,</v>
      </c>
      <c r="R4" t="str">
        <f ca="1">'(直掃)Change to adc mapping '!R68 &amp; ","</f>
        <v>9999,</v>
      </c>
      <c r="S4" t="str">
        <f ca="1">'(直掃)Change to adc mapping '!S68 &amp; ","</f>
        <v>9999,</v>
      </c>
      <c r="T4" t="str">
        <f ca="1">'(直掃)Change to adc mapping '!T68 &amp; ","</f>
        <v>9999,</v>
      </c>
      <c r="U4" t="str">
        <f ca="1">'(直掃)Change to adc mapping '!U68 &amp; ","</f>
        <v>9999,</v>
      </c>
      <c r="V4" t="str">
        <f ca="1">'(直掃)Change to adc mapping '!V68 &amp; ","</f>
        <v>9999,</v>
      </c>
      <c r="W4" t="str">
        <f ca="1">'(直掃)Change to adc mapping '!W68 &amp; ","</f>
        <v>9999,</v>
      </c>
      <c r="X4" t="str">
        <f ca="1">'(直掃)Change to adc mapping '!X68 &amp; ","</f>
        <v>9999,</v>
      </c>
      <c r="Y4" t="str">
        <f ca="1">'(直掃)Change to adc mapping '!Y68 &amp; ","</f>
        <v>9999,</v>
      </c>
      <c r="Z4" t="str">
        <f ca="1">'(直掃)Change to adc mapping '!Z68 &amp; ","</f>
        <v>9999,</v>
      </c>
      <c r="AA4" t="str">
        <f ca="1">'(直掃)Change to adc mapping '!AA68 &amp; ","</f>
        <v>9999,</v>
      </c>
      <c r="AB4" t="str">
        <f ca="1">'(直掃)Change to adc mapping '!AB68 &amp; ","</f>
        <v>9999,</v>
      </c>
      <c r="AC4" t="str">
        <f ca="1">'(直掃)Change to adc mapping '!AC68 &amp; ","</f>
        <v>9999,</v>
      </c>
      <c r="AD4" t="str">
        <f ca="1">'(直掃)Change to adc mapping '!AD68 &amp; ","</f>
        <v>9999,</v>
      </c>
      <c r="AE4" t="str">
        <f ca="1">'(直掃)Change to adc mapping '!AE68 &amp; ","</f>
        <v>9999,</v>
      </c>
      <c r="AF4" t="str">
        <f ca="1">'(直掃)Change to adc mapping '!AF68 &amp; ","</f>
        <v>9999,</v>
      </c>
      <c r="AG4" t="str">
        <f ca="1">'(直掃)Change to adc mapping '!AG68 &amp; ","</f>
        <v>9999,</v>
      </c>
      <c r="AH4" t="str">
        <f ca="1">'(直掃)Change to adc mapping '!AH68 &amp; ","</f>
        <v>9999,</v>
      </c>
      <c r="AI4" t="str">
        <f ca="1">'(直掃)Change to adc mapping '!AI68 &amp; ","</f>
        <v>9999,</v>
      </c>
      <c r="AJ4" t="str">
        <f ca="1">'(直掃)Change to adc mapping '!AJ68 &amp; ","</f>
        <v>9999,</v>
      </c>
      <c r="AK4" t="str">
        <f ca="1">'(直掃)Change to adc mapping '!AK68 &amp; ","</f>
        <v>9999,</v>
      </c>
      <c r="AL4" t="str">
        <f ca="1">'(直掃)Change to adc mapping '!AL68 &amp; ","</f>
        <v>9999,</v>
      </c>
      <c r="AM4" t="str">
        <f ca="1">'(直掃)Change to adc mapping '!AM68 &amp; ","</f>
        <v>9999,</v>
      </c>
      <c r="AN4" t="str">
        <f ca="1">'(直掃)Change to adc mapping '!AN68 &amp; ","</f>
        <v>9999,</v>
      </c>
      <c r="AO4" t="str">
        <f ca="1">'(直掃)Change to adc mapping '!AO68 &amp; ","</f>
        <v>9999,</v>
      </c>
      <c r="AP4" t="str">
        <f ca="1">'(直掃)Change to adc mapping '!AP68 &amp; ","</f>
        <v>9999,</v>
      </c>
      <c r="AQ4" t="str">
        <f ca="1">'(直掃)Change to adc mapping '!AQ68 &amp; ","</f>
        <v>9999,</v>
      </c>
      <c r="AR4" t="str">
        <f ca="1">'(直掃)Change to adc mapping '!AR68 &amp; ","</f>
        <v>9999,</v>
      </c>
      <c r="AS4" t="str">
        <f ca="1">'(直掃)Change to adc mapping '!AS68 &amp; ","</f>
        <v>9999,</v>
      </c>
      <c r="AT4" t="str">
        <f ca="1">'(直掃)Change to adc mapping '!AT68 &amp; ","</f>
        <v>9999,</v>
      </c>
      <c r="AU4" t="str">
        <f ca="1">'(直掃)Change to adc mapping '!AU68 &amp; ","</f>
        <v>9999,</v>
      </c>
      <c r="AV4" t="str">
        <f ca="1">'(直掃)Change to adc mapping '!AV68 &amp; ","</f>
        <v>9999,</v>
      </c>
      <c r="AW4" t="str">
        <f ca="1">'(直掃)Change to adc mapping '!AW68 &amp; ","</f>
        <v>9999,</v>
      </c>
      <c r="AX4" t="str">
        <f ca="1">'(直掃)Change to adc mapping '!AX68 &amp; ","</f>
        <v>9999,</v>
      </c>
      <c r="AY4" t="str">
        <f ca="1">'(直掃)Change to adc mapping '!AY68 &amp; ","</f>
        <v>9999,</v>
      </c>
      <c r="AZ4" t="str">
        <f ca="1">'(直掃)Change to adc mapping '!AZ68 &amp; ","</f>
        <v>9999,</v>
      </c>
      <c r="BA4" t="str">
        <f ca="1">'(直掃)Change to adc mapping '!BA68 &amp; ","</f>
        <v>9999,</v>
      </c>
      <c r="BB4" t="str">
        <f ca="1">'(直掃)Change to adc mapping '!BB68 &amp; ","</f>
        <v>9999,</v>
      </c>
      <c r="BC4" t="str">
        <f ca="1">'(直掃)Change to adc mapping '!BC68 &amp; ","</f>
        <v>9999,</v>
      </c>
      <c r="BD4" t="str">
        <f ca="1">'(直掃)Change to adc mapping '!BD68 &amp; ","</f>
        <v>9999,</v>
      </c>
      <c r="BE4" t="str">
        <f ca="1">'(直掃)Change to adc mapping '!BE68 &amp; ","</f>
        <v>9999,</v>
      </c>
      <c r="BF4" t="str">
        <f ca="1">'(直掃)Change to adc mapping '!BF68 &amp; ","</f>
        <v>9999,</v>
      </c>
      <c r="BG4" t="str">
        <f ca="1">'(直掃)Change to adc mapping '!BG68 &amp; ","</f>
        <v>9999,</v>
      </c>
      <c r="BH4" t="str">
        <f ca="1">'(直掃)Change to adc mapping '!BH68 &amp; ","</f>
        <v>9999,</v>
      </c>
      <c r="BI4" t="str">
        <f ca="1">'(直掃)Change to adc mapping '!BI68 &amp; ","</f>
        <v>9999,</v>
      </c>
    </row>
    <row r="5" spans="1:61" x14ac:dyDescent="0.25">
      <c r="A5" s="20">
        <v>4</v>
      </c>
      <c r="B5" t="str">
        <f ca="1">'(直掃)Change to adc mapping '!B69 &amp; ","</f>
        <v>9999,</v>
      </c>
      <c r="C5" t="str">
        <f ca="1">'(直掃)Change to adc mapping '!C69 &amp; ","</f>
        <v>9999,</v>
      </c>
      <c r="D5" t="str">
        <f ca="1">'(直掃)Change to adc mapping '!D69 &amp; ","</f>
        <v>9999,</v>
      </c>
      <c r="E5" t="str">
        <f ca="1">'(直掃)Change to adc mapping '!E69 &amp; ","</f>
        <v>9999,</v>
      </c>
      <c r="F5" t="str">
        <f ca="1">'(直掃)Change to adc mapping '!F69 &amp; ","</f>
        <v>9999,</v>
      </c>
      <c r="G5" t="str">
        <f ca="1">'(直掃)Change to adc mapping '!G69 &amp; ","</f>
        <v>9999,</v>
      </c>
      <c r="H5" t="str">
        <f ca="1">'(直掃)Change to adc mapping '!H69 &amp; ","</f>
        <v>9999,</v>
      </c>
      <c r="I5" t="str">
        <f ca="1">'(直掃)Change to adc mapping '!I69 &amp; ","</f>
        <v>9999,</v>
      </c>
      <c r="J5" t="str">
        <f ca="1">'(直掃)Change to adc mapping '!J69 &amp; ","</f>
        <v>9999,</v>
      </c>
      <c r="K5" t="str">
        <f ca="1">'(直掃)Change to adc mapping '!K69 &amp; ","</f>
        <v>9999,</v>
      </c>
      <c r="L5" t="str">
        <f ca="1">'(直掃)Change to adc mapping '!L69 &amp; ","</f>
        <v>9999,</v>
      </c>
      <c r="M5" t="str">
        <f ca="1">'(直掃)Change to adc mapping '!M69 &amp; ","</f>
        <v>9999,</v>
      </c>
      <c r="N5" t="str">
        <f ca="1">'(直掃)Change to adc mapping '!N69 &amp; ","</f>
        <v>9999,</v>
      </c>
      <c r="O5" t="str">
        <f ca="1">'(直掃)Change to adc mapping '!O69 &amp; ","</f>
        <v>9999,</v>
      </c>
      <c r="P5" t="str">
        <f ca="1">'(直掃)Change to adc mapping '!P69 &amp; ","</f>
        <v>9999,</v>
      </c>
      <c r="Q5" t="str">
        <f ca="1">'(直掃)Change to adc mapping '!Q69 &amp; ","</f>
        <v>9999,</v>
      </c>
      <c r="R5" t="str">
        <f ca="1">'(直掃)Change to adc mapping '!R69 &amp; ","</f>
        <v>9999,</v>
      </c>
      <c r="S5" t="str">
        <f ca="1">'(直掃)Change to adc mapping '!S69 &amp; ","</f>
        <v>9999,</v>
      </c>
      <c r="T5" t="str">
        <f ca="1">'(直掃)Change to adc mapping '!T69 &amp; ","</f>
        <v>9999,</v>
      </c>
      <c r="U5" t="str">
        <f ca="1">'(直掃)Change to adc mapping '!U69 &amp; ","</f>
        <v>9999,</v>
      </c>
      <c r="V5" t="str">
        <f ca="1">'(直掃)Change to adc mapping '!V69 &amp; ","</f>
        <v>9999,</v>
      </c>
      <c r="W5" t="str">
        <f ca="1">'(直掃)Change to adc mapping '!W69 &amp; ","</f>
        <v>9999,</v>
      </c>
      <c r="X5" t="str">
        <f ca="1">'(直掃)Change to adc mapping '!X69 &amp; ","</f>
        <v>9999,</v>
      </c>
      <c r="Y5" t="str">
        <f ca="1">'(直掃)Change to adc mapping '!Y69 &amp; ","</f>
        <v>9999,</v>
      </c>
      <c r="Z5" t="str">
        <f ca="1">'(直掃)Change to adc mapping '!Z69 &amp; ","</f>
        <v>9999,</v>
      </c>
      <c r="AA5" t="str">
        <f ca="1">'(直掃)Change to adc mapping '!AA69 &amp; ","</f>
        <v>9999,</v>
      </c>
      <c r="AB5" t="str">
        <f ca="1">'(直掃)Change to adc mapping '!AB69 &amp; ","</f>
        <v>9999,</v>
      </c>
      <c r="AC5" t="str">
        <f ca="1">'(直掃)Change to adc mapping '!AC69 &amp; ","</f>
        <v>9999,</v>
      </c>
      <c r="AD5" t="str">
        <f ca="1">'(直掃)Change to adc mapping '!AD69 &amp; ","</f>
        <v>9999,</v>
      </c>
      <c r="AE5" t="str">
        <f ca="1">'(直掃)Change to adc mapping '!AE69 &amp; ","</f>
        <v>9999,</v>
      </c>
      <c r="AF5" t="str">
        <f ca="1">'(直掃)Change to adc mapping '!AF69 &amp; ","</f>
        <v>9999,</v>
      </c>
      <c r="AG5" t="str">
        <f ca="1">'(直掃)Change to adc mapping '!AG69 &amp; ","</f>
        <v>9999,</v>
      </c>
      <c r="AH5" t="str">
        <f ca="1">'(直掃)Change to adc mapping '!AH69 &amp; ","</f>
        <v>9999,</v>
      </c>
      <c r="AI5" t="str">
        <f ca="1">'(直掃)Change to adc mapping '!AI69 &amp; ","</f>
        <v>9999,</v>
      </c>
      <c r="AJ5" t="str">
        <f ca="1">'(直掃)Change to adc mapping '!AJ69 &amp; ","</f>
        <v>9999,</v>
      </c>
      <c r="AK5" t="str">
        <f ca="1">'(直掃)Change to adc mapping '!AK69 &amp; ","</f>
        <v>9999,</v>
      </c>
      <c r="AL5" t="str">
        <f ca="1">'(直掃)Change to adc mapping '!AL69 &amp; ","</f>
        <v>9999,</v>
      </c>
      <c r="AM5" t="str">
        <f ca="1">'(直掃)Change to adc mapping '!AM69 &amp; ","</f>
        <v>9999,</v>
      </c>
      <c r="AN5" t="str">
        <f ca="1">'(直掃)Change to adc mapping '!AN69 &amp; ","</f>
        <v>9999,</v>
      </c>
      <c r="AO5" t="str">
        <f ca="1">'(直掃)Change to adc mapping '!AO69 &amp; ","</f>
        <v>9999,</v>
      </c>
      <c r="AP5" t="str">
        <f ca="1">'(直掃)Change to adc mapping '!AP69 &amp; ","</f>
        <v>9999,</v>
      </c>
      <c r="AQ5" t="str">
        <f ca="1">'(直掃)Change to adc mapping '!AQ69 &amp; ","</f>
        <v>9999,</v>
      </c>
      <c r="AR5" t="str">
        <f ca="1">'(直掃)Change to adc mapping '!AR69 &amp; ","</f>
        <v>9999,</v>
      </c>
      <c r="AS5" t="str">
        <f ca="1">'(直掃)Change to adc mapping '!AS69 &amp; ","</f>
        <v>9999,</v>
      </c>
      <c r="AT5" t="str">
        <f ca="1">'(直掃)Change to adc mapping '!AT69 &amp; ","</f>
        <v>9999,</v>
      </c>
      <c r="AU5" t="str">
        <f ca="1">'(直掃)Change to adc mapping '!AU69 &amp; ","</f>
        <v>9999,</v>
      </c>
      <c r="AV5" t="str">
        <f ca="1">'(直掃)Change to adc mapping '!AV69 &amp; ","</f>
        <v>9999,</v>
      </c>
      <c r="AW5" t="str">
        <f ca="1">'(直掃)Change to adc mapping '!AW69 &amp; ","</f>
        <v>9999,</v>
      </c>
      <c r="AX5" t="str">
        <f ca="1">'(直掃)Change to adc mapping '!AX69 &amp; ","</f>
        <v>9999,</v>
      </c>
      <c r="AY5" t="str">
        <f ca="1">'(直掃)Change to adc mapping '!AY69 &amp; ","</f>
        <v>9999,</v>
      </c>
      <c r="AZ5" t="str">
        <f ca="1">'(直掃)Change to adc mapping '!AZ69 &amp; ","</f>
        <v>9999,</v>
      </c>
      <c r="BA5" t="str">
        <f ca="1">'(直掃)Change to adc mapping '!BA69 &amp; ","</f>
        <v>9999,</v>
      </c>
      <c r="BB5" t="str">
        <f ca="1">'(直掃)Change to adc mapping '!BB69 &amp; ","</f>
        <v>9999,</v>
      </c>
      <c r="BC5" t="str">
        <f ca="1">'(直掃)Change to adc mapping '!BC69 &amp; ","</f>
        <v>9999,</v>
      </c>
      <c r="BD5" t="str">
        <f ca="1">'(直掃)Change to adc mapping '!BD69 &amp; ","</f>
        <v>9999,</v>
      </c>
      <c r="BE5" t="str">
        <f ca="1">'(直掃)Change to adc mapping '!BE69 &amp; ","</f>
        <v>9999,</v>
      </c>
      <c r="BF5" t="str">
        <f ca="1">'(直掃)Change to adc mapping '!BF69 &amp; ","</f>
        <v>9999,</v>
      </c>
      <c r="BG5" t="str">
        <f ca="1">'(直掃)Change to adc mapping '!BG69 &amp; ","</f>
        <v>9999,</v>
      </c>
      <c r="BH5" t="str">
        <f ca="1">'(直掃)Change to adc mapping '!BH69 &amp; ","</f>
        <v>9999,</v>
      </c>
      <c r="BI5" t="str">
        <f ca="1">'(直掃)Change to adc mapping '!BI69 &amp; ","</f>
        <v>9999,</v>
      </c>
    </row>
    <row r="6" spans="1:61" x14ac:dyDescent="0.25">
      <c r="A6" s="20">
        <v>5</v>
      </c>
      <c r="B6" t="str">
        <f ca="1">'(直掃)Change to adc mapping '!B70 &amp; ","</f>
        <v>9999,</v>
      </c>
      <c r="C6" t="str">
        <f ca="1">'(直掃)Change to adc mapping '!C70 &amp; ","</f>
        <v>9999,</v>
      </c>
      <c r="D6" t="str">
        <f ca="1">'(直掃)Change to adc mapping '!D70 &amp; ","</f>
        <v>9999,</v>
      </c>
      <c r="E6" t="str">
        <f ca="1">'(直掃)Change to adc mapping '!E70 &amp; ","</f>
        <v>9999,</v>
      </c>
      <c r="F6" t="str">
        <f ca="1">'(直掃)Change to adc mapping '!F70 &amp; ","</f>
        <v>9999,</v>
      </c>
      <c r="G6" t="str">
        <f ca="1">'(直掃)Change to adc mapping '!G70 &amp; ","</f>
        <v>9999,</v>
      </c>
      <c r="H6" t="str">
        <f ca="1">'(直掃)Change to adc mapping '!H70 &amp; ","</f>
        <v>9999,</v>
      </c>
      <c r="I6" t="str">
        <f ca="1">'(直掃)Change to adc mapping '!I70 &amp; ","</f>
        <v>9999,</v>
      </c>
      <c r="J6" t="str">
        <f ca="1">'(直掃)Change to adc mapping '!J70 &amp; ","</f>
        <v>9999,</v>
      </c>
      <c r="K6" t="str">
        <f ca="1">'(直掃)Change to adc mapping '!K70 &amp; ","</f>
        <v>9999,</v>
      </c>
      <c r="L6" t="str">
        <f ca="1">'(直掃)Change to adc mapping '!L70 &amp; ","</f>
        <v>9999,</v>
      </c>
      <c r="M6" t="str">
        <f ca="1">'(直掃)Change to adc mapping '!M70 &amp; ","</f>
        <v>9999,</v>
      </c>
      <c r="N6" t="str">
        <f ca="1">'(直掃)Change to adc mapping '!N70 &amp; ","</f>
        <v>9999,</v>
      </c>
      <c r="O6" t="str">
        <f ca="1">'(直掃)Change to adc mapping '!O70 &amp; ","</f>
        <v>9999,</v>
      </c>
      <c r="P6" t="str">
        <f ca="1">'(直掃)Change to adc mapping '!P70 &amp; ","</f>
        <v>9999,</v>
      </c>
      <c r="Q6" t="str">
        <f ca="1">'(直掃)Change to adc mapping '!Q70 &amp; ","</f>
        <v>9999,</v>
      </c>
      <c r="R6" t="str">
        <f ca="1">'(直掃)Change to adc mapping '!R70 &amp; ","</f>
        <v>9999,</v>
      </c>
      <c r="S6" t="str">
        <f ca="1">'(直掃)Change to adc mapping '!S70 &amp; ","</f>
        <v>9999,</v>
      </c>
      <c r="T6" t="str">
        <f ca="1">'(直掃)Change to adc mapping '!T70 &amp; ","</f>
        <v>9999,</v>
      </c>
      <c r="U6" t="str">
        <f ca="1">'(直掃)Change to adc mapping '!U70 &amp; ","</f>
        <v>9999,</v>
      </c>
      <c r="V6" t="str">
        <f ca="1">'(直掃)Change to adc mapping '!V70 &amp; ","</f>
        <v>9999,</v>
      </c>
      <c r="W6" t="str">
        <f ca="1">'(直掃)Change to adc mapping '!W70 &amp; ","</f>
        <v>9999,</v>
      </c>
      <c r="X6" t="str">
        <f ca="1">'(直掃)Change to adc mapping '!X70 &amp; ","</f>
        <v>9999,</v>
      </c>
      <c r="Y6" t="str">
        <f ca="1">'(直掃)Change to adc mapping '!Y70 &amp; ","</f>
        <v>9999,</v>
      </c>
      <c r="Z6" t="str">
        <f ca="1">'(直掃)Change to adc mapping '!Z70 &amp; ","</f>
        <v>9999,</v>
      </c>
      <c r="AA6" t="str">
        <f ca="1">'(直掃)Change to adc mapping '!AA70 &amp; ","</f>
        <v>9999,</v>
      </c>
      <c r="AB6" t="str">
        <f ca="1">'(直掃)Change to adc mapping '!AB70 &amp; ","</f>
        <v>9999,</v>
      </c>
      <c r="AC6" t="str">
        <f ca="1">'(直掃)Change to adc mapping '!AC70 &amp; ","</f>
        <v>9999,</v>
      </c>
      <c r="AD6" t="str">
        <f ca="1">'(直掃)Change to adc mapping '!AD70 &amp; ","</f>
        <v>9999,</v>
      </c>
      <c r="AE6" t="str">
        <f ca="1">'(直掃)Change to adc mapping '!AE70 &amp; ","</f>
        <v>9999,</v>
      </c>
      <c r="AF6" t="str">
        <f ca="1">'(直掃)Change to adc mapping '!AF70 &amp; ","</f>
        <v>9999,</v>
      </c>
      <c r="AG6" t="str">
        <f ca="1">'(直掃)Change to adc mapping '!AG70 &amp; ","</f>
        <v>9999,</v>
      </c>
      <c r="AH6" t="str">
        <f ca="1">'(直掃)Change to adc mapping '!AH70 &amp; ","</f>
        <v>9999,</v>
      </c>
      <c r="AI6" t="str">
        <f ca="1">'(直掃)Change to adc mapping '!AI70 &amp; ","</f>
        <v>9999,</v>
      </c>
      <c r="AJ6" t="str">
        <f ca="1">'(直掃)Change to adc mapping '!AJ70 &amp; ","</f>
        <v>9999,</v>
      </c>
      <c r="AK6" t="str">
        <f ca="1">'(直掃)Change to adc mapping '!AK70 &amp; ","</f>
        <v>9999,</v>
      </c>
      <c r="AL6" t="str">
        <f ca="1">'(直掃)Change to adc mapping '!AL70 &amp; ","</f>
        <v>9999,</v>
      </c>
      <c r="AM6" t="str">
        <f ca="1">'(直掃)Change to adc mapping '!AM70 &amp; ","</f>
        <v>9999,</v>
      </c>
      <c r="AN6" t="str">
        <f ca="1">'(直掃)Change to adc mapping '!AN70 &amp; ","</f>
        <v>9999,</v>
      </c>
      <c r="AO6" t="str">
        <f ca="1">'(直掃)Change to adc mapping '!AO70 &amp; ","</f>
        <v>9999,</v>
      </c>
      <c r="AP6" t="str">
        <f ca="1">'(直掃)Change to adc mapping '!AP70 &amp; ","</f>
        <v>9999,</v>
      </c>
      <c r="AQ6" t="str">
        <f ca="1">'(直掃)Change to adc mapping '!AQ70 &amp; ","</f>
        <v>9999,</v>
      </c>
      <c r="AR6" t="str">
        <f ca="1">'(直掃)Change to adc mapping '!AR70 &amp; ","</f>
        <v>9999,</v>
      </c>
      <c r="AS6" t="str">
        <f ca="1">'(直掃)Change to adc mapping '!AS70 &amp; ","</f>
        <v>9999,</v>
      </c>
      <c r="AT6" t="str">
        <f ca="1">'(直掃)Change to adc mapping '!AT70 &amp; ","</f>
        <v>9999,</v>
      </c>
      <c r="AU6" t="str">
        <f ca="1">'(直掃)Change to adc mapping '!AU70 &amp; ","</f>
        <v>9999,</v>
      </c>
      <c r="AV6" t="str">
        <f ca="1">'(直掃)Change to adc mapping '!AV70 &amp; ","</f>
        <v>9999,</v>
      </c>
      <c r="AW6" t="str">
        <f ca="1">'(直掃)Change to adc mapping '!AW70 &amp; ","</f>
        <v>9999,</v>
      </c>
      <c r="AX6" t="str">
        <f ca="1">'(直掃)Change to adc mapping '!AX70 &amp; ","</f>
        <v>9999,</v>
      </c>
      <c r="AY6" t="str">
        <f ca="1">'(直掃)Change to adc mapping '!AY70 &amp; ","</f>
        <v>9999,</v>
      </c>
      <c r="AZ6" t="str">
        <f ca="1">'(直掃)Change to adc mapping '!AZ70 &amp; ","</f>
        <v>9999,</v>
      </c>
      <c r="BA6" t="str">
        <f ca="1">'(直掃)Change to adc mapping '!BA70 &amp; ","</f>
        <v>9999,</v>
      </c>
      <c r="BB6" t="str">
        <f ca="1">'(直掃)Change to adc mapping '!BB70 &amp; ","</f>
        <v>9999,</v>
      </c>
      <c r="BC6" t="str">
        <f ca="1">'(直掃)Change to adc mapping '!BC70 &amp; ","</f>
        <v>9999,</v>
      </c>
      <c r="BD6" t="str">
        <f ca="1">'(直掃)Change to adc mapping '!BD70 &amp; ","</f>
        <v>9999,</v>
      </c>
      <c r="BE6" t="str">
        <f ca="1">'(直掃)Change to adc mapping '!BE70 &amp; ","</f>
        <v>9999,</v>
      </c>
      <c r="BF6" t="str">
        <f ca="1">'(直掃)Change to adc mapping '!BF70 &amp; ","</f>
        <v>9999,</v>
      </c>
      <c r="BG6" t="str">
        <f ca="1">'(直掃)Change to adc mapping '!BG70 &amp; ","</f>
        <v>9999,</v>
      </c>
      <c r="BH6" t="str">
        <f ca="1">'(直掃)Change to adc mapping '!BH70 &amp; ","</f>
        <v>9999,</v>
      </c>
      <c r="BI6" t="str">
        <f ca="1">'(直掃)Change to adc mapping '!BI70 &amp; ","</f>
        <v>9999,</v>
      </c>
    </row>
    <row r="7" spans="1:61" x14ac:dyDescent="0.25">
      <c r="A7" s="20">
        <v>6</v>
      </c>
      <c r="B7" t="str">
        <f ca="1">'(直掃)Change to adc mapping '!B71 &amp; ","</f>
        <v>9999,</v>
      </c>
      <c r="C7" t="str">
        <f ca="1">'(直掃)Change to adc mapping '!C71 &amp; ","</f>
        <v>9999,</v>
      </c>
      <c r="D7" t="str">
        <f ca="1">'(直掃)Change to adc mapping '!D71 &amp; ","</f>
        <v>9999,</v>
      </c>
      <c r="E7" t="str">
        <f ca="1">'(直掃)Change to adc mapping '!E71 &amp; ","</f>
        <v>9999,</v>
      </c>
      <c r="F7" t="str">
        <f ca="1">'(直掃)Change to adc mapping '!F71 &amp; ","</f>
        <v>9999,</v>
      </c>
      <c r="G7" t="str">
        <f ca="1">'(直掃)Change to adc mapping '!G71 &amp; ","</f>
        <v>9999,</v>
      </c>
      <c r="H7" t="str">
        <f ca="1">'(直掃)Change to adc mapping '!H71 &amp; ","</f>
        <v>9999,</v>
      </c>
      <c r="I7" t="str">
        <f ca="1">'(直掃)Change to adc mapping '!I71 &amp; ","</f>
        <v>9999,</v>
      </c>
      <c r="J7" t="str">
        <f ca="1">'(直掃)Change to adc mapping '!J71 &amp; ","</f>
        <v>9999,</v>
      </c>
      <c r="K7" t="str">
        <f ca="1">'(直掃)Change to adc mapping '!K71 &amp; ","</f>
        <v>9999,</v>
      </c>
      <c r="L7" t="str">
        <f ca="1">'(直掃)Change to adc mapping '!L71 &amp; ","</f>
        <v>9999,</v>
      </c>
      <c r="M7" t="str">
        <f ca="1">'(直掃)Change to adc mapping '!M71 &amp; ","</f>
        <v>9999,</v>
      </c>
      <c r="N7" t="str">
        <f ca="1">'(直掃)Change to adc mapping '!N71 &amp; ","</f>
        <v>9999,</v>
      </c>
      <c r="O7" t="str">
        <f ca="1">'(直掃)Change to adc mapping '!O71 &amp; ","</f>
        <v>9999,</v>
      </c>
      <c r="P7" t="str">
        <f ca="1">'(直掃)Change to adc mapping '!P71 &amp; ","</f>
        <v>9999,</v>
      </c>
      <c r="Q7" t="str">
        <f ca="1">'(直掃)Change to adc mapping '!Q71 &amp; ","</f>
        <v>9999,</v>
      </c>
      <c r="R7" t="str">
        <f ca="1">'(直掃)Change to adc mapping '!R71 &amp; ","</f>
        <v>9999,</v>
      </c>
      <c r="S7" t="str">
        <f ca="1">'(直掃)Change to adc mapping '!S71 &amp; ","</f>
        <v>9999,</v>
      </c>
      <c r="T7" t="str">
        <f ca="1">'(直掃)Change to adc mapping '!T71 &amp; ","</f>
        <v>9999,</v>
      </c>
      <c r="U7" t="str">
        <f ca="1">'(直掃)Change to adc mapping '!U71 &amp; ","</f>
        <v>9999,</v>
      </c>
      <c r="V7" t="str">
        <f ca="1">'(直掃)Change to adc mapping '!V71 &amp; ","</f>
        <v>9999,</v>
      </c>
      <c r="W7" t="str">
        <f ca="1">'(直掃)Change to adc mapping '!W71 &amp; ","</f>
        <v>9999,</v>
      </c>
      <c r="X7" t="str">
        <f ca="1">'(直掃)Change to adc mapping '!X71 &amp; ","</f>
        <v>9999,</v>
      </c>
      <c r="Y7" t="str">
        <f ca="1">'(直掃)Change to adc mapping '!Y71 &amp; ","</f>
        <v>9999,</v>
      </c>
      <c r="Z7" t="str">
        <f ca="1">'(直掃)Change to adc mapping '!Z71 &amp; ","</f>
        <v>9999,</v>
      </c>
      <c r="AA7" t="str">
        <f ca="1">'(直掃)Change to adc mapping '!AA71 &amp; ","</f>
        <v>9999,</v>
      </c>
      <c r="AB7" t="str">
        <f ca="1">'(直掃)Change to adc mapping '!AB71 &amp; ","</f>
        <v>9999,</v>
      </c>
      <c r="AC7" t="str">
        <f ca="1">'(直掃)Change to adc mapping '!AC71 &amp; ","</f>
        <v>9999,</v>
      </c>
      <c r="AD7" t="str">
        <f ca="1">'(直掃)Change to adc mapping '!AD71 &amp; ","</f>
        <v>9999,</v>
      </c>
      <c r="AE7" t="str">
        <f ca="1">'(直掃)Change to adc mapping '!AE71 &amp; ","</f>
        <v>9999,</v>
      </c>
      <c r="AF7" t="str">
        <f ca="1">'(直掃)Change to adc mapping '!AF71 &amp; ","</f>
        <v>9999,</v>
      </c>
      <c r="AG7" t="str">
        <f ca="1">'(直掃)Change to adc mapping '!AG71 &amp; ","</f>
        <v>9999,</v>
      </c>
      <c r="AH7" t="str">
        <f ca="1">'(直掃)Change to adc mapping '!AH71 &amp; ","</f>
        <v>9999,</v>
      </c>
      <c r="AI7" t="str">
        <f ca="1">'(直掃)Change to adc mapping '!AI71 &amp; ","</f>
        <v>9999,</v>
      </c>
      <c r="AJ7" t="str">
        <f ca="1">'(直掃)Change to adc mapping '!AJ71 &amp; ","</f>
        <v>9999,</v>
      </c>
      <c r="AK7" t="str">
        <f ca="1">'(直掃)Change to adc mapping '!AK71 &amp; ","</f>
        <v>9999,</v>
      </c>
      <c r="AL7" t="str">
        <f ca="1">'(直掃)Change to adc mapping '!AL71 &amp; ","</f>
        <v>9999,</v>
      </c>
      <c r="AM7" t="str">
        <f ca="1">'(直掃)Change to adc mapping '!AM71 &amp; ","</f>
        <v>9999,</v>
      </c>
      <c r="AN7" t="str">
        <f ca="1">'(直掃)Change to adc mapping '!AN71 &amp; ","</f>
        <v>9999,</v>
      </c>
      <c r="AO7" t="str">
        <f ca="1">'(直掃)Change to adc mapping '!AO71 &amp; ","</f>
        <v>9999,</v>
      </c>
      <c r="AP7" t="str">
        <f ca="1">'(直掃)Change to adc mapping '!AP71 &amp; ","</f>
        <v>9999,</v>
      </c>
      <c r="AQ7" t="str">
        <f ca="1">'(直掃)Change to adc mapping '!AQ71 &amp; ","</f>
        <v>9999,</v>
      </c>
      <c r="AR7" t="str">
        <f ca="1">'(直掃)Change to adc mapping '!AR71 &amp; ","</f>
        <v>9999,</v>
      </c>
      <c r="AS7" t="str">
        <f ca="1">'(直掃)Change to adc mapping '!AS71 &amp; ","</f>
        <v>9999,</v>
      </c>
      <c r="AT7" t="str">
        <f ca="1">'(直掃)Change to adc mapping '!AT71 &amp; ","</f>
        <v>9999,</v>
      </c>
      <c r="AU7" t="str">
        <f ca="1">'(直掃)Change to adc mapping '!AU71 &amp; ","</f>
        <v>9999,</v>
      </c>
      <c r="AV7" t="str">
        <f ca="1">'(直掃)Change to adc mapping '!AV71 &amp; ","</f>
        <v>9999,</v>
      </c>
      <c r="AW7" t="str">
        <f ca="1">'(直掃)Change to adc mapping '!AW71 &amp; ","</f>
        <v>9999,</v>
      </c>
      <c r="AX7" t="str">
        <f ca="1">'(直掃)Change to adc mapping '!AX71 &amp; ","</f>
        <v>9999,</v>
      </c>
      <c r="AY7" t="str">
        <f ca="1">'(直掃)Change to adc mapping '!AY71 &amp; ","</f>
        <v>9999,</v>
      </c>
      <c r="AZ7" t="str">
        <f ca="1">'(直掃)Change to adc mapping '!AZ71 &amp; ","</f>
        <v>9999,</v>
      </c>
      <c r="BA7" t="str">
        <f ca="1">'(直掃)Change to adc mapping '!BA71 &amp; ","</f>
        <v>9999,</v>
      </c>
      <c r="BB7" t="str">
        <f ca="1">'(直掃)Change to adc mapping '!BB71 &amp; ","</f>
        <v>9999,</v>
      </c>
      <c r="BC7" t="str">
        <f ca="1">'(直掃)Change to adc mapping '!BC71 &amp; ","</f>
        <v>9999,</v>
      </c>
      <c r="BD7" t="str">
        <f ca="1">'(直掃)Change to adc mapping '!BD71 &amp; ","</f>
        <v>9999,</v>
      </c>
      <c r="BE7" t="str">
        <f ca="1">'(直掃)Change to adc mapping '!BE71 &amp; ","</f>
        <v>9999,</v>
      </c>
      <c r="BF7" t="str">
        <f ca="1">'(直掃)Change to adc mapping '!BF71 &amp; ","</f>
        <v>9999,</v>
      </c>
      <c r="BG7" t="str">
        <f ca="1">'(直掃)Change to adc mapping '!BG71 &amp; ","</f>
        <v>9999,</v>
      </c>
      <c r="BH7" t="str">
        <f ca="1">'(直掃)Change to adc mapping '!BH71 &amp; ","</f>
        <v>9999,</v>
      </c>
      <c r="BI7" t="str">
        <f ca="1">'(直掃)Change to adc mapping '!BI71 &amp; ","</f>
        <v>9999,</v>
      </c>
    </row>
    <row r="8" spans="1:61" x14ac:dyDescent="0.25">
      <c r="A8" s="20">
        <v>7</v>
      </c>
      <c r="B8" t="str">
        <f ca="1">'(直掃)Change to adc mapping '!B72 &amp; ","</f>
        <v>9999,</v>
      </c>
      <c r="C8" t="str">
        <f ca="1">'(直掃)Change to adc mapping '!C72 &amp; ","</f>
        <v>9999,</v>
      </c>
      <c r="D8" t="str">
        <f ca="1">'(直掃)Change to adc mapping '!D72 &amp; ","</f>
        <v>9999,</v>
      </c>
      <c r="E8" t="str">
        <f ca="1">'(直掃)Change to adc mapping '!E72 &amp; ","</f>
        <v>9999,</v>
      </c>
      <c r="F8" t="str">
        <f ca="1">'(直掃)Change to adc mapping '!F72 &amp; ","</f>
        <v>9999,</v>
      </c>
      <c r="G8" t="str">
        <f ca="1">'(直掃)Change to adc mapping '!G72 &amp; ","</f>
        <v>9999,</v>
      </c>
      <c r="H8" t="str">
        <f ca="1">'(直掃)Change to adc mapping '!H72 &amp; ","</f>
        <v>9999,</v>
      </c>
      <c r="I8" t="str">
        <f ca="1">'(直掃)Change to adc mapping '!I72 &amp; ","</f>
        <v>9999,</v>
      </c>
      <c r="J8" t="str">
        <f ca="1">'(直掃)Change to adc mapping '!J72 &amp; ","</f>
        <v>9999,</v>
      </c>
      <c r="K8" t="str">
        <f ca="1">'(直掃)Change to adc mapping '!K72 &amp; ","</f>
        <v>9999,</v>
      </c>
      <c r="L8" t="str">
        <f ca="1">'(直掃)Change to adc mapping '!L72 &amp; ","</f>
        <v>9999,</v>
      </c>
      <c r="M8" t="str">
        <f ca="1">'(直掃)Change to adc mapping '!M72 &amp; ","</f>
        <v>9999,</v>
      </c>
      <c r="N8" t="str">
        <f ca="1">'(直掃)Change to adc mapping '!N72 &amp; ","</f>
        <v>9999,</v>
      </c>
      <c r="O8" t="str">
        <f ca="1">'(直掃)Change to adc mapping '!O72 &amp; ","</f>
        <v>9999,</v>
      </c>
      <c r="P8" t="str">
        <f ca="1">'(直掃)Change to adc mapping '!P72 &amp; ","</f>
        <v>9999,</v>
      </c>
      <c r="Q8" t="str">
        <f ca="1">'(直掃)Change to adc mapping '!Q72 &amp; ","</f>
        <v>9999,</v>
      </c>
      <c r="R8" t="str">
        <f ca="1">'(直掃)Change to adc mapping '!R72 &amp; ","</f>
        <v>9999,</v>
      </c>
      <c r="S8" t="str">
        <f ca="1">'(直掃)Change to adc mapping '!S72 &amp; ","</f>
        <v>9999,</v>
      </c>
      <c r="T8" t="str">
        <f ca="1">'(直掃)Change to adc mapping '!T72 &amp; ","</f>
        <v>9999,</v>
      </c>
      <c r="U8" t="str">
        <f ca="1">'(直掃)Change to adc mapping '!U72 &amp; ","</f>
        <v>9999,</v>
      </c>
      <c r="V8" t="str">
        <f ca="1">'(直掃)Change to adc mapping '!V72 &amp; ","</f>
        <v>9999,</v>
      </c>
      <c r="W8" t="str">
        <f ca="1">'(直掃)Change to adc mapping '!W72 &amp; ","</f>
        <v>9999,</v>
      </c>
      <c r="X8" t="str">
        <f ca="1">'(直掃)Change to adc mapping '!X72 &amp; ","</f>
        <v>9999,</v>
      </c>
      <c r="Y8" t="str">
        <f ca="1">'(直掃)Change to adc mapping '!Y72 &amp; ","</f>
        <v>9999,</v>
      </c>
      <c r="Z8" t="str">
        <f ca="1">'(直掃)Change to adc mapping '!Z72 &amp; ","</f>
        <v>9999,</v>
      </c>
      <c r="AA8" t="str">
        <f ca="1">'(直掃)Change to adc mapping '!AA72 &amp; ","</f>
        <v>9999,</v>
      </c>
      <c r="AB8" t="str">
        <f ca="1">'(直掃)Change to adc mapping '!AB72 &amp; ","</f>
        <v>9999,</v>
      </c>
      <c r="AC8" t="str">
        <f ca="1">'(直掃)Change to adc mapping '!AC72 &amp; ","</f>
        <v>9999,</v>
      </c>
      <c r="AD8" t="str">
        <f ca="1">'(直掃)Change to adc mapping '!AD72 &amp; ","</f>
        <v>9999,</v>
      </c>
      <c r="AE8" t="str">
        <f ca="1">'(直掃)Change to adc mapping '!AE72 &amp; ","</f>
        <v>9999,</v>
      </c>
      <c r="AF8" t="str">
        <f ca="1">'(直掃)Change to adc mapping '!AF72 &amp; ","</f>
        <v>9999,</v>
      </c>
      <c r="AG8" t="str">
        <f ca="1">'(直掃)Change to adc mapping '!AG72 &amp; ","</f>
        <v>9999,</v>
      </c>
      <c r="AH8" t="str">
        <f ca="1">'(直掃)Change to adc mapping '!AH72 &amp; ","</f>
        <v>9999,</v>
      </c>
      <c r="AI8" t="str">
        <f ca="1">'(直掃)Change to adc mapping '!AI72 &amp; ","</f>
        <v>9999,</v>
      </c>
      <c r="AJ8" t="str">
        <f ca="1">'(直掃)Change to adc mapping '!AJ72 &amp; ","</f>
        <v>9999,</v>
      </c>
      <c r="AK8" t="str">
        <f ca="1">'(直掃)Change to adc mapping '!AK72 &amp; ","</f>
        <v>9999,</v>
      </c>
      <c r="AL8" t="str">
        <f ca="1">'(直掃)Change to adc mapping '!AL72 &amp; ","</f>
        <v>9999,</v>
      </c>
      <c r="AM8" t="str">
        <f ca="1">'(直掃)Change to adc mapping '!AM72 &amp; ","</f>
        <v>9999,</v>
      </c>
      <c r="AN8" t="str">
        <f ca="1">'(直掃)Change to adc mapping '!AN72 &amp; ","</f>
        <v>9999,</v>
      </c>
      <c r="AO8" t="str">
        <f ca="1">'(直掃)Change to adc mapping '!AO72 &amp; ","</f>
        <v>9999,</v>
      </c>
      <c r="AP8" t="str">
        <f ca="1">'(直掃)Change to adc mapping '!AP72 &amp; ","</f>
        <v>9999,</v>
      </c>
      <c r="AQ8" t="str">
        <f ca="1">'(直掃)Change to adc mapping '!AQ72 &amp; ","</f>
        <v>9999,</v>
      </c>
      <c r="AR8" t="str">
        <f ca="1">'(直掃)Change to adc mapping '!AR72 &amp; ","</f>
        <v>9999,</v>
      </c>
      <c r="AS8" t="str">
        <f ca="1">'(直掃)Change to adc mapping '!AS72 &amp; ","</f>
        <v>9999,</v>
      </c>
      <c r="AT8" t="str">
        <f ca="1">'(直掃)Change to adc mapping '!AT72 &amp; ","</f>
        <v>9999,</v>
      </c>
      <c r="AU8" t="str">
        <f ca="1">'(直掃)Change to adc mapping '!AU72 &amp; ","</f>
        <v>9999,</v>
      </c>
      <c r="AV8" t="str">
        <f ca="1">'(直掃)Change to adc mapping '!AV72 &amp; ","</f>
        <v>9999,</v>
      </c>
      <c r="AW8" t="str">
        <f ca="1">'(直掃)Change to adc mapping '!AW72 &amp; ","</f>
        <v>9999,</v>
      </c>
      <c r="AX8" t="str">
        <f ca="1">'(直掃)Change to adc mapping '!AX72 &amp; ","</f>
        <v>9999,</v>
      </c>
      <c r="AY8" t="str">
        <f ca="1">'(直掃)Change to adc mapping '!AY72 &amp; ","</f>
        <v>9999,</v>
      </c>
      <c r="AZ8" t="str">
        <f ca="1">'(直掃)Change to adc mapping '!AZ72 &amp; ","</f>
        <v>9999,</v>
      </c>
      <c r="BA8" t="str">
        <f ca="1">'(直掃)Change to adc mapping '!BA72 &amp; ","</f>
        <v>9999,</v>
      </c>
      <c r="BB8" t="str">
        <f ca="1">'(直掃)Change to adc mapping '!BB72 &amp; ","</f>
        <v>9999,</v>
      </c>
      <c r="BC8" t="str">
        <f ca="1">'(直掃)Change to adc mapping '!BC72 &amp; ","</f>
        <v>9999,</v>
      </c>
      <c r="BD8" t="str">
        <f ca="1">'(直掃)Change to adc mapping '!BD72 &amp; ","</f>
        <v>9999,</v>
      </c>
      <c r="BE8" t="str">
        <f ca="1">'(直掃)Change to adc mapping '!BE72 &amp; ","</f>
        <v>9999,</v>
      </c>
      <c r="BF8" t="str">
        <f ca="1">'(直掃)Change to adc mapping '!BF72 &amp; ","</f>
        <v>9999,</v>
      </c>
      <c r="BG8" t="str">
        <f ca="1">'(直掃)Change to adc mapping '!BG72 &amp; ","</f>
        <v>9999,</v>
      </c>
      <c r="BH8" t="str">
        <f ca="1">'(直掃)Change to adc mapping '!BH72 &amp; ","</f>
        <v>9999,</v>
      </c>
      <c r="BI8" t="str">
        <f ca="1">'(直掃)Change to adc mapping '!BI72 &amp; ","</f>
        <v>9999,</v>
      </c>
    </row>
    <row r="9" spans="1:61" x14ac:dyDescent="0.25">
      <c r="A9" s="20">
        <v>8</v>
      </c>
      <c r="B9" t="str">
        <f ca="1">'(直掃)Change to adc mapping '!B73 &amp; ","</f>
        <v>9999,</v>
      </c>
      <c r="C9" t="str">
        <f ca="1">'(直掃)Change to adc mapping '!C73 &amp; ","</f>
        <v>9999,</v>
      </c>
      <c r="D9" t="str">
        <f ca="1">'(直掃)Change to adc mapping '!D73 &amp; ","</f>
        <v>9999,</v>
      </c>
      <c r="E9" t="str">
        <f ca="1">'(直掃)Change to adc mapping '!E73 &amp; ","</f>
        <v>9999,</v>
      </c>
      <c r="F9" t="str">
        <f ca="1">'(直掃)Change to adc mapping '!F73 &amp; ","</f>
        <v>9999,</v>
      </c>
      <c r="G9" t="str">
        <f ca="1">'(直掃)Change to adc mapping '!G73 &amp; ","</f>
        <v>9999,</v>
      </c>
      <c r="H9" t="str">
        <f ca="1">'(直掃)Change to adc mapping '!H73 &amp; ","</f>
        <v>9999,</v>
      </c>
      <c r="I9" t="str">
        <f ca="1">'(直掃)Change to adc mapping '!I73 &amp; ","</f>
        <v>9999,</v>
      </c>
      <c r="J9" t="str">
        <f ca="1">'(直掃)Change to adc mapping '!J73 &amp; ","</f>
        <v>9999,</v>
      </c>
      <c r="K9" t="str">
        <f ca="1">'(直掃)Change to adc mapping '!K73 &amp; ","</f>
        <v>9999,</v>
      </c>
      <c r="L9" t="str">
        <f ca="1">'(直掃)Change to adc mapping '!L73 &amp; ","</f>
        <v>9999,</v>
      </c>
      <c r="M9" t="str">
        <f ca="1">'(直掃)Change to adc mapping '!M73 &amp; ","</f>
        <v>9999,</v>
      </c>
      <c r="N9" t="str">
        <f ca="1">'(直掃)Change to adc mapping '!N73 &amp; ","</f>
        <v>9999,</v>
      </c>
      <c r="O9" t="str">
        <f ca="1">'(直掃)Change to adc mapping '!O73 &amp; ","</f>
        <v>9999,</v>
      </c>
      <c r="P9" t="str">
        <f ca="1">'(直掃)Change to adc mapping '!P73 &amp; ","</f>
        <v>9999,</v>
      </c>
      <c r="Q9" t="str">
        <f ca="1">'(直掃)Change to adc mapping '!Q73 &amp; ","</f>
        <v>9999,</v>
      </c>
      <c r="R9" t="str">
        <f ca="1">'(直掃)Change to adc mapping '!R73 &amp; ","</f>
        <v>9999,</v>
      </c>
      <c r="S9" t="str">
        <f ca="1">'(直掃)Change to adc mapping '!S73 &amp; ","</f>
        <v>9999,</v>
      </c>
      <c r="T9" t="str">
        <f ca="1">'(直掃)Change to adc mapping '!T73 &amp; ","</f>
        <v>9999,</v>
      </c>
      <c r="U9" t="str">
        <f ca="1">'(直掃)Change to adc mapping '!U73 &amp; ","</f>
        <v>9999,</v>
      </c>
      <c r="V9" t="str">
        <f ca="1">'(直掃)Change to adc mapping '!V73 &amp; ","</f>
        <v>9999,</v>
      </c>
      <c r="W9" t="str">
        <f ca="1">'(直掃)Change to adc mapping '!W73 &amp; ","</f>
        <v>9999,</v>
      </c>
      <c r="X9" t="str">
        <f ca="1">'(直掃)Change to adc mapping '!X73 &amp; ","</f>
        <v>9999,</v>
      </c>
      <c r="Y9" t="str">
        <f ca="1">'(直掃)Change to adc mapping '!Y73 &amp; ","</f>
        <v>9999,</v>
      </c>
      <c r="Z9" t="str">
        <f ca="1">'(直掃)Change to adc mapping '!Z73 &amp; ","</f>
        <v>9999,</v>
      </c>
      <c r="AA9" t="str">
        <f ca="1">'(直掃)Change to adc mapping '!AA73 &amp; ","</f>
        <v>9999,</v>
      </c>
      <c r="AB9" t="str">
        <f ca="1">'(直掃)Change to adc mapping '!AB73 &amp; ","</f>
        <v>9999,</v>
      </c>
      <c r="AC9" t="str">
        <f ca="1">'(直掃)Change to adc mapping '!AC73 &amp; ","</f>
        <v>9999,</v>
      </c>
      <c r="AD9" t="str">
        <f ca="1">'(直掃)Change to adc mapping '!AD73 &amp; ","</f>
        <v>9999,</v>
      </c>
      <c r="AE9" t="str">
        <f ca="1">'(直掃)Change to adc mapping '!AE73 &amp; ","</f>
        <v>9999,</v>
      </c>
      <c r="AF9" t="str">
        <f ca="1">'(直掃)Change to adc mapping '!AF73 &amp; ","</f>
        <v>9999,</v>
      </c>
      <c r="AG9" t="str">
        <f ca="1">'(直掃)Change to adc mapping '!AG73 &amp; ","</f>
        <v>9999,</v>
      </c>
      <c r="AH9" t="str">
        <f ca="1">'(直掃)Change to adc mapping '!AH73 &amp; ","</f>
        <v>9999,</v>
      </c>
      <c r="AI9" t="str">
        <f ca="1">'(直掃)Change to adc mapping '!AI73 &amp; ","</f>
        <v>9999,</v>
      </c>
      <c r="AJ9" t="str">
        <f ca="1">'(直掃)Change to adc mapping '!AJ73 &amp; ","</f>
        <v>9999,</v>
      </c>
      <c r="AK9" t="str">
        <f ca="1">'(直掃)Change to adc mapping '!AK73 &amp; ","</f>
        <v>9999,</v>
      </c>
      <c r="AL9" t="str">
        <f ca="1">'(直掃)Change to adc mapping '!AL73 &amp; ","</f>
        <v>9999,</v>
      </c>
      <c r="AM9" t="str">
        <f ca="1">'(直掃)Change to adc mapping '!AM73 &amp; ","</f>
        <v>9999,</v>
      </c>
      <c r="AN9" t="str">
        <f ca="1">'(直掃)Change to adc mapping '!AN73 &amp; ","</f>
        <v>9999,</v>
      </c>
      <c r="AO9" t="str">
        <f ca="1">'(直掃)Change to adc mapping '!AO73 &amp; ","</f>
        <v>9999,</v>
      </c>
      <c r="AP9" t="str">
        <f ca="1">'(直掃)Change to adc mapping '!AP73 &amp; ","</f>
        <v>9999,</v>
      </c>
      <c r="AQ9" t="str">
        <f ca="1">'(直掃)Change to adc mapping '!AQ73 &amp; ","</f>
        <v>9999,</v>
      </c>
      <c r="AR9" t="str">
        <f ca="1">'(直掃)Change to adc mapping '!AR73 &amp; ","</f>
        <v>9999,</v>
      </c>
      <c r="AS9" t="str">
        <f ca="1">'(直掃)Change to adc mapping '!AS73 &amp; ","</f>
        <v>9999,</v>
      </c>
      <c r="AT9" t="str">
        <f ca="1">'(直掃)Change to adc mapping '!AT73 &amp; ","</f>
        <v>9999,</v>
      </c>
      <c r="AU9" t="str">
        <f ca="1">'(直掃)Change to adc mapping '!AU73 &amp; ","</f>
        <v>9999,</v>
      </c>
      <c r="AV9" t="str">
        <f ca="1">'(直掃)Change to adc mapping '!AV73 &amp; ","</f>
        <v>9999,</v>
      </c>
      <c r="AW9" t="str">
        <f ca="1">'(直掃)Change to adc mapping '!AW73 &amp; ","</f>
        <v>9999,</v>
      </c>
      <c r="AX9" t="str">
        <f ca="1">'(直掃)Change to adc mapping '!AX73 &amp; ","</f>
        <v>9999,</v>
      </c>
      <c r="AY9" t="str">
        <f ca="1">'(直掃)Change to adc mapping '!AY73 &amp; ","</f>
        <v>9999,</v>
      </c>
      <c r="AZ9" t="str">
        <f ca="1">'(直掃)Change to adc mapping '!AZ73 &amp; ","</f>
        <v>9999,</v>
      </c>
      <c r="BA9" t="str">
        <f ca="1">'(直掃)Change to adc mapping '!BA73 &amp; ","</f>
        <v>9999,</v>
      </c>
      <c r="BB9" t="str">
        <f ca="1">'(直掃)Change to adc mapping '!BB73 &amp; ","</f>
        <v>9999,</v>
      </c>
      <c r="BC9" t="str">
        <f ca="1">'(直掃)Change to adc mapping '!BC73 &amp; ","</f>
        <v>9999,</v>
      </c>
      <c r="BD9" t="str">
        <f ca="1">'(直掃)Change to adc mapping '!BD73 &amp; ","</f>
        <v>9999,</v>
      </c>
      <c r="BE9" t="str">
        <f ca="1">'(直掃)Change to adc mapping '!BE73 &amp; ","</f>
        <v>9999,</v>
      </c>
      <c r="BF9" t="str">
        <f ca="1">'(直掃)Change to adc mapping '!BF73 &amp; ","</f>
        <v>9999,</v>
      </c>
      <c r="BG9" t="str">
        <f ca="1">'(直掃)Change to adc mapping '!BG73 &amp; ","</f>
        <v>9999,</v>
      </c>
      <c r="BH9" t="str">
        <f ca="1">'(直掃)Change to adc mapping '!BH73 &amp; ","</f>
        <v>9999,</v>
      </c>
      <c r="BI9" t="str">
        <f ca="1">'(直掃)Change to adc mapping '!BI73 &amp; ","</f>
        <v>9999,</v>
      </c>
    </row>
    <row r="10" spans="1:61" x14ac:dyDescent="0.25">
      <c r="A10" s="20">
        <v>9</v>
      </c>
      <c r="B10" t="str">
        <f ca="1">'(直掃)Change to adc mapping '!B74 &amp; ","</f>
        <v>9999,</v>
      </c>
      <c r="C10" t="str">
        <f ca="1">'(直掃)Change to adc mapping '!C74 &amp; ","</f>
        <v>9999,</v>
      </c>
      <c r="D10" t="str">
        <f ca="1">'(直掃)Change to adc mapping '!D74 &amp; ","</f>
        <v>9999,</v>
      </c>
      <c r="E10" t="str">
        <f ca="1">'(直掃)Change to adc mapping '!E74 &amp; ","</f>
        <v>9999,</v>
      </c>
      <c r="F10" t="str">
        <f ca="1">'(直掃)Change to adc mapping '!F74 &amp; ","</f>
        <v>9999,</v>
      </c>
      <c r="G10" t="str">
        <f ca="1">'(直掃)Change to adc mapping '!G74 &amp; ","</f>
        <v>9999,</v>
      </c>
      <c r="H10" t="str">
        <f ca="1">'(直掃)Change to adc mapping '!H74 &amp; ","</f>
        <v>9999,</v>
      </c>
      <c r="I10" t="str">
        <f ca="1">'(直掃)Change to adc mapping '!I74 &amp; ","</f>
        <v>9999,</v>
      </c>
      <c r="J10" t="str">
        <f ca="1">'(直掃)Change to adc mapping '!J74 &amp; ","</f>
        <v>9999,</v>
      </c>
      <c r="K10" t="str">
        <f ca="1">'(直掃)Change to adc mapping '!K74 &amp; ","</f>
        <v>9999,</v>
      </c>
      <c r="L10" t="str">
        <f ca="1">'(直掃)Change to adc mapping '!L74 &amp; ","</f>
        <v>9999,</v>
      </c>
      <c r="M10" t="str">
        <f ca="1">'(直掃)Change to adc mapping '!M74 &amp; ","</f>
        <v>9999,</v>
      </c>
      <c r="N10" t="str">
        <f ca="1">'(直掃)Change to adc mapping '!N74 &amp; ","</f>
        <v>9999,</v>
      </c>
      <c r="O10" t="str">
        <f ca="1">'(直掃)Change to adc mapping '!O74 &amp; ","</f>
        <v>9999,</v>
      </c>
      <c r="P10" t="str">
        <f ca="1">'(直掃)Change to adc mapping '!P74 &amp; ","</f>
        <v>9999,</v>
      </c>
      <c r="Q10" t="str">
        <f ca="1">'(直掃)Change to adc mapping '!Q74 &amp; ","</f>
        <v>9999,</v>
      </c>
      <c r="R10" t="str">
        <f ca="1">'(直掃)Change to adc mapping '!R74 &amp; ","</f>
        <v>9999,</v>
      </c>
      <c r="S10" t="str">
        <f ca="1">'(直掃)Change to adc mapping '!S74 &amp; ","</f>
        <v>9999,</v>
      </c>
      <c r="T10" t="str">
        <f ca="1">'(直掃)Change to adc mapping '!T74 &amp; ","</f>
        <v>9999,</v>
      </c>
      <c r="U10" t="str">
        <f ca="1">'(直掃)Change to adc mapping '!U74 &amp; ","</f>
        <v>9999,</v>
      </c>
      <c r="V10" t="str">
        <f ca="1">'(直掃)Change to adc mapping '!V74 &amp; ","</f>
        <v>9999,</v>
      </c>
      <c r="W10" t="str">
        <f ca="1">'(直掃)Change to adc mapping '!W74 &amp; ","</f>
        <v>9999,</v>
      </c>
      <c r="X10" t="str">
        <f ca="1">'(直掃)Change to adc mapping '!X74 &amp; ","</f>
        <v>9999,</v>
      </c>
      <c r="Y10" t="str">
        <f ca="1">'(直掃)Change to adc mapping '!Y74 &amp; ","</f>
        <v>9999,</v>
      </c>
      <c r="Z10" t="str">
        <f ca="1">'(直掃)Change to adc mapping '!Z74 &amp; ","</f>
        <v>9999,</v>
      </c>
      <c r="AA10" t="str">
        <f ca="1">'(直掃)Change to adc mapping '!AA74 &amp; ","</f>
        <v>9999,</v>
      </c>
      <c r="AB10" t="str">
        <f ca="1">'(直掃)Change to adc mapping '!AB74 &amp; ","</f>
        <v>9999,</v>
      </c>
      <c r="AC10" t="str">
        <f ca="1">'(直掃)Change to adc mapping '!AC74 &amp; ","</f>
        <v>9999,</v>
      </c>
      <c r="AD10" t="str">
        <f ca="1">'(直掃)Change to adc mapping '!AD74 &amp; ","</f>
        <v>9999,</v>
      </c>
      <c r="AE10" t="str">
        <f ca="1">'(直掃)Change to adc mapping '!AE74 &amp; ","</f>
        <v>9999,</v>
      </c>
      <c r="AF10" t="str">
        <f ca="1">'(直掃)Change to adc mapping '!AF74 &amp; ","</f>
        <v>9999,</v>
      </c>
      <c r="AG10" t="str">
        <f ca="1">'(直掃)Change to adc mapping '!AG74 &amp; ","</f>
        <v>9999,</v>
      </c>
      <c r="AH10" t="str">
        <f ca="1">'(直掃)Change to adc mapping '!AH74 &amp; ","</f>
        <v>9999,</v>
      </c>
      <c r="AI10" t="str">
        <f ca="1">'(直掃)Change to adc mapping '!AI74 &amp; ","</f>
        <v>9999,</v>
      </c>
      <c r="AJ10" t="str">
        <f ca="1">'(直掃)Change to adc mapping '!AJ74 &amp; ","</f>
        <v>9999,</v>
      </c>
      <c r="AK10" t="str">
        <f ca="1">'(直掃)Change to adc mapping '!AK74 &amp; ","</f>
        <v>9999,</v>
      </c>
      <c r="AL10" t="str">
        <f ca="1">'(直掃)Change to adc mapping '!AL74 &amp; ","</f>
        <v>9999,</v>
      </c>
      <c r="AM10" t="str">
        <f ca="1">'(直掃)Change to adc mapping '!AM74 &amp; ","</f>
        <v>9999,</v>
      </c>
      <c r="AN10" t="str">
        <f ca="1">'(直掃)Change to adc mapping '!AN74 &amp; ","</f>
        <v>9999,</v>
      </c>
      <c r="AO10" t="str">
        <f ca="1">'(直掃)Change to adc mapping '!AO74 &amp; ","</f>
        <v>9999,</v>
      </c>
      <c r="AP10" t="str">
        <f ca="1">'(直掃)Change to adc mapping '!AP74 &amp; ","</f>
        <v>9999,</v>
      </c>
      <c r="AQ10" t="str">
        <f ca="1">'(直掃)Change to adc mapping '!AQ74 &amp; ","</f>
        <v>9999,</v>
      </c>
      <c r="AR10" t="str">
        <f ca="1">'(直掃)Change to adc mapping '!AR74 &amp; ","</f>
        <v>9999,</v>
      </c>
      <c r="AS10" t="str">
        <f ca="1">'(直掃)Change to adc mapping '!AS74 &amp; ","</f>
        <v>9999,</v>
      </c>
      <c r="AT10" t="str">
        <f ca="1">'(直掃)Change to adc mapping '!AT74 &amp; ","</f>
        <v>9999,</v>
      </c>
      <c r="AU10" t="str">
        <f ca="1">'(直掃)Change to adc mapping '!AU74 &amp; ","</f>
        <v>9999,</v>
      </c>
      <c r="AV10" t="str">
        <f ca="1">'(直掃)Change to adc mapping '!AV74 &amp; ","</f>
        <v>9999,</v>
      </c>
      <c r="AW10" t="str">
        <f ca="1">'(直掃)Change to adc mapping '!AW74 &amp; ","</f>
        <v>9999,</v>
      </c>
      <c r="AX10" t="str">
        <f ca="1">'(直掃)Change to adc mapping '!AX74 &amp; ","</f>
        <v>9999,</v>
      </c>
      <c r="AY10" t="str">
        <f ca="1">'(直掃)Change to adc mapping '!AY74 &amp; ","</f>
        <v>9999,</v>
      </c>
      <c r="AZ10" t="str">
        <f ca="1">'(直掃)Change to adc mapping '!AZ74 &amp; ","</f>
        <v>9999,</v>
      </c>
      <c r="BA10" t="str">
        <f ca="1">'(直掃)Change to adc mapping '!BA74 &amp; ","</f>
        <v>9999,</v>
      </c>
      <c r="BB10" t="str">
        <f ca="1">'(直掃)Change to adc mapping '!BB74 &amp; ","</f>
        <v>9999,</v>
      </c>
      <c r="BC10" t="str">
        <f ca="1">'(直掃)Change to adc mapping '!BC74 &amp; ","</f>
        <v>9999,</v>
      </c>
      <c r="BD10" t="str">
        <f ca="1">'(直掃)Change to adc mapping '!BD74 &amp; ","</f>
        <v>9999,</v>
      </c>
      <c r="BE10" t="str">
        <f ca="1">'(直掃)Change to adc mapping '!BE74 &amp; ","</f>
        <v>9999,</v>
      </c>
      <c r="BF10" t="str">
        <f ca="1">'(直掃)Change to adc mapping '!BF74 &amp; ","</f>
        <v>9999,</v>
      </c>
      <c r="BG10" t="str">
        <f ca="1">'(直掃)Change to adc mapping '!BG74 &amp; ","</f>
        <v>9999,</v>
      </c>
      <c r="BH10" t="str">
        <f ca="1">'(直掃)Change to adc mapping '!BH74 &amp; ","</f>
        <v>9999,</v>
      </c>
      <c r="BI10" t="str">
        <f ca="1">'(直掃)Change to adc mapping '!BI74 &amp; ","</f>
        <v>9999,</v>
      </c>
    </row>
    <row r="11" spans="1:61" x14ac:dyDescent="0.25">
      <c r="A11" s="20">
        <v>10</v>
      </c>
      <c r="B11" t="str">
        <f ca="1">'(直掃)Change to adc mapping '!B75 &amp; ","</f>
        <v>9999,</v>
      </c>
      <c r="C11" t="str">
        <f ca="1">'(直掃)Change to adc mapping '!C75 &amp; ","</f>
        <v>9999,</v>
      </c>
      <c r="D11" t="str">
        <f ca="1">'(直掃)Change to adc mapping '!D75 &amp; ","</f>
        <v>9999,</v>
      </c>
      <c r="E11" t="str">
        <f ca="1">'(直掃)Change to adc mapping '!E75 &amp; ","</f>
        <v>9999,</v>
      </c>
      <c r="F11" t="str">
        <f ca="1">'(直掃)Change to adc mapping '!F75 &amp; ","</f>
        <v>9999,</v>
      </c>
      <c r="G11" t="str">
        <f ca="1">'(直掃)Change to adc mapping '!G75 &amp; ","</f>
        <v>9999,</v>
      </c>
      <c r="H11" t="str">
        <f ca="1">'(直掃)Change to adc mapping '!H75 &amp; ","</f>
        <v>9999,</v>
      </c>
      <c r="I11" t="str">
        <f ca="1">'(直掃)Change to adc mapping '!I75 &amp; ","</f>
        <v>9999,</v>
      </c>
      <c r="J11" t="str">
        <f ca="1">'(直掃)Change to adc mapping '!J75 &amp; ","</f>
        <v>9999,</v>
      </c>
      <c r="K11" t="str">
        <f ca="1">'(直掃)Change to adc mapping '!K75 &amp; ","</f>
        <v>9999,</v>
      </c>
      <c r="L11" t="str">
        <f ca="1">'(直掃)Change to adc mapping '!L75 &amp; ","</f>
        <v>9999,</v>
      </c>
      <c r="M11" t="str">
        <f ca="1">'(直掃)Change to adc mapping '!M75 &amp; ","</f>
        <v>9999,</v>
      </c>
      <c r="N11" t="str">
        <f ca="1">'(直掃)Change to adc mapping '!N75 &amp; ","</f>
        <v>9999,</v>
      </c>
      <c r="O11" t="str">
        <f ca="1">'(直掃)Change to adc mapping '!O75 &amp; ","</f>
        <v>9999,</v>
      </c>
      <c r="P11" t="str">
        <f ca="1">'(直掃)Change to adc mapping '!P75 &amp; ","</f>
        <v>9999,</v>
      </c>
      <c r="Q11" t="str">
        <f ca="1">'(直掃)Change to adc mapping '!Q75 &amp; ","</f>
        <v>9999,</v>
      </c>
      <c r="R11" t="str">
        <f ca="1">'(直掃)Change to adc mapping '!R75 &amp; ","</f>
        <v>9999,</v>
      </c>
      <c r="S11" t="str">
        <f ca="1">'(直掃)Change to adc mapping '!S75 &amp; ","</f>
        <v>9999,</v>
      </c>
      <c r="T11" t="str">
        <f ca="1">'(直掃)Change to adc mapping '!T75 &amp; ","</f>
        <v>9999,</v>
      </c>
      <c r="U11" t="str">
        <f ca="1">'(直掃)Change to adc mapping '!U75 &amp; ","</f>
        <v>9999,</v>
      </c>
      <c r="V11" t="str">
        <f ca="1">'(直掃)Change to adc mapping '!V75 &amp; ","</f>
        <v>9999,</v>
      </c>
      <c r="W11" t="str">
        <f ca="1">'(直掃)Change to adc mapping '!W75 &amp; ","</f>
        <v>9999,</v>
      </c>
      <c r="X11" t="str">
        <f ca="1">'(直掃)Change to adc mapping '!X75 &amp; ","</f>
        <v>9999,</v>
      </c>
      <c r="Y11" t="str">
        <f ca="1">'(直掃)Change to adc mapping '!Y75 &amp; ","</f>
        <v>9999,</v>
      </c>
      <c r="Z11" t="str">
        <f ca="1">'(直掃)Change to adc mapping '!Z75 &amp; ","</f>
        <v>9999,</v>
      </c>
      <c r="AA11" t="str">
        <f ca="1">'(直掃)Change to adc mapping '!AA75 &amp; ","</f>
        <v>9999,</v>
      </c>
      <c r="AB11" t="str">
        <f ca="1">'(直掃)Change to adc mapping '!AB75 &amp; ","</f>
        <v>9999,</v>
      </c>
      <c r="AC11" t="str">
        <f ca="1">'(直掃)Change to adc mapping '!AC75 &amp; ","</f>
        <v>9999,</v>
      </c>
      <c r="AD11" t="str">
        <f ca="1">'(直掃)Change to adc mapping '!AD75 &amp; ","</f>
        <v>9999,</v>
      </c>
      <c r="AE11" t="str">
        <f ca="1">'(直掃)Change to adc mapping '!AE75 &amp; ","</f>
        <v>9999,</v>
      </c>
      <c r="AF11" t="str">
        <f ca="1">'(直掃)Change to adc mapping '!AF75 &amp; ","</f>
        <v>9999,</v>
      </c>
      <c r="AG11" t="str">
        <f ca="1">'(直掃)Change to adc mapping '!AG75 &amp; ","</f>
        <v>9999,</v>
      </c>
      <c r="AH11" t="str">
        <f ca="1">'(直掃)Change to adc mapping '!AH75 &amp; ","</f>
        <v>9999,</v>
      </c>
      <c r="AI11" t="str">
        <f ca="1">'(直掃)Change to adc mapping '!AI75 &amp; ","</f>
        <v>9999,</v>
      </c>
      <c r="AJ11" t="str">
        <f ca="1">'(直掃)Change to adc mapping '!AJ75 &amp; ","</f>
        <v>9999,</v>
      </c>
      <c r="AK11" t="str">
        <f ca="1">'(直掃)Change to adc mapping '!AK75 &amp; ","</f>
        <v>9999,</v>
      </c>
      <c r="AL11" t="str">
        <f ca="1">'(直掃)Change to adc mapping '!AL75 &amp; ","</f>
        <v>9999,</v>
      </c>
      <c r="AM11" t="str">
        <f ca="1">'(直掃)Change to adc mapping '!AM75 &amp; ","</f>
        <v>9999,</v>
      </c>
      <c r="AN11" t="str">
        <f ca="1">'(直掃)Change to adc mapping '!AN75 &amp; ","</f>
        <v>9999,</v>
      </c>
      <c r="AO11" t="str">
        <f ca="1">'(直掃)Change to adc mapping '!AO75 &amp; ","</f>
        <v>9999,</v>
      </c>
      <c r="AP11" t="str">
        <f ca="1">'(直掃)Change to adc mapping '!AP75 &amp; ","</f>
        <v>9999,</v>
      </c>
      <c r="AQ11" t="str">
        <f ca="1">'(直掃)Change to adc mapping '!AQ75 &amp; ","</f>
        <v>9999,</v>
      </c>
      <c r="AR11" t="str">
        <f ca="1">'(直掃)Change to adc mapping '!AR75 &amp; ","</f>
        <v>9999,</v>
      </c>
      <c r="AS11" t="str">
        <f ca="1">'(直掃)Change to adc mapping '!AS75 &amp; ","</f>
        <v>9999,</v>
      </c>
      <c r="AT11" t="str">
        <f ca="1">'(直掃)Change to adc mapping '!AT75 &amp; ","</f>
        <v>9999,</v>
      </c>
      <c r="AU11" t="str">
        <f ca="1">'(直掃)Change to adc mapping '!AU75 &amp; ","</f>
        <v>9999,</v>
      </c>
      <c r="AV11" t="str">
        <f ca="1">'(直掃)Change to adc mapping '!AV75 &amp; ","</f>
        <v>9999,</v>
      </c>
      <c r="AW11" t="str">
        <f ca="1">'(直掃)Change to adc mapping '!AW75 &amp; ","</f>
        <v>9999,</v>
      </c>
      <c r="AX11" t="str">
        <f ca="1">'(直掃)Change to adc mapping '!AX75 &amp; ","</f>
        <v>9999,</v>
      </c>
      <c r="AY11" t="str">
        <f ca="1">'(直掃)Change to adc mapping '!AY75 &amp; ","</f>
        <v>9999,</v>
      </c>
      <c r="AZ11" t="str">
        <f ca="1">'(直掃)Change to adc mapping '!AZ75 &amp; ","</f>
        <v>9999,</v>
      </c>
      <c r="BA11" t="str">
        <f ca="1">'(直掃)Change to adc mapping '!BA75 &amp; ","</f>
        <v>9999,</v>
      </c>
      <c r="BB11" t="str">
        <f ca="1">'(直掃)Change to adc mapping '!BB75 &amp; ","</f>
        <v>9999,</v>
      </c>
      <c r="BC11" t="str">
        <f ca="1">'(直掃)Change to adc mapping '!BC75 &amp; ","</f>
        <v>9999,</v>
      </c>
      <c r="BD11" t="str">
        <f ca="1">'(直掃)Change to adc mapping '!BD75 &amp; ","</f>
        <v>9999,</v>
      </c>
      <c r="BE11" t="str">
        <f ca="1">'(直掃)Change to adc mapping '!BE75 &amp; ","</f>
        <v>9999,</v>
      </c>
      <c r="BF11" t="str">
        <f ca="1">'(直掃)Change to adc mapping '!BF75 &amp; ","</f>
        <v>9999,</v>
      </c>
      <c r="BG11" t="str">
        <f ca="1">'(直掃)Change to adc mapping '!BG75 &amp; ","</f>
        <v>9999,</v>
      </c>
      <c r="BH11" t="str">
        <f ca="1">'(直掃)Change to adc mapping '!BH75 &amp; ","</f>
        <v>9999,</v>
      </c>
      <c r="BI11" t="str">
        <f ca="1">'(直掃)Change to adc mapping '!BI75 &amp; ","</f>
        <v>9999,</v>
      </c>
    </row>
    <row r="12" spans="1:61" x14ac:dyDescent="0.25">
      <c r="A12" s="20">
        <v>11</v>
      </c>
      <c r="B12" t="str">
        <f ca="1">'(直掃)Change to adc mapping '!B76 &amp; ","</f>
        <v>9999,</v>
      </c>
      <c r="C12" t="str">
        <f ca="1">'(直掃)Change to adc mapping '!C76 &amp; ","</f>
        <v>9999,</v>
      </c>
      <c r="D12" t="str">
        <f ca="1">'(直掃)Change to adc mapping '!D76 &amp; ","</f>
        <v>9999,</v>
      </c>
      <c r="E12" t="str">
        <f ca="1">'(直掃)Change to adc mapping '!E76 &amp; ","</f>
        <v>9999,</v>
      </c>
      <c r="F12" t="str">
        <f ca="1">'(直掃)Change to adc mapping '!F76 &amp; ","</f>
        <v>9999,</v>
      </c>
      <c r="G12" t="str">
        <f ca="1">'(直掃)Change to adc mapping '!G76 &amp; ","</f>
        <v>9999,</v>
      </c>
      <c r="H12" t="str">
        <f ca="1">'(直掃)Change to adc mapping '!H76 &amp; ","</f>
        <v>9999,</v>
      </c>
      <c r="I12" t="str">
        <f ca="1">'(直掃)Change to adc mapping '!I76 &amp; ","</f>
        <v>9999,</v>
      </c>
      <c r="J12" t="str">
        <f ca="1">'(直掃)Change to adc mapping '!J76 &amp; ","</f>
        <v>9999,</v>
      </c>
      <c r="K12" t="str">
        <f ca="1">'(直掃)Change to adc mapping '!K76 &amp; ","</f>
        <v>9999,</v>
      </c>
      <c r="L12" t="str">
        <f ca="1">'(直掃)Change to adc mapping '!L76 &amp; ","</f>
        <v>9999,</v>
      </c>
      <c r="M12" t="str">
        <f ca="1">'(直掃)Change to adc mapping '!M76 &amp; ","</f>
        <v>9999,</v>
      </c>
      <c r="N12" t="str">
        <f ca="1">'(直掃)Change to adc mapping '!N76 &amp; ","</f>
        <v>9999,</v>
      </c>
      <c r="O12" t="str">
        <f ca="1">'(直掃)Change to adc mapping '!O76 &amp; ","</f>
        <v>9999,</v>
      </c>
      <c r="P12" t="str">
        <f ca="1">'(直掃)Change to adc mapping '!P76 &amp; ","</f>
        <v>9999,</v>
      </c>
      <c r="Q12" t="str">
        <f ca="1">'(直掃)Change to adc mapping '!Q76 &amp; ","</f>
        <v>9999,</v>
      </c>
      <c r="R12" t="str">
        <f ca="1">'(直掃)Change to adc mapping '!R76 &amp; ","</f>
        <v>9999,</v>
      </c>
      <c r="S12" t="str">
        <f ca="1">'(直掃)Change to adc mapping '!S76 &amp; ","</f>
        <v>9999,</v>
      </c>
      <c r="T12" t="str">
        <f ca="1">'(直掃)Change to adc mapping '!T76 &amp; ","</f>
        <v>9999,</v>
      </c>
      <c r="U12" t="str">
        <f ca="1">'(直掃)Change to adc mapping '!U76 &amp; ","</f>
        <v>9999,</v>
      </c>
      <c r="V12" t="str">
        <f ca="1">'(直掃)Change to adc mapping '!V76 &amp; ","</f>
        <v>9999,</v>
      </c>
      <c r="W12" t="str">
        <f ca="1">'(直掃)Change to adc mapping '!W76 &amp; ","</f>
        <v>9999,</v>
      </c>
      <c r="X12" t="str">
        <f ca="1">'(直掃)Change to adc mapping '!X76 &amp; ","</f>
        <v>9999,</v>
      </c>
      <c r="Y12" t="str">
        <f ca="1">'(直掃)Change to adc mapping '!Y76 &amp; ","</f>
        <v>9999,</v>
      </c>
      <c r="Z12" t="str">
        <f ca="1">'(直掃)Change to adc mapping '!Z76 &amp; ","</f>
        <v>9999,</v>
      </c>
      <c r="AA12" t="str">
        <f ca="1">'(直掃)Change to adc mapping '!AA76 &amp; ","</f>
        <v>9999,</v>
      </c>
      <c r="AB12" t="str">
        <f ca="1">'(直掃)Change to adc mapping '!AB76 &amp; ","</f>
        <v>9999,</v>
      </c>
      <c r="AC12" t="str">
        <f ca="1">'(直掃)Change to adc mapping '!AC76 &amp; ","</f>
        <v>9999,</v>
      </c>
      <c r="AD12" t="str">
        <f ca="1">'(直掃)Change to adc mapping '!AD76 &amp; ","</f>
        <v>9999,</v>
      </c>
      <c r="AE12" t="str">
        <f ca="1">'(直掃)Change to adc mapping '!AE76 &amp; ","</f>
        <v>9999,</v>
      </c>
      <c r="AF12" t="str">
        <f ca="1">'(直掃)Change to adc mapping '!AF76 &amp; ","</f>
        <v>9999,</v>
      </c>
      <c r="AG12" t="str">
        <f ca="1">'(直掃)Change to adc mapping '!AG76 &amp; ","</f>
        <v>9999,</v>
      </c>
      <c r="AH12" t="str">
        <f ca="1">'(直掃)Change to adc mapping '!AH76 &amp; ","</f>
        <v>9999,</v>
      </c>
      <c r="AI12" t="str">
        <f ca="1">'(直掃)Change to adc mapping '!AI76 &amp; ","</f>
        <v>9999,</v>
      </c>
      <c r="AJ12" t="str">
        <f ca="1">'(直掃)Change to adc mapping '!AJ76 &amp; ","</f>
        <v>9999,</v>
      </c>
      <c r="AK12" t="str">
        <f ca="1">'(直掃)Change to adc mapping '!AK76 &amp; ","</f>
        <v>9999,</v>
      </c>
      <c r="AL12" t="str">
        <f ca="1">'(直掃)Change to adc mapping '!AL76 &amp; ","</f>
        <v>9999,</v>
      </c>
      <c r="AM12" t="str">
        <f ca="1">'(直掃)Change to adc mapping '!AM76 &amp; ","</f>
        <v>9999,</v>
      </c>
      <c r="AN12" t="str">
        <f ca="1">'(直掃)Change to adc mapping '!AN76 &amp; ","</f>
        <v>9999,</v>
      </c>
      <c r="AO12" t="str">
        <f ca="1">'(直掃)Change to adc mapping '!AO76 &amp; ","</f>
        <v>9999,</v>
      </c>
      <c r="AP12" t="str">
        <f ca="1">'(直掃)Change to adc mapping '!AP76 &amp; ","</f>
        <v>9999,</v>
      </c>
      <c r="AQ12" t="str">
        <f ca="1">'(直掃)Change to adc mapping '!AQ76 &amp; ","</f>
        <v>9999,</v>
      </c>
      <c r="AR12" t="str">
        <f ca="1">'(直掃)Change to adc mapping '!AR76 &amp; ","</f>
        <v>9999,</v>
      </c>
      <c r="AS12" t="str">
        <f ca="1">'(直掃)Change to adc mapping '!AS76 &amp; ","</f>
        <v>9999,</v>
      </c>
      <c r="AT12" t="str">
        <f ca="1">'(直掃)Change to adc mapping '!AT76 &amp; ","</f>
        <v>9999,</v>
      </c>
      <c r="AU12" t="str">
        <f ca="1">'(直掃)Change to adc mapping '!AU76 &amp; ","</f>
        <v>9999,</v>
      </c>
      <c r="AV12" t="str">
        <f ca="1">'(直掃)Change to adc mapping '!AV76 &amp; ","</f>
        <v>9999,</v>
      </c>
      <c r="AW12" t="str">
        <f ca="1">'(直掃)Change to adc mapping '!AW76 &amp; ","</f>
        <v>9999,</v>
      </c>
      <c r="AX12" t="str">
        <f ca="1">'(直掃)Change to adc mapping '!AX76 &amp; ","</f>
        <v>9999,</v>
      </c>
      <c r="AY12" t="str">
        <f ca="1">'(直掃)Change to adc mapping '!AY76 &amp; ","</f>
        <v>9999,</v>
      </c>
      <c r="AZ12" t="str">
        <f ca="1">'(直掃)Change to adc mapping '!AZ76 &amp; ","</f>
        <v>9999,</v>
      </c>
      <c r="BA12" t="str">
        <f ca="1">'(直掃)Change to adc mapping '!BA76 &amp; ","</f>
        <v>9999,</v>
      </c>
      <c r="BB12" t="str">
        <f ca="1">'(直掃)Change to adc mapping '!BB76 &amp; ","</f>
        <v>9999,</v>
      </c>
      <c r="BC12" t="str">
        <f ca="1">'(直掃)Change to adc mapping '!BC76 &amp; ","</f>
        <v>9999,</v>
      </c>
      <c r="BD12" t="str">
        <f ca="1">'(直掃)Change to adc mapping '!BD76 &amp; ","</f>
        <v>9999,</v>
      </c>
      <c r="BE12" t="str">
        <f ca="1">'(直掃)Change to adc mapping '!BE76 &amp; ","</f>
        <v>9999,</v>
      </c>
      <c r="BF12" t="str">
        <f ca="1">'(直掃)Change to adc mapping '!BF76 &amp; ","</f>
        <v>9999,</v>
      </c>
      <c r="BG12" t="str">
        <f ca="1">'(直掃)Change to adc mapping '!BG76 &amp; ","</f>
        <v>9999,</v>
      </c>
      <c r="BH12" t="str">
        <f ca="1">'(直掃)Change to adc mapping '!BH76 &amp; ","</f>
        <v>9999,</v>
      </c>
      <c r="BI12" t="str">
        <f ca="1">'(直掃)Change to adc mapping '!BI76 &amp; ","</f>
        <v>9999,</v>
      </c>
    </row>
    <row r="13" spans="1:61" x14ac:dyDescent="0.25">
      <c r="A13" s="20">
        <v>12</v>
      </c>
      <c r="B13" t="str">
        <f ca="1">'(直掃)Change to adc mapping '!B77 &amp; ","</f>
        <v>9999,</v>
      </c>
      <c r="C13" t="str">
        <f ca="1">'(直掃)Change to adc mapping '!C77 &amp; ","</f>
        <v>9999,</v>
      </c>
      <c r="D13" t="str">
        <f ca="1">'(直掃)Change to adc mapping '!D77 &amp; ","</f>
        <v>9999,</v>
      </c>
      <c r="E13" t="str">
        <f ca="1">'(直掃)Change to adc mapping '!E77 &amp; ","</f>
        <v>9999,</v>
      </c>
      <c r="F13" t="str">
        <f ca="1">'(直掃)Change to adc mapping '!F77 &amp; ","</f>
        <v>9999,</v>
      </c>
      <c r="G13" t="str">
        <f ca="1">'(直掃)Change to adc mapping '!G77 &amp; ","</f>
        <v>9999,</v>
      </c>
      <c r="H13" t="str">
        <f ca="1">'(直掃)Change to adc mapping '!H77 &amp; ","</f>
        <v>9999,</v>
      </c>
      <c r="I13" t="str">
        <f ca="1">'(直掃)Change to adc mapping '!I77 &amp; ","</f>
        <v>9999,</v>
      </c>
      <c r="J13" t="str">
        <f ca="1">'(直掃)Change to adc mapping '!J77 &amp; ","</f>
        <v>9999,</v>
      </c>
      <c r="K13" t="str">
        <f ca="1">'(直掃)Change to adc mapping '!K77 &amp; ","</f>
        <v>9999,</v>
      </c>
      <c r="L13" t="str">
        <f ca="1">'(直掃)Change to adc mapping '!L77 &amp; ","</f>
        <v>9999,</v>
      </c>
      <c r="M13" t="str">
        <f ca="1">'(直掃)Change to adc mapping '!M77 &amp; ","</f>
        <v>9999,</v>
      </c>
      <c r="N13" t="str">
        <f ca="1">'(直掃)Change to adc mapping '!N77 &amp; ","</f>
        <v>9999,</v>
      </c>
      <c r="O13" t="str">
        <f ca="1">'(直掃)Change to adc mapping '!O77 &amp; ","</f>
        <v>9999,</v>
      </c>
      <c r="P13" t="str">
        <f ca="1">'(直掃)Change to adc mapping '!P77 &amp; ","</f>
        <v>9999,</v>
      </c>
      <c r="Q13" t="str">
        <f ca="1">'(直掃)Change to adc mapping '!Q77 &amp; ","</f>
        <v>9999,</v>
      </c>
      <c r="R13" t="str">
        <f ca="1">'(直掃)Change to adc mapping '!R77 &amp; ","</f>
        <v>9999,</v>
      </c>
      <c r="S13" t="str">
        <f ca="1">'(直掃)Change to adc mapping '!S77 &amp; ","</f>
        <v>9999,</v>
      </c>
      <c r="T13" t="str">
        <f ca="1">'(直掃)Change to adc mapping '!T77 &amp; ","</f>
        <v>9999,</v>
      </c>
      <c r="U13" t="str">
        <f ca="1">'(直掃)Change to adc mapping '!U77 &amp; ","</f>
        <v>9999,</v>
      </c>
      <c r="V13" t="str">
        <f ca="1">'(直掃)Change to adc mapping '!V77 &amp; ","</f>
        <v>9999,</v>
      </c>
      <c r="W13" t="str">
        <f ca="1">'(直掃)Change to adc mapping '!W77 &amp; ","</f>
        <v>9999,</v>
      </c>
      <c r="X13" t="str">
        <f ca="1">'(直掃)Change to adc mapping '!X77 &amp; ","</f>
        <v>9999,</v>
      </c>
      <c r="Y13" t="str">
        <f ca="1">'(直掃)Change to adc mapping '!Y77 &amp; ","</f>
        <v>9999,</v>
      </c>
      <c r="Z13" t="str">
        <f ca="1">'(直掃)Change to adc mapping '!Z77 &amp; ","</f>
        <v>9999,</v>
      </c>
      <c r="AA13" t="str">
        <f ca="1">'(直掃)Change to adc mapping '!AA77 &amp; ","</f>
        <v>9999,</v>
      </c>
      <c r="AB13" t="str">
        <f ca="1">'(直掃)Change to adc mapping '!AB77 &amp; ","</f>
        <v>9999,</v>
      </c>
      <c r="AC13" t="str">
        <f ca="1">'(直掃)Change to adc mapping '!AC77 &amp; ","</f>
        <v>9999,</v>
      </c>
      <c r="AD13" t="str">
        <f ca="1">'(直掃)Change to adc mapping '!AD77 &amp; ","</f>
        <v>9999,</v>
      </c>
      <c r="AE13" t="str">
        <f ca="1">'(直掃)Change to adc mapping '!AE77 &amp; ","</f>
        <v>9999,</v>
      </c>
      <c r="AF13" t="str">
        <f ca="1">'(直掃)Change to adc mapping '!AF77 &amp; ","</f>
        <v>9999,</v>
      </c>
      <c r="AG13" t="str">
        <f ca="1">'(直掃)Change to adc mapping '!AG77 &amp; ","</f>
        <v>9999,</v>
      </c>
      <c r="AH13" t="str">
        <f ca="1">'(直掃)Change to adc mapping '!AH77 &amp; ","</f>
        <v>9999,</v>
      </c>
      <c r="AI13" t="str">
        <f ca="1">'(直掃)Change to adc mapping '!AI77 &amp; ","</f>
        <v>9999,</v>
      </c>
      <c r="AJ13" t="str">
        <f ca="1">'(直掃)Change to adc mapping '!AJ77 &amp; ","</f>
        <v>9999,</v>
      </c>
      <c r="AK13" t="str">
        <f ca="1">'(直掃)Change to adc mapping '!AK77 &amp; ","</f>
        <v>9999,</v>
      </c>
      <c r="AL13" t="str">
        <f ca="1">'(直掃)Change to adc mapping '!AL77 &amp; ","</f>
        <v>9999,</v>
      </c>
      <c r="AM13" t="str">
        <f ca="1">'(直掃)Change to adc mapping '!AM77 &amp; ","</f>
        <v>9999,</v>
      </c>
      <c r="AN13" t="str">
        <f ca="1">'(直掃)Change to adc mapping '!AN77 &amp; ","</f>
        <v>9999,</v>
      </c>
      <c r="AO13" t="str">
        <f ca="1">'(直掃)Change to adc mapping '!AO77 &amp; ","</f>
        <v>9999,</v>
      </c>
      <c r="AP13" t="str">
        <f ca="1">'(直掃)Change to adc mapping '!AP77 &amp; ","</f>
        <v>9999,</v>
      </c>
      <c r="AQ13" t="str">
        <f ca="1">'(直掃)Change to adc mapping '!AQ77 &amp; ","</f>
        <v>9999,</v>
      </c>
      <c r="AR13" t="str">
        <f ca="1">'(直掃)Change to adc mapping '!AR77 &amp; ","</f>
        <v>9999,</v>
      </c>
      <c r="AS13" t="str">
        <f ca="1">'(直掃)Change to adc mapping '!AS77 &amp; ","</f>
        <v>9999,</v>
      </c>
      <c r="AT13" t="str">
        <f ca="1">'(直掃)Change to adc mapping '!AT77 &amp; ","</f>
        <v>9999,</v>
      </c>
      <c r="AU13" t="str">
        <f ca="1">'(直掃)Change to adc mapping '!AU77 &amp; ","</f>
        <v>9999,</v>
      </c>
      <c r="AV13" t="str">
        <f ca="1">'(直掃)Change to adc mapping '!AV77 &amp; ","</f>
        <v>9999,</v>
      </c>
      <c r="AW13" t="str">
        <f ca="1">'(直掃)Change to adc mapping '!AW77 &amp; ","</f>
        <v>9999,</v>
      </c>
      <c r="AX13" t="str">
        <f ca="1">'(直掃)Change to adc mapping '!AX77 &amp; ","</f>
        <v>9999,</v>
      </c>
      <c r="AY13" t="str">
        <f ca="1">'(直掃)Change to adc mapping '!AY77 &amp; ","</f>
        <v>9999,</v>
      </c>
      <c r="AZ13" t="str">
        <f ca="1">'(直掃)Change to adc mapping '!AZ77 &amp; ","</f>
        <v>9999,</v>
      </c>
      <c r="BA13" t="str">
        <f ca="1">'(直掃)Change to adc mapping '!BA77 &amp; ","</f>
        <v>9999,</v>
      </c>
      <c r="BB13" t="str">
        <f ca="1">'(直掃)Change to adc mapping '!BB77 &amp; ","</f>
        <v>9999,</v>
      </c>
      <c r="BC13" t="str">
        <f ca="1">'(直掃)Change to adc mapping '!BC77 &amp; ","</f>
        <v>9999,</v>
      </c>
      <c r="BD13" t="str">
        <f ca="1">'(直掃)Change to adc mapping '!BD77 &amp; ","</f>
        <v>9999,</v>
      </c>
      <c r="BE13" t="str">
        <f ca="1">'(直掃)Change to adc mapping '!BE77 &amp; ","</f>
        <v>9999,</v>
      </c>
      <c r="BF13" t="str">
        <f ca="1">'(直掃)Change to adc mapping '!BF77 &amp; ","</f>
        <v>9999,</v>
      </c>
      <c r="BG13" t="str">
        <f ca="1">'(直掃)Change to adc mapping '!BG77 &amp; ","</f>
        <v>9999,</v>
      </c>
      <c r="BH13" t="str">
        <f ca="1">'(直掃)Change to adc mapping '!BH77 &amp; ","</f>
        <v>9999,</v>
      </c>
      <c r="BI13" t="str">
        <f ca="1">'(直掃)Change to adc mapping '!BI77 &amp; ","</f>
        <v>9999,</v>
      </c>
    </row>
    <row r="14" spans="1:61" x14ac:dyDescent="0.25">
      <c r="A14" s="20">
        <v>13</v>
      </c>
      <c r="B14" t="str">
        <f ca="1">'(直掃)Change to adc mapping '!B78 &amp; ","</f>
        <v>9999,</v>
      </c>
      <c r="C14" t="str">
        <f ca="1">'(直掃)Change to adc mapping '!C78 &amp; ","</f>
        <v>9999,</v>
      </c>
      <c r="D14" t="str">
        <f ca="1">'(直掃)Change to adc mapping '!D78 &amp; ","</f>
        <v>9999,</v>
      </c>
      <c r="E14" t="str">
        <f ca="1">'(直掃)Change to adc mapping '!E78 &amp; ","</f>
        <v>9999,</v>
      </c>
      <c r="F14" t="str">
        <f ca="1">'(直掃)Change to adc mapping '!F78 &amp; ","</f>
        <v>9999,</v>
      </c>
      <c r="G14" t="str">
        <f ca="1">'(直掃)Change to adc mapping '!G78 &amp; ","</f>
        <v>9999,</v>
      </c>
      <c r="H14" t="str">
        <f ca="1">'(直掃)Change to adc mapping '!H78 &amp; ","</f>
        <v>9999,</v>
      </c>
      <c r="I14" t="str">
        <f ca="1">'(直掃)Change to adc mapping '!I78 &amp; ","</f>
        <v>9999,</v>
      </c>
      <c r="J14" t="str">
        <f ca="1">'(直掃)Change to adc mapping '!J78 &amp; ","</f>
        <v>9999,</v>
      </c>
      <c r="K14" t="str">
        <f ca="1">'(直掃)Change to adc mapping '!K78 &amp; ","</f>
        <v>9999,</v>
      </c>
      <c r="L14" t="str">
        <f ca="1">'(直掃)Change to adc mapping '!L78 &amp; ","</f>
        <v>9999,</v>
      </c>
      <c r="M14" t="str">
        <f ca="1">'(直掃)Change to adc mapping '!M78 &amp; ","</f>
        <v>9999,</v>
      </c>
      <c r="N14" t="str">
        <f ca="1">'(直掃)Change to adc mapping '!N78 &amp; ","</f>
        <v>9999,</v>
      </c>
      <c r="O14" t="str">
        <f ca="1">'(直掃)Change to adc mapping '!O78 &amp; ","</f>
        <v>9999,</v>
      </c>
      <c r="P14" t="str">
        <f ca="1">'(直掃)Change to adc mapping '!P78 &amp; ","</f>
        <v>9999,</v>
      </c>
      <c r="Q14" t="str">
        <f ca="1">'(直掃)Change to adc mapping '!Q78 &amp; ","</f>
        <v>9999,</v>
      </c>
      <c r="R14" t="str">
        <f ca="1">'(直掃)Change to adc mapping '!R78 &amp; ","</f>
        <v>9999,</v>
      </c>
      <c r="S14" t="str">
        <f ca="1">'(直掃)Change to adc mapping '!S78 &amp; ","</f>
        <v>9999,</v>
      </c>
      <c r="T14" t="str">
        <f ca="1">'(直掃)Change to adc mapping '!T78 &amp; ","</f>
        <v>9999,</v>
      </c>
      <c r="U14" t="str">
        <f ca="1">'(直掃)Change to adc mapping '!U78 &amp; ","</f>
        <v>9999,</v>
      </c>
      <c r="V14" t="str">
        <f ca="1">'(直掃)Change to adc mapping '!V78 &amp; ","</f>
        <v>9999,</v>
      </c>
      <c r="W14" t="str">
        <f ca="1">'(直掃)Change to adc mapping '!W78 &amp; ","</f>
        <v>9999,</v>
      </c>
      <c r="X14" t="str">
        <f ca="1">'(直掃)Change to adc mapping '!X78 &amp; ","</f>
        <v>9999,</v>
      </c>
      <c r="Y14" t="str">
        <f ca="1">'(直掃)Change to adc mapping '!Y78 &amp; ","</f>
        <v>9999,</v>
      </c>
      <c r="Z14" t="str">
        <f ca="1">'(直掃)Change to adc mapping '!Z78 &amp; ","</f>
        <v>9999,</v>
      </c>
      <c r="AA14" t="str">
        <f ca="1">'(直掃)Change to adc mapping '!AA78 &amp; ","</f>
        <v>9999,</v>
      </c>
      <c r="AB14" t="str">
        <f ca="1">'(直掃)Change to adc mapping '!AB78 &amp; ","</f>
        <v>9999,</v>
      </c>
      <c r="AC14" t="str">
        <f ca="1">'(直掃)Change to adc mapping '!AC78 &amp; ","</f>
        <v>9999,</v>
      </c>
      <c r="AD14" t="str">
        <f ca="1">'(直掃)Change to adc mapping '!AD78 &amp; ","</f>
        <v>9999,</v>
      </c>
      <c r="AE14" t="str">
        <f ca="1">'(直掃)Change to adc mapping '!AE78 &amp; ","</f>
        <v>9999,</v>
      </c>
      <c r="AF14" t="str">
        <f ca="1">'(直掃)Change to adc mapping '!AF78 &amp; ","</f>
        <v>9999,</v>
      </c>
      <c r="AG14" t="str">
        <f ca="1">'(直掃)Change to adc mapping '!AG78 &amp; ","</f>
        <v>9999,</v>
      </c>
      <c r="AH14" t="str">
        <f ca="1">'(直掃)Change to adc mapping '!AH78 &amp; ","</f>
        <v>9999,</v>
      </c>
      <c r="AI14" t="str">
        <f ca="1">'(直掃)Change to adc mapping '!AI78 &amp; ","</f>
        <v>9999,</v>
      </c>
      <c r="AJ14" t="str">
        <f ca="1">'(直掃)Change to adc mapping '!AJ78 &amp; ","</f>
        <v>9999,</v>
      </c>
      <c r="AK14" t="str">
        <f ca="1">'(直掃)Change to adc mapping '!AK78 &amp; ","</f>
        <v>9999,</v>
      </c>
      <c r="AL14" t="str">
        <f ca="1">'(直掃)Change to adc mapping '!AL78 &amp; ","</f>
        <v>9999,</v>
      </c>
      <c r="AM14" t="str">
        <f ca="1">'(直掃)Change to adc mapping '!AM78 &amp; ","</f>
        <v>9999,</v>
      </c>
      <c r="AN14" t="str">
        <f ca="1">'(直掃)Change to adc mapping '!AN78 &amp; ","</f>
        <v>9999,</v>
      </c>
      <c r="AO14" t="str">
        <f ca="1">'(直掃)Change to adc mapping '!AO78 &amp; ","</f>
        <v>9999,</v>
      </c>
      <c r="AP14" t="str">
        <f ca="1">'(直掃)Change to adc mapping '!AP78 &amp; ","</f>
        <v>9999,</v>
      </c>
      <c r="AQ14" t="str">
        <f ca="1">'(直掃)Change to adc mapping '!AQ78 &amp; ","</f>
        <v>9999,</v>
      </c>
      <c r="AR14" t="str">
        <f ca="1">'(直掃)Change to adc mapping '!AR78 &amp; ","</f>
        <v>9999,</v>
      </c>
      <c r="AS14" t="str">
        <f ca="1">'(直掃)Change to adc mapping '!AS78 &amp; ","</f>
        <v>9999,</v>
      </c>
      <c r="AT14" t="str">
        <f ca="1">'(直掃)Change to adc mapping '!AT78 &amp; ","</f>
        <v>9999,</v>
      </c>
      <c r="AU14" t="str">
        <f ca="1">'(直掃)Change to adc mapping '!AU78 &amp; ","</f>
        <v>9999,</v>
      </c>
      <c r="AV14" t="str">
        <f ca="1">'(直掃)Change to adc mapping '!AV78 &amp; ","</f>
        <v>9999,</v>
      </c>
      <c r="AW14" t="str">
        <f ca="1">'(直掃)Change to adc mapping '!AW78 &amp; ","</f>
        <v>9999,</v>
      </c>
      <c r="AX14" t="str">
        <f ca="1">'(直掃)Change to adc mapping '!AX78 &amp; ","</f>
        <v>9999,</v>
      </c>
      <c r="AY14" t="str">
        <f ca="1">'(直掃)Change to adc mapping '!AY78 &amp; ","</f>
        <v>9999,</v>
      </c>
      <c r="AZ14" t="str">
        <f ca="1">'(直掃)Change to adc mapping '!AZ78 &amp; ","</f>
        <v>9999,</v>
      </c>
      <c r="BA14" t="str">
        <f ca="1">'(直掃)Change to adc mapping '!BA78 &amp; ","</f>
        <v>9999,</v>
      </c>
      <c r="BB14" t="str">
        <f ca="1">'(直掃)Change to adc mapping '!BB78 &amp; ","</f>
        <v>9999,</v>
      </c>
      <c r="BC14" t="str">
        <f ca="1">'(直掃)Change to adc mapping '!BC78 &amp; ","</f>
        <v>9999,</v>
      </c>
      <c r="BD14" t="str">
        <f ca="1">'(直掃)Change to adc mapping '!BD78 &amp; ","</f>
        <v>9999,</v>
      </c>
      <c r="BE14" t="str">
        <f ca="1">'(直掃)Change to adc mapping '!BE78 &amp; ","</f>
        <v>9999,</v>
      </c>
      <c r="BF14" t="str">
        <f ca="1">'(直掃)Change to adc mapping '!BF78 &amp; ","</f>
        <v>9999,</v>
      </c>
      <c r="BG14" t="str">
        <f ca="1">'(直掃)Change to adc mapping '!BG78 &amp; ","</f>
        <v>9999,</v>
      </c>
      <c r="BH14" t="str">
        <f ca="1">'(直掃)Change to adc mapping '!BH78 &amp; ","</f>
        <v>9999,</v>
      </c>
      <c r="BI14" t="str">
        <f ca="1">'(直掃)Change to adc mapping '!BI78 &amp; ","</f>
        <v>9999,</v>
      </c>
    </row>
    <row r="15" spans="1:61" x14ac:dyDescent="0.25">
      <c r="A15" s="20">
        <v>14</v>
      </c>
      <c r="B15" t="str">
        <f ca="1">'(直掃)Change to adc mapping '!B79 &amp; ","</f>
        <v>9999,</v>
      </c>
      <c r="C15" t="str">
        <f ca="1">'(直掃)Change to adc mapping '!C79 &amp; ","</f>
        <v>9999,</v>
      </c>
      <c r="D15" t="str">
        <f ca="1">'(直掃)Change to adc mapping '!D79 &amp; ","</f>
        <v>9999,</v>
      </c>
      <c r="E15" t="str">
        <f ca="1">'(直掃)Change to adc mapping '!E79 &amp; ","</f>
        <v>9999,</v>
      </c>
      <c r="F15" t="str">
        <f ca="1">'(直掃)Change to adc mapping '!F79 &amp; ","</f>
        <v>9999,</v>
      </c>
      <c r="G15" t="str">
        <f ca="1">'(直掃)Change to adc mapping '!G79 &amp; ","</f>
        <v>9999,</v>
      </c>
      <c r="H15" t="str">
        <f ca="1">'(直掃)Change to adc mapping '!H79 &amp; ","</f>
        <v>9999,</v>
      </c>
      <c r="I15" t="str">
        <f ca="1">'(直掃)Change to adc mapping '!I79 &amp; ","</f>
        <v>9999,</v>
      </c>
      <c r="J15" t="str">
        <f ca="1">'(直掃)Change to adc mapping '!J79 &amp; ","</f>
        <v>9999,</v>
      </c>
      <c r="K15" t="str">
        <f ca="1">'(直掃)Change to adc mapping '!K79 &amp; ","</f>
        <v>9999,</v>
      </c>
      <c r="L15" t="str">
        <f ca="1">'(直掃)Change to adc mapping '!L79 &amp; ","</f>
        <v>9999,</v>
      </c>
      <c r="M15" t="str">
        <f ca="1">'(直掃)Change to adc mapping '!M79 &amp; ","</f>
        <v>9999,</v>
      </c>
      <c r="N15" t="str">
        <f ca="1">'(直掃)Change to adc mapping '!N79 &amp; ","</f>
        <v>9999,</v>
      </c>
      <c r="O15" t="str">
        <f ca="1">'(直掃)Change to adc mapping '!O79 &amp; ","</f>
        <v>9999,</v>
      </c>
      <c r="P15" t="str">
        <f ca="1">'(直掃)Change to adc mapping '!P79 &amp; ","</f>
        <v>9999,</v>
      </c>
      <c r="Q15" t="str">
        <f ca="1">'(直掃)Change to adc mapping '!Q79 &amp; ","</f>
        <v>9999,</v>
      </c>
      <c r="R15" t="str">
        <f ca="1">'(直掃)Change to adc mapping '!R79 &amp; ","</f>
        <v>9999,</v>
      </c>
      <c r="S15" t="str">
        <f ca="1">'(直掃)Change to adc mapping '!S79 &amp; ","</f>
        <v>9999,</v>
      </c>
      <c r="T15" t="str">
        <f ca="1">'(直掃)Change to adc mapping '!T79 &amp; ","</f>
        <v>9999,</v>
      </c>
      <c r="U15" t="str">
        <f ca="1">'(直掃)Change to adc mapping '!U79 &amp; ","</f>
        <v>9999,</v>
      </c>
      <c r="V15" t="str">
        <f ca="1">'(直掃)Change to adc mapping '!V79 &amp; ","</f>
        <v>9999,</v>
      </c>
      <c r="W15" t="str">
        <f ca="1">'(直掃)Change to adc mapping '!W79 &amp; ","</f>
        <v>9999,</v>
      </c>
      <c r="X15" t="str">
        <f ca="1">'(直掃)Change to adc mapping '!X79 &amp; ","</f>
        <v>9999,</v>
      </c>
      <c r="Y15" t="str">
        <f ca="1">'(直掃)Change to adc mapping '!Y79 &amp; ","</f>
        <v>9999,</v>
      </c>
      <c r="Z15" t="str">
        <f ca="1">'(直掃)Change to adc mapping '!Z79 &amp; ","</f>
        <v>9999,</v>
      </c>
      <c r="AA15" t="str">
        <f ca="1">'(直掃)Change to adc mapping '!AA79 &amp; ","</f>
        <v>9999,</v>
      </c>
      <c r="AB15" t="str">
        <f ca="1">'(直掃)Change to adc mapping '!AB79 &amp; ","</f>
        <v>9999,</v>
      </c>
      <c r="AC15" t="str">
        <f ca="1">'(直掃)Change to adc mapping '!AC79 &amp; ","</f>
        <v>9999,</v>
      </c>
      <c r="AD15" t="str">
        <f ca="1">'(直掃)Change to adc mapping '!AD79 &amp; ","</f>
        <v>9999,</v>
      </c>
      <c r="AE15" t="str">
        <f ca="1">'(直掃)Change to adc mapping '!AE79 &amp; ","</f>
        <v>9999,</v>
      </c>
      <c r="AF15" t="str">
        <f ca="1">'(直掃)Change to adc mapping '!AF79 &amp; ","</f>
        <v>9999,</v>
      </c>
      <c r="AG15" t="str">
        <f ca="1">'(直掃)Change to adc mapping '!AG79 &amp; ","</f>
        <v>9999,</v>
      </c>
      <c r="AH15" t="str">
        <f ca="1">'(直掃)Change to adc mapping '!AH79 &amp; ","</f>
        <v>9999,</v>
      </c>
      <c r="AI15" t="str">
        <f ca="1">'(直掃)Change to adc mapping '!AI79 &amp; ","</f>
        <v>9999,</v>
      </c>
      <c r="AJ15" t="str">
        <f ca="1">'(直掃)Change to adc mapping '!AJ79 &amp; ","</f>
        <v>9999,</v>
      </c>
      <c r="AK15" t="str">
        <f ca="1">'(直掃)Change to adc mapping '!AK79 &amp; ","</f>
        <v>9999,</v>
      </c>
      <c r="AL15" t="str">
        <f ca="1">'(直掃)Change to adc mapping '!AL79 &amp; ","</f>
        <v>9999,</v>
      </c>
      <c r="AM15" t="str">
        <f ca="1">'(直掃)Change to adc mapping '!AM79 &amp; ","</f>
        <v>9999,</v>
      </c>
      <c r="AN15" t="str">
        <f ca="1">'(直掃)Change to adc mapping '!AN79 &amp; ","</f>
        <v>9999,</v>
      </c>
      <c r="AO15" t="str">
        <f ca="1">'(直掃)Change to adc mapping '!AO79 &amp; ","</f>
        <v>9999,</v>
      </c>
      <c r="AP15" t="str">
        <f ca="1">'(直掃)Change to adc mapping '!AP79 &amp; ","</f>
        <v>9999,</v>
      </c>
      <c r="AQ15" t="str">
        <f ca="1">'(直掃)Change to adc mapping '!AQ79 &amp; ","</f>
        <v>9999,</v>
      </c>
      <c r="AR15" t="str">
        <f ca="1">'(直掃)Change to adc mapping '!AR79 &amp; ","</f>
        <v>9999,</v>
      </c>
      <c r="AS15" t="str">
        <f ca="1">'(直掃)Change to adc mapping '!AS79 &amp; ","</f>
        <v>9999,</v>
      </c>
      <c r="AT15" t="str">
        <f ca="1">'(直掃)Change to adc mapping '!AT79 &amp; ","</f>
        <v>9999,</v>
      </c>
      <c r="AU15" t="str">
        <f ca="1">'(直掃)Change to adc mapping '!AU79 &amp; ","</f>
        <v>9999,</v>
      </c>
      <c r="AV15" t="str">
        <f ca="1">'(直掃)Change to adc mapping '!AV79 &amp; ","</f>
        <v>9999,</v>
      </c>
      <c r="AW15" t="str">
        <f ca="1">'(直掃)Change to adc mapping '!AW79 &amp; ","</f>
        <v>9999,</v>
      </c>
      <c r="AX15" t="str">
        <f ca="1">'(直掃)Change to adc mapping '!AX79 &amp; ","</f>
        <v>9999,</v>
      </c>
      <c r="AY15" t="str">
        <f ca="1">'(直掃)Change to adc mapping '!AY79 &amp; ","</f>
        <v>9999,</v>
      </c>
      <c r="AZ15" t="str">
        <f ca="1">'(直掃)Change to adc mapping '!AZ79 &amp; ","</f>
        <v>9999,</v>
      </c>
      <c r="BA15" t="str">
        <f ca="1">'(直掃)Change to adc mapping '!BA79 &amp; ","</f>
        <v>9999,</v>
      </c>
      <c r="BB15" t="str">
        <f ca="1">'(直掃)Change to adc mapping '!BB79 &amp; ","</f>
        <v>9999,</v>
      </c>
      <c r="BC15" t="str">
        <f ca="1">'(直掃)Change to adc mapping '!BC79 &amp; ","</f>
        <v>9999,</v>
      </c>
      <c r="BD15" t="str">
        <f ca="1">'(直掃)Change to adc mapping '!BD79 &amp; ","</f>
        <v>9999,</v>
      </c>
      <c r="BE15" t="str">
        <f ca="1">'(直掃)Change to adc mapping '!BE79 &amp; ","</f>
        <v>9999,</v>
      </c>
      <c r="BF15" t="str">
        <f ca="1">'(直掃)Change to adc mapping '!BF79 &amp; ","</f>
        <v>9999,</v>
      </c>
      <c r="BG15" t="str">
        <f ca="1">'(直掃)Change to adc mapping '!BG79 &amp; ","</f>
        <v>9999,</v>
      </c>
      <c r="BH15" t="str">
        <f ca="1">'(直掃)Change to adc mapping '!BH79 &amp; ","</f>
        <v>9999,</v>
      </c>
      <c r="BI15" t="str">
        <f ca="1">'(直掃)Change to adc mapping '!BI79 &amp; ","</f>
        <v>9999,</v>
      </c>
    </row>
    <row r="16" spans="1:61" x14ac:dyDescent="0.25">
      <c r="A16" s="20">
        <v>15</v>
      </c>
      <c r="B16" t="str">
        <f ca="1">'(直掃)Change to adc mapping '!B80 &amp; ","</f>
        <v>9999,</v>
      </c>
      <c r="C16" t="str">
        <f ca="1">'(直掃)Change to adc mapping '!C80 &amp; ","</f>
        <v>9999,</v>
      </c>
      <c r="D16" t="str">
        <f ca="1">'(直掃)Change to adc mapping '!D80 &amp; ","</f>
        <v>9999,</v>
      </c>
      <c r="E16" t="str">
        <f ca="1">'(直掃)Change to adc mapping '!E80 &amp; ","</f>
        <v>9999,</v>
      </c>
      <c r="F16" t="str">
        <f ca="1">'(直掃)Change to adc mapping '!F80 &amp; ","</f>
        <v>9999,</v>
      </c>
      <c r="G16" t="str">
        <f ca="1">'(直掃)Change to adc mapping '!G80 &amp; ","</f>
        <v>9999,</v>
      </c>
      <c r="H16" t="str">
        <f ca="1">'(直掃)Change to adc mapping '!H80 &amp; ","</f>
        <v>9999,</v>
      </c>
      <c r="I16" t="str">
        <f ca="1">'(直掃)Change to adc mapping '!I80 &amp; ","</f>
        <v>9999,</v>
      </c>
      <c r="J16" t="str">
        <f ca="1">'(直掃)Change to adc mapping '!J80 &amp; ","</f>
        <v>9999,</v>
      </c>
      <c r="K16" t="str">
        <f ca="1">'(直掃)Change to adc mapping '!K80 &amp; ","</f>
        <v>9999,</v>
      </c>
      <c r="L16" t="str">
        <f ca="1">'(直掃)Change to adc mapping '!L80 &amp; ","</f>
        <v>9999,</v>
      </c>
      <c r="M16" t="str">
        <f ca="1">'(直掃)Change to adc mapping '!M80 &amp; ","</f>
        <v>9999,</v>
      </c>
      <c r="N16" t="str">
        <f ca="1">'(直掃)Change to adc mapping '!N80 &amp; ","</f>
        <v>9999,</v>
      </c>
      <c r="O16" t="str">
        <f ca="1">'(直掃)Change to adc mapping '!O80 &amp; ","</f>
        <v>9999,</v>
      </c>
      <c r="P16" t="str">
        <f ca="1">'(直掃)Change to adc mapping '!P80 &amp; ","</f>
        <v>9999,</v>
      </c>
      <c r="Q16" t="str">
        <f ca="1">'(直掃)Change to adc mapping '!Q80 &amp; ","</f>
        <v>9999,</v>
      </c>
      <c r="R16" t="str">
        <f ca="1">'(直掃)Change to adc mapping '!R80 &amp; ","</f>
        <v>9999,</v>
      </c>
      <c r="S16" t="str">
        <f ca="1">'(直掃)Change to adc mapping '!S80 &amp; ","</f>
        <v>9999,</v>
      </c>
      <c r="T16" t="str">
        <f ca="1">'(直掃)Change to adc mapping '!T80 &amp; ","</f>
        <v>9999,</v>
      </c>
      <c r="U16" t="str">
        <f ca="1">'(直掃)Change to adc mapping '!U80 &amp; ","</f>
        <v>9999,</v>
      </c>
      <c r="V16" t="str">
        <f ca="1">'(直掃)Change to adc mapping '!V80 &amp; ","</f>
        <v>9999,</v>
      </c>
      <c r="W16" t="str">
        <f ca="1">'(直掃)Change to adc mapping '!W80 &amp; ","</f>
        <v>9999,</v>
      </c>
      <c r="X16" t="str">
        <f ca="1">'(直掃)Change to adc mapping '!X80 &amp; ","</f>
        <v>9999,</v>
      </c>
      <c r="Y16" t="str">
        <f ca="1">'(直掃)Change to adc mapping '!Y80 &amp; ","</f>
        <v>9999,</v>
      </c>
      <c r="Z16" t="str">
        <f ca="1">'(直掃)Change to adc mapping '!Z80 &amp; ","</f>
        <v>9999,</v>
      </c>
      <c r="AA16" t="str">
        <f ca="1">'(直掃)Change to adc mapping '!AA80 &amp; ","</f>
        <v>9999,</v>
      </c>
      <c r="AB16" t="str">
        <f ca="1">'(直掃)Change to adc mapping '!AB80 &amp; ","</f>
        <v>9999,</v>
      </c>
      <c r="AC16" t="str">
        <f ca="1">'(直掃)Change to adc mapping '!AC80 &amp; ","</f>
        <v>9999,</v>
      </c>
      <c r="AD16" t="str">
        <f ca="1">'(直掃)Change to adc mapping '!AD80 &amp; ","</f>
        <v>9999,</v>
      </c>
      <c r="AE16" t="str">
        <f ca="1">'(直掃)Change to adc mapping '!AE80 &amp; ","</f>
        <v>9999,</v>
      </c>
      <c r="AF16" t="str">
        <f ca="1">'(直掃)Change to adc mapping '!AF80 &amp; ","</f>
        <v>9999,</v>
      </c>
      <c r="AG16" t="str">
        <f ca="1">'(直掃)Change to adc mapping '!AG80 &amp; ","</f>
        <v>9999,</v>
      </c>
      <c r="AH16" t="str">
        <f ca="1">'(直掃)Change to adc mapping '!AH80 &amp; ","</f>
        <v>9999,</v>
      </c>
      <c r="AI16" t="str">
        <f ca="1">'(直掃)Change to adc mapping '!AI80 &amp; ","</f>
        <v>9999,</v>
      </c>
      <c r="AJ16" t="str">
        <f ca="1">'(直掃)Change to adc mapping '!AJ80 &amp; ","</f>
        <v>9999,</v>
      </c>
      <c r="AK16" t="str">
        <f ca="1">'(直掃)Change to adc mapping '!AK80 &amp; ","</f>
        <v>9999,</v>
      </c>
      <c r="AL16" t="str">
        <f ca="1">'(直掃)Change to adc mapping '!AL80 &amp; ","</f>
        <v>9999,</v>
      </c>
      <c r="AM16" t="str">
        <f ca="1">'(直掃)Change to adc mapping '!AM80 &amp; ","</f>
        <v>9999,</v>
      </c>
      <c r="AN16" t="str">
        <f ca="1">'(直掃)Change to adc mapping '!AN80 &amp; ","</f>
        <v>9999,</v>
      </c>
      <c r="AO16" t="str">
        <f ca="1">'(直掃)Change to adc mapping '!AO80 &amp; ","</f>
        <v>9999,</v>
      </c>
      <c r="AP16" t="str">
        <f ca="1">'(直掃)Change to adc mapping '!AP80 &amp; ","</f>
        <v>9999,</v>
      </c>
      <c r="AQ16" t="str">
        <f ca="1">'(直掃)Change to adc mapping '!AQ80 &amp; ","</f>
        <v>9999,</v>
      </c>
      <c r="AR16" t="str">
        <f ca="1">'(直掃)Change to adc mapping '!AR80 &amp; ","</f>
        <v>9999,</v>
      </c>
      <c r="AS16" t="str">
        <f ca="1">'(直掃)Change to adc mapping '!AS80 &amp; ","</f>
        <v>9999,</v>
      </c>
      <c r="AT16" t="str">
        <f ca="1">'(直掃)Change to adc mapping '!AT80 &amp; ","</f>
        <v>9999,</v>
      </c>
      <c r="AU16" t="str">
        <f ca="1">'(直掃)Change to adc mapping '!AU80 &amp; ","</f>
        <v>9999,</v>
      </c>
      <c r="AV16" t="str">
        <f ca="1">'(直掃)Change to adc mapping '!AV80 &amp; ","</f>
        <v>9999,</v>
      </c>
      <c r="AW16" t="str">
        <f ca="1">'(直掃)Change to adc mapping '!AW80 &amp; ","</f>
        <v>9999,</v>
      </c>
      <c r="AX16" t="str">
        <f ca="1">'(直掃)Change to adc mapping '!AX80 &amp; ","</f>
        <v>9999,</v>
      </c>
      <c r="AY16" t="str">
        <f ca="1">'(直掃)Change to adc mapping '!AY80 &amp; ","</f>
        <v>9999,</v>
      </c>
      <c r="AZ16" t="str">
        <f ca="1">'(直掃)Change to adc mapping '!AZ80 &amp; ","</f>
        <v>9999,</v>
      </c>
      <c r="BA16" t="str">
        <f ca="1">'(直掃)Change to adc mapping '!BA80 &amp; ","</f>
        <v>9999,</v>
      </c>
      <c r="BB16" t="str">
        <f ca="1">'(直掃)Change to adc mapping '!BB80 &amp; ","</f>
        <v>9999,</v>
      </c>
      <c r="BC16" t="str">
        <f ca="1">'(直掃)Change to adc mapping '!BC80 &amp; ","</f>
        <v>9999,</v>
      </c>
      <c r="BD16" t="str">
        <f ca="1">'(直掃)Change to adc mapping '!BD80 &amp; ","</f>
        <v>9999,</v>
      </c>
      <c r="BE16" t="str">
        <f ca="1">'(直掃)Change to adc mapping '!BE80 &amp; ","</f>
        <v>9999,</v>
      </c>
      <c r="BF16" t="str">
        <f ca="1">'(直掃)Change to adc mapping '!BF80 &amp; ","</f>
        <v>9999,</v>
      </c>
      <c r="BG16" t="str">
        <f ca="1">'(直掃)Change to adc mapping '!BG80 &amp; ","</f>
        <v>9999,</v>
      </c>
      <c r="BH16" t="str">
        <f ca="1">'(直掃)Change to adc mapping '!BH80 &amp; ","</f>
        <v>9999,</v>
      </c>
      <c r="BI16" t="str">
        <f ca="1">'(直掃)Change to adc mapping '!BI80 &amp; ","</f>
        <v>9999,</v>
      </c>
    </row>
    <row r="17" spans="1:61" x14ac:dyDescent="0.25">
      <c r="A17" s="20">
        <v>16</v>
      </c>
      <c r="B17" t="str">
        <f ca="1">'(直掃)Change to adc mapping '!B81 &amp; ","</f>
        <v>9999,</v>
      </c>
      <c r="C17" t="str">
        <f ca="1">'(直掃)Change to adc mapping '!C81 &amp; ","</f>
        <v>9999,</v>
      </c>
      <c r="D17" t="str">
        <f ca="1">'(直掃)Change to adc mapping '!D81 &amp; ","</f>
        <v>9999,</v>
      </c>
      <c r="E17" t="str">
        <f ca="1">'(直掃)Change to adc mapping '!E81 &amp; ","</f>
        <v>9999,</v>
      </c>
      <c r="F17" t="str">
        <f ca="1">'(直掃)Change to adc mapping '!F81 &amp; ","</f>
        <v>9999,</v>
      </c>
      <c r="G17" t="str">
        <f ca="1">'(直掃)Change to adc mapping '!G81 &amp; ","</f>
        <v>9999,</v>
      </c>
      <c r="H17" t="str">
        <f ca="1">'(直掃)Change to adc mapping '!H81 &amp; ","</f>
        <v>9999,</v>
      </c>
      <c r="I17" t="str">
        <f ca="1">'(直掃)Change to adc mapping '!I81 &amp; ","</f>
        <v>9999,</v>
      </c>
      <c r="J17" t="str">
        <f ca="1">'(直掃)Change to adc mapping '!J81 &amp; ","</f>
        <v>9999,</v>
      </c>
      <c r="K17" t="str">
        <f ca="1">'(直掃)Change to adc mapping '!K81 &amp; ","</f>
        <v>9999,</v>
      </c>
      <c r="L17" t="str">
        <f ca="1">'(直掃)Change to adc mapping '!L81 &amp; ","</f>
        <v>9999,</v>
      </c>
      <c r="M17" t="str">
        <f ca="1">'(直掃)Change to adc mapping '!M81 &amp; ","</f>
        <v>9999,</v>
      </c>
      <c r="N17" t="str">
        <f ca="1">'(直掃)Change to adc mapping '!N81 &amp; ","</f>
        <v>9999,</v>
      </c>
      <c r="O17" t="str">
        <f ca="1">'(直掃)Change to adc mapping '!O81 &amp; ","</f>
        <v>9999,</v>
      </c>
      <c r="P17" t="str">
        <f ca="1">'(直掃)Change to adc mapping '!P81 &amp; ","</f>
        <v>9999,</v>
      </c>
      <c r="Q17" t="str">
        <f ca="1">'(直掃)Change to adc mapping '!Q81 &amp; ","</f>
        <v>9999,</v>
      </c>
      <c r="R17" t="str">
        <f ca="1">'(直掃)Change to adc mapping '!R81 &amp; ","</f>
        <v>9999,</v>
      </c>
      <c r="S17" t="str">
        <f ca="1">'(直掃)Change to adc mapping '!S81 &amp; ","</f>
        <v>9999,</v>
      </c>
      <c r="T17" t="str">
        <f ca="1">'(直掃)Change to adc mapping '!T81 &amp; ","</f>
        <v>9999,</v>
      </c>
      <c r="U17" t="str">
        <f ca="1">'(直掃)Change to adc mapping '!U81 &amp; ","</f>
        <v>9999,</v>
      </c>
      <c r="V17" t="str">
        <f ca="1">'(直掃)Change to adc mapping '!V81 &amp; ","</f>
        <v>9999,</v>
      </c>
      <c r="W17" t="str">
        <f ca="1">'(直掃)Change to adc mapping '!W81 &amp; ","</f>
        <v>9999,</v>
      </c>
      <c r="X17" t="str">
        <f ca="1">'(直掃)Change to adc mapping '!X81 &amp; ","</f>
        <v>9999,</v>
      </c>
      <c r="Y17" t="str">
        <f ca="1">'(直掃)Change to adc mapping '!Y81 &amp; ","</f>
        <v>9999,</v>
      </c>
      <c r="Z17" t="str">
        <f ca="1">'(直掃)Change to adc mapping '!Z81 &amp; ","</f>
        <v>9999,</v>
      </c>
      <c r="AA17" t="str">
        <f ca="1">'(直掃)Change to adc mapping '!AA81 &amp; ","</f>
        <v>9999,</v>
      </c>
      <c r="AB17" t="str">
        <f ca="1">'(直掃)Change to adc mapping '!AB81 &amp; ","</f>
        <v>9999,</v>
      </c>
      <c r="AC17" t="str">
        <f ca="1">'(直掃)Change to adc mapping '!AC81 &amp; ","</f>
        <v>9999,</v>
      </c>
      <c r="AD17" t="str">
        <f ca="1">'(直掃)Change to adc mapping '!AD81 &amp; ","</f>
        <v>9999,</v>
      </c>
      <c r="AE17" t="str">
        <f ca="1">'(直掃)Change to adc mapping '!AE81 &amp; ","</f>
        <v>9999,</v>
      </c>
      <c r="AF17" t="str">
        <f ca="1">'(直掃)Change to adc mapping '!AF81 &amp; ","</f>
        <v>9999,</v>
      </c>
      <c r="AG17" t="str">
        <f ca="1">'(直掃)Change to adc mapping '!AG81 &amp; ","</f>
        <v>9999,</v>
      </c>
      <c r="AH17" t="str">
        <f ca="1">'(直掃)Change to adc mapping '!AH81 &amp; ","</f>
        <v>9999,</v>
      </c>
      <c r="AI17" t="str">
        <f ca="1">'(直掃)Change to adc mapping '!AI81 &amp; ","</f>
        <v>9999,</v>
      </c>
      <c r="AJ17" t="str">
        <f ca="1">'(直掃)Change to adc mapping '!AJ81 &amp; ","</f>
        <v>9999,</v>
      </c>
      <c r="AK17" t="str">
        <f ca="1">'(直掃)Change to adc mapping '!AK81 &amp; ","</f>
        <v>9999,</v>
      </c>
      <c r="AL17" t="str">
        <f ca="1">'(直掃)Change to adc mapping '!AL81 &amp; ","</f>
        <v>9999,</v>
      </c>
      <c r="AM17" t="str">
        <f ca="1">'(直掃)Change to adc mapping '!AM81 &amp; ","</f>
        <v>9999,</v>
      </c>
      <c r="AN17" t="str">
        <f ca="1">'(直掃)Change to adc mapping '!AN81 &amp; ","</f>
        <v>9999,</v>
      </c>
      <c r="AO17" t="str">
        <f ca="1">'(直掃)Change to adc mapping '!AO81 &amp; ","</f>
        <v>9999,</v>
      </c>
      <c r="AP17" t="str">
        <f ca="1">'(直掃)Change to adc mapping '!AP81 &amp; ","</f>
        <v>9999,</v>
      </c>
      <c r="AQ17" t="str">
        <f ca="1">'(直掃)Change to adc mapping '!AQ81 &amp; ","</f>
        <v>9999,</v>
      </c>
      <c r="AR17" t="str">
        <f ca="1">'(直掃)Change to adc mapping '!AR81 &amp; ","</f>
        <v>9999,</v>
      </c>
      <c r="AS17" t="str">
        <f ca="1">'(直掃)Change to adc mapping '!AS81 &amp; ","</f>
        <v>9999,</v>
      </c>
      <c r="AT17" t="str">
        <f ca="1">'(直掃)Change to adc mapping '!AT81 &amp; ","</f>
        <v>9999,</v>
      </c>
      <c r="AU17" t="str">
        <f ca="1">'(直掃)Change to adc mapping '!AU81 &amp; ","</f>
        <v>9999,</v>
      </c>
      <c r="AV17" t="str">
        <f ca="1">'(直掃)Change to adc mapping '!AV81 &amp; ","</f>
        <v>9999,</v>
      </c>
      <c r="AW17" t="str">
        <f ca="1">'(直掃)Change to adc mapping '!AW81 &amp; ","</f>
        <v>9999,</v>
      </c>
      <c r="AX17" t="str">
        <f ca="1">'(直掃)Change to adc mapping '!AX81 &amp; ","</f>
        <v>9999,</v>
      </c>
      <c r="AY17" t="str">
        <f ca="1">'(直掃)Change to adc mapping '!AY81 &amp; ","</f>
        <v>9999,</v>
      </c>
      <c r="AZ17" t="str">
        <f ca="1">'(直掃)Change to adc mapping '!AZ81 &amp; ","</f>
        <v>9999,</v>
      </c>
      <c r="BA17" t="str">
        <f ca="1">'(直掃)Change to adc mapping '!BA81 &amp; ","</f>
        <v>9999,</v>
      </c>
      <c r="BB17" t="str">
        <f ca="1">'(直掃)Change to adc mapping '!BB81 &amp; ","</f>
        <v>9999,</v>
      </c>
      <c r="BC17" t="str">
        <f ca="1">'(直掃)Change to adc mapping '!BC81 &amp; ","</f>
        <v>9999,</v>
      </c>
      <c r="BD17" t="str">
        <f ca="1">'(直掃)Change to adc mapping '!BD81 &amp; ","</f>
        <v>9999,</v>
      </c>
      <c r="BE17" t="str">
        <f ca="1">'(直掃)Change to adc mapping '!BE81 &amp; ","</f>
        <v>9999,</v>
      </c>
      <c r="BF17" t="str">
        <f ca="1">'(直掃)Change to adc mapping '!BF81 &amp; ","</f>
        <v>9999,</v>
      </c>
      <c r="BG17" t="str">
        <f ca="1">'(直掃)Change to adc mapping '!BG81 &amp; ","</f>
        <v>9999,</v>
      </c>
      <c r="BH17" t="str">
        <f ca="1">'(直掃)Change to adc mapping '!BH81 &amp; ","</f>
        <v>9999,</v>
      </c>
      <c r="BI17" t="str">
        <f ca="1">'(直掃)Change to adc mapping '!BI81 &amp; ","</f>
        <v>9999,</v>
      </c>
    </row>
    <row r="18" spans="1:61" x14ac:dyDescent="0.25">
      <c r="A18" s="20">
        <v>17</v>
      </c>
      <c r="B18" t="str">
        <f ca="1">'(直掃)Change to adc mapping '!B82 &amp; ","</f>
        <v>9999,</v>
      </c>
      <c r="C18" t="str">
        <f ca="1">'(直掃)Change to adc mapping '!C82 &amp; ","</f>
        <v>9999,</v>
      </c>
      <c r="D18" t="str">
        <f ca="1">'(直掃)Change to adc mapping '!D82 &amp; ","</f>
        <v>9999,</v>
      </c>
      <c r="E18" t="str">
        <f ca="1">'(直掃)Change to adc mapping '!E82 &amp; ","</f>
        <v>9999,</v>
      </c>
      <c r="F18" t="str">
        <f ca="1">'(直掃)Change to adc mapping '!F82 &amp; ","</f>
        <v>9999,</v>
      </c>
      <c r="G18" t="str">
        <f ca="1">'(直掃)Change to adc mapping '!G82 &amp; ","</f>
        <v>9999,</v>
      </c>
      <c r="H18" t="str">
        <f ca="1">'(直掃)Change to adc mapping '!H82 &amp; ","</f>
        <v>9999,</v>
      </c>
      <c r="I18" t="str">
        <f ca="1">'(直掃)Change to adc mapping '!I82 &amp; ","</f>
        <v>9999,</v>
      </c>
      <c r="J18" t="str">
        <f ca="1">'(直掃)Change to adc mapping '!J82 &amp; ","</f>
        <v>9999,</v>
      </c>
      <c r="K18" t="str">
        <f ca="1">'(直掃)Change to adc mapping '!K82 &amp; ","</f>
        <v>9999,</v>
      </c>
      <c r="L18" t="str">
        <f ca="1">'(直掃)Change to adc mapping '!L82 &amp; ","</f>
        <v>9999,</v>
      </c>
      <c r="M18" t="str">
        <f ca="1">'(直掃)Change to adc mapping '!M82 &amp; ","</f>
        <v>9999,</v>
      </c>
      <c r="N18" t="str">
        <f ca="1">'(直掃)Change to adc mapping '!N82 &amp; ","</f>
        <v>9999,</v>
      </c>
      <c r="O18" t="str">
        <f ca="1">'(直掃)Change to adc mapping '!O82 &amp; ","</f>
        <v>9999,</v>
      </c>
      <c r="P18" t="str">
        <f ca="1">'(直掃)Change to adc mapping '!P82 &amp; ","</f>
        <v>9999,</v>
      </c>
      <c r="Q18" t="str">
        <f ca="1">'(直掃)Change to adc mapping '!Q82 &amp; ","</f>
        <v>9999,</v>
      </c>
      <c r="R18" t="str">
        <f ca="1">'(直掃)Change to adc mapping '!R82 &amp; ","</f>
        <v>9999,</v>
      </c>
      <c r="S18" t="str">
        <f ca="1">'(直掃)Change to adc mapping '!S82 &amp; ","</f>
        <v>9999,</v>
      </c>
      <c r="T18" t="str">
        <f ca="1">'(直掃)Change to adc mapping '!T82 &amp; ","</f>
        <v>9999,</v>
      </c>
      <c r="U18" t="str">
        <f ca="1">'(直掃)Change to adc mapping '!U82 &amp; ","</f>
        <v>9999,</v>
      </c>
      <c r="V18" t="str">
        <f ca="1">'(直掃)Change to adc mapping '!V82 &amp; ","</f>
        <v>9999,</v>
      </c>
      <c r="W18" t="str">
        <f ca="1">'(直掃)Change to adc mapping '!W82 &amp; ","</f>
        <v>9999,</v>
      </c>
      <c r="X18" t="str">
        <f ca="1">'(直掃)Change to adc mapping '!X82 &amp; ","</f>
        <v>9999,</v>
      </c>
      <c r="Y18" t="str">
        <f ca="1">'(直掃)Change to adc mapping '!Y82 &amp; ","</f>
        <v>-1,</v>
      </c>
      <c r="Z18" t="str">
        <f ca="1">'(直掃)Change to adc mapping '!Z82 &amp; ","</f>
        <v>-1,</v>
      </c>
      <c r="AA18" t="str">
        <f ca="1">'(直掃)Change to adc mapping '!AA82 &amp; ","</f>
        <v>-1,</v>
      </c>
      <c r="AB18" t="str">
        <f ca="1">'(直掃)Change to adc mapping '!AB82 &amp; ","</f>
        <v>-1,</v>
      </c>
      <c r="AC18" t="str">
        <f ca="1">'(直掃)Change to adc mapping '!AC82 &amp; ","</f>
        <v>-1,</v>
      </c>
      <c r="AD18" t="str">
        <f ca="1">'(直掃)Change to adc mapping '!AD82 &amp; ","</f>
        <v>-1,</v>
      </c>
      <c r="AE18" t="str">
        <f ca="1">'(直掃)Change to adc mapping '!AE82 &amp; ","</f>
        <v>-1,</v>
      </c>
      <c r="AF18" t="str">
        <f ca="1">'(直掃)Change to adc mapping '!AF82 &amp; ","</f>
        <v>-1,</v>
      </c>
      <c r="AG18" t="str">
        <f ca="1">'(直掃)Change to adc mapping '!AG82 &amp; ","</f>
        <v>-1,</v>
      </c>
      <c r="AH18" t="str">
        <f ca="1">'(直掃)Change to adc mapping '!AH82 &amp; ","</f>
        <v>-1,</v>
      </c>
      <c r="AI18" t="str">
        <f ca="1">'(直掃)Change to adc mapping '!AI82 &amp; ","</f>
        <v>-1,</v>
      </c>
      <c r="AJ18" t="str">
        <f ca="1">'(直掃)Change to adc mapping '!AJ82 &amp; ","</f>
        <v>-1,</v>
      </c>
      <c r="AK18" t="str">
        <f ca="1">'(直掃)Change to adc mapping '!AK82 &amp; ","</f>
        <v>-1,</v>
      </c>
      <c r="AL18" t="str">
        <f ca="1">'(直掃)Change to adc mapping '!AL82 &amp; ","</f>
        <v>-1,</v>
      </c>
      <c r="AM18" t="str">
        <f ca="1">'(直掃)Change to adc mapping '!AM82 &amp; ","</f>
        <v>-1,</v>
      </c>
      <c r="AN18" t="str">
        <f ca="1">'(直掃)Change to adc mapping '!AN82 &amp; ","</f>
        <v>-1,</v>
      </c>
      <c r="AO18" t="str">
        <f ca="1">'(直掃)Change to adc mapping '!AO82 &amp; ","</f>
        <v>-1,</v>
      </c>
      <c r="AP18" t="str">
        <f ca="1">'(直掃)Change to adc mapping '!AP82 &amp; ","</f>
        <v>-1,</v>
      </c>
      <c r="AQ18" t="str">
        <f ca="1">'(直掃)Change to adc mapping '!AQ82 &amp; ","</f>
        <v>-1,</v>
      </c>
      <c r="AR18" t="str">
        <f ca="1">'(直掃)Change to adc mapping '!AR82 &amp; ","</f>
        <v>-1,</v>
      </c>
      <c r="AS18" t="str">
        <f ca="1">'(直掃)Change to adc mapping '!AS82 &amp; ","</f>
        <v>-1,</v>
      </c>
      <c r="AT18" t="str">
        <f ca="1">'(直掃)Change to adc mapping '!AT82 &amp; ","</f>
        <v>-1,</v>
      </c>
      <c r="AU18" t="str">
        <f ca="1">'(直掃)Change to adc mapping '!AU82 &amp; ","</f>
        <v>-1,</v>
      </c>
      <c r="AV18" t="str">
        <f ca="1">'(直掃)Change to adc mapping '!AV82 &amp; ","</f>
        <v>-1,</v>
      </c>
      <c r="AW18" t="str">
        <f ca="1">'(直掃)Change to adc mapping '!AW82 &amp; ","</f>
        <v>-1,</v>
      </c>
      <c r="AX18" t="str">
        <f ca="1">'(直掃)Change to adc mapping '!AX82 &amp; ","</f>
        <v>-1,</v>
      </c>
      <c r="AY18" t="str">
        <f ca="1">'(直掃)Change to adc mapping '!AY82 &amp; ","</f>
        <v>-1,</v>
      </c>
      <c r="AZ18" t="str">
        <f ca="1">'(直掃)Change to adc mapping '!AZ82 &amp; ","</f>
        <v>-1,</v>
      </c>
      <c r="BA18" t="str">
        <f ca="1">'(直掃)Change to adc mapping '!BA82 &amp; ","</f>
        <v>-1,</v>
      </c>
      <c r="BB18" t="str">
        <f ca="1">'(直掃)Change to adc mapping '!BB82 &amp; ","</f>
        <v>-1,</v>
      </c>
      <c r="BC18" t="str">
        <f ca="1">'(直掃)Change to adc mapping '!BC82 &amp; ","</f>
        <v>-1,</v>
      </c>
      <c r="BD18" t="str">
        <f ca="1">'(直掃)Change to adc mapping '!BD82 &amp; ","</f>
        <v>-1,</v>
      </c>
      <c r="BE18" t="str">
        <f ca="1">'(直掃)Change to adc mapping '!BE82 &amp; ","</f>
        <v>-1,</v>
      </c>
      <c r="BF18" t="str">
        <f ca="1">'(直掃)Change to adc mapping '!BF82 &amp; ","</f>
        <v>-1,</v>
      </c>
      <c r="BG18" t="str">
        <f ca="1">'(直掃)Change to adc mapping '!BG82 &amp; ","</f>
        <v>-1,</v>
      </c>
      <c r="BH18" t="str">
        <f ca="1">'(直掃)Change to adc mapping '!BH82 &amp; ","</f>
        <v>-1,</v>
      </c>
      <c r="BI18" t="str">
        <f ca="1">'(直掃)Change to adc mapping '!BI82 &amp; ","</f>
        <v>-1,</v>
      </c>
    </row>
    <row r="19" spans="1:61" x14ac:dyDescent="0.25">
      <c r="A19" s="20">
        <v>18</v>
      </c>
      <c r="B19" t="str">
        <f ca="1">'(直掃)Change to adc mapping '!B83 &amp; ","</f>
        <v>9999,</v>
      </c>
      <c r="C19" t="str">
        <f ca="1">'(直掃)Change to adc mapping '!C83 &amp; ","</f>
        <v>9999,</v>
      </c>
      <c r="D19" t="str">
        <f ca="1">'(直掃)Change to adc mapping '!D83 &amp; ","</f>
        <v>9999,</v>
      </c>
      <c r="E19" t="str">
        <f ca="1">'(直掃)Change to adc mapping '!E83 &amp; ","</f>
        <v>9999,</v>
      </c>
      <c r="F19" t="str">
        <f ca="1">'(直掃)Change to adc mapping '!F83 &amp; ","</f>
        <v>9999,</v>
      </c>
      <c r="G19" t="str">
        <f ca="1">'(直掃)Change to adc mapping '!G83 &amp; ","</f>
        <v>9999,</v>
      </c>
      <c r="H19" t="str">
        <f ca="1">'(直掃)Change to adc mapping '!H83 &amp; ","</f>
        <v>9999,</v>
      </c>
      <c r="I19" t="str">
        <f ca="1">'(直掃)Change to adc mapping '!I83 &amp; ","</f>
        <v>9999,</v>
      </c>
      <c r="J19" t="str">
        <f ca="1">'(直掃)Change to adc mapping '!J83 &amp; ","</f>
        <v>9999,</v>
      </c>
      <c r="K19" t="str">
        <f ca="1">'(直掃)Change to adc mapping '!K83 &amp; ","</f>
        <v>9999,</v>
      </c>
      <c r="L19" t="str">
        <f ca="1">'(直掃)Change to adc mapping '!L83 &amp; ","</f>
        <v>9999,</v>
      </c>
      <c r="M19" t="str">
        <f ca="1">'(直掃)Change to adc mapping '!M83 &amp; ","</f>
        <v>9999,</v>
      </c>
      <c r="N19" t="str">
        <f ca="1">'(直掃)Change to adc mapping '!N83 &amp; ","</f>
        <v>9999,</v>
      </c>
      <c r="O19" t="str">
        <f ca="1">'(直掃)Change to adc mapping '!O83 &amp; ","</f>
        <v>9999,</v>
      </c>
      <c r="P19" t="str">
        <f ca="1">'(直掃)Change to adc mapping '!P83 &amp; ","</f>
        <v>9999,</v>
      </c>
      <c r="Q19" t="str">
        <f ca="1">'(直掃)Change to adc mapping '!Q83 &amp; ","</f>
        <v>9999,</v>
      </c>
      <c r="R19" t="str">
        <f ca="1">'(直掃)Change to adc mapping '!R83 &amp; ","</f>
        <v>9999,</v>
      </c>
      <c r="S19" t="str">
        <f ca="1">'(直掃)Change to adc mapping '!S83 &amp; ","</f>
        <v>9999,</v>
      </c>
      <c r="T19" t="str">
        <f ca="1">'(直掃)Change to adc mapping '!T83 &amp; ","</f>
        <v>9999,</v>
      </c>
      <c r="U19" t="str">
        <f ca="1">'(直掃)Change to adc mapping '!U83 &amp; ","</f>
        <v>9999,</v>
      </c>
      <c r="V19" t="str">
        <f ca="1">'(直掃)Change to adc mapping '!V83 &amp; ","</f>
        <v>9999,</v>
      </c>
      <c r="W19" t="str">
        <f ca="1">'(直掃)Change to adc mapping '!W83 &amp; ","</f>
        <v>9999,</v>
      </c>
      <c r="X19" t="str">
        <f ca="1">'(直掃)Change to adc mapping '!X83 &amp; ","</f>
        <v>9999,</v>
      </c>
      <c r="Y19" t="str">
        <f ca="1">'(直掃)Change to adc mapping '!Y83 &amp; ","</f>
        <v>-1,</v>
      </c>
      <c r="Z19" t="str">
        <f ca="1">'(直掃)Change to adc mapping '!Z83 &amp; ","</f>
        <v>-1,</v>
      </c>
      <c r="AA19" t="str">
        <f ca="1">'(直掃)Change to adc mapping '!AA83 &amp; ","</f>
        <v>-1,</v>
      </c>
      <c r="AB19" t="str">
        <f ca="1">'(直掃)Change to adc mapping '!AB83 &amp; ","</f>
        <v>-1,</v>
      </c>
      <c r="AC19" t="str">
        <f ca="1">'(直掃)Change to adc mapping '!AC83 &amp; ","</f>
        <v>-1,</v>
      </c>
      <c r="AD19" t="str">
        <f ca="1">'(直掃)Change to adc mapping '!AD83 &amp; ","</f>
        <v>-1,</v>
      </c>
      <c r="AE19" t="str">
        <f ca="1">'(直掃)Change to adc mapping '!AE83 &amp; ","</f>
        <v>-1,</v>
      </c>
      <c r="AF19" t="str">
        <f ca="1">'(直掃)Change to adc mapping '!AF83 &amp; ","</f>
        <v>-1,</v>
      </c>
      <c r="AG19" t="str">
        <f ca="1">'(直掃)Change to adc mapping '!AG83 &amp; ","</f>
        <v>-1,</v>
      </c>
      <c r="AH19" t="str">
        <f ca="1">'(直掃)Change to adc mapping '!AH83 &amp; ","</f>
        <v>-1,</v>
      </c>
      <c r="AI19" t="str">
        <f ca="1">'(直掃)Change to adc mapping '!AI83 &amp; ","</f>
        <v>-1,</v>
      </c>
      <c r="AJ19" t="str">
        <f ca="1">'(直掃)Change to adc mapping '!AJ83 &amp; ","</f>
        <v>-1,</v>
      </c>
      <c r="AK19" t="str">
        <f ca="1">'(直掃)Change to adc mapping '!AK83 &amp; ","</f>
        <v>-1,</v>
      </c>
      <c r="AL19" t="str">
        <f ca="1">'(直掃)Change to adc mapping '!AL83 &amp; ","</f>
        <v>-1,</v>
      </c>
      <c r="AM19" t="str">
        <f ca="1">'(直掃)Change to adc mapping '!AM83 &amp; ","</f>
        <v>-1,</v>
      </c>
      <c r="AN19" t="str">
        <f ca="1">'(直掃)Change to adc mapping '!AN83 &amp; ","</f>
        <v>-1,</v>
      </c>
      <c r="AO19" t="str">
        <f ca="1">'(直掃)Change to adc mapping '!AO83 &amp; ","</f>
        <v>-1,</v>
      </c>
      <c r="AP19" t="str">
        <f ca="1">'(直掃)Change to adc mapping '!AP83 &amp; ","</f>
        <v>-1,</v>
      </c>
      <c r="AQ19" t="str">
        <f ca="1">'(直掃)Change to adc mapping '!AQ83 &amp; ","</f>
        <v>-1,</v>
      </c>
      <c r="AR19" t="str">
        <f ca="1">'(直掃)Change to adc mapping '!AR83 &amp; ","</f>
        <v>-1,</v>
      </c>
      <c r="AS19" t="str">
        <f ca="1">'(直掃)Change to adc mapping '!AS83 &amp; ","</f>
        <v>-1,</v>
      </c>
      <c r="AT19" t="str">
        <f ca="1">'(直掃)Change to adc mapping '!AT83 &amp; ","</f>
        <v>-1,</v>
      </c>
      <c r="AU19" t="str">
        <f ca="1">'(直掃)Change to adc mapping '!AU83 &amp; ","</f>
        <v>-1,</v>
      </c>
      <c r="AV19" t="str">
        <f ca="1">'(直掃)Change to adc mapping '!AV83 &amp; ","</f>
        <v>-1,</v>
      </c>
      <c r="AW19" t="str">
        <f ca="1">'(直掃)Change to adc mapping '!AW83 &amp; ","</f>
        <v>-1,</v>
      </c>
      <c r="AX19" t="str">
        <f ca="1">'(直掃)Change to adc mapping '!AX83 &amp; ","</f>
        <v>-1,</v>
      </c>
      <c r="AY19" t="str">
        <f ca="1">'(直掃)Change to adc mapping '!AY83 &amp; ","</f>
        <v>-1,</v>
      </c>
      <c r="AZ19" t="str">
        <f ca="1">'(直掃)Change to adc mapping '!AZ83 &amp; ","</f>
        <v>-1,</v>
      </c>
      <c r="BA19" t="str">
        <f ca="1">'(直掃)Change to adc mapping '!BA83 &amp; ","</f>
        <v>-1,</v>
      </c>
      <c r="BB19" t="str">
        <f ca="1">'(直掃)Change to adc mapping '!BB83 &amp; ","</f>
        <v>-1,</v>
      </c>
      <c r="BC19" t="str">
        <f ca="1">'(直掃)Change to adc mapping '!BC83 &amp; ","</f>
        <v>-1,</v>
      </c>
      <c r="BD19" t="str">
        <f ca="1">'(直掃)Change to adc mapping '!BD83 &amp; ","</f>
        <v>-1,</v>
      </c>
      <c r="BE19" t="str">
        <f ca="1">'(直掃)Change to adc mapping '!BE83 &amp; ","</f>
        <v>-1,</v>
      </c>
      <c r="BF19" t="str">
        <f ca="1">'(直掃)Change to adc mapping '!BF83 &amp; ","</f>
        <v>-1,</v>
      </c>
      <c r="BG19" t="str">
        <f ca="1">'(直掃)Change to adc mapping '!BG83 &amp; ","</f>
        <v>-1,</v>
      </c>
      <c r="BH19" t="str">
        <f ca="1">'(直掃)Change to adc mapping '!BH83 &amp; ","</f>
        <v>-1,</v>
      </c>
      <c r="BI19" t="str">
        <f ca="1">'(直掃)Change to adc mapping '!BI83 &amp; ","</f>
        <v>-1,</v>
      </c>
    </row>
    <row r="20" spans="1:61" x14ac:dyDescent="0.25">
      <c r="A20" s="20">
        <v>19</v>
      </c>
      <c r="B20" t="str">
        <f ca="1">'(直掃)Change to adc mapping '!B84 &amp; ","</f>
        <v>9999,</v>
      </c>
      <c r="C20" t="str">
        <f ca="1">'(直掃)Change to adc mapping '!C84 &amp; ","</f>
        <v>9999,</v>
      </c>
      <c r="D20" t="str">
        <f ca="1">'(直掃)Change to adc mapping '!D84 &amp; ","</f>
        <v>9999,</v>
      </c>
      <c r="E20" t="str">
        <f ca="1">'(直掃)Change to adc mapping '!E84 &amp; ","</f>
        <v>9999,</v>
      </c>
      <c r="F20" t="str">
        <f ca="1">'(直掃)Change to adc mapping '!F84 &amp; ","</f>
        <v>9999,</v>
      </c>
      <c r="G20" t="str">
        <f ca="1">'(直掃)Change to adc mapping '!G84 &amp; ","</f>
        <v>9999,</v>
      </c>
      <c r="H20" t="str">
        <f ca="1">'(直掃)Change to adc mapping '!H84 &amp; ","</f>
        <v>9999,</v>
      </c>
      <c r="I20" t="str">
        <f ca="1">'(直掃)Change to adc mapping '!I84 &amp; ","</f>
        <v>9999,</v>
      </c>
      <c r="J20" t="str">
        <f ca="1">'(直掃)Change to adc mapping '!J84 &amp; ","</f>
        <v>9999,</v>
      </c>
      <c r="K20" t="str">
        <f ca="1">'(直掃)Change to adc mapping '!K84 &amp; ","</f>
        <v>9999,</v>
      </c>
      <c r="L20" t="str">
        <f ca="1">'(直掃)Change to adc mapping '!L84 &amp; ","</f>
        <v>9999,</v>
      </c>
      <c r="M20" t="str">
        <f ca="1">'(直掃)Change to adc mapping '!M84 &amp; ","</f>
        <v>9999,</v>
      </c>
      <c r="N20" t="str">
        <f ca="1">'(直掃)Change to adc mapping '!N84 &amp; ","</f>
        <v>9999,</v>
      </c>
      <c r="O20" t="str">
        <f ca="1">'(直掃)Change to adc mapping '!O84 &amp; ","</f>
        <v>9999,</v>
      </c>
      <c r="P20" t="str">
        <f ca="1">'(直掃)Change to adc mapping '!P84 &amp; ","</f>
        <v>9999,</v>
      </c>
      <c r="Q20" t="str">
        <f ca="1">'(直掃)Change to adc mapping '!Q84 &amp; ","</f>
        <v>9999,</v>
      </c>
      <c r="R20" t="str">
        <f ca="1">'(直掃)Change to adc mapping '!R84 &amp; ","</f>
        <v>9999,</v>
      </c>
      <c r="S20" t="str">
        <f ca="1">'(直掃)Change to adc mapping '!S84 &amp; ","</f>
        <v>9999,</v>
      </c>
      <c r="T20" t="str">
        <f ca="1">'(直掃)Change to adc mapping '!T84 &amp; ","</f>
        <v>9999,</v>
      </c>
      <c r="U20" t="str">
        <f ca="1">'(直掃)Change to adc mapping '!U84 &amp; ","</f>
        <v>9999,</v>
      </c>
      <c r="V20" t="str">
        <f ca="1">'(直掃)Change to adc mapping '!V84 &amp; ","</f>
        <v>9999,</v>
      </c>
      <c r="W20" t="str">
        <f ca="1">'(直掃)Change to adc mapping '!W84 &amp; ","</f>
        <v>9999,</v>
      </c>
      <c r="X20" t="str">
        <f ca="1">'(直掃)Change to adc mapping '!X84 &amp; ","</f>
        <v>9999,</v>
      </c>
      <c r="Y20" t="str">
        <f ca="1">'(直掃)Change to adc mapping '!Y84 &amp; ","</f>
        <v>-1,</v>
      </c>
      <c r="Z20" t="str">
        <f ca="1">'(直掃)Change to adc mapping '!Z84 &amp; ","</f>
        <v>-1,</v>
      </c>
      <c r="AA20" t="str">
        <f ca="1">'(直掃)Change to adc mapping '!AA84 &amp; ","</f>
        <v>-1,</v>
      </c>
      <c r="AB20" t="str">
        <f ca="1">'(直掃)Change to adc mapping '!AB84 &amp; ","</f>
        <v>-1,</v>
      </c>
      <c r="AC20" t="str">
        <f ca="1">'(直掃)Change to adc mapping '!AC84 &amp; ","</f>
        <v>-1,</v>
      </c>
      <c r="AD20" t="str">
        <f ca="1">'(直掃)Change to adc mapping '!AD84 &amp; ","</f>
        <v>-1,</v>
      </c>
      <c r="AE20" t="str">
        <f ca="1">'(直掃)Change to adc mapping '!AE84 &amp; ","</f>
        <v>-1,</v>
      </c>
      <c r="AF20" t="str">
        <f ca="1">'(直掃)Change to adc mapping '!AF84 &amp; ","</f>
        <v>-1,</v>
      </c>
      <c r="AG20" t="str">
        <f ca="1">'(直掃)Change to adc mapping '!AG84 &amp; ","</f>
        <v>-1,</v>
      </c>
      <c r="AH20" t="str">
        <f ca="1">'(直掃)Change to adc mapping '!AH84 &amp; ","</f>
        <v>-1,</v>
      </c>
      <c r="AI20" t="str">
        <f ca="1">'(直掃)Change to adc mapping '!AI84 &amp; ","</f>
        <v>-1,</v>
      </c>
      <c r="AJ20" t="str">
        <f ca="1">'(直掃)Change to adc mapping '!AJ84 &amp; ","</f>
        <v>-1,</v>
      </c>
      <c r="AK20" t="str">
        <f ca="1">'(直掃)Change to adc mapping '!AK84 &amp; ","</f>
        <v>-1,</v>
      </c>
      <c r="AL20" t="str">
        <f ca="1">'(直掃)Change to adc mapping '!AL84 &amp; ","</f>
        <v>-1,</v>
      </c>
      <c r="AM20" t="str">
        <f ca="1">'(直掃)Change to adc mapping '!AM84 &amp; ","</f>
        <v>-1,</v>
      </c>
      <c r="AN20" t="str">
        <f ca="1">'(直掃)Change to adc mapping '!AN84 &amp; ","</f>
        <v>-1,</v>
      </c>
      <c r="AO20" t="str">
        <f ca="1">'(直掃)Change to adc mapping '!AO84 &amp; ","</f>
        <v>-1,</v>
      </c>
      <c r="AP20" t="str">
        <f ca="1">'(直掃)Change to adc mapping '!AP84 &amp; ","</f>
        <v>-1,</v>
      </c>
      <c r="AQ20" t="str">
        <f ca="1">'(直掃)Change to adc mapping '!AQ84 &amp; ","</f>
        <v>-1,</v>
      </c>
      <c r="AR20" t="str">
        <f ca="1">'(直掃)Change to adc mapping '!AR84 &amp; ","</f>
        <v>-1,</v>
      </c>
      <c r="AS20" t="str">
        <f ca="1">'(直掃)Change to adc mapping '!AS84 &amp; ","</f>
        <v>-1,</v>
      </c>
      <c r="AT20" t="str">
        <f ca="1">'(直掃)Change to adc mapping '!AT84 &amp; ","</f>
        <v>-1,</v>
      </c>
      <c r="AU20" t="str">
        <f ca="1">'(直掃)Change to adc mapping '!AU84 &amp; ","</f>
        <v>-1,</v>
      </c>
      <c r="AV20" t="str">
        <f ca="1">'(直掃)Change to adc mapping '!AV84 &amp; ","</f>
        <v>-1,</v>
      </c>
      <c r="AW20" t="str">
        <f ca="1">'(直掃)Change to adc mapping '!AW84 &amp; ","</f>
        <v>-1,</v>
      </c>
      <c r="AX20" t="str">
        <f ca="1">'(直掃)Change to adc mapping '!AX84 &amp; ","</f>
        <v>-1,</v>
      </c>
      <c r="AY20" t="str">
        <f ca="1">'(直掃)Change to adc mapping '!AY84 &amp; ","</f>
        <v>-1,</v>
      </c>
      <c r="AZ20" t="str">
        <f ca="1">'(直掃)Change to adc mapping '!AZ84 &amp; ","</f>
        <v>-1,</v>
      </c>
      <c r="BA20" t="str">
        <f ca="1">'(直掃)Change to adc mapping '!BA84 &amp; ","</f>
        <v>-1,</v>
      </c>
      <c r="BB20" t="str">
        <f ca="1">'(直掃)Change to adc mapping '!BB84 &amp; ","</f>
        <v>-1,</v>
      </c>
      <c r="BC20" t="str">
        <f ca="1">'(直掃)Change to adc mapping '!BC84 &amp; ","</f>
        <v>-1,</v>
      </c>
      <c r="BD20" t="str">
        <f ca="1">'(直掃)Change to adc mapping '!BD84 &amp; ","</f>
        <v>-1,</v>
      </c>
      <c r="BE20" t="str">
        <f ca="1">'(直掃)Change to adc mapping '!BE84 &amp; ","</f>
        <v>-1,</v>
      </c>
      <c r="BF20" t="str">
        <f ca="1">'(直掃)Change to adc mapping '!BF84 &amp; ","</f>
        <v>-1,</v>
      </c>
      <c r="BG20" t="str">
        <f ca="1">'(直掃)Change to adc mapping '!BG84 &amp; ","</f>
        <v>-1,</v>
      </c>
      <c r="BH20" t="str">
        <f ca="1">'(直掃)Change to adc mapping '!BH84 &amp; ","</f>
        <v>-1,</v>
      </c>
      <c r="BI20" t="str">
        <f ca="1">'(直掃)Change to adc mapping '!BI84 &amp; ","</f>
        <v>-1,</v>
      </c>
    </row>
    <row r="21" spans="1:61" x14ac:dyDescent="0.25">
      <c r="A21" s="20">
        <v>20</v>
      </c>
      <c r="B21" t="str">
        <f ca="1">'(直掃)Change to adc mapping '!B85 &amp; ","</f>
        <v>9999,</v>
      </c>
      <c r="C21" t="str">
        <f ca="1">'(直掃)Change to adc mapping '!C85 &amp; ","</f>
        <v>9999,</v>
      </c>
      <c r="D21" t="str">
        <f ca="1">'(直掃)Change to adc mapping '!D85 &amp; ","</f>
        <v>9999,</v>
      </c>
      <c r="E21" t="str">
        <f ca="1">'(直掃)Change to adc mapping '!E85 &amp; ","</f>
        <v>9999,</v>
      </c>
      <c r="F21" t="str">
        <f ca="1">'(直掃)Change to adc mapping '!F85 &amp; ","</f>
        <v>9999,</v>
      </c>
      <c r="G21" t="str">
        <f ca="1">'(直掃)Change to adc mapping '!G85 &amp; ","</f>
        <v>9999,</v>
      </c>
      <c r="H21" t="str">
        <f ca="1">'(直掃)Change to adc mapping '!H85 &amp; ","</f>
        <v>9999,</v>
      </c>
      <c r="I21" t="str">
        <f ca="1">'(直掃)Change to adc mapping '!I85 &amp; ","</f>
        <v>9999,</v>
      </c>
      <c r="J21" t="str">
        <f ca="1">'(直掃)Change to adc mapping '!J85 &amp; ","</f>
        <v>9999,</v>
      </c>
      <c r="K21" t="str">
        <f ca="1">'(直掃)Change to adc mapping '!K85 &amp; ","</f>
        <v>9999,</v>
      </c>
      <c r="L21" t="str">
        <f ca="1">'(直掃)Change to adc mapping '!L85 &amp; ","</f>
        <v>9999,</v>
      </c>
      <c r="M21" t="str">
        <f ca="1">'(直掃)Change to adc mapping '!M85 &amp; ","</f>
        <v>9999,</v>
      </c>
      <c r="N21" t="str">
        <f ca="1">'(直掃)Change to adc mapping '!N85 &amp; ","</f>
        <v>9999,</v>
      </c>
      <c r="O21" t="str">
        <f ca="1">'(直掃)Change to adc mapping '!O85 &amp; ","</f>
        <v>9999,</v>
      </c>
      <c r="P21" t="str">
        <f ca="1">'(直掃)Change to adc mapping '!P85 &amp; ","</f>
        <v>9999,</v>
      </c>
      <c r="Q21" t="str">
        <f ca="1">'(直掃)Change to adc mapping '!Q85 &amp; ","</f>
        <v>9999,</v>
      </c>
      <c r="R21" t="str">
        <f ca="1">'(直掃)Change to adc mapping '!R85 &amp; ","</f>
        <v>9999,</v>
      </c>
      <c r="S21" t="str">
        <f ca="1">'(直掃)Change to adc mapping '!S85 &amp; ","</f>
        <v>9999,</v>
      </c>
      <c r="T21" t="str">
        <f ca="1">'(直掃)Change to adc mapping '!T85 &amp; ","</f>
        <v>9999,</v>
      </c>
      <c r="U21" t="str">
        <f ca="1">'(直掃)Change to adc mapping '!U85 &amp; ","</f>
        <v>9999,</v>
      </c>
      <c r="V21" t="str">
        <f ca="1">'(直掃)Change to adc mapping '!V85 &amp; ","</f>
        <v>9999,</v>
      </c>
      <c r="W21" t="str">
        <f ca="1">'(直掃)Change to adc mapping '!W85 &amp; ","</f>
        <v>9999,</v>
      </c>
      <c r="X21" t="str">
        <f ca="1">'(直掃)Change to adc mapping '!X85 &amp; ","</f>
        <v>9999,</v>
      </c>
      <c r="Y21" t="str">
        <f ca="1">'(直掃)Change to adc mapping '!Y85 &amp; ","</f>
        <v>-1,</v>
      </c>
      <c r="Z21" t="str">
        <f ca="1">'(直掃)Change to adc mapping '!Z85 &amp; ","</f>
        <v>-1,</v>
      </c>
      <c r="AA21" t="str">
        <f ca="1">'(直掃)Change to adc mapping '!AA85 &amp; ","</f>
        <v>-1,</v>
      </c>
      <c r="AB21" t="str">
        <f ca="1">'(直掃)Change to adc mapping '!AB85 &amp; ","</f>
        <v>-1,</v>
      </c>
      <c r="AC21" t="str">
        <f ca="1">'(直掃)Change to adc mapping '!AC85 &amp; ","</f>
        <v>-1,</v>
      </c>
      <c r="AD21" t="str">
        <f ca="1">'(直掃)Change to adc mapping '!AD85 &amp; ","</f>
        <v>-1,</v>
      </c>
      <c r="AE21" t="str">
        <f ca="1">'(直掃)Change to adc mapping '!AE85 &amp; ","</f>
        <v>-1,</v>
      </c>
      <c r="AF21" t="str">
        <f ca="1">'(直掃)Change to adc mapping '!AF85 &amp; ","</f>
        <v>-1,</v>
      </c>
      <c r="AG21" t="str">
        <f ca="1">'(直掃)Change to adc mapping '!AG85 &amp; ","</f>
        <v>-1,</v>
      </c>
      <c r="AH21" t="str">
        <f ca="1">'(直掃)Change to adc mapping '!AH85 &amp; ","</f>
        <v>-1,</v>
      </c>
      <c r="AI21" t="str">
        <f ca="1">'(直掃)Change to adc mapping '!AI85 &amp; ","</f>
        <v>-1,</v>
      </c>
      <c r="AJ21" t="str">
        <f ca="1">'(直掃)Change to adc mapping '!AJ85 &amp; ","</f>
        <v>-1,</v>
      </c>
      <c r="AK21" t="str">
        <f ca="1">'(直掃)Change to adc mapping '!AK85 &amp; ","</f>
        <v>-1,</v>
      </c>
      <c r="AL21" t="str">
        <f ca="1">'(直掃)Change to adc mapping '!AL85 &amp; ","</f>
        <v>-1,</v>
      </c>
      <c r="AM21" t="str">
        <f ca="1">'(直掃)Change to adc mapping '!AM85 &amp; ","</f>
        <v>-1,</v>
      </c>
      <c r="AN21" t="str">
        <f ca="1">'(直掃)Change to adc mapping '!AN85 &amp; ","</f>
        <v>-1,</v>
      </c>
      <c r="AO21" t="str">
        <f ca="1">'(直掃)Change to adc mapping '!AO85 &amp; ","</f>
        <v>-1,</v>
      </c>
      <c r="AP21" t="str">
        <f ca="1">'(直掃)Change to adc mapping '!AP85 &amp; ","</f>
        <v>-1,</v>
      </c>
      <c r="AQ21" t="str">
        <f ca="1">'(直掃)Change to adc mapping '!AQ85 &amp; ","</f>
        <v>-1,</v>
      </c>
      <c r="AR21" t="str">
        <f ca="1">'(直掃)Change to adc mapping '!AR85 &amp; ","</f>
        <v>-1,</v>
      </c>
      <c r="AS21" t="str">
        <f ca="1">'(直掃)Change to adc mapping '!AS85 &amp; ","</f>
        <v>-1,</v>
      </c>
      <c r="AT21" t="str">
        <f ca="1">'(直掃)Change to adc mapping '!AT85 &amp; ","</f>
        <v>-1,</v>
      </c>
      <c r="AU21" t="str">
        <f ca="1">'(直掃)Change to adc mapping '!AU85 &amp; ","</f>
        <v>-1,</v>
      </c>
      <c r="AV21" t="str">
        <f ca="1">'(直掃)Change to adc mapping '!AV85 &amp; ","</f>
        <v>-1,</v>
      </c>
      <c r="AW21" t="str">
        <f ca="1">'(直掃)Change to adc mapping '!AW85 &amp; ","</f>
        <v>-1,</v>
      </c>
      <c r="AX21" t="str">
        <f ca="1">'(直掃)Change to adc mapping '!AX85 &amp; ","</f>
        <v>-1,</v>
      </c>
      <c r="AY21" t="str">
        <f ca="1">'(直掃)Change to adc mapping '!AY85 &amp; ","</f>
        <v>-1,</v>
      </c>
      <c r="AZ21" t="str">
        <f ca="1">'(直掃)Change to adc mapping '!AZ85 &amp; ","</f>
        <v>-1,</v>
      </c>
      <c r="BA21" t="str">
        <f ca="1">'(直掃)Change to adc mapping '!BA85 &amp; ","</f>
        <v>-1,</v>
      </c>
      <c r="BB21" t="str">
        <f ca="1">'(直掃)Change to adc mapping '!BB85 &amp; ","</f>
        <v>-1,</v>
      </c>
      <c r="BC21" t="str">
        <f ca="1">'(直掃)Change to adc mapping '!BC85 &amp; ","</f>
        <v>-1,</v>
      </c>
      <c r="BD21" t="str">
        <f ca="1">'(直掃)Change to adc mapping '!BD85 &amp; ","</f>
        <v>-1,</v>
      </c>
      <c r="BE21" t="str">
        <f ca="1">'(直掃)Change to adc mapping '!BE85 &amp; ","</f>
        <v>-1,</v>
      </c>
      <c r="BF21" t="str">
        <f ca="1">'(直掃)Change to adc mapping '!BF85 &amp; ","</f>
        <v>-1,</v>
      </c>
      <c r="BG21" t="str">
        <f ca="1">'(直掃)Change to adc mapping '!BG85 &amp; ","</f>
        <v>-1,</v>
      </c>
      <c r="BH21" t="str">
        <f ca="1">'(直掃)Change to adc mapping '!BH85 &amp; ","</f>
        <v>-1,</v>
      </c>
      <c r="BI21" t="str">
        <f ca="1">'(直掃)Change to adc mapping '!BI85 &amp; ","</f>
        <v>-1,</v>
      </c>
    </row>
    <row r="22" spans="1:61" x14ac:dyDescent="0.25">
      <c r="A22" s="20">
        <v>21</v>
      </c>
      <c r="B22" t="str">
        <f ca="1">'(直掃)Change to adc mapping '!B86 &amp; ","</f>
        <v>9999,</v>
      </c>
      <c r="C22" t="str">
        <f ca="1">'(直掃)Change to adc mapping '!C86 &amp; ","</f>
        <v>9999,</v>
      </c>
      <c r="D22" t="str">
        <f ca="1">'(直掃)Change to adc mapping '!D86 &amp; ","</f>
        <v>9999,</v>
      </c>
      <c r="E22" t="str">
        <f ca="1">'(直掃)Change to adc mapping '!E86 &amp; ","</f>
        <v>9999,</v>
      </c>
      <c r="F22" t="str">
        <f ca="1">'(直掃)Change to adc mapping '!F86 &amp; ","</f>
        <v>9999,</v>
      </c>
      <c r="G22" t="str">
        <f ca="1">'(直掃)Change to adc mapping '!G86 &amp; ","</f>
        <v>9999,</v>
      </c>
      <c r="H22" t="str">
        <f ca="1">'(直掃)Change to adc mapping '!H86 &amp; ","</f>
        <v>9999,</v>
      </c>
      <c r="I22" t="str">
        <f ca="1">'(直掃)Change to adc mapping '!I86 &amp; ","</f>
        <v>9999,</v>
      </c>
      <c r="J22" t="str">
        <f ca="1">'(直掃)Change to adc mapping '!J86 &amp; ","</f>
        <v>9999,</v>
      </c>
      <c r="K22" t="str">
        <f ca="1">'(直掃)Change to adc mapping '!K86 &amp; ","</f>
        <v>9999,</v>
      </c>
      <c r="L22" t="str">
        <f ca="1">'(直掃)Change to adc mapping '!L86 &amp; ","</f>
        <v>9999,</v>
      </c>
      <c r="M22" t="str">
        <f ca="1">'(直掃)Change to adc mapping '!M86 &amp; ","</f>
        <v>9999,</v>
      </c>
      <c r="N22" t="str">
        <f ca="1">'(直掃)Change to adc mapping '!N86 &amp; ","</f>
        <v>9999,</v>
      </c>
      <c r="O22" t="str">
        <f ca="1">'(直掃)Change to adc mapping '!O86 &amp; ","</f>
        <v>9999,</v>
      </c>
      <c r="P22" t="str">
        <f ca="1">'(直掃)Change to adc mapping '!P86 &amp; ","</f>
        <v>9999,</v>
      </c>
      <c r="Q22" t="str">
        <f ca="1">'(直掃)Change to adc mapping '!Q86 &amp; ","</f>
        <v>9999,</v>
      </c>
      <c r="R22" t="str">
        <f ca="1">'(直掃)Change to adc mapping '!R86 &amp; ","</f>
        <v>9999,</v>
      </c>
      <c r="S22" t="str">
        <f ca="1">'(直掃)Change to adc mapping '!S86 &amp; ","</f>
        <v>9999,</v>
      </c>
      <c r="T22" t="str">
        <f ca="1">'(直掃)Change to adc mapping '!T86 &amp; ","</f>
        <v>9999,</v>
      </c>
      <c r="U22" t="str">
        <f ca="1">'(直掃)Change to adc mapping '!U86 &amp; ","</f>
        <v>9999,</v>
      </c>
      <c r="V22" t="str">
        <f ca="1">'(直掃)Change to adc mapping '!V86 &amp; ","</f>
        <v>9999,</v>
      </c>
      <c r="W22" t="str">
        <f ca="1">'(直掃)Change to adc mapping '!W86 &amp; ","</f>
        <v>9999,</v>
      </c>
      <c r="X22" t="str">
        <f ca="1">'(直掃)Change to adc mapping '!X86 &amp; ","</f>
        <v>9999,</v>
      </c>
      <c r="Y22" t="str">
        <f ca="1">'(直掃)Change to adc mapping '!Y86 &amp; ","</f>
        <v>-1,</v>
      </c>
      <c r="Z22" t="str">
        <f ca="1">'(直掃)Change to adc mapping '!Z86 &amp; ","</f>
        <v>-1,</v>
      </c>
      <c r="AA22" t="str">
        <f ca="1">'(直掃)Change to adc mapping '!AA86 &amp; ","</f>
        <v>-1,</v>
      </c>
      <c r="AB22" t="str">
        <f ca="1">'(直掃)Change to adc mapping '!AB86 &amp; ","</f>
        <v>-1,</v>
      </c>
      <c r="AC22" t="str">
        <f ca="1">'(直掃)Change to adc mapping '!AC86 &amp; ","</f>
        <v>-1,</v>
      </c>
      <c r="AD22" t="str">
        <f ca="1">'(直掃)Change to adc mapping '!AD86 &amp; ","</f>
        <v>-1,</v>
      </c>
      <c r="AE22" t="str">
        <f ca="1">'(直掃)Change to adc mapping '!AE86 &amp; ","</f>
        <v>-1,</v>
      </c>
      <c r="AF22" t="str">
        <f ca="1">'(直掃)Change to adc mapping '!AF86 &amp; ","</f>
        <v>-1,</v>
      </c>
      <c r="AG22" t="str">
        <f ca="1">'(直掃)Change to adc mapping '!AG86 &amp; ","</f>
        <v>-1,</v>
      </c>
      <c r="AH22" t="str">
        <f ca="1">'(直掃)Change to adc mapping '!AH86 &amp; ","</f>
        <v>-1,</v>
      </c>
      <c r="AI22" t="str">
        <f ca="1">'(直掃)Change to adc mapping '!AI86 &amp; ","</f>
        <v>-1,</v>
      </c>
      <c r="AJ22" t="str">
        <f ca="1">'(直掃)Change to adc mapping '!AJ86 &amp; ","</f>
        <v>-1,</v>
      </c>
      <c r="AK22" t="str">
        <f ca="1">'(直掃)Change to adc mapping '!AK86 &amp; ","</f>
        <v>-1,</v>
      </c>
      <c r="AL22" t="str">
        <f ca="1">'(直掃)Change to adc mapping '!AL86 &amp; ","</f>
        <v>-1,</v>
      </c>
      <c r="AM22" t="str">
        <f ca="1">'(直掃)Change to adc mapping '!AM86 &amp; ","</f>
        <v>-1,</v>
      </c>
      <c r="AN22" t="str">
        <f ca="1">'(直掃)Change to adc mapping '!AN86 &amp; ","</f>
        <v>-1,</v>
      </c>
      <c r="AO22" t="str">
        <f ca="1">'(直掃)Change to adc mapping '!AO86 &amp; ","</f>
        <v>-1,</v>
      </c>
      <c r="AP22" t="str">
        <f ca="1">'(直掃)Change to adc mapping '!AP86 &amp; ","</f>
        <v>-1,</v>
      </c>
      <c r="AQ22" t="str">
        <f ca="1">'(直掃)Change to adc mapping '!AQ86 &amp; ","</f>
        <v>-1,</v>
      </c>
      <c r="AR22" t="str">
        <f ca="1">'(直掃)Change to adc mapping '!AR86 &amp; ","</f>
        <v>-1,</v>
      </c>
      <c r="AS22" t="str">
        <f ca="1">'(直掃)Change to adc mapping '!AS86 &amp; ","</f>
        <v>-1,</v>
      </c>
      <c r="AT22" t="str">
        <f ca="1">'(直掃)Change to adc mapping '!AT86 &amp; ","</f>
        <v>-1,</v>
      </c>
      <c r="AU22" t="str">
        <f ca="1">'(直掃)Change to adc mapping '!AU86 &amp; ","</f>
        <v>-1,</v>
      </c>
      <c r="AV22" t="str">
        <f ca="1">'(直掃)Change to adc mapping '!AV86 &amp; ","</f>
        <v>-1,</v>
      </c>
      <c r="AW22" t="str">
        <f ca="1">'(直掃)Change to adc mapping '!AW86 &amp; ","</f>
        <v>-1,</v>
      </c>
      <c r="AX22" t="str">
        <f ca="1">'(直掃)Change to adc mapping '!AX86 &amp; ","</f>
        <v>-1,</v>
      </c>
      <c r="AY22" t="str">
        <f ca="1">'(直掃)Change to adc mapping '!AY86 &amp; ","</f>
        <v>-1,</v>
      </c>
      <c r="AZ22" t="str">
        <f ca="1">'(直掃)Change to adc mapping '!AZ86 &amp; ","</f>
        <v>-1,</v>
      </c>
      <c r="BA22" t="str">
        <f ca="1">'(直掃)Change to adc mapping '!BA86 &amp; ","</f>
        <v>-1,</v>
      </c>
      <c r="BB22" t="str">
        <f ca="1">'(直掃)Change to adc mapping '!BB86 &amp; ","</f>
        <v>-1,</v>
      </c>
      <c r="BC22" t="str">
        <f ca="1">'(直掃)Change to adc mapping '!BC86 &amp; ","</f>
        <v>-1,</v>
      </c>
      <c r="BD22" t="str">
        <f ca="1">'(直掃)Change to adc mapping '!BD86 &amp; ","</f>
        <v>-1,</v>
      </c>
      <c r="BE22" t="str">
        <f ca="1">'(直掃)Change to adc mapping '!BE86 &amp; ","</f>
        <v>-1,</v>
      </c>
      <c r="BF22" t="str">
        <f ca="1">'(直掃)Change to adc mapping '!BF86 &amp; ","</f>
        <v>-1,</v>
      </c>
      <c r="BG22" t="str">
        <f ca="1">'(直掃)Change to adc mapping '!BG86 &amp; ","</f>
        <v>-1,</v>
      </c>
      <c r="BH22" t="str">
        <f ca="1">'(直掃)Change to adc mapping '!BH86 &amp; ","</f>
        <v>-1,</v>
      </c>
      <c r="BI22" t="str">
        <f ca="1">'(直掃)Change to adc mapping '!BI86 &amp; ","</f>
        <v>-1,</v>
      </c>
    </row>
    <row r="23" spans="1:61" x14ac:dyDescent="0.25">
      <c r="A23" s="20">
        <v>22</v>
      </c>
      <c r="B23" t="str">
        <f ca="1">'(直掃)Change to adc mapping '!B87 &amp; ","</f>
        <v>9999,</v>
      </c>
      <c r="C23" t="str">
        <f ca="1">'(直掃)Change to adc mapping '!C87 &amp; ","</f>
        <v>9999,</v>
      </c>
      <c r="D23" t="str">
        <f ca="1">'(直掃)Change to adc mapping '!D87 &amp; ","</f>
        <v>9999,</v>
      </c>
      <c r="E23" t="str">
        <f ca="1">'(直掃)Change to adc mapping '!E87 &amp; ","</f>
        <v>9999,</v>
      </c>
      <c r="F23" t="str">
        <f ca="1">'(直掃)Change to adc mapping '!F87 &amp; ","</f>
        <v>9999,</v>
      </c>
      <c r="G23" t="str">
        <f ca="1">'(直掃)Change to adc mapping '!G87 &amp; ","</f>
        <v>9999,</v>
      </c>
      <c r="H23" t="str">
        <f ca="1">'(直掃)Change to adc mapping '!H87 &amp; ","</f>
        <v>9999,</v>
      </c>
      <c r="I23" t="str">
        <f ca="1">'(直掃)Change to adc mapping '!I87 &amp; ","</f>
        <v>9999,</v>
      </c>
      <c r="J23" t="str">
        <f ca="1">'(直掃)Change to adc mapping '!J87 &amp; ","</f>
        <v>9999,</v>
      </c>
      <c r="K23" t="str">
        <f ca="1">'(直掃)Change to adc mapping '!K87 &amp; ","</f>
        <v>9999,</v>
      </c>
      <c r="L23" t="str">
        <f ca="1">'(直掃)Change to adc mapping '!L87 &amp; ","</f>
        <v>9999,</v>
      </c>
      <c r="M23" t="str">
        <f ca="1">'(直掃)Change to adc mapping '!M87 &amp; ","</f>
        <v>9999,</v>
      </c>
      <c r="N23" t="str">
        <f ca="1">'(直掃)Change to adc mapping '!N87 &amp; ","</f>
        <v>9999,</v>
      </c>
      <c r="O23" t="str">
        <f ca="1">'(直掃)Change to adc mapping '!O87 &amp; ","</f>
        <v>9999,</v>
      </c>
      <c r="P23" t="str">
        <f ca="1">'(直掃)Change to adc mapping '!P87 &amp; ","</f>
        <v>9999,</v>
      </c>
      <c r="Q23" t="str">
        <f ca="1">'(直掃)Change to adc mapping '!Q87 &amp; ","</f>
        <v>9999,</v>
      </c>
      <c r="R23" t="str">
        <f ca="1">'(直掃)Change to adc mapping '!R87 &amp; ","</f>
        <v>9999,</v>
      </c>
      <c r="S23" t="str">
        <f ca="1">'(直掃)Change to adc mapping '!S87 &amp; ","</f>
        <v>9999,</v>
      </c>
      <c r="T23" t="str">
        <f ca="1">'(直掃)Change to adc mapping '!T87 &amp; ","</f>
        <v>9999,</v>
      </c>
      <c r="U23" t="str">
        <f ca="1">'(直掃)Change to adc mapping '!U87 &amp; ","</f>
        <v>9999,</v>
      </c>
      <c r="V23" t="str">
        <f ca="1">'(直掃)Change to adc mapping '!V87 &amp; ","</f>
        <v>9999,</v>
      </c>
      <c r="W23" t="str">
        <f ca="1">'(直掃)Change to adc mapping '!W87 &amp; ","</f>
        <v>9999,</v>
      </c>
      <c r="X23" t="str">
        <f ca="1">'(直掃)Change to adc mapping '!X87 &amp; ","</f>
        <v>9999,</v>
      </c>
      <c r="Y23" t="str">
        <f ca="1">'(直掃)Change to adc mapping '!Y87 &amp; ","</f>
        <v>-1,</v>
      </c>
      <c r="Z23" t="str">
        <f ca="1">'(直掃)Change to adc mapping '!Z87 &amp; ","</f>
        <v>-1,</v>
      </c>
      <c r="AA23" t="str">
        <f ca="1">'(直掃)Change to adc mapping '!AA87 &amp; ","</f>
        <v>-1,</v>
      </c>
      <c r="AB23" t="str">
        <f ca="1">'(直掃)Change to adc mapping '!AB87 &amp; ","</f>
        <v>-1,</v>
      </c>
      <c r="AC23" t="str">
        <f ca="1">'(直掃)Change to adc mapping '!AC87 &amp; ","</f>
        <v>-1,</v>
      </c>
      <c r="AD23" t="str">
        <f ca="1">'(直掃)Change to adc mapping '!AD87 &amp; ","</f>
        <v>-1,</v>
      </c>
      <c r="AE23" t="str">
        <f ca="1">'(直掃)Change to adc mapping '!AE87 &amp; ","</f>
        <v>-1,</v>
      </c>
      <c r="AF23" t="str">
        <f ca="1">'(直掃)Change to adc mapping '!AF87 &amp; ","</f>
        <v>-1,</v>
      </c>
      <c r="AG23" t="str">
        <f ca="1">'(直掃)Change to adc mapping '!AG87 &amp; ","</f>
        <v>-1,</v>
      </c>
      <c r="AH23" t="str">
        <f ca="1">'(直掃)Change to adc mapping '!AH87 &amp; ","</f>
        <v>-1,</v>
      </c>
      <c r="AI23" t="str">
        <f ca="1">'(直掃)Change to adc mapping '!AI87 &amp; ","</f>
        <v>-1,</v>
      </c>
      <c r="AJ23" t="str">
        <f ca="1">'(直掃)Change to adc mapping '!AJ87 &amp; ","</f>
        <v>-1,</v>
      </c>
      <c r="AK23" t="str">
        <f ca="1">'(直掃)Change to adc mapping '!AK87 &amp; ","</f>
        <v>-1,</v>
      </c>
      <c r="AL23" t="str">
        <f ca="1">'(直掃)Change to adc mapping '!AL87 &amp; ","</f>
        <v>-1,</v>
      </c>
      <c r="AM23" t="str">
        <f ca="1">'(直掃)Change to adc mapping '!AM87 &amp; ","</f>
        <v>-1,</v>
      </c>
      <c r="AN23" t="str">
        <f ca="1">'(直掃)Change to adc mapping '!AN87 &amp; ","</f>
        <v>-1,</v>
      </c>
      <c r="AO23" t="str">
        <f ca="1">'(直掃)Change to adc mapping '!AO87 &amp; ","</f>
        <v>-1,</v>
      </c>
      <c r="AP23" t="str">
        <f ca="1">'(直掃)Change to adc mapping '!AP87 &amp; ","</f>
        <v>-1,</v>
      </c>
      <c r="AQ23" t="str">
        <f ca="1">'(直掃)Change to adc mapping '!AQ87 &amp; ","</f>
        <v>-1,</v>
      </c>
      <c r="AR23" t="str">
        <f ca="1">'(直掃)Change to adc mapping '!AR87 &amp; ","</f>
        <v>-1,</v>
      </c>
      <c r="AS23" t="str">
        <f ca="1">'(直掃)Change to adc mapping '!AS87 &amp; ","</f>
        <v>-1,</v>
      </c>
      <c r="AT23" t="str">
        <f ca="1">'(直掃)Change to adc mapping '!AT87 &amp; ","</f>
        <v>-1,</v>
      </c>
      <c r="AU23" t="str">
        <f ca="1">'(直掃)Change to adc mapping '!AU87 &amp; ","</f>
        <v>-1,</v>
      </c>
      <c r="AV23" t="str">
        <f ca="1">'(直掃)Change to adc mapping '!AV87 &amp; ","</f>
        <v>-1,</v>
      </c>
      <c r="AW23" t="str">
        <f ca="1">'(直掃)Change to adc mapping '!AW87 &amp; ","</f>
        <v>-1,</v>
      </c>
      <c r="AX23" t="str">
        <f ca="1">'(直掃)Change to adc mapping '!AX87 &amp; ","</f>
        <v>-1,</v>
      </c>
      <c r="AY23" t="str">
        <f ca="1">'(直掃)Change to adc mapping '!AY87 &amp; ","</f>
        <v>-1,</v>
      </c>
      <c r="AZ23" t="str">
        <f ca="1">'(直掃)Change to adc mapping '!AZ87 &amp; ","</f>
        <v>-1,</v>
      </c>
      <c r="BA23" t="str">
        <f ca="1">'(直掃)Change to adc mapping '!BA87 &amp; ","</f>
        <v>-1,</v>
      </c>
      <c r="BB23" t="str">
        <f ca="1">'(直掃)Change to adc mapping '!BB87 &amp; ","</f>
        <v>-1,</v>
      </c>
      <c r="BC23" t="str">
        <f ca="1">'(直掃)Change to adc mapping '!BC87 &amp; ","</f>
        <v>-1,</v>
      </c>
      <c r="BD23" t="str">
        <f ca="1">'(直掃)Change to adc mapping '!BD87 &amp; ","</f>
        <v>-1,</v>
      </c>
      <c r="BE23" t="str">
        <f ca="1">'(直掃)Change to adc mapping '!BE87 &amp; ","</f>
        <v>-1,</v>
      </c>
      <c r="BF23" t="str">
        <f ca="1">'(直掃)Change to adc mapping '!BF87 &amp; ","</f>
        <v>-1,</v>
      </c>
      <c r="BG23" t="str">
        <f ca="1">'(直掃)Change to adc mapping '!BG87 &amp; ","</f>
        <v>-1,</v>
      </c>
      <c r="BH23" t="str">
        <f ca="1">'(直掃)Change to adc mapping '!BH87 &amp; ","</f>
        <v>-1,</v>
      </c>
      <c r="BI23" t="str">
        <f ca="1">'(直掃)Change to adc mapping '!BI87 &amp; ","</f>
        <v>-1,</v>
      </c>
    </row>
    <row r="24" spans="1:61" x14ac:dyDescent="0.25">
      <c r="A24" s="20">
        <v>23</v>
      </c>
      <c r="B24" t="str">
        <f ca="1">'(直掃)Change to adc mapping '!B88 &amp; ","</f>
        <v>9999,</v>
      </c>
      <c r="C24" t="str">
        <f ca="1">'(直掃)Change to adc mapping '!C88 &amp; ","</f>
        <v>9999,</v>
      </c>
      <c r="D24" t="str">
        <f ca="1">'(直掃)Change to adc mapping '!D88 &amp; ","</f>
        <v>9999,</v>
      </c>
      <c r="E24" t="str">
        <f ca="1">'(直掃)Change to adc mapping '!E88 &amp; ","</f>
        <v>9999,</v>
      </c>
      <c r="F24" t="str">
        <f ca="1">'(直掃)Change to adc mapping '!F88 &amp; ","</f>
        <v>9999,</v>
      </c>
      <c r="G24" t="str">
        <f ca="1">'(直掃)Change to adc mapping '!G88 &amp; ","</f>
        <v>9999,</v>
      </c>
      <c r="H24" t="str">
        <f ca="1">'(直掃)Change to adc mapping '!H88 &amp; ","</f>
        <v>9999,</v>
      </c>
      <c r="I24" t="str">
        <f ca="1">'(直掃)Change to adc mapping '!I88 &amp; ","</f>
        <v>9999,</v>
      </c>
      <c r="J24" t="str">
        <f ca="1">'(直掃)Change to adc mapping '!J88 &amp; ","</f>
        <v>9999,</v>
      </c>
      <c r="K24" t="str">
        <f ca="1">'(直掃)Change to adc mapping '!K88 &amp; ","</f>
        <v>9999,</v>
      </c>
      <c r="L24" t="str">
        <f ca="1">'(直掃)Change to adc mapping '!L88 &amp; ","</f>
        <v>9999,</v>
      </c>
      <c r="M24" t="str">
        <f ca="1">'(直掃)Change to adc mapping '!M88 &amp; ","</f>
        <v>9999,</v>
      </c>
      <c r="N24" t="str">
        <f ca="1">'(直掃)Change to adc mapping '!N88 &amp; ","</f>
        <v>9999,</v>
      </c>
      <c r="O24" t="str">
        <f ca="1">'(直掃)Change to adc mapping '!O88 &amp; ","</f>
        <v>9999,</v>
      </c>
      <c r="P24" t="str">
        <f ca="1">'(直掃)Change to adc mapping '!P88 &amp; ","</f>
        <v>9999,</v>
      </c>
      <c r="Q24" t="str">
        <f ca="1">'(直掃)Change to adc mapping '!Q88 &amp; ","</f>
        <v>9999,</v>
      </c>
      <c r="R24" t="str">
        <f ca="1">'(直掃)Change to adc mapping '!R88 &amp; ","</f>
        <v>9999,</v>
      </c>
      <c r="S24" t="str">
        <f ca="1">'(直掃)Change to adc mapping '!S88 &amp; ","</f>
        <v>9999,</v>
      </c>
      <c r="T24" t="str">
        <f ca="1">'(直掃)Change to adc mapping '!T88 &amp; ","</f>
        <v>9999,</v>
      </c>
      <c r="U24" t="str">
        <f ca="1">'(直掃)Change to adc mapping '!U88 &amp; ","</f>
        <v>9999,</v>
      </c>
      <c r="V24" t="str">
        <f ca="1">'(直掃)Change to adc mapping '!V88 &amp; ","</f>
        <v>9999,</v>
      </c>
      <c r="W24" t="str">
        <f ca="1">'(直掃)Change to adc mapping '!W88 &amp; ","</f>
        <v>9999,</v>
      </c>
      <c r="X24" t="str">
        <f ca="1">'(直掃)Change to adc mapping '!X88 &amp; ","</f>
        <v>9999,</v>
      </c>
      <c r="Y24" t="str">
        <f ca="1">'(直掃)Change to adc mapping '!Y88 &amp; ","</f>
        <v>-1,</v>
      </c>
      <c r="Z24" t="str">
        <f ca="1">'(直掃)Change to adc mapping '!Z88 &amp; ","</f>
        <v>-1,</v>
      </c>
      <c r="AA24" t="str">
        <f ca="1">'(直掃)Change to adc mapping '!AA88 &amp; ","</f>
        <v>-1,</v>
      </c>
      <c r="AB24" t="str">
        <f ca="1">'(直掃)Change to adc mapping '!AB88 &amp; ","</f>
        <v>-1,</v>
      </c>
      <c r="AC24" t="str">
        <f ca="1">'(直掃)Change to adc mapping '!AC88 &amp; ","</f>
        <v>-1,</v>
      </c>
      <c r="AD24" t="str">
        <f ca="1">'(直掃)Change to adc mapping '!AD88 &amp; ","</f>
        <v>-1,</v>
      </c>
      <c r="AE24" t="str">
        <f ca="1">'(直掃)Change to adc mapping '!AE88 &amp; ","</f>
        <v>-1,</v>
      </c>
      <c r="AF24" t="str">
        <f ca="1">'(直掃)Change to adc mapping '!AF88 &amp; ","</f>
        <v>-1,</v>
      </c>
      <c r="AG24" t="str">
        <f ca="1">'(直掃)Change to adc mapping '!AG88 &amp; ","</f>
        <v>-1,</v>
      </c>
      <c r="AH24" t="str">
        <f ca="1">'(直掃)Change to adc mapping '!AH88 &amp; ","</f>
        <v>-1,</v>
      </c>
      <c r="AI24" t="str">
        <f ca="1">'(直掃)Change to adc mapping '!AI88 &amp; ","</f>
        <v>-1,</v>
      </c>
      <c r="AJ24" t="str">
        <f ca="1">'(直掃)Change to adc mapping '!AJ88 &amp; ","</f>
        <v>-1,</v>
      </c>
      <c r="AK24" t="str">
        <f ca="1">'(直掃)Change to adc mapping '!AK88 &amp; ","</f>
        <v>-1,</v>
      </c>
      <c r="AL24" t="str">
        <f ca="1">'(直掃)Change to adc mapping '!AL88 &amp; ","</f>
        <v>-1,</v>
      </c>
      <c r="AM24" t="str">
        <f ca="1">'(直掃)Change to adc mapping '!AM88 &amp; ","</f>
        <v>-1,</v>
      </c>
      <c r="AN24" t="str">
        <f ca="1">'(直掃)Change to adc mapping '!AN88 &amp; ","</f>
        <v>-1,</v>
      </c>
      <c r="AO24" t="str">
        <f ca="1">'(直掃)Change to adc mapping '!AO88 &amp; ","</f>
        <v>-1,</v>
      </c>
      <c r="AP24" t="str">
        <f ca="1">'(直掃)Change to adc mapping '!AP88 &amp; ","</f>
        <v>-1,</v>
      </c>
      <c r="AQ24" t="str">
        <f ca="1">'(直掃)Change to adc mapping '!AQ88 &amp; ","</f>
        <v>-1,</v>
      </c>
      <c r="AR24" t="str">
        <f ca="1">'(直掃)Change to adc mapping '!AR88 &amp; ","</f>
        <v>-1,</v>
      </c>
      <c r="AS24" t="str">
        <f ca="1">'(直掃)Change to adc mapping '!AS88 &amp; ","</f>
        <v>-1,</v>
      </c>
      <c r="AT24" t="str">
        <f ca="1">'(直掃)Change to adc mapping '!AT88 &amp; ","</f>
        <v>-1,</v>
      </c>
      <c r="AU24" t="str">
        <f ca="1">'(直掃)Change to adc mapping '!AU88 &amp; ","</f>
        <v>-1,</v>
      </c>
      <c r="AV24" t="str">
        <f ca="1">'(直掃)Change to adc mapping '!AV88 &amp; ","</f>
        <v>-1,</v>
      </c>
      <c r="AW24" t="str">
        <f ca="1">'(直掃)Change to adc mapping '!AW88 &amp; ","</f>
        <v>-1,</v>
      </c>
      <c r="AX24" t="str">
        <f ca="1">'(直掃)Change to adc mapping '!AX88 &amp; ","</f>
        <v>-1,</v>
      </c>
      <c r="AY24" t="str">
        <f ca="1">'(直掃)Change to adc mapping '!AY88 &amp; ","</f>
        <v>-1,</v>
      </c>
      <c r="AZ24" t="str">
        <f ca="1">'(直掃)Change to adc mapping '!AZ88 &amp; ","</f>
        <v>-1,</v>
      </c>
      <c r="BA24" t="str">
        <f ca="1">'(直掃)Change to adc mapping '!BA88 &amp; ","</f>
        <v>-1,</v>
      </c>
      <c r="BB24" t="str">
        <f ca="1">'(直掃)Change to adc mapping '!BB88 &amp; ","</f>
        <v>-1,</v>
      </c>
      <c r="BC24" t="str">
        <f ca="1">'(直掃)Change to adc mapping '!BC88 &amp; ","</f>
        <v>-1,</v>
      </c>
      <c r="BD24" t="str">
        <f ca="1">'(直掃)Change to adc mapping '!BD88 &amp; ","</f>
        <v>-1,</v>
      </c>
      <c r="BE24" t="str">
        <f ca="1">'(直掃)Change to adc mapping '!BE88 &amp; ","</f>
        <v>-1,</v>
      </c>
      <c r="BF24" t="str">
        <f ca="1">'(直掃)Change to adc mapping '!BF88 &amp; ","</f>
        <v>-1,</v>
      </c>
      <c r="BG24" t="str">
        <f ca="1">'(直掃)Change to adc mapping '!BG88 &amp; ","</f>
        <v>-1,</v>
      </c>
      <c r="BH24" t="str">
        <f ca="1">'(直掃)Change to adc mapping '!BH88 &amp; ","</f>
        <v>-1,</v>
      </c>
      <c r="BI24" t="str">
        <f ca="1">'(直掃)Change to adc mapping '!BI88 &amp; ","</f>
        <v>-1,</v>
      </c>
    </row>
    <row r="25" spans="1:61" x14ac:dyDescent="0.25">
      <c r="A25" s="20">
        <v>24</v>
      </c>
      <c r="B25" t="str">
        <f ca="1">'(直掃)Change to adc mapping '!B89 &amp; ","</f>
        <v>9999,</v>
      </c>
      <c r="C25" t="str">
        <f ca="1">'(直掃)Change to adc mapping '!C89 &amp; ","</f>
        <v>9999,</v>
      </c>
      <c r="D25" t="str">
        <f ca="1">'(直掃)Change to adc mapping '!D89 &amp; ","</f>
        <v>9999,</v>
      </c>
      <c r="E25" t="str">
        <f ca="1">'(直掃)Change to adc mapping '!E89 &amp; ","</f>
        <v>9999,</v>
      </c>
      <c r="F25" t="str">
        <f ca="1">'(直掃)Change to adc mapping '!F89 &amp; ","</f>
        <v>9999,</v>
      </c>
      <c r="G25" t="str">
        <f ca="1">'(直掃)Change to adc mapping '!G89 &amp; ","</f>
        <v>9999,</v>
      </c>
      <c r="H25" t="str">
        <f ca="1">'(直掃)Change to adc mapping '!H89 &amp; ","</f>
        <v>9999,</v>
      </c>
      <c r="I25" t="str">
        <f ca="1">'(直掃)Change to adc mapping '!I89 &amp; ","</f>
        <v>9999,</v>
      </c>
      <c r="J25" t="str">
        <f ca="1">'(直掃)Change to adc mapping '!J89 &amp; ","</f>
        <v>9999,</v>
      </c>
      <c r="K25" t="str">
        <f ca="1">'(直掃)Change to adc mapping '!K89 &amp; ","</f>
        <v>9999,</v>
      </c>
      <c r="L25" t="str">
        <f ca="1">'(直掃)Change to adc mapping '!L89 &amp; ","</f>
        <v>9999,</v>
      </c>
      <c r="M25" t="str">
        <f ca="1">'(直掃)Change to adc mapping '!M89 &amp; ","</f>
        <v>9999,</v>
      </c>
      <c r="N25" t="str">
        <f ca="1">'(直掃)Change to adc mapping '!N89 &amp; ","</f>
        <v>9999,</v>
      </c>
      <c r="O25" t="str">
        <f ca="1">'(直掃)Change to adc mapping '!O89 &amp; ","</f>
        <v>9999,</v>
      </c>
      <c r="P25" t="str">
        <f ca="1">'(直掃)Change to adc mapping '!P89 &amp; ","</f>
        <v>9999,</v>
      </c>
      <c r="Q25" t="str">
        <f ca="1">'(直掃)Change to adc mapping '!Q89 &amp; ","</f>
        <v>9999,</v>
      </c>
      <c r="R25" t="str">
        <f ca="1">'(直掃)Change to adc mapping '!R89 &amp; ","</f>
        <v>9999,</v>
      </c>
      <c r="S25" t="str">
        <f ca="1">'(直掃)Change to adc mapping '!S89 &amp; ","</f>
        <v>9999,</v>
      </c>
      <c r="T25" t="str">
        <f ca="1">'(直掃)Change to adc mapping '!T89 &amp; ","</f>
        <v>9999,</v>
      </c>
      <c r="U25" t="str">
        <f ca="1">'(直掃)Change to adc mapping '!U89 &amp; ","</f>
        <v>9999,</v>
      </c>
      <c r="V25" t="str">
        <f ca="1">'(直掃)Change to adc mapping '!V89 &amp; ","</f>
        <v>9999,</v>
      </c>
      <c r="W25" t="str">
        <f ca="1">'(直掃)Change to adc mapping '!W89 &amp; ","</f>
        <v>9999,</v>
      </c>
      <c r="X25" t="str">
        <f ca="1">'(直掃)Change to adc mapping '!X89 &amp; ","</f>
        <v>9999,</v>
      </c>
      <c r="Y25" t="str">
        <f ca="1">'(直掃)Change to adc mapping '!Y89 &amp; ","</f>
        <v>-1,</v>
      </c>
      <c r="Z25" t="str">
        <f ca="1">'(直掃)Change to adc mapping '!Z89 &amp; ","</f>
        <v>-1,</v>
      </c>
      <c r="AA25" t="str">
        <f ca="1">'(直掃)Change to adc mapping '!AA89 &amp; ","</f>
        <v>-1,</v>
      </c>
      <c r="AB25" t="str">
        <f ca="1">'(直掃)Change to adc mapping '!AB89 &amp; ","</f>
        <v>-1,</v>
      </c>
      <c r="AC25" t="str">
        <f ca="1">'(直掃)Change to adc mapping '!AC89 &amp; ","</f>
        <v>-1,</v>
      </c>
      <c r="AD25" t="str">
        <f ca="1">'(直掃)Change to adc mapping '!AD89 &amp; ","</f>
        <v>-1,</v>
      </c>
      <c r="AE25" t="str">
        <f ca="1">'(直掃)Change to adc mapping '!AE89 &amp; ","</f>
        <v>-1,</v>
      </c>
      <c r="AF25" t="str">
        <f ca="1">'(直掃)Change to adc mapping '!AF89 &amp; ","</f>
        <v>-1,</v>
      </c>
      <c r="AG25" t="str">
        <f ca="1">'(直掃)Change to adc mapping '!AG89 &amp; ","</f>
        <v>-1,</v>
      </c>
      <c r="AH25" t="str">
        <f ca="1">'(直掃)Change to adc mapping '!AH89 &amp; ","</f>
        <v>-1,</v>
      </c>
      <c r="AI25" t="str">
        <f ca="1">'(直掃)Change to adc mapping '!AI89 &amp; ","</f>
        <v>-1,</v>
      </c>
      <c r="AJ25" t="str">
        <f ca="1">'(直掃)Change to adc mapping '!AJ89 &amp; ","</f>
        <v>-1,</v>
      </c>
      <c r="AK25" t="str">
        <f ca="1">'(直掃)Change to adc mapping '!AK89 &amp; ","</f>
        <v>-1,</v>
      </c>
      <c r="AL25" t="str">
        <f ca="1">'(直掃)Change to adc mapping '!AL89 &amp; ","</f>
        <v>-1,</v>
      </c>
      <c r="AM25" t="str">
        <f ca="1">'(直掃)Change to adc mapping '!AM89 &amp; ","</f>
        <v>-1,</v>
      </c>
      <c r="AN25" t="str">
        <f ca="1">'(直掃)Change to adc mapping '!AN89 &amp; ","</f>
        <v>-1,</v>
      </c>
      <c r="AO25" t="str">
        <f ca="1">'(直掃)Change to adc mapping '!AO89 &amp; ","</f>
        <v>-1,</v>
      </c>
      <c r="AP25" t="str">
        <f ca="1">'(直掃)Change to adc mapping '!AP89 &amp; ","</f>
        <v>-1,</v>
      </c>
      <c r="AQ25" t="str">
        <f ca="1">'(直掃)Change to adc mapping '!AQ89 &amp; ","</f>
        <v>-1,</v>
      </c>
      <c r="AR25" t="str">
        <f ca="1">'(直掃)Change to adc mapping '!AR89 &amp; ","</f>
        <v>-1,</v>
      </c>
      <c r="AS25" t="str">
        <f ca="1">'(直掃)Change to adc mapping '!AS89 &amp; ","</f>
        <v>-1,</v>
      </c>
      <c r="AT25" t="str">
        <f ca="1">'(直掃)Change to adc mapping '!AT89 &amp; ","</f>
        <v>-1,</v>
      </c>
      <c r="AU25" t="str">
        <f ca="1">'(直掃)Change to adc mapping '!AU89 &amp; ","</f>
        <v>-1,</v>
      </c>
      <c r="AV25" t="str">
        <f ca="1">'(直掃)Change to adc mapping '!AV89 &amp; ","</f>
        <v>-1,</v>
      </c>
      <c r="AW25" t="str">
        <f ca="1">'(直掃)Change to adc mapping '!AW89 &amp; ","</f>
        <v>-1,</v>
      </c>
      <c r="AX25" t="str">
        <f ca="1">'(直掃)Change to adc mapping '!AX89 &amp; ","</f>
        <v>-1,</v>
      </c>
      <c r="AY25" t="str">
        <f ca="1">'(直掃)Change to adc mapping '!AY89 &amp; ","</f>
        <v>-1,</v>
      </c>
      <c r="AZ25" t="str">
        <f ca="1">'(直掃)Change to adc mapping '!AZ89 &amp; ","</f>
        <v>-1,</v>
      </c>
      <c r="BA25" t="str">
        <f ca="1">'(直掃)Change to adc mapping '!BA89 &amp; ","</f>
        <v>-1,</v>
      </c>
      <c r="BB25" t="str">
        <f ca="1">'(直掃)Change to adc mapping '!BB89 &amp; ","</f>
        <v>-1,</v>
      </c>
      <c r="BC25" t="str">
        <f ca="1">'(直掃)Change to adc mapping '!BC89 &amp; ","</f>
        <v>-1,</v>
      </c>
      <c r="BD25" t="str">
        <f ca="1">'(直掃)Change to adc mapping '!BD89 &amp; ","</f>
        <v>-1,</v>
      </c>
      <c r="BE25" t="str">
        <f ca="1">'(直掃)Change to adc mapping '!BE89 &amp; ","</f>
        <v>-1,</v>
      </c>
      <c r="BF25" t="str">
        <f ca="1">'(直掃)Change to adc mapping '!BF89 &amp; ","</f>
        <v>-1,</v>
      </c>
      <c r="BG25" t="str">
        <f ca="1">'(直掃)Change to adc mapping '!BG89 &amp; ","</f>
        <v>-1,</v>
      </c>
      <c r="BH25" t="str">
        <f ca="1">'(直掃)Change to adc mapping '!BH89 &amp; ","</f>
        <v>-1,</v>
      </c>
      <c r="BI25" t="str">
        <f ca="1">'(直掃)Change to adc mapping '!BI89 &amp; ","</f>
        <v>-1,</v>
      </c>
    </row>
    <row r="26" spans="1:61" x14ac:dyDescent="0.25">
      <c r="A26" s="20">
        <v>25</v>
      </c>
      <c r="B26" t="str">
        <f ca="1">'(直掃)Change to adc mapping '!B90 &amp; ","</f>
        <v>9999,</v>
      </c>
      <c r="C26" t="str">
        <f ca="1">'(直掃)Change to adc mapping '!C90 &amp; ","</f>
        <v>9999,</v>
      </c>
      <c r="D26" t="str">
        <f ca="1">'(直掃)Change to adc mapping '!D90 &amp; ","</f>
        <v>9999,</v>
      </c>
      <c r="E26" t="str">
        <f ca="1">'(直掃)Change to adc mapping '!E90 &amp; ","</f>
        <v>9999,</v>
      </c>
      <c r="F26" t="str">
        <f ca="1">'(直掃)Change to adc mapping '!F90 &amp; ","</f>
        <v>9999,</v>
      </c>
      <c r="G26" t="str">
        <f ca="1">'(直掃)Change to adc mapping '!G90 &amp; ","</f>
        <v>9999,</v>
      </c>
      <c r="H26" t="str">
        <f ca="1">'(直掃)Change to adc mapping '!H90 &amp; ","</f>
        <v>9999,</v>
      </c>
      <c r="I26" t="str">
        <f ca="1">'(直掃)Change to adc mapping '!I90 &amp; ","</f>
        <v>9999,</v>
      </c>
      <c r="J26" t="str">
        <f ca="1">'(直掃)Change to adc mapping '!J90 &amp; ","</f>
        <v>9999,</v>
      </c>
      <c r="K26" t="str">
        <f ca="1">'(直掃)Change to adc mapping '!K90 &amp; ","</f>
        <v>9999,</v>
      </c>
      <c r="L26" t="str">
        <f ca="1">'(直掃)Change to adc mapping '!L90 &amp; ","</f>
        <v>9999,</v>
      </c>
      <c r="M26" t="str">
        <f ca="1">'(直掃)Change to adc mapping '!M90 &amp; ","</f>
        <v>9999,</v>
      </c>
      <c r="N26" t="str">
        <f ca="1">'(直掃)Change to adc mapping '!N90 &amp; ","</f>
        <v>9999,</v>
      </c>
      <c r="O26" t="str">
        <f ca="1">'(直掃)Change to adc mapping '!O90 &amp; ","</f>
        <v>9999,</v>
      </c>
      <c r="P26" t="str">
        <f ca="1">'(直掃)Change to adc mapping '!P90 &amp; ","</f>
        <v>9999,</v>
      </c>
      <c r="Q26" t="str">
        <f ca="1">'(直掃)Change to adc mapping '!Q90 &amp; ","</f>
        <v>9999,</v>
      </c>
      <c r="R26" t="str">
        <f ca="1">'(直掃)Change to adc mapping '!R90 &amp; ","</f>
        <v>9999,</v>
      </c>
      <c r="S26" t="str">
        <f ca="1">'(直掃)Change to adc mapping '!S90 &amp; ","</f>
        <v>9999,</v>
      </c>
      <c r="T26" t="str">
        <f ca="1">'(直掃)Change to adc mapping '!T90 &amp; ","</f>
        <v>9999,</v>
      </c>
      <c r="U26" t="str">
        <f ca="1">'(直掃)Change to adc mapping '!U90 &amp; ","</f>
        <v>9999,</v>
      </c>
      <c r="V26" t="str">
        <f ca="1">'(直掃)Change to adc mapping '!V90 &amp; ","</f>
        <v>9999,</v>
      </c>
      <c r="W26" t="str">
        <f ca="1">'(直掃)Change to adc mapping '!W90 &amp; ","</f>
        <v>9999,</v>
      </c>
      <c r="X26" t="str">
        <f ca="1">'(直掃)Change to adc mapping '!X90 &amp; ","</f>
        <v>9999,</v>
      </c>
      <c r="Y26" t="str">
        <f ca="1">'(直掃)Change to adc mapping '!Y90 &amp; ","</f>
        <v>-1,</v>
      </c>
      <c r="Z26" t="str">
        <f ca="1">'(直掃)Change to adc mapping '!Z90 &amp; ","</f>
        <v>-1,</v>
      </c>
      <c r="AA26" t="str">
        <f ca="1">'(直掃)Change to adc mapping '!AA90 &amp; ","</f>
        <v>-1,</v>
      </c>
      <c r="AB26" t="str">
        <f ca="1">'(直掃)Change to adc mapping '!AB90 &amp; ","</f>
        <v>-1,</v>
      </c>
      <c r="AC26" t="str">
        <f ca="1">'(直掃)Change to adc mapping '!AC90 &amp; ","</f>
        <v>-1,</v>
      </c>
      <c r="AD26" t="str">
        <f ca="1">'(直掃)Change to adc mapping '!AD90 &amp; ","</f>
        <v>-1,</v>
      </c>
      <c r="AE26" t="str">
        <f ca="1">'(直掃)Change to adc mapping '!AE90 &amp; ","</f>
        <v>-1,</v>
      </c>
      <c r="AF26" t="str">
        <f ca="1">'(直掃)Change to adc mapping '!AF90 &amp; ","</f>
        <v>-1,</v>
      </c>
      <c r="AG26" t="str">
        <f ca="1">'(直掃)Change to adc mapping '!AG90 &amp; ","</f>
        <v>-1,</v>
      </c>
      <c r="AH26" t="str">
        <f ca="1">'(直掃)Change to adc mapping '!AH90 &amp; ","</f>
        <v>-1,</v>
      </c>
      <c r="AI26" t="str">
        <f ca="1">'(直掃)Change to adc mapping '!AI90 &amp; ","</f>
        <v>-1,</v>
      </c>
      <c r="AJ26" t="str">
        <f ca="1">'(直掃)Change to adc mapping '!AJ90 &amp; ","</f>
        <v>-1,</v>
      </c>
      <c r="AK26" t="str">
        <f ca="1">'(直掃)Change to adc mapping '!AK90 &amp; ","</f>
        <v>-1,</v>
      </c>
      <c r="AL26" t="str">
        <f ca="1">'(直掃)Change to adc mapping '!AL90 &amp; ","</f>
        <v>-1,</v>
      </c>
      <c r="AM26" t="str">
        <f ca="1">'(直掃)Change to adc mapping '!AM90 &amp; ","</f>
        <v>-1,</v>
      </c>
      <c r="AN26" t="str">
        <f ca="1">'(直掃)Change to adc mapping '!AN90 &amp; ","</f>
        <v>-1,</v>
      </c>
      <c r="AO26" t="str">
        <f ca="1">'(直掃)Change to adc mapping '!AO90 &amp; ","</f>
        <v>-1,</v>
      </c>
      <c r="AP26" t="str">
        <f ca="1">'(直掃)Change to adc mapping '!AP90 &amp; ","</f>
        <v>-1,</v>
      </c>
      <c r="AQ26" t="str">
        <f ca="1">'(直掃)Change to adc mapping '!AQ90 &amp; ","</f>
        <v>-1,</v>
      </c>
      <c r="AR26" t="str">
        <f ca="1">'(直掃)Change to adc mapping '!AR90 &amp; ","</f>
        <v>-1,</v>
      </c>
      <c r="AS26" t="str">
        <f ca="1">'(直掃)Change to adc mapping '!AS90 &amp; ","</f>
        <v>-1,</v>
      </c>
      <c r="AT26" t="str">
        <f ca="1">'(直掃)Change to adc mapping '!AT90 &amp; ","</f>
        <v>-1,</v>
      </c>
      <c r="AU26" t="str">
        <f ca="1">'(直掃)Change to adc mapping '!AU90 &amp; ","</f>
        <v>-1,</v>
      </c>
      <c r="AV26" t="str">
        <f ca="1">'(直掃)Change to adc mapping '!AV90 &amp; ","</f>
        <v>-1,</v>
      </c>
      <c r="AW26" t="str">
        <f ca="1">'(直掃)Change to adc mapping '!AW90 &amp; ","</f>
        <v>-1,</v>
      </c>
      <c r="AX26" t="str">
        <f ca="1">'(直掃)Change to adc mapping '!AX90 &amp; ","</f>
        <v>-1,</v>
      </c>
      <c r="AY26" t="str">
        <f ca="1">'(直掃)Change to adc mapping '!AY90 &amp; ","</f>
        <v>-1,</v>
      </c>
      <c r="AZ26" t="str">
        <f ca="1">'(直掃)Change to adc mapping '!AZ90 &amp; ","</f>
        <v>-1,</v>
      </c>
      <c r="BA26" t="str">
        <f ca="1">'(直掃)Change to adc mapping '!BA90 &amp; ","</f>
        <v>-1,</v>
      </c>
      <c r="BB26" t="str">
        <f ca="1">'(直掃)Change to adc mapping '!BB90 &amp; ","</f>
        <v>-1,</v>
      </c>
      <c r="BC26" t="str">
        <f ca="1">'(直掃)Change to adc mapping '!BC90 &amp; ","</f>
        <v>-1,</v>
      </c>
      <c r="BD26" t="str">
        <f ca="1">'(直掃)Change to adc mapping '!BD90 &amp; ","</f>
        <v>-1,</v>
      </c>
      <c r="BE26" t="str">
        <f ca="1">'(直掃)Change to adc mapping '!BE90 &amp; ","</f>
        <v>-1,</v>
      </c>
      <c r="BF26" t="str">
        <f ca="1">'(直掃)Change to adc mapping '!BF90 &amp; ","</f>
        <v>-1,</v>
      </c>
      <c r="BG26" t="str">
        <f ca="1">'(直掃)Change to adc mapping '!BG90 &amp; ","</f>
        <v>-1,</v>
      </c>
      <c r="BH26" t="str">
        <f ca="1">'(直掃)Change to adc mapping '!BH90 &amp; ","</f>
        <v>-1,</v>
      </c>
      <c r="BI26" t="str">
        <f ca="1">'(直掃)Change to adc mapping '!BI90 &amp; ","</f>
        <v>-1,</v>
      </c>
    </row>
    <row r="27" spans="1:61" x14ac:dyDescent="0.25">
      <c r="A27" s="20">
        <v>26</v>
      </c>
      <c r="B27" t="str">
        <f ca="1">'(直掃)Change to adc mapping '!B91 &amp; ","</f>
        <v>9999,</v>
      </c>
      <c r="C27" t="str">
        <f ca="1">'(直掃)Change to adc mapping '!C91 &amp; ","</f>
        <v>9999,</v>
      </c>
      <c r="D27" t="str">
        <f ca="1">'(直掃)Change to adc mapping '!D91 &amp; ","</f>
        <v>9999,</v>
      </c>
      <c r="E27" t="str">
        <f ca="1">'(直掃)Change to adc mapping '!E91 &amp; ","</f>
        <v>9999,</v>
      </c>
      <c r="F27" t="str">
        <f ca="1">'(直掃)Change to adc mapping '!F91 &amp; ","</f>
        <v>9999,</v>
      </c>
      <c r="G27" t="str">
        <f ca="1">'(直掃)Change to adc mapping '!G91 &amp; ","</f>
        <v>9999,</v>
      </c>
      <c r="H27" t="str">
        <f ca="1">'(直掃)Change to adc mapping '!H91 &amp; ","</f>
        <v>9999,</v>
      </c>
      <c r="I27" t="str">
        <f ca="1">'(直掃)Change to adc mapping '!I91 &amp; ","</f>
        <v>9999,</v>
      </c>
      <c r="J27" t="str">
        <f ca="1">'(直掃)Change to adc mapping '!J91 &amp; ","</f>
        <v>9999,</v>
      </c>
      <c r="K27" t="str">
        <f ca="1">'(直掃)Change to adc mapping '!K91 &amp; ","</f>
        <v>9999,</v>
      </c>
      <c r="L27" t="str">
        <f ca="1">'(直掃)Change to adc mapping '!L91 &amp; ","</f>
        <v>9999,</v>
      </c>
      <c r="M27" t="str">
        <f ca="1">'(直掃)Change to adc mapping '!M91 &amp; ","</f>
        <v>9999,</v>
      </c>
      <c r="N27" t="str">
        <f ca="1">'(直掃)Change to adc mapping '!N91 &amp; ","</f>
        <v>9999,</v>
      </c>
      <c r="O27" t="str">
        <f ca="1">'(直掃)Change to adc mapping '!O91 &amp; ","</f>
        <v>9999,</v>
      </c>
      <c r="P27" t="str">
        <f ca="1">'(直掃)Change to adc mapping '!P91 &amp; ","</f>
        <v>9999,</v>
      </c>
      <c r="Q27" t="str">
        <f ca="1">'(直掃)Change to adc mapping '!Q91 &amp; ","</f>
        <v>9999,</v>
      </c>
      <c r="R27" t="str">
        <f ca="1">'(直掃)Change to adc mapping '!R91 &amp; ","</f>
        <v>9999,</v>
      </c>
      <c r="S27" t="str">
        <f ca="1">'(直掃)Change to adc mapping '!S91 &amp; ","</f>
        <v>9999,</v>
      </c>
      <c r="T27" t="str">
        <f ca="1">'(直掃)Change to adc mapping '!T91 &amp; ","</f>
        <v>9999,</v>
      </c>
      <c r="U27" t="str">
        <f ca="1">'(直掃)Change to adc mapping '!U91 &amp; ","</f>
        <v>9999,</v>
      </c>
      <c r="V27" t="str">
        <f ca="1">'(直掃)Change to adc mapping '!V91 &amp; ","</f>
        <v>9999,</v>
      </c>
      <c r="W27" t="str">
        <f ca="1">'(直掃)Change to adc mapping '!W91 &amp; ","</f>
        <v>9999,</v>
      </c>
      <c r="X27" t="str">
        <f ca="1">'(直掃)Change to adc mapping '!X91 &amp; ","</f>
        <v>9999,</v>
      </c>
      <c r="Y27" t="str">
        <f ca="1">'(直掃)Change to adc mapping '!Y91 &amp; ","</f>
        <v>-1,</v>
      </c>
      <c r="Z27" t="str">
        <f ca="1">'(直掃)Change to adc mapping '!Z91 &amp; ","</f>
        <v>-1,</v>
      </c>
      <c r="AA27" t="str">
        <f ca="1">'(直掃)Change to adc mapping '!AA91 &amp; ","</f>
        <v>-1,</v>
      </c>
      <c r="AB27" t="str">
        <f ca="1">'(直掃)Change to adc mapping '!AB91 &amp; ","</f>
        <v>-1,</v>
      </c>
      <c r="AC27" t="str">
        <f ca="1">'(直掃)Change to adc mapping '!AC91 &amp; ","</f>
        <v>-1,</v>
      </c>
      <c r="AD27" t="str">
        <f ca="1">'(直掃)Change to adc mapping '!AD91 &amp; ","</f>
        <v>-1,</v>
      </c>
      <c r="AE27" t="str">
        <f ca="1">'(直掃)Change to adc mapping '!AE91 &amp; ","</f>
        <v>-1,</v>
      </c>
      <c r="AF27" t="str">
        <f ca="1">'(直掃)Change to adc mapping '!AF91 &amp; ","</f>
        <v>-1,</v>
      </c>
      <c r="AG27" t="str">
        <f ca="1">'(直掃)Change to adc mapping '!AG91 &amp; ","</f>
        <v>-1,</v>
      </c>
      <c r="AH27" t="str">
        <f ca="1">'(直掃)Change to adc mapping '!AH91 &amp; ","</f>
        <v>-1,</v>
      </c>
      <c r="AI27" t="str">
        <f ca="1">'(直掃)Change to adc mapping '!AI91 &amp; ","</f>
        <v>-1,</v>
      </c>
      <c r="AJ27" t="str">
        <f ca="1">'(直掃)Change to adc mapping '!AJ91 &amp; ","</f>
        <v>-1,</v>
      </c>
      <c r="AK27" t="str">
        <f ca="1">'(直掃)Change to adc mapping '!AK91 &amp; ","</f>
        <v>-1,</v>
      </c>
      <c r="AL27" t="str">
        <f ca="1">'(直掃)Change to adc mapping '!AL91 &amp; ","</f>
        <v>-1,</v>
      </c>
      <c r="AM27" t="str">
        <f ca="1">'(直掃)Change to adc mapping '!AM91 &amp; ","</f>
        <v>-1,</v>
      </c>
      <c r="AN27" t="str">
        <f ca="1">'(直掃)Change to adc mapping '!AN91 &amp; ","</f>
        <v>-1,</v>
      </c>
      <c r="AO27" t="str">
        <f ca="1">'(直掃)Change to adc mapping '!AO91 &amp; ","</f>
        <v>-1,</v>
      </c>
      <c r="AP27" t="str">
        <f ca="1">'(直掃)Change to adc mapping '!AP91 &amp; ","</f>
        <v>-1,</v>
      </c>
      <c r="AQ27" t="str">
        <f ca="1">'(直掃)Change to adc mapping '!AQ91 &amp; ","</f>
        <v>-1,</v>
      </c>
      <c r="AR27" t="str">
        <f ca="1">'(直掃)Change to adc mapping '!AR91 &amp; ","</f>
        <v>-1,</v>
      </c>
      <c r="AS27" t="str">
        <f ca="1">'(直掃)Change to adc mapping '!AS91 &amp; ","</f>
        <v>-1,</v>
      </c>
      <c r="AT27" t="str">
        <f ca="1">'(直掃)Change to adc mapping '!AT91 &amp; ","</f>
        <v>-1,</v>
      </c>
      <c r="AU27" t="str">
        <f ca="1">'(直掃)Change to adc mapping '!AU91 &amp; ","</f>
        <v>-1,</v>
      </c>
      <c r="AV27" t="str">
        <f ca="1">'(直掃)Change to adc mapping '!AV91 &amp; ","</f>
        <v>-1,</v>
      </c>
      <c r="AW27" t="str">
        <f ca="1">'(直掃)Change to adc mapping '!AW91 &amp; ","</f>
        <v>-1,</v>
      </c>
      <c r="AX27" t="str">
        <f ca="1">'(直掃)Change to adc mapping '!AX91 &amp; ","</f>
        <v>-1,</v>
      </c>
      <c r="AY27" t="str">
        <f ca="1">'(直掃)Change to adc mapping '!AY91 &amp; ","</f>
        <v>-1,</v>
      </c>
      <c r="AZ27" t="str">
        <f ca="1">'(直掃)Change to adc mapping '!AZ91 &amp; ","</f>
        <v>-1,</v>
      </c>
      <c r="BA27" t="str">
        <f ca="1">'(直掃)Change to adc mapping '!BA91 &amp; ","</f>
        <v>-1,</v>
      </c>
      <c r="BB27" t="str">
        <f ca="1">'(直掃)Change to adc mapping '!BB91 &amp; ","</f>
        <v>-1,</v>
      </c>
      <c r="BC27" t="str">
        <f ca="1">'(直掃)Change to adc mapping '!BC91 &amp; ","</f>
        <v>-1,</v>
      </c>
      <c r="BD27" t="str">
        <f ca="1">'(直掃)Change to adc mapping '!BD91 &amp; ","</f>
        <v>-1,</v>
      </c>
      <c r="BE27" t="str">
        <f ca="1">'(直掃)Change to adc mapping '!BE91 &amp; ","</f>
        <v>-1,</v>
      </c>
      <c r="BF27" t="str">
        <f ca="1">'(直掃)Change to adc mapping '!BF91 &amp; ","</f>
        <v>-1,</v>
      </c>
      <c r="BG27" t="str">
        <f ca="1">'(直掃)Change to adc mapping '!BG91 &amp; ","</f>
        <v>-1,</v>
      </c>
      <c r="BH27" t="str">
        <f ca="1">'(直掃)Change to adc mapping '!BH91 &amp; ","</f>
        <v>-1,</v>
      </c>
      <c r="BI27" t="str">
        <f ca="1">'(直掃)Change to adc mapping '!BI91 &amp; ","</f>
        <v>-1,</v>
      </c>
    </row>
    <row r="28" spans="1:61" x14ac:dyDescent="0.25">
      <c r="A28" s="20">
        <v>27</v>
      </c>
      <c r="B28" t="str">
        <f ca="1">'(直掃)Change to adc mapping '!B92 &amp; ","</f>
        <v>9999,</v>
      </c>
      <c r="C28" t="str">
        <f ca="1">'(直掃)Change to adc mapping '!C92 &amp; ","</f>
        <v>9999,</v>
      </c>
      <c r="D28" t="str">
        <f ca="1">'(直掃)Change to adc mapping '!D92 &amp; ","</f>
        <v>9999,</v>
      </c>
      <c r="E28" t="str">
        <f ca="1">'(直掃)Change to adc mapping '!E92 &amp; ","</f>
        <v>9999,</v>
      </c>
      <c r="F28" t="str">
        <f ca="1">'(直掃)Change to adc mapping '!F92 &amp; ","</f>
        <v>9999,</v>
      </c>
      <c r="G28" t="str">
        <f ca="1">'(直掃)Change to adc mapping '!G92 &amp; ","</f>
        <v>9999,</v>
      </c>
      <c r="H28" t="str">
        <f ca="1">'(直掃)Change to adc mapping '!H92 &amp; ","</f>
        <v>9999,</v>
      </c>
      <c r="I28" t="str">
        <f ca="1">'(直掃)Change to adc mapping '!I92 &amp; ","</f>
        <v>9999,</v>
      </c>
      <c r="J28" t="str">
        <f ca="1">'(直掃)Change to adc mapping '!J92 &amp; ","</f>
        <v>9999,</v>
      </c>
      <c r="K28" t="str">
        <f ca="1">'(直掃)Change to adc mapping '!K92 &amp; ","</f>
        <v>9999,</v>
      </c>
      <c r="L28" t="str">
        <f ca="1">'(直掃)Change to adc mapping '!L92 &amp; ","</f>
        <v>9999,</v>
      </c>
      <c r="M28" t="str">
        <f ca="1">'(直掃)Change to adc mapping '!M92 &amp; ","</f>
        <v>9999,</v>
      </c>
      <c r="N28" t="str">
        <f ca="1">'(直掃)Change to adc mapping '!N92 &amp; ","</f>
        <v>9999,</v>
      </c>
      <c r="O28" t="str">
        <f ca="1">'(直掃)Change to adc mapping '!O92 &amp; ","</f>
        <v>9999,</v>
      </c>
      <c r="P28" t="str">
        <f ca="1">'(直掃)Change to adc mapping '!P92 &amp; ","</f>
        <v>9999,</v>
      </c>
      <c r="Q28" t="str">
        <f ca="1">'(直掃)Change to adc mapping '!Q92 &amp; ","</f>
        <v>9999,</v>
      </c>
      <c r="R28" t="str">
        <f ca="1">'(直掃)Change to adc mapping '!R92 &amp; ","</f>
        <v>9999,</v>
      </c>
      <c r="S28" t="str">
        <f ca="1">'(直掃)Change to adc mapping '!S92 &amp; ","</f>
        <v>9999,</v>
      </c>
      <c r="T28" t="str">
        <f ca="1">'(直掃)Change to adc mapping '!T92 &amp; ","</f>
        <v>9999,</v>
      </c>
      <c r="U28" t="str">
        <f ca="1">'(直掃)Change to adc mapping '!U92 &amp; ","</f>
        <v>9999,</v>
      </c>
      <c r="V28" t="str">
        <f ca="1">'(直掃)Change to adc mapping '!V92 &amp; ","</f>
        <v>9999,</v>
      </c>
      <c r="W28" t="str">
        <f ca="1">'(直掃)Change to adc mapping '!W92 &amp; ","</f>
        <v>9999,</v>
      </c>
      <c r="X28" t="str">
        <f ca="1">'(直掃)Change to adc mapping '!X92 &amp; ","</f>
        <v>9999,</v>
      </c>
      <c r="Y28" t="str">
        <f ca="1">'(直掃)Change to adc mapping '!Y92 &amp; ","</f>
        <v>-1,</v>
      </c>
      <c r="Z28" t="str">
        <f ca="1">'(直掃)Change to adc mapping '!Z92 &amp; ","</f>
        <v>-1,</v>
      </c>
      <c r="AA28" t="str">
        <f ca="1">'(直掃)Change to adc mapping '!AA92 &amp; ","</f>
        <v>-1,</v>
      </c>
      <c r="AB28" t="str">
        <f ca="1">'(直掃)Change to adc mapping '!AB92 &amp; ","</f>
        <v>-1,</v>
      </c>
      <c r="AC28" t="str">
        <f ca="1">'(直掃)Change to adc mapping '!AC92 &amp; ","</f>
        <v>-1,</v>
      </c>
      <c r="AD28" t="str">
        <f ca="1">'(直掃)Change to adc mapping '!AD92 &amp; ","</f>
        <v>-1,</v>
      </c>
      <c r="AE28" t="str">
        <f ca="1">'(直掃)Change to adc mapping '!AE92 &amp; ","</f>
        <v>-1,</v>
      </c>
      <c r="AF28" t="str">
        <f ca="1">'(直掃)Change to adc mapping '!AF92 &amp; ","</f>
        <v>-1,</v>
      </c>
      <c r="AG28" t="str">
        <f ca="1">'(直掃)Change to adc mapping '!AG92 &amp; ","</f>
        <v>-1,</v>
      </c>
      <c r="AH28" t="str">
        <f ca="1">'(直掃)Change to adc mapping '!AH92 &amp; ","</f>
        <v>-1,</v>
      </c>
      <c r="AI28" t="str">
        <f ca="1">'(直掃)Change to adc mapping '!AI92 &amp; ","</f>
        <v>-1,</v>
      </c>
      <c r="AJ28" t="str">
        <f ca="1">'(直掃)Change to adc mapping '!AJ92 &amp; ","</f>
        <v>-1,</v>
      </c>
      <c r="AK28" t="str">
        <f ca="1">'(直掃)Change to adc mapping '!AK92 &amp; ","</f>
        <v>-1,</v>
      </c>
      <c r="AL28" t="str">
        <f ca="1">'(直掃)Change to adc mapping '!AL92 &amp; ","</f>
        <v>-1,</v>
      </c>
      <c r="AM28" t="str">
        <f ca="1">'(直掃)Change to adc mapping '!AM92 &amp; ","</f>
        <v>-1,</v>
      </c>
      <c r="AN28" t="str">
        <f ca="1">'(直掃)Change to adc mapping '!AN92 &amp; ","</f>
        <v>-1,</v>
      </c>
      <c r="AO28" t="str">
        <f ca="1">'(直掃)Change to adc mapping '!AO92 &amp; ","</f>
        <v>-1,</v>
      </c>
      <c r="AP28" t="str">
        <f ca="1">'(直掃)Change to adc mapping '!AP92 &amp; ","</f>
        <v>-1,</v>
      </c>
      <c r="AQ28" t="str">
        <f ca="1">'(直掃)Change to adc mapping '!AQ92 &amp; ","</f>
        <v>-1,</v>
      </c>
      <c r="AR28" t="str">
        <f ca="1">'(直掃)Change to adc mapping '!AR92 &amp; ","</f>
        <v>-1,</v>
      </c>
      <c r="AS28" t="str">
        <f ca="1">'(直掃)Change to adc mapping '!AS92 &amp; ","</f>
        <v>-1,</v>
      </c>
      <c r="AT28" t="str">
        <f ca="1">'(直掃)Change to adc mapping '!AT92 &amp; ","</f>
        <v>-1,</v>
      </c>
      <c r="AU28" t="str">
        <f ca="1">'(直掃)Change to adc mapping '!AU92 &amp; ","</f>
        <v>-1,</v>
      </c>
      <c r="AV28" t="str">
        <f ca="1">'(直掃)Change to adc mapping '!AV92 &amp; ","</f>
        <v>-1,</v>
      </c>
      <c r="AW28" t="str">
        <f ca="1">'(直掃)Change to adc mapping '!AW92 &amp; ","</f>
        <v>-1,</v>
      </c>
      <c r="AX28" t="str">
        <f ca="1">'(直掃)Change to adc mapping '!AX92 &amp; ","</f>
        <v>-1,</v>
      </c>
      <c r="AY28" t="str">
        <f ca="1">'(直掃)Change to adc mapping '!AY92 &amp; ","</f>
        <v>-1,</v>
      </c>
      <c r="AZ28" t="str">
        <f ca="1">'(直掃)Change to adc mapping '!AZ92 &amp; ","</f>
        <v>-1,</v>
      </c>
      <c r="BA28" t="str">
        <f ca="1">'(直掃)Change to adc mapping '!BA92 &amp; ","</f>
        <v>-1,</v>
      </c>
      <c r="BB28" t="str">
        <f ca="1">'(直掃)Change to adc mapping '!BB92 &amp; ","</f>
        <v>-1,</v>
      </c>
      <c r="BC28" t="str">
        <f ca="1">'(直掃)Change to adc mapping '!BC92 &amp; ","</f>
        <v>-1,</v>
      </c>
      <c r="BD28" t="str">
        <f ca="1">'(直掃)Change to adc mapping '!BD92 &amp; ","</f>
        <v>-1,</v>
      </c>
      <c r="BE28" t="str">
        <f ca="1">'(直掃)Change to adc mapping '!BE92 &amp; ","</f>
        <v>-1,</v>
      </c>
      <c r="BF28" t="str">
        <f ca="1">'(直掃)Change to adc mapping '!BF92 &amp; ","</f>
        <v>-1,</v>
      </c>
      <c r="BG28" t="str">
        <f ca="1">'(直掃)Change to adc mapping '!BG92 &amp; ","</f>
        <v>-1,</v>
      </c>
      <c r="BH28" t="str">
        <f ca="1">'(直掃)Change to adc mapping '!BH92 &amp; ","</f>
        <v>-1,</v>
      </c>
      <c r="BI28" t="str">
        <f ca="1">'(直掃)Change to adc mapping '!BI92 &amp; ","</f>
        <v>-1,</v>
      </c>
    </row>
    <row r="29" spans="1:61" x14ac:dyDescent="0.25">
      <c r="A29" s="20">
        <v>28</v>
      </c>
      <c r="B29" t="str">
        <f ca="1">'(直掃)Change to adc mapping '!B93 &amp; ","</f>
        <v>9999,</v>
      </c>
      <c r="C29" t="str">
        <f ca="1">'(直掃)Change to adc mapping '!C93 &amp; ","</f>
        <v>9999,</v>
      </c>
      <c r="D29" t="str">
        <f ca="1">'(直掃)Change to adc mapping '!D93 &amp; ","</f>
        <v>9999,</v>
      </c>
      <c r="E29" t="str">
        <f ca="1">'(直掃)Change to adc mapping '!E93 &amp; ","</f>
        <v>9999,</v>
      </c>
      <c r="F29" t="str">
        <f ca="1">'(直掃)Change to adc mapping '!F93 &amp; ","</f>
        <v>9999,</v>
      </c>
      <c r="G29" t="str">
        <f ca="1">'(直掃)Change to adc mapping '!G93 &amp; ","</f>
        <v>9999,</v>
      </c>
      <c r="H29" t="str">
        <f ca="1">'(直掃)Change to adc mapping '!H93 &amp; ","</f>
        <v>9999,</v>
      </c>
      <c r="I29" t="str">
        <f ca="1">'(直掃)Change to adc mapping '!I93 &amp; ","</f>
        <v>9999,</v>
      </c>
      <c r="J29" t="str">
        <f ca="1">'(直掃)Change to adc mapping '!J93 &amp; ","</f>
        <v>9999,</v>
      </c>
      <c r="K29" t="str">
        <f ca="1">'(直掃)Change to adc mapping '!K93 &amp; ","</f>
        <v>9999,</v>
      </c>
      <c r="L29" t="str">
        <f ca="1">'(直掃)Change to adc mapping '!L93 &amp; ","</f>
        <v>9999,</v>
      </c>
      <c r="M29" t="str">
        <f ca="1">'(直掃)Change to adc mapping '!M93 &amp; ","</f>
        <v>9999,</v>
      </c>
      <c r="N29" t="str">
        <f ca="1">'(直掃)Change to adc mapping '!N93 &amp; ","</f>
        <v>9999,</v>
      </c>
      <c r="O29" t="str">
        <f ca="1">'(直掃)Change to adc mapping '!O93 &amp; ","</f>
        <v>9999,</v>
      </c>
      <c r="P29" t="str">
        <f ca="1">'(直掃)Change to adc mapping '!P93 &amp; ","</f>
        <v>9999,</v>
      </c>
      <c r="Q29" t="str">
        <f ca="1">'(直掃)Change to adc mapping '!Q93 &amp; ","</f>
        <v>9999,</v>
      </c>
      <c r="R29" t="str">
        <f ca="1">'(直掃)Change to adc mapping '!R93 &amp; ","</f>
        <v>9999,</v>
      </c>
      <c r="S29" t="str">
        <f ca="1">'(直掃)Change to adc mapping '!S93 &amp; ","</f>
        <v>9999,</v>
      </c>
      <c r="T29" t="str">
        <f ca="1">'(直掃)Change to adc mapping '!T93 &amp; ","</f>
        <v>9999,</v>
      </c>
      <c r="U29" t="str">
        <f ca="1">'(直掃)Change to adc mapping '!U93 &amp; ","</f>
        <v>9999,</v>
      </c>
      <c r="V29" t="str">
        <f ca="1">'(直掃)Change to adc mapping '!V93 &amp; ","</f>
        <v>9999,</v>
      </c>
      <c r="W29" t="str">
        <f ca="1">'(直掃)Change to adc mapping '!W93 &amp; ","</f>
        <v>9999,</v>
      </c>
      <c r="X29" t="str">
        <f ca="1">'(直掃)Change to adc mapping '!X93 &amp; ","</f>
        <v>9999,</v>
      </c>
      <c r="Y29" t="str">
        <f ca="1">'(直掃)Change to adc mapping '!Y93 &amp; ","</f>
        <v>-1,</v>
      </c>
      <c r="Z29" t="str">
        <f ca="1">'(直掃)Change to adc mapping '!Z93 &amp; ","</f>
        <v>-1,</v>
      </c>
      <c r="AA29" t="str">
        <f ca="1">'(直掃)Change to adc mapping '!AA93 &amp; ","</f>
        <v>-1,</v>
      </c>
      <c r="AB29" t="str">
        <f ca="1">'(直掃)Change to adc mapping '!AB93 &amp; ","</f>
        <v>-1,</v>
      </c>
      <c r="AC29" t="str">
        <f ca="1">'(直掃)Change to adc mapping '!AC93 &amp; ","</f>
        <v>-1,</v>
      </c>
      <c r="AD29" t="str">
        <f ca="1">'(直掃)Change to adc mapping '!AD93 &amp; ","</f>
        <v>-1,</v>
      </c>
      <c r="AE29" t="str">
        <f ca="1">'(直掃)Change to adc mapping '!AE93 &amp; ","</f>
        <v>-1,</v>
      </c>
      <c r="AF29" t="str">
        <f ca="1">'(直掃)Change to adc mapping '!AF93 &amp; ","</f>
        <v>-1,</v>
      </c>
      <c r="AG29" t="str">
        <f ca="1">'(直掃)Change to adc mapping '!AG93 &amp; ","</f>
        <v>-1,</v>
      </c>
      <c r="AH29" t="str">
        <f ca="1">'(直掃)Change to adc mapping '!AH93 &amp; ","</f>
        <v>-1,</v>
      </c>
      <c r="AI29" t="str">
        <f ca="1">'(直掃)Change to adc mapping '!AI93 &amp; ","</f>
        <v>-1,</v>
      </c>
      <c r="AJ29" t="str">
        <f ca="1">'(直掃)Change to adc mapping '!AJ93 &amp; ","</f>
        <v>-1,</v>
      </c>
      <c r="AK29" t="str">
        <f ca="1">'(直掃)Change to adc mapping '!AK93 &amp; ","</f>
        <v>-1,</v>
      </c>
      <c r="AL29" t="str">
        <f ca="1">'(直掃)Change to adc mapping '!AL93 &amp; ","</f>
        <v>-1,</v>
      </c>
      <c r="AM29" t="str">
        <f ca="1">'(直掃)Change to adc mapping '!AM93 &amp; ","</f>
        <v>-1,</v>
      </c>
      <c r="AN29" t="str">
        <f ca="1">'(直掃)Change to adc mapping '!AN93 &amp; ","</f>
        <v>-1,</v>
      </c>
      <c r="AO29" t="str">
        <f ca="1">'(直掃)Change to adc mapping '!AO93 &amp; ","</f>
        <v>-1,</v>
      </c>
      <c r="AP29" t="str">
        <f ca="1">'(直掃)Change to adc mapping '!AP93 &amp; ","</f>
        <v>-1,</v>
      </c>
      <c r="AQ29" t="str">
        <f ca="1">'(直掃)Change to adc mapping '!AQ93 &amp; ","</f>
        <v>-1,</v>
      </c>
      <c r="AR29" t="str">
        <f ca="1">'(直掃)Change to adc mapping '!AR93 &amp; ","</f>
        <v>-1,</v>
      </c>
      <c r="AS29" t="str">
        <f ca="1">'(直掃)Change to adc mapping '!AS93 &amp; ","</f>
        <v>-1,</v>
      </c>
      <c r="AT29" t="str">
        <f ca="1">'(直掃)Change to adc mapping '!AT93 &amp; ","</f>
        <v>-1,</v>
      </c>
      <c r="AU29" t="str">
        <f ca="1">'(直掃)Change to adc mapping '!AU93 &amp; ","</f>
        <v>-1,</v>
      </c>
      <c r="AV29" t="str">
        <f ca="1">'(直掃)Change to adc mapping '!AV93 &amp; ","</f>
        <v>-1,</v>
      </c>
      <c r="AW29" t="str">
        <f ca="1">'(直掃)Change to adc mapping '!AW93 &amp; ","</f>
        <v>-1,</v>
      </c>
      <c r="AX29" t="str">
        <f ca="1">'(直掃)Change to adc mapping '!AX93 &amp; ","</f>
        <v>-1,</v>
      </c>
      <c r="AY29" t="str">
        <f ca="1">'(直掃)Change to adc mapping '!AY93 &amp; ","</f>
        <v>-1,</v>
      </c>
      <c r="AZ29" t="str">
        <f ca="1">'(直掃)Change to adc mapping '!AZ93 &amp; ","</f>
        <v>-1,</v>
      </c>
      <c r="BA29" t="str">
        <f ca="1">'(直掃)Change to adc mapping '!BA93 &amp; ","</f>
        <v>-1,</v>
      </c>
      <c r="BB29" t="str">
        <f ca="1">'(直掃)Change to adc mapping '!BB93 &amp; ","</f>
        <v>-1,</v>
      </c>
      <c r="BC29" t="str">
        <f ca="1">'(直掃)Change to adc mapping '!BC93 &amp; ","</f>
        <v>-1,</v>
      </c>
      <c r="BD29" t="str">
        <f ca="1">'(直掃)Change to adc mapping '!BD93 &amp; ","</f>
        <v>-1,</v>
      </c>
      <c r="BE29" t="str">
        <f ca="1">'(直掃)Change to adc mapping '!BE93 &amp; ","</f>
        <v>-1,</v>
      </c>
      <c r="BF29" t="str">
        <f ca="1">'(直掃)Change to adc mapping '!BF93 &amp; ","</f>
        <v>-1,</v>
      </c>
      <c r="BG29" t="str">
        <f ca="1">'(直掃)Change to adc mapping '!BG93 &amp; ","</f>
        <v>-1,</v>
      </c>
      <c r="BH29" t="str">
        <f ca="1">'(直掃)Change to adc mapping '!BH93 &amp; ","</f>
        <v>-1,</v>
      </c>
      <c r="BI29" t="str">
        <f ca="1">'(直掃)Change to adc mapping '!BI93 &amp; ","</f>
        <v>-1,</v>
      </c>
    </row>
    <row r="30" spans="1:61" x14ac:dyDescent="0.25">
      <c r="A30" s="20">
        <v>29</v>
      </c>
      <c r="B30" t="str">
        <f ca="1">'(直掃)Change to adc mapping '!B94 &amp; ","</f>
        <v>9999,</v>
      </c>
      <c r="C30" t="str">
        <f ca="1">'(直掃)Change to adc mapping '!C94 &amp; ","</f>
        <v>9999,</v>
      </c>
      <c r="D30" t="str">
        <f ca="1">'(直掃)Change to adc mapping '!D94 &amp; ","</f>
        <v>9999,</v>
      </c>
      <c r="E30" t="str">
        <f ca="1">'(直掃)Change to adc mapping '!E94 &amp; ","</f>
        <v>9999,</v>
      </c>
      <c r="F30" t="str">
        <f ca="1">'(直掃)Change to adc mapping '!F94 &amp; ","</f>
        <v>9999,</v>
      </c>
      <c r="G30" t="str">
        <f ca="1">'(直掃)Change to adc mapping '!G94 &amp; ","</f>
        <v>9999,</v>
      </c>
      <c r="H30" t="str">
        <f ca="1">'(直掃)Change to adc mapping '!H94 &amp; ","</f>
        <v>9999,</v>
      </c>
      <c r="I30" t="str">
        <f ca="1">'(直掃)Change to adc mapping '!I94 &amp; ","</f>
        <v>9999,</v>
      </c>
      <c r="J30" t="str">
        <f ca="1">'(直掃)Change to adc mapping '!J94 &amp; ","</f>
        <v>9999,</v>
      </c>
      <c r="K30" t="str">
        <f ca="1">'(直掃)Change to adc mapping '!K94 &amp; ","</f>
        <v>9999,</v>
      </c>
      <c r="L30" t="str">
        <f ca="1">'(直掃)Change to adc mapping '!L94 &amp; ","</f>
        <v>9999,</v>
      </c>
      <c r="M30" t="str">
        <f ca="1">'(直掃)Change to adc mapping '!M94 &amp; ","</f>
        <v>9999,</v>
      </c>
      <c r="N30" t="str">
        <f ca="1">'(直掃)Change to adc mapping '!N94 &amp; ","</f>
        <v>9999,</v>
      </c>
      <c r="O30" t="str">
        <f ca="1">'(直掃)Change to adc mapping '!O94 &amp; ","</f>
        <v>9999,</v>
      </c>
      <c r="P30" t="str">
        <f ca="1">'(直掃)Change to adc mapping '!P94 &amp; ","</f>
        <v>9999,</v>
      </c>
      <c r="Q30" t="str">
        <f ca="1">'(直掃)Change to adc mapping '!Q94 &amp; ","</f>
        <v>9999,</v>
      </c>
      <c r="R30" t="str">
        <f ca="1">'(直掃)Change to adc mapping '!R94 &amp; ","</f>
        <v>9999,</v>
      </c>
      <c r="S30" t="str">
        <f ca="1">'(直掃)Change to adc mapping '!S94 &amp; ","</f>
        <v>9999,</v>
      </c>
      <c r="T30" t="str">
        <f ca="1">'(直掃)Change to adc mapping '!T94 &amp; ","</f>
        <v>9999,</v>
      </c>
      <c r="U30" t="str">
        <f ca="1">'(直掃)Change to adc mapping '!U94 &amp; ","</f>
        <v>9999,</v>
      </c>
      <c r="V30" t="str">
        <f ca="1">'(直掃)Change to adc mapping '!V94 &amp; ","</f>
        <v>9999,</v>
      </c>
      <c r="W30" t="str">
        <f ca="1">'(直掃)Change to adc mapping '!W94 &amp; ","</f>
        <v>9999,</v>
      </c>
      <c r="X30" t="str">
        <f ca="1">'(直掃)Change to adc mapping '!X94 &amp; ","</f>
        <v>9999,</v>
      </c>
      <c r="Y30" t="str">
        <f ca="1">'(直掃)Change to adc mapping '!Y94 &amp; ","</f>
        <v>-1,</v>
      </c>
      <c r="Z30" t="str">
        <f ca="1">'(直掃)Change to adc mapping '!Z94 &amp; ","</f>
        <v>-1,</v>
      </c>
      <c r="AA30" t="str">
        <f ca="1">'(直掃)Change to adc mapping '!AA94 &amp; ","</f>
        <v>-1,</v>
      </c>
      <c r="AB30" t="str">
        <f ca="1">'(直掃)Change to adc mapping '!AB94 &amp; ","</f>
        <v>-1,</v>
      </c>
      <c r="AC30" t="str">
        <f ca="1">'(直掃)Change to adc mapping '!AC94 &amp; ","</f>
        <v>-1,</v>
      </c>
      <c r="AD30" t="str">
        <f ca="1">'(直掃)Change to adc mapping '!AD94 &amp; ","</f>
        <v>-1,</v>
      </c>
      <c r="AE30" t="str">
        <f ca="1">'(直掃)Change to adc mapping '!AE94 &amp; ","</f>
        <v>-1,</v>
      </c>
      <c r="AF30" t="str">
        <f ca="1">'(直掃)Change to adc mapping '!AF94 &amp; ","</f>
        <v>-1,</v>
      </c>
      <c r="AG30" t="str">
        <f ca="1">'(直掃)Change to adc mapping '!AG94 &amp; ","</f>
        <v>-1,</v>
      </c>
      <c r="AH30" t="str">
        <f ca="1">'(直掃)Change to adc mapping '!AH94 &amp; ","</f>
        <v>-1,</v>
      </c>
      <c r="AI30" t="str">
        <f ca="1">'(直掃)Change to adc mapping '!AI94 &amp; ","</f>
        <v>-1,</v>
      </c>
      <c r="AJ30" t="str">
        <f ca="1">'(直掃)Change to adc mapping '!AJ94 &amp; ","</f>
        <v>-1,</v>
      </c>
      <c r="AK30" t="str">
        <f ca="1">'(直掃)Change to adc mapping '!AK94 &amp; ","</f>
        <v>-1,</v>
      </c>
      <c r="AL30" t="str">
        <f ca="1">'(直掃)Change to adc mapping '!AL94 &amp; ","</f>
        <v>-1,</v>
      </c>
      <c r="AM30" t="str">
        <f ca="1">'(直掃)Change to adc mapping '!AM94 &amp; ","</f>
        <v>-1,</v>
      </c>
      <c r="AN30" t="str">
        <f ca="1">'(直掃)Change to adc mapping '!AN94 &amp; ","</f>
        <v>-1,</v>
      </c>
      <c r="AO30" t="str">
        <f ca="1">'(直掃)Change to adc mapping '!AO94 &amp; ","</f>
        <v>-1,</v>
      </c>
      <c r="AP30" t="str">
        <f ca="1">'(直掃)Change to adc mapping '!AP94 &amp; ","</f>
        <v>-1,</v>
      </c>
      <c r="AQ30" t="str">
        <f ca="1">'(直掃)Change to adc mapping '!AQ94 &amp; ","</f>
        <v>-1,</v>
      </c>
      <c r="AR30" t="str">
        <f ca="1">'(直掃)Change to adc mapping '!AR94 &amp; ","</f>
        <v>-1,</v>
      </c>
      <c r="AS30" t="str">
        <f ca="1">'(直掃)Change to adc mapping '!AS94 &amp; ","</f>
        <v>-1,</v>
      </c>
      <c r="AT30" t="str">
        <f ca="1">'(直掃)Change to adc mapping '!AT94 &amp; ","</f>
        <v>-1,</v>
      </c>
      <c r="AU30" t="str">
        <f ca="1">'(直掃)Change to adc mapping '!AU94 &amp; ","</f>
        <v>-1,</v>
      </c>
      <c r="AV30" t="str">
        <f ca="1">'(直掃)Change to adc mapping '!AV94 &amp; ","</f>
        <v>-1,</v>
      </c>
      <c r="AW30" t="str">
        <f ca="1">'(直掃)Change to adc mapping '!AW94 &amp; ","</f>
        <v>-1,</v>
      </c>
      <c r="AX30" t="str">
        <f ca="1">'(直掃)Change to adc mapping '!AX94 &amp; ","</f>
        <v>-1,</v>
      </c>
      <c r="AY30" t="str">
        <f ca="1">'(直掃)Change to adc mapping '!AY94 &amp; ","</f>
        <v>-1,</v>
      </c>
      <c r="AZ30" t="str">
        <f ca="1">'(直掃)Change to adc mapping '!AZ94 &amp; ","</f>
        <v>-1,</v>
      </c>
      <c r="BA30" t="str">
        <f ca="1">'(直掃)Change to adc mapping '!BA94 &amp; ","</f>
        <v>-1,</v>
      </c>
      <c r="BB30" t="str">
        <f ca="1">'(直掃)Change to adc mapping '!BB94 &amp; ","</f>
        <v>-1,</v>
      </c>
      <c r="BC30" t="str">
        <f ca="1">'(直掃)Change to adc mapping '!BC94 &amp; ","</f>
        <v>-1,</v>
      </c>
      <c r="BD30" t="str">
        <f ca="1">'(直掃)Change to adc mapping '!BD94 &amp; ","</f>
        <v>-1,</v>
      </c>
      <c r="BE30" t="str">
        <f ca="1">'(直掃)Change to adc mapping '!BE94 &amp; ","</f>
        <v>-1,</v>
      </c>
      <c r="BF30" t="str">
        <f ca="1">'(直掃)Change to adc mapping '!BF94 &amp; ","</f>
        <v>-1,</v>
      </c>
      <c r="BG30" t="str">
        <f ca="1">'(直掃)Change to adc mapping '!BG94 &amp; ","</f>
        <v>-1,</v>
      </c>
      <c r="BH30" t="str">
        <f ca="1">'(直掃)Change to adc mapping '!BH94 &amp; ","</f>
        <v>-1,</v>
      </c>
      <c r="BI30" t="str">
        <f ca="1">'(直掃)Change to adc mapping '!BI94 &amp; ","</f>
        <v>-1,</v>
      </c>
    </row>
    <row r="31" spans="1:61" x14ac:dyDescent="0.25">
      <c r="A31" s="20">
        <v>30</v>
      </c>
      <c r="B31" t="str">
        <f ca="1">'(直掃)Change to adc mapping '!B95 &amp; ","</f>
        <v>9999,</v>
      </c>
      <c r="C31" t="str">
        <f ca="1">'(直掃)Change to adc mapping '!C95 &amp; ","</f>
        <v>9999,</v>
      </c>
      <c r="D31" t="str">
        <f ca="1">'(直掃)Change to adc mapping '!D95 &amp; ","</f>
        <v>9999,</v>
      </c>
      <c r="E31" t="str">
        <f ca="1">'(直掃)Change to adc mapping '!E95 &amp; ","</f>
        <v>9999,</v>
      </c>
      <c r="F31" t="str">
        <f ca="1">'(直掃)Change to adc mapping '!F95 &amp; ","</f>
        <v>9999,</v>
      </c>
      <c r="G31" t="str">
        <f ca="1">'(直掃)Change to adc mapping '!G95 &amp; ","</f>
        <v>9999,</v>
      </c>
      <c r="H31" t="str">
        <f ca="1">'(直掃)Change to adc mapping '!H95 &amp; ","</f>
        <v>9999,</v>
      </c>
      <c r="I31" t="str">
        <f ca="1">'(直掃)Change to adc mapping '!I95 &amp; ","</f>
        <v>9999,</v>
      </c>
      <c r="J31" t="str">
        <f ca="1">'(直掃)Change to adc mapping '!J95 &amp; ","</f>
        <v>9999,</v>
      </c>
      <c r="K31" t="str">
        <f ca="1">'(直掃)Change to adc mapping '!K95 &amp; ","</f>
        <v>9999,</v>
      </c>
      <c r="L31" t="str">
        <f ca="1">'(直掃)Change to adc mapping '!L95 &amp; ","</f>
        <v>9999,</v>
      </c>
      <c r="M31" t="str">
        <f ca="1">'(直掃)Change to adc mapping '!M95 &amp; ","</f>
        <v>9999,</v>
      </c>
      <c r="N31" t="str">
        <f ca="1">'(直掃)Change to adc mapping '!N95 &amp; ","</f>
        <v>9999,</v>
      </c>
      <c r="O31" t="str">
        <f ca="1">'(直掃)Change to adc mapping '!O95 &amp; ","</f>
        <v>9999,</v>
      </c>
      <c r="P31" t="str">
        <f ca="1">'(直掃)Change to adc mapping '!P95 &amp; ","</f>
        <v>9999,</v>
      </c>
      <c r="Q31" t="str">
        <f ca="1">'(直掃)Change to adc mapping '!Q95 &amp; ","</f>
        <v>9999,</v>
      </c>
      <c r="R31" t="str">
        <f ca="1">'(直掃)Change to adc mapping '!R95 &amp; ","</f>
        <v>9999,</v>
      </c>
      <c r="S31" t="str">
        <f ca="1">'(直掃)Change to adc mapping '!S95 &amp; ","</f>
        <v>9999,</v>
      </c>
      <c r="T31" t="str">
        <f ca="1">'(直掃)Change to adc mapping '!T95 &amp; ","</f>
        <v>9999,</v>
      </c>
      <c r="U31" t="str">
        <f ca="1">'(直掃)Change to adc mapping '!U95 &amp; ","</f>
        <v>9999,</v>
      </c>
      <c r="V31" t="str">
        <f ca="1">'(直掃)Change to adc mapping '!V95 &amp; ","</f>
        <v>9999,</v>
      </c>
      <c r="W31" t="str">
        <f ca="1">'(直掃)Change to adc mapping '!W95 &amp; ","</f>
        <v>9999,</v>
      </c>
      <c r="X31" t="str">
        <f ca="1">'(直掃)Change to adc mapping '!X95 &amp; ","</f>
        <v>9999,</v>
      </c>
      <c r="Y31" t="str">
        <f ca="1">'(直掃)Change to adc mapping '!Y95 &amp; ","</f>
        <v>-1,</v>
      </c>
      <c r="Z31" t="str">
        <f ca="1">'(直掃)Change to adc mapping '!Z95 &amp; ","</f>
        <v>-1,</v>
      </c>
      <c r="AA31" t="str">
        <f ca="1">'(直掃)Change to adc mapping '!AA95 &amp; ","</f>
        <v>-1,</v>
      </c>
      <c r="AB31" t="str">
        <f ca="1">'(直掃)Change to adc mapping '!AB95 &amp; ","</f>
        <v>-1,</v>
      </c>
      <c r="AC31" t="str">
        <f ca="1">'(直掃)Change to adc mapping '!AC95 &amp; ","</f>
        <v>-1,</v>
      </c>
      <c r="AD31" t="str">
        <f ca="1">'(直掃)Change to adc mapping '!AD95 &amp; ","</f>
        <v>-1,</v>
      </c>
      <c r="AE31" t="str">
        <f ca="1">'(直掃)Change to adc mapping '!AE95 &amp; ","</f>
        <v>-1,</v>
      </c>
      <c r="AF31" t="str">
        <f ca="1">'(直掃)Change to adc mapping '!AF95 &amp; ","</f>
        <v>-1,</v>
      </c>
      <c r="AG31" t="str">
        <f ca="1">'(直掃)Change to adc mapping '!AG95 &amp; ","</f>
        <v>-1,</v>
      </c>
      <c r="AH31" t="str">
        <f ca="1">'(直掃)Change to adc mapping '!AH95 &amp; ","</f>
        <v>-1,</v>
      </c>
      <c r="AI31" t="str">
        <f ca="1">'(直掃)Change to adc mapping '!AI95 &amp; ","</f>
        <v>-1,</v>
      </c>
      <c r="AJ31" t="str">
        <f ca="1">'(直掃)Change to adc mapping '!AJ95 &amp; ","</f>
        <v>-1,</v>
      </c>
      <c r="AK31" t="str">
        <f ca="1">'(直掃)Change to adc mapping '!AK95 &amp; ","</f>
        <v>-1,</v>
      </c>
      <c r="AL31" t="str">
        <f ca="1">'(直掃)Change to adc mapping '!AL95 &amp; ","</f>
        <v>-1,</v>
      </c>
      <c r="AM31" t="str">
        <f ca="1">'(直掃)Change to adc mapping '!AM95 &amp; ","</f>
        <v>-1,</v>
      </c>
      <c r="AN31" t="str">
        <f ca="1">'(直掃)Change to adc mapping '!AN95 &amp; ","</f>
        <v>-1,</v>
      </c>
      <c r="AO31" t="str">
        <f ca="1">'(直掃)Change to adc mapping '!AO95 &amp; ","</f>
        <v>-1,</v>
      </c>
      <c r="AP31" t="str">
        <f ca="1">'(直掃)Change to adc mapping '!AP95 &amp; ","</f>
        <v>-1,</v>
      </c>
      <c r="AQ31" t="str">
        <f ca="1">'(直掃)Change to adc mapping '!AQ95 &amp; ","</f>
        <v>-1,</v>
      </c>
      <c r="AR31" t="str">
        <f ca="1">'(直掃)Change to adc mapping '!AR95 &amp; ","</f>
        <v>-1,</v>
      </c>
      <c r="AS31" t="str">
        <f ca="1">'(直掃)Change to adc mapping '!AS95 &amp; ","</f>
        <v>-1,</v>
      </c>
      <c r="AT31" t="str">
        <f ca="1">'(直掃)Change to adc mapping '!AT95 &amp; ","</f>
        <v>-1,</v>
      </c>
      <c r="AU31" t="str">
        <f ca="1">'(直掃)Change to adc mapping '!AU95 &amp; ","</f>
        <v>-1,</v>
      </c>
      <c r="AV31" t="str">
        <f ca="1">'(直掃)Change to adc mapping '!AV95 &amp; ","</f>
        <v>-1,</v>
      </c>
      <c r="AW31" t="str">
        <f ca="1">'(直掃)Change to adc mapping '!AW95 &amp; ","</f>
        <v>-1,</v>
      </c>
      <c r="AX31" t="str">
        <f ca="1">'(直掃)Change to adc mapping '!AX95 &amp; ","</f>
        <v>-1,</v>
      </c>
      <c r="AY31" t="str">
        <f ca="1">'(直掃)Change to adc mapping '!AY95 &amp; ","</f>
        <v>-1,</v>
      </c>
      <c r="AZ31" t="str">
        <f ca="1">'(直掃)Change to adc mapping '!AZ95 &amp; ","</f>
        <v>-1,</v>
      </c>
      <c r="BA31" t="str">
        <f ca="1">'(直掃)Change to adc mapping '!BA95 &amp; ","</f>
        <v>-1,</v>
      </c>
      <c r="BB31" t="str">
        <f ca="1">'(直掃)Change to adc mapping '!BB95 &amp; ","</f>
        <v>-1,</v>
      </c>
      <c r="BC31" t="str">
        <f ca="1">'(直掃)Change to adc mapping '!BC95 &amp; ","</f>
        <v>-1,</v>
      </c>
      <c r="BD31" t="str">
        <f ca="1">'(直掃)Change to adc mapping '!BD95 &amp; ","</f>
        <v>-1,</v>
      </c>
      <c r="BE31" t="str">
        <f ca="1">'(直掃)Change to adc mapping '!BE95 &amp; ","</f>
        <v>-1,</v>
      </c>
      <c r="BF31" t="str">
        <f ca="1">'(直掃)Change to adc mapping '!BF95 &amp; ","</f>
        <v>-1,</v>
      </c>
      <c r="BG31" t="str">
        <f ca="1">'(直掃)Change to adc mapping '!BG95 &amp; ","</f>
        <v>-1,</v>
      </c>
      <c r="BH31" t="str">
        <f ca="1">'(直掃)Change to adc mapping '!BH95 &amp; ","</f>
        <v>-1,</v>
      </c>
      <c r="BI31" t="str">
        <f ca="1">'(直掃)Change to adc mapping '!BI95 &amp; ","</f>
        <v>-1,</v>
      </c>
    </row>
    <row r="32" spans="1:61" x14ac:dyDescent="0.25">
      <c r="A32" s="20">
        <v>31</v>
      </c>
      <c r="B32" t="str">
        <f ca="1">'(直掃)Change to adc mapping '!B96 &amp; ","</f>
        <v>9999,</v>
      </c>
      <c r="C32" t="str">
        <f ca="1">'(直掃)Change to adc mapping '!C96 &amp; ","</f>
        <v>9999,</v>
      </c>
      <c r="D32" t="str">
        <f ca="1">'(直掃)Change to adc mapping '!D96 &amp; ","</f>
        <v>9999,</v>
      </c>
      <c r="E32" t="str">
        <f ca="1">'(直掃)Change to adc mapping '!E96 &amp; ","</f>
        <v>9999,</v>
      </c>
      <c r="F32" t="str">
        <f ca="1">'(直掃)Change to adc mapping '!F96 &amp; ","</f>
        <v>9999,</v>
      </c>
      <c r="G32" t="str">
        <f ca="1">'(直掃)Change to adc mapping '!G96 &amp; ","</f>
        <v>9999,</v>
      </c>
      <c r="H32" t="str">
        <f ca="1">'(直掃)Change to adc mapping '!H96 &amp; ","</f>
        <v>9999,</v>
      </c>
      <c r="I32" t="str">
        <f ca="1">'(直掃)Change to adc mapping '!I96 &amp; ","</f>
        <v>9999,</v>
      </c>
      <c r="J32" t="str">
        <f ca="1">'(直掃)Change to adc mapping '!J96 &amp; ","</f>
        <v>9999,</v>
      </c>
      <c r="K32" t="str">
        <f ca="1">'(直掃)Change to adc mapping '!K96 &amp; ","</f>
        <v>9999,</v>
      </c>
      <c r="L32" t="str">
        <f ca="1">'(直掃)Change to adc mapping '!L96 &amp; ","</f>
        <v>9999,</v>
      </c>
      <c r="M32" t="str">
        <f ca="1">'(直掃)Change to adc mapping '!M96 &amp; ","</f>
        <v>9999,</v>
      </c>
      <c r="N32" t="str">
        <f ca="1">'(直掃)Change to adc mapping '!N96 &amp; ","</f>
        <v>9999,</v>
      </c>
      <c r="O32" t="str">
        <f ca="1">'(直掃)Change to adc mapping '!O96 &amp; ","</f>
        <v>9999,</v>
      </c>
      <c r="P32" t="str">
        <f ca="1">'(直掃)Change to adc mapping '!P96 &amp; ","</f>
        <v>9999,</v>
      </c>
      <c r="Q32" t="str">
        <f ca="1">'(直掃)Change to adc mapping '!Q96 &amp; ","</f>
        <v>9999,</v>
      </c>
      <c r="R32" t="str">
        <f ca="1">'(直掃)Change to adc mapping '!R96 &amp; ","</f>
        <v>9999,</v>
      </c>
      <c r="S32" t="str">
        <f ca="1">'(直掃)Change to adc mapping '!S96 &amp; ","</f>
        <v>9999,</v>
      </c>
      <c r="T32" t="str">
        <f ca="1">'(直掃)Change to adc mapping '!T96 &amp; ","</f>
        <v>9999,</v>
      </c>
      <c r="U32" t="str">
        <f ca="1">'(直掃)Change to adc mapping '!U96 &amp; ","</f>
        <v>9999,</v>
      </c>
      <c r="V32" t="str">
        <f ca="1">'(直掃)Change to adc mapping '!V96 &amp; ","</f>
        <v>9999,</v>
      </c>
      <c r="W32" t="str">
        <f ca="1">'(直掃)Change to adc mapping '!W96 &amp; ","</f>
        <v>9999,</v>
      </c>
      <c r="X32" t="str">
        <f ca="1">'(直掃)Change to adc mapping '!X96 &amp; ","</f>
        <v>9999,</v>
      </c>
      <c r="Y32" t="str">
        <f ca="1">'(直掃)Change to adc mapping '!Y96 &amp; ","</f>
        <v>-1,</v>
      </c>
      <c r="Z32" t="str">
        <f ca="1">'(直掃)Change to adc mapping '!Z96 &amp; ","</f>
        <v>-1,</v>
      </c>
      <c r="AA32" t="str">
        <f ca="1">'(直掃)Change to adc mapping '!AA96 &amp; ","</f>
        <v>-1,</v>
      </c>
      <c r="AB32" t="str">
        <f ca="1">'(直掃)Change to adc mapping '!AB96 &amp; ","</f>
        <v>-1,</v>
      </c>
      <c r="AC32" t="str">
        <f ca="1">'(直掃)Change to adc mapping '!AC96 &amp; ","</f>
        <v>-1,</v>
      </c>
      <c r="AD32" t="str">
        <f ca="1">'(直掃)Change to adc mapping '!AD96 &amp; ","</f>
        <v>-1,</v>
      </c>
      <c r="AE32" t="str">
        <f ca="1">'(直掃)Change to adc mapping '!AE96 &amp; ","</f>
        <v>-1,</v>
      </c>
      <c r="AF32" t="str">
        <f ca="1">'(直掃)Change to adc mapping '!AF96 &amp; ","</f>
        <v>-1,</v>
      </c>
      <c r="AG32" t="str">
        <f ca="1">'(直掃)Change to adc mapping '!AG96 &amp; ","</f>
        <v>-1,</v>
      </c>
      <c r="AH32" t="str">
        <f ca="1">'(直掃)Change to adc mapping '!AH96 &amp; ","</f>
        <v>-1,</v>
      </c>
      <c r="AI32" t="str">
        <f ca="1">'(直掃)Change to adc mapping '!AI96 &amp; ","</f>
        <v>-1,</v>
      </c>
      <c r="AJ32" t="str">
        <f ca="1">'(直掃)Change to adc mapping '!AJ96 &amp; ","</f>
        <v>-1,</v>
      </c>
      <c r="AK32" t="str">
        <f ca="1">'(直掃)Change to adc mapping '!AK96 &amp; ","</f>
        <v>-1,</v>
      </c>
      <c r="AL32" t="str">
        <f ca="1">'(直掃)Change to adc mapping '!AL96 &amp; ","</f>
        <v>-1,</v>
      </c>
      <c r="AM32" t="str">
        <f ca="1">'(直掃)Change to adc mapping '!AM96 &amp; ","</f>
        <v>-1,</v>
      </c>
      <c r="AN32" t="str">
        <f ca="1">'(直掃)Change to adc mapping '!AN96 &amp; ","</f>
        <v>-1,</v>
      </c>
      <c r="AO32" t="str">
        <f ca="1">'(直掃)Change to adc mapping '!AO96 &amp; ","</f>
        <v>-1,</v>
      </c>
      <c r="AP32" t="str">
        <f ca="1">'(直掃)Change to adc mapping '!AP96 &amp; ","</f>
        <v>-1,</v>
      </c>
      <c r="AQ32" t="str">
        <f ca="1">'(直掃)Change to adc mapping '!AQ96 &amp; ","</f>
        <v>-1,</v>
      </c>
      <c r="AR32" t="str">
        <f ca="1">'(直掃)Change to adc mapping '!AR96 &amp; ","</f>
        <v>-1,</v>
      </c>
      <c r="AS32" t="str">
        <f ca="1">'(直掃)Change to adc mapping '!AS96 &amp; ","</f>
        <v>-1,</v>
      </c>
      <c r="AT32" t="str">
        <f ca="1">'(直掃)Change to adc mapping '!AT96 &amp; ","</f>
        <v>-1,</v>
      </c>
      <c r="AU32" t="str">
        <f ca="1">'(直掃)Change to adc mapping '!AU96 &amp; ","</f>
        <v>-1,</v>
      </c>
      <c r="AV32" t="str">
        <f ca="1">'(直掃)Change to adc mapping '!AV96 &amp; ","</f>
        <v>-1,</v>
      </c>
      <c r="AW32" t="str">
        <f ca="1">'(直掃)Change to adc mapping '!AW96 &amp; ","</f>
        <v>-1,</v>
      </c>
      <c r="AX32" t="str">
        <f ca="1">'(直掃)Change to adc mapping '!AX96 &amp; ","</f>
        <v>-1,</v>
      </c>
      <c r="AY32" t="str">
        <f ca="1">'(直掃)Change to adc mapping '!AY96 &amp; ","</f>
        <v>-1,</v>
      </c>
      <c r="AZ32" t="str">
        <f ca="1">'(直掃)Change to adc mapping '!AZ96 &amp; ","</f>
        <v>-1,</v>
      </c>
      <c r="BA32" t="str">
        <f ca="1">'(直掃)Change to adc mapping '!BA96 &amp; ","</f>
        <v>-1,</v>
      </c>
      <c r="BB32" t="str">
        <f ca="1">'(直掃)Change to adc mapping '!BB96 &amp; ","</f>
        <v>-1,</v>
      </c>
      <c r="BC32" t="str">
        <f ca="1">'(直掃)Change to adc mapping '!BC96 &amp; ","</f>
        <v>-1,</v>
      </c>
      <c r="BD32" t="str">
        <f ca="1">'(直掃)Change to adc mapping '!BD96 &amp; ","</f>
        <v>-1,</v>
      </c>
      <c r="BE32" t="str">
        <f ca="1">'(直掃)Change to adc mapping '!BE96 &amp; ","</f>
        <v>-1,</v>
      </c>
      <c r="BF32" t="str">
        <f ca="1">'(直掃)Change to adc mapping '!BF96 &amp; ","</f>
        <v>-1,</v>
      </c>
      <c r="BG32" t="str">
        <f ca="1">'(直掃)Change to adc mapping '!BG96 &amp; ","</f>
        <v>-1,</v>
      </c>
      <c r="BH32" t="str">
        <f ca="1">'(直掃)Change to adc mapping '!BH96 &amp; ","</f>
        <v>-1,</v>
      </c>
      <c r="BI32" t="str">
        <f ca="1">'(直掃)Change to adc mapping '!BI96 &amp; ","</f>
        <v>-1,</v>
      </c>
    </row>
    <row r="33" spans="1:61" x14ac:dyDescent="0.25">
      <c r="A33" s="20">
        <v>32</v>
      </c>
      <c r="B33" t="str">
        <f ca="1">'(直掃)Change to adc mapping '!B97 &amp; ","</f>
        <v>9999,</v>
      </c>
      <c r="C33" t="str">
        <f ca="1">'(直掃)Change to adc mapping '!C97 &amp; ","</f>
        <v>9999,</v>
      </c>
      <c r="D33" t="str">
        <f ca="1">'(直掃)Change to adc mapping '!D97 &amp; ","</f>
        <v>9999,</v>
      </c>
      <c r="E33" t="str">
        <f ca="1">'(直掃)Change to adc mapping '!E97 &amp; ","</f>
        <v>9999,</v>
      </c>
      <c r="F33" t="str">
        <f ca="1">'(直掃)Change to adc mapping '!F97 &amp; ","</f>
        <v>9999,</v>
      </c>
      <c r="G33" t="str">
        <f ca="1">'(直掃)Change to adc mapping '!G97 &amp; ","</f>
        <v>9999,</v>
      </c>
      <c r="H33" t="str">
        <f ca="1">'(直掃)Change to adc mapping '!H97 &amp; ","</f>
        <v>9999,</v>
      </c>
      <c r="I33" t="str">
        <f ca="1">'(直掃)Change to adc mapping '!I97 &amp; ","</f>
        <v>9999,</v>
      </c>
      <c r="J33" t="str">
        <f ca="1">'(直掃)Change to adc mapping '!J97 &amp; ","</f>
        <v>9999,</v>
      </c>
      <c r="K33" t="str">
        <f ca="1">'(直掃)Change to adc mapping '!K97 &amp; ","</f>
        <v>9999,</v>
      </c>
      <c r="L33" t="str">
        <f ca="1">'(直掃)Change to adc mapping '!L97 &amp; ","</f>
        <v>9999,</v>
      </c>
      <c r="M33" t="str">
        <f ca="1">'(直掃)Change to adc mapping '!M97 &amp; ","</f>
        <v>9999,</v>
      </c>
      <c r="N33" t="str">
        <f ca="1">'(直掃)Change to adc mapping '!N97 &amp; ","</f>
        <v>9999,</v>
      </c>
      <c r="O33" t="str">
        <f ca="1">'(直掃)Change to adc mapping '!O97 &amp; ","</f>
        <v>9999,</v>
      </c>
      <c r="P33" t="str">
        <f ca="1">'(直掃)Change to adc mapping '!P97 &amp; ","</f>
        <v>9999,</v>
      </c>
      <c r="Q33" t="str">
        <f ca="1">'(直掃)Change to adc mapping '!Q97 &amp; ","</f>
        <v>9999,</v>
      </c>
      <c r="R33" t="str">
        <f ca="1">'(直掃)Change to adc mapping '!R97 &amp; ","</f>
        <v>9999,</v>
      </c>
      <c r="S33" t="str">
        <f ca="1">'(直掃)Change to adc mapping '!S97 &amp; ","</f>
        <v>9999,</v>
      </c>
      <c r="T33" t="str">
        <f ca="1">'(直掃)Change to adc mapping '!T97 &amp; ","</f>
        <v>9999,</v>
      </c>
      <c r="U33" t="str">
        <f ca="1">'(直掃)Change to adc mapping '!U97 &amp; ","</f>
        <v>9999,</v>
      </c>
      <c r="V33" t="str">
        <f ca="1">'(直掃)Change to adc mapping '!V97 &amp; ","</f>
        <v>9999,</v>
      </c>
      <c r="W33" t="str">
        <f ca="1">'(直掃)Change to adc mapping '!W97 &amp; ","</f>
        <v>9999,</v>
      </c>
      <c r="X33" t="str">
        <f ca="1">'(直掃)Change to adc mapping '!X97 &amp; ","</f>
        <v>9999,</v>
      </c>
      <c r="Y33" t="str">
        <f ca="1">'(直掃)Change to adc mapping '!Y97 &amp; ","</f>
        <v>-1,</v>
      </c>
      <c r="Z33" t="str">
        <f ca="1">'(直掃)Change to adc mapping '!Z97 &amp; ","</f>
        <v>-1,</v>
      </c>
      <c r="AA33" t="str">
        <f ca="1">'(直掃)Change to adc mapping '!AA97 &amp; ","</f>
        <v>-1,</v>
      </c>
      <c r="AB33" t="str">
        <f ca="1">'(直掃)Change to adc mapping '!AB97 &amp; ","</f>
        <v>-1,</v>
      </c>
      <c r="AC33" t="str">
        <f ca="1">'(直掃)Change to adc mapping '!AC97 &amp; ","</f>
        <v>-1,</v>
      </c>
      <c r="AD33" t="str">
        <f ca="1">'(直掃)Change to adc mapping '!AD97 &amp; ","</f>
        <v>-1,</v>
      </c>
      <c r="AE33" t="str">
        <f ca="1">'(直掃)Change to adc mapping '!AE97 &amp; ","</f>
        <v>-1,</v>
      </c>
      <c r="AF33" t="str">
        <f ca="1">'(直掃)Change to adc mapping '!AF97 &amp; ","</f>
        <v>-1,</v>
      </c>
      <c r="AG33" t="str">
        <f ca="1">'(直掃)Change to adc mapping '!AG97 &amp; ","</f>
        <v>-1,</v>
      </c>
      <c r="AH33" t="str">
        <f ca="1">'(直掃)Change to adc mapping '!AH97 &amp; ","</f>
        <v>-1,</v>
      </c>
      <c r="AI33" t="str">
        <f ca="1">'(直掃)Change to adc mapping '!AI97 &amp; ","</f>
        <v>-1,</v>
      </c>
      <c r="AJ33" t="str">
        <f ca="1">'(直掃)Change to adc mapping '!AJ97 &amp; ","</f>
        <v>-1,</v>
      </c>
      <c r="AK33" t="str">
        <f ca="1">'(直掃)Change to adc mapping '!AK97 &amp; ","</f>
        <v>-1,</v>
      </c>
      <c r="AL33" t="str">
        <f ca="1">'(直掃)Change to adc mapping '!AL97 &amp; ","</f>
        <v>-1,</v>
      </c>
      <c r="AM33" t="str">
        <f ca="1">'(直掃)Change to adc mapping '!AM97 &amp; ","</f>
        <v>-1,</v>
      </c>
      <c r="AN33" t="str">
        <f ca="1">'(直掃)Change to adc mapping '!AN97 &amp; ","</f>
        <v>-1,</v>
      </c>
      <c r="AO33" t="str">
        <f ca="1">'(直掃)Change to adc mapping '!AO97 &amp; ","</f>
        <v>-1,</v>
      </c>
      <c r="AP33" t="str">
        <f ca="1">'(直掃)Change to adc mapping '!AP97 &amp; ","</f>
        <v>-1,</v>
      </c>
      <c r="AQ33" t="str">
        <f ca="1">'(直掃)Change to adc mapping '!AQ97 &amp; ","</f>
        <v>-1,</v>
      </c>
      <c r="AR33" t="str">
        <f ca="1">'(直掃)Change to adc mapping '!AR97 &amp; ","</f>
        <v>-1,</v>
      </c>
      <c r="AS33" t="str">
        <f ca="1">'(直掃)Change to adc mapping '!AS97 &amp; ","</f>
        <v>-1,</v>
      </c>
      <c r="AT33" t="str">
        <f ca="1">'(直掃)Change to adc mapping '!AT97 &amp; ","</f>
        <v>-1,</v>
      </c>
      <c r="AU33" t="str">
        <f ca="1">'(直掃)Change to adc mapping '!AU97 &amp; ","</f>
        <v>-1,</v>
      </c>
      <c r="AV33" t="str">
        <f ca="1">'(直掃)Change to adc mapping '!AV97 &amp; ","</f>
        <v>-1,</v>
      </c>
      <c r="AW33" t="str">
        <f ca="1">'(直掃)Change to adc mapping '!AW97 &amp; ","</f>
        <v>-1,</v>
      </c>
      <c r="AX33" t="str">
        <f ca="1">'(直掃)Change to adc mapping '!AX97 &amp; ","</f>
        <v>-1,</v>
      </c>
      <c r="AY33" t="str">
        <f ca="1">'(直掃)Change to adc mapping '!AY97 &amp; ","</f>
        <v>-1,</v>
      </c>
      <c r="AZ33" t="str">
        <f ca="1">'(直掃)Change to adc mapping '!AZ97 &amp; ","</f>
        <v>-1,</v>
      </c>
      <c r="BA33" t="str">
        <f ca="1">'(直掃)Change to adc mapping '!BA97 &amp; ","</f>
        <v>-1,</v>
      </c>
      <c r="BB33" t="str">
        <f ca="1">'(直掃)Change to adc mapping '!BB97 &amp; ","</f>
        <v>-1,</v>
      </c>
      <c r="BC33" t="str">
        <f ca="1">'(直掃)Change to adc mapping '!BC97 &amp; ","</f>
        <v>-1,</v>
      </c>
      <c r="BD33" t="str">
        <f ca="1">'(直掃)Change to adc mapping '!BD97 &amp; ","</f>
        <v>-1,</v>
      </c>
      <c r="BE33" t="str">
        <f ca="1">'(直掃)Change to adc mapping '!BE97 &amp; ","</f>
        <v>-1,</v>
      </c>
      <c r="BF33" t="str">
        <f ca="1">'(直掃)Change to adc mapping '!BF97 &amp; ","</f>
        <v>-1,</v>
      </c>
      <c r="BG33" t="str">
        <f ca="1">'(直掃)Change to adc mapping '!BG97 &amp; ","</f>
        <v>-1,</v>
      </c>
      <c r="BH33" t="str">
        <f ca="1">'(直掃)Change to adc mapping '!BH97 &amp; ","</f>
        <v>-1,</v>
      </c>
      <c r="BI33" t="str">
        <f ca="1">'(直掃)Change to adc mapping '!BI97 &amp; ","</f>
        <v>-1,</v>
      </c>
    </row>
    <row r="34" spans="1:61" x14ac:dyDescent="0.25">
      <c r="A34" s="20">
        <v>33</v>
      </c>
      <c r="B34" t="str">
        <f ca="1">'(直掃)Change to adc mapping '!B98 &amp; ","</f>
        <v>9999,</v>
      </c>
      <c r="C34" t="str">
        <f ca="1">'(直掃)Change to adc mapping '!C98 &amp; ","</f>
        <v>9999,</v>
      </c>
      <c r="D34" t="str">
        <f ca="1">'(直掃)Change to adc mapping '!D98 &amp; ","</f>
        <v>9999,</v>
      </c>
      <c r="E34" t="str">
        <f ca="1">'(直掃)Change to adc mapping '!E98 &amp; ","</f>
        <v>9999,</v>
      </c>
      <c r="F34" t="str">
        <f ca="1">'(直掃)Change to adc mapping '!F98 &amp; ","</f>
        <v>9999,</v>
      </c>
      <c r="G34" t="str">
        <f ca="1">'(直掃)Change to adc mapping '!G98 &amp; ","</f>
        <v>9999,</v>
      </c>
      <c r="H34" t="str">
        <f ca="1">'(直掃)Change to adc mapping '!H98 &amp; ","</f>
        <v>9999,</v>
      </c>
      <c r="I34" t="str">
        <f ca="1">'(直掃)Change to adc mapping '!I98 &amp; ","</f>
        <v>9999,</v>
      </c>
      <c r="J34" t="str">
        <f ca="1">'(直掃)Change to adc mapping '!J98 &amp; ","</f>
        <v>9999,</v>
      </c>
      <c r="K34" t="str">
        <f ca="1">'(直掃)Change to adc mapping '!K98 &amp; ","</f>
        <v>9999,</v>
      </c>
      <c r="L34" t="str">
        <f ca="1">'(直掃)Change to adc mapping '!L98 &amp; ","</f>
        <v>9999,</v>
      </c>
      <c r="M34" t="str">
        <f ca="1">'(直掃)Change to adc mapping '!M98 &amp; ","</f>
        <v>9999,</v>
      </c>
      <c r="N34" t="str">
        <f ca="1">'(直掃)Change to adc mapping '!N98 &amp; ","</f>
        <v>9999,</v>
      </c>
      <c r="O34" t="str">
        <f ca="1">'(直掃)Change to adc mapping '!O98 &amp; ","</f>
        <v>9999,</v>
      </c>
      <c r="P34" t="str">
        <f ca="1">'(直掃)Change to adc mapping '!P98 &amp; ","</f>
        <v>9999,</v>
      </c>
      <c r="Q34" t="str">
        <f ca="1">'(直掃)Change to adc mapping '!Q98 &amp; ","</f>
        <v>9999,</v>
      </c>
      <c r="R34" t="str">
        <f ca="1">'(直掃)Change to adc mapping '!R98 &amp; ","</f>
        <v>9999,</v>
      </c>
      <c r="S34" t="str">
        <f ca="1">'(直掃)Change to adc mapping '!S98 &amp; ","</f>
        <v>9999,</v>
      </c>
      <c r="T34" t="str">
        <f ca="1">'(直掃)Change to adc mapping '!T98 &amp; ","</f>
        <v>9999,</v>
      </c>
      <c r="U34" t="str">
        <f ca="1">'(直掃)Change to adc mapping '!U98 &amp; ","</f>
        <v>9999,</v>
      </c>
      <c r="V34" t="str">
        <f ca="1">'(直掃)Change to adc mapping '!V98 &amp; ","</f>
        <v>9999,</v>
      </c>
      <c r="W34" t="str">
        <f ca="1">'(直掃)Change to adc mapping '!W98 &amp; ","</f>
        <v>9999,</v>
      </c>
      <c r="X34" t="str">
        <f ca="1">'(直掃)Change to adc mapping '!X98 &amp; ","</f>
        <v>9999,</v>
      </c>
      <c r="Y34" t="str">
        <f ca="1">'(直掃)Change to adc mapping '!Y98 &amp; ","</f>
        <v>-1,</v>
      </c>
      <c r="Z34" t="str">
        <f ca="1">'(直掃)Change to adc mapping '!Z98 &amp; ","</f>
        <v>-1,</v>
      </c>
      <c r="AA34" t="str">
        <f ca="1">'(直掃)Change to adc mapping '!AA98 &amp; ","</f>
        <v>-1,</v>
      </c>
      <c r="AB34" t="str">
        <f ca="1">'(直掃)Change to adc mapping '!AB98 &amp; ","</f>
        <v>-1,</v>
      </c>
      <c r="AC34" t="str">
        <f ca="1">'(直掃)Change to adc mapping '!AC98 &amp; ","</f>
        <v>-1,</v>
      </c>
      <c r="AD34" t="str">
        <f ca="1">'(直掃)Change to adc mapping '!AD98 &amp; ","</f>
        <v>-1,</v>
      </c>
      <c r="AE34" t="str">
        <f ca="1">'(直掃)Change to adc mapping '!AE98 &amp; ","</f>
        <v>-1,</v>
      </c>
      <c r="AF34" t="str">
        <f ca="1">'(直掃)Change to adc mapping '!AF98 &amp; ","</f>
        <v>0,</v>
      </c>
      <c r="AG34" t="str">
        <f ca="1">'(直掃)Change to adc mapping '!AG98 &amp; ","</f>
        <v>1,</v>
      </c>
      <c r="AH34" t="str">
        <f ca="1">'(直掃)Change to adc mapping '!AH98 &amp; ","</f>
        <v>2,</v>
      </c>
      <c r="AI34" t="str">
        <f ca="1">'(直掃)Change to adc mapping '!AI98 &amp; ","</f>
        <v>3,</v>
      </c>
      <c r="AJ34" t="str">
        <f ca="1">'(直掃)Change to adc mapping '!AJ98 &amp; ","</f>
        <v>4,</v>
      </c>
      <c r="AK34" t="str">
        <f ca="1">'(直掃)Change to adc mapping '!AK98 &amp; ","</f>
        <v>5,</v>
      </c>
      <c r="AL34" t="str">
        <f ca="1">'(直掃)Change to adc mapping '!AL98 &amp; ","</f>
        <v>6,</v>
      </c>
      <c r="AM34" t="str">
        <f ca="1">'(直掃)Change to adc mapping '!AM98 &amp; ","</f>
        <v>7,</v>
      </c>
      <c r="AN34" t="str">
        <f ca="1">'(直掃)Change to adc mapping '!AN98 &amp; ","</f>
        <v>8,</v>
      </c>
      <c r="AO34" t="str">
        <f ca="1">'(直掃)Change to adc mapping '!AO98 &amp; ","</f>
        <v>9,</v>
      </c>
      <c r="AP34" t="str">
        <f ca="1">'(直掃)Change to adc mapping '!AP98 &amp; ","</f>
        <v>10,</v>
      </c>
      <c r="AQ34" t="str">
        <f ca="1">'(直掃)Change to adc mapping '!AQ98 &amp; ","</f>
        <v>11,</v>
      </c>
      <c r="AR34" t="str">
        <f ca="1">'(直掃)Change to adc mapping '!AR98 &amp; ","</f>
        <v>12,</v>
      </c>
      <c r="AS34" t="str">
        <f ca="1">'(直掃)Change to adc mapping '!AS98 &amp; ","</f>
        <v>13,</v>
      </c>
      <c r="AT34" t="str">
        <f ca="1">'(直掃)Change to adc mapping '!AT98 &amp; ","</f>
        <v>14,</v>
      </c>
      <c r="AU34" t="str">
        <f ca="1">'(直掃)Change to adc mapping '!AU98 &amp; ","</f>
        <v>15,</v>
      </c>
      <c r="AV34" t="str">
        <f ca="1">'(直掃)Change to adc mapping '!AV98 &amp; ","</f>
        <v>16,</v>
      </c>
      <c r="AW34" t="str">
        <f ca="1">'(直掃)Change to adc mapping '!AW98 &amp; ","</f>
        <v>17,</v>
      </c>
      <c r="AX34" t="str">
        <f ca="1">'(直掃)Change to adc mapping '!AX98 &amp; ","</f>
        <v>18,</v>
      </c>
      <c r="AY34" t="str">
        <f ca="1">'(直掃)Change to adc mapping '!AY98 &amp; ","</f>
        <v>19,</v>
      </c>
      <c r="AZ34" t="str">
        <f ca="1">'(直掃)Change to adc mapping '!AZ98 &amp; ","</f>
        <v>20,</v>
      </c>
      <c r="BA34" t="str">
        <f ca="1">'(直掃)Change to adc mapping '!BA98 &amp; ","</f>
        <v>21,</v>
      </c>
      <c r="BB34" t="str">
        <f ca="1">'(直掃)Change to adc mapping '!BB98 &amp; ","</f>
        <v>22,</v>
      </c>
      <c r="BC34" t="str">
        <f ca="1">'(直掃)Change to adc mapping '!BC98 &amp; ","</f>
        <v>23,</v>
      </c>
      <c r="BD34" t="str">
        <f ca="1">'(直掃)Change to adc mapping '!BD98 &amp; ","</f>
        <v>24,</v>
      </c>
      <c r="BE34" t="str">
        <f ca="1">'(直掃)Change to adc mapping '!BE98 &amp; ","</f>
        <v>25,</v>
      </c>
      <c r="BF34" t="str">
        <f ca="1">'(直掃)Change to adc mapping '!BF98 &amp; ","</f>
        <v>26,</v>
      </c>
      <c r="BG34" t="str">
        <f ca="1">'(直掃)Change to adc mapping '!BG98 &amp; ","</f>
        <v>27,</v>
      </c>
      <c r="BH34" t="str">
        <f ca="1">'(直掃)Change to adc mapping '!BH98 &amp; ","</f>
        <v>28,</v>
      </c>
      <c r="BI34" t="str">
        <f ca="1">'(直掃)Change to adc mapping '!BI98 &amp; ","</f>
        <v>29,</v>
      </c>
    </row>
    <row r="35" spans="1:61" x14ac:dyDescent="0.25">
      <c r="A35" s="20">
        <v>34</v>
      </c>
      <c r="B35" t="str">
        <f ca="1">'(直掃)Change to adc mapping '!B99 &amp; ","</f>
        <v>9999,</v>
      </c>
      <c r="C35" t="str">
        <f ca="1">'(直掃)Change to adc mapping '!C99 &amp; ","</f>
        <v>9999,</v>
      </c>
      <c r="D35" t="str">
        <f ca="1">'(直掃)Change to adc mapping '!D99 &amp; ","</f>
        <v>9999,</v>
      </c>
      <c r="E35" t="str">
        <f ca="1">'(直掃)Change to adc mapping '!E99 &amp; ","</f>
        <v>9999,</v>
      </c>
      <c r="F35" t="str">
        <f ca="1">'(直掃)Change to adc mapping '!F99 &amp; ","</f>
        <v>9999,</v>
      </c>
      <c r="G35" t="str">
        <f ca="1">'(直掃)Change to adc mapping '!G99 &amp; ","</f>
        <v>9999,</v>
      </c>
      <c r="H35" t="str">
        <f ca="1">'(直掃)Change to adc mapping '!H99 &amp; ","</f>
        <v>9999,</v>
      </c>
      <c r="I35" t="str">
        <f ca="1">'(直掃)Change to adc mapping '!I99 &amp; ","</f>
        <v>9999,</v>
      </c>
      <c r="J35" t="str">
        <f ca="1">'(直掃)Change to adc mapping '!J99 &amp; ","</f>
        <v>9999,</v>
      </c>
      <c r="K35" t="str">
        <f ca="1">'(直掃)Change to adc mapping '!K99 &amp; ","</f>
        <v>9999,</v>
      </c>
      <c r="L35" t="str">
        <f ca="1">'(直掃)Change to adc mapping '!L99 &amp; ","</f>
        <v>9999,</v>
      </c>
      <c r="M35" t="str">
        <f ca="1">'(直掃)Change to adc mapping '!M99 &amp; ","</f>
        <v>9999,</v>
      </c>
      <c r="N35" t="str">
        <f ca="1">'(直掃)Change to adc mapping '!N99 &amp; ","</f>
        <v>9999,</v>
      </c>
      <c r="O35" t="str">
        <f ca="1">'(直掃)Change to adc mapping '!O99 &amp; ","</f>
        <v>9999,</v>
      </c>
      <c r="P35" t="str">
        <f ca="1">'(直掃)Change to adc mapping '!P99 &amp; ","</f>
        <v>9999,</v>
      </c>
      <c r="Q35" t="str">
        <f ca="1">'(直掃)Change to adc mapping '!Q99 &amp; ","</f>
        <v>9999,</v>
      </c>
      <c r="R35" t="str">
        <f ca="1">'(直掃)Change to adc mapping '!R99 &amp; ","</f>
        <v>9999,</v>
      </c>
      <c r="S35" t="str">
        <f ca="1">'(直掃)Change to adc mapping '!S99 &amp; ","</f>
        <v>9999,</v>
      </c>
      <c r="T35" t="str">
        <f ca="1">'(直掃)Change to adc mapping '!T99 &amp; ","</f>
        <v>9999,</v>
      </c>
      <c r="U35" t="str">
        <f ca="1">'(直掃)Change to adc mapping '!U99 &amp; ","</f>
        <v>9999,</v>
      </c>
      <c r="V35" t="str">
        <f ca="1">'(直掃)Change to adc mapping '!V99 &amp; ","</f>
        <v>9999,</v>
      </c>
      <c r="W35" t="str">
        <f ca="1">'(直掃)Change to adc mapping '!W99 &amp; ","</f>
        <v>9999,</v>
      </c>
      <c r="X35" t="str">
        <f ca="1">'(直掃)Change to adc mapping '!X99 &amp; ","</f>
        <v>9999,</v>
      </c>
      <c r="Y35" t="str">
        <f ca="1">'(直掃)Change to adc mapping '!Y99 &amp; ","</f>
        <v>-1,</v>
      </c>
      <c r="Z35" t="str">
        <f ca="1">'(直掃)Change to adc mapping '!Z99 &amp; ","</f>
        <v>-1,</v>
      </c>
      <c r="AA35" t="str">
        <f ca="1">'(直掃)Change to adc mapping '!AA99 &amp; ","</f>
        <v>-1,</v>
      </c>
      <c r="AB35" t="str">
        <f ca="1">'(直掃)Change to adc mapping '!AB99 &amp; ","</f>
        <v>-1,</v>
      </c>
      <c r="AC35" t="str">
        <f ca="1">'(直掃)Change to adc mapping '!AC99 &amp; ","</f>
        <v>-1,</v>
      </c>
      <c r="AD35" t="str">
        <f ca="1">'(直掃)Change to adc mapping '!AD99 &amp; ","</f>
        <v>-1,</v>
      </c>
      <c r="AE35" t="str">
        <f ca="1">'(直掃)Change to adc mapping '!AE99 &amp; ","</f>
        <v>-1,</v>
      </c>
      <c r="AF35" t="str">
        <f ca="1">'(直掃)Change to adc mapping '!AF99 &amp; ","</f>
        <v>30,</v>
      </c>
      <c r="AG35" t="str">
        <f ca="1">'(直掃)Change to adc mapping '!AG99 &amp; ","</f>
        <v>31,</v>
      </c>
      <c r="AH35" t="str">
        <f ca="1">'(直掃)Change to adc mapping '!AH99 &amp; ","</f>
        <v>32,</v>
      </c>
      <c r="AI35" t="str">
        <f ca="1">'(直掃)Change to adc mapping '!AI99 &amp; ","</f>
        <v>33,</v>
      </c>
      <c r="AJ35" t="str">
        <f ca="1">'(直掃)Change to adc mapping '!AJ99 &amp; ","</f>
        <v>34,</v>
      </c>
      <c r="AK35" t="str">
        <f ca="1">'(直掃)Change to adc mapping '!AK99 &amp; ","</f>
        <v>35,</v>
      </c>
      <c r="AL35" t="str">
        <f ca="1">'(直掃)Change to adc mapping '!AL99 &amp; ","</f>
        <v>36,</v>
      </c>
      <c r="AM35" t="str">
        <f ca="1">'(直掃)Change to adc mapping '!AM99 &amp; ","</f>
        <v>37,</v>
      </c>
      <c r="AN35" t="str">
        <f ca="1">'(直掃)Change to adc mapping '!AN99 &amp; ","</f>
        <v>38,</v>
      </c>
      <c r="AO35" t="str">
        <f ca="1">'(直掃)Change to adc mapping '!AO99 &amp; ","</f>
        <v>39,</v>
      </c>
      <c r="AP35" t="str">
        <f ca="1">'(直掃)Change to adc mapping '!AP99 &amp; ","</f>
        <v>40,</v>
      </c>
      <c r="AQ35" t="str">
        <f ca="1">'(直掃)Change to adc mapping '!AQ99 &amp; ","</f>
        <v>41,</v>
      </c>
      <c r="AR35" t="str">
        <f ca="1">'(直掃)Change to adc mapping '!AR99 &amp; ","</f>
        <v>42,</v>
      </c>
      <c r="AS35" t="str">
        <f ca="1">'(直掃)Change to adc mapping '!AS99 &amp; ","</f>
        <v>43,</v>
      </c>
      <c r="AT35" t="str">
        <f ca="1">'(直掃)Change to adc mapping '!AT99 &amp; ","</f>
        <v>44,</v>
      </c>
      <c r="AU35" t="str">
        <f ca="1">'(直掃)Change to adc mapping '!AU99 &amp; ","</f>
        <v>45,</v>
      </c>
      <c r="AV35" t="str">
        <f ca="1">'(直掃)Change to adc mapping '!AV99 &amp; ","</f>
        <v>46,</v>
      </c>
      <c r="AW35" t="str">
        <f ca="1">'(直掃)Change to adc mapping '!AW99 &amp; ","</f>
        <v>47,</v>
      </c>
      <c r="AX35" t="str">
        <f ca="1">'(直掃)Change to adc mapping '!AX99 &amp; ","</f>
        <v>48,</v>
      </c>
      <c r="AY35" t="str">
        <f ca="1">'(直掃)Change to adc mapping '!AY99 &amp; ","</f>
        <v>49,</v>
      </c>
      <c r="AZ35" t="str">
        <f ca="1">'(直掃)Change to adc mapping '!AZ99 &amp; ","</f>
        <v>50,</v>
      </c>
      <c r="BA35" t="str">
        <f ca="1">'(直掃)Change to adc mapping '!BA99 &amp; ","</f>
        <v>51,</v>
      </c>
      <c r="BB35" t="str">
        <f ca="1">'(直掃)Change to adc mapping '!BB99 &amp; ","</f>
        <v>52,</v>
      </c>
      <c r="BC35" t="str">
        <f ca="1">'(直掃)Change to adc mapping '!BC99 &amp; ","</f>
        <v>53,</v>
      </c>
      <c r="BD35" t="str">
        <f ca="1">'(直掃)Change to adc mapping '!BD99 &amp; ","</f>
        <v>54,</v>
      </c>
      <c r="BE35" t="str">
        <f ca="1">'(直掃)Change to adc mapping '!BE99 &amp; ","</f>
        <v>55,</v>
      </c>
      <c r="BF35" t="str">
        <f ca="1">'(直掃)Change to adc mapping '!BF99 &amp; ","</f>
        <v>56,</v>
      </c>
      <c r="BG35" t="str">
        <f ca="1">'(直掃)Change to adc mapping '!BG99 &amp; ","</f>
        <v>57,</v>
      </c>
      <c r="BH35" t="str">
        <f ca="1">'(直掃)Change to adc mapping '!BH99 &amp; ","</f>
        <v>58,</v>
      </c>
      <c r="BI35" t="str">
        <f ca="1">'(直掃)Change to adc mapping '!BI99 &amp; ","</f>
        <v>59,</v>
      </c>
    </row>
    <row r="36" spans="1:61" x14ac:dyDescent="0.25">
      <c r="A36" s="20">
        <v>35</v>
      </c>
      <c r="B36" t="str">
        <f ca="1">'(直掃)Change to adc mapping '!B100 &amp; ","</f>
        <v>9999,</v>
      </c>
      <c r="C36" t="str">
        <f ca="1">'(直掃)Change to adc mapping '!C100 &amp; ","</f>
        <v>9999,</v>
      </c>
      <c r="D36" t="str">
        <f ca="1">'(直掃)Change to adc mapping '!D100 &amp; ","</f>
        <v>9999,</v>
      </c>
      <c r="E36" t="str">
        <f ca="1">'(直掃)Change to adc mapping '!E100 &amp; ","</f>
        <v>9999,</v>
      </c>
      <c r="F36" t="str">
        <f ca="1">'(直掃)Change to adc mapping '!F100 &amp; ","</f>
        <v>9999,</v>
      </c>
      <c r="G36" t="str">
        <f ca="1">'(直掃)Change to adc mapping '!G100 &amp; ","</f>
        <v>9999,</v>
      </c>
      <c r="H36" t="str">
        <f ca="1">'(直掃)Change to adc mapping '!H100 &amp; ","</f>
        <v>9999,</v>
      </c>
      <c r="I36" t="str">
        <f ca="1">'(直掃)Change to adc mapping '!I100 &amp; ","</f>
        <v>9999,</v>
      </c>
      <c r="J36" t="str">
        <f ca="1">'(直掃)Change to adc mapping '!J100 &amp; ","</f>
        <v>9999,</v>
      </c>
      <c r="K36" t="str">
        <f ca="1">'(直掃)Change to adc mapping '!K100 &amp; ","</f>
        <v>9999,</v>
      </c>
      <c r="L36" t="str">
        <f ca="1">'(直掃)Change to adc mapping '!L100 &amp; ","</f>
        <v>9999,</v>
      </c>
      <c r="M36" t="str">
        <f ca="1">'(直掃)Change to adc mapping '!M100 &amp; ","</f>
        <v>9999,</v>
      </c>
      <c r="N36" t="str">
        <f ca="1">'(直掃)Change to adc mapping '!N100 &amp; ","</f>
        <v>9999,</v>
      </c>
      <c r="O36" t="str">
        <f ca="1">'(直掃)Change to adc mapping '!O100 &amp; ","</f>
        <v>9999,</v>
      </c>
      <c r="P36" t="str">
        <f ca="1">'(直掃)Change to adc mapping '!P100 &amp; ","</f>
        <v>9999,</v>
      </c>
      <c r="Q36" t="str">
        <f ca="1">'(直掃)Change to adc mapping '!Q100 &amp; ","</f>
        <v>9999,</v>
      </c>
      <c r="R36" t="str">
        <f ca="1">'(直掃)Change to adc mapping '!R100 &amp; ","</f>
        <v>9999,</v>
      </c>
      <c r="S36" t="str">
        <f ca="1">'(直掃)Change to adc mapping '!S100 &amp; ","</f>
        <v>9999,</v>
      </c>
      <c r="T36" t="str">
        <f ca="1">'(直掃)Change to adc mapping '!T100 &amp; ","</f>
        <v>9999,</v>
      </c>
      <c r="U36" t="str">
        <f ca="1">'(直掃)Change to adc mapping '!U100 &amp; ","</f>
        <v>9999,</v>
      </c>
      <c r="V36" t="str">
        <f ca="1">'(直掃)Change to adc mapping '!V100 &amp; ","</f>
        <v>9999,</v>
      </c>
      <c r="W36" t="str">
        <f ca="1">'(直掃)Change to adc mapping '!W100 &amp; ","</f>
        <v>9999,</v>
      </c>
      <c r="X36" t="str">
        <f ca="1">'(直掃)Change to adc mapping '!X100 &amp; ","</f>
        <v>9999,</v>
      </c>
      <c r="Y36" t="str">
        <f ca="1">'(直掃)Change to adc mapping '!Y100 &amp; ","</f>
        <v>-1,</v>
      </c>
      <c r="Z36" t="str">
        <f ca="1">'(直掃)Change to adc mapping '!Z100 &amp; ","</f>
        <v>-1,</v>
      </c>
      <c r="AA36" t="str">
        <f ca="1">'(直掃)Change to adc mapping '!AA100 &amp; ","</f>
        <v>-1,</v>
      </c>
      <c r="AB36" t="str">
        <f ca="1">'(直掃)Change to adc mapping '!AB100 &amp; ","</f>
        <v>-1,</v>
      </c>
      <c r="AC36" t="str">
        <f ca="1">'(直掃)Change to adc mapping '!AC100 &amp; ","</f>
        <v>-1,</v>
      </c>
      <c r="AD36" t="str">
        <f ca="1">'(直掃)Change to adc mapping '!AD100 &amp; ","</f>
        <v>-1,</v>
      </c>
      <c r="AE36" t="str">
        <f ca="1">'(直掃)Change to adc mapping '!AE100 &amp; ","</f>
        <v>-1,</v>
      </c>
      <c r="AF36" t="str">
        <f ca="1">'(直掃)Change to adc mapping '!AF100 &amp; ","</f>
        <v>60,</v>
      </c>
      <c r="AG36" t="str">
        <f ca="1">'(直掃)Change to adc mapping '!AG100 &amp; ","</f>
        <v>61,</v>
      </c>
      <c r="AH36" t="str">
        <f ca="1">'(直掃)Change to adc mapping '!AH100 &amp; ","</f>
        <v>62,</v>
      </c>
      <c r="AI36" t="str">
        <f ca="1">'(直掃)Change to adc mapping '!AI100 &amp; ","</f>
        <v>63,</v>
      </c>
      <c r="AJ36" t="str">
        <f ca="1">'(直掃)Change to adc mapping '!AJ100 &amp; ","</f>
        <v>64,</v>
      </c>
      <c r="AK36" t="str">
        <f ca="1">'(直掃)Change to adc mapping '!AK100 &amp; ","</f>
        <v>65,</v>
      </c>
      <c r="AL36" t="str">
        <f ca="1">'(直掃)Change to adc mapping '!AL100 &amp; ","</f>
        <v>66,</v>
      </c>
      <c r="AM36" t="str">
        <f ca="1">'(直掃)Change to adc mapping '!AM100 &amp; ","</f>
        <v>67,</v>
      </c>
      <c r="AN36" t="str">
        <f ca="1">'(直掃)Change to adc mapping '!AN100 &amp; ","</f>
        <v>68,</v>
      </c>
      <c r="AO36" t="str">
        <f ca="1">'(直掃)Change to adc mapping '!AO100 &amp; ","</f>
        <v>69,</v>
      </c>
      <c r="AP36" t="str">
        <f ca="1">'(直掃)Change to adc mapping '!AP100 &amp; ","</f>
        <v>70,</v>
      </c>
      <c r="AQ36" t="str">
        <f ca="1">'(直掃)Change to adc mapping '!AQ100 &amp; ","</f>
        <v>71,</v>
      </c>
      <c r="AR36" t="str">
        <f ca="1">'(直掃)Change to adc mapping '!AR100 &amp; ","</f>
        <v>72,</v>
      </c>
      <c r="AS36" t="str">
        <f ca="1">'(直掃)Change to adc mapping '!AS100 &amp; ","</f>
        <v>73,</v>
      </c>
      <c r="AT36" t="str">
        <f ca="1">'(直掃)Change to adc mapping '!AT100 &amp; ","</f>
        <v>74,</v>
      </c>
      <c r="AU36" t="str">
        <f ca="1">'(直掃)Change to adc mapping '!AU100 &amp; ","</f>
        <v>75,</v>
      </c>
      <c r="AV36" t="str">
        <f ca="1">'(直掃)Change to adc mapping '!AV100 &amp; ","</f>
        <v>76,</v>
      </c>
      <c r="AW36" t="str">
        <f ca="1">'(直掃)Change to adc mapping '!AW100 &amp; ","</f>
        <v>77,</v>
      </c>
      <c r="AX36" t="str">
        <f ca="1">'(直掃)Change to adc mapping '!AX100 &amp; ","</f>
        <v>78,</v>
      </c>
      <c r="AY36" t="str">
        <f ca="1">'(直掃)Change to adc mapping '!AY100 &amp; ","</f>
        <v>79,</v>
      </c>
      <c r="AZ36" t="str">
        <f ca="1">'(直掃)Change to adc mapping '!AZ100 &amp; ","</f>
        <v>80,</v>
      </c>
      <c r="BA36" t="str">
        <f ca="1">'(直掃)Change to adc mapping '!BA100 &amp; ","</f>
        <v>81,</v>
      </c>
      <c r="BB36" t="str">
        <f ca="1">'(直掃)Change to adc mapping '!BB100 &amp; ","</f>
        <v>82,</v>
      </c>
      <c r="BC36" t="str">
        <f ca="1">'(直掃)Change to adc mapping '!BC100 &amp; ","</f>
        <v>83,</v>
      </c>
      <c r="BD36" t="str">
        <f ca="1">'(直掃)Change to adc mapping '!BD100 &amp; ","</f>
        <v>84,</v>
      </c>
      <c r="BE36" t="str">
        <f ca="1">'(直掃)Change to adc mapping '!BE100 &amp; ","</f>
        <v>85,</v>
      </c>
      <c r="BF36" t="str">
        <f ca="1">'(直掃)Change to adc mapping '!BF100 &amp; ","</f>
        <v>86,</v>
      </c>
      <c r="BG36" t="str">
        <f ca="1">'(直掃)Change to adc mapping '!BG100 &amp; ","</f>
        <v>87,</v>
      </c>
      <c r="BH36" t="str">
        <f ca="1">'(直掃)Change to adc mapping '!BH100 &amp; ","</f>
        <v>88,</v>
      </c>
      <c r="BI36" t="str">
        <f ca="1">'(直掃)Change to adc mapping '!BI100 &amp; ","</f>
        <v>89,</v>
      </c>
    </row>
    <row r="37" spans="1:61" x14ac:dyDescent="0.25">
      <c r="A37" s="20">
        <v>36</v>
      </c>
      <c r="B37" t="str">
        <f ca="1">'(直掃)Change to adc mapping '!B101 &amp; ","</f>
        <v>9999,</v>
      </c>
      <c r="C37" t="str">
        <f ca="1">'(直掃)Change to adc mapping '!C101 &amp; ","</f>
        <v>9999,</v>
      </c>
      <c r="D37" t="str">
        <f ca="1">'(直掃)Change to adc mapping '!D101 &amp; ","</f>
        <v>9999,</v>
      </c>
      <c r="E37" t="str">
        <f ca="1">'(直掃)Change to adc mapping '!E101 &amp; ","</f>
        <v>9999,</v>
      </c>
      <c r="F37" t="str">
        <f ca="1">'(直掃)Change to adc mapping '!F101 &amp; ","</f>
        <v>9999,</v>
      </c>
      <c r="G37" t="str">
        <f ca="1">'(直掃)Change to adc mapping '!G101 &amp; ","</f>
        <v>9999,</v>
      </c>
      <c r="H37" t="str">
        <f ca="1">'(直掃)Change to adc mapping '!H101 &amp; ","</f>
        <v>9999,</v>
      </c>
      <c r="I37" t="str">
        <f ca="1">'(直掃)Change to adc mapping '!I101 &amp; ","</f>
        <v>9999,</v>
      </c>
      <c r="J37" t="str">
        <f ca="1">'(直掃)Change to adc mapping '!J101 &amp; ","</f>
        <v>9999,</v>
      </c>
      <c r="K37" t="str">
        <f ca="1">'(直掃)Change to adc mapping '!K101 &amp; ","</f>
        <v>9999,</v>
      </c>
      <c r="L37" t="str">
        <f ca="1">'(直掃)Change to adc mapping '!L101 &amp; ","</f>
        <v>9999,</v>
      </c>
      <c r="M37" t="str">
        <f ca="1">'(直掃)Change to adc mapping '!M101 &amp; ","</f>
        <v>9999,</v>
      </c>
      <c r="N37" t="str">
        <f ca="1">'(直掃)Change to adc mapping '!N101 &amp; ","</f>
        <v>9999,</v>
      </c>
      <c r="O37" t="str">
        <f ca="1">'(直掃)Change to adc mapping '!O101 &amp; ","</f>
        <v>9999,</v>
      </c>
      <c r="P37" t="str">
        <f ca="1">'(直掃)Change to adc mapping '!P101 &amp; ","</f>
        <v>9999,</v>
      </c>
      <c r="Q37" t="str">
        <f ca="1">'(直掃)Change to adc mapping '!Q101 &amp; ","</f>
        <v>9999,</v>
      </c>
      <c r="R37" t="str">
        <f ca="1">'(直掃)Change to adc mapping '!R101 &amp; ","</f>
        <v>9999,</v>
      </c>
      <c r="S37" t="str">
        <f ca="1">'(直掃)Change to adc mapping '!S101 &amp; ","</f>
        <v>9999,</v>
      </c>
      <c r="T37" t="str">
        <f ca="1">'(直掃)Change to adc mapping '!T101 &amp; ","</f>
        <v>9999,</v>
      </c>
      <c r="U37" t="str">
        <f ca="1">'(直掃)Change to adc mapping '!U101 &amp; ","</f>
        <v>9999,</v>
      </c>
      <c r="V37" t="str">
        <f ca="1">'(直掃)Change to adc mapping '!V101 &amp; ","</f>
        <v>9999,</v>
      </c>
      <c r="W37" t="str">
        <f ca="1">'(直掃)Change to adc mapping '!W101 &amp; ","</f>
        <v>9999,</v>
      </c>
      <c r="X37" t="str">
        <f ca="1">'(直掃)Change to adc mapping '!X101 &amp; ","</f>
        <v>9999,</v>
      </c>
      <c r="Y37" t="str">
        <f ca="1">'(直掃)Change to adc mapping '!Y101 &amp; ","</f>
        <v>-1,</v>
      </c>
      <c r="Z37" t="str">
        <f ca="1">'(直掃)Change to adc mapping '!Z101 &amp; ","</f>
        <v>-1,</v>
      </c>
      <c r="AA37" t="str">
        <f ca="1">'(直掃)Change to adc mapping '!AA101 &amp; ","</f>
        <v>-1,</v>
      </c>
      <c r="AB37" t="str">
        <f ca="1">'(直掃)Change to adc mapping '!AB101 &amp; ","</f>
        <v>-1,</v>
      </c>
      <c r="AC37" t="str">
        <f ca="1">'(直掃)Change to adc mapping '!AC101 &amp; ","</f>
        <v>-1,</v>
      </c>
      <c r="AD37" t="str">
        <f ca="1">'(直掃)Change to adc mapping '!AD101 &amp; ","</f>
        <v>-1,</v>
      </c>
      <c r="AE37" t="str">
        <f ca="1">'(直掃)Change to adc mapping '!AE101 &amp; ","</f>
        <v>-1,</v>
      </c>
      <c r="AF37" t="str">
        <f ca="1">'(直掃)Change to adc mapping '!AF101 &amp; ","</f>
        <v>0,</v>
      </c>
      <c r="AG37" t="str">
        <f ca="1">'(直掃)Change to adc mapping '!AG101 &amp; ","</f>
        <v>1,</v>
      </c>
      <c r="AH37" t="str">
        <f ca="1">'(直掃)Change to adc mapping '!AH101 &amp; ","</f>
        <v>2,</v>
      </c>
      <c r="AI37" t="str">
        <f ca="1">'(直掃)Change to adc mapping '!AI101 &amp; ","</f>
        <v>3,</v>
      </c>
      <c r="AJ37" t="str">
        <f ca="1">'(直掃)Change to adc mapping '!AJ101 &amp; ","</f>
        <v>4,</v>
      </c>
      <c r="AK37" t="str">
        <f ca="1">'(直掃)Change to adc mapping '!AK101 &amp; ","</f>
        <v>5,</v>
      </c>
      <c r="AL37" t="str">
        <f ca="1">'(直掃)Change to adc mapping '!AL101 &amp; ","</f>
        <v>6,</v>
      </c>
      <c r="AM37" t="str">
        <f ca="1">'(直掃)Change to adc mapping '!AM101 &amp; ","</f>
        <v>7,</v>
      </c>
      <c r="AN37" t="str">
        <f ca="1">'(直掃)Change to adc mapping '!AN101 &amp; ","</f>
        <v>8,</v>
      </c>
      <c r="AO37" t="str">
        <f ca="1">'(直掃)Change to adc mapping '!AO101 &amp; ","</f>
        <v>9,</v>
      </c>
      <c r="AP37" t="str">
        <f ca="1">'(直掃)Change to adc mapping '!AP101 &amp; ","</f>
        <v>10,</v>
      </c>
      <c r="AQ37" t="str">
        <f ca="1">'(直掃)Change to adc mapping '!AQ101 &amp; ","</f>
        <v>11,</v>
      </c>
      <c r="AR37" t="str">
        <f ca="1">'(直掃)Change to adc mapping '!AR101 &amp; ","</f>
        <v>12,</v>
      </c>
      <c r="AS37" t="str">
        <f ca="1">'(直掃)Change to adc mapping '!AS101 &amp; ","</f>
        <v>13,</v>
      </c>
      <c r="AT37" t="str">
        <f ca="1">'(直掃)Change to adc mapping '!AT101 &amp; ","</f>
        <v>14,</v>
      </c>
      <c r="AU37" t="str">
        <f ca="1">'(直掃)Change to adc mapping '!AU101 &amp; ","</f>
        <v>15,</v>
      </c>
      <c r="AV37" t="str">
        <f ca="1">'(直掃)Change to adc mapping '!AV101 &amp; ","</f>
        <v>16,</v>
      </c>
      <c r="AW37" t="str">
        <f ca="1">'(直掃)Change to adc mapping '!AW101 &amp; ","</f>
        <v>17,</v>
      </c>
      <c r="AX37" t="str">
        <f ca="1">'(直掃)Change to adc mapping '!AX101 &amp; ","</f>
        <v>18,</v>
      </c>
      <c r="AY37" t="str">
        <f ca="1">'(直掃)Change to adc mapping '!AY101 &amp; ","</f>
        <v>19,</v>
      </c>
      <c r="AZ37" t="str">
        <f ca="1">'(直掃)Change to adc mapping '!AZ101 &amp; ","</f>
        <v>20,</v>
      </c>
      <c r="BA37" t="str">
        <f ca="1">'(直掃)Change to adc mapping '!BA101 &amp; ","</f>
        <v>21,</v>
      </c>
      <c r="BB37" t="str">
        <f ca="1">'(直掃)Change to adc mapping '!BB101 &amp; ","</f>
        <v>22,</v>
      </c>
      <c r="BC37" t="str">
        <f ca="1">'(直掃)Change to adc mapping '!BC101 &amp; ","</f>
        <v>23,</v>
      </c>
      <c r="BD37" t="str">
        <f ca="1">'(直掃)Change to adc mapping '!BD101 &amp; ","</f>
        <v>24,</v>
      </c>
      <c r="BE37" t="str">
        <f ca="1">'(直掃)Change to adc mapping '!BE101 &amp; ","</f>
        <v>25,</v>
      </c>
      <c r="BF37" t="str">
        <f ca="1">'(直掃)Change to adc mapping '!BF101 &amp; ","</f>
        <v>26,</v>
      </c>
      <c r="BG37" t="str">
        <f ca="1">'(直掃)Change to adc mapping '!BG101 &amp; ","</f>
        <v>27,</v>
      </c>
      <c r="BH37" t="str">
        <f ca="1">'(直掃)Change to adc mapping '!BH101 &amp; ","</f>
        <v>28,</v>
      </c>
      <c r="BI37" t="str">
        <f ca="1">'(直掃)Change to adc mapping '!BI101 &amp; ","</f>
        <v>29,</v>
      </c>
    </row>
    <row r="38" spans="1:61" x14ac:dyDescent="0.25">
      <c r="A38" s="20">
        <v>37</v>
      </c>
      <c r="B38" t="str">
        <f ca="1">'(直掃)Change to adc mapping '!B102 &amp; ","</f>
        <v>9999,</v>
      </c>
      <c r="C38" t="str">
        <f ca="1">'(直掃)Change to adc mapping '!C102 &amp; ","</f>
        <v>9999,</v>
      </c>
      <c r="D38" t="str">
        <f ca="1">'(直掃)Change to adc mapping '!D102 &amp; ","</f>
        <v>9999,</v>
      </c>
      <c r="E38" t="str">
        <f ca="1">'(直掃)Change to adc mapping '!E102 &amp; ","</f>
        <v>9999,</v>
      </c>
      <c r="F38" t="str">
        <f ca="1">'(直掃)Change to adc mapping '!F102 &amp; ","</f>
        <v>9999,</v>
      </c>
      <c r="G38" t="str">
        <f ca="1">'(直掃)Change to adc mapping '!G102 &amp; ","</f>
        <v>9999,</v>
      </c>
      <c r="H38" t="str">
        <f ca="1">'(直掃)Change to adc mapping '!H102 &amp; ","</f>
        <v>9999,</v>
      </c>
      <c r="I38" t="str">
        <f ca="1">'(直掃)Change to adc mapping '!I102 &amp; ","</f>
        <v>9999,</v>
      </c>
      <c r="J38" t="str">
        <f ca="1">'(直掃)Change to adc mapping '!J102 &amp; ","</f>
        <v>9999,</v>
      </c>
      <c r="K38" t="str">
        <f ca="1">'(直掃)Change to adc mapping '!K102 &amp; ","</f>
        <v>9999,</v>
      </c>
      <c r="L38" t="str">
        <f ca="1">'(直掃)Change to adc mapping '!L102 &amp; ","</f>
        <v>9999,</v>
      </c>
      <c r="M38" t="str">
        <f ca="1">'(直掃)Change to adc mapping '!M102 &amp; ","</f>
        <v>9999,</v>
      </c>
      <c r="N38" t="str">
        <f ca="1">'(直掃)Change to adc mapping '!N102 &amp; ","</f>
        <v>9999,</v>
      </c>
      <c r="O38" t="str">
        <f ca="1">'(直掃)Change to adc mapping '!O102 &amp; ","</f>
        <v>9999,</v>
      </c>
      <c r="P38" t="str">
        <f ca="1">'(直掃)Change to adc mapping '!P102 &amp; ","</f>
        <v>9999,</v>
      </c>
      <c r="Q38" t="str">
        <f ca="1">'(直掃)Change to adc mapping '!Q102 &amp; ","</f>
        <v>9999,</v>
      </c>
      <c r="R38" t="str">
        <f ca="1">'(直掃)Change to adc mapping '!R102 &amp; ","</f>
        <v>9999,</v>
      </c>
      <c r="S38" t="str">
        <f ca="1">'(直掃)Change to adc mapping '!S102 &amp; ","</f>
        <v>9999,</v>
      </c>
      <c r="T38" t="str">
        <f ca="1">'(直掃)Change to adc mapping '!T102 &amp; ","</f>
        <v>9999,</v>
      </c>
      <c r="U38" t="str">
        <f ca="1">'(直掃)Change to adc mapping '!U102 &amp; ","</f>
        <v>9999,</v>
      </c>
      <c r="V38" t="str">
        <f ca="1">'(直掃)Change to adc mapping '!V102 &amp; ","</f>
        <v>9999,</v>
      </c>
      <c r="W38" t="str">
        <f ca="1">'(直掃)Change to adc mapping '!W102 &amp; ","</f>
        <v>9999,</v>
      </c>
      <c r="X38" t="str">
        <f ca="1">'(直掃)Change to adc mapping '!X102 &amp; ","</f>
        <v>9999,</v>
      </c>
      <c r="Y38" t="str">
        <f ca="1">'(直掃)Change to adc mapping '!Y102 &amp; ","</f>
        <v>-1,</v>
      </c>
      <c r="Z38" t="str">
        <f ca="1">'(直掃)Change to adc mapping '!Z102 &amp; ","</f>
        <v>-1,</v>
      </c>
      <c r="AA38" t="str">
        <f ca="1">'(直掃)Change to adc mapping '!AA102 &amp; ","</f>
        <v>-1,</v>
      </c>
      <c r="AB38" t="str">
        <f ca="1">'(直掃)Change to adc mapping '!AB102 &amp; ","</f>
        <v>-1,</v>
      </c>
      <c r="AC38" t="str">
        <f ca="1">'(直掃)Change to adc mapping '!AC102 &amp; ","</f>
        <v>-1,</v>
      </c>
      <c r="AD38" t="str">
        <f ca="1">'(直掃)Change to adc mapping '!AD102 &amp; ","</f>
        <v>-1,</v>
      </c>
      <c r="AE38" t="str">
        <f ca="1">'(直掃)Change to adc mapping '!AE102 &amp; ","</f>
        <v>-1,</v>
      </c>
      <c r="AF38" t="str">
        <f ca="1">'(直掃)Change to adc mapping '!AF102 &amp; ","</f>
        <v>30,</v>
      </c>
      <c r="AG38" t="str">
        <f ca="1">'(直掃)Change to adc mapping '!AG102 &amp; ","</f>
        <v>31,</v>
      </c>
      <c r="AH38" t="str">
        <f ca="1">'(直掃)Change to adc mapping '!AH102 &amp; ","</f>
        <v>32,</v>
      </c>
      <c r="AI38" t="str">
        <f ca="1">'(直掃)Change to adc mapping '!AI102 &amp; ","</f>
        <v>33,</v>
      </c>
      <c r="AJ38" t="str">
        <f ca="1">'(直掃)Change to adc mapping '!AJ102 &amp; ","</f>
        <v>34,</v>
      </c>
      <c r="AK38" t="str">
        <f ca="1">'(直掃)Change to adc mapping '!AK102 &amp; ","</f>
        <v>35,</v>
      </c>
      <c r="AL38" t="str">
        <f ca="1">'(直掃)Change to adc mapping '!AL102 &amp; ","</f>
        <v>36,</v>
      </c>
      <c r="AM38" t="str">
        <f ca="1">'(直掃)Change to adc mapping '!AM102 &amp; ","</f>
        <v>37,</v>
      </c>
      <c r="AN38" t="str">
        <f ca="1">'(直掃)Change to adc mapping '!AN102 &amp; ","</f>
        <v>38,</v>
      </c>
      <c r="AO38" t="str">
        <f ca="1">'(直掃)Change to adc mapping '!AO102 &amp; ","</f>
        <v>39,</v>
      </c>
      <c r="AP38" t="str">
        <f ca="1">'(直掃)Change to adc mapping '!AP102 &amp; ","</f>
        <v>40,</v>
      </c>
      <c r="AQ38" t="str">
        <f ca="1">'(直掃)Change to adc mapping '!AQ102 &amp; ","</f>
        <v>41,</v>
      </c>
      <c r="AR38" t="str">
        <f ca="1">'(直掃)Change to adc mapping '!AR102 &amp; ","</f>
        <v>42,</v>
      </c>
      <c r="AS38" t="str">
        <f ca="1">'(直掃)Change to adc mapping '!AS102 &amp; ","</f>
        <v>43,</v>
      </c>
      <c r="AT38" t="str">
        <f ca="1">'(直掃)Change to adc mapping '!AT102 &amp; ","</f>
        <v>44,</v>
      </c>
      <c r="AU38" t="str">
        <f ca="1">'(直掃)Change to adc mapping '!AU102 &amp; ","</f>
        <v>45,</v>
      </c>
      <c r="AV38" t="str">
        <f ca="1">'(直掃)Change to adc mapping '!AV102 &amp; ","</f>
        <v>46,</v>
      </c>
      <c r="AW38" t="str">
        <f ca="1">'(直掃)Change to adc mapping '!AW102 &amp; ","</f>
        <v>47,</v>
      </c>
      <c r="AX38" t="str">
        <f ca="1">'(直掃)Change to adc mapping '!AX102 &amp; ","</f>
        <v>48,</v>
      </c>
      <c r="AY38" t="str">
        <f ca="1">'(直掃)Change to adc mapping '!AY102 &amp; ","</f>
        <v>49,</v>
      </c>
      <c r="AZ38" t="str">
        <f ca="1">'(直掃)Change to adc mapping '!AZ102 &amp; ","</f>
        <v>50,</v>
      </c>
      <c r="BA38" t="str">
        <f ca="1">'(直掃)Change to adc mapping '!BA102 &amp; ","</f>
        <v>51,</v>
      </c>
      <c r="BB38" t="str">
        <f ca="1">'(直掃)Change to adc mapping '!BB102 &amp; ","</f>
        <v>52,</v>
      </c>
      <c r="BC38" t="str">
        <f ca="1">'(直掃)Change to adc mapping '!BC102 &amp; ","</f>
        <v>53,</v>
      </c>
      <c r="BD38" t="str">
        <f ca="1">'(直掃)Change to adc mapping '!BD102 &amp; ","</f>
        <v>54,</v>
      </c>
      <c r="BE38" t="str">
        <f ca="1">'(直掃)Change to adc mapping '!BE102 &amp; ","</f>
        <v>55,</v>
      </c>
      <c r="BF38" t="str">
        <f ca="1">'(直掃)Change to adc mapping '!BF102 &amp; ","</f>
        <v>56,</v>
      </c>
      <c r="BG38" t="str">
        <f ca="1">'(直掃)Change to adc mapping '!BG102 &amp; ","</f>
        <v>57,</v>
      </c>
      <c r="BH38" t="str">
        <f ca="1">'(直掃)Change to adc mapping '!BH102 &amp; ","</f>
        <v>58,</v>
      </c>
      <c r="BI38" t="str">
        <f ca="1">'(直掃)Change to adc mapping '!BI102 &amp; ","</f>
        <v>59,</v>
      </c>
    </row>
    <row r="39" spans="1:61" x14ac:dyDescent="0.25">
      <c r="A39" s="20">
        <v>38</v>
      </c>
      <c r="B39" t="str">
        <f ca="1">'(直掃)Change to adc mapping '!B103 &amp; ","</f>
        <v>9999,</v>
      </c>
      <c r="C39" t="str">
        <f ca="1">'(直掃)Change to adc mapping '!C103 &amp; ","</f>
        <v>9999,</v>
      </c>
      <c r="D39" t="str">
        <f ca="1">'(直掃)Change to adc mapping '!D103 &amp; ","</f>
        <v>9999,</v>
      </c>
      <c r="E39" t="str">
        <f ca="1">'(直掃)Change to adc mapping '!E103 &amp; ","</f>
        <v>9999,</v>
      </c>
      <c r="F39" t="str">
        <f ca="1">'(直掃)Change to adc mapping '!F103 &amp; ","</f>
        <v>9999,</v>
      </c>
      <c r="G39" t="str">
        <f ca="1">'(直掃)Change to adc mapping '!G103 &amp; ","</f>
        <v>9999,</v>
      </c>
      <c r="H39" t="str">
        <f ca="1">'(直掃)Change to adc mapping '!H103 &amp; ","</f>
        <v>9999,</v>
      </c>
      <c r="I39" t="str">
        <f ca="1">'(直掃)Change to adc mapping '!I103 &amp; ","</f>
        <v>9999,</v>
      </c>
      <c r="J39" t="str">
        <f ca="1">'(直掃)Change to adc mapping '!J103 &amp; ","</f>
        <v>9999,</v>
      </c>
      <c r="K39" t="str">
        <f ca="1">'(直掃)Change to adc mapping '!K103 &amp; ","</f>
        <v>9999,</v>
      </c>
      <c r="L39" t="str">
        <f ca="1">'(直掃)Change to adc mapping '!L103 &amp; ","</f>
        <v>9999,</v>
      </c>
      <c r="M39" t="str">
        <f ca="1">'(直掃)Change to adc mapping '!M103 &amp; ","</f>
        <v>9999,</v>
      </c>
      <c r="N39" t="str">
        <f ca="1">'(直掃)Change to adc mapping '!N103 &amp; ","</f>
        <v>9999,</v>
      </c>
      <c r="O39" t="str">
        <f ca="1">'(直掃)Change to adc mapping '!O103 &amp; ","</f>
        <v>9999,</v>
      </c>
      <c r="P39" t="str">
        <f ca="1">'(直掃)Change to adc mapping '!P103 &amp; ","</f>
        <v>9999,</v>
      </c>
      <c r="Q39" t="str">
        <f ca="1">'(直掃)Change to adc mapping '!Q103 &amp; ","</f>
        <v>9999,</v>
      </c>
      <c r="R39" t="str">
        <f ca="1">'(直掃)Change to adc mapping '!R103 &amp; ","</f>
        <v>9999,</v>
      </c>
      <c r="S39" t="str">
        <f ca="1">'(直掃)Change to adc mapping '!S103 &amp; ","</f>
        <v>9999,</v>
      </c>
      <c r="T39" t="str">
        <f ca="1">'(直掃)Change to adc mapping '!T103 &amp; ","</f>
        <v>9999,</v>
      </c>
      <c r="U39" t="str">
        <f ca="1">'(直掃)Change to adc mapping '!U103 &amp; ","</f>
        <v>9999,</v>
      </c>
      <c r="V39" t="str">
        <f ca="1">'(直掃)Change to adc mapping '!V103 &amp; ","</f>
        <v>9999,</v>
      </c>
      <c r="W39" t="str">
        <f ca="1">'(直掃)Change to adc mapping '!W103 &amp; ","</f>
        <v>9999,</v>
      </c>
      <c r="X39" t="str">
        <f ca="1">'(直掃)Change to adc mapping '!X103 &amp; ","</f>
        <v>9999,</v>
      </c>
      <c r="Y39" t="str">
        <f ca="1">'(直掃)Change to adc mapping '!Y103 &amp; ","</f>
        <v>-1,</v>
      </c>
      <c r="Z39" t="str">
        <f ca="1">'(直掃)Change to adc mapping '!Z103 &amp; ","</f>
        <v>-1,</v>
      </c>
      <c r="AA39" t="str">
        <f ca="1">'(直掃)Change to adc mapping '!AA103 &amp; ","</f>
        <v>-1,</v>
      </c>
      <c r="AB39" t="str">
        <f ca="1">'(直掃)Change to adc mapping '!AB103 &amp; ","</f>
        <v>-1,</v>
      </c>
      <c r="AC39" t="str">
        <f ca="1">'(直掃)Change to adc mapping '!AC103 &amp; ","</f>
        <v>-1,</v>
      </c>
      <c r="AD39" t="str">
        <f ca="1">'(直掃)Change to adc mapping '!AD103 &amp; ","</f>
        <v>-1,</v>
      </c>
      <c r="AE39" t="str">
        <f ca="1">'(直掃)Change to adc mapping '!AE103 &amp; ","</f>
        <v>-1,</v>
      </c>
      <c r="AF39" t="str">
        <f ca="1">'(直掃)Change to adc mapping '!AF103 &amp; ","</f>
        <v>60,</v>
      </c>
      <c r="AG39" t="str">
        <f ca="1">'(直掃)Change to adc mapping '!AG103 &amp; ","</f>
        <v>61,</v>
      </c>
      <c r="AH39" t="str">
        <f ca="1">'(直掃)Change to adc mapping '!AH103 &amp; ","</f>
        <v>62,</v>
      </c>
      <c r="AI39" t="str">
        <f ca="1">'(直掃)Change to adc mapping '!AI103 &amp; ","</f>
        <v>63,</v>
      </c>
      <c r="AJ39" t="str">
        <f ca="1">'(直掃)Change to adc mapping '!AJ103 &amp; ","</f>
        <v>64,</v>
      </c>
      <c r="AK39" t="str">
        <f ca="1">'(直掃)Change to adc mapping '!AK103 &amp; ","</f>
        <v>65,</v>
      </c>
      <c r="AL39" t="str">
        <f ca="1">'(直掃)Change to adc mapping '!AL103 &amp; ","</f>
        <v>66,</v>
      </c>
      <c r="AM39" t="str">
        <f ca="1">'(直掃)Change to adc mapping '!AM103 &amp; ","</f>
        <v>67,</v>
      </c>
      <c r="AN39" t="str">
        <f ca="1">'(直掃)Change to adc mapping '!AN103 &amp; ","</f>
        <v>68,</v>
      </c>
      <c r="AO39" t="str">
        <f ca="1">'(直掃)Change to adc mapping '!AO103 &amp; ","</f>
        <v>69,</v>
      </c>
      <c r="AP39" t="str">
        <f ca="1">'(直掃)Change to adc mapping '!AP103 &amp; ","</f>
        <v>70,</v>
      </c>
      <c r="AQ39" t="str">
        <f ca="1">'(直掃)Change to adc mapping '!AQ103 &amp; ","</f>
        <v>71,</v>
      </c>
      <c r="AR39" t="str">
        <f ca="1">'(直掃)Change to adc mapping '!AR103 &amp; ","</f>
        <v>72,</v>
      </c>
      <c r="AS39" t="str">
        <f ca="1">'(直掃)Change to adc mapping '!AS103 &amp; ","</f>
        <v>73,</v>
      </c>
      <c r="AT39" t="str">
        <f ca="1">'(直掃)Change to adc mapping '!AT103 &amp; ","</f>
        <v>74,</v>
      </c>
      <c r="AU39" t="str">
        <f ca="1">'(直掃)Change to adc mapping '!AU103 &amp; ","</f>
        <v>75,</v>
      </c>
      <c r="AV39" t="str">
        <f ca="1">'(直掃)Change to adc mapping '!AV103 &amp; ","</f>
        <v>76,</v>
      </c>
      <c r="AW39" t="str">
        <f ca="1">'(直掃)Change to adc mapping '!AW103 &amp; ","</f>
        <v>77,</v>
      </c>
      <c r="AX39" t="str">
        <f ca="1">'(直掃)Change to adc mapping '!AX103 &amp; ","</f>
        <v>78,</v>
      </c>
      <c r="AY39" t="str">
        <f ca="1">'(直掃)Change to adc mapping '!AY103 &amp; ","</f>
        <v>79,</v>
      </c>
      <c r="AZ39" t="str">
        <f ca="1">'(直掃)Change to adc mapping '!AZ103 &amp; ","</f>
        <v>80,</v>
      </c>
      <c r="BA39" t="str">
        <f ca="1">'(直掃)Change to adc mapping '!BA103 &amp; ","</f>
        <v>81,</v>
      </c>
      <c r="BB39" t="str">
        <f ca="1">'(直掃)Change to adc mapping '!BB103 &amp; ","</f>
        <v>82,</v>
      </c>
      <c r="BC39" t="str">
        <f ca="1">'(直掃)Change to adc mapping '!BC103 &amp; ","</f>
        <v>83,</v>
      </c>
      <c r="BD39" t="str">
        <f ca="1">'(直掃)Change to adc mapping '!BD103 &amp; ","</f>
        <v>84,</v>
      </c>
      <c r="BE39" t="str">
        <f ca="1">'(直掃)Change to adc mapping '!BE103 &amp; ","</f>
        <v>85,</v>
      </c>
      <c r="BF39" t="str">
        <f ca="1">'(直掃)Change to adc mapping '!BF103 &amp; ","</f>
        <v>86,</v>
      </c>
      <c r="BG39" t="str">
        <f ca="1">'(直掃)Change to adc mapping '!BG103 &amp; ","</f>
        <v>87,</v>
      </c>
      <c r="BH39" t="str">
        <f ca="1">'(直掃)Change to adc mapping '!BH103 &amp; ","</f>
        <v>88,</v>
      </c>
      <c r="BI39" t="str">
        <f ca="1">'(直掃)Change to adc mapping '!BI103 &amp; ","</f>
        <v>89,</v>
      </c>
    </row>
    <row r="40" spans="1:61" x14ac:dyDescent="0.25">
      <c r="A40" s="20">
        <v>39</v>
      </c>
      <c r="B40" t="str">
        <f ca="1">'(直掃)Change to adc mapping '!B104 &amp; ","</f>
        <v>9999,</v>
      </c>
      <c r="C40" t="str">
        <f ca="1">'(直掃)Change to adc mapping '!C104 &amp; ","</f>
        <v>9999,</v>
      </c>
      <c r="D40" t="str">
        <f ca="1">'(直掃)Change to adc mapping '!D104 &amp; ","</f>
        <v>9999,</v>
      </c>
      <c r="E40" t="str">
        <f ca="1">'(直掃)Change to adc mapping '!E104 &amp; ","</f>
        <v>9999,</v>
      </c>
      <c r="F40" t="str">
        <f ca="1">'(直掃)Change to adc mapping '!F104 &amp; ","</f>
        <v>9999,</v>
      </c>
      <c r="G40" t="str">
        <f ca="1">'(直掃)Change to adc mapping '!G104 &amp; ","</f>
        <v>9999,</v>
      </c>
      <c r="H40" t="str">
        <f ca="1">'(直掃)Change to adc mapping '!H104 &amp; ","</f>
        <v>9999,</v>
      </c>
      <c r="I40" t="str">
        <f ca="1">'(直掃)Change to adc mapping '!I104 &amp; ","</f>
        <v>9999,</v>
      </c>
      <c r="J40" t="str">
        <f ca="1">'(直掃)Change to adc mapping '!J104 &amp; ","</f>
        <v>9999,</v>
      </c>
      <c r="K40" t="str">
        <f ca="1">'(直掃)Change to adc mapping '!K104 &amp; ","</f>
        <v>9999,</v>
      </c>
      <c r="L40" t="str">
        <f ca="1">'(直掃)Change to adc mapping '!L104 &amp; ","</f>
        <v>9999,</v>
      </c>
      <c r="M40" t="str">
        <f ca="1">'(直掃)Change to adc mapping '!M104 &amp; ","</f>
        <v>9999,</v>
      </c>
      <c r="N40" t="str">
        <f ca="1">'(直掃)Change to adc mapping '!N104 &amp; ","</f>
        <v>9999,</v>
      </c>
      <c r="O40" t="str">
        <f ca="1">'(直掃)Change to adc mapping '!O104 &amp; ","</f>
        <v>9999,</v>
      </c>
      <c r="P40" t="str">
        <f ca="1">'(直掃)Change to adc mapping '!P104 &amp; ","</f>
        <v>9999,</v>
      </c>
      <c r="Q40" t="str">
        <f ca="1">'(直掃)Change to adc mapping '!Q104 &amp; ","</f>
        <v>9999,</v>
      </c>
      <c r="R40" t="str">
        <f ca="1">'(直掃)Change to adc mapping '!R104 &amp; ","</f>
        <v>9999,</v>
      </c>
      <c r="S40" t="str">
        <f ca="1">'(直掃)Change to adc mapping '!S104 &amp; ","</f>
        <v>9999,</v>
      </c>
      <c r="T40" t="str">
        <f ca="1">'(直掃)Change to adc mapping '!T104 &amp; ","</f>
        <v>9999,</v>
      </c>
      <c r="U40" t="str">
        <f ca="1">'(直掃)Change to adc mapping '!U104 &amp; ","</f>
        <v>9999,</v>
      </c>
      <c r="V40" t="str">
        <f ca="1">'(直掃)Change to adc mapping '!V104 &amp; ","</f>
        <v>9999,</v>
      </c>
      <c r="W40" t="str">
        <f ca="1">'(直掃)Change to adc mapping '!W104 &amp; ","</f>
        <v>9999,</v>
      </c>
      <c r="X40" t="str">
        <f ca="1">'(直掃)Change to adc mapping '!X104 &amp; ","</f>
        <v>9999,</v>
      </c>
      <c r="Y40" t="str">
        <f ca="1">'(直掃)Change to adc mapping '!Y104 &amp; ","</f>
        <v>-1,</v>
      </c>
      <c r="Z40" t="str">
        <f ca="1">'(直掃)Change to adc mapping '!Z104 &amp; ","</f>
        <v>-1,</v>
      </c>
      <c r="AA40" t="str">
        <f ca="1">'(直掃)Change to adc mapping '!AA104 &amp; ","</f>
        <v>-1,</v>
      </c>
      <c r="AB40" t="str">
        <f ca="1">'(直掃)Change to adc mapping '!AB104 &amp; ","</f>
        <v>-1,</v>
      </c>
      <c r="AC40" t="str">
        <f ca="1">'(直掃)Change to adc mapping '!AC104 &amp; ","</f>
        <v>-1,</v>
      </c>
      <c r="AD40" t="str">
        <f ca="1">'(直掃)Change to adc mapping '!AD104 &amp; ","</f>
        <v>-1,</v>
      </c>
      <c r="AE40" t="str">
        <f ca="1">'(直掃)Change to adc mapping '!AE104 &amp; ","</f>
        <v>-1,</v>
      </c>
      <c r="AF40" t="str">
        <f ca="1">'(直掃)Change to adc mapping '!AF104 &amp; ","</f>
        <v>0,</v>
      </c>
      <c r="AG40" t="str">
        <f ca="1">'(直掃)Change to adc mapping '!AG104 &amp; ","</f>
        <v>1,</v>
      </c>
      <c r="AH40" t="str">
        <f ca="1">'(直掃)Change to adc mapping '!AH104 &amp; ","</f>
        <v>2,</v>
      </c>
      <c r="AI40" t="str">
        <f ca="1">'(直掃)Change to adc mapping '!AI104 &amp; ","</f>
        <v>3,</v>
      </c>
      <c r="AJ40" t="str">
        <f ca="1">'(直掃)Change to adc mapping '!AJ104 &amp; ","</f>
        <v>4,</v>
      </c>
      <c r="AK40" t="str">
        <f ca="1">'(直掃)Change to adc mapping '!AK104 &amp; ","</f>
        <v>5,</v>
      </c>
      <c r="AL40" t="str">
        <f ca="1">'(直掃)Change to adc mapping '!AL104 &amp; ","</f>
        <v>6,</v>
      </c>
      <c r="AM40" t="str">
        <f ca="1">'(直掃)Change to adc mapping '!AM104 &amp; ","</f>
        <v>7,</v>
      </c>
      <c r="AN40" t="str">
        <f ca="1">'(直掃)Change to adc mapping '!AN104 &amp; ","</f>
        <v>8,</v>
      </c>
      <c r="AO40" t="str">
        <f ca="1">'(直掃)Change to adc mapping '!AO104 &amp; ","</f>
        <v>9,</v>
      </c>
      <c r="AP40" t="str">
        <f ca="1">'(直掃)Change to adc mapping '!AP104 &amp; ","</f>
        <v>10,</v>
      </c>
      <c r="AQ40" t="str">
        <f ca="1">'(直掃)Change to adc mapping '!AQ104 &amp; ","</f>
        <v>11,</v>
      </c>
      <c r="AR40" t="str">
        <f ca="1">'(直掃)Change to adc mapping '!AR104 &amp; ","</f>
        <v>12,</v>
      </c>
      <c r="AS40" t="str">
        <f ca="1">'(直掃)Change to adc mapping '!AS104 &amp; ","</f>
        <v>13,</v>
      </c>
      <c r="AT40" t="str">
        <f ca="1">'(直掃)Change to adc mapping '!AT104 &amp; ","</f>
        <v>14,</v>
      </c>
      <c r="AU40" t="str">
        <f ca="1">'(直掃)Change to adc mapping '!AU104 &amp; ","</f>
        <v>15,</v>
      </c>
      <c r="AV40" t="str">
        <f ca="1">'(直掃)Change to adc mapping '!AV104 &amp; ","</f>
        <v>16,</v>
      </c>
      <c r="AW40" t="str">
        <f ca="1">'(直掃)Change to adc mapping '!AW104 &amp; ","</f>
        <v>17,</v>
      </c>
      <c r="AX40" t="str">
        <f ca="1">'(直掃)Change to adc mapping '!AX104 &amp; ","</f>
        <v>18,</v>
      </c>
      <c r="AY40" t="str">
        <f ca="1">'(直掃)Change to adc mapping '!AY104 &amp; ","</f>
        <v>19,</v>
      </c>
      <c r="AZ40" t="str">
        <f ca="1">'(直掃)Change to adc mapping '!AZ104 &amp; ","</f>
        <v>20,</v>
      </c>
      <c r="BA40" t="str">
        <f ca="1">'(直掃)Change to adc mapping '!BA104 &amp; ","</f>
        <v>21,</v>
      </c>
      <c r="BB40" t="str">
        <f ca="1">'(直掃)Change to adc mapping '!BB104 &amp; ","</f>
        <v>22,</v>
      </c>
      <c r="BC40" t="str">
        <f ca="1">'(直掃)Change to adc mapping '!BC104 &amp; ","</f>
        <v>23,</v>
      </c>
      <c r="BD40" t="str">
        <f ca="1">'(直掃)Change to adc mapping '!BD104 &amp; ","</f>
        <v>24,</v>
      </c>
      <c r="BE40" t="str">
        <f ca="1">'(直掃)Change to adc mapping '!BE104 &amp; ","</f>
        <v>25,</v>
      </c>
      <c r="BF40" t="str">
        <f ca="1">'(直掃)Change to adc mapping '!BF104 &amp; ","</f>
        <v>26,</v>
      </c>
      <c r="BG40" t="str">
        <f ca="1">'(直掃)Change to adc mapping '!BG104 &amp; ","</f>
        <v>27,</v>
      </c>
      <c r="BH40" t="str">
        <f ca="1">'(直掃)Change to adc mapping '!BH104 &amp; ","</f>
        <v>28,</v>
      </c>
      <c r="BI40" t="str">
        <f ca="1">'(直掃)Change to adc mapping '!BI104 &amp; ","</f>
        <v>29,</v>
      </c>
    </row>
    <row r="41" spans="1:61" x14ac:dyDescent="0.25">
      <c r="A41" s="20">
        <v>40</v>
      </c>
      <c r="B41" t="str">
        <f ca="1">'(直掃)Change to adc mapping '!B105 &amp; ","</f>
        <v>9999,</v>
      </c>
      <c r="C41" t="str">
        <f ca="1">'(直掃)Change to adc mapping '!C105 &amp; ","</f>
        <v>9999,</v>
      </c>
      <c r="D41" t="str">
        <f ca="1">'(直掃)Change to adc mapping '!D105 &amp; ","</f>
        <v>9999,</v>
      </c>
      <c r="E41" t="str">
        <f ca="1">'(直掃)Change to adc mapping '!E105 &amp; ","</f>
        <v>9999,</v>
      </c>
      <c r="F41" t="str">
        <f ca="1">'(直掃)Change to adc mapping '!F105 &amp; ","</f>
        <v>9999,</v>
      </c>
      <c r="G41" t="str">
        <f ca="1">'(直掃)Change to adc mapping '!G105 &amp; ","</f>
        <v>9999,</v>
      </c>
      <c r="H41" t="str">
        <f ca="1">'(直掃)Change to adc mapping '!H105 &amp; ","</f>
        <v>9999,</v>
      </c>
      <c r="I41" t="str">
        <f ca="1">'(直掃)Change to adc mapping '!I105 &amp; ","</f>
        <v>9999,</v>
      </c>
      <c r="J41" t="str">
        <f ca="1">'(直掃)Change to adc mapping '!J105 &amp; ","</f>
        <v>9999,</v>
      </c>
      <c r="K41" t="str">
        <f ca="1">'(直掃)Change to adc mapping '!K105 &amp; ","</f>
        <v>9999,</v>
      </c>
      <c r="L41" t="str">
        <f ca="1">'(直掃)Change to adc mapping '!L105 &amp; ","</f>
        <v>9999,</v>
      </c>
      <c r="M41" t="str">
        <f ca="1">'(直掃)Change to adc mapping '!M105 &amp; ","</f>
        <v>9999,</v>
      </c>
      <c r="N41" t="str">
        <f ca="1">'(直掃)Change to adc mapping '!N105 &amp; ","</f>
        <v>9999,</v>
      </c>
      <c r="O41" t="str">
        <f ca="1">'(直掃)Change to adc mapping '!O105 &amp; ","</f>
        <v>9999,</v>
      </c>
      <c r="P41" t="str">
        <f ca="1">'(直掃)Change to adc mapping '!P105 &amp; ","</f>
        <v>9999,</v>
      </c>
      <c r="Q41" t="str">
        <f ca="1">'(直掃)Change to adc mapping '!Q105 &amp; ","</f>
        <v>9999,</v>
      </c>
      <c r="R41" t="str">
        <f ca="1">'(直掃)Change to adc mapping '!R105 &amp; ","</f>
        <v>9999,</v>
      </c>
      <c r="S41" t="str">
        <f ca="1">'(直掃)Change to adc mapping '!S105 &amp; ","</f>
        <v>9999,</v>
      </c>
      <c r="T41" t="str">
        <f ca="1">'(直掃)Change to adc mapping '!T105 &amp; ","</f>
        <v>9999,</v>
      </c>
      <c r="U41" t="str">
        <f ca="1">'(直掃)Change to adc mapping '!U105 &amp; ","</f>
        <v>9999,</v>
      </c>
      <c r="V41" t="str">
        <f ca="1">'(直掃)Change to adc mapping '!V105 &amp; ","</f>
        <v>9999,</v>
      </c>
      <c r="W41" t="str">
        <f ca="1">'(直掃)Change to adc mapping '!W105 &amp; ","</f>
        <v>9999,</v>
      </c>
      <c r="X41" t="str">
        <f ca="1">'(直掃)Change to adc mapping '!X105 &amp; ","</f>
        <v>9999,</v>
      </c>
      <c r="Y41" t="str">
        <f ca="1">'(直掃)Change to adc mapping '!Y105 &amp; ","</f>
        <v>-1,</v>
      </c>
      <c r="Z41" t="str">
        <f ca="1">'(直掃)Change to adc mapping '!Z105 &amp; ","</f>
        <v>-1,</v>
      </c>
      <c r="AA41" t="str">
        <f ca="1">'(直掃)Change to adc mapping '!AA105 &amp; ","</f>
        <v>-1,</v>
      </c>
      <c r="AB41" t="str">
        <f ca="1">'(直掃)Change to adc mapping '!AB105 &amp; ","</f>
        <v>-1,</v>
      </c>
      <c r="AC41" t="str">
        <f ca="1">'(直掃)Change to adc mapping '!AC105 &amp; ","</f>
        <v>-1,</v>
      </c>
      <c r="AD41" t="str">
        <f ca="1">'(直掃)Change to adc mapping '!AD105 &amp; ","</f>
        <v>-1,</v>
      </c>
      <c r="AE41" t="str">
        <f ca="1">'(直掃)Change to adc mapping '!AE105 &amp; ","</f>
        <v>-1,</v>
      </c>
      <c r="AF41" t="str">
        <f ca="1">'(直掃)Change to adc mapping '!AF105 &amp; ","</f>
        <v>30,</v>
      </c>
      <c r="AG41" t="str">
        <f ca="1">'(直掃)Change to adc mapping '!AG105 &amp; ","</f>
        <v>31,</v>
      </c>
      <c r="AH41" t="str">
        <f ca="1">'(直掃)Change to adc mapping '!AH105 &amp; ","</f>
        <v>32,</v>
      </c>
      <c r="AI41" t="str">
        <f ca="1">'(直掃)Change to adc mapping '!AI105 &amp; ","</f>
        <v>33,</v>
      </c>
      <c r="AJ41" t="str">
        <f ca="1">'(直掃)Change to adc mapping '!AJ105 &amp; ","</f>
        <v>34,</v>
      </c>
      <c r="AK41" t="str">
        <f ca="1">'(直掃)Change to adc mapping '!AK105 &amp; ","</f>
        <v>35,</v>
      </c>
      <c r="AL41" t="str">
        <f ca="1">'(直掃)Change to adc mapping '!AL105 &amp; ","</f>
        <v>36,</v>
      </c>
      <c r="AM41" t="str">
        <f ca="1">'(直掃)Change to adc mapping '!AM105 &amp; ","</f>
        <v>37,</v>
      </c>
      <c r="AN41" t="str">
        <f ca="1">'(直掃)Change to adc mapping '!AN105 &amp; ","</f>
        <v>38,</v>
      </c>
      <c r="AO41" t="str">
        <f ca="1">'(直掃)Change to adc mapping '!AO105 &amp; ","</f>
        <v>39,</v>
      </c>
      <c r="AP41" t="str">
        <f ca="1">'(直掃)Change to adc mapping '!AP105 &amp; ","</f>
        <v>40,</v>
      </c>
      <c r="AQ41" t="str">
        <f ca="1">'(直掃)Change to adc mapping '!AQ105 &amp; ","</f>
        <v>41,</v>
      </c>
      <c r="AR41" t="str">
        <f ca="1">'(直掃)Change to adc mapping '!AR105 &amp; ","</f>
        <v>42,</v>
      </c>
      <c r="AS41" t="str">
        <f ca="1">'(直掃)Change to adc mapping '!AS105 &amp; ","</f>
        <v>43,</v>
      </c>
      <c r="AT41" t="str">
        <f ca="1">'(直掃)Change to adc mapping '!AT105 &amp; ","</f>
        <v>44,</v>
      </c>
      <c r="AU41" t="str">
        <f ca="1">'(直掃)Change to adc mapping '!AU105 &amp; ","</f>
        <v>45,</v>
      </c>
      <c r="AV41" t="str">
        <f ca="1">'(直掃)Change to adc mapping '!AV105 &amp; ","</f>
        <v>46,</v>
      </c>
      <c r="AW41" t="str">
        <f ca="1">'(直掃)Change to adc mapping '!AW105 &amp; ","</f>
        <v>47,</v>
      </c>
      <c r="AX41" t="str">
        <f ca="1">'(直掃)Change to adc mapping '!AX105 &amp; ","</f>
        <v>48,</v>
      </c>
      <c r="AY41" t="str">
        <f ca="1">'(直掃)Change to adc mapping '!AY105 &amp; ","</f>
        <v>49,</v>
      </c>
      <c r="AZ41" t="str">
        <f ca="1">'(直掃)Change to adc mapping '!AZ105 &amp; ","</f>
        <v>50,</v>
      </c>
      <c r="BA41" t="str">
        <f ca="1">'(直掃)Change to adc mapping '!BA105 &amp; ","</f>
        <v>51,</v>
      </c>
      <c r="BB41" t="str">
        <f ca="1">'(直掃)Change to adc mapping '!BB105 &amp; ","</f>
        <v>52,</v>
      </c>
      <c r="BC41" t="str">
        <f ca="1">'(直掃)Change to adc mapping '!BC105 &amp; ","</f>
        <v>53,</v>
      </c>
      <c r="BD41" t="str">
        <f ca="1">'(直掃)Change to adc mapping '!BD105 &amp; ","</f>
        <v>54,</v>
      </c>
      <c r="BE41" t="str">
        <f ca="1">'(直掃)Change to adc mapping '!BE105 &amp; ","</f>
        <v>55,</v>
      </c>
      <c r="BF41" t="str">
        <f ca="1">'(直掃)Change to adc mapping '!BF105 &amp; ","</f>
        <v>56,</v>
      </c>
      <c r="BG41" t="str">
        <f ca="1">'(直掃)Change to adc mapping '!BG105 &amp; ","</f>
        <v>57,</v>
      </c>
      <c r="BH41" t="str">
        <f ca="1">'(直掃)Change to adc mapping '!BH105 &amp; ","</f>
        <v>58,</v>
      </c>
      <c r="BI41" t="str">
        <f ca="1">'(直掃)Change to adc mapping '!BI105 &amp; ","</f>
        <v>59,</v>
      </c>
    </row>
    <row r="42" spans="1:61" x14ac:dyDescent="0.25">
      <c r="A42" s="20">
        <v>41</v>
      </c>
      <c r="B42" t="str">
        <f ca="1">'(直掃)Change to adc mapping '!B106 &amp; ","</f>
        <v>9999,</v>
      </c>
      <c r="C42" t="str">
        <f ca="1">'(直掃)Change to adc mapping '!C106 &amp; ","</f>
        <v>9999,</v>
      </c>
      <c r="D42" t="str">
        <f ca="1">'(直掃)Change to adc mapping '!D106 &amp; ","</f>
        <v>9999,</v>
      </c>
      <c r="E42" t="str">
        <f ca="1">'(直掃)Change to adc mapping '!E106 &amp; ","</f>
        <v>9999,</v>
      </c>
      <c r="F42" t="str">
        <f ca="1">'(直掃)Change to adc mapping '!F106 &amp; ","</f>
        <v>9999,</v>
      </c>
      <c r="G42" t="str">
        <f ca="1">'(直掃)Change to adc mapping '!G106 &amp; ","</f>
        <v>9999,</v>
      </c>
      <c r="H42" t="str">
        <f ca="1">'(直掃)Change to adc mapping '!H106 &amp; ","</f>
        <v>9999,</v>
      </c>
      <c r="I42" t="str">
        <f ca="1">'(直掃)Change to adc mapping '!I106 &amp; ","</f>
        <v>9999,</v>
      </c>
      <c r="J42" t="str">
        <f ca="1">'(直掃)Change to adc mapping '!J106 &amp; ","</f>
        <v>9999,</v>
      </c>
      <c r="K42" t="str">
        <f ca="1">'(直掃)Change to adc mapping '!K106 &amp; ","</f>
        <v>9999,</v>
      </c>
      <c r="L42" t="str">
        <f ca="1">'(直掃)Change to adc mapping '!L106 &amp; ","</f>
        <v>9999,</v>
      </c>
      <c r="M42" t="str">
        <f ca="1">'(直掃)Change to adc mapping '!M106 &amp; ","</f>
        <v>9999,</v>
      </c>
      <c r="N42" t="str">
        <f ca="1">'(直掃)Change to adc mapping '!N106 &amp; ","</f>
        <v>9999,</v>
      </c>
      <c r="O42" t="str">
        <f ca="1">'(直掃)Change to adc mapping '!O106 &amp; ","</f>
        <v>9999,</v>
      </c>
      <c r="P42" t="str">
        <f ca="1">'(直掃)Change to adc mapping '!P106 &amp; ","</f>
        <v>9999,</v>
      </c>
      <c r="Q42" t="str">
        <f ca="1">'(直掃)Change to adc mapping '!Q106 &amp; ","</f>
        <v>9999,</v>
      </c>
      <c r="R42" t="str">
        <f ca="1">'(直掃)Change to adc mapping '!R106 &amp; ","</f>
        <v>9999,</v>
      </c>
      <c r="S42" t="str">
        <f ca="1">'(直掃)Change to adc mapping '!S106 &amp; ","</f>
        <v>9999,</v>
      </c>
      <c r="T42" t="str">
        <f ca="1">'(直掃)Change to adc mapping '!T106 &amp; ","</f>
        <v>9999,</v>
      </c>
      <c r="U42" t="str">
        <f ca="1">'(直掃)Change to adc mapping '!U106 &amp; ","</f>
        <v>9999,</v>
      </c>
      <c r="V42" t="str">
        <f ca="1">'(直掃)Change to adc mapping '!V106 &amp; ","</f>
        <v>9999,</v>
      </c>
      <c r="W42" t="str">
        <f ca="1">'(直掃)Change to adc mapping '!W106 &amp; ","</f>
        <v>9999,</v>
      </c>
      <c r="X42" t="str">
        <f ca="1">'(直掃)Change to adc mapping '!X106 &amp; ","</f>
        <v>9999,</v>
      </c>
      <c r="Y42" t="str">
        <f ca="1">'(直掃)Change to adc mapping '!Y106 &amp; ","</f>
        <v>-1,</v>
      </c>
      <c r="Z42" t="str">
        <f ca="1">'(直掃)Change to adc mapping '!Z106 &amp; ","</f>
        <v>-1,</v>
      </c>
      <c r="AA42" t="str">
        <f ca="1">'(直掃)Change to adc mapping '!AA106 &amp; ","</f>
        <v>-1,</v>
      </c>
      <c r="AB42" t="str">
        <f ca="1">'(直掃)Change to adc mapping '!AB106 &amp; ","</f>
        <v>-1,</v>
      </c>
      <c r="AC42" t="str">
        <f ca="1">'(直掃)Change to adc mapping '!AC106 &amp; ","</f>
        <v>-1,</v>
      </c>
      <c r="AD42" t="str">
        <f ca="1">'(直掃)Change to adc mapping '!AD106 &amp; ","</f>
        <v>-1,</v>
      </c>
      <c r="AE42" t="str">
        <f ca="1">'(直掃)Change to adc mapping '!AE106 &amp; ","</f>
        <v>-1,</v>
      </c>
      <c r="AF42" t="str">
        <f ca="1">'(直掃)Change to adc mapping '!AF106 &amp; ","</f>
        <v>60,</v>
      </c>
      <c r="AG42" t="str">
        <f ca="1">'(直掃)Change to adc mapping '!AG106 &amp; ","</f>
        <v>61,</v>
      </c>
      <c r="AH42" t="str">
        <f ca="1">'(直掃)Change to adc mapping '!AH106 &amp; ","</f>
        <v>62,</v>
      </c>
      <c r="AI42" t="str">
        <f ca="1">'(直掃)Change to adc mapping '!AI106 &amp; ","</f>
        <v>63,</v>
      </c>
      <c r="AJ42" t="str">
        <f ca="1">'(直掃)Change to adc mapping '!AJ106 &amp; ","</f>
        <v>64,</v>
      </c>
      <c r="AK42" t="str">
        <f ca="1">'(直掃)Change to adc mapping '!AK106 &amp; ","</f>
        <v>65,</v>
      </c>
      <c r="AL42" t="str">
        <f ca="1">'(直掃)Change to adc mapping '!AL106 &amp; ","</f>
        <v>66,</v>
      </c>
      <c r="AM42" t="str">
        <f ca="1">'(直掃)Change to adc mapping '!AM106 &amp; ","</f>
        <v>67,</v>
      </c>
      <c r="AN42" t="str">
        <f ca="1">'(直掃)Change to adc mapping '!AN106 &amp; ","</f>
        <v>68,</v>
      </c>
      <c r="AO42" t="str">
        <f ca="1">'(直掃)Change to adc mapping '!AO106 &amp; ","</f>
        <v>69,</v>
      </c>
      <c r="AP42" t="str">
        <f ca="1">'(直掃)Change to adc mapping '!AP106 &amp; ","</f>
        <v>70,</v>
      </c>
      <c r="AQ42" t="str">
        <f ca="1">'(直掃)Change to adc mapping '!AQ106 &amp; ","</f>
        <v>71,</v>
      </c>
      <c r="AR42" t="str">
        <f ca="1">'(直掃)Change to adc mapping '!AR106 &amp; ","</f>
        <v>72,</v>
      </c>
      <c r="AS42" t="str">
        <f ca="1">'(直掃)Change to adc mapping '!AS106 &amp; ","</f>
        <v>73,</v>
      </c>
      <c r="AT42" t="str">
        <f ca="1">'(直掃)Change to adc mapping '!AT106 &amp; ","</f>
        <v>74,</v>
      </c>
      <c r="AU42" t="str">
        <f ca="1">'(直掃)Change to adc mapping '!AU106 &amp; ","</f>
        <v>75,</v>
      </c>
      <c r="AV42" t="str">
        <f ca="1">'(直掃)Change to adc mapping '!AV106 &amp; ","</f>
        <v>76,</v>
      </c>
      <c r="AW42" t="str">
        <f ca="1">'(直掃)Change to adc mapping '!AW106 &amp; ","</f>
        <v>77,</v>
      </c>
      <c r="AX42" t="str">
        <f ca="1">'(直掃)Change to adc mapping '!AX106 &amp; ","</f>
        <v>78,</v>
      </c>
      <c r="AY42" t="str">
        <f ca="1">'(直掃)Change to adc mapping '!AY106 &amp; ","</f>
        <v>79,</v>
      </c>
      <c r="AZ42" t="str">
        <f ca="1">'(直掃)Change to adc mapping '!AZ106 &amp; ","</f>
        <v>80,</v>
      </c>
      <c r="BA42" t="str">
        <f ca="1">'(直掃)Change to adc mapping '!BA106 &amp; ","</f>
        <v>81,</v>
      </c>
      <c r="BB42" t="str">
        <f ca="1">'(直掃)Change to adc mapping '!BB106 &amp; ","</f>
        <v>82,</v>
      </c>
      <c r="BC42" t="str">
        <f ca="1">'(直掃)Change to adc mapping '!BC106 &amp; ","</f>
        <v>83,</v>
      </c>
      <c r="BD42" t="str">
        <f ca="1">'(直掃)Change to adc mapping '!BD106 &amp; ","</f>
        <v>84,</v>
      </c>
      <c r="BE42" t="str">
        <f ca="1">'(直掃)Change to adc mapping '!BE106 &amp; ","</f>
        <v>85,</v>
      </c>
      <c r="BF42" t="str">
        <f ca="1">'(直掃)Change to adc mapping '!BF106 &amp; ","</f>
        <v>86,</v>
      </c>
      <c r="BG42" t="str">
        <f ca="1">'(直掃)Change to adc mapping '!BG106 &amp; ","</f>
        <v>87,</v>
      </c>
      <c r="BH42" t="str">
        <f ca="1">'(直掃)Change to adc mapping '!BH106 &amp; ","</f>
        <v>88,</v>
      </c>
      <c r="BI42" t="str">
        <f ca="1">'(直掃)Change to adc mapping '!BI106 &amp; ","</f>
        <v>89,</v>
      </c>
    </row>
    <row r="43" spans="1:61" x14ac:dyDescent="0.25">
      <c r="A43" s="20">
        <v>42</v>
      </c>
      <c r="B43" t="str">
        <f ca="1">'(直掃)Change to adc mapping '!B107 &amp; ","</f>
        <v>9999,</v>
      </c>
      <c r="C43" t="str">
        <f ca="1">'(直掃)Change to adc mapping '!C107 &amp; ","</f>
        <v>9999,</v>
      </c>
      <c r="D43" t="str">
        <f ca="1">'(直掃)Change to adc mapping '!D107 &amp; ","</f>
        <v>9999,</v>
      </c>
      <c r="E43" t="str">
        <f ca="1">'(直掃)Change to adc mapping '!E107 &amp; ","</f>
        <v>9999,</v>
      </c>
      <c r="F43" t="str">
        <f ca="1">'(直掃)Change to adc mapping '!F107 &amp; ","</f>
        <v>9999,</v>
      </c>
      <c r="G43" t="str">
        <f ca="1">'(直掃)Change to adc mapping '!G107 &amp; ","</f>
        <v>9999,</v>
      </c>
      <c r="H43" t="str">
        <f ca="1">'(直掃)Change to adc mapping '!H107 &amp; ","</f>
        <v>9999,</v>
      </c>
      <c r="I43" t="str">
        <f ca="1">'(直掃)Change to adc mapping '!I107 &amp; ","</f>
        <v>9999,</v>
      </c>
      <c r="J43" t="str">
        <f ca="1">'(直掃)Change to adc mapping '!J107 &amp; ","</f>
        <v>9999,</v>
      </c>
      <c r="K43" t="str">
        <f ca="1">'(直掃)Change to adc mapping '!K107 &amp; ","</f>
        <v>9999,</v>
      </c>
      <c r="L43" t="str">
        <f ca="1">'(直掃)Change to adc mapping '!L107 &amp; ","</f>
        <v>9999,</v>
      </c>
      <c r="M43" t="str">
        <f ca="1">'(直掃)Change to adc mapping '!M107 &amp; ","</f>
        <v>9999,</v>
      </c>
      <c r="N43" t="str">
        <f ca="1">'(直掃)Change to adc mapping '!N107 &amp; ","</f>
        <v>9999,</v>
      </c>
      <c r="O43" t="str">
        <f ca="1">'(直掃)Change to adc mapping '!O107 &amp; ","</f>
        <v>9999,</v>
      </c>
      <c r="P43" t="str">
        <f ca="1">'(直掃)Change to adc mapping '!P107 &amp; ","</f>
        <v>9999,</v>
      </c>
      <c r="Q43" t="str">
        <f ca="1">'(直掃)Change to adc mapping '!Q107 &amp; ","</f>
        <v>9999,</v>
      </c>
      <c r="R43" t="str">
        <f ca="1">'(直掃)Change to adc mapping '!R107 &amp; ","</f>
        <v>9999,</v>
      </c>
      <c r="S43" t="str">
        <f ca="1">'(直掃)Change to adc mapping '!S107 &amp; ","</f>
        <v>9999,</v>
      </c>
      <c r="T43" t="str">
        <f ca="1">'(直掃)Change to adc mapping '!T107 &amp; ","</f>
        <v>9999,</v>
      </c>
      <c r="U43" t="str">
        <f ca="1">'(直掃)Change to adc mapping '!U107 &amp; ","</f>
        <v>9999,</v>
      </c>
      <c r="V43" t="str">
        <f ca="1">'(直掃)Change to adc mapping '!V107 &amp; ","</f>
        <v>9999,</v>
      </c>
      <c r="W43" t="str">
        <f ca="1">'(直掃)Change to adc mapping '!W107 &amp; ","</f>
        <v>9999,</v>
      </c>
      <c r="X43" t="str">
        <f ca="1">'(直掃)Change to adc mapping '!X107 &amp; ","</f>
        <v>9999,</v>
      </c>
      <c r="Y43" t="str">
        <f ca="1">'(直掃)Change to adc mapping '!Y107 &amp; ","</f>
        <v>-1,</v>
      </c>
      <c r="Z43" t="str">
        <f ca="1">'(直掃)Change to adc mapping '!Z107 &amp; ","</f>
        <v>-1,</v>
      </c>
      <c r="AA43" t="str">
        <f ca="1">'(直掃)Change to adc mapping '!AA107 &amp; ","</f>
        <v>-1,</v>
      </c>
      <c r="AB43" t="str">
        <f ca="1">'(直掃)Change to adc mapping '!AB107 &amp; ","</f>
        <v>-1,</v>
      </c>
      <c r="AC43" t="str">
        <f ca="1">'(直掃)Change to adc mapping '!AC107 &amp; ","</f>
        <v>-1,</v>
      </c>
      <c r="AD43" t="str">
        <f ca="1">'(直掃)Change to adc mapping '!AD107 &amp; ","</f>
        <v>-1,</v>
      </c>
      <c r="AE43" t="str">
        <f ca="1">'(直掃)Change to adc mapping '!AE107 &amp; ","</f>
        <v>-1,</v>
      </c>
      <c r="AF43" t="str">
        <f ca="1">'(直掃)Change to adc mapping '!AF107 &amp; ","</f>
        <v>90,</v>
      </c>
      <c r="AG43" t="str">
        <f ca="1">'(直掃)Change to adc mapping '!AG107 &amp; ","</f>
        <v>91,</v>
      </c>
      <c r="AH43" t="str">
        <f ca="1">'(直掃)Change to adc mapping '!AH107 &amp; ","</f>
        <v>92,</v>
      </c>
      <c r="AI43" t="str">
        <f ca="1">'(直掃)Change to adc mapping '!AI107 &amp; ","</f>
        <v>93,</v>
      </c>
      <c r="AJ43" t="str">
        <f ca="1">'(直掃)Change to adc mapping '!AJ107 &amp; ","</f>
        <v>94,</v>
      </c>
      <c r="AK43" t="str">
        <f ca="1">'(直掃)Change to adc mapping '!AK107 &amp; ","</f>
        <v>95,</v>
      </c>
      <c r="AL43" t="str">
        <f ca="1">'(直掃)Change to adc mapping '!AL107 &amp; ","</f>
        <v>96,</v>
      </c>
      <c r="AM43" t="str">
        <f ca="1">'(直掃)Change to adc mapping '!AM107 &amp; ","</f>
        <v>97,</v>
      </c>
      <c r="AN43" t="str">
        <f ca="1">'(直掃)Change to adc mapping '!AN107 &amp; ","</f>
        <v>98,</v>
      </c>
      <c r="AO43" t="str">
        <f ca="1">'(直掃)Change to adc mapping '!AO107 &amp; ","</f>
        <v>99,</v>
      </c>
      <c r="AP43" t="str">
        <f ca="1">'(直掃)Change to adc mapping '!AP107 &amp; ","</f>
        <v>100,</v>
      </c>
      <c r="AQ43" t="str">
        <f ca="1">'(直掃)Change to adc mapping '!AQ107 &amp; ","</f>
        <v>101,</v>
      </c>
      <c r="AR43" t="str">
        <f ca="1">'(直掃)Change to adc mapping '!AR107 &amp; ","</f>
        <v>102,</v>
      </c>
      <c r="AS43" t="str">
        <f ca="1">'(直掃)Change to adc mapping '!AS107 &amp; ","</f>
        <v>103,</v>
      </c>
      <c r="AT43" t="str">
        <f ca="1">'(直掃)Change to adc mapping '!AT107 &amp; ","</f>
        <v>104,</v>
      </c>
      <c r="AU43" t="str">
        <f ca="1">'(直掃)Change to adc mapping '!AU107 &amp; ","</f>
        <v>105,</v>
      </c>
      <c r="AV43" t="str">
        <f ca="1">'(直掃)Change to adc mapping '!AV107 &amp; ","</f>
        <v>106,</v>
      </c>
      <c r="AW43" t="str">
        <f ca="1">'(直掃)Change to adc mapping '!AW107 &amp; ","</f>
        <v>107,</v>
      </c>
      <c r="AX43" t="str">
        <f ca="1">'(直掃)Change to adc mapping '!AX107 &amp; ","</f>
        <v>108,</v>
      </c>
      <c r="AY43" t="str">
        <f ca="1">'(直掃)Change to adc mapping '!AY107 &amp; ","</f>
        <v>109,</v>
      </c>
      <c r="AZ43" t="str">
        <f ca="1">'(直掃)Change to adc mapping '!AZ107 &amp; ","</f>
        <v>110,</v>
      </c>
      <c r="BA43" t="str">
        <f ca="1">'(直掃)Change to adc mapping '!BA107 &amp; ","</f>
        <v>111,</v>
      </c>
      <c r="BB43" t="str">
        <f ca="1">'(直掃)Change to adc mapping '!BB107 &amp; ","</f>
        <v>112,</v>
      </c>
      <c r="BC43" t="str">
        <f ca="1">'(直掃)Change to adc mapping '!BC107 &amp; ","</f>
        <v>113,</v>
      </c>
      <c r="BD43" t="str">
        <f ca="1">'(直掃)Change to adc mapping '!BD107 &amp; ","</f>
        <v>114,</v>
      </c>
      <c r="BE43" t="str">
        <f ca="1">'(直掃)Change to adc mapping '!BE107 &amp; ","</f>
        <v>115,</v>
      </c>
      <c r="BF43" t="str">
        <f ca="1">'(直掃)Change to adc mapping '!BF107 &amp; ","</f>
        <v>116,</v>
      </c>
      <c r="BG43" t="str">
        <f ca="1">'(直掃)Change to adc mapping '!BG107 &amp; ","</f>
        <v>117,</v>
      </c>
      <c r="BH43" t="str">
        <f ca="1">'(直掃)Change to adc mapping '!BH107 &amp; ","</f>
        <v>118,</v>
      </c>
      <c r="BI43" t="str">
        <f ca="1">'(直掃)Change to adc mapping '!BI107 &amp; ","</f>
        <v>119,</v>
      </c>
    </row>
    <row r="44" spans="1:61" x14ac:dyDescent="0.25">
      <c r="A44" s="20">
        <v>43</v>
      </c>
      <c r="B44" t="str">
        <f ca="1">'(直掃)Change to adc mapping '!B108 &amp; ","</f>
        <v>9999,</v>
      </c>
      <c r="C44" t="str">
        <f ca="1">'(直掃)Change to adc mapping '!C108 &amp; ","</f>
        <v>9999,</v>
      </c>
      <c r="D44" t="str">
        <f ca="1">'(直掃)Change to adc mapping '!D108 &amp; ","</f>
        <v>9999,</v>
      </c>
      <c r="E44" t="str">
        <f ca="1">'(直掃)Change to adc mapping '!E108 &amp; ","</f>
        <v>9999,</v>
      </c>
      <c r="F44" t="str">
        <f ca="1">'(直掃)Change to adc mapping '!F108 &amp; ","</f>
        <v>9999,</v>
      </c>
      <c r="G44" t="str">
        <f ca="1">'(直掃)Change to adc mapping '!G108 &amp; ","</f>
        <v>9999,</v>
      </c>
      <c r="H44" t="str">
        <f ca="1">'(直掃)Change to adc mapping '!H108 &amp; ","</f>
        <v>9999,</v>
      </c>
      <c r="I44" t="str">
        <f ca="1">'(直掃)Change to adc mapping '!I108 &amp; ","</f>
        <v>9999,</v>
      </c>
      <c r="J44" t="str">
        <f ca="1">'(直掃)Change to adc mapping '!J108 &amp; ","</f>
        <v>9999,</v>
      </c>
      <c r="K44" t="str">
        <f ca="1">'(直掃)Change to adc mapping '!K108 &amp; ","</f>
        <v>9999,</v>
      </c>
      <c r="L44" t="str">
        <f ca="1">'(直掃)Change to adc mapping '!L108 &amp; ","</f>
        <v>9999,</v>
      </c>
      <c r="M44" t="str">
        <f ca="1">'(直掃)Change to adc mapping '!M108 &amp; ","</f>
        <v>9999,</v>
      </c>
      <c r="N44" t="str">
        <f ca="1">'(直掃)Change to adc mapping '!N108 &amp; ","</f>
        <v>9999,</v>
      </c>
      <c r="O44" t="str">
        <f ca="1">'(直掃)Change to adc mapping '!O108 &amp; ","</f>
        <v>9999,</v>
      </c>
      <c r="P44" t="str">
        <f ca="1">'(直掃)Change to adc mapping '!P108 &amp; ","</f>
        <v>9999,</v>
      </c>
      <c r="Q44" t="str">
        <f ca="1">'(直掃)Change to adc mapping '!Q108 &amp; ","</f>
        <v>9999,</v>
      </c>
      <c r="R44" t="str">
        <f ca="1">'(直掃)Change to adc mapping '!R108 &amp; ","</f>
        <v>9999,</v>
      </c>
      <c r="S44" t="str">
        <f ca="1">'(直掃)Change to adc mapping '!S108 &amp; ","</f>
        <v>9999,</v>
      </c>
      <c r="T44" t="str">
        <f ca="1">'(直掃)Change to adc mapping '!T108 &amp; ","</f>
        <v>9999,</v>
      </c>
      <c r="U44" t="str">
        <f ca="1">'(直掃)Change to adc mapping '!U108 &amp; ","</f>
        <v>9999,</v>
      </c>
      <c r="V44" t="str">
        <f ca="1">'(直掃)Change to adc mapping '!V108 &amp; ","</f>
        <v>9999,</v>
      </c>
      <c r="W44" t="str">
        <f ca="1">'(直掃)Change to adc mapping '!W108 &amp; ","</f>
        <v>9999,</v>
      </c>
      <c r="X44" t="str">
        <f ca="1">'(直掃)Change to adc mapping '!X108 &amp; ","</f>
        <v>9999,</v>
      </c>
      <c r="Y44" t="str">
        <f ca="1">'(直掃)Change to adc mapping '!Y108 &amp; ","</f>
        <v>-1,</v>
      </c>
      <c r="Z44" t="str">
        <f ca="1">'(直掃)Change to adc mapping '!Z108 &amp; ","</f>
        <v>-1,</v>
      </c>
      <c r="AA44" t="str">
        <f ca="1">'(直掃)Change to adc mapping '!AA108 &amp; ","</f>
        <v>-1,</v>
      </c>
      <c r="AB44" t="str">
        <f ca="1">'(直掃)Change to adc mapping '!AB108 &amp; ","</f>
        <v>-1,</v>
      </c>
      <c r="AC44" t="str">
        <f ca="1">'(直掃)Change to adc mapping '!AC108 &amp; ","</f>
        <v>-1,</v>
      </c>
      <c r="AD44" t="str">
        <f ca="1">'(直掃)Change to adc mapping '!AD108 &amp; ","</f>
        <v>-1,</v>
      </c>
      <c r="AE44" t="str">
        <f ca="1">'(直掃)Change to adc mapping '!AE108 &amp; ","</f>
        <v>-1,</v>
      </c>
      <c r="AF44" t="str">
        <f ca="1">'(直掃)Change to adc mapping '!AF108 &amp; ","</f>
        <v>0,</v>
      </c>
      <c r="AG44" t="str">
        <f ca="1">'(直掃)Change to adc mapping '!AG108 &amp; ","</f>
        <v>1,</v>
      </c>
      <c r="AH44" t="str">
        <f ca="1">'(直掃)Change to adc mapping '!AH108 &amp; ","</f>
        <v>2,</v>
      </c>
      <c r="AI44" t="str">
        <f ca="1">'(直掃)Change to adc mapping '!AI108 &amp; ","</f>
        <v>3,</v>
      </c>
      <c r="AJ44" t="str">
        <f ca="1">'(直掃)Change to adc mapping '!AJ108 &amp; ","</f>
        <v>4,</v>
      </c>
      <c r="AK44" t="str">
        <f ca="1">'(直掃)Change to adc mapping '!AK108 &amp; ","</f>
        <v>5,</v>
      </c>
      <c r="AL44" t="str">
        <f ca="1">'(直掃)Change to adc mapping '!AL108 &amp; ","</f>
        <v>6,</v>
      </c>
      <c r="AM44" t="str">
        <f ca="1">'(直掃)Change to adc mapping '!AM108 &amp; ","</f>
        <v>7,</v>
      </c>
      <c r="AN44" t="str">
        <f ca="1">'(直掃)Change to adc mapping '!AN108 &amp; ","</f>
        <v>8,</v>
      </c>
      <c r="AO44" t="str">
        <f ca="1">'(直掃)Change to adc mapping '!AO108 &amp; ","</f>
        <v>9,</v>
      </c>
      <c r="AP44" t="str">
        <f ca="1">'(直掃)Change to adc mapping '!AP108 &amp; ","</f>
        <v>10,</v>
      </c>
      <c r="AQ44" t="str">
        <f ca="1">'(直掃)Change to adc mapping '!AQ108 &amp; ","</f>
        <v>11,</v>
      </c>
      <c r="AR44" t="str">
        <f ca="1">'(直掃)Change to adc mapping '!AR108 &amp; ","</f>
        <v>12,</v>
      </c>
      <c r="AS44" t="str">
        <f ca="1">'(直掃)Change to adc mapping '!AS108 &amp; ","</f>
        <v>13,</v>
      </c>
      <c r="AT44" t="str">
        <f ca="1">'(直掃)Change to adc mapping '!AT108 &amp; ","</f>
        <v>14,</v>
      </c>
      <c r="AU44" t="str">
        <f ca="1">'(直掃)Change to adc mapping '!AU108 &amp; ","</f>
        <v>15,</v>
      </c>
      <c r="AV44" t="str">
        <f ca="1">'(直掃)Change to adc mapping '!AV108 &amp; ","</f>
        <v>16,</v>
      </c>
      <c r="AW44" t="str">
        <f ca="1">'(直掃)Change to adc mapping '!AW108 &amp; ","</f>
        <v>17,</v>
      </c>
      <c r="AX44" t="str">
        <f ca="1">'(直掃)Change to adc mapping '!AX108 &amp; ","</f>
        <v>18,</v>
      </c>
      <c r="AY44" t="str">
        <f ca="1">'(直掃)Change to adc mapping '!AY108 &amp; ","</f>
        <v>19,</v>
      </c>
      <c r="AZ44" t="str">
        <f ca="1">'(直掃)Change to adc mapping '!AZ108 &amp; ","</f>
        <v>20,</v>
      </c>
      <c r="BA44" t="str">
        <f ca="1">'(直掃)Change to adc mapping '!BA108 &amp; ","</f>
        <v>21,</v>
      </c>
      <c r="BB44" t="str">
        <f ca="1">'(直掃)Change to adc mapping '!BB108 &amp; ","</f>
        <v>22,</v>
      </c>
      <c r="BC44" t="str">
        <f ca="1">'(直掃)Change to adc mapping '!BC108 &amp; ","</f>
        <v>23,</v>
      </c>
      <c r="BD44" t="str">
        <f ca="1">'(直掃)Change to adc mapping '!BD108 &amp; ","</f>
        <v>24,</v>
      </c>
      <c r="BE44" t="str">
        <f ca="1">'(直掃)Change to adc mapping '!BE108 &amp; ","</f>
        <v>25,</v>
      </c>
      <c r="BF44" t="str">
        <f ca="1">'(直掃)Change to adc mapping '!BF108 &amp; ","</f>
        <v>26,</v>
      </c>
      <c r="BG44" t="str">
        <f ca="1">'(直掃)Change to adc mapping '!BG108 &amp; ","</f>
        <v>27,</v>
      </c>
      <c r="BH44" t="str">
        <f ca="1">'(直掃)Change to adc mapping '!BH108 &amp; ","</f>
        <v>28,</v>
      </c>
      <c r="BI44" t="str">
        <f ca="1">'(直掃)Change to adc mapping '!BI108 &amp; ","</f>
        <v>29,</v>
      </c>
    </row>
    <row r="45" spans="1:61" x14ac:dyDescent="0.25">
      <c r="A45" s="20">
        <v>44</v>
      </c>
      <c r="B45" t="str">
        <f ca="1">'(直掃)Change to adc mapping '!B109 &amp; ","</f>
        <v>9999,</v>
      </c>
      <c r="C45" t="str">
        <f ca="1">'(直掃)Change to adc mapping '!C109 &amp; ","</f>
        <v>9999,</v>
      </c>
      <c r="D45" t="str">
        <f ca="1">'(直掃)Change to adc mapping '!D109 &amp; ","</f>
        <v>9999,</v>
      </c>
      <c r="E45" t="str">
        <f ca="1">'(直掃)Change to adc mapping '!E109 &amp; ","</f>
        <v>9999,</v>
      </c>
      <c r="F45" t="str">
        <f ca="1">'(直掃)Change to adc mapping '!F109 &amp; ","</f>
        <v>9999,</v>
      </c>
      <c r="G45" t="str">
        <f ca="1">'(直掃)Change to adc mapping '!G109 &amp; ","</f>
        <v>9999,</v>
      </c>
      <c r="H45" t="str">
        <f ca="1">'(直掃)Change to adc mapping '!H109 &amp; ","</f>
        <v>9999,</v>
      </c>
      <c r="I45" t="str">
        <f ca="1">'(直掃)Change to adc mapping '!I109 &amp; ","</f>
        <v>9999,</v>
      </c>
      <c r="J45" t="str">
        <f ca="1">'(直掃)Change to adc mapping '!J109 &amp; ","</f>
        <v>9999,</v>
      </c>
      <c r="K45" t="str">
        <f ca="1">'(直掃)Change to adc mapping '!K109 &amp; ","</f>
        <v>9999,</v>
      </c>
      <c r="L45" t="str">
        <f ca="1">'(直掃)Change to adc mapping '!L109 &amp; ","</f>
        <v>9999,</v>
      </c>
      <c r="M45" t="str">
        <f ca="1">'(直掃)Change to adc mapping '!M109 &amp; ","</f>
        <v>9999,</v>
      </c>
      <c r="N45" t="str">
        <f ca="1">'(直掃)Change to adc mapping '!N109 &amp; ","</f>
        <v>9999,</v>
      </c>
      <c r="O45" t="str">
        <f ca="1">'(直掃)Change to adc mapping '!O109 &amp; ","</f>
        <v>9999,</v>
      </c>
      <c r="P45" t="str">
        <f ca="1">'(直掃)Change to adc mapping '!P109 &amp; ","</f>
        <v>9999,</v>
      </c>
      <c r="Q45" t="str">
        <f ca="1">'(直掃)Change to adc mapping '!Q109 &amp; ","</f>
        <v>9999,</v>
      </c>
      <c r="R45" t="str">
        <f ca="1">'(直掃)Change to adc mapping '!R109 &amp; ","</f>
        <v>9999,</v>
      </c>
      <c r="S45" t="str">
        <f ca="1">'(直掃)Change to adc mapping '!S109 &amp; ","</f>
        <v>9999,</v>
      </c>
      <c r="T45" t="str">
        <f ca="1">'(直掃)Change to adc mapping '!T109 &amp; ","</f>
        <v>9999,</v>
      </c>
      <c r="U45" t="str">
        <f ca="1">'(直掃)Change to adc mapping '!U109 &amp; ","</f>
        <v>9999,</v>
      </c>
      <c r="V45" t="str">
        <f ca="1">'(直掃)Change to adc mapping '!V109 &amp; ","</f>
        <v>9999,</v>
      </c>
      <c r="W45" t="str">
        <f ca="1">'(直掃)Change to adc mapping '!W109 &amp; ","</f>
        <v>9999,</v>
      </c>
      <c r="X45" t="str">
        <f ca="1">'(直掃)Change to adc mapping '!X109 &amp; ","</f>
        <v>9999,</v>
      </c>
      <c r="Y45" t="str">
        <f ca="1">'(直掃)Change to adc mapping '!Y109 &amp; ","</f>
        <v>-1,</v>
      </c>
      <c r="Z45" t="str">
        <f ca="1">'(直掃)Change to adc mapping '!Z109 &amp; ","</f>
        <v>-1,</v>
      </c>
      <c r="AA45" t="str">
        <f ca="1">'(直掃)Change to adc mapping '!AA109 &amp; ","</f>
        <v>-1,</v>
      </c>
      <c r="AB45" t="str">
        <f ca="1">'(直掃)Change to adc mapping '!AB109 &amp; ","</f>
        <v>-1,</v>
      </c>
      <c r="AC45" t="str">
        <f ca="1">'(直掃)Change to adc mapping '!AC109 &amp; ","</f>
        <v>-1,</v>
      </c>
      <c r="AD45" t="str">
        <f ca="1">'(直掃)Change to adc mapping '!AD109 &amp; ","</f>
        <v>-1,</v>
      </c>
      <c r="AE45" t="str">
        <f ca="1">'(直掃)Change to adc mapping '!AE109 &amp; ","</f>
        <v>-1,</v>
      </c>
      <c r="AF45" t="str">
        <f ca="1">'(直掃)Change to adc mapping '!AF109 &amp; ","</f>
        <v>30,</v>
      </c>
      <c r="AG45" t="str">
        <f ca="1">'(直掃)Change to adc mapping '!AG109 &amp; ","</f>
        <v>31,</v>
      </c>
      <c r="AH45" t="str">
        <f ca="1">'(直掃)Change to adc mapping '!AH109 &amp; ","</f>
        <v>32,</v>
      </c>
      <c r="AI45" t="str">
        <f ca="1">'(直掃)Change to adc mapping '!AI109 &amp; ","</f>
        <v>33,</v>
      </c>
      <c r="AJ45" t="str">
        <f ca="1">'(直掃)Change to adc mapping '!AJ109 &amp; ","</f>
        <v>34,</v>
      </c>
      <c r="AK45" t="str">
        <f ca="1">'(直掃)Change to adc mapping '!AK109 &amp; ","</f>
        <v>35,</v>
      </c>
      <c r="AL45" t="str">
        <f ca="1">'(直掃)Change to adc mapping '!AL109 &amp; ","</f>
        <v>36,</v>
      </c>
      <c r="AM45" t="str">
        <f ca="1">'(直掃)Change to adc mapping '!AM109 &amp; ","</f>
        <v>37,</v>
      </c>
      <c r="AN45" t="str">
        <f ca="1">'(直掃)Change to adc mapping '!AN109 &amp; ","</f>
        <v>38,</v>
      </c>
      <c r="AO45" t="str">
        <f ca="1">'(直掃)Change to adc mapping '!AO109 &amp; ","</f>
        <v>39,</v>
      </c>
      <c r="AP45" t="str">
        <f ca="1">'(直掃)Change to adc mapping '!AP109 &amp; ","</f>
        <v>40,</v>
      </c>
      <c r="AQ45" t="str">
        <f ca="1">'(直掃)Change to adc mapping '!AQ109 &amp; ","</f>
        <v>41,</v>
      </c>
      <c r="AR45" t="str">
        <f ca="1">'(直掃)Change to adc mapping '!AR109 &amp; ","</f>
        <v>42,</v>
      </c>
      <c r="AS45" t="str">
        <f ca="1">'(直掃)Change to adc mapping '!AS109 &amp; ","</f>
        <v>43,</v>
      </c>
      <c r="AT45" t="str">
        <f ca="1">'(直掃)Change to adc mapping '!AT109 &amp; ","</f>
        <v>44,</v>
      </c>
      <c r="AU45" t="str">
        <f ca="1">'(直掃)Change to adc mapping '!AU109 &amp; ","</f>
        <v>45,</v>
      </c>
      <c r="AV45" t="str">
        <f ca="1">'(直掃)Change to adc mapping '!AV109 &amp; ","</f>
        <v>46,</v>
      </c>
      <c r="AW45" t="str">
        <f ca="1">'(直掃)Change to adc mapping '!AW109 &amp; ","</f>
        <v>47,</v>
      </c>
      <c r="AX45" t="str">
        <f ca="1">'(直掃)Change to adc mapping '!AX109 &amp; ","</f>
        <v>48,</v>
      </c>
      <c r="AY45" t="str">
        <f ca="1">'(直掃)Change to adc mapping '!AY109 &amp; ","</f>
        <v>49,</v>
      </c>
      <c r="AZ45" t="str">
        <f ca="1">'(直掃)Change to adc mapping '!AZ109 &amp; ","</f>
        <v>50,</v>
      </c>
      <c r="BA45" t="str">
        <f ca="1">'(直掃)Change to adc mapping '!BA109 &amp; ","</f>
        <v>51,</v>
      </c>
      <c r="BB45" t="str">
        <f ca="1">'(直掃)Change to adc mapping '!BB109 &amp; ","</f>
        <v>52,</v>
      </c>
      <c r="BC45" t="str">
        <f ca="1">'(直掃)Change to adc mapping '!BC109 &amp; ","</f>
        <v>53,</v>
      </c>
      <c r="BD45" t="str">
        <f ca="1">'(直掃)Change to adc mapping '!BD109 &amp; ","</f>
        <v>54,</v>
      </c>
      <c r="BE45" t="str">
        <f ca="1">'(直掃)Change to adc mapping '!BE109 &amp; ","</f>
        <v>55,</v>
      </c>
      <c r="BF45" t="str">
        <f ca="1">'(直掃)Change to adc mapping '!BF109 &amp; ","</f>
        <v>56,</v>
      </c>
      <c r="BG45" t="str">
        <f ca="1">'(直掃)Change to adc mapping '!BG109 &amp; ","</f>
        <v>57,</v>
      </c>
      <c r="BH45" t="str">
        <f ca="1">'(直掃)Change to adc mapping '!BH109 &amp; ","</f>
        <v>58,</v>
      </c>
      <c r="BI45" t="str">
        <f ca="1">'(直掃)Change to adc mapping '!BI109 &amp; ","</f>
        <v>59,</v>
      </c>
    </row>
    <row r="46" spans="1:61" x14ac:dyDescent="0.25">
      <c r="A46" s="20">
        <v>45</v>
      </c>
      <c r="B46" t="str">
        <f ca="1">'(直掃)Change to adc mapping '!B110 &amp; ","</f>
        <v>9999,</v>
      </c>
      <c r="C46" t="str">
        <f ca="1">'(直掃)Change to adc mapping '!C110 &amp; ","</f>
        <v>9999,</v>
      </c>
      <c r="D46" t="str">
        <f ca="1">'(直掃)Change to adc mapping '!D110 &amp; ","</f>
        <v>9999,</v>
      </c>
      <c r="E46" t="str">
        <f ca="1">'(直掃)Change to adc mapping '!E110 &amp; ","</f>
        <v>9999,</v>
      </c>
      <c r="F46" t="str">
        <f ca="1">'(直掃)Change to adc mapping '!F110 &amp; ","</f>
        <v>9999,</v>
      </c>
      <c r="G46" t="str">
        <f ca="1">'(直掃)Change to adc mapping '!G110 &amp; ","</f>
        <v>9999,</v>
      </c>
      <c r="H46" t="str">
        <f ca="1">'(直掃)Change to adc mapping '!H110 &amp; ","</f>
        <v>9999,</v>
      </c>
      <c r="I46" t="str">
        <f ca="1">'(直掃)Change to adc mapping '!I110 &amp; ","</f>
        <v>9999,</v>
      </c>
      <c r="J46" t="str">
        <f ca="1">'(直掃)Change to adc mapping '!J110 &amp; ","</f>
        <v>9999,</v>
      </c>
      <c r="K46" t="str">
        <f ca="1">'(直掃)Change to adc mapping '!K110 &amp; ","</f>
        <v>9999,</v>
      </c>
      <c r="L46" t="str">
        <f ca="1">'(直掃)Change to adc mapping '!L110 &amp; ","</f>
        <v>9999,</v>
      </c>
      <c r="M46" t="str">
        <f ca="1">'(直掃)Change to adc mapping '!M110 &amp; ","</f>
        <v>9999,</v>
      </c>
      <c r="N46" t="str">
        <f ca="1">'(直掃)Change to adc mapping '!N110 &amp; ","</f>
        <v>9999,</v>
      </c>
      <c r="O46" t="str">
        <f ca="1">'(直掃)Change to adc mapping '!O110 &amp; ","</f>
        <v>9999,</v>
      </c>
      <c r="P46" t="str">
        <f ca="1">'(直掃)Change to adc mapping '!P110 &amp; ","</f>
        <v>9999,</v>
      </c>
      <c r="Q46" t="str">
        <f ca="1">'(直掃)Change to adc mapping '!Q110 &amp; ","</f>
        <v>9999,</v>
      </c>
      <c r="R46" t="str">
        <f ca="1">'(直掃)Change to adc mapping '!R110 &amp; ","</f>
        <v>9999,</v>
      </c>
      <c r="S46" t="str">
        <f ca="1">'(直掃)Change to adc mapping '!S110 &amp; ","</f>
        <v>9999,</v>
      </c>
      <c r="T46" t="str">
        <f ca="1">'(直掃)Change to adc mapping '!T110 &amp; ","</f>
        <v>9999,</v>
      </c>
      <c r="U46" t="str">
        <f ca="1">'(直掃)Change to adc mapping '!U110 &amp; ","</f>
        <v>9999,</v>
      </c>
      <c r="V46" t="str">
        <f ca="1">'(直掃)Change to adc mapping '!V110 &amp; ","</f>
        <v>9999,</v>
      </c>
      <c r="W46" t="str">
        <f ca="1">'(直掃)Change to adc mapping '!W110 &amp; ","</f>
        <v>9999,</v>
      </c>
      <c r="X46" t="str">
        <f ca="1">'(直掃)Change to adc mapping '!X110 &amp; ","</f>
        <v>9999,</v>
      </c>
      <c r="Y46" t="str">
        <f ca="1">'(直掃)Change to adc mapping '!Y110 &amp; ","</f>
        <v>-1,</v>
      </c>
      <c r="Z46" t="str">
        <f ca="1">'(直掃)Change to adc mapping '!Z110 &amp; ","</f>
        <v>-1,</v>
      </c>
      <c r="AA46" t="str">
        <f ca="1">'(直掃)Change to adc mapping '!AA110 &amp; ","</f>
        <v>-1,</v>
      </c>
      <c r="AB46" t="str">
        <f ca="1">'(直掃)Change to adc mapping '!AB110 &amp; ","</f>
        <v>-1,</v>
      </c>
      <c r="AC46" t="str">
        <f ca="1">'(直掃)Change to adc mapping '!AC110 &amp; ","</f>
        <v>-1,</v>
      </c>
      <c r="AD46" t="str">
        <f ca="1">'(直掃)Change to adc mapping '!AD110 &amp; ","</f>
        <v>-1,</v>
      </c>
      <c r="AE46" t="str">
        <f ca="1">'(直掃)Change to adc mapping '!AE110 &amp; ","</f>
        <v>-1,</v>
      </c>
      <c r="AF46" t="str">
        <f ca="1">'(直掃)Change to adc mapping '!AF110 &amp; ","</f>
        <v>60,</v>
      </c>
      <c r="AG46" t="str">
        <f ca="1">'(直掃)Change to adc mapping '!AG110 &amp; ","</f>
        <v>61,</v>
      </c>
      <c r="AH46" t="str">
        <f ca="1">'(直掃)Change to adc mapping '!AH110 &amp; ","</f>
        <v>62,</v>
      </c>
      <c r="AI46" t="str">
        <f ca="1">'(直掃)Change to adc mapping '!AI110 &amp; ","</f>
        <v>63,</v>
      </c>
      <c r="AJ46" t="str">
        <f ca="1">'(直掃)Change to adc mapping '!AJ110 &amp; ","</f>
        <v>64,</v>
      </c>
      <c r="AK46" t="str">
        <f ca="1">'(直掃)Change to adc mapping '!AK110 &amp; ","</f>
        <v>65,</v>
      </c>
      <c r="AL46" t="str">
        <f ca="1">'(直掃)Change to adc mapping '!AL110 &amp; ","</f>
        <v>66,</v>
      </c>
      <c r="AM46" t="str">
        <f ca="1">'(直掃)Change to adc mapping '!AM110 &amp; ","</f>
        <v>67,</v>
      </c>
      <c r="AN46" t="str">
        <f ca="1">'(直掃)Change to adc mapping '!AN110 &amp; ","</f>
        <v>68,</v>
      </c>
      <c r="AO46" t="str">
        <f ca="1">'(直掃)Change to adc mapping '!AO110 &amp; ","</f>
        <v>69,</v>
      </c>
      <c r="AP46" t="str">
        <f ca="1">'(直掃)Change to adc mapping '!AP110 &amp; ","</f>
        <v>70,</v>
      </c>
      <c r="AQ46" t="str">
        <f ca="1">'(直掃)Change to adc mapping '!AQ110 &amp; ","</f>
        <v>71,</v>
      </c>
      <c r="AR46" t="str">
        <f ca="1">'(直掃)Change to adc mapping '!AR110 &amp; ","</f>
        <v>72,</v>
      </c>
      <c r="AS46" t="str">
        <f ca="1">'(直掃)Change to adc mapping '!AS110 &amp; ","</f>
        <v>73,</v>
      </c>
      <c r="AT46" t="str">
        <f ca="1">'(直掃)Change to adc mapping '!AT110 &amp; ","</f>
        <v>74,</v>
      </c>
      <c r="AU46" t="str">
        <f ca="1">'(直掃)Change to adc mapping '!AU110 &amp; ","</f>
        <v>75,</v>
      </c>
      <c r="AV46" t="str">
        <f ca="1">'(直掃)Change to adc mapping '!AV110 &amp; ","</f>
        <v>76,</v>
      </c>
      <c r="AW46" t="str">
        <f ca="1">'(直掃)Change to adc mapping '!AW110 &amp; ","</f>
        <v>77,</v>
      </c>
      <c r="AX46" t="str">
        <f ca="1">'(直掃)Change to adc mapping '!AX110 &amp; ","</f>
        <v>78,</v>
      </c>
      <c r="AY46" t="str">
        <f ca="1">'(直掃)Change to adc mapping '!AY110 &amp; ","</f>
        <v>79,</v>
      </c>
      <c r="AZ46" t="str">
        <f ca="1">'(直掃)Change to adc mapping '!AZ110 &amp; ","</f>
        <v>80,</v>
      </c>
      <c r="BA46" t="str">
        <f ca="1">'(直掃)Change to adc mapping '!BA110 &amp; ","</f>
        <v>81,</v>
      </c>
      <c r="BB46" t="str">
        <f ca="1">'(直掃)Change to adc mapping '!BB110 &amp; ","</f>
        <v>82,</v>
      </c>
      <c r="BC46" t="str">
        <f ca="1">'(直掃)Change to adc mapping '!BC110 &amp; ","</f>
        <v>83,</v>
      </c>
      <c r="BD46" t="str">
        <f ca="1">'(直掃)Change to adc mapping '!BD110 &amp; ","</f>
        <v>84,</v>
      </c>
      <c r="BE46" t="str">
        <f ca="1">'(直掃)Change to adc mapping '!BE110 &amp; ","</f>
        <v>85,</v>
      </c>
      <c r="BF46" t="str">
        <f ca="1">'(直掃)Change to adc mapping '!BF110 &amp; ","</f>
        <v>86,</v>
      </c>
      <c r="BG46" t="str">
        <f ca="1">'(直掃)Change to adc mapping '!BG110 &amp; ","</f>
        <v>87,</v>
      </c>
      <c r="BH46" t="str">
        <f ca="1">'(直掃)Change to adc mapping '!BH110 &amp; ","</f>
        <v>88,</v>
      </c>
      <c r="BI46" t="str">
        <f ca="1">'(直掃)Change to adc mapping '!BI110 &amp; ","</f>
        <v>89,</v>
      </c>
    </row>
    <row r="47" spans="1:61" x14ac:dyDescent="0.25">
      <c r="A47" s="20">
        <v>46</v>
      </c>
      <c r="B47" t="str">
        <f ca="1">'(直掃)Change to adc mapping '!B111 &amp; ","</f>
        <v>9999,</v>
      </c>
      <c r="C47" t="str">
        <f ca="1">'(直掃)Change to adc mapping '!C111 &amp; ","</f>
        <v>9999,</v>
      </c>
      <c r="D47" t="str">
        <f ca="1">'(直掃)Change to adc mapping '!D111 &amp; ","</f>
        <v>9999,</v>
      </c>
      <c r="E47" t="str">
        <f ca="1">'(直掃)Change to adc mapping '!E111 &amp; ","</f>
        <v>9999,</v>
      </c>
      <c r="F47" t="str">
        <f ca="1">'(直掃)Change to adc mapping '!F111 &amp; ","</f>
        <v>9999,</v>
      </c>
      <c r="G47" t="str">
        <f ca="1">'(直掃)Change to adc mapping '!G111 &amp; ","</f>
        <v>9999,</v>
      </c>
      <c r="H47" t="str">
        <f ca="1">'(直掃)Change to adc mapping '!H111 &amp; ","</f>
        <v>9999,</v>
      </c>
      <c r="I47" t="str">
        <f ca="1">'(直掃)Change to adc mapping '!I111 &amp; ","</f>
        <v>9999,</v>
      </c>
      <c r="J47" t="str">
        <f ca="1">'(直掃)Change to adc mapping '!J111 &amp; ","</f>
        <v>9999,</v>
      </c>
      <c r="K47" t="str">
        <f ca="1">'(直掃)Change to adc mapping '!K111 &amp; ","</f>
        <v>9999,</v>
      </c>
      <c r="L47" t="str">
        <f ca="1">'(直掃)Change to adc mapping '!L111 &amp; ","</f>
        <v>9999,</v>
      </c>
      <c r="M47" t="str">
        <f ca="1">'(直掃)Change to adc mapping '!M111 &amp; ","</f>
        <v>9999,</v>
      </c>
      <c r="N47" t="str">
        <f ca="1">'(直掃)Change to adc mapping '!N111 &amp; ","</f>
        <v>9999,</v>
      </c>
      <c r="O47" t="str">
        <f ca="1">'(直掃)Change to adc mapping '!O111 &amp; ","</f>
        <v>9999,</v>
      </c>
      <c r="P47" t="str">
        <f ca="1">'(直掃)Change to adc mapping '!P111 &amp; ","</f>
        <v>9999,</v>
      </c>
      <c r="Q47" t="str">
        <f ca="1">'(直掃)Change to adc mapping '!Q111 &amp; ","</f>
        <v>9999,</v>
      </c>
      <c r="R47" t="str">
        <f ca="1">'(直掃)Change to adc mapping '!R111 &amp; ","</f>
        <v>9999,</v>
      </c>
      <c r="S47" t="str">
        <f ca="1">'(直掃)Change to adc mapping '!S111 &amp; ","</f>
        <v>9999,</v>
      </c>
      <c r="T47" t="str">
        <f ca="1">'(直掃)Change to adc mapping '!T111 &amp; ","</f>
        <v>9999,</v>
      </c>
      <c r="U47" t="str">
        <f ca="1">'(直掃)Change to adc mapping '!U111 &amp; ","</f>
        <v>9999,</v>
      </c>
      <c r="V47" t="str">
        <f ca="1">'(直掃)Change to adc mapping '!V111 &amp; ","</f>
        <v>9999,</v>
      </c>
      <c r="W47" t="str">
        <f ca="1">'(直掃)Change to adc mapping '!W111 &amp; ","</f>
        <v>9999,</v>
      </c>
      <c r="X47" t="str">
        <f ca="1">'(直掃)Change to adc mapping '!X111 &amp; ","</f>
        <v>9999,</v>
      </c>
      <c r="Y47" t="str">
        <f ca="1">'(直掃)Change to adc mapping '!Y111 &amp; ","</f>
        <v>-1,</v>
      </c>
      <c r="Z47" t="str">
        <f ca="1">'(直掃)Change to adc mapping '!Z111 &amp; ","</f>
        <v>-1,</v>
      </c>
      <c r="AA47" t="str">
        <f ca="1">'(直掃)Change to adc mapping '!AA111 &amp; ","</f>
        <v>-1,</v>
      </c>
      <c r="AB47" t="str">
        <f ca="1">'(直掃)Change to adc mapping '!AB111 &amp; ","</f>
        <v>-1,</v>
      </c>
      <c r="AC47" t="str">
        <f ca="1">'(直掃)Change to adc mapping '!AC111 &amp; ","</f>
        <v>-1,</v>
      </c>
      <c r="AD47" t="str">
        <f ca="1">'(直掃)Change to adc mapping '!AD111 &amp; ","</f>
        <v>-1,</v>
      </c>
      <c r="AE47" t="str">
        <f ca="1">'(直掃)Change to adc mapping '!AE111 &amp; ","</f>
        <v>-1,</v>
      </c>
      <c r="AF47" t="str">
        <f ca="1">'(直掃)Change to adc mapping '!AF111 &amp; ","</f>
        <v>90,</v>
      </c>
      <c r="AG47" t="str">
        <f ca="1">'(直掃)Change to adc mapping '!AG111 &amp; ","</f>
        <v>91,</v>
      </c>
      <c r="AH47" t="str">
        <f ca="1">'(直掃)Change to adc mapping '!AH111 &amp; ","</f>
        <v>92,</v>
      </c>
      <c r="AI47" t="str">
        <f ca="1">'(直掃)Change to adc mapping '!AI111 &amp; ","</f>
        <v>93,</v>
      </c>
      <c r="AJ47" t="str">
        <f ca="1">'(直掃)Change to adc mapping '!AJ111 &amp; ","</f>
        <v>94,</v>
      </c>
      <c r="AK47" t="str">
        <f ca="1">'(直掃)Change to adc mapping '!AK111 &amp; ","</f>
        <v>95,</v>
      </c>
      <c r="AL47" t="str">
        <f ca="1">'(直掃)Change to adc mapping '!AL111 &amp; ","</f>
        <v>96,</v>
      </c>
      <c r="AM47" t="str">
        <f ca="1">'(直掃)Change to adc mapping '!AM111 &amp; ","</f>
        <v>97,</v>
      </c>
      <c r="AN47" t="str">
        <f ca="1">'(直掃)Change to adc mapping '!AN111 &amp; ","</f>
        <v>98,</v>
      </c>
      <c r="AO47" t="str">
        <f ca="1">'(直掃)Change to adc mapping '!AO111 &amp; ","</f>
        <v>99,</v>
      </c>
      <c r="AP47" t="str">
        <f ca="1">'(直掃)Change to adc mapping '!AP111 &amp; ","</f>
        <v>100,</v>
      </c>
      <c r="AQ47" t="str">
        <f ca="1">'(直掃)Change to adc mapping '!AQ111 &amp; ","</f>
        <v>101,</v>
      </c>
      <c r="AR47" t="str">
        <f ca="1">'(直掃)Change to adc mapping '!AR111 &amp; ","</f>
        <v>102,</v>
      </c>
      <c r="AS47" t="str">
        <f ca="1">'(直掃)Change to adc mapping '!AS111 &amp; ","</f>
        <v>103,</v>
      </c>
      <c r="AT47" t="str">
        <f ca="1">'(直掃)Change to adc mapping '!AT111 &amp; ","</f>
        <v>104,</v>
      </c>
      <c r="AU47" t="str">
        <f ca="1">'(直掃)Change to adc mapping '!AU111 &amp; ","</f>
        <v>105,</v>
      </c>
      <c r="AV47" t="str">
        <f ca="1">'(直掃)Change to adc mapping '!AV111 &amp; ","</f>
        <v>106,</v>
      </c>
      <c r="AW47" t="str">
        <f ca="1">'(直掃)Change to adc mapping '!AW111 &amp; ","</f>
        <v>107,</v>
      </c>
      <c r="AX47" t="str">
        <f ca="1">'(直掃)Change to adc mapping '!AX111 &amp; ","</f>
        <v>108,</v>
      </c>
      <c r="AY47" t="str">
        <f ca="1">'(直掃)Change to adc mapping '!AY111 &amp; ","</f>
        <v>109,</v>
      </c>
      <c r="AZ47" t="str">
        <f ca="1">'(直掃)Change to adc mapping '!AZ111 &amp; ","</f>
        <v>110,</v>
      </c>
      <c r="BA47" t="str">
        <f ca="1">'(直掃)Change to adc mapping '!BA111 &amp; ","</f>
        <v>111,</v>
      </c>
      <c r="BB47" t="str">
        <f ca="1">'(直掃)Change to adc mapping '!BB111 &amp; ","</f>
        <v>112,</v>
      </c>
      <c r="BC47" t="str">
        <f ca="1">'(直掃)Change to adc mapping '!BC111 &amp; ","</f>
        <v>113,</v>
      </c>
      <c r="BD47" t="str">
        <f ca="1">'(直掃)Change to adc mapping '!BD111 &amp; ","</f>
        <v>114,</v>
      </c>
      <c r="BE47" t="str">
        <f ca="1">'(直掃)Change to adc mapping '!BE111 &amp; ","</f>
        <v>115,</v>
      </c>
      <c r="BF47" t="str">
        <f ca="1">'(直掃)Change to adc mapping '!BF111 &amp; ","</f>
        <v>116,</v>
      </c>
      <c r="BG47" t="str">
        <f ca="1">'(直掃)Change to adc mapping '!BG111 &amp; ","</f>
        <v>117,</v>
      </c>
      <c r="BH47" t="str">
        <f ca="1">'(直掃)Change to adc mapping '!BH111 &amp; ","</f>
        <v>118,</v>
      </c>
      <c r="BI47" t="str">
        <f ca="1">'(直掃)Change to adc mapping '!BI111 &amp; ","</f>
        <v>119,</v>
      </c>
    </row>
    <row r="48" spans="1:61" x14ac:dyDescent="0.25">
      <c r="A48" s="20">
        <v>47</v>
      </c>
      <c r="B48" t="str">
        <f ca="1">'(直掃)Change to adc mapping '!B112 &amp; ","</f>
        <v>9999,</v>
      </c>
      <c r="C48" t="str">
        <f ca="1">'(直掃)Change to adc mapping '!C112 &amp; ","</f>
        <v>9999,</v>
      </c>
      <c r="D48" t="str">
        <f ca="1">'(直掃)Change to adc mapping '!D112 &amp; ","</f>
        <v>9999,</v>
      </c>
      <c r="E48" t="str">
        <f ca="1">'(直掃)Change to adc mapping '!E112 &amp; ","</f>
        <v>9999,</v>
      </c>
      <c r="F48" t="str">
        <f ca="1">'(直掃)Change to adc mapping '!F112 &amp; ","</f>
        <v>9999,</v>
      </c>
      <c r="G48" t="str">
        <f ca="1">'(直掃)Change to adc mapping '!G112 &amp; ","</f>
        <v>9999,</v>
      </c>
      <c r="H48" t="str">
        <f ca="1">'(直掃)Change to adc mapping '!H112 &amp; ","</f>
        <v>9999,</v>
      </c>
      <c r="I48" t="str">
        <f ca="1">'(直掃)Change to adc mapping '!I112 &amp; ","</f>
        <v>9999,</v>
      </c>
      <c r="J48" t="str">
        <f ca="1">'(直掃)Change to adc mapping '!J112 &amp; ","</f>
        <v>9999,</v>
      </c>
      <c r="K48" t="str">
        <f ca="1">'(直掃)Change to adc mapping '!K112 &amp; ","</f>
        <v>9999,</v>
      </c>
      <c r="L48" t="str">
        <f ca="1">'(直掃)Change to adc mapping '!L112 &amp; ","</f>
        <v>9999,</v>
      </c>
      <c r="M48" t="str">
        <f ca="1">'(直掃)Change to adc mapping '!M112 &amp; ","</f>
        <v>9999,</v>
      </c>
      <c r="N48" t="str">
        <f ca="1">'(直掃)Change to adc mapping '!N112 &amp; ","</f>
        <v>9999,</v>
      </c>
      <c r="O48" t="str">
        <f ca="1">'(直掃)Change to adc mapping '!O112 &amp; ","</f>
        <v>9999,</v>
      </c>
      <c r="P48" t="str">
        <f ca="1">'(直掃)Change to adc mapping '!P112 &amp; ","</f>
        <v>9999,</v>
      </c>
      <c r="Q48" t="str">
        <f ca="1">'(直掃)Change to adc mapping '!Q112 &amp; ","</f>
        <v>9999,</v>
      </c>
      <c r="R48" t="str">
        <f ca="1">'(直掃)Change to adc mapping '!R112 &amp; ","</f>
        <v>9999,</v>
      </c>
      <c r="S48" t="str">
        <f ca="1">'(直掃)Change to adc mapping '!S112 &amp; ","</f>
        <v>9999,</v>
      </c>
      <c r="T48" t="str">
        <f ca="1">'(直掃)Change to adc mapping '!T112 &amp; ","</f>
        <v>9999,</v>
      </c>
      <c r="U48" t="str">
        <f ca="1">'(直掃)Change to adc mapping '!U112 &amp; ","</f>
        <v>9999,</v>
      </c>
      <c r="V48" t="str">
        <f ca="1">'(直掃)Change to adc mapping '!V112 &amp; ","</f>
        <v>9999,</v>
      </c>
      <c r="W48" t="str">
        <f ca="1">'(直掃)Change to adc mapping '!W112 &amp; ","</f>
        <v>9999,</v>
      </c>
      <c r="X48" t="str">
        <f ca="1">'(直掃)Change to adc mapping '!X112 &amp; ","</f>
        <v>9999,</v>
      </c>
      <c r="Y48" t="str">
        <f ca="1">'(直掃)Change to adc mapping '!Y112 &amp; ","</f>
        <v>-1,</v>
      </c>
      <c r="Z48" t="str">
        <f ca="1">'(直掃)Change to adc mapping '!Z112 &amp; ","</f>
        <v>-1,</v>
      </c>
      <c r="AA48" t="str">
        <f ca="1">'(直掃)Change to adc mapping '!AA112 &amp; ","</f>
        <v>-1,</v>
      </c>
      <c r="AB48" t="str">
        <f ca="1">'(直掃)Change to adc mapping '!AB112 &amp; ","</f>
        <v>-1,</v>
      </c>
      <c r="AC48" t="str">
        <f ca="1">'(直掃)Change to adc mapping '!AC112 &amp; ","</f>
        <v>-1,</v>
      </c>
      <c r="AD48" t="str">
        <f ca="1">'(直掃)Change to adc mapping '!AD112 &amp; ","</f>
        <v>-1,</v>
      </c>
      <c r="AE48" t="str">
        <f ca="1">'(直掃)Change to adc mapping '!AE112 &amp; ","</f>
        <v>-1,</v>
      </c>
      <c r="AF48" t="str">
        <f ca="1">'(直掃)Change to adc mapping '!AF112 &amp; ","</f>
        <v>239,</v>
      </c>
      <c r="AG48" t="str">
        <f ca="1">'(直掃)Change to adc mapping '!AG112 &amp; ","</f>
        <v>238,</v>
      </c>
      <c r="AH48" t="str">
        <f ca="1">'(直掃)Change to adc mapping '!AH112 &amp; ","</f>
        <v>237,</v>
      </c>
      <c r="AI48" t="str">
        <f ca="1">'(直掃)Change to adc mapping '!AI112 &amp; ","</f>
        <v>236,</v>
      </c>
      <c r="AJ48" t="str">
        <f ca="1">'(直掃)Change to adc mapping '!AJ112 &amp; ","</f>
        <v>235,</v>
      </c>
      <c r="AK48" t="str">
        <f ca="1">'(直掃)Change to adc mapping '!AK112 &amp; ","</f>
        <v>234,</v>
      </c>
      <c r="AL48" t="str">
        <f ca="1">'(直掃)Change to adc mapping '!AL112 &amp; ","</f>
        <v>233,</v>
      </c>
      <c r="AM48" t="str">
        <f ca="1">'(直掃)Change to adc mapping '!AM112 &amp; ","</f>
        <v>232,</v>
      </c>
      <c r="AN48" t="str">
        <f ca="1">'(直掃)Change to adc mapping '!AN112 &amp; ","</f>
        <v>231,</v>
      </c>
      <c r="AO48" t="str">
        <f ca="1">'(直掃)Change to adc mapping '!AO112 &amp; ","</f>
        <v>230,</v>
      </c>
      <c r="AP48" t="str">
        <f ca="1">'(直掃)Change to adc mapping '!AP112 &amp; ","</f>
        <v>229,</v>
      </c>
      <c r="AQ48" t="str">
        <f ca="1">'(直掃)Change to adc mapping '!AQ112 &amp; ","</f>
        <v>228,</v>
      </c>
      <c r="AR48" t="str">
        <f ca="1">'(直掃)Change to adc mapping '!AR112 &amp; ","</f>
        <v>227,</v>
      </c>
      <c r="AS48" t="str">
        <f ca="1">'(直掃)Change to adc mapping '!AS112 &amp; ","</f>
        <v>226,</v>
      </c>
      <c r="AT48" t="str">
        <f ca="1">'(直掃)Change to adc mapping '!AT112 &amp; ","</f>
        <v>225,</v>
      </c>
      <c r="AU48" t="str">
        <f ca="1">'(直掃)Change to adc mapping '!AU112 &amp; ","</f>
        <v>224,</v>
      </c>
      <c r="AV48" t="str">
        <f ca="1">'(直掃)Change to adc mapping '!AV112 &amp; ","</f>
        <v>223,</v>
      </c>
      <c r="AW48" t="str">
        <f ca="1">'(直掃)Change to adc mapping '!AW112 &amp; ","</f>
        <v>222,</v>
      </c>
      <c r="AX48" t="str">
        <f ca="1">'(直掃)Change to adc mapping '!AX112 &amp; ","</f>
        <v>221,</v>
      </c>
      <c r="AY48" t="str">
        <f ca="1">'(直掃)Change to adc mapping '!AY112 &amp; ","</f>
        <v>220,</v>
      </c>
      <c r="AZ48" t="str">
        <f ca="1">'(直掃)Change to adc mapping '!AZ112 &amp; ","</f>
        <v>219,</v>
      </c>
      <c r="BA48" t="str">
        <f ca="1">'(直掃)Change to adc mapping '!BA112 &amp; ","</f>
        <v>218,</v>
      </c>
      <c r="BB48" t="str">
        <f ca="1">'(直掃)Change to adc mapping '!BB112 &amp; ","</f>
        <v>217,</v>
      </c>
      <c r="BC48" t="str">
        <f ca="1">'(直掃)Change to adc mapping '!BC112 &amp; ","</f>
        <v>216,</v>
      </c>
      <c r="BD48" t="str">
        <f ca="1">'(直掃)Change to adc mapping '!BD112 &amp; ","</f>
        <v>215,</v>
      </c>
      <c r="BE48" t="str">
        <f ca="1">'(直掃)Change to adc mapping '!BE112 &amp; ","</f>
        <v>214,</v>
      </c>
      <c r="BF48" t="str">
        <f ca="1">'(直掃)Change to adc mapping '!BF112 &amp; ","</f>
        <v>213,</v>
      </c>
      <c r="BG48" t="str">
        <f ca="1">'(直掃)Change to adc mapping '!BG112 &amp; ","</f>
        <v>212,</v>
      </c>
      <c r="BH48" t="str">
        <f ca="1">'(直掃)Change to adc mapping '!BH112 &amp; ","</f>
        <v>211,</v>
      </c>
      <c r="BI48" t="str">
        <f ca="1">'(直掃)Change to adc mapping '!BI112 &amp; ","</f>
        <v>210,</v>
      </c>
    </row>
    <row r="49" spans="1:61" x14ac:dyDescent="0.25">
      <c r="A49" s="20">
        <v>48</v>
      </c>
      <c r="B49" t="str">
        <f ca="1">'(直掃)Change to adc mapping '!B113 &amp; ","</f>
        <v>9999,</v>
      </c>
      <c r="C49" t="str">
        <f ca="1">'(直掃)Change to adc mapping '!C113 &amp; ","</f>
        <v>9999,</v>
      </c>
      <c r="D49" t="str">
        <f ca="1">'(直掃)Change to adc mapping '!D113 &amp; ","</f>
        <v>9999,</v>
      </c>
      <c r="E49" t="str">
        <f ca="1">'(直掃)Change to adc mapping '!E113 &amp; ","</f>
        <v>9999,</v>
      </c>
      <c r="F49" t="str">
        <f ca="1">'(直掃)Change to adc mapping '!F113 &amp; ","</f>
        <v>9999,</v>
      </c>
      <c r="G49" t="str">
        <f ca="1">'(直掃)Change to adc mapping '!G113 &amp; ","</f>
        <v>9999,</v>
      </c>
      <c r="H49" t="str">
        <f ca="1">'(直掃)Change to adc mapping '!H113 &amp; ","</f>
        <v>9999,</v>
      </c>
      <c r="I49" t="str">
        <f ca="1">'(直掃)Change to adc mapping '!I113 &amp; ","</f>
        <v>9999,</v>
      </c>
      <c r="J49" t="str">
        <f ca="1">'(直掃)Change to adc mapping '!J113 &amp; ","</f>
        <v>9999,</v>
      </c>
      <c r="K49" t="str">
        <f ca="1">'(直掃)Change to adc mapping '!K113 &amp; ","</f>
        <v>9999,</v>
      </c>
      <c r="L49" t="str">
        <f ca="1">'(直掃)Change to adc mapping '!L113 &amp; ","</f>
        <v>9999,</v>
      </c>
      <c r="M49" t="str">
        <f ca="1">'(直掃)Change to adc mapping '!M113 &amp; ","</f>
        <v>9999,</v>
      </c>
      <c r="N49" t="str">
        <f ca="1">'(直掃)Change to adc mapping '!N113 &amp; ","</f>
        <v>9999,</v>
      </c>
      <c r="O49" t="str">
        <f ca="1">'(直掃)Change to adc mapping '!O113 &amp; ","</f>
        <v>9999,</v>
      </c>
      <c r="P49" t="str">
        <f ca="1">'(直掃)Change to adc mapping '!P113 &amp; ","</f>
        <v>9999,</v>
      </c>
      <c r="Q49" t="str">
        <f ca="1">'(直掃)Change to adc mapping '!Q113 &amp; ","</f>
        <v>9999,</v>
      </c>
      <c r="R49" t="str">
        <f ca="1">'(直掃)Change to adc mapping '!R113 &amp; ","</f>
        <v>9999,</v>
      </c>
      <c r="S49" t="str">
        <f ca="1">'(直掃)Change to adc mapping '!S113 &amp; ","</f>
        <v>9999,</v>
      </c>
      <c r="T49" t="str">
        <f ca="1">'(直掃)Change to adc mapping '!T113 &amp; ","</f>
        <v>9999,</v>
      </c>
      <c r="U49" t="str">
        <f ca="1">'(直掃)Change to adc mapping '!U113 &amp; ","</f>
        <v>9999,</v>
      </c>
      <c r="V49" t="str">
        <f ca="1">'(直掃)Change to adc mapping '!V113 &amp; ","</f>
        <v>9999,</v>
      </c>
      <c r="W49" t="str">
        <f ca="1">'(直掃)Change to adc mapping '!W113 &amp; ","</f>
        <v>9999,</v>
      </c>
      <c r="X49" t="str">
        <f ca="1">'(直掃)Change to adc mapping '!X113 &amp; ","</f>
        <v>9999,</v>
      </c>
      <c r="Y49" t="str">
        <f ca="1">'(直掃)Change to adc mapping '!Y113 &amp; ","</f>
        <v>-1,</v>
      </c>
      <c r="Z49" t="str">
        <f ca="1">'(直掃)Change to adc mapping '!Z113 &amp; ","</f>
        <v>-1,</v>
      </c>
      <c r="AA49" t="str">
        <f ca="1">'(直掃)Change to adc mapping '!AA113 &amp; ","</f>
        <v>-1,</v>
      </c>
      <c r="AB49" t="str">
        <f ca="1">'(直掃)Change to adc mapping '!AB113 &amp; ","</f>
        <v>-1,</v>
      </c>
      <c r="AC49" t="str">
        <f ca="1">'(直掃)Change to adc mapping '!AC113 &amp; ","</f>
        <v>-1,</v>
      </c>
      <c r="AD49" t="str">
        <f ca="1">'(直掃)Change to adc mapping '!AD113 &amp; ","</f>
        <v>-1,</v>
      </c>
      <c r="AE49" t="str">
        <f ca="1">'(直掃)Change to adc mapping '!AE113 &amp; ","</f>
        <v>-1,</v>
      </c>
      <c r="AF49" t="str">
        <f ca="1">'(直掃)Change to adc mapping '!AF113 &amp; ","</f>
        <v>209,</v>
      </c>
      <c r="AG49" t="str">
        <f ca="1">'(直掃)Change to adc mapping '!AG113 &amp; ","</f>
        <v>208,</v>
      </c>
      <c r="AH49" t="str">
        <f ca="1">'(直掃)Change to adc mapping '!AH113 &amp; ","</f>
        <v>207,</v>
      </c>
      <c r="AI49" t="str">
        <f ca="1">'(直掃)Change to adc mapping '!AI113 &amp; ","</f>
        <v>206,</v>
      </c>
      <c r="AJ49" t="str">
        <f ca="1">'(直掃)Change to adc mapping '!AJ113 &amp; ","</f>
        <v>205,</v>
      </c>
      <c r="AK49" t="str">
        <f ca="1">'(直掃)Change to adc mapping '!AK113 &amp; ","</f>
        <v>204,</v>
      </c>
      <c r="AL49" t="str">
        <f ca="1">'(直掃)Change to adc mapping '!AL113 &amp; ","</f>
        <v>203,</v>
      </c>
      <c r="AM49" t="str">
        <f ca="1">'(直掃)Change to adc mapping '!AM113 &amp; ","</f>
        <v>202,</v>
      </c>
      <c r="AN49" t="str">
        <f ca="1">'(直掃)Change to adc mapping '!AN113 &amp; ","</f>
        <v>201,</v>
      </c>
      <c r="AO49" t="str">
        <f ca="1">'(直掃)Change to adc mapping '!AO113 &amp; ","</f>
        <v>200,</v>
      </c>
      <c r="AP49" t="str">
        <f ca="1">'(直掃)Change to adc mapping '!AP113 &amp; ","</f>
        <v>199,</v>
      </c>
      <c r="AQ49" t="str">
        <f ca="1">'(直掃)Change to adc mapping '!AQ113 &amp; ","</f>
        <v>198,</v>
      </c>
      <c r="AR49" t="str">
        <f ca="1">'(直掃)Change to adc mapping '!AR113 &amp; ","</f>
        <v>197,</v>
      </c>
      <c r="AS49" t="str">
        <f ca="1">'(直掃)Change to adc mapping '!AS113 &amp; ","</f>
        <v>196,</v>
      </c>
      <c r="AT49" t="str">
        <f ca="1">'(直掃)Change to adc mapping '!AT113 &amp; ","</f>
        <v>195,</v>
      </c>
      <c r="AU49" t="str">
        <f ca="1">'(直掃)Change to adc mapping '!AU113 &amp; ","</f>
        <v>194,</v>
      </c>
      <c r="AV49" t="str">
        <f ca="1">'(直掃)Change to adc mapping '!AV113 &amp; ","</f>
        <v>193,</v>
      </c>
      <c r="AW49" t="str">
        <f ca="1">'(直掃)Change to adc mapping '!AW113 &amp; ","</f>
        <v>192,</v>
      </c>
      <c r="AX49" t="str">
        <f ca="1">'(直掃)Change to adc mapping '!AX113 &amp; ","</f>
        <v>191,</v>
      </c>
      <c r="AY49" t="str">
        <f ca="1">'(直掃)Change to adc mapping '!AY113 &amp; ","</f>
        <v>190,</v>
      </c>
      <c r="AZ49" t="str">
        <f ca="1">'(直掃)Change to adc mapping '!AZ113 &amp; ","</f>
        <v>189,</v>
      </c>
      <c r="BA49" t="str">
        <f ca="1">'(直掃)Change to adc mapping '!BA113 &amp; ","</f>
        <v>188,</v>
      </c>
      <c r="BB49" t="str">
        <f ca="1">'(直掃)Change to adc mapping '!BB113 &amp; ","</f>
        <v>187,</v>
      </c>
      <c r="BC49" t="str">
        <f ca="1">'(直掃)Change to adc mapping '!BC113 &amp; ","</f>
        <v>186,</v>
      </c>
      <c r="BD49" t="str">
        <f ca="1">'(直掃)Change to adc mapping '!BD113 &amp; ","</f>
        <v>185,</v>
      </c>
      <c r="BE49" t="str">
        <f ca="1">'(直掃)Change to adc mapping '!BE113 &amp; ","</f>
        <v>184,</v>
      </c>
      <c r="BF49" t="str">
        <f ca="1">'(直掃)Change to adc mapping '!BF113 &amp; ","</f>
        <v>183,</v>
      </c>
      <c r="BG49" t="str">
        <f ca="1">'(直掃)Change to adc mapping '!BG113 &amp; ","</f>
        <v>182,</v>
      </c>
      <c r="BH49" t="str">
        <f ca="1">'(直掃)Change to adc mapping '!BH113 &amp; ","</f>
        <v>181,</v>
      </c>
      <c r="BI49" t="str">
        <f ca="1">'(直掃)Change to adc mapping '!BI113 &amp; ","</f>
        <v>180,</v>
      </c>
    </row>
    <row r="50" spans="1:61" x14ac:dyDescent="0.25">
      <c r="A50" s="20">
        <v>49</v>
      </c>
      <c r="B50" t="str">
        <f ca="1">'(直掃)Change to adc mapping '!B114 &amp; ","</f>
        <v>9999,</v>
      </c>
      <c r="C50" t="str">
        <f ca="1">'(直掃)Change to adc mapping '!C114 &amp; ","</f>
        <v>9999,</v>
      </c>
      <c r="D50" t="str">
        <f ca="1">'(直掃)Change to adc mapping '!D114 &amp; ","</f>
        <v>9999,</v>
      </c>
      <c r="E50" t="str">
        <f ca="1">'(直掃)Change to adc mapping '!E114 &amp; ","</f>
        <v>9999,</v>
      </c>
      <c r="F50" t="str">
        <f ca="1">'(直掃)Change to adc mapping '!F114 &amp; ","</f>
        <v>9999,</v>
      </c>
      <c r="G50" t="str">
        <f ca="1">'(直掃)Change to adc mapping '!G114 &amp; ","</f>
        <v>9999,</v>
      </c>
      <c r="H50" t="str">
        <f ca="1">'(直掃)Change to adc mapping '!H114 &amp; ","</f>
        <v>9999,</v>
      </c>
      <c r="I50" t="str">
        <f ca="1">'(直掃)Change to adc mapping '!I114 &amp; ","</f>
        <v>9999,</v>
      </c>
      <c r="J50" t="str">
        <f ca="1">'(直掃)Change to adc mapping '!J114 &amp; ","</f>
        <v>9999,</v>
      </c>
      <c r="K50" t="str">
        <f ca="1">'(直掃)Change to adc mapping '!K114 &amp; ","</f>
        <v>9999,</v>
      </c>
      <c r="L50" t="str">
        <f ca="1">'(直掃)Change to adc mapping '!L114 &amp; ","</f>
        <v>9999,</v>
      </c>
      <c r="M50" t="str">
        <f ca="1">'(直掃)Change to adc mapping '!M114 &amp; ","</f>
        <v>9999,</v>
      </c>
      <c r="N50" t="str">
        <f ca="1">'(直掃)Change to adc mapping '!N114 &amp; ","</f>
        <v>9999,</v>
      </c>
      <c r="O50" t="str">
        <f ca="1">'(直掃)Change to adc mapping '!O114 &amp; ","</f>
        <v>9999,</v>
      </c>
      <c r="P50" t="str">
        <f ca="1">'(直掃)Change to adc mapping '!P114 &amp; ","</f>
        <v>9999,</v>
      </c>
      <c r="Q50" t="str">
        <f ca="1">'(直掃)Change to adc mapping '!Q114 &amp; ","</f>
        <v>9999,</v>
      </c>
      <c r="R50" t="str">
        <f ca="1">'(直掃)Change to adc mapping '!R114 &amp; ","</f>
        <v>9999,</v>
      </c>
      <c r="S50" t="str">
        <f ca="1">'(直掃)Change to adc mapping '!S114 &amp; ","</f>
        <v>9999,</v>
      </c>
      <c r="T50" t="str">
        <f ca="1">'(直掃)Change to adc mapping '!T114 &amp; ","</f>
        <v>9999,</v>
      </c>
      <c r="U50" t="str">
        <f ca="1">'(直掃)Change to adc mapping '!U114 &amp; ","</f>
        <v>9999,</v>
      </c>
      <c r="V50" t="str">
        <f ca="1">'(直掃)Change to adc mapping '!V114 &amp; ","</f>
        <v>9999,</v>
      </c>
      <c r="W50" t="str">
        <f ca="1">'(直掃)Change to adc mapping '!W114 &amp; ","</f>
        <v>9999,</v>
      </c>
      <c r="X50" t="str">
        <f ca="1">'(直掃)Change to adc mapping '!X114 &amp; ","</f>
        <v>9999,</v>
      </c>
      <c r="Y50" t="str">
        <f ca="1">'(直掃)Change to adc mapping '!Y114 &amp; ","</f>
        <v>-1,</v>
      </c>
      <c r="Z50" t="str">
        <f ca="1">'(直掃)Change to adc mapping '!Z114 &amp; ","</f>
        <v>-1,</v>
      </c>
      <c r="AA50" t="str">
        <f ca="1">'(直掃)Change to adc mapping '!AA114 &amp; ","</f>
        <v>-1,</v>
      </c>
      <c r="AB50" t="str">
        <f ca="1">'(直掃)Change to adc mapping '!AB114 &amp; ","</f>
        <v>-1,</v>
      </c>
      <c r="AC50" t="str">
        <f ca="1">'(直掃)Change to adc mapping '!AC114 &amp; ","</f>
        <v>-1,</v>
      </c>
      <c r="AD50" t="str">
        <f ca="1">'(直掃)Change to adc mapping '!AD114 &amp; ","</f>
        <v>-1,</v>
      </c>
      <c r="AE50" t="str">
        <f ca="1">'(直掃)Change to adc mapping '!AE114 &amp; ","</f>
        <v>-1,</v>
      </c>
      <c r="AF50" t="str">
        <f ca="1">'(直掃)Change to adc mapping '!AF114 &amp; ","</f>
        <v>179,</v>
      </c>
      <c r="AG50" t="str">
        <f ca="1">'(直掃)Change to adc mapping '!AG114 &amp; ","</f>
        <v>178,</v>
      </c>
      <c r="AH50" t="str">
        <f ca="1">'(直掃)Change to adc mapping '!AH114 &amp; ","</f>
        <v>177,</v>
      </c>
      <c r="AI50" t="str">
        <f ca="1">'(直掃)Change to adc mapping '!AI114 &amp; ","</f>
        <v>176,</v>
      </c>
      <c r="AJ50" t="str">
        <f ca="1">'(直掃)Change to adc mapping '!AJ114 &amp; ","</f>
        <v>175,</v>
      </c>
      <c r="AK50" t="str">
        <f ca="1">'(直掃)Change to adc mapping '!AK114 &amp; ","</f>
        <v>174,</v>
      </c>
      <c r="AL50" t="str">
        <f ca="1">'(直掃)Change to adc mapping '!AL114 &amp; ","</f>
        <v>173,</v>
      </c>
      <c r="AM50" t="str">
        <f ca="1">'(直掃)Change to adc mapping '!AM114 &amp; ","</f>
        <v>172,</v>
      </c>
      <c r="AN50" t="str">
        <f ca="1">'(直掃)Change to adc mapping '!AN114 &amp; ","</f>
        <v>171,</v>
      </c>
      <c r="AO50" t="str">
        <f ca="1">'(直掃)Change to adc mapping '!AO114 &amp; ","</f>
        <v>170,</v>
      </c>
      <c r="AP50" t="str">
        <f ca="1">'(直掃)Change to adc mapping '!AP114 &amp; ","</f>
        <v>169,</v>
      </c>
      <c r="AQ50" t="str">
        <f ca="1">'(直掃)Change to adc mapping '!AQ114 &amp; ","</f>
        <v>168,</v>
      </c>
      <c r="AR50" t="str">
        <f ca="1">'(直掃)Change to adc mapping '!AR114 &amp; ","</f>
        <v>167,</v>
      </c>
      <c r="AS50" t="str">
        <f ca="1">'(直掃)Change to adc mapping '!AS114 &amp; ","</f>
        <v>166,</v>
      </c>
      <c r="AT50" t="str">
        <f ca="1">'(直掃)Change to adc mapping '!AT114 &amp; ","</f>
        <v>165,</v>
      </c>
      <c r="AU50" t="str">
        <f ca="1">'(直掃)Change to adc mapping '!AU114 &amp; ","</f>
        <v>164,</v>
      </c>
      <c r="AV50" t="str">
        <f ca="1">'(直掃)Change to adc mapping '!AV114 &amp; ","</f>
        <v>163,</v>
      </c>
      <c r="AW50" t="str">
        <f ca="1">'(直掃)Change to adc mapping '!AW114 &amp; ","</f>
        <v>162,</v>
      </c>
      <c r="AX50" t="str">
        <f ca="1">'(直掃)Change to adc mapping '!AX114 &amp; ","</f>
        <v>161,</v>
      </c>
      <c r="AY50" t="str">
        <f ca="1">'(直掃)Change to adc mapping '!AY114 &amp; ","</f>
        <v>160,</v>
      </c>
      <c r="AZ50" t="str">
        <f ca="1">'(直掃)Change to adc mapping '!AZ114 &amp; ","</f>
        <v>159,</v>
      </c>
      <c r="BA50" t="str">
        <f ca="1">'(直掃)Change to adc mapping '!BA114 &amp; ","</f>
        <v>158,</v>
      </c>
      <c r="BB50" t="str">
        <f ca="1">'(直掃)Change to adc mapping '!BB114 &amp; ","</f>
        <v>157,</v>
      </c>
      <c r="BC50" t="str">
        <f ca="1">'(直掃)Change to adc mapping '!BC114 &amp; ","</f>
        <v>156,</v>
      </c>
      <c r="BD50" t="str">
        <f ca="1">'(直掃)Change to adc mapping '!BD114 &amp; ","</f>
        <v>155,</v>
      </c>
      <c r="BE50" t="str">
        <f ca="1">'(直掃)Change to adc mapping '!BE114 &amp; ","</f>
        <v>154,</v>
      </c>
      <c r="BF50" t="str">
        <f ca="1">'(直掃)Change to adc mapping '!BF114 &amp; ","</f>
        <v>153,</v>
      </c>
      <c r="BG50" t="str">
        <f ca="1">'(直掃)Change to adc mapping '!BG114 &amp; ","</f>
        <v>152,</v>
      </c>
      <c r="BH50" t="str">
        <f ca="1">'(直掃)Change to adc mapping '!BH114 &amp; ","</f>
        <v>151,</v>
      </c>
      <c r="BI50" t="str">
        <f ca="1">'(直掃)Change to adc mapping '!BI114 &amp; ","</f>
        <v>150,</v>
      </c>
    </row>
    <row r="51" spans="1:61" x14ac:dyDescent="0.25">
      <c r="A51" s="20">
        <v>50</v>
      </c>
      <c r="B51" t="str">
        <f ca="1">'(直掃)Change to adc mapping '!B115 &amp; ","</f>
        <v>9999,</v>
      </c>
      <c r="C51" t="str">
        <f ca="1">'(直掃)Change to adc mapping '!C115 &amp; ","</f>
        <v>9999,</v>
      </c>
      <c r="D51" t="str">
        <f ca="1">'(直掃)Change to adc mapping '!D115 &amp; ","</f>
        <v>9999,</v>
      </c>
      <c r="E51" t="str">
        <f ca="1">'(直掃)Change to adc mapping '!E115 &amp; ","</f>
        <v>9999,</v>
      </c>
      <c r="F51" t="str">
        <f ca="1">'(直掃)Change to adc mapping '!F115 &amp; ","</f>
        <v>9999,</v>
      </c>
      <c r="G51" t="str">
        <f ca="1">'(直掃)Change to adc mapping '!G115 &amp; ","</f>
        <v>9999,</v>
      </c>
      <c r="H51" t="str">
        <f ca="1">'(直掃)Change to adc mapping '!H115 &amp; ","</f>
        <v>9999,</v>
      </c>
      <c r="I51" t="str">
        <f ca="1">'(直掃)Change to adc mapping '!I115 &amp; ","</f>
        <v>9999,</v>
      </c>
      <c r="J51" t="str">
        <f ca="1">'(直掃)Change to adc mapping '!J115 &amp; ","</f>
        <v>9999,</v>
      </c>
      <c r="K51" t="str">
        <f ca="1">'(直掃)Change to adc mapping '!K115 &amp; ","</f>
        <v>9999,</v>
      </c>
      <c r="L51" t="str">
        <f ca="1">'(直掃)Change to adc mapping '!L115 &amp; ","</f>
        <v>9999,</v>
      </c>
      <c r="M51" t="str">
        <f ca="1">'(直掃)Change to adc mapping '!M115 &amp; ","</f>
        <v>9999,</v>
      </c>
      <c r="N51" t="str">
        <f ca="1">'(直掃)Change to adc mapping '!N115 &amp; ","</f>
        <v>9999,</v>
      </c>
      <c r="O51" t="str">
        <f ca="1">'(直掃)Change to adc mapping '!O115 &amp; ","</f>
        <v>9999,</v>
      </c>
      <c r="P51" t="str">
        <f ca="1">'(直掃)Change to adc mapping '!P115 &amp; ","</f>
        <v>9999,</v>
      </c>
      <c r="Q51" t="str">
        <f ca="1">'(直掃)Change to adc mapping '!Q115 &amp; ","</f>
        <v>9999,</v>
      </c>
      <c r="R51" t="str">
        <f ca="1">'(直掃)Change to adc mapping '!R115 &amp; ","</f>
        <v>9999,</v>
      </c>
      <c r="S51" t="str">
        <f ca="1">'(直掃)Change to adc mapping '!S115 &amp; ","</f>
        <v>9999,</v>
      </c>
      <c r="T51" t="str">
        <f ca="1">'(直掃)Change to adc mapping '!T115 &amp; ","</f>
        <v>9999,</v>
      </c>
      <c r="U51" t="str">
        <f ca="1">'(直掃)Change to adc mapping '!U115 &amp; ","</f>
        <v>9999,</v>
      </c>
      <c r="V51" t="str">
        <f ca="1">'(直掃)Change to adc mapping '!V115 &amp; ","</f>
        <v>9999,</v>
      </c>
      <c r="W51" t="str">
        <f ca="1">'(直掃)Change to adc mapping '!W115 &amp; ","</f>
        <v>9999,</v>
      </c>
      <c r="X51" t="str">
        <f ca="1">'(直掃)Change to adc mapping '!X115 &amp; ","</f>
        <v>9999,</v>
      </c>
      <c r="Y51" t="str">
        <f ca="1">'(直掃)Change to adc mapping '!Y115 &amp; ","</f>
        <v>-1,</v>
      </c>
      <c r="Z51" t="str">
        <f ca="1">'(直掃)Change to adc mapping '!Z115 &amp; ","</f>
        <v>-1,</v>
      </c>
      <c r="AA51" t="str">
        <f ca="1">'(直掃)Change to adc mapping '!AA115 &amp; ","</f>
        <v>-1,</v>
      </c>
      <c r="AB51" t="str">
        <f ca="1">'(直掃)Change to adc mapping '!AB115 &amp; ","</f>
        <v>-1,</v>
      </c>
      <c r="AC51" t="str">
        <f ca="1">'(直掃)Change to adc mapping '!AC115 &amp; ","</f>
        <v>-1,</v>
      </c>
      <c r="AD51" t="str">
        <f ca="1">'(直掃)Change to adc mapping '!AD115 &amp; ","</f>
        <v>-1,</v>
      </c>
      <c r="AE51" t="str">
        <f ca="1">'(直掃)Change to adc mapping '!AE115 &amp; ","</f>
        <v>-1,</v>
      </c>
      <c r="AF51" t="str">
        <f ca="1">'(直掃)Change to adc mapping '!AF115 &amp; ","</f>
        <v>149,</v>
      </c>
      <c r="AG51" t="str">
        <f ca="1">'(直掃)Change to adc mapping '!AG115 &amp; ","</f>
        <v>148,</v>
      </c>
      <c r="AH51" t="str">
        <f ca="1">'(直掃)Change to adc mapping '!AH115 &amp; ","</f>
        <v>147,</v>
      </c>
      <c r="AI51" t="str">
        <f ca="1">'(直掃)Change to adc mapping '!AI115 &amp; ","</f>
        <v>146,</v>
      </c>
      <c r="AJ51" t="str">
        <f ca="1">'(直掃)Change to adc mapping '!AJ115 &amp; ","</f>
        <v>145,</v>
      </c>
      <c r="AK51" t="str">
        <f ca="1">'(直掃)Change to adc mapping '!AK115 &amp; ","</f>
        <v>144,</v>
      </c>
      <c r="AL51" t="str">
        <f ca="1">'(直掃)Change to adc mapping '!AL115 &amp; ","</f>
        <v>143,</v>
      </c>
      <c r="AM51" t="str">
        <f ca="1">'(直掃)Change to adc mapping '!AM115 &amp; ","</f>
        <v>142,</v>
      </c>
      <c r="AN51" t="str">
        <f ca="1">'(直掃)Change to adc mapping '!AN115 &amp; ","</f>
        <v>141,</v>
      </c>
      <c r="AO51" t="str">
        <f ca="1">'(直掃)Change to adc mapping '!AO115 &amp; ","</f>
        <v>140,</v>
      </c>
      <c r="AP51" t="str">
        <f ca="1">'(直掃)Change to adc mapping '!AP115 &amp; ","</f>
        <v>139,</v>
      </c>
      <c r="AQ51" t="str">
        <f ca="1">'(直掃)Change to adc mapping '!AQ115 &amp; ","</f>
        <v>138,</v>
      </c>
      <c r="AR51" t="str">
        <f ca="1">'(直掃)Change to adc mapping '!AR115 &amp; ","</f>
        <v>137,</v>
      </c>
      <c r="AS51" t="str">
        <f ca="1">'(直掃)Change to adc mapping '!AS115 &amp; ","</f>
        <v>136,</v>
      </c>
      <c r="AT51" t="str">
        <f ca="1">'(直掃)Change to adc mapping '!AT115 &amp; ","</f>
        <v>135,</v>
      </c>
      <c r="AU51" t="str">
        <f ca="1">'(直掃)Change to adc mapping '!AU115 &amp; ","</f>
        <v>134,</v>
      </c>
      <c r="AV51" t="str">
        <f ca="1">'(直掃)Change to adc mapping '!AV115 &amp; ","</f>
        <v>133,</v>
      </c>
      <c r="AW51" t="str">
        <f ca="1">'(直掃)Change to adc mapping '!AW115 &amp; ","</f>
        <v>132,</v>
      </c>
      <c r="AX51" t="str">
        <f ca="1">'(直掃)Change to adc mapping '!AX115 &amp; ","</f>
        <v>131,</v>
      </c>
      <c r="AY51" t="str">
        <f ca="1">'(直掃)Change to adc mapping '!AY115 &amp; ","</f>
        <v>130,</v>
      </c>
      <c r="AZ51" t="str">
        <f ca="1">'(直掃)Change to adc mapping '!AZ115 &amp; ","</f>
        <v>129,</v>
      </c>
      <c r="BA51" t="str">
        <f ca="1">'(直掃)Change to adc mapping '!BA115 &amp; ","</f>
        <v>128,</v>
      </c>
      <c r="BB51" t="str">
        <f ca="1">'(直掃)Change to adc mapping '!BB115 &amp; ","</f>
        <v>127,</v>
      </c>
      <c r="BC51" t="str">
        <f ca="1">'(直掃)Change to adc mapping '!BC115 &amp; ","</f>
        <v>126,</v>
      </c>
      <c r="BD51" t="str">
        <f ca="1">'(直掃)Change to adc mapping '!BD115 &amp; ","</f>
        <v>125,</v>
      </c>
      <c r="BE51" t="str">
        <f ca="1">'(直掃)Change to adc mapping '!BE115 &amp; ","</f>
        <v>124,</v>
      </c>
      <c r="BF51" t="str">
        <f ca="1">'(直掃)Change to adc mapping '!BF115 &amp; ","</f>
        <v>123,</v>
      </c>
      <c r="BG51" t="str">
        <f ca="1">'(直掃)Change to adc mapping '!BG115 &amp; ","</f>
        <v>122,</v>
      </c>
      <c r="BH51" t="str">
        <f ca="1">'(直掃)Change to adc mapping '!BH115 &amp; ","</f>
        <v>121,</v>
      </c>
      <c r="BI51" t="str">
        <f ca="1">'(直掃)Change to adc mapping '!BI115 &amp; ","</f>
        <v>120,</v>
      </c>
    </row>
    <row r="52" spans="1:61" x14ac:dyDescent="0.25">
      <c r="A52" s="20">
        <v>51</v>
      </c>
      <c r="B52" t="str">
        <f ca="1">'(直掃)Change to adc mapping '!B116 &amp; ","</f>
        <v>9999,</v>
      </c>
      <c r="C52" t="str">
        <f ca="1">'(直掃)Change to adc mapping '!C116 &amp; ","</f>
        <v>9999,</v>
      </c>
      <c r="D52" t="str">
        <f ca="1">'(直掃)Change to adc mapping '!D116 &amp; ","</f>
        <v>9999,</v>
      </c>
      <c r="E52" t="str">
        <f ca="1">'(直掃)Change to adc mapping '!E116 &amp; ","</f>
        <v>9999,</v>
      </c>
      <c r="F52" t="str">
        <f ca="1">'(直掃)Change to adc mapping '!F116 &amp; ","</f>
        <v>9999,</v>
      </c>
      <c r="G52" t="str">
        <f ca="1">'(直掃)Change to adc mapping '!G116 &amp; ","</f>
        <v>9999,</v>
      </c>
      <c r="H52" t="str">
        <f ca="1">'(直掃)Change to adc mapping '!H116 &amp; ","</f>
        <v>9999,</v>
      </c>
      <c r="I52" t="str">
        <f ca="1">'(直掃)Change to adc mapping '!I116 &amp; ","</f>
        <v>9999,</v>
      </c>
      <c r="J52" t="str">
        <f ca="1">'(直掃)Change to adc mapping '!J116 &amp; ","</f>
        <v>9999,</v>
      </c>
      <c r="K52" t="str">
        <f ca="1">'(直掃)Change to adc mapping '!K116 &amp; ","</f>
        <v>9999,</v>
      </c>
      <c r="L52" t="str">
        <f ca="1">'(直掃)Change to adc mapping '!L116 &amp; ","</f>
        <v>9999,</v>
      </c>
      <c r="M52" t="str">
        <f ca="1">'(直掃)Change to adc mapping '!M116 &amp; ","</f>
        <v>9999,</v>
      </c>
      <c r="N52" t="str">
        <f ca="1">'(直掃)Change to adc mapping '!N116 &amp; ","</f>
        <v>9999,</v>
      </c>
      <c r="O52" t="str">
        <f ca="1">'(直掃)Change to adc mapping '!O116 &amp; ","</f>
        <v>9999,</v>
      </c>
      <c r="P52" t="str">
        <f ca="1">'(直掃)Change to adc mapping '!P116 &amp; ","</f>
        <v>9999,</v>
      </c>
      <c r="Q52" t="str">
        <f ca="1">'(直掃)Change to adc mapping '!Q116 &amp; ","</f>
        <v>9999,</v>
      </c>
      <c r="R52" t="str">
        <f ca="1">'(直掃)Change to adc mapping '!R116 &amp; ","</f>
        <v>9999,</v>
      </c>
      <c r="S52" t="str">
        <f ca="1">'(直掃)Change to adc mapping '!S116 &amp; ","</f>
        <v>9999,</v>
      </c>
      <c r="T52" t="str">
        <f ca="1">'(直掃)Change to adc mapping '!T116 &amp; ","</f>
        <v>9999,</v>
      </c>
      <c r="U52" t="str">
        <f ca="1">'(直掃)Change to adc mapping '!U116 &amp; ","</f>
        <v>9999,</v>
      </c>
      <c r="V52" t="str">
        <f ca="1">'(直掃)Change to adc mapping '!V116 &amp; ","</f>
        <v>9999,</v>
      </c>
      <c r="W52" t="str">
        <f ca="1">'(直掃)Change to adc mapping '!W116 &amp; ","</f>
        <v>9999,</v>
      </c>
      <c r="X52" t="str">
        <f ca="1">'(直掃)Change to adc mapping '!X116 &amp; ","</f>
        <v>9999,</v>
      </c>
      <c r="Y52" t="str">
        <f ca="1">'(直掃)Change to adc mapping '!Y116 &amp; ","</f>
        <v>-1,</v>
      </c>
      <c r="Z52" t="str">
        <f ca="1">'(直掃)Change to adc mapping '!Z116 &amp; ","</f>
        <v>-1,</v>
      </c>
      <c r="AA52" t="str">
        <f ca="1">'(直掃)Change to adc mapping '!AA116 &amp; ","</f>
        <v>-1,</v>
      </c>
      <c r="AB52" t="str">
        <f ca="1">'(直掃)Change to adc mapping '!AB116 &amp; ","</f>
        <v>-1,</v>
      </c>
      <c r="AC52" t="str">
        <f ca="1">'(直掃)Change to adc mapping '!AC116 &amp; ","</f>
        <v>-1,</v>
      </c>
      <c r="AD52" t="str">
        <f ca="1">'(直掃)Change to adc mapping '!AD116 &amp; ","</f>
        <v>-1,</v>
      </c>
      <c r="AE52" t="str">
        <f ca="1">'(直掃)Change to adc mapping '!AE116 &amp; ","</f>
        <v>-1,</v>
      </c>
      <c r="AF52" t="str">
        <f ca="1">'(直掃)Change to adc mapping '!AF116 &amp; ","</f>
        <v>239,</v>
      </c>
      <c r="AG52" t="str">
        <f ca="1">'(直掃)Change to adc mapping '!AG116 &amp; ","</f>
        <v>238,</v>
      </c>
      <c r="AH52" t="str">
        <f ca="1">'(直掃)Change to adc mapping '!AH116 &amp; ","</f>
        <v>237,</v>
      </c>
      <c r="AI52" t="str">
        <f ca="1">'(直掃)Change to adc mapping '!AI116 &amp; ","</f>
        <v>236,</v>
      </c>
      <c r="AJ52" t="str">
        <f ca="1">'(直掃)Change to adc mapping '!AJ116 &amp; ","</f>
        <v>235,</v>
      </c>
      <c r="AK52" t="str">
        <f ca="1">'(直掃)Change to adc mapping '!AK116 &amp; ","</f>
        <v>234,</v>
      </c>
      <c r="AL52" t="str">
        <f ca="1">'(直掃)Change to adc mapping '!AL116 &amp; ","</f>
        <v>233,</v>
      </c>
      <c r="AM52" t="str">
        <f ca="1">'(直掃)Change to adc mapping '!AM116 &amp; ","</f>
        <v>232,</v>
      </c>
      <c r="AN52" t="str">
        <f ca="1">'(直掃)Change to adc mapping '!AN116 &amp; ","</f>
        <v>231,</v>
      </c>
      <c r="AO52" t="str">
        <f ca="1">'(直掃)Change to adc mapping '!AO116 &amp; ","</f>
        <v>230,</v>
      </c>
      <c r="AP52" t="str">
        <f ca="1">'(直掃)Change to adc mapping '!AP116 &amp; ","</f>
        <v>229,</v>
      </c>
      <c r="AQ52" t="str">
        <f ca="1">'(直掃)Change to adc mapping '!AQ116 &amp; ","</f>
        <v>228,</v>
      </c>
      <c r="AR52" t="str">
        <f ca="1">'(直掃)Change to adc mapping '!AR116 &amp; ","</f>
        <v>227,</v>
      </c>
      <c r="AS52" t="str">
        <f ca="1">'(直掃)Change to adc mapping '!AS116 &amp; ","</f>
        <v>226,</v>
      </c>
      <c r="AT52" t="str">
        <f ca="1">'(直掃)Change to adc mapping '!AT116 &amp; ","</f>
        <v>225,</v>
      </c>
      <c r="AU52" t="str">
        <f ca="1">'(直掃)Change to adc mapping '!AU116 &amp; ","</f>
        <v>224,</v>
      </c>
      <c r="AV52" t="str">
        <f ca="1">'(直掃)Change to adc mapping '!AV116 &amp; ","</f>
        <v>223,</v>
      </c>
      <c r="AW52" t="str">
        <f ca="1">'(直掃)Change to adc mapping '!AW116 &amp; ","</f>
        <v>222,</v>
      </c>
      <c r="AX52" t="str">
        <f ca="1">'(直掃)Change to adc mapping '!AX116 &amp; ","</f>
        <v>221,</v>
      </c>
      <c r="AY52" t="str">
        <f ca="1">'(直掃)Change to adc mapping '!AY116 &amp; ","</f>
        <v>220,</v>
      </c>
      <c r="AZ52" t="str">
        <f ca="1">'(直掃)Change to adc mapping '!AZ116 &amp; ","</f>
        <v>219,</v>
      </c>
      <c r="BA52" t="str">
        <f ca="1">'(直掃)Change to adc mapping '!BA116 &amp; ","</f>
        <v>218,</v>
      </c>
      <c r="BB52" t="str">
        <f ca="1">'(直掃)Change to adc mapping '!BB116 &amp; ","</f>
        <v>217,</v>
      </c>
      <c r="BC52" t="str">
        <f ca="1">'(直掃)Change to adc mapping '!BC116 &amp; ","</f>
        <v>216,</v>
      </c>
      <c r="BD52" t="str">
        <f ca="1">'(直掃)Change to adc mapping '!BD116 &amp; ","</f>
        <v>215,</v>
      </c>
      <c r="BE52" t="str">
        <f ca="1">'(直掃)Change to adc mapping '!BE116 &amp; ","</f>
        <v>214,</v>
      </c>
      <c r="BF52" t="str">
        <f ca="1">'(直掃)Change to adc mapping '!BF116 &amp; ","</f>
        <v>213,</v>
      </c>
      <c r="BG52" t="str">
        <f ca="1">'(直掃)Change to adc mapping '!BG116 &amp; ","</f>
        <v>212,</v>
      </c>
      <c r="BH52" t="str">
        <f ca="1">'(直掃)Change to adc mapping '!BH116 &amp; ","</f>
        <v>211,</v>
      </c>
      <c r="BI52" t="str">
        <f ca="1">'(直掃)Change to adc mapping '!BI116 &amp; ","</f>
        <v>210,</v>
      </c>
    </row>
    <row r="53" spans="1:61" x14ac:dyDescent="0.25">
      <c r="A53" s="20">
        <v>52</v>
      </c>
      <c r="B53" t="str">
        <f ca="1">'(直掃)Change to adc mapping '!B117 &amp; ","</f>
        <v>9999,</v>
      </c>
      <c r="C53" t="str">
        <f ca="1">'(直掃)Change to adc mapping '!C117 &amp; ","</f>
        <v>9999,</v>
      </c>
      <c r="D53" t="str">
        <f ca="1">'(直掃)Change to adc mapping '!D117 &amp; ","</f>
        <v>9999,</v>
      </c>
      <c r="E53" t="str">
        <f ca="1">'(直掃)Change to adc mapping '!E117 &amp; ","</f>
        <v>9999,</v>
      </c>
      <c r="F53" t="str">
        <f ca="1">'(直掃)Change to adc mapping '!F117 &amp; ","</f>
        <v>9999,</v>
      </c>
      <c r="G53" t="str">
        <f ca="1">'(直掃)Change to adc mapping '!G117 &amp; ","</f>
        <v>9999,</v>
      </c>
      <c r="H53" t="str">
        <f ca="1">'(直掃)Change to adc mapping '!H117 &amp; ","</f>
        <v>9999,</v>
      </c>
      <c r="I53" t="str">
        <f ca="1">'(直掃)Change to adc mapping '!I117 &amp; ","</f>
        <v>9999,</v>
      </c>
      <c r="J53" t="str">
        <f ca="1">'(直掃)Change to adc mapping '!J117 &amp; ","</f>
        <v>9999,</v>
      </c>
      <c r="K53" t="str">
        <f ca="1">'(直掃)Change to adc mapping '!K117 &amp; ","</f>
        <v>9999,</v>
      </c>
      <c r="L53" t="str">
        <f ca="1">'(直掃)Change to adc mapping '!L117 &amp; ","</f>
        <v>9999,</v>
      </c>
      <c r="M53" t="str">
        <f ca="1">'(直掃)Change to adc mapping '!M117 &amp; ","</f>
        <v>9999,</v>
      </c>
      <c r="N53" t="str">
        <f ca="1">'(直掃)Change to adc mapping '!N117 &amp; ","</f>
        <v>9999,</v>
      </c>
      <c r="O53" t="str">
        <f ca="1">'(直掃)Change to adc mapping '!O117 &amp; ","</f>
        <v>9999,</v>
      </c>
      <c r="P53" t="str">
        <f ca="1">'(直掃)Change to adc mapping '!P117 &amp; ","</f>
        <v>9999,</v>
      </c>
      <c r="Q53" t="str">
        <f ca="1">'(直掃)Change to adc mapping '!Q117 &amp; ","</f>
        <v>9999,</v>
      </c>
      <c r="R53" t="str">
        <f ca="1">'(直掃)Change to adc mapping '!R117 &amp; ","</f>
        <v>9999,</v>
      </c>
      <c r="S53" t="str">
        <f ca="1">'(直掃)Change to adc mapping '!S117 &amp; ","</f>
        <v>9999,</v>
      </c>
      <c r="T53" t="str">
        <f ca="1">'(直掃)Change to adc mapping '!T117 &amp; ","</f>
        <v>9999,</v>
      </c>
      <c r="U53" t="str">
        <f ca="1">'(直掃)Change to adc mapping '!U117 &amp; ","</f>
        <v>9999,</v>
      </c>
      <c r="V53" t="str">
        <f ca="1">'(直掃)Change to adc mapping '!V117 &amp; ","</f>
        <v>9999,</v>
      </c>
      <c r="W53" t="str">
        <f ca="1">'(直掃)Change to adc mapping '!W117 &amp; ","</f>
        <v>9999,</v>
      </c>
      <c r="X53" t="str">
        <f ca="1">'(直掃)Change to adc mapping '!X117 &amp; ","</f>
        <v>9999,</v>
      </c>
      <c r="Y53" t="str">
        <f ca="1">'(直掃)Change to adc mapping '!Y117 &amp; ","</f>
        <v>-1,</v>
      </c>
      <c r="Z53" t="str">
        <f ca="1">'(直掃)Change to adc mapping '!Z117 &amp; ","</f>
        <v>-1,</v>
      </c>
      <c r="AA53" t="str">
        <f ca="1">'(直掃)Change to adc mapping '!AA117 &amp; ","</f>
        <v>-1,</v>
      </c>
      <c r="AB53" t="str">
        <f ca="1">'(直掃)Change to adc mapping '!AB117 &amp; ","</f>
        <v>-1,</v>
      </c>
      <c r="AC53" t="str">
        <f ca="1">'(直掃)Change to adc mapping '!AC117 &amp; ","</f>
        <v>-1,</v>
      </c>
      <c r="AD53" t="str">
        <f ca="1">'(直掃)Change to adc mapping '!AD117 &amp; ","</f>
        <v>-1,</v>
      </c>
      <c r="AE53" t="str">
        <f ca="1">'(直掃)Change to adc mapping '!AE117 &amp; ","</f>
        <v>-1,</v>
      </c>
      <c r="AF53" t="str">
        <f ca="1">'(直掃)Change to adc mapping '!AF117 &amp; ","</f>
        <v>209,</v>
      </c>
      <c r="AG53" t="str">
        <f ca="1">'(直掃)Change to adc mapping '!AG117 &amp; ","</f>
        <v>208,</v>
      </c>
      <c r="AH53" t="str">
        <f ca="1">'(直掃)Change to adc mapping '!AH117 &amp; ","</f>
        <v>207,</v>
      </c>
      <c r="AI53" t="str">
        <f ca="1">'(直掃)Change to adc mapping '!AI117 &amp; ","</f>
        <v>206,</v>
      </c>
      <c r="AJ53" t="str">
        <f ca="1">'(直掃)Change to adc mapping '!AJ117 &amp; ","</f>
        <v>205,</v>
      </c>
      <c r="AK53" t="str">
        <f ca="1">'(直掃)Change to adc mapping '!AK117 &amp; ","</f>
        <v>204,</v>
      </c>
      <c r="AL53" t="str">
        <f ca="1">'(直掃)Change to adc mapping '!AL117 &amp; ","</f>
        <v>203,</v>
      </c>
      <c r="AM53" t="str">
        <f ca="1">'(直掃)Change to adc mapping '!AM117 &amp; ","</f>
        <v>202,</v>
      </c>
      <c r="AN53" t="str">
        <f ca="1">'(直掃)Change to adc mapping '!AN117 &amp; ","</f>
        <v>201,</v>
      </c>
      <c r="AO53" t="str">
        <f ca="1">'(直掃)Change to adc mapping '!AO117 &amp; ","</f>
        <v>200,</v>
      </c>
      <c r="AP53" t="str">
        <f ca="1">'(直掃)Change to adc mapping '!AP117 &amp; ","</f>
        <v>199,</v>
      </c>
      <c r="AQ53" t="str">
        <f ca="1">'(直掃)Change to adc mapping '!AQ117 &amp; ","</f>
        <v>198,</v>
      </c>
      <c r="AR53" t="str">
        <f ca="1">'(直掃)Change to adc mapping '!AR117 &amp; ","</f>
        <v>197,</v>
      </c>
      <c r="AS53" t="str">
        <f ca="1">'(直掃)Change to adc mapping '!AS117 &amp; ","</f>
        <v>196,</v>
      </c>
      <c r="AT53" t="str">
        <f ca="1">'(直掃)Change to adc mapping '!AT117 &amp; ","</f>
        <v>195,</v>
      </c>
      <c r="AU53" t="str">
        <f ca="1">'(直掃)Change to adc mapping '!AU117 &amp; ","</f>
        <v>194,</v>
      </c>
      <c r="AV53" t="str">
        <f ca="1">'(直掃)Change to adc mapping '!AV117 &amp; ","</f>
        <v>193,</v>
      </c>
      <c r="AW53" t="str">
        <f ca="1">'(直掃)Change to adc mapping '!AW117 &amp; ","</f>
        <v>192,</v>
      </c>
      <c r="AX53" t="str">
        <f ca="1">'(直掃)Change to adc mapping '!AX117 &amp; ","</f>
        <v>191,</v>
      </c>
      <c r="AY53" t="str">
        <f ca="1">'(直掃)Change to adc mapping '!AY117 &amp; ","</f>
        <v>190,</v>
      </c>
      <c r="AZ53" t="str">
        <f ca="1">'(直掃)Change to adc mapping '!AZ117 &amp; ","</f>
        <v>189,</v>
      </c>
      <c r="BA53" t="str">
        <f ca="1">'(直掃)Change to adc mapping '!BA117 &amp; ","</f>
        <v>188,</v>
      </c>
      <c r="BB53" t="str">
        <f ca="1">'(直掃)Change to adc mapping '!BB117 &amp; ","</f>
        <v>187,</v>
      </c>
      <c r="BC53" t="str">
        <f ca="1">'(直掃)Change to adc mapping '!BC117 &amp; ","</f>
        <v>186,</v>
      </c>
      <c r="BD53" t="str">
        <f ca="1">'(直掃)Change to adc mapping '!BD117 &amp; ","</f>
        <v>185,</v>
      </c>
      <c r="BE53" t="str">
        <f ca="1">'(直掃)Change to adc mapping '!BE117 &amp; ","</f>
        <v>184,</v>
      </c>
      <c r="BF53" t="str">
        <f ca="1">'(直掃)Change to adc mapping '!BF117 &amp; ","</f>
        <v>183,</v>
      </c>
      <c r="BG53" t="str">
        <f ca="1">'(直掃)Change to adc mapping '!BG117 &amp; ","</f>
        <v>182,</v>
      </c>
      <c r="BH53" t="str">
        <f ca="1">'(直掃)Change to adc mapping '!BH117 &amp; ","</f>
        <v>181,</v>
      </c>
      <c r="BI53" t="str">
        <f ca="1">'(直掃)Change to adc mapping '!BI117 &amp; ","</f>
        <v>180,</v>
      </c>
    </row>
    <row r="54" spans="1:61" x14ac:dyDescent="0.25">
      <c r="A54" s="20">
        <v>53</v>
      </c>
      <c r="B54" t="str">
        <f ca="1">'(直掃)Change to adc mapping '!B118 &amp; ","</f>
        <v>9999,</v>
      </c>
      <c r="C54" t="str">
        <f ca="1">'(直掃)Change to adc mapping '!C118 &amp; ","</f>
        <v>9999,</v>
      </c>
      <c r="D54" t="str">
        <f ca="1">'(直掃)Change to adc mapping '!D118 &amp; ","</f>
        <v>9999,</v>
      </c>
      <c r="E54" t="str">
        <f ca="1">'(直掃)Change to adc mapping '!E118 &amp; ","</f>
        <v>9999,</v>
      </c>
      <c r="F54" t="str">
        <f ca="1">'(直掃)Change to adc mapping '!F118 &amp; ","</f>
        <v>9999,</v>
      </c>
      <c r="G54" t="str">
        <f ca="1">'(直掃)Change to adc mapping '!G118 &amp; ","</f>
        <v>9999,</v>
      </c>
      <c r="H54" t="str">
        <f ca="1">'(直掃)Change to adc mapping '!H118 &amp; ","</f>
        <v>9999,</v>
      </c>
      <c r="I54" t="str">
        <f ca="1">'(直掃)Change to adc mapping '!I118 &amp; ","</f>
        <v>9999,</v>
      </c>
      <c r="J54" t="str">
        <f ca="1">'(直掃)Change to adc mapping '!J118 &amp; ","</f>
        <v>9999,</v>
      </c>
      <c r="K54" t="str">
        <f ca="1">'(直掃)Change to adc mapping '!K118 &amp; ","</f>
        <v>9999,</v>
      </c>
      <c r="L54" t="str">
        <f ca="1">'(直掃)Change to adc mapping '!L118 &amp; ","</f>
        <v>9999,</v>
      </c>
      <c r="M54" t="str">
        <f ca="1">'(直掃)Change to adc mapping '!M118 &amp; ","</f>
        <v>9999,</v>
      </c>
      <c r="N54" t="str">
        <f ca="1">'(直掃)Change to adc mapping '!N118 &amp; ","</f>
        <v>9999,</v>
      </c>
      <c r="O54" t="str">
        <f ca="1">'(直掃)Change to adc mapping '!O118 &amp; ","</f>
        <v>9999,</v>
      </c>
      <c r="P54" t="str">
        <f ca="1">'(直掃)Change to adc mapping '!P118 &amp; ","</f>
        <v>9999,</v>
      </c>
      <c r="Q54" t="str">
        <f ca="1">'(直掃)Change to adc mapping '!Q118 &amp; ","</f>
        <v>9999,</v>
      </c>
      <c r="R54" t="str">
        <f ca="1">'(直掃)Change to adc mapping '!R118 &amp; ","</f>
        <v>9999,</v>
      </c>
      <c r="S54" t="str">
        <f ca="1">'(直掃)Change to adc mapping '!S118 &amp; ","</f>
        <v>9999,</v>
      </c>
      <c r="T54" t="str">
        <f ca="1">'(直掃)Change to adc mapping '!T118 &amp; ","</f>
        <v>9999,</v>
      </c>
      <c r="U54" t="str">
        <f ca="1">'(直掃)Change to adc mapping '!U118 &amp; ","</f>
        <v>9999,</v>
      </c>
      <c r="V54" t="str">
        <f ca="1">'(直掃)Change to adc mapping '!V118 &amp; ","</f>
        <v>9999,</v>
      </c>
      <c r="W54" t="str">
        <f ca="1">'(直掃)Change to adc mapping '!W118 &amp; ","</f>
        <v>9999,</v>
      </c>
      <c r="X54" t="str">
        <f ca="1">'(直掃)Change to adc mapping '!X118 &amp; ","</f>
        <v>9999,</v>
      </c>
      <c r="Y54" t="str">
        <f ca="1">'(直掃)Change to adc mapping '!Y118 &amp; ","</f>
        <v>-1,</v>
      </c>
      <c r="Z54" t="str">
        <f ca="1">'(直掃)Change to adc mapping '!Z118 &amp; ","</f>
        <v>-1,</v>
      </c>
      <c r="AA54" t="str">
        <f ca="1">'(直掃)Change to adc mapping '!AA118 &amp; ","</f>
        <v>-1,</v>
      </c>
      <c r="AB54" t="str">
        <f ca="1">'(直掃)Change to adc mapping '!AB118 &amp; ","</f>
        <v>-1,</v>
      </c>
      <c r="AC54" t="str">
        <f ca="1">'(直掃)Change to adc mapping '!AC118 &amp; ","</f>
        <v>-1,</v>
      </c>
      <c r="AD54" t="str">
        <f ca="1">'(直掃)Change to adc mapping '!AD118 &amp; ","</f>
        <v>-1,</v>
      </c>
      <c r="AE54" t="str">
        <f ca="1">'(直掃)Change to adc mapping '!AE118 &amp; ","</f>
        <v>-1,</v>
      </c>
      <c r="AF54" t="str">
        <f ca="1">'(直掃)Change to adc mapping '!AF118 &amp; ","</f>
        <v>179,</v>
      </c>
      <c r="AG54" t="str">
        <f ca="1">'(直掃)Change to adc mapping '!AG118 &amp; ","</f>
        <v>178,</v>
      </c>
      <c r="AH54" t="str">
        <f ca="1">'(直掃)Change to adc mapping '!AH118 &amp; ","</f>
        <v>177,</v>
      </c>
      <c r="AI54" t="str">
        <f ca="1">'(直掃)Change to adc mapping '!AI118 &amp; ","</f>
        <v>176,</v>
      </c>
      <c r="AJ54" t="str">
        <f ca="1">'(直掃)Change to adc mapping '!AJ118 &amp; ","</f>
        <v>175,</v>
      </c>
      <c r="AK54" t="str">
        <f ca="1">'(直掃)Change to adc mapping '!AK118 &amp; ","</f>
        <v>174,</v>
      </c>
      <c r="AL54" t="str">
        <f ca="1">'(直掃)Change to adc mapping '!AL118 &amp; ","</f>
        <v>173,</v>
      </c>
      <c r="AM54" t="str">
        <f ca="1">'(直掃)Change to adc mapping '!AM118 &amp; ","</f>
        <v>172,</v>
      </c>
      <c r="AN54" t="str">
        <f ca="1">'(直掃)Change to adc mapping '!AN118 &amp; ","</f>
        <v>171,</v>
      </c>
      <c r="AO54" t="str">
        <f ca="1">'(直掃)Change to adc mapping '!AO118 &amp; ","</f>
        <v>170,</v>
      </c>
      <c r="AP54" t="str">
        <f ca="1">'(直掃)Change to adc mapping '!AP118 &amp; ","</f>
        <v>169,</v>
      </c>
      <c r="AQ54" t="str">
        <f ca="1">'(直掃)Change to adc mapping '!AQ118 &amp; ","</f>
        <v>168,</v>
      </c>
      <c r="AR54" t="str">
        <f ca="1">'(直掃)Change to adc mapping '!AR118 &amp; ","</f>
        <v>167,</v>
      </c>
      <c r="AS54" t="str">
        <f ca="1">'(直掃)Change to adc mapping '!AS118 &amp; ","</f>
        <v>166,</v>
      </c>
      <c r="AT54" t="str">
        <f ca="1">'(直掃)Change to adc mapping '!AT118 &amp; ","</f>
        <v>165,</v>
      </c>
      <c r="AU54" t="str">
        <f ca="1">'(直掃)Change to adc mapping '!AU118 &amp; ","</f>
        <v>164,</v>
      </c>
      <c r="AV54" t="str">
        <f ca="1">'(直掃)Change to adc mapping '!AV118 &amp; ","</f>
        <v>163,</v>
      </c>
      <c r="AW54" t="str">
        <f ca="1">'(直掃)Change to adc mapping '!AW118 &amp; ","</f>
        <v>162,</v>
      </c>
      <c r="AX54" t="str">
        <f ca="1">'(直掃)Change to adc mapping '!AX118 &amp; ","</f>
        <v>161,</v>
      </c>
      <c r="AY54" t="str">
        <f ca="1">'(直掃)Change to adc mapping '!AY118 &amp; ","</f>
        <v>160,</v>
      </c>
      <c r="AZ54" t="str">
        <f ca="1">'(直掃)Change to adc mapping '!AZ118 &amp; ","</f>
        <v>159,</v>
      </c>
      <c r="BA54" t="str">
        <f ca="1">'(直掃)Change to adc mapping '!BA118 &amp; ","</f>
        <v>158,</v>
      </c>
      <c r="BB54" t="str">
        <f ca="1">'(直掃)Change to adc mapping '!BB118 &amp; ","</f>
        <v>157,</v>
      </c>
      <c r="BC54" t="str">
        <f ca="1">'(直掃)Change to adc mapping '!BC118 &amp; ","</f>
        <v>156,</v>
      </c>
      <c r="BD54" t="str">
        <f ca="1">'(直掃)Change to adc mapping '!BD118 &amp; ","</f>
        <v>155,</v>
      </c>
      <c r="BE54" t="str">
        <f ca="1">'(直掃)Change to adc mapping '!BE118 &amp; ","</f>
        <v>154,</v>
      </c>
      <c r="BF54" t="str">
        <f ca="1">'(直掃)Change to adc mapping '!BF118 &amp; ","</f>
        <v>153,</v>
      </c>
      <c r="BG54" t="str">
        <f ca="1">'(直掃)Change to adc mapping '!BG118 &amp; ","</f>
        <v>152,</v>
      </c>
      <c r="BH54" t="str">
        <f ca="1">'(直掃)Change to adc mapping '!BH118 &amp; ","</f>
        <v>151,</v>
      </c>
      <c r="BI54" t="str">
        <f ca="1">'(直掃)Change to adc mapping '!BI118 &amp; ","</f>
        <v>150,</v>
      </c>
    </row>
    <row r="55" spans="1:61" x14ac:dyDescent="0.25">
      <c r="A55" s="20">
        <v>54</v>
      </c>
      <c r="B55" t="str">
        <f ca="1">'(直掃)Change to adc mapping '!B119 &amp; ","</f>
        <v>9999,</v>
      </c>
      <c r="C55" t="str">
        <f ca="1">'(直掃)Change to adc mapping '!C119 &amp; ","</f>
        <v>9999,</v>
      </c>
      <c r="D55" t="str">
        <f ca="1">'(直掃)Change to adc mapping '!D119 &amp; ","</f>
        <v>9999,</v>
      </c>
      <c r="E55" t="str">
        <f ca="1">'(直掃)Change to adc mapping '!E119 &amp; ","</f>
        <v>9999,</v>
      </c>
      <c r="F55" t="str">
        <f ca="1">'(直掃)Change to adc mapping '!F119 &amp; ","</f>
        <v>9999,</v>
      </c>
      <c r="G55" t="str">
        <f ca="1">'(直掃)Change to adc mapping '!G119 &amp; ","</f>
        <v>9999,</v>
      </c>
      <c r="H55" t="str">
        <f ca="1">'(直掃)Change to adc mapping '!H119 &amp; ","</f>
        <v>9999,</v>
      </c>
      <c r="I55" t="str">
        <f ca="1">'(直掃)Change to adc mapping '!I119 &amp; ","</f>
        <v>9999,</v>
      </c>
      <c r="J55" t="str">
        <f ca="1">'(直掃)Change to adc mapping '!J119 &amp; ","</f>
        <v>9999,</v>
      </c>
      <c r="K55" t="str">
        <f ca="1">'(直掃)Change to adc mapping '!K119 &amp; ","</f>
        <v>9999,</v>
      </c>
      <c r="L55" t="str">
        <f ca="1">'(直掃)Change to adc mapping '!L119 &amp; ","</f>
        <v>9999,</v>
      </c>
      <c r="M55" t="str">
        <f ca="1">'(直掃)Change to adc mapping '!M119 &amp; ","</f>
        <v>9999,</v>
      </c>
      <c r="N55" t="str">
        <f ca="1">'(直掃)Change to adc mapping '!N119 &amp; ","</f>
        <v>9999,</v>
      </c>
      <c r="O55" t="str">
        <f ca="1">'(直掃)Change to adc mapping '!O119 &amp; ","</f>
        <v>9999,</v>
      </c>
      <c r="P55" t="str">
        <f ca="1">'(直掃)Change to adc mapping '!P119 &amp; ","</f>
        <v>9999,</v>
      </c>
      <c r="Q55" t="str">
        <f ca="1">'(直掃)Change to adc mapping '!Q119 &amp; ","</f>
        <v>9999,</v>
      </c>
      <c r="R55" t="str">
        <f ca="1">'(直掃)Change to adc mapping '!R119 &amp; ","</f>
        <v>9999,</v>
      </c>
      <c r="S55" t="str">
        <f ca="1">'(直掃)Change to adc mapping '!S119 &amp; ","</f>
        <v>9999,</v>
      </c>
      <c r="T55" t="str">
        <f ca="1">'(直掃)Change to adc mapping '!T119 &amp; ","</f>
        <v>9999,</v>
      </c>
      <c r="U55" t="str">
        <f ca="1">'(直掃)Change to adc mapping '!U119 &amp; ","</f>
        <v>9999,</v>
      </c>
      <c r="V55" t="str">
        <f ca="1">'(直掃)Change to adc mapping '!V119 &amp; ","</f>
        <v>9999,</v>
      </c>
      <c r="W55" t="str">
        <f ca="1">'(直掃)Change to adc mapping '!W119 &amp; ","</f>
        <v>9999,</v>
      </c>
      <c r="X55" t="str">
        <f ca="1">'(直掃)Change to adc mapping '!X119 &amp; ","</f>
        <v>9999,</v>
      </c>
      <c r="Y55" t="str">
        <f ca="1">'(直掃)Change to adc mapping '!Y119 &amp; ","</f>
        <v>-1,</v>
      </c>
      <c r="Z55" t="str">
        <f ca="1">'(直掃)Change to adc mapping '!Z119 &amp; ","</f>
        <v>-1,</v>
      </c>
      <c r="AA55" t="str">
        <f ca="1">'(直掃)Change to adc mapping '!AA119 &amp; ","</f>
        <v>-1,</v>
      </c>
      <c r="AB55" t="str">
        <f ca="1">'(直掃)Change to adc mapping '!AB119 &amp; ","</f>
        <v>-1,</v>
      </c>
      <c r="AC55" t="str">
        <f ca="1">'(直掃)Change to adc mapping '!AC119 &amp; ","</f>
        <v>-1,</v>
      </c>
      <c r="AD55" t="str">
        <f ca="1">'(直掃)Change to adc mapping '!AD119 &amp; ","</f>
        <v>-1,</v>
      </c>
      <c r="AE55" t="str">
        <f ca="1">'(直掃)Change to adc mapping '!AE119 &amp; ","</f>
        <v>-1,</v>
      </c>
      <c r="AF55" t="str">
        <f ca="1">'(直掃)Change to adc mapping '!AF119 &amp; ","</f>
        <v>149,</v>
      </c>
      <c r="AG55" t="str">
        <f ca="1">'(直掃)Change to adc mapping '!AG119 &amp; ","</f>
        <v>148,</v>
      </c>
      <c r="AH55" t="str">
        <f ca="1">'(直掃)Change to adc mapping '!AH119 &amp; ","</f>
        <v>147,</v>
      </c>
      <c r="AI55" t="str">
        <f ca="1">'(直掃)Change to adc mapping '!AI119 &amp; ","</f>
        <v>146,</v>
      </c>
      <c r="AJ55" t="str">
        <f ca="1">'(直掃)Change to adc mapping '!AJ119 &amp; ","</f>
        <v>145,</v>
      </c>
      <c r="AK55" t="str">
        <f ca="1">'(直掃)Change to adc mapping '!AK119 &amp; ","</f>
        <v>144,</v>
      </c>
      <c r="AL55" t="str">
        <f ca="1">'(直掃)Change to adc mapping '!AL119 &amp; ","</f>
        <v>143,</v>
      </c>
      <c r="AM55" t="str">
        <f ca="1">'(直掃)Change to adc mapping '!AM119 &amp; ","</f>
        <v>142,</v>
      </c>
      <c r="AN55" t="str">
        <f ca="1">'(直掃)Change to adc mapping '!AN119 &amp; ","</f>
        <v>141,</v>
      </c>
      <c r="AO55" t="str">
        <f ca="1">'(直掃)Change to adc mapping '!AO119 &amp; ","</f>
        <v>140,</v>
      </c>
      <c r="AP55" t="str">
        <f ca="1">'(直掃)Change to adc mapping '!AP119 &amp; ","</f>
        <v>139,</v>
      </c>
      <c r="AQ55" t="str">
        <f ca="1">'(直掃)Change to adc mapping '!AQ119 &amp; ","</f>
        <v>138,</v>
      </c>
      <c r="AR55" t="str">
        <f ca="1">'(直掃)Change to adc mapping '!AR119 &amp; ","</f>
        <v>137,</v>
      </c>
      <c r="AS55" t="str">
        <f ca="1">'(直掃)Change to adc mapping '!AS119 &amp; ","</f>
        <v>136,</v>
      </c>
      <c r="AT55" t="str">
        <f ca="1">'(直掃)Change to adc mapping '!AT119 &amp; ","</f>
        <v>135,</v>
      </c>
      <c r="AU55" t="str">
        <f ca="1">'(直掃)Change to adc mapping '!AU119 &amp; ","</f>
        <v>134,</v>
      </c>
      <c r="AV55" t="str">
        <f ca="1">'(直掃)Change to adc mapping '!AV119 &amp; ","</f>
        <v>133,</v>
      </c>
      <c r="AW55" t="str">
        <f ca="1">'(直掃)Change to adc mapping '!AW119 &amp; ","</f>
        <v>132,</v>
      </c>
      <c r="AX55" t="str">
        <f ca="1">'(直掃)Change to adc mapping '!AX119 &amp; ","</f>
        <v>131,</v>
      </c>
      <c r="AY55" t="str">
        <f ca="1">'(直掃)Change to adc mapping '!AY119 &amp; ","</f>
        <v>130,</v>
      </c>
      <c r="AZ55" t="str">
        <f ca="1">'(直掃)Change to adc mapping '!AZ119 &amp; ","</f>
        <v>129,</v>
      </c>
      <c r="BA55" t="str">
        <f ca="1">'(直掃)Change to adc mapping '!BA119 &amp; ","</f>
        <v>128,</v>
      </c>
      <c r="BB55" t="str">
        <f ca="1">'(直掃)Change to adc mapping '!BB119 &amp; ","</f>
        <v>127,</v>
      </c>
      <c r="BC55" t="str">
        <f ca="1">'(直掃)Change to adc mapping '!BC119 &amp; ","</f>
        <v>126,</v>
      </c>
      <c r="BD55" t="str">
        <f ca="1">'(直掃)Change to adc mapping '!BD119 &amp; ","</f>
        <v>125,</v>
      </c>
      <c r="BE55" t="str">
        <f ca="1">'(直掃)Change to adc mapping '!BE119 &amp; ","</f>
        <v>124,</v>
      </c>
      <c r="BF55" t="str">
        <f ca="1">'(直掃)Change to adc mapping '!BF119 &amp; ","</f>
        <v>123,</v>
      </c>
      <c r="BG55" t="str">
        <f ca="1">'(直掃)Change to adc mapping '!BG119 &amp; ","</f>
        <v>122,</v>
      </c>
      <c r="BH55" t="str">
        <f ca="1">'(直掃)Change to adc mapping '!BH119 &amp; ","</f>
        <v>121,</v>
      </c>
      <c r="BI55" t="str">
        <f ca="1">'(直掃)Change to adc mapping '!BI119 &amp; ","</f>
        <v>120,</v>
      </c>
    </row>
    <row r="56" spans="1:61" x14ac:dyDescent="0.25">
      <c r="A56" s="20">
        <v>55</v>
      </c>
      <c r="B56" t="str">
        <f ca="1">'(直掃)Change to adc mapping '!B120 &amp; ","</f>
        <v>9999,</v>
      </c>
      <c r="C56" t="str">
        <f ca="1">'(直掃)Change to adc mapping '!C120 &amp; ","</f>
        <v>9999,</v>
      </c>
      <c r="D56" t="str">
        <f ca="1">'(直掃)Change to adc mapping '!D120 &amp; ","</f>
        <v>9999,</v>
      </c>
      <c r="E56" t="str">
        <f ca="1">'(直掃)Change to adc mapping '!E120 &amp; ","</f>
        <v>9999,</v>
      </c>
      <c r="F56" t="str">
        <f ca="1">'(直掃)Change to adc mapping '!F120 &amp; ","</f>
        <v>9999,</v>
      </c>
      <c r="G56" t="str">
        <f ca="1">'(直掃)Change to adc mapping '!G120 &amp; ","</f>
        <v>9999,</v>
      </c>
      <c r="H56" t="str">
        <f ca="1">'(直掃)Change to adc mapping '!H120 &amp; ","</f>
        <v>9999,</v>
      </c>
      <c r="I56" t="str">
        <f ca="1">'(直掃)Change to adc mapping '!I120 &amp; ","</f>
        <v>9999,</v>
      </c>
      <c r="J56" t="str">
        <f ca="1">'(直掃)Change to adc mapping '!J120 &amp; ","</f>
        <v>9999,</v>
      </c>
      <c r="K56" t="str">
        <f ca="1">'(直掃)Change to adc mapping '!K120 &amp; ","</f>
        <v>9999,</v>
      </c>
      <c r="L56" t="str">
        <f ca="1">'(直掃)Change to adc mapping '!L120 &amp; ","</f>
        <v>9999,</v>
      </c>
      <c r="M56" t="str">
        <f ca="1">'(直掃)Change to adc mapping '!M120 &amp; ","</f>
        <v>9999,</v>
      </c>
      <c r="N56" t="str">
        <f ca="1">'(直掃)Change to adc mapping '!N120 &amp; ","</f>
        <v>9999,</v>
      </c>
      <c r="O56" t="str">
        <f ca="1">'(直掃)Change to adc mapping '!O120 &amp; ","</f>
        <v>9999,</v>
      </c>
      <c r="P56" t="str">
        <f ca="1">'(直掃)Change to adc mapping '!P120 &amp; ","</f>
        <v>9999,</v>
      </c>
      <c r="Q56" t="str">
        <f ca="1">'(直掃)Change to adc mapping '!Q120 &amp; ","</f>
        <v>9999,</v>
      </c>
      <c r="R56" t="str">
        <f ca="1">'(直掃)Change to adc mapping '!R120 &amp; ","</f>
        <v>9999,</v>
      </c>
      <c r="S56" t="str">
        <f ca="1">'(直掃)Change to adc mapping '!S120 &amp; ","</f>
        <v>9999,</v>
      </c>
      <c r="T56" t="str">
        <f ca="1">'(直掃)Change to adc mapping '!T120 &amp; ","</f>
        <v>9999,</v>
      </c>
      <c r="U56" t="str">
        <f ca="1">'(直掃)Change to adc mapping '!U120 &amp; ","</f>
        <v>9999,</v>
      </c>
      <c r="V56" t="str">
        <f ca="1">'(直掃)Change to adc mapping '!V120 &amp; ","</f>
        <v>9999,</v>
      </c>
      <c r="W56" t="str">
        <f ca="1">'(直掃)Change to adc mapping '!W120 &amp; ","</f>
        <v>9999,</v>
      </c>
      <c r="X56" t="str">
        <f ca="1">'(直掃)Change to adc mapping '!X120 &amp; ","</f>
        <v>9999,</v>
      </c>
      <c r="Y56" t="str">
        <f ca="1">'(直掃)Change to adc mapping '!Y120 &amp; ","</f>
        <v>-1,</v>
      </c>
      <c r="Z56" t="str">
        <f ca="1">'(直掃)Change to adc mapping '!Z120 &amp; ","</f>
        <v>-1,</v>
      </c>
      <c r="AA56" t="str">
        <f ca="1">'(直掃)Change to adc mapping '!AA120 &amp; ","</f>
        <v>-1,</v>
      </c>
      <c r="AB56" t="str">
        <f ca="1">'(直掃)Change to adc mapping '!AB120 &amp; ","</f>
        <v>-1,</v>
      </c>
      <c r="AC56" t="str">
        <f ca="1">'(直掃)Change to adc mapping '!AC120 &amp; ","</f>
        <v>-1,</v>
      </c>
      <c r="AD56" t="str">
        <f ca="1">'(直掃)Change to adc mapping '!AD120 &amp; ","</f>
        <v>-1,</v>
      </c>
      <c r="AE56" t="str">
        <f ca="1">'(直掃)Change to adc mapping '!AE120 &amp; ","</f>
        <v>-1,</v>
      </c>
      <c r="AF56" t="str">
        <f ca="1">'(直掃)Change to adc mapping '!AF120 &amp; ","</f>
        <v>209,</v>
      </c>
      <c r="AG56" t="str">
        <f ca="1">'(直掃)Change to adc mapping '!AG120 &amp; ","</f>
        <v>208,</v>
      </c>
      <c r="AH56" t="str">
        <f ca="1">'(直掃)Change to adc mapping '!AH120 &amp; ","</f>
        <v>207,</v>
      </c>
      <c r="AI56" t="str">
        <f ca="1">'(直掃)Change to adc mapping '!AI120 &amp; ","</f>
        <v>206,</v>
      </c>
      <c r="AJ56" t="str">
        <f ca="1">'(直掃)Change to adc mapping '!AJ120 &amp; ","</f>
        <v>205,</v>
      </c>
      <c r="AK56" t="str">
        <f ca="1">'(直掃)Change to adc mapping '!AK120 &amp; ","</f>
        <v>204,</v>
      </c>
      <c r="AL56" t="str">
        <f ca="1">'(直掃)Change to adc mapping '!AL120 &amp; ","</f>
        <v>203,</v>
      </c>
      <c r="AM56" t="str">
        <f ca="1">'(直掃)Change to adc mapping '!AM120 &amp; ","</f>
        <v>202,</v>
      </c>
      <c r="AN56" t="str">
        <f ca="1">'(直掃)Change to adc mapping '!AN120 &amp; ","</f>
        <v>201,</v>
      </c>
      <c r="AO56" t="str">
        <f ca="1">'(直掃)Change to adc mapping '!AO120 &amp; ","</f>
        <v>200,</v>
      </c>
      <c r="AP56" t="str">
        <f ca="1">'(直掃)Change to adc mapping '!AP120 &amp; ","</f>
        <v>199,</v>
      </c>
      <c r="AQ56" t="str">
        <f ca="1">'(直掃)Change to adc mapping '!AQ120 &amp; ","</f>
        <v>198,</v>
      </c>
      <c r="AR56" t="str">
        <f ca="1">'(直掃)Change to adc mapping '!AR120 &amp; ","</f>
        <v>197,</v>
      </c>
      <c r="AS56" t="str">
        <f ca="1">'(直掃)Change to adc mapping '!AS120 &amp; ","</f>
        <v>196,</v>
      </c>
      <c r="AT56" t="str">
        <f ca="1">'(直掃)Change to adc mapping '!AT120 &amp; ","</f>
        <v>195,</v>
      </c>
      <c r="AU56" t="str">
        <f ca="1">'(直掃)Change to adc mapping '!AU120 &amp; ","</f>
        <v>194,</v>
      </c>
      <c r="AV56" t="str">
        <f ca="1">'(直掃)Change to adc mapping '!AV120 &amp; ","</f>
        <v>193,</v>
      </c>
      <c r="AW56" t="str">
        <f ca="1">'(直掃)Change to adc mapping '!AW120 &amp; ","</f>
        <v>192,</v>
      </c>
      <c r="AX56" t="str">
        <f ca="1">'(直掃)Change to adc mapping '!AX120 &amp; ","</f>
        <v>191,</v>
      </c>
      <c r="AY56" t="str">
        <f ca="1">'(直掃)Change to adc mapping '!AY120 &amp; ","</f>
        <v>190,</v>
      </c>
      <c r="AZ56" t="str">
        <f ca="1">'(直掃)Change to adc mapping '!AZ120 &amp; ","</f>
        <v>189,</v>
      </c>
      <c r="BA56" t="str">
        <f ca="1">'(直掃)Change to adc mapping '!BA120 &amp; ","</f>
        <v>188,</v>
      </c>
      <c r="BB56" t="str">
        <f ca="1">'(直掃)Change to adc mapping '!BB120 &amp; ","</f>
        <v>187,</v>
      </c>
      <c r="BC56" t="str">
        <f ca="1">'(直掃)Change to adc mapping '!BC120 &amp; ","</f>
        <v>186,</v>
      </c>
      <c r="BD56" t="str">
        <f ca="1">'(直掃)Change to adc mapping '!BD120 &amp; ","</f>
        <v>185,</v>
      </c>
      <c r="BE56" t="str">
        <f ca="1">'(直掃)Change to adc mapping '!BE120 &amp; ","</f>
        <v>184,</v>
      </c>
      <c r="BF56" t="str">
        <f ca="1">'(直掃)Change to adc mapping '!BF120 &amp; ","</f>
        <v>183,</v>
      </c>
      <c r="BG56" t="str">
        <f ca="1">'(直掃)Change to adc mapping '!BG120 &amp; ","</f>
        <v>182,</v>
      </c>
      <c r="BH56" t="str">
        <f ca="1">'(直掃)Change to adc mapping '!BH120 &amp; ","</f>
        <v>181,</v>
      </c>
      <c r="BI56" t="str">
        <f ca="1">'(直掃)Change to adc mapping '!BI120 &amp; ","</f>
        <v>180,</v>
      </c>
    </row>
    <row r="57" spans="1:61" x14ac:dyDescent="0.25">
      <c r="A57" s="20">
        <v>56</v>
      </c>
      <c r="B57" t="str">
        <f ca="1">'(直掃)Change to adc mapping '!B121 &amp; ","</f>
        <v>9999,</v>
      </c>
      <c r="C57" t="str">
        <f ca="1">'(直掃)Change to adc mapping '!C121 &amp; ","</f>
        <v>9999,</v>
      </c>
      <c r="D57" t="str">
        <f ca="1">'(直掃)Change to adc mapping '!D121 &amp; ","</f>
        <v>9999,</v>
      </c>
      <c r="E57" t="str">
        <f ca="1">'(直掃)Change to adc mapping '!E121 &amp; ","</f>
        <v>9999,</v>
      </c>
      <c r="F57" t="str">
        <f ca="1">'(直掃)Change to adc mapping '!F121 &amp; ","</f>
        <v>9999,</v>
      </c>
      <c r="G57" t="str">
        <f ca="1">'(直掃)Change to adc mapping '!G121 &amp; ","</f>
        <v>9999,</v>
      </c>
      <c r="H57" t="str">
        <f ca="1">'(直掃)Change to adc mapping '!H121 &amp; ","</f>
        <v>9999,</v>
      </c>
      <c r="I57" t="str">
        <f ca="1">'(直掃)Change to adc mapping '!I121 &amp; ","</f>
        <v>9999,</v>
      </c>
      <c r="J57" t="str">
        <f ca="1">'(直掃)Change to adc mapping '!J121 &amp; ","</f>
        <v>9999,</v>
      </c>
      <c r="K57" t="str">
        <f ca="1">'(直掃)Change to adc mapping '!K121 &amp; ","</f>
        <v>9999,</v>
      </c>
      <c r="L57" t="str">
        <f ca="1">'(直掃)Change to adc mapping '!L121 &amp; ","</f>
        <v>9999,</v>
      </c>
      <c r="M57" t="str">
        <f ca="1">'(直掃)Change to adc mapping '!M121 &amp; ","</f>
        <v>9999,</v>
      </c>
      <c r="N57" t="str">
        <f ca="1">'(直掃)Change to adc mapping '!N121 &amp; ","</f>
        <v>9999,</v>
      </c>
      <c r="O57" t="str">
        <f ca="1">'(直掃)Change to adc mapping '!O121 &amp; ","</f>
        <v>9999,</v>
      </c>
      <c r="P57" t="str">
        <f ca="1">'(直掃)Change to adc mapping '!P121 &amp; ","</f>
        <v>9999,</v>
      </c>
      <c r="Q57" t="str">
        <f ca="1">'(直掃)Change to adc mapping '!Q121 &amp; ","</f>
        <v>9999,</v>
      </c>
      <c r="R57" t="str">
        <f ca="1">'(直掃)Change to adc mapping '!R121 &amp; ","</f>
        <v>9999,</v>
      </c>
      <c r="S57" t="str">
        <f ca="1">'(直掃)Change to adc mapping '!S121 &amp; ","</f>
        <v>9999,</v>
      </c>
      <c r="T57" t="str">
        <f ca="1">'(直掃)Change to adc mapping '!T121 &amp; ","</f>
        <v>9999,</v>
      </c>
      <c r="U57" t="str">
        <f ca="1">'(直掃)Change to adc mapping '!U121 &amp; ","</f>
        <v>9999,</v>
      </c>
      <c r="V57" t="str">
        <f ca="1">'(直掃)Change to adc mapping '!V121 &amp; ","</f>
        <v>9999,</v>
      </c>
      <c r="W57" t="str">
        <f ca="1">'(直掃)Change to adc mapping '!W121 &amp; ","</f>
        <v>9999,</v>
      </c>
      <c r="X57" t="str">
        <f ca="1">'(直掃)Change to adc mapping '!X121 &amp; ","</f>
        <v>9999,</v>
      </c>
      <c r="Y57" t="str">
        <f ca="1">'(直掃)Change to adc mapping '!Y121 &amp; ","</f>
        <v>-1,</v>
      </c>
      <c r="Z57" t="str">
        <f ca="1">'(直掃)Change to adc mapping '!Z121 &amp; ","</f>
        <v>-1,</v>
      </c>
      <c r="AA57" t="str">
        <f ca="1">'(直掃)Change to adc mapping '!AA121 &amp; ","</f>
        <v>-1,</v>
      </c>
      <c r="AB57" t="str">
        <f ca="1">'(直掃)Change to adc mapping '!AB121 &amp; ","</f>
        <v>-1,</v>
      </c>
      <c r="AC57" t="str">
        <f ca="1">'(直掃)Change to adc mapping '!AC121 &amp; ","</f>
        <v>-1,</v>
      </c>
      <c r="AD57" t="str">
        <f ca="1">'(直掃)Change to adc mapping '!AD121 &amp; ","</f>
        <v>-1,</v>
      </c>
      <c r="AE57" t="str">
        <f ca="1">'(直掃)Change to adc mapping '!AE121 &amp; ","</f>
        <v>-1,</v>
      </c>
      <c r="AF57" t="str">
        <f ca="1">'(直掃)Change to adc mapping '!AF121 &amp; ","</f>
        <v>179,</v>
      </c>
      <c r="AG57" t="str">
        <f ca="1">'(直掃)Change to adc mapping '!AG121 &amp; ","</f>
        <v>178,</v>
      </c>
      <c r="AH57" t="str">
        <f ca="1">'(直掃)Change to adc mapping '!AH121 &amp; ","</f>
        <v>177,</v>
      </c>
      <c r="AI57" t="str">
        <f ca="1">'(直掃)Change to adc mapping '!AI121 &amp; ","</f>
        <v>176,</v>
      </c>
      <c r="AJ57" t="str">
        <f ca="1">'(直掃)Change to adc mapping '!AJ121 &amp; ","</f>
        <v>175,</v>
      </c>
      <c r="AK57" t="str">
        <f ca="1">'(直掃)Change to adc mapping '!AK121 &amp; ","</f>
        <v>174,</v>
      </c>
      <c r="AL57" t="str">
        <f ca="1">'(直掃)Change to adc mapping '!AL121 &amp; ","</f>
        <v>173,</v>
      </c>
      <c r="AM57" t="str">
        <f ca="1">'(直掃)Change to adc mapping '!AM121 &amp; ","</f>
        <v>172,</v>
      </c>
      <c r="AN57" t="str">
        <f ca="1">'(直掃)Change to adc mapping '!AN121 &amp; ","</f>
        <v>171,</v>
      </c>
      <c r="AO57" t="str">
        <f ca="1">'(直掃)Change to adc mapping '!AO121 &amp; ","</f>
        <v>170,</v>
      </c>
      <c r="AP57" t="str">
        <f ca="1">'(直掃)Change to adc mapping '!AP121 &amp; ","</f>
        <v>169,</v>
      </c>
      <c r="AQ57" t="str">
        <f ca="1">'(直掃)Change to adc mapping '!AQ121 &amp; ","</f>
        <v>168,</v>
      </c>
      <c r="AR57" t="str">
        <f ca="1">'(直掃)Change to adc mapping '!AR121 &amp; ","</f>
        <v>167,</v>
      </c>
      <c r="AS57" t="str">
        <f ca="1">'(直掃)Change to adc mapping '!AS121 &amp; ","</f>
        <v>166,</v>
      </c>
      <c r="AT57" t="str">
        <f ca="1">'(直掃)Change to adc mapping '!AT121 &amp; ","</f>
        <v>165,</v>
      </c>
      <c r="AU57" t="str">
        <f ca="1">'(直掃)Change to adc mapping '!AU121 &amp; ","</f>
        <v>164,</v>
      </c>
      <c r="AV57" t="str">
        <f ca="1">'(直掃)Change to adc mapping '!AV121 &amp; ","</f>
        <v>163,</v>
      </c>
      <c r="AW57" t="str">
        <f ca="1">'(直掃)Change to adc mapping '!AW121 &amp; ","</f>
        <v>162,</v>
      </c>
      <c r="AX57" t="str">
        <f ca="1">'(直掃)Change to adc mapping '!AX121 &amp; ","</f>
        <v>161,</v>
      </c>
      <c r="AY57" t="str">
        <f ca="1">'(直掃)Change to adc mapping '!AY121 &amp; ","</f>
        <v>160,</v>
      </c>
      <c r="AZ57" t="str">
        <f ca="1">'(直掃)Change to adc mapping '!AZ121 &amp; ","</f>
        <v>159,</v>
      </c>
      <c r="BA57" t="str">
        <f ca="1">'(直掃)Change to adc mapping '!BA121 &amp; ","</f>
        <v>158,</v>
      </c>
      <c r="BB57" t="str">
        <f ca="1">'(直掃)Change to adc mapping '!BB121 &amp; ","</f>
        <v>157,</v>
      </c>
      <c r="BC57" t="str">
        <f ca="1">'(直掃)Change to adc mapping '!BC121 &amp; ","</f>
        <v>156,</v>
      </c>
      <c r="BD57" t="str">
        <f ca="1">'(直掃)Change to adc mapping '!BD121 &amp; ","</f>
        <v>155,</v>
      </c>
      <c r="BE57" t="str">
        <f ca="1">'(直掃)Change to adc mapping '!BE121 &amp; ","</f>
        <v>154,</v>
      </c>
      <c r="BF57" t="str">
        <f ca="1">'(直掃)Change to adc mapping '!BF121 &amp; ","</f>
        <v>153,</v>
      </c>
      <c r="BG57" t="str">
        <f ca="1">'(直掃)Change to adc mapping '!BG121 &amp; ","</f>
        <v>152,</v>
      </c>
      <c r="BH57" t="str">
        <f ca="1">'(直掃)Change to adc mapping '!BH121 &amp; ","</f>
        <v>151,</v>
      </c>
      <c r="BI57" t="str">
        <f ca="1">'(直掃)Change to adc mapping '!BI121 &amp; ","</f>
        <v>150,</v>
      </c>
    </row>
    <row r="58" spans="1:61" x14ac:dyDescent="0.25">
      <c r="A58" s="20">
        <v>57</v>
      </c>
      <c r="B58" t="str">
        <f ca="1">'(直掃)Change to adc mapping '!B122 &amp; ","</f>
        <v>9999,</v>
      </c>
      <c r="C58" t="str">
        <f ca="1">'(直掃)Change to adc mapping '!C122 &amp; ","</f>
        <v>9999,</v>
      </c>
      <c r="D58" t="str">
        <f ca="1">'(直掃)Change to adc mapping '!D122 &amp; ","</f>
        <v>9999,</v>
      </c>
      <c r="E58" t="str">
        <f ca="1">'(直掃)Change to adc mapping '!E122 &amp; ","</f>
        <v>9999,</v>
      </c>
      <c r="F58" t="str">
        <f ca="1">'(直掃)Change to adc mapping '!F122 &amp; ","</f>
        <v>9999,</v>
      </c>
      <c r="G58" t="str">
        <f ca="1">'(直掃)Change to adc mapping '!G122 &amp; ","</f>
        <v>9999,</v>
      </c>
      <c r="H58" t="str">
        <f ca="1">'(直掃)Change to adc mapping '!H122 &amp; ","</f>
        <v>9999,</v>
      </c>
      <c r="I58" t="str">
        <f ca="1">'(直掃)Change to adc mapping '!I122 &amp; ","</f>
        <v>9999,</v>
      </c>
      <c r="J58" t="str">
        <f ca="1">'(直掃)Change to adc mapping '!J122 &amp; ","</f>
        <v>9999,</v>
      </c>
      <c r="K58" t="str">
        <f ca="1">'(直掃)Change to adc mapping '!K122 &amp; ","</f>
        <v>9999,</v>
      </c>
      <c r="L58" t="str">
        <f ca="1">'(直掃)Change to adc mapping '!L122 &amp; ","</f>
        <v>9999,</v>
      </c>
      <c r="M58" t="str">
        <f ca="1">'(直掃)Change to adc mapping '!M122 &amp; ","</f>
        <v>9999,</v>
      </c>
      <c r="N58" t="str">
        <f ca="1">'(直掃)Change to adc mapping '!N122 &amp; ","</f>
        <v>9999,</v>
      </c>
      <c r="O58" t="str">
        <f ca="1">'(直掃)Change to adc mapping '!O122 &amp; ","</f>
        <v>9999,</v>
      </c>
      <c r="P58" t="str">
        <f ca="1">'(直掃)Change to adc mapping '!P122 &amp; ","</f>
        <v>9999,</v>
      </c>
      <c r="Q58" t="str">
        <f ca="1">'(直掃)Change to adc mapping '!Q122 &amp; ","</f>
        <v>9999,</v>
      </c>
      <c r="R58" t="str">
        <f ca="1">'(直掃)Change to adc mapping '!R122 &amp; ","</f>
        <v>9999,</v>
      </c>
      <c r="S58" t="str">
        <f ca="1">'(直掃)Change to adc mapping '!S122 &amp; ","</f>
        <v>9999,</v>
      </c>
      <c r="T58" t="str">
        <f ca="1">'(直掃)Change to adc mapping '!T122 &amp; ","</f>
        <v>9999,</v>
      </c>
      <c r="U58" t="str">
        <f ca="1">'(直掃)Change to adc mapping '!U122 &amp; ","</f>
        <v>9999,</v>
      </c>
      <c r="V58" t="str">
        <f ca="1">'(直掃)Change to adc mapping '!V122 &amp; ","</f>
        <v>9999,</v>
      </c>
      <c r="W58" t="str">
        <f ca="1">'(直掃)Change to adc mapping '!W122 &amp; ","</f>
        <v>9999,</v>
      </c>
      <c r="X58" t="str">
        <f ca="1">'(直掃)Change to adc mapping '!X122 &amp; ","</f>
        <v>9999,</v>
      </c>
      <c r="Y58" t="str">
        <f ca="1">'(直掃)Change to adc mapping '!Y122 &amp; ","</f>
        <v>-1,</v>
      </c>
      <c r="Z58" t="str">
        <f ca="1">'(直掃)Change to adc mapping '!Z122 &amp; ","</f>
        <v>-1,</v>
      </c>
      <c r="AA58" t="str">
        <f ca="1">'(直掃)Change to adc mapping '!AA122 &amp; ","</f>
        <v>-1,</v>
      </c>
      <c r="AB58" t="str">
        <f ca="1">'(直掃)Change to adc mapping '!AB122 &amp; ","</f>
        <v>-1,</v>
      </c>
      <c r="AC58" t="str">
        <f ca="1">'(直掃)Change to adc mapping '!AC122 &amp; ","</f>
        <v>-1,</v>
      </c>
      <c r="AD58" t="str">
        <f ca="1">'(直掃)Change to adc mapping '!AD122 &amp; ","</f>
        <v>-1,</v>
      </c>
      <c r="AE58" t="str">
        <f ca="1">'(直掃)Change to adc mapping '!AE122 &amp; ","</f>
        <v>-1,</v>
      </c>
      <c r="AF58" t="str">
        <f ca="1">'(直掃)Change to adc mapping '!AF122 &amp; ","</f>
        <v>149,</v>
      </c>
      <c r="AG58" t="str">
        <f ca="1">'(直掃)Change to adc mapping '!AG122 &amp; ","</f>
        <v>148,</v>
      </c>
      <c r="AH58" t="str">
        <f ca="1">'(直掃)Change to adc mapping '!AH122 &amp; ","</f>
        <v>147,</v>
      </c>
      <c r="AI58" t="str">
        <f ca="1">'(直掃)Change to adc mapping '!AI122 &amp; ","</f>
        <v>146,</v>
      </c>
      <c r="AJ58" t="str">
        <f ca="1">'(直掃)Change to adc mapping '!AJ122 &amp; ","</f>
        <v>145,</v>
      </c>
      <c r="AK58" t="str">
        <f ca="1">'(直掃)Change to adc mapping '!AK122 &amp; ","</f>
        <v>144,</v>
      </c>
      <c r="AL58" t="str">
        <f ca="1">'(直掃)Change to adc mapping '!AL122 &amp; ","</f>
        <v>143,</v>
      </c>
      <c r="AM58" t="str">
        <f ca="1">'(直掃)Change to adc mapping '!AM122 &amp; ","</f>
        <v>142,</v>
      </c>
      <c r="AN58" t="str">
        <f ca="1">'(直掃)Change to adc mapping '!AN122 &amp; ","</f>
        <v>141,</v>
      </c>
      <c r="AO58" t="str">
        <f ca="1">'(直掃)Change to adc mapping '!AO122 &amp; ","</f>
        <v>140,</v>
      </c>
      <c r="AP58" t="str">
        <f ca="1">'(直掃)Change to adc mapping '!AP122 &amp; ","</f>
        <v>139,</v>
      </c>
      <c r="AQ58" t="str">
        <f ca="1">'(直掃)Change to adc mapping '!AQ122 &amp; ","</f>
        <v>138,</v>
      </c>
      <c r="AR58" t="str">
        <f ca="1">'(直掃)Change to adc mapping '!AR122 &amp; ","</f>
        <v>137,</v>
      </c>
      <c r="AS58" t="str">
        <f ca="1">'(直掃)Change to adc mapping '!AS122 &amp; ","</f>
        <v>136,</v>
      </c>
      <c r="AT58" t="str">
        <f ca="1">'(直掃)Change to adc mapping '!AT122 &amp; ","</f>
        <v>135,</v>
      </c>
      <c r="AU58" t="str">
        <f ca="1">'(直掃)Change to adc mapping '!AU122 &amp; ","</f>
        <v>134,</v>
      </c>
      <c r="AV58" t="str">
        <f ca="1">'(直掃)Change to adc mapping '!AV122 &amp; ","</f>
        <v>133,</v>
      </c>
      <c r="AW58" t="str">
        <f ca="1">'(直掃)Change to adc mapping '!AW122 &amp; ","</f>
        <v>132,</v>
      </c>
      <c r="AX58" t="str">
        <f ca="1">'(直掃)Change to adc mapping '!AX122 &amp; ","</f>
        <v>131,</v>
      </c>
      <c r="AY58" t="str">
        <f ca="1">'(直掃)Change to adc mapping '!AY122 &amp; ","</f>
        <v>130,</v>
      </c>
      <c r="AZ58" t="str">
        <f ca="1">'(直掃)Change to adc mapping '!AZ122 &amp; ","</f>
        <v>129,</v>
      </c>
      <c r="BA58" t="str">
        <f ca="1">'(直掃)Change to adc mapping '!BA122 &amp; ","</f>
        <v>128,</v>
      </c>
      <c r="BB58" t="str">
        <f ca="1">'(直掃)Change to adc mapping '!BB122 &amp; ","</f>
        <v>127,</v>
      </c>
      <c r="BC58" t="str">
        <f ca="1">'(直掃)Change to adc mapping '!BC122 &amp; ","</f>
        <v>126,</v>
      </c>
      <c r="BD58" t="str">
        <f ca="1">'(直掃)Change to adc mapping '!BD122 &amp; ","</f>
        <v>125,</v>
      </c>
      <c r="BE58" t="str">
        <f ca="1">'(直掃)Change to adc mapping '!BE122 &amp; ","</f>
        <v>124,</v>
      </c>
      <c r="BF58" t="str">
        <f ca="1">'(直掃)Change to adc mapping '!BF122 &amp; ","</f>
        <v>123,</v>
      </c>
      <c r="BG58" t="str">
        <f ca="1">'(直掃)Change to adc mapping '!BG122 &amp; ","</f>
        <v>122,</v>
      </c>
      <c r="BH58" t="str">
        <f ca="1">'(直掃)Change to adc mapping '!BH122 &amp; ","</f>
        <v>121,</v>
      </c>
      <c r="BI58" t="str">
        <f ca="1">'(直掃)Change to adc mapping '!BI122 &amp; ","</f>
        <v>120,</v>
      </c>
    </row>
    <row r="59" spans="1:61" x14ac:dyDescent="0.25">
      <c r="A59" s="20">
        <v>58</v>
      </c>
      <c r="B59" t="str">
        <f ca="1">'(直掃)Change to adc mapping '!B123 &amp; ","</f>
        <v>9999,</v>
      </c>
      <c r="C59" t="str">
        <f ca="1">'(直掃)Change to adc mapping '!C123 &amp; ","</f>
        <v>9999,</v>
      </c>
      <c r="D59" t="str">
        <f ca="1">'(直掃)Change to adc mapping '!D123 &amp; ","</f>
        <v>9999,</v>
      </c>
      <c r="E59" t="str">
        <f ca="1">'(直掃)Change to adc mapping '!E123 &amp; ","</f>
        <v>9999,</v>
      </c>
      <c r="F59" t="str">
        <f ca="1">'(直掃)Change to adc mapping '!F123 &amp; ","</f>
        <v>9999,</v>
      </c>
      <c r="G59" t="str">
        <f ca="1">'(直掃)Change to adc mapping '!G123 &amp; ","</f>
        <v>9999,</v>
      </c>
      <c r="H59" t="str">
        <f ca="1">'(直掃)Change to adc mapping '!H123 &amp; ","</f>
        <v>9999,</v>
      </c>
      <c r="I59" t="str">
        <f ca="1">'(直掃)Change to adc mapping '!I123 &amp; ","</f>
        <v>9999,</v>
      </c>
      <c r="J59" t="str">
        <f ca="1">'(直掃)Change to adc mapping '!J123 &amp; ","</f>
        <v>9999,</v>
      </c>
      <c r="K59" t="str">
        <f ca="1">'(直掃)Change to adc mapping '!K123 &amp; ","</f>
        <v>9999,</v>
      </c>
      <c r="L59" t="str">
        <f ca="1">'(直掃)Change to adc mapping '!L123 &amp; ","</f>
        <v>9999,</v>
      </c>
      <c r="M59" t="str">
        <f ca="1">'(直掃)Change to adc mapping '!M123 &amp; ","</f>
        <v>9999,</v>
      </c>
      <c r="N59" t="str">
        <f ca="1">'(直掃)Change to adc mapping '!N123 &amp; ","</f>
        <v>9999,</v>
      </c>
      <c r="O59" t="str">
        <f ca="1">'(直掃)Change to adc mapping '!O123 &amp; ","</f>
        <v>9999,</v>
      </c>
      <c r="P59" t="str">
        <f ca="1">'(直掃)Change to adc mapping '!P123 &amp; ","</f>
        <v>9999,</v>
      </c>
      <c r="Q59" t="str">
        <f ca="1">'(直掃)Change to adc mapping '!Q123 &amp; ","</f>
        <v>9999,</v>
      </c>
      <c r="R59" t="str">
        <f ca="1">'(直掃)Change to adc mapping '!R123 &amp; ","</f>
        <v>9999,</v>
      </c>
      <c r="S59" t="str">
        <f ca="1">'(直掃)Change to adc mapping '!S123 &amp; ","</f>
        <v>9999,</v>
      </c>
      <c r="T59" t="str">
        <f ca="1">'(直掃)Change to adc mapping '!T123 &amp; ","</f>
        <v>9999,</v>
      </c>
      <c r="U59" t="str">
        <f ca="1">'(直掃)Change to adc mapping '!U123 &amp; ","</f>
        <v>9999,</v>
      </c>
      <c r="V59" t="str">
        <f ca="1">'(直掃)Change to adc mapping '!V123 &amp; ","</f>
        <v>9999,</v>
      </c>
      <c r="W59" t="str">
        <f ca="1">'(直掃)Change to adc mapping '!W123 &amp; ","</f>
        <v>9999,</v>
      </c>
      <c r="X59" t="str">
        <f ca="1">'(直掃)Change to adc mapping '!X123 &amp; ","</f>
        <v>9999,</v>
      </c>
      <c r="Y59" t="str">
        <f ca="1">'(直掃)Change to adc mapping '!Y123 &amp; ","</f>
        <v>-1,</v>
      </c>
      <c r="Z59" t="str">
        <f ca="1">'(直掃)Change to adc mapping '!Z123 &amp; ","</f>
        <v>-1,</v>
      </c>
      <c r="AA59" t="str">
        <f ca="1">'(直掃)Change to adc mapping '!AA123 &amp; ","</f>
        <v>-1,</v>
      </c>
      <c r="AB59" t="str">
        <f ca="1">'(直掃)Change to adc mapping '!AB123 &amp; ","</f>
        <v>-1,</v>
      </c>
      <c r="AC59" t="str">
        <f ca="1">'(直掃)Change to adc mapping '!AC123 &amp; ","</f>
        <v>-1,</v>
      </c>
      <c r="AD59" t="str">
        <f ca="1">'(直掃)Change to adc mapping '!AD123 &amp; ","</f>
        <v>-1,</v>
      </c>
      <c r="AE59" t="str">
        <f ca="1">'(直掃)Change to adc mapping '!AE123 &amp; ","</f>
        <v>-1,</v>
      </c>
      <c r="AF59" t="str">
        <f ca="1">'(直掃)Change to adc mapping '!AF123 &amp; ","</f>
        <v>209,</v>
      </c>
      <c r="AG59" t="str">
        <f ca="1">'(直掃)Change to adc mapping '!AG123 &amp; ","</f>
        <v>208,</v>
      </c>
      <c r="AH59" t="str">
        <f ca="1">'(直掃)Change to adc mapping '!AH123 &amp; ","</f>
        <v>207,</v>
      </c>
      <c r="AI59" t="str">
        <f ca="1">'(直掃)Change to adc mapping '!AI123 &amp; ","</f>
        <v>206,</v>
      </c>
      <c r="AJ59" t="str">
        <f ca="1">'(直掃)Change to adc mapping '!AJ123 &amp; ","</f>
        <v>205,</v>
      </c>
      <c r="AK59" t="str">
        <f ca="1">'(直掃)Change to adc mapping '!AK123 &amp; ","</f>
        <v>204,</v>
      </c>
      <c r="AL59" t="str">
        <f ca="1">'(直掃)Change to adc mapping '!AL123 &amp; ","</f>
        <v>203,</v>
      </c>
      <c r="AM59" t="str">
        <f ca="1">'(直掃)Change to adc mapping '!AM123 &amp; ","</f>
        <v>202,</v>
      </c>
      <c r="AN59" t="str">
        <f ca="1">'(直掃)Change to adc mapping '!AN123 &amp; ","</f>
        <v>201,</v>
      </c>
      <c r="AO59" t="str">
        <f ca="1">'(直掃)Change to adc mapping '!AO123 &amp; ","</f>
        <v>200,</v>
      </c>
      <c r="AP59" t="str">
        <f ca="1">'(直掃)Change to adc mapping '!AP123 &amp; ","</f>
        <v>199,</v>
      </c>
      <c r="AQ59" t="str">
        <f ca="1">'(直掃)Change to adc mapping '!AQ123 &amp; ","</f>
        <v>198,</v>
      </c>
      <c r="AR59" t="str">
        <f ca="1">'(直掃)Change to adc mapping '!AR123 &amp; ","</f>
        <v>197,</v>
      </c>
      <c r="AS59" t="str">
        <f ca="1">'(直掃)Change to adc mapping '!AS123 &amp; ","</f>
        <v>196,</v>
      </c>
      <c r="AT59" t="str">
        <f ca="1">'(直掃)Change to adc mapping '!AT123 &amp; ","</f>
        <v>195,</v>
      </c>
      <c r="AU59" t="str">
        <f ca="1">'(直掃)Change to adc mapping '!AU123 &amp; ","</f>
        <v>194,</v>
      </c>
      <c r="AV59" t="str">
        <f ca="1">'(直掃)Change to adc mapping '!AV123 &amp; ","</f>
        <v>193,</v>
      </c>
      <c r="AW59" t="str">
        <f ca="1">'(直掃)Change to adc mapping '!AW123 &amp; ","</f>
        <v>192,</v>
      </c>
      <c r="AX59" t="str">
        <f ca="1">'(直掃)Change to adc mapping '!AX123 &amp; ","</f>
        <v>191,</v>
      </c>
      <c r="AY59" t="str">
        <f ca="1">'(直掃)Change to adc mapping '!AY123 &amp; ","</f>
        <v>190,</v>
      </c>
      <c r="AZ59" t="str">
        <f ca="1">'(直掃)Change to adc mapping '!AZ123 &amp; ","</f>
        <v>189,</v>
      </c>
      <c r="BA59" t="str">
        <f ca="1">'(直掃)Change to adc mapping '!BA123 &amp; ","</f>
        <v>188,</v>
      </c>
      <c r="BB59" t="str">
        <f ca="1">'(直掃)Change to adc mapping '!BB123 &amp; ","</f>
        <v>187,</v>
      </c>
      <c r="BC59" t="str">
        <f ca="1">'(直掃)Change to adc mapping '!BC123 &amp; ","</f>
        <v>186,</v>
      </c>
      <c r="BD59" t="str">
        <f ca="1">'(直掃)Change to adc mapping '!BD123 &amp; ","</f>
        <v>185,</v>
      </c>
      <c r="BE59" t="str">
        <f ca="1">'(直掃)Change to adc mapping '!BE123 &amp; ","</f>
        <v>184,</v>
      </c>
      <c r="BF59" t="str">
        <f ca="1">'(直掃)Change to adc mapping '!BF123 &amp; ","</f>
        <v>183,</v>
      </c>
      <c r="BG59" t="str">
        <f ca="1">'(直掃)Change to adc mapping '!BG123 &amp; ","</f>
        <v>182,</v>
      </c>
      <c r="BH59" t="str">
        <f ca="1">'(直掃)Change to adc mapping '!BH123 &amp; ","</f>
        <v>181,</v>
      </c>
      <c r="BI59" t="str">
        <f ca="1">'(直掃)Change to adc mapping '!BI123 &amp; ","</f>
        <v>180,</v>
      </c>
    </row>
    <row r="60" spans="1:61" x14ac:dyDescent="0.25">
      <c r="A60" s="20">
        <v>59</v>
      </c>
      <c r="B60" t="str">
        <f ca="1">'(直掃)Change to adc mapping '!B124 &amp; ","</f>
        <v>9999,</v>
      </c>
      <c r="C60" t="str">
        <f ca="1">'(直掃)Change to adc mapping '!C124 &amp; ","</f>
        <v>9999,</v>
      </c>
      <c r="D60" t="str">
        <f ca="1">'(直掃)Change to adc mapping '!D124 &amp; ","</f>
        <v>9999,</v>
      </c>
      <c r="E60" t="str">
        <f ca="1">'(直掃)Change to adc mapping '!E124 &amp; ","</f>
        <v>9999,</v>
      </c>
      <c r="F60" t="str">
        <f ca="1">'(直掃)Change to adc mapping '!F124 &amp; ","</f>
        <v>9999,</v>
      </c>
      <c r="G60" t="str">
        <f ca="1">'(直掃)Change to adc mapping '!G124 &amp; ","</f>
        <v>9999,</v>
      </c>
      <c r="H60" t="str">
        <f ca="1">'(直掃)Change to adc mapping '!H124 &amp; ","</f>
        <v>9999,</v>
      </c>
      <c r="I60" t="str">
        <f ca="1">'(直掃)Change to adc mapping '!I124 &amp; ","</f>
        <v>9999,</v>
      </c>
      <c r="J60" t="str">
        <f ca="1">'(直掃)Change to adc mapping '!J124 &amp; ","</f>
        <v>9999,</v>
      </c>
      <c r="K60" t="str">
        <f ca="1">'(直掃)Change to adc mapping '!K124 &amp; ","</f>
        <v>9999,</v>
      </c>
      <c r="L60" t="str">
        <f ca="1">'(直掃)Change to adc mapping '!L124 &amp; ","</f>
        <v>9999,</v>
      </c>
      <c r="M60" t="str">
        <f ca="1">'(直掃)Change to adc mapping '!M124 &amp; ","</f>
        <v>9999,</v>
      </c>
      <c r="N60" t="str">
        <f ca="1">'(直掃)Change to adc mapping '!N124 &amp; ","</f>
        <v>9999,</v>
      </c>
      <c r="O60" t="str">
        <f ca="1">'(直掃)Change to adc mapping '!O124 &amp; ","</f>
        <v>9999,</v>
      </c>
      <c r="P60" t="str">
        <f ca="1">'(直掃)Change to adc mapping '!P124 &amp; ","</f>
        <v>9999,</v>
      </c>
      <c r="Q60" t="str">
        <f ca="1">'(直掃)Change to adc mapping '!Q124 &amp; ","</f>
        <v>9999,</v>
      </c>
      <c r="R60" t="str">
        <f ca="1">'(直掃)Change to adc mapping '!R124 &amp; ","</f>
        <v>9999,</v>
      </c>
      <c r="S60" t="str">
        <f ca="1">'(直掃)Change to adc mapping '!S124 &amp; ","</f>
        <v>9999,</v>
      </c>
      <c r="T60" t="str">
        <f ca="1">'(直掃)Change to adc mapping '!T124 &amp; ","</f>
        <v>9999,</v>
      </c>
      <c r="U60" t="str">
        <f ca="1">'(直掃)Change to adc mapping '!U124 &amp; ","</f>
        <v>9999,</v>
      </c>
      <c r="V60" t="str">
        <f ca="1">'(直掃)Change to adc mapping '!V124 &amp; ","</f>
        <v>9999,</v>
      </c>
      <c r="W60" t="str">
        <f ca="1">'(直掃)Change to adc mapping '!W124 &amp; ","</f>
        <v>9999,</v>
      </c>
      <c r="X60" t="str">
        <f ca="1">'(直掃)Change to adc mapping '!X124 &amp; ","</f>
        <v>9999,</v>
      </c>
      <c r="Y60" t="str">
        <f ca="1">'(直掃)Change to adc mapping '!Y124 &amp; ","</f>
        <v>-1,</v>
      </c>
      <c r="Z60" t="str">
        <f ca="1">'(直掃)Change to adc mapping '!Z124 &amp; ","</f>
        <v>-1,</v>
      </c>
      <c r="AA60" t="str">
        <f ca="1">'(直掃)Change to adc mapping '!AA124 &amp; ","</f>
        <v>-1,</v>
      </c>
      <c r="AB60" t="str">
        <f ca="1">'(直掃)Change to adc mapping '!AB124 &amp; ","</f>
        <v>-1,</v>
      </c>
      <c r="AC60" t="str">
        <f ca="1">'(直掃)Change to adc mapping '!AC124 &amp; ","</f>
        <v>-1,</v>
      </c>
      <c r="AD60" t="str">
        <f ca="1">'(直掃)Change to adc mapping '!AD124 &amp; ","</f>
        <v>-1,</v>
      </c>
      <c r="AE60" t="str">
        <f ca="1">'(直掃)Change to adc mapping '!AE124 &amp; ","</f>
        <v>-1,</v>
      </c>
      <c r="AF60" t="str">
        <f ca="1">'(直掃)Change to adc mapping '!AF124 &amp; ","</f>
        <v>179,</v>
      </c>
      <c r="AG60" t="str">
        <f ca="1">'(直掃)Change to adc mapping '!AG124 &amp; ","</f>
        <v>178,</v>
      </c>
      <c r="AH60" t="str">
        <f ca="1">'(直掃)Change to adc mapping '!AH124 &amp; ","</f>
        <v>177,</v>
      </c>
      <c r="AI60" t="str">
        <f ca="1">'(直掃)Change to adc mapping '!AI124 &amp; ","</f>
        <v>176,</v>
      </c>
      <c r="AJ60" t="str">
        <f ca="1">'(直掃)Change to adc mapping '!AJ124 &amp; ","</f>
        <v>175,</v>
      </c>
      <c r="AK60" t="str">
        <f ca="1">'(直掃)Change to adc mapping '!AK124 &amp; ","</f>
        <v>174,</v>
      </c>
      <c r="AL60" t="str">
        <f ca="1">'(直掃)Change to adc mapping '!AL124 &amp; ","</f>
        <v>173,</v>
      </c>
      <c r="AM60" t="str">
        <f ca="1">'(直掃)Change to adc mapping '!AM124 &amp; ","</f>
        <v>172,</v>
      </c>
      <c r="AN60" t="str">
        <f ca="1">'(直掃)Change to adc mapping '!AN124 &amp; ","</f>
        <v>171,</v>
      </c>
      <c r="AO60" t="str">
        <f ca="1">'(直掃)Change to adc mapping '!AO124 &amp; ","</f>
        <v>170,</v>
      </c>
      <c r="AP60" t="str">
        <f ca="1">'(直掃)Change to adc mapping '!AP124 &amp; ","</f>
        <v>169,</v>
      </c>
      <c r="AQ60" t="str">
        <f ca="1">'(直掃)Change to adc mapping '!AQ124 &amp; ","</f>
        <v>168,</v>
      </c>
      <c r="AR60" t="str">
        <f ca="1">'(直掃)Change to adc mapping '!AR124 &amp; ","</f>
        <v>167,</v>
      </c>
      <c r="AS60" t="str">
        <f ca="1">'(直掃)Change to adc mapping '!AS124 &amp; ","</f>
        <v>166,</v>
      </c>
      <c r="AT60" t="str">
        <f ca="1">'(直掃)Change to adc mapping '!AT124 &amp; ","</f>
        <v>165,</v>
      </c>
      <c r="AU60" t="str">
        <f ca="1">'(直掃)Change to adc mapping '!AU124 &amp; ","</f>
        <v>164,</v>
      </c>
      <c r="AV60" t="str">
        <f ca="1">'(直掃)Change to adc mapping '!AV124 &amp; ","</f>
        <v>163,</v>
      </c>
      <c r="AW60" t="str">
        <f ca="1">'(直掃)Change to adc mapping '!AW124 &amp; ","</f>
        <v>162,</v>
      </c>
      <c r="AX60" t="str">
        <f ca="1">'(直掃)Change to adc mapping '!AX124 &amp; ","</f>
        <v>161,</v>
      </c>
      <c r="AY60" t="str">
        <f ca="1">'(直掃)Change to adc mapping '!AY124 &amp; ","</f>
        <v>160,</v>
      </c>
      <c r="AZ60" t="str">
        <f ca="1">'(直掃)Change to adc mapping '!AZ124 &amp; ","</f>
        <v>159,</v>
      </c>
      <c r="BA60" t="str">
        <f ca="1">'(直掃)Change to adc mapping '!BA124 &amp; ","</f>
        <v>158,</v>
      </c>
      <c r="BB60" t="str">
        <f ca="1">'(直掃)Change to adc mapping '!BB124 &amp; ","</f>
        <v>157,</v>
      </c>
      <c r="BC60" t="str">
        <f ca="1">'(直掃)Change to adc mapping '!BC124 &amp; ","</f>
        <v>156,</v>
      </c>
      <c r="BD60" t="str">
        <f ca="1">'(直掃)Change to adc mapping '!BD124 &amp; ","</f>
        <v>155,</v>
      </c>
      <c r="BE60" t="str">
        <f ca="1">'(直掃)Change to adc mapping '!BE124 &amp; ","</f>
        <v>154,</v>
      </c>
      <c r="BF60" t="str">
        <f ca="1">'(直掃)Change to adc mapping '!BF124 &amp; ","</f>
        <v>153,</v>
      </c>
      <c r="BG60" t="str">
        <f ca="1">'(直掃)Change to adc mapping '!BG124 &amp; ","</f>
        <v>152,</v>
      </c>
      <c r="BH60" t="str">
        <f ca="1">'(直掃)Change to adc mapping '!BH124 &amp; ","</f>
        <v>151,</v>
      </c>
      <c r="BI60" t="str">
        <f ca="1">'(直掃)Change to adc mapping '!BI124 &amp; ","</f>
        <v>150,</v>
      </c>
    </row>
    <row r="61" spans="1:61" x14ac:dyDescent="0.25">
      <c r="A61" s="20">
        <v>60</v>
      </c>
      <c r="B61" t="str">
        <f ca="1">'(直掃)Change to adc mapping '!B125 &amp; ","</f>
        <v>9999,</v>
      </c>
      <c r="C61" t="str">
        <f ca="1">'(直掃)Change to adc mapping '!C125 &amp; ","</f>
        <v>9999,</v>
      </c>
      <c r="D61" t="str">
        <f ca="1">'(直掃)Change to adc mapping '!D125 &amp; ","</f>
        <v>9999,</v>
      </c>
      <c r="E61" t="str">
        <f ca="1">'(直掃)Change to adc mapping '!E125 &amp; ","</f>
        <v>9999,</v>
      </c>
      <c r="F61" t="str">
        <f ca="1">'(直掃)Change to adc mapping '!F125 &amp; ","</f>
        <v>9999,</v>
      </c>
      <c r="G61" t="str">
        <f ca="1">'(直掃)Change to adc mapping '!G125 &amp; ","</f>
        <v>9999,</v>
      </c>
      <c r="H61" t="str">
        <f ca="1">'(直掃)Change to adc mapping '!H125 &amp; ","</f>
        <v>9999,</v>
      </c>
      <c r="I61" t="str">
        <f ca="1">'(直掃)Change to adc mapping '!I125 &amp; ","</f>
        <v>9999,</v>
      </c>
      <c r="J61" t="str">
        <f ca="1">'(直掃)Change to adc mapping '!J125 &amp; ","</f>
        <v>9999,</v>
      </c>
      <c r="K61" t="str">
        <f ca="1">'(直掃)Change to adc mapping '!K125 &amp; ","</f>
        <v>9999,</v>
      </c>
      <c r="L61" t="str">
        <f ca="1">'(直掃)Change to adc mapping '!L125 &amp; ","</f>
        <v>9999,</v>
      </c>
      <c r="M61" t="str">
        <f ca="1">'(直掃)Change to adc mapping '!M125 &amp; ","</f>
        <v>9999,</v>
      </c>
      <c r="N61" t="str">
        <f ca="1">'(直掃)Change to adc mapping '!N125 &amp; ","</f>
        <v>9999,</v>
      </c>
      <c r="O61" t="str">
        <f ca="1">'(直掃)Change to adc mapping '!O125 &amp; ","</f>
        <v>9999,</v>
      </c>
      <c r="P61" t="str">
        <f ca="1">'(直掃)Change to adc mapping '!P125 &amp; ","</f>
        <v>9999,</v>
      </c>
      <c r="Q61" t="str">
        <f ca="1">'(直掃)Change to adc mapping '!Q125 &amp; ","</f>
        <v>9999,</v>
      </c>
      <c r="R61" t="str">
        <f ca="1">'(直掃)Change to adc mapping '!R125 &amp; ","</f>
        <v>9999,</v>
      </c>
      <c r="S61" t="str">
        <f ca="1">'(直掃)Change to adc mapping '!S125 &amp; ","</f>
        <v>9999,</v>
      </c>
      <c r="T61" t="str">
        <f ca="1">'(直掃)Change to adc mapping '!T125 &amp; ","</f>
        <v>9999,</v>
      </c>
      <c r="U61" t="str">
        <f ca="1">'(直掃)Change to adc mapping '!U125 &amp; ","</f>
        <v>9999,</v>
      </c>
      <c r="V61" t="str">
        <f ca="1">'(直掃)Change to adc mapping '!V125 &amp; ","</f>
        <v>9999,</v>
      </c>
      <c r="W61" t="str">
        <f ca="1">'(直掃)Change to adc mapping '!W125 &amp; ","</f>
        <v>9999,</v>
      </c>
      <c r="X61" t="str">
        <f ca="1">'(直掃)Change to adc mapping '!X125 &amp; ","</f>
        <v>9999,</v>
      </c>
      <c r="Y61" t="str">
        <f ca="1">'(直掃)Change to adc mapping '!Y125 &amp; ","</f>
        <v>-1,</v>
      </c>
      <c r="Z61" t="str">
        <f ca="1">'(直掃)Change to adc mapping '!Z125 &amp; ","</f>
        <v>-1,</v>
      </c>
      <c r="AA61" t="str">
        <f ca="1">'(直掃)Change to adc mapping '!AA125 &amp; ","</f>
        <v>-1,</v>
      </c>
      <c r="AB61" t="str">
        <f ca="1">'(直掃)Change to adc mapping '!AB125 &amp; ","</f>
        <v>-1,</v>
      </c>
      <c r="AC61" t="str">
        <f ca="1">'(直掃)Change to adc mapping '!AC125 &amp; ","</f>
        <v>-1,</v>
      </c>
      <c r="AD61" t="str">
        <f ca="1">'(直掃)Change to adc mapping '!AD125 &amp; ","</f>
        <v>-1,</v>
      </c>
      <c r="AE61" t="str">
        <f ca="1">'(直掃)Change to adc mapping '!AE125 &amp; ","</f>
        <v>-1,</v>
      </c>
      <c r="AF61" t="str">
        <f ca="1">'(直掃)Change to adc mapping '!AF125 &amp; ","</f>
        <v>149,</v>
      </c>
      <c r="AG61" t="str">
        <f ca="1">'(直掃)Change to adc mapping '!AG125 &amp; ","</f>
        <v>148,</v>
      </c>
      <c r="AH61" t="str">
        <f ca="1">'(直掃)Change to adc mapping '!AH125 &amp; ","</f>
        <v>147,</v>
      </c>
      <c r="AI61" t="str">
        <f ca="1">'(直掃)Change to adc mapping '!AI125 &amp; ","</f>
        <v>146,</v>
      </c>
      <c r="AJ61" t="str">
        <f ca="1">'(直掃)Change to adc mapping '!AJ125 &amp; ","</f>
        <v>145,</v>
      </c>
      <c r="AK61" t="str">
        <f ca="1">'(直掃)Change to adc mapping '!AK125 &amp; ","</f>
        <v>144,</v>
      </c>
      <c r="AL61" t="str">
        <f ca="1">'(直掃)Change to adc mapping '!AL125 &amp; ","</f>
        <v>143,</v>
      </c>
      <c r="AM61" t="str">
        <f ca="1">'(直掃)Change to adc mapping '!AM125 &amp; ","</f>
        <v>142,</v>
      </c>
      <c r="AN61" t="str">
        <f ca="1">'(直掃)Change to adc mapping '!AN125 &amp; ","</f>
        <v>141,</v>
      </c>
      <c r="AO61" t="str">
        <f ca="1">'(直掃)Change to adc mapping '!AO125 &amp; ","</f>
        <v>140,</v>
      </c>
      <c r="AP61" t="str">
        <f ca="1">'(直掃)Change to adc mapping '!AP125 &amp; ","</f>
        <v>139,</v>
      </c>
      <c r="AQ61" t="str">
        <f ca="1">'(直掃)Change to adc mapping '!AQ125 &amp; ","</f>
        <v>138,</v>
      </c>
      <c r="AR61" t="str">
        <f ca="1">'(直掃)Change to adc mapping '!AR125 &amp; ","</f>
        <v>137,</v>
      </c>
      <c r="AS61" t="str">
        <f ca="1">'(直掃)Change to adc mapping '!AS125 &amp; ","</f>
        <v>136,</v>
      </c>
      <c r="AT61" t="str">
        <f ca="1">'(直掃)Change to adc mapping '!AT125 &amp; ","</f>
        <v>135,</v>
      </c>
      <c r="AU61" t="str">
        <f ca="1">'(直掃)Change to adc mapping '!AU125 &amp; ","</f>
        <v>134,</v>
      </c>
      <c r="AV61" t="str">
        <f ca="1">'(直掃)Change to adc mapping '!AV125 &amp; ","</f>
        <v>133,</v>
      </c>
      <c r="AW61" t="str">
        <f ca="1">'(直掃)Change to adc mapping '!AW125 &amp; ","</f>
        <v>132,</v>
      </c>
      <c r="AX61" t="str">
        <f ca="1">'(直掃)Change to adc mapping '!AX125 &amp; ","</f>
        <v>131,</v>
      </c>
      <c r="AY61" t="str">
        <f ca="1">'(直掃)Change to adc mapping '!AY125 &amp; ","</f>
        <v>130,</v>
      </c>
      <c r="AZ61" t="str">
        <f ca="1">'(直掃)Change to adc mapping '!AZ125 &amp; ","</f>
        <v>129,</v>
      </c>
      <c r="BA61" t="str">
        <f ca="1">'(直掃)Change to adc mapping '!BA125 &amp; ","</f>
        <v>128,</v>
      </c>
      <c r="BB61" t="str">
        <f ca="1">'(直掃)Change to adc mapping '!BB125 &amp; ","</f>
        <v>127,</v>
      </c>
      <c r="BC61" t="str">
        <f ca="1">'(直掃)Change to adc mapping '!BC125 &amp; ","</f>
        <v>126,</v>
      </c>
      <c r="BD61" t="str">
        <f ca="1">'(直掃)Change to adc mapping '!BD125 &amp; ","</f>
        <v>125,</v>
      </c>
      <c r="BE61" t="str">
        <f ca="1">'(直掃)Change to adc mapping '!BE125 &amp; ","</f>
        <v>124,</v>
      </c>
      <c r="BF61" t="str">
        <f ca="1">'(直掃)Change to adc mapping '!BF125 &amp; ","</f>
        <v>123,</v>
      </c>
      <c r="BG61" t="str">
        <f ca="1">'(直掃)Change to adc mapping '!BG125 &amp; ","</f>
        <v>122,</v>
      </c>
      <c r="BH61" t="str">
        <f ca="1">'(直掃)Change to adc mapping '!BH125 &amp; ","</f>
        <v>121,</v>
      </c>
      <c r="BI61" t="str">
        <f ca="1">'(直掃)Change to adc mapping '!BI125 &amp; ","</f>
        <v>120,</v>
      </c>
    </row>
  </sheetData>
  <phoneticPr fontId="2" type="noConversion"/>
  <conditionalFormatting sqref="B2:BI61">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CDABF-AAE2-4529-A134-4B120A0F7F9E}">
  <sheetPr>
    <tabColor theme="7"/>
  </sheetPr>
  <dimension ref="A1:BI61"/>
  <sheetViews>
    <sheetView topLeftCell="AC1" zoomScale="55" zoomScaleNormal="55" workbookViewId="0">
      <selection activeCell="AF34" sqref="AF34"/>
    </sheetView>
  </sheetViews>
  <sheetFormatPr defaultRowHeight="15.75" x14ac:dyDescent="0.25"/>
  <cols>
    <col min="1" max="1" width="5.7109375" style="20" customWidth="1"/>
    <col min="2" max="61" width="5.7109375" customWidth="1"/>
  </cols>
  <sheetData>
    <row r="1" spans="1:61" x14ac:dyDescent="0.25">
      <c r="B1" s="20">
        <v>1</v>
      </c>
      <c r="C1" s="20">
        <v>2</v>
      </c>
      <c r="D1" s="20">
        <v>3</v>
      </c>
      <c r="E1" s="20">
        <v>4</v>
      </c>
      <c r="F1" s="20">
        <v>5</v>
      </c>
      <c r="G1" s="20">
        <v>6</v>
      </c>
      <c r="H1" s="20">
        <v>7</v>
      </c>
      <c r="I1" s="20">
        <v>8</v>
      </c>
      <c r="J1" s="20">
        <v>9</v>
      </c>
      <c r="K1" s="20">
        <v>10</v>
      </c>
      <c r="L1" s="20">
        <v>11</v>
      </c>
      <c r="M1" s="20">
        <v>12</v>
      </c>
      <c r="N1" s="20">
        <v>13</v>
      </c>
      <c r="O1" s="20">
        <v>14</v>
      </c>
      <c r="P1" s="20">
        <v>15</v>
      </c>
      <c r="Q1" s="20">
        <v>16</v>
      </c>
      <c r="R1" s="20">
        <v>17</v>
      </c>
      <c r="S1" s="20">
        <v>18</v>
      </c>
      <c r="T1" s="20">
        <v>19</v>
      </c>
      <c r="U1" s="20">
        <v>20</v>
      </c>
      <c r="V1" s="20">
        <v>21</v>
      </c>
      <c r="W1" s="20">
        <v>22</v>
      </c>
      <c r="X1" s="20">
        <v>23</v>
      </c>
      <c r="Y1" s="20">
        <v>24</v>
      </c>
      <c r="Z1" s="20">
        <v>25</v>
      </c>
      <c r="AA1" s="20">
        <v>26</v>
      </c>
      <c r="AB1" s="20">
        <v>27</v>
      </c>
      <c r="AC1" s="20">
        <v>28</v>
      </c>
      <c r="AD1" s="20">
        <v>29</v>
      </c>
      <c r="AE1" s="20">
        <v>30</v>
      </c>
      <c r="AF1" s="20">
        <v>31</v>
      </c>
      <c r="AG1" s="20">
        <v>32</v>
      </c>
      <c r="AH1" s="20">
        <v>33</v>
      </c>
      <c r="AI1" s="20">
        <v>34</v>
      </c>
      <c r="AJ1" s="20">
        <v>35</v>
      </c>
      <c r="AK1" s="20">
        <v>36</v>
      </c>
      <c r="AL1" s="20">
        <v>37</v>
      </c>
      <c r="AM1" s="20">
        <v>38</v>
      </c>
      <c r="AN1" s="20">
        <v>39</v>
      </c>
      <c r="AO1" s="20">
        <v>40</v>
      </c>
      <c r="AP1" s="20">
        <v>41</v>
      </c>
      <c r="AQ1" s="20">
        <v>42</v>
      </c>
      <c r="AR1" s="20">
        <v>43</v>
      </c>
      <c r="AS1" s="20">
        <v>44</v>
      </c>
      <c r="AT1" s="20">
        <v>45</v>
      </c>
      <c r="AU1" s="20">
        <v>46</v>
      </c>
      <c r="AV1" s="20">
        <v>47</v>
      </c>
      <c r="AW1" s="20">
        <v>48</v>
      </c>
      <c r="AX1" s="20">
        <v>49</v>
      </c>
      <c r="AY1" s="20">
        <v>50</v>
      </c>
      <c r="AZ1" s="20">
        <v>51</v>
      </c>
      <c r="BA1" s="20">
        <v>52</v>
      </c>
      <c r="BB1" s="20">
        <v>53</v>
      </c>
      <c r="BC1" s="20">
        <v>54</v>
      </c>
      <c r="BD1" s="20">
        <v>55</v>
      </c>
      <c r="BE1" s="20">
        <v>56</v>
      </c>
      <c r="BF1" s="20">
        <v>57</v>
      </c>
      <c r="BG1" s="20">
        <v>58</v>
      </c>
      <c r="BH1" s="20">
        <v>59</v>
      </c>
      <c r="BI1" s="20">
        <v>60</v>
      </c>
    </row>
    <row r="2" spans="1:61" x14ac:dyDescent="0.25">
      <c r="A2" s="20">
        <v>1</v>
      </c>
      <c r="B2" t="str">
        <f ca="1">'(直掃)Change to adc mapping '!B66 &amp; ","</f>
        <v>9999,</v>
      </c>
      <c r="C2" t="str">
        <f ca="1">'(直掃)Change to adc mapping '!C66 &amp; ","</f>
        <v>9999,</v>
      </c>
      <c r="D2" t="str">
        <f ca="1">'(直掃)Change to adc mapping '!D66 &amp; ","</f>
        <v>9999,</v>
      </c>
      <c r="E2" t="str">
        <f ca="1">'(直掃)Change to adc mapping '!E66 &amp; ","</f>
        <v>9999,</v>
      </c>
      <c r="F2" t="str">
        <f ca="1">'(直掃)Change to adc mapping '!F66 &amp; ","</f>
        <v>9999,</v>
      </c>
      <c r="G2" t="str">
        <f ca="1">'(直掃)Change to adc mapping '!G66 &amp; ","</f>
        <v>9999,</v>
      </c>
      <c r="H2" t="str">
        <f ca="1">'(直掃)Change to adc mapping '!H66 &amp; ","</f>
        <v>9999,</v>
      </c>
      <c r="I2" t="str">
        <f ca="1">'(直掃)Change to adc mapping '!I66 &amp; ","</f>
        <v>9999,</v>
      </c>
      <c r="J2" t="str">
        <f ca="1">'(直掃)Change to adc mapping '!J66 &amp; ","</f>
        <v>9999,</v>
      </c>
      <c r="K2" t="str">
        <f ca="1">'(直掃)Change to adc mapping '!K66 &amp; ","</f>
        <v>9999,</v>
      </c>
      <c r="L2" t="str">
        <f ca="1">'(直掃)Change to adc mapping '!L66 &amp; ","</f>
        <v>9999,</v>
      </c>
      <c r="M2" t="str">
        <f ca="1">'(直掃)Change to adc mapping '!M66 &amp; ","</f>
        <v>9999,</v>
      </c>
      <c r="N2" t="str">
        <f ca="1">'(直掃)Change to adc mapping '!N66 &amp; ","</f>
        <v>9999,</v>
      </c>
      <c r="O2" t="str">
        <f ca="1">'(直掃)Change to adc mapping '!O66 &amp; ","</f>
        <v>9999,</v>
      </c>
      <c r="P2" t="str">
        <f ca="1">'(直掃)Change to adc mapping '!P66 &amp; ","</f>
        <v>9999,</v>
      </c>
      <c r="Q2" t="str">
        <f ca="1">'(直掃)Change to adc mapping '!Q66 &amp; ","</f>
        <v>9999,</v>
      </c>
      <c r="R2" t="str">
        <f ca="1">'(直掃)Change to adc mapping '!R66 &amp; ","</f>
        <v>9999,</v>
      </c>
      <c r="S2" t="str">
        <f ca="1">'(直掃)Change to adc mapping '!S66 &amp; ","</f>
        <v>9999,</v>
      </c>
      <c r="T2" t="str">
        <f ca="1">'(直掃)Change to adc mapping '!T66 &amp; ","</f>
        <v>9999,</v>
      </c>
      <c r="U2" t="str">
        <f ca="1">'(直掃)Change to adc mapping '!U66 &amp; ","</f>
        <v>9999,</v>
      </c>
      <c r="V2" t="str">
        <f ca="1">'(直掃)Change to adc mapping '!V66 &amp; ","</f>
        <v>9999,</v>
      </c>
      <c r="W2" t="str">
        <f ca="1">'(直掃)Change to adc mapping '!W66 &amp; ","</f>
        <v>9999,</v>
      </c>
      <c r="X2" t="str">
        <f ca="1">'(直掃)Change to adc mapping '!X66 &amp; ","</f>
        <v>9999,</v>
      </c>
      <c r="Y2" t="str">
        <f ca="1">'(直掃)Change to adc mapping '!Y66 &amp; ","</f>
        <v>9999,</v>
      </c>
      <c r="Z2" t="str">
        <f ca="1">'(直掃)Change to adc mapping '!Z66 &amp; ","</f>
        <v>9999,</v>
      </c>
      <c r="AA2" t="str">
        <f ca="1">'(直掃)Change to adc mapping '!AA66 &amp; ","</f>
        <v>9999,</v>
      </c>
      <c r="AB2" t="str">
        <f ca="1">'(直掃)Change to adc mapping '!AB66 &amp; ","</f>
        <v>9999,</v>
      </c>
      <c r="AC2" t="str">
        <f ca="1">'(直掃)Change to adc mapping '!AC66 &amp; ","</f>
        <v>9999,</v>
      </c>
      <c r="AD2" t="str">
        <f ca="1">'(直掃)Change to adc mapping '!AD66 &amp; ","</f>
        <v>9999,</v>
      </c>
      <c r="AE2" t="str">
        <f ca="1">'(直掃)Change to adc mapping '!AE66 &amp; ","</f>
        <v>9999,</v>
      </c>
      <c r="AF2" t="str">
        <f ca="1">'(直掃)Change to adc mapping '!AF66 &amp; ","</f>
        <v>9999,</v>
      </c>
      <c r="AG2" t="str">
        <f ca="1">'(直掃)Change to adc mapping '!AG66 &amp; ","</f>
        <v>9999,</v>
      </c>
      <c r="AH2" t="str">
        <f ca="1">'(直掃)Change to adc mapping '!AH66 &amp; ","</f>
        <v>9999,</v>
      </c>
      <c r="AI2" t="str">
        <f ca="1">'(直掃)Change to adc mapping '!AI66 &amp; ","</f>
        <v>9999,</v>
      </c>
      <c r="AJ2" t="str">
        <f ca="1">'(直掃)Change to adc mapping '!AJ66 &amp; ","</f>
        <v>9999,</v>
      </c>
      <c r="AK2" t="str">
        <f ca="1">'(直掃)Change to adc mapping '!AK66 &amp; ","</f>
        <v>9999,</v>
      </c>
      <c r="AL2" t="str">
        <f ca="1">'(直掃)Change to adc mapping '!AL66 &amp; ","</f>
        <v>9999,</v>
      </c>
      <c r="AM2" t="str">
        <f ca="1">'(直掃)Change to adc mapping '!AM66 &amp; ","</f>
        <v>9999,</v>
      </c>
      <c r="AN2" t="str">
        <f ca="1">'(直掃)Change to adc mapping '!AN66 &amp; ","</f>
        <v>9999,</v>
      </c>
      <c r="AO2" t="str">
        <f ca="1">'(直掃)Change to adc mapping '!AO66 &amp; ","</f>
        <v>9999,</v>
      </c>
      <c r="AP2" t="str">
        <f ca="1">'(直掃)Change to adc mapping '!AP66 &amp; ","</f>
        <v>9999,</v>
      </c>
      <c r="AQ2" t="str">
        <f ca="1">'(直掃)Change to adc mapping '!AQ66 &amp; ","</f>
        <v>9999,</v>
      </c>
      <c r="AR2" t="str">
        <f ca="1">'(直掃)Change to adc mapping '!AR66 &amp; ","</f>
        <v>9999,</v>
      </c>
      <c r="AS2" t="str">
        <f ca="1">'(直掃)Change to adc mapping '!AS66 &amp; ","</f>
        <v>9999,</v>
      </c>
      <c r="AT2" t="str">
        <f ca="1">'(直掃)Change to adc mapping '!AT66 &amp; ","</f>
        <v>9999,</v>
      </c>
      <c r="AU2" t="str">
        <f ca="1">'(直掃)Change to adc mapping '!AU66 &amp; ","</f>
        <v>9999,</v>
      </c>
      <c r="AV2" t="str">
        <f ca="1">'(直掃)Change to adc mapping '!AV66 &amp; ","</f>
        <v>9999,</v>
      </c>
      <c r="AW2" t="str">
        <f ca="1">'(直掃)Change to adc mapping '!AW66 &amp; ","</f>
        <v>9999,</v>
      </c>
      <c r="AX2" t="str">
        <f ca="1">'(直掃)Change to adc mapping '!AX66 &amp; ","</f>
        <v>9999,</v>
      </c>
      <c r="AY2" t="str">
        <f ca="1">'(直掃)Change to adc mapping '!AY66 &amp; ","</f>
        <v>9999,</v>
      </c>
      <c r="AZ2" t="str">
        <f ca="1">'(直掃)Change to adc mapping '!AZ66 &amp; ","</f>
        <v>9999,</v>
      </c>
      <c r="BA2" t="str">
        <f ca="1">'(直掃)Change to adc mapping '!BA66 &amp; ","</f>
        <v>9999,</v>
      </c>
      <c r="BB2" t="str">
        <f ca="1">'(直掃)Change to adc mapping '!BB66 &amp; ","</f>
        <v>9999,</v>
      </c>
      <c r="BC2" t="str">
        <f ca="1">'(直掃)Change to adc mapping '!BC66 &amp; ","</f>
        <v>9999,</v>
      </c>
      <c r="BD2" t="str">
        <f ca="1">'(直掃)Change to adc mapping '!BD66 &amp; ","</f>
        <v>9999,</v>
      </c>
      <c r="BE2" t="str">
        <f ca="1">'(直掃)Change to adc mapping '!BE66 &amp; ","</f>
        <v>9999,</v>
      </c>
      <c r="BF2" t="str">
        <f ca="1">'(直掃)Change to adc mapping '!BF66 &amp; ","</f>
        <v>9999,</v>
      </c>
      <c r="BG2" t="str">
        <f ca="1">'(直掃)Change to adc mapping '!BG66 &amp; ","</f>
        <v>9999,</v>
      </c>
      <c r="BH2" t="str">
        <f ca="1">'(直掃)Change to adc mapping '!BH66 &amp; ","</f>
        <v>9999,</v>
      </c>
      <c r="BI2" t="str">
        <f ca="1">'(直掃)Change to adc mapping '!BI66 &amp; ","</f>
        <v>9999,</v>
      </c>
    </row>
    <row r="3" spans="1:61" x14ac:dyDescent="0.25">
      <c r="A3" s="20">
        <v>2</v>
      </c>
      <c r="B3" t="str">
        <f ca="1">'(直掃)Change to adc mapping '!B67 &amp; ","</f>
        <v>9999,</v>
      </c>
      <c r="C3" t="str">
        <f ca="1">'(直掃)Change to adc mapping '!C67 &amp; ","</f>
        <v>9999,</v>
      </c>
      <c r="D3" t="str">
        <f ca="1">'(直掃)Change to adc mapping '!D67 &amp; ","</f>
        <v>9999,</v>
      </c>
      <c r="E3" t="str">
        <f ca="1">'(直掃)Change to adc mapping '!E67 &amp; ","</f>
        <v>9999,</v>
      </c>
      <c r="F3" t="str">
        <f ca="1">'(直掃)Change to adc mapping '!F67 &amp; ","</f>
        <v>9999,</v>
      </c>
      <c r="G3" t="str">
        <f ca="1">'(直掃)Change to adc mapping '!G67 &amp; ","</f>
        <v>9999,</v>
      </c>
      <c r="H3" t="str">
        <f ca="1">'(直掃)Change to adc mapping '!H67 &amp; ","</f>
        <v>9999,</v>
      </c>
      <c r="I3" t="str">
        <f ca="1">'(直掃)Change to adc mapping '!I67 &amp; ","</f>
        <v>9999,</v>
      </c>
      <c r="J3" t="str">
        <f ca="1">'(直掃)Change to adc mapping '!J67 &amp; ","</f>
        <v>9999,</v>
      </c>
      <c r="K3" t="str">
        <f ca="1">'(直掃)Change to adc mapping '!K67 &amp; ","</f>
        <v>9999,</v>
      </c>
      <c r="L3" t="str">
        <f ca="1">'(直掃)Change to adc mapping '!L67 &amp; ","</f>
        <v>9999,</v>
      </c>
      <c r="M3" t="str">
        <f ca="1">'(直掃)Change to adc mapping '!M67 &amp; ","</f>
        <v>9999,</v>
      </c>
      <c r="N3" t="str">
        <f ca="1">'(直掃)Change to adc mapping '!N67 &amp; ","</f>
        <v>9999,</v>
      </c>
      <c r="O3" t="str">
        <f ca="1">'(直掃)Change to adc mapping '!O67 &amp; ","</f>
        <v>9999,</v>
      </c>
      <c r="P3" t="str">
        <f ca="1">'(直掃)Change to adc mapping '!P67 &amp; ","</f>
        <v>9999,</v>
      </c>
      <c r="Q3" t="str">
        <f ca="1">'(直掃)Change to adc mapping '!Q67 &amp; ","</f>
        <v>9999,</v>
      </c>
      <c r="R3" t="str">
        <f ca="1">'(直掃)Change to adc mapping '!R67 &amp; ","</f>
        <v>9999,</v>
      </c>
      <c r="S3" t="str">
        <f ca="1">'(直掃)Change to adc mapping '!S67 &amp; ","</f>
        <v>9999,</v>
      </c>
      <c r="T3" t="str">
        <f ca="1">'(直掃)Change to adc mapping '!T67 &amp; ","</f>
        <v>9999,</v>
      </c>
      <c r="U3" t="str">
        <f ca="1">'(直掃)Change to adc mapping '!U67 &amp; ","</f>
        <v>9999,</v>
      </c>
      <c r="V3" t="str">
        <f ca="1">'(直掃)Change to adc mapping '!V67 &amp; ","</f>
        <v>9999,</v>
      </c>
      <c r="W3" t="str">
        <f ca="1">'(直掃)Change to adc mapping '!W67 &amp; ","</f>
        <v>9999,</v>
      </c>
      <c r="X3" t="str">
        <f ca="1">'(直掃)Change to adc mapping '!X67 &amp; ","</f>
        <v>9999,</v>
      </c>
      <c r="Y3" t="str">
        <f ca="1">'(直掃)Change to adc mapping '!Y67 &amp; ","</f>
        <v>9999,</v>
      </c>
      <c r="Z3" t="str">
        <f ca="1">'(直掃)Change to adc mapping '!Z67 &amp; ","</f>
        <v>9999,</v>
      </c>
      <c r="AA3" t="str">
        <f ca="1">'(直掃)Change to adc mapping '!AA67 &amp; ","</f>
        <v>9999,</v>
      </c>
      <c r="AB3" t="str">
        <f ca="1">'(直掃)Change to adc mapping '!AB67 &amp; ","</f>
        <v>9999,</v>
      </c>
      <c r="AC3" t="str">
        <f ca="1">'(直掃)Change to adc mapping '!AC67 &amp; ","</f>
        <v>9999,</v>
      </c>
      <c r="AD3" t="str">
        <f ca="1">'(直掃)Change to adc mapping '!AD67 &amp; ","</f>
        <v>9999,</v>
      </c>
      <c r="AE3" t="str">
        <f ca="1">'(直掃)Change to adc mapping '!AE67 &amp; ","</f>
        <v>9999,</v>
      </c>
      <c r="AF3" t="str">
        <f ca="1">'(直掃)Change to adc mapping '!AF67 &amp; ","</f>
        <v>9999,</v>
      </c>
      <c r="AG3" t="str">
        <f ca="1">'(直掃)Change to adc mapping '!AG67 &amp; ","</f>
        <v>9999,</v>
      </c>
      <c r="AH3" t="str">
        <f ca="1">'(直掃)Change to adc mapping '!AH67 &amp; ","</f>
        <v>9999,</v>
      </c>
      <c r="AI3" t="str">
        <f ca="1">'(直掃)Change to adc mapping '!AI67 &amp; ","</f>
        <v>9999,</v>
      </c>
      <c r="AJ3" t="str">
        <f ca="1">'(直掃)Change to adc mapping '!AJ67 &amp; ","</f>
        <v>9999,</v>
      </c>
      <c r="AK3" t="str">
        <f ca="1">'(直掃)Change to adc mapping '!AK67 &amp; ","</f>
        <v>9999,</v>
      </c>
      <c r="AL3" t="str">
        <f ca="1">'(直掃)Change to adc mapping '!AL67 &amp; ","</f>
        <v>9999,</v>
      </c>
      <c r="AM3" t="str">
        <f ca="1">'(直掃)Change to adc mapping '!AM67 &amp; ","</f>
        <v>9999,</v>
      </c>
      <c r="AN3" t="str">
        <f ca="1">'(直掃)Change to adc mapping '!AN67 &amp; ","</f>
        <v>9999,</v>
      </c>
      <c r="AO3" t="str">
        <f ca="1">'(直掃)Change to adc mapping '!AO67 &amp; ","</f>
        <v>9999,</v>
      </c>
      <c r="AP3" t="str">
        <f ca="1">'(直掃)Change to adc mapping '!AP67 &amp; ","</f>
        <v>9999,</v>
      </c>
      <c r="AQ3" t="str">
        <f ca="1">'(直掃)Change to adc mapping '!AQ67 &amp; ","</f>
        <v>9999,</v>
      </c>
      <c r="AR3" t="str">
        <f ca="1">'(直掃)Change to adc mapping '!AR67 &amp; ","</f>
        <v>9999,</v>
      </c>
      <c r="AS3" t="str">
        <f ca="1">'(直掃)Change to adc mapping '!AS67 &amp; ","</f>
        <v>9999,</v>
      </c>
      <c r="AT3" t="str">
        <f ca="1">'(直掃)Change to adc mapping '!AT67 &amp; ","</f>
        <v>9999,</v>
      </c>
      <c r="AU3" t="str">
        <f ca="1">'(直掃)Change to adc mapping '!AU67 &amp; ","</f>
        <v>9999,</v>
      </c>
      <c r="AV3" t="str">
        <f ca="1">'(直掃)Change to adc mapping '!AV67 &amp; ","</f>
        <v>9999,</v>
      </c>
      <c r="AW3" t="str">
        <f ca="1">'(直掃)Change to adc mapping '!AW67 &amp; ","</f>
        <v>9999,</v>
      </c>
      <c r="AX3" t="str">
        <f ca="1">'(直掃)Change to adc mapping '!AX67 &amp; ","</f>
        <v>9999,</v>
      </c>
      <c r="AY3" t="str">
        <f ca="1">'(直掃)Change to adc mapping '!AY67 &amp; ","</f>
        <v>9999,</v>
      </c>
      <c r="AZ3" t="str">
        <f ca="1">'(直掃)Change to adc mapping '!AZ67 &amp; ","</f>
        <v>9999,</v>
      </c>
      <c r="BA3" t="str">
        <f ca="1">'(直掃)Change to adc mapping '!BA67 &amp; ","</f>
        <v>9999,</v>
      </c>
      <c r="BB3" t="str">
        <f ca="1">'(直掃)Change to adc mapping '!BB67 &amp; ","</f>
        <v>9999,</v>
      </c>
      <c r="BC3" t="str">
        <f ca="1">'(直掃)Change to adc mapping '!BC67 &amp; ","</f>
        <v>9999,</v>
      </c>
      <c r="BD3" t="str">
        <f ca="1">'(直掃)Change to adc mapping '!BD67 &amp; ","</f>
        <v>9999,</v>
      </c>
      <c r="BE3" t="str">
        <f ca="1">'(直掃)Change to adc mapping '!BE67 &amp; ","</f>
        <v>9999,</v>
      </c>
      <c r="BF3" t="str">
        <f ca="1">'(直掃)Change to adc mapping '!BF67 &amp; ","</f>
        <v>9999,</v>
      </c>
      <c r="BG3" t="str">
        <f ca="1">'(直掃)Change to adc mapping '!BG67 &amp; ","</f>
        <v>9999,</v>
      </c>
      <c r="BH3" t="str">
        <f ca="1">'(直掃)Change to adc mapping '!BH67 &amp; ","</f>
        <v>9999,</v>
      </c>
      <c r="BI3" t="str">
        <f ca="1">'(直掃)Change to adc mapping '!BI67 &amp; ","</f>
        <v>9999,</v>
      </c>
    </row>
    <row r="4" spans="1:61" x14ac:dyDescent="0.25">
      <c r="A4" s="20">
        <v>3</v>
      </c>
      <c r="B4" t="str">
        <f ca="1">'(直掃)Change to adc mapping '!B68 &amp; ","</f>
        <v>9999,</v>
      </c>
      <c r="C4" t="str">
        <f ca="1">'(直掃)Change to adc mapping '!C68 &amp; ","</f>
        <v>9999,</v>
      </c>
      <c r="D4" t="str">
        <f ca="1">'(直掃)Change to adc mapping '!D68 &amp; ","</f>
        <v>9999,</v>
      </c>
      <c r="E4" t="str">
        <f ca="1">'(直掃)Change to adc mapping '!E68 &amp; ","</f>
        <v>9999,</v>
      </c>
      <c r="F4" t="str">
        <f ca="1">'(直掃)Change to adc mapping '!F68 &amp; ","</f>
        <v>9999,</v>
      </c>
      <c r="G4" t="str">
        <f ca="1">'(直掃)Change to adc mapping '!G68 &amp; ","</f>
        <v>9999,</v>
      </c>
      <c r="H4" t="str">
        <f ca="1">'(直掃)Change to adc mapping '!H68 &amp; ","</f>
        <v>9999,</v>
      </c>
      <c r="I4" t="str">
        <f ca="1">'(直掃)Change to adc mapping '!I68 &amp; ","</f>
        <v>9999,</v>
      </c>
      <c r="J4" t="str">
        <f ca="1">'(直掃)Change to adc mapping '!J68 &amp; ","</f>
        <v>9999,</v>
      </c>
      <c r="K4" t="str">
        <f ca="1">'(直掃)Change to adc mapping '!K68 &amp; ","</f>
        <v>9999,</v>
      </c>
      <c r="L4" t="str">
        <f ca="1">'(直掃)Change to adc mapping '!L68 &amp; ","</f>
        <v>9999,</v>
      </c>
      <c r="M4" t="str">
        <f ca="1">'(直掃)Change to adc mapping '!M68 &amp; ","</f>
        <v>9999,</v>
      </c>
      <c r="N4" t="str">
        <f ca="1">'(直掃)Change to adc mapping '!N68 &amp; ","</f>
        <v>9999,</v>
      </c>
      <c r="O4" t="str">
        <f ca="1">'(直掃)Change to adc mapping '!O68 &amp; ","</f>
        <v>9999,</v>
      </c>
      <c r="P4" t="str">
        <f ca="1">'(直掃)Change to adc mapping '!P68 &amp; ","</f>
        <v>9999,</v>
      </c>
      <c r="Q4" t="str">
        <f ca="1">'(直掃)Change to adc mapping '!Q68 &amp; ","</f>
        <v>9999,</v>
      </c>
      <c r="R4" t="str">
        <f ca="1">'(直掃)Change to adc mapping '!R68 &amp; ","</f>
        <v>9999,</v>
      </c>
      <c r="S4" t="str">
        <f ca="1">'(直掃)Change to adc mapping '!S68 &amp; ","</f>
        <v>9999,</v>
      </c>
      <c r="T4" t="str">
        <f ca="1">'(直掃)Change to adc mapping '!T68 &amp; ","</f>
        <v>9999,</v>
      </c>
      <c r="U4" t="str">
        <f ca="1">'(直掃)Change to adc mapping '!U68 &amp; ","</f>
        <v>9999,</v>
      </c>
      <c r="V4" t="str">
        <f ca="1">'(直掃)Change to adc mapping '!V68 &amp; ","</f>
        <v>9999,</v>
      </c>
      <c r="W4" t="str">
        <f ca="1">'(直掃)Change to adc mapping '!W68 &amp; ","</f>
        <v>9999,</v>
      </c>
      <c r="X4" t="str">
        <f ca="1">'(直掃)Change to adc mapping '!X68 &amp; ","</f>
        <v>9999,</v>
      </c>
      <c r="Y4" t="str">
        <f ca="1">'(直掃)Change to adc mapping '!Y68 &amp; ","</f>
        <v>9999,</v>
      </c>
      <c r="Z4" t="str">
        <f ca="1">'(直掃)Change to adc mapping '!Z68 &amp; ","</f>
        <v>9999,</v>
      </c>
      <c r="AA4" t="str">
        <f ca="1">'(直掃)Change to adc mapping '!AA68 &amp; ","</f>
        <v>9999,</v>
      </c>
      <c r="AB4" t="str">
        <f ca="1">'(直掃)Change to adc mapping '!AB68 &amp; ","</f>
        <v>9999,</v>
      </c>
      <c r="AC4" t="str">
        <f ca="1">'(直掃)Change to adc mapping '!AC68 &amp; ","</f>
        <v>9999,</v>
      </c>
      <c r="AD4" t="str">
        <f ca="1">'(直掃)Change to adc mapping '!AD68 &amp; ","</f>
        <v>9999,</v>
      </c>
      <c r="AE4" t="str">
        <f ca="1">'(直掃)Change to adc mapping '!AE68 &amp; ","</f>
        <v>9999,</v>
      </c>
      <c r="AF4" t="str">
        <f ca="1">'(直掃)Change to adc mapping '!AF68 &amp; ","</f>
        <v>9999,</v>
      </c>
      <c r="AG4" t="str">
        <f ca="1">'(直掃)Change to adc mapping '!AG68 &amp; ","</f>
        <v>9999,</v>
      </c>
      <c r="AH4" t="str">
        <f ca="1">'(直掃)Change to adc mapping '!AH68 &amp; ","</f>
        <v>9999,</v>
      </c>
      <c r="AI4" t="str">
        <f ca="1">'(直掃)Change to adc mapping '!AI68 &amp; ","</f>
        <v>9999,</v>
      </c>
      <c r="AJ4" t="str">
        <f ca="1">'(直掃)Change to adc mapping '!AJ68 &amp; ","</f>
        <v>9999,</v>
      </c>
      <c r="AK4" t="str">
        <f ca="1">'(直掃)Change to adc mapping '!AK68 &amp; ","</f>
        <v>9999,</v>
      </c>
      <c r="AL4" t="str">
        <f ca="1">'(直掃)Change to adc mapping '!AL68 &amp; ","</f>
        <v>9999,</v>
      </c>
      <c r="AM4" t="str">
        <f ca="1">'(直掃)Change to adc mapping '!AM68 &amp; ","</f>
        <v>9999,</v>
      </c>
      <c r="AN4" t="str">
        <f ca="1">'(直掃)Change to adc mapping '!AN68 &amp; ","</f>
        <v>9999,</v>
      </c>
      <c r="AO4" t="str">
        <f ca="1">'(直掃)Change to adc mapping '!AO68 &amp; ","</f>
        <v>9999,</v>
      </c>
      <c r="AP4" t="str">
        <f ca="1">'(直掃)Change to adc mapping '!AP68 &amp; ","</f>
        <v>9999,</v>
      </c>
      <c r="AQ4" t="str">
        <f ca="1">'(直掃)Change to adc mapping '!AQ68 &amp; ","</f>
        <v>9999,</v>
      </c>
      <c r="AR4" t="str">
        <f ca="1">'(直掃)Change to adc mapping '!AR68 &amp; ","</f>
        <v>9999,</v>
      </c>
      <c r="AS4" t="str">
        <f ca="1">'(直掃)Change to adc mapping '!AS68 &amp; ","</f>
        <v>9999,</v>
      </c>
      <c r="AT4" t="str">
        <f ca="1">'(直掃)Change to adc mapping '!AT68 &amp; ","</f>
        <v>9999,</v>
      </c>
      <c r="AU4" t="str">
        <f ca="1">'(直掃)Change to adc mapping '!AU68 &amp; ","</f>
        <v>9999,</v>
      </c>
      <c r="AV4" t="str">
        <f ca="1">'(直掃)Change to adc mapping '!AV68 &amp; ","</f>
        <v>9999,</v>
      </c>
      <c r="AW4" t="str">
        <f ca="1">'(直掃)Change to adc mapping '!AW68 &amp; ","</f>
        <v>9999,</v>
      </c>
      <c r="AX4" t="str">
        <f ca="1">'(直掃)Change to adc mapping '!AX68 &amp; ","</f>
        <v>9999,</v>
      </c>
      <c r="AY4" t="str">
        <f ca="1">'(直掃)Change to adc mapping '!AY68 &amp; ","</f>
        <v>9999,</v>
      </c>
      <c r="AZ4" t="str">
        <f ca="1">'(直掃)Change to adc mapping '!AZ68 &amp; ","</f>
        <v>9999,</v>
      </c>
      <c r="BA4" t="str">
        <f ca="1">'(直掃)Change to adc mapping '!BA68 &amp; ","</f>
        <v>9999,</v>
      </c>
      <c r="BB4" t="str">
        <f ca="1">'(直掃)Change to adc mapping '!BB68 &amp; ","</f>
        <v>9999,</v>
      </c>
      <c r="BC4" t="str">
        <f ca="1">'(直掃)Change to adc mapping '!BC68 &amp; ","</f>
        <v>9999,</v>
      </c>
      <c r="BD4" t="str">
        <f ca="1">'(直掃)Change to adc mapping '!BD68 &amp; ","</f>
        <v>9999,</v>
      </c>
      <c r="BE4" t="str">
        <f ca="1">'(直掃)Change to adc mapping '!BE68 &amp; ","</f>
        <v>9999,</v>
      </c>
      <c r="BF4" t="str">
        <f ca="1">'(直掃)Change to adc mapping '!BF68 &amp; ","</f>
        <v>9999,</v>
      </c>
      <c r="BG4" t="str">
        <f ca="1">'(直掃)Change to adc mapping '!BG68 &amp; ","</f>
        <v>9999,</v>
      </c>
      <c r="BH4" t="str">
        <f ca="1">'(直掃)Change to adc mapping '!BH68 &amp; ","</f>
        <v>9999,</v>
      </c>
      <c r="BI4" t="str">
        <f ca="1">'(直掃)Change to adc mapping '!BI68 &amp; ","</f>
        <v>9999,</v>
      </c>
    </row>
    <row r="5" spans="1:61" x14ac:dyDescent="0.25">
      <c r="A5" s="20">
        <v>4</v>
      </c>
      <c r="B5" t="str">
        <f ca="1">'(直掃)Change to adc mapping '!B69 &amp; ","</f>
        <v>9999,</v>
      </c>
      <c r="C5" t="str">
        <f ca="1">'(直掃)Change to adc mapping '!C69 &amp; ","</f>
        <v>9999,</v>
      </c>
      <c r="D5" t="str">
        <f ca="1">'(直掃)Change to adc mapping '!D69 &amp; ","</f>
        <v>9999,</v>
      </c>
      <c r="E5" t="str">
        <f ca="1">'(直掃)Change to adc mapping '!E69 &amp; ","</f>
        <v>9999,</v>
      </c>
      <c r="F5" t="str">
        <f ca="1">'(直掃)Change to adc mapping '!F69 &amp; ","</f>
        <v>9999,</v>
      </c>
      <c r="G5" t="str">
        <f ca="1">'(直掃)Change to adc mapping '!G69 &amp; ","</f>
        <v>9999,</v>
      </c>
      <c r="H5" t="str">
        <f ca="1">'(直掃)Change to adc mapping '!H69 &amp; ","</f>
        <v>9999,</v>
      </c>
      <c r="I5" t="str">
        <f ca="1">'(直掃)Change to adc mapping '!I69 &amp; ","</f>
        <v>9999,</v>
      </c>
      <c r="J5" t="str">
        <f ca="1">'(直掃)Change to adc mapping '!J69 &amp; ","</f>
        <v>9999,</v>
      </c>
      <c r="K5" t="str">
        <f ca="1">'(直掃)Change to adc mapping '!K69 &amp; ","</f>
        <v>9999,</v>
      </c>
      <c r="L5" t="str">
        <f ca="1">'(直掃)Change to adc mapping '!L69 &amp; ","</f>
        <v>9999,</v>
      </c>
      <c r="M5" t="str">
        <f ca="1">'(直掃)Change to adc mapping '!M69 &amp; ","</f>
        <v>9999,</v>
      </c>
      <c r="N5" t="str">
        <f ca="1">'(直掃)Change to adc mapping '!N69 &amp; ","</f>
        <v>9999,</v>
      </c>
      <c r="O5" t="str">
        <f ca="1">'(直掃)Change to adc mapping '!O69 &amp; ","</f>
        <v>9999,</v>
      </c>
      <c r="P5" t="str">
        <f ca="1">'(直掃)Change to adc mapping '!P69 &amp; ","</f>
        <v>9999,</v>
      </c>
      <c r="Q5" t="str">
        <f ca="1">'(直掃)Change to adc mapping '!Q69 &amp; ","</f>
        <v>9999,</v>
      </c>
      <c r="R5" t="str">
        <f ca="1">'(直掃)Change to adc mapping '!R69 &amp; ","</f>
        <v>9999,</v>
      </c>
      <c r="S5" t="str">
        <f ca="1">'(直掃)Change to adc mapping '!S69 &amp; ","</f>
        <v>9999,</v>
      </c>
      <c r="T5" t="str">
        <f ca="1">'(直掃)Change to adc mapping '!T69 &amp; ","</f>
        <v>9999,</v>
      </c>
      <c r="U5" t="str">
        <f ca="1">'(直掃)Change to adc mapping '!U69 &amp; ","</f>
        <v>9999,</v>
      </c>
      <c r="V5" t="str">
        <f ca="1">'(直掃)Change to adc mapping '!V69 &amp; ","</f>
        <v>9999,</v>
      </c>
      <c r="W5" t="str">
        <f ca="1">'(直掃)Change to adc mapping '!W69 &amp; ","</f>
        <v>9999,</v>
      </c>
      <c r="X5" t="str">
        <f ca="1">'(直掃)Change to adc mapping '!X69 &amp; ","</f>
        <v>9999,</v>
      </c>
      <c r="Y5" t="str">
        <f ca="1">'(直掃)Change to adc mapping '!Y69 &amp; ","</f>
        <v>9999,</v>
      </c>
      <c r="Z5" t="str">
        <f ca="1">'(直掃)Change to adc mapping '!Z69 &amp; ","</f>
        <v>9999,</v>
      </c>
      <c r="AA5" t="str">
        <f ca="1">'(直掃)Change to adc mapping '!AA69 &amp; ","</f>
        <v>9999,</v>
      </c>
      <c r="AB5" t="str">
        <f ca="1">'(直掃)Change to adc mapping '!AB69 &amp; ","</f>
        <v>9999,</v>
      </c>
      <c r="AC5" t="str">
        <f ca="1">'(直掃)Change to adc mapping '!AC69 &amp; ","</f>
        <v>9999,</v>
      </c>
      <c r="AD5" t="str">
        <f ca="1">'(直掃)Change to adc mapping '!AD69 &amp; ","</f>
        <v>9999,</v>
      </c>
      <c r="AE5" t="str">
        <f ca="1">'(直掃)Change to adc mapping '!AE69 &amp; ","</f>
        <v>9999,</v>
      </c>
      <c r="AF5" t="str">
        <f ca="1">'(直掃)Change to adc mapping '!AF69 &amp; ","</f>
        <v>9999,</v>
      </c>
      <c r="AG5" t="str">
        <f ca="1">'(直掃)Change to adc mapping '!AG69 &amp; ","</f>
        <v>9999,</v>
      </c>
      <c r="AH5" t="str">
        <f ca="1">'(直掃)Change to adc mapping '!AH69 &amp; ","</f>
        <v>9999,</v>
      </c>
      <c r="AI5" t="str">
        <f ca="1">'(直掃)Change to adc mapping '!AI69 &amp; ","</f>
        <v>9999,</v>
      </c>
      <c r="AJ5" t="str">
        <f ca="1">'(直掃)Change to adc mapping '!AJ69 &amp; ","</f>
        <v>9999,</v>
      </c>
      <c r="AK5" t="str">
        <f ca="1">'(直掃)Change to adc mapping '!AK69 &amp; ","</f>
        <v>9999,</v>
      </c>
      <c r="AL5" t="str">
        <f ca="1">'(直掃)Change to adc mapping '!AL69 &amp; ","</f>
        <v>9999,</v>
      </c>
      <c r="AM5" t="str">
        <f ca="1">'(直掃)Change to adc mapping '!AM69 &amp; ","</f>
        <v>9999,</v>
      </c>
      <c r="AN5" t="str">
        <f ca="1">'(直掃)Change to adc mapping '!AN69 &amp; ","</f>
        <v>9999,</v>
      </c>
      <c r="AO5" t="str">
        <f ca="1">'(直掃)Change to adc mapping '!AO69 &amp; ","</f>
        <v>9999,</v>
      </c>
      <c r="AP5" t="str">
        <f ca="1">'(直掃)Change to adc mapping '!AP69 &amp; ","</f>
        <v>9999,</v>
      </c>
      <c r="AQ5" t="str">
        <f ca="1">'(直掃)Change to adc mapping '!AQ69 &amp; ","</f>
        <v>9999,</v>
      </c>
      <c r="AR5" t="str">
        <f ca="1">'(直掃)Change to adc mapping '!AR69 &amp; ","</f>
        <v>9999,</v>
      </c>
      <c r="AS5" t="str">
        <f ca="1">'(直掃)Change to adc mapping '!AS69 &amp; ","</f>
        <v>9999,</v>
      </c>
      <c r="AT5" t="str">
        <f ca="1">'(直掃)Change to adc mapping '!AT69 &amp; ","</f>
        <v>9999,</v>
      </c>
      <c r="AU5" t="str">
        <f ca="1">'(直掃)Change to adc mapping '!AU69 &amp; ","</f>
        <v>9999,</v>
      </c>
      <c r="AV5" t="str">
        <f ca="1">'(直掃)Change to adc mapping '!AV69 &amp; ","</f>
        <v>9999,</v>
      </c>
      <c r="AW5" t="str">
        <f ca="1">'(直掃)Change to adc mapping '!AW69 &amp; ","</f>
        <v>9999,</v>
      </c>
      <c r="AX5" t="str">
        <f ca="1">'(直掃)Change to adc mapping '!AX69 &amp; ","</f>
        <v>9999,</v>
      </c>
      <c r="AY5" t="str">
        <f ca="1">'(直掃)Change to adc mapping '!AY69 &amp; ","</f>
        <v>9999,</v>
      </c>
      <c r="AZ5" t="str">
        <f ca="1">'(直掃)Change to adc mapping '!AZ69 &amp; ","</f>
        <v>9999,</v>
      </c>
      <c r="BA5" t="str">
        <f ca="1">'(直掃)Change to adc mapping '!BA69 &amp; ","</f>
        <v>9999,</v>
      </c>
      <c r="BB5" t="str">
        <f ca="1">'(直掃)Change to adc mapping '!BB69 &amp; ","</f>
        <v>9999,</v>
      </c>
      <c r="BC5" t="str">
        <f ca="1">'(直掃)Change to adc mapping '!BC69 &amp; ","</f>
        <v>9999,</v>
      </c>
      <c r="BD5" t="str">
        <f ca="1">'(直掃)Change to adc mapping '!BD69 &amp; ","</f>
        <v>9999,</v>
      </c>
      <c r="BE5" t="str">
        <f ca="1">'(直掃)Change to adc mapping '!BE69 &amp; ","</f>
        <v>9999,</v>
      </c>
      <c r="BF5" t="str">
        <f ca="1">'(直掃)Change to adc mapping '!BF69 &amp; ","</f>
        <v>9999,</v>
      </c>
      <c r="BG5" t="str">
        <f ca="1">'(直掃)Change to adc mapping '!BG69 &amp; ","</f>
        <v>9999,</v>
      </c>
      <c r="BH5" t="str">
        <f ca="1">'(直掃)Change to adc mapping '!BH69 &amp; ","</f>
        <v>9999,</v>
      </c>
      <c r="BI5" t="str">
        <f ca="1">'(直掃)Change to adc mapping '!BI69 &amp; ","</f>
        <v>9999,</v>
      </c>
    </row>
    <row r="6" spans="1:61" x14ac:dyDescent="0.25">
      <c r="A6" s="20">
        <v>5</v>
      </c>
      <c r="B6" t="str">
        <f ca="1">'(直掃)Change to adc mapping '!B70 &amp; ","</f>
        <v>9999,</v>
      </c>
      <c r="C6" t="str">
        <f ca="1">'(直掃)Change to adc mapping '!C70 &amp; ","</f>
        <v>9999,</v>
      </c>
      <c r="D6" t="str">
        <f ca="1">'(直掃)Change to adc mapping '!D70 &amp; ","</f>
        <v>9999,</v>
      </c>
      <c r="E6" t="str">
        <f ca="1">'(直掃)Change to adc mapping '!E70 &amp; ","</f>
        <v>9999,</v>
      </c>
      <c r="F6" t="str">
        <f ca="1">'(直掃)Change to adc mapping '!F70 &amp; ","</f>
        <v>9999,</v>
      </c>
      <c r="G6" t="str">
        <f ca="1">'(直掃)Change to adc mapping '!G70 &amp; ","</f>
        <v>9999,</v>
      </c>
      <c r="H6" t="str">
        <f ca="1">'(直掃)Change to adc mapping '!H70 &amp; ","</f>
        <v>9999,</v>
      </c>
      <c r="I6" t="str">
        <f ca="1">'(直掃)Change to adc mapping '!I70 &amp; ","</f>
        <v>9999,</v>
      </c>
      <c r="J6" t="str">
        <f ca="1">'(直掃)Change to adc mapping '!J70 &amp; ","</f>
        <v>9999,</v>
      </c>
      <c r="K6" t="str">
        <f ca="1">'(直掃)Change to adc mapping '!K70 &amp; ","</f>
        <v>9999,</v>
      </c>
      <c r="L6" t="str">
        <f ca="1">'(直掃)Change to adc mapping '!L70 &amp; ","</f>
        <v>9999,</v>
      </c>
      <c r="M6" t="str">
        <f ca="1">'(直掃)Change to adc mapping '!M70 &amp; ","</f>
        <v>9999,</v>
      </c>
      <c r="N6" t="str">
        <f ca="1">'(直掃)Change to adc mapping '!N70 &amp; ","</f>
        <v>9999,</v>
      </c>
      <c r="O6" t="str">
        <f ca="1">'(直掃)Change to adc mapping '!O70 &amp; ","</f>
        <v>9999,</v>
      </c>
      <c r="P6" t="str">
        <f ca="1">'(直掃)Change to adc mapping '!P70 &amp; ","</f>
        <v>9999,</v>
      </c>
      <c r="Q6" t="str">
        <f ca="1">'(直掃)Change to adc mapping '!Q70 &amp; ","</f>
        <v>9999,</v>
      </c>
      <c r="R6" t="str">
        <f ca="1">'(直掃)Change to adc mapping '!R70 &amp; ","</f>
        <v>9999,</v>
      </c>
      <c r="S6" t="str">
        <f ca="1">'(直掃)Change to adc mapping '!S70 &amp; ","</f>
        <v>9999,</v>
      </c>
      <c r="T6" t="str">
        <f ca="1">'(直掃)Change to adc mapping '!T70 &amp; ","</f>
        <v>9999,</v>
      </c>
      <c r="U6" t="str">
        <f ca="1">'(直掃)Change to adc mapping '!U70 &amp; ","</f>
        <v>9999,</v>
      </c>
      <c r="V6" t="str">
        <f ca="1">'(直掃)Change to adc mapping '!V70 &amp; ","</f>
        <v>9999,</v>
      </c>
      <c r="W6" t="str">
        <f ca="1">'(直掃)Change to adc mapping '!W70 &amp; ","</f>
        <v>9999,</v>
      </c>
      <c r="X6" t="str">
        <f ca="1">'(直掃)Change to adc mapping '!X70 &amp; ","</f>
        <v>9999,</v>
      </c>
      <c r="Y6" t="str">
        <f ca="1">'(直掃)Change to adc mapping '!Y70 &amp; ","</f>
        <v>9999,</v>
      </c>
      <c r="Z6" t="str">
        <f ca="1">'(直掃)Change to adc mapping '!Z70 &amp; ","</f>
        <v>9999,</v>
      </c>
      <c r="AA6" t="str">
        <f ca="1">'(直掃)Change to adc mapping '!AA70 &amp; ","</f>
        <v>9999,</v>
      </c>
      <c r="AB6" t="str">
        <f ca="1">'(直掃)Change to adc mapping '!AB70 &amp; ","</f>
        <v>9999,</v>
      </c>
      <c r="AC6" t="str">
        <f ca="1">'(直掃)Change to adc mapping '!AC70 &amp; ","</f>
        <v>9999,</v>
      </c>
      <c r="AD6" t="str">
        <f ca="1">'(直掃)Change to adc mapping '!AD70 &amp; ","</f>
        <v>9999,</v>
      </c>
      <c r="AE6" t="str">
        <f ca="1">'(直掃)Change to adc mapping '!AE70 &amp; ","</f>
        <v>9999,</v>
      </c>
      <c r="AF6" t="str">
        <f ca="1">'(直掃)Change to adc mapping '!AF70 &amp; ","</f>
        <v>9999,</v>
      </c>
      <c r="AG6" t="str">
        <f ca="1">'(直掃)Change to adc mapping '!AG70 &amp; ","</f>
        <v>9999,</v>
      </c>
      <c r="AH6" t="str">
        <f ca="1">'(直掃)Change to adc mapping '!AH70 &amp; ","</f>
        <v>9999,</v>
      </c>
      <c r="AI6" t="str">
        <f ca="1">'(直掃)Change to adc mapping '!AI70 &amp; ","</f>
        <v>9999,</v>
      </c>
      <c r="AJ6" t="str">
        <f ca="1">'(直掃)Change to adc mapping '!AJ70 &amp; ","</f>
        <v>9999,</v>
      </c>
      <c r="AK6" t="str">
        <f ca="1">'(直掃)Change to adc mapping '!AK70 &amp; ","</f>
        <v>9999,</v>
      </c>
      <c r="AL6" t="str">
        <f ca="1">'(直掃)Change to adc mapping '!AL70 &amp; ","</f>
        <v>9999,</v>
      </c>
      <c r="AM6" t="str">
        <f ca="1">'(直掃)Change to adc mapping '!AM70 &amp; ","</f>
        <v>9999,</v>
      </c>
      <c r="AN6" t="str">
        <f ca="1">'(直掃)Change to adc mapping '!AN70 &amp; ","</f>
        <v>9999,</v>
      </c>
      <c r="AO6" t="str">
        <f ca="1">'(直掃)Change to adc mapping '!AO70 &amp; ","</f>
        <v>9999,</v>
      </c>
      <c r="AP6" t="str">
        <f ca="1">'(直掃)Change to adc mapping '!AP70 &amp; ","</f>
        <v>9999,</v>
      </c>
      <c r="AQ6" t="str">
        <f ca="1">'(直掃)Change to adc mapping '!AQ70 &amp; ","</f>
        <v>9999,</v>
      </c>
      <c r="AR6" t="str">
        <f ca="1">'(直掃)Change to adc mapping '!AR70 &amp; ","</f>
        <v>9999,</v>
      </c>
      <c r="AS6" t="str">
        <f ca="1">'(直掃)Change to adc mapping '!AS70 &amp; ","</f>
        <v>9999,</v>
      </c>
      <c r="AT6" t="str">
        <f ca="1">'(直掃)Change to adc mapping '!AT70 &amp; ","</f>
        <v>9999,</v>
      </c>
      <c r="AU6" t="str">
        <f ca="1">'(直掃)Change to adc mapping '!AU70 &amp; ","</f>
        <v>9999,</v>
      </c>
      <c r="AV6" t="str">
        <f ca="1">'(直掃)Change to adc mapping '!AV70 &amp; ","</f>
        <v>9999,</v>
      </c>
      <c r="AW6" t="str">
        <f ca="1">'(直掃)Change to adc mapping '!AW70 &amp; ","</f>
        <v>9999,</v>
      </c>
      <c r="AX6" t="str">
        <f ca="1">'(直掃)Change to adc mapping '!AX70 &amp; ","</f>
        <v>9999,</v>
      </c>
      <c r="AY6" t="str">
        <f ca="1">'(直掃)Change to adc mapping '!AY70 &amp; ","</f>
        <v>9999,</v>
      </c>
      <c r="AZ6" t="str">
        <f ca="1">'(直掃)Change to adc mapping '!AZ70 &amp; ","</f>
        <v>9999,</v>
      </c>
      <c r="BA6" t="str">
        <f ca="1">'(直掃)Change to adc mapping '!BA70 &amp; ","</f>
        <v>9999,</v>
      </c>
      <c r="BB6" t="str">
        <f ca="1">'(直掃)Change to adc mapping '!BB70 &amp; ","</f>
        <v>9999,</v>
      </c>
      <c r="BC6" t="str">
        <f ca="1">'(直掃)Change to adc mapping '!BC70 &amp; ","</f>
        <v>9999,</v>
      </c>
      <c r="BD6" t="str">
        <f ca="1">'(直掃)Change to adc mapping '!BD70 &amp; ","</f>
        <v>9999,</v>
      </c>
      <c r="BE6" t="str">
        <f ca="1">'(直掃)Change to adc mapping '!BE70 &amp; ","</f>
        <v>9999,</v>
      </c>
      <c r="BF6" t="str">
        <f ca="1">'(直掃)Change to adc mapping '!BF70 &amp; ","</f>
        <v>9999,</v>
      </c>
      <c r="BG6" t="str">
        <f ca="1">'(直掃)Change to adc mapping '!BG70 &amp; ","</f>
        <v>9999,</v>
      </c>
      <c r="BH6" t="str">
        <f ca="1">'(直掃)Change to adc mapping '!BH70 &amp; ","</f>
        <v>9999,</v>
      </c>
      <c r="BI6" t="str">
        <f ca="1">'(直掃)Change to adc mapping '!BI70 &amp; ","</f>
        <v>9999,</v>
      </c>
    </row>
    <row r="7" spans="1:61" x14ac:dyDescent="0.25">
      <c r="A7" s="20">
        <v>6</v>
      </c>
      <c r="B7" t="str">
        <f ca="1">'(直掃)Change to adc mapping '!B71 &amp; ","</f>
        <v>9999,</v>
      </c>
      <c r="C7" t="str">
        <f ca="1">'(直掃)Change to adc mapping '!C71 &amp; ","</f>
        <v>9999,</v>
      </c>
      <c r="D7" t="str">
        <f ca="1">'(直掃)Change to adc mapping '!D71 &amp; ","</f>
        <v>9999,</v>
      </c>
      <c r="E7" t="str">
        <f ca="1">'(直掃)Change to adc mapping '!E71 &amp; ","</f>
        <v>9999,</v>
      </c>
      <c r="F7" t="str">
        <f ca="1">'(直掃)Change to adc mapping '!F71 &amp; ","</f>
        <v>9999,</v>
      </c>
      <c r="G7" t="str">
        <f ca="1">'(直掃)Change to adc mapping '!G71 &amp; ","</f>
        <v>9999,</v>
      </c>
      <c r="H7" t="str">
        <f ca="1">'(直掃)Change to adc mapping '!H71 &amp; ","</f>
        <v>9999,</v>
      </c>
      <c r="I7" t="str">
        <f ca="1">'(直掃)Change to adc mapping '!I71 &amp; ","</f>
        <v>9999,</v>
      </c>
      <c r="J7" t="str">
        <f ca="1">'(直掃)Change to adc mapping '!J71 &amp; ","</f>
        <v>9999,</v>
      </c>
      <c r="K7" t="str">
        <f ca="1">'(直掃)Change to adc mapping '!K71 &amp; ","</f>
        <v>9999,</v>
      </c>
      <c r="L7" t="str">
        <f ca="1">'(直掃)Change to adc mapping '!L71 &amp; ","</f>
        <v>9999,</v>
      </c>
      <c r="M7" t="str">
        <f ca="1">'(直掃)Change to adc mapping '!M71 &amp; ","</f>
        <v>9999,</v>
      </c>
      <c r="N7" t="str">
        <f ca="1">'(直掃)Change to adc mapping '!N71 &amp; ","</f>
        <v>9999,</v>
      </c>
      <c r="O7" t="str">
        <f ca="1">'(直掃)Change to adc mapping '!O71 &amp; ","</f>
        <v>9999,</v>
      </c>
      <c r="P7" t="str">
        <f ca="1">'(直掃)Change to adc mapping '!P71 &amp; ","</f>
        <v>9999,</v>
      </c>
      <c r="Q7" t="str">
        <f ca="1">'(直掃)Change to adc mapping '!Q71 &amp; ","</f>
        <v>9999,</v>
      </c>
      <c r="R7" t="str">
        <f ca="1">'(直掃)Change to adc mapping '!R71 &amp; ","</f>
        <v>9999,</v>
      </c>
      <c r="S7" t="str">
        <f ca="1">'(直掃)Change to adc mapping '!S71 &amp; ","</f>
        <v>9999,</v>
      </c>
      <c r="T7" t="str">
        <f ca="1">'(直掃)Change to adc mapping '!T71 &amp; ","</f>
        <v>9999,</v>
      </c>
      <c r="U7" t="str">
        <f ca="1">'(直掃)Change to adc mapping '!U71 &amp; ","</f>
        <v>9999,</v>
      </c>
      <c r="V7" t="str">
        <f ca="1">'(直掃)Change to adc mapping '!V71 &amp; ","</f>
        <v>9999,</v>
      </c>
      <c r="W7" t="str">
        <f ca="1">'(直掃)Change to adc mapping '!W71 &amp; ","</f>
        <v>9999,</v>
      </c>
      <c r="X7" t="str">
        <f ca="1">'(直掃)Change to adc mapping '!X71 &amp; ","</f>
        <v>9999,</v>
      </c>
      <c r="Y7" t="str">
        <f ca="1">'(直掃)Change to adc mapping '!Y71 &amp; ","</f>
        <v>9999,</v>
      </c>
      <c r="Z7" t="str">
        <f ca="1">'(直掃)Change to adc mapping '!Z71 &amp; ","</f>
        <v>9999,</v>
      </c>
      <c r="AA7" t="str">
        <f ca="1">'(直掃)Change to adc mapping '!AA71 &amp; ","</f>
        <v>9999,</v>
      </c>
      <c r="AB7" t="str">
        <f ca="1">'(直掃)Change to adc mapping '!AB71 &amp; ","</f>
        <v>9999,</v>
      </c>
      <c r="AC7" t="str">
        <f ca="1">'(直掃)Change to adc mapping '!AC71 &amp; ","</f>
        <v>9999,</v>
      </c>
      <c r="AD7" t="str">
        <f ca="1">'(直掃)Change to adc mapping '!AD71 &amp; ","</f>
        <v>9999,</v>
      </c>
      <c r="AE7" t="str">
        <f ca="1">'(直掃)Change to adc mapping '!AE71 &amp; ","</f>
        <v>9999,</v>
      </c>
      <c r="AF7" t="str">
        <f ca="1">'(直掃)Change to adc mapping '!AF71 &amp; ","</f>
        <v>9999,</v>
      </c>
      <c r="AG7" t="str">
        <f ca="1">'(直掃)Change to adc mapping '!AG71 &amp; ","</f>
        <v>9999,</v>
      </c>
      <c r="AH7" t="str">
        <f ca="1">'(直掃)Change to adc mapping '!AH71 &amp; ","</f>
        <v>9999,</v>
      </c>
      <c r="AI7" t="str">
        <f ca="1">'(直掃)Change to adc mapping '!AI71 &amp; ","</f>
        <v>9999,</v>
      </c>
      <c r="AJ7" t="str">
        <f ca="1">'(直掃)Change to adc mapping '!AJ71 &amp; ","</f>
        <v>9999,</v>
      </c>
      <c r="AK7" t="str">
        <f ca="1">'(直掃)Change to adc mapping '!AK71 &amp; ","</f>
        <v>9999,</v>
      </c>
      <c r="AL7" t="str">
        <f ca="1">'(直掃)Change to adc mapping '!AL71 &amp; ","</f>
        <v>9999,</v>
      </c>
      <c r="AM7" t="str">
        <f ca="1">'(直掃)Change to adc mapping '!AM71 &amp; ","</f>
        <v>9999,</v>
      </c>
      <c r="AN7" t="str">
        <f ca="1">'(直掃)Change to adc mapping '!AN71 &amp; ","</f>
        <v>9999,</v>
      </c>
      <c r="AO7" t="str">
        <f ca="1">'(直掃)Change to adc mapping '!AO71 &amp; ","</f>
        <v>9999,</v>
      </c>
      <c r="AP7" t="str">
        <f ca="1">'(直掃)Change to adc mapping '!AP71 &amp; ","</f>
        <v>9999,</v>
      </c>
      <c r="AQ7" t="str">
        <f ca="1">'(直掃)Change to adc mapping '!AQ71 &amp; ","</f>
        <v>9999,</v>
      </c>
      <c r="AR7" t="str">
        <f ca="1">'(直掃)Change to adc mapping '!AR71 &amp; ","</f>
        <v>9999,</v>
      </c>
      <c r="AS7" t="str">
        <f ca="1">'(直掃)Change to adc mapping '!AS71 &amp; ","</f>
        <v>9999,</v>
      </c>
      <c r="AT7" t="str">
        <f ca="1">'(直掃)Change to adc mapping '!AT71 &amp; ","</f>
        <v>9999,</v>
      </c>
      <c r="AU7" t="str">
        <f ca="1">'(直掃)Change to adc mapping '!AU71 &amp; ","</f>
        <v>9999,</v>
      </c>
      <c r="AV7" t="str">
        <f ca="1">'(直掃)Change to adc mapping '!AV71 &amp; ","</f>
        <v>9999,</v>
      </c>
      <c r="AW7" t="str">
        <f ca="1">'(直掃)Change to adc mapping '!AW71 &amp; ","</f>
        <v>9999,</v>
      </c>
      <c r="AX7" t="str">
        <f ca="1">'(直掃)Change to adc mapping '!AX71 &amp; ","</f>
        <v>9999,</v>
      </c>
      <c r="AY7" t="str">
        <f ca="1">'(直掃)Change to adc mapping '!AY71 &amp; ","</f>
        <v>9999,</v>
      </c>
      <c r="AZ7" t="str">
        <f ca="1">'(直掃)Change to adc mapping '!AZ71 &amp; ","</f>
        <v>9999,</v>
      </c>
      <c r="BA7" t="str">
        <f ca="1">'(直掃)Change to adc mapping '!BA71 &amp; ","</f>
        <v>9999,</v>
      </c>
      <c r="BB7" t="str">
        <f ca="1">'(直掃)Change to adc mapping '!BB71 &amp; ","</f>
        <v>9999,</v>
      </c>
      <c r="BC7" t="str">
        <f ca="1">'(直掃)Change to adc mapping '!BC71 &amp; ","</f>
        <v>9999,</v>
      </c>
      <c r="BD7" t="str">
        <f ca="1">'(直掃)Change to adc mapping '!BD71 &amp; ","</f>
        <v>9999,</v>
      </c>
      <c r="BE7" t="str">
        <f ca="1">'(直掃)Change to adc mapping '!BE71 &amp; ","</f>
        <v>9999,</v>
      </c>
      <c r="BF7" t="str">
        <f ca="1">'(直掃)Change to adc mapping '!BF71 &amp; ","</f>
        <v>9999,</v>
      </c>
      <c r="BG7" t="str">
        <f ca="1">'(直掃)Change to adc mapping '!BG71 &amp; ","</f>
        <v>9999,</v>
      </c>
      <c r="BH7" t="str">
        <f ca="1">'(直掃)Change to adc mapping '!BH71 &amp; ","</f>
        <v>9999,</v>
      </c>
      <c r="BI7" t="str">
        <f ca="1">'(直掃)Change to adc mapping '!BI71 &amp; ","</f>
        <v>9999,</v>
      </c>
    </row>
    <row r="8" spans="1:61" x14ac:dyDescent="0.25">
      <c r="A8" s="20">
        <v>7</v>
      </c>
      <c r="B8" t="str">
        <f ca="1">'(直掃)Change to adc mapping '!B72 &amp; ","</f>
        <v>9999,</v>
      </c>
      <c r="C8" t="str">
        <f ca="1">'(直掃)Change to adc mapping '!C72 &amp; ","</f>
        <v>9999,</v>
      </c>
      <c r="D8" t="str">
        <f ca="1">'(直掃)Change to adc mapping '!D72 &amp; ","</f>
        <v>9999,</v>
      </c>
      <c r="E8" t="str">
        <f ca="1">'(直掃)Change to adc mapping '!E72 &amp; ","</f>
        <v>9999,</v>
      </c>
      <c r="F8" t="str">
        <f ca="1">'(直掃)Change to adc mapping '!F72 &amp; ","</f>
        <v>9999,</v>
      </c>
      <c r="G8" t="str">
        <f ca="1">'(直掃)Change to adc mapping '!G72 &amp; ","</f>
        <v>9999,</v>
      </c>
      <c r="H8" t="str">
        <f ca="1">'(直掃)Change to adc mapping '!H72 &amp; ","</f>
        <v>9999,</v>
      </c>
      <c r="I8" t="str">
        <f ca="1">'(直掃)Change to adc mapping '!I72 &amp; ","</f>
        <v>9999,</v>
      </c>
      <c r="J8" t="str">
        <f ca="1">'(直掃)Change to adc mapping '!J72 &amp; ","</f>
        <v>9999,</v>
      </c>
      <c r="K8" t="str">
        <f ca="1">'(直掃)Change to adc mapping '!K72 &amp; ","</f>
        <v>9999,</v>
      </c>
      <c r="L8" t="str">
        <f ca="1">'(直掃)Change to adc mapping '!L72 &amp; ","</f>
        <v>9999,</v>
      </c>
      <c r="M8" t="str">
        <f ca="1">'(直掃)Change to adc mapping '!M72 &amp; ","</f>
        <v>9999,</v>
      </c>
      <c r="N8" t="str">
        <f ca="1">'(直掃)Change to adc mapping '!N72 &amp; ","</f>
        <v>9999,</v>
      </c>
      <c r="O8" t="str">
        <f ca="1">'(直掃)Change to adc mapping '!O72 &amp; ","</f>
        <v>9999,</v>
      </c>
      <c r="P8" t="str">
        <f ca="1">'(直掃)Change to adc mapping '!P72 &amp; ","</f>
        <v>9999,</v>
      </c>
      <c r="Q8" t="str">
        <f ca="1">'(直掃)Change to adc mapping '!Q72 &amp; ","</f>
        <v>9999,</v>
      </c>
      <c r="R8" t="str">
        <f ca="1">'(直掃)Change to adc mapping '!R72 &amp; ","</f>
        <v>9999,</v>
      </c>
      <c r="S8" t="str">
        <f ca="1">'(直掃)Change to adc mapping '!S72 &amp; ","</f>
        <v>9999,</v>
      </c>
      <c r="T8" t="str">
        <f ca="1">'(直掃)Change to adc mapping '!T72 &amp; ","</f>
        <v>9999,</v>
      </c>
      <c r="U8" t="str">
        <f ca="1">'(直掃)Change to adc mapping '!U72 &amp; ","</f>
        <v>9999,</v>
      </c>
      <c r="V8" t="str">
        <f ca="1">'(直掃)Change to adc mapping '!V72 &amp; ","</f>
        <v>9999,</v>
      </c>
      <c r="W8" t="str">
        <f ca="1">'(直掃)Change to adc mapping '!W72 &amp; ","</f>
        <v>9999,</v>
      </c>
      <c r="X8" t="str">
        <f ca="1">'(直掃)Change to adc mapping '!X72 &amp; ","</f>
        <v>9999,</v>
      </c>
      <c r="Y8" t="str">
        <f ca="1">'(直掃)Change to adc mapping '!Y72 &amp; ","</f>
        <v>9999,</v>
      </c>
      <c r="Z8" t="str">
        <f ca="1">'(直掃)Change to adc mapping '!Z72 &amp; ","</f>
        <v>9999,</v>
      </c>
      <c r="AA8" t="str">
        <f ca="1">'(直掃)Change to adc mapping '!AA72 &amp; ","</f>
        <v>9999,</v>
      </c>
      <c r="AB8" t="str">
        <f ca="1">'(直掃)Change to adc mapping '!AB72 &amp; ","</f>
        <v>9999,</v>
      </c>
      <c r="AC8" t="str">
        <f ca="1">'(直掃)Change to adc mapping '!AC72 &amp; ","</f>
        <v>9999,</v>
      </c>
      <c r="AD8" t="str">
        <f ca="1">'(直掃)Change to adc mapping '!AD72 &amp; ","</f>
        <v>9999,</v>
      </c>
      <c r="AE8" t="str">
        <f ca="1">'(直掃)Change to adc mapping '!AE72 &amp; ","</f>
        <v>9999,</v>
      </c>
      <c r="AF8" t="str">
        <f ca="1">'(直掃)Change to adc mapping '!AF72 &amp; ","</f>
        <v>9999,</v>
      </c>
      <c r="AG8" t="str">
        <f ca="1">'(直掃)Change to adc mapping '!AG72 &amp; ","</f>
        <v>9999,</v>
      </c>
      <c r="AH8" t="str">
        <f ca="1">'(直掃)Change to adc mapping '!AH72 &amp; ","</f>
        <v>9999,</v>
      </c>
      <c r="AI8" t="str">
        <f ca="1">'(直掃)Change to adc mapping '!AI72 &amp; ","</f>
        <v>9999,</v>
      </c>
      <c r="AJ8" t="str">
        <f ca="1">'(直掃)Change to adc mapping '!AJ72 &amp; ","</f>
        <v>9999,</v>
      </c>
      <c r="AK8" t="str">
        <f ca="1">'(直掃)Change to adc mapping '!AK72 &amp; ","</f>
        <v>9999,</v>
      </c>
      <c r="AL8" t="str">
        <f ca="1">'(直掃)Change to adc mapping '!AL72 &amp; ","</f>
        <v>9999,</v>
      </c>
      <c r="AM8" t="str">
        <f ca="1">'(直掃)Change to adc mapping '!AM72 &amp; ","</f>
        <v>9999,</v>
      </c>
      <c r="AN8" t="str">
        <f ca="1">'(直掃)Change to adc mapping '!AN72 &amp; ","</f>
        <v>9999,</v>
      </c>
      <c r="AO8" t="str">
        <f ca="1">'(直掃)Change to adc mapping '!AO72 &amp; ","</f>
        <v>9999,</v>
      </c>
      <c r="AP8" t="str">
        <f ca="1">'(直掃)Change to adc mapping '!AP72 &amp; ","</f>
        <v>9999,</v>
      </c>
      <c r="AQ8" t="str">
        <f ca="1">'(直掃)Change to adc mapping '!AQ72 &amp; ","</f>
        <v>9999,</v>
      </c>
      <c r="AR8" t="str">
        <f ca="1">'(直掃)Change to adc mapping '!AR72 &amp; ","</f>
        <v>9999,</v>
      </c>
      <c r="AS8" t="str">
        <f ca="1">'(直掃)Change to adc mapping '!AS72 &amp; ","</f>
        <v>9999,</v>
      </c>
      <c r="AT8" t="str">
        <f ca="1">'(直掃)Change to adc mapping '!AT72 &amp; ","</f>
        <v>9999,</v>
      </c>
      <c r="AU8" t="str">
        <f ca="1">'(直掃)Change to adc mapping '!AU72 &amp; ","</f>
        <v>9999,</v>
      </c>
      <c r="AV8" t="str">
        <f ca="1">'(直掃)Change to adc mapping '!AV72 &amp; ","</f>
        <v>9999,</v>
      </c>
      <c r="AW8" t="str">
        <f ca="1">'(直掃)Change to adc mapping '!AW72 &amp; ","</f>
        <v>9999,</v>
      </c>
      <c r="AX8" t="str">
        <f ca="1">'(直掃)Change to adc mapping '!AX72 &amp; ","</f>
        <v>9999,</v>
      </c>
      <c r="AY8" t="str">
        <f ca="1">'(直掃)Change to adc mapping '!AY72 &amp; ","</f>
        <v>9999,</v>
      </c>
      <c r="AZ8" t="str">
        <f ca="1">'(直掃)Change to adc mapping '!AZ72 &amp; ","</f>
        <v>9999,</v>
      </c>
      <c r="BA8" t="str">
        <f ca="1">'(直掃)Change to adc mapping '!BA72 &amp; ","</f>
        <v>9999,</v>
      </c>
      <c r="BB8" t="str">
        <f ca="1">'(直掃)Change to adc mapping '!BB72 &amp; ","</f>
        <v>9999,</v>
      </c>
      <c r="BC8" t="str">
        <f ca="1">'(直掃)Change to adc mapping '!BC72 &amp; ","</f>
        <v>9999,</v>
      </c>
      <c r="BD8" t="str">
        <f ca="1">'(直掃)Change to adc mapping '!BD72 &amp; ","</f>
        <v>9999,</v>
      </c>
      <c r="BE8" t="str">
        <f ca="1">'(直掃)Change to adc mapping '!BE72 &amp; ","</f>
        <v>9999,</v>
      </c>
      <c r="BF8" t="str">
        <f ca="1">'(直掃)Change to adc mapping '!BF72 &amp; ","</f>
        <v>9999,</v>
      </c>
      <c r="BG8" t="str">
        <f ca="1">'(直掃)Change to adc mapping '!BG72 &amp; ","</f>
        <v>9999,</v>
      </c>
      <c r="BH8" t="str">
        <f ca="1">'(直掃)Change to adc mapping '!BH72 &amp; ","</f>
        <v>9999,</v>
      </c>
      <c r="BI8" t="str">
        <f ca="1">'(直掃)Change to adc mapping '!BI72 &amp; ","</f>
        <v>9999,</v>
      </c>
    </row>
    <row r="9" spans="1:61" x14ac:dyDescent="0.25">
      <c r="A9" s="20">
        <v>8</v>
      </c>
      <c r="B9" t="str">
        <f ca="1">'(直掃)Change to adc mapping '!B73 &amp; ","</f>
        <v>9999,</v>
      </c>
      <c r="C9" t="str">
        <f ca="1">'(直掃)Change to adc mapping '!C73 &amp; ","</f>
        <v>9999,</v>
      </c>
      <c r="D9" t="str">
        <f ca="1">'(直掃)Change to adc mapping '!D73 &amp; ","</f>
        <v>9999,</v>
      </c>
      <c r="E9" t="str">
        <f ca="1">'(直掃)Change to adc mapping '!E73 &amp; ","</f>
        <v>9999,</v>
      </c>
      <c r="F9" t="str">
        <f ca="1">'(直掃)Change to adc mapping '!F73 &amp; ","</f>
        <v>9999,</v>
      </c>
      <c r="G9" t="str">
        <f ca="1">'(直掃)Change to adc mapping '!G73 &amp; ","</f>
        <v>9999,</v>
      </c>
      <c r="H9" t="str">
        <f ca="1">'(直掃)Change to adc mapping '!H73 &amp; ","</f>
        <v>9999,</v>
      </c>
      <c r="I9" t="str">
        <f ca="1">'(直掃)Change to adc mapping '!I73 &amp; ","</f>
        <v>9999,</v>
      </c>
      <c r="J9" t="str">
        <f ca="1">'(直掃)Change to adc mapping '!J73 &amp; ","</f>
        <v>9999,</v>
      </c>
      <c r="K9" t="str">
        <f ca="1">'(直掃)Change to adc mapping '!K73 &amp; ","</f>
        <v>9999,</v>
      </c>
      <c r="L9" t="str">
        <f ca="1">'(直掃)Change to adc mapping '!L73 &amp; ","</f>
        <v>9999,</v>
      </c>
      <c r="M9" t="str">
        <f ca="1">'(直掃)Change to adc mapping '!M73 &amp; ","</f>
        <v>9999,</v>
      </c>
      <c r="N9" t="str">
        <f ca="1">'(直掃)Change to adc mapping '!N73 &amp; ","</f>
        <v>9999,</v>
      </c>
      <c r="O9" t="str">
        <f ca="1">'(直掃)Change to adc mapping '!O73 &amp; ","</f>
        <v>9999,</v>
      </c>
      <c r="P9" t="str">
        <f ca="1">'(直掃)Change to adc mapping '!P73 &amp; ","</f>
        <v>9999,</v>
      </c>
      <c r="Q9" t="str">
        <f ca="1">'(直掃)Change to adc mapping '!Q73 &amp; ","</f>
        <v>9999,</v>
      </c>
      <c r="R9" t="str">
        <f ca="1">'(直掃)Change to adc mapping '!R73 &amp; ","</f>
        <v>9999,</v>
      </c>
      <c r="S9" t="str">
        <f ca="1">'(直掃)Change to adc mapping '!S73 &amp; ","</f>
        <v>9999,</v>
      </c>
      <c r="T9" t="str">
        <f ca="1">'(直掃)Change to adc mapping '!T73 &amp; ","</f>
        <v>9999,</v>
      </c>
      <c r="U9" t="str">
        <f ca="1">'(直掃)Change to adc mapping '!U73 &amp; ","</f>
        <v>9999,</v>
      </c>
      <c r="V9" t="str">
        <f ca="1">'(直掃)Change to adc mapping '!V73 &amp; ","</f>
        <v>9999,</v>
      </c>
      <c r="W9" t="str">
        <f ca="1">'(直掃)Change to adc mapping '!W73 &amp; ","</f>
        <v>9999,</v>
      </c>
      <c r="X9" t="str">
        <f ca="1">'(直掃)Change to adc mapping '!X73 &amp; ","</f>
        <v>9999,</v>
      </c>
      <c r="Y9" t="str">
        <f ca="1">'(直掃)Change to adc mapping '!Y73 &amp; ","</f>
        <v>9999,</v>
      </c>
      <c r="Z9" t="str">
        <f ca="1">'(直掃)Change to adc mapping '!Z73 &amp; ","</f>
        <v>9999,</v>
      </c>
      <c r="AA9" t="str">
        <f ca="1">'(直掃)Change to adc mapping '!AA73 &amp; ","</f>
        <v>9999,</v>
      </c>
      <c r="AB9" t="str">
        <f ca="1">'(直掃)Change to adc mapping '!AB73 &amp; ","</f>
        <v>9999,</v>
      </c>
      <c r="AC9" t="str">
        <f ca="1">'(直掃)Change to adc mapping '!AC73 &amp; ","</f>
        <v>9999,</v>
      </c>
      <c r="AD9" t="str">
        <f ca="1">'(直掃)Change to adc mapping '!AD73 &amp; ","</f>
        <v>9999,</v>
      </c>
      <c r="AE9" t="str">
        <f ca="1">'(直掃)Change to adc mapping '!AE73 &amp; ","</f>
        <v>9999,</v>
      </c>
      <c r="AF9" t="str">
        <f ca="1">'(直掃)Change to adc mapping '!AF73 &amp; ","</f>
        <v>9999,</v>
      </c>
      <c r="AG9" t="str">
        <f ca="1">'(直掃)Change to adc mapping '!AG73 &amp; ","</f>
        <v>9999,</v>
      </c>
      <c r="AH9" t="str">
        <f ca="1">'(直掃)Change to adc mapping '!AH73 &amp; ","</f>
        <v>9999,</v>
      </c>
      <c r="AI9" t="str">
        <f ca="1">'(直掃)Change to adc mapping '!AI73 &amp; ","</f>
        <v>9999,</v>
      </c>
      <c r="AJ9" t="str">
        <f ca="1">'(直掃)Change to adc mapping '!AJ73 &amp; ","</f>
        <v>9999,</v>
      </c>
      <c r="AK9" t="str">
        <f ca="1">'(直掃)Change to adc mapping '!AK73 &amp; ","</f>
        <v>9999,</v>
      </c>
      <c r="AL9" t="str">
        <f ca="1">'(直掃)Change to adc mapping '!AL73 &amp; ","</f>
        <v>9999,</v>
      </c>
      <c r="AM9" t="str">
        <f ca="1">'(直掃)Change to adc mapping '!AM73 &amp; ","</f>
        <v>9999,</v>
      </c>
      <c r="AN9" t="str">
        <f ca="1">'(直掃)Change to adc mapping '!AN73 &amp; ","</f>
        <v>9999,</v>
      </c>
      <c r="AO9" t="str">
        <f ca="1">'(直掃)Change to adc mapping '!AO73 &amp; ","</f>
        <v>9999,</v>
      </c>
      <c r="AP9" t="str">
        <f ca="1">'(直掃)Change to adc mapping '!AP73 &amp; ","</f>
        <v>9999,</v>
      </c>
      <c r="AQ9" t="str">
        <f ca="1">'(直掃)Change to adc mapping '!AQ73 &amp; ","</f>
        <v>9999,</v>
      </c>
      <c r="AR9" t="str">
        <f ca="1">'(直掃)Change to adc mapping '!AR73 &amp; ","</f>
        <v>9999,</v>
      </c>
      <c r="AS9" t="str">
        <f ca="1">'(直掃)Change to adc mapping '!AS73 &amp; ","</f>
        <v>9999,</v>
      </c>
      <c r="AT9" t="str">
        <f ca="1">'(直掃)Change to adc mapping '!AT73 &amp; ","</f>
        <v>9999,</v>
      </c>
      <c r="AU9" t="str">
        <f ca="1">'(直掃)Change to adc mapping '!AU73 &amp; ","</f>
        <v>9999,</v>
      </c>
      <c r="AV9" t="str">
        <f ca="1">'(直掃)Change to adc mapping '!AV73 &amp; ","</f>
        <v>9999,</v>
      </c>
      <c r="AW9" t="str">
        <f ca="1">'(直掃)Change to adc mapping '!AW73 &amp; ","</f>
        <v>9999,</v>
      </c>
      <c r="AX9" t="str">
        <f ca="1">'(直掃)Change to adc mapping '!AX73 &amp; ","</f>
        <v>9999,</v>
      </c>
      <c r="AY9" t="str">
        <f ca="1">'(直掃)Change to adc mapping '!AY73 &amp; ","</f>
        <v>9999,</v>
      </c>
      <c r="AZ9" t="str">
        <f ca="1">'(直掃)Change to adc mapping '!AZ73 &amp; ","</f>
        <v>9999,</v>
      </c>
      <c r="BA9" t="str">
        <f ca="1">'(直掃)Change to adc mapping '!BA73 &amp; ","</f>
        <v>9999,</v>
      </c>
      <c r="BB9" t="str">
        <f ca="1">'(直掃)Change to adc mapping '!BB73 &amp; ","</f>
        <v>9999,</v>
      </c>
      <c r="BC9" t="str">
        <f ca="1">'(直掃)Change to adc mapping '!BC73 &amp; ","</f>
        <v>9999,</v>
      </c>
      <c r="BD9" t="str">
        <f ca="1">'(直掃)Change to adc mapping '!BD73 &amp; ","</f>
        <v>9999,</v>
      </c>
      <c r="BE9" t="str">
        <f ca="1">'(直掃)Change to adc mapping '!BE73 &amp; ","</f>
        <v>9999,</v>
      </c>
      <c r="BF9" t="str">
        <f ca="1">'(直掃)Change to adc mapping '!BF73 &amp; ","</f>
        <v>9999,</v>
      </c>
      <c r="BG9" t="str">
        <f ca="1">'(直掃)Change to adc mapping '!BG73 &amp; ","</f>
        <v>9999,</v>
      </c>
      <c r="BH9" t="str">
        <f ca="1">'(直掃)Change to adc mapping '!BH73 &amp; ","</f>
        <v>9999,</v>
      </c>
      <c r="BI9" t="str">
        <f ca="1">'(直掃)Change to adc mapping '!BI73 &amp; ","</f>
        <v>9999,</v>
      </c>
    </row>
    <row r="10" spans="1:61" x14ac:dyDescent="0.25">
      <c r="A10" s="20">
        <v>9</v>
      </c>
      <c r="B10" t="str">
        <f ca="1">'(直掃)Change to adc mapping '!B74 &amp; ","</f>
        <v>9999,</v>
      </c>
      <c r="C10" t="str">
        <f ca="1">'(直掃)Change to adc mapping '!C74 &amp; ","</f>
        <v>9999,</v>
      </c>
      <c r="D10" t="str">
        <f ca="1">'(直掃)Change to adc mapping '!D74 &amp; ","</f>
        <v>9999,</v>
      </c>
      <c r="E10" t="str">
        <f ca="1">'(直掃)Change to adc mapping '!E74 &amp; ","</f>
        <v>9999,</v>
      </c>
      <c r="F10" t="str">
        <f ca="1">'(直掃)Change to adc mapping '!F74 &amp; ","</f>
        <v>9999,</v>
      </c>
      <c r="G10" t="str">
        <f ca="1">'(直掃)Change to adc mapping '!G74 &amp; ","</f>
        <v>9999,</v>
      </c>
      <c r="H10" t="str">
        <f ca="1">'(直掃)Change to adc mapping '!H74 &amp; ","</f>
        <v>9999,</v>
      </c>
      <c r="I10" t="str">
        <f ca="1">'(直掃)Change to adc mapping '!I74 &amp; ","</f>
        <v>9999,</v>
      </c>
      <c r="J10" t="str">
        <f ca="1">'(直掃)Change to adc mapping '!J74 &amp; ","</f>
        <v>9999,</v>
      </c>
      <c r="K10" t="str">
        <f ca="1">'(直掃)Change to adc mapping '!K74 &amp; ","</f>
        <v>9999,</v>
      </c>
      <c r="L10" t="str">
        <f ca="1">'(直掃)Change to adc mapping '!L74 &amp; ","</f>
        <v>9999,</v>
      </c>
      <c r="M10" t="str">
        <f ca="1">'(直掃)Change to adc mapping '!M74 &amp; ","</f>
        <v>9999,</v>
      </c>
      <c r="N10" t="str">
        <f ca="1">'(直掃)Change to adc mapping '!N74 &amp; ","</f>
        <v>9999,</v>
      </c>
      <c r="O10" t="str">
        <f ca="1">'(直掃)Change to adc mapping '!O74 &amp; ","</f>
        <v>9999,</v>
      </c>
      <c r="P10" t="str">
        <f ca="1">'(直掃)Change to adc mapping '!P74 &amp; ","</f>
        <v>9999,</v>
      </c>
      <c r="Q10" t="str">
        <f ca="1">'(直掃)Change to adc mapping '!Q74 &amp; ","</f>
        <v>9999,</v>
      </c>
      <c r="R10" t="str">
        <f ca="1">'(直掃)Change to adc mapping '!R74 &amp; ","</f>
        <v>9999,</v>
      </c>
      <c r="S10" t="str">
        <f ca="1">'(直掃)Change to adc mapping '!S74 &amp; ","</f>
        <v>9999,</v>
      </c>
      <c r="T10" t="str">
        <f ca="1">'(直掃)Change to adc mapping '!T74 &amp; ","</f>
        <v>9999,</v>
      </c>
      <c r="U10" t="str">
        <f ca="1">'(直掃)Change to adc mapping '!U74 &amp; ","</f>
        <v>9999,</v>
      </c>
      <c r="V10" t="str">
        <f ca="1">'(直掃)Change to adc mapping '!V74 &amp; ","</f>
        <v>9999,</v>
      </c>
      <c r="W10" t="str">
        <f ca="1">'(直掃)Change to adc mapping '!W74 &amp; ","</f>
        <v>9999,</v>
      </c>
      <c r="X10" t="str">
        <f ca="1">'(直掃)Change to adc mapping '!X74 &amp; ","</f>
        <v>9999,</v>
      </c>
      <c r="Y10" t="str">
        <f ca="1">'(直掃)Change to adc mapping '!Y74 &amp; ","</f>
        <v>9999,</v>
      </c>
      <c r="Z10" t="str">
        <f ca="1">'(直掃)Change to adc mapping '!Z74 &amp; ","</f>
        <v>9999,</v>
      </c>
      <c r="AA10" t="str">
        <f ca="1">'(直掃)Change to adc mapping '!AA74 &amp; ","</f>
        <v>9999,</v>
      </c>
      <c r="AB10" t="str">
        <f ca="1">'(直掃)Change to adc mapping '!AB74 &amp; ","</f>
        <v>9999,</v>
      </c>
      <c r="AC10" t="str">
        <f ca="1">'(直掃)Change to adc mapping '!AC74 &amp; ","</f>
        <v>9999,</v>
      </c>
      <c r="AD10" t="str">
        <f ca="1">'(直掃)Change to adc mapping '!AD74 &amp; ","</f>
        <v>9999,</v>
      </c>
      <c r="AE10" t="str">
        <f ca="1">'(直掃)Change to adc mapping '!AE74 &amp; ","</f>
        <v>9999,</v>
      </c>
      <c r="AF10" t="str">
        <f ca="1">'(直掃)Change to adc mapping '!AF74 &amp; ","</f>
        <v>9999,</v>
      </c>
      <c r="AG10" t="str">
        <f ca="1">'(直掃)Change to adc mapping '!AG74 &amp; ","</f>
        <v>9999,</v>
      </c>
      <c r="AH10" t="str">
        <f ca="1">'(直掃)Change to adc mapping '!AH74 &amp; ","</f>
        <v>9999,</v>
      </c>
      <c r="AI10" t="str">
        <f ca="1">'(直掃)Change to adc mapping '!AI74 &amp; ","</f>
        <v>9999,</v>
      </c>
      <c r="AJ10" t="str">
        <f ca="1">'(直掃)Change to adc mapping '!AJ74 &amp; ","</f>
        <v>9999,</v>
      </c>
      <c r="AK10" t="str">
        <f ca="1">'(直掃)Change to adc mapping '!AK74 &amp; ","</f>
        <v>9999,</v>
      </c>
      <c r="AL10" t="str">
        <f ca="1">'(直掃)Change to adc mapping '!AL74 &amp; ","</f>
        <v>9999,</v>
      </c>
      <c r="AM10" t="str">
        <f ca="1">'(直掃)Change to adc mapping '!AM74 &amp; ","</f>
        <v>9999,</v>
      </c>
      <c r="AN10" t="str">
        <f ca="1">'(直掃)Change to adc mapping '!AN74 &amp; ","</f>
        <v>9999,</v>
      </c>
      <c r="AO10" t="str">
        <f ca="1">'(直掃)Change to adc mapping '!AO74 &amp; ","</f>
        <v>9999,</v>
      </c>
      <c r="AP10" t="str">
        <f ca="1">'(直掃)Change to adc mapping '!AP74 &amp; ","</f>
        <v>9999,</v>
      </c>
      <c r="AQ10" t="str">
        <f ca="1">'(直掃)Change to adc mapping '!AQ74 &amp; ","</f>
        <v>9999,</v>
      </c>
      <c r="AR10" t="str">
        <f ca="1">'(直掃)Change to adc mapping '!AR74 &amp; ","</f>
        <v>9999,</v>
      </c>
      <c r="AS10" t="str">
        <f ca="1">'(直掃)Change to adc mapping '!AS74 &amp; ","</f>
        <v>9999,</v>
      </c>
      <c r="AT10" t="str">
        <f ca="1">'(直掃)Change to adc mapping '!AT74 &amp; ","</f>
        <v>9999,</v>
      </c>
      <c r="AU10" t="str">
        <f ca="1">'(直掃)Change to adc mapping '!AU74 &amp; ","</f>
        <v>9999,</v>
      </c>
      <c r="AV10" t="str">
        <f ca="1">'(直掃)Change to adc mapping '!AV74 &amp; ","</f>
        <v>9999,</v>
      </c>
      <c r="AW10" t="str">
        <f ca="1">'(直掃)Change to adc mapping '!AW74 &amp; ","</f>
        <v>9999,</v>
      </c>
      <c r="AX10" t="str">
        <f ca="1">'(直掃)Change to adc mapping '!AX74 &amp; ","</f>
        <v>9999,</v>
      </c>
      <c r="AY10" t="str">
        <f ca="1">'(直掃)Change to adc mapping '!AY74 &amp; ","</f>
        <v>9999,</v>
      </c>
      <c r="AZ10" t="str">
        <f ca="1">'(直掃)Change to adc mapping '!AZ74 &amp; ","</f>
        <v>9999,</v>
      </c>
      <c r="BA10" t="str">
        <f ca="1">'(直掃)Change to adc mapping '!BA74 &amp; ","</f>
        <v>9999,</v>
      </c>
      <c r="BB10" t="str">
        <f ca="1">'(直掃)Change to adc mapping '!BB74 &amp; ","</f>
        <v>9999,</v>
      </c>
      <c r="BC10" t="str">
        <f ca="1">'(直掃)Change to adc mapping '!BC74 &amp; ","</f>
        <v>9999,</v>
      </c>
      <c r="BD10" t="str">
        <f ca="1">'(直掃)Change to adc mapping '!BD74 &amp; ","</f>
        <v>9999,</v>
      </c>
      <c r="BE10" t="str">
        <f ca="1">'(直掃)Change to adc mapping '!BE74 &amp; ","</f>
        <v>9999,</v>
      </c>
      <c r="BF10" t="str">
        <f ca="1">'(直掃)Change to adc mapping '!BF74 &amp; ","</f>
        <v>9999,</v>
      </c>
      <c r="BG10" t="str">
        <f ca="1">'(直掃)Change to adc mapping '!BG74 &amp; ","</f>
        <v>9999,</v>
      </c>
      <c r="BH10" t="str">
        <f ca="1">'(直掃)Change to adc mapping '!BH74 &amp; ","</f>
        <v>9999,</v>
      </c>
      <c r="BI10" t="str">
        <f ca="1">'(直掃)Change to adc mapping '!BI74 &amp; ","</f>
        <v>9999,</v>
      </c>
    </row>
    <row r="11" spans="1:61" x14ac:dyDescent="0.25">
      <c r="A11" s="20">
        <v>10</v>
      </c>
      <c r="B11" t="str">
        <f ca="1">'(直掃)Change to adc mapping '!B75 &amp; ","</f>
        <v>9999,</v>
      </c>
      <c r="C11" t="str">
        <f ca="1">'(直掃)Change to adc mapping '!C75 &amp; ","</f>
        <v>9999,</v>
      </c>
      <c r="D11" t="str">
        <f ca="1">'(直掃)Change to adc mapping '!D75 &amp; ","</f>
        <v>9999,</v>
      </c>
      <c r="E11" t="str">
        <f ca="1">'(直掃)Change to adc mapping '!E75 &amp; ","</f>
        <v>9999,</v>
      </c>
      <c r="F11" t="str">
        <f ca="1">'(直掃)Change to adc mapping '!F75 &amp; ","</f>
        <v>9999,</v>
      </c>
      <c r="G11" t="str">
        <f ca="1">'(直掃)Change to adc mapping '!G75 &amp; ","</f>
        <v>9999,</v>
      </c>
      <c r="H11" t="str">
        <f ca="1">'(直掃)Change to adc mapping '!H75 &amp; ","</f>
        <v>9999,</v>
      </c>
      <c r="I11" t="str">
        <f ca="1">'(直掃)Change to adc mapping '!I75 &amp; ","</f>
        <v>9999,</v>
      </c>
      <c r="J11" t="str">
        <f ca="1">'(直掃)Change to adc mapping '!J75 &amp; ","</f>
        <v>9999,</v>
      </c>
      <c r="K11" t="str">
        <f ca="1">'(直掃)Change to adc mapping '!K75 &amp; ","</f>
        <v>9999,</v>
      </c>
      <c r="L11" t="str">
        <f ca="1">'(直掃)Change to adc mapping '!L75 &amp; ","</f>
        <v>9999,</v>
      </c>
      <c r="M11" t="str">
        <f ca="1">'(直掃)Change to adc mapping '!M75 &amp; ","</f>
        <v>9999,</v>
      </c>
      <c r="N11" t="str">
        <f ca="1">'(直掃)Change to adc mapping '!N75 &amp; ","</f>
        <v>9999,</v>
      </c>
      <c r="O11" t="str">
        <f ca="1">'(直掃)Change to adc mapping '!O75 &amp; ","</f>
        <v>9999,</v>
      </c>
      <c r="P11" t="str">
        <f ca="1">'(直掃)Change to adc mapping '!P75 &amp; ","</f>
        <v>9999,</v>
      </c>
      <c r="Q11" t="str">
        <f ca="1">'(直掃)Change to adc mapping '!Q75 &amp; ","</f>
        <v>9999,</v>
      </c>
      <c r="R11" t="str">
        <f ca="1">'(直掃)Change to adc mapping '!R75 &amp; ","</f>
        <v>9999,</v>
      </c>
      <c r="S11" t="str">
        <f ca="1">'(直掃)Change to adc mapping '!S75 &amp; ","</f>
        <v>9999,</v>
      </c>
      <c r="T11" t="str">
        <f ca="1">'(直掃)Change to adc mapping '!T75 &amp; ","</f>
        <v>9999,</v>
      </c>
      <c r="U11" t="str">
        <f ca="1">'(直掃)Change to adc mapping '!U75 &amp; ","</f>
        <v>9999,</v>
      </c>
      <c r="V11" t="str">
        <f ca="1">'(直掃)Change to adc mapping '!V75 &amp; ","</f>
        <v>9999,</v>
      </c>
      <c r="W11" t="str">
        <f ca="1">'(直掃)Change to adc mapping '!W75 &amp; ","</f>
        <v>9999,</v>
      </c>
      <c r="X11" t="str">
        <f ca="1">'(直掃)Change to adc mapping '!X75 &amp; ","</f>
        <v>9999,</v>
      </c>
      <c r="Y11" t="str">
        <f ca="1">'(直掃)Change to adc mapping '!Y75 &amp; ","</f>
        <v>9999,</v>
      </c>
      <c r="Z11" t="str">
        <f ca="1">'(直掃)Change to adc mapping '!Z75 &amp; ","</f>
        <v>9999,</v>
      </c>
      <c r="AA11" t="str">
        <f ca="1">'(直掃)Change to adc mapping '!AA75 &amp; ","</f>
        <v>9999,</v>
      </c>
      <c r="AB11" t="str">
        <f ca="1">'(直掃)Change to adc mapping '!AB75 &amp; ","</f>
        <v>9999,</v>
      </c>
      <c r="AC11" t="str">
        <f ca="1">'(直掃)Change to adc mapping '!AC75 &amp; ","</f>
        <v>9999,</v>
      </c>
      <c r="AD11" t="str">
        <f ca="1">'(直掃)Change to adc mapping '!AD75 &amp; ","</f>
        <v>9999,</v>
      </c>
      <c r="AE11" t="str">
        <f ca="1">'(直掃)Change to adc mapping '!AE75 &amp; ","</f>
        <v>9999,</v>
      </c>
      <c r="AF11" t="str">
        <f ca="1">'(直掃)Change to adc mapping '!AF75 &amp; ","</f>
        <v>9999,</v>
      </c>
      <c r="AG11" t="str">
        <f ca="1">'(直掃)Change to adc mapping '!AG75 &amp; ","</f>
        <v>9999,</v>
      </c>
      <c r="AH11" t="str">
        <f ca="1">'(直掃)Change to adc mapping '!AH75 &amp; ","</f>
        <v>9999,</v>
      </c>
      <c r="AI11" t="str">
        <f ca="1">'(直掃)Change to adc mapping '!AI75 &amp; ","</f>
        <v>9999,</v>
      </c>
      <c r="AJ11" t="str">
        <f ca="1">'(直掃)Change to adc mapping '!AJ75 &amp; ","</f>
        <v>9999,</v>
      </c>
      <c r="AK11" t="str">
        <f ca="1">'(直掃)Change to adc mapping '!AK75 &amp; ","</f>
        <v>9999,</v>
      </c>
      <c r="AL11" t="str">
        <f ca="1">'(直掃)Change to adc mapping '!AL75 &amp; ","</f>
        <v>9999,</v>
      </c>
      <c r="AM11" t="str">
        <f ca="1">'(直掃)Change to adc mapping '!AM75 &amp; ","</f>
        <v>9999,</v>
      </c>
      <c r="AN11" t="str">
        <f ca="1">'(直掃)Change to adc mapping '!AN75 &amp; ","</f>
        <v>9999,</v>
      </c>
      <c r="AO11" t="str">
        <f ca="1">'(直掃)Change to adc mapping '!AO75 &amp; ","</f>
        <v>9999,</v>
      </c>
      <c r="AP11" t="str">
        <f ca="1">'(直掃)Change to adc mapping '!AP75 &amp; ","</f>
        <v>9999,</v>
      </c>
      <c r="AQ11" t="str">
        <f ca="1">'(直掃)Change to adc mapping '!AQ75 &amp; ","</f>
        <v>9999,</v>
      </c>
      <c r="AR11" t="str">
        <f ca="1">'(直掃)Change to adc mapping '!AR75 &amp; ","</f>
        <v>9999,</v>
      </c>
      <c r="AS11" t="str">
        <f ca="1">'(直掃)Change to adc mapping '!AS75 &amp; ","</f>
        <v>9999,</v>
      </c>
      <c r="AT11" t="str">
        <f ca="1">'(直掃)Change to adc mapping '!AT75 &amp; ","</f>
        <v>9999,</v>
      </c>
      <c r="AU11" t="str">
        <f ca="1">'(直掃)Change to adc mapping '!AU75 &amp; ","</f>
        <v>9999,</v>
      </c>
      <c r="AV11" t="str">
        <f ca="1">'(直掃)Change to adc mapping '!AV75 &amp; ","</f>
        <v>9999,</v>
      </c>
      <c r="AW11" t="str">
        <f ca="1">'(直掃)Change to adc mapping '!AW75 &amp; ","</f>
        <v>9999,</v>
      </c>
      <c r="AX11" t="str">
        <f ca="1">'(直掃)Change to adc mapping '!AX75 &amp; ","</f>
        <v>9999,</v>
      </c>
      <c r="AY11" t="str">
        <f ca="1">'(直掃)Change to adc mapping '!AY75 &amp; ","</f>
        <v>9999,</v>
      </c>
      <c r="AZ11" t="str">
        <f ca="1">'(直掃)Change to adc mapping '!AZ75 &amp; ","</f>
        <v>9999,</v>
      </c>
      <c r="BA11" t="str">
        <f ca="1">'(直掃)Change to adc mapping '!BA75 &amp; ","</f>
        <v>9999,</v>
      </c>
      <c r="BB11" t="str">
        <f ca="1">'(直掃)Change to adc mapping '!BB75 &amp; ","</f>
        <v>9999,</v>
      </c>
      <c r="BC11" t="str">
        <f ca="1">'(直掃)Change to adc mapping '!BC75 &amp; ","</f>
        <v>9999,</v>
      </c>
      <c r="BD11" t="str">
        <f ca="1">'(直掃)Change to adc mapping '!BD75 &amp; ","</f>
        <v>9999,</v>
      </c>
      <c r="BE11" t="str">
        <f ca="1">'(直掃)Change to adc mapping '!BE75 &amp; ","</f>
        <v>9999,</v>
      </c>
      <c r="BF11" t="str">
        <f ca="1">'(直掃)Change to adc mapping '!BF75 &amp; ","</f>
        <v>9999,</v>
      </c>
      <c r="BG11" t="str">
        <f ca="1">'(直掃)Change to adc mapping '!BG75 &amp; ","</f>
        <v>9999,</v>
      </c>
      <c r="BH11" t="str">
        <f ca="1">'(直掃)Change to adc mapping '!BH75 &amp; ","</f>
        <v>9999,</v>
      </c>
      <c r="BI11" t="str">
        <f ca="1">'(直掃)Change to adc mapping '!BI75 &amp; ","</f>
        <v>9999,</v>
      </c>
    </row>
    <row r="12" spans="1:61" x14ac:dyDescent="0.25">
      <c r="A12" s="20">
        <v>11</v>
      </c>
      <c r="B12" t="str">
        <f ca="1">'(直掃)Change to adc mapping '!B76 &amp; ","</f>
        <v>9999,</v>
      </c>
      <c r="C12" t="str">
        <f ca="1">'(直掃)Change to adc mapping '!C76 &amp; ","</f>
        <v>9999,</v>
      </c>
      <c r="D12" t="str">
        <f ca="1">'(直掃)Change to adc mapping '!D76 &amp; ","</f>
        <v>9999,</v>
      </c>
      <c r="E12" t="str">
        <f ca="1">'(直掃)Change to adc mapping '!E76 &amp; ","</f>
        <v>9999,</v>
      </c>
      <c r="F12" t="str">
        <f ca="1">'(直掃)Change to adc mapping '!F76 &amp; ","</f>
        <v>9999,</v>
      </c>
      <c r="G12" t="str">
        <f ca="1">'(直掃)Change to adc mapping '!G76 &amp; ","</f>
        <v>9999,</v>
      </c>
      <c r="H12" t="str">
        <f ca="1">'(直掃)Change to adc mapping '!H76 &amp; ","</f>
        <v>9999,</v>
      </c>
      <c r="I12" t="str">
        <f ca="1">'(直掃)Change to adc mapping '!I76 &amp; ","</f>
        <v>9999,</v>
      </c>
      <c r="J12" t="str">
        <f ca="1">'(直掃)Change to adc mapping '!J76 &amp; ","</f>
        <v>9999,</v>
      </c>
      <c r="K12" t="str">
        <f ca="1">'(直掃)Change to adc mapping '!K76 &amp; ","</f>
        <v>9999,</v>
      </c>
      <c r="L12" t="str">
        <f ca="1">'(直掃)Change to adc mapping '!L76 &amp; ","</f>
        <v>9999,</v>
      </c>
      <c r="M12" t="str">
        <f ca="1">'(直掃)Change to adc mapping '!M76 &amp; ","</f>
        <v>9999,</v>
      </c>
      <c r="N12" t="str">
        <f ca="1">'(直掃)Change to adc mapping '!N76 &amp; ","</f>
        <v>9999,</v>
      </c>
      <c r="O12" t="str">
        <f ca="1">'(直掃)Change to adc mapping '!O76 &amp; ","</f>
        <v>9999,</v>
      </c>
      <c r="P12" t="str">
        <f ca="1">'(直掃)Change to adc mapping '!P76 &amp; ","</f>
        <v>9999,</v>
      </c>
      <c r="Q12" t="str">
        <f ca="1">'(直掃)Change to adc mapping '!Q76 &amp; ","</f>
        <v>9999,</v>
      </c>
      <c r="R12" t="str">
        <f ca="1">'(直掃)Change to adc mapping '!R76 &amp; ","</f>
        <v>9999,</v>
      </c>
      <c r="S12" t="str">
        <f ca="1">'(直掃)Change to adc mapping '!S76 &amp; ","</f>
        <v>9999,</v>
      </c>
      <c r="T12" t="str">
        <f ca="1">'(直掃)Change to adc mapping '!T76 &amp; ","</f>
        <v>9999,</v>
      </c>
      <c r="U12" t="str">
        <f ca="1">'(直掃)Change to adc mapping '!U76 &amp; ","</f>
        <v>9999,</v>
      </c>
      <c r="V12" t="str">
        <f ca="1">'(直掃)Change to adc mapping '!V76 &amp; ","</f>
        <v>9999,</v>
      </c>
      <c r="W12" t="str">
        <f ca="1">'(直掃)Change to adc mapping '!W76 &amp; ","</f>
        <v>9999,</v>
      </c>
      <c r="X12" t="str">
        <f ca="1">'(直掃)Change to adc mapping '!X76 &amp; ","</f>
        <v>9999,</v>
      </c>
      <c r="Y12" t="str">
        <f ca="1">'(直掃)Change to adc mapping '!Y76 &amp; ","</f>
        <v>9999,</v>
      </c>
      <c r="Z12" t="str">
        <f ca="1">'(直掃)Change to adc mapping '!Z76 &amp; ","</f>
        <v>9999,</v>
      </c>
      <c r="AA12" t="str">
        <f ca="1">'(直掃)Change to adc mapping '!AA76 &amp; ","</f>
        <v>9999,</v>
      </c>
      <c r="AB12" t="str">
        <f ca="1">'(直掃)Change to adc mapping '!AB76 &amp; ","</f>
        <v>9999,</v>
      </c>
      <c r="AC12" t="str">
        <f ca="1">'(直掃)Change to adc mapping '!AC76 &amp; ","</f>
        <v>9999,</v>
      </c>
      <c r="AD12" t="str">
        <f ca="1">'(直掃)Change to adc mapping '!AD76 &amp; ","</f>
        <v>9999,</v>
      </c>
      <c r="AE12" t="str">
        <f ca="1">'(直掃)Change to adc mapping '!AE76 &amp; ","</f>
        <v>9999,</v>
      </c>
      <c r="AF12" t="str">
        <f ca="1">'(直掃)Change to adc mapping '!AF76 &amp; ","</f>
        <v>9999,</v>
      </c>
      <c r="AG12" t="str">
        <f ca="1">'(直掃)Change to adc mapping '!AG76 &amp; ","</f>
        <v>9999,</v>
      </c>
      <c r="AH12" t="str">
        <f ca="1">'(直掃)Change to adc mapping '!AH76 &amp; ","</f>
        <v>9999,</v>
      </c>
      <c r="AI12" t="str">
        <f ca="1">'(直掃)Change to adc mapping '!AI76 &amp; ","</f>
        <v>9999,</v>
      </c>
      <c r="AJ12" t="str">
        <f ca="1">'(直掃)Change to adc mapping '!AJ76 &amp; ","</f>
        <v>9999,</v>
      </c>
      <c r="AK12" t="str">
        <f ca="1">'(直掃)Change to adc mapping '!AK76 &amp; ","</f>
        <v>9999,</v>
      </c>
      <c r="AL12" t="str">
        <f ca="1">'(直掃)Change to adc mapping '!AL76 &amp; ","</f>
        <v>9999,</v>
      </c>
      <c r="AM12" t="str">
        <f ca="1">'(直掃)Change to adc mapping '!AM76 &amp; ","</f>
        <v>9999,</v>
      </c>
      <c r="AN12" t="str">
        <f ca="1">'(直掃)Change to adc mapping '!AN76 &amp; ","</f>
        <v>9999,</v>
      </c>
      <c r="AO12" t="str">
        <f ca="1">'(直掃)Change to adc mapping '!AO76 &amp; ","</f>
        <v>9999,</v>
      </c>
      <c r="AP12" t="str">
        <f ca="1">'(直掃)Change to adc mapping '!AP76 &amp; ","</f>
        <v>9999,</v>
      </c>
      <c r="AQ12" t="str">
        <f ca="1">'(直掃)Change to adc mapping '!AQ76 &amp; ","</f>
        <v>9999,</v>
      </c>
      <c r="AR12" t="str">
        <f ca="1">'(直掃)Change to adc mapping '!AR76 &amp; ","</f>
        <v>9999,</v>
      </c>
      <c r="AS12" t="str">
        <f ca="1">'(直掃)Change to adc mapping '!AS76 &amp; ","</f>
        <v>9999,</v>
      </c>
      <c r="AT12" t="str">
        <f ca="1">'(直掃)Change to adc mapping '!AT76 &amp; ","</f>
        <v>9999,</v>
      </c>
      <c r="AU12" t="str">
        <f ca="1">'(直掃)Change to adc mapping '!AU76 &amp; ","</f>
        <v>9999,</v>
      </c>
      <c r="AV12" t="str">
        <f ca="1">'(直掃)Change to adc mapping '!AV76 &amp; ","</f>
        <v>9999,</v>
      </c>
      <c r="AW12" t="str">
        <f ca="1">'(直掃)Change to adc mapping '!AW76 &amp; ","</f>
        <v>9999,</v>
      </c>
      <c r="AX12" t="str">
        <f ca="1">'(直掃)Change to adc mapping '!AX76 &amp; ","</f>
        <v>9999,</v>
      </c>
      <c r="AY12" t="str">
        <f ca="1">'(直掃)Change to adc mapping '!AY76 &amp; ","</f>
        <v>9999,</v>
      </c>
      <c r="AZ12" t="str">
        <f ca="1">'(直掃)Change to adc mapping '!AZ76 &amp; ","</f>
        <v>9999,</v>
      </c>
      <c r="BA12" t="str">
        <f ca="1">'(直掃)Change to adc mapping '!BA76 &amp; ","</f>
        <v>9999,</v>
      </c>
      <c r="BB12" t="str">
        <f ca="1">'(直掃)Change to adc mapping '!BB76 &amp; ","</f>
        <v>9999,</v>
      </c>
      <c r="BC12" t="str">
        <f ca="1">'(直掃)Change to adc mapping '!BC76 &amp; ","</f>
        <v>9999,</v>
      </c>
      <c r="BD12" t="str">
        <f ca="1">'(直掃)Change to adc mapping '!BD76 &amp; ","</f>
        <v>9999,</v>
      </c>
      <c r="BE12" t="str">
        <f ca="1">'(直掃)Change to adc mapping '!BE76 &amp; ","</f>
        <v>9999,</v>
      </c>
      <c r="BF12" t="str">
        <f ca="1">'(直掃)Change to adc mapping '!BF76 &amp; ","</f>
        <v>9999,</v>
      </c>
      <c r="BG12" t="str">
        <f ca="1">'(直掃)Change to adc mapping '!BG76 &amp; ","</f>
        <v>9999,</v>
      </c>
      <c r="BH12" t="str">
        <f ca="1">'(直掃)Change to adc mapping '!BH76 &amp; ","</f>
        <v>9999,</v>
      </c>
      <c r="BI12" t="str">
        <f ca="1">'(直掃)Change to adc mapping '!BI76 &amp; ","</f>
        <v>9999,</v>
      </c>
    </row>
    <row r="13" spans="1:61" x14ac:dyDescent="0.25">
      <c r="A13" s="20">
        <v>12</v>
      </c>
      <c r="B13" t="str">
        <f ca="1">'(直掃)Change to adc mapping '!B77 &amp; ","</f>
        <v>9999,</v>
      </c>
      <c r="C13" t="str">
        <f ca="1">'(直掃)Change to adc mapping '!C77 &amp; ","</f>
        <v>9999,</v>
      </c>
      <c r="D13" t="str">
        <f ca="1">'(直掃)Change to adc mapping '!D77 &amp; ","</f>
        <v>9999,</v>
      </c>
      <c r="E13" t="str">
        <f ca="1">'(直掃)Change to adc mapping '!E77 &amp; ","</f>
        <v>9999,</v>
      </c>
      <c r="F13" t="str">
        <f ca="1">'(直掃)Change to adc mapping '!F77 &amp; ","</f>
        <v>9999,</v>
      </c>
      <c r="G13" t="str">
        <f ca="1">'(直掃)Change to adc mapping '!G77 &amp; ","</f>
        <v>9999,</v>
      </c>
      <c r="H13" t="str">
        <f ca="1">'(直掃)Change to adc mapping '!H77 &amp; ","</f>
        <v>9999,</v>
      </c>
      <c r="I13" t="str">
        <f ca="1">'(直掃)Change to adc mapping '!I77 &amp; ","</f>
        <v>9999,</v>
      </c>
      <c r="J13" t="str">
        <f ca="1">'(直掃)Change to adc mapping '!J77 &amp; ","</f>
        <v>9999,</v>
      </c>
      <c r="K13" t="str">
        <f ca="1">'(直掃)Change to adc mapping '!K77 &amp; ","</f>
        <v>9999,</v>
      </c>
      <c r="L13" t="str">
        <f ca="1">'(直掃)Change to adc mapping '!L77 &amp; ","</f>
        <v>9999,</v>
      </c>
      <c r="M13" t="str">
        <f ca="1">'(直掃)Change to adc mapping '!M77 &amp; ","</f>
        <v>9999,</v>
      </c>
      <c r="N13" t="str">
        <f ca="1">'(直掃)Change to adc mapping '!N77 &amp; ","</f>
        <v>9999,</v>
      </c>
      <c r="O13" t="str">
        <f ca="1">'(直掃)Change to adc mapping '!O77 &amp; ","</f>
        <v>9999,</v>
      </c>
      <c r="P13" t="str">
        <f ca="1">'(直掃)Change to adc mapping '!P77 &amp; ","</f>
        <v>9999,</v>
      </c>
      <c r="Q13" t="str">
        <f ca="1">'(直掃)Change to adc mapping '!Q77 &amp; ","</f>
        <v>9999,</v>
      </c>
      <c r="R13" t="str">
        <f ca="1">'(直掃)Change to adc mapping '!R77 &amp; ","</f>
        <v>9999,</v>
      </c>
      <c r="S13" t="str">
        <f ca="1">'(直掃)Change to adc mapping '!S77 &amp; ","</f>
        <v>9999,</v>
      </c>
      <c r="T13" t="str">
        <f ca="1">'(直掃)Change to adc mapping '!T77 &amp; ","</f>
        <v>9999,</v>
      </c>
      <c r="U13" t="str">
        <f ca="1">'(直掃)Change to adc mapping '!U77 &amp; ","</f>
        <v>9999,</v>
      </c>
      <c r="V13" t="str">
        <f ca="1">'(直掃)Change to adc mapping '!V77 &amp; ","</f>
        <v>9999,</v>
      </c>
      <c r="W13" t="str">
        <f ca="1">'(直掃)Change to adc mapping '!W77 &amp; ","</f>
        <v>9999,</v>
      </c>
      <c r="X13" t="str">
        <f ca="1">'(直掃)Change to adc mapping '!X77 &amp; ","</f>
        <v>9999,</v>
      </c>
      <c r="Y13" t="str">
        <f ca="1">'(直掃)Change to adc mapping '!Y77 &amp; ","</f>
        <v>9999,</v>
      </c>
      <c r="Z13" t="str">
        <f ca="1">'(直掃)Change to adc mapping '!Z77 &amp; ","</f>
        <v>9999,</v>
      </c>
      <c r="AA13" t="str">
        <f ca="1">'(直掃)Change to adc mapping '!AA77 &amp; ","</f>
        <v>9999,</v>
      </c>
      <c r="AB13" t="str">
        <f ca="1">'(直掃)Change to adc mapping '!AB77 &amp; ","</f>
        <v>9999,</v>
      </c>
      <c r="AC13" t="str">
        <f ca="1">'(直掃)Change to adc mapping '!AC77 &amp; ","</f>
        <v>9999,</v>
      </c>
      <c r="AD13" t="str">
        <f ca="1">'(直掃)Change to adc mapping '!AD77 &amp; ","</f>
        <v>9999,</v>
      </c>
      <c r="AE13" t="str">
        <f ca="1">'(直掃)Change to adc mapping '!AE77 &amp; ","</f>
        <v>9999,</v>
      </c>
      <c r="AF13" t="str">
        <f ca="1">'(直掃)Change to adc mapping '!AF77 &amp; ","</f>
        <v>9999,</v>
      </c>
      <c r="AG13" t="str">
        <f ca="1">'(直掃)Change to adc mapping '!AG77 &amp; ","</f>
        <v>9999,</v>
      </c>
      <c r="AH13" t="str">
        <f ca="1">'(直掃)Change to adc mapping '!AH77 &amp; ","</f>
        <v>9999,</v>
      </c>
      <c r="AI13" t="str">
        <f ca="1">'(直掃)Change to adc mapping '!AI77 &amp; ","</f>
        <v>9999,</v>
      </c>
      <c r="AJ13" t="str">
        <f ca="1">'(直掃)Change to adc mapping '!AJ77 &amp; ","</f>
        <v>9999,</v>
      </c>
      <c r="AK13" t="str">
        <f ca="1">'(直掃)Change to adc mapping '!AK77 &amp; ","</f>
        <v>9999,</v>
      </c>
      <c r="AL13" t="str">
        <f ca="1">'(直掃)Change to adc mapping '!AL77 &amp; ","</f>
        <v>9999,</v>
      </c>
      <c r="AM13" t="str">
        <f ca="1">'(直掃)Change to adc mapping '!AM77 &amp; ","</f>
        <v>9999,</v>
      </c>
      <c r="AN13" t="str">
        <f ca="1">'(直掃)Change to adc mapping '!AN77 &amp; ","</f>
        <v>9999,</v>
      </c>
      <c r="AO13" t="str">
        <f ca="1">'(直掃)Change to adc mapping '!AO77 &amp; ","</f>
        <v>9999,</v>
      </c>
      <c r="AP13" t="str">
        <f ca="1">'(直掃)Change to adc mapping '!AP77 &amp; ","</f>
        <v>9999,</v>
      </c>
      <c r="AQ13" t="str">
        <f ca="1">'(直掃)Change to adc mapping '!AQ77 &amp; ","</f>
        <v>9999,</v>
      </c>
      <c r="AR13" t="str">
        <f ca="1">'(直掃)Change to adc mapping '!AR77 &amp; ","</f>
        <v>9999,</v>
      </c>
      <c r="AS13" t="str">
        <f ca="1">'(直掃)Change to adc mapping '!AS77 &amp; ","</f>
        <v>9999,</v>
      </c>
      <c r="AT13" t="str">
        <f ca="1">'(直掃)Change to adc mapping '!AT77 &amp; ","</f>
        <v>9999,</v>
      </c>
      <c r="AU13" t="str">
        <f ca="1">'(直掃)Change to adc mapping '!AU77 &amp; ","</f>
        <v>9999,</v>
      </c>
      <c r="AV13" t="str">
        <f ca="1">'(直掃)Change to adc mapping '!AV77 &amp; ","</f>
        <v>9999,</v>
      </c>
      <c r="AW13" t="str">
        <f ca="1">'(直掃)Change to adc mapping '!AW77 &amp; ","</f>
        <v>9999,</v>
      </c>
      <c r="AX13" t="str">
        <f ca="1">'(直掃)Change to adc mapping '!AX77 &amp; ","</f>
        <v>9999,</v>
      </c>
      <c r="AY13" t="str">
        <f ca="1">'(直掃)Change to adc mapping '!AY77 &amp; ","</f>
        <v>9999,</v>
      </c>
      <c r="AZ13" t="str">
        <f ca="1">'(直掃)Change to adc mapping '!AZ77 &amp; ","</f>
        <v>9999,</v>
      </c>
      <c r="BA13" t="str">
        <f ca="1">'(直掃)Change to adc mapping '!BA77 &amp; ","</f>
        <v>9999,</v>
      </c>
      <c r="BB13" t="str">
        <f ca="1">'(直掃)Change to adc mapping '!BB77 &amp; ","</f>
        <v>9999,</v>
      </c>
      <c r="BC13" t="str">
        <f ca="1">'(直掃)Change to adc mapping '!BC77 &amp; ","</f>
        <v>9999,</v>
      </c>
      <c r="BD13" t="str">
        <f ca="1">'(直掃)Change to adc mapping '!BD77 &amp; ","</f>
        <v>9999,</v>
      </c>
      <c r="BE13" t="str">
        <f ca="1">'(直掃)Change to adc mapping '!BE77 &amp; ","</f>
        <v>9999,</v>
      </c>
      <c r="BF13" t="str">
        <f ca="1">'(直掃)Change to adc mapping '!BF77 &amp; ","</f>
        <v>9999,</v>
      </c>
      <c r="BG13" t="str">
        <f ca="1">'(直掃)Change to adc mapping '!BG77 &amp; ","</f>
        <v>9999,</v>
      </c>
      <c r="BH13" t="str">
        <f ca="1">'(直掃)Change to adc mapping '!BH77 &amp; ","</f>
        <v>9999,</v>
      </c>
      <c r="BI13" t="str">
        <f ca="1">'(直掃)Change to adc mapping '!BI77 &amp; ","</f>
        <v>9999,</v>
      </c>
    </row>
    <row r="14" spans="1:61" x14ac:dyDescent="0.25">
      <c r="A14" s="20">
        <v>13</v>
      </c>
      <c r="B14" t="str">
        <f ca="1">'(直掃)Change to adc mapping '!B78 &amp; ","</f>
        <v>9999,</v>
      </c>
      <c r="C14" t="str">
        <f ca="1">'(直掃)Change to adc mapping '!C78 &amp; ","</f>
        <v>9999,</v>
      </c>
      <c r="D14" t="str">
        <f ca="1">'(直掃)Change to adc mapping '!D78 &amp; ","</f>
        <v>9999,</v>
      </c>
      <c r="E14" t="str">
        <f ca="1">'(直掃)Change to adc mapping '!E78 &amp; ","</f>
        <v>9999,</v>
      </c>
      <c r="F14" t="str">
        <f ca="1">'(直掃)Change to adc mapping '!F78 &amp; ","</f>
        <v>9999,</v>
      </c>
      <c r="G14" t="str">
        <f ca="1">'(直掃)Change to adc mapping '!G78 &amp; ","</f>
        <v>9999,</v>
      </c>
      <c r="H14" t="str">
        <f ca="1">'(直掃)Change to adc mapping '!H78 &amp; ","</f>
        <v>9999,</v>
      </c>
      <c r="I14" t="str">
        <f ca="1">'(直掃)Change to adc mapping '!I78 &amp; ","</f>
        <v>9999,</v>
      </c>
      <c r="J14" t="str">
        <f ca="1">'(直掃)Change to adc mapping '!J78 &amp; ","</f>
        <v>9999,</v>
      </c>
      <c r="K14" t="str">
        <f ca="1">'(直掃)Change to adc mapping '!K78 &amp; ","</f>
        <v>9999,</v>
      </c>
      <c r="L14" t="str">
        <f ca="1">'(直掃)Change to adc mapping '!L78 &amp; ","</f>
        <v>9999,</v>
      </c>
      <c r="M14" t="str">
        <f ca="1">'(直掃)Change to adc mapping '!M78 &amp; ","</f>
        <v>9999,</v>
      </c>
      <c r="N14" t="str">
        <f ca="1">'(直掃)Change to adc mapping '!N78 &amp; ","</f>
        <v>9999,</v>
      </c>
      <c r="O14" t="str">
        <f ca="1">'(直掃)Change to adc mapping '!O78 &amp; ","</f>
        <v>9999,</v>
      </c>
      <c r="P14" t="str">
        <f ca="1">'(直掃)Change to adc mapping '!P78 &amp; ","</f>
        <v>9999,</v>
      </c>
      <c r="Q14" t="str">
        <f ca="1">'(直掃)Change to adc mapping '!Q78 &amp; ","</f>
        <v>9999,</v>
      </c>
      <c r="R14" t="str">
        <f ca="1">'(直掃)Change to adc mapping '!R78 &amp; ","</f>
        <v>9999,</v>
      </c>
      <c r="S14" t="str">
        <f ca="1">'(直掃)Change to adc mapping '!S78 &amp; ","</f>
        <v>9999,</v>
      </c>
      <c r="T14" t="str">
        <f ca="1">'(直掃)Change to adc mapping '!T78 &amp; ","</f>
        <v>9999,</v>
      </c>
      <c r="U14" t="str">
        <f ca="1">'(直掃)Change to adc mapping '!U78 &amp; ","</f>
        <v>9999,</v>
      </c>
      <c r="V14" t="str">
        <f ca="1">'(直掃)Change to adc mapping '!V78 &amp; ","</f>
        <v>9999,</v>
      </c>
      <c r="W14" t="str">
        <f ca="1">'(直掃)Change to adc mapping '!W78 &amp; ","</f>
        <v>9999,</v>
      </c>
      <c r="X14" t="str">
        <f ca="1">'(直掃)Change to adc mapping '!X78 &amp; ","</f>
        <v>9999,</v>
      </c>
      <c r="Y14" t="str">
        <f ca="1">'(直掃)Change to adc mapping '!Y78 &amp; ","</f>
        <v>9999,</v>
      </c>
      <c r="Z14" t="str">
        <f ca="1">'(直掃)Change to adc mapping '!Z78 &amp; ","</f>
        <v>9999,</v>
      </c>
      <c r="AA14" t="str">
        <f ca="1">'(直掃)Change to adc mapping '!AA78 &amp; ","</f>
        <v>9999,</v>
      </c>
      <c r="AB14" t="str">
        <f ca="1">'(直掃)Change to adc mapping '!AB78 &amp; ","</f>
        <v>9999,</v>
      </c>
      <c r="AC14" t="str">
        <f ca="1">'(直掃)Change to adc mapping '!AC78 &amp; ","</f>
        <v>9999,</v>
      </c>
      <c r="AD14" t="str">
        <f ca="1">'(直掃)Change to adc mapping '!AD78 &amp; ","</f>
        <v>9999,</v>
      </c>
      <c r="AE14" t="str">
        <f ca="1">'(直掃)Change to adc mapping '!AE78 &amp; ","</f>
        <v>9999,</v>
      </c>
      <c r="AF14" t="str">
        <f ca="1">'(直掃)Change to adc mapping '!AF78 &amp; ","</f>
        <v>9999,</v>
      </c>
      <c r="AG14" t="str">
        <f ca="1">'(直掃)Change to adc mapping '!AG78 &amp; ","</f>
        <v>9999,</v>
      </c>
      <c r="AH14" t="str">
        <f ca="1">'(直掃)Change to adc mapping '!AH78 &amp; ","</f>
        <v>9999,</v>
      </c>
      <c r="AI14" t="str">
        <f ca="1">'(直掃)Change to adc mapping '!AI78 &amp; ","</f>
        <v>9999,</v>
      </c>
      <c r="AJ14" t="str">
        <f ca="1">'(直掃)Change to adc mapping '!AJ78 &amp; ","</f>
        <v>9999,</v>
      </c>
      <c r="AK14" t="str">
        <f ca="1">'(直掃)Change to adc mapping '!AK78 &amp; ","</f>
        <v>9999,</v>
      </c>
      <c r="AL14" t="str">
        <f ca="1">'(直掃)Change to adc mapping '!AL78 &amp; ","</f>
        <v>9999,</v>
      </c>
      <c r="AM14" t="str">
        <f ca="1">'(直掃)Change to adc mapping '!AM78 &amp; ","</f>
        <v>9999,</v>
      </c>
      <c r="AN14" t="str">
        <f ca="1">'(直掃)Change to adc mapping '!AN78 &amp; ","</f>
        <v>9999,</v>
      </c>
      <c r="AO14" t="str">
        <f ca="1">'(直掃)Change to adc mapping '!AO78 &amp; ","</f>
        <v>9999,</v>
      </c>
      <c r="AP14" t="str">
        <f ca="1">'(直掃)Change to adc mapping '!AP78 &amp; ","</f>
        <v>9999,</v>
      </c>
      <c r="AQ14" t="str">
        <f ca="1">'(直掃)Change to adc mapping '!AQ78 &amp; ","</f>
        <v>9999,</v>
      </c>
      <c r="AR14" t="str">
        <f ca="1">'(直掃)Change to adc mapping '!AR78 &amp; ","</f>
        <v>9999,</v>
      </c>
      <c r="AS14" t="str">
        <f ca="1">'(直掃)Change to adc mapping '!AS78 &amp; ","</f>
        <v>9999,</v>
      </c>
      <c r="AT14" t="str">
        <f ca="1">'(直掃)Change to adc mapping '!AT78 &amp; ","</f>
        <v>9999,</v>
      </c>
      <c r="AU14" t="str">
        <f ca="1">'(直掃)Change to adc mapping '!AU78 &amp; ","</f>
        <v>9999,</v>
      </c>
      <c r="AV14" t="str">
        <f ca="1">'(直掃)Change to adc mapping '!AV78 &amp; ","</f>
        <v>9999,</v>
      </c>
      <c r="AW14" t="str">
        <f ca="1">'(直掃)Change to adc mapping '!AW78 &amp; ","</f>
        <v>9999,</v>
      </c>
      <c r="AX14" t="str">
        <f ca="1">'(直掃)Change to adc mapping '!AX78 &amp; ","</f>
        <v>9999,</v>
      </c>
      <c r="AY14" t="str">
        <f ca="1">'(直掃)Change to adc mapping '!AY78 &amp; ","</f>
        <v>9999,</v>
      </c>
      <c r="AZ14" t="str">
        <f ca="1">'(直掃)Change to adc mapping '!AZ78 &amp; ","</f>
        <v>9999,</v>
      </c>
      <c r="BA14" t="str">
        <f ca="1">'(直掃)Change to adc mapping '!BA78 &amp; ","</f>
        <v>9999,</v>
      </c>
      <c r="BB14" t="str">
        <f ca="1">'(直掃)Change to adc mapping '!BB78 &amp; ","</f>
        <v>9999,</v>
      </c>
      <c r="BC14" t="str">
        <f ca="1">'(直掃)Change to adc mapping '!BC78 &amp; ","</f>
        <v>9999,</v>
      </c>
      <c r="BD14" t="str">
        <f ca="1">'(直掃)Change to adc mapping '!BD78 &amp; ","</f>
        <v>9999,</v>
      </c>
      <c r="BE14" t="str">
        <f ca="1">'(直掃)Change to adc mapping '!BE78 &amp; ","</f>
        <v>9999,</v>
      </c>
      <c r="BF14" t="str">
        <f ca="1">'(直掃)Change to adc mapping '!BF78 &amp; ","</f>
        <v>9999,</v>
      </c>
      <c r="BG14" t="str">
        <f ca="1">'(直掃)Change to adc mapping '!BG78 &amp; ","</f>
        <v>9999,</v>
      </c>
      <c r="BH14" t="str">
        <f ca="1">'(直掃)Change to adc mapping '!BH78 &amp; ","</f>
        <v>9999,</v>
      </c>
      <c r="BI14" t="str">
        <f ca="1">'(直掃)Change to adc mapping '!BI78 &amp; ","</f>
        <v>9999,</v>
      </c>
    </row>
    <row r="15" spans="1:61" x14ac:dyDescent="0.25">
      <c r="A15" s="20">
        <v>14</v>
      </c>
      <c r="B15" t="str">
        <f ca="1">'(直掃)Change to adc mapping '!B79 &amp; ","</f>
        <v>9999,</v>
      </c>
      <c r="C15" t="str">
        <f ca="1">'(直掃)Change to adc mapping '!C79 &amp; ","</f>
        <v>9999,</v>
      </c>
      <c r="D15" t="str">
        <f ca="1">'(直掃)Change to adc mapping '!D79 &amp; ","</f>
        <v>9999,</v>
      </c>
      <c r="E15" t="str">
        <f ca="1">'(直掃)Change to adc mapping '!E79 &amp; ","</f>
        <v>9999,</v>
      </c>
      <c r="F15" t="str">
        <f ca="1">'(直掃)Change to adc mapping '!F79 &amp; ","</f>
        <v>9999,</v>
      </c>
      <c r="G15" t="str">
        <f ca="1">'(直掃)Change to adc mapping '!G79 &amp; ","</f>
        <v>9999,</v>
      </c>
      <c r="H15" t="str">
        <f ca="1">'(直掃)Change to adc mapping '!H79 &amp; ","</f>
        <v>9999,</v>
      </c>
      <c r="I15" t="str">
        <f ca="1">'(直掃)Change to adc mapping '!I79 &amp; ","</f>
        <v>9999,</v>
      </c>
      <c r="J15" t="str">
        <f ca="1">'(直掃)Change to adc mapping '!J79 &amp; ","</f>
        <v>9999,</v>
      </c>
      <c r="K15" t="str">
        <f ca="1">'(直掃)Change to adc mapping '!K79 &amp; ","</f>
        <v>9999,</v>
      </c>
      <c r="L15" t="str">
        <f ca="1">'(直掃)Change to adc mapping '!L79 &amp; ","</f>
        <v>9999,</v>
      </c>
      <c r="M15" t="str">
        <f ca="1">'(直掃)Change to adc mapping '!M79 &amp; ","</f>
        <v>9999,</v>
      </c>
      <c r="N15" t="str">
        <f ca="1">'(直掃)Change to adc mapping '!N79 &amp; ","</f>
        <v>9999,</v>
      </c>
      <c r="O15" t="str">
        <f ca="1">'(直掃)Change to adc mapping '!O79 &amp; ","</f>
        <v>9999,</v>
      </c>
      <c r="P15" t="str">
        <f ca="1">'(直掃)Change to adc mapping '!P79 &amp; ","</f>
        <v>9999,</v>
      </c>
      <c r="Q15" t="str">
        <f ca="1">'(直掃)Change to adc mapping '!Q79 &amp; ","</f>
        <v>9999,</v>
      </c>
      <c r="R15" t="str">
        <f ca="1">'(直掃)Change to adc mapping '!R79 &amp; ","</f>
        <v>9999,</v>
      </c>
      <c r="S15" t="str">
        <f ca="1">'(直掃)Change to adc mapping '!S79 &amp; ","</f>
        <v>9999,</v>
      </c>
      <c r="T15" t="str">
        <f ca="1">'(直掃)Change to adc mapping '!T79 &amp; ","</f>
        <v>9999,</v>
      </c>
      <c r="U15" t="str">
        <f ca="1">'(直掃)Change to adc mapping '!U79 &amp; ","</f>
        <v>9999,</v>
      </c>
      <c r="V15" t="str">
        <f ca="1">'(直掃)Change to adc mapping '!V79 &amp; ","</f>
        <v>9999,</v>
      </c>
      <c r="W15" t="str">
        <f ca="1">'(直掃)Change to adc mapping '!W79 &amp; ","</f>
        <v>9999,</v>
      </c>
      <c r="X15" t="str">
        <f ca="1">'(直掃)Change to adc mapping '!X79 &amp; ","</f>
        <v>9999,</v>
      </c>
      <c r="Y15" t="str">
        <f ca="1">'(直掃)Change to adc mapping '!Y79 &amp; ","</f>
        <v>9999,</v>
      </c>
      <c r="Z15" t="str">
        <f ca="1">'(直掃)Change to adc mapping '!Z79 &amp; ","</f>
        <v>9999,</v>
      </c>
      <c r="AA15" t="str">
        <f ca="1">'(直掃)Change to adc mapping '!AA79 &amp; ","</f>
        <v>9999,</v>
      </c>
      <c r="AB15" t="str">
        <f ca="1">'(直掃)Change to adc mapping '!AB79 &amp; ","</f>
        <v>9999,</v>
      </c>
      <c r="AC15" t="str">
        <f ca="1">'(直掃)Change to adc mapping '!AC79 &amp; ","</f>
        <v>9999,</v>
      </c>
      <c r="AD15" t="str">
        <f ca="1">'(直掃)Change to adc mapping '!AD79 &amp; ","</f>
        <v>9999,</v>
      </c>
      <c r="AE15" t="str">
        <f ca="1">'(直掃)Change to adc mapping '!AE79 &amp; ","</f>
        <v>9999,</v>
      </c>
      <c r="AF15" t="str">
        <f ca="1">'(直掃)Change to adc mapping '!AF79 &amp; ","</f>
        <v>9999,</v>
      </c>
      <c r="AG15" t="str">
        <f ca="1">'(直掃)Change to adc mapping '!AG79 &amp; ","</f>
        <v>9999,</v>
      </c>
      <c r="AH15" t="str">
        <f ca="1">'(直掃)Change to adc mapping '!AH79 &amp; ","</f>
        <v>9999,</v>
      </c>
      <c r="AI15" t="str">
        <f ca="1">'(直掃)Change to adc mapping '!AI79 &amp; ","</f>
        <v>9999,</v>
      </c>
      <c r="AJ15" t="str">
        <f ca="1">'(直掃)Change to adc mapping '!AJ79 &amp; ","</f>
        <v>9999,</v>
      </c>
      <c r="AK15" t="str">
        <f ca="1">'(直掃)Change to adc mapping '!AK79 &amp; ","</f>
        <v>9999,</v>
      </c>
      <c r="AL15" t="str">
        <f ca="1">'(直掃)Change to adc mapping '!AL79 &amp; ","</f>
        <v>9999,</v>
      </c>
      <c r="AM15" t="str">
        <f ca="1">'(直掃)Change to adc mapping '!AM79 &amp; ","</f>
        <v>9999,</v>
      </c>
      <c r="AN15" t="str">
        <f ca="1">'(直掃)Change to adc mapping '!AN79 &amp; ","</f>
        <v>9999,</v>
      </c>
      <c r="AO15" t="str">
        <f ca="1">'(直掃)Change to adc mapping '!AO79 &amp; ","</f>
        <v>9999,</v>
      </c>
      <c r="AP15" t="str">
        <f ca="1">'(直掃)Change to adc mapping '!AP79 &amp; ","</f>
        <v>9999,</v>
      </c>
      <c r="AQ15" t="str">
        <f ca="1">'(直掃)Change to adc mapping '!AQ79 &amp; ","</f>
        <v>9999,</v>
      </c>
      <c r="AR15" t="str">
        <f ca="1">'(直掃)Change to adc mapping '!AR79 &amp; ","</f>
        <v>9999,</v>
      </c>
      <c r="AS15" t="str">
        <f ca="1">'(直掃)Change to adc mapping '!AS79 &amp; ","</f>
        <v>9999,</v>
      </c>
      <c r="AT15" t="str">
        <f ca="1">'(直掃)Change to adc mapping '!AT79 &amp; ","</f>
        <v>9999,</v>
      </c>
      <c r="AU15" t="str">
        <f ca="1">'(直掃)Change to adc mapping '!AU79 &amp; ","</f>
        <v>9999,</v>
      </c>
      <c r="AV15" t="str">
        <f ca="1">'(直掃)Change to adc mapping '!AV79 &amp; ","</f>
        <v>9999,</v>
      </c>
      <c r="AW15" t="str">
        <f ca="1">'(直掃)Change to adc mapping '!AW79 &amp; ","</f>
        <v>9999,</v>
      </c>
      <c r="AX15" t="str">
        <f ca="1">'(直掃)Change to adc mapping '!AX79 &amp; ","</f>
        <v>9999,</v>
      </c>
      <c r="AY15" t="str">
        <f ca="1">'(直掃)Change to adc mapping '!AY79 &amp; ","</f>
        <v>9999,</v>
      </c>
      <c r="AZ15" t="str">
        <f ca="1">'(直掃)Change to adc mapping '!AZ79 &amp; ","</f>
        <v>9999,</v>
      </c>
      <c r="BA15" t="str">
        <f ca="1">'(直掃)Change to adc mapping '!BA79 &amp; ","</f>
        <v>9999,</v>
      </c>
      <c r="BB15" t="str">
        <f ca="1">'(直掃)Change to adc mapping '!BB79 &amp; ","</f>
        <v>9999,</v>
      </c>
      <c r="BC15" t="str">
        <f ca="1">'(直掃)Change to adc mapping '!BC79 &amp; ","</f>
        <v>9999,</v>
      </c>
      <c r="BD15" t="str">
        <f ca="1">'(直掃)Change to adc mapping '!BD79 &amp; ","</f>
        <v>9999,</v>
      </c>
      <c r="BE15" t="str">
        <f ca="1">'(直掃)Change to adc mapping '!BE79 &amp; ","</f>
        <v>9999,</v>
      </c>
      <c r="BF15" t="str">
        <f ca="1">'(直掃)Change to adc mapping '!BF79 &amp; ","</f>
        <v>9999,</v>
      </c>
      <c r="BG15" t="str">
        <f ca="1">'(直掃)Change to adc mapping '!BG79 &amp; ","</f>
        <v>9999,</v>
      </c>
      <c r="BH15" t="str">
        <f ca="1">'(直掃)Change to adc mapping '!BH79 &amp; ","</f>
        <v>9999,</v>
      </c>
      <c r="BI15" t="str">
        <f ca="1">'(直掃)Change to adc mapping '!BI79 &amp; ","</f>
        <v>9999,</v>
      </c>
    </row>
    <row r="16" spans="1:61" x14ac:dyDescent="0.25">
      <c r="A16" s="20">
        <v>15</v>
      </c>
      <c r="B16" t="str">
        <f ca="1">'(直掃)Change to adc mapping '!B80 &amp; ","</f>
        <v>9999,</v>
      </c>
      <c r="C16" t="str">
        <f ca="1">'(直掃)Change to adc mapping '!C80 &amp; ","</f>
        <v>9999,</v>
      </c>
      <c r="D16" t="str">
        <f ca="1">'(直掃)Change to adc mapping '!D80 &amp; ","</f>
        <v>9999,</v>
      </c>
      <c r="E16" t="str">
        <f ca="1">'(直掃)Change to adc mapping '!E80 &amp; ","</f>
        <v>9999,</v>
      </c>
      <c r="F16" t="str">
        <f ca="1">'(直掃)Change to adc mapping '!F80 &amp; ","</f>
        <v>9999,</v>
      </c>
      <c r="G16" t="str">
        <f ca="1">'(直掃)Change to adc mapping '!G80 &amp; ","</f>
        <v>9999,</v>
      </c>
      <c r="H16" t="str">
        <f ca="1">'(直掃)Change to adc mapping '!H80 &amp; ","</f>
        <v>9999,</v>
      </c>
      <c r="I16" t="str">
        <f ca="1">'(直掃)Change to adc mapping '!I80 &amp; ","</f>
        <v>9999,</v>
      </c>
      <c r="J16" t="str">
        <f ca="1">'(直掃)Change to adc mapping '!J80 &amp; ","</f>
        <v>9999,</v>
      </c>
      <c r="K16" t="str">
        <f ca="1">'(直掃)Change to adc mapping '!K80 &amp; ","</f>
        <v>9999,</v>
      </c>
      <c r="L16" t="str">
        <f ca="1">'(直掃)Change to adc mapping '!L80 &amp; ","</f>
        <v>9999,</v>
      </c>
      <c r="M16" t="str">
        <f ca="1">'(直掃)Change to adc mapping '!M80 &amp; ","</f>
        <v>9999,</v>
      </c>
      <c r="N16" t="str">
        <f ca="1">'(直掃)Change to adc mapping '!N80 &amp; ","</f>
        <v>9999,</v>
      </c>
      <c r="O16" t="str">
        <f ca="1">'(直掃)Change to adc mapping '!O80 &amp; ","</f>
        <v>9999,</v>
      </c>
      <c r="P16" t="str">
        <f ca="1">'(直掃)Change to adc mapping '!P80 &amp; ","</f>
        <v>9999,</v>
      </c>
      <c r="Q16" t="str">
        <f ca="1">'(直掃)Change to adc mapping '!Q80 &amp; ","</f>
        <v>9999,</v>
      </c>
      <c r="R16" t="str">
        <f ca="1">'(直掃)Change to adc mapping '!R80 &amp; ","</f>
        <v>9999,</v>
      </c>
      <c r="S16" t="str">
        <f ca="1">'(直掃)Change to adc mapping '!S80 &amp; ","</f>
        <v>9999,</v>
      </c>
      <c r="T16" t="str">
        <f ca="1">'(直掃)Change to adc mapping '!T80 &amp; ","</f>
        <v>9999,</v>
      </c>
      <c r="U16" t="str">
        <f ca="1">'(直掃)Change to adc mapping '!U80 &amp; ","</f>
        <v>9999,</v>
      </c>
      <c r="V16" t="str">
        <f ca="1">'(直掃)Change to adc mapping '!V80 &amp; ","</f>
        <v>9999,</v>
      </c>
      <c r="W16" t="str">
        <f ca="1">'(直掃)Change to adc mapping '!W80 &amp; ","</f>
        <v>9999,</v>
      </c>
      <c r="X16" t="str">
        <f ca="1">'(直掃)Change to adc mapping '!X80 &amp; ","</f>
        <v>9999,</v>
      </c>
      <c r="Y16" t="str">
        <f ca="1">'(直掃)Change to adc mapping '!Y80 &amp; ","</f>
        <v>9999,</v>
      </c>
      <c r="Z16" t="str">
        <f ca="1">'(直掃)Change to adc mapping '!Z80 &amp; ","</f>
        <v>9999,</v>
      </c>
      <c r="AA16" t="str">
        <f ca="1">'(直掃)Change to adc mapping '!AA80 &amp; ","</f>
        <v>9999,</v>
      </c>
      <c r="AB16" t="str">
        <f ca="1">'(直掃)Change to adc mapping '!AB80 &amp; ","</f>
        <v>9999,</v>
      </c>
      <c r="AC16" t="str">
        <f ca="1">'(直掃)Change to adc mapping '!AC80 &amp; ","</f>
        <v>9999,</v>
      </c>
      <c r="AD16" t="str">
        <f ca="1">'(直掃)Change to adc mapping '!AD80 &amp; ","</f>
        <v>9999,</v>
      </c>
      <c r="AE16" t="str">
        <f ca="1">'(直掃)Change to adc mapping '!AE80 &amp; ","</f>
        <v>9999,</v>
      </c>
      <c r="AF16" t="str">
        <f ca="1">'(直掃)Change to adc mapping '!AF80 &amp; ","</f>
        <v>9999,</v>
      </c>
      <c r="AG16" t="str">
        <f ca="1">'(直掃)Change to adc mapping '!AG80 &amp; ","</f>
        <v>9999,</v>
      </c>
      <c r="AH16" t="str">
        <f ca="1">'(直掃)Change to adc mapping '!AH80 &amp; ","</f>
        <v>9999,</v>
      </c>
      <c r="AI16" t="str">
        <f ca="1">'(直掃)Change to adc mapping '!AI80 &amp; ","</f>
        <v>9999,</v>
      </c>
      <c r="AJ16" t="str">
        <f ca="1">'(直掃)Change to adc mapping '!AJ80 &amp; ","</f>
        <v>9999,</v>
      </c>
      <c r="AK16" t="str">
        <f ca="1">'(直掃)Change to adc mapping '!AK80 &amp; ","</f>
        <v>9999,</v>
      </c>
      <c r="AL16" t="str">
        <f ca="1">'(直掃)Change to adc mapping '!AL80 &amp; ","</f>
        <v>9999,</v>
      </c>
      <c r="AM16" t="str">
        <f ca="1">'(直掃)Change to adc mapping '!AM80 &amp; ","</f>
        <v>9999,</v>
      </c>
      <c r="AN16" t="str">
        <f ca="1">'(直掃)Change to adc mapping '!AN80 &amp; ","</f>
        <v>9999,</v>
      </c>
      <c r="AO16" t="str">
        <f ca="1">'(直掃)Change to adc mapping '!AO80 &amp; ","</f>
        <v>9999,</v>
      </c>
      <c r="AP16" t="str">
        <f ca="1">'(直掃)Change to adc mapping '!AP80 &amp; ","</f>
        <v>9999,</v>
      </c>
      <c r="AQ16" t="str">
        <f ca="1">'(直掃)Change to adc mapping '!AQ80 &amp; ","</f>
        <v>9999,</v>
      </c>
      <c r="AR16" t="str">
        <f ca="1">'(直掃)Change to adc mapping '!AR80 &amp; ","</f>
        <v>9999,</v>
      </c>
      <c r="AS16" t="str">
        <f ca="1">'(直掃)Change to adc mapping '!AS80 &amp; ","</f>
        <v>9999,</v>
      </c>
      <c r="AT16" t="str">
        <f ca="1">'(直掃)Change to adc mapping '!AT80 &amp; ","</f>
        <v>9999,</v>
      </c>
      <c r="AU16" t="str">
        <f ca="1">'(直掃)Change to adc mapping '!AU80 &amp; ","</f>
        <v>9999,</v>
      </c>
      <c r="AV16" t="str">
        <f ca="1">'(直掃)Change to adc mapping '!AV80 &amp; ","</f>
        <v>9999,</v>
      </c>
      <c r="AW16" t="str">
        <f ca="1">'(直掃)Change to adc mapping '!AW80 &amp; ","</f>
        <v>9999,</v>
      </c>
      <c r="AX16" t="str">
        <f ca="1">'(直掃)Change to adc mapping '!AX80 &amp; ","</f>
        <v>9999,</v>
      </c>
      <c r="AY16" t="str">
        <f ca="1">'(直掃)Change to adc mapping '!AY80 &amp; ","</f>
        <v>9999,</v>
      </c>
      <c r="AZ16" t="str">
        <f ca="1">'(直掃)Change to adc mapping '!AZ80 &amp; ","</f>
        <v>9999,</v>
      </c>
      <c r="BA16" t="str">
        <f ca="1">'(直掃)Change to adc mapping '!BA80 &amp; ","</f>
        <v>9999,</v>
      </c>
      <c r="BB16" t="str">
        <f ca="1">'(直掃)Change to adc mapping '!BB80 &amp; ","</f>
        <v>9999,</v>
      </c>
      <c r="BC16" t="str">
        <f ca="1">'(直掃)Change to adc mapping '!BC80 &amp; ","</f>
        <v>9999,</v>
      </c>
      <c r="BD16" t="str">
        <f ca="1">'(直掃)Change to adc mapping '!BD80 &amp; ","</f>
        <v>9999,</v>
      </c>
      <c r="BE16" t="str">
        <f ca="1">'(直掃)Change to adc mapping '!BE80 &amp; ","</f>
        <v>9999,</v>
      </c>
      <c r="BF16" t="str">
        <f ca="1">'(直掃)Change to adc mapping '!BF80 &amp; ","</f>
        <v>9999,</v>
      </c>
      <c r="BG16" t="str">
        <f ca="1">'(直掃)Change to adc mapping '!BG80 &amp; ","</f>
        <v>9999,</v>
      </c>
      <c r="BH16" t="str">
        <f ca="1">'(直掃)Change to adc mapping '!BH80 &amp; ","</f>
        <v>9999,</v>
      </c>
      <c r="BI16" t="str">
        <f ca="1">'(直掃)Change to adc mapping '!BI80 &amp; ","</f>
        <v>9999,</v>
      </c>
    </row>
    <row r="17" spans="1:61" x14ac:dyDescent="0.25">
      <c r="A17" s="20">
        <v>16</v>
      </c>
      <c r="B17" t="str">
        <f ca="1">'(直掃)Change to adc mapping '!B81 &amp; ","</f>
        <v>9999,</v>
      </c>
      <c r="C17" t="str">
        <f ca="1">'(直掃)Change to adc mapping '!C81 &amp; ","</f>
        <v>9999,</v>
      </c>
      <c r="D17" t="str">
        <f ca="1">'(直掃)Change to adc mapping '!D81 &amp; ","</f>
        <v>9999,</v>
      </c>
      <c r="E17" t="str">
        <f ca="1">'(直掃)Change to adc mapping '!E81 &amp; ","</f>
        <v>9999,</v>
      </c>
      <c r="F17" t="str">
        <f ca="1">'(直掃)Change to adc mapping '!F81 &amp; ","</f>
        <v>9999,</v>
      </c>
      <c r="G17" t="str">
        <f ca="1">'(直掃)Change to adc mapping '!G81 &amp; ","</f>
        <v>9999,</v>
      </c>
      <c r="H17" t="str">
        <f ca="1">'(直掃)Change to adc mapping '!H81 &amp; ","</f>
        <v>9999,</v>
      </c>
      <c r="I17" t="str">
        <f ca="1">'(直掃)Change to adc mapping '!I81 &amp; ","</f>
        <v>9999,</v>
      </c>
      <c r="J17" t="str">
        <f ca="1">'(直掃)Change to adc mapping '!J81 &amp; ","</f>
        <v>9999,</v>
      </c>
      <c r="K17" t="str">
        <f ca="1">'(直掃)Change to adc mapping '!K81 &amp; ","</f>
        <v>9999,</v>
      </c>
      <c r="L17" t="str">
        <f ca="1">'(直掃)Change to adc mapping '!L81 &amp; ","</f>
        <v>9999,</v>
      </c>
      <c r="M17" t="str">
        <f ca="1">'(直掃)Change to adc mapping '!M81 &amp; ","</f>
        <v>9999,</v>
      </c>
      <c r="N17" t="str">
        <f ca="1">'(直掃)Change to adc mapping '!N81 &amp; ","</f>
        <v>9999,</v>
      </c>
      <c r="O17" t="str">
        <f ca="1">'(直掃)Change to adc mapping '!O81 &amp; ","</f>
        <v>9999,</v>
      </c>
      <c r="P17" t="str">
        <f ca="1">'(直掃)Change to adc mapping '!P81 &amp; ","</f>
        <v>9999,</v>
      </c>
      <c r="Q17" t="str">
        <f ca="1">'(直掃)Change to adc mapping '!Q81 &amp; ","</f>
        <v>9999,</v>
      </c>
      <c r="R17" t="str">
        <f ca="1">'(直掃)Change to adc mapping '!R81 &amp; ","</f>
        <v>9999,</v>
      </c>
      <c r="S17" t="str">
        <f ca="1">'(直掃)Change to adc mapping '!S81 &amp; ","</f>
        <v>9999,</v>
      </c>
      <c r="T17" t="str">
        <f ca="1">'(直掃)Change to adc mapping '!T81 &amp; ","</f>
        <v>9999,</v>
      </c>
      <c r="U17" t="str">
        <f ca="1">'(直掃)Change to adc mapping '!U81 &amp; ","</f>
        <v>9999,</v>
      </c>
      <c r="V17" t="str">
        <f ca="1">'(直掃)Change to adc mapping '!V81 &amp; ","</f>
        <v>9999,</v>
      </c>
      <c r="W17" t="str">
        <f ca="1">'(直掃)Change to adc mapping '!W81 &amp; ","</f>
        <v>9999,</v>
      </c>
      <c r="X17" t="str">
        <f ca="1">'(直掃)Change to adc mapping '!X81 &amp; ","</f>
        <v>9999,</v>
      </c>
      <c r="Y17" t="str">
        <f ca="1">'(直掃)Change to adc mapping '!Y81 &amp; ","</f>
        <v>9999,</v>
      </c>
      <c r="Z17" t="str">
        <f ca="1">'(直掃)Change to adc mapping '!Z81 &amp; ","</f>
        <v>9999,</v>
      </c>
      <c r="AA17" t="str">
        <f ca="1">'(直掃)Change to adc mapping '!AA81 &amp; ","</f>
        <v>9999,</v>
      </c>
      <c r="AB17" t="str">
        <f ca="1">'(直掃)Change to adc mapping '!AB81 &amp; ","</f>
        <v>9999,</v>
      </c>
      <c r="AC17" t="str">
        <f ca="1">'(直掃)Change to adc mapping '!AC81 &amp; ","</f>
        <v>9999,</v>
      </c>
      <c r="AD17" t="str">
        <f ca="1">'(直掃)Change to adc mapping '!AD81 &amp; ","</f>
        <v>9999,</v>
      </c>
      <c r="AE17" t="str">
        <f ca="1">'(直掃)Change to adc mapping '!AE81 &amp; ","</f>
        <v>9999,</v>
      </c>
      <c r="AF17" t="str">
        <f ca="1">'(直掃)Change to adc mapping '!AF81 &amp; ","</f>
        <v>9999,</v>
      </c>
      <c r="AG17" t="str">
        <f ca="1">'(直掃)Change to adc mapping '!AG81 &amp; ","</f>
        <v>9999,</v>
      </c>
      <c r="AH17" t="str">
        <f ca="1">'(直掃)Change to adc mapping '!AH81 &amp; ","</f>
        <v>9999,</v>
      </c>
      <c r="AI17" t="str">
        <f ca="1">'(直掃)Change to adc mapping '!AI81 &amp; ","</f>
        <v>9999,</v>
      </c>
      <c r="AJ17" t="str">
        <f ca="1">'(直掃)Change to adc mapping '!AJ81 &amp; ","</f>
        <v>9999,</v>
      </c>
      <c r="AK17" t="str">
        <f ca="1">'(直掃)Change to adc mapping '!AK81 &amp; ","</f>
        <v>9999,</v>
      </c>
      <c r="AL17" t="str">
        <f ca="1">'(直掃)Change to adc mapping '!AL81 &amp; ","</f>
        <v>9999,</v>
      </c>
      <c r="AM17" t="str">
        <f ca="1">'(直掃)Change to adc mapping '!AM81 &amp; ","</f>
        <v>9999,</v>
      </c>
      <c r="AN17" t="str">
        <f ca="1">'(直掃)Change to adc mapping '!AN81 &amp; ","</f>
        <v>9999,</v>
      </c>
      <c r="AO17" t="str">
        <f ca="1">'(直掃)Change to adc mapping '!AO81 &amp; ","</f>
        <v>9999,</v>
      </c>
      <c r="AP17" t="str">
        <f ca="1">'(直掃)Change to adc mapping '!AP81 &amp; ","</f>
        <v>9999,</v>
      </c>
      <c r="AQ17" t="str">
        <f ca="1">'(直掃)Change to adc mapping '!AQ81 &amp; ","</f>
        <v>9999,</v>
      </c>
      <c r="AR17" t="str">
        <f ca="1">'(直掃)Change to adc mapping '!AR81 &amp; ","</f>
        <v>9999,</v>
      </c>
      <c r="AS17" t="str">
        <f ca="1">'(直掃)Change to adc mapping '!AS81 &amp; ","</f>
        <v>9999,</v>
      </c>
      <c r="AT17" t="str">
        <f ca="1">'(直掃)Change to adc mapping '!AT81 &amp; ","</f>
        <v>9999,</v>
      </c>
      <c r="AU17" t="str">
        <f ca="1">'(直掃)Change to adc mapping '!AU81 &amp; ","</f>
        <v>9999,</v>
      </c>
      <c r="AV17" t="str">
        <f ca="1">'(直掃)Change to adc mapping '!AV81 &amp; ","</f>
        <v>9999,</v>
      </c>
      <c r="AW17" t="str">
        <f ca="1">'(直掃)Change to adc mapping '!AW81 &amp; ","</f>
        <v>9999,</v>
      </c>
      <c r="AX17" t="str">
        <f ca="1">'(直掃)Change to adc mapping '!AX81 &amp; ","</f>
        <v>9999,</v>
      </c>
      <c r="AY17" t="str">
        <f ca="1">'(直掃)Change to adc mapping '!AY81 &amp; ","</f>
        <v>9999,</v>
      </c>
      <c r="AZ17" t="str">
        <f ca="1">'(直掃)Change to adc mapping '!AZ81 &amp; ","</f>
        <v>9999,</v>
      </c>
      <c r="BA17" t="str">
        <f ca="1">'(直掃)Change to adc mapping '!BA81 &amp; ","</f>
        <v>9999,</v>
      </c>
      <c r="BB17" t="str">
        <f ca="1">'(直掃)Change to adc mapping '!BB81 &amp; ","</f>
        <v>9999,</v>
      </c>
      <c r="BC17" t="str">
        <f ca="1">'(直掃)Change to adc mapping '!BC81 &amp; ","</f>
        <v>9999,</v>
      </c>
      <c r="BD17" t="str">
        <f ca="1">'(直掃)Change to adc mapping '!BD81 &amp; ","</f>
        <v>9999,</v>
      </c>
      <c r="BE17" t="str">
        <f ca="1">'(直掃)Change to adc mapping '!BE81 &amp; ","</f>
        <v>9999,</v>
      </c>
      <c r="BF17" t="str">
        <f ca="1">'(直掃)Change to adc mapping '!BF81 &amp; ","</f>
        <v>9999,</v>
      </c>
      <c r="BG17" t="str">
        <f ca="1">'(直掃)Change to adc mapping '!BG81 &amp; ","</f>
        <v>9999,</v>
      </c>
      <c r="BH17" t="str">
        <f ca="1">'(直掃)Change to adc mapping '!BH81 &amp; ","</f>
        <v>9999,</v>
      </c>
      <c r="BI17" t="str">
        <f ca="1">'(直掃)Change to adc mapping '!BI81 &amp; ","</f>
        <v>9999,</v>
      </c>
    </row>
    <row r="18" spans="1:61" x14ac:dyDescent="0.25">
      <c r="A18" s="20">
        <v>17</v>
      </c>
      <c r="B18" t="str">
        <f ca="1">'(直掃)Change to adc mapping '!B82 &amp; ","</f>
        <v>9999,</v>
      </c>
      <c r="C18" t="str">
        <f ca="1">'(直掃)Change to adc mapping '!C82 &amp; ","</f>
        <v>9999,</v>
      </c>
      <c r="D18" t="str">
        <f ca="1">'(直掃)Change to adc mapping '!D82 &amp; ","</f>
        <v>9999,</v>
      </c>
      <c r="E18" t="str">
        <f ca="1">'(直掃)Change to adc mapping '!E82 &amp; ","</f>
        <v>9999,</v>
      </c>
      <c r="F18" t="str">
        <f ca="1">'(直掃)Change to adc mapping '!F82 &amp; ","</f>
        <v>9999,</v>
      </c>
      <c r="G18" t="str">
        <f ca="1">'(直掃)Change to adc mapping '!G82 &amp; ","</f>
        <v>9999,</v>
      </c>
      <c r="H18" t="str">
        <f ca="1">'(直掃)Change to adc mapping '!H82 &amp; ","</f>
        <v>9999,</v>
      </c>
      <c r="I18" t="str">
        <f ca="1">'(直掃)Change to adc mapping '!I82 &amp; ","</f>
        <v>9999,</v>
      </c>
      <c r="J18" t="str">
        <f ca="1">'(直掃)Change to adc mapping '!J82 &amp; ","</f>
        <v>9999,</v>
      </c>
      <c r="K18" t="str">
        <f ca="1">'(直掃)Change to adc mapping '!K82 &amp; ","</f>
        <v>9999,</v>
      </c>
      <c r="L18" t="str">
        <f ca="1">'(直掃)Change to adc mapping '!L82 &amp; ","</f>
        <v>9999,</v>
      </c>
      <c r="M18" t="str">
        <f ca="1">'(直掃)Change to adc mapping '!M82 &amp; ","</f>
        <v>9999,</v>
      </c>
      <c r="N18" t="str">
        <f ca="1">'(直掃)Change to adc mapping '!N82 &amp; ","</f>
        <v>9999,</v>
      </c>
      <c r="O18" t="str">
        <f ca="1">'(直掃)Change to adc mapping '!O82 &amp; ","</f>
        <v>9999,</v>
      </c>
      <c r="P18" t="str">
        <f ca="1">'(直掃)Change to adc mapping '!P82 &amp; ","</f>
        <v>9999,</v>
      </c>
      <c r="Q18" t="str">
        <f ca="1">'(直掃)Change to adc mapping '!Q82 &amp; ","</f>
        <v>9999,</v>
      </c>
      <c r="R18" t="str">
        <f ca="1">'(直掃)Change to adc mapping '!R82 &amp; ","</f>
        <v>9999,</v>
      </c>
      <c r="S18" t="str">
        <f ca="1">'(直掃)Change to adc mapping '!S82 &amp; ","</f>
        <v>9999,</v>
      </c>
      <c r="T18" t="str">
        <f ca="1">'(直掃)Change to adc mapping '!T82 &amp; ","</f>
        <v>9999,</v>
      </c>
      <c r="U18" t="str">
        <f ca="1">'(直掃)Change to adc mapping '!U82 &amp; ","</f>
        <v>9999,</v>
      </c>
      <c r="V18" t="str">
        <f ca="1">'(直掃)Change to adc mapping '!V82 &amp; ","</f>
        <v>9999,</v>
      </c>
      <c r="W18" t="str">
        <f ca="1">'(直掃)Change to adc mapping '!W82 &amp; ","</f>
        <v>9999,</v>
      </c>
      <c r="X18" t="str">
        <f ca="1">'(直掃)Change to adc mapping '!X82 &amp; ","</f>
        <v>9999,</v>
      </c>
      <c r="Y18" t="str">
        <f ca="1">IF('(直掃)Change to adc mapping '!Y82 &lt;&gt;-1,"0x" &amp; DEC2HEX('(直掃)Change to adc mapping '!Y82) &amp; ",",-1&amp; ",")</f>
        <v>-1,</v>
      </c>
      <c r="Z18" t="str">
        <f ca="1">IF('(直掃)Change to adc mapping '!Z82 &lt;&gt;-1,"0x" &amp; DEC2HEX('(直掃)Change to adc mapping '!Z82) &amp; ",",-1&amp; ",")</f>
        <v>-1,</v>
      </c>
      <c r="AA18" t="str">
        <f ca="1">IF('(直掃)Change to adc mapping '!AA82 &lt;&gt;-1,"0x" &amp; DEC2HEX('(直掃)Change to adc mapping '!AA82) &amp; ",",-1&amp; ",")</f>
        <v>-1,</v>
      </c>
      <c r="AB18" t="str">
        <f ca="1">IF('(直掃)Change to adc mapping '!AB82 &lt;&gt;-1,"0x" &amp; DEC2HEX('(直掃)Change to adc mapping '!AB82) &amp; ",",-1&amp; ",")</f>
        <v>-1,</v>
      </c>
      <c r="AC18" t="str">
        <f ca="1">IF('(直掃)Change to adc mapping '!AC82 &lt;&gt;-1,"0x" &amp; DEC2HEX('(直掃)Change to adc mapping '!AC82) &amp; ",",-1&amp; ",")</f>
        <v>-1,</v>
      </c>
      <c r="AD18" t="str">
        <f ca="1">IF('(直掃)Change to adc mapping '!AD82 &lt;&gt;-1,"0x" &amp; DEC2HEX('(直掃)Change to adc mapping '!AD82) &amp; ",",-1&amp; ",")</f>
        <v>-1,</v>
      </c>
      <c r="AE18" t="str">
        <f ca="1">IF('(直掃)Change to adc mapping '!AE82 &lt;&gt;-1,"0x" &amp; DEC2HEX('(直掃)Change to adc mapping '!AE82) &amp; ",",-1&amp; ",")</f>
        <v>-1,</v>
      </c>
      <c r="AF18" t="str">
        <f ca="1">IF('(直掃)Change to adc mapping '!AF82 &lt;&gt;-1,"0x" &amp; DEC2HEX('(直掃)Change to adc mapping '!AF82) &amp; ",",-1&amp; ",")</f>
        <v>-1,</v>
      </c>
      <c r="AG18" t="str">
        <f ca="1">IF('(直掃)Change to adc mapping '!AG82 &lt;&gt;-1,"0x" &amp; DEC2HEX('(直掃)Change to adc mapping '!AG82) &amp; ",",-1&amp; ",")</f>
        <v>-1,</v>
      </c>
      <c r="AH18" t="str">
        <f ca="1">IF('(直掃)Change to adc mapping '!AH82 &lt;&gt;-1,"0x" &amp; DEC2HEX('(直掃)Change to adc mapping '!AH82) &amp; ",",-1&amp; ",")</f>
        <v>-1,</v>
      </c>
      <c r="AI18" t="str">
        <f ca="1">IF('(直掃)Change to adc mapping '!AI82 &lt;&gt;-1,"0x" &amp; DEC2HEX('(直掃)Change to adc mapping '!AI82) &amp; ",",-1&amp; ",")</f>
        <v>-1,</v>
      </c>
      <c r="AJ18" t="str">
        <f ca="1">IF('(直掃)Change to adc mapping '!AJ82 &lt;&gt;-1,"0x" &amp; DEC2HEX('(直掃)Change to adc mapping '!AJ82) &amp; ",",-1&amp; ",")</f>
        <v>-1,</v>
      </c>
      <c r="AK18" t="str">
        <f ca="1">IF('(直掃)Change to adc mapping '!AK82 &lt;&gt;-1,"0x" &amp; DEC2HEX('(直掃)Change to adc mapping '!AK82) &amp; ",",-1&amp; ",")</f>
        <v>-1,</v>
      </c>
      <c r="AL18" t="str">
        <f ca="1">IF('(直掃)Change to adc mapping '!AL82 &lt;&gt;-1,"0x" &amp; DEC2HEX('(直掃)Change to adc mapping '!AL82) &amp; ",",-1&amp; ",")</f>
        <v>-1,</v>
      </c>
      <c r="AM18" t="str">
        <f ca="1">IF('(直掃)Change to adc mapping '!AM82 &lt;&gt;-1,"0x" &amp; DEC2HEX('(直掃)Change to adc mapping '!AM82) &amp; ",",-1&amp; ",")</f>
        <v>-1,</v>
      </c>
      <c r="AN18" t="str">
        <f ca="1">IF('(直掃)Change to adc mapping '!AN82 &lt;&gt;-1,"0x" &amp; DEC2HEX('(直掃)Change to adc mapping '!AN82) &amp; ",",-1&amp; ",")</f>
        <v>-1,</v>
      </c>
      <c r="AO18" t="str">
        <f ca="1">IF('(直掃)Change to adc mapping '!AO82 &lt;&gt;-1,"0x" &amp; DEC2HEX('(直掃)Change to adc mapping '!AO82) &amp; ",",-1&amp; ",")</f>
        <v>-1,</v>
      </c>
      <c r="AP18" t="str">
        <f ca="1">IF('(直掃)Change to adc mapping '!AP82 &lt;&gt;-1,"0x" &amp; DEC2HEX('(直掃)Change to adc mapping '!AP82) &amp; ",",-1&amp; ",")</f>
        <v>-1,</v>
      </c>
      <c r="AQ18" t="str">
        <f ca="1">IF('(直掃)Change to adc mapping '!AQ82 &lt;&gt;-1,"0x" &amp; DEC2HEX('(直掃)Change to adc mapping '!AQ82) &amp; ",",-1&amp; ",")</f>
        <v>-1,</v>
      </c>
      <c r="AR18" t="str">
        <f ca="1">IF('(直掃)Change to adc mapping '!AR82 &lt;&gt;-1,"0x" &amp; DEC2HEX('(直掃)Change to adc mapping '!AR82) &amp; ",",-1&amp; ",")</f>
        <v>-1,</v>
      </c>
      <c r="AS18" t="str">
        <f ca="1">IF('(直掃)Change to adc mapping '!AS82 &lt;&gt;-1,"0x" &amp; DEC2HEX('(直掃)Change to adc mapping '!AS82) &amp; ",",-1&amp; ",")</f>
        <v>-1,</v>
      </c>
      <c r="AT18" t="str">
        <f ca="1">IF('(直掃)Change to adc mapping '!AT82 &lt;&gt;-1,"0x" &amp; DEC2HEX('(直掃)Change to adc mapping '!AT82) &amp; ",",-1&amp; ",")</f>
        <v>-1,</v>
      </c>
      <c r="AU18" t="str">
        <f ca="1">IF('(直掃)Change to adc mapping '!AU82 &lt;&gt;-1,"0x" &amp; DEC2HEX('(直掃)Change to adc mapping '!AU82) &amp; ",",-1&amp; ",")</f>
        <v>-1,</v>
      </c>
      <c r="AV18" t="str">
        <f ca="1">IF('(直掃)Change to adc mapping '!AV82 &lt;&gt;-1,"0x" &amp; DEC2HEX('(直掃)Change to adc mapping '!AV82) &amp; ",",-1&amp; ",")</f>
        <v>-1,</v>
      </c>
      <c r="AW18" t="str">
        <f ca="1">IF('(直掃)Change to adc mapping '!AW82 &lt;&gt;-1,"0x" &amp; DEC2HEX('(直掃)Change to adc mapping '!AW82) &amp; ",",-1&amp; ",")</f>
        <v>-1,</v>
      </c>
      <c r="AX18" t="str">
        <f ca="1">IF('(直掃)Change to adc mapping '!AX82 &lt;&gt;-1,"0x" &amp; DEC2HEX('(直掃)Change to adc mapping '!AX82) &amp; ",",-1&amp; ",")</f>
        <v>-1,</v>
      </c>
      <c r="AY18" t="str">
        <f ca="1">IF('(直掃)Change to adc mapping '!AY82 &lt;&gt;-1,"0x" &amp; DEC2HEX('(直掃)Change to adc mapping '!AY82) &amp; ",",-1&amp; ",")</f>
        <v>-1,</v>
      </c>
      <c r="AZ18" t="str">
        <f ca="1">IF('(直掃)Change to adc mapping '!AZ82 &lt;&gt;-1,"0x" &amp; DEC2HEX('(直掃)Change to adc mapping '!AZ82) &amp; ",",-1&amp; ",")</f>
        <v>-1,</v>
      </c>
      <c r="BA18" t="str">
        <f ca="1">IF('(直掃)Change to adc mapping '!BA82 &lt;&gt;-1,"0x" &amp; DEC2HEX('(直掃)Change to adc mapping '!BA82) &amp; ",",-1&amp; ",")</f>
        <v>-1,</v>
      </c>
      <c r="BB18" t="str">
        <f ca="1">IF('(直掃)Change to adc mapping '!BB82 &lt;&gt;-1,"0x" &amp; DEC2HEX('(直掃)Change to adc mapping '!BB82) &amp; ",",-1&amp; ",")</f>
        <v>-1,</v>
      </c>
      <c r="BC18" t="str">
        <f ca="1">IF('(直掃)Change to adc mapping '!BC82 &lt;&gt;-1,"0x" &amp; DEC2HEX('(直掃)Change to adc mapping '!BC82) &amp; ",",-1&amp; ",")</f>
        <v>-1,</v>
      </c>
      <c r="BD18" t="str">
        <f ca="1">IF('(直掃)Change to adc mapping '!BD82 &lt;&gt;-1,"0x" &amp; DEC2HEX('(直掃)Change to adc mapping '!BD82) &amp; ",",-1&amp; ",")</f>
        <v>-1,</v>
      </c>
      <c r="BE18" t="str">
        <f ca="1">IF('(直掃)Change to adc mapping '!BE82 &lt;&gt;-1,"0x" &amp; DEC2HEX('(直掃)Change to adc mapping '!BE82) &amp; ",",-1&amp; ",")</f>
        <v>-1,</v>
      </c>
      <c r="BF18" t="str">
        <f ca="1">IF('(直掃)Change to adc mapping '!BF82 &lt;&gt;-1,"0x" &amp; DEC2HEX('(直掃)Change to adc mapping '!BF82) &amp; ",",-1&amp; ",")</f>
        <v>-1,</v>
      </c>
      <c r="BG18" t="str">
        <f ca="1">IF('(直掃)Change to adc mapping '!BG82 &lt;&gt;-1,"0x" &amp; DEC2HEX('(直掃)Change to adc mapping '!BG82) &amp; ",",-1&amp; ",")</f>
        <v>-1,</v>
      </c>
      <c r="BH18" t="str">
        <f ca="1">IF('(直掃)Change to adc mapping '!BH82 &lt;&gt;-1,"0x" &amp; DEC2HEX('(直掃)Change to adc mapping '!BH82) &amp; ",",-1&amp; ",")</f>
        <v>-1,</v>
      </c>
      <c r="BI18" t="str">
        <f ca="1">IF('(直掃)Change to adc mapping '!BI82 &lt;&gt;-1,"0x" &amp; DEC2HEX('(直掃)Change to adc mapping '!BI82) &amp; ",",-1&amp; ",")</f>
        <v>-1,</v>
      </c>
    </row>
    <row r="19" spans="1:61" x14ac:dyDescent="0.25">
      <c r="A19" s="20">
        <v>18</v>
      </c>
      <c r="B19" t="str">
        <f ca="1">'(直掃)Change to adc mapping '!B83 &amp; ","</f>
        <v>9999,</v>
      </c>
      <c r="C19" t="str">
        <f ca="1">'(直掃)Change to adc mapping '!C83 &amp; ","</f>
        <v>9999,</v>
      </c>
      <c r="D19" t="str">
        <f ca="1">'(直掃)Change to adc mapping '!D83 &amp; ","</f>
        <v>9999,</v>
      </c>
      <c r="E19" t="str">
        <f ca="1">'(直掃)Change to adc mapping '!E83 &amp; ","</f>
        <v>9999,</v>
      </c>
      <c r="F19" t="str">
        <f ca="1">'(直掃)Change to adc mapping '!F83 &amp; ","</f>
        <v>9999,</v>
      </c>
      <c r="G19" t="str">
        <f ca="1">'(直掃)Change to adc mapping '!G83 &amp; ","</f>
        <v>9999,</v>
      </c>
      <c r="H19" t="str">
        <f ca="1">'(直掃)Change to adc mapping '!H83 &amp; ","</f>
        <v>9999,</v>
      </c>
      <c r="I19" t="str">
        <f ca="1">'(直掃)Change to adc mapping '!I83 &amp; ","</f>
        <v>9999,</v>
      </c>
      <c r="J19" t="str">
        <f ca="1">'(直掃)Change to adc mapping '!J83 &amp; ","</f>
        <v>9999,</v>
      </c>
      <c r="K19" t="str">
        <f ca="1">'(直掃)Change to adc mapping '!K83 &amp; ","</f>
        <v>9999,</v>
      </c>
      <c r="L19" t="str">
        <f ca="1">'(直掃)Change to adc mapping '!L83 &amp; ","</f>
        <v>9999,</v>
      </c>
      <c r="M19" t="str">
        <f ca="1">'(直掃)Change to adc mapping '!M83 &amp; ","</f>
        <v>9999,</v>
      </c>
      <c r="N19" t="str">
        <f ca="1">'(直掃)Change to adc mapping '!N83 &amp; ","</f>
        <v>9999,</v>
      </c>
      <c r="O19" t="str">
        <f ca="1">'(直掃)Change to adc mapping '!O83 &amp; ","</f>
        <v>9999,</v>
      </c>
      <c r="P19" t="str">
        <f ca="1">'(直掃)Change to adc mapping '!P83 &amp; ","</f>
        <v>9999,</v>
      </c>
      <c r="Q19" t="str">
        <f ca="1">'(直掃)Change to adc mapping '!Q83 &amp; ","</f>
        <v>9999,</v>
      </c>
      <c r="R19" t="str">
        <f ca="1">'(直掃)Change to adc mapping '!R83 &amp; ","</f>
        <v>9999,</v>
      </c>
      <c r="S19" t="str">
        <f ca="1">'(直掃)Change to adc mapping '!S83 &amp; ","</f>
        <v>9999,</v>
      </c>
      <c r="T19" t="str">
        <f ca="1">'(直掃)Change to adc mapping '!T83 &amp; ","</f>
        <v>9999,</v>
      </c>
      <c r="U19" t="str">
        <f ca="1">'(直掃)Change to adc mapping '!U83 &amp; ","</f>
        <v>9999,</v>
      </c>
      <c r="V19" t="str">
        <f ca="1">'(直掃)Change to adc mapping '!V83 &amp; ","</f>
        <v>9999,</v>
      </c>
      <c r="W19" t="str">
        <f ca="1">'(直掃)Change to adc mapping '!W83 &amp; ","</f>
        <v>9999,</v>
      </c>
      <c r="X19" t="str">
        <f ca="1">'(直掃)Change to adc mapping '!X83 &amp; ","</f>
        <v>9999,</v>
      </c>
      <c r="Y19" t="str">
        <f ca="1">IF('(直掃)Change to adc mapping '!Y83 &lt;&gt;-1,"0x" &amp; DEC2HEX('(直掃)Change to adc mapping '!Y83) &amp; ",",-1&amp; ",")</f>
        <v>-1,</v>
      </c>
      <c r="Z19" t="str">
        <f ca="1">IF('(直掃)Change to adc mapping '!Z83 &lt;&gt;-1,"0x" &amp; DEC2HEX('(直掃)Change to adc mapping '!Z83) &amp; ",",-1&amp; ",")</f>
        <v>-1,</v>
      </c>
      <c r="AA19" t="str">
        <f ca="1">IF('(直掃)Change to adc mapping '!AA83 &lt;&gt;-1,"0x" &amp; DEC2HEX('(直掃)Change to adc mapping '!AA83) &amp; ",",-1&amp; ",")</f>
        <v>-1,</v>
      </c>
      <c r="AB19" t="str">
        <f ca="1">IF('(直掃)Change to adc mapping '!AB83 &lt;&gt;-1,"0x" &amp; DEC2HEX('(直掃)Change to adc mapping '!AB83) &amp; ",",-1&amp; ",")</f>
        <v>-1,</v>
      </c>
      <c r="AC19" t="str">
        <f ca="1">IF('(直掃)Change to adc mapping '!AC83 &lt;&gt;-1,"0x" &amp; DEC2HEX('(直掃)Change to adc mapping '!AC83) &amp; ",",-1&amp; ",")</f>
        <v>-1,</v>
      </c>
      <c r="AD19" t="str">
        <f ca="1">IF('(直掃)Change to adc mapping '!AD83 &lt;&gt;-1,"0x" &amp; DEC2HEX('(直掃)Change to adc mapping '!AD83) &amp; ",",-1&amp; ",")</f>
        <v>-1,</v>
      </c>
      <c r="AE19" t="str">
        <f ca="1">IF('(直掃)Change to adc mapping '!AE83 &lt;&gt;-1,"0x" &amp; DEC2HEX('(直掃)Change to adc mapping '!AE83) &amp; ",",-1&amp; ",")</f>
        <v>-1,</v>
      </c>
      <c r="AF19" t="str">
        <f ca="1">IF('(直掃)Change to adc mapping '!AF83 &lt;&gt;-1,"0x" &amp; DEC2HEX('(直掃)Change to adc mapping '!AF83) &amp; ",",-1&amp; ",")</f>
        <v>-1,</v>
      </c>
      <c r="AG19" t="str">
        <f ca="1">IF('(直掃)Change to adc mapping '!AG83 &lt;&gt;-1,"0x" &amp; DEC2HEX('(直掃)Change to adc mapping '!AG83) &amp; ",",-1&amp; ",")</f>
        <v>-1,</v>
      </c>
      <c r="AH19" t="str">
        <f ca="1">IF('(直掃)Change to adc mapping '!AH83 &lt;&gt;-1,"0x" &amp; DEC2HEX('(直掃)Change to adc mapping '!AH83) &amp; ",",-1&amp; ",")</f>
        <v>-1,</v>
      </c>
      <c r="AI19" t="str">
        <f ca="1">IF('(直掃)Change to adc mapping '!AI83 &lt;&gt;-1,"0x" &amp; DEC2HEX('(直掃)Change to adc mapping '!AI83) &amp; ",",-1&amp; ",")</f>
        <v>-1,</v>
      </c>
      <c r="AJ19" t="str">
        <f ca="1">IF('(直掃)Change to adc mapping '!AJ83 &lt;&gt;-1,"0x" &amp; DEC2HEX('(直掃)Change to adc mapping '!AJ83) &amp; ",",-1&amp; ",")</f>
        <v>-1,</v>
      </c>
      <c r="AK19" t="str">
        <f ca="1">IF('(直掃)Change to adc mapping '!AK83 &lt;&gt;-1,"0x" &amp; DEC2HEX('(直掃)Change to adc mapping '!AK83) &amp; ",",-1&amp; ",")</f>
        <v>-1,</v>
      </c>
      <c r="AL19" t="str">
        <f ca="1">IF('(直掃)Change to adc mapping '!AL83 &lt;&gt;-1,"0x" &amp; DEC2HEX('(直掃)Change to adc mapping '!AL83) &amp; ",",-1&amp; ",")</f>
        <v>-1,</v>
      </c>
      <c r="AM19" t="str">
        <f ca="1">IF('(直掃)Change to adc mapping '!AM83 &lt;&gt;-1,"0x" &amp; DEC2HEX('(直掃)Change to adc mapping '!AM83) &amp; ",",-1&amp; ",")</f>
        <v>-1,</v>
      </c>
      <c r="AN19" t="str">
        <f ca="1">IF('(直掃)Change to adc mapping '!AN83 &lt;&gt;-1,"0x" &amp; DEC2HEX('(直掃)Change to adc mapping '!AN83) &amp; ",",-1&amp; ",")</f>
        <v>-1,</v>
      </c>
      <c r="AO19" t="str">
        <f ca="1">IF('(直掃)Change to adc mapping '!AO83 &lt;&gt;-1,"0x" &amp; DEC2HEX('(直掃)Change to adc mapping '!AO83) &amp; ",",-1&amp; ",")</f>
        <v>-1,</v>
      </c>
      <c r="AP19" t="str">
        <f ca="1">IF('(直掃)Change to adc mapping '!AP83 &lt;&gt;-1,"0x" &amp; DEC2HEX('(直掃)Change to adc mapping '!AP83) &amp; ",",-1&amp; ",")</f>
        <v>-1,</v>
      </c>
      <c r="AQ19" t="str">
        <f ca="1">IF('(直掃)Change to adc mapping '!AQ83 &lt;&gt;-1,"0x" &amp; DEC2HEX('(直掃)Change to adc mapping '!AQ83) &amp; ",",-1&amp; ",")</f>
        <v>-1,</v>
      </c>
      <c r="AR19" t="str">
        <f ca="1">IF('(直掃)Change to adc mapping '!AR83 &lt;&gt;-1,"0x" &amp; DEC2HEX('(直掃)Change to adc mapping '!AR83) &amp; ",",-1&amp; ",")</f>
        <v>-1,</v>
      </c>
      <c r="AS19" t="str">
        <f ca="1">IF('(直掃)Change to adc mapping '!AS83 &lt;&gt;-1,"0x" &amp; DEC2HEX('(直掃)Change to adc mapping '!AS83) &amp; ",",-1&amp; ",")</f>
        <v>-1,</v>
      </c>
      <c r="AT19" t="str">
        <f ca="1">IF('(直掃)Change to adc mapping '!AT83 &lt;&gt;-1,"0x" &amp; DEC2HEX('(直掃)Change to adc mapping '!AT83) &amp; ",",-1&amp; ",")</f>
        <v>-1,</v>
      </c>
      <c r="AU19" t="str">
        <f ca="1">IF('(直掃)Change to adc mapping '!AU83 &lt;&gt;-1,"0x" &amp; DEC2HEX('(直掃)Change to adc mapping '!AU83) &amp; ",",-1&amp; ",")</f>
        <v>-1,</v>
      </c>
      <c r="AV19" t="str">
        <f ca="1">IF('(直掃)Change to adc mapping '!AV83 &lt;&gt;-1,"0x" &amp; DEC2HEX('(直掃)Change to adc mapping '!AV83) &amp; ",",-1&amp; ",")</f>
        <v>-1,</v>
      </c>
      <c r="AW19" t="str">
        <f ca="1">IF('(直掃)Change to adc mapping '!AW83 &lt;&gt;-1,"0x" &amp; DEC2HEX('(直掃)Change to adc mapping '!AW83) &amp; ",",-1&amp; ",")</f>
        <v>-1,</v>
      </c>
      <c r="AX19" t="str">
        <f ca="1">IF('(直掃)Change to adc mapping '!AX83 &lt;&gt;-1,"0x" &amp; DEC2HEX('(直掃)Change to adc mapping '!AX83) &amp; ",",-1&amp; ",")</f>
        <v>-1,</v>
      </c>
      <c r="AY19" t="str">
        <f ca="1">IF('(直掃)Change to adc mapping '!AY83 &lt;&gt;-1,"0x" &amp; DEC2HEX('(直掃)Change to adc mapping '!AY83) &amp; ",",-1&amp; ",")</f>
        <v>-1,</v>
      </c>
      <c r="AZ19" t="str">
        <f ca="1">IF('(直掃)Change to adc mapping '!AZ83 &lt;&gt;-1,"0x" &amp; DEC2HEX('(直掃)Change to adc mapping '!AZ83) &amp; ",",-1&amp; ",")</f>
        <v>-1,</v>
      </c>
      <c r="BA19" t="str">
        <f ca="1">IF('(直掃)Change to adc mapping '!BA83 &lt;&gt;-1,"0x" &amp; DEC2HEX('(直掃)Change to adc mapping '!BA83) &amp; ",",-1&amp; ",")</f>
        <v>-1,</v>
      </c>
      <c r="BB19" t="str">
        <f ca="1">IF('(直掃)Change to adc mapping '!BB83 &lt;&gt;-1,"0x" &amp; DEC2HEX('(直掃)Change to adc mapping '!BB83) &amp; ",",-1&amp; ",")</f>
        <v>-1,</v>
      </c>
      <c r="BC19" t="str">
        <f ca="1">IF('(直掃)Change to adc mapping '!BC83 &lt;&gt;-1,"0x" &amp; DEC2HEX('(直掃)Change to adc mapping '!BC83) &amp; ",",-1&amp; ",")</f>
        <v>-1,</v>
      </c>
      <c r="BD19" t="str">
        <f ca="1">IF('(直掃)Change to adc mapping '!BD83 &lt;&gt;-1,"0x" &amp; DEC2HEX('(直掃)Change to adc mapping '!BD83) &amp; ",",-1&amp; ",")</f>
        <v>-1,</v>
      </c>
      <c r="BE19" t="str">
        <f ca="1">IF('(直掃)Change to adc mapping '!BE83 &lt;&gt;-1,"0x" &amp; DEC2HEX('(直掃)Change to adc mapping '!BE83) &amp; ",",-1&amp; ",")</f>
        <v>-1,</v>
      </c>
      <c r="BF19" t="str">
        <f ca="1">IF('(直掃)Change to adc mapping '!BF83 &lt;&gt;-1,"0x" &amp; DEC2HEX('(直掃)Change to adc mapping '!BF83) &amp; ",",-1&amp; ",")</f>
        <v>-1,</v>
      </c>
      <c r="BG19" t="str">
        <f ca="1">IF('(直掃)Change to adc mapping '!BG83 &lt;&gt;-1,"0x" &amp; DEC2HEX('(直掃)Change to adc mapping '!BG83) &amp; ",",-1&amp; ",")</f>
        <v>-1,</v>
      </c>
      <c r="BH19" t="str">
        <f ca="1">IF('(直掃)Change to adc mapping '!BH83 &lt;&gt;-1,"0x" &amp; DEC2HEX('(直掃)Change to adc mapping '!BH83) &amp; ",",-1&amp; ",")</f>
        <v>-1,</v>
      </c>
      <c r="BI19" t="str">
        <f ca="1">IF('(直掃)Change to adc mapping '!BI83 &lt;&gt;-1,"0x" &amp; DEC2HEX('(直掃)Change to adc mapping '!BI83) &amp; ",",-1&amp; ",")</f>
        <v>-1,</v>
      </c>
    </row>
    <row r="20" spans="1:61" x14ac:dyDescent="0.25">
      <c r="A20" s="20">
        <v>19</v>
      </c>
      <c r="B20" t="str">
        <f ca="1">'(直掃)Change to adc mapping '!B84 &amp; ","</f>
        <v>9999,</v>
      </c>
      <c r="C20" t="str">
        <f ca="1">'(直掃)Change to adc mapping '!C84 &amp; ","</f>
        <v>9999,</v>
      </c>
      <c r="D20" t="str">
        <f ca="1">'(直掃)Change to adc mapping '!D84 &amp; ","</f>
        <v>9999,</v>
      </c>
      <c r="E20" t="str">
        <f ca="1">'(直掃)Change to adc mapping '!E84 &amp; ","</f>
        <v>9999,</v>
      </c>
      <c r="F20" t="str">
        <f ca="1">'(直掃)Change to adc mapping '!F84 &amp; ","</f>
        <v>9999,</v>
      </c>
      <c r="G20" t="str">
        <f ca="1">'(直掃)Change to adc mapping '!G84 &amp; ","</f>
        <v>9999,</v>
      </c>
      <c r="H20" t="str">
        <f ca="1">'(直掃)Change to adc mapping '!H84 &amp; ","</f>
        <v>9999,</v>
      </c>
      <c r="I20" t="str">
        <f ca="1">'(直掃)Change to adc mapping '!I84 &amp; ","</f>
        <v>9999,</v>
      </c>
      <c r="J20" t="str">
        <f ca="1">'(直掃)Change to adc mapping '!J84 &amp; ","</f>
        <v>9999,</v>
      </c>
      <c r="K20" t="str">
        <f ca="1">'(直掃)Change to adc mapping '!K84 &amp; ","</f>
        <v>9999,</v>
      </c>
      <c r="L20" t="str">
        <f ca="1">'(直掃)Change to adc mapping '!L84 &amp; ","</f>
        <v>9999,</v>
      </c>
      <c r="M20" t="str">
        <f ca="1">'(直掃)Change to adc mapping '!M84 &amp; ","</f>
        <v>9999,</v>
      </c>
      <c r="N20" t="str">
        <f ca="1">'(直掃)Change to adc mapping '!N84 &amp; ","</f>
        <v>9999,</v>
      </c>
      <c r="O20" t="str">
        <f ca="1">'(直掃)Change to adc mapping '!O84 &amp; ","</f>
        <v>9999,</v>
      </c>
      <c r="P20" t="str">
        <f ca="1">'(直掃)Change to adc mapping '!P84 &amp; ","</f>
        <v>9999,</v>
      </c>
      <c r="Q20" t="str">
        <f ca="1">'(直掃)Change to adc mapping '!Q84 &amp; ","</f>
        <v>9999,</v>
      </c>
      <c r="R20" t="str">
        <f ca="1">'(直掃)Change to adc mapping '!R84 &amp; ","</f>
        <v>9999,</v>
      </c>
      <c r="S20" t="str">
        <f ca="1">'(直掃)Change to adc mapping '!S84 &amp; ","</f>
        <v>9999,</v>
      </c>
      <c r="T20" t="str">
        <f ca="1">'(直掃)Change to adc mapping '!T84 &amp; ","</f>
        <v>9999,</v>
      </c>
      <c r="U20" t="str">
        <f ca="1">'(直掃)Change to adc mapping '!U84 &amp; ","</f>
        <v>9999,</v>
      </c>
      <c r="V20" t="str">
        <f ca="1">'(直掃)Change to adc mapping '!V84 &amp; ","</f>
        <v>9999,</v>
      </c>
      <c r="W20" t="str">
        <f ca="1">'(直掃)Change to adc mapping '!W84 &amp; ","</f>
        <v>9999,</v>
      </c>
      <c r="X20" t="str">
        <f ca="1">'(直掃)Change to adc mapping '!X84 &amp; ","</f>
        <v>9999,</v>
      </c>
      <c r="Y20" t="str">
        <f ca="1">IF('(直掃)Change to adc mapping '!Y84 &lt;&gt;-1,"0x" &amp; DEC2HEX('(直掃)Change to adc mapping '!Y84) &amp; ",",-1&amp; ",")</f>
        <v>-1,</v>
      </c>
      <c r="Z20" t="str">
        <f ca="1">IF('(直掃)Change to adc mapping '!Z84 &lt;&gt;-1,"0x" &amp; DEC2HEX('(直掃)Change to adc mapping '!Z84) &amp; ",",-1&amp; ",")</f>
        <v>-1,</v>
      </c>
      <c r="AA20" t="str">
        <f ca="1">IF('(直掃)Change to adc mapping '!AA84 &lt;&gt;-1,"0x" &amp; DEC2HEX('(直掃)Change to adc mapping '!AA84) &amp; ",",-1&amp; ",")</f>
        <v>-1,</v>
      </c>
      <c r="AB20" t="str">
        <f ca="1">IF('(直掃)Change to adc mapping '!AB84 &lt;&gt;-1,"0x" &amp; DEC2HEX('(直掃)Change to adc mapping '!AB84) &amp; ",",-1&amp; ",")</f>
        <v>-1,</v>
      </c>
      <c r="AC20" t="str">
        <f ca="1">IF('(直掃)Change to adc mapping '!AC84 &lt;&gt;-1,"0x" &amp; DEC2HEX('(直掃)Change to adc mapping '!AC84) &amp; ",",-1&amp; ",")</f>
        <v>-1,</v>
      </c>
      <c r="AD20" t="str">
        <f ca="1">IF('(直掃)Change to adc mapping '!AD84 &lt;&gt;-1,"0x" &amp; DEC2HEX('(直掃)Change to adc mapping '!AD84) &amp; ",",-1&amp; ",")</f>
        <v>-1,</v>
      </c>
      <c r="AE20" t="str">
        <f ca="1">IF('(直掃)Change to adc mapping '!AE84 &lt;&gt;-1,"0x" &amp; DEC2HEX('(直掃)Change to adc mapping '!AE84) &amp; ",",-1&amp; ",")</f>
        <v>-1,</v>
      </c>
      <c r="AF20" t="str">
        <f ca="1">IF('(直掃)Change to adc mapping '!AF84 &lt;&gt;-1,"0x" &amp; DEC2HEX('(直掃)Change to adc mapping '!AF84) &amp; ",",-1&amp; ",")</f>
        <v>-1,</v>
      </c>
      <c r="AG20" t="str">
        <f ca="1">IF('(直掃)Change to adc mapping '!AG84 &lt;&gt;-1,"0x" &amp; DEC2HEX('(直掃)Change to adc mapping '!AG84) &amp; ",",-1&amp; ",")</f>
        <v>-1,</v>
      </c>
      <c r="AH20" t="str">
        <f ca="1">IF('(直掃)Change to adc mapping '!AH84 &lt;&gt;-1,"0x" &amp; DEC2HEX('(直掃)Change to adc mapping '!AH84) &amp; ",",-1&amp; ",")</f>
        <v>-1,</v>
      </c>
      <c r="AI20" t="str">
        <f ca="1">IF('(直掃)Change to adc mapping '!AI84 &lt;&gt;-1,"0x" &amp; DEC2HEX('(直掃)Change to adc mapping '!AI84) &amp; ",",-1&amp; ",")</f>
        <v>-1,</v>
      </c>
      <c r="AJ20" t="str">
        <f ca="1">IF('(直掃)Change to adc mapping '!AJ84 &lt;&gt;-1,"0x" &amp; DEC2HEX('(直掃)Change to adc mapping '!AJ84) &amp; ",",-1&amp; ",")</f>
        <v>-1,</v>
      </c>
      <c r="AK20" t="str">
        <f ca="1">IF('(直掃)Change to adc mapping '!AK84 &lt;&gt;-1,"0x" &amp; DEC2HEX('(直掃)Change to adc mapping '!AK84) &amp; ",",-1&amp; ",")</f>
        <v>-1,</v>
      </c>
      <c r="AL20" t="str">
        <f ca="1">IF('(直掃)Change to adc mapping '!AL84 &lt;&gt;-1,"0x" &amp; DEC2HEX('(直掃)Change to adc mapping '!AL84) &amp; ",",-1&amp; ",")</f>
        <v>-1,</v>
      </c>
      <c r="AM20" t="str">
        <f ca="1">IF('(直掃)Change to adc mapping '!AM84 &lt;&gt;-1,"0x" &amp; DEC2HEX('(直掃)Change to adc mapping '!AM84) &amp; ",",-1&amp; ",")</f>
        <v>-1,</v>
      </c>
      <c r="AN20" t="str">
        <f ca="1">IF('(直掃)Change to adc mapping '!AN84 &lt;&gt;-1,"0x" &amp; DEC2HEX('(直掃)Change to adc mapping '!AN84) &amp; ",",-1&amp; ",")</f>
        <v>-1,</v>
      </c>
      <c r="AO20" t="str">
        <f ca="1">IF('(直掃)Change to adc mapping '!AO84 &lt;&gt;-1,"0x" &amp; DEC2HEX('(直掃)Change to adc mapping '!AO84) &amp; ",",-1&amp; ",")</f>
        <v>-1,</v>
      </c>
      <c r="AP20" t="str">
        <f ca="1">IF('(直掃)Change to adc mapping '!AP84 &lt;&gt;-1,"0x" &amp; DEC2HEX('(直掃)Change to adc mapping '!AP84) &amp; ",",-1&amp; ",")</f>
        <v>-1,</v>
      </c>
      <c r="AQ20" t="str">
        <f ca="1">IF('(直掃)Change to adc mapping '!AQ84 &lt;&gt;-1,"0x" &amp; DEC2HEX('(直掃)Change to adc mapping '!AQ84) &amp; ",",-1&amp; ",")</f>
        <v>-1,</v>
      </c>
      <c r="AR20" t="str">
        <f ca="1">IF('(直掃)Change to adc mapping '!AR84 &lt;&gt;-1,"0x" &amp; DEC2HEX('(直掃)Change to adc mapping '!AR84) &amp; ",",-1&amp; ",")</f>
        <v>-1,</v>
      </c>
      <c r="AS20" t="str">
        <f ca="1">IF('(直掃)Change to adc mapping '!AS84 &lt;&gt;-1,"0x" &amp; DEC2HEX('(直掃)Change to adc mapping '!AS84) &amp; ",",-1&amp; ",")</f>
        <v>-1,</v>
      </c>
      <c r="AT20" t="str">
        <f ca="1">IF('(直掃)Change to adc mapping '!AT84 &lt;&gt;-1,"0x" &amp; DEC2HEX('(直掃)Change to adc mapping '!AT84) &amp; ",",-1&amp; ",")</f>
        <v>-1,</v>
      </c>
      <c r="AU20" t="str">
        <f ca="1">IF('(直掃)Change to adc mapping '!AU84 &lt;&gt;-1,"0x" &amp; DEC2HEX('(直掃)Change to adc mapping '!AU84) &amp; ",",-1&amp; ",")</f>
        <v>-1,</v>
      </c>
      <c r="AV20" t="str">
        <f ca="1">IF('(直掃)Change to adc mapping '!AV84 &lt;&gt;-1,"0x" &amp; DEC2HEX('(直掃)Change to adc mapping '!AV84) &amp; ",",-1&amp; ",")</f>
        <v>-1,</v>
      </c>
      <c r="AW20" t="str">
        <f ca="1">IF('(直掃)Change to adc mapping '!AW84 &lt;&gt;-1,"0x" &amp; DEC2HEX('(直掃)Change to adc mapping '!AW84) &amp; ",",-1&amp; ",")</f>
        <v>-1,</v>
      </c>
      <c r="AX20" t="str">
        <f ca="1">IF('(直掃)Change to adc mapping '!AX84 &lt;&gt;-1,"0x" &amp; DEC2HEX('(直掃)Change to adc mapping '!AX84) &amp; ",",-1&amp; ",")</f>
        <v>-1,</v>
      </c>
      <c r="AY20" t="str">
        <f ca="1">IF('(直掃)Change to adc mapping '!AY84 &lt;&gt;-1,"0x" &amp; DEC2HEX('(直掃)Change to adc mapping '!AY84) &amp; ",",-1&amp; ",")</f>
        <v>-1,</v>
      </c>
      <c r="AZ20" t="str">
        <f ca="1">IF('(直掃)Change to adc mapping '!AZ84 &lt;&gt;-1,"0x" &amp; DEC2HEX('(直掃)Change to adc mapping '!AZ84) &amp; ",",-1&amp; ",")</f>
        <v>-1,</v>
      </c>
      <c r="BA20" t="str">
        <f ca="1">IF('(直掃)Change to adc mapping '!BA84 &lt;&gt;-1,"0x" &amp; DEC2HEX('(直掃)Change to adc mapping '!BA84) &amp; ",",-1&amp; ",")</f>
        <v>-1,</v>
      </c>
      <c r="BB20" t="str">
        <f ca="1">IF('(直掃)Change to adc mapping '!BB84 &lt;&gt;-1,"0x" &amp; DEC2HEX('(直掃)Change to adc mapping '!BB84) &amp; ",",-1&amp; ",")</f>
        <v>-1,</v>
      </c>
      <c r="BC20" t="str">
        <f ca="1">IF('(直掃)Change to adc mapping '!BC84 &lt;&gt;-1,"0x" &amp; DEC2HEX('(直掃)Change to adc mapping '!BC84) &amp; ",",-1&amp; ",")</f>
        <v>-1,</v>
      </c>
      <c r="BD20" t="str">
        <f ca="1">IF('(直掃)Change to adc mapping '!BD84 &lt;&gt;-1,"0x" &amp; DEC2HEX('(直掃)Change to adc mapping '!BD84) &amp; ",",-1&amp; ",")</f>
        <v>-1,</v>
      </c>
      <c r="BE20" t="str">
        <f ca="1">IF('(直掃)Change to adc mapping '!BE84 &lt;&gt;-1,"0x" &amp; DEC2HEX('(直掃)Change to adc mapping '!BE84) &amp; ",",-1&amp; ",")</f>
        <v>-1,</v>
      </c>
      <c r="BF20" t="str">
        <f ca="1">IF('(直掃)Change to adc mapping '!BF84 &lt;&gt;-1,"0x" &amp; DEC2HEX('(直掃)Change to adc mapping '!BF84) &amp; ",",-1&amp; ",")</f>
        <v>-1,</v>
      </c>
      <c r="BG20" t="str">
        <f ca="1">IF('(直掃)Change to adc mapping '!BG84 &lt;&gt;-1,"0x" &amp; DEC2HEX('(直掃)Change to adc mapping '!BG84) &amp; ",",-1&amp; ",")</f>
        <v>-1,</v>
      </c>
      <c r="BH20" t="str">
        <f ca="1">IF('(直掃)Change to adc mapping '!BH84 &lt;&gt;-1,"0x" &amp; DEC2HEX('(直掃)Change to adc mapping '!BH84) &amp; ",",-1&amp; ",")</f>
        <v>-1,</v>
      </c>
      <c r="BI20" t="str">
        <f ca="1">IF('(直掃)Change to adc mapping '!BI84 &lt;&gt;-1,"0x" &amp; DEC2HEX('(直掃)Change to adc mapping '!BI84) &amp; ",",-1&amp; ",")</f>
        <v>-1,</v>
      </c>
    </row>
    <row r="21" spans="1:61" x14ac:dyDescent="0.25">
      <c r="A21" s="20">
        <v>20</v>
      </c>
      <c r="B21" t="str">
        <f ca="1">'(直掃)Change to adc mapping '!B85 &amp; ","</f>
        <v>9999,</v>
      </c>
      <c r="C21" t="str">
        <f ca="1">'(直掃)Change to adc mapping '!C85 &amp; ","</f>
        <v>9999,</v>
      </c>
      <c r="D21" t="str">
        <f ca="1">'(直掃)Change to adc mapping '!D85 &amp; ","</f>
        <v>9999,</v>
      </c>
      <c r="E21" t="str">
        <f ca="1">'(直掃)Change to adc mapping '!E85 &amp; ","</f>
        <v>9999,</v>
      </c>
      <c r="F21" t="str">
        <f ca="1">'(直掃)Change to adc mapping '!F85 &amp; ","</f>
        <v>9999,</v>
      </c>
      <c r="G21" t="str">
        <f ca="1">'(直掃)Change to adc mapping '!G85 &amp; ","</f>
        <v>9999,</v>
      </c>
      <c r="H21" t="str">
        <f ca="1">'(直掃)Change to adc mapping '!H85 &amp; ","</f>
        <v>9999,</v>
      </c>
      <c r="I21" t="str">
        <f ca="1">'(直掃)Change to adc mapping '!I85 &amp; ","</f>
        <v>9999,</v>
      </c>
      <c r="J21" t="str">
        <f ca="1">'(直掃)Change to adc mapping '!J85 &amp; ","</f>
        <v>9999,</v>
      </c>
      <c r="K21" t="str">
        <f ca="1">'(直掃)Change to adc mapping '!K85 &amp; ","</f>
        <v>9999,</v>
      </c>
      <c r="L21" t="str">
        <f ca="1">'(直掃)Change to adc mapping '!L85 &amp; ","</f>
        <v>9999,</v>
      </c>
      <c r="M21" t="str">
        <f ca="1">'(直掃)Change to adc mapping '!M85 &amp; ","</f>
        <v>9999,</v>
      </c>
      <c r="N21" t="str">
        <f ca="1">'(直掃)Change to adc mapping '!N85 &amp; ","</f>
        <v>9999,</v>
      </c>
      <c r="O21" t="str">
        <f ca="1">'(直掃)Change to adc mapping '!O85 &amp; ","</f>
        <v>9999,</v>
      </c>
      <c r="P21" t="str">
        <f ca="1">'(直掃)Change to adc mapping '!P85 &amp; ","</f>
        <v>9999,</v>
      </c>
      <c r="Q21" t="str">
        <f ca="1">'(直掃)Change to adc mapping '!Q85 &amp; ","</f>
        <v>9999,</v>
      </c>
      <c r="R21" t="str">
        <f ca="1">'(直掃)Change to adc mapping '!R85 &amp; ","</f>
        <v>9999,</v>
      </c>
      <c r="S21" t="str">
        <f ca="1">'(直掃)Change to adc mapping '!S85 &amp; ","</f>
        <v>9999,</v>
      </c>
      <c r="T21" t="str">
        <f ca="1">'(直掃)Change to adc mapping '!T85 &amp; ","</f>
        <v>9999,</v>
      </c>
      <c r="U21" t="str">
        <f ca="1">'(直掃)Change to adc mapping '!U85 &amp; ","</f>
        <v>9999,</v>
      </c>
      <c r="V21" t="str">
        <f ca="1">'(直掃)Change to adc mapping '!V85 &amp; ","</f>
        <v>9999,</v>
      </c>
      <c r="W21" t="str">
        <f ca="1">'(直掃)Change to adc mapping '!W85 &amp; ","</f>
        <v>9999,</v>
      </c>
      <c r="X21" t="str">
        <f ca="1">'(直掃)Change to adc mapping '!X85 &amp; ","</f>
        <v>9999,</v>
      </c>
      <c r="Y21" t="str">
        <f ca="1">IF('(直掃)Change to adc mapping '!Y85 &lt;&gt;-1,"0x" &amp; DEC2HEX('(直掃)Change to adc mapping '!Y85) &amp; ",",-1&amp; ",")</f>
        <v>-1,</v>
      </c>
      <c r="Z21" t="str">
        <f ca="1">IF('(直掃)Change to adc mapping '!Z85 &lt;&gt;-1,"0x" &amp; DEC2HEX('(直掃)Change to adc mapping '!Z85) &amp; ",",-1&amp; ",")</f>
        <v>-1,</v>
      </c>
      <c r="AA21" t="str">
        <f ca="1">IF('(直掃)Change to adc mapping '!AA85 &lt;&gt;-1,"0x" &amp; DEC2HEX('(直掃)Change to adc mapping '!AA85) &amp; ",",-1&amp; ",")</f>
        <v>-1,</v>
      </c>
      <c r="AB21" t="str">
        <f ca="1">IF('(直掃)Change to adc mapping '!AB85 &lt;&gt;-1,"0x" &amp; DEC2HEX('(直掃)Change to adc mapping '!AB85) &amp; ",",-1&amp; ",")</f>
        <v>-1,</v>
      </c>
      <c r="AC21" t="str">
        <f ca="1">IF('(直掃)Change to adc mapping '!AC85 &lt;&gt;-1,"0x" &amp; DEC2HEX('(直掃)Change to adc mapping '!AC85) &amp; ",",-1&amp; ",")</f>
        <v>-1,</v>
      </c>
      <c r="AD21" t="str">
        <f ca="1">IF('(直掃)Change to adc mapping '!AD85 &lt;&gt;-1,"0x" &amp; DEC2HEX('(直掃)Change to adc mapping '!AD85) &amp; ",",-1&amp; ",")</f>
        <v>-1,</v>
      </c>
      <c r="AE21" t="str">
        <f ca="1">IF('(直掃)Change to adc mapping '!AE85 &lt;&gt;-1,"0x" &amp; DEC2HEX('(直掃)Change to adc mapping '!AE85) &amp; ",",-1&amp; ",")</f>
        <v>-1,</v>
      </c>
      <c r="AF21" t="str">
        <f ca="1">IF('(直掃)Change to adc mapping '!AF85 &lt;&gt;-1,"0x" &amp; DEC2HEX('(直掃)Change to adc mapping '!AF85) &amp; ",",-1&amp; ",")</f>
        <v>-1,</v>
      </c>
      <c r="AG21" t="str">
        <f ca="1">IF('(直掃)Change to adc mapping '!AG85 &lt;&gt;-1,"0x" &amp; DEC2HEX('(直掃)Change to adc mapping '!AG85) &amp; ",",-1&amp; ",")</f>
        <v>-1,</v>
      </c>
      <c r="AH21" t="str">
        <f ca="1">IF('(直掃)Change to adc mapping '!AH85 &lt;&gt;-1,"0x" &amp; DEC2HEX('(直掃)Change to adc mapping '!AH85) &amp; ",",-1&amp; ",")</f>
        <v>-1,</v>
      </c>
      <c r="AI21" t="str">
        <f ca="1">IF('(直掃)Change to adc mapping '!AI85 &lt;&gt;-1,"0x" &amp; DEC2HEX('(直掃)Change to adc mapping '!AI85) &amp; ",",-1&amp; ",")</f>
        <v>-1,</v>
      </c>
      <c r="AJ21" t="str">
        <f ca="1">IF('(直掃)Change to adc mapping '!AJ85 &lt;&gt;-1,"0x" &amp; DEC2HEX('(直掃)Change to adc mapping '!AJ85) &amp; ",",-1&amp; ",")</f>
        <v>-1,</v>
      </c>
      <c r="AK21" t="str">
        <f ca="1">IF('(直掃)Change to adc mapping '!AK85 &lt;&gt;-1,"0x" &amp; DEC2HEX('(直掃)Change to adc mapping '!AK85) &amp; ",",-1&amp; ",")</f>
        <v>-1,</v>
      </c>
      <c r="AL21" t="str">
        <f ca="1">IF('(直掃)Change to adc mapping '!AL85 &lt;&gt;-1,"0x" &amp; DEC2HEX('(直掃)Change to adc mapping '!AL85) &amp; ",",-1&amp; ",")</f>
        <v>-1,</v>
      </c>
      <c r="AM21" t="str">
        <f ca="1">IF('(直掃)Change to adc mapping '!AM85 &lt;&gt;-1,"0x" &amp; DEC2HEX('(直掃)Change to adc mapping '!AM85) &amp; ",",-1&amp; ",")</f>
        <v>-1,</v>
      </c>
      <c r="AN21" t="str">
        <f ca="1">IF('(直掃)Change to adc mapping '!AN85 &lt;&gt;-1,"0x" &amp; DEC2HEX('(直掃)Change to adc mapping '!AN85) &amp; ",",-1&amp; ",")</f>
        <v>-1,</v>
      </c>
      <c r="AO21" t="str">
        <f ca="1">IF('(直掃)Change to adc mapping '!AO85 &lt;&gt;-1,"0x" &amp; DEC2HEX('(直掃)Change to adc mapping '!AO85) &amp; ",",-1&amp; ",")</f>
        <v>-1,</v>
      </c>
      <c r="AP21" t="str">
        <f ca="1">IF('(直掃)Change to adc mapping '!AP85 &lt;&gt;-1,"0x" &amp; DEC2HEX('(直掃)Change to adc mapping '!AP85) &amp; ",",-1&amp; ",")</f>
        <v>-1,</v>
      </c>
      <c r="AQ21" t="str">
        <f ca="1">IF('(直掃)Change to adc mapping '!AQ85 &lt;&gt;-1,"0x" &amp; DEC2HEX('(直掃)Change to adc mapping '!AQ85) &amp; ",",-1&amp; ",")</f>
        <v>-1,</v>
      </c>
      <c r="AR21" t="str">
        <f ca="1">IF('(直掃)Change to adc mapping '!AR85 &lt;&gt;-1,"0x" &amp; DEC2HEX('(直掃)Change to adc mapping '!AR85) &amp; ",",-1&amp; ",")</f>
        <v>-1,</v>
      </c>
      <c r="AS21" t="str">
        <f ca="1">IF('(直掃)Change to adc mapping '!AS85 &lt;&gt;-1,"0x" &amp; DEC2HEX('(直掃)Change to adc mapping '!AS85) &amp; ",",-1&amp; ",")</f>
        <v>-1,</v>
      </c>
      <c r="AT21" t="str">
        <f ca="1">IF('(直掃)Change to adc mapping '!AT85 &lt;&gt;-1,"0x" &amp; DEC2HEX('(直掃)Change to adc mapping '!AT85) &amp; ",",-1&amp; ",")</f>
        <v>-1,</v>
      </c>
      <c r="AU21" t="str">
        <f ca="1">IF('(直掃)Change to adc mapping '!AU85 &lt;&gt;-1,"0x" &amp; DEC2HEX('(直掃)Change to adc mapping '!AU85) &amp; ",",-1&amp; ",")</f>
        <v>-1,</v>
      </c>
      <c r="AV21" t="str">
        <f ca="1">IF('(直掃)Change to adc mapping '!AV85 &lt;&gt;-1,"0x" &amp; DEC2HEX('(直掃)Change to adc mapping '!AV85) &amp; ",",-1&amp; ",")</f>
        <v>-1,</v>
      </c>
      <c r="AW21" t="str">
        <f ca="1">IF('(直掃)Change to adc mapping '!AW85 &lt;&gt;-1,"0x" &amp; DEC2HEX('(直掃)Change to adc mapping '!AW85) &amp; ",",-1&amp; ",")</f>
        <v>-1,</v>
      </c>
      <c r="AX21" t="str">
        <f ca="1">IF('(直掃)Change to adc mapping '!AX85 &lt;&gt;-1,"0x" &amp; DEC2HEX('(直掃)Change to adc mapping '!AX85) &amp; ",",-1&amp; ",")</f>
        <v>-1,</v>
      </c>
      <c r="AY21" t="str">
        <f ca="1">IF('(直掃)Change to adc mapping '!AY85 &lt;&gt;-1,"0x" &amp; DEC2HEX('(直掃)Change to adc mapping '!AY85) &amp; ",",-1&amp; ",")</f>
        <v>-1,</v>
      </c>
      <c r="AZ21" t="str">
        <f ca="1">IF('(直掃)Change to adc mapping '!AZ85 &lt;&gt;-1,"0x" &amp; DEC2HEX('(直掃)Change to adc mapping '!AZ85) &amp; ",",-1&amp; ",")</f>
        <v>-1,</v>
      </c>
      <c r="BA21" t="str">
        <f ca="1">IF('(直掃)Change to adc mapping '!BA85 &lt;&gt;-1,"0x" &amp; DEC2HEX('(直掃)Change to adc mapping '!BA85) &amp; ",",-1&amp; ",")</f>
        <v>-1,</v>
      </c>
      <c r="BB21" t="str">
        <f ca="1">IF('(直掃)Change to adc mapping '!BB85 &lt;&gt;-1,"0x" &amp; DEC2HEX('(直掃)Change to adc mapping '!BB85) &amp; ",",-1&amp; ",")</f>
        <v>-1,</v>
      </c>
      <c r="BC21" t="str">
        <f ca="1">IF('(直掃)Change to adc mapping '!BC85 &lt;&gt;-1,"0x" &amp; DEC2HEX('(直掃)Change to adc mapping '!BC85) &amp; ",",-1&amp; ",")</f>
        <v>-1,</v>
      </c>
      <c r="BD21" t="str">
        <f ca="1">IF('(直掃)Change to adc mapping '!BD85 &lt;&gt;-1,"0x" &amp; DEC2HEX('(直掃)Change to adc mapping '!BD85) &amp; ",",-1&amp; ",")</f>
        <v>-1,</v>
      </c>
      <c r="BE21" t="str">
        <f ca="1">IF('(直掃)Change to adc mapping '!BE85 &lt;&gt;-1,"0x" &amp; DEC2HEX('(直掃)Change to adc mapping '!BE85) &amp; ",",-1&amp; ",")</f>
        <v>-1,</v>
      </c>
      <c r="BF21" t="str">
        <f ca="1">IF('(直掃)Change to adc mapping '!BF85 &lt;&gt;-1,"0x" &amp; DEC2HEX('(直掃)Change to adc mapping '!BF85) &amp; ",",-1&amp; ",")</f>
        <v>-1,</v>
      </c>
      <c r="BG21" t="str">
        <f ca="1">IF('(直掃)Change to adc mapping '!BG85 &lt;&gt;-1,"0x" &amp; DEC2HEX('(直掃)Change to adc mapping '!BG85) &amp; ",",-1&amp; ",")</f>
        <v>-1,</v>
      </c>
      <c r="BH21" t="str">
        <f ca="1">IF('(直掃)Change to adc mapping '!BH85 &lt;&gt;-1,"0x" &amp; DEC2HEX('(直掃)Change to adc mapping '!BH85) &amp; ",",-1&amp; ",")</f>
        <v>-1,</v>
      </c>
      <c r="BI21" t="str">
        <f ca="1">IF('(直掃)Change to adc mapping '!BI85 &lt;&gt;-1,"0x" &amp; DEC2HEX('(直掃)Change to adc mapping '!BI85) &amp; ",",-1&amp; ",")</f>
        <v>-1,</v>
      </c>
    </row>
    <row r="22" spans="1:61" x14ac:dyDescent="0.25">
      <c r="A22" s="20">
        <v>21</v>
      </c>
      <c r="B22" t="str">
        <f ca="1">'(直掃)Change to adc mapping '!B86 &amp; ","</f>
        <v>9999,</v>
      </c>
      <c r="C22" t="str">
        <f ca="1">'(直掃)Change to adc mapping '!C86 &amp; ","</f>
        <v>9999,</v>
      </c>
      <c r="D22" t="str">
        <f ca="1">'(直掃)Change to adc mapping '!D86 &amp; ","</f>
        <v>9999,</v>
      </c>
      <c r="E22" t="str">
        <f ca="1">'(直掃)Change to adc mapping '!E86 &amp; ","</f>
        <v>9999,</v>
      </c>
      <c r="F22" t="str">
        <f ca="1">'(直掃)Change to adc mapping '!F86 &amp; ","</f>
        <v>9999,</v>
      </c>
      <c r="G22" t="str">
        <f ca="1">'(直掃)Change to adc mapping '!G86 &amp; ","</f>
        <v>9999,</v>
      </c>
      <c r="H22" t="str">
        <f ca="1">'(直掃)Change to adc mapping '!H86 &amp; ","</f>
        <v>9999,</v>
      </c>
      <c r="I22" t="str">
        <f ca="1">'(直掃)Change to adc mapping '!I86 &amp; ","</f>
        <v>9999,</v>
      </c>
      <c r="J22" t="str">
        <f ca="1">'(直掃)Change to adc mapping '!J86 &amp; ","</f>
        <v>9999,</v>
      </c>
      <c r="K22" t="str">
        <f ca="1">'(直掃)Change to adc mapping '!K86 &amp; ","</f>
        <v>9999,</v>
      </c>
      <c r="L22" t="str">
        <f ca="1">'(直掃)Change to adc mapping '!L86 &amp; ","</f>
        <v>9999,</v>
      </c>
      <c r="M22" t="str">
        <f ca="1">'(直掃)Change to adc mapping '!M86 &amp; ","</f>
        <v>9999,</v>
      </c>
      <c r="N22" t="str">
        <f ca="1">'(直掃)Change to adc mapping '!N86 &amp; ","</f>
        <v>9999,</v>
      </c>
      <c r="O22" t="str">
        <f ca="1">'(直掃)Change to adc mapping '!O86 &amp; ","</f>
        <v>9999,</v>
      </c>
      <c r="P22" t="str">
        <f ca="1">'(直掃)Change to adc mapping '!P86 &amp; ","</f>
        <v>9999,</v>
      </c>
      <c r="Q22" t="str">
        <f ca="1">'(直掃)Change to adc mapping '!Q86 &amp; ","</f>
        <v>9999,</v>
      </c>
      <c r="R22" t="str">
        <f ca="1">'(直掃)Change to adc mapping '!R86 &amp; ","</f>
        <v>9999,</v>
      </c>
      <c r="S22" t="str">
        <f ca="1">'(直掃)Change to adc mapping '!S86 &amp; ","</f>
        <v>9999,</v>
      </c>
      <c r="T22" t="str">
        <f ca="1">'(直掃)Change to adc mapping '!T86 &amp; ","</f>
        <v>9999,</v>
      </c>
      <c r="U22" t="str">
        <f ca="1">'(直掃)Change to adc mapping '!U86 &amp; ","</f>
        <v>9999,</v>
      </c>
      <c r="V22" t="str">
        <f ca="1">'(直掃)Change to adc mapping '!V86 &amp; ","</f>
        <v>9999,</v>
      </c>
      <c r="W22" t="str">
        <f ca="1">'(直掃)Change to adc mapping '!W86 &amp; ","</f>
        <v>9999,</v>
      </c>
      <c r="X22" t="str">
        <f ca="1">'(直掃)Change to adc mapping '!X86 &amp; ","</f>
        <v>9999,</v>
      </c>
      <c r="Y22" t="str">
        <f ca="1">IF('(直掃)Change to adc mapping '!Y86 &lt;&gt;-1,"0x" &amp; DEC2HEX('(直掃)Change to adc mapping '!Y86) &amp; ",",-1&amp; ",")</f>
        <v>-1,</v>
      </c>
      <c r="Z22" t="str">
        <f ca="1">IF('(直掃)Change to adc mapping '!Z86 &lt;&gt;-1,"0x" &amp; DEC2HEX('(直掃)Change to adc mapping '!Z86) &amp; ",",-1&amp; ",")</f>
        <v>-1,</v>
      </c>
      <c r="AA22" t="str">
        <f ca="1">IF('(直掃)Change to adc mapping '!AA86 &lt;&gt;-1,"0x" &amp; DEC2HEX('(直掃)Change to adc mapping '!AA86) &amp; ",",-1&amp; ",")</f>
        <v>-1,</v>
      </c>
      <c r="AB22" t="str">
        <f ca="1">IF('(直掃)Change to adc mapping '!AB86 &lt;&gt;-1,"0x" &amp; DEC2HEX('(直掃)Change to adc mapping '!AB86) &amp; ",",-1&amp; ",")</f>
        <v>-1,</v>
      </c>
      <c r="AC22" t="str">
        <f ca="1">IF('(直掃)Change to adc mapping '!AC86 &lt;&gt;-1,"0x" &amp; DEC2HEX('(直掃)Change to adc mapping '!AC86) &amp; ",",-1&amp; ",")</f>
        <v>-1,</v>
      </c>
      <c r="AD22" t="str">
        <f ca="1">IF('(直掃)Change to adc mapping '!AD86 &lt;&gt;-1,"0x" &amp; DEC2HEX('(直掃)Change to adc mapping '!AD86) &amp; ",",-1&amp; ",")</f>
        <v>-1,</v>
      </c>
      <c r="AE22" t="str">
        <f ca="1">IF('(直掃)Change to adc mapping '!AE86 &lt;&gt;-1,"0x" &amp; DEC2HEX('(直掃)Change to adc mapping '!AE86) &amp; ",",-1&amp; ",")</f>
        <v>-1,</v>
      </c>
      <c r="AF22" t="str">
        <f ca="1">IF('(直掃)Change to adc mapping '!AF86 &lt;&gt;-1,"0x" &amp; DEC2HEX('(直掃)Change to adc mapping '!AF86) &amp; ",",-1&amp; ",")</f>
        <v>-1,</v>
      </c>
      <c r="AG22" t="str">
        <f ca="1">IF('(直掃)Change to adc mapping '!AG86 &lt;&gt;-1,"0x" &amp; DEC2HEX('(直掃)Change to adc mapping '!AG86) &amp; ",",-1&amp; ",")</f>
        <v>-1,</v>
      </c>
      <c r="AH22" t="str">
        <f ca="1">IF('(直掃)Change to adc mapping '!AH86 &lt;&gt;-1,"0x" &amp; DEC2HEX('(直掃)Change to adc mapping '!AH86) &amp; ",",-1&amp; ",")</f>
        <v>-1,</v>
      </c>
      <c r="AI22" t="str">
        <f ca="1">IF('(直掃)Change to adc mapping '!AI86 &lt;&gt;-1,"0x" &amp; DEC2HEX('(直掃)Change to adc mapping '!AI86) &amp; ",",-1&amp; ",")</f>
        <v>-1,</v>
      </c>
      <c r="AJ22" t="str">
        <f ca="1">IF('(直掃)Change to adc mapping '!AJ86 &lt;&gt;-1,"0x" &amp; DEC2HEX('(直掃)Change to adc mapping '!AJ86) &amp; ",",-1&amp; ",")</f>
        <v>-1,</v>
      </c>
      <c r="AK22" t="str">
        <f ca="1">IF('(直掃)Change to adc mapping '!AK86 &lt;&gt;-1,"0x" &amp; DEC2HEX('(直掃)Change to adc mapping '!AK86) &amp; ",",-1&amp; ",")</f>
        <v>-1,</v>
      </c>
      <c r="AL22" t="str">
        <f ca="1">IF('(直掃)Change to adc mapping '!AL86 &lt;&gt;-1,"0x" &amp; DEC2HEX('(直掃)Change to adc mapping '!AL86) &amp; ",",-1&amp; ",")</f>
        <v>-1,</v>
      </c>
      <c r="AM22" t="str">
        <f ca="1">IF('(直掃)Change to adc mapping '!AM86 &lt;&gt;-1,"0x" &amp; DEC2HEX('(直掃)Change to adc mapping '!AM86) &amp; ",",-1&amp; ",")</f>
        <v>-1,</v>
      </c>
      <c r="AN22" t="str">
        <f ca="1">IF('(直掃)Change to adc mapping '!AN86 &lt;&gt;-1,"0x" &amp; DEC2HEX('(直掃)Change to adc mapping '!AN86) &amp; ",",-1&amp; ",")</f>
        <v>-1,</v>
      </c>
      <c r="AO22" t="str">
        <f ca="1">IF('(直掃)Change to adc mapping '!AO86 &lt;&gt;-1,"0x" &amp; DEC2HEX('(直掃)Change to adc mapping '!AO86) &amp; ",",-1&amp; ",")</f>
        <v>-1,</v>
      </c>
      <c r="AP22" t="str">
        <f ca="1">IF('(直掃)Change to adc mapping '!AP86 &lt;&gt;-1,"0x" &amp; DEC2HEX('(直掃)Change to adc mapping '!AP86) &amp; ",",-1&amp; ",")</f>
        <v>-1,</v>
      </c>
      <c r="AQ22" t="str">
        <f ca="1">IF('(直掃)Change to adc mapping '!AQ86 &lt;&gt;-1,"0x" &amp; DEC2HEX('(直掃)Change to adc mapping '!AQ86) &amp; ",",-1&amp; ",")</f>
        <v>-1,</v>
      </c>
      <c r="AR22" t="str">
        <f ca="1">IF('(直掃)Change to adc mapping '!AR86 &lt;&gt;-1,"0x" &amp; DEC2HEX('(直掃)Change to adc mapping '!AR86) &amp; ",",-1&amp; ",")</f>
        <v>-1,</v>
      </c>
      <c r="AS22" t="str">
        <f ca="1">IF('(直掃)Change to adc mapping '!AS86 &lt;&gt;-1,"0x" &amp; DEC2HEX('(直掃)Change to adc mapping '!AS86) &amp; ",",-1&amp; ",")</f>
        <v>-1,</v>
      </c>
      <c r="AT22" t="str">
        <f ca="1">IF('(直掃)Change to adc mapping '!AT86 &lt;&gt;-1,"0x" &amp; DEC2HEX('(直掃)Change to adc mapping '!AT86) &amp; ",",-1&amp; ",")</f>
        <v>-1,</v>
      </c>
      <c r="AU22" t="str">
        <f ca="1">IF('(直掃)Change to adc mapping '!AU86 &lt;&gt;-1,"0x" &amp; DEC2HEX('(直掃)Change to adc mapping '!AU86) &amp; ",",-1&amp; ",")</f>
        <v>-1,</v>
      </c>
      <c r="AV22" t="str">
        <f ca="1">IF('(直掃)Change to adc mapping '!AV86 &lt;&gt;-1,"0x" &amp; DEC2HEX('(直掃)Change to adc mapping '!AV86) &amp; ",",-1&amp; ",")</f>
        <v>-1,</v>
      </c>
      <c r="AW22" t="str">
        <f ca="1">IF('(直掃)Change to adc mapping '!AW86 &lt;&gt;-1,"0x" &amp; DEC2HEX('(直掃)Change to adc mapping '!AW86) &amp; ",",-1&amp; ",")</f>
        <v>-1,</v>
      </c>
      <c r="AX22" t="str">
        <f ca="1">IF('(直掃)Change to adc mapping '!AX86 &lt;&gt;-1,"0x" &amp; DEC2HEX('(直掃)Change to adc mapping '!AX86) &amp; ",",-1&amp; ",")</f>
        <v>-1,</v>
      </c>
      <c r="AY22" t="str">
        <f ca="1">IF('(直掃)Change to adc mapping '!AY86 &lt;&gt;-1,"0x" &amp; DEC2HEX('(直掃)Change to adc mapping '!AY86) &amp; ",",-1&amp; ",")</f>
        <v>-1,</v>
      </c>
      <c r="AZ22" t="str">
        <f ca="1">IF('(直掃)Change to adc mapping '!AZ86 &lt;&gt;-1,"0x" &amp; DEC2HEX('(直掃)Change to adc mapping '!AZ86) &amp; ",",-1&amp; ",")</f>
        <v>-1,</v>
      </c>
      <c r="BA22" t="str">
        <f ca="1">IF('(直掃)Change to adc mapping '!BA86 &lt;&gt;-1,"0x" &amp; DEC2HEX('(直掃)Change to adc mapping '!BA86) &amp; ",",-1&amp; ",")</f>
        <v>-1,</v>
      </c>
      <c r="BB22" t="str">
        <f ca="1">IF('(直掃)Change to adc mapping '!BB86 &lt;&gt;-1,"0x" &amp; DEC2HEX('(直掃)Change to adc mapping '!BB86) &amp; ",",-1&amp; ",")</f>
        <v>-1,</v>
      </c>
      <c r="BC22" t="str">
        <f ca="1">IF('(直掃)Change to adc mapping '!BC86 &lt;&gt;-1,"0x" &amp; DEC2HEX('(直掃)Change to adc mapping '!BC86) &amp; ",",-1&amp; ",")</f>
        <v>-1,</v>
      </c>
      <c r="BD22" t="str">
        <f ca="1">IF('(直掃)Change to adc mapping '!BD86 &lt;&gt;-1,"0x" &amp; DEC2HEX('(直掃)Change to adc mapping '!BD86) &amp; ",",-1&amp; ",")</f>
        <v>-1,</v>
      </c>
      <c r="BE22" t="str">
        <f ca="1">IF('(直掃)Change to adc mapping '!BE86 &lt;&gt;-1,"0x" &amp; DEC2HEX('(直掃)Change to adc mapping '!BE86) &amp; ",",-1&amp; ",")</f>
        <v>-1,</v>
      </c>
      <c r="BF22" t="str">
        <f ca="1">IF('(直掃)Change to adc mapping '!BF86 &lt;&gt;-1,"0x" &amp; DEC2HEX('(直掃)Change to adc mapping '!BF86) &amp; ",",-1&amp; ",")</f>
        <v>-1,</v>
      </c>
      <c r="BG22" t="str">
        <f ca="1">IF('(直掃)Change to adc mapping '!BG86 &lt;&gt;-1,"0x" &amp; DEC2HEX('(直掃)Change to adc mapping '!BG86) &amp; ",",-1&amp; ",")</f>
        <v>-1,</v>
      </c>
      <c r="BH22" t="str">
        <f ca="1">IF('(直掃)Change to adc mapping '!BH86 &lt;&gt;-1,"0x" &amp; DEC2HEX('(直掃)Change to adc mapping '!BH86) &amp; ",",-1&amp; ",")</f>
        <v>-1,</v>
      </c>
      <c r="BI22" t="str">
        <f ca="1">IF('(直掃)Change to adc mapping '!BI86 &lt;&gt;-1,"0x" &amp; DEC2HEX('(直掃)Change to adc mapping '!BI86) &amp; ",",-1&amp; ",")</f>
        <v>-1,</v>
      </c>
    </row>
    <row r="23" spans="1:61" x14ac:dyDescent="0.25">
      <c r="A23" s="20">
        <v>22</v>
      </c>
      <c r="B23" t="str">
        <f ca="1">'(直掃)Change to adc mapping '!B87 &amp; ","</f>
        <v>9999,</v>
      </c>
      <c r="C23" t="str">
        <f ca="1">'(直掃)Change to adc mapping '!C87 &amp; ","</f>
        <v>9999,</v>
      </c>
      <c r="D23" t="str">
        <f ca="1">'(直掃)Change to adc mapping '!D87 &amp; ","</f>
        <v>9999,</v>
      </c>
      <c r="E23" t="str">
        <f ca="1">'(直掃)Change to adc mapping '!E87 &amp; ","</f>
        <v>9999,</v>
      </c>
      <c r="F23" t="str">
        <f ca="1">'(直掃)Change to adc mapping '!F87 &amp; ","</f>
        <v>9999,</v>
      </c>
      <c r="G23" t="str">
        <f ca="1">'(直掃)Change to adc mapping '!G87 &amp; ","</f>
        <v>9999,</v>
      </c>
      <c r="H23" t="str">
        <f ca="1">'(直掃)Change to adc mapping '!H87 &amp; ","</f>
        <v>9999,</v>
      </c>
      <c r="I23" t="str">
        <f ca="1">'(直掃)Change to adc mapping '!I87 &amp; ","</f>
        <v>9999,</v>
      </c>
      <c r="J23" t="str">
        <f ca="1">'(直掃)Change to adc mapping '!J87 &amp; ","</f>
        <v>9999,</v>
      </c>
      <c r="K23" t="str">
        <f ca="1">'(直掃)Change to adc mapping '!K87 &amp; ","</f>
        <v>9999,</v>
      </c>
      <c r="L23" t="str">
        <f ca="1">'(直掃)Change to adc mapping '!L87 &amp; ","</f>
        <v>9999,</v>
      </c>
      <c r="M23" t="str">
        <f ca="1">'(直掃)Change to adc mapping '!M87 &amp; ","</f>
        <v>9999,</v>
      </c>
      <c r="N23" t="str">
        <f ca="1">'(直掃)Change to adc mapping '!N87 &amp; ","</f>
        <v>9999,</v>
      </c>
      <c r="O23" t="str">
        <f ca="1">'(直掃)Change to adc mapping '!O87 &amp; ","</f>
        <v>9999,</v>
      </c>
      <c r="P23" t="str">
        <f ca="1">'(直掃)Change to adc mapping '!P87 &amp; ","</f>
        <v>9999,</v>
      </c>
      <c r="Q23" t="str">
        <f ca="1">'(直掃)Change to adc mapping '!Q87 &amp; ","</f>
        <v>9999,</v>
      </c>
      <c r="R23" t="str">
        <f ca="1">'(直掃)Change to adc mapping '!R87 &amp; ","</f>
        <v>9999,</v>
      </c>
      <c r="S23" t="str">
        <f ca="1">'(直掃)Change to adc mapping '!S87 &amp; ","</f>
        <v>9999,</v>
      </c>
      <c r="T23" t="str">
        <f ca="1">'(直掃)Change to adc mapping '!T87 &amp; ","</f>
        <v>9999,</v>
      </c>
      <c r="U23" t="str">
        <f ca="1">'(直掃)Change to adc mapping '!U87 &amp; ","</f>
        <v>9999,</v>
      </c>
      <c r="V23" t="str">
        <f ca="1">'(直掃)Change to adc mapping '!V87 &amp; ","</f>
        <v>9999,</v>
      </c>
      <c r="W23" t="str">
        <f ca="1">'(直掃)Change to adc mapping '!W87 &amp; ","</f>
        <v>9999,</v>
      </c>
      <c r="X23" t="str">
        <f ca="1">'(直掃)Change to adc mapping '!X87 &amp; ","</f>
        <v>9999,</v>
      </c>
      <c r="Y23" t="str">
        <f ca="1">IF('(直掃)Change to adc mapping '!Y87 &lt;&gt;-1,"0x" &amp; DEC2HEX('(直掃)Change to adc mapping '!Y87) &amp; ",",-1&amp; ",")</f>
        <v>-1,</v>
      </c>
      <c r="Z23" t="str">
        <f ca="1">IF('(直掃)Change to adc mapping '!Z87 &lt;&gt;-1,"0x" &amp; DEC2HEX('(直掃)Change to adc mapping '!Z87) &amp; ",",-1&amp; ",")</f>
        <v>-1,</v>
      </c>
      <c r="AA23" t="str">
        <f ca="1">IF('(直掃)Change to adc mapping '!AA87 &lt;&gt;-1,"0x" &amp; DEC2HEX('(直掃)Change to adc mapping '!AA87) &amp; ",",-1&amp; ",")</f>
        <v>-1,</v>
      </c>
      <c r="AB23" t="str">
        <f ca="1">IF('(直掃)Change to adc mapping '!AB87 &lt;&gt;-1,"0x" &amp; DEC2HEX('(直掃)Change to adc mapping '!AB87) &amp; ",",-1&amp; ",")</f>
        <v>-1,</v>
      </c>
      <c r="AC23" t="str">
        <f ca="1">IF('(直掃)Change to adc mapping '!AC87 &lt;&gt;-1,"0x" &amp; DEC2HEX('(直掃)Change to adc mapping '!AC87) &amp; ",",-1&amp; ",")</f>
        <v>-1,</v>
      </c>
      <c r="AD23" t="str">
        <f ca="1">IF('(直掃)Change to adc mapping '!AD87 &lt;&gt;-1,"0x" &amp; DEC2HEX('(直掃)Change to adc mapping '!AD87) &amp; ",",-1&amp; ",")</f>
        <v>-1,</v>
      </c>
      <c r="AE23" t="str">
        <f ca="1">IF('(直掃)Change to adc mapping '!AE87 &lt;&gt;-1,"0x" &amp; DEC2HEX('(直掃)Change to adc mapping '!AE87) &amp; ",",-1&amp; ",")</f>
        <v>-1,</v>
      </c>
      <c r="AF23" t="str">
        <f ca="1">IF('(直掃)Change to adc mapping '!AF87 &lt;&gt;-1,"0x" &amp; DEC2HEX('(直掃)Change to adc mapping '!AF87) &amp; ",",-1&amp; ",")</f>
        <v>-1,</v>
      </c>
      <c r="AG23" t="str">
        <f ca="1">IF('(直掃)Change to adc mapping '!AG87 &lt;&gt;-1,"0x" &amp; DEC2HEX('(直掃)Change to adc mapping '!AG87) &amp; ",",-1&amp; ",")</f>
        <v>-1,</v>
      </c>
      <c r="AH23" t="str">
        <f ca="1">IF('(直掃)Change to adc mapping '!AH87 &lt;&gt;-1,"0x" &amp; DEC2HEX('(直掃)Change to adc mapping '!AH87) &amp; ",",-1&amp; ",")</f>
        <v>-1,</v>
      </c>
      <c r="AI23" t="str">
        <f ca="1">IF('(直掃)Change to adc mapping '!AI87 &lt;&gt;-1,"0x" &amp; DEC2HEX('(直掃)Change to adc mapping '!AI87) &amp; ",",-1&amp; ",")</f>
        <v>-1,</v>
      </c>
      <c r="AJ23" t="str">
        <f ca="1">IF('(直掃)Change to adc mapping '!AJ87 &lt;&gt;-1,"0x" &amp; DEC2HEX('(直掃)Change to adc mapping '!AJ87) &amp; ",",-1&amp; ",")</f>
        <v>-1,</v>
      </c>
      <c r="AK23" t="str">
        <f ca="1">IF('(直掃)Change to adc mapping '!AK87 &lt;&gt;-1,"0x" &amp; DEC2HEX('(直掃)Change to adc mapping '!AK87) &amp; ",",-1&amp; ",")</f>
        <v>-1,</v>
      </c>
      <c r="AL23" t="str">
        <f ca="1">IF('(直掃)Change to adc mapping '!AL87 &lt;&gt;-1,"0x" &amp; DEC2HEX('(直掃)Change to adc mapping '!AL87) &amp; ",",-1&amp; ",")</f>
        <v>-1,</v>
      </c>
      <c r="AM23" t="str">
        <f ca="1">IF('(直掃)Change to adc mapping '!AM87 &lt;&gt;-1,"0x" &amp; DEC2HEX('(直掃)Change to adc mapping '!AM87) &amp; ",",-1&amp; ",")</f>
        <v>-1,</v>
      </c>
      <c r="AN23" t="str">
        <f ca="1">IF('(直掃)Change to adc mapping '!AN87 &lt;&gt;-1,"0x" &amp; DEC2HEX('(直掃)Change to adc mapping '!AN87) &amp; ",",-1&amp; ",")</f>
        <v>-1,</v>
      </c>
      <c r="AO23" t="str">
        <f ca="1">IF('(直掃)Change to adc mapping '!AO87 &lt;&gt;-1,"0x" &amp; DEC2HEX('(直掃)Change to adc mapping '!AO87) &amp; ",",-1&amp; ",")</f>
        <v>-1,</v>
      </c>
      <c r="AP23" t="str">
        <f ca="1">IF('(直掃)Change to adc mapping '!AP87 &lt;&gt;-1,"0x" &amp; DEC2HEX('(直掃)Change to adc mapping '!AP87) &amp; ",",-1&amp; ",")</f>
        <v>-1,</v>
      </c>
      <c r="AQ23" t="str">
        <f ca="1">IF('(直掃)Change to adc mapping '!AQ87 &lt;&gt;-1,"0x" &amp; DEC2HEX('(直掃)Change to adc mapping '!AQ87) &amp; ",",-1&amp; ",")</f>
        <v>-1,</v>
      </c>
      <c r="AR23" t="str">
        <f ca="1">IF('(直掃)Change to adc mapping '!AR87 &lt;&gt;-1,"0x" &amp; DEC2HEX('(直掃)Change to adc mapping '!AR87) &amp; ",",-1&amp; ",")</f>
        <v>-1,</v>
      </c>
      <c r="AS23" t="str">
        <f ca="1">IF('(直掃)Change to adc mapping '!AS87 &lt;&gt;-1,"0x" &amp; DEC2HEX('(直掃)Change to adc mapping '!AS87) &amp; ",",-1&amp; ",")</f>
        <v>-1,</v>
      </c>
      <c r="AT23" t="str">
        <f ca="1">IF('(直掃)Change to adc mapping '!AT87 &lt;&gt;-1,"0x" &amp; DEC2HEX('(直掃)Change to adc mapping '!AT87) &amp; ",",-1&amp; ",")</f>
        <v>-1,</v>
      </c>
      <c r="AU23" t="str">
        <f ca="1">IF('(直掃)Change to adc mapping '!AU87 &lt;&gt;-1,"0x" &amp; DEC2HEX('(直掃)Change to adc mapping '!AU87) &amp; ",",-1&amp; ",")</f>
        <v>-1,</v>
      </c>
      <c r="AV23" t="str">
        <f ca="1">IF('(直掃)Change to adc mapping '!AV87 &lt;&gt;-1,"0x" &amp; DEC2HEX('(直掃)Change to adc mapping '!AV87) &amp; ",",-1&amp; ",")</f>
        <v>-1,</v>
      </c>
      <c r="AW23" t="str">
        <f ca="1">IF('(直掃)Change to adc mapping '!AW87 &lt;&gt;-1,"0x" &amp; DEC2HEX('(直掃)Change to adc mapping '!AW87) &amp; ",",-1&amp; ",")</f>
        <v>-1,</v>
      </c>
      <c r="AX23" t="str">
        <f ca="1">IF('(直掃)Change to adc mapping '!AX87 &lt;&gt;-1,"0x" &amp; DEC2HEX('(直掃)Change to adc mapping '!AX87) &amp; ",",-1&amp; ",")</f>
        <v>-1,</v>
      </c>
      <c r="AY23" t="str">
        <f ca="1">IF('(直掃)Change to adc mapping '!AY87 &lt;&gt;-1,"0x" &amp; DEC2HEX('(直掃)Change to adc mapping '!AY87) &amp; ",",-1&amp; ",")</f>
        <v>-1,</v>
      </c>
      <c r="AZ23" t="str">
        <f ca="1">IF('(直掃)Change to adc mapping '!AZ87 &lt;&gt;-1,"0x" &amp; DEC2HEX('(直掃)Change to adc mapping '!AZ87) &amp; ",",-1&amp; ",")</f>
        <v>-1,</v>
      </c>
      <c r="BA23" t="str">
        <f ca="1">IF('(直掃)Change to adc mapping '!BA87 &lt;&gt;-1,"0x" &amp; DEC2HEX('(直掃)Change to adc mapping '!BA87) &amp; ",",-1&amp; ",")</f>
        <v>-1,</v>
      </c>
      <c r="BB23" t="str">
        <f ca="1">IF('(直掃)Change to adc mapping '!BB87 &lt;&gt;-1,"0x" &amp; DEC2HEX('(直掃)Change to adc mapping '!BB87) &amp; ",",-1&amp; ",")</f>
        <v>-1,</v>
      </c>
      <c r="BC23" t="str">
        <f ca="1">IF('(直掃)Change to adc mapping '!BC87 &lt;&gt;-1,"0x" &amp; DEC2HEX('(直掃)Change to adc mapping '!BC87) &amp; ",",-1&amp; ",")</f>
        <v>-1,</v>
      </c>
      <c r="BD23" t="str">
        <f ca="1">IF('(直掃)Change to adc mapping '!BD87 &lt;&gt;-1,"0x" &amp; DEC2HEX('(直掃)Change to adc mapping '!BD87) &amp; ",",-1&amp; ",")</f>
        <v>-1,</v>
      </c>
      <c r="BE23" t="str">
        <f ca="1">IF('(直掃)Change to adc mapping '!BE87 &lt;&gt;-1,"0x" &amp; DEC2HEX('(直掃)Change to adc mapping '!BE87) &amp; ",",-1&amp; ",")</f>
        <v>-1,</v>
      </c>
      <c r="BF23" t="str">
        <f ca="1">IF('(直掃)Change to adc mapping '!BF87 &lt;&gt;-1,"0x" &amp; DEC2HEX('(直掃)Change to adc mapping '!BF87) &amp; ",",-1&amp; ",")</f>
        <v>-1,</v>
      </c>
      <c r="BG23" t="str">
        <f ca="1">IF('(直掃)Change to adc mapping '!BG87 &lt;&gt;-1,"0x" &amp; DEC2HEX('(直掃)Change to adc mapping '!BG87) &amp; ",",-1&amp; ",")</f>
        <v>-1,</v>
      </c>
      <c r="BH23" t="str">
        <f ca="1">IF('(直掃)Change to adc mapping '!BH87 &lt;&gt;-1,"0x" &amp; DEC2HEX('(直掃)Change to adc mapping '!BH87) &amp; ",",-1&amp; ",")</f>
        <v>-1,</v>
      </c>
      <c r="BI23" t="str">
        <f ca="1">IF('(直掃)Change to adc mapping '!BI87 &lt;&gt;-1,"0x" &amp; DEC2HEX('(直掃)Change to adc mapping '!BI87) &amp; ",",-1&amp; ",")</f>
        <v>-1,</v>
      </c>
    </row>
    <row r="24" spans="1:61" x14ac:dyDescent="0.25">
      <c r="A24" s="20">
        <v>23</v>
      </c>
      <c r="B24" t="str">
        <f ca="1">'(直掃)Change to adc mapping '!B88 &amp; ","</f>
        <v>9999,</v>
      </c>
      <c r="C24" t="str">
        <f ca="1">'(直掃)Change to adc mapping '!C88 &amp; ","</f>
        <v>9999,</v>
      </c>
      <c r="D24" t="str">
        <f ca="1">'(直掃)Change to adc mapping '!D88 &amp; ","</f>
        <v>9999,</v>
      </c>
      <c r="E24" t="str">
        <f ca="1">'(直掃)Change to adc mapping '!E88 &amp; ","</f>
        <v>9999,</v>
      </c>
      <c r="F24" t="str">
        <f ca="1">'(直掃)Change to adc mapping '!F88 &amp; ","</f>
        <v>9999,</v>
      </c>
      <c r="G24" t="str">
        <f ca="1">'(直掃)Change to adc mapping '!G88 &amp; ","</f>
        <v>9999,</v>
      </c>
      <c r="H24" t="str">
        <f ca="1">'(直掃)Change to adc mapping '!H88 &amp; ","</f>
        <v>9999,</v>
      </c>
      <c r="I24" t="str">
        <f ca="1">'(直掃)Change to adc mapping '!I88 &amp; ","</f>
        <v>9999,</v>
      </c>
      <c r="J24" t="str">
        <f ca="1">'(直掃)Change to adc mapping '!J88 &amp; ","</f>
        <v>9999,</v>
      </c>
      <c r="K24" t="str">
        <f ca="1">'(直掃)Change to adc mapping '!K88 &amp; ","</f>
        <v>9999,</v>
      </c>
      <c r="L24" t="str">
        <f ca="1">'(直掃)Change to adc mapping '!L88 &amp; ","</f>
        <v>9999,</v>
      </c>
      <c r="M24" t="str">
        <f ca="1">'(直掃)Change to adc mapping '!M88 &amp; ","</f>
        <v>9999,</v>
      </c>
      <c r="N24" t="str">
        <f ca="1">'(直掃)Change to adc mapping '!N88 &amp; ","</f>
        <v>9999,</v>
      </c>
      <c r="O24" t="str">
        <f ca="1">'(直掃)Change to adc mapping '!O88 &amp; ","</f>
        <v>9999,</v>
      </c>
      <c r="P24" t="str">
        <f ca="1">'(直掃)Change to adc mapping '!P88 &amp; ","</f>
        <v>9999,</v>
      </c>
      <c r="Q24" t="str">
        <f ca="1">'(直掃)Change to adc mapping '!Q88 &amp; ","</f>
        <v>9999,</v>
      </c>
      <c r="R24" t="str">
        <f ca="1">'(直掃)Change to adc mapping '!R88 &amp; ","</f>
        <v>9999,</v>
      </c>
      <c r="S24" t="str">
        <f ca="1">'(直掃)Change to adc mapping '!S88 &amp; ","</f>
        <v>9999,</v>
      </c>
      <c r="T24" t="str">
        <f ca="1">'(直掃)Change to adc mapping '!T88 &amp; ","</f>
        <v>9999,</v>
      </c>
      <c r="U24" t="str">
        <f ca="1">'(直掃)Change to adc mapping '!U88 &amp; ","</f>
        <v>9999,</v>
      </c>
      <c r="V24" t="str">
        <f ca="1">'(直掃)Change to adc mapping '!V88 &amp; ","</f>
        <v>9999,</v>
      </c>
      <c r="W24" t="str">
        <f ca="1">'(直掃)Change to adc mapping '!W88 &amp; ","</f>
        <v>9999,</v>
      </c>
      <c r="X24" t="str">
        <f ca="1">'(直掃)Change to adc mapping '!X88 &amp; ","</f>
        <v>9999,</v>
      </c>
      <c r="Y24" t="str">
        <f ca="1">IF('(直掃)Change to adc mapping '!Y88 &lt;&gt;-1,"0x" &amp; DEC2HEX('(直掃)Change to adc mapping '!Y88) &amp; ",",-1&amp; ",")</f>
        <v>-1,</v>
      </c>
      <c r="Z24" t="str">
        <f ca="1">IF('(直掃)Change to adc mapping '!Z88 &lt;&gt;-1,"0x" &amp; DEC2HEX('(直掃)Change to adc mapping '!Z88) &amp; ",",-1&amp; ",")</f>
        <v>-1,</v>
      </c>
      <c r="AA24" t="str">
        <f ca="1">IF('(直掃)Change to adc mapping '!AA88 &lt;&gt;-1,"0x" &amp; DEC2HEX('(直掃)Change to adc mapping '!AA88) &amp; ",",-1&amp; ",")</f>
        <v>-1,</v>
      </c>
      <c r="AB24" t="str">
        <f ca="1">IF('(直掃)Change to adc mapping '!AB88 &lt;&gt;-1,"0x" &amp; DEC2HEX('(直掃)Change to adc mapping '!AB88) &amp; ",",-1&amp; ",")</f>
        <v>-1,</v>
      </c>
      <c r="AC24" t="str">
        <f ca="1">IF('(直掃)Change to adc mapping '!AC88 &lt;&gt;-1,"0x" &amp; DEC2HEX('(直掃)Change to adc mapping '!AC88) &amp; ",",-1&amp; ",")</f>
        <v>-1,</v>
      </c>
      <c r="AD24" t="str">
        <f ca="1">IF('(直掃)Change to adc mapping '!AD88 &lt;&gt;-1,"0x" &amp; DEC2HEX('(直掃)Change to adc mapping '!AD88) &amp; ",",-1&amp; ",")</f>
        <v>-1,</v>
      </c>
      <c r="AE24" t="str">
        <f ca="1">IF('(直掃)Change to adc mapping '!AE88 &lt;&gt;-1,"0x" &amp; DEC2HEX('(直掃)Change to adc mapping '!AE88) &amp; ",",-1&amp; ",")</f>
        <v>-1,</v>
      </c>
      <c r="AF24" t="str">
        <f ca="1">IF('(直掃)Change to adc mapping '!AF88 &lt;&gt;-1,"0x" &amp; DEC2HEX('(直掃)Change to adc mapping '!AF88) &amp; ",",-1&amp; ",")</f>
        <v>-1,</v>
      </c>
      <c r="AG24" t="str">
        <f ca="1">IF('(直掃)Change to adc mapping '!AG88 &lt;&gt;-1,"0x" &amp; DEC2HEX('(直掃)Change to adc mapping '!AG88) &amp; ",",-1&amp; ",")</f>
        <v>-1,</v>
      </c>
      <c r="AH24" t="str">
        <f ca="1">IF('(直掃)Change to adc mapping '!AH88 &lt;&gt;-1,"0x" &amp; DEC2HEX('(直掃)Change to adc mapping '!AH88) &amp; ",",-1&amp; ",")</f>
        <v>-1,</v>
      </c>
      <c r="AI24" t="str">
        <f ca="1">IF('(直掃)Change to adc mapping '!AI88 &lt;&gt;-1,"0x" &amp; DEC2HEX('(直掃)Change to adc mapping '!AI88) &amp; ",",-1&amp; ",")</f>
        <v>-1,</v>
      </c>
      <c r="AJ24" t="str">
        <f ca="1">IF('(直掃)Change to adc mapping '!AJ88 &lt;&gt;-1,"0x" &amp; DEC2HEX('(直掃)Change to adc mapping '!AJ88) &amp; ",",-1&amp; ",")</f>
        <v>-1,</v>
      </c>
      <c r="AK24" t="str">
        <f ca="1">IF('(直掃)Change to adc mapping '!AK88 &lt;&gt;-1,"0x" &amp; DEC2HEX('(直掃)Change to adc mapping '!AK88) &amp; ",",-1&amp; ",")</f>
        <v>-1,</v>
      </c>
      <c r="AL24" t="str">
        <f ca="1">IF('(直掃)Change to adc mapping '!AL88 &lt;&gt;-1,"0x" &amp; DEC2HEX('(直掃)Change to adc mapping '!AL88) &amp; ",",-1&amp; ",")</f>
        <v>-1,</v>
      </c>
      <c r="AM24" t="str">
        <f ca="1">IF('(直掃)Change to adc mapping '!AM88 &lt;&gt;-1,"0x" &amp; DEC2HEX('(直掃)Change to adc mapping '!AM88) &amp; ",",-1&amp; ",")</f>
        <v>-1,</v>
      </c>
      <c r="AN24" t="str">
        <f ca="1">IF('(直掃)Change to adc mapping '!AN88 &lt;&gt;-1,"0x" &amp; DEC2HEX('(直掃)Change to adc mapping '!AN88) &amp; ",",-1&amp; ",")</f>
        <v>-1,</v>
      </c>
      <c r="AO24" t="str">
        <f ca="1">IF('(直掃)Change to adc mapping '!AO88 &lt;&gt;-1,"0x" &amp; DEC2HEX('(直掃)Change to adc mapping '!AO88) &amp; ",",-1&amp; ",")</f>
        <v>-1,</v>
      </c>
      <c r="AP24" t="str">
        <f ca="1">IF('(直掃)Change to adc mapping '!AP88 &lt;&gt;-1,"0x" &amp; DEC2HEX('(直掃)Change to adc mapping '!AP88) &amp; ",",-1&amp; ",")</f>
        <v>-1,</v>
      </c>
      <c r="AQ24" t="str">
        <f ca="1">IF('(直掃)Change to adc mapping '!AQ88 &lt;&gt;-1,"0x" &amp; DEC2HEX('(直掃)Change to adc mapping '!AQ88) &amp; ",",-1&amp; ",")</f>
        <v>-1,</v>
      </c>
      <c r="AR24" t="str">
        <f ca="1">IF('(直掃)Change to adc mapping '!AR88 &lt;&gt;-1,"0x" &amp; DEC2HEX('(直掃)Change to adc mapping '!AR88) &amp; ",",-1&amp; ",")</f>
        <v>-1,</v>
      </c>
      <c r="AS24" t="str">
        <f ca="1">IF('(直掃)Change to adc mapping '!AS88 &lt;&gt;-1,"0x" &amp; DEC2HEX('(直掃)Change to adc mapping '!AS88) &amp; ",",-1&amp; ",")</f>
        <v>-1,</v>
      </c>
      <c r="AT24" t="str">
        <f ca="1">IF('(直掃)Change to adc mapping '!AT88 &lt;&gt;-1,"0x" &amp; DEC2HEX('(直掃)Change to adc mapping '!AT88) &amp; ",",-1&amp; ",")</f>
        <v>-1,</v>
      </c>
      <c r="AU24" t="str">
        <f ca="1">IF('(直掃)Change to adc mapping '!AU88 &lt;&gt;-1,"0x" &amp; DEC2HEX('(直掃)Change to adc mapping '!AU88) &amp; ",",-1&amp; ",")</f>
        <v>-1,</v>
      </c>
      <c r="AV24" t="str">
        <f ca="1">IF('(直掃)Change to adc mapping '!AV88 &lt;&gt;-1,"0x" &amp; DEC2HEX('(直掃)Change to adc mapping '!AV88) &amp; ",",-1&amp; ",")</f>
        <v>-1,</v>
      </c>
      <c r="AW24" t="str">
        <f ca="1">IF('(直掃)Change to adc mapping '!AW88 &lt;&gt;-1,"0x" &amp; DEC2HEX('(直掃)Change to adc mapping '!AW88) &amp; ",",-1&amp; ",")</f>
        <v>-1,</v>
      </c>
      <c r="AX24" t="str">
        <f ca="1">IF('(直掃)Change to adc mapping '!AX88 &lt;&gt;-1,"0x" &amp; DEC2HEX('(直掃)Change to adc mapping '!AX88) &amp; ",",-1&amp; ",")</f>
        <v>-1,</v>
      </c>
      <c r="AY24" t="str">
        <f ca="1">IF('(直掃)Change to adc mapping '!AY88 &lt;&gt;-1,"0x" &amp; DEC2HEX('(直掃)Change to adc mapping '!AY88) &amp; ",",-1&amp; ",")</f>
        <v>-1,</v>
      </c>
      <c r="AZ24" t="str">
        <f ca="1">IF('(直掃)Change to adc mapping '!AZ88 &lt;&gt;-1,"0x" &amp; DEC2HEX('(直掃)Change to adc mapping '!AZ88) &amp; ",",-1&amp; ",")</f>
        <v>-1,</v>
      </c>
      <c r="BA24" t="str">
        <f ca="1">IF('(直掃)Change to adc mapping '!BA88 &lt;&gt;-1,"0x" &amp; DEC2HEX('(直掃)Change to adc mapping '!BA88) &amp; ",",-1&amp; ",")</f>
        <v>-1,</v>
      </c>
      <c r="BB24" t="str">
        <f ca="1">IF('(直掃)Change to adc mapping '!BB88 &lt;&gt;-1,"0x" &amp; DEC2HEX('(直掃)Change to adc mapping '!BB88) &amp; ",",-1&amp; ",")</f>
        <v>-1,</v>
      </c>
      <c r="BC24" t="str">
        <f ca="1">IF('(直掃)Change to adc mapping '!BC88 &lt;&gt;-1,"0x" &amp; DEC2HEX('(直掃)Change to adc mapping '!BC88) &amp; ",",-1&amp; ",")</f>
        <v>-1,</v>
      </c>
      <c r="BD24" t="str">
        <f ca="1">IF('(直掃)Change to adc mapping '!BD88 &lt;&gt;-1,"0x" &amp; DEC2HEX('(直掃)Change to adc mapping '!BD88) &amp; ",",-1&amp; ",")</f>
        <v>-1,</v>
      </c>
      <c r="BE24" t="str">
        <f ca="1">IF('(直掃)Change to adc mapping '!BE88 &lt;&gt;-1,"0x" &amp; DEC2HEX('(直掃)Change to adc mapping '!BE88) &amp; ",",-1&amp; ",")</f>
        <v>-1,</v>
      </c>
      <c r="BF24" t="str">
        <f ca="1">IF('(直掃)Change to adc mapping '!BF88 &lt;&gt;-1,"0x" &amp; DEC2HEX('(直掃)Change to adc mapping '!BF88) &amp; ",",-1&amp; ",")</f>
        <v>-1,</v>
      </c>
      <c r="BG24" t="str">
        <f ca="1">IF('(直掃)Change to adc mapping '!BG88 &lt;&gt;-1,"0x" &amp; DEC2HEX('(直掃)Change to adc mapping '!BG88) &amp; ",",-1&amp; ",")</f>
        <v>-1,</v>
      </c>
      <c r="BH24" t="str">
        <f ca="1">IF('(直掃)Change to adc mapping '!BH88 &lt;&gt;-1,"0x" &amp; DEC2HEX('(直掃)Change to adc mapping '!BH88) &amp; ",",-1&amp; ",")</f>
        <v>-1,</v>
      </c>
      <c r="BI24" t="str">
        <f ca="1">IF('(直掃)Change to adc mapping '!BI88 &lt;&gt;-1,"0x" &amp; DEC2HEX('(直掃)Change to adc mapping '!BI88) &amp; ",",-1&amp; ",")</f>
        <v>-1,</v>
      </c>
    </row>
    <row r="25" spans="1:61" x14ac:dyDescent="0.25">
      <c r="A25" s="20">
        <v>24</v>
      </c>
      <c r="B25" t="str">
        <f ca="1">'(直掃)Change to adc mapping '!B89 &amp; ","</f>
        <v>9999,</v>
      </c>
      <c r="C25" t="str">
        <f ca="1">'(直掃)Change to adc mapping '!C89 &amp; ","</f>
        <v>9999,</v>
      </c>
      <c r="D25" t="str">
        <f ca="1">'(直掃)Change to adc mapping '!D89 &amp; ","</f>
        <v>9999,</v>
      </c>
      <c r="E25" t="str">
        <f ca="1">'(直掃)Change to adc mapping '!E89 &amp; ","</f>
        <v>9999,</v>
      </c>
      <c r="F25" t="str">
        <f ca="1">'(直掃)Change to adc mapping '!F89 &amp; ","</f>
        <v>9999,</v>
      </c>
      <c r="G25" t="str">
        <f ca="1">'(直掃)Change to adc mapping '!G89 &amp; ","</f>
        <v>9999,</v>
      </c>
      <c r="H25" t="str">
        <f ca="1">'(直掃)Change to adc mapping '!H89 &amp; ","</f>
        <v>9999,</v>
      </c>
      <c r="I25" t="str">
        <f ca="1">'(直掃)Change to adc mapping '!I89 &amp; ","</f>
        <v>9999,</v>
      </c>
      <c r="J25" t="str">
        <f ca="1">'(直掃)Change to adc mapping '!J89 &amp; ","</f>
        <v>9999,</v>
      </c>
      <c r="K25" t="str">
        <f ca="1">'(直掃)Change to adc mapping '!K89 &amp; ","</f>
        <v>9999,</v>
      </c>
      <c r="L25" t="str">
        <f ca="1">'(直掃)Change to adc mapping '!L89 &amp; ","</f>
        <v>9999,</v>
      </c>
      <c r="M25" t="str">
        <f ca="1">'(直掃)Change to adc mapping '!M89 &amp; ","</f>
        <v>9999,</v>
      </c>
      <c r="N25" t="str">
        <f ca="1">'(直掃)Change to adc mapping '!N89 &amp; ","</f>
        <v>9999,</v>
      </c>
      <c r="O25" t="str">
        <f ca="1">'(直掃)Change to adc mapping '!O89 &amp; ","</f>
        <v>9999,</v>
      </c>
      <c r="P25" t="str">
        <f ca="1">'(直掃)Change to adc mapping '!P89 &amp; ","</f>
        <v>9999,</v>
      </c>
      <c r="Q25" t="str">
        <f ca="1">'(直掃)Change to adc mapping '!Q89 &amp; ","</f>
        <v>9999,</v>
      </c>
      <c r="R25" t="str">
        <f ca="1">'(直掃)Change to adc mapping '!R89 &amp; ","</f>
        <v>9999,</v>
      </c>
      <c r="S25" t="str">
        <f ca="1">'(直掃)Change to adc mapping '!S89 &amp; ","</f>
        <v>9999,</v>
      </c>
      <c r="T25" t="str">
        <f ca="1">'(直掃)Change to adc mapping '!T89 &amp; ","</f>
        <v>9999,</v>
      </c>
      <c r="U25" t="str">
        <f ca="1">'(直掃)Change to adc mapping '!U89 &amp; ","</f>
        <v>9999,</v>
      </c>
      <c r="V25" t="str">
        <f ca="1">'(直掃)Change to adc mapping '!V89 &amp; ","</f>
        <v>9999,</v>
      </c>
      <c r="W25" t="str">
        <f ca="1">'(直掃)Change to adc mapping '!W89 &amp; ","</f>
        <v>9999,</v>
      </c>
      <c r="X25" t="str">
        <f ca="1">'(直掃)Change to adc mapping '!X89 &amp; ","</f>
        <v>9999,</v>
      </c>
      <c r="Y25" t="str">
        <f ca="1">IF('(直掃)Change to adc mapping '!Y89 &lt;&gt;-1,"0x" &amp; DEC2HEX('(直掃)Change to adc mapping '!Y89) &amp; ",",-1&amp; ",")</f>
        <v>-1,</v>
      </c>
      <c r="Z25" t="str">
        <f ca="1">IF('(直掃)Change to adc mapping '!Z89 &lt;&gt;-1,"0x" &amp; DEC2HEX('(直掃)Change to adc mapping '!Z89) &amp; ",",-1&amp; ",")</f>
        <v>-1,</v>
      </c>
      <c r="AA25" t="str">
        <f ca="1">IF('(直掃)Change to adc mapping '!AA89 &lt;&gt;-1,"0x" &amp; DEC2HEX('(直掃)Change to adc mapping '!AA89) &amp; ",",-1&amp; ",")</f>
        <v>-1,</v>
      </c>
      <c r="AB25" t="str">
        <f ca="1">IF('(直掃)Change to adc mapping '!AB89 &lt;&gt;-1,"0x" &amp; DEC2HEX('(直掃)Change to adc mapping '!AB89) &amp; ",",-1&amp; ",")</f>
        <v>-1,</v>
      </c>
      <c r="AC25" t="str">
        <f ca="1">IF('(直掃)Change to adc mapping '!AC89 &lt;&gt;-1,"0x" &amp; DEC2HEX('(直掃)Change to adc mapping '!AC89) &amp; ",",-1&amp; ",")</f>
        <v>-1,</v>
      </c>
      <c r="AD25" t="str">
        <f ca="1">IF('(直掃)Change to adc mapping '!AD89 &lt;&gt;-1,"0x" &amp; DEC2HEX('(直掃)Change to adc mapping '!AD89) &amp; ",",-1&amp; ",")</f>
        <v>-1,</v>
      </c>
      <c r="AE25" t="str">
        <f ca="1">IF('(直掃)Change to adc mapping '!AE89 &lt;&gt;-1,"0x" &amp; DEC2HEX('(直掃)Change to adc mapping '!AE89) &amp; ",",-1&amp; ",")</f>
        <v>-1,</v>
      </c>
      <c r="AF25" t="str">
        <f ca="1">IF('(直掃)Change to adc mapping '!AF89 &lt;&gt;-1,"0x" &amp; DEC2HEX('(直掃)Change to adc mapping '!AF89) &amp; ",",-1&amp; ",")</f>
        <v>-1,</v>
      </c>
      <c r="AG25" t="str">
        <f ca="1">IF('(直掃)Change to adc mapping '!AG89 &lt;&gt;-1,"0x" &amp; DEC2HEX('(直掃)Change to adc mapping '!AG89) &amp; ",",-1&amp; ",")</f>
        <v>-1,</v>
      </c>
      <c r="AH25" t="str">
        <f ca="1">IF('(直掃)Change to adc mapping '!AH89 &lt;&gt;-1,"0x" &amp; DEC2HEX('(直掃)Change to adc mapping '!AH89) &amp; ",",-1&amp; ",")</f>
        <v>-1,</v>
      </c>
      <c r="AI25" t="str">
        <f ca="1">IF('(直掃)Change to adc mapping '!AI89 &lt;&gt;-1,"0x" &amp; DEC2HEX('(直掃)Change to adc mapping '!AI89) &amp; ",",-1&amp; ",")</f>
        <v>-1,</v>
      </c>
      <c r="AJ25" t="str">
        <f ca="1">IF('(直掃)Change to adc mapping '!AJ89 &lt;&gt;-1,"0x" &amp; DEC2HEX('(直掃)Change to adc mapping '!AJ89) &amp; ",",-1&amp; ",")</f>
        <v>-1,</v>
      </c>
      <c r="AK25" t="str">
        <f ca="1">IF('(直掃)Change to adc mapping '!AK89 &lt;&gt;-1,"0x" &amp; DEC2HEX('(直掃)Change to adc mapping '!AK89) &amp; ",",-1&amp; ",")</f>
        <v>-1,</v>
      </c>
      <c r="AL25" t="str">
        <f ca="1">IF('(直掃)Change to adc mapping '!AL89 &lt;&gt;-1,"0x" &amp; DEC2HEX('(直掃)Change to adc mapping '!AL89) &amp; ",",-1&amp; ",")</f>
        <v>-1,</v>
      </c>
      <c r="AM25" t="str">
        <f ca="1">IF('(直掃)Change to adc mapping '!AM89 &lt;&gt;-1,"0x" &amp; DEC2HEX('(直掃)Change to adc mapping '!AM89) &amp; ",",-1&amp; ",")</f>
        <v>-1,</v>
      </c>
      <c r="AN25" t="str">
        <f ca="1">IF('(直掃)Change to adc mapping '!AN89 &lt;&gt;-1,"0x" &amp; DEC2HEX('(直掃)Change to adc mapping '!AN89) &amp; ",",-1&amp; ",")</f>
        <v>-1,</v>
      </c>
      <c r="AO25" t="str">
        <f ca="1">IF('(直掃)Change to adc mapping '!AO89 &lt;&gt;-1,"0x" &amp; DEC2HEX('(直掃)Change to adc mapping '!AO89) &amp; ",",-1&amp; ",")</f>
        <v>-1,</v>
      </c>
      <c r="AP25" t="str">
        <f ca="1">IF('(直掃)Change to adc mapping '!AP89 &lt;&gt;-1,"0x" &amp; DEC2HEX('(直掃)Change to adc mapping '!AP89) &amp; ",",-1&amp; ",")</f>
        <v>-1,</v>
      </c>
      <c r="AQ25" t="str">
        <f ca="1">IF('(直掃)Change to adc mapping '!AQ89 &lt;&gt;-1,"0x" &amp; DEC2HEX('(直掃)Change to adc mapping '!AQ89) &amp; ",",-1&amp; ",")</f>
        <v>-1,</v>
      </c>
      <c r="AR25" t="str">
        <f ca="1">IF('(直掃)Change to adc mapping '!AR89 &lt;&gt;-1,"0x" &amp; DEC2HEX('(直掃)Change to adc mapping '!AR89) &amp; ",",-1&amp; ",")</f>
        <v>-1,</v>
      </c>
      <c r="AS25" t="str">
        <f ca="1">IF('(直掃)Change to adc mapping '!AS89 &lt;&gt;-1,"0x" &amp; DEC2HEX('(直掃)Change to adc mapping '!AS89) &amp; ",",-1&amp; ",")</f>
        <v>-1,</v>
      </c>
      <c r="AT25" t="str">
        <f ca="1">IF('(直掃)Change to adc mapping '!AT89 &lt;&gt;-1,"0x" &amp; DEC2HEX('(直掃)Change to adc mapping '!AT89) &amp; ",",-1&amp; ",")</f>
        <v>-1,</v>
      </c>
      <c r="AU25" t="str">
        <f ca="1">IF('(直掃)Change to adc mapping '!AU89 &lt;&gt;-1,"0x" &amp; DEC2HEX('(直掃)Change to adc mapping '!AU89) &amp; ",",-1&amp; ",")</f>
        <v>-1,</v>
      </c>
      <c r="AV25" t="str">
        <f ca="1">IF('(直掃)Change to adc mapping '!AV89 &lt;&gt;-1,"0x" &amp; DEC2HEX('(直掃)Change to adc mapping '!AV89) &amp; ",",-1&amp; ",")</f>
        <v>-1,</v>
      </c>
      <c r="AW25" t="str">
        <f ca="1">IF('(直掃)Change to adc mapping '!AW89 &lt;&gt;-1,"0x" &amp; DEC2HEX('(直掃)Change to adc mapping '!AW89) &amp; ",",-1&amp; ",")</f>
        <v>-1,</v>
      </c>
      <c r="AX25" t="str">
        <f ca="1">IF('(直掃)Change to adc mapping '!AX89 &lt;&gt;-1,"0x" &amp; DEC2HEX('(直掃)Change to adc mapping '!AX89) &amp; ",",-1&amp; ",")</f>
        <v>-1,</v>
      </c>
      <c r="AY25" t="str">
        <f ca="1">IF('(直掃)Change to adc mapping '!AY89 &lt;&gt;-1,"0x" &amp; DEC2HEX('(直掃)Change to adc mapping '!AY89) &amp; ",",-1&amp; ",")</f>
        <v>-1,</v>
      </c>
      <c r="AZ25" t="str">
        <f ca="1">IF('(直掃)Change to adc mapping '!AZ89 &lt;&gt;-1,"0x" &amp; DEC2HEX('(直掃)Change to adc mapping '!AZ89) &amp; ",",-1&amp; ",")</f>
        <v>-1,</v>
      </c>
      <c r="BA25" t="str">
        <f ca="1">IF('(直掃)Change to adc mapping '!BA89 &lt;&gt;-1,"0x" &amp; DEC2HEX('(直掃)Change to adc mapping '!BA89) &amp; ",",-1&amp; ",")</f>
        <v>-1,</v>
      </c>
      <c r="BB25" t="str">
        <f ca="1">IF('(直掃)Change to adc mapping '!BB89 &lt;&gt;-1,"0x" &amp; DEC2HEX('(直掃)Change to adc mapping '!BB89) &amp; ",",-1&amp; ",")</f>
        <v>-1,</v>
      </c>
      <c r="BC25" t="str">
        <f ca="1">IF('(直掃)Change to adc mapping '!BC89 &lt;&gt;-1,"0x" &amp; DEC2HEX('(直掃)Change to adc mapping '!BC89) &amp; ",",-1&amp; ",")</f>
        <v>-1,</v>
      </c>
      <c r="BD25" t="str">
        <f ca="1">IF('(直掃)Change to adc mapping '!BD89 &lt;&gt;-1,"0x" &amp; DEC2HEX('(直掃)Change to adc mapping '!BD89) &amp; ",",-1&amp; ",")</f>
        <v>-1,</v>
      </c>
      <c r="BE25" t="str">
        <f ca="1">IF('(直掃)Change to adc mapping '!BE89 &lt;&gt;-1,"0x" &amp; DEC2HEX('(直掃)Change to adc mapping '!BE89) &amp; ",",-1&amp; ",")</f>
        <v>-1,</v>
      </c>
      <c r="BF25" t="str">
        <f ca="1">IF('(直掃)Change to adc mapping '!BF89 &lt;&gt;-1,"0x" &amp; DEC2HEX('(直掃)Change to adc mapping '!BF89) &amp; ",",-1&amp; ",")</f>
        <v>-1,</v>
      </c>
      <c r="BG25" t="str">
        <f ca="1">IF('(直掃)Change to adc mapping '!BG89 &lt;&gt;-1,"0x" &amp; DEC2HEX('(直掃)Change to adc mapping '!BG89) &amp; ",",-1&amp; ",")</f>
        <v>-1,</v>
      </c>
      <c r="BH25" t="str">
        <f ca="1">IF('(直掃)Change to adc mapping '!BH89 &lt;&gt;-1,"0x" &amp; DEC2HEX('(直掃)Change to adc mapping '!BH89) &amp; ",",-1&amp; ",")</f>
        <v>-1,</v>
      </c>
      <c r="BI25" t="str">
        <f ca="1">IF('(直掃)Change to adc mapping '!BI89 &lt;&gt;-1,"0x" &amp; DEC2HEX('(直掃)Change to adc mapping '!BI89) &amp; ",",-1&amp; ",")</f>
        <v>-1,</v>
      </c>
    </row>
    <row r="26" spans="1:61" x14ac:dyDescent="0.25">
      <c r="A26" s="20">
        <v>25</v>
      </c>
      <c r="B26" t="str">
        <f ca="1">'(直掃)Change to adc mapping '!B90 &amp; ","</f>
        <v>9999,</v>
      </c>
      <c r="C26" t="str">
        <f ca="1">'(直掃)Change to adc mapping '!C90 &amp; ","</f>
        <v>9999,</v>
      </c>
      <c r="D26" t="str">
        <f ca="1">'(直掃)Change to adc mapping '!D90 &amp; ","</f>
        <v>9999,</v>
      </c>
      <c r="E26" t="str">
        <f ca="1">'(直掃)Change to adc mapping '!E90 &amp; ","</f>
        <v>9999,</v>
      </c>
      <c r="F26" t="str">
        <f ca="1">'(直掃)Change to adc mapping '!F90 &amp; ","</f>
        <v>9999,</v>
      </c>
      <c r="G26" t="str">
        <f ca="1">'(直掃)Change to adc mapping '!G90 &amp; ","</f>
        <v>9999,</v>
      </c>
      <c r="H26" t="str">
        <f ca="1">'(直掃)Change to adc mapping '!H90 &amp; ","</f>
        <v>9999,</v>
      </c>
      <c r="I26" t="str">
        <f ca="1">'(直掃)Change to adc mapping '!I90 &amp; ","</f>
        <v>9999,</v>
      </c>
      <c r="J26" t="str">
        <f ca="1">'(直掃)Change to adc mapping '!J90 &amp; ","</f>
        <v>9999,</v>
      </c>
      <c r="K26" t="str">
        <f ca="1">'(直掃)Change to adc mapping '!K90 &amp; ","</f>
        <v>9999,</v>
      </c>
      <c r="L26" t="str">
        <f ca="1">'(直掃)Change to adc mapping '!L90 &amp; ","</f>
        <v>9999,</v>
      </c>
      <c r="M26" t="str">
        <f ca="1">'(直掃)Change to adc mapping '!M90 &amp; ","</f>
        <v>9999,</v>
      </c>
      <c r="N26" t="str">
        <f ca="1">'(直掃)Change to adc mapping '!N90 &amp; ","</f>
        <v>9999,</v>
      </c>
      <c r="O26" t="str">
        <f ca="1">'(直掃)Change to adc mapping '!O90 &amp; ","</f>
        <v>9999,</v>
      </c>
      <c r="P26" t="str">
        <f ca="1">'(直掃)Change to adc mapping '!P90 &amp; ","</f>
        <v>9999,</v>
      </c>
      <c r="Q26" t="str">
        <f ca="1">'(直掃)Change to adc mapping '!Q90 &amp; ","</f>
        <v>9999,</v>
      </c>
      <c r="R26" t="str">
        <f ca="1">'(直掃)Change to adc mapping '!R90 &amp; ","</f>
        <v>9999,</v>
      </c>
      <c r="S26" t="str">
        <f ca="1">'(直掃)Change to adc mapping '!S90 &amp; ","</f>
        <v>9999,</v>
      </c>
      <c r="T26" t="str">
        <f ca="1">'(直掃)Change to adc mapping '!T90 &amp; ","</f>
        <v>9999,</v>
      </c>
      <c r="U26" t="str">
        <f ca="1">'(直掃)Change to adc mapping '!U90 &amp; ","</f>
        <v>9999,</v>
      </c>
      <c r="V26" t="str">
        <f ca="1">'(直掃)Change to adc mapping '!V90 &amp; ","</f>
        <v>9999,</v>
      </c>
      <c r="W26" t="str">
        <f ca="1">'(直掃)Change to adc mapping '!W90 &amp; ","</f>
        <v>9999,</v>
      </c>
      <c r="X26" t="str">
        <f ca="1">'(直掃)Change to adc mapping '!X90 &amp; ","</f>
        <v>9999,</v>
      </c>
      <c r="Y26" t="str">
        <f ca="1">IF('(直掃)Change to adc mapping '!Y90 &lt;&gt;-1,"0x" &amp; DEC2HEX('(直掃)Change to adc mapping '!Y90) &amp; ",",-1&amp; ",")</f>
        <v>-1,</v>
      </c>
      <c r="Z26" t="str">
        <f ca="1">IF('(直掃)Change to adc mapping '!Z90 &lt;&gt;-1,"0x" &amp; DEC2HEX('(直掃)Change to adc mapping '!Z90) &amp; ",",-1&amp; ",")</f>
        <v>-1,</v>
      </c>
      <c r="AA26" t="str">
        <f ca="1">IF('(直掃)Change to adc mapping '!AA90 &lt;&gt;-1,"0x" &amp; DEC2HEX('(直掃)Change to adc mapping '!AA90) &amp; ",",-1&amp; ",")</f>
        <v>-1,</v>
      </c>
      <c r="AB26" t="str">
        <f ca="1">IF('(直掃)Change to adc mapping '!AB90 &lt;&gt;-1,"0x" &amp; DEC2HEX('(直掃)Change to adc mapping '!AB90) &amp; ",",-1&amp; ",")</f>
        <v>-1,</v>
      </c>
      <c r="AC26" t="str">
        <f ca="1">IF('(直掃)Change to adc mapping '!AC90 &lt;&gt;-1,"0x" &amp; DEC2HEX('(直掃)Change to adc mapping '!AC90) &amp; ",",-1&amp; ",")</f>
        <v>-1,</v>
      </c>
      <c r="AD26" t="str">
        <f ca="1">IF('(直掃)Change to adc mapping '!AD90 &lt;&gt;-1,"0x" &amp; DEC2HEX('(直掃)Change to adc mapping '!AD90) &amp; ",",-1&amp; ",")</f>
        <v>-1,</v>
      </c>
      <c r="AE26" t="str">
        <f ca="1">IF('(直掃)Change to adc mapping '!AE90 &lt;&gt;-1,"0x" &amp; DEC2HEX('(直掃)Change to adc mapping '!AE90) &amp; ",",-1&amp; ",")</f>
        <v>-1,</v>
      </c>
      <c r="AF26" t="str">
        <f ca="1">IF('(直掃)Change to adc mapping '!AF90 &lt;&gt;-1,"0x" &amp; DEC2HEX('(直掃)Change to adc mapping '!AF90) &amp; ",",-1&amp; ",")</f>
        <v>-1,</v>
      </c>
      <c r="AG26" t="str">
        <f ca="1">IF('(直掃)Change to adc mapping '!AG90 &lt;&gt;-1,"0x" &amp; DEC2HEX('(直掃)Change to adc mapping '!AG90) &amp; ",",-1&amp; ",")</f>
        <v>-1,</v>
      </c>
      <c r="AH26" t="str">
        <f ca="1">IF('(直掃)Change to adc mapping '!AH90 &lt;&gt;-1,"0x" &amp; DEC2HEX('(直掃)Change to adc mapping '!AH90) &amp; ",",-1&amp; ",")</f>
        <v>-1,</v>
      </c>
      <c r="AI26" t="str">
        <f ca="1">IF('(直掃)Change to adc mapping '!AI90 &lt;&gt;-1,"0x" &amp; DEC2HEX('(直掃)Change to adc mapping '!AI90) &amp; ",",-1&amp; ",")</f>
        <v>-1,</v>
      </c>
      <c r="AJ26" t="str">
        <f ca="1">IF('(直掃)Change to adc mapping '!AJ90 &lt;&gt;-1,"0x" &amp; DEC2HEX('(直掃)Change to adc mapping '!AJ90) &amp; ",",-1&amp; ",")</f>
        <v>-1,</v>
      </c>
      <c r="AK26" t="str">
        <f ca="1">IF('(直掃)Change to adc mapping '!AK90 &lt;&gt;-1,"0x" &amp; DEC2HEX('(直掃)Change to adc mapping '!AK90) &amp; ",",-1&amp; ",")</f>
        <v>-1,</v>
      </c>
      <c r="AL26" t="str">
        <f ca="1">IF('(直掃)Change to adc mapping '!AL90 &lt;&gt;-1,"0x" &amp; DEC2HEX('(直掃)Change to adc mapping '!AL90) &amp; ",",-1&amp; ",")</f>
        <v>-1,</v>
      </c>
      <c r="AM26" t="str">
        <f ca="1">IF('(直掃)Change to adc mapping '!AM90 &lt;&gt;-1,"0x" &amp; DEC2HEX('(直掃)Change to adc mapping '!AM90) &amp; ",",-1&amp; ",")</f>
        <v>-1,</v>
      </c>
      <c r="AN26" t="str">
        <f ca="1">IF('(直掃)Change to adc mapping '!AN90 &lt;&gt;-1,"0x" &amp; DEC2HEX('(直掃)Change to adc mapping '!AN90) &amp; ",",-1&amp; ",")</f>
        <v>-1,</v>
      </c>
      <c r="AO26" t="str">
        <f ca="1">IF('(直掃)Change to adc mapping '!AO90 &lt;&gt;-1,"0x" &amp; DEC2HEX('(直掃)Change to adc mapping '!AO90) &amp; ",",-1&amp; ",")</f>
        <v>-1,</v>
      </c>
      <c r="AP26" t="str">
        <f ca="1">IF('(直掃)Change to adc mapping '!AP90 &lt;&gt;-1,"0x" &amp; DEC2HEX('(直掃)Change to adc mapping '!AP90) &amp; ",",-1&amp; ",")</f>
        <v>-1,</v>
      </c>
      <c r="AQ26" t="str">
        <f ca="1">IF('(直掃)Change to adc mapping '!AQ90 &lt;&gt;-1,"0x" &amp; DEC2HEX('(直掃)Change to adc mapping '!AQ90) &amp; ",",-1&amp; ",")</f>
        <v>-1,</v>
      </c>
      <c r="AR26" t="str">
        <f ca="1">IF('(直掃)Change to adc mapping '!AR90 &lt;&gt;-1,"0x" &amp; DEC2HEX('(直掃)Change to adc mapping '!AR90) &amp; ",",-1&amp; ",")</f>
        <v>-1,</v>
      </c>
      <c r="AS26" t="str">
        <f ca="1">IF('(直掃)Change to adc mapping '!AS90 &lt;&gt;-1,"0x" &amp; DEC2HEX('(直掃)Change to adc mapping '!AS90) &amp; ",",-1&amp; ",")</f>
        <v>-1,</v>
      </c>
      <c r="AT26" t="str">
        <f ca="1">IF('(直掃)Change to adc mapping '!AT90 &lt;&gt;-1,"0x" &amp; DEC2HEX('(直掃)Change to adc mapping '!AT90) &amp; ",",-1&amp; ",")</f>
        <v>-1,</v>
      </c>
      <c r="AU26" t="str">
        <f ca="1">IF('(直掃)Change to adc mapping '!AU90 &lt;&gt;-1,"0x" &amp; DEC2HEX('(直掃)Change to adc mapping '!AU90) &amp; ",",-1&amp; ",")</f>
        <v>-1,</v>
      </c>
      <c r="AV26" t="str">
        <f ca="1">IF('(直掃)Change to adc mapping '!AV90 &lt;&gt;-1,"0x" &amp; DEC2HEX('(直掃)Change to adc mapping '!AV90) &amp; ",",-1&amp; ",")</f>
        <v>-1,</v>
      </c>
      <c r="AW26" t="str">
        <f ca="1">IF('(直掃)Change to adc mapping '!AW90 &lt;&gt;-1,"0x" &amp; DEC2HEX('(直掃)Change to adc mapping '!AW90) &amp; ",",-1&amp; ",")</f>
        <v>-1,</v>
      </c>
      <c r="AX26" t="str">
        <f ca="1">IF('(直掃)Change to adc mapping '!AX90 &lt;&gt;-1,"0x" &amp; DEC2HEX('(直掃)Change to adc mapping '!AX90) &amp; ",",-1&amp; ",")</f>
        <v>-1,</v>
      </c>
      <c r="AY26" t="str">
        <f ca="1">IF('(直掃)Change to adc mapping '!AY90 &lt;&gt;-1,"0x" &amp; DEC2HEX('(直掃)Change to adc mapping '!AY90) &amp; ",",-1&amp; ",")</f>
        <v>-1,</v>
      </c>
      <c r="AZ26" t="str">
        <f ca="1">IF('(直掃)Change to adc mapping '!AZ90 &lt;&gt;-1,"0x" &amp; DEC2HEX('(直掃)Change to adc mapping '!AZ90) &amp; ",",-1&amp; ",")</f>
        <v>-1,</v>
      </c>
      <c r="BA26" t="str">
        <f ca="1">IF('(直掃)Change to adc mapping '!BA90 &lt;&gt;-1,"0x" &amp; DEC2HEX('(直掃)Change to adc mapping '!BA90) &amp; ",",-1&amp; ",")</f>
        <v>-1,</v>
      </c>
      <c r="BB26" t="str">
        <f ca="1">IF('(直掃)Change to adc mapping '!BB90 &lt;&gt;-1,"0x" &amp; DEC2HEX('(直掃)Change to adc mapping '!BB90) &amp; ",",-1&amp; ",")</f>
        <v>-1,</v>
      </c>
      <c r="BC26" t="str">
        <f ca="1">IF('(直掃)Change to adc mapping '!BC90 &lt;&gt;-1,"0x" &amp; DEC2HEX('(直掃)Change to adc mapping '!BC90) &amp; ",",-1&amp; ",")</f>
        <v>-1,</v>
      </c>
      <c r="BD26" t="str">
        <f ca="1">IF('(直掃)Change to adc mapping '!BD90 &lt;&gt;-1,"0x" &amp; DEC2HEX('(直掃)Change to adc mapping '!BD90) &amp; ",",-1&amp; ",")</f>
        <v>-1,</v>
      </c>
      <c r="BE26" t="str">
        <f ca="1">IF('(直掃)Change to adc mapping '!BE90 &lt;&gt;-1,"0x" &amp; DEC2HEX('(直掃)Change to adc mapping '!BE90) &amp; ",",-1&amp; ",")</f>
        <v>-1,</v>
      </c>
      <c r="BF26" t="str">
        <f ca="1">IF('(直掃)Change to adc mapping '!BF90 &lt;&gt;-1,"0x" &amp; DEC2HEX('(直掃)Change to adc mapping '!BF90) &amp; ",",-1&amp; ",")</f>
        <v>-1,</v>
      </c>
      <c r="BG26" t="str">
        <f ca="1">IF('(直掃)Change to adc mapping '!BG90 &lt;&gt;-1,"0x" &amp; DEC2HEX('(直掃)Change to adc mapping '!BG90) &amp; ",",-1&amp; ",")</f>
        <v>-1,</v>
      </c>
      <c r="BH26" t="str">
        <f ca="1">IF('(直掃)Change to adc mapping '!BH90 &lt;&gt;-1,"0x" &amp; DEC2HEX('(直掃)Change to adc mapping '!BH90) &amp; ",",-1&amp; ",")</f>
        <v>-1,</v>
      </c>
      <c r="BI26" t="str">
        <f ca="1">IF('(直掃)Change to adc mapping '!BI90 &lt;&gt;-1,"0x" &amp; DEC2HEX('(直掃)Change to adc mapping '!BI90) &amp; ",",-1&amp; ",")</f>
        <v>-1,</v>
      </c>
    </row>
    <row r="27" spans="1:61" x14ac:dyDescent="0.25">
      <c r="A27" s="20">
        <v>26</v>
      </c>
      <c r="B27" t="str">
        <f ca="1">'(直掃)Change to adc mapping '!B91 &amp; ","</f>
        <v>9999,</v>
      </c>
      <c r="C27" t="str">
        <f ca="1">'(直掃)Change to adc mapping '!C91 &amp; ","</f>
        <v>9999,</v>
      </c>
      <c r="D27" t="str">
        <f ca="1">'(直掃)Change to adc mapping '!D91 &amp; ","</f>
        <v>9999,</v>
      </c>
      <c r="E27" t="str">
        <f ca="1">'(直掃)Change to adc mapping '!E91 &amp; ","</f>
        <v>9999,</v>
      </c>
      <c r="F27" t="str">
        <f ca="1">'(直掃)Change to adc mapping '!F91 &amp; ","</f>
        <v>9999,</v>
      </c>
      <c r="G27" t="str">
        <f ca="1">'(直掃)Change to adc mapping '!G91 &amp; ","</f>
        <v>9999,</v>
      </c>
      <c r="H27" t="str">
        <f ca="1">'(直掃)Change to adc mapping '!H91 &amp; ","</f>
        <v>9999,</v>
      </c>
      <c r="I27" t="str">
        <f ca="1">'(直掃)Change to adc mapping '!I91 &amp; ","</f>
        <v>9999,</v>
      </c>
      <c r="J27" t="str">
        <f ca="1">'(直掃)Change to adc mapping '!J91 &amp; ","</f>
        <v>9999,</v>
      </c>
      <c r="K27" t="str">
        <f ca="1">'(直掃)Change to adc mapping '!K91 &amp; ","</f>
        <v>9999,</v>
      </c>
      <c r="L27" t="str">
        <f ca="1">'(直掃)Change to adc mapping '!L91 &amp; ","</f>
        <v>9999,</v>
      </c>
      <c r="M27" t="str">
        <f ca="1">'(直掃)Change to adc mapping '!M91 &amp; ","</f>
        <v>9999,</v>
      </c>
      <c r="N27" t="str">
        <f ca="1">'(直掃)Change to adc mapping '!N91 &amp; ","</f>
        <v>9999,</v>
      </c>
      <c r="O27" t="str">
        <f ca="1">'(直掃)Change to adc mapping '!O91 &amp; ","</f>
        <v>9999,</v>
      </c>
      <c r="P27" t="str">
        <f ca="1">'(直掃)Change to adc mapping '!P91 &amp; ","</f>
        <v>9999,</v>
      </c>
      <c r="Q27" t="str">
        <f ca="1">'(直掃)Change to adc mapping '!Q91 &amp; ","</f>
        <v>9999,</v>
      </c>
      <c r="R27" t="str">
        <f ca="1">'(直掃)Change to adc mapping '!R91 &amp; ","</f>
        <v>9999,</v>
      </c>
      <c r="S27" t="str">
        <f ca="1">'(直掃)Change to adc mapping '!S91 &amp; ","</f>
        <v>9999,</v>
      </c>
      <c r="T27" t="str">
        <f ca="1">'(直掃)Change to adc mapping '!T91 &amp; ","</f>
        <v>9999,</v>
      </c>
      <c r="U27" t="str">
        <f ca="1">'(直掃)Change to adc mapping '!U91 &amp; ","</f>
        <v>9999,</v>
      </c>
      <c r="V27" t="str">
        <f ca="1">'(直掃)Change to adc mapping '!V91 &amp; ","</f>
        <v>9999,</v>
      </c>
      <c r="W27" t="str">
        <f ca="1">'(直掃)Change to adc mapping '!W91 &amp; ","</f>
        <v>9999,</v>
      </c>
      <c r="X27" t="str">
        <f ca="1">'(直掃)Change to adc mapping '!X91 &amp; ","</f>
        <v>9999,</v>
      </c>
      <c r="Y27" t="str">
        <f ca="1">IF('(直掃)Change to adc mapping '!Y91 &lt;&gt;-1,"0x" &amp; DEC2HEX('(直掃)Change to adc mapping '!Y91) &amp; ",",-1&amp; ",")</f>
        <v>-1,</v>
      </c>
      <c r="Z27" t="str">
        <f ca="1">IF('(直掃)Change to adc mapping '!Z91 &lt;&gt;-1,"0x" &amp; DEC2HEX('(直掃)Change to adc mapping '!Z91) &amp; ",",-1&amp; ",")</f>
        <v>-1,</v>
      </c>
      <c r="AA27" t="str">
        <f ca="1">IF('(直掃)Change to adc mapping '!AA91 &lt;&gt;-1,"0x" &amp; DEC2HEX('(直掃)Change to adc mapping '!AA91) &amp; ",",-1&amp; ",")</f>
        <v>-1,</v>
      </c>
      <c r="AB27" t="str">
        <f ca="1">IF('(直掃)Change to adc mapping '!AB91 &lt;&gt;-1,"0x" &amp; DEC2HEX('(直掃)Change to adc mapping '!AB91) &amp; ",",-1&amp; ",")</f>
        <v>-1,</v>
      </c>
      <c r="AC27" t="str">
        <f ca="1">IF('(直掃)Change to adc mapping '!AC91 &lt;&gt;-1,"0x" &amp; DEC2HEX('(直掃)Change to adc mapping '!AC91) &amp; ",",-1&amp; ",")</f>
        <v>-1,</v>
      </c>
      <c r="AD27" t="str">
        <f ca="1">IF('(直掃)Change to adc mapping '!AD91 &lt;&gt;-1,"0x" &amp; DEC2HEX('(直掃)Change to adc mapping '!AD91) &amp; ",",-1&amp; ",")</f>
        <v>-1,</v>
      </c>
      <c r="AE27" t="str">
        <f ca="1">IF('(直掃)Change to adc mapping '!AE91 &lt;&gt;-1,"0x" &amp; DEC2HEX('(直掃)Change to adc mapping '!AE91) &amp; ",",-1&amp; ",")</f>
        <v>-1,</v>
      </c>
      <c r="AF27" t="str">
        <f ca="1">IF('(直掃)Change to adc mapping '!AF91 &lt;&gt;-1,"0x" &amp; DEC2HEX('(直掃)Change to adc mapping '!AF91) &amp; ",",-1&amp; ",")</f>
        <v>-1,</v>
      </c>
      <c r="AG27" t="str">
        <f ca="1">IF('(直掃)Change to adc mapping '!AG91 &lt;&gt;-1,"0x" &amp; DEC2HEX('(直掃)Change to adc mapping '!AG91) &amp; ",",-1&amp; ",")</f>
        <v>-1,</v>
      </c>
      <c r="AH27" t="str">
        <f ca="1">IF('(直掃)Change to adc mapping '!AH91 &lt;&gt;-1,"0x" &amp; DEC2HEX('(直掃)Change to adc mapping '!AH91) &amp; ",",-1&amp; ",")</f>
        <v>-1,</v>
      </c>
      <c r="AI27" t="str">
        <f ca="1">IF('(直掃)Change to adc mapping '!AI91 &lt;&gt;-1,"0x" &amp; DEC2HEX('(直掃)Change to adc mapping '!AI91) &amp; ",",-1&amp; ",")</f>
        <v>-1,</v>
      </c>
      <c r="AJ27" t="str">
        <f ca="1">IF('(直掃)Change to adc mapping '!AJ91 &lt;&gt;-1,"0x" &amp; DEC2HEX('(直掃)Change to adc mapping '!AJ91) &amp; ",",-1&amp; ",")</f>
        <v>-1,</v>
      </c>
      <c r="AK27" t="str">
        <f ca="1">IF('(直掃)Change to adc mapping '!AK91 &lt;&gt;-1,"0x" &amp; DEC2HEX('(直掃)Change to adc mapping '!AK91) &amp; ",",-1&amp; ",")</f>
        <v>-1,</v>
      </c>
      <c r="AL27" t="str">
        <f ca="1">IF('(直掃)Change to adc mapping '!AL91 &lt;&gt;-1,"0x" &amp; DEC2HEX('(直掃)Change to adc mapping '!AL91) &amp; ",",-1&amp; ",")</f>
        <v>-1,</v>
      </c>
      <c r="AM27" t="str">
        <f ca="1">IF('(直掃)Change to adc mapping '!AM91 &lt;&gt;-1,"0x" &amp; DEC2HEX('(直掃)Change to adc mapping '!AM91) &amp; ",",-1&amp; ",")</f>
        <v>-1,</v>
      </c>
      <c r="AN27" t="str">
        <f ca="1">IF('(直掃)Change to adc mapping '!AN91 &lt;&gt;-1,"0x" &amp; DEC2HEX('(直掃)Change to adc mapping '!AN91) &amp; ",",-1&amp; ",")</f>
        <v>-1,</v>
      </c>
      <c r="AO27" t="str">
        <f ca="1">IF('(直掃)Change to adc mapping '!AO91 &lt;&gt;-1,"0x" &amp; DEC2HEX('(直掃)Change to adc mapping '!AO91) &amp; ",",-1&amp; ",")</f>
        <v>-1,</v>
      </c>
      <c r="AP27" t="str">
        <f ca="1">IF('(直掃)Change to adc mapping '!AP91 &lt;&gt;-1,"0x" &amp; DEC2HEX('(直掃)Change to adc mapping '!AP91) &amp; ",",-1&amp; ",")</f>
        <v>-1,</v>
      </c>
      <c r="AQ27" t="str">
        <f ca="1">IF('(直掃)Change to adc mapping '!AQ91 &lt;&gt;-1,"0x" &amp; DEC2HEX('(直掃)Change to adc mapping '!AQ91) &amp; ",",-1&amp; ",")</f>
        <v>-1,</v>
      </c>
      <c r="AR27" t="str">
        <f ca="1">IF('(直掃)Change to adc mapping '!AR91 &lt;&gt;-1,"0x" &amp; DEC2HEX('(直掃)Change to adc mapping '!AR91) &amp; ",",-1&amp; ",")</f>
        <v>-1,</v>
      </c>
      <c r="AS27" t="str">
        <f ca="1">IF('(直掃)Change to adc mapping '!AS91 &lt;&gt;-1,"0x" &amp; DEC2HEX('(直掃)Change to adc mapping '!AS91) &amp; ",",-1&amp; ",")</f>
        <v>-1,</v>
      </c>
      <c r="AT27" t="str">
        <f ca="1">IF('(直掃)Change to adc mapping '!AT91 &lt;&gt;-1,"0x" &amp; DEC2HEX('(直掃)Change to adc mapping '!AT91) &amp; ",",-1&amp; ",")</f>
        <v>-1,</v>
      </c>
      <c r="AU27" t="str">
        <f ca="1">IF('(直掃)Change to adc mapping '!AU91 &lt;&gt;-1,"0x" &amp; DEC2HEX('(直掃)Change to adc mapping '!AU91) &amp; ",",-1&amp; ",")</f>
        <v>-1,</v>
      </c>
      <c r="AV27" t="str">
        <f ca="1">IF('(直掃)Change to adc mapping '!AV91 &lt;&gt;-1,"0x" &amp; DEC2HEX('(直掃)Change to adc mapping '!AV91) &amp; ",",-1&amp; ",")</f>
        <v>-1,</v>
      </c>
      <c r="AW27" t="str">
        <f ca="1">IF('(直掃)Change to adc mapping '!AW91 &lt;&gt;-1,"0x" &amp; DEC2HEX('(直掃)Change to adc mapping '!AW91) &amp; ",",-1&amp; ",")</f>
        <v>-1,</v>
      </c>
      <c r="AX27" t="str">
        <f ca="1">IF('(直掃)Change to adc mapping '!AX91 &lt;&gt;-1,"0x" &amp; DEC2HEX('(直掃)Change to adc mapping '!AX91) &amp; ",",-1&amp; ",")</f>
        <v>-1,</v>
      </c>
      <c r="AY27" t="str">
        <f ca="1">IF('(直掃)Change to adc mapping '!AY91 &lt;&gt;-1,"0x" &amp; DEC2HEX('(直掃)Change to adc mapping '!AY91) &amp; ",",-1&amp; ",")</f>
        <v>-1,</v>
      </c>
      <c r="AZ27" t="str">
        <f ca="1">IF('(直掃)Change to adc mapping '!AZ91 &lt;&gt;-1,"0x" &amp; DEC2HEX('(直掃)Change to adc mapping '!AZ91) &amp; ",",-1&amp; ",")</f>
        <v>-1,</v>
      </c>
      <c r="BA27" t="str">
        <f ca="1">IF('(直掃)Change to adc mapping '!BA91 &lt;&gt;-1,"0x" &amp; DEC2HEX('(直掃)Change to adc mapping '!BA91) &amp; ",",-1&amp; ",")</f>
        <v>-1,</v>
      </c>
      <c r="BB27" t="str">
        <f ca="1">IF('(直掃)Change to adc mapping '!BB91 &lt;&gt;-1,"0x" &amp; DEC2HEX('(直掃)Change to adc mapping '!BB91) &amp; ",",-1&amp; ",")</f>
        <v>-1,</v>
      </c>
      <c r="BC27" t="str">
        <f ca="1">IF('(直掃)Change to adc mapping '!BC91 &lt;&gt;-1,"0x" &amp; DEC2HEX('(直掃)Change to adc mapping '!BC91) &amp; ",",-1&amp; ",")</f>
        <v>-1,</v>
      </c>
      <c r="BD27" t="str">
        <f ca="1">IF('(直掃)Change to adc mapping '!BD91 &lt;&gt;-1,"0x" &amp; DEC2HEX('(直掃)Change to adc mapping '!BD91) &amp; ",",-1&amp; ",")</f>
        <v>-1,</v>
      </c>
      <c r="BE27" t="str">
        <f ca="1">IF('(直掃)Change to adc mapping '!BE91 &lt;&gt;-1,"0x" &amp; DEC2HEX('(直掃)Change to adc mapping '!BE91) &amp; ",",-1&amp; ",")</f>
        <v>-1,</v>
      </c>
      <c r="BF27" t="str">
        <f ca="1">IF('(直掃)Change to adc mapping '!BF91 &lt;&gt;-1,"0x" &amp; DEC2HEX('(直掃)Change to adc mapping '!BF91) &amp; ",",-1&amp; ",")</f>
        <v>-1,</v>
      </c>
      <c r="BG27" t="str">
        <f ca="1">IF('(直掃)Change to adc mapping '!BG91 &lt;&gt;-1,"0x" &amp; DEC2HEX('(直掃)Change to adc mapping '!BG91) &amp; ",",-1&amp; ",")</f>
        <v>-1,</v>
      </c>
      <c r="BH27" t="str">
        <f ca="1">IF('(直掃)Change to adc mapping '!BH91 &lt;&gt;-1,"0x" &amp; DEC2HEX('(直掃)Change to adc mapping '!BH91) &amp; ",",-1&amp; ",")</f>
        <v>-1,</v>
      </c>
      <c r="BI27" t="str">
        <f ca="1">IF('(直掃)Change to adc mapping '!BI91 &lt;&gt;-1,"0x" &amp; DEC2HEX('(直掃)Change to adc mapping '!BI91) &amp; ",",-1&amp; ",")</f>
        <v>-1,</v>
      </c>
    </row>
    <row r="28" spans="1:61" x14ac:dyDescent="0.25">
      <c r="A28" s="20">
        <v>27</v>
      </c>
      <c r="B28" t="str">
        <f ca="1">'(直掃)Change to adc mapping '!B92 &amp; ","</f>
        <v>9999,</v>
      </c>
      <c r="C28" t="str">
        <f ca="1">'(直掃)Change to adc mapping '!C92 &amp; ","</f>
        <v>9999,</v>
      </c>
      <c r="D28" t="str">
        <f ca="1">'(直掃)Change to adc mapping '!D92 &amp; ","</f>
        <v>9999,</v>
      </c>
      <c r="E28" t="str">
        <f ca="1">'(直掃)Change to adc mapping '!E92 &amp; ","</f>
        <v>9999,</v>
      </c>
      <c r="F28" t="str">
        <f ca="1">'(直掃)Change to adc mapping '!F92 &amp; ","</f>
        <v>9999,</v>
      </c>
      <c r="G28" t="str">
        <f ca="1">'(直掃)Change to adc mapping '!G92 &amp; ","</f>
        <v>9999,</v>
      </c>
      <c r="H28" t="str">
        <f ca="1">'(直掃)Change to adc mapping '!H92 &amp; ","</f>
        <v>9999,</v>
      </c>
      <c r="I28" t="str">
        <f ca="1">'(直掃)Change to adc mapping '!I92 &amp; ","</f>
        <v>9999,</v>
      </c>
      <c r="J28" t="str">
        <f ca="1">'(直掃)Change to adc mapping '!J92 &amp; ","</f>
        <v>9999,</v>
      </c>
      <c r="K28" t="str">
        <f ca="1">'(直掃)Change to adc mapping '!K92 &amp; ","</f>
        <v>9999,</v>
      </c>
      <c r="L28" t="str">
        <f ca="1">'(直掃)Change to adc mapping '!L92 &amp; ","</f>
        <v>9999,</v>
      </c>
      <c r="M28" t="str">
        <f ca="1">'(直掃)Change to adc mapping '!M92 &amp; ","</f>
        <v>9999,</v>
      </c>
      <c r="N28" t="str">
        <f ca="1">'(直掃)Change to adc mapping '!N92 &amp; ","</f>
        <v>9999,</v>
      </c>
      <c r="O28" t="str">
        <f ca="1">'(直掃)Change to adc mapping '!O92 &amp; ","</f>
        <v>9999,</v>
      </c>
      <c r="P28" t="str">
        <f ca="1">'(直掃)Change to adc mapping '!P92 &amp; ","</f>
        <v>9999,</v>
      </c>
      <c r="Q28" t="str">
        <f ca="1">'(直掃)Change to adc mapping '!Q92 &amp; ","</f>
        <v>9999,</v>
      </c>
      <c r="R28" t="str">
        <f ca="1">'(直掃)Change to adc mapping '!R92 &amp; ","</f>
        <v>9999,</v>
      </c>
      <c r="S28" t="str">
        <f ca="1">'(直掃)Change to adc mapping '!S92 &amp; ","</f>
        <v>9999,</v>
      </c>
      <c r="T28" t="str">
        <f ca="1">'(直掃)Change to adc mapping '!T92 &amp; ","</f>
        <v>9999,</v>
      </c>
      <c r="U28" t="str">
        <f ca="1">'(直掃)Change to adc mapping '!U92 &amp; ","</f>
        <v>9999,</v>
      </c>
      <c r="V28" t="str">
        <f ca="1">'(直掃)Change to adc mapping '!V92 &amp; ","</f>
        <v>9999,</v>
      </c>
      <c r="W28" t="str">
        <f ca="1">'(直掃)Change to adc mapping '!W92 &amp; ","</f>
        <v>9999,</v>
      </c>
      <c r="X28" t="str">
        <f ca="1">'(直掃)Change to adc mapping '!X92 &amp; ","</f>
        <v>9999,</v>
      </c>
      <c r="Y28" t="str">
        <f ca="1">IF('(直掃)Change to adc mapping '!Y92 &lt;&gt;-1,"0x" &amp; DEC2HEX('(直掃)Change to adc mapping '!Y92) &amp; ",",-1&amp; ",")</f>
        <v>-1,</v>
      </c>
      <c r="Z28" t="str">
        <f ca="1">IF('(直掃)Change to adc mapping '!Z92 &lt;&gt;-1,"0x" &amp; DEC2HEX('(直掃)Change to adc mapping '!Z92) &amp; ",",-1&amp; ",")</f>
        <v>-1,</v>
      </c>
      <c r="AA28" t="str">
        <f ca="1">IF('(直掃)Change to adc mapping '!AA92 &lt;&gt;-1,"0x" &amp; DEC2HEX('(直掃)Change to adc mapping '!AA92) &amp; ",",-1&amp; ",")</f>
        <v>-1,</v>
      </c>
      <c r="AB28" t="str">
        <f ca="1">IF('(直掃)Change to adc mapping '!AB92 &lt;&gt;-1,"0x" &amp; DEC2HEX('(直掃)Change to adc mapping '!AB92) &amp; ",",-1&amp; ",")</f>
        <v>-1,</v>
      </c>
      <c r="AC28" t="str">
        <f ca="1">IF('(直掃)Change to adc mapping '!AC92 &lt;&gt;-1,"0x" &amp; DEC2HEX('(直掃)Change to adc mapping '!AC92) &amp; ",",-1&amp; ",")</f>
        <v>-1,</v>
      </c>
      <c r="AD28" t="str">
        <f ca="1">IF('(直掃)Change to adc mapping '!AD92 &lt;&gt;-1,"0x" &amp; DEC2HEX('(直掃)Change to adc mapping '!AD92) &amp; ",",-1&amp; ",")</f>
        <v>-1,</v>
      </c>
      <c r="AE28" t="str">
        <f ca="1">IF('(直掃)Change to adc mapping '!AE92 &lt;&gt;-1,"0x" &amp; DEC2HEX('(直掃)Change to adc mapping '!AE92) &amp; ",",-1&amp; ",")</f>
        <v>-1,</v>
      </c>
      <c r="AF28" t="str">
        <f ca="1">IF('(直掃)Change to adc mapping '!AF92 &lt;&gt;-1,"0x" &amp; DEC2HEX('(直掃)Change to adc mapping '!AF92) &amp; ",",-1&amp; ",")</f>
        <v>-1,</v>
      </c>
      <c r="AG28" t="str">
        <f ca="1">IF('(直掃)Change to adc mapping '!AG92 &lt;&gt;-1,"0x" &amp; DEC2HEX('(直掃)Change to adc mapping '!AG92) &amp; ",",-1&amp; ",")</f>
        <v>-1,</v>
      </c>
      <c r="AH28" t="str">
        <f ca="1">IF('(直掃)Change to adc mapping '!AH92 &lt;&gt;-1,"0x" &amp; DEC2HEX('(直掃)Change to adc mapping '!AH92) &amp; ",",-1&amp; ",")</f>
        <v>-1,</v>
      </c>
      <c r="AI28" t="str">
        <f ca="1">IF('(直掃)Change to adc mapping '!AI92 &lt;&gt;-1,"0x" &amp; DEC2HEX('(直掃)Change to adc mapping '!AI92) &amp; ",",-1&amp; ",")</f>
        <v>-1,</v>
      </c>
      <c r="AJ28" t="str">
        <f ca="1">IF('(直掃)Change to adc mapping '!AJ92 &lt;&gt;-1,"0x" &amp; DEC2HEX('(直掃)Change to adc mapping '!AJ92) &amp; ",",-1&amp; ",")</f>
        <v>-1,</v>
      </c>
      <c r="AK28" t="str">
        <f ca="1">IF('(直掃)Change to adc mapping '!AK92 &lt;&gt;-1,"0x" &amp; DEC2HEX('(直掃)Change to adc mapping '!AK92) &amp; ",",-1&amp; ",")</f>
        <v>-1,</v>
      </c>
      <c r="AL28" t="str">
        <f ca="1">IF('(直掃)Change to adc mapping '!AL92 &lt;&gt;-1,"0x" &amp; DEC2HEX('(直掃)Change to adc mapping '!AL92) &amp; ",",-1&amp; ",")</f>
        <v>-1,</v>
      </c>
      <c r="AM28" t="str">
        <f ca="1">IF('(直掃)Change to adc mapping '!AM92 &lt;&gt;-1,"0x" &amp; DEC2HEX('(直掃)Change to adc mapping '!AM92) &amp; ",",-1&amp; ",")</f>
        <v>-1,</v>
      </c>
      <c r="AN28" t="str">
        <f ca="1">IF('(直掃)Change to adc mapping '!AN92 &lt;&gt;-1,"0x" &amp; DEC2HEX('(直掃)Change to adc mapping '!AN92) &amp; ",",-1&amp; ",")</f>
        <v>-1,</v>
      </c>
      <c r="AO28" t="str">
        <f ca="1">IF('(直掃)Change to adc mapping '!AO92 &lt;&gt;-1,"0x" &amp; DEC2HEX('(直掃)Change to adc mapping '!AO92) &amp; ",",-1&amp; ",")</f>
        <v>-1,</v>
      </c>
      <c r="AP28" t="str">
        <f ca="1">IF('(直掃)Change to adc mapping '!AP92 &lt;&gt;-1,"0x" &amp; DEC2HEX('(直掃)Change to adc mapping '!AP92) &amp; ",",-1&amp; ",")</f>
        <v>-1,</v>
      </c>
      <c r="AQ28" t="str">
        <f ca="1">IF('(直掃)Change to adc mapping '!AQ92 &lt;&gt;-1,"0x" &amp; DEC2HEX('(直掃)Change to adc mapping '!AQ92) &amp; ",",-1&amp; ",")</f>
        <v>-1,</v>
      </c>
      <c r="AR28" t="str">
        <f ca="1">IF('(直掃)Change to adc mapping '!AR92 &lt;&gt;-1,"0x" &amp; DEC2HEX('(直掃)Change to adc mapping '!AR92) &amp; ",",-1&amp; ",")</f>
        <v>-1,</v>
      </c>
      <c r="AS28" t="str">
        <f ca="1">IF('(直掃)Change to adc mapping '!AS92 &lt;&gt;-1,"0x" &amp; DEC2HEX('(直掃)Change to adc mapping '!AS92) &amp; ",",-1&amp; ",")</f>
        <v>-1,</v>
      </c>
      <c r="AT28" t="str">
        <f ca="1">IF('(直掃)Change to adc mapping '!AT92 &lt;&gt;-1,"0x" &amp; DEC2HEX('(直掃)Change to adc mapping '!AT92) &amp; ",",-1&amp; ",")</f>
        <v>-1,</v>
      </c>
      <c r="AU28" t="str">
        <f ca="1">IF('(直掃)Change to adc mapping '!AU92 &lt;&gt;-1,"0x" &amp; DEC2HEX('(直掃)Change to adc mapping '!AU92) &amp; ",",-1&amp; ",")</f>
        <v>-1,</v>
      </c>
      <c r="AV28" t="str">
        <f ca="1">IF('(直掃)Change to adc mapping '!AV92 &lt;&gt;-1,"0x" &amp; DEC2HEX('(直掃)Change to adc mapping '!AV92) &amp; ",",-1&amp; ",")</f>
        <v>-1,</v>
      </c>
      <c r="AW28" t="str">
        <f ca="1">IF('(直掃)Change to adc mapping '!AW92 &lt;&gt;-1,"0x" &amp; DEC2HEX('(直掃)Change to adc mapping '!AW92) &amp; ",",-1&amp; ",")</f>
        <v>-1,</v>
      </c>
      <c r="AX28" t="str">
        <f ca="1">IF('(直掃)Change to adc mapping '!AX92 &lt;&gt;-1,"0x" &amp; DEC2HEX('(直掃)Change to adc mapping '!AX92) &amp; ",",-1&amp; ",")</f>
        <v>-1,</v>
      </c>
      <c r="AY28" t="str">
        <f ca="1">IF('(直掃)Change to adc mapping '!AY92 &lt;&gt;-1,"0x" &amp; DEC2HEX('(直掃)Change to adc mapping '!AY92) &amp; ",",-1&amp; ",")</f>
        <v>-1,</v>
      </c>
      <c r="AZ28" t="str">
        <f ca="1">IF('(直掃)Change to adc mapping '!AZ92 &lt;&gt;-1,"0x" &amp; DEC2HEX('(直掃)Change to adc mapping '!AZ92) &amp; ",",-1&amp; ",")</f>
        <v>-1,</v>
      </c>
      <c r="BA28" t="str">
        <f ca="1">IF('(直掃)Change to adc mapping '!BA92 &lt;&gt;-1,"0x" &amp; DEC2HEX('(直掃)Change to adc mapping '!BA92) &amp; ",",-1&amp; ",")</f>
        <v>-1,</v>
      </c>
      <c r="BB28" t="str">
        <f ca="1">IF('(直掃)Change to adc mapping '!BB92 &lt;&gt;-1,"0x" &amp; DEC2HEX('(直掃)Change to adc mapping '!BB92) &amp; ",",-1&amp; ",")</f>
        <v>-1,</v>
      </c>
      <c r="BC28" t="str">
        <f ca="1">IF('(直掃)Change to adc mapping '!BC92 &lt;&gt;-1,"0x" &amp; DEC2HEX('(直掃)Change to adc mapping '!BC92) &amp; ",",-1&amp; ",")</f>
        <v>-1,</v>
      </c>
      <c r="BD28" t="str">
        <f ca="1">IF('(直掃)Change to adc mapping '!BD92 &lt;&gt;-1,"0x" &amp; DEC2HEX('(直掃)Change to adc mapping '!BD92) &amp; ",",-1&amp; ",")</f>
        <v>-1,</v>
      </c>
      <c r="BE28" t="str">
        <f ca="1">IF('(直掃)Change to adc mapping '!BE92 &lt;&gt;-1,"0x" &amp; DEC2HEX('(直掃)Change to adc mapping '!BE92) &amp; ",",-1&amp; ",")</f>
        <v>-1,</v>
      </c>
      <c r="BF28" t="str">
        <f ca="1">IF('(直掃)Change to adc mapping '!BF92 &lt;&gt;-1,"0x" &amp; DEC2HEX('(直掃)Change to adc mapping '!BF92) &amp; ",",-1&amp; ",")</f>
        <v>-1,</v>
      </c>
      <c r="BG28" t="str">
        <f ca="1">IF('(直掃)Change to adc mapping '!BG92 &lt;&gt;-1,"0x" &amp; DEC2HEX('(直掃)Change to adc mapping '!BG92) &amp; ",",-1&amp; ",")</f>
        <v>-1,</v>
      </c>
      <c r="BH28" t="str">
        <f ca="1">IF('(直掃)Change to adc mapping '!BH92 &lt;&gt;-1,"0x" &amp; DEC2HEX('(直掃)Change to adc mapping '!BH92) &amp; ",",-1&amp; ",")</f>
        <v>-1,</v>
      </c>
      <c r="BI28" t="str">
        <f ca="1">IF('(直掃)Change to adc mapping '!BI92 &lt;&gt;-1,"0x" &amp; DEC2HEX('(直掃)Change to adc mapping '!BI92) &amp; ",",-1&amp; ",")</f>
        <v>-1,</v>
      </c>
    </row>
    <row r="29" spans="1:61" x14ac:dyDescent="0.25">
      <c r="A29" s="20">
        <v>28</v>
      </c>
      <c r="B29" t="str">
        <f ca="1">'(直掃)Change to adc mapping '!B93 &amp; ","</f>
        <v>9999,</v>
      </c>
      <c r="C29" t="str">
        <f ca="1">'(直掃)Change to adc mapping '!C93 &amp; ","</f>
        <v>9999,</v>
      </c>
      <c r="D29" t="str">
        <f ca="1">'(直掃)Change to adc mapping '!D93 &amp; ","</f>
        <v>9999,</v>
      </c>
      <c r="E29" t="str">
        <f ca="1">'(直掃)Change to adc mapping '!E93 &amp; ","</f>
        <v>9999,</v>
      </c>
      <c r="F29" t="str">
        <f ca="1">'(直掃)Change to adc mapping '!F93 &amp; ","</f>
        <v>9999,</v>
      </c>
      <c r="G29" t="str">
        <f ca="1">'(直掃)Change to adc mapping '!G93 &amp; ","</f>
        <v>9999,</v>
      </c>
      <c r="H29" t="str">
        <f ca="1">'(直掃)Change to adc mapping '!H93 &amp; ","</f>
        <v>9999,</v>
      </c>
      <c r="I29" t="str">
        <f ca="1">'(直掃)Change to adc mapping '!I93 &amp; ","</f>
        <v>9999,</v>
      </c>
      <c r="J29" t="str">
        <f ca="1">'(直掃)Change to adc mapping '!J93 &amp; ","</f>
        <v>9999,</v>
      </c>
      <c r="K29" t="str">
        <f ca="1">'(直掃)Change to adc mapping '!K93 &amp; ","</f>
        <v>9999,</v>
      </c>
      <c r="L29" t="str">
        <f ca="1">'(直掃)Change to adc mapping '!L93 &amp; ","</f>
        <v>9999,</v>
      </c>
      <c r="M29" t="str">
        <f ca="1">'(直掃)Change to adc mapping '!M93 &amp; ","</f>
        <v>9999,</v>
      </c>
      <c r="N29" t="str">
        <f ca="1">'(直掃)Change to adc mapping '!N93 &amp; ","</f>
        <v>9999,</v>
      </c>
      <c r="O29" t="str">
        <f ca="1">'(直掃)Change to adc mapping '!O93 &amp; ","</f>
        <v>9999,</v>
      </c>
      <c r="P29" t="str">
        <f ca="1">'(直掃)Change to adc mapping '!P93 &amp; ","</f>
        <v>9999,</v>
      </c>
      <c r="Q29" t="str">
        <f ca="1">'(直掃)Change to adc mapping '!Q93 &amp; ","</f>
        <v>9999,</v>
      </c>
      <c r="R29" t="str">
        <f ca="1">'(直掃)Change to adc mapping '!R93 &amp; ","</f>
        <v>9999,</v>
      </c>
      <c r="S29" t="str">
        <f ca="1">'(直掃)Change to adc mapping '!S93 &amp; ","</f>
        <v>9999,</v>
      </c>
      <c r="T29" t="str">
        <f ca="1">'(直掃)Change to adc mapping '!T93 &amp; ","</f>
        <v>9999,</v>
      </c>
      <c r="U29" t="str">
        <f ca="1">'(直掃)Change to adc mapping '!U93 &amp; ","</f>
        <v>9999,</v>
      </c>
      <c r="V29" t="str">
        <f ca="1">'(直掃)Change to adc mapping '!V93 &amp; ","</f>
        <v>9999,</v>
      </c>
      <c r="W29" t="str">
        <f ca="1">'(直掃)Change to adc mapping '!W93 &amp; ","</f>
        <v>9999,</v>
      </c>
      <c r="X29" t="str">
        <f ca="1">'(直掃)Change to adc mapping '!X93 &amp; ","</f>
        <v>9999,</v>
      </c>
      <c r="Y29" t="str">
        <f ca="1">IF('(直掃)Change to adc mapping '!Y93 &lt;&gt;-1,"0x" &amp; DEC2HEX('(直掃)Change to adc mapping '!Y93) &amp; ",",-1&amp; ",")</f>
        <v>-1,</v>
      </c>
      <c r="Z29" t="str">
        <f ca="1">IF('(直掃)Change to adc mapping '!Z93 &lt;&gt;-1,"0x" &amp; DEC2HEX('(直掃)Change to adc mapping '!Z93) &amp; ",",-1&amp; ",")</f>
        <v>-1,</v>
      </c>
      <c r="AA29" t="str">
        <f ca="1">IF('(直掃)Change to adc mapping '!AA93 &lt;&gt;-1,"0x" &amp; DEC2HEX('(直掃)Change to adc mapping '!AA93) &amp; ",",-1&amp; ",")</f>
        <v>-1,</v>
      </c>
      <c r="AB29" t="str">
        <f ca="1">IF('(直掃)Change to adc mapping '!AB93 &lt;&gt;-1,"0x" &amp; DEC2HEX('(直掃)Change to adc mapping '!AB93) &amp; ",",-1&amp; ",")</f>
        <v>-1,</v>
      </c>
      <c r="AC29" t="str">
        <f ca="1">IF('(直掃)Change to adc mapping '!AC93 &lt;&gt;-1,"0x" &amp; DEC2HEX('(直掃)Change to adc mapping '!AC93) &amp; ",",-1&amp; ",")</f>
        <v>-1,</v>
      </c>
      <c r="AD29" t="str">
        <f ca="1">IF('(直掃)Change to adc mapping '!AD93 &lt;&gt;-1,"0x" &amp; DEC2HEX('(直掃)Change to adc mapping '!AD93) &amp; ",",-1&amp; ",")</f>
        <v>-1,</v>
      </c>
      <c r="AE29" t="str">
        <f ca="1">IF('(直掃)Change to adc mapping '!AE93 &lt;&gt;-1,"0x" &amp; DEC2HEX('(直掃)Change to adc mapping '!AE93) &amp; ",",-1&amp; ",")</f>
        <v>-1,</v>
      </c>
      <c r="AF29" t="str">
        <f ca="1">IF('(直掃)Change to adc mapping '!AF93 &lt;&gt;-1,"0x" &amp; DEC2HEX('(直掃)Change to adc mapping '!AF93) &amp; ",",-1&amp; ",")</f>
        <v>-1,</v>
      </c>
      <c r="AG29" t="str">
        <f ca="1">IF('(直掃)Change to adc mapping '!AG93 &lt;&gt;-1,"0x" &amp; DEC2HEX('(直掃)Change to adc mapping '!AG93) &amp; ",",-1&amp; ",")</f>
        <v>-1,</v>
      </c>
      <c r="AH29" t="str">
        <f ca="1">IF('(直掃)Change to adc mapping '!AH93 &lt;&gt;-1,"0x" &amp; DEC2HEX('(直掃)Change to adc mapping '!AH93) &amp; ",",-1&amp; ",")</f>
        <v>-1,</v>
      </c>
      <c r="AI29" t="str">
        <f ca="1">IF('(直掃)Change to adc mapping '!AI93 &lt;&gt;-1,"0x" &amp; DEC2HEX('(直掃)Change to adc mapping '!AI93) &amp; ",",-1&amp; ",")</f>
        <v>-1,</v>
      </c>
      <c r="AJ29" t="str">
        <f ca="1">IF('(直掃)Change to adc mapping '!AJ93 &lt;&gt;-1,"0x" &amp; DEC2HEX('(直掃)Change to adc mapping '!AJ93) &amp; ",",-1&amp; ",")</f>
        <v>-1,</v>
      </c>
      <c r="AK29" t="str">
        <f ca="1">IF('(直掃)Change to adc mapping '!AK93 &lt;&gt;-1,"0x" &amp; DEC2HEX('(直掃)Change to adc mapping '!AK93) &amp; ",",-1&amp; ",")</f>
        <v>-1,</v>
      </c>
      <c r="AL29" t="str">
        <f ca="1">IF('(直掃)Change to adc mapping '!AL93 &lt;&gt;-1,"0x" &amp; DEC2HEX('(直掃)Change to adc mapping '!AL93) &amp; ",",-1&amp; ",")</f>
        <v>-1,</v>
      </c>
      <c r="AM29" t="str">
        <f ca="1">IF('(直掃)Change to adc mapping '!AM93 &lt;&gt;-1,"0x" &amp; DEC2HEX('(直掃)Change to adc mapping '!AM93) &amp; ",",-1&amp; ",")</f>
        <v>-1,</v>
      </c>
      <c r="AN29" t="str">
        <f ca="1">IF('(直掃)Change to adc mapping '!AN93 &lt;&gt;-1,"0x" &amp; DEC2HEX('(直掃)Change to adc mapping '!AN93) &amp; ",",-1&amp; ",")</f>
        <v>-1,</v>
      </c>
      <c r="AO29" t="str">
        <f ca="1">IF('(直掃)Change to adc mapping '!AO93 &lt;&gt;-1,"0x" &amp; DEC2HEX('(直掃)Change to adc mapping '!AO93) &amp; ",",-1&amp; ",")</f>
        <v>-1,</v>
      </c>
      <c r="AP29" t="str">
        <f ca="1">IF('(直掃)Change to adc mapping '!AP93 &lt;&gt;-1,"0x" &amp; DEC2HEX('(直掃)Change to adc mapping '!AP93) &amp; ",",-1&amp; ",")</f>
        <v>-1,</v>
      </c>
      <c r="AQ29" t="str">
        <f ca="1">IF('(直掃)Change to adc mapping '!AQ93 &lt;&gt;-1,"0x" &amp; DEC2HEX('(直掃)Change to adc mapping '!AQ93) &amp; ",",-1&amp; ",")</f>
        <v>-1,</v>
      </c>
      <c r="AR29" t="str">
        <f ca="1">IF('(直掃)Change to adc mapping '!AR93 &lt;&gt;-1,"0x" &amp; DEC2HEX('(直掃)Change to adc mapping '!AR93) &amp; ",",-1&amp; ",")</f>
        <v>-1,</v>
      </c>
      <c r="AS29" t="str">
        <f ca="1">IF('(直掃)Change to adc mapping '!AS93 &lt;&gt;-1,"0x" &amp; DEC2HEX('(直掃)Change to adc mapping '!AS93) &amp; ",",-1&amp; ",")</f>
        <v>-1,</v>
      </c>
      <c r="AT29" t="str">
        <f ca="1">IF('(直掃)Change to adc mapping '!AT93 &lt;&gt;-1,"0x" &amp; DEC2HEX('(直掃)Change to adc mapping '!AT93) &amp; ",",-1&amp; ",")</f>
        <v>-1,</v>
      </c>
      <c r="AU29" t="str">
        <f ca="1">IF('(直掃)Change to adc mapping '!AU93 &lt;&gt;-1,"0x" &amp; DEC2HEX('(直掃)Change to adc mapping '!AU93) &amp; ",",-1&amp; ",")</f>
        <v>-1,</v>
      </c>
      <c r="AV29" t="str">
        <f ca="1">IF('(直掃)Change to adc mapping '!AV93 &lt;&gt;-1,"0x" &amp; DEC2HEX('(直掃)Change to adc mapping '!AV93) &amp; ",",-1&amp; ",")</f>
        <v>-1,</v>
      </c>
      <c r="AW29" t="str">
        <f ca="1">IF('(直掃)Change to adc mapping '!AW93 &lt;&gt;-1,"0x" &amp; DEC2HEX('(直掃)Change to adc mapping '!AW93) &amp; ",",-1&amp; ",")</f>
        <v>-1,</v>
      </c>
      <c r="AX29" t="str">
        <f ca="1">IF('(直掃)Change to adc mapping '!AX93 &lt;&gt;-1,"0x" &amp; DEC2HEX('(直掃)Change to adc mapping '!AX93) &amp; ",",-1&amp; ",")</f>
        <v>-1,</v>
      </c>
      <c r="AY29" t="str">
        <f ca="1">IF('(直掃)Change to adc mapping '!AY93 &lt;&gt;-1,"0x" &amp; DEC2HEX('(直掃)Change to adc mapping '!AY93) &amp; ",",-1&amp; ",")</f>
        <v>-1,</v>
      </c>
      <c r="AZ29" t="str">
        <f ca="1">IF('(直掃)Change to adc mapping '!AZ93 &lt;&gt;-1,"0x" &amp; DEC2HEX('(直掃)Change to adc mapping '!AZ93) &amp; ",",-1&amp; ",")</f>
        <v>-1,</v>
      </c>
      <c r="BA29" t="str">
        <f ca="1">IF('(直掃)Change to adc mapping '!BA93 &lt;&gt;-1,"0x" &amp; DEC2HEX('(直掃)Change to adc mapping '!BA93) &amp; ",",-1&amp; ",")</f>
        <v>-1,</v>
      </c>
      <c r="BB29" t="str">
        <f ca="1">IF('(直掃)Change to adc mapping '!BB93 &lt;&gt;-1,"0x" &amp; DEC2HEX('(直掃)Change to adc mapping '!BB93) &amp; ",",-1&amp; ",")</f>
        <v>-1,</v>
      </c>
      <c r="BC29" t="str">
        <f ca="1">IF('(直掃)Change to adc mapping '!BC93 &lt;&gt;-1,"0x" &amp; DEC2HEX('(直掃)Change to adc mapping '!BC93) &amp; ",",-1&amp; ",")</f>
        <v>-1,</v>
      </c>
      <c r="BD29" t="str">
        <f ca="1">IF('(直掃)Change to adc mapping '!BD93 &lt;&gt;-1,"0x" &amp; DEC2HEX('(直掃)Change to adc mapping '!BD93) &amp; ",",-1&amp; ",")</f>
        <v>-1,</v>
      </c>
      <c r="BE29" t="str">
        <f ca="1">IF('(直掃)Change to adc mapping '!BE93 &lt;&gt;-1,"0x" &amp; DEC2HEX('(直掃)Change to adc mapping '!BE93) &amp; ",",-1&amp; ",")</f>
        <v>-1,</v>
      </c>
      <c r="BF29" t="str">
        <f ca="1">IF('(直掃)Change to adc mapping '!BF93 &lt;&gt;-1,"0x" &amp; DEC2HEX('(直掃)Change to adc mapping '!BF93) &amp; ",",-1&amp; ",")</f>
        <v>-1,</v>
      </c>
      <c r="BG29" t="str">
        <f ca="1">IF('(直掃)Change to adc mapping '!BG93 &lt;&gt;-1,"0x" &amp; DEC2HEX('(直掃)Change to adc mapping '!BG93) &amp; ",",-1&amp; ",")</f>
        <v>-1,</v>
      </c>
      <c r="BH29" t="str">
        <f ca="1">IF('(直掃)Change to adc mapping '!BH93 &lt;&gt;-1,"0x" &amp; DEC2HEX('(直掃)Change to adc mapping '!BH93) &amp; ",",-1&amp; ",")</f>
        <v>-1,</v>
      </c>
      <c r="BI29" t="str">
        <f ca="1">IF('(直掃)Change to adc mapping '!BI93 &lt;&gt;-1,"0x" &amp; DEC2HEX('(直掃)Change to adc mapping '!BI93) &amp; ",",-1&amp; ",")</f>
        <v>-1,</v>
      </c>
    </row>
    <row r="30" spans="1:61" x14ac:dyDescent="0.25">
      <c r="A30" s="20">
        <v>29</v>
      </c>
      <c r="B30" t="str">
        <f ca="1">'(直掃)Change to adc mapping '!B94 &amp; ","</f>
        <v>9999,</v>
      </c>
      <c r="C30" t="str">
        <f ca="1">'(直掃)Change to adc mapping '!C94 &amp; ","</f>
        <v>9999,</v>
      </c>
      <c r="D30" t="str">
        <f ca="1">'(直掃)Change to adc mapping '!D94 &amp; ","</f>
        <v>9999,</v>
      </c>
      <c r="E30" t="str">
        <f ca="1">'(直掃)Change to adc mapping '!E94 &amp; ","</f>
        <v>9999,</v>
      </c>
      <c r="F30" t="str">
        <f ca="1">'(直掃)Change to adc mapping '!F94 &amp; ","</f>
        <v>9999,</v>
      </c>
      <c r="G30" t="str">
        <f ca="1">'(直掃)Change to adc mapping '!G94 &amp; ","</f>
        <v>9999,</v>
      </c>
      <c r="H30" t="str">
        <f ca="1">'(直掃)Change to adc mapping '!H94 &amp; ","</f>
        <v>9999,</v>
      </c>
      <c r="I30" t="str">
        <f ca="1">'(直掃)Change to adc mapping '!I94 &amp; ","</f>
        <v>9999,</v>
      </c>
      <c r="J30" t="str">
        <f ca="1">'(直掃)Change to adc mapping '!J94 &amp; ","</f>
        <v>9999,</v>
      </c>
      <c r="K30" t="str">
        <f ca="1">'(直掃)Change to adc mapping '!K94 &amp; ","</f>
        <v>9999,</v>
      </c>
      <c r="L30" t="str">
        <f ca="1">'(直掃)Change to adc mapping '!L94 &amp; ","</f>
        <v>9999,</v>
      </c>
      <c r="M30" t="str">
        <f ca="1">'(直掃)Change to adc mapping '!M94 &amp; ","</f>
        <v>9999,</v>
      </c>
      <c r="N30" t="str">
        <f ca="1">'(直掃)Change to adc mapping '!N94 &amp; ","</f>
        <v>9999,</v>
      </c>
      <c r="O30" t="str">
        <f ca="1">'(直掃)Change to adc mapping '!O94 &amp; ","</f>
        <v>9999,</v>
      </c>
      <c r="P30" t="str">
        <f ca="1">'(直掃)Change to adc mapping '!P94 &amp; ","</f>
        <v>9999,</v>
      </c>
      <c r="Q30" t="str">
        <f ca="1">'(直掃)Change to adc mapping '!Q94 &amp; ","</f>
        <v>9999,</v>
      </c>
      <c r="R30" t="str">
        <f ca="1">'(直掃)Change to adc mapping '!R94 &amp; ","</f>
        <v>9999,</v>
      </c>
      <c r="S30" t="str">
        <f ca="1">'(直掃)Change to adc mapping '!S94 &amp; ","</f>
        <v>9999,</v>
      </c>
      <c r="T30" t="str">
        <f ca="1">'(直掃)Change to adc mapping '!T94 &amp; ","</f>
        <v>9999,</v>
      </c>
      <c r="U30" t="str">
        <f ca="1">'(直掃)Change to adc mapping '!U94 &amp; ","</f>
        <v>9999,</v>
      </c>
      <c r="V30" t="str">
        <f ca="1">'(直掃)Change to adc mapping '!V94 &amp; ","</f>
        <v>9999,</v>
      </c>
      <c r="W30" t="str">
        <f ca="1">'(直掃)Change to adc mapping '!W94 &amp; ","</f>
        <v>9999,</v>
      </c>
      <c r="X30" t="str">
        <f ca="1">'(直掃)Change to adc mapping '!X94 &amp; ","</f>
        <v>9999,</v>
      </c>
      <c r="Y30" t="str">
        <f ca="1">IF('(直掃)Change to adc mapping '!Y94 &lt;&gt;-1,"0x" &amp; DEC2HEX('(直掃)Change to adc mapping '!Y94) &amp; ",",-1&amp; ",")</f>
        <v>-1,</v>
      </c>
      <c r="Z30" t="str">
        <f ca="1">IF('(直掃)Change to adc mapping '!Z94 &lt;&gt;-1,"0x" &amp; DEC2HEX('(直掃)Change to adc mapping '!Z94) &amp; ",",-1&amp; ",")</f>
        <v>-1,</v>
      </c>
      <c r="AA30" t="str">
        <f ca="1">IF('(直掃)Change to adc mapping '!AA94 &lt;&gt;-1,"0x" &amp; DEC2HEX('(直掃)Change to adc mapping '!AA94) &amp; ",",-1&amp; ",")</f>
        <v>-1,</v>
      </c>
      <c r="AB30" t="str">
        <f ca="1">IF('(直掃)Change to adc mapping '!AB94 &lt;&gt;-1,"0x" &amp; DEC2HEX('(直掃)Change to adc mapping '!AB94) &amp; ",",-1&amp; ",")</f>
        <v>-1,</v>
      </c>
      <c r="AC30" t="str">
        <f ca="1">IF('(直掃)Change to adc mapping '!AC94 &lt;&gt;-1,"0x" &amp; DEC2HEX('(直掃)Change to adc mapping '!AC94) &amp; ",",-1&amp; ",")</f>
        <v>-1,</v>
      </c>
      <c r="AD30" t="str">
        <f ca="1">IF('(直掃)Change to adc mapping '!AD94 &lt;&gt;-1,"0x" &amp; DEC2HEX('(直掃)Change to adc mapping '!AD94) &amp; ",",-1&amp; ",")</f>
        <v>-1,</v>
      </c>
      <c r="AE30" t="str">
        <f ca="1">IF('(直掃)Change to adc mapping '!AE94 &lt;&gt;-1,"0x" &amp; DEC2HEX('(直掃)Change to adc mapping '!AE94) &amp; ",",-1&amp; ",")</f>
        <v>-1,</v>
      </c>
      <c r="AF30" t="str">
        <f ca="1">IF('(直掃)Change to adc mapping '!AF94 &lt;&gt;-1,"0x" &amp; DEC2HEX('(直掃)Change to adc mapping '!AF94) &amp; ",",-1&amp; ",")</f>
        <v>-1,</v>
      </c>
      <c r="AG30" t="str">
        <f ca="1">IF('(直掃)Change to adc mapping '!AG94 &lt;&gt;-1,"0x" &amp; DEC2HEX('(直掃)Change to adc mapping '!AG94) &amp; ",",-1&amp; ",")</f>
        <v>-1,</v>
      </c>
      <c r="AH30" t="str">
        <f ca="1">IF('(直掃)Change to adc mapping '!AH94 &lt;&gt;-1,"0x" &amp; DEC2HEX('(直掃)Change to adc mapping '!AH94) &amp; ",",-1&amp; ",")</f>
        <v>-1,</v>
      </c>
      <c r="AI30" t="str">
        <f ca="1">IF('(直掃)Change to adc mapping '!AI94 &lt;&gt;-1,"0x" &amp; DEC2HEX('(直掃)Change to adc mapping '!AI94) &amp; ",",-1&amp; ",")</f>
        <v>-1,</v>
      </c>
      <c r="AJ30" t="str">
        <f ca="1">IF('(直掃)Change to adc mapping '!AJ94 &lt;&gt;-1,"0x" &amp; DEC2HEX('(直掃)Change to adc mapping '!AJ94) &amp; ",",-1&amp; ",")</f>
        <v>-1,</v>
      </c>
      <c r="AK30" t="str">
        <f ca="1">IF('(直掃)Change to adc mapping '!AK94 &lt;&gt;-1,"0x" &amp; DEC2HEX('(直掃)Change to adc mapping '!AK94) &amp; ",",-1&amp; ",")</f>
        <v>-1,</v>
      </c>
      <c r="AL30" t="str">
        <f ca="1">IF('(直掃)Change to adc mapping '!AL94 &lt;&gt;-1,"0x" &amp; DEC2HEX('(直掃)Change to adc mapping '!AL94) &amp; ",",-1&amp; ",")</f>
        <v>-1,</v>
      </c>
      <c r="AM30" t="str">
        <f ca="1">IF('(直掃)Change to adc mapping '!AM94 &lt;&gt;-1,"0x" &amp; DEC2HEX('(直掃)Change to adc mapping '!AM94) &amp; ",",-1&amp; ",")</f>
        <v>-1,</v>
      </c>
      <c r="AN30" t="str">
        <f ca="1">IF('(直掃)Change to adc mapping '!AN94 &lt;&gt;-1,"0x" &amp; DEC2HEX('(直掃)Change to adc mapping '!AN94) &amp; ",",-1&amp; ",")</f>
        <v>-1,</v>
      </c>
      <c r="AO30" t="str">
        <f ca="1">IF('(直掃)Change to adc mapping '!AO94 &lt;&gt;-1,"0x" &amp; DEC2HEX('(直掃)Change to adc mapping '!AO94) &amp; ",",-1&amp; ",")</f>
        <v>-1,</v>
      </c>
      <c r="AP30" t="str">
        <f ca="1">IF('(直掃)Change to adc mapping '!AP94 &lt;&gt;-1,"0x" &amp; DEC2HEX('(直掃)Change to adc mapping '!AP94) &amp; ",",-1&amp; ",")</f>
        <v>-1,</v>
      </c>
      <c r="AQ30" t="str">
        <f ca="1">IF('(直掃)Change to adc mapping '!AQ94 &lt;&gt;-1,"0x" &amp; DEC2HEX('(直掃)Change to adc mapping '!AQ94) &amp; ",",-1&amp; ",")</f>
        <v>-1,</v>
      </c>
      <c r="AR30" t="str">
        <f ca="1">IF('(直掃)Change to adc mapping '!AR94 &lt;&gt;-1,"0x" &amp; DEC2HEX('(直掃)Change to adc mapping '!AR94) &amp; ",",-1&amp; ",")</f>
        <v>-1,</v>
      </c>
      <c r="AS30" t="str">
        <f ca="1">IF('(直掃)Change to adc mapping '!AS94 &lt;&gt;-1,"0x" &amp; DEC2HEX('(直掃)Change to adc mapping '!AS94) &amp; ",",-1&amp; ",")</f>
        <v>-1,</v>
      </c>
      <c r="AT30" t="str">
        <f ca="1">IF('(直掃)Change to adc mapping '!AT94 &lt;&gt;-1,"0x" &amp; DEC2HEX('(直掃)Change to adc mapping '!AT94) &amp; ",",-1&amp; ",")</f>
        <v>-1,</v>
      </c>
      <c r="AU30" t="str">
        <f ca="1">IF('(直掃)Change to adc mapping '!AU94 &lt;&gt;-1,"0x" &amp; DEC2HEX('(直掃)Change to adc mapping '!AU94) &amp; ",",-1&amp; ",")</f>
        <v>-1,</v>
      </c>
      <c r="AV30" t="str">
        <f ca="1">IF('(直掃)Change to adc mapping '!AV94 &lt;&gt;-1,"0x" &amp; DEC2HEX('(直掃)Change to adc mapping '!AV94) &amp; ",",-1&amp; ",")</f>
        <v>-1,</v>
      </c>
      <c r="AW30" t="str">
        <f ca="1">IF('(直掃)Change to adc mapping '!AW94 &lt;&gt;-1,"0x" &amp; DEC2HEX('(直掃)Change to adc mapping '!AW94) &amp; ",",-1&amp; ",")</f>
        <v>-1,</v>
      </c>
      <c r="AX30" t="str">
        <f ca="1">IF('(直掃)Change to adc mapping '!AX94 &lt;&gt;-1,"0x" &amp; DEC2HEX('(直掃)Change to adc mapping '!AX94) &amp; ",",-1&amp; ",")</f>
        <v>-1,</v>
      </c>
      <c r="AY30" t="str">
        <f ca="1">IF('(直掃)Change to adc mapping '!AY94 &lt;&gt;-1,"0x" &amp; DEC2HEX('(直掃)Change to adc mapping '!AY94) &amp; ",",-1&amp; ",")</f>
        <v>-1,</v>
      </c>
      <c r="AZ30" t="str">
        <f ca="1">IF('(直掃)Change to adc mapping '!AZ94 &lt;&gt;-1,"0x" &amp; DEC2HEX('(直掃)Change to adc mapping '!AZ94) &amp; ",",-1&amp; ",")</f>
        <v>-1,</v>
      </c>
      <c r="BA30" t="str">
        <f ca="1">IF('(直掃)Change to adc mapping '!BA94 &lt;&gt;-1,"0x" &amp; DEC2HEX('(直掃)Change to adc mapping '!BA94) &amp; ",",-1&amp; ",")</f>
        <v>-1,</v>
      </c>
      <c r="BB30" t="str">
        <f ca="1">IF('(直掃)Change to adc mapping '!BB94 &lt;&gt;-1,"0x" &amp; DEC2HEX('(直掃)Change to adc mapping '!BB94) &amp; ",",-1&amp; ",")</f>
        <v>-1,</v>
      </c>
      <c r="BC30" t="str">
        <f ca="1">IF('(直掃)Change to adc mapping '!BC94 &lt;&gt;-1,"0x" &amp; DEC2HEX('(直掃)Change to adc mapping '!BC94) &amp; ",",-1&amp; ",")</f>
        <v>-1,</v>
      </c>
      <c r="BD30" t="str">
        <f ca="1">IF('(直掃)Change to adc mapping '!BD94 &lt;&gt;-1,"0x" &amp; DEC2HEX('(直掃)Change to adc mapping '!BD94) &amp; ",",-1&amp; ",")</f>
        <v>-1,</v>
      </c>
      <c r="BE30" t="str">
        <f ca="1">IF('(直掃)Change to adc mapping '!BE94 &lt;&gt;-1,"0x" &amp; DEC2HEX('(直掃)Change to adc mapping '!BE94) &amp; ",",-1&amp; ",")</f>
        <v>-1,</v>
      </c>
      <c r="BF30" t="str">
        <f ca="1">IF('(直掃)Change to adc mapping '!BF94 &lt;&gt;-1,"0x" &amp; DEC2HEX('(直掃)Change to adc mapping '!BF94) &amp; ",",-1&amp; ",")</f>
        <v>-1,</v>
      </c>
      <c r="BG30" t="str">
        <f ca="1">IF('(直掃)Change to adc mapping '!BG94 &lt;&gt;-1,"0x" &amp; DEC2HEX('(直掃)Change to adc mapping '!BG94) &amp; ",",-1&amp; ",")</f>
        <v>-1,</v>
      </c>
      <c r="BH30" t="str">
        <f ca="1">IF('(直掃)Change to adc mapping '!BH94 &lt;&gt;-1,"0x" &amp; DEC2HEX('(直掃)Change to adc mapping '!BH94) &amp; ",",-1&amp; ",")</f>
        <v>-1,</v>
      </c>
      <c r="BI30" t="str">
        <f ca="1">IF('(直掃)Change to adc mapping '!BI94 &lt;&gt;-1,"0x" &amp; DEC2HEX('(直掃)Change to adc mapping '!BI94) &amp; ",",-1&amp; ",")</f>
        <v>-1,</v>
      </c>
    </row>
    <row r="31" spans="1:61" x14ac:dyDescent="0.25">
      <c r="A31" s="20">
        <v>30</v>
      </c>
      <c r="B31" t="str">
        <f ca="1">'(直掃)Change to adc mapping '!B95 &amp; ","</f>
        <v>9999,</v>
      </c>
      <c r="C31" t="str">
        <f ca="1">'(直掃)Change to adc mapping '!C95 &amp; ","</f>
        <v>9999,</v>
      </c>
      <c r="D31" t="str">
        <f ca="1">'(直掃)Change to adc mapping '!D95 &amp; ","</f>
        <v>9999,</v>
      </c>
      <c r="E31" t="str">
        <f ca="1">'(直掃)Change to adc mapping '!E95 &amp; ","</f>
        <v>9999,</v>
      </c>
      <c r="F31" t="str">
        <f ca="1">'(直掃)Change to adc mapping '!F95 &amp; ","</f>
        <v>9999,</v>
      </c>
      <c r="G31" t="str">
        <f ca="1">'(直掃)Change to adc mapping '!G95 &amp; ","</f>
        <v>9999,</v>
      </c>
      <c r="H31" t="str">
        <f ca="1">'(直掃)Change to adc mapping '!H95 &amp; ","</f>
        <v>9999,</v>
      </c>
      <c r="I31" t="str">
        <f ca="1">'(直掃)Change to adc mapping '!I95 &amp; ","</f>
        <v>9999,</v>
      </c>
      <c r="J31" t="str">
        <f ca="1">'(直掃)Change to adc mapping '!J95 &amp; ","</f>
        <v>9999,</v>
      </c>
      <c r="K31" t="str">
        <f ca="1">'(直掃)Change to adc mapping '!K95 &amp; ","</f>
        <v>9999,</v>
      </c>
      <c r="L31" t="str">
        <f ca="1">'(直掃)Change to adc mapping '!L95 &amp; ","</f>
        <v>9999,</v>
      </c>
      <c r="M31" t="str">
        <f ca="1">'(直掃)Change to adc mapping '!M95 &amp; ","</f>
        <v>9999,</v>
      </c>
      <c r="N31" t="str">
        <f ca="1">'(直掃)Change to adc mapping '!N95 &amp; ","</f>
        <v>9999,</v>
      </c>
      <c r="O31" t="str">
        <f ca="1">'(直掃)Change to adc mapping '!O95 &amp; ","</f>
        <v>9999,</v>
      </c>
      <c r="P31" t="str">
        <f ca="1">'(直掃)Change to adc mapping '!P95 &amp; ","</f>
        <v>9999,</v>
      </c>
      <c r="Q31" t="str">
        <f ca="1">'(直掃)Change to adc mapping '!Q95 &amp; ","</f>
        <v>9999,</v>
      </c>
      <c r="R31" t="str">
        <f ca="1">'(直掃)Change to adc mapping '!R95 &amp; ","</f>
        <v>9999,</v>
      </c>
      <c r="S31" t="str">
        <f ca="1">'(直掃)Change to adc mapping '!S95 &amp; ","</f>
        <v>9999,</v>
      </c>
      <c r="T31" t="str">
        <f ca="1">'(直掃)Change to adc mapping '!T95 &amp; ","</f>
        <v>9999,</v>
      </c>
      <c r="U31" t="str">
        <f ca="1">'(直掃)Change to adc mapping '!U95 &amp; ","</f>
        <v>9999,</v>
      </c>
      <c r="V31" t="str">
        <f ca="1">'(直掃)Change to adc mapping '!V95 &amp; ","</f>
        <v>9999,</v>
      </c>
      <c r="W31" t="str">
        <f ca="1">'(直掃)Change to adc mapping '!W95 &amp; ","</f>
        <v>9999,</v>
      </c>
      <c r="X31" t="str">
        <f ca="1">'(直掃)Change to adc mapping '!X95 &amp; ","</f>
        <v>9999,</v>
      </c>
      <c r="Y31" t="str">
        <f ca="1">IF('(直掃)Change to adc mapping '!Y95 &lt;&gt;-1,"0x" &amp; DEC2HEX('(直掃)Change to adc mapping '!Y95) &amp; ",",-1&amp; ",")</f>
        <v>-1,</v>
      </c>
      <c r="Z31" t="str">
        <f ca="1">IF('(直掃)Change to adc mapping '!Z95 &lt;&gt;-1,"0x" &amp; DEC2HEX('(直掃)Change to adc mapping '!Z95) &amp; ",",-1&amp; ",")</f>
        <v>-1,</v>
      </c>
      <c r="AA31" t="str">
        <f ca="1">IF('(直掃)Change to adc mapping '!AA95 &lt;&gt;-1,"0x" &amp; DEC2HEX('(直掃)Change to adc mapping '!AA95) &amp; ",",-1&amp; ",")</f>
        <v>-1,</v>
      </c>
      <c r="AB31" t="str">
        <f ca="1">IF('(直掃)Change to adc mapping '!AB95 &lt;&gt;-1,"0x" &amp; DEC2HEX('(直掃)Change to adc mapping '!AB95) &amp; ",",-1&amp; ",")</f>
        <v>-1,</v>
      </c>
      <c r="AC31" t="str">
        <f ca="1">IF('(直掃)Change to adc mapping '!AC95 &lt;&gt;-1,"0x" &amp; DEC2HEX('(直掃)Change to adc mapping '!AC95) &amp; ",",-1&amp; ",")</f>
        <v>-1,</v>
      </c>
      <c r="AD31" t="str">
        <f ca="1">IF('(直掃)Change to adc mapping '!AD95 &lt;&gt;-1,"0x" &amp; DEC2HEX('(直掃)Change to adc mapping '!AD95) &amp; ",",-1&amp; ",")</f>
        <v>-1,</v>
      </c>
      <c r="AE31" t="str">
        <f ca="1">IF('(直掃)Change to adc mapping '!AE95 &lt;&gt;-1,"0x" &amp; DEC2HEX('(直掃)Change to adc mapping '!AE95) &amp; ",",-1&amp; ",")</f>
        <v>-1,</v>
      </c>
      <c r="AF31" t="str">
        <f ca="1">IF('(直掃)Change to adc mapping '!AF95 &lt;&gt;-1,"0x" &amp; DEC2HEX('(直掃)Change to adc mapping '!AF95) &amp; ",",-1&amp; ",")</f>
        <v>-1,</v>
      </c>
      <c r="AG31" t="str">
        <f ca="1">IF('(直掃)Change to adc mapping '!AG95 &lt;&gt;-1,"0x" &amp; DEC2HEX('(直掃)Change to adc mapping '!AG95) &amp; ",",-1&amp; ",")</f>
        <v>-1,</v>
      </c>
      <c r="AH31" t="str">
        <f ca="1">IF('(直掃)Change to adc mapping '!AH95 &lt;&gt;-1,"0x" &amp; DEC2HEX('(直掃)Change to adc mapping '!AH95) &amp; ",",-1&amp; ",")</f>
        <v>-1,</v>
      </c>
      <c r="AI31" t="str">
        <f ca="1">IF('(直掃)Change to adc mapping '!AI95 &lt;&gt;-1,"0x" &amp; DEC2HEX('(直掃)Change to adc mapping '!AI95) &amp; ",",-1&amp; ",")</f>
        <v>-1,</v>
      </c>
      <c r="AJ31" t="str">
        <f ca="1">IF('(直掃)Change to adc mapping '!AJ95 &lt;&gt;-1,"0x" &amp; DEC2HEX('(直掃)Change to adc mapping '!AJ95) &amp; ",",-1&amp; ",")</f>
        <v>-1,</v>
      </c>
      <c r="AK31" t="str">
        <f ca="1">IF('(直掃)Change to adc mapping '!AK95 &lt;&gt;-1,"0x" &amp; DEC2HEX('(直掃)Change to adc mapping '!AK95) &amp; ",",-1&amp; ",")</f>
        <v>-1,</v>
      </c>
      <c r="AL31" t="str">
        <f ca="1">IF('(直掃)Change to adc mapping '!AL95 &lt;&gt;-1,"0x" &amp; DEC2HEX('(直掃)Change to adc mapping '!AL95) &amp; ",",-1&amp; ",")</f>
        <v>-1,</v>
      </c>
      <c r="AM31" t="str">
        <f ca="1">IF('(直掃)Change to adc mapping '!AM95 &lt;&gt;-1,"0x" &amp; DEC2HEX('(直掃)Change to adc mapping '!AM95) &amp; ",",-1&amp; ",")</f>
        <v>-1,</v>
      </c>
      <c r="AN31" t="str">
        <f ca="1">IF('(直掃)Change to adc mapping '!AN95 &lt;&gt;-1,"0x" &amp; DEC2HEX('(直掃)Change to adc mapping '!AN95) &amp; ",",-1&amp; ",")</f>
        <v>-1,</v>
      </c>
      <c r="AO31" t="str">
        <f ca="1">IF('(直掃)Change to adc mapping '!AO95 &lt;&gt;-1,"0x" &amp; DEC2HEX('(直掃)Change to adc mapping '!AO95) &amp; ",",-1&amp; ",")</f>
        <v>-1,</v>
      </c>
      <c r="AP31" t="str">
        <f ca="1">IF('(直掃)Change to adc mapping '!AP95 &lt;&gt;-1,"0x" &amp; DEC2HEX('(直掃)Change to adc mapping '!AP95) &amp; ",",-1&amp; ",")</f>
        <v>-1,</v>
      </c>
      <c r="AQ31" t="str">
        <f ca="1">IF('(直掃)Change to adc mapping '!AQ95 &lt;&gt;-1,"0x" &amp; DEC2HEX('(直掃)Change to adc mapping '!AQ95) &amp; ",",-1&amp; ",")</f>
        <v>-1,</v>
      </c>
      <c r="AR31" t="str">
        <f ca="1">IF('(直掃)Change to adc mapping '!AR95 &lt;&gt;-1,"0x" &amp; DEC2HEX('(直掃)Change to adc mapping '!AR95) &amp; ",",-1&amp; ",")</f>
        <v>-1,</v>
      </c>
      <c r="AS31" t="str">
        <f ca="1">IF('(直掃)Change to adc mapping '!AS95 &lt;&gt;-1,"0x" &amp; DEC2HEX('(直掃)Change to adc mapping '!AS95) &amp; ",",-1&amp; ",")</f>
        <v>-1,</v>
      </c>
      <c r="AT31" t="str">
        <f ca="1">IF('(直掃)Change to adc mapping '!AT95 &lt;&gt;-1,"0x" &amp; DEC2HEX('(直掃)Change to adc mapping '!AT95) &amp; ",",-1&amp; ",")</f>
        <v>-1,</v>
      </c>
      <c r="AU31" t="str">
        <f ca="1">IF('(直掃)Change to adc mapping '!AU95 &lt;&gt;-1,"0x" &amp; DEC2HEX('(直掃)Change to adc mapping '!AU95) &amp; ",",-1&amp; ",")</f>
        <v>-1,</v>
      </c>
      <c r="AV31" t="str">
        <f ca="1">IF('(直掃)Change to adc mapping '!AV95 &lt;&gt;-1,"0x" &amp; DEC2HEX('(直掃)Change to adc mapping '!AV95) &amp; ",",-1&amp; ",")</f>
        <v>-1,</v>
      </c>
      <c r="AW31" t="str">
        <f ca="1">IF('(直掃)Change to adc mapping '!AW95 &lt;&gt;-1,"0x" &amp; DEC2HEX('(直掃)Change to adc mapping '!AW95) &amp; ",",-1&amp; ",")</f>
        <v>-1,</v>
      </c>
      <c r="AX31" t="str">
        <f ca="1">IF('(直掃)Change to adc mapping '!AX95 &lt;&gt;-1,"0x" &amp; DEC2HEX('(直掃)Change to adc mapping '!AX95) &amp; ",",-1&amp; ",")</f>
        <v>-1,</v>
      </c>
      <c r="AY31" t="str">
        <f ca="1">IF('(直掃)Change to adc mapping '!AY95 &lt;&gt;-1,"0x" &amp; DEC2HEX('(直掃)Change to adc mapping '!AY95) &amp; ",",-1&amp; ",")</f>
        <v>-1,</v>
      </c>
      <c r="AZ31" t="str">
        <f ca="1">IF('(直掃)Change to adc mapping '!AZ95 &lt;&gt;-1,"0x" &amp; DEC2HEX('(直掃)Change to adc mapping '!AZ95) &amp; ",",-1&amp; ",")</f>
        <v>-1,</v>
      </c>
      <c r="BA31" t="str">
        <f ca="1">IF('(直掃)Change to adc mapping '!BA95 &lt;&gt;-1,"0x" &amp; DEC2HEX('(直掃)Change to adc mapping '!BA95) &amp; ",",-1&amp; ",")</f>
        <v>-1,</v>
      </c>
      <c r="BB31" t="str">
        <f ca="1">IF('(直掃)Change to adc mapping '!BB95 &lt;&gt;-1,"0x" &amp; DEC2HEX('(直掃)Change to adc mapping '!BB95) &amp; ",",-1&amp; ",")</f>
        <v>-1,</v>
      </c>
      <c r="BC31" t="str">
        <f ca="1">IF('(直掃)Change to adc mapping '!BC95 &lt;&gt;-1,"0x" &amp; DEC2HEX('(直掃)Change to adc mapping '!BC95) &amp; ",",-1&amp; ",")</f>
        <v>-1,</v>
      </c>
      <c r="BD31" t="str">
        <f ca="1">IF('(直掃)Change to adc mapping '!BD95 &lt;&gt;-1,"0x" &amp; DEC2HEX('(直掃)Change to adc mapping '!BD95) &amp; ",",-1&amp; ",")</f>
        <v>-1,</v>
      </c>
      <c r="BE31" t="str">
        <f ca="1">IF('(直掃)Change to adc mapping '!BE95 &lt;&gt;-1,"0x" &amp; DEC2HEX('(直掃)Change to adc mapping '!BE95) &amp; ",",-1&amp; ",")</f>
        <v>-1,</v>
      </c>
      <c r="BF31" t="str">
        <f ca="1">IF('(直掃)Change to adc mapping '!BF95 &lt;&gt;-1,"0x" &amp; DEC2HEX('(直掃)Change to adc mapping '!BF95) &amp; ",",-1&amp; ",")</f>
        <v>-1,</v>
      </c>
      <c r="BG31" t="str">
        <f ca="1">IF('(直掃)Change to adc mapping '!BG95 &lt;&gt;-1,"0x" &amp; DEC2HEX('(直掃)Change to adc mapping '!BG95) &amp; ",",-1&amp; ",")</f>
        <v>-1,</v>
      </c>
      <c r="BH31" t="str">
        <f ca="1">IF('(直掃)Change to adc mapping '!BH95 &lt;&gt;-1,"0x" &amp; DEC2HEX('(直掃)Change to adc mapping '!BH95) &amp; ",",-1&amp; ",")</f>
        <v>-1,</v>
      </c>
      <c r="BI31" t="str">
        <f ca="1">IF('(直掃)Change to adc mapping '!BI95 &lt;&gt;-1,"0x" &amp; DEC2HEX('(直掃)Change to adc mapping '!BI95) &amp; ",",-1&amp; ",")</f>
        <v>-1,</v>
      </c>
    </row>
    <row r="32" spans="1:61" x14ac:dyDescent="0.25">
      <c r="A32" s="20">
        <v>31</v>
      </c>
      <c r="B32" t="str">
        <f ca="1">'(直掃)Change to adc mapping '!B96 &amp; ","</f>
        <v>9999,</v>
      </c>
      <c r="C32" t="str">
        <f ca="1">'(直掃)Change to adc mapping '!C96 &amp; ","</f>
        <v>9999,</v>
      </c>
      <c r="D32" t="str">
        <f ca="1">'(直掃)Change to adc mapping '!D96 &amp; ","</f>
        <v>9999,</v>
      </c>
      <c r="E32" t="str">
        <f ca="1">'(直掃)Change to adc mapping '!E96 &amp; ","</f>
        <v>9999,</v>
      </c>
      <c r="F32" t="str">
        <f ca="1">'(直掃)Change to adc mapping '!F96 &amp; ","</f>
        <v>9999,</v>
      </c>
      <c r="G32" t="str">
        <f ca="1">'(直掃)Change to adc mapping '!G96 &amp; ","</f>
        <v>9999,</v>
      </c>
      <c r="H32" t="str">
        <f ca="1">'(直掃)Change to adc mapping '!H96 &amp; ","</f>
        <v>9999,</v>
      </c>
      <c r="I32" t="str">
        <f ca="1">'(直掃)Change to adc mapping '!I96 &amp; ","</f>
        <v>9999,</v>
      </c>
      <c r="J32" t="str">
        <f ca="1">'(直掃)Change to adc mapping '!J96 &amp; ","</f>
        <v>9999,</v>
      </c>
      <c r="K32" t="str">
        <f ca="1">'(直掃)Change to adc mapping '!K96 &amp; ","</f>
        <v>9999,</v>
      </c>
      <c r="L32" t="str">
        <f ca="1">'(直掃)Change to adc mapping '!L96 &amp; ","</f>
        <v>9999,</v>
      </c>
      <c r="M32" t="str">
        <f ca="1">'(直掃)Change to adc mapping '!M96 &amp; ","</f>
        <v>9999,</v>
      </c>
      <c r="N32" t="str">
        <f ca="1">'(直掃)Change to adc mapping '!N96 &amp; ","</f>
        <v>9999,</v>
      </c>
      <c r="O32" t="str">
        <f ca="1">'(直掃)Change to adc mapping '!O96 &amp; ","</f>
        <v>9999,</v>
      </c>
      <c r="P32" t="str">
        <f ca="1">'(直掃)Change to adc mapping '!P96 &amp; ","</f>
        <v>9999,</v>
      </c>
      <c r="Q32" t="str">
        <f ca="1">'(直掃)Change to adc mapping '!Q96 &amp; ","</f>
        <v>9999,</v>
      </c>
      <c r="R32" t="str">
        <f ca="1">'(直掃)Change to adc mapping '!R96 &amp; ","</f>
        <v>9999,</v>
      </c>
      <c r="S32" t="str">
        <f ca="1">'(直掃)Change to adc mapping '!S96 &amp; ","</f>
        <v>9999,</v>
      </c>
      <c r="T32" t="str">
        <f ca="1">'(直掃)Change to adc mapping '!T96 &amp; ","</f>
        <v>9999,</v>
      </c>
      <c r="U32" t="str">
        <f ca="1">'(直掃)Change to adc mapping '!U96 &amp; ","</f>
        <v>9999,</v>
      </c>
      <c r="V32" t="str">
        <f ca="1">'(直掃)Change to adc mapping '!V96 &amp; ","</f>
        <v>9999,</v>
      </c>
      <c r="W32" t="str">
        <f ca="1">'(直掃)Change to adc mapping '!W96 &amp; ","</f>
        <v>9999,</v>
      </c>
      <c r="X32" t="str">
        <f ca="1">'(直掃)Change to adc mapping '!X96 &amp; ","</f>
        <v>9999,</v>
      </c>
      <c r="Y32" t="str">
        <f ca="1">IF('(直掃)Change to adc mapping '!Y96 &lt;&gt;-1,"0x" &amp; DEC2HEX('(直掃)Change to adc mapping '!Y96) &amp; ",",-1&amp; ",")</f>
        <v>-1,</v>
      </c>
      <c r="Z32" t="str">
        <f ca="1">IF('(直掃)Change to adc mapping '!Z96 &lt;&gt;-1,"0x" &amp; DEC2HEX('(直掃)Change to adc mapping '!Z96) &amp; ",",-1&amp; ",")</f>
        <v>-1,</v>
      </c>
      <c r="AA32" t="str">
        <f ca="1">IF('(直掃)Change to adc mapping '!AA96 &lt;&gt;-1,"0x" &amp; DEC2HEX('(直掃)Change to adc mapping '!AA96) &amp; ",",-1&amp; ",")</f>
        <v>-1,</v>
      </c>
      <c r="AB32" t="str">
        <f ca="1">IF('(直掃)Change to adc mapping '!AB96 &lt;&gt;-1,"0x" &amp; DEC2HEX('(直掃)Change to adc mapping '!AB96) &amp; ",",-1&amp; ",")</f>
        <v>-1,</v>
      </c>
      <c r="AC32" t="str">
        <f ca="1">IF('(直掃)Change to adc mapping '!AC96 &lt;&gt;-1,"0x" &amp; DEC2HEX('(直掃)Change to adc mapping '!AC96) &amp; ",",-1&amp; ",")</f>
        <v>-1,</v>
      </c>
      <c r="AD32" t="str">
        <f ca="1">IF('(直掃)Change to adc mapping '!AD96 &lt;&gt;-1,"0x" &amp; DEC2HEX('(直掃)Change to adc mapping '!AD96) &amp; ",",-1&amp; ",")</f>
        <v>-1,</v>
      </c>
      <c r="AE32" t="str">
        <f ca="1">IF('(直掃)Change to adc mapping '!AE96 &lt;&gt;-1,"0x" &amp; DEC2HEX('(直掃)Change to adc mapping '!AE96) &amp; ",",-1&amp; ",")</f>
        <v>-1,</v>
      </c>
      <c r="AF32" t="str">
        <f ca="1">IF('(直掃)Change to adc mapping '!AF96 &lt;&gt;-1,"0x" &amp; DEC2HEX('(直掃)Change to adc mapping '!AF96) &amp; ",",-1&amp; ",")</f>
        <v>-1,</v>
      </c>
      <c r="AG32" t="str">
        <f ca="1">IF('(直掃)Change to adc mapping '!AG96 &lt;&gt;-1,"0x" &amp; DEC2HEX('(直掃)Change to adc mapping '!AG96) &amp; ",",-1&amp; ",")</f>
        <v>-1,</v>
      </c>
      <c r="AH32" t="str">
        <f ca="1">IF('(直掃)Change to adc mapping '!AH96 &lt;&gt;-1,"0x" &amp; DEC2HEX('(直掃)Change to adc mapping '!AH96) &amp; ",",-1&amp; ",")</f>
        <v>-1,</v>
      </c>
      <c r="AI32" t="str">
        <f ca="1">IF('(直掃)Change to adc mapping '!AI96 &lt;&gt;-1,"0x" &amp; DEC2HEX('(直掃)Change to adc mapping '!AI96) &amp; ",",-1&amp; ",")</f>
        <v>-1,</v>
      </c>
      <c r="AJ32" t="str">
        <f ca="1">IF('(直掃)Change to adc mapping '!AJ96 &lt;&gt;-1,"0x" &amp; DEC2HEX('(直掃)Change to adc mapping '!AJ96) &amp; ",",-1&amp; ",")</f>
        <v>-1,</v>
      </c>
      <c r="AK32" t="str">
        <f ca="1">IF('(直掃)Change to adc mapping '!AK96 &lt;&gt;-1,"0x" &amp; DEC2HEX('(直掃)Change to adc mapping '!AK96) &amp; ",",-1&amp; ",")</f>
        <v>-1,</v>
      </c>
      <c r="AL32" t="str">
        <f ca="1">IF('(直掃)Change to adc mapping '!AL96 &lt;&gt;-1,"0x" &amp; DEC2HEX('(直掃)Change to adc mapping '!AL96) &amp; ",",-1&amp; ",")</f>
        <v>-1,</v>
      </c>
      <c r="AM32" t="str">
        <f ca="1">IF('(直掃)Change to adc mapping '!AM96 &lt;&gt;-1,"0x" &amp; DEC2HEX('(直掃)Change to adc mapping '!AM96) &amp; ",",-1&amp; ",")</f>
        <v>-1,</v>
      </c>
      <c r="AN32" t="str">
        <f ca="1">IF('(直掃)Change to adc mapping '!AN96 &lt;&gt;-1,"0x" &amp; DEC2HEX('(直掃)Change to adc mapping '!AN96) &amp; ",",-1&amp; ",")</f>
        <v>-1,</v>
      </c>
      <c r="AO32" t="str">
        <f ca="1">IF('(直掃)Change to adc mapping '!AO96 &lt;&gt;-1,"0x" &amp; DEC2HEX('(直掃)Change to adc mapping '!AO96) &amp; ",",-1&amp; ",")</f>
        <v>-1,</v>
      </c>
      <c r="AP32" t="str">
        <f ca="1">IF('(直掃)Change to adc mapping '!AP96 &lt;&gt;-1,"0x" &amp; DEC2HEX('(直掃)Change to adc mapping '!AP96) &amp; ",",-1&amp; ",")</f>
        <v>-1,</v>
      </c>
      <c r="AQ32" t="str">
        <f ca="1">IF('(直掃)Change to adc mapping '!AQ96 &lt;&gt;-1,"0x" &amp; DEC2HEX('(直掃)Change to adc mapping '!AQ96) &amp; ",",-1&amp; ",")</f>
        <v>-1,</v>
      </c>
      <c r="AR32" t="str">
        <f ca="1">IF('(直掃)Change to adc mapping '!AR96 &lt;&gt;-1,"0x" &amp; DEC2HEX('(直掃)Change to adc mapping '!AR96) &amp; ",",-1&amp; ",")</f>
        <v>-1,</v>
      </c>
      <c r="AS32" t="str">
        <f ca="1">IF('(直掃)Change to adc mapping '!AS96 &lt;&gt;-1,"0x" &amp; DEC2HEX('(直掃)Change to adc mapping '!AS96) &amp; ",",-1&amp; ",")</f>
        <v>-1,</v>
      </c>
      <c r="AT32" t="str">
        <f ca="1">IF('(直掃)Change to adc mapping '!AT96 &lt;&gt;-1,"0x" &amp; DEC2HEX('(直掃)Change to adc mapping '!AT96) &amp; ",",-1&amp; ",")</f>
        <v>-1,</v>
      </c>
      <c r="AU32" t="str">
        <f ca="1">IF('(直掃)Change to adc mapping '!AU96 &lt;&gt;-1,"0x" &amp; DEC2HEX('(直掃)Change to adc mapping '!AU96) &amp; ",",-1&amp; ",")</f>
        <v>-1,</v>
      </c>
      <c r="AV32" t="str">
        <f ca="1">IF('(直掃)Change to adc mapping '!AV96 &lt;&gt;-1,"0x" &amp; DEC2HEX('(直掃)Change to adc mapping '!AV96) &amp; ",",-1&amp; ",")</f>
        <v>-1,</v>
      </c>
      <c r="AW32" t="str">
        <f ca="1">IF('(直掃)Change to adc mapping '!AW96 &lt;&gt;-1,"0x" &amp; DEC2HEX('(直掃)Change to adc mapping '!AW96) &amp; ",",-1&amp; ",")</f>
        <v>-1,</v>
      </c>
      <c r="AX32" t="str">
        <f ca="1">IF('(直掃)Change to adc mapping '!AX96 &lt;&gt;-1,"0x" &amp; DEC2HEX('(直掃)Change to adc mapping '!AX96) &amp; ",",-1&amp; ",")</f>
        <v>-1,</v>
      </c>
      <c r="AY32" t="str">
        <f ca="1">IF('(直掃)Change to adc mapping '!AY96 &lt;&gt;-1,"0x" &amp; DEC2HEX('(直掃)Change to adc mapping '!AY96) &amp; ",",-1&amp; ",")</f>
        <v>-1,</v>
      </c>
      <c r="AZ32" t="str">
        <f ca="1">IF('(直掃)Change to adc mapping '!AZ96 &lt;&gt;-1,"0x" &amp; DEC2HEX('(直掃)Change to adc mapping '!AZ96) &amp; ",",-1&amp; ",")</f>
        <v>-1,</v>
      </c>
      <c r="BA32" t="str">
        <f ca="1">IF('(直掃)Change to adc mapping '!BA96 &lt;&gt;-1,"0x" &amp; DEC2HEX('(直掃)Change to adc mapping '!BA96) &amp; ",",-1&amp; ",")</f>
        <v>-1,</v>
      </c>
      <c r="BB32" t="str">
        <f ca="1">IF('(直掃)Change to adc mapping '!BB96 &lt;&gt;-1,"0x" &amp; DEC2HEX('(直掃)Change to adc mapping '!BB96) &amp; ",",-1&amp; ",")</f>
        <v>-1,</v>
      </c>
      <c r="BC32" t="str">
        <f ca="1">IF('(直掃)Change to adc mapping '!BC96 &lt;&gt;-1,"0x" &amp; DEC2HEX('(直掃)Change to adc mapping '!BC96) &amp; ",",-1&amp; ",")</f>
        <v>-1,</v>
      </c>
      <c r="BD32" t="str">
        <f ca="1">IF('(直掃)Change to adc mapping '!BD96 &lt;&gt;-1,"0x" &amp; DEC2HEX('(直掃)Change to adc mapping '!BD96) &amp; ",",-1&amp; ",")</f>
        <v>-1,</v>
      </c>
      <c r="BE32" t="str">
        <f ca="1">IF('(直掃)Change to adc mapping '!BE96 &lt;&gt;-1,"0x" &amp; DEC2HEX('(直掃)Change to adc mapping '!BE96) &amp; ",",-1&amp; ",")</f>
        <v>-1,</v>
      </c>
      <c r="BF32" t="str">
        <f ca="1">IF('(直掃)Change to adc mapping '!BF96 &lt;&gt;-1,"0x" &amp; DEC2HEX('(直掃)Change to adc mapping '!BF96) &amp; ",",-1&amp; ",")</f>
        <v>-1,</v>
      </c>
      <c r="BG32" t="str">
        <f ca="1">IF('(直掃)Change to adc mapping '!BG96 &lt;&gt;-1,"0x" &amp; DEC2HEX('(直掃)Change to adc mapping '!BG96) &amp; ",",-1&amp; ",")</f>
        <v>-1,</v>
      </c>
      <c r="BH32" t="str">
        <f ca="1">IF('(直掃)Change to adc mapping '!BH96 &lt;&gt;-1,"0x" &amp; DEC2HEX('(直掃)Change to adc mapping '!BH96) &amp; ",",-1&amp; ",")</f>
        <v>-1,</v>
      </c>
      <c r="BI32" t="str">
        <f ca="1">IF('(直掃)Change to adc mapping '!BI96 &lt;&gt;-1,"0x" &amp; DEC2HEX('(直掃)Change to adc mapping '!BI96) &amp; ",",-1&amp; ",")</f>
        <v>-1,</v>
      </c>
    </row>
    <row r="33" spans="1:61" x14ac:dyDescent="0.25">
      <c r="A33" s="20">
        <v>32</v>
      </c>
      <c r="B33" t="str">
        <f ca="1">'(直掃)Change to adc mapping '!B97 &amp; ","</f>
        <v>9999,</v>
      </c>
      <c r="C33" t="str">
        <f ca="1">'(直掃)Change to adc mapping '!C97 &amp; ","</f>
        <v>9999,</v>
      </c>
      <c r="D33" t="str">
        <f ca="1">'(直掃)Change to adc mapping '!D97 &amp; ","</f>
        <v>9999,</v>
      </c>
      <c r="E33" t="str">
        <f ca="1">'(直掃)Change to adc mapping '!E97 &amp; ","</f>
        <v>9999,</v>
      </c>
      <c r="F33" t="str">
        <f ca="1">'(直掃)Change to adc mapping '!F97 &amp; ","</f>
        <v>9999,</v>
      </c>
      <c r="G33" t="str">
        <f ca="1">'(直掃)Change to adc mapping '!G97 &amp; ","</f>
        <v>9999,</v>
      </c>
      <c r="H33" t="str">
        <f ca="1">'(直掃)Change to adc mapping '!H97 &amp; ","</f>
        <v>9999,</v>
      </c>
      <c r="I33" t="str">
        <f ca="1">'(直掃)Change to adc mapping '!I97 &amp; ","</f>
        <v>9999,</v>
      </c>
      <c r="J33" t="str">
        <f ca="1">'(直掃)Change to adc mapping '!J97 &amp; ","</f>
        <v>9999,</v>
      </c>
      <c r="K33" t="str">
        <f ca="1">'(直掃)Change to adc mapping '!K97 &amp; ","</f>
        <v>9999,</v>
      </c>
      <c r="L33" t="str">
        <f ca="1">'(直掃)Change to adc mapping '!L97 &amp; ","</f>
        <v>9999,</v>
      </c>
      <c r="M33" t="str">
        <f ca="1">'(直掃)Change to adc mapping '!M97 &amp; ","</f>
        <v>9999,</v>
      </c>
      <c r="N33" t="str">
        <f ca="1">'(直掃)Change to adc mapping '!N97 &amp; ","</f>
        <v>9999,</v>
      </c>
      <c r="O33" t="str">
        <f ca="1">'(直掃)Change to adc mapping '!O97 &amp; ","</f>
        <v>9999,</v>
      </c>
      <c r="P33" t="str">
        <f ca="1">'(直掃)Change to adc mapping '!P97 &amp; ","</f>
        <v>9999,</v>
      </c>
      <c r="Q33" t="str">
        <f ca="1">'(直掃)Change to adc mapping '!Q97 &amp; ","</f>
        <v>9999,</v>
      </c>
      <c r="R33" t="str">
        <f ca="1">'(直掃)Change to adc mapping '!R97 &amp; ","</f>
        <v>9999,</v>
      </c>
      <c r="S33" t="str">
        <f ca="1">'(直掃)Change to adc mapping '!S97 &amp; ","</f>
        <v>9999,</v>
      </c>
      <c r="T33" t="str">
        <f ca="1">'(直掃)Change to adc mapping '!T97 &amp; ","</f>
        <v>9999,</v>
      </c>
      <c r="U33" t="str">
        <f ca="1">'(直掃)Change to adc mapping '!U97 &amp; ","</f>
        <v>9999,</v>
      </c>
      <c r="V33" t="str">
        <f ca="1">'(直掃)Change to adc mapping '!V97 &amp; ","</f>
        <v>9999,</v>
      </c>
      <c r="W33" t="str">
        <f ca="1">'(直掃)Change to adc mapping '!W97 &amp; ","</f>
        <v>9999,</v>
      </c>
      <c r="X33" t="str">
        <f ca="1">'(直掃)Change to adc mapping '!X97 &amp; ","</f>
        <v>9999,</v>
      </c>
      <c r="Y33" t="str">
        <f ca="1">IF('(直掃)Change to adc mapping '!Y97 &lt;&gt;-1,"0x" &amp; DEC2HEX('(直掃)Change to adc mapping '!Y97) &amp; ",",-1&amp; ",")</f>
        <v>-1,</v>
      </c>
      <c r="Z33" t="str">
        <f ca="1">IF('(直掃)Change to adc mapping '!Z97 &lt;&gt;-1,"0x" &amp; DEC2HEX('(直掃)Change to adc mapping '!Z97) &amp; ",",-1&amp; ",")</f>
        <v>-1,</v>
      </c>
      <c r="AA33" t="str">
        <f ca="1">IF('(直掃)Change to adc mapping '!AA97 &lt;&gt;-1,"0x" &amp; DEC2HEX('(直掃)Change to adc mapping '!AA97) &amp; ",",-1&amp; ",")</f>
        <v>-1,</v>
      </c>
      <c r="AB33" t="str">
        <f ca="1">IF('(直掃)Change to adc mapping '!AB97 &lt;&gt;-1,"0x" &amp; DEC2HEX('(直掃)Change to adc mapping '!AB97) &amp; ",",-1&amp; ",")</f>
        <v>-1,</v>
      </c>
      <c r="AC33" t="str">
        <f ca="1">IF('(直掃)Change to adc mapping '!AC97 &lt;&gt;-1,"0x" &amp; DEC2HEX('(直掃)Change to adc mapping '!AC97) &amp; ",",-1&amp; ",")</f>
        <v>-1,</v>
      </c>
      <c r="AD33" t="str">
        <f ca="1">IF('(直掃)Change to adc mapping '!AD97 &lt;&gt;-1,"0x" &amp; DEC2HEX('(直掃)Change to adc mapping '!AD97) &amp; ",",-1&amp; ",")</f>
        <v>-1,</v>
      </c>
      <c r="AE33" t="str">
        <f ca="1">IF('(直掃)Change to adc mapping '!AE97 &lt;&gt;-1,"0x" &amp; DEC2HEX('(直掃)Change to adc mapping '!AE97) &amp; ",",-1&amp; ",")</f>
        <v>-1,</v>
      </c>
      <c r="AF33" t="str">
        <f ca="1">IF('(直掃)Change to adc mapping '!AF97 &lt;&gt;-1,"0x" &amp; DEC2HEX('(直掃)Change to adc mapping '!AF97) &amp; ",",-1&amp; ",")</f>
        <v>-1,</v>
      </c>
      <c r="AG33" t="str">
        <f ca="1">IF('(直掃)Change to adc mapping '!AG97 &lt;&gt;-1,"0x" &amp; DEC2HEX('(直掃)Change to adc mapping '!AG97) &amp; ",",-1&amp; ",")</f>
        <v>-1,</v>
      </c>
      <c r="AH33" t="str">
        <f ca="1">IF('(直掃)Change to adc mapping '!AH97 &lt;&gt;-1,"0x" &amp; DEC2HEX('(直掃)Change to adc mapping '!AH97) &amp; ",",-1&amp; ",")</f>
        <v>-1,</v>
      </c>
      <c r="AI33" t="str">
        <f ca="1">IF('(直掃)Change to adc mapping '!AI97 &lt;&gt;-1,"0x" &amp; DEC2HEX('(直掃)Change to adc mapping '!AI97) &amp; ",",-1&amp; ",")</f>
        <v>-1,</v>
      </c>
      <c r="AJ33" t="str">
        <f ca="1">IF('(直掃)Change to adc mapping '!AJ97 &lt;&gt;-1,"0x" &amp; DEC2HEX('(直掃)Change to adc mapping '!AJ97) &amp; ",",-1&amp; ",")</f>
        <v>-1,</v>
      </c>
      <c r="AK33" t="str">
        <f ca="1">IF('(直掃)Change to adc mapping '!AK97 &lt;&gt;-1,"0x" &amp; DEC2HEX('(直掃)Change to adc mapping '!AK97) &amp; ",",-1&amp; ",")</f>
        <v>-1,</v>
      </c>
      <c r="AL33" t="str">
        <f ca="1">IF('(直掃)Change to adc mapping '!AL97 &lt;&gt;-1,"0x" &amp; DEC2HEX('(直掃)Change to adc mapping '!AL97) &amp; ",",-1&amp; ",")</f>
        <v>-1,</v>
      </c>
      <c r="AM33" t="str">
        <f ca="1">IF('(直掃)Change to adc mapping '!AM97 &lt;&gt;-1,"0x" &amp; DEC2HEX('(直掃)Change to adc mapping '!AM97) &amp; ",",-1&amp; ",")</f>
        <v>-1,</v>
      </c>
      <c r="AN33" t="str">
        <f ca="1">IF('(直掃)Change to adc mapping '!AN97 &lt;&gt;-1,"0x" &amp; DEC2HEX('(直掃)Change to adc mapping '!AN97) &amp; ",",-1&amp; ",")</f>
        <v>-1,</v>
      </c>
      <c r="AO33" t="str">
        <f ca="1">IF('(直掃)Change to adc mapping '!AO97 &lt;&gt;-1,"0x" &amp; DEC2HEX('(直掃)Change to adc mapping '!AO97) &amp; ",",-1&amp; ",")</f>
        <v>-1,</v>
      </c>
      <c r="AP33" t="str">
        <f ca="1">IF('(直掃)Change to adc mapping '!AP97 &lt;&gt;-1,"0x" &amp; DEC2HEX('(直掃)Change to adc mapping '!AP97) &amp; ",",-1&amp; ",")</f>
        <v>-1,</v>
      </c>
      <c r="AQ33" t="str">
        <f ca="1">IF('(直掃)Change to adc mapping '!AQ97 &lt;&gt;-1,"0x" &amp; DEC2HEX('(直掃)Change to adc mapping '!AQ97) &amp; ",",-1&amp; ",")</f>
        <v>-1,</v>
      </c>
      <c r="AR33" t="str">
        <f ca="1">IF('(直掃)Change to adc mapping '!AR97 &lt;&gt;-1,"0x" &amp; DEC2HEX('(直掃)Change to adc mapping '!AR97) &amp; ",",-1&amp; ",")</f>
        <v>-1,</v>
      </c>
      <c r="AS33" t="str">
        <f ca="1">IF('(直掃)Change to adc mapping '!AS97 &lt;&gt;-1,"0x" &amp; DEC2HEX('(直掃)Change to adc mapping '!AS97) &amp; ",",-1&amp; ",")</f>
        <v>-1,</v>
      </c>
      <c r="AT33" t="str">
        <f ca="1">IF('(直掃)Change to adc mapping '!AT97 &lt;&gt;-1,"0x" &amp; DEC2HEX('(直掃)Change to adc mapping '!AT97) &amp; ",",-1&amp; ",")</f>
        <v>-1,</v>
      </c>
      <c r="AU33" t="str">
        <f ca="1">IF('(直掃)Change to adc mapping '!AU97 &lt;&gt;-1,"0x" &amp; DEC2HEX('(直掃)Change to adc mapping '!AU97) &amp; ",",-1&amp; ",")</f>
        <v>-1,</v>
      </c>
      <c r="AV33" t="str">
        <f ca="1">IF('(直掃)Change to adc mapping '!AV97 &lt;&gt;-1,"0x" &amp; DEC2HEX('(直掃)Change to adc mapping '!AV97) &amp; ",",-1&amp; ",")</f>
        <v>-1,</v>
      </c>
      <c r="AW33" t="str">
        <f ca="1">IF('(直掃)Change to adc mapping '!AW97 &lt;&gt;-1,"0x" &amp; DEC2HEX('(直掃)Change to adc mapping '!AW97) &amp; ",",-1&amp; ",")</f>
        <v>-1,</v>
      </c>
      <c r="AX33" t="str">
        <f ca="1">IF('(直掃)Change to adc mapping '!AX97 &lt;&gt;-1,"0x" &amp; DEC2HEX('(直掃)Change to adc mapping '!AX97) &amp; ",",-1&amp; ",")</f>
        <v>-1,</v>
      </c>
      <c r="AY33" t="str">
        <f ca="1">IF('(直掃)Change to adc mapping '!AY97 &lt;&gt;-1,"0x" &amp; DEC2HEX('(直掃)Change to adc mapping '!AY97) &amp; ",",-1&amp; ",")</f>
        <v>-1,</v>
      </c>
      <c r="AZ33" t="str">
        <f ca="1">IF('(直掃)Change to adc mapping '!AZ97 &lt;&gt;-1,"0x" &amp; DEC2HEX('(直掃)Change to adc mapping '!AZ97) &amp; ",",-1&amp; ",")</f>
        <v>-1,</v>
      </c>
      <c r="BA33" t="str">
        <f ca="1">IF('(直掃)Change to adc mapping '!BA97 &lt;&gt;-1,"0x" &amp; DEC2HEX('(直掃)Change to adc mapping '!BA97) &amp; ",",-1&amp; ",")</f>
        <v>-1,</v>
      </c>
      <c r="BB33" t="str">
        <f ca="1">IF('(直掃)Change to adc mapping '!BB97 &lt;&gt;-1,"0x" &amp; DEC2HEX('(直掃)Change to adc mapping '!BB97) &amp; ",",-1&amp; ",")</f>
        <v>-1,</v>
      </c>
      <c r="BC33" t="str">
        <f ca="1">IF('(直掃)Change to adc mapping '!BC97 &lt;&gt;-1,"0x" &amp; DEC2HEX('(直掃)Change to adc mapping '!BC97) &amp; ",",-1&amp; ",")</f>
        <v>-1,</v>
      </c>
      <c r="BD33" t="str">
        <f ca="1">IF('(直掃)Change to adc mapping '!BD97 &lt;&gt;-1,"0x" &amp; DEC2HEX('(直掃)Change to adc mapping '!BD97) &amp; ",",-1&amp; ",")</f>
        <v>-1,</v>
      </c>
      <c r="BE33" t="str">
        <f ca="1">IF('(直掃)Change to adc mapping '!BE97 &lt;&gt;-1,"0x" &amp; DEC2HEX('(直掃)Change to adc mapping '!BE97) &amp; ",",-1&amp; ",")</f>
        <v>-1,</v>
      </c>
      <c r="BF33" t="str">
        <f ca="1">IF('(直掃)Change to adc mapping '!BF97 &lt;&gt;-1,"0x" &amp; DEC2HEX('(直掃)Change to adc mapping '!BF97) &amp; ",",-1&amp; ",")</f>
        <v>-1,</v>
      </c>
      <c r="BG33" t="str">
        <f ca="1">IF('(直掃)Change to adc mapping '!BG97 &lt;&gt;-1,"0x" &amp; DEC2HEX('(直掃)Change to adc mapping '!BG97) &amp; ",",-1&amp; ",")</f>
        <v>-1,</v>
      </c>
      <c r="BH33" t="str">
        <f ca="1">IF('(直掃)Change to adc mapping '!BH97 &lt;&gt;-1,"0x" &amp; DEC2HEX('(直掃)Change to adc mapping '!BH97) &amp; ",",-1&amp; ",")</f>
        <v>-1,</v>
      </c>
      <c r="BI33" t="str">
        <f ca="1">IF('(直掃)Change to adc mapping '!BI97 &lt;&gt;-1,"0x" &amp; DEC2HEX('(直掃)Change to adc mapping '!BI97) &amp; ",",-1&amp; ",")</f>
        <v>-1,</v>
      </c>
    </row>
    <row r="34" spans="1:61" x14ac:dyDescent="0.25">
      <c r="A34" s="20">
        <v>33</v>
      </c>
      <c r="B34" t="str">
        <f ca="1">'(直掃)Change to adc mapping '!B98 &amp; ","</f>
        <v>9999,</v>
      </c>
      <c r="C34" t="str">
        <f ca="1">'(直掃)Change to adc mapping '!C98 &amp; ","</f>
        <v>9999,</v>
      </c>
      <c r="D34" t="str">
        <f ca="1">'(直掃)Change to adc mapping '!D98 &amp; ","</f>
        <v>9999,</v>
      </c>
      <c r="E34" t="str">
        <f ca="1">'(直掃)Change to adc mapping '!E98 &amp; ","</f>
        <v>9999,</v>
      </c>
      <c r="F34" t="str">
        <f ca="1">'(直掃)Change to adc mapping '!F98 &amp; ","</f>
        <v>9999,</v>
      </c>
      <c r="G34" t="str">
        <f ca="1">'(直掃)Change to adc mapping '!G98 &amp; ","</f>
        <v>9999,</v>
      </c>
      <c r="H34" t="str">
        <f ca="1">'(直掃)Change to adc mapping '!H98 &amp; ","</f>
        <v>9999,</v>
      </c>
      <c r="I34" t="str">
        <f ca="1">'(直掃)Change to adc mapping '!I98 &amp; ","</f>
        <v>9999,</v>
      </c>
      <c r="J34" t="str">
        <f ca="1">'(直掃)Change to adc mapping '!J98 &amp; ","</f>
        <v>9999,</v>
      </c>
      <c r="K34" t="str">
        <f ca="1">'(直掃)Change to adc mapping '!K98 &amp; ","</f>
        <v>9999,</v>
      </c>
      <c r="L34" t="str">
        <f ca="1">'(直掃)Change to adc mapping '!L98 &amp; ","</f>
        <v>9999,</v>
      </c>
      <c r="M34" t="str">
        <f ca="1">'(直掃)Change to adc mapping '!M98 &amp; ","</f>
        <v>9999,</v>
      </c>
      <c r="N34" t="str">
        <f ca="1">'(直掃)Change to adc mapping '!N98 &amp; ","</f>
        <v>9999,</v>
      </c>
      <c r="O34" t="str">
        <f ca="1">'(直掃)Change to adc mapping '!O98 &amp; ","</f>
        <v>9999,</v>
      </c>
      <c r="P34" t="str">
        <f ca="1">'(直掃)Change to adc mapping '!P98 &amp; ","</f>
        <v>9999,</v>
      </c>
      <c r="Q34" t="str">
        <f ca="1">'(直掃)Change to adc mapping '!Q98 &amp; ","</f>
        <v>9999,</v>
      </c>
      <c r="R34" t="str">
        <f ca="1">'(直掃)Change to adc mapping '!R98 &amp; ","</f>
        <v>9999,</v>
      </c>
      <c r="S34" t="str">
        <f ca="1">'(直掃)Change to adc mapping '!S98 &amp; ","</f>
        <v>9999,</v>
      </c>
      <c r="T34" t="str">
        <f ca="1">'(直掃)Change to adc mapping '!T98 &amp; ","</f>
        <v>9999,</v>
      </c>
      <c r="U34" t="str">
        <f ca="1">'(直掃)Change to adc mapping '!U98 &amp; ","</f>
        <v>9999,</v>
      </c>
      <c r="V34" t="str">
        <f ca="1">'(直掃)Change to adc mapping '!V98 &amp; ","</f>
        <v>9999,</v>
      </c>
      <c r="W34" t="str">
        <f ca="1">'(直掃)Change to adc mapping '!W98 &amp; ","</f>
        <v>9999,</v>
      </c>
      <c r="X34" t="str">
        <f ca="1">'(直掃)Change to adc mapping '!X98 &amp; ","</f>
        <v>9999,</v>
      </c>
      <c r="Y34" t="str">
        <f ca="1">IF('(直掃)Change to adc mapping '!Y98 &lt;&gt;-1,"0x" &amp; DEC2HEX('(直掃)Change to adc mapping '!Y98) &amp; ",",-1&amp; ",")</f>
        <v>-1,</v>
      </c>
      <c r="Z34" t="str">
        <f ca="1">IF('(直掃)Change to adc mapping '!Z98 &lt;&gt;-1,"0x" &amp; DEC2HEX('(直掃)Change to adc mapping '!Z98) &amp; ",",-1&amp; ",")</f>
        <v>-1,</v>
      </c>
      <c r="AA34" t="str">
        <f ca="1">IF('(直掃)Change to adc mapping '!AA98 &lt;&gt;-1,"0x" &amp; DEC2HEX('(直掃)Change to adc mapping '!AA98) &amp; ",",-1&amp; ",")</f>
        <v>-1,</v>
      </c>
      <c r="AB34" t="str">
        <f ca="1">IF('(直掃)Change to adc mapping '!AB98 &lt;&gt;-1,"0x" &amp; DEC2HEX('(直掃)Change to adc mapping '!AB98) &amp; ",",-1&amp; ",")</f>
        <v>-1,</v>
      </c>
      <c r="AC34" t="str">
        <f ca="1">IF('(直掃)Change to adc mapping '!AC98 &lt;&gt;-1,"0x" &amp; DEC2HEX('(直掃)Change to adc mapping '!AC98) &amp; ",",-1&amp; ",")</f>
        <v>-1,</v>
      </c>
      <c r="AD34" t="str">
        <f ca="1">IF('(直掃)Change to adc mapping '!AD98 &lt;&gt;-1,"0x" &amp; DEC2HEX('(直掃)Change to adc mapping '!AD98) &amp; ",",-1&amp; ",")</f>
        <v>-1,</v>
      </c>
      <c r="AE34" t="str">
        <f ca="1">IF('(直掃)Change to adc mapping '!AE98 &lt;&gt;-1,"0x" &amp; DEC2HEX('(直掃)Change to adc mapping '!AE98) &amp; ",",-1&amp; ",")</f>
        <v>-1,</v>
      </c>
      <c r="AF34" t="str">
        <f ca="1">IF('(直掃)Change to adc mapping '!AF98 &lt;&gt;-1,"0x" &amp; DEC2HEX('(直掃)Change to adc mapping '!AF98) &amp; ",",-1&amp; ",")</f>
        <v>0x0,</v>
      </c>
      <c r="AG34" t="str">
        <f ca="1">IF('(直掃)Change to adc mapping '!AG98 &lt;&gt;-1,"0x" &amp; DEC2HEX('(直掃)Change to adc mapping '!AG98) &amp; ",",-1&amp; ",")</f>
        <v>0x1,</v>
      </c>
      <c r="AH34" t="str">
        <f ca="1">IF('(直掃)Change to adc mapping '!AH98 &lt;&gt;-1,"0x" &amp; DEC2HEX('(直掃)Change to adc mapping '!AH98) &amp; ",",-1&amp; ",")</f>
        <v>0x2,</v>
      </c>
      <c r="AI34" t="str">
        <f ca="1">IF('(直掃)Change to adc mapping '!AI98 &lt;&gt;-1,"0x" &amp; DEC2HEX('(直掃)Change to adc mapping '!AI98) &amp; ",",-1&amp; ",")</f>
        <v>0x3,</v>
      </c>
      <c r="AJ34" t="str">
        <f ca="1">IF('(直掃)Change to adc mapping '!AJ98 &lt;&gt;-1,"0x" &amp; DEC2HEX('(直掃)Change to adc mapping '!AJ98) &amp; ",",-1&amp; ",")</f>
        <v>0x4,</v>
      </c>
      <c r="AK34" t="str">
        <f ca="1">IF('(直掃)Change to adc mapping '!AK98 &lt;&gt;-1,"0x" &amp; DEC2HEX('(直掃)Change to adc mapping '!AK98) &amp; ",",-1&amp; ",")</f>
        <v>0x5,</v>
      </c>
      <c r="AL34" t="str">
        <f ca="1">IF('(直掃)Change to adc mapping '!AL98 &lt;&gt;-1,"0x" &amp; DEC2HEX('(直掃)Change to adc mapping '!AL98) &amp; ",",-1&amp; ",")</f>
        <v>0x6,</v>
      </c>
      <c r="AM34" t="str">
        <f ca="1">IF('(直掃)Change to adc mapping '!AM98 &lt;&gt;-1,"0x" &amp; DEC2HEX('(直掃)Change to adc mapping '!AM98) &amp; ",",-1&amp; ",")</f>
        <v>0x7,</v>
      </c>
      <c r="AN34" t="str">
        <f ca="1">IF('(直掃)Change to adc mapping '!AN98 &lt;&gt;-1,"0x" &amp; DEC2HEX('(直掃)Change to adc mapping '!AN98) &amp; ",",-1&amp; ",")</f>
        <v>0x8,</v>
      </c>
      <c r="AO34" t="str">
        <f ca="1">IF('(直掃)Change to adc mapping '!AO98 &lt;&gt;-1,"0x" &amp; DEC2HEX('(直掃)Change to adc mapping '!AO98) &amp; ",",-1&amp; ",")</f>
        <v>0x9,</v>
      </c>
      <c r="AP34" t="str">
        <f ca="1">IF('(直掃)Change to adc mapping '!AP98 &lt;&gt;-1,"0x" &amp; DEC2HEX('(直掃)Change to adc mapping '!AP98) &amp; ",",-1&amp; ",")</f>
        <v>0xA,</v>
      </c>
      <c r="AQ34" t="str">
        <f ca="1">IF('(直掃)Change to adc mapping '!AQ98 &lt;&gt;-1,"0x" &amp; DEC2HEX('(直掃)Change to adc mapping '!AQ98) &amp; ",",-1&amp; ",")</f>
        <v>0xB,</v>
      </c>
      <c r="AR34" t="str">
        <f ca="1">IF('(直掃)Change to adc mapping '!AR98 &lt;&gt;-1,"0x" &amp; DEC2HEX('(直掃)Change to adc mapping '!AR98) &amp; ",",-1&amp; ",")</f>
        <v>0xC,</v>
      </c>
      <c r="AS34" t="str">
        <f ca="1">IF('(直掃)Change to adc mapping '!AS98 &lt;&gt;-1,"0x" &amp; DEC2HEX('(直掃)Change to adc mapping '!AS98) &amp; ",",-1&amp; ",")</f>
        <v>0xD,</v>
      </c>
      <c r="AT34" t="str">
        <f ca="1">IF('(直掃)Change to adc mapping '!AT98 &lt;&gt;-1,"0x" &amp; DEC2HEX('(直掃)Change to adc mapping '!AT98) &amp; ",",-1&amp; ",")</f>
        <v>0xE,</v>
      </c>
      <c r="AU34" t="str">
        <f ca="1">IF('(直掃)Change to adc mapping '!AU98 &lt;&gt;-1,"0x" &amp; DEC2HEX('(直掃)Change to adc mapping '!AU98) &amp; ",",-1&amp; ",")</f>
        <v>0xF,</v>
      </c>
      <c r="AV34" t="str">
        <f ca="1">IF('(直掃)Change to adc mapping '!AV98 &lt;&gt;-1,"0x" &amp; DEC2HEX('(直掃)Change to adc mapping '!AV98) &amp; ",",-1&amp; ",")</f>
        <v>0x10,</v>
      </c>
      <c r="AW34" t="str">
        <f ca="1">IF('(直掃)Change to adc mapping '!AW98 &lt;&gt;-1,"0x" &amp; DEC2HEX('(直掃)Change to adc mapping '!AW98) &amp; ",",-1&amp; ",")</f>
        <v>0x11,</v>
      </c>
      <c r="AX34" t="str">
        <f ca="1">IF('(直掃)Change to adc mapping '!AX98 &lt;&gt;-1,"0x" &amp; DEC2HEX('(直掃)Change to adc mapping '!AX98) &amp; ",",-1&amp; ",")</f>
        <v>0x12,</v>
      </c>
      <c r="AY34" t="str">
        <f ca="1">IF('(直掃)Change to adc mapping '!AY98 &lt;&gt;-1,"0x" &amp; DEC2HEX('(直掃)Change to adc mapping '!AY98) &amp; ",",-1&amp; ",")</f>
        <v>0x13,</v>
      </c>
      <c r="AZ34" t="str">
        <f ca="1">IF('(直掃)Change to adc mapping '!AZ98 &lt;&gt;-1,"0x" &amp; DEC2HEX('(直掃)Change to adc mapping '!AZ98) &amp; ",",-1&amp; ",")</f>
        <v>0x14,</v>
      </c>
      <c r="BA34" t="str">
        <f ca="1">IF('(直掃)Change to adc mapping '!BA98 &lt;&gt;-1,"0x" &amp; DEC2HEX('(直掃)Change to adc mapping '!BA98) &amp; ",",-1&amp; ",")</f>
        <v>0x15,</v>
      </c>
      <c r="BB34" t="str">
        <f ca="1">IF('(直掃)Change to adc mapping '!BB98 &lt;&gt;-1,"0x" &amp; DEC2HEX('(直掃)Change to adc mapping '!BB98) &amp; ",",-1&amp; ",")</f>
        <v>0x16,</v>
      </c>
      <c r="BC34" t="str">
        <f ca="1">IF('(直掃)Change to adc mapping '!BC98 &lt;&gt;-1,"0x" &amp; DEC2HEX('(直掃)Change to adc mapping '!BC98) &amp; ",",-1&amp; ",")</f>
        <v>0x17,</v>
      </c>
      <c r="BD34" t="str">
        <f ca="1">IF('(直掃)Change to adc mapping '!BD98 &lt;&gt;-1,"0x" &amp; DEC2HEX('(直掃)Change to adc mapping '!BD98) &amp; ",",-1&amp; ",")</f>
        <v>0x18,</v>
      </c>
      <c r="BE34" t="str">
        <f ca="1">IF('(直掃)Change to adc mapping '!BE98 &lt;&gt;-1,"0x" &amp; DEC2HEX('(直掃)Change to adc mapping '!BE98) &amp; ",",-1&amp; ",")</f>
        <v>0x19,</v>
      </c>
      <c r="BF34" t="str">
        <f ca="1">IF('(直掃)Change to adc mapping '!BF98 &lt;&gt;-1,"0x" &amp; DEC2HEX('(直掃)Change to adc mapping '!BF98) &amp; ",",-1&amp; ",")</f>
        <v>0x1A,</v>
      </c>
      <c r="BG34" t="str">
        <f ca="1">IF('(直掃)Change to adc mapping '!BG98 &lt;&gt;-1,"0x" &amp; DEC2HEX('(直掃)Change to adc mapping '!BG98) &amp; ",",-1&amp; ",")</f>
        <v>0x1B,</v>
      </c>
      <c r="BH34" t="str">
        <f ca="1">IF('(直掃)Change to adc mapping '!BH98 &lt;&gt;-1,"0x" &amp; DEC2HEX('(直掃)Change to adc mapping '!BH98) &amp; ",",-1&amp; ",")</f>
        <v>0x1C,</v>
      </c>
      <c r="BI34" t="str">
        <f ca="1">IF('(直掃)Change to adc mapping '!BI98 &lt;&gt;-1,"0x" &amp; DEC2HEX('(直掃)Change to adc mapping '!BI98) &amp; ",",-1&amp; ",")</f>
        <v>0x1D,</v>
      </c>
    </row>
    <row r="35" spans="1:61" x14ac:dyDescent="0.25">
      <c r="A35" s="20">
        <v>34</v>
      </c>
      <c r="B35" t="str">
        <f ca="1">'(直掃)Change to adc mapping '!B99 &amp; ","</f>
        <v>9999,</v>
      </c>
      <c r="C35" t="str">
        <f ca="1">'(直掃)Change to adc mapping '!C99 &amp; ","</f>
        <v>9999,</v>
      </c>
      <c r="D35" t="str">
        <f ca="1">'(直掃)Change to adc mapping '!D99 &amp; ","</f>
        <v>9999,</v>
      </c>
      <c r="E35" t="str">
        <f ca="1">'(直掃)Change to adc mapping '!E99 &amp; ","</f>
        <v>9999,</v>
      </c>
      <c r="F35" t="str">
        <f ca="1">'(直掃)Change to adc mapping '!F99 &amp; ","</f>
        <v>9999,</v>
      </c>
      <c r="G35" t="str">
        <f ca="1">'(直掃)Change to adc mapping '!G99 &amp; ","</f>
        <v>9999,</v>
      </c>
      <c r="H35" t="str">
        <f ca="1">'(直掃)Change to adc mapping '!H99 &amp; ","</f>
        <v>9999,</v>
      </c>
      <c r="I35" t="str">
        <f ca="1">'(直掃)Change to adc mapping '!I99 &amp; ","</f>
        <v>9999,</v>
      </c>
      <c r="J35" t="str">
        <f ca="1">'(直掃)Change to adc mapping '!J99 &amp; ","</f>
        <v>9999,</v>
      </c>
      <c r="K35" t="str">
        <f ca="1">'(直掃)Change to adc mapping '!K99 &amp; ","</f>
        <v>9999,</v>
      </c>
      <c r="L35" t="str">
        <f ca="1">'(直掃)Change to adc mapping '!L99 &amp; ","</f>
        <v>9999,</v>
      </c>
      <c r="M35" t="str">
        <f ca="1">'(直掃)Change to adc mapping '!M99 &amp; ","</f>
        <v>9999,</v>
      </c>
      <c r="N35" t="str">
        <f ca="1">'(直掃)Change to adc mapping '!N99 &amp; ","</f>
        <v>9999,</v>
      </c>
      <c r="O35" t="str">
        <f ca="1">'(直掃)Change to adc mapping '!O99 &amp; ","</f>
        <v>9999,</v>
      </c>
      <c r="P35" t="str">
        <f ca="1">'(直掃)Change to adc mapping '!P99 &amp; ","</f>
        <v>9999,</v>
      </c>
      <c r="Q35" t="str">
        <f ca="1">'(直掃)Change to adc mapping '!Q99 &amp; ","</f>
        <v>9999,</v>
      </c>
      <c r="R35" t="str">
        <f ca="1">'(直掃)Change to adc mapping '!R99 &amp; ","</f>
        <v>9999,</v>
      </c>
      <c r="S35" t="str">
        <f ca="1">'(直掃)Change to adc mapping '!S99 &amp; ","</f>
        <v>9999,</v>
      </c>
      <c r="T35" t="str">
        <f ca="1">'(直掃)Change to adc mapping '!T99 &amp; ","</f>
        <v>9999,</v>
      </c>
      <c r="U35" t="str">
        <f ca="1">'(直掃)Change to adc mapping '!U99 &amp; ","</f>
        <v>9999,</v>
      </c>
      <c r="V35" t="str">
        <f ca="1">'(直掃)Change to adc mapping '!V99 &amp; ","</f>
        <v>9999,</v>
      </c>
      <c r="W35" t="str">
        <f ca="1">'(直掃)Change to adc mapping '!W99 &amp; ","</f>
        <v>9999,</v>
      </c>
      <c r="X35" t="str">
        <f ca="1">'(直掃)Change to adc mapping '!X99 &amp; ","</f>
        <v>9999,</v>
      </c>
      <c r="Y35" t="str">
        <f ca="1">IF('(直掃)Change to adc mapping '!Y99 &lt;&gt;-1,"0x" &amp; DEC2HEX('(直掃)Change to adc mapping '!Y99) &amp; ",",-1&amp; ",")</f>
        <v>-1,</v>
      </c>
      <c r="Z35" t="str">
        <f ca="1">IF('(直掃)Change to adc mapping '!Z99 &lt;&gt;-1,"0x" &amp; DEC2HEX('(直掃)Change to adc mapping '!Z99) &amp; ",",-1&amp; ",")</f>
        <v>-1,</v>
      </c>
      <c r="AA35" t="str">
        <f ca="1">IF('(直掃)Change to adc mapping '!AA99 &lt;&gt;-1,"0x" &amp; DEC2HEX('(直掃)Change to adc mapping '!AA99) &amp; ",",-1&amp; ",")</f>
        <v>-1,</v>
      </c>
      <c r="AB35" t="str">
        <f ca="1">IF('(直掃)Change to adc mapping '!AB99 &lt;&gt;-1,"0x" &amp; DEC2HEX('(直掃)Change to adc mapping '!AB99) &amp; ",",-1&amp; ",")</f>
        <v>-1,</v>
      </c>
      <c r="AC35" t="str">
        <f ca="1">IF('(直掃)Change to adc mapping '!AC99 &lt;&gt;-1,"0x" &amp; DEC2HEX('(直掃)Change to adc mapping '!AC99) &amp; ",",-1&amp; ",")</f>
        <v>-1,</v>
      </c>
      <c r="AD35" t="str">
        <f ca="1">IF('(直掃)Change to adc mapping '!AD99 &lt;&gt;-1,"0x" &amp; DEC2HEX('(直掃)Change to adc mapping '!AD99) &amp; ",",-1&amp; ",")</f>
        <v>-1,</v>
      </c>
      <c r="AE35" t="str">
        <f ca="1">IF('(直掃)Change to adc mapping '!AE99 &lt;&gt;-1,"0x" &amp; DEC2HEX('(直掃)Change to adc mapping '!AE99) &amp; ",",-1&amp; ",")</f>
        <v>-1,</v>
      </c>
      <c r="AF35" t="str">
        <f ca="1">IF('(直掃)Change to adc mapping '!AF99 &lt;&gt;-1,"0x" &amp; DEC2HEX('(直掃)Change to adc mapping '!AF99) &amp; ",",-1&amp; ",")</f>
        <v>0x1E,</v>
      </c>
      <c r="AG35" t="str">
        <f ca="1">IF('(直掃)Change to adc mapping '!AG99 &lt;&gt;-1,"0x" &amp; DEC2HEX('(直掃)Change to adc mapping '!AG99) &amp; ",",-1&amp; ",")</f>
        <v>0x1F,</v>
      </c>
      <c r="AH35" t="str">
        <f ca="1">IF('(直掃)Change to adc mapping '!AH99 &lt;&gt;-1,"0x" &amp; DEC2HEX('(直掃)Change to adc mapping '!AH99) &amp; ",",-1&amp; ",")</f>
        <v>0x20,</v>
      </c>
      <c r="AI35" t="str">
        <f ca="1">IF('(直掃)Change to adc mapping '!AI99 &lt;&gt;-1,"0x" &amp; DEC2HEX('(直掃)Change to adc mapping '!AI99) &amp; ",",-1&amp; ",")</f>
        <v>0x21,</v>
      </c>
      <c r="AJ35" t="str">
        <f ca="1">IF('(直掃)Change to adc mapping '!AJ99 &lt;&gt;-1,"0x" &amp; DEC2HEX('(直掃)Change to adc mapping '!AJ99) &amp; ",",-1&amp; ",")</f>
        <v>0x22,</v>
      </c>
      <c r="AK35" t="str">
        <f ca="1">IF('(直掃)Change to adc mapping '!AK99 &lt;&gt;-1,"0x" &amp; DEC2HEX('(直掃)Change to adc mapping '!AK99) &amp; ",",-1&amp; ",")</f>
        <v>0x23,</v>
      </c>
      <c r="AL35" t="str">
        <f ca="1">IF('(直掃)Change to adc mapping '!AL99 &lt;&gt;-1,"0x" &amp; DEC2HEX('(直掃)Change to adc mapping '!AL99) &amp; ",",-1&amp; ",")</f>
        <v>0x24,</v>
      </c>
      <c r="AM35" t="str">
        <f ca="1">IF('(直掃)Change to adc mapping '!AM99 &lt;&gt;-1,"0x" &amp; DEC2HEX('(直掃)Change to adc mapping '!AM99) &amp; ",",-1&amp; ",")</f>
        <v>0x25,</v>
      </c>
      <c r="AN35" t="str">
        <f ca="1">IF('(直掃)Change to adc mapping '!AN99 &lt;&gt;-1,"0x" &amp; DEC2HEX('(直掃)Change to adc mapping '!AN99) &amp; ",",-1&amp; ",")</f>
        <v>0x26,</v>
      </c>
      <c r="AO35" t="str">
        <f ca="1">IF('(直掃)Change to adc mapping '!AO99 &lt;&gt;-1,"0x" &amp; DEC2HEX('(直掃)Change to adc mapping '!AO99) &amp; ",",-1&amp; ",")</f>
        <v>0x27,</v>
      </c>
      <c r="AP35" t="str">
        <f ca="1">IF('(直掃)Change to adc mapping '!AP99 &lt;&gt;-1,"0x" &amp; DEC2HEX('(直掃)Change to adc mapping '!AP99) &amp; ",",-1&amp; ",")</f>
        <v>0x28,</v>
      </c>
      <c r="AQ35" t="str">
        <f ca="1">IF('(直掃)Change to adc mapping '!AQ99 &lt;&gt;-1,"0x" &amp; DEC2HEX('(直掃)Change to adc mapping '!AQ99) &amp; ",",-1&amp; ",")</f>
        <v>0x29,</v>
      </c>
      <c r="AR35" t="str">
        <f ca="1">IF('(直掃)Change to adc mapping '!AR99 &lt;&gt;-1,"0x" &amp; DEC2HEX('(直掃)Change to adc mapping '!AR99) &amp; ",",-1&amp; ",")</f>
        <v>0x2A,</v>
      </c>
      <c r="AS35" t="str">
        <f ca="1">IF('(直掃)Change to adc mapping '!AS99 &lt;&gt;-1,"0x" &amp; DEC2HEX('(直掃)Change to adc mapping '!AS99) &amp; ",",-1&amp; ",")</f>
        <v>0x2B,</v>
      </c>
      <c r="AT35" t="str">
        <f ca="1">IF('(直掃)Change to adc mapping '!AT99 &lt;&gt;-1,"0x" &amp; DEC2HEX('(直掃)Change to adc mapping '!AT99) &amp; ",",-1&amp; ",")</f>
        <v>0x2C,</v>
      </c>
      <c r="AU35" t="str">
        <f ca="1">IF('(直掃)Change to adc mapping '!AU99 &lt;&gt;-1,"0x" &amp; DEC2HEX('(直掃)Change to adc mapping '!AU99) &amp; ",",-1&amp; ",")</f>
        <v>0x2D,</v>
      </c>
      <c r="AV35" t="str">
        <f ca="1">IF('(直掃)Change to adc mapping '!AV99 &lt;&gt;-1,"0x" &amp; DEC2HEX('(直掃)Change to adc mapping '!AV99) &amp; ",",-1&amp; ",")</f>
        <v>0x2E,</v>
      </c>
      <c r="AW35" t="str">
        <f ca="1">IF('(直掃)Change to adc mapping '!AW99 &lt;&gt;-1,"0x" &amp; DEC2HEX('(直掃)Change to adc mapping '!AW99) &amp; ",",-1&amp; ",")</f>
        <v>0x2F,</v>
      </c>
      <c r="AX35" t="str">
        <f ca="1">IF('(直掃)Change to adc mapping '!AX99 &lt;&gt;-1,"0x" &amp; DEC2HEX('(直掃)Change to adc mapping '!AX99) &amp; ",",-1&amp; ",")</f>
        <v>0x30,</v>
      </c>
      <c r="AY35" t="str">
        <f ca="1">IF('(直掃)Change to adc mapping '!AY99 &lt;&gt;-1,"0x" &amp; DEC2HEX('(直掃)Change to adc mapping '!AY99) &amp; ",",-1&amp; ",")</f>
        <v>0x31,</v>
      </c>
      <c r="AZ35" t="str">
        <f ca="1">IF('(直掃)Change to adc mapping '!AZ99 &lt;&gt;-1,"0x" &amp; DEC2HEX('(直掃)Change to adc mapping '!AZ99) &amp; ",",-1&amp; ",")</f>
        <v>0x32,</v>
      </c>
      <c r="BA35" t="str">
        <f ca="1">IF('(直掃)Change to adc mapping '!BA99 &lt;&gt;-1,"0x" &amp; DEC2HEX('(直掃)Change to adc mapping '!BA99) &amp; ",",-1&amp; ",")</f>
        <v>0x33,</v>
      </c>
      <c r="BB35" t="str">
        <f ca="1">IF('(直掃)Change to adc mapping '!BB99 &lt;&gt;-1,"0x" &amp; DEC2HEX('(直掃)Change to adc mapping '!BB99) &amp; ",",-1&amp; ",")</f>
        <v>0x34,</v>
      </c>
      <c r="BC35" t="str">
        <f ca="1">IF('(直掃)Change to adc mapping '!BC99 &lt;&gt;-1,"0x" &amp; DEC2HEX('(直掃)Change to adc mapping '!BC99) &amp; ",",-1&amp; ",")</f>
        <v>0x35,</v>
      </c>
      <c r="BD35" t="str">
        <f ca="1">IF('(直掃)Change to adc mapping '!BD99 &lt;&gt;-1,"0x" &amp; DEC2HEX('(直掃)Change to adc mapping '!BD99) &amp; ",",-1&amp; ",")</f>
        <v>0x36,</v>
      </c>
      <c r="BE35" t="str">
        <f ca="1">IF('(直掃)Change to adc mapping '!BE99 &lt;&gt;-1,"0x" &amp; DEC2HEX('(直掃)Change to adc mapping '!BE99) &amp; ",",-1&amp; ",")</f>
        <v>0x37,</v>
      </c>
      <c r="BF35" t="str">
        <f ca="1">IF('(直掃)Change to adc mapping '!BF99 &lt;&gt;-1,"0x" &amp; DEC2HEX('(直掃)Change to adc mapping '!BF99) &amp; ",",-1&amp; ",")</f>
        <v>0x38,</v>
      </c>
      <c r="BG35" t="str">
        <f ca="1">IF('(直掃)Change to adc mapping '!BG99 &lt;&gt;-1,"0x" &amp; DEC2HEX('(直掃)Change to adc mapping '!BG99) &amp; ",",-1&amp; ",")</f>
        <v>0x39,</v>
      </c>
      <c r="BH35" t="str">
        <f ca="1">IF('(直掃)Change to adc mapping '!BH99 &lt;&gt;-1,"0x" &amp; DEC2HEX('(直掃)Change to adc mapping '!BH99) &amp; ",",-1&amp; ",")</f>
        <v>0x3A,</v>
      </c>
      <c r="BI35" t="str">
        <f ca="1">IF('(直掃)Change to adc mapping '!BI99 &lt;&gt;-1,"0x" &amp; DEC2HEX('(直掃)Change to adc mapping '!BI99) &amp; ",",-1&amp; ",")</f>
        <v>0x3B,</v>
      </c>
    </row>
    <row r="36" spans="1:61" x14ac:dyDescent="0.25">
      <c r="A36" s="20">
        <v>35</v>
      </c>
      <c r="B36" t="str">
        <f ca="1">'(直掃)Change to adc mapping '!B100 &amp; ","</f>
        <v>9999,</v>
      </c>
      <c r="C36" t="str">
        <f ca="1">'(直掃)Change to adc mapping '!C100 &amp; ","</f>
        <v>9999,</v>
      </c>
      <c r="D36" t="str">
        <f ca="1">'(直掃)Change to adc mapping '!D100 &amp; ","</f>
        <v>9999,</v>
      </c>
      <c r="E36" t="str">
        <f ca="1">'(直掃)Change to adc mapping '!E100 &amp; ","</f>
        <v>9999,</v>
      </c>
      <c r="F36" t="str">
        <f ca="1">'(直掃)Change to adc mapping '!F100 &amp; ","</f>
        <v>9999,</v>
      </c>
      <c r="G36" t="str">
        <f ca="1">'(直掃)Change to adc mapping '!G100 &amp; ","</f>
        <v>9999,</v>
      </c>
      <c r="H36" t="str">
        <f ca="1">'(直掃)Change to adc mapping '!H100 &amp; ","</f>
        <v>9999,</v>
      </c>
      <c r="I36" t="str">
        <f ca="1">'(直掃)Change to adc mapping '!I100 &amp; ","</f>
        <v>9999,</v>
      </c>
      <c r="J36" t="str">
        <f ca="1">'(直掃)Change to adc mapping '!J100 &amp; ","</f>
        <v>9999,</v>
      </c>
      <c r="K36" t="str">
        <f ca="1">'(直掃)Change to adc mapping '!K100 &amp; ","</f>
        <v>9999,</v>
      </c>
      <c r="L36" t="str">
        <f ca="1">'(直掃)Change to adc mapping '!L100 &amp; ","</f>
        <v>9999,</v>
      </c>
      <c r="M36" t="str">
        <f ca="1">'(直掃)Change to adc mapping '!M100 &amp; ","</f>
        <v>9999,</v>
      </c>
      <c r="N36" t="str">
        <f ca="1">'(直掃)Change to adc mapping '!N100 &amp; ","</f>
        <v>9999,</v>
      </c>
      <c r="O36" t="str">
        <f ca="1">'(直掃)Change to adc mapping '!O100 &amp; ","</f>
        <v>9999,</v>
      </c>
      <c r="P36" t="str">
        <f ca="1">'(直掃)Change to adc mapping '!P100 &amp; ","</f>
        <v>9999,</v>
      </c>
      <c r="Q36" t="str">
        <f ca="1">'(直掃)Change to adc mapping '!Q100 &amp; ","</f>
        <v>9999,</v>
      </c>
      <c r="R36" t="str">
        <f ca="1">'(直掃)Change to adc mapping '!R100 &amp; ","</f>
        <v>9999,</v>
      </c>
      <c r="S36" t="str">
        <f ca="1">'(直掃)Change to adc mapping '!S100 &amp; ","</f>
        <v>9999,</v>
      </c>
      <c r="T36" t="str">
        <f ca="1">'(直掃)Change to adc mapping '!T100 &amp; ","</f>
        <v>9999,</v>
      </c>
      <c r="U36" t="str">
        <f ca="1">'(直掃)Change to adc mapping '!U100 &amp; ","</f>
        <v>9999,</v>
      </c>
      <c r="V36" t="str">
        <f ca="1">'(直掃)Change to adc mapping '!V100 &amp; ","</f>
        <v>9999,</v>
      </c>
      <c r="W36" t="str">
        <f ca="1">'(直掃)Change to adc mapping '!W100 &amp; ","</f>
        <v>9999,</v>
      </c>
      <c r="X36" t="str">
        <f ca="1">'(直掃)Change to adc mapping '!X100 &amp; ","</f>
        <v>9999,</v>
      </c>
      <c r="Y36" t="str">
        <f ca="1">IF('(直掃)Change to adc mapping '!Y100 &lt;&gt;-1,"0x" &amp; DEC2HEX('(直掃)Change to adc mapping '!Y100) &amp; ",",-1&amp; ",")</f>
        <v>-1,</v>
      </c>
      <c r="Z36" t="str">
        <f ca="1">IF('(直掃)Change to adc mapping '!Z100 &lt;&gt;-1,"0x" &amp; DEC2HEX('(直掃)Change to adc mapping '!Z100) &amp; ",",-1&amp; ",")</f>
        <v>-1,</v>
      </c>
      <c r="AA36" t="str">
        <f ca="1">IF('(直掃)Change to adc mapping '!AA100 &lt;&gt;-1,"0x" &amp; DEC2HEX('(直掃)Change to adc mapping '!AA100) &amp; ",",-1&amp; ",")</f>
        <v>-1,</v>
      </c>
      <c r="AB36" t="str">
        <f ca="1">IF('(直掃)Change to adc mapping '!AB100 &lt;&gt;-1,"0x" &amp; DEC2HEX('(直掃)Change to adc mapping '!AB100) &amp; ",",-1&amp; ",")</f>
        <v>-1,</v>
      </c>
      <c r="AC36" t="str">
        <f ca="1">IF('(直掃)Change to adc mapping '!AC100 &lt;&gt;-1,"0x" &amp; DEC2HEX('(直掃)Change to adc mapping '!AC100) &amp; ",",-1&amp; ",")</f>
        <v>-1,</v>
      </c>
      <c r="AD36" t="str">
        <f ca="1">IF('(直掃)Change to adc mapping '!AD100 &lt;&gt;-1,"0x" &amp; DEC2HEX('(直掃)Change to adc mapping '!AD100) &amp; ",",-1&amp; ",")</f>
        <v>-1,</v>
      </c>
      <c r="AE36" t="str">
        <f ca="1">IF('(直掃)Change to adc mapping '!AE100 &lt;&gt;-1,"0x" &amp; DEC2HEX('(直掃)Change to adc mapping '!AE100) &amp; ",",-1&amp; ",")</f>
        <v>-1,</v>
      </c>
      <c r="AF36" t="str">
        <f ca="1">IF('(直掃)Change to adc mapping '!AF100 &lt;&gt;-1,"0x" &amp; DEC2HEX('(直掃)Change to adc mapping '!AF100) &amp; ",",-1&amp; ",")</f>
        <v>0x3C,</v>
      </c>
      <c r="AG36" t="str">
        <f ca="1">IF('(直掃)Change to adc mapping '!AG100 &lt;&gt;-1,"0x" &amp; DEC2HEX('(直掃)Change to adc mapping '!AG100) &amp; ",",-1&amp; ",")</f>
        <v>0x3D,</v>
      </c>
      <c r="AH36" t="str">
        <f ca="1">IF('(直掃)Change to adc mapping '!AH100 &lt;&gt;-1,"0x" &amp; DEC2HEX('(直掃)Change to adc mapping '!AH100) &amp; ",",-1&amp; ",")</f>
        <v>0x3E,</v>
      </c>
      <c r="AI36" t="str">
        <f ca="1">IF('(直掃)Change to adc mapping '!AI100 &lt;&gt;-1,"0x" &amp; DEC2HEX('(直掃)Change to adc mapping '!AI100) &amp; ",",-1&amp; ",")</f>
        <v>0x3F,</v>
      </c>
      <c r="AJ36" t="str">
        <f ca="1">IF('(直掃)Change to adc mapping '!AJ100 &lt;&gt;-1,"0x" &amp; DEC2HEX('(直掃)Change to adc mapping '!AJ100) &amp; ",",-1&amp; ",")</f>
        <v>0x40,</v>
      </c>
      <c r="AK36" t="str">
        <f ca="1">IF('(直掃)Change to adc mapping '!AK100 &lt;&gt;-1,"0x" &amp; DEC2HEX('(直掃)Change to adc mapping '!AK100) &amp; ",",-1&amp; ",")</f>
        <v>0x41,</v>
      </c>
      <c r="AL36" t="str">
        <f ca="1">IF('(直掃)Change to adc mapping '!AL100 &lt;&gt;-1,"0x" &amp; DEC2HEX('(直掃)Change to adc mapping '!AL100) &amp; ",",-1&amp; ",")</f>
        <v>0x42,</v>
      </c>
      <c r="AM36" t="str">
        <f ca="1">IF('(直掃)Change to adc mapping '!AM100 &lt;&gt;-1,"0x" &amp; DEC2HEX('(直掃)Change to adc mapping '!AM100) &amp; ",",-1&amp; ",")</f>
        <v>0x43,</v>
      </c>
      <c r="AN36" t="str">
        <f ca="1">IF('(直掃)Change to adc mapping '!AN100 &lt;&gt;-1,"0x" &amp; DEC2HEX('(直掃)Change to adc mapping '!AN100) &amp; ",",-1&amp; ",")</f>
        <v>0x44,</v>
      </c>
      <c r="AO36" t="str">
        <f ca="1">IF('(直掃)Change to adc mapping '!AO100 &lt;&gt;-1,"0x" &amp; DEC2HEX('(直掃)Change to adc mapping '!AO100) &amp; ",",-1&amp; ",")</f>
        <v>0x45,</v>
      </c>
      <c r="AP36" t="str">
        <f ca="1">IF('(直掃)Change to adc mapping '!AP100 &lt;&gt;-1,"0x" &amp; DEC2HEX('(直掃)Change to adc mapping '!AP100) &amp; ",",-1&amp; ",")</f>
        <v>0x46,</v>
      </c>
      <c r="AQ36" t="str">
        <f ca="1">IF('(直掃)Change to adc mapping '!AQ100 &lt;&gt;-1,"0x" &amp; DEC2HEX('(直掃)Change to adc mapping '!AQ100) &amp; ",",-1&amp; ",")</f>
        <v>0x47,</v>
      </c>
      <c r="AR36" t="str">
        <f ca="1">IF('(直掃)Change to adc mapping '!AR100 &lt;&gt;-1,"0x" &amp; DEC2HEX('(直掃)Change to adc mapping '!AR100) &amp; ",",-1&amp; ",")</f>
        <v>0x48,</v>
      </c>
      <c r="AS36" t="str">
        <f ca="1">IF('(直掃)Change to adc mapping '!AS100 &lt;&gt;-1,"0x" &amp; DEC2HEX('(直掃)Change to adc mapping '!AS100) &amp; ",",-1&amp; ",")</f>
        <v>0x49,</v>
      </c>
      <c r="AT36" t="str">
        <f ca="1">IF('(直掃)Change to adc mapping '!AT100 &lt;&gt;-1,"0x" &amp; DEC2HEX('(直掃)Change to adc mapping '!AT100) &amp; ",",-1&amp; ",")</f>
        <v>0x4A,</v>
      </c>
      <c r="AU36" t="str">
        <f ca="1">IF('(直掃)Change to adc mapping '!AU100 &lt;&gt;-1,"0x" &amp; DEC2HEX('(直掃)Change to adc mapping '!AU100) &amp; ",",-1&amp; ",")</f>
        <v>0x4B,</v>
      </c>
      <c r="AV36" t="str">
        <f ca="1">IF('(直掃)Change to adc mapping '!AV100 &lt;&gt;-1,"0x" &amp; DEC2HEX('(直掃)Change to adc mapping '!AV100) &amp; ",",-1&amp; ",")</f>
        <v>0x4C,</v>
      </c>
      <c r="AW36" t="str">
        <f ca="1">IF('(直掃)Change to adc mapping '!AW100 &lt;&gt;-1,"0x" &amp; DEC2HEX('(直掃)Change to adc mapping '!AW100) &amp; ",",-1&amp; ",")</f>
        <v>0x4D,</v>
      </c>
      <c r="AX36" t="str">
        <f ca="1">IF('(直掃)Change to adc mapping '!AX100 &lt;&gt;-1,"0x" &amp; DEC2HEX('(直掃)Change to adc mapping '!AX100) &amp; ",",-1&amp; ",")</f>
        <v>0x4E,</v>
      </c>
      <c r="AY36" t="str">
        <f ca="1">IF('(直掃)Change to adc mapping '!AY100 &lt;&gt;-1,"0x" &amp; DEC2HEX('(直掃)Change to adc mapping '!AY100) &amp; ",",-1&amp; ",")</f>
        <v>0x4F,</v>
      </c>
      <c r="AZ36" t="str">
        <f ca="1">IF('(直掃)Change to adc mapping '!AZ100 &lt;&gt;-1,"0x" &amp; DEC2HEX('(直掃)Change to adc mapping '!AZ100) &amp; ",",-1&amp; ",")</f>
        <v>0x50,</v>
      </c>
      <c r="BA36" t="str">
        <f ca="1">IF('(直掃)Change to adc mapping '!BA100 &lt;&gt;-1,"0x" &amp; DEC2HEX('(直掃)Change to adc mapping '!BA100) &amp; ",",-1&amp; ",")</f>
        <v>0x51,</v>
      </c>
      <c r="BB36" t="str">
        <f ca="1">IF('(直掃)Change to adc mapping '!BB100 &lt;&gt;-1,"0x" &amp; DEC2HEX('(直掃)Change to adc mapping '!BB100) &amp; ",",-1&amp; ",")</f>
        <v>0x52,</v>
      </c>
      <c r="BC36" t="str">
        <f ca="1">IF('(直掃)Change to adc mapping '!BC100 &lt;&gt;-1,"0x" &amp; DEC2HEX('(直掃)Change to adc mapping '!BC100) &amp; ",",-1&amp; ",")</f>
        <v>0x53,</v>
      </c>
      <c r="BD36" t="str">
        <f ca="1">IF('(直掃)Change to adc mapping '!BD100 &lt;&gt;-1,"0x" &amp; DEC2HEX('(直掃)Change to adc mapping '!BD100) &amp; ",",-1&amp; ",")</f>
        <v>0x54,</v>
      </c>
      <c r="BE36" t="str">
        <f ca="1">IF('(直掃)Change to adc mapping '!BE100 &lt;&gt;-1,"0x" &amp; DEC2HEX('(直掃)Change to adc mapping '!BE100) &amp; ",",-1&amp; ",")</f>
        <v>0x55,</v>
      </c>
      <c r="BF36" t="str">
        <f ca="1">IF('(直掃)Change to adc mapping '!BF100 &lt;&gt;-1,"0x" &amp; DEC2HEX('(直掃)Change to adc mapping '!BF100) &amp; ",",-1&amp; ",")</f>
        <v>0x56,</v>
      </c>
      <c r="BG36" t="str">
        <f ca="1">IF('(直掃)Change to adc mapping '!BG100 &lt;&gt;-1,"0x" &amp; DEC2HEX('(直掃)Change to adc mapping '!BG100) &amp; ",",-1&amp; ",")</f>
        <v>0x57,</v>
      </c>
      <c r="BH36" t="str">
        <f ca="1">IF('(直掃)Change to adc mapping '!BH100 &lt;&gt;-1,"0x" &amp; DEC2HEX('(直掃)Change to adc mapping '!BH100) &amp; ",",-1&amp; ",")</f>
        <v>0x58,</v>
      </c>
      <c r="BI36" t="str">
        <f ca="1">IF('(直掃)Change to adc mapping '!BI100 &lt;&gt;-1,"0x" &amp; DEC2HEX('(直掃)Change to adc mapping '!BI100) &amp; ",",-1&amp; ",")</f>
        <v>0x59,</v>
      </c>
    </row>
    <row r="37" spans="1:61" x14ac:dyDescent="0.25">
      <c r="A37" s="20">
        <v>36</v>
      </c>
      <c r="B37" t="str">
        <f ca="1">'(直掃)Change to adc mapping '!B101 &amp; ","</f>
        <v>9999,</v>
      </c>
      <c r="C37" t="str">
        <f ca="1">'(直掃)Change to adc mapping '!C101 &amp; ","</f>
        <v>9999,</v>
      </c>
      <c r="D37" t="str">
        <f ca="1">'(直掃)Change to adc mapping '!D101 &amp; ","</f>
        <v>9999,</v>
      </c>
      <c r="E37" t="str">
        <f ca="1">'(直掃)Change to adc mapping '!E101 &amp; ","</f>
        <v>9999,</v>
      </c>
      <c r="F37" t="str">
        <f ca="1">'(直掃)Change to adc mapping '!F101 &amp; ","</f>
        <v>9999,</v>
      </c>
      <c r="G37" t="str">
        <f ca="1">'(直掃)Change to adc mapping '!G101 &amp; ","</f>
        <v>9999,</v>
      </c>
      <c r="H37" t="str">
        <f ca="1">'(直掃)Change to adc mapping '!H101 &amp; ","</f>
        <v>9999,</v>
      </c>
      <c r="I37" t="str">
        <f ca="1">'(直掃)Change to adc mapping '!I101 &amp; ","</f>
        <v>9999,</v>
      </c>
      <c r="J37" t="str">
        <f ca="1">'(直掃)Change to adc mapping '!J101 &amp; ","</f>
        <v>9999,</v>
      </c>
      <c r="K37" t="str">
        <f ca="1">'(直掃)Change to adc mapping '!K101 &amp; ","</f>
        <v>9999,</v>
      </c>
      <c r="L37" t="str">
        <f ca="1">'(直掃)Change to adc mapping '!L101 &amp; ","</f>
        <v>9999,</v>
      </c>
      <c r="M37" t="str">
        <f ca="1">'(直掃)Change to adc mapping '!M101 &amp; ","</f>
        <v>9999,</v>
      </c>
      <c r="N37" t="str">
        <f ca="1">'(直掃)Change to adc mapping '!N101 &amp; ","</f>
        <v>9999,</v>
      </c>
      <c r="O37" t="str">
        <f ca="1">'(直掃)Change to adc mapping '!O101 &amp; ","</f>
        <v>9999,</v>
      </c>
      <c r="P37" t="str">
        <f ca="1">'(直掃)Change to adc mapping '!P101 &amp; ","</f>
        <v>9999,</v>
      </c>
      <c r="Q37" t="str">
        <f ca="1">'(直掃)Change to adc mapping '!Q101 &amp; ","</f>
        <v>9999,</v>
      </c>
      <c r="R37" t="str">
        <f ca="1">'(直掃)Change to adc mapping '!R101 &amp; ","</f>
        <v>9999,</v>
      </c>
      <c r="S37" t="str">
        <f ca="1">'(直掃)Change to adc mapping '!S101 &amp; ","</f>
        <v>9999,</v>
      </c>
      <c r="T37" t="str">
        <f ca="1">'(直掃)Change to adc mapping '!T101 &amp; ","</f>
        <v>9999,</v>
      </c>
      <c r="U37" t="str">
        <f ca="1">'(直掃)Change to adc mapping '!U101 &amp; ","</f>
        <v>9999,</v>
      </c>
      <c r="V37" t="str">
        <f ca="1">'(直掃)Change to adc mapping '!V101 &amp; ","</f>
        <v>9999,</v>
      </c>
      <c r="W37" t="str">
        <f ca="1">'(直掃)Change to adc mapping '!W101 &amp; ","</f>
        <v>9999,</v>
      </c>
      <c r="X37" t="str">
        <f ca="1">'(直掃)Change to adc mapping '!X101 &amp; ","</f>
        <v>9999,</v>
      </c>
      <c r="Y37" t="str">
        <f ca="1">IF('(直掃)Change to adc mapping '!Y101 &lt;&gt;-1,"0x" &amp; DEC2HEX('(直掃)Change to adc mapping '!Y101) &amp; ",",-1&amp; ",")</f>
        <v>-1,</v>
      </c>
      <c r="Z37" t="str">
        <f ca="1">IF('(直掃)Change to adc mapping '!Z101 &lt;&gt;-1,"0x" &amp; DEC2HEX('(直掃)Change to adc mapping '!Z101) &amp; ",",-1&amp; ",")</f>
        <v>-1,</v>
      </c>
      <c r="AA37" t="str">
        <f ca="1">IF('(直掃)Change to adc mapping '!AA101 &lt;&gt;-1,"0x" &amp; DEC2HEX('(直掃)Change to adc mapping '!AA101) &amp; ",",-1&amp; ",")</f>
        <v>-1,</v>
      </c>
      <c r="AB37" t="str">
        <f ca="1">IF('(直掃)Change to adc mapping '!AB101 &lt;&gt;-1,"0x" &amp; DEC2HEX('(直掃)Change to adc mapping '!AB101) &amp; ",",-1&amp; ",")</f>
        <v>-1,</v>
      </c>
      <c r="AC37" t="str">
        <f ca="1">IF('(直掃)Change to adc mapping '!AC101 &lt;&gt;-1,"0x" &amp; DEC2HEX('(直掃)Change to adc mapping '!AC101) &amp; ",",-1&amp; ",")</f>
        <v>-1,</v>
      </c>
      <c r="AD37" t="str">
        <f ca="1">IF('(直掃)Change to adc mapping '!AD101 &lt;&gt;-1,"0x" &amp; DEC2HEX('(直掃)Change to adc mapping '!AD101) &amp; ",",-1&amp; ",")</f>
        <v>-1,</v>
      </c>
      <c r="AE37" t="str">
        <f ca="1">IF('(直掃)Change to adc mapping '!AE101 &lt;&gt;-1,"0x" &amp; DEC2HEX('(直掃)Change to adc mapping '!AE101) &amp; ",",-1&amp; ",")</f>
        <v>-1,</v>
      </c>
      <c r="AF37" t="str">
        <f ca="1">IF('(直掃)Change to adc mapping '!AF101 &lt;&gt;-1,"0x" &amp; DEC2HEX('(直掃)Change to adc mapping '!AF101) &amp; ",",-1&amp; ",")</f>
        <v>0x0,</v>
      </c>
      <c r="AG37" t="str">
        <f ca="1">IF('(直掃)Change to adc mapping '!AG101 &lt;&gt;-1,"0x" &amp; DEC2HEX('(直掃)Change to adc mapping '!AG101) &amp; ",",-1&amp; ",")</f>
        <v>0x1,</v>
      </c>
      <c r="AH37" t="str">
        <f ca="1">IF('(直掃)Change to adc mapping '!AH101 &lt;&gt;-1,"0x" &amp; DEC2HEX('(直掃)Change to adc mapping '!AH101) &amp; ",",-1&amp; ",")</f>
        <v>0x2,</v>
      </c>
      <c r="AI37" t="str">
        <f ca="1">IF('(直掃)Change to adc mapping '!AI101 &lt;&gt;-1,"0x" &amp; DEC2HEX('(直掃)Change to adc mapping '!AI101) &amp; ",",-1&amp; ",")</f>
        <v>0x3,</v>
      </c>
      <c r="AJ37" t="str">
        <f ca="1">IF('(直掃)Change to adc mapping '!AJ101 &lt;&gt;-1,"0x" &amp; DEC2HEX('(直掃)Change to adc mapping '!AJ101) &amp; ",",-1&amp; ",")</f>
        <v>0x4,</v>
      </c>
      <c r="AK37" t="str">
        <f ca="1">IF('(直掃)Change to adc mapping '!AK101 &lt;&gt;-1,"0x" &amp; DEC2HEX('(直掃)Change to adc mapping '!AK101) &amp; ",",-1&amp; ",")</f>
        <v>0x5,</v>
      </c>
      <c r="AL37" t="str">
        <f ca="1">IF('(直掃)Change to adc mapping '!AL101 &lt;&gt;-1,"0x" &amp; DEC2HEX('(直掃)Change to adc mapping '!AL101) &amp; ",",-1&amp; ",")</f>
        <v>0x6,</v>
      </c>
      <c r="AM37" t="str">
        <f ca="1">IF('(直掃)Change to adc mapping '!AM101 &lt;&gt;-1,"0x" &amp; DEC2HEX('(直掃)Change to adc mapping '!AM101) &amp; ",",-1&amp; ",")</f>
        <v>0x7,</v>
      </c>
      <c r="AN37" t="str">
        <f ca="1">IF('(直掃)Change to adc mapping '!AN101 &lt;&gt;-1,"0x" &amp; DEC2HEX('(直掃)Change to adc mapping '!AN101) &amp; ",",-1&amp; ",")</f>
        <v>0x8,</v>
      </c>
      <c r="AO37" t="str">
        <f ca="1">IF('(直掃)Change to adc mapping '!AO101 &lt;&gt;-1,"0x" &amp; DEC2HEX('(直掃)Change to adc mapping '!AO101) &amp; ",",-1&amp; ",")</f>
        <v>0x9,</v>
      </c>
      <c r="AP37" t="str">
        <f ca="1">IF('(直掃)Change to adc mapping '!AP101 &lt;&gt;-1,"0x" &amp; DEC2HEX('(直掃)Change to adc mapping '!AP101) &amp; ",",-1&amp; ",")</f>
        <v>0xA,</v>
      </c>
      <c r="AQ37" t="str">
        <f ca="1">IF('(直掃)Change to adc mapping '!AQ101 &lt;&gt;-1,"0x" &amp; DEC2HEX('(直掃)Change to adc mapping '!AQ101) &amp; ",",-1&amp; ",")</f>
        <v>0xB,</v>
      </c>
      <c r="AR37" t="str">
        <f ca="1">IF('(直掃)Change to adc mapping '!AR101 &lt;&gt;-1,"0x" &amp; DEC2HEX('(直掃)Change to adc mapping '!AR101) &amp; ",",-1&amp; ",")</f>
        <v>0xC,</v>
      </c>
      <c r="AS37" t="str">
        <f ca="1">IF('(直掃)Change to adc mapping '!AS101 &lt;&gt;-1,"0x" &amp; DEC2HEX('(直掃)Change to adc mapping '!AS101) &amp; ",",-1&amp; ",")</f>
        <v>0xD,</v>
      </c>
      <c r="AT37" t="str">
        <f ca="1">IF('(直掃)Change to adc mapping '!AT101 &lt;&gt;-1,"0x" &amp; DEC2HEX('(直掃)Change to adc mapping '!AT101) &amp; ",",-1&amp; ",")</f>
        <v>0xE,</v>
      </c>
      <c r="AU37" t="str">
        <f ca="1">IF('(直掃)Change to adc mapping '!AU101 &lt;&gt;-1,"0x" &amp; DEC2HEX('(直掃)Change to adc mapping '!AU101) &amp; ",",-1&amp; ",")</f>
        <v>0xF,</v>
      </c>
      <c r="AV37" t="str">
        <f ca="1">IF('(直掃)Change to adc mapping '!AV101 &lt;&gt;-1,"0x" &amp; DEC2HEX('(直掃)Change to adc mapping '!AV101) &amp; ",",-1&amp; ",")</f>
        <v>0x10,</v>
      </c>
      <c r="AW37" t="str">
        <f ca="1">IF('(直掃)Change to adc mapping '!AW101 &lt;&gt;-1,"0x" &amp; DEC2HEX('(直掃)Change to adc mapping '!AW101) &amp; ",",-1&amp; ",")</f>
        <v>0x11,</v>
      </c>
      <c r="AX37" t="str">
        <f ca="1">IF('(直掃)Change to adc mapping '!AX101 &lt;&gt;-1,"0x" &amp; DEC2HEX('(直掃)Change to adc mapping '!AX101) &amp; ",",-1&amp; ",")</f>
        <v>0x12,</v>
      </c>
      <c r="AY37" t="str">
        <f ca="1">IF('(直掃)Change to adc mapping '!AY101 &lt;&gt;-1,"0x" &amp; DEC2HEX('(直掃)Change to adc mapping '!AY101) &amp; ",",-1&amp; ",")</f>
        <v>0x13,</v>
      </c>
      <c r="AZ37" t="str">
        <f ca="1">IF('(直掃)Change to adc mapping '!AZ101 &lt;&gt;-1,"0x" &amp; DEC2HEX('(直掃)Change to adc mapping '!AZ101) &amp; ",",-1&amp; ",")</f>
        <v>0x14,</v>
      </c>
      <c r="BA37" t="str">
        <f ca="1">IF('(直掃)Change to adc mapping '!BA101 &lt;&gt;-1,"0x" &amp; DEC2HEX('(直掃)Change to adc mapping '!BA101) &amp; ",",-1&amp; ",")</f>
        <v>0x15,</v>
      </c>
      <c r="BB37" t="str">
        <f ca="1">IF('(直掃)Change to adc mapping '!BB101 &lt;&gt;-1,"0x" &amp; DEC2HEX('(直掃)Change to adc mapping '!BB101) &amp; ",",-1&amp; ",")</f>
        <v>0x16,</v>
      </c>
      <c r="BC37" t="str">
        <f ca="1">IF('(直掃)Change to adc mapping '!BC101 &lt;&gt;-1,"0x" &amp; DEC2HEX('(直掃)Change to adc mapping '!BC101) &amp; ",",-1&amp; ",")</f>
        <v>0x17,</v>
      </c>
      <c r="BD37" t="str">
        <f ca="1">IF('(直掃)Change to adc mapping '!BD101 &lt;&gt;-1,"0x" &amp; DEC2HEX('(直掃)Change to adc mapping '!BD101) &amp; ",",-1&amp; ",")</f>
        <v>0x18,</v>
      </c>
      <c r="BE37" t="str">
        <f ca="1">IF('(直掃)Change to adc mapping '!BE101 &lt;&gt;-1,"0x" &amp; DEC2HEX('(直掃)Change to adc mapping '!BE101) &amp; ",",-1&amp; ",")</f>
        <v>0x19,</v>
      </c>
      <c r="BF37" t="str">
        <f ca="1">IF('(直掃)Change to adc mapping '!BF101 &lt;&gt;-1,"0x" &amp; DEC2HEX('(直掃)Change to adc mapping '!BF101) &amp; ",",-1&amp; ",")</f>
        <v>0x1A,</v>
      </c>
      <c r="BG37" t="str">
        <f ca="1">IF('(直掃)Change to adc mapping '!BG101 &lt;&gt;-1,"0x" &amp; DEC2HEX('(直掃)Change to adc mapping '!BG101) &amp; ",",-1&amp; ",")</f>
        <v>0x1B,</v>
      </c>
      <c r="BH37" t="str">
        <f ca="1">IF('(直掃)Change to adc mapping '!BH101 &lt;&gt;-1,"0x" &amp; DEC2HEX('(直掃)Change to adc mapping '!BH101) &amp; ",",-1&amp; ",")</f>
        <v>0x1C,</v>
      </c>
      <c r="BI37" t="str">
        <f ca="1">IF('(直掃)Change to adc mapping '!BI101 &lt;&gt;-1,"0x" &amp; DEC2HEX('(直掃)Change to adc mapping '!BI101) &amp; ",",-1&amp; ",")</f>
        <v>0x1D,</v>
      </c>
    </row>
    <row r="38" spans="1:61" x14ac:dyDescent="0.25">
      <c r="A38" s="20">
        <v>37</v>
      </c>
      <c r="B38" t="str">
        <f ca="1">'(直掃)Change to adc mapping '!B102 &amp; ","</f>
        <v>9999,</v>
      </c>
      <c r="C38" t="str">
        <f ca="1">'(直掃)Change to adc mapping '!C102 &amp; ","</f>
        <v>9999,</v>
      </c>
      <c r="D38" t="str">
        <f ca="1">'(直掃)Change to adc mapping '!D102 &amp; ","</f>
        <v>9999,</v>
      </c>
      <c r="E38" t="str">
        <f ca="1">'(直掃)Change to adc mapping '!E102 &amp; ","</f>
        <v>9999,</v>
      </c>
      <c r="F38" t="str">
        <f ca="1">'(直掃)Change to adc mapping '!F102 &amp; ","</f>
        <v>9999,</v>
      </c>
      <c r="G38" t="str">
        <f ca="1">'(直掃)Change to adc mapping '!G102 &amp; ","</f>
        <v>9999,</v>
      </c>
      <c r="H38" t="str">
        <f ca="1">'(直掃)Change to adc mapping '!H102 &amp; ","</f>
        <v>9999,</v>
      </c>
      <c r="I38" t="str">
        <f ca="1">'(直掃)Change to adc mapping '!I102 &amp; ","</f>
        <v>9999,</v>
      </c>
      <c r="J38" t="str">
        <f ca="1">'(直掃)Change to adc mapping '!J102 &amp; ","</f>
        <v>9999,</v>
      </c>
      <c r="K38" t="str">
        <f ca="1">'(直掃)Change to adc mapping '!K102 &amp; ","</f>
        <v>9999,</v>
      </c>
      <c r="L38" t="str">
        <f ca="1">'(直掃)Change to adc mapping '!L102 &amp; ","</f>
        <v>9999,</v>
      </c>
      <c r="M38" t="str">
        <f ca="1">'(直掃)Change to adc mapping '!M102 &amp; ","</f>
        <v>9999,</v>
      </c>
      <c r="N38" t="str">
        <f ca="1">'(直掃)Change to adc mapping '!N102 &amp; ","</f>
        <v>9999,</v>
      </c>
      <c r="O38" t="str">
        <f ca="1">'(直掃)Change to adc mapping '!O102 &amp; ","</f>
        <v>9999,</v>
      </c>
      <c r="P38" t="str">
        <f ca="1">'(直掃)Change to adc mapping '!P102 &amp; ","</f>
        <v>9999,</v>
      </c>
      <c r="Q38" t="str">
        <f ca="1">'(直掃)Change to adc mapping '!Q102 &amp; ","</f>
        <v>9999,</v>
      </c>
      <c r="R38" t="str">
        <f ca="1">'(直掃)Change to adc mapping '!R102 &amp; ","</f>
        <v>9999,</v>
      </c>
      <c r="S38" t="str">
        <f ca="1">'(直掃)Change to adc mapping '!S102 &amp; ","</f>
        <v>9999,</v>
      </c>
      <c r="T38" t="str">
        <f ca="1">'(直掃)Change to adc mapping '!T102 &amp; ","</f>
        <v>9999,</v>
      </c>
      <c r="U38" t="str">
        <f ca="1">'(直掃)Change to adc mapping '!U102 &amp; ","</f>
        <v>9999,</v>
      </c>
      <c r="V38" t="str">
        <f ca="1">'(直掃)Change to adc mapping '!V102 &amp; ","</f>
        <v>9999,</v>
      </c>
      <c r="W38" t="str">
        <f ca="1">'(直掃)Change to adc mapping '!W102 &amp; ","</f>
        <v>9999,</v>
      </c>
      <c r="X38" t="str">
        <f ca="1">'(直掃)Change to adc mapping '!X102 &amp; ","</f>
        <v>9999,</v>
      </c>
      <c r="Y38" t="str">
        <f ca="1">IF('(直掃)Change to adc mapping '!Y102 &lt;&gt;-1,"0x" &amp; DEC2HEX('(直掃)Change to adc mapping '!Y102) &amp; ",",-1&amp; ",")</f>
        <v>-1,</v>
      </c>
      <c r="Z38" t="str">
        <f ca="1">IF('(直掃)Change to adc mapping '!Z102 &lt;&gt;-1,"0x" &amp; DEC2HEX('(直掃)Change to adc mapping '!Z102) &amp; ",",-1&amp; ",")</f>
        <v>-1,</v>
      </c>
      <c r="AA38" t="str">
        <f ca="1">IF('(直掃)Change to adc mapping '!AA102 &lt;&gt;-1,"0x" &amp; DEC2HEX('(直掃)Change to adc mapping '!AA102) &amp; ",",-1&amp; ",")</f>
        <v>-1,</v>
      </c>
      <c r="AB38" t="str">
        <f ca="1">IF('(直掃)Change to adc mapping '!AB102 &lt;&gt;-1,"0x" &amp; DEC2HEX('(直掃)Change to adc mapping '!AB102) &amp; ",",-1&amp; ",")</f>
        <v>-1,</v>
      </c>
      <c r="AC38" t="str">
        <f ca="1">IF('(直掃)Change to adc mapping '!AC102 &lt;&gt;-1,"0x" &amp; DEC2HEX('(直掃)Change to adc mapping '!AC102) &amp; ",",-1&amp; ",")</f>
        <v>-1,</v>
      </c>
      <c r="AD38" t="str">
        <f ca="1">IF('(直掃)Change to adc mapping '!AD102 &lt;&gt;-1,"0x" &amp; DEC2HEX('(直掃)Change to adc mapping '!AD102) &amp; ",",-1&amp; ",")</f>
        <v>-1,</v>
      </c>
      <c r="AE38" t="str">
        <f ca="1">IF('(直掃)Change to adc mapping '!AE102 &lt;&gt;-1,"0x" &amp; DEC2HEX('(直掃)Change to adc mapping '!AE102) &amp; ",",-1&amp; ",")</f>
        <v>-1,</v>
      </c>
      <c r="AF38" t="str">
        <f ca="1">IF('(直掃)Change to adc mapping '!AF102 &lt;&gt;-1,"0x" &amp; DEC2HEX('(直掃)Change to adc mapping '!AF102) &amp; ",",-1&amp; ",")</f>
        <v>0x1E,</v>
      </c>
      <c r="AG38" t="str">
        <f ca="1">IF('(直掃)Change to adc mapping '!AG102 &lt;&gt;-1,"0x" &amp; DEC2HEX('(直掃)Change to adc mapping '!AG102) &amp; ",",-1&amp; ",")</f>
        <v>0x1F,</v>
      </c>
      <c r="AH38" t="str">
        <f ca="1">IF('(直掃)Change to adc mapping '!AH102 &lt;&gt;-1,"0x" &amp; DEC2HEX('(直掃)Change to adc mapping '!AH102) &amp; ",",-1&amp; ",")</f>
        <v>0x20,</v>
      </c>
      <c r="AI38" t="str">
        <f ca="1">IF('(直掃)Change to adc mapping '!AI102 &lt;&gt;-1,"0x" &amp; DEC2HEX('(直掃)Change to adc mapping '!AI102) &amp; ",",-1&amp; ",")</f>
        <v>0x21,</v>
      </c>
      <c r="AJ38" t="str">
        <f ca="1">IF('(直掃)Change to adc mapping '!AJ102 &lt;&gt;-1,"0x" &amp; DEC2HEX('(直掃)Change to adc mapping '!AJ102) &amp; ",",-1&amp; ",")</f>
        <v>0x22,</v>
      </c>
      <c r="AK38" t="str">
        <f ca="1">IF('(直掃)Change to adc mapping '!AK102 &lt;&gt;-1,"0x" &amp; DEC2HEX('(直掃)Change to adc mapping '!AK102) &amp; ",",-1&amp; ",")</f>
        <v>0x23,</v>
      </c>
      <c r="AL38" t="str">
        <f ca="1">IF('(直掃)Change to adc mapping '!AL102 &lt;&gt;-1,"0x" &amp; DEC2HEX('(直掃)Change to adc mapping '!AL102) &amp; ",",-1&amp; ",")</f>
        <v>0x24,</v>
      </c>
      <c r="AM38" t="str">
        <f ca="1">IF('(直掃)Change to adc mapping '!AM102 &lt;&gt;-1,"0x" &amp; DEC2HEX('(直掃)Change to adc mapping '!AM102) &amp; ",",-1&amp; ",")</f>
        <v>0x25,</v>
      </c>
      <c r="AN38" t="str">
        <f ca="1">IF('(直掃)Change to adc mapping '!AN102 &lt;&gt;-1,"0x" &amp; DEC2HEX('(直掃)Change to adc mapping '!AN102) &amp; ",",-1&amp; ",")</f>
        <v>0x26,</v>
      </c>
      <c r="AO38" t="str">
        <f ca="1">IF('(直掃)Change to adc mapping '!AO102 &lt;&gt;-1,"0x" &amp; DEC2HEX('(直掃)Change to adc mapping '!AO102) &amp; ",",-1&amp; ",")</f>
        <v>0x27,</v>
      </c>
      <c r="AP38" t="str">
        <f ca="1">IF('(直掃)Change to adc mapping '!AP102 &lt;&gt;-1,"0x" &amp; DEC2HEX('(直掃)Change to adc mapping '!AP102) &amp; ",",-1&amp; ",")</f>
        <v>0x28,</v>
      </c>
      <c r="AQ38" t="str">
        <f ca="1">IF('(直掃)Change to adc mapping '!AQ102 &lt;&gt;-1,"0x" &amp; DEC2HEX('(直掃)Change to adc mapping '!AQ102) &amp; ",",-1&amp; ",")</f>
        <v>0x29,</v>
      </c>
      <c r="AR38" t="str">
        <f ca="1">IF('(直掃)Change to adc mapping '!AR102 &lt;&gt;-1,"0x" &amp; DEC2HEX('(直掃)Change to adc mapping '!AR102) &amp; ",",-1&amp; ",")</f>
        <v>0x2A,</v>
      </c>
      <c r="AS38" t="str">
        <f ca="1">IF('(直掃)Change to adc mapping '!AS102 &lt;&gt;-1,"0x" &amp; DEC2HEX('(直掃)Change to adc mapping '!AS102) &amp; ",",-1&amp; ",")</f>
        <v>0x2B,</v>
      </c>
      <c r="AT38" t="str">
        <f ca="1">IF('(直掃)Change to adc mapping '!AT102 &lt;&gt;-1,"0x" &amp; DEC2HEX('(直掃)Change to adc mapping '!AT102) &amp; ",",-1&amp; ",")</f>
        <v>0x2C,</v>
      </c>
      <c r="AU38" t="str">
        <f ca="1">IF('(直掃)Change to adc mapping '!AU102 &lt;&gt;-1,"0x" &amp; DEC2HEX('(直掃)Change to adc mapping '!AU102) &amp; ",",-1&amp; ",")</f>
        <v>0x2D,</v>
      </c>
      <c r="AV38" t="str">
        <f ca="1">IF('(直掃)Change to adc mapping '!AV102 &lt;&gt;-1,"0x" &amp; DEC2HEX('(直掃)Change to adc mapping '!AV102) &amp; ",",-1&amp; ",")</f>
        <v>0x2E,</v>
      </c>
      <c r="AW38" t="str">
        <f ca="1">IF('(直掃)Change to adc mapping '!AW102 &lt;&gt;-1,"0x" &amp; DEC2HEX('(直掃)Change to adc mapping '!AW102) &amp; ",",-1&amp; ",")</f>
        <v>0x2F,</v>
      </c>
      <c r="AX38" t="str">
        <f ca="1">IF('(直掃)Change to adc mapping '!AX102 &lt;&gt;-1,"0x" &amp; DEC2HEX('(直掃)Change to adc mapping '!AX102) &amp; ",",-1&amp; ",")</f>
        <v>0x30,</v>
      </c>
      <c r="AY38" t="str">
        <f ca="1">IF('(直掃)Change to adc mapping '!AY102 &lt;&gt;-1,"0x" &amp; DEC2HEX('(直掃)Change to adc mapping '!AY102) &amp; ",",-1&amp; ",")</f>
        <v>0x31,</v>
      </c>
      <c r="AZ38" t="str">
        <f ca="1">IF('(直掃)Change to adc mapping '!AZ102 &lt;&gt;-1,"0x" &amp; DEC2HEX('(直掃)Change to adc mapping '!AZ102) &amp; ",",-1&amp; ",")</f>
        <v>0x32,</v>
      </c>
      <c r="BA38" t="str">
        <f ca="1">IF('(直掃)Change to adc mapping '!BA102 &lt;&gt;-1,"0x" &amp; DEC2HEX('(直掃)Change to adc mapping '!BA102) &amp; ",",-1&amp; ",")</f>
        <v>0x33,</v>
      </c>
      <c r="BB38" t="str">
        <f ca="1">IF('(直掃)Change to adc mapping '!BB102 &lt;&gt;-1,"0x" &amp; DEC2HEX('(直掃)Change to adc mapping '!BB102) &amp; ",",-1&amp; ",")</f>
        <v>0x34,</v>
      </c>
      <c r="BC38" t="str">
        <f ca="1">IF('(直掃)Change to adc mapping '!BC102 &lt;&gt;-1,"0x" &amp; DEC2HEX('(直掃)Change to adc mapping '!BC102) &amp; ",",-1&amp; ",")</f>
        <v>0x35,</v>
      </c>
      <c r="BD38" t="str">
        <f ca="1">IF('(直掃)Change to adc mapping '!BD102 &lt;&gt;-1,"0x" &amp; DEC2HEX('(直掃)Change to adc mapping '!BD102) &amp; ",",-1&amp; ",")</f>
        <v>0x36,</v>
      </c>
      <c r="BE38" t="str">
        <f ca="1">IF('(直掃)Change to adc mapping '!BE102 &lt;&gt;-1,"0x" &amp; DEC2HEX('(直掃)Change to adc mapping '!BE102) &amp; ",",-1&amp; ",")</f>
        <v>0x37,</v>
      </c>
      <c r="BF38" t="str">
        <f ca="1">IF('(直掃)Change to adc mapping '!BF102 &lt;&gt;-1,"0x" &amp; DEC2HEX('(直掃)Change to adc mapping '!BF102) &amp; ",",-1&amp; ",")</f>
        <v>0x38,</v>
      </c>
      <c r="BG38" t="str">
        <f ca="1">IF('(直掃)Change to adc mapping '!BG102 &lt;&gt;-1,"0x" &amp; DEC2HEX('(直掃)Change to adc mapping '!BG102) &amp; ",",-1&amp; ",")</f>
        <v>0x39,</v>
      </c>
      <c r="BH38" t="str">
        <f ca="1">IF('(直掃)Change to adc mapping '!BH102 &lt;&gt;-1,"0x" &amp; DEC2HEX('(直掃)Change to adc mapping '!BH102) &amp; ",",-1&amp; ",")</f>
        <v>0x3A,</v>
      </c>
      <c r="BI38" t="str">
        <f ca="1">IF('(直掃)Change to adc mapping '!BI102 &lt;&gt;-1,"0x" &amp; DEC2HEX('(直掃)Change to adc mapping '!BI102) &amp; ",",-1&amp; ",")</f>
        <v>0x3B,</v>
      </c>
    </row>
    <row r="39" spans="1:61" x14ac:dyDescent="0.25">
      <c r="A39" s="20">
        <v>38</v>
      </c>
      <c r="B39" t="str">
        <f ca="1">'(直掃)Change to adc mapping '!B103 &amp; ","</f>
        <v>9999,</v>
      </c>
      <c r="C39" t="str">
        <f ca="1">'(直掃)Change to adc mapping '!C103 &amp; ","</f>
        <v>9999,</v>
      </c>
      <c r="D39" t="str">
        <f ca="1">'(直掃)Change to adc mapping '!D103 &amp; ","</f>
        <v>9999,</v>
      </c>
      <c r="E39" t="str">
        <f ca="1">'(直掃)Change to adc mapping '!E103 &amp; ","</f>
        <v>9999,</v>
      </c>
      <c r="F39" t="str">
        <f ca="1">'(直掃)Change to adc mapping '!F103 &amp; ","</f>
        <v>9999,</v>
      </c>
      <c r="G39" t="str">
        <f ca="1">'(直掃)Change to adc mapping '!G103 &amp; ","</f>
        <v>9999,</v>
      </c>
      <c r="H39" t="str">
        <f ca="1">'(直掃)Change to adc mapping '!H103 &amp; ","</f>
        <v>9999,</v>
      </c>
      <c r="I39" t="str">
        <f ca="1">'(直掃)Change to adc mapping '!I103 &amp; ","</f>
        <v>9999,</v>
      </c>
      <c r="J39" t="str">
        <f ca="1">'(直掃)Change to adc mapping '!J103 &amp; ","</f>
        <v>9999,</v>
      </c>
      <c r="K39" t="str">
        <f ca="1">'(直掃)Change to adc mapping '!K103 &amp; ","</f>
        <v>9999,</v>
      </c>
      <c r="L39" t="str">
        <f ca="1">'(直掃)Change to adc mapping '!L103 &amp; ","</f>
        <v>9999,</v>
      </c>
      <c r="M39" t="str">
        <f ca="1">'(直掃)Change to adc mapping '!M103 &amp; ","</f>
        <v>9999,</v>
      </c>
      <c r="N39" t="str">
        <f ca="1">'(直掃)Change to adc mapping '!N103 &amp; ","</f>
        <v>9999,</v>
      </c>
      <c r="O39" t="str">
        <f ca="1">'(直掃)Change to adc mapping '!O103 &amp; ","</f>
        <v>9999,</v>
      </c>
      <c r="P39" t="str">
        <f ca="1">'(直掃)Change to adc mapping '!P103 &amp; ","</f>
        <v>9999,</v>
      </c>
      <c r="Q39" t="str">
        <f ca="1">'(直掃)Change to adc mapping '!Q103 &amp; ","</f>
        <v>9999,</v>
      </c>
      <c r="R39" t="str">
        <f ca="1">'(直掃)Change to adc mapping '!R103 &amp; ","</f>
        <v>9999,</v>
      </c>
      <c r="S39" t="str">
        <f ca="1">'(直掃)Change to adc mapping '!S103 &amp; ","</f>
        <v>9999,</v>
      </c>
      <c r="T39" t="str">
        <f ca="1">'(直掃)Change to adc mapping '!T103 &amp; ","</f>
        <v>9999,</v>
      </c>
      <c r="U39" t="str">
        <f ca="1">'(直掃)Change to adc mapping '!U103 &amp; ","</f>
        <v>9999,</v>
      </c>
      <c r="V39" t="str">
        <f ca="1">'(直掃)Change to adc mapping '!V103 &amp; ","</f>
        <v>9999,</v>
      </c>
      <c r="W39" t="str">
        <f ca="1">'(直掃)Change to adc mapping '!W103 &amp; ","</f>
        <v>9999,</v>
      </c>
      <c r="X39" t="str">
        <f ca="1">'(直掃)Change to adc mapping '!X103 &amp; ","</f>
        <v>9999,</v>
      </c>
      <c r="Y39" t="str">
        <f ca="1">IF('(直掃)Change to adc mapping '!Y103 &lt;&gt;-1,"0x" &amp; DEC2HEX('(直掃)Change to adc mapping '!Y103) &amp; ",",-1&amp; ",")</f>
        <v>-1,</v>
      </c>
      <c r="Z39" t="str">
        <f ca="1">IF('(直掃)Change to adc mapping '!Z103 &lt;&gt;-1,"0x" &amp; DEC2HEX('(直掃)Change to adc mapping '!Z103) &amp; ",",-1&amp; ",")</f>
        <v>-1,</v>
      </c>
      <c r="AA39" t="str">
        <f ca="1">IF('(直掃)Change to adc mapping '!AA103 &lt;&gt;-1,"0x" &amp; DEC2HEX('(直掃)Change to adc mapping '!AA103) &amp; ",",-1&amp; ",")</f>
        <v>-1,</v>
      </c>
      <c r="AB39" t="str">
        <f ca="1">IF('(直掃)Change to adc mapping '!AB103 &lt;&gt;-1,"0x" &amp; DEC2HEX('(直掃)Change to adc mapping '!AB103) &amp; ",",-1&amp; ",")</f>
        <v>-1,</v>
      </c>
      <c r="AC39" t="str">
        <f ca="1">IF('(直掃)Change to adc mapping '!AC103 &lt;&gt;-1,"0x" &amp; DEC2HEX('(直掃)Change to adc mapping '!AC103) &amp; ",",-1&amp; ",")</f>
        <v>-1,</v>
      </c>
      <c r="AD39" t="str">
        <f ca="1">IF('(直掃)Change to adc mapping '!AD103 &lt;&gt;-1,"0x" &amp; DEC2HEX('(直掃)Change to adc mapping '!AD103) &amp; ",",-1&amp; ",")</f>
        <v>-1,</v>
      </c>
      <c r="AE39" t="str">
        <f ca="1">IF('(直掃)Change to adc mapping '!AE103 &lt;&gt;-1,"0x" &amp; DEC2HEX('(直掃)Change to adc mapping '!AE103) &amp; ",",-1&amp; ",")</f>
        <v>-1,</v>
      </c>
      <c r="AF39" t="str">
        <f ca="1">IF('(直掃)Change to adc mapping '!AF103 &lt;&gt;-1,"0x" &amp; DEC2HEX('(直掃)Change to adc mapping '!AF103) &amp; ",",-1&amp; ",")</f>
        <v>0x3C,</v>
      </c>
      <c r="AG39" t="str">
        <f ca="1">IF('(直掃)Change to adc mapping '!AG103 &lt;&gt;-1,"0x" &amp; DEC2HEX('(直掃)Change to adc mapping '!AG103) &amp; ",",-1&amp; ",")</f>
        <v>0x3D,</v>
      </c>
      <c r="AH39" t="str">
        <f ca="1">IF('(直掃)Change to adc mapping '!AH103 &lt;&gt;-1,"0x" &amp; DEC2HEX('(直掃)Change to adc mapping '!AH103) &amp; ",",-1&amp; ",")</f>
        <v>0x3E,</v>
      </c>
      <c r="AI39" t="str">
        <f ca="1">IF('(直掃)Change to adc mapping '!AI103 &lt;&gt;-1,"0x" &amp; DEC2HEX('(直掃)Change to adc mapping '!AI103) &amp; ",",-1&amp; ",")</f>
        <v>0x3F,</v>
      </c>
      <c r="AJ39" t="str">
        <f ca="1">IF('(直掃)Change to adc mapping '!AJ103 &lt;&gt;-1,"0x" &amp; DEC2HEX('(直掃)Change to adc mapping '!AJ103) &amp; ",",-1&amp; ",")</f>
        <v>0x40,</v>
      </c>
      <c r="AK39" t="str">
        <f ca="1">IF('(直掃)Change to adc mapping '!AK103 &lt;&gt;-1,"0x" &amp; DEC2HEX('(直掃)Change to adc mapping '!AK103) &amp; ",",-1&amp; ",")</f>
        <v>0x41,</v>
      </c>
      <c r="AL39" t="str">
        <f ca="1">IF('(直掃)Change to adc mapping '!AL103 &lt;&gt;-1,"0x" &amp; DEC2HEX('(直掃)Change to adc mapping '!AL103) &amp; ",",-1&amp; ",")</f>
        <v>0x42,</v>
      </c>
      <c r="AM39" t="str">
        <f ca="1">IF('(直掃)Change to adc mapping '!AM103 &lt;&gt;-1,"0x" &amp; DEC2HEX('(直掃)Change to adc mapping '!AM103) &amp; ",",-1&amp; ",")</f>
        <v>0x43,</v>
      </c>
      <c r="AN39" t="str">
        <f ca="1">IF('(直掃)Change to adc mapping '!AN103 &lt;&gt;-1,"0x" &amp; DEC2HEX('(直掃)Change to adc mapping '!AN103) &amp; ",",-1&amp; ",")</f>
        <v>0x44,</v>
      </c>
      <c r="AO39" t="str">
        <f ca="1">IF('(直掃)Change to adc mapping '!AO103 &lt;&gt;-1,"0x" &amp; DEC2HEX('(直掃)Change to adc mapping '!AO103) &amp; ",",-1&amp; ",")</f>
        <v>0x45,</v>
      </c>
      <c r="AP39" t="str">
        <f ca="1">IF('(直掃)Change to adc mapping '!AP103 &lt;&gt;-1,"0x" &amp; DEC2HEX('(直掃)Change to adc mapping '!AP103) &amp; ",",-1&amp; ",")</f>
        <v>0x46,</v>
      </c>
      <c r="AQ39" t="str">
        <f ca="1">IF('(直掃)Change to adc mapping '!AQ103 &lt;&gt;-1,"0x" &amp; DEC2HEX('(直掃)Change to adc mapping '!AQ103) &amp; ",",-1&amp; ",")</f>
        <v>0x47,</v>
      </c>
      <c r="AR39" t="str">
        <f ca="1">IF('(直掃)Change to adc mapping '!AR103 &lt;&gt;-1,"0x" &amp; DEC2HEX('(直掃)Change to adc mapping '!AR103) &amp; ",",-1&amp; ",")</f>
        <v>0x48,</v>
      </c>
      <c r="AS39" t="str">
        <f ca="1">IF('(直掃)Change to adc mapping '!AS103 &lt;&gt;-1,"0x" &amp; DEC2HEX('(直掃)Change to adc mapping '!AS103) &amp; ",",-1&amp; ",")</f>
        <v>0x49,</v>
      </c>
      <c r="AT39" t="str">
        <f ca="1">IF('(直掃)Change to adc mapping '!AT103 &lt;&gt;-1,"0x" &amp; DEC2HEX('(直掃)Change to adc mapping '!AT103) &amp; ",",-1&amp; ",")</f>
        <v>0x4A,</v>
      </c>
      <c r="AU39" t="str">
        <f ca="1">IF('(直掃)Change to adc mapping '!AU103 &lt;&gt;-1,"0x" &amp; DEC2HEX('(直掃)Change to adc mapping '!AU103) &amp; ",",-1&amp; ",")</f>
        <v>0x4B,</v>
      </c>
      <c r="AV39" t="str">
        <f ca="1">IF('(直掃)Change to adc mapping '!AV103 &lt;&gt;-1,"0x" &amp; DEC2HEX('(直掃)Change to adc mapping '!AV103) &amp; ",",-1&amp; ",")</f>
        <v>0x4C,</v>
      </c>
      <c r="AW39" t="str">
        <f ca="1">IF('(直掃)Change to adc mapping '!AW103 &lt;&gt;-1,"0x" &amp; DEC2HEX('(直掃)Change to adc mapping '!AW103) &amp; ",",-1&amp; ",")</f>
        <v>0x4D,</v>
      </c>
      <c r="AX39" t="str">
        <f ca="1">IF('(直掃)Change to adc mapping '!AX103 &lt;&gt;-1,"0x" &amp; DEC2HEX('(直掃)Change to adc mapping '!AX103) &amp; ",",-1&amp; ",")</f>
        <v>0x4E,</v>
      </c>
      <c r="AY39" t="str">
        <f ca="1">IF('(直掃)Change to adc mapping '!AY103 &lt;&gt;-1,"0x" &amp; DEC2HEX('(直掃)Change to adc mapping '!AY103) &amp; ",",-1&amp; ",")</f>
        <v>0x4F,</v>
      </c>
      <c r="AZ39" t="str">
        <f ca="1">IF('(直掃)Change to adc mapping '!AZ103 &lt;&gt;-1,"0x" &amp; DEC2HEX('(直掃)Change to adc mapping '!AZ103) &amp; ",",-1&amp; ",")</f>
        <v>0x50,</v>
      </c>
      <c r="BA39" t="str">
        <f ca="1">IF('(直掃)Change to adc mapping '!BA103 &lt;&gt;-1,"0x" &amp; DEC2HEX('(直掃)Change to adc mapping '!BA103) &amp; ",",-1&amp; ",")</f>
        <v>0x51,</v>
      </c>
      <c r="BB39" t="str">
        <f ca="1">IF('(直掃)Change to adc mapping '!BB103 &lt;&gt;-1,"0x" &amp; DEC2HEX('(直掃)Change to adc mapping '!BB103) &amp; ",",-1&amp; ",")</f>
        <v>0x52,</v>
      </c>
      <c r="BC39" t="str">
        <f ca="1">IF('(直掃)Change to adc mapping '!BC103 &lt;&gt;-1,"0x" &amp; DEC2HEX('(直掃)Change to adc mapping '!BC103) &amp; ",",-1&amp; ",")</f>
        <v>0x53,</v>
      </c>
      <c r="BD39" t="str">
        <f ca="1">IF('(直掃)Change to adc mapping '!BD103 &lt;&gt;-1,"0x" &amp; DEC2HEX('(直掃)Change to adc mapping '!BD103) &amp; ",",-1&amp; ",")</f>
        <v>0x54,</v>
      </c>
      <c r="BE39" t="str">
        <f ca="1">IF('(直掃)Change to adc mapping '!BE103 &lt;&gt;-1,"0x" &amp; DEC2HEX('(直掃)Change to adc mapping '!BE103) &amp; ",",-1&amp; ",")</f>
        <v>0x55,</v>
      </c>
      <c r="BF39" t="str">
        <f ca="1">IF('(直掃)Change to adc mapping '!BF103 &lt;&gt;-1,"0x" &amp; DEC2HEX('(直掃)Change to adc mapping '!BF103) &amp; ",",-1&amp; ",")</f>
        <v>0x56,</v>
      </c>
      <c r="BG39" t="str">
        <f ca="1">IF('(直掃)Change to adc mapping '!BG103 &lt;&gt;-1,"0x" &amp; DEC2HEX('(直掃)Change to adc mapping '!BG103) &amp; ",",-1&amp; ",")</f>
        <v>0x57,</v>
      </c>
      <c r="BH39" t="str">
        <f ca="1">IF('(直掃)Change to adc mapping '!BH103 &lt;&gt;-1,"0x" &amp; DEC2HEX('(直掃)Change to adc mapping '!BH103) &amp; ",",-1&amp; ",")</f>
        <v>0x58,</v>
      </c>
      <c r="BI39" t="str">
        <f ca="1">IF('(直掃)Change to adc mapping '!BI103 &lt;&gt;-1,"0x" &amp; DEC2HEX('(直掃)Change to adc mapping '!BI103) &amp; ",",-1&amp; ",")</f>
        <v>0x59,</v>
      </c>
    </row>
    <row r="40" spans="1:61" x14ac:dyDescent="0.25">
      <c r="A40" s="20">
        <v>39</v>
      </c>
      <c r="B40" t="str">
        <f ca="1">'(直掃)Change to adc mapping '!B104 &amp; ","</f>
        <v>9999,</v>
      </c>
      <c r="C40" t="str">
        <f ca="1">'(直掃)Change to adc mapping '!C104 &amp; ","</f>
        <v>9999,</v>
      </c>
      <c r="D40" t="str">
        <f ca="1">'(直掃)Change to adc mapping '!D104 &amp; ","</f>
        <v>9999,</v>
      </c>
      <c r="E40" t="str">
        <f ca="1">'(直掃)Change to adc mapping '!E104 &amp; ","</f>
        <v>9999,</v>
      </c>
      <c r="F40" t="str">
        <f ca="1">'(直掃)Change to adc mapping '!F104 &amp; ","</f>
        <v>9999,</v>
      </c>
      <c r="G40" t="str">
        <f ca="1">'(直掃)Change to adc mapping '!G104 &amp; ","</f>
        <v>9999,</v>
      </c>
      <c r="H40" t="str">
        <f ca="1">'(直掃)Change to adc mapping '!H104 &amp; ","</f>
        <v>9999,</v>
      </c>
      <c r="I40" t="str">
        <f ca="1">'(直掃)Change to adc mapping '!I104 &amp; ","</f>
        <v>9999,</v>
      </c>
      <c r="J40" t="str">
        <f ca="1">'(直掃)Change to adc mapping '!J104 &amp; ","</f>
        <v>9999,</v>
      </c>
      <c r="K40" t="str">
        <f ca="1">'(直掃)Change to adc mapping '!K104 &amp; ","</f>
        <v>9999,</v>
      </c>
      <c r="L40" t="str">
        <f ca="1">'(直掃)Change to adc mapping '!L104 &amp; ","</f>
        <v>9999,</v>
      </c>
      <c r="M40" t="str">
        <f ca="1">'(直掃)Change to adc mapping '!M104 &amp; ","</f>
        <v>9999,</v>
      </c>
      <c r="N40" t="str">
        <f ca="1">'(直掃)Change to adc mapping '!N104 &amp; ","</f>
        <v>9999,</v>
      </c>
      <c r="O40" t="str">
        <f ca="1">'(直掃)Change to adc mapping '!O104 &amp; ","</f>
        <v>9999,</v>
      </c>
      <c r="P40" t="str">
        <f ca="1">'(直掃)Change to adc mapping '!P104 &amp; ","</f>
        <v>9999,</v>
      </c>
      <c r="Q40" t="str">
        <f ca="1">'(直掃)Change to adc mapping '!Q104 &amp; ","</f>
        <v>9999,</v>
      </c>
      <c r="R40" t="str">
        <f ca="1">'(直掃)Change to adc mapping '!R104 &amp; ","</f>
        <v>9999,</v>
      </c>
      <c r="S40" t="str">
        <f ca="1">'(直掃)Change to adc mapping '!S104 &amp; ","</f>
        <v>9999,</v>
      </c>
      <c r="T40" t="str">
        <f ca="1">'(直掃)Change to adc mapping '!T104 &amp; ","</f>
        <v>9999,</v>
      </c>
      <c r="U40" t="str">
        <f ca="1">'(直掃)Change to adc mapping '!U104 &amp; ","</f>
        <v>9999,</v>
      </c>
      <c r="V40" t="str">
        <f ca="1">'(直掃)Change to adc mapping '!V104 &amp; ","</f>
        <v>9999,</v>
      </c>
      <c r="W40" t="str">
        <f ca="1">'(直掃)Change to adc mapping '!W104 &amp; ","</f>
        <v>9999,</v>
      </c>
      <c r="X40" t="str">
        <f ca="1">'(直掃)Change to adc mapping '!X104 &amp; ","</f>
        <v>9999,</v>
      </c>
      <c r="Y40" t="str">
        <f ca="1">IF('(直掃)Change to adc mapping '!Y104 &lt;&gt;-1,"0x" &amp; DEC2HEX('(直掃)Change to adc mapping '!Y104) &amp; ",",-1&amp; ",")</f>
        <v>-1,</v>
      </c>
      <c r="Z40" t="str">
        <f ca="1">IF('(直掃)Change to adc mapping '!Z104 &lt;&gt;-1,"0x" &amp; DEC2HEX('(直掃)Change to adc mapping '!Z104) &amp; ",",-1&amp; ",")</f>
        <v>-1,</v>
      </c>
      <c r="AA40" t="str">
        <f ca="1">IF('(直掃)Change to adc mapping '!AA104 &lt;&gt;-1,"0x" &amp; DEC2HEX('(直掃)Change to adc mapping '!AA104) &amp; ",",-1&amp; ",")</f>
        <v>-1,</v>
      </c>
      <c r="AB40" t="str">
        <f ca="1">IF('(直掃)Change to adc mapping '!AB104 &lt;&gt;-1,"0x" &amp; DEC2HEX('(直掃)Change to adc mapping '!AB104) &amp; ",",-1&amp; ",")</f>
        <v>-1,</v>
      </c>
      <c r="AC40" t="str">
        <f ca="1">IF('(直掃)Change to adc mapping '!AC104 &lt;&gt;-1,"0x" &amp; DEC2HEX('(直掃)Change to adc mapping '!AC104) &amp; ",",-1&amp; ",")</f>
        <v>-1,</v>
      </c>
      <c r="AD40" t="str">
        <f ca="1">IF('(直掃)Change to adc mapping '!AD104 &lt;&gt;-1,"0x" &amp; DEC2HEX('(直掃)Change to adc mapping '!AD104) &amp; ",",-1&amp; ",")</f>
        <v>-1,</v>
      </c>
      <c r="AE40" t="str">
        <f ca="1">IF('(直掃)Change to adc mapping '!AE104 &lt;&gt;-1,"0x" &amp; DEC2HEX('(直掃)Change to adc mapping '!AE104) &amp; ",",-1&amp; ",")</f>
        <v>-1,</v>
      </c>
      <c r="AF40" t="str">
        <f ca="1">IF('(直掃)Change to adc mapping '!AF104 &lt;&gt;-1,"0x" &amp; DEC2HEX('(直掃)Change to adc mapping '!AF104) &amp; ",",-1&amp; ",")</f>
        <v>0x0,</v>
      </c>
      <c r="AG40" t="str">
        <f ca="1">IF('(直掃)Change to adc mapping '!AG104 &lt;&gt;-1,"0x" &amp; DEC2HEX('(直掃)Change to adc mapping '!AG104) &amp; ",",-1&amp; ",")</f>
        <v>0x1,</v>
      </c>
      <c r="AH40" t="str">
        <f ca="1">IF('(直掃)Change to adc mapping '!AH104 &lt;&gt;-1,"0x" &amp; DEC2HEX('(直掃)Change to adc mapping '!AH104) &amp; ",",-1&amp; ",")</f>
        <v>0x2,</v>
      </c>
      <c r="AI40" t="str">
        <f ca="1">IF('(直掃)Change to adc mapping '!AI104 &lt;&gt;-1,"0x" &amp; DEC2HEX('(直掃)Change to adc mapping '!AI104) &amp; ",",-1&amp; ",")</f>
        <v>0x3,</v>
      </c>
      <c r="AJ40" t="str">
        <f ca="1">IF('(直掃)Change to adc mapping '!AJ104 &lt;&gt;-1,"0x" &amp; DEC2HEX('(直掃)Change to adc mapping '!AJ104) &amp; ",",-1&amp; ",")</f>
        <v>0x4,</v>
      </c>
      <c r="AK40" t="str">
        <f ca="1">IF('(直掃)Change to adc mapping '!AK104 &lt;&gt;-1,"0x" &amp; DEC2HEX('(直掃)Change to adc mapping '!AK104) &amp; ",",-1&amp; ",")</f>
        <v>0x5,</v>
      </c>
      <c r="AL40" t="str">
        <f ca="1">IF('(直掃)Change to adc mapping '!AL104 &lt;&gt;-1,"0x" &amp; DEC2HEX('(直掃)Change to adc mapping '!AL104) &amp; ",",-1&amp; ",")</f>
        <v>0x6,</v>
      </c>
      <c r="AM40" t="str">
        <f ca="1">IF('(直掃)Change to adc mapping '!AM104 &lt;&gt;-1,"0x" &amp; DEC2HEX('(直掃)Change to adc mapping '!AM104) &amp; ",",-1&amp; ",")</f>
        <v>0x7,</v>
      </c>
      <c r="AN40" t="str">
        <f ca="1">IF('(直掃)Change to adc mapping '!AN104 &lt;&gt;-1,"0x" &amp; DEC2HEX('(直掃)Change to adc mapping '!AN104) &amp; ",",-1&amp; ",")</f>
        <v>0x8,</v>
      </c>
      <c r="AO40" t="str">
        <f ca="1">IF('(直掃)Change to adc mapping '!AO104 &lt;&gt;-1,"0x" &amp; DEC2HEX('(直掃)Change to adc mapping '!AO104) &amp; ",",-1&amp; ",")</f>
        <v>0x9,</v>
      </c>
      <c r="AP40" t="str">
        <f ca="1">IF('(直掃)Change to adc mapping '!AP104 &lt;&gt;-1,"0x" &amp; DEC2HEX('(直掃)Change to adc mapping '!AP104) &amp; ",",-1&amp; ",")</f>
        <v>0xA,</v>
      </c>
      <c r="AQ40" t="str">
        <f ca="1">IF('(直掃)Change to adc mapping '!AQ104 &lt;&gt;-1,"0x" &amp; DEC2HEX('(直掃)Change to adc mapping '!AQ104) &amp; ",",-1&amp; ",")</f>
        <v>0xB,</v>
      </c>
      <c r="AR40" t="str">
        <f ca="1">IF('(直掃)Change to adc mapping '!AR104 &lt;&gt;-1,"0x" &amp; DEC2HEX('(直掃)Change to adc mapping '!AR104) &amp; ",",-1&amp; ",")</f>
        <v>0xC,</v>
      </c>
      <c r="AS40" t="str">
        <f ca="1">IF('(直掃)Change to adc mapping '!AS104 &lt;&gt;-1,"0x" &amp; DEC2HEX('(直掃)Change to adc mapping '!AS104) &amp; ",",-1&amp; ",")</f>
        <v>0xD,</v>
      </c>
      <c r="AT40" t="str">
        <f ca="1">IF('(直掃)Change to adc mapping '!AT104 &lt;&gt;-1,"0x" &amp; DEC2HEX('(直掃)Change to adc mapping '!AT104) &amp; ",",-1&amp; ",")</f>
        <v>0xE,</v>
      </c>
      <c r="AU40" t="str">
        <f ca="1">IF('(直掃)Change to adc mapping '!AU104 &lt;&gt;-1,"0x" &amp; DEC2HEX('(直掃)Change to adc mapping '!AU104) &amp; ",",-1&amp; ",")</f>
        <v>0xF,</v>
      </c>
      <c r="AV40" t="str">
        <f ca="1">IF('(直掃)Change to adc mapping '!AV104 &lt;&gt;-1,"0x" &amp; DEC2HEX('(直掃)Change to adc mapping '!AV104) &amp; ",",-1&amp; ",")</f>
        <v>0x10,</v>
      </c>
      <c r="AW40" t="str">
        <f ca="1">IF('(直掃)Change to adc mapping '!AW104 &lt;&gt;-1,"0x" &amp; DEC2HEX('(直掃)Change to adc mapping '!AW104) &amp; ",",-1&amp; ",")</f>
        <v>0x11,</v>
      </c>
      <c r="AX40" t="str">
        <f ca="1">IF('(直掃)Change to adc mapping '!AX104 &lt;&gt;-1,"0x" &amp; DEC2HEX('(直掃)Change to adc mapping '!AX104) &amp; ",",-1&amp; ",")</f>
        <v>0x12,</v>
      </c>
      <c r="AY40" t="str">
        <f ca="1">IF('(直掃)Change to adc mapping '!AY104 &lt;&gt;-1,"0x" &amp; DEC2HEX('(直掃)Change to adc mapping '!AY104) &amp; ",",-1&amp; ",")</f>
        <v>0x13,</v>
      </c>
      <c r="AZ40" t="str">
        <f ca="1">IF('(直掃)Change to adc mapping '!AZ104 &lt;&gt;-1,"0x" &amp; DEC2HEX('(直掃)Change to adc mapping '!AZ104) &amp; ",",-1&amp; ",")</f>
        <v>0x14,</v>
      </c>
      <c r="BA40" t="str">
        <f ca="1">IF('(直掃)Change to adc mapping '!BA104 &lt;&gt;-1,"0x" &amp; DEC2HEX('(直掃)Change to adc mapping '!BA104) &amp; ",",-1&amp; ",")</f>
        <v>0x15,</v>
      </c>
      <c r="BB40" t="str">
        <f ca="1">IF('(直掃)Change to adc mapping '!BB104 &lt;&gt;-1,"0x" &amp; DEC2HEX('(直掃)Change to adc mapping '!BB104) &amp; ",",-1&amp; ",")</f>
        <v>0x16,</v>
      </c>
      <c r="BC40" t="str">
        <f ca="1">IF('(直掃)Change to adc mapping '!BC104 &lt;&gt;-1,"0x" &amp; DEC2HEX('(直掃)Change to adc mapping '!BC104) &amp; ",",-1&amp; ",")</f>
        <v>0x17,</v>
      </c>
      <c r="BD40" t="str">
        <f ca="1">IF('(直掃)Change to adc mapping '!BD104 &lt;&gt;-1,"0x" &amp; DEC2HEX('(直掃)Change to adc mapping '!BD104) &amp; ",",-1&amp; ",")</f>
        <v>0x18,</v>
      </c>
      <c r="BE40" t="str">
        <f ca="1">IF('(直掃)Change to adc mapping '!BE104 &lt;&gt;-1,"0x" &amp; DEC2HEX('(直掃)Change to adc mapping '!BE104) &amp; ",",-1&amp; ",")</f>
        <v>0x19,</v>
      </c>
      <c r="BF40" t="str">
        <f ca="1">IF('(直掃)Change to adc mapping '!BF104 &lt;&gt;-1,"0x" &amp; DEC2HEX('(直掃)Change to adc mapping '!BF104) &amp; ",",-1&amp; ",")</f>
        <v>0x1A,</v>
      </c>
      <c r="BG40" t="str">
        <f ca="1">IF('(直掃)Change to adc mapping '!BG104 &lt;&gt;-1,"0x" &amp; DEC2HEX('(直掃)Change to adc mapping '!BG104) &amp; ",",-1&amp; ",")</f>
        <v>0x1B,</v>
      </c>
      <c r="BH40" t="str">
        <f ca="1">IF('(直掃)Change to adc mapping '!BH104 &lt;&gt;-1,"0x" &amp; DEC2HEX('(直掃)Change to adc mapping '!BH104) &amp; ",",-1&amp; ",")</f>
        <v>0x1C,</v>
      </c>
      <c r="BI40" t="str">
        <f ca="1">IF('(直掃)Change to adc mapping '!BI104 &lt;&gt;-1,"0x" &amp; DEC2HEX('(直掃)Change to adc mapping '!BI104) &amp; ",",-1&amp; ",")</f>
        <v>0x1D,</v>
      </c>
    </row>
    <row r="41" spans="1:61" x14ac:dyDescent="0.25">
      <c r="A41" s="20">
        <v>40</v>
      </c>
      <c r="B41" t="str">
        <f ca="1">'(直掃)Change to adc mapping '!B105 &amp; ","</f>
        <v>9999,</v>
      </c>
      <c r="C41" t="str">
        <f ca="1">'(直掃)Change to adc mapping '!C105 &amp; ","</f>
        <v>9999,</v>
      </c>
      <c r="D41" t="str">
        <f ca="1">'(直掃)Change to adc mapping '!D105 &amp; ","</f>
        <v>9999,</v>
      </c>
      <c r="E41" t="str">
        <f ca="1">'(直掃)Change to adc mapping '!E105 &amp; ","</f>
        <v>9999,</v>
      </c>
      <c r="F41" t="str">
        <f ca="1">'(直掃)Change to adc mapping '!F105 &amp; ","</f>
        <v>9999,</v>
      </c>
      <c r="G41" t="str">
        <f ca="1">'(直掃)Change to adc mapping '!G105 &amp; ","</f>
        <v>9999,</v>
      </c>
      <c r="H41" t="str">
        <f ca="1">'(直掃)Change to adc mapping '!H105 &amp; ","</f>
        <v>9999,</v>
      </c>
      <c r="I41" t="str">
        <f ca="1">'(直掃)Change to adc mapping '!I105 &amp; ","</f>
        <v>9999,</v>
      </c>
      <c r="J41" t="str">
        <f ca="1">'(直掃)Change to adc mapping '!J105 &amp; ","</f>
        <v>9999,</v>
      </c>
      <c r="K41" t="str">
        <f ca="1">'(直掃)Change to adc mapping '!K105 &amp; ","</f>
        <v>9999,</v>
      </c>
      <c r="L41" t="str">
        <f ca="1">'(直掃)Change to adc mapping '!L105 &amp; ","</f>
        <v>9999,</v>
      </c>
      <c r="M41" t="str">
        <f ca="1">'(直掃)Change to adc mapping '!M105 &amp; ","</f>
        <v>9999,</v>
      </c>
      <c r="N41" t="str">
        <f ca="1">'(直掃)Change to adc mapping '!N105 &amp; ","</f>
        <v>9999,</v>
      </c>
      <c r="O41" t="str">
        <f ca="1">'(直掃)Change to adc mapping '!O105 &amp; ","</f>
        <v>9999,</v>
      </c>
      <c r="P41" t="str">
        <f ca="1">'(直掃)Change to adc mapping '!P105 &amp; ","</f>
        <v>9999,</v>
      </c>
      <c r="Q41" t="str">
        <f ca="1">'(直掃)Change to adc mapping '!Q105 &amp; ","</f>
        <v>9999,</v>
      </c>
      <c r="R41" t="str">
        <f ca="1">'(直掃)Change to adc mapping '!R105 &amp; ","</f>
        <v>9999,</v>
      </c>
      <c r="S41" t="str">
        <f ca="1">'(直掃)Change to adc mapping '!S105 &amp; ","</f>
        <v>9999,</v>
      </c>
      <c r="T41" t="str">
        <f ca="1">'(直掃)Change to adc mapping '!T105 &amp; ","</f>
        <v>9999,</v>
      </c>
      <c r="U41" t="str">
        <f ca="1">'(直掃)Change to adc mapping '!U105 &amp; ","</f>
        <v>9999,</v>
      </c>
      <c r="V41" t="str">
        <f ca="1">'(直掃)Change to adc mapping '!V105 &amp; ","</f>
        <v>9999,</v>
      </c>
      <c r="W41" t="str">
        <f ca="1">'(直掃)Change to adc mapping '!W105 &amp; ","</f>
        <v>9999,</v>
      </c>
      <c r="X41" t="str">
        <f ca="1">'(直掃)Change to adc mapping '!X105 &amp; ","</f>
        <v>9999,</v>
      </c>
      <c r="Y41" t="str">
        <f ca="1">IF('(直掃)Change to adc mapping '!Y105 &lt;&gt;-1,"0x" &amp; DEC2HEX('(直掃)Change to adc mapping '!Y105) &amp; ",",-1&amp; ",")</f>
        <v>-1,</v>
      </c>
      <c r="Z41" t="str">
        <f ca="1">IF('(直掃)Change to adc mapping '!Z105 &lt;&gt;-1,"0x" &amp; DEC2HEX('(直掃)Change to adc mapping '!Z105) &amp; ",",-1&amp; ",")</f>
        <v>-1,</v>
      </c>
      <c r="AA41" t="str">
        <f ca="1">IF('(直掃)Change to adc mapping '!AA105 &lt;&gt;-1,"0x" &amp; DEC2HEX('(直掃)Change to adc mapping '!AA105) &amp; ",",-1&amp; ",")</f>
        <v>-1,</v>
      </c>
      <c r="AB41" t="str">
        <f ca="1">IF('(直掃)Change to adc mapping '!AB105 &lt;&gt;-1,"0x" &amp; DEC2HEX('(直掃)Change to adc mapping '!AB105) &amp; ",",-1&amp; ",")</f>
        <v>-1,</v>
      </c>
      <c r="AC41" t="str">
        <f ca="1">IF('(直掃)Change to adc mapping '!AC105 &lt;&gt;-1,"0x" &amp; DEC2HEX('(直掃)Change to adc mapping '!AC105) &amp; ",",-1&amp; ",")</f>
        <v>-1,</v>
      </c>
      <c r="AD41" t="str">
        <f ca="1">IF('(直掃)Change to adc mapping '!AD105 &lt;&gt;-1,"0x" &amp; DEC2HEX('(直掃)Change to adc mapping '!AD105) &amp; ",",-1&amp; ",")</f>
        <v>-1,</v>
      </c>
      <c r="AE41" t="str">
        <f ca="1">IF('(直掃)Change to adc mapping '!AE105 &lt;&gt;-1,"0x" &amp; DEC2HEX('(直掃)Change to adc mapping '!AE105) &amp; ",",-1&amp; ",")</f>
        <v>-1,</v>
      </c>
      <c r="AF41" t="str">
        <f ca="1">IF('(直掃)Change to adc mapping '!AF105 &lt;&gt;-1,"0x" &amp; DEC2HEX('(直掃)Change to adc mapping '!AF105) &amp; ",",-1&amp; ",")</f>
        <v>0x1E,</v>
      </c>
      <c r="AG41" t="str">
        <f ca="1">IF('(直掃)Change to adc mapping '!AG105 &lt;&gt;-1,"0x" &amp; DEC2HEX('(直掃)Change to adc mapping '!AG105) &amp; ",",-1&amp; ",")</f>
        <v>0x1F,</v>
      </c>
      <c r="AH41" t="str">
        <f ca="1">IF('(直掃)Change to adc mapping '!AH105 &lt;&gt;-1,"0x" &amp; DEC2HEX('(直掃)Change to adc mapping '!AH105) &amp; ",",-1&amp; ",")</f>
        <v>0x20,</v>
      </c>
      <c r="AI41" t="str">
        <f ca="1">IF('(直掃)Change to adc mapping '!AI105 &lt;&gt;-1,"0x" &amp; DEC2HEX('(直掃)Change to adc mapping '!AI105) &amp; ",",-1&amp; ",")</f>
        <v>0x21,</v>
      </c>
      <c r="AJ41" t="str">
        <f ca="1">IF('(直掃)Change to adc mapping '!AJ105 &lt;&gt;-1,"0x" &amp; DEC2HEX('(直掃)Change to adc mapping '!AJ105) &amp; ",",-1&amp; ",")</f>
        <v>0x22,</v>
      </c>
      <c r="AK41" t="str">
        <f ca="1">IF('(直掃)Change to adc mapping '!AK105 &lt;&gt;-1,"0x" &amp; DEC2HEX('(直掃)Change to adc mapping '!AK105) &amp; ",",-1&amp; ",")</f>
        <v>0x23,</v>
      </c>
      <c r="AL41" t="str">
        <f ca="1">IF('(直掃)Change to adc mapping '!AL105 &lt;&gt;-1,"0x" &amp; DEC2HEX('(直掃)Change to adc mapping '!AL105) &amp; ",",-1&amp; ",")</f>
        <v>0x24,</v>
      </c>
      <c r="AM41" t="str">
        <f ca="1">IF('(直掃)Change to adc mapping '!AM105 &lt;&gt;-1,"0x" &amp; DEC2HEX('(直掃)Change to adc mapping '!AM105) &amp; ",",-1&amp; ",")</f>
        <v>0x25,</v>
      </c>
      <c r="AN41" t="str">
        <f ca="1">IF('(直掃)Change to adc mapping '!AN105 &lt;&gt;-1,"0x" &amp; DEC2HEX('(直掃)Change to adc mapping '!AN105) &amp; ",",-1&amp; ",")</f>
        <v>0x26,</v>
      </c>
      <c r="AO41" t="str">
        <f ca="1">IF('(直掃)Change to adc mapping '!AO105 &lt;&gt;-1,"0x" &amp; DEC2HEX('(直掃)Change to adc mapping '!AO105) &amp; ",",-1&amp; ",")</f>
        <v>0x27,</v>
      </c>
      <c r="AP41" t="str">
        <f ca="1">IF('(直掃)Change to adc mapping '!AP105 &lt;&gt;-1,"0x" &amp; DEC2HEX('(直掃)Change to adc mapping '!AP105) &amp; ",",-1&amp; ",")</f>
        <v>0x28,</v>
      </c>
      <c r="AQ41" t="str">
        <f ca="1">IF('(直掃)Change to adc mapping '!AQ105 &lt;&gt;-1,"0x" &amp; DEC2HEX('(直掃)Change to adc mapping '!AQ105) &amp; ",",-1&amp; ",")</f>
        <v>0x29,</v>
      </c>
      <c r="AR41" t="str">
        <f ca="1">IF('(直掃)Change to adc mapping '!AR105 &lt;&gt;-1,"0x" &amp; DEC2HEX('(直掃)Change to adc mapping '!AR105) &amp; ",",-1&amp; ",")</f>
        <v>0x2A,</v>
      </c>
      <c r="AS41" t="str">
        <f ca="1">IF('(直掃)Change to adc mapping '!AS105 &lt;&gt;-1,"0x" &amp; DEC2HEX('(直掃)Change to adc mapping '!AS105) &amp; ",",-1&amp; ",")</f>
        <v>0x2B,</v>
      </c>
      <c r="AT41" t="str">
        <f ca="1">IF('(直掃)Change to adc mapping '!AT105 &lt;&gt;-1,"0x" &amp; DEC2HEX('(直掃)Change to adc mapping '!AT105) &amp; ",",-1&amp; ",")</f>
        <v>0x2C,</v>
      </c>
      <c r="AU41" t="str">
        <f ca="1">IF('(直掃)Change to adc mapping '!AU105 &lt;&gt;-1,"0x" &amp; DEC2HEX('(直掃)Change to adc mapping '!AU105) &amp; ",",-1&amp; ",")</f>
        <v>0x2D,</v>
      </c>
      <c r="AV41" t="str">
        <f ca="1">IF('(直掃)Change to adc mapping '!AV105 &lt;&gt;-1,"0x" &amp; DEC2HEX('(直掃)Change to adc mapping '!AV105) &amp; ",",-1&amp; ",")</f>
        <v>0x2E,</v>
      </c>
      <c r="AW41" t="str">
        <f ca="1">IF('(直掃)Change to adc mapping '!AW105 &lt;&gt;-1,"0x" &amp; DEC2HEX('(直掃)Change to adc mapping '!AW105) &amp; ",",-1&amp; ",")</f>
        <v>0x2F,</v>
      </c>
      <c r="AX41" t="str">
        <f ca="1">IF('(直掃)Change to adc mapping '!AX105 &lt;&gt;-1,"0x" &amp; DEC2HEX('(直掃)Change to adc mapping '!AX105) &amp; ",",-1&amp; ",")</f>
        <v>0x30,</v>
      </c>
      <c r="AY41" t="str">
        <f ca="1">IF('(直掃)Change to adc mapping '!AY105 &lt;&gt;-1,"0x" &amp; DEC2HEX('(直掃)Change to adc mapping '!AY105) &amp; ",",-1&amp; ",")</f>
        <v>0x31,</v>
      </c>
      <c r="AZ41" t="str">
        <f ca="1">IF('(直掃)Change to adc mapping '!AZ105 &lt;&gt;-1,"0x" &amp; DEC2HEX('(直掃)Change to adc mapping '!AZ105) &amp; ",",-1&amp; ",")</f>
        <v>0x32,</v>
      </c>
      <c r="BA41" t="str">
        <f ca="1">IF('(直掃)Change to adc mapping '!BA105 &lt;&gt;-1,"0x" &amp; DEC2HEX('(直掃)Change to adc mapping '!BA105) &amp; ",",-1&amp; ",")</f>
        <v>0x33,</v>
      </c>
      <c r="BB41" t="str">
        <f ca="1">IF('(直掃)Change to adc mapping '!BB105 &lt;&gt;-1,"0x" &amp; DEC2HEX('(直掃)Change to adc mapping '!BB105) &amp; ",",-1&amp; ",")</f>
        <v>0x34,</v>
      </c>
      <c r="BC41" t="str">
        <f ca="1">IF('(直掃)Change to adc mapping '!BC105 &lt;&gt;-1,"0x" &amp; DEC2HEX('(直掃)Change to adc mapping '!BC105) &amp; ",",-1&amp; ",")</f>
        <v>0x35,</v>
      </c>
      <c r="BD41" t="str">
        <f ca="1">IF('(直掃)Change to adc mapping '!BD105 &lt;&gt;-1,"0x" &amp; DEC2HEX('(直掃)Change to adc mapping '!BD105) &amp; ",",-1&amp; ",")</f>
        <v>0x36,</v>
      </c>
      <c r="BE41" t="str">
        <f ca="1">IF('(直掃)Change to adc mapping '!BE105 &lt;&gt;-1,"0x" &amp; DEC2HEX('(直掃)Change to adc mapping '!BE105) &amp; ",",-1&amp; ",")</f>
        <v>0x37,</v>
      </c>
      <c r="BF41" t="str">
        <f ca="1">IF('(直掃)Change to adc mapping '!BF105 &lt;&gt;-1,"0x" &amp; DEC2HEX('(直掃)Change to adc mapping '!BF105) &amp; ",",-1&amp; ",")</f>
        <v>0x38,</v>
      </c>
      <c r="BG41" t="str">
        <f ca="1">IF('(直掃)Change to adc mapping '!BG105 &lt;&gt;-1,"0x" &amp; DEC2HEX('(直掃)Change to adc mapping '!BG105) &amp; ",",-1&amp; ",")</f>
        <v>0x39,</v>
      </c>
      <c r="BH41" t="str">
        <f ca="1">IF('(直掃)Change to adc mapping '!BH105 &lt;&gt;-1,"0x" &amp; DEC2HEX('(直掃)Change to adc mapping '!BH105) &amp; ",",-1&amp; ",")</f>
        <v>0x3A,</v>
      </c>
      <c r="BI41" t="str">
        <f ca="1">IF('(直掃)Change to adc mapping '!BI105 &lt;&gt;-1,"0x" &amp; DEC2HEX('(直掃)Change to adc mapping '!BI105) &amp; ",",-1&amp; ",")</f>
        <v>0x3B,</v>
      </c>
    </row>
    <row r="42" spans="1:61" x14ac:dyDescent="0.25">
      <c r="A42" s="20">
        <v>41</v>
      </c>
      <c r="B42" t="str">
        <f ca="1">'(直掃)Change to adc mapping '!B106 &amp; ","</f>
        <v>9999,</v>
      </c>
      <c r="C42" t="str">
        <f ca="1">'(直掃)Change to adc mapping '!C106 &amp; ","</f>
        <v>9999,</v>
      </c>
      <c r="D42" t="str">
        <f ca="1">'(直掃)Change to adc mapping '!D106 &amp; ","</f>
        <v>9999,</v>
      </c>
      <c r="E42" t="str">
        <f ca="1">'(直掃)Change to adc mapping '!E106 &amp; ","</f>
        <v>9999,</v>
      </c>
      <c r="F42" t="str">
        <f ca="1">'(直掃)Change to adc mapping '!F106 &amp; ","</f>
        <v>9999,</v>
      </c>
      <c r="G42" t="str">
        <f ca="1">'(直掃)Change to adc mapping '!G106 &amp; ","</f>
        <v>9999,</v>
      </c>
      <c r="H42" t="str">
        <f ca="1">'(直掃)Change to adc mapping '!H106 &amp; ","</f>
        <v>9999,</v>
      </c>
      <c r="I42" t="str">
        <f ca="1">'(直掃)Change to adc mapping '!I106 &amp; ","</f>
        <v>9999,</v>
      </c>
      <c r="J42" t="str">
        <f ca="1">'(直掃)Change to adc mapping '!J106 &amp; ","</f>
        <v>9999,</v>
      </c>
      <c r="K42" t="str">
        <f ca="1">'(直掃)Change to adc mapping '!K106 &amp; ","</f>
        <v>9999,</v>
      </c>
      <c r="L42" t="str">
        <f ca="1">'(直掃)Change to adc mapping '!L106 &amp; ","</f>
        <v>9999,</v>
      </c>
      <c r="M42" t="str">
        <f ca="1">'(直掃)Change to adc mapping '!M106 &amp; ","</f>
        <v>9999,</v>
      </c>
      <c r="N42" t="str">
        <f ca="1">'(直掃)Change to adc mapping '!N106 &amp; ","</f>
        <v>9999,</v>
      </c>
      <c r="O42" t="str">
        <f ca="1">'(直掃)Change to adc mapping '!O106 &amp; ","</f>
        <v>9999,</v>
      </c>
      <c r="P42" t="str">
        <f ca="1">'(直掃)Change to adc mapping '!P106 &amp; ","</f>
        <v>9999,</v>
      </c>
      <c r="Q42" t="str">
        <f ca="1">'(直掃)Change to adc mapping '!Q106 &amp; ","</f>
        <v>9999,</v>
      </c>
      <c r="R42" t="str">
        <f ca="1">'(直掃)Change to adc mapping '!R106 &amp; ","</f>
        <v>9999,</v>
      </c>
      <c r="S42" t="str">
        <f ca="1">'(直掃)Change to adc mapping '!S106 &amp; ","</f>
        <v>9999,</v>
      </c>
      <c r="T42" t="str">
        <f ca="1">'(直掃)Change to adc mapping '!T106 &amp; ","</f>
        <v>9999,</v>
      </c>
      <c r="U42" t="str">
        <f ca="1">'(直掃)Change to adc mapping '!U106 &amp; ","</f>
        <v>9999,</v>
      </c>
      <c r="V42" t="str">
        <f ca="1">'(直掃)Change to adc mapping '!V106 &amp; ","</f>
        <v>9999,</v>
      </c>
      <c r="W42" t="str">
        <f ca="1">'(直掃)Change to adc mapping '!W106 &amp; ","</f>
        <v>9999,</v>
      </c>
      <c r="X42" t="str">
        <f ca="1">'(直掃)Change to adc mapping '!X106 &amp; ","</f>
        <v>9999,</v>
      </c>
      <c r="Y42" t="str">
        <f ca="1">IF('(直掃)Change to adc mapping '!Y106 &lt;&gt;-1,"0x" &amp; DEC2HEX('(直掃)Change to adc mapping '!Y106) &amp; ",",-1&amp; ",")</f>
        <v>-1,</v>
      </c>
      <c r="Z42" t="str">
        <f ca="1">IF('(直掃)Change to adc mapping '!Z106 &lt;&gt;-1,"0x" &amp; DEC2HEX('(直掃)Change to adc mapping '!Z106) &amp; ",",-1&amp; ",")</f>
        <v>-1,</v>
      </c>
      <c r="AA42" t="str">
        <f ca="1">IF('(直掃)Change to adc mapping '!AA106 &lt;&gt;-1,"0x" &amp; DEC2HEX('(直掃)Change to adc mapping '!AA106) &amp; ",",-1&amp; ",")</f>
        <v>-1,</v>
      </c>
      <c r="AB42" t="str">
        <f ca="1">IF('(直掃)Change to adc mapping '!AB106 &lt;&gt;-1,"0x" &amp; DEC2HEX('(直掃)Change to adc mapping '!AB106) &amp; ",",-1&amp; ",")</f>
        <v>-1,</v>
      </c>
      <c r="AC42" t="str">
        <f ca="1">IF('(直掃)Change to adc mapping '!AC106 &lt;&gt;-1,"0x" &amp; DEC2HEX('(直掃)Change to adc mapping '!AC106) &amp; ",",-1&amp; ",")</f>
        <v>-1,</v>
      </c>
      <c r="AD42" t="str">
        <f ca="1">IF('(直掃)Change to adc mapping '!AD106 &lt;&gt;-1,"0x" &amp; DEC2HEX('(直掃)Change to adc mapping '!AD106) &amp; ",",-1&amp; ",")</f>
        <v>-1,</v>
      </c>
      <c r="AE42" t="str">
        <f ca="1">IF('(直掃)Change to adc mapping '!AE106 &lt;&gt;-1,"0x" &amp; DEC2HEX('(直掃)Change to adc mapping '!AE106) &amp; ",",-1&amp; ",")</f>
        <v>-1,</v>
      </c>
      <c r="AF42" t="str">
        <f ca="1">IF('(直掃)Change to adc mapping '!AF106 &lt;&gt;-1,"0x" &amp; DEC2HEX('(直掃)Change to adc mapping '!AF106) &amp; ",",-1&amp; ",")</f>
        <v>0x3C,</v>
      </c>
      <c r="AG42" t="str">
        <f ca="1">IF('(直掃)Change to adc mapping '!AG106 &lt;&gt;-1,"0x" &amp; DEC2HEX('(直掃)Change to adc mapping '!AG106) &amp; ",",-1&amp; ",")</f>
        <v>0x3D,</v>
      </c>
      <c r="AH42" t="str">
        <f ca="1">IF('(直掃)Change to adc mapping '!AH106 &lt;&gt;-1,"0x" &amp; DEC2HEX('(直掃)Change to adc mapping '!AH106) &amp; ",",-1&amp; ",")</f>
        <v>0x3E,</v>
      </c>
      <c r="AI42" t="str">
        <f ca="1">IF('(直掃)Change to adc mapping '!AI106 &lt;&gt;-1,"0x" &amp; DEC2HEX('(直掃)Change to adc mapping '!AI106) &amp; ",",-1&amp; ",")</f>
        <v>0x3F,</v>
      </c>
      <c r="AJ42" t="str">
        <f ca="1">IF('(直掃)Change to adc mapping '!AJ106 &lt;&gt;-1,"0x" &amp; DEC2HEX('(直掃)Change to adc mapping '!AJ106) &amp; ",",-1&amp; ",")</f>
        <v>0x40,</v>
      </c>
      <c r="AK42" t="str">
        <f ca="1">IF('(直掃)Change to adc mapping '!AK106 &lt;&gt;-1,"0x" &amp; DEC2HEX('(直掃)Change to adc mapping '!AK106) &amp; ",",-1&amp; ",")</f>
        <v>0x41,</v>
      </c>
      <c r="AL42" t="str">
        <f ca="1">IF('(直掃)Change to adc mapping '!AL106 &lt;&gt;-1,"0x" &amp; DEC2HEX('(直掃)Change to adc mapping '!AL106) &amp; ",",-1&amp; ",")</f>
        <v>0x42,</v>
      </c>
      <c r="AM42" t="str">
        <f ca="1">IF('(直掃)Change to adc mapping '!AM106 &lt;&gt;-1,"0x" &amp; DEC2HEX('(直掃)Change to adc mapping '!AM106) &amp; ",",-1&amp; ",")</f>
        <v>0x43,</v>
      </c>
      <c r="AN42" t="str">
        <f ca="1">IF('(直掃)Change to adc mapping '!AN106 &lt;&gt;-1,"0x" &amp; DEC2HEX('(直掃)Change to adc mapping '!AN106) &amp; ",",-1&amp; ",")</f>
        <v>0x44,</v>
      </c>
      <c r="AO42" t="str">
        <f ca="1">IF('(直掃)Change to adc mapping '!AO106 &lt;&gt;-1,"0x" &amp; DEC2HEX('(直掃)Change to adc mapping '!AO106) &amp; ",",-1&amp; ",")</f>
        <v>0x45,</v>
      </c>
      <c r="AP42" t="str">
        <f ca="1">IF('(直掃)Change to adc mapping '!AP106 &lt;&gt;-1,"0x" &amp; DEC2HEX('(直掃)Change to adc mapping '!AP106) &amp; ",",-1&amp; ",")</f>
        <v>0x46,</v>
      </c>
      <c r="AQ42" t="str">
        <f ca="1">IF('(直掃)Change to adc mapping '!AQ106 &lt;&gt;-1,"0x" &amp; DEC2HEX('(直掃)Change to adc mapping '!AQ106) &amp; ",",-1&amp; ",")</f>
        <v>0x47,</v>
      </c>
      <c r="AR42" t="str">
        <f ca="1">IF('(直掃)Change to adc mapping '!AR106 &lt;&gt;-1,"0x" &amp; DEC2HEX('(直掃)Change to adc mapping '!AR106) &amp; ",",-1&amp; ",")</f>
        <v>0x48,</v>
      </c>
      <c r="AS42" t="str">
        <f ca="1">IF('(直掃)Change to adc mapping '!AS106 &lt;&gt;-1,"0x" &amp; DEC2HEX('(直掃)Change to adc mapping '!AS106) &amp; ",",-1&amp; ",")</f>
        <v>0x49,</v>
      </c>
      <c r="AT42" t="str">
        <f ca="1">IF('(直掃)Change to adc mapping '!AT106 &lt;&gt;-1,"0x" &amp; DEC2HEX('(直掃)Change to adc mapping '!AT106) &amp; ",",-1&amp; ",")</f>
        <v>0x4A,</v>
      </c>
      <c r="AU42" t="str">
        <f ca="1">IF('(直掃)Change to adc mapping '!AU106 &lt;&gt;-1,"0x" &amp; DEC2HEX('(直掃)Change to adc mapping '!AU106) &amp; ",",-1&amp; ",")</f>
        <v>0x4B,</v>
      </c>
      <c r="AV42" t="str">
        <f ca="1">IF('(直掃)Change to adc mapping '!AV106 &lt;&gt;-1,"0x" &amp; DEC2HEX('(直掃)Change to adc mapping '!AV106) &amp; ",",-1&amp; ",")</f>
        <v>0x4C,</v>
      </c>
      <c r="AW42" t="str">
        <f ca="1">IF('(直掃)Change to adc mapping '!AW106 &lt;&gt;-1,"0x" &amp; DEC2HEX('(直掃)Change to adc mapping '!AW106) &amp; ",",-1&amp; ",")</f>
        <v>0x4D,</v>
      </c>
      <c r="AX42" t="str">
        <f ca="1">IF('(直掃)Change to adc mapping '!AX106 &lt;&gt;-1,"0x" &amp; DEC2HEX('(直掃)Change to adc mapping '!AX106) &amp; ",",-1&amp; ",")</f>
        <v>0x4E,</v>
      </c>
      <c r="AY42" t="str">
        <f ca="1">IF('(直掃)Change to adc mapping '!AY106 &lt;&gt;-1,"0x" &amp; DEC2HEX('(直掃)Change to adc mapping '!AY106) &amp; ",",-1&amp; ",")</f>
        <v>0x4F,</v>
      </c>
      <c r="AZ42" t="str">
        <f ca="1">IF('(直掃)Change to adc mapping '!AZ106 &lt;&gt;-1,"0x" &amp; DEC2HEX('(直掃)Change to adc mapping '!AZ106) &amp; ",",-1&amp; ",")</f>
        <v>0x50,</v>
      </c>
      <c r="BA42" t="str">
        <f ca="1">IF('(直掃)Change to adc mapping '!BA106 &lt;&gt;-1,"0x" &amp; DEC2HEX('(直掃)Change to adc mapping '!BA106) &amp; ",",-1&amp; ",")</f>
        <v>0x51,</v>
      </c>
      <c r="BB42" t="str">
        <f ca="1">IF('(直掃)Change to adc mapping '!BB106 &lt;&gt;-1,"0x" &amp; DEC2HEX('(直掃)Change to adc mapping '!BB106) &amp; ",",-1&amp; ",")</f>
        <v>0x52,</v>
      </c>
      <c r="BC42" t="str">
        <f ca="1">IF('(直掃)Change to adc mapping '!BC106 &lt;&gt;-1,"0x" &amp; DEC2HEX('(直掃)Change to adc mapping '!BC106) &amp; ",",-1&amp; ",")</f>
        <v>0x53,</v>
      </c>
      <c r="BD42" t="str">
        <f ca="1">IF('(直掃)Change to adc mapping '!BD106 &lt;&gt;-1,"0x" &amp; DEC2HEX('(直掃)Change to adc mapping '!BD106) &amp; ",",-1&amp; ",")</f>
        <v>0x54,</v>
      </c>
      <c r="BE42" t="str">
        <f ca="1">IF('(直掃)Change to adc mapping '!BE106 &lt;&gt;-1,"0x" &amp; DEC2HEX('(直掃)Change to adc mapping '!BE106) &amp; ",",-1&amp; ",")</f>
        <v>0x55,</v>
      </c>
      <c r="BF42" t="str">
        <f ca="1">IF('(直掃)Change to adc mapping '!BF106 &lt;&gt;-1,"0x" &amp; DEC2HEX('(直掃)Change to adc mapping '!BF106) &amp; ",",-1&amp; ",")</f>
        <v>0x56,</v>
      </c>
      <c r="BG42" t="str">
        <f ca="1">IF('(直掃)Change to adc mapping '!BG106 &lt;&gt;-1,"0x" &amp; DEC2HEX('(直掃)Change to adc mapping '!BG106) &amp; ",",-1&amp; ",")</f>
        <v>0x57,</v>
      </c>
      <c r="BH42" t="str">
        <f ca="1">IF('(直掃)Change to adc mapping '!BH106 &lt;&gt;-1,"0x" &amp; DEC2HEX('(直掃)Change to adc mapping '!BH106) &amp; ",",-1&amp; ",")</f>
        <v>0x58,</v>
      </c>
      <c r="BI42" t="str">
        <f ca="1">IF('(直掃)Change to adc mapping '!BI106 &lt;&gt;-1,"0x" &amp; DEC2HEX('(直掃)Change to adc mapping '!BI106) &amp; ",",-1&amp; ",")</f>
        <v>0x59,</v>
      </c>
    </row>
    <row r="43" spans="1:61" x14ac:dyDescent="0.25">
      <c r="A43" s="20">
        <v>42</v>
      </c>
      <c r="B43" t="str">
        <f ca="1">'(直掃)Change to adc mapping '!B107 &amp; ","</f>
        <v>9999,</v>
      </c>
      <c r="C43" t="str">
        <f ca="1">'(直掃)Change to adc mapping '!C107 &amp; ","</f>
        <v>9999,</v>
      </c>
      <c r="D43" t="str">
        <f ca="1">'(直掃)Change to adc mapping '!D107 &amp; ","</f>
        <v>9999,</v>
      </c>
      <c r="E43" t="str">
        <f ca="1">'(直掃)Change to adc mapping '!E107 &amp; ","</f>
        <v>9999,</v>
      </c>
      <c r="F43" t="str">
        <f ca="1">'(直掃)Change to adc mapping '!F107 &amp; ","</f>
        <v>9999,</v>
      </c>
      <c r="G43" t="str">
        <f ca="1">'(直掃)Change to adc mapping '!G107 &amp; ","</f>
        <v>9999,</v>
      </c>
      <c r="H43" t="str">
        <f ca="1">'(直掃)Change to adc mapping '!H107 &amp; ","</f>
        <v>9999,</v>
      </c>
      <c r="I43" t="str">
        <f ca="1">'(直掃)Change to adc mapping '!I107 &amp; ","</f>
        <v>9999,</v>
      </c>
      <c r="J43" t="str">
        <f ca="1">'(直掃)Change to adc mapping '!J107 &amp; ","</f>
        <v>9999,</v>
      </c>
      <c r="K43" t="str">
        <f ca="1">'(直掃)Change to adc mapping '!K107 &amp; ","</f>
        <v>9999,</v>
      </c>
      <c r="L43" t="str">
        <f ca="1">'(直掃)Change to adc mapping '!L107 &amp; ","</f>
        <v>9999,</v>
      </c>
      <c r="M43" t="str">
        <f ca="1">'(直掃)Change to adc mapping '!M107 &amp; ","</f>
        <v>9999,</v>
      </c>
      <c r="N43" t="str">
        <f ca="1">'(直掃)Change to adc mapping '!N107 &amp; ","</f>
        <v>9999,</v>
      </c>
      <c r="O43" t="str">
        <f ca="1">'(直掃)Change to adc mapping '!O107 &amp; ","</f>
        <v>9999,</v>
      </c>
      <c r="P43" t="str">
        <f ca="1">'(直掃)Change to adc mapping '!P107 &amp; ","</f>
        <v>9999,</v>
      </c>
      <c r="Q43" t="str">
        <f ca="1">'(直掃)Change to adc mapping '!Q107 &amp; ","</f>
        <v>9999,</v>
      </c>
      <c r="R43" t="str">
        <f ca="1">'(直掃)Change to adc mapping '!R107 &amp; ","</f>
        <v>9999,</v>
      </c>
      <c r="S43" t="str">
        <f ca="1">'(直掃)Change to adc mapping '!S107 &amp; ","</f>
        <v>9999,</v>
      </c>
      <c r="T43" t="str">
        <f ca="1">'(直掃)Change to adc mapping '!T107 &amp; ","</f>
        <v>9999,</v>
      </c>
      <c r="U43" t="str">
        <f ca="1">'(直掃)Change to adc mapping '!U107 &amp; ","</f>
        <v>9999,</v>
      </c>
      <c r="V43" t="str">
        <f ca="1">'(直掃)Change to adc mapping '!V107 &amp; ","</f>
        <v>9999,</v>
      </c>
      <c r="W43" t="str">
        <f ca="1">'(直掃)Change to adc mapping '!W107 &amp; ","</f>
        <v>9999,</v>
      </c>
      <c r="X43" t="str">
        <f ca="1">'(直掃)Change to adc mapping '!X107 &amp; ","</f>
        <v>9999,</v>
      </c>
      <c r="Y43" t="str">
        <f ca="1">IF('(直掃)Change to adc mapping '!Y107 &lt;&gt;-1,"0x" &amp; DEC2HEX('(直掃)Change to adc mapping '!Y107) &amp; ",",-1&amp; ",")</f>
        <v>-1,</v>
      </c>
      <c r="Z43" t="str">
        <f ca="1">IF('(直掃)Change to adc mapping '!Z107 &lt;&gt;-1,"0x" &amp; DEC2HEX('(直掃)Change to adc mapping '!Z107) &amp; ",",-1&amp; ",")</f>
        <v>-1,</v>
      </c>
      <c r="AA43" t="str">
        <f ca="1">IF('(直掃)Change to adc mapping '!AA107 &lt;&gt;-1,"0x" &amp; DEC2HEX('(直掃)Change to adc mapping '!AA107) &amp; ",",-1&amp; ",")</f>
        <v>-1,</v>
      </c>
      <c r="AB43" t="str">
        <f ca="1">IF('(直掃)Change to adc mapping '!AB107 &lt;&gt;-1,"0x" &amp; DEC2HEX('(直掃)Change to adc mapping '!AB107) &amp; ",",-1&amp; ",")</f>
        <v>-1,</v>
      </c>
      <c r="AC43" t="str">
        <f ca="1">IF('(直掃)Change to adc mapping '!AC107 &lt;&gt;-1,"0x" &amp; DEC2HEX('(直掃)Change to adc mapping '!AC107) &amp; ",",-1&amp; ",")</f>
        <v>-1,</v>
      </c>
      <c r="AD43" t="str">
        <f ca="1">IF('(直掃)Change to adc mapping '!AD107 &lt;&gt;-1,"0x" &amp; DEC2HEX('(直掃)Change to adc mapping '!AD107) &amp; ",",-1&amp; ",")</f>
        <v>-1,</v>
      </c>
      <c r="AE43" t="str">
        <f ca="1">IF('(直掃)Change to adc mapping '!AE107 &lt;&gt;-1,"0x" &amp; DEC2HEX('(直掃)Change to adc mapping '!AE107) &amp; ",",-1&amp; ",")</f>
        <v>-1,</v>
      </c>
      <c r="AF43" t="str">
        <f ca="1">IF('(直掃)Change to adc mapping '!AF107 &lt;&gt;-1,"0x" &amp; DEC2HEX('(直掃)Change to adc mapping '!AF107) &amp; ",",-1&amp; ",")</f>
        <v>0x5A,</v>
      </c>
      <c r="AG43" t="str">
        <f ca="1">IF('(直掃)Change to adc mapping '!AG107 &lt;&gt;-1,"0x" &amp; DEC2HEX('(直掃)Change to adc mapping '!AG107) &amp; ",",-1&amp; ",")</f>
        <v>0x5B,</v>
      </c>
      <c r="AH43" t="str">
        <f ca="1">IF('(直掃)Change to adc mapping '!AH107 &lt;&gt;-1,"0x" &amp; DEC2HEX('(直掃)Change to adc mapping '!AH107) &amp; ",",-1&amp; ",")</f>
        <v>0x5C,</v>
      </c>
      <c r="AI43" t="str">
        <f ca="1">IF('(直掃)Change to adc mapping '!AI107 &lt;&gt;-1,"0x" &amp; DEC2HEX('(直掃)Change to adc mapping '!AI107) &amp; ",",-1&amp; ",")</f>
        <v>0x5D,</v>
      </c>
      <c r="AJ43" t="str">
        <f ca="1">IF('(直掃)Change to adc mapping '!AJ107 &lt;&gt;-1,"0x" &amp; DEC2HEX('(直掃)Change to adc mapping '!AJ107) &amp; ",",-1&amp; ",")</f>
        <v>0x5E,</v>
      </c>
      <c r="AK43" t="str">
        <f ca="1">IF('(直掃)Change to adc mapping '!AK107 &lt;&gt;-1,"0x" &amp; DEC2HEX('(直掃)Change to adc mapping '!AK107) &amp; ",",-1&amp; ",")</f>
        <v>0x5F,</v>
      </c>
      <c r="AL43" t="str">
        <f ca="1">IF('(直掃)Change to adc mapping '!AL107 &lt;&gt;-1,"0x" &amp; DEC2HEX('(直掃)Change to adc mapping '!AL107) &amp; ",",-1&amp; ",")</f>
        <v>0x60,</v>
      </c>
      <c r="AM43" t="str">
        <f ca="1">IF('(直掃)Change to adc mapping '!AM107 &lt;&gt;-1,"0x" &amp; DEC2HEX('(直掃)Change to adc mapping '!AM107) &amp; ",",-1&amp; ",")</f>
        <v>0x61,</v>
      </c>
      <c r="AN43" t="str">
        <f ca="1">IF('(直掃)Change to adc mapping '!AN107 &lt;&gt;-1,"0x" &amp; DEC2HEX('(直掃)Change to adc mapping '!AN107) &amp; ",",-1&amp; ",")</f>
        <v>0x62,</v>
      </c>
      <c r="AO43" t="str">
        <f ca="1">IF('(直掃)Change to adc mapping '!AO107 &lt;&gt;-1,"0x" &amp; DEC2HEX('(直掃)Change to adc mapping '!AO107) &amp; ",",-1&amp; ",")</f>
        <v>0x63,</v>
      </c>
      <c r="AP43" t="str">
        <f ca="1">IF('(直掃)Change to adc mapping '!AP107 &lt;&gt;-1,"0x" &amp; DEC2HEX('(直掃)Change to adc mapping '!AP107) &amp; ",",-1&amp; ",")</f>
        <v>0x64,</v>
      </c>
      <c r="AQ43" t="str">
        <f ca="1">IF('(直掃)Change to adc mapping '!AQ107 &lt;&gt;-1,"0x" &amp; DEC2HEX('(直掃)Change to adc mapping '!AQ107) &amp; ",",-1&amp; ",")</f>
        <v>0x65,</v>
      </c>
      <c r="AR43" t="str">
        <f ca="1">IF('(直掃)Change to adc mapping '!AR107 &lt;&gt;-1,"0x" &amp; DEC2HEX('(直掃)Change to adc mapping '!AR107) &amp; ",",-1&amp; ",")</f>
        <v>0x66,</v>
      </c>
      <c r="AS43" t="str">
        <f ca="1">IF('(直掃)Change to adc mapping '!AS107 &lt;&gt;-1,"0x" &amp; DEC2HEX('(直掃)Change to adc mapping '!AS107) &amp; ",",-1&amp; ",")</f>
        <v>0x67,</v>
      </c>
      <c r="AT43" t="str">
        <f ca="1">IF('(直掃)Change to adc mapping '!AT107 &lt;&gt;-1,"0x" &amp; DEC2HEX('(直掃)Change to adc mapping '!AT107) &amp; ",",-1&amp; ",")</f>
        <v>0x68,</v>
      </c>
      <c r="AU43" t="str">
        <f ca="1">IF('(直掃)Change to adc mapping '!AU107 &lt;&gt;-1,"0x" &amp; DEC2HEX('(直掃)Change to adc mapping '!AU107) &amp; ",",-1&amp; ",")</f>
        <v>0x69,</v>
      </c>
      <c r="AV43" t="str">
        <f ca="1">IF('(直掃)Change to adc mapping '!AV107 &lt;&gt;-1,"0x" &amp; DEC2HEX('(直掃)Change to adc mapping '!AV107) &amp; ",",-1&amp; ",")</f>
        <v>0x6A,</v>
      </c>
      <c r="AW43" t="str">
        <f ca="1">IF('(直掃)Change to adc mapping '!AW107 &lt;&gt;-1,"0x" &amp; DEC2HEX('(直掃)Change to adc mapping '!AW107) &amp; ",",-1&amp; ",")</f>
        <v>0x6B,</v>
      </c>
      <c r="AX43" t="str">
        <f ca="1">IF('(直掃)Change to adc mapping '!AX107 &lt;&gt;-1,"0x" &amp; DEC2HEX('(直掃)Change to adc mapping '!AX107) &amp; ",",-1&amp; ",")</f>
        <v>0x6C,</v>
      </c>
      <c r="AY43" t="str">
        <f ca="1">IF('(直掃)Change to adc mapping '!AY107 &lt;&gt;-1,"0x" &amp; DEC2HEX('(直掃)Change to adc mapping '!AY107) &amp; ",",-1&amp; ",")</f>
        <v>0x6D,</v>
      </c>
      <c r="AZ43" t="str">
        <f ca="1">IF('(直掃)Change to adc mapping '!AZ107 &lt;&gt;-1,"0x" &amp; DEC2HEX('(直掃)Change to adc mapping '!AZ107) &amp; ",",-1&amp; ",")</f>
        <v>0x6E,</v>
      </c>
      <c r="BA43" t="str">
        <f ca="1">IF('(直掃)Change to adc mapping '!BA107 &lt;&gt;-1,"0x" &amp; DEC2HEX('(直掃)Change to adc mapping '!BA107) &amp; ",",-1&amp; ",")</f>
        <v>0x6F,</v>
      </c>
      <c r="BB43" t="str">
        <f ca="1">IF('(直掃)Change to adc mapping '!BB107 &lt;&gt;-1,"0x" &amp; DEC2HEX('(直掃)Change to adc mapping '!BB107) &amp; ",",-1&amp; ",")</f>
        <v>0x70,</v>
      </c>
      <c r="BC43" t="str">
        <f ca="1">IF('(直掃)Change to adc mapping '!BC107 &lt;&gt;-1,"0x" &amp; DEC2HEX('(直掃)Change to adc mapping '!BC107) &amp; ",",-1&amp; ",")</f>
        <v>0x71,</v>
      </c>
      <c r="BD43" t="str">
        <f ca="1">IF('(直掃)Change to adc mapping '!BD107 &lt;&gt;-1,"0x" &amp; DEC2HEX('(直掃)Change to adc mapping '!BD107) &amp; ",",-1&amp; ",")</f>
        <v>0x72,</v>
      </c>
      <c r="BE43" t="str">
        <f ca="1">IF('(直掃)Change to adc mapping '!BE107 &lt;&gt;-1,"0x" &amp; DEC2HEX('(直掃)Change to adc mapping '!BE107) &amp; ",",-1&amp; ",")</f>
        <v>0x73,</v>
      </c>
      <c r="BF43" t="str">
        <f ca="1">IF('(直掃)Change to adc mapping '!BF107 &lt;&gt;-1,"0x" &amp; DEC2HEX('(直掃)Change to adc mapping '!BF107) &amp; ",",-1&amp; ",")</f>
        <v>0x74,</v>
      </c>
      <c r="BG43" t="str">
        <f ca="1">IF('(直掃)Change to adc mapping '!BG107 &lt;&gt;-1,"0x" &amp; DEC2HEX('(直掃)Change to adc mapping '!BG107) &amp; ",",-1&amp; ",")</f>
        <v>0x75,</v>
      </c>
      <c r="BH43" t="str">
        <f ca="1">IF('(直掃)Change to adc mapping '!BH107 &lt;&gt;-1,"0x" &amp; DEC2HEX('(直掃)Change to adc mapping '!BH107) &amp; ",",-1&amp; ",")</f>
        <v>0x76,</v>
      </c>
      <c r="BI43" t="str">
        <f ca="1">IF('(直掃)Change to adc mapping '!BI107 &lt;&gt;-1,"0x" &amp; DEC2HEX('(直掃)Change to adc mapping '!BI107) &amp; ",",-1&amp; ",")</f>
        <v>0x77,</v>
      </c>
    </row>
    <row r="44" spans="1:61" x14ac:dyDescent="0.25">
      <c r="A44" s="20">
        <v>43</v>
      </c>
      <c r="B44" t="str">
        <f ca="1">'(直掃)Change to adc mapping '!B108 &amp; ","</f>
        <v>9999,</v>
      </c>
      <c r="C44" t="str">
        <f ca="1">'(直掃)Change to adc mapping '!C108 &amp; ","</f>
        <v>9999,</v>
      </c>
      <c r="D44" t="str">
        <f ca="1">'(直掃)Change to adc mapping '!D108 &amp; ","</f>
        <v>9999,</v>
      </c>
      <c r="E44" t="str">
        <f ca="1">'(直掃)Change to adc mapping '!E108 &amp; ","</f>
        <v>9999,</v>
      </c>
      <c r="F44" t="str">
        <f ca="1">'(直掃)Change to adc mapping '!F108 &amp; ","</f>
        <v>9999,</v>
      </c>
      <c r="G44" t="str">
        <f ca="1">'(直掃)Change to adc mapping '!G108 &amp; ","</f>
        <v>9999,</v>
      </c>
      <c r="H44" t="str">
        <f ca="1">'(直掃)Change to adc mapping '!H108 &amp; ","</f>
        <v>9999,</v>
      </c>
      <c r="I44" t="str">
        <f ca="1">'(直掃)Change to adc mapping '!I108 &amp; ","</f>
        <v>9999,</v>
      </c>
      <c r="J44" t="str">
        <f ca="1">'(直掃)Change to adc mapping '!J108 &amp; ","</f>
        <v>9999,</v>
      </c>
      <c r="K44" t="str">
        <f ca="1">'(直掃)Change to adc mapping '!K108 &amp; ","</f>
        <v>9999,</v>
      </c>
      <c r="L44" t="str">
        <f ca="1">'(直掃)Change to adc mapping '!L108 &amp; ","</f>
        <v>9999,</v>
      </c>
      <c r="M44" t="str">
        <f ca="1">'(直掃)Change to adc mapping '!M108 &amp; ","</f>
        <v>9999,</v>
      </c>
      <c r="N44" t="str">
        <f ca="1">'(直掃)Change to adc mapping '!N108 &amp; ","</f>
        <v>9999,</v>
      </c>
      <c r="O44" t="str">
        <f ca="1">'(直掃)Change to adc mapping '!O108 &amp; ","</f>
        <v>9999,</v>
      </c>
      <c r="P44" t="str">
        <f ca="1">'(直掃)Change to adc mapping '!P108 &amp; ","</f>
        <v>9999,</v>
      </c>
      <c r="Q44" t="str">
        <f ca="1">'(直掃)Change to adc mapping '!Q108 &amp; ","</f>
        <v>9999,</v>
      </c>
      <c r="R44" t="str">
        <f ca="1">'(直掃)Change to adc mapping '!R108 &amp; ","</f>
        <v>9999,</v>
      </c>
      <c r="S44" t="str">
        <f ca="1">'(直掃)Change to adc mapping '!S108 &amp; ","</f>
        <v>9999,</v>
      </c>
      <c r="T44" t="str">
        <f ca="1">'(直掃)Change to adc mapping '!T108 &amp; ","</f>
        <v>9999,</v>
      </c>
      <c r="U44" t="str">
        <f ca="1">'(直掃)Change to adc mapping '!U108 &amp; ","</f>
        <v>9999,</v>
      </c>
      <c r="V44" t="str">
        <f ca="1">'(直掃)Change to adc mapping '!V108 &amp; ","</f>
        <v>9999,</v>
      </c>
      <c r="W44" t="str">
        <f ca="1">'(直掃)Change to adc mapping '!W108 &amp; ","</f>
        <v>9999,</v>
      </c>
      <c r="X44" t="str">
        <f ca="1">'(直掃)Change to adc mapping '!X108 &amp; ","</f>
        <v>9999,</v>
      </c>
      <c r="Y44" t="str">
        <f ca="1">IF('(直掃)Change to adc mapping '!Y108 &lt;&gt;-1,"0x" &amp; DEC2HEX('(直掃)Change to adc mapping '!Y108) &amp; ",",-1&amp; ",")</f>
        <v>-1,</v>
      </c>
      <c r="Z44" t="str">
        <f ca="1">IF('(直掃)Change to adc mapping '!Z108 &lt;&gt;-1,"0x" &amp; DEC2HEX('(直掃)Change to adc mapping '!Z108) &amp; ",",-1&amp; ",")</f>
        <v>-1,</v>
      </c>
      <c r="AA44" t="str">
        <f ca="1">IF('(直掃)Change to adc mapping '!AA108 &lt;&gt;-1,"0x" &amp; DEC2HEX('(直掃)Change to adc mapping '!AA108) &amp; ",",-1&amp; ",")</f>
        <v>-1,</v>
      </c>
      <c r="AB44" t="str">
        <f ca="1">IF('(直掃)Change to adc mapping '!AB108 &lt;&gt;-1,"0x" &amp; DEC2HEX('(直掃)Change to adc mapping '!AB108) &amp; ",",-1&amp; ",")</f>
        <v>-1,</v>
      </c>
      <c r="AC44" t="str">
        <f ca="1">IF('(直掃)Change to adc mapping '!AC108 &lt;&gt;-1,"0x" &amp; DEC2HEX('(直掃)Change to adc mapping '!AC108) &amp; ",",-1&amp; ",")</f>
        <v>-1,</v>
      </c>
      <c r="AD44" t="str">
        <f ca="1">IF('(直掃)Change to adc mapping '!AD108 &lt;&gt;-1,"0x" &amp; DEC2HEX('(直掃)Change to adc mapping '!AD108) &amp; ",",-1&amp; ",")</f>
        <v>-1,</v>
      </c>
      <c r="AE44" t="str">
        <f ca="1">IF('(直掃)Change to adc mapping '!AE108 &lt;&gt;-1,"0x" &amp; DEC2HEX('(直掃)Change to adc mapping '!AE108) &amp; ",",-1&amp; ",")</f>
        <v>-1,</v>
      </c>
      <c r="AF44" t="str">
        <f ca="1">IF('(直掃)Change to adc mapping '!AF108 &lt;&gt;-1,"0x" &amp; DEC2HEX('(直掃)Change to adc mapping '!AF108) &amp; ",",-1&amp; ",")</f>
        <v>0x0,</v>
      </c>
      <c r="AG44" t="str">
        <f ca="1">IF('(直掃)Change to adc mapping '!AG108 &lt;&gt;-1,"0x" &amp; DEC2HEX('(直掃)Change to adc mapping '!AG108) &amp; ",",-1&amp; ",")</f>
        <v>0x1,</v>
      </c>
      <c r="AH44" t="str">
        <f ca="1">IF('(直掃)Change to adc mapping '!AH108 &lt;&gt;-1,"0x" &amp; DEC2HEX('(直掃)Change to adc mapping '!AH108) &amp; ",",-1&amp; ",")</f>
        <v>0x2,</v>
      </c>
      <c r="AI44" t="str">
        <f ca="1">IF('(直掃)Change to adc mapping '!AI108 &lt;&gt;-1,"0x" &amp; DEC2HEX('(直掃)Change to adc mapping '!AI108) &amp; ",",-1&amp; ",")</f>
        <v>0x3,</v>
      </c>
      <c r="AJ44" t="str">
        <f ca="1">IF('(直掃)Change to adc mapping '!AJ108 &lt;&gt;-1,"0x" &amp; DEC2HEX('(直掃)Change to adc mapping '!AJ108) &amp; ",",-1&amp; ",")</f>
        <v>0x4,</v>
      </c>
      <c r="AK44" t="str">
        <f ca="1">IF('(直掃)Change to adc mapping '!AK108 &lt;&gt;-1,"0x" &amp; DEC2HEX('(直掃)Change to adc mapping '!AK108) &amp; ",",-1&amp; ",")</f>
        <v>0x5,</v>
      </c>
      <c r="AL44" t="str">
        <f ca="1">IF('(直掃)Change to adc mapping '!AL108 &lt;&gt;-1,"0x" &amp; DEC2HEX('(直掃)Change to adc mapping '!AL108) &amp; ",",-1&amp; ",")</f>
        <v>0x6,</v>
      </c>
      <c r="AM44" t="str">
        <f ca="1">IF('(直掃)Change to adc mapping '!AM108 &lt;&gt;-1,"0x" &amp; DEC2HEX('(直掃)Change to adc mapping '!AM108) &amp; ",",-1&amp; ",")</f>
        <v>0x7,</v>
      </c>
      <c r="AN44" t="str">
        <f ca="1">IF('(直掃)Change to adc mapping '!AN108 &lt;&gt;-1,"0x" &amp; DEC2HEX('(直掃)Change to adc mapping '!AN108) &amp; ",",-1&amp; ",")</f>
        <v>0x8,</v>
      </c>
      <c r="AO44" t="str">
        <f ca="1">IF('(直掃)Change to adc mapping '!AO108 &lt;&gt;-1,"0x" &amp; DEC2HEX('(直掃)Change to adc mapping '!AO108) &amp; ",",-1&amp; ",")</f>
        <v>0x9,</v>
      </c>
      <c r="AP44" t="str">
        <f ca="1">IF('(直掃)Change to adc mapping '!AP108 &lt;&gt;-1,"0x" &amp; DEC2HEX('(直掃)Change to adc mapping '!AP108) &amp; ",",-1&amp; ",")</f>
        <v>0xA,</v>
      </c>
      <c r="AQ44" t="str">
        <f ca="1">IF('(直掃)Change to adc mapping '!AQ108 &lt;&gt;-1,"0x" &amp; DEC2HEX('(直掃)Change to adc mapping '!AQ108) &amp; ",",-1&amp; ",")</f>
        <v>0xB,</v>
      </c>
      <c r="AR44" t="str">
        <f ca="1">IF('(直掃)Change to adc mapping '!AR108 &lt;&gt;-1,"0x" &amp; DEC2HEX('(直掃)Change to adc mapping '!AR108) &amp; ",",-1&amp; ",")</f>
        <v>0xC,</v>
      </c>
      <c r="AS44" t="str">
        <f ca="1">IF('(直掃)Change to adc mapping '!AS108 &lt;&gt;-1,"0x" &amp; DEC2HEX('(直掃)Change to adc mapping '!AS108) &amp; ",",-1&amp; ",")</f>
        <v>0xD,</v>
      </c>
      <c r="AT44" t="str">
        <f ca="1">IF('(直掃)Change to adc mapping '!AT108 &lt;&gt;-1,"0x" &amp; DEC2HEX('(直掃)Change to adc mapping '!AT108) &amp; ",",-1&amp; ",")</f>
        <v>0xE,</v>
      </c>
      <c r="AU44" t="str">
        <f ca="1">IF('(直掃)Change to adc mapping '!AU108 &lt;&gt;-1,"0x" &amp; DEC2HEX('(直掃)Change to adc mapping '!AU108) &amp; ",",-1&amp; ",")</f>
        <v>0xF,</v>
      </c>
      <c r="AV44" t="str">
        <f ca="1">IF('(直掃)Change to adc mapping '!AV108 &lt;&gt;-1,"0x" &amp; DEC2HEX('(直掃)Change to adc mapping '!AV108) &amp; ",",-1&amp; ",")</f>
        <v>0x10,</v>
      </c>
      <c r="AW44" t="str">
        <f ca="1">IF('(直掃)Change to adc mapping '!AW108 &lt;&gt;-1,"0x" &amp; DEC2HEX('(直掃)Change to adc mapping '!AW108) &amp; ",",-1&amp; ",")</f>
        <v>0x11,</v>
      </c>
      <c r="AX44" t="str">
        <f ca="1">IF('(直掃)Change to adc mapping '!AX108 &lt;&gt;-1,"0x" &amp; DEC2HEX('(直掃)Change to adc mapping '!AX108) &amp; ",",-1&amp; ",")</f>
        <v>0x12,</v>
      </c>
      <c r="AY44" t="str">
        <f ca="1">IF('(直掃)Change to adc mapping '!AY108 &lt;&gt;-1,"0x" &amp; DEC2HEX('(直掃)Change to adc mapping '!AY108) &amp; ",",-1&amp; ",")</f>
        <v>0x13,</v>
      </c>
      <c r="AZ44" t="str">
        <f ca="1">IF('(直掃)Change to adc mapping '!AZ108 &lt;&gt;-1,"0x" &amp; DEC2HEX('(直掃)Change to adc mapping '!AZ108) &amp; ",",-1&amp; ",")</f>
        <v>0x14,</v>
      </c>
      <c r="BA44" t="str">
        <f ca="1">IF('(直掃)Change to adc mapping '!BA108 &lt;&gt;-1,"0x" &amp; DEC2HEX('(直掃)Change to adc mapping '!BA108) &amp; ",",-1&amp; ",")</f>
        <v>0x15,</v>
      </c>
      <c r="BB44" t="str">
        <f ca="1">IF('(直掃)Change to adc mapping '!BB108 &lt;&gt;-1,"0x" &amp; DEC2HEX('(直掃)Change to adc mapping '!BB108) &amp; ",",-1&amp; ",")</f>
        <v>0x16,</v>
      </c>
      <c r="BC44" t="str">
        <f ca="1">IF('(直掃)Change to adc mapping '!BC108 &lt;&gt;-1,"0x" &amp; DEC2HEX('(直掃)Change to adc mapping '!BC108) &amp; ",",-1&amp; ",")</f>
        <v>0x17,</v>
      </c>
      <c r="BD44" t="str">
        <f ca="1">IF('(直掃)Change to adc mapping '!BD108 &lt;&gt;-1,"0x" &amp; DEC2HEX('(直掃)Change to adc mapping '!BD108) &amp; ",",-1&amp; ",")</f>
        <v>0x18,</v>
      </c>
      <c r="BE44" t="str">
        <f ca="1">IF('(直掃)Change to adc mapping '!BE108 &lt;&gt;-1,"0x" &amp; DEC2HEX('(直掃)Change to adc mapping '!BE108) &amp; ",",-1&amp; ",")</f>
        <v>0x19,</v>
      </c>
      <c r="BF44" t="str">
        <f ca="1">IF('(直掃)Change to adc mapping '!BF108 &lt;&gt;-1,"0x" &amp; DEC2HEX('(直掃)Change to adc mapping '!BF108) &amp; ",",-1&amp; ",")</f>
        <v>0x1A,</v>
      </c>
      <c r="BG44" t="str">
        <f ca="1">IF('(直掃)Change to adc mapping '!BG108 &lt;&gt;-1,"0x" &amp; DEC2HEX('(直掃)Change to adc mapping '!BG108) &amp; ",",-1&amp; ",")</f>
        <v>0x1B,</v>
      </c>
      <c r="BH44" t="str">
        <f ca="1">IF('(直掃)Change to adc mapping '!BH108 &lt;&gt;-1,"0x" &amp; DEC2HEX('(直掃)Change to adc mapping '!BH108) &amp; ",",-1&amp; ",")</f>
        <v>0x1C,</v>
      </c>
      <c r="BI44" t="str">
        <f ca="1">IF('(直掃)Change to adc mapping '!BI108 &lt;&gt;-1,"0x" &amp; DEC2HEX('(直掃)Change to adc mapping '!BI108) &amp; ",",-1&amp; ",")</f>
        <v>0x1D,</v>
      </c>
    </row>
    <row r="45" spans="1:61" x14ac:dyDescent="0.25">
      <c r="A45" s="20">
        <v>44</v>
      </c>
      <c r="B45" t="str">
        <f ca="1">'(直掃)Change to adc mapping '!B109 &amp; ","</f>
        <v>9999,</v>
      </c>
      <c r="C45" t="str">
        <f ca="1">'(直掃)Change to adc mapping '!C109 &amp; ","</f>
        <v>9999,</v>
      </c>
      <c r="D45" t="str">
        <f ca="1">'(直掃)Change to adc mapping '!D109 &amp; ","</f>
        <v>9999,</v>
      </c>
      <c r="E45" t="str">
        <f ca="1">'(直掃)Change to adc mapping '!E109 &amp; ","</f>
        <v>9999,</v>
      </c>
      <c r="F45" t="str">
        <f ca="1">'(直掃)Change to adc mapping '!F109 &amp; ","</f>
        <v>9999,</v>
      </c>
      <c r="G45" t="str">
        <f ca="1">'(直掃)Change to adc mapping '!G109 &amp; ","</f>
        <v>9999,</v>
      </c>
      <c r="H45" t="str">
        <f ca="1">'(直掃)Change to adc mapping '!H109 &amp; ","</f>
        <v>9999,</v>
      </c>
      <c r="I45" t="str">
        <f ca="1">'(直掃)Change to adc mapping '!I109 &amp; ","</f>
        <v>9999,</v>
      </c>
      <c r="J45" t="str">
        <f ca="1">'(直掃)Change to adc mapping '!J109 &amp; ","</f>
        <v>9999,</v>
      </c>
      <c r="K45" t="str">
        <f ca="1">'(直掃)Change to adc mapping '!K109 &amp; ","</f>
        <v>9999,</v>
      </c>
      <c r="L45" t="str">
        <f ca="1">'(直掃)Change to adc mapping '!L109 &amp; ","</f>
        <v>9999,</v>
      </c>
      <c r="M45" t="str">
        <f ca="1">'(直掃)Change to adc mapping '!M109 &amp; ","</f>
        <v>9999,</v>
      </c>
      <c r="N45" t="str">
        <f ca="1">'(直掃)Change to adc mapping '!N109 &amp; ","</f>
        <v>9999,</v>
      </c>
      <c r="O45" t="str">
        <f ca="1">'(直掃)Change to adc mapping '!O109 &amp; ","</f>
        <v>9999,</v>
      </c>
      <c r="P45" t="str">
        <f ca="1">'(直掃)Change to adc mapping '!P109 &amp; ","</f>
        <v>9999,</v>
      </c>
      <c r="Q45" t="str">
        <f ca="1">'(直掃)Change to adc mapping '!Q109 &amp; ","</f>
        <v>9999,</v>
      </c>
      <c r="R45" t="str">
        <f ca="1">'(直掃)Change to adc mapping '!R109 &amp; ","</f>
        <v>9999,</v>
      </c>
      <c r="S45" t="str">
        <f ca="1">'(直掃)Change to adc mapping '!S109 &amp; ","</f>
        <v>9999,</v>
      </c>
      <c r="T45" t="str">
        <f ca="1">'(直掃)Change to adc mapping '!T109 &amp; ","</f>
        <v>9999,</v>
      </c>
      <c r="U45" t="str">
        <f ca="1">'(直掃)Change to adc mapping '!U109 &amp; ","</f>
        <v>9999,</v>
      </c>
      <c r="V45" t="str">
        <f ca="1">'(直掃)Change to adc mapping '!V109 &amp; ","</f>
        <v>9999,</v>
      </c>
      <c r="W45" t="str">
        <f ca="1">'(直掃)Change to adc mapping '!W109 &amp; ","</f>
        <v>9999,</v>
      </c>
      <c r="X45" t="str">
        <f ca="1">'(直掃)Change to adc mapping '!X109 &amp; ","</f>
        <v>9999,</v>
      </c>
      <c r="Y45" t="str">
        <f ca="1">IF('(直掃)Change to adc mapping '!Y109 &lt;&gt;-1,"0x" &amp; DEC2HEX('(直掃)Change to adc mapping '!Y109) &amp; ",",-1&amp; ",")</f>
        <v>-1,</v>
      </c>
      <c r="Z45" t="str">
        <f ca="1">IF('(直掃)Change to adc mapping '!Z109 &lt;&gt;-1,"0x" &amp; DEC2HEX('(直掃)Change to adc mapping '!Z109) &amp; ",",-1&amp; ",")</f>
        <v>-1,</v>
      </c>
      <c r="AA45" t="str">
        <f ca="1">IF('(直掃)Change to adc mapping '!AA109 &lt;&gt;-1,"0x" &amp; DEC2HEX('(直掃)Change to adc mapping '!AA109) &amp; ",",-1&amp; ",")</f>
        <v>-1,</v>
      </c>
      <c r="AB45" t="str">
        <f ca="1">IF('(直掃)Change to adc mapping '!AB109 &lt;&gt;-1,"0x" &amp; DEC2HEX('(直掃)Change to adc mapping '!AB109) &amp; ",",-1&amp; ",")</f>
        <v>-1,</v>
      </c>
      <c r="AC45" t="str">
        <f ca="1">IF('(直掃)Change to adc mapping '!AC109 &lt;&gt;-1,"0x" &amp; DEC2HEX('(直掃)Change to adc mapping '!AC109) &amp; ",",-1&amp; ",")</f>
        <v>-1,</v>
      </c>
      <c r="AD45" t="str">
        <f ca="1">IF('(直掃)Change to adc mapping '!AD109 &lt;&gt;-1,"0x" &amp; DEC2HEX('(直掃)Change to adc mapping '!AD109) &amp; ",",-1&amp; ",")</f>
        <v>-1,</v>
      </c>
      <c r="AE45" t="str">
        <f ca="1">IF('(直掃)Change to adc mapping '!AE109 &lt;&gt;-1,"0x" &amp; DEC2HEX('(直掃)Change to adc mapping '!AE109) &amp; ",",-1&amp; ",")</f>
        <v>-1,</v>
      </c>
      <c r="AF45" t="str">
        <f ca="1">IF('(直掃)Change to adc mapping '!AF109 &lt;&gt;-1,"0x" &amp; DEC2HEX('(直掃)Change to adc mapping '!AF109) &amp; ",",-1&amp; ",")</f>
        <v>0x1E,</v>
      </c>
      <c r="AG45" t="str">
        <f ca="1">IF('(直掃)Change to adc mapping '!AG109 &lt;&gt;-1,"0x" &amp; DEC2HEX('(直掃)Change to adc mapping '!AG109) &amp; ",",-1&amp; ",")</f>
        <v>0x1F,</v>
      </c>
      <c r="AH45" t="str">
        <f ca="1">IF('(直掃)Change to adc mapping '!AH109 &lt;&gt;-1,"0x" &amp; DEC2HEX('(直掃)Change to adc mapping '!AH109) &amp; ",",-1&amp; ",")</f>
        <v>0x20,</v>
      </c>
      <c r="AI45" t="str">
        <f ca="1">IF('(直掃)Change to adc mapping '!AI109 &lt;&gt;-1,"0x" &amp; DEC2HEX('(直掃)Change to adc mapping '!AI109) &amp; ",",-1&amp; ",")</f>
        <v>0x21,</v>
      </c>
      <c r="AJ45" t="str">
        <f ca="1">IF('(直掃)Change to adc mapping '!AJ109 &lt;&gt;-1,"0x" &amp; DEC2HEX('(直掃)Change to adc mapping '!AJ109) &amp; ",",-1&amp; ",")</f>
        <v>0x22,</v>
      </c>
      <c r="AK45" t="str">
        <f ca="1">IF('(直掃)Change to adc mapping '!AK109 &lt;&gt;-1,"0x" &amp; DEC2HEX('(直掃)Change to adc mapping '!AK109) &amp; ",",-1&amp; ",")</f>
        <v>0x23,</v>
      </c>
      <c r="AL45" t="str">
        <f ca="1">IF('(直掃)Change to adc mapping '!AL109 &lt;&gt;-1,"0x" &amp; DEC2HEX('(直掃)Change to adc mapping '!AL109) &amp; ",",-1&amp; ",")</f>
        <v>0x24,</v>
      </c>
      <c r="AM45" t="str">
        <f ca="1">IF('(直掃)Change to adc mapping '!AM109 &lt;&gt;-1,"0x" &amp; DEC2HEX('(直掃)Change to adc mapping '!AM109) &amp; ",",-1&amp; ",")</f>
        <v>0x25,</v>
      </c>
      <c r="AN45" t="str">
        <f ca="1">IF('(直掃)Change to adc mapping '!AN109 &lt;&gt;-1,"0x" &amp; DEC2HEX('(直掃)Change to adc mapping '!AN109) &amp; ",",-1&amp; ",")</f>
        <v>0x26,</v>
      </c>
      <c r="AO45" t="str">
        <f ca="1">IF('(直掃)Change to adc mapping '!AO109 &lt;&gt;-1,"0x" &amp; DEC2HEX('(直掃)Change to adc mapping '!AO109) &amp; ",",-1&amp; ",")</f>
        <v>0x27,</v>
      </c>
      <c r="AP45" t="str">
        <f ca="1">IF('(直掃)Change to adc mapping '!AP109 &lt;&gt;-1,"0x" &amp; DEC2HEX('(直掃)Change to adc mapping '!AP109) &amp; ",",-1&amp; ",")</f>
        <v>0x28,</v>
      </c>
      <c r="AQ45" t="str">
        <f ca="1">IF('(直掃)Change to adc mapping '!AQ109 &lt;&gt;-1,"0x" &amp; DEC2HEX('(直掃)Change to adc mapping '!AQ109) &amp; ",",-1&amp; ",")</f>
        <v>0x29,</v>
      </c>
      <c r="AR45" t="str">
        <f ca="1">IF('(直掃)Change to adc mapping '!AR109 &lt;&gt;-1,"0x" &amp; DEC2HEX('(直掃)Change to adc mapping '!AR109) &amp; ",",-1&amp; ",")</f>
        <v>0x2A,</v>
      </c>
      <c r="AS45" t="str">
        <f ca="1">IF('(直掃)Change to adc mapping '!AS109 &lt;&gt;-1,"0x" &amp; DEC2HEX('(直掃)Change to adc mapping '!AS109) &amp; ",",-1&amp; ",")</f>
        <v>0x2B,</v>
      </c>
      <c r="AT45" t="str">
        <f ca="1">IF('(直掃)Change to adc mapping '!AT109 &lt;&gt;-1,"0x" &amp; DEC2HEX('(直掃)Change to adc mapping '!AT109) &amp; ",",-1&amp; ",")</f>
        <v>0x2C,</v>
      </c>
      <c r="AU45" t="str">
        <f ca="1">IF('(直掃)Change to adc mapping '!AU109 &lt;&gt;-1,"0x" &amp; DEC2HEX('(直掃)Change to adc mapping '!AU109) &amp; ",",-1&amp; ",")</f>
        <v>0x2D,</v>
      </c>
      <c r="AV45" t="str">
        <f ca="1">IF('(直掃)Change to adc mapping '!AV109 &lt;&gt;-1,"0x" &amp; DEC2HEX('(直掃)Change to adc mapping '!AV109) &amp; ",",-1&amp; ",")</f>
        <v>0x2E,</v>
      </c>
      <c r="AW45" t="str">
        <f ca="1">IF('(直掃)Change to adc mapping '!AW109 &lt;&gt;-1,"0x" &amp; DEC2HEX('(直掃)Change to adc mapping '!AW109) &amp; ",",-1&amp; ",")</f>
        <v>0x2F,</v>
      </c>
      <c r="AX45" t="str">
        <f ca="1">IF('(直掃)Change to adc mapping '!AX109 &lt;&gt;-1,"0x" &amp; DEC2HEX('(直掃)Change to adc mapping '!AX109) &amp; ",",-1&amp; ",")</f>
        <v>0x30,</v>
      </c>
      <c r="AY45" t="str">
        <f ca="1">IF('(直掃)Change to adc mapping '!AY109 &lt;&gt;-1,"0x" &amp; DEC2HEX('(直掃)Change to adc mapping '!AY109) &amp; ",",-1&amp; ",")</f>
        <v>0x31,</v>
      </c>
      <c r="AZ45" t="str">
        <f ca="1">IF('(直掃)Change to adc mapping '!AZ109 &lt;&gt;-1,"0x" &amp; DEC2HEX('(直掃)Change to adc mapping '!AZ109) &amp; ",",-1&amp; ",")</f>
        <v>0x32,</v>
      </c>
      <c r="BA45" t="str">
        <f ca="1">IF('(直掃)Change to adc mapping '!BA109 &lt;&gt;-1,"0x" &amp; DEC2HEX('(直掃)Change to adc mapping '!BA109) &amp; ",",-1&amp; ",")</f>
        <v>0x33,</v>
      </c>
      <c r="BB45" t="str">
        <f ca="1">IF('(直掃)Change to adc mapping '!BB109 &lt;&gt;-1,"0x" &amp; DEC2HEX('(直掃)Change to adc mapping '!BB109) &amp; ",",-1&amp; ",")</f>
        <v>0x34,</v>
      </c>
      <c r="BC45" t="str">
        <f ca="1">IF('(直掃)Change to adc mapping '!BC109 &lt;&gt;-1,"0x" &amp; DEC2HEX('(直掃)Change to adc mapping '!BC109) &amp; ",",-1&amp; ",")</f>
        <v>0x35,</v>
      </c>
      <c r="BD45" t="str">
        <f ca="1">IF('(直掃)Change to adc mapping '!BD109 &lt;&gt;-1,"0x" &amp; DEC2HEX('(直掃)Change to adc mapping '!BD109) &amp; ",",-1&amp; ",")</f>
        <v>0x36,</v>
      </c>
      <c r="BE45" t="str">
        <f ca="1">IF('(直掃)Change to adc mapping '!BE109 &lt;&gt;-1,"0x" &amp; DEC2HEX('(直掃)Change to adc mapping '!BE109) &amp; ",",-1&amp; ",")</f>
        <v>0x37,</v>
      </c>
      <c r="BF45" t="str">
        <f ca="1">IF('(直掃)Change to adc mapping '!BF109 &lt;&gt;-1,"0x" &amp; DEC2HEX('(直掃)Change to adc mapping '!BF109) &amp; ",",-1&amp; ",")</f>
        <v>0x38,</v>
      </c>
      <c r="BG45" t="str">
        <f ca="1">IF('(直掃)Change to adc mapping '!BG109 &lt;&gt;-1,"0x" &amp; DEC2HEX('(直掃)Change to adc mapping '!BG109) &amp; ",",-1&amp; ",")</f>
        <v>0x39,</v>
      </c>
      <c r="BH45" t="str">
        <f ca="1">IF('(直掃)Change to adc mapping '!BH109 &lt;&gt;-1,"0x" &amp; DEC2HEX('(直掃)Change to adc mapping '!BH109) &amp; ",",-1&amp; ",")</f>
        <v>0x3A,</v>
      </c>
      <c r="BI45" t="str">
        <f ca="1">IF('(直掃)Change to adc mapping '!BI109 &lt;&gt;-1,"0x" &amp; DEC2HEX('(直掃)Change to adc mapping '!BI109) &amp; ",",-1&amp; ",")</f>
        <v>0x3B,</v>
      </c>
    </row>
    <row r="46" spans="1:61" x14ac:dyDescent="0.25">
      <c r="A46" s="20">
        <v>45</v>
      </c>
      <c r="B46" t="str">
        <f ca="1">'(直掃)Change to adc mapping '!B110 &amp; ","</f>
        <v>9999,</v>
      </c>
      <c r="C46" t="str">
        <f ca="1">'(直掃)Change to adc mapping '!C110 &amp; ","</f>
        <v>9999,</v>
      </c>
      <c r="D46" t="str">
        <f ca="1">'(直掃)Change to adc mapping '!D110 &amp; ","</f>
        <v>9999,</v>
      </c>
      <c r="E46" t="str">
        <f ca="1">'(直掃)Change to adc mapping '!E110 &amp; ","</f>
        <v>9999,</v>
      </c>
      <c r="F46" t="str">
        <f ca="1">'(直掃)Change to adc mapping '!F110 &amp; ","</f>
        <v>9999,</v>
      </c>
      <c r="G46" t="str">
        <f ca="1">'(直掃)Change to adc mapping '!G110 &amp; ","</f>
        <v>9999,</v>
      </c>
      <c r="H46" t="str">
        <f ca="1">'(直掃)Change to adc mapping '!H110 &amp; ","</f>
        <v>9999,</v>
      </c>
      <c r="I46" t="str">
        <f ca="1">'(直掃)Change to adc mapping '!I110 &amp; ","</f>
        <v>9999,</v>
      </c>
      <c r="J46" t="str">
        <f ca="1">'(直掃)Change to adc mapping '!J110 &amp; ","</f>
        <v>9999,</v>
      </c>
      <c r="K46" t="str">
        <f ca="1">'(直掃)Change to adc mapping '!K110 &amp; ","</f>
        <v>9999,</v>
      </c>
      <c r="L46" t="str">
        <f ca="1">'(直掃)Change to adc mapping '!L110 &amp; ","</f>
        <v>9999,</v>
      </c>
      <c r="M46" t="str">
        <f ca="1">'(直掃)Change to adc mapping '!M110 &amp; ","</f>
        <v>9999,</v>
      </c>
      <c r="N46" t="str">
        <f ca="1">'(直掃)Change to adc mapping '!N110 &amp; ","</f>
        <v>9999,</v>
      </c>
      <c r="O46" t="str">
        <f ca="1">'(直掃)Change to adc mapping '!O110 &amp; ","</f>
        <v>9999,</v>
      </c>
      <c r="P46" t="str">
        <f ca="1">'(直掃)Change to adc mapping '!P110 &amp; ","</f>
        <v>9999,</v>
      </c>
      <c r="Q46" t="str">
        <f ca="1">'(直掃)Change to adc mapping '!Q110 &amp; ","</f>
        <v>9999,</v>
      </c>
      <c r="R46" t="str">
        <f ca="1">'(直掃)Change to adc mapping '!R110 &amp; ","</f>
        <v>9999,</v>
      </c>
      <c r="S46" t="str">
        <f ca="1">'(直掃)Change to adc mapping '!S110 &amp; ","</f>
        <v>9999,</v>
      </c>
      <c r="T46" t="str">
        <f ca="1">'(直掃)Change to adc mapping '!T110 &amp; ","</f>
        <v>9999,</v>
      </c>
      <c r="U46" t="str">
        <f ca="1">'(直掃)Change to adc mapping '!U110 &amp; ","</f>
        <v>9999,</v>
      </c>
      <c r="V46" t="str">
        <f ca="1">'(直掃)Change to adc mapping '!V110 &amp; ","</f>
        <v>9999,</v>
      </c>
      <c r="W46" t="str">
        <f ca="1">'(直掃)Change to adc mapping '!W110 &amp; ","</f>
        <v>9999,</v>
      </c>
      <c r="X46" t="str">
        <f ca="1">'(直掃)Change to adc mapping '!X110 &amp; ","</f>
        <v>9999,</v>
      </c>
      <c r="Y46" t="str">
        <f ca="1">IF('(直掃)Change to adc mapping '!Y110 &lt;&gt;-1,"0x" &amp; DEC2HEX('(直掃)Change to adc mapping '!Y110) &amp; ",",-1&amp; ",")</f>
        <v>-1,</v>
      </c>
      <c r="Z46" t="str">
        <f ca="1">IF('(直掃)Change to adc mapping '!Z110 &lt;&gt;-1,"0x" &amp; DEC2HEX('(直掃)Change to adc mapping '!Z110) &amp; ",",-1&amp; ",")</f>
        <v>-1,</v>
      </c>
      <c r="AA46" t="str">
        <f ca="1">IF('(直掃)Change to adc mapping '!AA110 &lt;&gt;-1,"0x" &amp; DEC2HEX('(直掃)Change to adc mapping '!AA110) &amp; ",",-1&amp; ",")</f>
        <v>-1,</v>
      </c>
      <c r="AB46" t="str">
        <f ca="1">IF('(直掃)Change to adc mapping '!AB110 &lt;&gt;-1,"0x" &amp; DEC2HEX('(直掃)Change to adc mapping '!AB110) &amp; ",",-1&amp; ",")</f>
        <v>-1,</v>
      </c>
      <c r="AC46" t="str">
        <f ca="1">IF('(直掃)Change to adc mapping '!AC110 &lt;&gt;-1,"0x" &amp; DEC2HEX('(直掃)Change to adc mapping '!AC110) &amp; ",",-1&amp; ",")</f>
        <v>-1,</v>
      </c>
      <c r="AD46" t="str">
        <f ca="1">IF('(直掃)Change to adc mapping '!AD110 &lt;&gt;-1,"0x" &amp; DEC2HEX('(直掃)Change to adc mapping '!AD110) &amp; ",",-1&amp; ",")</f>
        <v>-1,</v>
      </c>
      <c r="AE46" t="str">
        <f ca="1">IF('(直掃)Change to adc mapping '!AE110 &lt;&gt;-1,"0x" &amp; DEC2HEX('(直掃)Change to adc mapping '!AE110) &amp; ",",-1&amp; ",")</f>
        <v>-1,</v>
      </c>
      <c r="AF46" t="str">
        <f ca="1">IF('(直掃)Change to adc mapping '!AF110 &lt;&gt;-1,"0x" &amp; DEC2HEX('(直掃)Change to adc mapping '!AF110) &amp; ",",-1&amp; ",")</f>
        <v>0x3C,</v>
      </c>
      <c r="AG46" t="str">
        <f ca="1">IF('(直掃)Change to adc mapping '!AG110 &lt;&gt;-1,"0x" &amp; DEC2HEX('(直掃)Change to adc mapping '!AG110) &amp; ",",-1&amp; ",")</f>
        <v>0x3D,</v>
      </c>
      <c r="AH46" t="str">
        <f ca="1">IF('(直掃)Change to adc mapping '!AH110 &lt;&gt;-1,"0x" &amp; DEC2HEX('(直掃)Change to adc mapping '!AH110) &amp; ",",-1&amp; ",")</f>
        <v>0x3E,</v>
      </c>
      <c r="AI46" t="str">
        <f ca="1">IF('(直掃)Change to adc mapping '!AI110 &lt;&gt;-1,"0x" &amp; DEC2HEX('(直掃)Change to adc mapping '!AI110) &amp; ",",-1&amp; ",")</f>
        <v>0x3F,</v>
      </c>
      <c r="AJ46" t="str">
        <f ca="1">IF('(直掃)Change to adc mapping '!AJ110 &lt;&gt;-1,"0x" &amp; DEC2HEX('(直掃)Change to adc mapping '!AJ110) &amp; ",",-1&amp; ",")</f>
        <v>0x40,</v>
      </c>
      <c r="AK46" t="str">
        <f ca="1">IF('(直掃)Change to adc mapping '!AK110 &lt;&gt;-1,"0x" &amp; DEC2HEX('(直掃)Change to adc mapping '!AK110) &amp; ",",-1&amp; ",")</f>
        <v>0x41,</v>
      </c>
      <c r="AL46" t="str">
        <f ca="1">IF('(直掃)Change to adc mapping '!AL110 &lt;&gt;-1,"0x" &amp; DEC2HEX('(直掃)Change to adc mapping '!AL110) &amp; ",",-1&amp; ",")</f>
        <v>0x42,</v>
      </c>
      <c r="AM46" t="str">
        <f ca="1">IF('(直掃)Change to adc mapping '!AM110 &lt;&gt;-1,"0x" &amp; DEC2HEX('(直掃)Change to adc mapping '!AM110) &amp; ",",-1&amp; ",")</f>
        <v>0x43,</v>
      </c>
      <c r="AN46" t="str">
        <f ca="1">IF('(直掃)Change to adc mapping '!AN110 &lt;&gt;-1,"0x" &amp; DEC2HEX('(直掃)Change to adc mapping '!AN110) &amp; ",",-1&amp; ",")</f>
        <v>0x44,</v>
      </c>
      <c r="AO46" t="str">
        <f ca="1">IF('(直掃)Change to adc mapping '!AO110 &lt;&gt;-1,"0x" &amp; DEC2HEX('(直掃)Change to adc mapping '!AO110) &amp; ",",-1&amp; ",")</f>
        <v>0x45,</v>
      </c>
      <c r="AP46" t="str">
        <f ca="1">IF('(直掃)Change to adc mapping '!AP110 &lt;&gt;-1,"0x" &amp; DEC2HEX('(直掃)Change to adc mapping '!AP110) &amp; ",",-1&amp; ",")</f>
        <v>0x46,</v>
      </c>
      <c r="AQ46" t="str">
        <f ca="1">IF('(直掃)Change to adc mapping '!AQ110 &lt;&gt;-1,"0x" &amp; DEC2HEX('(直掃)Change to adc mapping '!AQ110) &amp; ",",-1&amp; ",")</f>
        <v>0x47,</v>
      </c>
      <c r="AR46" t="str">
        <f ca="1">IF('(直掃)Change to adc mapping '!AR110 &lt;&gt;-1,"0x" &amp; DEC2HEX('(直掃)Change to adc mapping '!AR110) &amp; ",",-1&amp; ",")</f>
        <v>0x48,</v>
      </c>
      <c r="AS46" t="str">
        <f ca="1">IF('(直掃)Change to adc mapping '!AS110 &lt;&gt;-1,"0x" &amp; DEC2HEX('(直掃)Change to adc mapping '!AS110) &amp; ",",-1&amp; ",")</f>
        <v>0x49,</v>
      </c>
      <c r="AT46" t="str">
        <f ca="1">IF('(直掃)Change to adc mapping '!AT110 &lt;&gt;-1,"0x" &amp; DEC2HEX('(直掃)Change to adc mapping '!AT110) &amp; ",",-1&amp; ",")</f>
        <v>0x4A,</v>
      </c>
      <c r="AU46" t="str">
        <f ca="1">IF('(直掃)Change to adc mapping '!AU110 &lt;&gt;-1,"0x" &amp; DEC2HEX('(直掃)Change to adc mapping '!AU110) &amp; ",",-1&amp; ",")</f>
        <v>0x4B,</v>
      </c>
      <c r="AV46" t="str">
        <f ca="1">IF('(直掃)Change to adc mapping '!AV110 &lt;&gt;-1,"0x" &amp; DEC2HEX('(直掃)Change to adc mapping '!AV110) &amp; ",",-1&amp; ",")</f>
        <v>0x4C,</v>
      </c>
      <c r="AW46" t="str">
        <f ca="1">IF('(直掃)Change to adc mapping '!AW110 &lt;&gt;-1,"0x" &amp; DEC2HEX('(直掃)Change to adc mapping '!AW110) &amp; ",",-1&amp; ",")</f>
        <v>0x4D,</v>
      </c>
      <c r="AX46" t="str">
        <f ca="1">IF('(直掃)Change to adc mapping '!AX110 &lt;&gt;-1,"0x" &amp; DEC2HEX('(直掃)Change to adc mapping '!AX110) &amp; ",",-1&amp; ",")</f>
        <v>0x4E,</v>
      </c>
      <c r="AY46" t="str">
        <f ca="1">IF('(直掃)Change to adc mapping '!AY110 &lt;&gt;-1,"0x" &amp; DEC2HEX('(直掃)Change to adc mapping '!AY110) &amp; ",",-1&amp; ",")</f>
        <v>0x4F,</v>
      </c>
      <c r="AZ46" t="str">
        <f ca="1">IF('(直掃)Change to adc mapping '!AZ110 &lt;&gt;-1,"0x" &amp; DEC2HEX('(直掃)Change to adc mapping '!AZ110) &amp; ",",-1&amp; ",")</f>
        <v>0x50,</v>
      </c>
      <c r="BA46" t="str">
        <f ca="1">IF('(直掃)Change to adc mapping '!BA110 &lt;&gt;-1,"0x" &amp; DEC2HEX('(直掃)Change to adc mapping '!BA110) &amp; ",",-1&amp; ",")</f>
        <v>0x51,</v>
      </c>
      <c r="BB46" t="str">
        <f ca="1">IF('(直掃)Change to adc mapping '!BB110 &lt;&gt;-1,"0x" &amp; DEC2HEX('(直掃)Change to adc mapping '!BB110) &amp; ",",-1&amp; ",")</f>
        <v>0x52,</v>
      </c>
      <c r="BC46" t="str">
        <f ca="1">IF('(直掃)Change to adc mapping '!BC110 &lt;&gt;-1,"0x" &amp; DEC2HEX('(直掃)Change to adc mapping '!BC110) &amp; ",",-1&amp; ",")</f>
        <v>0x53,</v>
      </c>
      <c r="BD46" t="str">
        <f ca="1">IF('(直掃)Change to adc mapping '!BD110 &lt;&gt;-1,"0x" &amp; DEC2HEX('(直掃)Change to adc mapping '!BD110) &amp; ",",-1&amp; ",")</f>
        <v>0x54,</v>
      </c>
      <c r="BE46" t="str">
        <f ca="1">IF('(直掃)Change to adc mapping '!BE110 &lt;&gt;-1,"0x" &amp; DEC2HEX('(直掃)Change to adc mapping '!BE110) &amp; ",",-1&amp; ",")</f>
        <v>0x55,</v>
      </c>
      <c r="BF46" t="str">
        <f ca="1">IF('(直掃)Change to adc mapping '!BF110 &lt;&gt;-1,"0x" &amp; DEC2HEX('(直掃)Change to adc mapping '!BF110) &amp; ",",-1&amp; ",")</f>
        <v>0x56,</v>
      </c>
      <c r="BG46" t="str">
        <f ca="1">IF('(直掃)Change to adc mapping '!BG110 &lt;&gt;-1,"0x" &amp; DEC2HEX('(直掃)Change to adc mapping '!BG110) &amp; ",",-1&amp; ",")</f>
        <v>0x57,</v>
      </c>
      <c r="BH46" t="str">
        <f ca="1">IF('(直掃)Change to adc mapping '!BH110 &lt;&gt;-1,"0x" &amp; DEC2HEX('(直掃)Change to adc mapping '!BH110) &amp; ",",-1&amp; ",")</f>
        <v>0x58,</v>
      </c>
      <c r="BI46" t="str">
        <f ca="1">IF('(直掃)Change to adc mapping '!BI110 &lt;&gt;-1,"0x" &amp; DEC2HEX('(直掃)Change to adc mapping '!BI110) &amp; ",",-1&amp; ",")</f>
        <v>0x59,</v>
      </c>
    </row>
    <row r="47" spans="1:61" x14ac:dyDescent="0.25">
      <c r="A47" s="20">
        <v>46</v>
      </c>
      <c r="B47" t="str">
        <f ca="1">'(直掃)Change to adc mapping '!B111 &amp; ","</f>
        <v>9999,</v>
      </c>
      <c r="C47" t="str">
        <f ca="1">'(直掃)Change to adc mapping '!C111 &amp; ","</f>
        <v>9999,</v>
      </c>
      <c r="D47" t="str">
        <f ca="1">'(直掃)Change to adc mapping '!D111 &amp; ","</f>
        <v>9999,</v>
      </c>
      <c r="E47" t="str">
        <f ca="1">'(直掃)Change to adc mapping '!E111 &amp; ","</f>
        <v>9999,</v>
      </c>
      <c r="F47" t="str">
        <f ca="1">'(直掃)Change to adc mapping '!F111 &amp; ","</f>
        <v>9999,</v>
      </c>
      <c r="G47" t="str">
        <f ca="1">'(直掃)Change to adc mapping '!G111 &amp; ","</f>
        <v>9999,</v>
      </c>
      <c r="H47" t="str">
        <f ca="1">'(直掃)Change to adc mapping '!H111 &amp; ","</f>
        <v>9999,</v>
      </c>
      <c r="I47" t="str">
        <f ca="1">'(直掃)Change to adc mapping '!I111 &amp; ","</f>
        <v>9999,</v>
      </c>
      <c r="J47" t="str">
        <f ca="1">'(直掃)Change to adc mapping '!J111 &amp; ","</f>
        <v>9999,</v>
      </c>
      <c r="K47" t="str">
        <f ca="1">'(直掃)Change to adc mapping '!K111 &amp; ","</f>
        <v>9999,</v>
      </c>
      <c r="L47" t="str">
        <f ca="1">'(直掃)Change to adc mapping '!L111 &amp; ","</f>
        <v>9999,</v>
      </c>
      <c r="M47" t="str">
        <f ca="1">'(直掃)Change to adc mapping '!M111 &amp; ","</f>
        <v>9999,</v>
      </c>
      <c r="N47" t="str">
        <f ca="1">'(直掃)Change to adc mapping '!N111 &amp; ","</f>
        <v>9999,</v>
      </c>
      <c r="O47" t="str">
        <f ca="1">'(直掃)Change to adc mapping '!O111 &amp; ","</f>
        <v>9999,</v>
      </c>
      <c r="P47" t="str">
        <f ca="1">'(直掃)Change to adc mapping '!P111 &amp; ","</f>
        <v>9999,</v>
      </c>
      <c r="Q47" t="str">
        <f ca="1">'(直掃)Change to adc mapping '!Q111 &amp; ","</f>
        <v>9999,</v>
      </c>
      <c r="R47" t="str">
        <f ca="1">'(直掃)Change to adc mapping '!R111 &amp; ","</f>
        <v>9999,</v>
      </c>
      <c r="S47" t="str">
        <f ca="1">'(直掃)Change to adc mapping '!S111 &amp; ","</f>
        <v>9999,</v>
      </c>
      <c r="T47" t="str">
        <f ca="1">'(直掃)Change to adc mapping '!T111 &amp; ","</f>
        <v>9999,</v>
      </c>
      <c r="U47" t="str">
        <f ca="1">'(直掃)Change to adc mapping '!U111 &amp; ","</f>
        <v>9999,</v>
      </c>
      <c r="V47" t="str">
        <f ca="1">'(直掃)Change to adc mapping '!V111 &amp; ","</f>
        <v>9999,</v>
      </c>
      <c r="W47" t="str">
        <f ca="1">'(直掃)Change to adc mapping '!W111 &amp; ","</f>
        <v>9999,</v>
      </c>
      <c r="X47" t="str">
        <f ca="1">'(直掃)Change to adc mapping '!X111 &amp; ","</f>
        <v>9999,</v>
      </c>
      <c r="Y47" t="str">
        <f ca="1">IF('(直掃)Change to adc mapping '!Y111 &lt;&gt;-1,"0x" &amp; DEC2HEX('(直掃)Change to adc mapping '!Y111) &amp; ",",-1&amp; ",")</f>
        <v>-1,</v>
      </c>
      <c r="Z47" t="str">
        <f ca="1">IF('(直掃)Change to adc mapping '!Z111 &lt;&gt;-1,"0x" &amp; DEC2HEX('(直掃)Change to adc mapping '!Z111) &amp; ",",-1&amp; ",")</f>
        <v>-1,</v>
      </c>
      <c r="AA47" t="str">
        <f ca="1">IF('(直掃)Change to adc mapping '!AA111 &lt;&gt;-1,"0x" &amp; DEC2HEX('(直掃)Change to adc mapping '!AA111) &amp; ",",-1&amp; ",")</f>
        <v>-1,</v>
      </c>
      <c r="AB47" t="str">
        <f ca="1">IF('(直掃)Change to adc mapping '!AB111 &lt;&gt;-1,"0x" &amp; DEC2HEX('(直掃)Change to adc mapping '!AB111) &amp; ",",-1&amp; ",")</f>
        <v>-1,</v>
      </c>
      <c r="AC47" t="str">
        <f ca="1">IF('(直掃)Change to adc mapping '!AC111 &lt;&gt;-1,"0x" &amp; DEC2HEX('(直掃)Change to adc mapping '!AC111) &amp; ",",-1&amp; ",")</f>
        <v>-1,</v>
      </c>
      <c r="AD47" t="str">
        <f ca="1">IF('(直掃)Change to adc mapping '!AD111 &lt;&gt;-1,"0x" &amp; DEC2HEX('(直掃)Change to adc mapping '!AD111) &amp; ",",-1&amp; ",")</f>
        <v>-1,</v>
      </c>
      <c r="AE47" t="str">
        <f ca="1">IF('(直掃)Change to adc mapping '!AE111 &lt;&gt;-1,"0x" &amp; DEC2HEX('(直掃)Change to adc mapping '!AE111) &amp; ",",-1&amp; ",")</f>
        <v>-1,</v>
      </c>
      <c r="AF47" t="str">
        <f ca="1">IF('(直掃)Change to adc mapping '!AF111 &lt;&gt;-1,"0x" &amp; DEC2HEX('(直掃)Change to adc mapping '!AF111) &amp; ",",-1&amp; ",")</f>
        <v>0x5A,</v>
      </c>
      <c r="AG47" t="str">
        <f ca="1">IF('(直掃)Change to adc mapping '!AG111 &lt;&gt;-1,"0x" &amp; DEC2HEX('(直掃)Change to adc mapping '!AG111) &amp; ",",-1&amp; ",")</f>
        <v>0x5B,</v>
      </c>
      <c r="AH47" t="str">
        <f ca="1">IF('(直掃)Change to adc mapping '!AH111 &lt;&gt;-1,"0x" &amp; DEC2HEX('(直掃)Change to adc mapping '!AH111) &amp; ",",-1&amp; ",")</f>
        <v>0x5C,</v>
      </c>
      <c r="AI47" t="str">
        <f ca="1">IF('(直掃)Change to adc mapping '!AI111 &lt;&gt;-1,"0x" &amp; DEC2HEX('(直掃)Change to adc mapping '!AI111) &amp; ",",-1&amp; ",")</f>
        <v>0x5D,</v>
      </c>
      <c r="AJ47" t="str">
        <f ca="1">IF('(直掃)Change to adc mapping '!AJ111 &lt;&gt;-1,"0x" &amp; DEC2HEX('(直掃)Change to adc mapping '!AJ111) &amp; ",",-1&amp; ",")</f>
        <v>0x5E,</v>
      </c>
      <c r="AK47" t="str">
        <f ca="1">IF('(直掃)Change to adc mapping '!AK111 &lt;&gt;-1,"0x" &amp; DEC2HEX('(直掃)Change to adc mapping '!AK111) &amp; ",",-1&amp; ",")</f>
        <v>0x5F,</v>
      </c>
      <c r="AL47" t="str">
        <f ca="1">IF('(直掃)Change to adc mapping '!AL111 &lt;&gt;-1,"0x" &amp; DEC2HEX('(直掃)Change to adc mapping '!AL111) &amp; ",",-1&amp; ",")</f>
        <v>0x60,</v>
      </c>
      <c r="AM47" t="str">
        <f ca="1">IF('(直掃)Change to adc mapping '!AM111 &lt;&gt;-1,"0x" &amp; DEC2HEX('(直掃)Change to adc mapping '!AM111) &amp; ",",-1&amp; ",")</f>
        <v>0x61,</v>
      </c>
      <c r="AN47" t="str">
        <f ca="1">IF('(直掃)Change to adc mapping '!AN111 &lt;&gt;-1,"0x" &amp; DEC2HEX('(直掃)Change to adc mapping '!AN111) &amp; ",",-1&amp; ",")</f>
        <v>0x62,</v>
      </c>
      <c r="AO47" t="str">
        <f ca="1">IF('(直掃)Change to adc mapping '!AO111 &lt;&gt;-1,"0x" &amp; DEC2HEX('(直掃)Change to adc mapping '!AO111) &amp; ",",-1&amp; ",")</f>
        <v>0x63,</v>
      </c>
      <c r="AP47" t="str">
        <f ca="1">IF('(直掃)Change to adc mapping '!AP111 &lt;&gt;-1,"0x" &amp; DEC2HEX('(直掃)Change to adc mapping '!AP111) &amp; ",",-1&amp; ",")</f>
        <v>0x64,</v>
      </c>
      <c r="AQ47" t="str">
        <f ca="1">IF('(直掃)Change to adc mapping '!AQ111 &lt;&gt;-1,"0x" &amp; DEC2HEX('(直掃)Change to adc mapping '!AQ111) &amp; ",",-1&amp; ",")</f>
        <v>0x65,</v>
      </c>
      <c r="AR47" t="str">
        <f ca="1">IF('(直掃)Change to adc mapping '!AR111 &lt;&gt;-1,"0x" &amp; DEC2HEX('(直掃)Change to adc mapping '!AR111) &amp; ",",-1&amp; ",")</f>
        <v>0x66,</v>
      </c>
      <c r="AS47" t="str">
        <f ca="1">IF('(直掃)Change to adc mapping '!AS111 &lt;&gt;-1,"0x" &amp; DEC2HEX('(直掃)Change to adc mapping '!AS111) &amp; ",",-1&amp; ",")</f>
        <v>0x67,</v>
      </c>
      <c r="AT47" t="str">
        <f ca="1">IF('(直掃)Change to adc mapping '!AT111 &lt;&gt;-1,"0x" &amp; DEC2HEX('(直掃)Change to adc mapping '!AT111) &amp; ",",-1&amp; ",")</f>
        <v>0x68,</v>
      </c>
      <c r="AU47" t="str">
        <f ca="1">IF('(直掃)Change to adc mapping '!AU111 &lt;&gt;-1,"0x" &amp; DEC2HEX('(直掃)Change to adc mapping '!AU111) &amp; ",",-1&amp; ",")</f>
        <v>0x69,</v>
      </c>
      <c r="AV47" t="str">
        <f ca="1">IF('(直掃)Change to adc mapping '!AV111 &lt;&gt;-1,"0x" &amp; DEC2HEX('(直掃)Change to adc mapping '!AV111) &amp; ",",-1&amp; ",")</f>
        <v>0x6A,</v>
      </c>
      <c r="AW47" t="str">
        <f ca="1">IF('(直掃)Change to adc mapping '!AW111 &lt;&gt;-1,"0x" &amp; DEC2HEX('(直掃)Change to adc mapping '!AW111) &amp; ",",-1&amp; ",")</f>
        <v>0x6B,</v>
      </c>
      <c r="AX47" t="str">
        <f ca="1">IF('(直掃)Change to adc mapping '!AX111 &lt;&gt;-1,"0x" &amp; DEC2HEX('(直掃)Change to adc mapping '!AX111) &amp; ",",-1&amp; ",")</f>
        <v>0x6C,</v>
      </c>
      <c r="AY47" t="str">
        <f ca="1">IF('(直掃)Change to adc mapping '!AY111 &lt;&gt;-1,"0x" &amp; DEC2HEX('(直掃)Change to adc mapping '!AY111) &amp; ",",-1&amp; ",")</f>
        <v>0x6D,</v>
      </c>
      <c r="AZ47" t="str">
        <f ca="1">IF('(直掃)Change to adc mapping '!AZ111 &lt;&gt;-1,"0x" &amp; DEC2HEX('(直掃)Change to adc mapping '!AZ111) &amp; ",",-1&amp; ",")</f>
        <v>0x6E,</v>
      </c>
      <c r="BA47" t="str">
        <f ca="1">IF('(直掃)Change to adc mapping '!BA111 &lt;&gt;-1,"0x" &amp; DEC2HEX('(直掃)Change to adc mapping '!BA111) &amp; ",",-1&amp; ",")</f>
        <v>0x6F,</v>
      </c>
      <c r="BB47" t="str">
        <f ca="1">IF('(直掃)Change to adc mapping '!BB111 &lt;&gt;-1,"0x" &amp; DEC2HEX('(直掃)Change to adc mapping '!BB111) &amp; ",",-1&amp; ",")</f>
        <v>0x70,</v>
      </c>
      <c r="BC47" t="str">
        <f ca="1">IF('(直掃)Change to adc mapping '!BC111 &lt;&gt;-1,"0x" &amp; DEC2HEX('(直掃)Change to adc mapping '!BC111) &amp; ",",-1&amp; ",")</f>
        <v>0x71,</v>
      </c>
      <c r="BD47" t="str">
        <f ca="1">IF('(直掃)Change to adc mapping '!BD111 &lt;&gt;-1,"0x" &amp; DEC2HEX('(直掃)Change to adc mapping '!BD111) &amp; ",",-1&amp; ",")</f>
        <v>0x72,</v>
      </c>
      <c r="BE47" t="str">
        <f ca="1">IF('(直掃)Change to adc mapping '!BE111 &lt;&gt;-1,"0x" &amp; DEC2HEX('(直掃)Change to adc mapping '!BE111) &amp; ",",-1&amp; ",")</f>
        <v>0x73,</v>
      </c>
      <c r="BF47" t="str">
        <f ca="1">IF('(直掃)Change to adc mapping '!BF111 &lt;&gt;-1,"0x" &amp; DEC2HEX('(直掃)Change to adc mapping '!BF111) &amp; ",",-1&amp; ",")</f>
        <v>0x74,</v>
      </c>
      <c r="BG47" t="str">
        <f ca="1">IF('(直掃)Change to adc mapping '!BG111 &lt;&gt;-1,"0x" &amp; DEC2HEX('(直掃)Change to adc mapping '!BG111) &amp; ",",-1&amp; ",")</f>
        <v>0x75,</v>
      </c>
      <c r="BH47" t="str">
        <f ca="1">IF('(直掃)Change to adc mapping '!BH111 &lt;&gt;-1,"0x" &amp; DEC2HEX('(直掃)Change to adc mapping '!BH111) &amp; ",",-1&amp; ",")</f>
        <v>0x76,</v>
      </c>
      <c r="BI47" t="str">
        <f ca="1">IF('(直掃)Change to adc mapping '!BI111 &lt;&gt;-1,"0x" &amp; DEC2HEX('(直掃)Change to adc mapping '!BI111) &amp; ",",-1&amp; ",")</f>
        <v>0x77,</v>
      </c>
    </row>
    <row r="48" spans="1:61" x14ac:dyDescent="0.25">
      <c r="A48" s="20">
        <v>47</v>
      </c>
      <c r="B48" t="str">
        <f ca="1">'(直掃)Change to adc mapping '!B112 &amp; ","</f>
        <v>9999,</v>
      </c>
      <c r="C48" t="str">
        <f ca="1">'(直掃)Change to adc mapping '!C112 &amp; ","</f>
        <v>9999,</v>
      </c>
      <c r="D48" t="str">
        <f ca="1">'(直掃)Change to adc mapping '!D112 &amp; ","</f>
        <v>9999,</v>
      </c>
      <c r="E48" t="str">
        <f ca="1">'(直掃)Change to adc mapping '!E112 &amp; ","</f>
        <v>9999,</v>
      </c>
      <c r="F48" t="str">
        <f ca="1">'(直掃)Change to adc mapping '!F112 &amp; ","</f>
        <v>9999,</v>
      </c>
      <c r="G48" t="str">
        <f ca="1">'(直掃)Change to adc mapping '!G112 &amp; ","</f>
        <v>9999,</v>
      </c>
      <c r="H48" t="str">
        <f ca="1">'(直掃)Change to adc mapping '!H112 &amp; ","</f>
        <v>9999,</v>
      </c>
      <c r="I48" t="str">
        <f ca="1">'(直掃)Change to adc mapping '!I112 &amp; ","</f>
        <v>9999,</v>
      </c>
      <c r="J48" t="str">
        <f ca="1">'(直掃)Change to adc mapping '!J112 &amp; ","</f>
        <v>9999,</v>
      </c>
      <c r="K48" t="str">
        <f ca="1">'(直掃)Change to adc mapping '!K112 &amp; ","</f>
        <v>9999,</v>
      </c>
      <c r="L48" t="str">
        <f ca="1">'(直掃)Change to adc mapping '!L112 &amp; ","</f>
        <v>9999,</v>
      </c>
      <c r="M48" t="str">
        <f ca="1">'(直掃)Change to adc mapping '!M112 &amp; ","</f>
        <v>9999,</v>
      </c>
      <c r="N48" t="str">
        <f ca="1">'(直掃)Change to adc mapping '!N112 &amp; ","</f>
        <v>9999,</v>
      </c>
      <c r="O48" t="str">
        <f ca="1">'(直掃)Change to adc mapping '!O112 &amp; ","</f>
        <v>9999,</v>
      </c>
      <c r="P48" t="str">
        <f ca="1">'(直掃)Change to adc mapping '!P112 &amp; ","</f>
        <v>9999,</v>
      </c>
      <c r="Q48" t="str">
        <f ca="1">'(直掃)Change to adc mapping '!Q112 &amp; ","</f>
        <v>9999,</v>
      </c>
      <c r="R48" t="str">
        <f ca="1">'(直掃)Change to adc mapping '!R112 &amp; ","</f>
        <v>9999,</v>
      </c>
      <c r="S48" t="str">
        <f ca="1">'(直掃)Change to adc mapping '!S112 &amp; ","</f>
        <v>9999,</v>
      </c>
      <c r="T48" t="str">
        <f ca="1">'(直掃)Change to adc mapping '!T112 &amp; ","</f>
        <v>9999,</v>
      </c>
      <c r="U48" t="str">
        <f ca="1">'(直掃)Change to adc mapping '!U112 &amp; ","</f>
        <v>9999,</v>
      </c>
      <c r="V48" t="str">
        <f ca="1">'(直掃)Change to adc mapping '!V112 &amp; ","</f>
        <v>9999,</v>
      </c>
      <c r="W48" t="str">
        <f ca="1">'(直掃)Change to adc mapping '!W112 &amp; ","</f>
        <v>9999,</v>
      </c>
      <c r="X48" t="str">
        <f ca="1">'(直掃)Change to adc mapping '!X112 &amp; ","</f>
        <v>9999,</v>
      </c>
      <c r="Y48" t="str">
        <f ca="1">IF('(直掃)Change to adc mapping '!Y112 &lt;&gt;-1,"0x" &amp; DEC2HEX('(直掃)Change to adc mapping '!Y112) &amp; ",",-1&amp; ",")</f>
        <v>-1,</v>
      </c>
      <c r="Z48" t="str">
        <f ca="1">IF('(直掃)Change to adc mapping '!Z112 &lt;&gt;-1,"0x" &amp; DEC2HEX('(直掃)Change to adc mapping '!Z112) &amp; ",",-1&amp; ",")</f>
        <v>-1,</v>
      </c>
      <c r="AA48" t="str">
        <f ca="1">IF('(直掃)Change to adc mapping '!AA112 &lt;&gt;-1,"0x" &amp; DEC2HEX('(直掃)Change to adc mapping '!AA112) &amp; ",",-1&amp; ",")</f>
        <v>-1,</v>
      </c>
      <c r="AB48" t="str">
        <f ca="1">IF('(直掃)Change to adc mapping '!AB112 &lt;&gt;-1,"0x" &amp; DEC2HEX('(直掃)Change to adc mapping '!AB112) &amp; ",",-1&amp; ",")</f>
        <v>-1,</v>
      </c>
      <c r="AC48" t="str">
        <f ca="1">IF('(直掃)Change to adc mapping '!AC112 &lt;&gt;-1,"0x" &amp; DEC2HEX('(直掃)Change to adc mapping '!AC112) &amp; ",",-1&amp; ",")</f>
        <v>-1,</v>
      </c>
      <c r="AD48" t="str">
        <f ca="1">IF('(直掃)Change to adc mapping '!AD112 &lt;&gt;-1,"0x" &amp; DEC2HEX('(直掃)Change to adc mapping '!AD112) &amp; ",",-1&amp; ",")</f>
        <v>-1,</v>
      </c>
      <c r="AE48" t="str">
        <f ca="1">IF('(直掃)Change to adc mapping '!AE112 &lt;&gt;-1,"0x" &amp; DEC2HEX('(直掃)Change to adc mapping '!AE112) &amp; ",",-1&amp; ",")</f>
        <v>-1,</v>
      </c>
      <c r="AF48" t="str">
        <f ca="1">IF('(直掃)Change to adc mapping '!AF112 &lt;&gt;-1,"0x" &amp; DEC2HEX('(直掃)Change to adc mapping '!AF112) &amp; ",",-1&amp; ",")</f>
        <v>0xEF,</v>
      </c>
      <c r="AG48" t="str">
        <f ca="1">IF('(直掃)Change to adc mapping '!AG112 &lt;&gt;-1,"0x" &amp; DEC2HEX('(直掃)Change to adc mapping '!AG112) &amp; ",",-1&amp; ",")</f>
        <v>0xEE,</v>
      </c>
      <c r="AH48" t="str">
        <f ca="1">IF('(直掃)Change to adc mapping '!AH112 &lt;&gt;-1,"0x" &amp; DEC2HEX('(直掃)Change to adc mapping '!AH112) &amp; ",",-1&amp; ",")</f>
        <v>0xED,</v>
      </c>
      <c r="AI48" t="str">
        <f ca="1">IF('(直掃)Change to adc mapping '!AI112 &lt;&gt;-1,"0x" &amp; DEC2HEX('(直掃)Change to adc mapping '!AI112) &amp; ",",-1&amp; ",")</f>
        <v>0xEC,</v>
      </c>
      <c r="AJ48" t="str">
        <f ca="1">IF('(直掃)Change to adc mapping '!AJ112 &lt;&gt;-1,"0x" &amp; DEC2HEX('(直掃)Change to adc mapping '!AJ112) &amp; ",",-1&amp; ",")</f>
        <v>0xEB,</v>
      </c>
      <c r="AK48" t="str">
        <f ca="1">IF('(直掃)Change to adc mapping '!AK112 &lt;&gt;-1,"0x" &amp; DEC2HEX('(直掃)Change to adc mapping '!AK112) &amp; ",",-1&amp; ",")</f>
        <v>0xEA,</v>
      </c>
      <c r="AL48" t="str">
        <f ca="1">IF('(直掃)Change to adc mapping '!AL112 &lt;&gt;-1,"0x" &amp; DEC2HEX('(直掃)Change to adc mapping '!AL112) &amp; ",",-1&amp; ",")</f>
        <v>0xE9,</v>
      </c>
      <c r="AM48" t="str">
        <f ca="1">IF('(直掃)Change to adc mapping '!AM112 &lt;&gt;-1,"0x" &amp; DEC2HEX('(直掃)Change to adc mapping '!AM112) &amp; ",",-1&amp; ",")</f>
        <v>0xE8,</v>
      </c>
      <c r="AN48" t="str">
        <f ca="1">IF('(直掃)Change to adc mapping '!AN112 &lt;&gt;-1,"0x" &amp; DEC2HEX('(直掃)Change to adc mapping '!AN112) &amp; ",",-1&amp; ",")</f>
        <v>0xE7,</v>
      </c>
      <c r="AO48" t="str">
        <f ca="1">IF('(直掃)Change to adc mapping '!AO112 &lt;&gt;-1,"0x" &amp; DEC2HEX('(直掃)Change to adc mapping '!AO112) &amp; ",",-1&amp; ",")</f>
        <v>0xE6,</v>
      </c>
      <c r="AP48" t="str">
        <f ca="1">IF('(直掃)Change to adc mapping '!AP112 &lt;&gt;-1,"0x" &amp; DEC2HEX('(直掃)Change to adc mapping '!AP112) &amp; ",",-1&amp; ",")</f>
        <v>0xE5,</v>
      </c>
      <c r="AQ48" t="str">
        <f ca="1">IF('(直掃)Change to adc mapping '!AQ112 &lt;&gt;-1,"0x" &amp; DEC2HEX('(直掃)Change to adc mapping '!AQ112) &amp; ",",-1&amp; ",")</f>
        <v>0xE4,</v>
      </c>
      <c r="AR48" t="str">
        <f ca="1">IF('(直掃)Change to adc mapping '!AR112 &lt;&gt;-1,"0x" &amp; DEC2HEX('(直掃)Change to adc mapping '!AR112) &amp; ",",-1&amp; ",")</f>
        <v>0xE3,</v>
      </c>
      <c r="AS48" t="str">
        <f ca="1">IF('(直掃)Change to adc mapping '!AS112 &lt;&gt;-1,"0x" &amp; DEC2HEX('(直掃)Change to adc mapping '!AS112) &amp; ",",-1&amp; ",")</f>
        <v>0xE2,</v>
      </c>
      <c r="AT48" t="str">
        <f ca="1">IF('(直掃)Change to adc mapping '!AT112 &lt;&gt;-1,"0x" &amp; DEC2HEX('(直掃)Change to adc mapping '!AT112) &amp; ",",-1&amp; ",")</f>
        <v>0xE1,</v>
      </c>
      <c r="AU48" t="str">
        <f ca="1">IF('(直掃)Change to adc mapping '!AU112 &lt;&gt;-1,"0x" &amp; DEC2HEX('(直掃)Change to adc mapping '!AU112) &amp; ",",-1&amp; ",")</f>
        <v>0xE0,</v>
      </c>
      <c r="AV48" t="str">
        <f ca="1">IF('(直掃)Change to adc mapping '!AV112 &lt;&gt;-1,"0x" &amp; DEC2HEX('(直掃)Change to adc mapping '!AV112) &amp; ",",-1&amp; ",")</f>
        <v>0xDF,</v>
      </c>
      <c r="AW48" t="str">
        <f ca="1">IF('(直掃)Change to adc mapping '!AW112 &lt;&gt;-1,"0x" &amp; DEC2HEX('(直掃)Change to adc mapping '!AW112) &amp; ",",-1&amp; ",")</f>
        <v>0xDE,</v>
      </c>
      <c r="AX48" t="str">
        <f ca="1">IF('(直掃)Change to adc mapping '!AX112 &lt;&gt;-1,"0x" &amp; DEC2HEX('(直掃)Change to adc mapping '!AX112) &amp; ",",-1&amp; ",")</f>
        <v>0xDD,</v>
      </c>
      <c r="AY48" t="str">
        <f ca="1">IF('(直掃)Change to adc mapping '!AY112 &lt;&gt;-1,"0x" &amp; DEC2HEX('(直掃)Change to adc mapping '!AY112) &amp; ",",-1&amp; ",")</f>
        <v>0xDC,</v>
      </c>
      <c r="AZ48" t="str">
        <f ca="1">IF('(直掃)Change to adc mapping '!AZ112 &lt;&gt;-1,"0x" &amp; DEC2HEX('(直掃)Change to adc mapping '!AZ112) &amp; ",",-1&amp; ",")</f>
        <v>0xDB,</v>
      </c>
      <c r="BA48" t="str">
        <f ca="1">IF('(直掃)Change to adc mapping '!BA112 &lt;&gt;-1,"0x" &amp; DEC2HEX('(直掃)Change to adc mapping '!BA112) &amp; ",",-1&amp; ",")</f>
        <v>0xDA,</v>
      </c>
      <c r="BB48" t="str">
        <f ca="1">IF('(直掃)Change to adc mapping '!BB112 &lt;&gt;-1,"0x" &amp; DEC2HEX('(直掃)Change to adc mapping '!BB112) &amp; ",",-1&amp; ",")</f>
        <v>0xD9,</v>
      </c>
      <c r="BC48" t="str">
        <f ca="1">IF('(直掃)Change to adc mapping '!BC112 &lt;&gt;-1,"0x" &amp; DEC2HEX('(直掃)Change to adc mapping '!BC112) &amp; ",",-1&amp; ",")</f>
        <v>0xD8,</v>
      </c>
      <c r="BD48" t="str">
        <f ca="1">IF('(直掃)Change to adc mapping '!BD112 &lt;&gt;-1,"0x" &amp; DEC2HEX('(直掃)Change to adc mapping '!BD112) &amp; ",",-1&amp; ",")</f>
        <v>0xD7,</v>
      </c>
      <c r="BE48" t="str">
        <f ca="1">IF('(直掃)Change to adc mapping '!BE112 &lt;&gt;-1,"0x" &amp; DEC2HEX('(直掃)Change to adc mapping '!BE112) &amp; ",",-1&amp; ",")</f>
        <v>0xD6,</v>
      </c>
      <c r="BF48" t="str">
        <f ca="1">IF('(直掃)Change to adc mapping '!BF112 &lt;&gt;-1,"0x" &amp; DEC2HEX('(直掃)Change to adc mapping '!BF112) &amp; ",",-1&amp; ",")</f>
        <v>0xD5,</v>
      </c>
      <c r="BG48" t="str">
        <f ca="1">IF('(直掃)Change to adc mapping '!BG112 &lt;&gt;-1,"0x" &amp; DEC2HEX('(直掃)Change to adc mapping '!BG112) &amp; ",",-1&amp; ",")</f>
        <v>0xD4,</v>
      </c>
      <c r="BH48" t="str">
        <f ca="1">IF('(直掃)Change to adc mapping '!BH112 &lt;&gt;-1,"0x" &amp; DEC2HEX('(直掃)Change to adc mapping '!BH112) &amp; ",",-1&amp; ",")</f>
        <v>0xD3,</v>
      </c>
      <c r="BI48" t="str">
        <f ca="1">IF('(直掃)Change to adc mapping '!BI112 &lt;&gt;-1,"0x" &amp; DEC2HEX('(直掃)Change to adc mapping '!BI112) &amp; ",",-1&amp; ",")</f>
        <v>0xD2,</v>
      </c>
    </row>
    <row r="49" spans="1:61" x14ac:dyDescent="0.25">
      <c r="A49" s="20">
        <v>48</v>
      </c>
      <c r="B49" t="str">
        <f ca="1">'(直掃)Change to adc mapping '!B113 &amp; ","</f>
        <v>9999,</v>
      </c>
      <c r="C49" t="str">
        <f ca="1">'(直掃)Change to adc mapping '!C113 &amp; ","</f>
        <v>9999,</v>
      </c>
      <c r="D49" t="str">
        <f ca="1">'(直掃)Change to adc mapping '!D113 &amp; ","</f>
        <v>9999,</v>
      </c>
      <c r="E49" t="str">
        <f ca="1">'(直掃)Change to adc mapping '!E113 &amp; ","</f>
        <v>9999,</v>
      </c>
      <c r="F49" t="str">
        <f ca="1">'(直掃)Change to adc mapping '!F113 &amp; ","</f>
        <v>9999,</v>
      </c>
      <c r="G49" t="str">
        <f ca="1">'(直掃)Change to adc mapping '!G113 &amp; ","</f>
        <v>9999,</v>
      </c>
      <c r="H49" t="str">
        <f ca="1">'(直掃)Change to adc mapping '!H113 &amp; ","</f>
        <v>9999,</v>
      </c>
      <c r="I49" t="str">
        <f ca="1">'(直掃)Change to adc mapping '!I113 &amp; ","</f>
        <v>9999,</v>
      </c>
      <c r="J49" t="str">
        <f ca="1">'(直掃)Change to adc mapping '!J113 &amp; ","</f>
        <v>9999,</v>
      </c>
      <c r="K49" t="str">
        <f ca="1">'(直掃)Change to adc mapping '!K113 &amp; ","</f>
        <v>9999,</v>
      </c>
      <c r="L49" t="str">
        <f ca="1">'(直掃)Change to adc mapping '!L113 &amp; ","</f>
        <v>9999,</v>
      </c>
      <c r="M49" t="str">
        <f ca="1">'(直掃)Change to adc mapping '!M113 &amp; ","</f>
        <v>9999,</v>
      </c>
      <c r="N49" t="str">
        <f ca="1">'(直掃)Change to adc mapping '!N113 &amp; ","</f>
        <v>9999,</v>
      </c>
      <c r="O49" t="str">
        <f ca="1">'(直掃)Change to adc mapping '!O113 &amp; ","</f>
        <v>9999,</v>
      </c>
      <c r="P49" t="str">
        <f ca="1">'(直掃)Change to adc mapping '!P113 &amp; ","</f>
        <v>9999,</v>
      </c>
      <c r="Q49" t="str">
        <f ca="1">'(直掃)Change to adc mapping '!Q113 &amp; ","</f>
        <v>9999,</v>
      </c>
      <c r="R49" t="str">
        <f ca="1">'(直掃)Change to adc mapping '!R113 &amp; ","</f>
        <v>9999,</v>
      </c>
      <c r="S49" t="str">
        <f ca="1">'(直掃)Change to adc mapping '!S113 &amp; ","</f>
        <v>9999,</v>
      </c>
      <c r="T49" t="str">
        <f ca="1">'(直掃)Change to adc mapping '!T113 &amp; ","</f>
        <v>9999,</v>
      </c>
      <c r="U49" t="str">
        <f ca="1">'(直掃)Change to adc mapping '!U113 &amp; ","</f>
        <v>9999,</v>
      </c>
      <c r="V49" t="str">
        <f ca="1">'(直掃)Change to adc mapping '!V113 &amp; ","</f>
        <v>9999,</v>
      </c>
      <c r="W49" t="str">
        <f ca="1">'(直掃)Change to adc mapping '!W113 &amp; ","</f>
        <v>9999,</v>
      </c>
      <c r="X49" t="str">
        <f ca="1">'(直掃)Change to adc mapping '!X113 &amp; ","</f>
        <v>9999,</v>
      </c>
      <c r="Y49" t="str">
        <f ca="1">IF('(直掃)Change to adc mapping '!Y113 &lt;&gt;-1,"0x" &amp; DEC2HEX('(直掃)Change to adc mapping '!Y113) &amp; ",",-1&amp; ",")</f>
        <v>-1,</v>
      </c>
      <c r="Z49" t="str">
        <f ca="1">IF('(直掃)Change to adc mapping '!Z113 &lt;&gt;-1,"0x" &amp; DEC2HEX('(直掃)Change to adc mapping '!Z113) &amp; ",",-1&amp; ",")</f>
        <v>-1,</v>
      </c>
      <c r="AA49" t="str">
        <f ca="1">IF('(直掃)Change to adc mapping '!AA113 &lt;&gt;-1,"0x" &amp; DEC2HEX('(直掃)Change to adc mapping '!AA113) &amp; ",",-1&amp; ",")</f>
        <v>-1,</v>
      </c>
      <c r="AB49" t="str">
        <f ca="1">IF('(直掃)Change to adc mapping '!AB113 &lt;&gt;-1,"0x" &amp; DEC2HEX('(直掃)Change to adc mapping '!AB113) &amp; ",",-1&amp; ",")</f>
        <v>-1,</v>
      </c>
      <c r="AC49" t="str">
        <f ca="1">IF('(直掃)Change to adc mapping '!AC113 &lt;&gt;-1,"0x" &amp; DEC2HEX('(直掃)Change to adc mapping '!AC113) &amp; ",",-1&amp; ",")</f>
        <v>-1,</v>
      </c>
      <c r="AD49" t="str">
        <f ca="1">IF('(直掃)Change to adc mapping '!AD113 &lt;&gt;-1,"0x" &amp; DEC2HEX('(直掃)Change to adc mapping '!AD113) &amp; ",",-1&amp; ",")</f>
        <v>-1,</v>
      </c>
      <c r="AE49" t="str">
        <f ca="1">IF('(直掃)Change to adc mapping '!AE113 &lt;&gt;-1,"0x" &amp; DEC2HEX('(直掃)Change to adc mapping '!AE113) &amp; ",",-1&amp; ",")</f>
        <v>-1,</v>
      </c>
      <c r="AF49" t="str">
        <f ca="1">IF('(直掃)Change to adc mapping '!AF113 &lt;&gt;-1,"0x" &amp; DEC2HEX('(直掃)Change to adc mapping '!AF113) &amp; ",",-1&amp; ",")</f>
        <v>0xD1,</v>
      </c>
      <c r="AG49" t="str">
        <f ca="1">IF('(直掃)Change to adc mapping '!AG113 &lt;&gt;-1,"0x" &amp; DEC2HEX('(直掃)Change to adc mapping '!AG113) &amp; ",",-1&amp; ",")</f>
        <v>0xD0,</v>
      </c>
      <c r="AH49" t="str">
        <f ca="1">IF('(直掃)Change to adc mapping '!AH113 &lt;&gt;-1,"0x" &amp; DEC2HEX('(直掃)Change to adc mapping '!AH113) &amp; ",",-1&amp; ",")</f>
        <v>0xCF,</v>
      </c>
      <c r="AI49" t="str">
        <f ca="1">IF('(直掃)Change to adc mapping '!AI113 &lt;&gt;-1,"0x" &amp; DEC2HEX('(直掃)Change to adc mapping '!AI113) &amp; ",",-1&amp; ",")</f>
        <v>0xCE,</v>
      </c>
      <c r="AJ49" t="str">
        <f ca="1">IF('(直掃)Change to adc mapping '!AJ113 &lt;&gt;-1,"0x" &amp; DEC2HEX('(直掃)Change to adc mapping '!AJ113) &amp; ",",-1&amp; ",")</f>
        <v>0xCD,</v>
      </c>
      <c r="AK49" t="str">
        <f ca="1">IF('(直掃)Change to adc mapping '!AK113 &lt;&gt;-1,"0x" &amp; DEC2HEX('(直掃)Change to adc mapping '!AK113) &amp; ",",-1&amp; ",")</f>
        <v>0xCC,</v>
      </c>
      <c r="AL49" t="str">
        <f ca="1">IF('(直掃)Change to adc mapping '!AL113 &lt;&gt;-1,"0x" &amp; DEC2HEX('(直掃)Change to adc mapping '!AL113) &amp; ",",-1&amp; ",")</f>
        <v>0xCB,</v>
      </c>
      <c r="AM49" t="str">
        <f ca="1">IF('(直掃)Change to adc mapping '!AM113 &lt;&gt;-1,"0x" &amp; DEC2HEX('(直掃)Change to adc mapping '!AM113) &amp; ",",-1&amp; ",")</f>
        <v>0xCA,</v>
      </c>
      <c r="AN49" t="str">
        <f ca="1">IF('(直掃)Change to adc mapping '!AN113 &lt;&gt;-1,"0x" &amp; DEC2HEX('(直掃)Change to adc mapping '!AN113) &amp; ",",-1&amp; ",")</f>
        <v>0xC9,</v>
      </c>
      <c r="AO49" t="str">
        <f ca="1">IF('(直掃)Change to adc mapping '!AO113 &lt;&gt;-1,"0x" &amp; DEC2HEX('(直掃)Change to adc mapping '!AO113) &amp; ",",-1&amp; ",")</f>
        <v>0xC8,</v>
      </c>
      <c r="AP49" t="str">
        <f ca="1">IF('(直掃)Change to adc mapping '!AP113 &lt;&gt;-1,"0x" &amp; DEC2HEX('(直掃)Change to adc mapping '!AP113) &amp; ",",-1&amp; ",")</f>
        <v>0xC7,</v>
      </c>
      <c r="AQ49" t="str">
        <f ca="1">IF('(直掃)Change to adc mapping '!AQ113 &lt;&gt;-1,"0x" &amp; DEC2HEX('(直掃)Change to adc mapping '!AQ113) &amp; ",",-1&amp; ",")</f>
        <v>0xC6,</v>
      </c>
      <c r="AR49" t="str">
        <f ca="1">IF('(直掃)Change to adc mapping '!AR113 &lt;&gt;-1,"0x" &amp; DEC2HEX('(直掃)Change to adc mapping '!AR113) &amp; ",",-1&amp; ",")</f>
        <v>0xC5,</v>
      </c>
      <c r="AS49" t="str">
        <f ca="1">IF('(直掃)Change to adc mapping '!AS113 &lt;&gt;-1,"0x" &amp; DEC2HEX('(直掃)Change to adc mapping '!AS113) &amp; ",",-1&amp; ",")</f>
        <v>0xC4,</v>
      </c>
      <c r="AT49" t="str">
        <f ca="1">IF('(直掃)Change to adc mapping '!AT113 &lt;&gt;-1,"0x" &amp; DEC2HEX('(直掃)Change to adc mapping '!AT113) &amp; ",",-1&amp; ",")</f>
        <v>0xC3,</v>
      </c>
      <c r="AU49" t="str">
        <f ca="1">IF('(直掃)Change to adc mapping '!AU113 &lt;&gt;-1,"0x" &amp; DEC2HEX('(直掃)Change to adc mapping '!AU113) &amp; ",",-1&amp; ",")</f>
        <v>0xC2,</v>
      </c>
      <c r="AV49" t="str">
        <f ca="1">IF('(直掃)Change to adc mapping '!AV113 &lt;&gt;-1,"0x" &amp; DEC2HEX('(直掃)Change to adc mapping '!AV113) &amp; ",",-1&amp; ",")</f>
        <v>0xC1,</v>
      </c>
      <c r="AW49" t="str">
        <f ca="1">IF('(直掃)Change to adc mapping '!AW113 &lt;&gt;-1,"0x" &amp; DEC2HEX('(直掃)Change to adc mapping '!AW113) &amp; ",",-1&amp; ",")</f>
        <v>0xC0,</v>
      </c>
      <c r="AX49" t="str">
        <f ca="1">IF('(直掃)Change to adc mapping '!AX113 &lt;&gt;-1,"0x" &amp; DEC2HEX('(直掃)Change to adc mapping '!AX113) &amp; ",",-1&amp; ",")</f>
        <v>0xBF,</v>
      </c>
      <c r="AY49" t="str">
        <f ca="1">IF('(直掃)Change to adc mapping '!AY113 &lt;&gt;-1,"0x" &amp; DEC2HEX('(直掃)Change to adc mapping '!AY113) &amp; ",",-1&amp; ",")</f>
        <v>0xBE,</v>
      </c>
      <c r="AZ49" t="str">
        <f ca="1">IF('(直掃)Change to adc mapping '!AZ113 &lt;&gt;-1,"0x" &amp; DEC2HEX('(直掃)Change to adc mapping '!AZ113) &amp; ",",-1&amp; ",")</f>
        <v>0xBD,</v>
      </c>
      <c r="BA49" t="str">
        <f ca="1">IF('(直掃)Change to adc mapping '!BA113 &lt;&gt;-1,"0x" &amp; DEC2HEX('(直掃)Change to adc mapping '!BA113) &amp; ",",-1&amp; ",")</f>
        <v>0xBC,</v>
      </c>
      <c r="BB49" t="str">
        <f ca="1">IF('(直掃)Change to adc mapping '!BB113 &lt;&gt;-1,"0x" &amp; DEC2HEX('(直掃)Change to adc mapping '!BB113) &amp; ",",-1&amp; ",")</f>
        <v>0xBB,</v>
      </c>
      <c r="BC49" t="str">
        <f ca="1">IF('(直掃)Change to adc mapping '!BC113 &lt;&gt;-1,"0x" &amp; DEC2HEX('(直掃)Change to adc mapping '!BC113) &amp; ",",-1&amp; ",")</f>
        <v>0xBA,</v>
      </c>
      <c r="BD49" t="str">
        <f ca="1">IF('(直掃)Change to adc mapping '!BD113 &lt;&gt;-1,"0x" &amp; DEC2HEX('(直掃)Change to adc mapping '!BD113) &amp; ",",-1&amp; ",")</f>
        <v>0xB9,</v>
      </c>
      <c r="BE49" t="str">
        <f ca="1">IF('(直掃)Change to adc mapping '!BE113 &lt;&gt;-1,"0x" &amp; DEC2HEX('(直掃)Change to adc mapping '!BE113) &amp; ",",-1&amp; ",")</f>
        <v>0xB8,</v>
      </c>
      <c r="BF49" t="str">
        <f ca="1">IF('(直掃)Change to adc mapping '!BF113 &lt;&gt;-1,"0x" &amp; DEC2HEX('(直掃)Change to adc mapping '!BF113) &amp; ",",-1&amp; ",")</f>
        <v>0xB7,</v>
      </c>
      <c r="BG49" t="str">
        <f ca="1">IF('(直掃)Change to adc mapping '!BG113 &lt;&gt;-1,"0x" &amp; DEC2HEX('(直掃)Change to adc mapping '!BG113) &amp; ",",-1&amp; ",")</f>
        <v>0xB6,</v>
      </c>
      <c r="BH49" t="str">
        <f ca="1">IF('(直掃)Change to adc mapping '!BH113 &lt;&gt;-1,"0x" &amp; DEC2HEX('(直掃)Change to adc mapping '!BH113) &amp; ",",-1&amp; ",")</f>
        <v>0xB5,</v>
      </c>
      <c r="BI49" t="str">
        <f ca="1">IF('(直掃)Change to adc mapping '!BI113 &lt;&gt;-1,"0x" &amp; DEC2HEX('(直掃)Change to adc mapping '!BI113) &amp; ",",-1&amp; ",")</f>
        <v>0xB4,</v>
      </c>
    </row>
    <row r="50" spans="1:61" x14ac:dyDescent="0.25">
      <c r="A50" s="20">
        <v>49</v>
      </c>
      <c r="B50" t="str">
        <f ca="1">'(直掃)Change to adc mapping '!B114 &amp; ","</f>
        <v>9999,</v>
      </c>
      <c r="C50" t="str">
        <f ca="1">'(直掃)Change to adc mapping '!C114 &amp; ","</f>
        <v>9999,</v>
      </c>
      <c r="D50" t="str">
        <f ca="1">'(直掃)Change to adc mapping '!D114 &amp; ","</f>
        <v>9999,</v>
      </c>
      <c r="E50" t="str">
        <f ca="1">'(直掃)Change to adc mapping '!E114 &amp; ","</f>
        <v>9999,</v>
      </c>
      <c r="F50" t="str">
        <f ca="1">'(直掃)Change to adc mapping '!F114 &amp; ","</f>
        <v>9999,</v>
      </c>
      <c r="G50" t="str">
        <f ca="1">'(直掃)Change to adc mapping '!G114 &amp; ","</f>
        <v>9999,</v>
      </c>
      <c r="H50" t="str">
        <f ca="1">'(直掃)Change to adc mapping '!H114 &amp; ","</f>
        <v>9999,</v>
      </c>
      <c r="I50" t="str">
        <f ca="1">'(直掃)Change to adc mapping '!I114 &amp; ","</f>
        <v>9999,</v>
      </c>
      <c r="J50" t="str">
        <f ca="1">'(直掃)Change to adc mapping '!J114 &amp; ","</f>
        <v>9999,</v>
      </c>
      <c r="K50" t="str">
        <f ca="1">'(直掃)Change to adc mapping '!K114 &amp; ","</f>
        <v>9999,</v>
      </c>
      <c r="L50" t="str">
        <f ca="1">'(直掃)Change to adc mapping '!L114 &amp; ","</f>
        <v>9999,</v>
      </c>
      <c r="M50" t="str">
        <f ca="1">'(直掃)Change to adc mapping '!M114 &amp; ","</f>
        <v>9999,</v>
      </c>
      <c r="N50" t="str">
        <f ca="1">'(直掃)Change to adc mapping '!N114 &amp; ","</f>
        <v>9999,</v>
      </c>
      <c r="O50" t="str">
        <f ca="1">'(直掃)Change to adc mapping '!O114 &amp; ","</f>
        <v>9999,</v>
      </c>
      <c r="P50" t="str">
        <f ca="1">'(直掃)Change to adc mapping '!P114 &amp; ","</f>
        <v>9999,</v>
      </c>
      <c r="Q50" t="str">
        <f ca="1">'(直掃)Change to adc mapping '!Q114 &amp; ","</f>
        <v>9999,</v>
      </c>
      <c r="R50" t="str">
        <f ca="1">'(直掃)Change to adc mapping '!R114 &amp; ","</f>
        <v>9999,</v>
      </c>
      <c r="S50" t="str">
        <f ca="1">'(直掃)Change to adc mapping '!S114 &amp; ","</f>
        <v>9999,</v>
      </c>
      <c r="T50" t="str">
        <f ca="1">'(直掃)Change to adc mapping '!T114 &amp; ","</f>
        <v>9999,</v>
      </c>
      <c r="U50" t="str">
        <f ca="1">'(直掃)Change to adc mapping '!U114 &amp; ","</f>
        <v>9999,</v>
      </c>
      <c r="V50" t="str">
        <f ca="1">'(直掃)Change to adc mapping '!V114 &amp; ","</f>
        <v>9999,</v>
      </c>
      <c r="W50" t="str">
        <f ca="1">'(直掃)Change to adc mapping '!W114 &amp; ","</f>
        <v>9999,</v>
      </c>
      <c r="X50" t="str">
        <f ca="1">'(直掃)Change to adc mapping '!X114 &amp; ","</f>
        <v>9999,</v>
      </c>
      <c r="Y50" t="str">
        <f ca="1">IF('(直掃)Change to adc mapping '!Y114 &lt;&gt;-1,"0x" &amp; DEC2HEX('(直掃)Change to adc mapping '!Y114) &amp; ",",-1&amp; ",")</f>
        <v>-1,</v>
      </c>
      <c r="Z50" t="str">
        <f ca="1">IF('(直掃)Change to adc mapping '!Z114 &lt;&gt;-1,"0x" &amp; DEC2HEX('(直掃)Change to adc mapping '!Z114) &amp; ",",-1&amp; ",")</f>
        <v>-1,</v>
      </c>
      <c r="AA50" t="str">
        <f ca="1">IF('(直掃)Change to adc mapping '!AA114 &lt;&gt;-1,"0x" &amp; DEC2HEX('(直掃)Change to adc mapping '!AA114) &amp; ",",-1&amp; ",")</f>
        <v>-1,</v>
      </c>
      <c r="AB50" t="str">
        <f ca="1">IF('(直掃)Change to adc mapping '!AB114 &lt;&gt;-1,"0x" &amp; DEC2HEX('(直掃)Change to adc mapping '!AB114) &amp; ",",-1&amp; ",")</f>
        <v>-1,</v>
      </c>
      <c r="AC50" t="str">
        <f ca="1">IF('(直掃)Change to adc mapping '!AC114 &lt;&gt;-1,"0x" &amp; DEC2HEX('(直掃)Change to adc mapping '!AC114) &amp; ",",-1&amp; ",")</f>
        <v>-1,</v>
      </c>
      <c r="AD50" t="str">
        <f ca="1">IF('(直掃)Change to adc mapping '!AD114 &lt;&gt;-1,"0x" &amp; DEC2HEX('(直掃)Change to adc mapping '!AD114) &amp; ",",-1&amp; ",")</f>
        <v>-1,</v>
      </c>
      <c r="AE50" t="str">
        <f ca="1">IF('(直掃)Change to adc mapping '!AE114 &lt;&gt;-1,"0x" &amp; DEC2HEX('(直掃)Change to adc mapping '!AE114) &amp; ",",-1&amp; ",")</f>
        <v>-1,</v>
      </c>
      <c r="AF50" t="str">
        <f ca="1">IF('(直掃)Change to adc mapping '!AF114 &lt;&gt;-1,"0x" &amp; DEC2HEX('(直掃)Change to adc mapping '!AF114) &amp; ",",-1&amp; ",")</f>
        <v>0xB3,</v>
      </c>
      <c r="AG50" t="str">
        <f ca="1">IF('(直掃)Change to adc mapping '!AG114 &lt;&gt;-1,"0x" &amp; DEC2HEX('(直掃)Change to adc mapping '!AG114) &amp; ",",-1&amp; ",")</f>
        <v>0xB2,</v>
      </c>
      <c r="AH50" t="str">
        <f ca="1">IF('(直掃)Change to adc mapping '!AH114 &lt;&gt;-1,"0x" &amp; DEC2HEX('(直掃)Change to adc mapping '!AH114) &amp; ",",-1&amp; ",")</f>
        <v>0xB1,</v>
      </c>
      <c r="AI50" t="str">
        <f ca="1">IF('(直掃)Change to adc mapping '!AI114 &lt;&gt;-1,"0x" &amp; DEC2HEX('(直掃)Change to adc mapping '!AI114) &amp; ",",-1&amp; ",")</f>
        <v>0xB0,</v>
      </c>
      <c r="AJ50" t="str">
        <f ca="1">IF('(直掃)Change to adc mapping '!AJ114 &lt;&gt;-1,"0x" &amp; DEC2HEX('(直掃)Change to adc mapping '!AJ114) &amp; ",",-1&amp; ",")</f>
        <v>0xAF,</v>
      </c>
      <c r="AK50" t="str">
        <f ca="1">IF('(直掃)Change to adc mapping '!AK114 &lt;&gt;-1,"0x" &amp; DEC2HEX('(直掃)Change to adc mapping '!AK114) &amp; ",",-1&amp; ",")</f>
        <v>0xAE,</v>
      </c>
      <c r="AL50" t="str">
        <f ca="1">IF('(直掃)Change to adc mapping '!AL114 &lt;&gt;-1,"0x" &amp; DEC2HEX('(直掃)Change to adc mapping '!AL114) &amp; ",",-1&amp; ",")</f>
        <v>0xAD,</v>
      </c>
      <c r="AM50" t="str">
        <f ca="1">IF('(直掃)Change to adc mapping '!AM114 &lt;&gt;-1,"0x" &amp; DEC2HEX('(直掃)Change to adc mapping '!AM114) &amp; ",",-1&amp; ",")</f>
        <v>0xAC,</v>
      </c>
      <c r="AN50" t="str">
        <f ca="1">IF('(直掃)Change to adc mapping '!AN114 &lt;&gt;-1,"0x" &amp; DEC2HEX('(直掃)Change to adc mapping '!AN114) &amp; ",",-1&amp; ",")</f>
        <v>0xAB,</v>
      </c>
      <c r="AO50" t="str">
        <f ca="1">IF('(直掃)Change to adc mapping '!AO114 &lt;&gt;-1,"0x" &amp; DEC2HEX('(直掃)Change to adc mapping '!AO114) &amp; ",",-1&amp; ",")</f>
        <v>0xAA,</v>
      </c>
      <c r="AP50" t="str">
        <f ca="1">IF('(直掃)Change to adc mapping '!AP114 &lt;&gt;-1,"0x" &amp; DEC2HEX('(直掃)Change to adc mapping '!AP114) &amp; ",",-1&amp; ",")</f>
        <v>0xA9,</v>
      </c>
      <c r="AQ50" t="str">
        <f ca="1">IF('(直掃)Change to adc mapping '!AQ114 &lt;&gt;-1,"0x" &amp; DEC2HEX('(直掃)Change to adc mapping '!AQ114) &amp; ",",-1&amp; ",")</f>
        <v>0xA8,</v>
      </c>
      <c r="AR50" t="str">
        <f ca="1">IF('(直掃)Change to adc mapping '!AR114 &lt;&gt;-1,"0x" &amp; DEC2HEX('(直掃)Change to adc mapping '!AR114) &amp; ",",-1&amp; ",")</f>
        <v>0xA7,</v>
      </c>
      <c r="AS50" t="str">
        <f ca="1">IF('(直掃)Change to adc mapping '!AS114 &lt;&gt;-1,"0x" &amp; DEC2HEX('(直掃)Change to adc mapping '!AS114) &amp; ",",-1&amp; ",")</f>
        <v>0xA6,</v>
      </c>
      <c r="AT50" t="str">
        <f ca="1">IF('(直掃)Change to adc mapping '!AT114 &lt;&gt;-1,"0x" &amp; DEC2HEX('(直掃)Change to adc mapping '!AT114) &amp; ",",-1&amp; ",")</f>
        <v>0xA5,</v>
      </c>
      <c r="AU50" t="str">
        <f ca="1">IF('(直掃)Change to adc mapping '!AU114 &lt;&gt;-1,"0x" &amp; DEC2HEX('(直掃)Change to adc mapping '!AU114) &amp; ",",-1&amp; ",")</f>
        <v>0xA4,</v>
      </c>
      <c r="AV50" t="str">
        <f ca="1">IF('(直掃)Change to adc mapping '!AV114 &lt;&gt;-1,"0x" &amp; DEC2HEX('(直掃)Change to adc mapping '!AV114) &amp; ",",-1&amp; ",")</f>
        <v>0xA3,</v>
      </c>
      <c r="AW50" t="str">
        <f ca="1">IF('(直掃)Change to adc mapping '!AW114 &lt;&gt;-1,"0x" &amp; DEC2HEX('(直掃)Change to adc mapping '!AW114) &amp; ",",-1&amp; ",")</f>
        <v>0xA2,</v>
      </c>
      <c r="AX50" t="str">
        <f ca="1">IF('(直掃)Change to adc mapping '!AX114 &lt;&gt;-1,"0x" &amp; DEC2HEX('(直掃)Change to adc mapping '!AX114) &amp; ",",-1&amp; ",")</f>
        <v>0xA1,</v>
      </c>
      <c r="AY50" t="str">
        <f ca="1">IF('(直掃)Change to adc mapping '!AY114 &lt;&gt;-1,"0x" &amp; DEC2HEX('(直掃)Change to adc mapping '!AY114) &amp; ",",-1&amp; ",")</f>
        <v>0xA0,</v>
      </c>
      <c r="AZ50" t="str">
        <f ca="1">IF('(直掃)Change to adc mapping '!AZ114 &lt;&gt;-1,"0x" &amp; DEC2HEX('(直掃)Change to adc mapping '!AZ114) &amp; ",",-1&amp; ",")</f>
        <v>0x9F,</v>
      </c>
      <c r="BA50" t="str">
        <f ca="1">IF('(直掃)Change to adc mapping '!BA114 &lt;&gt;-1,"0x" &amp; DEC2HEX('(直掃)Change to adc mapping '!BA114) &amp; ",",-1&amp; ",")</f>
        <v>0x9E,</v>
      </c>
      <c r="BB50" t="str">
        <f ca="1">IF('(直掃)Change to adc mapping '!BB114 &lt;&gt;-1,"0x" &amp; DEC2HEX('(直掃)Change to adc mapping '!BB114) &amp; ",",-1&amp; ",")</f>
        <v>0x9D,</v>
      </c>
      <c r="BC50" t="str">
        <f ca="1">IF('(直掃)Change to adc mapping '!BC114 &lt;&gt;-1,"0x" &amp; DEC2HEX('(直掃)Change to adc mapping '!BC114) &amp; ",",-1&amp; ",")</f>
        <v>0x9C,</v>
      </c>
      <c r="BD50" t="str">
        <f ca="1">IF('(直掃)Change to adc mapping '!BD114 &lt;&gt;-1,"0x" &amp; DEC2HEX('(直掃)Change to adc mapping '!BD114) &amp; ",",-1&amp; ",")</f>
        <v>0x9B,</v>
      </c>
      <c r="BE50" t="str">
        <f ca="1">IF('(直掃)Change to adc mapping '!BE114 &lt;&gt;-1,"0x" &amp; DEC2HEX('(直掃)Change to adc mapping '!BE114) &amp; ",",-1&amp; ",")</f>
        <v>0x9A,</v>
      </c>
      <c r="BF50" t="str">
        <f ca="1">IF('(直掃)Change to adc mapping '!BF114 &lt;&gt;-1,"0x" &amp; DEC2HEX('(直掃)Change to adc mapping '!BF114) &amp; ",",-1&amp; ",")</f>
        <v>0x99,</v>
      </c>
      <c r="BG50" t="str">
        <f ca="1">IF('(直掃)Change to adc mapping '!BG114 &lt;&gt;-1,"0x" &amp; DEC2HEX('(直掃)Change to adc mapping '!BG114) &amp; ",",-1&amp; ",")</f>
        <v>0x98,</v>
      </c>
      <c r="BH50" t="str">
        <f ca="1">IF('(直掃)Change to adc mapping '!BH114 &lt;&gt;-1,"0x" &amp; DEC2HEX('(直掃)Change to adc mapping '!BH114) &amp; ",",-1&amp; ",")</f>
        <v>0x97,</v>
      </c>
      <c r="BI50" t="str">
        <f ca="1">IF('(直掃)Change to adc mapping '!BI114 &lt;&gt;-1,"0x" &amp; DEC2HEX('(直掃)Change to adc mapping '!BI114) &amp; ",",-1&amp; ",")</f>
        <v>0x96,</v>
      </c>
    </row>
    <row r="51" spans="1:61" x14ac:dyDescent="0.25">
      <c r="A51" s="20">
        <v>50</v>
      </c>
      <c r="B51" t="str">
        <f ca="1">'(直掃)Change to adc mapping '!B115 &amp; ","</f>
        <v>9999,</v>
      </c>
      <c r="C51" t="str">
        <f ca="1">'(直掃)Change to adc mapping '!C115 &amp; ","</f>
        <v>9999,</v>
      </c>
      <c r="D51" t="str">
        <f ca="1">'(直掃)Change to adc mapping '!D115 &amp; ","</f>
        <v>9999,</v>
      </c>
      <c r="E51" t="str">
        <f ca="1">'(直掃)Change to adc mapping '!E115 &amp; ","</f>
        <v>9999,</v>
      </c>
      <c r="F51" t="str">
        <f ca="1">'(直掃)Change to adc mapping '!F115 &amp; ","</f>
        <v>9999,</v>
      </c>
      <c r="G51" t="str">
        <f ca="1">'(直掃)Change to adc mapping '!G115 &amp; ","</f>
        <v>9999,</v>
      </c>
      <c r="H51" t="str">
        <f ca="1">'(直掃)Change to adc mapping '!H115 &amp; ","</f>
        <v>9999,</v>
      </c>
      <c r="I51" t="str">
        <f ca="1">'(直掃)Change to adc mapping '!I115 &amp; ","</f>
        <v>9999,</v>
      </c>
      <c r="J51" t="str">
        <f ca="1">'(直掃)Change to adc mapping '!J115 &amp; ","</f>
        <v>9999,</v>
      </c>
      <c r="K51" t="str">
        <f ca="1">'(直掃)Change to adc mapping '!K115 &amp; ","</f>
        <v>9999,</v>
      </c>
      <c r="L51" t="str">
        <f ca="1">'(直掃)Change to adc mapping '!L115 &amp; ","</f>
        <v>9999,</v>
      </c>
      <c r="M51" t="str">
        <f ca="1">'(直掃)Change to adc mapping '!M115 &amp; ","</f>
        <v>9999,</v>
      </c>
      <c r="N51" t="str">
        <f ca="1">'(直掃)Change to adc mapping '!N115 &amp; ","</f>
        <v>9999,</v>
      </c>
      <c r="O51" t="str">
        <f ca="1">'(直掃)Change to adc mapping '!O115 &amp; ","</f>
        <v>9999,</v>
      </c>
      <c r="P51" t="str">
        <f ca="1">'(直掃)Change to adc mapping '!P115 &amp; ","</f>
        <v>9999,</v>
      </c>
      <c r="Q51" t="str">
        <f ca="1">'(直掃)Change to adc mapping '!Q115 &amp; ","</f>
        <v>9999,</v>
      </c>
      <c r="R51" t="str">
        <f ca="1">'(直掃)Change to adc mapping '!R115 &amp; ","</f>
        <v>9999,</v>
      </c>
      <c r="S51" t="str">
        <f ca="1">'(直掃)Change to adc mapping '!S115 &amp; ","</f>
        <v>9999,</v>
      </c>
      <c r="T51" t="str">
        <f ca="1">'(直掃)Change to adc mapping '!T115 &amp; ","</f>
        <v>9999,</v>
      </c>
      <c r="U51" t="str">
        <f ca="1">'(直掃)Change to adc mapping '!U115 &amp; ","</f>
        <v>9999,</v>
      </c>
      <c r="V51" t="str">
        <f ca="1">'(直掃)Change to adc mapping '!V115 &amp; ","</f>
        <v>9999,</v>
      </c>
      <c r="W51" t="str">
        <f ca="1">'(直掃)Change to adc mapping '!W115 &amp; ","</f>
        <v>9999,</v>
      </c>
      <c r="X51" t="str">
        <f ca="1">'(直掃)Change to adc mapping '!X115 &amp; ","</f>
        <v>9999,</v>
      </c>
      <c r="Y51" t="str">
        <f ca="1">IF('(直掃)Change to adc mapping '!Y115 &lt;&gt;-1,"0x" &amp; DEC2HEX('(直掃)Change to adc mapping '!Y115) &amp; ",",-1&amp; ",")</f>
        <v>-1,</v>
      </c>
      <c r="Z51" t="str">
        <f ca="1">IF('(直掃)Change to adc mapping '!Z115 &lt;&gt;-1,"0x" &amp; DEC2HEX('(直掃)Change to adc mapping '!Z115) &amp; ",",-1&amp; ",")</f>
        <v>-1,</v>
      </c>
      <c r="AA51" t="str">
        <f ca="1">IF('(直掃)Change to adc mapping '!AA115 &lt;&gt;-1,"0x" &amp; DEC2HEX('(直掃)Change to adc mapping '!AA115) &amp; ",",-1&amp; ",")</f>
        <v>-1,</v>
      </c>
      <c r="AB51" t="str">
        <f ca="1">IF('(直掃)Change to adc mapping '!AB115 &lt;&gt;-1,"0x" &amp; DEC2HEX('(直掃)Change to adc mapping '!AB115) &amp; ",",-1&amp; ",")</f>
        <v>-1,</v>
      </c>
      <c r="AC51" t="str">
        <f ca="1">IF('(直掃)Change to adc mapping '!AC115 &lt;&gt;-1,"0x" &amp; DEC2HEX('(直掃)Change to adc mapping '!AC115) &amp; ",",-1&amp; ",")</f>
        <v>-1,</v>
      </c>
      <c r="AD51" t="str">
        <f ca="1">IF('(直掃)Change to adc mapping '!AD115 &lt;&gt;-1,"0x" &amp; DEC2HEX('(直掃)Change to adc mapping '!AD115) &amp; ",",-1&amp; ",")</f>
        <v>-1,</v>
      </c>
      <c r="AE51" t="str">
        <f ca="1">IF('(直掃)Change to adc mapping '!AE115 &lt;&gt;-1,"0x" &amp; DEC2HEX('(直掃)Change to adc mapping '!AE115) &amp; ",",-1&amp; ",")</f>
        <v>-1,</v>
      </c>
      <c r="AF51" t="str">
        <f ca="1">IF('(直掃)Change to adc mapping '!AF115 &lt;&gt;-1,"0x" &amp; DEC2HEX('(直掃)Change to adc mapping '!AF115) &amp; ",",-1&amp; ",")</f>
        <v>0x95,</v>
      </c>
      <c r="AG51" t="str">
        <f ca="1">IF('(直掃)Change to adc mapping '!AG115 &lt;&gt;-1,"0x" &amp; DEC2HEX('(直掃)Change to adc mapping '!AG115) &amp; ",",-1&amp; ",")</f>
        <v>0x94,</v>
      </c>
      <c r="AH51" t="str">
        <f ca="1">IF('(直掃)Change to adc mapping '!AH115 &lt;&gt;-1,"0x" &amp; DEC2HEX('(直掃)Change to adc mapping '!AH115) &amp; ",",-1&amp; ",")</f>
        <v>0x93,</v>
      </c>
      <c r="AI51" t="str">
        <f ca="1">IF('(直掃)Change to adc mapping '!AI115 &lt;&gt;-1,"0x" &amp; DEC2HEX('(直掃)Change to adc mapping '!AI115) &amp; ",",-1&amp; ",")</f>
        <v>0x92,</v>
      </c>
      <c r="AJ51" t="str">
        <f ca="1">IF('(直掃)Change to adc mapping '!AJ115 &lt;&gt;-1,"0x" &amp; DEC2HEX('(直掃)Change to adc mapping '!AJ115) &amp; ",",-1&amp; ",")</f>
        <v>0x91,</v>
      </c>
      <c r="AK51" t="str">
        <f ca="1">IF('(直掃)Change to adc mapping '!AK115 &lt;&gt;-1,"0x" &amp; DEC2HEX('(直掃)Change to adc mapping '!AK115) &amp; ",",-1&amp; ",")</f>
        <v>0x90,</v>
      </c>
      <c r="AL51" t="str">
        <f ca="1">IF('(直掃)Change to adc mapping '!AL115 &lt;&gt;-1,"0x" &amp; DEC2HEX('(直掃)Change to adc mapping '!AL115) &amp; ",",-1&amp; ",")</f>
        <v>0x8F,</v>
      </c>
      <c r="AM51" t="str">
        <f ca="1">IF('(直掃)Change to adc mapping '!AM115 &lt;&gt;-1,"0x" &amp; DEC2HEX('(直掃)Change to adc mapping '!AM115) &amp; ",",-1&amp; ",")</f>
        <v>0x8E,</v>
      </c>
      <c r="AN51" t="str">
        <f ca="1">IF('(直掃)Change to adc mapping '!AN115 &lt;&gt;-1,"0x" &amp; DEC2HEX('(直掃)Change to adc mapping '!AN115) &amp; ",",-1&amp; ",")</f>
        <v>0x8D,</v>
      </c>
      <c r="AO51" t="str">
        <f ca="1">IF('(直掃)Change to adc mapping '!AO115 &lt;&gt;-1,"0x" &amp; DEC2HEX('(直掃)Change to adc mapping '!AO115) &amp; ",",-1&amp; ",")</f>
        <v>0x8C,</v>
      </c>
      <c r="AP51" t="str">
        <f ca="1">IF('(直掃)Change to adc mapping '!AP115 &lt;&gt;-1,"0x" &amp; DEC2HEX('(直掃)Change to adc mapping '!AP115) &amp; ",",-1&amp; ",")</f>
        <v>0x8B,</v>
      </c>
      <c r="AQ51" t="str">
        <f ca="1">IF('(直掃)Change to adc mapping '!AQ115 &lt;&gt;-1,"0x" &amp; DEC2HEX('(直掃)Change to adc mapping '!AQ115) &amp; ",",-1&amp; ",")</f>
        <v>0x8A,</v>
      </c>
      <c r="AR51" t="str">
        <f ca="1">IF('(直掃)Change to adc mapping '!AR115 &lt;&gt;-1,"0x" &amp; DEC2HEX('(直掃)Change to adc mapping '!AR115) &amp; ",",-1&amp; ",")</f>
        <v>0x89,</v>
      </c>
      <c r="AS51" t="str">
        <f ca="1">IF('(直掃)Change to adc mapping '!AS115 &lt;&gt;-1,"0x" &amp; DEC2HEX('(直掃)Change to adc mapping '!AS115) &amp; ",",-1&amp; ",")</f>
        <v>0x88,</v>
      </c>
      <c r="AT51" t="str">
        <f ca="1">IF('(直掃)Change to adc mapping '!AT115 &lt;&gt;-1,"0x" &amp; DEC2HEX('(直掃)Change to adc mapping '!AT115) &amp; ",",-1&amp; ",")</f>
        <v>0x87,</v>
      </c>
      <c r="AU51" t="str">
        <f ca="1">IF('(直掃)Change to adc mapping '!AU115 &lt;&gt;-1,"0x" &amp; DEC2HEX('(直掃)Change to adc mapping '!AU115) &amp; ",",-1&amp; ",")</f>
        <v>0x86,</v>
      </c>
      <c r="AV51" t="str">
        <f ca="1">IF('(直掃)Change to adc mapping '!AV115 &lt;&gt;-1,"0x" &amp; DEC2HEX('(直掃)Change to adc mapping '!AV115) &amp; ",",-1&amp; ",")</f>
        <v>0x85,</v>
      </c>
      <c r="AW51" t="str">
        <f ca="1">IF('(直掃)Change to adc mapping '!AW115 &lt;&gt;-1,"0x" &amp; DEC2HEX('(直掃)Change to adc mapping '!AW115) &amp; ",",-1&amp; ",")</f>
        <v>0x84,</v>
      </c>
      <c r="AX51" t="str">
        <f ca="1">IF('(直掃)Change to adc mapping '!AX115 &lt;&gt;-1,"0x" &amp; DEC2HEX('(直掃)Change to adc mapping '!AX115) &amp; ",",-1&amp; ",")</f>
        <v>0x83,</v>
      </c>
      <c r="AY51" t="str">
        <f ca="1">IF('(直掃)Change to adc mapping '!AY115 &lt;&gt;-1,"0x" &amp; DEC2HEX('(直掃)Change to adc mapping '!AY115) &amp; ",",-1&amp; ",")</f>
        <v>0x82,</v>
      </c>
      <c r="AZ51" t="str">
        <f ca="1">IF('(直掃)Change to adc mapping '!AZ115 &lt;&gt;-1,"0x" &amp; DEC2HEX('(直掃)Change to adc mapping '!AZ115) &amp; ",",-1&amp; ",")</f>
        <v>0x81,</v>
      </c>
      <c r="BA51" t="str">
        <f ca="1">IF('(直掃)Change to adc mapping '!BA115 &lt;&gt;-1,"0x" &amp; DEC2HEX('(直掃)Change to adc mapping '!BA115) &amp; ",",-1&amp; ",")</f>
        <v>0x80,</v>
      </c>
      <c r="BB51" t="str">
        <f ca="1">IF('(直掃)Change to adc mapping '!BB115 &lt;&gt;-1,"0x" &amp; DEC2HEX('(直掃)Change to adc mapping '!BB115) &amp; ",",-1&amp; ",")</f>
        <v>0x7F,</v>
      </c>
      <c r="BC51" t="str">
        <f ca="1">IF('(直掃)Change to adc mapping '!BC115 &lt;&gt;-1,"0x" &amp; DEC2HEX('(直掃)Change to adc mapping '!BC115) &amp; ",",-1&amp; ",")</f>
        <v>0x7E,</v>
      </c>
      <c r="BD51" t="str">
        <f ca="1">IF('(直掃)Change to adc mapping '!BD115 &lt;&gt;-1,"0x" &amp; DEC2HEX('(直掃)Change to adc mapping '!BD115) &amp; ",",-1&amp; ",")</f>
        <v>0x7D,</v>
      </c>
      <c r="BE51" t="str">
        <f ca="1">IF('(直掃)Change to adc mapping '!BE115 &lt;&gt;-1,"0x" &amp; DEC2HEX('(直掃)Change to adc mapping '!BE115) &amp; ",",-1&amp; ",")</f>
        <v>0x7C,</v>
      </c>
      <c r="BF51" t="str">
        <f ca="1">IF('(直掃)Change to adc mapping '!BF115 &lt;&gt;-1,"0x" &amp; DEC2HEX('(直掃)Change to adc mapping '!BF115) &amp; ",",-1&amp; ",")</f>
        <v>0x7B,</v>
      </c>
      <c r="BG51" t="str">
        <f ca="1">IF('(直掃)Change to adc mapping '!BG115 &lt;&gt;-1,"0x" &amp; DEC2HEX('(直掃)Change to adc mapping '!BG115) &amp; ",",-1&amp; ",")</f>
        <v>0x7A,</v>
      </c>
      <c r="BH51" t="str">
        <f ca="1">IF('(直掃)Change to adc mapping '!BH115 &lt;&gt;-1,"0x" &amp; DEC2HEX('(直掃)Change to adc mapping '!BH115) &amp; ",",-1&amp; ",")</f>
        <v>0x79,</v>
      </c>
      <c r="BI51" t="str">
        <f ca="1">IF('(直掃)Change to adc mapping '!BI115 &lt;&gt;-1,"0x" &amp; DEC2HEX('(直掃)Change to adc mapping '!BI115) &amp; ",",-1&amp; ",")</f>
        <v>0x78,</v>
      </c>
    </row>
    <row r="52" spans="1:61" x14ac:dyDescent="0.25">
      <c r="A52" s="20">
        <v>51</v>
      </c>
      <c r="B52" t="str">
        <f ca="1">'(直掃)Change to adc mapping '!B116 &amp; ","</f>
        <v>9999,</v>
      </c>
      <c r="C52" t="str">
        <f ca="1">'(直掃)Change to adc mapping '!C116 &amp; ","</f>
        <v>9999,</v>
      </c>
      <c r="D52" t="str">
        <f ca="1">'(直掃)Change to adc mapping '!D116 &amp; ","</f>
        <v>9999,</v>
      </c>
      <c r="E52" t="str">
        <f ca="1">'(直掃)Change to adc mapping '!E116 &amp; ","</f>
        <v>9999,</v>
      </c>
      <c r="F52" t="str">
        <f ca="1">'(直掃)Change to adc mapping '!F116 &amp; ","</f>
        <v>9999,</v>
      </c>
      <c r="G52" t="str">
        <f ca="1">'(直掃)Change to adc mapping '!G116 &amp; ","</f>
        <v>9999,</v>
      </c>
      <c r="H52" t="str">
        <f ca="1">'(直掃)Change to adc mapping '!H116 &amp; ","</f>
        <v>9999,</v>
      </c>
      <c r="I52" t="str">
        <f ca="1">'(直掃)Change to adc mapping '!I116 &amp; ","</f>
        <v>9999,</v>
      </c>
      <c r="J52" t="str">
        <f ca="1">'(直掃)Change to adc mapping '!J116 &amp; ","</f>
        <v>9999,</v>
      </c>
      <c r="K52" t="str">
        <f ca="1">'(直掃)Change to adc mapping '!K116 &amp; ","</f>
        <v>9999,</v>
      </c>
      <c r="L52" t="str">
        <f ca="1">'(直掃)Change to adc mapping '!L116 &amp; ","</f>
        <v>9999,</v>
      </c>
      <c r="M52" t="str">
        <f ca="1">'(直掃)Change to adc mapping '!M116 &amp; ","</f>
        <v>9999,</v>
      </c>
      <c r="N52" t="str">
        <f ca="1">'(直掃)Change to adc mapping '!N116 &amp; ","</f>
        <v>9999,</v>
      </c>
      <c r="O52" t="str">
        <f ca="1">'(直掃)Change to adc mapping '!O116 &amp; ","</f>
        <v>9999,</v>
      </c>
      <c r="P52" t="str">
        <f ca="1">'(直掃)Change to adc mapping '!P116 &amp; ","</f>
        <v>9999,</v>
      </c>
      <c r="Q52" t="str">
        <f ca="1">'(直掃)Change to adc mapping '!Q116 &amp; ","</f>
        <v>9999,</v>
      </c>
      <c r="R52" t="str">
        <f ca="1">'(直掃)Change to adc mapping '!R116 &amp; ","</f>
        <v>9999,</v>
      </c>
      <c r="S52" t="str">
        <f ca="1">'(直掃)Change to adc mapping '!S116 &amp; ","</f>
        <v>9999,</v>
      </c>
      <c r="T52" t="str">
        <f ca="1">'(直掃)Change to adc mapping '!T116 &amp; ","</f>
        <v>9999,</v>
      </c>
      <c r="U52" t="str">
        <f ca="1">'(直掃)Change to adc mapping '!U116 &amp; ","</f>
        <v>9999,</v>
      </c>
      <c r="V52" t="str">
        <f ca="1">'(直掃)Change to adc mapping '!V116 &amp; ","</f>
        <v>9999,</v>
      </c>
      <c r="W52" t="str">
        <f ca="1">'(直掃)Change to adc mapping '!W116 &amp; ","</f>
        <v>9999,</v>
      </c>
      <c r="X52" t="str">
        <f ca="1">'(直掃)Change to adc mapping '!X116 &amp; ","</f>
        <v>9999,</v>
      </c>
      <c r="Y52" t="str">
        <f ca="1">IF('(直掃)Change to adc mapping '!Y116 &lt;&gt;-1,"0x" &amp; DEC2HEX('(直掃)Change to adc mapping '!Y116) &amp; ",",-1&amp; ",")</f>
        <v>-1,</v>
      </c>
      <c r="Z52" t="str">
        <f ca="1">IF('(直掃)Change to adc mapping '!Z116 &lt;&gt;-1,"0x" &amp; DEC2HEX('(直掃)Change to adc mapping '!Z116) &amp; ",",-1&amp; ",")</f>
        <v>-1,</v>
      </c>
      <c r="AA52" t="str">
        <f ca="1">IF('(直掃)Change to adc mapping '!AA116 &lt;&gt;-1,"0x" &amp; DEC2HEX('(直掃)Change to adc mapping '!AA116) &amp; ",",-1&amp; ",")</f>
        <v>-1,</v>
      </c>
      <c r="AB52" t="str">
        <f ca="1">IF('(直掃)Change to adc mapping '!AB116 &lt;&gt;-1,"0x" &amp; DEC2HEX('(直掃)Change to adc mapping '!AB116) &amp; ",",-1&amp; ",")</f>
        <v>-1,</v>
      </c>
      <c r="AC52" t="str">
        <f ca="1">IF('(直掃)Change to adc mapping '!AC116 &lt;&gt;-1,"0x" &amp; DEC2HEX('(直掃)Change to adc mapping '!AC116) &amp; ",",-1&amp; ",")</f>
        <v>-1,</v>
      </c>
      <c r="AD52" t="str">
        <f ca="1">IF('(直掃)Change to adc mapping '!AD116 &lt;&gt;-1,"0x" &amp; DEC2HEX('(直掃)Change to adc mapping '!AD116) &amp; ",",-1&amp; ",")</f>
        <v>-1,</v>
      </c>
      <c r="AE52" t="str">
        <f ca="1">IF('(直掃)Change to adc mapping '!AE116 &lt;&gt;-1,"0x" &amp; DEC2HEX('(直掃)Change to adc mapping '!AE116) &amp; ",",-1&amp; ",")</f>
        <v>-1,</v>
      </c>
      <c r="AF52" t="str">
        <f ca="1">IF('(直掃)Change to adc mapping '!AF116 &lt;&gt;-1,"0x" &amp; DEC2HEX('(直掃)Change to adc mapping '!AF116) &amp; ",",-1&amp; ",")</f>
        <v>0xEF,</v>
      </c>
      <c r="AG52" t="str">
        <f ca="1">IF('(直掃)Change to adc mapping '!AG116 &lt;&gt;-1,"0x" &amp; DEC2HEX('(直掃)Change to adc mapping '!AG116) &amp; ",",-1&amp; ",")</f>
        <v>0xEE,</v>
      </c>
      <c r="AH52" t="str">
        <f ca="1">IF('(直掃)Change to adc mapping '!AH116 &lt;&gt;-1,"0x" &amp; DEC2HEX('(直掃)Change to adc mapping '!AH116) &amp; ",",-1&amp; ",")</f>
        <v>0xED,</v>
      </c>
      <c r="AI52" t="str">
        <f ca="1">IF('(直掃)Change to adc mapping '!AI116 &lt;&gt;-1,"0x" &amp; DEC2HEX('(直掃)Change to adc mapping '!AI116) &amp; ",",-1&amp; ",")</f>
        <v>0xEC,</v>
      </c>
      <c r="AJ52" t="str">
        <f ca="1">IF('(直掃)Change to adc mapping '!AJ116 &lt;&gt;-1,"0x" &amp; DEC2HEX('(直掃)Change to adc mapping '!AJ116) &amp; ",",-1&amp; ",")</f>
        <v>0xEB,</v>
      </c>
      <c r="AK52" t="str">
        <f ca="1">IF('(直掃)Change to adc mapping '!AK116 &lt;&gt;-1,"0x" &amp; DEC2HEX('(直掃)Change to adc mapping '!AK116) &amp; ",",-1&amp; ",")</f>
        <v>0xEA,</v>
      </c>
      <c r="AL52" t="str">
        <f ca="1">IF('(直掃)Change to adc mapping '!AL116 &lt;&gt;-1,"0x" &amp; DEC2HEX('(直掃)Change to adc mapping '!AL116) &amp; ",",-1&amp; ",")</f>
        <v>0xE9,</v>
      </c>
      <c r="AM52" t="str">
        <f ca="1">IF('(直掃)Change to adc mapping '!AM116 &lt;&gt;-1,"0x" &amp; DEC2HEX('(直掃)Change to adc mapping '!AM116) &amp; ",",-1&amp; ",")</f>
        <v>0xE8,</v>
      </c>
      <c r="AN52" t="str">
        <f ca="1">IF('(直掃)Change to adc mapping '!AN116 &lt;&gt;-1,"0x" &amp; DEC2HEX('(直掃)Change to adc mapping '!AN116) &amp; ",",-1&amp; ",")</f>
        <v>0xE7,</v>
      </c>
      <c r="AO52" t="str">
        <f ca="1">IF('(直掃)Change to adc mapping '!AO116 &lt;&gt;-1,"0x" &amp; DEC2HEX('(直掃)Change to adc mapping '!AO116) &amp; ",",-1&amp; ",")</f>
        <v>0xE6,</v>
      </c>
      <c r="AP52" t="str">
        <f ca="1">IF('(直掃)Change to adc mapping '!AP116 &lt;&gt;-1,"0x" &amp; DEC2HEX('(直掃)Change to adc mapping '!AP116) &amp; ",",-1&amp; ",")</f>
        <v>0xE5,</v>
      </c>
      <c r="AQ52" t="str">
        <f ca="1">IF('(直掃)Change to adc mapping '!AQ116 &lt;&gt;-1,"0x" &amp; DEC2HEX('(直掃)Change to adc mapping '!AQ116) &amp; ",",-1&amp; ",")</f>
        <v>0xE4,</v>
      </c>
      <c r="AR52" t="str">
        <f ca="1">IF('(直掃)Change to adc mapping '!AR116 &lt;&gt;-1,"0x" &amp; DEC2HEX('(直掃)Change to adc mapping '!AR116) &amp; ",",-1&amp; ",")</f>
        <v>0xE3,</v>
      </c>
      <c r="AS52" t="str">
        <f ca="1">IF('(直掃)Change to adc mapping '!AS116 &lt;&gt;-1,"0x" &amp; DEC2HEX('(直掃)Change to adc mapping '!AS116) &amp; ",",-1&amp; ",")</f>
        <v>0xE2,</v>
      </c>
      <c r="AT52" t="str">
        <f ca="1">IF('(直掃)Change to adc mapping '!AT116 &lt;&gt;-1,"0x" &amp; DEC2HEX('(直掃)Change to adc mapping '!AT116) &amp; ",",-1&amp; ",")</f>
        <v>0xE1,</v>
      </c>
      <c r="AU52" t="str">
        <f ca="1">IF('(直掃)Change to adc mapping '!AU116 &lt;&gt;-1,"0x" &amp; DEC2HEX('(直掃)Change to adc mapping '!AU116) &amp; ",",-1&amp; ",")</f>
        <v>0xE0,</v>
      </c>
      <c r="AV52" t="str">
        <f ca="1">IF('(直掃)Change to adc mapping '!AV116 &lt;&gt;-1,"0x" &amp; DEC2HEX('(直掃)Change to adc mapping '!AV116) &amp; ",",-1&amp; ",")</f>
        <v>0xDF,</v>
      </c>
      <c r="AW52" t="str">
        <f ca="1">IF('(直掃)Change to adc mapping '!AW116 &lt;&gt;-1,"0x" &amp; DEC2HEX('(直掃)Change to adc mapping '!AW116) &amp; ",",-1&amp; ",")</f>
        <v>0xDE,</v>
      </c>
      <c r="AX52" t="str">
        <f ca="1">IF('(直掃)Change to adc mapping '!AX116 &lt;&gt;-1,"0x" &amp; DEC2HEX('(直掃)Change to adc mapping '!AX116) &amp; ",",-1&amp; ",")</f>
        <v>0xDD,</v>
      </c>
      <c r="AY52" t="str">
        <f ca="1">IF('(直掃)Change to adc mapping '!AY116 &lt;&gt;-1,"0x" &amp; DEC2HEX('(直掃)Change to adc mapping '!AY116) &amp; ",",-1&amp; ",")</f>
        <v>0xDC,</v>
      </c>
      <c r="AZ52" t="str">
        <f ca="1">IF('(直掃)Change to adc mapping '!AZ116 &lt;&gt;-1,"0x" &amp; DEC2HEX('(直掃)Change to adc mapping '!AZ116) &amp; ",",-1&amp; ",")</f>
        <v>0xDB,</v>
      </c>
      <c r="BA52" t="str">
        <f ca="1">IF('(直掃)Change to adc mapping '!BA116 &lt;&gt;-1,"0x" &amp; DEC2HEX('(直掃)Change to adc mapping '!BA116) &amp; ",",-1&amp; ",")</f>
        <v>0xDA,</v>
      </c>
      <c r="BB52" t="str">
        <f ca="1">IF('(直掃)Change to adc mapping '!BB116 &lt;&gt;-1,"0x" &amp; DEC2HEX('(直掃)Change to adc mapping '!BB116) &amp; ",",-1&amp; ",")</f>
        <v>0xD9,</v>
      </c>
      <c r="BC52" t="str">
        <f ca="1">IF('(直掃)Change to adc mapping '!BC116 &lt;&gt;-1,"0x" &amp; DEC2HEX('(直掃)Change to adc mapping '!BC116) &amp; ",",-1&amp; ",")</f>
        <v>0xD8,</v>
      </c>
      <c r="BD52" t="str">
        <f ca="1">IF('(直掃)Change to adc mapping '!BD116 &lt;&gt;-1,"0x" &amp; DEC2HEX('(直掃)Change to adc mapping '!BD116) &amp; ",",-1&amp; ",")</f>
        <v>0xD7,</v>
      </c>
      <c r="BE52" t="str">
        <f ca="1">IF('(直掃)Change to adc mapping '!BE116 &lt;&gt;-1,"0x" &amp; DEC2HEX('(直掃)Change to adc mapping '!BE116) &amp; ",",-1&amp; ",")</f>
        <v>0xD6,</v>
      </c>
      <c r="BF52" t="str">
        <f ca="1">IF('(直掃)Change to adc mapping '!BF116 &lt;&gt;-1,"0x" &amp; DEC2HEX('(直掃)Change to adc mapping '!BF116) &amp; ",",-1&amp; ",")</f>
        <v>0xD5,</v>
      </c>
      <c r="BG52" t="str">
        <f ca="1">IF('(直掃)Change to adc mapping '!BG116 &lt;&gt;-1,"0x" &amp; DEC2HEX('(直掃)Change to adc mapping '!BG116) &amp; ",",-1&amp; ",")</f>
        <v>0xD4,</v>
      </c>
      <c r="BH52" t="str">
        <f ca="1">IF('(直掃)Change to adc mapping '!BH116 &lt;&gt;-1,"0x" &amp; DEC2HEX('(直掃)Change to adc mapping '!BH116) &amp; ",",-1&amp; ",")</f>
        <v>0xD3,</v>
      </c>
      <c r="BI52" t="str">
        <f ca="1">IF('(直掃)Change to adc mapping '!BI116 &lt;&gt;-1,"0x" &amp; DEC2HEX('(直掃)Change to adc mapping '!BI116) &amp; ",",-1&amp; ",")</f>
        <v>0xD2,</v>
      </c>
    </row>
    <row r="53" spans="1:61" x14ac:dyDescent="0.25">
      <c r="A53" s="20">
        <v>52</v>
      </c>
      <c r="B53" t="str">
        <f ca="1">'(直掃)Change to adc mapping '!B117 &amp; ","</f>
        <v>9999,</v>
      </c>
      <c r="C53" t="str">
        <f ca="1">'(直掃)Change to adc mapping '!C117 &amp; ","</f>
        <v>9999,</v>
      </c>
      <c r="D53" t="str">
        <f ca="1">'(直掃)Change to adc mapping '!D117 &amp; ","</f>
        <v>9999,</v>
      </c>
      <c r="E53" t="str">
        <f ca="1">'(直掃)Change to adc mapping '!E117 &amp; ","</f>
        <v>9999,</v>
      </c>
      <c r="F53" t="str">
        <f ca="1">'(直掃)Change to adc mapping '!F117 &amp; ","</f>
        <v>9999,</v>
      </c>
      <c r="G53" t="str">
        <f ca="1">'(直掃)Change to adc mapping '!G117 &amp; ","</f>
        <v>9999,</v>
      </c>
      <c r="H53" t="str">
        <f ca="1">'(直掃)Change to adc mapping '!H117 &amp; ","</f>
        <v>9999,</v>
      </c>
      <c r="I53" t="str">
        <f ca="1">'(直掃)Change to adc mapping '!I117 &amp; ","</f>
        <v>9999,</v>
      </c>
      <c r="J53" t="str">
        <f ca="1">'(直掃)Change to adc mapping '!J117 &amp; ","</f>
        <v>9999,</v>
      </c>
      <c r="K53" t="str">
        <f ca="1">'(直掃)Change to adc mapping '!K117 &amp; ","</f>
        <v>9999,</v>
      </c>
      <c r="L53" t="str">
        <f ca="1">'(直掃)Change to adc mapping '!L117 &amp; ","</f>
        <v>9999,</v>
      </c>
      <c r="M53" t="str">
        <f ca="1">'(直掃)Change to adc mapping '!M117 &amp; ","</f>
        <v>9999,</v>
      </c>
      <c r="N53" t="str">
        <f ca="1">'(直掃)Change to adc mapping '!N117 &amp; ","</f>
        <v>9999,</v>
      </c>
      <c r="O53" t="str">
        <f ca="1">'(直掃)Change to adc mapping '!O117 &amp; ","</f>
        <v>9999,</v>
      </c>
      <c r="P53" t="str">
        <f ca="1">'(直掃)Change to adc mapping '!P117 &amp; ","</f>
        <v>9999,</v>
      </c>
      <c r="Q53" t="str">
        <f ca="1">'(直掃)Change to adc mapping '!Q117 &amp; ","</f>
        <v>9999,</v>
      </c>
      <c r="R53" t="str">
        <f ca="1">'(直掃)Change to adc mapping '!R117 &amp; ","</f>
        <v>9999,</v>
      </c>
      <c r="S53" t="str">
        <f ca="1">'(直掃)Change to adc mapping '!S117 &amp; ","</f>
        <v>9999,</v>
      </c>
      <c r="T53" t="str">
        <f ca="1">'(直掃)Change to adc mapping '!T117 &amp; ","</f>
        <v>9999,</v>
      </c>
      <c r="U53" t="str">
        <f ca="1">'(直掃)Change to adc mapping '!U117 &amp; ","</f>
        <v>9999,</v>
      </c>
      <c r="V53" t="str">
        <f ca="1">'(直掃)Change to adc mapping '!V117 &amp; ","</f>
        <v>9999,</v>
      </c>
      <c r="W53" t="str">
        <f ca="1">'(直掃)Change to adc mapping '!W117 &amp; ","</f>
        <v>9999,</v>
      </c>
      <c r="X53" t="str">
        <f ca="1">'(直掃)Change to adc mapping '!X117 &amp; ","</f>
        <v>9999,</v>
      </c>
      <c r="Y53" t="str">
        <f ca="1">IF('(直掃)Change to adc mapping '!Y117 &lt;&gt;-1,"0x" &amp; DEC2HEX('(直掃)Change to adc mapping '!Y117) &amp; ",",-1&amp; ",")</f>
        <v>-1,</v>
      </c>
      <c r="Z53" t="str">
        <f ca="1">IF('(直掃)Change to adc mapping '!Z117 &lt;&gt;-1,"0x" &amp; DEC2HEX('(直掃)Change to adc mapping '!Z117) &amp; ",",-1&amp; ",")</f>
        <v>-1,</v>
      </c>
      <c r="AA53" t="str">
        <f ca="1">IF('(直掃)Change to adc mapping '!AA117 &lt;&gt;-1,"0x" &amp; DEC2HEX('(直掃)Change to adc mapping '!AA117) &amp; ",",-1&amp; ",")</f>
        <v>-1,</v>
      </c>
      <c r="AB53" t="str">
        <f ca="1">IF('(直掃)Change to adc mapping '!AB117 &lt;&gt;-1,"0x" &amp; DEC2HEX('(直掃)Change to adc mapping '!AB117) &amp; ",",-1&amp; ",")</f>
        <v>-1,</v>
      </c>
      <c r="AC53" t="str">
        <f ca="1">IF('(直掃)Change to adc mapping '!AC117 &lt;&gt;-1,"0x" &amp; DEC2HEX('(直掃)Change to adc mapping '!AC117) &amp; ",",-1&amp; ",")</f>
        <v>-1,</v>
      </c>
      <c r="AD53" t="str">
        <f ca="1">IF('(直掃)Change to adc mapping '!AD117 &lt;&gt;-1,"0x" &amp; DEC2HEX('(直掃)Change to adc mapping '!AD117) &amp; ",",-1&amp; ",")</f>
        <v>-1,</v>
      </c>
      <c r="AE53" t="str">
        <f ca="1">IF('(直掃)Change to adc mapping '!AE117 &lt;&gt;-1,"0x" &amp; DEC2HEX('(直掃)Change to adc mapping '!AE117) &amp; ",",-1&amp; ",")</f>
        <v>-1,</v>
      </c>
      <c r="AF53" t="str">
        <f ca="1">IF('(直掃)Change to adc mapping '!AF117 &lt;&gt;-1,"0x" &amp; DEC2HEX('(直掃)Change to adc mapping '!AF117) &amp; ",",-1&amp; ",")</f>
        <v>0xD1,</v>
      </c>
      <c r="AG53" t="str">
        <f ca="1">IF('(直掃)Change to adc mapping '!AG117 &lt;&gt;-1,"0x" &amp; DEC2HEX('(直掃)Change to adc mapping '!AG117) &amp; ",",-1&amp; ",")</f>
        <v>0xD0,</v>
      </c>
      <c r="AH53" t="str">
        <f ca="1">IF('(直掃)Change to adc mapping '!AH117 &lt;&gt;-1,"0x" &amp; DEC2HEX('(直掃)Change to adc mapping '!AH117) &amp; ",",-1&amp; ",")</f>
        <v>0xCF,</v>
      </c>
      <c r="AI53" t="str">
        <f ca="1">IF('(直掃)Change to adc mapping '!AI117 &lt;&gt;-1,"0x" &amp; DEC2HEX('(直掃)Change to adc mapping '!AI117) &amp; ",",-1&amp; ",")</f>
        <v>0xCE,</v>
      </c>
      <c r="AJ53" t="str">
        <f ca="1">IF('(直掃)Change to adc mapping '!AJ117 &lt;&gt;-1,"0x" &amp; DEC2HEX('(直掃)Change to adc mapping '!AJ117) &amp; ",",-1&amp; ",")</f>
        <v>0xCD,</v>
      </c>
      <c r="AK53" t="str">
        <f ca="1">IF('(直掃)Change to adc mapping '!AK117 &lt;&gt;-1,"0x" &amp; DEC2HEX('(直掃)Change to adc mapping '!AK117) &amp; ",",-1&amp; ",")</f>
        <v>0xCC,</v>
      </c>
      <c r="AL53" t="str">
        <f ca="1">IF('(直掃)Change to adc mapping '!AL117 &lt;&gt;-1,"0x" &amp; DEC2HEX('(直掃)Change to adc mapping '!AL117) &amp; ",",-1&amp; ",")</f>
        <v>0xCB,</v>
      </c>
      <c r="AM53" t="str">
        <f ca="1">IF('(直掃)Change to adc mapping '!AM117 &lt;&gt;-1,"0x" &amp; DEC2HEX('(直掃)Change to adc mapping '!AM117) &amp; ",",-1&amp; ",")</f>
        <v>0xCA,</v>
      </c>
      <c r="AN53" t="str">
        <f ca="1">IF('(直掃)Change to adc mapping '!AN117 &lt;&gt;-1,"0x" &amp; DEC2HEX('(直掃)Change to adc mapping '!AN117) &amp; ",",-1&amp; ",")</f>
        <v>0xC9,</v>
      </c>
      <c r="AO53" t="str">
        <f ca="1">IF('(直掃)Change to adc mapping '!AO117 &lt;&gt;-1,"0x" &amp; DEC2HEX('(直掃)Change to adc mapping '!AO117) &amp; ",",-1&amp; ",")</f>
        <v>0xC8,</v>
      </c>
      <c r="AP53" t="str">
        <f ca="1">IF('(直掃)Change to adc mapping '!AP117 &lt;&gt;-1,"0x" &amp; DEC2HEX('(直掃)Change to adc mapping '!AP117) &amp; ",",-1&amp; ",")</f>
        <v>0xC7,</v>
      </c>
      <c r="AQ53" t="str">
        <f ca="1">IF('(直掃)Change to adc mapping '!AQ117 &lt;&gt;-1,"0x" &amp; DEC2HEX('(直掃)Change to adc mapping '!AQ117) &amp; ",",-1&amp; ",")</f>
        <v>0xC6,</v>
      </c>
      <c r="AR53" t="str">
        <f ca="1">IF('(直掃)Change to adc mapping '!AR117 &lt;&gt;-1,"0x" &amp; DEC2HEX('(直掃)Change to adc mapping '!AR117) &amp; ",",-1&amp; ",")</f>
        <v>0xC5,</v>
      </c>
      <c r="AS53" t="str">
        <f ca="1">IF('(直掃)Change to adc mapping '!AS117 &lt;&gt;-1,"0x" &amp; DEC2HEX('(直掃)Change to adc mapping '!AS117) &amp; ",",-1&amp; ",")</f>
        <v>0xC4,</v>
      </c>
      <c r="AT53" t="str">
        <f ca="1">IF('(直掃)Change to adc mapping '!AT117 &lt;&gt;-1,"0x" &amp; DEC2HEX('(直掃)Change to adc mapping '!AT117) &amp; ",",-1&amp; ",")</f>
        <v>0xC3,</v>
      </c>
      <c r="AU53" t="str">
        <f ca="1">IF('(直掃)Change to adc mapping '!AU117 &lt;&gt;-1,"0x" &amp; DEC2HEX('(直掃)Change to adc mapping '!AU117) &amp; ",",-1&amp; ",")</f>
        <v>0xC2,</v>
      </c>
      <c r="AV53" t="str">
        <f ca="1">IF('(直掃)Change to adc mapping '!AV117 &lt;&gt;-1,"0x" &amp; DEC2HEX('(直掃)Change to adc mapping '!AV117) &amp; ",",-1&amp; ",")</f>
        <v>0xC1,</v>
      </c>
      <c r="AW53" t="str">
        <f ca="1">IF('(直掃)Change to adc mapping '!AW117 &lt;&gt;-1,"0x" &amp; DEC2HEX('(直掃)Change to adc mapping '!AW117) &amp; ",",-1&amp; ",")</f>
        <v>0xC0,</v>
      </c>
      <c r="AX53" t="str">
        <f ca="1">IF('(直掃)Change to adc mapping '!AX117 &lt;&gt;-1,"0x" &amp; DEC2HEX('(直掃)Change to adc mapping '!AX117) &amp; ",",-1&amp; ",")</f>
        <v>0xBF,</v>
      </c>
      <c r="AY53" t="str">
        <f ca="1">IF('(直掃)Change to adc mapping '!AY117 &lt;&gt;-1,"0x" &amp; DEC2HEX('(直掃)Change to adc mapping '!AY117) &amp; ",",-1&amp; ",")</f>
        <v>0xBE,</v>
      </c>
      <c r="AZ53" t="str">
        <f ca="1">IF('(直掃)Change to adc mapping '!AZ117 &lt;&gt;-1,"0x" &amp; DEC2HEX('(直掃)Change to adc mapping '!AZ117) &amp; ",",-1&amp; ",")</f>
        <v>0xBD,</v>
      </c>
      <c r="BA53" t="str">
        <f ca="1">IF('(直掃)Change to adc mapping '!BA117 &lt;&gt;-1,"0x" &amp; DEC2HEX('(直掃)Change to adc mapping '!BA117) &amp; ",",-1&amp; ",")</f>
        <v>0xBC,</v>
      </c>
      <c r="BB53" t="str">
        <f ca="1">IF('(直掃)Change to adc mapping '!BB117 &lt;&gt;-1,"0x" &amp; DEC2HEX('(直掃)Change to adc mapping '!BB117) &amp; ",",-1&amp; ",")</f>
        <v>0xBB,</v>
      </c>
      <c r="BC53" t="str">
        <f ca="1">IF('(直掃)Change to adc mapping '!BC117 &lt;&gt;-1,"0x" &amp; DEC2HEX('(直掃)Change to adc mapping '!BC117) &amp; ",",-1&amp; ",")</f>
        <v>0xBA,</v>
      </c>
      <c r="BD53" t="str">
        <f ca="1">IF('(直掃)Change to adc mapping '!BD117 &lt;&gt;-1,"0x" &amp; DEC2HEX('(直掃)Change to adc mapping '!BD117) &amp; ",",-1&amp; ",")</f>
        <v>0xB9,</v>
      </c>
      <c r="BE53" t="str">
        <f ca="1">IF('(直掃)Change to adc mapping '!BE117 &lt;&gt;-1,"0x" &amp; DEC2HEX('(直掃)Change to adc mapping '!BE117) &amp; ",",-1&amp; ",")</f>
        <v>0xB8,</v>
      </c>
      <c r="BF53" t="str">
        <f ca="1">IF('(直掃)Change to adc mapping '!BF117 &lt;&gt;-1,"0x" &amp; DEC2HEX('(直掃)Change to adc mapping '!BF117) &amp; ",",-1&amp; ",")</f>
        <v>0xB7,</v>
      </c>
      <c r="BG53" t="str">
        <f ca="1">IF('(直掃)Change to adc mapping '!BG117 &lt;&gt;-1,"0x" &amp; DEC2HEX('(直掃)Change to adc mapping '!BG117) &amp; ",",-1&amp; ",")</f>
        <v>0xB6,</v>
      </c>
      <c r="BH53" t="str">
        <f ca="1">IF('(直掃)Change to adc mapping '!BH117 &lt;&gt;-1,"0x" &amp; DEC2HEX('(直掃)Change to adc mapping '!BH117) &amp; ",",-1&amp; ",")</f>
        <v>0xB5,</v>
      </c>
      <c r="BI53" t="str">
        <f ca="1">IF('(直掃)Change to adc mapping '!BI117 &lt;&gt;-1,"0x" &amp; DEC2HEX('(直掃)Change to adc mapping '!BI117) &amp; ",",-1&amp; ",")</f>
        <v>0xB4,</v>
      </c>
    </row>
    <row r="54" spans="1:61" x14ac:dyDescent="0.25">
      <c r="A54" s="20">
        <v>53</v>
      </c>
      <c r="B54" t="str">
        <f ca="1">'(直掃)Change to adc mapping '!B118 &amp; ","</f>
        <v>9999,</v>
      </c>
      <c r="C54" t="str">
        <f ca="1">'(直掃)Change to adc mapping '!C118 &amp; ","</f>
        <v>9999,</v>
      </c>
      <c r="D54" t="str">
        <f ca="1">'(直掃)Change to adc mapping '!D118 &amp; ","</f>
        <v>9999,</v>
      </c>
      <c r="E54" t="str">
        <f ca="1">'(直掃)Change to adc mapping '!E118 &amp; ","</f>
        <v>9999,</v>
      </c>
      <c r="F54" t="str">
        <f ca="1">'(直掃)Change to adc mapping '!F118 &amp; ","</f>
        <v>9999,</v>
      </c>
      <c r="G54" t="str">
        <f ca="1">'(直掃)Change to adc mapping '!G118 &amp; ","</f>
        <v>9999,</v>
      </c>
      <c r="H54" t="str">
        <f ca="1">'(直掃)Change to adc mapping '!H118 &amp; ","</f>
        <v>9999,</v>
      </c>
      <c r="I54" t="str">
        <f ca="1">'(直掃)Change to adc mapping '!I118 &amp; ","</f>
        <v>9999,</v>
      </c>
      <c r="J54" t="str">
        <f ca="1">'(直掃)Change to adc mapping '!J118 &amp; ","</f>
        <v>9999,</v>
      </c>
      <c r="K54" t="str">
        <f ca="1">'(直掃)Change to adc mapping '!K118 &amp; ","</f>
        <v>9999,</v>
      </c>
      <c r="L54" t="str">
        <f ca="1">'(直掃)Change to adc mapping '!L118 &amp; ","</f>
        <v>9999,</v>
      </c>
      <c r="M54" t="str">
        <f ca="1">'(直掃)Change to adc mapping '!M118 &amp; ","</f>
        <v>9999,</v>
      </c>
      <c r="N54" t="str">
        <f ca="1">'(直掃)Change to adc mapping '!N118 &amp; ","</f>
        <v>9999,</v>
      </c>
      <c r="O54" t="str">
        <f ca="1">'(直掃)Change to adc mapping '!O118 &amp; ","</f>
        <v>9999,</v>
      </c>
      <c r="P54" t="str">
        <f ca="1">'(直掃)Change to adc mapping '!P118 &amp; ","</f>
        <v>9999,</v>
      </c>
      <c r="Q54" t="str">
        <f ca="1">'(直掃)Change to adc mapping '!Q118 &amp; ","</f>
        <v>9999,</v>
      </c>
      <c r="R54" t="str">
        <f ca="1">'(直掃)Change to adc mapping '!R118 &amp; ","</f>
        <v>9999,</v>
      </c>
      <c r="S54" t="str">
        <f ca="1">'(直掃)Change to adc mapping '!S118 &amp; ","</f>
        <v>9999,</v>
      </c>
      <c r="T54" t="str">
        <f ca="1">'(直掃)Change to adc mapping '!T118 &amp; ","</f>
        <v>9999,</v>
      </c>
      <c r="U54" t="str">
        <f ca="1">'(直掃)Change to adc mapping '!U118 &amp; ","</f>
        <v>9999,</v>
      </c>
      <c r="V54" t="str">
        <f ca="1">'(直掃)Change to adc mapping '!V118 &amp; ","</f>
        <v>9999,</v>
      </c>
      <c r="W54" t="str">
        <f ca="1">'(直掃)Change to adc mapping '!W118 &amp; ","</f>
        <v>9999,</v>
      </c>
      <c r="X54" t="str">
        <f ca="1">'(直掃)Change to adc mapping '!X118 &amp; ","</f>
        <v>9999,</v>
      </c>
      <c r="Y54" t="str">
        <f ca="1">IF('(直掃)Change to adc mapping '!Y118 &lt;&gt;-1,"0x" &amp; DEC2HEX('(直掃)Change to adc mapping '!Y118) &amp; ",",-1&amp; ",")</f>
        <v>-1,</v>
      </c>
      <c r="Z54" t="str">
        <f ca="1">IF('(直掃)Change to adc mapping '!Z118 &lt;&gt;-1,"0x" &amp; DEC2HEX('(直掃)Change to adc mapping '!Z118) &amp; ",",-1&amp; ",")</f>
        <v>-1,</v>
      </c>
      <c r="AA54" t="str">
        <f ca="1">IF('(直掃)Change to adc mapping '!AA118 &lt;&gt;-1,"0x" &amp; DEC2HEX('(直掃)Change to adc mapping '!AA118) &amp; ",",-1&amp; ",")</f>
        <v>-1,</v>
      </c>
      <c r="AB54" t="str">
        <f ca="1">IF('(直掃)Change to adc mapping '!AB118 &lt;&gt;-1,"0x" &amp; DEC2HEX('(直掃)Change to adc mapping '!AB118) &amp; ",",-1&amp; ",")</f>
        <v>-1,</v>
      </c>
      <c r="AC54" t="str">
        <f ca="1">IF('(直掃)Change to adc mapping '!AC118 &lt;&gt;-1,"0x" &amp; DEC2HEX('(直掃)Change to adc mapping '!AC118) &amp; ",",-1&amp; ",")</f>
        <v>-1,</v>
      </c>
      <c r="AD54" t="str">
        <f ca="1">IF('(直掃)Change to adc mapping '!AD118 &lt;&gt;-1,"0x" &amp; DEC2HEX('(直掃)Change to adc mapping '!AD118) &amp; ",",-1&amp; ",")</f>
        <v>-1,</v>
      </c>
      <c r="AE54" t="str">
        <f ca="1">IF('(直掃)Change to adc mapping '!AE118 &lt;&gt;-1,"0x" &amp; DEC2HEX('(直掃)Change to adc mapping '!AE118) &amp; ",",-1&amp; ",")</f>
        <v>-1,</v>
      </c>
      <c r="AF54" t="str">
        <f ca="1">IF('(直掃)Change to adc mapping '!AF118 &lt;&gt;-1,"0x" &amp; DEC2HEX('(直掃)Change to adc mapping '!AF118) &amp; ",",-1&amp; ",")</f>
        <v>0xB3,</v>
      </c>
      <c r="AG54" t="str">
        <f ca="1">IF('(直掃)Change to adc mapping '!AG118 &lt;&gt;-1,"0x" &amp; DEC2HEX('(直掃)Change to adc mapping '!AG118) &amp; ",",-1&amp; ",")</f>
        <v>0xB2,</v>
      </c>
      <c r="AH54" t="str">
        <f ca="1">IF('(直掃)Change to adc mapping '!AH118 &lt;&gt;-1,"0x" &amp; DEC2HEX('(直掃)Change to adc mapping '!AH118) &amp; ",",-1&amp; ",")</f>
        <v>0xB1,</v>
      </c>
      <c r="AI54" t="str">
        <f ca="1">IF('(直掃)Change to adc mapping '!AI118 &lt;&gt;-1,"0x" &amp; DEC2HEX('(直掃)Change to adc mapping '!AI118) &amp; ",",-1&amp; ",")</f>
        <v>0xB0,</v>
      </c>
      <c r="AJ54" t="str">
        <f ca="1">IF('(直掃)Change to adc mapping '!AJ118 &lt;&gt;-1,"0x" &amp; DEC2HEX('(直掃)Change to adc mapping '!AJ118) &amp; ",",-1&amp; ",")</f>
        <v>0xAF,</v>
      </c>
      <c r="AK54" t="str">
        <f ca="1">IF('(直掃)Change to adc mapping '!AK118 &lt;&gt;-1,"0x" &amp; DEC2HEX('(直掃)Change to adc mapping '!AK118) &amp; ",",-1&amp; ",")</f>
        <v>0xAE,</v>
      </c>
      <c r="AL54" t="str">
        <f ca="1">IF('(直掃)Change to adc mapping '!AL118 &lt;&gt;-1,"0x" &amp; DEC2HEX('(直掃)Change to adc mapping '!AL118) &amp; ",",-1&amp; ",")</f>
        <v>0xAD,</v>
      </c>
      <c r="AM54" t="str">
        <f ca="1">IF('(直掃)Change to adc mapping '!AM118 &lt;&gt;-1,"0x" &amp; DEC2HEX('(直掃)Change to adc mapping '!AM118) &amp; ",",-1&amp; ",")</f>
        <v>0xAC,</v>
      </c>
      <c r="AN54" t="str">
        <f ca="1">IF('(直掃)Change to adc mapping '!AN118 &lt;&gt;-1,"0x" &amp; DEC2HEX('(直掃)Change to adc mapping '!AN118) &amp; ",",-1&amp; ",")</f>
        <v>0xAB,</v>
      </c>
      <c r="AO54" t="str">
        <f ca="1">IF('(直掃)Change to adc mapping '!AO118 &lt;&gt;-1,"0x" &amp; DEC2HEX('(直掃)Change to adc mapping '!AO118) &amp; ",",-1&amp; ",")</f>
        <v>0xAA,</v>
      </c>
      <c r="AP54" t="str">
        <f ca="1">IF('(直掃)Change to adc mapping '!AP118 &lt;&gt;-1,"0x" &amp; DEC2HEX('(直掃)Change to adc mapping '!AP118) &amp; ",",-1&amp; ",")</f>
        <v>0xA9,</v>
      </c>
      <c r="AQ54" t="str">
        <f ca="1">IF('(直掃)Change to adc mapping '!AQ118 &lt;&gt;-1,"0x" &amp; DEC2HEX('(直掃)Change to adc mapping '!AQ118) &amp; ",",-1&amp; ",")</f>
        <v>0xA8,</v>
      </c>
      <c r="AR54" t="str">
        <f ca="1">IF('(直掃)Change to adc mapping '!AR118 &lt;&gt;-1,"0x" &amp; DEC2HEX('(直掃)Change to adc mapping '!AR118) &amp; ",",-1&amp; ",")</f>
        <v>0xA7,</v>
      </c>
      <c r="AS54" t="str">
        <f ca="1">IF('(直掃)Change to adc mapping '!AS118 &lt;&gt;-1,"0x" &amp; DEC2HEX('(直掃)Change to adc mapping '!AS118) &amp; ",",-1&amp; ",")</f>
        <v>0xA6,</v>
      </c>
      <c r="AT54" t="str">
        <f ca="1">IF('(直掃)Change to adc mapping '!AT118 &lt;&gt;-1,"0x" &amp; DEC2HEX('(直掃)Change to adc mapping '!AT118) &amp; ",",-1&amp; ",")</f>
        <v>0xA5,</v>
      </c>
      <c r="AU54" t="str">
        <f ca="1">IF('(直掃)Change to adc mapping '!AU118 &lt;&gt;-1,"0x" &amp; DEC2HEX('(直掃)Change to adc mapping '!AU118) &amp; ",",-1&amp; ",")</f>
        <v>0xA4,</v>
      </c>
      <c r="AV54" t="str">
        <f ca="1">IF('(直掃)Change to adc mapping '!AV118 &lt;&gt;-1,"0x" &amp; DEC2HEX('(直掃)Change to adc mapping '!AV118) &amp; ",",-1&amp; ",")</f>
        <v>0xA3,</v>
      </c>
      <c r="AW54" t="str">
        <f ca="1">IF('(直掃)Change to adc mapping '!AW118 &lt;&gt;-1,"0x" &amp; DEC2HEX('(直掃)Change to adc mapping '!AW118) &amp; ",",-1&amp; ",")</f>
        <v>0xA2,</v>
      </c>
      <c r="AX54" t="str">
        <f ca="1">IF('(直掃)Change to adc mapping '!AX118 &lt;&gt;-1,"0x" &amp; DEC2HEX('(直掃)Change to adc mapping '!AX118) &amp; ",",-1&amp; ",")</f>
        <v>0xA1,</v>
      </c>
      <c r="AY54" t="str">
        <f ca="1">IF('(直掃)Change to adc mapping '!AY118 &lt;&gt;-1,"0x" &amp; DEC2HEX('(直掃)Change to adc mapping '!AY118) &amp; ",",-1&amp; ",")</f>
        <v>0xA0,</v>
      </c>
      <c r="AZ54" t="str">
        <f ca="1">IF('(直掃)Change to adc mapping '!AZ118 &lt;&gt;-1,"0x" &amp; DEC2HEX('(直掃)Change to adc mapping '!AZ118) &amp; ",",-1&amp; ",")</f>
        <v>0x9F,</v>
      </c>
      <c r="BA54" t="str">
        <f ca="1">IF('(直掃)Change to adc mapping '!BA118 &lt;&gt;-1,"0x" &amp; DEC2HEX('(直掃)Change to adc mapping '!BA118) &amp; ",",-1&amp; ",")</f>
        <v>0x9E,</v>
      </c>
      <c r="BB54" t="str">
        <f ca="1">IF('(直掃)Change to adc mapping '!BB118 &lt;&gt;-1,"0x" &amp; DEC2HEX('(直掃)Change to adc mapping '!BB118) &amp; ",",-1&amp; ",")</f>
        <v>0x9D,</v>
      </c>
      <c r="BC54" t="str">
        <f ca="1">IF('(直掃)Change to adc mapping '!BC118 &lt;&gt;-1,"0x" &amp; DEC2HEX('(直掃)Change to adc mapping '!BC118) &amp; ",",-1&amp; ",")</f>
        <v>0x9C,</v>
      </c>
      <c r="BD54" t="str">
        <f ca="1">IF('(直掃)Change to adc mapping '!BD118 &lt;&gt;-1,"0x" &amp; DEC2HEX('(直掃)Change to adc mapping '!BD118) &amp; ",",-1&amp; ",")</f>
        <v>0x9B,</v>
      </c>
      <c r="BE54" t="str">
        <f ca="1">IF('(直掃)Change to adc mapping '!BE118 &lt;&gt;-1,"0x" &amp; DEC2HEX('(直掃)Change to adc mapping '!BE118) &amp; ",",-1&amp; ",")</f>
        <v>0x9A,</v>
      </c>
      <c r="BF54" t="str">
        <f ca="1">IF('(直掃)Change to adc mapping '!BF118 &lt;&gt;-1,"0x" &amp; DEC2HEX('(直掃)Change to adc mapping '!BF118) &amp; ",",-1&amp; ",")</f>
        <v>0x99,</v>
      </c>
      <c r="BG54" t="str">
        <f ca="1">IF('(直掃)Change to adc mapping '!BG118 &lt;&gt;-1,"0x" &amp; DEC2HEX('(直掃)Change to adc mapping '!BG118) &amp; ",",-1&amp; ",")</f>
        <v>0x98,</v>
      </c>
      <c r="BH54" t="str">
        <f ca="1">IF('(直掃)Change to adc mapping '!BH118 &lt;&gt;-1,"0x" &amp; DEC2HEX('(直掃)Change to adc mapping '!BH118) &amp; ",",-1&amp; ",")</f>
        <v>0x97,</v>
      </c>
      <c r="BI54" t="str">
        <f ca="1">IF('(直掃)Change to adc mapping '!BI118 &lt;&gt;-1,"0x" &amp; DEC2HEX('(直掃)Change to adc mapping '!BI118) &amp; ",",-1&amp; ",")</f>
        <v>0x96,</v>
      </c>
    </row>
    <row r="55" spans="1:61" x14ac:dyDescent="0.25">
      <c r="A55" s="20">
        <v>54</v>
      </c>
      <c r="B55" t="str">
        <f ca="1">'(直掃)Change to adc mapping '!B119 &amp; ","</f>
        <v>9999,</v>
      </c>
      <c r="C55" t="str">
        <f ca="1">'(直掃)Change to adc mapping '!C119 &amp; ","</f>
        <v>9999,</v>
      </c>
      <c r="D55" t="str">
        <f ca="1">'(直掃)Change to adc mapping '!D119 &amp; ","</f>
        <v>9999,</v>
      </c>
      <c r="E55" t="str">
        <f ca="1">'(直掃)Change to adc mapping '!E119 &amp; ","</f>
        <v>9999,</v>
      </c>
      <c r="F55" t="str">
        <f ca="1">'(直掃)Change to adc mapping '!F119 &amp; ","</f>
        <v>9999,</v>
      </c>
      <c r="G55" t="str">
        <f ca="1">'(直掃)Change to adc mapping '!G119 &amp; ","</f>
        <v>9999,</v>
      </c>
      <c r="H55" t="str">
        <f ca="1">'(直掃)Change to adc mapping '!H119 &amp; ","</f>
        <v>9999,</v>
      </c>
      <c r="I55" t="str">
        <f ca="1">'(直掃)Change to adc mapping '!I119 &amp; ","</f>
        <v>9999,</v>
      </c>
      <c r="J55" t="str">
        <f ca="1">'(直掃)Change to adc mapping '!J119 &amp; ","</f>
        <v>9999,</v>
      </c>
      <c r="K55" t="str">
        <f ca="1">'(直掃)Change to adc mapping '!K119 &amp; ","</f>
        <v>9999,</v>
      </c>
      <c r="L55" t="str">
        <f ca="1">'(直掃)Change to adc mapping '!L119 &amp; ","</f>
        <v>9999,</v>
      </c>
      <c r="M55" t="str">
        <f ca="1">'(直掃)Change to adc mapping '!M119 &amp; ","</f>
        <v>9999,</v>
      </c>
      <c r="N55" t="str">
        <f ca="1">'(直掃)Change to adc mapping '!N119 &amp; ","</f>
        <v>9999,</v>
      </c>
      <c r="O55" t="str">
        <f ca="1">'(直掃)Change to adc mapping '!O119 &amp; ","</f>
        <v>9999,</v>
      </c>
      <c r="P55" t="str">
        <f ca="1">'(直掃)Change to adc mapping '!P119 &amp; ","</f>
        <v>9999,</v>
      </c>
      <c r="Q55" t="str">
        <f ca="1">'(直掃)Change to adc mapping '!Q119 &amp; ","</f>
        <v>9999,</v>
      </c>
      <c r="R55" t="str">
        <f ca="1">'(直掃)Change to adc mapping '!R119 &amp; ","</f>
        <v>9999,</v>
      </c>
      <c r="S55" t="str">
        <f ca="1">'(直掃)Change to adc mapping '!S119 &amp; ","</f>
        <v>9999,</v>
      </c>
      <c r="T55" t="str">
        <f ca="1">'(直掃)Change to adc mapping '!T119 &amp; ","</f>
        <v>9999,</v>
      </c>
      <c r="U55" t="str">
        <f ca="1">'(直掃)Change to adc mapping '!U119 &amp; ","</f>
        <v>9999,</v>
      </c>
      <c r="V55" t="str">
        <f ca="1">'(直掃)Change to adc mapping '!V119 &amp; ","</f>
        <v>9999,</v>
      </c>
      <c r="W55" t="str">
        <f ca="1">'(直掃)Change to adc mapping '!W119 &amp; ","</f>
        <v>9999,</v>
      </c>
      <c r="X55" t="str">
        <f ca="1">'(直掃)Change to adc mapping '!X119 &amp; ","</f>
        <v>9999,</v>
      </c>
      <c r="Y55" t="str">
        <f ca="1">IF('(直掃)Change to adc mapping '!Y119 &lt;&gt;-1,"0x" &amp; DEC2HEX('(直掃)Change to adc mapping '!Y119) &amp; ",",-1&amp; ",")</f>
        <v>-1,</v>
      </c>
      <c r="Z55" t="str">
        <f ca="1">IF('(直掃)Change to adc mapping '!Z119 &lt;&gt;-1,"0x" &amp; DEC2HEX('(直掃)Change to adc mapping '!Z119) &amp; ",",-1&amp; ",")</f>
        <v>-1,</v>
      </c>
      <c r="AA55" t="str">
        <f ca="1">IF('(直掃)Change to adc mapping '!AA119 &lt;&gt;-1,"0x" &amp; DEC2HEX('(直掃)Change to adc mapping '!AA119) &amp; ",",-1&amp; ",")</f>
        <v>-1,</v>
      </c>
      <c r="AB55" t="str">
        <f ca="1">IF('(直掃)Change to adc mapping '!AB119 &lt;&gt;-1,"0x" &amp; DEC2HEX('(直掃)Change to adc mapping '!AB119) &amp; ",",-1&amp; ",")</f>
        <v>-1,</v>
      </c>
      <c r="AC55" t="str">
        <f ca="1">IF('(直掃)Change to adc mapping '!AC119 &lt;&gt;-1,"0x" &amp; DEC2HEX('(直掃)Change to adc mapping '!AC119) &amp; ",",-1&amp; ",")</f>
        <v>-1,</v>
      </c>
      <c r="AD55" t="str">
        <f ca="1">IF('(直掃)Change to adc mapping '!AD119 &lt;&gt;-1,"0x" &amp; DEC2HEX('(直掃)Change to adc mapping '!AD119) &amp; ",",-1&amp; ",")</f>
        <v>-1,</v>
      </c>
      <c r="AE55" t="str">
        <f ca="1">IF('(直掃)Change to adc mapping '!AE119 &lt;&gt;-1,"0x" &amp; DEC2HEX('(直掃)Change to adc mapping '!AE119) &amp; ",",-1&amp; ",")</f>
        <v>-1,</v>
      </c>
      <c r="AF55" t="str">
        <f ca="1">IF('(直掃)Change to adc mapping '!AF119 &lt;&gt;-1,"0x" &amp; DEC2HEX('(直掃)Change to adc mapping '!AF119) &amp; ",",-1&amp; ",")</f>
        <v>0x95,</v>
      </c>
      <c r="AG55" t="str">
        <f ca="1">IF('(直掃)Change to adc mapping '!AG119 &lt;&gt;-1,"0x" &amp; DEC2HEX('(直掃)Change to adc mapping '!AG119) &amp; ",",-1&amp; ",")</f>
        <v>0x94,</v>
      </c>
      <c r="AH55" t="str">
        <f ca="1">IF('(直掃)Change to adc mapping '!AH119 &lt;&gt;-1,"0x" &amp; DEC2HEX('(直掃)Change to adc mapping '!AH119) &amp; ",",-1&amp; ",")</f>
        <v>0x93,</v>
      </c>
      <c r="AI55" t="str">
        <f ca="1">IF('(直掃)Change to adc mapping '!AI119 &lt;&gt;-1,"0x" &amp; DEC2HEX('(直掃)Change to adc mapping '!AI119) &amp; ",",-1&amp; ",")</f>
        <v>0x92,</v>
      </c>
      <c r="AJ55" t="str">
        <f ca="1">IF('(直掃)Change to adc mapping '!AJ119 &lt;&gt;-1,"0x" &amp; DEC2HEX('(直掃)Change to adc mapping '!AJ119) &amp; ",",-1&amp; ",")</f>
        <v>0x91,</v>
      </c>
      <c r="AK55" t="str">
        <f ca="1">IF('(直掃)Change to adc mapping '!AK119 &lt;&gt;-1,"0x" &amp; DEC2HEX('(直掃)Change to adc mapping '!AK119) &amp; ",",-1&amp; ",")</f>
        <v>0x90,</v>
      </c>
      <c r="AL55" t="str">
        <f ca="1">IF('(直掃)Change to adc mapping '!AL119 &lt;&gt;-1,"0x" &amp; DEC2HEX('(直掃)Change to adc mapping '!AL119) &amp; ",",-1&amp; ",")</f>
        <v>0x8F,</v>
      </c>
      <c r="AM55" t="str">
        <f ca="1">IF('(直掃)Change to adc mapping '!AM119 &lt;&gt;-1,"0x" &amp; DEC2HEX('(直掃)Change to adc mapping '!AM119) &amp; ",",-1&amp; ",")</f>
        <v>0x8E,</v>
      </c>
      <c r="AN55" t="str">
        <f ca="1">IF('(直掃)Change to adc mapping '!AN119 &lt;&gt;-1,"0x" &amp; DEC2HEX('(直掃)Change to adc mapping '!AN119) &amp; ",",-1&amp; ",")</f>
        <v>0x8D,</v>
      </c>
      <c r="AO55" t="str">
        <f ca="1">IF('(直掃)Change to adc mapping '!AO119 &lt;&gt;-1,"0x" &amp; DEC2HEX('(直掃)Change to adc mapping '!AO119) &amp; ",",-1&amp; ",")</f>
        <v>0x8C,</v>
      </c>
      <c r="AP55" t="str">
        <f ca="1">IF('(直掃)Change to adc mapping '!AP119 &lt;&gt;-1,"0x" &amp; DEC2HEX('(直掃)Change to adc mapping '!AP119) &amp; ",",-1&amp; ",")</f>
        <v>0x8B,</v>
      </c>
      <c r="AQ55" t="str">
        <f ca="1">IF('(直掃)Change to adc mapping '!AQ119 &lt;&gt;-1,"0x" &amp; DEC2HEX('(直掃)Change to adc mapping '!AQ119) &amp; ",",-1&amp; ",")</f>
        <v>0x8A,</v>
      </c>
      <c r="AR55" t="str">
        <f ca="1">IF('(直掃)Change to adc mapping '!AR119 &lt;&gt;-1,"0x" &amp; DEC2HEX('(直掃)Change to adc mapping '!AR119) &amp; ",",-1&amp; ",")</f>
        <v>0x89,</v>
      </c>
      <c r="AS55" t="str">
        <f ca="1">IF('(直掃)Change to adc mapping '!AS119 &lt;&gt;-1,"0x" &amp; DEC2HEX('(直掃)Change to adc mapping '!AS119) &amp; ",",-1&amp; ",")</f>
        <v>0x88,</v>
      </c>
      <c r="AT55" t="str">
        <f ca="1">IF('(直掃)Change to adc mapping '!AT119 &lt;&gt;-1,"0x" &amp; DEC2HEX('(直掃)Change to adc mapping '!AT119) &amp; ",",-1&amp; ",")</f>
        <v>0x87,</v>
      </c>
      <c r="AU55" t="str">
        <f ca="1">IF('(直掃)Change to adc mapping '!AU119 &lt;&gt;-1,"0x" &amp; DEC2HEX('(直掃)Change to adc mapping '!AU119) &amp; ",",-1&amp; ",")</f>
        <v>0x86,</v>
      </c>
      <c r="AV55" t="str">
        <f ca="1">IF('(直掃)Change to adc mapping '!AV119 &lt;&gt;-1,"0x" &amp; DEC2HEX('(直掃)Change to adc mapping '!AV119) &amp; ",",-1&amp; ",")</f>
        <v>0x85,</v>
      </c>
      <c r="AW55" t="str">
        <f ca="1">IF('(直掃)Change to adc mapping '!AW119 &lt;&gt;-1,"0x" &amp; DEC2HEX('(直掃)Change to adc mapping '!AW119) &amp; ",",-1&amp; ",")</f>
        <v>0x84,</v>
      </c>
      <c r="AX55" t="str">
        <f ca="1">IF('(直掃)Change to adc mapping '!AX119 &lt;&gt;-1,"0x" &amp; DEC2HEX('(直掃)Change to adc mapping '!AX119) &amp; ",",-1&amp; ",")</f>
        <v>0x83,</v>
      </c>
      <c r="AY55" t="str">
        <f ca="1">IF('(直掃)Change to adc mapping '!AY119 &lt;&gt;-1,"0x" &amp; DEC2HEX('(直掃)Change to adc mapping '!AY119) &amp; ",",-1&amp; ",")</f>
        <v>0x82,</v>
      </c>
      <c r="AZ55" t="str">
        <f ca="1">IF('(直掃)Change to adc mapping '!AZ119 &lt;&gt;-1,"0x" &amp; DEC2HEX('(直掃)Change to adc mapping '!AZ119) &amp; ",",-1&amp; ",")</f>
        <v>0x81,</v>
      </c>
      <c r="BA55" t="str">
        <f ca="1">IF('(直掃)Change to adc mapping '!BA119 &lt;&gt;-1,"0x" &amp; DEC2HEX('(直掃)Change to adc mapping '!BA119) &amp; ",",-1&amp; ",")</f>
        <v>0x80,</v>
      </c>
      <c r="BB55" t="str">
        <f ca="1">IF('(直掃)Change to adc mapping '!BB119 &lt;&gt;-1,"0x" &amp; DEC2HEX('(直掃)Change to adc mapping '!BB119) &amp; ",",-1&amp; ",")</f>
        <v>0x7F,</v>
      </c>
      <c r="BC55" t="str">
        <f ca="1">IF('(直掃)Change to adc mapping '!BC119 &lt;&gt;-1,"0x" &amp; DEC2HEX('(直掃)Change to adc mapping '!BC119) &amp; ",",-1&amp; ",")</f>
        <v>0x7E,</v>
      </c>
      <c r="BD55" t="str">
        <f ca="1">IF('(直掃)Change to adc mapping '!BD119 &lt;&gt;-1,"0x" &amp; DEC2HEX('(直掃)Change to adc mapping '!BD119) &amp; ",",-1&amp; ",")</f>
        <v>0x7D,</v>
      </c>
      <c r="BE55" t="str">
        <f ca="1">IF('(直掃)Change to adc mapping '!BE119 &lt;&gt;-1,"0x" &amp; DEC2HEX('(直掃)Change to adc mapping '!BE119) &amp; ",",-1&amp; ",")</f>
        <v>0x7C,</v>
      </c>
      <c r="BF55" t="str">
        <f ca="1">IF('(直掃)Change to adc mapping '!BF119 &lt;&gt;-1,"0x" &amp; DEC2HEX('(直掃)Change to adc mapping '!BF119) &amp; ",",-1&amp; ",")</f>
        <v>0x7B,</v>
      </c>
      <c r="BG55" t="str">
        <f ca="1">IF('(直掃)Change to adc mapping '!BG119 &lt;&gt;-1,"0x" &amp; DEC2HEX('(直掃)Change to adc mapping '!BG119) &amp; ",",-1&amp; ",")</f>
        <v>0x7A,</v>
      </c>
      <c r="BH55" t="str">
        <f ca="1">IF('(直掃)Change to adc mapping '!BH119 &lt;&gt;-1,"0x" &amp; DEC2HEX('(直掃)Change to adc mapping '!BH119) &amp; ",",-1&amp; ",")</f>
        <v>0x79,</v>
      </c>
      <c r="BI55" t="str">
        <f ca="1">IF('(直掃)Change to adc mapping '!BI119 &lt;&gt;-1,"0x" &amp; DEC2HEX('(直掃)Change to adc mapping '!BI119) &amp; ",",-1&amp; ",")</f>
        <v>0x78,</v>
      </c>
    </row>
    <row r="56" spans="1:61" x14ac:dyDescent="0.25">
      <c r="A56" s="20">
        <v>55</v>
      </c>
      <c r="B56" t="str">
        <f ca="1">'(直掃)Change to adc mapping '!B120 &amp; ","</f>
        <v>9999,</v>
      </c>
      <c r="C56" t="str">
        <f ca="1">'(直掃)Change to adc mapping '!C120 &amp; ","</f>
        <v>9999,</v>
      </c>
      <c r="D56" t="str">
        <f ca="1">'(直掃)Change to adc mapping '!D120 &amp; ","</f>
        <v>9999,</v>
      </c>
      <c r="E56" t="str">
        <f ca="1">'(直掃)Change to adc mapping '!E120 &amp; ","</f>
        <v>9999,</v>
      </c>
      <c r="F56" t="str">
        <f ca="1">'(直掃)Change to adc mapping '!F120 &amp; ","</f>
        <v>9999,</v>
      </c>
      <c r="G56" t="str">
        <f ca="1">'(直掃)Change to adc mapping '!G120 &amp; ","</f>
        <v>9999,</v>
      </c>
      <c r="H56" t="str">
        <f ca="1">'(直掃)Change to adc mapping '!H120 &amp; ","</f>
        <v>9999,</v>
      </c>
      <c r="I56" t="str">
        <f ca="1">'(直掃)Change to adc mapping '!I120 &amp; ","</f>
        <v>9999,</v>
      </c>
      <c r="J56" t="str">
        <f ca="1">'(直掃)Change to adc mapping '!J120 &amp; ","</f>
        <v>9999,</v>
      </c>
      <c r="K56" t="str">
        <f ca="1">'(直掃)Change to adc mapping '!K120 &amp; ","</f>
        <v>9999,</v>
      </c>
      <c r="L56" t="str">
        <f ca="1">'(直掃)Change to adc mapping '!L120 &amp; ","</f>
        <v>9999,</v>
      </c>
      <c r="M56" t="str">
        <f ca="1">'(直掃)Change to adc mapping '!M120 &amp; ","</f>
        <v>9999,</v>
      </c>
      <c r="N56" t="str">
        <f ca="1">'(直掃)Change to adc mapping '!N120 &amp; ","</f>
        <v>9999,</v>
      </c>
      <c r="O56" t="str">
        <f ca="1">'(直掃)Change to adc mapping '!O120 &amp; ","</f>
        <v>9999,</v>
      </c>
      <c r="P56" t="str">
        <f ca="1">'(直掃)Change to adc mapping '!P120 &amp; ","</f>
        <v>9999,</v>
      </c>
      <c r="Q56" t="str">
        <f ca="1">'(直掃)Change to adc mapping '!Q120 &amp; ","</f>
        <v>9999,</v>
      </c>
      <c r="R56" t="str">
        <f ca="1">'(直掃)Change to adc mapping '!R120 &amp; ","</f>
        <v>9999,</v>
      </c>
      <c r="S56" t="str">
        <f ca="1">'(直掃)Change to adc mapping '!S120 &amp; ","</f>
        <v>9999,</v>
      </c>
      <c r="T56" t="str">
        <f ca="1">'(直掃)Change to adc mapping '!T120 &amp; ","</f>
        <v>9999,</v>
      </c>
      <c r="U56" t="str">
        <f ca="1">'(直掃)Change to adc mapping '!U120 &amp; ","</f>
        <v>9999,</v>
      </c>
      <c r="V56" t="str">
        <f ca="1">'(直掃)Change to adc mapping '!V120 &amp; ","</f>
        <v>9999,</v>
      </c>
      <c r="W56" t="str">
        <f ca="1">'(直掃)Change to adc mapping '!W120 &amp; ","</f>
        <v>9999,</v>
      </c>
      <c r="X56" t="str">
        <f ca="1">'(直掃)Change to adc mapping '!X120 &amp; ","</f>
        <v>9999,</v>
      </c>
      <c r="Y56" t="str">
        <f ca="1">IF('(直掃)Change to adc mapping '!Y120 &lt;&gt;-1,"0x" &amp; DEC2HEX('(直掃)Change to adc mapping '!Y120) &amp; ",",-1&amp; ",")</f>
        <v>-1,</v>
      </c>
      <c r="Z56" t="str">
        <f ca="1">IF('(直掃)Change to adc mapping '!Z120 &lt;&gt;-1,"0x" &amp; DEC2HEX('(直掃)Change to adc mapping '!Z120) &amp; ",",-1&amp; ",")</f>
        <v>-1,</v>
      </c>
      <c r="AA56" t="str">
        <f ca="1">IF('(直掃)Change to adc mapping '!AA120 &lt;&gt;-1,"0x" &amp; DEC2HEX('(直掃)Change to adc mapping '!AA120) &amp; ",",-1&amp; ",")</f>
        <v>-1,</v>
      </c>
      <c r="AB56" t="str">
        <f ca="1">IF('(直掃)Change to adc mapping '!AB120 &lt;&gt;-1,"0x" &amp; DEC2HEX('(直掃)Change to adc mapping '!AB120) &amp; ",",-1&amp; ",")</f>
        <v>-1,</v>
      </c>
      <c r="AC56" t="str">
        <f ca="1">IF('(直掃)Change to adc mapping '!AC120 &lt;&gt;-1,"0x" &amp; DEC2HEX('(直掃)Change to adc mapping '!AC120) &amp; ",",-1&amp; ",")</f>
        <v>-1,</v>
      </c>
      <c r="AD56" t="str">
        <f ca="1">IF('(直掃)Change to adc mapping '!AD120 &lt;&gt;-1,"0x" &amp; DEC2HEX('(直掃)Change to adc mapping '!AD120) &amp; ",",-1&amp; ",")</f>
        <v>-1,</v>
      </c>
      <c r="AE56" t="str">
        <f ca="1">IF('(直掃)Change to adc mapping '!AE120 &lt;&gt;-1,"0x" &amp; DEC2HEX('(直掃)Change to adc mapping '!AE120) &amp; ",",-1&amp; ",")</f>
        <v>-1,</v>
      </c>
      <c r="AF56" t="str">
        <f ca="1">IF('(直掃)Change to adc mapping '!AF120 &lt;&gt;-1,"0x" &amp; DEC2HEX('(直掃)Change to adc mapping '!AF120) &amp; ",",-1&amp; ",")</f>
        <v>0xD1,</v>
      </c>
      <c r="AG56" t="str">
        <f ca="1">IF('(直掃)Change to adc mapping '!AG120 &lt;&gt;-1,"0x" &amp; DEC2HEX('(直掃)Change to adc mapping '!AG120) &amp; ",",-1&amp; ",")</f>
        <v>0xD0,</v>
      </c>
      <c r="AH56" t="str">
        <f ca="1">IF('(直掃)Change to adc mapping '!AH120 &lt;&gt;-1,"0x" &amp; DEC2HEX('(直掃)Change to adc mapping '!AH120) &amp; ",",-1&amp; ",")</f>
        <v>0xCF,</v>
      </c>
      <c r="AI56" t="str">
        <f ca="1">IF('(直掃)Change to adc mapping '!AI120 &lt;&gt;-1,"0x" &amp; DEC2HEX('(直掃)Change to adc mapping '!AI120) &amp; ",",-1&amp; ",")</f>
        <v>0xCE,</v>
      </c>
      <c r="AJ56" t="str">
        <f ca="1">IF('(直掃)Change to adc mapping '!AJ120 &lt;&gt;-1,"0x" &amp; DEC2HEX('(直掃)Change to adc mapping '!AJ120) &amp; ",",-1&amp; ",")</f>
        <v>0xCD,</v>
      </c>
      <c r="AK56" t="str">
        <f ca="1">IF('(直掃)Change to adc mapping '!AK120 &lt;&gt;-1,"0x" &amp; DEC2HEX('(直掃)Change to adc mapping '!AK120) &amp; ",",-1&amp; ",")</f>
        <v>0xCC,</v>
      </c>
      <c r="AL56" t="str">
        <f ca="1">IF('(直掃)Change to adc mapping '!AL120 &lt;&gt;-1,"0x" &amp; DEC2HEX('(直掃)Change to adc mapping '!AL120) &amp; ",",-1&amp; ",")</f>
        <v>0xCB,</v>
      </c>
      <c r="AM56" t="str">
        <f ca="1">IF('(直掃)Change to adc mapping '!AM120 &lt;&gt;-1,"0x" &amp; DEC2HEX('(直掃)Change to adc mapping '!AM120) &amp; ",",-1&amp; ",")</f>
        <v>0xCA,</v>
      </c>
      <c r="AN56" t="str">
        <f ca="1">IF('(直掃)Change to adc mapping '!AN120 &lt;&gt;-1,"0x" &amp; DEC2HEX('(直掃)Change to adc mapping '!AN120) &amp; ",",-1&amp; ",")</f>
        <v>0xC9,</v>
      </c>
      <c r="AO56" t="str">
        <f ca="1">IF('(直掃)Change to adc mapping '!AO120 &lt;&gt;-1,"0x" &amp; DEC2HEX('(直掃)Change to adc mapping '!AO120) &amp; ",",-1&amp; ",")</f>
        <v>0xC8,</v>
      </c>
      <c r="AP56" t="str">
        <f ca="1">IF('(直掃)Change to adc mapping '!AP120 &lt;&gt;-1,"0x" &amp; DEC2HEX('(直掃)Change to adc mapping '!AP120) &amp; ",",-1&amp; ",")</f>
        <v>0xC7,</v>
      </c>
      <c r="AQ56" t="str">
        <f ca="1">IF('(直掃)Change to adc mapping '!AQ120 &lt;&gt;-1,"0x" &amp; DEC2HEX('(直掃)Change to adc mapping '!AQ120) &amp; ",",-1&amp; ",")</f>
        <v>0xC6,</v>
      </c>
      <c r="AR56" t="str">
        <f ca="1">IF('(直掃)Change to adc mapping '!AR120 &lt;&gt;-1,"0x" &amp; DEC2HEX('(直掃)Change to adc mapping '!AR120) &amp; ",",-1&amp; ",")</f>
        <v>0xC5,</v>
      </c>
      <c r="AS56" t="str">
        <f ca="1">IF('(直掃)Change to adc mapping '!AS120 &lt;&gt;-1,"0x" &amp; DEC2HEX('(直掃)Change to adc mapping '!AS120) &amp; ",",-1&amp; ",")</f>
        <v>0xC4,</v>
      </c>
      <c r="AT56" t="str">
        <f ca="1">IF('(直掃)Change to adc mapping '!AT120 &lt;&gt;-1,"0x" &amp; DEC2HEX('(直掃)Change to adc mapping '!AT120) &amp; ",",-1&amp; ",")</f>
        <v>0xC3,</v>
      </c>
      <c r="AU56" t="str">
        <f ca="1">IF('(直掃)Change to adc mapping '!AU120 &lt;&gt;-1,"0x" &amp; DEC2HEX('(直掃)Change to adc mapping '!AU120) &amp; ",",-1&amp; ",")</f>
        <v>0xC2,</v>
      </c>
      <c r="AV56" t="str">
        <f ca="1">IF('(直掃)Change to adc mapping '!AV120 &lt;&gt;-1,"0x" &amp; DEC2HEX('(直掃)Change to adc mapping '!AV120) &amp; ",",-1&amp; ",")</f>
        <v>0xC1,</v>
      </c>
      <c r="AW56" t="str">
        <f ca="1">IF('(直掃)Change to adc mapping '!AW120 &lt;&gt;-1,"0x" &amp; DEC2HEX('(直掃)Change to adc mapping '!AW120) &amp; ",",-1&amp; ",")</f>
        <v>0xC0,</v>
      </c>
      <c r="AX56" t="str">
        <f ca="1">IF('(直掃)Change to adc mapping '!AX120 &lt;&gt;-1,"0x" &amp; DEC2HEX('(直掃)Change to adc mapping '!AX120) &amp; ",",-1&amp; ",")</f>
        <v>0xBF,</v>
      </c>
      <c r="AY56" t="str">
        <f ca="1">IF('(直掃)Change to adc mapping '!AY120 &lt;&gt;-1,"0x" &amp; DEC2HEX('(直掃)Change to adc mapping '!AY120) &amp; ",",-1&amp; ",")</f>
        <v>0xBE,</v>
      </c>
      <c r="AZ56" t="str">
        <f ca="1">IF('(直掃)Change to adc mapping '!AZ120 &lt;&gt;-1,"0x" &amp; DEC2HEX('(直掃)Change to adc mapping '!AZ120) &amp; ",",-1&amp; ",")</f>
        <v>0xBD,</v>
      </c>
      <c r="BA56" t="str">
        <f ca="1">IF('(直掃)Change to adc mapping '!BA120 &lt;&gt;-1,"0x" &amp; DEC2HEX('(直掃)Change to adc mapping '!BA120) &amp; ",",-1&amp; ",")</f>
        <v>0xBC,</v>
      </c>
      <c r="BB56" t="str">
        <f ca="1">IF('(直掃)Change to adc mapping '!BB120 &lt;&gt;-1,"0x" &amp; DEC2HEX('(直掃)Change to adc mapping '!BB120) &amp; ",",-1&amp; ",")</f>
        <v>0xBB,</v>
      </c>
      <c r="BC56" t="str">
        <f ca="1">IF('(直掃)Change to adc mapping '!BC120 &lt;&gt;-1,"0x" &amp; DEC2HEX('(直掃)Change to adc mapping '!BC120) &amp; ",",-1&amp; ",")</f>
        <v>0xBA,</v>
      </c>
      <c r="BD56" t="str">
        <f ca="1">IF('(直掃)Change to adc mapping '!BD120 &lt;&gt;-1,"0x" &amp; DEC2HEX('(直掃)Change to adc mapping '!BD120) &amp; ",",-1&amp; ",")</f>
        <v>0xB9,</v>
      </c>
      <c r="BE56" t="str">
        <f ca="1">IF('(直掃)Change to adc mapping '!BE120 &lt;&gt;-1,"0x" &amp; DEC2HEX('(直掃)Change to adc mapping '!BE120) &amp; ",",-1&amp; ",")</f>
        <v>0xB8,</v>
      </c>
      <c r="BF56" t="str">
        <f ca="1">IF('(直掃)Change to adc mapping '!BF120 &lt;&gt;-1,"0x" &amp; DEC2HEX('(直掃)Change to adc mapping '!BF120) &amp; ",",-1&amp; ",")</f>
        <v>0xB7,</v>
      </c>
      <c r="BG56" t="str">
        <f ca="1">IF('(直掃)Change to adc mapping '!BG120 &lt;&gt;-1,"0x" &amp; DEC2HEX('(直掃)Change to adc mapping '!BG120) &amp; ",",-1&amp; ",")</f>
        <v>0xB6,</v>
      </c>
      <c r="BH56" t="str">
        <f ca="1">IF('(直掃)Change to adc mapping '!BH120 &lt;&gt;-1,"0x" &amp; DEC2HEX('(直掃)Change to adc mapping '!BH120) &amp; ",",-1&amp; ",")</f>
        <v>0xB5,</v>
      </c>
      <c r="BI56" t="str">
        <f ca="1">IF('(直掃)Change to adc mapping '!BI120 &lt;&gt;-1,"0x" &amp; DEC2HEX('(直掃)Change to adc mapping '!BI120) &amp; ",",-1&amp; ",")</f>
        <v>0xB4,</v>
      </c>
    </row>
    <row r="57" spans="1:61" x14ac:dyDescent="0.25">
      <c r="A57" s="20">
        <v>56</v>
      </c>
      <c r="B57" t="str">
        <f ca="1">'(直掃)Change to adc mapping '!B121 &amp; ","</f>
        <v>9999,</v>
      </c>
      <c r="C57" t="str">
        <f ca="1">'(直掃)Change to adc mapping '!C121 &amp; ","</f>
        <v>9999,</v>
      </c>
      <c r="D57" t="str">
        <f ca="1">'(直掃)Change to adc mapping '!D121 &amp; ","</f>
        <v>9999,</v>
      </c>
      <c r="E57" t="str">
        <f ca="1">'(直掃)Change to adc mapping '!E121 &amp; ","</f>
        <v>9999,</v>
      </c>
      <c r="F57" t="str">
        <f ca="1">'(直掃)Change to adc mapping '!F121 &amp; ","</f>
        <v>9999,</v>
      </c>
      <c r="G57" t="str">
        <f ca="1">'(直掃)Change to adc mapping '!G121 &amp; ","</f>
        <v>9999,</v>
      </c>
      <c r="H57" t="str">
        <f ca="1">'(直掃)Change to adc mapping '!H121 &amp; ","</f>
        <v>9999,</v>
      </c>
      <c r="I57" t="str">
        <f ca="1">'(直掃)Change to adc mapping '!I121 &amp; ","</f>
        <v>9999,</v>
      </c>
      <c r="J57" t="str">
        <f ca="1">'(直掃)Change to adc mapping '!J121 &amp; ","</f>
        <v>9999,</v>
      </c>
      <c r="K57" t="str">
        <f ca="1">'(直掃)Change to adc mapping '!K121 &amp; ","</f>
        <v>9999,</v>
      </c>
      <c r="L57" t="str">
        <f ca="1">'(直掃)Change to adc mapping '!L121 &amp; ","</f>
        <v>9999,</v>
      </c>
      <c r="M57" t="str">
        <f ca="1">'(直掃)Change to adc mapping '!M121 &amp; ","</f>
        <v>9999,</v>
      </c>
      <c r="N57" t="str">
        <f ca="1">'(直掃)Change to adc mapping '!N121 &amp; ","</f>
        <v>9999,</v>
      </c>
      <c r="O57" t="str">
        <f ca="1">'(直掃)Change to adc mapping '!O121 &amp; ","</f>
        <v>9999,</v>
      </c>
      <c r="P57" t="str">
        <f ca="1">'(直掃)Change to adc mapping '!P121 &amp; ","</f>
        <v>9999,</v>
      </c>
      <c r="Q57" t="str">
        <f ca="1">'(直掃)Change to adc mapping '!Q121 &amp; ","</f>
        <v>9999,</v>
      </c>
      <c r="R57" t="str">
        <f ca="1">'(直掃)Change to adc mapping '!R121 &amp; ","</f>
        <v>9999,</v>
      </c>
      <c r="S57" t="str">
        <f ca="1">'(直掃)Change to adc mapping '!S121 &amp; ","</f>
        <v>9999,</v>
      </c>
      <c r="T57" t="str">
        <f ca="1">'(直掃)Change to adc mapping '!T121 &amp; ","</f>
        <v>9999,</v>
      </c>
      <c r="U57" t="str">
        <f ca="1">'(直掃)Change to adc mapping '!U121 &amp; ","</f>
        <v>9999,</v>
      </c>
      <c r="V57" t="str">
        <f ca="1">'(直掃)Change to adc mapping '!V121 &amp; ","</f>
        <v>9999,</v>
      </c>
      <c r="W57" t="str">
        <f ca="1">'(直掃)Change to adc mapping '!W121 &amp; ","</f>
        <v>9999,</v>
      </c>
      <c r="X57" t="str">
        <f ca="1">'(直掃)Change to adc mapping '!X121 &amp; ","</f>
        <v>9999,</v>
      </c>
      <c r="Y57" t="str">
        <f ca="1">IF('(直掃)Change to adc mapping '!Y121 &lt;&gt;-1,"0x" &amp; DEC2HEX('(直掃)Change to adc mapping '!Y121) &amp; ",",-1&amp; ",")</f>
        <v>-1,</v>
      </c>
      <c r="Z57" t="str">
        <f ca="1">IF('(直掃)Change to adc mapping '!Z121 &lt;&gt;-1,"0x" &amp; DEC2HEX('(直掃)Change to adc mapping '!Z121) &amp; ",",-1&amp; ",")</f>
        <v>-1,</v>
      </c>
      <c r="AA57" t="str">
        <f ca="1">IF('(直掃)Change to adc mapping '!AA121 &lt;&gt;-1,"0x" &amp; DEC2HEX('(直掃)Change to adc mapping '!AA121) &amp; ",",-1&amp; ",")</f>
        <v>-1,</v>
      </c>
      <c r="AB57" t="str">
        <f ca="1">IF('(直掃)Change to adc mapping '!AB121 &lt;&gt;-1,"0x" &amp; DEC2HEX('(直掃)Change to adc mapping '!AB121) &amp; ",",-1&amp; ",")</f>
        <v>-1,</v>
      </c>
      <c r="AC57" t="str">
        <f ca="1">IF('(直掃)Change to adc mapping '!AC121 &lt;&gt;-1,"0x" &amp; DEC2HEX('(直掃)Change to adc mapping '!AC121) &amp; ",",-1&amp; ",")</f>
        <v>-1,</v>
      </c>
      <c r="AD57" t="str">
        <f ca="1">IF('(直掃)Change to adc mapping '!AD121 &lt;&gt;-1,"0x" &amp; DEC2HEX('(直掃)Change to adc mapping '!AD121) &amp; ",",-1&amp; ",")</f>
        <v>-1,</v>
      </c>
      <c r="AE57" t="str">
        <f ca="1">IF('(直掃)Change to adc mapping '!AE121 &lt;&gt;-1,"0x" &amp; DEC2HEX('(直掃)Change to adc mapping '!AE121) &amp; ",",-1&amp; ",")</f>
        <v>-1,</v>
      </c>
      <c r="AF57" t="str">
        <f ca="1">IF('(直掃)Change to adc mapping '!AF121 &lt;&gt;-1,"0x" &amp; DEC2HEX('(直掃)Change to adc mapping '!AF121) &amp; ",",-1&amp; ",")</f>
        <v>0xB3,</v>
      </c>
      <c r="AG57" t="str">
        <f ca="1">IF('(直掃)Change to adc mapping '!AG121 &lt;&gt;-1,"0x" &amp; DEC2HEX('(直掃)Change to adc mapping '!AG121) &amp; ",",-1&amp; ",")</f>
        <v>0xB2,</v>
      </c>
      <c r="AH57" t="str">
        <f ca="1">IF('(直掃)Change to adc mapping '!AH121 &lt;&gt;-1,"0x" &amp; DEC2HEX('(直掃)Change to adc mapping '!AH121) &amp; ",",-1&amp; ",")</f>
        <v>0xB1,</v>
      </c>
      <c r="AI57" t="str">
        <f ca="1">IF('(直掃)Change to adc mapping '!AI121 &lt;&gt;-1,"0x" &amp; DEC2HEX('(直掃)Change to adc mapping '!AI121) &amp; ",",-1&amp; ",")</f>
        <v>0xB0,</v>
      </c>
      <c r="AJ57" t="str">
        <f ca="1">IF('(直掃)Change to adc mapping '!AJ121 &lt;&gt;-1,"0x" &amp; DEC2HEX('(直掃)Change to adc mapping '!AJ121) &amp; ",",-1&amp; ",")</f>
        <v>0xAF,</v>
      </c>
      <c r="AK57" t="str">
        <f ca="1">IF('(直掃)Change to adc mapping '!AK121 &lt;&gt;-1,"0x" &amp; DEC2HEX('(直掃)Change to adc mapping '!AK121) &amp; ",",-1&amp; ",")</f>
        <v>0xAE,</v>
      </c>
      <c r="AL57" t="str">
        <f ca="1">IF('(直掃)Change to adc mapping '!AL121 &lt;&gt;-1,"0x" &amp; DEC2HEX('(直掃)Change to adc mapping '!AL121) &amp; ",",-1&amp; ",")</f>
        <v>0xAD,</v>
      </c>
      <c r="AM57" t="str">
        <f ca="1">IF('(直掃)Change to adc mapping '!AM121 &lt;&gt;-1,"0x" &amp; DEC2HEX('(直掃)Change to adc mapping '!AM121) &amp; ",",-1&amp; ",")</f>
        <v>0xAC,</v>
      </c>
      <c r="AN57" t="str">
        <f ca="1">IF('(直掃)Change to adc mapping '!AN121 &lt;&gt;-1,"0x" &amp; DEC2HEX('(直掃)Change to adc mapping '!AN121) &amp; ",",-1&amp; ",")</f>
        <v>0xAB,</v>
      </c>
      <c r="AO57" t="str">
        <f ca="1">IF('(直掃)Change to adc mapping '!AO121 &lt;&gt;-1,"0x" &amp; DEC2HEX('(直掃)Change to adc mapping '!AO121) &amp; ",",-1&amp; ",")</f>
        <v>0xAA,</v>
      </c>
      <c r="AP57" t="str">
        <f ca="1">IF('(直掃)Change to adc mapping '!AP121 &lt;&gt;-1,"0x" &amp; DEC2HEX('(直掃)Change to adc mapping '!AP121) &amp; ",",-1&amp; ",")</f>
        <v>0xA9,</v>
      </c>
      <c r="AQ57" t="str">
        <f ca="1">IF('(直掃)Change to adc mapping '!AQ121 &lt;&gt;-1,"0x" &amp; DEC2HEX('(直掃)Change to adc mapping '!AQ121) &amp; ",",-1&amp; ",")</f>
        <v>0xA8,</v>
      </c>
      <c r="AR57" t="str">
        <f ca="1">IF('(直掃)Change to adc mapping '!AR121 &lt;&gt;-1,"0x" &amp; DEC2HEX('(直掃)Change to adc mapping '!AR121) &amp; ",",-1&amp; ",")</f>
        <v>0xA7,</v>
      </c>
      <c r="AS57" t="str">
        <f ca="1">IF('(直掃)Change to adc mapping '!AS121 &lt;&gt;-1,"0x" &amp; DEC2HEX('(直掃)Change to adc mapping '!AS121) &amp; ",",-1&amp; ",")</f>
        <v>0xA6,</v>
      </c>
      <c r="AT57" t="str">
        <f ca="1">IF('(直掃)Change to adc mapping '!AT121 &lt;&gt;-1,"0x" &amp; DEC2HEX('(直掃)Change to adc mapping '!AT121) &amp; ",",-1&amp; ",")</f>
        <v>0xA5,</v>
      </c>
      <c r="AU57" t="str">
        <f ca="1">IF('(直掃)Change to adc mapping '!AU121 &lt;&gt;-1,"0x" &amp; DEC2HEX('(直掃)Change to adc mapping '!AU121) &amp; ",",-1&amp; ",")</f>
        <v>0xA4,</v>
      </c>
      <c r="AV57" t="str">
        <f ca="1">IF('(直掃)Change to adc mapping '!AV121 &lt;&gt;-1,"0x" &amp; DEC2HEX('(直掃)Change to adc mapping '!AV121) &amp; ",",-1&amp; ",")</f>
        <v>0xA3,</v>
      </c>
      <c r="AW57" t="str">
        <f ca="1">IF('(直掃)Change to adc mapping '!AW121 &lt;&gt;-1,"0x" &amp; DEC2HEX('(直掃)Change to adc mapping '!AW121) &amp; ",",-1&amp; ",")</f>
        <v>0xA2,</v>
      </c>
      <c r="AX57" t="str">
        <f ca="1">IF('(直掃)Change to adc mapping '!AX121 &lt;&gt;-1,"0x" &amp; DEC2HEX('(直掃)Change to adc mapping '!AX121) &amp; ",",-1&amp; ",")</f>
        <v>0xA1,</v>
      </c>
      <c r="AY57" t="str">
        <f ca="1">IF('(直掃)Change to adc mapping '!AY121 &lt;&gt;-1,"0x" &amp; DEC2HEX('(直掃)Change to adc mapping '!AY121) &amp; ",",-1&amp; ",")</f>
        <v>0xA0,</v>
      </c>
      <c r="AZ57" t="str">
        <f ca="1">IF('(直掃)Change to adc mapping '!AZ121 &lt;&gt;-1,"0x" &amp; DEC2HEX('(直掃)Change to adc mapping '!AZ121) &amp; ",",-1&amp; ",")</f>
        <v>0x9F,</v>
      </c>
      <c r="BA57" t="str">
        <f ca="1">IF('(直掃)Change to adc mapping '!BA121 &lt;&gt;-1,"0x" &amp; DEC2HEX('(直掃)Change to adc mapping '!BA121) &amp; ",",-1&amp; ",")</f>
        <v>0x9E,</v>
      </c>
      <c r="BB57" t="str">
        <f ca="1">IF('(直掃)Change to adc mapping '!BB121 &lt;&gt;-1,"0x" &amp; DEC2HEX('(直掃)Change to adc mapping '!BB121) &amp; ",",-1&amp; ",")</f>
        <v>0x9D,</v>
      </c>
      <c r="BC57" t="str">
        <f ca="1">IF('(直掃)Change to adc mapping '!BC121 &lt;&gt;-1,"0x" &amp; DEC2HEX('(直掃)Change to adc mapping '!BC121) &amp; ",",-1&amp; ",")</f>
        <v>0x9C,</v>
      </c>
      <c r="BD57" t="str">
        <f ca="1">IF('(直掃)Change to adc mapping '!BD121 &lt;&gt;-1,"0x" &amp; DEC2HEX('(直掃)Change to adc mapping '!BD121) &amp; ",",-1&amp; ",")</f>
        <v>0x9B,</v>
      </c>
      <c r="BE57" t="str">
        <f ca="1">IF('(直掃)Change to adc mapping '!BE121 &lt;&gt;-1,"0x" &amp; DEC2HEX('(直掃)Change to adc mapping '!BE121) &amp; ",",-1&amp; ",")</f>
        <v>0x9A,</v>
      </c>
      <c r="BF57" t="str">
        <f ca="1">IF('(直掃)Change to adc mapping '!BF121 &lt;&gt;-1,"0x" &amp; DEC2HEX('(直掃)Change to adc mapping '!BF121) &amp; ",",-1&amp; ",")</f>
        <v>0x99,</v>
      </c>
      <c r="BG57" t="str">
        <f ca="1">IF('(直掃)Change to adc mapping '!BG121 &lt;&gt;-1,"0x" &amp; DEC2HEX('(直掃)Change to adc mapping '!BG121) &amp; ",",-1&amp; ",")</f>
        <v>0x98,</v>
      </c>
      <c r="BH57" t="str">
        <f ca="1">IF('(直掃)Change to adc mapping '!BH121 &lt;&gt;-1,"0x" &amp; DEC2HEX('(直掃)Change to adc mapping '!BH121) &amp; ",",-1&amp; ",")</f>
        <v>0x97,</v>
      </c>
      <c r="BI57" t="str">
        <f ca="1">IF('(直掃)Change to adc mapping '!BI121 &lt;&gt;-1,"0x" &amp; DEC2HEX('(直掃)Change to adc mapping '!BI121) &amp; ",",-1&amp; ",")</f>
        <v>0x96,</v>
      </c>
    </row>
    <row r="58" spans="1:61" x14ac:dyDescent="0.25">
      <c r="A58" s="20">
        <v>57</v>
      </c>
      <c r="B58" t="str">
        <f ca="1">'(直掃)Change to adc mapping '!B122 &amp; ","</f>
        <v>9999,</v>
      </c>
      <c r="C58" t="str">
        <f ca="1">'(直掃)Change to adc mapping '!C122 &amp; ","</f>
        <v>9999,</v>
      </c>
      <c r="D58" t="str">
        <f ca="1">'(直掃)Change to adc mapping '!D122 &amp; ","</f>
        <v>9999,</v>
      </c>
      <c r="E58" t="str">
        <f ca="1">'(直掃)Change to adc mapping '!E122 &amp; ","</f>
        <v>9999,</v>
      </c>
      <c r="F58" t="str">
        <f ca="1">'(直掃)Change to adc mapping '!F122 &amp; ","</f>
        <v>9999,</v>
      </c>
      <c r="G58" t="str">
        <f ca="1">'(直掃)Change to adc mapping '!G122 &amp; ","</f>
        <v>9999,</v>
      </c>
      <c r="H58" t="str">
        <f ca="1">'(直掃)Change to adc mapping '!H122 &amp; ","</f>
        <v>9999,</v>
      </c>
      <c r="I58" t="str">
        <f ca="1">'(直掃)Change to adc mapping '!I122 &amp; ","</f>
        <v>9999,</v>
      </c>
      <c r="J58" t="str">
        <f ca="1">'(直掃)Change to adc mapping '!J122 &amp; ","</f>
        <v>9999,</v>
      </c>
      <c r="K58" t="str">
        <f ca="1">'(直掃)Change to adc mapping '!K122 &amp; ","</f>
        <v>9999,</v>
      </c>
      <c r="L58" t="str">
        <f ca="1">'(直掃)Change to adc mapping '!L122 &amp; ","</f>
        <v>9999,</v>
      </c>
      <c r="M58" t="str">
        <f ca="1">'(直掃)Change to adc mapping '!M122 &amp; ","</f>
        <v>9999,</v>
      </c>
      <c r="N58" t="str">
        <f ca="1">'(直掃)Change to adc mapping '!N122 &amp; ","</f>
        <v>9999,</v>
      </c>
      <c r="O58" t="str">
        <f ca="1">'(直掃)Change to adc mapping '!O122 &amp; ","</f>
        <v>9999,</v>
      </c>
      <c r="P58" t="str">
        <f ca="1">'(直掃)Change to adc mapping '!P122 &amp; ","</f>
        <v>9999,</v>
      </c>
      <c r="Q58" t="str">
        <f ca="1">'(直掃)Change to adc mapping '!Q122 &amp; ","</f>
        <v>9999,</v>
      </c>
      <c r="R58" t="str">
        <f ca="1">'(直掃)Change to adc mapping '!R122 &amp; ","</f>
        <v>9999,</v>
      </c>
      <c r="S58" t="str">
        <f ca="1">'(直掃)Change to adc mapping '!S122 &amp; ","</f>
        <v>9999,</v>
      </c>
      <c r="T58" t="str">
        <f ca="1">'(直掃)Change to adc mapping '!T122 &amp; ","</f>
        <v>9999,</v>
      </c>
      <c r="U58" t="str">
        <f ca="1">'(直掃)Change to adc mapping '!U122 &amp; ","</f>
        <v>9999,</v>
      </c>
      <c r="V58" t="str">
        <f ca="1">'(直掃)Change to adc mapping '!V122 &amp; ","</f>
        <v>9999,</v>
      </c>
      <c r="W58" t="str">
        <f ca="1">'(直掃)Change to adc mapping '!W122 &amp; ","</f>
        <v>9999,</v>
      </c>
      <c r="X58" t="str">
        <f ca="1">'(直掃)Change to adc mapping '!X122 &amp; ","</f>
        <v>9999,</v>
      </c>
      <c r="Y58" t="str">
        <f ca="1">IF('(直掃)Change to adc mapping '!Y122 &lt;&gt;-1,"0x" &amp; DEC2HEX('(直掃)Change to adc mapping '!Y122) &amp; ",",-1&amp; ",")</f>
        <v>-1,</v>
      </c>
      <c r="Z58" t="str">
        <f ca="1">IF('(直掃)Change to adc mapping '!Z122 &lt;&gt;-1,"0x" &amp; DEC2HEX('(直掃)Change to adc mapping '!Z122) &amp; ",",-1&amp; ",")</f>
        <v>-1,</v>
      </c>
      <c r="AA58" t="str">
        <f ca="1">IF('(直掃)Change to adc mapping '!AA122 &lt;&gt;-1,"0x" &amp; DEC2HEX('(直掃)Change to adc mapping '!AA122) &amp; ",",-1&amp; ",")</f>
        <v>-1,</v>
      </c>
      <c r="AB58" t="str">
        <f ca="1">IF('(直掃)Change to adc mapping '!AB122 &lt;&gt;-1,"0x" &amp; DEC2HEX('(直掃)Change to adc mapping '!AB122) &amp; ",",-1&amp; ",")</f>
        <v>-1,</v>
      </c>
      <c r="AC58" t="str">
        <f ca="1">IF('(直掃)Change to adc mapping '!AC122 &lt;&gt;-1,"0x" &amp; DEC2HEX('(直掃)Change to adc mapping '!AC122) &amp; ",",-1&amp; ",")</f>
        <v>-1,</v>
      </c>
      <c r="AD58" t="str">
        <f ca="1">IF('(直掃)Change to adc mapping '!AD122 &lt;&gt;-1,"0x" &amp; DEC2HEX('(直掃)Change to adc mapping '!AD122) &amp; ",",-1&amp; ",")</f>
        <v>-1,</v>
      </c>
      <c r="AE58" t="str">
        <f ca="1">IF('(直掃)Change to adc mapping '!AE122 &lt;&gt;-1,"0x" &amp; DEC2HEX('(直掃)Change to adc mapping '!AE122) &amp; ",",-1&amp; ",")</f>
        <v>-1,</v>
      </c>
      <c r="AF58" t="str">
        <f ca="1">IF('(直掃)Change to adc mapping '!AF122 &lt;&gt;-1,"0x" &amp; DEC2HEX('(直掃)Change to adc mapping '!AF122) &amp; ",",-1&amp; ",")</f>
        <v>0x95,</v>
      </c>
      <c r="AG58" t="str">
        <f ca="1">IF('(直掃)Change to adc mapping '!AG122 &lt;&gt;-1,"0x" &amp; DEC2HEX('(直掃)Change to adc mapping '!AG122) &amp; ",",-1&amp; ",")</f>
        <v>0x94,</v>
      </c>
      <c r="AH58" t="str">
        <f ca="1">IF('(直掃)Change to adc mapping '!AH122 &lt;&gt;-1,"0x" &amp; DEC2HEX('(直掃)Change to adc mapping '!AH122) &amp; ",",-1&amp; ",")</f>
        <v>0x93,</v>
      </c>
      <c r="AI58" t="str">
        <f ca="1">IF('(直掃)Change to adc mapping '!AI122 &lt;&gt;-1,"0x" &amp; DEC2HEX('(直掃)Change to adc mapping '!AI122) &amp; ",",-1&amp; ",")</f>
        <v>0x92,</v>
      </c>
      <c r="AJ58" t="str">
        <f ca="1">IF('(直掃)Change to adc mapping '!AJ122 &lt;&gt;-1,"0x" &amp; DEC2HEX('(直掃)Change to adc mapping '!AJ122) &amp; ",",-1&amp; ",")</f>
        <v>0x91,</v>
      </c>
      <c r="AK58" t="str">
        <f ca="1">IF('(直掃)Change to adc mapping '!AK122 &lt;&gt;-1,"0x" &amp; DEC2HEX('(直掃)Change to adc mapping '!AK122) &amp; ",",-1&amp; ",")</f>
        <v>0x90,</v>
      </c>
      <c r="AL58" t="str">
        <f ca="1">IF('(直掃)Change to adc mapping '!AL122 &lt;&gt;-1,"0x" &amp; DEC2HEX('(直掃)Change to adc mapping '!AL122) &amp; ",",-1&amp; ",")</f>
        <v>0x8F,</v>
      </c>
      <c r="AM58" t="str">
        <f ca="1">IF('(直掃)Change to adc mapping '!AM122 &lt;&gt;-1,"0x" &amp; DEC2HEX('(直掃)Change to adc mapping '!AM122) &amp; ",",-1&amp; ",")</f>
        <v>0x8E,</v>
      </c>
      <c r="AN58" t="str">
        <f ca="1">IF('(直掃)Change to adc mapping '!AN122 &lt;&gt;-1,"0x" &amp; DEC2HEX('(直掃)Change to adc mapping '!AN122) &amp; ",",-1&amp; ",")</f>
        <v>0x8D,</v>
      </c>
      <c r="AO58" t="str">
        <f ca="1">IF('(直掃)Change to adc mapping '!AO122 &lt;&gt;-1,"0x" &amp; DEC2HEX('(直掃)Change to adc mapping '!AO122) &amp; ",",-1&amp; ",")</f>
        <v>0x8C,</v>
      </c>
      <c r="AP58" t="str">
        <f ca="1">IF('(直掃)Change to adc mapping '!AP122 &lt;&gt;-1,"0x" &amp; DEC2HEX('(直掃)Change to adc mapping '!AP122) &amp; ",",-1&amp; ",")</f>
        <v>0x8B,</v>
      </c>
      <c r="AQ58" t="str">
        <f ca="1">IF('(直掃)Change to adc mapping '!AQ122 &lt;&gt;-1,"0x" &amp; DEC2HEX('(直掃)Change to adc mapping '!AQ122) &amp; ",",-1&amp; ",")</f>
        <v>0x8A,</v>
      </c>
      <c r="AR58" t="str">
        <f ca="1">IF('(直掃)Change to adc mapping '!AR122 &lt;&gt;-1,"0x" &amp; DEC2HEX('(直掃)Change to adc mapping '!AR122) &amp; ",",-1&amp; ",")</f>
        <v>0x89,</v>
      </c>
      <c r="AS58" t="str">
        <f ca="1">IF('(直掃)Change to adc mapping '!AS122 &lt;&gt;-1,"0x" &amp; DEC2HEX('(直掃)Change to adc mapping '!AS122) &amp; ",",-1&amp; ",")</f>
        <v>0x88,</v>
      </c>
      <c r="AT58" t="str">
        <f ca="1">IF('(直掃)Change to adc mapping '!AT122 &lt;&gt;-1,"0x" &amp; DEC2HEX('(直掃)Change to adc mapping '!AT122) &amp; ",",-1&amp; ",")</f>
        <v>0x87,</v>
      </c>
      <c r="AU58" t="str">
        <f ca="1">IF('(直掃)Change to adc mapping '!AU122 &lt;&gt;-1,"0x" &amp; DEC2HEX('(直掃)Change to adc mapping '!AU122) &amp; ",",-1&amp; ",")</f>
        <v>0x86,</v>
      </c>
      <c r="AV58" t="str">
        <f ca="1">IF('(直掃)Change to adc mapping '!AV122 &lt;&gt;-1,"0x" &amp; DEC2HEX('(直掃)Change to adc mapping '!AV122) &amp; ",",-1&amp; ",")</f>
        <v>0x85,</v>
      </c>
      <c r="AW58" t="str">
        <f ca="1">IF('(直掃)Change to adc mapping '!AW122 &lt;&gt;-1,"0x" &amp; DEC2HEX('(直掃)Change to adc mapping '!AW122) &amp; ",",-1&amp; ",")</f>
        <v>0x84,</v>
      </c>
      <c r="AX58" t="str">
        <f ca="1">IF('(直掃)Change to adc mapping '!AX122 &lt;&gt;-1,"0x" &amp; DEC2HEX('(直掃)Change to adc mapping '!AX122) &amp; ",",-1&amp; ",")</f>
        <v>0x83,</v>
      </c>
      <c r="AY58" t="str">
        <f ca="1">IF('(直掃)Change to adc mapping '!AY122 &lt;&gt;-1,"0x" &amp; DEC2HEX('(直掃)Change to adc mapping '!AY122) &amp; ",",-1&amp; ",")</f>
        <v>0x82,</v>
      </c>
      <c r="AZ58" t="str">
        <f ca="1">IF('(直掃)Change to adc mapping '!AZ122 &lt;&gt;-1,"0x" &amp; DEC2HEX('(直掃)Change to adc mapping '!AZ122) &amp; ",",-1&amp; ",")</f>
        <v>0x81,</v>
      </c>
      <c r="BA58" t="str">
        <f ca="1">IF('(直掃)Change to adc mapping '!BA122 &lt;&gt;-1,"0x" &amp; DEC2HEX('(直掃)Change to adc mapping '!BA122) &amp; ",",-1&amp; ",")</f>
        <v>0x80,</v>
      </c>
      <c r="BB58" t="str">
        <f ca="1">IF('(直掃)Change to adc mapping '!BB122 &lt;&gt;-1,"0x" &amp; DEC2HEX('(直掃)Change to adc mapping '!BB122) &amp; ",",-1&amp; ",")</f>
        <v>0x7F,</v>
      </c>
      <c r="BC58" t="str">
        <f ca="1">IF('(直掃)Change to adc mapping '!BC122 &lt;&gt;-1,"0x" &amp; DEC2HEX('(直掃)Change to adc mapping '!BC122) &amp; ",",-1&amp; ",")</f>
        <v>0x7E,</v>
      </c>
      <c r="BD58" t="str">
        <f ca="1">IF('(直掃)Change to adc mapping '!BD122 &lt;&gt;-1,"0x" &amp; DEC2HEX('(直掃)Change to adc mapping '!BD122) &amp; ",",-1&amp; ",")</f>
        <v>0x7D,</v>
      </c>
      <c r="BE58" t="str">
        <f ca="1">IF('(直掃)Change to adc mapping '!BE122 &lt;&gt;-1,"0x" &amp; DEC2HEX('(直掃)Change to adc mapping '!BE122) &amp; ",",-1&amp; ",")</f>
        <v>0x7C,</v>
      </c>
      <c r="BF58" t="str">
        <f ca="1">IF('(直掃)Change to adc mapping '!BF122 &lt;&gt;-1,"0x" &amp; DEC2HEX('(直掃)Change to adc mapping '!BF122) &amp; ",",-1&amp; ",")</f>
        <v>0x7B,</v>
      </c>
      <c r="BG58" t="str">
        <f ca="1">IF('(直掃)Change to adc mapping '!BG122 &lt;&gt;-1,"0x" &amp; DEC2HEX('(直掃)Change to adc mapping '!BG122) &amp; ",",-1&amp; ",")</f>
        <v>0x7A,</v>
      </c>
      <c r="BH58" t="str">
        <f ca="1">IF('(直掃)Change to adc mapping '!BH122 &lt;&gt;-1,"0x" &amp; DEC2HEX('(直掃)Change to adc mapping '!BH122) &amp; ",",-1&amp; ",")</f>
        <v>0x79,</v>
      </c>
      <c r="BI58" t="str">
        <f ca="1">IF('(直掃)Change to adc mapping '!BI122 &lt;&gt;-1,"0x" &amp; DEC2HEX('(直掃)Change to adc mapping '!BI122) &amp; ",",-1&amp; ",")</f>
        <v>0x78,</v>
      </c>
    </row>
    <row r="59" spans="1:61" x14ac:dyDescent="0.25">
      <c r="A59" s="20">
        <v>58</v>
      </c>
      <c r="B59" t="str">
        <f ca="1">'(直掃)Change to adc mapping '!B123 &amp; ","</f>
        <v>9999,</v>
      </c>
      <c r="C59" t="str">
        <f ca="1">'(直掃)Change to adc mapping '!C123 &amp; ","</f>
        <v>9999,</v>
      </c>
      <c r="D59" t="str">
        <f ca="1">'(直掃)Change to adc mapping '!D123 &amp; ","</f>
        <v>9999,</v>
      </c>
      <c r="E59" t="str">
        <f ca="1">'(直掃)Change to adc mapping '!E123 &amp; ","</f>
        <v>9999,</v>
      </c>
      <c r="F59" t="str">
        <f ca="1">'(直掃)Change to adc mapping '!F123 &amp; ","</f>
        <v>9999,</v>
      </c>
      <c r="G59" t="str">
        <f ca="1">'(直掃)Change to adc mapping '!G123 &amp; ","</f>
        <v>9999,</v>
      </c>
      <c r="H59" t="str">
        <f ca="1">'(直掃)Change to adc mapping '!H123 &amp; ","</f>
        <v>9999,</v>
      </c>
      <c r="I59" t="str">
        <f ca="1">'(直掃)Change to adc mapping '!I123 &amp; ","</f>
        <v>9999,</v>
      </c>
      <c r="J59" t="str">
        <f ca="1">'(直掃)Change to adc mapping '!J123 &amp; ","</f>
        <v>9999,</v>
      </c>
      <c r="K59" t="str">
        <f ca="1">'(直掃)Change to adc mapping '!K123 &amp; ","</f>
        <v>9999,</v>
      </c>
      <c r="L59" t="str">
        <f ca="1">'(直掃)Change to adc mapping '!L123 &amp; ","</f>
        <v>9999,</v>
      </c>
      <c r="M59" t="str">
        <f ca="1">'(直掃)Change to adc mapping '!M123 &amp; ","</f>
        <v>9999,</v>
      </c>
      <c r="N59" t="str">
        <f ca="1">'(直掃)Change to adc mapping '!N123 &amp; ","</f>
        <v>9999,</v>
      </c>
      <c r="O59" t="str">
        <f ca="1">'(直掃)Change to adc mapping '!O123 &amp; ","</f>
        <v>9999,</v>
      </c>
      <c r="P59" t="str">
        <f ca="1">'(直掃)Change to adc mapping '!P123 &amp; ","</f>
        <v>9999,</v>
      </c>
      <c r="Q59" t="str">
        <f ca="1">'(直掃)Change to adc mapping '!Q123 &amp; ","</f>
        <v>9999,</v>
      </c>
      <c r="R59" t="str">
        <f ca="1">'(直掃)Change to adc mapping '!R123 &amp; ","</f>
        <v>9999,</v>
      </c>
      <c r="S59" t="str">
        <f ca="1">'(直掃)Change to adc mapping '!S123 &amp; ","</f>
        <v>9999,</v>
      </c>
      <c r="T59" t="str">
        <f ca="1">'(直掃)Change to adc mapping '!T123 &amp; ","</f>
        <v>9999,</v>
      </c>
      <c r="U59" t="str">
        <f ca="1">'(直掃)Change to adc mapping '!U123 &amp; ","</f>
        <v>9999,</v>
      </c>
      <c r="V59" t="str">
        <f ca="1">'(直掃)Change to adc mapping '!V123 &amp; ","</f>
        <v>9999,</v>
      </c>
      <c r="W59" t="str">
        <f ca="1">'(直掃)Change to adc mapping '!W123 &amp; ","</f>
        <v>9999,</v>
      </c>
      <c r="X59" t="str">
        <f ca="1">'(直掃)Change to adc mapping '!X123 &amp; ","</f>
        <v>9999,</v>
      </c>
      <c r="Y59" t="str">
        <f ca="1">IF('(直掃)Change to adc mapping '!Y123 &lt;&gt;-1,"0x" &amp; DEC2HEX('(直掃)Change to adc mapping '!Y123) &amp; ",",-1&amp; ",")</f>
        <v>-1,</v>
      </c>
      <c r="Z59" t="str">
        <f ca="1">IF('(直掃)Change to adc mapping '!Z123 &lt;&gt;-1,"0x" &amp; DEC2HEX('(直掃)Change to adc mapping '!Z123) &amp; ",",-1&amp; ",")</f>
        <v>-1,</v>
      </c>
      <c r="AA59" t="str">
        <f ca="1">IF('(直掃)Change to adc mapping '!AA123 &lt;&gt;-1,"0x" &amp; DEC2HEX('(直掃)Change to adc mapping '!AA123) &amp; ",",-1&amp; ",")</f>
        <v>-1,</v>
      </c>
      <c r="AB59" t="str">
        <f ca="1">IF('(直掃)Change to adc mapping '!AB123 &lt;&gt;-1,"0x" &amp; DEC2HEX('(直掃)Change to adc mapping '!AB123) &amp; ",",-1&amp; ",")</f>
        <v>-1,</v>
      </c>
      <c r="AC59" t="str">
        <f ca="1">IF('(直掃)Change to adc mapping '!AC123 &lt;&gt;-1,"0x" &amp; DEC2HEX('(直掃)Change to adc mapping '!AC123) &amp; ",",-1&amp; ",")</f>
        <v>-1,</v>
      </c>
      <c r="AD59" t="str">
        <f ca="1">IF('(直掃)Change to adc mapping '!AD123 &lt;&gt;-1,"0x" &amp; DEC2HEX('(直掃)Change to adc mapping '!AD123) &amp; ",",-1&amp; ",")</f>
        <v>-1,</v>
      </c>
      <c r="AE59" t="str">
        <f ca="1">IF('(直掃)Change to adc mapping '!AE123 &lt;&gt;-1,"0x" &amp; DEC2HEX('(直掃)Change to adc mapping '!AE123) &amp; ",",-1&amp; ",")</f>
        <v>-1,</v>
      </c>
      <c r="AF59" t="str">
        <f ca="1">IF('(直掃)Change to adc mapping '!AF123 &lt;&gt;-1,"0x" &amp; DEC2HEX('(直掃)Change to adc mapping '!AF123) &amp; ",",-1&amp; ",")</f>
        <v>0xD1,</v>
      </c>
      <c r="AG59" t="str">
        <f ca="1">IF('(直掃)Change to adc mapping '!AG123 &lt;&gt;-1,"0x" &amp; DEC2HEX('(直掃)Change to adc mapping '!AG123) &amp; ",",-1&amp; ",")</f>
        <v>0xD0,</v>
      </c>
      <c r="AH59" t="str">
        <f ca="1">IF('(直掃)Change to adc mapping '!AH123 &lt;&gt;-1,"0x" &amp; DEC2HEX('(直掃)Change to adc mapping '!AH123) &amp; ",",-1&amp; ",")</f>
        <v>0xCF,</v>
      </c>
      <c r="AI59" t="str">
        <f ca="1">IF('(直掃)Change to adc mapping '!AI123 &lt;&gt;-1,"0x" &amp; DEC2HEX('(直掃)Change to adc mapping '!AI123) &amp; ",",-1&amp; ",")</f>
        <v>0xCE,</v>
      </c>
      <c r="AJ59" t="str">
        <f ca="1">IF('(直掃)Change to adc mapping '!AJ123 &lt;&gt;-1,"0x" &amp; DEC2HEX('(直掃)Change to adc mapping '!AJ123) &amp; ",",-1&amp; ",")</f>
        <v>0xCD,</v>
      </c>
      <c r="AK59" t="str">
        <f ca="1">IF('(直掃)Change to adc mapping '!AK123 &lt;&gt;-1,"0x" &amp; DEC2HEX('(直掃)Change to adc mapping '!AK123) &amp; ",",-1&amp; ",")</f>
        <v>0xCC,</v>
      </c>
      <c r="AL59" t="str">
        <f ca="1">IF('(直掃)Change to adc mapping '!AL123 &lt;&gt;-1,"0x" &amp; DEC2HEX('(直掃)Change to adc mapping '!AL123) &amp; ",",-1&amp; ",")</f>
        <v>0xCB,</v>
      </c>
      <c r="AM59" t="str">
        <f ca="1">IF('(直掃)Change to adc mapping '!AM123 &lt;&gt;-1,"0x" &amp; DEC2HEX('(直掃)Change to adc mapping '!AM123) &amp; ",",-1&amp; ",")</f>
        <v>0xCA,</v>
      </c>
      <c r="AN59" t="str">
        <f ca="1">IF('(直掃)Change to adc mapping '!AN123 &lt;&gt;-1,"0x" &amp; DEC2HEX('(直掃)Change to adc mapping '!AN123) &amp; ",",-1&amp; ",")</f>
        <v>0xC9,</v>
      </c>
      <c r="AO59" t="str">
        <f ca="1">IF('(直掃)Change to adc mapping '!AO123 &lt;&gt;-1,"0x" &amp; DEC2HEX('(直掃)Change to adc mapping '!AO123) &amp; ",",-1&amp; ",")</f>
        <v>0xC8,</v>
      </c>
      <c r="AP59" t="str">
        <f ca="1">IF('(直掃)Change to adc mapping '!AP123 &lt;&gt;-1,"0x" &amp; DEC2HEX('(直掃)Change to adc mapping '!AP123) &amp; ",",-1&amp; ",")</f>
        <v>0xC7,</v>
      </c>
      <c r="AQ59" t="str">
        <f ca="1">IF('(直掃)Change to adc mapping '!AQ123 &lt;&gt;-1,"0x" &amp; DEC2HEX('(直掃)Change to adc mapping '!AQ123) &amp; ",",-1&amp; ",")</f>
        <v>0xC6,</v>
      </c>
      <c r="AR59" t="str">
        <f ca="1">IF('(直掃)Change to adc mapping '!AR123 &lt;&gt;-1,"0x" &amp; DEC2HEX('(直掃)Change to adc mapping '!AR123) &amp; ",",-1&amp; ",")</f>
        <v>0xC5,</v>
      </c>
      <c r="AS59" t="str">
        <f ca="1">IF('(直掃)Change to adc mapping '!AS123 &lt;&gt;-1,"0x" &amp; DEC2HEX('(直掃)Change to adc mapping '!AS123) &amp; ",",-1&amp; ",")</f>
        <v>0xC4,</v>
      </c>
      <c r="AT59" t="str">
        <f ca="1">IF('(直掃)Change to adc mapping '!AT123 &lt;&gt;-1,"0x" &amp; DEC2HEX('(直掃)Change to adc mapping '!AT123) &amp; ",",-1&amp; ",")</f>
        <v>0xC3,</v>
      </c>
      <c r="AU59" t="str">
        <f ca="1">IF('(直掃)Change to adc mapping '!AU123 &lt;&gt;-1,"0x" &amp; DEC2HEX('(直掃)Change to adc mapping '!AU123) &amp; ",",-1&amp; ",")</f>
        <v>0xC2,</v>
      </c>
      <c r="AV59" t="str">
        <f ca="1">IF('(直掃)Change to adc mapping '!AV123 &lt;&gt;-1,"0x" &amp; DEC2HEX('(直掃)Change to adc mapping '!AV123) &amp; ",",-1&amp; ",")</f>
        <v>0xC1,</v>
      </c>
      <c r="AW59" t="str">
        <f ca="1">IF('(直掃)Change to adc mapping '!AW123 &lt;&gt;-1,"0x" &amp; DEC2HEX('(直掃)Change to adc mapping '!AW123) &amp; ",",-1&amp; ",")</f>
        <v>0xC0,</v>
      </c>
      <c r="AX59" t="str">
        <f ca="1">IF('(直掃)Change to adc mapping '!AX123 &lt;&gt;-1,"0x" &amp; DEC2HEX('(直掃)Change to adc mapping '!AX123) &amp; ",",-1&amp; ",")</f>
        <v>0xBF,</v>
      </c>
      <c r="AY59" t="str">
        <f ca="1">IF('(直掃)Change to adc mapping '!AY123 &lt;&gt;-1,"0x" &amp; DEC2HEX('(直掃)Change to adc mapping '!AY123) &amp; ",",-1&amp; ",")</f>
        <v>0xBE,</v>
      </c>
      <c r="AZ59" t="str">
        <f ca="1">IF('(直掃)Change to adc mapping '!AZ123 &lt;&gt;-1,"0x" &amp; DEC2HEX('(直掃)Change to adc mapping '!AZ123) &amp; ",",-1&amp; ",")</f>
        <v>0xBD,</v>
      </c>
      <c r="BA59" t="str">
        <f ca="1">IF('(直掃)Change to adc mapping '!BA123 &lt;&gt;-1,"0x" &amp; DEC2HEX('(直掃)Change to adc mapping '!BA123) &amp; ",",-1&amp; ",")</f>
        <v>0xBC,</v>
      </c>
      <c r="BB59" t="str">
        <f ca="1">IF('(直掃)Change to adc mapping '!BB123 &lt;&gt;-1,"0x" &amp; DEC2HEX('(直掃)Change to adc mapping '!BB123) &amp; ",",-1&amp; ",")</f>
        <v>0xBB,</v>
      </c>
      <c r="BC59" t="str">
        <f ca="1">IF('(直掃)Change to adc mapping '!BC123 &lt;&gt;-1,"0x" &amp; DEC2HEX('(直掃)Change to adc mapping '!BC123) &amp; ",",-1&amp; ",")</f>
        <v>0xBA,</v>
      </c>
      <c r="BD59" t="str">
        <f ca="1">IF('(直掃)Change to adc mapping '!BD123 &lt;&gt;-1,"0x" &amp; DEC2HEX('(直掃)Change to adc mapping '!BD123) &amp; ",",-1&amp; ",")</f>
        <v>0xB9,</v>
      </c>
      <c r="BE59" t="str">
        <f ca="1">IF('(直掃)Change to adc mapping '!BE123 &lt;&gt;-1,"0x" &amp; DEC2HEX('(直掃)Change to adc mapping '!BE123) &amp; ",",-1&amp; ",")</f>
        <v>0xB8,</v>
      </c>
      <c r="BF59" t="str">
        <f ca="1">IF('(直掃)Change to adc mapping '!BF123 &lt;&gt;-1,"0x" &amp; DEC2HEX('(直掃)Change to adc mapping '!BF123) &amp; ",",-1&amp; ",")</f>
        <v>0xB7,</v>
      </c>
      <c r="BG59" t="str">
        <f ca="1">IF('(直掃)Change to adc mapping '!BG123 &lt;&gt;-1,"0x" &amp; DEC2HEX('(直掃)Change to adc mapping '!BG123) &amp; ",",-1&amp; ",")</f>
        <v>0xB6,</v>
      </c>
      <c r="BH59" t="str">
        <f ca="1">IF('(直掃)Change to adc mapping '!BH123 &lt;&gt;-1,"0x" &amp; DEC2HEX('(直掃)Change to adc mapping '!BH123) &amp; ",",-1&amp; ",")</f>
        <v>0xB5,</v>
      </c>
      <c r="BI59" t="str">
        <f ca="1">IF('(直掃)Change to adc mapping '!BI123 &lt;&gt;-1,"0x" &amp; DEC2HEX('(直掃)Change to adc mapping '!BI123) &amp; ",",-1&amp; ",")</f>
        <v>0xB4,</v>
      </c>
    </row>
    <row r="60" spans="1:61" x14ac:dyDescent="0.25">
      <c r="A60" s="20">
        <v>59</v>
      </c>
      <c r="B60" t="str">
        <f ca="1">'(直掃)Change to adc mapping '!B124 &amp; ","</f>
        <v>9999,</v>
      </c>
      <c r="C60" t="str">
        <f ca="1">'(直掃)Change to adc mapping '!C124 &amp; ","</f>
        <v>9999,</v>
      </c>
      <c r="D60" t="str">
        <f ca="1">'(直掃)Change to adc mapping '!D124 &amp; ","</f>
        <v>9999,</v>
      </c>
      <c r="E60" t="str">
        <f ca="1">'(直掃)Change to adc mapping '!E124 &amp; ","</f>
        <v>9999,</v>
      </c>
      <c r="F60" t="str">
        <f ca="1">'(直掃)Change to adc mapping '!F124 &amp; ","</f>
        <v>9999,</v>
      </c>
      <c r="G60" t="str">
        <f ca="1">'(直掃)Change to adc mapping '!G124 &amp; ","</f>
        <v>9999,</v>
      </c>
      <c r="H60" t="str">
        <f ca="1">'(直掃)Change to adc mapping '!H124 &amp; ","</f>
        <v>9999,</v>
      </c>
      <c r="I60" t="str">
        <f ca="1">'(直掃)Change to adc mapping '!I124 &amp; ","</f>
        <v>9999,</v>
      </c>
      <c r="J60" t="str">
        <f ca="1">'(直掃)Change to adc mapping '!J124 &amp; ","</f>
        <v>9999,</v>
      </c>
      <c r="K60" t="str">
        <f ca="1">'(直掃)Change to adc mapping '!K124 &amp; ","</f>
        <v>9999,</v>
      </c>
      <c r="L60" t="str">
        <f ca="1">'(直掃)Change to adc mapping '!L124 &amp; ","</f>
        <v>9999,</v>
      </c>
      <c r="M60" t="str">
        <f ca="1">'(直掃)Change to adc mapping '!M124 &amp; ","</f>
        <v>9999,</v>
      </c>
      <c r="N60" t="str">
        <f ca="1">'(直掃)Change to adc mapping '!N124 &amp; ","</f>
        <v>9999,</v>
      </c>
      <c r="O60" t="str">
        <f ca="1">'(直掃)Change to adc mapping '!O124 &amp; ","</f>
        <v>9999,</v>
      </c>
      <c r="P60" t="str">
        <f ca="1">'(直掃)Change to adc mapping '!P124 &amp; ","</f>
        <v>9999,</v>
      </c>
      <c r="Q60" t="str">
        <f ca="1">'(直掃)Change to adc mapping '!Q124 &amp; ","</f>
        <v>9999,</v>
      </c>
      <c r="R60" t="str">
        <f ca="1">'(直掃)Change to adc mapping '!R124 &amp; ","</f>
        <v>9999,</v>
      </c>
      <c r="S60" t="str">
        <f ca="1">'(直掃)Change to adc mapping '!S124 &amp; ","</f>
        <v>9999,</v>
      </c>
      <c r="T60" t="str">
        <f ca="1">'(直掃)Change to adc mapping '!T124 &amp; ","</f>
        <v>9999,</v>
      </c>
      <c r="U60" t="str">
        <f ca="1">'(直掃)Change to adc mapping '!U124 &amp; ","</f>
        <v>9999,</v>
      </c>
      <c r="V60" t="str">
        <f ca="1">'(直掃)Change to adc mapping '!V124 &amp; ","</f>
        <v>9999,</v>
      </c>
      <c r="W60" t="str">
        <f ca="1">'(直掃)Change to adc mapping '!W124 &amp; ","</f>
        <v>9999,</v>
      </c>
      <c r="X60" t="str">
        <f ca="1">'(直掃)Change to adc mapping '!X124 &amp; ","</f>
        <v>9999,</v>
      </c>
      <c r="Y60" t="str">
        <f ca="1">IF('(直掃)Change to adc mapping '!Y124 &lt;&gt;-1,"0x" &amp; DEC2HEX('(直掃)Change to adc mapping '!Y124) &amp; ",",-1&amp; ",")</f>
        <v>-1,</v>
      </c>
      <c r="Z60" t="str">
        <f ca="1">IF('(直掃)Change to adc mapping '!Z124 &lt;&gt;-1,"0x" &amp; DEC2HEX('(直掃)Change to adc mapping '!Z124) &amp; ",",-1&amp; ",")</f>
        <v>-1,</v>
      </c>
      <c r="AA60" t="str">
        <f ca="1">IF('(直掃)Change to adc mapping '!AA124 &lt;&gt;-1,"0x" &amp; DEC2HEX('(直掃)Change to adc mapping '!AA124) &amp; ",",-1&amp; ",")</f>
        <v>-1,</v>
      </c>
      <c r="AB60" t="str">
        <f ca="1">IF('(直掃)Change to adc mapping '!AB124 &lt;&gt;-1,"0x" &amp; DEC2HEX('(直掃)Change to adc mapping '!AB124) &amp; ",",-1&amp; ",")</f>
        <v>-1,</v>
      </c>
      <c r="AC60" t="str">
        <f ca="1">IF('(直掃)Change to adc mapping '!AC124 &lt;&gt;-1,"0x" &amp; DEC2HEX('(直掃)Change to adc mapping '!AC124) &amp; ",",-1&amp; ",")</f>
        <v>-1,</v>
      </c>
      <c r="AD60" t="str">
        <f ca="1">IF('(直掃)Change to adc mapping '!AD124 &lt;&gt;-1,"0x" &amp; DEC2HEX('(直掃)Change to adc mapping '!AD124) &amp; ",",-1&amp; ",")</f>
        <v>-1,</v>
      </c>
      <c r="AE60" t="str">
        <f ca="1">IF('(直掃)Change to adc mapping '!AE124 &lt;&gt;-1,"0x" &amp; DEC2HEX('(直掃)Change to adc mapping '!AE124) &amp; ",",-1&amp; ",")</f>
        <v>-1,</v>
      </c>
      <c r="AF60" t="str">
        <f ca="1">IF('(直掃)Change to adc mapping '!AF124 &lt;&gt;-1,"0x" &amp; DEC2HEX('(直掃)Change to adc mapping '!AF124) &amp; ",",-1&amp; ",")</f>
        <v>0xB3,</v>
      </c>
      <c r="AG60" t="str">
        <f ca="1">IF('(直掃)Change to adc mapping '!AG124 &lt;&gt;-1,"0x" &amp; DEC2HEX('(直掃)Change to adc mapping '!AG124) &amp; ",",-1&amp; ",")</f>
        <v>0xB2,</v>
      </c>
      <c r="AH60" t="str">
        <f ca="1">IF('(直掃)Change to adc mapping '!AH124 &lt;&gt;-1,"0x" &amp; DEC2HEX('(直掃)Change to adc mapping '!AH124) &amp; ",",-1&amp; ",")</f>
        <v>0xB1,</v>
      </c>
      <c r="AI60" t="str">
        <f ca="1">IF('(直掃)Change to adc mapping '!AI124 &lt;&gt;-1,"0x" &amp; DEC2HEX('(直掃)Change to adc mapping '!AI124) &amp; ",",-1&amp; ",")</f>
        <v>0xB0,</v>
      </c>
      <c r="AJ60" t="str">
        <f ca="1">IF('(直掃)Change to adc mapping '!AJ124 &lt;&gt;-1,"0x" &amp; DEC2HEX('(直掃)Change to adc mapping '!AJ124) &amp; ",",-1&amp; ",")</f>
        <v>0xAF,</v>
      </c>
      <c r="AK60" t="str">
        <f ca="1">IF('(直掃)Change to adc mapping '!AK124 &lt;&gt;-1,"0x" &amp; DEC2HEX('(直掃)Change to adc mapping '!AK124) &amp; ",",-1&amp; ",")</f>
        <v>0xAE,</v>
      </c>
      <c r="AL60" t="str">
        <f ca="1">IF('(直掃)Change to adc mapping '!AL124 &lt;&gt;-1,"0x" &amp; DEC2HEX('(直掃)Change to adc mapping '!AL124) &amp; ",",-1&amp; ",")</f>
        <v>0xAD,</v>
      </c>
      <c r="AM60" t="str">
        <f ca="1">IF('(直掃)Change to adc mapping '!AM124 &lt;&gt;-1,"0x" &amp; DEC2HEX('(直掃)Change to adc mapping '!AM124) &amp; ",",-1&amp; ",")</f>
        <v>0xAC,</v>
      </c>
      <c r="AN60" t="str">
        <f ca="1">IF('(直掃)Change to adc mapping '!AN124 &lt;&gt;-1,"0x" &amp; DEC2HEX('(直掃)Change to adc mapping '!AN124) &amp; ",",-1&amp; ",")</f>
        <v>0xAB,</v>
      </c>
      <c r="AO60" t="str">
        <f ca="1">IF('(直掃)Change to adc mapping '!AO124 &lt;&gt;-1,"0x" &amp; DEC2HEX('(直掃)Change to adc mapping '!AO124) &amp; ",",-1&amp; ",")</f>
        <v>0xAA,</v>
      </c>
      <c r="AP60" t="str">
        <f ca="1">IF('(直掃)Change to adc mapping '!AP124 &lt;&gt;-1,"0x" &amp; DEC2HEX('(直掃)Change to adc mapping '!AP124) &amp; ",",-1&amp; ",")</f>
        <v>0xA9,</v>
      </c>
      <c r="AQ60" t="str">
        <f ca="1">IF('(直掃)Change to adc mapping '!AQ124 &lt;&gt;-1,"0x" &amp; DEC2HEX('(直掃)Change to adc mapping '!AQ124) &amp; ",",-1&amp; ",")</f>
        <v>0xA8,</v>
      </c>
      <c r="AR60" t="str">
        <f ca="1">IF('(直掃)Change to adc mapping '!AR124 &lt;&gt;-1,"0x" &amp; DEC2HEX('(直掃)Change to adc mapping '!AR124) &amp; ",",-1&amp; ",")</f>
        <v>0xA7,</v>
      </c>
      <c r="AS60" t="str">
        <f ca="1">IF('(直掃)Change to adc mapping '!AS124 &lt;&gt;-1,"0x" &amp; DEC2HEX('(直掃)Change to adc mapping '!AS124) &amp; ",",-1&amp; ",")</f>
        <v>0xA6,</v>
      </c>
      <c r="AT60" t="str">
        <f ca="1">IF('(直掃)Change to adc mapping '!AT124 &lt;&gt;-1,"0x" &amp; DEC2HEX('(直掃)Change to adc mapping '!AT124) &amp; ",",-1&amp; ",")</f>
        <v>0xA5,</v>
      </c>
      <c r="AU60" t="str">
        <f ca="1">IF('(直掃)Change to adc mapping '!AU124 &lt;&gt;-1,"0x" &amp; DEC2HEX('(直掃)Change to adc mapping '!AU124) &amp; ",",-1&amp; ",")</f>
        <v>0xA4,</v>
      </c>
      <c r="AV60" t="str">
        <f ca="1">IF('(直掃)Change to adc mapping '!AV124 &lt;&gt;-1,"0x" &amp; DEC2HEX('(直掃)Change to adc mapping '!AV124) &amp; ",",-1&amp; ",")</f>
        <v>0xA3,</v>
      </c>
      <c r="AW60" t="str">
        <f ca="1">IF('(直掃)Change to adc mapping '!AW124 &lt;&gt;-1,"0x" &amp; DEC2HEX('(直掃)Change to adc mapping '!AW124) &amp; ",",-1&amp; ",")</f>
        <v>0xA2,</v>
      </c>
      <c r="AX60" t="str">
        <f ca="1">IF('(直掃)Change to adc mapping '!AX124 &lt;&gt;-1,"0x" &amp; DEC2HEX('(直掃)Change to adc mapping '!AX124) &amp; ",",-1&amp; ",")</f>
        <v>0xA1,</v>
      </c>
      <c r="AY60" t="str">
        <f ca="1">IF('(直掃)Change to adc mapping '!AY124 &lt;&gt;-1,"0x" &amp; DEC2HEX('(直掃)Change to adc mapping '!AY124) &amp; ",",-1&amp; ",")</f>
        <v>0xA0,</v>
      </c>
      <c r="AZ60" t="str">
        <f ca="1">IF('(直掃)Change to adc mapping '!AZ124 &lt;&gt;-1,"0x" &amp; DEC2HEX('(直掃)Change to adc mapping '!AZ124) &amp; ",",-1&amp; ",")</f>
        <v>0x9F,</v>
      </c>
      <c r="BA60" t="str">
        <f ca="1">IF('(直掃)Change to adc mapping '!BA124 &lt;&gt;-1,"0x" &amp; DEC2HEX('(直掃)Change to adc mapping '!BA124) &amp; ",",-1&amp; ",")</f>
        <v>0x9E,</v>
      </c>
      <c r="BB60" t="str">
        <f ca="1">IF('(直掃)Change to adc mapping '!BB124 &lt;&gt;-1,"0x" &amp; DEC2HEX('(直掃)Change to adc mapping '!BB124) &amp; ",",-1&amp; ",")</f>
        <v>0x9D,</v>
      </c>
      <c r="BC60" t="str">
        <f ca="1">IF('(直掃)Change to adc mapping '!BC124 &lt;&gt;-1,"0x" &amp; DEC2HEX('(直掃)Change to adc mapping '!BC124) &amp; ",",-1&amp; ",")</f>
        <v>0x9C,</v>
      </c>
      <c r="BD60" t="str">
        <f ca="1">IF('(直掃)Change to adc mapping '!BD124 &lt;&gt;-1,"0x" &amp; DEC2HEX('(直掃)Change to adc mapping '!BD124) &amp; ",",-1&amp; ",")</f>
        <v>0x9B,</v>
      </c>
      <c r="BE60" t="str">
        <f ca="1">IF('(直掃)Change to adc mapping '!BE124 &lt;&gt;-1,"0x" &amp; DEC2HEX('(直掃)Change to adc mapping '!BE124) &amp; ",",-1&amp; ",")</f>
        <v>0x9A,</v>
      </c>
      <c r="BF60" t="str">
        <f ca="1">IF('(直掃)Change to adc mapping '!BF124 &lt;&gt;-1,"0x" &amp; DEC2HEX('(直掃)Change to adc mapping '!BF124) &amp; ",",-1&amp; ",")</f>
        <v>0x99,</v>
      </c>
      <c r="BG60" t="str">
        <f ca="1">IF('(直掃)Change to adc mapping '!BG124 &lt;&gt;-1,"0x" &amp; DEC2HEX('(直掃)Change to adc mapping '!BG124) &amp; ",",-1&amp; ",")</f>
        <v>0x98,</v>
      </c>
      <c r="BH60" t="str">
        <f ca="1">IF('(直掃)Change to adc mapping '!BH124 &lt;&gt;-1,"0x" &amp; DEC2HEX('(直掃)Change to adc mapping '!BH124) &amp; ",",-1&amp; ",")</f>
        <v>0x97,</v>
      </c>
      <c r="BI60" t="str">
        <f ca="1">IF('(直掃)Change to adc mapping '!BI124 &lt;&gt;-1,"0x" &amp; DEC2HEX('(直掃)Change to adc mapping '!BI124) &amp; ",",-1&amp; ",")</f>
        <v>0x96,</v>
      </c>
    </row>
    <row r="61" spans="1:61" x14ac:dyDescent="0.25">
      <c r="A61" s="20">
        <v>60</v>
      </c>
      <c r="B61" t="str">
        <f ca="1">'(直掃)Change to adc mapping '!B125 &amp; ","</f>
        <v>9999,</v>
      </c>
      <c r="C61" t="str">
        <f ca="1">'(直掃)Change to adc mapping '!C125 &amp; ","</f>
        <v>9999,</v>
      </c>
      <c r="D61" t="str">
        <f ca="1">'(直掃)Change to adc mapping '!D125 &amp; ","</f>
        <v>9999,</v>
      </c>
      <c r="E61" t="str">
        <f ca="1">'(直掃)Change to adc mapping '!E125 &amp; ","</f>
        <v>9999,</v>
      </c>
      <c r="F61" t="str">
        <f ca="1">'(直掃)Change to adc mapping '!F125 &amp; ","</f>
        <v>9999,</v>
      </c>
      <c r="G61" t="str">
        <f ca="1">'(直掃)Change to adc mapping '!G125 &amp; ","</f>
        <v>9999,</v>
      </c>
      <c r="H61" t="str">
        <f ca="1">'(直掃)Change to adc mapping '!H125 &amp; ","</f>
        <v>9999,</v>
      </c>
      <c r="I61" t="str">
        <f ca="1">'(直掃)Change to adc mapping '!I125 &amp; ","</f>
        <v>9999,</v>
      </c>
      <c r="J61" t="str">
        <f ca="1">'(直掃)Change to adc mapping '!J125 &amp; ","</f>
        <v>9999,</v>
      </c>
      <c r="K61" t="str">
        <f ca="1">'(直掃)Change to adc mapping '!K125 &amp; ","</f>
        <v>9999,</v>
      </c>
      <c r="L61" t="str">
        <f ca="1">'(直掃)Change to adc mapping '!L125 &amp; ","</f>
        <v>9999,</v>
      </c>
      <c r="M61" t="str">
        <f ca="1">'(直掃)Change to adc mapping '!M125 &amp; ","</f>
        <v>9999,</v>
      </c>
      <c r="N61" t="str">
        <f ca="1">'(直掃)Change to adc mapping '!N125 &amp; ","</f>
        <v>9999,</v>
      </c>
      <c r="O61" t="str">
        <f ca="1">'(直掃)Change to adc mapping '!O125 &amp; ","</f>
        <v>9999,</v>
      </c>
      <c r="P61" t="str">
        <f ca="1">'(直掃)Change to adc mapping '!P125 &amp; ","</f>
        <v>9999,</v>
      </c>
      <c r="Q61" t="str">
        <f ca="1">'(直掃)Change to adc mapping '!Q125 &amp; ","</f>
        <v>9999,</v>
      </c>
      <c r="R61" t="str">
        <f ca="1">'(直掃)Change to adc mapping '!R125 &amp; ","</f>
        <v>9999,</v>
      </c>
      <c r="S61" t="str">
        <f ca="1">'(直掃)Change to adc mapping '!S125 &amp; ","</f>
        <v>9999,</v>
      </c>
      <c r="T61" t="str">
        <f ca="1">'(直掃)Change to adc mapping '!T125 &amp; ","</f>
        <v>9999,</v>
      </c>
      <c r="U61" t="str">
        <f ca="1">'(直掃)Change to adc mapping '!U125 &amp; ","</f>
        <v>9999,</v>
      </c>
      <c r="V61" t="str">
        <f ca="1">'(直掃)Change to adc mapping '!V125 &amp; ","</f>
        <v>9999,</v>
      </c>
      <c r="W61" t="str">
        <f ca="1">'(直掃)Change to adc mapping '!W125 &amp; ","</f>
        <v>9999,</v>
      </c>
      <c r="X61" t="str">
        <f ca="1">'(直掃)Change to adc mapping '!X125 &amp; ","</f>
        <v>9999,</v>
      </c>
      <c r="Y61" t="str">
        <f ca="1">IF('(直掃)Change to adc mapping '!Y125 &lt;&gt;-1,"0x" &amp; DEC2HEX('(直掃)Change to adc mapping '!Y125) &amp; ",",-1&amp; ",")</f>
        <v>-1,</v>
      </c>
      <c r="Z61" t="str">
        <f ca="1">IF('(直掃)Change to adc mapping '!Z125 &lt;&gt;-1,"0x" &amp; DEC2HEX('(直掃)Change to adc mapping '!Z125) &amp; ",",-1&amp; ",")</f>
        <v>-1,</v>
      </c>
      <c r="AA61" t="str">
        <f ca="1">IF('(直掃)Change to adc mapping '!AA125 &lt;&gt;-1,"0x" &amp; DEC2HEX('(直掃)Change to adc mapping '!AA125) &amp; ",",-1&amp; ",")</f>
        <v>-1,</v>
      </c>
      <c r="AB61" t="str">
        <f ca="1">IF('(直掃)Change to adc mapping '!AB125 &lt;&gt;-1,"0x" &amp; DEC2HEX('(直掃)Change to adc mapping '!AB125) &amp; ",",-1&amp; ",")</f>
        <v>-1,</v>
      </c>
      <c r="AC61" t="str">
        <f ca="1">IF('(直掃)Change to adc mapping '!AC125 &lt;&gt;-1,"0x" &amp; DEC2HEX('(直掃)Change to adc mapping '!AC125) &amp; ",",-1&amp; ",")</f>
        <v>-1,</v>
      </c>
      <c r="AD61" t="str">
        <f ca="1">IF('(直掃)Change to adc mapping '!AD125 &lt;&gt;-1,"0x" &amp; DEC2HEX('(直掃)Change to adc mapping '!AD125) &amp; ",",-1&amp; ",")</f>
        <v>-1,</v>
      </c>
      <c r="AE61" t="str">
        <f ca="1">IF('(直掃)Change to adc mapping '!AE125 &lt;&gt;-1,"0x" &amp; DEC2HEX('(直掃)Change to adc mapping '!AE125) &amp; ",",-1&amp; ",")</f>
        <v>-1,</v>
      </c>
      <c r="AF61" t="str">
        <f ca="1">IF('(直掃)Change to adc mapping '!AF125 &lt;&gt;-1,"0x" &amp; DEC2HEX('(直掃)Change to adc mapping '!AF125) &amp; ",",-1&amp; ",")</f>
        <v>0x95,</v>
      </c>
      <c r="AG61" t="str">
        <f ca="1">IF('(直掃)Change to adc mapping '!AG125 &lt;&gt;-1,"0x" &amp; DEC2HEX('(直掃)Change to adc mapping '!AG125) &amp; ",",-1&amp; ",")</f>
        <v>0x94,</v>
      </c>
      <c r="AH61" t="str">
        <f ca="1">IF('(直掃)Change to adc mapping '!AH125 &lt;&gt;-1,"0x" &amp; DEC2HEX('(直掃)Change to adc mapping '!AH125) &amp; ",",-1&amp; ",")</f>
        <v>0x93,</v>
      </c>
      <c r="AI61" t="str">
        <f ca="1">IF('(直掃)Change to adc mapping '!AI125 &lt;&gt;-1,"0x" &amp; DEC2HEX('(直掃)Change to adc mapping '!AI125) &amp; ",",-1&amp; ",")</f>
        <v>0x92,</v>
      </c>
      <c r="AJ61" t="str">
        <f ca="1">IF('(直掃)Change to adc mapping '!AJ125 &lt;&gt;-1,"0x" &amp; DEC2HEX('(直掃)Change to adc mapping '!AJ125) &amp; ",",-1&amp; ",")</f>
        <v>0x91,</v>
      </c>
      <c r="AK61" t="str">
        <f ca="1">IF('(直掃)Change to adc mapping '!AK125 &lt;&gt;-1,"0x" &amp; DEC2HEX('(直掃)Change to adc mapping '!AK125) &amp; ",",-1&amp; ",")</f>
        <v>0x90,</v>
      </c>
      <c r="AL61" t="str">
        <f ca="1">IF('(直掃)Change to adc mapping '!AL125 &lt;&gt;-1,"0x" &amp; DEC2HEX('(直掃)Change to adc mapping '!AL125) &amp; ",",-1&amp; ",")</f>
        <v>0x8F,</v>
      </c>
      <c r="AM61" t="str">
        <f ca="1">IF('(直掃)Change to adc mapping '!AM125 &lt;&gt;-1,"0x" &amp; DEC2HEX('(直掃)Change to adc mapping '!AM125) &amp; ",",-1&amp; ",")</f>
        <v>0x8E,</v>
      </c>
      <c r="AN61" t="str">
        <f ca="1">IF('(直掃)Change to adc mapping '!AN125 &lt;&gt;-1,"0x" &amp; DEC2HEX('(直掃)Change to adc mapping '!AN125) &amp; ",",-1&amp; ",")</f>
        <v>0x8D,</v>
      </c>
      <c r="AO61" t="str">
        <f ca="1">IF('(直掃)Change to adc mapping '!AO125 &lt;&gt;-1,"0x" &amp; DEC2HEX('(直掃)Change to adc mapping '!AO125) &amp; ",",-1&amp; ",")</f>
        <v>0x8C,</v>
      </c>
      <c r="AP61" t="str">
        <f ca="1">IF('(直掃)Change to adc mapping '!AP125 &lt;&gt;-1,"0x" &amp; DEC2HEX('(直掃)Change to adc mapping '!AP125) &amp; ",",-1&amp; ",")</f>
        <v>0x8B,</v>
      </c>
      <c r="AQ61" t="str">
        <f ca="1">IF('(直掃)Change to adc mapping '!AQ125 &lt;&gt;-1,"0x" &amp; DEC2HEX('(直掃)Change to adc mapping '!AQ125) &amp; ",",-1&amp; ",")</f>
        <v>0x8A,</v>
      </c>
      <c r="AR61" t="str">
        <f ca="1">IF('(直掃)Change to adc mapping '!AR125 &lt;&gt;-1,"0x" &amp; DEC2HEX('(直掃)Change to adc mapping '!AR125) &amp; ",",-1&amp; ",")</f>
        <v>0x89,</v>
      </c>
      <c r="AS61" t="str">
        <f ca="1">IF('(直掃)Change to adc mapping '!AS125 &lt;&gt;-1,"0x" &amp; DEC2HEX('(直掃)Change to adc mapping '!AS125) &amp; ",",-1&amp; ",")</f>
        <v>0x88,</v>
      </c>
      <c r="AT61" t="str">
        <f ca="1">IF('(直掃)Change to adc mapping '!AT125 &lt;&gt;-1,"0x" &amp; DEC2HEX('(直掃)Change to adc mapping '!AT125) &amp; ",",-1&amp; ",")</f>
        <v>0x87,</v>
      </c>
      <c r="AU61" t="str">
        <f ca="1">IF('(直掃)Change to adc mapping '!AU125 &lt;&gt;-1,"0x" &amp; DEC2HEX('(直掃)Change to adc mapping '!AU125) &amp; ",",-1&amp; ",")</f>
        <v>0x86,</v>
      </c>
      <c r="AV61" t="str">
        <f ca="1">IF('(直掃)Change to adc mapping '!AV125 &lt;&gt;-1,"0x" &amp; DEC2HEX('(直掃)Change to adc mapping '!AV125) &amp; ",",-1&amp; ",")</f>
        <v>0x85,</v>
      </c>
      <c r="AW61" t="str">
        <f ca="1">IF('(直掃)Change to adc mapping '!AW125 &lt;&gt;-1,"0x" &amp; DEC2HEX('(直掃)Change to adc mapping '!AW125) &amp; ",",-1&amp; ",")</f>
        <v>0x84,</v>
      </c>
      <c r="AX61" t="str">
        <f ca="1">IF('(直掃)Change to adc mapping '!AX125 &lt;&gt;-1,"0x" &amp; DEC2HEX('(直掃)Change to adc mapping '!AX125) &amp; ",",-1&amp; ",")</f>
        <v>0x83,</v>
      </c>
      <c r="AY61" t="str">
        <f ca="1">IF('(直掃)Change to adc mapping '!AY125 &lt;&gt;-1,"0x" &amp; DEC2HEX('(直掃)Change to adc mapping '!AY125) &amp; ",",-1&amp; ",")</f>
        <v>0x82,</v>
      </c>
      <c r="AZ61" t="str">
        <f ca="1">IF('(直掃)Change to adc mapping '!AZ125 &lt;&gt;-1,"0x" &amp; DEC2HEX('(直掃)Change to adc mapping '!AZ125) &amp; ",",-1&amp; ",")</f>
        <v>0x81,</v>
      </c>
      <c r="BA61" t="str">
        <f ca="1">IF('(直掃)Change to adc mapping '!BA125 &lt;&gt;-1,"0x" &amp; DEC2HEX('(直掃)Change to adc mapping '!BA125) &amp; ",",-1&amp; ",")</f>
        <v>0x80,</v>
      </c>
      <c r="BB61" t="str">
        <f ca="1">IF('(直掃)Change to adc mapping '!BB125 &lt;&gt;-1,"0x" &amp; DEC2HEX('(直掃)Change to adc mapping '!BB125) &amp; ",",-1&amp; ",")</f>
        <v>0x7F,</v>
      </c>
      <c r="BC61" t="str">
        <f ca="1">IF('(直掃)Change to adc mapping '!BC125 &lt;&gt;-1,"0x" &amp; DEC2HEX('(直掃)Change to adc mapping '!BC125) &amp; ",",-1&amp; ",")</f>
        <v>0x7E,</v>
      </c>
      <c r="BD61" t="str">
        <f ca="1">IF('(直掃)Change to adc mapping '!BD125 &lt;&gt;-1,"0x" &amp; DEC2HEX('(直掃)Change to adc mapping '!BD125) &amp; ",",-1&amp; ",")</f>
        <v>0x7D,</v>
      </c>
      <c r="BE61" t="str">
        <f ca="1">IF('(直掃)Change to adc mapping '!BE125 &lt;&gt;-1,"0x" &amp; DEC2HEX('(直掃)Change to adc mapping '!BE125) &amp; ",",-1&amp; ",")</f>
        <v>0x7C,</v>
      </c>
      <c r="BF61" t="str">
        <f ca="1">IF('(直掃)Change to adc mapping '!BF125 &lt;&gt;-1,"0x" &amp; DEC2HEX('(直掃)Change to adc mapping '!BF125) &amp; ",",-1&amp; ",")</f>
        <v>0x7B,</v>
      </c>
      <c r="BG61" t="str">
        <f ca="1">IF('(直掃)Change to adc mapping '!BG125 &lt;&gt;-1,"0x" &amp; DEC2HEX('(直掃)Change to adc mapping '!BG125) &amp; ",",-1&amp; ",")</f>
        <v>0x7A,</v>
      </c>
      <c r="BH61" t="str">
        <f ca="1">IF('(直掃)Change to adc mapping '!BH125 &lt;&gt;-1,"0x" &amp; DEC2HEX('(直掃)Change to adc mapping '!BH125) &amp; ",",-1&amp; ",")</f>
        <v>0x79,</v>
      </c>
      <c r="BI61" t="str">
        <f ca="1">IF('(直掃)Change to adc mapping '!BI125 &lt;&gt;-1,"0x" &amp; DEC2HEX('(直掃)Change to adc mapping '!BI125) &amp; ",",-1&amp; ",")</f>
        <v>0x78,</v>
      </c>
    </row>
  </sheetData>
  <dataConsolidate/>
  <phoneticPr fontId="2" type="noConversion"/>
  <conditionalFormatting sqref="B2:BI61">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BL61"/>
  <sheetViews>
    <sheetView zoomScale="70" zoomScaleNormal="70" workbookViewId="0">
      <selection activeCell="BL3" sqref="BK2:BL3"/>
    </sheetView>
  </sheetViews>
  <sheetFormatPr defaultColWidth="5.7109375" defaultRowHeight="15.75" x14ac:dyDescent="0.25"/>
  <cols>
    <col min="1" max="1" width="5.7109375" style="20"/>
  </cols>
  <sheetData>
    <row r="1" spans="1:64" s="20" customFormat="1" x14ac:dyDescent="0.25">
      <c r="B1" s="20">
        <v>1</v>
      </c>
      <c r="C1" s="20">
        <v>2</v>
      </c>
      <c r="D1" s="20">
        <v>3</v>
      </c>
      <c r="E1" s="20">
        <v>4</v>
      </c>
      <c r="F1" s="20">
        <v>5</v>
      </c>
      <c r="G1" s="20">
        <v>6</v>
      </c>
      <c r="H1" s="20">
        <v>7</v>
      </c>
      <c r="I1" s="20">
        <v>8</v>
      </c>
      <c r="J1" s="20">
        <v>9</v>
      </c>
      <c r="K1" s="20">
        <v>10</v>
      </c>
      <c r="L1" s="20">
        <v>11</v>
      </c>
      <c r="M1" s="20">
        <v>12</v>
      </c>
      <c r="N1" s="20">
        <v>13</v>
      </c>
      <c r="O1" s="20">
        <v>14</v>
      </c>
      <c r="P1" s="20">
        <v>15</v>
      </c>
      <c r="Q1" s="20">
        <v>16</v>
      </c>
      <c r="R1" s="20">
        <v>17</v>
      </c>
      <c r="S1" s="20">
        <v>18</v>
      </c>
      <c r="T1" s="20">
        <v>19</v>
      </c>
      <c r="U1" s="20">
        <v>20</v>
      </c>
      <c r="V1" s="20">
        <v>21</v>
      </c>
      <c r="W1" s="20">
        <v>22</v>
      </c>
      <c r="X1" s="20">
        <v>23</v>
      </c>
      <c r="Y1" s="20">
        <v>24</v>
      </c>
      <c r="Z1" s="20">
        <v>25</v>
      </c>
      <c r="AA1" s="20">
        <v>26</v>
      </c>
      <c r="AB1" s="20">
        <v>27</v>
      </c>
      <c r="AC1" s="20">
        <v>28</v>
      </c>
      <c r="AD1" s="20">
        <v>29</v>
      </c>
      <c r="AE1" s="20">
        <v>30</v>
      </c>
      <c r="AF1" s="20">
        <v>31</v>
      </c>
      <c r="AG1" s="20">
        <v>32</v>
      </c>
      <c r="AH1" s="20">
        <v>33</v>
      </c>
      <c r="AI1" s="20">
        <v>34</v>
      </c>
      <c r="AJ1" s="20">
        <v>35</v>
      </c>
      <c r="AK1" s="20">
        <v>36</v>
      </c>
      <c r="AL1" s="20">
        <v>37</v>
      </c>
      <c r="AM1" s="20">
        <v>38</v>
      </c>
      <c r="AN1" s="20">
        <v>39</v>
      </c>
      <c r="AO1" s="20">
        <v>40</v>
      </c>
      <c r="AP1" s="20">
        <v>41</v>
      </c>
      <c r="AQ1" s="20">
        <v>42</v>
      </c>
      <c r="AR1" s="20">
        <v>43</v>
      </c>
      <c r="AS1" s="20">
        <v>44</v>
      </c>
      <c r="AT1" s="20">
        <v>45</v>
      </c>
      <c r="AU1" s="20">
        <v>46</v>
      </c>
      <c r="AV1" s="20">
        <v>47</v>
      </c>
      <c r="AW1" s="20">
        <v>48</v>
      </c>
      <c r="AX1" s="20">
        <v>49</v>
      </c>
      <c r="AY1" s="20">
        <v>50</v>
      </c>
      <c r="AZ1" s="20">
        <v>51</v>
      </c>
      <c r="BA1" s="20">
        <v>52</v>
      </c>
      <c r="BB1" s="20">
        <v>53</v>
      </c>
      <c r="BC1" s="20">
        <v>54</v>
      </c>
      <c r="BD1" s="20">
        <v>55</v>
      </c>
      <c r="BE1" s="20">
        <v>56</v>
      </c>
      <c r="BF1" s="20">
        <v>57</v>
      </c>
      <c r="BG1" s="20">
        <v>58</v>
      </c>
      <c r="BH1" s="20">
        <v>59</v>
      </c>
      <c r="BI1" s="20">
        <v>60</v>
      </c>
    </row>
    <row r="2" spans="1:64" ht="16.5" x14ac:dyDescent="0.25">
      <c r="A2" s="20">
        <v>1</v>
      </c>
      <c r="B2" s="31">
        <v>1</v>
      </c>
      <c r="C2" s="1">
        <v>33</v>
      </c>
      <c r="D2" s="1">
        <v>65</v>
      </c>
      <c r="E2" s="1">
        <v>97</v>
      </c>
      <c r="F2" s="1">
        <v>129</v>
      </c>
      <c r="G2" s="1">
        <v>161</v>
      </c>
      <c r="H2" s="1">
        <v>193</v>
      </c>
      <c r="I2" s="32">
        <v>241</v>
      </c>
      <c r="J2" s="2">
        <v>273</v>
      </c>
      <c r="K2" s="3">
        <v>305</v>
      </c>
      <c r="L2" s="2">
        <v>337</v>
      </c>
      <c r="M2" s="3">
        <v>369</v>
      </c>
      <c r="N2" s="2">
        <v>401</v>
      </c>
      <c r="O2" s="3">
        <v>433</v>
      </c>
      <c r="P2" s="33">
        <v>481</v>
      </c>
      <c r="Q2" s="4">
        <v>513</v>
      </c>
      <c r="R2" s="5">
        <v>545</v>
      </c>
      <c r="S2" s="4">
        <v>577</v>
      </c>
      <c r="T2" s="5">
        <v>609</v>
      </c>
      <c r="U2" s="4">
        <v>641</v>
      </c>
      <c r="V2" s="5">
        <v>673</v>
      </c>
      <c r="W2" s="34">
        <v>721</v>
      </c>
      <c r="X2" s="6">
        <v>753</v>
      </c>
      <c r="Y2" s="6">
        <v>785</v>
      </c>
      <c r="Z2" s="6">
        <v>817</v>
      </c>
      <c r="AA2" s="6">
        <v>849</v>
      </c>
      <c r="AB2" s="6">
        <v>881</v>
      </c>
      <c r="AC2" s="6">
        <v>913</v>
      </c>
      <c r="BK2" s="35" t="s">
        <v>0</v>
      </c>
      <c r="BL2" s="35">
        <v>28</v>
      </c>
    </row>
    <row r="3" spans="1:64" x14ac:dyDescent="0.25">
      <c r="A3" s="20">
        <v>2</v>
      </c>
      <c r="B3" s="7">
        <v>2</v>
      </c>
      <c r="C3" s="8">
        <v>34</v>
      </c>
      <c r="D3" s="8">
        <v>66</v>
      </c>
      <c r="E3" s="8">
        <v>98</v>
      </c>
      <c r="F3" s="8">
        <v>130</v>
      </c>
      <c r="G3" s="8">
        <v>162</v>
      </c>
      <c r="H3" s="8">
        <v>194</v>
      </c>
      <c r="I3" s="3">
        <v>242</v>
      </c>
      <c r="J3" s="3">
        <v>274</v>
      </c>
      <c r="K3" s="3">
        <v>306</v>
      </c>
      <c r="L3" s="3">
        <v>338</v>
      </c>
      <c r="M3" s="3">
        <v>370</v>
      </c>
      <c r="N3" s="3">
        <v>402</v>
      </c>
      <c r="O3" s="3">
        <v>434</v>
      </c>
      <c r="P3" s="4">
        <v>482</v>
      </c>
      <c r="Q3" s="4">
        <v>514</v>
      </c>
      <c r="R3" s="4">
        <v>546</v>
      </c>
      <c r="S3" s="4">
        <v>578</v>
      </c>
      <c r="T3" s="4">
        <v>610</v>
      </c>
      <c r="U3" s="4">
        <v>642</v>
      </c>
      <c r="V3" s="4">
        <v>674</v>
      </c>
      <c r="W3" s="9">
        <v>722</v>
      </c>
      <c r="X3" s="9">
        <v>754</v>
      </c>
      <c r="Y3" s="9">
        <v>786</v>
      </c>
      <c r="Z3" s="9">
        <v>818</v>
      </c>
      <c r="AA3" s="9">
        <v>850</v>
      </c>
      <c r="AB3" s="9">
        <v>882</v>
      </c>
      <c r="AC3" s="9">
        <v>914</v>
      </c>
      <c r="BK3" s="35" t="s">
        <v>1</v>
      </c>
      <c r="BL3" s="35">
        <v>32</v>
      </c>
    </row>
    <row r="4" spans="1:64" x14ac:dyDescent="0.25">
      <c r="A4" s="20">
        <v>3</v>
      </c>
      <c r="B4" s="7">
        <v>3</v>
      </c>
      <c r="C4" s="8">
        <v>35</v>
      </c>
      <c r="D4" s="8">
        <v>67</v>
      </c>
      <c r="E4" s="8">
        <v>99</v>
      </c>
      <c r="F4" s="8">
        <v>131</v>
      </c>
      <c r="G4" s="8">
        <v>163</v>
      </c>
      <c r="H4" s="8">
        <v>195</v>
      </c>
      <c r="I4" s="3">
        <v>243</v>
      </c>
      <c r="J4" s="2">
        <v>275</v>
      </c>
      <c r="K4" s="3">
        <v>307</v>
      </c>
      <c r="L4" s="2">
        <v>339</v>
      </c>
      <c r="M4" s="3">
        <v>371</v>
      </c>
      <c r="N4" s="2">
        <v>403</v>
      </c>
      <c r="O4" s="3">
        <v>435</v>
      </c>
      <c r="P4" s="5">
        <v>483</v>
      </c>
      <c r="Q4" s="4">
        <v>515</v>
      </c>
      <c r="R4" s="5">
        <v>547</v>
      </c>
      <c r="S4" s="4">
        <v>579</v>
      </c>
      <c r="T4" s="5">
        <v>611</v>
      </c>
      <c r="U4" s="4">
        <v>643</v>
      </c>
      <c r="V4" s="5">
        <v>675</v>
      </c>
      <c r="W4" s="6">
        <v>723</v>
      </c>
      <c r="X4" s="6">
        <v>755</v>
      </c>
      <c r="Y4" s="6">
        <v>787</v>
      </c>
      <c r="Z4" s="6">
        <v>819</v>
      </c>
      <c r="AA4" s="6">
        <v>851</v>
      </c>
      <c r="AB4" s="6">
        <v>883</v>
      </c>
      <c r="AC4" s="6">
        <v>915</v>
      </c>
    </row>
    <row r="5" spans="1:64" x14ac:dyDescent="0.25">
      <c r="A5" s="20">
        <v>4</v>
      </c>
      <c r="B5" s="7">
        <v>4</v>
      </c>
      <c r="C5" s="8">
        <v>36</v>
      </c>
      <c r="D5" s="8">
        <v>68</v>
      </c>
      <c r="E5" s="8">
        <v>100</v>
      </c>
      <c r="F5" s="8">
        <v>132</v>
      </c>
      <c r="G5" s="8">
        <v>164</v>
      </c>
      <c r="H5" s="8">
        <v>196</v>
      </c>
      <c r="I5" s="3">
        <v>244</v>
      </c>
      <c r="J5" s="3">
        <v>276</v>
      </c>
      <c r="K5" s="3">
        <v>308</v>
      </c>
      <c r="L5" s="3">
        <v>340</v>
      </c>
      <c r="M5" s="3">
        <v>372</v>
      </c>
      <c r="N5" s="3">
        <v>404</v>
      </c>
      <c r="O5" s="3">
        <v>436</v>
      </c>
      <c r="P5" s="4">
        <v>484</v>
      </c>
      <c r="Q5" s="4">
        <v>516</v>
      </c>
      <c r="R5" s="4">
        <v>548</v>
      </c>
      <c r="S5" s="4">
        <v>580</v>
      </c>
      <c r="T5" s="4">
        <v>612</v>
      </c>
      <c r="U5" s="4">
        <v>644</v>
      </c>
      <c r="V5" s="4">
        <v>676</v>
      </c>
      <c r="W5" s="9">
        <v>724</v>
      </c>
      <c r="X5" s="9">
        <v>756</v>
      </c>
      <c r="Y5" s="9">
        <v>788</v>
      </c>
      <c r="Z5" s="9">
        <v>820</v>
      </c>
      <c r="AA5" s="9">
        <v>852</v>
      </c>
      <c r="AB5" s="9">
        <v>884</v>
      </c>
      <c r="AC5" s="9">
        <v>916</v>
      </c>
    </row>
    <row r="6" spans="1:64" ht="16.5" x14ac:dyDescent="0.25">
      <c r="A6" s="20">
        <v>5</v>
      </c>
      <c r="B6" s="10">
        <v>5</v>
      </c>
      <c r="C6" s="11">
        <v>37</v>
      </c>
      <c r="D6" s="11">
        <v>69</v>
      </c>
      <c r="E6" s="11">
        <v>101</v>
      </c>
      <c r="F6" s="11">
        <v>133</v>
      </c>
      <c r="G6" s="11">
        <v>165</v>
      </c>
      <c r="H6" s="11">
        <v>197</v>
      </c>
      <c r="I6" s="12">
        <v>245</v>
      </c>
      <c r="J6" s="13">
        <v>277</v>
      </c>
      <c r="K6" s="4">
        <v>309</v>
      </c>
      <c r="L6" s="5">
        <v>341</v>
      </c>
      <c r="M6" s="4">
        <v>373</v>
      </c>
      <c r="N6" s="5">
        <v>405</v>
      </c>
      <c r="O6" s="4">
        <v>437</v>
      </c>
      <c r="P6" s="2">
        <v>485</v>
      </c>
      <c r="Q6" s="3">
        <v>517</v>
      </c>
      <c r="R6" s="2">
        <v>549</v>
      </c>
      <c r="S6" s="3">
        <v>581</v>
      </c>
      <c r="T6" s="2">
        <v>613</v>
      </c>
      <c r="U6" s="3">
        <v>645</v>
      </c>
      <c r="V6" s="2">
        <v>677</v>
      </c>
      <c r="W6" s="1">
        <v>725</v>
      </c>
      <c r="X6" s="1">
        <v>757</v>
      </c>
      <c r="Y6" s="1">
        <v>789</v>
      </c>
      <c r="Z6" s="1">
        <v>821</v>
      </c>
      <c r="AA6" s="1">
        <v>853</v>
      </c>
      <c r="AB6" s="1">
        <v>885</v>
      </c>
      <c r="AC6" s="1">
        <v>917</v>
      </c>
    </row>
    <row r="7" spans="1:64" ht="16.5" x14ac:dyDescent="0.25">
      <c r="A7" s="20">
        <v>6</v>
      </c>
      <c r="B7" s="10">
        <v>6</v>
      </c>
      <c r="C7" s="11">
        <v>38</v>
      </c>
      <c r="D7" s="11">
        <v>70</v>
      </c>
      <c r="E7" s="11">
        <v>102</v>
      </c>
      <c r="F7" s="11">
        <v>134</v>
      </c>
      <c r="G7" s="11">
        <v>166</v>
      </c>
      <c r="H7" s="11">
        <v>198</v>
      </c>
      <c r="I7" s="12">
        <v>246</v>
      </c>
      <c r="J7" s="12">
        <v>278</v>
      </c>
      <c r="K7" s="4">
        <v>310</v>
      </c>
      <c r="L7" s="4">
        <v>342</v>
      </c>
      <c r="M7" s="4">
        <v>374</v>
      </c>
      <c r="N7" s="4">
        <v>406</v>
      </c>
      <c r="O7" s="4">
        <v>438</v>
      </c>
      <c r="P7" s="3">
        <v>486</v>
      </c>
      <c r="Q7" s="3">
        <v>518</v>
      </c>
      <c r="R7" s="3">
        <v>550</v>
      </c>
      <c r="S7" s="3">
        <v>582</v>
      </c>
      <c r="T7" s="3">
        <v>614</v>
      </c>
      <c r="U7" s="3">
        <v>646</v>
      </c>
      <c r="V7" s="3">
        <v>678</v>
      </c>
      <c r="W7" s="8">
        <v>726</v>
      </c>
      <c r="X7" s="8">
        <v>758</v>
      </c>
      <c r="Y7" s="8">
        <v>790</v>
      </c>
      <c r="Z7" s="8">
        <v>822</v>
      </c>
      <c r="AA7" s="8">
        <v>854</v>
      </c>
      <c r="AB7" s="8">
        <v>886</v>
      </c>
      <c r="AC7" s="8">
        <v>918</v>
      </c>
    </row>
    <row r="8" spans="1:64" ht="16.5" x14ac:dyDescent="0.25">
      <c r="A8" s="20">
        <v>7</v>
      </c>
      <c r="B8" s="10">
        <v>7</v>
      </c>
      <c r="C8" s="11">
        <v>39</v>
      </c>
      <c r="D8" s="11">
        <v>71</v>
      </c>
      <c r="E8" s="11">
        <v>103</v>
      </c>
      <c r="F8" s="11">
        <v>135</v>
      </c>
      <c r="G8" s="11">
        <v>167</v>
      </c>
      <c r="H8" s="11">
        <v>199</v>
      </c>
      <c r="I8" s="12">
        <v>247</v>
      </c>
      <c r="J8" s="13">
        <v>279</v>
      </c>
      <c r="K8" s="4">
        <v>311</v>
      </c>
      <c r="L8" s="5">
        <v>343</v>
      </c>
      <c r="M8" s="4">
        <v>375</v>
      </c>
      <c r="N8" s="5">
        <v>407</v>
      </c>
      <c r="O8" s="4">
        <v>439</v>
      </c>
      <c r="P8" s="2">
        <v>487</v>
      </c>
      <c r="Q8" s="3">
        <v>519</v>
      </c>
      <c r="R8" s="2">
        <v>551</v>
      </c>
      <c r="S8" s="3">
        <v>583</v>
      </c>
      <c r="T8" s="2">
        <v>615</v>
      </c>
      <c r="U8" s="3">
        <v>647</v>
      </c>
      <c r="V8" s="2">
        <v>679</v>
      </c>
      <c r="W8" s="1">
        <v>727</v>
      </c>
      <c r="X8" s="1">
        <v>759</v>
      </c>
      <c r="Y8" s="1">
        <v>791</v>
      </c>
      <c r="Z8" s="1">
        <v>823</v>
      </c>
      <c r="AA8" s="1">
        <v>855</v>
      </c>
      <c r="AB8" s="1">
        <v>887</v>
      </c>
      <c r="AC8" s="1">
        <v>919</v>
      </c>
    </row>
    <row r="9" spans="1:64" ht="16.5" x14ac:dyDescent="0.25">
      <c r="A9" s="20">
        <v>8</v>
      </c>
      <c r="B9" s="10">
        <v>8</v>
      </c>
      <c r="C9" s="11">
        <v>40</v>
      </c>
      <c r="D9" s="11">
        <v>72</v>
      </c>
      <c r="E9" s="11">
        <v>104</v>
      </c>
      <c r="F9" s="11">
        <v>136</v>
      </c>
      <c r="G9" s="11">
        <v>168</v>
      </c>
      <c r="H9" s="11">
        <v>200</v>
      </c>
      <c r="I9" s="12">
        <v>248</v>
      </c>
      <c r="J9" s="12">
        <v>280</v>
      </c>
      <c r="K9" s="4">
        <v>312</v>
      </c>
      <c r="L9" s="4">
        <v>344</v>
      </c>
      <c r="M9" s="4">
        <v>376</v>
      </c>
      <c r="N9" s="4">
        <v>408</v>
      </c>
      <c r="O9" s="4">
        <v>440</v>
      </c>
      <c r="P9" s="3">
        <v>488</v>
      </c>
      <c r="Q9" s="3">
        <v>520</v>
      </c>
      <c r="R9" s="3">
        <v>552</v>
      </c>
      <c r="S9" s="3">
        <v>584</v>
      </c>
      <c r="T9" s="3">
        <v>616</v>
      </c>
      <c r="U9" s="3">
        <v>648</v>
      </c>
      <c r="V9" s="3">
        <v>680</v>
      </c>
      <c r="W9" s="8">
        <v>728</v>
      </c>
      <c r="X9" s="8">
        <v>760</v>
      </c>
      <c r="Y9" s="8">
        <v>792</v>
      </c>
      <c r="Z9" s="8">
        <v>824</v>
      </c>
      <c r="AA9" s="8">
        <v>856</v>
      </c>
      <c r="AB9" s="8">
        <v>888</v>
      </c>
      <c r="AC9" s="8">
        <v>920</v>
      </c>
    </row>
    <row r="10" spans="1:64" ht="16.5" x14ac:dyDescent="0.25">
      <c r="A10" s="20">
        <v>9</v>
      </c>
      <c r="B10" s="14">
        <v>9</v>
      </c>
      <c r="C10" s="15">
        <v>41</v>
      </c>
      <c r="D10" s="15">
        <v>73</v>
      </c>
      <c r="E10" s="15">
        <v>105</v>
      </c>
      <c r="F10" s="15">
        <v>137</v>
      </c>
      <c r="G10" s="15">
        <v>169</v>
      </c>
      <c r="H10" s="15">
        <v>201</v>
      </c>
      <c r="I10" s="16">
        <v>249</v>
      </c>
      <c r="J10" s="17">
        <v>281</v>
      </c>
      <c r="K10" s="3">
        <v>313</v>
      </c>
      <c r="L10" s="2">
        <v>345</v>
      </c>
      <c r="M10" s="3">
        <v>377</v>
      </c>
      <c r="N10" s="2">
        <v>409</v>
      </c>
      <c r="O10" s="3">
        <v>441</v>
      </c>
      <c r="P10" s="5">
        <v>489</v>
      </c>
      <c r="Q10" s="4">
        <v>521</v>
      </c>
      <c r="R10" s="5">
        <v>553</v>
      </c>
      <c r="S10" s="4">
        <v>585</v>
      </c>
      <c r="T10" s="5">
        <v>617</v>
      </c>
      <c r="U10" s="4">
        <v>649</v>
      </c>
      <c r="V10" s="5">
        <v>681</v>
      </c>
      <c r="W10" s="6">
        <v>729</v>
      </c>
      <c r="X10" s="6">
        <v>761</v>
      </c>
      <c r="Y10" s="6">
        <v>793</v>
      </c>
      <c r="Z10" s="6">
        <v>825</v>
      </c>
      <c r="AA10" s="6">
        <v>857</v>
      </c>
      <c r="AB10" s="6">
        <v>889</v>
      </c>
      <c r="AC10" s="6">
        <v>921</v>
      </c>
    </row>
    <row r="11" spans="1:64" ht="16.5" x14ac:dyDescent="0.25">
      <c r="A11" s="20">
        <v>10</v>
      </c>
      <c r="B11" s="18">
        <v>10</v>
      </c>
      <c r="C11" s="19">
        <v>42</v>
      </c>
      <c r="D11" s="19">
        <v>74</v>
      </c>
      <c r="E11" s="19">
        <v>106</v>
      </c>
      <c r="F11" s="19">
        <v>138</v>
      </c>
      <c r="G11" s="19">
        <v>170</v>
      </c>
      <c r="H11" s="19">
        <v>202</v>
      </c>
      <c r="I11" s="16">
        <v>250</v>
      </c>
      <c r="J11" s="16">
        <v>282</v>
      </c>
      <c r="K11" s="3">
        <v>314</v>
      </c>
      <c r="L11" s="3">
        <v>346</v>
      </c>
      <c r="M11" s="3">
        <v>378</v>
      </c>
      <c r="N11" s="3">
        <v>410</v>
      </c>
      <c r="O11" s="3">
        <v>442</v>
      </c>
      <c r="P11" s="4">
        <v>490</v>
      </c>
      <c r="Q11" s="4">
        <v>522</v>
      </c>
      <c r="R11" s="4">
        <v>554</v>
      </c>
      <c r="S11" s="4">
        <v>586</v>
      </c>
      <c r="T11" s="4">
        <v>618</v>
      </c>
      <c r="U11" s="4">
        <v>650</v>
      </c>
      <c r="V11" s="4">
        <v>682</v>
      </c>
      <c r="W11" s="9">
        <v>730</v>
      </c>
      <c r="X11" s="9">
        <v>762</v>
      </c>
      <c r="Y11" s="9">
        <v>794</v>
      </c>
      <c r="Z11" s="9">
        <v>826</v>
      </c>
      <c r="AA11" s="9">
        <v>858</v>
      </c>
      <c r="AB11" s="9">
        <v>890</v>
      </c>
      <c r="AC11" s="9">
        <v>922</v>
      </c>
    </row>
    <row r="12" spans="1:64" ht="16.5" x14ac:dyDescent="0.25">
      <c r="A12" s="20">
        <v>11</v>
      </c>
      <c r="B12" s="18">
        <v>11</v>
      </c>
      <c r="C12" s="19">
        <v>43</v>
      </c>
      <c r="D12" s="19">
        <v>75</v>
      </c>
      <c r="E12" s="19">
        <v>107</v>
      </c>
      <c r="F12" s="19">
        <v>139</v>
      </c>
      <c r="G12" s="19">
        <v>171</v>
      </c>
      <c r="H12" s="19">
        <v>203</v>
      </c>
      <c r="I12" s="16">
        <v>251</v>
      </c>
      <c r="J12" s="17">
        <v>283</v>
      </c>
      <c r="K12" s="3">
        <v>315</v>
      </c>
      <c r="L12" s="2">
        <v>347</v>
      </c>
      <c r="M12" s="3">
        <v>379</v>
      </c>
      <c r="N12" s="2">
        <v>411</v>
      </c>
      <c r="O12" s="3">
        <v>443</v>
      </c>
      <c r="P12" s="5">
        <v>491</v>
      </c>
      <c r="Q12" s="4">
        <v>523</v>
      </c>
      <c r="R12" s="5">
        <v>555</v>
      </c>
      <c r="S12" s="4">
        <v>587</v>
      </c>
      <c r="T12" s="5">
        <v>619</v>
      </c>
      <c r="U12" s="4">
        <v>651</v>
      </c>
      <c r="V12" s="5">
        <v>683</v>
      </c>
      <c r="W12" s="6">
        <v>731</v>
      </c>
      <c r="X12" s="6">
        <v>763</v>
      </c>
      <c r="Y12" s="6">
        <v>795</v>
      </c>
      <c r="Z12" s="6">
        <v>827</v>
      </c>
      <c r="AA12" s="6">
        <v>859</v>
      </c>
      <c r="AB12" s="6">
        <v>891</v>
      </c>
      <c r="AC12" s="6">
        <v>923</v>
      </c>
    </row>
    <row r="13" spans="1:64" ht="16.5" x14ac:dyDescent="0.25">
      <c r="A13" s="20">
        <v>12</v>
      </c>
      <c r="B13" s="18">
        <v>12</v>
      </c>
      <c r="C13" s="19">
        <v>44</v>
      </c>
      <c r="D13" s="19">
        <v>76</v>
      </c>
      <c r="E13" s="19">
        <v>108</v>
      </c>
      <c r="F13" s="19">
        <v>140</v>
      </c>
      <c r="G13" s="19">
        <v>172</v>
      </c>
      <c r="H13" s="19">
        <v>204</v>
      </c>
      <c r="I13" s="16">
        <v>252</v>
      </c>
      <c r="J13" s="16">
        <v>284</v>
      </c>
      <c r="K13" s="3">
        <v>316</v>
      </c>
      <c r="L13" s="3">
        <v>348</v>
      </c>
      <c r="M13" s="3">
        <v>380</v>
      </c>
      <c r="N13" s="3">
        <v>412</v>
      </c>
      <c r="O13" s="3">
        <v>444</v>
      </c>
      <c r="P13" s="4">
        <v>492</v>
      </c>
      <c r="Q13" s="4">
        <v>524</v>
      </c>
      <c r="R13" s="4">
        <v>556</v>
      </c>
      <c r="S13" s="4">
        <v>588</v>
      </c>
      <c r="T13" s="4">
        <v>620</v>
      </c>
      <c r="U13" s="4">
        <v>652</v>
      </c>
      <c r="V13" s="4">
        <v>684</v>
      </c>
      <c r="W13" s="9">
        <v>732</v>
      </c>
      <c r="X13" s="9">
        <v>764</v>
      </c>
      <c r="Y13" s="9">
        <v>796</v>
      </c>
      <c r="Z13" s="9">
        <v>828</v>
      </c>
      <c r="AA13" s="9">
        <v>860</v>
      </c>
      <c r="AB13" s="9">
        <v>892</v>
      </c>
      <c r="AC13" s="9">
        <v>924</v>
      </c>
    </row>
    <row r="14" spans="1:64" ht="16.5" x14ac:dyDescent="0.25">
      <c r="A14" s="20">
        <v>13</v>
      </c>
      <c r="B14" s="10">
        <v>13</v>
      </c>
      <c r="C14" s="11">
        <v>45</v>
      </c>
      <c r="D14" s="11">
        <v>77</v>
      </c>
      <c r="E14" s="11">
        <v>109</v>
      </c>
      <c r="F14" s="11">
        <v>141</v>
      </c>
      <c r="G14" s="11">
        <v>173</v>
      </c>
      <c r="H14" s="11">
        <v>205</v>
      </c>
      <c r="I14" s="12">
        <v>253</v>
      </c>
      <c r="J14" s="13">
        <v>285</v>
      </c>
      <c r="K14" s="4">
        <v>317</v>
      </c>
      <c r="L14" s="5">
        <v>349</v>
      </c>
      <c r="M14" s="4">
        <v>381</v>
      </c>
      <c r="N14" s="5">
        <v>413</v>
      </c>
      <c r="O14" s="4">
        <v>445</v>
      </c>
      <c r="P14" s="2">
        <v>493</v>
      </c>
      <c r="Q14" s="3">
        <v>525</v>
      </c>
      <c r="R14" s="2">
        <v>557</v>
      </c>
      <c r="S14" s="3">
        <v>589</v>
      </c>
      <c r="T14" s="2">
        <v>621</v>
      </c>
      <c r="U14" s="3">
        <v>653</v>
      </c>
      <c r="V14" s="2">
        <v>685</v>
      </c>
      <c r="W14" s="1">
        <v>733</v>
      </c>
      <c r="X14" s="1">
        <v>765</v>
      </c>
      <c r="Y14" s="1">
        <v>797</v>
      </c>
      <c r="Z14" s="1">
        <v>829</v>
      </c>
      <c r="AA14" s="1">
        <v>861</v>
      </c>
      <c r="AB14" s="1">
        <v>893</v>
      </c>
      <c r="AC14" s="1">
        <v>925</v>
      </c>
    </row>
    <row r="15" spans="1:64" ht="16.5" x14ac:dyDescent="0.25">
      <c r="A15" s="20">
        <v>14</v>
      </c>
      <c r="B15" s="10">
        <v>14</v>
      </c>
      <c r="C15" s="11">
        <v>46</v>
      </c>
      <c r="D15" s="11">
        <v>78</v>
      </c>
      <c r="E15" s="11">
        <v>110</v>
      </c>
      <c r="F15" s="11">
        <v>142</v>
      </c>
      <c r="G15" s="11">
        <v>174</v>
      </c>
      <c r="H15" s="11">
        <v>206</v>
      </c>
      <c r="I15" s="12">
        <v>254</v>
      </c>
      <c r="J15" s="12">
        <v>286</v>
      </c>
      <c r="K15" s="4">
        <v>318</v>
      </c>
      <c r="L15" s="4">
        <v>350</v>
      </c>
      <c r="M15" s="4">
        <v>382</v>
      </c>
      <c r="N15" s="4">
        <v>414</v>
      </c>
      <c r="O15" s="4">
        <v>446</v>
      </c>
      <c r="P15" s="3">
        <v>494</v>
      </c>
      <c r="Q15" s="3">
        <v>526</v>
      </c>
      <c r="R15" s="3">
        <v>558</v>
      </c>
      <c r="S15" s="3">
        <v>590</v>
      </c>
      <c r="T15" s="3">
        <v>622</v>
      </c>
      <c r="U15" s="3">
        <v>654</v>
      </c>
      <c r="V15" s="3">
        <v>686</v>
      </c>
      <c r="W15" s="8">
        <v>734</v>
      </c>
      <c r="X15" s="8">
        <v>766</v>
      </c>
      <c r="Y15" s="8">
        <v>798</v>
      </c>
      <c r="Z15" s="8">
        <v>830</v>
      </c>
      <c r="AA15" s="8">
        <v>862</v>
      </c>
      <c r="AB15" s="8">
        <v>894</v>
      </c>
      <c r="AC15" s="8">
        <v>926</v>
      </c>
    </row>
    <row r="16" spans="1:64" ht="16.5" x14ac:dyDescent="0.25">
      <c r="A16" s="20">
        <v>15</v>
      </c>
      <c r="B16" s="10">
        <v>15</v>
      </c>
      <c r="C16" s="11">
        <v>47</v>
      </c>
      <c r="D16" s="11">
        <v>79</v>
      </c>
      <c r="E16" s="11">
        <v>111</v>
      </c>
      <c r="F16" s="11">
        <v>143</v>
      </c>
      <c r="G16" s="11">
        <v>175</v>
      </c>
      <c r="H16" s="11">
        <v>207</v>
      </c>
      <c r="I16" s="12">
        <v>255</v>
      </c>
      <c r="J16" s="13">
        <v>287</v>
      </c>
      <c r="K16" s="4">
        <v>319</v>
      </c>
      <c r="L16" s="5">
        <v>351</v>
      </c>
      <c r="M16" s="4">
        <v>383</v>
      </c>
      <c r="N16" s="5">
        <v>415</v>
      </c>
      <c r="O16" s="4">
        <v>447</v>
      </c>
      <c r="P16" s="2">
        <v>495</v>
      </c>
      <c r="Q16" s="3">
        <v>527</v>
      </c>
      <c r="R16" s="2">
        <v>559</v>
      </c>
      <c r="S16" s="3">
        <v>591</v>
      </c>
      <c r="T16" s="2">
        <v>623</v>
      </c>
      <c r="U16" s="3">
        <v>655</v>
      </c>
      <c r="V16" s="2">
        <v>687</v>
      </c>
      <c r="W16" s="1">
        <v>735</v>
      </c>
      <c r="X16" s="1">
        <v>767</v>
      </c>
      <c r="Y16" s="1">
        <v>799</v>
      </c>
      <c r="Z16" s="1">
        <v>831</v>
      </c>
      <c r="AA16" s="1">
        <v>863</v>
      </c>
      <c r="AB16" s="1">
        <v>895</v>
      </c>
      <c r="AC16" s="1">
        <v>927</v>
      </c>
    </row>
    <row r="17" spans="1:29" ht="16.5" x14ac:dyDescent="0.25">
      <c r="A17" s="20">
        <v>16</v>
      </c>
      <c r="B17" s="10">
        <v>16</v>
      </c>
      <c r="C17" s="11">
        <v>48</v>
      </c>
      <c r="D17" s="11">
        <v>80</v>
      </c>
      <c r="E17" s="11">
        <v>112</v>
      </c>
      <c r="F17" s="11">
        <v>144</v>
      </c>
      <c r="G17" s="11">
        <v>176</v>
      </c>
      <c r="H17" s="11">
        <v>208</v>
      </c>
      <c r="I17" s="12">
        <v>256</v>
      </c>
      <c r="J17" s="12">
        <v>288</v>
      </c>
      <c r="K17" s="4">
        <v>320</v>
      </c>
      <c r="L17" s="4">
        <v>352</v>
      </c>
      <c r="M17" s="4">
        <v>384</v>
      </c>
      <c r="N17" s="4">
        <v>416</v>
      </c>
      <c r="O17" s="4">
        <v>448</v>
      </c>
      <c r="P17" s="3">
        <v>496</v>
      </c>
      <c r="Q17" s="3">
        <v>528</v>
      </c>
      <c r="R17" s="3">
        <v>560</v>
      </c>
      <c r="S17" s="3">
        <v>592</v>
      </c>
      <c r="T17" s="3">
        <v>624</v>
      </c>
      <c r="U17" s="3">
        <v>656</v>
      </c>
      <c r="V17" s="3">
        <v>688</v>
      </c>
      <c r="W17" s="8">
        <v>736</v>
      </c>
      <c r="X17" s="8">
        <v>768</v>
      </c>
      <c r="Y17" s="8">
        <v>800</v>
      </c>
      <c r="Z17" s="8">
        <v>832</v>
      </c>
      <c r="AA17" s="8">
        <v>864</v>
      </c>
      <c r="AB17" s="8">
        <v>896</v>
      </c>
      <c r="AC17" s="8">
        <v>928</v>
      </c>
    </row>
    <row r="18" spans="1:29" ht="16.5" x14ac:dyDescent="0.25">
      <c r="A18" s="20">
        <v>17</v>
      </c>
      <c r="B18" s="14">
        <v>17</v>
      </c>
      <c r="C18" s="15">
        <v>49</v>
      </c>
      <c r="D18" s="15">
        <v>81</v>
      </c>
      <c r="E18" s="15">
        <v>113</v>
      </c>
      <c r="F18" s="15">
        <v>145</v>
      </c>
      <c r="G18" s="15">
        <v>177</v>
      </c>
      <c r="H18" s="15">
        <v>209</v>
      </c>
      <c r="I18" s="16">
        <v>257</v>
      </c>
      <c r="J18" s="17">
        <v>289</v>
      </c>
      <c r="K18" s="3">
        <v>321</v>
      </c>
      <c r="L18" s="2">
        <v>353</v>
      </c>
      <c r="M18" s="3">
        <v>385</v>
      </c>
      <c r="N18" s="2">
        <v>417</v>
      </c>
      <c r="O18" s="3">
        <v>449</v>
      </c>
      <c r="P18" s="5">
        <v>497</v>
      </c>
      <c r="Q18" s="4">
        <v>529</v>
      </c>
      <c r="R18" s="5">
        <v>561</v>
      </c>
      <c r="S18" s="4">
        <v>593</v>
      </c>
      <c r="T18" s="5">
        <v>625</v>
      </c>
      <c r="U18" s="4">
        <v>657</v>
      </c>
      <c r="V18" s="5">
        <v>689</v>
      </c>
      <c r="W18" s="6">
        <v>737</v>
      </c>
      <c r="X18" s="6">
        <v>769</v>
      </c>
      <c r="Y18" s="6">
        <v>801</v>
      </c>
      <c r="Z18" s="6">
        <v>833</v>
      </c>
      <c r="AA18" s="6">
        <v>865</v>
      </c>
      <c r="AB18" s="6">
        <v>897</v>
      </c>
      <c r="AC18" s="6">
        <v>929</v>
      </c>
    </row>
    <row r="19" spans="1:29" ht="16.5" x14ac:dyDescent="0.25">
      <c r="A19" s="20">
        <v>18</v>
      </c>
      <c r="B19" s="18">
        <v>18</v>
      </c>
      <c r="C19" s="19">
        <v>50</v>
      </c>
      <c r="D19" s="19">
        <v>82</v>
      </c>
      <c r="E19" s="19">
        <v>114</v>
      </c>
      <c r="F19" s="19">
        <v>146</v>
      </c>
      <c r="G19" s="19">
        <v>178</v>
      </c>
      <c r="H19" s="19">
        <v>210</v>
      </c>
      <c r="I19" s="16">
        <v>258</v>
      </c>
      <c r="J19" s="16">
        <v>290</v>
      </c>
      <c r="K19" s="3">
        <v>322</v>
      </c>
      <c r="L19" s="3">
        <v>354</v>
      </c>
      <c r="M19" s="3">
        <v>386</v>
      </c>
      <c r="N19" s="3">
        <v>418</v>
      </c>
      <c r="O19" s="3">
        <v>450</v>
      </c>
      <c r="P19" s="4">
        <v>498</v>
      </c>
      <c r="Q19" s="4">
        <v>530</v>
      </c>
      <c r="R19" s="4">
        <v>562</v>
      </c>
      <c r="S19" s="4">
        <v>594</v>
      </c>
      <c r="T19" s="4">
        <v>626</v>
      </c>
      <c r="U19" s="4">
        <v>658</v>
      </c>
      <c r="V19" s="4">
        <v>690</v>
      </c>
      <c r="W19" s="9">
        <v>738</v>
      </c>
      <c r="X19" s="9">
        <v>770</v>
      </c>
      <c r="Y19" s="9">
        <v>802</v>
      </c>
      <c r="Z19" s="9">
        <v>834</v>
      </c>
      <c r="AA19" s="9">
        <v>866</v>
      </c>
      <c r="AB19" s="9">
        <v>898</v>
      </c>
      <c r="AC19" s="9">
        <v>930</v>
      </c>
    </row>
    <row r="20" spans="1:29" ht="16.5" x14ac:dyDescent="0.25">
      <c r="A20" s="20">
        <v>19</v>
      </c>
      <c r="B20" s="18">
        <v>19</v>
      </c>
      <c r="C20" s="19">
        <v>51</v>
      </c>
      <c r="D20" s="19">
        <v>83</v>
      </c>
      <c r="E20" s="19">
        <v>115</v>
      </c>
      <c r="F20" s="19">
        <v>147</v>
      </c>
      <c r="G20" s="19">
        <v>179</v>
      </c>
      <c r="H20" s="19">
        <v>211</v>
      </c>
      <c r="I20" s="16">
        <v>259</v>
      </c>
      <c r="J20" s="17">
        <v>291</v>
      </c>
      <c r="K20" s="3">
        <v>323</v>
      </c>
      <c r="L20" s="2">
        <v>355</v>
      </c>
      <c r="M20" s="3">
        <v>387</v>
      </c>
      <c r="N20" s="2">
        <v>419</v>
      </c>
      <c r="O20" s="3">
        <v>451</v>
      </c>
      <c r="P20" s="5">
        <v>499</v>
      </c>
      <c r="Q20" s="4">
        <v>531</v>
      </c>
      <c r="R20" s="5">
        <v>563</v>
      </c>
      <c r="S20" s="4">
        <v>595</v>
      </c>
      <c r="T20" s="5">
        <v>627</v>
      </c>
      <c r="U20" s="4">
        <v>659</v>
      </c>
      <c r="V20" s="5">
        <v>691</v>
      </c>
      <c r="W20" s="6">
        <v>739</v>
      </c>
      <c r="X20" s="6">
        <v>771</v>
      </c>
      <c r="Y20" s="6">
        <v>803</v>
      </c>
      <c r="Z20" s="6">
        <v>835</v>
      </c>
      <c r="AA20" s="6">
        <v>867</v>
      </c>
      <c r="AB20" s="6">
        <v>899</v>
      </c>
      <c r="AC20" s="6">
        <v>931</v>
      </c>
    </row>
    <row r="21" spans="1:29" ht="16.5" x14ac:dyDescent="0.25">
      <c r="A21" s="20">
        <v>20</v>
      </c>
      <c r="B21" s="18">
        <v>20</v>
      </c>
      <c r="C21" s="19">
        <v>52</v>
      </c>
      <c r="D21" s="19">
        <v>84</v>
      </c>
      <c r="E21" s="19">
        <v>116</v>
      </c>
      <c r="F21" s="19">
        <v>148</v>
      </c>
      <c r="G21" s="19">
        <v>180</v>
      </c>
      <c r="H21" s="19">
        <v>212</v>
      </c>
      <c r="I21" s="16">
        <v>260</v>
      </c>
      <c r="J21" s="16">
        <v>292</v>
      </c>
      <c r="K21" s="3">
        <v>324</v>
      </c>
      <c r="L21" s="3">
        <v>356</v>
      </c>
      <c r="M21" s="3">
        <v>388</v>
      </c>
      <c r="N21" s="3">
        <v>420</v>
      </c>
      <c r="O21" s="3">
        <v>452</v>
      </c>
      <c r="P21" s="4">
        <v>500</v>
      </c>
      <c r="Q21" s="4">
        <v>532</v>
      </c>
      <c r="R21" s="4">
        <v>564</v>
      </c>
      <c r="S21" s="4">
        <v>596</v>
      </c>
      <c r="T21" s="4">
        <v>628</v>
      </c>
      <c r="U21" s="4">
        <v>660</v>
      </c>
      <c r="V21" s="4">
        <v>692</v>
      </c>
      <c r="W21" s="9">
        <v>740</v>
      </c>
      <c r="X21" s="9">
        <v>772</v>
      </c>
      <c r="Y21" s="9">
        <v>804</v>
      </c>
      <c r="Z21" s="9">
        <v>836</v>
      </c>
      <c r="AA21" s="9">
        <v>868</v>
      </c>
      <c r="AB21" s="9">
        <v>900</v>
      </c>
      <c r="AC21" s="9">
        <v>932</v>
      </c>
    </row>
    <row r="22" spans="1:29" ht="16.5" x14ac:dyDescent="0.25">
      <c r="A22" s="20">
        <v>21</v>
      </c>
      <c r="B22" s="10">
        <v>21</v>
      </c>
      <c r="C22" s="11">
        <v>53</v>
      </c>
      <c r="D22" s="11">
        <v>85</v>
      </c>
      <c r="E22" s="11">
        <v>117</v>
      </c>
      <c r="F22" s="11">
        <v>149</v>
      </c>
      <c r="G22" s="11">
        <v>181</v>
      </c>
      <c r="H22" s="11">
        <v>213</v>
      </c>
      <c r="I22" s="12">
        <v>261</v>
      </c>
      <c r="J22" s="13">
        <v>293</v>
      </c>
      <c r="K22" s="4">
        <v>325</v>
      </c>
      <c r="L22" s="5">
        <v>357</v>
      </c>
      <c r="M22" s="4">
        <v>389</v>
      </c>
      <c r="N22" s="5">
        <v>421</v>
      </c>
      <c r="O22" s="4">
        <v>453</v>
      </c>
      <c r="P22" s="2">
        <v>501</v>
      </c>
      <c r="Q22" s="3">
        <v>533</v>
      </c>
      <c r="R22" s="2">
        <v>565</v>
      </c>
      <c r="S22" s="3">
        <v>597</v>
      </c>
      <c r="T22" s="2">
        <v>629</v>
      </c>
      <c r="U22" s="3">
        <v>661</v>
      </c>
      <c r="V22" s="2">
        <v>693</v>
      </c>
      <c r="W22" s="1">
        <v>741</v>
      </c>
      <c r="X22" s="1">
        <v>773</v>
      </c>
      <c r="Y22" s="1">
        <v>805</v>
      </c>
      <c r="Z22" s="1">
        <v>837</v>
      </c>
      <c r="AA22" s="1">
        <v>869</v>
      </c>
      <c r="AB22" s="1">
        <v>901</v>
      </c>
      <c r="AC22" s="1">
        <v>933</v>
      </c>
    </row>
    <row r="23" spans="1:29" ht="16.5" x14ac:dyDescent="0.25">
      <c r="A23" s="20">
        <v>22</v>
      </c>
      <c r="B23" s="10">
        <v>22</v>
      </c>
      <c r="C23" s="11">
        <v>54</v>
      </c>
      <c r="D23" s="11">
        <v>86</v>
      </c>
      <c r="E23" s="11">
        <v>118</v>
      </c>
      <c r="F23" s="11">
        <v>150</v>
      </c>
      <c r="G23" s="11">
        <v>182</v>
      </c>
      <c r="H23" s="11">
        <v>214</v>
      </c>
      <c r="I23" s="12">
        <v>262</v>
      </c>
      <c r="J23" s="12">
        <v>294</v>
      </c>
      <c r="K23" s="4">
        <v>326</v>
      </c>
      <c r="L23" s="4">
        <v>358</v>
      </c>
      <c r="M23" s="4">
        <v>390</v>
      </c>
      <c r="N23" s="4">
        <v>422</v>
      </c>
      <c r="O23" s="4">
        <v>454</v>
      </c>
      <c r="P23" s="3">
        <v>502</v>
      </c>
      <c r="Q23" s="3">
        <v>534</v>
      </c>
      <c r="R23" s="3">
        <v>566</v>
      </c>
      <c r="S23" s="3">
        <v>598</v>
      </c>
      <c r="T23" s="3">
        <v>630</v>
      </c>
      <c r="U23" s="3">
        <v>662</v>
      </c>
      <c r="V23" s="3">
        <v>694</v>
      </c>
      <c r="W23" s="8">
        <v>742</v>
      </c>
      <c r="X23" s="8">
        <v>774</v>
      </c>
      <c r="Y23" s="8">
        <v>806</v>
      </c>
      <c r="Z23" s="8">
        <v>838</v>
      </c>
      <c r="AA23" s="8">
        <v>870</v>
      </c>
      <c r="AB23" s="8">
        <v>902</v>
      </c>
      <c r="AC23" s="8">
        <v>934</v>
      </c>
    </row>
    <row r="24" spans="1:29" ht="16.5" x14ac:dyDescent="0.25">
      <c r="A24" s="20">
        <v>23</v>
      </c>
      <c r="B24" s="10">
        <v>23</v>
      </c>
      <c r="C24" s="11">
        <v>55</v>
      </c>
      <c r="D24" s="11">
        <v>87</v>
      </c>
      <c r="E24" s="11">
        <v>119</v>
      </c>
      <c r="F24" s="11">
        <v>151</v>
      </c>
      <c r="G24" s="11">
        <v>183</v>
      </c>
      <c r="H24" s="11">
        <v>215</v>
      </c>
      <c r="I24" s="12">
        <v>263</v>
      </c>
      <c r="J24" s="13">
        <v>295</v>
      </c>
      <c r="K24" s="4">
        <v>327</v>
      </c>
      <c r="L24" s="5">
        <v>359</v>
      </c>
      <c r="M24" s="4">
        <v>391</v>
      </c>
      <c r="N24" s="5">
        <v>423</v>
      </c>
      <c r="O24" s="4">
        <v>455</v>
      </c>
      <c r="P24" s="2">
        <v>503</v>
      </c>
      <c r="Q24" s="3">
        <v>535</v>
      </c>
      <c r="R24" s="2">
        <v>567</v>
      </c>
      <c r="S24" s="3">
        <v>599</v>
      </c>
      <c r="T24" s="2">
        <v>631</v>
      </c>
      <c r="U24" s="3">
        <v>663</v>
      </c>
      <c r="V24" s="2">
        <v>695</v>
      </c>
      <c r="W24" s="1">
        <v>743</v>
      </c>
      <c r="X24" s="1">
        <v>775</v>
      </c>
      <c r="Y24" s="1">
        <v>807</v>
      </c>
      <c r="Z24" s="1">
        <v>839</v>
      </c>
      <c r="AA24" s="1">
        <v>871</v>
      </c>
      <c r="AB24" s="1">
        <v>903</v>
      </c>
      <c r="AC24" s="1">
        <v>935</v>
      </c>
    </row>
    <row r="25" spans="1:29" ht="16.5" x14ac:dyDescent="0.25">
      <c r="A25" s="20">
        <v>24</v>
      </c>
      <c r="B25" s="10">
        <v>24</v>
      </c>
      <c r="C25" s="11">
        <v>56</v>
      </c>
      <c r="D25" s="11">
        <v>88</v>
      </c>
      <c r="E25" s="11">
        <v>120</v>
      </c>
      <c r="F25" s="11">
        <v>152</v>
      </c>
      <c r="G25" s="11">
        <v>184</v>
      </c>
      <c r="H25" s="11">
        <v>216</v>
      </c>
      <c r="I25" s="12">
        <v>264</v>
      </c>
      <c r="J25" s="12">
        <v>296</v>
      </c>
      <c r="K25" s="4">
        <v>328</v>
      </c>
      <c r="L25" s="4">
        <v>360</v>
      </c>
      <c r="M25" s="4">
        <v>392</v>
      </c>
      <c r="N25" s="4">
        <v>424</v>
      </c>
      <c r="O25" s="4">
        <v>456</v>
      </c>
      <c r="P25" s="3">
        <v>504</v>
      </c>
      <c r="Q25" s="3">
        <v>536</v>
      </c>
      <c r="R25" s="3">
        <v>568</v>
      </c>
      <c r="S25" s="3">
        <v>600</v>
      </c>
      <c r="T25" s="3">
        <v>632</v>
      </c>
      <c r="U25" s="3">
        <v>664</v>
      </c>
      <c r="V25" s="3">
        <v>696</v>
      </c>
      <c r="W25" s="8">
        <v>744</v>
      </c>
      <c r="X25" s="8">
        <v>776</v>
      </c>
      <c r="Y25" s="8">
        <v>808</v>
      </c>
      <c r="Z25" s="8">
        <v>840</v>
      </c>
      <c r="AA25" s="8">
        <v>872</v>
      </c>
      <c r="AB25" s="8">
        <v>904</v>
      </c>
      <c r="AC25" s="8">
        <v>936</v>
      </c>
    </row>
    <row r="26" spans="1:29" ht="16.5" x14ac:dyDescent="0.25">
      <c r="A26" s="20">
        <v>25</v>
      </c>
      <c r="B26" s="14">
        <v>25</v>
      </c>
      <c r="C26" s="15">
        <v>57</v>
      </c>
      <c r="D26" s="15">
        <v>89</v>
      </c>
      <c r="E26" s="15">
        <v>121</v>
      </c>
      <c r="F26" s="15">
        <v>153</v>
      </c>
      <c r="G26" s="15">
        <v>185</v>
      </c>
      <c r="H26" s="15">
        <v>217</v>
      </c>
      <c r="I26" s="16">
        <v>265</v>
      </c>
      <c r="J26" s="17">
        <v>297</v>
      </c>
      <c r="K26" s="3">
        <v>329</v>
      </c>
      <c r="L26" s="2">
        <v>361</v>
      </c>
      <c r="M26" s="3">
        <v>393</v>
      </c>
      <c r="N26" s="2">
        <v>425</v>
      </c>
      <c r="O26" s="3">
        <v>457</v>
      </c>
      <c r="P26" s="5">
        <v>505</v>
      </c>
      <c r="Q26" s="4">
        <v>537</v>
      </c>
      <c r="R26" s="5">
        <v>569</v>
      </c>
      <c r="S26" s="4">
        <v>601</v>
      </c>
      <c r="T26" s="5">
        <v>633</v>
      </c>
      <c r="U26" s="4">
        <v>665</v>
      </c>
      <c r="V26" s="5">
        <v>697</v>
      </c>
      <c r="W26" s="6">
        <v>745</v>
      </c>
      <c r="X26" s="6">
        <v>777</v>
      </c>
      <c r="Y26" s="6">
        <v>809</v>
      </c>
      <c r="Z26" s="6">
        <v>841</v>
      </c>
      <c r="AA26" s="6">
        <v>873</v>
      </c>
      <c r="AB26" s="6">
        <v>905</v>
      </c>
      <c r="AC26" s="6">
        <v>937</v>
      </c>
    </row>
    <row r="27" spans="1:29" ht="16.5" x14ac:dyDescent="0.25">
      <c r="A27" s="20">
        <v>26</v>
      </c>
      <c r="B27" s="18">
        <v>26</v>
      </c>
      <c r="C27" s="19">
        <v>58</v>
      </c>
      <c r="D27" s="19">
        <v>90</v>
      </c>
      <c r="E27" s="19">
        <v>122</v>
      </c>
      <c r="F27" s="19">
        <v>154</v>
      </c>
      <c r="G27" s="19">
        <v>186</v>
      </c>
      <c r="H27" s="19">
        <v>218</v>
      </c>
      <c r="I27" s="16">
        <v>266</v>
      </c>
      <c r="J27" s="16">
        <v>298</v>
      </c>
      <c r="K27" s="3">
        <v>330</v>
      </c>
      <c r="L27" s="3">
        <v>362</v>
      </c>
      <c r="M27" s="3">
        <v>394</v>
      </c>
      <c r="N27" s="3">
        <v>426</v>
      </c>
      <c r="O27" s="3">
        <v>458</v>
      </c>
      <c r="P27" s="4">
        <v>506</v>
      </c>
      <c r="Q27" s="4">
        <v>538</v>
      </c>
      <c r="R27" s="4">
        <v>570</v>
      </c>
      <c r="S27" s="4">
        <v>602</v>
      </c>
      <c r="T27" s="4">
        <v>634</v>
      </c>
      <c r="U27" s="4">
        <v>666</v>
      </c>
      <c r="V27" s="4">
        <v>698</v>
      </c>
      <c r="W27" s="9">
        <v>746</v>
      </c>
      <c r="X27" s="9">
        <v>778</v>
      </c>
      <c r="Y27" s="9">
        <v>810</v>
      </c>
      <c r="Z27" s="9">
        <v>842</v>
      </c>
      <c r="AA27" s="9">
        <v>874</v>
      </c>
      <c r="AB27" s="9">
        <v>906</v>
      </c>
      <c r="AC27" s="9">
        <v>938</v>
      </c>
    </row>
    <row r="28" spans="1:29" ht="16.5" x14ac:dyDescent="0.25">
      <c r="A28" s="20">
        <v>27</v>
      </c>
      <c r="B28" s="18">
        <v>27</v>
      </c>
      <c r="C28" s="19">
        <v>59</v>
      </c>
      <c r="D28" s="19">
        <v>91</v>
      </c>
      <c r="E28" s="19">
        <v>123</v>
      </c>
      <c r="F28" s="19">
        <v>155</v>
      </c>
      <c r="G28" s="19">
        <v>187</v>
      </c>
      <c r="H28" s="19">
        <v>219</v>
      </c>
      <c r="I28" s="16">
        <v>267</v>
      </c>
      <c r="J28" s="17">
        <v>299</v>
      </c>
      <c r="K28" s="3">
        <v>331</v>
      </c>
      <c r="L28" s="2">
        <v>363</v>
      </c>
      <c r="M28" s="3">
        <v>395</v>
      </c>
      <c r="N28" s="2">
        <v>427</v>
      </c>
      <c r="O28" s="3">
        <v>459</v>
      </c>
      <c r="P28" s="5">
        <v>507</v>
      </c>
      <c r="Q28" s="4">
        <v>539</v>
      </c>
      <c r="R28" s="5">
        <v>571</v>
      </c>
      <c r="S28" s="4">
        <v>603</v>
      </c>
      <c r="T28" s="5">
        <v>635</v>
      </c>
      <c r="U28" s="4">
        <v>667</v>
      </c>
      <c r="V28" s="5">
        <v>699</v>
      </c>
      <c r="W28" s="6">
        <v>747</v>
      </c>
      <c r="X28" s="6">
        <v>779</v>
      </c>
      <c r="Y28" s="6">
        <v>811</v>
      </c>
      <c r="Z28" s="6">
        <v>843</v>
      </c>
      <c r="AA28" s="6">
        <v>875</v>
      </c>
      <c r="AB28" s="6">
        <v>907</v>
      </c>
      <c r="AC28" s="6">
        <v>939</v>
      </c>
    </row>
    <row r="29" spans="1:29" ht="16.5" x14ac:dyDescent="0.25">
      <c r="A29" s="20">
        <v>28</v>
      </c>
      <c r="B29" s="18">
        <v>28</v>
      </c>
      <c r="C29" s="19">
        <v>60</v>
      </c>
      <c r="D29" s="19">
        <v>92</v>
      </c>
      <c r="E29" s="19">
        <v>124</v>
      </c>
      <c r="F29" s="19">
        <v>156</v>
      </c>
      <c r="G29" s="19">
        <v>188</v>
      </c>
      <c r="H29" s="19">
        <v>220</v>
      </c>
      <c r="I29" s="16">
        <v>268</v>
      </c>
      <c r="J29" s="16">
        <v>300</v>
      </c>
      <c r="K29" s="3">
        <v>332</v>
      </c>
      <c r="L29" s="3">
        <v>364</v>
      </c>
      <c r="M29" s="3">
        <v>396</v>
      </c>
      <c r="N29" s="3">
        <v>428</v>
      </c>
      <c r="O29" s="3">
        <v>460</v>
      </c>
      <c r="P29" s="4">
        <v>508</v>
      </c>
      <c r="Q29" s="4">
        <v>540</v>
      </c>
      <c r="R29" s="4">
        <v>572</v>
      </c>
      <c r="S29" s="4">
        <v>604</v>
      </c>
      <c r="T29" s="4">
        <v>636</v>
      </c>
      <c r="U29" s="4">
        <v>668</v>
      </c>
      <c r="V29" s="4">
        <v>700</v>
      </c>
      <c r="W29" s="9">
        <v>748</v>
      </c>
      <c r="X29" s="9">
        <v>780</v>
      </c>
      <c r="Y29" s="9">
        <v>812</v>
      </c>
      <c r="Z29" s="9">
        <v>844</v>
      </c>
      <c r="AA29" s="9">
        <v>876</v>
      </c>
      <c r="AB29" s="9">
        <v>908</v>
      </c>
      <c r="AC29" s="9">
        <v>940</v>
      </c>
    </row>
    <row r="30" spans="1:29" ht="16.5" x14ac:dyDescent="0.25">
      <c r="A30" s="20">
        <v>29</v>
      </c>
      <c r="B30" s="10">
        <v>29</v>
      </c>
      <c r="C30" s="11">
        <v>61</v>
      </c>
      <c r="D30" s="11">
        <v>93</v>
      </c>
      <c r="E30" s="11">
        <v>125</v>
      </c>
      <c r="F30" s="11">
        <v>157</v>
      </c>
      <c r="G30" s="11">
        <v>189</v>
      </c>
      <c r="H30" s="11">
        <v>221</v>
      </c>
      <c r="I30" s="12">
        <v>269</v>
      </c>
      <c r="J30" s="13">
        <v>301</v>
      </c>
      <c r="K30" s="4">
        <v>333</v>
      </c>
      <c r="L30" s="5">
        <v>365</v>
      </c>
      <c r="M30" s="4">
        <v>397</v>
      </c>
      <c r="N30" s="5">
        <v>429</v>
      </c>
      <c r="O30" s="4">
        <v>461</v>
      </c>
      <c r="P30" s="2">
        <v>509</v>
      </c>
      <c r="Q30" s="3">
        <v>541</v>
      </c>
      <c r="R30" s="2">
        <v>573</v>
      </c>
      <c r="S30" s="3">
        <v>605</v>
      </c>
      <c r="T30" s="2">
        <v>637</v>
      </c>
      <c r="U30" s="3">
        <v>669</v>
      </c>
      <c r="V30" s="2">
        <v>701</v>
      </c>
      <c r="W30" s="1">
        <v>749</v>
      </c>
      <c r="X30" s="1">
        <v>781</v>
      </c>
      <c r="Y30" s="1">
        <v>813</v>
      </c>
      <c r="Z30" s="1">
        <v>845</v>
      </c>
      <c r="AA30" s="1">
        <v>877</v>
      </c>
      <c r="AB30" s="1">
        <v>909</v>
      </c>
      <c r="AC30" s="1">
        <v>941</v>
      </c>
    </row>
    <row r="31" spans="1:29" ht="16.5" x14ac:dyDescent="0.25">
      <c r="A31" s="20">
        <v>30</v>
      </c>
      <c r="B31" s="10">
        <v>30</v>
      </c>
      <c r="C31" s="11">
        <v>62</v>
      </c>
      <c r="D31" s="11">
        <v>94</v>
      </c>
      <c r="E31" s="11">
        <v>126</v>
      </c>
      <c r="F31" s="11">
        <v>158</v>
      </c>
      <c r="G31" s="11">
        <v>190</v>
      </c>
      <c r="H31" s="11">
        <v>222</v>
      </c>
      <c r="I31" s="12">
        <v>270</v>
      </c>
      <c r="J31" s="12">
        <v>302</v>
      </c>
      <c r="K31" s="4">
        <v>334</v>
      </c>
      <c r="L31" s="4">
        <v>366</v>
      </c>
      <c r="M31" s="4">
        <v>398</v>
      </c>
      <c r="N31" s="4">
        <v>430</v>
      </c>
      <c r="O31" s="4">
        <v>462</v>
      </c>
      <c r="P31" s="3">
        <v>510</v>
      </c>
      <c r="Q31" s="3">
        <v>542</v>
      </c>
      <c r="R31" s="3">
        <v>574</v>
      </c>
      <c r="S31" s="3">
        <v>606</v>
      </c>
      <c r="T31" s="3">
        <v>638</v>
      </c>
      <c r="U31" s="3">
        <v>670</v>
      </c>
      <c r="V31" s="3">
        <v>702</v>
      </c>
      <c r="W31" s="8">
        <v>750</v>
      </c>
      <c r="X31" s="8">
        <v>782</v>
      </c>
      <c r="Y31" s="8">
        <v>814</v>
      </c>
      <c r="Z31" s="8">
        <v>846</v>
      </c>
      <c r="AA31" s="8">
        <v>878</v>
      </c>
      <c r="AB31" s="8">
        <v>910</v>
      </c>
      <c r="AC31" s="8">
        <v>942</v>
      </c>
    </row>
    <row r="32" spans="1:29" ht="16.5" x14ac:dyDescent="0.25">
      <c r="A32" s="20">
        <v>31</v>
      </c>
      <c r="B32" s="10">
        <v>31</v>
      </c>
      <c r="C32" s="11">
        <v>63</v>
      </c>
      <c r="D32" s="11">
        <v>95</v>
      </c>
      <c r="E32" s="11">
        <v>127</v>
      </c>
      <c r="F32" s="11">
        <v>159</v>
      </c>
      <c r="G32" s="11">
        <v>191</v>
      </c>
      <c r="H32" s="11">
        <v>223</v>
      </c>
      <c r="I32" s="12">
        <v>271</v>
      </c>
      <c r="J32" s="13">
        <v>303</v>
      </c>
      <c r="K32" s="4">
        <v>335</v>
      </c>
      <c r="L32" s="5">
        <v>367</v>
      </c>
      <c r="M32" s="4">
        <v>399</v>
      </c>
      <c r="N32" s="5">
        <v>431</v>
      </c>
      <c r="O32" s="4">
        <v>463</v>
      </c>
      <c r="P32" s="2">
        <v>511</v>
      </c>
      <c r="Q32" s="3">
        <v>543</v>
      </c>
      <c r="R32" s="2">
        <v>575</v>
      </c>
      <c r="S32" s="3">
        <v>607</v>
      </c>
      <c r="T32" s="2">
        <v>639</v>
      </c>
      <c r="U32" s="3">
        <v>671</v>
      </c>
      <c r="V32" s="2">
        <v>703</v>
      </c>
      <c r="W32" s="1">
        <v>751</v>
      </c>
      <c r="X32" s="1">
        <v>783</v>
      </c>
      <c r="Y32" s="1">
        <v>815</v>
      </c>
      <c r="Z32" s="1">
        <v>847</v>
      </c>
      <c r="AA32" s="1">
        <v>879</v>
      </c>
      <c r="AB32" s="1">
        <v>911</v>
      </c>
      <c r="AC32" s="1">
        <v>943</v>
      </c>
    </row>
    <row r="33" spans="1:29" ht="16.5" x14ac:dyDescent="0.25">
      <c r="A33" s="20">
        <v>32</v>
      </c>
      <c r="B33" s="10">
        <v>32</v>
      </c>
      <c r="C33" s="11">
        <v>64</v>
      </c>
      <c r="D33" s="11">
        <v>96</v>
      </c>
      <c r="E33" s="11">
        <v>128</v>
      </c>
      <c r="F33" s="11">
        <v>160</v>
      </c>
      <c r="G33" s="11">
        <v>192</v>
      </c>
      <c r="H33" s="11">
        <v>224</v>
      </c>
      <c r="I33" s="12">
        <v>272</v>
      </c>
      <c r="J33" s="12">
        <v>304</v>
      </c>
      <c r="K33" s="4">
        <v>336</v>
      </c>
      <c r="L33" s="4">
        <v>368</v>
      </c>
      <c r="M33" s="4">
        <v>400</v>
      </c>
      <c r="N33" s="4">
        <v>432</v>
      </c>
      <c r="O33" s="4">
        <v>464</v>
      </c>
      <c r="P33" s="3">
        <v>512</v>
      </c>
      <c r="Q33" s="3">
        <v>544</v>
      </c>
      <c r="R33" s="3">
        <v>576</v>
      </c>
      <c r="S33" s="3">
        <v>608</v>
      </c>
      <c r="T33" s="3">
        <v>640</v>
      </c>
      <c r="U33" s="3">
        <v>672</v>
      </c>
      <c r="V33" s="3">
        <v>704</v>
      </c>
      <c r="W33" s="8">
        <v>752</v>
      </c>
      <c r="X33" s="8">
        <v>784</v>
      </c>
      <c r="Y33" s="8">
        <v>816</v>
      </c>
      <c r="Z33" s="8">
        <v>848</v>
      </c>
      <c r="AA33" s="8">
        <v>880</v>
      </c>
      <c r="AB33" s="8">
        <v>912</v>
      </c>
      <c r="AC33" s="8">
        <v>944</v>
      </c>
    </row>
    <row r="34" spans="1:29" x14ac:dyDescent="0.25">
      <c r="A34" s="20">
        <v>33</v>
      </c>
    </row>
    <row r="35" spans="1:29" x14ac:dyDescent="0.25">
      <c r="A35" s="20">
        <v>34</v>
      </c>
    </row>
    <row r="36" spans="1:29" x14ac:dyDescent="0.25">
      <c r="A36" s="20">
        <v>35</v>
      </c>
    </row>
    <row r="37" spans="1:29" x14ac:dyDescent="0.25">
      <c r="A37" s="20">
        <v>36</v>
      </c>
    </row>
    <row r="38" spans="1:29" x14ac:dyDescent="0.25">
      <c r="A38" s="20">
        <v>37</v>
      </c>
    </row>
    <row r="39" spans="1:29" x14ac:dyDescent="0.25">
      <c r="A39" s="20">
        <v>38</v>
      </c>
    </row>
    <row r="40" spans="1:29" x14ac:dyDescent="0.25">
      <c r="A40" s="20">
        <v>39</v>
      </c>
    </row>
    <row r="41" spans="1:29" x14ac:dyDescent="0.25">
      <c r="A41" s="20">
        <v>40</v>
      </c>
    </row>
    <row r="42" spans="1:29" x14ac:dyDescent="0.25">
      <c r="A42" s="20">
        <v>41</v>
      </c>
    </row>
    <row r="43" spans="1:29" x14ac:dyDescent="0.25">
      <c r="A43" s="20">
        <v>42</v>
      </c>
    </row>
    <row r="44" spans="1:29" x14ac:dyDescent="0.25">
      <c r="A44" s="20">
        <v>43</v>
      </c>
    </row>
    <row r="45" spans="1:29" x14ac:dyDescent="0.25">
      <c r="A45" s="20">
        <v>44</v>
      </c>
    </row>
    <row r="46" spans="1:29" x14ac:dyDescent="0.25">
      <c r="A46" s="20">
        <v>45</v>
      </c>
    </row>
    <row r="47" spans="1:29" x14ac:dyDescent="0.25">
      <c r="A47" s="20">
        <v>46</v>
      </c>
    </row>
    <row r="48" spans="1:29" x14ac:dyDescent="0.25">
      <c r="A48" s="20">
        <v>47</v>
      </c>
    </row>
    <row r="49" spans="1:1" x14ac:dyDescent="0.25">
      <c r="A49" s="20">
        <v>48</v>
      </c>
    </row>
    <row r="50" spans="1:1" x14ac:dyDescent="0.25">
      <c r="A50" s="20">
        <v>49</v>
      </c>
    </row>
    <row r="51" spans="1:1" x14ac:dyDescent="0.25">
      <c r="A51" s="20">
        <v>50</v>
      </c>
    </row>
    <row r="52" spans="1:1" x14ac:dyDescent="0.25">
      <c r="A52" s="20">
        <v>51</v>
      </c>
    </row>
    <row r="53" spans="1:1" x14ac:dyDescent="0.25">
      <c r="A53" s="20">
        <v>52</v>
      </c>
    </row>
    <row r="54" spans="1:1" x14ac:dyDescent="0.25">
      <c r="A54" s="20">
        <v>53</v>
      </c>
    </row>
    <row r="55" spans="1:1" x14ac:dyDescent="0.25">
      <c r="A55" s="20">
        <v>54</v>
      </c>
    </row>
    <row r="56" spans="1:1" x14ac:dyDescent="0.25">
      <c r="A56" s="20">
        <v>55</v>
      </c>
    </row>
    <row r="57" spans="1:1" x14ac:dyDescent="0.25">
      <c r="A57" s="20">
        <v>56</v>
      </c>
    </row>
    <row r="58" spans="1:1" x14ac:dyDescent="0.25">
      <c r="A58" s="20">
        <v>57</v>
      </c>
    </row>
    <row r="59" spans="1:1" x14ac:dyDescent="0.25">
      <c r="A59" s="20">
        <v>58</v>
      </c>
    </row>
    <row r="60" spans="1:1" x14ac:dyDescent="0.25">
      <c r="A60" s="20">
        <v>59</v>
      </c>
    </row>
    <row r="61" spans="1:1" x14ac:dyDescent="0.25">
      <c r="A61" s="20">
        <v>60</v>
      </c>
    </row>
  </sheetData>
  <phoneticPr fontId="2" type="noConversion"/>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91058-AD3E-4A3A-B1E9-41BADBC673CC}">
  <sheetPr>
    <tabColor theme="8"/>
  </sheetPr>
  <dimension ref="A1:BI169"/>
  <sheetViews>
    <sheetView zoomScale="55" zoomScaleNormal="55" workbookViewId="0">
      <selection activeCell="I52" sqref="I52"/>
    </sheetView>
  </sheetViews>
  <sheetFormatPr defaultColWidth="5.7109375" defaultRowHeight="15.75" x14ac:dyDescent="0.25"/>
  <cols>
    <col min="1" max="1" width="5.7109375" style="20"/>
    <col min="2" max="2" width="5.7109375" customWidth="1"/>
  </cols>
  <sheetData>
    <row r="1" spans="1:61" s="20" customFormat="1" x14ac:dyDescent="0.25">
      <c r="B1" s="20">
        <v>1</v>
      </c>
      <c r="C1" s="20">
        <v>2</v>
      </c>
      <c r="D1" s="20">
        <v>3</v>
      </c>
      <c r="E1" s="20">
        <v>4</v>
      </c>
      <c r="F1" s="20">
        <v>5</v>
      </c>
      <c r="G1" s="20">
        <v>6</v>
      </c>
      <c r="H1" s="20">
        <v>7</v>
      </c>
      <c r="I1" s="20">
        <v>8</v>
      </c>
      <c r="J1" s="20">
        <v>9</v>
      </c>
      <c r="K1" s="20">
        <v>10</v>
      </c>
      <c r="L1" s="20">
        <v>11</v>
      </c>
      <c r="M1" s="20">
        <v>12</v>
      </c>
      <c r="N1" s="20">
        <v>13</v>
      </c>
      <c r="O1" s="20">
        <v>14</v>
      </c>
      <c r="P1" s="20">
        <v>15</v>
      </c>
      <c r="Q1" s="20">
        <v>16</v>
      </c>
      <c r="R1" s="20">
        <v>17</v>
      </c>
      <c r="S1" s="20">
        <v>18</v>
      </c>
      <c r="T1" s="20">
        <v>19</v>
      </c>
      <c r="U1" s="20">
        <v>20</v>
      </c>
      <c r="V1" s="20">
        <v>21</v>
      </c>
      <c r="W1" s="20">
        <v>22</v>
      </c>
      <c r="X1" s="20">
        <v>23</v>
      </c>
      <c r="Y1" s="20">
        <v>24</v>
      </c>
      <c r="Z1" s="20">
        <v>25</v>
      </c>
      <c r="AA1" s="20">
        <v>26</v>
      </c>
      <c r="AB1" s="20">
        <v>27</v>
      </c>
      <c r="AC1" s="20">
        <v>28</v>
      </c>
      <c r="AD1" s="20">
        <v>29</v>
      </c>
      <c r="AE1" s="20">
        <v>30</v>
      </c>
      <c r="AF1" s="20">
        <v>31</v>
      </c>
      <c r="AG1" s="20">
        <v>32</v>
      </c>
      <c r="AH1" s="20">
        <v>33</v>
      </c>
      <c r="AI1" s="20">
        <v>34</v>
      </c>
      <c r="AJ1" s="20">
        <v>35</v>
      </c>
      <c r="AK1" s="20">
        <v>36</v>
      </c>
      <c r="AL1" s="20">
        <v>37</v>
      </c>
      <c r="AM1" s="20">
        <v>38</v>
      </c>
      <c r="AN1" s="20">
        <v>39</v>
      </c>
      <c r="AO1" s="20">
        <v>40</v>
      </c>
      <c r="AP1" s="20">
        <v>41</v>
      </c>
      <c r="AQ1" s="20">
        <v>42</v>
      </c>
      <c r="AR1" s="20">
        <v>43</v>
      </c>
      <c r="AS1" s="20">
        <v>44</v>
      </c>
      <c r="AT1" s="20">
        <v>45</v>
      </c>
      <c r="AU1" s="20">
        <v>46</v>
      </c>
      <c r="AV1" s="20">
        <v>47</v>
      </c>
      <c r="AW1" s="20">
        <v>48</v>
      </c>
      <c r="AX1" s="20">
        <v>49</v>
      </c>
      <c r="AY1" s="20">
        <v>50</v>
      </c>
      <c r="AZ1" s="20">
        <v>51</v>
      </c>
      <c r="BA1" s="20">
        <v>52</v>
      </c>
      <c r="BB1" s="20">
        <v>53</v>
      </c>
      <c r="BC1" s="20">
        <v>54</v>
      </c>
      <c r="BD1" s="20">
        <v>55</v>
      </c>
      <c r="BE1" s="20">
        <v>56</v>
      </c>
      <c r="BF1" s="20">
        <v>57</v>
      </c>
      <c r="BG1" s="20">
        <v>58</v>
      </c>
      <c r="BH1" s="20">
        <v>59</v>
      </c>
      <c r="BI1" s="20">
        <v>60</v>
      </c>
    </row>
    <row r="2" spans="1:61" x14ac:dyDescent="0.25">
      <c r="A2" s="20">
        <v>1</v>
      </c>
      <c r="B2">
        <f>IF(AND('(橫掃)RX Mapping'!B2&gt;=1,'(橫掃)RX Mapping'!B2&lt;=120), ('(橫掃)RX Mapping'!B2-1),IF(AND('(橫掃)RX Mapping'!B2&gt;=121,'(橫掃)RX Mapping'!B2&lt;=240), (-1)*('(橫掃)RX Mapping'!B2-240),IF(AND('(橫掃)RX Mapping'!B2&gt;=241,'(橫掃)RX Mapping'!B2&lt;=360), ('(橫掃)RX Mapping'!B2-241),IF(AND('(橫掃)RX Mapping'!B2&gt;=361,'(橫掃)RX Mapping'!B2&lt;=480), (-1)*('(橫掃)RX Mapping'!B2-480),IF(AND('(橫掃)RX Mapping'!B2&gt;=481,'(橫掃)RX Mapping'!B2&lt;=600), ('(橫掃)RX Mapping'!B2-361),IF(AND('(橫掃)RX Mapping'!B2&gt;=601,'(橫掃)RX Mapping'!B2&lt;=720), (-1)*('(橫掃)RX Mapping'!B2-720)+120,IF(AND('(橫掃)RX Mapping'!B2&gt;=721,'(橫掃)RX Mapping'!B2&lt;=840), ('(橫掃)RX Mapping'!B2-601),IF(AND('(橫掃)RX Mapping'!B2&gt;=841,'(橫掃)RX Mapping'!B2&lt;=960), (-1)*('(橫掃)RX Mapping'!B2-960)+120,9999))))))))</f>
        <v>0</v>
      </c>
      <c r="C2">
        <f>IF(AND('(橫掃)RX Mapping'!C2&gt;=1,'(橫掃)RX Mapping'!C2&lt;=120), ('(橫掃)RX Mapping'!C2-1),IF(AND('(橫掃)RX Mapping'!C2&gt;=121,'(橫掃)RX Mapping'!C2&lt;=240), (-1)*('(橫掃)RX Mapping'!C2-240),IF(AND('(橫掃)RX Mapping'!C2&gt;=241,'(橫掃)RX Mapping'!C2&lt;=360), ('(橫掃)RX Mapping'!C2-241),IF(AND('(橫掃)RX Mapping'!C2&gt;=361,'(橫掃)RX Mapping'!C2&lt;=480), (-1)*('(橫掃)RX Mapping'!C2-480),IF(AND('(橫掃)RX Mapping'!C2&gt;=481,'(橫掃)RX Mapping'!C2&lt;=600), ('(橫掃)RX Mapping'!C2-361),IF(AND('(橫掃)RX Mapping'!C2&gt;=601,'(橫掃)RX Mapping'!C2&lt;=720), (-1)*('(橫掃)RX Mapping'!C2-720)+120,IF(AND('(橫掃)RX Mapping'!C2&gt;=721,'(橫掃)RX Mapping'!C2&lt;=840), ('(橫掃)RX Mapping'!C2-601),IF(AND('(橫掃)RX Mapping'!C2&gt;=841,'(橫掃)RX Mapping'!C2&lt;=960), (-1)*('(橫掃)RX Mapping'!C2-960)+120,9999))))))))</f>
        <v>32</v>
      </c>
      <c r="D2">
        <f>IF(AND('(橫掃)RX Mapping'!D2&gt;=1,'(橫掃)RX Mapping'!D2&lt;=120), ('(橫掃)RX Mapping'!D2-1),IF(AND('(橫掃)RX Mapping'!D2&gt;=121,'(橫掃)RX Mapping'!D2&lt;=240), (-1)*('(橫掃)RX Mapping'!D2-240),IF(AND('(橫掃)RX Mapping'!D2&gt;=241,'(橫掃)RX Mapping'!D2&lt;=360), ('(橫掃)RX Mapping'!D2-241),IF(AND('(橫掃)RX Mapping'!D2&gt;=361,'(橫掃)RX Mapping'!D2&lt;=480), (-1)*('(橫掃)RX Mapping'!D2-480),IF(AND('(橫掃)RX Mapping'!D2&gt;=481,'(橫掃)RX Mapping'!D2&lt;=600), ('(橫掃)RX Mapping'!D2-361),IF(AND('(橫掃)RX Mapping'!D2&gt;=601,'(橫掃)RX Mapping'!D2&lt;=720), (-1)*('(橫掃)RX Mapping'!D2-720)+120,IF(AND('(橫掃)RX Mapping'!D2&gt;=721,'(橫掃)RX Mapping'!D2&lt;=840), ('(橫掃)RX Mapping'!D2-601),IF(AND('(橫掃)RX Mapping'!D2&gt;=841,'(橫掃)RX Mapping'!D2&lt;=960), (-1)*('(橫掃)RX Mapping'!D2-960)+120,9999))))))))</f>
        <v>64</v>
      </c>
      <c r="E2">
        <f>IF(AND('(橫掃)RX Mapping'!E2&gt;=1,'(橫掃)RX Mapping'!E2&lt;=120), ('(橫掃)RX Mapping'!E2-1),IF(AND('(橫掃)RX Mapping'!E2&gt;=121,'(橫掃)RX Mapping'!E2&lt;=240), (-1)*('(橫掃)RX Mapping'!E2-240),IF(AND('(橫掃)RX Mapping'!E2&gt;=241,'(橫掃)RX Mapping'!E2&lt;=360), ('(橫掃)RX Mapping'!E2-241),IF(AND('(橫掃)RX Mapping'!E2&gt;=361,'(橫掃)RX Mapping'!E2&lt;=480), (-1)*('(橫掃)RX Mapping'!E2-480),IF(AND('(橫掃)RX Mapping'!E2&gt;=481,'(橫掃)RX Mapping'!E2&lt;=600), ('(橫掃)RX Mapping'!E2-361),IF(AND('(橫掃)RX Mapping'!E2&gt;=601,'(橫掃)RX Mapping'!E2&lt;=720), (-1)*('(橫掃)RX Mapping'!E2-720)+120,IF(AND('(橫掃)RX Mapping'!E2&gt;=721,'(橫掃)RX Mapping'!E2&lt;=840), ('(橫掃)RX Mapping'!E2-601),IF(AND('(橫掃)RX Mapping'!E2&gt;=841,'(橫掃)RX Mapping'!E2&lt;=960), (-1)*('(橫掃)RX Mapping'!E2-960)+120,9999))))))))</f>
        <v>96</v>
      </c>
      <c r="F2">
        <f>IF(AND('(橫掃)RX Mapping'!F2&gt;=1,'(橫掃)RX Mapping'!F2&lt;=120), ('(橫掃)RX Mapping'!F2-1),IF(AND('(橫掃)RX Mapping'!F2&gt;=121,'(橫掃)RX Mapping'!F2&lt;=240), (-1)*('(橫掃)RX Mapping'!F2-240),IF(AND('(橫掃)RX Mapping'!F2&gt;=241,'(橫掃)RX Mapping'!F2&lt;=360), ('(橫掃)RX Mapping'!F2-241),IF(AND('(橫掃)RX Mapping'!F2&gt;=361,'(橫掃)RX Mapping'!F2&lt;=480), (-1)*('(橫掃)RX Mapping'!F2-480),IF(AND('(橫掃)RX Mapping'!F2&gt;=481,'(橫掃)RX Mapping'!F2&lt;=600), ('(橫掃)RX Mapping'!F2-361),IF(AND('(橫掃)RX Mapping'!F2&gt;=601,'(橫掃)RX Mapping'!F2&lt;=720), (-1)*('(橫掃)RX Mapping'!F2-720)+120,IF(AND('(橫掃)RX Mapping'!F2&gt;=721,'(橫掃)RX Mapping'!F2&lt;=840), ('(橫掃)RX Mapping'!F2-601),IF(AND('(橫掃)RX Mapping'!F2&gt;=841,'(橫掃)RX Mapping'!F2&lt;=960), (-1)*('(橫掃)RX Mapping'!F2-960)+120,9999))))))))</f>
        <v>111</v>
      </c>
      <c r="G2">
        <f>IF(AND('(橫掃)RX Mapping'!G2&gt;=1,'(橫掃)RX Mapping'!G2&lt;=120), ('(橫掃)RX Mapping'!G2-1),IF(AND('(橫掃)RX Mapping'!G2&gt;=121,'(橫掃)RX Mapping'!G2&lt;=240), (-1)*('(橫掃)RX Mapping'!G2-240),IF(AND('(橫掃)RX Mapping'!G2&gt;=241,'(橫掃)RX Mapping'!G2&lt;=360), ('(橫掃)RX Mapping'!G2-241),IF(AND('(橫掃)RX Mapping'!G2&gt;=361,'(橫掃)RX Mapping'!G2&lt;=480), (-1)*('(橫掃)RX Mapping'!G2-480),IF(AND('(橫掃)RX Mapping'!G2&gt;=481,'(橫掃)RX Mapping'!G2&lt;=600), ('(橫掃)RX Mapping'!G2-361),IF(AND('(橫掃)RX Mapping'!G2&gt;=601,'(橫掃)RX Mapping'!G2&lt;=720), (-1)*('(橫掃)RX Mapping'!G2-720)+120,IF(AND('(橫掃)RX Mapping'!G2&gt;=721,'(橫掃)RX Mapping'!G2&lt;=840), ('(橫掃)RX Mapping'!G2-601),IF(AND('(橫掃)RX Mapping'!G2&gt;=841,'(橫掃)RX Mapping'!G2&lt;=960), (-1)*('(橫掃)RX Mapping'!G2-960)+120,9999))))))))</f>
        <v>79</v>
      </c>
      <c r="H2">
        <f>IF(AND('(橫掃)RX Mapping'!H2&gt;=1,'(橫掃)RX Mapping'!H2&lt;=120), ('(橫掃)RX Mapping'!H2-1),IF(AND('(橫掃)RX Mapping'!H2&gt;=121,'(橫掃)RX Mapping'!H2&lt;=240), (-1)*('(橫掃)RX Mapping'!H2-240),IF(AND('(橫掃)RX Mapping'!H2&gt;=241,'(橫掃)RX Mapping'!H2&lt;=360), ('(橫掃)RX Mapping'!H2-241),IF(AND('(橫掃)RX Mapping'!H2&gt;=361,'(橫掃)RX Mapping'!H2&lt;=480), (-1)*('(橫掃)RX Mapping'!H2-480),IF(AND('(橫掃)RX Mapping'!H2&gt;=481,'(橫掃)RX Mapping'!H2&lt;=600), ('(橫掃)RX Mapping'!H2-361),IF(AND('(橫掃)RX Mapping'!H2&gt;=601,'(橫掃)RX Mapping'!H2&lt;=720), (-1)*('(橫掃)RX Mapping'!H2-720)+120,IF(AND('(橫掃)RX Mapping'!H2&gt;=721,'(橫掃)RX Mapping'!H2&lt;=840), ('(橫掃)RX Mapping'!H2-601),IF(AND('(橫掃)RX Mapping'!H2&gt;=841,'(橫掃)RX Mapping'!H2&lt;=960), (-1)*('(橫掃)RX Mapping'!H2-960)+120,9999))))))))</f>
        <v>47</v>
      </c>
      <c r="I2">
        <f>IF(AND('(橫掃)RX Mapping'!I2&gt;=1,'(橫掃)RX Mapping'!I2&lt;=120), ('(橫掃)RX Mapping'!I2-1),IF(AND('(橫掃)RX Mapping'!I2&gt;=121,'(橫掃)RX Mapping'!I2&lt;=240), (-1)*('(橫掃)RX Mapping'!I2-240),IF(AND('(橫掃)RX Mapping'!I2&gt;=241,'(橫掃)RX Mapping'!I2&lt;=360), ('(橫掃)RX Mapping'!I2-241),IF(AND('(橫掃)RX Mapping'!I2&gt;=361,'(橫掃)RX Mapping'!I2&lt;=480), (-1)*('(橫掃)RX Mapping'!I2-480),IF(AND('(橫掃)RX Mapping'!I2&gt;=481,'(橫掃)RX Mapping'!I2&lt;=600), ('(橫掃)RX Mapping'!I2-361),IF(AND('(橫掃)RX Mapping'!I2&gt;=601,'(橫掃)RX Mapping'!I2&lt;=720), (-1)*('(橫掃)RX Mapping'!I2-720)+120,IF(AND('(橫掃)RX Mapping'!I2&gt;=721,'(橫掃)RX Mapping'!I2&lt;=840), ('(橫掃)RX Mapping'!I2-601),IF(AND('(橫掃)RX Mapping'!I2&gt;=841,'(橫掃)RX Mapping'!I2&lt;=960), (-1)*('(橫掃)RX Mapping'!I2-960)+120,9999))))))))</f>
        <v>0</v>
      </c>
      <c r="J2">
        <f>IF(AND('(橫掃)RX Mapping'!J2&gt;=1,'(橫掃)RX Mapping'!J2&lt;=120), ('(橫掃)RX Mapping'!J2-1),IF(AND('(橫掃)RX Mapping'!J2&gt;=121,'(橫掃)RX Mapping'!J2&lt;=240), (-1)*('(橫掃)RX Mapping'!J2-240),IF(AND('(橫掃)RX Mapping'!J2&gt;=241,'(橫掃)RX Mapping'!J2&lt;=360), ('(橫掃)RX Mapping'!J2-241),IF(AND('(橫掃)RX Mapping'!J2&gt;=361,'(橫掃)RX Mapping'!J2&lt;=480), (-1)*('(橫掃)RX Mapping'!J2-480),IF(AND('(橫掃)RX Mapping'!J2&gt;=481,'(橫掃)RX Mapping'!J2&lt;=600), ('(橫掃)RX Mapping'!J2-361),IF(AND('(橫掃)RX Mapping'!J2&gt;=601,'(橫掃)RX Mapping'!J2&lt;=720), (-1)*('(橫掃)RX Mapping'!J2-720)+120,IF(AND('(橫掃)RX Mapping'!J2&gt;=721,'(橫掃)RX Mapping'!J2&lt;=840), ('(橫掃)RX Mapping'!J2-601),IF(AND('(橫掃)RX Mapping'!J2&gt;=841,'(橫掃)RX Mapping'!J2&lt;=960), (-1)*('(橫掃)RX Mapping'!J2-960)+120,9999))))))))</f>
        <v>32</v>
      </c>
      <c r="K2">
        <f>IF(AND('(橫掃)RX Mapping'!K2&gt;=1,'(橫掃)RX Mapping'!K2&lt;=120), ('(橫掃)RX Mapping'!K2-1),IF(AND('(橫掃)RX Mapping'!K2&gt;=121,'(橫掃)RX Mapping'!K2&lt;=240), (-1)*('(橫掃)RX Mapping'!K2-240),IF(AND('(橫掃)RX Mapping'!K2&gt;=241,'(橫掃)RX Mapping'!K2&lt;=360), ('(橫掃)RX Mapping'!K2-241),IF(AND('(橫掃)RX Mapping'!K2&gt;=361,'(橫掃)RX Mapping'!K2&lt;=480), (-1)*('(橫掃)RX Mapping'!K2-480),IF(AND('(橫掃)RX Mapping'!K2&gt;=481,'(橫掃)RX Mapping'!K2&lt;=600), ('(橫掃)RX Mapping'!K2-361),IF(AND('(橫掃)RX Mapping'!K2&gt;=601,'(橫掃)RX Mapping'!K2&lt;=720), (-1)*('(橫掃)RX Mapping'!K2-720)+120,IF(AND('(橫掃)RX Mapping'!K2&gt;=721,'(橫掃)RX Mapping'!K2&lt;=840), ('(橫掃)RX Mapping'!K2-601),IF(AND('(橫掃)RX Mapping'!K2&gt;=841,'(橫掃)RX Mapping'!K2&lt;=960), (-1)*('(橫掃)RX Mapping'!K2-960)+120,9999))))))))</f>
        <v>64</v>
      </c>
      <c r="L2">
        <f>IF(AND('(橫掃)RX Mapping'!L2&gt;=1,'(橫掃)RX Mapping'!L2&lt;=120), ('(橫掃)RX Mapping'!L2-1),IF(AND('(橫掃)RX Mapping'!L2&gt;=121,'(橫掃)RX Mapping'!L2&lt;=240), (-1)*('(橫掃)RX Mapping'!L2-240),IF(AND('(橫掃)RX Mapping'!L2&gt;=241,'(橫掃)RX Mapping'!L2&lt;=360), ('(橫掃)RX Mapping'!L2-241),IF(AND('(橫掃)RX Mapping'!L2&gt;=361,'(橫掃)RX Mapping'!L2&lt;=480), (-1)*('(橫掃)RX Mapping'!L2-480),IF(AND('(橫掃)RX Mapping'!L2&gt;=481,'(橫掃)RX Mapping'!L2&lt;=600), ('(橫掃)RX Mapping'!L2-361),IF(AND('(橫掃)RX Mapping'!L2&gt;=601,'(橫掃)RX Mapping'!L2&lt;=720), (-1)*('(橫掃)RX Mapping'!L2-720)+120,IF(AND('(橫掃)RX Mapping'!L2&gt;=721,'(橫掃)RX Mapping'!L2&lt;=840), ('(橫掃)RX Mapping'!L2-601),IF(AND('(橫掃)RX Mapping'!L2&gt;=841,'(橫掃)RX Mapping'!L2&lt;=960), (-1)*('(橫掃)RX Mapping'!L2-960)+120,9999))))))))</f>
        <v>96</v>
      </c>
      <c r="M2">
        <f>IF(AND('(橫掃)RX Mapping'!M2&gt;=1,'(橫掃)RX Mapping'!M2&lt;=120), ('(橫掃)RX Mapping'!M2-1),IF(AND('(橫掃)RX Mapping'!M2&gt;=121,'(橫掃)RX Mapping'!M2&lt;=240), (-1)*('(橫掃)RX Mapping'!M2-240),IF(AND('(橫掃)RX Mapping'!M2&gt;=241,'(橫掃)RX Mapping'!M2&lt;=360), ('(橫掃)RX Mapping'!M2-241),IF(AND('(橫掃)RX Mapping'!M2&gt;=361,'(橫掃)RX Mapping'!M2&lt;=480), (-1)*('(橫掃)RX Mapping'!M2-480),IF(AND('(橫掃)RX Mapping'!M2&gt;=481,'(橫掃)RX Mapping'!M2&lt;=600), ('(橫掃)RX Mapping'!M2-361),IF(AND('(橫掃)RX Mapping'!M2&gt;=601,'(橫掃)RX Mapping'!M2&lt;=720), (-1)*('(橫掃)RX Mapping'!M2-720)+120,IF(AND('(橫掃)RX Mapping'!M2&gt;=721,'(橫掃)RX Mapping'!M2&lt;=840), ('(橫掃)RX Mapping'!M2-601),IF(AND('(橫掃)RX Mapping'!M2&gt;=841,'(橫掃)RX Mapping'!M2&lt;=960), (-1)*('(橫掃)RX Mapping'!M2-960)+120,9999))))))))</f>
        <v>111</v>
      </c>
      <c r="N2">
        <f>IF(AND('(橫掃)RX Mapping'!N2&gt;=1,'(橫掃)RX Mapping'!N2&lt;=120), ('(橫掃)RX Mapping'!N2-1),IF(AND('(橫掃)RX Mapping'!N2&gt;=121,'(橫掃)RX Mapping'!N2&lt;=240), (-1)*('(橫掃)RX Mapping'!N2-240),IF(AND('(橫掃)RX Mapping'!N2&gt;=241,'(橫掃)RX Mapping'!N2&lt;=360), ('(橫掃)RX Mapping'!N2-241),IF(AND('(橫掃)RX Mapping'!N2&gt;=361,'(橫掃)RX Mapping'!N2&lt;=480), (-1)*('(橫掃)RX Mapping'!N2-480),IF(AND('(橫掃)RX Mapping'!N2&gt;=481,'(橫掃)RX Mapping'!N2&lt;=600), ('(橫掃)RX Mapping'!N2-361),IF(AND('(橫掃)RX Mapping'!N2&gt;=601,'(橫掃)RX Mapping'!N2&lt;=720), (-1)*('(橫掃)RX Mapping'!N2-720)+120,IF(AND('(橫掃)RX Mapping'!N2&gt;=721,'(橫掃)RX Mapping'!N2&lt;=840), ('(橫掃)RX Mapping'!N2-601),IF(AND('(橫掃)RX Mapping'!N2&gt;=841,'(橫掃)RX Mapping'!N2&lt;=960), (-1)*('(橫掃)RX Mapping'!N2-960)+120,9999))))))))</f>
        <v>79</v>
      </c>
      <c r="O2">
        <f>IF(AND('(橫掃)RX Mapping'!O2&gt;=1,'(橫掃)RX Mapping'!O2&lt;=120), ('(橫掃)RX Mapping'!O2-1),IF(AND('(橫掃)RX Mapping'!O2&gt;=121,'(橫掃)RX Mapping'!O2&lt;=240), (-1)*('(橫掃)RX Mapping'!O2-240),IF(AND('(橫掃)RX Mapping'!O2&gt;=241,'(橫掃)RX Mapping'!O2&lt;=360), ('(橫掃)RX Mapping'!O2-241),IF(AND('(橫掃)RX Mapping'!O2&gt;=361,'(橫掃)RX Mapping'!O2&lt;=480), (-1)*('(橫掃)RX Mapping'!O2-480),IF(AND('(橫掃)RX Mapping'!O2&gt;=481,'(橫掃)RX Mapping'!O2&lt;=600), ('(橫掃)RX Mapping'!O2-361),IF(AND('(橫掃)RX Mapping'!O2&gt;=601,'(橫掃)RX Mapping'!O2&lt;=720), (-1)*('(橫掃)RX Mapping'!O2-720)+120,IF(AND('(橫掃)RX Mapping'!O2&gt;=721,'(橫掃)RX Mapping'!O2&lt;=840), ('(橫掃)RX Mapping'!O2-601),IF(AND('(橫掃)RX Mapping'!O2&gt;=841,'(橫掃)RX Mapping'!O2&lt;=960), (-1)*('(橫掃)RX Mapping'!O2-960)+120,9999))))))))</f>
        <v>47</v>
      </c>
      <c r="P2">
        <f>IF(AND('(橫掃)RX Mapping'!P2&gt;=1,'(橫掃)RX Mapping'!P2&lt;=120), ('(橫掃)RX Mapping'!P2-1),IF(AND('(橫掃)RX Mapping'!P2&gt;=121,'(橫掃)RX Mapping'!P2&lt;=240), (-1)*('(橫掃)RX Mapping'!P2-240),IF(AND('(橫掃)RX Mapping'!P2&gt;=241,'(橫掃)RX Mapping'!P2&lt;=360), ('(橫掃)RX Mapping'!P2-241),IF(AND('(橫掃)RX Mapping'!P2&gt;=361,'(橫掃)RX Mapping'!P2&lt;=480), (-1)*('(橫掃)RX Mapping'!P2-480),IF(AND('(橫掃)RX Mapping'!P2&gt;=481,'(橫掃)RX Mapping'!P2&lt;=600), ('(橫掃)RX Mapping'!P2-361),IF(AND('(橫掃)RX Mapping'!P2&gt;=601,'(橫掃)RX Mapping'!P2&lt;=720), (-1)*('(橫掃)RX Mapping'!P2-720)+120,IF(AND('(橫掃)RX Mapping'!P2&gt;=721,'(橫掃)RX Mapping'!P2&lt;=840), ('(橫掃)RX Mapping'!P2-601),IF(AND('(橫掃)RX Mapping'!P2&gt;=841,'(橫掃)RX Mapping'!P2&lt;=960), (-1)*('(橫掃)RX Mapping'!P2-960)+120,9999))))))))</f>
        <v>120</v>
      </c>
      <c r="Q2">
        <f>IF(AND('(橫掃)RX Mapping'!Q2&gt;=1,'(橫掃)RX Mapping'!Q2&lt;=120), ('(橫掃)RX Mapping'!Q2-1),IF(AND('(橫掃)RX Mapping'!Q2&gt;=121,'(橫掃)RX Mapping'!Q2&lt;=240), (-1)*('(橫掃)RX Mapping'!Q2-240),IF(AND('(橫掃)RX Mapping'!Q2&gt;=241,'(橫掃)RX Mapping'!Q2&lt;=360), ('(橫掃)RX Mapping'!Q2-241),IF(AND('(橫掃)RX Mapping'!Q2&gt;=361,'(橫掃)RX Mapping'!Q2&lt;=480), (-1)*('(橫掃)RX Mapping'!Q2-480),IF(AND('(橫掃)RX Mapping'!Q2&gt;=481,'(橫掃)RX Mapping'!Q2&lt;=600), ('(橫掃)RX Mapping'!Q2-361),IF(AND('(橫掃)RX Mapping'!Q2&gt;=601,'(橫掃)RX Mapping'!Q2&lt;=720), (-1)*('(橫掃)RX Mapping'!Q2-720)+120,IF(AND('(橫掃)RX Mapping'!Q2&gt;=721,'(橫掃)RX Mapping'!Q2&lt;=840), ('(橫掃)RX Mapping'!Q2-601),IF(AND('(橫掃)RX Mapping'!Q2&gt;=841,'(橫掃)RX Mapping'!Q2&lt;=960), (-1)*('(橫掃)RX Mapping'!Q2-960)+120,9999))))))))</f>
        <v>152</v>
      </c>
      <c r="R2">
        <f>IF(AND('(橫掃)RX Mapping'!R2&gt;=1,'(橫掃)RX Mapping'!R2&lt;=120), ('(橫掃)RX Mapping'!R2-1),IF(AND('(橫掃)RX Mapping'!R2&gt;=121,'(橫掃)RX Mapping'!R2&lt;=240), (-1)*('(橫掃)RX Mapping'!R2-240),IF(AND('(橫掃)RX Mapping'!R2&gt;=241,'(橫掃)RX Mapping'!R2&lt;=360), ('(橫掃)RX Mapping'!R2-241),IF(AND('(橫掃)RX Mapping'!R2&gt;=361,'(橫掃)RX Mapping'!R2&lt;=480), (-1)*('(橫掃)RX Mapping'!R2-480),IF(AND('(橫掃)RX Mapping'!R2&gt;=481,'(橫掃)RX Mapping'!R2&lt;=600), ('(橫掃)RX Mapping'!R2-361),IF(AND('(橫掃)RX Mapping'!R2&gt;=601,'(橫掃)RX Mapping'!R2&lt;=720), (-1)*('(橫掃)RX Mapping'!R2-720)+120,IF(AND('(橫掃)RX Mapping'!R2&gt;=721,'(橫掃)RX Mapping'!R2&lt;=840), ('(橫掃)RX Mapping'!R2-601),IF(AND('(橫掃)RX Mapping'!R2&gt;=841,'(橫掃)RX Mapping'!R2&lt;=960), (-1)*('(橫掃)RX Mapping'!R2-960)+120,9999))))))))</f>
        <v>184</v>
      </c>
      <c r="S2">
        <f>IF(AND('(橫掃)RX Mapping'!S2&gt;=1,'(橫掃)RX Mapping'!S2&lt;=120), ('(橫掃)RX Mapping'!S2-1),IF(AND('(橫掃)RX Mapping'!S2&gt;=121,'(橫掃)RX Mapping'!S2&lt;=240), (-1)*('(橫掃)RX Mapping'!S2-240),IF(AND('(橫掃)RX Mapping'!S2&gt;=241,'(橫掃)RX Mapping'!S2&lt;=360), ('(橫掃)RX Mapping'!S2-241),IF(AND('(橫掃)RX Mapping'!S2&gt;=361,'(橫掃)RX Mapping'!S2&lt;=480), (-1)*('(橫掃)RX Mapping'!S2-480),IF(AND('(橫掃)RX Mapping'!S2&gt;=481,'(橫掃)RX Mapping'!S2&lt;=600), ('(橫掃)RX Mapping'!S2-361),IF(AND('(橫掃)RX Mapping'!S2&gt;=601,'(橫掃)RX Mapping'!S2&lt;=720), (-1)*('(橫掃)RX Mapping'!S2-720)+120,IF(AND('(橫掃)RX Mapping'!S2&gt;=721,'(橫掃)RX Mapping'!S2&lt;=840), ('(橫掃)RX Mapping'!S2-601),IF(AND('(橫掃)RX Mapping'!S2&gt;=841,'(橫掃)RX Mapping'!S2&lt;=960), (-1)*('(橫掃)RX Mapping'!S2-960)+120,9999))))))))</f>
        <v>216</v>
      </c>
      <c r="T2">
        <f>IF(AND('(橫掃)RX Mapping'!T2&gt;=1,'(橫掃)RX Mapping'!T2&lt;=120), ('(橫掃)RX Mapping'!T2-1),IF(AND('(橫掃)RX Mapping'!T2&gt;=121,'(橫掃)RX Mapping'!T2&lt;=240), (-1)*('(橫掃)RX Mapping'!T2-240),IF(AND('(橫掃)RX Mapping'!T2&gt;=241,'(橫掃)RX Mapping'!T2&lt;=360), ('(橫掃)RX Mapping'!T2-241),IF(AND('(橫掃)RX Mapping'!T2&gt;=361,'(橫掃)RX Mapping'!T2&lt;=480), (-1)*('(橫掃)RX Mapping'!T2-480),IF(AND('(橫掃)RX Mapping'!T2&gt;=481,'(橫掃)RX Mapping'!T2&lt;=600), ('(橫掃)RX Mapping'!T2-361),IF(AND('(橫掃)RX Mapping'!T2&gt;=601,'(橫掃)RX Mapping'!T2&lt;=720), (-1)*('(橫掃)RX Mapping'!T2-720)+120,IF(AND('(橫掃)RX Mapping'!T2&gt;=721,'(橫掃)RX Mapping'!T2&lt;=840), ('(橫掃)RX Mapping'!T2-601),IF(AND('(橫掃)RX Mapping'!T2&gt;=841,'(橫掃)RX Mapping'!T2&lt;=960), (-1)*('(橫掃)RX Mapping'!T2-960)+120,9999))))))))</f>
        <v>231</v>
      </c>
      <c r="U2">
        <f>IF(AND('(橫掃)RX Mapping'!U2&gt;=1,'(橫掃)RX Mapping'!U2&lt;=120), ('(橫掃)RX Mapping'!U2-1),IF(AND('(橫掃)RX Mapping'!U2&gt;=121,'(橫掃)RX Mapping'!U2&lt;=240), (-1)*('(橫掃)RX Mapping'!U2-240),IF(AND('(橫掃)RX Mapping'!U2&gt;=241,'(橫掃)RX Mapping'!U2&lt;=360), ('(橫掃)RX Mapping'!U2-241),IF(AND('(橫掃)RX Mapping'!U2&gt;=361,'(橫掃)RX Mapping'!U2&lt;=480), (-1)*('(橫掃)RX Mapping'!U2-480),IF(AND('(橫掃)RX Mapping'!U2&gt;=481,'(橫掃)RX Mapping'!U2&lt;=600), ('(橫掃)RX Mapping'!U2-361),IF(AND('(橫掃)RX Mapping'!U2&gt;=601,'(橫掃)RX Mapping'!U2&lt;=720), (-1)*('(橫掃)RX Mapping'!U2-720)+120,IF(AND('(橫掃)RX Mapping'!U2&gt;=721,'(橫掃)RX Mapping'!U2&lt;=840), ('(橫掃)RX Mapping'!U2-601),IF(AND('(橫掃)RX Mapping'!U2&gt;=841,'(橫掃)RX Mapping'!U2&lt;=960), (-1)*('(橫掃)RX Mapping'!U2-960)+120,9999))))))))</f>
        <v>199</v>
      </c>
      <c r="V2">
        <f>IF(AND('(橫掃)RX Mapping'!V2&gt;=1,'(橫掃)RX Mapping'!V2&lt;=120), ('(橫掃)RX Mapping'!V2-1),IF(AND('(橫掃)RX Mapping'!V2&gt;=121,'(橫掃)RX Mapping'!V2&lt;=240), (-1)*('(橫掃)RX Mapping'!V2-240),IF(AND('(橫掃)RX Mapping'!V2&gt;=241,'(橫掃)RX Mapping'!V2&lt;=360), ('(橫掃)RX Mapping'!V2-241),IF(AND('(橫掃)RX Mapping'!V2&gt;=361,'(橫掃)RX Mapping'!V2&lt;=480), (-1)*('(橫掃)RX Mapping'!V2-480),IF(AND('(橫掃)RX Mapping'!V2&gt;=481,'(橫掃)RX Mapping'!V2&lt;=600), ('(橫掃)RX Mapping'!V2-361),IF(AND('(橫掃)RX Mapping'!V2&gt;=601,'(橫掃)RX Mapping'!V2&lt;=720), (-1)*('(橫掃)RX Mapping'!V2-720)+120,IF(AND('(橫掃)RX Mapping'!V2&gt;=721,'(橫掃)RX Mapping'!V2&lt;=840), ('(橫掃)RX Mapping'!V2-601),IF(AND('(橫掃)RX Mapping'!V2&gt;=841,'(橫掃)RX Mapping'!V2&lt;=960), (-1)*('(橫掃)RX Mapping'!V2-960)+120,9999))))))))</f>
        <v>167</v>
      </c>
      <c r="W2">
        <f>IF(AND('(橫掃)RX Mapping'!W2&gt;=1,'(橫掃)RX Mapping'!W2&lt;=120), ('(橫掃)RX Mapping'!W2-1),IF(AND('(橫掃)RX Mapping'!W2&gt;=121,'(橫掃)RX Mapping'!W2&lt;=240), (-1)*('(橫掃)RX Mapping'!W2-240),IF(AND('(橫掃)RX Mapping'!W2&gt;=241,'(橫掃)RX Mapping'!W2&lt;=360), ('(橫掃)RX Mapping'!W2-241),IF(AND('(橫掃)RX Mapping'!W2&gt;=361,'(橫掃)RX Mapping'!W2&lt;=480), (-1)*('(橫掃)RX Mapping'!W2-480),IF(AND('(橫掃)RX Mapping'!W2&gt;=481,'(橫掃)RX Mapping'!W2&lt;=600), ('(橫掃)RX Mapping'!W2-361),IF(AND('(橫掃)RX Mapping'!W2&gt;=601,'(橫掃)RX Mapping'!W2&lt;=720), (-1)*('(橫掃)RX Mapping'!W2-720)+120,IF(AND('(橫掃)RX Mapping'!W2&gt;=721,'(橫掃)RX Mapping'!W2&lt;=840), ('(橫掃)RX Mapping'!W2-601),IF(AND('(橫掃)RX Mapping'!W2&gt;=841,'(橫掃)RX Mapping'!W2&lt;=960), (-1)*('(橫掃)RX Mapping'!W2-960)+120,9999))))))))</f>
        <v>120</v>
      </c>
      <c r="X2">
        <f>IF(AND('(橫掃)RX Mapping'!X2&gt;=1,'(橫掃)RX Mapping'!X2&lt;=120), ('(橫掃)RX Mapping'!X2-1),IF(AND('(橫掃)RX Mapping'!X2&gt;=121,'(橫掃)RX Mapping'!X2&lt;=240), (-1)*('(橫掃)RX Mapping'!X2-240),IF(AND('(橫掃)RX Mapping'!X2&gt;=241,'(橫掃)RX Mapping'!X2&lt;=360), ('(橫掃)RX Mapping'!X2-241),IF(AND('(橫掃)RX Mapping'!X2&gt;=361,'(橫掃)RX Mapping'!X2&lt;=480), (-1)*('(橫掃)RX Mapping'!X2-480),IF(AND('(橫掃)RX Mapping'!X2&gt;=481,'(橫掃)RX Mapping'!X2&lt;=600), ('(橫掃)RX Mapping'!X2-361),IF(AND('(橫掃)RX Mapping'!X2&gt;=601,'(橫掃)RX Mapping'!X2&lt;=720), (-1)*('(橫掃)RX Mapping'!X2-720)+120,IF(AND('(橫掃)RX Mapping'!X2&gt;=721,'(橫掃)RX Mapping'!X2&lt;=840), ('(橫掃)RX Mapping'!X2-601),IF(AND('(橫掃)RX Mapping'!X2&gt;=841,'(橫掃)RX Mapping'!X2&lt;=960), (-1)*('(橫掃)RX Mapping'!X2-960)+120,9999))))))))</f>
        <v>152</v>
      </c>
      <c r="Y2">
        <f>IF(AND('(橫掃)RX Mapping'!Y2&gt;=1,'(橫掃)RX Mapping'!Y2&lt;=120), ('(橫掃)RX Mapping'!Y2-1),IF(AND('(橫掃)RX Mapping'!Y2&gt;=121,'(橫掃)RX Mapping'!Y2&lt;=240), (-1)*('(橫掃)RX Mapping'!Y2-240),IF(AND('(橫掃)RX Mapping'!Y2&gt;=241,'(橫掃)RX Mapping'!Y2&lt;=360), ('(橫掃)RX Mapping'!Y2-241),IF(AND('(橫掃)RX Mapping'!Y2&gt;=361,'(橫掃)RX Mapping'!Y2&lt;=480), (-1)*('(橫掃)RX Mapping'!Y2-480),IF(AND('(橫掃)RX Mapping'!Y2&gt;=481,'(橫掃)RX Mapping'!Y2&lt;=600), ('(橫掃)RX Mapping'!Y2-361),IF(AND('(橫掃)RX Mapping'!Y2&gt;=601,'(橫掃)RX Mapping'!Y2&lt;=720), (-1)*('(橫掃)RX Mapping'!Y2-720)+120,IF(AND('(橫掃)RX Mapping'!Y2&gt;=721,'(橫掃)RX Mapping'!Y2&lt;=840), ('(橫掃)RX Mapping'!Y2-601),IF(AND('(橫掃)RX Mapping'!Y2&gt;=841,'(橫掃)RX Mapping'!Y2&lt;=960), (-1)*('(橫掃)RX Mapping'!Y2-960)+120,9999))))))))</f>
        <v>184</v>
      </c>
      <c r="Z2">
        <f>IF(AND('(橫掃)RX Mapping'!Z2&gt;=1,'(橫掃)RX Mapping'!Z2&lt;=120), ('(橫掃)RX Mapping'!Z2-1),IF(AND('(橫掃)RX Mapping'!Z2&gt;=121,'(橫掃)RX Mapping'!Z2&lt;=240), (-1)*('(橫掃)RX Mapping'!Z2-240),IF(AND('(橫掃)RX Mapping'!Z2&gt;=241,'(橫掃)RX Mapping'!Z2&lt;=360), ('(橫掃)RX Mapping'!Z2-241),IF(AND('(橫掃)RX Mapping'!Z2&gt;=361,'(橫掃)RX Mapping'!Z2&lt;=480), (-1)*('(橫掃)RX Mapping'!Z2-480),IF(AND('(橫掃)RX Mapping'!Z2&gt;=481,'(橫掃)RX Mapping'!Z2&lt;=600), ('(橫掃)RX Mapping'!Z2-361),IF(AND('(橫掃)RX Mapping'!Z2&gt;=601,'(橫掃)RX Mapping'!Z2&lt;=720), (-1)*('(橫掃)RX Mapping'!Z2-720)+120,IF(AND('(橫掃)RX Mapping'!Z2&gt;=721,'(橫掃)RX Mapping'!Z2&lt;=840), ('(橫掃)RX Mapping'!Z2-601),IF(AND('(橫掃)RX Mapping'!Z2&gt;=841,'(橫掃)RX Mapping'!Z2&lt;=960), (-1)*('(橫掃)RX Mapping'!Z2-960)+120,9999))))))))</f>
        <v>216</v>
      </c>
      <c r="AA2">
        <f>IF(AND('(橫掃)RX Mapping'!AA2&gt;=1,'(橫掃)RX Mapping'!AA2&lt;=120), ('(橫掃)RX Mapping'!AA2-1),IF(AND('(橫掃)RX Mapping'!AA2&gt;=121,'(橫掃)RX Mapping'!AA2&lt;=240), (-1)*('(橫掃)RX Mapping'!AA2-240),IF(AND('(橫掃)RX Mapping'!AA2&gt;=241,'(橫掃)RX Mapping'!AA2&lt;=360), ('(橫掃)RX Mapping'!AA2-241),IF(AND('(橫掃)RX Mapping'!AA2&gt;=361,'(橫掃)RX Mapping'!AA2&lt;=480), (-1)*('(橫掃)RX Mapping'!AA2-480),IF(AND('(橫掃)RX Mapping'!AA2&gt;=481,'(橫掃)RX Mapping'!AA2&lt;=600), ('(橫掃)RX Mapping'!AA2-361),IF(AND('(橫掃)RX Mapping'!AA2&gt;=601,'(橫掃)RX Mapping'!AA2&lt;=720), (-1)*('(橫掃)RX Mapping'!AA2-720)+120,IF(AND('(橫掃)RX Mapping'!AA2&gt;=721,'(橫掃)RX Mapping'!AA2&lt;=840), ('(橫掃)RX Mapping'!AA2-601),IF(AND('(橫掃)RX Mapping'!AA2&gt;=841,'(橫掃)RX Mapping'!AA2&lt;=960), (-1)*('(橫掃)RX Mapping'!AA2-960)+120,9999))))))))</f>
        <v>231</v>
      </c>
      <c r="AB2">
        <f>IF(AND('(橫掃)RX Mapping'!AB2&gt;=1,'(橫掃)RX Mapping'!AB2&lt;=120), ('(橫掃)RX Mapping'!AB2-1),IF(AND('(橫掃)RX Mapping'!AB2&gt;=121,'(橫掃)RX Mapping'!AB2&lt;=240), (-1)*('(橫掃)RX Mapping'!AB2-240),IF(AND('(橫掃)RX Mapping'!AB2&gt;=241,'(橫掃)RX Mapping'!AB2&lt;=360), ('(橫掃)RX Mapping'!AB2-241),IF(AND('(橫掃)RX Mapping'!AB2&gt;=361,'(橫掃)RX Mapping'!AB2&lt;=480), (-1)*('(橫掃)RX Mapping'!AB2-480),IF(AND('(橫掃)RX Mapping'!AB2&gt;=481,'(橫掃)RX Mapping'!AB2&lt;=600), ('(橫掃)RX Mapping'!AB2-361),IF(AND('(橫掃)RX Mapping'!AB2&gt;=601,'(橫掃)RX Mapping'!AB2&lt;=720), (-1)*('(橫掃)RX Mapping'!AB2-720)+120,IF(AND('(橫掃)RX Mapping'!AB2&gt;=721,'(橫掃)RX Mapping'!AB2&lt;=840), ('(橫掃)RX Mapping'!AB2-601),IF(AND('(橫掃)RX Mapping'!AB2&gt;=841,'(橫掃)RX Mapping'!AB2&lt;=960), (-1)*('(橫掃)RX Mapping'!AB2-960)+120,9999))))))))</f>
        <v>199</v>
      </c>
      <c r="AC2">
        <f>IF(AND('(橫掃)RX Mapping'!AC2&gt;=1,'(橫掃)RX Mapping'!AC2&lt;=120), ('(橫掃)RX Mapping'!AC2-1),IF(AND('(橫掃)RX Mapping'!AC2&gt;=121,'(橫掃)RX Mapping'!AC2&lt;=240), (-1)*('(橫掃)RX Mapping'!AC2-240),IF(AND('(橫掃)RX Mapping'!AC2&gt;=241,'(橫掃)RX Mapping'!AC2&lt;=360), ('(橫掃)RX Mapping'!AC2-241),IF(AND('(橫掃)RX Mapping'!AC2&gt;=361,'(橫掃)RX Mapping'!AC2&lt;=480), (-1)*('(橫掃)RX Mapping'!AC2-480),IF(AND('(橫掃)RX Mapping'!AC2&gt;=481,'(橫掃)RX Mapping'!AC2&lt;=600), ('(橫掃)RX Mapping'!AC2-361),IF(AND('(橫掃)RX Mapping'!AC2&gt;=601,'(橫掃)RX Mapping'!AC2&lt;=720), (-1)*('(橫掃)RX Mapping'!AC2-720)+120,IF(AND('(橫掃)RX Mapping'!AC2&gt;=721,'(橫掃)RX Mapping'!AC2&lt;=840), ('(橫掃)RX Mapping'!AC2-601),IF(AND('(橫掃)RX Mapping'!AC2&gt;=841,'(橫掃)RX Mapping'!AC2&lt;=960), (-1)*('(橫掃)RX Mapping'!AC2-960)+120,9999))))))))</f>
        <v>167</v>
      </c>
      <c r="AD2">
        <f>IF(AND('(橫掃)RX Mapping'!AD2&gt;=1,'(橫掃)RX Mapping'!AD2&lt;=120), ('(橫掃)RX Mapping'!AD2-1),IF(AND('(橫掃)RX Mapping'!AD2&gt;=121,'(橫掃)RX Mapping'!AD2&lt;=240), (-1)*('(橫掃)RX Mapping'!AD2-240),IF(AND('(橫掃)RX Mapping'!AD2&gt;=241,'(橫掃)RX Mapping'!AD2&lt;=360), ('(橫掃)RX Mapping'!AD2-241),IF(AND('(橫掃)RX Mapping'!AD2&gt;=361,'(橫掃)RX Mapping'!AD2&lt;=480), (-1)*('(橫掃)RX Mapping'!AD2-480),IF(AND('(橫掃)RX Mapping'!AD2&gt;=481,'(橫掃)RX Mapping'!AD2&lt;=600), ('(橫掃)RX Mapping'!AD2-361),IF(AND('(橫掃)RX Mapping'!AD2&gt;=601,'(橫掃)RX Mapping'!AD2&lt;=720), (-1)*('(橫掃)RX Mapping'!AD2-720)+120,IF(AND('(橫掃)RX Mapping'!AD2&gt;=721,'(橫掃)RX Mapping'!AD2&lt;=840), ('(橫掃)RX Mapping'!AD2-601),IF(AND('(橫掃)RX Mapping'!AD2&gt;=841,'(橫掃)RX Mapping'!AD2&lt;=960), (-1)*('(橫掃)RX Mapping'!AD2-960)+120,9999))))))))</f>
        <v>9999</v>
      </c>
      <c r="AE2">
        <f>IF(AND('(橫掃)RX Mapping'!AE2&gt;=1,'(橫掃)RX Mapping'!AE2&lt;=120), ('(橫掃)RX Mapping'!AE2-1),IF(AND('(橫掃)RX Mapping'!AE2&gt;=121,'(橫掃)RX Mapping'!AE2&lt;=240), (-1)*('(橫掃)RX Mapping'!AE2-240),IF(AND('(橫掃)RX Mapping'!AE2&gt;=241,'(橫掃)RX Mapping'!AE2&lt;=360), ('(橫掃)RX Mapping'!AE2-241),IF(AND('(橫掃)RX Mapping'!AE2&gt;=361,'(橫掃)RX Mapping'!AE2&lt;=480), (-1)*('(橫掃)RX Mapping'!AE2-480),IF(AND('(橫掃)RX Mapping'!AE2&gt;=481,'(橫掃)RX Mapping'!AE2&lt;=600), ('(橫掃)RX Mapping'!AE2-361),IF(AND('(橫掃)RX Mapping'!AE2&gt;=601,'(橫掃)RX Mapping'!AE2&lt;=720), (-1)*('(橫掃)RX Mapping'!AE2-720)+120,IF(AND('(橫掃)RX Mapping'!AE2&gt;=721,'(橫掃)RX Mapping'!AE2&lt;=840), ('(橫掃)RX Mapping'!AE2-601),IF(AND('(橫掃)RX Mapping'!AE2&gt;=841,'(橫掃)RX Mapping'!AE2&lt;=960), (-1)*('(橫掃)RX Mapping'!AE2-960)+120,9999))))))))</f>
        <v>9999</v>
      </c>
      <c r="AF2">
        <f>IF(AND('(橫掃)RX Mapping'!AF2&gt;=1,'(橫掃)RX Mapping'!AF2&lt;=120), ('(橫掃)RX Mapping'!AF2-1),IF(AND('(橫掃)RX Mapping'!AF2&gt;=121,'(橫掃)RX Mapping'!AF2&lt;=240), (-1)*('(橫掃)RX Mapping'!AF2-240),IF(AND('(橫掃)RX Mapping'!AF2&gt;=241,'(橫掃)RX Mapping'!AF2&lt;=360), ('(橫掃)RX Mapping'!AF2-241),IF(AND('(橫掃)RX Mapping'!AF2&gt;=361,'(橫掃)RX Mapping'!AF2&lt;=480), (-1)*('(橫掃)RX Mapping'!AF2-480),IF(AND('(橫掃)RX Mapping'!AF2&gt;=481,'(橫掃)RX Mapping'!AF2&lt;=600), ('(橫掃)RX Mapping'!AF2-361),IF(AND('(橫掃)RX Mapping'!AF2&gt;=601,'(橫掃)RX Mapping'!AF2&lt;=720), (-1)*('(橫掃)RX Mapping'!AF2-720)+120,IF(AND('(橫掃)RX Mapping'!AF2&gt;=721,'(橫掃)RX Mapping'!AF2&lt;=840), ('(橫掃)RX Mapping'!AF2-601),IF(AND('(橫掃)RX Mapping'!AF2&gt;=841,'(橫掃)RX Mapping'!AF2&lt;=960), (-1)*('(橫掃)RX Mapping'!AF2-960)+120,9999))))))))</f>
        <v>9999</v>
      </c>
      <c r="AG2">
        <f>IF(AND('(橫掃)RX Mapping'!AG2&gt;=1,'(橫掃)RX Mapping'!AG2&lt;=120), ('(橫掃)RX Mapping'!AG2-1),IF(AND('(橫掃)RX Mapping'!AG2&gt;=121,'(橫掃)RX Mapping'!AG2&lt;=240), (-1)*('(橫掃)RX Mapping'!AG2-240),IF(AND('(橫掃)RX Mapping'!AG2&gt;=241,'(橫掃)RX Mapping'!AG2&lt;=360), ('(橫掃)RX Mapping'!AG2-241),IF(AND('(橫掃)RX Mapping'!AG2&gt;=361,'(橫掃)RX Mapping'!AG2&lt;=480), (-1)*('(橫掃)RX Mapping'!AG2-480),IF(AND('(橫掃)RX Mapping'!AG2&gt;=481,'(橫掃)RX Mapping'!AG2&lt;=600), ('(橫掃)RX Mapping'!AG2-361),IF(AND('(橫掃)RX Mapping'!AG2&gt;=601,'(橫掃)RX Mapping'!AG2&lt;=720), (-1)*('(橫掃)RX Mapping'!AG2-720)+120,IF(AND('(橫掃)RX Mapping'!AG2&gt;=721,'(橫掃)RX Mapping'!AG2&lt;=840), ('(橫掃)RX Mapping'!AG2-601),IF(AND('(橫掃)RX Mapping'!AG2&gt;=841,'(橫掃)RX Mapping'!AG2&lt;=960), (-1)*('(橫掃)RX Mapping'!AG2-960)+120,9999))))))))</f>
        <v>9999</v>
      </c>
      <c r="AH2">
        <f>IF(AND('(橫掃)RX Mapping'!AH2&gt;=1,'(橫掃)RX Mapping'!AH2&lt;=120), ('(橫掃)RX Mapping'!AH2-1),IF(AND('(橫掃)RX Mapping'!AH2&gt;=121,'(橫掃)RX Mapping'!AH2&lt;=240), (-1)*('(橫掃)RX Mapping'!AH2-240),IF(AND('(橫掃)RX Mapping'!AH2&gt;=241,'(橫掃)RX Mapping'!AH2&lt;=360), ('(橫掃)RX Mapping'!AH2-241),IF(AND('(橫掃)RX Mapping'!AH2&gt;=361,'(橫掃)RX Mapping'!AH2&lt;=480), (-1)*('(橫掃)RX Mapping'!AH2-480),IF(AND('(橫掃)RX Mapping'!AH2&gt;=481,'(橫掃)RX Mapping'!AH2&lt;=600), ('(橫掃)RX Mapping'!AH2-361),IF(AND('(橫掃)RX Mapping'!AH2&gt;=601,'(橫掃)RX Mapping'!AH2&lt;=720), (-1)*('(橫掃)RX Mapping'!AH2-720)+120,IF(AND('(橫掃)RX Mapping'!AH2&gt;=721,'(橫掃)RX Mapping'!AH2&lt;=840), ('(橫掃)RX Mapping'!AH2-601),IF(AND('(橫掃)RX Mapping'!AH2&gt;=841,'(橫掃)RX Mapping'!AH2&lt;=960), (-1)*('(橫掃)RX Mapping'!AH2-960)+120,9999))))))))</f>
        <v>9999</v>
      </c>
      <c r="AI2">
        <f>IF(AND('(橫掃)RX Mapping'!AI2&gt;=1,'(橫掃)RX Mapping'!AI2&lt;=120), ('(橫掃)RX Mapping'!AI2-1),IF(AND('(橫掃)RX Mapping'!AI2&gt;=121,'(橫掃)RX Mapping'!AI2&lt;=240), (-1)*('(橫掃)RX Mapping'!AI2-240),IF(AND('(橫掃)RX Mapping'!AI2&gt;=241,'(橫掃)RX Mapping'!AI2&lt;=360), ('(橫掃)RX Mapping'!AI2-241),IF(AND('(橫掃)RX Mapping'!AI2&gt;=361,'(橫掃)RX Mapping'!AI2&lt;=480), (-1)*('(橫掃)RX Mapping'!AI2-480),IF(AND('(橫掃)RX Mapping'!AI2&gt;=481,'(橫掃)RX Mapping'!AI2&lt;=600), ('(橫掃)RX Mapping'!AI2-361),IF(AND('(橫掃)RX Mapping'!AI2&gt;=601,'(橫掃)RX Mapping'!AI2&lt;=720), (-1)*('(橫掃)RX Mapping'!AI2-720)+120,IF(AND('(橫掃)RX Mapping'!AI2&gt;=721,'(橫掃)RX Mapping'!AI2&lt;=840), ('(橫掃)RX Mapping'!AI2-601),IF(AND('(橫掃)RX Mapping'!AI2&gt;=841,'(橫掃)RX Mapping'!AI2&lt;=960), (-1)*('(橫掃)RX Mapping'!AI2-960)+120,9999))))))))</f>
        <v>9999</v>
      </c>
      <c r="AJ2">
        <f>IF(AND('(橫掃)RX Mapping'!AJ2&gt;=1,'(橫掃)RX Mapping'!AJ2&lt;=120), ('(橫掃)RX Mapping'!AJ2-1),IF(AND('(橫掃)RX Mapping'!AJ2&gt;=121,'(橫掃)RX Mapping'!AJ2&lt;=240), (-1)*('(橫掃)RX Mapping'!AJ2-240),IF(AND('(橫掃)RX Mapping'!AJ2&gt;=241,'(橫掃)RX Mapping'!AJ2&lt;=360), ('(橫掃)RX Mapping'!AJ2-241),IF(AND('(橫掃)RX Mapping'!AJ2&gt;=361,'(橫掃)RX Mapping'!AJ2&lt;=480), (-1)*('(橫掃)RX Mapping'!AJ2-480),IF(AND('(橫掃)RX Mapping'!AJ2&gt;=481,'(橫掃)RX Mapping'!AJ2&lt;=600), ('(橫掃)RX Mapping'!AJ2-361),IF(AND('(橫掃)RX Mapping'!AJ2&gt;=601,'(橫掃)RX Mapping'!AJ2&lt;=720), (-1)*('(橫掃)RX Mapping'!AJ2-720)+120,IF(AND('(橫掃)RX Mapping'!AJ2&gt;=721,'(橫掃)RX Mapping'!AJ2&lt;=840), ('(橫掃)RX Mapping'!AJ2-601),IF(AND('(橫掃)RX Mapping'!AJ2&gt;=841,'(橫掃)RX Mapping'!AJ2&lt;=960), (-1)*('(橫掃)RX Mapping'!AJ2-960)+120,9999))))))))</f>
        <v>9999</v>
      </c>
      <c r="AK2">
        <f>IF(AND('(橫掃)RX Mapping'!AK2&gt;=1,'(橫掃)RX Mapping'!AK2&lt;=120), ('(橫掃)RX Mapping'!AK2-1),IF(AND('(橫掃)RX Mapping'!AK2&gt;=121,'(橫掃)RX Mapping'!AK2&lt;=240), (-1)*('(橫掃)RX Mapping'!AK2-240),IF(AND('(橫掃)RX Mapping'!AK2&gt;=241,'(橫掃)RX Mapping'!AK2&lt;=360), ('(橫掃)RX Mapping'!AK2-241),IF(AND('(橫掃)RX Mapping'!AK2&gt;=361,'(橫掃)RX Mapping'!AK2&lt;=480), (-1)*('(橫掃)RX Mapping'!AK2-480),IF(AND('(橫掃)RX Mapping'!AK2&gt;=481,'(橫掃)RX Mapping'!AK2&lt;=600), ('(橫掃)RX Mapping'!AK2-361),IF(AND('(橫掃)RX Mapping'!AK2&gt;=601,'(橫掃)RX Mapping'!AK2&lt;=720), (-1)*('(橫掃)RX Mapping'!AK2-720)+120,IF(AND('(橫掃)RX Mapping'!AK2&gt;=721,'(橫掃)RX Mapping'!AK2&lt;=840), ('(橫掃)RX Mapping'!AK2-601),IF(AND('(橫掃)RX Mapping'!AK2&gt;=841,'(橫掃)RX Mapping'!AK2&lt;=960), (-1)*('(橫掃)RX Mapping'!AK2-960)+120,9999))))))))</f>
        <v>9999</v>
      </c>
      <c r="AL2">
        <f>IF(AND('(橫掃)RX Mapping'!AL2&gt;=1,'(橫掃)RX Mapping'!AL2&lt;=120), ('(橫掃)RX Mapping'!AL2-1),IF(AND('(橫掃)RX Mapping'!AL2&gt;=121,'(橫掃)RX Mapping'!AL2&lt;=240), (-1)*('(橫掃)RX Mapping'!AL2-240),IF(AND('(橫掃)RX Mapping'!AL2&gt;=241,'(橫掃)RX Mapping'!AL2&lt;=360), ('(橫掃)RX Mapping'!AL2-241),IF(AND('(橫掃)RX Mapping'!AL2&gt;=361,'(橫掃)RX Mapping'!AL2&lt;=480), (-1)*('(橫掃)RX Mapping'!AL2-480),IF(AND('(橫掃)RX Mapping'!AL2&gt;=481,'(橫掃)RX Mapping'!AL2&lt;=600), ('(橫掃)RX Mapping'!AL2-361),IF(AND('(橫掃)RX Mapping'!AL2&gt;=601,'(橫掃)RX Mapping'!AL2&lt;=720), (-1)*('(橫掃)RX Mapping'!AL2-720)+120,IF(AND('(橫掃)RX Mapping'!AL2&gt;=721,'(橫掃)RX Mapping'!AL2&lt;=840), ('(橫掃)RX Mapping'!AL2-601),IF(AND('(橫掃)RX Mapping'!AL2&gt;=841,'(橫掃)RX Mapping'!AL2&lt;=960), (-1)*('(橫掃)RX Mapping'!AL2-960)+120,9999))))))))</f>
        <v>9999</v>
      </c>
      <c r="AM2">
        <f>IF(AND('(橫掃)RX Mapping'!AM2&gt;=1,'(橫掃)RX Mapping'!AM2&lt;=120), ('(橫掃)RX Mapping'!AM2-1),IF(AND('(橫掃)RX Mapping'!AM2&gt;=121,'(橫掃)RX Mapping'!AM2&lt;=240), (-1)*('(橫掃)RX Mapping'!AM2-240),IF(AND('(橫掃)RX Mapping'!AM2&gt;=241,'(橫掃)RX Mapping'!AM2&lt;=360), ('(橫掃)RX Mapping'!AM2-241),IF(AND('(橫掃)RX Mapping'!AM2&gt;=361,'(橫掃)RX Mapping'!AM2&lt;=480), (-1)*('(橫掃)RX Mapping'!AM2-480),IF(AND('(橫掃)RX Mapping'!AM2&gt;=481,'(橫掃)RX Mapping'!AM2&lt;=600), ('(橫掃)RX Mapping'!AM2-361),IF(AND('(橫掃)RX Mapping'!AM2&gt;=601,'(橫掃)RX Mapping'!AM2&lt;=720), (-1)*('(橫掃)RX Mapping'!AM2-720)+120,IF(AND('(橫掃)RX Mapping'!AM2&gt;=721,'(橫掃)RX Mapping'!AM2&lt;=840), ('(橫掃)RX Mapping'!AM2-601),IF(AND('(橫掃)RX Mapping'!AM2&gt;=841,'(橫掃)RX Mapping'!AM2&lt;=960), (-1)*('(橫掃)RX Mapping'!AM2-960)+120,9999))))))))</f>
        <v>9999</v>
      </c>
      <c r="AN2">
        <f>IF(AND('(橫掃)RX Mapping'!AN2&gt;=1,'(橫掃)RX Mapping'!AN2&lt;=120), ('(橫掃)RX Mapping'!AN2-1),IF(AND('(橫掃)RX Mapping'!AN2&gt;=121,'(橫掃)RX Mapping'!AN2&lt;=240), (-1)*('(橫掃)RX Mapping'!AN2-240),IF(AND('(橫掃)RX Mapping'!AN2&gt;=241,'(橫掃)RX Mapping'!AN2&lt;=360), ('(橫掃)RX Mapping'!AN2-241),IF(AND('(橫掃)RX Mapping'!AN2&gt;=361,'(橫掃)RX Mapping'!AN2&lt;=480), (-1)*('(橫掃)RX Mapping'!AN2-480),IF(AND('(橫掃)RX Mapping'!AN2&gt;=481,'(橫掃)RX Mapping'!AN2&lt;=600), ('(橫掃)RX Mapping'!AN2-361),IF(AND('(橫掃)RX Mapping'!AN2&gt;=601,'(橫掃)RX Mapping'!AN2&lt;=720), (-1)*('(橫掃)RX Mapping'!AN2-720)+120,IF(AND('(橫掃)RX Mapping'!AN2&gt;=721,'(橫掃)RX Mapping'!AN2&lt;=840), ('(橫掃)RX Mapping'!AN2-601),IF(AND('(橫掃)RX Mapping'!AN2&gt;=841,'(橫掃)RX Mapping'!AN2&lt;=960), (-1)*('(橫掃)RX Mapping'!AN2-960)+120,9999))))))))</f>
        <v>9999</v>
      </c>
      <c r="AO2">
        <f>IF(AND('(橫掃)RX Mapping'!AO2&gt;=1,'(橫掃)RX Mapping'!AO2&lt;=120), ('(橫掃)RX Mapping'!AO2-1),IF(AND('(橫掃)RX Mapping'!AO2&gt;=121,'(橫掃)RX Mapping'!AO2&lt;=240), (-1)*('(橫掃)RX Mapping'!AO2-240),IF(AND('(橫掃)RX Mapping'!AO2&gt;=241,'(橫掃)RX Mapping'!AO2&lt;=360), ('(橫掃)RX Mapping'!AO2-241),IF(AND('(橫掃)RX Mapping'!AO2&gt;=361,'(橫掃)RX Mapping'!AO2&lt;=480), (-1)*('(橫掃)RX Mapping'!AO2-480),IF(AND('(橫掃)RX Mapping'!AO2&gt;=481,'(橫掃)RX Mapping'!AO2&lt;=600), ('(橫掃)RX Mapping'!AO2-361),IF(AND('(橫掃)RX Mapping'!AO2&gt;=601,'(橫掃)RX Mapping'!AO2&lt;=720), (-1)*('(橫掃)RX Mapping'!AO2-720)+120,IF(AND('(橫掃)RX Mapping'!AO2&gt;=721,'(橫掃)RX Mapping'!AO2&lt;=840), ('(橫掃)RX Mapping'!AO2-601),IF(AND('(橫掃)RX Mapping'!AO2&gt;=841,'(橫掃)RX Mapping'!AO2&lt;=960), (-1)*('(橫掃)RX Mapping'!AO2-960)+120,9999))))))))</f>
        <v>9999</v>
      </c>
      <c r="AP2">
        <f>IF(AND('(橫掃)RX Mapping'!AP2&gt;=1,'(橫掃)RX Mapping'!AP2&lt;=120), ('(橫掃)RX Mapping'!AP2-1),IF(AND('(橫掃)RX Mapping'!AP2&gt;=121,'(橫掃)RX Mapping'!AP2&lt;=240), (-1)*('(橫掃)RX Mapping'!AP2-240),IF(AND('(橫掃)RX Mapping'!AP2&gt;=241,'(橫掃)RX Mapping'!AP2&lt;=360), ('(橫掃)RX Mapping'!AP2-241),IF(AND('(橫掃)RX Mapping'!AP2&gt;=361,'(橫掃)RX Mapping'!AP2&lt;=480), (-1)*('(橫掃)RX Mapping'!AP2-480),IF(AND('(橫掃)RX Mapping'!AP2&gt;=481,'(橫掃)RX Mapping'!AP2&lt;=600), ('(橫掃)RX Mapping'!AP2-361),IF(AND('(橫掃)RX Mapping'!AP2&gt;=601,'(橫掃)RX Mapping'!AP2&lt;=720), (-1)*('(橫掃)RX Mapping'!AP2-720)+120,IF(AND('(橫掃)RX Mapping'!AP2&gt;=721,'(橫掃)RX Mapping'!AP2&lt;=840), ('(橫掃)RX Mapping'!AP2-601),IF(AND('(橫掃)RX Mapping'!AP2&gt;=841,'(橫掃)RX Mapping'!AP2&lt;=960), (-1)*('(橫掃)RX Mapping'!AP2-960)+120,9999))))))))</f>
        <v>9999</v>
      </c>
      <c r="AQ2">
        <f>IF(AND('(橫掃)RX Mapping'!AQ2&gt;=1,'(橫掃)RX Mapping'!AQ2&lt;=120), ('(橫掃)RX Mapping'!AQ2-1),IF(AND('(橫掃)RX Mapping'!AQ2&gt;=121,'(橫掃)RX Mapping'!AQ2&lt;=240), (-1)*('(橫掃)RX Mapping'!AQ2-240),IF(AND('(橫掃)RX Mapping'!AQ2&gt;=241,'(橫掃)RX Mapping'!AQ2&lt;=360), ('(橫掃)RX Mapping'!AQ2-241),IF(AND('(橫掃)RX Mapping'!AQ2&gt;=361,'(橫掃)RX Mapping'!AQ2&lt;=480), (-1)*('(橫掃)RX Mapping'!AQ2-480),IF(AND('(橫掃)RX Mapping'!AQ2&gt;=481,'(橫掃)RX Mapping'!AQ2&lt;=600), ('(橫掃)RX Mapping'!AQ2-361),IF(AND('(橫掃)RX Mapping'!AQ2&gt;=601,'(橫掃)RX Mapping'!AQ2&lt;=720), (-1)*('(橫掃)RX Mapping'!AQ2-720)+120,IF(AND('(橫掃)RX Mapping'!AQ2&gt;=721,'(橫掃)RX Mapping'!AQ2&lt;=840), ('(橫掃)RX Mapping'!AQ2-601),IF(AND('(橫掃)RX Mapping'!AQ2&gt;=841,'(橫掃)RX Mapping'!AQ2&lt;=960), (-1)*('(橫掃)RX Mapping'!AQ2-960)+120,9999))))))))</f>
        <v>9999</v>
      </c>
      <c r="AR2">
        <f>IF(AND('(橫掃)RX Mapping'!AR2&gt;=1,'(橫掃)RX Mapping'!AR2&lt;=120), ('(橫掃)RX Mapping'!AR2-1),IF(AND('(橫掃)RX Mapping'!AR2&gt;=121,'(橫掃)RX Mapping'!AR2&lt;=240), (-1)*('(橫掃)RX Mapping'!AR2-240),IF(AND('(橫掃)RX Mapping'!AR2&gt;=241,'(橫掃)RX Mapping'!AR2&lt;=360), ('(橫掃)RX Mapping'!AR2-241),IF(AND('(橫掃)RX Mapping'!AR2&gt;=361,'(橫掃)RX Mapping'!AR2&lt;=480), (-1)*('(橫掃)RX Mapping'!AR2-480),IF(AND('(橫掃)RX Mapping'!AR2&gt;=481,'(橫掃)RX Mapping'!AR2&lt;=600), ('(橫掃)RX Mapping'!AR2-361),IF(AND('(橫掃)RX Mapping'!AR2&gt;=601,'(橫掃)RX Mapping'!AR2&lt;=720), (-1)*('(橫掃)RX Mapping'!AR2-720)+120,IF(AND('(橫掃)RX Mapping'!AR2&gt;=721,'(橫掃)RX Mapping'!AR2&lt;=840), ('(橫掃)RX Mapping'!AR2-601),IF(AND('(橫掃)RX Mapping'!AR2&gt;=841,'(橫掃)RX Mapping'!AR2&lt;=960), (-1)*('(橫掃)RX Mapping'!AR2-960)+120,9999))))))))</f>
        <v>9999</v>
      </c>
      <c r="AS2">
        <f>IF(AND('(橫掃)RX Mapping'!AS2&gt;=1,'(橫掃)RX Mapping'!AS2&lt;=120), ('(橫掃)RX Mapping'!AS2-1),IF(AND('(橫掃)RX Mapping'!AS2&gt;=121,'(橫掃)RX Mapping'!AS2&lt;=240), (-1)*('(橫掃)RX Mapping'!AS2-240),IF(AND('(橫掃)RX Mapping'!AS2&gt;=241,'(橫掃)RX Mapping'!AS2&lt;=360), ('(橫掃)RX Mapping'!AS2-241),IF(AND('(橫掃)RX Mapping'!AS2&gt;=361,'(橫掃)RX Mapping'!AS2&lt;=480), (-1)*('(橫掃)RX Mapping'!AS2-480),IF(AND('(橫掃)RX Mapping'!AS2&gt;=481,'(橫掃)RX Mapping'!AS2&lt;=600), ('(橫掃)RX Mapping'!AS2-361),IF(AND('(橫掃)RX Mapping'!AS2&gt;=601,'(橫掃)RX Mapping'!AS2&lt;=720), (-1)*('(橫掃)RX Mapping'!AS2-720)+120,IF(AND('(橫掃)RX Mapping'!AS2&gt;=721,'(橫掃)RX Mapping'!AS2&lt;=840), ('(橫掃)RX Mapping'!AS2-601),IF(AND('(橫掃)RX Mapping'!AS2&gt;=841,'(橫掃)RX Mapping'!AS2&lt;=960), (-1)*('(橫掃)RX Mapping'!AS2-960)+120,9999))))))))</f>
        <v>9999</v>
      </c>
      <c r="AT2">
        <f>IF(AND('(橫掃)RX Mapping'!AT2&gt;=1,'(橫掃)RX Mapping'!AT2&lt;=120), ('(橫掃)RX Mapping'!AT2-1),IF(AND('(橫掃)RX Mapping'!AT2&gt;=121,'(橫掃)RX Mapping'!AT2&lt;=240), (-1)*('(橫掃)RX Mapping'!AT2-240),IF(AND('(橫掃)RX Mapping'!AT2&gt;=241,'(橫掃)RX Mapping'!AT2&lt;=360), ('(橫掃)RX Mapping'!AT2-241),IF(AND('(橫掃)RX Mapping'!AT2&gt;=361,'(橫掃)RX Mapping'!AT2&lt;=480), (-1)*('(橫掃)RX Mapping'!AT2-480),IF(AND('(橫掃)RX Mapping'!AT2&gt;=481,'(橫掃)RX Mapping'!AT2&lt;=600), ('(橫掃)RX Mapping'!AT2-361),IF(AND('(橫掃)RX Mapping'!AT2&gt;=601,'(橫掃)RX Mapping'!AT2&lt;=720), (-1)*('(橫掃)RX Mapping'!AT2-720)+120,IF(AND('(橫掃)RX Mapping'!AT2&gt;=721,'(橫掃)RX Mapping'!AT2&lt;=840), ('(橫掃)RX Mapping'!AT2-601),IF(AND('(橫掃)RX Mapping'!AT2&gt;=841,'(橫掃)RX Mapping'!AT2&lt;=960), (-1)*('(橫掃)RX Mapping'!AT2-960)+120,9999))))))))</f>
        <v>9999</v>
      </c>
      <c r="AU2">
        <f>IF(AND('(橫掃)RX Mapping'!AU2&gt;=1,'(橫掃)RX Mapping'!AU2&lt;=120), ('(橫掃)RX Mapping'!AU2-1),IF(AND('(橫掃)RX Mapping'!AU2&gt;=121,'(橫掃)RX Mapping'!AU2&lt;=240), (-1)*('(橫掃)RX Mapping'!AU2-240),IF(AND('(橫掃)RX Mapping'!AU2&gt;=241,'(橫掃)RX Mapping'!AU2&lt;=360), ('(橫掃)RX Mapping'!AU2-241),IF(AND('(橫掃)RX Mapping'!AU2&gt;=361,'(橫掃)RX Mapping'!AU2&lt;=480), (-1)*('(橫掃)RX Mapping'!AU2-480),IF(AND('(橫掃)RX Mapping'!AU2&gt;=481,'(橫掃)RX Mapping'!AU2&lt;=600), ('(橫掃)RX Mapping'!AU2-361),IF(AND('(橫掃)RX Mapping'!AU2&gt;=601,'(橫掃)RX Mapping'!AU2&lt;=720), (-1)*('(橫掃)RX Mapping'!AU2-720)+120,IF(AND('(橫掃)RX Mapping'!AU2&gt;=721,'(橫掃)RX Mapping'!AU2&lt;=840), ('(橫掃)RX Mapping'!AU2-601),IF(AND('(橫掃)RX Mapping'!AU2&gt;=841,'(橫掃)RX Mapping'!AU2&lt;=960), (-1)*('(橫掃)RX Mapping'!AU2-960)+120,9999))))))))</f>
        <v>9999</v>
      </c>
      <c r="AV2">
        <f>IF(AND('(橫掃)RX Mapping'!AV2&gt;=1,'(橫掃)RX Mapping'!AV2&lt;=120), ('(橫掃)RX Mapping'!AV2-1),IF(AND('(橫掃)RX Mapping'!AV2&gt;=121,'(橫掃)RX Mapping'!AV2&lt;=240), (-1)*('(橫掃)RX Mapping'!AV2-240),IF(AND('(橫掃)RX Mapping'!AV2&gt;=241,'(橫掃)RX Mapping'!AV2&lt;=360), ('(橫掃)RX Mapping'!AV2-241),IF(AND('(橫掃)RX Mapping'!AV2&gt;=361,'(橫掃)RX Mapping'!AV2&lt;=480), (-1)*('(橫掃)RX Mapping'!AV2-480),IF(AND('(橫掃)RX Mapping'!AV2&gt;=481,'(橫掃)RX Mapping'!AV2&lt;=600), ('(橫掃)RX Mapping'!AV2-361),IF(AND('(橫掃)RX Mapping'!AV2&gt;=601,'(橫掃)RX Mapping'!AV2&lt;=720), (-1)*('(橫掃)RX Mapping'!AV2-720)+120,IF(AND('(橫掃)RX Mapping'!AV2&gt;=721,'(橫掃)RX Mapping'!AV2&lt;=840), ('(橫掃)RX Mapping'!AV2-601),IF(AND('(橫掃)RX Mapping'!AV2&gt;=841,'(橫掃)RX Mapping'!AV2&lt;=960), (-1)*('(橫掃)RX Mapping'!AV2-960)+120,9999))))))))</f>
        <v>9999</v>
      </c>
      <c r="AW2">
        <f>IF(AND('(橫掃)RX Mapping'!AW2&gt;=1,'(橫掃)RX Mapping'!AW2&lt;=120), ('(橫掃)RX Mapping'!AW2-1),IF(AND('(橫掃)RX Mapping'!AW2&gt;=121,'(橫掃)RX Mapping'!AW2&lt;=240), (-1)*('(橫掃)RX Mapping'!AW2-240),IF(AND('(橫掃)RX Mapping'!AW2&gt;=241,'(橫掃)RX Mapping'!AW2&lt;=360), ('(橫掃)RX Mapping'!AW2-241),IF(AND('(橫掃)RX Mapping'!AW2&gt;=361,'(橫掃)RX Mapping'!AW2&lt;=480), (-1)*('(橫掃)RX Mapping'!AW2-480),IF(AND('(橫掃)RX Mapping'!AW2&gt;=481,'(橫掃)RX Mapping'!AW2&lt;=600), ('(橫掃)RX Mapping'!AW2-361),IF(AND('(橫掃)RX Mapping'!AW2&gt;=601,'(橫掃)RX Mapping'!AW2&lt;=720), (-1)*('(橫掃)RX Mapping'!AW2-720)+120,IF(AND('(橫掃)RX Mapping'!AW2&gt;=721,'(橫掃)RX Mapping'!AW2&lt;=840), ('(橫掃)RX Mapping'!AW2-601),IF(AND('(橫掃)RX Mapping'!AW2&gt;=841,'(橫掃)RX Mapping'!AW2&lt;=960), (-1)*('(橫掃)RX Mapping'!AW2-960)+120,9999))))))))</f>
        <v>9999</v>
      </c>
      <c r="AX2">
        <f>IF(AND('(橫掃)RX Mapping'!AX2&gt;=1,'(橫掃)RX Mapping'!AX2&lt;=120), ('(橫掃)RX Mapping'!AX2-1),IF(AND('(橫掃)RX Mapping'!AX2&gt;=121,'(橫掃)RX Mapping'!AX2&lt;=240), (-1)*('(橫掃)RX Mapping'!AX2-240),IF(AND('(橫掃)RX Mapping'!AX2&gt;=241,'(橫掃)RX Mapping'!AX2&lt;=360), ('(橫掃)RX Mapping'!AX2-241),IF(AND('(橫掃)RX Mapping'!AX2&gt;=361,'(橫掃)RX Mapping'!AX2&lt;=480), (-1)*('(橫掃)RX Mapping'!AX2-480),IF(AND('(橫掃)RX Mapping'!AX2&gt;=481,'(橫掃)RX Mapping'!AX2&lt;=600), ('(橫掃)RX Mapping'!AX2-361),IF(AND('(橫掃)RX Mapping'!AX2&gt;=601,'(橫掃)RX Mapping'!AX2&lt;=720), (-1)*('(橫掃)RX Mapping'!AX2-720)+120,IF(AND('(橫掃)RX Mapping'!AX2&gt;=721,'(橫掃)RX Mapping'!AX2&lt;=840), ('(橫掃)RX Mapping'!AX2-601),IF(AND('(橫掃)RX Mapping'!AX2&gt;=841,'(橫掃)RX Mapping'!AX2&lt;=960), (-1)*('(橫掃)RX Mapping'!AX2-960)+120,9999))))))))</f>
        <v>9999</v>
      </c>
      <c r="AY2">
        <f>IF(AND('(橫掃)RX Mapping'!AY2&gt;=1,'(橫掃)RX Mapping'!AY2&lt;=120), ('(橫掃)RX Mapping'!AY2-1),IF(AND('(橫掃)RX Mapping'!AY2&gt;=121,'(橫掃)RX Mapping'!AY2&lt;=240), (-1)*('(橫掃)RX Mapping'!AY2-240),IF(AND('(橫掃)RX Mapping'!AY2&gt;=241,'(橫掃)RX Mapping'!AY2&lt;=360), ('(橫掃)RX Mapping'!AY2-241),IF(AND('(橫掃)RX Mapping'!AY2&gt;=361,'(橫掃)RX Mapping'!AY2&lt;=480), (-1)*('(橫掃)RX Mapping'!AY2-480),IF(AND('(橫掃)RX Mapping'!AY2&gt;=481,'(橫掃)RX Mapping'!AY2&lt;=600), ('(橫掃)RX Mapping'!AY2-361),IF(AND('(橫掃)RX Mapping'!AY2&gt;=601,'(橫掃)RX Mapping'!AY2&lt;=720), (-1)*('(橫掃)RX Mapping'!AY2-720)+120,IF(AND('(橫掃)RX Mapping'!AY2&gt;=721,'(橫掃)RX Mapping'!AY2&lt;=840), ('(橫掃)RX Mapping'!AY2-601),IF(AND('(橫掃)RX Mapping'!AY2&gt;=841,'(橫掃)RX Mapping'!AY2&lt;=960), (-1)*('(橫掃)RX Mapping'!AY2-960)+120,9999))))))))</f>
        <v>9999</v>
      </c>
      <c r="AZ2">
        <f>IF(AND('(橫掃)RX Mapping'!AZ2&gt;=1,'(橫掃)RX Mapping'!AZ2&lt;=120), ('(橫掃)RX Mapping'!AZ2-1),IF(AND('(橫掃)RX Mapping'!AZ2&gt;=121,'(橫掃)RX Mapping'!AZ2&lt;=240), (-1)*('(橫掃)RX Mapping'!AZ2-240),IF(AND('(橫掃)RX Mapping'!AZ2&gt;=241,'(橫掃)RX Mapping'!AZ2&lt;=360), ('(橫掃)RX Mapping'!AZ2-241),IF(AND('(橫掃)RX Mapping'!AZ2&gt;=361,'(橫掃)RX Mapping'!AZ2&lt;=480), (-1)*('(橫掃)RX Mapping'!AZ2-480),IF(AND('(橫掃)RX Mapping'!AZ2&gt;=481,'(橫掃)RX Mapping'!AZ2&lt;=600), ('(橫掃)RX Mapping'!AZ2-361),IF(AND('(橫掃)RX Mapping'!AZ2&gt;=601,'(橫掃)RX Mapping'!AZ2&lt;=720), (-1)*('(橫掃)RX Mapping'!AZ2-720)+120,IF(AND('(橫掃)RX Mapping'!AZ2&gt;=721,'(橫掃)RX Mapping'!AZ2&lt;=840), ('(橫掃)RX Mapping'!AZ2-601),IF(AND('(橫掃)RX Mapping'!AZ2&gt;=841,'(橫掃)RX Mapping'!AZ2&lt;=960), (-1)*('(橫掃)RX Mapping'!AZ2-960)+120,9999))))))))</f>
        <v>9999</v>
      </c>
      <c r="BA2">
        <f>IF(AND('(橫掃)RX Mapping'!BA2&gt;=1,'(橫掃)RX Mapping'!BA2&lt;=120), ('(橫掃)RX Mapping'!BA2-1),IF(AND('(橫掃)RX Mapping'!BA2&gt;=121,'(橫掃)RX Mapping'!BA2&lt;=240), (-1)*('(橫掃)RX Mapping'!BA2-240),IF(AND('(橫掃)RX Mapping'!BA2&gt;=241,'(橫掃)RX Mapping'!BA2&lt;=360), ('(橫掃)RX Mapping'!BA2-241),IF(AND('(橫掃)RX Mapping'!BA2&gt;=361,'(橫掃)RX Mapping'!BA2&lt;=480), (-1)*('(橫掃)RX Mapping'!BA2-480),IF(AND('(橫掃)RX Mapping'!BA2&gt;=481,'(橫掃)RX Mapping'!BA2&lt;=600), ('(橫掃)RX Mapping'!BA2-361),IF(AND('(橫掃)RX Mapping'!BA2&gt;=601,'(橫掃)RX Mapping'!BA2&lt;=720), (-1)*('(橫掃)RX Mapping'!BA2-720)+120,IF(AND('(橫掃)RX Mapping'!BA2&gt;=721,'(橫掃)RX Mapping'!BA2&lt;=840), ('(橫掃)RX Mapping'!BA2-601),IF(AND('(橫掃)RX Mapping'!BA2&gt;=841,'(橫掃)RX Mapping'!BA2&lt;=960), (-1)*('(橫掃)RX Mapping'!BA2-960)+120,9999))))))))</f>
        <v>9999</v>
      </c>
      <c r="BB2">
        <f>IF(AND('(橫掃)RX Mapping'!BB2&gt;=1,'(橫掃)RX Mapping'!BB2&lt;=120), ('(橫掃)RX Mapping'!BB2-1),IF(AND('(橫掃)RX Mapping'!BB2&gt;=121,'(橫掃)RX Mapping'!BB2&lt;=240), (-1)*('(橫掃)RX Mapping'!BB2-240),IF(AND('(橫掃)RX Mapping'!BB2&gt;=241,'(橫掃)RX Mapping'!BB2&lt;=360), ('(橫掃)RX Mapping'!BB2-241),IF(AND('(橫掃)RX Mapping'!BB2&gt;=361,'(橫掃)RX Mapping'!BB2&lt;=480), (-1)*('(橫掃)RX Mapping'!BB2-480),IF(AND('(橫掃)RX Mapping'!BB2&gt;=481,'(橫掃)RX Mapping'!BB2&lt;=600), ('(橫掃)RX Mapping'!BB2-361),IF(AND('(橫掃)RX Mapping'!BB2&gt;=601,'(橫掃)RX Mapping'!BB2&lt;=720), (-1)*('(橫掃)RX Mapping'!BB2-720)+120,IF(AND('(橫掃)RX Mapping'!BB2&gt;=721,'(橫掃)RX Mapping'!BB2&lt;=840), ('(橫掃)RX Mapping'!BB2-601),IF(AND('(橫掃)RX Mapping'!BB2&gt;=841,'(橫掃)RX Mapping'!BB2&lt;=960), (-1)*('(橫掃)RX Mapping'!BB2-960)+120,9999))))))))</f>
        <v>9999</v>
      </c>
      <c r="BC2">
        <f>IF(AND('(橫掃)RX Mapping'!BC2&gt;=1,'(橫掃)RX Mapping'!BC2&lt;=120), ('(橫掃)RX Mapping'!BC2-1),IF(AND('(橫掃)RX Mapping'!BC2&gt;=121,'(橫掃)RX Mapping'!BC2&lt;=240), (-1)*('(橫掃)RX Mapping'!BC2-240),IF(AND('(橫掃)RX Mapping'!BC2&gt;=241,'(橫掃)RX Mapping'!BC2&lt;=360), ('(橫掃)RX Mapping'!BC2-241),IF(AND('(橫掃)RX Mapping'!BC2&gt;=361,'(橫掃)RX Mapping'!BC2&lt;=480), (-1)*('(橫掃)RX Mapping'!BC2-480),IF(AND('(橫掃)RX Mapping'!BC2&gt;=481,'(橫掃)RX Mapping'!BC2&lt;=600), ('(橫掃)RX Mapping'!BC2-361),IF(AND('(橫掃)RX Mapping'!BC2&gt;=601,'(橫掃)RX Mapping'!BC2&lt;=720), (-1)*('(橫掃)RX Mapping'!BC2-720)+120,IF(AND('(橫掃)RX Mapping'!BC2&gt;=721,'(橫掃)RX Mapping'!BC2&lt;=840), ('(橫掃)RX Mapping'!BC2-601),IF(AND('(橫掃)RX Mapping'!BC2&gt;=841,'(橫掃)RX Mapping'!BC2&lt;=960), (-1)*('(橫掃)RX Mapping'!BC2-960)+120,9999))))))))</f>
        <v>9999</v>
      </c>
      <c r="BD2">
        <f>IF(AND('(橫掃)RX Mapping'!BD2&gt;=1,'(橫掃)RX Mapping'!BD2&lt;=120), ('(橫掃)RX Mapping'!BD2-1),IF(AND('(橫掃)RX Mapping'!BD2&gt;=121,'(橫掃)RX Mapping'!BD2&lt;=240), (-1)*('(橫掃)RX Mapping'!BD2-240),IF(AND('(橫掃)RX Mapping'!BD2&gt;=241,'(橫掃)RX Mapping'!BD2&lt;=360), ('(橫掃)RX Mapping'!BD2-241),IF(AND('(橫掃)RX Mapping'!BD2&gt;=361,'(橫掃)RX Mapping'!BD2&lt;=480), (-1)*('(橫掃)RX Mapping'!BD2-480),IF(AND('(橫掃)RX Mapping'!BD2&gt;=481,'(橫掃)RX Mapping'!BD2&lt;=600), ('(橫掃)RX Mapping'!BD2-361),IF(AND('(橫掃)RX Mapping'!BD2&gt;=601,'(橫掃)RX Mapping'!BD2&lt;=720), (-1)*('(橫掃)RX Mapping'!BD2-720)+120,IF(AND('(橫掃)RX Mapping'!BD2&gt;=721,'(橫掃)RX Mapping'!BD2&lt;=840), ('(橫掃)RX Mapping'!BD2-601),IF(AND('(橫掃)RX Mapping'!BD2&gt;=841,'(橫掃)RX Mapping'!BD2&lt;=960), (-1)*('(橫掃)RX Mapping'!BD2-960)+120,9999))))))))</f>
        <v>9999</v>
      </c>
      <c r="BE2">
        <f>IF(AND('(橫掃)RX Mapping'!BE2&gt;=1,'(橫掃)RX Mapping'!BE2&lt;=120), ('(橫掃)RX Mapping'!BE2-1),IF(AND('(橫掃)RX Mapping'!BE2&gt;=121,'(橫掃)RX Mapping'!BE2&lt;=240), (-1)*('(橫掃)RX Mapping'!BE2-240),IF(AND('(橫掃)RX Mapping'!BE2&gt;=241,'(橫掃)RX Mapping'!BE2&lt;=360), ('(橫掃)RX Mapping'!BE2-241),IF(AND('(橫掃)RX Mapping'!BE2&gt;=361,'(橫掃)RX Mapping'!BE2&lt;=480), (-1)*('(橫掃)RX Mapping'!BE2-480),IF(AND('(橫掃)RX Mapping'!BE2&gt;=481,'(橫掃)RX Mapping'!BE2&lt;=600), ('(橫掃)RX Mapping'!BE2-361),IF(AND('(橫掃)RX Mapping'!BE2&gt;=601,'(橫掃)RX Mapping'!BE2&lt;=720), (-1)*('(橫掃)RX Mapping'!BE2-720)+120,IF(AND('(橫掃)RX Mapping'!BE2&gt;=721,'(橫掃)RX Mapping'!BE2&lt;=840), ('(橫掃)RX Mapping'!BE2-601),IF(AND('(橫掃)RX Mapping'!BE2&gt;=841,'(橫掃)RX Mapping'!BE2&lt;=960), (-1)*('(橫掃)RX Mapping'!BE2-960)+120,9999))))))))</f>
        <v>9999</v>
      </c>
      <c r="BF2">
        <f>IF(AND('(橫掃)RX Mapping'!BF2&gt;=1,'(橫掃)RX Mapping'!BF2&lt;=120), ('(橫掃)RX Mapping'!BF2-1),IF(AND('(橫掃)RX Mapping'!BF2&gt;=121,'(橫掃)RX Mapping'!BF2&lt;=240), (-1)*('(橫掃)RX Mapping'!BF2-240),IF(AND('(橫掃)RX Mapping'!BF2&gt;=241,'(橫掃)RX Mapping'!BF2&lt;=360), ('(橫掃)RX Mapping'!BF2-241),IF(AND('(橫掃)RX Mapping'!BF2&gt;=361,'(橫掃)RX Mapping'!BF2&lt;=480), (-1)*('(橫掃)RX Mapping'!BF2-480),IF(AND('(橫掃)RX Mapping'!BF2&gt;=481,'(橫掃)RX Mapping'!BF2&lt;=600), ('(橫掃)RX Mapping'!BF2-361),IF(AND('(橫掃)RX Mapping'!BF2&gt;=601,'(橫掃)RX Mapping'!BF2&lt;=720), (-1)*('(橫掃)RX Mapping'!BF2-720)+120,IF(AND('(橫掃)RX Mapping'!BF2&gt;=721,'(橫掃)RX Mapping'!BF2&lt;=840), ('(橫掃)RX Mapping'!BF2-601),IF(AND('(橫掃)RX Mapping'!BF2&gt;=841,'(橫掃)RX Mapping'!BF2&lt;=960), (-1)*('(橫掃)RX Mapping'!BF2-960)+120,9999))))))))</f>
        <v>9999</v>
      </c>
      <c r="BG2">
        <f>IF(AND('(橫掃)RX Mapping'!BG2&gt;=1,'(橫掃)RX Mapping'!BG2&lt;=120), ('(橫掃)RX Mapping'!BG2-1),IF(AND('(橫掃)RX Mapping'!BG2&gt;=121,'(橫掃)RX Mapping'!BG2&lt;=240), (-1)*('(橫掃)RX Mapping'!BG2-240),IF(AND('(橫掃)RX Mapping'!BG2&gt;=241,'(橫掃)RX Mapping'!BG2&lt;=360), ('(橫掃)RX Mapping'!BG2-241),IF(AND('(橫掃)RX Mapping'!BG2&gt;=361,'(橫掃)RX Mapping'!BG2&lt;=480), (-1)*('(橫掃)RX Mapping'!BG2-480),IF(AND('(橫掃)RX Mapping'!BG2&gt;=481,'(橫掃)RX Mapping'!BG2&lt;=600), ('(橫掃)RX Mapping'!BG2-361),IF(AND('(橫掃)RX Mapping'!BG2&gt;=601,'(橫掃)RX Mapping'!BG2&lt;=720), (-1)*('(橫掃)RX Mapping'!BG2-720)+120,IF(AND('(橫掃)RX Mapping'!BG2&gt;=721,'(橫掃)RX Mapping'!BG2&lt;=840), ('(橫掃)RX Mapping'!BG2-601),IF(AND('(橫掃)RX Mapping'!BG2&gt;=841,'(橫掃)RX Mapping'!BG2&lt;=960), (-1)*('(橫掃)RX Mapping'!BG2-960)+120,9999))))))))</f>
        <v>9999</v>
      </c>
      <c r="BH2">
        <f>IF(AND('(橫掃)RX Mapping'!BH2&gt;=1,'(橫掃)RX Mapping'!BH2&lt;=120), ('(橫掃)RX Mapping'!BH2-1),IF(AND('(橫掃)RX Mapping'!BH2&gt;=121,'(橫掃)RX Mapping'!BH2&lt;=240), (-1)*('(橫掃)RX Mapping'!BH2-240),IF(AND('(橫掃)RX Mapping'!BH2&gt;=241,'(橫掃)RX Mapping'!BH2&lt;=360), ('(橫掃)RX Mapping'!BH2-241),IF(AND('(橫掃)RX Mapping'!BH2&gt;=361,'(橫掃)RX Mapping'!BH2&lt;=480), (-1)*('(橫掃)RX Mapping'!BH2-480),IF(AND('(橫掃)RX Mapping'!BH2&gt;=481,'(橫掃)RX Mapping'!BH2&lt;=600), ('(橫掃)RX Mapping'!BH2-361),IF(AND('(橫掃)RX Mapping'!BH2&gt;=601,'(橫掃)RX Mapping'!BH2&lt;=720), (-1)*('(橫掃)RX Mapping'!BH2-720)+120,IF(AND('(橫掃)RX Mapping'!BH2&gt;=721,'(橫掃)RX Mapping'!BH2&lt;=840), ('(橫掃)RX Mapping'!BH2-601),IF(AND('(橫掃)RX Mapping'!BH2&gt;=841,'(橫掃)RX Mapping'!BH2&lt;=960), (-1)*('(橫掃)RX Mapping'!BH2-960)+120,9999))))))))</f>
        <v>9999</v>
      </c>
      <c r="BI2">
        <f>IF(AND('(橫掃)RX Mapping'!BI2&gt;=1,'(橫掃)RX Mapping'!BI2&lt;=120), ('(橫掃)RX Mapping'!BI2-1),IF(AND('(橫掃)RX Mapping'!BI2&gt;=121,'(橫掃)RX Mapping'!BI2&lt;=240), (-1)*('(橫掃)RX Mapping'!BI2-240),IF(AND('(橫掃)RX Mapping'!BI2&gt;=241,'(橫掃)RX Mapping'!BI2&lt;=360), ('(橫掃)RX Mapping'!BI2-241),IF(AND('(橫掃)RX Mapping'!BI2&gt;=361,'(橫掃)RX Mapping'!BI2&lt;=480), (-1)*('(橫掃)RX Mapping'!BI2-480),IF(AND('(橫掃)RX Mapping'!BI2&gt;=481,'(橫掃)RX Mapping'!BI2&lt;=600), ('(橫掃)RX Mapping'!BI2-361),IF(AND('(橫掃)RX Mapping'!BI2&gt;=601,'(橫掃)RX Mapping'!BI2&lt;=720), (-1)*('(橫掃)RX Mapping'!BI2-720)+120,IF(AND('(橫掃)RX Mapping'!BI2&gt;=721,'(橫掃)RX Mapping'!BI2&lt;=840), ('(橫掃)RX Mapping'!BI2-601),IF(AND('(橫掃)RX Mapping'!BI2&gt;=841,'(橫掃)RX Mapping'!BI2&lt;=960), (-1)*('(橫掃)RX Mapping'!BI2-960)+120,9999))))))))</f>
        <v>9999</v>
      </c>
    </row>
    <row r="3" spans="1:61" x14ac:dyDescent="0.25">
      <c r="A3" s="20">
        <v>2</v>
      </c>
      <c r="B3">
        <f>IF(AND('(橫掃)RX Mapping'!B3&gt;=1,'(橫掃)RX Mapping'!B3&lt;=120), ('(橫掃)RX Mapping'!B3-1),IF(AND('(橫掃)RX Mapping'!B3&gt;=121,'(橫掃)RX Mapping'!B3&lt;=240), (-1)*('(橫掃)RX Mapping'!B3-240),IF(AND('(橫掃)RX Mapping'!B3&gt;=241,'(橫掃)RX Mapping'!B3&lt;=360), ('(橫掃)RX Mapping'!B3-241),IF(AND('(橫掃)RX Mapping'!B3&gt;=361,'(橫掃)RX Mapping'!B3&lt;=480), (-1)*('(橫掃)RX Mapping'!B3-480),IF(AND('(橫掃)RX Mapping'!B3&gt;=481,'(橫掃)RX Mapping'!B3&lt;=600), ('(橫掃)RX Mapping'!B3-361),IF(AND('(橫掃)RX Mapping'!B3&gt;=601,'(橫掃)RX Mapping'!B3&lt;=720), (-1)*('(橫掃)RX Mapping'!B3-720)+120,IF(AND('(橫掃)RX Mapping'!B3&gt;=721,'(橫掃)RX Mapping'!B3&lt;=840), ('(橫掃)RX Mapping'!B3-601),IF(AND('(橫掃)RX Mapping'!B3&gt;=841,'(橫掃)RX Mapping'!B3&lt;=960), (-1)*('(橫掃)RX Mapping'!B3-960)+120,9999))))))))</f>
        <v>1</v>
      </c>
      <c r="C3">
        <f>IF(AND('(橫掃)RX Mapping'!C3&gt;=1,'(橫掃)RX Mapping'!C3&lt;=120), ('(橫掃)RX Mapping'!C3-1),IF(AND('(橫掃)RX Mapping'!C3&gt;=121,'(橫掃)RX Mapping'!C3&lt;=240), (-1)*('(橫掃)RX Mapping'!C3-240),IF(AND('(橫掃)RX Mapping'!C3&gt;=241,'(橫掃)RX Mapping'!C3&lt;=360), ('(橫掃)RX Mapping'!C3-241),IF(AND('(橫掃)RX Mapping'!C3&gt;=361,'(橫掃)RX Mapping'!C3&lt;=480), (-1)*('(橫掃)RX Mapping'!C3-480),IF(AND('(橫掃)RX Mapping'!C3&gt;=481,'(橫掃)RX Mapping'!C3&lt;=600), ('(橫掃)RX Mapping'!C3-361),IF(AND('(橫掃)RX Mapping'!C3&gt;=601,'(橫掃)RX Mapping'!C3&lt;=720), (-1)*('(橫掃)RX Mapping'!C3-720)+120,IF(AND('(橫掃)RX Mapping'!C3&gt;=721,'(橫掃)RX Mapping'!C3&lt;=840), ('(橫掃)RX Mapping'!C3-601),IF(AND('(橫掃)RX Mapping'!C3&gt;=841,'(橫掃)RX Mapping'!C3&lt;=960), (-1)*('(橫掃)RX Mapping'!C3-960)+120,9999))))))))</f>
        <v>33</v>
      </c>
      <c r="D3">
        <f>IF(AND('(橫掃)RX Mapping'!D3&gt;=1,'(橫掃)RX Mapping'!D3&lt;=120), ('(橫掃)RX Mapping'!D3-1),IF(AND('(橫掃)RX Mapping'!D3&gt;=121,'(橫掃)RX Mapping'!D3&lt;=240), (-1)*('(橫掃)RX Mapping'!D3-240),IF(AND('(橫掃)RX Mapping'!D3&gt;=241,'(橫掃)RX Mapping'!D3&lt;=360), ('(橫掃)RX Mapping'!D3-241),IF(AND('(橫掃)RX Mapping'!D3&gt;=361,'(橫掃)RX Mapping'!D3&lt;=480), (-1)*('(橫掃)RX Mapping'!D3-480),IF(AND('(橫掃)RX Mapping'!D3&gt;=481,'(橫掃)RX Mapping'!D3&lt;=600), ('(橫掃)RX Mapping'!D3-361),IF(AND('(橫掃)RX Mapping'!D3&gt;=601,'(橫掃)RX Mapping'!D3&lt;=720), (-1)*('(橫掃)RX Mapping'!D3-720)+120,IF(AND('(橫掃)RX Mapping'!D3&gt;=721,'(橫掃)RX Mapping'!D3&lt;=840), ('(橫掃)RX Mapping'!D3-601),IF(AND('(橫掃)RX Mapping'!D3&gt;=841,'(橫掃)RX Mapping'!D3&lt;=960), (-1)*('(橫掃)RX Mapping'!D3-960)+120,9999))))))))</f>
        <v>65</v>
      </c>
      <c r="E3">
        <f>IF(AND('(橫掃)RX Mapping'!E3&gt;=1,'(橫掃)RX Mapping'!E3&lt;=120), ('(橫掃)RX Mapping'!E3-1),IF(AND('(橫掃)RX Mapping'!E3&gt;=121,'(橫掃)RX Mapping'!E3&lt;=240), (-1)*('(橫掃)RX Mapping'!E3-240),IF(AND('(橫掃)RX Mapping'!E3&gt;=241,'(橫掃)RX Mapping'!E3&lt;=360), ('(橫掃)RX Mapping'!E3-241),IF(AND('(橫掃)RX Mapping'!E3&gt;=361,'(橫掃)RX Mapping'!E3&lt;=480), (-1)*('(橫掃)RX Mapping'!E3-480),IF(AND('(橫掃)RX Mapping'!E3&gt;=481,'(橫掃)RX Mapping'!E3&lt;=600), ('(橫掃)RX Mapping'!E3-361),IF(AND('(橫掃)RX Mapping'!E3&gt;=601,'(橫掃)RX Mapping'!E3&lt;=720), (-1)*('(橫掃)RX Mapping'!E3-720)+120,IF(AND('(橫掃)RX Mapping'!E3&gt;=721,'(橫掃)RX Mapping'!E3&lt;=840), ('(橫掃)RX Mapping'!E3-601),IF(AND('(橫掃)RX Mapping'!E3&gt;=841,'(橫掃)RX Mapping'!E3&lt;=960), (-1)*('(橫掃)RX Mapping'!E3-960)+120,9999))))))))</f>
        <v>97</v>
      </c>
      <c r="F3">
        <f>IF(AND('(橫掃)RX Mapping'!F3&gt;=1,'(橫掃)RX Mapping'!F3&lt;=120), ('(橫掃)RX Mapping'!F3-1),IF(AND('(橫掃)RX Mapping'!F3&gt;=121,'(橫掃)RX Mapping'!F3&lt;=240), (-1)*('(橫掃)RX Mapping'!F3-240),IF(AND('(橫掃)RX Mapping'!F3&gt;=241,'(橫掃)RX Mapping'!F3&lt;=360), ('(橫掃)RX Mapping'!F3-241),IF(AND('(橫掃)RX Mapping'!F3&gt;=361,'(橫掃)RX Mapping'!F3&lt;=480), (-1)*('(橫掃)RX Mapping'!F3-480),IF(AND('(橫掃)RX Mapping'!F3&gt;=481,'(橫掃)RX Mapping'!F3&lt;=600), ('(橫掃)RX Mapping'!F3-361),IF(AND('(橫掃)RX Mapping'!F3&gt;=601,'(橫掃)RX Mapping'!F3&lt;=720), (-1)*('(橫掃)RX Mapping'!F3-720)+120,IF(AND('(橫掃)RX Mapping'!F3&gt;=721,'(橫掃)RX Mapping'!F3&lt;=840), ('(橫掃)RX Mapping'!F3-601),IF(AND('(橫掃)RX Mapping'!F3&gt;=841,'(橫掃)RX Mapping'!F3&lt;=960), (-1)*('(橫掃)RX Mapping'!F3-960)+120,9999))))))))</f>
        <v>110</v>
      </c>
      <c r="G3">
        <f>IF(AND('(橫掃)RX Mapping'!G3&gt;=1,'(橫掃)RX Mapping'!G3&lt;=120), ('(橫掃)RX Mapping'!G3-1),IF(AND('(橫掃)RX Mapping'!G3&gt;=121,'(橫掃)RX Mapping'!G3&lt;=240), (-1)*('(橫掃)RX Mapping'!G3-240),IF(AND('(橫掃)RX Mapping'!G3&gt;=241,'(橫掃)RX Mapping'!G3&lt;=360), ('(橫掃)RX Mapping'!G3-241),IF(AND('(橫掃)RX Mapping'!G3&gt;=361,'(橫掃)RX Mapping'!G3&lt;=480), (-1)*('(橫掃)RX Mapping'!G3-480),IF(AND('(橫掃)RX Mapping'!G3&gt;=481,'(橫掃)RX Mapping'!G3&lt;=600), ('(橫掃)RX Mapping'!G3-361),IF(AND('(橫掃)RX Mapping'!G3&gt;=601,'(橫掃)RX Mapping'!G3&lt;=720), (-1)*('(橫掃)RX Mapping'!G3-720)+120,IF(AND('(橫掃)RX Mapping'!G3&gt;=721,'(橫掃)RX Mapping'!G3&lt;=840), ('(橫掃)RX Mapping'!G3-601),IF(AND('(橫掃)RX Mapping'!G3&gt;=841,'(橫掃)RX Mapping'!G3&lt;=960), (-1)*('(橫掃)RX Mapping'!G3-960)+120,9999))))))))</f>
        <v>78</v>
      </c>
      <c r="H3">
        <f>IF(AND('(橫掃)RX Mapping'!H3&gt;=1,'(橫掃)RX Mapping'!H3&lt;=120), ('(橫掃)RX Mapping'!H3-1),IF(AND('(橫掃)RX Mapping'!H3&gt;=121,'(橫掃)RX Mapping'!H3&lt;=240), (-1)*('(橫掃)RX Mapping'!H3-240),IF(AND('(橫掃)RX Mapping'!H3&gt;=241,'(橫掃)RX Mapping'!H3&lt;=360), ('(橫掃)RX Mapping'!H3-241),IF(AND('(橫掃)RX Mapping'!H3&gt;=361,'(橫掃)RX Mapping'!H3&lt;=480), (-1)*('(橫掃)RX Mapping'!H3-480),IF(AND('(橫掃)RX Mapping'!H3&gt;=481,'(橫掃)RX Mapping'!H3&lt;=600), ('(橫掃)RX Mapping'!H3-361),IF(AND('(橫掃)RX Mapping'!H3&gt;=601,'(橫掃)RX Mapping'!H3&lt;=720), (-1)*('(橫掃)RX Mapping'!H3-720)+120,IF(AND('(橫掃)RX Mapping'!H3&gt;=721,'(橫掃)RX Mapping'!H3&lt;=840), ('(橫掃)RX Mapping'!H3-601),IF(AND('(橫掃)RX Mapping'!H3&gt;=841,'(橫掃)RX Mapping'!H3&lt;=960), (-1)*('(橫掃)RX Mapping'!H3-960)+120,9999))))))))</f>
        <v>46</v>
      </c>
      <c r="I3">
        <f>IF(AND('(橫掃)RX Mapping'!I3&gt;=1,'(橫掃)RX Mapping'!I3&lt;=120), ('(橫掃)RX Mapping'!I3-1),IF(AND('(橫掃)RX Mapping'!I3&gt;=121,'(橫掃)RX Mapping'!I3&lt;=240), (-1)*('(橫掃)RX Mapping'!I3-240),IF(AND('(橫掃)RX Mapping'!I3&gt;=241,'(橫掃)RX Mapping'!I3&lt;=360), ('(橫掃)RX Mapping'!I3-241),IF(AND('(橫掃)RX Mapping'!I3&gt;=361,'(橫掃)RX Mapping'!I3&lt;=480), (-1)*('(橫掃)RX Mapping'!I3-480),IF(AND('(橫掃)RX Mapping'!I3&gt;=481,'(橫掃)RX Mapping'!I3&lt;=600), ('(橫掃)RX Mapping'!I3-361),IF(AND('(橫掃)RX Mapping'!I3&gt;=601,'(橫掃)RX Mapping'!I3&lt;=720), (-1)*('(橫掃)RX Mapping'!I3-720)+120,IF(AND('(橫掃)RX Mapping'!I3&gt;=721,'(橫掃)RX Mapping'!I3&lt;=840), ('(橫掃)RX Mapping'!I3-601),IF(AND('(橫掃)RX Mapping'!I3&gt;=841,'(橫掃)RX Mapping'!I3&lt;=960), (-1)*('(橫掃)RX Mapping'!I3-960)+120,9999))))))))</f>
        <v>1</v>
      </c>
      <c r="J3">
        <f>IF(AND('(橫掃)RX Mapping'!J3&gt;=1,'(橫掃)RX Mapping'!J3&lt;=120), ('(橫掃)RX Mapping'!J3-1),IF(AND('(橫掃)RX Mapping'!J3&gt;=121,'(橫掃)RX Mapping'!J3&lt;=240), (-1)*('(橫掃)RX Mapping'!J3-240),IF(AND('(橫掃)RX Mapping'!J3&gt;=241,'(橫掃)RX Mapping'!J3&lt;=360), ('(橫掃)RX Mapping'!J3-241),IF(AND('(橫掃)RX Mapping'!J3&gt;=361,'(橫掃)RX Mapping'!J3&lt;=480), (-1)*('(橫掃)RX Mapping'!J3-480),IF(AND('(橫掃)RX Mapping'!J3&gt;=481,'(橫掃)RX Mapping'!J3&lt;=600), ('(橫掃)RX Mapping'!J3-361),IF(AND('(橫掃)RX Mapping'!J3&gt;=601,'(橫掃)RX Mapping'!J3&lt;=720), (-1)*('(橫掃)RX Mapping'!J3-720)+120,IF(AND('(橫掃)RX Mapping'!J3&gt;=721,'(橫掃)RX Mapping'!J3&lt;=840), ('(橫掃)RX Mapping'!J3-601),IF(AND('(橫掃)RX Mapping'!J3&gt;=841,'(橫掃)RX Mapping'!J3&lt;=960), (-1)*('(橫掃)RX Mapping'!J3-960)+120,9999))))))))</f>
        <v>33</v>
      </c>
      <c r="K3">
        <f>IF(AND('(橫掃)RX Mapping'!K3&gt;=1,'(橫掃)RX Mapping'!K3&lt;=120), ('(橫掃)RX Mapping'!K3-1),IF(AND('(橫掃)RX Mapping'!K3&gt;=121,'(橫掃)RX Mapping'!K3&lt;=240), (-1)*('(橫掃)RX Mapping'!K3-240),IF(AND('(橫掃)RX Mapping'!K3&gt;=241,'(橫掃)RX Mapping'!K3&lt;=360), ('(橫掃)RX Mapping'!K3-241),IF(AND('(橫掃)RX Mapping'!K3&gt;=361,'(橫掃)RX Mapping'!K3&lt;=480), (-1)*('(橫掃)RX Mapping'!K3-480),IF(AND('(橫掃)RX Mapping'!K3&gt;=481,'(橫掃)RX Mapping'!K3&lt;=600), ('(橫掃)RX Mapping'!K3-361),IF(AND('(橫掃)RX Mapping'!K3&gt;=601,'(橫掃)RX Mapping'!K3&lt;=720), (-1)*('(橫掃)RX Mapping'!K3-720)+120,IF(AND('(橫掃)RX Mapping'!K3&gt;=721,'(橫掃)RX Mapping'!K3&lt;=840), ('(橫掃)RX Mapping'!K3-601),IF(AND('(橫掃)RX Mapping'!K3&gt;=841,'(橫掃)RX Mapping'!K3&lt;=960), (-1)*('(橫掃)RX Mapping'!K3-960)+120,9999))))))))</f>
        <v>65</v>
      </c>
      <c r="L3">
        <f>IF(AND('(橫掃)RX Mapping'!L3&gt;=1,'(橫掃)RX Mapping'!L3&lt;=120), ('(橫掃)RX Mapping'!L3-1),IF(AND('(橫掃)RX Mapping'!L3&gt;=121,'(橫掃)RX Mapping'!L3&lt;=240), (-1)*('(橫掃)RX Mapping'!L3-240),IF(AND('(橫掃)RX Mapping'!L3&gt;=241,'(橫掃)RX Mapping'!L3&lt;=360), ('(橫掃)RX Mapping'!L3-241),IF(AND('(橫掃)RX Mapping'!L3&gt;=361,'(橫掃)RX Mapping'!L3&lt;=480), (-1)*('(橫掃)RX Mapping'!L3-480),IF(AND('(橫掃)RX Mapping'!L3&gt;=481,'(橫掃)RX Mapping'!L3&lt;=600), ('(橫掃)RX Mapping'!L3-361),IF(AND('(橫掃)RX Mapping'!L3&gt;=601,'(橫掃)RX Mapping'!L3&lt;=720), (-1)*('(橫掃)RX Mapping'!L3-720)+120,IF(AND('(橫掃)RX Mapping'!L3&gt;=721,'(橫掃)RX Mapping'!L3&lt;=840), ('(橫掃)RX Mapping'!L3-601),IF(AND('(橫掃)RX Mapping'!L3&gt;=841,'(橫掃)RX Mapping'!L3&lt;=960), (-1)*('(橫掃)RX Mapping'!L3-960)+120,9999))))))))</f>
        <v>97</v>
      </c>
      <c r="M3">
        <f>IF(AND('(橫掃)RX Mapping'!M3&gt;=1,'(橫掃)RX Mapping'!M3&lt;=120), ('(橫掃)RX Mapping'!M3-1),IF(AND('(橫掃)RX Mapping'!M3&gt;=121,'(橫掃)RX Mapping'!M3&lt;=240), (-1)*('(橫掃)RX Mapping'!M3-240),IF(AND('(橫掃)RX Mapping'!M3&gt;=241,'(橫掃)RX Mapping'!M3&lt;=360), ('(橫掃)RX Mapping'!M3-241),IF(AND('(橫掃)RX Mapping'!M3&gt;=361,'(橫掃)RX Mapping'!M3&lt;=480), (-1)*('(橫掃)RX Mapping'!M3-480),IF(AND('(橫掃)RX Mapping'!M3&gt;=481,'(橫掃)RX Mapping'!M3&lt;=600), ('(橫掃)RX Mapping'!M3-361),IF(AND('(橫掃)RX Mapping'!M3&gt;=601,'(橫掃)RX Mapping'!M3&lt;=720), (-1)*('(橫掃)RX Mapping'!M3-720)+120,IF(AND('(橫掃)RX Mapping'!M3&gt;=721,'(橫掃)RX Mapping'!M3&lt;=840), ('(橫掃)RX Mapping'!M3-601),IF(AND('(橫掃)RX Mapping'!M3&gt;=841,'(橫掃)RX Mapping'!M3&lt;=960), (-1)*('(橫掃)RX Mapping'!M3-960)+120,9999))))))))</f>
        <v>110</v>
      </c>
      <c r="N3">
        <f>IF(AND('(橫掃)RX Mapping'!N3&gt;=1,'(橫掃)RX Mapping'!N3&lt;=120), ('(橫掃)RX Mapping'!N3-1),IF(AND('(橫掃)RX Mapping'!N3&gt;=121,'(橫掃)RX Mapping'!N3&lt;=240), (-1)*('(橫掃)RX Mapping'!N3-240),IF(AND('(橫掃)RX Mapping'!N3&gt;=241,'(橫掃)RX Mapping'!N3&lt;=360), ('(橫掃)RX Mapping'!N3-241),IF(AND('(橫掃)RX Mapping'!N3&gt;=361,'(橫掃)RX Mapping'!N3&lt;=480), (-1)*('(橫掃)RX Mapping'!N3-480),IF(AND('(橫掃)RX Mapping'!N3&gt;=481,'(橫掃)RX Mapping'!N3&lt;=600), ('(橫掃)RX Mapping'!N3-361),IF(AND('(橫掃)RX Mapping'!N3&gt;=601,'(橫掃)RX Mapping'!N3&lt;=720), (-1)*('(橫掃)RX Mapping'!N3-720)+120,IF(AND('(橫掃)RX Mapping'!N3&gt;=721,'(橫掃)RX Mapping'!N3&lt;=840), ('(橫掃)RX Mapping'!N3-601),IF(AND('(橫掃)RX Mapping'!N3&gt;=841,'(橫掃)RX Mapping'!N3&lt;=960), (-1)*('(橫掃)RX Mapping'!N3-960)+120,9999))))))))</f>
        <v>78</v>
      </c>
      <c r="O3">
        <f>IF(AND('(橫掃)RX Mapping'!O3&gt;=1,'(橫掃)RX Mapping'!O3&lt;=120), ('(橫掃)RX Mapping'!O3-1),IF(AND('(橫掃)RX Mapping'!O3&gt;=121,'(橫掃)RX Mapping'!O3&lt;=240), (-1)*('(橫掃)RX Mapping'!O3-240),IF(AND('(橫掃)RX Mapping'!O3&gt;=241,'(橫掃)RX Mapping'!O3&lt;=360), ('(橫掃)RX Mapping'!O3-241),IF(AND('(橫掃)RX Mapping'!O3&gt;=361,'(橫掃)RX Mapping'!O3&lt;=480), (-1)*('(橫掃)RX Mapping'!O3-480),IF(AND('(橫掃)RX Mapping'!O3&gt;=481,'(橫掃)RX Mapping'!O3&lt;=600), ('(橫掃)RX Mapping'!O3-361),IF(AND('(橫掃)RX Mapping'!O3&gt;=601,'(橫掃)RX Mapping'!O3&lt;=720), (-1)*('(橫掃)RX Mapping'!O3-720)+120,IF(AND('(橫掃)RX Mapping'!O3&gt;=721,'(橫掃)RX Mapping'!O3&lt;=840), ('(橫掃)RX Mapping'!O3-601),IF(AND('(橫掃)RX Mapping'!O3&gt;=841,'(橫掃)RX Mapping'!O3&lt;=960), (-1)*('(橫掃)RX Mapping'!O3-960)+120,9999))))))))</f>
        <v>46</v>
      </c>
      <c r="P3">
        <f>IF(AND('(橫掃)RX Mapping'!P3&gt;=1,'(橫掃)RX Mapping'!P3&lt;=120), ('(橫掃)RX Mapping'!P3-1),IF(AND('(橫掃)RX Mapping'!P3&gt;=121,'(橫掃)RX Mapping'!P3&lt;=240), (-1)*('(橫掃)RX Mapping'!P3-240),IF(AND('(橫掃)RX Mapping'!P3&gt;=241,'(橫掃)RX Mapping'!P3&lt;=360), ('(橫掃)RX Mapping'!P3-241),IF(AND('(橫掃)RX Mapping'!P3&gt;=361,'(橫掃)RX Mapping'!P3&lt;=480), (-1)*('(橫掃)RX Mapping'!P3-480),IF(AND('(橫掃)RX Mapping'!P3&gt;=481,'(橫掃)RX Mapping'!P3&lt;=600), ('(橫掃)RX Mapping'!P3-361),IF(AND('(橫掃)RX Mapping'!P3&gt;=601,'(橫掃)RX Mapping'!P3&lt;=720), (-1)*('(橫掃)RX Mapping'!P3-720)+120,IF(AND('(橫掃)RX Mapping'!P3&gt;=721,'(橫掃)RX Mapping'!P3&lt;=840), ('(橫掃)RX Mapping'!P3-601),IF(AND('(橫掃)RX Mapping'!P3&gt;=841,'(橫掃)RX Mapping'!P3&lt;=960), (-1)*('(橫掃)RX Mapping'!P3-960)+120,9999))))))))</f>
        <v>121</v>
      </c>
      <c r="Q3">
        <f>IF(AND('(橫掃)RX Mapping'!Q3&gt;=1,'(橫掃)RX Mapping'!Q3&lt;=120), ('(橫掃)RX Mapping'!Q3-1),IF(AND('(橫掃)RX Mapping'!Q3&gt;=121,'(橫掃)RX Mapping'!Q3&lt;=240), (-1)*('(橫掃)RX Mapping'!Q3-240),IF(AND('(橫掃)RX Mapping'!Q3&gt;=241,'(橫掃)RX Mapping'!Q3&lt;=360), ('(橫掃)RX Mapping'!Q3-241),IF(AND('(橫掃)RX Mapping'!Q3&gt;=361,'(橫掃)RX Mapping'!Q3&lt;=480), (-1)*('(橫掃)RX Mapping'!Q3-480),IF(AND('(橫掃)RX Mapping'!Q3&gt;=481,'(橫掃)RX Mapping'!Q3&lt;=600), ('(橫掃)RX Mapping'!Q3-361),IF(AND('(橫掃)RX Mapping'!Q3&gt;=601,'(橫掃)RX Mapping'!Q3&lt;=720), (-1)*('(橫掃)RX Mapping'!Q3-720)+120,IF(AND('(橫掃)RX Mapping'!Q3&gt;=721,'(橫掃)RX Mapping'!Q3&lt;=840), ('(橫掃)RX Mapping'!Q3-601),IF(AND('(橫掃)RX Mapping'!Q3&gt;=841,'(橫掃)RX Mapping'!Q3&lt;=960), (-1)*('(橫掃)RX Mapping'!Q3-960)+120,9999))))))))</f>
        <v>153</v>
      </c>
      <c r="R3">
        <f>IF(AND('(橫掃)RX Mapping'!R3&gt;=1,'(橫掃)RX Mapping'!R3&lt;=120), ('(橫掃)RX Mapping'!R3-1),IF(AND('(橫掃)RX Mapping'!R3&gt;=121,'(橫掃)RX Mapping'!R3&lt;=240), (-1)*('(橫掃)RX Mapping'!R3-240),IF(AND('(橫掃)RX Mapping'!R3&gt;=241,'(橫掃)RX Mapping'!R3&lt;=360), ('(橫掃)RX Mapping'!R3-241),IF(AND('(橫掃)RX Mapping'!R3&gt;=361,'(橫掃)RX Mapping'!R3&lt;=480), (-1)*('(橫掃)RX Mapping'!R3-480),IF(AND('(橫掃)RX Mapping'!R3&gt;=481,'(橫掃)RX Mapping'!R3&lt;=600), ('(橫掃)RX Mapping'!R3-361),IF(AND('(橫掃)RX Mapping'!R3&gt;=601,'(橫掃)RX Mapping'!R3&lt;=720), (-1)*('(橫掃)RX Mapping'!R3-720)+120,IF(AND('(橫掃)RX Mapping'!R3&gt;=721,'(橫掃)RX Mapping'!R3&lt;=840), ('(橫掃)RX Mapping'!R3-601),IF(AND('(橫掃)RX Mapping'!R3&gt;=841,'(橫掃)RX Mapping'!R3&lt;=960), (-1)*('(橫掃)RX Mapping'!R3-960)+120,9999))))))))</f>
        <v>185</v>
      </c>
      <c r="S3">
        <f>IF(AND('(橫掃)RX Mapping'!S3&gt;=1,'(橫掃)RX Mapping'!S3&lt;=120), ('(橫掃)RX Mapping'!S3-1),IF(AND('(橫掃)RX Mapping'!S3&gt;=121,'(橫掃)RX Mapping'!S3&lt;=240), (-1)*('(橫掃)RX Mapping'!S3-240),IF(AND('(橫掃)RX Mapping'!S3&gt;=241,'(橫掃)RX Mapping'!S3&lt;=360), ('(橫掃)RX Mapping'!S3-241),IF(AND('(橫掃)RX Mapping'!S3&gt;=361,'(橫掃)RX Mapping'!S3&lt;=480), (-1)*('(橫掃)RX Mapping'!S3-480),IF(AND('(橫掃)RX Mapping'!S3&gt;=481,'(橫掃)RX Mapping'!S3&lt;=600), ('(橫掃)RX Mapping'!S3-361),IF(AND('(橫掃)RX Mapping'!S3&gt;=601,'(橫掃)RX Mapping'!S3&lt;=720), (-1)*('(橫掃)RX Mapping'!S3-720)+120,IF(AND('(橫掃)RX Mapping'!S3&gt;=721,'(橫掃)RX Mapping'!S3&lt;=840), ('(橫掃)RX Mapping'!S3-601),IF(AND('(橫掃)RX Mapping'!S3&gt;=841,'(橫掃)RX Mapping'!S3&lt;=960), (-1)*('(橫掃)RX Mapping'!S3-960)+120,9999))))))))</f>
        <v>217</v>
      </c>
      <c r="T3">
        <f>IF(AND('(橫掃)RX Mapping'!T3&gt;=1,'(橫掃)RX Mapping'!T3&lt;=120), ('(橫掃)RX Mapping'!T3-1),IF(AND('(橫掃)RX Mapping'!T3&gt;=121,'(橫掃)RX Mapping'!T3&lt;=240), (-1)*('(橫掃)RX Mapping'!T3-240),IF(AND('(橫掃)RX Mapping'!T3&gt;=241,'(橫掃)RX Mapping'!T3&lt;=360), ('(橫掃)RX Mapping'!T3-241),IF(AND('(橫掃)RX Mapping'!T3&gt;=361,'(橫掃)RX Mapping'!T3&lt;=480), (-1)*('(橫掃)RX Mapping'!T3-480),IF(AND('(橫掃)RX Mapping'!T3&gt;=481,'(橫掃)RX Mapping'!T3&lt;=600), ('(橫掃)RX Mapping'!T3-361),IF(AND('(橫掃)RX Mapping'!T3&gt;=601,'(橫掃)RX Mapping'!T3&lt;=720), (-1)*('(橫掃)RX Mapping'!T3-720)+120,IF(AND('(橫掃)RX Mapping'!T3&gt;=721,'(橫掃)RX Mapping'!T3&lt;=840), ('(橫掃)RX Mapping'!T3-601),IF(AND('(橫掃)RX Mapping'!T3&gt;=841,'(橫掃)RX Mapping'!T3&lt;=960), (-1)*('(橫掃)RX Mapping'!T3-960)+120,9999))))))))</f>
        <v>230</v>
      </c>
      <c r="U3">
        <f>IF(AND('(橫掃)RX Mapping'!U3&gt;=1,'(橫掃)RX Mapping'!U3&lt;=120), ('(橫掃)RX Mapping'!U3-1),IF(AND('(橫掃)RX Mapping'!U3&gt;=121,'(橫掃)RX Mapping'!U3&lt;=240), (-1)*('(橫掃)RX Mapping'!U3-240),IF(AND('(橫掃)RX Mapping'!U3&gt;=241,'(橫掃)RX Mapping'!U3&lt;=360), ('(橫掃)RX Mapping'!U3-241),IF(AND('(橫掃)RX Mapping'!U3&gt;=361,'(橫掃)RX Mapping'!U3&lt;=480), (-1)*('(橫掃)RX Mapping'!U3-480),IF(AND('(橫掃)RX Mapping'!U3&gt;=481,'(橫掃)RX Mapping'!U3&lt;=600), ('(橫掃)RX Mapping'!U3-361),IF(AND('(橫掃)RX Mapping'!U3&gt;=601,'(橫掃)RX Mapping'!U3&lt;=720), (-1)*('(橫掃)RX Mapping'!U3-720)+120,IF(AND('(橫掃)RX Mapping'!U3&gt;=721,'(橫掃)RX Mapping'!U3&lt;=840), ('(橫掃)RX Mapping'!U3-601),IF(AND('(橫掃)RX Mapping'!U3&gt;=841,'(橫掃)RX Mapping'!U3&lt;=960), (-1)*('(橫掃)RX Mapping'!U3-960)+120,9999))))))))</f>
        <v>198</v>
      </c>
      <c r="V3">
        <f>IF(AND('(橫掃)RX Mapping'!V3&gt;=1,'(橫掃)RX Mapping'!V3&lt;=120), ('(橫掃)RX Mapping'!V3-1),IF(AND('(橫掃)RX Mapping'!V3&gt;=121,'(橫掃)RX Mapping'!V3&lt;=240), (-1)*('(橫掃)RX Mapping'!V3-240),IF(AND('(橫掃)RX Mapping'!V3&gt;=241,'(橫掃)RX Mapping'!V3&lt;=360), ('(橫掃)RX Mapping'!V3-241),IF(AND('(橫掃)RX Mapping'!V3&gt;=361,'(橫掃)RX Mapping'!V3&lt;=480), (-1)*('(橫掃)RX Mapping'!V3-480),IF(AND('(橫掃)RX Mapping'!V3&gt;=481,'(橫掃)RX Mapping'!V3&lt;=600), ('(橫掃)RX Mapping'!V3-361),IF(AND('(橫掃)RX Mapping'!V3&gt;=601,'(橫掃)RX Mapping'!V3&lt;=720), (-1)*('(橫掃)RX Mapping'!V3-720)+120,IF(AND('(橫掃)RX Mapping'!V3&gt;=721,'(橫掃)RX Mapping'!V3&lt;=840), ('(橫掃)RX Mapping'!V3-601),IF(AND('(橫掃)RX Mapping'!V3&gt;=841,'(橫掃)RX Mapping'!V3&lt;=960), (-1)*('(橫掃)RX Mapping'!V3-960)+120,9999))))))))</f>
        <v>166</v>
      </c>
      <c r="W3">
        <f>IF(AND('(橫掃)RX Mapping'!W3&gt;=1,'(橫掃)RX Mapping'!W3&lt;=120), ('(橫掃)RX Mapping'!W3-1),IF(AND('(橫掃)RX Mapping'!W3&gt;=121,'(橫掃)RX Mapping'!W3&lt;=240), (-1)*('(橫掃)RX Mapping'!W3-240),IF(AND('(橫掃)RX Mapping'!W3&gt;=241,'(橫掃)RX Mapping'!W3&lt;=360), ('(橫掃)RX Mapping'!W3-241),IF(AND('(橫掃)RX Mapping'!W3&gt;=361,'(橫掃)RX Mapping'!W3&lt;=480), (-1)*('(橫掃)RX Mapping'!W3-480),IF(AND('(橫掃)RX Mapping'!W3&gt;=481,'(橫掃)RX Mapping'!W3&lt;=600), ('(橫掃)RX Mapping'!W3-361),IF(AND('(橫掃)RX Mapping'!W3&gt;=601,'(橫掃)RX Mapping'!W3&lt;=720), (-1)*('(橫掃)RX Mapping'!W3-720)+120,IF(AND('(橫掃)RX Mapping'!W3&gt;=721,'(橫掃)RX Mapping'!W3&lt;=840), ('(橫掃)RX Mapping'!W3-601),IF(AND('(橫掃)RX Mapping'!W3&gt;=841,'(橫掃)RX Mapping'!W3&lt;=960), (-1)*('(橫掃)RX Mapping'!W3-960)+120,9999))))))))</f>
        <v>121</v>
      </c>
      <c r="X3">
        <f>IF(AND('(橫掃)RX Mapping'!X3&gt;=1,'(橫掃)RX Mapping'!X3&lt;=120), ('(橫掃)RX Mapping'!X3-1),IF(AND('(橫掃)RX Mapping'!X3&gt;=121,'(橫掃)RX Mapping'!X3&lt;=240), (-1)*('(橫掃)RX Mapping'!X3-240),IF(AND('(橫掃)RX Mapping'!X3&gt;=241,'(橫掃)RX Mapping'!X3&lt;=360), ('(橫掃)RX Mapping'!X3-241),IF(AND('(橫掃)RX Mapping'!X3&gt;=361,'(橫掃)RX Mapping'!X3&lt;=480), (-1)*('(橫掃)RX Mapping'!X3-480),IF(AND('(橫掃)RX Mapping'!X3&gt;=481,'(橫掃)RX Mapping'!X3&lt;=600), ('(橫掃)RX Mapping'!X3-361),IF(AND('(橫掃)RX Mapping'!X3&gt;=601,'(橫掃)RX Mapping'!X3&lt;=720), (-1)*('(橫掃)RX Mapping'!X3-720)+120,IF(AND('(橫掃)RX Mapping'!X3&gt;=721,'(橫掃)RX Mapping'!X3&lt;=840), ('(橫掃)RX Mapping'!X3-601),IF(AND('(橫掃)RX Mapping'!X3&gt;=841,'(橫掃)RX Mapping'!X3&lt;=960), (-1)*('(橫掃)RX Mapping'!X3-960)+120,9999))))))))</f>
        <v>153</v>
      </c>
      <c r="Y3">
        <f>IF(AND('(橫掃)RX Mapping'!Y3&gt;=1,'(橫掃)RX Mapping'!Y3&lt;=120), ('(橫掃)RX Mapping'!Y3-1),IF(AND('(橫掃)RX Mapping'!Y3&gt;=121,'(橫掃)RX Mapping'!Y3&lt;=240), (-1)*('(橫掃)RX Mapping'!Y3-240),IF(AND('(橫掃)RX Mapping'!Y3&gt;=241,'(橫掃)RX Mapping'!Y3&lt;=360), ('(橫掃)RX Mapping'!Y3-241),IF(AND('(橫掃)RX Mapping'!Y3&gt;=361,'(橫掃)RX Mapping'!Y3&lt;=480), (-1)*('(橫掃)RX Mapping'!Y3-480),IF(AND('(橫掃)RX Mapping'!Y3&gt;=481,'(橫掃)RX Mapping'!Y3&lt;=600), ('(橫掃)RX Mapping'!Y3-361),IF(AND('(橫掃)RX Mapping'!Y3&gt;=601,'(橫掃)RX Mapping'!Y3&lt;=720), (-1)*('(橫掃)RX Mapping'!Y3-720)+120,IF(AND('(橫掃)RX Mapping'!Y3&gt;=721,'(橫掃)RX Mapping'!Y3&lt;=840), ('(橫掃)RX Mapping'!Y3-601),IF(AND('(橫掃)RX Mapping'!Y3&gt;=841,'(橫掃)RX Mapping'!Y3&lt;=960), (-1)*('(橫掃)RX Mapping'!Y3-960)+120,9999))))))))</f>
        <v>185</v>
      </c>
      <c r="Z3">
        <f>IF(AND('(橫掃)RX Mapping'!Z3&gt;=1,'(橫掃)RX Mapping'!Z3&lt;=120), ('(橫掃)RX Mapping'!Z3-1),IF(AND('(橫掃)RX Mapping'!Z3&gt;=121,'(橫掃)RX Mapping'!Z3&lt;=240), (-1)*('(橫掃)RX Mapping'!Z3-240),IF(AND('(橫掃)RX Mapping'!Z3&gt;=241,'(橫掃)RX Mapping'!Z3&lt;=360), ('(橫掃)RX Mapping'!Z3-241),IF(AND('(橫掃)RX Mapping'!Z3&gt;=361,'(橫掃)RX Mapping'!Z3&lt;=480), (-1)*('(橫掃)RX Mapping'!Z3-480),IF(AND('(橫掃)RX Mapping'!Z3&gt;=481,'(橫掃)RX Mapping'!Z3&lt;=600), ('(橫掃)RX Mapping'!Z3-361),IF(AND('(橫掃)RX Mapping'!Z3&gt;=601,'(橫掃)RX Mapping'!Z3&lt;=720), (-1)*('(橫掃)RX Mapping'!Z3-720)+120,IF(AND('(橫掃)RX Mapping'!Z3&gt;=721,'(橫掃)RX Mapping'!Z3&lt;=840), ('(橫掃)RX Mapping'!Z3-601),IF(AND('(橫掃)RX Mapping'!Z3&gt;=841,'(橫掃)RX Mapping'!Z3&lt;=960), (-1)*('(橫掃)RX Mapping'!Z3-960)+120,9999))))))))</f>
        <v>217</v>
      </c>
      <c r="AA3">
        <f>IF(AND('(橫掃)RX Mapping'!AA3&gt;=1,'(橫掃)RX Mapping'!AA3&lt;=120), ('(橫掃)RX Mapping'!AA3-1),IF(AND('(橫掃)RX Mapping'!AA3&gt;=121,'(橫掃)RX Mapping'!AA3&lt;=240), (-1)*('(橫掃)RX Mapping'!AA3-240),IF(AND('(橫掃)RX Mapping'!AA3&gt;=241,'(橫掃)RX Mapping'!AA3&lt;=360), ('(橫掃)RX Mapping'!AA3-241),IF(AND('(橫掃)RX Mapping'!AA3&gt;=361,'(橫掃)RX Mapping'!AA3&lt;=480), (-1)*('(橫掃)RX Mapping'!AA3-480),IF(AND('(橫掃)RX Mapping'!AA3&gt;=481,'(橫掃)RX Mapping'!AA3&lt;=600), ('(橫掃)RX Mapping'!AA3-361),IF(AND('(橫掃)RX Mapping'!AA3&gt;=601,'(橫掃)RX Mapping'!AA3&lt;=720), (-1)*('(橫掃)RX Mapping'!AA3-720)+120,IF(AND('(橫掃)RX Mapping'!AA3&gt;=721,'(橫掃)RX Mapping'!AA3&lt;=840), ('(橫掃)RX Mapping'!AA3-601),IF(AND('(橫掃)RX Mapping'!AA3&gt;=841,'(橫掃)RX Mapping'!AA3&lt;=960), (-1)*('(橫掃)RX Mapping'!AA3-960)+120,9999))))))))</f>
        <v>230</v>
      </c>
      <c r="AB3">
        <f>IF(AND('(橫掃)RX Mapping'!AB3&gt;=1,'(橫掃)RX Mapping'!AB3&lt;=120), ('(橫掃)RX Mapping'!AB3-1),IF(AND('(橫掃)RX Mapping'!AB3&gt;=121,'(橫掃)RX Mapping'!AB3&lt;=240), (-1)*('(橫掃)RX Mapping'!AB3-240),IF(AND('(橫掃)RX Mapping'!AB3&gt;=241,'(橫掃)RX Mapping'!AB3&lt;=360), ('(橫掃)RX Mapping'!AB3-241),IF(AND('(橫掃)RX Mapping'!AB3&gt;=361,'(橫掃)RX Mapping'!AB3&lt;=480), (-1)*('(橫掃)RX Mapping'!AB3-480),IF(AND('(橫掃)RX Mapping'!AB3&gt;=481,'(橫掃)RX Mapping'!AB3&lt;=600), ('(橫掃)RX Mapping'!AB3-361),IF(AND('(橫掃)RX Mapping'!AB3&gt;=601,'(橫掃)RX Mapping'!AB3&lt;=720), (-1)*('(橫掃)RX Mapping'!AB3-720)+120,IF(AND('(橫掃)RX Mapping'!AB3&gt;=721,'(橫掃)RX Mapping'!AB3&lt;=840), ('(橫掃)RX Mapping'!AB3-601),IF(AND('(橫掃)RX Mapping'!AB3&gt;=841,'(橫掃)RX Mapping'!AB3&lt;=960), (-1)*('(橫掃)RX Mapping'!AB3-960)+120,9999))))))))</f>
        <v>198</v>
      </c>
      <c r="AC3">
        <f>IF(AND('(橫掃)RX Mapping'!AC3&gt;=1,'(橫掃)RX Mapping'!AC3&lt;=120), ('(橫掃)RX Mapping'!AC3-1),IF(AND('(橫掃)RX Mapping'!AC3&gt;=121,'(橫掃)RX Mapping'!AC3&lt;=240), (-1)*('(橫掃)RX Mapping'!AC3-240),IF(AND('(橫掃)RX Mapping'!AC3&gt;=241,'(橫掃)RX Mapping'!AC3&lt;=360), ('(橫掃)RX Mapping'!AC3-241),IF(AND('(橫掃)RX Mapping'!AC3&gt;=361,'(橫掃)RX Mapping'!AC3&lt;=480), (-1)*('(橫掃)RX Mapping'!AC3-480),IF(AND('(橫掃)RX Mapping'!AC3&gt;=481,'(橫掃)RX Mapping'!AC3&lt;=600), ('(橫掃)RX Mapping'!AC3-361),IF(AND('(橫掃)RX Mapping'!AC3&gt;=601,'(橫掃)RX Mapping'!AC3&lt;=720), (-1)*('(橫掃)RX Mapping'!AC3-720)+120,IF(AND('(橫掃)RX Mapping'!AC3&gt;=721,'(橫掃)RX Mapping'!AC3&lt;=840), ('(橫掃)RX Mapping'!AC3-601),IF(AND('(橫掃)RX Mapping'!AC3&gt;=841,'(橫掃)RX Mapping'!AC3&lt;=960), (-1)*('(橫掃)RX Mapping'!AC3-960)+120,9999))))))))</f>
        <v>166</v>
      </c>
      <c r="AD3">
        <f>IF(AND('(橫掃)RX Mapping'!AD3&gt;=1,'(橫掃)RX Mapping'!AD3&lt;=120), ('(橫掃)RX Mapping'!AD3-1),IF(AND('(橫掃)RX Mapping'!AD3&gt;=121,'(橫掃)RX Mapping'!AD3&lt;=240), (-1)*('(橫掃)RX Mapping'!AD3-240),IF(AND('(橫掃)RX Mapping'!AD3&gt;=241,'(橫掃)RX Mapping'!AD3&lt;=360), ('(橫掃)RX Mapping'!AD3-241),IF(AND('(橫掃)RX Mapping'!AD3&gt;=361,'(橫掃)RX Mapping'!AD3&lt;=480), (-1)*('(橫掃)RX Mapping'!AD3-480),IF(AND('(橫掃)RX Mapping'!AD3&gt;=481,'(橫掃)RX Mapping'!AD3&lt;=600), ('(橫掃)RX Mapping'!AD3-361),IF(AND('(橫掃)RX Mapping'!AD3&gt;=601,'(橫掃)RX Mapping'!AD3&lt;=720), (-1)*('(橫掃)RX Mapping'!AD3-720)+120,IF(AND('(橫掃)RX Mapping'!AD3&gt;=721,'(橫掃)RX Mapping'!AD3&lt;=840), ('(橫掃)RX Mapping'!AD3-601),IF(AND('(橫掃)RX Mapping'!AD3&gt;=841,'(橫掃)RX Mapping'!AD3&lt;=960), (-1)*('(橫掃)RX Mapping'!AD3-960)+120,9999))))))))</f>
        <v>9999</v>
      </c>
      <c r="AE3">
        <f>IF(AND('(橫掃)RX Mapping'!AE3&gt;=1,'(橫掃)RX Mapping'!AE3&lt;=120), ('(橫掃)RX Mapping'!AE3-1),IF(AND('(橫掃)RX Mapping'!AE3&gt;=121,'(橫掃)RX Mapping'!AE3&lt;=240), (-1)*('(橫掃)RX Mapping'!AE3-240),IF(AND('(橫掃)RX Mapping'!AE3&gt;=241,'(橫掃)RX Mapping'!AE3&lt;=360), ('(橫掃)RX Mapping'!AE3-241),IF(AND('(橫掃)RX Mapping'!AE3&gt;=361,'(橫掃)RX Mapping'!AE3&lt;=480), (-1)*('(橫掃)RX Mapping'!AE3-480),IF(AND('(橫掃)RX Mapping'!AE3&gt;=481,'(橫掃)RX Mapping'!AE3&lt;=600), ('(橫掃)RX Mapping'!AE3-361),IF(AND('(橫掃)RX Mapping'!AE3&gt;=601,'(橫掃)RX Mapping'!AE3&lt;=720), (-1)*('(橫掃)RX Mapping'!AE3-720)+120,IF(AND('(橫掃)RX Mapping'!AE3&gt;=721,'(橫掃)RX Mapping'!AE3&lt;=840), ('(橫掃)RX Mapping'!AE3-601),IF(AND('(橫掃)RX Mapping'!AE3&gt;=841,'(橫掃)RX Mapping'!AE3&lt;=960), (-1)*('(橫掃)RX Mapping'!AE3-960)+120,9999))))))))</f>
        <v>9999</v>
      </c>
      <c r="AF3">
        <f>IF(AND('(橫掃)RX Mapping'!AF3&gt;=1,'(橫掃)RX Mapping'!AF3&lt;=120), ('(橫掃)RX Mapping'!AF3-1),IF(AND('(橫掃)RX Mapping'!AF3&gt;=121,'(橫掃)RX Mapping'!AF3&lt;=240), (-1)*('(橫掃)RX Mapping'!AF3-240),IF(AND('(橫掃)RX Mapping'!AF3&gt;=241,'(橫掃)RX Mapping'!AF3&lt;=360), ('(橫掃)RX Mapping'!AF3-241),IF(AND('(橫掃)RX Mapping'!AF3&gt;=361,'(橫掃)RX Mapping'!AF3&lt;=480), (-1)*('(橫掃)RX Mapping'!AF3-480),IF(AND('(橫掃)RX Mapping'!AF3&gt;=481,'(橫掃)RX Mapping'!AF3&lt;=600), ('(橫掃)RX Mapping'!AF3-361),IF(AND('(橫掃)RX Mapping'!AF3&gt;=601,'(橫掃)RX Mapping'!AF3&lt;=720), (-1)*('(橫掃)RX Mapping'!AF3-720)+120,IF(AND('(橫掃)RX Mapping'!AF3&gt;=721,'(橫掃)RX Mapping'!AF3&lt;=840), ('(橫掃)RX Mapping'!AF3-601),IF(AND('(橫掃)RX Mapping'!AF3&gt;=841,'(橫掃)RX Mapping'!AF3&lt;=960), (-1)*('(橫掃)RX Mapping'!AF3-960)+120,9999))))))))</f>
        <v>9999</v>
      </c>
      <c r="AG3">
        <f>IF(AND('(橫掃)RX Mapping'!AG3&gt;=1,'(橫掃)RX Mapping'!AG3&lt;=120), ('(橫掃)RX Mapping'!AG3-1),IF(AND('(橫掃)RX Mapping'!AG3&gt;=121,'(橫掃)RX Mapping'!AG3&lt;=240), (-1)*('(橫掃)RX Mapping'!AG3-240),IF(AND('(橫掃)RX Mapping'!AG3&gt;=241,'(橫掃)RX Mapping'!AG3&lt;=360), ('(橫掃)RX Mapping'!AG3-241),IF(AND('(橫掃)RX Mapping'!AG3&gt;=361,'(橫掃)RX Mapping'!AG3&lt;=480), (-1)*('(橫掃)RX Mapping'!AG3-480),IF(AND('(橫掃)RX Mapping'!AG3&gt;=481,'(橫掃)RX Mapping'!AG3&lt;=600), ('(橫掃)RX Mapping'!AG3-361),IF(AND('(橫掃)RX Mapping'!AG3&gt;=601,'(橫掃)RX Mapping'!AG3&lt;=720), (-1)*('(橫掃)RX Mapping'!AG3-720)+120,IF(AND('(橫掃)RX Mapping'!AG3&gt;=721,'(橫掃)RX Mapping'!AG3&lt;=840), ('(橫掃)RX Mapping'!AG3-601),IF(AND('(橫掃)RX Mapping'!AG3&gt;=841,'(橫掃)RX Mapping'!AG3&lt;=960), (-1)*('(橫掃)RX Mapping'!AG3-960)+120,9999))))))))</f>
        <v>9999</v>
      </c>
      <c r="AH3">
        <f>IF(AND('(橫掃)RX Mapping'!AH3&gt;=1,'(橫掃)RX Mapping'!AH3&lt;=120), ('(橫掃)RX Mapping'!AH3-1),IF(AND('(橫掃)RX Mapping'!AH3&gt;=121,'(橫掃)RX Mapping'!AH3&lt;=240), (-1)*('(橫掃)RX Mapping'!AH3-240),IF(AND('(橫掃)RX Mapping'!AH3&gt;=241,'(橫掃)RX Mapping'!AH3&lt;=360), ('(橫掃)RX Mapping'!AH3-241),IF(AND('(橫掃)RX Mapping'!AH3&gt;=361,'(橫掃)RX Mapping'!AH3&lt;=480), (-1)*('(橫掃)RX Mapping'!AH3-480),IF(AND('(橫掃)RX Mapping'!AH3&gt;=481,'(橫掃)RX Mapping'!AH3&lt;=600), ('(橫掃)RX Mapping'!AH3-361),IF(AND('(橫掃)RX Mapping'!AH3&gt;=601,'(橫掃)RX Mapping'!AH3&lt;=720), (-1)*('(橫掃)RX Mapping'!AH3-720)+120,IF(AND('(橫掃)RX Mapping'!AH3&gt;=721,'(橫掃)RX Mapping'!AH3&lt;=840), ('(橫掃)RX Mapping'!AH3-601),IF(AND('(橫掃)RX Mapping'!AH3&gt;=841,'(橫掃)RX Mapping'!AH3&lt;=960), (-1)*('(橫掃)RX Mapping'!AH3-960)+120,9999))))))))</f>
        <v>9999</v>
      </c>
      <c r="AI3">
        <f>IF(AND('(橫掃)RX Mapping'!AI3&gt;=1,'(橫掃)RX Mapping'!AI3&lt;=120), ('(橫掃)RX Mapping'!AI3-1),IF(AND('(橫掃)RX Mapping'!AI3&gt;=121,'(橫掃)RX Mapping'!AI3&lt;=240), (-1)*('(橫掃)RX Mapping'!AI3-240),IF(AND('(橫掃)RX Mapping'!AI3&gt;=241,'(橫掃)RX Mapping'!AI3&lt;=360), ('(橫掃)RX Mapping'!AI3-241),IF(AND('(橫掃)RX Mapping'!AI3&gt;=361,'(橫掃)RX Mapping'!AI3&lt;=480), (-1)*('(橫掃)RX Mapping'!AI3-480),IF(AND('(橫掃)RX Mapping'!AI3&gt;=481,'(橫掃)RX Mapping'!AI3&lt;=600), ('(橫掃)RX Mapping'!AI3-361),IF(AND('(橫掃)RX Mapping'!AI3&gt;=601,'(橫掃)RX Mapping'!AI3&lt;=720), (-1)*('(橫掃)RX Mapping'!AI3-720)+120,IF(AND('(橫掃)RX Mapping'!AI3&gt;=721,'(橫掃)RX Mapping'!AI3&lt;=840), ('(橫掃)RX Mapping'!AI3-601),IF(AND('(橫掃)RX Mapping'!AI3&gt;=841,'(橫掃)RX Mapping'!AI3&lt;=960), (-1)*('(橫掃)RX Mapping'!AI3-960)+120,9999))))))))</f>
        <v>9999</v>
      </c>
      <c r="AJ3">
        <f>IF(AND('(橫掃)RX Mapping'!AJ3&gt;=1,'(橫掃)RX Mapping'!AJ3&lt;=120), ('(橫掃)RX Mapping'!AJ3-1),IF(AND('(橫掃)RX Mapping'!AJ3&gt;=121,'(橫掃)RX Mapping'!AJ3&lt;=240), (-1)*('(橫掃)RX Mapping'!AJ3-240),IF(AND('(橫掃)RX Mapping'!AJ3&gt;=241,'(橫掃)RX Mapping'!AJ3&lt;=360), ('(橫掃)RX Mapping'!AJ3-241),IF(AND('(橫掃)RX Mapping'!AJ3&gt;=361,'(橫掃)RX Mapping'!AJ3&lt;=480), (-1)*('(橫掃)RX Mapping'!AJ3-480),IF(AND('(橫掃)RX Mapping'!AJ3&gt;=481,'(橫掃)RX Mapping'!AJ3&lt;=600), ('(橫掃)RX Mapping'!AJ3-361),IF(AND('(橫掃)RX Mapping'!AJ3&gt;=601,'(橫掃)RX Mapping'!AJ3&lt;=720), (-1)*('(橫掃)RX Mapping'!AJ3-720)+120,IF(AND('(橫掃)RX Mapping'!AJ3&gt;=721,'(橫掃)RX Mapping'!AJ3&lt;=840), ('(橫掃)RX Mapping'!AJ3-601),IF(AND('(橫掃)RX Mapping'!AJ3&gt;=841,'(橫掃)RX Mapping'!AJ3&lt;=960), (-1)*('(橫掃)RX Mapping'!AJ3-960)+120,9999))))))))</f>
        <v>9999</v>
      </c>
      <c r="AK3">
        <f>IF(AND('(橫掃)RX Mapping'!AK3&gt;=1,'(橫掃)RX Mapping'!AK3&lt;=120), ('(橫掃)RX Mapping'!AK3-1),IF(AND('(橫掃)RX Mapping'!AK3&gt;=121,'(橫掃)RX Mapping'!AK3&lt;=240), (-1)*('(橫掃)RX Mapping'!AK3-240),IF(AND('(橫掃)RX Mapping'!AK3&gt;=241,'(橫掃)RX Mapping'!AK3&lt;=360), ('(橫掃)RX Mapping'!AK3-241),IF(AND('(橫掃)RX Mapping'!AK3&gt;=361,'(橫掃)RX Mapping'!AK3&lt;=480), (-1)*('(橫掃)RX Mapping'!AK3-480),IF(AND('(橫掃)RX Mapping'!AK3&gt;=481,'(橫掃)RX Mapping'!AK3&lt;=600), ('(橫掃)RX Mapping'!AK3-361),IF(AND('(橫掃)RX Mapping'!AK3&gt;=601,'(橫掃)RX Mapping'!AK3&lt;=720), (-1)*('(橫掃)RX Mapping'!AK3-720)+120,IF(AND('(橫掃)RX Mapping'!AK3&gt;=721,'(橫掃)RX Mapping'!AK3&lt;=840), ('(橫掃)RX Mapping'!AK3-601),IF(AND('(橫掃)RX Mapping'!AK3&gt;=841,'(橫掃)RX Mapping'!AK3&lt;=960), (-1)*('(橫掃)RX Mapping'!AK3-960)+120,9999))))))))</f>
        <v>9999</v>
      </c>
      <c r="AL3">
        <f>IF(AND('(橫掃)RX Mapping'!AL3&gt;=1,'(橫掃)RX Mapping'!AL3&lt;=120), ('(橫掃)RX Mapping'!AL3-1),IF(AND('(橫掃)RX Mapping'!AL3&gt;=121,'(橫掃)RX Mapping'!AL3&lt;=240), (-1)*('(橫掃)RX Mapping'!AL3-240),IF(AND('(橫掃)RX Mapping'!AL3&gt;=241,'(橫掃)RX Mapping'!AL3&lt;=360), ('(橫掃)RX Mapping'!AL3-241),IF(AND('(橫掃)RX Mapping'!AL3&gt;=361,'(橫掃)RX Mapping'!AL3&lt;=480), (-1)*('(橫掃)RX Mapping'!AL3-480),IF(AND('(橫掃)RX Mapping'!AL3&gt;=481,'(橫掃)RX Mapping'!AL3&lt;=600), ('(橫掃)RX Mapping'!AL3-361),IF(AND('(橫掃)RX Mapping'!AL3&gt;=601,'(橫掃)RX Mapping'!AL3&lt;=720), (-1)*('(橫掃)RX Mapping'!AL3-720)+120,IF(AND('(橫掃)RX Mapping'!AL3&gt;=721,'(橫掃)RX Mapping'!AL3&lt;=840), ('(橫掃)RX Mapping'!AL3-601),IF(AND('(橫掃)RX Mapping'!AL3&gt;=841,'(橫掃)RX Mapping'!AL3&lt;=960), (-1)*('(橫掃)RX Mapping'!AL3-960)+120,9999))))))))</f>
        <v>9999</v>
      </c>
      <c r="AM3">
        <f>IF(AND('(橫掃)RX Mapping'!AM3&gt;=1,'(橫掃)RX Mapping'!AM3&lt;=120), ('(橫掃)RX Mapping'!AM3-1),IF(AND('(橫掃)RX Mapping'!AM3&gt;=121,'(橫掃)RX Mapping'!AM3&lt;=240), (-1)*('(橫掃)RX Mapping'!AM3-240),IF(AND('(橫掃)RX Mapping'!AM3&gt;=241,'(橫掃)RX Mapping'!AM3&lt;=360), ('(橫掃)RX Mapping'!AM3-241),IF(AND('(橫掃)RX Mapping'!AM3&gt;=361,'(橫掃)RX Mapping'!AM3&lt;=480), (-1)*('(橫掃)RX Mapping'!AM3-480),IF(AND('(橫掃)RX Mapping'!AM3&gt;=481,'(橫掃)RX Mapping'!AM3&lt;=600), ('(橫掃)RX Mapping'!AM3-361),IF(AND('(橫掃)RX Mapping'!AM3&gt;=601,'(橫掃)RX Mapping'!AM3&lt;=720), (-1)*('(橫掃)RX Mapping'!AM3-720)+120,IF(AND('(橫掃)RX Mapping'!AM3&gt;=721,'(橫掃)RX Mapping'!AM3&lt;=840), ('(橫掃)RX Mapping'!AM3-601),IF(AND('(橫掃)RX Mapping'!AM3&gt;=841,'(橫掃)RX Mapping'!AM3&lt;=960), (-1)*('(橫掃)RX Mapping'!AM3-960)+120,9999))))))))</f>
        <v>9999</v>
      </c>
      <c r="AN3">
        <f>IF(AND('(橫掃)RX Mapping'!AN3&gt;=1,'(橫掃)RX Mapping'!AN3&lt;=120), ('(橫掃)RX Mapping'!AN3-1),IF(AND('(橫掃)RX Mapping'!AN3&gt;=121,'(橫掃)RX Mapping'!AN3&lt;=240), (-1)*('(橫掃)RX Mapping'!AN3-240),IF(AND('(橫掃)RX Mapping'!AN3&gt;=241,'(橫掃)RX Mapping'!AN3&lt;=360), ('(橫掃)RX Mapping'!AN3-241),IF(AND('(橫掃)RX Mapping'!AN3&gt;=361,'(橫掃)RX Mapping'!AN3&lt;=480), (-1)*('(橫掃)RX Mapping'!AN3-480),IF(AND('(橫掃)RX Mapping'!AN3&gt;=481,'(橫掃)RX Mapping'!AN3&lt;=600), ('(橫掃)RX Mapping'!AN3-361),IF(AND('(橫掃)RX Mapping'!AN3&gt;=601,'(橫掃)RX Mapping'!AN3&lt;=720), (-1)*('(橫掃)RX Mapping'!AN3-720)+120,IF(AND('(橫掃)RX Mapping'!AN3&gt;=721,'(橫掃)RX Mapping'!AN3&lt;=840), ('(橫掃)RX Mapping'!AN3-601),IF(AND('(橫掃)RX Mapping'!AN3&gt;=841,'(橫掃)RX Mapping'!AN3&lt;=960), (-1)*('(橫掃)RX Mapping'!AN3-960)+120,9999))))))))</f>
        <v>9999</v>
      </c>
      <c r="AO3">
        <f>IF(AND('(橫掃)RX Mapping'!AO3&gt;=1,'(橫掃)RX Mapping'!AO3&lt;=120), ('(橫掃)RX Mapping'!AO3-1),IF(AND('(橫掃)RX Mapping'!AO3&gt;=121,'(橫掃)RX Mapping'!AO3&lt;=240), (-1)*('(橫掃)RX Mapping'!AO3-240),IF(AND('(橫掃)RX Mapping'!AO3&gt;=241,'(橫掃)RX Mapping'!AO3&lt;=360), ('(橫掃)RX Mapping'!AO3-241),IF(AND('(橫掃)RX Mapping'!AO3&gt;=361,'(橫掃)RX Mapping'!AO3&lt;=480), (-1)*('(橫掃)RX Mapping'!AO3-480),IF(AND('(橫掃)RX Mapping'!AO3&gt;=481,'(橫掃)RX Mapping'!AO3&lt;=600), ('(橫掃)RX Mapping'!AO3-361),IF(AND('(橫掃)RX Mapping'!AO3&gt;=601,'(橫掃)RX Mapping'!AO3&lt;=720), (-1)*('(橫掃)RX Mapping'!AO3-720)+120,IF(AND('(橫掃)RX Mapping'!AO3&gt;=721,'(橫掃)RX Mapping'!AO3&lt;=840), ('(橫掃)RX Mapping'!AO3-601),IF(AND('(橫掃)RX Mapping'!AO3&gt;=841,'(橫掃)RX Mapping'!AO3&lt;=960), (-1)*('(橫掃)RX Mapping'!AO3-960)+120,9999))))))))</f>
        <v>9999</v>
      </c>
      <c r="AP3">
        <f>IF(AND('(橫掃)RX Mapping'!AP3&gt;=1,'(橫掃)RX Mapping'!AP3&lt;=120), ('(橫掃)RX Mapping'!AP3-1),IF(AND('(橫掃)RX Mapping'!AP3&gt;=121,'(橫掃)RX Mapping'!AP3&lt;=240), (-1)*('(橫掃)RX Mapping'!AP3-240),IF(AND('(橫掃)RX Mapping'!AP3&gt;=241,'(橫掃)RX Mapping'!AP3&lt;=360), ('(橫掃)RX Mapping'!AP3-241),IF(AND('(橫掃)RX Mapping'!AP3&gt;=361,'(橫掃)RX Mapping'!AP3&lt;=480), (-1)*('(橫掃)RX Mapping'!AP3-480),IF(AND('(橫掃)RX Mapping'!AP3&gt;=481,'(橫掃)RX Mapping'!AP3&lt;=600), ('(橫掃)RX Mapping'!AP3-361),IF(AND('(橫掃)RX Mapping'!AP3&gt;=601,'(橫掃)RX Mapping'!AP3&lt;=720), (-1)*('(橫掃)RX Mapping'!AP3-720)+120,IF(AND('(橫掃)RX Mapping'!AP3&gt;=721,'(橫掃)RX Mapping'!AP3&lt;=840), ('(橫掃)RX Mapping'!AP3-601),IF(AND('(橫掃)RX Mapping'!AP3&gt;=841,'(橫掃)RX Mapping'!AP3&lt;=960), (-1)*('(橫掃)RX Mapping'!AP3-960)+120,9999))))))))</f>
        <v>9999</v>
      </c>
      <c r="AQ3">
        <f>IF(AND('(橫掃)RX Mapping'!AQ3&gt;=1,'(橫掃)RX Mapping'!AQ3&lt;=120), ('(橫掃)RX Mapping'!AQ3-1),IF(AND('(橫掃)RX Mapping'!AQ3&gt;=121,'(橫掃)RX Mapping'!AQ3&lt;=240), (-1)*('(橫掃)RX Mapping'!AQ3-240),IF(AND('(橫掃)RX Mapping'!AQ3&gt;=241,'(橫掃)RX Mapping'!AQ3&lt;=360), ('(橫掃)RX Mapping'!AQ3-241),IF(AND('(橫掃)RX Mapping'!AQ3&gt;=361,'(橫掃)RX Mapping'!AQ3&lt;=480), (-1)*('(橫掃)RX Mapping'!AQ3-480),IF(AND('(橫掃)RX Mapping'!AQ3&gt;=481,'(橫掃)RX Mapping'!AQ3&lt;=600), ('(橫掃)RX Mapping'!AQ3-361),IF(AND('(橫掃)RX Mapping'!AQ3&gt;=601,'(橫掃)RX Mapping'!AQ3&lt;=720), (-1)*('(橫掃)RX Mapping'!AQ3-720)+120,IF(AND('(橫掃)RX Mapping'!AQ3&gt;=721,'(橫掃)RX Mapping'!AQ3&lt;=840), ('(橫掃)RX Mapping'!AQ3-601),IF(AND('(橫掃)RX Mapping'!AQ3&gt;=841,'(橫掃)RX Mapping'!AQ3&lt;=960), (-1)*('(橫掃)RX Mapping'!AQ3-960)+120,9999))))))))</f>
        <v>9999</v>
      </c>
      <c r="AR3">
        <f>IF(AND('(橫掃)RX Mapping'!AR3&gt;=1,'(橫掃)RX Mapping'!AR3&lt;=120), ('(橫掃)RX Mapping'!AR3-1),IF(AND('(橫掃)RX Mapping'!AR3&gt;=121,'(橫掃)RX Mapping'!AR3&lt;=240), (-1)*('(橫掃)RX Mapping'!AR3-240),IF(AND('(橫掃)RX Mapping'!AR3&gt;=241,'(橫掃)RX Mapping'!AR3&lt;=360), ('(橫掃)RX Mapping'!AR3-241),IF(AND('(橫掃)RX Mapping'!AR3&gt;=361,'(橫掃)RX Mapping'!AR3&lt;=480), (-1)*('(橫掃)RX Mapping'!AR3-480),IF(AND('(橫掃)RX Mapping'!AR3&gt;=481,'(橫掃)RX Mapping'!AR3&lt;=600), ('(橫掃)RX Mapping'!AR3-361),IF(AND('(橫掃)RX Mapping'!AR3&gt;=601,'(橫掃)RX Mapping'!AR3&lt;=720), (-1)*('(橫掃)RX Mapping'!AR3-720)+120,IF(AND('(橫掃)RX Mapping'!AR3&gt;=721,'(橫掃)RX Mapping'!AR3&lt;=840), ('(橫掃)RX Mapping'!AR3-601),IF(AND('(橫掃)RX Mapping'!AR3&gt;=841,'(橫掃)RX Mapping'!AR3&lt;=960), (-1)*('(橫掃)RX Mapping'!AR3-960)+120,9999))))))))</f>
        <v>9999</v>
      </c>
      <c r="AS3">
        <f>IF(AND('(橫掃)RX Mapping'!AS3&gt;=1,'(橫掃)RX Mapping'!AS3&lt;=120), ('(橫掃)RX Mapping'!AS3-1),IF(AND('(橫掃)RX Mapping'!AS3&gt;=121,'(橫掃)RX Mapping'!AS3&lt;=240), (-1)*('(橫掃)RX Mapping'!AS3-240),IF(AND('(橫掃)RX Mapping'!AS3&gt;=241,'(橫掃)RX Mapping'!AS3&lt;=360), ('(橫掃)RX Mapping'!AS3-241),IF(AND('(橫掃)RX Mapping'!AS3&gt;=361,'(橫掃)RX Mapping'!AS3&lt;=480), (-1)*('(橫掃)RX Mapping'!AS3-480),IF(AND('(橫掃)RX Mapping'!AS3&gt;=481,'(橫掃)RX Mapping'!AS3&lt;=600), ('(橫掃)RX Mapping'!AS3-361),IF(AND('(橫掃)RX Mapping'!AS3&gt;=601,'(橫掃)RX Mapping'!AS3&lt;=720), (-1)*('(橫掃)RX Mapping'!AS3-720)+120,IF(AND('(橫掃)RX Mapping'!AS3&gt;=721,'(橫掃)RX Mapping'!AS3&lt;=840), ('(橫掃)RX Mapping'!AS3-601),IF(AND('(橫掃)RX Mapping'!AS3&gt;=841,'(橫掃)RX Mapping'!AS3&lt;=960), (-1)*('(橫掃)RX Mapping'!AS3-960)+120,9999))))))))</f>
        <v>9999</v>
      </c>
      <c r="AT3">
        <f>IF(AND('(橫掃)RX Mapping'!AT3&gt;=1,'(橫掃)RX Mapping'!AT3&lt;=120), ('(橫掃)RX Mapping'!AT3-1),IF(AND('(橫掃)RX Mapping'!AT3&gt;=121,'(橫掃)RX Mapping'!AT3&lt;=240), (-1)*('(橫掃)RX Mapping'!AT3-240),IF(AND('(橫掃)RX Mapping'!AT3&gt;=241,'(橫掃)RX Mapping'!AT3&lt;=360), ('(橫掃)RX Mapping'!AT3-241),IF(AND('(橫掃)RX Mapping'!AT3&gt;=361,'(橫掃)RX Mapping'!AT3&lt;=480), (-1)*('(橫掃)RX Mapping'!AT3-480),IF(AND('(橫掃)RX Mapping'!AT3&gt;=481,'(橫掃)RX Mapping'!AT3&lt;=600), ('(橫掃)RX Mapping'!AT3-361),IF(AND('(橫掃)RX Mapping'!AT3&gt;=601,'(橫掃)RX Mapping'!AT3&lt;=720), (-1)*('(橫掃)RX Mapping'!AT3-720)+120,IF(AND('(橫掃)RX Mapping'!AT3&gt;=721,'(橫掃)RX Mapping'!AT3&lt;=840), ('(橫掃)RX Mapping'!AT3-601),IF(AND('(橫掃)RX Mapping'!AT3&gt;=841,'(橫掃)RX Mapping'!AT3&lt;=960), (-1)*('(橫掃)RX Mapping'!AT3-960)+120,9999))))))))</f>
        <v>9999</v>
      </c>
      <c r="AU3">
        <f>IF(AND('(橫掃)RX Mapping'!AU3&gt;=1,'(橫掃)RX Mapping'!AU3&lt;=120), ('(橫掃)RX Mapping'!AU3-1),IF(AND('(橫掃)RX Mapping'!AU3&gt;=121,'(橫掃)RX Mapping'!AU3&lt;=240), (-1)*('(橫掃)RX Mapping'!AU3-240),IF(AND('(橫掃)RX Mapping'!AU3&gt;=241,'(橫掃)RX Mapping'!AU3&lt;=360), ('(橫掃)RX Mapping'!AU3-241),IF(AND('(橫掃)RX Mapping'!AU3&gt;=361,'(橫掃)RX Mapping'!AU3&lt;=480), (-1)*('(橫掃)RX Mapping'!AU3-480),IF(AND('(橫掃)RX Mapping'!AU3&gt;=481,'(橫掃)RX Mapping'!AU3&lt;=600), ('(橫掃)RX Mapping'!AU3-361),IF(AND('(橫掃)RX Mapping'!AU3&gt;=601,'(橫掃)RX Mapping'!AU3&lt;=720), (-1)*('(橫掃)RX Mapping'!AU3-720)+120,IF(AND('(橫掃)RX Mapping'!AU3&gt;=721,'(橫掃)RX Mapping'!AU3&lt;=840), ('(橫掃)RX Mapping'!AU3-601),IF(AND('(橫掃)RX Mapping'!AU3&gt;=841,'(橫掃)RX Mapping'!AU3&lt;=960), (-1)*('(橫掃)RX Mapping'!AU3-960)+120,9999))))))))</f>
        <v>9999</v>
      </c>
      <c r="AV3">
        <f>IF(AND('(橫掃)RX Mapping'!AV3&gt;=1,'(橫掃)RX Mapping'!AV3&lt;=120), ('(橫掃)RX Mapping'!AV3-1),IF(AND('(橫掃)RX Mapping'!AV3&gt;=121,'(橫掃)RX Mapping'!AV3&lt;=240), (-1)*('(橫掃)RX Mapping'!AV3-240),IF(AND('(橫掃)RX Mapping'!AV3&gt;=241,'(橫掃)RX Mapping'!AV3&lt;=360), ('(橫掃)RX Mapping'!AV3-241),IF(AND('(橫掃)RX Mapping'!AV3&gt;=361,'(橫掃)RX Mapping'!AV3&lt;=480), (-1)*('(橫掃)RX Mapping'!AV3-480),IF(AND('(橫掃)RX Mapping'!AV3&gt;=481,'(橫掃)RX Mapping'!AV3&lt;=600), ('(橫掃)RX Mapping'!AV3-361),IF(AND('(橫掃)RX Mapping'!AV3&gt;=601,'(橫掃)RX Mapping'!AV3&lt;=720), (-1)*('(橫掃)RX Mapping'!AV3-720)+120,IF(AND('(橫掃)RX Mapping'!AV3&gt;=721,'(橫掃)RX Mapping'!AV3&lt;=840), ('(橫掃)RX Mapping'!AV3-601),IF(AND('(橫掃)RX Mapping'!AV3&gt;=841,'(橫掃)RX Mapping'!AV3&lt;=960), (-1)*('(橫掃)RX Mapping'!AV3-960)+120,9999))))))))</f>
        <v>9999</v>
      </c>
      <c r="AW3">
        <f>IF(AND('(橫掃)RX Mapping'!AW3&gt;=1,'(橫掃)RX Mapping'!AW3&lt;=120), ('(橫掃)RX Mapping'!AW3-1),IF(AND('(橫掃)RX Mapping'!AW3&gt;=121,'(橫掃)RX Mapping'!AW3&lt;=240), (-1)*('(橫掃)RX Mapping'!AW3-240),IF(AND('(橫掃)RX Mapping'!AW3&gt;=241,'(橫掃)RX Mapping'!AW3&lt;=360), ('(橫掃)RX Mapping'!AW3-241),IF(AND('(橫掃)RX Mapping'!AW3&gt;=361,'(橫掃)RX Mapping'!AW3&lt;=480), (-1)*('(橫掃)RX Mapping'!AW3-480),IF(AND('(橫掃)RX Mapping'!AW3&gt;=481,'(橫掃)RX Mapping'!AW3&lt;=600), ('(橫掃)RX Mapping'!AW3-361),IF(AND('(橫掃)RX Mapping'!AW3&gt;=601,'(橫掃)RX Mapping'!AW3&lt;=720), (-1)*('(橫掃)RX Mapping'!AW3-720)+120,IF(AND('(橫掃)RX Mapping'!AW3&gt;=721,'(橫掃)RX Mapping'!AW3&lt;=840), ('(橫掃)RX Mapping'!AW3-601),IF(AND('(橫掃)RX Mapping'!AW3&gt;=841,'(橫掃)RX Mapping'!AW3&lt;=960), (-1)*('(橫掃)RX Mapping'!AW3-960)+120,9999))))))))</f>
        <v>9999</v>
      </c>
      <c r="AX3">
        <f>IF(AND('(橫掃)RX Mapping'!AX3&gt;=1,'(橫掃)RX Mapping'!AX3&lt;=120), ('(橫掃)RX Mapping'!AX3-1),IF(AND('(橫掃)RX Mapping'!AX3&gt;=121,'(橫掃)RX Mapping'!AX3&lt;=240), (-1)*('(橫掃)RX Mapping'!AX3-240),IF(AND('(橫掃)RX Mapping'!AX3&gt;=241,'(橫掃)RX Mapping'!AX3&lt;=360), ('(橫掃)RX Mapping'!AX3-241),IF(AND('(橫掃)RX Mapping'!AX3&gt;=361,'(橫掃)RX Mapping'!AX3&lt;=480), (-1)*('(橫掃)RX Mapping'!AX3-480),IF(AND('(橫掃)RX Mapping'!AX3&gt;=481,'(橫掃)RX Mapping'!AX3&lt;=600), ('(橫掃)RX Mapping'!AX3-361),IF(AND('(橫掃)RX Mapping'!AX3&gt;=601,'(橫掃)RX Mapping'!AX3&lt;=720), (-1)*('(橫掃)RX Mapping'!AX3-720)+120,IF(AND('(橫掃)RX Mapping'!AX3&gt;=721,'(橫掃)RX Mapping'!AX3&lt;=840), ('(橫掃)RX Mapping'!AX3-601),IF(AND('(橫掃)RX Mapping'!AX3&gt;=841,'(橫掃)RX Mapping'!AX3&lt;=960), (-1)*('(橫掃)RX Mapping'!AX3-960)+120,9999))))))))</f>
        <v>9999</v>
      </c>
      <c r="AY3">
        <f>IF(AND('(橫掃)RX Mapping'!AY3&gt;=1,'(橫掃)RX Mapping'!AY3&lt;=120), ('(橫掃)RX Mapping'!AY3-1),IF(AND('(橫掃)RX Mapping'!AY3&gt;=121,'(橫掃)RX Mapping'!AY3&lt;=240), (-1)*('(橫掃)RX Mapping'!AY3-240),IF(AND('(橫掃)RX Mapping'!AY3&gt;=241,'(橫掃)RX Mapping'!AY3&lt;=360), ('(橫掃)RX Mapping'!AY3-241),IF(AND('(橫掃)RX Mapping'!AY3&gt;=361,'(橫掃)RX Mapping'!AY3&lt;=480), (-1)*('(橫掃)RX Mapping'!AY3-480),IF(AND('(橫掃)RX Mapping'!AY3&gt;=481,'(橫掃)RX Mapping'!AY3&lt;=600), ('(橫掃)RX Mapping'!AY3-361),IF(AND('(橫掃)RX Mapping'!AY3&gt;=601,'(橫掃)RX Mapping'!AY3&lt;=720), (-1)*('(橫掃)RX Mapping'!AY3-720)+120,IF(AND('(橫掃)RX Mapping'!AY3&gt;=721,'(橫掃)RX Mapping'!AY3&lt;=840), ('(橫掃)RX Mapping'!AY3-601),IF(AND('(橫掃)RX Mapping'!AY3&gt;=841,'(橫掃)RX Mapping'!AY3&lt;=960), (-1)*('(橫掃)RX Mapping'!AY3-960)+120,9999))))))))</f>
        <v>9999</v>
      </c>
      <c r="AZ3">
        <f>IF(AND('(橫掃)RX Mapping'!AZ3&gt;=1,'(橫掃)RX Mapping'!AZ3&lt;=120), ('(橫掃)RX Mapping'!AZ3-1),IF(AND('(橫掃)RX Mapping'!AZ3&gt;=121,'(橫掃)RX Mapping'!AZ3&lt;=240), (-1)*('(橫掃)RX Mapping'!AZ3-240),IF(AND('(橫掃)RX Mapping'!AZ3&gt;=241,'(橫掃)RX Mapping'!AZ3&lt;=360), ('(橫掃)RX Mapping'!AZ3-241),IF(AND('(橫掃)RX Mapping'!AZ3&gt;=361,'(橫掃)RX Mapping'!AZ3&lt;=480), (-1)*('(橫掃)RX Mapping'!AZ3-480),IF(AND('(橫掃)RX Mapping'!AZ3&gt;=481,'(橫掃)RX Mapping'!AZ3&lt;=600), ('(橫掃)RX Mapping'!AZ3-361),IF(AND('(橫掃)RX Mapping'!AZ3&gt;=601,'(橫掃)RX Mapping'!AZ3&lt;=720), (-1)*('(橫掃)RX Mapping'!AZ3-720)+120,IF(AND('(橫掃)RX Mapping'!AZ3&gt;=721,'(橫掃)RX Mapping'!AZ3&lt;=840), ('(橫掃)RX Mapping'!AZ3-601),IF(AND('(橫掃)RX Mapping'!AZ3&gt;=841,'(橫掃)RX Mapping'!AZ3&lt;=960), (-1)*('(橫掃)RX Mapping'!AZ3-960)+120,9999))))))))</f>
        <v>9999</v>
      </c>
      <c r="BA3">
        <f>IF(AND('(橫掃)RX Mapping'!BA3&gt;=1,'(橫掃)RX Mapping'!BA3&lt;=120), ('(橫掃)RX Mapping'!BA3-1),IF(AND('(橫掃)RX Mapping'!BA3&gt;=121,'(橫掃)RX Mapping'!BA3&lt;=240), (-1)*('(橫掃)RX Mapping'!BA3-240),IF(AND('(橫掃)RX Mapping'!BA3&gt;=241,'(橫掃)RX Mapping'!BA3&lt;=360), ('(橫掃)RX Mapping'!BA3-241),IF(AND('(橫掃)RX Mapping'!BA3&gt;=361,'(橫掃)RX Mapping'!BA3&lt;=480), (-1)*('(橫掃)RX Mapping'!BA3-480),IF(AND('(橫掃)RX Mapping'!BA3&gt;=481,'(橫掃)RX Mapping'!BA3&lt;=600), ('(橫掃)RX Mapping'!BA3-361),IF(AND('(橫掃)RX Mapping'!BA3&gt;=601,'(橫掃)RX Mapping'!BA3&lt;=720), (-1)*('(橫掃)RX Mapping'!BA3-720)+120,IF(AND('(橫掃)RX Mapping'!BA3&gt;=721,'(橫掃)RX Mapping'!BA3&lt;=840), ('(橫掃)RX Mapping'!BA3-601),IF(AND('(橫掃)RX Mapping'!BA3&gt;=841,'(橫掃)RX Mapping'!BA3&lt;=960), (-1)*('(橫掃)RX Mapping'!BA3-960)+120,9999))))))))</f>
        <v>9999</v>
      </c>
      <c r="BB3">
        <f>IF(AND('(橫掃)RX Mapping'!BB3&gt;=1,'(橫掃)RX Mapping'!BB3&lt;=120), ('(橫掃)RX Mapping'!BB3-1),IF(AND('(橫掃)RX Mapping'!BB3&gt;=121,'(橫掃)RX Mapping'!BB3&lt;=240), (-1)*('(橫掃)RX Mapping'!BB3-240),IF(AND('(橫掃)RX Mapping'!BB3&gt;=241,'(橫掃)RX Mapping'!BB3&lt;=360), ('(橫掃)RX Mapping'!BB3-241),IF(AND('(橫掃)RX Mapping'!BB3&gt;=361,'(橫掃)RX Mapping'!BB3&lt;=480), (-1)*('(橫掃)RX Mapping'!BB3-480),IF(AND('(橫掃)RX Mapping'!BB3&gt;=481,'(橫掃)RX Mapping'!BB3&lt;=600), ('(橫掃)RX Mapping'!BB3-361),IF(AND('(橫掃)RX Mapping'!BB3&gt;=601,'(橫掃)RX Mapping'!BB3&lt;=720), (-1)*('(橫掃)RX Mapping'!BB3-720)+120,IF(AND('(橫掃)RX Mapping'!BB3&gt;=721,'(橫掃)RX Mapping'!BB3&lt;=840), ('(橫掃)RX Mapping'!BB3-601),IF(AND('(橫掃)RX Mapping'!BB3&gt;=841,'(橫掃)RX Mapping'!BB3&lt;=960), (-1)*('(橫掃)RX Mapping'!BB3-960)+120,9999))))))))</f>
        <v>9999</v>
      </c>
      <c r="BC3">
        <f>IF(AND('(橫掃)RX Mapping'!BC3&gt;=1,'(橫掃)RX Mapping'!BC3&lt;=120), ('(橫掃)RX Mapping'!BC3-1),IF(AND('(橫掃)RX Mapping'!BC3&gt;=121,'(橫掃)RX Mapping'!BC3&lt;=240), (-1)*('(橫掃)RX Mapping'!BC3-240),IF(AND('(橫掃)RX Mapping'!BC3&gt;=241,'(橫掃)RX Mapping'!BC3&lt;=360), ('(橫掃)RX Mapping'!BC3-241),IF(AND('(橫掃)RX Mapping'!BC3&gt;=361,'(橫掃)RX Mapping'!BC3&lt;=480), (-1)*('(橫掃)RX Mapping'!BC3-480),IF(AND('(橫掃)RX Mapping'!BC3&gt;=481,'(橫掃)RX Mapping'!BC3&lt;=600), ('(橫掃)RX Mapping'!BC3-361),IF(AND('(橫掃)RX Mapping'!BC3&gt;=601,'(橫掃)RX Mapping'!BC3&lt;=720), (-1)*('(橫掃)RX Mapping'!BC3-720)+120,IF(AND('(橫掃)RX Mapping'!BC3&gt;=721,'(橫掃)RX Mapping'!BC3&lt;=840), ('(橫掃)RX Mapping'!BC3-601),IF(AND('(橫掃)RX Mapping'!BC3&gt;=841,'(橫掃)RX Mapping'!BC3&lt;=960), (-1)*('(橫掃)RX Mapping'!BC3-960)+120,9999))))))))</f>
        <v>9999</v>
      </c>
      <c r="BD3">
        <f>IF(AND('(橫掃)RX Mapping'!BD3&gt;=1,'(橫掃)RX Mapping'!BD3&lt;=120), ('(橫掃)RX Mapping'!BD3-1),IF(AND('(橫掃)RX Mapping'!BD3&gt;=121,'(橫掃)RX Mapping'!BD3&lt;=240), (-1)*('(橫掃)RX Mapping'!BD3-240),IF(AND('(橫掃)RX Mapping'!BD3&gt;=241,'(橫掃)RX Mapping'!BD3&lt;=360), ('(橫掃)RX Mapping'!BD3-241),IF(AND('(橫掃)RX Mapping'!BD3&gt;=361,'(橫掃)RX Mapping'!BD3&lt;=480), (-1)*('(橫掃)RX Mapping'!BD3-480),IF(AND('(橫掃)RX Mapping'!BD3&gt;=481,'(橫掃)RX Mapping'!BD3&lt;=600), ('(橫掃)RX Mapping'!BD3-361),IF(AND('(橫掃)RX Mapping'!BD3&gt;=601,'(橫掃)RX Mapping'!BD3&lt;=720), (-1)*('(橫掃)RX Mapping'!BD3-720)+120,IF(AND('(橫掃)RX Mapping'!BD3&gt;=721,'(橫掃)RX Mapping'!BD3&lt;=840), ('(橫掃)RX Mapping'!BD3-601),IF(AND('(橫掃)RX Mapping'!BD3&gt;=841,'(橫掃)RX Mapping'!BD3&lt;=960), (-1)*('(橫掃)RX Mapping'!BD3-960)+120,9999))))))))</f>
        <v>9999</v>
      </c>
      <c r="BE3">
        <f>IF(AND('(橫掃)RX Mapping'!BE3&gt;=1,'(橫掃)RX Mapping'!BE3&lt;=120), ('(橫掃)RX Mapping'!BE3-1),IF(AND('(橫掃)RX Mapping'!BE3&gt;=121,'(橫掃)RX Mapping'!BE3&lt;=240), (-1)*('(橫掃)RX Mapping'!BE3-240),IF(AND('(橫掃)RX Mapping'!BE3&gt;=241,'(橫掃)RX Mapping'!BE3&lt;=360), ('(橫掃)RX Mapping'!BE3-241),IF(AND('(橫掃)RX Mapping'!BE3&gt;=361,'(橫掃)RX Mapping'!BE3&lt;=480), (-1)*('(橫掃)RX Mapping'!BE3-480),IF(AND('(橫掃)RX Mapping'!BE3&gt;=481,'(橫掃)RX Mapping'!BE3&lt;=600), ('(橫掃)RX Mapping'!BE3-361),IF(AND('(橫掃)RX Mapping'!BE3&gt;=601,'(橫掃)RX Mapping'!BE3&lt;=720), (-1)*('(橫掃)RX Mapping'!BE3-720)+120,IF(AND('(橫掃)RX Mapping'!BE3&gt;=721,'(橫掃)RX Mapping'!BE3&lt;=840), ('(橫掃)RX Mapping'!BE3-601),IF(AND('(橫掃)RX Mapping'!BE3&gt;=841,'(橫掃)RX Mapping'!BE3&lt;=960), (-1)*('(橫掃)RX Mapping'!BE3-960)+120,9999))))))))</f>
        <v>9999</v>
      </c>
      <c r="BF3">
        <f>IF(AND('(橫掃)RX Mapping'!BF3&gt;=1,'(橫掃)RX Mapping'!BF3&lt;=120), ('(橫掃)RX Mapping'!BF3-1),IF(AND('(橫掃)RX Mapping'!BF3&gt;=121,'(橫掃)RX Mapping'!BF3&lt;=240), (-1)*('(橫掃)RX Mapping'!BF3-240),IF(AND('(橫掃)RX Mapping'!BF3&gt;=241,'(橫掃)RX Mapping'!BF3&lt;=360), ('(橫掃)RX Mapping'!BF3-241),IF(AND('(橫掃)RX Mapping'!BF3&gt;=361,'(橫掃)RX Mapping'!BF3&lt;=480), (-1)*('(橫掃)RX Mapping'!BF3-480),IF(AND('(橫掃)RX Mapping'!BF3&gt;=481,'(橫掃)RX Mapping'!BF3&lt;=600), ('(橫掃)RX Mapping'!BF3-361),IF(AND('(橫掃)RX Mapping'!BF3&gt;=601,'(橫掃)RX Mapping'!BF3&lt;=720), (-1)*('(橫掃)RX Mapping'!BF3-720)+120,IF(AND('(橫掃)RX Mapping'!BF3&gt;=721,'(橫掃)RX Mapping'!BF3&lt;=840), ('(橫掃)RX Mapping'!BF3-601),IF(AND('(橫掃)RX Mapping'!BF3&gt;=841,'(橫掃)RX Mapping'!BF3&lt;=960), (-1)*('(橫掃)RX Mapping'!BF3-960)+120,9999))))))))</f>
        <v>9999</v>
      </c>
      <c r="BG3">
        <f>IF(AND('(橫掃)RX Mapping'!BG3&gt;=1,'(橫掃)RX Mapping'!BG3&lt;=120), ('(橫掃)RX Mapping'!BG3-1),IF(AND('(橫掃)RX Mapping'!BG3&gt;=121,'(橫掃)RX Mapping'!BG3&lt;=240), (-1)*('(橫掃)RX Mapping'!BG3-240),IF(AND('(橫掃)RX Mapping'!BG3&gt;=241,'(橫掃)RX Mapping'!BG3&lt;=360), ('(橫掃)RX Mapping'!BG3-241),IF(AND('(橫掃)RX Mapping'!BG3&gt;=361,'(橫掃)RX Mapping'!BG3&lt;=480), (-1)*('(橫掃)RX Mapping'!BG3-480),IF(AND('(橫掃)RX Mapping'!BG3&gt;=481,'(橫掃)RX Mapping'!BG3&lt;=600), ('(橫掃)RX Mapping'!BG3-361),IF(AND('(橫掃)RX Mapping'!BG3&gt;=601,'(橫掃)RX Mapping'!BG3&lt;=720), (-1)*('(橫掃)RX Mapping'!BG3-720)+120,IF(AND('(橫掃)RX Mapping'!BG3&gt;=721,'(橫掃)RX Mapping'!BG3&lt;=840), ('(橫掃)RX Mapping'!BG3-601),IF(AND('(橫掃)RX Mapping'!BG3&gt;=841,'(橫掃)RX Mapping'!BG3&lt;=960), (-1)*('(橫掃)RX Mapping'!BG3-960)+120,9999))))))))</f>
        <v>9999</v>
      </c>
      <c r="BH3">
        <f>IF(AND('(橫掃)RX Mapping'!BH3&gt;=1,'(橫掃)RX Mapping'!BH3&lt;=120), ('(橫掃)RX Mapping'!BH3-1),IF(AND('(橫掃)RX Mapping'!BH3&gt;=121,'(橫掃)RX Mapping'!BH3&lt;=240), (-1)*('(橫掃)RX Mapping'!BH3-240),IF(AND('(橫掃)RX Mapping'!BH3&gt;=241,'(橫掃)RX Mapping'!BH3&lt;=360), ('(橫掃)RX Mapping'!BH3-241),IF(AND('(橫掃)RX Mapping'!BH3&gt;=361,'(橫掃)RX Mapping'!BH3&lt;=480), (-1)*('(橫掃)RX Mapping'!BH3-480),IF(AND('(橫掃)RX Mapping'!BH3&gt;=481,'(橫掃)RX Mapping'!BH3&lt;=600), ('(橫掃)RX Mapping'!BH3-361),IF(AND('(橫掃)RX Mapping'!BH3&gt;=601,'(橫掃)RX Mapping'!BH3&lt;=720), (-1)*('(橫掃)RX Mapping'!BH3-720)+120,IF(AND('(橫掃)RX Mapping'!BH3&gt;=721,'(橫掃)RX Mapping'!BH3&lt;=840), ('(橫掃)RX Mapping'!BH3-601),IF(AND('(橫掃)RX Mapping'!BH3&gt;=841,'(橫掃)RX Mapping'!BH3&lt;=960), (-1)*('(橫掃)RX Mapping'!BH3-960)+120,9999))))))))</f>
        <v>9999</v>
      </c>
      <c r="BI3">
        <f>IF(AND('(橫掃)RX Mapping'!BI3&gt;=1,'(橫掃)RX Mapping'!BI3&lt;=120), ('(橫掃)RX Mapping'!BI3-1),IF(AND('(橫掃)RX Mapping'!BI3&gt;=121,'(橫掃)RX Mapping'!BI3&lt;=240), (-1)*('(橫掃)RX Mapping'!BI3-240),IF(AND('(橫掃)RX Mapping'!BI3&gt;=241,'(橫掃)RX Mapping'!BI3&lt;=360), ('(橫掃)RX Mapping'!BI3-241),IF(AND('(橫掃)RX Mapping'!BI3&gt;=361,'(橫掃)RX Mapping'!BI3&lt;=480), (-1)*('(橫掃)RX Mapping'!BI3-480),IF(AND('(橫掃)RX Mapping'!BI3&gt;=481,'(橫掃)RX Mapping'!BI3&lt;=600), ('(橫掃)RX Mapping'!BI3-361),IF(AND('(橫掃)RX Mapping'!BI3&gt;=601,'(橫掃)RX Mapping'!BI3&lt;=720), (-1)*('(橫掃)RX Mapping'!BI3-720)+120,IF(AND('(橫掃)RX Mapping'!BI3&gt;=721,'(橫掃)RX Mapping'!BI3&lt;=840), ('(橫掃)RX Mapping'!BI3-601),IF(AND('(橫掃)RX Mapping'!BI3&gt;=841,'(橫掃)RX Mapping'!BI3&lt;=960), (-1)*('(橫掃)RX Mapping'!BI3-960)+120,9999))))))))</f>
        <v>9999</v>
      </c>
    </row>
    <row r="4" spans="1:61" x14ac:dyDescent="0.25">
      <c r="A4" s="20">
        <v>3</v>
      </c>
      <c r="B4">
        <f>IF(AND('(橫掃)RX Mapping'!B4&gt;=1,'(橫掃)RX Mapping'!B4&lt;=120), ('(橫掃)RX Mapping'!B4-1),IF(AND('(橫掃)RX Mapping'!B4&gt;=121,'(橫掃)RX Mapping'!B4&lt;=240), (-1)*('(橫掃)RX Mapping'!B4-240),IF(AND('(橫掃)RX Mapping'!B4&gt;=241,'(橫掃)RX Mapping'!B4&lt;=360), ('(橫掃)RX Mapping'!B4-241),IF(AND('(橫掃)RX Mapping'!B4&gt;=361,'(橫掃)RX Mapping'!B4&lt;=480), (-1)*('(橫掃)RX Mapping'!B4-480),IF(AND('(橫掃)RX Mapping'!B4&gt;=481,'(橫掃)RX Mapping'!B4&lt;=600), ('(橫掃)RX Mapping'!B4-361),IF(AND('(橫掃)RX Mapping'!B4&gt;=601,'(橫掃)RX Mapping'!B4&lt;=720), (-1)*('(橫掃)RX Mapping'!B4-720)+120,IF(AND('(橫掃)RX Mapping'!B4&gt;=721,'(橫掃)RX Mapping'!B4&lt;=840), ('(橫掃)RX Mapping'!B4-601),IF(AND('(橫掃)RX Mapping'!B4&gt;=841,'(橫掃)RX Mapping'!B4&lt;=960), (-1)*('(橫掃)RX Mapping'!B4-960)+120,9999))))))))</f>
        <v>2</v>
      </c>
      <c r="C4">
        <f>IF(AND('(橫掃)RX Mapping'!C4&gt;=1,'(橫掃)RX Mapping'!C4&lt;=120), ('(橫掃)RX Mapping'!C4-1),IF(AND('(橫掃)RX Mapping'!C4&gt;=121,'(橫掃)RX Mapping'!C4&lt;=240), (-1)*('(橫掃)RX Mapping'!C4-240),IF(AND('(橫掃)RX Mapping'!C4&gt;=241,'(橫掃)RX Mapping'!C4&lt;=360), ('(橫掃)RX Mapping'!C4-241),IF(AND('(橫掃)RX Mapping'!C4&gt;=361,'(橫掃)RX Mapping'!C4&lt;=480), (-1)*('(橫掃)RX Mapping'!C4-480),IF(AND('(橫掃)RX Mapping'!C4&gt;=481,'(橫掃)RX Mapping'!C4&lt;=600), ('(橫掃)RX Mapping'!C4-361),IF(AND('(橫掃)RX Mapping'!C4&gt;=601,'(橫掃)RX Mapping'!C4&lt;=720), (-1)*('(橫掃)RX Mapping'!C4-720)+120,IF(AND('(橫掃)RX Mapping'!C4&gt;=721,'(橫掃)RX Mapping'!C4&lt;=840), ('(橫掃)RX Mapping'!C4-601),IF(AND('(橫掃)RX Mapping'!C4&gt;=841,'(橫掃)RX Mapping'!C4&lt;=960), (-1)*('(橫掃)RX Mapping'!C4-960)+120,9999))))))))</f>
        <v>34</v>
      </c>
      <c r="D4">
        <f>IF(AND('(橫掃)RX Mapping'!D4&gt;=1,'(橫掃)RX Mapping'!D4&lt;=120), ('(橫掃)RX Mapping'!D4-1),IF(AND('(橫掃)RX Mapping'!D4&gt;=121,'(橫掃)RX Mapping'!D4&lt;=240), (-1)*('(橫掃)RX Mapping'!D4-240),IF(AND('(橫掃)RX Mapping'!D4&gt;=241,'(橫掃)RX Mapping'!D4&lt;=360), ('(橫掃)RX Mapping'!D4-241),IF(AND('(橫掃)RX Mapping'!D4&gt;=361,'(橫掃)RX Mapping'!D4&lt;=480), (-1)*('(橫掃)RX Mapping'!D4-480),IF(AND('(橫掃)RX Mapping'!D4&gt;=481,'(橫掃)RX Mapping'!D4&lt;=600), ('(橫掃)RX Mapping'!D4-361),IF(AND('(橫掃)RX Mapping'!D4&gt;=601,'(橫掃)RX Mapping'!D4&lt;=720), (-1)*('(橫掃)RX Mapping'!D4-720)+120,IF(AND('(橫掃)RX Mapping'!D4&gt;=721,'(橫掃)RX Mapping'!D4&lt;=840), ('(橫掃)RX Mapping'!D4-601),IF(AND('(橫掃)RX Mapping'!D4&gt;=841,'(橫掃)RX Mapping'!D4&lt;=960), (-1)*('(橫掃)RX Mapping'!D4-960)+120,9999))))))))</f>
        <v>66</v>
      </c>
      <c r="E4">
        <f>IF(AND('(橫掃)RX Mapping'!E4&gt;=1,'(橫掃)RX Mapping'!E4&lt;=120), ('(橫掃)RX Mapping'!E4-1),IF(AND('(橫掃)RX Mapping'!E4&gt;=121,'(橫掃)RX Mapping'!E4&lt;=240), (-1)*('(橫掃)RX Mapping'!E4-240),IF(AND('(橫掃)RX Mapping'!E4&gt;=241,'(橫掃)RX Mapping'!E4&lt;=360), ('(橫掃)RX Mapping'!E4-241),IF(AND('(橫掃)RX Mapping'!E4&gt;=361,'(橫掃)RX Mapping'!E4&lt;=480), (-1)*('(橫掃)RX Mapping'!E4-480),IF(AND('(橫掃)RX Mapping'!E4&gt;=481,'(橫掃)RX Mapping'!E4&lt;=600), ('(橫掃)RX Mapping'!E4-361),IF(AND('(橫掃)RX Mapping'!E4&gt;=601,'(橫掃)RX Mapping'!E4&lt;=720), (-1)*('(橫掃)RX Mapping'!E4-720)+120,IF(AND('(橫掃)RX Mapping'!E4&gt;=721,'(橫掃)RX Mapping'!E4&lt;=840), ('(橫掃)RX Mapping'!E4-601),IF(AND('(橫掃)RX Mapping'!E4&gt;=841,'(橫掃)RX Mapping'!E4&lt;=960), (-1)*('(橫掃)RX Mapping'!E4-960)+120,9999))))))))</f>
        <v>98</v>
      </c>
      <c r="F4">
        <f>IF(AND('(橫掃)RX Mapping'!F4&gt;=1,'(橫掃)RX Mapping'!F4&lt;=120), ('(橫掃)RX Mapping'!F4-1),IF(AND('(橫掃)RX Mapping'!F4&gt;=121,'(橫掃)RX Mapping'!F4&lt;=240), (-1)*('(橫掃)RX Mapping'!F4-240),IF(AND('(橫掃)RX Mapping'!F4&gt;=241,'(橫掃)RX Mapping'!F4&lt;=360), ('(橫掃)RX Mapping'!F4-241),IF(AND('(橫掃)RX Mapping'!F4&gt;=361,'(橫掃)RX Mapping'!F4&lt;=480), (-1)*('(橫掃)RX Mapping'!F4-480),IF(AND('(橫掃)RX Mapping'!F4&gt;=481,'(橫掃)RX Mapping'!F4&lt;=600), ('(橫掃)RX Mapping'!F4-361),IF(AND('(橫掃)RX Mapping'!F4&gt;=601,'(橫掃)RX Mapping'!F4&lt;=720), (-1)*('(橫掃)RX Mapping'!F4-720)+120,IF(AND('(橫掃)RX Mapping'!F4&gt;=721,'(橫掃)RX Mapping'!F4&lt;=840), ('(橫掃)RX Mapping'!F4-601),IF(AND('(橫掃)RX Mapping'!F4&gt;=841,'(橫掃)RX Mapping'!F4&lt;=960), (-1)*('(橫掃)RX Mapping'!F4-960)+120,9999))))))))</f>
        <v>109</v>
      </c>
      <c r="G4">
        <f>IF(AND('(橫掃)RX Mapping'!G4&gt;=1,'(橫掃)RX Mapping'!G4&lt;=120), ('(橫掃)RX Mapping'!G4-1),IF(AND('(橫掃)RX Mapping'!G4&gt;=121,'(橫掃)RX Mapping'!G4&lt;=240), (-1)*('(橫掃)RX Mapping'!G4-240),IF(AND('(橫掃)RX Mapping'!G4&gt;=241,'(橫掃)RX Mapping'!G4&lt;=360), ('(橫掃)RX Mapping'!G4-241),IF(AND('(橫掃)RX Mapping'!G4&gt;=361,'(橫掃)RX Mapping'!G4&lt;=480), (-1)*('(橫掃)RX Mapping'!G4-480),IF(AND('(橫掃)RX Mapping'!G4&gt;=481,'(橫掃)RX Mapping'!G4&lt;=600), ('(橫掃)RX Mapping'!G4-361),IF(AND('(橫掃)RX Mapping'!G4&gt;=601,'(橫掃)RX Mapping'!G4&lt;=720), (-1)*('(橫掃)RX Mapping'!G4-720)+120,IF(AND('(橫掃)RX Mapping'!G4&gt;=721,'(橫掃)RX Mapping'!G4&lt;=840), ('(橫掃)RX Mapping'!G4-601),IF(AND('(橫掃)RX Mapping'!G4&gt;=841,'(橫掃)RX Mapping'!G4&lt;=960), (-1)*('(橫掃)RX Mapping'!G4-960)+120,9999))))))))</f>
        <v>77</v>
      </c>
      <c r="H4">
        <f>IF(AND('(橫掃)RX Mapping'!H4&gt;=1,'(橫掃)RX Mapping'!H4&lt;=120), ('(橫掃)RX Mapping'!H4-1),IF(AND('(橫掃)RX Mapping'!H4&gt;=121,'(橫掃)RX Mapping'!H4&lt;=240), (-1)*('(橫掃)RX Mapping'!H4-240),IF(AND('(橫掃)RX Mapping'!H4&gt;=241,'(橫掃)RX Mapping'!H4&lt;=360), ('(橫掃)RX Mapping'!H4-241),IF(AND('(橫掃)RX Mapping'!H4&gt;=361,'(橫掃)RX Mapping'!H4&lt;=480), (-1)*('(橫掃)RX Mapping'!H4-480),IF(AND('(橫掃)RX Mapping'!H4&gt;=481,'(橫掃)RX Mapping'!H4&lt;=600), ('(橫掃)RX Mapping'!H4-361),IF(AND('(橫掃)RX Mapping'!H4&gt;=601,'(橫掃)RX Mapping'!H4&lt;=720), (-1)*('(橫掃)RX Mapping'!H4-720)+120,IF(AND('(橫掃)RX Mapping'!H4&gt;=721,'(橫掃)RX Mapping'!H4&lt;=840), ('(橫掃)RX Mapping'!H4-601),IF(AND('(橫掃)RX Mapping'!H4&gt;=841,'(橫掃)RX Mapping'!H4&lt;=960), (-1)*('(橫掃)RX Mapping'!H4-960)+120,9999))))))))</f>
        <v>45</v>
      </c>
      <c r="I4">
        <f>IF(AND('(橫掃)RX Mapping'!I4&gt;=1,'(橫掃)RX Mapping'!I4&lt;=120), ('(橫掃)RX Mapping'!I4-1),IF(AND('(橫掃)RX Mapping'!I4&gt;=121,'(橫掃)RX Mapping'!I4&lt;=240), (-1)*('(橫掃)RX Mapping'!I4-240),IF(AND('(橫掃)RX Mapping'!I4&gt;=241,'(橫掃)RX Mapping'!I4&lt;=360), ('(橫掃)RX Mapping'!I4-241),IF(AND('(橫掃)RX Mapping'!I4&gt;=361,'(橫掃)RX Mapping'!I4&lt;=480), (-1)*('(橫掃)RX Mapping'!I4-480),IF(AND('(橫掃)RX Mapping'!I4&gt;=481,'(橫掃)RX Mapping'!I4&lt;=600), ('(橫掃)RX Mapping'!I4-361),IF(AND('(橫掃)RX Mapping'!I4&gt;=601,'(橫掃)RX Mapping'!I4&lt;=720), (-1)*('(橫掃)RX Mapping'!I4-720)+120,IF(AND('(橫掃)RX Mapping'!I4&gt;=721,'(橫掃)RX Mapping'!I4&lt;=840), ('(橫掃)RX Mapping'!I4-601),IF(AND('(橫掃)RX Mapping'!I4&gt;=841,'(橫掃)RX Mapping'!I4&lt;=960), (-1)*('(橫掃)RX Mapping'!I4-960)+120,9999))))))))</f>
        <v>2</v>
      </c>
      <c r="J4">
        <f>IF(AND('(橫掃)RX Mapping'!J4&gt;=1,'(橫掃)RX Mapping'!J4&lt;=120), ('(橫掃)RX Mapping'!J4-1),IF(AND('(橫掃)RX Mapping'!J4&gt;=121,'(橫掃)RX Mapping'!J4&lt;=240), (-1)*('(橫掃)RX Mapping'!J4-240),IF(AND('(橫掃)RX Mapping'!J4&gt;=241,'(橫掃)RX Mapping'!J4&lt;=360), ('(橫掃)RX Mapping'!J4-241),IF(AND('(橫掃)RX Mapping'!J4&gt;=361,'(橫掃)RX Mapping'!J4&lt;=480), (-1)*('(橫掃)RX Mapping'!J4-480),IF(AND('(橫掃)RX Mapping'!J4&gt;=481,'(橫掃)RX Mapping'!J4&lt;=600), ('(橫掃)RX Mapping'!J4-361),IF(AND('(橫掃)RX Mapping'!J4&gt;=601,'(橫掃)RX Mapping'!J4&lt;=720), (-1)*('(橫掃)RX Mapping'!J4-720)+120,IF(AND('(橫掃)RX Mapping'!J4&gt;=721,'(橫掃)RX Mapping'!J4&lt;=840), ('(橫掃)RX Mapping'!J4-601),IF(AND('(橫掃)RX Mapping'!J4&gt;=841,'(橫掃)RX Mapping'!J4&lt;=960), (-1)*('(橫掃)RX Mapping'!J4-960)+120,9999))))))))</f>
        <v>34</v>
      </c>
      <c r="K4">
        <f>IF(AND('(橫掃)RX Mapping'!K4&gt;=1,'(橫掃)RX Mapping'!K4&lt;=120), ('(橫掃)RX Mapping'!K4-1),IF(AND('(橫掃)RX Mapping'!K4&gt;=121,'(橫掃)RX Mapping'!K4&lt;=240), (-1)*('(橫掃)RX Mapping'!K4-240),IF(AND('(橫掃)RX Mapping'!K4&gt;=241,'(橫掃)RX Mapping'!K4&lt;=360), ('(橫掃)RX Mapping'!K4-241),IF(AND('(橫掃)RX Mapping'!K4&gt;=361,'(橫掃)RX Mapping'!K4&lt;=480), (-1)*('(橫掃)RX Mapping'!K4-480),IF(AND('(橫掃)RX Mapping'!K4&gt;=481,'(橫掃)RX Mapping'!K4&lt;=600), ('(橫掃)RX Mapping'!K4-361),IF(AND('(橫掃)RX Mapping'!K4&gt;=601,'(橫掃)RX Mapping'!K4&lt;=720), (-1)*('(橫掃)RX Mapping'!K4-720)+120,IF(AND('(橫掃)RX Mapping'!K4&gt;=721,'(橫掃)RX Mapping'!K4&lt;=840), ('(橫掃)RX Mapping'!K4-601),IF(AND('(橫掃)RX Mapping'!K4&gt;=841,'(橫掃)RX Mapping'!K4&lt;=960), (-1)*('(橫掃)RX Mapping'!K4-960)+120,9999))))))))</f>
        <v>66</v>
      </c>
      <c r="L4">
        <f>IF(AND('(橫掃)RX Mapping'!L4&gt;=1,'(橫掃)RX Mapping'!L4&lt;=120), ('(橫掃)RX Mapping'!L4-1),IF(AND('(橫掃)RX Mapping'!L4&gt;=121,'(橫掃)RX Mapping'!L4&lt;=240), (-1)*('(橫掃)RX Mapping'!L4-240),IF(AND('(橫掃)RX Mapping'!L4&gt;=241,'(橫掃)RX Mapping'!L4&lt;=360), ('(橫掃)RX Mapping'!L4-241),IF(AND('(橫掃)RX Mapping'!L4&gt;=361,'(橫掃)RX Mapping'!L4&lt;=480), (-1)*('(橫掃)RX Mapping'!L4-480),IF(AND('(橫掃)RX Mapping'!L4&gt;=481,'(橫掃)RX Mapping'!L4&lt;=600), ('(橫掃)RX Mapping'!L4-361),IF(AND('(橫掃)RX Mapping'!L4&gt;=601,'(橫掃)RX Mapping'!L4&lt;=720), (-1)*('(橫掃)RX Mapping'!L4-720)+120,IF(AND('(橫掃)RX Mapping'!L4&gt;=721,'(橫掃)RX Mapping'!L4&lt;=840), ('(橫掃)RX Mapping'!L4-601),IF(AND('(橫掃)RX Mapping'!L4&gt;=841,'(橫掃)RX Mapping'!L4&lt;=960), (-1)*('(橫掃)RX Mapping'!L4-960)+120,9999))))))))</f>
        <v>98</v>
      </c>
      <c r="M4">
        <f>IF(AND('(橫掃)RX Mapping'!M4&gt;=1,'(橫掃)RX Mapping'!M4&lt;=120), ('(橫掃)RX Mapping'!M4-1),IF(AND('(橫掃)RX Mapping'!M4&gt;=121,'(橫掃)RX Mapping'!M4&lt;=240), (-1)*('(橫掃)RX Mapping'!M4-240),IF(AND('(橫掃)RX Mapping'!M4&gt;=241,'(橫掃)RX Mapping'!M4&lt;=360), ('(橫掃)RX Mapping'!M4-241),IF(AND('(橫掃)RX Mapping'!M4&gt;=361,'(橫掃)RX Mapping'!M4&lt;=480), (-1)*('(橫掃)RX Mapping'!M4-480),IF(AND('(橫掃)RX Mapping'!M4&gt;=481,'(橫掃)RX Mapping'!M4&lt;=600), ('(橫掃)RX Mapping'!M4-361),IF(AND('(橫掃)RX Mapping'!M4&gt;=601,'(橫掃)RX Mapping'!M4&lt;=720), (-1)*('(橫掃)RX Mapping'!M4-720)+120,IF(AND('(橫掃)RX Mapping'!M4&gt;=721,'(橫掃)RX Mapping'!M4&lt;=840), ('(橫掃)RX Mapping'!M4-601),IF(AND('(橫掃)RX Mapping'!M4&gt;=841,'(橫掃)RX Mapping'!M4&lt;=960), (-1)*('(橫掃)RX Mapping'!M4-960)+120,9999))))))))</f>
        <v>109</v>
      </c>
      <c r="N4">
        <f>IF(AND('(橫掃)RX Mapping'!N4&gt;=1,'(橫掃)RX Mapping'!N4&lt;=120), ('(橫掃)RX Mapping'!N4-1),IF(AND('(橫掃)RX Mapping'!N4&gt;=121,'(橫掃)RX Mapping'!N4&lt;=240), (-1)*('(橫掃)RX Mapping'!N4-240),IF(AND('(橫掃)RX Mapping'!N4&gt;=241,'(橫掃)RX Mapping'!N4&lt;=360), ('(橫掃)RX Mapping'!N4-241),IF(AND('(橫掃)RX Mapping'!N4&gt;=361,'(橫掃)RX Mapping'!N4&lt;=480), (-1)*('(橫掃)RX Mapping'!N4-480),IF(AND('(橫掃)RX Mapping'!N4&gt;=481,'(橫掃)RX Mapping'!N4&lt;=600), ('(橫掃)RX Mapping'!N4-361),IF(AND('(橫掃)RX Mapping'!N4&gt;=601,'(橫掃)RX Mapping'!N4&lt;=720), (-1)*('(橫掃)RX Mapping'!N4-720)+120,IF(AND('(橫掃)RX Mapping'!N4&gt;=721,'(橫掃)RX Mapping'!N4&lt;=840), ('(橫掃)RX Mapping'!N4-601),IF(AND('(橫掃)RX Mapping'!N4&gt;=841,'(橫掃)RX Mapping'!N4&lt;=960), (-1)*('(橫掃)RX Mapping'!N4-960)+120,9999))))))))</f>
        <v>77</v>
      </c>
      <c r="O4">
        <f>IF(AND('(橫掃)RX Mapping'!O4&gt;=1,'(橫掃)RX Mapping'!O4&lt;=120), ('(橫掃)RX Mapping'!O4-1),IF(AND('(橫掃)RX Mapping'!O4&gt;=121,'(橫掃)RX Mapping'!O4&lt;=240), (-1)*('(橫掃)RX Mapping'!O4-240),IF(AND('(橫掃)RX Mapping'!O4&gt;=241,'(橫掃)RX Mapping'!O4&lt;=360), ('(橫掃)RX Mapping'!O4-241),IF(AND('(橫掃)RX Mapping'!O4&gt;=361,'(橫掃)RX Mapping'!O4&lt;=480), (-1)*('(橫掃)RX Mapping'!O4-480),IF(AND('(橫掃)RX Mapping'!O4&gt;=481,'(橫掃)RX Mapping'!O4&lt;=600), ('(橫掃)RX Mapping'!O4-361),IF(AND('(橫掃)RX Mapping'!O4&gt;=601,'(橫掃)RX Mapping'!O4&lt;=720), (-1)*('(橫掃)RX Mapping'!O4-720)+120,IF(AND('(橫掃)RX Mapping'!O4&gt;=721,'(橫掃)RX Mapping'!O4&lt;=840), ('(橫掃)RX Mapping'!O4-601),IF(AND('(橫掃)RX Mapping'!O4&gt;=841,'(橫掃)RX Mapping'!O4&lt;=960), (-1)*('(橫掃)RX Mapping'!O4-960)+120,9999))))))))</f>
        <v>45</v>
      </c>
      <c r="P4">
        <f>IF(AND('(橫掃)RX Mapping'!P4&gt;=1,'(橫掃)RX Mapping'!P4&lt;=120), ('(橫掃)RX Mapping'!P4-1),IF(AND('(橫掃)RX Mapping'!P4&gt;=121,'(橫掃)RX Mapping'!P4&lt;=240), (-1)*('(橫掃)RX Mapping'!P4-240),IF(AND('(橫掃)RX Mapping'!P4&gt;=241,'(橫掃)RX Mapping'!P4&lt;=360), ('(橫掃)RX Mapping'!P4-241),IF(AND('(橫掃)RX Mapping'!P4&gt;=361,'(橫掃)RX Mapping'!P4&lt;=480), (-1)*('(橫掃)RX Mapping'!P4-480),IF(AND('(橫掃)RX Mapping'!P4&gt;=481,'(橫掃)RX Mapping'!P4&lt;=600), ('(橫掃)RX Mapping'!P4-361),IF(AND('(橫掃)RX Mapping'!P4&gt;=601,'(橫掃)RX Mapping'!P4&lt;=720), (-1)*('(橫掃)RX Mapping'!P4-720)+120,IF(AND('(橫掃)RX Mapping'!P4&gt;=721,'(橫掃)RX Mapping'!P4&lt;=840), ('(橫掃)RX Mapping'!P4-601),IF(AND('(橫掃)RX Mapping'!P4&gt;=841,'(橫掃)RX Mapping'!P4&lt;=960), (-1)*('(橫掃)RX Mapping'!P4-960)+120,9999))))))))</f>
        <v>122</v>
      </c>
      <c r="Q4">
        <f>IF(AND('(橫掃)RX Mapping'!Q4&gt;=1,'(橫掃)RX Mapping'!Q4&lt;=120), ('(橫掃)RX Mapping'!Q4-1),IF(AND('(橫掃)RX Mapping'!Q4&gt;=121,'(橫掃)RX Mapping'!Q4&lt;=240), (-1)*('(橫掃)RX Mapping'!Q4-240),IF(AND('(橫掃)RX Mapping'!Q4&gt;=241,'(橫掃)RX Mapping'!Q4&lt;=360), ('(橫掃)RX Mapping'!Q4-241),IF(AND('(橫掃)RX Mapping'!Q4&gt;=361,'(橫掃)RX Mapping'!Q4&lt;=480), (-1)*('(橫掃)RX Mapping'!Q4-480),IF(AND('(橫掃)RX Mapping'!Q4&gt;=481,'(橫掃)RX Mapping'!Q4&lt;=600), ('(橫掃)RX Mapping'!Q4-361),IF(AND('(橫掃)RX Mapping'!Q4&gt;=601,'(橫掃)RX Mapping'!Q4&lt;=720), (-1)*('(橫掃)RX Mapping'!Q4-720)+120,IF(AND('(橫掃)RX Mapping'!Q4&gt;=721,'(橫掃)RX Mapping'!Q4&lt;=840), ('(橫掃)RX Mapping'!Q4-601),IF(AND('(橫掃)RX Mapping'!Q4&gt;=841,'(橫掃)RX Mapping'!Q4&lt;=960), (-1)*('(橫掃)RX Mapping'!Q4-960)+120,9999))))))))</f>
        <v>154</v>
      </c>
      <c r="R4">
        <f>IF(AND('(橫掃)RX Mapping'!R4&gt;=1,'(橫掃)RX Mapping'!R4&lt;=120), ('(橫掃)RX Mapping'!R4-1),IF(AND('(橫掃)RX Mapping'!R4&gt;=121,'(橫掃)RX Mapping'!R4&lt;=240), (-1)*('(橫掃)RX Mapping'!R4-240),IF(AND('(橫掃)RX Mapping'!R4&gt;=241,'(橫掃)RX Mapping'!R4&lt;=360), ('(橫掃)RX Mapping'!R4-241),IF(AND('(橫掃)RX Mapping'!R4&gt;=361,'(橫掃)RX Mapping'!R4&lt;=480), (-1)*('(橫掃)RX Mapping'!R4-480),IF(AND('(橫掃)RX Mapping'!R4&gt;=481,'(橫掃)RX Mapping'!R4&lt;=600), ('(橫掃)RX Mapping'!R4-361),IF(AND('(橫掃)RX Mapping'!R4&gt;=601,'(橫掃)RX Mapping'!R4&lt;=720), (-1)*('(橫掃)RX Mapping'!R4-720)+120,IF(AND('(橫掃)RX Mapping'!R4&gt;=721,'(橫掃)RX Mapping'!R4&lt;=840), ('(橫掃)RX Mapping'!R4-601),IF(AND('(橫掃)RX Mapping'!R4&gt;=841,'(橫掃)RX Mapping'!R4&lt;=960), (-1)*('(橫掃)RX Mapping'!R4-960)+120,9999))))))))</f>
        <v>186</v>
      </c>
      <c r="S4">
        <f>IF(AND('(橫掃)RX Mapping'!S4&gt;=1,'(橫掃)RX Mapping'!S4&lt;=120), ('(橫掃)RX Mapping'!S4-1),IF(AND('(橫掃)RX Mapping'!S4&gt;=121,'(橫掃)RX Mapping'!S4&lt;=240), (-1)*('(橫掃)RX Mapping'!S4-240),IF(AND('(橫掃)RX Mapping'!S4&gt;=241,'(橫掃)RX Mapping'!S4&lt;=360), ('(橫掃)RX Mapping'!S4-241),IF(AND('(橫掃)RX Mapping'!S4&gt;=361,'(橫掃)RX Mapping'!S4&lt;=480), (-1)*('(橫掃)RX Mapping'!S4-480),IF(AND('(橫掃)RX Mapping'!S4&gt;=481,'(橫掃)RX Mapping'!S4&lt;=600), ('(橫掃)RX Mapping'!S4-361),IF(AND('(橫掃)RX Mapping'!S4&gt;=601,'(橫掃)RX Mapping'!S4&lt;=720), (-1)*('(橫掃)RX Mapping'!S4-720)+120,IF(AND('(橫掃)RX Mapping'!S4&gt;=721,'(橫掃)RX Mapping'!S4&lt;=840), ('(橫掃)RX Mapping'!S4-601),IF(AND('(橫掃)RX Mapping'!S4&gt;=841,'(橫掃)RX Mapping'!S4&lt;=960), (-1)*('(橫掃)RX Mapping'!S4-960)+120,9999))))))))</f>
        <v>218</v>
      </c>
      <c r="T4">
        <f>IF(AND('(橫掃)RX Mapping'!T4&gt;=1,'(橫掃)RX Mapping'!T4&lt;=120), ('(橫掃)RX Mapping'!T4-1),IF(AND('(橫掃)RX Mapping'!T4&gt;=121,'(橫掃)RX Mapping'!T4&lt;=240), (-1)*('(橫掃)RX Mapping'!T4-240),IF(AND('(橫掃)RX Mapping'!T4&gt;=241,'(橫掃)RX Mapping'!T4&lt;=360), ('(橫掃)RX Mapping'!T4-241),IF(AND('(橫掃)RX Mapping'!T4&gt;=361,'(橫掃)RX Mapping'!T4&lt;=480), (-1)*('(橫掃)RX Mapping'!T4-480),IF(AND('(橫掃)RX Mapping'!T4&gt;=481,'(橫掃)RX Mapping'!T4&lt;=600), ('(橫掃)RX Mapping'!T4-361),IF(AND('(橫掃)RX Mapping'!T4&gt;=601,'(橫掃)RX Mapping'!T4&lt;=720), (-1)*('(橫掃)RX Mapping'!T4-720)+120,IF(AND('(橫掃)RX Mapping'!T4&gt;=721,'(橫掃)RX Mapping'!T4&lt;=840), ('(橫掃)RX Mapping'!T4-601),IF(AND('(橫掃)RX Mapping'!T4&gt;=841,'(橫掃)RX Mapping'!T4&lt;=960), (-1)*('(橫掃)RX Mapping'!T4-960)+120,9999))))))))</f>
        <v>229</v>
      </c>
      <c r="U4">
        <f>IF(AND('(橫掃)RX Mapping'!U4&gt;=1,'(橫掃)RX Mapping'!U4&lt;=120), ('(橫掃)RX Mapping'!U4-1),IF(AND('(橫掃)RX Mapping'!U4&gt;=121,'(橫掃)RX Mapping'!U4&lt;=240), (-1)*('(橫掃)RX Mapping'!U4-240),IF(AND('(橫掃)RX Mapping'!U4&gt;=241,'(橫掃)RX Mapping'!U4&lt;=360), ('(橫掃)RX Mapping'!U4-241),IF(AND('(橫掃)RX Mapping'!U4&gt;=361,'(橫掃)RX Mapping'!U4&lt;=480), (-1)*('(橫掃)RX Mapping'!U4-480),IF(AND('(橫掃)RX Mapping'!U4&gt;=481,'(橫掃)RX Mapping'!U4&lt;=600), ('(橫掃)RX Mapping'!U4-361),IF(AND('(橫掃)RX Mapping'!U4&gt;=601,'(橫掃)RX Mapping'!U4&lt;=720), (-1)*('(橫掃)RX Mapping'!U4-720)+120,IF(AND('(橫掃)RX Mapping'!U4&gt;=721,'(橫掃)RX Mapping'!U4&lt;=840), ('(橫掃)RX Mapping'!U4-601),IF(AND('(橫掃)RX Mapping'!U4&gt;=841,'(橫掃)RX Mapping'!U4&lt;=960), (-1)*('(橫掃)RX Mapping'!U4-960)+120,9999))))))))</f>
        <v>197</v>
      </c>
      <c r="V4">
        <f>IF(AND('(橫掃)RX Mapping'!V4&gt;=1,'(橫掃)RX Mapping'!V4&lt;=120), ('(橫掃)RX Mapping'!V4-1),IF(AND('(橫掃)RX Mapping'!V4&gt;=121,'(橫掃)RX Mapping'!V4&lt;=240), (-1)*('(橫掃)RX Mapping'!V4-240),IF(AND('(橫掃)RX Mapping'!V4&gt;=241,'(橫掃)RX Mapping'!V4&lt;=360), ('(橫掃)RX Mapping'!V4-241),IF(AND('(橫掃)RX Mapping'!V4&gt;=361,'(橫掃)RX Mapping'!V4&lt;=480), (-1)*('(橫掃)RX Mapping'!V4-480),IF(AND('(橫掃)RX Mapping'!V4&gt;=481,'(橫掃)RX Mapping'!V4&lt;=600), ('(橫掃)RX Mapping'!V4-361),IF(AND('(橫掃)RX Mapping'!V4&gt;=601,'(橫掃)RX Mapping'!V4&lt;=720), (-1)*('(橫掃)RX Mapping'!V4-720)+120,IF(AND('(橫掃)RX Mapping'!V4&gt;=721,'(橫掃)RX Mapping'!V4&lt;=840), ('(橫掃)RX Mapping'!V4-601),IF(AND('(橫掃)RX Mapping'!V4&gt;=841,'(橫掃)RX Mapping'!V4&lt;=960), (-1)*('(橫掃)RX Mapping'!V4-960)+120,9999))))))))</f>
        <v>165</v>
      </c>
      <c r="W4">
        <f>IF(AND('(橫掃)RX Mapping'!W4&gt;=1,'(橫掃)RX Mapping'!W4&lt;=120), ('(橫掃)RX Mapping'!W4-1),IF(AND('(橫掃)RX Mapping'!W4&gt;=121,'(橫掃)RX Mapping'!W4&lt;=240), (-1)*('(橫掃)RX Mapping'!W4-240),IF(AND('(橫掃)RX Mapping'!W4&gt;=241,'(橫掃)RX Mapping'!W4&lt;=360), ('(橫掃)RX Mapping'!W4-241),IF(AND('(橫掃)RX Mapping'!W4&gt;=361,'(橫掃)RX Mapping'!W4&lt;=480), (-1)*('(橫掃)RX Mapping'!W4-480),IF(AND('(橫掃)RX Mapping'!W4&gt;=481,'(橫掃)RX Mapping'!W4&lt;=600), ('(橫掃)RX Mapping'!W4-361),IF(AND('(橫掃)RX Mapping'!W4&gt;=601,'(橫掃)RX Mapping'!W4&lt;=720), (-1)*('(橫掃)RX Mapping'!W4-720)+120,IF(AND('(橫掃)RX Mapping'!W4&gt;=721,'(橫掃)RX Mapping'!W4&lt;=840), ('(橫掃)RX Mapping'!W4-601),IF(AND('(橫掃)RX Mapping'!W4&gt;=841,'(橫掃)RX Mapping'!W4&lt;=960), (-1)*('(橫掃)RX Mapping'!W4-960)+120,9999))))))))</f>
        <v>122</v>
      </c>
      <c r="X4">
        <f>IF(AND('(橫掃)RX Mapping'!X4&gt;=1,'(橫掃)RX Mapping'!X4&lt;=120), ('(橫掃)RX Mapping'!X4-1),IF(AND('(橫掃)RX Mapping'!X4&gt;=121,'(橫掃)RX Mapping'!X4&lt;=240), (-1)*('(橫掃)RX Mapping'!X4-240),IF(AND('(橫掃)RX Mapping'!X4&gt;=241,'(橫掃)RX Mapping'!X4&lt;=360), ('(橫掃)RX Mapping'!X4-241),IF(AND('(橫掃)RX Mapping'!X4&gt;=361,'(橫掃)RX Mapping'!X4&lt;=480), (-1)*('(橫掃)RX Mapping'!X4-480),IF(AND('(橫掃)RX Mapping'!X4&gt;=481,'(橫掃)RX Mapping'!X4&lt;=600), ('(橫掃)RX Mapping'!X4-361),IF(AND('(橫掃)RX Mapping'!X4&gt;=601,'(橫掃)RX Mapping'!X4&lt;=720), (-1)*('(橫掃)RX Mapping'!X4-720)+120,IF(AND('(橫掃)RX Mapping'!X4&gt;=721,'(橫掃)RX Mapping'!X4&lt;=840), ('(橫掃)RX Mapping'!X4-601),IF(AND('(橫掃)RX Mapping'!X4&gt;=841,'(橫掃)RX Mapping'!X4&lt;=960), (-1)*('(橫掃)RX Mapping'!X4-960)+120,9999))))))))</f>
        <v>154</v>
      </c>
      <c r="Y4">
        <f>IF(AND('(橫掃)RX Mapping'!Y4&gt;=1,'(橫掃)RX Mapping'!Y4&lt;=120), ('(橫掃)RX Mapping'!Y4-1),IF(AND('(橫掃)RX Mapping'!Y4&gt;=121,'(橫掃)RX Mapping'!Y4&lt;=240), (-1)*('(橫掃)RX Mapping'!Y4-240),IF(AND('(橫掃)RX Mapping'!Y4&gt;=241,'(橫掃)RX Mapping'!Y4&lt;=360), ('(橫掃)RX Mapping'!Y4-241),IF(AND('(橫掃)RX Mapping'!Y4&gt;=361,'(橫掃)RX Mapping'!Y4&lt;=480), (-1)*('(橫掃)RX Mapping'!Y4-480),IF(AND('(橫掃)RX Mapping'!Y4&gt;=481,'(橫掃)RX Mapping'!Y4&lt;=600), ('(橫掃)RX Mapping'!Y4-361),IF(AND('(橫掃)RX Mapping'!Y4&gt;=601,'(橫掃)RX Mapping'!Y4&lt;=720), (-1)*('(橫掃)RX Mapping'!Y4-720)+120,IF(AND('(橫掃)RX Mapping'!Y4&gt;=721,'(橫掃)RX Mapping'!Y4&lt;=840), ('(橫掃)RX Mapping'!Y4-601),IF(AND('(橫掃)RX Mapping'!Y4&gt;=841,'(橫掃)RX Mapping'!Y4&lt;=960), (-1)*('(橫掃)RX Mapping'!Y4-960)+120,9999))))))))</f>
        <v>186</v>
      </c>
      <c r="Z4">
        <f>IF(AND('(橫掃)RX Mapping'!Z4&gt;=1,'(橫掃)RX Mapping'!Z4&lt;=120), ('(橫掃)RX Mapping'!Z4-1),IF(AND('(橫掃)RX Mapping'!Z4&gt;=121,'(橫掃)RX Mapping'!Z4&lt;=240), (-1)*('(橫掃)RX Mapping'!Z4-240),IF(AND('(橫掃)RX Mapping'!Z4&gt;=241,'(橫掃)RX Mapping'!Z4&lt;=360), ('(橫掃)RX Mapping'!Z4-241),IF(AND('(橫掃)RX Mapping'!Z4&gt;=361,'(橫掃)RX Mapping'!Z4&lt;=480), (-1)*('(橫掃)RX Mapping'!Z4-480),IF(AND('(橫掃)RX Mapping'!Z4&gt;=481,'(橫掃)RX Mapping'!Z4&lt;=600), ('(橫掃)RX Mapping'!Z4-361),IF(AND('(橫掃)RX Mapping'!Z4&gt;=601,'(橫掃)RX Mapping'!Z4&lt;=720), (-1)*('(橫掃)RX Mapping'!Z4-720)+120,IF(AND('(橫掃)RX Mapping'!Z4&gt;=721,'(橫掃)RX Mapping'!Z4&lt;=840), ('(橫掃)RX Mapping'!Z4-601),IF(AND('(橫掃)RX Mapping'!Z4&gt;=841,'(橫掃)RX Mapping'!Z4&lt;=960), (-1)*('(橫掃)RX Mapping'!Z4-960)+120,9999))))))))</f>
        <v>218</v>
      </c>
      <c r="AA4">
        <f>IF(AND('(橫掃)RX Mapping'!AA4&gt;=1,'(橫掃)RX Mapping'!AA4&lt;=120), ('(橫掃)RX Mapping'!AA4-1),IF(AND('(橫掃)RX Mapping'!AA4&gt;=121,'(橫掃)RX Mapping'!AA4&lt;=240), (-1)*('(橫掃)RX Mapping'!AA4-240),IF(AND('(橫掃)RX Mapping'!AA4&gt;=241,'(橫掃)RX Mapping'!AA4&lt;=360), ('(橫掃)RX Mapping'!AA4-241),IF(AND('(橫掃)RX Mapping'!AA4&gt;=361,'(橫掃)RX Mapping'!AA4&lt;=480), (-1)*('(橫掃)RX Mapping'!AA4-480),IF(AND('(橫掃)RX Mapping'!AA4&gt;=481,'(橫掃)RX Mapping'!AA4&lt;=600), ('(橫掃)RX Mapping'!AA4-361),IF(AND('(橫掃)RX Mapping'!AA4&gt;=601,'(橫掃)RX Mapping'!AA4&lt;=720), (-1)*('(橫掃)RX Mapping'!AA4-720)+120,IF(AND('(橫掃)RX Mapping'!AA4&gt;=721,'(橫掃)RX Mapping'!AA4&lt;=840), ('(橫掃)RX Mapping'!AA4-601),IF(AND('(橫掃)RX Mapping'!AA4&gt;=841,'(橫掃)RX Mapping'!AA4&lt;=960), (-1)*('(橫掃)RX Mapping'!AA4-960)+120,9999))))))))</f>
        <v>229</v>
      </c>
      <c r="AB4">
        <f>IF(AND('(橫掃)RX Mapping'!AB4&gt;=1,'(橫掃)RX Mapping'!AB4&lt;=120), ('(橫掃)RX Mapping'!AB4-1),IF(AND('(橫掃)RX Mapping'!AB4&gt;=121,'(橫掃)RX Mapping'!AB4&lt;=240), (-1)*('(橫掃)RX Mapping'!AB4-240),IF(AND('(橫掃)RX Mapping'!AB4&gt;=241,'(橫掃)RX Mapping'!AB4&lt;=360), ('(橫掃)RX Mapping'!AB4-241),IF(AND('(橫掃)RX Mapping'!AB4&gt;=361,'(橫掃)RX Mapping'!AB4&lt;=480), (-1)*('(橫掃)RX Mapping'!AB4-480),IF(AND('(橫掃)RX Mapping'!AB4&gt;=481,'(橫掃)RX Mapping'!AB4&lt;=600), ('(橫掃)RX Mapping'!AB4-361),IF(AND('(橫掃)RX Mapping'!AB4&gt;=601,'(橫掃)RX Mapping'!AB4&lt;=720), (-1)*('(橫掃)RX Mapping'!AB4-720)+120,IF(AND('(橫掃)RX Mapping'!AB4&gt;=721,'(橫掃)RX Mapping'!AB4&lt;=840), ('(橫掃)RX Mapping'!AB4-601),IF(AND('(橫掃)RX Mapping'!AB4&gt;=841,'(橫掃)RX Mapping'!AB4&lt;=960), (-1)*('(橫掃)RX Mapping'!AB4-960)+120,9999))))))))</f>
        <v>197</v>
      </c>
      <c r="AC4">
        <f>IF(AND('(橫掃)RX Mapping'!AC4&gt;=1,'(橫掃)RX Mapping'!AC4&lt;=120), ('(橫掃)RX Mapping'!AC4-1),IF(AND('(橫掃)RX Mapping'!AC4&gt;=121,'(橫掃)RX Mapping'!AC4&lt;=240), (-1)*('(橫掃)RX Mapping'!AC4-240),IF(AND('(橫掃)RX Mapping'!AC4&gt;=241,'(橫掃)RX Mapping'!AC4&lt;=360), ('(橫掃)RX Mapping'!AC4-241),IF(AND('(橫掃)RX Mapping'!AC4&gt;=361,'(橫掃)RX Mapping'!AC4&lt;=480), (-1)*('(橫掃)RX Mapping'!AC4-480),IF(AND('(橫掃)RX Mapping'!AC4&gt;=481,'(橫掃)RX Mapping'!AC4&lt;=600), ('(橫掃)RX Mapping'!AC4-361),IF(AND('(橫掃)RX Mapping'!AC4&gt;=601,'(橫掃)RX Mapping'!AC4&lt;=720), (-1)*('(橫掃)RX Mapping'!AC4-720)+120,IF(AND('(橫掃)RX Mapping'!AC4&gt;=721,'(橫掃)RX Mapping'!AC4&lt;=840), ('(橫掃)RX Mapping'!AC4-601),IF(AND('(橫掃)RX Mapping'!AC4&gt;=841,'(橫掃)RX Mapping'!AC4&lt;=960), (-1)*('(橫掃)RX Mapping'!AC4-960)+120,9999))))))))</f>
        <v>165</v>
      </c>
      <c r="AD4">
        <f>IF(AND('(橫掃)RX Mapping'!AD4&gt;=1,'(橫掃)RX Mapping'!AD4&lt;=120), ('(橫掃)RX Mapping'!AD4-1),IF(AND('(橫掃)RX Mapping'!AD4&gt;=121,'(橫掃)RX Mapping'!AD4&lt;=240), (-1)*('(橫掃)RX Mapping'!AD4-240),IF(AND('(橫掃)RX Mapping'!AD4&gt;=241,'(橫掃)RX Mapping'!AD4&lt;=360), ('(橫掃)RX Mapping'!AD4-241),IF(AND('(橫掃)RX Mapping'!AD4&gt;=361,'(橫掃)RX Mapping'!AD4&lt;=480), (-1)*('(橫掃)RX Mapping'!AD4-480),IF(AND('(橫掃)RX Mapping'!AD4&gt;=481,'(橫掃)RX Mapping'!AD4&lt;=600), ('(橫掃)RX Mapping'!AD4-361),IF(AND('(橫掃)RX Mapping'!AD4&gt;=601,'(橫掃)RX Mapping'!AD4&lt;=720), (-1)*('(橫掃)RX Mapping'!AD4-720)+120,IF(AND('(橫掃)RX Mapping'!AD4&gt;=721,'(橫掃)RX Mapping'!AD4&lt;=840), ('(橫掃)RX Mapping'!AD4-601),IF(AND('(橫掃)RX Mapping'!AD4&gt;=841,'(橫掃)RX Mapping'!AD4&lt;=960), (-1)*('(橫掃)RX Mapping'!AD4-960)+120,9999))))))))</f>
        <v>9999</v>
      </c>
      <c r="AE4">
        <f>IF(AND('(橫掃)RX Mapping'!AE4&gt;=1,'(橫掃)RX Mapping'!AE4&lt;=120), ('(橫掃)RX Mapping'!AE4-1),IF(AND('(橫掃)RX Mapping'!AE4&gt;=121,'(橫掃)RX Mapping'!AE4&lt;=240), (-1)*('(橫掃)RX Mapping'!AE4-240),IF(AND('(橫掃)RX Mapping'!AE4&gt;=241,'(橫掃)RX Mapping'!AE4&lt;=360), ('(橫掃)RX Mapping'!AE4-241),IF(AND('(橫掃)RX Mapping'!AE4&gt;=361,'(橫掃)RX Mapping'!AE4&lt;=480), (-1)*('(橫掃)RX Mapping'!AE4-480),IF(AND('(橫掃)RX Mapping'!AE4&gt;=481,'(橫掃)RX Mapping'!AE4&lt;=600), ('(橫掃)RX Mapping'!AE4-361),IF(AND('(橫掃)RX Mapping'!AE4&gt;=601,'(橫掃)RX Mapping'!AE4&lt;=720), (-1)*('(橫掃)RX Mapping'!AE4-720)+120,IF(AND('(橫掃)RX Mapping'!AE4&gt;=721,'(橫掃)RX Mapping'!AE4&lt;=840), ('(橫掃)RX Mapping'!AE4-601),IF(AND('(橫掃)RX Mapping'!AE4&gt;=841,'(橫掃)RX Mapping'!AE4&lt;=960), (-1)*('(橫掃)RX Mapping'!AE4-960)+120,9999))))))))</f>
        <v>9999</v>
      </c>
      <c r="AF4">
        <f>IF(AND('(橫掃)RX Mapping'!AF4&gt;=1,'(橫掃)RX Mapping'!AF4&lt;=120), ('(橫掃)RX Mapping'!AF4-1),IF(AND('(橫掃)RX Mapping'!AF4&gt;=121,'(橫掃)RX Mapping'!AF4&lt;=240), (-1)*('(橫掃)RX Mapping'!AF4-240),IF(AND('(橫掃)RX Mapping'!AF4&gt;=241,'(橫掃)RX Mapping'!AF4&lt;=360), ('(橫掃)RX Mapping'!AF4-241),IF(AND('(橫掃)RX Mapping'!AF4&gt;=361,'(橫掃)RX Mapping'!AF4&lt;=480), (-1)*('(橫掃)RX Mapping'!AF4-480),IF(AND('(橫掃)RX Mapping'!AF4&gt;=481,'(橫掃)RX Mapping'!AF4&lt;=600), ('(橫掃)RX Mapping'!AF4-361),IF(AND('(橫掃)RX Mapping'!AF4&gt;=601,'(橫掃)RX Mapping'!AF4&lt;=720), (-1)*('(橫掃)RX Mapping'!AF4-720)+120,IF(AND('(橫掃)RX Mapping'!AF4&gt;=721,'(橫掃)RX Mapping'!AF4&lt;=840), ('(橫掃)RX Mapping'!AF4-601),IF(AND('(橫掃)RX Mapping'!AF4&gt;=841,'(橫掃)RX Mapping'!AF4&lt;=960), (-1)*('(橫掃)RX Mapping'!AF4-960)+120,9999))))))))</f>
        <v>9999</v>
      </c>
      <c r="AG4">
        <f>IF(AND('(橫掃)RX Mapping'!AG4&gt;=1,'(橫掃)RX Mapping'!AG4&lt;=120), ('(橫掃)RX Mapping'!AG4-1),IF(AND('(橫掃)RX Mapping'!AG4&gt;=121,'(橫掃)RX Mapping'!AG4&lt;=240), (-1)*('(橫掃)RX Mapping'!AG4-240),IF(AND('(橫掃)RX Mapping'!AG4&gt;=241,'(橫掃)RX Mapping'!AG4&lt;=360), ('(橫掃)RX Mapping'!AG4-241),IF(AND('(橫掃)RX Mapping'!AG4&gt;=361,'(橫掃)RX Mapping'!AG4&lt;=480), (-1)*('(橫掃)RX Mapping'!AG4-480),IF(AND('(橫掃)RX Mapping'!AG4&gt;=481,'(橫掃)RX Mapping'!AG4&lt;=600), ('(橫掃)RX Mapping'!AG4-361),IF(AND('(橫掃)RX Mapping'!AG4&gt;=601,'(橫掃)RX Mapping'!AG4&lt;=720), (-1)*('(橫掃)RX Mapping'!AG4-720)+120,IF(AND('(橫掃)RX Mapping'!AG4&gt;=721,'(橫掃)RX Mapping'!AG4&lt;=840), ('(橫掃)RX Mapping'!AG4-601),IF(AND('(橫掃)RX Mapping'!AG4&gt;=841,'(橫掃)RX Mapping'!AG4&lt;=960), (-1)*('(橫掃)RX Mapping'!AG4-960)+120,9999))))))))</f>
        <v>9999</v>
      </c>
      <c r="AH4">
        <f>IF(AND('(橫掃)RX Mapping'!AH4&gt;=1,'(橫掃)RX Mapping'!AH4&lt;=120), ('(橫掃)RX Mapping'!AH4-1),IF(AND('(橫掃)RX Mapping'!AH4&gt;=121,'(橫掃)RX Mapping'!AH4&lt;=240), (-1)*('(橫掃)RX Mapping'!AH4-240),IF(AND('(橫掃)RX Mapping'!AH4&gt;=241,'(橫掃)RX Mapping'!AH4&lt;=360), ('(橫掃)RX Mapping'!AH4-241),IF(AND('(橫掃)RX Mapping'!AH4&gt;=361,'(橫掃)RX Mapping'!AH4&lt;=480), (-1)*('(橫掃)RX Mapping'!AH4-480),IF(AND('(橫掃)RX Mapping'!AH4&gt;=481,'(橫掃)RX Mapping'!AH4&lt;=600), ('(橫掃)RX Mapping'!AH4-361),IF(AND('(橫掃)RX Mapping'!AH4&gt;=601,'(橫掃)RX Mapping'!AH4&lt;=720), (-1)*('(橫掃)RX Mapping'!AH4-720)+120,IF(AND('(橫掃)RX Mapping'!AH4&gt;=721,'(橫掃)RX Mapping'!AH4&lt;=840), ('(橫掃)RX Mapping'!AH4-601),IF(AND('(橫掃)RX Mapping'!AH4&gt;=841,'(橫掃)RX Mapping'!AH4&lt;=960), (-1)*('(橫掃)RX Mapping'!AH4-960)+120,9999))))))))</f>
        <v>9999</v>
      </c>
      <c r="AI4">
        <f>IF(AND('(橫掃)RX Mapping'!AI4&gt;=1,'(橫掃)RX Mapping'!AI4&lt;=120), ('(橫掃)RX Mapping'!AI4-1),IF(AND('(橫掃)RX Mapping'!AI4&gt;=121,'(橫掃)RX Mapping'!AI4&lt;=240), (-1)*('(橫掃)RX Mapping'!AI4-240),IF(AND('(橫掃)RX Mapping'!AI4&gt;=241,'(橫掃)RX Mapping'!AI4&lt;=360), ('(橫掃)RX Mapping'!AI4-241),IF(AND('(橫掃)RX Mapping'!AI4&gt;=361,'(橫掃)RX Mapping'!AI4&lt;=480), (-1)*('(橫掃)RX Mapping'!AI4-480),IF(AND('(橫掃)RX Mapping'!AI4&gt;=481,'(橫掃)RX Mapping'!AI4&lt;=600), ('(橫掃)RX Mapping'!AI4-361),IF(AND('(橫掃)RX Mapping'!AI4&gt;=601,'(橫掃)RX Mapping'!AI4&lt;=720), (-1)*('(橫掃)RX Mapping'!AI4-720)+120,IF(AND('(橫掃)RX Mapping'!AI4&gt;=721,'(橫掃)RX Mapping'!AI4&lt;=840), ('(橫掃)RX Mapping'!AI4-601),IF(AND('(橫掃)RX Mapping'!AI4&gt;=841,'(橫掃)RX Mapping'!AI4&lt;=960), (-1)*('(橫掃)RX Mapping'!AI4-960)+120,9999))))))))</f>
        <v>9999</v>
      </c>
      <c r="AJ4">
        <f>IF(AND('(橫掃)RX Mapping'!AJ4&gt;=1,'(橫掃)RX Mapping'!AJ4&lt;=120), ('(橫掃)RX Mapping'!AJ4-1),IF(AND('(橫掃)RX Mapping'!AJ4&gt;=121,'(橫掃)RX Mapping'!AJ4&lt;=240), (-1)*('(橫掃)RX Mapping'!AJ4-240),IF(AND('(橫掃)RX Mapping'!AJ4&gt;=241,'(橫掃)RX Mapping'!AJ4&lt;=360), ('(橫掃)RX Mapping'!AJ4-241),IF(AND('(橫掃)RX Mapping'!AJ4&gt;=361,'(橫掃)RX Mapping'!AJ4&lt;=480), (-1)*('(橫掃)RX Mapping'!AJ4-480),IF(AND('(橫掃)RX Mapping'!AJ4&gt;=481,'(橫掃)RX Mapping'!AJ4&lt;=600), ('(橫掃)RX Mapping'!AJ4-361),IF(AND('(橫掃)RX Mapping'!AJ4&gt;=601,'(橫掃)RX Mapping'!AJ4&lt;=720), (-1)*('(橫掃)RX Mapping'!AJ4-720)+120,IF(AND('(橫掃)RX Mapping'!AJ4&gt;=721,'(橫掃)RX Mapping'!AJ4&lt;=840), ('(橫掃)RX Mapping'!AJ4-601),IF(AND('(橫掃)RX Mapping'!AJ4&gt;=841,'(橫掃)RX Mapping'!AJ4&lt;=960), (-1)*('(橫掃)RX Mapping'!AJ4-960)+120,9999))))))))</f>
        <v>9999</v>
      </c>
      <c r="AK4">
        <f>IF(AND('(橫掃)RX Mapping'!AK4&gt;=1,'(橫掃)RX Mapping'!AK4&lt;=120), ('(橫掃)RX Mapping'!AK4-1),IF(AND('(橫掃)RX Mapping'!AK4&gt;=121,'(橫掃)RX Mapping'!AK4&lt;=240), (-1)*('(橫掃)RX Mapping'!AK4-240),IF(AND('(橫掃)RX Mapping'!AK4&gt;=241,'(橫掃)RX Mapping'!AK4&lt;=360), ('(橫掃)RX Mapping'!AK4-241),IF(AND('(橫掃)RX Mapping'!AK4&gt;=361,'(橫掃)RX Mapping'!AK4&lt;=480), (-1)*('(橫掃)RX Mapping'!AK4-480),IF(AND('(橫掃)RX Mapping'!AK4&gt;=481,'(橫掃)RX Mapping'!AK4&lt;=600), ('(橫掃)RX Mapping'!AK4-361),IF(AND('(橫掃)RX Mapping'!AK4&gt;=601,'(橫掃)RX Mapping'!AK4&lt;=720), (-1)*('(橫掃)RX Mapping'!AK4-720)+120,IF(AND('(橫掃)RX Mapping'!AK4&gt;=721,'(橫掃)RX Mapping'!AK4&lt;=840), ('(橫掃)RX Mapping'!AK4-601),IF(AND('(橫掃)RX Mapping'!AK4&gt;=841,'(橫掃)RX Mapping'!AK4&lt;=960), (-1)*('(橫掃)RX Mapping'!AK4-960)+120,9999))))))))</f>
        <v>9999</v>
      </c>
      <c r="AL4">
        <f>IF(AND('(橫掃)RX Mapping'!AL4&gt;=1,'(橫掃)RX Mapping'!AL4&lt;=120), ('(橫掃)RX Mapping'!AL4-1),IF(AND('(橫掃)RX Mapping'!AL4&gt;=121,'(橫掃)RX Mapping'!AL4&lt;=240), (-1)*('(橫掃)RX Mapping'!AL4-240),IF(AND('(橫掃)RX Mapping'!AL4&gt;=241,'(橫掃)RX Mapping'!AL4&lt;=360), ('(橫掃)RX Mapping'!AL4-241),IF(AND('(橫掃)RX Mapping'!AL4&gt;=361,'(橫掃)RX Mapping'!AL4&lt;=480), (-1)*('(橫掃)RX Mapping'!AL4-480),IF(AND('(橫掃)RX Mapping'!AL4&gt;=481,'(橫掃)RX Mapping'!AL4&lt;=600), ('(橫掃)RX Mapping'!AL4-361),IF(AND('(橫掃)RX Mapping'!AL4&gt;=601,'(橫掃)RX Mapping'!AL4&lt;=720), (-1)*('(橫掃)RX Mapping'!AL4-720)+120,IF(AND('(橫掃)RX Mapping'!AL4&gt;=721,'(橫掃)RX Mapping'!AL4&lt;=840), ('(橫掃)RX Mapping'!AL4-601),IF(AND('(橫掃)RX Mapping'!AL4&gt;=841,'(橫掃)RX Mapping'!AL4&lt;=960), (-1)*('(橫掃)RX Mapping'!AL4-960)+120,9999))))))))</f>
        <v>9999</v>
      </c>
      <c r="AM4">
        <f>IF(AND('(橫掃)RX Mapping'!AM4&gt;=1,'(橫掃)RX Mapping'!AM4&lt;=120), ('(橫掃)RX Mapping'!AM4-1),IF(AND('(橫掃)RX Mapping'!AM4&gt;=121,'(橫掃)RX Mapping'!AM4&lt;=240), (-1)*('(橫掃)RX Mapping'!AM4-240),IF(AND('(橫掃)RX Mapping'!AM4&gt;=241,'(橫掃)RX Mapping'!AM4&lt;=360), ('(橫掃)RX Mapping'!AM4-241),IF(AND('(橫掃)RX Mapping'!AM4&gt;=361,'(橫掃)RX Mapping'!AM4&lt;=480), (-1)*('(橫掃)RX Mapping'!AM4-480),IF(AND('(橫掃)RX Mapping'!AM4&gt;=481,'(橫掃)RX Mapping'!AM4&lt;=600), ('(橫掃)RX Mapping'!AM4-361),IF(AND('(橫掃)RX Mapping'!AM4&gt;=601,'(橫掃)RX Mapping'!AM4&lt;=720), (-1)*('(橫掃)RX Mapping'!AM4-720)+120,IF(AND('(橫掃)RX Mapping'!AM4&gt;=721,'(橫掃)RX Mapping'!AM4&lt;=840), ('(橫掃)RX Mapping'!AM4-601),IF(AND('(橫掃)RX Mapping'!AM4&gt;=841,'(橫掃)RX Mapping'!AM4&lt;=960), (-1)*('(橫掃)RX Mapping'!AM4-960)+120,9999))))))))</f>
        <v>9999</v>
      </c>
      <c r="AN4">
        <f>IF(AND('(橫掃)RX Mapping'!AN4&gt;=1,'(橫掃)RX Mapping'!AN4&lt;=120), ('(橫掃)RX Mapping'!AN4-1),IF(AND('(橫掃)RX Mapping'!AN4&gt;=121,'(橫掃)RX Mapping'!AN4&lt;=240), (-1)*('(橫掃)RX Mapping'!AN4-240),IF(AND('(橫掃)RX Mapping'!AN4&gt;=241,'(橫掃)RX Mapping'!AN4&lt;=360), ('(橫掃)RX Mapping'!AN4-241),IF(AND('(橫掃)RX Mapping'!AN4&gt;=361,'(橫掃)RX Mapping'!AN4&lt;=480), (-1)*('(橫掃)RX Mapping'!AN4-480),IF(AND('(橫掃)RX Mapping'!AN4&gt;=481,'(橫掃)RX Mapping'!AN4&lt;=600), ('(橫掃)RX Mapping'!AN4-361),IF(AND('(橫掃)RX Mapping'!AN4&gt;=601,'(橫掃)RX Mapping'!AN4&lt;=720), (-1)*('(橫掃)RX Mapping'!AN4-720)+120,IF(AND('(橫掃)RX Mapping'!AN4&gt;=721,'(橫掃)RX Mapping'!AN4&lt;=840), ('(橫掃)RX Mapping'!AN4-601),IF(AND('(橫掃)RX Mapping'!AN4&gt;=841,'(橫掃)RX Mapping'!AN4&lt;=960), (-1)*('(橫掃)RX Mapping'!AN4-960)+120,9999))))))))</f>
        <v>9999</v>
      </c>
      <c r="AO4">
        <f>IF(AND('(橫掃)RX Mapping'!AO4&gt;=1,'(橫掃)RX Mapping'!AO4&lt;=120), ('(橫掃)RX Mapping'!AO4-1),IF(AND('(橫掃)RX Mapping'!AO4&gt;=121,'(橫掃)RX Mapping'!AO4&lt;=240), (-1)*('(橫掃)RX Mapping'!AO4-240),IF(AND('(橫掃)RX Mapping'!AO4&gt;=241,'(橫掃)RX Mapping'!AO4&lt;=360), ('(橫掃)RX Mapping'!AO4-241),IF(AND('(橫掃)RX Mapping'!AO4&gt;=361,'(橫掃)RX Mapping'!AO4&lt;=480), (-1)*('(橫掃)RX Mapping'!AO4-480),IF(AND('(橫掃)RX Mapping'!AO4&gt;=481,'(橫掃)RX Mapping'!AO4&lt;=600), ('(橫掃)RX Mapping'!AO4-361),IF(AND('(橫掃)RX Mapping'!AO4&gt;=601,'(橫掃)RX Mapping'!AO4&lt;=720), (-1)*('(橫掃)RX Mapping'!AO4-720)+120,IF(AND('(橫掃)RX Mapping'!AO4&gt;=721,'(橫掃)RX Mapping'!AO4&lt;=840), ('(橫掃)RX Mapping'!AO4-601),IF(AND('(橫掃)RX Mapping'!AO4&gt;=841,'(橫掃)RX Mapping'!AO4&lt;=960), (-1)*('(橫掃)RX Mapping'!AO4-960)+120,9999))))))))</f>
        <v>9999</v>
      </c>
      <c r="AP4">
        <f>IF(AND('(橫掃)RX Mapping'!AP4&gt;=1,'(橫掃)RX Mapping'!AP4&lt;=120), ('(橫掃)RX Mapping'!AP4-1),IF(AND('(橫掃)RX Mapping'!AP4&gt;=121,'(橫掃)RX Mapping'!AP4&lt;=240), (-1)*('(橫掃)RX Mapping'!AP4-240),IF(AND('(橫掃)RX Mapping'!AP4&gt;=241,'(橫掃)RX Mapping'!AP4&lt;=360), ('(橫掃)RX Mapping'!AP4-241),IF(AND('(橫掃)RX Mapping'!AP4&gt;=361,'(橫掃)RX Mapping'!AP4&lt;=480), (-1)*('(橫掃)RX Mapping'!AP4-480),IF(AND('(橫掃)RX Mapping'!AP4&gt;=481,'(橫掃)RX Mapping'!AP4&lt;=600), ('(橫掃)RX Mapping'!AP4-361),IF(AND('(橫掃)RX Mapping'!AP4&gt;=601,'(橫掃)RX Mapping'!AP4&lt;=720), (-1)*('(橫掃)RX Mapping'!AP4-720)+120,IF(AND('(橫掃)RX Mapping'!AP4&gt;=721,'(橫掃)RX Mapping'!AP4&lt;=840), ('(橫掃)RX Mapping'!AP4-601),IF(AND('(橫掃)RX Mapping'!AP4&gt;=841,'(橫掃)RX Mapping'!AP4&lt;=960), (-1)*('(橫掃)RX Mapping'!AP4-960)+120,9999))))))))</f>
        <v>9999</v>
      </c>
      <c r="AQ4">
        <f>IF(AND('(橫掃)RX Mapping'!AQ4&gt;=1,'(橫掃)RX Mapping'!AQ4&lt;=120), ('(橫掃)RX Mapping'!AQ4-1),IF(AND('(橫掃)RX Mapping'!AQ4&gt;=121,'(橫掃)RX Mapping'!AQ4&lt;=240), (-1)*('(橫掃)RX Mapping'!AQ4-240),IF(AND('(橫掃)RX Mapping'!AQ4&gt;=241,'(橫掃)RX Mapping'!AQ4&lt;=360), ('(橫掃)RX Mapping'!AQ4-241),IF(AND('(橫掃)RX Mapping'!AQ4&gt;=361,'(橫掃)RX Mapping'!AQ4&lt;=480), (-1)*('(橫掃)RX Mapping'!AQ4-480),IF(AND('(橫掃)RX Mapping'!AQ4&gt;=481,'(橫掃)RX Mapping'!AQ4&lt;=600), ('(橫掃)RX Mapping'!AQ4-361),IF(AND('(橫掃)RX Mapping'!AQ4&gt;=601,'(橫掃)RX Mapping'!AQ4&lt;=720), (-1)*('(橫掃)RX Mapping'!AQ4-720)+120,IF(AND('(橫掃)RX Mapping'!AQ4&gt;=721,'(橫掃)RX Mapping'!AQ4&lt;=840), ('(橫掃)RX Mapping'!AQ4-601),IF(AND('(橫掃)RX Mapping'!AQ4&gt;=841,'(橫掃)RX Mapping'!AQ4&lt;=960), (-1)*('(橫掃)RX Mapping'!AQ4-960)+120,9999))))))))</f>
        <v>9999</v>
      </c>
      <c r="AR4">
        <f>IF(AND('(橫掃)RX Mapping'!AR4&gt;=1,'(橫掃)RX Mapping'!AR4&lt;=120), ('(橫掃)RX Mapping'!AR4-1),IF(AND('(橫掃)RX Mapping'!AR4&gt;=121,'(橫掃)RX Mapping'!AR4&lt;=240), (-1)*('(橫掃)RX Mapping'!AR4-240),IF(AND('(橫掃)RX Mapping'!AR4&gt;=241,'(橫掃)RX Mapping'!AR4&lt;=360), ('(橫掃)RX Mapping'!AR4-241),IF(AND('(橫掃)RX Mapping'!AR4&gt;=361,'(橫掃)RX Mapping'!AR4&lt;=480), (-1)*('(橫掃)RX Mapping'!AR4-480),IF(AND('(橫掃)RX Mapping'!AR4&gt;=481,'(橫掃)RX Mapping'!AR4&lt;=600), ('(橫掃)RX Mapping'!AR4-361),IF(AND('(橫掃)RX Mapping'!AR4&gt;=601,'(橫掃)RX Mapping'!AR4&lt;=720), (-1)*('(橫掃)RX Mapping'!AR4-720)+120,IF(AND('(橫掃)RX Mapping'!AR4&gt;=721,'(橫掃)RX Mapping'!AR4&lt;=840), ('(橫掃)RX Mapping'!AR4-601),IF(AND('(橫掃)RX Mapping'!AR4&gt;=841,'(橫掃)RX Mapping'!AR4&lt;=960), (-1)*('(橫掃)RX Mapping'!AR4-960)+120,9999))))))))</f>
        <v>9999</v>
      </c>
      <c r="AS4">
        <f>IF(AND('(橫掃)RX Mapping'!AS4&gt;=1,'(橫掃)RX Mapping'!AS4&lt;=120), ('(橫掃)RX Mapping'!AS4-1),IF(AND('(橫掃)RX Mapping'!AS4&gt;=121,'(橫掃)RX Mapping'!AS4&lt;=240), (-1)*('(橫掃)RX Mapping'!AS4-240),IF(AND('(橫掃)RX Mapping'!AS4&gt;=241,'(橫掃)RX Mapping'!AS4&lt;=360), ('(橫掃)RX Mapping'!AS4-241),IF(AND('(橫掃)RX Mapping'!AS4&gt;=361,'(橫掃)RX Mapping'!AS4&lt;=480), (-1)*('(橫掃)RX Mapping'!AS4-480),IF(AND('(橫掃)RX Mapping'!AS4&gt;=481,'(橫掃)RX Mapping'!AS4&lt;=600), ('(橫掃)RX Mapping'!AS4-361),IF(AND('(橫掃)RX Mapping'!AS4&gt;=601,'(橫掃)RX Mapping'!AS4&lt;=720), (-1)*('(橫掃)RX Mapping'!AS4-720)+120,IF(AND('(橫掃)RX Mapping'!AS4&gt;=721,'(橫掃)RX Mapping'!AS4&lt;=840), ('(橫掃)RX Mapping'!AS4-601),IF(AND('(橫掃)RX Mapping'!AS4&gt;=841,'(橫掃)RX Mapping'!AS4&lt;=960), (-1)*('(橫掃)RX Mapping'!AS4-960)+120,9999))))))))</f>
        <v>9999</v>
      </c>
      <c r="AT4">
        <f>IF(AND('(橫掃)RX Mapping'!AT4&gt;=1,'(橫掃)RX Mapping'!AT4&lt;=120), ('(橫掃)RX Mapping'!AT4-1),IF(AND('(橫掃)RX Mapping'!AT4&gt;=121,'(橫掃)RX Mapping'!AT4&lt;=240), (-1)*('(橫掃)RX Mapping'!AT4-240),IF(AND('(橫掃)RX Mapping'!AT4&gt;=241,'(橫掃)RX Mapping'!AT4&lt;=360), ('(橫掃)RX Mapping'!AT4-241),IF(AND('(橫掃)RX Mapping'!AT4&gt;=361,'(橫掃)RX Mapping'!AT4&lt;=480), (-1)*('(橫掃)RX Mapping'!AT4-480),IF(AND('(橫掃)RX Mapping'!AT4&gt;=481,'(橫掃)RX Mapping'!AT4&lt;=600), ('(橫掃)RX Mapping'!AT4-361),IF(AND('(橫掃)RX Mapping'!AT4&gt;=601,'(橫掃)RX Mapping'!AT4&lt;=720), (-1)*('(橫掃)RX Mapping'!AT4-720)+120,IF(AND('(橫掃)RX Mapping'!AT4&gt;=721,'(橫掃)RX Mapping'!AT4&lt;=840), ('(橫掃)RX Mapping'!AT4-601),IF(AND('(橫掃)RX Mapping'!AT4&gt;=841,'(橫掃)RX Mapping'!AT4&lt;=960), (-1)*('(橫掃)RX Mapping'!AT4-960)+120,9999))))))))</f>
        <v>9999</v>
      </c>
      <c r="AU4">
        <f>IF(AND('(橫掃)RX Mapping'!AU4&gt;=1,'(橫掃)RX Mapping'!AU4&lt;=120), ('(橫掃)RX Mapping'!AU4-1),IF(AND('(橫掃)RX Mapping'!AU4&gt;=121,'(橫掃)RX Mapping'!AU4&lt;=240), (-1)*('(橫掃)RX Mapping'!AU4-240),IF(AND('(橫掃)RX Mapping'!AU4&gt;=241,'(橫掃)RX Mapping'!AU4&lt;=360), ('(橫掃)RX Mapping'!AU4-241),IF(AND('(橫掃)RX Mapping'!AU4&gt;=361,'(橫掃)RX Mapping'!AU4&lt;=480), (-1)*('(橫掃)RX Mapping'!AU4-480),IF(AND('(橫掃)RX Mapping'!AU4&gt;=481,'(橫掃)RX Mapping'!AU4&lt;=600), ('(橫掃)RX Mapping'!AU4-361),IF(AND('(橫掃)RX Mapping'!AU4&gt;=601,'(橫掃)RX Mapping'!AU4&lt;=720), (-1)*('(橫掃)RX Mapping'!AU4-720)+120,IF(AND('(橫掃)RX Mapping'!AU4&gt;=721,'(橫掃)RX Mapping'!AU4&lt;=840), ('(橫掃)RX Mapping'!AU4-601),IF(AND('(橫掃)RX Mapping'!AU4&gt;=841,'(橫掃)RX Mapping'!AU4&lt;=960), (-1)*('(橫掃)RX Mapping'!AU4-960)+120,9999))))))))</f>
        <v>9999</v>
      </c>
      <c r="AV4">
        <f>IF(AND('(橫掃)RX Mapping'!AV4&gt;=1,'(橫掃)RX Mapping'!AV4&lt;=120), ('(橫掃)RX Mapping'!AV4-1),IF(AND('(橫掃)RX Mapping'!AV4&gt;=121,'(橫掃)RX Mapping'!AV4&lt;=240), (-1)*('(橫掃)RX Mapping'!AV4-240),IF(AND('(橫掃)RX Mapping'!AV4&gt;=241,'(橫掃)RX Mapping'!AV4&lt;=360), ('(橫掃)RX Mapping'!AV4-241),IF(AND('(橫掃)RX Mapping'!AV4&gt;=361,'(橫掃)RX Mapping'!AV4&lt;=480), (-1)*('(橫掃)RX Mapping'!AV4-480),IF(AND('(橫掃)RX Mapping'!AV4&gt;=481,'(橫掃)RX Mapping'!AV4&lt;=600), ('(橫掃)RX Mapping'!AV4-361),IF(AND('(橫掃)RX Mapping'!AV4&gt;=601,'(橫掃)RX Mapping'!AV4&lt;=720), (-1)*('(橫掃)RX Mapping'!AV4-720)+120,IF(AND('(橫掃)RX Mapping'!AV4&gt;=721,'(橫掃)RX Mapping'!AV4&lt;=840), ('(橫掃)RX Mapping'!AV4-601),IF(AND('(橫掃)RX Mapping'!AV4&gt;=841,'(橫掃)RX Mapping'!AV4&lt;=960), (-1)*('(橫掃)RX Mapping'!AV4-960)+120,9999))))))))</f>
        <v>9999</v>
      </c>
      <c r="AW4">
        <f>IF(AND('(橫掃)RX Mapping'!AW4&gt;=1,'(橫掃)RX Mapping'!AW4&lt;=120), ('(橫掃)RX Mapping'!AW4-1),IF(AND('(橫掃)RX Mapping'!AW4&gt;=121,'(橫掃)RX Mapping'!AW4&lt;=240), (-1)*('(橫掃)RX Mapping'!AW4-240),IF(AND('(橫掃)RX Mapping'!AW4&gt;=241,'(橫掃)RX Mapping'!AW4&lt;=360), ('(橫掃)RX Mapping'!AW4-241),IF(AND('(橫掃)RX Mapping'!AW4&gt;=361,'(橫掃)RX Mapping'!AW4&lt;=480), (-1)*('(橫掃)RX Mapping'!AW4-480),IF(AND('(橫掃)RX Mapping'!AW4&gt;=481,'(橫掃)RX Mapping'!AW4&lt;=600), ('(橫掃)RX Mapping'!AW4-361),IF(AND('(橫掃)RX Mapping'!AW4&gt;=601,'(橫掃)RX Mapping'!AW4&lt;=720), (-1)*('(橫掃)RX Mapping'!AW4-720)+120,IF(AND('(橫掃)RX Mapping'!AW4&gt;=721,'(橫掃)RX Mapping'!AW4&lt;=840), ('(橫掃)RX Mapping'!AW4-601),IF(AND('(橫掃)RX Mapping'!AW4&gt;=841,'(橫掃)RX Mapping'!AW4&lt;=960), (-1)*('(橫掃)RX Mapping'!AW4-960)+120,9999))))))))</f>
        <v>9999</v>
      </c>
      <c r="AX4">
        <f>IF(AND('(橫掃)RX Mapping'!AX4&gt;=1,'(橫掃)RX Mapping'!AX4&lt;=120), ('(橫掃)RX Mapping'!AX4-1),IF(AND('(橫掃)RX Mapping'!AX4&gt;=121,'(橫掃)RX Mapping'!AX4&lt;=240), (-1)*('(橫掃)RX Mapping'!AX4-240),IF(AND('(橫掃)RX Mapping'!AX4&gt;=241,'(橫掃)RX Mapping'!AX4&lt;=360), ('(橫掃)RX Mapping'!AX4-241),IF(AND('(橫掃)RX Mapping'!AX4&gt;=361,'(橫掃)RX Mapping'!AX4&lt;=480), (-1)*('(橫掃)RX Mapping'!AX4-480),IF(AND('(橫掃)RX Mapping'!AX4&gt;=481,'(橫掃)RX Mapping'!AX4&lt;=600), ('(橫掃)RX Mapping'!AX4-361),IF(AND('(橫掃)RX Mapping'!AX4&gt;=601,'(橫掃)RX Mapping'!AX4&lt;=720), (-1)*('(橫掃)RX Mapping'!AX4-720)+120,IF(AND('(橫掃)RX Mapping'!AX4&gt;=721,'(橫掃)RX Mapping'!AX4&lt;=840), ('(橫掃)RX Mapping'!AX4-601),IF(AND('(橫掃)RX Mapping'!AX4&gt;=841,'(橫掃)RX Mapping'!AX4&lt;=960), (-1)*('(橫掃)RX Mapping'!AX4-960)+120,9999))))))))</f>
        <v>9999</v>
      </c>
      <c r="AY4">
        <f>IF(AND('(橫掃)RX Mapping'!AY4&gt;=1,'(橫掃)RX Mapping'!AY4&lt;=120), ('(橫掃)RX Mapping'!AY4-1),IF(AND('(橫掃)RX Mapping'!AY4&gt;=121,'(橫掃)RX Mapping'!AY4&lt;=240), (-1)*('(橫掃)RX Mapping'!AY4-240),IF(AND('(橫掃)RX Mapping'!AY4&gt;=241,'(橫掃)RX Mapping'!AY4&lt;=360), ('(橫掃)RX Mapping'!AY4-241),IF(AND('(橫掃)RX Mapping'!AY4&gt;=361,'(橫掃)RX Mapping'!AY4&lt;=480), (-1)*('(橫掃)RX Mapping'!AY4-480),IF(AND('(橫掃)RX Mapping'!AY4&gt;=481,'(橫掃)RX Mapping'!AY4&lt;=600), ('(橫掃)RX Mapping'!AY4-361),IF(AND('(橫掃)RX Mapping'!AY4&gt;=601,'(橫掃)RX Mapping'!AY4&lt;=720), (-1)*('(橫掃)RX Mapping'!AY4-720)+120,IF(AND('(橫掃)RX Mapping'!AY4&gt;=721,'(橫掃)RX Mapping'!AY4&lt;=840), ('(橫掃)RX Mapping'!AY4-601),IF(AND('(橫掃)RX Mapping'!AY4&gt;=841,'(橫掃)RX Mapping'!AY4&lt;=960), (-1)*('(橫掃)RX Mapping'!AY4-960)+120,9999))))))))</f>
        <v>9999</v>
      </c>
      <c r="AZ4">
        <f>IF(AND('(橫掃)RX Mapping'!AZ4&gt;=1,'(橫掃)RX Mapping'!AZ4&lt;=120), ('(橫掃)RX Mapping'!AZ4-1),IF(AND('(橫掃)RX Mapping'!AZ4&gt;=121,'(橫掃)RX Mapping'!AZ4&lt;=240), (-1)*('(橫掃)RX Mapping'!AZ4-240),IF(AND('(橫掃)RX Mapping'!AZ4&gt;=241,'(橫掃)RX Mapping'!AZ4&lt;=360), ('(橫掃)RX Mapping'!AZ4-241),IF(AND('(橫掃)RX Mapping'!AZ4&gt;=361,'(橫掃)RX Mapping'!AZ4&lt;=480), (-1)*('(橫掃)RX Mapping'!AZ4-480),IF(AND('(橫掃)RX Mapping'!AZ4&gt;=481,'(橫掃)RX Mapping'!AZ4&lt;=600), ('(橫掃)RX Mapping'!AZ4-361),IF(AND('(橫掃)RX Mapping'!AZ4&gt;=601,'(橫掃)RX Mapping'!AZ4&lt;=720), (-1)*('(橫掃)RX Mapping'!AZ4-720)+120,IF(AND('(橫掃)RX Mapping'!AZ4&gt;=721,'(橫掃)RX Mapping'!AZ4&lt;=840), ('(橫掃)RX Mapping'!AZ4-601),IF(AND('(橫掃)RX Mapping'!AZ4&gt;=841,'(橫掃)RX Mapping'!AZ4&lt;=960), (-1)*('(橫掃)RX Mapping'!AZ4-960)+120,9999))))))))</f>
        <v>9999</v>
      </c>
      <c r="BA4">
        <f>IF(AND('(橫掃)RX Mapping'!BA4&gt;=1,'(橫掃)RX Mapping'!BA4&lt;=120), ('(橫掃)RX Mapping'!BA4-1),IF(AND('(橫掃)RX Mapping'!BA4&gt;=121,'(橫掃)RX Mapping'!BA4&lt;=240), (-1)*('(橫掃)RX Mapping'!BA4-240),IF(AND('(橫掃)RX Mapping'!BA4&gt;=241,'(橫掃)RX Mapping'!BA4&lt;=360), ('(橫掃)RX Mapping'!BA4-241),IF(AND('(橫掃)RX Mapping'!BA4&gt;=361,'(橫掃)RX Mapping'!BA4&lt;=480), (-1)*('(橫掃)RX Mapping'!BA4-480),IF(AND('(橫掃)RX Mapping'!BA4&gt;=481,'(橫掃)RX Mapping'!BA4&lt;=600), ('(橫掃)RX Mapping'!BA4-361),IF(AND('(橫掃)RX Mapping'!BA4&gt;=601,'(橫掃)RX Mapping'!BA4&lt;=720), (-1)*('(橫掃)RX Mapping'!BA4-720)+120,IF(AND('(橫掃)RX Mapping'!BA4&gt;=721,'(橫掃)RX Mapping'!BA4&lt;=840), ('(橫掃)RX Mapping'!BA4-601),IF(AND('(橫掃)RX Mapping'!BA4&gt;=841,'(橫掃)RX Mapping'!BA4&lt;=960), (-1)*('(橫掃)RX Mapping'!BA4-960)+120,9999))))))))</f>
        <v>9999</v>
      </c>
      <c r="BB4">
        <f>IF(AND('(橫掃)RX Mapping'!BB4&gt;=1,'(橫掃)RX Mapping'!BB4&lt;=120), ('(橫掃)RX Mapping'!BB4-1),IF(AND('(橫掃)RX Mapping'!BB4&gt;=121,'(橫掃)RX Mapping'!BB4&lt;=240), (-1)*('(橫掃)RX Mapping'!BB4-240),IF(AND('(橫掃)RX Mapping'!BB4&gt;=241,'(橫掃)RX Mapping'!BB4&lt;=360), ('(橫掃)RX Mapping'!BB4-241),IF(AND('(橫掃)RX Mapping'!BB4&gt;=361,'(橫掃)RX Mapping'!BB4&lt;=480), (-1)*('(橫掃)RX Mapping'!BB4-480),IF(AND('(橫掃)RX Mapping'!BB4&gt;=481,'(橫掃)RX Mapping'!BB4&lt;=600), ('(橫掃)RX Mapping'!BB4-361),IF(AND('(橫掃)RX Mapping'!BB4&gt;=601,'(橫掃)RX Mapping'!BB4&lt;=720), (-1)*('(橫掃)RX Mapping'!BB4-720)+120,IF(AND('(橫掃)RX Mapping'!BB4&gt;=721,'(橫掃)RX Mapping'!BB4&lt;=840), ('(橫掃)RX Mapping'!BB4-601),IF(AND('(橫掃)RX Mapping'!BB4&gt;=841,'(橫掃)RX Mapping'!BB4&lt;=960), (-1)*('(橫掃)RX Mapping'!BB4-960)+120,9999))))))))</f>
        <v>9999</v>
      </c>
      <c r="BC4">
        <f>IF(AND('(橫掃)RX Mapping'!BC4&gt;=1,'(橫掃)RX Mapping'!BC4&lt;=120), ('(橫掃)RX Mapping'!BC4-1),IF(AND('(橫掃)RX Mapping'!BC4&gt;=121,'(橫掃)RX Mapping'!BC4&lt;=240), (-1)*('(橫掃)RX Mapping'!BC4-240),IF(AND('(橫掃)RX Mapping'!BC4&gt;=241,'(橫掃)RX Mapping'!BC4&lt;=360), ('(橫掃)RX Mapping'!BC4-241),IF(AND('(橫掃)RX Mapping'!BC4&gt;=361,'(橫掃)RX Mapping'!BC4&lt;=480), (-1)*('(橫掃)RX Mapping'!BC4-480),IF(AND('(橫掃)RX Mapping'!BC4&gt;=481,'(橫掃)RX Mapping'!BC4&lt;=600), ('(橫掃)RX Mapping'!BC4-361),IF(AND('(橫掃)RX Mapping'!BC4&gt;=601,'(橫掃)RX Mapping'!BC4&lt;=720), (-1)*('(橫掃)RX Mapping'!BC4-720)+120,IF(AND('(橫掃)RX Mapping'!BC4&gt;=721,'(橫掃)RX Mapping'!BC4&lt;=840), ('(橫掃)RX Mapping'!BC4-601),IF(AND('(橫掃)RX Mapping'!BC4&gt;=841,'(橫掃)RX Mapping'!BC4&lt;=960), (-1)*('(橫掃)RX Mapping'!BC4-960)+120,9999))))))))</f>
        <v>9999</v>
      </c>
      <c r="BD4">
        <f>IF(AND('(橫掃)RX Mapping'!BD4&gt;=1,'(橫掃)RX Mapping'!BD4&lt;=120), ('(橫掃)RX Mapping'!BD4-1),IF(AND('(橫掃)RX Mapping'!BD4&gt;=121,'(橫掃)RX Mapping'!BD4&lt;=240), (-1)*('(橫掃)RX Mapping'!BD4-240),IF(AND('(橫掃)RX Mapping'!BD4&gt;=241,'(橫掃)RX Mapping'!BD4&lt;=360), ('(橫掃)RX Mapping'!BD4-241),IF(AND('(橫掃)RX Mapping'!BD4&gt;=361,'(橫掃)RX Mapping'!BD4&lt;=480), (-1)*('(橫掃)RX Mapping'!BD4-480),IF(AND('(橫掃)RX Mapping'!BD4&gt;=481,'(橫掃)RX Mapping'!BD4&lt;=600), ('(橫掃)RX Mapping'!BD4-361),IF(AND('(橫掃)RX Mapping'!BD4&gt;=601,'(橫掃)RX Mapping'!BD4&lt;=720), (-1)*('(橫掃)RX Mapping'!BD4-720)+120,IF(AND('(橫掃)RX Mapping'!BD4&gt;=721,'(橫掃)RX Mapping'!BD4&lt;=840), ('(橫掃)RX Mapping'!BD4-601),IF(AND('(橫掃)RX Mapping'!BD4&gt;=841,'(橫掃)RX Mapping'!BD4&lt;=960), (-1)*('(橫掃)RX Mapping'!BD4-960)+120,9999))))))))</f>
        <v>9999</v>
      </c>
      <c r="BE4">
        <f>IF(AND('(橫掃)RX Mapping'!BE4&gt;=1,'(橫掃)RX Mapping'!BE4&lt;=120), ('(橫掃)RX Mapping'!BE4-1),IF(AND('(橫掃)RX Mapping'!BE4&gt;=121,'(橫掃)RX Mapping'!BE4&lt;=240), (-1)*('(橫掃)RX Mapping'!BE4-240),IF(AND('(橫掃)RX Mapping'!BE4&gt;=241,'(橫掃)RX Mapping'!BE4&lt;=360), ('(橫掃)RX Mapping'!BE4-241),IF(AND('(橫掃)RX Mapping'!BE4&gt;=361,'(橫掃)RX Mapping'!BE4&lt;=480), (-1)*('(橫掃)RX Mapping'!BE4-480),IF(AND('(橫掃)RX Mapping'!BE4&gt;=481,'(橫掃)RX Mapping'!BE4&lt;=600), ('(橫掃)RX Mapping'!BE4-361),IF(AND('(橫掃)RX Mapping'!BE4&gt;=601,'(橫掃)RX Mapping'!BE4&lt;=720), (-1)*('(橫掃)RX Mapping'!BE4-720)+120,IF(AND('(橫掃)RX Mapping'!BE4&gt;=721,'(橫掃)RX Mapping'!BE4&lt;=840), ('(橫掃)RX Mapping'!BE4-601),IF(AND('(橫掃)RX Mapping'!BE4&gt;=841,'(橫掃)RX Mapping'!BE4&lt;=960), (-1)*('(橫掃)RX Mapping'!BE4-960)+120,9999))))))))</f>
        <v>9999</v>
      </c>
      <c r="BF4">
        <f>IF(AND('(橫掃)RX Mapping'!BF4&gt;=1,'(橫掃)RX Mapping'!BF4&lt;=120), ('(橫掃)RX Mapping'!BF4-1),IF(AND('(橫掃)RX Mapping'!BF4&gt;=121,'(橫掃)RX Mapping'!BF4&lt;=240), (-1)*('(橫掃)RX Mapping'!BF4-240),IF(AND('(橫掃)RX Mapping'!BF4&gt;=241,'(橫掃)RX Mapping'!BF4&lt;=360), ('(橫掃)RX Mapping'!BF4-241),IF(AND('(橫掃)RX Mapping'!BF4&gt;=361,'(橫掃)RX Mapping'!BF4&lt;=480), (-1)*('(橫掃)RX Mapping'!BF4-480),IF(AND('(橫掃)RX Mapping'!BF4&gt;=481,'(橫掃)RX Mapping'!BF4&lt;=600), ('(橫掃)RX Mapping'!BF4-361),IF(AND('(橫掃)RX Mapping'!BF4&gt;=601,'(橫掃)RX Mapping'!BF4&lt;=720), (-1)*('(橫掃)RX Mapping'!BF4-720)+120,IF(AND('(橫掃)RX Mapping'!BF4&gt;=721,'(橫掃)RX Mapping'!BF4&lt;=840), ('(橫掃)RX Mapping'!BF4-601),IF(AND('(橫掃)RX Mapping'!BF4&gt;=841,'(橫掃)RX Mapping'!BF4&lt;=960), (-1)*('(橫掃)RX Mapping'!BF4-960)+120,9999))))))))</f>
        <v>9999</v>
      </c>
      <c r="BG4">
        <f>IF(AND('(橫掃)RX Mapping'!BG4&gt;=1,'(橫掃)RX Mapping'!BG4&lt;=120), ('(橫掃)RX Mapping'!BG4-1),IF(AND('(橫掃)RX Mapping'!BG4&gt;=121,'(橫掃)RX Mapping'!BG4&lt;=240), (-1)*('(橫掃)RX Mapping'!BG4-240),IF(AND('(橫掃)RX Mapping'!BG4&gt;=241,'(橫掃)RX Mapping'!BG4&lt;=360), ('(橫掃)RX Mapping'!BG4-241),IF(AND('(橫掃)RX Mapping'!BG4&gt;=361,'(橫掃)RX Mapping'!BG4&lt;=480), (-1)*('(橫掃)RX Mapping'!BG4-480),IF(AND('(橫掃)RX Mapping'!BG4&gt;=481,'(橫掃)RX Mapping'!BG4&lt;=600), ('(橫掃)RX Mapping'!BG4-361),IF(AND('(橫掃)RX Mapping'!BG4&gt;=601,'(橫掃)RX Mapping'!BG4&lt;=720), (-1)*('(橫掃)RX Mapping'!BG4-720)+120,IF(AND('(橫掃)RX Mapping'!BG4&gt;=721,'(橫掃)RX Mapping'!BG4&lt;=840), ('(橫掃)RX Mapping'!BG4-601),IF(AND('(橫掃)RX Mapping'!BG4&gt;=841,'(橫掃)RX Mapping'!BG4&lt;=960), (-1)*('(橫掃)RX Mapping'!BG4-960)+120,9999))))))))</f>
        <v>9999</v>
      </c>
      <c r="BH4">
        <f>IF(AND('(橫掃)RX Mapping'!BH4&gt;=1,'(橫掃)RX Mapping'!BH4&lt;=120), ('(橫掃)RX Mapping'!BH4-1),IF(AND('(橫掃)RX Mapping'!BH4&gt;=121,'(橫掃)RX Mapping'!BH4&lt;=240), (-1)*('(橫掃)RX Mapping'!BH4-240),IF(AND('(橫掃)RX Mapping'!BH4&gt;=241,'(橫掃)RX Mapping'!BH4&lt;=360), ('(橫掃)RX Mapping'!BH4-241),IF(AND('(橫掃)RX Mapping'!BH4&gt;=361,'(橫掃)RX Mapping'!BH4&lt;=480), (-1)*('(橫掃)RX Mapping'!BH4-480),IF(AND('(橫掃)RX Mapping'!BH4&gt;=481,'(橫掃)RX Mapping'!BH4&lt;=600), ('(橫掃)RX Mapping'!BH4-361),IF(AND('(橫掃)RX Mapping'!BH4&gt;=601,'(橫掃)RX Mapping'!BH4&lt;=720), (-1)*('(橫掃)RX Mapping'!BH4-720)+120,IF(AND('(橫掃)RX Mapping'!BH4&gt;=721,'(橫掃)RX Mapping'!BH4&lt;=840), ('(橫掃)RX Mapping'!BH4-601),IF(AND('(橫掃)RX Mapping'!BH4&gt;=841,'(橫掃)RX Mapping'!BH4&lt;=960), (-1)*('(橫掃)RX Mapping'!BH4-960)+120,9999))))))))</f>
        <v>9999</v>
      </c>
      <c r="BI4">
        <f>IF(AND('(橫掃)RX Mapping'!BI4&gt;=1,'(橫掃)RX Mapping'!BI4&lt;=120), ('(橫掃)RX Mapping'!BI4-1),IF(AND('(橫掃)RX Mapping'!BI4&gt;=121,'(橫掃)RX Mapping'!BI4&lt;=240), (-1)*('(橫掃)RX Mapping'!BI4-240),IF(AND('(橫掃)RX Mapping'!BI4&gt;=241,'(橫掃)RX Mapping'!BI4&lt;=360), ('(橫掃)RX Mapping'!BI4-241),IF(AND('(橫掃)RX Mapping'!BI4&gt;=361,'(橫掃)RX Mapping'!BI4&lt;=480), (-1)*('(橫掃)RX Mapping'!BI4-480),IF(AND('(橫掃)RX Mapping'!BI4&gt;=481,'(橫掃)RX Mapping'!BI4&lt;=600), ('(橫掃)RX Mapping'!BI4-361),IF(AND('(橫掃)RX Mapping'!BI4&gt;=601,'(橫掃)RX Mapping'!BI4&lt;=720), (-1)*('(橫掃)RX Mapping'!BI4-720)+120,IF(AND('(橫掃)RX Mapping'!BI4&gt;=721,'(橫掃)RX Mapping'!BI4&lt;=840), ('(橫掃)RX Mapping'!BI4-601),IF(AND('(橫掃)RX Mapping'!BI4&gt;=841,'(橫掃)RX Mapping'!BI4&lt;=960), (-1)*('(橫掃)RX Mapping'!BI4-960)+120,9999))))))))</f>
        <v>9999</v>
      </c>
    </row>
    <row r="5" spans="1:61" x14ac:dyDescent="0.25">
      <c r="A5" s="20">
        <v>4</v>
      </c>
      <c r="B5">
        <f>IF(AND('(橫掃)RX Mapping'!B5&gt;=1,'(橫掃)RX Mapping'!B5&lt;=120), ('(橫掃)RX Mapping'!B5-1),IF(AND('(橫掃)RX Mapping'!B5&gt;=121,'(橫掃)RX Mapping'!B5&lt;=240), (-1)*('(橫掃)RX Mapping'!B5-240),IF(AND('(橫掃)RX Mapping'!B5&gt;=241,'(橫掃)RX Mapping'!B5&lt;=360), ('(橫掃)RX Mapping'!B5-241),IF(AND('(橫掃)RX Mapping'!B5&gt;=361,'(橫掃)RX Mapping'!B5&lt;=480), (-1)*('(橫掃)RX Mapping'!B5-480),IF(AND('(橫掃)RX Mapping'!B5&gt;=481,'(橫掃)RX Mapping'!B5&lt;=600), ('(橫掃)RX Mapping'!B5-361),IF(AND('(橫掃)RX Mapping'!B5&gt;=601,'(橫掃)RX Mapping'!B5&lt;=720), (-1)*('(橫掃)RX Mapping'!B5-720)+120,IF(AND('(橫掃)RX Mapping'!B5&gt;=721,'(橫掃)RX Mapping'!B5&lt;=840), ('(橫掃)RX Mapping'!B5-601),IF(AND('(橫掃)RX Mapping'!B5&gt;=841,'(橫掃)RX Mapping'!B5&lt;=960), (-1)*('(橫掃)RX Mapping'!B5-960)+120,9999))))))))</f>
        <v>3</v>
      </c>
      <c r="C5">
        <f>IF(AND('(橫掃)RX Mapping'!C5&gt;=1,'(橫掃)RX Mapping'!C5&lt;=120), ('(橫掃)RX Mapping'!C5-1),IF(AND('(橫掃)RX Mapping'!C5&gt;=121,'(橫掃)RX Mapping'!C5&lt;=240), (-1)*('(橫掃)RX Mapping'!C5-240),IF(AND('(橫掃)RX Mapping'!C5&gt;=241,'(橫掃)RX Mapping'!C5&lt;=360), ('(橫掃)RX Mapping'!C5-241),IF(AND('(橫掃)RX Mapping'!C5&gt;=361,'(橫掃)RX Mapping'!C5&lt;=480), (-1)*('(橫掃)RX Mapping'!C5-480),IF(AND('(橫掃)RX Mapping'!C5&gt;=481,'(橫掃)RX Mapping'!C5&lt;=600), ('(橫掃)RX Mapping'!C5-361),IF(AND('(橫掃)RX Mapping'!C5&gt;=601,'(橫掃)RX Mapping'!C5&lt;=720), (-1)*('(橫掃)RX Mapping'!C5-720)+120,IF(AND('(橫掃)RX Mapping'!C5&gt;=721,'(橫掃)RX Mapping'!C5&lt;=840), ('(橫掃)RX Mapping'!C5-601),IF(AND('(橫掃)RX Mapping'!C5&gt;=841,'(橫掃)RX Mapping'!C5&lt;=960), (-1)*('(橫掃)RX Mapping'!C5-960)+120,9999))))))))</f>
        <v>35</v>
      </c>
      <c r="D5">
        <f>IF(AND('(橫掃)RX Mapping'!D5&gt;=1,'(橫掃)RX Mapping'!D5&lt;=120), ('(橫掃)RX Mapping'!D5-1),IF(AND('(橫掃)RX Mapping'!D5&gt;=121,'(橫掃)RX Mapping'!D5&lt;=240), (-1)*('(橫掃)RX Mapping'!D5-240),IF(AND('(橫掃)RX Mapping'!D5&gt;=241,'(橫掃)RX Mapping'!D5&lt;=360), ('(橫掃)RX Mapping'!D5-241),IF(AND('(橫掃)RX Mapping'!D5&gt;=361,'(橫掃)RX Mapping'!D5&lt;=480), (-1)*('(橫掃)RX Mapping'!D5-480),IF(AND('(橫掃)RX Mapping'!D5&gt;=481,'(橫掃)RX Mapping'!D5&lt;=600), ('(橫掃)RX Mapping'!D5-361),IF(AND('(橫掃)RX Mapping'!D5&gt;=601,'(橫掃)RX Mapping'!D5&lt;=720), (-1)*('(橫掃)RX Mapping'!D5-720)+120,IF(AND('(橫掃)RX Mapping'!D5&gt;=721,'(橫掃)RX Mapping'!D5&lt;=840), ('(橫掃)RX Mapping'!D5-601),IF(AND('(橫掃)RX Mapping'!D5&gt;=841,'(橫掃)RX Mapping'!D5&lt;=960), (-1)*('(橫掃)RX Mapping'!D5-960)+120,9999))))))))</f>
        <v>67</v>
      </c>
      <c r="E5">
        <f>IF(AND('(橫掃)RX Mapping'!E5&gt;=1,'(橫掃)RX Mapping'!E5&lt;=120), ('(橫掃)RX Mapping'!E5-1),IF(AND('(橫掃)RX Mapping'!E5&gt;=121,'(橫掃)RX Mapping'!E5&lt;=240), (-1)*('(橫掃)RX Mapping'!E5-240),IF(AND('(橫掃)RX Mapping'!E5&gt;=241,'(橫掃)RX Mapping'!E5&lt;=360), ('(橫掃)RX Mapping'!E5-241),IF(AND('(橫掃)RX Mapping'!E5&gt;=361,'(橫掃)RX Mapping'!E5&lt;=480), (-1)*('(橫掃)RX Mapping'!E5-480),IF(AND('(橫掃)RX Mapping'!E5&gt;=481,'(橫掃)RX Mapping'!E5&lt;=600), ('(橫掃)RX Mapping'!E5-361),IF(AND('(橫掃)RX Mapping'!E5&gt;=601,'(橫掃)RX Mapping'!E5&lt;=720), (-1)*('(橫掃)RX Mapping'!E5-720)+120,IF(AND('(橫掃)RX Mapping'!E5&gt;=721,'(橫掃)RX Mapping'!E5&lt;=840), ('(橫掃)RX Mapping'!E5-601),IF(AND('(橫掃)RX Mapping'!E5&gt;=841,'(橫掃)RX Mapping'!E5&lt;=960), (-1)*('(橫掃)RX Mapping'!E5-960)+120,9999))))))))</f>
        <v>99</v>
      </c>
      <c r="F5">
        <f>IF(AND('(橫掃)RX Mapping'!F5&gt;=1,'(橫掃)RX Mapping'!F5&lt;=120), ('(橫掃)RX Mapping'!F5-1),IF(AND('(橫掃)RX Mapping'!F5&gt;=121,'(橫掃)RX Mapping'!F5&lt;=240), (-1)*('(橫掃)RX Mapping'!F5-240),IF(AND('(橫掃)RX Mapping'!F5&gt;=241,'(橫掃)RX Mapping'!F5&lt;=360), ('(橫掃)RX Mapping'!F5-241),IF(AND('(橫掃)RX Mapping'!F5&gt;=361,'(橫掃)RX Mapping'!F5&lt;=480), (-1)*('(橫掃)RX Mapping'!F5-480),IF(AND('(橫掃)RX Mapping'!F5&gt;=481,'(橫掃)RX Mapping'!F5&lt;=600), ('(橫掃)RX Mapping'!F5-361),IF(AND('(橫掃)RX Mapping'!F5&gt;=601,'(橫掃)RX Mapping'!F5&lt;=720), (-1)*('(橫掃)RX Mapping'!F5-720)+120,IF(AND('(橫掃)RX Mapping'!F5&gt;=721,'(橫掃)RX Mapping'!F5&lt;=840), ('(橫掃)RX Mapping'!F5-601),IF(AND('(橫掃)RX Mapping'!F5&gt;=841,'(橫掃)RX Mapping'!F5&lt;=960), (-1)*('(橫掃)RX Mapping'!F5-960)+120,9999))))))))</f>
        <v>108</v>
      </c>
      <c r="G5">
        <f>IF(AND('(橫掃)RX Mapping'!G5&gt;=1,'(橫掃)RX Mapping'!G5&lt;=120), ('(橫掃)RX Mapping'!G5-1),IF(AND('(橫掃)RX Mapping'!G5&gt;=121,'(橫掃)RX Mapping'!G5&lt;=240), (-1)*('(橫掃)RX Mapping'!G5-240),IF(AND('(橫掃)RX Mapping'!G5&gt;=241,'(橫掃)RX Mapping'!G5&lt;=360), ('(橫掃)RX Mapping'!G5-241),IF(AND('(橫掃)RX Mapping'!G5&gt;=361,'(橫掃)RX Mapping'!G5&lt;=480), (-1)*('(橫掃)RX Mapping'!G5-480),IF(AND('(橫掃)RX Mapping'!G5&gt;=481,'(橫掃)RX Mapping'!G5&lt;=600), ('(橫掃)RX Mapping'!G5-361),IF(AND('(橫掃)RX Mapping'!G5&gt;=601,'(橫掃)RX Mapping'!G5&lt;=720), (-1)*('(橫掃)RX Mapping'!G5-720)+120,IF(AND('(橫掃)RX Mapping'!G5&gt;=721,'(橫掃)RX Mapping'!G5&lt;=840), ('(橫掃)RX Mapping'!G5-601),IF(AND('(橫掃)RX Mapping'!G5&gt;=841,'(橫掃)RX Mapping'!G5&lt;=960), (-1)*('(橫掃)RX Mapping'!G5-960)+120,9999))))))))</f>
        <v>76</v>
      </c>
      <c r="H5">
        <f>IF(AND('(橫掃)RX Mapping'!H5&gt;=1,'(橫掃)RX Mapping'!H5&lt;=120), ('(橫掃)RX Mapping'!H5-1),IF(AND('(橫掃)RX Mapping'!H5&gt;=121,'(橫掃)RX Mapping'!H5&lt;=240), (-1)*('(橫掃)RX Mapping'!H5-240),IF(AND('(橫掃)RX Mapping'!H5&gt;=241,'(橫掃)RX Mapping'!H5&lt;=360), ('(橫掃)RX Mapping'!H5-241),IF(AND('(橫掃)RX Mapping'!H5&gt;=361,'(橫掃)RX Mapping'!H5&lt;=480), (-1)*('(橫掃)RX Mapping'!H5-480),IF(AND('(橫掃)RX Mapping'!H5&gt;=481,'(橫掃)RX Mapping'!H5&lt;=600), ('(橫掃)RX Mapping'!H5-361),IF(AND('(橫掃)RX Mapping'!H5&gt;=601,'(橫掃)RX Mapping'!H5&lt;=720), (-1)*('(橫掃)RX Mapping'!H5-720)+120,IF(AND('(橫掃)RX Mapping'!H5&gt;=721,'(橫掃)RX Mapping'!H5&lt;=840), ('(橫掃)RX Mapping'!H5-601),IF(AND('(橫掃)RX Mapping'!H5&gt;=841,'(橫掃)RX Mapping'!H5&lt;=960), (-1)*('(橫掃)RX Mapping'!H5-960)+120,9999))))))))</f>
        <v>44</v>
      </c>
      <c r="I5">
        <f>IF(AND('(橫掃)RX Mapping'!I5&gt;=1,'(橫掃)RX Mapping'!I5&lt;=120), ('(橫掃)RX Mapping'!I5-1),IF(AND('(橫掃)RX Mapping'!I5&gt;=121,'(橫掃)RX Mapping'!I5&lt;=240), (-1)*('(橫掃)RX Mapping'!I5-240),IF(AND('(橫掃)RX Mapping'!I5&gt;=241,'(橫掃)RX Mapping'!I5&lt;=360), ('(橫掃)RX Mapping'!I5-241),IF(AND('(橫掃)RX Mapping'!I5&gt;=361,'(橫掃)RX Mapping'!I5&lt;=480), (-1)*('(橫掃)RX Mapping'!I5-480),IF(AND('(橫掃)RX Mapping'!I5&gt;=481,'(橫掃)RX Mapping'!I5&lt;=600), ('(橫掃)RX Mapping'!I5-361),IF(AND('(橫掃)RX Mapping'!I5&gt;=601,'(橫掃)RX Mapping'!I5&lt;=720), (-1)*('(橫掃)RX Mapping'!I5-720)+120,IF(AND('(橫掃)RX Mapping'!I5&gt;=721,'(橫掃)RX Mapping'!I5&lt;=840), ('(橫掃)RX Mapping'!I5-601),IF(AND('(橫掃)RX Mapping'!I5&gt;=841,'(橫掃)RX Mapping'!I5&lt;=960), (-1)*('(橫掃)RX Mapping'!I5-960)+120,9999))))))))</f>
        <v>3</v>
      </c>
      <c r="J5">
        <f>IF(AND('(橫掃)RX Mapping'!J5&gt;=1,'(橫掃)RX Mapping'!J5&lt;=120), ('(橫掃)RX Mapping'!J5-1),IF(AND('(橫掃)RX Mapping'!J5&gt;=121,'(橫掃)RX Mapping'!J5&lt;=240), (-1)*('(橫掃)RX Mapping'!J5-240),IF(AND('(橫掃)RX Mapping'!J5&gt;=241,'(橫掃)RX Mapping'!J5&lt;=360), ('(橫掃)RX Mapping'!J5-241),IF(AND('(橫掃)RX Mapping'!J5&gt;=361,'(橫掃)RX Mapping'!J5&lt;=480), (-1)*('(橫掃)RX Mapping'!J5-480),IF(AND('(橫掃)RX Mapping'!J5&gt;=481,'(橫掃)RX Mapping'!J5&lt;=600), ('(橫掃)RX Mapping'!J5-361),IF(AND('(橫掃)RX Mapping'!J5&gt;=601,'(橫掃)RX Mapping'!J5&lt;=720), (-1)*('(橫掃)RX Mapping'!J5-720)+120,IF(AND('(橫掃)RX Mapping'!J5&gt;=721,'(橫掃)RX Mapping'!J5&lt;=840), ('(橫掃)RX Mapping'!J5-601),IF(AND('(橫掃)RX Mapping'!J5&gt;=841,'(橫掃)RX Mapping'!J5&lt;=960), (-1)*('(橫掃)RX Mapping'!J5-960)+120,9999))))))))</f>
        <v>35</v>
      </c>
      <c r="K5">
        <f>IF(AND('(橫掃)RX Mapping'!K5&gt;=1,'(橫掃)RX Mapping'!K5&lt;=120), ('(橫掃)RX Mapping'!K5-1),IF(AND('(橫掃)RX Mapping'!K5&gt;=121,'(橫掃)RX Mapping'!K5&lt;=240), (-1)*('(橫掃)RX Mapping'!K5-240),IF(AND('(橫掃)RX Mapping'!K5&gt;=241,'(橫掃)RX Mapping'!K5&lt;=360), ('(橫掃)RX Mapping'!K5-241),IF(AND('(橫掃)RX Mapping'!K5&gt;=361,'(橫掃)RX Mapping'!K5&lt;=480), (-1)*('(橫掃)RX Mapping'!K5-480),IF(AND('(橫掃)RX Mapping'!K5&gt;=481,'(橫掃)RX Mapping'!K5&lt;=600), ('(橫掃)RX Mapping'!K5-361),IF(AND('(橫掃)RX Mapping'!K5&gt;=601,'(橫掃)RX Mapping'!K5&lt;=720), (-1)*('(橫掃)RX Mapping'!K5-720)+120,IF(AND('(橫掃)RX Mapping'!K5&gt;=721,'(橫掃)RX Mapping'!K5&lt;=840), ('(橫掃)RX Mapping'!K5-601),IF(AND('(橫掃)RX Mapping'!K5&gt;=841,'(橫掃)RX Mapping'!K5&lt;=960), (-1)*('(橫掃)RX Mapping'!K5-960)+120,9999))))))))</f>
        <v>67</v>
      </c>
      <c r="L5">
        <f>IF(AND('(橫掃)RX Mapping'!L5&gt;=1,'(橫掃)RX Mapping'!L5&lt;=120), ('(橫掃)RX Mapping'!L5-1),IF(AND('(橫掃)RX Mapping'!L5&gt;=121,'(橫掃)RX Mapping'!L5&lt;=240), (-1)*('(橫掃)RX Mapping'!L5-240),IF(AND('(橫掃)RX Mapping'!L5&gt;=241,'(橫掃)RX Mapping'!L5&lt;=360), ('(橫掃)RX Mapping'!L5-241),IF(AND('(橫掃)RX Mapping'!L5&gt;=361,'(橫掃)RX Mapping'!L5&lt;=480), (-1)*('(橫掃)RX Mapping'!L5-480),IF(AND('(橫掃)RX Mapping'!L5&gt;=481,'(橫掃)RX Mapping'!L5&lt;=600), ('(橫掃)RX Mapping'!L5-361),IF(AND('(橫掃)RX Mapping'!L5&gt;=601,'(橫掃)RX Mapping'!L5&lt;=720), (-1)*('(橫掃)RX Mapping'!L5-720)+120,IF(AND('(橫掃)RX Mapping'!L5&gt;=721,'(橫掃)RX Mapping'!L5&lt;=840), ('(橫掃)RX Mapping'!L5-601),IF(AND('(橫掃)RX Mapping'!L5&gt;=841,'(橫掃)RX Mapping'!L5&lt;=960), (-1)*('(橫掃)RX Mapping'!L5-960)+120,9999))))))))</f>
        <v>99</v>
      </c>
      <c r="M5">
        <f>IF(AND('(橫掃)RX Mapping'!M5&gt;=1,'(橫掃)RX Mapping'!M5&lt;=120), ('(橫掃)RX Mapping'!M5-1),IF(AND('(橫掃)RX Mapping'!M5&gt;=121,'(橫掃)RX Mapping'!M5&lt;=240), (-1)*('(橫掃)RX Mapping'!M5-240),IF(AND('(橫掃)RX Mapping'!M5&gt;=241,'(橫掃)RX Mapping'!M5&lt;=360), ('(橫掃)RX Mapping'!M5-241),IF(AND('(橫掃)RX Mapping'!M5&gt;=361,'(橫掃)RX Mapping'!M5&lt;=480), (-1)*('(橫掃)RX Mapping'!M5-480),IF(AND('(橫掃)RX Mapping'!M5&gt;=481,'(橫掃)RX Mapping'!M5&lt;=600), ('(橫掃)RX Mapping'!M5-361),IF(AND('(橫掃)RX Mapping'!M5&gt;=601,'(橫掃)RX Mapping'!M5&lt;=720), (-1)*('(橫掃)RX Mapping'!M5-720)+120,IF(AND('(橫掃)RX Mapping'!M5&gt;=721,'(橫掃)RX Mapping'!M5&lt;=840), ('(橫掃)RX Mapping'!M5-601),IF(AND('(橫掃)RX Mapping'!M5&gt;=841,'(橫掃)RX Mapping'!M5&lt;=960), (-1)*('(橫掃)RX Mapping'!M5-960)+120,9999))))))))</f>
        <v>108</v>
      </c>
      <c r="N5">
        <f>IF(AND('(橫掃)RX Mapping'!N5&gt;=1,'(橫掃)RX Mapping'!N5&lt;=120), ('(橫掃)RX Mapping'!N5-1),IF(AND('(橫掃)RX Mapping'!N5&gt;=121,'(橫掃)RX Mapping'!N5&lt;=240), (-1)*('(橫掃)RX Mapping'!N5-240),IF(AND('(橫掃)RX Mapping'!N5&gt;=241,'(橫掃)RX Mapping'!N5&lt;=360), ('(橫掃)RX Mapping'!N5-241),IF(AND('(橫掃)RX Mapping'!N5&gt;=361,'(橫掃)RX Mapping'!N5&lt;=480), (-1)*('(橫掃)RX Mapping'!N5-480),IF(AND('(橫掃)RX Mapping'!N5&gt;=481,'(橫掃)RX Mapping'!N5&lt;=600), ('(橫掃)RX Mapping'!N5-361),IF(AND('(橫掃)RX Mapping'!N5&gt;=601,'(橫掃)RX Mapping'!N5&lt;=720), (-1)*('(橫掃)RX Mapping'!N5-720)+120,IF(AND('(橫掃)RX Mapping'!N5&gt;=721,'(橫掃)RX Mapping'!N5&lt;=840), ('(橫掃)RX Mapping'!N5-601),IF(AND('(橫掃)RX Mapping'!N5&gt;=841,'(橫掃)RX Mapping'!N5&lt;=960), (-1)*('(橫掃)RX Mapping'!N5-960)+120,9999))))))))</f>
        <v>76</v>
      </c>
      <c r="O5">
        <f>IF(AND('(橫掃)RX Mapping'!O5&gt;=1,'(橫掃)RX Mapping'!O5&lt;=120), ('(橫掃)RX Mapping'!O5-1),IF(AND('(橫掃)RX Mapping'!O5&gt;=121,'(橫掃)RX Mapping'!O5&lt;=240), (-1)*('(橫掃)RX Mapping'!O5-240),IF(AND('(橫掃)RX Mapping'!O5&gt;=241,'(橫掃)RX Mapping'!O5&lt;=360), ('(橫掃)RX Mapping'!O5-241),IF(AND('(橫掃)RX Mapping'!O5&gt;=361,'(橫掃)RX Mapping'!O5&lt;=480), (-1)*('(橫掃)RX Mapping'!O5-480),IF(AND('(橫掃)RX Mapping'!O5&gt;=481,'(橫掃)RX Mapping'!O5&lt;=600), ('(橫掃)RX Mapping'!O5-361),IF(AND('(橫掃)RX Mapping'!O5&gt;=601,'(橫掃)RX Mapping'!O5&lt;=720), (-1)*('(橫掃)RX Mapping'!O5-720)+120,IF(AND('(橫掃)RX Mapping'!O5&gt;=721,'(橫掃)RX Mapping'!O5&lt;=840), ('(橫掃)RX Mapping'!O5-601),IF(AND('(橫掃)RX Mapping'!O5&gt;=841,'(橫掃)RX Mapping'!O5&lt;=960), (-1)*('(橫掃)RX Mapping'!O5-960)+120,9999))))))))</f>
        <v>44</v>
      </c>
      <c r="P5">
        <f>IF(AND('(橫掃)RX Mapping'!P5&gt;=1,'(橫掃)RX Mapping'!P5&lt;=120), ('(橫掃)RX Mapping'!P5-1),IF(AND('(橫掃)RX Mapping'!P5&gt;=121,'(橫掃)RX Mapping'!P5&lt;=240), (-1)*('(橫掃)RX Mapping'!P5-240),IF(AND('(橫掃)RX Mapping'!P5&gt;=241,'(橫掃)RX Mapping'!P5&lt;=360), ('(橫掃)RX Mapping'!P5-241),IF(AND('(橫掃)RX Mapping'!P5&gt;=361,'(橫掃)RX Mapping'!P5&lt;=480), (-1)*('(橫掃)RX Mapping'!P5-480),IF(AND('(橫掃)RX Mapping'!P5&gt;=481,'(橫掃)RX Mapping'!P5&lt;=600), ('(橫掃)RX Mapping'!P5-361),IF(AND('(橫掃)RX Mapping'!P5&gt;=601,'(橫掃)RX Mapping'!P5&lt;=720), (-1)*('(橫掃)RX Mapping'!P5-720)+120,IF(AND('(橫掃)RX Mapping'!P5&gt;=721,'(橫掃)RX Mapping'!P5&lt;=840), ('(橫掃)RX Mapping'!P5-601),IF(AND('(橫掃)RX Mapping'!P5&gt;=841,'(橫掃)RX Mapping'!P5&lt;=960), (-1)*('(橫掃)RX Mapping'!P5-960)+120,9999))))))))</f>
        <v>123</v>
      </c>
      <c r="Q5">
        <f>IF(AND('(橫掃)RX Mapping'!Q5&gt;=1,'(橫掃)RX Mapping'!Q5&lt;=120), ('(橫掃)RX Mapping'!Q5-1),IF(AND('(橫掃)RX Mapping'!Q5&gt;=121,'(橫掃)RX Mapping'!Q5&lt;=240), (-1)*('(橫掃)RX Mapping'!Q5-240),IF(AND('(橫掃)RX Mapping'!Q5&gt;=241,'(橫掃)RX Mapping'!Q5&lt;=360), ('(橫掃)RX Mapping'!Q5-241),IF(AND('(橫掃)RX Mapping'!Q5&gt;=361,'(橫掃)RX Mapping'!Q5&lt;=480), (-1)*('(橫掃)RX Mapping'!Q5-480),IF(AND('(橫掃)RX Mapping'!Q5&gt;=481,'(橫掃)RX Mapping'!Q5&lt;=600), ('(橫掃)RX Mapping'!Q5-361),IF(AND('(橫掃)RX Mapping'!Q5&gt;=601,'(橫掃)RX Mapping'!Q5&lt;=720), (-1)*('(橫掃)RX Mapping'!Q5-720)+120,IF(AND('(橫掃)RX Mapping'!Q5&gt;=721,'(橫掃)RX Mapping'!Q5&lt;=840), ('(橫掃)RX Mapping'!Q5-601),IF(AND('(橫掃)RX Mapping'!Q5&gt;=841,'(橫掃)RX Mapping'!Q5&lt;=960), (-1)*('(橫掃)RX Mapping'!Q5-960)+120,9999))))))))</f>
        <v>155</v>
      </c>
      <c r="R5">
        <f>IF(AND('(橫掃)RX Mapping'!R5&gt;=1,'(橫掃)RX Mapping'!R5&lt;=120), ('(橫掃)RX Mapping'!R5-1),IF(AND('(橫掃)RX Mapping'!R5&gt;=121,'(橫掃)RX Mapping'!R5&lt;=240), (-1)*('(橫掃)RX Mapping'!R5-240),IF(AND('(橫掃)RX Mapping'!R5&gt;=241,'(橫掃)RX Mapping'!R5&lt;=360), ('(橫掃)RX Mapping'!R5-241),IF(AND('(橫掃)RX Mapping'!R5&gt;=361,'(橫掃)RX Mapping'!R5&lt;=480), (-1)*('(橫掃)RX Mapping'!R5-480),IF(AND('(橫掃)RX Mapping'!R5&gt;=481,'(橫掃)RX Mapping'!R5&lt;=600), ('(橫掃)RX Mapping'!R5-361),IF(AND('(橫掃)RX Mapping'!R5&gt;=601,'(橫掃)RX Mapping'!R5&lt;=720), (-1)*('(橫掃)RX Mapping'!R5-720)+120,IF(AND('(橫掃)RX Mapping'!R5&gt;=721,'(橫掃)RX Mapping'!R5&lt;=840), ('(橫掃)RX Mapping'!R5-601),IF(AND('(橫掃)RX Mapping'!R5&gt;=841,'(橫掃)RX Mapping'!R5&lt;=960), (-1)*('(橫掃)RX Mapping'!R5-960)+120,9999))))))))</f>
        <v>187</v>
      </c>
      <c r="S5">
        <f>IF(AND('(橫掃)RX Mapping'!S5&gt;=1,'(橫掃)RX Mapping'!S5&lt;=120), ('(橫掃)RX Mapping'!S5-1),IF(AND('(橫掃)RX Mapping'!S5&gt;=121,'(橫掃)RX Mapping'!S5&lt;=240), (-1)*('(橫掃)RX Mapping'!S5-240),IF(AND('(橫掃)RX Mapping'!S5&gt;=241,'(橫掃)RX Mapping'!S5&lt;=360), ('(橫掃)RX Mapping'!S5-241),IF(AND('(橫掃)RX Mapping'!S5&gt;=361,'(橫掃)RX Mapping'!S5&lt;=480), (-1)*('(橫掃)RX Mapping'!S5-480),IF(AND('(橫掃)RX Mapping'!S5&gt;=481,'(橫掃)RX Mapping'!S5&lt;=600), ('(橫掃)RX Mapping'!S5-361),IF(AND('(橫掃)RX Mapping'!S5&gt;=601,'(橫掃)RX Mapping'!S5&lt;=720), (-1)*('(橫掃)RX Mapping'!S5-720)+120,IF(AND('(橫掃)RX Mapping'!S5&gt;=721,'(橫掃)RX Mapping'!S5&lt;=840), ('(橫掃)RX Mapping'!S5-601),IF(AND('(橫掃)RX Mapping'!S5&gt;=841,'(橫掃)RX Mapping'!S5&lt;=960), (-1)*('(橫掃)RX Mapping'!S5-960)+120,9999))))))))</f>
        <v>219</v>
      </c>
      <c r="T5">
        <f>IF(AND('(橫掃)RX Mapping'!T5&gt;=1,'(橫掃)RX Mapping'!T5&lt;=120), ('(橫掃)RX Mapping'!T5-1),IF(AND('(橫掃)RX Mapping'!T5&gt;=121,'(橫掃)RX Mapping'!T5&lt;=240), (-1)*('(橫掃)RX Mapping'!T5-240),IF(AND('(橫掃)RX Mapping'!T5&gt;=241,'(橫掃)RX Mapping'!T5&lt;=360), ('(橫掃)RX Mapping'!T5-241),IF(AND('(橫掃)RX Mapping'!T5&gt;=361,'(橫掃)RX Mapping'!T5&lt;=480), (-1)*('(橫掃)RX Mapping'!T5-480),IF(AND('(橫掃)RX Mapping'!T5&gt;=481,'(橫掃)RX Mapping'!T5&lt;=600), ('(橫掃)RX Mapping'!T5-361),IF(AND('(橫掃)RX Mapping'!T5&gt;=601,'(橫掃)RX Mapping'!T5&lt;=720), (-1)*('(橫掃)RX Mapping'!T5-720)+120,IF(AND('(橫掃)RX Mapping'!T5&gt;=721,'(橫掃)RX Mapping'!T5&lt;=840), ('(橫掃)RX Mapping'!T5-601),IF(AND('(橫掃)RX Mapping'!T5&gt;=841,'(橫掃)RX Mapping'!T5&lt;=960), (-1)*('(橫掃)RX Mapping'!T5-960)+120,9999))))))))</f>
        <v>228</v>
      </c>
      <c r="U5">
        <f>IF(AND('(橫掃)RX Mapping'!U5&gt;=1,'(橫掃)RX Mapping'!U5&lt;=120), ('(橫掃)RX Mapping'!U5-1),IF(AND('(橫掃)RX Mapping'!U5&gt;=121,'(橫掃)RX Mapping'!U5&lt;=240), (-1)*('(橫掃)RX Mapping'!U5-240),IF(AND('(橫掃)RX Mapping'!U5&gt;=241,'(橫掃)RX Mapping'!U5&lt;=360), ('(橫掃)RX Mapping'!U5-241),IF(AND('(橫掃)RX Mapping'!U5&gt;=361,'(橫掃)RX Mapping'!U5&lt;=480), (-1)*('(橫掃)RX Mapping'!U5-480),IF(AND('(橫掃)RX Mapping'!U5&gt;=481,'(橫掃)RX Mapping'!U5&lt;=600), ('(橫掃)RX Mapping'!U5-361),IF(AND('(橫掃)RX Mapping'!U5&gt;=601,'(橫掃)RX Mapping'!U5&lt;=720), (-1)*('(橫掃)RX Mapping'!U5-720)+120,IF(AND('(橫掃)RX Mapping'!U5&gt;=721,'(橫掃)RX Mapping'!U5&lt;=840), ('(橫掃)RX Mapping'!U5-601),IF(AND('(橫掃)RX Mapping'!U5&gt;=841,'(橫掃)RX Mapping'!U5&lt;=960), (-1)*('(橫掃)RX Mapping'!U5-960)+120,9999))))))))</f>
        <v>196</v>
      </c>
      <c r="V5">
        <f>IF(AND('(橫掃)RX Mapping'!V5&gt;=1,'(橫掃)RX Mapping'!V5&lt;=120), ('(橫掃)RX Mapping'!V5-1),IF(AND('(橫掃)RX Mapping'!V5&gt;=121,'(橫掃)RX Mapping'!V5&lt;=240), (-1)*('(橫掃)RX Mapping'!V5-240),IF(AND('(橫掃)RX Mapping'!V5&gt;=241,'(橫掃)RX Mapping'!V5&lt;=360), ('(橫掃)RX Mapping'!V5-241),IF(AND('(橫掃)RX Mapping'!V5&gt;=361,'(橫掃)RX Mapping'!V5&lt;=480), (-1)*('(橫掃)RX Mapping'!V5-480),IF(AND('(橫掃)RX Mapping'!V5&gt;=481,'(橫掃)RX Mapping'!V5&lt;=600), ('(橫掃)RX Mapping'!V5-361),IF(AND('(橫掃)RX Mapping'!V5&gt;=601,'(橫掃)RX Mapping'!V5&lt;=720), (-1)*('(橫掃)RX Mapping'!V5-720)+120,IF(AND('(橫掃)RX Mapping'!V5&gt;=721,'(橫掃)RX Mapping'!V5&lt;=840), ('(橫掃)RX Mapping'!V5-601),IF(AND('(橫掃)RX Mapping'!V5&gt;=841,'(橫掃)RX Mapping'!V5&lt;=960), (-1)*('(橫掃)RX Mapping'!V5-960)+120,9999))))))))</f>
        <v>164</v>
      </c>
      <c r="W5">
        <f>IF(AND('(橫掃)RX Mapping'!W5&gt;=1,'(橫掃)RX Mapping'!W5&lt;=120), ('(橫掃)RX Mapping'!W5-1),IF(AND('(橫掃)RX Mapping'!W5&gt;=121,'(橫掃)RX Mapping'!W5&lt;=240), (-1)*('(橫掃)RX Mapping'!W5-240),IF(AND('(橫掃)RX Mapping'!W5&gt;=241,'(橫掃)RX Mapping'!W5&lt;=360), ('(橫掃)RX Mapping'!W5-241),IF(AND('(橫掃)RX Mapping'!W5&gt;=361,'(橫掃)RX Mapping'!W5&lt;=480), (-1)*('(橫掃)RX Mapping'!W5-480),IF(AND('(橫掃)RX Mapping'!W5&gt;=481,'(橫掃)RX Mapping'!W5&lt;=600), ('(橫掃)RX Mapping'!W5-361),IF(AND('(橫掃)RX Mapping'!W5&gt;=601,'(橫掃)RX Mapping'!W5&lt;=720), (-1)*('(橫掃)RX Mapping'!W5-720)+120,IF(AND('(橫掃)RX Mapping'!W5&gt;=721,'(橫掃)RX Mapping'!W5&lt;=840), ('(橫掃)RX Mapping'!W5-601),IF(AND('(橫掃)RX Mapping'!W5&gt;=841,'(橫掃)RX Mapping'!W5&lt;=960), (-1)*('(橫掃)RX Mapping'!W5-960)+120,9999))))))))</f>
        <v>123</v>
      </c>
      <c r="X5">
        <f>IF(AND('(橫掃)RX Mapping'!X5&gt;=1,'(橫掃)RX Mapping'!X5&lt;=120), ('(橫掃)RX Mapping'!X5-1),IF(AND('(橫掃)RX Mapping'!X5&gt;=121,'(橫掃)RX Mapping'!X5&lt;=240), (-1)*('(橫掃)RX Mapping'!X5-240),IF(AND('(橫掃)RX Mapping'!X5&gt;=241,'(橫掃)RX Mapping'!X5&lt;=360), ('(橫掃)RX Mapping'!X5-241),IF(AND('(橫掃)RX Mapping'!X5&gt;=361,'(橫掃)RX Mapping'!X5&lt;=480), (-1)*('(橫掃)RX Mapping'!X5-480),IF(AND('(橫掃)RX Mapping'!X5&gt;=481,'(橫掃)RX Mapping'!X5&lt;=600), ('(橫掃)RX Mapping'!X5-361),IF(AND('(橫掃)RX Mapping'!X5&gt;=601,'(橫掃)RX Mapping'!X5&lt;=720), (-1)*('(橫掃)RX Mapping'!X5-720)+120,IF(AND('(橫掃)RX Mapping'!X5&gt;=721,'(橫掃)RX Mapping'!X5&lt;=840), ('(橫掃)RX Mapping'!X5-601),IF(AND('(橫掃)RX Mapping'!X5&gt;=841,'(橫掃)RX Mapping'!X5&lt;=960), (-1)*('(橫掃)RX Mapping'!X5-960)+120,9999))))))))</f>
        <v>155</v>
      </c>
      <c r="Y5">
        <f>IF(AND('(橫掃)RX Mapping'!Y5&gt;=1,'(橫掃)RX Mapping'!Y5&lt;=120), ('(橫掃)RX Mapping'!Y5-1),IF(AND('(橫掃)RX Mapping'!Y5&gt;=121,'(橫掃)RX Mapping'!Y5&lt;=240), (-1)*('(橫掃)RX Mapping'!Y5-240),IF(AND('(橫掃)RX Mapping'!Y5&gt;=241,'(橫掃)RX Mapping'!Y5&lt;=360), ('(橫掃)RX Mapping'!Y5-241),IF(AND('(橫掃)RX Mapping'!Y5&gt;=361,'(橫掃)RX Mapping'!Y5&lt;=480), (-1)*('(橫掃)RX Mapping'!Y5-480),IF(AND('(橫掃)RX Mapping'!Y5&gt;=481,'(橫掃)RX Mapping'!Y5&lt;=600), ('(橫掃)RX Mapping'!Y5-361),IF(AND('(橫掃)RX Mapping'!Y5&gt;=601,'(橫掃)RX Mapping'!Y5&lt;=720), (-1)*('(橫掃)RX Mapping'!Y5-720)+120,IF(AND('(橫掃)RX Mapping'!Y5&gt;=721,'(橫掃)RX Mapping'!Y5&lt;=840), ('(橫掃)RX Mapping'!Y5-601),IF(AND('(橫掃)RX Mapping'!Y5&gt;=841,'(橫掃)RX Mapping'!Y5&lt;=960), (-1)*('(橫掃)RX Mapping'!Y5-960)+120,9999))))))))</f>
        <v>187</v>
      </c>
      <c r="Z5">
        <f>IF(AND('(橫掃)RX Mapping'!Z5&gt;=1,'(橫掃)RX Mapping'!Z5&lt;=120), ('(橫掃)RX Mapping'!Z5-1),IF(AND('(橫掃)RX Mapping'!Z5&gt;=121,'(橫掃)RX Mapping'!Z5&lt;=240), (-1)*('(橫掃)RX Mapping'!Z5-240),IF(AND('(橫掃)RX Mapping'!Z5&gt;=241,'(橫掃)RX Mapping'!Z5&lt;=360), ('(橫掃)RX Mapping'!Z5-241),IF(AND('(橫掃)RX Mapping'!Z5&gt;=361,'(橫掃)RX Mapping'!Z5&lt;=480), (-1)*('(橫掃)RX Mapping'!Z5-480),IF(AND('(橫掃)RX Mapping'!Z5&gt;=481,'(橫掃)RX Mapping'!Z5&lt;=600), ('(橫掃)RX Mapping'!Z5-361),IF(AND('(橫掃)RX Mapping'!Z5&gt;=601,'(橫掃)RX Mapping'!Z5&lt;=720), (-1)*('(橫掃)RX Mapping'!Z5-720)+120,IF(AND('(橫掃)RX Mapping'!Z5&gt;=721,'(橫掃)RX Mapping'!Z5&lt;=840), ('(橫掃)RX Mapping'!Z5-601),IF(AND('(橫掃)RX Mapping'!Z5&gt;=841,'(橫掃)RX Mapping'!Z5&lt;=960), (-1)*('(橫掃)RX Mapping'!Z5-960)+120,9999))))))))</f>
        <v>219</v>
      </c>
      <c r="AA5">
        <f>IF(AND('(橫掃)RX Mapping'!AA5&gt;=1,'(橫掃)RX Mapping'!AA5&lt;=120), ('(橫掃)RX Mapping'!AA5-1),IF(AND('(橫掃)RX Mapping'!AA5&gt;=121,'(橫掃)RX Mapping'!AA5&lt;=240), (-1)*('(橫掃)RX Mapping'!AA5-240),IF(AND('(橫掃)RX Mapping'!AA5&gt;=241,'(橫掃)RX Mapping'!AA5&lt;=360), ('(橫掃)RX Mapping'!AA5-241),IF(AND('(橫掃)RX Mapping'!AA5&gt;=361,'(橫掃)RX Mapping'!AA5&lt;=480), (-1)*('(橫掃)RX Mapping'!AA5-480),IF(AND('(橫掃)RX Mapping'!AA5&gt;=481,'(橫掃)RX Mapping'!AA5&lt;=600), ('(橫掃)RX Mapping'!AA5-361),IF(AND('(橫掃)RX Mapping'!AA5&gt;=601,'(橫掃)RX Mapping'!AA5&lt;=720), (-1)*('(橫掃)RX Mapping'!AA5-720)+120,IF(AND('(橫掃)RX Mapping'!AA5&gt;=721,'(橫掃)RX Mapping'!AA5&lt;=840), ('(橫掃)RX Mapping'!AA5-601),IF(AND('(橫掃)RX Mapping'!AA5&gt;=841,'(橫掃)RX Mapping'!AA5&lt;=960), (-1)*('(橫掃)RX Mapping'!AA5-960)+120,9999))))))))</f>
        <v>228</v>
      </c>
      <c r="AB5">
        <f>IF(AND('(橫掃)RX Mapping'!AB5&gt;=1,'(橫掃)RX Mapping'!AB5&lt;=120), ('(橫掃)RX Mapping'!AB5-1),IF(AND('(橫掃)RX Mapping'!AB5&gt;=121,'(橫掃)RX Mapping'!AB5&lt;=240), (-1)*('(橫掃)RX Mapping'!AB5-240),IF(AND('(橫掃)RX Mapping'!AB5&gt;=241,'(橫掃)RX Mapping'!AB5&lt;=360), ('(橫掃)RX Mapping'!AB5-241),IF(AND('(橫掃)RX Mapping'!AB5&gt;=361,'(橫掃)RX Mapping'!AB5&lt;=480), (-1)*('(橫掃)RX Mapping'!AB5-480),IF(AND('(橫掃)RX Mapping'!AB5&gt;=481,'(橫掃)RX Mapping'!AB5&lt;=600), ('(橫掃)RX Mapping'!AB5-361),IF(AND('(橫掃)RX Mapping'!AB5&gt;=601,'(橫掃)RX Mapping'!AB5&lt;=720), (-1)*('(橫掃)RX Mapping'!AB5-720)+120,IF(AND('(橫掃)RX Mapping'!AB5&gt;=721,'(橫掃)RX Mapping'!AB5&lt;=840), ('(橫掃)RX Mapping'!AB5-601),IF(AND('(橫掃)RX Mapping'!AB5&gt;=841,'(橫掃)RX Mapping'!AB5&lt;=960), (-1)*('(橫掃)RX Mapping'!AB5-960)+120,9999))))))))</f>
        <v>196</v>
      </c>
      <c r="AC5">
        <f>IF(AND('(橫掃)RX Mapping'!AC5&gt;=1,'(橫掃)RX Mapping'!AC5&lt;=120), ('(橫掃)RX Mapping'!AC5-1),IF(AND('(橫掃)RX Mapping'!AC5&gt;=121,'(橫掃)RX Mapping'!AC5&lt;=240), (-1)*('(橫掃)RX Mapping'!AC5-240),IF(AND('(橫掃)RX Mapping'!AC5&gt;=241,'(橫掃)RX Mapping'!AC5&lt;=360), ('(橫掃)RX Mapping'!AC5-241),IF(AND('(橫掃)RX Mapping'!AC5&gt;=361,'(橫掃)RX Mapping'!AC5&lt;=480), (-1)*('(橫掃)RX Mapping'!AC5-480),IF(AND('(橫掃)RX Mapping'!AC5&gt;=481,'(橫掃)RX Mapping'!AC5&lt;=600), ('(橫掃)RX Mapping'!AC5-361),IF(AND('(橫掃)RX Mapping'!AC5&gt;=601,'(橫掃)RX Mapping'!AC5&lt;=720), (-1)*('(橫掃)RX Mapping'!AC5-720)+120,IF(AND('(橫掃)RX Mapping'!AC5&gt;=721,'(橫掃)RX Mapping'!AC5&lt;=840), ('(橫掃)RX Mapping'!AC5-601),IF(AND('(橫掃)RX Mapping'!AC5&gt;=841,'(橫掃)RX Mapping'!AC5&lt;=960), (-1)*('(橫掃)RX Mapping'!AC5-960)+120,9999))))))))</f>
        <v>164</v>
      </c>
      <c r="AD5">
        <f>IF(AND('(橫掃)RX Mapping'!AD5&gt;=1,'(橫掃)RX Mapping'!AD5&lt;=120), ('(橫掃)RX Mapping'!AD5-1),IF(AND('(橫掃)RX Mapping'!AD5&gt;=121,'(橫掃)RX Mapping'!AD5&lt;=240), (-1)*('(橫掃)RX Mapping'!AD5-240),IF(AND('(橫掃)RX Mapping'!AD5&gt;=241,'(橫掃)RX Mapping'!AD5&lt;=360), ('(橫掃)RX Mapping'!AD5-241),IF(AND('(橫掃)RX Mapping'!AD5&gt;=361,'(橫掃)RX Mapping'!AD5&lt;=480), (-1)*('(橫掃)RX Mapping'!AD5-480),IF(AND('(橫掃)RX Mapping'!AD5&gt;=481,'(橫掃)RX Mapping'!AD5&lt;=600), ('(橫掃)RX Mapping'!AD5-361),IF(AND('(橫掃)RX Mapping'!AD5&gt;=601,'(橫掃)RX Mapping'!AD5&lt;=720), (-1)*('(橫掃)RX Mapping'!AD5-720)+120,IF(AND('(橫掃)RX Mapping'!AD5&gt;=721,'(橫掃)RX Mapping'!AD5&lt;=840), ('(橫掃)RX Mapping'!AD5-601),IF(AND('(橫掃)RX Mapping'!AD5&gt;=841,'(橫掃)RX Mapping'!AD5&lt;=960), (-1)*('(橫掃)RX Mapping'!AD5-960)+120,9999))))))))</f>
        <v>9999</v>
      </c>
      <c r="AE5">
        <f>IF(AND('(橫掃)RX Mapping'!AE5&gt;=1,'(橫掃)RX Mapping'!AE5&lt;=120), ('(橫掃)RX Mapping'!AE5-1),IF(AND('(橫掃)RX Mapping'!AE5&gt;=121,'(橫掃)RX Mapping'!AE5&lt;=240), (-1)*('(橫掃)RX Mapping'!AE5-240),IF(AND('(橫掃)RX Mapping'!AE5&gt;=241,'(橫掃)RX Mapping'!AE5&lt;=360), ('(橫掃)RX Mapping'!AE5-241),IF(AND('(橫掃)RX Mapping'!AE5&gt;=361,'(橫掃)RX Mapping'!AE5&lt;=480), (-1)*('(橫掃)RX Mapping'!AE5-480),IF(AND('(橫掃)RX Mapping'!AE5&gt;=481,'(橫掃)RX Mapping'!AE5&lt;=600), ('(橫掃)RX Mapping'!AE5-361),IF(AND('(橫掃)RX Mapping'!AE5&gt;=601,'(橫掃)RX Mapping'!AE5&lt;=720), (-1)*('(橫掃)RX Mapping'!AE5-720)+120,IF(AND('(橫掃)RX Mapping'!AE5&gt;=721,'(橫掃)RX Mapping'!AE5&lt;=840), ('(橫掃)RX Mapping'!AE5-601),IF(AND('(橫掃)RX Mapping'!AE5&gt;=841,'(橫掃)RX Mapping'!AE5&lt;=960), (-1)*('(橫掃)RX Mapping'!AE5-960)+120,9999))))))))</f>
        <v>9999</v>
      </c>
      <c r="AF5">
        <f>IF(AND('(橫掃)RX Mapping'!AF5&gt;=1,'(橫掃)RX Mapping'!AF5&lt;=120), ('(橫掃)RX Mapping'!AF5-1),IF(AND('(橫掃)RX Mapping'!AF5&gt;=121,'(橫掃)RX Mapping'!AF5&lt;=240), (-1)*('(橫掃)RX Mapping'!AF5-240),IF(AND('(橫掃)RX Mapping'!AF5&gt;=241,'(橫掃)RX Mapping'!AF5&lt;=360), ('(橫掃)RX Mapping'!AF5-241),IF(AND('(橫掃)RX Mapping'!AF5&gt;=361,'(橫掃)RX Mapping'!AF5&lt;=480), (-1)*('(橫掃)RX Mapping'!AF5-480),IF(AND('(橫掃)RX Mapping'!AF5&gt;=481,'(橫掃)RX Mapping'!AF5&lt;=600), ('(橫掃)RX Mapping'!AF5-361),IF(AND('(橫掃)RX Mapping'!AF5&gt;=601,'(橫掃)RX Mapping'!AF5&lt;=720), (-1)*('(橫掃)RX Mapping'!AF5-720)+120,IF(AND('(橫掃)RX Mapping'!AF5&gt;=721,'(橫掃)RX Mapping'!AF5&lt;=840), ('(橫掃)RX Mapping'!AF5-601),IF(AND('(橫掃)RX Mapping'!AF5&gt;=841,'(橫掃)RX Mapping'!AF5&lt;=960), (-1)*('(橫掃)RX Mapping'!AF5-960)+120,9999))))))))</f>
        <v>9999</v>
      </c>
      <c r="AG5">
        <f>IF(AND('(橫掃)RX Mapping'!AG5&gt;=1,'(橫掃)RX Mapping'!AG5&lt;=120), ('(橫掃)RX Mapping'!AG5-1),IF(AND('(橫掃)RX Mapping'!AG5&gt;=121,'(橫掃)RX Mapping'!AG5&lt;=240), (-1)*('(橫掃)RX Mapping'!AG5-240),IF(AND('(橫掃)RX Mapping'!AG5&gt;=241,'(橫掃)RX Mapping'!AG5&lt;=360), ('(橫掃)RX Mapping'!AG5-241),IF(AND('(橫掃)RX Mapping'!AG5&gt;=361,'(橫掃)RX Mapping'!AG5&lt;=480), (-1)*('(橫掃)RX Mapping'!AG5-480),IF(AND('(橫掃)RX Mapping'!AG5&gt;=481,'(橫掃)RX Mapping'!AG5&lt;=600), ('(橫掃)RX Mapping'!AG5-361),IF(AND('(橫掃)RX Mapping'!AG5&gt;=601,'(橫掃)RX Mapping'!AG5&lt;=720), (-1)*('(橫掃)RX Mapping'!AG5-720)+120,IF(AND('(橫掃)RX Mapping'!AG5&gt;=721,'(橫掃)RX Mapping'!AG5&lt;=840), ('(橫掃)RX Mapping'!AG5-601),IF(AND('(橫掃)RX Mapping'!AG5&gt;=841,'(橫掃)RX Mapping'!AG5&lt;=960), (-1)*('(橫掃)RX Mapping'!AG5-960)+120,9999))))))))</f>
        <v>9999</v>
      </c>
      <c r="AH5">
        <f>IF(AND('(橫掃)RX Mapping'!AH5&gt;=1,'(橫掃)RX Mapping'!AH5&lt;=120), ('(橫掃)RX Mapping'!AH5-1),IF(AND('(橫掃)RX Mapping'!AH5&gt;=121,'(橫掃)RX Mapping'!AH5&lt;=240), (-1)*('(橫掃)RX Mapping'!AH5-240),IF(AND('(橫掃)RX Mapping'!AH5&gt;=241,'(橫掃)RX Mapping'!AH5&lt;=360), ('(橫掃)RX Mapping'!AH5-241),IF(AND('(橫掃)RX Mapping'!AH5&gt;=361,'(橫掃)RX Mapping'!AH5&lt;=480), (-1)*('(橫掃)RX Mapping'!AH5-480),IF(AND('(橫掃)RX Mapping'!AH5&gt;=481,'(橫掃)RX Mapping'!AH5&lt;=600), ('(橫掃)RX Mapping'!AH5-361),IF(AND('(橫掃)RX Mapping'!AH5&gt;=601,'(橫掃)RX Mapping'!AH5&lt;=720), (-1)*('(橫掃)RX Mapping'!AH5-720)+120,IF(AND('(橫掃)RX Mapping'!AH5&gt;=721,'(橫掃)RX Mapping'!AH5&lt;=840), ('(橫掃)RX Mapping'!AH5-601),IF(AND('(橫掃)RX Mapping'!AH5&gt;=841,'(橫掃)RX Mapping'!AH5&lt;=960), (-1)*('(橫掃)RX Mapping'!AH5-960)+120,9999))))))))</f>
        <v>9999</v>
      </c>
      <c r="AI5">
        <f>IF(AND('(橫掃)RX Mapping'!AI5&gt;=1,'(橫掃)RX Mapping'!AI5&lt;=120), ('(橫掃)RX Mapping'!AI5-1),IF(AND('(橫掃)RX Mapping'!AI5&gt;=121,'(橫掃)RX Mapping'!AI5&lt;=240), (-1)*('(橫掃)RX Mapping'!AI5-240),IF(AND('(橫掃)RX Mapping'!AI5&gt;=241,'(橫掃)RX Mapping'!AI5&lt;=360), ('(橫掃)RX Mapping'!AI5-241),IF(AND('(橫掃)RX Mapping'!AI5&gt;=361,'(橫掃)RX Mapping'!AI5&lt;=480), (-1)*('(橫掃)RX Mapping'!AI5-480),IF(AND('(橫掃)RX Mapping'!AI5&gt;=481,'(橫掃)RX Mapping'!AI5&lt;=600), ('(橫掃)RX Mapping'!AI5-361),IF(AND('(橫掃)RX Mapping'!AI5&gt;=601,'(橫掃)RX Mapping'!AI5&lt;=720), (-1)*('(橫掃)RX Mapping'!AI5-720)+120,IF(AND('(橫掃)RX Mapping'!AI5&gt;=721,'(橫掃)RX Mapping'!AI5&lt;=840), ('(橫掃)RX Mapping'!AI5-601),IF(AND('(橫掃)RX Mapping'!AI5&gt;=841,'(橫掃)RX Mapping'!AI5&lt;=960), (-1)*('(橫掃)RX Mapping'!AI5-960)+120,9999))))))))</f>
        <v>9999</v>
      </c>
      <c r="AJ5">
        <f>IF(AND('(橫掃)RX Mapping'!AJ5&gt;=1,'(橫掃)RX Mapping'!AJ5&lt;=120), ('(橫掃)RX Mapping'!AJ5-1),IF(AND('(橫掃)RX Mapping'!AJ5&gt;=121,'(橫掃)RX Mapping'!AJ5&lt;=240), (-1)*('(橫掃)RX Mapping'!AJ5-240),IF(AND('(橫掃)RX Mapping'!AJ5&gt;=241,'(橫掃)RX Mapping'!AJ5&lt;=360), ('(橫掃)RX Mapping'!AJ5-241),IF(AND('(橫掃)RX Mapping'!AJ5&gt;=361,'(橫掃)RX Mapping'!AJ5&lt;=480), (-1)*('(橫掃)RX Mapping'!AJ5-480),IF(AND('(橫掃)RX Mapping'!AJ5&gt;=481,'(橫掃)RX Mapping'!AJ5&lt;=600), ('(橫掃)RX Mapping'!AJ5-361),IF(AND('(橫掃)RX Mapping'!AJ5&gt;=601,'(橫掃)RX Mapping'!AJ5&lt;=720), (-1)*('(橫掃)RX Mapping'!AJ5-720)+120,IF(AND('(橫掃)RX Mapping'!AJ5&gt;=721,'(橫掃)RX Mapping'!AJ5&lt;=840), ('(橫掃)RX Mapping'!AJ5-601),IF(AND('(橫掃)RX Mapping'!AJ5&gt;=841,'(橫掃)RX Mapping'!AJ5&lt;=960), (-1)*('(橫掃)RX Mapping'!AJ5-960)+120,9999))))))))</f>
        <v>9999</v>
      </c>
      <c r="AK5">
        <f>IF(AND('(橫掃)RX Mapping'!AK5&gt;=1,'(橫掃)RX Mapping'!AK5&lt;=120), ('(橫掃)RX Mapping'!AK5-1),IF(AND('(橫掃)RX Mapping'!AK5&gt;=121,'(橫掃)RX Mapping'!AK5&lt;=240), (-1)*('(橫掃)RX Mapping'!AK5-240),IF(AND('(橫掃)RX Mapping'!AK5&gt;=241,'(橫掃)RX Mapping'!AK5&lt;=360), ('(橫掃)RX Mapping'!AK5-241),IF(AND('(橫掃)RX Mapping'!AK5&gt;=361,'(橫掃)RX Mapping'!AK5&lt;=480), (-1)*('(橫掃)RX Mapping'!AK5-480),IF(AND('(橫掃)RX Mapping'!AK5&gt;=481,'(橫掃)RX Mapping'!AK5&lt;=600), ('(橫掃)RX Mapping'!AK5-361),IF(AND('(橫掃)RX Mapping'!AK5&gt;=601,'(橫掃)RX Mapping'!AK5&lt;=720), (-1)*('(橫掃)RX Mapping'!AK5-720)+120,IF(AND('(橫掃)RX Mapping'!AK5&gt;=721,'(橫掃)RX Mapping'!AK5&lt;=840), ('(橫掃)RX Mapping'!AK5-601),IF(AND('(橫掃)RX Mapping'!AK5&gt;=841,'(橫掃)RX Mapping'!AK5&lt;=960), (-1)*('(橫掃)RX Mapping'!AK5-960)+120,9999))))))))</f>
        <v>9999</v>
      </c>
      <c r="AL5">
        <f>IF(AND('(橫掃)RX Mapping'!AL5&gt;=1,'(橫掃)RX Mapping'!AL5&lt;=120), ('(橫掃)RX Mapping'!AL5-1),IF(AND('(橫掃)RX Mapping'!AL5&gt;=121,'(橫掃)RX Mapping'!AL5&lt;=240), (-1)*('(橫掃)RX Mapping'!AL5-240),IF(AND('(橫掃)RX Mapping'!AL5&gt;=241,'(橫掃)RX Mapping'!AL5&lt;=360), ('(橫掃)RX Mapping'!AL5-241),IF(AND('(橫掃)RX Mapping'!AL5&gt;=361,'(橫掃)RX Mapping'!AL5&lt;=480), (-1)*('(橫掃)RX Mapping'!AL5-480),IF(AND('(橫掃)RX Mapping'!AL5&gt;=481,'(橫掃)RX Mapping'!AL5&lt;=600), ('(橫掃)RX Mapping'!AL5-361),IF(AND('(橫掃)RX Mapping'!AL5&gt;=601,'(橫掃)RX Mapping'!AL5&lt;=720), (-1)*('(橫掃)RX Mapping'!AL5-720)+120,IF(AND('(橫掃)RX Mapping'!AL5&gt;=721,'(橫掃)RX Mapping'!AL5&lt;=840), ('(橫掃)RX Mapping'!AL5-601),IF(AND('(橫掃)RX Mapping'!AL5&gt;=841,'(橫掃)RX Mapping'!AL5&lt;=960), (-1)*('(橫掃)RX Mapping'!AL5-960)+120,9999))))))))</f>
        <v>9999</v>
      </c>
      <c r="AM5">
        <f>IF(AND('(橫掃)RX Mapping'!AM5&gt;=1,'(橫掃)RX Mapping'!AM5&lt;=120), ('(橫掃)RX Mapping'!AM5-1),IF(AND('(橫掃)RX Mapping'!AM5&gt;=121,'(橫掃)RX Mapping'!AM5&lt;=240), (-1)*('(橫掃)RX Mapping'!AM5-240),IF(AND('(橫掃)RX Mapping'!AM5&gt;=241,'(橫掃)RX Mapping'!AM5&lt;=360), ('(橫掃)RX Mapping'!AM5-241),IF(AND('(橫掃)RX Mapping'!AM5&gt;=361,'(橫掃)RX Mapping'!AM5&lt;=480), (-1)*('(橫掃)RX Mapping'!AM5-480),IF(AND('(橫掃)RX Mapping'!AM5&gt;=481,'(橫掃)RX Mapping'!AM5&lt;=600), ('(橫掃)RX Mapping'!AM5-361),IF(AND('(橫掃)RX Mapping'!AM5&gt;=601,'(橫掃)RX Mapping'!AM5&lt;=720), (-1)*('(橫掃)RX Mapping'!AM5-720)+120,IF(AND('(橫掃)RX Mapping'!AM5&gt;=721,'(橫掃)RX Mapping'!AM5&lt;=840), ('(橫掃)RX Mapping'!AM5-601),IF(AND('(橫掃)RX Mapping'!AM5&gt;=841,'(橫掃)RX Mapping'!AM5&lt;=960), (-1)*('(橫掃)RX Mapping'!AM5-960)+120,9999))))))))</f>
        <v>9999</v>
      </c>
      <c r="AN5">
        <f>IF(AND('(橫掃)RX Mapping'!AN5&gt;=1,'(橫掃)RX Mapping'!AN5&lt;=120), ('(橫掃)RX Mapping'!AN5-1),IF(AND('(橫掃)RX Mapping'!AN5&gt;=121,'(橫掃)RX Mapping'!AN5&lt;=240), (-1)*('(橫掃)RX Mapping'!AN5-240),IF(AND('(橫掃)RX Mapping'!AN5&gt;=241,'(橫掃)RX Mapping'!AN5&lt;=360), ('(橫掃)RX Mapping'!AN5-241),IF(AND('(橫掃)RX Mapping'!AN5&gt;=361,'(橫掃)RX Mapping'!AN5&lt;=480), (-1)*('(橫掃)RX Mapping'!AN5-480),IF(AND('(橫掃)RX Mapping'!AN5&gt;=481,'(橫掃)RX Mapping'!AN5&lt;=600), ('(橫掃)RX Mapping'!AN5-361),IF(AND('(橫掃)RX Mapping'!AN5&gt;=601,'(橫掃)RX Mapping'!AN5&lt;=720), (-1)*('(橫掃)RX Mapping'!AN5-720)+120,IF(AND('(橫掃)RX Mapping'!AN5&gt;=721,'(橫掃)RX Mapping'!AN5&lt;=840), ('(橫掃)RX Mapping'!AN5-601),IF(AND('(橫掃)RX Mapping'!AN5&gt;=841,'(橫掃)RX Mapping'!AN5&lt;=960), (-1)*('(橫掃)RX Mapping'!AN5-960)+120,9999))))))))</f>
        <v>9999</v>
      </c>
      <c r="AO5">
        <f>IF(AND('(橫掃)RX Mapping'!AO5&gt;=1,'(橫掃)RX Mapping'!AO5&lt;=120), ('(橫掃)RX Mapping'!AO5-1),IF(AND('(橫掃)RX Mapping'!AO5&gt;=121,'(橫掃)RX Mapping'!AO5&lt;=240), (-1)*('(橫掃)RX Mapping'!AO5-240),IF(AND('(橫掃)RX Mapping'!AO5&gt;=241,'(橫掃)RX Mapping'!AO5&lt;=360), ('(橫掃)RX Mapping'!AO5-241),IF(AND('(橫掃)RX Mapping'!AO5&gt;=361,'(橫掃)RX Mapping'!AO5&lt;=480), (-1)*('(橫掃)RX Mapping'!AO5-480),IF(AND('(橫掃)RX Mapping'!AO5&gt;=481,'(橫掃)RX Mapping'!AO5&lt;=600), ('(橫掃)RX Mapping'!AO5-361),IF(AND('(橫掃)RX Mapping'!AO5&gt;=601,'(橫掃)RX Mapping'!AO5&lt;=720), (-1)*('(橫掃)RX Mapping'!AO5-720)+120,IF(AND('(橫掃)RX Mapping'!AO5&gt;=721,'(橫掃)RX Mapping'!AO5&lt;=840), ('(橫掃)RX Mapping'!AO5-601),IF(AND('(橫掃)RX Mapping'!AO5&gt;=841,'(橫掃)RX Mapping'!AO5&lt;=960), (-1)*('(橫掃)RX Mapping'!AO5-960)+120,9999))))))))</f>
        <v>9999</v>
      </c>
      <c r="AP5">
        <f>IF(AND('(橫掃)RX Mapping'!AP5&gt;=1,'(橫掃)RX Mapping'!AP5&lt;=120), ('(橫掃)RX Mapping'!AP5-1),IF(AND('(橫掃)RX Mapping'!AP5&gt;=121,'(橫掃)RX Mapping'!AP5&lt;=240), (-1)*('(橫掃)RX Mapping'!AP5-240),IF(AND('(橫掃)RX Mapping'!AP5&gt;=241,'(橫掃)RX Mapping'!AP5&lt;=360), ('(橫掃)RX Mapping'!AP5-241),IF(AND('(橫掃)RX Mapping'!AP5&gt;=361,'(橫掃)RX Mapping'!AP5&lt;=480), (-1)*('(橫掃)RX Mapping'!AP5-480),IF(AND('(橫掃)RX Mapping'!AP5&gt;=481,'(橫掃)RX Mapping'!AP5&lt;=600), ('(橫掃)RX Mapping'!AP5-361),IF(AND('(橫掃)RX Mapping'!AP5&gt;=601,'(橫掃)RX Mapping'!AP5&lt;=720), (-1)*('(橫掃)RX Mapping'!AP5-720)+120,IF(AND('(橫掃)RX Mapping'!AP5&gt;=721,'(橫掃)RX Mapping'!AP5&lt;=840), ('(橫掃)RX Mapping'!AP5-601),IF(AND('(橫掃)RX Mapping'!AP5&gt;=841,'(橫掃)RX Mapping'!AP5&lt;=960), (-1)*('(橫掃)RX Mapping'!AP5-960)+120,9999))))))))</f>
        <v>9999</v>
      </c>
      <c r="AQ5">
        <f>IF(AND('(橫掃)RX Mapping'!AQ5&gt;=1,'(橫掃)RX Mapping'!AQ5&lt;=120), ('(橫掃)RX Mapping'!AQ5-1),IF(AND('(橫掃)RX Mapping'!AQ5&gt;=121,'(橫掃)RX Mapping'!AQ5&lt;=240), (-1)*('(橫掃)RX Mapping'!AQ5-240),IF(AND('(橫掃)RX Mapping'!AQ5&gt;=241,'(橫掃)RX Mapping'!AQ5&lt;=360), ('(橫掃)RX Mapping'!AQ5-241),IF(AND('(橫掃)RX Mapping'!AQ5&gt;=361,'(橫掃)RX Mapping'!AQ5&lt;=480), (-1)*('(橫掃)RX Mapping'!AQ5-480),IF(AND('(橫掃)RX Mapping'!AQ5&gt;=481,'(橫掃)RX Mapping'!AQ5&lt;=600), ('(橫掃)RX Mapping'!AQ5-361),IF(AND('(橫掃)RX Mapping'!AQ5&gt;=601,'(橫掃)RX Mapping'!AQ5&lt;=720), (-1)*('(橫掃)RX Mapping'!AQ5-720)+120,IF(AND('(橫掃)RX Mapping'!AQ5&gt;=721,'(橫掃)RX Mapping'!AQ5&lt;=840), ('(橫掃)RX Mapping'!AQ5-601),IF(AND('(橫掃)RX Mapping'!AQ5&gt;=841,'(橫掃)RX Mapping'!AQ5&lt;=960), (-1)*('(橫掃)RX Mapping'!AQ5-960)+120,9999))))))))</f>
        <v>9999</v>
      </c>
      <c r="AR5">
        <f>IF(AND('(橫掃)RX Mapping'!AR5&gt;=1,'(橫掃)RX Mapping'!AR5&lt;=120), ('(橫掃)RX Mapping'!AR5-1),IF(AND('(橫掃)RX Mapping'!AR5&gt;=121,'(橫掃)RX Mapping'!AR5&lt;=240), (-1)*('(橫掃)RX Mapping'!AR5-240),IF(AND('(橫掃)RX Mapping'!AR5&gt;=241,'(橫掃)RX Mapping'!AR5&lt;=360), ('(橫掃)RX Mapping'!AR5-241),IF(AND('(橫掃)RX Mapping'!AR5&gt;=361,'(橫掃)RX Mapping'!AR5&lt;=480), (-1)*('(橫掃)RX Mapping'!AR5-480),IF(AND('(橫掃)RX Mapping'!AR5&gt;=481,'(橫掃)RX Mapping'!AR5&lt;=600), ('(橫掃)RX Mapping'!AR5-361),IF(AND('(橫掃)RX Mapping'!AR5&gt;=601,'(橫掃)RX Mapping'!AR5&lt;=720), (-1)*('(橫掃)RX Mapping'!AR5-720)+120,IF(AND('(橫掃)RX Mapping'!AR5&gt;=721,'(橫掃)RX Mapping'!AR5&lt;=840), ('(橫掃)RX Mapping'!AR5-601),IF(AND('(橫掃)RX Mapping'!AR5&gt;=841,'(橫掃)RX Mapping'!AR5&lt;=960), (-1)*('(橫掃)RX Mapping'!AR5-960)+120,9999))))))))</f>
        <v>9999</v>
      </c>
      <c r="AS5">
        <f>IF(AND('(橫掃)RX Mapping'!AS5&gt;=1,'(橫掃)RX Mapping'!AS5&lt;=120), ('(橫掃)RX Mapping'!AS5-1),IF(AND('(橫掃)RX Mapping'!AS5&gt;=121,'(橫掃)RX Mapping'!AS5&lt;=240), (-1)*('(橫掃)RX Mapping'!AS5-240),IF(AND('(橫掃)RX Mapping'!AS5&gt;=241,'(橫掃)RX Mapping'!AS5&lt;=360), ('(橫掃)RX Mapping'!AS5-241),IF(AND('(橫掃)RX Mapping'!AS5&gt;=361,'(橫掃)RX Mapping'!AS5&lt;=480), (-1)*('(橫掃)RX Mapping'!AS5-480),IF(AND('(橫掃)RX Mapping'!AS5&gt;=481,'(橫掃)RX Mapping'!AS5&lt;=600), ('(橫掃)RX Mapping'!AS5-361),IF(AND('(橫掃)RX Mapping'!AS5&gt;=601,'(橫掃)RX Mapping'!AS5&lt;=720), (-1)*('(橫掃)RX Mapping'!AS5-720)+120,IF(AND('(橫掃)RX Mapping'!AS5&gt;=721,'(橫掃)RX Mapping'!AS5&lt;=840), ('(橫掃)RX Mapping'!AS5-601),IF(AND('(橫掃)RX Mapping'!AS5&gt;=841,'(橫掃)RX Mapping'!AS5&lt;=960), (-1)*('(橫掃)RX Mapping'!AS5-960)+120,9999))))))))</f>
        <v>9999</v>
      </c>
      <c r="AT5">
        <f>IF(AND('(橫掃)RX Mapping'!AT5&gt;=1,'(橫掃)RX Mapping'!AT5&lt;=120), ('(橫掃)RX Mapping'!AT5-1),IF(AND('(橫掃)RX Mapping'!AT5&gt;=121,'(橫掃)RX Mapping'!AT5&lt;=240), (-1)*('(橫掃)RX Mapping'!AT5-240),IF(AND('(橫掃)RX Mapping'!AT5&gt;=241,'(橫掃)RX Mapping'!AT5&lt;=360), ('(橫掃)RX Mapping'!AT5-241),IF(AND('(橫掃)RX Mapping'!AT5&gt;=361,'(橫掃)RX Mapping'!AT5&lt;=480), (-1)*('(橫掃)RX Mapping'!AT5-480),IF(AND('(橫掃)RX Mapping'!AT5&gt;=481,'(橫掃)RX Mapping'!AT5&lt;=600), ('(橫掃)RX Mapping'!AT5-361),IF(AND('(橫掃)RX Mapping'!AT5&gt;=601,'(橫掃)RX Mapping'!AT5&lt;=720), (-1)*('(橫掃)RX Mapping'!AT5-720)+120,IF(AND('(橫掃)RX Mapping'!AT5&gt;=721,'(橫掃)RX Mapping'!AT5&lt;=840), ('(橫掃)RX Mapping'!AT5-601),IF(AND('(橫掃)RX Mapping'!AT5&gt;=841,'(橫掃)RX Mapping'!AT5&lt;=960), (-1)*('(橫掃)RX Mapping'!AT5-960)+120,9999))))))))</f>
        <v>9999</v>
      </c>
      <c r="AU5">
        <f>IF(AND('(橫掃)RX Mapping'!AU5&gt;=1,'(橫掃)RX Mapping'!AU5&lt;=120), ('(橫掃)RX Mapping'!AU5-1),IF(AND('(橫掃)RX Mapping'!AU5&gt;=121,'(橫掃)RX Mapping'!AU5&lt;=240), (-1)*('(橫掃)RX Mapping'!AU5-240),IF(AND('(橫掃)RX Mapping'!AU5&gt;=241,'(橫掃)RX Mapping'!AU5&lt;=360), ('(橫掃)RX Mapping'!AU5-241),IF(AND('(橫掃)RX Mapping'!AU5&gt;=361,'(橫掃)RX Mapping'!AU5&lt;=480), (-1)*('(橫掃)RX Mapping'!AU5-480),IF(AND('(橫掃)RX Mapping'!AU5&gt;=481,'(橫掃)RX Mapping'!AU5&lt;=600), ('(橫掃)RX Mapping'!AU5-361),IF(AND('(橫掃)RX Mapping'!AU5&gt;=601,'(橫掃)RX Mapping'!AU5&lt;=720), (-1)*('(橫掃)RX Mapping'!AU5-720)+120,IF(AND('(橫掃)RX Mapping'!AU5&gt;=721,'(橫掃)RX Mapping'!AU5&lt;=840), ('(橫掃)RX Mapping'!AU5-601),IF(AND('(橫掃)RX Mapping'!AU5&gt;=841,'(橫掃)RX Mapping'!AU5&lt;=960), (-1)*('(橫掃)RX Mapping'!AU5-960)+120,9999))))))))</f>
        <v>9999</v>
      </c>
      <c r="AV5">
        <f>IF(AND('(橫掃)RX Mapping'!AV5&gt;=1,'(橫掃)RX Mapping'!AV5&lt;=120), ('(橫掃)RX Mapping'!AV5-1),IF(AND('(橫掃)RX Mapping'!AV5&gt;=121,'(橫掃)RX Mapping'!AV5&lt;=240), (-1)*('(橫掃)RX Mapping'!AV5-240),IF(AND('(橫掃)RX Mapping'!AV5&gt;=241,'(橫掃)RX Mapping'!AV5&lt;=360), ('(橫掃)RX Mapping'!AV5-241),IF(AND('(橫掃)RX Mapping'!AV5&gt;=361,'(橫掃)RX Mapping'!AV5&lt;=480), (-1)*('(橫掃)RX Mapping'!AV5-480),IF(AND('(橫掃)RX Mapping'!AV5&gt;=481,'(橫掃)RX Mapping'!AV5&lt;=600), ('(橫掃)RX Mapping'!AV5-361),IF(AND('(橫掃)RX Mapping'!AV5&gt;=601,'(橫掃)RX Mapping'!AV5&lt;=720), (-1)*('(橫掃)RX Mapping'!AV5-720)+120,IF(AND('(橫掃)RX Mapping'!AV5&gt;=721,'(橫掃)RX Mapping'!AV5&lt;=840), ('(橫掃)RX Mapping'!AV5-601),IF(AND('(橫掃)RX Mapping'!AV5&gt;=841,'(橫掃)RX Mapping'!AV5&lt;=960), (-1)*('(橫掃)RX Mapping'!AV5-960)+120,9999))))))))</f>
        <v>9999</v>
      </c>
      <c r="AW5">
        <f>IF(AND('(橫掃)RX Mapping'!AW5&gt;=1,'(橫掃)RX Mapping'!AW5&lt;=120), ('(橫掃)RX Mapping'!AW5-1),IF(AND('(橫掃)RX Mapping'!AW5&gt;=121,'(橫掃)RX Mapping'!AW5&lt;=240), (-1)*('(橫掃)RX Mapping'!AW5-240),IF(AND('(橫掃)RX Mapping'!AW5&gt;=241,'(橫掃)RX Mapping'!AW5&lt;=360), ('(橫掃)RX Mapping'!AW5-241),IF(AND('(橫掃)RX Mapping'!AW5&gt;=361,'(橫掃)RX Mapping'!AW5&lt;=480), (-1)*('(橫掃)RX Mapping'!AW5-480),IF(AND('(橫掃)RX Mapping'!AW5&gt;=481,'(橫掃)RX Mapping'!AW5&lt;=600), ('(橫掃)RX Mapping'!AW5-361),IF(AND('(橫掃)RX Mapping'!AW5&gt;=601,'(橫掃)RX Mapping'!AW5&lt;=720), (-1)*('(橫掃)RX Mapping'!AW5-720)+120,IF(AND('(橫掃)RX Mapping'!AW5&gt;=721,'(橫掃)RX Mapping'!AW5&lt;=840), ('(橫掃)RX Mapping'!AW5-601),IF(AND('(橫掃)RX Mapping'!AW5&gt;=841,'(橫掃)RX Mapping'!AW5&lt;=960), (-1)*('(橫掃)RX Mapping'!AW5-960)+120,9999))))))))</f>
        <v>9999</v>
      </c>
      <c r="AX5">
        <f>IF(AND('(橫掃)RX Mapping'!AX5&gt;=1,'(橫掃)RX Mapping'!AX5&lt;=120), ('(橫掃)RX Mapping'!AX5-1),IF(AND('(橫掃)RX Mapping'!AX5&gt;=121,'(橫掃)RX Mapping'!AX5&lt;=240), (-1)*('(橫掃)RX Mapping'!AX5-240),IF(AND('(橫掃)RX Mapping'!AX5&gt;=241,'(橫掃)RX Mapping'!AX5&lt;=360), ('(橫掃)RX Mapping'!AX5-241),IF(AND('(橫掃)RX Mapping'!AX5&gt;=361,'(橫掃)RX Mapping'!AX5&lt;=480), (-1)*('(橫掃)RX Mapping'!AX5-480),IF(AND('(橫掃)RX Mapping'!AX5&gt;=481,'(橫掃)RX Mapping'!AX5&lt;=600), ('(橫掃)RX Mapping'!AX5-361),IF(AND('(橫掃)RX Mapping'!AX5&gt;=601,'(橫掃)RX Mapping'!AX5&lt;=720), (-1)*('(橫掃)RX Mapping'!AX5-720)+120,IF(AND('(橫掃)RX Mapping'!AX5&gt;=721,'(橫掃)RX Mapping'!AX5&lt;=840), ('(橫掃)RX Mapping'!AX5-601),IF(AND('(橫掃)RX Mapping'!AX5&gt;=841,'(橫掃)RX Mapping'!AX5&lt;=960), (-1)*('(橫掃)RX Mapping'!AX5-960)+120,9999))))))))</f>
        <v>9999</v>
      </c>
      <c r="AY5">
        <f>IF(AND('(橫掃)RX Mapping'!AY5&gt;=1,'(橫掃)RX Mapping'!AY5&lt;=120), ('(橫掃)RX Mapping'!AY5-1),IF(AND('(橫掃)RX Mapping'!AY5&gt;=121,'(橫掃)RX Mapping'!AY5&lt;=240), (-1)*('(橫掃)RX Mapping'!AY5-240),IF(AND('(橫掃)RX Mapping'!AY5&gt;=241,'(橫掃)RX Mapping'!AY5&lt;=360), ('(橫掃)RX Mapping'!AY5-241),IF(AND('(橫掃)RX Mapping'!AY5&gt;=361,'(橫掃)RX Mapping'!AY5&lt;=480), (-1)*('(橫掃)RX Mapping'!AY5-480),IF(AND('(橫掃)RX Mapping'!AY5&gt;=481,'(橫掃)RX Mapping'!AY5&lt;=600), ('(橫掃)RX Mapping'!AY5-361),IF(AND('(橫掃)RX Mapping'!AY5&gt;=601,'(橫掃)RX Mapping'!AY5&lt;=720), (-1)*('(橫掃)RX Mapping'!AY5-720)+120,IF(AND('(橫掃)RX Mapping'!AY5&gt;=721,'(橫掃)RX Mapping'!AY5&lt;=840), ('(橫掃)RX Mapping'!AY5-601),IF(AND('(橫掃)RX Mapping'!AY5&gt;=841,'(橫掃)RX Mapping'!AY5&lt;=960), (-1)*('(橫掃)RX Mapping'!AY5-960)+120,9999))))))))</f>
        <v>9999</v>
      </c>
      <c r="AZ5">
        <f>IF(AND('(橫掃)RX Mapping'!AZ5&gt;=1,'(橫掃)RX Mapping'!AZ5&lt;=120), ('(橫掃)RX Mapping'!AZ5-1),IF(AND('(橫掃)RX Mapping'!AZ5&gt;=121,'(橫掃)RX Mapping'!AZ5&lt;=240), (-1)*('(橫掃)RX Mapping'!AZ5-240),IF(AND('(橫掃)RX Mapping'!AZ5&gt;=241,'(橫掃)RX Mapping'!AZ5&lt;=360), ('(橫掃)RX Mapping'!AZ5-241),IF(AND('(橫掃)RX Mapping'!AZ5&gt;=361,'(橫掃)RX Mapping'!AZ5&lt;=480), (-1)*('(橫掃)RX Mapping'!AZ5-480),IF(AND('(橫掃)RX Mapping'!AZ5&gt;=481,'(橫掃)RX Mapping'!AZ5&lt;=600), ('(橫掃)RX Mapping'!AZ5-361),IF(AND('(橫掃)RX Mapping'!AZ5&gt;=601,'(橫掃)RX Mapping'!AZ5&lt;=720), (-1)*('(橫掃)RX Mapping'!AZ5-720)+120,IF(AND('(橫掃)RX Mapping'!AZ5&gt;=721,'(橫掃)RX Mapping'!AZ5&lt;=840), ('(橫掃)RX Mapping'!AZ5-601),IF(AND('(橫掃)RX Mapping'!AZ5&gt;=841,'(橫掃)RX Mapping'!AZ5&lt;=960), (-1)*('(橫掃)RX Mapping'!AZ5-960)+120,9999))))))))</f>
        <v>9999</v>
      </c>
      <c r="BA5">
        <f>IF(AND('(橫掃)RX Mapping'!BA5&gt;=1,'(橫掃)RX Mapping'!BA5&lt;=120), ('(橫掃)RX Mapping'!BA5-1),IF(AND('(橫掃)RX Mapping'!BA5&gt;=121,'(橫掃)RX Mapping'!BA5&lt;=240), (-1)*('(橫掃)RX Mapping'!BA5-240),IF(AND('(橫掃)RX Mapping'!BA5&gt;=241,'(橫掃)RX Mapping'!BA5&lt;=360), ('(橫掃)RX Mapping'!BA5-241),IF(AND('(橫掃)RX Mapping'!BA5&gt;=361,'(橫掃)RX Mapping'!BA5&lt;=480), (-1)*('(橫掃)RX Mapping'!BA5-480),IF(AND('(橫掃)RX Mapping'!BA5&gt;=481,'(橫掃)RX Mapping'!BA5&lt;=600), ('(橫掃)RX Mapping'!BA5-361),IF(AND('(橫掃)RX Mapping'!BA5&gt;=601,'(橫掃)RX Mapping'!BA5&lt;=720), (-1)*('(橫掃)RX Mapping'!BA5-720)+120,IF(AND('(橫掃)RX Mapping'!BA5&gt;=721,'(橫掃)RX Mapping'!BA5&lt;=840), ('(橫掃)RX Mapping'!BA5-601),IF(AND('(橫掃)RX Mapping'!BA5&gt;=841,'(橫掃)RX Mapping'!BA5&lt;=960), (-1)*('(橫掃)RX Mapping'!BA5-960)+120,9999))))))))</f>
        <v>9999</v>
      </c>
      <c r="BB5">
        <f>IF(AND('(橫掃)RX Mapping'!BB5&gt;=1,'(橫掃)RX Mapping'!BB5&lt;=120), ('(橫掃)RX Mapping'!BB5-1),IF(AND('(橫掃)RX Mapping'!BB5&gt;=121,'(橫掃)RX Mapping'!BB5&lt;=240), (-1)*('(橫掃)RX Mapping'!BB5-240),IF(AND('(橫掃)RX Mapping'!BB5&gt;=241,'(橫掃)RX Mapping'!BB5&lt;=360), ('(橫掃)RX Mapping'!BB5-241),IF(AND('(橫掃)RX Mapping'!BB5&gt;=361,'(橫掃)RX Mapping'!BB5&lt;=480), (-1)*('(橫掃)RX Mapping'!BB5-480),IF(AND('(橫掃)RX Mapping'!BB5&gt;=481,'(橫掃)RX Mapping'!BB5&lt;=600), ('(橫掃)RX Mapping'!BB5-361),IF(AND('(橫掃)RX Mapping'!BB5&gt;=601,'(橫掃)RX Mapping'!BB5&lt;=720), (-1)*('(橫掃)RX Mapping'!BB5-720)+120,IF(AND('(橫掃)RX Mapping'!BB5&gt;=721,'(橫掃)RX Mapping'!BB5&lt;=840), ('(橫掃)RX Mapping'!BB5-601),IF(AND('(橫掃)RX Mapping'!BB5&gt;=841,'(橫掃)RX Mapping'!BB5&lt;=960), (-1)*('(橫掃)RX Mapping'!BB5-960)+120,9999))))))))</f>
        <v>9999</v>
      </c>
      <c r="BC5">
        <f>IF(AND('(橫掃)RX Mapping'!BC5&gt;=1,'(橫掃)RX Mapping'!BC5&lt;=120), ('(橫掃)RX Mapping'!BC5-1),IF(AND('(橫掃)RX Mapping'!BC5&gt;=121,'(橫掃)RX Mapping'!BC5&lt;=240), (-1)*('(橫掃)RX Mapping'!BC5-240),IF(AND('(橫掃)RX Mapping'!BC5&gt;=241,'(橫掃)RX Mapping'!BC5&lt;=360), ('(橫掃)RX Mapping'!BC5-241),IF(AND('(橫掃)RX Mapping'!BC5&gt;=361,'(橫掃)RX Mapping'!BC5&lt;=480), (-1)*('(橫掃)RX Mapping'!BC5-480),IF(AND('(橫掃)RX Mapping'!BC5&gt;=481,'(橫掃)RX Mapping'!BC5&lt;=600), ('(橫掃)RX Mapping'!BC5-361),IF(AND('(橫掃)RX Mapping'!BC5&gt;=601,'(橫掃)RX Mapping'!BC5&lt;=720), (-1)*('(橫掃)RX Mapping'!BC5-720)+120,IF(AND('(橫掃)RX Mapping'!BC5&gt;=721,'(橫掃)RX Mapping'!BC5&lt;=840), ('(橫掃)RX Mapping'!BC5-601),IF(AND('(橫掃)RX Mapping'!BC5&gt;=841,'(橫掃)RX Mapping'!BC5&lt;=960), (-1)*('(橫掃)RX Mapping'!BC5-960)+120,9999))))))))</f>
        <v>9999</v>
      </c>
      <c r="BD5">
        <f>IF(AND('(橫掃)RX Mapping'!BD5&gt;=1,'(橫掃)RX Mapping'!BD5&lt;=120), ('(橫掃)RX Mapping'!BD5-1),IF(AND('(橫掃)RX Mapping'!BD5&gt;=121,'(橫掃)RX Mapping'!BD5&lt;=240), (-1)*('(橫掃)RX Mapping'!BD5-240),IF(AND('(橫掃)RX Mapping'!BD5&gt;=241,'(橫掃)RX Mapping'!BD5&lt;=360), ('(橫掃)RX Mapping'!BD5-241),IF(AND('(橫掃)RX Mapping'!BD5&gt;=361,'(橫掃)RX Mapping'!BD5&lt;=480), (-1)*('(橫掃)RX Mapping'!BD5-480),IF(AND('(橫掃)RX Mapping'!BD5&gt;=481,'(橫掃)RX Mapping'!BD5&lt;=600), ('(橫掃)RX Mapping'!BD5-361),IF(AND('(橫掃)RX Mapping'!BD5&gt;=601,'(橫掃)RX Mapping'!BD5&lt;=720), (-1)*('(橫掃)RX Mapping'!BD5-720)+120,IF(AND('(橫掃)RX Mapping'!BD5&gt;=721,'(橫掃)RX Mapping'!BD5&lt;=840), ('(橫掃)RX Mapping'!BD5-601),IF(AND('(橫掃)RX Mapping'!BD5&gt;=841,'(橫掃)RX Mapping'!BD5&lt;=960), (-1)*('(橫掃)RX Mapping'!BD5-960)+120,9999))))))))</f>
        <v>9999</v>
      </c>
      <c r="BE5">
        <f>IF(AND('(橫掃)RX Mapping'!BE5&gt;=1,'(橫掃)RX Mapping'!BE5&lt;=120), ('(橫掃)RX Mapping'!BE5-1),IF(AND('(橫掃)RX Mapping'!BE5&gt;=121,'(橫掃)RX Mapping'!BE5&lt;=240), (-1)*('(橫掃)RX Mapping'!BE5-240),IF(AND('(橫掃)RX Mapping'!BE5&gt;=241,'(橫掃)RX Mapping'!BE5&lt;=360), ('(橫掃)RX Mapping'!BE5-241),IF(AND('(橫掃)RX Mapping'!BE5&gt;=361,'(橫掃)RX Mapping'!BE5&lt;=480), (-1)*('(橫掃)RX Mapping'!BE5-480),IF(AND('(橫掃)RX Mapping'!BE5&gt;=481,'(橫掃)RX Mapping'!BE5&lt;=600), ('(橫掃)RX Mapping'!BE5-361),IF(AND('(橫掃)RX Mapping'!BE5&gt;=601,'(橫掃)RX Mapping'!BE5&lt;=720), (-1)*('(橫掃)RX Mapping'!BE5-720)+120,IF(AND('(橫掃)RX Mapping'!BE5&gt;=721,'(橫掃)RX Mapping'!BE5&lt;=840), ('(橫掃)RX Mapping'!BE5-601),IF(AND('(橫掃)RX Mapping'!BE5&gt;=841,'(橫掃)RX Mapping'!BE5&lt;=960), (-1)*('(橫掃)RX Mapping'!BE5-960)+120,9999))))))))</f>
        <v>9999</v>
      </c>
      <c r="BF5">
        <f>IF(AND('(橫掃)RX Mapping'!BF5&gt;=1,'(橫掃)RX Mapping'!BF5&lt;=120), ('(橫掃)RX Mapping'!BF5-1),IF(AND('(橫掃)RX Mapping'!BF5&gt;=121,'(橫掃)RX Mapping'!BF5&lt;=240), (-1)*('(橫掃)RX Mapping'!BF5-240),IF(AND('(橫掃)RX Mapping'!BF5&gt;=241,'(橫掃)RX Mapping'!BF5&lt;=360), ('(橫掃)RX Mapping'!BF5-241),IF(AND('(橫掃)RX Mapping'!BF5&gt;=361,'(橫掃)RX Mapping'!BF5&lt;=480), (-1)*('(橫掃)RX Mapping'!BF5-480),IF(AND('(橫掃)RX Mapping'!BF5&gt;=481,'(橫掃)RX Mapping'!BF5&lt;=600), ('(橫掃)RX Mapping'!BF5-361),IF(AND('(橫掃)RX Mapping'!BF5&gt;=601,'(橫掃)RX Mapping'!BF5&lt;=720), (-1)*('(橫掃)RX Mapping'!BF5-720)+120,IF(AND('(橫掃)RX Mapping'!BF5&gt;=721,'(橫掃)RX Mapping'!BF5&lt;=840), ('(橫掃)RX Mapping'!BF5-601),IF(AND('(橫掃)RX Mapping'!BF5&gt;=841,'(橫掃)RX Mapping'!BF5&lt;=960), (-1)*('(橫掃)RX Mapping'!BF5-960)+120,9999))))))))</f>
        <v>9999</v>
      </c>
      <c r="BG5">
        <f>IF(AND('(橫掃)RX Mapping'!BG5&gt;=1,'(橫掃)RX Mapping'!BG5&lt;=120), ('(橫掃)RX Mapping'!BG5-1),IF(AND('(橫掃)RX Mapping'!BG5&gt;=121,'(橫掃)RX Mapping'!BG5&lt;=240), (-1)*('(橫掃)RX Mapping'!BG5-240),IF(AND('(橫掃)RX Mapping'!BG5&gt;=241,'(橫掃)RX Mapping'!BG5&lt;=360), ('(橫掃)RX Mapping'!BG5-241),IF(AND('(橫掃)RX Mapping'!BG5&gt;=361,'(橫掃)RX Mapping'!BG5&lt;=480), (-1)*('(橫掃)RX Mapping'!BG5-480),IF(AND('(橫掃)RX Mapping'!BG5&gt;=481,'(橫掃)RX Mapping'!BG5&lt;=600), ('(橫掃)RX Mapping'!BG5-361),IF(AND('(橫掃)RX Mapping'!BG5&gt;=601,'(橫掃)RX Mapping'!BG5&lt;=720), (-1)*('(橫掃)RX Mapping'!BG5-720)+120,IF(AND('(橫掃)RX Mapping'!BG5&gt;=721,'(橫掃)RX Mapping'!BG5&lt;=840), ('(橫掃)RX Mapping'!BG5-601),IF(AND('(橫掃)RX Mapping'!BG5&gt;=841,'(橫掃)RX Mapping'!BG5&lt;=960), (-1)*('(橫掃)RX Mapping'!BG5-960)+120,9999))))))))</f>
        <v>9999</v>
      </c>
      <c r="BH5">
        <f>IF(AND('(橫掃)RX Mapping'!BH5&gt;=1,'(橫掃)RX Mapping'!BH5&lt;=120), ('(橫掃)RX Mapping'!BH5-1),IF(AND('(橫掃)RX Mapping'!BH5&gt;=121,'(橫掃)RX Mapping'!BH5&lt;=240), (-1)*('(橫掃)RX Mapping'!BH5-240),IF(AND('(橫掃)RX Mapping'!BH5&gt;=241,'(橫掃)RX Mapping'!BH5&lt;=360), ('(橫掃)RX Mapping'!BH5-241),IF(AND('(橫掃)RX Mapping'!BH5&gt;=361,'(橫掃)RX Mapping'!BH5&lt;=480), (-1)*('(橫掃)RX Mapping'!BH5-480),IF(AND('(橫掃)RX Mapping'!BH5&gt;=481,'(橫掃)RX Mapping'!BH5&lt;=600), ('(橫掃)RX Mapping'!BH5-361),IF(AND('(橫掃)RX Mapping'!BH5&gt;=601,'(橫掃)RX Mapping'!BH5&lt;=720), (-1)*('(橫掃)RX Mapping'!BH5-720)+120,IF(AND('(橫掃)RX Mapping'!BH5&gt;=721,'(橫掃)RX Mapping'!BH5&lt;=840), ('(橫掃)RX Mapping'!BH5-601),IF(AND('(橫掃)RX Mapping'!BH5&gt;=841,'(橫掃)RX Mapping'!BH5&lt;=960), (-1)*('(橫掃)RX Mapping'!BH5-960)+120,9999))))))))</f>
        <v>9999</v>
      </c>
      <c r="BI5">
        <f>IF(AND('(橫掃)RX Mapping'!BI5&gt;=1,'(橫掃)RX Mapping'!BI5&lt;=120), ('(橫掃)RX Mapping'!BI5-1),IF(AND('(橫掃)RX Mapping'!BI5&gt;=121,'(橫掃)RX Mapping'!BI5&lt;=240), (-1)*('(橫掃)RX Mapping'!BI5-240),IF(AND('(橫掃)RX Mapping'!BI5&gt;=241,'(橫掃)RX Mapping'!BI5&lt;=360), ('(橫掃)RX Mapping'!BI5-241),IF(AND('(橫掃)RX Mapping'!BI5&gt;=361,'(橫掃)RX Mapping'!BI5&lt;=480), (-1)*('(橫掃)RX Mapping'!BI5-480),IF(AND('(橫掃)RX Mapping'!BI5&gt;=481,'(橫掃)RX Mapping'!BI5&lt;=600), ('(橫掃)RX Mapping'!BI5-361),IF(AND('(橫掃)RX Mapping'!BI5&gt;=601,'(橫掃)RX Mapping'!BI5&lt;=720), (-1)*('(橫掃)RX Mapping'!BI5-720)+120,IF(AND('(橫掃)RX Mapping'!BI5&gt;=721,'(橫掃)RX Mapping'!BI5&lt;=840), ('(橫掃)RX Mapping'!BI5-601),IF(AND('(橫掃)RX Mapping'!BI5&gt;=841,'(橫掃)RX Mapping'!BI5&lt;=960), (-1)*('(橫掃)RX Mapping'!BI5-960)+120,9999))))))))</f>
        <v>9999</v>
      </c>
    </row>
    <row r="6" spans="1:61" x14ac:dyDescent="0.25">
      <c r="A6" s="20">
        <v>5</v>
      </c>
      <c r="B6">
        <f>IF(AND('(橫掃)RX Mapping'!B6&gt;=1,'(橫掃)RX Mapping'!B6&lt;=120), ('(橫掃)RX Mapping'!B6-1),IF(AND('(橫掃)RX Mapping'!B6&gt;=121,'(橫掃)RX Mapping'!B6&lt;=240), (-1)*('(橫掃)RX Mapping'!B6-240),IF(AND('(橫掃)RX Mapping'!B6&gt;=241,'(橫掃)RX Mapping'!B6&lt;=360), ('(橫掃)RX Mapping'!B6-241),IF(AND('(橫掃)RX Mapping'!B6&gt;=361,'(橫掃)RX Mapping'!B6&lt;=480), (-1)*('(橫掃)RX Mapping'!B6-480),IF(AND('(橫掃)RX Mapping'!B6&gt;=481,'(橫掃)RX Mapping'!B6&lt;=600), ('(橫掃)RX Mapping'!B6-361),IF(AND('(橫掃)RX Mapping'!B6&gt;=601,'(橫掃)RX Mapping'!B6&lt;=720), (-1)*('(橫掃)RX Mapping'!B6-720)+120,IF(AND('(橫掃)RX Mapping'!B6&gt;=721,'(橫掃)RX Mapping'!B6&lt;=840), ('(橫掃)RX Mapping'!B6-601),IF(AND('(橫掃)RX Mapping'!B6&gt;=841,'(橫掃)RX Mapping'!B6&lt;=960), (-1)*('(橫掃)RX Mapping'!B6-960)+120,9999))))))))</f>
        <v>4</v>
      </c>
      <c r="C6">
        <f>IF(AND('(橫掃)RX Mapping'!C6&gt;=1,'(橫掃)RX Mapping'!C6&lt;=120), ('(橫掃)RX Mapping'!C6-1),IF(AND('(橫掃)RX Mapping'!C6&gt;=121,'(橫掃)RX Mapping'!C6&lt;=240), (-1)*('(橫掃)RX Mapping'!C6-240),IF(AND('(橫掃)RX Mapping'!C6&gt;=241,'(橫掃)RX Mapping'!C6&lt;=360), ('(橫掃)RX Mapping'!C6-241),IF(AND('(橫掃)RX Mapping'!C6&gt;=361,'(橫掃)RX Mapping'!C6&lt;=480), (-1)*('(橫掃)RX Mapping'!C6-480),IF(AND('(橫掃)RX Mapping'!C6&gt;=481,'(橫掃)RX Mapping'!C6&lt;=600), ('(橫掃)RX Mapping'!C6-361),IF(AND('(橫掃)RX Mapping'!C6&gt;=601,'(橫掃)RX Mapping'!C6&lt;=720), (-1)*('(橫掃)RX Mapping'!C6-720)+120,IF(AND('(橫掃)RX Mapping'!C6&gt;=721,'(橫掃)RX Mapping'!C6&lt;=840), ('(橫掃)RX Mapping'!C6-601),IF(AND('(橫掃)RX Mapping'!C6&gt;=841,'(橫掃)RX Mapping'!C6&lt;=960), (-1)*('(橫掃)RX Mapping'!C6-960)+120,9999))))))))</f>
        <v>36</v>
      </c>
      <c r="D6">
        <f>IF(AND('(橫掃)RX Mapping'!D6&gt;=1,'(橫掃)RX Mapping'!D6&lt;=120), ('(橫掃)RX Mapping'!D6-1),IF(AND('(橫掃)RX Mapping'!D6&gt;=121,'(橫掃)RX Mapping'!D6&lt;=240), (-1)*('(橫掃)RX Mapping'!D6-240),IF(AND('(橫掃)RX Mapping'!D6&gt;=241,'(橫掃)RX Mapping'!D6&lt;=360), ('(橫掃)RX Mapping'!D6-241),IF(AND('(橫掃)RX Mapping'!D6&gt;=361,'(橫掃)RX Mapping'!D6&lt;=480), (-1)*('(橫掃)RX Mapping'!D6-480),IF(AND('(橫掃)RX Mapping'!D6&gt;=481,'(橫掃)RX Mapping'!D6&lt;=600), ('(橫掃)RX Mapping'!D6-361),IF(AND('(橫掃)RX Mapping'!D6&gt;=601,'(橫掃)RX Mapping'!D6&lt;=720), (-1)*('(橫掃)RX Mapping'!D6-720)+120,IF(AND('(橫掃)RX Mapping'!D6&gt;=721,'(橫掃)RX Mapping'!D6&lt;=840), ('(橫掃)RX Mapping'!D6-601),IF(AND('(橫掃)RX Mapping'!D6&gt;=841,'(橫掃)RX Mapping'!D6&lt;=960), (-1)*('(橫掃)RX Mapping'!D6-960)+120,9999))))))))</f>
        <v>68</v>
      </c>
      <c r="E6">
        <f>IF(AND('(橫掃)RX Mapping'!E6&gt;=1,'(橫掃)RX Mapping'!E6&lt;=120), ('(橫掃)RX Mapping'!E6-1),IF(AND('(橫掃)RX Mapping'!E6&gt;=121,'(橫掃)RX Mapping'!E6&lt;=240), (-1)*('(橫掃)RX Mapping'!E6-240),IF(AND('(橫掃)RX Mapping'!E6&gt;=241,'(橫掃)RX Mapping'!E6&lt;=360), ('(橫掃)RX Mapping'!E6-241),IF(AND('(橫掃)RX Mapping'!E6&gt;=361,'(橫掃)RX Mapping'!E6&lt;=480), (-1)*('(橫掃)RX Mapping'!E6-480),IF(AND('(橫掃)RX Mapping'!E6&gt;=481,'(橫掃)RX Mapping'!E6&lt;=600), ('(橫掃)RX Mapping'!E6-361),IF(AND('(橫掃)RX Mapping'!E6&gt;=601,'(橫掃)RX Mapping'!E6&lt;=720), (-1)*('(橫掃)RX Mapping'!E6-720)+120,IF(AND('(橫掃)RX Mapping'!E6&gt;=721,'(橫掃)RX Mapping'!E6&lt;=840), ('(橫掃)RX Mapping'!E6-601),IF(AND('(橫掃)RX Mapping'!E6&gt;=841,'(橫掃)RX Mapping'!E6&lt;=960), (-1)*('(橫掃)RX Mapping'!E6-960)+120,9999))))))))</f>
        <v>100</v>
      </c>
      <c r="F6">
        <f>IF(AND('(橫掃)RX Mapping'!F6&gt;=1,'(橫掃)RX Mapping'!F6&lt;=120), ('(橫掃)RX Mapping'!F6-1),IF(AND('(橫掃)RX Mapping'!F6&gt;=121,'(橫掃)RX Mapping'!F6&lt;=240), (-1)*('(橫掃)RX Mapping'!F6-240),IF(AND('(橫掃)RX Mapping'!F6&gt;=241,'(橫掃)RX Mapping'!F6&lt;=360), ('(橫掃)RX Mapping'!F6-241),IF(AND('(橫掃)RX Mapping'!F6&gt;=361,'(橫掃)RX Mapping'!F6&lt;=480), (-1)*('(橫掃)RX Mapping'!F6-480),IF(AND('(橫掃)RX Mapping'!F6&gt;=481,'(橫掃)RX Mapping'!F6&lt;=600), ('(橫掃)RX Mapping'!F6-361),IF(AND('(橫掃)RX Mapping'!F6&gt;=601,'(橫掃)RX Mapping'!F6&lt;=720), (-1)*('(橫掃)RX Mapping'!F6-720)+120,IF(AND('(橫掃)RX Mapping'!F6&gt;=721,'(橫掃)RX Mapping'!F6&lt;=840), ('(橫掃)RX Mapping'!F6-601),IF(AND('(橫掃)RX Mapping'!F6&gt;=841,'(橫掃)RX Mapping'!F6&lt;=960), (-1)*('(橫掃)RX Mapping'!F6-960)+120,9999))))))))</f>
        <v>107</v>
      </c>
      <c r="G6">
        <f>IF(AND('(橫掃)RX Mapping'!G6&gt;=1,'(橫掃)RX Mapping'!G6&lt;=120), ('(橫掃)RX Mapping'!G6-1),IF(AND('(橫掃)RX Mapping'!G6&gt;=121,'(橫掃)RX Mapping'!G6&lt;=240), (-1)*('(橫掃)RX Mapping'!G6-240),IF(AND('(橫掃)RX Mapping'!G6&gt;=241,'(橫掃)RX Mapping'!G6&lt;=360), ('(橫掃)RX Mapping'!G6-241),IF(AND('(橫掃)RX Mapping'!G6&gt;=361,'(橫掃)RX Mapping'!G6&lt;=480), (-1)*('(橫掃)RX Mapping'!G6-480),IF(AND('(橫掃)RX Mapping'!G6&gt;=481,'(橫掃)RX Mapping'!G6&lt;=600), ('(橫掃)RX Mapping'!G6-361),IF(AND('(橫掃)RX Mapping'!G6&gt;=601,'(橫掃)RX Mapping'!G6&lt;=720), (-1)*('(橫掃)RX Mapping'!G6-720)+120,IF(AND('(橫掃)RX Mapping'!G6&gt;=721,'(橫掃)RX Mapping'!G6&lt;=840), ('(橫掃)RX Mapping'!G6-601),IF(AND('(橫掃)RX Mapping'!G6&gt;=841,'(橫掃)RX Mapping'!G6&lt;=960), (-1)*('(橫掃)RX Mapping'!G6-960)+120,9999))))))))</f>
        <v>75</v>
      </c>
      <c r="H6">
        <f>IF(AND('(橫掃)RX Mapping'!H6&gt;=1,'(橫掃)RX Mapping'!H6&lt;=120), ('(橫掃)RX Mapping'!H6-1),IF(AND('(橫掃)RX Mapping'!H6&gt;=121,'(橫掃)RX Mapping'!H6&lt;=240), (-1)*('(橫掃)RX Mapping'!H6-240),IF(AND('(橫掃)RX Mapping'!H6&gt;=241,'(橫掃)RX Mapping'!H6&lt;=360), ('(橫掃)RX Mapping'!H6-241),IF(AND('(橫掃)RX Mapping'!H6&gt;=361,'(橫掃)RX Mapping'!H6&lt;=480), (-1)*('(橫掃)RX Mapping'!H6-480),IF(AND('(橫掃)RX Mapping'!H6&gt;=481,'(橫掃)RX Mapping'!H6&lt;=600), ('(橫掃)RX Mapping'!H6-361),IF(AND('(橫掃)RX Mapping'!H6&gt;=601,'(橫掃)RX Mapping'!H6&lt;=720), (-1)*('(橫掃)RX Mapping'!H6-720)+120,IF(AND('(橫掃)RX Mapping'!H6&gt;=721,'(橫掃)RX Mapping'!H6&lt;=840), ('(橫掃)RX Mapping'!H6-601),IF(AND('(橫掃)RX Mapping'!H6&gt;=841,'(橫掃)RX Mapping'!H6&lt;=960), (-1)*('(橫掃)RX Mapping'!H6-960)+120,9999))))))))</f>
        <v>43</v>
      </c>
      <c r="I6">
        <f>IF(AND('(橫掃)RX Mapping'!I6&gt;=1,'(橫掃)RX Mapping'!I6&lt;=120), ('(橫掃)RX Mapping'!I6-1),IF(AND('(橫掃)RX Mapping'!I6&gt;=121,'(橫掃)RX Mapping'!I6&lt;=240), (-1)*('(橫掃)RX Mapping'!I6-240),IF(AND('(橫掃)RX Mapping'!I6&gt;=241,'(橫掃)RX Mapping'!I6&lt;=360), ('(橫掃)RX Mapping'!I6-241),IF(AND('(橫掃)RX Mapping'!I6&gt;=361,'(橫掃)RX Mapping'!I6&lt;=480), (-1)*('(橫掃)RX Mapping'!I6-480),IF(AND('(橫掃)RX Mapping'!I6&gt;=481,'(橫掃)RX Mapping'!I6&lt;=600), ('(橫掃)RX Mapping'!I6-361),IF(AND('(橫掃)RX Mapping'!I6&gt;=601,'(橫掃)RX Mapping'!I6&lt;=720), (-1)*('(橫掃)RX Mapping'!I6-720)+120,IF(AND('(橫掃)RX Mapping'!I6&gt;=721,'(橫掃)RX Mapping'!I6&lt;=840), ('(橫掃)RX Mapping'!I6-601),IF(AND('(橫掃)RX Mapping'!I6&gt;=841,'(橫掃)RX Mapping'!I6&lt;=960), (-1)*('(橫掃)RX Mapping'!I6-960)+120,9999))))))))</f>
        <v>4</v>
      </c>
      <c r="J6">
        <f>IF(AND('(橫掃)RX Mapping'!J6&gt;=1,'(橫掃)RX Mapping'!J6&lt;=120), ('(橫掃)RX Mapping'!J6-1),IF(AND('(橫掃)RX Mapping'!J6&gt;=121,'(橫掃)RX Mapping'!J6&lt;=240), (-1)*('(橫掃)RX Mapping'!J6-240),IF(AND('(橫掃)RX Mapping'!J6&gt;=241,'(橫掃)RX Mapping'!J6&lt;=360), ('(橫掃)RX Mapping'!J6-241),IF(AND('(橫掃)RX Mapping'!J6&gt;=361,'(橫掃)RX Mapping'!J6&lt;=480), (-1)*('(橫掃)RX Mapping'!J6-480),IF(AND('(橫掃)RX Mapping'!J6&gt;=481,'(橫掃)RX Mapping'!J6&lt;=600), ('(橫掃)RX Mapping'!J6-361),IF(AND('(橫掃)RX Mapping'!J6&gt;=601,'(橫掃)RX Mapping'!J6&lt;=720), (-1)*('(橫掃)RX Mapping'!J6-720)+120,IF(AND('(橫掃)RX Mapping'!J6&gt;=721,'(橫掃)RX Mapping'!J6&lt;=840), ('(橫掃)RX Mapping'!J6-601),IF(AND('(橫掃)RX Mapping'!J6&gt;=841,'(橫掃)RX Mapping'!J6&lt;=960), (-1)*('(橫掃)RX Mapping'!J6-960)+120,9999))))))))</f>
        <v>36</v>
      </c>
      <c r="K6">
        <f>IF(AND('(橫掃)RX Mapping'!K6&gt;=1,'(橫掃)RX Mapping'!K6&lt;=120), ('(橫掃)RX Mapping'!K6-1),IF(AND('(橫掃)RX Mapping'!K6&gt;=121,'(橫掃)RX Mapping'!K6&lt;=240), (-1)*('(橫掃)RX Mapping'!K6-240),IF(AND('(橫掃)RX Mapping'!K6&gt;=241,'(橫掃)RX Mapping'!K6&lt;=360), ('(橫掃)RX Mapping'!K6-241),IF(AND('(橫掃)RX Mapping'!K6&gt;=361,'(橫掃)RX Mapping'!K6&lt;=480), (-1)*('(橫掃)RX Mapping'!K6-480),IF(AND('(橫掃)RX Mapping'!K6&gt;=481,'(橫掃)RX Mapping'!K6&lt;=600), ('(橫掃)RX Mapping'!K6-361),IF(AND('(橫掃)RX Mapping'!K6&gt;=601,'(橫掃)RX Mapping'!K6&lt;=720), (-1)*('(橫掃)RX Mapping'!K6-720)+120,IF(AND('(橫掃)RX Mapping'!K6&gt;=721,'(橫掃)RX Mapping'!K6&lt;=840), ('(橫掃)RX Mapping'!K6-601),IF(AND('(橫掃)RX Mapping'!K6&gt;=841,'(橫掃)RX Mapping'!K6&lt;=960), (-1)*('(橫掃)RX Mapping'!K6-960)+120,9999))))))))</f>
        <v>68</v>
      </c>
      <c r="L6">
        <f>IF(AND('(橫掃)RX Mapping'!L6&gt;=1,'(橫掃)RX Mapping'!L6&lt;=120), ('(橫掃)RX Mapping'!L6-1),IF(AND('(橫掃)RX Mapping'!L6&gt;=121,'(橫掃)RX Mapping'!L6&lt;=240), (-1)*('(橫掃)RX Mapping'!L6-240),IF(AND('(橫掃)RX Mapping'!L6&gt;=241,'(橫掃)RX Mapping'!L6&lt;=360), ('(橫掃)RX Mapping'!L6-241),IF(AND('(橫掃)RX Mapping'!L6&gt;=361,'(橫掃)RX Mapping'!L6&lt;=480), (-1)*('(橫掃)RX Mapping'!L6-480),IF(AND('(橫掃)RX Mapping'!L6&gt;=481,'(橫掃)RX Mapping'!L6&lt;=600), ('(橫掃)RX Mapping'!L6-361),IF(AND('(橫掃)RX Mapping'!L6&gt;=601,'(橫掃)RX Mapping'!L6&lt;=720), (-1)*('(橫掃)RX Mapping'!L6-720)+120,IF(AND('(橫掃)RX Mapping'!L6&gt;=721,'(橫掃)RX Mapping'!L6&lt;=840), ('(橫掃)RX Mapping'!L6-601),IF(AND('(橫掃)RX Mapping'!L6&gt;=841,'(橫掃)RX Mapping'!L6&lt;=960), (-1)*('(橫掃)RX Mapping'!L6-960)+120,9999))))))))</f>
        <v>100</v>
      </c>
      <c r="M6">
        <f>IF(AND('(橫掃)RX Mapping'!M6&gt;=1,'(橫掃)RX Mapping'!M6&lt;=120), ('(橫掃)RX Mapping'!M6-1),IF(AND('(橫掃)RX Mapping'!M6&gt;=121,'(橫掃)RX Mapping'!M6&lt;=240), (-1)*('(橫掃)RX Mapping'!M6-240),IF(AND('(橫掃)RX Mapping'!M6&gt;=241,'(橫掃)RX Mapping'!M6&lt;=360), ('(橫掃)RX Mapping'!M6-241),IF(AND('(橫掃)RX Mapping'!M6&gt;=361,'(橫掃)RX Mapping'!M6&lt;=480), (-1)*('(橫掃)RX Mapping'!M6-480),IF(AND('(橫掃)RX Mapping'!M6&gt;=481,'(橫掃)RX Mapping'!M6&lt;=600), ('(橫掃)RX Mapping'!M6-361),IF(AND('(橫掃)RX Mapping'!M6&gt;=601,'(橫掃)RX Mapping'!M6&lt;=720), (-1)*('(橫掃)RX Mapping'!M6-720)+120,IF(AND('(橫掃)RX Mapping'!M6&gt;=721,'(橫掃)RX Mapping'!M6&lt;=840), ('(橫掃)RX Mapping'!M6-601),IF(AND('(橫掃)RX Mapping'!M6&gt;=841,'(橫掃)RX Mapping'!M6&lt;=960), (-1)*('(橫掃)RX Mapping'!M6-960)+120,9999))))))))</f>
        <v>107</v>
      </c>
      <c r="N6">
        <f>IF(AND('(橫掃)RX Mapping'!N6&gt;=1,'(橫掃)RX Mapping'!N6&lt;=120), ('(橫掃)RX Mapping'!N6-1),IF(AND('(橫掃)RX Mapping'!N6&gt;=121,'(橫掃)RX Mapping'!N6&lt;=240), (-1)*('(橫掃)RX Mapping'!N6-240),IF(AND('(橫掃)RX Mapping'!N6&gt;=241,'(橫掃)RX Mapping'!N6&lt;=360), ('(橫掃)RX Mapping'!N6-241),IF(AND('(橫掃)RX Mapping'!N6&gt;=361,'(橫掃)RX Mapping'!N6&lt;=480), (-1)*('(橫掃)RX Mapping'!N6-480),IF(AND('(橫掃)RX Mapping'!N6&gt;=481,'(橫掃)RX Mapping'!N6&lt;=600), ('(橫掃)RX Mapping'!N6-361),IF(AND('(橫掃)RX Mapping'!N6&gt;=601,'(橫掃)RX Mapping'!N6&lt;=720), (-1)*('(橫掃)RX Mapping'!N6-720)+120,IF(AND('(橫掃)RX Mapping'!N6&gt;=721,'(橫掃)RX Mapping'!N6&lt;=840), ('(橫掃)RX Mapping'!N6-601),IF(AND('(橫掃)RX Mapping'!N6&gt;=841,'(橫掃)RX Mapping'!N6&lt;=960), (-1)*('(橫掃)RX Mapping'!N6-960)+120,9999))))))))</f>
        <v>75</v>
      </c>
      <c r="O6">
        <f>IF(AND('(橫掃)RX Mapping'!O6&gt;=1,'(橫掃)RX Mapping'!O6&lt;=120), ('(橫掃)RX Mapping'!O6-1),IF(AND('(橫掃)RX Mapping'!O6&gt;=121,'(橫掃)RX Mapping'!O6&lt;=240), (-1)*('(橫掃)RX Mapping'!O6-240),IF(AND('(橫掃)RX Mapping'!O6&gt;=241,'(橫掃)RX Mapping'!O6&lt;=360), ('(橫掃)RX Mapping'!O6-241),IF(AND('(橫掃)RX Mapping'!O6&gt;=361,'(橫掃)RX Mapping'!O6&lt;=480), (-1)*('(橫掃)RX Mapping'!O6-480),IF(AND('(橫掃)RX Mapping'!O6&gt;=481,'(橫掃)RX Mapping'!O6&lt;=600), ('(橫掃)RX Mapping'!O6-361),IF(AND('(橫掃)RX Mapping'!O6&gt;=601,'(橫掃)RX Mapping'!O6&lt;=720), (-1)*('(橫掃)RX Mapping'!O6-720)+120,IF(AND('(橫掃)RX Mapping'!O6&gt;=721,'(橫掃)RX Mapping'!O6&lt;=840), ('(橫掃)RX Mapping'!O6-601),IF(AND('(橫掃)RX Mapping'!O6&gt;=841,'(橫掃)RX Mapping'!O6&lt;=960), (-1)*('(橫掃)RX Mapping'!O6-960)+120,9999))))))))</f>
        <v>43</v>
      </c>
      <c r="P6">
        <f>IF(AND('(橫掃)RX Mapping'!P6&gt;=1,'(橫掃)RX Mapping'!P6&lt;=120), ('(橫掃)RX Mapping'!P6-1),IF(AND('(橫掃)RX Mapping'!P6&gt;=121,'(橫掃)RX Mapping'!P6&lt;=240), (-1)*('(橫掃)RX Mapping'!P6-240),IF(AND('(橫掃)RX Mapping'!P6&gt;=241,'(橫掃)RX Mapping'!P6&lt;=360), ('(橫掃)RX Mapping'!P6-241),IF(AND('(橫掃)RX Mapping'!P6&gt;=361,'(橫掃)RX Mapping'!P6&lt;=480), (-1)*('(橫掃)RX Mapping'!P6-480),IF(AND('(橫掃)RX Mapping'!P6&gt;=481,'(橫掃)RX Mapping'!P6&lt;=600), ('(橫掃)RX Mapping'!P6-361),IF(AND('(橫掃)RX Mapping'!P6&gt;=601,'(橫掃)RX Mapping'!P6&lt;=720), (-1)*('(橫掃)RX Mapping'!P6-720)+120,IF(AND('(橫掃)RX Mapping'!P6&gt;=721,'(橫掃)RX Mapping'!P6&lt;=840), ('(橫掃)RX Mapping'!P6-601),IF(AND('(橫掃)RX Mapping'!P6&gt;=841,'(橫掃)RX Mapping'!P6&lt;=960), (-1)*('(橫掃)RX Mapping'!P6-960)+120,9999))))))))</f>
        <v>124</v>
      </c>
      <c r="Q6">
        <f>IF(AND('(橫掃)RX Mapping'!Q6&gt;=1,'(橫掃)RX Mapping'!Q6&lt;=120), ('(橫掃)RX Mapping'!Q6-1),IF(AND('(橫掃)RX Mapping'!Q6&gt;=121,'(橫掃)RX Mapping'!Q6&lt;=240), (-1)*('(橫掃)RX Mapping'!Q6-240),IF(AND('(橫掃)RX Mapping'!Q6&gt;=241,'(橫掃)RX Mapping'!Q6&lt;=360), ('(橫掃)RX Mapping'!Q6-241),IF(AND('(橫掃)RX Mapping'!Q6&gt;=361,'(橫掃)RX Mapping'!Q6&lt;=480), (-1)*('(橫掃)RX Mapping'!Q6-480),IF(AND('(橫掃)RX Mapping'!Q6&gt;=481,'(橫掃)RX Mapping'!Q6&lt;=600), ('(橫掃)RX Mapping'!Q6-361),IF(AND('(橫掃)RX Mapping'!Q6&gt;=601,'(橫掃)RX Mapping'!Q6&lt;=720), (-1)*('(橫掃)RX Mapping'!Q6-720)+120,IF(AND('(橫掃)RX Mapping'!Q6&gt;=721,'(橫掃)RX Mapping'!Q6&lt;=840), ('(橫掃)RX Mapping'!Q6-601),IF(AND('(橫掃)RX Mapping'!Q6&gt;=841,'(橫掃)RX Mapping'!Q6&lt;=960), (-1)*('(橫掃)RX Mapping'!Q6-960)+120,9999))))))))</f>
        <v>156</v>
      </c>
      <c r="R6">
        <f>IF(AND('(橫掃)RX Mapping'!R6&gt;=1,'(橫掃)RX Mapping'!R6&lt;=120), ('(橫掃)RX Mapping'!R6-1),IF(AND('(橫掃)RX Mapping'!R6&gt;=121,'(橫掃)RX Mapping'!R6&lt;=240), (-1)*('(橫掃)RX Mapping'!R6-240),IF(AND('(橫掃)RX Mapping'!R6&gt;=241,'(橫掃)RX Mapping'!R6&lt;=360), ('(橫掃)RX Mapping'!R6-241),IF(AND('(橫掃)RX Mapping'!R6&gt;=361,'(橫掃)RX Mapping'!R6&lt;=480), (-1)*('(橫掃)RX Mapping'!R6-480),IF(AND('(橫掃)RX Mapping'!R6&gt;=481,'(橫掃)RX Mapping'!R6&lt;=600), ('(橫掃)RX Mapping'!R6-361),IF(AND('(橫掃)RX Mapping'!R6&gt;=601,'(橫掃)RX Mapping'!R6&lt;=720), (-1)*('(橫掃)RX Mapping'!R6-720)+120,IF(AND('(橫掃)RX Mapping'!R6&gt;=721,'(橫掃)RX Mapping'!R6&lt;=840), ('(橫掃)RX Mapping'!R6-601),IF(AND('(橫掃)RX Mapping'!R6&gt;=841,'(橫掃)RX Mapping'!R6&lt;=960), (-1)*('(橫掃)RX Mapping'!R6-960)+120,9999))))))))</f>
        <v>188</v>
      </c>
      <c r="S6">
        <f>IF(AND('(橫掃)RX Mapping'!S6&gt;=1,'(橫掃)RX Mapping'!S6&lt;=120), ('(橫掃)RX Mapping'!S6-1),IF(AND('(橫掃)RX Mapping'!S6&gt;=121,'(橫掃)RX Mapping'!S6&lt;=240), (-1)*('(橫掃)RX Mapping'!S6-240),IF(AND('(橫掃)RX Mapping'!S6&gt;=241,'(橫掃)RX Mapping'!S6&lt;=360), ('(橫掃)RX Mapping'!S6-241),IF(AND('(橫掃)RX Mapping'!S6&gt;=361,'(橫掃)RX Mapping'!S6&lt;=480), (-1)*('(橫掃)RX Mapping'!S6-480),IF(AND('(橫掃)RX Mapping'!S6&gt;=481,'(橫掃)RX Mapping'!S6&lt;=600), ('(橫掃)RX Mapping'!S6-361),IF(AND('(橫掃)RX Mapping'!S6&gt;=601,'(橫掃)RX Mapping'!S6&lt;=720), (-1)*('(橫掃)RX Mapping'!S6-720)+120,IF(AND('(橫掃)RX Mapping'!S6&gt;=721,'(橫掃)RX Mapping'!S6&lt;=840), ('(橫掃)RX Mapping'!S6-601),IF(AND('(橫掃)RX Mapping'!S6&gt;=841,'(橫掃)RX Mapping'!S6&lt;=960), (-1)*('(橫掃)RX Mapping'!S6-960)+120,9999))))))))</f>
        <v>220</v>
      </c>
      <c r="T6">
        <f>IF(AND('(橫掃)RX Mapping'!T6&gt;=1,'(橫掃)RX Mapping'!T6&lt;=120), ('(橫掃)RX Mapping'!T6-1),IF(AND('(橫掃)RX Mapping'!T6&gt;=121,'(橫掃)RX Mapping'!T6&lt;=240), (-1)*('(橫掃)RX Mapping'!T6-240),IF(AND('(橫掃)RX Mapping'!T6&gt;=241,'(橫掃)RX Mapping'!T6&lt;=360), ('(橫掃)RX Mapping'!T6-241),IF(AND('(橫掃)RX Mapping'!T6&gt;=361,'(橫掃)RX Mapping'!T6&lt;=480), (-1)*('(橫掃)RX Mapping'!T6-480),IF(AND('(橫掃)RX Mapping'!T6&gt;=481,'(橫掃)RX Mapping'!T6&lt;=600), ('(橫掃)RX Mapping'!T6-361),IF(AND('(橫掃)RX Mapping'!T6&gt;=601,'(橫掃)RX Mapping'!T6&lt;=720), (-1)*('(橫掃)RX Mapping'!T6-720)+120,IF(AND('(橫掃)RX Mapping'!T6&gt;=721,'(橫掃)RX Mapping'!T6&lt;=840), ('(橫掃)RX Mapping'!T6-601),IF(AND('(橫掃)RX Mapping'!T6&gt;=841,'(橫掃)RX Mapping'!T6&lt;=960), (-1)*('(橫掃)RX Mapping'!T6-960)+120,9999))))))))</f>
        <v>227</v>
      </c>
      <c r="U6">
        <f>IF(AND('(橫掃)RX Mapping'!U6&gt;=1,'(橫掃)RX Mapping'!U6&lt;=120), ('(橫掃)RX Mapping'!U6-1),IF(AND('(橫掃)RX Mapping'!U6&gt;=121,'(橫掃)RX Mapping'!U6&lt;=240), (-1)*('(橫掃)RX Mapping'!U6-240),IF(AND('(橫掃)RX Mapping'!U6&gt;=241,'(橫掃)RX Mapping'!U6&lt;=360), ('(橫掃)RX Mapping'!U6-241),IF(AND('(橫掃)RX Mapping'!U6&gt;=361,'(橫掃)RX Mapping'!U6&lt;=480), (-1)*('(橫掃)RX Mapping'!U6-480),IF(AND('(橫掃)RX Mapping'!U6&gt;=481,'(橫掃)RX Mapping'!U6&lt;=600), ('(橫掃)RX Mapping'!U6-361),IF(AND('(橫掃)RX Mapping'!U6&gt;=601,'(橫掃)RX Mapping'!U6&lt;=720), (-1)*('(橫掃)RX Mapping'!U6-720)+120,IF(AND('(橫掃)RX Mapping'!U6&gt;=721,'(橫掃)RX Mapping'!U6&lt;=840), ('(橫掃)RX Mapping'!U6-601),IF(AND('(橫掃)RX Mapping'!U6&gt;=841,'(橫掃)RX Mapping'!U6&lt;=960), (-1)*('(橫掃)RX Mapping'!U6-960)+120,9999))))))))</f>
        <v>195</v>
      </c>
      <c r="V6">
        <f>IF(AND('(橫掃)RX Mapping'!V6&gt;=1,'(橫掃)RX Mapping'!V6&lt;=120), ('(橫掃)RX Mapping'!V6-1),IF(AND('(橫掃)RX Mapping'!V6&gt;=121,'(橫掃)RX Mapping'!V6&lt;=240), (-1)*('(橫掃)RX Mapping'!V6-240),IF(AND('(橫掃)RX Mapping'!V6&gt;=241,'(橫掃)RX Mapping'!V6&lt;=360), ('(橫掃)RX Mapping'!V6-241),IF(AND('(橫掃)RX Mapping'!V6&gt;=361,'(橫掃)RX Mapping'!V6&lt;=480), (-1)*('(橫掃)RX Mapping'!V6-480),IF(AND('(橫掃)RX Mapping'!V6&gt;=481,'(橫掃)RX Mapping'!V6&lt;=600), ('(橫掃)RX Mapping'!V6-361),IF(AND('(橫掃)RX Mapping'!V6&gt;=601,'(橫掃)RX Mapping'!V6&lt;=720), (-1)*('(橫掃)RX Mapping'!V6-720)+120,IF(AND('(橫掃)RX Mapping'!V6&gt;=721,'(橫掃)RX Mapping'!V6&lt;=840), ('(橫掃)RX Mapping'!V6-601),IF(AND('(橫掃)RX Mapping'!V6&gt;=841,'(橫掃)RX Mapping'!V6&lt;=960), (-1)*('(橫掃)RX Mapping'!V6-960)+120,9999))))))))</f>
        <v>163</v>
      </c>
      <c r="W6">
        <f>IF(AND('(橫掃)RX Mapping'!W6&gt;=1,'(橫掃)RX Mapping'!W6&lt;=120), ('(橫掃)RX Mapping'!W6-1),IF(AND('(橫掃)RX Mapping'!W6&gt;=121,'(橫掃)RX Mapping'!W6&lt;=240), (-1)*('(橫掃)RX Mapping'!W6-240),IF(AND('(橫掃)RX Mapping'!W6&gt;=241,'(橫掃)RX Mapping'!W6&lt;=360), ('(橫掃)RX Mapping'!W6-241),IF(AND('(橫掃)RX Mapping'!W6&gt;=361,'(橫掃)RX Mapping'!W6&lt;=480), (-1)*('(橫掃)RX Mapping'!W6-480),IF(AND('(橫掃)RX Mapping'!W6&gt;=481,'(橫掃)RX Mapping'!W6&lt;=600), ('(橫掃)RX Mapping'!W6-361),IF(AND('(橫掃)RX Mapping'!W6&gt;=601,'(橫掃)RX Mapping'!W6&lt;=720), (-1)*('(橫掃)RX Mapping'!W6-720)+120,IF(AND('(橫掃)RX Mapping'!W6&gt;=721,'(橫掃)RX Mapping'!W6&lt;=840), ('(橫掃)RX Mapping'!W6-601),IF(AND('(橫掃)RX Mapping'!W6&gt;=841,'(橫掃)RX Mapping'!W6&lt;=960), (-1)*('(橫掃)RX Mapping'!W6-960)+120,9999))))))))</f>
        <v>124</v>
      </c>
      <c r="X6">
        <f>IF(AND('(橫掃)RX Mapping'!X6&gt;=1,'(橫掃)RX Mapping'!X6&lt;=120), ('(橫掃)RX Mapping'!X6-1),IF(AND('(橫掃)RX Mapping'!X6&gt;=121,'(橫掃)RX Mapping'!X6&lt;=240), (-1)*('(橫掃)RX Mapping'!X6-240),IF(AND('(橫掃)RX Mapping'!X6&gt;=241,'(橫掃)RX Mapping'!X6&lt;=360), ('(橫掃)RX Mapping'!X6-241),IF(AND('(橫掃)RX Mapping'!X6&gt;=361,'(橫掃)RX Mapping'!X6&lt;=480), (-1)*('(橫掃)RX Mapping'!X6-480),IF(AND('(橫掃)RX Mapping'!X6&gt;=481,'(橫掃)RX Mapping'!X6&lt;=600), ('(橫掃)RX Mapping'!X6-361),IF(AND('(橫掃)RX Mapping'!X6&gt;=601,'(橫掃)RX Mapping'!X6&lt;=720), (-1)*('(橫掃)RX Mapping'!X6-720)+120,IF(AND('(橫掃)RX Mapping'!X6&gt;=721,'(橫掃)RX Mapping'!X6&lt;=840), ('(橫掃)RX Mapping'!X6-601),IF(AND('(橫掃)RX Mapping'!X6&gt;=841,'(橫掃)RX Mapping'!X6&lt;=960), (-1)*('(橫掃)RX Mapping'!X6-960)+120,9999))))))))</f>
        <v>156</v>
      </c>
      <c r="Y6">
        <f>IF(AND('(橫掃)RX Mapping'!Y6&gt;=1,'(橫掃)RX Mapping'!Y6&lt;=120), ('(橫掃)RX Mapping'!Y6-1),IF(AND('(橫掃)RX Mapping'!Y6&gt;=121,'(橫掃)RX Mapping'!Y6&lt;=240), (-1)*('(橫掃)RX Mapping'!Y6-240),IF(AND('(橫掃)RX Mapping'!Y6&gt;=241,'(橫掃)RX Mapping'!Y6&lt;=360), ('(橫掃)RX Mapping'!Y6-241),IF(AND('(橫掃)RX Mapping'!Y6&gt;=361,'(橫掃)RX Mapping'!Y6&lt;=480), (-1)*('(橫掃)RX Mapping'!Y6-480),IF(AND('(橫掃)RX Mapping'!Y6&gt;=481,'(橫掃)RX Mapping'!Y6&lt;=600), ('(橫掃)RX Mapping'!Y6-361),IF(AND('(橫掃)RX Mapping'!Y6&gt;=601,'(橫掃)RX Mapping'!Y6&lt;=720), (-1)*('(橫掃)RX Mapping'!Y6-720)+120,IF(AND('(橫掃)RX Mapping'!Y6&gt;=721,'(橫掃)RX Mapping'!Y6&lt;=840), ('(橫掃)RX Mapping'!Y6-601),IF(AND('(橫掃)RX Mapping'!Y6&gt;=841,'(橫掃)RX Mapping'!Y6&lt;=960), (-1)*('(橫掃)RX Mapping'!Y6-960)+120,9999))))))))</f>
        <v>188</v>
      </c>
      <c r="Z6">
        <f>IF(AND('(橫掃)RX Mapping'!Z6&gt;=1,'(橫掃)RX Mapping'!Z6&lt;=120), ('(橫掃)RX Mapping'!Z6-1),IF(AND('(橫掃)RX Mapping'!Z6&gt;=121,'(橫掃)RX Mapping'!Z6&lt;=240), (-1)*('(橫掃)RX Mapping'!Z6-240),IF(AND('(橫掃)RX Mapping'!Z6&gt;=241,'(橫掃)RX Mapping'!Z6&lt;=360), ('(橫掃)RX Mapping'!Z6-241),IF(AND('(橫掃)RX Mapping'!Z6&gt;=361,'(橫掃)RX Mapping'!Z6&lt;=480), (-1)*('(橫掃)RX Mapping'!Z6-480),IF(AND('(橫掃)RX Mapping'!Z6&gt;=481,'(橫掃)RX Mapping'!Z6&lt;=600), ('(橫掃)RX Mapping'!Z6-361),IF(AND('(橫掃)RX Mapping'!Z6&gt;=601,'(橫掃)RX Mapping'!Z6&lt;=720), (-1)*('(橫掃)RX Mapping'!Z6-720)+120,IF(AND('(橫掃)RX Mapping'!Z6&gt;=721,'(橫掃)RX Mapping'!Z6&lt;=840), ('(橫掃)RX Mapping'!Z6-601),IF(AND('(橫掃)RX Mapping'!Z6&gt;=841,'(橫掃)RX Mapping'!Z6&lt;=960), (-1)*('(橫掃)RX Mapping'!Z6-960)+120,9999))))))))</f>
        <v>220</v>
      </c>
      <c r="AA6">
        <f>IF(AND('(橫掃)RX Mapping'!AA6&gt;=1,'(橫掃)RX Mapping'!AA6&lt;=120), ('(橫掃)RX Mapping'!AA6-1),IF(AND('(橫掃)RX Mapping'!AA6&gt;=121,'(橫掃)RX Mapping'!AA6&lt;=240), (-1)*('(橫掃)RX Mapping'!AA6-240),IF(AND('(橫掃)RX Mapping'!AA6&gt;=241,'(橫掃)RX Mapping'!AA6&lt;=360), ('(橫掃)RX Mapping'!AA6-241),IF(AND('(橫掃)RX Mapping'!AA6&gt;=361,'(橫掃)RX Mapping'!AA6&lt;=480), (-1)*('(橫掃)RX Mapping'!AA6-480),IF(AND('(橫掃)RX Mapping'!AA6&gt;=481,'(橫掃)RX Mapping'!AA6&lt;=600), ('(橫掃)RX Mapping'!AA6-361),IF(AND('(橫掃)RX Mapping'!AA6&gt;=601,'(橫掃)RX Mapping'!AA6&lt;=720), (-1)*('(橫掃)RX Mapping'!AA6-720)+120,IF(AND('(橫掃)RX Mapping'!AA6&gt;=721,'(橫掃)RX Mapping'!AA6&lt;=840), ('(橫掃)RX Mapping'!AA6-601),IF(AND('(橫掃)RX Mapping'!AA6&gt;=841,'(橫掃)RX Mapping'!AA6&lt;=960), (-1)*('(橫掃)RX Mapping'!AA6-960)+120,9999))))))))</f>
        <v>227</v>
      </c>
      <c r="AB6">
        <f>IF(AND('(橫掃)RX Mapping'!AB6&gt;=1,'(橫掃)RX Mapping'!AB6&lt;=120), ('(橫掃)RX Mapping'!AB6-1),IF(AND('(橫掃)RX Mapping'!AB6&gt;=121,'(橫掃)RX Mapping'!AB6&lt;=240), (-1)*('(橫掃)RX Mapping'!AB6-240),IF(AND('(橫掃)RX Mapping'!AB6&gt;=241,'(橫掃)RX Mapping'!AB6&lt;=360), ('(橫掃)RX Mapping'!AB6-241),IF(AND('(橫掃)RX Mapping'!AB6&gt;=361,'(橫掃)RX Mapping'!AB6&lt;=480), (-1)*('(橫掃)RX Mapping'!AB6-480),IF(AND('(橫掃)RX Mapping'!AB6&gt;=481,'(橫掃)RX Mapping'!AB6&lt;=600), ('(橫掃)RX Mapping'!AB6-361),IF(AND('(橫掃)RX Mapping'!AB6&gt;=601,'(橫掃)RX Mapping'!AB6&lt;=720), (-1)*('(橫掃)RX Mapping'!AB6-720)+120,IF(AND('(橫掃)RX Mapping'!AB6&gt;=721,'(橫掃)RX Mapping'!AB6&lt;=840), ('(橫掃)RX Mapping'!AB6-601),IF(AND('(橫掃)RX Mapping'!AB6&gt;=841,'(橫掃)RX Mapping'!AB6&lt;=960), (-1)*('(橫掃)RX Mapping'!AB6-960)+120,9999))))))))</f>
        <v>195</v>
      </c>
      <c r="AC6">
        <f>IF(AND('(橫掃)RX Mapping'!AC6&gt;=1,'(橫掃)RX Mapping'!AC6&lt;=120), ('(橫掃)RX Mapping'!AC6-1),IF(AND('(橫掃)RX Mapping'!AC6&gt;=121,'(橫掃)RX Mapping'!AC6&lt;=240), (-1)*('(橫掃)RX Mapping'!AC6-240),IF(AND('(橫掃)RX Mapping'!AC6&gt;=241,'(橫掃)RX Mapping'!AC6&lt;=360), ('(橫掃)RX Mapping'!AC6-241),IF(AND('(橫掃)RX Mapping'!AC6&gt;=361,'(橫掃)RX Mapping'!AC6&lt;=480), (-1)*('(橫掃)RX Mapping'!AC6-480),IF(AND('(橫掃)RX Mapping'!AC6&gt;=481,'(橫掃)RX Mapping'!AC6&lt;=600), ('(橫掃)RX Mapping'!AC6-361),IF(AND('(橫掃)RX Mapping'!AC6&gt;=601,'(橫掃)RX Mapping'!AC6&lt;=720), (-1)*('(橫掃)RX Mapping'!AC6-720)+120,IF(AND('(橫掃)RX Mapping'!AC6&gt;=721,'(橫掃)RX Mapping'!AC6&lt;=840), ('(橫掃)RX Mapping'!AC6-601),IF(AND('(橫掃)RX Mapping'!AC6&gt;=841,'(橫掃)RX Mapping'!AC6&lt;=960), (-1)*('(橫掃)RX Mapping'!AC6-960)+120,9999))))))))</f>
        <v>163</v>
      </c>
      <c r="AD6">
        <f>IF(AND('(橫掃)RX Mapping'!AD6&gt;=1,'(橫掃)RX Mapping'!AD6&lt;=120), ('(橫掃)RX Mapping'!AD6-1),IF(AND('(橫掃)RX Mapping'!AD6&gt;=121,'(橫掃)RX Mapping'!AD6&lt;=240), (-1)*('(橫掃)RX Mapping'!AD6-240),IF(AND('(橫掃)RX Mapping'!AD6&gt;=241,'(橫掃)RX Mapping'!AD6&lt;=360), ('(橫掃)RX Mapping'!AD6-241),IF(AND('(橫掃)RX Mapping'!AD6&gt;=361,'(橫掃)RX Mapping'!AD6&lt;=480), (-1)*('(橫掃)RX Mapping'!AD6-480),IF(AND('(橫掃)RX Mapping'!AD6&gt;=481,'(橫掃)RX Mapping'!AD6&lt;=600), ('(橫掃)RX Mapping'!AD6-361),IF(AND('(橫掃)RX Mapping'!AD6&gt;=601,'(橫掃)RX Mapping'!AD6&lt;=720), (-1)*('(橫掃)RX Mapping'!AD6-720)+120,IF(AND('(橫掃)RX Mapping'!AD6&gt;=721,'(橫掃)RX Mapping'!AD6&lt;=840), ('(橫掃)RX Mapping'!AD6-601),IF(AND('(橫掃)RX Mapping'!AD6&gt;=841,'(橫掃)RX Mapping'!AD6&lt;=960), (-1)*('(橫掃)RX Mapping'!AD6-960)+120,9999))))))))</f>
        <v>9999</v>
      </c>
      <c r="AE6">
        <f>IF(AND('(橫掃)RX Mapping'!AE6&gt;=1,'(橫掃)RX Mapping'!AE6&lt;=120), ('(橫掃)RX Mapping'!AE6-1),IF(AND('(橫掃)RX Mapping'!AE6&gt;=121,'(橫掃)RX Mapping'!AE6&lt;=240), (-1)*('(橫掃)RX Mapping'!AE6-240),IF(AND('(橫掃)RX Mapping'!AE6&gt;=241,'(橫掃)RX Mapping'!AE6&lt;=360), ('(橫掃)RX Mapping'!AE6-241),IF(AND('(橫掃)RX Mapping'!AE6&gt;=361,'(橫掃)RX Mapping'!AE6&lt;=480), (-1)*('(橫掃)RX Mapping'!AE6-480),IF(AND('(橫掃)RX Mapping'!AE6&gt;=481,'(橫掃)RX Mapping'!AE6&lt;=600), ('(橫掃)RX Mapping'!AE6-361),IF(AND('(橫掃)RX Mapping'!AE6&gt;=601,'(橫掃)RX Mapping'!AE6&lt;=720), (-1)*('(橫掃)RX Mapping'!AE6-720)+120,IF(AND('(橫掃)RX Mapping'!AE6&gt;=721,'(橫掃)RX Mapping'!AE6&lt;=840), ('(橫掃)RX Mapping'!AE6-601),IF(AND('(橫掃)RX Mapping'!AE6&gt;=841,'(橫掃)RX Mapping'!AE6&lt;=960), (-1)*('(橫掃)RX Mapping'!AE6-960)+120,9999))))))))</f>
        <v>9999</v>
      </c>
      <c r="AF6">
        <f>IF(AND('(橫掃)RX Mapping'!AF6&gt;=1,'(橫掃)RX Mapping'!AF6&lt;=120), ('(橫掃)RX Mapping'!AF6-1),IF(AND('(橫掃)RX Mapping'!AF6&gt;=121,'(橫掃)RX Mapping'!AF6&lt;=240), (-1)*('(橫掃)RX Mapping'!AF6-240),IF(AND('(橫掃)RX Mapping'!AF6&gt;=241,'(橫掃)RX Mapping'!AF6&lt;=360), ('(橫掃)RX Mapping'!AF6-241),IF(AND('(橫掃)RX Mapping'!AF6&gt;=361,'(橫掃)RX Mapping'!AF6&lt;=480), (-1)*('(橫掃)RX Mapping'!AF6-480),IF(AND('(橫掃)RX Mapping'!AF6&gt;=481,'(橫掃)RX Mapping'!AF6&lt;=600), ('(橫掃)RX Mapping'!AF6-361),IF(AND('(橫掃)RX Mapping'!AF6&gt;=601,'(橫掃)RX Mapping'!AF6&lt;=720), (-1)*('(橫掃)RX Mapping'!AF6-720)+120,IF(AND('(橫掃)RX Mapping'!AF6&gt;=721,'(橫掃)RX Mapping'!AF6&lt;=840), ('(橫掃)RX Mapping'!AF6-601),IF(AND('(橫掃)RX Mapping'!AF6&gt;=841,'(橫掃)RX Mapping'!AF6&lt;=960), (-1)*('(橫掃)RX Mapping'!AF6-960)+120,9999))))))))</f>
        <v>9999</v>
      </c>
      <c r="AG6">
        <f>IF(AND('(橫掃)RX Mapping'!AG6&gt;=1,'(橫掃)RX Mapping'!AG6&lt;=120), ('(橫掃)RX Mapping'!AG6-1),IF(AND('(橫掃)RX Mapping'!AG6&gt;=121,'(橫掃)RX Mapping'!AG6&lt;=240), (-1)*('(橫掃)RX Mapping'!AG6-240),IF(AND('(橫掃)RX Mapping'!AG6&gt;=241,'(橫掃)RX Mapping'!AG6&lt;=360), ('(橫掃)RX Mapping'!AG6-241),IF(AND('(橫掃)RX Mapping'!AG6&gt;=361,'(橫掃)RX Mapping'!AG6&lt;=480), (-1)*('(橫掃)RX Mapping'!AG6-480),IF(AND('(橫掃)RX Mapping'!AG6&gt;=481,'(橫掃)RX Mapping'!AG6&lt;=600), ('(橫掃)RX Mapping'!AG6-361),IF(AND('(橫掃)RX Mapping'!AG6&gt;=601,'(橫掃)RX Mapping'!AG6&lt;=720), (-1)*('(橫掃)RX Mapping'!AG6-720)+120,IF(AND('(橫掃)RX Mapping'!AG6&gt;=721,'(橫掃)RX Mapping'!AG6&lt;=840), ('(橫掃)RX Mapping'!AG6-601),IF(AND('(橫掃)RX Mapping'!AG6&gt;=841,'(橫掃)RX Mapping'!AG6&lt;=960), (-1)*('(橫掃)RX Mapping'!AG6-960)+120,9999))))))))</f>
        <v>9999</v>
      </c>
      <c r="AH6">
        <f>IF(AND('(橫掃)RX Mapping'!AH6&gt;=1,'(橫掃)RX Mapping'!AH6&lt;=120), ('(橫掃)RX Mapping'!AH6-1),IF(AND('(橫掃)RX Mapping'!AH6&gt;=121,'(橫掃)RX Mapping'!AH6&lt;=240), (-1)*('(橫掃)RX Mapping'!AH6-240),IF(AND('(橫掃)RX Mapping'!AH6&gt;=241,'(橫掃)RX Mapping'!AH6&lt;=360), ('(橫掃)RX Mapping'!AH6-241),IF(AND('(橫掃)RX Mapping'!AH6&gt;=361,'(橫掃)RX Mapping'!AH6&lt;=480), (-1)*('(橫掃)RX Mapping'!AH6-480),IF(AND('(橫掃)RX Mapping'!AH6&gt;=481,'(橫掃)RX Mapping'!AH6&lt;=600), ('(橫掃)RX Mapping'!AH6-361),IF(AND('(橫掃)RX Mapping'!AH6&gt;=601,'(橫掃)RX Mapping'!AH6&lt;=720), (-1)*('(橫掃)RX Mapping'!AH6-720)+120,IF(AND('(橫掃)RX Mapping'!AH6&gt;=721,'(橫掃)RX Mapping'!AH6&lt;=840), ('(橫掃)RX Mapping'!AH6-601),IF(AND('(橫掃)RX Mapping'!AH6&gt;=841,'(橫掃)RX Mapping'!AH6&lt;=960), (-1)*('(橫掃)RX Mapping'!AH6-960)+120,9999))))))))</f>
        <v>9999</v>
      </c>
      <c r="AI6">
        <f>IF(AND('(橫掃)RX Mapping'!AI6&gt;=1,'(橫掃)RX Mapping'!AI6&lt;=120), ('(橫掃)RX Mapping'!AI6-1),IF(AND('(橫掃)RX Mapping'!AI6&gt;=121,'(橫掃)RX Mapping'!AI6&lt;=240), (-1)*('(橫掃)RX Mapping'!AI6-240),IF(AND('(橫掃)RX Mapping'!AI6&gt;=241,'(橫掃)RX Mapping'!AI6&lt;=360), ('(橫掃)RX Mapping'!AI6-241),IF(AND('(橫掃)RX Mapping'!AI6&gt;=361,'(橫掃)RX Mapping'!AI6&lt;=480), (-1)*('(橫掃)RX Mapping'!AI6-480),IF(AND('(橫掃)RX Mapping'!AI6&gt;=481,'(橫掃)RX Mapping'!AI6&lt;=600), ('(橫掃)RX Mapping'!AI6-361),IF(AND('(橫掃)RX Mapping'!AI6&gt;=601,'(橫掃)RX Mapping'!AI6&lt;=720), (-1)*('(橫掃)RX Mapping'!AI6-720)+120,IF(AND('(橫掃)RX Mapping'!AI6&gt;=721,'(橫掃)RX Mapping'!AI6&lt;=840), ('(橫掃)RX Mapping'!AI6-601),IF(AND('(橫掃)RX Mapping'!AI6&gt;=841,'(橫掃)RX Mapping'!AI6&lt;=960), (-1)*('(橫掃)RX Mapping'!AI6-960)+120,9999))))))))</f>
        <v>9999</v>
      </c>
      <c r="AJ6">
        <f>IF(AND('(橫掃)RX Mapping'!AJ6&gt;=1,'(橫掃)RX Mapping'!AJ6&lt;=120), ('(橫掃)RX Mapping'!AJ6-1),IF(AND('(橫掃)RX Mapping'!AJ6&gt;=121,'(橫掃)RX Mapping'!AJ6&lt;=240), (-1)*('(橫掃)RX Mapping'!AJ6-240),IF(AND('(橫掃)RX Mapping'!AJ6&gt;=241,'(橫掃)RX Mapping'!AJ6&lt;=360), ('(橫掃)RX Mapping'!AJ6-241),IF(AND('(橫掃)RX Mapping'!AJ6&gt;=361,'(橫掃)RX Mapping'!AJ6&lt;=480), (-1)*('(橫掃)RX Mapping'!AJ6-480),IF(AND('(橫掃)RX Mapping'!AJ6&gt;=481,'(橫掃)RX Mapping'!AJ6&lt;=600), ('(橫掃)RX Mapping'!AJ6-361),IF(AND('(橫掃)RX Mapping'!AJ6&gt;=601,'(橫掃)RX Mapping'!AJ6&lt;=720), (-1)*('(橫掃)RX Mapping'!AJ6-720)+120,IF(AND('(橫掃)RX Mapping'!AJ6&gt;=721,'(橫掃)RX Mapping'!AJ6&lt;=840), ('(橫掃)RX Mapping'!AJ6-601),IF(AND('(橫掃)RX Mapping'!AJ6&gt;=841,'(橫掃)RX Mapping'!AJ6&lt;=960), (-1)*('(橫掃)RX Mapping'!AJ6-960)+120,9999))))))))</f>
        <v>9999</v>
      </c>
      <c r="AK6">
        <f>IF(AND('(橫掃)RX Mapping'!AK6&gt;=1,'(橫掃)RX Mapping'!AK6&lt;=120), ('(橫掃)RX Mapping'!AK6-1),IF(AND('(橫掃)RX Mapping'!AK6&gt;=121,'(橫掃)RX Mapping'!AK6&lt;=240), (-1)*('(橫掃)RX Mapping'!AK6-240),IF(AND('(橫掃)RX Mapping'!AK6&gt;=241,'(橫掃)RX Mapping'!AK6&lt;=360), ('(橫掃)RX Mapping'!AK6-241),IF(AND('(橫掃)RX Mapping'!AK6&gt;=361,'(橫掃)RX Mapping'!AK6&lt;=480), (-1)*('(橫掃)RX Mapping'!AK6-480),IF(AND('(橫掃)RX Mapping'!AK6&gt;=481,'(橫掃)RX Mapping'!AK6&lt;=600), ('(橫掃)RX Mapping'!AK6-361),IF(AND('(橫掃)RX Mapping'!AK6&gt;=601,'(橫掃)RX Mapping'!AK6&lt;=720), (-1)*('(橫掃)RX Mapping'!AK6-720)+120,IF(AND('(橫掃)RX Mapping'!AK6&gt;=721,'(橫掃)RX Mapping'!AK6&lt;=840), ('(橫掃)RX Mapping'!AK6-601),IF(AND('(橫掃)RX Mapping'!AK6&gt;=841,'(橫掃)RX Mapping'!AK6&lt;=960), (-1)*('(橫掃)RX Mapping'!AK6-960)+120,9999))))))))</f>
        <v>9999</v>
      </c>
      <c r="AL6">
        <f>IF(AND('(橫掃)RX Mapping'!AL6&gt;=1,'(橫掃)RX Mapping'!AL6&lt;=120), ('(橫掃)RX Mapping'!AL6-1),IF(AND('(橫掃)RX Mapping'!AL6&gt;=121,'(橫掃)RX Mapping'!AL6&lt;=240), (-1)*('(橫掃)RX Mapping'!AL6-240),IF(AND('(橫掃)RX Mapping'!AL6&gt;=241,'(橫掃)RX Mapping'!AL6&lt;=360), ('(橫掃)RX Mapping'!AL6-241),IF(AND('(橫掃)RX Mapping'!AL6&gt;=361,'(橫掃)RX Mapping'!AL6&lt;=480), (-1)*('(橫掃)RX Mapping'!AL6-480),IF(AND('(橫掃)RX Mapping'!AL6&gt;=481,'(橫掃)RX Mapping'!AL6&lt;=600), ('(橫掃)RX Mapping'!AL6-361),IF(AND('(橫掃)RX Mapping'!AL6&gt;=601,'(橫掃)RX Mapping'!AL6&lt;=720), (-1)*('(橫掃)RX Mapping'!AL6-720)+120,IF(AND('(橫掃)RX Mapping'!AL6&gt;=721,'(橫掃)RX Mapping'!AL6&lt;=840), ('(橫掃)RX Mapping'!AL6-601),IF(AND('(橫掃)RX Mapping'!AL6&gt;=841,'(橫掃)RX Mapping'!AL6&lt;=960), (-1)*('(橫掃)RX Mapping'!AL6-960)+120,9999))))))))</f>
        <v>9999</v>
      </c>
      <c r="AM6">
        <f>IF(AND('(橫掃)RX Mapping'!AM6&gt;=1,'(橫掃)RX Mapping'!AM6&lt;=120), ('(橫掃)RX Mapping'!AM6-1),IF(AND('(橫掃)RX Mapping'!AM6&gt;=121,'(橫掃)RX Mapping'!AM6&lt;=240), (-1)*('(橫掃)RX Mapping'!AM6-240),IF(AND('(橫掃)RX Mapping'!AM6&gt;=241,'(橫掃)RX Mapping'!AM6&lt;=360), ('(橫掃)RX Mapping'!AM6-241),IF(AND('(橫掃)RX Mapping'!AM6&gt;=361,'(橫掃)RX Mapping'!AM6&lt;=480), (-1)*('(橫掃)RX Mapping'!AM6-480),IF(AND('(橫掃)RX Mapping'!AM6&gt;=481,'(橫掃)RX Mapping'!AM6&lt;=600), ('(橫掃)RX Mapping'!AM6-361),IF(AND('(橫掃)RX Mapping'!AM6&gt;=601,'(橫掃)RX Mapping'!AM6&lt;=720), (-1)*('(橫掃)RX Mapping'!AM6-720)+120,IF(AND('(橫掃)RX Mapping'!AM6&gt;=721,'(橫掃)RX Mapping'!AM6&lt;=840), ('(橫掃)RX Mapping'!AM6-601),IF(AND('(橫掃)RX Mapping'!AM6&gt;=841,'(橫掃)RX Mapping'!AM6&lt;=960), (-1)*('(橫掃)RX Mapping'!AM6-960)+120,9999))))))))</f>
        <v>9999</v>
      </c>
      <c r="AN6">
        <f>IF(AND('(橫掃)RX Mapping'!AN6&gt;=1,'(橫掃)RX Mapping'!AN6&lt;=120), ('(橫掃)RX Mapping'!AN6-1),IF(AND('(橫掃)RX Mapping'!AN6&gt;=121,'(橫掃)RX Mapping'!AN6&lt;=240), (-1)*('(橫掃)RX Mapping'!AN6-240),IF(AND('(橫掃)RX Mapping'!AN6&gt;=241,'(橫掃)RX Mapping'!AN6&lt;=360), ('(橫掃)RX Mapping'!AN6-241),IF(AND('(橫掃)RX Mapping'!AN6&gt;=361,'(橫掃)RX Mapping'!AN6&lt;=480), (-1)*('(橫掃)RX Mapping'!AN6-480),IF(AND('(橫掃)RX Mapping'!AN6&gt;=481,'(橫掃)RX Mapping'!AN6&lt;=600), ('(橫掃)RX Mapping'!AN6-361),IF(AND('(橫掃)RX Mapping'!AN6&gt;=601,'(橫掃)RX Mapping'!AN6&lt;=720), (-1)*('(橫掃)RX Mapping'!AN6-720)+120,IF(AND('(橫掃)RX Mapping'!AN6&gt;=721,'(橫掃)RX Mapping'!AN6&lt;=840), ('(橫掃)RX Mapping'!AN6-601),IF(AND('(橫掃)RX Mapping'!AN6&gt;=841,'(橫掃)RX Mapping'!AN6&lt;=960), (-1)*('(橫掃)RX Mapping'!AN6-960)+120,9999))))))))</f>
        <v>9999</v>
      </c>
      <c r="AO6">
        <f>IF(AND('(橫掃)RX Mapping'!AO6&gt;=1,'(橫掃)RX Mapping'!AO6&lt;=120), ('(橫掃)RX Mapping'!AO6-1),IF(AND('(橫掃)RX Mapping'!AO6&gt;=121,'(橫掃)RX Mapping'!AO6&lt;=240), (-1)*('(橫掃)RX Mapping'!AO6-240),IF(AND('(橫掃)RX Mapping'!AO6&gt;=241,'(橫掃)RX Mapping'!AO6&lt;=360), ('(橫掃)RX Mapping'!AO6-241),IF(AND('(橫掃)RX Mapping'!AO6&gt;=361,'(橫掃)RX Mapping'!AO6&lt;=480), (-1)*('(橫掃)RX Mapping'!AO6-480),IF(AND('(橫掃)RX Mapping'!AO6&gt;=481,'(橫掃)RX Mapping'!AO6&lt;=600), ('(橫掃)RX Mapping'!AO6-361),IF(AND('(橫掃)RX Mapping'!AO6&gt;=601,'(橫掃)RX Mapping'!AO6&lt;=720), (-1)*('(橫掃)RX Mapping'!AO6-720)+120,IF(AND('(橫掃)RX Mapping'!AO6&gt;=721,'(橫掃)RX Mapping'!AO6&lt;=840), ('(橫掃)RX Mapping'!AO6-601),IF(AND('(橫掃)RX Mapping'!AO6&gt;=841,'(橫掃)RX Mapping'!AO6&lt;=960), (-1)*('(橫掃)RX Mapping'!AO6-960)+120,9999))))))))</f>
        <v>9999</v>
      </c>
      <c r="AP6">
        <f>IF(AND('(橫掃)RX Mapping'!AP6&gt;=1,'(橫掃)RX Mapping'!AP6&lt;=120), ('(橫掃)RX Mapping'!AP6-1),IF(AND('(橫掃)RX Mapping'!AP6&gt;=121,'(橫掃)RX Mapping'!AP6&lt;=240), (-1)*('(橫掃)RX Mapping'!AP6-240),IF(AND('(橫掃)RX Mapping'!AP6&gt;=241,'(橫掃)RX Mapping'!AP6&lt;=360), ('(橫掃)RX Mapping'!AP6-241),IF(AND('(橫掃)RX Mapping'!AP6&gt;=361,'(橫掃)RX Mapping'!AP6&lt;=480), (-1)*('(橫掃)RX Mapping'!AP6-480),IF(AND('(橫掃)RX Mapping'!AP6&gt;=481,'(橫掃)RX Mapping'!AP6&lt;=600), ('(橫掃)RX Mapping'!AP6-361),IF(AND('(橫掃)RX Mapping'!AP6&gt;=601,'(橫掃)RX Mapping'!AP6&lt;=720), (-1)*('(橫掃)RX Mapping'!AP6-720)+120,IF(AND('(橫掃)RX Mapping'!AP6&gt;=721,'(橫掃)RX Mapping'!AP6&lt;=840), ('(橫掃)RX Mapping'!AP6-601),IF(AND('(橫掃)RX Mapping'!AP6&gt;=841,'(橫掃)RX Mapping'!AP6&lt;=960), (-1)*('(橫掃)RX Mapping'!AP6-960)+120,9999))))))))</f>
        <v>9999</v>
      </c>
      <c r="AQ6">
        <f>IF(AND('(橫掃)RX Mapping'!AQ6&gt;=1,'(橫掃)RX Mapping'!AQ6&lt;=120), ('(橫掃)RX Mapping'!AQ6-1),IF(AND('(橫掃)RX Mapping'!AQ6&gt;=121,'(橫掃)RX Mapping'!AQ6&lt;=240), (-1)*('(橫掃)RX Mapping'!AQ6-240),IF(AND('(橫掃)RX Mapping'!AQ6&gt;=241,'(橫掃)RX Mapping'!AQ6&lt;=360), ('(橫掃)RX Mapping'!AQ6-241),IF(AND('(橫掃)RX Mapping'!AQ6&gt;=361,'(橫掃)RX Mapping'!AQ6&lt;=480), (-1)*('(橫掃)RX Mapping'!AQ6-480),IF(AND('(橫掃)RX Mapping'!AQ6&gt;=481,'(橫掃)RX Mapping'!AQ6&lt;=600), ('(橫掃)RX Mapping'!AQ6-361),IF(AND('(橫掃)RX Mapping'!AQ6&gt;=601,'(橫掃)RX Mapping'!AQ6&lt;=720), (-1)*('(橫掃)RX Mapping'!AQ6-720)+120,IF(AND('(橫掃)RX Mapping'!AQ6&gt;=721,'(橫掃)RX Mapping'!AQ6&lt;=840), ('(橫掃)RX Mapping'!AQ6-601),IF(AND('(橫掃)RX Mapping'!AQ6&gt;=841,'(橫掃)RX Mapping'!AQ6&lt;=960), (-1)*('(橫掃)RX Mapping'!AQ6-960)+120,9999))))))))</f>
        <v>9999</v>
      </c>
      <c r="AR6">
        <f>IF(AND('(橫掃)RX Mapping'!AR6&gt;=1,'(橫掃)RX Mapping'!AR6&lt;=120), ('(橫掃)RX Mapping'!AR6-1),IF(AND('(橫掃)RX Mapping'!AR6&gt;=121,'(橫掃)RX Mapping'!AR6&lt;=240), (-1)*('(橫掃)RX Mapping'!AR6-240),IF(AND('(橫掃)RX Mapping'!AR6&gt;=241,'(橫掃)RX Mapping'!AR6&lt;=360), ('(橫掃)RX Mapping'!AR6-241),IF(AND('(橫掃)RX Mapping'!AR6&gt;=361,'(橫掃)RX Mapping'!AR6&lt;=480), (-1)*('(橫掃)RX Mapping'!AR6-480),IF(AND('(橫掃)RX Mapping'!AR6&gt;=481,'(橫掃)RX Mapping'!AR6&lt;=600), ('(橫掃)RX Mapping'!AR6-361),IF(AND('(橫掃)RX Mapping'!AR6&gt;=601,'(橫掃)RX Mapping'!AR6&lt;=720), (-1)*('(橫掃)RX Mapping'!AR6-720)+120,IF(AND('(橫掃)RX Mapping'!AR6&gt;=721,'(橫掃)RX Mapping'!AR6&lt;=840), ('(橫掃)RX Mapping'!AR6-601),IF(AND('(橫掃)RX Mapping'!AR6&gt;=841,'(橫掃)RX Mapping'!AR6&lt;=960), (-1)*('(橫掃)RX Mapping'!AR6-960)+120,9999))))))))</f>
        <v>9999</v>
      </c>
      <c r="AS6">
        <f>IF(AND('(橫掃)RX Mapping'!AS6&gt;=1,'(橫掃)RX Mapping'!AS6&lt;=120), ('(橫掃)RX Mapping'!AS6-1),IF(AND('(橫掃)RX Mapping'!AS6&gt;=121,'(橫掃)RX Mapping'!AS6&lt;=240), (-1)*('(橫掃)RX Mapping'!AS6-240),IF(AND('(橫掃)RX Mapping'!AS6&gt;=241,'(橫掃)RX Mapping'!AS6&lt;=360), ('(橫掃)RX Mapping'!AS6-241),IF(AND('(橫掃)RX Mapping'!AS6&gt;=361,'(橫掃)RX Mapping'!AS6&lt;=480), (-1)*('(橫掃)RX Mapping'!AS6-480),IF(AND('(橫掃)RX Mapping'!AS6&gt;=481,'(橫掃)RX Mapping'!AS6&lt;=600), ('(橫掃)RX Mapping'!AS6-361),IF(AND('(橫掃)RX Mapping'!AS6&gt;=601,'(橫掃)RX Mapping'!AS6&lt;=720), (-1)*('(橫掃)RX Mapping'!AS6-720)+120,IF(AND('(橫掃)RX Mapping'!AS6&gt;=721,'(橫掃)RX Mapping'!AS6&lt;=840), ('(橫掃)RX Mapping'!AS6-601),IF(AND('(橫掃)RX Mapping'!AS6&gt;=841,'(橫掃)RX Mapping'!AS6&lt;=960), (-1)*('(橫掃)RX Mapping'!AS6-960)+120,9999))))))))</f>
        <v>9999</v>
      </c>
      <c r="AT6">
        <f>IF(AND('(橫掃)RX Mapping'!AT6&gt;=1,'(橫掃)RX Mapping'!AT6&lt;=120), ('(橫掃)RX Mapping'!AT6-1),IF(AND('(橫掃)RX Mapping'!AT6&gt;=121,'(橫掃)RX Mapping'!AT6&lt;=240), (-1)*('(橫掃)RX Mapping'!AT6-240),IF(AND('(橫掃)RX Mapping'!AT6&gt;=241,'(橫掃)RX Mapping'!AT6&lt;=360), ('(橫掃)RX Mapping'!AT6-241),IF(AND('(橫掃)RX Mapping'!AT6&gt;=361,'(橫掃)RX Mapping'!AT6&lt;=480), (-1)*('(橫掃)RX Mapping'!AT6-480),IF(AND('(橫掃)RX Mapping'!AT6&gt;=481,'(橫掃)RX Mapping'!AT6&lt;=600), ('(橫掃)RX Mapping'!AT6-361),IF(AND('(橫掃)RX Mapping'!AT6&gt;=601,'(橫掃)RX Mapping'!AT6&lt;=720), (-1)*('(橫掃)RX Mapping'!AT6-720)+120,IF(AND('(橫掃)RX Mapping'!AT6&gt;=721,'(橫掃)RX Mapping'!AT6&lt;=840), ('(橫掃)RX Mapping'!AT6-601),IF(AND('(橫掃)RX Mapping'!AT6&gt;=841,'(橫掃)RX Mapping'!AT6&lt;=960), (-1)*('(橫掃)RX Mapping'!AT6-960)+120,9999))))))))</f>
        <v>9999</v>
      </c>
      <c r="AU6">
        <f>IF(AND('(橫掃)RX Mapping'!AU6&gt;=1,'(橫掃)RX Mapping'!AU6&lt;=120), ('(橫掃)RX Mapping'!AU6-1),IF(AND('(橫掃)RX Mapping'!AU6&gt;=121,'(橫掃)RX Mapping'!AU6&lt;=240), (-1)*('(橫掃)RX Mapping'!AU6-240),IF(AND('(橫掃)RX Mapping'!AU6&gt;=241,'(橫掃)RX Mapping'!AU6&lt;=360), ('(橫掃)RX Mapping'!AU6-241),IF(AND('(橫掃)RX Mapping'!AU6&gt;=361,'(橫掃)RX Mapping'!AU6&lt;=480), (-1)*('(橫掃)RX Mapping'!AU6-480),IF(AND('(橫掃)RX Mapping'!AU6&gt;=481,'(橫掃)RX Mapping'!AU6&lt;=600), ('(橫掃)RX Mapping'!AU6-361),IF(AND('(橫掃)RX Mapping'!AU6&gt;=601,'(橫掃)RX Mapping'!AU6&lt;=720), (-1)*('(橫掃)RX Mapping'!AU6-720)+120,IF(AND('(橫掃)RX Mapping'!AU6&gt;=721,'(橫掃)RX Mapping'!AU6&lt;=840), ('(橫掃)RX Mapping'!AU6-601),IF(AND('(橫掃)RX Mapping'!AU6&gt;=841,'(橫掃)RX Mapping'!AU6&lt;=960), (-1)*('(橫掃)RX Mapping'!AU6-960)+120,9999))))))))</f>
        <v>9999</v>
      </c>
      <c r="AV6">
        <f>IF(AND('(橫掃)RX Mapping'!AV6&gt;=1,'(橫掃)RX Mapping'!AV6&lt;=120), ('(橫掃)RX Mapping'!AV6-1),IF(AND('(橫掃)RX Mapping'!AV6&gt;=121,'(橫掃)RX Mapping'!AV6&lt;=240), (-1)*('(橫掃)RX Mapping'!AV6-240),IF(AND('(橫掃)RX Mapping'!AV6&gt;=241,'(橫掃)RX Mapping'!AV6&lt;=360), ('(橫掃)RX Mapping'!AV6-241),IF(AND('(橫掃)RX Mapping'!AV6&gt;=361,'(橫掃)RX Mapping'!AV6&lt;=480), (-1)*('(橫掃)RX Mapping'!AV6-480),IF(AND('(橫掃)RX Mapping'!AV6&gt;=481,'(橫掃)RX Mapping'!AV6&lt;=600), ('(橫掃)RX Mapping'!AV6-361),IF(AND('(橫掃)RX Mapping'!AV6&gt;=601,'(橫掃)RX Mapping'!AV6&lt;=720), (-1)*('(橫掃)RX Mapping'!AV6-720)+120,IF(AND('(橫掃)RX Mapping'!AV6&gt;=721,'(橫掃)RX Mapping'!AV6&lt;=840), ('(橫掃)RX Mapping'!AV6-601),IF(AND('(橫掃)RX Mapping'!AV6&gt;=841,'(橫掃)RX Mapping'!AV6&lt;=960), (-1)*('(橫掃)RX Mapping'!AV6-960)+120,9999))))))))</f>
        <v>9999</v>
      </c>
      <c r="AW6">
        <f>IF(AND('(橫掃)RX Mapping'!AW6&gt;=1,'(橫掃)RX Mapping'!AW6&lt;=120), ('(橫掃)RX Mapping'!AW6-1),IF(AND('(橫掃)RX Mapping'!AW6&gt;=121,'(橫掃)RX Mapping'!AW6&lt;=240), (-1)*('(橫掃)RX Mapping'!AW6-240),IF(AND('(橫掃)RX Mapping'!AW6&gt;=241,'(橫掃)RX Mapping'!AW6&lt;=360), ('(橫掃)RX Mapping'!AW6-241),IF(AND('(橫掃)RX Mapping'!AW6&gt;=361,'(橫掃)RX Mapping'!AW6&lt;=480), (-1)*('(橫掃)RX Mapping'!AW6-480),IF(AND('(橫掃)RX Mapping'!AW6&gt;=481,'(橫掃)RX Mapping'!AW6&lt;=600), ('(橫掃)RX Mapping'!AW6-361),IF(AND('(橫掃)RX Mapping'!AW6&gt;=601,'(橫掃)RX Mapping'!AW6&lt;=720), (-1)*('(橫掃)RX Mapping'!AW6-720)+120,IF(AND('(橫掃)RX Mapping'!AW6&gt;=721,'(橫掃)RX Mapping'!AW6&lt;=840), ('(橫掃)RX Mapping'!AW6-601),IF(AND('(橫掃)RX Mapping'!AW6&gt;=841,'(橫掃)RX Mapping'!AW6&lt;=960), (-1)*('(橫掃)RX Mapping'!AW6-960)+120,9999))))))))</f>
        <v>9999</v>
      </c>
      <c r="AX6">
        <f>IF(AND('(橫掃)RX Mapping'!AX6&gt;=1,'(橫掃)RX Mapping'!AX6&lt;=120), ('(橫掃)RX Mapping'!AX6-1),IF(AND('(橫掃)RX Mapping'!AX6&gt;=121,'(橫掃)RX Mapping'!AX6&lt;=240), (-1)*('(橫掃)RX Mapping'!AX6-240),IF(AND('(橫掃)RX Mapping'!AX6&gt;=241,'(橫掃)RX Mapping'!AX6&lt;=360), ('(橫掃)RX Mapping'!AX6-241),IF(AND('(橫掃)RX Mapping'!AX6&gt;=361,'(橫掃)RX Mapping'!AX6&lt;=480), (-1)*('(橫掃)RX Mapping'!AX6-480),IF(AND('(橫掃)RX Mapping'!AX6&gt;=481,'(橫掃)RX Mapping'!AX6&lt;=600), ('(橫掃)RX Mapping'!AX6-361),IF(AND('(橫掃)RX Mapping'!AX6&gt;=601,'(橫掃)RX Mapping'!AX6&lt;=720), (-1)*('(橫掃)RX Mapping'!AX6-720)+120,IF(AND('(橫掃)RX Mapping'!AX6&gt;=721,'(橫掃)RX Mapping'!AX6&lt;=840), ('(橫掃)RX Mapping'!AX6-601),IF(AND('(橫掃)RX Mapping'!AX6&gt;=841,'(橫掃)RX Mapping'!AX6&lt;=960), (-1)*('(橫掃)RX Mapping'!AX6-960)+120,9999))))))))</f>
        <v>9999</v>
      </c>
      <c r="AY6">
        <f>IF(AND('(橫掃)RX Mapping'!AY6&gt;=1,'(橫掃)RX Mapping'!AY6&lt;=120), ('(橫掃)RX Mapping'!AY6-1),IF(AND('(橫掃)RX Mapping'!AY6&gt;=121,'(橫掃)RX Mapping'!AY6&lt;=240), (-1)*('(橫掃)RX Mapping'!AY6-240),IF(AND('(橫掃)RX Mapping'!AY6&gt;=241,'(橫掃)RX Mapping'!AY6&lt;=360), ('(橫掃)RX Mapping'!AY6-241),IF(AND('(橫掃)RX Mapping'!AY6&gt;=361,'(橫掃)RX Mapping'!AY6&lt;=480), (-1)*('(橫掃)RX Mapping'!AY6-480),IF(AND('(橫掃)RX Mapping'!AY6&gt;=481,'(橫掃)RX Mapping'!AY6&lt;=600), ('(橫掃)RX Mapping'!AY6-361),IF(AND('(橫掃)RX Mapping'!AY6&gt;=601,'(橫掃)RX Mapping'!AY6&lt;=720), (-1)*('(橫掃)RX Mapping'!AY6-720)+120,IF(AND('(橫掃)RX Mapping'!AY6&gt;=721,'(橫掃)RX Mapping'!AY6&lt;=840), ('(橫掃)RX Mapping'!AY6-601),IF(AND('(橫掃)RX Mapping'!AY6&gt;=841,'(橫掃)RX Mapping'!AY6&lt;=960), (-1)*('(橫掃)RX Mapping'!AY6-960)+120,9999))))))))</f>
        <v>9999</v>
      </c>
      <c r="AZ6">
        <f>IF(AND('(橫掃)RX Mapping'!AZ6&gt;=1,'(橫掃)RX Mapping'!AZ6&lt;=120), ('(橫掃)RX Mapping'!AZ6-1),IF(AND('(橫掃)RX Mapping'!AZ6&gt;=121,'(橫掃)RX Mapping'!AZ6&lt;=240), (-1)*('(橫掃)RX Mapping'!AZ6-240),IF(AND('(橫掃)RX Mapping'!AZ6&gt;=241,'(橫掃)RX Mapping'!AZ6&lt;=360), ('(橫掃)RX Mapping'!AZ6-241),IF(AND('(橫掃)RX Mapping'!AZ6&gt;=361,'(橫掃)RX Mapping'!AZ6&lt;=480), (-1)*('(橫掃)RX Mapping'!AZ6-480),IF(AND('(橫掃)RX Mapping'!AZ6&gt;=481,'(橫掃)RX Mapping'!AZ6&lt;=600), ('(橫掃)RX Mapping'!AZ6-361),IF(AND('(橫掃)RX Mapping'!AZ6&gt;=601,'(橫掃)RX Mapping'!AZ6&lt;=720), (-1)*('(橫掃)RX Mapping'!AZ6-720)+120,IF(AND('(橫掃)RX Mapping'!AZ6&gt;=721,'(橫掃)RX Mapping'!AZ6&lt;=840), ('(橫掃)RX Mapping'!AZ6-601),IF(AND('(橫掃)RX Mapping'!AZ6&gt;=841,'(橫掃)RX Mapping'!AZ6&lt;=960), (-1)*('(橫掃)RX Mapping'!AZ6-960)+120,9999))))))))</f>
        <v>9999</v>
      </c>
      <c r="BA6">
        <f>IF(AND('(橫掃)RX Mapping'!BA6&gt;=1,'(橫掃)RX Mapping'!BA6&lt;=120), ('(橫掃)RX Mapping'!BA6-1),IF(AND('(橫掃)RX Mapping'!BA6&gt;=121,'(橫掃)RX Mapping'!BA6&lt;=240), (-1)*('(橫掃)RX Mapping'!BA6-240),IF(AND('(橫掃)RX Mapping'!BA6&gt;=241,'(橫掃)RX Mapping'!BA6&lt;=360), ('(橫掃)RX Mapping'!BA6-241),IF(AND('(橫掃)RX Mapping'!BA6&gt;=361,'(橫掃)RX Mapping'!BA6&lt;=480), (-1)*('(橫掃)RX Mapping'!BA6-480),IF(AND('(橫掃)RX Mapping'!BA6&gt;=481,'(橫掃)RX Mapping'!BA6&lt;=600), ('(橫掃)RX Mapping'!BA6-361),IF(AND('(橫掃)RX Mapping'!BA6&gt;=601,'(橫掃)RX Mapping'!BA6&lt;=720), (-1)*('(橫掃)RX Mapping'!BA6-720)+120,IF(AND('(橫掃)RX Mapping'!BA6&gt;=721,'(橫掃)RX Mapping'!BA6&lt;=840), ('(橫掃)RX Mapping'!BA6-601),IF(AND('(橫掃)RX Mapping'!BA6&gt;=841,'(橫掃)RX Mapping'!BA6&lt;=960), (-1)*('(橫掃)RX Mapping'!BA6-960)+120,9999))))))))</f>
        <v>9999</v>
      </c>
      <c r="BB6">
        <f>IF(AND('(橫掃)RX Mapping'!BB6&gt;=1,'(橫掃)RX Mapping'!BB6&lt;=120), ('(橫掃)RX Mapping'!BB6-1),IF(AND('(橫掃)RX Mapping'!BB6&gt;=121,'(橫掃)RX Mapping'!BB6&lt;=240), (-1)*('(橫掃)RX Mapping'!BB6-240),IF(AND('(橫掃)RX Mapping'!BB6&gt;=241,'(橫掃)RX Mapping'!BB6&lt;=360), ('(橫掃)RX Mapping'!BB6-241),IF(AND('(橫掃)RX Mapping'!BB6&gt;=361,'(橫掃)RX Mapping'!BB6&lt;=480), (-1)*('(橫掃)RX Mapping'!BB6-480),IF(AND('(橫掃)RX Mapping'!BB6&gt;=481,'(橫掃)RX Mapping'!BB6&lt;=600), ('(橫掃)RX Mapping'!BB6-361),IF(AND('(橫掃)RX Mapping'!BB6&gt;=601,'(橫掃)RX Mapping'!BB6&lt;=720), (-1)*('(橫掃)RX Mapping'!BB6-720)+120,IF(AND('(橫掃)RX Mapping'!BB6&gt;=721,'(橫掃)RX Mapping'!BB6&lt;=840), ('(橫掃)RX Mapping'!BB6-601),IF(AND('(橫掃)RX Mapping'!BB6&gt;=841,'(橫掃)RX Mapping'!BB6&lt;=960), (-1)*('(橫掃)RX Mapping'!BB6-960)+120,9999))))))))</f>
        <v>9999</v>
      </c>
      <c r="BC6">
        <f>IF(AND('(橫掃)RX Mapping'!BC6&gt;=1,'(橫掃)RX Mapping'!BC6&lt;=120), ('(橫掃)RX Mapping'!BC6-1),IF(AND('(橫掃)RX Mapping'!BC6&gt;=121,'(橫掃)RX Mapping'!BC6&lt;=240), (-1)*('(橫掃)RX Mapping'!BC6-240),IF(AND('(橫掃)RX Mapping'!BC6&gt;=241,'(橫掃)RX Mapping'!BC6&lt;=360), ('(橫掃)RX Mapping'!BC6-241),IF(AND('(橫掃)RX Mapping'!BC6&gt;=361,'(橫掃)RX Mapping'!BC6&lt;=480), (-1)*('(橫掃)RX Mapping'!BC6-480),IF(AND('(橫掃)RX Mapping'!BC6&gt;=481,'(橫掃)RX Mapping'!BC6&lt;=600), ('(橫掃)RX Mapping'!BC6-361),IF(AND('(橫掃)RX Mapping'!BC6&gt;=601,'(橫掃)RX Mapping'!BC6&lt;=720), (-1)*('(橫掃)RX Mapping'!BC6-720)+120,IF(AND('(橫掃)RX Mapping'!BC6&gt;=721,'(橫掃)RX Mapping'!BC6&lt;=840), ('(橫掃)RX Mapping'!BC6-601),IF(AND('(橫掃)RX Mapping'!BC6&gt;=841,'(橫掃)RX Mapping'!BC6&lt;=960), (-1)*('(橫掃)RX Mapping'!BC6-960)+120,9999))))))))</f>
        <v>9999</v>
      </c>
      <c r="BD6">
        <f>IF(AND('(橫掃)RX Mapping'!BD6&gt;=1,'(橫掃)RX Mapping'!BD6&lt;=120), ('(橫掃)RX Mapping'!BD6-1),IF(AND('(橫掃)RX Mapping'!BD6&gt;=121,'(橫掃)RX Mapping'!BD6&lt;=240), (-1)*('(橫掃)RX Mapping'!BD6-240),IF(AND('(橫掃)RX Mapping'!BD6&gt;=241,'(橫掃)RX Mapping'!BD6&lt;=360), ('(橫掃)RX Mapping'!BD6-241),IF(AND('(橫掃)RX Mapping'!BD6&gt;=361,'(橫掃)RX Mapping'!BD6&lt;=480), (-1)*('(橫掃)RX Mapping'!BD6-480),IF(AND('(橫掃)RX Mapping'!BD6&gt;=481,'(橫掃)RX Mapping'!BD6&lt;=600), ('(橫掃)RX Mapping'!BD6-361),IF(AND('(橫掃)RX Mapping'!BD6&gt;=601,'(橫掃)RX Mapping'!BD6&lt;=720), (-1)*('(橫掃)RX Mapping'!BD6-720)+120,IF(AND('(橫掃)RX Mapping'!BD6&gt;=721,'(橫掃)RX Mapping'!BD6&lt;=840), ('(橫掃)RX Mapping'!BD6-601),IF(AND('(橫掃)RX Mapping'!BD6&gt;=841,'(橫掃)RX Mapping'!BD6&lt;=960), (-1)*('(橫掃)RX Mapping'!BD6-960)+120,9999))))))))</f>
        <v>9999</v>
      </c>
      <c r="BE6">
        <f>IF(AND('(橫掃)RX Mapping'!BE6&gt;=1,'(橫掃)RX Mapping'!BE6&lt;=120), ('(橫掃)RX Mapping'!BE6-1),IF(AND('(橫掃)RX Mapping'!BE6&gt;=121,'(橫掃)RX Mapping'!BE6&lt;=240), (-1)*('(橫掃)RX Mapping'!BE6-240),IF(AND('(橫掃)RX Mapping'!BE6&gt;=241,'(橫掃)RX Mapping'!BE6&lt;=360), ('(橫掃)RX Mapping'!BE6-241),IF(AND('(橫掃)RX Mapping'!BE6&gt;=361,'(橫掃)RX Mapping'!BE6&lt;=480), (-1)*('(橫掃)RX Mapping'!BE6-480),IF(AND('(橫掃)RX Mapping'!BE6&gt;=481,'(橫掃)RX Mapping'!BE6&lt;=600), ('(橫掃)RX Mapping'!BE6-361),IF(AND('(橫掃)RX Mapping'!BE6&gt;=601,'(橫掃)RX Mapping'!BE6&lt;=720), (-1)*('(橫掃)RX Mapping'!BE6-720)+120,IF(AND('(橫掃)RX Mapping'!BE6&gt;=721,'(橫掃)RX Mapping'!BE6&lt;=840), ('(橫掃)RX Mapping'!BE6-601),IF(AND('(橫掃)RX Mapping'!BE6&gt;=841,'(橫掃)RX Mapping'!BE6&lt;=960), (-1)*('(橫掃)RX Mapping'!BE6-960)+120,9999))))))))</f>
        <v>9999</v>
      </c>
      <c r="BF6">
        <f>IF(AND('(橫掃)RX Mapping'!BF6&gt;=1,'(橫掃)RX Mapping'!BF6&lt;=120), ('(橫掃)RX Mapping'!BF6-1),IF(AND('(橫掃)RX Mapping'!BF6&gt;=121,'(橫掃)RX Mapping'!BF6&lt;=240), (-1)*('(橫掃)RX Mapping'!BF6-240),IF(AND('(橫掃)RX Mapping'!BF6&gt;=241,'(橫掃)RX Mapping'!BF6&lt;=360), ('(橫掃)RX Mapping'!BF6-241),IF(AND('(橫掃)RX Mapping'!BF6&gt;=361,'(橫掃)RX Mapping'!BF6&lt;=480), (-1)*('(橫掃)RX Mapping'!BF6-480),IF(AND('(橫掃)RX Mapping'!BF6&gt;=481,'(橫掃)RX Mapping'!BF6&lt;=600), ('(橫掃)RX Mapping'!BF6-361),IF(AND('(橫掃)RX Mapping'!BF6&gt;=601,'(橫掃)RX Mapping'!BF6&lt;=720), (-1)*('(橫掃)RX Mapping'!BF6-720)+120,IF(AND('(橫掃)RX Mapping'!BF6&gt;=721,'(橫掃)RX Mapping'!BF6&lt;=840), ('(橫掃)RX Mapping'!BF6-601),IF(AND('(橫掃)RX Mapping'!BF6&gt;=841,'(橫掃)RX Mapping'!BF6&lt;=960), (-1)*('(橫掃)RX Mapping'!BF6-960)+120,9999))))))))</f>
        <v>9999</v>
      </c>
      <c r="BG6">
        <f>IF(AND('(橫掃)RX Mapping'!BG6&gt;=1,'(橫掃)RX Mapping'!BG6&lt;=120), ('(橫掃)RX Mapping'!BG6-1),IF(AND('(橫掃)RX Mapping'!BG6&gt;=121,'(橫掃)RX Mapping'!BG6&lt;=240), (-1)*('(橫掃)RX Mapping'!BG6-240),IF(AND('(橫掃)RX Mapping'!BG6&gt;=241,'(橫掃)RX Mapping'!BG6&lt;=360), ('(橫掃)RX Mapping'!BG6-241),IF(AND('(橫掃)RX Mapping'!BG6&gt;=361,'(橫掃)RX Mapping'!BG6&lt;=480), (-1)*('(橫掃)RX Mapping'!BG6-480),IF(AND('(橫掃)RX Mapping'!BG6&gt;=481,'(橫掃)RX Mapping'!BG6&lt;=600), ('(橫掃)RX Mapping'!BG6-361),IF(AND('(橫掃)RX Mapping'!BG6&gt;=601,'(橫掃)RX Mapping'!BG6&lt;=720), (-1)*('(橫掃)RX Mapping'!BG6-720)+120,IF(AND('(橫掃)RX Mapping'!BG6&gt;=721,'(橫掃)RX Mapping'!BG6&lt;=840), ('(橫掃)RX Mapping'!BG6-601),IF(AND('(橫掃)RX Mapping'!BG6&gt;=841,'(橫掃)RX Mapping'!BG6&lt;=960), (-1)*('(橫掃)RX Mapping'!BG6-960)+120,9999))))))))</f>
        <v>9999</v>
      </c>
      <c r="BH6">
        <f>IF(AND('(橫掃)RX Mapping'!BH6&gt;=1,'(橫掃)RX Mapping'!BH6&lt;=120), ('(橫掃)RX Mapping'!BH6-1),IF(AND('(橫掃)RX Mapping'!BH6&gt;=121,'(橫掃)RX Mapping'!BH6&lt;=240), (-1)*('(橫掃)RX Mapping'!BH6-240),IF(AND('(橫掃)RX Mapping'!BH6&gt;=241,'(橫掃)RX Mapping'!BH6&lt;=360), ('(橫掃)RX Mapping'!BH6-241),IF(AND('(橫掃)RX Mapping'!BH6&gt;=361,'(橫掃)RX Mapping'!BH6&lt;=480), (-1)*('(橫掃)RX Mapping'!BH6-480),IF(AND('(橫掃)RX Mapping'!BH6&gt;=481,'(橫掃)RX Mapping'!BH6&lt;=600), ('(橫掃)RX Mapping'!BH6-361),IF(AND('(橫掃)RX Mapping'!BH6&gt;=601,'(橫掃)RX Mapping'!BH6&lt;=720), (-1)*('(橫掃)RX Mapping'!BH6-720)+120,IF(AND('(橫掃)RX Mapping'!BH6&gt;=721,'(橫掃)RX Mapping'!BH6&lt;=840), ('(橫掃)RX Mapping'!BH6-601),IF(AND('(橫掃)RX Mapping'!BH6&gt;=841,'(橫掃)RX Mapping'!BH6&lt;=960), (-1)*('(橫掃)RX Mapping'!BH6-960)+120,9999))))))))</f>
        <v>9999</v>
      </c>
      <c r="BI6">
        <f>IF(AND('(橫掃)RX Mapping'!BI6&gt;=1,'(橫掃)RX Mapping'!BI6&lt;=120), ('(橫掃)RX Mapping'!BI6-1),IF(AND('(橫掃)RX Mapping'!BI6&gt;=121,'(橫掃)RX Mapping'!BI6&lt;=240), (-1)*('(橫掃)RX Mapping'!BI6-240),IF(AND('(橫掃)RX Mapping'!BI6&gt;=241,'(橫掃)RX Mapping'!BI6&lt;=360), ('(橫掃)RX Mapping'!BI6-241),IF(AND('(橫掃)RX Mapping'!BI6&gt;=361,'(橫掃)RX Mapping'!BI6&lt;=480), (-1)*('(橫掃)RX Mapping'!BI6-480),IF(AND('(橫掃)RX Mapping'!BI6&gt;=481,'(橫掃)RX Mapping'!BI6&lt;=600), ('(橫掃)RX Mapping'!BI6-361),IF(AND('(橫掃)RX Mapping'!BI6&gt;=601,'(橫掃)RX Mapping'!BI6&lt;=720), (-1)*('(橫掃)RX Mapping'!BI6-720)+120,IF(AND('(橫掃)RX Mapping'!BI6&gt;=721,'(橫掃)RX Mapping'!BI6&lt;=840), ('(橫掃)RX Mapping'!BI6-601),IF(AND('(橫掃)RX Mapping'!BI6&gt;=841,'(橫掃)RX Mapping'!BI6&lt;=960), (-1)*('(橫掃)RX Mapping'!BI6-960)+120,9999))))))))</f>
        <v>9999</v>
      </c>
    </row>
    <row r="7" spans="1:61" x14ac:dyDescent="0.25">
      <c r="A7" s="20">
        <v>6</v>
      </c>
      <c r="B7">
        <f>IF(AND('(橫掃)RX Mapping'!B7&gt;=1,'(橫掃)RX Mapping'!B7&lt;=120), ('(橫掃)RX Mapping'!B7-1),IF(AND('(橫掃)RX Mapping'!B7&gt;=121,'(橫掃)RX Mapping'!B7&lt;=240), (-1)*('(橫掃)RX Mapping'!B7-240),IF(AND('(橫掃)RX Mapping'!B7&gt;=241,'(橫掃)RX Mapping'!B7&lt;=360), ('(橫掃)RX Mapping'!B7-241),IF(AND('(橫掃)RX Mapping'!B7&gt;=361,'(橫掃)RX Mapping'!B7&lt;=480), (-1)*('(橫掃)RX Mapping'!B7-480),IF(AND('(橫掃)RX Mapping'!B7&gt;=481,'(橫掃)RX Mapping'!B7&lt;=600), ('(橫掃)RX Mapping'!B7-361),IF(AND('(橫掃)RX Mapping'!B7&gt;=601,'(橫掃)RX Mapping'!B7&lt;=720), (-1)*('(橫掃)RX Mapping'!B7-720)+120,IF(AND('(橫掃)RX Mapping'!B7&gt;=721,'(橫掃)RX Mapping'!B7&lt;=840), ('(橫掃)RX Mapping'!B7-601),IF(AND('(橫掃)RX Mapping'!B7&gt;=841,'(橫掃)RX Mapping'!B7&lt;=960), (-1)*('(橫掃)RX Mapping'!B7-960)+120,9999))))))))</f>
        <v>5</v>
      </c>
      <c r="C7">
        <f>IF(AND('(橫掃)RX Mapping'!C7&gt;=1,'(橫掃)RX Mapping'!C7&lt;=120), ('(橫掃)RX Mapping'!C7-1),IF(AND('(橫掃)RX Mapping'!C7&gt;=121,'(橫掃)RX Mapping'!C7&lt;=240), (-1)*('(橫掃)RX Mapping'!C7-240),IF(AND('(橫掃)RX Mapping'!C7&gt;=241,'(橫掃)RX Mapping'!C7&lt;=360), ('(橫掃)RX Mapping'!C7-241),IF(AND('(橫掃)RX Mapping'!C7&gt;=361,'(橫掃)RX Mapping'!C7&lt;=480), (-1)*('(橫掃)RX Mapping'!C7-480),IF(AND('(橫掃)RX Mapping'!C7&gt;=481,'(橫掃)RX Mapping'!C7&lt;=600), ('(橫掃)RX Mapping'!C7-361),IF(AND('(橫掃)RX Mapping'!C7&gt;=601,'(橫掃)RX Mapping'!C7&lt;=720), (-1)*('(橫掃)RX Mapping'!C7-720)+120,IF(AND('(橫掃)RX Mapping'!C7&gt;=721,'(橫掃)RX Mapping'!C7&lt;=840), ('(橫掃)RX Mapping'!C7-601),IF(AND('(橫掃)RX Mapping'!C7&gt;=841,'(橫掃)RX Mapping'!C7&lt;=960), (-1)*('(橫掃)RX Mapping'!C7-960)+120,9999))))))))</f>
        <v>37</v>
      </c>
      <c r="D7">
        <f>IF(AND('(橫掃)RX Mapping'!D7&gt;=1,'(橫掃)RX Mapping'!D7&lt;=120), ('(橫掃)RX Mapping'!D7-1),IF(AND('(橫掃)RX Mapping'!D7&gt;=121,'(橫掃)RX Mapping'!D7&lt;=240), (-1)*('(橫掃)RX Mapping'!D7-240),IF(AND('(橫掃)RX Mapping'!D7&gt;=241,'(橫掃)RX Mapping'!D7&lt;=360), ('(橫掃)RX Mapping'!D7-241),IF(AND('(橫掃)RX Mapping'!D7&gt;=361,'(橫掃)RX Mapping'!D7&lt;=480), (-1)*('(橫掃)RX Mapping'!D7-480),IF(AND('(橫掃)RX Mapping'!D7&gt;=481,'(橫掃)RX Mapping'!D7&lt;=600), ('(橫掃)RX Mapping'!D7-361),IF(AND('(橫掃)RX Mapping'!D7&gt;=601,'(橫掃)RX Mapping'!D7&lt;=720), (-1)*('(橫掃)RX Mapping'!D7-720)+120,IF(AND('(橫掃)RX Mapping'!D7&gt;=721,'(橫掃)RX Mapping'!D7&lt;=840), ('(橫掃)RX Mapping'!D7-601),IF(AND('(橫掃)RX Mapping'!D7&gt;=841,'(橫掃)RX Mapping'!D7&lt;=960), (-1)*('(橫掃)RX Mapping'!D7-960)+120,9999))))))))</f>
        <v>69</v>
      </c>
      <c r="E7">
        <f>IF(AND('(橫掃)RX Mapping'!E7&gt;=1,'(橫掃)RX Mapping'!E7&lt;=120), ('(橫掃)RX Mapping'!E7-1),IF(AND('(橫掃)RX Mapping'!E7&gt;=121,'(橫掃)RX Mapping'!E7&lt;=240), (-1)*('(橫掃)RX Mapping'!E7-240),IF(AND('(橫掃)RX Mapping'!E7&gt;=241,'(橫掃)RX Mapping'!E7&lt;=360), ('(橫掃)RX Mapping'!E7-241),IF(AND('(橫掃)RX Mapping'!E7&gt;=361,'(橫掃)RX Mapping'!E7&lt;=480), (-1)*('(橫掃)RX Mapping'!E7-480),IF(AND('(橫掃)RX Mapping'!E7&gt;=481,'(橫掃)RX Mapping'!E7&lt;=600), ('(橫掃)RX Mapping'!E7-361),IF(AND('(橫掃)RX Mapping'!E7&gt;=601,'(橫掃)RX Mapping'!E7&lt;=720), (-1)*('(橫掃)RX Mapping'!E7-720)+120,IF(AND('(橫掃)RX Mapping'!E7&gt;=721,'(橫掃)RX Mapping'!E7&lt;=840), ('(橫掃)RX Mapping'!E7-601),IF(AND('(橫掃)RX Mapping'!E7&gt;=841,'(橫掃)RX Mapping'!E7&lt;=960), (-1)*('(橫掃)RX Mapping'!E7-960)+120,9999))))))))</f>
        <v>101</v>
      </c>
      <c r="F7">
        <f>IF(AND('(橫掃)RX Mapping'!F7&gt;=1,'(橫掃)RX Mapping'!F7&lt;=120), ('(橫掃)RX Mapping'!F7-1),IF(AND('(橫掃)RX Mapping'!F7&gt;=121,'(橫掃)RX Mapping'!F7&lt;=240), (-1)*('(橫掃)RX Mapping'!F7-240),IF(AND('(橫掃)RX Mapping'!F7&gt;=241,'(橫掃)RX Mapping'!F7&lt;=360), ('(橫掃)RX Mapping'!F7-241),IF(AND('(橫掃)RX Mapping'!F7&gt;=361,'(橫掃)RX Mapping'!F7&lt;=480), (-1)*('(橫掃)RX Mapping'!F7-480),IF(AND('(橫掃)RX Mapping'!F7&gt;=481,'(橫掃)RX Mapping'!F7&lt;=600), ('(橫掃)RX Mapping'!F7-361),IF(AND('(橫掃)RX Mapping'!F7&gt;=601,'(橫掃)RX Mapping'!F7&lt;=720), (-1)*('(橫掃)RX Mapping'!F7-720)+120,IF(AND('(橫掃)RX Mapping'!F7&gt;=721,'(橫掃)RX Mapping'!F7&lt;=840), ('(橫掃)RX Mapping'!F7-601),IF(AND('(橫掃)RX Mapping'!F7&gt;=841,'(橫掃)RX Mapping'!F7&lt;=960), (-1)*('(橫掃)RX Mapping'!F7-960)+120,9999))))))))</f>
        <v>106</v>
      </c>
      <c r="G7">
        <f>IF(AND('(橫掃)RX Mapping'!G7&gt;=1,'(橫掃)RX Mapping'!G7&lt;=120), ('(橫掃)RX Mapping'!G7-1),IF(AND('(橫掃)RX Mapping'!G7&gt;=121,'(橫掃)RX Mapping'!G7&lt;=240), (-1)*('(橫掃)RX Mapping'!G7-240),IF(AND('(橫掃)RX Mapping'!G7&gt;=241,'(橫掃)RX Mapping'!G7&lt;=360), ('(橫掃)RX Mapping'!G7-241),IF(AND('(橫掃)RX Mapping'!G7&gt;=361,'(橫掃)RX Mapping'!G7&lt;=480), (-1)*('(橫掃)RX Mapping'!G7-480),IF(AND('(橫掃)RX Mapping'!G7&gt;=481,'(橫掃)RX Mapping'!G7&lt;=600), ('(橫掃)RX Mapping'!G7-361),IF(AND('(橫掃)RX Mapping'!G7&gt;=601,'(橫掃)RX Mapping'!G7&lt;=720), (-1)*('(橫掃)RX Mapping'!G7-720)+120,IF(AND('(橫掃)RX Mapping'!G7&gt;=721,'(橫掃)RX Mapping'!G7&lt;=840), ('(橫掃)RX Mapping'!G7-601),IF(AND('(橫掃)RX Mapping'!G7&gt;=841,'(橫掃)RX Mapping'!G7&lt;=960), (-1)*('(橫掃)RX Mapping'!G7-960)+120,9999))))))))</f>
        <v>74</v>
      </c>
      <c r="H7">
        <f>IF(AND('(橫掃)RX Mapping'!H7&gt;=1,'(橫掃)RX Mapping'!H7&lt;=120), ('(橫掃)RX Mapping'!H7-1),IF(AND('(橫掃)RX Mapping'!H7&gt;=121,'(橫掃)RX Mapping'!H7&lt;=240), (-1)*('(橫掃)RX Mapping'!H7-240),IF(AND('(橫掃)RX Mapping'!H7&gt;=241,'(橫掃)RX Mapping'!H7&lt;=360), ('(橫掃)RX Mapping'!H7-241),IF(AND('(橫掃)RX Mapping'!H7&gt;=361,'(橫掃)RX Mapping'!H7&lt;=480), (-1)*('(橫掃)RX Mapping'!H7-480),IF(AND('(橫掃)RX Mapping'!H7&gt;=481,'(橫掃)RX Mapping'!H7&lt;=600), ('(橫掃)RX Mapping'!H7-361),IF(AND('(橫掃)RX Mapping'!H7&gt;=601,'(橫掃)RX Mapping'!H7&lt;=720), (-1)*('(橫掃)RX Mapping'!H7-720)+120,IF(AND('(橫掃)RX Mapping'!H7&gt;=721,'(橫掃)RX Mapping'!H7&lt;=840), ('(橫掃)RX Mapping'!H7-601),IF(AND('(橫掃)RX Mapping'!H7&gt;=841,'(橫掃)RX Mapping'!H7&lt;=960), (-1)*('(橫掃)RX Mapping'!H7-960)+120,9999))))))))</f>
        <v>42</v>
      </c>
      <c r="I7">
        <f>IF(AND('(橫掃)RX Mapping'!I7&gt;=1,'(橫掃)RX Mapping'!I7&lt;=120), ('(橫掃)RX Mapping'!I7-1),IF(AND('(橫掃)RX Mapping'!I7&gt;=121,'(橫掃)RX Mapping'!I7&lt;=240), (-1)*('(橫掃)RX Mapping'!I7-240),IF(AND('(橫掃)RX Mapping'!I7&gt;=241,'(橫掃)RX Mapping'!I7&lt;=360), ('(橫掃)RX Mapping'!I7-241),IF(AND('(橫掃)RX Mapping'!I7&gt;=361,'(橫掃)RX Mapping'!I7&lt;=480), (-1)*('(橫掃)RX Mapping'!I7-480),IF(AND('(橫掃)RX Mapping'!I7&gt;=481,'(橫掃)RX Mapping'!I7&lt;=600), ('(橫掃)RX Mapping'!I7-361),IF(AND('(橫掃)RX Mapping'!I7&gt;=601,'(橫掃)RX Mapping'!I7&lt;=720), (-1)*('(橫掃)RX Mapping'!I7-720)+120,IF(AND('(橫掃)RX Mapping'!I7&gt;=721,'(橫掃)RX Mapping'!I7&lt;=840), ('(橫掃)RX Mapping'!I7-601),IF(AND('(橫掃)RX Mapping'!I7&gt;=841,'(橫掃)RX Mapping'!I7&lt;=960), (-1)*('(橫掃)RX Mapping'!I7-960)+120,9999))))))))</f>
        <v>5</v>
      </c>
      <c r="J7">
        <f>IF(AND('(橫掃)RX Mapping'!J7&gt;=1,'(橫掃)RX Mapping'!J7&lt;=120), ('(橫掃)RX Mapping'!J7-1),IF(AND('(橫掃)RX Mapping'!J7&gt;=121,'(橫掃)RX Mapping'!J7&lt;=240), (-1)*('(橫掃)RX Mapping'!J7-240),IF(AND('(橫掃)RX Mapping'!J7&gt;=241,'(橫掃)RX Mapping'!J7&lt;=360), ('(橫掃)RX Mapping'!J7-241),IF(AND('(橫掃)RX Mapping'!J7&gt;=361,'(橫掃)RX Mapping'!J7&lt;=480), (-1)*('(橫掃)RX Mapping'!J7-480),IF(AND('(橫掃)RX Mapping'!J7&gt;=481,'(橫掃)RX Mapping'!J7&lt;=600), ('(橫掃)RX Mapping'!J7-361),IF(AND('(橫掃)RX Mapping'!J7&gt;=601,'(橫掃)RX Mapping'!J7&lt;=720), (-1)*('(橫掃)RX Mapping'!J7-720)+120,IF(AND('(橫掃)RX Mapping'!J7&gt;=721,'(橫掃)RX Mapping'!J7&lt;=840), ('(橫掃)RX Mapping'!J7-601),IF(AND('(橫掃)RX Mapping'!J7&gt;=841,'(橫掃)RX Mapping'!J7&lt;=960), (-1)*('(橫掃)RX Mapping'!J7-960)+120,9999))))))))</f>
        <v>37</v>
      </c>
      <c r="K7">
        <f>IF(AND('(橫掃)RX Mapping'!K7&gt;=1,'(橫掃)RX Mapping'!K7&lt;=120), ('(橫掃)RX Mapping'!K7-1),IF(AND('(橫掃)RX Mapping'!K7&gt;=121,'(橫掃)RX Mapping'!K7&lt;=240), (-1)*('(橫掃)RX Mapping'!K7-240),IF(AND('(橫掃)RX Mapping'!K7&gt;=241,'(橫掃)RX Mapping'!K7&lt;=360), ('(橫掃)RX Mapping'!K7-241),IF(AND('(橫掃)RX Mapping'!K7&gt;=361,'(橫掃)RX Mapping'!K7&lt;=480), (-1)*('(橫掃)RX Mapping'!K7-480),IF(AND('(橫掃)RX Mapping'!K7&gt;=481,'(橫掃)RX Mapping'!K7&lt;=600), ('(橫掃)RX Mapping'!K7-361),IF(AND('(橫掃)RX Mapping'!K7&gt;=601,'(橫掃)RX Mapping'!K7&lt;=720), (-1)*('(橫掃)RX Mapping'!K7-720)+120,IF(AND('(橫掃)RX Mapping'!K7&gt;=721,'(橫掃)RX Mapping'!K7&lt;=840), ('(橫掃)RX Mapping'!K7-601),IF(AND('(橫掃)RX Mapping'!K7&gt;=841,'(橫掃)RX Mapping'!K7&lt;=960), (-1)*('(橫掃)RX Mapping'!K7-960)+120,9999))))))))</f>
        <v>69</v>
      </c>
      <c r="L7">
        <f>IF(AND('(橫掃)RX Mapping'!L7&gt;=1,'(橫掃)RX Mapping'!L7&lt;=120), ('(橫掃)RX Mapping'!L7-1),IF(AND('(橫掃)RX Mapping'!L7&gt;=121,'(橫掃)RX Mapping'!L7&lt;=240), (-1)*('(橫掃)RX Mapping'!L7-240),IF(AND('(橫掃)RX Mapping'!L7&gt;=241,'(橫掃)RX Mapping'!L7&lt;=360), ('(橫掃)RX Mapping'!L7-241),IF(AND('(橫掃)RX Mapping'!L7&gt;=361,'(橫掃)RX Mapping'!L7&lt;=480), (-1)*('(橫掃)RX Mapping'!L7-480),IF(AND('(橫掃)RX Mapping'!L7&gt;=481,'(橫掃)RX Mapping'!L7&lt;=600), ('(橫掃)RX Mapping'!L7-361),IF(AND('(橫掃)RX Mapping'!L7&gt;=601,'(橫掃)RX Mapping'!L7&lt;=720), (-1)*('(橫掃)RX Mapping'!L7-720)+120,IF(AND('(橫掃)RX Mapping'!L7&gt;=721,'(橫掃)RX Mapping'!L7&lt;=840), ('(橫掃)RX Mapping'!L7-601),IF(AND('(橫掃)RX Mapping'!L7&gt;=841,'(橫掃)RX Mapping'!L7&lt;=960), (-1)*('(橫掃)RX Mapping'!L7-960)+120,9999))))))))</f>
        <v>101</v>
      </c>
      <c r="M7">
        <f>IF(AND('(橫掃)RX Mapping'!M7&gt;=1,'(橫掃)RX Mapping'!M7&lt;=120), ('(橫掃)RX Mapping'!M7-1),IF(AND('(橫掃)RX Mapping'!M7&gt;=121,'(橫掃)RX Mapping'!M7&lt;=240), (-1)*('(橫掃)RX Mapping'!M7-240),IF(AND('(橫掃)RX Mapping'!M7&gt;=241,'(橫掃)RX Mapping'!M7&lt;=360), ('(橫掃)RX Mapping'!M7-241),IF(AND('(橫掃)RX Mapping'!M7&gt;=361,'(橫掃)RX Mapping'!M7&lt;=480), (-1)*('(橫掃)RX Mapping'!M7-480),IF(AND('(橫掃)RX Mapping'!M7&gt;=481,'(橫掃)RX Mapping'!M7&lt;=600), ('(橫掃)RX Mapping'!M7-361),IF(AND('(橫掃)RX Mapping'!M7&gt;=601,'(橫掃)RX Mapping'!M7&lt;=720), (-1)*('(橫掃)RX Mapping'!M7-720)+120,IF(AND('(橫掃)RX Mapping'!M7&gt;=721,'(橫掃)RX Mapping'!M7&lt;=840), ('(橫掃)RX Mapping'!M7-601),IF(AND('(橫掃)RX Mapping'!M7&gt;=841,'(橫掃)RX Mapping'!M7&lt;=960), (-1)*('(橫掃)RX Mapping'!M7-960)+120,9999))))))))</f>
        <v>106</v>
      </c>
      <c r="N7">
        <f>IF(AND('(橫掃)RX Mapping'!N7&gt;=1,'(橫掃)RX Mapping'!N7&lt;=120), ('(橫掃)RX Mapping'!N7-1),IF(AND('(橫掃)RX Mapping'!N7&gt;=121,'(橫掃)RX Mapping'!N7&lt;=240), (-1)*('(橫掃)RX Mapping'!N7-240),IF(AND('(橫掃)RX Mapping'!N7&gt;=241,'(橫掃)RX Mapping'!N7&lt;=360), ('(橫掃)RX Mapping'!N7-241),IF(AND('(橫掃)RX Mapping'!N7&gt;=361,'(橫掃)RX Mapping'!N7&lt;=480), (-1)*('(橫掃)RX Mapping'!N7-480),IF(AND('(橫掃)RX Mapping'!N7&gt;=481,'(橫掃)RX Mapping'!N7&lt;=600), ('(橫掃)RX Mapping'!N7-361),IF(AND('(橫掃)RX Mapping'!N7&gt;=601,'(橫掃)RX Mapping'!N7&lt;=720), (-1)*('(橫掃)RX Mapping'!N7-720)+120,IF(AND('(橫掃)RX Mapping'!N7&gt;=721,'(橫掃)RX Mapping'!N7&lt;=840), ('(橫掃)RX Mapping'!N7-601),IF(AND('(橫掃)RX Mapping'!N7&gt;=841,'(橫掃)RX Mapping'!N7&lt;=960), (-1)*('(橫掃)RX Mapping'!N7-960)+120,9999))))))))</f>
        <v>74</v>
      </c>
      <c r="O7">
        <f>IF(AND('(橫掃)RX Mapping'!O7&gt;=1,'(橫掃)RX Mapping'!O7&lt;=120), ('(橫掃)RX Mapping'!O7-1),IF(AND('(橫掃)RX Mapping'!O7&gt;=121,'(橫掃)RX Mapping'!O7&lt;=240), (-1)*('(橫掃)RX Mapping'!O7-240),IF(AND('(橫掃)RX Mapping'!O7&gt;=241,'(橫掃)RX Mapping'!O7&lt;=360), ('(橫掃)RX Mapping'!O7-241),IF(AND('(橫掃)RX Mapping'!O7&gt;=361,'(橫掃)RX Mapping'!O7&lt;=480), (-1)*('(橫掃)RX Mapping'!O7-480),IF(AND('(橫掃)RX Mapping'!O7&gt;=481,'(橫掃)RX Mapping'!O7&lt;=600), ('(橫掃)RX Mapping'!O7-361),IF(AND('(橫掃)RX Mapping'!O7&gt;=601,'(橫掃)RX Mapping'!O7&lt;=720), (-1)*('(橫掃)RX Mapping'!O7-720)+120,IF(AND('(橫掃)RX Mapping'!O7&gt;=721,'(橫掃)RX Mapping'!O7&lt;=840), ('(橫掃)RX Mapping'!O7-601),IF(AND('(橫掃)RX Mapping'!O7&gt;=841,'(橫掃)RX Mapping'!O7&lt;=960), (-1)*('(橫掃)RX Mapping'!O7-960)+120,9999))))))))</f>
        <v>42</v>
      </c>
      <c r="P7">
        <f>IF(AND('(橫掃)RX Mapping'!P7&gt;=1,'(橫掃)RX Mapping'!P7&lt;=120), ('(橫掃)RX Mapping'!P7-1),IF(AND('(橫掃)RX Mapping'!P7&gt;=121,'(橫掃)RX Mapping'!P7&lt;=240), (-1)*('(橫掃)RX Mapping'!P7-240),IF(AND('(橫掃)RX Mapping'!P7&gt;=241,'(橫掃)RX Mapping'!P7&lt;=360), ('(橫掃)RX Mapping'!P7-241),IF(AND('(橫掃)RX Mapping'!P7&gt;=361,'(橫掃)RX Mapping'!P7&lt;=480), (-1)*('(橫掃)RX Mapping'!P7-480),IF(AND('(橫掃)RX Mapping'!P7&gt;=481,'(橫掃)RX Mapping'!P7&lt;=600), ('(橫掃)RX Mapping'!P7-361),IF(AND('(橫掃)RX Mapping'!P7&gt;=601,'(橫掃)RX Mapping'!P7&lt;=720), (-1)*('(橫掃)RX Mapping'!P7-720)+120,IF(AND('(橫掃)RX Mapping'!P7&gt;=721,'(橫掃)RX Mapping'!P7&lt;=840), ('(橫掃)RX Mapping'!P7-601),IF(AND('(橫掃)RX Mapping'!P7&gt;=841,'(橫掃)RX Mapping'!P7&lt;=960), (-1)*('(橫掃)RX Mapping'!P7-960)+120,9999))))))))</f>
        <v>125</v>
      </c>
      <c r="Q7">
        <f>IF(AND('(橫掃)RX Mapping'!Q7&gt;=1,'(橫掃)RX Mapping'!Q7&lt;=120), ('(橫掃)RX Mapping'!Q7-1),IF(AND('(橫掃)RX Mapping'!Q7&gt;=121,'(橫掃)RX Mapping'!Q7&lt;=240), (-1)*('(橫掃)RX Mapping'!Q7-240),IF(AND('(橫掃)RX Mapping'!Q7&gt;=241,'(橫掃)RX Mapping'!Q7&lt;=360), ('(橫掃)RX Mapping'!Q7-241),IF(AND('(橫掃)RX Mapping'!Q7&gt;=361,'(橫掃)RX Mapping'!Q7&lt;=480), (-1)*('(橫掃)RX Mapping'!Q7-480),IF(AND('(橫掃)RX Mapping'!Q7&gt;=481,'(橫掃)RX Mapping'!Q7&lt;=600), ('(橫掃)RX Mapping'!Q7-361),IF(AND('(橫掃)RX Mapping'!Q7&gt;=601,'(橫掃)RX Mapping'!Q7&lt;=720), (-1)*('(橫掃)RX Mapping'!Q7-720)+120,IF(AND('(橫掃)RX Mapping'!Q7&gt;=721,'(橫掃)RX Mapping'!Q7&lt;=840), ('(橫掃)RX Mapping'!Q7-601),IF(AND('(橫掃)RX Mapping'!Q7&gt;=841,'(橫掃)RX Mapping'!Q7&lt;=960), (-1)*('(橫掃)RX Mapping'!Q7-960)+120,9999))))))))</f>
        <v>157</v>
      </c>
      <c r="R7">
        <f>IF(AND('(橫掃)RX Mapping'!R7&gt;=1,'(橫掃)RX Mapping'!R7&lt;=120), ('(橫掃)RX Mapping'!R7-1),IF(AND('(橫掃)RX Mapping'!R7&gt;=121,'(橫掃)RX Mapping'!R7&lt;=240), (-1)*('(橫掃)RX Mapping'!R7-240),IF(AND('(橫掃)RX Mapping'!R7&gt;=241,'(橫掃)RX Mapping'!R7&lt;=360), ('(橫掃)RX Mapping'!R7-241),IF(AND('(橫掃)RX Mapping'!R7&gt;=361,'(橫掃)RX Mapping'!R7&lt;=480), (-1)*('(橫掃)RX Mapping'!R7-480),IF(AND('(橫掃)RX Mapping'!R7&gt;=481,'(橫掃)RX Mapping'!R7&lt;=600), ('(橫掃)RX Mapping'!R7-361),IF(AND('(橫掃)RX Mapping'!R7&gt;=601,'(橫掃)RX Mapping'!R7&lt;=720), (-1)*('(橫掃)RX Mapping'!R7-720)+120,IF(AND('(橫掃)RX Mapping'!R7&gt;=721,'(橫掃)RX Mapping'!R7&lt;=840), ('(橫掃)RX Mapping'!R7-601),IF(AND('(橫掃)RX Mapping'!R7&gt;=841,'(橫掃)RX Mapping'!R7&lt;=960), (-1)*('(橫掃)RX Mapping'!R7-960)+120,9999))))))))</f>
        <v>189</v>
      </c>
      <c r="S7">
        <f>IF(AND('(橫掃)RX Mapping'!S7&gt;=1,'(橫掃)RX Mapping'!S7&lt;=120), ('(橫掃)RX Mapping'!S7-1),IF(AND('(橫掃)RX Mapping'!S7&gt;=121,'(橫掃)RX Mapping'!S7&lt;=240), (-1)*('(橫掃)RX Mapping'!S7-240),IF(AND('(橫掃)RX Mapping'!S7&gt;=241,'(橫掃)RX Mapping'!S7&lt;=360), ('(橫掃)RX Mapping'!S7-241),IF(AND('(橫掃)RX Mapping'!S7&gt;=361,'(橫掃)RX Mapping'!S7&lt;=480), (-1)*('(橫掃)RX Mapping'!S7-480),IF(AND('(橫掃)RX Mapping'!S7&gt;=481,'(橫掃)RX Mapping'!S7&lt;=600), ('(橫掃)RX Mapping'!S7-361),IF(AND('(橫掃)RX Mapping'!S7&gt;=601,'(橫掃)RX Mapping'!S7&lt;=720), (-1)*('(橫掃)RX Mapping'!S7-720)+120,IF(AND('(橫掃)RX Mapping'!S7&gt;=721,'(橫掃)RX Mapping'!S7&lt;=840), ('(橫掃)RX Mapping'!S7-601),IF(AND('(橫掃)RX Mapping'!S7&gt;=841,'(橫掃)RX Mapping'!S7&lt;=960), (-1)*('(橫掃)RX Mapping'!S7-960)+120,9999))))))))</f>
        <v>221</v>
      </c>
      <c r="T7">
        <f>IF(AND('(橫掃)RX Mapping'!T7&gt;=1,'(橫掃)RX Mapping'!T7&lt;=120), ('(橫掃)RX Mapping'!T7-1),IF(AND('(橫掃)RX Mapping'!T7&gt;=121,'(橫掃)RX Mapping'!T7&lt;=240), (-1)*('(橫掃)RX Mapping'!T7-240),IF(AND('(橫掃)RX Mapping'!T7&gt;=241,'(橫掃)RX Mapping'!T7&lt;=360), ('(橫掃)RX Mapping'!T7-241),IF(AND('(橫掃)RX Mapping'!T7&gt;=361,'(橫掃)RX Mapping'!T7&lt;=480), (-1)*('(橫掃)RX Mapping'!T7-480),IF(AND('(橫掃)RX Mapping'!T7&gt;=481,'(橫掃)RX Mapping'!T7&lt;=600), ('(橫掃)RX Mapping'!T7-361),IF(AND('(橫掃)RX Mapping'!T7&gt;=601,'(橫掃)RX Mapping'!T7&lt;=720), (-1)*('(橫掃)RX Mapping'!T7-720)+120,IF(AND('(橫掃)RX Mapping'!T7&gt;=721,'(橫掃)RX Mapping'!T7&lt;=840), ('(橫掃)RX Mapping'!T7-601),IF(AND('(橫掃)RX Mapping'!T7&gt;=841,'(橫掃)RX Mapping'!T7&lt;=960), (-1)*('(橫掃)RX Mapping'!T7-960)+120,9999))))))))</f>
        <v>226</v>
      </c>
      <c r="U7">
        <f>IF(AND('(橫掃)RX Mapping'!U7&gt;=1,'(橫掃)RX Mapping'!U7&lt;=120), ('(橫掃)RX Mapping'!U7-1),IF(AND('(橫掃)RX Mapping'!U7&gt;=121,'(橫掃)RX Mapping'!U7&lt;=240), (-1)*('(橫掃)RX Mapping'!U7-240),IF(AND('(橫掃)RX Mapping'!U7&gt;=241,'(橫掃)RX Mapping'!U7&lt;=360), ('(橫掃)RX Mapping'!U7-241),IF(AND('(橫掃)RX Mapping'!U7&gt;=361,'(橫掃)RX Mapping'!U7&lt;=480), (-1)*('(橫掃)RX Mapping'!U7-480),IF(AND('(橫掃)RX Mapping'!U7&gt;=481,'(橫掃)RX Mapping'!U7&lt;=600), ('(橫掃)RX Mapping'!U7-361),IF(AND('(橫掃)RX Mapping'!U7&gt;=601,'(橫掃)RX Mapping'!U7&lt;=720), (-1)*('(橫掃)RX Mapping'!U7-720)+120,IF(AND('(橫掃)RX Mapping'!U7&gt;=721,'(橫掃)RX Mapping'!U7&lt;=840), ('(橫掃)RX Mapping'!U7-601),IF(AND('(橫掃)RX Mapping'!U7&gt;=841,'(橫掃)RX Mapping'!U7&lt;=960), (-1)*('(橫掃)RX Mapping'!U7-960)+120,9999))))))))</f>
        <v>194</v>
      </c>
      <c r="V7">
        <f>IF(AND('(橫掃)RX Mapping'!V7&gt;=1,'(橫掃)RX Mapping'!V7&lt;=120), ('(橫掃)RX Mapping'!V7-1),IF(AND('(橫掃)RX Mapping'!V7&gt;=121,'(橫掃)RX Mapping'!V7&lt;=240), (-1)*('(橫掃)RX Mapping'!V7-240),IF(AND('(橫掃)RX Mapping'!V7&gt;=241,'(橫掃)RX Mapping'!V7&lt;=360), ('(橫掃)RX Mapping'!V7-241),IF(AND('(橫掃)RX Mapping'!V7&gt;=361,'(橫掃)RX Mapping'!V7&lt;=480), (-1)*('(橫掃)RX Mapping'!V7-480),IF(AND('(橫掃)RX Mapping'!V7&gt;=481,'(橫掃)RX Mapping'!V7&lt;=600), ('(橫掃)RX Mapping'!V7-361),IF(AND('(橫掃)RX Mapping'!V7&gt;=601,'(橫掃)RX Mapping'!V7&lt;=720), (-1)*('(橫掃)RX Mapping'!V7-720)+120,IF(AND('(橫掃)RX Mapping'!V7&gt;=721,'(橫掃)RX Mapping'!V7&lt;=840), ('(橫掃)RX Mapping'!V7-601),IF(AND('(橫掃)RX Mapping'!V7&gt;=841,'(橫掃)RX Mapping'!V7&lt;=960), (-1)*('(橫掃)RX Mapping'!V7-960)+120,9999))))))))</f>
        <v>162</v>
      </c>
      <c r="W7">
        <f>IF(AND('(橫掃)RX Mapping'!W7&gt;=1,'(橫掃)RX Mapping'!W7&lt;=120), ('(橫掃)RX Mapping'!W7-1),IF(AND('(橫掃)RX Mapping'!W7&gt;=121,'(橫掃)RX Mapping'!W7&lt;=240), (-1)*('(橫掃)RX Mapping'!W7-240),IF(AND('(橫掃)RX Mapping'!W7&gt;=241,'(橫掃)RX Mapping'!W7&lt;=360), ('(橫掃)RX Mapping'!W7-241),IF(AND('(橫掃)RX Mapping'!W7&gt;=361,'(橫掃)RX Mapping'!W7&lt;=480), (-1)*('(橫掃)RX Mapping'!W7-480),IF(AND('(橫掃)RX Mapping'!W7&gt;=481,'(橫掃)RX Mapping'!W7&lt;=600), ('(橫掃)RX Mapping'!W7-361),IF(AND('(橫掃)RX Mapping'!W7&gt;=601,'(橫掃)RX Mapping'!W7&lt;=720), (-1)*('(橫掃)RX Mapping'!W7-720)+120,IF(AND('(橫掃)RX Mapping'!W7&gt;=721,'(橫掃)RX Mapping'!W7&lt;=840), ('(橫掃)RX Mapping'!W7-601),IF(AND('(橫掃)RX Mapping'!W7&gt;=841,'(橫掃)RX Mapping'!W7&lt;=960), (-1)*('(橫掃)RX Mapping'!W7-960)+120,9999))))))))</f>
        <v>125</v>
      </c>
      <c r="X7">
        <f>IF(AND('(橫掃)RX Mapping'!X7&gt;=1,'(橫掃)RX Mapping'!X7&lt;=120), ('(橫掃)RX Mapping'!X7-1),IF(AND('(橫掃)RX Mapping'!X7&gt;=121,'(橫掃)RX Mapping'!X7&lt;=240), (-1)*('(橫掃)RX Mapping'!X7-240),IF(AND('(橫掃)RX Mapping'!X7&gt;=241,'(橫掃)RX Mapping'!X7&lt;=360), ('(橫掃)RX Mapping'!X7-241),IF(AND('(橫掃)RX Mapping'!X7&gt;=361,'(橫掃)RX Mapping'!X7&lt;=480), (-1)*('(橫掃)RX Mapping'!X7-480),IF(AND('(橫掃)RX Mapping'!X7&gt;=481,'(橫掃)RX Mapping'!X7&lt;=600), ('(橫掃)RX Mapping'!X7-361),IF(AND('(橫掃)RX Mapping'!X7&gt;=601,'(橫掃)RX Mapping'!X7&lt;=720), (-1)*('(橫掃)RX Mapping'!X7-720)+120,IF(AND('(橫掃)RX Mapping'!X7&gt;=721,'(橫掃)RX Mapping'!X7&lt;=840), ('(橫掃)RX Mapping'!X7-601),IF(AND('(橫掃)RX Mapping'!X7&gt;=841,'(橫掃)RX Mapping'!X7&lt;=960), (-1)*('(橫掃)RX Mapping'!X7-960)+120,9999))))))))</f>
        <v>157</v>
      </c>
      <c r="Y7">
        <f>IF(AND('(橫掃)RX Mapping'!Y7&gt;=1,'(橫掃)RX Mapping'!Y7&lt;=120), ('(橫掃)RX Mapping'!Y7-1),IF(AND('(橫掃)RX Mapping'!Y7&gt;=121,'(橫掃)RX Mapping'!Y7&lt;=240), (-1)*('(橫掃)RX Mapping'!Y7-240),IF(AND('(橫掃)RX Mapping'!Y7&gt;=241,'(橫掃)RX Mapping'!Y7&lt;=360), ('(橫掃)RX Mapping'!Y7-241),IF(AND('(橫掃)RX Mapping'!Y7&gt;=361,'(橫掃)RX Mapping'!Y7&lt;=480), (-1)*('(橫掃)RX Mapping'!Y7-480),IF(AND('(橫掃)RX Mapping'!Y7&gt;=481,'(橫掃)RX Mapping'!Y7&lt;=600), ('(橫掃)RX Mapping'!Y7-361),IF(AND('(橫掃)RX Mapping'!Y7&gt;=601,'(橫掃)RX Mapping'!Y7&lt;=720), (-1)*('(橫掃)RX Mapping'!Y7-720)+120,IF(AND('(橫掃)RX Mapping'!Y7&gt;=721,'(橫掃)RX Mapping'!Y7&lt;=840), ('(橫掃)RX Mapping'!Y7-601),IF(AND('(橫掃)RX Mapping'!Y7&gt;=841,'(橫掃)RX Mapping'!Y7&lt;=960), (-1)*('(橫掃)RX Mapping'!Y7-960)+120,9999))))))))</f>
        <v>189</v>
      </c>
      <c r="Z7">
        <f>IF(AND('(橫掃)RX Mapping'!Z7&gt;=1,'(橫掃)RX Mapping'!Z7&lt;=120), ('(橫掃)RX Mapping'!Z7-1),IF(AND('(橫掃)RX Mapping'!Z7&gt;=121,'(橫掃)RX Mapping'!Z7&lt;=240), (-1)*('(橫掃)RX Mapping'!Z7-240),IF(AND('(橫掃)RX Mapping'!Z7&gt;=241,'(橫掃)RX Mapping'!Z7&lt;=360), ('(橫掃)RX Mapping'!Z7-241),IF(AND('(橫掃)RX Mapping'!Z7&gt;=361,'(橫掃)RX Mapping'!Z7&lt;=480), (-1)*('(橫掃)RX Mapping'!Z7-480),IF(AND('(橫掃)RX Mapping'!Z7&gt;=481,'(橫掃)RX Mapping'!Z7&lt;=600), ('(橫掃)RX Mapping'!Z7-361),IF(AND('(橫掃)RX Mapping'!Z7&gt;=601,'(橫掃)RX Mapping'!Z7&lt;=720), (-1)*('(橫掃)RX Mapping'!Z7-720)+120,IF(AND('(橫掃)RX Mapping'!Z7&gt;=721,'(橫掃)RX Mapping'!Z7&lt;=840), ('(橫掃)RX Mapping'!Z7-601),IF(AND('(橫掃)RX Mapping'!Z7&gt;=841,'(橫掃)RX Mapping'!Z7&lt;=960), (-1)*('(橫掃)RX Mapping'!Z7-960)+120,9999))))))))</f>
        <v>221</v>
      </c>
      <c r="AA7">
        <f>IF(AND('(橫掃)RX Mapping'!AA7&gt;=1,'(橫掃)RX Mapping'!AA7&lt;=120), ('(橫掃)RX Mapping'!AA7-1),IF(AND('(橫掃)RX Mapping'!AA7&gt;=121,'(橫掃)RX Mapping'!AA7&lt;=240), (-1)*('(橫掃)RX Mapping'!AA7-240),IF(AND('(橫掃)RX Mapping'!AA7&gt;=241,'(橫掃)RX Mapping'!AA7&lt;=360), ('(橫掃)RX Mapping'!AA7-241),IF(AND('(橫掃)RX Mapping'!AA7&gt;=361,'(橫掃)RX Mapping'!AA7&lt;=480), (-1)*('(橫掃)RX Mapping'!AA7-480),IF(AND('(橫掃)RX Mapping'!AA7&gt;=481,'(橫掃)RX Mapping'!AA7&lt;=600), ('(橫掃)RX Mapping'!AA7-361),IF(AND('(橫掃)RX Mapping'!AA7&gt;=601,'(橫掃)RX Mapping'!AA7&lt;=720), (-1)*('(橫掃)RX Mapping'!AA7-720)+120,IF(AND('(橫掃)RX Mapping'!AA7&gt;=721,'(橫掃)RX Mapping'!AA7&lt;=840), ('(橫掃)RX Mapping'!AA7-601),IF(AND('(橫掃)RX Mapping'!AA7&gt;=841,'(橫掃)RX Mapping'!AA7&lt;=960), (-1)*('(橫掃)RX Mapping'!AA7-960)+120,9999))))))))</f>
        <v>226</v>
      </c>
      <c r="AB7">
        <f>IF(AND('(橫掃)RX Mapping'!AB7&gt;=1,'(橫掃)RX Mapping'!AB7&lt;=120), ('(橫掃)RX Mapping'!AB7-1),IF(AND('(橫掃)RX Mapping'!AB7&gt;=121,'(橫掃)RX Mapping'!AB7&lt;=240), (-1)*('(橫掃)RX Mapping'!AB7-240),IF(AND('(橫掃)RX Mapping'!AB7&gt;=241,'(橫掃)RX Mapping'!AB7&lt;=360), ('(橫掃)RX Mapping'!AB7-241),IF(AND('(橫掃)RX Mapping'!AB7&gt;=361,'(橫掃)RX Mapping'!AB7&lt;=480), (-1)*('(橫掃)RX Mapping'!AB7-480),IF(AND('(橫掃)RX Mapping'!AB7&gt;=481,'(橫掃)RX Mapping'!AB7&lt;=600), ('(橫掃)RX Mapping'!AB7-361),IF(AND('(橫掃)RX Mapping'!AB7&gt;=601,'(橫掃)RX Mapping'!AB7&lt;=720), (-1)*('(橫掃)RX Mapping'!AB7-720)+120,IF(AND('(橫掃)RX Mapping'!AB7&gt;=721,'(橫掃)RX Mapping'!AB7&lt;=840), ('(橫掃)RX Mapping'!AB7-601),IF(AND('(橫掃)RX Mapping'!AB7&gt;=841,'(橫掃)RX Mapping'!AB7&lt;=960), (-1)*('(橫掃)RX Mapping'!AB7-960)+120,9999))))))))</f>
        <v>194</v>
      </c>
      <c r="AC7">
        <f>IF(AND('(橫掃)RX Mapping'!AC7&gt;=1,'(橫掃)RX Mapping'!AC7&lt;=120), ('(橫掃)RX Mapping'!AC7-1),IF(AND('(橫掃)RX Mapping'!AC7&gt;=121,'(橫掃)RX Mapping'!AC7&lt;=240), (-1)*('(橫掃)RX Mapping'!AC7-240),IF(AND('(橫掃)RX Mapping'!AC7&gt;=241,'(橫掃)RX Mapping'!AC7&lt;=360), ('(橫掃)RX Mapping'!AC7-241),IF(AND('(橫掃)RX Mapping'!AC7&gt;=361,'(橫掃)RX Mapping'!AC7&lt;=480), (-1)*('(橫掃)RX Mapping'!AC7-480),IF(AND('(橫掃)RX Mapping'!AC7&gt;=481,'(橫掃)RX Mapping'!AC7&lt;=600), ('(橫掃)RX Mapping'!AC7-361),IF(AND('(橫掃)RX Mapping'!AC7&gt;=601,'(橫掃)RX Mapping'!AC7&lt;=720), (-1)*('(橫掃)RX Mapping'!AC7-720)+120,IF(AND('(橫掃)RX Mapping'!AC7&gt;=721,'(橫掃)RX Mapping'!AC7&lt;=840), ('(橫掃)RX Mapping'!AC7-601),IF(AND('(橫掃)RX Mapping'!AC7&gt;=841,'(橫掃)RX Mapping'!AC7&lt;=960), (-1)*('(橫掃)RX Mapping'!AC7-960)+120,9999))))))))</f>
        <v>162</v>
      </c>
      <c r="AD7">
        <f>IF(AND('(橫掃)RX Mapping'!AD7&gt;=1,'(橫掃)RX Mapping'!AD7&lt;=120), ('(橫掃)RX Mapping'!AD7-1),IF(AND('(橫掃)RX Mapping'!AD7&gt;=121,'(橫掃)RX Mapping'!AD7&lt;=240), (-1)*('(橫掃)RX Mapping'!AD7-240),IF(AND('(橫掃)RX Mapping'!AD7&gt;=241,'(橫掃)RX Mapping'!AD7&lt;=360), ('(橫掃)RX Mapping'!AD7-241),IF(AND('(橫掃)RX Mapping'!AD7&gt;=361,'(橫掃)RX Mapping'!AD7&lt;=480), (-1)*('(橫掃)RX Mapping'!AD7-480),IF(AND('(橫掃)RX Mapping'!AD7&gt;=481,'(橫掃)RX Mapping'!AD7&lt;=600), ('(橫掃)RX Mapping'!AD7-361),IF(AND('(橫掃)RX Mapping'!AD7&gt;=601,'(橫掃)RX Mapping'!AD7&lt;=720), (-1)*('(橫掃)RX Mapping'!AD7-720)+120,IF(AND('(橫掃)RX Mapping'!AD7&gt;=721,'(橫掃)RX Mapping'!AD7&lt;=840), ('(橫掃)RX Mapping'!AD7-601),IF(AND('(橫掃)RX Mapping'!AD7&gt;=841,'(橫掃)RX Mapping'!AD7&lt;=960), (-1)*('(橫掃)RX Mapping'!AD7-960)+120,9999))))))))</f>
        <v>9999</v>
      </c>
      <c r="AE7">
        <f>IF(AND('(橫掃)RX Mapping'!AE7&gt;=1,'(橫掃)RX Mapping'!AE7&lt;=120), ('(橫掃)RX Mapping'!AE7-1),IF(AND('(橫掃)RX Mapping'!AE7&gt;=121,'(橫掃)RX Mapping'!AE7&lt;=240), (-1)*('(橫掃)RX Mapping'!AE7-240),IF(AND('(橫掃)RX Mapping'!AE7&gt;=241,'(橫掃)RX Mapping'!AE7&lt;=360), ('(橫掃)RX Mapping'!AE7-241),IF(AND('(橫掃)RX Mapping'!AE7&gt;=361,'(橫掃)RX Mapping'!AE7&lt;=480), (-1)*('(橫掃)RX Mapping'!AE7-480),IF(AND('(橫掃)RX Mapping'!AE7&gt;=481,'(橫掃)RX Mapping'!AE7&lt;=600), ('(橫掃)RX Mapping'!AE7-361),IF(AND('(橫掃)RX Mapping'!AE7&gt;=601,'(橫掃)RX Mapping'!AE7&lt;=720), (-1)*('(橫掃)RX Mapping'!AE7-720)+120,IF(AND('(橫掃)RX Mapping'!AE7&gt;=721,'(橫掃)RX Mapping'!AE7&lt;=840), ('(橫掃)RX Mapping'!AE7-601),IF(AND('(橫掃)RX Mapping'!AE7&gt;=841,'(橫掃)RX Mapping'!AE7&lt;=960), (-1)*('(橫掃)RX Mapping'!AE7-960)+120,9999))))))))</f>
        <v>9999</v>
      </c>
      <c r="AF7">
        <f>IF(AND('(橫掃)RX Mapping'!AF7&gt;=1,'(橫掃)RX Mapping'!AF7&lt;=120), ('(橫掃)RX Mapping'!AF7-1),IF(AND('(橫掃)RX Mapping'!AF7&gt;=121,'(橫掃)RX Mapping'!AF7&lt;=240), (-1)*('(橫掃)RX Mapping'!AF7-240),IF(AND('(橫掃)RX Mapping'!AF7&gt;=241,'(橫掃)RX Mapping'!AF7&lt;=360), ('(橫掃)RX Mapping'!AF7-241),IF(AND('(橫掃)RX Mapping'!AF7&gt;=361,'(橫掃)RX Mapping'!AF7&lt;=480), (-1)*('(橫掃)RX Mapping'!AF7-480),IF(AND('(橫掃)RX Mapping'!AF7&gt;=481,'(橫掃)RX Mapping'!AF7&lt;=600), ('(橫掃)RX Mapping'!AF7-361),IF(AND('(橫掃)RX Mapping'!AF7&gt;=601,'(橫掃)RX Mapping'!AF7&lt;=720), (-1)*('(橫掃)RX Mapping'!AF7-720)+120,IF(AND('(橫掃)RX Mapping'!AF7&gt;=721,'(橫掃)RX Mapping'!AF7&lt;=840), ('(橫掃)RX Mapping'!AF7-601),IF(AND('(橫掃)RX Mapping'!AF7&gt;=841,'(橫掃)RX Mapping'!AF7&lt;=960), (-1)*('(橫掃)RX Mapping'!AF7-960)+120,9999))))))))</f>
        <v>9999</v>
      </c>
      <c r="AG7">
        <f>IF(AND('(橫掃)RX Mapping'!AG7&gt;=1,'(橫掃)RX Mapping'!AG7&lt;=120), ('(橫掃)RX Mapping'!AG7-1),IF(AND('(橫掃)RX Mapping'!AG7&gt;=121,'(橫掃)RX Mapping'!AG7&lt;=240), (-1)*('(橫掃)RX Mapping'!AG7-240),IF(AND('(橫掃)RX Mapping'!AG7&gt;=241,'(橫掃)RX Mapping'!AG7&lt;=360), ('(橫掃)RX Mapping'!AG7-241),IF(AND('(橫掃)RX Mapping'!AG7&gt;=361,'(橫掃)RX Mapping'!AG7&lt;=480), (-1)*('(橫掃)RX Mapping'!AG7-480),IF(AND('(橫掃)RX Mapping'!AG7&gt;=481,'(橫掃)RX Mapping'!AG7&lt;=600), ('(橫掃)RX Mapping'!AG7-361),IF(AND('(橫掃)RX Mapping'!AG7&gt;=601,'(橫掃)RX Mapping'!AG7&lt;=720), (-1)*('(橫掃)RX Mapping'!AG7-720)+120,IF(AND('(橫掃)RX Mapping'!AG7&gt;=721,'(橫掃)RX Mapping'!AG7&lt;=840), ('(橫掃)RX Mapping'!AG7-601),IF(AND('(橫掃)RX Mapping'!AG7&gt;=841,'(橫掃)RX Mapping'!AG7&lt;=960), (-1)*('(橫掃)RX Mapping'!AG7-960)+120,9999))))))))</f>
        <v>9999</v>
      </c>
      <c r="AH7">
        <f>IF(AND('(橫掃)RX Mapping'!AH7&gt;=1,'(橫掃)RX Mapping'!AH7&lt;=120), ('(橫掃)RX Mapping'!AH7-1),IF(AND('(橫掃)RX Mapping'!AH7&gt;=121,'(橫掃)RX Mapping'!AH7&lt;=240), (-1)*('(橫掃)RX Mapping'!AH7-240),IF(AND('(橫掃)RX Mapping'!AH7&gt;=241,'(橫掃)RX Mapping'!AH7&lt;=360), ('(橫掃)RX Mapping'!AH7-241),IF(AND('(橫掃)RX Mapping'!AH7&gt;=361,'(橫掃)RX Mapping'!AH7&lt;=480), (-1)*('(橫掃)RX Mapping'!AH7-480),IF(AND('(橫掃)RX Mapping'!AH7&gt;=481,'(橫掃)RX Mapping'!AH7&lt;=600), ('(橫掃)RX Mapping'!AH7-361),IF(AND('(橫掃)RX Mapping'!AH7&gt;=601,'(橫掃)RX Mapping'!AH7&lt;=720), (-1)*('(橫掃)RX Mapping'!AH7-720)+120,IF(AND('(橫掃)RX Mapping'!AH7&gt;=721,'(橫掃)RX Mapping'!AH7&lt;=840), ('(橫掃)RX Mapping'!AH7-601),IF(AND('(橫掃)RX Mapping'!AH7&gt;=841,'(橫掃)RX Mapping'!AH7&lt;=960), (-1)*('(橫掃)RX Mapping'!AH7-960)+120,9999))))))))</f>
        <v>9999</v>
      </c>
      <c r="AI7">
        <f>IF(AND('(橫掃)RX Mapping'!AI7&gt;=1,'(橫掃)RX Mapping'!AI7&lt;=120), ('(橫掃)RX Mapping'!AI7-1),IF(AND('(橫掃)RX Mapping'!AI7&gt;=121,'(橫掃)RX Mapping'!AI7&lt;=240), (-1)*('(橫掃)RX Mapping'!AI7-240),IF(AND('(橫掃)RX Mapping'!AI7&gt;=241,'(橫掃)RX Mapping'!AI7&lt;=360), ('(橫掃)RX Mapping'!AI7-241),IF(AND('(橫掃)RX Mapping'!AI7&gt;=361,'(橫掃)RX Mapping'!AI7&lt;=480), (-1)*('(橫掃)RX Mapping'!AI7-480),IF(AND('(橫掃)RX Mapping'!AI7&gt;=481,'(橫掃)RX Mapping'!AI7&lt;=600), ('(橫掃)RX Mapping'!AI7-361),IF(AND('(橫掃)RX Mapping'!AI7&gt;=601,'(橫掃)RX Mapping'!AI7&lt;=720), (-1)*('(橫掃)RX Mapping'!AI7-720)+120,IF(AND('(橫掃)RX Mapping'!AI7&gt;=721,'(橫掃)RX Mapping'!AI7&lt;=840), ('(橫掃)RX Mapping'!AI7-601),IF(AND('(橫掃)RX Mapping'!AI7&gt;=841,'(橫掃)RX Mapping'!AI7&lt;=960), (-1)*('(橫掃)RX Mapping'!AI7-960)+120,9999))))))))</f>
        <v>9999</v>
      </c>
      <c r="AJ7">
        <f>IF(AND('(橫掃)RX Mapping'!AJ7&gt;=1,'(橫掃)RX Mapping'!AJ7&lt;=120), ('(橫掃)RX Mapping'!AJ7-1),IF(AND('(橫掃)RX Mapping'!AJ7&gt;=121,'(橫掃)RX Mapping'!AJ7&lt;=240), (-1)*('(橫掃)RX Mapping'!AJ7-240),IF(AND('(橫掃)RX Mapping'!AJ7&gt;=241,'(橫掃)RX Mapping'!AJ7&lt;=360), ('(橫掃)RX Mapping'!AJ7-241),IF(AND('(橫掃)RX Mapping'!AJ7&gt;=361,'(橫掃)RX Mapping'!AJ7&lt;=480), (-1)*('(橫掃)RX Mapping'!AJ7-480),IF(AND('(橫掃)RX Mapping'!AJ7&gt;=481,'(橫掃)RX Mapping'!AJ7&lt;=600), ('(橫掃)RX Mapping'!AJ7-361),IF(AND('(橫掃)RX Mapping'!AJ7&gt;=601,'(橫掃)RX Mapping'!AJ7&lt;=720), (-1)*('(橫掃)RX Mapping'!AJ7-720)+120,IF(AND('(橫掃)RX Mapping'!AJ7&gt;=721,'(橫掃)RX Mapping'!AJ7&lt;=840), ('(橫掃)RX Mapping'!AJ7-601),IF(AND('(橫掃)RX Mapping'!AJ7&gt;=841,'(橫掃)RX Mapping'!AJ7&lt;=960), (-1)*('(橫掃)RX Mapping'!AJ7-960)+120,9999))))))))</f>
        <v>9999</v>
      </c>
      <c r="AK7">
        <f>IF(AND('(橫掃)RX Mapping'!AK7&gt;=1,'(橫掃)RX Mapping'!AK7&lt;=120), ('(橫掃)RX Mapping'!AK7-1),IF(AND('(橫掃)RX Mapping'!AK7&gt;=121,'(橫掃)RX Mapping'!AK7&lt;=240), (-1)*('(橫掃)RX Mapping'!AK7-240),IF(AND('(橫掃)RX Mapping'!AK7&gt;=241,'(橫掃)RX Mapping'!AK7&lt;=360), ('(橫掃)RX Mapping'!AK7-241),IF(AND('(橫掃)RX Mapping'!AK7&gt;=361,'(橫掃)RX Mapping'!AK7&lt;=480), (-1)*('(橫掃)RX Mapping'!AK7-480),IF(AND('(橫掃)RX Mapping'!AK7&gt;=481,'(橫掃)RX Mapping'!AK7&lt;=600), ('(橫掃)RX Mapping'!AK7-361),IF(AND('(橫掃)RX Mapping'!AK7&gt;=601,'(橫掃)RX Mapping'!AK7&lt;=720), (-1)*('(橫掃)RX Mapping'!AK7-720)+120,IF(AND('(橫掃)RX Mapping'!AK7&gt;=721,'(橫掃)RX Mapping'!AK7&lt;=840), ('(橫掃)RX Mapping'!AK7-601),IF(AND('(橫掃)RX Mapping'!AK7&gt;=841,'(橫掃)RX Mapping'!AK7&lt;=960), (-1)*('(橫掃)RX Mapping'!AK7-960)+120,9999))))))))</f>
        <v>9999</v>
      </c>
      <c r="AL7">
        <f>IF(AND('(橫掃)RX Mapping'!AL7&gt;=1,'(橫掃)RX Mapping'!AL7&lt;=120), ('(橫掃)RX Mapping'!AL7-1),IF(AND('(橫掃)RX Mapping'!AL7&gt;=121,'(橫掃)RX Mapping'!AL7&lt;=240), (-1)*('(橫掃)RX Mapping'!AL7-240),IF(AND('(橫掃)RX Mapping'!AL7&gt;=241,'(橫掃)RX Mapping'!AL7&lt;=360), ('(橫掃)RX Mapping'!AL7-241),IF(AND('(橫掃)RX Mapping'!AL7&gt;=361,'(橫掃)RX Mapping'!AL7&lt;=480), (-1)*('(橫掃)RX Mapping'!AL7-480),IF(AND('(橫掃)RX Mapping'!AL7&gt;=481,'(橫掃)RX Mapping'!AL7&lt;=600), ('(橫掃)RX Mapping'!AL7-361),IF(AND('(橫掃)RX Mapping'!AL7&gt;=601,'(橫掃)RX Mapping'!AL7&lt;=720), (-1)*('(橫掃)RX Mapping'!AL7-720)+120,IF(AND('(橫掃)RX Mapping'!AL7&gt;=721,'(橫掃)RX Mapping'!AL7&lt;=840), ('(橫掃)RX Mapping'!AL7-601),IF(AND('(橫掃)RX Mapping'!AL7&gt;=841,'(橫掃)RX Mapping'!AL7&lt;=960), (-1)*('(橫掃)RX Mapping'!AL7-960)+120,9999))))))))</f>
        <v>9999</v>
      </c>
      <c r="AM7">
        <f>IF(AND('(橫掃)RX Mapping'!AM7&gt;=1,'(橫掃)RX Mapping'!AM7&lt;=120), ('(橫掃)RX Mapping'!AM7-1),IF(AND('(橫掃)RX Mapping'!AM7&gt;=121,'(橫掃)RX Mapping'!AM7&lt;=240), (-1)*('(橫掃)RX Mapping'!AM7-240),IF(AND('(橫掃)RX Mapping'!AM7&gt;=241,'(橫掃)RX Mapping'!AM7&lt;=360), ('(橫掃)RX Mapping'!AM7-241),IF(AND('(橫掃)RX Mapping'!AM7&gt;=361,'(橫掃)RX Mapping'!AM7&lt;=480), (-1)*('(橫掃)RX Mapping'!AM7-480),IF(AND('(橫掃)RX Mapping'!AM7&gt;=481,'(橫掃)RX Mapping'!AM7&lt;=600), ('(橫掃)RX Mapping'!AM7-361),IF(AND('(橫掃)RX Mapping'!AM7&gt;=601,'(橫掃)RX Mapping'!AM7&lt;=720), (-1)*('(橫掃)RX Mapping'!AM7-720)+120,IF(AND('(橫掃)RX Mapping'!AM7&gt;=721,'(橫掃)RX Mapping'!AM7&lt;=840), ('(橫掃)RX Mapping'!AM7-601),IF(AND('(橫掃)RX Mapping'!AM7&gt;=841,'(橫掃)RX Mapping'!AM7&lt;=960), (-1)*('(橫掃)RX Mapping'!AM7-960)+120,9999))))))))</f>
        <v>9999</v>
      </c>
      <c r="AN7">
        <f>IF(AND('(橫掃)RX Mapping'!AN7&gt;=1,'(橫掃)RX Mapping'!AN7&lt;=120), ('(橫掃)RX Mapping'!AN7-1),IF(AND('(橫掃)RX Mapping'!AN7&gt;=121,'(橫掃)RX Mapping'!AN7&lt;=240), (-1)*('(橫掃)RX Mapping'!AN7-240),IF(AND('(橫掃)RX Mapping'!AN7&gt;=241,'(橫掃)RX Mapping'!AN7&lt;=360), ('(橫掃)RX Mapping'!AN7-241),IF(AND('(橫掃)RX Mapping'!AN7&gt;=361,'(橫掃)RX Mapping'!AN7&lt;=480), (-1)*('(橫掃)RX Mapping'!AN7-480),IF(AND('(橫掃)RX Mapping'!AN7&gt;=481,'(橫掃)RX Mapping'!AN7&lt;=600), ('(橫掃)RX Mapping'!AN7-361),IF(AND('(橫掃)RX Mapping'!AN7&gt;=601,'(橫掃)RX Mapping'!AN7&lt;=720), (-1)*('(橫掃)RX Mapping'!AN7-720)+120,IF(AND('(橫掃)RX Mapping'!AN7&gt;=721,'(橫掃)RX Mapping'!AN7&lt;=840), ('(橫掃)RX Mapping'!AN7-601),IF(AND('(橫掃)RX Mapping'!AN7&gt;=841,'(橫掃)RX Mapping'!AN7&lt;=960), (-1)*('(橫掃)RX Mapping'!AN7-960)+120,9999))))))))</f>
        <v>9999</v>
      </c>
      <c r="AO7">
        <f>IF(AND('(橫掃)RX Mapping'!AO7&gt;=1,'(橫掃)RX Mapping'!AO7&lt;=120), ('(橫掃)RX Mapping'!AO7-1),IF(AND('(橫掃)RX Mapping'!AO7&gt;=121,'(橫掃)RX Mapping'!AO7&lt;=240), (-1)*('(橫掃)RX Mapping'!AO7-240),IF(AND('(橫掃)RX Mapping'!AO7&gt;=241,'(橫掃)RX Mapping'!AO7&lt;=360), ('(橫掃)RX Mapping'!AO7-241),IF(AND('(橫掃)RX Mapping'!AO7&gt;=361,'(橫掃)RX Mapping'!AO7&lt;=480), (-1)*('(橫掃)RX Mapping'!AO7-480),IF(AND('(橫掃)RX Mapping'!AO7&gt;=481,'(橫掃)RX Mapping'!AO7&lt;=600), ('(橫掃)RX Mapping'!AO7-361),IF(AND('(橫掃)RX Mapping'!AO7&gt;=601,'(橫掃)RX Mapping'!AO7&lt;=720), (-1)*('(橫掃)RX Mapping'!AO7-720)+120,IF(AND('(橫掃)RX Mapping'!AO7&gt;=721,'(橫掃)RX Mapping'!AO7&lt;=840), ('(橫掃)RX Mapping'!AO7-601),IF(AND('(橫掃)RX Mapping'!AO7&gt;=841,'(橫掃)RX Mapping'!AO7&lt;=960), (-1)*('(橫掃)RX Mapping'!AO7-960)+120,9999))))))))</f>
        <v>9999</v>
      </c>
      <c r="AP7">
        <f>IF(AND('(橫掃)RX Mapping'!AP7&gt;=1,'(橫掃)RX Mapping'!AP7&lt;=120), ('(橫掃)RX Mapping'!AP7-1),IF(AND('(橫掃)RX Mapping'!AP7&gt;=121,'(橫掃)RX Mapping'!AP7&lt;=240), (-1)*('(橫掃)RX Mapping'!AP7-240),IF(AND('(橫掃)RX Mapping'!AP7&gt;=241,'(橫掃)RX Mapping'!AP7&lt;=360), ('(橫掃)RX Mapping'!AP7-241),IF(AND('(橫掃)RX Mapping'!AP7&gt;=361,'(橫掃)RX Mapping'!AP7&lt;=480), (-1)*('(橫掃)RX Mapping'!AP7-480),IF(AND('(橫掃)RX Mapping'!AP7&gt;=481,'(橫掃)RX Mapping'!AP7&lt;=600), ('(橫掃)RX Mapping'!AP7-361),IF(AND('(橫掃)RX Mapping'!AP7&gt;=601,'(橫掃)RX Mapping'!AP7&lt;=720), (-1)*('(橫掃)RX Mapping'!AP7-720)+120,IF(AND('(橫掃)RX Mapping'!AP7&gt;=721,'(橫掃)RX Mapping'!AP7&lt;=840), ('(橫掃)RX Mapping'!AP7-601),IF(AND('(橫掃)RX Mapping'!AP7&gt;=841,'(橫掃)RX Mapping'!AP7&lt;=960), (-1)*('(橫掃)RX Mapping'!AP7-960)+120,9999))))))))</f>
        <v>9999</v>
      </c>
      <c r="AQ7">
        <f>IF(AND('(橫掃)RX Mapping'!AQ7&gt;=1,'(橫掃)RX Mapping'!AQ7&lt;=120), ('(橫掃)RX Mapping'!AQ7-1),IF(AND('(橫掃)RX Mapping'!AQ7&gt;=121,'(橫掃)RX Mapping'!AQ7&lt;=240), (-1)*('(橫掃)RX Mapping'!AQ7-240),IF(AND('(橫掃)RX Mapping'!AQ7&gt;=241,'(橫掃)RX Mapping'!AQ7&lt;=360), ('(橫掃)RX Mapping'!AQ7-241),IF(AND('(橫掃)RX Mapping'!AQ7&gt;=361,'(橫掃)RX Mapping'!AQ7&lt;=480), (-1)*('(橫掃)RX Mapping'!AQ7-480),IF(AND('(橫掃)RX Mapping'!AQ7&gt;=481,'(橫掃)RX Mapping'!AQ7&lt;=600), ('(橫掃)RX Mapping'!AQ7-361),IF(AND('(橫掃)RX Mapping'!AQ7&gt;=601,'(橫掃)RX Mapping'!AQ7&lt;=720), (-1)*('(橫掃)RX Mapping'!AQ7-720)+120,IF(AND('(橫掃)RX Mapping'!AQ7&gt;=721,'(橫掃)RX Mapping'!AQ7&lt;=840), ('(橫掃)RX Mapping'!AQ7-601),IF(AND('(橫掃)RX Mapping'!AQ7&gt;=841,'(橫掃)RX Mapping'!AQ7&lt;=960), (-1)*('(橫掃)RX Mapping'!AQ7-960)+120,9999))))))))</f>
        <v>9999</v>
      </c>
      <c r="AR7">
        <f>IF(AND('(橫掃)RX Mapping'!AR7&gt;=1,'(橫掃)RX Mapping'!AR7&lt;=120), ('(橫掃)RX Mapping'!AR7-1),IF(AND('(橫掃)RX Mapping'!AR7&gt;=121,'(橫掃)RX Mapping'!AR7&lt;=240), (-1)*('(橫掃)RX Mapping'!AR7-240),IF(AND('(橫掃)RX Mapping'!AR7&gt;=241,'(橫掃)RX Mapping'!AR7&lt;=360), ('(橫掃)RX Mapping'!AR7-241),IF(AND('(橫掃)RX Mapping'!AR7&gt;=361,'(橫掃)RX Mapping'!AR7&lt;=480), (-1)*('(橫掃)RX Mapping'!AR7-480),IF(AND('(橫掃)RX Mapping'!AR7&gt;=481,'(橫掃)RX Mapping'!AR7&lt;=600), ('(橫掃)RX Mapping'!AR7-361),IF(AND('(橫掃)RX Mapping'!AR7&gt;=601,'(橫掃)RX Mapping'!AR7&lt;=720), (-1)*('(橫掃)RX Mapping'!AR7-720)+120,IF(AND('(橫掃)RX Mapping'!AR7&gt;=721,'(橫掃)RX Mapping'!AR7&lt;=840), ('(橫掃)RX Mapping'!AR7-601),IF(AND('(橫掃)RX Mapping'!AR7&gt;=841,'(橫掃)RX Mapping'!AR7&lt;=960), (-1)*('(橫掃)RX Mapping'!AR7-960)+120,9999))))))))</f>
        <v>9999</v>
      </c>
      <c r="AS7">
        <f>IF(AND('(橫掃)RX Mapping'!AS7&gt;=1,'(橫掃)RX Mapping'!AS7&lt;=120), ('(橫掃)RX Mapping'!AS7-1),IF(AND('(橫掃)RX Mapping'!AS7&gt;=121,'(橫掃)RX Mapping'!AS7&lt;=240), (-1)*('(橫掃)RX Mapping'!AS7-240),IF(AND('(橫掃)RX Mapping'!AS7&gt;=241,'(橫掃)RX Mapping'!AS7&lt;=360), ('(橫掃)RX Mapping'!AS7-241),IF(AND('(橫掃)RX Mapping'!AS7&gt;=361,'(橫掃)RX Mapping'!AS7&lt;=480), (-1)*('(橫掃)RX Mapping'!AS7-480),IF(AND('(橫掃)RX Mapping'!AS7&gt;=481,'(橫掃)RX Mapping'!AS7&lt;=600), ('(橫掃)RX Mapping'!AS7-361),IF(AND('(橫掃)RX Mapping'!AS7&gt;=601,'(橫掃)RX Mapping'!AS7&lt;=720), (-1)*('(橫掃)RX Mapping'!AS7-720)+120,IF(AND('(橫掃)RX Mapping'!AS7&gt;=721,'(橫掃)RX Mapping'!AS7&lt;=840), ('(橫掃)RX Mapping'!AS7-601),IF(AND('(橫掃)RX Mapping'!AS7&gt;=841,'(橫掃)RX Mapping'!AS7&lt;=960), (-1)*('(橫掃)RX Mapping'!AS7-960)+120,9999))))))))</f>
        <v>9999</v>
      </c>
      <c r="AT7">
        <f>IF(AND('(橫掃)RX Mapping'!AT7&gt;=1,'(橫掃)RX Mapping'!AT7&lt;=120), ('(橫掃)RX Mapping'!AT7-1),IF(AND('(橫掃)RX Mapping'!AT7&gt;=121,'(橫掃)RX Mapping'!AT7&lt;=240), (-1)*('(橫掃)RX Mapping'!AT7-240),IF(AND('(橫掃)RX Mapping'!AT7&gt;=241,'(橫掃)RX Mapping'!AT7&lt;=360), ('(橫掃)RX Mapping'!AT7-241),IF(AND('(橫掃)RX Mapping'!AT7&gt;=361,'(橫掃)RX Mapping'!AT7&lt;=480), (-1)*('(橫掃)RX Mapping'!AT7-480),IF(AND('(橫掃)RX Mapping'!AT7&gt;=481,'(橫掃)RX Mapping'!AT7&lt;=600), ('(橫掃)RX Mapping'!AT7-361),IF(AND('(橫掃)RX Mapping'!AT7&gt;=601,'(橫掃)RX Mapping'!AT7&lt;=720), (-1)*('(橫掃)RX Mapping'!AT7-720)+120,IF(AND('(橫掃)RX Mapping'!AT7&gt;=721,'(橫掃)RX Mapping'!AT7&lt;=840), ('(橫掃)RX Mapping'!AT7-601),IF(AND('(橫掃)RX Mapping'!AT7&gt;=841,'(橫掃)RX Mapping'!AT7&lt;=960), (-1)*('(橫掃)RX Mapping'!AT7-960)+120,9999))))))))</f>
        <v>9999</v>
      </c>
      <c r="AU7">
        <f>IF(AND('(橫掃)RX Mapping'!AU7&gt;=1,'(橫掃)RX Mapping'!AU7&lt;=120), ('(橫掃)RX Mapping'!AU7-1),IF(AND('(橫掃)RX Mapping'!AU7&gt;=121,'(橫掃)RX Mapping'!AU7&lt;=240), (-1)*('(橫掃)RX Mapping'!AU7-240),IF(AND('(橫掃)RX Mapping'!AU7&gt;=241,'(橫掃)RX Mapping'!AU7&lt;=360), ('(橫掃)RX Mapping'!AU7-241),IF(AND('(橫掃)RX Mapping'!AU7&gt;=361,'(橫掃)RX Mapping'!AU7&lt;=480), (-1)*('(橫掃)RX Mapping'!AU7-480),IF(AND('(橫掃)RX Mapping'!AU7&gt;=481,'(橫掃)RX Mapping'!AU7&lt;=600), ('(橫掃)RX Mapping'!AU7-361),IF(AND('(橫掃)RX Mapping'!AU7&gt;=601,'(橫掃)RX Mapping'!AU7&lt;=720), (-1)*('(橫掃)RX Mapping'!AU7-720)+120,IF(AND('(橫掃)RX Mapping'!AU7&gt;=721,'(橫掃)RX Mapping'!AU7&lt;=840), ('(橫掃)RX Mapping'!AU7-601),IF(AND('(橫掃)RX Mapping'!AU7&gt;=841,'(橫掃)RX Mapping'!AU7&lt;=960), (-1)*('(橫掃)RX Mapping'!AU7-960)+120,9999))))))))</f>
        <v>9999</v>
      </c>
      <c r="AV7">
        <f>IF(AND('(橫掃)RX Mapping'!AV7&gt;=1,'(橫掃)RX Mapping'!AV7&lt;=120), ('(橫掃)RX Mapping'!AV7-1),IF(AND('(橫掃)RX Mapping'!AV7&gt;=121,'(橫掃)RX Mapping'!AV7&lt;=240), (-1)*('(橫掃)RX Mapping'!AV7-240),IF(AND('(橫掃)RX Mapping'!AV7&gt;=241,'(橫掃)RX Mapping'!AV7&lt;=360), ('(橫掃)RX Mapping'!AV7-241),IF(AND('(橫掃)RX Mapping'!AV7&gt;=361,'(橫掃)RX Mapping'!AV7&lt;=480), (-1)*('(橫掃)RX Mapping'!AV7-480),IF(AND('(橫掃)RX Mapping'!AV7&gt;=481,'(橫掃)RX Mapping'!AV7&lt;=600), ('(橫掃)RX Mapping'!AV7-361),IF(AND('(橫掃)RX Mapping'!AV7&gt;=601,'(橫掃)RX Mapping'!AV7&lt;=720), (-1)*('(橫掃)RX Mapping'!AV7-720)+120,IF(AND('(橫掃)RX Mapping'!AV7&gt;=721,'(橫掃)RX Mapping'!AV7&lt;=840), ('(橫掃)RX Mapping'!AV7-601),IF(AND('(橫掃)RX Mapping'!AV7&gt;=841,'(橫掃)RX Mapping'!AV7&lt;=960), (-1)*('(橫掃)RX Mapping'!AV7-960)+120,9999))))))))</f>
        <v>9999</v>
      </c>
      <c r="AW7">
        <f>IF(AND('(橫掃)RX Mapping'!AW7&gt;=1,'(橫掃)RX Mapping'!AW7&lt;=120), ('(橫掃)RX Mapping'!AW7-1),IF(AND('(橫掃)RX Mapping'!AW7&gt;=121,'(橫掃)RX Mapping'!AW7&lt;=240), (-1)*('(橫掃)RX Mapping'!AW7-240),IF(AND('(橫掃)RX Mapping'!AW7&gt;=241,'(橫掃)RX Mapping'!AW7&lt;=360), ('(橫掃)RX Mapping'!AW7-241),IF(AND('(橫掃)RX Mapping'!AW7&gt;=361,'(橫掃)RX Mapping'!AW7&lt;=480), (-1)*('(橫掃)RX Mapping'!AW7-480),IF(AND('(橫掃)RX Mapping'!AW7&gt;=481,'(橫掃)RX Mapping'!AW7&lt;=600), ('(橫掃)RX Mapping'!AW7-361),IF(AND('(橫掃)RX Mapping'!AW7&gt;=601,'(橫掃)RX Mapping'!AW7&lt;=720), (-1)*('(橫掃)RX Mapping'!AW7-720)+120,IF(AND('(橫掃)RX Mapping'!AW7&gt;=721,'(橫掃)RX Mapping'!AW7&lt;=840), ('(橫掃)RX Mapping'!AW7-601),IF(AND('(橫掃)RX Mapping'!AW7&gt;=841,'(橫掃)RX Mapping'!AW7&lt;=960), (-1)*('(橫掃)RX Mapping'!AW7-960)+120,9999))))))))</f>
        <v>9999</v>
      </c>
      <c r="AX7">
        <f>IF(AND('(橫掃)RX Mapping'!AX7&gt;=1,'(橫掃)RX Mapping'!AX7&lt;=120), ('(橫掃)RX Mapping'!AX7-1),IF(AND('(橫掃)RX Mapping'!AX7&gt;=121,'(橫掃)RX Mapping'!AX7&lt;=240), (-1)*('(橫掃)RX Mapping'!AX7-240),IF(AND('(橫掃)RX Mapping'!AX7&gt;=241,'(橫掃)RX Mapping'!AX7&lt;=360), ('(橫掃)RX Mapping'!AX7-241),IF(AND('(橫掃)RX Mapping'!AX7&gt;=361,'(橫掃)RX Mapping'!AX7&lt;=480), (-1)*('(橫掃)RX Mapping'!AX7-480),IF(AND('(橫掃)RX Mapping'!AX7&gt;=481,'(橫掃)RX Mapping'!AX7&lt;=600), ('(橫掃)RX Mapping'!AX7-361),IF(AND('(橫掃)RX Mapping'!AX7&gt;=601,'(橫掃)RX Mapping'!AX7&lt;=720), (-1)*('(橫掃)RX Mapping'!AX7-720)+120,IF(AND('(橫掃)RX Mapping'!AX7&gt;=721,'(橫掃)RX Mapping'!AX7&lt;=840), ('(橫掃)RX Mapping'!AX7-601),IF(AND('(橫掃)RX Mapping'!AX7&gt;=841,'(橫掃)RX Mapping'!AX7&lt;=960), (-1)*('(橫掃)RX Mapping'!AX7-960)+120,9999))))))))</f>
        <v>9999</v>
      </c>
      <c r="AY7">
        <f>IF(AND('(橫掃)RX Mapping'!AY7&gt;=1,'(橫掃)RX Mapping'!AY7&lt;=120), ('(橫掃)RX Mapping'!AY7-1),IF(AND('(橫掃)RX Mapping'!AY7&gt;=121,'(橫掃)RX Mapping'!AY7&lt;=240), (-1)*('(橫掃)RX Mapping'!AY7-240),IF(AND('(橫掃)RX Mapping'!AY7&gt;=241,'(橫掃)RX Mapping'!AY7&lt;=360), ('(橫掃)RX Mapping'!AY7-241),IF(AND('(橫掃)RX Mapping'!AY7&gt;=361,'(橫掃)RX Mapping'!AY7&lt;=480), (-1)*('(橫掃)RX Mapping'!AY7-480),IF(AND('(橫掃)RX Mapping'!AY7&gt;=481,'(橫掃)RX Mapping'!AY7&lt;=600), ('(橫掃)RX Mapping'!AY7-361),IF(AND('(橫掃)RX Mapping'!AY7&gt;=601,'(橫掃)RX Mapping'!AY7&lt;=720), (-1)*('(橫掃)RX Mapping'!AY7-720)+120,IF(AND('(橫掃)RX Mapping'!AY7&gt;=721,'(橫掃)RX Mapping'!AY7&lt;=840), ('(橫掃)RX Mapping'!AY7-601),IF(AND('(橫掃)RX Mapping'!AY7&gt;=841,'(橫掃)RX Mapping'!AY7&lt;=960), (-1)*('(橫掃)RX Mapping'!AY7-960)+120,9999))))))))</f>
        <v>9999</v>
      </c>
      <c r="AZ7">
        <f>IF(AND('(橫掃)RX Mapping'!AZ7&gt;=1,'(橫掃)RX Mapping'!AZ7&lt;=120), ('(橫掃)RX Mapping'!AZ7-1),IF(AND('(橫掃)RX Mapping'!AZ7&gt;=121,'(橫掃)RX Mapping'!AZ7&lt;=240), (-1)*('(橫掃)RX Mapping'!AZ7-240),IF(AND('(橫掃)RX Mapping'!AZ7&gt;=241,'(橫掃)RX Mapping'!AZ7&lt;=360), ('(橫掃)RX Mapping'!AZ7-241),IF(AND('(橫掃)RX Mapping'!AZ7&gt;=361,'(橫掃)RX Mapping'!AZ7&lt;=480), (-1)*('(橫掃)RX Mapping'!AZ7-480),IF(AND('(橫掃)RX Mapping'!AZ7&gt;=481,'(橫掃)RX Mapping'!AZ7&lt;=600), ('(橫掃)RX Mapping'!AZ7-361),IF(AND('(橫掃)RX Mapping'!AZ7&gt;=601,'(橫掃)RX Mapping'!AZ7&lt;=720), (-1)*('(橫掃)RX Mapping'!AZ7-720)+120,IF(AND('(橫掃)RX Mapping'!AZ7&gt;=721,'(橫掃)RX Mapping'!AZ7&lt;=840), ('(橫掃)RX Mapping'!AZ7-601),IF(AND('(橫掃)RX Mapping'!AZ7&gt;=841,'(橫掃)RX Mapping'!AZ7&lt;=960), (-1)*('(橫掃)RX Mapping'!AZ7-960)+120,9999))))))))</f>
        <v>9999</v>
      </c>
      <c r="BA7">
        <f>IF(AND('(橫掃)RX Mapping'!BA7&gt;=1,'(橫掃)RX Mapping'!BA7&lt;=120), ('(橫掃)RX Mapping'!BA7-1),IF(AND('(橫掃)RX Mapping'!BA7&gt;=121,'(橫掃)RX Mapping'!BA7&lt;=240), (-1)*('(橫掃)RX Mapping'!BA7-240),IF(AND('(橫掃)RX Mapping'!BA7&gt;=241,'(橫掃)RX Mapping'!BA7&lt;=360), ('(橫掃)RX Mapping'!BA7-241),IF(AND('(橫掃)RX Mapping'!BA7&gt;=361,'(橫掃)RX Mapping'!BA7&lt;=480), (-1)*('(橫掃)RX Mapping'!BA7-480),IF(AND('(橫掃)RX Mapping'!BA7&gt;=481,'(橫掃)RX Mapping'!BA7&lt;=600), ('(橫掃)RX Mapping'!BA7-361),IF(AND('(橫掃)RX Mapping'!BA7&gt;=601,'(橫掃)RX Mapping'!BA7&lt;=720), (-1)*('(橫掃)RX Mapping'!BA7-720)+120,IF(AND('(橫掃)RX Mapping'!BA7&gt;=721,'(橫掃)RX Mapping'!BA7&lt;=840), ('(橫掃)RX Mapping'!BA7-601),IF(AND('(橫掃)RX Mapping'!BA7&gt;=841,'(橫掃)RX Mapping'!BA7&lt;=960), (-1)*('(橫掃)RX Mapping'!BA7-960)+120,9999))))))))</f>
        <v>9999</v>
      </c>
      <c r="BB7">
        <f>IF(AND('(橫掃)RX Mapping'!BB7&gt;=1,'(橫掃)RX Mapping'!BB7&lt;=120), ('(橫掃)RX Mapping'!BB7-1),IF(AND('(橫掃)RX Mapping'!BB7&gt;=121,'(橫掃)RX Mapping'!BB7&lt;=240), (-1)*('(橫掃)RX Mapping'!BB7-240),IF(AND('(橫掃)RX Mapping'!BB7&gt;=241,'(橫掃)RX Mapping'!BB7&lt;=360), ('(橫掃)RX Mapping'!BB7-241),IF(AND('(橫掃)RX Mapping'!BB7&gt;=361,'(橫掃)RX Mapping'!BB7&lt;=480), (-1)*('(橫掃)RX Mapping'!BB7-480),IF(AND('(橫掃)RX Mapping'!BB7&gt;=481,'(橫掃)RX Mapping'!BB7&lt;=600), ('(橫掃)RX Mapping'!BB7-361),IF(AND('(橫掃)RX Mapping'!BB7&gt;=601,'(橫掃)RX Mapping'!BB7&lt;=720), (-1)*('(橫掃)RX Mapping'!BB7-720)+120,IF(AND('(橫掃)RX Mapping'!BB7&gt;=721,'(橫掃)RX Mapping'!BB7&lt;=840), ('(橫掃)RX Mapping'!BB7-601),IF(AND('(橫掃)RX Mapping'!BB7&gt;=841,'(橫掃)RX Mapping'!BB7&lt;=960), (-1)*('(橫掃)RX Mapping'!BB7-960)+120,9999))))))))</f>
        <v>9999</v>
      </c>
      <c r="BC7">
        <f>IF(AND('(橫掃)RX Mapping'!BC7&gt;=1,'(橫掃)RX Mapping'!BC7&lt;=120), ('(橫掃)RX Mapping'!BC7-1),IF(AND('(橫掃)RX Mapping'!BC7&gt;=121,'(橫掃)RX Mapping'!BC7&lt;=240), (-1)*('(橫掃)RX Mapping'!BC7-240),IF(AND('(橫掃)RX Mapping'!BC7&gt;=241,'(橫掃)RX Mapping'!BC7&lt;=360), ('(橫掃)RX Mapping'!BC7-241),IF(AND('(橫掃)RX Mapping'!BC7&gt;=361,'(橫掃)RX Mapping'!BC7&lt;=480), (-1)*('(橫掃)RX Mapping'!BC7-480),IF(AND('(橫掃)RX Mapping'!BC7&gt;=481,'(橫掃)RX Mapping'!BC7&lt;=600), ('(橫掃)RX Mapping'!BC7-361),IF(AND('(橫掃)RX Mapping'!BC7&gt;=601,'(橫掃)RX Mapping'!BC7&lt;=720), (-1)*('(橫掃)RX Mapping'!BC7-720)+120,IF(AND('(橫掃)RX Mapping'!BC7&gt;=721,'(橫掃)RX Mapping'!BC7&lt;=840), ('(橫掃)RX Mapping'!BC7-601),IF(AND('(橫掃)RX Mapping'!BC7&gt;=841,'(橫掃)RX Mapping'!BC7&lt;=960), (-1)*('(橫掃)RX Mapping'!BC7-960)+120,9999))))))))</f>
        <v>9999</v>
      </c>
      <c r="BD7">
        <f>IF(AND('(橫掃)RX Mapping'!BD7&gt;=1,'(橫掃)RX Mapping'!BD7&lt;=120), ('(橫掃)RX Mapping'!BD7-1),IF(AND('(橫掃)RX Mapping'!BD7&gt;=121,'(橫掃)RX Mapping'!BD7&lt;=240), (-1)*('(橫掃)RX Mapping'!BD7-240),IF(AND('(橫掃)RX Mapping'!BD7&gt;=241,'(橫掃)RX Mapping'!BD7&lt;=360), ('(橫掃)RX Mapping'!BD7-241),IF(AND('(橫掃)RX Mapping'!BD7&gt;=361,'(橫掃)RX Mapping'!BD7&lt;=480), (-1)*('(橫掃)RX Mapping'!BD7-480),IF(AND('(橫掃)RX Mapping'!BD7&gt;=481,'(橫掃)RX Mapping'!BD7&lt;=600), ('(橫掃)RX Mapping'!BD7-361),IF(AND('(橫掃)RX Mapping'!BD7&gt;=601,'(橫掃)RX Mapping'!BD7&lt;=720), (-1)*('(橫掃)RX Mapping'!BD7-720)+120,IF(AND('(橫掃)RX Mapping'!BD7&gt;=721,'(橫掃)RX Mapping'!BD7&lt;=840), ('(橫掃)RX Mapping'!BD7-601),IF(AND('(橫掃)RX Mapping'!BD7&gt;=841,'(橫掃)RX Mapping'!BD7&lt;=960), (-1)*('(橫掃)RX Mapping'!BD7-960)+120,9999))))))))</f>
        <v>9999</v>
      </c>
      <c r="BE7">
        <f>IF(AND('(橫掃)RX Mapping'!BE7&gt;=1,'(橫掃)RX Mapping'!BE7&lt;=120), ('(橫掃)RX Mapping'!BE7-1),IF(AND('(橫掃)RX Mapping'!BE7&gt;=121,'(橫掃)RX Mapping'!BE7&lt;=240), (-1)*('(橫掃)RX Mapping'!BE7-240),IF(AND('(橫掃)RX Mapping'!BE7&gt;=241,'(橫掃)RX Mapping'!BE7&lt;=360), ('(橫掃)RX Mapping'!BE7-241),IF(AND('(橫掃)RX Mapping'!BE7&gt;=361,'(橫掃)RX Mapping'!BE7&lt;=480), (-1)*('(橫掃)RX Mapping'!BE7-480),IF(AND('(橫掃)RX Mapping'!BE7&gt;=481,'(橫掃)RX Mapping'!BE7&lt;=600), ('(橫掃)RX Mapping'!BE7-361),IF(AND('(橫掃)RX Mapping'!BE7&gt;=601,'(橫掃)RX Mapping'!BE7&lt;=720), (-1)*('(橫掃)RX Mapping'!BE7-720)+120,IF(AND('(橫掃)RX Mapping'!BE7&gt;=721,'(橫掃)RX Mapping'!BE7&lt;=840), ('(橫掃)RX Mapping'!BE7-601),IF(AND('(橫掃)RX Mapping'!BE7&gt;=841,'(橫掃)RX Mapping'!BE7&lt;=960), (-1)*('(橫掃)RX Mapping'!BE7-960)+120,9999))))))))</f>
        <v>9999</v>
      </c>
      <c r="BF7">
        <f>IF(AND('(橫掃)RX Mapping'!BF7&gt;=1,'(橫掃)RX Mapping'!BF7&lt;=120), ('(橫掃)RX Mapping'!BF7-1),IF(AND('(橫掃)RX Mapping'!BF7&gt;=121,'(橫掃)RX Mapping'!BF7&lt;=240), (-1)*('(橫掃)RX Mapping'!BF7-240),IF(AND('(橫掃)RX Mapping'!BF7&gt;=241,'(橫掃)RX Mapping'!BF7&lt;=360), ('(橫掃)RX Mapping'!BF7-241),IF(AND('(橫掃)RX Mapping'!BF7&gt;=361,'(橫掃)RX Mapping'!BF7&lt;=480), (-1)*('(橫掃)RX Mapping'!BF7-480),IF(AND('(橫掃)RX Mapping'!BF7&gt;=481,'(橫掃)RX Mapping'!BF7&lt;=600), ('(橫掃)RX Mapping'!BF7-361),IF(AND('(橫掃)RX Mapping'!BF7&gt;=601,'(橫掃)RX Mapping'!BF7&lt;=720), (-1)*('(橫掃)RX Mapping'!BF7-720)+120,IF(AND('(橫掃)RX Mapping'!BF7&gt;=721,'(橫掃)RX Mapping'!BF7&lt;=840), ('(橫掃)RX Mapping'!BF7-601),IF(AND('(橫掃)RX Mapping'!BF7&gt;=841,'(橫掃)RX Mapping'!BF7&lt;=960), (-1)*('(橫掃)RX Mapping'!BF7-960)+120,9999))))))))</f>
        <v>9999</v>
      </c>
      <c r="BG7">
        <f>IF(AND('(橫掃)RX Mapping'!BG7&gt;=1,'(橫掃)RX Mapping'!BG7&lt;=120), ('(橫掃)RX Mapping'!BG7-1),IF(AND('(橫掃)RX Mapping'!BG7&gt;=121,'(橫掃)RX Mapping'!BG7&lt;=240), (-1)*('(橫掃)RX Mapping'!BG7-240),IF(AND('(橫掃)RX Mapping'!BG7&gt;=241,'(橫掃)RX Mapping'!BG7&lt;=360), ('(橫掃)RX Mapping'!BG7-241),IF(AND('(橫掃)RX Mapping'!BG7&gt;=361,'(橫掃)RX Mapping'!BG7&lt;=480), (-1)*('(橫掃)RX Mapping'!BG7-480),IF(AND('(橫掃)RX Mapping'!BG7&gt;=481,'(橫掃)RX Mapping'!BG7&lt;=600), ('(橫掃)RX Mapping'!BG7-361),IF(AND('(橫掃)RX Mapping'!BG7&gt;=601,'(橫掃)RX Mapping'!BG7&lt;=720), (-1)*('(橫掃)RX Mapping'!BG7-720)+120,IF(AND('(橫掃)RX Mapping'!BG7&gt;=721,'(橫掃)RX Mapping'!BG7&lt;=840), ('(橫掃)RX Mapping'!BG7-601),IF(AND('(橫掃)RX Mapping'!BG7&gt;=841,'(橫掃)RX Mapping'!BG7&lt;=960), (-1)*('(橫掃)RX Mapping'!BG7-960)+120,9999))))))))</f>
        <v>9999</v>
      </c>
      <c r="BH7">
        <f>IF(AND('(橫掃)RX Mapping'!BH7&gt;=1,'(橫掃)RX Mapping'!BH7&lt;=120), ('(橫掃)RX Mapping'!BH7-1),IF(AND('(橫掃)RX Mapping'!BH7&gt;=121,'(橫掃)RX Mapping'!BH7&lt;=240), (-1)*('(橫掃)RX Mapping'!BH7-240),IF(AND('(橫掃)RX Mapping'!BH7&gt;=241,'(橫掃)RX Mapping'!BH7&lt;=360), ('(橫掃)RX Mapping'!BH7-241),IF(AND('(橫掃)RX Mapping'!BH7&gt;=361,'(橫掃)RX Mapping'!BH7&lt;=480), (-1)*('(橫掃)RX Mapping'!BH7-480),IF(AND('(橫掃)RX Mapping'!BH7&gt;=481,'(橫掃)RX Mapping'!BH7&lt;=600), ('(橫掃)RX Mapping'!BH7-361),IF(AND('(橫掃)RX Mapping'!BH7&gt;=601,'(橫掃)RX Mapping'!BH7&lt;=720), (-1)*('(橫掃)RX Mapping'!BH7-720)+120,IF(AND('(橫掃)RX Mapping'!BH7&gt;=721,'(橫掃)RX Mapping'!BH7&lt;=840), ('(橫掃)RX Mapping'!BH7-601),IF(AND('(橫掃)RX Mapping'!BH7&gt;=841,'(橫掃)RX Mapping'!BH7&lt;=960), (-1)*('(橫掃)RX Mapping'!BH7-960)+120,9999))))))))</f>
        <v>9999</v>
      </c>
      <c r="BI7">
        <f>IF(AND('(橫掃)RX Mapping'!BI7&gt;=1,'(橫掃)RX Mapping'!BI7&lt;=120), ('(橫掃)RX Mapping'!BI7-1),IF(AND('(橫掃)RX Mapping'!BI7&gt;=121,'(橫掃)RX Mapping'!BI7&lt;=240), (-1)*('(橫掃)RX Mapping'!BI7-240),IF(AND('(橫掃)RX Mapping'!BI7&gt;=241,'(橫掃)RX Mapping'!BI7&lt;=360), ('(橫掃)RX Mapping'!BI7-241),IF(AND('(橫掃)RX Mapping'!BI7&gt;=361,'(橫掃)RX Mapping'!BI7&lt;=480), (-1)*('(橫掃)RX Mapping'!BI7-480),IF(AND('(橫掃)RX Mapping'!BI7&gt;=481,'(橫掃)RX Mapping'!BI7&lt;=600), ('(橫掃)RX Mapping'!BI7-361),IF(AND('(橫掃)RX Mapping'!BI7&gt;=601,'(橫掃)RX Mapping'!BI7&lt;=720), (-1)*('(橫掃)RX Mapping'!BI7-720)+120,IF(AND('(橫掃)RX Mapping'!BI7&gt;=721,'(橫掃)RX Mapping'!BI7&lt;=840), ('(橫掃)RX Mapping'!BI7-601),IF(AND('(橫掃)RX Mapping'!BI7&gt;=841,'(橫掃)RX Mapping'!BI7&lt;=960), (-1)*('(橫掃)RX Mapping'!BI7-960)+120,9999))))))))</f>
        <v>9999</v>
      </c>
    </row>
    <row r="8" spans="1:61" x14ac:dyDescent="0.25">
      <c r="A8" s="20">
        <v>7</v>
      </c>
      <c r="B8">
        <f>IF(AND('(橫掃)RX Mapping'!B8&gt;=1,'(橫掃)RX Mapping'!B8&lt;=120), ('(橫掃)RX Mapping'!B8-1),IF(AND('(橫掃)RX Mapping'!B8&gt;=121,'(橫掃)RX Mapping'!B8&lt;=240), (-1)*('(橫掃)RX Mapping'!B8-240),IF(AND('(橫掃)RX Mapping'!B8&gt;=241,'(橫掃)RX Mapping'!B8&lt;=360), ('(橫掃)RX Mapping'!B8-241),IF(AND('(橫掃)RX Mapping'!B8&gt;=361,'(橫掃)RX Mapping'!B8&lt;=480), (-1)*('(橫掃)RX Mapping'!B8-480),IF(AND('(橫掃)RX Mapping'!B8&gt;=481,'(橫掃)RX Mapping'!B8&lt;=600), ('(橫掃)RX Mapping'!B8-361),IF(AND('(橫掃)RX Mapping'!B8&gt;=601,'(橫掃)RX Mapping'!B8&lt;=720), (-1)*('(橫掃)RX Mapping'!B8-720)+120,IF(AND('(橫掃)RX Mapping'!B8&gt;=721,'(橫掃)RX Mapping'!B8&lt;=840), ('(橫掃)RX Mapping'!B8-601),IF(AND('(橫掃)RX Mapping'!B8&gt;=841,'(橫掃)RX Mapping'!B8&lt;=960), (-1)*('(橫掃)RX Mapping'!B8-960)+120,9999))))))))</f>
        <v>6</v>
      </c>
      <c r="C8">
        <f>IF(AND('(橫掃)RX Mapping'!C8&gt;=1,'(橫掃)RX Mapping'!C8&lt;=120), ('(橫掃)RX Mapping'!C8-1),IF(AND('(橫掃)RX Mapping'!C8&gt;=121,'(橫掃)RX Mapping'!C8&lt;=240), (-1)*('(橫掃)RX Mapping'!C8-240),IF(AND('(橫掃)RX Mapping'!C8&gt;=241,'(橫掃)RX Mapping'!C8&lt;=360), ('(橫掃)RX Mapping'!C8-241),IF(AND('(橫掃)RX Mapping'!C8&gt;=361,'(橫掃)RX Mapping'!C8&lt;=480), (-1)*('(橫掃)RX Mapping'!C8-480),IF(AND('(橫掃)RX Mapping'!C8&gt;=481,'(橫掃)RX Mapping'!C8&lt;=600), ('(橫掃)RX Mapping'!C8-361),IF(AND('(橫掃)RX Mapping'!C8&gt;=601,'(橫掃)RX Mapping'!C8&lt;=720), (-1)*('(橫掃)RX Mapping'!C8-720)+120,IF(AND('(橫掃)RX Mapping'!C8&gt;=721,'(橫掃)RX Mapping'!C8&lt;=840), ('(橫掃)RX Mapping'!C8-601),IF(AND('(橫掃)RX Mapping'!C8&gt;=841,'(橫掃)RX Mapping'!C8&lt;=960), (-1)*('(橫掃)RX Mapping'!C8-960)+120,9999))))))))</f>
        <v>38</v>
      </c>
      <c r="D8">
        <f>IF(AND('(橫掃)RX Mapping'!D8&gt;=1,'(橫掃)RX Mapping'!D8&lt;=120), ('(橫掃)RX Mapping'!D8-1),IF(AND('(橫掃)RX Mapping'!D8&gt;=121,'(橫掃)RX Mapping'!D8&lt;=240), (-1)*('(橫掃)RX Mapping'!D8-240),IF(AND('(橫掃)RX Mapping'!D8&gt;=241,'(橫掃)RX Mapping'!D8&lt;=360), ('(橫掃)RX Mapping'!D8-241),IF(AND('(橫掃)RX Mapping'!D8&gt;=361,'(橫掃)RX Mapping'!D8&lt;=480), (-1)*('(橫掃)RX Mapping'!D8-480),IF(AND('(橫掃)RX Mapping'!D8&gt;=481,'(橫掃)RX Mapping'!D8&lt;=600), ('(橫掃)RX Mapping'!D8-361),IF(AND('(橫掃)RX Mapping'!D8&gt;=601,'(橫掃)RX Mapping'!D8&lt;=720), (-1)*('(橫掃)RX Mapping'!D8-720)+120,IF(AND('(橫掃)RX Mapping'!D8&gt;=721,'(橫掃)RX Mapping'!D8&lt;=840), ('(橫掃)RX Mapping'!D8-601),IF(AND('(橫掃)RX Mapping'!D8&gt;=841,'(橫掃)RX Mapping'!D8&lt;=960), (-1)*('(橫掃)RX Mapping'!D8-960)+120,9999))))))))</f>
        <v>70</v>
      </c>
      <c r="E8">
        <f>IF(AND('(橫掃)RX Mapping'!E8&gt;=1,'(橫掃)RX Mapping'!E8&lt;=120), ('(橫掃)RX Mapping'!E8-1),IF(AND('(橫掃)RX Mapping'!E8&gt;=121,'(橫掃)RX Mapping'!E8&lt;=240), (-1)*('(橫掃)RX Mapping'!E8-240),IF(AND('(橫掃)RX Mapping'!E8&gt;=241,'(橫掃)RX Mapping'!E8&lt;=360), ('(橫掃)RX Mapping'!E8-241),IF(AND('(橫掃)RX Mapping'!E8&gt;=361,'(橫掃)RX Mapping'!E8&lt;=480), (-1)*('(橫掃)RX Mapping'!E8-480),IF(AND('(橫掃)RX Mapping'!E8&gt;=481,'(橫掃)RX Mapping'!E8&lt;=600), ('(橫掃)RX Mapping'!E8-361),IF(AND('(橫掃)RX Mapping'!E8&gt;=601,'(橫掃)RX Mapping'!E8&lt;=720), (-1)*('(橫掃)RX Mapping'!E8-720)+120,IF(AND('(橫掃)RX Mapping'!E8&gt;=721,'(橫掃)RX Mapping'!E8&lt;=840), ('(橫掃)RX Mapping'!E8-601),IF(AND('(橫掃)RX Mapping'!E8&gt;=841,'(橫掃)RX Mapping'!E8&lt;=960), (-1)*('(橫掃)RX Mapping'!E8-960)+120,9999))))))))</f>
        <v>102</v>
      </c>
      <c r="F8">
        <f>IF(AND('(橫掃)RX Mapping'!F8&gt;=1,'(橫掃)RX Mapping'!F8&lt;=120), ('(橫掃)RX Mapping'!F8-1),IF(AND('(橫掃)RX Mapping'!F8&gt;=121,'(橫掃)RX Mapping'!F8&lt;=240), (-1)*('(橫掃)RX Mapping'!F8-240),IF(AND('(橫掃)RX Mapping'!F8&gt;=241,'(橫掃)RX Mapping'!F8&lt;=360), ('(橫掃)RX Mapping'!F8-241),IF(AND('(橫掃)RX Mapping'!F8&gt;=361,'(橫掃)RX Mapping'!F8&lt;=480), (-1)*('(橫掃)RX Mapping'!F8-480),IF(AND('(橫掃)RX Mapping'!F8&gt;=481,'(橫掃)RX Mapping'!F8&lt;=600), ('(橫掃)RX Mapping'!F8-361),IF(AND('(橫掃)RX Mapping'!F8&gt;=601,'(橫掃)RX Mapping'!F8&lt;=720), (-1)*('(橫掃)RX Mapping'!F8-720)+120,IF(AND('(橫掃)RX Mapping'!F8&gt;=721,'(橫掃)RX Mapping'!F8&lt;=840), ('(橫掃)RX Mapping'!F8-601),IF(AND('(橫掃)RX Mapping'!F8&gt;=841,'(橫掃)RX Mapping'!F8&lt;=960), (-1)*('(橫掃)RX Mapping'!F8-960)+120,9999))))))))</f>
        <v>105</v>
      </c>
      <c r="G8">
        <f>IF(AND('(橫掃)RX Mapping'!G8&gt;=1,'(橫掃)RX Mapping'!G8&lt;=120), ('(橫掃)RX Mapping'!G8-1),IF(AND('(橫掃)RX Mapping'!G8&gt;=121,'(橫掃)RX Mapping'!G8&lt;=240), (-1)*('(橫掃)RX Mapping'!G8-240),IF(AND('(橫掃)RX Mapping'!G8&gt;=241,'(橫掃)RX Mapping'!G8&lt;=360), ('(橫掃)RX Mapping'!G8-241),IF(AND('(橫掃)RX Mapping'!G8&gt;=361,'(橫掃)RX Mapping'!G8&lt;=480), (-1)*('(橫掃)RX Mapping'!G8-480),IF(AND('(橫掃)RX Mapping'!G8&gt;=481,'(橫掃)RX Mapping'!G8&lt;=600), ('(橫掃)RX Mapping'!G8-361),IF(AND('(橫掃)RX Mapping'!G8&gt;=601,'(橫掃)RX Mapping'!G8&lt;=720), (-1)*('(橫掃)RX Mapping'!G8-720)+120,IF(AND('(橫掃)RX Mapping'!G8&gt;=721,'(橫掃)RX Mapping'!G8&lt;=840), ('(橫掃)RX Mapping'!G8-601),IF(AND('(橫掃)RX Mapping'!G8&gt;=841,'(橫掃)RX Mapping'!G8&lt;=960), (-1)*('(橫掃)RX Mapping'!G8-960)+120,9999))))))))</f>
        <v>73</v>
      </c>
      <c r="H8">
        <f>IF(AND('(橫掃)RX Mapping'!H8&gt;=1,'(橫掃)RX Mapping'!H8&lt;=120), ('(橫掃)RX Mapping'!H8-1),IF(AND('(橫掃)RX Mapping'!H8&gt;=121,'(橫掃)RX Mapping'!H8&lt;=240), (-1)*('(橫掃)RX Mapping'!H8-240),IF(AND('(橫掃)RX Mapping'!H8&gt;=241,'(橫掃)RX Mapping'!H8&lt;=360), ('(橫掃)RX Mapping'!H8-241),IF(AND('(橫掃)RX Mapping'!H8&gt;=361,'(橫掃)RX Mapping'!H8&lt;=480), (-1)*('(橫掃)RX Mapping'!H8-480),IF(AND('(橫掃)RX Mapping'!H8&gt;=481,'(橫掃)RX Mapping'!H8&lt;=600), ('(橫掃)RX Mapping'!H8-361),IF(AND('(橫掃)RX Mapping'!H8&gt;=601,'(橫掃)RX Mapping'!H8&lt;=720), (-1)*('(橫掃)RX Mapping'!H8-720)+120,IF(AND('(橫掃)RX Mapping'!H8&gt;=721,'(橫掃)RX Mapping'!H8&lt;=840), ('(橫掃)RX Mapping'!H8-601),IF(AND('(橫掃)RX Mapping'!H8&gt;=841,'(橫掃)RX Mapping'!H8&lt;=960), (-1)*('(橫掃)RX Mapping'!H8-960)+120,9999))))))))</f>
        <v>41</v>
      </c>
      <c r="I8">
        <f>IF(AND('(橫掃)RX Mapping'!I8&gt;=1,'(橫掃)RX Mapping'!I8&lt;=120), ('(橫掃)RX Mapping'!I8-1),IF(AND('(橫掃)RX Mapping'!I8&gt;=121,'(橫掃)RX Mapping'!I8&lt;=240), (-1)*('(橫掃)RX Mapping'!I8-240),IF(AND('(橫掃)RX Mapping'!I8&gt;=241,'(橫掃)RX Mapping'!I8&lt;=360), ('(橫掃)RX Mapping'!I8-241),IF(AND('(橫掃)RX Mapping'!I8&gt;=361,'(橫掃)RX Mapping'!I8&lt;=480), (-1)*('(橫掃)RX Mapping'!I8-480),IF(AND('(橫掃)RX Mapping'!I8&gt;=481,'(橫掃)RX Mapping'!I8&lt;=600), ('(橫掃)RX Mapping'!I8-361),IF(AND('(橫掃)RX Mapping'!I8&gt;=601,'(橫掃)RX Mapping'!I8&lt;=720), (-1)*('(橫掃)RX Mapping'!I8-720)+120,IF(AND('(橫掃)RX Mapping'!I8&gt;=721,'(橫掃)RX Mapping'!I8&lt;=840), ('(橫掃)RX Mapping'!I8-601),IF(AND('(橫掃)RX Mapping'!I8&gt;=841,'(橫掃)RX Mapping'!I8&lt;=960), (-1)*('(橫掃)RX Mapping'!I8-960)+120,9999))))))))</f>
        <v>6</v>
      </c>
      <c r="J8">
        <f>IF(AND('(橫掃)RX Mapping'!J8&gt;=1,'(橫掃)RX Mapping'!J8&lt;=120), ('(橫掃)RX Mapping'!J8-1),IF(AND('(橫掃)RX Mapping'!J8&gt;=121,'(橫掃)RX Mapping'!J8&lt;=240), (-1)*('(橫掃)RX Mapping'!J8-240),IF(AND('(橫掃)RX Mapping'!J8&gt;=241,'(橫掃)RX Mapping'!J8&lt;=360), ('(橫掃)RX Mapping'!J8-241),IF(AND('(橫掃)RX Mapping'!J8&gt;=361,'(橫掃)RX Mapping'!J8&lt;=480), (-1)*('(橫掃)RX Mapping'!J8-480),IF(AND('(橫掃)RX Mapping'!J8&gt;=481,'(橫掃)RX Mapping'!J8&lt;=600), ('(橫掃)RX Mapping'!J8-361),IF(AND('(橫掃)RX Mapping'!J8&gt;=601,'(橫掃)RX Mapping'!J8&lt;=720), (-1)*('(橫掃)RX Mapping'!J8-720)+120,IF(AND('(橫掃)RX Mapping'!J8&gt;=721,'(橫掃)RX Mapping'!J8&lt;=840), ('(橫掃)RX Mapping'!J8-601),IF(AND('(橫掃)RX Mapping'!J8&gt;=841,'(橫掃)RX Mapping'!J8&lt;=960), (-1)*('(橫掃)RX Mapping'!J8-960)+120,9999))))))))</f>
        <v>38</v>
      </c>
      <c r="K8">
        <f>IF(AND('(橫掃)RX Mapping'!K8&gt;=1,'(橫掃)RX Mapping'!K8&lt;=120), ('(橫掃)RX Mapping'!K8-1),IF(AND('(橫掃)RX Mapping'!K8&gt;=121,'(橫掃)RX Mapping'!K8&lt;=240), (-1)*('(橫掃)RX Mapping'!K8-240),IF(AND('(橫掃)RX Mapping'!K8&gt;=241,'(橫掃)RX Mapping'!K8&lt;=360), ('(橫掃)RX Mapping'!K8-241),IF(AND('(橫掃)RX Mapping'!K8&gt;=361,'(橫掃)RX Mapping'!K8&lt;=480), (-1)*('(橫掃)RX Mapping'!K8-480),IF(AND('(橫掃)RX Mapping'!K8&gt;=481,'(橫掃)RX Mapping'!K8&lt;=600), ('(橫掃)RX Mapping'!K8-361),IF(AND('(橫掃)RX Mapping'!K8&gt;=601,'(橫掃)RX Mapping'!K8&lt;=720), (-1)*('(橫掃)RX Mapping'!K8-720)+120,IF(AND('(橫掃)RX Mapping'!K8&gt;=721,'(橫掃)RX Mapping'!K8&lt;=840), ('(橫掃)RX Mapping'!K8-601),IF(AND('(橫掃)RX Mapping'!K8&gt;=841,'(橫掃)RX Mapping'!K8&lt;=960), (-1)*('(橫掃)RX Mapping'!K8-960)+120,9999))))))))</f>
        <v>70</v>
      </c>
      <c r="L8">
        <f>IF(AND('(橫掃)RX Mapping'!L8&gt;=1,'(橫掃)RX Mapping'!L8&lt;=120), ('(橫掃)RX Mapping'!L8-1),IF(AND('(橫掃)RX Mapping'!L8&gt;=121,'(橫掃)RX Mapping'!L8&lt;=240), (-1)*('(橫掃)RX Mapping'!L8-240),IF(AND('(橫掃)RX Mapping'!L8&gt;=241,'(橫掃)RX Mapping'!L8&lt;=360), ('(橫掃)RX Mapping'!L8-241),IF(AND('(橫掃)RX Mapping'!L8&gt;=361,'(橫掃)RX Mapping'!L8&lt;=480), (-1)*('(橫掃)RX Mapping'!L8-480),IF(AND('(橫掃)RX Mapping'!L8&gt;=481,'(橫掃)RX Mapping'!L8&lt;=600), ('(橫掃)RX Mapping'!L8-361),IF(AND('(橫掃)RX Mapping'!L8&gt;=601,'(橫掃)RX Mapping'!L8&lt;=720), (-1)*('(橫掃)RX Mapping'!L8-720)+120,IF(AND('(橫掃)RX Mapping'!L8&gt;=721,'(橫掃)RX Mapping'!L8&lt;=840), ('(橫掃)RX Mapping'!L8-601),IF(AND('(橫掃)RX Mapping'!L8&gt;=841,'(橫掃)RX Mapping'!L8&lt;=960), (-1)*('(橫掃)RX Mapping'!L8-960)+120,9999))))))))</f>
        <v>102</v>
      </c>
      <c r="M8">
        <f>IF(AND('(橫掃)RX Mapping'!M8&gt;=1,'(橫掃)RX Mapping'!M8&lt;=120), ('(橫掃)RX Mapping'!M8-1),IF(AND('(橫掃)RX Mapping'!M8&gt;=121,'(橫掃)RX Mapping'!M8&lt;=240), (-1)*('(橫掃)RX Mapping'!M8-240),IF(AND('(橫掃)RX Mapping'!M8&gt;=241,'(橫掃)RX Mapping'!M8&lt;=360), ('(橫掃)RX Mapping'!M8-241),IF(AND('(橫掃)RX Mapping'!M8&gt;=361,'(橫掃)RX Mapping'!M8&lt;=480), (-1)*('(橫掃)RX Mapping'!M8-480),IF(AND('(橫掃)RX Mapping'!M8&gt;=481,'(橫掃)RX Mapping'!M8&lt;=600), ('(橫掃)RX Mapping'!M8-361),IF(AND('(橫掃)RX Mapping'!M8&gt;=601,'(橫掃)RX Mapping'!M8&lt;=720), (-1)*('(橫掃)RX Mapping'!M8-720)+120,IF(AND('(橫掃)RX Mapping'!M8&gt;=721,'(橫掃)RX Mapping'!M8&lt;=840), ('(橫掃)RX Mapping'!M8-601),IF(AND('(橫掃)RX Mapping'!M8&gt;=841,'(橫掃)RX Mapping'!M8&lt;=960), (-1)*('(橫掃)RX Mapping'!M8-960)+120,9999))))))))</f>
        <v>105</v>
      </c>
      <c r="N8">
        <f>IF(AND('(橫掃)RX Mapping'!N8&gt;=1,'(橫掃)RX Mapping'!N8&lt;=120), ('(橫掃)RX Mapping'!N8-1),IF(AND('(橫掃)RX Mapping'!N8&gt;=121,'(橫掃)RX Mapping'!N8&lt;=240), (-1)*('(橫掃)RX Mapping'!N8-240),IF(AND('(橫掃)RX Mapping'!N8&gt;=241,'(橫掃)RX Mapping'!N8&lt;=360), ('(橫掃)RX Mapping'!N8-241),IF(AND('(橫掃)RX Mapping'!N8&gt;=361,'(橫掃)RX Mapping'!N8&lt;=480), (-1)*('(橫掃)RX Mapping'!N8-480),IF(AND('(橫掃)RX Mapping'!N8&gt;=481,'(橫掃)RX Mapping'!N8&lt;=600), ('(橫掃)RX Mapping'!N8-361),IF(AND('(橫掃)RX Mapping'!N8&gt;=601,'(橫掃)RX Mapping'!N8&lt;=720), (-1)*('(橫掃)RX Mapping'!N8-720)+120,IF(AND('(橫掃)RX Mapping'!N8&gt;=721,'(橫掃)RX Mapping'!N8&lt;=840), ('(橫掃)RX Mapping'!N8-601),IF(AND('(橫掃)RX Mapping'!N8&gt;=841,'(橫掃)RX Mapping'!N8&lt;=960), (-1)*('(橫掃)RX Mapping'!N8-960)+120,9999))))))))</f>
        <v>73</v>
      </c>
      <c r="O8">
        <f>IF(AND('(橫掃)RX Mapping'!O8&gt;=1,'(橫掃)RX Mapping'!O8&lt;=120), ('(橫掃)RX Mapping'!O8-1),IF(AND('(橫掃)RX Mapping'!O8&gt;=121,'(橫掃)RX Mapping'!O8&lt;=240), (-1)*('(橫掃)RX Mapping'!O8-240),IF(AND('(橫掃)RX Mapping'!O8&gt;=241,'(橫掃)RX Mapping'!O8&lt;=360), ('(橫掃)RX Mapping'!O8-241),IF(AND('(橫掃)RX Mapping'!O8&gt;=361,'(橫掃)RX Mapping'!O8&lt;=480), (-1)*('(橫掃)RX Mapping'!O8-480),IF(AND('(橫掃)RX Mapping'!O8&gt;=481,'(橫掃)RX Mapping'!O8&lt;=600), ('(橫掃)RX Mapping'!O8-361),IF(AND('(橫掃)RX Mapping'!O8&gt;=601,'(橫掃)RX Mapping'!O8&lt;=720), (-1)*('(橫掃)RX Mapping'!O8-720)+120,IF(AND('(橫掃)RX Mapping'!O8&gt;=721,'(橫掃)RX Mapping'!O8&lt;=840), ('(橫掃)RX Mapping'!O8-601),IF(AND('(橫掃)RX Mapping'!O8&gt;=841,'(橫掃)RX Mapping'!O8&lt;=960), (-1)*('(橫掃)RX Mapping'!O8-960)+120,9999))))))))</f>
        <v>41</v>
      </c>
      <c r="P8">
        <f>IF(AND('(橫掃)RX Mapping'!P8&gt;=1,'(橫掃)RX Mapping'!P8&lt;=120), ('(橫掃)RX Mapping'!P8-1),IF(AND('(橫掃)RX Mapping'!P8&gt;=121,'(橫掃)RX Mapping'!P8&lt;=240), (-1)*('(橫掃)RX Mapping'!P8-240),IF(AND('(橫掃)RX Mapping'!P8&gt;=241,'(橫掃)RX Mapping'!P8&lt;=360), ('(橫掃)RX Mapping'!P8-241),IF(AND('(橫掃)RX Mapping'!P8&gt;=361,'(橫掃)RX Mapping'!P8&lt;=480), (-1)*('(橫掃)RX Mapping'!P8-480),IF(AND('(橫掃)RX Mapping'!P8&gt;=481,'(橫掃)RX Mapping'!P8&lt;=600), ('(橫掃)RX Mapping'!P8-361),IF(AND('(橫掃)RX Mapping'!P8&gt;=601,'(橫掃)RX Mapping'!P8&lt;=720), (-1)*('(橫掃)RX Mapping'!P8-720)+120,IF(AND('(橫掃)RX Mapping'!P8&gt;=721,'(橫掃)RX Mapping'!P8&lt;=840), ('(橫掃)RX Mapping'!P8-601),IF(AND('(橫掃)RX Mapping'!P8&gt;=841,'(橫掃)RX Mapping'!P8&lt;=960), (-1)*('(橫掃)RX Mapping'!P8-960)+120,9999))))))))</f>
        <v>126</v>
      </c>
      <c r="Q8">
        <f>IF(AND('(橫掃)RX Mapping'!Q8&gt;=1,'(橫掃)RX Mapping'!Q8&lt;=120), ('(橫掃)RX Mapping'!Q8-1),IF(AND('(橫掃)RX Mapping'!Q8&gt;=121,'(橫掃)RX Mapping'!Q8&lt;=240), (-1)*('(橫掃)RX Mapping'!Q8-240),IF(AND('(橫掃)RX Mapping'!Q8&gt;=241,'(橫掃)RX Mapping'!Q8&lt;=360), ('(橫掃)RX Mapping'!Q8-241),IF(AND('(橫掃)RX Mapping'!Q8&gt;=361,'(橫掃)RX Mapping'!Q8&lt;=480), (-1)*('(橫掃)RX Mapping'!Q8-480),IF(AND('(橫掃)RX Mapping'!Q8&gt;=481,'(橫掃)RX Mapping'!Q8&lt;=600), ('(橫掃)RX Mapping'!Q8-361),IF(AND('(橫掃)RX Mapping'!Q8&gt;=601,'(橫掃)RX Mapping'!Q8&lt;=720), (-1)*('(橫掃)RX Mapping'!Q8-720)+120,IF(AND('(橫掃)RX Mapping'!Q8&gt;=721,'(橫掃)RX Mapping'!Q8&lt;=840), ('(橫掃)RX Mapping'!Q8-601),IF(AND('(橫掃)RX Mapping'!Q8&gt;=841,'(橫掃)RX Mapping'!Q8&lt;=960), (-1)*('(橫掃)RX Mapping'!Q8-960)+120,9999))))))))</f>
        <v>158</v>
      </c>
      <c r="R8">
        <f>IF(AND('(橫掃)RX Mapping'!R8&gt;=1,'(橫掃)RX Mapping'!R8&lt;=120), ('(橫掃)RX Mapping'!R8-1),IF(AND('(橫掃)RX Mapping'!R8&gt;=121,'(橫掃)RX Mapping'!R8&lt;=240), (-1)*('(橫掃)RX Mapping'!R8-240),IF(AND('(橫掃)RX Mapping'!R8&gt;=241,'(橫掃)RX Mapping'!R8&lt;=360), ('(橫掃)RX Mapping'!R8-241),IF(AND('(橫掃)RX Mapping'!R8&gt;=361,'(橫掃)RX Mapping'!R8&lt;=480), (-1)*('(橫掃)RX Mapping'!R8-480),IF(AND('(橫掃)RX Mapping'!R8&gt;=481,'(橫掃)RX Mapping'!R8&lt;=600), ('(橫掃)RX Mapping'!R8-361),IF(AND('(橫掃)RX Mapping'!R8&gt;=601,'(橫掃)RX Mapping'!R8&lt;=720), (-1)*('(橫掃)RX Mapping'!R8-720)+120,IF(AND('(橫掃)RX Mapping'!R8&gt;=721,'(橫掃)RX Mapping'!R8&lt;=840), ('(橫掃)RX Mapping'!R8-601),IF(AND('(橫掃)RX Mapping'!R8&gt;=841,'(橫掃)RX Mapping'!R8&lt;=960), (-1)*('(橫掃)RX Mapping'!R8-960)+120,9999))))))))</f>
        <v>190</v>
      </c>
      <c r="S8">
        <f>IF(AND('(橫掃)RX Mapping'!S8&gt;=1,'(橫掃)RX Mapping'!S8&lt;=120), ('(橫掃)RX Mapping'!S8-1),IF(AND('(橫掃)RX Mapping'!S8&gt;=121,'(橫掃)RX Mapping'!S8&lt;=240), (-1)*('(橫掃)RX Mapping'!S8-240),IF(AND('(橫掃)RX Mapping'!S8&gt;=241,'(橫掃)RX Mapping'!S8&lt;=360), ('(橫掃)RX Mapping'!S8-241),IF(AND('(橫掃)RX Mapping'!S8&gt;=361,'(橫掃)RX Mapping'!S8&lt;=480), (-1)*('(橫掃)RX Mapping'!S8-480),IF(AND('(橫掃)RX Mapping'!S8&gt;=481,'(橫掃)RX Mapping'!S8&lt;=600), ('(橫掃)RX Mapping'!S8-361),IF(AND('(橫掃)RX Mapping'!S8&gt;=601,'(橫掃)RX Mapping'!S8&lt;=720), (-1)*('(橫掃)RX Mapping'!S8-720)+120,IF(AND('(橫掃)RX Mapping'!S8&gt;=721,'(橫掃)RX Mapping'!S8&lt;=840), ('(橫掃)RX Mapping'!S8-601),IF(AND('(橫掃)RX Mapping'!S8&gt;=841,'(橫掃)RX Mapping'!S8&lt;=960), (-1)*('(橫掃)RX Mapping'!S8-960)+120,9999))))))))</f>
        <v>222</v>
      </c>
      <c r="T8">
        <f>IF(AND('(橫掃)RX Mapping'!T8&gt;=1,'(橫掃)RX Mapping'!T8&lt;=120), ('(橫掃)RX Mapping'!T8-1),IF(AND('(橫掃)RX Mapping'!T8&gt;=121,'(橫掃)RX Mapping'!T8&lt;=240), (-1)*('(橫掃)RX Mapping'!T8-240),IF(AND('(橫掃)RX Mapping'!T8&gt;=241,'(橫掃)RX Mapping'!T8&lt;=360), ('(橫掃)RX Mapping'!T8-241),IF(AND('(橫掃)RX Mapping'!T8&gt;=361,'(橫掃)RX Mapping'!T8&lt;=480), (-1)*('(橫掃)RX Mapping'!T8-480),IF(AND('(橫掃)RX Mapping'!T8&gt;=481,'(橫掃)RX Mapping'!T8&lt;=600), ('(橫掃)RX Mapping'!T8-361),IF(AND('(橫掃)RX Mapping'!T8&gt;=601,'(橫掃)RX Mapping'!T8&lt;=720), (-1)*('(橫掃)RX Mapping'!T8-720)+120,IF(AND('(橫掃)RX Mapping'!T8&gt;=721,'(橫掃)RX Mapping'!T8&lt;=840), ('(橫掃)RX Mapping'!T8-601),IF(AND('(橫掃)RX Mapping'!T8&gt;=841,'(橫掃)RX Mapping'!T8&lt;=960), (-1)*('(橫掃)RX Mapping'!T8-960)+120,9999))))))))</f>
        <v>225</v>
      </c>
      <c r="U8">
        <f>IF(AND('(橫掃)RX Mapping'!U8&gt;=1,'(橫掃)RX Mapping'!U8&lt;=120), ('(橫掃)RX Mapping'!U8-1),IF(AND('(橫掃)RX Mapping'!U8&gt;=121,'(橫掃)RX Mapping'!U8&lt;=240), (-1)*('(橫掃)RX Mapping'!U8-240),IF(AND('(橫掃)RX Mapping'!U8&gt;=241,'(橫掃)RX Mapping'!U8&lt;=360), ('(橫掃)RX Mapping'!U8-241),IF(AND('(橫掃)RX Mapping'!U8&gt;=361,'(橫掃)RX Mapping'!U8&lt;=480), (-1)*('(橫掃)RX Mapping'!U8-480),IF(AND('(橫掃)RX Mapping'!U8&gt;=481,'(橫掃)RX Mapping'!U8&lt;=600), ('(橫掃)RX Mapping'!U8-361),IF(AND('(橫掃)RX Mapping'!U8&gt;=601,'(橫掃)RX Mapping'!U8&lt;=720), (-1)*('(橫掃)RX Mapping'!U8-720)+120,IF(AND('(橫掃)RX Mapping'!U8&gt;=721,'(橫掃)RX Mapping'!U8&lt;=840), ('(橫掃)RX Mapping'!U8-601),IF(AND('(橫掃)RX Mapping'!U8&gt;=841,'(橫掃)RX Mapping'!U8&lt;=960), (-1)*('(橫掃)RX Mapping'!U8-960)+120,9999))))))))</f>
        <v>193</v>
      </c>
      <c r="V8">
        <f>IF(AND('(橫掃)RX Mapping'!V8&gt;=1,'(橫掃)RX Mapping'!V8&lt;=120), ('(橫掃)RX Mapping'!V8-1),IF(AND('(橫掃)RX Mapping'!V8&gt;=121,'(橫掃)RX Mapping'!V8&lt;=240), (-1)*('(橫掃)RX Mapping'!V8-240),IF(AND('(橫掃)RX Mapping'!V8&gt;=241,'(橫掃)RX Mapping'!V8&lt;=360), ('(橫掃)RX Mapping'!V8-241),IF(AND('(橫掃)RX Mapping'!V8&gt;=361,'(橫掃)RX Mapping'!V8&lt;=480), (-1)*('(橫掃)RX Mapping'!V8-480),IF(AND('(橫掃)RX Mapping'!V8&gt;=481,'(橫掃)RX Mapping'!V8&lt;=600), ('(橫掃)RX Mapping'!V8-361),IF(AND('(橫掃)RX Mapping'!V8&gt;=601,'(橫掃)RX Mapping'!V8&lt;=720), (-1)*('(橫掃)RX Mapping'!V8-720)+120,IF(AND('(橫掃)RX Mapping'!V8&gt;=721,'(橫掃)RX Mapping'!V8&lt;=840), ('(橫掃)RX Mapping'!V8-601),IF(AND('(橫掃)RX Mapping'!V8&gt;=841,'(橫掃)RX Mapping'!V8&lt;=960), (-1)*('(橫掃)RX Mapping'!V8-960)+120,9999))))))))</f>
        <v>161</v>
      </c>
      <c r="W8">
        <f>IF(AND('(橫掃)RX Mapping'!W8&gt;=1,'(橫掃)RX Mapping'!W8&lt;=120), ('(橫掃)RX Mapping'!W8-1),IF(AND('(橫掃)RX Mapping'!W8&gt;=121,'(橫掃)RX Mapping'!W8&lt;=240), (-1)*('(橫掃)RX Mapping'!W8-240),IF(AND('(橫掃)RX Mapping'!W8&gt;=241,'(橫掃)RX Mapping'!W8&lt;=360), ('(橫掃)RX Mapping'!W8-241),IF(AND('(橫掃)RX Mapping'!W8&gt;=361,'(橫掃)RX Mapping'!W8&lt;=480), (-1)*('(橫掃)RX Mapping'!W8-480),IF(AND('(橫掃)RX Mapping'!W8&gt;=481,'(橫掃)RX Mapping'!W8&lt;=600), ('(橫掃)RX Mapping'!W8-361),IF(AND('(橫掃)RX Mapping'!W8&gt;=601,'(橫掃)RX Mapping'!W8&lt;=720), (-1)*('(橫掃)RX Mapping'!W8-720)+120,IF(AND('(橫掃)RX Mapping'!W8&gt;=721,'(橫掃)RX Mapping'!W8&lt;=840), ('(橫掃)RX Mapping'!W8-601),IF(AND('(橫掃)RX Mapping'!W8&gt;=841,'(橫掃)RX Mapping'!W8&lt;=960), (-1)*('(橫掃)RX Mapping'!W8-960)+120,9999))))))))</f>
        <v>126</v>
      </c>
      <c r="X8">
        <f>IF(AND('(橫掃)RX Mapping'!X8&gt;=1,'(橫掃)RX Mapping'!X8&lt;=120), ('(橫掃)RX Mapping'!X8-1),IF(AND('(橫掃)RX Mapping'!X8&gt;=121,'(橫掃)RX Mapping'!X8&lt;=240), (-1)*('(橫掃)RX Mapping'!X8-240),IF(AND('(橫掃)RX Mapping'!X8&gt;=241,'(橫掃)RX Mapping'!X8&lt;=360), ('(橫掃)RX Mapping'!X8-241),IF(AND('(橫掃)RX Mapping'!X8&gt;=361,'(橫掃)RX Mapping'!X8&lt;=480), (-1)*('(橫掃)RX Mapping'!X8-480),IF(AND('(橫掃)RX Mapping'!X8&gt;=481,'(橫掃)RX Mapping'!X8&lt;=600), ('(橫掃)RX Mapping'!X8-361),IF(AND('(橫掃)RX Mapping'!X8&gt;=601,'(橫掃)RX Mapping'!X8&lt;=720), (-1)*('(橫掃)RX Mapping'!X8-720)+120,IF(AND('(橫掃)RX Mapping'!X8&gt;=721,'(橫掃)RX Mapping'!X8&lt;=840), ('(橫掃)RX Mapping'!X8-601),IF(AND('(橫掃)RX Mapping'!X8&gt;=841,'(橫掃)RX Mapping'!X8&lt;=960), (-1)*('(橫掃)RX Mapping'!X8-960)+120,9999))))))))</f>
        <v>158</v>
      </c>
      <c r="Y8">
        <f>IF(AND('(橫掃)RX Mapping'!Y8&gt;=1,'(橫掃)RX Mapping'!Y8&lt;=120), ('(橫掃)RX Mapping'!Y8-1),IF(AND('(橫掃)RX Mapping'!Y8&gt;=121,'(橫掃)RX Mapping'!Y8&lt;=240), (-1)*('(橫掃)RX Mapping'!Y8-240),IF(AND('(橫掃)RX Mapping'!Y8&gt;=241,'(橫掃)RX Mapping'!Y8&lt;=360), ('(橫掃)RX Mapping'!Y8-241),IF(AND('(橫掃)RX Mapping'!Y8&gt;=361,'(橫掃)RX Mapping'!Y8&lt;=480), (-1)*('(橫掃)RX Mapping'!Y8-480),IF(AND('(橫掃)RX Mapping'!Y8&gt;=481,'(橫掃)RX Mapping'!Y8&lt;=600), ('(橫掃)RX Mapping'!Y8-361),IF(AND('(橫掃)RX Mapping'!Y8&gt;=601,'(橫掃)RX Mapping'!Y8&lt;=720), (-1)*('(橫掃)RX Mapping'!Y8-720)+120,IF(AND('(橫掃)RX Mapping'!Y8&gt;=721,'(橫掃)RX Mapping'!Y8&lt;=840), ('(橫掃)RX Mapping'!Y8-601),IF(AND('(橫掃)RX Mapping'!Y8&gt;=841,'(橫掃)RX Mapping'!Y8&lt;=960), (-1)*('(橫掃)RX Mapping'!Y8-960)+120,9999))))))))</f>
        <v>190</v>
      </c>
      <c r="Z8">
        <f>IF(AND('(橫掃)RX Mapping'!Z8&gt;=1,'(橫掃)RX Mapping'!Z8&lt;=120), ('(橫掃)RX Mapping'!Z8-1),IF(AND('(橫掃)RX Mapping'!Z8&gt;=121,'(橫掃)RX Mapping'!Z8&lt;=240), (-1)*('(橫掃)RX Mapping'!Z8-240),IF(AND('(橫掃)RX Mapping'!Z8&gt;=241,'(橫掃)RX Mapping'!Z8&lt;=360), ('(橫掃)RX Mapping'!Z8-241),IF(AND('(橫掃)RX Mapping'!Z8&gt;=361,'(橫掃)RX Mapping'!Z8&lt;=480), (-1)*('(橫掃)RX Mapping'!Z8-480),IF(AND('(橫掃)RX Mapping'!Z8&gt;=481,'(橫掃)RX Mapping'!Z8&lt;=600), ('(橫掃)RX Mapping'!Z8-361),IF(AND('(橫掃)RX Mapping'!Z8&gt;=601,'(橫掃)RX Mapping'!Z8&lt;=720), (-1)*('(橫掃)RX Mapping'!Z8-720)+120,IF(AND('(橫掃)RX Mapping'!Z8&gt;=721,'(橫掃)RX Mapping'!Z8&lt;=840), ('(橫掃)RX Mapping'!Z8-601),IF(AND('(橫掃)RX Mapping'!Z8&gt;=841,'(橫掃)RX Mapping'!Z8&lt;=960), (-1)*('(橫掃)RX Mapping'!Z8-960)+120,9999))))))))</f>
        <v>222</v>
      </c>
      <c r="AA8">
        <f>IF(AND('(橫掃)RX Mapping'!AA8&gt;=1,'(橫掃)RX Mapping'!AA8&lt;=120), ('(橫掃)RX Mapping'!AA8-1),IF(AND('(橫掃)RX Mapping'!AA8&gt;=121,'(橫掃)RX Mapping'!AA8&lt;=240), (-1)*('(橫掃)RX Mapping'!AA8-240),IF(AND('(橫掃)RX Mapping'!AA8&gt;=241,'(橫掃)RX Mapping'!AA8&lt;=360), ('(橫掃)RX Mapping'!AA8-241),IF(AND('(橫掃)RX Mapping'!AA8&gt;=361,'(橫掃)RX Mapping'!AA8&lt;=480), (-1)*('(橫掃)RX Mapping'!AA8-480),IF(AND('(橫掃)RX Mapping'!AA8&gt;=481,'(橫掃)RX Mapping'!AA8&lt;=600), ('(橫掃)RX Mapping'!AA8-361),IF(AND('(橫掃)RX Mapping'!AA8&gt;=601,'(橫掃)RX Mapping'!AA8&lt;=720), (-1)*('(橫掃)RX Mapping'!AA8-720)+120,IF(AND('(橫掃)RX Mapping'!AA8&gt;=721,'(橫掃)RX Mapping'!AA8&lt;=840), ('(橫掃)RX Mapping'!AA8-601),IF(AND('(橫掃)RX Mapping'!AA8&gt;=841,'(橫掃)RX Mapping'!AA8&lt;=960), (-1)*('(橫掃)RX Mapping'!AA8-960)+120,9999))))))))</f>
        <v>225</v>
      </c>
      <c r="AB8">
        <f>IF(AND('(橫掃)RX Mapping'!AB8&gt;=1,'(橫掃)RX Mapping'!AB8&lt;=120), ('(橫掃)RX Mapping'!AB8-1),IF(AND('(橫掃)RX Mapping'!AB8&gt;=121,'(橫掃)RX Mapping'!AB8&lt;=240), (-1)*('(橫掃)RX Mapping'!AB8-240),IF(AND('(橫掃)RX Mapping'!AB8&gt;=241,'(橫掃)RX Mapping'!AB8&lt;=360), ('(橫掃)RX Mapping'!AB8-241),IF(AND('(橫掃)RX Mapping'!AB8&gt;=361,'(橫掃)RX Mapping'!AB8&lt;=480), (-1)*('(橫掃)RX Mapping'!AB8-480),IF(AND('(橫掃)RX Mapping'!AB8&gt;=481,'(橫掃)RX Mapping'!AB8&lt;=600), ('(橫掃)RX Mapping'!AB8-361),IF(AND('(橫掃)RX Mapping'!AB8&gt;=601,'(橫掃)RX Mapping'!AB8&lt;=720), (-1)*('(橫掃)RX Mapping'!AB8-720)+120,IF(AND('(橫掃)RX Mapping'!AB8&gt;=721,'(橫掃)RX Mapping'!AB8&lt;=840), ('(橫掃)RX Mapping'!AB8-601),IF(AND('(橫掃)RX Mapping'!AB8&gt;=841,'(橫掃)RX Mapping'!AB8&lt;=960), (-1)*('(橫掃)RX Mapping'!AB8-960)+120,9999))))))))</f>
        <v>193</v>
      </c>
      <c r="AC8">
        <f>IF(AND('(橫掃)RX Mapping'!AC8&gt;=1,'(橫掃)RX Mapping'!AC8&lt;=120), ('(橫掃)RX Mapping'!AC8-1),IF(AND('(橫掃)RX Mapping'!AC8&gt;=121,'(橫掃)RX Mapping'!AC8&lt;=240), (-1)*('(橫掃)RX Mapping'!AC8-240),IF(AND('(橫掃)RX Mapping'!AC8&gt;=241,'(橫掃)RX Mapping'!AC8&lt;=360), ('(橫掃)RX Mapping'!AC8-241),IF(AND('(橫掃)RX Mapping'!AC8&gt;=361,'(橫掃)RX Mapping'!AC8&lt;=480), (-1)*('(橫掃)RX Mapping'!AC8-480),IF(AND('(橫掃)RX Mapping'!AC8&gt;=481,'(橫掃)RX Mapping'!AC8&lt;=600), ('(橫掃)RX Mapping'!AC8-361),IF(AND('(橫掃)RX Mapping'!AC8&gt;=601,'(橫掃)RX Mapping'!AC8&lt;=720), (-1)*('(橫掃)RX Mapping'!AC8-720)+120,IF(AND('(橫掃)RX Mapping'!AC8&gt;=721,'(橫掃)RX Mapping'!AC8&lt;=840), ('(橫掃)RX Mapping'!AC8-601),IF(AND('(橫掃)RX Mapping'!AC8&gt;=841,'(橫掃)RX Mapping'!AC8&lt;=960), (-1)*('(橫掃)RX Mapping'!AC8-960)+120,9999))))))))</f>
        <v>161</v>
      </c>
      <c r="AD8">
        <f>IF(AND('(橫掃)RX Mapping'!AD8&gt;=1,'(橫掃)RX Mapping'!AD8&lt;=120), ('(橫掃)RX Mapping'!AD8-1),IF(AND('(橫掃)RX Mapping'!AD8&gt;=121,'(橫掃)RX Mapping'!AD8&lt;=240), (-1)*('(橫掃)RX Mapping'!AD8-240),IF(AND('(橫掃)RX Mapping'!AD8&gt;=241,'(橫掃)RX Mapping'!AD8&lt;=360), ('(橫掃)RX Mapping'!AD8-241),IF(AND('(橫掃)RX Mapping'!AD8&gt;=361,'(橫掃)RX Mapping'!AD8&lt;=480), (-1)*('(橫掃)RX Mapping'!AD8-480),IF(AND('(橫掃)RX Mapping'!AD8&gt;=481,'(橫掃)RX Mapping'!AD8&lt;=600), ('(橫掃)RX Mapping'!AD8-361),IF(AND('(橫掃)RX Mapping'!AD8&gt;=601,'(橫掃)RX Mapping'!AD8&lt;=720), (-1)*('(橫掃)RX Mapping'!AD8-720)+120,IF(AND('(橫掃)RX Mapping'!AD8&gt;=721,'(橫掃)RX Mapping'!AD8&lt;=840), ('(橫掃)RX Mapping'!AD8-601),IF(AND('(橫掃)RX Mapping'!AD8&gt;=841,'(橫掃)RX Mapping'!AD8&lt;=960), (-1)*('(橫掃)RX Mapping'!AD8-960)+120,9999))))))))</f>
        <v>9999</v>
      </c>
      <c r="AE8">
        <f>IF(AND('(橫掃)RX Mapping'!AE8&gt;=1,'(橫掃)RX Mapping'!AE8&lt;=120), ('(橫掃)RX Mapping'!AE8-1),IF(AND('(橫掃)RX Mapping'!AE8&gt;=121,'(橫掃)RX Mapping'!AE8&lt;=240), (-1)*('(橫掃)RX Mapping'!AE8-240),IF(AND('(橫掃)RX Mapping'!AE8&gt;=241,'(橫掃)RX Mapping'!AE8&lt;=360), ('(橫掃)RX Mapping'!AE8-241),IF(AND('(橫掃)RX Mapping'!AE8&gt;=361,'(橫掃)RX Mapping'!AE8&lt;=480), (-1)*('(橫掃)RX Mapping'!AE8-480),IF(AND('(橫掃)RX Mapping'!AE8&gt;=481,'(橫掃)RX Mapping'!AE8&lt;=600), ('(橫掃)RX Mapping'!AE8-361),IF(AND('(橫掃)RX Mapping'!AE8&gt;=601,'(橫掃)RX Mapping'!AE8&lt;=720), (-1)*('(橫掃)RX Mapping'!AE8-720)+120,IF(AND('(橫掃)RX Mapping'!AE8&gt;=721,'(橫掃)RX Mapping'!AE8&lt;=840), ('(橫掃)RX Mapping'!AE8-601),IF(AND('(橫掃)RX Mapping'!AE8&gt;=841,'(橫掃)RX Mapping'!AE8&lt;=960), (-1)*('(橫掃)RX Mapping'!AE8-960)+120,9999))))))))</f>
        <v>9999</v>
      </c>
      <c r="AF8">
        <f>IF(AND('(橫掃)RX Mapping'!AF8&gt;=1,'(橫掃)RX Mapping'!AF8&lt;=120), ('(橫掃)RX Mapping'!AF8-1),IF(AND('(橫掃)RX Mapping'!AF8&gt;=121,'(橫掃)RX Mapping'!AF8&lt;=240), (-1)*('(橫掃)RX Mapping'!AF8-240),IF(AND('(橫掃)RX Mapping'!AF8&gt;=241,'(橫掃)RX Mapping'!AF8&lt;=360), ('(橫掃)RX Mapping'!AF8-241),IF(AND('(橫掃)RX Mapping'!AF8&gt;=361,'(橫掃)RX Mapping'!AF8&lt;=480), (-1)*('(橫掃)RX Mapping'!AF8-480),IF(AND('(橫掃)RX Mapping'!AF8&gt;=481,'(橫掃)RX Mapping'!AF8&lt;=600), ('(橫掃)RX Mapping'!AF8-361),IF(AND('(橫掃)RX Mapping'!AF8&gt;=601,'(橫掃)RX Mapping'!AF8&lt;=720), (-1)*('(橫掃)RX Mapping'!AF8-720)+120,IF(AND('(橫掃)RX Mapping'!AF8&gt;=721,'(橫掃)RX Mapping'!AF8&lt;=840), ('(橫掃)RX Mapping'!AF8-601),IF(AND('(橫掃)RX Mapping'!AF8&gt;=841,'(橫掃)RX Mapping'!AF8&lt;=960), (-1)*('(橫掃)RX Mapping'!AF8-960)+120,9999))))))))</f>
        <v>9999</v>
      </c>
      <c r="AG8">
        <f>IF(AND('(橫掃)RX Mapping'!AG8&gt;=1,'(橫掃)RX Mapping'!AG8&lt;=120), ('(橫掃)RX Mapping'!AG8-1),IF(AND('(橫掃)RX Mapping'!AG8&gt;=121,'(橫掃)RX Mapping'!AG8&lt;=240), (-1)*('(橫掃)RX Mapping'!AG8-240),IF(AND('(橫掃)RX Mapping'!AG8&gt;=241,'(橫掃)RX Mapping'!AG8&lt;=360), ('(橫掃)RX Mapping'!AG8-241),IF(AND('(橫掃)RX Mapping'!AG8&gt;=361,'(橫掃)RX Mapping'!AG8&lt;=480), (-1)*('(橫掃)RX Mapping'!AG8-480),IF(AND('(橫掃)RX Mapping'!AG8&gt;=481,'(橫掃)RX Mapping'!AG8&lt;=600), ('(橫掃)RX Mapping'!AG8-361),IF(AND('(橫掃)RX Mapping'!AG8&gt;=601,'(橫掃)RX Mapping'!AG8&lt;=720), (-1)*('(橫掃)RX Mapping'!AG8-720)+120,IF(AND('(橫掃)RX Mapping'!AG8&gt;=721,'(橫掃)RX Mapping'!AG8&lt;=840), ('(橫掃)RX Mapping'!AG8-601),IF(AND('(橫掃)RX Mapping'!AG8&gt;=841,'(橫掃)RX Mapping'!AG8&lt;=960), (-1)*('(橫掃)RX Mapping'!AG8-960)+120,9999))))))))</f>
        <v>9999</v>
      </c>
      <c r="AH8">
        <f>IF(AND('(橫掃)RX Mapping'!AH8&gt;=1,'(橫掃)RX Mapping'!AH8&lt;=120), ('(橫掃)RX Mapping'!AH8-1),IF(AND('(橫掃)RX Mapping'!AH8&gt;=121,'(橫掃)RX Mapping'!AH8&lt;=240), (-1)*('(橫掃)RX Mapping'!AH8-240),IF(AND('(橫掃)RX Mapping'!AH8&gt;=241,'(橫掃)RX Mapping'!AH8&lt;=360), ('(橫掃)RX Mapping'!AH8-241),IF(AND('(橫掃)RX Mapping'!AH8&gt;=361,'(橫掃)RX Mapping'!AH8&lt;=480), (-1)*('(橫掃)RX Mapping'!AH8-480),IF(AND('(橫掃)RX Mapping'!AH8&gt;=481,'(橫掃)RX Mapping'!AH8&lt;=600), ('(橫掃)RX Mapping'!AH8-361),IF(AND('(橫掃)RX Mapping'!AH8&gt;=601,'(橫掃)RX Mapping'!AH8&lt;=720), (-1)*('(橫掃)RX Mapping'!AH8-720)+120,IF(AND('(橫掃)RX Mapping'!AH8&gt;=721,'(橫掃)RX Mapping'!AH8&lt;=840), ('(橫掃)RX Mapping'!AH8-601),IF(AND('(橫掃)RX Mapping'!AH8&gt;=841,'(橫掃)RX Mapping'!AH8&lt;=960), (-1)*('(橫掃)RX Mapping'!AH8-960)+120,9999))))))))</f>
        <v>9999</v>
      </c>
      <c r="AI8">
        <f>IF(AND('(橫掃)RX Mapping'!AI8&gt;=1,'(橫掃)RX Mapping'!AI8&lt;=120), ('(橫掃)RX Mapping'!AI8-1),IF(AND('(橫掃)RX Mapping'!AI8&gt;=121,'(橫掃)RX Mapping'!AI8&lt;=240), (-1)*('(橫掃)RX Mapping'!AI8-240),IF(AND('(橫掃)RX Mapping'!AI8&gt;=241,'(橫掃)RX Mapping'!AI8&lt;=360), ('(橫掃)RX Mapping'!AI8-241),IF(AND('(橫掃)RX Mapping'!AI8&gt;=361,'(橫掃)RX Mapping'!AI8&lt;=480), (-1)*('(橫掃)RX Mapping'!AI8-480),IF(AND('(橫掃)RX Mapping'!AI8&gt;=481,'(橫掃)RX Mapping'!AI8&lt;=600), ('(橫掃)RX Mapping'!AI8-361),IF(AND('(橫掃)RX Mapping'!AI8&gt;=601,'(橫掃)RX Mapping'!AI8&lt;=720), (-1)*('(橫掃)RX Mapping'!AI8-720)+120,IF(AND('(橫掃)RX Mapping'!AI8&gt;=721,'(橫掃)RX Mapping'!AI8&lt;=840), ('(橫掃)RX Mapping'!AI8-601),IF(AND('(橫掃)RX Mapping'!AI8&gt;=841,'(橫掃)RX Mapping'!AI8&lt;=960), (-1)*('(橫掃)RX Mapping'!AI8-960)+120,9999))))))))</f>
        <v>9999</v>
      </c>
      <c r="AJ8">
        <f>IF(AND('(橫掃)RX Mapping'!AJ8&gt;=1,'(橫掃)RX Mapping'!AJ8&lt;=120), ('(橫掃)RX Mapping'!AJ8-1),IF(AND('(橫掃)RX Mapping'!AJ8&gt;=121,'(橫掃)RX Mapping'!AJ8&lt;=240), (-1)*('(橫掃)RX Mapping'!AJ8-240),IF(AND('(橫掃)RX Mapping'!AJ8&gt;=241,'(橫掃)RX Mapping'!AJ8&lt;=360), ('(橫掃)RX Mapping'!AJ8-241),IF(AND('(橫掃)RX Mapping'!AJ8&gt;=361,'(橫掃)RX Mapping'!AJ8&lt;=480), (-1)*('(橫掃)RX Mapping'!AJ8-480),IF(AND('(橫掃)RX Mapping'!AJ8&gt;=481,'(橫掃)RX Mapping'!AJ8&lt;=600), ('(橫掃)RX Mapping'!AJ8-361),IF(AND('(橫掃)RX Mapping'!AJ8&gt;=601,'(橫掃)RX Mapping'!AJ8&lt;=720), (-1)*('(橫掃)RX Mapping'!AJ8-720)+120,IF(AND('(橫掃)RX Mapping'!AJ8&gt;=721,'(橫掃)RX Mapping'!AJ8&lt;=840), ('(橫掃)RX Mapping'!AJ8-601),IF(AND('(橫掃)RX Mapping'!AJ8&gt;=841,'(橫掃)RX Mapping'!AJ8&lt;=960), (-1)*('(橫掃)RX Mapping'!AJ8-960)+120,9999))))))))</f>
        <v>9999</v>
      </c>
      <c r="AK8">
        <f>IF(AND('(橫掃)RX Mapping'!AK8&gt;=1,'(橫掃)RX Mapping'!AK8&lt;=120), ('(橫掃)RX Mapping'!AK8-1),IF(AND('(橫掃)RX Mapping'!AK8&gt;=121,'(橫掃)RX Mapping'!AK8&lt;=240), (-1)*('(橫掃)RX Mapping'!AK8-240),IF(AND('(橫掃)RX Mapping'!AK8&gt;=241,'(橫掃)RX Mapping'!AK8&lt;=360), ('(橫掃)RX Mapping'!AK8-241),IF(AND('(橫掃)RX Mapping'!AK8&gt;=361,'(橫掃)RX Mapping'!AK8&lt;=480), (-1)*('(橫掃)RX Mapping'!AK8-480),IF(AND('(橫掃)RX Mapping'!AK8&gt;=481,'(橫掃)RX Mapping'!AK8&lt;=600), ('(橫掃)RX Mapping'!AK8-361),IF(AND('(橫掃)RX Mapping'!AK8&gt;=601,'(橫掃)RX Mapping'!AK8&lt;=720), (-1)*('(橫掃)RX Mapping'!AK8-720)+120,IF(AND('(橫掃)RX Mapping'!AK8&gt;=721,'(橫掃)RX Mapping'!AK8&lt;=840), ('(橫掃)RX Mapping'!AK8-601),IF(AND('(橫掃)RX Mapping'!AK8&gt;=841,'(橫掃)RX Mapping'!AK8&lt;=960), (-1)*('(橫掃)RX Mapping'!AK8-960)+120,9999))))))))</f>
        <v>9999</v>
      </c>
      <c r="AL8">
        <f>IF(AND('(橫掃)RX Mapping'!AL8&gt;=1,'(橫掃)RX Mapping'!AL8&lt;=120), ('(橫掃)RX Mapping'!AL8-1),IF(AND('(橫掃)RX Mapping'!AL8&gt;=121,'(橫掃)RX Mapping'!AL8&lt;=240), (-1)*('(橫掃)RX Mapping'!AL8-240),IF(AND('(橫掃)RX Mapping'!AL8&gt;=241,'(橫掃)RX Mapping'!AL8&lt;=360), ('(橫掃)RX Mapping'!AL8-241),IF(AND('(橫掃)RX Mapping'!AL8&gt;=361,'(橫掃)RX Mapping'!AL8&lt;=480), (-1)*('(橫掃)RX Mapping'!AL8-480),IF(AND('(橫掃)RX Mapping'!AL8&gt;=481,'(橫掃)RX Mapping'!AL8&lt;=600), ('(橫掃)RX Mapping'!AL8-361),IF(AND('(橫掃)RX Mapping'!AL8&gt;=601,'(橫掃)RX Mapping'!AL8&lt;=720), (-1)*('(橫掃)RX Mapping'!AL8-720)+120,IF(AND('(橫掃)RX Mapping'!AL8&gt;=721,'(橫掃)RX Mapping'!AL8&lt;=840), ('(橫掃)RX Mapping'!AL8-601),IF(AND('(橫掃)RX Mapping'!AL8&gt;=841,'(橫掃)RX Mapping'!AL8&lt;=960), (-1)*('(橫掃)RX Mapping'!AL8-960)+120,9999))))))))</f>
        <v>9999</v>
      </c>
      <c r="AM8">
        <f>IF(AND('(橫掃)RX Mapping'!AM8&gt;=1,'(橫掃)RX Mapping'!AM8&lt;=120), ('(橫掃)RX Mapping'!AM8-1),IF(AND('(橫掃)RX Mapping'!AM8&gt;=121,'(橫掃)RX Mapping'!AM8&lt;=240), (-1)*('(橫掃)RX Mapping'!AM8-240),IF(AND('(橫掃)RX Mapping'!AM8&gt;=241,'(橫掃)RX Mapping'!AM8&lt;=360), ('(橫掃)RX Mapping'!AM8-241),IF(AND('(橫掃)RX Mapping'!AM8&gt;=361,'(橫掃)RX Mapping'!AM8&lt;=480), (-1)*('(橫掃)RX Mapping'!AM8-480),IF(AND('(橫掃)RX Mapping'!AM8&gt;=481,'(橫掃)RX Mapping'!AM8&lt;=600), ('(橫掃)RX Mapping'!AM8-361),IF(AND('(橫掃)RX Mapping'!AM8&gt;=601,'(橫掃)RX Mapping'!AM8&lt;=720), (-1)*('(橫掃)RX Mapping'!AM8-720)+120,IF(AND('(橫掃)RX Mapping'!AM8&gt;=721,'(橫掃)RX Mapping'!AM8&lt;=840), ('(橫掃)RX Mapping'!AM8-601),IF(AND('(橫掃)RX Mapping'!AM8&gt;=841,'(橫掃)RX Mapping'!AM8&lt;=960), (-1)*('(橫掃)RX Mapping'!AM8-960)+120,9999))))))))</f>
        <v>9999</v>
      </c>
      <c r="AN8">
        <f>IF(AND('(橫掃)RX Mapping'!AN8&gt;=1,'(橫掃)RX Mapping'!AN8&lt;=120), ('(橫掃)RX Mapping'!AN8-1),IF(AND('(橫掃)RX Mapping'!AN8&gt;=121,'(橫掃)RX Mapping'!AN8&lt;=240), (-1)*('(橫掃)RX Mapping'!AN8-240),IF(AND('(橫掃)RX Mapping'!AN8&gt;=241,'(橫掃)RX Mapping'!AN8&lt;=360), ('(橫掃)RX Mapping'!AN8-241),IF(AND('(橫掃)RX Mapping'!AN8&gt;=361,'(橫掃)RX Mapping'!AN8&lt;=480), (-1)*('(橫掃)RX Mapping'!AN8-480),IF(AND('(橫掃)RX Mapping'!AN8&gt;=481,'(橫掃)RX Mapping'!AN8&lt;=600), ('(橫掃)RX Mapping'!AN8-361),IF(AND('(橫掃)RX Mapping'!AN8&gt;=601,'(橫掃)RX Mapping'!AN8&lt;=720), (-1)*('(橫掃)RX Mapping'!AN8-720)+120,IF(AND('(橫掃)RX Mapping'!AN8&gt;=721,'(橫掃)RX Mapping'!AN8&lt;=840), ('(橫掃)RX Mapping'!AN8-601),IF(AND('(橫掃)RX Mapping'!AN8&gt;=841,'(橫掃)RX Mapping'!AN8&lt;=960), (-1)*('(橫掃)RX Mapping'!AN8-960)+120,9999))))))))</f>
        <v>9999</v>
      </c>
      <c r="AO8">
        <f>IF(AND('(橫掃)RX Mapping'!AO8&gt;=1,'(橫掃)RX Mapping'!AO8&lt;=120), ('(橫掃)RX Mapping'!AO8-1),IF(AND('(橫掃)RX Mapping'!AO8&gt;=121,'(橫掃)RX Mapping'!AO8&lt;=240), (-1)*('(橫掃)RX Mapping'!AO8-240),IF(AND('(橫掃)RX Mapping'!AO8&gt;=241,'(橫掃)RX Mapping'!AO8&lt;=360), ('(橫掃)RX Mapping'!AO8-241),IF(AND('(橫掃)RX Mapping'!AO8&gt;=361,'(橫掃)RX Mapping'!AO8&lt;=480), (-1)*('(橫掃)RX Mapping'!AO8-480),IF(AND('(橫掃)RX Mapping'!AO8&gt;=481,'(橫掃)RX Mapping'!AO8&lt;=600), ('(橫掃)RX Mapping'!AO8-361),IF(AND('(橫掃)RX Mapping'!AO8&gt;=601,'(橫掃)RX Mapping'!AO8&lt;=720), (-1)*('(橫掃)RX Mapping'!AO8-720)+120,IF(AND('(橫掃)RX Mapping'!AO8&gt;=721,'(橫掃)RX Mapping'!AO8&lt;=840), ('(橫掃)RX Mapping'!AO8-601),IF(AND('(橫掃)RX Mapping'!AO8&gt;=841,'(橫掃)RX Mapping'!AO8&lt;=960), (-1)*('(橫掃)RX Mapping'!AO8-960)+120,9999))))))))</f>
        <v>9999</v>
      </c>
      <c r="AP8">
        <f>IF(AND('(橫掃)RX Mapping'!AP8&gt;=1,'(橫掃)RX Mapping'!AP8&lt;=120), ('(橫掃)RX Mapping'!AP8-1),IF(AND('(橫掃)RX Mapping'!AP8&gt;=121,'(橫掃)RX Mapping'!AP8&lt;=240), (-1)*('(橫掃)RX Mapping'!AP8-240),IF(AND('(橫掃)RX Mapping'!AP8&gt;=241,'(橫掃)RX Mapping'!AP8&lt;=360), ('(橫掃)RX Mapping'!AP8-241),IF(AND('(橫掃)RX Mapping'!AP8&gt;=361,'(橫掃)RX Mapping'!AP8&lt;=480), (-1)*('(橫掃)RX Mapping'!AP8-480),IF(AND('(橫掃)RX Mapping'!AP8&gt;=481,'(橫掃)RX Mapping'!AP8&lt;=600), ('(橫掃)RX Mapping'!AP8-361),IF(AND('(橫掃)RX Mapping'!AP8&gt;=601,'(橫掃)RX Mapping'!AP8&lt;=720), (-1)*('(橫掃)RX Mapping'!AP8-720)+120,IF(AND('(橫掃)RX Mapping'!AP8&gt;=721,'(橫掃)RX Mapping'!AP8&lt;=840), ('(橫掃)RX Mapping'!AP8-601),IF(AND('(橫掃)RX Mapping'!AP8&gt;=841,'(橫掃)RX Mapping'!AP8&lt;=960), (-1)*('(橫掃)RX Mapping'!AP8-960)+120,9999))))))))</f>
        <v>9999</v>
      </c>
      <c r="AQ8">
        <f>IF(AND('(橫掃)RX Mapping'!AQ8&gt;=1,'(橫掃)RX Mapping'!AQ8&lt;=120), ('(橫掃)RX Mapping'!AQ8-1),IF(AND('(橫掃)RX Mapping'!AQ8&gt;=121,'(橫掃)RX Mapping'!AQ8&lt;=240), (-1)*('(橫掃)RX Mapping'!AQ8-240),IF(AND('(橫掃)RX Mapping'!AQ8&gt;=241,'(橫掃)RX Mapping'!AQ8&lt;=360), ('(橫掃)RX Mapping'!AQ8-241),IF(AND('(橫掃)RX Mapping'!AQ8&gt;=361,'(橫掃)RX Mapping'!AQ8&lt;=480), (-1)*('(橫掃)RX Mapping'!AQ8-480),IF(AND('(橫掃)RX Mapping'!AQ8&gt;=481,'(橫掃)RX Mapping'!AQ8&lt;=600), ('(橫掃)RX Mapping'!AQ8-361),IF(AND('(橫掃)RX Mapping'!AQ8&gt;=601,'(橫掃)RX Mapping'!AQ8&lt;=720), (-1)*('(橫掃)RX Mapping'!AQ8-720)+120,IF(AND('(橫掃)RX Mapping'!AQ8&gt;=721,'(橫掃)RX Mapping'!AQ8&lt;=840), ('(橫掃)RX Mapping'!AQ8-601),IF(AND('(橫掃)RX Mapping'!AQ8&gt;=841,'(橫掃)RX Mapping'!AQ8&lt;=960), (-1)*('(橫掃)RX Mapping'!AQ8-960)+120,9999))))))))</f>
        <v>9999</v>
      </c>
      <c r="AR8">
        <f>IF(AND('(橫掃)RX Mapping'!AR8&gt;=1,'(橫掃)RX Mapping'!AR8&lt;=120), ('(橫掃)RX Mapping'!AR8-1),IF(AND('(橫掃)RX Mapping'!AR8&gt;=121,'(橫掃)RX Mapping'!AR8&lt;=240), (-1)*('(橫掃)RX Mapping'!AR8-240),IF(AND('(橫掃)RX Mapping'!AR8&gt;=241,'(橫掃)RX Mapping'!AR8&lt;=360), ('(橫掃)RX Mapping'!AR8-241),IF(AND('(橫掃)RX Mapping'!AR8&gt;=361,'(橫掃)RX Mapping'!AR8&lt;=480), (-1)*('(橫掃)RX Mapping'!AR8-480),IF(AND('(橫掃)RX Mapping'!AR8&gt;=481,'(橫掃)RX Mapping'!AR8&lt;=600), ('(橫掃)RX Mapping'!AR8-361),IF(AND('(橫掃)RX Mapping'!AR8&gt;=601,'(橫掃)RX Mapping'!AR8&lt;=720), (-1)*('(橫掃)RX Mapping'!AR8-720)+120,IF(AND('(橫掃)RX Mapping'!AR8&gt;=721,'(橫掃)RX Mapping'!AR8&lt;=840), ('(橫掃)RX Mapping'!AR8-601),IF(AND('(橫掃)RX Mapping'!AR8&gt;=841,'(橫掃)RX Mapping'!AR8&lt;=960), (-1)*('(橫掃)RX Mapping'!AR8-960)+120,9999))))))))</f>
        <v>9999</v>
      </c>
      <c r="AS8">
        <f>IF(AND('(橫掃)RX Mapping'!AS8&gt;=1,'(橫掃)RX Mapping'!AS8&lt;=120), ('(橫掃)RX Mapping'!AS8-1),IF(AND('(橫掃)RX Mapping'!AS8&gt;=121,'(橫掃)RX Mapping'!AS8&lt;=240), (-1)*('(橫掃)RX Mapping'!AS8-240),IF(AND('(橫掃)RX Mapping'!AS8&gt;=241,'(橫掃)RX Mapping'!AS8&lt;=360), ('(橫掃)RX Mapping'!AS8-241),IF(AND('(橫掃)RX Mapping'!AS8&gt;=361,'(橫掃)RX Mapping'!AS8&lt;=480), (-1)*('(橫掃)RX Mapping'!AS8-480),IF(AND('(橫掃)RX Mapping'!AS8&gt;=481,'(橫掃)RX Mapping'!AS8&lt;=600), ('(橫掃)RX Mapping'!AS8-361),IF(AND('(橫掃)RX Mapping'!AS8&gt;=601,'(橫掃)RX Mapping'!AS8&lt;=720), (-1)*('(橫掃)RX Mapping'!AS8-720)+120,IF(AND('(橫掃)RX Mapping'!AS8&gt;=721,'(橫掃)RX Mapping'!AS8&lt;=840), ('(橫掃)RX Mapping'!AS8-601),IF(AND('(橫掃)RX Mapping'!AS8&gt;=841,'(橫掃)RX Mapping'!AS8&lt;=960), (-1)*('(橫掃)RX Mapping'!AS8-960)+120,9999))))))))</f>
        <v>9999</v>
      </c>
      <c r="AT8">
        <f>IF(AND('(橫掃)RX Mapping'!AT8&gt;=1,'(橫掃)RX Mapping'!AT8&lt;=120), ('(橫掃)RX Mapping'!AT8-1),IF(AND('(橫掃)RX Mapping'!AT8&gt;=121,'(橫掃)RX Mapping'!AT8&lt;=240), (-1)*('(橫掃)RX Mapping'!AT8-240),IF(AND('(橫掃)RX Mapping'!AT8&gt;=241,'(橫掃)RX Mapping'!AT8&lt;=360), ('(橫掃)RX Mapping'!AT8-241),IF(AND('(橫掃)RX Mapping'!AT8&gt;=361,'(橫掃)RX Mapping'!AT8&lt;=480), (-1)*('(橫掃)RX Mapping'!AT8-480),IF(AND('(橫掃)RX Mapping'!AT8&gt;=481,'(橫掃)RX Mapping'!AT8&lt;=600), ('(橫掃)RX Mapping'!AT8-361),IF(AND('(橫掃)RX Mapping'!AT8&gt;=601,'(橫掃)RX Mapping'!AT8&lt;=720), (-1)*('(橫掃)RX Mapping'!AT8-720)+120,IF(AND('(橫掃)RX Mapping'!AT8&gt;=721,'(橫掃)RX Mapping'!AT8&lt;=840), ('(橫掃)RX Mapping'!AT8-601),IF(AND('(橫掃)RX Mapping'!AT8&gt;=841,'(橫掃)RX Mapping'!AT8&lt;=960), (-1)*('(橫掃)RX Mapping'!AT8-960)+120,9999))))))))</f>
        <v>9999</v>
      </c>
      <c r="AU8">
        <f>IF(AND('(橫掃)RX Mapping'!AU8&gt;=1,'(橫掃)RX Mapping'!AU8&lt;=120), ('(橫掃)RX Mapping'!AU8-1),IF(AND('(橫掃)RX Mapping'!AU8&gt;=121,'(橫掃)RX Mapping'!AU8&lt;=240), (-1)*('(橫掃)RX Mapping'!AU8-240),IF(AND('(橫掃)RX Mapping'!AU8&gt;=241,'(橫掃)RX Mapping'!AU8&lt;=360), ('(橫掃)RX Mapping'!AU8-241),IF(AND('(橫掃)RX Mapping'!AU8&gt;=361,'(橫掃)RX Mapping'!AU8&lt;=480), (-1)*('(橫掃)RX Mapping'!AU8-480),IF(AND('(橫掃)RX Mapping'!AU8&gt;=481,'(橫掃)RX Mapping'!AU8&lt;=600), ('(橫掃)RX Mapping'!AU8-361),IF(AND('(橫掃)RX Mapping'!AU8&gt;=601,'(橫掃)RX Mapping'!AU8&lt;=720), (-1)*('(橫掃)RX Mapping'!AU8-720)+120,IF(AND('(橫掃)RX Mapping'!AU8&gt;=721,'(橫掃)RX Mapping'!AU8&lt;=840), ('(橫掃)RX Mapping'!AU8-601),IF(AND('(橫掃)RX Mapping'!AU8&gt;=841,'(橫掃)RX Mapping'!AU8&lt;=960), (-1)*('(橫掃)RX Mapping'!AU8-960)+120,9999))))))))</f>
        <v>9999</v>
      </c>
      <c r="AV8">
        <f>IF(AND('(橫掃)RX Mapping'!AV8&gt;=1,'(橫掃)RX Mapping'!AV8&lt;=120), ('(橫掃)RX Mapping'!AV8-1),IF(AND('(橫掃)RX Mapping'!AV8&gt;=121,'(橫掃)RX Mapping'!AV8&lt;=240), (-1)*('(橫掃)RX Mapping'!AV8-240),IF(AND('(橫掃)RX Mapping'!AV8&gt;=241,'(橫掃)RX Mapping'!AV8&lt;=360), ('(橫掃)RX Mapping'!AV8-241),IF(AND('(橫掃)RX Mapping'!AV8&gt;=361,'(橫掃)RX Mapping'!AV8&lt;=480), (-1)*('(橫掃)RX Mapping'!AV8-480),IF(AND('(橫掃)RX Mapping'!AV8&gt;=481,'(橫掃)RX Mapping'!AV8&lt;=600), ('(橫掃)RX Mapping'!AV8-361),IF(AND('(橫掃)RX Mapping'!AV8&gt;=601,'(橫掃)RX Mapping'!AV8&lt;=720), (-1)*('(橫掃)RX Mapping'!AV8-720)+120,IF(AND('(橫掃)RX Mapping'!AV8&gt;=721,'(橫掃)RX Mapping'!AV8&lt;=840), ('(橫掃)RX Mapping'!AV8-601),IF(AND('(橫掃)RX Mapping'!AV8&gt;=841,'(橫掃)RX Mapping'!AV8&lt;=960), (-1)*('(橫掃)RX Mapping'!AV8-960)+120,9999))))))))</f>
        <v>9999</v>
      </c>
      <c r="AW8">
        <f>IF(AND('(橫掃)RX Mapping'!AW8&gt;=1,'(橫掃)RX Mapping'!AW8&lt;=120), ('(橫掃)RX Mapping'!AW8-1),IF(AND('(橫掃)RX Mapping'!AW8&gt;=121,'(橫掃)RX Mapping'!AW8&lt;=240), (-1)*('(橫掃)RX Mapping'!AW8-240),IF(AND('(橫掃)RX Mapping'!AW8&gt;=241,'(橫掃)RX Mapping'!AW8&lt;=360), ('(橫掃)RX Mapping'!AW8-241),IF(AND('(橫掃)RX Mapping'!AW8&gt;=361,'(橫掃)RX Mapping'!AW8&lt;=480), (-1)*('(橫掃)RX Mapping'!AW8-480),IF(AND('(橫掃)RX Mapping'!AW8&gt;=481,'(橫掃)RX Mapping'!AW8&lt;=600), ('(橫掃)RX Mapping'!AW8-361),IF(AND('(橫掃)RX Mapping'!AW8&gt;=601,'(橫掃)RX Mapping'!AW8&lt;=720), (-1)*('(橫掃)RX Mapping'!AW8-720)+120,IF(AND('(橫掃)RX Mapping'!AW8&gt;=721,'(橫掃)RX Mapping'!AW8&lt;=840), ('(橫掃)RX Mapping'!AW8-601),IF(AND('(橫掃)RX Mapping'!AW8&gt;=841,'(橫掃)RX Mapping'!AW8&lt;=960), (-1)*('(橫掃)RX Mapping'!AW8-960)+120,9999))))))))</f>
        <v>9999</v>
      </c>
      <c r="AX8">
        <f>IF(AND('(橫掃)RX Mapping'!AX8&gt;=1,'(橫掃)RX Mapping'!AX8&lt;=120), ('(橫掃)RX Mapping'!AX8-1),IF(AND('(橫掃)RX Mapping'!AX8&gt;=121,'(橫掃)RX Mapping'!AX8&lt;=240), (-1)*('(橫掃)RX Mapping'!AX8-240),IF(AND('(橫掃)RX Mapping'!AX8&gt;=241,'(橫掃)RX Mapping'!AX8&lt;=360), ('(橫掃)RX Mapping'!AX8-241),IF(AND('(橫掃)RX Mapping'!AX8&gt;=361,'(橫掃)RX Mapping'!AX8&lt;=480), (-1)*('(橫掃)RX Mapping'!AX8-480),IF(AND('(橫掃)RX Mapping'!AX8&gt;=481,'(橫掃)RX Mapping'!AX8&lt;=600), ('(橫掃)RX Mapping'!AX8-361),IF(AND('(橫掃)RX Mapping'!AX8&gt;=601,'(橫掃)RX Mapping'!AX8&lt;=720), (-1)*('(橫掃)RX Mapping'!AX8-720)+120,IF(AND('(橫掃)RX Mapping'!AX8&gt;=721,'(橫掃)RX Mapping'!AX8&lt;=840), ('(橫掃)RX Mapping'!AX8-601),IF(AND('(橫掃)RX Mapping'!AX8&gt;=841,'(橫掃)RX Mapping'!AX8&lt;=960), (-1)*('(橫掃)RX Mapping'!AX8-960)+120,9999))))))))</f>
        <v>9999</v>
      </c>
      <c r="AY8">
        <f>IF(AND('(橫掃)RX Mapping'!AY8&gt;=1,'(橫掃)RX Mapping'!AY8&lt;=120), ('(橫掃)RX Mapping'!AY8-1),IF(AND('(橫掃)RX Mapping'!AY8&gt;=121,'(橫掃)RX Mapping'!AY8&lt;=240), (-1)*('(橫掃)RX Mapping'!AY8-240),IF(AND('(橫掃)RX Mapping'!AY8&gt;=241,'(橫掃)RX Mapping'!AY8&lt;=360), ('(橫掃)RX Mapping'!AY8-241),IF(AND('(橫掃)RX Mapping'!AY8&gt;=361,'(橫掃)RX Mapping'!AY8&lt;=480), (-1)*('(橫掃)RX Mapping'!AY8-480),IF(AND('(橫掃)RX Mapping'!AY8&gt;=481,'(橫掃)RX Mapping'!AY8&lt;=600), ('(橫掃)RX Mapping'!AY8-361),IF(AND('(橫掃)RX Mapping'!AY8&gt;=601,'(橫掃)RX Mapping'!AY8&lt;=720), (-1)*('(橫掃)RX Mapping'!AY8-720)+120,IF(AND('(橫掃)RX Mapping'!AY8&gt;=721,'(橫掃)RX Mapping'!AY8&lt;=840), ('(橫掃)RX Mapping'!AY8-601),IF(AND('(橫掃)RX Mapping'!AY8&gt;=841,'(橫掃)RX Mapping'!AY8&lt;=960), (-1)*('(橫掃)RX Mapping'!AY8-960)+120,9999))))))))</f>
        <v>9999</v>
      </c>
      <c r="AZ8">
        <f>IF(AND('(橫掃)RX Mapping'!AZ8&gt;=1,'(橫掃)RX Mapping'!AZ8&lt;=120), ('(橫掃)RX Mapping'!AZ8-1),IF(AND('(橫掃)RX Mapping'!AZ8&gt;=121,'(橫掃)RX Mapping'!AZ8&lt;=240), (-1)*('(橫掃)RX Mapping'!AZ8-240),IF(AND('(橫掃)RX Mapping'!AZ8&gt;=241,'(橫掃)RX Mapping'!AZ8&lt;=360), ('(橫掃)RX Mapping'!AZ8-241),IF(AND('(橫掃)RX Mapping'!AZ8&gt;=361,'(橫掃)RX Mapping'!AZ8&lt;=480), (-1)*('(橫掃)RX Mapping'!AZ8-480),IF(AND('(橫掃)RX Mapping'!AZ8&gt;=481,'(橫掃)RX Mapping'!AZ8&lt;=600), ('(橫掃)RX Mapping'!AZ8-361),IF(AND('(橫掃)RX Mapping'!AZ8&gt;=601,'(橫掃)RX Mapping'!AZ8&lt;=720), (-1)*('(橫掃)RX Mapping'!AZ8-720)+120,IF(AND('(橫掃)RX Mapping'!AZ8&gt;=721,'(橫掃)RX Mapping'!AZ8&lt;=840), ('(橫掃)RX Mapping'!AZ8-601),IF(AND('(橫掃)RX Mapping'!AZ8&gt;=841,'(橫掃)RX Mapping'!AZ8&lt;=960), (-1)*('(橫掃)RX Mapping'!AZ8-960)+120,9999))))))))</f>
        <v>9999</v>
      </c>
      <c r="BA8">
        <f>IF(AND('(橫掃)RX Mapping'!BA8&gt;=1,'(橫掃)RX Mapping'!BA8&lt;=120), ('(橫掃)RX Mapping'!BA8-1),IF(AND('(橫掃)RX Mapping'!BA8&gt;=121,'(橫掃)RX Mapping'!BA8&lt;=240), (-1)*('(橫掃)RX Mapping'!BA8-240),IF(AND('(橫掃)RX Mapping'!BA8&gt;=241,'(橫掃)RX Mapping'!BA8&lt;=360), ('(橫掃)RX Mapping'!BA8-241),IF(AND('(橫掃)RX Mapping'!BA8&gt;=361,'(橫掃)RX Mapping'!BA8&lt;=480), (-1)*('(橫掃)RX Mapping'!BA8-480),IF(AND('(橫掃)RX Mapping'!BA8&gt;=481,'(橫掃)RX Mapping'!BA8&lt;=600), ('(橫掃)RX Mapping'!BA8-361),IF(AND('(橫掃)RX Mapping'!BA8&gt;=601,'(橫掃)RX Mapping'!BA8&lt;=720), (-1)*('(橫掃)RX Mapping'!BA8-720)+120,IF(AND('(橫掃)RX Mapping'!BA8&gt;=721,'(橫掃)RX Mapping'!BA8&lt;=840), ('(橫掃)RX Mapping'!BA8-601),IF(AND('(橫掃)RX Mapping'!BA8&gt;=841,'(橫掃)RX Mapping'!BA8&lt;=960), (-1)*('(橫掃)RX Mapping'!BA8-960)+120,9999))))))))</f>
        <v>9999</v>
      </c>
      <c r="BB8">
        <f>IF(AND('(橫掃)RX Mapping'!BB8&gt;=1,'(橫掃)RX Mapping'!BB8&lt;=120), ('(橫掃)RX Mapping'!BB8-1),IF(AND('(橫掃)RX Mapping'!BB8&gt;=121,'(橫掃)RX Mapping'!BB8&lt;=240), (-1)*('(橫掃)RX Mapping'!BB8-240),IF(AND('(橫掃)RX Mapping'!BB8&gt;=241,'(橫掃)RX Mapping'!BB8&lt;=360), ('(橫掃)RX Mapping'!BB8-241),IF(AND('(橫掃)RX Mapping'!BB8&gt;=361,'(橫掃)RX Mapping'!BB8&lt;=480), (-1)*('(橫掃)RX Mapping'!BB8-480),IF(AND('(橫掃)RX Mapping'!BB8&gt;=481,'(橫掃)RX Mapping'!BB8&lt;=600), ('(橫掃)RX Mapping'!BB8-361),IF(AND('(橫掃)RX Mapping'!BB8&gt;=601,'(橫掃)RX Mapping'!BB8&lt;=720), (-1)*('(橫掃)RX Mapping'!BB8-720)+120,IF(AND('(橫掃)RX Mapping'!BB8&gt;=721,'(橫掃)RX Mapping'!BB8&lt;=840), ('(橫掃)RX Mapping'!BB8-601),IF(AND('(橫掃)RX Mapping'!BB8&gt;=841,'(橫掃)RX Mapping'!BB8&lt;=960), (-1)*('(橫掃)RX Mapping'!BB8-960)+120,9999))))))))</f>
        <v>9999</v>
      </c>
      <c r="BC8">
        <f>IF(AND('(橫掃)RX Mapping'!BC8&gt;=1,'(橫掃)RX Mapping'!BC8&lt;=120), ('(橫掃)RX Mapping'!BC8-1),IF(AND('(橫掃)RX Mapping'!BC8&gt;=121,'(橫掃)RX Mapping'!BC8&lt;=240), (-1)*('(橫掃)RX Mapping'!BC8-240),IF(AND('(橫掃)RX Mapping'!BC8&gt;=241,'(橫掃)RX Mapping'!BC8&lt;=360), ('(橫掃)RX Mapping'!BC8-241),IF(AND('(橫掃)RX Mapping'!BC8&gt;=361,'(橫掃)RX Mapping'!BC8&lt;=480), (-1)*('(橫掃)RX Mapping'!BC8-480),IF(AND('(橫掃)RX Mapping'!BC8&gt;=481,'(橫掃)RX Mapping'!BC8&lt;=600), ('(橫掃)RX Mapping'!BC8-361),IF(AND('(橫掃)RX Mapping'!BC8&gt;=601,'(橫掃)RX Mapping'!BC8&lt;=720), (-1)*('(橫掃)RX Mapping'!BC8-720)+120,IF(AND('(橫掃)RX Mapping'!BC8&gt;=721,'(橫掃)RX Mapping'!BC8&lt;=840), ('(橫掃)RX Mapping'!BC8-601),IF(AND('(橫掃)RX Mapping'!BC8&gt;=841,'(橫掃)RX Mapping'!BC8&lt;=960), (-1)*('(橫掃)RX Mapping'!BC8-960)+120,9999))))))))</f>
        <v>9999</v>
      </c>
      <c r="BD8">
        <f>IF(AND('(橫掃)RX Mapping'!BD8&gt;=1,'(橫掃)RX Mapping'!BD8&lt;=120), ('(橫掃)RX Mapping'!BD8-1),IF(AND('(橫掃)RX Mapping'!BD8&gt;=121,'(橫掃)RX Mapping'!BD8&lt;=240), (-1)*('(橫掃)RX Mapping'!BD8-240),IF(AND('(橫掃)RX Mapping'!BD8&gt;=241,'(橫掃)RX Mapping'!BD8&lt;=360), ('(橫掃)RX Mapping'!BD8-241),IF(AND('(橫掃)RX Mapping'!BD8&gt;=361,'(橫掃)RX Mapping'!BD8&lt;=480), (-1)*('(橫掃)RX Mapping'!BD8-480),IF(AND('(橫掃)RX Mapping'!BD8&gt;=481,'(橫掃)RX Mapping'!BD8&lt;=600), ('(橫掃)RX Mapping'!BD8-361),IF(AND('(橫掃)RX Mapping'!BD8&gt;=601,'(橫掃)RX Mapping'!BD8&lt;=720), (-1)*('(橫掃)RX Mapping'!BD8-720)+120,IF(AND('(橫掃)RX Mapping'!BD8&gt;=721,'(橫掃)RX Mapping'!BD8&lt;=840), ('(橫掃)RX Mapping'!BD8-601),IF(AND('(橫掃)RX Mapping'!BD8&gt;=841,'(橫掃)RX Mapping'!BD8&lt;=960), (-1)*('(橫掃)RX Mapping'!BD8-960)+120,9999))))))))</f>
        <v>9999</v>
      </c>
      <c r="BE8">
        <f>IF(AND('(橫掃)RX Mapping'!BE8&gt;=1,'(橫掃)RX Mapping'!BE8&lt;=120), ('(橫掃)RX Mapping'!BE8-1),IF(AND('(橫掃)RX Mapping'!BE8&gt;=121,'(橫掃)RX Mapping'!BE8&lt;=240), (-1)*('(橫掃)RX Mapping'!BE8-240),IF(AND('(橫掃)RX Mapping'!BE8&gt;=241,'(橫掃)RX Mapping'!BE8&lt;=360), ('(橫掃)RX Mapping'!BE8-241),IF(AND('(橫掃)RX Mapping'!BE8&gt;=361,'(橫掃)RX Mapping'!BE8&lt;=480), (-1)*('(橫掃)RX Mapping'!BE8-480),IF(AND('(橫掃)RX Mapping'!BE8&gt;=481,'(橫掃)RX Mapping'!BE8&lt;=600), ('(橫掃)RX Mapping'!BE8-361),IF(AND('(橫掃)RX Mapping'!BE8&gt;=601,'(橫掃)RX Mapping'!BE8&lt;=720), (-1)*('(橫掃)RX Mapping'!BE8-720)+120,IF(AND('(橫掃)RX Mapping'!BE8&gt;=721,'(橫掃)RX Mapping'!BE8&lt;=840), ('(橫掃)RX Mapping'!BE8-601),IF(AND('(橫掃)RX Mapping'!BE8&gt;=841,'(橫掃)RX Mapping'!BE8&lt;=960), (-1)*('(橫掃)RX Mapping'!BE8-960)+120,9999))))))))</f>
        <v>9999</v>
      </c>
      <c r="BF8">
        <f>IF(AND('(橫掃)RX Mapping'!BF8&gt;=1,'(橫掃)RX Mapping'!BF8&lt;=120), ('(橫掃)RX Mapping'!BF8-1),IF(AND('(橫掃)RX Mapping'!BF8&gt;=121,'(橫掃)RX Mapping'!BF8&lt;=240), (-1)*('(橫掃)RX Mapping'!BF8-240),IF(AND('(橫掃)RX Mapping'!BF8&gt;=241,'(橫掃)RX Mapping'!BF8&lt;=360), ('(橫掃)RX Mapping'!BF8-241),IF(AND('(橫掃)RX Mapping'!BF8&gt;=361,'(橫掃)RX Mapping'!BF8&lt;=480), (-1)*('(橫掃)RX Mapping'!BF8-480),IF(AND('(橫掃)RX Mapping'!BF8&gt;=481,'(橫掃)RX Mapping'!BF8&lt;=600), ('(橫掃)RX Mapping'!BF8-361),IF(AND('(橫掃)RX Mapping'!BF8&gt;=601,'(橫掃)RX Mapping'!BF8&lt;=720), (-1)*('(橫掃)RX Mapping'!BF8-720)+120,IF(AND('(橫掃)RX Mapping'!BF8&gt;=721,'(橫掃)RX Mapping'!BF8&lt;=840), ('(橫掃)RX Mapping'!BF8-601),IF(AND('(橫掃)RX Mapping'!BF8&gt;=841,'(橫掃)RX Mapping'!BF8&lt;=960), (-1)*('(橫掃)RX Mapping'!BF8-960)+120,9999))))))))</f>
        <v>9999</v>
      </c>
      <c r="BG8">
        <f>IF(AND('(橫掃)RX Mapping'!BG8&gt;=1,'(橫掃)RX Mapping'!BG8&lt;=120), ('(橫掃)RX Mapping'!BG8-1),IF(AND('(橫掃)RX Mapping'!BG8&gt;=121,'(橫掃)RX Mapping'!BG8&lt;=240), (-1)*('(橫掃)RX Mapping'!BG8-240),IF(AND('(橫掃)RX Mapping'!BG8&gt;=241,'(橫掃)RX Mapping'!BG8&lt;=360), ('(橫掃)RX Mapping'!BG8-241),IF(AND('(橫掃)RX Mapping'!BG8&gt;=361,'(橫掃)RX Mapping'!BG8&lt;=480), (-1)*('(橫掃)RX Mapping'!BG8-480),IF(AND('(橫掃)RX Mapping'!BG8&gt;=481,'(橫掃)RX Mapping'!BG8&lt;=600), ('(橫掃)RX Mapping'!BG8-361),IF(AND('(橫掃)RX Mapping'!BG8&gt;=601,'(橫掃)RX Mapping'!BG8&lt;=720), (-1)*('(橫掃)RX Mapping'!BG8-720)+120,IF(AND('(橫掃)RX Mapping'!BG8&gt;=721,'(橫掃)RX Mapping'!BG8&lt;=840), ('(橫掃)RX Mapping'!BG8-601),IF(AND('(橫掃)RX Mapping'!BG8&gt;=841,'(橫掃)RX Mapping'!BG8&lt;=960), (-1)*('(橫掃)RX Mapping'!BG8-960)+120,9999))))))))</f>
        <v>9999</v>
      </c>
      <c r="BH8">
        <f>IF(AND('(橫掃)RX Mapping'!BH8&gt;=1,'(橫掃)RX Mapping'!BH8&lt;=120), ('(橫掃)RX Mapping'!BH8-1),IF(AND('(橫掃)RX Mapping'!BH8&gt;=121,'(橫掃)RX Mapping'!BH8&lt;=240), (-1)*('(橫掃)RX Mapping'!BH8-240),IF(AND('(橫掃)RX Mapping'!BH8&gt;=241,'(橫掃)RX Mapping'!BH8&lt;=360), ('(橫掃)RX Mapping'!BH8-241),IF(AND('(橫掃)RX Mapping'!BH8&gt;=361,'(橫掃)RX Mapping'!BH8&lt;=480), (-1)*('(橫掃)RX Mapping'!BH8-480),IF(AND('(橫掃)RX Mapping'!BH8&gt;=481,'(橫掃)RX Mapping'!BH8&lt;=600), ('(橫掃)RX Mapping'!BH8-361),IF(AND('(橫掃)RX Mapping'!BH8&gt;=601,'(橫掃)RX Mapping'!BH8&lt;=720), (-1)*('(橫掃)RX Mapping'!BH8-720)+120,IF(AND('(橫掃)RX Mapping'!BH8&gt;=721,'(橫掃)RX Mapping'!BH8&lt;=840), ('(橫掃)RX Mapping'!BH8-601),IF(AND('(橫掃)RX Mapping'!BH8&gt;=841,'(橫掃)RX Mapping'!BH8&lt;=960), (-1)*('(橫掃)RX Mapping'!BH8-960)+120,9999))))))))</f>
        <v>9999</v>
      </c>
      <c r="BI8">
        <f>IF(AND('(橫掃)RX Mapping'!BI8&gt;=1,'(橫掃)RX Mapping'!BI8&lt;=120), ('(橫掃)RX Mapping'!BI8-1),IF(AND('(橫掃)RX Mapping'!BI8&gt;=121,'(橫掃)RX Mapping'!BI8&lt;=240), (-1)*('(橫掃)RX Mapping'!BI8-240),IF(AND('(橫掃)RX Mapping'!BI8&gt;=241,'(橫掃)RX Mapping'!BI8&lt;=360), ('(橫掃)RX Mapping'!BI8-241),IF(AND('(橫掃)RX Mapping'!BI8&gt;=361,'(橫掃)RX Mapping'!BI8&lt;=480), (-1)*('(橫掃)RX Mapping'!BI8-480),IF(AND('(橫掃)RX Mapping'!BI8&gt;=481,'(橫掃)RX Mapping'!BI8&lt;=600), ('(橫掃)RX Mapping'!BI8-361),IF(AND('(橫掃)RX Mapping'!BI8&gt;=601,'(橫掃)RX Mapping'!BI8&lt;=720), (-1)*('(橫掃)RX Mapping'!BI8-720)+120,IF(AND('(橫掃)RX Mapping'!BI8&gt;=721,'(橫掃)RX Mapping'!BI8&lt;=840), ('(橫掃)RX Mapping'!BI8-601),IF(AND('(橫掃)RX Mapping'!BI8&gt;=841,'(橫掃)RX Mapping'!BI8&lt;=960), (-1)*('(橫掃)RX Mapping'!BI8-960)+120,9999))))))))</f>
        <v>9999</v>
      </c>
    </row>
    <row r="9" spans="1:61" x14ac:dyDescent="0.25">
      <c r="A9" s="20">
        <v>8</v>
      </c>
      <c r="B9">
        <f>IF(AND('(橫掃)RX Mapping'!B9&gt;=1,'(橫掃)RX Mapping'!B9&lt;=120), ('(橫掃)RX Mapping'!B9-1),IF(AND('(橫掃)RX Mapping'!B9&gt;=121,'(橫掃)RX Mapping'!B9&lt;=240), (-1)*('(橫掃)RX Mapping'!B9-240),IF(AND('(橫掃)RX Mapping'!B9&gt;=241,'(橫掃)RX Mapping'!B9&lt;=360), ('(橫掃)RX Mapping'!B9-241),IF(AND('(橫掃)RX Mapping'!B9&gt;=361,'(橫掃)RX Mapping'!B9&lt;=480), (-1)*('(橫掃)RX Mapping'!B9-480),IF(AND('(橫掃)RX Mapping'!B9&gt;=481,'(橫掃)RX Mapping'!B9&lt;=600), ('(橫掃)RX Mapping'!B9-361),IF(AND('(橫掃)RX Mapping'!B9&gt;=601,'(橫掃)RX Mapping'!B9&lt;=720), (-1)*('(橫掃)RX Mapping'!B9-720)+120,IF(AND('(橫掃)RX Mapping'!B9&gt;=721,'(橫掃)RX Mapping'!B9&lt;=840), ('(橫掃)RX Mapping'!B9-601),IF(AND('(橫掃)RX Mapping'!B9&gt;=841,'(橫掃)RX Mapping'!B9&lt;=960), (-1)*('(橫掃)RX Mapping'!B9-960)+120,9999))))))))</f>
        <v>7</v>
      </c>
      <c r="C9">
        <f>IF(AND('(橫掃)RX Mapping'!C9&gt;=1,'(橫掃)RX Mapping'!C9&lt;=120), ('(橫掃)RX Mapping'!C9-1),IF(AND('(橫掃)RX Mapping'!C9&gt;=121,'(橫掃)RX Mapping'!C9&lt;=240), (-1)*('(橫掃)RX Mapping'!C9-240),IF(AND('(橫掃)RX Mapping'!C9&gt;=241,'(橫掃)RX Mapping'!C9&lt;=360), ('(橫掃)RX Mapping'!C9-241),IF(AND('(橫掃)RX Mapping'!C9&gt;=361,'(橫掃)RX Mapping'!C9&lt;=480), (-1)*('(橫掃)RX Mapping'!C9-480),IF(AND('(橫掃)RX Mapping'!C9&gt;=481,'(橫掃)RX Mapping'!C9&lt;=600), ('(橫掃)RX Mapping'!C9-361),IF(AND('(橫掃)RX Mapping'!C9&gt;=601,'(橫掃)RX Mapping'!C9&lt;=720), (-1)*('(橫掃)RX Mapping'!C9-720)+120,IF(AND('(橫掃)RX Mapping'!C9&gt;=721,'(橫掃)RX Mapping'!C9&lt;=840), ('(橫掃)RX Mapping'!C9-601),IF(AND('(橫掃)RX Mapping'!C9&gt;=841,'(橫掃)RX Mapping'!C9&lt;=960), (-1)*('(橫掃)RX Mapping'!C9-960)+120,9999))))))))</f>
        <v>39</v>
      </c>
      <c r="D9">
        <f>IF(AND('(橫掃)RX Mapping'!D9&gt;=1,'(橫掃)RX Mapping'!D9&lt;=120), ('(橫掃)RX Mapping'!D9-1),IF(AND('(橫掃)RX Mapping'!D9&gt;=121,'(橫掃)RX Mapping'!D9&lt;=240), (-1)*('(橫掃)RX Mapping'!D9-240),IF(AND('(橫掃)RX Mapping'!D9&gt;=241,'(橫掃)RX Mapping'!D9&lt;=360), ('(橫掃)RX Mapping'!D9-241),IF(AND('(橫掃)RX Mapping'!D9&gt;=361,'(橫掃)RX Mapping'!D9&lt;=480), (-1)*('(橫掃)RX Mapping'!D9-480),IF(AND('(橫掃)RX Mapping'!D9&gt;=481,'(橫掃)RX Mapping'!D9&lt;=600), ('(橫掃)RX Mapping'!D9-361),IF(AND('(橫掃)RX Mapping'!D9&gt;=601,'(橫掃)RX Mapping'!D9&lt;=720), (-1)*('(橫掃)RX Mapping'!D9-720)+120,IF(AND('(橫掃)RX Mapping'!D9&gt;=721,'(橫掃)RX Mapping'!D9&lt;=840), ('(橫掃)RX Mapping'!D9-601),IF(AND('(橫掃)RX Mapping'!D9&gt;=841,'(橫掃)RX Mapping'!D9&lt;=960), (-1)*('(橫掃)RX Mapping'!D9-960)+120,9999))))))))</f>
        <v>71</v>
      </c>
      <c r="E9">
        <f>IF(AND('(橫掃)RX Mapping'!E9&gt;=1,'(橫掃)RX Mapping'!E9&lt;=120), ('(橫掃)RX Mapping'!E9-1),IF(AND('(橫掃)RX Mapping'!E9&gt;=121,'(橫掃)RX Mapping'!E9&lt;=240), (-1)*('(橫掃)RX Mapping'!E9-240),IF(AND('(橫掃)RX Mapping'!E9&gt;=241,'(橫掃)RX Mapping'!E9&lt;=360), ('(橫掃)RX Mapping'!E9-241),IF(AND('(橫掃)RX Mapping'!E9&gt;=361,'(橫掃)RX Mapping'!E9&lt;=480), (-1)*('(橫掃)RX Mapping'!E9-480),IF(AND('(橫掃)RX Mapping'!E9&gt;=481,'(橫掃)RX Mapping'!E9&lt;=600), ('(橫掃)RX Mapping'!E9-361),IF(AND('(橫掃)RX Mapping'!E9&gt;=601,'(橫掃)RX Mapping'!E9&lt;=720), (-1)*('(橫掃)RX Mapping'!E9-720)+120,IF(AND('(橫掃)RX Mapping'!E9&gt;=721,'(橫掃)RX Mapping'!E9&lt;=840), ('(橫掃)RX Mapping'!E9-601),IF(AND('(橫掃)RX Mapping'!E9&gt;=841,'(橫掃)RX Mapping'!E9&lt;=960), (-1)*('(橫掃)RX Mapping'!E9-960)+120,9999))))))))</f>
        <v>103</v>
      </c>
      <c r="F9">
        <f>IF(AND('(橫掃)RX Mapping'!F9&gt;=1,'(橫掃)RX Mapping'!F9&lt;=120), ('(橫掃)RX Mapping'!F9-1),IF(AND('(橫掃)RX Mapping'!F9&gt;=121,'(橫掃)RX Mapping'!F9&lt;=240), (-1)*('(橫掃)RX Mapping'!F9-240),IF(AND('(橫掃)RX Mapping'!F9&gt;=241,'(橫掃)RX Mapping'!F9&lt;=360), ('(橫掃)RX Mapping'!F9-241),IF(AND('(橫掃)RX Mapping'!F9&gt;=361,'(橫掃)RX Mapping'!F9&lt;=480), (-1)*('(橫掃)RX Mapping'!F9-480),IF(AND('(橫掃)RX Mapping'!F9&gt;=481,'(橫掃)RX Mapping'!F9&lt;=600), ('(橫掃)RX Mapping'!F9-361),IF(AND('(橫掃)RX Mapping'!F9&gt;=601,'(橫掃)RX Mapping'!F9&lt;=720), (-1)*('(橫掃)RX Mapping'!F9-720)+120,IF(AND('(橫掃)RX Mapping'!F9&gt;=721,'(橫掃)RX Mapping'!F9&lt;=840), ('(橫掃)RX Mapping'!F9-601),IF(AND('(橫掃)RX Mapping'!F9&gt;=841,'(橫掃)RX Mapping'!F9&lt;=960), (-1)*('(橫掃)RX Mapping'!F9-960)+120,9999))))))))</f>
        <v>104</v>
      </c>
      <c r="G9">
        <f>IF(AND('(橫掃)RX Mapping'!G9&gt;=1,'(橫掃)RX Mapping'!G9&lt;=120), ('(橫掃)RX Mapping'!G9-1),IF(AND('(橫掃)RX Mapping'!G9&gt;=121,'(橫掃)RX Mapping'!G9&lt;=240), (-1)*('(橫掃)RX Mapping'!G9-240),IF(AND('(橫掃)RX Mapping'!G9&gt;=241,'(橫掃)RX Mapping'!G9&lt;=360), ('(橫掃)RX Mapping'!G9-241),IF(AND('(橫掃)RX Mapping'!G9&gt;=361,'(橫掃)RX Mapping'!G9&lt;=480), (-1)*('(橫掃)RX Mapping'!G9-480),IF(AND('(橫掃)RX Mapping'!G9&gt;=481,'(橫掃)RX Mapping'!G9&lt;=600), ('(橫掃)RX Mapping'!G9-361),IF(AND('(橫掃)RX Mapping'!G9&gt;=601,'(橫掃)RX Mapping'!G9&lt;=720), (-1)*('(橫掃)RX Mapping'!G9-720)+120,IF(AND('(橫掃)RX Mapping'!G9&gt;=721,'(橫掃)RX Mapping'!G9&lt;=840), ('(橫掃)RX Mapping'!G9-601),IF(AND('(橫掃)RX Mapping'!G9&gt;=841,'(橫掃)RX Mapping'!G9&lt;=960), (-1)*('(橫掃)RX Mapping'!G9-960)+120,9999))))))))</f>
        <v>72</v>
      </c>
      <c r="H9">
        <f>IF(AND('(橫掃)RX Mapping'!H9&gt;=1,'(橫掃)RX Mapping'!H9&lt;=120), ('(橫掃)RX Mapping'!H9-1),IF(AND('(橫掃)RX Mapping'!H9&gt;=121,'(橫掃)RX Mapping'!H9&lt;=240), (-1)*('(橫掃)RX Mapping'!H9-240),IF(AND('(橫掃)RX Mapping'!H9&gt;=241,'(橫掃)RX Mapping'!H9&lt;=360), ('(橫掃)RX Mapping'!H9-241),IF(AND('(橫掃)RX Mapping'!H9&gt;=361,'(橫掃)RX Mapping'!H9&lt;=480), (-1)*('(橫掃)RX Mapping'!H9-480),IF(AND('(橫掃)RX Mapping'!H9&gt;=481,'(橫掃)RX Mapping'!H9&lt;=600), ('(橫掃)RX Mapping'!H9-361),IF(AND('(橫掃)RX Mapping'!H9&gt;=601,'(橫掃)RX Mapping'!H9&lt;=720), (-1)*('(橫掃)RX Mapping'!H9-720)+120,IF(AND('(橫掃)RX Mapping'!H9&gt;=721,'(橫掃)RX Mapping'!H9&lt;=840), ('(橫掃)RX Mapping'!H9-601),IF(AND('(橫掃)RX Mapping'!H9&gt;=841,'(橫掃)RX Mapping'!H9&lt;=960), (-1)*('(橫掃)RX Mapping'!H9-960)+120,9999))))))))</f>
        <v>40</v>
      </c>
      <c r="I9">
        <f>IF(AND('(橫掃)RX Mapping'!I9&gt;=1,'(橫掃)RX Mapping'!I9&lt;=120), ('(橫掃)RX Mapping'!I9-1),IF(AND('(橫掃)RX Mapping'!I9&gt;=121,'(橫掃)RX Mapping'!I9&lt;=240), (-1)*('(橫掃)RX Mapping'!I9-240),IF(AND('(橫掃)RX Mapping'!I9&gt;=241,'(橫掃)RX Mapping'!I9&lt;=360), ('(橫掃)RX Mapping'!I9-241),IF(AND('(橫掃)RX Mapping'!I9&gt;=361,'(橫掃)RX Mapping'!I9&lt;=480), (-1)*('(橫掃)RX Mapping'!I9-480),IF(AND('(橫掃)RX Mapping'!I9&gt;=481,'(橫掃)RX Mapping'!I9&lt;=600), ('(橫掃)RX Mapping'!I9-361),IF(AND('(橫掃)RX Mapping'!I9&gt;=601,'(橫掃)RX Mapping'!I9&lt;=720), (-1)*('(橫掃)RX Mapping'!I9-720)+120,IF(AND('(橫掃)RX Mapping'!I9&gt;=721,'(橫掃)RX Mapping'!I9&lt;=840), ('(橫掃)RX Mapping'!I9-601),IF(AND('(橫掃)RX Mapping'!I9&gt;=841,'(橫掃)RX Mapping'!I9&lt;=960), (-1)*('(橫掃)RX Mapping'!I9-960)+120,9999))))))))</f>
        <v>7</v>
      </c>
      <c r="J9">
        <f>IF(AND('(橫掃)RX Mapping'!J9&gt;=1,'(橫掃)RX Mapping'!J9&lt;=120), ('(橫掃)RX Mapping'!J9-1),IF(AND('(橫掃)RX Mapping'!J9&gt;=121,'(橫掃)RX Mapping'!J9&lt;=240), (-1)*('(橫掃)RX Mapping'!J9-240),IF(AND('(橫掃)RX Mapping'!J9&gt;=241,'(橫掃)RX Mapping'!J9&lt;=360), ('(橫掃)RX Mapping'!J9-241),IF(AND('(橫掃)RX Mapping'!J9&gt;=361,'(橫掃)RX Mapping'!J9&lt;=480), (-1)*('(橫掃)RX Mapping'!J9-480),IF(AND('(橫掃)RX Mapping'!J9&gt;=481,'(橫掃)RX Mapping'!J9&lt;=600), ('(橫掃)RX Mapping'!J9-361),IF(AND('(橫掃)RX Mapping'!J9&gt;=601,'(橫掃)RX Mapping'!J9&lt;=720), (-1)*('(橫掃)RX Mapping'!J9-720)+120,IF(AND('(橫掃)RX Mapping'!J9&gt;=721,'(橫掃)RX Mapping'!J9&lt;=840), ('(橫掃)RX Mapping'!J9-601),IF(AND('(橫掃)RX Mapping'!J9&gt;=841,'(橫掃)RX Mapping'!J9&lt;=960), (-1)*('(橫掃)RX Mapping'!J9-960)+120,9999))))))))</f>
        <v>39</v>
      </c>
      <c r="K9">
        <f>IF(AND('(橫掃)RX Mapping'!K9&gt;=1,'(橫掃)RX Mapping'!K9&lt;=120), ('(橫掃)RX Mapping'!K9-1),IF(AND('(橫掃)RX Mapping'!K9&gt;=121,'(橫掃)RX Mapping'!K9&lt;=240), (-1)*('(橫掃)RX Mapping'!K9-240),IF(AND('(橫掃)RX Mapping'!K9&gt;=241,'(橫掃)RX Mapping'!K9&lt;=360), ('(橫掃)RX Mapping'!K9-241),IF(AND('(橫掃)RX Mapping'!K9&gt;=361,'(橫掃)RX Mapping'!K9&lt;=480), (-1)*('(橫掃)RX Mapping'!K9-480),IF(AND('(橫掃)RX Mapping'!K9&gt;=481,'(橫掃)RX Mapping'!K9&lt;=600), ('(橫掃)RX Mapping'!K9-361),IF(AND('(橫掃)RX Mapping'!K9&gt;=601,'(橫掃)RX Mapping'!K9&lt;=720), (-1)*('(橫掃)RX Mapping'!K9-720)+120,IF(AND('(橫掃)RX Mapping'!K9&gt;=721,'(橫掃)RX Mapping'!K9&lt;=840), ('(橫掃)RX Mapping'!K9-601),IF(AND('(橫掃)RX Mapping'!K9&gt;=841,'(橫掃)RX Mapping'!K9&lt;=960), (-1)*('(橫掃)RX Mapping'!K9-960)+120,9999))))))))</f>
        <v>71</v>
      </c>
      <c r="L9">
        <f>IF(AND('(橫掃)RX Mapping'!L9&gt;=1,'(橫掃)RX Mapping'!L9&lt;=120), ('(橫掃)RX Mapping'!L9-1),IF(AND('(橫掃)RX Mapping'!L9&gt;=121,'(橫掃)RX Mapping'!L9&lt;=240), (-1)*('(橫掃)RX Mapping'!L9-240),IF(AND('(橫掃)RX Mapping'!L9&gt;=241,'(橫掃)RX Mapping'!L9&lt;=360), ('(橫掃)RX Mapping'!L9-241),IF(AND('(橫掃)RX Mapping'!L9&gt;=361,'(橫掃)RX Mapping'!L9&lt;=480), (-1)*('(橫掃)RX Mapping'!L9-480),IF(AND('(橫掃)RX Mapping'!L9&gt;=481,'(橫掃)RX Mapping'!L9&lt;=600), ('(橫掃)RX Mapping'!L9-361),IF(AND('(橫掃)RX Mapping'!L9&gt;=601,'(橫掃)RX Mapping'!L9&lt;=720), (-1)*('(橫掃)RX Mapping'!L9-720)+120,IF(AND('(橫掃)RX Mapping'!L9&gt;=721,'(橫掃)RX Mapping'!L9&lt;=840), ('(橫掃)RX Mapping'!L9-601),IF(AND('(橫掃)RX Mapping'!L9&gt;=841,'(橫掃)RX Mapping'!L9&lt;=960), (-1)*('(橫掃)RX Mapping'!L9-960)+120,9999))))))))</f>
        <v>103</v>
      </c>
      <c r="M9">
        <f>IF(AND('(橫掃)RX Mapping'!M9&gt;=1,'(橫掃)RX Mapping'!M9&lt;=120), ('(橫掃)RX Mapping'!M9-1),IF(AND('(橫掃)RX Mapping'!M9&gt;=121,'(橫掃)RX Mapping'!M9&lt;=240), (-1)*('(橫掃)RX Mapping'!M9-240),IF(AND('(橫掃)RX Mapping'!M9&gt;=241,'(橫掃)RX Mapping'!M9&lt;=360), ('(橫掃)RX Mapping'!M9-241),IF(AND('(橫掃)RX Mapping'!M9&gt;=361,'(橫掃)RX Mapping'!M9&lt;=480), (-1)*('(橫掃)RX Mapping'!M9-480),IF(AND('(橫掃)RX Mapping'!M9&gt;=481,'(橫掃)RX Mapping'!M9&lt;=600), ('(橫掃)RX Mapping'!M9-361),IF(AND('(橫掃)RX Mapping'!M9&gt;=601,'(橫掃)RX Mapping'!M9&lt;=720), (-1)*('(橫掃)RX Mapping'!M9-720)+120,IF(AND('(橫掃)RX Mapping'!M9&gt;=721,'(橫掃)RX Mapping'!M9&lt;=840), ('(橫掃)RX Mapping'!M9-601),IF(AND('(橫掃)RX Mapping'!M9&gt;=841,'(橫掃)RX Mapping'!M9&lt;=960), (-1)*('(橫掃)RX Mapping'!M9-960)+120,9999))))))))</f>
        <v>104</v>
      </c>
      <c r="N9">
        <f>IF(AND('(橫掃)RX Mapping'!N9&gt;=1,'(橫掃)RX Mapping'!N9&lt;=120), ('(橫掃)RX Mapping'!N9-1),IF(AND('(橫掃)RX Mapping'!N9&gt;=121,'(橫掃)RX Mapping'!N9&lt;=240), (-1)*('(橫掃)RX Mapping'!N9-240),IF(AND('(橫掃)RX Mapping'!N9&gt;=241,'(橫掃)RX Mapping'!N9&lt;=360), ('(橫掃)RX Mapping'!N9-241),IF(AND('(橫掃)RX Mapping'!N9&gt;=361,'(橫掃)RX Mapping'!N9&lt;=480), (-1)*('(橫掃)RX Mapping'!N9-480),IF(AND('(橫掃)RX Mapping'!N9&gt;=481,'(橫掃)RX Mapping'!N9&lt;=600), ('(橫掃)RX Mapping'!N9-361),IF(AND('(橫掃)RX Mapping'!N9&gt;=601,'(橫掃)RX Mapping'!N9&lt;=720), (-1)*('(橫掃)RX Mapping'!N9-720)+120,IF(AND('(橫掃)RX Mapping'!N9&gt;=721,'(橫掃)RX Mapping'!N9&lt;=840), ('(橫掃)RX Mapping'!N9-601),IF(AND('(橫掃)RX Mapping'!N9&gt;=841,'(橫掃)RX Mapping'!N9&lt;=960), (-1)*('(橫掃)RX Mapping'!N9-960)+120,9999))))))))</f>
        <v>72</v>
      </c>
      <c r="O9">
        <f>IF(AND('(橫掃)RX Mapping'!O9&gt;=1,'(橫掃)RX Mapping'!O9&lt;=120), ('(橫掃)RX Mapping'!O9-1),IF(AND('(橫掃)RX Mapping'!O9&gt;=121,'(橫掃)RX Mapping'!O9&lt;=240), (-1)*('(橫掃)RX Mapping'!O9-240),IF(AND('(橫掃)RX Mapping'!O9&gt;=241,'(橫掃)RX Mapping'!O9&lt;=360), ('(橫掃)RX Mapping'!O9-241),IF(AND('(橫掃)RX Mapping'!O9&gt;=361,'(橫掃)RX Mapping'!O9&lt;=480), (-1)*('(橫掃)RX Mapping'!O9-480),IF(AND('(橫掃)RX Mapping'!O9&gt;=481,'(橫掃)RX Mapping'!O9&lt;=600), ('(橫掃)RX Mapping'!O9-361),IF(AND('(橫掃)RX Mapping'!O9&gt;=601,'(橫掃)RX Mapping'!O9&lt;=720), (-1)*('(橫掃)RX Mapping'!O9-720)+120,IF(AND('(橫掃)RX Mapping'!O9&gt;=721,'(橫掃)RX Mapping'!O9&lt;=840), ('(橫掃)RX Mapping'!O9-601),IF(AND('(橫掃)RX Mapping'!O9&gt;=841,'(橫掃)RX Mapping'!O9&lt;=960), (-1)*('(橫掃)RX Mapping'!O9-960)+120,9999))))))))</f>
        <v>40</v>
      </c>
      <c r="P9">
        <f>IF(AND('(橫掃)RX Mapping'!P9&gt;=1,'(橫掃)RX Mapping'!P9&lt;=120), ('(橫掃)RX Mapping'!P9-1),IF(AND('(橫掃)RX Mapping'!P9&gt;=121,'(橫掃)RX Mapping'!P9&lt;=240), (-1)*('(橫掃)RX Mapping'!P9-240),IF(AND('(橫掃)RX Mapping'!P9&gt;=241,'(橫掃)RX Mapping'!P9&lt;=360), ('(橫掃)RX Mapping'!P9-241),IF(AND('(橫掃)RX Mapping'!P9&gt;=361,'(橫掃)RX Mapping'!P9&lt;=480), (-1)*('(橫掃)RX Mapping'!P9-480),IF(AND('(橫掃)RX Mapping'!P9&gt;=481,'(橫掃)RX Mapping'!P9&lt;=600), ('(橫掃)RX Mapping'!P9-361),IF(AND('(橫掃)RX Mapping'!P9&gt;=601,'(橫掃)RX Mapping'!P9&lt;=720), (-1)*('(橫掃)RX Mapping'!P9-720)+120,IF(AND('(橫掃)RX Mapping'!P9&gt;=721,'(橫掃)RX Mapping'!P9&lt;=840), ('(橫掃)RX Mapping'!P9-601),IF(AND('(橫掃)RX Mapping'!P9&gt;=841,'(橫掃)RX Mapping'!P9&lt;=960), (-1)*('(橫掃)RX Mapping'!P9-960)+120,9999))))))))</f>
        <v>127</v>
      </c>
      <c r="Q9">
        <f>IF(AND('(橫掃)RX Mapping'!Q9&gt;=1,'(橫掃)RX Mapping'!Q9&lt;=120), ('(橫掃)RX Mapping'!Q9-1),IF(AND('(橫掃)RX Mapping'!Q9&gt;=121,'(橫掃)RX Mapping'!Q9&lt;=240), (-1)*('(橫掃)RX Mapping'!Q9-240),IF(AND('(橫掃)RX Mapping'!Q9&gt;=241,'(橫掃)RX Mapping'!Q9&lt;=360), ('(橫掃)RX Mapping'!Q9-241),IF(AND('(橫掃)RX Mapping'!Q9&gt;=361,'(橫掃)RX Mapping'!Q9&lt;=480), (-1)*('(橫掃)RX Mapping'!Q9-480),IF(AND('(橫掃)RX Mapping'!Q9&gt;=481,'(橫掃)RX Mapping'!Q9&lt;=600), ('(橫掃)RX Mapping'!Q9-361),IF(AND('(橫掃)RX Mapping'!Q9&gt;=601,'(橫掃)RX Mapping'!Q9&lt;=720), (-1)*('(橫掃)RX Mapping'!Q9-720)+120,IF(AND('(橫掃)RX Mapping'!Q9&gt;=721,'(橫掃)RX Mapping'!Q9&lt;=840), ('(橫掃)RX Mapping'!Q9-601),IF(AND('(橫掃)RX Mapping'!Q9&gt;=841,'(橫掃)RX Mapping'!Q9&lt;=960), (-1)*('(橫掃)RX Mapping'!Q9-960)+120,9999))))))))</f>
        <v>159</v>
      </c>
      <c r="R9">
        <f>IF(AND('(橫掃)RX Mapping'!R9&gt;=1,'(橫掃)RX Mapping'!R9&lt;=120), ('(橫掃)RX Mapping'!R9-1),IF(AND('(橫掃)RX Mapping'!R9&gt;=121,'(橫掃)RX Mapping'!R9&lt;=240), (-1)*('(橫掃)RX Mapping'!R9-240),IF(AND('(橫掃)RX Mapping'!R9&gt;=241,'(橫掃)RX Mapping'!R9&lt;=360), ('(橫掃)RX Mapping'!R9-241),IF(AND('(橫掃)RX Mapping'!R9&gt;=361,'(橫掃)RX Mapping'!R9&lt;=480), (-1)*('(橫掃)RX Mapping'!R9-480),IF(AND('(橫掃)RX Mapping'!R9&gt;=481,'(橫掃)RX Mapping'!R9&lt;=600), ('(橫掃)RX Mapping'!R9-361),IF(AND('(橫掃)RX Mapping'!R9&gt;=601,'(橫掃)RX Mapping'!R9&lt;=720), (-1)*('(橫掃)RX Mapping'!R9-720)+120,IF(AND('(橫掃)RX Mapping'!R9&gt;=721,'(橫掃)RX Mapping'!R9&lt;=840), ('(橫掃)RX Mapping'!R9-601),IF(AND('(橫掃)RX Mapping'!R9&gt;=841,'(橫掃)RX Mapping'!R9&lt;=960), (-1)*('(橫掃)RX Mapping'!R9-960)+120,9999))))))))</f>
        <v>191</v>
      </c>
      <c r="S9">
        <f>IF(AND('(橫掃)RX Mapping'!S9&gt;=1,'(橫掃)RX Mapping'!S9&lt;=120), ('(橫掃)RX Mapping'!S9-1),IF(AND('(橫掃)RX Mapping'!S9&gt;=121,'(橫掃)RX Mapping'!S9&lt;=240), (-1)*('(橫掃)RX Mapping'!S9-240),IF(AND('(橫掃)RX Mapping'!S9&gt;=241,'(橫掃)RX Mapping'!S9&lt;=360), ('(橫掃)RX Mapping'!S9-241),IF(AND('(橫掃)RX Mapping'!S9&gt;=361,'(橫掃)RX Mapping'!S9&lt;=480), (-1)*('(橫掃)RX Mapping'!S9-480),IF(AND('(橫掃)RX Mapping'!S9&gt;=481,'(橫掃)RX Mapping'!S9&lt;=600), ('(橫掃)RX Mapping'!S9-361),IF(AND('(橫掃)RX Mapping'!S9&gt;=601,'(橫掃)RX Mapping'!S9&lt;=720), (-1)*('(橫掃)RX Mapping'!S9-720)+120,IF(AND('(橫掃)RX Mapping'!S9&gt;=721,'(橫掃)RX Mapping'!S9&lt;=840), ('(橫掃)RX Mapping'!S9-601),IF(AND('(橫掃)RX Mapping'!S9&gt;=841,'(橫掃)RX Mapping'!S9&lt;=960), (-1)*('(橫掃)RX Mapping'!S9-960)+120,9999))))))))</f>
        <v>223</v>
      </c>
      <c r="T9">
        <f>IF(AND('(橫掃)RX Mapping'!T9&gt;=1,'(橫掃)RX Mapping'!T9&lt;=120), ('(橫掃)RX Mapping'!T9-1),IF(AND('(橫掃)RX Mapping'!T9&gt;=121,'(橫掃)RX Mapping'!T9&lt;=240), (-1)*('(橫掃)RX Mapping'!T9-240),IF(AND('(橫掃)RX Mapping'!T9&gt;=241,'(橫掃)RX Mapping'!T9&lt;=360), ('(橫掃)RX Mapping'!T9-241),IF(AND('(橫掃)RX Mapping'!T9&gt;=361,'(橫掃)RX Mapping'!T9&lt;=480), (-1)*('(橫掃)RX Mapping'!T9-480),IF(AND('(橫掃)RX Mapping'!T9&gt;=481,'(橫掃)RX Mapping'!T9&lt;=600), ('(橫掃)RX Mapping'!T9-361),IF(AND('(橫掃)RX Mapping'!T9&gt;=601,'(橫掃)RX Mapping'!T9&lt;=720), (-1)*('(橫掃)RX Mapping'!T9-720)+120,IF(AND('(橫掃)RX Mapping'!T9&gt;=721,'(橫掃)RX Mapping'!T9&lt;=840), ('(橫掃)RX Mapping'!T9-601),IF(AND('(橫掃)RX Mapping'!T9&gt;=841,'(橫掃)RX Mapping'!T9&lt;=960), (-1)*('(橫掃)RX Mapping'!T9-960)+120,9999))))))))</f>
        <v>224</v>
      </c>
      <c r="U9">
        <f>IF(AND('(橫掃)RX Mapping'!U9&gt;=1,'(橫掃)RX Mapping'!U9&lt;=120), ('(橫掃)RX Mapping'!U9-1),IF(AND('(橫掃)RX Mapping'!U9&gt;=121,'(橫掃)RX Mapping'!U9&lt;=240), (-1)*('(橫掃)RX Mapping'!U9-240),IF(AND('(橫掃)RX Mapping'!U9&gt;=241,'(橫掃)RX Mapping'!U9&lt;=360), ('(橫掃)RX Mapping'!U9-241),IF(AND('(橫掃)RX Mapping'!U9&gt;=361,'(橫掃)RX Mapping'!U9&lt;=480), (-1)*('(橫掃)RX Mapping'!U9-480),IF(AND('(橫掃)RX Mapping'!U9&gt;=481,'(橫掃)RX Mapping'!U9&lt;=600), ('(橫掃)RX Mapping'!U9-361),IF(AND('(橫掃)RX Mapping'!U9&gt;=601,'(橫掃)RX Mapping'!U9&lt;=720), (-1)*('(橫掃)RX Mapping'!U9-720)+120,IF(AND('(橫掃)RX Mapping'!U9&gt;=721,'(橫掃)RX Mapping'!U9&lt;=840), ('(橫掃)RX Mapping'!U9-601),IF(AND('(橫掃)RX Mapping'!U9&gt;=841,'(橫掃)RX Mapping'!U9&lt;=960), (-1)*('(橫掃)RX Mapping'!U9-960)+120,9999))))))))</f>
        <v>192</v>
      </c>
      <c r="V9">
        <f>IF(AND('(橫掃)RX Mapping'!V9&gt;=1,'(橫掃)RX Mapping'!V9&lt;=120), ('(橫掃)RX Mapping'!V9-1),IF(AND('(橫掃)RX Mapping'!V9&gt;=121,'(橫掃)RX Mapping'!V9&lt;=240), (-1)*('(橫掃)RX Mapping'!V9-240),IF(AND('(橫掃)RX Mapping'!V9&gt;=241,'(橫掃)RX Mapping'!V9&lt;=360), ('(橫掃)RX Mapping'!V9-241),IF(AND('(橫掃)RX Mapping'!V9&gt;=361,'(橫掃)RX Mapping'!V9&lt;=480), (-1)*('(橫掃)RX Mapping'!V9-480),IF(AND('(橫掃)RX Mapping'!V9&gt;=481,'(橫掃)RX Mapping'!V9&lt;=600), ('(橫掃)RX Mapping'!V9-361),IF(AND('(橫掃)RX Mapping'!V9&gt;=601,'(橫掃)RX Mapping'!V9&lt;=720), (-1)*('(橫掃)RX Mapping'!V9-720)+120,IF(AND('(橫掃)RX Mapping'!V9&gt;=721,'(橫掃)RX Mapping'!V9&lt;=840), ('(橫掃)RX Mapping'!V9-601),IF(AND('(橫掃)RX Mapping'!V9&gt;=841,'(橫掃)RX Mapping'!V9&lt;=960), (-1)*('(橫掃)RX Mapping'!V9-960)+120,9999))))))))</f>
        <v>160</v>
      </c>
      <c r="W9">
        <f>IF(AND('(橫掃)RX Mapping'!W9&gt;=1,'(橫掃)RX Mapping'!W9&lt;=120), ('(橫掃)RX Mapping'!W9-1),IF(AND('(橫掃)RX Mapping'!W9&gt;=121,'(橫掃)RX Mapping'!W9&lt;=240), (-1)*('(橫掃)RX Mapping'!W9-240),IF(AND('(橫掃)RX Mapping'!W9&gt;=241,'(橫掃)RX Mapping'!W9&lt;=360), ('(橫掃)RX Mapping'!W9-241),IF(AND('(橫掃)RX Mapping'!W9&gt;=361,'(橫掃)RX Mapping'!W9&lt;=480), (-1)*('(橫掃)RX Mapping'!W9-480),IF(AND('(橫掃)RX Mapping'!W9&gt;=481,'(橫掃)RX Mapping'!W9&lt;=600), ('(橫掃)RX Mapping'!W9-361),IF(AND('(橫掃)RX Mapping'!W9&gt;=601,'(橫掃)RX Mapping'!W9&lt;=720), (-1)*('(橫掃)RX Mapping'!W9-720)+120,IF(AND('(橫掃)RX Mapping'!W9&gt;=721,'(橫掃)RX Mapping'!W9&lt;=840), ('(橫掃)RX Mapping'!W9-601),IF(AND('(橫掃)RX Mapping'!W9&gt;=841,'(橫掃)RX Mapping'!W9&lt;=960), (-1)*('(橫掃)RX Mapping'!W9-960)+120,9999))))))))</f>
        <v>127</v>
      </c>
      <c r="X9">
        <f>IF(AND('(橫掃)RX Mapping'!X9&gt;=1,'(橫掃)RX Mapping'!X9&lt;=120), ('(橫掃)RX Mapping'!X9-1),IF(AND('(橫掃)RX Mapping'!X9&gt;=121,'(橫掃)RX Mapping'!X9&lt;=240), (-1)*('(橫掃)RX Mapping'!X9-240),IF(AND('(橫掃)RX Mapping'!X9&gt;=241,'(橫掃)RX Mapping'!X9&lt;=360), ('(橫掃)RX Mapping'!X9-241),IF(AND('(橫掃)RX Mapping'!X9&gt;=361,'(橫掃)RX Mapping'!X9&lt;=480), (-1)*('(橫掃)RX Mapping'!X9-480),IF(AND('(橫掃)RX Mapping'!X9&gt;=481,'(橫掃)RX Mapping'!X9&lt;=600), ('(橫掃)RX Mapping'!X9-361),IF(AND('(橫掃)RX Mapping'!X9&gt;=601,'(橫掃)RX Mapping'!X9&lt;=720), (-1)*('(橫掃)RX Mapping'!X9-720)+120,IF(AND('(橫掃)RX Mapping'!X9&gt;=721,'(橫掃)RX Mapping'!X9&lt;=840), ('(橫掃)RX Mapping'!X9-601),IF(AND('(橫掃)RX Mapping'!X9&gt;=841,'(橫掃)RX Mapping'!X9&lt;=960), (-1)*('(橫掃)RX Mapping'!X9-960)+120,9999))))))))</f>
        <v>159</v>
      </c>
      <c r="Y9">
        <f>IF(AND('(橫掃)RX Mapping'!Y9&gt;=1,'(橫掃)RX Mapping'!Y9&lt;=120), ('(橫掃)RX Mapping'!Y9-1),IF(AND('(橫掃)RX Mapping'!Y9&gt;=121,'(橫掃)RX Mapping'!Y9&lt;=240), (-1)*('(橫掃)RX Mapping'!Y9-240),IF(AND('(橫掃)RX Mapping'!Y9&gt;=241,'(橫掃)RX Mapping'!Y9&lt;=360), ('(橫掃)RX Mapping'!Y9-241),IF(AND('(橫掃)RX Mapping'!Y9&gt;=361,'(橫掃)RX Mapping'!Y9&lt;=480), (-1)*('(橫掃)RX Mapping'!Y9-480),IF(AND('(橫掃)RX Mapping'!Y9&gt;=481,'(橫掃)RX Mapping'!Y9&lt;=600), ('(橫掃)RX Mapping'!Y9-361),IF(AND('(橫掃)RX Mapping'!Y9&gt;=601,'(橫掃)RX Mapping'!Y9&lt;=720), (-1)*('(橫掃)RX Mapping'!Y9-720)+120,IF(AND('(橫掃)RX Mapping'!Y9&gt;=721,'(橫掃)RX Mapping'!Y9&lt;=840), ('(橫掃)RX Mapping'!Y9-601),IF(AND('(橫掃)RX Mapping'!Y9&gt;=841,'(橫掃)RX Mapping'!Y9&lt;=960), (-1)*('(橫掃)RX Mapping'!Y9-960)+120,9999))))))))</f>
        <v>191</v>
      </c>
      <c r="Z9">
        <f>IF(AND('(橫掃)RX Mapping'!Z9&gt;=1,'(橫掃)RX Mapping'!Z9&lt;=120), ('(橫掃)RX Mapping'!Z9-1),IF(AND('(橫掃)RX Mapping'!Z9&gt;=121,'(橫掃)RX Mapping'!Z9&lt;=240), (-1)*('(橫掃)RX Mapping'!Z9-240),IF(AND('(橫掃)RX Mapping'!Z9&gt;=241,'(橫掃)RX Mapping'!Z9&lt;=360), ('(橫掃)RX Mapping'!Z9-241),IF(AND('(橫掃)RX Mapping'!Z9&gt;=361,'(橫掃)RX Mapping'!Z9&lt;=480), (-1)*('(橫掃)RX Mapping'!Z9-480),IF(AND('(橫掃)RX Mapping'!Z9&gt;=481,'(橫掃)RX Mapping'!Z9&lt;=600), ('(橫掃)RX Mapping'!Z9-361),IF(AND('(橫掃)RX Mapping'!Z9&gt;=601,'(橫掃)RX Mapping'!Z9&lt;=720), (-1)*('(橫掃)RX Mapping'!Z9-720)+120,IF(AND('(橫掃)RX Mapping'!Z9&gt;=721,'(橫掃)RX Mapping'!Z9&lt;=840), ('(橫掃)RX Mapping'!Z9-601),IF(AND('(橫掃)RX Mapping'!Z9&gt;=841,'(橫掃)RX Mapping'!Z9&lt;=960), (-1)*('(橫掃)RX Mapping'!Z9-960)+120,9999))))))))</f>
        <v>223</v>
      </c>
      <c r="AA9">
        <f>IF(AND('(橫掃)RX Mapping'!AA9&gt;=1,'(橫掃)RX Mapping'!AA9&lt;=120), ('(橫掃)RX Mapping'!AA9-1),IF(AND('(橫掃)RX Mapping'!AA9&gt;=121,'(橫掃)RX Mapping'!AA9&lt;=240), (-1)*('(橫掃)RX Mapping'!AA9-240),IF(AND('(橫掃)RX Mapping'!AA9&gt;=241,'(橫掃)RX Mapping'!AA9&lt;=360), ('(橫掃)RX Mapping'!AA9-241),IF(AND('(橫掃)RX Mapping'!AA9&gt;=361,'(橫掃)RX Mapping'!AA9&lt;=480), (-1)*('(橫掃)RX Mapping'!AA9-480),IF(AND('(橫掃)RX Mapping'!AA9&gt;=481,'(橫掃)RX Mapping'!AA9&lt;=600), ('(橫掃)RX Mapping'!AA9-361),IF(AND('(橫掃)RX Mapping'!AA9&gt;=601,'(橫掃)RX Mapping'!AA9&lt;=720), (-1)*('(橫掃)RX Mapping'!AA9-720)+120,IF(AND('(橫掃)RX Mapping'!AA9&gt;=721,'(橫掃)RX Mapping'!AA9&lt;=840), ('(橫掃)RX Mapping'!AA9-601),IF(AND('(橫掃)RX Mapping'!AA9&gt;=841,'(橫掃)RX Mapping'!AA9&lt;=960), (-1)*('(橫掃)RX Mapping'!AA9-960)+120,9999))))))))</f>
        <v>224</v>
      </c>
      <c r="AB9">
        <f>IF(AND('(橫掃)RX Mapping'!AB9&gt;=1,'(橫掃)RX Mapping'!AB9&lt;=120), ('(橫掃)RX Mapping'!AB9-1),IF(AND('(橫掃)RX Mapping'!AB9&gt;=121,'(橫掃)RX Mapping'!AB9&lt;=240), (-1)*('(橫掃)RX Mapping'!AB9-240),IF(AND('(橫掃)RX Mapping'!AB9&gt;=241,'(橫掃)RX Mapping'!AB9&lt;=360), ('(橫掃)RX Mapping'!AB9-241),IF(AND('(橫掃)RX Mapping'!AB9&gt;=361,'(橫掃)RX Mapping'!AB9&lt;=480), (-1)*('(橫掃)RX Mapping'!AB9-480),IF(AND('(橫掃)RX Mapping'!AB9&gt;=481,'(橫掃)RX Mapping'!AB9&lt;=600), ('(橫掃)RX Mapping'!AB9-361),IF(AND('(橫掃)RX Mapping'!AB9&gt;=601,'(橫掃)RX Mapping'!AB9&lt;=720), (-1)*('(橫掃)RX Mapping'!AB9-720)+120,IF(AND('(橫掃)RX Mapping'!AB9&gt;=721,'(橫掃)RX Mapping'!AB9&lt;=840), ('(橫掃)RX Mapping'!AB9-601),IF(AND('(橫掃)RX Mapping'!AB9&gt;=841,'(橫掃)RX Mapping'!AB9&lt;=960), (-1)*('(橫掃)RX Mapping'!AB9-960)+120,9999))))))))</f>
        <v>192</v>
      </c>
      <c r="AC9">
        <f>IF(AND('(橫掃)RX Mapping'!AC9&gt;=1,'(橫掃)RX Mapping'!AC9&lt;=120), ('(橫掃)RX Mapping'!AC9-1),IF(AND('(橫掃)RX Mapping'!AC9&gt;=121,'(橫掃)RX Mapping'!AC9&lt;=240), (-1)*('(橫掃)RX Mapping'!AC9-240),IF(AND('(橫掃)RX Mapping'!AC9&gt;=241,'(橫掃)RX Mapping'!AC9&lt;=360), ('(橫掃)RX Mapping'!AC9-241),IF(AND('(橫掃)RX Mapping'!AC9&gt;=361,'(橫掃)RX Mapping'!AC9&lt;=480), (-1)*('(橫掃)RX Mapping'!AC9-480),IF(AND('(橫掃)RX Mapping'!AC9&gt;=481,'(橫掃)RX Mapping'!AC9&lt;=600), ('(橫掃)RX Mapping'!AC9-361),IF(AND('(橫掃)RX Mapping'!AC9&gt;=601,'(橫掃)RX Mapping'!AC9&lt;=720), (-1)*('(橫掃)RX Mapping'!AC9-720)+120,IF(AND('(橫掃)RX Mapping'!AC9&gt;=721,'(橫掃)RX Mapping'!AC9&lt;=840), ('(橫掃)RX Mapping'!AC9-601),IF(AND('(橫掃)RX Mapping'!AC9&gt;=841,'(橫掃)RX Mapping'!AC9&lt;=960), (-1)*('(橫掃)RX Mapping'!AC9-960)+120,9999))))))))</f>
        <v>160</v>
      </c>
      <c r="AD9">
        <f>IF(AND('(橫掃)RX Mapping'!AD9&gt;=1,'(橫掃)RX Mapping'!AD9&lt;=120), ('(橫掃)RX Mapping'!AD9-1),IF(AND('(橫掃)RX Mapping'!AD9&gt;=121,'(橫掃)RX Mapping'!AD9&lt;=240), (-1)*('(橫掃)RX Mapping'!AD9-240),IF(AND('(橫掃)RX Mapping'!AD9&gt;=241,'(橫掃)RX Mapping'!AD9&lt;=360), ('(橫掃)RX Mapping'!AD9-241),IF(AND('(橫掃)RX Mapping'!AD9&gt;=361,'(橫掃)RX Mapping'!AD9&lt;=480), (-1)*('(橫掃)RX Mapping'!AD9-480),IF(AND('(橫掃)RX Mapping'!AD9&gt;=481,'(橫掃)RX Mapping'!AD9&lt;=600), ('(橫掃)RX Mapping'!AD9-361),IF(AND('(橫掃)RX Mapping'!AD9&gt;=601,'(橫掃)RX Mapping'!AD9&lt;=720), (-1)*('(橫掃)RX Mapping'!AD9-720)+120,IF(AND('(橫掃)RX Mapping'!AD9&gt;=721,'(橫掃)RX Mapping'!AD9&lt;=840), ('(橫掃)RX Mapping'!AD9-601),IF(AND('(橫掃)RX Mapping'!AD9&gt;=841,'(橫掃)RX Mapping'!AD9&lt;=960), (-1)*('(橫掃)RX Mapping'!AD9-960)+120,9999))))))))</f>
        <v>9999</v>
      </c>
      <c r="AE9">
        <f>IF(AND('(橫掃)RX Mapping'!AE9&gt;=1,'(橫掃)RX Mapping'!AE9&lt;=120), ('(橫掃)RX Mapping'!AE9-1),IF(AND('(橫掃)RX Mapping'!AE9&gt;=121,'(橫掃)RX Mapping'!AE9&lt;=240), (-1)*('(橫掃)RX Mapping'!AE9-240),IF(AND('(橫掃)RX Mapping'!AE9&gt;=241,'(橫掃)RX Mapping'!AE9&lt;=360), ('(橫掃)RX Mapping'!AE9-241),IF(AND('(橫掃)RX Mapping'!AE9&gt;=361,'(橫掃)RX Mapping'!AE9&lt;=480), (-1)*('(橫掃)RX Mapping'!AE9-480),IF(AND('(橫掃)RX Mapping'!AE9&gt;=481,'(橫掃)RX Mapping'!AE9&lt;=600), ('(橫掃)RX Mapping'!AE9-361),IF(AND('(橫掃)RX Mapping'!AE9&gt;=601,'(橫掃)RX Mapping'!AE9&lt;=720), (-1)*('(橫掃)RX Mapping'!AE9-720)+120,IF(AND('(橫掃)RX Mapping'!AE9&gt;=721,'(橫掃)RX Mapping'!AE9&lt;=840), ('(橫掃)RX Mapping'!AE9-601),IF(AND('(橫掃)RX Mapping'!AE9&gt;=841,'(橫掃)RX Mapping'!AE9&lt;=960), (-1)*('(橫掃)RX Mapping'!AE9-960)+120,9999))))))))</f>
        <v>9999</v>
      </c>
      <c r="AF9">
        <f>IF(AND('(橫掃)RX Mapping'!AF9&gt;=1,'(橫掃)RX Mapping'!AF9&lt;=120), ('(橫掃)RX Mapping'!AF9-1),IF(AND('(橫掃)RX Mapping'!AF9&gt;=121,'(橫掃)RX Mapping'!AF9&lt;=240), (-1)*('(橫掃)RX Mapping'!AF9-240),IF(AND('(橫掃)RX Mapping'!AF9&gt;=241,'(橫掃)RX Mapping'!AF9&lt;=360), ('(橫掃)RX Mapping'!AF9-241),IF(AND('(橫掃)RX Mapping'!AF9&gt;=361,'(橫掃)RX Mapping'!AF9&lt;=480), (-1)*('(橫掃)RX Mapping'!AF9-480),IF(AND('(橫掃)RX Mapping'!AF9&gt;=481,'(橫掃)RX Mapping'!AF9&lt;=600), ('(橫掃)RX Mapping'!AF9-361),IF(AND('(橫掃)RX Mapping'!AF9&gt;=601,'(橫掃)RX Mapping'!AF9&lt;=720), (-1)*('(橫掃)RX Mapping'!AF9-720)+120,IF(AND('(橫掃)RX Mapping'!AF9&gt;=721,'(橫掃)RX Mapping'!AF9&lt;=840), ('(橫掃)RX Mapping'!AF9-601),IF(AND('(橫掃)RX Mapping'!AF9&gt;=841,'(橫掃)RX Mapping'!AF9&lt;=960), (-1)*('(橫掃)RX Mapping'!AF9-960)+120,9999))))))))</f>
        <v>9999</v>
      </c>
      <c r="AG9">
        <f>IF(AND('(橫掃)RX Mapping'!AG9&gt;=1,'(橫掃)RX Mapping'!AG9&lt;=120), ('(橫掃)RX Mapping'!AG9-1),IF(AND('(橫掃)RX Mapping'!AG9&gt;=121,'(橫掃)RX Mapping'!AG9&lt;=240), (-1)*('(橫掃)RX Mapping'!AG9-240),IF(AND('(橫掃)RX Mapping'!AG9&gt;=241,'(橫掃)RX Mapping'!AG9&lt;=360), ('(橫掃)RX Mapping'!AG9-241),IF(AND('(橫掃)RX Mapping'!AG9&gt;=361,'(橫掃)RX Mapping'!AG9&lt;=480), (-1)*('(橫掃)RX Mapping'!AG9-480),IF(AND('(橫掃)RX Mapping'!AG9&gt;=481,'(橫掃)RX Mapping'!AG9&lt;=600), ('(橫掃)RX Mapping'!AG9-361),IF(AND('(橫掃)RX Mapping'!AG9&gt;=601,'(橫掃)RX Mapping'!AG9&lt;=720), (-1)*('(橫掃)RX Mapping'!AG9-720)+120,IF(AND('(橫掃)RX Mapping'!AG9&gt;=721,'(橫掃)RX Mapping'!AG9&lt;=840), ('(橫掃)RX Mapping'!AG9-601),IF(AND('(橫掃)RX Mapping'!AG9&gt;=841,'(橫掃)RX Mapping'!AG9&lt;=960), (-1)*('(橫掃)RX Mapping'!AG9-960)+120,9999))))))))</f>
        <v>9999</v>
      </c>
      <c r="AH9">
        <f>IF(AND('(橫掃)RX Mapping'!AH9&gt;=1,'(橫掃)RX Mapping'!AH9&lt;=120), ('(橫掃)RX Mapping'!AH9-1),IF(AND('(橫掃)RX Mapping'!AH9&gt;=121,'(橫掃)RX Mapping'!AH9&lt;=240), (-1)*('(橫掃)RX Mapping'!AH9-240),IF(AND('(橫掃)RX Mapping'!AH9&gt;=241,'(橫掃)RX Mapping'!AH9&lt;=360), ('(橫掃)RX Mapping'!AH9-241),IF(AND('(橫掃)RX Mapping'!AH9&gt;=361,'(橫掃)RX Mapping'!AH9&lt;=480), (-1)*('(橫掃)RX Mapping'!AH9-480),IF(AND('(橫掃)RX Mapping'!AH9&gt;=481,'(橫掃)RX Mapping'!AH9&lt;=600), ('(橫掃)RX Mapping'!AH9-361),IF(AND('(橫掃)RX Mapping'!AH9&gt;=601,'(橫掃)RX Mapping'!AH9&lt;=720), (-1)*('(橫掃)RX Mapping'!AH9-720)+120,IF(AND('(橫掃)RX Mapping'!AH9&gt;=721,'(橫掃)RX Mapping'!AH9&lt;=840), ('(橫掃)RX Mapping'!AH9-601),IF(AND('(橫掃)RX Mapping'!AH9&gt;=841,'(橫掃)RX Mapping'!AH9&lt;=960), (-1)*('(橫掃)RX Mapping'!AH9-960)+120,9999))))))))</f>
        <v>9999</v>
      </c>
      <c r="AI9">
        <f>IF(AND('(橫掃)RX Mapping'!AI9&gt;=1,'(橫掃)RX Mapping'!AI9&lt;=120), ('(橫掃)RX Mapping'!AI9-1),IF(AND('(橫掃)RX Mapping'!AI9&gt;=121,'(橫掃)RX Mapping'!AI9&lt;=240), (-1)*('(橫掃)RX Mapping'!AI9-240),IF(AND('(橫掃)RX Mapping'!AI9&gt;=241,'(橫掃)RX Mapping'!AI9&lt;=360), ('(橫掃)RX Mapping'!AI9-241),IF(AND('(橫掃)RX Mapping'!AI9&gt;=361,'(橫掃)RX Mapping'!AI9&lt;=480), (-1)*('(橫掃)RX Mapping'!AI9-480),IF(AND('(橫掃)RX Mapping'!AI9&gt;=481,'(橫掃)RX Mapping'!AI9&lt;=600), ('(橫掃)RX Mapping'!AI9-361),IF(AND('(橫掃)RX Mapping'!AI9&gt;=601,'(橫掃)RX Mapping'!AI9&lt;=720), (-1)*('(橫掃)RX Mapping'!AI9-720)+120,IF(AND('(橫掃)RX Mapping'!AI9&gt;=721,'(橫掃)RX Mapping'!AI9&lt;=840), ('(橫掃)RX Mapping'!AI9-601),IF(AND('(橫掃)RX Mapping'!AI9&gt;=841,'(橫掃)RX Mapping'!AI9&lt;=960), (-1)*('(橫掃)RX Mapping'!AI9-960)+120,9999))))))))</f>
        <v>9999</v>
      </c>
      <c r="AJ9">
        <f>IF(AND('(橫掃)RX Mapping'!AJ9&gt;=1,'(橫掃)RX Mapping'!AJ9&lt;=120), ('(橫掃)RX Mapping'!AJ9-1),IF(AND('(橫掃)RX Mapping'!AJ9&gt;=121,'(橫掃)RX Mapping'!AJ9&lt;=240), (-1)*('(橫掃)RX Mapping'!AJ9-240),IF(AND('(橫掃)RX Mapping'!AJ9&gt;=241,'(橫掃)RX Mapping'!AJ9&lt;=360), ('(橫掃)RX Mapping'!AJ9-241),IF(AND('(橫掃)RX Mapping'!AJ9&gt;=361,'(橫掃)RX Mapping'!AJ9&lt;=480), (-1)*('(橫掃)RX Mapping'!AJ9-480),IF(AND('(橫掃)RX Mapping'!AJ9&gt;=481,'(橫掃)RX Mapping'!AJ9&lt;=600), ('(橫掃)RX Mapping'!AJ9-361),IF(AND('(橫掃)RX Mapping'!AJ9&gt;=601,'(橫掃)RX Mapping'!AJ9&lt;=720), (-1)*('(橫掃)RX Mapping'!AJ9-720)+120,IF(AND('(橫掃)RX Mapping'!AJ9&gt;=721,'(橫掃)RX Mapping'!AJ9&lt;=840), ('(橫掃)RX Mapping'!AJ9-601),IF(AND('(橫掃)RX Mapping'!AJ9&gt;=841,'(橫掃)RX Mapping'!AJ9&lt;=960), (-1)*('(橫掃)RX Mapping'!AJ9-960)+120,9999))))))))</f>
        <v>9999</v>
      </c>
      <c r="AK9">
        <f>IF(AND('(橫掃)RX Mapping'!AK9&gt;=1,'(橫掃)RX Mapping'!AK9&lt;=120), ('(橫掃)RX Mapping'!AK9-1),IF(AND('(橫掃)RX Mapping'!AK9&gt;=121,'(橫掃)RX Mapping'!AK9&lt;=240), (-1)*('(橫掃)RX Mapping'!AK9-240),IF(AND('(橫掃)RX Mapping'!AK9&gt;=241,'(橫掃)RX Mapping'!AK9&lt;=360), ('(橫掃)RX Mapping'!AK9-241),IF(AND('(橫掃)RX Mapping'!AK9&gt;=361,'(橫掃)RX Mapping'!AK9&lt;=480), (-1)*('(橫掃)RX Mapping'!AK9-480),IF(AND('(橫掃)RX Mapping'!AK9&gt;=481,'(橫掃)RX Mapping'!AK9&lt;=600), ('(橫掃)RX Mapping'!AK9-361),IF(AND('(橫掃)RX Mapping'!AK9&gt;=601,'(橫掃)RX Mapping'!AK9&lt;=720), (-1)*('(橫掃)RX Mapping'!AK9-720)+120,IF(AND('(橫掃)RX Mapping'!AK9&gt;=721,'(橫掃)RX Mapping'!AK9&lt;=840), ('(橫掃)RX Mapping'!AK9-601),IF(AND('(橫掃)RX Mapping'!AK9&gt;=841,'(橫掃)RX Mapping'!AK9&lt;=960), (-1)*('(橫掃)RX Mapping'!AK9-960)+120,9999))))))))</f>
        <v>9999</v>
      </c>
      <c r="AL9">
        <f>IF(AND('(橫掃)RX Mapping'!AL9&gt;=1,'(橫掃)RX Mapping'!AL9&lt;=120), ('(橫掃)RX Mapping'!AL9-1),IF(AND('(橫掃)RX Mapping'!AL9&gt;=121,'(橫掃)RX Mapping'!AL9&lt;=240), (-1)*('(橫掃)RX Mapping'!AL9-240),IF(AND('(橫掃)RX Mapping'!AL9&gt;=241,'(橫掃)RX Mapping'!AL9&lt;=360), ('(橫掃)RX Mapping'!AL9-241),IF(AND('(橫掃)RX Mapping'!AL9&gt;=361,'(橫掃)RX Mapping'!AL9&lt;=480), (-1)*('(橫掃)RX Mapping'!AL9-480),IF(AND('(橫掃)RX Mapping'!AL9&gt;=481,'(橫掃)RX Mapping'!AL9&lt;=600), ('(橫掃)RX Mapping'!AL9-361),IF(AND('(橫掃)RX Mapping'!AL9&gt;=601,'(橫掃)RX Mapping'!AL9&lt;=720), (-1)*('(橫掃)RX Mapping'!AL9-720)+120,IF(AND('(橫掃)RX Mapping'!AL9&gt;=721,'(橫掃)RX Mapping'!AL9&lt;=840), ('(橫掃)RX Mapping'!AL9-601),IF(AND('(橫掃)RX Mapping'!AL9&gt;=841,'(橫掃)RX Mapping'!AL9&lt;=960), (-1)*('(橫掃)RX Mapping'!AL9-960)+120,9999))))))))</f>
        <v>9999</v>
      </c>
      <c r="AM9">
        <f>IF(AND('(橫掃)RX Mapping'!AM9&gt;=1,'(橫掃)RX Mapping'!AM9&lt;=120), ('(橫掃)RX Mapping'!AM9-1),IF(AND('(橫掃)RX Mapping'!AM9&gt;=121,'(橫掃)RX Mapping'!AM9&lt;=240), (-1)*('(橫掃)RX Mapping'!AM9-240),IF(AND('(橫掃)RX Mapping'!AM9&gt;=241,'(橫掃)RX Mapping'!AM9&lt;=360), ('(橫掃)RX Mapping'!AM9-241),IF(AND('(橫掃)RX Mapping'!AM9&gt;=361,'(橫掃)RX Mapping'!AM9&lt;=480), (-1)*('(橫掃)RX Mapping'!AM9-480),IF(AND('(橫掃)RX Mapping'!AM9&gt;=481,'(橫掃)RX Mapping'!AM9&lt;=600), ('(橫掃)RX Mapping'!AM9-361),IF(AND('(橫掃)RX Mapping'!AM9&gt;=601,'(橫掃)RX Mapping'!AM9&lt;=720), (-1)*('(橫掃)RX Mapping'!AM9-720)+120,IF(AND('(橫掃)RX Mapping'!AM9&gt;=721,'(橫掃)RX Mapping'!AM9&lt;=840), ('(橫掃)RX Mapping'!AM9-601),IF(AND('(橫掃)RX Mapping'!AM9&gt;=841,'(橫掃)RX Mapping'!AM9&lt;=960), (-1)*('(橫掃)RX Mapping'!AM9-960)+120,9999))))))))</f>
        <v>9999</v>
      </c>
      <c r="AN9">
        <f>IF(AND('(橫掃)RX Mapping'!AN9&gt;=1,'(橫掃)RX Mapping'!AN9&lt;=120), ('(橫掃)RX Mapping'!AN9-1),IF(AND('(橫掃)RX Mapping'!AN9&gt;=121,'(橫掃)RX Mapping'!AN9&lt;=240), (-1)*('(橫掃)RX Mapping'!AN9-240),IF(AND('(橫掃)RX Mapping'!AN9&gt;=241,'(橫掃)RX Mapping'!AN9&lt;=360), ('(橫掃)RX Mapping'!AN9-241),IF(AND('(橫掃)RX Mapping'!AN9&gt;=361,'(橫掃)RX Mapping'!AN9&lt;=480), (-1)*('(橫掃)RX Mapping'!AN9-480),IF(AND('(橫掃)RX Mapping'!AN9&gt;=481,'(橫掃)RX Mapping'!AN9&lt;=600), ('(橫掃)RX Mapping'!AN9-361),IF(AND('(橫掃)RX Mapping'!AN9&gt;=601,'(橫掃)RX Mapping'!AN9&lt;=720), (-1)*('(橫掃)RX Mapping'!AN9-720)+120,IF(AND('(橫掃)RX Mapping'!AN9&gt;=721,'(橫掃)RX Mapping'!AN9&lt;=840), ('(橫掃)RX Mapping'!AN9-601),IF(AND('(橫掃)RX Mapping'!AN9&gt;=841,'(橫掃)RX Mapping'!AN9&lt;=960), (-1)*('(橫掃)RX Mapping'!AN9-960)+120,9999))))))))</f>
        <v>9999</v>
      </c>
      <c r="AO9">
        <f>IF(AND('(橫掃)RX Mapping'!AO9&gt;=1,'(橫掃)RX Mapping'!AO9&lt;=120), ('(橫掃)RX Mapping'!AO9-1),IF(AND('(橫掃)RX Mapping'!AO9&gt;=121,'(橫掃)RX Mapping'!AO9&lt;=240), (-1)*('(橫掃)RX Mapping'!AO9-240),IF(AND('(橫掃)RX Mapping'!AO9&gt;=241,'(橫掃)RX Mapping'!AO9&lt;=360), ('(橫掃)RX Mapping'!AO9-241),IF(AND('(橫掃)RX Mapping'!AO9&gt;=361,'(橫掃)RX Mapping'!AO9&lt;=480), (-1)*('(橫掃)RX Mapping'!AO9-480),IF(AND('(橫掃)RX Mapping'!AO9&gt;=481,'(橫掃)RX Mapping'!AO9&lt;=600), ('(橫掃)RX Mapping'!AO9-361),IF(AND('(橫掃)RX Mapping'!AO9&gt;=601,'(橫掃)RX Mapping'!AO9&lt;=720), (-1)*('(橫掃)RX Mapping'!AO9-720)+120,IF(AND('(橫掃)RX Mapping'!AO9&gt;=721,'(橫掃)RX Mapping'!AO9&lt;=840), ('(橫掃)RX Mapping'!AO9-601),IF(AND('(橫掃)RX Mapping'!AO9&gt;=841,'(橫掃)RX Mapping'!AO9&lt;=960), (-1)*('(橫掃)RX Mapping'!AO9-960)+120,9999))))))))</f>
        <v>9999</v>
      </c>
      <c r="AP9">
        <f>IF(AND('(橫掃)RX Mapping'!AP9&gt;=1,'(橫掃)RX Mapping'!AP9&lt;=120), ('(橫掃)RX Mapping'!AP9-1),IF(AND('(橫掃)RX Mapping'!AP9&gt;=121,'(橫掃)RX Mapping'!AP9&lt;=240), (-1)*('(橫掃)RX Mapping'!AP9-240),IF(AND('(橫掃)RX Mapping'!AP9&gt;=241,'(橫掃)RX Mapping'!AP9&lt;=360), ('(橫掃)RX Mapping'!AP9-241),IF(AND('(橫掃)RX Mapping'!AP9&gt;=361,'(橫掃)RX Mapping'!AP9&lt;=480), (-1)*('(橫掃)RX Mapping'!AP9-480),IF(AND('(橫掃)RX Mapping'!AP9&gt;=481,'(橫掃)RX Mapping'!AP9&lt;=600), ('(橫掃)RX Mapping'!AP9-361),IF(AND('(橫掃)RX Mapping'!AP9&gt;=601,'(橫掃)RX Mapping'!AP9&lt;=720), (-1)*('(橫掃)RX Mapping'!AP9-720)+120,IF(AND('(橫掃)RX Mapping'!AP9&gt;=721,'(橫掃)RX Mapping'!AP9&lt;=840), ('(橫掃)RX Mapping'!AP9-601),IF(AND('(橫掃)RX Mapping'!AP9&gt;=841,'(橫掃)RX Mapping'!AP9&lt;=960), (-1)*('(橫掃)RX Mapping'!AP9-960)+120,9999))))))))</f>
        <v>9999</v>
      </c>
      <c r="AQ9">
        <f>IF(AND('(橫掃)RX Mapping'!AQ9&gt;=1,'(橫掃)RX Mapping'!AQ9&lt;=120), ('(橫掃)RX Mapping'!AQ9-1),IF(AND('(橫掃)RX Mapping'!AQ9&gt;=121,'(橫掃)RX Mapping'!AQ9&lt;=240), (-1)*('(橫掃)RX Mapping'!AQ9-240),IF(AND('(橫掃)RX Mapping'!AQ9&gt;=241,'(橫掃)RX Mapping'!AQ9&lt;=360), ('(橫掃)RX Mapping'!AQ9-241),IF(AND('(橫掃)RX Mapping'!AQ9&gt;=361,'(橫掃)RX Mapping'!AQ9&lt;=480), (-1)*('(橫掃)RX Mapping'!AQ9-480),IF(AND('(橫掃)RX Mapping'!AQ9&gt;=481,'(橫掃)RX Mapping'!AQ9&lt;=600), ('(橫掃)RX Mapping'!AQ9-361),IF(AND('(橫掃)RX Mapping'!AQ9&gt;=601,'(橫掃)RX Mapping'!AQ9&lt;=720), (-1)*('(橫掃)RX Mapping'!AQ9-720)+120,IF(AND('(橫掃)RX Mapping'!AQ9&gt;=721,'(橫掃)RX Mapping'!AQ9&lt;=840), ('(橫掃)RX Mapping'!AQ9-601),IF(AND('(橫掃)RX Mapping'!AQ9&gt;=841,'(橫掃)RX Mapping'!AQ9&lt;=960), (-1)*('(橫掃)RX Mapping'!AQ9-960)+120,9999))))))))</f>
        <v>9999</v>
      </c>
      <c r="AR9">
        <f>IF(AND('(橫掃)RX Mapping'!AR9&gt;=1,'(橫掃)RX Mapping'!AR9&lt;=120), ('(橫掃)RX Mapping'!AR9-1),IF(AND('(橫掃)RX Mapping'!AR9&gt;=121,'(橫掃)RX Mapping'!AR9&lt;=240), (-1)*('(橫掃)RX Mapping'!AR9-240),IF(AND('(橫掃)RX Mapping'!AR9&gt;=241,'(橫掃)RX Mapping'!AR9&lt;=360), ('(橫掃)RX Mapping'!AR9-241),IF(AND('(橫掃)RX Mapping'!AR9&gt;=361,'(橫掃)RX Mapping'!AR9&lt;=480), (-1)*('(橫掃)RX Mapping'!AR9-480),IF(AND('(橫掃)RX Mapping'!AR9&gt;=481,'(橫掃)RX Mapping'!AR9&lt;=600), ('(橫掃)RX Mapping'!AR9-361),IF(AND('(橫掃)RX Mapping'!AR9&gt;=601,'(橫掃)RX Mapping'!AR9&lt;=720), (-1)*('(橫掃)RX Mapping'!AR9-720)+120,IF(AND('(橫掃)RX Mapping'!AR9&gt;=721,'(橫掃)RX Mapping'!AR9&lt;=840), ('(橫掃)RX Mapping'!AR9-601),IF(AND('(橫掃)RX Mapping'!AR9&gt;=841,'(橫掃)RX Mapping'!AR9&lt;=960), (-1)*('(橫掃)RX Mapping'!AR9-960)+120,9999))))))))</f>
        <v>9999</v>
      </c>
      <c r="AS9">
        <f>IF(AND('(橫掃)RX Mapping'!AS9&gt;=1,'(橫掃)RX Mapping'!AS9&lt;=120), ('(橫掃)RX Mapping'!AS9-1),IF(AND('(橫掃)RX Mapping'!AS9&gt;=121,'(橫掃)RX Mapping'!AS9&lt;=240), (-1)*('(橫掃)RX Mapping'!AS9-240),IF(AND('(橫掃)RX Mapping'!AS9&gt;=241,'(橫掃)RX Mapping'!AS9&lt;=360), ('(橫掃)RX Mapping'!AS9-241),IF(AND('(橫掃)RX Mapping'!AS9&gt;=361,'(橫掃)RX Mapping'!AS9&lt;=480), (-1)*('(橫掃)RX Mapping'!AS9-480),IF(AND('(橫掃)RX Mapping'!AS9&gt;=481,'(橫掃)RX Mapping'!AS9&lt;=600), ('(橫掃)RX Mapping'!AS9-361),IF(AND('(橫掃)RX Mapping'!AS9&gt;=601,'(橫掃)RX Mapping'!AS9&lt;=720), (-1)*('(橫掃)RX Mapping'!AS9-720)+120,IF(AND('(橫掃)RX Mapping'!AS9&gt;=721,'(橫掃)RX Mapping'!AS9&lt;=840), ('(橫掃)RX Mapping'!AS9-601),IF(AND('(橫掃)RX Mapping'!AS9&gt;=841,'(橫掃)RX Mapping'!AS9&lt;=960), (-1)*('(橫掃)RX Mapping'!AS9-960)+120,9999))))))))</f>
        <v>9999</v>
      </c>
      <c r="AT9">
        <f>IF(AND('(橫掃)RX Mapping'!AT9&gt;=1,'(橫掃)RX Mapping'!AT9&lt;=120), ('(橫掃)RX Mapping'!AT9-1),IF(AND('(橫掃)RX Mapping'!AT9&gt;=121,'(橫掃)RX Mapping'!AT9&lt;=240), (-1)*('(橫掃)RX Mapping'!AT9-240),IF(AND('(橫掃)RX Mapping'!AT9&gt;=241,'(橫掃)RX Mapping'!AT9&lt;=360), ('(橫掃)RX Mapping'!AT9-241),IF(AND('(橫掃)RX Mapping'!AT9&gt;=361,'(橫掃)RX Mapping'!AT9&lt;=480), (-1)*('(橫掃)RX Mapping'!AT9-480),IF(AND('(橫掃)RX Mapping'!AT9&gt;=481,'(橫掃)RX Mapping'!AT9&lt;=600), ('(橫掃)RX Mapping'!AT9-361),IF(AND('(橫掃)RX Mapping'!AT9&gt;=601,'(橫掃)RX Mapping'!AT9&lt;=720), (-1)*('(橫掃)RX Mapping'!AT9-720)+120,IF(AND('(橫掃)RX Mapping'!AT9&gt;=721,'(橫掃)RX Mapping'!AT9&lt;=840), ('(橫掃)RX Mapping'!AT9-601),IF(AND('(橫掃)RX Mapping'!AT9&gt;=841,'(橫掃)RX Mapping'!AT9&lt;=960), (-1)*('(橫掃)RX Mapping'!AT9-960)+120,9999))))))))</f>
        <v>9999</v>
      </c>
      <c r="AU9">
        <f>IF(AND('(橫掃)RX Mapping'!AU9&gt;=1,'(橫掃)RX Mapping'!AU9&lt;=120), ('(橫掃)RX Mapping'!AU9-1),IF(AND('(橫掃)RX Mapping'!AU9&gt;=121,'(橫掃)RX Mapping'!AU9&lt;=240), (-1)*('(橫掃)RX Mapping'!AU9-240),IF(AND('(橫掃)RX Mapping'!AU9&gt;=241,'(橫掃)RX Mapping'!AU9&lt;=360), ('(橫掃)RX Mapping'!AU9-241),IF(AND('(橫掃)RX Mapping'!AU9&gt;=361,'(橫掃)RX Mapping'!AU9&lt;=480), (-1)*('(橫掃)RX Mapping'!AU9-480),IF(AND('(橫掃)RX Mapping'!AU9&gt;=481,'(橫掃)RX Mapping'!AU9&lt;=600), ('(橫掃)RX Mapping'!AU9-361),IF(AND('(橫掃)RX Mapping'!AU9&gt;=601,'(橫掃)RX Mapping'!AU9&lt;=720), (-1)*('(橫掃)RX Mapping'!AU9-720)+120,IF(AND('(橫掃)RX Mapping'!AU9&gt;=721,'(橫掃)RX Mapping'!AU9&lt;=840), ('(橫掃)RX Mapping'!AU9-601),IF(AND('(橫掃)RX Mapping'!AU9&gt;=841,'(橫掃)RX Mapping'!AU9&lt;=960), (-1)*('(橫掃)RX Mapping'!AU9-960)+120,9999))))))))</f>
        <v>9999</v>
      </c>
      <c r="AV9">
        <f>IF(AND('(橫掃)RX Mapping'!AV9&gt;=1,'(橫掃)RX Mapping'!AV9&lt;=120), ('(橫掃)RX Mapping'!AV9-1),IF(AND('(橫掃)RX Mapping'!AV9&gt;=121,'(橫掃)RX Mapping'!AV9&lt;=240), (-1)*('(橫掃)RX Mapping'!AV9-240),IF(AND('(橫掃)RX Mapping'!AV9&gt;=241,'(橫掃)RX Mapping'!AV9&lt;=360), ('(橫掃)RX Mapping'!AV9-241),IF(AND('(橫掃)RX Mapping'!AV9&gt;=361,'(橫掃)RX Mapping'!AV9&lt;=480), (-1)*('(橫掃)RX Mapping'!AV9-480),IF(AND('(橫掃)RX Mapping'!AV9&gt;=481,'(橫掃)RX Mapping'!AV9&lt;=600), ('(橫掃)RX Mapping'!AV9-361),IF(AND('(橫掃)RX Mapping'!AV9&gt;=601,'(橫掃)RX Mapping'!AV9&lt;=720), (-1)*('(橫掃)RX Mapping'!AV9-720)+120,IF(AND('(橫掃)RX Mapping'!AV9&gt;=721,'(橫掃)RX Mapping'!AV9&lt;=840), ('(橫掃)RX Mapping'!AV9-601),IF(AND('(橫掃)RX Mapping'!AV9&gt;=841,'(橫掃)RX Mapping'!AV9&lt;=960), (-1)*('(橫掃)RX Mapping'!AV9-960)+120,9999))))))))</f>
        <v>9999</v>
      </c>
      <c r="AW9">
        <f>IF(AND('(橫掃)RX Mapping'!AW9&gt;=1,'(橫掃)RX Mapping'!AW9&lt;=120), ('(橫掃)RX Mapping'!AW9-1),IF(AND('(橫掃)RX Mapping'!AW9&gt;=121,'(橫掃)RX Mapping'!AW9&lt;=240), (-1)*('(橫掃)RX Mapping'!AW9-240),IF(AND('(橫掃)RX Mapping'!AW9&gt;=241,'(橫掃)RX Mapping'!AW9&lt;=360), ('(橫掃)RX Mapping'!AW9-241),IF(AND('(橫掃)RX Mapping'!AW9&gt;=361,'(橫掃)RX Mapping'!AW9&lt;=480), (-1)*('(橫掃)RX Mapping'!AW9-480),IF(AND('(橫掃)RX Mapping'!AW9&gt;=481,'(橫掃)RX Mapping'!AW9&lt;=600), ('(橫掃)RX Mapping'!AW9-361),IF(AND('(橫掃)RX Mapping'!AW9&gt;=601,'(橫掃)RX Mapping'!AW9&lt;=720), (-1)*('(橫掃)RX Mapping'!AW9-720)+120,IF(AND('(橫掃)RX Mapping'!AW9&gt;=721,'(橫掃)RX Mapping'!AW9&lt;=840), ('(橫掃)RX Mapping'!AW9-601),IF(AND('(橫掃)RX Mapping'!AW9&gt;=841,'(橫掃)RX Mapping'!AW9&lt;=960), (-1)*('(橫掃)RX Mapping'!AW9-960)+120,9999))))))))</f>
        <v>9999</v>
      </c>
      <c r="AX9">
        <f>IF(AND('(橫掃)RX Mapping'!AX9&gt;=1,'(橫掃)RX Mapping'!AX9&lt;=120), ('(橫掃)RX Mapping'!AX9-1),IF(AND('(橫掃)RX Mapping'!AX9&gt;=121,'(橫掃)RX Mapping'!AX9&lt;=240), (-1)*('(橫掃)RX Mapping'!AX9-240),IF(AND('(橫掃)RX Mapping'!AX9&gt;=241,'(橫掃)RX Mapping'!AX9&lt;=360), ('(橫掃)RX Mapping'!AX9-241),IF(AND('(橫掃)RX Mapping'!AX9&gt;=361,'(橫掃)RX Mapping'!AX9&lt;=480), (-1)*('(橫掃)RX Mapping'!AX9-480),IF(AND('(橫掃)RX Mapping'!AX9&gt;=481,'(橫掃)RX Mapping'!AX9&lt;=600), ('(橫掃)RX Mapping'!AX9-361),IF(AND('(橫掃)RX Mapping'!AX9&gt;=601,'(橫掃)RX Mapping'!AX9&lt;=720), (-1)*('(橫掃)RX Mapping'!AX9-720)+120,IF(AND('(橫掃)RX Mapping'!AX9&gt;=721,'(橫掃)RX Mapping'!AX9&lt;=840), ('(橫掃)RX Mapping'!AX9-601),IF(AND('(橫掃)RX Mapping'!AX9&gt;=841,'(橫掃)RX Mapping'!AX9&lt;=960), (-1)*('(橫掃)RX Mapping'!AX9-960)+120,9999))))))))</f>
        <v>9999</v>
      </c>
      <c r="AY9">
        <f>IF(AND('(橫掃)RX Mapping'!AY9&gt;=1,'(橫掃)RX Mapping'!AY9&lt;=120), ('(橫掃)RX Mapping'!AY9-1),IF(AND('(橫掃)RX Mapping'!AY9&gt;=121,'(橫掃)RX Mapping'!AY9&lt;=240), (-1)*('(橫掃)RX Mapping'!AY9-240),IF(AND('(橫掃)RX Mapping'!AY9&gt;=241,'(橫掃)RX Mapping'!AY9&lt;=360), ('(橫掃)RX Mapping'!AY9-241),IF(AND('(橫掃)RX Mapping'!AY9&gt;=361,'(橫掃)RX Mapping'!AY9&lt;=480), (-1)*('(橫掃)RX Mapping'!AY9-480),IF(AND('(橫掃)RX Mapping'!AY9&gt;=481,'(橫掃)RX Mapping'!AY9&lt;=600), ('(橫掃)RX Mapping'!AY9-361),IF(AND('(橫掃)RX Mapping'!AY9&gt;=601,'(橫掃)RX Mapping'!AY9&lt;=720), (-1)*('(橫掃)RX Mapping'!AY9-720)+120,IF(AND('(橫掃)RX Mapping'!AY9&gt;=721,'(橫掃)RX Mapping'!AY9&lt;=840), ('(橫掃)RX Mapping'!AY9-601),IF(AND('(橫掃)RX Mapping'!AY9&gt;=841,'(橫掃)RX Mapping'!AY9&lt;=960), (-1)*('(橫掃)RX Mapping'!AY9-960)+120,9999))))))))</f>
        <v>9999</v>
      </c>
      <c r="AZ9">
        <f>IF(AND('(橫掃)RX Mapping'!AZ9&gt;=1,'(橫掃)RX Mapping'!AZ9&lt;=120), ('(橫掃)RX Mapping'!AZ9-1),IF(AND('(橫掃)RX Mapping'!AZ9&gt;=121,'(橫掃)RX Mapping'!AZ9&lt;=240), (-1)*('(橫掃)RX Mapping'!AZ9-240),IF(AND('(橫掃)RX Mapping'!AZ9&gt;=241,'(橫掃)RX Mapping'!AZ9&lt;=360), ('(橫掃)RX Mapping'!AZ9-241),IF(AND('(橫掃)RX Mapping'!AZ9&gt;=361,'(橫掃)RX Mapping'!AZ9&lt;=480), (-1)*('(橫掃)RX Mapping'!AZ9-480),IF(AND('(橫掃)RX Mapping'!AZ9&gt;=481,'(橫掃)RX Mapping'!AZ9&lt;=600), ('(橫掃)RX Mapping'!AZ9-361),IF(AND('(橫掃)RX Mapping'!AZ9&gt;=601,'(橫掃)RX Mapping'!AZ9&lt;=720), (-1)*('(橫掃)RX Mapping'!AZ9-720)+120,IF(AND('(橫掃)RX Mapping'!AZ9&gt;=721,'(橫掃)RX Mapping'!AZ9&lt;=840), ('(橫掃)RX Mapping'!AZ9-601),IF(AND('(橫掃)RX Mapping'!AZ9&gt;=841,'(橫掃)RX Mapping'!AZ9&lt;=960), (-1)*('(橫掃)RX Mapping'!AZ9-960)+120,9999))))))))</f>
        <v>9999</v>
      </c>
      <c r="BA9">
        <f>IF(AND('(橫掃)RX Mapping'!BA9&gt;=1,'(橫掃)RX Mapping'!BA9&lt;=120), ('(橫掃)RX Mapping'!BA9-1),IF(AND('(橫掃)RX Mapping'!BA9&gt;=121,'(橫掃)RX Mapping'!BA9&lt;=240), (-1)*('(橫掃)RX Mapping'!BA9-240),IF(AND('(橫掃)RX Mapping'!BA9&gt;=241,'(橫掃)RX Mapping'!BA9&lt;=360), ('(橫掃)RX Mapping'!BA9-241),IF(AND('(橫掃)RX Mapping'!BA9&gt;=361,'(橫掃)RX Mapping'!BA9&lt;=480), (-1)*('(橫掃)RX Mapping'!BA9-480),IF(AND('(橫掃)RX Mapping'!BA9&gt;=481,'(橫掃)RX Mapping'!BA9&lt;=600), ('(橫掃)RX Mapping'!BA9-361),IF(AND('(橫掃)RX Mapping'!BA9&gt;=601,'(橫掃)RX Mapping'!BA9&lt;=720), (-1)*('(橫掃)RX Mapping'!BA9-720)+120,IF(AND('(橫掃)RX Mapping'!BA9&gt;=721,'(橫掃)RX Mapping'!BA9&lt;=840), ('(橫掃)RX Mapping'!BA9-601),IF(AND('(橫掃)RX Mapping'!BA9&gt;=841,'(橫掃)RX Mapping'!BA9&lt;=960), (-1)*('(橫掃)RX Mapping'!BA9-960)+120,9999))))))))</f>
        <v>9999</v>
      </c>
      <c r="BB9">
        <f>IF(AND('(橫掃)RX Mapping'!BB9&gt;=1,'(橫掃)RX Mapping'!BB9&lt;=120), ('(橫掃)RX Mapping'!BB9-1),IF(AND('(橫掃)RX Mapping'!BB9&gt;=121,'(橫掃)RX Mapping'!BB9&lt;=240), (-1)*('(橫掃)RX Mapping'!BB9-240),IF(AND('(橫掃)RX Mapping'!BB9&gt;=241,'(橫掃)RX Mapping'!BB9&lt;=360), ('(橫掃)RX Mapping'!BB9-241),IF(AND('(橫掃)RX Mapping'!BB9&gt;=361,'(橫掃)RX Mapping'!BB9&lt;=480), (-1)*('(橫掃)RX Mapping'!BB9-480),IF(AND('(橫掃)RX Mapping'!BB9&gt;=481,'(橫掃)RX Mapping'!BB9&lt;=600), ('(橫掃)RX Mapping'!BB9-361),IF(AND('(橫掃)RX Mapping'!BB9&gt;=601,'(橫掃)RX Mapping'!BB9&lt;=720), (-1)*('(橫掃)RX Mapping'!BB9-720)+120,IF(AND('(橫掃)RX Mapping'!BB9&gt;=721,'(橫掃)RX Mapping'!BB9&lt;=840), ('(橫掃)RX Mapping'!BB9-601),IF(AND('(橫掃)RX Mapping'!BB9&gt;=841,'(橫掃)RX Mapping'!BB9&lt;=960), (-1)*('(橫掃)RX Mapping'!BB9-960)+120,9999))))))))</f>
        <v>9999</v>
      </c>
      <c r="BC9">
        <f>IF(AND('(橫掃)RX Mapping'!BC9&gt;=1,'(橫掃)RX Mapping'!BC9&lt;=120), ('(橫掃)RX Mapping'!BC9-1),IF(AND('(橫掃)RX Mapping'!BC9&gt;=121,'(橫掃)RX Mapping'!BC9&lt;=240), (-1)*('(橫掃)RX Mapping'!BC9-240),IF(AND('(橫掃)RX Mapping'!BC9&gt;=241,'(橫掃)RX Mapping'!BC9&lt;=360), ('(橫掃)RX Mapping'!BC9-241),IF(AND('(橫掃)RX Mapping'!BC9&gt;=361,'(橫掃)RX Mapping'!BC9&lt;=480), (-1)*('(橫掃)RX Mapping'!BC9-480),IF(AND('(橫掃)RX Mapping'!BC9&gt;=481,'(橫掃)RX Mapping'!BC9&lt;=600), ('(橫掃)RX Mapping'!BC9-361),IF(AND('(橫掃)RX Mapping'!BC9&gt;=601,'(橫掃)RX Mapping'!BC9&lt;=720), (-1)*('(橫掃)RX Mapping'!BC9-720)+120,IF(AND('(橫掃)RX Mapping'!BC9&gt;=721,'(橫掃)RX Mapping'!BC9&lt;=840), ('(橫掃)RX Mapping'!BC9-601),IF(AND('(橫掃)RX Mapping'!BC9&gt;=841,'(橫掃)RX Mapping'!BC9&lt;=960), (-1)*('(橫掃)RX Mapping'!BC9-960)+120,9999))))))))</f>
        <v>9999</v>
      </c>
      <c r="BD9">
        <f>IF(AND('(橫掃)RX Mapping'!BD9&gt;=1,'(橫掃)RX Mapping'!BD9&lt;=120), ('(橫掃)RX Mapping'!BD9-1),IF(AND('(橫掃)RX Mapping'!BD9&gt;=121,'(橫掃)RX Mapping'!BD9&lt;=240), (-1)*('(橫掃)RX Mapping'!BD9-240),IF(AND('(橫掃)RX Mapping'!BD9&gt;=241,'(橫掃)RX Mapping'!BD9&lt;=360), ('(橫掃)RX Mapping'!BD9-241),IF(AND('(橫掃)RX Mapping'!BD9&gt;=361,'(橫掃)RX Mapping'!BD9&lt;=480), (-1)*('(橫掃)RX Mapping'!BD9-480),IF(AND('(橫掃)RX Mapping'!BD9&gt;=481,'(橫掃)RX Mapping'!BD9&lt;=600), ('(橫掃)RX Mapping'!BD9-361),IF(AND('(橫掃)RX Mapping'!BD9&gt;=601,'(橫掃)RX Mapping'!BD9&lt;=720), (-1)*('(橫掃)RX Mapping'!BD9-720)+120,IF(AND('(橫掃)RX Mapping'!BD9&gt;=721,'(橫掃)RX Mapping'!BD9&lt;=840), ('(橫掃)RX Mapping'!BD9-601),IF(AND('(橫掃)RX Mapping'!BD9&gt;=841,'(橫掃)RX Mapping'!BD9&lt;=960), (-1)*('(橫掃)RX Mapping'!BD9-960)+120,9999))))))))</f>
        <v>9999</v>
      </c>
      <c r="BE9">
        <f>IF(AND('(橫掃)RX Mapping'!BE9&gt;=1,'(橫掃)RX Mapping'!BE9&lt;=120), ('(橫掃)RX Mapping'!BE9-1),IF(AND('(橫掃)RX Mapping'!BE9&gt;=121,'(橫掃)RX Mapping'!BE9&lt;=240), (-1)*('(橫掃)RX Mapping'!BE9-240),IF(AND('(橫掃)RX Mapping'!BE9&gt;=241,'(橫掃)RX Mapping'!BE9&lt;=360), ('(橫掃)RX Mapping'!BE9-241),IF(AND('(橫掃)RX Mapping'!BE9&gt;=361,'(橫掃)RX Mapping'!BE9&lt;=480), (-1)*('(橫掃)RX Mapping'!BE9-480),IF(AND('(橫掃)RX Mapping'!BE9&gt;=481,'(橫掃)RX Mapping'!BE9&lt;=600), ('(橫掃)RX Mapping'!BE9-361),IF(AND('(橫掃)RX Mapping'!BE9&gt;=601,'(橫掃)RX Mapping'!BE9&lt;=720), (-1)*('(橫掃)RX Mapping'!BE9-720)+120,IF(AND('(橫掃)RX Mapping'!BE9&gt;=721,'(橫掃)RX Mapping'!BE9&lt;=840), ('(橫掃)RX Mapping'!BE9-601),IF(AND('(橫掃)RX Mapping'!BE9&gt;=841,'(橫掃)RX Mapping'!BE9&lt;=960), (-1)*('(橫掃)RX Mapping'!BE9-960)+120,9999))))))))</f>
        <v>9999</v>
      </c>
      <c r="BF9">
        <f>IF(AND('(橫掃)RX Mapping'!BF9&gt;=1,'(橫掃)RX Mapping'!BF9&lt;=120), ('(橫掃)RX Mapping'!BF9-1),IF(AND('(橫掃)RX Mapping'!BF9&gt;=121,'(橫掃)RX Mapping'!BF9&lt;=240), (-1)*('(橫掃)RX Mapping'!BF9-240),IF(AND('(橫掃)RX Mapping'!BF9&gt;=241,'(橫掃)RX Mapping'!BF9&lt;=360), ('(橫掃)RX Mapping'!BF9-241),IF(AND('(橫掃)RX Mapping'!BF9&gt;=361,'(橫掃)RX Mapping'!BF9&lt;=480), (-1)*('(橫掃)RX Mapping'!BF9-480),IF(AND('(橫掃)RX Mapping'!BF9&gt;=481,'(橫掃)RX Mapping'!BF9&lt;=600), ('(橫掃)RX Mapping'!BF9-361),IF(AND('(橫掃)RX Mapping'!BF9&gt;=601,'(橫掃)RX Mapping'!BF9&lt;=720), (-1)*('(橫掃)RX Mapping'!BF9-720)+120,IF(AND('(橫掃)RX Mapping'!BF9&gt;=721,'(橫掃)RX Mapping'!BF9&lt;=840), ('(橫掃)RX Mapping'!BF9-601),IF(AND('(橫掃)RX Mapping'!BF9&gt;=841,'(橫掃)RX Mapping'!BF9&lt;=960), (-1)*('(橫掃)RX Mapping'!BF9-960)+120,9999))))))))</f>
        <v>9999</v>
      </c>
      <c r="BG9">
        <f>IF(AND('(橫掃)RX Mapping'!BG9&gt;=1,'(橫掃)RX Mapping'!BG9&lt;=120), ('(橫掃)RX Mapping'!BG9-1),IF(AND('(橫掃)RX Mapping'!BG9&gt;=121,'(橫掃)RX Mapping'!BG9&lt;=240), (-1)*('(橫掃)RX Mapping'!BG9-240),IF(AND('(橫掃)RX Mapping'!BG9&gt;=241,'(橫掃)RX Mapping'!BG9&lt;=360), ('(橫掃)RX Mapping'!BG9-241),IF(AND('(橫掃)RX Mapping'!BG9&gt;=361,'(橫掃)RX Mapping'!BG9&lt;=480), (-1)*('(橫掃)RX Mapping'!BG9-480),IF(AND('(橫掃)RX Mapping'!BG9&gt;=481,'(橫掃)RX Mapping'!BG9&lt;=600), ('(橫掃)RX Mapping'!BG9-361),IF(AND('(橫掃)RX Mapping'!BG9&gt;=601,'(橫掃)RX Mapping'!BG9&lt;=720), (-1)*('(橫掃)RX Mapping'!BG9-720)+120,IF(AND('(橫掃)RX Mapping'!BG9&gt;=721,'(橫掃)RX Mapping'!BG9&lt;=840), ('(橫掃)RX Mapping'!BG9-601),IF(AND('(橫掃)RX Mapping'!BG9&gt;=841,'(橫掃)RX Mapping'!BG9&lt;=960), (-1)*('(橫掃)RX Mapping'!BG9-960)+120,9999))))))))</f>
        <v>9999</v>
      </c>
      <c r="BH9">
        <f>IF(AND('(橫掃)RX Mapping'!BH9&gt;=1,'(橫掃)RX Mapping'!BH9&lt;=120), ('(橫掃)RX Mapping'!BH9-1),IF(AND('(橫掃)RX Mapping'!BH9&gt;=121,'(橫掃)RX Mapping'!BH9&lt;=240), (-1)*('(橫掃)RX Mapping'!BH9-240),IF(AND('(橫掃)RX Mapping'!BH9&gt;=241,'(橫掃)RX Mapping'!BH9&lt;=360), ('(橫掃)RX Mapping'!BH9-241),IF(AND('(橫掃)RX Mapping'!BH9&gt;=361,'(橫掃)RX Mapping'!BH9&lt;=480), (-1)*('(橫掃)RX Mapping'!BH9-480),IF(AND('(橫掃)RX Mapping'!BH9&gt;=481,'(橫掃)RX Mapping'!BH9&lt;=600), ('(橫掃)RX Mapping'!BH9-361),IF(AND('(橫掃)RX Mapping'!BH9&gt;=601,'(橫掃)RX Mapping'!BH9&lt;=720), (-1)*('(橫掃)RX Mapping'!BH9-720)+120,IF(AND('(橫掃)RX Mapping'!BH9&gt;=721,'(橫掃)RX Mapping'!BH9&lt;=840), ('(橫掃)RX Mapping'!BH9-601),IF(AND('(橫掃)RX Mapping'!BH9&gt;=841,'(橫掃)RX Mapping'!BH9&lt;=960), (-1)*('(橫掃)RX Mapping'!BH9-960)+120,9999))))))))</f>
        <v>9999</v>
      </c>
      <c r="BI9">
        <f>IF(AND('(橫掃)RX Mapping'!BI9&gt;=1,'(橫掃)RX Mapping'!BI9&lt;=120), ('(橫掃)RX Mapping'!BI9-1),IF(AND('(橫掃)RX Mapping'!BI9&gt;=121,'(橫掃)RX Mapping'!BI9&lt;=240), (-1)*('(橫掃)RX Mapping'!BI9-240),IF(AND('(橫掃)RX Mapping'!BI9&gt;=241,'(橫掃)RX Mapping'!BI9&lt;=360), ('(橫掃)RX Mapping'!BI9-241),IF(AND('(橫掃)RX Mapping'!BI9&gt;=361,'(橫掃)RX Mapping'!BI9&lt;=480), (-1)*('(橫掃)RX Mapping'!BI9-480),IF(AND('(橫掃)RX Mapping'!BI9&gt;=481,'(橫掃)RX Mapping'!BI9&lt;=600), ('(橫掃)RX Mapping'!BI9-361),IF(AND('(橫掃)RX Mapping'!BI9&gt;=601,'(橫掃)RX Mapping'!BI9&lt;=720), (-1)*('(橫掃)RX Mapping'!BI9-720)+120,IF(AND('(橫掃)RX Mapping'!BI9&gt;=721,'(橫掃)RX Mapping'!BI9&lt;=840), ('(橫掃)RX Mapping'!BI9-601),IF(AND('(橫掃)RX Mapping'!BI9&gt;=841,'(橫掃)RX Mapping'!BI9&lt;=960), (-1)*('(橫掃)RX Mapping'!BI9-960)+120,9999))))))))</f>
        <v>9999</v>
      </c>
    </row>
    <row r="10" spans="1:61" x14ac:dyDescent="0.25">
      <c r="A10" s="20">
        <v>9</v>
      </c>
      <c r="B10">
        <f>IF(AND('(橫掃)RX Mapping'!B10&gt;=1,'(橫掃)RX Mapping'!B10&lt;=120), ('(橫掃)RX Mapping'!B10-1),IF(AND('(橫掃)RX Mapping'!B10&gt;=121,'(橫掃)RX Mapping'!B10&lt;=240), (-1)*('(橫掃)RX Mapping'!B10-240),IF(AND('(橫掃)RX Mapping'!B10&gt;=241,'(橫掃)RX Mapping'!B10&lt;=360), ('(橫掃)RX Mapping'!B10-241),IF(AND('(橫掃)RX Mapping'!B10&gt;=361,'(橫掃)RX Mapping'!B10&lt;=480), (-1)*('(橫掃)RX Mapping'!B10-480),IF(AND('(橫掃)RX Mapping'!B10&gt;=481,'(橫掃)RX Mapping'!B10&lt;=600), ('(橫掃)RX Mapping'!B10-361),IF(AND('(橫掃)RX Mapping'!B10&gt;=601,'(橫掃)RX Mapping'!B10&lt;=720), (-1)*('(橫掃)RX Mapping'!B10-720)+120,IF(AND('(橫掃)RX Mapping'!B10&gt;=721,'(橫掃)RX Mapping'!B10&lt;=840), ('(橫掃)RX Mapping'!B10-601),IF(AND('(橫掃)RX Mapping'!B10&gt;=841,'(橫掃)RX Mapping'!B10&lt;=960), (-1)*('(橫掃)RX Mapping'!B10-960)+120,9999))))))))</f>
        <v>8</v>
      </c>
      <c r="C10">
        <f>IF(AND('(橫掃)RX Mapping'!C10&gt;=1,'(橫掃)RX Mapping'!C10&lt;=120), ('(橫掃)RX Mapping'!C10-1),IF(AND('(橫掃)RX Mapping'!C10&gt;=121,'(橫掃)RX Mapping'!C10&lt;=240), (-1)*('(橫掃)RX Mapping'!C10-240),IF(AND('(橫掃)RX Mapping'!C10&gt;=241,'(橫掃)RX Mapping'!C10&lt;=360), ('(橫掃)RX Mapping'!C10-241),IF(AND('(橫掃)RX Mapping'!C10&gt;=361,'(橫掃)RX Mapping'!C10&lt;=480), (-1)*('(橫掃)RX Mapping'!C10-480),IF(AND('(橫掃)RX Mapping'!C10&gt;=481,'(橫掃)RX Mapping'!C10&lt;=600), ('(橫掃)RX Mapping'!C10-361),IF(AND('(橫掃)RX Mapping'!C10&gt;=601,'(橫掃)RX Mapping'!C10&lt;=720), (-1)*('(橫掃)RX Mapping'!C10-720)+120,IF(AND('(橫掃)RX Mapping'!C10&gt;=721,'(橫掃)RX Mapping'!C10&lt;=840), ('(橫掃)RX Mapping'!C10-601),IF(AND('(橫掃)RX Mapping'!C10&gt;=841,'(橫掃)RX Mapping'!C10&lt;=960), (-1)*('(橫掃)RX Mapping'!C10-960)+120,9999))))))))</f>
        <v>40</v>
      </c>
      <c r="D10">
        <f>IF(AND('(橫掃)RX Mapping'!D10&gt;=1,'(橫掃)RX Mapping'!D10&lt;=120), ('(橫掃)RX Mapping'!D10-1),IF(AND('(橫掃)RX Mapping'!D10&gt;=121,'(橫掃)RX Mapping'!D10&lt;=240), (-1)*('(橫掃)RX Mapping'!D10-240),IF(AND('(橫掃)RX Mapping'!D10&gt;=241,'(橫掃)RX Mapping'!D10&lt;=360), ('(橫掃)RX Mapping'!D10-241),IF(AND('(橫掃)RX Mapping'!D10&gt;=361,'(橫掃)RX Mapping'!D10&lt;=480), (-1)*('(橫掃)RX Mapping'!D10-480),IF(AND('(橫掃)RX Mapping'!D10&gt;=481,'(橫掃)RX Mapping'!D10&lt;=600), ('(橫掃)RX Mapping'!D10-361),IF(AND('(橫掃)RX Mapping'!D10&gt;=601,'(橫掃)RX Mapping'!D10&lt;=720), (-1)*('(橫掃)RX Mapping'!D10-720)+120,IF(AND('(橫掃)RX Mapping'!D10&gt;=721,'(橫掃)RX Mapping'!D10&lt;=840), ('(橫掃)RX Mapping'!D10-601),IF(AND('(橫掃)RX Mapping'!D10&gt;=841,'(橫掃)RX Mapping'!D10&lt;=960), (-1)*('(橫掃)RX Mapping'!D10-960)+120,9999))))))))</f>
        <v>72</v>
      </c>
      <c r="E10">
        <f>IF(AND('(橫掃)RX Mapping'!E10&gt;=1,'(橫掃)RX Mapping'!E10&lt;=120), ('(橫掃)RX Mapping'!E10-1),IF(AND('(橫掃)RX Mapping'!E10&gt;=121,'(橫掃)RX Mapping'!E10&lt;=240), (-1)*('(橫掃)RX Mapping'!E10-240),IF(AND('(橫掃)RX Mapping'!E10&gt;=241,'(橫掃)RX Mapping'!E10&lt;=360), ('(橫掃)RX Mapping'!E10-241),IF(AND('(橫掃)RX Mapping'!E10&gt;=361,'(橫掃)RX Mapping'!E10&lt;=480), (-1)*('(橫掃)RX Mapping'!E10-480),IF(AND('(橫掃)RX Mapping'!E10&gt;=481,'(橫掃)RX Mapping'!E10&lt;=600), ('(橫掃)RX Mapping'!E10-361),IF(AND('(橫掃)RX Mapping'!E10&gt;=601,'(橫掃)RX Mapping'!E10&lt;=720), (-1)*('(橫掃)RX Mapping'!E10-720)+120,IF(AND('(橫掃)RX Mapping'!E10&gt;=721,'(橫掃)RX Mapping'!E10&lt;=840), ('(橫掃)RX Mapping'!E10-601),IF(AND('(橫掃)RX Mapping'!E10&gt;=841,'(橫掃)RX Mapping'!E10&lt;=960), (-1)*('(橫掃)RX Mapping'!E10-960)+120,9999))))))))</f>
        <v>104</v>
      </c>
      <c r="F10">
        <f>IF(AND('(橫掃)RX Mapping'!F10&gt;=1,'(橫掃)RX Mapping'!F10&lt;=120), ('(橫掃)RX Mapping'!F10-1),IF(AND('(橫掃)RX Mapping'!F10&gt;=121,'(橫掃)RX Mapping'!F10&lt;=240), (-1)*('(橫掃)RX Mapping'!F10-240),IF(AND('(橫掃)RX Mapping'!F10&gt;=241,'(橫掃)RX Mapping'!F10&lt;=360), ('(橫掃)RX Mapping'!F10-241),IF(AND('(橫掃)RX Mapping'!F10&gt;=361,'(橫掃)RX Mapping'!F10&lt;=480), (-1)*('(橫掃)RX Mapping'!F10-480),IF(AND('(橫掃)RX Mapping'!F10&gt;=481,'(橫掃)RX Mapping'!F10&lt;=600), ('(橫掃)RX Mapping'!F10-361),IF(AND('(橫掃)RX Mapping'!F10&gt;=601,'(橫掃)RX Mapping'!F10&lt;=720), (-1)*('(橫掃)RX Mapping'!F10-720)+120,IF(AND('(橫掃)RX Mapping'!F10&gt;=721,'(橫掃)RX Mapping'!F10&lt;=840), ('(橫掃)RX Mapping'!F10-601),IF(AND('(橫掃)RX Mapping'!F10&gt;=841,'(橫掃)RX Mapping'!F10&lt;=960), (-1)*('(橫掃)RX Mapping'!F10-960)+120,9999))))))))</f>
        <v>103</v>
      </c>
      <c r="G10">
        <f>IF(AND('(橫掃)RX Mapping'!G10&gt;=1,'(橫掃)RX Mapping'!G10&lt;=120), ('(橫掃)RX Mapping'!G10-1),IF(AND('(橫掃)RX Mapping'!G10&gt;=121,'(橫掃)RX Mapping'!G10&lt;=240), (-1)*('(橫掃)RX Mapping'!G10-240),IF(AND('(橫掃)RX Mapping'!G10&gt;=241,'(橫掃)RX Mapping'!G10&lt;=360), ('(橫掃)RX Mapping'!G10-241),IF(AND('(橫掃)RX Mapping'!G10&gt;=361,'(橫掃)RX Mapping'!G10&lt;=480), (-1)*('(橫掃)RX Mapping'!G10-480),IF(AND('(橫掃)RX Mapping'!G10&gt;=481,'(橫掃)RX Mapping'!G10&lt;=600), ('(橫掃)RX Mapping'!G10-361),IF(AND('(橫掃)RX Mapping'!G10&gt;=601,'(橫掃)RX Mapping'!G10&lt;=720), (-1)*('(橫掃)RX Mapping'!G10-720)+120,IF(AND('(橫掃)RX Mapping'!G10&gt;=721,'(橫掃)RX Mapping'!G10&lt;=840), ('(橫掃)RX Mapping'!G10-601),IF(AND('(橫掃)RX Mapping'!G10&gt;=841,'(橫掃)RX Mapping'!G10&lt;=960), (-1)*('(橫掃)RX Mapping'!G10-960)+120,9999))))))))</f>
        <v>71</v>
      </c>
      <c r="H10">
        <f>IF(AND('(橫掃)RX Mapping'!H10&gt;=1,'(橫掃)RX Mapping'!H10&lt;=120), ('(橫掃)RX Mapping'!H10-1),IF(AND('(橫掃)RX Mapping'!H10&gt;=121,'(橫掃)RX Mapping'!H10&lt;=240), (-1)*('(橫掃)RX Mapping'!H10-240),IF(AND('(橫掃)RX Mapping'!H10&gt;=241,'(橫掃)RX Mapping'!H10&lt;=360), ('(橫掃)RX Mapping'!H10-241),IF(AND('(橫掃)RX Mapping'!H10&gt;=361,'(橫掃)RX Mapping'!H10&lt;=480), (-1)*('(橫掃)RX Mapping'!H10-480),IF(AND('(橫掃)RX Mapping'!H10&gt;=481,'(橫掃)RX Mapping'!H10&lt;=600), ('(橫掃)RX Mapping'!H10-361),IF(AND('(橫掃)RX Mapping'!H10&gt;=601,'(橫掃)RX Mapping'!H10&lt;=720), (-1)*('(橫掃)RX Mapping'!H10-720)+120,IF(AND('(橫掃)RX Mapping'!H10&gt;=721,'(橫掃)RX Mapping'!H10&lt;=840), ('(橫掃)RX Mapping'!H10-601),IF(AND('(橫掃)RX Mapping'!H10&gt;=841,'(橫掃)RX Mapping'!H10&lt;=960), (-1)*('(橫掃)RX Mapping'!H10-960)+120,9999))))))))</f>
        <v>39</v>
      </c>
      <c r="I10">
        <f>IF(AND('(橫掃)RX Mapping'!I10&gt;=1,'(橫掃)RX Mapping'!I10&lt;=120), ('(橫掃)RX Mapping'!I10-1),IF(AND('(橫掃)RX Mapping'!I10&gt;=121,'(橫掃)RX Mapping'!I10&lt;=240), (-1)*('(橫掃)RX Mapping'!I10-240),IF(AND('(橫掃)RX Mapping'!I10&gt;=241,'(橫掃)RX Mapping'!I10&lt;=360), ('(橫掃)RX Mapping'!I10-241),IF(AND('(橫掃)RX Mapping'!I10&gt;=361,'(橫掃)RX Mapping'!I10&lt;=480), (-1)*('(橫掃)RX Mapping'!I10-480),IF(AND('(橫掃)RX Mapping'!I10&gt;=481,'(橫掃)RX Mapping'!I10&lt;=600), ('(橫掃)RX Mapping'!I10-361),IF(AND('(橫掃)RX Mapping'!I10&gt;=601,'(橫掃)RX Mapping'!I10&lt;=720), (-1)*('(橫掃)RX Mapping'!I10-720)+120,IF(AND('(橫掃)RX Mapping'!I10&gt;=721,'(橫掃)RX Mapping'!I10&lt;=840), ('(橫掃)RX Mapping'!I10-601),IF(AND('(橫掃)RX Mapping'!I10&gt;=841,'(橫掃)RX Mapping'!I10&lt;=960), (-1)*('(橫掃)RX Mapping'!I10-960)+120,9999))))))))</f>
        <v>8</v>
      </c>
      <c r="J10">
        <f>IF(AND('(橫掃)RX Mapping'!J10&gt;=1,'(橫掃)RX Mapping'!J10&lt;=120), ('(橫掃)RX Mapping'!J10-1),IF(AND('(橫掃)RX Mapping'!J10&gt;=121,'(橫掃)RX Mapping'!J10&lt;=240), (-1)*('(橫掃)RX Mapping'!J10-240),IF(AND('(橫掃)RX Mapping'!J10&gt;=241,'(橫掃)RX Mapping'!J10&lt;=360), ('(橫掃)RX Mapping'!J10-241),IF(AND('(橫掃)RX Mapping'!J10&gt;=361,'(橫掃)RX Mapping'!J10&lt;=480), (-1)*('(橫掃)RX Mapping'!J10-480),IF(AND('(橫掃)RX Mapping'!J10&gt;=481,'(橫掃)RX Mapping'!J10&lt;=600), ('(橫掃)RX Mapping'!J10-361),IF(AND('(橫掃)RX Mapping'!J10&gt;=601,'(橫掃)RX Mapping'!J10&lt;=720), (-1)*('(橫掃)RX Mapping'!J10-720)+120,IF(AND('(橫掃)RX Mapping'!J10&gt;=721,'(橫掃)RX Mapping'!J10&lt;=840), ('(橫掃)RX Mapping'!J10-601),IF(AND('(橫掃)RX Mapping'!J10&gt;=841,'(橫掃)RX Mapping'!J10&lt;=960), (-1)*('(橫掃)RX Mapping'!J10-960)+120,9999))))))))</f>
        <v>40</v>
      </c>
      <c r="K10">
        <f>IF(AND('(橫掃)RX Mapping'!K10&gt;=1,'(橫掃)RX Mapping'!K10&lt;=120), ('(橫掃)RX Mapping'!K10-1),IF(AND('(橫掃)RX Mapping'!K10&gt;=121,'(橫掃)RX Mapping'!K10&lt;=240), (-1)*('(橫掃)RX Mapping'!K10-240),IF(AND('(橫掃)RX Mapping'!K10&gt;=241,'(橫掃)RX Mapping'!K10&lt;=360), ('(橫掃)RX Mapping'!K10-241),IF(AND('(橫掃)RX Mapping'!K10&gt;=361,'(橫掃)RX Mapping'!K10&lt;=480), (-1)*('(橫掃)RX Mapping'!K10-480),IF(AND('(橫掃)RX Mapping'!K10&gt;=481,'(橫掃)RX Mapping'!K10&lt;=600), ('(橫掃)RX Mapping'!K10-361),IF(AND('(橫掃)RX Mapping'!K10&gt;=601,'(橫掃)RX Mapping'!K10&lt;=720), (-1)*('(橫掃)RX Mapping'!K10-720)+120,IF(AND('(橫掃)RX Mapping'!K10&gt;=721,'(橫掃)RX Mapping'!K10&lt;=840), ('(橫掃)RX Mapping'!K10-601),IF(AND('(橫掃)RX Mapping'!K10&gt;=841,'(橫掃)RX Mapping'!K10&lt;=960), (-1)*('(橫掃)RX Mapping'!K10-960)+120,9999))))))))</f>
        <v>72</v>
      </c>
      <c r="L10">
        <f>IF(AND('(橫掃)RX Mapping'!L10&gt;=1,'(橫掃)RX Mapping'!L10&lt;=120), ('(橫掃)RX Mapping'!L10-1),IF(AND('(橫掃)RX Mapping'!L10&gt;=121,'(橫掃)RX Mapping'!L10&lt;=240), (-1)*('(橫掃)RX Mapping'!L10-240),IF(AND('(橫掃)RX Mapping'!L10&gt;=241,'(橫掃)RX Mapping'!L10&lt;=360), ('(橫掃)RX Mapping'!L10-241),IF(AND('(橫掃)RX Mapping'!L10&gt;=361,'(橫掃)RX Mapping'!L10&lt;=480), (-1)*('(橫掃)RX Mapping'!L10-480),IF(AND('(橫掃)RX Mapping'!L10&gt;=481,'(橫掃)RX Mapping'!L10&lt;=600), ('(橫掃)RX Mapping'!L10-361),IF(AND('(橫掃)RX Mapping'!L10&gt;=601,'(橫掃)RX Mapping'!L10&lt;=720), (-1)*('(橫掃)RX Mapping'!L10-720)+120,IF(AND('(橫掃)RX Mapping'!L10&gt;=721,'(橫掃)RX Mapping'!L10&lt;=840), ('(橫掃)RX Mapping'!L10-601),IF(AND('(橫掃)RX Mapping'!L10&gt;=841,'(橫掃)RX Mapping'!L10&lt;=960), (-1)*('(橫掃)RX Mapping'!L10-960)+120,9999))))))))</f>
        <v>104</v>
      </c>
      <c r="M10">
        <f>IF(AND('(橫掃)RX Mapping'!M10&gt;=1,'(橫掃)RX Mapping'!M10&lt;=120), ('(橫掃)RX Mapping'!M10-1),IF(AND('(橫掃)RX Mapping'!M10&gt;=121,'(橫掃)RX Mapping'!M10&lt;=240), (-1)*('(橫掃)RX Mapping'!M10-240),IF(AND('(橫掃)RX Mapping'!M10&gt;=241,'(橫掃)RX Mapping'!M10&lt;=360), ('(橫掃)RX Mapping'!M10-241),IF(AND('(橫掃)RX Mapping'!M10&gt;=361,'(橫掃)RX Mapping'!M10&lt;=480), (-1)*('(橫掃)RX Mapping'!M10-480),IF(AND('(橫掃)RX Mapping'!M10&gt;=481,'(橫掃)RX Mapping'!M10&lt;=600), ('(橫掃)RX Mapping'!M10-361),IF(AND('(橫掃)RX Mapping'!M10&gt;=601,'(橫掃)RX Mapping'!M10&lt;=720), (-1)*('(橫掃)RX Mapping'!M10-720)+120,IF(AND('(橫掃)RX Mapping'!M10&gt;=721,'(橫掃)RX Mapping'!M10&lt;=840), ('(橫掃)RX Mapping'!M10-601),IF(AND('(橫掃)RX Mapping'!M10&gt;=841,'(橫掃)RX Mapping'!M10&lt;=960), (-1)*('(橫掃)RX Mapping'!M10-960)+120,9999))))))))</f>
        <v>103</v>
      </c>
      <c r="N10">
        <f>IF(AND('(橫掃)RX Mapping'!N10&gt;=1,'(橫掃)RX Mapping'!N10&lt;=120), ('(橫掃)RX Mapping'!N10-1),IF(AND('(橫掃)RX Mapping'!N10&gt;=121,'(橫掃)RX Mapping'!N10&lt;=240), (-1)*('(橫掃)RX Mapping'!N10-240),IF(AND('(橫掃)RX Mapping'!N10&gt;=241,'(橫掃)RX Mapping'!N10&lt;=360), ('(橫掃)RX Mapping'!N10-241),IF(AND('(橫掃)RX Mapping'!N10&gt;=361,'(橫掃)RX Mapping'!N10&lt;=480), (-1)*('(橫掃)RX Mapping'!N10-480),IF(AND('(橫掃)RX Mapping'!N10&gt;=481,'(橫掃)RX Mapping'!N10&lt;=600), ('(橫掃)RX Mapping'!N10-361),IF(AND('(橫掃)RX Mapping'!N10&gt;=601,'(橫掃)RX Mapping'!N10&lt;=720), (-1)*('(橫掃)RX Mapping'!N10-720)+120,IF(AND('(橫掃)RX Mapping'!N10&gt;=721,'(橫掃)RX Mapping'!N10&lt;=840), ('(橫掃)RX Mapping'!N10-601),IF(AND('(橫掃)RX Mapping'!N10&gt;=841,'(橫掃)RX Mapping'!N10&lt;=960), (-1)*('(橫掃)RX Mapping'!N10-960)+120,9999))))))))</f>
        <v>71</v>
      </c>
      <c r="O10">
        <f>IF(AND('(橫掃)RX Mapping'!O10&gt;=1,'(橫掃)RX Mapping'!O10&lt;=120), ('(橫掃)RX Mapping'!O10-1),IF(AND('(橫掃)RX Mapping'!O10&gt;=121,'(橫掃)RX Mapping'!O10&lt;=240), (-1)*('(橫掃)RX Mapping'!O10-240),IF(AND('(橫掃)RX Mapping'!O10&gt;=241,'(橫掃)RX Mapping'!O10&lt;=360), ('(橫掃)RX Mapping'!O10-241),IF(AND('(橫掃)RX Mapping'!O10&gt;=361,'(橫掃)RX Mapping'!O10&lt;=480), (-1)*('(橫掃)RX Mapping'!O10-480),IF(AND('(橫掃)RX Mapping'!O10&gt;=481,'(橫掃)RX Mapping'!O10&lt;=600), ('(橫掃)RX Mapping'!O10-361),IF(AND('(橫掃)RX Mapping'!O10&gt;=601,'(橫掃)RX Mapping'!O10&lt;=720), (-1)*('(橫掃)RX Mapping'!O10-720)+120,IF(AND('(橫掃)RX Mapping'!O10&gt;=721,'(橫掃)RX Mapping'!O10&lt;=840), ('(橫掃)RX Mapping'!O10-601),IF(AND('(橫掃)RX Mapping'!O10&gt;=841,'(橫掃)RX Mapping'!O10&lt;=960), (-1)*('(橫掃)RX Mapping'!O10-960)+120,9999))))))))</f>
        <v>39</v>
      </c>
      <c r="P10">
        <f>IF(AND('(橫掃)RX Mapping'!P10&gt;=1,'(橫掃)RX Mapping'!P10&lt;=120), ('(橫掃)RX Mapping'!P10-1),IF(AND('(橫掃)RX Mapping'!P10&gt;=121,'(橫掃)RX Mapping'!P10&lt;=240), (-1)*('(橫掃)RX Mapping'!P10-240),IF(AND('(橫掃)RX Mapping'!P10&gt;=241,'(橫掃)RX Mapping'!P10&lt;=360), ('(橫掃)RX Mapping'!P10-241),IF(AND('(橫掃)RX Mapping'!P10&gt;=361,'(橫掃)RX Mapping'!P10&lt;=480), (-1)*('(橫掃)RX Mapping'!P10-480),IF(AND('(橫掃)RX Mapping'!P10&gt;=481,'(橫掃)RX Mapping'!P10&lt;=600), ('(橫掃)RX Mapping'!P10-361),IF(AND('(橫掃)RX Mapping'!P10&gt;=601,'(橫掃)RX Mapping'!P10&lt;=720), (-1)*('(橫掃)RX Mapping'!P10-720)+120,IF(AND('(橫掃)RX Mapping'!P10&gt;=721,'(橫掃)RX Mapping'!P10&lt;=840), ('(橫掃)RX Mapping'!P10-601),IF(AND('(橫掃)RX Mapping'!P10&gt;=841,'(橫掃)RX Mapping'!P10&lt;=960), (-1)*('(橫掃)RX Mapping'!P10-960)+120,9999))))))))</f>
        <v>128</v>
      </c>
      <c r="Q10">
        <f>IF(AND('(橫掃)RX Mapping'!Q10&gt;=1,'(橫掃)RX Mapping'!Q10&lt;=120), ('(橫掃)RX Mapping'!Q10-1),IF(AND('(橫掃)RX Mapping'!Q10&gt;=121,'(橫掃)RX Mapping'!Q10&lt;=240), (-1)*('(橫掃)RX Mapping'!Q10-240),IF(AND('(橫掃)RX Mapping'!Q10&gt;=241,'(橫掃)RX Mapping'!Q10&lt;=360), ('(橫掃)RX Mapping'!Q10-241),IF(AND('(橫掃)RX Mapping'!Q10&gt;=361,'(橫掃)RX Mapping'!Q10&lt;=480), (-1)*('(橫掃)RX Mapping'!Q10-480),IF(AND('(橫掃)RX Mapping'!Q10&gt;=481,'(橫掃)RX Mapping'!Q10&lt;=600), ('(橫掃)RX Mapping'!Q10-361),IF(AND('(橫掃)RX Mapping'!Q10&gt;=601,'(橫掃)RX Mapping'!Q10&lt;=720), (-1)*('(橫掃)RX Mapping'!Q10-720)+120,IF(AND('(橫掃)RX Mapping'!Q10&gt;=721,'(橫掃)RX Mapping'!Q10&lt;=840), ('(橫掃)RX Mapping'!Q10-601),IF(AND('(橫掃)RX Mapping'!Q10&gt;=841,'(橫掃)RX Mapping'!Q10&lt;=960), (-1)*('(橫掃)RX Mapping'!Q10-960)+120,9999))))))))</f>
        <v>160</v>
      </c>
      <c r="R10">
        <f>IF(AND('(橫掃)RX Mapping'!R10&gt;=1,'(橫掃)RX Mapping'!R10&lt;=120), ('(橫掃)RX Mapping'!R10-1),IF(AND('(橫掃)RX Mapping'!R10&gt;=121,'(橫掃)RX Mapping'!R10&lt;=240), (-1)*('(橫掃)RX Mapping'!R10-240),IF(AND('(橫掃)RX Mapping'!R10&gt;=241,'(橫掃)RX Mapping'!R10&lt;=360), ('(橫掃)RX Mapping'!R10-241),IF(AND('(橫掃)RX Mapping'!R10&gt;=361,'(橫掃)RX Mapping'!R10&lt;=480), (-1)*('(橫掃)RX Mapping'!R10-480),IF(AND('(橫掃)RX Mapping'!R10&gt;=481,'(橫掃)RX Mapping'!R10&lt;=600), ('(橫掃)RX Mapping'!R10-361),IF(AND('(橫掃)RX Mapping'!R10&gt;=601,'(橫掃)RX Mapping'!R10&lt;=720), (-1)*('(橫掃)RX Mapping'!R10-720)+120,IF(AND('(橫掃)RX Mapping'!R10&gt;=721,'(橫掃)RX Mapping'!R10&lt;=840), ('(橫掃)RX Mapping'!R10-601),IF(AND('(橫掃)RX Mapping'!R10&gt;=841,'(橫掃)RX Mapping'!R10&lt;=960), (-1)*('(橫掃)RX Mapping'!R10-960)+120,9999))))))))</f>
        <v>192</v>
      </c>
      <c r="S10">
        <f>IF(AND('(橫掃)RX Mapping'!S10&gt;=1,'(橫掃)RX Mapping'!S10&lt;=120), ('(橫掃)RX Mapping'!S10-1),IF(AND('(橫掃)RX Mapping'!S10&gt;=121,'(橫掃)RX Mapping'!S10&lt;=240), (-1)*('(橫掃)RX Mapping'!S10-240),IF(AND('(橫掃)RX Mapping'!S10&gt;=241,'(橫掃)RX Mapping'!S10&lt;=360), ('(橫掃)RX Mapping'!S10-241),IF(AND('(橫掃)RX Mapping'!S10&gt;=361,'(橫掃)RX Mapping'!S10&lt;=480), (-1)*('(橫掃)RX Mapping'!S10-480),IF(AND('(橫掃)RX Mapping'!S10&gt;=481,'(橫掃)RX Mapping'!S10&lt;=600), ('(橫掃)RX Mapping'!S10-361),IF(AND('(橫掃)RX Mapping'!S10&gt;=601,'(橫掃)RX Mapping'!S10&lt;=720), (-1)*('(橫掃)RX Mapping'!S10-720)+120,IF(AND('(橫掃)RX Mapping'!S10&gt;=721,'(橫掃)RX Mapping'!S10&lt;=840), ('(橫掃)RX Mapping'!S10-601),IF(AND('(橫掃)RX Mapping'!S10&gt;=841,'(橫掃)RX Mapping'!S10&lt;=960), (-1)*('(橫掃)RX Mapping'!S10-960)+120,9999))))))))</f>
        <v>224</v>
      </c>
      <c r="T10">
        <f>IF(AND('(橫掃)RX Mapping'!T10&gt;=1,'(橫掃)RX Mapping'!T10&lt;=120), ('(橫掃)RX Mapping'!T10-1),IF(AND('(橫掃)RX Mapping'!T10&gt;=121,'(橫掃)RX Mapping'!T10&lt;=240), (-1)*('(橫掃)RX Mapping'!T10-240),IF(AND('(橫掃)RX Mapping'!T10&gt;=241,'(橫掃)RX Mapping'!T10&lt;=360), ('(橫掃)RX Mapping'!T10-241),IF(AND('(橫掃)RX Mapping'!T10&gt;=361,'(橫掃)RX Mapping'!T10&lt;=480), (-1)*('(橫掃)RX Mapping'!T10-480),IF(AND('(橫掃)RX Mapping'!T10&gt;=481,'(橫掃)RX Mapping'!T10&lt;=600), ('(橫掃)RX Mapping'!T10-361),IF(AND('(橫掃)RX Mapping'!T10&gt;=601,'(橫掃)RX Mapping'!T10&lt;=720), (-1)*('(橫掃)RX Mapping'!T10-720)+120,IF(AND('(橫掃)RX Mapping'!T10&gt;=721,'(橫掃)RX Mapping'!T10&lt;=840), ('(橫掃)RX Mapping'!T10-601),IF(AND('(橫掃)RX Mapping'!T10&gt;=841,'(橫掃)RX Mapping'!T10&lt;=960), (-1)*('(橫掃)RX Mapping'!T10-960)+120,9999))))))))</f>
        <v>223</v>
      </c>
      <c r="U10">
        <f>IF(AND('(橫掃)RX Mapping'!U10&gt;=1,'(橫掃)RX Mapping'!U10&lt;=120), ('(橫掃)RX Mapping'!U10-1),IF(AND('(橫掃)RX Mapping'!U10&gt;=121,'(橫掃)RX Mapping'!U10&lt;=240), (-1)*('(橫掃)RX Mapping'!U10-240),IF(AND('(橫掃)RX Mapping'!U10&gt;=241,'(橫掃)RX Mapping'!U10&lt;=360), ('(橫掃)RX Mapping'!U10-241),IF(AND('(橫掃)RX Mapping'!U10&gt;=361,'(橫掃)RX Mapping'!U10&lt;=480), (-1)*('(橫掃)RX Mapping'!U10-480),IF(AND('(橫掃)RX Mapping'!U10&gt;=481,'(橫掃)RX Mapping'!U10&lt;=600), ('(橫掃)RX Mapping'!U10-361),IF(AND('(橫掃)RX Mapping'!U10&gt;=601,'(橫掃)RX Mapping'!U10&lt;=720), (-1)*('(橫掃)RX Mapping'!U10-720)+120,IF(AND('(橫掃)RX Mapping'!U10&gt;=721,'(橫掃)RX Mapping'!U10&lt;=840), ('(橫掃)RX Mapping'!U10-601),IF(AND('(橫掃)RX Mapping'!U10&gt;=841,'(橫掃)RX Mapping'!U10&lt;=960), (-1)*('(橫掃)RX Mapping'!U10-960)+120,9999))))))))</f>
        <v>191</v>
      </c>
      <c r="V10">
        <f>IF(AND('(橫掃)RX Mapping'!V10&gt;=1,'(橫掃)RX Mapping'!V10&lt;=120), ('(橫掃)RX Mapping'!V10-1),IF(AND('(橫掃)RX Mapping'!V10&gt;=121,'(橫掃)RX Mapping'!V10&lt;=240), (-1)*('(橫掃)RX Mapping'!V10-240),IF(AND('(橫掃)RX Mapping'!V10&gt;=241,'(橫掃)RX Mapping'!V10&lt;=360), ('(橫掃)RX Mapping'!V10-241),IF(AND('(橫掃)RX Mapping'!V10&gt;=361,'(橫掃)RX Mapping'!V10&lt;=480), (-1)*('(橫掃)RX Mapping'!V10-480),IF(AND('(橫掃)RX Mapping'!V10&gt;=481,'(橫掃)RX Mapping'!V10&lt;=600), ('(橫掃)RX Mapping'!V10-361),IF(AND('(橫掃)RX Mapping'!V10&gt;=601,'(橫掃)RX Mapping'!V10&lt;=720), (-1)*('(橫掃)RX Mapping'!V10-720)+120,IF(AND('(橫掃)RX Mapping'!V10&gt;=721,'(橫掃)RX Mapping'!V10&lt;=840), ('(橫掃)RX Mapping'!V10-601),IF(AND('(橫掃)RX Mapping'!V10&gt;=841,'(橫掃)RX Mapping'!V10&lt;=960), (-1)*('(橫掃)RX Mapping'!V10-960)+120,9999))))))))</f>
        <v>159</v>
      </c>
      <c r="W10">
        <f>IF(AND('(橫掃)RX Mapping'!W10&gt;=1,'(橫掃)RX Mapping'!W10&lt;=120), ('(橫掃)RX Mapping'!W10-1),IF(AND('(橫掃)RX Mapping'!W10&gt;=121,'(橫掃)RX Mapping'!W10&lt;=240), (-1)*('(橫掃)RX Mapping'!W10-240),IF(AND('(橫掃)RX Mapping'!W10&gt;=241,'(橫掃)RX Mapping'!W10&lt;=360), ('(橫掃)RX Mapping'!W10-241),IF(AND('(橫掃)RX Mapping'!W10&gt;=361,'(橫掃)RX Mapping'!W10&lt;=480), (-1)*('(橫掃)RX Mapping'!W10-480),IF(AND('(橫掃)RX Mapping'!W10&gt;=481,'(橫掃)RX Mapping'!W10&lt;=600), ('(橫掃)RX Mapping'!W10-361),IF(AND('(橫掃)RX Mapping'!W10&gt;=601,'(橫掃)RX Mapping'!W10&lt;=720), (-1)*('(橫掃)RX Mapping'!W10-720)+120,IF(AND('(橫掃)RX Mapping'!W10&gt;=721,'(橫掃)RX Mapping'!W10&lt;=840), ('(橫掃)RX Mapping'!W10-601),IF(AND('(橫掃)RX Mapping'!W10&gt;=841,'(橫掃)RX Mapping'!W10&lt;=960), (-1)*('(橫掃)RX Mapping'!W10-960)+120,9999))))))))</f>
        <v>128</v>
      </c>
      <c r="X10">
        <f>IF(AND('(橫掃)RX Mapping'!X10&gt;=1,'(橫掃)RX Mapping'!X10&lt;=120), ('(橫掃)RX Mapping'!X10-1),IF(AND('(橫掃)RX Mapping'!X10&gt;=121,'(橫掃)RX Mapping'!X10&lt;=240), (-1)*('(橫掃)RX Mapping'!X10-240),IF(AND('(橫掃)RX Mapping'!X10&gt;=241,'(橫掃)RX Mapping'!X10&lt;=360), ('(橫掃)RX Mapping'!X10-241),IF(AND('(橫掃)RX Mapping'!X10&gt;=361,'(橫掃)RX Mapping'!X10&lt;=480), (-1)*('(橫掃)RX Mapping'!X10-480),IF(AND('(橫掃)RX Mapping'!X10&gt;=481,'(橫掃)RX Mapping'!X10&lt;=600), ('(橫掃)RX Mapping'!X10-361),IF(AND('(橫掃)RX Mapping'!X10&gt;=601,'(橫掃)RX Mapping'!X10&lt;=720), (-1)*('(橫掃)RX Mapping'!X10-720)+120,IF(AND('(橫掃)RX Mapping'!X10&gt;=721,'(橫掃)RX Mapping'!X10&lt;=840), ('(橫掃)RX Mapping'!X10-601),IF(AND('(橫掃)RX Mapping'!X10&gt;=841,'(橫掃)RX Mapping'!X10&lt;=960), (-1)*('(橫掃)RX Mapping'!X10-960)+120,9999))))))))</f>
        <v>160</v>
      </c>
      <c r="Y10">
        <f>IF(AND('(橫掃)RX Mapping'!Y10&gt;=1,'(橫掃)RX Mapping'!Y10&lt;=120), ('(橫掃)RX Mapping'!Y10-1),IF(AND('(橫掃)RX Mapping'!Y10&gt;=121,'(橫掃)RX Mapping'!Y10&lt;=240), (-1)*('(橫掃)RX Mapping'!Y10-240),IF(AND('(橫掃)RX Mapping'!Y10&gt;=241,'(橫掃)RX Mapping'!Y10&lt;=360), ('(橫掃)RX Mapping'!Y10-241),IF(AND('(橫掃)RX Mapping'!Y10&gt;=361,'(橫掃)RX Mapping'!Y10&lt;=480), (-1)*('(橫掃)RX Mapping'!Y10-480),IF(AND('(橫掃)RX Mapping'!Y10&gt;=481,'(橫掃)RX Mapping'!Y10&lt;=600), ('(橫掃)RX Mapping'!Y10-361),IF(AND('(橫掃)RX Mapping'!Y10&gt;=601,'(橫掃)RX Mapping'!Y10&lt;=720), (-1)*('(橫掃)RX Mapping'!Y10-720)+120,IF(AND('(橫掃)RX Mapping'!Y10&gt;=721,'(橫掃)RX Mapping'!Y10&lt;=840), ('(橫掃)RX Mapping'!Y10-601),IF(AND('(橫掃)RX Mapping'!Y10&gt;=841,'(橫掃)RX Mapping'!Y10&lt;=960), (-1)*('(橫掃)RX Mapping'!Y10-960)+120,9999))))))))</f>
        <v>192</v>
      </c>
      <c r="Z10">
        <f>IF(AND('(橫掃)RX Mapping'!Z10&gt;=1,'(橫掃)RX Mapping'!Z10&lt;=120), ('(橫掃)RX Mapping'!Z10-1),IF(AND('(橫掃)RX Mapping'!Z10&gt;=121,'(橫掃)RX Mapping'!Z10&lt;=240), (-1)*('(橫掃)RX Mapping'!Z10-240),IF(AND('(橫掃)RX Mapping'!Z10&gt;=241,'(橫掃)RX Mapping'!Z10&lt;=360), ('(橫掃)RX Mapping'!Z10-241),IF(AND('(橫掃)RX Mapping'!Z10&gt;=361,'(橫掃)RX Mapping'!Z10&lt;=480), (-1)*('(橫掃)RX Mapping'!Z10-480),IF(AND('(橫掃)RX Mapping'!Z10&gt;=481,'(橫掃)RX Mapping'!Z10&lt;=600), ('(橫掃)RX Mapping'!Z10-361),IF(AND('(橫掃)RX Mapping'!Z10&gt;=601,'(橫掃)RX Mapping'!Z10&lt;=720), (-1)*('(橫掃)RX Mapping'!Z10-720)+120,IF(AND('(橫掃)RX Mapping'!Z10&gt;=721,'(橫掃)RX Mapping'!Z10&lt;=840), ('(橫掃)RX Mapping'!Z10-601),IF(AND('(橫掃)RX Mapping'!Z10&gt;=841,'(橫掃)RX Mapping'!Z10&lt;=960), (-1)*('(橫掃)RX Mapping'!Z10-960)+120,9999))))))))</f>
        <v>224</v>
      </c>
      <c r="AA10">
        <f>IF(AND('(橫掃)RX Mapping'!AA10&gt;=1,'(橫掃)RX Mapping'!AA10&lt;=120), ('(橫掃)RX Mapping'!AA10-1),IF(AND('(橫掃)RX Mapping'!AA10&gt;=121,'(橫掃)RX Mapping'!AA10&lt;=240), (-1)*('(橫掃)RX Mapping'!AA10-240),IF(AND('(橫掃)RX Mapping'!AA10&gt;=241,'(橫掃)RX Mapping'!AA10&lt;=360), ('(橫掃)RX Mapping'!AA10-241),IF(AND('(橫掃)RX Mapping'!AA10&gt;=361,'(橫掃)RX Mapping'!AA10&lt;=480), (-1)*('(橫掃)RX Mapping'!AA10-480),IF(AND('(橫掃)RX Mapping'!AA10&gt;=481,'(橫掃)RX Mapping'!AA10&lt;=600), ('(橫掃)RX Mapping'!AA10-361),IF(AND('(橫掃)RX Mapping'!AA10&gt;=601,'(橫掃)RX Mapping'!AA10&lt;=720), (-1)*('(橫掃)RX Mapping'!AA10-720)+120,IF(AND('(橫掃)RX Mapping'!AA10&gt;=721,'(橫掃)RX Mapping'!AA10&lt;=840), ('(橫掃)RX Mapping'!AA10-601),IF(AND('(橫掃)RX Mapping'!AA10&gt;=841,'(橫掃)RX Mapping'!AA10&lt;=960), (-1)*('(橫掃)RX Mapping'!AA10-960)+120,9999))))))))</f>
        <v>223</v>
      </c>
      <c r="AB10">
        <f>IF(AND('(橫掃)RX Mapping'!AB10&gt;=1,'(橫掃)RX Mapping'!AB10&lt;=120), ('(橫掃)RX Mapping'!AB10-1),IF(AND('(橫掃)RX Mapping'!AB10&gt;=121,'(橫掃)RX Mapping'!AB10&lt;=240), (-1)*('(橫掃)RX Mapping'!AB10-240),IF(AND('(橫掃)RX Mapping'!AB10&gt;=241,'(橫掃)RX Mapping'!AB10&lt;=360), ('(橫掃)RX Mapping'!AB10-241),IF(AND('(橫掃)RX Mapping'!AB10&gt;=361,'(橫掃)RX Mapping'!AB10&lt;=480), (-1)*('(橫掃)RX Mapping'!AB10-480),IF(AND('(橫掃)RX Mapping'!AB10&gt;=481,'(橫掃)RX Mapping'!AB10&lt;=600), ('(橫掃)RX Mapping'!AB10-361),IF(AND('(橫掃)RX Mapping'!AB10&gt;=601,'(橫掃)RX Mapping'!AB10&lt;=720), (-1)*('(橫掃)RX Mapping'!AB10-720)+120,IF(AND('(橫掃)RX Mapping'!AB10&gt;=721,'(橫掃)RX Mapping'!AB10&lt;=840), ('(橫掃)RX Mapping'!AB10-601),IF(AND('(橫掃)RX Mapping'!AB10&gt;=841,'(橫掃)RX Mapping'!AB10&lt;=960), (-1)*('(橫掃)RX Mapping'!AB10-960)+120,9999))))))))</f>
        <v>191</v>
      </c>
      <c r="AC10">
        <f>IF(AND('(橫掃)RX Mapping'!AC10&gt;=1,'(橫掃)RX Mapping'!AC10&lt;=120), ('(橫掃)RX Mapping'!AC10-1),IF(AND('(橫掃)RX Mapping'!AC10&gt;=121,'(橫掃)RX Mapping'!AC10&lt;=240), (-1)*('(橫掃)RX Mapping'!AC10-240),IF(AND('(橫掃)RX Mapping'!AC10&gt;=241,'(橫掃)RX Mapping'!AC10&lt;=360), ('(橫掃)RX Mapping'!AC10-241),IF(AND('(橫掃)RX Mapping'!AC10&gt;=361,'(橫掃)RX Mapping'!AC10&lt;=480), (-1)*('(橫掃)RX Mapping'!AC10-480),IF(AND('(橫掃)RX Mapping'!AC10&gt;=481,'(橫掃)RX Mapping'!AC10&lt;=600), ('(橫掃)RX Mapping'!AC10-361),IF(AND('(橫掃)RX Mapping'!AC10&gt;=601,'(橫掃)RX Mapping'!AC10&lt;=720), (-1)*('(橫掃)RX Mapping'!AC10-720)+120,IF(AND('(橫掃)RX Mapping'!AC10&gt;=721,'(橫掃)RX Mapping'!AC10&lt;=840), ('(橫掃)RX Mapping'!AC10-601),IF(AND('(橫掃)RX Mapping'!AC10&gt;=841,'(橫掃)RX Mapping'!AC10&lt;=960), (-1)*('(橫掃)RX Mapping'!AC10-960)+120,9999))))))))</f>
        <v>159</v>
      </c>
      <c r="AD10">
        <f>IF(AND('(橫掃)RX Mapping'!AD10&gt;=1,'(橫掃)RX Mapping'!AD10&lt;=120), ('(橫掃)RX Mapping'!AD10-1),IF(AND('(橫掃)RX Mapping'!AD10&gt;=121,'(橫掃)RX Mapping'!AD10&lt;=240), (-1)*('(橫掃)RX Mapping'!AD10-240),IF(AND('(橫掃)RX Mapping'!AD10&gt;=241,'(橫掃)RX Mapping'!AD10&lt;=360), ('(橫掃)RX Mapping'!AD10-241),IF(AND('(橫掃)RX Mapping'!AD10&gt;=361,'(橫掃)RX Mapping'!AD10&lt;=480), (-1)*('(橫掃)RX Mapping'!AD10-480),IF(AND('(橫掃)RX Mapping'!AD10&gt;=481,'(橫掃)RX Mapping'!AD10&lt;=600), ('(橫掃)RX Mapping'!AD10-361),IF(AND('(橫掃)RX Mapping'!AD10&gt;=601,'(橫掃)RX Mapping'!AD10&lt;=720), (-1)*('(橫掃)RX Mapping'!AD10-720)+120,IF(AND('(橫掃)RX Mapping'!AD10&gt;=721,'(橫掃)RX Mapping'!AD10&lt;=840), ('(橫掃)RX Mapping'!AD10-601),IF(AND('(橫掃)RX Mapping'!AD10&gt;=841,'(橫掃)RX Mapping'!AD10&lt;=960), (-1)*('(橫掃)RX Mapping'!AD10-960)+120,9999))))))))</f>
        <v>9999</v>
      </c>
      <c r="AE10">
        <f>IF(AND('(橫掃)RX Mapping'!AE10&gt;=1,'(橫掃)RX Mapping'!AE10&lt;=120), ('(橫掃)RX Mapping'!AE10-1),IF(AND('(橫掃)RX Mapping'!AE10&gt;=121,'(橫掃)RX Mapping'!AE10&lt;=240), (-1)*('(橫掃)RX Mapping'!AE10-240),IF(AND('(橫掃)RX Mapping'!AE10&gt;=241,'(橫掃)RX Mapping'!AE10&lt;=360), ('(橫掃)RX Mapping'!AE10-241),IF(AND('(橫掃)RX Mapping'!AE10&gt;=361,'(橫掃)RX Mapping'!AE10&lt;=480), (-1)*('(橫掃)RX Mapping'!AE10-480),IF(AND('(橫掃)RX Mapping'!AE10&gt;=481,'(橫掃)RX Mapping'!AE10&lt;=600), ('(橫掃)RX Mapping'!AE10-361),IF(AND('(橫掃)RX Mapping'!AE10&gt;=601,'(橫掃)RX Mapping'!AE10&lt;=720), (-1)*('(橫掃)RX Mapping'!AE10-720)+120,IF(AND('(橫掃)RX Mapping'!AE10&gt;=721,'(橫掃)RX Mapping'!AE10&lt;=840), ('(橫掃)RX Mapping'!AE10-601),IF(AND('(橫掃)RX Mapping'!AE10&gt;=841,'(橫掃)RX Mapping'!AE10&lt;=960), (-1)*('(橫掃)RX Mapping'!AE10-960)+120,9999))))))))</f>
        <v>9999</v>
      </c>
      <c r="AF10">
        <f>IF(AND('(橫掃)RX Mapping'!AF10&gt;=1,'(橫掃)RX Mapping'!AF10&lt;=120), ('(橫掃)RX Mapping'!AF10-1),IF(AND('(橫掃)RX Mapping'!AF10&gt;=121,'(橫掃)RX Mapping'!AF10&lt;=240), (-1)*('(橫掃)RX Mapping'!AF10-240),IF(AND('(橫掃)RX Mapping'!AF10&gt;=241,'(橫掃)RX Mapping'!AF10&lt;=360), ('(橫掃)RX Mapping'!AF10-241),IF(AND('(橫掃)RX Mapping'!AF10&gt;=361,'(橫掃)RX Mapping'!AF10&lt;=480), (-1)*('(橫掃)RX Mapping'!AF10-480),IF(AND('(橫掃)RX Mapping'!AF10&gt;=481,'(橫掃)RX Mapping'!AF10&lt;=600), ('(橫掃)RX Mapping'!AF10-361),IF(AND('(橫掃)RX Mapping'!AF10&gt;=601,'(橫掃)RX Mapping'!AF10&lt;=720), (-1)*('(橫掃)RX Mapping'!AF10-720)+120,IF(AND('(橫掃)RX Mapping'!AF10&gt;=721,'(橫掃)RX Mapping'!AF10&lt;=840), ('(橫掃)RX Mapping'!AF10-601),IF(AND('(橫掃)RX Mapping'!AF10&gt;=841,'(橫掃)RX Mapping'!AF10&lt;=960), (-1)*('(橫掃)RX Mapping'!AF10-960)+120,9999))))))))</f>
        <v>9999</v>
      </c>
      <c r="AG10">
        <f>IF(AND('(橫掃)RX Mapping'!AG10&gt;=1,'(橫掃)RX Mapping'!AG10&lt;=120), ('(橫掃)RX Mapping'!AG10-1),IF(AND('(橫掃)RX Mapping'!AG10&gt;=121,'(橫掃)RX Mapping'!AG10&lt;=240), (-1)*('(橫掃)RX Mapping'!AG10-240),IF(AND('(橫掃)RX Mapping'!AG10&gt;=241,'(橫掃)RX Mapping'!AG10&lt;=360), ('(橫掃)RX Mapping'!AG10-241),IF(AND('(橫掃)RX Mapping'!AG10&gt;=361,'(橫掃)RX Mapping'!AG10&lt;=480), (-1)*('(橫掃)RX Mapping'!AG10-480),IF(AND('(橫掃)RX Mapping'!AG10&gt;=481,'(橫掃)RX Mapping'!AG10&lt;=600), ('(橫掃)RX Mapping'!AG10-361),IF(AND('(橫掃)RX Mapping'!AG10&gt;=601,'(橫掃)RX Mapping'!AG10&lt;=720), (-1)*('(橫掃)RX Mapping'!AG10-720)+120,IF(AND('(橫掃)RX Mapping'!AG10&gt;=721,'(橫掃)RX Mapping'!AG10&lt;=840), ('(橫掃)RX Mapping'!AG10-601),IF(AND('(橫掃)RX Mapping'!AG10&gt;=841,'(橫掃)RX Mapping'!AG10&lt;=960), (-1)*('(橫掃)RX Mapping'!AG10-960)+120,9999))))))))</f>
        <v>9999</v>
      </c>
      <c r="AH10">
        <f>IF(AND('(橫掃)RX Mapping'!AH10&gt;=1,'(橫掃)RX Mapping'!AH10&lt;=120), ('(橫掃)RX Mapping'!AH10-1),IF(AND('(橫掃)RX Mapping'!AH10&gt;=121,'(橫掃)RX Mapping'!AH10&lt;=240), (-1)*('(橫掃)RX Mapping'!AH10-240),IF(AND('(橫掃)RX Mapping'!AH10&gt;=241,'(橫掃)RX Mapping'!AH10&lt;=360), ('(橫掃)RX Mapping'!AH10-241),IF(AND('(橫掃)RX Mapping'!AH10&gt;=361,'(橫掃)RX Mapping'!AH10&lt;=480), (-1)*('(橫掃)RX Mapping'!AH10-480),IF(AND('(橫掃)RX Mapping'!AH10&gt;=481,'(橫掃)RX Mapping'!AH10&lt;=600), ('(橫掃)RX Mapping'!AH10-361),IF(AND('(橫掃)RX Mapping'!AH10&gt;=601,'(橫掃)RX Mapping'!AH10&lt;=720), (-1)*('(橫掃)RX Mapping'!AH10-720)+120,IF(AND('(橫掃)RX Mapping'!AH10&gt;=721,'(橫掃)RX Mapping'!AH10&lt;=840), ('(橫掃)RX Mapping'!AH10-601),IF(AND('(橫掃)RX Mapping'!AH10&gt;=841,'(橫掃)RX Mapping'!AH10&lt;=960), (-1)*('(橫掃)RX Mapping'!AH10-960)+120,9999))))))))</f>
        <v>9999</v>
      </c>
      <c r="AI10">
        <f>IF(AND('(橫掃)RX Mapping'!AI10&gt;=1,'(橫掃)RX Mapping'!AI10&lt;=120), ('(橫掃)RX Mapping'!AI10-1),IF(AND('(橫掃)RX Mapping'!AI10&gt;=121,'(橫掃)RX Mapping'!AI10&lt;=240), (-1)*('(橫掃)RX Mapping'!AI10-240),IF(AND('(橫掃)RX Mapping'!AI10&gt;=241,'(橫掃)RX Mapping'!AI10&lt;=360), ('(橫掃)RX Mapping'!AI10-241),IF(AND('(橫掃)RX Mapping'!AI10&gt;=361,'(橫掃)RX Mapping'!AI10&lt;=480), (-1)*('(橫掃)RX Mapping'!AI10-480),IF(AND('(橫掃)RX Mapping'!AI10&gt;=481,'(橫掃)RX Mapping'!AI10&lt;=600), ('(橫掃)RX Mapping'!AI10-361),IF(AND('(橫掃)RX Mapping'!AI10&gt;=601,'(橫掃)RX Mapping'!AI10&lt;=720), (-1)*('(橫掃)RX Mapping'!AI10-720)+120,IF(AND('(橫掃)RX Mapping'!AI10&gt;=721,'(橫掃)RX Mapping'!AI10&lt;=840), ('(橫掃)RX Mapping'!AI10-601),IF(AND('(橫掃)RX Mapping'!AI10&gt;=841,'(橫掃)RX Mapping'!AI10&lt;=960), (-1)*('(橫掃)RX Mapping'!AI10-960)+120,9999))))))))</f>
        <v>9999</v>
      </c>
      <c r="AJ10">
        <f>IF(AND('(橫掃)RX Mapping'!AJ10&gt;=1,'(橫掃)RX Mapping'!AJ10&lt;=120), ('(橫掃)RX Mapping'!AJ10-1),IF(AND('(橫掃)RX Mapping'!AJ10&gt;=121,'(橫掃)RX Mapping'!AJ10&lt;=240), (-1)*('(橫掃)RX Mapping'!AJ10-240),IF(AND('(橫掃)RX Mapping'!AJ10&gt;=241,'(橫掃)RX Mapping'!AJ10&lt;=360), ('(橫掃)RX Mapping'!AJ10-241),IF(AND('(橫掃)RX Mapping'!AJ10&gt;=361,'(橫掃)RX Mapping'!AJ10&lt;=480), (-1)*('(橫掃)RX Mapping'!AJ10-480),IF(AND('(橫掃)RX Mapping'!AJ10&gt;=481,'(橫掃)RX Mapping'!AJ10&lt;=600), ('(橫掃)RX Mapping'!AJ10-361),IF(AND('(橫掃)RX Mapping'!AJ10&gt;=601,'(橫掃)RX Mapping'!AJ10&lt;=720), (-1)*('(橫掃)RX Mapping'!AJ10-720)+120,IF(AND('(橫掃)RX Mapping'!AJ10&gt;=721,'(橫掃)RX Mapping'!AJ10&lt;=840), ('(橫掃)RX Mapping'!AJ10-601),IF(AND('(橫掃)RX Mapping'!AJ10&gt;=841,'(橫掃)RX Mapping'!AJ10&lt;=960), (-1)*('(橫掃)RX Mapping'!AJ10-960)+120,9999))))))))</f>
        <v>9999</v>
      </c>
      <c r="AK10">
        <f>IF(AND('(橫掃)RX Mapping'!AK10&gt;=1,'(橫掃)RX Mapping'!AK10&lt;=120), ('(橫掃)RX Mapping'!AK10-1),IF(AND('(橫掃)RX Mapping'!AK10&gt;=121,'(橫掃)RX Mapping'!AK10&lt;=240), (-1)*('(橫掃)RX Mapping'!AK10-240),IF(AND('(橫掃)RX Mapping'!AK10&gt;=241,'(橫掃)RX Mapping'!AK10&lt;=360), ('(橫掃)RX Mapping'!AK10-241),IF(AND('(橫掃)RX Mapping'!AK10&gt;=361,'(橫掃)RX Mapping'!AK10&lt;=480), (-1)*('(橫掃)RX Mapping'!AK10-480),IF(AND('(橫掃)RX Mapping'!AK10&gt;=481,'(橫掃)RX Mapping'!AK10&lt;=600), ('(橫掃)RX Mapping'!AK10-361),IF(AND('(橫掃)RX Mapping'!AK10&gt;=601,'(橫掃)RX Mapping'!AK10&lt;=720), (-1)*('(橫掃)RX Mapping'!AK10-720)+120,IF(AND('(橫掃)RX Mapping'!AK10&gt;=721,'(橫掃)RX Mapping'!AK10&lt;=840), ('(橫掃)RX Mapping'!AK10-601),IF(AND('(橫掃)RX Mapping'!AK10&gt;=841,'(橫掃)RX Mapping'!AK10&lt;=960), (-1)*('(橫掃)RX Mapping'!AK10-960)+120,9999))))))))</f>
        <v>9999</v>
      </c>
      <c r="AL10">
        <f>IF(AND('(橫掃)RX Mapping'!AL10&gt;=1,'(橫掃)RX Mapping'!AL10&lt;=120), ('(橫掃)RX Mapping'!AL10-1),IF(AND('(橫掃)RX Mapping'!AL10&gt;=121,'(橫掃)RX Mapping'!AL10&lt;=240), (-1)*('(橫掃)RX Mapping'!AL10-240),IF(AND('(橫掃)RX Mapping'!AL10&gt;=241,'(橫掃)RX Mapping'!AL10&lt;=360), ('(橫掃)RX Mapping'!AL10-241),IF(AND('(橫掃)RX Mapping'!AL10&gt;=361,'(橫掃)RX Mapping'!AL10&lt;=480), (-1)*('(橫掃)RX Mapping'!AL10-480),IF(AND('(橫掃)RX Mapping'!AL10&gt;=481,'(橫掃)RX Mapping'!AL10&lt;=600), ('(橫掃)RX Mapping'!AL10-361),IF(AND('(橫掃)RX Mapping'!AL10&gt;=601,'(橫掃)RX Mapping'!AL10&lt;=720), (-1)*('(橫掃)RX Mapping'!AL10-720)+120,IF(AND('(橫掃)RX Mapping'!AL10&gt;=721,'(橫掃)RX Mapping'!AL10&lt;=840), ('(橫掃)RX Mapping'!AL10-601),IF(AND('(橫掃)RX Mapping'!AL10&gt;=841,'(橫掃)RX Mapping'!AL10&lt;=960), (-1)*('(橫掃)RX Mapping'!AL10-960)+120,9999))))))))</f>
        <v>9999</v>
      </c>
      <c r="AM10">
        <f>IF(AND('(橫掃)RX Mapping'!AM10&gt;=1,'(橫掃)RX Mapping'!AM10&lt;=120), ('(橫掃)RX Mapping'!AM10-1),IF(AND('(橫掃)RX Mapping'!AM10&gt;=121,'(橫掃)RX Mapping'!AM10&lt;=240), (-1)*('(橫掃)RX Mapping'!AM10-240),IF(AND('(橫掃)RX Mapping'!AM10&gt;=241,'(橫掃)RX Mapping'!AM10&lt;=360), ('(橫掃)RX Mapping'!AM10-241),IF(AND('(橫掃)RX Mapping'!AM10&gt;=361,'(橫掃)RX Mapping'!AM10&lt;=480), (-1)*('(橫掃)RX Mapping'!AM10-480),IF(AND('(橫掃)RX Mapping'!AM10&gt;=481,'(橫掃)RX Mapping'!AM10&lt;=600), ('(橫掃)RX Mapping'!AM10-361),IF(AND('(橫掃)RX Mapping'!AM10&gt;=601,'(橫掃)RX Mapping'!AM10&lt;=720), (-1)*('(橫掃)RX Mapping'!AM10-720)+120,IF(AND('(橫掃)RX Mapping'!AM10&gt;=721,'(橫掃)RX Mapping'!AM10&lt;=840), ('(橫掃)RX Mapping'!AM10-601),IF(AND('(橫掃)RX Mapping'!AM10&gt;=841,'(橫掃)RX Mapping'!AM10&lt;=960), (-1)*('(橫掃)RX Mapping'!AM10-960)+120,9999))))))))</f>
        <v>9999</v>
      </c>
      <c r="AN10">
        <f>IF(AND('(橫掃)RX Mapping'!AN10&gt;=1,'(橫掃)RX Mapping'!AN10&lt;=120), ('(橫掃)RX Mapping'!AN10-1),IF(AND('(橫掃)RX Mapping'!AN10&gt;=121,'(橫掃)RX Mapping'!AN10&lt;=240), (-1)*('(橫掃)RX Mapping'!AN10-240),IF(AND('(橫掃)RX Mapping'!AN10&gt;=241,'(橫掃)RX Mapping'!AN10&lt;=360), ('(橫掃)RX Mapping'!AN10-241),IF(AND('(橫掃)RX Mapping'!AN10&gt;=361,'(橫掃)RX Mapping'!AN10&lt;=480), (-1)*('(橫掃)RX Mapping'!AN10-480),IF(AND('(橫掃)RX Mapping'!AN10&gt;=481,'(橫掃)RX Mapping'!AN10&lt;=600), ('(橫掃)RX Mapping'!AN10-361),IF(AND('(橫掃)RX Mapping'!AN10&gt;=601,'(橫掃)RX Mapping'!AN10&lt;=720), (-1)*('(橫掃)RX Mapping'!AN10-720)+120,IF(AND('(橫掃)RX Mapping'!AN10&gt;=721,'(橫掃)RX Mapping'!AN10&lt;=840), ('(橫掃)RX Mapping'!AN10-601),IF(AND('(橫掃)RX Mapping'!AN10&gt;=841,'(橫掃)RX Mapping'!AN10&lt;=960), (-1)*('(橫掃)RX Mapping'!AN10-960)+120,9999))))))))</f>
        <v>9999</v>
      </c>
      <c r="AO10">
        <f>IF(AND('(橫掃)RX Mapping'!AO10&gt;=1,'(橫掃)RX Mapping'!AO10&lt;=120), ('(橫掃)RX Mapping'!AO10-1),IF(AND('(橫掃)RX Mapping'!AO10&gt;=121,'(橫掃)RX Mapping'!AO10&lt;=240), (-1)*('(橫掃)RX Mapping'!AO10-240),IF(AND('(橫掃)RX Mapping'!AO10&gt;=241,'(橫掃)RX Mapping'!AO10&lt;=360), ('(橫掃)RX Mapping'!AO10-241),IF(AND('(橫掃)RX Mapping'!AO10&gt;=361,'(橫掃)RX Mapping'!AO10&lt;=480), (-1)*('(橫掃)RX Mapping'!AO10-480),IF(AND('(橫掃)RX Mapping'!AO10&gt;=481,'(橫掃)RX Mapping'!AO10&lt;=600), ('(橫掃)RX Mapping'!AO10-361),IF(AND('(橫掃)RX Mapping'!AO10&gt;=601,'(橫掃)RX Mapping'!AO10&lt;=720), (-1)*('(橫掃)RX Mapping'!AO10-720)+120,IF(AND('(橫掃)RX Mapping'!AO10&gt;=721,'(橫掃)RX Mapping'!AO10&lt;=840), ('(橫掃)RX Mapping'!AO10-601),IF(AND('(橫掃)RX Mapping'!AO10&gt;=841,'(橫掃)RX Mapping'!AO10&lt;=960), (-1)*('(橫掃)RX Mapping'!AO10-960)+120,9999))))))))</f>
        <v>9999</v>
      </c>
      <c r="AP10">
        <f>IF(AND('(橫掃)RX Mapping'!AP10&gt;=1,'(橫掃)RX Mapping'!AP10&lt;=120), ('(橫掃)RX Mapping'!AP10-1),IF(AND('(橫掃)RX Mapping'!AP10&gt;=121,'(橫掃)RX Mapping'!AP10&lt;=240), (-1)*('(橫掃)RX Mapping'!AP10-240),IF(AND('(橫掃)RX Mapping'!AP10&gt;=241,'(橫掃)RX Mapping'!AP10&lt;=360), ('(橫掃)RX Mapping'!AP10-241),IF(AND('(橫掃)RX Mapping'!AP10&gt;=361,'(橫掃)RX Mapping'!AP10&lt;=480), (-1)*('(橫掃)RX Mapping'!AP10-480),IF(AND('(橫掃)RX Mapping'!AP10&gt;=481,'(橫掃)RX Mapping'!AP10&lt;=600), ('(橫掃)RX Mapping'!AP10-361),IF(AND('(橫掃)RX Mapping'!AP10&gt;=601,'(橫掃)RX Mapping'!AP10&lt;=720), (-1)*('(橫掃)RX Mapping'!AP10-720)+120,IF(AND('(橫掃)RX Mapping'!AP10&gt;=721,'(橫掃)RX Mapping'!AP10&lt;=840), ('(橫掃)RX Mapping'!AP10-601),IF(AND('(橫掃)RX Mapping'!AP10&gt;=841,'(橫掃)RX Mapping'!AP10&lt;=960), (-1)*('(橫掃)RX Mapping'!AP10-960)+120,9999))))))))</f>
        <v>9999</v>
      </c>
      <c r="AQ10">
        <f>IF(AND('(橫掃)RX Mapping'!AQ10&gt;=1,'(橫掃)RX Mapping'!AQ10&lt;=120), ('(橫掃)RX Mapping'!AQ10-1),IF(AND('(橫掃)RX Mapping'!AQ10&gt;=121,'(橫掃)RX Mapping'!AQ10&lt;=240), (-1)*('(橫掃)RX Mapping'!AQ10-240),IF(AND('(橫掃)RX Mapping'!AQ10&gt;=241,'(橫掃)RX Mapping'!AQ10&lt;=360), ('(橫掃)RX Mapping'!AQ10-241),IF(AND('(橫掃)RX Mapping'!AQ10&gt;=361,'(橫掃)RX Mapping'!AQ10&lt;=480), (-1)*('(橫掃)RX Mapping'!AQ10-480),IF(AND('(橫掃)RX Mapping'!AQ10&gt;=481,'(橫掃)RX Mapping'!AQ10&lt;=600), ('(橫掃)RX Mapping'!AQ10-361),IF(AND('(橫掃)RX Mapping'!AQ10&gt;=601,'(橫掃)RX Mapping'!AQ10&lt;=720), (-1)*('(橫掃)RX Mapping'!AQ10-720)+120,IF(AND('(橫掃)RX Mapping'!AQ10&gt;=721,'(橫掃)RX Mapping'!AQ10&lt;=840), ('(橫掃)RX Mapping'!AQ10-601),IF(AND('(橫掃)RX Mapping'!AQ10&gt;=841,'(橫掃)RX Mapping'!AQ10&lt;=960), (-1)*('(橫掃)RX Mapping'!AQ10-960)+120,9999))))))))</f>
        <v>9999</v>
      </c>
      <c r="AR10">
        <f>IF(AND('(橫掃)RX Mapping'!AR10&gt;=1,'(橫掃)RX Mapping'!AR10&lt;=120), ('(橫掃)RX Mapping'!AR10-1),IF(AND('(橫掃)RX Mapping'!AR10&gt;=121,'(橫掃)RX Mapping'!AR10&lt;=240), (-1)*('(橫掃)RX Mapping'!AR10-240),IF(AND('(橫掃)RX Mapping'!AR10&gt;=241,'(橫掃)RX Mapping'!AR10&lt;=360), ('(橫掃)RX Mapping'!AR10-241),IF(AND('(橫掃)RX Mapping'!AR10&gt;=361,'(橫掃)RX Mapping'!AR10&lt;=480), (-1)*('(橫掃)RX Mapping'!AR10-480),IF(AND('(橫掃)RX Mapping'!AR10&gt;=481,'(橫掃)RX Mapping'!AR10&lt;=600), ('(橫掃)RX Mapping'!AR10-361),IF(AND('(橫掃)RX Mapping'!AR10&gt;=601,'(橫掃)RX Mapping'!AR10&lt;=720), (-1)*('(橫掃)RX Mapping'!AR10-720)+120,IF(AND('(橫掃)RX Mapping'!AR10&gt;=721,'(橫掃)RX Mapping'!AR10&lt;=840), ('(橫掃)RX Mapping'!AR10-601),IF(AND('(橫掃)RX Mapping'!AR10&gt;=841,'(橫掃)RX Mapping'!AR10&lt;=960), (-1)*('(橫掃)RX Mapping'!AR10-960)+120,9999))))))))</f>
        <v>9999</v>
      </c>
      <c r="AS10">
        <f>IF(AND('(橫掃)RX Mapping'!AS10&gt;=1,'(橫掃)RX Mapping'!AS10&lt;=120), ('(橫掃)RX Mapping'!AS10-1),IF(AND('(橫掃)RX Mapping'!AS10&gt;=121,'(橫掃)RX Mapping'!AS10&lt;=240), (-1)*('(橫掃)RX Mapping'!AS10-240),IF(AND('(橫掃)RX Mapping'!AS10&gt;=241,'(橫掃)RX Mapping'!AS10&lt;=360), ('(橫掃)RX Mapping'!AS10-241),IF(AND('(橫掃)RX Mapping'!AS10&gt;=361,'(橫掃)RX Mapping'!AS10&lt;=480), (-1)*('(橫掃)RX Mapping'!AS10-480),IF(AND('(橫掃)RX Mapping'!AS10&gt;=481,'(橫掃)RX Mapping'!AS10&lt;=600), ('(橫掃)RX Mapping'!AS10-361),IF(AND('(橫掃)RX Mapping'!AS10&gt;=601,'(橫掃)RX Mapping'!AS10&lt;=720), (-1)*('(橫掃)RX Mapping'!AS10-720)+120,IF(AND('(橫掃)RX Mapping'!AS10&gt;=721,'(橫掃)RX Mapping'!AS10&lt;=840), ('(橫掃)RX Mapping'!AS10-601),IF(AND('(橫掃)RX Mapping'!AS10&gt;=841,'(橫掃)RX Mapping'!AS10&lt;=960), (-1)*('(橫掃)RX Mapping'!AS10-960)+120,9999))))))))</f>
        <v>9999</v>
      </c>
      <c r="AT10">
        <f>IF(AND('(橫掃)RX Mapping'!AT10&gt;=1,'(橫掃)RX Mapping'!AT10&lt;=120), ('(橫掃)RX Mapping'!AT10-1),IF(AND('(橫掃)RX Mapping'!AT10&gt;=121,'(橫掃)RX Mapping'!AT10&lt;=240), (-1)*('(橫掃)RX Mapping'!AT10-240),IF(AND('(橫掃)RX Mapping'!AT10&gt;=241,'(橫掃)RX Mapping'!AT10&lt;=360), ('(橫掃)RX Mapping'!AT10-241),IF(AND('(橫掃)RX Mapping'!AT10&gt;=361,'(橫掃)RX Mapping'!AT10&lt;=480), (-1)*('(橫掃)RX Mapping'!AT10-480),IF(AND('(橫掃)RX Mapping'!AT10&gt;=481,'(橫掃)RX Mapping'!AT10&lt;=600), ('(橫掃)RX Mapping'!AT10-361),IF(AND('(橫掃)RX Mapping'!AT10&gt;=601,'(橫掃)RX Mapping'!AT10&lt;=720), (-1)*('(橫掃)RX Mapping'!AT10-720)+120,IF(AND('(橫掃)RX Mapping'!AT10&gt;=721,'(橫掃)RX Mapping'!AT10&lt;=840), ('(橫掃)RX Mapping'!AT10-601),IF(AND('(橫掃)RX Mapping'!AT10&gt;=841,'(橫掃)RX Mapping'!AT10&lt;=960), (-1)*('(橫掃)RX Mapping'!AT10-960)+120,9999))))))))</f>
        <v>9999</v>
      </c>
      <c r="AU10">
        <f>IF(AND('(橫掃)RX Mapping'!AU10&gt;=1,'(橫掃)RX Mapping'!AU10&lt;=120), ('(橫掃)RX Mapping'!AU10-1),IF(AND('(橫掃)RX Mapping'!AU10&gt;=121,'(橫掃)RX Mapping'!AU10&lt;=240), (-1)*('(橫掃)RX Mapping'!AU10-240),IF(AND('(橫掃)RX Mapping'!AU10&gt;=241,'(橫掃)RX Mapping'!AU10&lt;=360), ('(橫掃)RX Mapping'!AU10-241),IF(AND('(橫掃)RX Mapping'!AU10&gt;=361,'(橫掃)RX Mapping'!AU10&lt;=480), (-1)*('(橫掃)RX Mapping'!AU10-480),IF(AND('(橫掃)RX Mapping'!AU10&gt;=481,'(橫掃)RX Mapping'!AU10&lt;=600), ('(橫掃)RX Mapping'!AU10-361),IF(AND('(橫掃)RX Mapping'!AU10&gt;=601,'(橫掃)RX Mapping'!AU10&lt;=720), (-1)*('(橫掃)RX Mapping'!AU10-720)+120,IF(AND('(橫掃)RX Mapping'!AU10&gt;=721,'(橫掃)RX Mapping'!AU10&lt;=840), ('(橫掃)RX Mapping'!AU10-601),IF(AND('(橫掃)RX Mapping'!AU10&gt;=841,'(橫掃)RX Mapping'!AU10&lt;=960), (-1)*('(橫掃)RX Mapping'!AU10-960)+120,9999))))))))</f>
        <v>9999</v>
      </c>
      <c r="AV10">
        <f>IF(AND('(橫掃)RX Mapping'!AV10&gt;=1,'(橫掃)RX Mapping'!AV10&lt;=120), ('(橫掃)RX Mapping'!AV10-1),IF(AND('(橫掃)RX Mapping'!AV10&gt;=121,'(橫掃)RX Mapping'!AV10&lt;=240), (-1)*('(橫掃)RX Mapping'!AV10-240),IF(AND('(橫掃)RX Mapping'!AV10&gt;=241,'(橫掃)RX Mapping'!AV10&lt;=360), ('(橫掃)RX Mapping'!AV10-241),IF(AND('(橫掃)RX Mapping'!AV10&gt;=361,'(橫掃)RX Mapping'!AV10&lt;=480), (-1)*('(橫掃)RX Mapping'!AV10-480),IF(AND('(橫掃)RX Mapping'!AV10&gt;=481,'(橫掃)RX Mapping'!AV10&lt;=600), ('(橫掃)RX Mapping'!AV10-361),IF(AND('(橫掃)RX Mapping'!AV10&gt;=601,'(橫掃)RX Mapping'!AV10&lt;=720), (-1)*('(橫掃)RX Mapping'!AV10-720)+120,IF(AND('(橫掃)RX Mapping'!AV10&gt;=721,'(橫掃)RX Mapping'!AV10&lt;=840), ('(橫掃)RX Mapping'!AV10-601),IF(AND('(橫掃)RX Mapping'!AV10&gt;=841,'(橫掃)RX Mapping'!AV10&lt;=960), (-1)*('(橫掃)RX Mapping'!AV10-960)+120,9999))))))))</f>
        <v>9999</v>
      </c>
      <c r="AW10">
        <f>IF(AND('(橫掃)RX Mapping'!AW10&gt;=1,'(橫掃)RX Mapping'!AW10&lt;=120), ('(橫掃)RX Mapping'!AW10-1),IF(AND('(橫掃)RX Mapping'!AW10&gt;=121,'(橫掃)RX Mapping'!AW10&lt;=240), (-1)*('(橫掃)RX Mapping'!AW10-240),IF(AND('(橫掃)RX Mapping'!AW10&gt;=241,'(橫掃)RX Mapping'!AW10&lt;=360), ('(橫掃)RX Mapping'!AW10-241),IF(AND('(橫掃)RX Mapping'!AW10&gt;=361,'(橫掃)RX Mapping'!AW10&lt;=480), (-1)*('(橫掃)RX Mapping'!AW10-480),IF(AND('(橫掃)RX Mapping'!AW10&gt;=481,'(橫掃)RX Mapping'!AW10&lt;=600), ('(橫掃)RX Mapping'!AW10-361),IF(AND('(橫掃)RX Mapping'!AW10&gt;=601,'(橫掃)RX Mapping'!AW10&lt;=720), (-1)*('(橫掃)RX Mapping'!AW10-720)+120,IF(AND('(橫掃)RX Mapping'!AW10&gt;=721,'(橫掃)RX Mapping'!AW10&lt;=840), ('(橫掃)RX Mapping'!AW10-601),IF(AND('(橫掃)RX Mapping'!AW10&gt;=841,'(橫掃)RX Mapping'!AW10&lt;=960), (-1)*('(橫掃)RX Mapping'!AW10-960)+120,9999))))))))</f>
        <v>9999</v>
      </c>
      <c r="AX10">
        <f>IF(AND('(橫掃)RX Mapping'!AX10&gt;=1,'(橫掃)RX Mapping'!AX10&lt;=120), ('(橫掃)RX Mapping'!AX10-1),IF(AND('(橫掃)RX Mapping'!AX10&gt;=121,'(橫掃)RX Mapping'!AX10&lt;=240), (-1)*('(橫掃)RX Mapping'!AX10-240),IF(AND('(橫掃)RX Mapping'!AX10&gt;=241,'(橫掃)RX Mapping'!AX10&lt;=360), ('(橫掃)RX Mapping'!AX10-241),IF(AND('(橫掃)RX Mapping'!AX10&gt;=361,'(橫掃)RX Mapping'!AX10&lt;=480), (-1)*('(橫掃)RX Mapping'!AX10-480),IF(AND('(橫掃)RX Mapping'!AX10&gt;=481,'(橫掃)RX Mapping'!AX10&lt;=600), ('(橫掃)RX Mapping'!AX10-361),IF(AND('(橫掃)RX Mapping'!AX10&gt;=601,'(橫掃)RX Mapping'!AX10&lt;=720), (-1)*('(橫掃)RX Mapping'!AX10-720)+120,IF(AND('(橫掃)RX Mapping'!AX10&gt;=721,'(橫掃)RX Mapping'!AX10&lt;=840), ('(橫掃)RX Mapping'!AX10-601),IF(AND('(橫掃)RX Mapping'!AX10&gt;=841,'(橫掃)RX Mapping'!AX10&lt;=960), (-1)*('(橫掃)RX Mapping'!AX10-960)+120,9999))))))))</f>
        <v>9999</v>
      </c>
      <c r="AY10">
        <f>IF(AND('(橫掃)RX Mapping'!AY10&gt;=1,'(橫掃)RX Mapping'!AY10&lt;=120), ('(橫掃)RX Mapping'!AY10-1),IF(AND('(橫掃)RX Mapping'!AY10&gt;=121,'(橫掃)RX Mapping'!AY10&lt;=240), (-1)*('(橫掃)RX Mapping'!AY10-240),IF(AND('(橫掃)RX Mapping'!AY10&gt;=241,'(橫掃)RX Mapping'!AY10&lt;=360), ('(橫掃)RX Mapping'!AY10-241),IF(AND('(橫掃)RX Mapping'!AY10&gt;=361,'(橫掃)RX Mapping'!AY10&lt;=480), (-1)*('(橫掃)RX Mapping'!AY10-480),IF(AND('(橫掃)RX Mapping'!AY10&gt;=481,'(橫掃)RX Mapping'!AY10&lt;=600), ('(橫掃)RX Mapping'!AY10-361),IF(AND('(橫掃)RX Mapping'!AY10&gt;=601,'(橫掃)RX Mapping'!AY10&lt;=720), (-1)*('(橫掃)RX Mapping'!AY10-720)+120,IF(AND('(橫掃)RX Mapping'!AY10&gt;=721,'(橫掃)RX Mapping'!AY10&lt;=840), ('(橫掃)RX Mapping'!AY10-601),IF(AND('(橫掃)RX Mapping'!AY10&gt;=841,'(橫掃)RX Mapping'!AY10&lt;=960), (-1)*('(橫掃)RX Mapping'!AY10-960)+120,9999))))))))</f>
        <v>9999</v>
      </c>
      <c r="AZ10">
        <f>IF(AND('(橫掃)RX Mapping'!AZ10&gt;=1,'(橫掃)RX Mapping'!AZ10&lt;=120), ('(橫掃)RX Mapping'!AZ10-1),IF(AND('(橫掃)RX Mapping'!AZ10&gt;=121,'(橫掃)RX Mapping'!AZ10&lt;=240), (-1)*('(橫掃)RX Mapping'!AZ10-240),IF(AND('(橫掃)RX Mapping'!AZ10&gt;=241,'(橫掃)RX Mapping'!AZ10&lt;=360), ('(橫掃)RX Mapping'!AZ10-241),IF(AND('(橫掃)RX Mapping'!AZ10&gt;=361,'(橫掃)RX Mapping'!AZ10&lt;=480), (-1)*('(橫掃)RX Mapping'!AZ10-480),IF(AND('(橫掃)RX Mapping'!AZ10&gt;=481,'(橫掃)RX Mapping'!AZ10&lt;=600), ('(橫掃)RX Mapping'!AZ10-361),IF(AND('(橫掃)RX Mapping'!AZ10&gt;=601,'(橫掃)RX Mapping'!AZ10&lt;=720), (-1)*('(橫掃)RX Mapping'!AZ10-720)+120,IF(AND('(橫掃)RX Mapping'!AZ10&gt;=721,'(橫掃)RX Mapping'!AZ10&lt;=840), ('(橫掃)RX Mapping'!AZ10-601),IF(AND('(橫掃)RX Mapping'!AZ10&gt;=841,'(橫掃)RX Mapping'!AZ10&lt;=960), (-1)*('(橫掃)RX Mapping'!AZ10-960)+120,9999))))))))</f>
        <v>9999</v>
      </c>
      <c r="BA10">
        <f>IF(AND('(橫掃)RX Mapping'!BA10&gt;=1,'(橫掃)RX Mapping'!BA10&lt;=120), ('(橫掃)RX Mapping'!BA10-1),IF(AND('(橫掃)RX Mapping'!BA10&gt;=121,'(橫掃)RX Mapping'!BA10&lt;=240), (-1)*('(橫掃)RX Mapping'!BA10-240),IF(AND('(橫掃)RX Mapping'!BA10&gt;=241,'(橫掃)RX Mapping'!BA10&lt;=360), ('(橫掃)RX Mapping'!BA10-241),IF(AND('(橫掃)RX Mapping'!BA10&gt;=361,'(橫掃)RX Mapping'!BA10&lt;=480), (-1)*('(橫掃)RX Mapping'!BA10-480),IF(AND('(橫掃)RX Mapping'!BA10&gt;=481,'(橫掃)RX Mapping'!BA10&lt;=600), ('(橫掃)RX Mapping'!BA10-361),IF(AND('(橫掃)RX Mapping'!BA10&gt;=601,'(橫掃)RX Mapping'!BA10&lt;=720), (-1)*('(橫掃)RX Mapping'!BA10-720)+120,IF(AND('(橫掃)RX Mapping'!BA10&gt;=721,'(橫掃)RX Mapping'!BA10&lt;=840), ('(橫掃)RX Mapping'!BA10-601),IF(AND('(橫掃)RX Mapping'!BA10&gt;=841,'(橫掃)RX Mapping'!BA10&lt;=960), (-1)*('(橫掃)RX Mapping'!BA10-960)+120,9999))))))))</f>
        <v>9999</v>
      </c>
      <c r="BB10">
        <f>IF(AND('(橫掃)RX Mapping'!BB10&gt;=1,'(橫掃)RX Mapping'!BB10&lt;=120), ('(橫掃)RX Mapping'!BB10-1),IF(AND('(橫掃)RX Mapping'!BB10&gt;=121,'(橫掃)RX Mapping'!BB10&lt;=240), (-1)*('(橫掃)RX Mapping'!BB10-240),IF(AND('(橫掃)RX Mapping'!BB10&gt;=241,'(橫掃)RX Mapping'!BB10&lt;=360), ('(橫掃)RX Mapping'!BB10-241),IF(AND('(橫掃)RX Mapping'!BB10&gt;=361,'(橫掃)RX Mapping'!BB10&lt;=480), (-1)*('(橫掃)RX Mapping'!BB10-480),IF(AND('(橫掃)RX Mapping'!BB10&gt;=481,'(橫掃)RX Mapping'!BB10&lt;=600), ('(橫掃)RX Mapping'!BB10-361),IF(AND('(橫掃)RX Mapping'!BB10&gt;=601,'(橫掃)RX Mapping'!BB10&lt;=720), (-1)*('(橫掃)RX Mapping'!BB10-720)+120,IF(AND('(橫掃)RX Mapping'!BB10&gt;=721,'(橫掃)RX Mapping'!BB10&lt;=840), ('(橫掃)RX Mapping'!BB10-601),IF(AND('(橫掃)RX Mapping'!BB10&gt;=841,'(橫掃)RX Mapping'!BB10&lt;=960), (-1)*('(橫掃)RX Mapping'!BB10-960)+120,9999))))))))</f>
        <v>9999</v>
      </c>
      <c r="BC10">
        <f>IF(AND('(橫掃)RX Mapping'!BC10&gt;=1,'(橫掃)RX Mapping'!BC10&lt;=120), ('(橫掃)RX Mapping'!BC10-1),IF(AND('(橫掃)RX Mapping'!BC10&gt;=121,'(橫掃)RX Mapping'!BC10&lt;=240), (-1)*('(橫掃)RX Mapping'!BC10-240),IF(AND('(橫掃)RX Mapping'!BC10&gt;=241,'(橫掃)RX Mapping'!BC10&lt;=360), ('(橫掃)RX Mapping'!BC10-241),IF(AND('(橫掃)RX Mapping'!BC10&gt;=361,'(橫掃)RX Mapping'!BC10&lt;=480), (-1)*('(橫掃)RX Mapping'!BC10-480),IF(AND('(橫掃)RX Mapping'!BC10&gt;=481,'(橫掃)RX Mapping'!BC10&lt;=600), ('(橫掃)RX Mapping'!BC10-361),IF(AND('(橫掃)RX Mapping'!BC10&gt;=601,'(橫掃)RX Mapping'!BC10&lt;=720), (-1)*('(橫掃)RX Mapping'!BC10-720)+120,IF(AND('(橫掃)RX Mapping'!BC10&gt;=721,'(橫掃)RX Mapping'!BC10&lt;=840), ('(橫掃)RX Mapping'!BC10-601),IF(AND('(橫掃)RX Mapping'!BC10&gt;=841,'(橫掃)RX Mapping'!BC10&lt;=960), (-1)*('(橫掃)RX Mapping'!BC10-960)+120,9999))))))))</f>
        <v>9999</v>
      </c>
      <c r="BD10">
        <f>IF(AND('(橫掃)RX Mapping'!BD10&gt;=1,'(橫掃)RX Mapping'!BD10&lt;=120), ('(橫掃)RX Mapping'!BD10-1),IF(AND('(橫掃)RX Mapping'!BD10&gt;=121,'(橫掃)RX Mapping'!BD10&lt;=240), (-1)*('(橫掃)RX Mapping'!BD10-240),IF(AND('(橫掃)RX Mapping'!BD10&gt;=241,'(橫掃)RX Mapping'!BD10&lt;=360), ('(橫掃)RX Mapping'!BD10-241),IF(AND('(橫掃)RX Mapping'!BD10&gt;=361,'(橫掃)RX Mapping'!BD10&lt;=480), (-1)*('(橫掃)RX Mapping'!BD10-480),IF(AND('(橫掃)RX Mapping'!BD10&gt;=481,'(橫掃)RX Mapping'!BD10&lt;=600), ('(橫掃)RX Mapping'!BD10-361),IF(AND('(橫掃)RX Mapping'!BD10&gt;=601,'(橫掃)RX Mapping'!BD10&lt;=720), (-1)*('(橫掃)RX Mapping'!BD10-720)+120,IF(AND('(橫掃)RX Mapping'!BD10&gt;=721,'(橫掃)RX Mapping'!BD10&lt;=840), ('(橫掃)RX Mapping'!BD10-601),IF(AND('(橫掃)RX Mapping'!BD10&gt;=841,'(橫掃)RX Mapping'!BD10&lt;=960), (-1)*('(橫掃)RX Mapping'!BD10-960)+120,9999))))))))</f>
        <v>9999</v>
      </c>
      <c r="BE10">
        <f>IF(AND('(橫掃)RX Mapping'!BE10&gt;=1,'(橫掃)RX Mapping'!BE10&lt;=120), ('(橫掃)RX Mapping'!BE10-1),IF(AND('(橫掃)RX Mapping'!BE10&gt;=121,'(橫掃)RX Mapping'!BE10&lt;=240), (-1)*('(橫掃)RX Mapping'!BE10-240),IF(AND('(橫掃)RX Mapping'!BE10&gt;=241,'(橫掃)RX Mapping'!BE10&lt;=360), ('(橫掃)RX Mapping'!BE10-241),IF(AND('(橫掃)RX Mapping'!BE10&gt;=361,'(橫掃)RX Mapping'!BE10&lt;=480), (-1)*('(橫掃)RX Mapping'!BE10-480),IF(AND('(橫掃)RX Mapping'!BE10&gt;=481,'(橫掃)RX Mapping'!BE10&lt;=600), ('(橫掃)RX Mapping'!BE10-361),IF(AND('(橫掃)RX Mapping'!BE10&gt;=601,'(橫掃)RX Mapping'!BE10&lt;=720), (-1)*('(橫掃)RX Mapping'!BE10-720)+120,IF(AND('(橫掃)RX Mapping'!BE10&gt;=721,'(橫掃)RX Mapping'!BE10&lt;=840), ('(橫掃)RX Mapping'!BE10-601),IF(AND('(橫掃)RX Mapping'!BE10&gt;=841,'(橫掃)RX Mapping'!BE10&lt;=960), (-1)*('(橫掃)RX Mapping'!BE10-960)+120,9999))))))))</f>
        <v>9999</v>
      </c>
      <c r="BF10">
        <f>IF(AND('(橫掃)RX Mapping'!BF10&gt;=1,'(橫掃)RX Mapping'!BF10&lt;=120), ('(橫掃)RX Mapping'!BF10-1),IF(AND('(橫掃)RX Mapping'!BF10&gt;=121,'(橫掃)RX Mapping'!BF10&lt;=240), (-1)*('(橫掃)RX Mapping'!BF10-240),IF(AND('(橫掃)RX Mapping'!BF10&gt;=241,'(橫掃)RX Mapping'!BF10&lt;=360), ('(橫掃)RX Mapping'!BF10-241),IF(AND('(橫掃)RX Mapping'!BF10&gt;=361,'(橫掃)RX Mapping'!BF10&lt;=480), (-1)*('(橫掃)RX Mapping'!BF10-480),IF(AND('(橫掃)RX Mapping'!BF10&gt;=481,'(橫掃)RX Mapping'!BF10&lt;=600), ('(橫掃)RX Mapping'!BF10-361),IF(AND('(橫掃)RX Mapping'!BF10&gt;=601,'(橫掃)RX Mapping'!BF10&lt;=720), (-1)*('(橫掃)RX Mapping'!BF10-720)+120,IF(AND('(橫掃)RX Mapping'!BF10&gt;=721,'(橫掃)RX Mapping'!BF10&lt;=840), ('(橫掃)RX Mapping'!BF10-601),IF(AND('(橫掃)RX Mapping'!BF10&gt;=841,'(橫掃)RX Mapping'!BF10&lt;=960), (-1)*('(橫掃)RX Mapping'!BF10-960)+120,9999))))))))</f>
        <v>9999</v>
      </c>
      <c r="BG10">
        <f>IF(AND('(橫掃)RX Mapping'!BG10&gt;=1,'(橫掃)RX Mapping'!BG10&lt;=120), ('(橫掃)RX Mapping'!BG10-1),IF(AND('(橫掃)RX Mapping'!BG10&gt;=121,'(橫掃)RX Mapping'!BG10&lt;=240), (-1)*('(橫掃)RX Mapping'!BG10-240),IF(AND('(橫掃)RX Mapping'!BG10&gt;=241,'(橫掃)RX Mapping'!BG10&lt;=360), ('(橫掃)RX Mapping'!BG10-241),IF(AND('(橫掃)RX Mapping'!BG10&gt;=361,'(橫掃)RX Mapping'!BG10&lt;=480), (-1)*('(橫掃)RX Mapping'!BG10-480),IF(AND('(橫掃)RX Mapping'!BG10&gt;=481,'(橫掃)RX Mapping'!BG10&lt;=600), ('(橫掃)RX Mapping'!BG10-361),IF(AND('(橫掃)RX Mapping'!BG10&gt;=601,'(橫掃)RX Mapping'!BG10&lt;=720), (-1)*('(橫掃)RX Mapping'!BG10-720)+120,IF(AND('(橫掃)RX Mapping'!BG10&gt;=721,'(橫掃)RX Mapping'!BG10&lt;=840), ('(橫掃)RX Mapping'!BG10-601),IF(AND('(橫掃)RX Mapping'!BG10&gt;=841,'(橫掃)RX Mapping'!BG10&lt;=960), (-1)*('(橫掃)RX Mapping'!BG10-960)+120,9999))))))))</f>
        <v>9999</v>
      </c>
      <c r="BH10">
        <f>IF(AND('(橫掃)RX Mapping'!BH10&gt;=1,'(橫掃)RX Mapping'!BH10&lt;=120), ('(橫掃)RX Mapping'!BH10-1),IF(AND('(橫掃)RX Mapping'!BH10&gt;=121,'(橫掃)RX Mapping'!BH10&lt;=240), (-1)*('(橫掃)RX Mapping'!BH10-240),IF(AND('(橫掃)RX Mapping'!BH10&gt;=241,'(橫掃)RX Mapping'!BH10&lt;=360), ('(橫掃)RX Mapping'!BH10-241),IF(AND('(橫掃)RX Mapping'!BH10&gt;=361,'(橫掃)RX Mapping'!BH10&lt;=480), (-1)*('(橫掃)RX Mapping'!BH10-480),IF(AND('(橫掃)RX Mapping'!BH10&gt;=481,'(橫掃)RX Mapping'!BH10&lt;=600), ('(橫掃)RX Mapping'!BH10-361),IF(AND('(橫掃)RX Mapping'!BH10&gt;=601,'(橫掃)RX Mapping'!BH10&lt;=720), (-1)*('(橫掃)RX Mapping'!BH10-720)+120,IF(AND('(橫掃)RX Mapping'!BH10&gt;=721,'(橫掃)RX Mapping'!BH10&lt;=840), ('(橫掃)RX Mapping'!BH10-601),IF(AND('(橫掃)RX Mapping'!BH10&gt;=841,'(橫掃)RX Mapping'!BH10&lt;=960), (-1)*('(橫掃)RX Mapping'!BH10-960)+120,9999))))))))</f>
        <v>9999</v>
      </c>
      <c r="BI10">
        <f>IF(AND('(橫掃)RX Mapping'!BI10&gt;=1,'(橫掃)RX Mapping'!BI10&lt;=120), ('(橫掃)RX Mapping'!BI10-1),IF(AND('(橫掃)RX Mapping'!BI10&gt;=121,'(橫掃)RX Mapping'!BI10&lt;=240), (-1)*('(橫掃)RX Mapping'!BI10-240),IF(AND('(橫掃)RX Mapping'!BI10&gt;=241,'(橫掃)RX Mapping'!BI10&lt;=360), ('(橫掃)RX Mapping'!BI10-241),IF(AND('(橫掃)RX Mapping'!BI10&gt;=361,'(橫掃)RX Mapping'!BI10&lt;=480), (-1)*('(橫掃)RX Mapping'!BI10-480),IF(AND('(橫掃)RX Mapping'!BI10&gt;=481,'(橫掃)RX Mapping'!BI10&lt;=600), ('(橫掃)RX Mapping'!BI10-361),IF(AND('(橫掃)RX Mapping'!BI10&gt;=601,'(橫掃)RX Mapping'!BI10&lt;=720), (-1)*('(橫掃)RX Mapping'!BI10-720)+120,IF(AND('(橫掃)RX Mapping'!BI10&gt;=721,'(橫掃)RX Mapping'!BI10&lt;=840), ('(橫掃)RX Mapping'!BI10-601),IF(AND('(橫掃)RX Mapping'!BI10&gt;=841,'(橫掃)RX Mapping'!BI10&lt;=960), (-1)*('(橫掃)RX Mapping'!BI10-960)+120,9999))))))))</f>
        <v>9999</v>
      </c>
    </row>
    <row r="11" spans="1:61" x14ac:dyDescent="0.25">
      <c r="A11" s="20">
        <v>10</v>
      </c>
      <c r="B11">
        <f>IF(AND('(橫掃)RX Mapping'!B11&gt;=1,'(橫掃)RX Mapping'!B11&lt;=120), ('(橫掃)RX Mapping'!B11-1),IF(AND('(橫掃)RX Mapping'!B11&gt;=121,'(橫掃)RX Mapping'!B11&lt;=240), (-1)*('(橫掃)RX Mapping'!B11-240),IF(AND('(橫掃)RX Mapping'!B11&gt;=241,'(橫掃)RX Mapping'!B11&lt;=360), ('(橫掃)RX Mapping'!B11-241),IF(AND('(橫掃)RX Mapping'!B11&gt;=361,'(橫掃)RX Mapping'!B11&lt;=480), (-1)*('(橫掃)RX Mapping'!B11-480),IF(AND('(橫掃)RX Mapping'!B11&gt;=481,'(橫掃)RX Mapping'!B11&lt;=600), ('(橫掃)RX Mapping'!B11-361),IF(AND('(橫掃)RX Mapping'!B11&gt;=601,'(橫掃)RX Mapping'!B11&lt;=720), (-1)*('(橫掃)RX Mapping'!B11-720)+120,IF(AND('(橫掃)RX Mapping'!B11&gt;=721,'(橫掃)RX Mapping'!B11&lt;=840), ('(橫掃)RX Mapping'!B11-601),IF(AND('(橫掃)RX Mapping'!B11&gt;=841,'(橫掃)RX Mapping'!B11&lt;=960), (-1)*('(橫掃)RX Mapping'!B11-960)+120,9999))))))))</f>
        <v>9</v>
      </c>
      <c r="C11">
        <f>IF(AND('(橫掃)RX Mapping'!C11&gt;=1,'(橫掃)RX Mapping'!C11&lt;=120), ('(橫掃)RX Mapping'!C11-1),IF(AND('(橫掃)RX Mapping'!C11&gt;=121,'(橫掃)RX Mapping'!C11&lt;=240), (-1)*('(橫掃)RX Mapping'!C11-240),IF(AND('(橫掃)RX Mapping'!C11&gt;=241,'(橫掃)RX Mapping'!C11&lt;=360), ('(橫掃)RX Mapping'!C11-241),IF(AND('(橫掃)RX Mapping'!C11&gt;=361,'(橫掃)RX Mapping'!C11&lt;=480), (-1)*('(橫掃)RX Mapping'!C11-480),IF(AND('(橫掃)RX Mapping'!C11&gt;=481,'(橫掃)RX Mapping'!C11&lt;=600), ('(橫掃)RX Mapping'!C11-361),IF(AND('(橫掃)RX Mapping'!C11&gt;=601,'(橫掃)RX Mapping'!C11&lt;=720), (-1)*('(橫掃)RX Mapping'!C11-720)+120,IF(AND('(橫掃)RX Mapping'!C11&gt;=721,'(橫掃)RX Mapping'!C11&lt;=840), ('(橫掃)RX Mapping'!C11-601),IF(AND('(橫掃)RX Mapping'!C11&gt;=841,'(橫掃)RX Mapping'!C11&lt;=960), (-1)*('(橫掃)RX Mapping'!C11-960)+120,9999))))))))</f>
        <v>41</v>
      </c>
      <c r="D11">
        <f>IF(AND('(橫掃)RX Mapping'!D11&gt;=1,'(橫掃)RX Mapping'!D11&lt;=120), ('(橫掃)RX Mapping'!D11-1),IF(AND('(橫掃)RX Mapping'!D11&gt;=121,'(橫掃)RX Mapping'!D11&lt;=240), (-1)*('(橫掃)RX Mapping'!D11-240),IF(AND('(橫掃)RX Mapping'!D11&gt;=241,'(橫掃)RX Mapping'!D11&lt;=360), ('(橫掃)RX Mapping'!D11-241),IF(AND('(橫掃)RX Mapping'!D11&gt;=361,'(橫掃)RX Mapping'!D11&lt;=480), (-1)*('(橫掃)RX Mapping'!D11-480),IF(AND('(橫掃)RX Mapping'!D11&gt;=481,'(橫掃)RX Mapping'!D11&lt;=600), ('(橫掃)RX Mapping'!D11-361),IF(AND('(橫掃)RX Mapping'!D11&gt;=601,'(橫掃)RX Mapping'!D11&lt;=720), (-1)*('(橫掃)RX Mapping'!D11-720)+120,IF(AND('(橫掃)RX Mapping'!D11&gt;=721,'(橫掃)RX Mapping'!D11&lt;=840), ('(橫掃)RX Mapping'!D11-601),IF(AND('(橫掃)RX Mapping'!D11&gt;=841,'(橫掃)RX Mapping'!D11&lt;=960), (-1)*('(橫掃)RX Mapping'!D11-960)+120,9999))))))))</f>
        <v>73</v>
      </c>
      <c r="E11">
        <f>IF(AND('(橫掃)RX Mapping'!E11&gt;=1,'(橫掃)RX Mapping'!E11&lt;=120), ('(橫掃)RX Mapping'!E11-1),IF(AND('(橫掃)RX Mapping'!E11&gt;=121,'(橫掃)RX Mapping'!E11&lt;=240), (-1)*('(橫掃)RX Mapping'!E11-240),IF(AND('(橫掃)RX Mapping'!E11&gt;=241,'(橫掃)RX Mapping'!E11&lt;=360), ('(橫掃)RX Mapping'!E11-241),IF(AND('(橫掃)RX Mapping'!E11&gt;=361,'(橫掃)RX Mapping'!E11&lt;=480), (-1)*('(橫掃)RX Mapping'!E11-480),IF(AND('(橫掃)RX Mapping'!E11&gt;=481,'(橫掃)RX Mapping'!E11&lt;=600), ('(橫掃)RX Mapping'!E11-361),IF(AND('(橫掃)RX Mapping'!E11&gt;=601,'(橫掃)RX Mapping'!E11&lt;=720), (-1)*('(橫掃)RX Mapping'!E11-720)+120,IF(AND('(橫掃)RX Mapping'!E11&gt;=721,'(橫掃)RX Mapping'!E11&lt;=840), ('(橫掃)RX Mapping'!E11-601),IF(AND('(橫掃)RX Mapping'!E11&gt;=841,'(橫掃)RX Mapping'!E11&lt;=960), (-1)*('(橫掃)RX Mapping'!E11-960)+120,9999))))))))</f>
        <v>105</v>
      </c>
      <c r="F11">
        <f>IF(AND('(橫掃)RX Mapping'!F11&gt;=1,'(橫掃)RX Mapping'!F11&lt;=120), ('(橫掃)RX Mapping'!F11-1),IF(AND('(橫掃)RX Mapping'!F11&gt;=121,'(橫掃)RX Mapping'!F11&lt;=240), (-1)*('(橫掃)RX Mapping'!F11-240),IF(AND('(橫掃)RX Mapping'!F11&gt;=241,'(橫掃)RX Mapping'!F11&lt;=360), ('(橫掃)RX Mapping'!F11-241),IF(AND('(橫掃)RX Mapping'!F11&gt;=361,'(橫掃)RX Mapping'!F11&lt;=480), (-1)*('(橫掃)RX Mapping'!F11-480),IF(AND('(橫掃)RX Mapping'!F11&gt;=481,'(橫掃)RX Mapping'!F11&lt;=600), ('(橫掃)RX Mapping'!F11-361),IF(AND('(橫掃)RX Mapping'!F11&gt;=601,'(橫掃)RX Mapping'!F11&lt;=720), (-1)*('(橫掃)RX Mapping'!F11-720)+120,IF(AND('(橫掃)RX Mapping'!F11&gt;=721,'(橫掃)RX Mapping'!F11&lt;=840), ('(橫掃)RX Mapping'!F11-601),IF(AND('(橫掃)RX Mapping'!F11&gt;=841,'(橫掃)RX Mapping'!F11&lt;=960), (-1)*('(橫掃)RX Mapping'!F11-960)+120,9999))))))))</f>
        <v>102</v>
      </c>
      <c r="G11">
        <f>IF(AND('(橫掃)RX Mapping'!G11&gt;=1,'(橫掃)RX Mapping'!G11&lt;=120), ('(橫掃)RX Mapping'!G11-1),IF(AND('(橫掃)RX Mapping'!G11&gt;=121,'(橫掃)RX Mapping'!G11&lt;=240), (-1)*('(橫掃)RX Mapping'!G11-240),IF(AND('(橫掃)RX Mapping'!G11&gt;=241,'(橫掃)RX Mapping'!G11&lt;=360), ('(橫掃)RX Mapping'!G11-241),IF(AND('(橫掃)RX Mapping'!G11&gt;=361,'(橫掃)RX Mapping'!G11&lt;=480), (-1)*('(橫掃)RX Mapping'!G11-480),IF(AND('(橫掃)RX Mapping'!G11&gt;=481,'(橫掃)RX Mapping'!G11&lt;=600), ('(橫掃)RX Mapping'!G11-361),IF(AND('(橫掃)RX Mapping'!G11&gt;=601,'(橫掃)RX Mapping'!G11&lt;=720), (-1)*('(橫掃)RX Mapping'!G11-720)+120,IF(AND('(橫掃)RX Mapping'!G11&gt;=721,'(橫掃)RX Mapping'!G11&lt;=840), ('(橫掃)RX Mapping'!G11-601),IF(AND('(橫掃)RX Mapping'!G11&gt;=841,'(橫掃)RX Mapping'!G11&lt;=960), (-1)*('(橫掃)RX Mapping'!G11-960)+120,9999))))))))</f>
        <v>70</v>
      </c>
      <c r="H11">
        <f>IF(AND('(橫掃)RX Mapping'!H11&gt;=1,'(橫掃)RX Mapping'!H11&lt;=120), ('(橫掃)RX Mapping'!H11-1),IF(AND('(橫掃)RX Mapping'!H11&gt;=121,'(橫掃)RX Mapping'!H11&lt;=240), (-1)*('(橫掃)RX Mapping'!H11-240),IF(AND('(橫掃)RX Mapping'!H11&gt;=241,'(橫掃)RX Mapping'!H11&lt;=360), ('(橫掃)RX Mapping'!H11-241),IF(AND('(橫掃)RX Mapping'!H11&gt;=361,'(橫掃)RX Mapping'!H11&lt;=480), (-1)*('(橫掃)RX Mapping'!H11-480),IF(AND('(橫掃)RX Mapping'!H11&gt;=481,'(橫掃)RX Mapping'!H11&lt;=600), ('(橫掃)RX Mapping'!H11-361),IF(AND('(橫掃)RX Mapping'!H11&gt;=601,'(橫掃)RX Mapping'!H11&lt;=720), (-1)*('(橫掃)RX Mapping'!H11-720)+120,IF(AND('(橫掃)RX Mapping'!H11&gt;=721,'(橫掃)RX Mapping'!H11&lt;=840), ('(橫掃)RX Mapping'!H11-601),IF(AND('(橫掃)RX Mapping'!H11&gt;=841,'(橫掃)RX Mapping'!H11&lt;=960), (-1)*('(橫掃)RX Mapping'!H11-960)+120,9999))))))))</f>
        <v>38</v>
      </c>
      <c r="I11">
        <f>IF(AND('(橫掃)RX Mapping'!I11&gt;=1,'(橫掃)RX Mapping'!I11&lt;=120), ('(橫掃)RX Mapping'!I11-1),IF(AND('(橫掃)RX Mapping'!I11&gt;=121,'(橫掃)RX Mapping'!I11&lt;=240), (-1)*('(橫掃)RX Mapping'!I11-240),IF(AND('(橫掃)RX Mapping'!I11&gt;=241,'(橫掃)RX Mapping'!I11&lt;=360), ('(橫掃)RX Mapping'!I11-241),IF(AND('(橫掃)RX Mapping'!I11&gt;=361,'(橫掃)RX Mapping'!I11&lt;=480), (-1)*('(橫掃)RX Mapping'!I11-480),IF(AND('(橫掃)RX Mapping'!I11&gt;=481,'(橫掃)RX Mapping'!I11&lt;=600), ('(橫掃)RX Mapping'!I11-361),IF(AND('(橫掃)RX Mapping'!I11&gt;=601,'(橫掃)RX Mapping'!I11&lt;=720), (-1)*('(橫掃)RX Mapping'!I11-720)+120,IF(AND('(橫掃)RX Mapping'!I11&gt;=721,'(橫掃)RX Mapping'!I11&lt;=840), ('(橫掃)RX Mapping'!I11-601),IF(AND('(橫掃)RX Mapping'!I11&gt;=841,'(橫掃)RX Mapping'!I11&lt;=960), (-1)*('(橫掃)RX Mapping'!I11-960)+120,9999))))))))</f>
        <v>9</v>
      </c>
      <c r="J11">
        <f>IF(AND('(橫掃)RX Mapping'!J11&gt;=1,'(橫掃)RX Mapping'!J11&lt;=120), ('(橫掃)RX Mapping'!J11-1),IF(AND('(橫掃)RX Mapping'!J11&gt;=121,'(橫掃)RX Mapping'!J11&lt;=240), (-1)*('(橫掃)RX Mapping'!J11-240),IF(AND('(橫掃)RX Mapping'!J11&gt;=241,'(橫掃)RX Mapping'!J11&lt;=360), ('(橫掃)RX Mapping'!J11-241),IF(AND('(橫掃)RX Mapping'!J11&gt;=361,'(橫掃)RX Mapping'!J11&lt;=480), (-1)*('(橫掃)RX Mapping'!J11-480),IF(AND('(橫掃)RX Mapping'!J11&gt;=481,'(橫掃)RX Mapping'!J11&lt;=600), ('(橫掃)RX Mapping'!J11-361),IF(AND('(橫掃)RX Mapping'!J11&gt;=601,'(橫掃)RX Mapping'!J11&lt;=720), (-1)*('(橫掃)RX Mapping'!J11-720)+120,IF(AND('(橫掃)RX Mapping'!J11&gt;=721,'(橫掃)RX Mapping'!J11&lt;=840), ('(橫掃)RX Mapping'!J11-601),IF(AND('(橫掃)RX Mapping'!J11&gt;=841,'(橫掃)RX Mapping'!J11&lt;=960), (-1)*('(橫掃)RX Mapping'!J11-960)+120,9999))))))))</f>
        <v>41</v>
      </c>
      <c r="K11">
        <f>IF(AND('(橫掃)RX Mapping'!K11&gt;=1,'(橫掃)RX Mapping'!K11&lt;=120), ('(橫掃)RX Mapping'!K11-1),IF(AND('(橫掃)RX Mapping'!K11&gt;=121,'(橫掃)RX Mapping'!K11&lt;=240), (-1)*('(橫掃)RX Mapping'!K11-240),IF(AND('(橫掃)RX Mapping'!K11&gt;=241,'(橫掃)RX Mapping'!K11&lt;=360), ('(橫掃)RX Mapping'!K11-241),IF(AND('(橫掃)RX Mapping'!K11&gt;=361,'(橫掃)RX Mapping'!K11&lt;=480), (-1)*('(橫掃)RX Mapping'!K11-480),IF(AND('(橫掃)RX Mapping'!K11&gt;=481,'(橫掃)RX Mapping'!K11&lt;=600), ('(橫掃)RX Mapping'!K11-361),IF(AND('(橫掃)RX Mapping'!K11&gt;=601,'(橫掃)RX Mapping'!K11&lt;=720), (-1)*('(橫掃)RX Mapping'!K11-720)+120,IF(AND('(橫掃)RX Mapping'!K11&gt;=721,'(橫掃)RX Mapping'!K11&lt;=840), ('(橫掃)RX Mapping'!K11-601),IF(AND('(橫掃)RX Mapping'!K11&gt;=841,'(橫掃)RX Mapping'!K11&lt;=960), (-1)*('(橫掃)RX Mapping'!K11-960)+120,9999))))))))</f>
        <v>73</v>
      </c>
      <c r="L11">
        <f>IF(AND('(橫掃)RX Mapping'!L11&gt;=1,'(橫掃)RX Mapping'!L11&lt;=120), ('(橫掃)RX Mapping'!L11-1),IF(AND('(橫掃)RX Mapping'!L11&gt;=121,'(橫掃)RX Mapping'!L11&lt;=240), (-1)*('(橫掃)RX Mapping'!L11-240),IF(AND('(橫掃)RX Mapping'!L11&gt;=241,'(橫掃)RX Mapping'!L11&lt;=360), ('(橫掃)RX Mapping'!L11-241),IF(AND('(橫掃)RX Mapping'!L11&gt;=361,'(橫掃)RX Mapping'!L11&lt;=480), (-1)*('(橫掃)RX Mapping'!L11-480),IF(AND('(橫掃)RX Mapping'!L11&gt;=481,'(橫掃)RX Mapping'!L11&lt;=600), ('(橫掃)RX Mapping'!L11-361),IF(AND('(橫掃)RX Mapping'!L11&gt;=601,'(橫掃)RX Mapping'!L11&lt;=720), (-1)*('(橫掃)RX Mapping'!L11-720)+120,IF(AND('(橫掃)RX Mapping'!L11&gt;=721,'(橫掃)RX Mapping'!L11&lt;=840), ('(橫掃)RX Mapping'!L11-601),IF(AND('(橫掃)RX Mapping'!L11&gt;=841,'(橫掃)RX Mapping'!L11&lt;=960), (-1)*('(橫掃)RX Mapping'!L11-960)+120,9999))))))))</f>
        <v>105</v>
      </c>
      <c r="M11">
        <f>IF(AND('(橫掃)RX Mapping'!M11&gt;=1,'(橫掃)RX Mapping'!M11&lt;=120), ('(橫掃)RX Mapping'!M11-1),IF(AND('(橫掃)RX Mapping'!M11&gt;=121,'(橫掃)RX Mapping'!M11&lt;=240), (-1)*('(橫掃)RX Mapping'!M11-240),IF(AND('(橫掃)RX Mapping'!M11&gt;=241,'(橫掃)RX Mapping'!M11&lt;=360), ('(橫掃)RX Mapping'!M11-241),IF(AND('(橫掃)RX Mapping'!M11&gt;=361,'(橫掃)RX Mapping'!M11&lt;=480), (-1)*('(橫掃)RX Mapping'!M11-480),IF(AND('(橫掃)RX Mapping'!M11&gt;=481,'(橫掃)RX Mapping'!M11&lt;=600), ('(橫掃)RX Mapping'!M11-361),IF(AND('(橫掃)RX Mapping'!M11&gt;=601,'(橫掃)RX Mapping'!M11&lt;=720), (-1)*('(橫掃)RX Mapping'!M11-720)+120,IF(AND('(橫掃)RX Mapping'!M11&gt;=721,'(橫掃)RX Mapping'!M11&lt;=840), ('(橫掃)RX Mapping'!M11-601),IF(AND('(橫掃)RX Mapping'!M11&gt;=841,'(橫掃)RX Mapping'!M11&lt;=960), (-1)*('(橫掃)RX Mapping'!M11-960)+120,9999))))))))</f>
        <v>102</v>
      </c>
      <c r="N11">
        <f>IF(AND('(橫掃)RX Mapping'!N11&gt;=1,'(橫掃)RX Mapping'!N11&lt;=120), ('(橫掃)RX Mapping'!N11-1),IF(AND('(橫掃)RX Mapping'!N11&gt;=121,'(橫掃)RX Mapping'!N11&lt;=240), (-1)*('(橫掃)RX Mapping'!N11-240),IF(AND('(橫掃)RX Mapping'!N11&gt;=241,'(橫掃)RX Mapping'!N11&lt;=360), ('(橫掃)RX Mapping'!N11-241),IF(AND('(橫掃)RX Mapping'!N11&gt;=361,'(橫掃)RX Mapping'!N11&lt;=480), (-1)*('(橫掃)RX Mapping'!N11-480),IF(AND('(橫掃)RX Mapping'!N11&gt;=481,'(橫掃)RX Mapping'!N11&lt;=600), ('(橫掃)RX Mapping'!N11-361),IF(AND('(橫掃)RX Mapping'!N11&gt;=601,'(橫掃)RX Mapping'!N11&lt;=720), (-1)*('(橫掃)RX Mapping'!N11-720)+120,IF(AND('(橫掃)RX Mapping'!N11&gt;=721,'(橫掃)RX Mapping'!N11&lt;=840), ('(橫掃)RX Mapping'!N11-601),IF(AND('(橫掃)RX Mapping'!N11&gt;=841,'(橫掃)RX Mapping'!N11&lt;=960), (-1)*('(橫掃)RX Mapping'!N11-960)+120,9999))))))))</f>
        <v>70</v>
      </c>
      <c r="O11">
        <f>IF(AND('(橫掃)RX Mapping'!O11&gt;=1,'(橫掃)RX Mapping'!O11&lt;=120), ('(橫掃)RX Mapping'!O11-1),IF(AND('(橫掃)RX Mapping'!O11&gt;=121,'(橫掃)RX Mapping'!O11&lt;=240), (-1)*('(橫掃)RX Mapping'!O11-240),IF(AND('(橫掃)RX Mapping'!O11&gt;=241,'(橫掃)RX Mapping'!O11&lt;=360), ('(橫掃)RX Mapping'!O11-241),IF(AND('(橫掃)RX Mapping'!O11&gt;=361,'(橫掃)RX Mapping'!O11&lt;=480), (-1)*('(橫掃)RX Mapping'!O11-480),IF(AND('(橫掃)RX Mapping'!O11&gt;=481,'(橫掃)RX Mapping'!O11&lt;=600), ('(橫掃)RX Mapping'!O11-361),IF(AND('(橫掃)RX Mapping'!O11&gt;=601,'(橫掃)RX Mapping'!O11&lt;=720), (-1)*('(橫掃)RX Mapping'!O11-720)+120,IF(AND('(橫掃)RX Mapping'!O11&gt;=721,'(橫掃)RX Mapping'!O11&lt;=840), ('(橫掃)RX Mapping'!O11-601),IF(AND('(橫掃)RX Mapping'!O11&gt;=841,'(橫掃)RX Mapping'!O11&lt;=960), (-1)*('(橫掃)RX Mapping'!O11-960)+120,9999))))))))</f>
        <v>38</v>
      </c>
      <c r="P11">
        <f>IF(AND('(橫掃)RX Mapping'!P11&gt;=1,'(橫掃)RX Mapping'!P11&lt;=120), ('(橫掃)RX Mapping'!P11-1),IF(AND('(橫掃)RX Mapping'!P11&gt;=121,'(橫掃)RX Mapping'!P11&lt;=240), (-1)*('(橫掃)RX Mapping'!P11-240),IF(AND('(橫掃)RX Mapping'!P11&gt;=241,'(橫掃)RX Mapping'!P11&lt;=360), ('(橫掃)RX Mapping'!P11-241),IF(AND('(橫掃)RX Mapping'!P11&gt;=361,'(橫掃)RX Mapping'!P11&lt;=480), (-1)*('(橫掃)RX Mapping'!P11-480),IF(AND('(橫掃)RX Mapping'!P11&gt;=481,'(橫掃)RX Mapping'!P11&lt;=600), ('(橫掃)RX Mapping'!P11-361),IF(AND('(橫掃)RX Mapping'!P11&gt;=601,'(橫掃)RX Mapping'!P11&lt;=720), (-1)*('(橫掃)RX Mapping'!P11-720)+120,IF(AND('(橫掃)RX Mapping'!P11&gt;=721,'(橫掃)RX Mapping'!P11&lt;=840), ('(橫掃)RX Mapping'!P11-601),IF(AND('(橫掃)RX Mapping'!P11&gt;=841,'(橫掃)RX Mapping'!P11&lt;=960), (-1)*('(橫掃)RX Mapping'!P11-960)+120,9999))))))))</f>
        <v>129</v>
      </c>
      <c r="Q11">
        <f>IF(AND('(橫掃)RX Mapping'!Q11&gt;=1,'(橫掃)RX Mapping'!Q11&lt;=120), ('(橫掃)RX Mapping'!Q11-1),IF(AND('(橫掃)RX Mapping'!Q11&gt;=121,'(橫掃)RX Mapping'!Q11&lt;=240), (-1)*('(橫掃)RX Mapping'!Q11-240),IF(AND('(橫掃)RX Mapping'!Q11&gt;=241,'(橫掃)RX Mapping'!Q11&lt;=360), ('(橫掃)RX Mapping'!Q11-241),IF(AND('(橫掃)RX Mapping'!Q11&gt;=361,'(橫掃)RX Mapping'!Q11&lt;=480), (-1)*('(橫掃)RX Mapping'!Q11-480),IF(AND('(橫掃)RX Mapping'!Q11&gt;=481,'(橫掃)RX Mapping'!Q11&lt;=600), ('(橫掃)RX Mapping'!Q11-361),IF(AND('(橫掃)RX Mapping'!Q11&gt;=601,'(橫掃)RX Mapping'!Q11&lt;=720), (-1)*('(橫掃)RX Mapping'!Q11-720)+120,IF(AND('(橫掃)RX Mapping'!Q11&gt;=721,'(橫掃)RX Mapping'!Q11&lt;=840), ('(橫掃)RX Mapping'!Q11-601),IF(AND('(橫掃)RX Mapping'!Q11&gt;=841,'(橫掃)RX Mapping'!Q11&lt;=960), (-1)*('(橫掃)RX Mapping'!Q11-960)+120,9999))))))))</f>
        <v>161</v>
      </c>
      <c r="R11">
        <f>IF(AND('(橫掃)RX Mapping'!R11&gt;=1,'(橫掃)RX Mapping'!R11&lt;=120), ('(橫掃)RX Mapping'!R11-1),IF(AND('(橫掃)RX Mapping'!R11&gt;=121,'(橫掃)RX Mapping'!R11&lt;=240), (-1)*('(橫掃)RX Mapping'!R11-240),IF(AND('(橫掃)RX Mapping'!R11&gt;=241,'(橫掃)RX Mapping'!R11&lt;=360), ('(橫掃)RX Mapping'!R11-241),IF(AND('(橫掃)RX Mapping'!R11&gt;=361,'(橫掃)RX Mapping'!R11&lt;=480), (-1)*('(橫掃)RX Mapping'!R11-480),IF(AND('(橫掃)RX Mapping'!R11&gt;=481,'(橫掃)RX Mapping'!R11&lt;=600), ('(橫掃)RX Mapping'!R11-361),IF(AND('(橫掃)RX Mapping'!R11&gt;=601,'(橫掃)RX Mapping'!R11&lt;=720), (-1)*('(橫掃)RX Mapping'!R11-720)+120,IF(AND('(橫掃)RX Mapping'!R11&gt;=721,'(橫掃)RX Mapping'!R11&lt;=840), ('(橫掃)RX Mapping'!R11-601),IF(AND('(橫掃)RX Mapping'!R11&gt;=841,'(橫掃)RX Mapping'!R11&lt;=960), (-1)*('(橫掃)RX Mapping'!R11-960)+120,9999))))))))</f>
        <v>193</v>
      </c>
      <c r="S11">
        <f>IF(AND('(橫掃)RX Mapping'!S11&gt;=1,'(橫掃)RX Mapping'!S11&lt;=120), ('(橫掃)RX Mapping'!S11-1),IF(AND('(橫掃)RX Mapping'!S11&gt;=121,'(橫掃)RX Mapping'!S11&lt;=240), (-1)*('(橫掃)RX Mapping'!S11-240),IF(AND('(橫掃)RX Mapping'!S11&gt;=241,'(橫掃)RX Mapping'!S11&lt;=360), ('(橫掃)RX Mapping'!S11-241),IF(AND('(橫掃)RX Mapping'!S11&gt;=361,'(橫掃)RX Mapping'!S11&lt;=480), (-1)*('(橫掃)RX Mapping'!S11-480),IF(AND('(橫掃)RX Mapping'!S11&gt;=481,'(橫掃)RX Mapping'!S11&lt;=600), ('(橫掃)RX Mapping'!S11-361),IF(AND('(橫掃)RX Mapping'!S11&gt;=601,'(橫掃)RX Mapping'!S11&lt;=720), (-1)*('(橫掃)RX Mapping'!S11-720)+120,IF(AND('(橫掃)RX Mapping'!S11&gt;=721,'(橫掃)RX Mapping'!S11&lt;=840), ('(橫掃)RX Mapping'!S11-601),IF(AND('(橫掃)RX Mapping'!S11&gt;=841,'(橫掃)RX Mapping'!S11&lt;=960), (-1)*('(橫掃)RX Mapping'!S11-960)+120,9999))))))))</f>
        <v>225</v>
      </c>
      <c r="T11">
        <f>IF(AND('(橫掃)RX Mapping'!T11&gt;=1,'(橫掃)RX Mapping'!T11&lt;=120), ('(橫掃)RX Mapping'!T11-1),IF(AND('(橫掃)RX Mapping'!T11&gt;=121,'(橫掃)RX Mapping'!T11&lt;=240), (-1)*('(橫掃)RX Mapping'!T11-240),IF(AND('(橫掃)RX Mapping'!T11&gt;=241,'(橫掃)RX Mapping'!T11&lt;=360), ('(橫掃)RX Mapping'!T11-241),IF(AND('(橫掃)RX Mapping'!T11&gt;=361,'(橫掃)RX Mapping'!T11&lt;=480), (-1)*('(橫掃)RX Mapping'!T11-480),IF(AND('(橫掃)RX Mapping'!T11&gt;=481,'(橫掃)RX Mapping'!T11&lt;=600), ('(橫掃)RX Mapping'!T11-361),IF(AND('(橫掃)RX Mapping'!T11&gt;=601,'(橫掃)RX Mapping'!T11&lt;=720), (-1)*('(橫掃)RX Mapping'!T11-720)+120,IF(AND('(橫掃)RX Mapping'!T11&gt;=721,'(橫掃)RX Mapping'!T11&lt;=840), ('(橫掃)RX Mapping'!T11-601),IF(AND('(橫掃)RX Mapping'!T11&gt;=841,'(橫掃)RX Mapping'!T11&lt;=960), (-1)*('(橫掃)RX Mapping'!T11-960)+120,9999))))))))</f>
        <v>222</v>
      </c>
      <c r="U11">
        <f>IF(AND('(橫掃)RX Mapping'!U11&gt;=1,'(橫掃)RX Mapping'!U11&lt;=120), ('(橫掃)RX Mapping'!U11-1),IF(AND('(橫掃)RX Mapping'!U11&gt;=121,'(橫掃)RX Mapping'!U11&lt;=240), (-1)*('(橫掃)RX Mapping'!U11-240),IF(AND('(橫掃)RX Mapping'!U11&gt;=241,'(橫掃)RX Mapping'!U11&lt;=360), ('(橫掃)RX Mapping'!U11-241),IF(AND('(橫掃)RX Mapping'!U11&gt;=361,'(橫掃)RX Mapping'!U11&lt;=480), (-1)*('(橫掃)RX Mapping'!U11-480),IF(AND('(橫掃)RX Mapping'!U11&gt;=481,'(橫掃)RX Mapping'!U11&lt;=600), ('(橫掃)RX Mapping'!U11-361),IF(AND('(橫掃)RX Mapping'!U11&gt;=601,'(橫掃)RX Mapping'!U11&lt;=720), (-1)*('(橫掃)RX Mapping'!U11-720)+120,IF(AND('(橫掃)RX Mapping'!U11&gt;=721,'(橫掃)RX Mapping'!U11&lt;=840), ('(橫掃)RX Mapping'!U11-601),IF(AND('(橫掃)RX Mapping'!U11&gt;=841,'(橫掃)RX Mapping'!U11&lt;=960), (-1)*('(橫掃)RX Mapping'!U11-960)+120,9999))))))))</f>
        <v>190</v>
      </c>
      <c r="V11">
        <f>IF(AND('(橫掃)RX Mapping'!V11&gt;=1,'(橫掃)RX Mapping'!V11&lt;=120), ('(橫掃)RX Mapping'!V11-1),IF(AND('(橫掃)RX Mapping'!V11&gt;=121,'(橫掃)RX Mapping'!V11&lt;=240), (-1)*('(橫掃)RX Mapping'!V11-240),IF(AND('(橫掃)RX Mapping'!V11&gt;=241,'(橫掃)RX Mapping'!V11&lt;=360), ('(橫掃)RX Mapping'!V11-241),IF(AND('(橫掃)RX Mapping'!V11&gt;=361,'(橫掃)RX Mapping'!V11&lt;=480), (-1)*('(橫掃)RX Mapping'!V11-480),IF(AND('(橫掃)RX Mapping'!V11&gt;=481,'(橫掃)RX Mapping'!V11&lt;=600), ('(橫掃)RX Mapping'!V11-361),IF(AND('(橫掃)RX Mapping'!V11&gt;=601,'(橫掃)RX Mapping'!V11&lt;=720), (-1)*('(橫掃)RX Mapping'!V11-720)+120,IF(AND('(橫掃)RX Mapping'!V11&gt;=721,'(橫掃)RX Mapping'!V11&lt;=840), ('(橫掃)RX Mapping'!V11-601),IF(AND('(橫掃)RX Mapping'!V11&gt;=841,'(橫掃)RX Mapping'!V11&lt;=960), (-1)*('(橫掃)RX Mapping'!V11-960)+120,9999))))))))</f>
        <v>158</v>
      </c>
      <c r="W11">
        <f>IF(AND('(橫掃)RX Mapping'!W11&gt;=1,'(橫掃)RX Mapping'!W11&lt;=120), ('(橫掃)RX Mapping'!W11-1),IF(AND('(橫掃)RX Mapping'!W11&gt;=121,'(橫掃)RX Mapping'!W11&lt;=240), (-1)*('(橫掃)RX Mapping'!W11-240),IF(AND('(橫掃)RX Mapping'!W11&gt;=241,'(橫掃)RX Mapping'!W11&lt;=360), ('(橫掃)RX Mapping'!W11-241),IF(AND('(橫掃)RX Mapping'!W11&gt;=361,'(橫掃)RX Mapping'!W11&lt;=480), (-1)*('(橫掃)RX Mapping'!W11-480),IF(AND('(橫掃)RX Mapping'!W11&gt;=481,'(橫掃)RX Mapping'!W11&lt;=600), ('(橫掃)RX Mapping'!W11-361),IF(AND('(橫掃)RX Mapping'!W11&gt;=601,'(橫掃)RX Mapping'!W11&lt;=720), (-1)*('(橫掃)RX Mapping'!W11-720)+120,IF(AND('(橫掃)RX Mapping'!W11&gt;=721,'(橫掃)RX Mapping'!W11&lt;=840), ('(橫掃)RX Mapping'!W11-601),IF(AND('(橫掃)RX Mapping'!W11&gt;=841,'(橫掃)RX Mapping'!W11&lt;=960), (-1)*('(橫掃)RX Mapping'!W11-960)+120,9999))))))))</f>
        <v>129</v>
      </c>
      <c r="X11">
        <f>IF(AND('(橫掃)RX Mapping'!X11&gt;=1,'(橫掃)RX Mapping'!X11&lt;=120), ('(橫掃)RX Mapping'!X11-1),IF(AND('(橫掃)RX Mapping'!X11&gt;=121,'(橫掃)RX Mapping'!X11&lt;=240), (-1)*('(橫掃)RX Mapping'!X11-240),IF(AND('(橫掃)RX Mapping'!X11&gt;=241,'(橫掃)RX Mapping'!X11&lt;=360), ('(橫掃)RX Mapping'!X11-241),IF(AND('(橫掃)RX Mapping'!X11&gt;=361,'(橫掃)RX Mapping'!X11&lt;=480), (-1)*('(橫掃)RX Mapping'!X11-480),IF(AND('(橫掃)RX Mapping'!X11&gt;=481,'(橫掃)RX Mapping'!X11&lt;=600), ('(橫掃)RX Mapping'!X11-361),IF(AND('(橫掃)RX Mapping'!X11&gt;=601,'(橫掃)RX Mapping'!X11&lt;=720), (-1)*('(橫掃)RX Mapping'!X11-720)+120,IF(AND('(橫掃)RX Mapping'!X11&gt;=721,'(橫掃)RX Mapping'!X11&lt;=840), ('(橫掃)RX Mapping'!X11-601),IF(AND('(橫掃)RX Mapping'!X11&gt;=841,'(橫掃)RX Mapping'!X11&lt;=960), (-1)*('(橫掃)RX Mapping'!X11-960)+120,9999))))))))</f>
        <v>161</v>
      </c>
      <c r="Y11">
        <f>IF(AND('(橫掃)RX Mapping'!Y11&gt;=1,'(橫掃)RX Mapping'!Y11&lt;=120), ('(橫掃)RX Mapping'!Y11-1),IF(AND('(橫掃)RX Mapping'!Y11&gt;=121,'(橫掃)RX Mapping'!Y11&lt;=240), (-1)*('(橫掃)RX Mapping'!Y11-240),IF(AND('(橫掃)RX Mapping'!Y11&gt;=241,'(橫掃)RX Mapping'!Y11&lt;=360), ('(橫掃)RX Mapping'!Y11-241),IF(AND('(橫掃)RX Mapping'!Y11&gt;=361,'(橫掃)RX Mapping'!Y11&lt;=480), (-1)*('(橫掃)RX Mapping'!Y11-480),IF(AND('(橫掃)RX Mapping'!Y11&gt;=481,'(橫掃)RX Mapping'!Y11&lt;=600), ('(橫掃)RX Mapping'!Y11-361),IF(AND('(橫掃)RX Mapping'!Y11&gt;=601,'(橫掃)RX Mapping'!Y11&lt;=720), (-1)*('(橫掃)RX Mapping'!Y11-720)+120,IF(AND('(橫掃)RX Mapping'!Y11&gt;=721,'(橫掃)RX Mapping'!Y11&lt;=840), ('(橫掃)RX Mapping'!Y11-601),IF(AND('(橫掃)RX Mapping'!Y11&gt;=841,'(橫掃)RX Mapping'!Y11&lt;=960), (-1)*('(橫掃)RX Mapping'!Y11-960)+120,9999))))))))</f>
        <v>193</v>
      </c>
      <c r="Z11">
        <f>IF(AND('(橫掃)RX Mapping'!Z11&gt;=1,'(橫掃)RX Mapping'!Z11&lt;=120), ('(橫掃)RX Mapping'!Z11-1),IF(AND('(橫掃)RX Mapping'!Z11&gt;=121,'(橫掃)RX Mapping'!Z11&lt;=240), (-1)*('(橫掃)RX Mapping'!Z11-240),IF(AND('(橫掃)RX Mapping'!Z11&gt;=241,'(橫掃)RX Mapping'!Z11&lt;=360), ('(橫掃)RX Mapping'!Z11-241),IF(AND('(橫掃)RX Mapping'!Z11&gt;=361,'(橫掃)RX Mapping'!Z11&lt;=480), (-1)*('(橫掃)RX Mapping'!Z11-480),IF(AND('(橫掃)RX Mapping'!Z11&gt;=481,'(橫掃)RX Mapping'!Z11&lt;=600), ('(橫掃)RX Mapping'!Z11-361),IF(AND('(橫掃)RX Mapping'!Z11&gt;=601,'(橫掃)RX Mapping'!Z11&lt;=720), (-1)*('(橫掃)RX Mapping'!Z11-720)+120,IF(AND('(橫掃)RX Mapping'!Z11&gt;=721,'(橫掃)RX Mapping'!Z11&lt;=840), ('(橫掃)RX Mapping'!Z11-601),IF(AND('(橫掃)RX Mapping'!Z11&gt;=841,'(橫掃)RX Mapping'!Z11&lt;=960), (-1)*('(橫掃)RX Mapping'!Z11-960)+120,9999))))))))</f>
        <v>225</v>
      </c>
      <c r="AA11">
        <f>IF(AND('(橫掃)RX Mapping'!AA11&gt;=1,'(橫掃)RX Mapping'!AA11&lt;=120), ('(橫掃)RX Mapping'!AA11-1),IF(AND('(橫掃)RX Mapping'!AA11&gt;=121,'(橫掃)RX Mapping'!AA11&lt;=240), (-1)*('(橫掃)RX Mapping'!AA11-240),IF(AND('(橫掃)RX Mapping'!AA11&gt;=241,'(橫掃)RX Mapping'!AA11&lt;=360), ('(橫掃)RX Mapping'!AA11-241),IF(AND('(橫掃)RX Mapping'!AA11&gt;=361,'(橫掃)RX Mapping'!AA11&lt;=480), (-1)*('(橫掃)RX Mapping'!AA11-480),IF(AND('(橫掃)RX Mapping'!AA11&gt;=481,'(橫掃)RX Mapping'!AA11&lt;=600), ('(橫掃)RX Mapping'!AA11-361),IF(AND('(橫掃)RX Mapping'!AA11&gt;=601,'(橫掃)RX Mapping'!AA11&lt;=720), (-1)*('(橫掃)RX Mapping'!AA11-720)+120,IF(AND('(橫掃)RX Mapping'!AA11&gt;=721,'(橫掃)RX Mapping'!AA11&lt;=840), ('(橫掃)RX Mapping'!AA11-601),IF(AND('(橫掃)RX Mapping'!AA11&gt;=841,'(橫掃)RX Mapping'!AA11&lt;=960), (-1)*('(橫掃)RX Mapping'!AA11-960)+120,9999))))))))</f>
        <v>222</v>
      </c>
      <c r="AB11">
        <f>IF(AND('(橫掃)RX Mapping'!AB11&gt;=1,'(橫掃)RX Mapping'!AB11&lt;=120), ('(橫掃)RX Mapping'!AB11-1),IF(AND('(橫掃)RX Mapping'!AB11&gt;=121,'(橫掃)RX Mapping'!AB11&lt;=240), (-1)*('(橫掃)RX Mapping'!AB11-240),IF(AND('(橫掃)RX Mapping'!AB11&gt;=241,'(橫掃)RX Mapping'!AB11&lt;=360), ('(橫掃)RX Mapping'!AB11-241),IF(AND('(橫掃)RX Mapping'!AB11&gt;=361,'(橫掃)RX Mapping'!AB11&lt;=480), (-1)*('(橫掃)RX Mapping'!AB11-480),IF(AND('(橫掃)RX Mapping'!AB11&gt;=481,'(橫掃)RX Mapping'!AB11&lt;=600), ('(橫掃)RX Mapping'!AB11-361),IF(AND('(橫掃)RX Mapping'!AB11&gt;=601,'(橫掃)RX Mapping'!AB11&lt;=720), (-1)*('(橫掃)RX Mapping'!AB11-720)+120,IF(AND('(橫掃)RX Mapping'!AB11&gt;=721,'(橫掃)RX Mapping'!AB11&lt;=840), ('(橫掃)RX Mapping'!AB11-601),IF(AND('(橫掃)RX Mapping'!AB11&gt;=841,'(橫掃)RX Mapping'!AB11&lt;=960), (-1)*('(橫掃)RX Mapping'!AB11-960)+120,9999))))))))</f>
        <v>190</v>
      </c>
      <c r="AC11">
        <f>IF(AND('(橫掃)RX Mapping'!AC11&gt;=1,'(橫掃)RX Mapping'!AC11&lt;=120), ('(橫掃)RX Mapping'!AC11-1),IF(AND('(橫掃)RX Mapping'!AC11&gt;=121,'(橫掃)RX Mapping'!AC11&lt;=240), (-1)*('(橫掃)RX Mapping'!AC11-240),IF(AND('(橫掃)RX Mapping'!AC11&gt;=241,'(橫掃)RX Mapping'!AC11&lt;=360), ('(橫掃)RX Mapping'!AC11-241),IF(AND('(橫掃)RX Mapping'!AC11&gt;=361,'(橫掃)RX Mapping'!AC11&lt;=480), (-1)*('(橫掃)RX Mapping'!AC11-480),IF(AND('(橫掃)RX Mapping'!AC11&gt;=481,'(橫掃)RX Mapping'!AC11&lt;=600), ('(橫掃)RX Mapping'!AC11-361),IF(AND('(橫掃)RX Mapping'!AC11&gt;=601,'(橫掃)RX Mapping'!AC11&lt;=720), (-1)*('(橫掃)RX Mapping'!AC11-720)+120,IF(AND('(橫掃)RX Mapping'!AC11&gt;=721,'(橫掃)RX Mapping'!AC11&lt;=840), ('(橫掃)RX Mapping'!AC11-601),IF(AND('(橫掃)RX Mapping'!AC11&gt;=841,'(橫掃)RX Mapping'!AC11&lt;=960), (-1)*('(橫掃)RX Mapping'!AC11-960)+120,9999))))))))</f>
        <v>158</v>
      </c>
      <c r="AD11">
        <f>IF(AND('(橫掃)RX Mapping'!AD11&gt;=1,'(橫掃)RX Mapping'!AD11&lt;=120), ('(橫掃)RX Mapping'!AD11-1),IF(AND('(橫掃)RX Mapping'!AD11&gt;=121,'(橫掃)RX Mapping'!AD11&lt;=240), (-1)*('(橫掃)RX Mapping'!AD11-240),IF(AND('(橫掃)RX Mapping'!AD11&gt;=241,'(橫掃)RX Mapping'!AD11&lt;=360), ('(橫掃)RX Mapping'!AD11-241),IF(AND('(橫掃)RX Mapping'!AD11&gt;=361,'(橫掃)RX Mapping'!AD11&lt;=480), (-1)*('(橫掃)RX Mapping'!AD11-480),IF(AND('(橫掃)RX Mapping'!AD11&gt;=481,'(橫掃)RX Mapping'!AD11&lt;=600), ('(橫掃)RX Mapping'!AD11-361),IF(AND('(橫掃)RX Mapping'!AD11&gt;=601,'(橫掃)RX Mapping'!AD11&lt;=720), (-1)*('(橫掃)RX Mapping'!AD11-720)+120,IF(AND('(橫掃)RX Mapping'!AD11&gt;=721,'(橫掃)RX Mapping'!AD11&lt;=840), ('(橫掃)RX Mapping'!AD11-601),IF(AND('(橫掃)RX Mapping'!AD11&gt;=841,'(橫掃)RX Mapping'!AD11&lt;=960), (-1)*('(橫掃)RX Mapping'!AD11-960)+120,9999))))))))</f>
        <v>9999</v>
      </c>
      <c r="AE11">
        <f>IF(AND('(橫掃)RX Mapping'!AE11&gt;=1,'(橫掃)RX Mapping'!AE11&lt;=120), ('(橫掃)RX Mapping'!AE11-1),IF(AND('(橫掃)RX Mapping'!AE11&gt;=121,'(橫掃)RX Mapping'!AE11&lt;=240), (-1)*('(橫掃)RX Mapping'!AE11-240),IF(AND('(橫掃)RX Mapping'!AE11&gt;=241,'(橫掃)RX Mapping'!AE11&lt;=360), ('(橫掃)RX Mapping'!AE11-241),IF(AND('(橫掃)RX Mapping'!AE11&gt;=361,'(橫掃)RX Mapping'!AE11&lt;=480), (-1)*('(橫掃)RX Mapping'!AE11-480),IF(AND('(橫掃)RX Mapping'!AE11&gt;=481,'(橫掃)RX Mapping'!AE11&lt;=600), ('(橫掃)RX Mapping'!AE11-361),IF(AND('(橫掃)RX Mapping'!AE11&gt;=601,'(橫掃)RX Mapping'!AE11&lt;=720), (-1)*('(橫掃)RX Mapping'!AE11-720)+120,IF(AND('(橫掃)RX Mapping'!AE11&gt;=721,'(橫掃)RX Mapping'!AE11&lt;=840), ('(橫掃)RX Mapping'!AE11-601),IF(AND('(橫掃)RX Mapping'!AE11&gt;=841,'(橫掃)RX Mapping'!AE11&lt;=960), (-1)*('(橫掃)RX Mapping'!AE11-960)+120,9999))))))))</f>
        <v>9999</v>
      </c>
      <c r="AF11">
        <f>IF(AND('(橫掃)RX Mapping'!AF11&gt;=1,'(橫掃)RX Mapping'!AF11&lt;=120), ('(橫掃)RX Mapping'!AF11-1),IF(AND('(橫掃)RX Mapping'!AF11&gt;=121,'(橫掃)RX Mapping'!AF11&lt;=240), (-1)*('(橫掃)RX Mapping'!AF11-240),IF(AND('(橫掃)RX Mapping'!AF11&gt;=241,'(橫掃)RX Mapping'!AF11&lt;=360), ('(橫掃)RX Mapping'!AF11-241),IF(AND('(橫掃)RX Mapping'!AF11&gt;=361,'(橫掃)RX Mapping'!AF11&lt;=480), (-1)*('(橫掃)RX Mapping'!AF11-480),IF(AND('(橫掃)RX Mapping'!AF11&gt;=481,'(橫掃)RX Mapping'!AF11&lt;=600), ('(橫掃)RX Mapping'!AF11-361),IF(AND('(橫掃)RX Mapping'!AF11&gt;=601,'(橫掃)RX Mapping'!AF11&lt;=720), (-1)*('(橫掃)RX Mapping'!AF11-720)+120,IF(AND('(橫掃)RX Mapping'!AF11&gt;=721,'(橫掃)RX Mapping'!AF11&lt;=840), ('(橫掃)RX Mapping'!AF11-601),IF(AND('(橫掃)RX Mapping'!AF11&gt;=841,'(橫掃)RX Mapping'!AF11&lt;=960), (-1)*('(橫掃)RX Mapping'!AF11-960)+120,9999))))))))</f>
        <v>9999</v>
      </c>
      <c r="AG11">
        <f>IF(AND('(橫掃)RX Mapping'!AG11&gt;=1,'(橫掃)RX Mapping'!AG11&lt;=120), ('(橫掃)RX Mapping'!AG11-1),IF(AND('(橫掃)RX Mapping'!AG11&gt;=121,'(橫掃)RX Mapping'!AG11&lt;=240), (-1)*('(橫掃)RX Mapping'!AG11-240),IF(AND('(橫掃)RX Mapping'!AG11&gt;=241,'(橫掃)RX Mapping'!AG11&lt;=360), ('(橫掃)RX Mapping'!AG11-241),IF(AND('(橫掃)RX Mapping'!AG11&gt;=361,'(橫掃)RX Mapping'!AG11&lt;=480), (-1)*('(橫掃)RX Mapping'!AG11-480),IF(AND('(橫掃)RX Mapping'!AG11&gt;=481,'(橫掃)RX Mapping'!AG11&lt;=600), ('(橫掃)RX Mapping'!AG11-361),IF(AND('(橫掃)RX Mapping'!AG11&gt;=601,'(橫掃)RX Mapping'!AG11&lt;=720), (-1)*('(橫掃)RX Mapping'!AG11-720)+120,IF(AND('(橫掃)RX Mapping'!AG11&gt;=721,'(橫掃)RX Mapping'!AG11&lt;=840), ('(橫掃)RX Mapping'!AG11-601),IF(AND('(橫掃)RX Mapping'!AG11&gt;=841,'(橫掃)RX Mapping'!AG11&lt;=960), (-1)*('(橫掃)RX Mapping'!AG11-960)+120,9999))))))))</f>
        <v>9999</v>
      </c>
      <c r="AH11">
        <f>IF(AND('(橫掃)RX Mapping'!AH11&gt;=1,'(橫掃)RX Mapping'!AH11&lt;=120), ('(橫掃)RX Mapping'!AH11-1),IF(AND('(橫掃)RX Mapping'!AH11&gt;=121,'(橫掃)RX Mapping'!AH11&lt;=240), (-1)*('(橫掃)RX Mapping'!AH11-240),IF(AND('(橫掃)RX Mapping'!AH11&gt;=241,'(橫掃)RX Mapping'!AH11&lt;=360), ('(橫掃)RX Mapping'!AH11-241),IF(AND('(橫掃)RX Mapping'!AH11&gt;=361,'(橫掃)RX Mapping'!AH11&lt;=480), (-1)*('(橫掃)RX Mapping'!AH11-480),IF(AND('(橫掃)RX Mapping'!AH11&gt;=481,'(橫掃)RX Mapping'!AH11&lt;=600), ('(橫掃)RX Mapping'!AH11-361),IF(AND('(橫掃)RX Mapping'!AH11&gt;=601,'(橫掃)RX Mapping'!AH11&lt;=720), (-1)*('(橫掃)RX Mapping'!AH11-720)+120,IF(AND('(橫掃)RX Mapping'!AH11&gt;=721,'(橫掃)RX Mapping'!AH11&lt;=840), ('(橫掃)RX Mapping'!AH11-601),IF(AND('(橫掃)RX Mapping'!AH11&gt;=841,'(橫掃)RX Mapping'!AH11&lt;=960), (-1)*('(橫掃)RX Mapping'!AH11-960)+120,9999))))))))</f>
        <v>9999</v>
      </c>
      <c r="AI11">
        <f>IF(AND('(橫掃)RX Mapping'!AI11&gt;=1,'(橫掃)RX Mapping'!AI11&lt;=120), ('(橫掃)RX Mapping'!AI11-1),IF(AND('(橫掃)RX Mapping'!AI11&gt;=121,'(橫掃)RX Mapping'!AI11&lt;=240), (-1)*('(橫掃)RX Mapping'!AI11-240),IF(AND('(橫掃)RX Mapping'!AI11&gt;=241,'(橫掃)RX Mapping'!AI11&lt;=360), ('(橫掃)RX Mapping'!AI11-241),IF(AND('(橫掃)RX Mapping'!AI11&gt;=361,'(橫掃)RX Mapping'!AI11&lt;=480), (-1)*('(橫掃)RX Mapping'!AI11-480),IF(AND('(橫掃)RX Mapping'!AI11&gt;=481,'(橫掃)RX Mapping'!AI11&lt;=600), ('(橫掃)RX Mapping'!AI11-361),IF(AND('(橫掃)RX Mapping'!AI11&gt;=601,'(橫掃)RX Mapping'!AI11&lt;=720), (-1)*('(橫掃)RX Mapping'!AI11-720)+120,IF(AND('(橫掃)RX Mapping'!AI11&gt;=721,'(橫掃)RX Mapping'!AI11&lt;=840), ('(橫掃)RX Mapping'!AI11-601),IF(AND('(橫掃)RX Mapping'!AI11&gt;=841,'(橫掃)RX Mapping'!AI11&lt;=960), (-1)*('(橫掃)RX Mapping'!AI11-960)+120,9999))))))))</f>
        <v>9999</v>
      </c>
      <c r="AJ11">
        <f>IF(AND('(橫掃)RX Mapping'!AJ11&gt;=1,'(橫掃)RX Mapping'!AJ11&lt;=120), ('(橫掃)RX Mapping'!AJ11-1),IF(AND('(橫掃)RX Mapping'!AJ11&gt;=121,'(橫掃)RX Mapping'!AJ11&lt;=240), (-1)*('(橫掃)RX Mapping'!AJ11-240),IF(AND('(橫掃)RX Mapping'!AJ11&gt;=241,'(橫掃)RX Mapping'!AJ11&lt;=360), ('(橫掃)RX Mapping'!AJ11-241),IF(AND('(橫掃)RX Mapping'!AJ11&gt;=361,'(橫掃)RX Mapping'!AJ11&lt;=480), (-1)*('(橫掃)RX Mapping'!AJ11-480),IF(AND('(橫掃)RX Mapping'!AJ11&gt;=481,'(橫掃)RX Mapping'!AJ11&lt;=600), ('(橫掃)RX Mapping'!AJ11-361),IF(AND('(橫掃)RX Mapping'!AJ11&gt;=601,'(橫掃)RX Mapping'!AJ11&lt;=720), (-1)*('(橫掃)RX Mapping'!AJ11-720)+120,IF(AND('(橫掃)RX Mapping'!AJ11&gt;=721,'(橫掃)RX Mapping'!AJ11&lt;=840), ('(橫掃)RX Mapping'!AJ11-601),IF(AND('(橫掃)RX Mapping'!AJ11&gt;=841,'(橫掃)RX Mapping'!AJ11&lt;=960), (-1)*('(橫掃)RX Mapping'!AJ11-960)+120,9999))))))))</f>
        <v>9999</v>
      </c>
      <c r="AK11">
        <f>IF(AND('(橫掃)RX Mapping'!AK11&gt;=1,'(橫掃)RX Mapping'!AK11&lt;=120), ('(橫掃)RX Mapping'!AK11-1),IF(AND('(橫掃)RX Mapping'!AK11&gt;=121,'(橫掃)RX Mapping'!AK11&lt;=240), (-1)*('(橫掃)RX Mapping'!AK11-240),IF(AND('(橫掃)RX Mapping'!AK11&gt;=241,'(橫掃)RX Mapping'!AK11&lt;=360), ('(橫掃)RX Mapping'!AK11-241),IF(AND('(橫掃)RX Mapping'!AK11&gt;=361,'(橫掃)RX Mapping'!AK11&lt;=480), (-1)*('(橫掃)RX Mapping'!AK11-480),IF(AND('(橫掃)RX Mapping'!AK11&gt;=481,'(橫掃)RX Mapping'!AK11&lt;=600), ('(橫掃)RX Mapping'!AK11-361),IF(AND('(橫掃)RX Mapping'!AK11&gt;=601,'(橫掃)RX Mapping'!AK11&lt;=720), (-1)*('(橫掃)RX Mapping'!AK11-720)+120,IF(AND('(橫掃)RX Mapping'!AK11&gt;=721,'(橫掃)RX Mapping'!AK11&lt;=840), ('(橫掃)RX Mapping'!AK11-601),IF(AND('(橫掃)RX Mapping'!AK11&gt;=841,'(橫掃)RX Mapping'!AK11&lt;=960), (-1)*('(橫掃)RX Mapping'!AK11-960)+120,9999))))))))</f>
        <v>9999</v>
      </c>
      <c r="AL11">
        <f>IF(AND('(橫掃)RX Mapping'!AL11&gt;=1,'(橫掃)RX Mapping'!AL11&lt;=120), ('(橫掃)RX Mapping'!AL11-1),IF(AND('(橫掃)RX Mapping'!AL11&gt;=121,'(橫掃)RX Mapping'!AL11&lt;=240), (-1)*('(橫掃)RX Mapping'!AL11-240),IF(AND('(橫掃)RX Mapping'!AL11&gt;=241,'(橫掃)RX Mapping'!AL11&lt;=360), ('(橫掃)RX Mapping'!AL11-241),IF(AND('(橫掃)RX Mapping'!AL11&gt;=361,'(橫掃)RX Mapping'!AL11&lt;=480), (-1)*('(橫掃)RX Mapping'!AL11-480),IF(AND('(橫掃)RX Mapping'!AL11&gt;=481,'(橫掃)RX Mapping'!AL11&lt;=600), ('(橫掃)RX Mapping'!AL11-361),IF(AND('(橫掃)RX Mapping'!AL11&gt;=601,'(橫掃)RX Mapping'!AL11&lt;=720), (-1)*('(橫掃)RX Mapping'!AL11-720)+120,IF(AND('(橫掃)RX Mapping'!AL11&gt;=721,'(橫掃)RX Mapping'!AL11&lt;=840), ('(橫掃)RX Mapping'!AL11-601),IF(AND('(橫掃)RX Mapping'!AL11&gt;=841,'(橫掃)RX Mapping'!AL11&lt;=960), (-1)*('(橫掃)RX Mapping'!AL11-960)+120,9999))))))))</f>
        <v>9999</v>
      </c>
      <c r="AM11">
        <f>IF(AND('(橫掃)RX Mapping'!AM11&gt;=1,'(橫掃)RX Mapping'!AM11&lt;=120), ('(橫掃)RX Mapping'!AM11-1),IF(AND('(橫掃)RX Mapping'!AM11&gt;=121,'(橫掃)RX Mapping'!AM11&lt;=240), (-1)*('(橫掃)RX Mapping'!AM11-240),IF(AND('(橫掃)RX Mapping'!AM11&gt;=241,'(橫掃)RX Mapping'!AM11&lt;=360), ('(橫掃)RX Mapping'!AM11-241),IF(AND('(橫掃)RX Mapping'!AM11&gt;=361,'(橫掃)RX Mapping'!AM11&lt;=480), (-1)*('(橫掃)RX Mapping'!AM11-480),IF(AND('(橫掃)RX Mapping'!AM11&gt;=481,'(橫掃)RX Mapping'!AM11&lt;=600), ('(橫掃)RX Mapping'!AM11-361),IF(AND('(橫掃)RX Mapping'!AM11&gt;=601,'(橫掃)RX Mapping'!AM11&lt;=720), (-1)*('(橫掃)RX Mapping'!AM11-720)+120,IF(AND('(橫掃)RX Mapping'!AM11&gt;=721,'(橫掃)RX Mapping'!AM11&lt;=840), ('(橫掃)RX Mapping'!AM11-601),IF(AND('(橫掃)RX Mapping'!AM11&gt;=841,'(橫掃)RX Mapping'!AM11&lt;=960), (-1)*('(橫掃)RX Mapping'!AM11-960)+120,9999))))))))</f>
        <v>9999</v>
      </c>
      <c r="AN11">
        <f>IF(AND('(橫掃)RX Mapping'!AN11&gt;=1,'(橫掃)RX Mapping'!AN11&lt;=120), ('(橫掃)RX Mapping'!AN11-1),IF(AND('(橫掃)RX Mapping'!AN11&gt;=121,'(橫掃)RX Mapping'!AN11&lt;=240), (-1)*('(橫掃)RX Mapping'!AN11-240),IF(AND('(橫掃)RX Mapping'!AN11&gt;=241,'(橫掃)RX Mapping'!AN11&lt;=360), ('(橫掃)RX Mapping'!AN11-241),IF(AND('(橫掃)RX Mapping'!AN11&gt;=361,'(橫掃)RX Mapping'!AN11&lt;=480), (-1)*('(橫掃)RX Mapping'!AN11-480),IF(AND('(橫掃)RX Mapping'!AN11&gt;=481,'(橫掃)RX Mapping'!AN11&lt;=600), ('(橫掃)RX Mapping'!AN11-361),IF(AND('(橫掃)RX Mapping'!AN11&gt;=601,'(橫掃)RX Mapping'!AN11&lt;=720), (-1)*('(橫掃)RX Mapping'!AN11-720)+120,IF(AND('(橫掃)RX Mapping'!AN11&gt;=721,'(橫掃)RX Mapping'!AN11&lt;=840), ('(橫掃)RX Mapping'!AN11-601),IF(AND('(橫掃)RX Mapping'!AN11&gt;=841,'(橫掃)RX Mapping'!AN11&lt;=960), (-1)*('(橫掃)RX Mapping'!AN11-960)+120,9999))))))))</f>
        <v>9999</v>
      </c>
      <c r="AO11">
        <f>IF(AND('(橫掃)RX Mapping'!AO11&gt;=1,'(橫掃)RX Mapping'!AO11&lt;=120), ('(橫掃)RX Mapping'!AO11-1),IF(AND('(橫掃)RX Mapping'!AO11&gt;=121,'(橫掃)RX Mapping'!AO11&lt;=240), (-1)*('(橫掃)RX Mapping'!AO11-240),IF(AND('(橫掃)RX Mapping'!AO11&gt;=241,'(橫掃)RX Mapping'!AO11&lt;=360), ('(橫掃)RX Mapping'!AO11-241),IF(AND('(橫掃)RX Mapping'!AO11&gt;=361,'(橫掃)RX Mapping'!AO11&lt;=480), (-1)*('(橫掃)RX Mapping'!AO11-480),IF(AND('(橫掃)RX Mapping'!AO11&gt;=481,'(橫掃)RX Mapping'!AO11&lt;=600), ('(橫掃)RX Mapping'!AO11-361),IF(AND('(橫掃)RX Mapping'!AO11&gt;=601,'(橫掃)RX Mapping'!AO11&lt;=720), (-1)*('(橫掃)RX Mapping'!AO11-720)+120,IF(AND('(橫掃)RX Mapping'!AO11&gt;=721,'(橫掃)RX Mapping'!AO11&lt;=840), ('(橫掃)RX Mapping'!AO11-601),IF(AND('(橫掃)RX Mapping'!AO11&gt;=841,'(橫掃)RX Mapping'!AO11&lt;=960), (-1)*('(橫掃)RX Mapping'!AO11-960)+120,9999))))))))</f>
        <v>9999</v>
      </c>
      <c r="AP11">
        <f>IF(AND('(橫掃)RX Mapping'!AP11&gt;=1,'(橫掃)RX Mapping'!AP11&lt;=120), ('(橫掃)RX Mapping'!AP11-1),IF(AND('(橫掃)RX Mapping'!AP11&gt;=121,'(橫掃)RX Mapping'!AP11&lt;=240), (-1)*('(橫掃)RX Mapping'!AP11-240),IF(AND('(橫掃)RX Mapping'!AP11&gt;=241,'(橫掃)RX Mapping'!AP11&lt;=360), ('(橫掃)RX Mapping'!AP11-241),IF(AND('(橫掃)RX Mapping'!AP11&gt;=361,'(橫掃)RX Mapping'!AP11&lt;=480), (-1)*('(橫掃)RX Mapping'!AP11-480),IF(AND('(橫掃)RX Mapping'!AP11&gt;=481,'(橫掃)RX Mapping'!AP11&lt;=600), ('(橫掃)RX Mapping'!AP11-361),IF(AND('(橫掃)RX Mapping'!AP11&gt;=601,'(橫掃)RX Mapping'!AP11&lt;=720), (-1)*('(橫掃)RX Mapping'!AP11-720)+120,IF(AND('(橫掃)RX Mapping'!AP11&gt;=721,'(橫掃)RX Mapping'!AP11&lt;=840), ('(橫掃)RX Mapping'!AP11-601),IF(AND('(橫掃)RX Mapping'!AP11&gt;=841,'(橫掃)RX Mapping'!AP11&lt;=960), (-1)*('(橫掃)RX Mapping'!AP11-960)+120,9999))))))))</f>
        <v>9999</v>
      </c>
      <c r="AQ11">
        <f>IF(AND('(橫掃)RX Mapping'!AQ11&gt;=1,'(橫掃)RX Mapping'!AQ11&lt;=120), ('(橫掃)RX Mapping'!AQ11-1),IF(AND('(橫掃)RX Mapping'!AQ11&gt;=121,'(橫掃)RX Mapping'!AQ11&lt;=240), (-1)*('(橫掃)RX Mapping'!AQ11-240),IF(AND('(橫掃)RX Mapping'!AQ11&gt;=241,'(橫掃)RX Mapping'!AQ11&lt;=360), ('(橫掃)RX Mapping'!AQ11-241),IF(AND('(橫掃)RX Mapping'!AQ11&gt;=361,'(橫掃)RX Mapping'!AQ11&lt;=480), (-1)*('(橫掃)RX Mapping'!AQ11-480),IF(AND('(橫掃)RX Mapping'!AQ11&gt;=481,'(橫掃)RX Mapping'!AQ11&lt;=600), ('(橫掃)RX Mapping'!AQ11-361),IF(AND('(橫掃)RX Mapping'!AQ11&gt;=601,'(橫掃)RX Mapping'!AQ11&lt;=720), (-1)*('(橫掃)RX Mapping'!AQ11-720)+120,IF(AND('(橫掃)RX Mapping'!AQ11&gt;=721,'(橫掃)RX Mapping'!AQ11&lt;=840), ('(橫掃)RX Mapping'!AQ11-601),IF(AND('(橫掃)RX Mapping'!AQ11&gt;=841,'(橫掃)RX Mapping'!AQ11&lt;=960), (-1)*('(橫掃)RX Mapping'!AQ11-960)+120,9999))))))))</f>
        <v>9999</v>
      </c>
      <c r="AR11">
        <f>IF(AND('(橫掃)RX Mapping'!AR11&gt;=1,'(橫掃)RX Mapping'!AR11&lt;=120), ('(橫掃)RX Mapping'!AR11-1),IF(AND('(橫掃)RX Mapping'!AR11&gt;=121,'(橫掃)RX Mapping'!AR11&lt;=240), (-1)*('(橫掃)RX Mapping'!AR11-240),IF(AND('(橫掃)RX Mapping'!AR11&gt;=241,'(橫掃)RX Mapping'!AR11&lt;=360), ('(橫掃)RX Mapping'!AR11-241),IF(AND('(橫掃)RX Mapping'!AR11&gt;=361,'(橫掃)RX Mapping'!AR11&lt;=480), (-1)*('(橫掃)RX Mapping'!AR11-480),IF(AND('(橫掃)RX Mapping'!AR11&gt;=481,'(橫掃)RX Mapping'!AR11&lt;=600), ('(橫掃)RX Mapping'!AR11-361),IF(AND('(橫掃)RX Mapping'!AR11&gt;=601,'(橫掃)RX Mapping'!AR11&lt;=720), (-1)*('(橫掃)RX Mapping'!AR11-720)+120,IF(AND('(橫掃)RX Mapping'!AR11&gt;=721,'(橫掃)RX Mapping'!AR11&lt;=840), ('(橫掃)RX Mapping'!AR11-601),IF(AND('(橫掃)RX Mapping'!AR11&gt;=841,'(橫掃)RX Mapping'!AR11&lt;=960), (-1)*('(橫掃)RX Mapping'!AR11-960)+120,9999))))))))</f>
        <v>9999</v>
      </c>
      <c r="AS11">
        <f>IF(AND('(橫掃)RX Mapping'!AS11&gt;=1,'(橫掃)RX Mapping'!AS11&lt;=120), ('(橫掃)RX Mapping'!AS11-1),IF(AND('(橫掃)RX Mapping'!AS11&gt;=121,'(橫掃)RX Mapping'!AS11&lt;=240), (-1)*('(橫掃)RX Mapping'!AS11-240),IF(AND('(橫掃)RX Mapping'!AS11&gt;=241,'(橫掃)RX Mapping'!AS11&lt;=360), ('(橫掃)RX Mapping'!AS11-241),IF(AND('(橫掃)RX Mapping'!AS11&gt;=361,'(橫掃)RX Mapping'!AS11&lt;=480), (-1)*('(橫掃)RX Mapping'!AS11-480),IF(AND('(橫掃)RX Mapping'!AS11&gt;=481,'(橫掃)RX Mapping'!AS11&lt;=600), ('(橫掃)RX Mapping'!AS11-361),IF(AND('(橫掃)RX Mapping'!AS11&gt;=601,'(橫掃)RX Mapping'!AS11&lt;=720), (-1)*('(橫掃)RX Mapping'!AS11-720)+120,IF(AND('(橫掃)RX Mapping'!AS11&gt;=721,'(橫掃)RX Mapping'!AS11&lt;=840), ('(橫掃)RX Mapping'!AS11-601),IF(AND('(橫掃)RX Mapping'!AS11&gt;=841,'(橫掃)RX Mapping'!AS11&lt;=960), (-1)*('(橫掃)RX Mapping'!AS11-960)+120,9999))))))))</f>
        <v>9999</v>
      </c>
      <c r="AT11">
        <f>IF(AND('(橫掃)RX Mapping'!AT11&gt;=1,'(橫掃)RX Mapping'!AT11&lt;=120), ('(橫掃)RX Mapping'!AT11-1),IF(AND('(橫掃)RX Mapping'!AT11&gt;=121,'(橫掃)RX Mapping'!AT11&lt;=240), (-1)*('(橫掃)RX Mapping'!AT11-240),IF(AND('(橫掃)RX Mapping'!AT11&gt;=241,'(橫掃)RX Mapping'!AT11&lt;=360), ('(橫掃)RX Mapping'!AT11-241),IF(AND('(橫掃)RX Mapping'!AT11&gt;=361,'(橫掃)RX Mapping'!AT11&lt;=480), (-1)*('(橫掃)RX Mapping'!AT11-480),IF(AND('(橫掃)RX Mapping'!AT11&gt;=481,'(橫掃)RX Mapping'!AT11&lt;=600), ('(橫掃)RX Mapping'!AT11-361),IF(AND('(橫掃)RX Mapping'!AT11&gt;=601,'(橫掃)RX Mapping'!AT11&lt;=720), (-1)*('(橫掃)RX Mapping'!AT11-720)+120,IF(AND('(橫掃)RX Mapping'!AT11&gt;=721,'(橫掃)RX Mapping'!AT11&lt;=840), ('(橫掃)RX Mapping'!AT11-601),IF(AND('(橫掃)RX Mapping'!AT11&gt;=841,'(橫掃)RX Mapping'!AT11&lt;=960), (-1)*('(橫掃)RX Mapping'!AT11-960)+120,9999))))))))</f>
        <v>9999</v>
      </c>
      <c r="AU11">
        <f>IF(AND('(橫掃)RX Mapping'!AU11&gt;=1,'(橫掃)RX Mapping'!AU11&lt;=120), ('(橫掃)RX Mapping'!AU11-1),IF(AND('(橫掃)RX Mapping'!AU11&gt;=121,'(橫掃)RX Mapping'!AU11&lt;=240), (-1)*('(橫掃)RX Mapping'!AU11-240),IF(AND('(橫掃)RX Mapping'!AU11&gt;=241,'(橫掃)RX Mapping'!AU11&lt;=360), ('(橫掃)RX Mapping'!AU11-241),IF(AND('(橫掃)RX Mapping'!AU11&gt;=361,'(橫掃)RX Mapping'!AU11&lt;=480), (-1)*('(橫掃)RX Mapping'!AU11-480),IF(AND('(橫掃)RX Mapping'!AU11&gt;=481,'(橫掃)RX Mapping'!AU11&lt;=600), ('(橫掃)RX Mapping'!AU11-361),IF(AND('(橫掃)RX Mapping'!AU11&gt;=601,'(橫掃)RX Mapping'!AU11&lt;=720), (-1)*('(橫掃)RX Mapping'!AU11-720)+120,IF(AND('(橫掃)RX Mapping'!AU11&gt;=721,'(橫掃)RX Mapping'!AU11&lt;=840), ('(橫掃)RX Mapping'!AU11-601),IF(AND('(橫掃)RX Mapping'!AU11&gt;=841,'(橫掃)RX Mapping'!AU11&lt;=960), (-1)*('(橫掃)RX Mapping'!AU11-960)+120,9999))))))))</f>
        <v>9999</v>
      </c>
      <c r="AV11">
        <f>IF(AND('(橫掃)RX Mapping'!AV11&gt;=1,'(橫掃)RX Mapping'!AV11&lt;=120), ('(橫掃)RX Mapping'!AV11-1),IF(AND('(橫掃)RX Mapping'!AV11&gt;=121,'(橫掃)RX Mapping'!AV11&lt;=240), (-1)*('(橫掃)RX Mapping'!AV11-240),IF(AND('(橫掃)RX Mapping'!AV11&gt;=241,'(橫掃)RX Mapping'!AV11&lt;=360), ('(橫掃)RX Mapping'!AV11-241),IF(AND('(橫掃)RX Mapping'!AV11&gt;=361,'(橫掃)RX Mapping'!AV11&lt;=480), (-1)*('(橫掃)RX Mapping'!AV11-480),IF(AND('(橫掃)RX Mapping'!AV11&gt;=481,'(橫掃)RX Mapping'!AV11&lt;=600), ('(橫掃)RX Mapping'!AV11-361),IF(AND('(橫掃)RX Mapping'!AV11&gt;=601,'(橫掃)RX Mapping'!AV11&lt;=720), (-1)*('(橫掃)RX Mapping'!AV11-720)+120,IF(AND('(橫掃)RX Mapping'!AV11&gt;=721,'(橫掃)RX Mapping'!AV11&lt;=840), ('(橫掃)RX Mapping'!AV11-601),IF(AND('(橫掃)RX Mapping'!AV11&gt;=841,'(橫掃)RX Mapping'!AV11&lt;=960), (-1)*('(橫掃)RX Mapping'!AV11-960)+120,9999))))))))</f>
        <v>9999</v>
      </c>
      <c r="AW11">
        <f>IF(AND('(橫掃)RX Mapping'!AW11&gt;=1,'(橫掃)RX Mapping'!AW11&lt;=120), ('(橫掃)RX Mapping'!AW11-1),IF(AND('(橫掃)RX Mapping'!AW11&gt;=121,'(橫掃)RX Mapping'!AW11&lt;=240), (-1)*('(橫掃)RX Mapping'!AW11-240),IF(AND('(橫掃)RX Mapping'!AW11&gt;=241,'(橫掃)RX Mapping'!AW11&lt;=360), ('(橫掃)RX Mapping'!AW11-241),IF(AND('(橫掃)RX Mapping'!AW11&gt;=361,'(橫掃)RX Mapping'!AW11&lt;=480), (-1)*('(橫掃)RX Mapping'!AW11-480),IF(AND('(橫掃)RX Mapping'!AW11&gt;=481,'(橫掃)RX Mapping'!AW11&lt;=600), ('(橫掃)RX Mapping'!AW11-361),IF(AND('(橫掃)RX Mapping'!AW11&gt;=601,'(橫掃)RX Mapping'!AW11&lt;=720), (-1)*('(橫掃)RX Mapping'!AW11-720)+120,IF(AND('(橫掃)RX Mapping'!AW11&gt;=721,'(橫掃)RX Mapping'!AW11&lt;=840), ('(橫掃)RX Mapping'!AW11-601),IF(AND('(橫掃)RX Mapping'!AW11&gt;=841,'(橫掃)RX Mapping'!AW11&lt;=960), (-1)*('(橫掃)RX Mapping'!AW11-960)+120,9999))))))))</f>
        <v>9999</v>
      </c>
      <c r="AX11">
        <f>IF(AND('(橫掃)RX Mapping'!AX11&gt;=1,'(橫掃)RX Mapping'!AX11&lt;=120), ('(橫掃)RX Mapping'!AX11-1),IF(AND('(橫掃)RX Mapping'!AX11&gt;=121,'(橫掃)RX Mapping'!AX11&lt;=240), (-1)*('(橫掃)RX Mapping'!AX11-240),IF(AND('(橫掃)RX Mapping'!AX11&gt;=241,'(橫掃)RX Mapping'!AX11&lt;=360), ('(橫掃)RX Mapping'!AX11-241),IF(AND('(橫掃)RX Mapping'!AX11&gt;=361,'(橫掃)RX Mapping'!AX11&lt;=480), (-1)*('(橫掃)RX Mapping'!AX11-480),IF(AND('(橫掃)RX Mapping'!AX11&gt;=481,'(橫掃)RX Mapping'!AX11&lt;=600), ('(橫掃)RX Mapping'!AX11-361),IF(AND('(橫掃)RX Mapping'!AX11&gt;=601,'(橫掃)RX Mapping'!AX11&lt;=720), (-1)*('(橫掃)RX Mapping'!AX11-720)+120,IF(AND('(橫掃)RX Mapping'!AX11&gt;=721,'(橫掃)RX Mapping'!AX11&lt;=840), ('(橫掃)RX Mapping'!AX11-601),IF(AND('(橫掃)RX Mapping'!AX11&gt;=841,'(橫掃)RX Mapping'!AX11&lt;=960), (-1)*('(橫掃)RX Mapping'!AX11-960)+120,9999))))))))</f>
        <v>9999</v>
      </c>
      <c r="AY11">
        <f>IF(AND('(橫掃)RX Mapping'!AY11&gt;=1,'(橫掃)RX Mapping'!AY11&lt;=120), ('(橫掃)RX Mapping'!AY11-1),IF(AND('(橫掃)RX Mapping'!AY11&gt;=121,'(橫掃)RX Mapping'!AY11&lt;=240), (-1)*('(橫掃)RX Mapping'!AY11-240),IF(AND('(橫掃)RX Mapping'!AY11&gt;=241,'(橫掃)RX Mapping'!AY11&lt;=360), ('(橫掃)RX Mapping'!AY11-241),IF(AND('(橫掃)RX Mapping'!AY11&gt;=361,'(橫掃)RX Mapping'!AY11&lt;=480), (-1)*('(橫掃)RX Mapping'!AY11-480),IF(AND('(橫掃)RX Mapping'!AY11&gt;=481,'(橫掃)RX Mapping'!AY11&lt;=600), ('(橫掃)RX Mapping'!AY11-361),IF(AND('(橫掃)RX Mapping'!AY11&gt;=601,'(橫掃)RX Mapping'!AY11&lt;=720), (-1)*('(橫掃)RX Mapping'!AY11-720)+120,IF(AND('(橫掃)RX Mapping'!AY11&gt;=721,'(橫掃)RX Mapping'!AY11&lt;=840), ('(橫掃)RX Mapping'!AY11-601),IF(AND('(橫掃)RX Mapping'!AY11&gt;=841,'(橫掃)RX Mapping'!AY11&lt;=960), (-1)*('(橫掃)RX Mapping'!AY11-960)+120,9999))))))))</f>
        <v>9999</v>
      </c>
      <c r="AZ11">
        <f>IF(AND('(橫掃)RX Mapping'!AZ11&gt;=1,'(橫掃)RX Mapping'!AZ11&lt;=120), ('(橫掃)RX Mapping'!AZ11-1),IF(AND('(橫掃)RX Mapping'!AZ11&gt;=121,'(橫掃)RX Mapping'!AZ11&lt;=240), (-1)*('(橫掃)RX Mapping'!AZ11-240),IF(AND('(橫掃)RX Mapping'!AZ11&gt;=241,'(橫掃)RX Mapping'!AZ11&lt;=360), ('(橫掃)RX Mapping'!AZ11-241),IF(AND('(橫掃)RX Mapping'!AZ11&gt;=361,'(橫掃)RX Mapping'!AZ11&lt;=480), (-1)*('(橫掃)RX Mapping'!AZ11-480),IF(AND('(橫掃)RX Mapping'!AZ11&gt;=481,'(橫掃)RX Mapping'!AZ11&lt;=600), ('(橫掃)RX Mapping'!AZ11-361),IF(AND('(橫掃)RX Mapping'!AZ11&gt;=601,'(橫掃)RX Mapping'!AZ11&lt;=720), (-1)*('(橫掃)RX Mapping'!AZ11-720)+120,IF(AND('(橫掃)RX Mapping'!AZ11&gt;=721,'(橫掃)RX Mapping'!AZ11&lt;=840), ('(橫掃)RX Mapping'!AZ11-601),IF(AND('(橫掃)RX Mapping'!AZ11&gt;=841,'(橫掃)RX Mapping'!AZ11&lt;=960), (-1)*('(橫掃)RX Mapping'!AZ11-960)+120,9999))))))))</f>
        <v>9999</v>
      </c>
      <c r="BA11">
        <f>IF(AND('(橫掃)RX Mapping'!BA11&gt;=1,'(橫掃)RX Mapping'!BA11&lt;=120), ('(橫掃)RX Mapping'!BA11-1),IF(AND('(橫掃)RX Mapping'!BA11&gt;=121,'(橫掃)RX Mapping'!BA11&lt;=240), (-1)*('(橫掃)RX Mapping'!BA11-240),IF(AND('(橫掃)RX Mapping'!BA11&gt;=241,'(橫掃)RX Mapping'!BA11&lt;=360), ('(橫掃)RX Mapping'!BA11-241),IF(AND('(橫掃)RX Mapping'!BA11&gt;=361,'(橫掃)RX Mapping'!BA11&lt;=480), (-1)*('(橫掃)RX Mapping'!BA11-480),IF(AND('(橫掃)RX Mapping'!BA11&gt;=481,'(橫掃)RX Mapping'!BA11&lt;=600), ('(橫掃)RX Mapping'!BA11-361),IF(AND('(橫掃)RX Mapping'!BA11&gt;=601,'(橫掃)RX Mapping'!BA11&lt;=720), (-1)*('(橫掃)RX Mapping'!BA11-720)+120,IF(AND('(橫掃)RX Mapping'!BA11&gt;=721,'(橫掃)RX Mapping'!BA11&lt;=840), ('(橫掃)RX Mapping'!BA11-601),IF(AND('(橫掃)RX Mapping'!BA11&gt;=841,'(橫掃)RX Mapping'!BA11&lt;=960), (-1)*('(橫掃)RX Mapping'!BA11-960)+120,9999))))))))</f>
        <v>9999</v>
      </c>
      <c r="BB11">
        <f>IF(AND('(橫掃)RX Mapping'!BB11&gt;=1,'(橫掃)RX Mapping'!BB11&lt;=120), ('(橫掃)RX Mapping'!BB11-1),IF(AND('(橫掃)RX Mapping'!BB11&gt;=121,'(橫掃)RX Mapping'!BB11&lt;=240), (-1)*('(橫掃)RX Mapping'!BB11-240),IF(AND('(橫掃)RX Mapping'!BB11&gt;=241,'(橫掃)RX Mapping'!BB11&lt;=360), ('(橫掃)RX Mapping'!BB11-241),IF(AND('(橫掃)RX Mapping'!BB11&gt;=361,'(橫掃)RX Mapping'!BB11&lt;=480), (-1)*('(橫掃)RX Mapping'!BB11-480),IF(AND('(橫掃)RX Mapping'!BB11&gt;=481,'(橫掃)RX Mapping'!BB11&lt;=600), ('(橫掃)RX Mapping'!BB11-361),IF(AND('(橫掃)RX Mapping'!BB11&gt;=601,'(橫掃)RX Mapping'!BB11&lt;=720), (-1)*('(橫掃)RX Mapping'!BB11-720)+120,IF(AND('(橫掃)RX Mapping'!BB11&gt;=721,'(橫掃)RX Mapping'!BB11&lt;=840), ('(橫掃)RX Mapping'!BB11-601),IF(AND('(橫掃)RX Mapping'!BB11&gt;=841,'(橫掃)RX Mapping'!BB11&lt;=960), (-1)*('(橫掃)RX Mapping'!BB11-960)+120,9999))))))))</f>
        <v>9999</v>
      </c>
      <c r="BC11">
        <f>IF(AND('(橫掃)RX Mapping'!BC11&gt;=1,'(橫掃)RX Mapping'!BC11&lt;=120), ('(橫掃)RX Mapping'!BC11-1),IF(AND('(橫掃)RX Mapping'!BC11&gt;=121,'(橫掃)RX Mapping'!BC11&lt;=240), (-1)*('(橫掃)RX Mapping'!BC11-240),IF(AND('(橫掃)RX Mapping'!BC11&gt;=241,'(橫掃)RX Mapping'!BC11&lt;=360), ('(橫掃)RX Mapping'!BC11-241),IF(AND('(橫掃)RX Mapping'!BC11&gt;=361,'(橫掃)RX Mapping'!BC11&lt;=480), (-1)*('(橫掃)RX Mapping'!BC11-480),IF(AND('(橫掃)RX Mapping'!BC11&gt;=481,'(橫掃)RX Mapping'!BC11&lt;=600), ('(橫掃)RX Mapping'!BC11-361),IF(AND('(橫掃)RX Mapping'!BC11&gt;=601,'(橫掃)RX Mapping'!BC11&lt;=720), (-1)*('(橫掃)RX Mapping'!BC11-720)+120,IF(AND('(橫掃)RX Mapping'!BC11&gt;=721,'(橫掃)RX Mapping'!BC11&lt;=840), ('(橫掃)RX Mapping'!BC11-601),IF(AND('(橫掃)RX Mapping'!BC11&gt;=841,'(橫掃)RX Mapping'!BC11&lt;=960), (-1)*('(橫掃)RX Mapping'!BC11-960)+120,9999))))))))</f>
        <v>9999</v>
      </c>
      <c r="BD11">
        <f>IF(AND('(橫掃)RX Mapping'!BD11&gt;=1,'(橫掃)RX Mapping'!BD11&lt;=120), ('(橫掃)RX Mapping'!BD11-1),IF(AND('(橫掃)RX Mapping'!BD11&gt;=121,'(橫掃)RX Mapping'!BD11&lt;=240), (-1)*('(橫掃)RX Mapping'!BD11-240),IF(AND('(橫掃)RX Mapping'!BD11&gt;=241,'(橫掃)RX Mapping'!BD11&lt;=360), ('(橫掃)RX Mapping'!BD11-241),IF(AND('(橫掃)RX Mapping'!BD11&gt;=361,'(橫掃)RX Mapping'!BD11&lt;=480), (-1)*('(橫掃)RX Mapping'!BD11-480),IF(AND('(橫掃)RX Mapping'!BD11&gt;=481,'(橫掃)RX Mapping'!BD11&lt;=600), ('(橫掃)RX Mapping'!BD11-361),IF(AND('(橫掃)RX Mapping'!BD11&gt;=601,'(橫掃)RX Mapping'!BD11&lt;=720), (-1)*('(橫掃)RX Mapping'!BD11-720)+120,IF(AND('(橫掃)RX Mapping'!BD11&gt;=721,'(橫掃)RX Mapping'!BD11&lt;=840), ('(橫掃)RX Mapping'!BD11-601),IF(AND('(橫掃)RX Mapping'!BD11&gt;=841,'(橫掃)RX Mapping'!BD11&lt;=960), (-1)*('(橫掃)RX Mapping'!BD11-960)+120,9999))))))))</f>
        <v>9999</v>
      </c>
      <c r="BE11">
        <f>IF(AND('(橫掃)RX Mapping'!BE11&gt;=1,'(橫掃)RX Mapping'!BE11&lt;=120), ('(橫掃)RX Mapping'!BE11-1),IF(AND('(橫掃)RX Mapping'!BE11&gt;=121,'(橫掃)RX Mapping'!BE11&lt;=240), (-1)*('(橫掃)RX Mapping'!BE11-240),IF(AND('(橫掃)RX Mapping'!BE11&gt;=241,'(橫掃)RX Mapping'!BE11&lt;=360), ('(橫掃)RX Mapping'!BE11-241),IF(AND('(橫掃)RX Mapping'!BE11&gt;=361,'(橫掃)RX Mapping'!BE11&lt;=480), (-1)*('(橫掃)RX Mapping'!BE11-480),IF(AND('(橫掃)RX Mapping'!BE11&gt;=481,'(橫掃)RX Mapping'!BE11&lt;=600), ('(橫掃)RX Mapping'!BE11-361),IF(AND('(橫掃)RX Mapping'!BE11&gt;=601,'(橫掃)RX Mapping'!BE11&lt;=720), (-1)*('(橫掃)RX Mapping'!BE11-720)+120,IF(AND('(橫掃)RX Mapping'!BE11&gt;=721,'(橫掃)RX Mapping'!BE11&lt;=840), ('(橫掃)RX Mapping'!BE11-601),IF(AND('(橫掃)RX Mapping'!BE11&gt;=841,'(橫掃)RX Mapping'!BE11&lt;=960), (-1)*('(橫掃)RX Mapping'!BE11-960)+120,9999))))))))</f>
        <v>9999</v>
      </c>
      <c r="BF11">
        <f>IF(AND('(橫掃)RX Mapping'!BF11&gt;=1,'(橫掃)RX Mapping'!BF11&lt;=120), ('(橫掃)RX Mapping'!BF11-1),IF(AND('(橫掃)RX Mapping'!BF11&gt;=121,'(橫掃)RX Mapping'!BF11&lt;=240), (-1)*('(橫掃)RX Mapping'!BF11-240),IF(AND('(橫掃)RX Mapping'!BF11&gt;=241,'(橫掃)RX Mapping'!BF11&lt;=360), ('(橫掃)RX Mapping'!BF11-241),IF(AND('(橫掃)RX Mapping'!BF11&gt;=361,'(橫掃)RX Mapping'!BF11&lt;=480), (-1)*('(橫掃)RX Mapping'!BF11-480),IF(AND('(橫掃)RX Mapping'!BF11&gt;=481,'(橫掃)RX Mapping'!BF11&lt;=600), ('(橫掃)RX Mapping'!BF11-361),IF(AND('(橫掃)RX Mapping'!BF11&gt;=601,'(橫掃)RX Mapping'!BF11&lt;=720), (-1)*('(橫掃)RX Mapping'!BF11-720)+120,IF(AND('(橫掃)RX Mapping'!BF11&gt;=721,'(橫掃)RX Mapping'!BF11&lt;=840), ('(橫掃)RX Mapping'!BF11-601),IF(AND('(橫掃)RX Mapping'!BF11&gt;=841,'(橫掃)RX Mapping'!BF11&lt;=960), (-1)*('(橫掃)RX Mapping'!BF11-960)+120,9999))))))))</f>
        <v>9999</v>
      </c>
      <c r="BG11">
        <f>IF(AND('(橫掃)RX Mapping'!BG11&gt;=1,'(橫掃)RX Mapping'!BG11&lt;=120), ('(橫掃)RX Mapping'!BG11-1),IF(AND('(橫掃)RX Mapping'!BG11&gt;=121,'(橫掃)RX Mapping'!BG11&lt;=240), (-1)*('(橫掃)RX Mapping'!BG11-240),IF(AND('(橫掃)RX Mapping'!BG11&gt;=241,'(橫掃)RX Mapping'!BG11&lt;=360), ('(橫掃)RX Mapping'!BG11-241),IF(AND('(橫掃)RX Mapping'!BG11&gt;=361,'(橫掃)RX Mapping'!BG11&lt;=480), (-1)*('(橫掃)RX Mapping'!BG11-480),IF(AND('(橫掃)RX Mapping'!BG11&gt;=481,'(橫掃)RX Mapping'!BG11&lt;=600), ('(橫掃)RX Mapping'!BG11-361),IF(AND('(橫掃)RX Mapping'!BG11&gt;=601,'(橫掃)RX Mapping'!BG11&lt;=720), (-1)*('(橫掃)RX Mapping'!BG11-720)+120,IF(AND('(橫掃)RX Mapping'!BG11&gt;=721,'(橫掃)RX Mapping'!BG11&lt;=840), ('(橫掃)RX Mapping'!BG11-601),IF(AND('(橫掃)RX Mapping'!BG11&gt;=841,'(橫掃)RX Mapping'!BG11&lt;=960), (-1)*('(橫掃)RX Mapping'!BG11-960)+120,9999))))))))</f>
        <v>9999</v>
      </c>
      <c r="BH11">
        <f>IF(AND('(橫掃)RX Mapping'!BH11&gt;=1,'(橫掃)RX Mapping'!BH11&lt;=120), ('(橫掃)RX Mapping'!BH11-1),IF(AND('(橫掃)RX Mapping'!BH11&gt;=121,'(橫掃)RX Mapping'!BH11&lt;=240), (-1)*('(橫掃)RX Mapping'!BH11-240),IF(AND('(橫掃)RX Mapping'!BH11&gt;=241,'(橫掃)RX Mapping'!BH11&lt;=360), ('(橫掃)RX Mapping'!BH11-241),IF(AND('(橫掃)RX Mapping'!BH11&gt;=361,'(橫掃)RX Mapping'!BH11&lt;=480), (-1)*('(橫掃)RX Mapping'!BH11-480),IF(AND('(橫掃)RX Mapping'!BH11&gt;=481,'(橫掃)RX Mapping'!BH11&lt;=600), ('(橫掃)RX Mapping'!BH11-361),IF(AND('(橫掃)RX Mapping'!BH11&gt;=601,'(橫掃)RX Mapping'!BH11&lt;=720), (-1)*('(橫掃)RX Mapping'!BH11-720)+120,IF(AND('(橫掃)RX Mapping'!BH11&gt;=721,'(橫掃)RX Mapping'!BH11&lt;=840), ('(橫掃)RX Mapping'!BH11-601),IF(AND('(橫掃)RX Mapping'!BH11&gt;=841,'(橫掃)RX Mapping'!BH11&lt;=960), (-1)*('(橫掃)RX Mapping'!BH11-960)+120,9999))))))))</f>
        <v>9999</v>
      </c>
      <c r="BI11">
        <f>IF(AND('(橫掃)RX Mapping'!BI11&gt;=1,'(橫掃)RX Mapping'!BI11&lt;=120), ('(橫掃)RX Mapping'!BI11-1),IF(AND('(橫掃)RX Mapping'!BI11&gt;=121,'(橫掃)RX Mapping'!BI11&lt;=240), (-1)*('(橫掃)RX Mapping'!BI11-240),IF(AND('(橫掃)RX Mapping'!BI11&gt;=241,'(橫掃)RX Mapping'!BI11&lt;=360), ('(橫掃)RX Mapping'!BI11-241),IF(AND('(橫掃)RX Mapping'!BI11&gt;=361,'(橫掃)RX Mapping'!BI11&lt;=480), (-1)*('(橫掃)RX Mapping'!BI11-480),IF(AND('(橫掃)RX Mapping'!BI11&gt;=481,'(橫掃)RX Mapping'!BI11&lt;=600), ('(橫掃)RX Mapping'!BI11-361),IF(AND('(橫掃)RX Mapping'!BI11&gt;=601,'(橫掃)RX Mapping'!BI11&lt;=720), (-1)*('(橫掃)RX Mapping'!BI11-720)+120,IF(AND('(橫掃)RX Mapping'!BI11&gt;=721,'(橫掃)RX Mapping'!BI11&lt;=840), ('(橫掃)RX Mapping'!BI11-601),IF(AND('(橫掃)RX Mapping'!BI11&gt;=841,'(橫掃)RX Mapping'!BI11&lt;=960), (-1)*('(橫掃)RX Mapping'!BI11-960)+120,9999))))))))</f>
        <v>9999</v>
      </c>
    </row>
    <row r="12" spans="1:61" x14ac:dyDescent="0.25">
      <c r="A12" s="20">
        <v>11</v>
      </c>
      <c r="B12">
        <f>IF(AND('(橫掃)RX Mapping'!B12&gt;=1,'(橫掃)RX Mapping'!B12&lt;=120), ('(橫掃)RX Mapping'!B12-1),IF(AND('(橫掃)RX Mapping'!B12&gt;=121,'(橫掃)RX Mapping'!B12&lt;=240), (-1)*('(橫掃)RX Mapping'!B12-240),IF(AND('(橫掃)RX Mapping'!B12&gt;=241,'(橫掃)RX Mapping'!B12&lt;=360), ('(橫掃)RX Mapping'!B12-241),IF(AND('(橫掃)RX Mapping'!B12&gt;=361,'(橫掃)RX Mapping'!B12&lt;=480), (-1)*('(橫掃)RX Mapping'!B12-480),IF(AND('(橫掃)RX Mapping'!B12&gt;=481,'(橫掃)RX Mapping'!B12&lt;=600), ('(橫掃)RX Mapping'!B12-361),IF(AND('(橫掃)RX Mapping'!B12&gt;=601,'(橫掃)RX Mapping'!B12&lt;=720), (-1)*('(橫掃)RX Mapping'!B12-720)+120,IF(AND('(橫掃)RX Mapping'!B12&gt;=721,'(橫掃)RX Mapping'!B12&lt;=840), ('(橫掃)RX Mapping'!B12-601),IF(AND('(橫掃)RX Mapping'!B12&gt;=841,'(橫掃)RX Mapping'!B12&lt;=960), (-1)*('(橫掃)RX Mapping'!B12-960)+120,9999))))))))</f>
        <v>10</v>
      </c>
      <c r="C12">
        <f>IF(AND('(橫掃)RX Mapping'!C12&gt;=1,'(橫掃)RX Mapping'!C12&lt;=120), ('(橫掃)RX Mapping'!C12-1),IF(AND('(橫掃)RX Mapping'!C12&gt;=121,'(橫掃)RX Mapping'!C12&lt;=240), (-1)*('(橫掃)RX Mapping'!C12-240),IF(AND('(橫掃)RX Mapping'!C12&gt;=241,'(橫掃)RX Mapping'!C12&lt;=360), ('(橫掃)RX Mapping'!C12-241),IF(AND('(橫掃)RX Mapping'!C12&gt;=361,'(橫掃)RX Mapping'!C12&lt;=480), (-1)*('(橫掃)RX Mapping'!C12-480),IF(AND('(橫掃)RX Mapping'!C12&gt;=481,'(橫掃)RX Mapping'!C12&lt;=600), ('(橫掃)RX Mapping'!C12-361),IF(AND('(橫掃)RX Mapping'!C12&gt;=601,'(橫掃)RX Mapping'!C12&lt;=720), (-1)*('(橫掃)RX Mapping'!C12-720)+120,IF(AND('(橫掃)RX Mapping'!C12&gt;=721,'(橫掃)RX Mapping'!C12&lt;=840), ('(橫掃)RX Mapping'!C12-601),IF(AND('(橫掃)RX Mapping'!C12&gt;=841,'(橫掃)RX Mapping'!C12&lt;=960), (-1)*('(橫掃)RX Mapping'!C12-960)+120,9999))))))))</f>
        <v>42</v>
      </c>
      <c r="D12">
        <f>IF(AND('(橫掃)RX Mapping'!D12&gt;=1,'(橫掃)RX Mapping'!D12&lt;=120), ('(橫掃)RX Mapping'!D12-1),IF(AND('(橫掃)RX Mapping'!D12&gt;=121,'(橫掃)RX Mapping'!D12&lt;=240), (-1)*('(橫掃)RX Mapping'!D12-240),IF(AND('(橫掃)RX Mapping'!D12&gt;=241,'(橫掃)RX Mapping'!D12&lt;=360), ('(橫掃)RX Mapping'!D12-241),IF(AND('(橫掃)RX Mapping'!D12&gt;=361,'(橫掃)RX Mapping'!D12&lt;=480), (-1)*('(橫掃)RX Mapping'!D12-480),IF(AND('(橫掃)RX Mapping'!D12&gt;=481,'(橫掃)RX Mapping'!D12&lt;=600), ('(橫掃)RX Mapping'!D12-361),IF(AND('(橫掃)RX Mapping'!D12&gt;=601,'(橫掃)RX Mapping'!D12&lt;=720), (-1)*('(橫掃)RX Mapping'!D12-720)+120,IF(AND('(橫掃)RX Mapping'!D12&gt;=721,'(橫掃)RX Mapping'!D12&lt;=840), ('(橫掃)RX Mapping'!D12-601),IF(AND('(橫掃)RX Mapping'!D12&gt;=841,'(橫掃)RX Mapping'!D12&lt;=960), (-1)*('(橫掃)RX Mapping'!D12-960)+120,9999))))))))</f>
        <v>74</v>
      </c>
      <c r="E12">
        <f>IF(AND('(橫掃)RX Mapping'!E12&gt;=1,'(橫掃)RX Mapping'!E12&lt;=120), ('(橫掃)RX Mapping'!E12-1),IF(AND('(橫掃)RX Mapping'!E12&gt;=121,'(橫掃)RX Mapping'!E12&lt;=240), (-1)*('(橫掃)RX Mapping'!E12-240),IF(AND('(橫掃)RX Mapping'!E12&gt;=241,'(橫掃)RX Mapping'!E12&lt;=360), ('(橫掃)RX Mapping'!E12-241),IF(AND('(橫掃)RX Mapping'!E12&gt;=361,'(橫掃)RX Mapping'!E12&lt;=480), (-1)*('(橫掃)RX Mapping'!E12-480),IF(AND('(橫掃)RX Mapping'!E12&gt;=481,'(橫掃)RX Mapping'!E12&lt;=600), ('(橫掃)RX Mapping'!E12-361),IF(AND('(橫掃)RX Mapping'!E12&gt;=601,'(橫掃)RX Mapping'!E12&lt;=720), (-1)*('(橫掃)RX Mapping'!E12-720)+120,IF(AND('(橫掃)RX Mapping'!E12&gt;=721,'(橫掃)RX Mapping'!E12&lt;=840), ('(橫掃)RX Mapping'!E12-601),IF(AND('(橫掃)RX Mapping'!E12&gt;=841,'(橫掃)RX Mapping'!E12&lt;=960), (-1)*('(橫掃)RX Mapping'!E12-960)+120,9999))))))))</f>
        <v>106</v>
      </c>
      <c r="F12">
        <f>IF(AND('(橫掃)RX Mapping'!F12&gt;=1,'(橫掃)RX Mapping'!F12&lt;=120), ('(橫掃)RX Mapping'!F12-1),IF(AND('(橫掃)RX Mapping'!F12&gt;=121,'(橫掃)RX Mapping'!F12&lt;=240), (-1)*('(橫掃)RX Mapping'!F12-240),IF(AND('(橫掃)RX Mapping'!F12&gt;=241,'(橫掃)RX Mapping'!F12&lt;=360), ('(橫掃)RX Mapping'!F12-241),IF(AND('(橫掃)RX Mapping'!F12&gt;=361,'(橫掃)RX Mapping'!F12&lt;=480), (-1)*('(橫掃)RX Mapping'!F12-480),IF(AND('(橫掃)RX Mapping'!F12&gt;=481,'(橫掃)RX Mapping'!F12&lt;=600), ('(橫掃)RX Mapping'!F12-361),IF(AND('(橫掃)RX Mapping'!F12&gt;=601,'(橫掃)RX Mapping'!F12&lt;=720), (-1)*('(橫掃)RX Mapping'!F12-720)+120,IF(AND('(橫掃)RX Mapping'!F12&gt;=721,'(橫掃)RX Mapping'!F12&lt;=840), ('(橫掃)RX Mapping'!F12-601),IF(AND('(橫掃)RX Mapping'!F12&gt;=841,'(橫掃)RX Mapping'!F12&lt;=960), (-1)*('(橫掃)RX Mapping'!F12-960)+120,9999))))))))</f>
        <v>101</v>
      </c>
      <c r="G12">
        <f>IF(AND('(橫掃)RX Mapping'!G12&gt;=1,'(橫掃)RX Mapping'!G12&lt;=120), ('(橫掃)RX Mapping'!G12-1),IF(AND('(橫掃)RX Mapping'!G12&gt;=121,'(橫掃)RX Mapping'!G12&lt;=240), (-1)*('(橫掃)RX Mapping'!G12-240),IF(AND('(橫掃)RX Mapping'!G12&gt;=241,'(橫掃)RX Mapping'!G12&lt;=360), ('(橫掃)RX Mapping'!G12-241),IF(AND('(橫掃)RX Mapping'!G12&gt;=361,'(橫掃)RX Mapping'!G12&lt;=480), (-1)*('(橫掃)RX Mapping'!G12-480),IF(AND('(橫掃)RX Mapping'!G12&gt;=481,'(橫掃)RX Mapping'!G12&lt;=600), ('(橫掃)RX Mapping'!G12-361),IF(AND('(橫掃)RX Mapping'!G12&gt;=601,'(橫掃)RX Mapping'!G12&lt;=720), (-1)*('(橫掃)RX Mapping'!G12-720)+120,IF(AND('(橫掃)RX Mapping'!G12&gt;=721,'(橫掃)RX Mapping'!G12&lt;=840), ('(橫掃)RX Mapping'!G12-601),IF(AND('(橫掃)RX Mapping'!G12&gt;=841,'(橫掃)RX Mapping'!G12&lt;=960), (-1)*('(橫掃)RX Mapping'!G12-960)+120,9999))))))))</f>
        <v>69</v>
      </c>
      <c r="H12">
        <f>IF(AND('(橫掃)RX Mapping'!H12&gt;=1,'(橫掃)RX Mapping'!H12&lt;=120), ('(橫掃)RX Mapping'!H12-1),IF(AND('(橫掃)RX Mapping'!H12&gt;=121,'(橫掃)RX Mapping'!H12&lt;=240), (-1)*('(橫掃)RX Mapping'!H12-240),IF(AND('(橫掃)RX Mapping'!H12&gt;=241,'(橫掃)RX Mapping'!H12&lt;=360), ('(橫掃)RX Mapping'!H12-241),IF(AND('(橫掃)RX Mapping'!H12&gt;=361,'(橫掃)RX Mapping'!H12&lt;=480), (-1)*('(橫掃)RX Mapping'!H12-480),IF(AND('(橫掃)RX Mapping'!H12&gt;=481,'(橫掃)RX Mapping'!H12&lt;=600), ('(橫掃)RX Mapping'!H12-361),IF(AND('(橫掃)RX Mapping'!H12&gt;=601,'(橫掃)RX Mapping'!H12&lt;=720), (-1)*('(橫掃)RX Mapping'!H12-720)+120,IF(AND('(橫掃)RX Mapping'!H12&gt;=721,'(橫掃)RX Mapping'!H12&lt;=840), ('(橫掃)RX Mapping'!H12-601),IF(AND('(橫掃)RX Mapping'!H12&gt;=841,'(橫掃)RX Mapping'!H12&lt;=960), (-1)*('(橫掃)RX Mapping'!H12-960)+120,9999))))))))</f>
        <v>37</v>
      </c>
      <c r="I12">
        <f>IF(AND('(橫掃)RX Mapping'!I12&gt;=1,'(橫掃)RX Mapping'!I12&lt;=120), ('(橫掃)RX Mapping'!I12-1),IF(AND('(橫掃)RX Mapping'!I12&gt;=121,'(橫掃)RX Mapping'!I12&lt;=240), (-1)*('(橫掃)RX Mapping'!I12-240),IF(AND('(橫掃)RX Mapping'!I12&gt;=241,'(橫掃)RX Mapping'!I12&lt;=360), ('(橫掃)RX Mapping'!I12-241),IF(AND('(橫掃)RX Mapping'!I12&gt;=361,'(橫掃)RX Mapping'!I12&lt;=480), (-1)*('(橫掃)RX Mapping'!I12-480),IF(AND('(橫掃)RX Mapping'!I12&gt;=481,'(橫掃)RX Mapping'!I12&lt;=600), ('(橫掃)RX Mapping'!I12-361),IF(AND('(橫掃)RX Mapping'!I12&gt;=601,'(橫掃)RX Mapping'!I12&lt;=720), (-1)*('(橫掃)RX Mapping'!I12-720)+120,IF(AND('(橫掃)RX Mapping'!I12&gt;=721,'(橫掃)RX Mapping'!I12&lt;=840), ('(橫掃)RX Mapping'!I12-601),IF(AND('(橫掃)RX Mapping'!I12&gt;=841,'(橫掃)RX Mapping'!I12&lt;=960), (-1)*('(橫掃)RX Mapping'!I12-960)+120,9999))))))))</f>
        <v>10</v>
      </c>
      <c r="J12">
        <f>IF(AND('(橫掃)RX Mapping'!J12&gt;=1,'(橫掃)RX Mapping'!J12&lt;=120), ('(橫掃)RX Mapping'!J12-1),IF(AND('(橫掃)RX Mapping'!J12&gt;=121,'(橫掃)RX Mapping'!J12&lt;=240), (-1)*('(橫掃)RX Mapping'!J12-240),IF(AND('(橫掃)RX Mapping'!J12&gt;=241,'(橫掃)RX Mapping'!J12&lt;=360), ('(橫掃)RX Mapping'!J12-241),IF(AND('(橫掃)RX Mapping'!J12&gt;=361,'(橫掃)RX Mapping'!J12&lt;=480), (-1)*('(橫掃)RX Mapping'!J12-480),IF(AND('(橫掃)RX Mapping'!J12&gt;=481,'(橫掃)RX Mapping'!J12&lt;=600), ('(橫掃)RX Mapping'!J12-361),IF(AND('(橫掃)RX Mapping'!J12&gt;=601,'(橫掃)RX Mapping'!J12&lt;=720), (-1)*('(橫掃)RX Mapping'!J12-720)+120,IF(AND('(橫掃)RX Mapping'!J12&gt;=721,'(橫掃)RX Mapping'!J12&lt;=840), ('(橫掃)RX Mapping'!J12-601),IF(AND('(橫掃)RX Mapping'!J12&gt;=841,'(橫掃)RX Mapping'!J12&lt;=960), (-1)*('(橫掃)RX Mapping'!J12-960)+120,9999))))))))</f>
        <v>42</v>
      </c>
      <c r="K12">
        <f>IF(AND('(橫掃)RX Mapping'!K12&gt;=1,'(橫掃)RX Mapping'!K12&lt;=120), ('(橫掃)RX Mapping'!K12-1),IF(AND('(橫掃)RX Mapping'!K12&gt;=121,'(橫掃)RX Mapping'!K12&lt;=240), (-1)*('(橫掃)RX Mapping'!K12-240),IF(AND('(橫掃)RX Mapping'!K12&gt;=241,'(橫掃)RX Mapping'!K12&lt;=360), ('(橫掃)RX Mapping'!K12-241),IF(AND('(橫掃)RX Mapping'!K12&gt;=361,'(橫掃)RX Mapping'!K12&lt;=480), (-1)*('(橫掃)RX Mapping'!K12-480),IF(AND('(橫掃)RX Mapping'!K12&gt;=481,'(橫掃)RX Mapping'!K12&lt;=600), ('(橫掃)RX Mapping'!K12-361),IF(AND('(橫掃)RX Mapping'!K12&gt;=601,'(橫掃)RX Mapping'!K12&lt;=720), (-1)*('(橫掃)RX Mapping'!K12-720)+120,IF(AND('(橫掃)RX Mapping'!K12&gt;=721,'(橫掃)RX Mapping'!K12&lt;=840), ('(橫掃)RX Mapping'!K12-601),IF(AND('(橫掃)RX Mapping'!K12&gt;=841,'(橫掃)RX Mapping'!K12&lt;=960), (-1)*('(橫掃)RX Mapping'!K12-960)+120,9999))))))))</f>
        <v>74</v>
      </c>
      <c r="L12">
        <f>IF(AND('(橫掃)RX Mapping'!L12&gt;=1,'(橫掃)RX Mapping'!L12&lt;=120), ('(橫掃)RX Mapping'!L12-1),IF(AND('(橫掃)RX Mapping'!L12&gt;=121,'(橫掃)RX Mapping'!L12&lt;=240), (-1)*('(橫掃)RX Mapping'!L12-240),IF(AND('(橫掃)RX Mapping'!L12&gt;=241,'(橫掃)RX Mapping'!L12&lt;=360), ('(橫掃)RX Mapping'!L12-241),IF(AND('(橫掃)RX Mapping'!L12&gt;=361,'(橫掃)RX Mapping'!L12&lt;=480), (-1)*('(橫掃)RX Mapping'!L12-480),IF(AND('(橫掃)RX Mapping'!L12&gt;=481,'(橫掃)RX Mapping'!L12&lt;=600), ('(橫掃)RX Mapping'!L12-361),IF(AND('(橫掃)RX Mapping'!L12&gt;=601,'(橫掃)RX Mapping'!L12&lt;=720), (-1)*('(橫掃)RX Mapping'!L12-720)+120,IF(AND('(橫掃)RX Mapping'!L12&gt;=721,'(橫掃)RX Mapping'!L12&lt;=840), ('(橫掃)RX Mapping'!L12-601),IF(AND('(橫掃)RX Mapping'!L12&gt;=841,'(橫掃)RX Mapping'!L12&lt;=960), (-1)*('(橫掃)RX Mapping'!L12-960)+120,9999))))))))</f>
        <v>106</v>
      </c>
      <c r="M12">
        <f>IF(AND('(橫掃)RX Mapping'!M12&gt;=1,'(橫掃)RX Mapping'!M12&lt;=120), ('(橫掃)RX Mapping'!M12-1),IF(AND('(橫掃)RX Mapping'!M12&gt;=121,'(橫掃)RX Mapping'!M12&lt;=240), (-1)*('(橫掃)RX Mapping'!M12-240),IF(AND('(橫掃)RX Mapping'!M12&gt;=241,'(橫掃)RX Mapping'!M12&lt;=360), ('(橫掃)RX Mapping'!M12-241),IF(AND('(橫掃)RX Mapping'!M12&gt;=361,'(橫掃)RX Mapping'!M12&lt;=480), (-1)*('(橫掃)RX Mapping'!M12-480),IF(AND('(橫掃)RX Mapping'!M12&gt;=481,'(橫掃)RX Mapping'!M12&lt;=600), ('(橫掃)RX Mapping'!M12-361),IF(AND('(橫掃)RX Mapping'!M12&gt;=601,'(橫掃)RX Mapping'!M12&lt;=720), (-1)*('(橫掃)RX Mapping'!M12-720)+120,IF(AND('(橫掃)RX Mapping'!M12&gt;=721,'(橫掃)RX Mapping'!M12&lt;=840), ('(橫掃)RX Mapping'!M12-601),IF(AND('(橫掃)RX Mapping'!M12&gt;=841,'(橫掃)RX Mapping'!M12&lt;=960), (-1)*('(橫掃)RX Mapping'!M12-960)+120,9999))))))))</f>
        <v>101</v>
      </c>
      <c r="N12">
        <f>IF(AND('(橫掃)RX Mapping'!N12&gt;=1,'(橫掃)RX Mapping'!N12&lt;=120), ('(橫掃)RX Mapping'!N12-1),IF(AND('(橫掃)RX Mapping'!N12&gt;=121,'(橫掃)RX Mapping'!N12&lt;=240), (-1)*('(橫掃)RX Mapping'!N12-240),IF(AND('(橫掃)RX Mapping'!N12&gt;=241,'(橫掃)RX Mapping'!N12&lt;=360), ('(橫掃)RX Mapping'!N12-241),IF(AND('(橫掃)RX Mapping'!N12&gt;=361,'(橫掃)RX Mapping'!N12&lt;=480), (-1)*('(橫掃)RX Mapping'!N12-480),IF(AND('(橫掃)RX Mapping'!N12&gt;=481,'(橫掃)RX Mapping'!N12&lt;=600), ('(橫掃)RX Mapping'!N12-361),IF(AND('(橫掃)RX Mapping'!N12&gt;=601,'(橫掃)RX Mapping'!N12&lt;=720), (-1)*('(橫掃)RX Mapping'!N12-720)+120,IF(AND('(橫掃)RX Mapping'!N12&gt;=721,'(橫掃)RX Mapping'!N12&lt;=840), ('(橫掃)RX Mapping'!N12-601),IF(AND('(橫掃)RX Mapping'!N12&gt;=841,'(橫掃)RX Mapping'!N12&lt;=960), (-1)*('(橫掃)RX Mapping'!N12-960)+120,9999))))))))</f>
        <v>69</v>
      </c>
      <c r="O12">
        <f>IF(AND('(橫掃)RX Mapping'!O12&gt;=1,'(橫掃)RX Mapping'!O12&lt;=120), ('(橫掃)RX Mapping'!O12-1),IF(AND('(橫掃)RX Mapping'!O12&gt;=121,'(橫掃)RX Mapping'!O12&lt;=240), (-1)*('(橫掃)RX Mapping'!O12-240),IF(AND('(橫掃)RX Mapping'!O12&gt;=241,'(橫掃)RX Mapping'!O12&lt;=360), ('(橫掃)RX Mapping'!O12-241),IF(AND('(橫掃)RX Mapping'!O12&gt;=361,'(橫掃)RX Mapping'!O12&lt;=480), (-1)*('(橫掃)RX Mapping'!O12-480),IF(AND('(橫掃)RX Mapping'!O12&gt;=481,'(橫掃)RX Mapping'!O12&lt;=600), ('(橫掃)RX Mapping'!O12-361),IF(AND('(橫掃)RX Mapping'!O12&gt;=601,'(橫掃)RX Mapping'!O12&lt;=720), (-1)*('(橫掃)RX Mapping'!O12-720)+120,IF(AND('(橫掃)RX Mapping'!O12&gt;=721,'(橫掃)RX Mapping'!O12&lt;=840), ('(橫掃)RX Mapping'!O12-601),IF(AND('(橫掃)RX Mapping'!O12&gt;=841,'(橫掃)RX Mapping'!O12&lt;=960), (-1)*('(橫掃)RX Mapping'!O12-960)+120,9999))))))))</f>
        <v>37</v>
      </c>
      <c r="P12">
        <f>IF(AND('(橫掃)RX Mapping'!P12&gt;=1,'(橫掃)RX Mapping'!P12&lt;=120), ('(橫掃)RX Mapping'!P12-1),IF(AND('(橫掃)RX Mapping'!P12&gt;=121,'(橫掃)RX Mapping'!P12&lt;=240), (-1)*('(橫掃)RX Mapping'!P12-240),IF(AND('(橫掃)RX Mapping'!P12&gt;=241,'(橫掃)RX Mapping'!P12&lt;=360), ('(橫掃)RX Mapping'!P12-241),IF(AND('(橫掃)RX Mapping'!P12&gt;=361,'(橫掃)RX Mapping'!P12&lt;=480), (-1)*('(橫掃)RX Mapping'!P12-480),IF(AND('(橫掃)RX Mapping'!P12&gt;=481,'(橫掃)RX Mapping'!P12&lt;=600), ('(橫掃)RX Mapping'!P12-361),IF(AND('(橫掃)RX Mapping'!P12&gt;=601,'(橫掃)RX Mapping'!P12&lt;=720), (-1)*('(橫掃)RX Mapping'!P12-720)+120,IF(AND('(橫掃)RX Mapping'!P12&gt;=721,'(橫掃)RX Mapping'!P12&lt;=840), ('(橫掃)RX Mapping'!P12-601),IF(AND('(橫掃)RX Mapping'!P12&gt;=841,'(橫掃)RX Mapping'!P12&lt;=960), (-1)*('(橫掃)RX Mapping'!P12-960)+120,9999))))))))</f>
        <v>130</v>
      </c>
      <c r="Q12">
        <f>IF(AND('(橫掃)RX Mapping'!Q12&gt;=1,'(橫掃)RX Mapping'!Q12&lt;=120), ('(橫掃)RX Mapping'!Q12-1),IF(AND('(橫掃)RX Mapping'!Q12&gt;=121,'(橫掃)RX Mapping'!Q12&lt;=240), (-1)*('(橫掃)RX Mapping'!Q12-240),IF(AND('(橫掃)RX Mapping'!Q12&gt;=241,'(橫掃)RX Mapping'!Q12&lt;=360), ('(橫掃)RX Mapping'!Q12-241),IF(AND('(橫掃)RX Mapping'!Q12&gt;=361,'(橫掃)RX Mapping'!Q12&lt;=480), (-1)*('(橫掃)RX Mapping'!Q12-480),IF(AND('(橫掃)RX Mapping'!Q12&gt;=481,'(橫掃)RX Mapping'!Q12&lt;=600), ('(橫掃)RX Mapping'!Q12-361),IF(AND('(橫掃)RX Mapping'!Q12&gt;=601,'(橫掃)RX Mapping'!Q12&lt;=720), (-1)*('(橫掃)RX Mapping'!Q12-720)+120,IF(AND('(橫掃)RX Mapping'!Q12&gt;=721,'(橫掃)RX Mapping'!Q12&lt;=840), ('(橫掃)RX Mapping'!Q12-601),IF(AND('(橫掃)RX Mapping'!Q12&gt;=841,'(橫掃)RX Mapping'!Q12&lt;=960), (-1)*('(橫掃)RX Mapping'!Q12-960)+120,9999))))))))</f>
        <v>162</v>
      </c>
      <c r="R12">
        <f>IF(AND('(橫掃)RX Mapping'!R12&gt;=1,'(橫掃)RX Mapping'!R12&lt;=120), ('(橫掃)RX Mapping'!R12-1),IF(AND('(橫掃)RX Mapping'!R12&gt;=121,'(橫掃)RX Mapping'!R12&lt;=240), (-1)*('(橫掃)RX Mapping'!R12-240),IF(AND('(橫掃)RX Mapping'!R12&gt;=241,'(橫掃)RX Mapping'!R12&lt;=360), ('(橫掃)RX Mapping'!R12-241),IF(AND('(橫掃)RX Mapping'!R12&gt;=361,'(橫掃)RX Mapping'!R12&lt;=480), (-1)*('(橫掃)RX Mapping'!R12-480),IF(AND('(橫掃)RX Mapping'!R12&gt;=481,'(橫掃)RX Mapping'!R12&lt;=600), ('(橫掃)RX Mapping'!R12-361),IF(AND('(橫掃)RX Mapping'!R12&gt;=601,'(橫掃)RX Mapping'!R12&lt;=720), (-1)*('(橫掃)RX Mapping'!R12-720)+120,IF(AND('(橫掃)RX Mapping'!R12&gt;=721,'(橫掃)RX Mapping'!R12&lt;=840), ('(橫掃)RX Mapping'!R12-601),IF(AND('(橫掃)RX Mapping'!R12&gt;=841,'(橫掃)RX Mapping'!R12&lt;=960), (-1)*('(橫掃)RX Mapping'!R12-960)+120,9999))))))))</f>
        <v>194</v>
      </c>
      <c r="S12">
        <f>IF(AND('(橫掃)RX Mapping'!S12&gt;=1,'(橫掃)RX Mapping'!S12&lt;=120), ('(橫掃)RX Mapping'!S12-1),IF(AND('(橫掃)RX Mapping'!S12&gt;=121,'(橫掃)RX Mapping'!S12&lt;=240), (-1)*('(橫掃)RX Mapping'!S12-240),IF(AND('(橫掃)RX Mapping'!S12&gt;=241,'(橫掃)RX Mapping'!S12&lt;=360), ('(橫掃)RX Mapping'!S12-241),IF(AND('(橫掃)RX Mapping'!S12&gt;=361,'(橫掃)RX Mapping'!S12&lt;=480), (-1)*('(橫掃)RX Mapping'!S12-480),IF(AND('(橫掃)RX Mapping'!S12&gt;=481,'(橫掃)RX Mapping'!S12&lt;=600), ('(橫掃)RX Mapping'!S12-361),IF(AND('(橫掃)RX Mapping'!S12&gt;=601,'(橫掃)RX Mapping'!S12&lt;=720), (-1)*('(橫掃)RX Mapping'!S12-720)+120,IF(AND('(橫掃)RX Mapping'!S12&gt;=721,'(橫掃)RX Mapping'!S12&lt;=840), ('(橫掃)RX Mapping'!S12-601),IF(AND('(橫掃)RX Mapping'!S12&gt;=841,'(橫掃)RX Mapping'!S12&lt;=960), (-1)*('(橫掃)RX Mapping'!S12-960)+120,9999))))))))</f>
        <v>226</v>
      </c>
      <c r="T12">
        <f>IF(AND('(橫掃)RX Mapping'!T12&gt;=1,'(橫掃)RX Mapping'!T12&lt;=120), ('(橫掃)RX Mapping'!T12-1),IF(AND('(橫掃)RX Mapping'!T12&gt;=121,'(橫掃)RX Mapping'!T12&lt;=240), (-1)*('(橫掃)RX Mapping'!T12-240),IF(AND('(橫掃)RX Mapping'!T12&gt;=241,'(橫掃)RX Mapping'!T12&lt;=360), ('(橫掃)RX Mapping'!T12-241),IF(AND('(橫掃)RX Mapping'!T12&gt;=361,'(橫掃)RX Mapping'!T12&lt;=480), (-1)*('(橫掃)RX Mapping'!T12-480),IF(AND('(橫掃)RX Mapping'!T12&gt;=481,'(橫掃)RX Mapping'!T12&lt;=600), ('(橫掃)RX Mapping'!T12-361),IF(AND('(橫掃)RX Mapping'!T12&gt;=601,'(橫掃)RX Mapping'!T12&lt;=720), (-1)*('(橫掃)RX Mapping'!T12-720)+120,IF(AND('(橫掃)RX Mapping'!T12&gt;=721,'(橫掃)RX Mapping'!T12&lt;=840), ('(橫掃)RX Mapping'!T12-601),IF(AND('(橫掃)RX Mapping'!T12&gt;=841,'(橫掃)RX Mapping'!T12&lt;=960), (-1)*('(橫掃)RX Mapping'!T12-960)+120,9999))))))))</f>
        <v>221</v>
      </c>
      <c r="U12">
        <f>IF(AND('(橫掃)RX Mapping'!U12&gt;=1,'(橫掃)RX Mapping'!U12&lt;=120), ('(橫掃)RX Mapping'!U12-1),IF(AND('(橫掃)RX Mapping'!U12&gt;=121,'(橫掃)RX Mapping'!U12&lt;=240), (-1)*('(橫掃)RX Mapping'!U12-240),IF(AND('(橫掃)RX Mapping'!U12&gt;=241,'(橫掃)RX Mapping'!U12&lt;=360), ('(橫掃)RX Mapping'!U12-241),IF(AND('(橫掃)RX Mapping'!U12&gt;=361,'(橫掃)RX Mapping'!U12&lt;=480), (-1)*('(橫掃)RX Mapping'!U12-480),IF(AND('(橫掃)RX Mapping'!U12&gt;=481,'(橫掃)RX Mapping'!U12&lt;=600), ('(橫掃)RX Mapping'!U12-361),IF(AND('(橫掃)RX Mapping'!U12&gt;=601,'(橫掃)RX Mapping'!U12&lt;=720), (-1)*('(橫掃)RX Mapping'!U12-720)+120,IF(AND('(橫掃)RX Mapping'!U12&gt;=721,'(橫掃)RX Mapping'!U12&lt;=840), ('(橫掃)RX Mapping'!U12-601),IF(AND('(橫掃)RX Mapping'!U12&gt;=841,'(橫掃)RX Mapping'!U12&lt;=960), (-1)*('(橫掃)RX Mapping'!U12-960)+120,9999))))))))</f>
        <v>189</v>
      </c>
      <c r="V12">
        <f>IF(AND('(橫掃)RX Mapping'!V12&gt;=1,'(橫掃)RX Mapping'!V12&lt;=120), ('(橫掃)RX Mapping'!V12-1),IF(AND('(橫掃)RX Mapping'!V12&gt;=121,'(橫掃)RX Mapping'!V12&lt;=240), (-1)*('(橫掃)RX Mapping'!V12-240),IF(AND('(橫掃)RX Mapping'!V12&gt;=241,'(橫掃)RX Mapping'!V12&lt;=360), ('(橫掃)RX Mapping'!V12-241),IF(AND('(橫掃)RX Mapping'!V12&gt;=361,'(橫掃)RX Mapping'!V12&lt;=480), (-1)*('(橫掃)RX Mapping'!V12-480),IF(AND('(橫掃)RX Mapping'!V12&gt;=481,'(橫掃)RX Mapping'!V12&lt;=600), ('(橫掃)RX Mapping'!V12-361),IF(AND('(橫掃)RX Mapping'!V12&gt;=601,'(橫掃)RX Mapping'!V12&lt;=720), (-1)*('(橫掃)RX Mapping'!V12-720)+120,IF(AND('(橫掃)RX Mapping'!V12&gt;=721,'(橫掃)RX Mapping'!V12&lt;=840), ('(橫掃)RX Mapping'!V12-601),IF(AND('(橫掃)RX Mapping'!V12&gt;=841,'(橫掃)RX Mapping'!V12&lt;=960), (-1)*('(橫掃)RX Mapping'!V12-960)+120,9999))))))))</f>
        <v>157</v>
      </c>
      <c r="W12">
        <f>IF(AND('(橫掃)RX Mapping'!W12&gt;=1,'(橫掃)RX Mapping'!W12&lt;=120), ('(橫掃)RX Mapping'!W12-1),IF(AND('(橫掃)RX Mapping'!W12&gt;=121,'(橫掃)RX Mapping'!W12&lt;=240), (-1)*('(橫掃)RX Mapping'!W12-240),IF(AND('(橫掃)RX Mapping'!W12&gt;=241,'(橫掃)RX Mapping'!W12&lt;=360), ('(橫掃)RX Mapping'!W12-241),IF(AND('(橫掃)RX Mapping'!W12&gt;=361,'(橫掃)RX Mapping'!W12&lt;=480), (-1)*('(橫掃)RX Mapping'!W12-480),IF(AND('(橫掃)RX Mapping'!W12&gt;=481,'(橫掃)RX Mapping'!W12&lt;=600), ('(橫掃)RX Mapping'!W12-361),IF(AND('(橫掃)RX Mapping'!W12&gt;=601,'(橫掃)RX Mapping'!W12&lt;=720), (-1)*('(橫掃)RX Mapping'!W12-720)+120,IF(AND('(橫掃)RX Mapping'!W12&gt;=721,'(橫掃)RX Mapping'!W12&lt;=840), ('(橫掃)RX Mapping'!W12-601),IF(AND('(橫掃)RX Mapping'!W12&gt;=841,'(橫掃)RX Mapping'!W12&lt;=960), (-1)*('(橫掃)RX Mapping'!W12-960)+120,9999))))))))</f>
        <v>130</v>
      </c>
      <c r="X12">
        <f>IF(AND('(橫掃)RX Mapping'!X12&gt;=1,'(橫掃)RX Mapping'!X12&lt;=120), ('(橫掃)RX Mapping'!X12-1),IF(AND('(橫掃)RX Mapping'!X12&gt;=121,'(橫掃)RX Mapping'!X12&lt;=240), (-1)*('(橫掃)RX Mapping'!X12-240),IF(AND('(橫掃)RX Mapping'!X12&gt;=241,'(橫掃)RX Mapping'!X12&lt;=360), ('(橫掃)RX Mapping'!X12-241),IF(AND('(橫掃)RX Mapping'!X12&gt;=361,'(橫掃)RX Mapping'!X12&lt;=480), (-1)*('(橫掃)RX Mapping'!X12-480),IF(AND('(橫掃)RX Mapping'!X12&gt;=481,'(橫掃)RX Mapping'!X12&lt;=600), ('(橫掃)RX Mapping'!X12-361),IF(AND('(橫掃)RX Mapping'!X12&gt;=601,'(橫掃)RX Mapping'!X12&lt;=720), (-1)*('(橫掃)RX Mapping'!X12-720)+120,IF(AND('(橫掃)RX Mapping'!X12&gt;=721,'(橫掃)RX Mapping'!X12&lt;=840), ('(橫掃)RX Mapping'!X12-601),IF(AND('(橫掃)RX Mapping'!X12&gt;=841,'(橫掃)RX Mapping'!X12&lt;=960), (-1)*('(橫掃)RX Mapping'!X12-960)+120,9999))))))))</f>
        <v>162</v>
      </c>
      <c r="Y12">
        <f>IF(AND('(橫掃)RX Mapping'!Y12&gt;=1,'(橫掃)RX Mapping'!Y12&lt;=120), ('(橫掃)RX Mapping'!Y12-1),IF(AND('(橫掃)RX Mapping'!Y12&gt;=121,'(橫掃)RX Mapping'!Y12&lt;=240), (-1)*('(橫掃)RX Mapping'!Y12-240),IF(AND('(橫掃)RX Mapping'!Y12&gt;=241,'(橫掃)RX Mapping'!Y12&lt;=360), ('(橫掃)RX Mapping'!Y12-241),IF(AND('(橫掃)RX Mapping'!Y12&gt;=361,'(橫掃)RX Mapping'!Y12&lt;=480), (-1)*('(橫掃)RX Mapping'!Y12-480),IF(AND('(橫掃)RX Mapping'!Y12&gt;=481,'(橫掃)RX Mapping'!Y12&lt;=600), ('(橫掃)RX Mapping'!Y12-361),IF(AND('(橫掃)RX Mapping'!Y12&gt;=601,'(橫掃)RX Mapping'!Y12&lt;=720), (-1)*('(橫掃)RX Mapping'!Y12-720)+120,IF(AND('(橫掃)RX Mapping'!Y12&gt;=721,'(橫掃)RX Mapping'!Y12&lt;=840), ('(橫掃)RX Mapping'!Y12-601),IF(AND('(橫掃)RX Mapping'!Y12&gt;=841,'(橫掃)RX Mapping'!Y12&lt;=960), (-1)*('(橫掃)RX Mapping'!Y12-960)+120,9999))))))))</f>
        <v>194</v>
      </c>
      <c r="Z12">
        <f>IF(AND('(橫掃)RX Mapping'!Z12&gt;=1,'(橫掃)RX Mapping'!Z12&lt;=120), ('(橫掃)RX Mapping'!Z12-1),IF(AND('(橫掃)RX Mapping'!Z12&gt;=121,'(橫掃)RX Mapping'!Z12&lt;=240), (-1)*('(橫掃)RX Mapping'!Z12-240),IF(AND('(橫掃)RX Mapping'!Z12&gt;=241,'(橫掃)RX Mapping'!Z12&lt;=360), ('(橫掃)RX Mapping'!Z12-241),IF(AND('(橫掃)RX Mapping'!Z12&gt;=361,'(橫掃)RX Mapping'!Z12&lt;=480), (-1)*('(橫掃)RX Mapping'!Z12-480),IF(AND('(橫掃)RX Mapping'!Z12&gt;=481,'(橫掃)RX Mapping'!Z12&lt;=600), ('(橫掃)RX Mapping'!Z12-361),IF(AND('(橫掃)RX Mapping'!Z12&gt;=601,'(橫掃)RX Mapping'!Z12&lt;=720), (-1)*('(橫掃)RX Mapping'!Z12-720)+120,IF(AND('(橫掃)RX Mapping'!Z12&gt;=721,'(橫掃)RX Mapping'!Z12&lt;=840), ('(橫掃)RX Mapping'!Z12-601),IF(AND('(橫掃)RX Mapping'!Z12&gt;=841,'(橫掃)RX Mapping'!Z12&lt;=960), (-1)*('(橫掃)RX Mapping'!Z12-960)+120,9999))))))))</f>
        <v>226</v>
      </c>
      <c r="AA12">
        <f>IF(AND('(橫掃)RX Mapping'!AA12&gt;=1,'(橫掃)RX Mapping'!AA12&lt;=120), ('(橫掃)RX Mapping'!AA12-1),IF(AND('(橫掃)RX Mapping'!AA12&gt;=121,'(橫掃)RX Mapping'!AA12&lt;=240), (-1)*('(橫掃)RX Mapping'!AA12-240),IF(AND('(橫掃)RX Mapping'!AA12&gt;=241,'(橫掃)RX Mapping'!AA12&lt;=360), ('(橫掃)RX Mapping'!AA12-241),IF(AND('(橫掃)RX Mapping'!AA12&gt;=361,'(橫掃)RX Mapping'!AA12&lt;=480), (-1)*('(橫掃)RX Mapping'!AA12-480),IF(AND('(橫掃)RX Mapping'!AA12&gt;=481,'(橫掃)RX Mapping'!AA12&lt;=600), ('(橫掃)RX Mapping'!AA12-361),IF(AND('(橫掃)RX Mapping'!AA12&gt;=601,'(橫掃)RX Mapping'!AA12&lt;=720), (-1)*('(橫掃)RX Mapping'!AA12-720)+120,IF(AND('(橫掃)RX Mapping'!AA12&gt;=721,'(橫掃)RX Mapping'!AA12&lt;=840), ('(橫掃)RX Mapping'!AA12-601),IF(AND('(橫掃)RX Mapping'!AA12&gt;=841,'(橫掃)RX Mapping'!AA12&lt;=960), (-1)*('(橫掃)RX Mapping'!AA12-960)+120,9999))))))))</f>
        <v>221</v>
      </c>
      <c r="AB12">
        <f>IF(AND('(橫掃)RX Mapping'!AB12&gt;=1,'(橫掃)RX Mapping'!AB12&lt;=120), ('(橫掃)RX Mapping'!AB12-1),IF(AND('(橫掃)RX Mapping'!AB12&gt;=121,'(橫掃)RX Mapping'!AB12&lt;=240), (-1)*('(橫掃)RX Mapping'!AB12-240),IF(AND('(橫掃)RX Mapping'!AB12&gt;=241,'(橫掃)RX Mapping'!AB12&lt;=360), ('(橫掃)RX Mapping'!AB12-241),IF(AND('(橫掃)RX Mapping'!AB12&gt;=361,'(橫掃)RX Mapping'!AB12&lt;=480), (-1)*('(橫掃)RX Mapping'!AB12-480),IF(AND('(橫掃)RX Mapping'!AB12&gt;=481,'(橫掃)RX Mapping'!AB12&lt;=600), ('(橫掃)RX Mapping'!AB12-361),IF(AND('(橫掃)RX Mapping'!AB12&gt;=601,'(橫掃)RX Mapping'!AB12&lt;=720), (-1)*('(橫掃)RX Mapping'!AB12-720)+120,IF(AND('(橫掃)RX Mapping'!AB12&gt;=721,'(橫掃)RX Mapping'!AB12&lt;=840), ('(橫掃)RX Mapping'!AB12-601),IF(AND('(橫掃)RX Mapping'!AB12&gt;=841,'(橫掃)RX Mapping'!AB12&lt;=960), (-1)*('(橫掃)RX Mapping'!AB12-960)+120,9999))))))))</f>
        <v>189</v>
      </c>
      <c r="AC12">
        <f>IF(AND('(橫掃)RX Mapping'!AC12&gt;=1,'(橫掃)RX Mapping'!AC12&lt;=120), ('(橫掃)RX Mapping'!AC12-1),IF(AND('(橫掃)RX Mapping'!AC12&gt;=121,'(橫掃)RX Mapping'!AC12&lt;=240), (-1)*('(橫掃)RX Mapping'!AC12-240),IF(AND('(橫掃)RX Mapping'!AC12&gt;=241,'(橫掃)RX Mapping'!AC12&lt;=360), ('(橫掃)RX Mapping'!AC12-241),IF(AND('(橫掃)RX Mapping'!AC12&gt;=361,'(橫掃)RX Mapping'!AC12&lt;=480), (-1)*('(橫掃)RX Mapping'!AC12-480),IF(AND('(橫掃)RX Mapping'!AC12&gt;=481,'(橫掃)RX Mapping'!AC12&lt;=600), ('(橫掃)RX Mapping'!AC12-361),IF(AND('(橫掃)RX Mapping'!AC12&gt;=601,'(橫掃)RX Mapping'!AC12&lt;=720), (-1)*('(橫掃)RX Mapping'!AC12-720)+120,IF(AND('(橫掃)RX Mapping'!AC12&gt;=721,'(橫掃)RX Mapping'!AC12&lt;=840), ('(橫掃)RX Mapping'!AC12-601),IF(AND('(橫掃)RX Mapping'!AC12&gt;=841,'(橫掃)RX Mapping'!AC12&lt;=960), (-1)*('(橫掃)RX Mapping'!AC12-960)+120,9999))))))))</f>
        <v>157</v>
      </c>
      <c r="AD12">
        <f>IF(AND('(橫掃)RX Mapping'!AD12&gt;=1,'(橫掃)RX Mapping'!AD12&lt;=120), ('(橫掃)RX Mapping'!AD12-1),IF(AND('(橫掃)RX Mapping'!AD12&gt;=121,'(橫掃)RX Mapping'!AD12&lt;=240), (-1)*('(橫掃)RX Mapping'!AD12-240),IF(AND('(橫掃)RX Mapping'!AD12&gt;=241,'(橫掃)RX Mapping'!AD12&lt;=360), ('(橫掃)RX Mapping'!AD12-241),IF(AND('(橫掃)RX Mapping'!AD12&gt;=361,'(橫掃)RX Mapping'!AD12&lt;=480), (-1)*('(橫掃)RX Mapping'!AD12-480),IF(AND('(橫掃)RX Mapping'!AD12&gt;=481,'(橫掃)RX Mapping'!AD12&lt;=600), ('(橫掃)RX Mapping'!AD12-361),IF(AND('(橫掃)RX Mapping'!AD12&gt;=601,'(橫掃)RX Mapping'!AD12&lt;=720), (-1)*('(橫掃)RX Mapping'!AD12-720)+120,IF(AND('(橫掃)RX Mapping'!AD12&gt;=721,'(橫掃)RX Mapping'!AD12&lt;=840), ('(橫掃)RX Mapping'!AD12-601),IF(AND('(橫掃)RX Mapping'!AD12&gt;=841,'(橫掃)RX Mapping'!AD12&lt;=960), (-1)*('(橫掃)RX Mapping'!AD12-960)+120,9999))))))))</f>
        <v>9999</v>
      </c>
      <c r="AE12">
        <f>IF(AND('(橫掃)RX Mapping'!AE12&gt;=1,'(橫掃)RX Mapping'!AE12&lt;=120), ('(橫掃)RX Mapping'!AE12-1),IF(AND('(橫掃)RX Mapping'!AE12&gt;=121,'(橫掃)RX Mapping'!AE12&lt;=240), (-1)*('(橫掃)RX Mapping'!AE12-240),IF(AND('(橫掃)RX Mapping'!AE12&gt;=241,'(橫掃)RX Mapping'!AE12&lt;=360), ('(橫掃)RX Mapping'!AE12-241),IF(AND('(橫掃)RX Mapping'!AE12&gt;=361,'(橫掃)RX Mapping'!AE12&lt;=480), (-1)*('(橫掃)RX Mapping'!AE12-480),IF(AND('(橫掃)RX Mapping'!AE12&gt;=481,'(橫掃)RX Mapping'!AE12&lt;=600), ('(橫掃)RX Mapping'!AE12-361),IF(AND('(橫掃)RX Mapping'!AE12&gt;=601,'(橫掃)RX Mapping'!AE12&lt;=720), (-1)*('(橫掃)RX Mapping'!AE12-720)+120,IF(AND('(橫掃)RX Mapping'!AE12&gt;=721,'(橫掃)RX Mapping'!AE12&lt;=840), ('(橫掃)RX Mapping'!AE12-601),IF(AND('(橫掃)RX Mapping'!AE12&gt;=841,'(橫掃)RX Mapping'!AE12&lt;=960), (-1)*('(橫掃)RX Mapping'!AE12-960)+120,9999))))))))</f>
        <v>9999</v>
      </c>
      <c r="AF12">
        <f>IF(AND('(橫掃)RX Mapping'!AF12&gt;=1,'(橫掃)RX Mapping'!AF12&lt;=120), ('(橫掃)RX Mapping'!AF12-1),IF(AND('(橫掃)RX Mapping'!AF12&gt;=121,'(橫掃)RX Mapping'!AF12&lt;=240), (-1)*('(橫掃)RX Mapping'!AF12-240),IF(AND('(橫掃)RX Mapping'!AF12&gt;=241,'(橫掃)RX Mapping'!AF12&lt;=360), ('(橫掃)RX Mapping'!AF12-241),IF(AND('(橫掃)RX Mapping'!AF12&gt;=361,'(橫掃)RX Mapping'!AF12&lt;=480), (-1)*('(橫掃)RX Mapping'!AF12-480),IF(AND('(橫掃)RX Mapping'!AF12&gt;=481,'(橫掃)RX Mapping'!AF12&lt;=600), ('(橫掃)RX Mapping'!AF12-361),IF(AND('(橫掃)RX Mapping'!AF12&gt;=601,'(橫掃)RX Mapping'!AF12&lt;=720), (-1)*('(橫掃)RX Mapping'!AF12-720)+120,IF(AND('(橫掃)RX Mapping'!AF12&gt;=721,'(橫掃)RX Mapping'!AF12&lt;=840), ('(橫掃)RX Mapping'!AF12-601),IF(AND('(橫掃)RX Mapping'!AF12&gt;=841,'(橫掃)RX Mapping'!AF12&lt;=960), (-1)*('(橫掃)RX Mapping'!AF12-960)+120,9999))))))))</f>
        <v>9999</v>
      </c>
      <c r="AG12">
        <f>IF(AND('(橫掃)RX Mapping'!AG12&gt;=1,'(橫掃)RX Mapping'!AG12&lt;=120), ('(橫掃)RX Mapping'!AG12-1),IF(AND('(橫掃)RX Mapping'!AG12&gt;=121,'(橫掃)RX Mapping'!AG12&lt;=240), (-1)*('(橫掃)RX Mapping'!AG12-240),IF(AND('(橫掃)RX Mapping'!AG12&gt;=241,'(橫掃)RX Mapping'!AG12&lt;=360), ('(橫掃)RX Mapping'!AG12-241),IF(AND('(橫掃)RX Mapping'!AG12&gt;=361,'(橫掃)RX Mapping'!AG12&lt;=480), (-1)*('(橫掃)RX Mapping'!AG12-480),IF(AND('(橫掃)RX Mapping'!AG12&gt;=481,'(橫掃)RX Mapping'!AG12&lt;=600), ('(橫掃)RX Mapping'!AG12-361),IF(AND('(橫掃)RX Mapping'!AG12&gt;=601,'(橫掃)RX Mapping'!AG12&lt;=720), (-1)*('(橫掃)RX Mapping'!AG12-720)+120,IF(AND('(橫掃)RX Mapping'!AG12&gt;=721,'(橫掃)RX Mapping'!AG12&lt;=840), ('(橫掃)RX Mapping'!AG12-601),IF(AND('(橫掃)RX Mapping'!AG12&gt;=841,'(橫掃)RX Mapping'!AG12&lt;=960), (-1)*('(橫掃)RX Mapping'!AG12-960)+120,9999))))))))</f>
        <v>9999</v>
      </c>
      <c r="AH12">
        <f>IF(AND('(橫掃)RX Mapping'!AH12&gt;=1,'(橫掃)RX Mapping'!AH12&lt;=120), ('(橫掃)RX Mapping'!AH12-1),IF(AND('(橫掃)RX Mapping'!AH12&gt;=121,'(橫掃)RX Mapping'!AH12&lt;=240), (-1)*('(橫掃)RX Mapping'!AH12-240),IF(AND('(橫掃)RX Mapping'!AH12&gt;=241,'(橫掃)RX Mapping'!AH12&lt;=360), ('(橫掃)RX Mapping'!AH12-241),IF(AND('(橫掃)RX Mapping'!AH12&gt;=361,'(橫掃)RX Mapping'!AH12&lt;=480), (-1)*('(橫掃)RX Mapping'!AH12-480),IF(AND('(橫掃)RX Mapping'!AH12&gt;=481,'(橫掃)RX Mapping'!AH12&lt;=600), ('(橫掃)RX Mapping'!AH12-361),IF(AND('(橫掃)RX Mapping'!AH12&gt;=601,'(橫掃)RX Mapping'!AH12&lt;=720), (-1)*('(橫掃)RX Mapping'!AH12-720)+120,IF(AND('(橫掃)RX Mapping'!AH12&gt;=721,'(橫掃)RX Mapping'!AH12&lt;=840), ('(橫掃)RX Mapping'!AH12-601),IF(AND('(橫掃)RX Mapping'!AH12&gt;=841,'(橫掃)RX Mapping'!AH12&lt;=960), (-1)*('(橫掃)RX Mapping'!AH12-960)+120,9999))))))))</f>
        <v>9999</v>
      </c>
      <c r="AI12">
        <f>IF(AND('(橫掃)RX Mapping'!AI12&gt;=1,'(橫掃)RX Mapping'!AI12&lt;=120), ('(橫掃)RX Mapping'!AI12-1),IF(AND('(橫掃)RX Mapping'!AI12&gt;=121,'(橫掃)RX Mapping'!AI12&lt;=240), (-1)*('(橫掃)RX Mapping'!AI12-240),IF(AND('(橫掃)RX Mapping'!AI12&gt;=241,'(橫掃)RX Mapping'!AI12&lt;=360), ('(橫掃)RX Mapping'!AI12-241),IF(AND('(橫掃)RX Mapping'!AI12&gt;=361,'(橫掃)RX Mapping'!AI12&lt;=480), (-1)*('(橫掃)RX Mapping'!AI12-480),IF(AND('(橫掃)RX Mapping'!AI12&gt;=481,'(橫掃)RX Mapping'!AI12&lt;=600), ('(橫掃)RX Mapping'!AI12-361),IF(AND('(橫掃)RX Mapping'!AI12&gt;=601,'(橫掃)RX Mapping'!AI12&lt;=720), (-1)*('(橫掃)RX Mapping'!AI12-720)+120,IF(AND('(橫掃)RX Mapping'!AI12&gt;=721,'(橫掃)RX Mapping'!AI12&lt;=840), ('(橫掃)RX Mapping'!AI12-601),IF(AND('(橫掃)RX Mapping'!AI12&gt;=841,'(橫掃)RX Mapping'!AI12&lt;=960), (-1)*('(橫掃)RX Mapping'!AI12-960)+120,9999))))))))</f>
        <v>9999</v>
      </c>
      <c r="AJ12">
        <f>IF(AND('(橫掃)RX Mapping'!AJ12&gt;=1,'(橫掃)RX Mapping'!AJ12&lt;=120), ('(橫掃)RX Mapping'!AJ12-1),IF(AND('(橫掃)RX Mapping'!AJ12&gt;=121,'(橫掃)RX Mapping'!AJ12&lt;=240), (-1)*('(橫掃)RX Mapping'!AJ12-240),IF(AND('(橫掃)RX Mapping'!AJ12&gt;=241,'(橫掃)RX Mapping'!AJ12&lt;=360), ('(橫掃)RX Mapping'!AJ12-241),IF(AND('(橫掃)RX Mapping'!AJ12&gt;=361,'(橫掃)RX Mapping'!AJ12&lt;=480), (-1)*('(橫掃)RX Mapping'!AJ12-480),IF(AND('(橫掃)RX Mapping'!AJ12&gt;=481,'(橫掃)RX Mapping'!AJ12&lt;=600), ('(橫掃)RX Mapping'!AJ12-361),IF(AND('(橫掃)RX Mapping'!AJ12&gt;=601,'(橫掃)RX Mapping'!AJ12&lt;=720), (-1)*('(橫掃)RX Mapping'!AJ12-720)+120,IF(AND('(橫掃)RX Mapping'!AJ12&gt;=721,'(橫掃)RX Mapping'!AJ12&lt;=840), ('(橫掃)RX Mapping'!AJ12-601),IF(AND('(橫掃)RX Mapping'!AJ12&gt;=841,'(橫掃)RX Mapping'!AJ12&lt;=960), (-1)*('(橫掃)RX Mapping'!AJ12-960)+120,9999))))))))</f>
        <v>9999</v>
      </c>
      <c r="AK12">
        <f>IF(AND('(橫掃)RX Mapping'!AK12&gt;=1,'(橫掃)RX Mapping'!AK12&lt;=120), ('(橫掃)RX Mapping'!AK12-1),IF(AND('(橫掃)RX Mapping'!AK12&gt;=121,'(橫掃)RX Mapping'!AK12&lt;=240), (-1)*('(橫掃)RX Mapping'!AK12-240),IF(AND('(橫掃)RX Mapping'!AK12&gt;=241,'(橫掃)RX Mapping'!AK12&lt;=360), ('(橫掃)RX Mapping'!AK12-241),IF(AND('(橫掃)RX Mapping'!AK12&gt;=361,'(橫掃)RX Mapping'!AK12&lt;=480), (-1)*('(橫掃)RX Mapping'!AK12-480),IF(AND('(橫掃)RX Mapping'!AK12&gt;=481,'(橫掃)RX Mapping'!AK12&lt;=600), ('(橫掃)RX Mapping'!AK12-361),IF(AND('(橫掃)RX Mapping'!AK12&gt;=601,'(橫掃)RX Mapping'!AK12&lt;=720), (-1)*('(橫掃)RX Mapping'!AK12-720)+120,IF(AND('(橫掃)RX Mapping'!AK12&gt;=721,'(橫掃)RX Mapping'!AK12&lt;=840), ('(橫掃)RX Mapping'!AK12-601),IF(AND('(橫掃)RX Mapping'!AK12&gt;=841,'(橫掃)RX Mapping'!AK12&lt;=960), (-1)*('(橫掃)RX Mapping'!AK12-960)+120,9999))))))))</f>
        <v>9999</v>
      </c>
      <c r="AL12">
        <f>IF(AND('(橫掃)RX Mapping'!AL12&gt;=1,'(橫掃)RX Mapping'!AL12&lt;=120), ('(橫掃)RX Mapping'!AL12-1),IF(AND('(橫掃)RX Mapping'!AL12&gt;=121,'(橫掃)RX Mapping'!AL12&lt;=240), (-1)*('(橫掃)RX Mapping'!AL12-240),IF(AND('(橫掃)RX Mapping'!AL12&gt;=241,'(橫掃)RX Mapping'!AL12&lt;=360), ('(橫掃)RX Mapping'!AL12-241),IF(AND('(橫掃)RX Mapping'!AL12&gt;=361,'(橫掃)RX Mapping'!AL12&lt;=480), (-1)*('(橫掃)RX Mapping'!AL12-480),IF(AND('(橫掃)RX Mapping'!AL12&gt;=481,'(橫掃)RX Mapping'!AL12&lt;=600), ('(橫掃)RX Mapping'!AL12-361),IF(AND('(橫掃)RX Mapping'!AL12&gt;=601,'(橫掃)RX Mapping'!AL12&lt;=720), (-1)*('(橫掃)RX Mapping'!AL12-720)+120,IF(AND('(橫掃)RX Mapping'!AL12&gt;=721,'(橫掃)RX Mapping'!AL12&lt;=840), ('(橫掃)RX Mapping'!AL12-601),IF(AND('(橫掃)RX Mapping'!AL12&gt;=841,'(橫掃)RX Mapping'!AL12&lt;=960), (-1)*('(橫掃)RX Mapping'!AL12-960)+120,9999))))))))</f>
        <v>9999</v>
      </c>
      <c r="AM12">
        <f>IF(AND('(橫掃)RX Mapping'!AM12&gt;=1,'(橫掃)RX Mapping'!AM12&lt;=120), ('(橫掃)RX Mapping'!AM12-1),IF(AND('(橫掃)RX Mapping'!AM12&gt;=121,'(橫掃)RX Mapping'!AM12&lt;=240), (-1)*('(橫掃)RX Mapping'!AM12-240),IF(AND('(橫掃)RX Mapping'!AM12&gt;=241,'(橫掃)RX Mapping'!AM12&lt;=360), ('(橫掃)RX Mapping'!AM12-241),IF(AND('(橫掃)RX Mapping'!AM12&gt;=361,'(橫掃)RX Mapping'!AM12&lt;=480), (-1)*('(橫掃)RX Mapping'!AM12-480),IF(AND('(橫掃)RX Mapping'!AM12&gt;=481,'(橫掃)RX Mapping'!AM12&lt;=600), ('(橫掃)RX Mapping'!AM12-361),IF(AND('(橫掃)RX Mapping'!AM12&gt;=601,'(橫掃)RX Mapping'!AM12&lt;=720), (-1)*('(橫掃)RX Mapping'!AM12-720)+120,IF(AND('(橫掃)RX Mapping'!AM12&gt;=721,'(橫掃)RX Mapping'!AM12&lt;=840), ('(橫掃)RX Mapping'!AM12-601),IF(AND('(橫掃)RX Mapping'!AM12&gt;=841,'(橫掃)RX Mapping'!AM12&lt;=960), (-1)*('(橫掃)RX Mapping'!AM12-960)+120,9999))))))))</f>
        <v>9999</v>
      </c>
      <c r="AN12">
        <f>IF(AND('(橫掃)RX Mapping'!AN12&gt;=1,'(橫掃)RX Mapping'!AN12&lt;=120), ('(橫掃)RX Mapping'!AN12-1),IF(AND('(橫掃)RX Mapping'!AN12&gt;=121,'(橫掃)RX Mapping'!AN12&lt;=240), (-1)*('(橫掃)RX Mapping'!AN12-240),IF(AND('(橫掃)RX Mapping'!AN12&gt;=241,'(橫掃)RX Mapping'!AN12&lt;=360), ('(橫掃)RX Mapping'!AN12-241),IF(AND('(橫掃)RX Mapping'!AN12&gt;=361,'(橫掃)RX Mapping'!AN12&lt;=480), (-1)*('(橫掃)RX Mapping'!AN12-480),IF(AND('(橫掃)RX Mapping'!AN12&gt;=481,'(橫掃)RX Mapping'!AN12&lt;=600), ('(橫掃)RX Mapping'!AN12-361),IF(AND('(橫掃)RX Mapping'!AN12&gt;=601,'(橫掃)RX Mapping'!AN12&lt;=720), (-1)*('(橫掃)RX Mapping'!AN12-720)+120,IF(AND('(橫掃)RX Mapping'!AN12&gt;=721,'(橫掃)RX Mapping'!AN12&lt;=840), ('(橫掃)RX Mapping'!AN12-601),IF(AND('(橫掃)RX Mapping'!AN12&gt;=841,'(橫掃)RX Mapping'!AN12&lt;=960), (-1)*('(橫掃)RX Mapping'!AN12-960)+120,9999))))))))</f>
        <v>9999</v>
      </c>
      <c r="AO12">
        <f>IF(AND('(橫掃)RX Mapping'!AO12&gt;=1,'(橫掃)RX Mapping'!AO12&lt;=120), ('(橫掃)RX Mapping'!AO12-1),IF(AND('(橫掃)RX Mapping'!AO12&gt;=121,'(橫掃)RX Mapping'!AO12&lt;=240), (-1)*('(橫掃)RX Mapping'!AO12-240),IF(AND('(橫掃)RX Mapping'!AO12&gt;=241,'(橫掃)RX Mapping'!AO12&lt;=360), ('(橫掃)RX Mapping'!AO12-241),IF(AND('(橫掃)RX Mapping'!AO12&gt;=361,'(橫掃)RX Mapping'!AO12&lt;=480), (-1)*('(橫掃)RX Mapping'!AO12-480),IF(AND('(橫掃)RX Mapping'!AO12&gt;=481,'(橫掃)RX Mapping'!AO12&lt;=600), ('(橫掃)RX Mapping'!AO12-361),IF(AND('(橫掃)RX Mapping'!AO12&gt;=601,'(橫掃)RX Mapping'!AO12&lt;=720), (-1)*('(橫掃)RX Mapping'!AO12-720)+120,IF(AND('(橫掃)RX Mapping'!AO12&gt;=721,'(橫掃)RX Mapping'!AO12&lt;=840), ('(橫掃)RX Mapping'!AO12-601),IF(AND('(橫掃)RX Mapping'!AO12&gt;=841,'(橫掃)RX Mapping'!AO12&lt;=960), (-1)*('(橫掃)RX Mapping'!AO12-960)+120,9999))))))))</f>
        <v>9999</v>
      </c>
      <c r="AP12">
        <f>IF(AND('(橫掃)RX Mapping'!AP12&gt;=1,'(橫掃)RX Mapping'!AP12&lt;=120), ('(橫掃)RX Mapping'!AP12-1),IF(AND('(橫掃)RX Mapping'!AP12&gt;=121,'(橫掃)RX Mapping'!AP12&lt;=240), (-1)*('(橫掃)RX Mapping'!AP12-240),IF(AND('(橫掃)RX Mapping'!AP12&gt;=241,'(橫掃)RX Mapping'!AP12&lt;=360), ('(橫掃)RX Mapping'!AP12-241),IF(AND('(橫掃)RX Mapping'!AP12&gt;=361,'(橫掃)RX Mapping'!AP12&lt;=480), (-1)*('(橫掃)RX Mapping'!AP12-480),IF(AND('(橫掃)RX Mapping'!AP12&gt;=481,'(橫掃)RX Mapping'!AP12&lt;=600), ('(橫掃)RX Mapping'!AP12-361),IF(AND('(橫掃)RX Mapping'!AP12&gt;=601,'(橫掃)RX Mapping'!AP12&lt;=720), (-1)*('(橫掃)RX Mapping'!AP12-720)+120,IF(AND('(橫掃)RX Mapping'!AP12&gt;=721,'(橫掃)RX Mapping'!AP12&lt;=840), ('(橫掃)RX Mapping'!AP12-601),IF(AND('(橫掃)RX Mapping'!AP12&gt;=841,'(橫掃)RX Mapping'!AP12&lt;=960), (-1)*('(橫掃)RX Mapping'!AP12-960)+120,9999))))))))</f>
        <v>9999</v>
      </c>
      <c r="AQ12">
        <f>IF(AND('(橫掃)RX Mapping'!AQ12&gt;=1,'(橫掃)RX Mapping'!AQ12&lt;=120), ('(橫掃)RX Mapping'!AQ12-1),IF(AND('(橫掃)RX Mapping'!AQ12&gt;=121,'(橫掃)RX Mapping'!AQ12&lt;=240), (-1)*('(橫掃)RX Mapping'!AQ12-240),IF(AND('(橫掃)RX Mapping'!AQ12&gt;=241,'(橫掃)RX Mapping'!AQ12&lt;=360), ('(橫掃)RX Mapping'!AQ12-241),IF(AND('(橫掃)RX Mapping'!AQ12&gt;=361,'(橫掃)RX Mapping'!AQ12&lt;=480), (-1)*('(橫掃)RX Mapping'!AQ12-480),IF(AND('(橫掃)RX Mapping'!AQ12&gt;=481,'(橫掃)RX Mapping'!AQ12&lt;=600), ('(橫掃)RX Mapping'!AQ12-361),IF(AND('(橫掃)RX Mapping'!AQ12&gt;=601,'(橫掃)RX Mapping'!AQ12&lt;=720), (-1)*('(橫掃)RX Mapping'!AQ12-720)+120,IF(AND('(橫掃)RX Mapping'!AQ12&gt;=721,'(橫掃)RX Mapping'!AQ12&lt;=840), ('(橫掃)RX Mapping'!AQ12-601),IF(AND('(橫掃)RX Mapping'!AQ12&gt;=841,'(橫掃)RX Mapping'!AQ12&lt;=960), (-1)*('(橫掃)RX Mapping'!AQ12-960)+120,9999))))))))</f>
        <v>9999</v>
      </c>
      <c r="AR12">
        <f>IF(AND('(橫掃)RX Mapping'!AR12&gt;=1,'(橫掃)RX Mapping'!AR12&lt;=120), ('(橫掃)RX Mapping'!AR12-1),IF(AND('(橫掃)RX Mapping'!AR12&gt;=121,'(橫掃)RX Mapping'!AR12&lt;=240), (-1)*('(橫掃)RX Mapping'!AR12-240),IF(AND('(橫掃)RX Mapping'!AR12&gt;=241,'(橫掃)RX Mapping'!AR12&lt;=360), ('(橫掃)RX Mapping'!AR12-241),IF(AND('(橫掃)RX Mapping'!AR12&gt;=361,'(橫掃)RX Mapping'!AR12&lt;=480), (-1)*('(橫掃)RX Mapping'!AR12-480),IF(AND('(橫掃)RX Mapping'!AR12&gt;=481,'(橫掃)RX Mapping'!AR12&lt;=600), ('(橫掃)RX Mapping'!AR12-361),IF(AND('(橫掃)RX Mapping'!AR12&gt;=601,'(橫掃)RX Mapping'!AR12&lt;=720), (-1)*('(橫掃)RX Mapping'!AR12-720)+120,IF(AND('(橫掃)RX Mapping'!AR12&gt;=721,'(橫掃)RX Mapping'!AR12&lt;=840), ('(橫掃)RX Mapping'!AR12-601),IF(AND('(橫掃)RX Mapping'!AR12&gt;=841,'(橫掃)RX Mapping'!AR12&lt;=960), (-1)*('(橫掃)RX Mapping'!AR12-960)+120,9999))))))))</f>
        <v>9999</v>
      </c>
      <c r="AS12">
        <f>IF(AND('(橫掃)RX Mapping'!AS12&gt;=1,'(橫掃)RX Mapping'!AS12&lt;=120), ('(橫掃)RX Mapping'!AS12-1),IF(AND('(橫掃)RX Mapping'!AS12&gt;=121,'(橫掃)RX Mapping'!AS12&lt;=240), (-1)*('(橫掃)RX Mapping'!AS12-240),IF(AND('(橫掃)RX Mapping'!AS12&gt;=241,'(橫掃)RX Mapping'!AS12&lt;=360), ('(橫掃)RX Mapping'!AS12-241),IF(AND('(橫掃)RX Mapping'!AS12&gt;=361,'(橫掃)RX Mapping'!AS12&lt;=480), (-1)*('(橫掃)RX Mapping'!AS12-480),IF(AND('(橫掃)RX Mapping'!AS12&gt;=481,'(橫掃)RX Mapping'!AS12&lt;=600), ('(橫掃)RX Mapping'!AS12-361),IF(AND('(橫掃)RX Mapping'!AS12&gt;=601,'(橫掃)RX Mapping'!AS12&lt;=720), (-1)*('(橫掃)RX Mapping'!AS12-720)+120,IF(AND('(橫掃)RX Mapping'!AS12&gt;=721,'(橫掃)RX Mapping'!AS12&lt;=840), ('(橫掃)RX Mapping'!AS12-601),IF(AND('(橫掃)RX Mapping'!AS12&gt;=841,'(橫掃)RX Mapping'!AS12&lt;=960), (-1)*('(橫掃)RX Mapping'!AS12-960)+120,9999))))))))</f>
        <v>9999</v>
      </c>
      <c r="AT12">
        <f>IF(AND('(橫掃)RX Mapping'!AT12&gt;=1,'(橫掃)RX Mapping'!AT12&lt;=120), ('(橫掃)RX Mapping'!AT12-1),IF(AND('(橫掃)RX Mapping'!AT12&gt;=121,'(橫掃)RX Mapping'!AT12&lt;=240), (-1)*('(橫掃)RX Mapping'!AT12-240),IF(AND('(橫掃)RX Mapping'!AT12&gt;=241,'(橫掃)RX Mapping'!AT12&lt;=360), ('(橫掃)RX Mapping'!AT12-241),IF(AND('(橫掃)RX Mapping'!AT12&gt;=361,'(橫掃)RX Mapping'!AT12&lt;=480), (-1)*('(橫掃)RX Mapping'!AT12-480),IF(AND('(橫掃)RX Mapping'!AT12&gt;=481,'(橫掃)RX Mapping'!AT12&lt;=600), ('(橫掃)RX Mapping'!AT12-361),IF(AND('(橫掃)RX Mapping'!AT12&gt;=601,'(橫掃)RX Mapping'!AT12&lt;=720), (-1)*('(橫掃)RX Mapping'!AT12-720)+120,IF(AND('(橫掃)RX Mapping'!AT12&gt;=721,'(橫掃)RX Mapping'!AT12&lt;=840), ('(橫掃)RX Mapping'!AT12-601),IF(AND('(橫掃)RX Mapping'!AT12&gt;=841,'(橫掃)RX Mapping'!AT12&lt;=960), (-1)*('(橫掃)RX Mapping'!AT12-960)+120,9999))))))))</f>
        <v>9999</v>
      </c>
      <c r="AU12">
        <f>IF(AND('(橫掃)RX Mapping'!AU12&gt;=1,'(橫掃)RX Mapping'!AU12&lt;=120), ('(橫掃)RX Mapping'!AU12-1),IF(AND('(橫掃)RX Mapping'!AU12&gt;=121,'(橫掃)RX Mapping'!AU12&lt;=240), (-1)*('(橫掃)RX Mapping'!AU12-240),IF(AND('(橫掃)RX Mapping'!AU12&gt;=241,'(橫掃)RX Mapping'!AU12&lt;=360), ('(橫掃)RX Mapping'!AU12-241),IF(AND('(橫掃)RX Mapping'!AU12&gt;=361,'(橫掃)RX Mapping'!AU12&lt;=480), (-1)*('(橫掃)RX Mapping'!AU12-480),IF(AND('(橫掃)RX Mapping'!AU12&gt;=481,'(橫掃)RX Mapping'!AU12&lt;=600), ('(橫掃)RX Mapping'!AU12-361),IF(AND('(橫掃)RX Mapping'!AU12&gt;=601,'(橫掃)RX Mapping'!AU12&lt;=720), (-1)*('(橫掃)RX Mapping'!AU12-720)+120,IF(AND('(橫掃)RX Mapping'!AU12&gt;=721,'(橫掃)RX Mapping'!AU12&lt;=840), ('(橫掃)RX Mapping'!AU12-601),IF(AND('(橫掃)RX Mapping'!AU12&gt;=841,'(橫掃)RX Mapping'!AU12&lt;=960), (-1)*('(橫掃)RX Mapping'!AU12-960)+120,9999))))))))</f>
        <v>9999</v>
      </c>
      <c r="AV12">
        <f>IF(AND('(橫掃)RX Mapping'!AV12&gt;=1,'(橫掃)RX Mapping'!AV12&lt;=120), ('(橫掃)RX Mapping'!AV12-1),IF(AND('(橫掃)RX Mapping'!AV12&gt;=121,'(橫掃)RX Mapping'!AV12&lt;=240), (-1)*('(橫掃)RX Mapping'!AV12-240),IF(AND('(橫掃)RX Mapping'!AV12&gt;=241,'(橫掃)RX Mapping'!AV12&lt;=360), ('(橫掃)RX Mapping'!AV12-241),IF(AND('(橫掃)RX Mapping'!AV12&gt;=361,'(橫掃)RX Mapping'!AV12&lt;=480), (-1)*('(橫掃)RX Mapping'!AV12-480),IF(AND('(橫掃)RX Mapping'!AV12&gt;=481,'(橫掃)RX Mapping'!AV12&lt;=600), ('(橫掃)RX Mapping'!AV12-361),IF(AND('(橫掃)RX Mapping'!AV12&gt;=601,'(橫掃)RX Mapping'!AV12&lt;=720), (-1)*('(橫掃)RX Mapping'!AV12-720)+120,IF(AND('(橫掃)RX Mapping'!AV12&gt;=721,'(橫掃)RX Mapping'!AV12&lt;=840), ('(橫掃)RX Mapping'!AV12-601),IF(AND('(橫掃)RX Mapping'!AV12&gt;=841,'(橫掃)RX Mapping'!AV12&lt;=960), (-1)*('(橫掃)RX Mapping'!AV12-960)+120,9999))))))))</f>
        <v>9999</v>
      </c>
      <c r="AW12">
        <f>IF(AND('(橫掃)RX Mapping'!AW12&gt;=1,'(橫掃)RX Mapping'!AW12&lt;=120), ('(橫掃)RX Mapping'!AW12-1),IF(AND('(橫掃)RX Mapping'!AW12&gt;=121,'(橫掃)RX Mapping'!AW12&lt;=240), (-1)*('(橫掃)RX Mapping'!AW12-240),IF(AND('(橫掃)RX Mapping'!AW12&gt;=241,'(橫掃)RX Mapping'!AW12&lt;=360), ('(橫掃)RX Mapping'!AW12-241),IF(AND('(橫掃)RX Mapping'!AW12&gt;=361,'(橫掃)RX Mapping'!AW12&lt;=480), (-1)*('(橫掃)RX Mapping'!AW12-480),IF(AND('(橫掃)RX Mapping'!AW12&gt;=481,'(橫掃)RX Mapping'!AW12&lt;=600), ('(橫掃)RX Mapping'!AW12-361),IF(AND('(橫掃)RX Mapping'!AW12&gt;=601,'(橫掃)RX Mapping'!AW12&lt;=720), (-1)*('(橫掃)RX Mapping'!AW12-720)+120,IF(AND('(橫掃)RX Mapping'!AW12&gt;=721,'(橫掃)RX Mapping'!AW12&lt;=840), ('(橫掃)RX Mapping'!AW12-601),IF(AND('(橫掃)RX Mapping'!AW12&gt;=841,'(橫掃)RX Mapping'!AW12&lt;=960), (-1)*('(橫掃)RX Mapping'!AW12-960)+120,9999))))))))</f>
        <v>9999</v>
      </c>
      <c r="AX12">
        <f>IF(AND('(橫掃)RX Mapping'!AX12&gt;=1,'(橫掃)RX Mapping'!AX12&lt;=120), ('(橫掃)RX Mapping'!AX12-1),IF(AND('(橫掃)RX Mapping'!AX12&gt;=121,'(橫掃)RX Mapping'!AX12&lt;=240), (-1)*('(橫掃)RX Mapping'!AX12-240),IF(AND('(橫掃)RX Mapping'!AX12&gt;=241,'(橫掃)RX Mapping'!AX12&lt;=360), ('(橫掃)RX Mapping'!AX12-241),IF(AND('(橫掃)RX Mapping'!AX12&gt;=361,'(橫掃)RX Mapping'!AX12&lt;=480), (-1)*('(橫掃)RX Mapping'!AX12-480),IF(AND('(橫掃)RX Mapping'!AX12&gt;=481,'(橫掃)RX Mapping'!AX12&lt;=600), ('(橫掃)RX Mapping'!AX12-361),IF(AND('(橫掃)RX Mapping'!AX12&gt;=601,'(橫掃)RX Mapping'!AX12&lt;=720), (-1)*('(橫掃)RX Mapping'!AX12-720)+120,IF(AND('(橫掃)RX Mapping'!AX12&gt;=721,'(橫掃)RX Mapping'!AX12&lt;=840), ('(橫掃)RX Mapping'!AX12-601),IF(AND('(橫掃)RX Mapping'!AX12&gt;=841,'(橫掃)RX Mapping'!AX12&lt;=960), (-1)*('(橫掃)RX Mapping'!AX12-960)+120,9999))))))))</f>
        <v>9999</v>
      </c>
      <c r="AY12">
        <f>IF(AND('(橫掃)RX Mapping'!AY12&gt;=1,'(橫掃)RX Mapping'!AY12&lt;=120), ('(橫掃)RX Mapping'!AY12-1),IF(AND('(橫掃)RX Mapping'!AY12&gt;=121,'(橫掃)RX Mapping'!AY12&lt;=240), (-1)*('(橫掃)RX Mapping'!AY12-240),IF(AND('(橫掃)RX Mapping'!AY12&gt;=241,'(橫掃)RX Mapping'!AY12&lt;=360), ('(橫掃)RX Mapping'!AY12-241),IF(AND('(橫掃)RX Mapping'!AY12&gt;=361,'(橫掃)RX Mapping'!AY12&lt;=480), (-1)*('(橫掃)RX Mapping'!AY12-480),IF(AND('(橫掃)RX Mapping'!AY12&gt;=481,'(橫掃)RX Mapping'!AY12&lt;=600), ('(橫掃)RX Mapping'!AY12-361),IF(AND('(橫掃)RX Mapping'!AY12&gt;=601,'(橫掃)RX Mapping'!AY12&lt;=720), (-1)*('(橫掃)RX Mapping'!AY12-720)+120,IF(AND('(橫掃)RX Mapping'!AY12&gt;=721,'(橫掃)RX Mapping'!AY12&lt;=840), ('(橫掃)RX Mapping'!AY12-601),IF(AND('(橫掃)RX Mapping'!AY12&gt;=841,'(橫掃)RX Mapping'!AY12&lt;=960), (-1)*('(橫掃)RX Mapping'!AY12-960)+120,9999))))))))</f>
        <v>9999</v>
      </c>
      <c r="AZ12">
        <f>IF(AND('(橫掃)RX Mapping'!AZ12&gt;=1,'(橫掃)RX Mapping'!AZ12&lt;=120), ('(橫掃)RX Mapping'!AZ12-1),IF(AND('(橫掃)RX Mapping'!AZ12&gt;=121,'(橫掃)RX Mapping'!AZ12&lt;=240), (-1)*('(橫掃)RX Mapping'!AZ12-240),IF(AND('(橫掃)RX Mapping'!AZ12&gt;=241,'(橫掃)RX Mapping'!AZ12&lt;=360), ('(橫掃)RX Mapping'!AZ12-241),IF(AND('(橫掃)RX Mapping'!AZ12&gt;=361,'(橫掃)RX Mapping'!AZ12&lt;=480), (-1)*('(橫掃)RX Mapping'!AZ12-480),IF(AND('(橫掃)RX Mapping'!AZ12&gt;=481,'(橫掃)RX Mapping'!AZ12&lt;=600), ('(橫掃)RX Mapping'!AZ12-361),IF(AND('(橫掃)RX Mapping'!AZ12&gt;=601,'(橫掃)RX Mapping'!AZ12&lt;=720), (-1)*('(橫掃)RX Mapping'!AZ12-720)+120,IF(AND('(橫掃)RX Mapping'!AZ12&gt;=721,'(橫掃)RX Mapping'!AZ12&lt;=840), ('(橫掃)RX Mapping'!AZ12-601),IF(AND('(橫掃)RX Mapping'!AZ12&gt;=841,'(橫掃)RX Mapping'!AZ12&lt;=960), (-1)*('(橫掃)RX Mapping'!AZ12-960)+120,9999))))))))</f>
        <v>9999</v>
      </c>
      <c r="BA12">
        <f>IF(AND('(橫掃)RX Mapping'!BA12&gt;=1,'(橫掃)RX Mapping'!BA12&lt;=120), ('(橫掃)RX Mapping'!BA12-1),IF(AND('(橫掃)RX Mapping'!BA12&gt;=121,'(橫掃)RX Mapping'!BA12&lt;=240), (-1)*('(橫掃)RX Mapping'!BA12-240),IF(AND('(橫掃)RX Mapping'!BA12&gt;=241,'(橫掃)RX Mapping'!BA12&lt;=360), ('(橫掃)RX Mapping'!BA12-241),IF(AND('(橫掃)RX Mapping'!BA12&gt;=361,'(橫掃)RX Mapping'!BA12&lt;=480), (-1)*('(橫掃)RX Mapping'!BA12-480),IF(AND('(橫掃)RX Mapping'!BA12&gt;=481,'(橫掃)RX Mapping'!BA12&lt;=600), ('(橫掃)RX Mapping'!BA12-361),IF(AND('(橫掃)RX Mapping'!BA12&gt;=601,'(橫掃)RX Mapping'!BA12&lt;=720), (-1)*('(橫掃)RX Mapping'!BA12-720)+120,IF(AND('(橫掃)RX Mapping'!BA12&gt;=721,'(橫掃)RX Mapping'!BA12&lt;=840), ('(橫掃)RX Mapping'!BA12-601),IF(AND('(橫掃)RX Mapping'!BA12&gt;=841,'(橫掃)RX Mapping'!BA12&lt;=960), (-1)*('(橫掃)RX Mapping'!BA12-960)+120,9999))))))))</f>
        <v>9999</v>
      </c>
      <c r="BB12">
        <f>IF(AND('(橫掃)RX Mapping'!BB12&gt;=1,'(橫掃)RX Mapping'!BB12&lt;=120), ('(橫掃)RX Mapping'!BB12-1),IF(AND('(橫掃)RX Mapping'!BB12&gt;=121,'(橫掃)RX Mapping'!BB12&lt;=240), (-1)*('(橫掃)RX Mapping'!BB12-240),IF(AND('(橫掃)RX Mapping'!BB12&gt;=241,'(橫掃)RX Mapping'!BB12&lt;=360), ('(橫掃)RX Mapping'!BB12-241),IF(AND('(橫掃)RX Mapping'!BB12&gt;=361,'(橫掃)RX Mapping'!BB12&lt;=480), (-1)*('(橫掃)RX Mapping'!BB12-480),IF(AND('(橫掃)RX Mapping'!BB12&gt;=481,'(橫掃)RX Mapping'!BB12&lt;=600), ('(橫掃)RX Mapping'!BB12-361),IF(AND('(橫掃)RX Mapping'!BB12&gt;=601,'(橫掃)RX Mapping'!BB12&lt;=720), (-1)*('(橫掃)RX Mapping'!BB12-720)+120,IF(AND('(橫掃)RX Mapping'!BB12&gt;=721,'(橫掃)RX Mapping'!BB12&lt;=840), ('(橫掃)RX Mapping'!BB12-601),IF(AND('(橫掃)RX Mapping'!BB12&gt;=841,'(橫掃)RX Mapping'!BB12&lt;=960), (-1)*('(橫掃)RX Mapping'!BB12-960)+120,9999))))))))</f>
        <v>9999</v>
      </c>
      <c r="BC12">
        <f>IF(AND('(橫掃)RX Mapping'!BC12&gt;=1,'(橫掃)RX Mapping'!BC12&lt;=120), ('(橫掃)RX Mapping'!BC12-1),IF(AND('(橫掃)RX Mapping'!BC12&gt;=121,'(橫掃)RX Mapping'!BC12&lt;=240), (-1)*('(橫掃)RX Mapping'!BC12-240),IF(AND('(橫掃)RX Mapping'!BC12&gt;=241,'(橫掃)RX Mapping'!BC12&lt;=360), ('(橫掃)RX Mapping'!BC12-241),IF(AND('(橫掃)RX Mapping'!BC12&gt;=361,'(橫掃)RX Mapping'!BC12&lt;=480), (-1)*('(橫掃)RX Mapping'!BC12-480),IF(AND('(橫掃)RX Mapping'!BC12&gt;=481,'(橫掃)RX Mapping'!BC12&lt;=600), ('(橫掃)RX Mapping'!BC12-361),IF(AND('(橫掃)RX Mapping'!BC12&gt;=601,'(橫掃)RX Mapping'!BC12&lt;=720), (-1)*('(橫掃)RX Mapping'!BC12-720)+120,IF(AND('(橫掃)RX Mapping'!BC12&gt;=721,'(橫掃)RX Mapping'!BC12&lt;=840), ('(橫掃)RX Mapping'!BC12-601),IF(AND('(橫掃)RX Mapping'!BC12&gt;=841,'(橫掃)RX Mapping'!BC12&lt;=960), (-1)*('(橫掃)RX Mapping'!BC12-960)+120,9999))))))))</f>
        <v>9999</v>
      </c>
      <c r="BD12">
        <f>IF(AND('(橫掃)RX Mapping'!BD12&gt;=1,'(橫掃)RX Mapping'!BD12&lt;=120), ('(橫掃)RX Mapping'!BD12-1),IF(AND('(橫掃)RX Mapping'!BD12&gt;=121,'(橫掃)RX Mapping'!BD12&lt;=240), (-1)*('(橫掃)RX Mapping'!BD12-240),IF(AND('(橫掃)RX Mapping'!BD12&gt;=241,'(橫掃)RX Mapping'!BD12&lt;=360), ('(橫掃)RX Mapping'!BD12-241),IF(AND('(橫掃)RX Mapping'!BD12&gt;=361,'(橫掃)RX Mapping'!BD12&lt;=480), (-1)*('(橫掃)RX Mapping'!BD12-480),IF(AND('(橫掃)RX Mapping'!BD12&gt;=481,'(橫掃)RX Mapping'!BD12&lt;=600), ('(橫掃)RX Mapping'!BD12-361),IF(AND('(橫掃)RX Mapping'!BD12&gt;=601,'(橫掃)RX Mapping'!BD12&lt;=720), (-1)*('(橫掃)RX Mapping'!BD12-720)+120,IF(AND('(橫掃)RX Mapping'!BD12&gt;=721,'(橫掃)RX Mapping'!BD12&lt;=840), ('(橫掃)RX Mapping'!BD12-601),IF(AND('(橫掃)RX Mapping'!BD12&gt;=841,'(橫掃)RX Mapping'!BD12&lt;=960), (-1)*('(橫掃)RX Mapping'!BD12-960)+120,9999))))))))</f>
        <v>9999</v>
      </c>
      <c r="BE12">
        <f>IF(AND('(橫掃)RX Mapping'!BE12&gt;=1,'(橫掃)RX Mapping'!BE12&lt;=120), ('(橫掃)RX Mapping'!BE12-1),IF(AND('(橫掃)RX Mapping'!BE12&gt;=121,'(橫掃)RX Mapping'!BE12&lt;=240), (-1)*('(橫掃)RX Mapping'!BE12-240),IF(AND('(橫掃)RX Mapping'!BE12&gt;=241,'(橫掃)RX Mapping'!BE12&lt;=360), ('(橫掃)RX Mapping'!BE12-241),IF(AND('(橫掃)RX Mapping'!BE12&gt;=361,'(橫掃)RX Mapping'!BE12&lt;=480), (-1)*('(橫掃)RX Mapping'!BE12-480),IF(AND('(橫掃)RX Mapping'!BE12&gt;=481,'(橫掃)RX Mapping'!BE12&lt;=600), ('(橫掃)RX Mapping'!BE12-361),IF(AND('(橫掃)RX Mapping'!BE12&gt;=601,'(橫掃)RX Mapping'!BE12&lt;=720), (-1)*('(橫掃)RX Mapping'!BE12-720)+120,IF(AND('(橫掃)RX Mapping'!BE12&gt;=721,'(橫掃)RX Mapping'!BE12&lt;=840), ('(橫掃)RX Mapping'!BE12-601),IF(AND('(橫掃)RX Mapping'!BE12&gt;=841,'(橫掃)RX Mapping'!BE12&lt;=960), (-1)*('(橫掃)RX Mapping'!BE12-960)+120,9999))))))))</f>
        <v>9999</v>
      </c>
      <c r="BF12">
        <f>IF(AND('(橫掃)RX Mapping'!BF12&gt;=1,'(橫掃)RX Mapping'!BF12&lt;=120), ('(橫掃)RX Mapping'!BF12-1),IF(AND('(橫掃)RX Mapping'!BF12&gt;=121,'(橫掃)RX Mapping'!BF12&lt;=240), (-1)*('(橫掃)RX Mapping'!BF12-240),IF(AND('(橫掃)RX Mapping'!BF12&gt;=241,'(橫掃)RX Mapping'!BF12&lt;=360), ('(橫掃)RX Mapping'!BF12-241),IF(AND('(橫掃)RX Mapping'!BF12&gt;=361,'(橫掃)RX Mapping'!BF12&lt;=480), (-1)*('(橫掃)RX Mapping'!BF12-480),IF(AND('(橫掃)RX Mapping'!BF12&gt;=481,'(橫掃)RX Mapping'!BF12&lt;=600), ('(橫掃)RX Mapping'!BF12-361),IF(AND('(橫掃)RX Mapping'!BF12&gt;=601,'(橫掃)RX Mapping'!BF12&lt;=720), (-1)*('(橫掃)RX Mapping'!BF12-720)+120,IF(AND('(橫掃)RX Mapping'!BF12&gt;=721,'(橫掃)RX Mapping'!BF12&lt;=840), ('(橫掃)RX Mapping'!BF12-601),IF(AND('(橫掃)RX Mapping'!BF12&gt;=841,'(橫掃)RX Mapping'!BF12&lt;=960), (-1)*('(橫掃)RX Mapping'!BF12-960)+120,9999))))))))</f>
        <v>9999</v>
      </c>
      <c r="BG12">
        <f>IF(AND('(橫掃)RX Mapping'!BG12&gt;=1,'(橫掃)RX Mapping'!BG12&lt;=120), ('(橫掃)RX Mapping'!BG12-1),IF(AND('(橫掃)RX Mapping'!BG12&gt;=121,'(橫掃)RX Mapping'!BG12&lt;=240), (-1)*('(橫掃)RX Mapping'!BG12-240),IF(AND('(橫掃)RX Mapping'!BG12&gt;=241,'(橫掃)RX Mapping'!BG12&lt;=360), ('(橫掃)RX Mapping'!BG12-241),IF(AND('(橫掃)RX Mapping'!BG12&gt;=361,'(橫掃)RX Mapping'!BG12&lt;=480), (-1)*('(橫掃)RX Mapping'!BG12-480),IF(AND('(橫掃)RX Mapping'!BG12&gt;=481,'(橫掃)RX Mapping'!BG12&lt;=600), ('(橫掃)RX Mapping'!BG12-361),IF(AND('(橫掃)RX Mapping'!BG12&gt;=601,'(橫掃)RX Mapping'!BG12&lt;=720), (-1)*('(橫掃)RX Mapping'!BG12-720)+120,IF(AND('(橫掃)RX Mapping'!BG12&gt;=721,'(橫掃)RX Mapping'!BG12&lt;=840), ('(橫掃)RX Mapping'!BG12-601),IF(AND('(橫掃)RX Mapping'!BG12&gt;=841,'(橫掃)RX Mapping'!BG12&lt;=960), (-1)*('(橫掃)RX Mapping'!BG12-960)+120,9999))))))))</f>
        <v>9999</v>
      </c>
      <c r="BH12">
        <f>IF(AND('(橫掃)RX Mapping'!BH12&gt;=1,'(橫掃)RX Mapping'!BH12&lt;=120), ('(橫掃)RX Mapping'!BH12-1),IF(AND('(橫掃)RX Mapping'!BH12&gt;=121,'(橫掃)RX Mapping'!BH12&lt;=240), (-1)*('(橫掃)RX Mapping'!BH12-240),IF(AND('(橫掃)RX Mapping'!BH12&gt;=241,'(橫掃)RX Mapping'!BH12&lt;=360), ('(橫掃)RX Mapping'!BH12-241),IF(AND('(橫掃)RX Mapping'!BH12&gt;=361,'(橫掃)RX Mapping'!BH12&lt;=480), (-1)*('(橫掃)RX Mapping'!BH12-480),IF(AND('(橫掃)RX Mapping'!BH12&gt;=481,'(橫掃)RX Mapping'!BH12&lt;=600), ('(橫掃)RX Mapping'!BH12-361),IF(AND('(橫掃)RX Mapping'!BH12&gt;=601,'(橫掃)RX Mapping'!BH12&lt;=720), (-1)*('(橫掃)RX Mapping'!BH12-720)+120,IF(AND('(橫掃)RX Mapping'!BH12&gt;=721,'(橫掃)RX Mapping'!BH12&lt;=840), ('(橫掃)RX Mapping'!BH12-601),IF(AND('(橫掃)RX Mapping'!BH12&gt;=841,'(橫掃)RX Mapping'!BH12&lt;=960), (-1)*('(橫掃)RX Mapping'!BH12-960)+120,9999))))))))</f>
        <v>9999</v>
      </c>
      <c r="BI12">
        <f>IF(AND('(橫掃)RX Mapping'!BI12&gt;=1,'(橫掃)RX Mapping'!BI12&lt;=120), ('(橫掃)RX Mapping'!BI12-1),IF(AND('(橫掃)RX Mapping'!BI12&gt;=121,'(橫掃)RX Mapping'!BI12&lt;=240), (-1)*('(橫掃)RX Mapping'!BI12-240),IF(AND('(橫掃)RX Mapping'!BI12&gt;=241,'(橫掃)RX Mapping'!BI12&lt;=360), ('(橫掃)RX Mapping'!BI12-241),IF(AND('(橫掃)RX Mapping'!BI12&gt;=361,'(橫掃)RX Mapping'!BI12&lt;=480), (-1)*('(橫掃)RX Mapping'!BI12-480),IF(AND('(橫掃)RX Mapping'!BI12&gt;=481,'(橫掃)RX Mapping'!BI12&lt;=600), ('(橫掃)RX Mapping'!BI12-361),IF(AND('(橫掃)RX Mapping'!BI12&gt;=601,'(橫掃)RX Mapping'!BI12&lt;=720), (-1)*('(橫掃)RX Mapping'!BI12-720)+120,IF(AND('(橫掃)RX Mapping'!BI12&gt;=721,'(橫掃)RX Mapping'!BI12&lt;=840), ('(橫掃)RX Mapping'!BI12-601),IF(AND('(橫掃)RX Mapping'!BI12&gt;=841,'(橫掃)RX Mapping'!BI12&lt;=960), (-1)*('(橫掃)RX Mapping'!BI12-960)+120,9999))))))))</f>
        <v>9999</v>
      </c>
    </row>
    <row r="13" spans="1:61" x14ac:dyDescent="0.25">
      <c r="A13" s="20">
        <v>12</v>
      </c>
      <c r="B13">
        <f>IF(AND('(橫掃)RX Mapping'!B13&gt;=1,'(橫掃)RX Mapping'!B13&lt;=120), ('(橫掃)RX Mapping'!B13-1),IF(AND('(橫掃)RX Mapping'!B13&gt;=121,'(橫掃)RX Mapping'!B13&lt;=240), (-1)*('(橫掃)RX Mapping'!B13-240),IF(AND('(橫掃)RX Mapping'!B13&gt;=241,'(橫掃)RX Mapping'!B13&lt;=360), ('(橫掃)RX Mapping'!B13-241),IF(AND('(橫掃)RX Mapping'!B13&gt;=361,'(橫掃)RX Mapping'!B13&lt;=480), (-1)*('(橫掃)RX Mapping'!B13-480),IF(AND('(橫掃)RX Mapping'!B13&gt;=481,'(橫掃)RX Mapping'!B13&lt;=600), ('(橫掃)RX Mapping'!B13-361),IF(AND('(橫掃)RX Mapping'!B13&gt;=601,'(橫掃)RX Mapping'!B13&lt;=720), (-1)*('(橫掃)RX Mapping'!B13-720)+120,IF(AND('(橫掃)RX Mapping'!B13&gt;=721,'(橫掃)RX Mapping'!B13&lt;=840), ('(橫掃)RX Mapping'!B13-601),IF(AND('(橫掃)RX Mapping'!B13&gt;=841,'(橫掃)RX Mapping'!B13&lt;=960), (-1)*('(橫掃)RX Mapping'!B13-960)+120,9999))))))))</f>
        <v>11</v>
      </c>
      <c r="C13">
        <f>IF(AND('(橫掃)RX Mapping'!C13&gt;=1,'(橫掃)RX Mapping'!C13&lt;=120), ('(橫掃)RX Mapping'!C13-1),IF(AND('(橫掃)RX Mapping'!C13&gt;=121,'(橫掃)RX Mapping'!C13&lt;=240), (-1)*('(橫掃)RX Mapping'!C13-240),IF(AND('(橫掃)RX Mapping'!C13&gt;=241,'(橫掃)RX Mapping'!C13&lt;=360), ('(橫掃)RX Mapping'!C13-241),IF(AND('(橫掃)RX Mapping'!C13&gt;=361,'(橫掃)RX Mapping'!C13&lt;=480), (-1)*('(橫掃)RX Mapping'!C13-480),IF(AND('(橫掃)RX Mapping'!C13&gt;=481,'(橫掃)RX Mapping'!C13&lt;=600), ('(橫掃)RX Mapping'!C13-361),IF(AND('(橫掃)RX Mapping'!C13&gt;=601,'(橫掃)RX Mapping'!C13&lt;=720), (-1)*('(橫掃)RX Mapping'!C13-720)+120,IF(AND('(橫掃)RX Mapping'!C13&gt;=721,'(橫掃)RX Mapping'!C13&lt;=840), ('(橫掃)RX Mapping'!C13-601),IF(AND('(橫掃)RX Mapping'!C13&gt;=841,'(橫掃)RX Mapping'!C13&lt;=960), (-1)*('(橫掃)RX Mapping'!C13-960)+120,9999))))))))</f>
        <v>43</v>
      </c>
      <c r="D13">
        <f>IF(AND('(橫掃)RX Mapping'!D13&gt;=1,'(橫掃)RX Mapping'!D13&lt;=120), ('(橫掃)RX Mapping'!D13-1),IF(AND('(橫掃)RX Mapping'!D13&gt;=121,'(橫掃)RX Mapping'!D13&lt;=240), (-1)*('(橫掃)RX Mapping'!D13-240),IF(AND('(橫掃)RX Mapping'!D13&gt;=241,'(橫掃)RX Mapping'!D13&lt;=360), ('(橫掃)RX Mapping'!D13-241),IF(AND('(橫掃)RX Mapping'!D13&gt;=361,'(橫掃)RX Mapping'!D13&lt;=480), (-1)*('(橫掃)RX Mapping'!D13-480),IF(AND('(橫掃)RX Mapping'!D13&gt;=481,'(橫掃)RX Mapping'!D13&lt;=600), ('(橫掃)RX Mapping'!D13-361),IF(AND('(橫掃)RX Mapping'!D13&gt;=601,'(橫掃)RX Mapping'!D13&lt;=720), (-1)*('(橫掃)RX Mapping'!D13-720)+120,IF(AND('(橫掃)RX Mapping'!D13&gt;=721,'(橫掃)RX Mapping'!D13&lt;=840), ('(橫掃)RX Mapping'!D13-601),IF(AND('(橫掃)RX Mapping'!D13&gt;=841,'(橫掃)RX Mapping'!D13&lt;=960), (-1)*('(橫掃)RX Mapping'!D13-960)+120,9999))))))))</f>
        <v>75</v>
      </c>
      <c r="E13">
        <f>IF(AND('(橫掃)RX Mapping'!E13&gt;=1,'(橫掃)RX Mapping'!E13&lt;=120), ('(橫掃)RX Mapping'!E13-1),IF(AND('(橫掃)RX Mapping'!E13&gt;=121,'(橫掃)RX Mapping'!E13&lt;=240), (-1)*('(橫掃)RX Mapping'!E13-240),IF(AND('(橫掃)RX Mapping'!E13&gt;=241,'(橫掃)RX Mapping'!E13&lt;=360), ('(橫掃)RX Mapping'!E13-241),IF(AND('(橫掃)RX Mapping'!E13&gt;=361,'(橫掃)RX Mapping'!E13&lt;=480), (-1)*('(橫掃)RX Mapping'!E13-480),IF(AND('(橫掃)RX Mapping'!E13&gt;=481,'(橫掃)RX Mapping'!E13&lt;=600), ('(橫掃)RX Mapping'!E13-361),IF(AND('(橫掃)RX Mapping'!E13&gt;=601,'(橫掃)RX Mapping'!E13&lt;=720), (-1)*('(橫掃)RX Mapping'!E13-720)+120,IF(AND('(橫掃)RX Mapping'!E13&gt;=721,'(橫掃)RX Mapping'!E13&lt;=840), ('(橫掃)RX Mapping'!E13-601),IF(AND('(橫掃)RX Mapping'!E13&gt;=841,'(橫掃)RX Mapping'!E13&lt;=960), (-1)*('(橫掃)RX Mapping'!E13-960)+120,9999))))))))</f>
        <v>107</v>
      </c>
      <c r="F13">
        <f>IF(AND('(橫掃)RX Mapping'!F13&gt;=1,'(橫掃)RX Mapping'!F13&lt;=120), ('(橫掃)RX Mapping'!F13-1),IF(AND('(橫掃)RX Mapping'!F13&gt;=121,'(橫掃)RX Mapping'!F13&lt;=240), (-1)*('(橫掃)RX Mapping'!F13-240),IF(AND('(橫掃)RX Mapping'!F13&gt;=241,'(橫掃)RX Mapping'!F13&lt;=360), ('(橫掃)RX Mapping'!F13-241),IF(AND('(橫掃)RX Mapping'!F13&gt;=361,'(橫掃)RX Mapping'!F13&lt;=480), (-1)*('(橫掃)RX Mapping'!F13-480),IF(AND('(橫掃)RX Mapping'!F13&gt;=481,'(橫掃)RX Mapping'!F13&lt;=600), ('(橫掃)RX Mapping'!F13-361),IF(AND('(橫掃)RX Mapping'!F13&gt;=601,'(橫掃)RX Mapping'!F13&lt;=720), (-1)*('(橫掃)RX Mapping'!F13-720)+120,IF(AND('(橫掃)RX Mapping'!F13&gt;=721,'(橫掃)RX Mapping'!F13&lt;=840), ('(橫掃)RX Mapping'!F13-601),IF(AND('(橫掃)RX Mapping'!F13&gt;=841,'(橫掃)RX Mapping'!F13&lt;=960), (-1)*('(橫掃)RX Mapping'!F13-960)+120,9999))))))))</f>
        <v>100</v>
      </c>
      <c r="G13">
        <f>IF(AND('(橫掃)RX Mapping'!G13&gt;=1,'(橫掃)RX Mapping'!G13&lt;=120), ('(橫掃)RX Mapping'!G13-1),IF(AND('(橫掃)RX Mapping'!G13&gt;=121,'(橫掃)RX Mapping'!G13&lt;=240), (-1)*('(橫掃)RX Mapping'!G13-240),IF(AND('(橫掃)RX Mapping'!G13&gt;=241,'(橫掃)RX Mapping'!G13&lt;=360), ('(橫掃)RX Mapping'!G13-241),IF(AND('(橫掃)RX Mapping'!G13&gt;=361,'(橫掃)RX Mapping'!G13&lt;=480), (-1)*('(橫掃)RX Mapping'!G13-480),IF(AND('(橫掃)RX Mapping'!G13&gt;=481,'(橫掃)RX Mapping'!G13&lt;=600), ('(橫掃)RX Mapping'!G13-361),IF(AND('(橫掃)RX Mapping'!G13&gt;=601,'(橫掃)RX Mapping'!G13&lt;=720), (-1)*('(橫掃)RX Mapping'!G13-720)+120,IF(AND('(橫掃)RX Mapping'!G13&gt;=721,'(橫掃)RX Mapping'!G13&lt;=840), ('(橫掃)RX Mapping'!G13-601),IF(AND('(橫掃)RX Mapping'!G13&gt;=841,'(橫掃)RX Mapping'!G13&lt;=960), (-1)*('(橫掃)RX Mapping'!G13-960)+120,9999))))))))</f>
        <v>68</v>
      </c>
      <c r="H13">
        <f>IF(AND('(橫掃)RX Mapping'!H13&gt;=1,'(橫掃)RX Mapping'!H13&lt;=120), ('(橫掃)RX Mapping'!H13-1),IF(AND('(橫掃)RX Mapping'!H13&gt;=121,'(橫掃)RX Mapping'!H13&lt;=240), (-1)*('(橫掃)RX Mapping'!H13-240),IF(AND('(橫掃)RX Mapping'!H13&gt;=241,'(橫掃)RX Mapping'!H13&lt;=360), ('(橫掃)RX Mapping'!H13-241),IF(AND('(橫掃)RX Mapping'!H13&gt;=361,'(橫掃)RX Mapping'!H13&lt;=480), (-1)*('(橫掃)RX Mapping'!H13-480),IF(AND('(橫掃)RX Mapping'!H13&gt;=481,'(橫掃)RX Mapping'!H13&lt;=600), ('(橫掃)RX Mapping'!H13-361),IF(AND('(橫掃)RX Mapping'!H13&gt;=601,'(橫掃)RX Mapping'!H13&lt;=720), (-1)*('(橫掃)RX Mapping'!H13-720)+120,IF(AND('(橫掃)RX Mapping'!H13&gt;=721,'(橫掃)RX Mapping'!H13&lt;=840), ('(橫掃)RX Mapping'!H13-601),IF(AND('(橫掃)RX Mapping'!H13&gt;=841,'(橫掃)RX Mapping'!H13&lt;=960), (-1)*('(橫掃)RX Mapping'!H13-960)+120,9999))))))))</f>
        <v>36</v>
      </c>
      <c r="I13">
        <f>IF(AND('(橫掃)RX Mapping'!I13&gt;=1,'(橫掃)RX Mapping'!I13&lt;=120), ('(橫掃)RX Mapping'!I13-1),IF(AND('(橫掃)RX Mapping'!I13&gt;=121,'(橫掃)RX Mapping'!I13&lt;=240), (-1)*('(橫掃)RX Mapping'!I13-240),IF(AND('(橫掃)RX Mapping'!I13&gt;=241,'(橫掃)RX Mapping'!I13&lt;=360), ('(橫掃)RX Mapping'!I13-241),IF(AND('(橫掃)RX Mapping'!I13&gt;=361,'(橫掃)RX Mapping'!I13&lt;=480), (-1)*('(橫掃)RX Mapping'!I13-480),IF(AND('(橫掃)RX Mapping'!I13&gt;=481,'(橫掃)RX Mapping'!I13&lt;=600), ('(橫掃)RX Mapping'!I13-361),IF(AND('(橫掃)RX Mapping'!I13&gt;=601,'(橫掃)RX Mapping'!I13&lt;=720), (-1)*('(橫掃)RX Mapping'!I13-720)+120,IF(AND('(橫掃)RX Mapping'!I13&gt;=721,'(橫掃)RX Mapping'!I13&lt;=840), ('(橫掃)RX Mapping'!I13-601),IF(AND('(橫掃)RX Mapping'!I13&gt;=841,'(橫掃)RX Mapping'!I13&lt;=960), (-1)*('(橫掃)RX Mapping'!I13-960)+120,9999))))))))</f>
        <v>11</v>
      </c>
      <c r="J13">
        <f>IF(AND('(橫掃)RX Mapping'!J13&gt;=1,'(橫掃)RX Mapping'!J13&lt;=120), ('(橫掃)RX Mapping'!J13-1),IF(AND('(橫掃)RX Mapping'!J13&gt;=121,'(橫掃)RX Mapping'!J13&lt;=240), (-1)*('(橫掃)RX Mapping'!J13-240),IF(AND('(橫掃)RX Mapping'!J13&gt;=241,'(橫掃)RX Mapping'!J13&lt;=360), ('(橫掃)RX Mapping'!J13-241),IF(AND('(橫掃)RX Mapping'!J13&gt;=361,'(橫掃)RX Mapping'!J13&lt;=480), (-1)*('(橫掃)RX Mapping'!J13-480),IF(AND('(橫掃)RX Mapping'!J13&gt;=481,'(橫掃)RX Mapping'!J13&lt;=600), ('(橫掃)RX Mapping'!J13-361),IF(AND('(橫掃)RX Mapping'!J13&gt;=601,'(橫掃)RX Mapping'!J13&lt;=720), (-1)*('(橫掃)RX Mapping'!J13-720)+120,IF(AND('(橫掃)RX Mapping'!J13&gt;=721,'(橫掃)RX Mapping'!J13&lt;=840), ('(橫掃)RX Mapping'!J13-601),IF(AND('(橫掃)RX Mapping'!J13&gt;=841,'(橫掃)RX Mapping'!J13&lt;=960), (-1)*('(橫掃)RX Mapping'!J13-960)+120,9999))))))))</f>
        <v>43</v>
      </c>
      <c r="K13">
        <f>IF(AND('(橫掃)RX Mapping'!K13&gt;=1,'(橫掃)RX Mapping'!K13&lt;=120), ('(橫掃)RX Mapping'!K13-1),IF(AND('(橫掃)RX Mapping'!K13&gt;=121,'(橫掃)RX Mapping'!K13&lt;=240), (-1)*('(橫掃)RX Mapping'!K13-240),IF(AND('(橫掃)RX Mapping'!K13&gt;=241,'(橫掃)RX Mapping'!K13&lt;=360), ('(橫掃)RX Mapping'!K13-241),IF(AND('(橫掃)RX Mapping'!K13&gt;=361,'(橫掃)RX Mapping'!K13&lt;=480), (-1)*('(橫掃)RX Mapping'!K13-480),IF(AND('(橫掃)RX Mapping'!K13&gt;=481,'(橫掃)RX Mapping'!K13&lt;=600), ('(橫掃)RX Mapping'!K13-361),IF(AND('(橫掃)RX Mapping'!K13&gt;=601,'(橫掃)RX Mapping'!K13&lt;=720), (-1)*('(橫掃)RX Mapping'!K13-720)+120,IF(AND('(橫掃)RX Mapping'!K13&gt;=721,'(橫掃)RX Mapping'!K13&lt;=840), ('(橫掃)RX Mapping'!K13-601),IF(AND('(橫掃)RX Mapping'!K13&gt;=841,'(橫掃)RX Mapping'!K13&lt;=960), (-1)*('(橫掃)RX Mapping'!K13-960)+120,9999))))))))</f>
        <v>75</v>
      </c>
      <c r="L13">
        <f>IF(AND('(橫掃)RX Mapping'!L13&gt;=1,'(橫掃)RX Mapping'!L13&lt;=120), ('(橫掃)RX Mapping'!L13-1),IF(AND('(橫掃)RX Mapping'!L13&gt;=121,'(橫掃)RX Mapping'!L13&lt;=240), (-1)*('(橫掃)RX Mapping'!L13-240),IF(AND('(橫掃)RX Mapping'!L13&gt;=241,'(橫掃)RX Mapping'!L13&lt;=360), ('(橫掃)RX Mapping'!L13-241),IF(AND('(橫掃)RX Mapping'!L13&gt;=361,'(橫掃)RX Mapping'!L13&lt;=480), (-1)*('(橫掃)RX Mapping'!L13-480),IF(AND('(橫掃)RX Mapping'!L13&gt;=481,'(橫掃)RX Mapping'!L13&lt;=600), ('(橫掃)RX Mapping'!L13-361),IF(AND('(橫掃)RX Mapping'!L13&gt;=601,'(橫掃)RX Mapping'!L13&lt;=720), (-1)*('(橫掃)RX Mapping'!L13-720)+120,IF(AND('(橫掃)RX Mapping'!L13&gt;=721,'(橫掃)RX Mapping'!L13&lt;=840), ('(橫掃)RX Mapping'!L13-601),IF(AND('(橫掃)RX Mapping'!L13&gt;=841,'(橫掃)RX Mapping'!L13&lt;=960), (-1)*('(橫掃)RX Mapping'!L13-960)+120,9999))))))))</f>
        <v>107</v>
      </c>
      <c r="M13">
        <f>IF(AND('(橫掃)RX Mapping'!M13&gt;=1,'(橫掃)RX Mapping'!M13&lt;=120), ('(橫掃)RX Mapping'!M13-1),IF(AND('(橫掃)RX Mapping'!M13&gt;=121,'(橫掃)RX Mapping'!M13&lt;=240), (-1)*('(橫掃)RX Mapping'!M13-240),IF(AND('(橫掃)RX Mapping'!M13&gt;=241,'(橫掃)RX Mapping'!M13&lt;=360), ('(橫掃)RX Mapping'!M13-241),IF(AND('(橫掃)RX Mapping'!M13&gt;=361,'(橫掃)RX Mapping'!M13&lt;=480), (-1)*('(橫掃)RX Mapping'!M13-480),IF(AND('(橫掃)RX Mapping'!M13&gt;=481,'(橫掃)RX Mapping'!M13&lt;=600), ('(橫掃)RX Mapping'!M13-361),IF(AND('(橫掃)RX Mapping'!M13&gt;=601,'(橫掃)RX Mapping'!M13&lt;=720), (-1)*('(橫掃)RX Mapping'!M13-720)+120,IF(AND('(橫掃)RX Mapping'!M13&gt;=721,'(橫掃)RX Mapping'!M13&lt;=840), ('(橫掃)RX Mapping'!M13-601),IF(AND('(橫掃)RX Mapping'!M13&gt;=841,'(橫掃)RX Mapping'!M13&lt;=960), (-1)*('(橫掃)RX Mapping'!M13-960)+120,9999))))))))</f>
        <v>100</v>
      </c>
      <c r="N13">
        <f>IF(AND('(橫掃)RX Mapping'!N13&gt;=1,'(橫掃)RX Mapping'!N13&lt;=120), ('(橫掃)RX Mapping'!N13-1),IF(AND('(橫掃)RX Mapping'!N13&gt;=121,'(橫掃)RX Mapping'!N13&lt;=240), (-1)*('(橫掃)RX Mapping'!N13-240),IF(AND('(橫掃)RX Mapping'!N13&gt;=241,'(橫掃)RX Mapping'!N13&lt;=360), ('(橫掃)RX Mapping'!N13-241),IF(AND('(橫掃)RX Mapping'!N13&gt;=361,'(橫掃)RX Mapping'!N13&lt;=480), (-1)*('(橫掃)RX Mapping'!N13-480),IF(AND('(橫掃)RX Mapping'!N13&gt;=481,'(橫掃)RX Mapping'!N13&lt;=600), ('(橫掃)RX Mapping'!N13-361),IF(AND('(橫掃)RX Mapping'!N13&gt;=601,'(橫掃)RX Mapping'!N13&lt;=720), (-1)*('(橫掃)RX Mapping'!N13-720)+120,IF(AND('(橫掃)RX Mapping'!N13&gt;=721,'(橫掃)RX Mapping'!N13&lt;=840), ('(橫掃)RX Mapping'!N13-601),IF(AND('(橫掃)RX Mapping'!N13&gt;=841,'(橫掃)RX Mapping'!N13&lt;=960), (-1)*('(橫掃)RX Mapping'!N13-960)+120,9999))))))))</f>
        <v>68</v>
      </c>
      <c r="O13">
        <f>IF(AND('(橫掃)RX Mapping'!O13&gt;=1,'(橫掃)RX Mapping'!O13&lt;=120), ('(橫掃)RX Mapping'!O13-1),IF(AND('(橫掃)RX Mapping'!O13&gt;=121,'(橫掃)RX Mapping'!O13&lt;=240), (-1)*('(橫掃)RX Mapping'!O13-240),IF(AND('(橫掃)RX Mapping'!O13&gt;=241,'(橫掃)RX Mapping'!O13&lt;=360), ('(橫掃)RX Mapping'!O13-241),IF(AND('(橫掃)RX Mapping'!O13&gt;=361,'(橫掃)RX Mapping'!O13&lt;=480), (-1)*('(橫掃)RX Mapping'!O13-480),IF(AND('(橫掃)RX Mapping'!O13&gt;=481,'(橫掃)RX Mapping'!O13&lt;=600), ('(橫掃)RX Mapping'!O13-361),IF(AND('(橫掃)RX Mapping'!O13&gt;=601,'(橫掃)RX Mapping'!O13&lt;=720), (-1)*('(橫掃)RX Mapping'!O13-720)+120,IF(AND('(橫掃)RX Mapping'!O13&gt;=721,'(橫掃)RX Mapping'!O13&lt;=840), ('(橫掃)RX Mapping'!O13-601),IF(AND('(橫掃)RX Mapping'!O13&gt;=841,'(橫掃)RX Mapping'!O13&lt;=960), (-1)*('(橫掃)RX Mapping'!O13-960)+120,9999))))))))</f>
        <v>36</v>
      </c>
      <c r="P13">
        <f>IF(AND('(橫掃)RX Mapping'!P13&gt;=1,'(橫掃)RX Mapping'!P13&lt;=120), ('(橫掃)RX Mapping'!P13-1),IF(AND('(橫掃)RX Mapping'!P13&gt;=121,'(橫掃)RX Mapping'!P13&lt;=240), (-1)*('(橫掃)RX Mapping'!P13-240),IF(AND('(橫掃)RX Mapping'!P13&gt;=241,'(橫掃)RX Mapping'!P13&lt;=360), ('(橫掃)RX Mapping'!P13-241),IF(AND('(橫掃)RX Mapping'!P13&gt;=361,'(橫掃)RX Mapping'!P13&lt;=480), (-1)*('(橫掃)RX Mapping'!P13-480),IF(AND('(橫掃)RX Mapping'!P13&gt;=481,'(橫掃)RX Mapping'!P13&lt;=600), ('(橫掃)RX Mapping'!P13-361),IF(AND('(橫掃)RX Mapping'!P13&gt;=601,'(橫掃)RX Mapping'!P13&lt;=720), (-1)*('(橫掃)RX Mapping'!P13-720)+120,IF(AND('(橫掃)RX Mapping'!P13&gt;=721,'(橫掃)RX Mapping'!P13&lt;=840), ('(橫掃)RX Mapping'!P13-601),IF(AND('(橫掃)RX Mapping'!P13&gt;=841,'(橫掃)RX Mapping'!P13&lt;=960), (-1)*('(橫掃)RX Mapping'!P13-960)+120,9999))))))))</f>
        <v>131</v>
      </c>
      <c r="Q13">
        <f>IF(AND('(橫掃)RX Mapping'!Q13&gt;=1,'(橫掃)RX Mapping'!Q13&lt;=120), ('(橫掃)RX Mapping'!Q13-1),IF(AND('(橫掃)RX Mapping'!Q13&gt;=121,'(橫掃)RX Mapping'!Q13&lt;=240), (-1)*('(橫掃)RX Mapping'!Q13-240),IF(AND('(橫掃)RX Mapping'!Q13&gt;=241,'(橫掃)RX Mapping'!Q13&lt;=360), ('(橫掃)RX Mapping'!Q13-241),IF(AND('(橫掃)RX Mapping'!Q13&gt;=361,'(橫掃)RX Mapping'!Q13&lt;=480), (-1)*('(橫掃)RX Mapping'!Q13-480),IF(AND('(橫掃)RX Mapping'!Q13&gt;=481,'(橫掃)RX Mapping'!Q13&lt;=600), ('(橫掃)RX Mapping'!Q13-361),IF(AND('(橫掃)RX Mapping'!Q13&gt;=601,'(橫掃)RX Mapping'!Q13&lt;=720), (-1)*('(橫掃)RX Mapping'!Q13-720)+120,IF(AND('(橫掃)RX Mapping'!Q13&gt;=721,'(橫掃)RX Mapping'!Q13&lt;=840), ('(橫掃)RX Mapping'!Q13-601),IF(AND('(橫掃)RX Mapping'!Q13&gt;=841,'(橫掃)RX Mapping'!Q13&lt;=960), (-1)*('(橫掃)RX Mapping'!Q13-960)+120,9999))))))))</f>
        <v>163</v>
      </c>
      <c r="R13">
        <f>IF(AND('(橫掃)RX Mapping'!R13&gt;=1,'(橫掃)RX Mapping'!R13&lt;=120), ('(橫掃)RX Mapping'!R13-1),IF(AND('(橫掃)RX Mapping'!R13&gt;=121,'(橫掃)RX Mapping'!R13&lt;=240), (-1)*('(橫掃)RX Mapping'!R13-240),IF(AND('(橫掃)RX Mapping'!R13&gt;=241,'(橫掃)RX Mapping'!R13&lt;=360), ('(橫掃)RX Mapping'!R13-241),IF(AND('(橫掃)RX Mapping'!R13&gt;=361,'(橫掃)RX Mapping'!R13&lt;=480), (-1)*('(橫掃)RX Mapping'!R13-480),IF(AND('(橫掃)RX Mapping'!R13&gt;=481,'(橫掃)RX Mapping'!R13&lt;=600), ('(橫掃)RX Mapping'!R13-361),IF(AND('(橫掃)RX Mapping'!R13&gt;=601,'(橫掃)RX Mapping'!R13&lt;=720), (-1)*('(橫掃)RX Mapping'!R13-720)+120,IF(AND('(橫掃)RX Mapping'!R13&gt;=721,'(橫掃)RX Mapping'!R13&lt;=840), ('(橫掃)RX Mapping'!R13-601),IF(AND('(橫掃)RX Mapping'!R13&gt;=841,'(橫掃)RX Mapping'!R13&lt;=960), (-1)*('(橫掃)RX Mapping'!R13-960)+120,9999))))))))</f>
        <v>195</v>
      </c>
      <c r="S13">
        <f>IF(AND('(橫掃)RX Mapping'!S13&gt;=1,'(橫掃)RX Mapping'!S13&lt;=120), ('(橫掃)RX Mapping'!S13-1),IF(AND('(橫掃)RX Mapping'!S13&gt;=121,'(橫掃)RX Mapping'!S13&lt;=240), (-1)*('(橫掃)RX Mapping'!S13-240),IF(AND('(橫掃)RX Mapping'!S13&gt;=241,'(橫掃)RX Mapping'!S13&lt;=360), ('(橫掃)RX Mapping'!S13-241),IF(AND('(橫掃)RX Mapping'!S13&gt;=361,'(橫掃)RX Mapping'!S13&lt;=480), (-1)*('(橫掃)RX Mapping'!S13-480),IF(AND('(橫掃)RX Mapping'!S13&gt;=481,'(橫掃)RX Mapping'!S13&lt;=600), ('(橫掃)RX Mapping'!S13-361),IF(AND('(橫掃)RX Mapping'!S13&gt;=601,'(橫掃)RX Mapping'!S13&lt;=720), (-1)*('(橫掃)RX Mapping'!S13-720)+120,IF(AND('(橫掃)RX Mapping'!S13&gt;=721,'(橫掃)RX Mapping'!S13&lt;=840), ('(橫掃)RX Mapping'!S13-601),IF(AND('(橫掃)RX Mapping'!S13&gt;=841,'(橫掃)RX Mapping'!S13&lt;=960), (-1)*('(橫掃)RX Mapping'!S13-960)+120,9999))))))))</f>
        <v>227</v>
      </c>
      <c r="T13">
        <f>IF(AND('(橫掃)RX Mapping'!T13&gt;=1,'(橫掃)RX Mapping'!T13&lt;=120), ('(橫掃)RX Mapping'!T13-1),IF(AND('(橫掃)RX Mapping'!T13&gt;=121,'(橫掃)RX Mapping'!T13&lt;=240), (-1)*('(橫掃)RX Mapping'!T13-240),IF(AND('(橫掃)RX Mapping'!T13&gt;=241,'(橫掃)RX Mapping'!T13&lt;=360), ('(橫掃)RX Mapping'!T13-241),IF(AND('(橫掃)RX Mapping'!T13&gt;=361,'(橫掃)RX Mapping'!T13&lt;=480), (-1)*('(橫掃)RX Mapping'!T13-480),IF(AND('(橫掃)RX Mapping'!T13&gt;=481,'(橫掃)RX Mapping'!T13&lt;=600), ('(橫掃)RX Mapping'!T13-361),IF(AND('(橫掃)RX Mapping'!T13&gt;=601,'(橫掃)RX Mapping'!T13&lt;=720), (-1)*('(橫掃)RX Mapping'!T13-720)+120,IF(AND('(橫掃)RX Mapping'!T13&gt;=721,'(橫掃)RX Mapping'!T13&lt;=840), ('(橫掃)RX Mapping'!T13-601),IF(AND('(橫掃)RX Mapping'!T13&gt;=841,'(橫掃)RX Mapping'!T13&lt;=960), (-1)*('(橫掃)RX Mapping'!T13-960)+120,9999))))))))</f>
        <v>220</v>
      </c>
      <c r="U13">
        <f>IF(AND('(橫掃)RX Mapping'!U13&gt;=1,'(橫掃)RX Mapping'!U13&lt;=120), ('(橫掃)RX Mapping'!U13-1),IF(AND('(橫掃)RX Mapping'!U13&gt;=121,'(橫掃)RX Mapping'!U13&lt;=240), (-1)*('(橫掃)RX Mapping'!U13-240),IF(AND('(橫掃)RX Mapping'!U13&gt;=241,'(橫掃)RX Mapping'!U13&lt;=360), ('(橫掃)RX Mapping'!U13-241),IF(AND('(橫掃)RX Mapping'!U13&gt;=361,'(橫掃)RX Mapping'!U13&lt;=480), (-1)*('(橫掃)RX Mapping'!U13-480),IF(AND('(橫掃)RX Mapping'!U13&gt;=481,'(橫掃)RX Mapping'!U13&lt;=600), ('(橫掃)RX Mapping'!U13-361),IF(AND('(橫掃)RX Mapping'!U13&gt;=601,'(橫掃)RX Mapping'!U13&lt;=720), (-1)*('(橫掃)RX Mapping'!U13-720)+120,IF(AND('(橫掃)RX Mapping'!U13&gt;=721,'(橫掃)RX Mapping'!U13&lt;=840), ('(橫掃)RX Mapping'!U13-601),IF(AND('(橫掃)RX Mapping'!U13&gt;=841,'(橫掃)RX Mapping'!U13&lt;=960), (-1)*('(橫掃)RX Mapping'!U13-960)+120,9999))))))))</f>
        <v>188</v>
      </c>
      <c r="V13">
        <f>IF(AND('(橫掃)RX Mapping'!V13&gt;=1,'(橫掃)RX Mapping'!V13&lt;=120), ('(橫掃)RX Mapping'!V13-1),IF(AND('(橫掃)RX Mapping'!V13&gt;=121,'(橫掃)RX Mapping'!V13&lt;=240), (-1)*('(橫掃)RX Mapping'!V13-240),IF(AND('(橫掃)RX Mapping'!V13&gt;=241,'(橫掃)RX Mapping'!V13&lt;=360), ('(橫掃)RX Mapping'!V13-241),IF(AND('(橫掃)RX Mapping'!V13&gt;=361,'(橫掃)RX Mapping'!V13&lt;=480), (-1)*('(橫掃)RX Mapping'!V13-480),IF(AND('(橫掃)RX Mapping'!V13&gt;=481,'(橫掃)RX Mapping'!V13&lt;=600), ('(橫掃)RX Mapping'!V13-361),IF(AND('(橫掃)RX Mapping'!V13&gt;=601,'(橫掃)RX Mapping'!V13&lt;=720), (-1)*('(橫掃)RX Mapping'!V13-720)+120,IF(AND('(橫掃)RX Mapping'!V13&gt;=721,'(橫掃)RX Mapping'!V13&lt;=840), ('(橫掃)RX Mapping'!V13-601),IF(AND('(橫掃)RX Mapping'!V13&gt;=841,'(橫掃)RX Mapping'!V13&lt;=960), (-1)*('(橫掃)RX Mapping'!V13-960)+120,9999))))))))</f>
        <v>156</v>
      </c>
      <c r="W13">
        <f>IF(AND('(橫掃)RX Mapping'!W13&gt;=1,'(橫掃)RX Mapping'!W13&lt;=120), ('(橫掃)RX Mapping'!W13-1),IF(AND('(橫掃)RX Mapping'!W13&gt;=121,'(橫掃)RX Mapping'!W13&lt;=240), (-1)*('(橫掃)RX Mapping'!W13-240),IF(AND('(橫掃)RX Mapping'!W13&gt;=241,'(橫掃)RX Mapping'!W13&lt;=360), ('(橫掃)RX Mapping'!W13-241),IF(AND('(橫掃)RX Mapping'!W13&gt;=361,'(橫掃)RX Mapping'!W13&lt;=480), (-1)*('(橫掃)RX Mapping'!W13-480),IF(AND('(橫掃)RX Mapping'!W13&gt;=481,'(橫掃)RX Mapping'!W13&lt;=600), ('(橫掃)RX Mapping'!W13-361),IF(AND('(橫掃)RX Mapping'!W13&gt;=601,'(橫掃)RX Mapping'!W13&lt;=720), (-1)*('(橫掃)RX Mapping'!W13-720)+120,IF(AND('(橫掃)RX Mapping'!W13&gt;=721,'(橫掃)RX Mapping'!W13&lt;=840), ('(橫掃)RX Mapping'!W13-601),IF(AND('(橫掃)RX Mapping'!W13&gt;=841,'(橫掃)RX Mapping'!W13&lt;=960), (-1)*('(橫掃)RX Mapping'!W13-960)+120,9999))))))))</f>
        <v>131</v>
      </c>
      <c r="X13">
        <f>IF(AND('(橫掃)RX Mapping'!X13&gt;=1,'(橫掃)RX Mapping'!X13&lt;=120), ('(橫掃)RX Mapping'!X13-1),IF(AND('(橫掃)RX Mapping'!X13&gt;=121,'(橫掃)RX Mapping'!X13&lt;=240), (-1)*('(橫掃)RX Mapping'!X13-240),IF(AND('(橫掃)RX Mapping'!X13&gt;=241,'(橫掃)RX Mapping'!X13&lt;=360), ('(橫掃)RX Mapping'!X13-241),IF(AND('(橫掃)RX Mapping'!X13&gt;=361,'(橫掃)RX Mapping'!X13&lt;=480), (-1)*('(橫掃)RX Mapping'!X13-480),IF(AND('(橫掃)RX Mapping'!X13&gt;=481,'(橫掃)RX Mapping'!X13&lt;=600), ('(橫掃)RX Mapping'!X13-361),IF(AND('(橫掃)RX Mapping'!X13&gt;=601,'(橫掃)RX Mapping'!X13&lt;=720), (-1)*('(橫掃)RX Mapping'!X13-720)+120,IF(AND('(橫掃)RX Mapping'!X13&gt;=721,'(橫掃)RX Mapping'!X13&lt;=840), ('(橫掃)RX Mapping'!X13-601),IF(AND('(橫掃)RX Mapping'!X13&gt;=841,'(橫掃)RX Mapping'!X13&lt;=960), (-1)*('(橫掃)RX Mapping'!X13-960)+120,9999))))))))</f>
        <v>163</v>
      </c>
      <c r="Y13">
        <f>IF(AND('(橫掃)RX Mapping'!Y13&gt;=1,'(橫掃)RX Mapping'!Y13&lt;=120), ('(橫掃)RX Mapping'!Y13-1),IF(AND('(橫掃)RX Mapping'!Y13&gt;=121,'(橫掃)RX Mapping'!Y13&lt;=240), (-1)*('(橫掃)RX Mapping'!Y13-240),IF(AND('(橫掃)RX Mapping'!Y13&gt;=241,'(橫掃)RX Mapping'!Y13&lt;=360), ('(橫掃)RX Mapping'!Y13-241),IF(AND('(橫掃)RX Mapping'!Y13&gt;=361,'(橫掃)RX Mapping'!Y13&lt;=480), (-1)*('(橫掃)RX Mapping'!Y13-480),IF(AND('(橫掃)RX Mapping'!Y13&gt;=481,'(橫掃)RX Mapping'!Y13&lt;=600), ('(橫掃)RX Mapping'!Y13-361),IF(AND('(橫掃)RX Mapping'!Y13&gt;=601,'(橫掃)RX Mapping'!Y13&lt;=720), (-1)*('(橫掃)RX Mapping'!Y13-720)+120,IF(AND('(橫掃)RX Mapping'!Y13&gt;=721,'(橫掃)RX Mapping'!Y13&lt;=840), ('(橫掃)RX Mapping'!Y13-601),IF(AND('(橫掃)RX Mapping'!Y13&gt;=841,'(橫掃)RX Mapping'!Y13&lt;=960), (-1)*('(橫掃)RX Mapping'!Y13-960)+120,9999))))))))</f>
        <v>195</v>
      </c>
      <c r="Z13">
        <f>IF(AND('(橫掃)RX Mapping'!Z13&gt;=1,'(橫掃)RX Mapping'!Z13&lt;=120), ('(橫掃)RX Mapping'!Z13-1),IF(AND('(橫掃)RX Mapping'!Z13&gt;=121,'(橫掃)RX Mapping'!Z13&lt;=240), (-1)*('(橫掃)RX Mapping'!Z13-240),IF(AND('(橫掃)RX Mapping'!Z13&gt;=241,'(橫掃)RX Mapping'!Z13&lt;=360), ('(橫掃)RX Mapping'!Z13-241),IF(AND('(橫掃)RX Mapping'!Z13&gt;=361,'(橫掃)RX Mapping'!Z13&lt;=480), (-1)*('(橫掃)RX Mapping'!Z13-480),IF(AND('(橫掃)RX Mapping'!Z13&gt;=481,'(橫掃)RX Mapping'!Z13&lt;=600), ('(橫掃)RX Mapping'!Z13-361),IF(AND('(橫掃)RX Mapping'!Z13&gt;=601,'(橫掃)RX Mapping'!Z13&lt;=720), (-1)*('(橫掃)RX Mapping'!Z13-720)+120,IF(AND('(橫掃)RX Mapping'!Z13&gt;=721,'(橫掃)RX Mapping'!Z13&lt;=840), ('(橫掃)RX Mapping'!Z13-601),IF(AND('(橫掃)RX Mapping'!Z13&gt;=841,'(橫掃)RX Mapping'!Z13&lt;=960), (-1)*('(橫掃)RX Mapping'!Z13-960)+120,9999))))))))</f>
        <v>227</v>
      </c>
      <c r="AA13">
        <f>IF(AND('(橫掃)RX Mapping'!AA13&gt;=1,'(橫掃)RX Mapping'!AA13&lt;=120), ('(橫掃)RX Mapping'!AA13-1),IF(AND('(橫掃)RX Mapping'!AA13&gt;=121,'(橫掃)RX Mapping'!AA13&lt;=240), (-1)*('(橫掃)RX Mapping'!AA13-240),IF(AND('(橫掃)RX Mapping'!AA13&gt;=241,'(橫掃)RX Mapping'!AA13&lt;=360), ('(橫掃)RX Mapping'!AA13-241),IF(AND('(橫掃)RX Mapping'!AA13&gt;=361,'(橫掃)RX Mapping'!AA13&lt;=480), (-1)*('(橫掃)RX Mapping'!AA13-480),IF(AND('(橫掃)RX Mapping'!AA13&gt;=481,'(橫掃)RX Mapping'!AA13&lt;=600), ('(橫掃)RX Mapping'!AA13-361),IF(AND('(橫掃)RX Mapping'!AA13&gt;=601,'(橫掃)RX Mapping'!AA13&lt;=720), (-1)*('(橫掃)RX Mapping'!AA13-720)+120,IF(AND('(橫掃)RX Mapping'!AA13&gt;=721,'(橫掃)RX Mapping'!AA13&lt;=840), ('(橫掃)RX Mapping'!AA13-601),IF(AND('(橫掃)RX Mapping'!AA13&gt;=841,'(橫掃)RX Mapping'!AA13&lt;=960), (-1)*('(橫掃)RX Mapping'!AA13-960)+120,9999))))))))</f>
        <v>220</v>
      </c>
      <c r="AB13">
        <f>IF(AND('(橫掃)RX Mapping'!AB13&gt;=1,'(橫掃)RX Mapping'!AB13&lt;=120), ('(橫掃)RX Mapping'!AB13-1),IF(AND('(橫掃)RX Mapping'!AB13&gt;=121,'(橫掃)RX Mapping'!AB13&lt;=240), (-1)*('(橫掃)RX Mapping'!AB13-240),IF(AND('(橫掃)RX Mapping'!AB13&gt;=241,'(橫掃)RX Mapping'!AB13&lt;=360), ('(橫掃)RX Mapping'!AB13-241),IF(AND('(橫掃)RX Mapping'!AB13&gt;=361,'(橫掃)RX Mapping'!AB13&lt;=480), (-1)*('(橫掃)RX Mapping'!AB13-480),IF(AND('(橫掃)RX Mapping'!AB13&gt;=481,'(橫掃)RX Mapping'!AB13&lt;=600), ('(橫掃)RX Mapping'!AB13-361),IF(AND('(橫掃)RX Mapping'!AB13&gt;=601,'(橫掃)RX Mapping'!AB13&lt;=720), (-1)*('(橫掃)RX Mapping'!AB13-720)+120,IF(AND('(橫掃)RX Mapping'!AB13&gt;=721,'(橫掃)RX Mapping'!AB13&lt;=840), ('(橫掃)RX Mapping'!AB13-601),IF(AND('(橫掃)RX Mapping'!AB13&gt;=841,'(橫掃)RX Mapping'!AB13&lt;=960), (-1)*('(橫掃)RX Mapping'!AB13-960)+120,9999))))))))</f>
        <v>188</v>
      </c>
      <c r="AC13">
        <f>IF(AND('(橫掃)RX Mapping'!AC13&gt;=1,'(橫掃)RX Mapping'!AC13&lt;=120), ('(橫掃)RX Mapping'!AC13-1),IF(AND('(橫掃)RX Mapping'!AC13&gt;=121,'(橫掃)RX Mapping'!AC13&lt;=240), (-1)*('(橫掃)RX Mapping'!AC13-240),IF(AND('(橫掃)RX Mapping'!AC13&gt;=241,'(橫掃)RX Mapping'!AC13&lt;=360), ('(橫掃)RX Mapping'!AC13-241),IF(AND('(橫掃)RX Mapping'!AC13&gt;=361,'(橫掃)RX Mapping'!AC13&lt;=480), (-1)*('(橫掃)RX Mapping'!AC13-480),IF(AND('(橫掃)RX Mapping'!AC13&gt;=481,'(橫掃)RX Mapping'!AC13&lt;=600), ('(橫掃)RX Mapping'!AC13-361),IF(AND('(橫掃)RX Mapping'!AC13&gt;=601,'(橫掃)RX Mapping'!AC13&lt;=720), (-1)*('(橫掃)RX Mapping'!AC13-720)+120,IF(AND('(橫掃)RX Mapping'!AC13&gt;=721,'(橫掃)RX Mapping'!AC13&lt;=840), ('(橫掃)RX Mapping'!AC13-601),IF(AND('(橫掃)RX Mapping'!AC13&gt;=841,'(橫掃)RX Mapping'!AC13&lt;=960), (-1)*('(橫掃)RX Mapping'!AC13-960)+120,9999))))))))</f>
        <v>156</v>
      </c>
      <c r="AD13">
        <f>IF(AND('(橫掃)RX Mapping'!AD13&gt;=1,'(橫掃)RX Mapping'!AD13&lt;=120), ('(橫掃)RX Mapping'!AD13-1),IF(AND('(橫掃)RX Mapping'!AD13&gt;=121,'(橫掃)RX Mapping'!AD13&lt;=240), (-1)*('(橫掃)RX Mapping'!AD13-240),IF(AND('(橫掃)RX Mapping'!AD13&gt;=241,'(橫掃)RX Mapping'!AD13&lt;=360), ('(橫掃)RX Mapping'!AD13-241),IF(AND('(橫掃)RX Mapping'!AD13&gt;=361,'(橫掃)RX Mapping'!AD13&lt;=480), (-1)*('(橫掃)RX Mapping'!AD13-480),IF(AND('(橫掃)RX Mapping'!AD13&gt;=481,'(橫掃)RX Mapping'!AD13&lt;=600), ('(橫掃)RX Mapping'!AD13-361),IF(AND('(橫掃)RX Mapping'!AD13&gt;=601,'(橫掃)RX Mapping'!AD13&lt;=720), (-1)*('(橫掃)RX Mapping'!AD13-720)+120,IF(AND('(橫掃)RX Mapping'!AD13&gt;=721,'(橫掃)RX Mapping'!AD13&lt;=840), ('(橫掃)RX Mapping'!AD13-601),IF(AND('(橫掃)RX Mapping'!AD13&gt;=841,'(橫掃)RX Mapping'!AD13&lt;=960), (-1)*('(橫掃)RX Mapping'!AD13-960)+120,9999))))))))</f>
        <v>9999</v>
      </c>
      <c r="AE13">
        <f>IF(AND('(橫掃)RX Mapping'!AE13&gt;=1,'(橫掃)RX Mapping'!AE13&lt;=120), ('(橫掃)RX Mapping'!AE13-1),IF(AND('(橫掃)RX Mapping'!AE13&gt;=121,'(橫掃)RX Mapping'!AE13&lt;=240), (-1)*('(橫掃)RX Mapping'!AE13-240),IF(AND('(橫掃)RX Mapping'!AE13&gt;=241,'(橫掃)RX Mapping'!AE13&lt;=360), ('(橫掃)RX Mapping'!AE13-241),IF(AND('(橫掃)RX Mapping'!AE13&gt;=361,'(橫掃)RX Mapping'!AE13&lt;=480), (-1)*('(橫掃)RX Mapping'!AE13-480),IF(AND('(橫掃)RX Mapping'!AE13&gt;=481,'(橫掃)RX Mapping'!AE13&lt;=600), ('(橫掃)RX Mapping'!AE13-361),IF(AND('(橫掃)RX Mapping'!AE13&gt;=601,'(橫掃)RX Mapping'!AE13&lt;=720), (-1)*('(橫掃)RX Mapping'!AE13-720)+120,IF(AND('(橫掃)RX Mapping'!AE13&gt;=721,'(橫掃)RX Mapping'!AE13&lt;=840), ('(橫掃)RX Mapping'!AE13-601),IF(AND('(橫掃)RX Mapping'!AE13&gt;=841,'(橫掃)RX Mapping'!AE13&lt;=960), (-1)*('(橫掃)RX Mapping'!AE13-960)+120,9999))))))))</f>
        <v>9999</v>
      </c>
      <c r="AF13">
        <f>IF(AND('(橫掃)RX Mapping'!AF13&gt;=1,'(橫掃)RX Mapping'!AF13&lt;=120), ('(橫掃)RX Mapping'!AF13-1),IF(AND('(橫掃)RX Mapping'!AF13&gt;=121,'(橫掃)RX Mapping'!AF13&lt;=240), (-1)*('(橫掃)RX Mapping'!AF13-240),IF(AND('(橫掃)RX Mapping'!AF13&gt;=241,'(橫掃)RX Mapping'!AF13&lt;=360), ('(橫掃)RX Mapping'!AF13-241),IF(AND('(橫掃)RX Mapping'!AF13&gt;=361,'(橫掃)RX Mapping'!AF13&lt;=480), (-1)*('(橫掃)RX Mapping'!AF13-480),IF(AND('(橫掃)RX Mapping'!AF13&gt;=481,'(橫掃)RX Mapping'!AF13&lt;=600), ('(橫掃)RX Mapping'!AF13-361),IF(AND('(橫掃)RX Mapping'!AF13&gt;=601,'(橫掃)RX Mapping'!AF13&lt;=720), (-1)*('(橫掃)RX Mapping'!AF13-720)+120,IF(AND('(橫掃)RX Mapping'!AF13&gt;=721,'(橫掃)RX Mapping'!AF13&lt;=840), ('(橫掃)RX Mapping'!AF13-601),IF(AND('(橫掃)RX Mapping'!AF13&gt;=841,'(橫掃)RX Mapping'!AF13&lt;=960), (-1)*('(橫掃)RX Mapping'!AF13-960)+120,9999))))))))</f>
        <v>9999</v>
      </c>
      <c r="AG13">
        <f>IF(AND('(橫掃)RX Mapping'!AG13&gt;=1,'(橫掃)RX Mapping'!AG13&lt;=120), ('(橫掃)RX Mapping'!AG13-1),IF(AND('(橫掃)RX Mapping'!AG13&gt;=121,'(橫掃)RX Mapping'!AG13&lt;=240), (-1)*('(橫掃)RX Mapping'!AG13-240),IF(AND('(橫掃)RX Mapping'!AG13&gt;=241,'(橫掃)RX Mapping'!AG13&lt;=360), ('(橫掃)RX Mapping'!AG13-241),IF(AND('(橫掃)RX Mapping'!AG13&gt;=361,'(橫掃)RX Mapping'!AG13&lt;=480), (-1)*('(橫掃)RX Mapping'!AG13-480),IF(AND('(橫掃)RX Mapping'!AG13&gt;=481,'(橫掃)RX Mapping'!AG13&lt;=600), ('(橫掃)RX Mapping'!AG13-361),IF(AND('(橫掃)RX Mapping'!AG13&gt;=601,'(橫掃)RX Mapping'!AG13&lt;=720), (-1)*('(橫掃)RX Mapping'!AG13-720)+120,IF(AND('(橫掃)RX Mapping'!AG13&gt;=721,'(橫掃)RX Mapping'!AG13&lt;=840), ('(橫掃)RX Mapping'!AG13-601),IF(AND('(橫掃)RX Mapping'!AG13&gt;=841,'(橫掃)RX Mapping'!AG13&lt;=960), (-1)*('(橫掃)RX Mapping'!AG13-960)+120,9999))))))))</f>
        <v>9999</v>
      </c>
      <c r="AH13">
        <f>IF(AND('(橫掃)RX Mapping'!AH13&gt;=1,'(橫掃)RX Mapping'!AH13&lt;=120), ('(橫掃)RX Mapping'!AH13-1),IF(AND('(橫掃)RX Mapping'!AH13&gt;=121,'(橫掃)RX Mapping'!AH13&lt;=240), (-1)*('(橫掃)RX Mapping'!AH13-240),IF(AND('(橫掃)RX Mapping'!AH13&gt;=241,'(橫掃)RX Mapping'!AH13&lt;=360), ('(橫掃)RX Mapping'!AH13-241),IF(AND('(橫掃)RX Mapping'!AH13&gt;=361,'(橫掃)RX Mapping'!AH13&lt;=480), (-1)*('(橫掃)RX Mapping'!AH13-480),IF(AND('(橫掃)RX Mapping'!AH13&gt;=481,'(橫掃)RX Mapping'!AH13&lt;=600), ('(橫掃)RX Mapping'!AH13-361),IF(AND('(橫掃)RX Mapping'!AH13&gt;=601,'(橫掃)RX Mapping'!AH13&lt;=720), (-1)*('(橫掃)RX Mapping'!AH13-720)+120,IF(AND('(橫掃)RX Mapping'!AH13&gt;=721,'(橫掃)RX Mapping'!AH13&lt;=840), ('(橫掃)RX Mapping'!AH13-601),IF(AND('(橫掃)RX Mapping'!AH13&gt;=841,'(橫掃)RX Mapping'!AH13&lt;=960), (-1)*('(橫掃)RX Mapping'!AH13-960)+120,9999))))))))</f>
        <v>9999</v>
      </c>
      <c r="AI13">
        <f>IF(AND('(橫掃)RX Mapping'!AI13&gt;=1,'(橫掃)RX Mapping'!AI13&lt;=120), ('(橫掃)RX Mapping'!AI13-1),IF(AND('(橫掃)RX Mapping'!AI13&gt;=121,'(橫掃)RX Mapping'!AI13&lt;=240), (-1)*('(橫掃)RX Mapping'!AI13-240),IF(AND('(橫掃)RX Mapping'!AI13&gt;=241,'(橫掃)RX Mapping'!AI13&lt;=360), ('(橫掃)RX Mapping'!AI13-241),IF(AND('(橫掃)RX Mapping'!AI13&gt;=361,'(橫掃)RX Mapping'!AI13&lt;=480), (-1)*('(橫掃)RX Mapping'!AI13-480),IF(AND('(橫掃)RX Mapping'!AI13&gt;=481,'(橫掃)RX Mapping'!AI13&lt;=600), ('(橫掃)RX Mapping'!AI13-361),IF(AND('(橫掃)RX Mapping'!AI13&gt;=601,'(橫掃)RX Mapping'!AI13&lt;=720), (-1)*('(橫掃)RX Mapping'!AI13-720)+120,IF(AND('(橫掃)RX Mapping'!AI13&gt;=721,'(橫掃)RX Mapping'!AI13&lt;=840), ('(橫掃)RX Mapping'!AI13-601),IF(AND('(橫掃)RX Mapping'!AI13&gt;=841,'(橫掃)RX Mapping'!AI13&lt;=960), (-1)*('(橫掃)RX Mapping'!AI13-960)+120,9999))))))))</f>
        <v>9999</v>
      </c>
      <c r="AJ13">
        <f>IF(AND('(橫掃)RX Mapping'!AJ13&gt;=1,'(橫掃)RX Mapping'!AJ13&lt;=120), ('(橫掃)RX Mapping'!AJ13-1),IF(AND('(橫掃)RX Mapping'!AJ13&gt;=121,'(橫掃)RX Mapping'!AJ13&lt;=240), (-1)*('(橫掃)RX Mapping'!AJ13-240),IF(AND('(橫掃)RX Mapping'!AJ13&gt;=241,'(橫掃)RX Mapping'!AJ13&lt;=360), ('(橫掃)RX Mapping'!AJ13-241),IF(AND('(橫掃)RX Mapping'!AJ13&gt;=361,'(橫掃)RX Mapping'!AJ13&lt;=480), (-1)*('(橫掃)RX Mapping'!AJ13-480),IF(AND('(橫掃)RX Mapping'!AJ13&gt;=481,'(橫掃)RX Mapping'!AJ13&lt;=600), ('(橫掃)RX Mapping'!AJ13-361),IF(AND('(橫掃)RX Mapping'!AJ13&gt;=601,'(橫掃)RX Mapping'!AJ13&lt;=720), (-1)*('(橫掃)RX Mapping'!AJ13-720)+120,IF(AND('(橫掃)RX Mapping'!AJ13&gt;=721,'(橫掃)RX Mapping'!AJ13&lt;=840), ('(橫掃)RX Mapping'!AJ13-601),IF(AND('(橫掃)RX Mapping'!AJ13&gt;=841,'(橫掃)RX Mapping'!AJ13&lt;=960), (-1)*('(橫掃)RX Mapping'!AJ13-960)+120,9999))))))))</f>
        <v>9999</v>
      </c>
      <c r="AK13">
        <f>IF(AND('(橫掃)RX Mapping'!AK13&gt;=1,'(橫掃)RX Mapping'!AK13&lt;=120), ('(橫掃)RX Mapping'!AK13-1),IF(AND('(橫掃)RX Mapping'!AK13&gt;=121,'(橫掃)RX Mapping'!AK13&lt;=240), (-1)*('(橫掃)RX Mapping'!AK13-240),IF(AND('(橫掃)RX Mapping'!AK13&gt;=241,'(橫掃)RX Mapping'!AK13&lt;=360), ('(橫掃)RX Mapping'!AK13-241),IF(AND('(橫掃)RX Mapping'!AK13&gt;=361,'(橫掃)RX Mapping'!AK13&lt;=480), (-1)*('(橫掃)RX Mapping'!AK13-480),IF(AND('(橫掃)RX Mapping'!AK13&gt;=481,'(橫掃)RX Mapping'!AK13&lt;=600), ('(橫掃)RX Mapping'!AK13-361),IF(AND('(橫掃)RX Mapping'!AK13&gt;=601,'(橫掃)RX Mapping'!AK13&lt;=720), (-1)*('(橫掃)RX Mapping'!AK13-720)+120,IF(AND('(橫掃)RX Mapping'!AK13&gt;=721,'(橫掃)RX Mapping'!AK13&lt;=840), ('(橫掃)RX Mapping'!AK13-601),IF(AND('(橫掃)RX Mapping'!AK13&gt;=841,'(橫掃)RX Mapping'!AK13&lt;=960), (-1)*('(橫掃)RX Mapping'!AK13-960)+120,9999))))))))</f>
        <v>9999</v>
      </c>
      <c r="AL13">
        <f>IF(AND('(橫掃)RX Mapping'!AL13&gt;=1,'(橫掃)RX Mapping'!AL13&lt;=120), ('(橫掃)RX Mapping'!AL13-1),IF(AND('(橫掃)RX Mapping'!AL13&gt;=121,'(橫掃)RX Mapping'!AL13&lt;=240), (-1)*('(橫掃)RX Mapping'!AL13-240),IF(AND('(橫掃)RX Mapping'!AL13&gt;=241,'(橫掃)RX Mapping'!AL13&lt;=360), ('(橫掃)RX Mapping'!AL13-241),IF(AND('(橫掃)RX Mapping'!AL13&gt;=361,'(橫掃)RX Mapping'!AL13&lt;=480), (-1)*('(橫掃)RX Mapping'!AL13-480),IF(AND('(橫掃)RX Mapping'!AL13&gt;=481,'(橫掃)RX Mapping'!AL13&lt;=600), ('(橫掃)RX Mapping'!AL13-361),IF(AND('(橫掃)RX Mapping'!AL13&gt;=601,'(橫掃)RX Mapping'!AL13&lt;=720), (-1)*('(橫掃)RX Mapping'!AL13-720)+120,IF(AND('(橫掃)RX Mapping'!AL13&gt;=721,'(橫掃)RX Mapping'!AL13&lt;=840), ('(橫掃)RX Mapping'!AL13-601),IF(AND('(橫掃)RX Mapping'!AL13&gt;=841,'(橫掃)RX Mapping'!AL13&lt;=960), (-1)*('(橫掃)RX Mapping'!AL13-960)+120,9999))))))))</f>
        <v>9999</v>
      </c>
      <c r="AM13">
        <f>IF(AND('(橫掃)RX Mapping'!AM13&gt;=1,'(橫掃)RX Mapping'!AM13&lt;=120), ('(橫掃)RX Mapping'!AM13-1),IF(AND('(橫掃)RX Mapping'!AM13&gt;=121,'(橫掃)RX Mapping'!AM13&lt;=240), (-1)*('(橫掃)RX Mapping'!AM13-240),IF(AND('(橫掃)RX Mapping'!AM13&gt;=241,'(橫掃)RX Mapping'!AM13&lt;=360), ('(橫掃)RX Mapping'!AM13-241),IF(AND('(橫掃)RX Mapping'!AM13&gt;=361,'(橫掃)RX Mapping'!AM13&lt;=480), (-1)*('(橫掃)RX Mapping'!AM13-480),IF(AND('(橫掃)RX Mapping'!AM13&gt;=481,'(橫掃)RX Mapping'!AM13&lt;=600), ('(橫掃)RX Mapping'!AM13-361),IF(AND('(橫掃)RX Mapping'!AM13&gt;=601,'(橫掃)RX Mapping'!AM13&lt;=720), (-1)*('(橫掃)RX Mapping'!AM13-720)+120,IF(AND('(橫掃)RX Mapping'!AM13&gt;=721,'(橫掃)RX Mapping'!AM13&lt;=840), ('(橫掃)RX Mapping'!AM13-601),IF(AND('(橫掃)RX Mapping'!AM13&gt;=841,'(橫掃)RX Mapping'!AM13&lt;=960), (-1)*('(橫掃)RX Mapping'!AM13-960)+120,9999))))))))</f>
        <v>9999</v>
      </c>
      <c r="AN13">
        <f>IF(AND('(橫掃)RX Mapping'!AN13&gt;=1,'(橫掃)RX Mapping'!AN13&lt;=120), ('(橫掃)RX Mapping'!AN13-1),IF(AND('(橫掃)RX Mapping'!AN13&gt;=121,'(橫掃)RX Mapping'!AN13&lt;=240), (-1)*('(橫掃)RX Mapping'!AN13-240),IF(AND('(橫掃)RX Mapping'!AN13&gt;=241,'(橫掃)RX Mapping'!AN13&lt;=360), ('(橫掃)RX Mapping'!AN13-241),IF(AND('(橫掃)RX Mapping'!AN13&gt;=361,'(橫掃)RX Mapping'!AN13&lt;=480), (-1)*('(橫掃)RX Mapping'!AN13-480),IF(AND('(橫掃)RX Mapping'!AN13&gt;=481,'(橫掃)RX Mapping'!AN13&lt;=600), ('(橫掃)RX Mapping'!AN13-361),IF(AND('(橫掃)RX Mapping'!AN13&gt;=601,'(橫掃)RX Mapping'!AN13&lt;=720), (-1)*('(橫掃)RX Mapping'!AN13-720)+120,IF(AND('(橫掃)RX Mapping'!AN13&gt;=721,'(橫掃)RX Mapping'!AN13&lt;=840), ('(橫掃)RX Mapping'!AN13-601),IF(AND('(橫掃)RX Mapping'!AN13&gt;=841,'(橫掃)RX Mapping'!AN13&lt;=960), (-1)*('(橫掃)RX Mapping'!AN13-960)+120,9999))))))))</f>
        <v>9999</v>
      </c>
      <c r="AO13">
        <f>IF(AND('(橫掃)RX Mapping'!AO13&gt;=1,'(橫掃)RX Mapping'!AO13&lt;=120), ('(橫掃)RX Mapping'!AO13-1),IF(AND('(橫掃)RX Mapping'!AO13&gt;=121,'(橫掃)RX Mapping'!AO13&lt;=240), (-1)*('(橫掃)RX Mapping'!AO13-240),IF(AND('(橫掃)RX Mapping'!AO13&gt;=241,'(橫掃)RX Mapping'!AO13&lt;=360), ('(橫掃)RX Mapping'!AO13-241),IF(AND('(橫掃)RX Mapping'!AO13&gt;=361,'(橫掃)RX Mapping'!AO13&lt;=480), (-1)*('(橫掃)RX Mapping'!AO13-480),IF(AND('(橫掃)RX Mapping'!AO13&gt;=481,'(橫掃)RX Mapping'!AO13&lt;=600), ('(橫掃)RX Mapping'!AO13-361),IF(AND('(橫掃)RX Mapping'!AO13&gt;=601,'(橫掃)RX Mapping'!AO13&lt;=720), (-1)*('(橫掃)RX Mapping'!AO13-720)+120,IF(AND('(橫掃)RX Mapping'!AO13&gt;=721,'(橫掃)RX Mapping'!AO13&lt;=840), ('(橫掃)RX Mapping'!AO13-601),IF(AND('(橫掃)RX Mapping'!AO13&gt;=841,'(橫掃)RX Mapping'!AO13&lt;=960), (-1)*('(橫掃)RX Mapping'!AO13-960)+120,9999))))))))</f>
        <v>9999</v>
      </c>
      <c r="AP13">
        <f>IF(AND('(橫掃)RX Mapping'!AP13&gt;=1,'(橫掃)RX Mapping'!AP13&lt;=120), ('(橫掃)RX Mapping'!AP13-1),IF(AND('(橫掃)RX Mapping'!AP13&gt;=121,'(橫掃)RX Mapping'!AP13&lt;=240), (-1)*('(橫掃)RX Mapping'!AP13-240),IF(AND('(橫掃)RX Mapping'!AP13&gt;=241,'(橫掃)RX Mapping'!AP13&lt;=360), ('(橫掃)RX Mapping'!AP13-241),IF(AND('(橫掃)RX Mapping'!AP13&gt;=361,'(橫掃)RX Mapping'!AP13&lt;=480), (-1)*('(橫掃)RX Mapping'!AP13-480),IF(AND('(橫掃)RX Mapping'!AP13&gt;=481,'(橫掃)RX Mapping'!AP13&lt;=600), ('(橫掃)RX Mapping'!AP13-361),IF(AND('(橫掃)RX Mapping'!AP13&gt;=601,'(橫掃)RX Mapping'!AP13&lt;=720), (-1)*('(橫掃)RX Mapping'!AP13-720)+120,IF(AND('(橫掃)RX Mapping'!AP13&gt;=721,'(橫掃)RX Mapping'!AP13&lt;=840), ('(橫掃)RX Mapping'!AP13-601),IF(AND('(橫掃)RX Mapping'!AP13&gt;=841,'(橫掃)RX Mapping'!AP13&lt;=960), (-1)*('(橫掃)RX Mapping'!AP13-960)+120,9999))))))))</f>
        <v>9999</v>
      </c>
      <c r="AQ13">
        <f>IF(AND('(橫掃)RX Mapping'!AQ13&gt;=1,'(橫掃)RX Mapping'!AQ13&lt;=120), ('(橫掃)RX Mapping'!AQ13-1),IF(AND('(橫掃)RX Mapping'!AQ13&gt;=121,'(橫掃)RX Mapping'!AQ13&lt;=240), (-1)*('(橫掃)RX Mapping'!AQ13-240),IF(AND('(橫掃)RX Mapping'!AQ13&gt;=241,'(橫掃)RX Mapping'!AQ13&lt;=360), ('(橫掃)RX Mapping'!AQ13-241),IF(AND('(橫掃)RX Mapping'!AQ13&gt;=361,'(橫掃)RX Mapping'!AQ13&lt;=480), (-1)*('(橫掃)RX Mapping'!AQ13-480),IF(AND('(橫掃)RX Mapping'!AQ13&gt;=481,'(橫掃)RX Mapping'!AQ13&lt;=600), ('(橫掃)RX Mapping'!AQ13-361),IF(AND('(橫掃)RX Mapping'!AQ13&gt;=601,'(橫掃)RX Mapping'!AQ13&lt;=720), (-1)*('(橫掃)RX Mapping'!AQ13-720)+120,IF(AND('(橫掃)RX Mapping'!AQ13&gt;=721,'(橫掃)RX Mapping'!AQ13&lt;=840), ('(橫掃)RX Mapping'!AQ13-601),IF(AND('(橫掃)RX Mapping'!AQ13&gt;=841,'(橫掃)RX Mapping'!AQ13&lt;=960), (-1)*('(橫掃)RX Mapping'!AQ13-960)+120,9999))))))))</f>
        <v>9999</v>
      </c>
      <c r="AR13">
        <f>IF(AND('(橫掃)RX Mapping'!AR13&gt;=1,'(橫掃)RX Mapping'!AR13&lt;=120), ('(橫掃)RX Mapping'!AR13-1),IF(AND('(橫掃)RX Mapping'!AR13&gt;=121,'(橫掃)RX Mapping'!AR13&lt;=240), (-1)*('(橫掃)RX Mapping'!AR13-240),IF(AND('(橫掃)RX Mapping'!AR13&gt;=241,'(橫掃)RX Mapping'!AR13&lt;=360), ('(橫掃)RX Mapping'!AR13-241),IF(AND('(橫掃)RX Mapping'!AR13&gt;=361,'(橫掃)RX Mapping'!AR13&lt;=480), (-1)*('(橫掃)RX Mapping'!AR13-480),IF(AND('(橫掃)RX Mapping'!AR13&gt;=481,'(橫掃)RX Mapping'!AR13&lt;=600), ('(橫掃)RX Mapping'!AR13-361),IF(AND('(橫掃)RX Mapping'!AR13&gt;=601,'(橫掃)RX Mapping'!AR13&lt;=720), (-1)*('(橫掃)RX Mapping'!AR13-720)+120,IF(AND('(橫掃)RX Mapping'!AR13&gt;=721,'(橫掃)RX Mapping'!AR13&lt;=840), ('(橫掃)RX Mapping'!AR13-601),IF(AND('(橫掃)RX Mapping'!AR13&gt;=841,'(橫掃)RX Mapping'!AR13&lt;=960), (-1)*('(橫掃)RX Mapping'!AR13-960)+120,9999))))))))</f>
        <v>9999</v>
      </c>
      <c r="AS13">
        <f>IF(AND('(橫掃)RX Mapping'!AS13&gt;=1,'(橫掃)RX Mapping'!AS13&lt;=120), ('(橫掃)RX Mapping'!AS13-1),IF(AND('(橫掃)RX Mapping'!AS13&gt;=121,'(橫掃)RX Mapping'!AS13&lt;=240), (-1)*('(橫掃)RX Mapping'!AS13-240),IF(AND('(橫掃)RX Mapping'!AS13&gt;=241,'(橫掃)RX Mapping'!AS13&lt;=360), ('(橫掃)RX Mapping'!AS13-241),IF(AND('(橫掃)RX Mapping'!AS13&gt;=361,'(橫掃)RX Mapping'!AS13&lt;=480), (-1)*('(橫掃)RX Mapping'!AS13-480),IF(AND('(橫掃)RX Mapping'!AS13&gt;=481,'(橫掃)RX Mapping'!AS13&lt;=600), ('(橫掃)RX Mapping'!AS13-361),IF(AND('(橫掃)RX Mapping'!AS13&gt;=601,'(橫掃)RX Mapping'!AS13&lt;=720), (-1)*('(橫掃)RX Mapping'!AS13-720)+120,IF(AND('(橫掃)RX Mapping'!AS13&gt;=721,'(橫掃)RX Mapping'!AS13&lt;=840), ('(橫掃)RX Mapping'!AS13-601),IF(AND('(橫掃)RX Mapping'!AS13&gt;=841,'(橫掃)RX Mapping'!AS13&lt;=960), (-1)*('(橫掃)RX Mapping'!AS13-960)+120,9999))))))))</f>
        <v>9999</v>
      </c>
      <c r="AT13">
        <f>IF(AND('(橫掃)RX Mapping'!AT13&gt;=1,'(橫掃)RX Mapping'!AT13&lt;=120), ('(橫掃)RX Mapping'!AT13-1),IF(AND('(橫掃)RX Mapping'!AT13&gt;=121,'(橫掃)RX Mapping'!AT13&lt;=240), (-1)*('(橫掃)RX Mapping'!AT13-240),IF(AND('(橫掃)RX Mapping'!AT13&gt;=241,'(橫掃)RX Mapping'!AT13&lt;=360), ('(橫掃)RX Mapping'!AT13-241),IF(AND('(橫掃)RX Mapping'!AT13&gt;=361,'(橫掃)RX Mapping'!AT13&lt;=480), (-1)*('(橫掃)RX Mapping'!AT13-480),IF(AND('(橫掃)RX Mapping'!AT13&gt;=481,'(橫掃)RX Mapping'!AT13&lt;=600), ('(橫掃)RX Mapping'!AT13-361),IF(AND('(橫掃)RX Mapping'!AT13&gt;=601,'(橫掃)RX Mapping'!AT13&lt;=720), (-1)*('(橫掃)RX Mapping'!AT13-720)+120,IF(AND('(橫掃)RX Mapping'!AT13&gt;=721,'(橫掃)RX Mapping'!AT13&lt;=840), ('(橫掃)RX Mapping'!AT13-601),IF(AND('(橫掃)RX Mapping'!AT13&gt;=841,'(橫掃)RX Mapping'!AT13&lt;=960), (-1)*('(橫掃)RX Mapping'!AT13-960)+120,9999))))))))</f>
        <v>9999</v>
      </c>
      <c r="AU13">
        <f>IF(AND('(橫掃)RX Mapping'!AU13&gt;=1,'(橫掃)RX Mapping'!AU13&lt;=120), ('(橫掃)RX Mapping'!AU13-1),IF(AND('(橫掃)RX Mapping'!AU13&gt;=121,'(橫掃)RX Mapping'!AU13&lt;=240), (-1)*('(橫掃)RX Mapping'!AU13-240),IF(AND('(橫掃)RX Mapping'!AU13&gt;=241,'(橫掃)RX Mapping'!AU13&lt;=360), ('(橫掃)RX Mapping'!AU13-241),IF(AND('(橫掃)RX Mapping'!AU13&gt;=361,'(橫掃)RX Mapping'!AU13&lt;=480), (-1)*('(橫掃)RX Mapping'!AU13-480),IF(AND('(橫掃)RX Mapping'!AU13&gt;=481,'(橫掃)RX Mapping'!AU13&lt;=600), ('(橫掃)RX Mapping'!AU13-361),IF(AND('(橫掃)RX Mapping'!AU13&gt;=601,'(橫掃)RX Mapping'!AU13&lt;=720), (-1)*('(橫掃)RX Mapping'!AU13-720)+120,IF(AND('(橫掃)RX Mapping'!AU13&gt;=721,'(橫掃)RX Mapping'!AU13&lt;=840), ('(橫掃)RX Mapping'!AU13-601),IF(AND('(橫掃)RX Mapping'!AU13&gt;=841,'(橫掃)RX Mapping'!AU13&lt;=960), (-1)*('(橫掃)RX Mapping'!AU13-960)+120,9999))))))))</f>
        <v>9999</v>
      </c>
      <c r="AV13">
        <f>IF(AND('(橫掃)RX Mapping'!AV13&gt;=1,'(橫掃)RX Mapping'!AV13&lt;=120), ('(橫掃)RX Mapping'!AV13-1),IF(AND('(橫掃)RX Mapping'!AV13&gt;=121,'(橫掃)RX Mapping'!AV13&lt;=240), (-1)*('(橫掃)RX Mapping'!AV13-240),IF(AND('(橫掃)RX Mapping'!AV13&gt;=241,'(橫掃)RX Mapping'!AV13&lt;=360), ('(橫掃)RX Mapping'!AV13-241),IF(AND('(橫掃)RX Mapping'!AV13&gt;=361,'(橫掃)RX Mapping'!AV13&lt;=480), (-1)*('(橫掃)RX Mapping'!AV13-480),IF(AND('(橫掃)RX Mapping'!AV13&gt;=481,'(橫掃)RX Mapping'!AV13&lt;=600), ('(橫掃)RX Mapping'!AV13-361),IF(AND('(橫掃)RX Mapping'!AV13&gt;=601,'(橫掃)RX Mapping'!AV13&lt;=720), (-1)*('(橫掃)RX Mapping'!AV13-720)+120,IF(AND('(橫掃)RX Mapping'!AV13&gt;=721,'(橫掃)RX Mapping'!AV13&lt;=840), ('(橫掃)RX Mapping'!AV13-601),IF(AND('(橫掃)RX Mapping'!AV13&gt;=841,'(橫掃)RX Mapping'!AV13&lt;=960), (-1)*('(橫掃)RX Mapping'!AV13-960)+120,9999))))))))</f>
        <v>9999</v>
      </c>
      <c r="AW13">
        <f>IF(AND('(橫掃)RX Mapping'!AW13&gt;=1,'(橫掃)RX Mapping'!AW13&lt;=120), ('(橫掃)RX Mapping'!AW13-1),IF(AND('(橫掃)RX Mapping'!AW13&gt;=121,'(橫掃)RX Mapping'!AW13&lt;=240), (-1)*('(橫掃)RX Mapping'!AW13-240),IF(AND('(橫掃)RX Mapping'!AW13&gt;=241,'(橫掃)RX Mapping'!AW13&lt;=360), ('(橫掃)RX Mapping'!AW13-241),IF(AND('(橫掃)RX Mapping'!AW13&gt;=361,'(橫掃)RX Mapping'!AW13&lt;=480), (-1)*('(橫掃)RX Mapping'!AW13-480),IF(AND('(橫掃)RX Mapping'!AW13&gt;=481,'(橫掃)RX Mapping'!AW13&lt;=600), ('(橫掃)RX Mapping'!AW13-361),IF(AND('(橫掃)RX Mapping'!AW13&gt;=601,'(橫掃)RX Mapping'!AW13&lt;=720), (-1)*('(橫掃)RX Mapping'!AW13-720)+120,IF(AND('(橫掃)RX Mapping'!AW13&gt;=721,'(橫掃)RX Mapping'!AW13&lt;=840), ('(橫掃)RX Mapping'!AW13-601),IF(AND('(橫掃)RX Mapping'!AW13&gt;=841,'(橫掃)RX Mapping'!AW13&lt;=960), (-1)*('(橫掃)RX Mapping'!AW13-960)+120,9999))))))))</f>
        <v>9999</v>
      </c>
      <c r="AX13">
        <f>IF(AND('(橫掃)RX Mapping'!AX13&gt;=1,'(橫掃)RX Mapping'!AX13&lt;=120), ('(橫掃)RX Mapping'!AX13-1),IF(AND('(橫掃)RX Mapping'!AX13&gt;=121,'(橫掃)RX Mapping'!AX13&lt;=240), (-1)*('(橫掃)RX Mapping'!AX13-240),IF(AND('(橫掃)RX Mapping'!AX13&gt;=241,'(橫掃)RX Mapping'!AX13&lt;=360), ('(橫掃)RX Mapping'!AX13-241),IF(AND('(橫掃)RX Mapping'!AX13&gt;=361,'(橫掃)RX Mapping'!AX13&lt;=480), (-1)*('(橫掃)RX Mapping'!AX13-480),IF(AND('(橫掃)RX Mapping'!AX13&gt;=481,'(橫掃)RX Mapping'!AX13&lt;=600), ('(橫掃)RX Mapping'!AX13-361),IF(AND('(橫掃)RX Mapping'!AX13&gt;=601,'(橫掃)RX Mapping'!AX13&lt;=720), (-1)*('(橫掃)RX Mapping'!AX13-720)+120,IF(AND('(橫掃)RX Mapping'!AX13&gt;=721,'(橫掃)RX Mapping'!AX13&lt;=840), ('(橫掃)RX Mapping'!AX13-601),IF(AND('(橫掃)RX Mapping'!AX13&gt;=841,'(橫掃)RX Mapping'!AX13&lt;=960), (-1)*('(橫掃)RX Mapping'!AX13-960)+120,9999))))))))</f>
        <v>9999</v>
      </c>
      <c r="AY13">
        <f>IF(AND('(橫掃)RX Mapping'!AY13&gt;=1,'(橫掃)RX Mapping'!AY13&lt;=120), ('(橫掃)RX Mapping'!AY13-1),IF(AND('(橫掃)RX Mapping'!AY13&gt;=121,'(橫掃)RX Mapping'!AY13&lt;=240), (-1)*('(橫掃)RX Mapping'!AY13-240),IF(AND('(橫掃)RX Mapping'!AY13&gt;=241,'(橫掃)RX Mapping'!AY13&lt;=360), ('(橫掃)RX Mapping'!AY13-241),IF(AND('(橫掃)RX Mapping'!AY13&gt;=361,'(橫掃)RX Mapping'!AY13&lt;=480), (-1)*('(橫掃)RX Mapping'!AY13-480),IF(AND('(橫掃)RX Mapping'!AY13&gt;=481,'(橫掃)RX Mapping'!AY13&lt;=600), ('(橫掃)RX Mapping'!AY13-361),IF(AND('(橫掃)RX Mapping'!AY13&gt;=601,'(橫掃)RX Mapping'!AY13&lt;=720), (-1)*('(橫掃)RX Mapping'!AY13-720)+120,IF(AND('(橫掃)RX Mapping'!AY13&gt;=721,'(橫掃)RX Mapping'!AY13&lt;=840), ('(橫掃)RX Mapping'!AY13-601),IF(AND('(橫掃)RX Mapping'!AY13&gt;=841,'(橫掃)RX Mapping'!AY13&lt;=960), (-1)*('(橫掃)RX Mapping'!AY13-960)+120,9999))))))))</f>
        <v>9999</v>
      </c>
      <c r="AZ13">
        <f>IF(AND('(橫掃)RX Mapping'!AZ13&gt;=1,'(橫掃)RX Mapping'!AZ13&lt;=120), ('(橫掃)RX Mapping'!AZ13-1),IF(AND('(橫掃)RX Mapping'!AZ13&gt;=121,'(橫掃)RX Mapping'!AZ13&lt;=240), (-1)*('(橫掃)RX Mapping'!AZ13-240),IF(AND('(橫掃)RX Mapping'!AZ13&gt;=241,'(橫掃)RX Mapping'!AZ13&lt;=360), ('(橫掃)RX Mapping'!AZ13-241),IF(AND('(橫掃)RX Mapping'!AZ13&gt;=361,'(橫掃)RX Mapping'!AZ13&lt;=480), (-1)*('(橫掃)RX Mapping'!AZ13-480),IF(AND('(橫掃)RX Mapping'!AZ13&gt;=481,'(橫掃)RX Mapping'!AZ13&lt;=600), ('(橫掃)RX Mapping'!AZ13-361),IF(AND('(橫掃)RX Mapping'!AZ13&gt;=601,'(橫掃)RX Mapping'!AZ13&lt;=720), (-1)*('(橫掃)RX Mapping'!AZ13-720)+120,IF(AND('(橫掃)RX Mapping'!AZ13&gt;=721,'(橫掃)RX Mapping'!AZ13&lt;=840), ('(橫掃)RX Mapping'!AZ13-601),IF(AND('(橫掃)RX Mapping'!AZ13&gt;=841,'(橫掃)RX Mapping'!AZ13&lt;=960), (-1)*('(橫掃)RX Mapping'!AZ13-960)+120,9999))))))))</f>
        <v>9999</v>
      </c>
      <c r="BA13">
        <f>IF(AND('(橫掃)RX Mapping'!BA13&gt;=1,'(橫掃)RX Mapping'!BA13&lt;=120), ('(橫掃)RX Mapping'!BA13-1),IF(AND('(橫掃)RX Mapping'!BA13&gt;=121,'(橫掃)RX Mapping'!BA13&lt;=240), (-1)*('(橫掃)RX Mapping'!BA13-240),IF(AND('(橫掃)RX Mapping'!BA13&gt;=241,'(橫掃)RX Mapping'!BA13&lt;=360), ('(橫掃)RX Mapping'!BA13-241),IF(AND('(橫掃)RX Mapping'!BA13&gt;=361,'(橫掃)RX Mapping'!BA13&lt;=480), (-1)*('(橫掃)RX Mapping'!BA13-480),IF(AND('(橫掃)RX Mapping'!BA13&gt;=481,'(橫掃)RX Mapping'!BA13&lt;=600), ('(橫掃)RX Mapping'!BA13-361),IF(AND('(橫掃)RX Mapping'!BA13&gt;=601,'(橫掃)RX Mapping'!BA13&lt;=720), (-1)*('(橫掃)RX Mapping'!BA13-720)+120,IF(AND('(橫掃)RX Mapping'!BA13&gt;=721,'(橫掃)RX Mapping'!BA13&lt;=840), ('(橫掃)RX Mapping'!BA13-601),IF(AND('(橫掃)RX Mapping'!BA13&gt;=841,'(橫掃)RX Mapping'!BA13&lt;=960), (-1)*('(橫掃)RX Mapping'!BA13-960)+120,9999))))))))</f>
        <v>9999</v>
      </c>
      <c r="BB13">
        <f>IF(AND('(橫掃)RX Mapping'!BB13&gt;=1,'(橫掃)RX Mapping'!BB13&lt;=120), ('(橫掃)RX Mapping'!BB13-1),IF(AND('(橫掃)RX Mapping'!BB13&gt;=121,'(橫掃)RX Mapping'!BB13&lt;=240), (-1)*('(橫掃)RX Mapping'!BB13-240),IF(AND('(橫掃)RX Mapping'!BB13&gt;=241,'(橫掃)RX Mapping'!BB13&lt;=360), ('(橫掃)RX Mapping'!BB13-241),IF(AND('(橫掃)RX Mapping'!BB13&gt;=361,'(橫掃)RX Mapping'!BB13&lt;=480), (-1)*('(橫掃)RX Mapping'!BB13-480),IF(AND('(橫掃)RX Mapping'!BB13&gt;=481,'(橫掃)RX Mapping'!BB13&lt;=600), ('(橫掃)RX Mapping'!BB13-361),IF(AND('(橫掃)RX Mapping'!BB13&gt;=601,'(橫掃)RX Mapping'!BB13&lt;=720), (-1)*('(橫掃)RX Mapping'!BB13-720)+120,IF(AND('(橫掃)RX Mapping'!BB13&gt;=721,'(橫掃)RX Mapping'!BB13&lt;=840), ('(橫掃)RX Mapping'!BB13-601),IF(AND('(橫掃)RX Mapping'!BB13&gt;=841,'(橫掃)RX Mapping'!BB13&lt;=960), (-1)*('(橫掃)RX Mapping'!BB13-960)+120,9999))))))))</f>
        <v>9999</v>
      </c>
      <c r="BC13">
        <f>IF(AND('(橫掃)RX Mapping'!BC13&gt;=1,'(橫掃)RX Mapping'!BC13&lt;=120), ('(橫掃)RX Mapping'!BC13-1),IF(AND('(橫掃)RX Mapping'!BC13&gt;=121,'(橫掃)RX Mapping'!BC13&lt;=240), (-1)*('(橫掃)RX Mapping'!BC13-240),IF(AND('(橫掃)RX Mapping'!BC13&gt;=241,'(橫掃)RX Mapping'!BC13&lt;=360), ('(橫掃)RX Mapping'!BC13-241),IF(AND('(橫掃)RX Mapping'!BC13&gt;=361,'(橫掃)RX Mapping'!BC13&lt;=480), (-1)*('(橫掃)RX Mapping'!BC13-480),IF(AND('(橫掃)RX Mapping'!BC13&gt;=481,'(橫掃)RX Mapping'!BC13&lt;=600), ('(橫掃)RX Mapping'!BC13-361),IF(AND('(橫掃)RX Mapping'!BC13&gt;=601,'(橫掃)RX Mapping'!BC13&lt;=720), (-1)*('(橫掃)RX Mapping'!BC13-720)+120,IF(AND('(橫掃)RX Mapping'!BC13&gt;=721,'(橫掃)RX Mapping'!BC13&lt;=840), ('(橫掃)RX Mapping'!BC13-601),IF(AND('(橫掃)RX Mapping'!BC13&gt;=841,'(橫掃)RX Mapping'!BC13&lt;=960), (-1)*('(橫掃)RX Mapping'!BC13-960)+120,9999))))))))</f>
        <v>9999</v>
      </c>
      <c r="BD13">
        <f>IF(AND('(橫掃)RX Mapping'!BD13&gt;=1,'(橫掃)RX Mapping'!BD13&lt;=120), ('(橫掃)RX Mapping'!BD13-1),IF(AND('(橫掃)RX Mapping'!BD13&gt;=121,'(橫掃)RX Mapping'!BD13&lt;=240), (-1)*('(橫掃)RX Mapping'!BD13-240),IF(AND('(橫掃)RX Mapping'!BD13&gt;=241,'(橫掃)RX Mapping'!BD13&lt;=360), ('(橫掃)RX Mapping'!BD13-241),IF(AND('(橫掃)RX Mapping'!BD13&gt;=361,'(橫掃)RX Mapping'!BD13&lt;=480), (-1)*('(橫掃)RX Mapping'!BD13-480),IF(AND('(橫掃)RX Mapping'!BD13&gt;=481,'(橫掃)RX Mapping'!BD13&lt;=600), ('(橫掃)RX Mapping'!BD13-361),IF(AND('(橫掃)RX Mapping'!BD13&gt;=601,'(橫掃)RX Mapping'!BD13&lt;=720), (-1)*('(橫掃)RX Mapping'!BD13-720)+120,IF(AND('(橫掃)RX Mapping'!BD13&gt;=721,'(橫掃)RX Mapping'!BD13&lt;=840), ('(橫掃)RX Mapping'!BD13-601),IF(AND('(橫掃)RX Mapping'!BD13&gt;=841,'(橫掃)RX Mapping'!BD13&lt;=960), (-1)*('(橫掃)RX Mapping'!BD13-960)+120,9999))))))))</f>
        <v>9999</v>
      </c>
      <c r="BE13">
        <f>IF(AND('(橫掃)RX Mapping'!BE13&gt;=1,'(橫掃)RX Mapping'!BE13&lt;=120), ('(橫掃)RX Mapping'!BE13-1),IF(AND('(橫掃)RX Mapping'!BE13&gt;=121,'(橫掃)RX Mapping'!BE13&lt;=240), (-1)*('(橫掃)RX Mapping'!BE13-240),IF(AND('(橫掃)RX Mapping'!BE13&gt;=241,'(橫掃)RX Mapping'!BE13&lt;=360), ('(橫掃)RX Mapping'!BE13-241),IF(AND('(橫掃)RX Mapping'!BE13&gt;=361,'(橫掃)RX Mapping'!BE13&lt;=480), (-1)*('(橫掃)RX Mapping'!BE13-480),IF(AND('(橫掃)RX Mapping'!BE13&gt;=481,'(橫掃)RX Mapping'!BE13&lt;=600), ('(橫掃)RX Mapping'!BE13-361),IF(AND('(橫掃)RX Mapping'!BE13&gt;=601,'(橫掃)RX Mapping'!BE13&lt;=720), (-1)*('(橫掃)RX Mapping'!BE13-720)+120,IF(AND('(橫掃)RX Mapping'!BE13&gt;=721,'(橫掃)RX Mapping'!BE13&lt;=840), ('(橫掃)RX Mapping'!BE13-601),IF(AND('(橫掃)RX Mapping'!BE13&gt;=841,'(橫掃)RX Mapping'!BE13&lt;=960), (-1)*('(橫掃)RX Mapping'!BE13-960)+120,9999))))))))</f>
        <v>9999</v>
      </c>
      <c r="BF13">
        <f>IF(AND('(橫掃)RX Mapping'!BF13&gt;=1,'(橫掃)RX Mapping'!BF13&lt;=120), ('(橫掃)RX Mapping'!BF13-1),IF(AND('(橫掃)RX Mapping'!BF13&gt;=121,'(橫掃)RX Mapping'!BF13&lt;=240), (-1)*('(橫掃)RX Mapping'!BF13-240),IF(AND('(橫掃)RX Mapping'!BF13&gt;=241,'(橫掃)RX Mapping'!BF13&lt;=360), ('(橫掃)RX Mapping'!BF13-241),IF(AND('(橫掃)RX Mapping'!BF13&gt;=361,'(橫掃)RX Mapping'!BF13&lt;=480), (-1)*('(橫掃)RX Mapping'!BF13-480),IF(AND('(橫掃)RX Mapping'!BF13&gt;=481,'(橫掃)RX Mapping'!BF13&lt;=600), ('(橫掃)RX Mapping'!BF13-361),IF(AND('(橫掃)RX Mapping'!BF13&gt;=601,'(橫掃)RX Mapping'!BF13&lt;=720), (-1)*('(橫掃)RX Mapping'!BF13-720)+120,IF(AND('(橫掃)RX Mapping'!BF13&gt;=721,'(橫掃)RX Mapping'!BF13&lt;=840), ('(橫掃)RX Mapping'!BF13-601),IF(AND('(橫掃)RX Mapping'!BF13&gt;=841,'(橫掃)RX Mapping'!BF13&lt;=960), (-1)*('(橫掃)RX Mapping'!BF13-960)+120,9999))))))))</f>
        <v>9999</v>
      </c>
      <c r="BG13">
        <f>IF(AND('(橫掃)RX Mapping'!BG13&gt;=1,'(橫掃)RX Mapping'!BG13&lt;=120), ('(橫掃)RX Mapping'!BG13-1),IF(AND('(橫掃)RX Mapping'!BG13&gt;=121,'(橫掃)RX Mapping'!BG13&lt;=240), (-1)*('(橫掃)RX Mapping'!BG13-240),IF(AND('(橫掃)RX Mapping'!BG13&gt;=241,'(橫掃)RX Mapping'!BG13&lt;=360), ('(橫掃)RX Mapping'!BG13-241),IF(AND('(橫掃)RX Mapping'!BG13&gt;=361,'(橫掃)RX Mapping'!BG13&lt;=480), (-1)*('(橫掃)RX Mapping'!BG13-480),IF(AND('(橫掃)RX Mapping'!BG13&gt;=481,'(橫掃)RX Mapping'!BG13&lt;=600), ('(橫掃)RX Mapping'!BG13-361),IF(AND('(橫掃)RX Mapping'!BG13&gt;=601,'(橫掃)RX Mapping'!BG13&lt;=720), (-1)*('(橫掃)RX Mapping'!BG13-720)+120,IF(AND('(橫掃)RX Mapping'!BG13&gt;=721,'(橫掃)RX Mapping'!BG13&lt;=840), ('(橫掃)RX Mapping'!BG13-601),IF(AND('(橫掃)RX Mapping'!BG13&gt;=841,'(橫掃)RX Mapping'!BG13&lt;=960), (-1)*('(橫掃)RX Mapping'!BG13-960)+120,9999))))))))</f>
        <v>9999</v>
      </c>
      <c r="BH13">
        <f>IF(AND('(橫掃)RX Mapping'!BH13&gt;=1,'(橫掃)RX Mapping'!BH13&lt;=120), ('(橫掃)RX Mapping'!BH13-1),IF(AND('(橫掃)RX Mapping'!BH13&gt;=121,'(橫掃)RX Mapping'!BH13&lt;=240), (-1)*('(橫掃)RX Mapping'!BH13-240),IF(AND('(橫掃)RX Mapping'!BH13&gt;=241,'(橫掃)RX Mapping'!BH13&lt;=360), ('(橫掃)RX Mapping'!BH13-241),IF(AND('(橫掃)RX Mapping'!BH13&gt;=361,'(橫掃)RX Mapping'!BH13&lt;=480), (-1)*('(橫掃)RX Mapping'!BH13-480),IF(AND('(橫掃)RX Mapping'!BH13&gt;=481,'(橫掃)RX Mapping'!BH13&lt;=600), ('(橫掃)RX Mapping'!BH13-361),IF(AND('(橫掃)RX Mapping'!BH13&gt;=601,'(橫掃)RX Mapping'!BH13&lt;=720), (-1)*('(橫掃)RX Mapping'!BH13-720)+120,IF(AND('(橫掃)RX Mapping'!BH13&gt;=721,'(橫掃)RX Mapping'!BH13&lt;=840), ('(橫掃)RX Mapping'!BH13-601),IF(AND('(橫掃)RX Mapping'!BH13&gt;=841,'(橫掃)RX Mapping'!BH13&lt;=960), (-1)*('(橫掃)RX Mapping'!BH13-960)+120,9999))))))))</f>
        <v>9999</v>
      </c>
      <c r="BI13">
        <f>IF(AND('(橫掃)RX Mapping'!BI13&gt;=1,'(橫掃)RX Mapping'!BI13&lt;=120), ('(橫掃)RX Mapping'!BI13-1),IF(AND('(橫掃)RX Mapping'!BI13&gt;=121,'(橫掃)RX Mapping'!BI13&lt;=240), (-1)*('(橫掃)RX Mapping'!BI13-240),IF(AND('(橫掃)RX Mapping'!BI13&gt;=241,'(橫掃)RX Mapping'!BI13&lt;=360), ('(橫掃)RX Mapping'!BI13-241),IF(AND('(橫掃)RX Mapping'!BI13&gt;=361,'(橫掃)RX Mapping'!BI13&lt;=480), (-1)*('(橫掃)RX Mapping'!BI13-480),IF(AND('(橫掃)RX Mapping'!BI13&gt;=481,'(橫掃)RX Mapping'!BI13&lt;=600), ('(橫掃)RX Mapping'!BI13-361),IF(AND('(橫掃)RX Mapping'!BI13&gt;=601,'(橫掃)RX Mapping'!BI13&lt;=720), (-1)*('(橫掃)RX Mapping'!BI13-720)+120,IF(AND('(橫掃)RX Mapping'!BI13&gt;=721,'(橫掃)RX Mapping'!BI13&lt;=840), ('(橫掃)RX Mapping'!BI13-601),IF(AND('(橫掃)RX Mapping'!BI13&gt;=841,'(橫掃)RX Mapping'!BI13&lt;=960), (-1)*('(橫掃)RX Mapping'!BI13-960)+120,9999))))))))</f>
        <v>9999</v>
      </c>
    </row>
    <row r="14" spans="1:61" x14ac:dyDescent="0.25">
      <c r="A14" s="20">
        <v>13</v>
      </c>
      <c r="B14">
        <f>IF(AND('(橫掃)RX Mapping'!B14&gt;=1,'(橫掃)RX Mapping'!B14&lt;=120), ('(橫掃)RX Mapping'!B14-1),IF(AND('(橫掃)RX Mapping'!B14&gt;=121,'(橫掃)RX Mapping'!B14&lt;=240), (-1)*('(橫掃)RX Mapping'!B14-240),IF(AND('(橫掃)RX Mapping'!B14&gt;=241,'(橫掃)RX Mapping'!B14&lt;=360), ('(橫掃)RX Mapping'!B14-241),IF(AND('(橫掃)RX Mapping'!B14&gt;=361,'(橫掃)RX Mapping'!B14&lt;=480), (-1)*('(橫掃)RX Mapping'!B14-480),IF(AND('(橫掃)RX Mapping'!B14&gt;=481,'(橫掃)RX Mapping'!B14&lt;=600), ('(橫掃)RX Mapping'!B14-361),IF(AND('(橫掃)RX Mapping'!B14&gt;=601,'(橫掃)RX Mapping'!B14&lt;=720), (-1)*('(橫掃)RX Mapping'!B14-720)+120,IF(AND('(橫掃)RX Mapping'!B14&gt;=721,'(橫掃)RX Mapping'!B14&lt;=840), ('(橫掃)RX Mapping'!B14-601),IF(AND('(橫掃)RX Mapping'!B14&gt;=841,'(橫掃)RX Mapping'!B14&lt;=960), (-1)*('(橫掃)RX Mapping'!B14-960)+120,9999))))))))</f>
        <v>12</v>
      </c>
      <c r="C14">
        <f>IF(AND('(橫掃)RX Mapping'!C14&gt;=1,'(橫掃)RX Mapping'!C14&lt;=120), ('(橫掃)RX Mapping'!C14-1),IF(AND('(橫掃)RX Mapping'!C14&gt;=121,'(橫掃)RX Mapping'!C14&lt;=240), (-1)*('(橫掃)RX Mapping'!C14-240),IF(AND('(橫掃)RX Mapping'!C14&gt;=241,'(橫掃)RX Mapping'!C14&lt;=360), ('(橫掃)RX Mapping'!C14-241),IF(AND('(橫掃)RX Mapping'!C14&gt;=361,'(橫掃)RX Mapping'!C14&lt;=480), (-1)*('(橫掃)RX Mapping'!C14-480),IF(AND('(橫掃)RX Mapping'!C14&gt;=481,'(橫掃)RX Mapping'!C14&lt;=600), ('(橫掃)RX Mapping'!C14-361),IF(AND('(橫掃)RX Mapping'!C14&gt;=601,'(橫掃)RX Mapping'!C14&lt;=720), (-1)*('(橫掃)RX Mapping'!C14-720)+120,IF(AND('(橫掃)RX Mapping'!C14&gt;=721,'(橫掃)RX Mapping'!C14&lt;=840), ('(橫掃)RX Mapping'!C14-601),IF(AND('(橫掃)RX Mapping'!C14&gt;=841,'(橫掃)RX Mapping'!C14&lt;=960), (-1)*('(橫掃)RX Mapping'!C14-960)+120,9999))))))))</f>
        <v>44</v>
      </c>
      <c r="D14">
        <f>IF(AND('(橫掃)RX Mapping'!D14&gt;=1,'(橫掃)RX Mapping'!D14&lt;=120), ('(橫掃)RX Mapping'!D14-1),IF(AND('(橫掃)RX Mapping'!D14&gt;=121,'(橫掃)RX Mapping'!D14&lt;=240), (-1)*('(橫掃)RX Mapping'!D14-240),IF(AND('(橫掃)RX Mapping'!D14&gt;=241,'(橫掃)RX Mapping'!D14&lt;=360), ('(橫掃)RX Mapping'!D14-241),IF(AND('(橫掃)RX Mapping'!D14&gt;=361,'(橫掃)RX Mapping'!D14&lt;=480), (-1)*('(橫掃)RX Mapping'!D14-480),IF(AND('(橫掃)RX Mapping'!D14&gt;=481,'(橫掃)RX Mapping'!D14&lt;=600), ('(橫掃)RX Mapping'!D14-361),IF(AND('(橫掃)RX Mapping'!D14&gt;=601,'(橫掃)RX Mapping'!D14&lt;=720), (-1)*('(橫掃)RX Mapping'!D14-720)+120,IF(AND('(橫掃)RX Mapping'!D14&gt;=721,'(橫掃)RX Mapping'!D14&lt;=840), ('(橫掃)RX Mapping'!D14-601),IF(AND('(橫掃)RX Mapping'!D14&gt;=841,'(橫掃)RX Mapping'!D14&lt;=960), (-1)*('(橫掃)RX Mapping'!D14-960)+120,9999))))))))</f>
        <v>76</v>
      </c>
      <c r="E14">
        <f>IF(AND('(橫掃)RX Mapping'!E14&gt;=1,'(橫掃)RX Mapping'!E14&lt;=120), ('(橫掃)RX Mapping'!E14-1),IF(AND('(橫掃)RX Mapping'!E14&gt;=121,'(橫掃)RX Mapping'!E14&lt;=240), (-1)*('(橫掃)RX Mapping'!E14-240),IF(AND('(橫掃)RX Mapping'!E14&gt;=241,'(橫掃)RX Mapping'!E14&lt;=360), ('(橫掃)RX Mapping'!E14-241),IF(AND('(橫掃)RX Mapping'!E14&gt;=361,'(橫掃)RX Mapping'!E14&lt;=480), (-1)*('(橫掃)RX Mapping'!E14-480),IF(AND('(橫掃)RX Mapping'!E14&gt;=481,'(橫掃)RX Mapping'!E14&lt;=600), ('(橫掃)RX Mapping'!E14-361),IF(AND('(橫掃)RX Mapping'!E14&gt;=601,'(橫掃)RX Mapping'!E14&lt;=720), (-1)*('(橫掃)RX Mapping'!E14-720)+120,IF(AND('(橫掃)RX Mapping'!E14&gt;=721,'(橫掃)RX Mapping'!E14&lt;=840), ('(橫掃)RX Mapping'!E14-601),IF(AND('(橫掃)RX Mapping'!E14&gt;=841,'(橫掃)RX Mapping'!E14&lt;=960), (-1)*('(橫掃)RX Mapping'!E14-960)+120,9999))))))))</f>
        <v>108</v>
      </c>
      <c r="F14">
        <f>IF(AND('(橫掃)RX Mapping'!F14&gt;=1,'(橫掃)RX Mapping'!F14&lt;=120), ('(橫掃)RX Mapping'!F14-1),IF(AND('(橫掃)RX Mapping'!F14&gt;=121,'(橫掃)RX Mapping'!F14&lt;=240), (-1)*('(橫掃)RX Mapping'!F14-240),IF(AND('(橫掃)RX Mapping'!F14&gt;=241,'(橫掃)RX Mapping'!F14&lt;=360), ('(橫掃)RX Mapping'!F14-241),IF(AND('(橫掃)RX Mapping'!F14&gt;=361,'(橫掃)RX Mapping'!F14&lt;=480), (-1)*('(橫掃)RX Mapping'!F14-480),IF(AND('(橫掃)RX Mapping'!F14&gt;=481,'(橫掃)RX Mapping'!F14&lt;=600), ('(橫掃)RX Mapping'!F14-361),IF(AND('(橫掃)RX Mapping'!F14&gt;=601,'(橫掃)RX Mapping'!F14&lt;=720), (-1)*('(橫掃)RX Mapping'!F14-720)+120,IF(AND('(橫掃)RX Mapping'!F14&gt;=721,'(橫掃)RX Mapping'!F14&lt;=840), ('(橫掃)RX Mapping'!F14-601),IF(AND('(橫掃)RX Mapping'!F14&gt;=841,'(橫掃)RX Mapping'!F14&lt;=960), (-1)*('(橫掃)RX Mapping'!F14-960)+120,9999))))))))</f>
        <v>99</v>
      </c>
      <c r="G14">
        <f>IF(AND('(橫掃)RX Mapping'!G14&gt;=1,'(橫掃)RX Mapping'!G14&lt;=120), ('(橫掃)RX Mapping'!G14-1),IF(AND('(橫掃)RX Mapping'!G14&gt;=121,'(橫掃)RX Mapping'!G14&lt;=240), (-1)*('(橫掃)RX Mapping'!G14-240),IF(AND('(橫掃)RX Mapping'!G14&gt;=241,'(橫掃)RX Mapping'!G14&lt;=360), ('(橫掃)RX Mapping'!G14-241),IF(AND('(橫掃)RX Mapping'!G14&gt;=361,'(橫掃)RX Mapping'!G14&lt;=480), (-1)*('(橫掃)RX Mapping'!G14-480),IF(AND('(橫掃)RX Mapping'!G14&gt;=481,'(橫掃)RX Mapping'!G14&lt;=600), ('(橫掃)RX Mapping'!G14-361),IF(AND('(橫掃)RX Mapping'!G14&gt;=601,'(橫掃)RX Mapping'!G14&lt;=720), (-1)*('(橫掃)RX Mapping'!G14-720)+120,IF(AND('(橫掃)RX Mapping'!G14&gt;=721,'(橫掃)RX Mapping'!G14&lt;=840), ('(橫掃)RX Mapping'!G14-601),IF(AND('(橫掃)RX Mapping'!G14&gt;=841,'(橫掃)RX Mapping'!G14&lt;=960), (-1)*('(橫掃)RX Mapping'!G14-960)+120,9999))))))))</f>
        <v>67</v>
      </c>
      <c r="H14">
        <f>IF(AND('(橫掃)RX Mapping'!H14&gt;=1,'(橫掃)RX Mapping'!H14&lt;=120), ('(橫掃)RX Mapping'!H14-1),IF(AND('(橫掃)RX Mapping'!H14&gt;=121,'(橫掃)RX Mapping'!H14&lt;=240), (-1)*('(橫掃)RX Mapping'!H14-240),IF(AND('(橫掃)RX Mapping'!H14&gt;=241,'(橫掃)RX Mapping'!H14&lt;=360), ('(橫掃)RX Mapping'!H14-241),IF(AND('(橫掃)RX Mapping'!H14&gt;=361,'(橫掃)RX Mapping'!H14&lt;=480), (-1)*('(橫掃)RX Mapping'!H14-480),IF(AND('(橫掃)RX Mapping'!H14&gt;=481,'(橫掃)RX Mapping'!H14&lt;=600), ('(橫掃)RX Mapping'!H14-361),IF(AND('(橫掃)RX Mapping'!H14&gt;=601,'(橫掃)RX Mapping'!H14&lt;=720), (-1)*('(橫掃)RX Mapping'!H14-720)+120,IF(AND('(橫掃)RX Mapping'!H14&gt;=721,'(橫掃)RX Mapping'!H14&lt;=840), ('(橫掃)RX Mapping'!H14-601),IF(AND('(橫掃)RX Mapping'!H14&gt;=841,'(橫掃)RX Mapping'!H14&lt;=960), (-1)*('(橫掃)RX Mapping'!H14-960)+120,9999))))))))</f>
        <v>35</v>
      </c>
      <c r="I14">
        <f>IF(AND('(橫掃)RX Mapping'!I14&gt;=1,'(橫掃)RX Mapping'!I14&lt;=120), ('(橫掃)RX Mapping'!I14-1),IF(AND('(橫掃)RX Mapping'!I14&gt;=121,'(橫掃)RX Mapping'!I14&lt;=240), (-1)*('(橫掃)RX Mapping'!I14-240),IF(AND('(橫掃)RX Mapping'!I14&gt;=241,'(橫掃)RX Mapping'!I14&lt;=360), ('(橫掃)RX Mapping'!I14-241),IF(AND('(橫掃)RX Mapping'!I14&gt;=361,'(橫掃)RX Mapping'!I14&lt;=480), (-1)*('(橫掃)RX Mapping'!I14-480),IF(AND('(橫掃)RX Mapping'!I14&gt;=481,'(橫掃)RX Mapping'!I14&lt;=600), ('(橫掃)RX Mapping'!I14-361),IF(AND('(橫掃)RX Mapping'!I14&gt;=601,'(橫掃)RX Mapping'!I14&lt;=720), (-1)*('(橫掃)RX Mapping'!I14-720)+120,IF(AND('(橫掃)RX Mapping'!I14&gt;=721,'(橫掃)RX Mapping'!I14&lt;=840), ('(橫掃)RX Mapping'!I14-601),IF(AND('(橫掃)RX Mapping'!I14&gt;=841,'(橫掃)RX Mapping'!I14&lt;=960), (-1)*('(橫掃)RX Mapping'!I14-960)+120,9999))))))))</f>
        <v>12</v>
      </c>
      <c r="J14">
        <f>IF(AND('(橫掃)RX Mapping'!J14&gt;=1,'(橫掃)RX Mapping'!J14&lt;=120), ('(橫掃)RX Mapping'!J14-1),IF(AND('(橫掃)RX Mapping'!J14&gt;=121,'(橫掃)RX Mapping'!J14&lt;=240), (-1)*('(橫掃)RX Mapping'!J14-240),IF(AND('(橫掃)RX Mapping'!J14&gt;=241,'(橫掃)RX Mapping'!J14&lt;=360), ('(橫掃)RX Mapping'!J14-241),IF(AND('(橫掃)RX Mapping'!J14&gt;=361,'(橫掃)RX Mapping'!J14&lt;=480), (-1)*('(橫掃)RX Mapping'!J14-480),IF(AND('(橫掃)RX Mapping'!J14&gt;=481,'(橫掃)RX Mapping'!J14&lt;=600), ('(橫掃)RX Mapping'!J14-361),IF(AND('(橫掃)RX Mapping'!J14&gt;=601,'(橫掃)RX Mapping'!J14&lt;=720), (-1)*('(橫掃)RX Mapping'!J14-720)+120,IF(AND('(橫掃)RX Mapping'!J14&gt;=721,'(橫掃)RX Mapping'!J14&lt;=840), ('(橫掃)RX Mapping'!J14-601),IF(AND('(橫掃)RX Mapping'!J14&gt;=841,'(橫掃)RX Mapping'!J14&lt;=960), (-1)*('(橫掃)RX Mapping'!J14-960)+120,9999))))))))</f>
        <v>44</v>
      </c>
      <c r="K14">
        <f>IF(AND('(橫掃)RX Mapping'!K14&gt;=1,'(橫掃)RX Mapping'!K14&lt;=120), ('(橫掃)RX Mapping'!K14-1),IF(AND('(橫掃)RX Mapping'!K14&gt;=121,'(橫掃)RX Mapping'!K14&lt;=240), (-1)*('(橫掃)RX Mapping'!K14-240),IF(AND('(橫掃)RX Mapping'!K14&gt;=241,'(橫掃)RX Mapping'!K14&lt;=360), ('(橫掃)RX Mapping'!K14-241),IF(AND('(橫掃)RX Mapping'!K14&gt;=361,'(橫掃)RX Mapping'!K14&lt;=480), (-1)*('(橫掃)RX Mapping'!K14-480),IF(AND('(橫掃)RX Mapping'!K14&gt;=481,'(橫掃)RX Mapping'!K14&lt;=600), ('(橫掃)RX Mapping'!K14-361),IF(AND('(橫掃)RX Mapping'!K14&gt;=601,'(橫掃)RX Mapping'!K14&lt;=720), (-1)*('(橫掃)RX Mapping'!K14-720)+120,IF(AND('(橫掃)RX Mapping'!K14&gt;=721,'(橫掃)RX Mapping'!K14&lt;=840), ('(橫掃)RX Mapping'!K14-601),IF(AND('(橫掃)RX Mapping'!K14&gt;=841,'(橫掃)RX Mapping'!K14&lt;=960), (-1)*('(橫掃)RX Mapping'!K14-960)+120,9999))))))))</f>
        <v>76</v>
      </c>
      <c r="L14">
        <f>IF(AND('(橫掃)RX Mapping'!L14&gt;=1,'(橫掃)RX Mapping'!L14&lt;=120), ('(橫掃)RX Mapping'!L14-1),IF(AND('(橫掃)RX Mapping'!L14&gt;=121,'(橫掃)RX Mapping'!L14&lt;=240), (-1)*('(橫掃)RX Mapping'!L14-240),IF(AND('(橫掃)RX Mapping'!L14&gt;=241,'(橫掃)RX Mapping'!L14&lt;=360), ('(橫掃)RX Mapping'!L14-241),IF(AND('(橫掃)RX Mapping'!L14&gt;=361,'(橫掃)RX Mapping'!L14&lt;=480), (-1)*('(橫掃)RX Mapping'!L14-480),IF(AND('(橫掃)RX Mapping'!L14&gt;=481,'(橫掃)RX Mapping'!L14&lt;=600), ('(橫掃)RX Mapping'!L14-361),IF(AND('(橫掃)RX Mapping'!L14&gt;=601,'(橫掃)RX Mapping'!L14&lt;=720), (-1)*('(橫掃)RX Mapping'!L14-720)+120,IF(AND('(橫掃)RX Mapping'!L14&gt;=721,'(橫掃)RX Mapping'!L14&lt;=840), ('(橫掃)RX Mapping'!L14-601),IF(AND('(橫掃)RX Mapping'!L14&gt;=841,'(橫掃)RX Mapping'!L14&lt;=960), (-1)*('(橫掃)RX Mapping'!L14-960)+120,9999))))))))</f>
        <v>108</v>
      </c>
      <c r="M14">
        <f>IF(AND('(橫掃)RX Mapping'!M14&gt;=1,'(橫掃)RX Mapping'!M14&lt;=120), ('(橫掃)RX Mapping'!M14-1),IF(AND('(橫掃)RX Mapping'!M14&gt;=121,'(橫掃)RX Mapping'!M14&lt;=240), (-1)*('(橫掃)RX Mapping'!M14-240),IF(AND('(橫掃)RX Mapping'!M14&gt;=241,'(橫掃)RX Mapping'!M14&lt;=360), ('(橫掃)RX Mapping'!M14-241),IF(AND('(橫掃)RX Mapping'!M14&gt;=361,'(橫掃)RX Mapping'!M14&lt;=480), (-1)*('(橫掃)RX Mapping'!M14-480),IF(AND('(橫掃)RX Mapping'!M14&gt;=481,'(橫掃)RX Mapping'!M14&lt;=600), ('(橫掃)RX Mapping'!M14-361),IF(AND('(橫掃)RX Mapping'!M14&gt;=601,'(橫掃)RX Mapping'!M14&lt;=720), (-1)*('(橫掃)RX Mapping'!M14-720)+120,IF(AND('(橫掃)RX Mapping'!M14&gt;=721,'(橫掃)RX Mapping'!M14&lt;=840), ('(橫掃)RX Mapping'!M14-601),IF(AND('(橫掃)RX Mapping'!M14&gt;=841,'(橫掃)RX Mapping'!M14&lt;=960), (-1)*('(橫掃)RX Mapping'!M14-960)+120,9999))))))))</f>
        <v>99</v>
      </c>
      <c r="N14">
        <f>IF(AND('(橫掃)RX Mapping'!N14&gt;=1,'(橫掃)RX Mapping'!N14&lt;=120), ('(橫掃)RX Mapping'!N14-1),IF(AND('(橫掃)RX Mapping'!N14&gt;=121,'(橫掃)RX Mapping'!N14&lt;=240), (-1)*('(橫掃)RX Mapping'!N14-240),IF(AND('(橫掃)RX Mapping'!N14&gt;=241,'(橫掃)RX Mapping'!N14&lt;=360), ('(橫掃)RX Mapping'!N14-241),IF(AND('(橫掃)RX Mapping'!N14&gt;=361,'(橫掃)RX Mapping'!N14&lt;=480), (-1)*('(橫掃)RX Mapping'!N14-480),IF(AND('(橫掃)RX Mapping'!N14&gt;=481,'(橫掃)RX Mapping'!N14&lt;=600), ('(橫掃)RX Mapping'!N14-361),IF(AND('(橫掃)RX Mapping'!N14&gt;=601,'(橫掃)RX Mapping'!N14&lt;=720), (-1)*('(橫掃)RX Mapping'!N14-720)+120,IF(AND('(橫掃)RX Mapping'!N14&gt;=721,'(橫掃)RX Mapping'!N14&lt;=840), ('(橫掃)RX Mapping'!N14-601),IF(AND('(橫掃)RX Mapping'!N14&gt;=841,'(橫掃)RX Mapping'!N14&lt;=960), (-1)*('(橫掃)RX Mapping'!N14-960)+120,9999))))))))</f>
        <v>67</v>
      </c>
      <c r="O14">
        <f>IF(AND('(橫掃)RX Mapping'!O14&gt;=1,'(橫掃)RX Mapping'!O14&lt;=120), ('(橫掃)RX Mapping'!O14-1),IF(AND('(橫掃)RX Mapping'!O14&gt;=121,'(橫掃)RX Mapping'!O14&lt;=240), (-1)*('(橫掃)RX Mapping'!O14-240),IF(AND('(橫掃)RX Mapping'!O14&gt;=241,'(橫掃)RX Mapping'!O14&lt;=360), ('(橫掃)RX Mapping'!O14-241),IF(AND('(橫掃)RX Mapping'!O14&gt;=361,'(橫掃)RX Mapping'!O14&lt;=480), (-1)*('(橫掃)RX Mapping'!O14-480),IF(AND('(橫掃)RX Mapping'!O14&gt;=481,'(橫掃)RX Mapping'!O14&lt;=600), ('(橫掃)RX Mapping'!O14-361),IF(AND('(橫掃)RX Mapping'!O14&gt;=601,'(橫掃)RX Mapping'!O14&lt;=720), (-1)*('(橫掃)RX Mapping'!O14-720)+120,IF(AND('(橫掃)RX Mapping'!O14&gt;=721,'(橫掃)RX Mapping'!O14&lt;=840), ('(橫掃)RX Mapping'!O14-601),IF(AND('(橫掃)RX Mapping'!O14&gt;=841,'(橫掃)RX Mapping'!O14&lt;=960), (-1)*('(橫掃)RX Mapping'!O14-960)+120,9999))))))))</f>
        <v>35</v>
      </c>
      <c r="P14">
        <f>IF(AND('(橫掃)RX Mapping'!P14&gt;=1,'(橫掃)RX Mapping'!P14&lt;=120), ('(橫掃)RX Mapping'!P14-1),IF(AND('(橫掃)RX Mapping'!P14&gt;=121,'(橫掃)RX Mapping'!P14&lt;=240), (-1)*('(橫掃)RX Mapping'!P14-240),IF(AND('(橫掃)RX Mapping'!P14&gt;=241,'(橫掃)RX Mapping'!P14&lt;=360), ('(橫掃)RX Mapping'!P14-241),IF(AND('(橫掃)RX Mapping'!P14&gt;=361,'(橫掃)RX Mapping'!P14&lt;=480), (-1)*('(橫掃)RX Mapping'!P14-480),IF(AND('(橫掃)RX Mapping'!P14&gt;=481,'(橫掃)RX Mapping'!P14&lt;=600), ('(橫掃)RX Mapping'!P14-361),IF(AND('(橫掃)RX Mapping'!P14&gt;=601,'(橫掃)RX Mapping'!P14&lt;=720), (-1)*('(橫掃)RX Mapping'!P14-720)+120,IF(AND('(橫掃)RX Mapping'!P14&gt;=721,'(橫掃)RX Mapping'!P14&lt;=840), ('(橫掃)RX Mapping'!P14-601),IF(AND('(橫掃)RX Mapping'!P14&gt;=841,'(橫掃)RX Mapping'!P14&lt;=960), (-1)*('(橫掃)RX Mapping'!P14-960)+120,9999))))))))</f>
        <v>132</v>
      </c>
      <c r="Q14">
        <f>IF(AND('(橫掃)RX Mapping'!Q14&gt;=1,'(橫掃)RX Mapping'!Q14&lt;=120), ('(橫掃)RX Mapping'!Q14-1),IF(AND('(橫掃)RX Mapping'!Q14&gt;=121,'(橫掃)RX Mapping'!Q14&lt;=240), (-1)*('(橫掃)RX Mapping'!Q14-240),IF(AND('(橫掃)RX Mapping'!Q14&gt;=241,'(橫掃)RX Mapping'!Q14&lt;=360), ('(橫掃)RX Mapping'!Q14-241),IF(AND('(橫掃)RX Mapping'!Q14&gt;=361,'(橫掃)RX Mapping'!Q14&lt;=480), (-1)*('(橫掃)RX Mapping'!Q14-480),IF(AND('(橫掃)RX Mapping'!Q14&gt;=481,'(橫掃)RX Mapping'!Q14&lt;=600), ('(橫掃)RX Mapping'!Q14-361),IF(AND('(橫掃)RX Mapping'!Q14&gt;=601,'(橫掃)RX Mapping'!Q14&lt;=720), (-1)*('(橫掃)RX Mapping'!Q14-720)+120,IF(AND('(橫掃)RX Mapping'!Q14&gt;=721,'(橫掃)RX Mapping'!Q14&lt;=840), ('(橫掃)RX Mapping'!Q14-601),IF(AND('(橫掃)RX Mapping'!Q14&gt;=841,'(橫掃)RX Mapping'!Q14&lt;=960), (-1)*('(橫掃)RX Mapping'!Q14-960)+120,9999))))))))</f>
        <v>164</v>
      </c>
      <c r="R14">
        <f>IF(AND('(橫掃)RX Mapping'!R14&gt;=1,'(橫掃)RX Mapping'!R14&lt;=120), ('(橫掃)RX Mapping'!R14-1),IF(AND('(橫掃)RX Mapping'!R14&gt;=121,'(橫掃)RX Mapping'!R14&lt;=240), (-1)*('(橫掃)RX Mapping'!R14-240),IF(AND('(橫掃)RX Mapping'!R14&gt;=241,'(橫掃)RX Mapping'!R14&lt;=360), ('(橫掃)RX Mapping'!R14-241),IF(AND('(橫掃)RX Mapping'!R14&gt;=361,'(橫掃)RX Mapping'!R14&lt;=480), (-1)*('(橫掃)RX Mapping'!R14-480),IF(AND('(橫掃)RX Mapping'!R14&gt;=481,'(橫掃)RX Mapping'!R14&lt;=600), ('(橫掃)RX Mapping'!R14-361),IF(AND('(橫掃)RX Mapping'!R14&gt;=601,'(橫掃)RX Mapping'!R14&lt;=720), (-1)*('(橫掃)RX Mapping'!R14-720)+120,IF(AND('(橫掃)RX Mapping'!R14&gt;=721,'(橫掃)RX Mapping'!R14&lt;=840), ('(橫掃)RX Mapping'!R14-601),IF(AND('(橫掃)RX Mapping'!R14&gt;=841,'(橫掃)RX Mapping'!R14&lt;=960), (-1)*('(橫掃)RX Mapping'!R14-960)+120,9999))))))))</f>
        <v>196</v>
      </c>
      <c r="S14">
        <f>IF(AND('(橫掃)RX Mapping'!S14&gt;=1,'(橫掃)RX Mapping'!S14&lt;=120), ('(橫掃)RX Mapping'!S14-1),IF(AND('(橫掃)RX Mapping'!S14&gt;=121,'(橫掃)RX Mapping'!S14&lt;=240), (-1)*('(橫掃)RX Mapping'!S14-240),IF(AND('(橫掃)RX Mapping'!S14&gt;=241,'(橫掃)RX Mapping'!S14&lt;=360), ('(橫掃)RX Mapping'!S14-241),IF(AND('(橫掃)RX Mapping'!S14&gt;=361,'(橫掃)RX Mapping'!S14&lt;=480), (-1)*('(橫掃)RX Mapping'!S14-480),IF(AND('(橫掃)RX Mapping'!S14&gt;=481,'(橫掃)RX Mapping'!S14&lt;=600), ('(橫掃)RX Mapping'!S14-361),IF(AND('(橫掃)RX Mapping'!S14&gt;=601,'(橫掃)RX Mapping'!S14&lt;=720), (-1)*('(橫掃)RX Mapping'!S14-720)+120,IF(AND('(橫掃)RX Mapping'!S14&gt;=721,'(橫掃)RX Mapping'!S14&lt;=840), ('(橫掃)RX Mapping'!S14-601),IF(AND('(橫掃)RX Mapping'!S14&gt;=841,'(橫掃)RX Mapping'!S14&lt;=960), (-1)*('(橫掃)RX Mapping'!S14-960)+120,9999))))))))</f>
        <v>228</v>
      </c>
      <c r="T14">
        <f>IF(AND('(橫掃)RX Mapping'!T14&gt;=1,'(橫掃)RX Mapping'!T14&lt;=120), ('(橫掃)RX Mapping'!T14-1),IF(AND('(橫掃)RX Mapping'!T14&gt;=121,'(橫掃)RX Mapping'!T14&lt;=240), (-1)*('(橫掃)RX Mapping'!T14-240),IF(AND('(橫掃)RX Mapping'!T14&gt;=241,'(橫掃)RX Mapping'!T14&lt;=360), ('(橫掃)RX Mapping'!T14-241),IF(AND('(橫掃)RX Mapping'!T14&gt;=361,'(橫掃)RX Mapping'!T14&lt;=480), (-1)*('(橫掃)RX Mapping'!T14-480),IF(AND('(橫掃)RX Mapping'!T14&gt;=481,'(橫掃)RX Mapping'!T14&lt;=600), ('(橫掃)RX Mapping'!T14-361),IF(AND('(橫掃)RX Mapping'!T14&gt;=601,'(橫掃)RX Mapping'!T14&lt;=720), (-1)*('(橫掃)RX Mapping'!T14-720)+120,IF(AND('(橫掃)RX Mapping'!T14&gt;=721,'(橫掃)RX Mapping'!T14&lt;=840), ('(橫掃)RX Mapping'!T14-601),IF(AND('(橫掃)RX Mapping'!T14&gt;=841,'(橫掃)RX Mapping'!T14&lt;=960), (-1)*('(橫掃)RX Mapping'!T14-960)+120,9999))))))))</f>
        <v>219</v>
      </c>
      <c r="U14">
        <f>IF(AND('(橫掃)RX Mapping'!U14&gt;=1,'(橫掃)RX Mapping'!U14&lt;=120), ('(橫掃)RX Mapping'!U14-1),IF(AND('(橫掃)RX Mapping'!U14&gt;=121,'(橫掃)RX Mapping'!U14&lt;=240), (-1)*('(橫掃)RX Mapping'!U14-240),IF(AND('(橫掃)RX Mapping'!U14&gt;=241,'(橫掃)RX Mapping'!U14&lt;=360), ('(橫掃)RX Mapping'!U14-241),IF(AND('(橫掃)RX Mapping'!U14&gt;=361,'(橫掃)RX Mapping'!U14&lt;=480), (-1)*('(橫掃)RX Mapping'!U14-480),IF(AND('(橫掃)RX Mapping'!U14&gt;=481,'(橫掃)RX Mapping'!U14&lt;=600), ('(橫掃)RX Mapping'!U14-361),IF(AND('(橫掃)RX Mapping'!U14&gt;=601,'(橫掃)RX Mapping'!U14&lt;=720), (-1)*('(橫掃)RX Mapping'!U14-720)+120,IF(AND('(橫掃)RX Mapping'!U14&gt;=721,'(橫掃)RX Mapping'!U14&lt;=840), ('(橫掃)RX Mapping'!U14-601),IF(AND('(橫掃)RX Mapping'!U14&gt;=841,'(橫掃)RX Mapping'!U14&lt;=960), (-1)*('(橫掃)RX Mapping'!U14-960)+120,9999))))))))</f>
        <v>187</v>
      </c>
      <c r="V14">
        <f>IF(AND('(橫掃)RX Mapping'!V14&gt;=1,'(橫掃)RX Mapping'!V14&lt;=120), ('(橫掃)RX Mapping'!V14-1),IF(AND('(橫掃)RX Mapping'!V14&gt;=121,'(橫掃)RX Mapping'!V14&lt;=240), (-1)*('(橫掃)RX Mapping'!V14-240),IF(AND('(橫掃)RX Mapping'!V14&gt;=241,'(橫掃)RX Mapping'!V14&lt;=360), ('(橫掃)RX Mapping'!V14-241),IF(AND('(橫掃)RX Mapping'!V14&gt;=361,'(橫掃)RX Mapping'!V14&lt;=480), (-1)*('(橫掃)RX Mapping'!V14-480),IF(AND('(橫掃)RX Mapping'!V14&gt;=481,'(橫掃)RX Mapping'!V14&lt;=600), ('(橫掃)RX Mapping'!V14-361),IF(AND('(橫掃)RX Mapping'!V14&gt;=601,'(橫掃)RX Mapping'!V14&lt;=720), (-1)*('(橫掃)RX Mapping'!V14-720)+120,IF(AND('(橫掃)RX Mapping'!V14&gt;=721,'(橫掃)RX Mapping'!V14&lt;=840), ('(橫掃)RX Mapping'!V14-601),IF(AND('(橫掃)RX Mapping'!V14&gt;=841,'(橫掃)RX Mapping'!V14&lt;=960), (-1)*('(橫掃)RX Mapping'!V14-960)+120,9999))))))))</f>
        <v>155</v>
      </c>
      <c r="W14">
        <f>IF(AND('(橫掃)RX Mapping'!W14&gt;=1,'(橫掃)RX Mapping'!W14&lt;=120), ('(橫掃)RX Mapping'!W14-1),IF(AND('(橫掃)RX Mapping'!W14&gt;=121,'(橫掃)RX Mapping'!W14&lt;=240), (-1)*('(橫掃)RX Mapping'!W14-240),IF(AND('(橫掃)RX Mapping'!W14&gt;=241,'(橫掃)RX Mapping'!W14&lt;=360), ('(橫掃)RX Mapping'!W14-241),IF(AND('(橫掃)RX Mapping'!W14&gt;=361,'(橫掃)RX Mapping'!W14&lt;=480), (-1)*('(橫掃)RX Mapping'!W14-480),IF(AND('(橫掃)RX Mapping'!W14&gt;=481,'(橫掃)RX Mapping'!W14&lt;=600), ('(橫掃)RX Mapping'!W14-361),IF(AND('(橫掃)RX Mapping'!W14&gt;=601,'(橫掃)RX Mapping'!W14&lt;=720), (-1)*('(橫掃)RX Mapping'!W14-720)+120,IF(AND('(橫掃)RX Mapping'!W14&gt;=721,'(橫掃)RX Mapping'!W14&lt;=840), ('(橫掃)RX Mapping'!W14-601),IF(AND('(橫掃)RX Mapping'!W14&gt;=841,'(橫掃)RX Mapping'!W14&lt;=960), (-1)*('(橫掃)RX Mapping'!W14-960)+120,9999))))))))</f>
        <v>132</v>
      </c>
      <c r="X14">
        <f>IF(AND('(橫掃)RX Mapping'!X14&gt;=1,'(橫掃)RX Mapping'!X14&lt;=120), ('(橫掃)RX Mapping'!X14-1),IF(AND('(橫掃)RX Mapping'!X14&gt;=121,'(橫掃)RX Mapping'!X14&lt;=240), (-1)*('(橫掃)RX Mapping'!X14-240),IF(AND('(橫掃)RX Mapping'!X14&gt;=241,'(橫掃)RX Mapping'!X14&lt;=360), ('(橫掃)RX Mapping'!X14-241),IF(AND('(橫掃)RX Mapping'!X14&gt;=361,'(橫掃)RX Mapping'!X14&lt;=480), (-1)*('(橫掃)RX Mapping'!X14-480),IF(AND('(橫掃)RX Mapping'!X14&gt;=481,'(橫掃)RX Mapping'!X14&lt;=600), ('(橫掃)RX Mapping'!X14-361),IF(AND('(橫掃)RX Mapping'!X14&gt;=601,'(橫掃)RX Mapping'!X14&lt;=720), (-1)*('(橫掃)RX Mapping'!X14-720)+120,IF(AND('(橫掃)RX Mapping'!X14&gt;=721,'(橫掃)RX Mapping'!X14&lt;=840), ('(橫掃)RX Mapping'!X14-601),IF(AND('(橫掃)RX Mapping'!X14&gt;=841,'(橫掃)RX Mapping'!X14&lt;=960), (-1)*('(橫掃)RX Mapping'!X14-960)+120,9999))))))))</f>
        <v>164</v>
      </c>
      <c r="Y14">
        <f>IF(AND('(橫掃)RX Mapping'!Y14&gt;=1,'(橫掃)RX Mapping'!Y14&lt;=120), ('(橫掃)RX Mapping'!Y14-1),IF(AND('(橫掃)RX Mapping'!Y14&gt;=121,'(橫掃)RX Mapping'!Y14&lt;=240), (-1)*('(橫掃)RX Mapping'!Y14-240),IF(AND('(橫掃)RX Mapping'!Y14&gt;=241,'(橫掃)RX Mapping'!Y14&lt;=360), ('(橫掃)RX Mapping'!Y14-241),IF(AND('(橫掃)RX Mapping'!Y14&gt;=361,'(橫掃)RX Mapping'!Y14&lt;=480), (-1)*('(橫掃)RX Mapping'!Y14-480),IF(AND('(橫掃)RX Mapping'!Y14&gt;=481,'(橫掃)RX Mapping'!Y14&lt;=600), ('(橫掃)RX Mapping'!Y14-361),IF(AND('(橫掃)RX Mapping'!Y14&gt;=601,'(橫掃)RX Mapping'!Y14&lt;=720), (-1)*('(橫掃)RX Mapping'!Y14-720)+120,IF(AND('(橫掃)RX Mapping'!Y14&gt;=721,'(橫掃)RX Mapping'!Y14&lt;=840), ('(橫掃)RX Mapping'!Y14-601),IF(AND('(橫掃)RX Mapping'!Y14&gt;=841,'(橫掃)RX Mapping'!Y14&lt;=960), (-1)*('(橫掃)RX Mapping'!Y14-960)+120,9999))))))))</f>
        <v>196</v>
      </c>
      <c r="Z14">
        <f>IF(AND('(橫掃)RX Mapping'!Z14&gt;=1,'(橫掃)RX Mapping'!Z14&lt;=120), ('(橫掃)RX Mapping'!Z14-1),IF(AND('(橫掃)RX Mapping'!Z14&gt;=121,'(橫掃)RX Mapping'!Z14&lt;=240), (-1)*('(橫掃)RX Mapping'!Z14-240),IF(AND('(橫掃)RX Mapping'!Z14&gt;=241,'(橫掃)RX Mapping'!Z14&lt;=360), ('(橫掃)RX Mapping'!Z14-241),IF(AND('(橫掃)RX Mapping'!Z14&gt;=361,'(橫掃)RX Mapping'!Z14&lt;=480), (-1)*('(橫掃)RX Mapping'!Z14-480),IF(AND('(橫掃)RX Mapping'!Z14&gt;=481,'(橫掃)RX Mapping'!Z14&lt;=600), ('(橫掃)RX Mapping'!Z14-361),IF(AND('(橫掃)RX Mapping'!Z14&gt;=601,'(橫掃)RX Mapping'!Z14&lt;=720), (-1)*('(橫掃)RX Mapping'!Z14-720)+120,IF(AND('(橫掃)RX Mapping'!Z14&gt;=721,'(橫掃)RX Mapping'!Z14&lt;=840), ('(橫掃)RX Mapping'!Z14-601),IF(AND('(橫掃)RX Mapping'!Z14&gt;=841,'(橫掃)RX Mapping'!Z14&lt;=960), (-1)*('(橫掃)RX Mapping'!Z14-960)+120,9999))))))))</f>
        <v>228</v>
      </c>
      <c r="AA14">
        <f>IF(AND('(橫掃)RX Mapping'!AA14&gt;=1,'(橫掃)RX Mapping'!AA14&lt;=120), ('(橫掃)RX Mapping'!AA14-1),IF(AND('(橫掃)RX Mapping'!AA14&gt;=121,'(橫掃)RX Mapping'!AA14&lt;=240), (-1)*('(橫掃)RX Mapping'!AA14-240),IF(AND('(橫掃)RX Mapping'!AA14&gt;=241,'(橫掃)RX Mapping'!AA14&lt;=360), ('(橫掃)RX Mapping'!AA14-241),IF(AND('(橫掃)RX Mapping'!AA14&gt;=361,'(橫掃)RX Mapping'!AA14&lt;=480), (-1)*('(橫掃)RX Mapping'!AA14-480),IF(AND('(橫掃)RX Mapping'!AA14&gt;=481,'(橫掃)RX Mapping'!AA14&lt;=600), ('(橫掃)RX Mapping'!AA14-361),IF(AND('(橫掃)RX Mapping'!AA14&gt;=601,'(橫掃)RX Mapping'!AA14&lt;=720), (-1)*('(橫掃)RX Mapping'!AA14-720)+120,IF(AND('(橫掃)RX Mapping'!AA14&gt;=721,'(橫掃)RX Mapping'!AA14&lt;=840), ('(橫掃)RX Mapping'!AA14-601),IF(AND('(橫掃)RX Mapping'!AA14&gt;=841,'(橫掃)RX Mapping'!AA14&lt;=960), (-1)*('(橫掃)RX Mapping'!AA14-960)+120,9999))))))))</f>
        <v>219</v>
      </c>
      <c r="AB14">
        <f>IF(AND('(橫掃)RX Mapping'!AB14&gt;=1,'(橫掃)RX Mapping'!AB14&lt;=120), ('(橫掃)RX Mapping'!AB14-1),IF(AND('(橫掃)RX Mapping'!AB14&gt;=121,'(橫掃)RX Mapping'!AB14&lt;=240), (-1)*('(橫掃)RX Mapping'!AB14-240),IF(AND('(橫掃)RX Mapping'!AB14&gt;=241,'(橫掃)RX Mapping'!AB14&lt;=360), ('(橫掃)RX Mapping'!AB14-241),IF(AND('(橫掃)RX Mapping'!AB14&gt;=361,'(橫掃)RX Mapping'!AB14&lt;=480), (-1)*('(橫掃)RX Mapping'!AB14-480),IF(AND('(橫掃)RX Mapping'!AB14&gt;=481,'(橫掃)RX Mapping'!AB14&lt;=600), ('(橫掃)RX Mapping'!AB14-361),IF(AND('(橫掃)RX Mapping'!AB14&gt;=601,'(橫掃)RX Mapping'!AB14&lt;=720), (-1)*('(橫掃)RX Mapping'!AB14-720)+120,IF(AND('(橫掃)RX Mapping'!AB14&gt;=721,'(橫掃)RX Mapping'!AB14&lt;=840), ('(橫掃)RX Mapping'!AB14-601),IF(AND('(橫掃)RX Mapping'!AB14&gt;=841,'(橫掃)RX Mapping'!AB14&lt;=960), (-1)*('(橫掃)RX Mapping'!AB14-960)+120,9999))))))))</f>
        <v>187</v>
      </c>
      <c r="AC14">
        <f>IF(AND('(橫掃)RX Mapping'!AC14&gt;=1,'(橫掃)RX Mapping'!AC14&lt;=120), ('(橫掃)RX Mapping'!AC14-1),IF(AND('(橫掃)RX Mapping'!AC14&gt;=121,'(橫掃)RX Mapping'!AC14&lt;=240), (-1)*('(橫掃)RX Mapping'!AC14-240),IF(AND('(橫掃)RX Mapping'!AC14&gt;=241,'(橫掃)RX Mapping'!AC14&lt;=360), ('(橫掃)RX Mapping'!AC14-241),IF(AND('(橫掃)RX Mapping'!AC14&gt;=361,'(橫掃)RX Mapping'!AC14&lt;=480), (-1)*('(橫掃)RX Mapping'!AC14-480),IF(AND('(橫掃)RX Mapping'!AC14&gt;=481,'(橫掃)RX Mapping'!AC14&lt;=600), ('(橫掃)RX Mapping'!AC14-361),IF(AND('(橫掃)RX Mapping'!AC14&gt;=601,'(橫掃)RX Mapping'!AC14&lt;=720), (-1)*('(橫掃)RX Mapping'!AC14-720)+120,IF(AND('(橫掃)RX Mapping'!AC14&gt;=721,'(橫掃)RX Mapping'!AC14&lt;=840), ('(橫掃)RX Mapping'!AC14-601),IF(AND('(橫掃)RX Mapping'!AC14&gt;=841,'(橫掃)RX Mapping'!AC14&lt;=960), (-1)*('(橫掃)RX Mapping'!AC14-960)+120,9999))))))))</f>
        <v>155</v>
      </c>
      <c r="AD14">
        <f>IF(AND('(橫掃)RX Mapping'!AD14&gt;=1,'(橫掃)RX Mapping'!AD14&lt;=120), ('(橫掃)RX Mapping'!AD14-1),IF(AND('(橫掃)RX Mapping'!AD14&gt;=121,'(橫掃)RX Mapping'!AD14&lt;=240), (-1)*('(橫掃)RX Mapping'!AD14-240),IF(AND('(橫掃)RX Mapping'!AD14&gt;=241,'(橫掃)RX Mapping'!AD14&lt;=360), ('(橫掃)RX Mapping'!AD14-241),IF(AND('(橫掃)RX Mapping'!AD14&gt;=361,'(橫掃)RX Mapping'!AD14&lt;=480), (-1)*('(橫掃)RX Mapping'!AD14-480),IF(AND('(橫掃)RX Mapping'!AD14&gt;=481,'(橫掃)RX Mapping'!AD14&lt;=600), ('(橫掃)RX Mapping'!AD14-361),IF(AND('(橫掃)RX Mapping'!AD14&gt;=601,'(橫掃)RX Mapping'!AD14&lt;=720), (-1)*('(橫掃)RX Mapping'!AD14-720)+120,IF(AND('(橫掃)RX Mapping'!AD14&gt;=721,'(橫掃)RX Mapping'!AD14&lt;=840), ('(橫掃)RX Mapping'!AD14-601),IF(AND('(橫掃)RX Mapping'!AD14&gt;=841,'(橫掃)RX Mapping'!AD14&lt;=960), (-1)*('(橫掃)RX Mapping'!AD14-960)+120,9999))))))))</f>
        <v>9999</v>
      </c>
      <c r="AE14">
        <f>IF(AND('(橫掃)RX Mapping'!AE14&gt;=1,'(橫掃)RX Mapping'!AE14&lt;=120), ('(橫掃)RX Mapping'!AE14-1),IF(AND('(橫掃)RX Mapping'!AE14&gt;=121,'(橫掃)RX Mapping'!AE14&lt;=240), (-1)*('(橫掃)RX Mapping'!AE14-240),IF(AND('(橫掃)RX Mapping'!AE14&gt;=241,'(橫掃)RX Mapping'!AE14&lt;=360), ('(橫掃)RX Mapping'!AE14-241),IF(AND('(橫掃)RX Mapping'!AE14&gt;=361,'(橫掃)RX Mapping'!AE14&lt;=480), (-1)*('(橫掃)RX Mapping'!AE14-480),IF(AND('(橫掃)RX Mapping'!AE14&gt;=481,'(橫掃)RX Mapping'!AE14&lt;=600), ('(橫掃)RX Mapping'!AE14-361),IF(AND('(橫掃)RX Mapping'!AE14&gt;=601,'(橫掃)RX Mapping'!AE14&lt;=720), (-1)*('(橫掃)RX Mapping'!AE14-720)+120,IF(AND('(橫掃)RX Mapping'!AE14&gt;=721,'(橫掃)RX Mapping'!AE14&lt;=840), ('(橫掃)RX Mapping'!AE14-601),IF(AND('(橫掃)RX Mapping'!AE14&gt;=841,'(橫掃)RX Mapping'!AE14&lt;=960), (-1)*('(橫掃)RX Mapping'!AE14-960)+120,9999))))))))</f>
        <v>9999</v>
      </c>
      <c r="AF14">
        <f>IF(AND('(橫掃)RX Mapping'!AF14&gt;=1,'(橫掃)RX Mapping'!AF14&lt;=120), ('(橫掃)RX Mapping'!AF14-1),IF(AND('(橫掃)RX Mapping'!AF14&gt;=121,'(橫掃)RX Mapping'!AF14&lt;=240), (-1)*('(橫掃)RX Mapping'!AF14-240),IF(AND('(橫掃)RX Mapping'!AF14&gt;=241,'(橫掃)RX Mapping'!AF14&lt;=360), ('(橫掃)RX Mapping'!AF14-241),IF(AND('(橫掃)RX Mapping'!AF14&gt;=361,'(橫掃)RX Mapping'!AF14&lt;=480), (-1)*('(橫掃)RX Mapping'!AF14-480),IF(AND('(橫掃)RX Mapping'!AF14&gt;=481,'(橫掃)RX Mapping'!AF14&lt;=600), ('(橫掃)RX Mapping'!AF14-361),IF(AND('(橫掃)RX Mapping'!AF14&gt;=601,'(橫掃)RX Mapping'!AF14&lt;=720), (-1)*('(橫掃)RX Mapping'!AF14-720)+120,IF(AND('(橫掃)RX Mapping'!AF14&gt;=721,'(橫掃)RX Mapping'!AF14&lt;=840), ('(橫掃)RX Mapping'!AF14-601),IF(AND('(橫掃)RX Mapping'!AF14&gt;=841,'(橫掃)RX Mapping'!AF14&lt;=960), (-1)*('(橫掃)RX Mapping'!AF14-960)+120,9999))))))))</f>
        <v>9999</v>
      </c>
      <c r="AG14">
        <f>IF(AND('(橫掃)RX Mapping'!AG14&gt;=1,'(橫掃)RX Mapping'!AG14&lt;=120), ('(橫掃)RX Mapping'!AG14-1),IF(AND('(橫掃)RX Mapping'!AG14&gt;=121,'(橫掃)RX Mapping'!AG14&lt;=240), (-1)*('(橫掃)RX Mapping'!AG14-240),IF(AND('(橫掃)RX Mapping'!AG14&gt;=241,'(橫掃)RX Mapping'!AG14&lt;=360), ('(橫掃)RX Mapping'!AG14-241),IF(AND('(橫掃)RX Mapping'!AG14&gt;=361,'(橫掃)RX Mapping'!AG14&lt;=480), (-1)*('(橫掃)RX Mapping'!AG14-480),IF(AND('(橫掃)RX Mapping'!AG14&gt;=481,'(橫掃)RX Mapping'!AG14&lt;=600), ('(橫掃)RX Mapping'!AG14-361),IF(AND('(橫掃)RX Mapping'!AG14&gt;=601,'(橫掃)RX Mapping'!AG14&lt;=720), (-1)*('(橫掃)RX Mapping'!AG14-720)+120,IF(AND('(橫掃)RX Mapping'!AG14&gt;=721,'(橫掃)RX Mapping'!AG14&lt;=840), ('(橫掃)RX Mapping'!AG14-601),IF(AND('(橫掃)RX Mapping'!AG14&gt;=841,'(橫掃)RX Mapping'!AG14&lt;=960), (-1)*('(橫掃)RX Mapping'!AG14-960)+120,9999))))))))</f>
        <v>9999</v>
      </c>
      <c r="AH14">
        <f>IF(AND('(橫掃)RX Mapping'!AH14&gt;=1,'(橫掃)RX Mapping'!AH14&lt;=120), ('(橫掃)RX Mapping'!AH14-1),IF(AND('(橫掃)RX Mapping'!AH14&gt;=121,'(橫掃)RX Mapping'!AH14&lt;=240), (-1)*('(橫掃)RX Mapping'!AH14-240),IF(AND('(橫掃)RX Mapping'!AH14&gt;=241,'(橫掃)RX Mapping'!AH14&lt;=360), ('(橫掃)RX Mapping'!AH14-241),IF(AND('(橫掃)RX Mapping'!AH14&gt;=361,'(橫掃)RX Mapping'!AH14&lt;=480), (-1)*('(橫掃)RX Mapping'!AH14-480),IF(AND('(橫掃)RX Mapping'!AH14&gt;=481,'(橫掃)RX Mapping'!AH14&lt;=600), ('(橫掃)RX Mapping'!AH14-361),IF(AND('(橫掃)RX Mapping'!AH14&gt;=601,'(橫掃)RX Mapping'!AH14&lt;=720), (-1)*('(橫掃)RX Mapping'!AH14-720)+120,IF(AND('(橫掃)RX Mapping'!AH14&gt;=721,'(橫掃)RX Mapping'!AH14&lt;=840), ('(橫掃)RX Mapping'!AH14-601),IF(AND('(橫掃)RX Mapping'!AH14&gt;=841,'(橫掃)RX Mapping'!AH14&lt;=960), (-1)*('(橫掃)RX Mapping'!AH14-960)+120,9999))))))))</f>
        <v>9999</v>
      </c>
      <c r="AI14">
        <f>IF(AND('(橫掃)RX Mapping'!AI14&gt;=1,'(橫掃)RX Mapping'!AI14&lt;=120), ('(橫掃)RX Mapping'!AI14-1),IF(AND('(橫掃)RX Mapping'!AI14&gt;=121,'(橫掃)RX Mapping'!AI14&lt;=240), (-1)*('(橫掃)RX Mapping'!AI14-240),IF(AND('(橫掃)RX Mapping'!AI14&gt;=241,'(橫掃)RX Mapping'!AI14&lt;=360), ('(橫掃)RX Mapping'!AI14-241),IF(AND('(橫掃)RX Mapping'!AI14&gt;=361,'(橫掃)RX Mapping'!AI14&lt;=480), (-1)*('(橫掃)RX Mapping'!AI14-480),IF(AND('(橫掃)RX Mapping'!AI14&gt;=481,'(橫掃)RX Mapping'!AI14&lt;=600), ('(橫掃)RX Mapping'!AI14-361),IF(AND('(橫掃)RX Mapping'!AI14&gt;=601,'(橫掃)RX Mapping'!AI14&lt;=720), (-1)*('(橫掃)RX Mapping'!AI14-720)+120,IF(AND('(橫掃)RX Mapping'!AI14&gt;=721,'(橫掃)RX Mapping'!AI14&lt;=840), ('(橫掃)RX Mapping'!AI14-601),IF(AND('(橫掃)RX Mapping'!AI14&gt;=841,'(橫掃)RX Mapping'!AI14&lt;=960), (-1)*('(橫掃)RX Mapping'!AI14-960)+120,9999))))))))</f>
        <v>9999</v>
      </c>
      <c r="AJ14">
        <f>IF(AND('(橫掃)RX Mapping'!AJ14&gt;=1,'(橫掃)RX Mapping'!AJ14&lt;=120), ('(橫掃)RX Mapping'!AJ14-1),IF(AND('(橫掃)RX Mapping'!AJ14&gt;=121,'(橫掃)RX Mapping'!AJ14&lt;=240), (-1)*('(橫掃)RX Mapping'!AJ14-240),IF(AND('(橫掃)RX Mapping'!AJ14&gt;=241,'(橫掃)RX Mapping'!AJ14&lt;=360), ('(橫掃)RX Mapping'!AJ14-241),IF(AND('(橫掃)RX Mapping'!AJ14&gt;=361,'(橫掃)RX Mapping'!AJ14&lt;=480), (-1)*('(橫掃)RX Mapping'!AJ14-480),IF(AND('(橫掃)RX Mapping'!AJ14&gt;=481,'(橫掃)RX Mapping'!AJ14&lt;=600), ('(橫掃)RX Mapping'!AJ14-361),IF(AND('(橫掃)RX Mapping'!AJ14&gt;=601,'(橫掃)RX Mapping'!AJ14&lt;=720), (-1)*('(橫掃)RX Mapping'!AJ14-720)+120,IF(AND('(橫掃)RX Mapping'!AJ14&gt;=721,'(橫掃)RX Mapping'!AJ14&lt;=840), ('(橫掃)RX Mapping'!AJ14-601),IF(AND('(橫掃)RX Mapping'!AJ14&gt;=841,'(橫掃)RX Mapping'!AJ14&lt;=960), (-1)*('(橫掃)RX Mapping'!AJ14-960)+120,9999))))))))</f>
        <v>9999</v>
      </c>
      <c r="AK14">
        <f>IF(AND('(橫掃)RX Mapping'!AK14&gt;=1,'(橫掃)RX Mapping'!AK14&lt;=120), ('(橫掃)RX Mapping'!AK14-1),IF(AND('(橫掃)RX Mapping'!AK14&gt;=121,'(橫掃)RX Mapping'!AK14&lt;=240), (-1)*('(橫掃)RX Mapping'!AK14-240),IF(AND('(橫掃)RX Mapping'!AK14&gt;=241,'(橫掃)RX Mapping'!AK14&lt;=360), ('(橫掃)RX Mapping'!AK14-241),IF(AND('(橫掃)RX Mapping'!AK14&gt;=361,'(橫掃)RX Mapping'!AK14&lt;=480), (-1)*('(橫掃)RX Mapping'!AK14-480),IF(AND('(橫掃)RX Mapping'!AK14&gt;=481,'(橫掃)RX Mapping'!AK14&lt;=600), ('(橫掃)RX Mapping'!AK14-361),IF(AND('(橫掃)RX Mapping'!AK14&gt;=601,'(橫掃)RX Mapping'!AK14&lt;=720), (-1)*('(橫掃)RX Mapping'!AK14-720)+120,IF(AND('(橫掃)RX Mapping'!AK14&gt;=721,'(橫掃)RX Mapping'!AK14&lt;=840), ('(橫掃)RX Mapping'!AK14-601),IF(AND('(橫掃)RX Mapping'!AK14&gt;=841,'(橫掃)RX Mapping'!AK14&lt;=960), (-1)*('(橫掃)RX Mapping'!AK14-960)+120,9999))))))))</f>
        <v>9999</v>
      </c>
      <c r="AL14">
        <f>IF(AND('(橫掃)RX Mapping'!AL14&gt;=1,'(橫掃)RX Mapping'!AL14&lt;=120), ('(橫掃)RX Mapping'!AL14-1),IF(AND('(橫掃)RX Mapping'!AL14&gt;=121,'(橫掃)RX Mapping'!AL14&lt;=240), (-1)*('(橫掃)RX Mapping'!AL14-240),IF(AND('(橫掃)RX Mapping'!AL14&gt;=241,'(橫掃)RX Mapping'!AL14&lt;=360), ('(橫掃)RX Mapping'!AL14-241),IF(AND('(橫掃)RX Mapping'!AL14&gt;=361,'(橫掃)RX Mapping'!AL14&lt;=480), (-1)*('(橫掃)RX Mapping'!AL14-480),IF(AND('(橫掃)RX Mapping'!AL14&gt;=481,'(橫掃)RX Mapping'!AL14&lt;=600), ('(橫掃)RX Mapping'!AL14-361),IF(AND('(橫掃)RX Mapping'!AL14&gt;=601,'(橫掃)RX Mapping'!AL14&lt;=720), (-1)*('(橫掃)RX Mapping'!AL14-720)+120,IF(AND('(橫掃)RX Mapping'!AL14&gt;=721,'(橫掃)RX Mapping'!AL14&lt;=840), ('(橫掃)RX Mapping'!AL14-601),IF(AND('(橫掃)RX Mapping'!AL14&gt;=841,'(橫掃)RX Mapping'!AL14&lt;=960), (-1)*('(橫掃)RX Mapping'!AL14-960)+120,9999))))))))</f>
        <v>9999</v>
      </c>
      <c r="AM14">
        <f>IF(AND('(橫掃)RX Mapping'!AM14&gt;=1,'(橫掃)RX Mapping'!AM14&lt;=120), ('(橫掃)RX Mapping'!AM14-1),IF(AND('(橫掃)RX Mapping'!AM14&gt;=121,'(橫掃)RX Mapping'!AM14&lt;=240), (-1)*('(橫掃)RX Mapping'!AM14-240),IF(AND('(橫掃)RX Mapping'!AM14&gt;=241,'(橫掃)RX Mapping'!AM14&lt;=360), ('(橫掃)RX Mapping'!AM14-241),IF(AND('(橫掃)RX Mapping'!AM14&gt;=361,'(橫掃)RX Mapping'!AM14&lt;=480), (-1)*('(橫掃)RX Mapping'!AM14-480),IF(AND('(橫掃)RX Mapping'!AM14&gt;=481,'(橫掃)RX Mapping'!AM14&lt;=600), ('(橫掃)RX Mapping'!AM14-361),IF(AND('(橫掃)RX Mapping'!AM14&gt;=601,'(橫掃)RX Mapping'!AM14&lt;=720), (-1)*('(橫掃)RX Mapping'!AM14-720)+120,IF(AND('(橫掃)RX Mapping'!AM14&gt;=721,'(橫掃)RX Mapping'!AM14&lt;=840), ('(橫掃)RX Mapping'!AM14-601),IF(AND('(橫掃)RX Mapping'!AM14&gt;=841,'(橫掃)RX Mapping'!AM14&lt;=960), (-1)*('(橫掃)RX Mapping'!AM14-960)+120,9999))))))))</f>
        <v>9999</v>
      </c>
      <c r="AN14">
        <f>IF(AND('(橫掃)RX Mapping'!AN14&gt;=1,'(橫掃)RX Mapping'!AN14&lt;=120), ('(橫掃)RX Mapping'!AN14-1),IF(AND('(橫掃)RX Mapping'!AN14&gt;=121,'(橫掃)RX Mapping'!AN14&lt;=240), (-1)*('(橫掃)RX Mapping'!AN14-240),IF(AND('(橫掃)RX Mapping'!AN14&gt;=241,'(橫掃)RX Mapping'!AN14&lt;=360), ('(橫掃)RX Mapping'!AN14-241),IF(AND('(橫掃)RX Mapping'!AN14&gt;=361,'(橫掃)RX Mapping'!AN14&lt;=480), (-1)*('(橫掃)RX Mapping'!AN14-480),IF(AND('(橫掃)RX Mapping'!AN14&gt;=481,'(橫掃)RX Mapping'!AN14&lt;=600), ('(橫掃)RX Mapping'!AN14-361),IF(AND('(橫掃)RX Mapping'!AN14&gt;=601,'(橫掃)RX Mapping'!AN14&lt;=720), (-1)*('(橫掃)RX Mapping'!AN14-720)+120,IF(AND('(橫掃)RX Mapping'!AN14&gt;=721,'(橫掃)RX Mapping'!AN14&lt;=840), ('(橫掃)RX Mapping'!AN14-601),IF(AND('(橫掃)RX Mapping'!AN14&gt;=841,'(橫掃)RX Mapping'!AN14&lt;=960), (-1)*('(橫掃)RX Mapping'!AN14-960)+120,9999))))))))</f>
        <v>9999</v>
      </c>
      <c r="AO14">
        <f>IF(AND('(橫掃)RX Mapping'!AO14&gt;=1,'(橫掃)RX Mapping'!AO14&lt;=120), ('(橫掃)RX Mapping'!AO14-1),IF(AND('(橫掃)RX Mapping'!AO14&gt;=121,'(橫掃)RX Mapping'!AO14&lt;=240), (-1)*('(橫掃)RX Mapping'!AO14-240),IF(AND('(橫掃)RX Mapping'!AO14&gt;=241,'(橫掃)RX Mapping'!AO14&lt;=360), ('(橫掃)RX Mapping'!AO14-241),IF(AND('(橫掃)RX Mapping'!AO14&gt;=361,'(橫掃)RX Mapping'!AO14&lt;=480), (-1)*('(橫掃)RX Mapping'!AO14-480),IF(AND('(橫掃)RX Mapping'!AO14&gt;=481,'(橫掃)RX Mapping'!AO14&lt;=600), ('(橫掃)RX Mapping'!AO14-361),IF(AND('(橫掃)RX Mapping'!AO14&gt;=601,'(橫掃)RX Mapping'!AO14&lt;=720), (-1)*('(橫掃)RX Mapping'!AO14-720)+120,IF(AND('(橫掃)RX Mapping'!AO14&gt;=721,'(橫掃)RX Mapping'!AO14&lt;=840), ('(橫掃)RX Mapping'!AO14-601),IF(AND('(橫掃)RX Mapping'!AO14&gt;=841,'(橫掃)RX Mapping'!AO14&lt;=960), (-1)*('(橫掃)RX Mapping'!AO14-960)+120,9999))))))))</f>
        <v>9999</v>
      </c>
      <c r="AP14">
        <f>IF(AND('(橫掃)RX Mapping'!AP14&gt;=1,'(橫掃)RX Mapping'!AP14&lt;=120), ('(橫掃)RX Mapping'!AP14-1),IF(AND('(橫掃)RX Mapping'!AP14&gt;=121,'(橫掃)RX Mapping'!AP14&lt;=240), (-1)*('(橫掃)RX Mapping'!AP14-240),IF(AND('(橫掃)RX Mapping'!AP14&gt;=241,'(橫掃)RX Mapping'!AP14&lt;=360), ('(橫掃)RX Mapping'!AP14-241),IF(AND('(橫掃)RX Mapping'!AP14&gt;=361,'(橫掃)RX Mapping'!AP14&lt;=480), (-1)*('(橫掃)RX Mapping'!AP14-480),IF(AND('(橫掃)RX Mapping'!AP14&gt;=481,'(橫掃)RX Mapping'!AP14&lt;=600), ('(橫掃)RX Mapping'!AP14-361),IF(AND('(橫掃)RX Mapping'!AP14&gt;=601,'(橫掃)RX Mapping'!AP14&lt;=720), (-1)*('(橫掃)RX Mapping'!AP14-720)+120,IF(AND('(橫掃)RX Mapping'!AP14&gt;=721,'(橫掃)RX Mapping'!AP14&lt;=840), ('(橫掃)RX Mapping'!AP14-601),IF(AND('(橫掃)RX Mapping'!AP14&gt;=841,'(橫掃)RX Mapping'!AP14&lt;=960), (-1)*('(橫掃)RX Mapping'!AP14-960)+120,9999))))))))</f>
        <v>9999</v>
      </c>
      <c r="AQ14">
        <f>IF(AND('(橫掃)RX Mapping'!AQ14&gt;=1,'(橫掃)RX Mapping'!AQ14&lt;=120), ('(橫掃)RX Mapping'!AQ14-1),IF(AND('(橫掃)RX Mapping'!AQ14&gt;=121,'(橫掃)RX Mapping'!AQ14&lt;=240), (-1)*('(橫掃)RX Mapping'!AQ14-240),IF(AND('(橫掃)RX Mapping'!AQ14&gt;=241,'(橫掃)RX Mapping'!AQ14&lt;=360), ('(橫掃)RX Mapping'!AQ14-241),IF(AND('(橫掃)RX Mapping'!AQ14&gt;=361,'(橫掃)RX Mapping'!AQ14&lt;=480), (-1)*('(橫掃)RX Mapping'!AQ14-480),IF(AND('(橫掃)RX Mapping'!AQ14&gt;=481,'(橫掃)RX Mapping'!AQ14&lt;=600), ('(橫掃)RX Mapping'!AQ14-361),IF(AND('(橫掃)RX Mapping'!AQ14&gt;=601,'(橫掃)RX Mapping'!AQ14&lt;=720), (-1)*('(橫掃)RX Mapping'!AQ14-720)+120,IF(AND('(橫掃)RX Mapping'!AQ14&gt;=721,'(橫掃)RX Mapping'!AQ14&lt;=840), ('(橫掃)RX Mapping'!AQ14-601),IF(AND('(橫掃)RX Mapping'!AQ14&gt;=841,'(橫掃)RX Mapping'!AQ14&lt;=960), (-1)*('(橫掃)RX Mapping'!AQ14-960)+120,9999))))))))</f>
        <v>9999</v>
      </c>
      <c r="AR14">
        <f>IF(AND('(橫掃)RX Mapping'!AR14&gt;=1,'(橫掃)RX Mapping'!AR14&lt;=120), ('(橫掃)RX Mapping'!AR14-1),IF(AND('(橫掃)RX Mapping'!AR14&gt;=121,'(橫掃)RX Mapping'!AR14&lt;=240), (-1)*('(橫掃)RX Mapping'!AR14-240),IF(AND('(橫掃)RX Mapping'!AR14&gt;=241,'(橫掃)RX Mapping'!AR14&lt;=360), ('(橫掃)RX Mapping'!AR14-241),IF(AND('(橫掃)RX Mapping'!AR14&gt;=361,'(橫掃)RX Mapping'!AR14&lt;=480), (-1)*('(橫掃)RX Mapping'!AR14-480),IF(AND('(橫掃)RX Mapping'!AR14&gt;=481,'(橫掃)RX Mapping'!AR14&lt;=600), ('(橫掃)RX Mapping'!AR14-361),IF(AND('(橫掃)RX Mapping'!AR14&gt;=601,'(橫掃)RX Mapping'!AR14&lt;=720), (-1)*('(橫掃)RX Mapping'!AR14-720)+120,IF(AND('(橫掃)RX Mapping'!AR14&gt;=721,'(橫掃)RX Mapping'!AR14&lt;=840), ('(橫掃)RX Mapping'!AR14-601),IF(AND('(橫掃)RX Mapping'!AR14&gt;=841,'(橫掃)RX Mapping'!AR14&lt;=960), (-1)*('(橫掃)RX Mapping'!AR14-960)+120,9999))))))))</f>
        <v>9999</v>
      </c>
      <c r="AS14">
        <f>IF(AND('(橫掃)RX Mapping'!AS14&gt;=1,'(橫掃)RX Mapping'!AS14&lt;=120), ('(橫掃)RX Mapping'!AS14-1),IF(AND('(橫掃)RX Mapping'!AS14&gt;=121,'(橫掃)RX Mapping'!AS14&lt;=240), (-1)*('(橫掃)RX Mapping'!AS14-240),IF(AND('(橫掃)RX Mapping'!AS14&gt;=241,'(橫掃)RX Mapping'!AS14&lt;=360), ('(橫掃)RX Mapping'!AS14-241),IF(AND('(橫掃)RX Mapping'!AS14&gt;=361,'(橫掃)RX Mapping'!AS14&lt;=480), (-1)*('(橫掃)RX Mapping'!AS14-480),IF(AND('(橫掃)RX Mapping'!AS14&gt;=481,'(橫掃)RX Mapping'!AS14&lt;=600), ('(橫掃)RX Mapping'!AS14-361),IF(AND('(橫掃)RX Mapping'!AS14&gt;=601,'(橫掃)RX Mapping'!AS14&lt;=720), (-1)*('(橫掃)RX Mapping'!AS14-720)+120,IF(AND('(橫掃)RX Mapping'!AS14&gt;=721,'(橫掃)RX Mapping'!AS14&lt;=840), ('(橫掃)RX Mapping'!AS14-601),IF(AND('(橫掃)RX Mapping'!AS14&gt;=841,'(橫掃)RX Mapping'!AS14&lt;=960), (-1)*('(橫掃)RX Mapping'!AS14-960)+120,9999))))))))</f>
        <v>9999</v>
      </c>
      <c r="AT14">
        <f>IF(AND('(橫掃)RX Mapping'!AT14&gt;=1,'(橫掃)RX Mapping'!AT14&lt;=120), ('(橫掃)RX Mapping'!AT14-1),IF(AND('(橫掃)RX Mapping'!AT14&gt;=121,'(橫掃)RX Mapping'!AT14&lt;=240), (-1)*('(橫掃)RX Mapping'!AT14-240),IF(AND('(橫掃)RX Mapping'!AT14&gt;=241,'(橫掃)RX Mapping'!AT14&lt;=360), ('(橫掃)RX Mapping'!AT14-241),IF(AND('(橫掃)RX Mapping'!AT14&gt;=361,'(橫掃)RX Mapping'!AT14&lt;=480), (-1)*('(橫掃)RX Mapping'!AT14-480),IF(AND('(橫掃)RX Mapping'!AT14&gt;=481,'(橫掃)RX Mapping'!AT14&lt;=600), ('(橫掃)RX Mapping'!AT14-361),IF(AND('(橫掃)RX Mapping'!AT14&gt;=601,'(橫掃)RX Mapping'!AT14&lt;=720), (-1)*('(橫掃)RX Mapping'!AT14-720)+120,IF(AND('(橫掃)RX Mapping'!AT14&gt;=721,'(橫掃)RX Mapping'!AT14&lt;=840), ('(橫掃)RX Mapping'!AT14-601),IF(AND('(橫掃)RX Mapping'!AT14&gt;=841,'(橫掃)RX Mapping'!AT14&lt;=960), (-1)*('(橫掃)RX Mapping'!AT14-960)+120,9999))))))))</f>
        <v>9999</v>
      </c>
      <c r="AU14">
        <f>IF(AND('(橫掃)RX Mapping'!AU14&gt;=1,'(橫掃)RX Mapping'!AU14&lt;=120), ('(橫掃)RX Mapping'!AU14-1),IF(AND('(橫掃)RX Mapping'!AU14&gt;=121,'(橫掃)RX Mapping'!AU14&lt;=240), (-1)*('(橫掃)RX Mapping'!AU14-240),IF(AND('(橫掃)RX Mapping'!AU14&gt;=241,'(橫掃)RX Mapping'!AU14&lt;=360), ('(橫掃)RX Mapping'!AU14-241),IF(AND('(橫掃)RX Mapping'!AU14&gt;=361,'(橫掃)RX Mapping'!AU14&lt;=480), (-1)*('(橫掃)RX Mapping'!AU14-480),IF(AND('(橫掃)RX Mapping'!AU14&gt;=481,'(橫掃)RX Mapping'!AU14&lt;=600), ('(橫掃)RX Mapping'!AU14-361),IF(AND('(橫掃)RX Mapping'!AU14&gt;=601,'(橫掃)RX Mapping'!AU14&lt;=720), (-1)*('(橫掃)RX Mapping'!AU14-720)+120,IF(AND('(橫掃)RX Mapping'!AU14&gt;=721,'(橫掃)RX Mapping'!AU14&lt;=840), ('(橫掃)RX Mapping'!AU14-601),IF(AND('(橫掃)RX Mapping'!AU14&gt;=841,'(橫掃)RX Mapping'!AU14&lt;=960), (-1)*('(橫掃)RX Mapping'!AU14-960)+120,9999))))))))</f>
        <v>9999</v>
      </c>
      <c r="AV14">
        <f>IF(AND('(橫掃)RX Mapping'!AV14&gt;=1,'(橫掃)RX Mapping'!AV14&lt;=120), ('(橫掃)RX Mapping'!AV14-1),IF(AND('(橫掃)RX Mapping'!AV14&gt;=121,'(橫掃)RX Mapping'!AV14&lt;=240), (-1)*('(橫掃)RX Mapping'!AV14-240),IF(AND('(橫掃)RX Mapping'!AV14&gt;=241,'(橫掃)RX Mapping'!AV14&lt;=360), ('(橫掃)RX Mapping'!AV14-241),IF(AND('(橫掃)RX Mapping'!AV14&gt;=361,'(橫掃)RX Mapping'!AV14&lt;=480), (-1)*('(橫掃)RX Mapping'!AV14-480),IF(AND('(橫掃)RX Mapping'!AV14&gt;=481,'(橫掃)RX Mapping'!AV14&lt;=600), ('(橫掃)RX Mapping'!AV14-361),IF(AND('(橫掃)RX Mapping'!AV14&gt;=601,'(橫掃)RX Mapping'!AV14&lt;=720), (-1)*('(橫掃)RX Mapping'!AV14-720)+120,IF(AND('(橫掃)RX Mapping'!AV14&gt;=721,'(橫掃)RX Mapping'!AV14&lt;=840), ('(橫掃)RX Mapping'!AV14-601),IF(AND('(橫掃)RX Mapping'!AV14&gt;=841,'(橫掃)RX Mapping'!AV14&lt;=960), (-1)*('(橫掃)RX Mapping'!AV14-960)+120,9999))))))))</f>
        <v>9999</v>
      </c>
      <c r="AW14">
        <f>IF(AND('(橫掃)RX Mapping'!AW14&gt;=1,'(橫掃)RX Mapping'!AW14&lt;=120), ('(橫掃)RX Mapping'!AW14-1),IF(AND('(橫掃)RX Mapping'!AW14&gt;=121,'(橫掃)RX Mapping'!AW14&lt;=240), (-1)*('(橫掃)RX Mapping'!AW14-240),IF(AND('(橫掃)RX Mapping'!AW14&gt;=241,'(橫掃)RX Mapping'!AW14&lt;=360), ('(橫掃)RX Mapping'!AW14-241),IF(AND('(橫掃)RX Mapping'!AW14&gt;=361,'(橫掃)RX Mapping'!AW14&lt;=480), (-1)*('(橫掃)RX Mapping'!AW14-480),IF(AND('(橫掃)RX Mapping'!AW14&gt;=481,'(橫掃)RX Mapping'!AW14&lt;=600), ('(橫掃)RX Mapping'!AW14-361),IF(AND('(橫掃)RX Mapping'!AW14&gt;=601,'(橫掃)RX Mapping'!AW14&lt;=720), (-1)*('(橫掃)RX Mapping'!AW14-720)+120,IF(AND('(橫掃)RX Mapping'!AW14&gt;=721,'(橫掃)RX Mapping'!AW14&lt;=840), ('(橫掃)RX Mapping'!AW14-601),IF(AND('(橫掃)RX Mapping'!AW14&gt;=841,'(橫掃)RX Mapping'!AW14&lt;=960), (-1)*('(橫掃)RX Mapping'!AW14-960)+120,9999))))))))</f>
        <v>9999</v>
      </c>
      <c r="AX14">
        <f>IF(AND('(橫掃)RX Mapping'!AX14&gt;=1,'(橫掃)RX Mapping'!AX14&lt;=120), ('(橫掃)RX Mapping'!AX14-1),IF(AND('(橫掃)RX Mapping'!AX14&gt;=121,'(橫掃)RX Mapping'!AX14&lt;=240), (-1)*('(橫掃)RX Mapping'!AX14-240),IF(AND('(橫掃)RX Mapping'!AX14&gt;=241,'(橫掃)RX Mapping'!AX14&lt;=360), ('(橫掃)RX Mapping'!AX14-241),IF(AND('(橫掃)RX Mapping'!AX14&gt;=361,'(橫掃)RX Mapping'!AX14&lt;=480), (-1)*('(橫掃)RX Mapping'!AX14-480),IF(AND('(橫掃)RX Mapping'!AX14&gt;=481,'(橫掃)RX Mapping'!AX14&lt;=600), ('(橫掃)RX Mapping'!AX14-361),IF(AND('(橫掃)RX Mapping'!AX14&gt;=601,'(橫掃)RX Mapping'!AX14&lt;=720), (-1)*('(橫掃)RX Mapping'!AX14-720)+120,IF(AND('(橫掃)RX Mapping'!AX14&gt;=721,'(橫掃)RX Mapping'!AX14&lt;=840), ('(橫掃)RX Mapping'!AX14-601),IF(AND('(橫掃)RX Mapping'!AX14&gt;=841,'(橫掃)RX Mapping'!AX14&lt;=960), (-1)*('(橫掃)RX Mapping'!AX14-960)+120,9999))))))))</f>
        <v>9999</v>
      </c>
      <c r="AY14">
        <f>IF(AND('(橫掃)RX Mapping'!AY14&gt;=1,'(橫掃)RX Mapping'!AY14&lt;=120), ('(橫掃)RX Mapping'!AY14-1),IF(AND('(橫掃)RX Mapping'!AY14&gt;=121,'(橫掃)RX Mapping'!AY14&lt;=240), (-1)*('(橫掃)RX Mapping'!AY14-240),IF(AND('(橫掃)RX Mapping'!AY14&gt;=241,'(橫掃)RX Mapping'!AY14&lt;=360), ('(橫掃)RX Mapping'!AY14-241),IF(AND('(橫掃)RX Mapping'!AY14&gt;=361,'(橫掃)RX Mapping'!AY14&lt;=480), (-1)*('(橫掃)RX Mapping'!AY14-480),IF(AND('(橫掃)RX Mapping'!AY14&gt;=481,'(橫掃)RX Mapping'!AY14&lt;=600), ('(橫掃)RX Mapping'!AY14-361),IF(AND('(橫掃)RX Mapping'!AY14&gt;=601,'(橫掃)RX Mapping'!AY14&lt;=720), (-1)*('(橫掃)RX Mapping'!AY14-720)+120,IF(AND('(橫掃)RX Mapping'!AY14&gt;=721,'(橫掃)RX Mapping'!AY14&lt;=840), ('(橫掃)RX Mapping'!AY14-601),IF(AND('(橫掃)RX Mapping'!AY14&gt;=841,'(橫掃)RX Mapping'!AY14&lt;=960), (-1)*('(橫掃)RX Mapping'!AY14-960)+120,9999))))))))</f>
        <v>9999</v>
      </c>
      <c r="AZ14">
        <f>IF(AND('(橫掃)RX Mapping'!AZ14&gt;=1,'(橫掃)RX Mapping'!AZ14&lt;=120), ('(橫掃)RX Mapping'!AZ14-1),IF(AND('(橫掃)RX Mapping'!AZ14&gt;=121,'(橫掃)RX Mapping'!AZ14&lt;=240), (-1)*('(橫掃)RX Mapping'!AZ14-240),IF(AND('(橫掃)RX Mapping'!AZ14&gt;=241,'(橫掃)RX Mapping'!AZ14&lt;=360), ('(橫掃)RX Mapping'!AZ14-241),IF(AND('(橫掃)RX Mapping'!AZ14&gt;=361,'(橫掃)RX Mapping'!AZ14&lt;=480), (-1)*('(橫掃)RX Mapping'!AZ14-480),IF(AND('(橫掃)RX Mapping'!AZ14&gt;=481,'(橫掃)RX Mapping'!AZ14&lt;=600), ('(橫掃)RX Mapping'!AZ14-361),IF(AND('(橫掃)RX Mapping'!AZ14&gt;=601,'(橫掃)RX Mapping'!AZ14&lt;=720), (-1)*('(橫掃)RX Mapping'!AZ14-720)+120,IF(AND('(橫掃)RX Mapping'!AZ14&gt;=721,'(橫掃)RX Mapping'!AZ14&lt;=840), ('(橫掃)RX Mapping'!AZ14-601),IF(AND('(橫掃)RX Mapping'!AZ14&gt;=841,'(橫掃)RX Mapping'!AZ14&lt;=960), (-1)*('(橫掃)RX Mapping'!AZ14-960)+120,9999))))))))</f>
        <v>9999</v>
      </c>
      <c r="BA14">
        <f>IF(AND('(橫掃)RX Mapping'!BA14&gt;=1,'(橫掃)RX Mapping'!BA14&lt;=120), ('(橫掃)RX Mapping'!BA14-1),IF(AND('(橫掃)RX Mapping'!BA14&gt;=121,'(橫掃)RX Mapping'!BA14&lt;=240), (-1)*('(橫掃)RX Mapping'!BA14-240),IF(AND('(橫掃)RX Mapping'!BA14&gt;=241,'(橫掃)RX Mapping'!BA14&lt;=360), ('(橫掃)RX Mapping'!BA14-241),IF(AND('(橫掃)RX Mapping'!BA14&gt;=361,'(橫掃)RX Mapping'!BA14&lt;=480), (-1)*('(橫掃)RX Mapping'!BA14-480),IF(AND('(橫掃)RX Mapping'!BA14&gt;=481,'(橫掃)RX Mapping'!BA14&lt;=600), ('(橫掃)RX Mapping'!BA14-361),IF(AND('(橫掃)RX Mapping'!BA14&gt;=601,'(橫掃)RX Mapping'!BA14&lt;=720), (-1)*('(橫掃)RX Mapping'!BA14-720)+120,IF(AND('(橫掃)RX Mapping'!BA14&gt;=721,'(橫掃)RX Mapping'!BA14&lt;=840), ('(橫掃)RX Mapping'!BA14-601),IF(AND('(橫掃)RX Mapping'!BA14&gt;=841,'(橫掃)RX Mapping'!BA14&lt;=960), (-1)*('(橫掃)RX Mapping'!BA14-960)+120,9999))))))))</f>
        <v>9999</v>
      </c>
      <c r="BB14">
        <f>IF(AND('(橫掃)RX Mapping'!BB14&gt;=1,'(橫掃)RX Mapping'!BB14&lt;=120), ('(橫掃)RX Mapping'!BB14-1),IF(AND('(橫掃)RX Mapping'!BB14&gt;=121,'(橫掃)RX Mapping'!BB14&lt;=240), (-1)*('(橫掃)RX Mapping'!BB14-240),IF(AND('(橫掃)RX Mapping'!BB14&gt;=241,'(橫掃)RX Mapping'!BB14&lt;=360), ('(橫掃)RX Mapping'!BB14-241),IF(AND('(橫掃)RX Mapping'!BB14&gt;=361,'(橫掃)RX Mapping'!BB14&lt;=480), (-1)*('(橫掃)RX Mapping'!BB14-480),IF(AND('(橫掃)RX Mapping'!BB14&gt;=481,'(橫掃)RX Mapping'!BB14&lt;=600), ('(橫掃)RX Mapping'!BB14-361),IF(AND('(橫掃)RX Mapping'!BB14&gt;=601,'(橫掃)RX Mapping'!BB14&lt;=720), (-1)*('(橫掃)RX Mapping'!BB14-720)+120,IF(AND('(橫掃)RX Mapping'!BB14&gt;=721,'(橫掃)RX Mapping'!BB14&lt;=840), ('(橫掃)RX Mapping'!BB14-601),IF(AND('(橫掃)RX Mapping'!BB14&gt;=841,'(橫掃)RX Mapping'!BB14&lt;=960), (-1)*('(橫掃)RX Mapping'!BB14-960)+120,9999))))))))</f>
        <v>9999</v>
      </c>
      <c r="BC14">
        <f>IF(AND('(橫掃)RX Mapping'!BC14&gt;=1,'(橫掃)RX Mapping'!BC14&lt;=120), ('(橫掃)RX Mapping'!BC14-1),IF(AND('(橫掃)RX Mapping'!BC14&gt;=121,'(橫掃)RX Mapping'!BC14&lt;=240), (-1)*('(橫掃)RX Mapping'!BC14-240),IF(AND('(橫掃)RX Mapping'!BC14&gt;=241,'(橫掃)RX Mapping'!BC14&lt;=360), ('(橫掃)RX Mapping'!BC14-241),IF(AND('(橫掃)RX Mapping'!BC14&gt;=361,'(橫掃)RX Mapping'!BC14&lt;=480), (-1)*('(橫掃)RX Mapping'!BC14-480),IF(AND('(橫掃)RX Mapping'!BC14&gt;=481,'(橫掃)RX Mapping'!BC14&lt;=600), ('(橫掃)RX Mapping'!BC14-361),IF(AND('(橫掃)RX Mapping'!BC14&gt;=601,'(橫掃)RX Mapping'!BC14&lt;=720), (-1)*('(橫掃)RX Mapping'!BC14-720)+120,IF(AND('(橫掃)RX Mapping'!BC14&gt;=721,'(橫掃)RX Mapping'!BC14&lt;=840), ('(橫掃)RX Mapping'!BC14-601),IF(AND('(橫掃)RX Mapping'!BC14&gt;=841,'(橫掃)RX Mapping'!BC14&lt;=960), (-1)*('(橫掃)RX Mapping'!BC14-960)+120,9999))))))))</f>
        <v>9999</v>
      </c>
      <c r="BD14">
        <f>IF(AND('(橫掃)RX Mapping'!BD14&gt;=1,'(橫掃)RX Mapping'!BD14&lt;=120), ('(橫掃)RX Mapping'!BD14-1),IF(AND('(橫掃)RX Mapping'!BD14&gt;=121,'(橫掃)RX Mapping'!BD14&lt;=240), (-1)*('(橫掃)RX Mapping'!BD14-240),IF(AND('(橫掃)RX Mapping'!BD14&gt;=241,'(橫掃)RX Mapping'!BD14&lt;=360), ('(橫掃)RX Mapping'!BD14-241),IF(AND('(橫掃)RX Mapping'!BD14&gt;=361,'(橫掃)RX Mapping'!BD14&lt;=480), (-1)*('(橫掃)RX Mapping'!BD14-480),IF(AND('(橫掃)RX Mapping'!BD14&gt;=481,'(橫掃)RX Mapping'!BD14&lt;=600), ('(橫掃)RX Mapping'!BD14-361),IF(AND('(橫掃)RX Mapping'!BD14&gt;=601,'(橫掃)RX Mapping'!BD14&lt;=720), (-1)*('(橫掃)RX Mapping'!BD14-720)+120,IF(AND('(橫掃)RX Mapping'!BD14&gt;=721,'(橫掃)RX Mapping'!BD14&lt;=840), ('(橫掃)RX Mapping'!BD14-601),IF(AND('(橫掃)RX Mapping'!BD14&gt;=841,'(橫掃)RX Mapping'!BD14&lt;=960), (-1)*('(橫掃)RX Mapping'!BD14-960)+120,9999))))))))</f>
        <v>9999</v>
      </c>
      <c r="BE14">
        <f>IF(AND('(橫掃)RX Mapping'!BE14&gt;=1,'(橫掃)RX Mapping'!BE14&lt;=120), ('(橫掃)RX Mapping'!BE14-1),IF(AND('(橫掃)RX Mapping'!BE14&gt;=121,'(橫掃)RX Mapping'!BE14&lt;=240), (-1)*('(橫掃)RX Mapping'!BE14-240),IF(AND('(橫掃)RX Mapping'!BE14&gt;=241,'(橫掃)RX Mapping'!BE14&lt;=360), ('(橫掃)RX Mapping'!BE14-241),IF(AND('(橫掃)RX Mapping'!BE14&gt;=361,'(橫掃)RX Mapping'!BE14&lt;=480), (-1)*('(橫掃)RX Mapping'!BE14-480),IF(AND('(橫掃)RX Mapping'!BE14&gt;=481,'(橫掃)RX Mapping'!BE14&lt;=600), ('(橫掃)RX Mapping'!BE14-361),IF(AND('(橫掃)RX Mapping'!BE14&gt;=601,'(橫掃)RX Mapping'!BE14&lt;=720), (-1)*('(橫掃)RX Mapping'!BE14-720)+120,IF(AND('(橫掃)RX Mapping'!BE14&gt;=721,'(橫掃)RX Mapping'!BE14&lt;=840), ('(橫掃)RX Mapping'!BE14-601),IF(AND('(橫掃)RX Mapping'!BE14&gt;=841,'(橫掃)RX Mapping'!BE14&lt;=960), (-1)*('(橫掃)RX Mapping'!BE14-960)+120,9999))))))))</f>
        <v>9999</v>
      </c>
      <c r="BF14">
        <f>IF(AND('(橫掃)RX Mapping'!BF14&gt;=1,'(橫掃)RX Mapping'!BF14&lt;=120), ('(橫掃)RX Mapping'!BF14-1),IF(AND('(橫掃)RX Mapping'!BF14&gt;=121,'(橫掃)RX Mapping'!BF14&lt;=240), (-1)*('(橫掃)RX Mapping'!BF14-240),IF(AND('(橫掃)RX Mapping'!BF14&gt;=241,'(橫掃)RX Mapping'!BF14&lt;=360), ('(橫掃)RX Mapping'!BF14-241),IF(AND('(橫掃)RX Mapping'!BF14&gt;=361,'(橫掃)RX Mapping'!BF14&lt;=480), (-1)*('(橫掃)RX Mapping'!BF14-480),IF(AND('(橫掃)RX Mapping'!BF14&gt;=481,'(橫掃)RX Mapping'!BF14&lt;=600), ('(橫掃)RX Mapping'!BF14-361),IF(AND('(橫掃)RX Mapping'!BF14&gt;=601,'(橫掃)RX Mapping'!BF14&lt;=720), (-1)*('(橫掃)RX Mapping'!BF14-720)+120,IF(AND('(橫掃)RX Mapping'!BF14&gt;=721,'(橫掃)RX Mapping'!BF14&lt;=840), ('(橫掃)RX Mapping'!BF14-601),IF(AND('(橫掃)RX Mapping'!BF14&gt;=841,'(橫掃)RX Mapping'!BF14&lt;=960), (-1)*('(橫掃)RX Mapping'!BF14-960)+120,9999))))))))</f>
        <v>9999</v>
      </c>
      <c r="BG14">
        <f>IF(AND('(橫掃)RX Mapping'!BG14&gt;=1,'(橫掃)RX Mapping'!BG14&lt;=120), ('(橫掃)RX Mapping'!BG14-1),IF(AND('(橫掃)RX Mapping'!BG14&gt;=121,'(橫掃)RX Mapping'!BG14&lt;=240), (-1)*('(橫掃)RX Mapping'!BG14-240),IF(AND('(橫掃)RX Mapping'!BG14&gt;=241,'(橫掃)RX Mapping'!BG14&lt;=360), ('(橫掃)RX Mapping'!BG14-241),IF(AND('(橫掃)RX Mapping'!BG14&gt;=361,'(橫掃)RX Mapping'!BG14&lt;=480), (-1)*('(橫掃)RX Mapping'!BG14-480),IF(AND('(橫掃)RX Mapping'!BG14&gt;=481,'(橫掃)RX Mapping'!BG14&lt;=600), ('(橫掃)RX Mapping'!BG14-361),IF(AND('(橫掃)RX Mapping'!BG14&gt;=601,'(橫掃)RX Mapping'!BG14&lt;=720), (-1)*('(橫掃)RX Mapping'!BG14-720)+120,IF(AND('(橫掃)RX Mapping'!BG14&gt;=721,'(橫掃)RX Mapping'!BG14&lt;=840), ('(橫掃)RX Mapping'!BG14-601),IF(AND('(橫掃)RX Mapping'!BG14&gt;=841,'(橫掃)RX Mapping'!BG14&lt;=960), (-1)*('(橫掃)RX Mapping'!BG14-960)+120,9999))))))))</f>
        <v>9999</v>
      </c>
      <c r="BH14">
        <f>IF(AND('(橫掃)RX Mapping'!BH14&gt;=1,'(橫掃)RX Mapping'!BH14&lt;=120), ('(橫掃)RX Mapping'!BH14-1),IF(AND('(橫掃)RX Mapping'!BH14&gt;=121,'(橫掃)RX Mapping'!BH14&lt;=240), (-1)*('(橫掃)RX Mapping'!BH14-240),IF(AND('(橫掃)RX Mapping'!BH14&gt;=241,'(橫掃)RX Mapping'!BH14&lt;=360), ('(橫掃)RX Mapping'!BH14-241),IF(AND('(橫掃)RX Mapping'!BH14&gt;=361,'(橫掃)RX Mapping'!BH14&lt;=480), (-1)*('(橫掃)RX Mapping'!BH14-480),IF(AND('(橫掃)RX Mapping'!BH14&gt;=481,'(橫掃)RX Mapping'!BH14&lt;=600), ('(橫掃)RX Mapping'!BH14-361),IF(AND('(橫掃)RX Mapping'!BH14&gt;=601,'(橫掃)RX Mapping'!BH14&lt;=720), (-1)*('(橫掃)RX Mapping'!BH14-720)+120,IF(AND('(橫掃)RX Mapping'!BH14&gt;=721,'(橫掃)RX Mapping'!BH14&lt;=840), ('(橫掃)RX Mapping'!BH14-601),IF(AND('(橫掃)RX Mapping'!BH14&gt;=841,'(橫掃)RX Mapping'!BH14&lt;=960), (-1)*('(橫掃)RX Mapping'!BH14-960)+120,9999))))))))</f>
        <v>9999</v>
      </c>
      <c r="BI14">
        <f>IF(AND('(橫掃)RX Mapping'!BI14&gt;=1,'(橫掃)RX Mapping'!BI14&lt;=120), ('(橫掃)RX Mapping'!BI14-1),IF(AND('(橫掃)RX Mapping'!BI14&gt;=121,'(橫掃)RX Mapping'!BI14&lt;=240), (-1)*('(橫掃)RX Mapping'!BI14-240),IF(AND('(橫掃)RX Mapping'!BI14&gt;=241,'(橫掃)RX Mapping'!BI14&lt;=360), ('(橫掃)RX Mapping'!BI14-241),IF(AND('(橫掃)RX Mapping'!BI14&gt;=361,'(橫掃)RX Mapping'!BI14&lt;=480), (-1)*('(橫掃)RX Mapping'!BI14-480),IF(AND('(橫掃)RX Mapping'!BI14&gt;=481,'(橫掃)RX Mapping'!BI14&lt;=600), ('(橫掃)RX Mapping'!BI14-361),IF(AND('(橫掃)RX Mapping'!BI14&gt;=601,'(橫掃)RX Mapping'!BI14&lt;=720), (-1)*('(橫掃)RX Mapping'!BI14-720)+120,IF(AND('(橫掃)RX Mapping'!BI14&gt;=721,'(橫掃)RX Mapping'!BI14&lt;=840), ('(橫掃)RX Mapping'!BI14-601),IF(AND('(橫掃)RX Mapping'!BI14&gt;=841,'(橫掃)RX Mapping'!BI14&lt;=960), (-1)*('(橫掃)RX Mapping'!BI14-960)+120,9999))))))))</f>
        <v>9999</v>
      </c>
    </row>
    <row r="15" spans="1:61" x14ac:dyDescent="0.25">
      <c r="A15" s="20">
        <v>14</v>
      </c>
      <c r="B15">
        <f>IF(AND('(橫掃)RX Mapping'!B15&gt;=1,'(橫掃)RX Mapping'!B15&lt;=120), ('(橫掃)RX Mapping'!B15-1),IF(AND('(橫掃)RX Mapping'!B15&gt;=121,'(橫掃)RX Mapping'!B15&lt;=240), (-1)*('(橫掃)RX Mapping'!B15-240),IF(AND('(橫掃)RX Mapping'!B15&gt;=241,'(橫掃)RX Mapping'!B15&lt;=360), ('(橫掃)RX Mapping'!B15-241),IF(AND('(橫掃)RX Mapping'!B15&gt;=361,'(橫掃)RX Mapping'!B15&lt;=480), (-1)*('(橫掃)RX Mapping'!B15-480),IF(AND('(橫掃)RX Mapping'!B15&gt;=481,'(橫掃)RX Mapping'!B15&lt;=600), ('(橫掃)RX Mapping'!B15-361),IF(AND('(橫掃)RX Mapping'!B15&gt;=601,'(橫掃)RX Mapping'!B15&lt;=720), (-1)*('(橫掃)RX Mapping'!B15-720)+120,IF(AND('(橫掃)RX Mapping'!B15&gt;=721,'(橫掃)RX Mapping'!B15&lt;=840), ('(橫掃)RX Mapping'!B15-601),IF(AND('(橫掃)RX Mapping'!B15&gt;=841,'(橫掃)RX Mapping'!B15&lt;=960), (-1)*('(橫掃)RX Mapping'!B15-960)+120,9999))))))))</f>
        <v>13</v>
      </c>
      <c r="C15">
        <f>IF(AND('(橫掃)RX Mapping'!C15&gt;=1,'(橫掃)RX Mapping'!C15&lt;=120), ('(橫掃)RX Mapping'!C15-1),IF(AND('(橫掃)RX Mapping'!C15&gt;=121,'(橫掃)RX Mapping'!C15&lt;=240), (-1)*('(橫掃)RX Mapping'!C15-240),IF(AND('(橫掃)RX Mapping'!C15&gt;=241,'(橫掃)RX Mapping'!C15&lt;=360), ('(橫掃)RX Mapping'!C15-241),IF(AND('(橫掃)RX Mapping'!C15&gt;=361,'(橫掃)RX Mapping'!C15&lt;=480), (-1)*('(橫掃)RX Mapping'!C15-480),IF(AND('(橫掃)RX Mapping'!C15&gt;=481,'(橫掃)RX Mapping'!C15&lt;=600), ('(橫掃)RX Mapping'!C15-361),IF(AND('(橫掃)RX Mapping'!C15&gt;=601,'(橫掃)RX Mapping'!C15&lt;=720), (-1)*('(橫掃)RX Mapping'!C15-720)+120,IF(AND('(橫掃)RX Mapping'!C15&gt;=721,'(橫掃)RX Mapping'!C15&lt;=840), ('(橫掃)RX Mapping'!C15-601),IF(AND('(橫掃)RX Mapping'!C15&gt;=841,'(橫掃)RX Mapping'!C15&lt;=960), (-1)*('(橫掃)RX Mapping'!C15-960)+120,9999))))))))</f>
        <v>45</v>
      </c>
      <c r="D15">
        <f>IF(AND('(橫掃)RX Mapping'!D15&gt;=1,'(橫掃)RX Mapping'!D15&lt;=120), ('(橫掃)RX Mapping'!D15-1),IF(AND('(橫掃)RX Mapping'!D15&gt;=121,'(橫掃)RX Mapping'!D15&lt;=240), (-1)*('(橫掃)RX Mapping'!D15-240),IF(AND('(橫掃)RX Mapping'!D15&gt;=241,'(橫掃)RX Mapping'!D15&lt;=360), ('(橫掃)RX Mapping'!D15-241),IF(AND('(橫掃)RX Mapping'!D15&gt;=361,'(橫掃)RX Mapping'!D15&lt;=480), (-1)*('(橫掃)RX Mapping'!D15-480),IF(AND('(橫掃)RX Mapping'!D15&gt;=481,'(橫掃)RX Mapping'!D15&lt;=600), ('(橫掃)RX Mapping'!D15-361),IF(AND('(橫掃)RX Mapping'!D15&gt;=601,'(橫掃)RX Mapping'!D15&lt;=720), (-1)*('(橫掃)RX Mapping'!D15-720)+120,IF(AND('(橫掃)RX Mapping'!D15&gt;=721,'(橫掃)RX Mapping'!D15&lt;=840), ('(橫掃)RX Mapping'!D15-601),IF(AND('(橫掃)RX Mapping'!D15&gt;=841,'(橫掃)RX Mapping'!D15&lt;=960), (-1)*('(橫掃)RX Mapping'!D15-960)+120,9999))))))))</f>
        <v>77</v>
      </c>
      <c r="E15">
        <f>IF(AND('(橫掃)RX Mapping'!E15&gt;=1,'(橫掃)RX Mapping'!E15&lt;=120), ('(橫掃)RX Mapping'!E15-1),IF(AND('(橫掃)RX Mapping'!E15&gt;=121,'(橫掃)RX Mapping'!E15&lt;=240), (-1)*('(橫掃)RX Mapping'!E15-240),IF(AND('(橫掃)RX Mapping'!E15&gt;=241,'(橫掃)RX Mapping'!E15&lt;=360), ('(橫掃)RX Mapping'!E15-241),IF(AND('(橫掃)RX Mapping'!E15&gt;=361,'(橫掃)RX Mapping'!E15&lt;=480), (-1)*('(橫掃)RX Mapping'!E15-480),IF(AND('(橫掃)RX Mapping'!E15&gt;=481,'(橫掃)RX Mapping'!E15&lt;=600), ('(橫掃)RX Mapping'!E15-361),IF(AND('(橫掃)RX Mapping'!E15&gt;=601,'(橫掃)RX Mapping'!E15&lt;=720), (-1)*('(橫掃)RX Mapping'!E15-720)+120,IF(AND('(橫掃)RX Mapping'!E15&gt;=721,'(橫掃)RX Mapping'!E15&lt;=840), ('(橫掃)RX Mapping'!E15-601),IF(AND('(橫掃)RX Mapping'!E15&gt;=841,'(橫掃)RX Mapping'!E15&lt;=960), (-1)*('(橫掃)RX Mapping'!E15-960)+120,9999))))))))</f>
        <v>109</v>
      </c>
      <c r="F15">
        <f>IF(AND('(橫掃)RX Mapping'!F15&gt;=1,'(橫掃)RX Mapping'!F15&lt;=120), ('(橫掃)RX Mapping'!F15-1),IF(AND('(橫掃)RX Mapping'!F15&gt;=121,'(橫掃)RX Mapping'!F15&lt;=240), (-1)*('(橫掃)RX Mapping'!F15-240),IF(AND('(橫掃)RX Mapping'!F15&gt;=241,'(橫掃)RX Mapping'!F15&lt;=360), ('(橫掃)RX Mapping'!F15-241),IF(AND('(橫掃)RX Mapping'!F15&gt;=361,'(橫掃)RX Mapping'!F15&lt;=480), (-1)*('(橫掃)RX Mapping'!F15-480),IF(AND('(橫掃)RX Mapping'!F15&gt;=481,'(橫掃)RX Mapping'!F15&lt;=600), ('(橫掃)RX Mapping'!F15-361),IF(AND('(橫掃)RX Mapping'!F15&gt;=601,'(橫掃)RX Mapping'!F15&lt;=720), (-1)*('(橫掃)RX Mapping'!F15-720)+120,IF(AND('(橫掃)RX Mapping'!F15&gt;=721,'(橫掃)RX Mapping'!F15&lt;=840), ('(橫掃)RX Mapping'!F15-601),IF(AND('(橫掃)RX Mapping'!F15&gt;=841,'(橫掃)RX Mapping'!F15&lt;=960), (-1)*('(橫掃)RX Mapping'!F15-960)+120,9999))))))))</f>
        <v>98</v>
      </c>
      <c r="G15">
        <f>IF(AND('(橫掃)RX Mapping'!G15&gt;=1,'(橫掃)RX Mapping'!G15&lt;=120), ('(橫掃)RX Mapping'!G15-1),IF(AND('(橫掃)RX Mapping'!G15&gt;=121,'(橫掃)RX Mapping'!G15&lt;=240), (-1)*('(橫掃)RX Mapping'!G15-240),IF(AND('(橫掃)RX Mapping'!G15&gt;=241,'(橫掃)RX Mapping'!G15&lt;=360), ('(橫掃)RX Mapping'!G15-241),IF(AND('(橫掃)RX Mapping'!G15&gt;=361,'(橫掃)RX Mapping'!G15&lt;=480), (-1)*('(橫掃)RX Mapping'!G15-480),IF(AND('(橫掃)RX Mapping'!G15&gt;=481,'(橫掃)RX Mapping'!G15&lt;=600), ('(橫掃)RX Mapping'!G15-361),IF(AND('(橫掃)RX Mapping'!G15&gt;=601,'(橫掃)RX Mapping'!G15&lt;=720), (-1)*('(橫掃)RX Mapping'!G15-720)+120,IF(AND('(橫掃)RX Mapping'!G15&gt;=721,'(橫掃)RX Mapping'!G15&lt;=840), ('(橫掃)RX Mapping'!G15-601),IF(AND('(橫掃)RX Mapping'!G15&gt;=841,'(橫掃)RX Mapping'!G15&lt;=960), (-1)*('(橫掃)RX Mapping'!G15-960)+120,9999))))))))</f>
        <v>66</v>
      </c>
      <c r="H15">
        <f>IF(AND('(橫掃)RX Mapping'!H15&gt;=1,'(橫掃)RX Mapping'!H15&lt;=120), ('(橫掃)RX Mapping'!H15-1),IF(AND('(橫掃)RX Mapping'!H15&gt;=121,'(橫掃)RX Mapping'!H15&lt;=240), (-1)*('(橫掃)RX Mapping'!H15-240),IF(AND('(橫掃)RX Mapping'!H15&gt;=241,'(橫掃)RX Mapping'!H15&lt;=360), ('(橫掃)RX Mapping'!H15-241),IF(AND('(橫掃)RX Mapping'!H15&gt;=361,'(橫掃)RX Mapping'!H15&lt;=480), (-1)*('(橫掃)RX Mapping'!H15-480),IF(AND('(橫掃)RX Mapping'!H15&gt;=481,'(橫掃)RX Mapping'!H15&lt;=600), ('(橫掃)RX Mapping'!H15-361),IF(AND('(橫掃)RX Mapping'!H15&gt;=601,'(橫掃)RX Mapping'!H15&lt;=720), (-1)*('(橫掃)RX Mapping'!H15-720)+120,IF(AND('(橫掃)RX Mapping'!H15&gt;=721,'(橫掃)RX Mapping'!H15&lt;=840), ('(橫掃)RX Mapping'!H15-601),IF(AND('(橫掃)RX Mapping'!H15&gt;=841,'(橫掃)RX Mapping'!H15&lt;=960), (-1)*('(橫掃)RX Mapping'!H15-960)+120,9999))))))))</f>
        <v>34</v>
      </c>
      <c r="I15">
        <f>IF(AND('(橫掃)RX Mapping'!I15&gt;=1,'(橫掃)RX Mapping'!I15&lt;=120), ('(橫掃)RX Mapping'!I15-1),IF(AND('(橫掃)RX Mapping'!I15&gt;=121,'(橫掃)RX Mapping'!I15&lt;=240), (-1)*('(橫掃)RX Mapping'!I15-240),IF(AND('(橫掃)RX Mapping'!I15&gt;=241,'(橫掃)RX Mapping'!I15&lt;=360), ('(橫掃)RX Mapping'!I15-241),IF(AND('(橫掃)RX Mapping'!I15&gt;=361,'(橫掃)RX Mapping'!I15&lt;=480), (-1)*('(橫掃)RX Mapping'!I15-480),IF(AND('(橫掃)RX Mapping'!I15&gt;=481,'(橫掃)RX Mapping'!I15&lt;=600), ('(橫掃)RX Mapping'!I15-361),IF(AND('(橫掃)RX Mapping'!I15&gt;=601,'(橫掃)RX Mapping'!I15&lt;=720), (-1)*('(橫掃)RX Mapping'!I15-720)+120,IF(AND('(橫掃)RX Mapping'!I15&gt;=721,'(橫掃)RX Mapping'!I15&lt;=840), ('(橫掃)RX Mapping'!I15-601),IF(AND('(橫掃)RX Mapping'!I15&gt;=841,'(橫掃)RX Mapping'!I15&lt;=960), (-1)*('(橫掃)RX Mapping'!I15-960)+120,9999))))))))</f>
        <v>13</v>
      </c>
      <c r="J15">
        <f>IF(AND('(橫掃)RX Mapping'!J15&gt;=1,'(橫掃)RX Mapping'!J15&lt;=120), ('(橫掃)RX Mapping'!J15-1),IF(AND('(橫掃)RX Mapping'!J15&gt;=121,'(橫掃)RX Mapping'!J15&lt;=240), (-1)*('(橫掃)RX Mapping'!J15-240),IF(AND('(橫掃)RX Mapping'!J15&gt;=241,'(橫掃)RX Mapping'!J15&lt;=360), ('(橫掃)RX Mapping'!J15-241),IF(AND('(橫掃)RX Mapping'!J15&gt;=361,'(橫掃)RX Mapping'!J15&lt;=480), (-1)*('(橫掃)RX Mapping'!J15-480),IF(AND('(橫掃)RX Mapping'!J15&gt;=481,'(橫掃)RX Mapping'!J15&lt;=600), ('(橫掃)RX Mapping'!J15-361),IF(AND('(橫掃)RX Mapping'!J15&gt;=601,'(橫掃)RX Mapping'!J15&lt;=720), (-1)*('(橫掃)RX Mapping'!J15-720)+120,IF(AND('(橫掃)RX Mapping'!J15&gt;=721,'(橫掃)RX Mapping'!J15&lt;=840), ('(橫掃)RX Mapping'!J15-601),IF(AND('(橫掃)RX Mapping'!J15&gt;=841,'(橫掃)RX Mapping'!J15&lt;=960), (-1)*('(橫掃)RX Mapping'!J15-960)+120,9999))))))))</f>
        <v>45</v>
      </c>
      <c r="K15">
        <f>IF(AND('(橫掃)RX Mapping'!K15&gt;=1,'(橫掃)RX Mapping'!K15&lt;=120), ('(橫掃)RX Mapping'!K15-1),IF(AND('(橫掃)RX Mapping'!K15&gt;=121,'(橫掃)RX Mapping'!K15&lt;=240), (-1)*('(橫掃)RX Mapping'!K15-240),IF(AND('(橫掃)RX Mapping'!K15&gt;=241,'(橫掃)RX Mapping'!K15&lt;=360), ('(橫掃)RX Mapping'!K15-241),IF(AND('(橫掃)RX Mapping'!K15&gt;=361,'(橫掃)RX Mapping'!K15&lt;=480), (-1)*('(橫掃)RX Mapping'!K15-480),IF(AND('(橫掃)RX Mapping'!K15&gt;=481,'(橫掃)RX Mapping'!K15&lt;=600), ('(橫掃)RX Mapping'!K15-361),IF(AND('(橫掃)RX Mapping'!K15&gt;=601,'(橫掃)RX Mapping'!K15&lt;=720), (-1)*('(橫掃)RX Mapping'!K15-720)+120,IF(AND('(橫掃)RX Mapping'!K15&gt;=721,'(橫掃)RX Mapping'!K15&lt;=840), ('(橫掃)RX Mapping'!K15-601),IF(AND('(橫掃)RX Mapping'!K15&gt;=841,'(橫掃)RX Mapping'!K15&lt;=960), (-1)*('(橫掃)RX Mapping'!K15-960)+120,9999))))))))</f>
        <v>77</v>
      </c>
      <c r="L15">
        <f>IF(AND('(橫掃)RX Mapping'!L15&gt;=1,'(橫掃)RX Mapping'!L15&lt;=120), ('(橫掃)RX Mapping'!L15-1),IF(AND('(橫掃)RX Mapping'!L15&gt;=121,'(橫掃)RX Mapping'!L15&lt;=240), (-1)*('(橫掃)RX Mapping'!L15-240),IF(AND('(橫掃)RX Mapping'!L15&gt;=241,'(橫掃)RX Mapping'!L15&lt;=360), ('(橫掃)RX Mapping'!L15-241),IF(AND('(橫掃)RX Mapping'!L15&gt;=361,'(橫掃)RX Mapping'!L15&lt;=480), (-1)*('(橫掃)RX Mapping'!L15-480),IF(AND('(橫掃)RX Mapping'!L15&gt;=481,'(橫掃)RX Mapping'!L15&lt;=600), ('(橫掃)RX Mapping'!L15-361),IF(AND('(橫掃)RX Mapping'!L15&gt;=601,'(橫掃)RX Mapping'!L15&lt;=720), (-1)*('(橫掃)RX Mapping'!L15-720)+120,IF(AND('(橫掃)RX Mapping'!L15&gt;=721,'(橫掃)RX Mapping'!L15&lt;=840), ('(橫掃)RX Mapping'!L15-601),IF(AND('(橫掃)RX Mapping'!L15&gt;=841,'(橫掃)RX Mapping'!L15&lt;=960), (-1)*('(橫掃)RX Mapping'!L15-960)+120,9999))))))))</f>
        <v>109</v>
      </c>
      <c r="M15">
        <f>IF(AND('(橫掃)RX Mapping'!M15&gt;=1,'(橫掃)RX Mapping'!M15&lt;=120), ('(橫掃)RX Mapping'!M15-1),IF(AND('(橫掃)RX Mapping'!M15&gt;=121,'(橫掃)RX Mapping'!M15&lt;=240), (-1)*('(橫掃)RX Mapping'!M15-240),IF(AND('(橫掃)RX Mapping'!M15&gt;=241,'(橫掃)RX Mapping'!M15&lt;=360), ('(橫掃)RX Mapping'!M15-241),IF(AND('(橫掃)RX Mapping'!M15&gt;=361,'(橫掃)RX Mapping'!M15&lt;=480), (-1)*('(橫掃)RX Mapping'!M15-480),IF(AND('(橫掃)RX Mapping'!M15&gt;=481,'(橫掃)RX Mapping'!M15&lt;=600), ('(橫掃)RX Mapping'!M15-361),IF(AND('(橫掃)RX Mapping'!M15&gt;=601,'(橫掃)RX Mapping'!M15&lt;=720), (-1)*('(橫掃)RX Mapping'!M15-720)+120,IF(AND('(橫掃)RX Mapping'!M15&gt;=721,'(橫掃)RX Mapping'!M15&lt;=840), ('(橫掃)RX Mapping'!M15-601),IF(AND('(橫掃)RX Mapping'!M15&gt;=841,'(橫掃)RX Mapping'!M15&lt;=960), (-1)*('(橫掃)RX Mapping'!M15-960)+120,9999))))))))</f>
        <v>98</v>
      </c>
      <c r="N15">
        <f>IF(AND('(橫掃)RX Mapping'!N15&gt;=1,'(橫掃)RX Mapping'!N15&lt;=120), ('(橫掃)RX Mapping'!N15-1),IF(AND('(橫掃)RX Mapping'!N15&gt;=121,'(橫掃)RX Mapping'!N15&lt;=240), (-1)*('(橫掃)RX Mapping'!N15-240),IF(AND('(橫掃)RX Mapping'!N15&gt;=241,'(橫掃)RX Mapping'!N15&lt;=360), ('(橫掃)RX Mapping'!N15-241),IF(AND('(橫掃)RX Mapping'!N15&gt;=361,'(橫掃)RX Mapping'!N15&lt;=480), (-1)*('(橫掃)RX Mapping'!N15-480),IF(AND('(橫掃)RX Mapping'!N15&gt;=481,'(橫掃)RX Mapping'!N15&lt;=600), ('(橫掃)RX Mapping'!N15-361),IF(AND('(橫掃)RX Mapping'!N15&gt;=601,'(橫掃)RX Mapping'!N15&lt;=720), (-1)*('(橫掃)RX Mapping'!N15-720)+120,IF(AND('(橫掃)RX Mapping'!N15&gt;=721,'(橫掃)RX Mapping'!N15&lt;=840), ('(橫掃)RX Mapping'!N15-601),IF(AND('(橫掃)RX Mapping'!N15&gt;=841,'(橫掃)RX Mapping'!N15&lt;=960), (-1)*('(橫掃)RX Mapping'!N15-960)+120,9999))))))))</f>
        <v>66</v>
      </c>
      <c r="O15">
        <f>IF(AND('(橫掃)RX Mapping'!O15&gt;=1,'(橫掃)RX Mapping'!O15&lt;=120), ('(橫掃)RX Mapping'!O15-1),IF(AND('(橫掃)RX Mapping'!O15&gt;=121,'(橫掃)RX Mapping'!O15&lt;=240), (-1)*('(橫掃)RX Mapping'!O15-240),IF(AND('(橫掃)RX Mapping'!O15&gt;=241,'(橫掃)RX Mapping'!O15&lt;=360), ('(橫掃)RX Mapping'!O15-241),IF(AND('(橫掃)RX Mapping'!O15&gt;=361,'(橫掃)RX Mapping'!O15&lt;=480), (-1)*('(橫掃)RX Mapping'!O15-480),IF(AND('(橫掃)RX Mapping'!O15&gt;=481,'(橫掃)RX Mapping'!O15&lt;=600), ('(橫掃)RX Mapping'!O15-361),IF(AND('(橫掃)RX Mapping'!O15&gt;=601,'(橫掃)RX Mapping'!O15&lt;=720), (-1)*('(橫掃)RX Mapping'!O15-720)+120,IF(AND('(橫掃)RX Mapping'!O15&gt;=721,'(橫掃)RX Mapping'!O15&lt;=840), ('(橫掃)RX Mapping'!O15-601),IF(AND('(橫掃)RX Mapping'!O15&gt;=841,'(橫掃)RX Mapping'!O15&lt;=960), (-1)*('(橫掃)RX Mapping'!O15-960)+120,9999))))))))</f>
        <v>34</v>
      </c>
      <c r="P15">
        <f>IF(AND('(橫掃)RX Mapping'!P15&gt;=1,'(橫掃)RX Mapping'!P15&lt;=120), ('(橫掃)RX Mapping'!P15-1),IF(AND('(橫掃)RX Mapping'!P15&gt;=121,'(橫掃)RX Mapping'!P15&lt;=240), (-1)*('(橫掃)RX Mapping'!P15-240),IF(AND('(橫掃)RX Mapping'!P15&gt;=241,'(橫掃)RX Mapping'!P15&lt;=360), ('(橫掃)RX Mapping'!P15-241),IF(AND('(橫掃)RX Mapping'!P15&gt;=361,'(橫掃)RX Mapping'!P15&lt;=480), (-1)*('(橫掃)RX Mapping'!P15-480),IF(AND('(橫掃)RX Mapping'!P15&gt;=481,'(橫掃)RX Mapping'!P15&lt;=600), ('(橫掃)RX Mapping'!P15-361),IF(AND('(橫掃)RX Mapping'!P15&gt;=601,'(橫掃)RX Mapping'!P15&lt;=720), (-1)*('(橫掃)RX Mapping'!P15-720)+120,IF(AND('(橫掃)RX Mapping'!P15&gt;=721,'(橫掃)RX Mapping'!P15&lt;=840), ('(橫掃)RX Mapping'!P15-601),IF(AND('(橫掃)RX Mapping'!P15&gt;=841,'(橫掃)RX Mapping'!P15&lt;=960), (-1)*('(橫掃)RX Mapping'!P15-960)+120,9999))))))))</f>
        <v>133</v>
      </c>
      <c r="Q15">
        <f>IF(AND('(橫掃)RX Mapping'!Q15&gt;=1,'(橫掃)RX Mapping'!Q15&lt;=120), ('(橫掃)RX Mapping'!Q15-1),IF(AND('(橫掃)RX Mapping'!Q15&gt;=121,'(橫掃)RX Mapping'!Q15&lt;=240), (-1)*('(橫掃)RX Mapping'!Q15-240),IF(AND('(橫掃)RX Mapping'!Q15&gt;=241,'(橫掃)RX Mapping'!Q15&lt;=360), ('(橫掃)RX Mapping'!Q15-241),IF(AND('(橫掃)RX Mapping'!Q15&gt;=361,'(橫掃)RX Mapping'!Q15&lt;=480), (-1)*('(橫掃)RX Mapping'!Q15-480),IF(AND('(橫掃)RX Mapping'!Q15&gt;=481,'(橫掃)RX Mapping'!Q15&lt;=600), ('(橫掃)RX Mapping'!Q15-361),IF(AND('(橫掃)RX Mapping'!Q15&gt;=601,'(橫掃)RX Mapping'!Q15&lt;=720), (-1)*('(橫掃)RX Mapping'!Q15-720)+120,IF(AND('(橫掃)RX Mapping'!Q15&gt;=721,'(橫掃)RX Mapping'!Q15&lt;=840), ('(橫掃)RX Mapping'!Q15-601),IF(AND('(橫掃)RX Mapping'!Q15&gt;=841,'(橫掃)RX Mapping'!Q15&lt;=960), (-1)*('(橫掃)RX Mapping'!Q15-960)+120,9999))))))))</f>
        <v>165</v>
      </c>
      <c r="R15">
        <f>IF(AND('(橫掃)RX Mapping'!R15&gt;=1,'(橫掃)RX Mapping'!R15&lt;=120), ('(橫掃)RX Mapping'!R15-1),IF(AND('(橫掃)RX Mapping'!R15&gt;=121,'(橫掃)RX Mapping'!R15&lt;=240), (-1)*('(橫掃)RX Mapping'!R15-240),IF(AND('(橫掃)RX Mapping'!R15&gt;=241,'(橫掃)RX Mapping'!R15&lt;=360), ('(橫掃)RX Mapping'!R15-241),IF(AND('(橫掃)RX Mapping'!R15&gt;=361,'(橫掃)RX Mapping'!R15&lt;=480), (-1)*('(橫掃)RX Mapping'!R15-480),IF(AND('(橫掃)RX Mapping'!R15&gt;=481,'(橫掃)RX Mapping'!R15&lt;=600), ('(橫掃)RX Mapping'!R15-361),IF(AND('(橫掃)RX Mapping'!R15&gt;=601,'(橫掃)RX Mapping'!R15&lt;=720), (-1)*('(橫掃)RX Mapping'!R15-720)+120,IF(AND('(橫掃)RX Mapping'!R15&gt;=721,'(橫掃)RX Mapping'!R15&lt;=840), ('(橫掃)RX Mapping'!R15-601),IF(AND('(橫掃)RX Mapping'!R15&gt;=841,'(橫掃)RX Mapping'!R15&lt;=960), (-1)*('(橫掃)RX Mapping'!R15-960)+120,9999))))))))</f>
        <v>197</v>
      </c>
      <c r="S15">
        <f>IF(AND('(橫掃)RX Mapping'!S15&gt;=1,'(橫掃)RX Mapping'!S15&lt;=120), ('(橫掃)RX Mapping'!S15-1),IF(AND('(橫掃)RX Mapping'!S15&gt;=121,'(橫掃)RX Mapping'!S15&lt;=240), (-1)*('(橫掃)RX Mapping'!S15-240),IF(AND('(橫掃)RX Mapping'!S15&gt;=241,'(橫掃)RX Mapping'!S15&lt;=360), ('(橫掃)RX Mapping'!S15-241),IF(AND('(橫掃)RX Mapping'!S15&gt;=361,'(橫掃)RX Mapping'!S15&lt;=480), (-1)*('(橫掃)RX Mapping'!S15-480),IF(AND('(橫掃)RX Mapping'!S15&gt;=481,'(橫掃)RX Mapping'!S15&lt;=600), ('(橫掃)RX Mapping'!S15-361),IF(AND('(橫掃)RX Mapping'!S15&gt;=601,'(橫掃)RX Mapping'!S15&lt;=720), (-1)*('(橫掃)RX Mapping'!S15-720)+120,IF(AND('(橫掃)RX Mapping'!S15&gt;=721,'(橫掃)RX Mapping'!S15&lt;=840), ('(橫掃)RX Mapping'!S15-601),IF(AND('(橫掃)RX Mapping'!S15&gt;=841,'(橫掃)RX Mapping'!S15&lt;=960), (-1)*('(橫掃)RX Mapping'!S15-960)+120,9999))))))))</f>
        <v>229</v>
      </c>
      <c r="T15">
        <f>IF(AND('(橫掃)RX Mapping'!T15&gt;=1,'(橫掃)RX Mapping'!T15&lt;=120), ('(橫掃)RX Mapping'!T15-1),IF(AND('(橫掃)RX Mapping'!T15&gt;=121,'(橫掃)RX Mapping'!T15&lt;=240), (-1)*('(橫掃)RX Mapping'!T15-240),IF(AND('(橫掃)RX Mapping'!T15&gt;=241,'(橫掃)RX Mapping'!T15&lt;=360), ('(橫掃)RX Mapping'!T15-241),IF(AND('(橫掃)RX Mapping'!T15&gt;=361,'(橫掃)RX Mapping'!T15&lt;=480), (-1)*('(橫掃)RX Mapping'!T15-480),IF(AND('(橫掃)RX Mapping'!T15&gt;=481,'(橫掃)RX Mapping'!T15&lt;=600), ('(橫掃)RX Mapping'!T15-361),IF(AND('(橫掃)RX Mapping'!T15&gt;=601,'(橫掃)RX Mapping'!T15&lt;=720), (-1)*('(橫掃)RX Mapping'!T15-720)+120,IF(AND('(橫掃)RX Mapping'!T15&gt;=721,'(橫掃)RX Mapping'!T15&lt;=840), ('(橫掃)RX Mapping'!T15-601),IF(AND('(橫掃)RX Mapping'!T15&gt;=841,'(橫掃)RX Mapping'!T15&lt;=960), (-1)*('(橫掃)RX Mapping'!T15-960)+120,9999))))))))</f>
        <v>218</v>
      </c>
      <c r="U15">
        <f>IF(AND('(橫掃)RX Mapping'!U15&gt;=1,'(橫掃)RX Mapping'!U15&lt;=120), ('(橫掃)RX Mapping'!U15-1),IF(AND('(橫掃)RX Mapping'!U15&gt;=121,'(橫掃)RX Mapping'!U15&lt;=240), (-1)*('(橫掃)RX Mapping'!U15-240),IF(AND('(橫掃)RX Mapping'!U15&gt;=241,'(橫掃)RX Mapping'!U15&lt;=360), ('(橫掃)RX Mapping'!U15-241),IF(AND('(橫掃)RX Mapping'!U15&gt;=361,'(橫掃)RX Mapping'!U15&lt;=480), (-1)*('(橫掃)RX Mapping'!U15-480),IF(AND('(橫掃)RX Mapping'!U15&gt;=481,'(橫掃)RX Mapping'!U15&lt;=600), ('(橫掃)RX Mapping'!U15-361),IF(AND('(橫掃)RX Mapping'!U15&gt;=601,'(橫掃)RX Mapping'!U15&lt;=720), (-1)*('(橫掃)RX Mapping'!U15-720)+120,IF(AND('(橫掃)RX Mapping'!U15&gt;=721,'(橫掃)RX Mapping'!U15&lt;=840), ('(橫掃)RX Mapping'!U15-601),IF(AND('(橫掃)RX Mapping'!U15&gt;=841,'(橫掃)RX Mapping'!U15&lt;=960), (-1)*('(橫掃)RX Mapping'!U15-960)+120,9999))))))))</f>
        <v>186</v>
      </c>
      <c r="V15">
        <f>IF(AND('(橫掃)RX Mapping'!V15&gt;=1,'(橫掃)RX Mapping'!V15&lt;=120), ('(橫掃)RX Mapping'!V15-1),IF(AND('(橫掃)RX Mapping'!V15&gt;=121,'(橫掃)RX Mapping'!V15&lt;=240), (-1)*('(橫掃)RX Mapping'!V15-240),IF(AND('(橫掃)RX Mapping'!V15&gt;=241,'(橫掃)RX Mapping'!V15&lt;=360), ('(橫掃)RX Mapping'!V15-241),IF(AND('(橫掃)RX Mapping'!V15&gt;=361,'(橫掃)RX Mapping'!V15&lt;=480), (-1)*('(橫掃)RX Mapping'!V15-480),IF(AND('(橫掃)RX Mapping'!V15&gt;=481,'(橫掃)RX Mapping'!V15&lt;=600), ('(橫掃)RX Mapping'!V15-361),IF(AND('(橫掃)RX Mapping'!V15&gt;=601,'(橫掃)RX Mapping'!V15&lt;=720), (-1)*('(橫掃)RX Mapping'!V15-720)+120,IF(AND('(橫掃)RX Mapping'!V15&gt;=721,'(橫掃)RX Mapping'!V15&lt;=840), ('(橫掃)RX Mapping'!V15-601),IF(AND('(橫掃)RX Mapping'!V15&gt;=841,'(橫掃)RX Mapping'!V15&lt;=960), (-1)*('(橫掃)RX Mapping'!V15-960)+120,9999))))))))</f>
        <v>154</v>
      </c>
      <c r="W15">
        <f>IF(AND('(橫掃)RX Mapping'!W15&gt;=1,'(橫掃)RX Mapping'!W15&lt;=120), ('(橫掃)RX Mapping'!W15-1),IF(AND('(橫掃)RX Mapping'!W15&gt;=121,'(橫掃)RX Mapping'!W15&lt;=240), (-1)*('(橫掃)RX Mapping'!W15-240),IF(AND('(橫掃)RX Mapping'!W15&gt;=241,'(橫掃)RX Mapping'!W15&lt;=360), ('(橫掃)RX Mapping'!W15-241),IF(AND('(橫掃)RX Mapping'!W15&gt;=361,'(橫掃)RX Mapping'!W15&lt;=480), (-1)*('(橫掃)RX Mapping'!W15-480),IF(AND('(橫掃)RX Mapping'!W15&gt;=481,'(橫掃)RX Mapping'!W15&lt;=600), ('(橫掃)RX Mapping'!W15-361),IF(AND('(橫掃)RX Mapping'!W15&gt;=601,'(橫掃)RX Mapping'!W15&lt;=720), (-1)*('(橫掃)RX Mapping'!W15-720)+120,IF(AND('(橫掃)RX Mapping'!W15&gt;=721,'(橫掃)RX Mapping'!W15&lt;=840), ('(橫掃)RX Mapping'!W15-601),IF(AND('(橫掃)RX Mapping'!W15&gt;=841,'(橫掃)RX Mapping'!W15&lt;=960), (-1)*('(橫掃)RX Mapping'!W15-960)+120,9999))))))))</f>
        <v>133</v>
      </c>
      <c r="X15">
        <f>IF(AND('(橫掃)RX Mapping'!X15&gt;=1,'(橫掃)RX Mapping'!X15&lt;=120), ('(橫掃)RX Mapping'!X15-1),IF(AND('(橫掃)RX Mapping'!X15&gt;=121,'(橫掃)RX Mapping'!X15&lt;=240), (-1)*('(橫掃)RX Mapping'!X15-240),IF(AND('(橫掃)RX Mapping'!X15&gt;=241,'(橫掃)RX Mapping'!X15&lt;=360), ('(橫掃)RX Mapping'!X15-241),IF(AND('(橫掃)RX Mapping'!X15&gt;=361,'(橫掃)RX Mapping'!X15&lt;=480), (-1)*('(橫掃)RX Mapping'!X15-480),IF(AND('(橫掃)RX Mapping'!X15&gt;=481,'(橫掃)RX Mapping'!X15&lt;=600), ('(橫掃)RX Mapping'!X15-361),IF(AND('(橫掃)RX Mapping'!X15&gt;=601,'(橫掃)RX Mapping'!X15&lt;=720), (-1)*('(橫掃)RX Mapping'!X15-720)+120,IF(AND('(橫掃)RX Mapping'!X15&gt;=721,'(橫掃)RX Mapping'!X15&lt;=840), ('(橫掃)RX Mapping'!X15-601),IF(AND('(橫掃)RX Mapping'!X15&gt;=841,'(橫掃)RX Mapping'!X15&lt;=960), (-1)*('(橫掃)RX Mapping'!X15-960)+120,9999))))))))</f>
        <v>165</v>
      </c>
      <c r="Y15">
        <f>IF(AND('(橫掃)RX Mapping'!Y15&gt;=1,'(橫掃)RX Mapping'!Y15&lt;=120), ('(橫掃)RX Mapping'!Y15-1),IF(AND('(橫掃)RX Mapping'!Y15&gt;=121,'(橫掃)RX Mapping'!Y15&lt;=240), (-1)*('(橫掃)RX Mapping'!Y15-240),IF(AND('(橫掃)RX Mapping'!Y15&gt;=241,'(橫掃)RX Mapping'!Y15&lt;=360), ('(橫掃)RX Mapping'!Y15-241),IF(AND('(橫掃)RX Mapping'!Y15&gt;=361,'(橫掃)RX Mapping'!Y15&lt;=480), (-1)*('(橫掃)RX Mapping'!Y15-480),IF(AND('(橫掃)RX Mapping'!Y15&gt;=481,'(橫掃)RX Mapping'!Y15&lt;=600), ('(橫掃)RX Mapping'!Y15-361),IF(AND('(橫掃)RX Mapping'!Y15&gt;=601,'(橫掃)RX Mapping'!Y15&lt;=720), (-1)*('(橫掃)RX Mapping'!Y15-720)+120,IF(AND('(橫掃)RX Mapping'!Y15&gt;=721,'(橫掃)RX Mapping'!Y15&lt;=840), ('(橫掃)RX Mapping'!Y15-601),IF(AND('(橫掃)RX Mapping'!Y15&gt;=841,'(橫掃)RX Mapping'!Y15&lt;=960), (-1)*('(橫掃)RX Mapping'!Y15-960)+120,9999))))))))</f>
        <v>197</v>
      </c>
      <c r="Z15">
        <f>IF(AND('(橫掃)RX Mapping'!Z15&gt;=1,'(橫掃)RX Mapping'!Z15&lt;=120), ('(橫掃)RX Mapping'!Z15-1),IF(AND('(橫掃)RX Mapping'!Z15&gt;=121,'(橫掃)RX Mapping'!Z15&lt;=240), (-1)*('(橫掃)RX Mapping'!Z15-240),IF(AND('(橫掃)RX Mapping'!Z15&gt;=241,'(橫掃)RX Mapping'!Z15&lt;=360), ('(橫掃)RX Mapping'!Z15-241),IF(AND('(橫掃)RX Mapping'!Z15&gt;=361,'(橫掃)RX Mapping'!Z15&lt;=480), (-1)*('(橫掃)RX Mapping'!Z15-480),IF(AND('(橫掃)RX Mapping'!Z15&gt;=481,'(橫掃)RX Mapping'!Z15&lt;=600), ('(橫掃)RX Mapping'!Z15-361),IF(AND('(橫掃)RX Mapping'!Z15&gt;=601,'(橫掃)RX Mapping'!Z15&lt;=720), (-1)*('(橫掃)RX Mapping'!Z15-720)+120,IF(AND('(橫掃)RX Mapping'!Z15&gt;=721,'(橫掃)RX Mapping'!Z15&lt;=840), ('(橫掃)RX Mapping'!Z15-601),IF(AND('(橫掃)RX Mapping'!Z15&gt;=841,'(橫掃)RX Mapping'!Z15&lt;=960), (-1)*('(橫掃)RX Mapping'!Z15-960)+120,9999))))))))</f>
        <v>229</v>
      </c>
      <c r="AA15">
        <f>IF(AND('(橫掃)RX Mapping'!AA15&gt;=1,'(橫掃)RX Mapping'!AA15&lt;=120), ('(橫掃)RX Mapping'!AA15-1),IF(AND('(橫掃)RX Mapping'!AA15&gt;=121,'(橫掃)RX Mapping'!AA15&lt;=240), (-1)*('(橫掃)RX Mapping'!AA15-240),IF(AND('(橫掃)RX Mapping'!AA15&gt;=241,'(橫掃)RX Mapping'!AA15&lt;=360), ('(橫掃)RX Mapping'!AA15-241),IF(AND('(橫掃)RX Mapping'!AA15&gt;=361,'(橫掃)RX Mapping'!AA15&lt;=480), (-1)*('(橫掃)RX Mapping'!AA15-480),IF(AND('(橫掃)RX Mapping'!AA15&gt;=481,'(橫掃)RX Mapping'!AA15&lt;=600), ('(橫掃)RX Mapping'!AA15-361),IF(AND('(橫掃)RX Mapping'!AA15&gt;=601,'(橫掃)RX Mapping'!AA15&lt;=720), (-1)*('(橫掃)RX Mapping'!AA15-720)+120,IF(AND('(橫掃)RX Mapping'!AA15&gt;=721,'(橫掃)RX Mapping'!AA15&lt;=840), ('(橫掃)RX Mapping'!AA15-601),IF(AND('(橫掃)RX Mapping'!AA15&gt;=841,'(橫掃)RX Mapping'!AA15&lt;=960), (-1)*('(橫掃)RX Mapping'!AA15-960)+120,9999))))))))</f>
        <v>218</v>
      </c>
      <c r="AB15">
        <f>IF(AND('(橫掃)RX Mapping'!AB15&gt;=1,'(橫掃)RX Mapping'!AB15&lt;=120), ('(橫掃)RX Mapping'!AB15-1),IF(AND('(橫掃)RX Mapping'!AB15&gt;=121,'(橫掃)RX Mapping'!AB15&lt;=240), (-1)*('(橫掃)RX Mapping'!AB15-240),IF(AND('(橫掃)RX Mapping'!AB15&gt;=241,'(橫掃)RX Mapping'!AB15&lt;=360), ('(橫掃)RX Mapping'!AB15-241),IF(AND('(橫掃)RX Mapping'!AB15&gt;=361,'(橫掃)RX Mapping'!AB15&lt;=480), (-1)*('(橫掃)RX Mapping'!AB15-480),IF(AND('(橫掃)RX Mapping'!AB15&gt;=481,'(橫掃)RX Mapping'!AB15&lt;=600), ('(橫掃)RX Mapping'!AB15-361),IF(AND('(橫掃)RX Mapping'!AB15&gt;=601,'(橫掃)RX Mapping'!AB15&lt;=720), (-1)*('(橫掃)RX Mapping'!AB15-720)+120,IF(AND('(橫掃)RX Mapping'!AB15&gt;=721,'(橫掃)RX Mapping'!AB15&lt;=840), ('(橫掃)RX Mapping'!AB15-601),IF(AND('(橫掃)RX Mapping'!AB15&gt;=841,'(橫掃)RX Mapping'!AB15&lt;=960), (-1)*('(橫掃)RX Mapping'!AB15-960)+120,9999))))))))</f>
        <v>186</v>
      </c>
      <c r="AC15">
        <f>IF(AND('(橫掃)RX Mapping'!AC15&gt;=1,'(橫掃)RX Mapping'!AC15&lt;=120), ('(橫掃)RX Mapping'!AC15-1),IF(AND('(橫掃)RX Mapping'!AC15&gt;=121,'(橫掃)RX Mapping'!AC15&lt;=240), (-1)*('(橫掃)RX Mapping'!AC15-240),IF(AND('(橫掃)RX Mapping'!AC15&gt;=241,'(橫掃)RX Mapping'!AC15&lt;=360), ('(橫掃)RX Mapping'!AC15-241),IF(AND('(橫掃)RX Mapping'!AC15&gt;=361,'(橫掃)RX Mapping'!AC15&lt;=480), (-1)*('(橫掃)RX Mapping'!AC15-480),IF(AND('(橫掃)RX Mapping'!AC15&gt;=481,'(橫掃)RX Mapping'!AC15&lt;=600), ('(橫掃)RX Mapping'!AC15-361),IF(AND('(橫掃)RX Mapping'!AC15&gt;=601,'(橫掃)RX Mapping'!AC15&lt;=720), (-1)*('(橫掃)RX Mapping'!AC15-720)+120,IF(AND('(橫掃)RX Mapping'!AC15&gt;=721,'(橫掃)RX Mapping'!AC15&lt;=840), ('(橫掃)RX Mapping'!AC15-601),IF(AND('(橫掃)RX Mapping'!AC15&gt;=841,'(橫掃)RX Mapping'!AC15&lt;=960), (-1)*('(橫掃)RX Mapping'!AC15-960)+120,9999))))))))</f>
        <v>154</v>
      </c>
      <c r="AD15">
        <f>IF(AND('(橫掃)RX Mapping'!AD15&gt;=1,'(橫掃)RX Mapping'!AD15&lt;=120), ('(橫掃)RX Mapping'!AD15-1),IF(AND('(橫掃)RX Mapping'!AD15&gt;=121,'(橫掃)RX Mapping'!AD15&lt;=240), (-1)*('(橫掃)RX Mapping'!AD15-240),IF(AND('(橫掃)RX Mapping'!AD15&gt;=241,'(橫掃)RX Mapping'!AD15&lt;=360), ('(橫掃)RX Mapping'!AD15-241),IF(AND('(橫掃)RX Mapping'!AD15&gt;=361,'(橫掃)RX Mapping'!AD15&lt;=480), (-1)*('(橫掃)RX Mapping'!AD15-480),IF(AND('(橫掃)RX Mapping'!AD15&gt;=481,'(橫掃)RX Mapping'!AD15&lt;=600), ('(橫掃)RX Mapping'!AD15-361),IF(AND('(橫掃)RX Mapping'!AD15&gt;=601,'(橫掃)RX Mapping'!AD15&lt;=720), (-1)*('(橫掃)RX Mapping'!AD15-720)+120,IF(AND('(橫掃)RX Mapping'!AD15&gt;=721,'(橫掃)RX Mapping'!AD15&lt;=840), ('(橫掃)RX Mapping'!AD15-601),IF(AND('(橫掃)RX Mapping'!AD15&gt;=841,'(橫掃)RX Mapping'!AD15&lt;=960), (-1)*('(橫掃)RX Mapping'!AD15-960)+120,9999))))))))</f>
        <v>9999</v>
      </c>
      <c r="AE15">
        <f>IF(AND('(橫掃)RX Mapping'!AE15&gt;=1,'(橫掃)RX Mapping'!AE15&lt;=120), ('(橫掃)RX Mapping'!AE15-1),IF(AND('(橫掃)RX Mapping'!AE15&gt;=121,'(橫掃)RX Mapping'!AE15&lt;=240), (-1)*('(橫掃)RX Mapping'!AE15-240),IF(AND('(橫掃)RX Mapping'!AE15&gt;=241,'(橫掃)RX Mapping'!AE15&lt;=360), ('(橫掃)RX Mapping'!AE15-241),IF(AND('(橫掃)RX Mapping'!AE15&gt;=361,'(橫掃)RX Mapping'!AE15&lt;=480), (-1)*('(橫掃)RX Mapping'!AE15-480),IF(AND('(橫掃)RX Mapping'!AE15&gt;=481,'(橫掃)RX Mapping'!AE15&lt;=600), ('(橫掃)RX Mapping'!AE15-361),IF(AND('(橫掃)RX Mapping'!AE15&gt;=601,'(橫掃)RX Mapping'!AE15&lt;=720), (-1)*('(橫掃)RX Mapping'!AE15-720)+120,IF(AND('(橫掃)RX Mapping'!AE15&gt;=721,'(橫掃)RX Mapping'!AE15&lt;=840), ('(橫掃)RX Mapping'!AE15-601),IF(AND('(橫掃)RX Mapping'!AE15&gt;=841,'(橫掃)RX Mapping'!AE15&lt;=960), (-1)*('(橫掃)RX Mapping'!AE15-960)+120,9999))))))))</f>
        <v>9999</v>
      </c>
      <c r="AF15">
        <f>IF(AND('(橫掃)RX Mapping'!AF15&gt;=1,'(橫掃)RX Mapping'!AF15&lt;=120), ('(橫掃)RX Mapping'!AF15-1),IF(AND('(橫掃)RX Mapping'!AF15&gt;=121,'(橫掃)RX Mapping'!AF15&lt;=240), (-1)*('(橫掃)RX Mapping'!AF15-240),IF(AND('(橫掃)RX Mapping'!AF15&gt;=241,'(橫掃)RX Mapping'!AF15&lt;=360), ('(橫掃)RX Mapping'!AF15-241),IF(AND('(橫掃)RX Mapping'!AF15&gt;=361,'(橫掃)RX Mapping'!AF15&lt;=480), (-1)*('(橫掃)RX Mapping'!AF15-480),IF(AND('(橫掃)RX Mapping'!AF15&gt;=481,'(橫掃)RX Mapping'!AF15&lt;=600), ('(橫掃)RX Mapping'!AF15-361),IF(AND('(橫掃)RX Mapping'!AF15&gt;=601,'(橫掃)RX Mapping'!AF15&lt;=720), (-1)*('(橫掃)RX Mapping'!AF15-720)+120,IF(AND('(橫掃)RX Mapping'!AF15&gt;=721,'(橫掃)RX Mapping'!AF15&lt;=840), ('(橫掃)RX Mapping'!AF15-601),IF(AND('(橫掃)RX Mapping'!AF15&gt;=841,'(橫掃)RX Mapping'!AF15&lt;=960), (-1)*('(橫掃)RX Mapping'!AF15-960)+120,9999))))))))</f>
        <v>9999</v>
      </c>
      <c r="AG15">
        <f>IF(AND('(橫掃)RX Mapping'!AG15&gt;=1,'(橫掃)RX Mapping'!AG15&lt;=120), ('(橫掃)RX Mapping'!AG15-1),IF(AND('(橫掃)RX Mapping'!AG15&gt;=121,'(橫掃)RX Mapping'!AG15&lt;=240), (-1)*('(橫掃)RX Mapping'!AG15-240),IF(AND('(橫掃)RX Mapping'!AG15&gt;=241,'(橫掃)RX Mapping'!AG15&lt;=360), ('(橫掃)RX Mapping'!AG15-241),IF(AND('(橫掃)RX Mapping'!AG15&gt;=361,'(橫掃)RX Mapping'!AG15&lt;=480), (-1)*('(橫掃)RX Mapping'!AG15-480),IF(AND('(橫掃)RX Mapping'!AG15&gt;=481,'(橫掃)RX Mapping'!AG15&lt;=600), ('(橫掃)RX Mapping'!AG15-361),IF(AND('(橫掃)RX Mapping'!AG15&gt;=601,'(橫掃)RX Mapping'!AG15&lt;=720), (-1)*('(橫掃)RX Mapping'!AG15-720)+120,IF(AND('(橫掃)RX Mapping'!AG15&gt;=721,'(橫掃)RX Mapping'!AG15&lt;=840), ('(橫掃)RX Mapping'!AG15-601),IF(AND('(橫掃)RX Mapping'!AG15&gt;=841,'(橫掃)RX Mapping'!AG15&lt;=960), (-1)*('(橫掃)RX Mapping'!AG15-960)+120,9999))))))))</f>
        <v>9999</v>
      </c>
      <c r="AH15">
        <f>IF(AND('(橫掃)RX Mapping'!AH15&gt;=1,'(橫掃)RX Mapping'!AH15&lt;=120), ('(橫掃)RX Mapping'!AH15-1),IF(AND('(橫掃)RX Mapping'!AH15&gt;=121,'(橫掃)RX Mapping'!AH15&lt;=240), (-1)*('(橫掃)RX Mapping'!AH15-240),IF(AND('(橫掃)RX Mapping'!AH15&gt;=241,'(橫掃)RX Mapping'!AH15&lt;=360), ('(橫掃)RX Mapping'!AH15-241),IF(AND('(橫掃)RX Mapping'!AH15&gt;=361,'(橫掃)RX Mapping'!AH15&lt;=480), (-1)*('(橫掃)RX Mapping'!AH15-480),IF(AND('(橫掃)RX Mapping'!AH15&gt;=481,'(橫掃)RX Mapping'!AH15&lt;=600), ('(橫掃)RX Mapping'!AH15-361),IF(AND('(橫掃)RX Mapping'!AH15&gt;=601,'(橫掃)RX Mapping'!AH15&lt;=720), (-1)*('(橫掃)RX Mapping'!AH15-720)+120,IF(AND('(橫掃)RX Mapping'!AH15&gt;=721,'(橫掃)RX Mapping'!AH15&lt;=840), ('(橫掃)RX Mapping'!AH15-601),IF(AND('(橫掃)RX Mapping'!AH15&gt;=841,'(橫掃)RX Mapping'!AH15&lt;=960), (-1)*('(橫掃)RX Mapping'!AH15-960)+120,9999))))))))</f>
        <v>9999</v>
      </c>
      <c r="AI15">
        <f>IF(AND('(橫掃)RX Mapping'!AI15&gt;=1,'(橫掃)RX Mapping'!AI15&lt;=120), ('(橫掃)RX Mapping'!AI15-1),IF(AND('(橫掃)RX Mapping'!AI15&gt;=121,'(橫掃)RX Mapping'!AI15&lt;=240), (-1)*('(橫掃)RX Mapping'!AI15-240),IF(AND('(橫掃)RX Mapping'!AI15&gt;=241,'(橫掃)RX Mapping'!AI15&lt;=360), ('(橫掃)RX Mapping'!AI15-241),IF(AND('(橫掃)RX Mapping'!AI15&gt;=361,'(橫掃)RX Mapping'!AI15&lt;=480), (-1)*('(橫掃)RX Mapping'!AI15-480),IF(AND('(橫掃)RX Mapping'!AI15&gt;=481,'(橫掃)RX Mapping'!AI15&lt;=600), ('(橫掃)RX Mapping'!AI15-361),IF(AND('(橫掃)RX Mapping'!AI15&gt;=601,'(橫掃)RX Mapping'!AI15&lt;=720), (-1)*('(橫掃)RX Mapping'!AI15-720)+120,IF(AND('(橫掃)RX Mapping'!AI15&gt;=721,'(橫掃)RX Mapping'!AI15&lt;=840), ('(橫掃)RX Mapping'!AI15-601),IF(AND('(橫掃)RX Mapping'!AI15&gt;=841,'(橫掃)RX Mapping'!AI15&lt;=960), (-1)*('(橫掃)RX Mapping'!AI15-960)+120,9999))))))))</f>
        <v>9999</v>
      </c>
      <c r="AJ15">
        <f>IF(AND('(橫掃)RX Mapping'!AJ15&gt;=1,'(橫掃)RX Mapping'!AJ15&lt;=120), ('(橫掃)RX Mapping'!AJ15-1),IF(AND('(橫掃)RX Mapping'!AJ15&gt;=121,'(橫掃)RX Mapping'!AJ15&lt;=240), (-1)*('(橫掃)RX Mapping'!AJ15-240),IF(AND('(橫掃)RX Mapping'!AJ15&gt;=241,'(橫掃)RX Mapping'!AJ15&lt;=360), ('(橫掃)RX Mapping'!AJ15-241),IF(AND('(橫掃)RX Mapping'!AJ15&gt;=361,'(橫掃)RX Mapping'!AJ15&lt;=480), (-1)*('(橫掃)RX Mapping'!AJ15-480),IF(AND('(橫掃)RX Mapping'!AJ15&gt;=481,'(橫掃)RX Mapping'!AJ15&lt;=600), ('(橫掃)RX Mapping'!AJ15-361),IF(AND('(橫掃)RX Mapping'!AJ15&gt;=601,'(橫掃)RX Mapping'!AJ15&lt;=720), (-1)*('(橫掃)RX Mapping'!AJ15-720)+120,IF(AND('(橫掃)RX Mapping'!AJ15&gt;=721,'(橫掃)RX Mapping'!AJ15&lt;=840), ('(橫掃)RX Mapping'!AJ15-601),IF(AND('(橫掃)RX Mapping'!AJ15&gt;=841,'(橫掃)RX Mapping'!AJ15&lt;=960), (-1)*('(橫掃)RX Mapping'!AJ15-960)+120,9999))))))))</f>
        <v>9999</v>
      </c>
      <c r="AK15">
        <f>IF(AND('(橫掃)RX Mapping'!AK15&gt;=1,'(橫掃)RX Mapping'!AK15&lt;=120), ('(橫掃)RX Mapping'!AK15-1),IF(AND('(橫掃)RX Mapping'!AK15&gt;=121,'(橫掃)RX Mapping'!AK15&lt;=240), (-1)*('(橫掃)RX Mapping'!AK15-240),IF(AND('(橫掃)RX Mapping'!AK15&gt;=241,'(橫掃)RX Mapping'!AK15&lt;=360), ('(橫掃)RX Mapping'!AK15-241),IF(AND('(橫掃)RX Mapping'!AK15&gt;=361,'(橫掃)RX Mapping'!AK15&lt;=480), (-1)*('(橫掃)RX Mapping'!AK15-480),IF(AND('(橫掃)RX Mapping'!AK15&gt;=481,'(橫掃)RX Mapping'!AK15&lt;=600), ('(橫掃)RX Mapping'!AK15-361),IF(AND('(橫掃)RX Mapping'!AK15&gt;=601,'(橫掃)RX Mapping'!AK15&lt;=720), (-1)*('(橫掃)RX Mapping'!AK15-720)+120,IF(AND('(橫掃)RX Mapping'!AK15&gt;=721,'(橫掃)RX Mapping'!AK15&lt;=840), ('(橫掃)RX Mapping'!AK15-601),IF(AND('(橫掃)RX Mapping'!AK15&gt;=841,'(橫掃)RX Mapping'!AK15&lt;=960), (-1)*('(橫掃)RX Mapping'!AK15-960)+120,9999))))))))</f>
        <v>9999</v>
      </c>
      <c r="AL15">
        <f>IF(AND('(橫掃)RX Mapping'!AL15&gt;=1,'(橫掃)RX Mapping'!AL15&lt;=120), ('(橫掃)RX Mapping'!AL15-1),IF(AND('(橫掃)RX Mapping'!AL15&gt;=121,'(橫掃)RX Mapping'!AL15&lt;=240), (-1)*('(橫掃)RX Mapping'!AL15-240),IF(AND('(橫掃)RX Mapping'!AL15&gt;=241,'(橫掃)RX Mapping'!AL15&lt;=360), ('(橫掃)RX Mapping'!AL15-241),IF(AND('(橫掃)RX Mapping'!AL15&gt;=361,'(橫掃)RX Mapping'!AL15&lt;=480), (-1)*('(橫掃)RX Mapping'!AL15-480),IF(AND('(橫掃)RX Mapping'!AL15&gt;=481,'(橫掃)RX Mapping'!AL15&lt;=600), ('(橫掃)RX Mapping'!AL15-361),IF(AND('(橫掃)RX Mapping'!AL15&gt;=601,'(橫掃)RX Mapping'!AL15&lt;=720), (-1)*('(橫掃)RX Mapping'!AL15-720)+120,IF(AND('(橫掃)RX Mapping'!AL15&gt;=721,'(橫掃)RX Mapping'!AL15&lt;=840), ('(橫掃)RX Mapping'!AL15-601),IF(AND('(橫掃)RX Mapping'!AL15&gt;=841,'(橫掃)RX Mapping'!AL15&lt;=960), (-1)*('(橫掃)RX Mapping'!AL15-960)+120,9999))))))))</f>
        <v>9999</v>
      </c>
      <c r="AM15">
        <f>IF(AND('(橫掃)RX Mapping'!AM15&gt;=1,'(橫掃)RX Mapping'!AM15&lt;=120), ('(橫掃)RX Mapping'!AM15-1),IF(AND('(橫掃)RX Mapping'!AM15&gt;=121,'(橫掃)RX Mapping'!AM15&lt;=240), (-1)*('(橫掃)RX Mapping'!AM15-240),IF(AND('(橫掃)RX Mapping'!AM15&gt;=241,'(橫掃)RX Mapping'!AM15&lt;=360), ('(橫掃)RX Mapping'!AM15-241),IF(AND('(橫掃)RX Mapping'!AM15&gt;=361,'(橫掃)RX Mapping'!AM15&lt;=480), (-1)*('(橫掃)RX Mapping'!AM15-480),IF(AND('(橫掃)RX Mapping'!AM15&gt;=481,'(橫掃)RX Mapping'!AM15&lt;=600), ('(橫掃)RX Mapping'!AM15-361),IF(AND('(橫掃)RX Mapping'!AM15&gt;=601,'(橫掃)RX Mapping'!AM15&lt;=720), (-1)*('(橫掃)RX Mapping'!AM15-720)+120,IF(AND('(橫掃)RX Mapping'!AM15&gt;=721,'(橫掃)RX Mapping'!AM15&lt;=840), ('(橫掃)RX Mapping'!AM15-601),IF(AND('(橫掃)RX Mapping'!AM15&gt;=841,'(橫掃)RX Mapping'!AM15&lt;=960), (-1)*('(橫掃)RX Mapping'!AM15-960)+120,9999))))))))</f>
        <v>9999</v>
      </c>
      <c r="AN15">
        <f>IF(AND('(橫掃)RX Mapping'!AN15&gt;=1,'(橫掃)RX Mapping'!AN15&lt;=120), ('(橫掃)RX Mapping'!AN15-1),IF(AND('(橫掃)RX Mapping'!AN15&gt;=121,'(橫掃)RX Mapping'!AN15&lt;=240), (-1)*('(橫掃)RX Mapping'!AN15-240),IF(AND('(橫掃)RX Mapping'!AN15&gt;=241,'(橫掃)RX Mapping'!AN15&lt;=360), ('(橫掃)RX Mapping'!AN15-241),IF(AND('(橫掃)RX Mapping'!AN15&gt;=361,'(橫掃)RX Mapping'!AN15&lt;=480), (-1)*('(橫掃)RX Mapping'!AN15-480),IF(AND('(橫掃)RX Mapping'!AN15&gt;=481,'(橫掃)RX Mapping'!AN15&lt;=600), ('(橫掃)RX Mapping'!AN15-361),IF(AND('(橫掃)RX Mapping'!AN15&gt;=601,'(橫掃)RX Mapping'!AN15&lt;=720), (-1)*('(橫掃)RX Mapping'!AN15-720)+120,IF(AND('(橫掃)RX Mapping'!AN15&gt;=721,'(橫掃)RX Mapping'!AN15&lt;=840), ('(橫掃)RX Mapping'!AN15-601),IF(AND('(橫掃)RX Mapping'!AN15&gt;=841,'(橫掃)RX Mapping'!AN15&lt;=960), (-1)*('(橫掃)RX Mapping'!AN15-960)+120,9999))))))))</f>
        <v>9999</v>
      </c>
      <c r="AO15">
        <f>IF(AND('(橫掃)RX Mapping'!AO15&gt;=1,'(橫掃)RX Mapping'!AO15&lt;=120), ('(橫掃)RX Mapping'!AO15-1),IF(AND('(橫掃)RX Mapping'!AO15&gt;=121,'(橫掃)RX Mapping'!AO15&lt;=240), (-1)*('(橫掃)RX Mapping'!AO15-240),IF(AND('(橫掃)RX Mapping'!AO15&gt;=241,'(橫掃)RX Mapping'!AO15&lt;=360), ('(橫掃)RX Mapping'!AO15-241),IF(AND('(橫掃)RX Mapping'!AO15&gt;=361,'(橫掃)RX Mapping'!AO15&lt;=480), (-1)*('(橫掃)RX Mapping'!AO15-480),IF(AND('(橫掃)RX Mapping'!AO15&gt;=481,'(橫掃)RX Mapping'!AO15&lt;=600), ('(橫掃)RX Mapping'!AO15-361),IF(AND('(橫掃)RX Mapping'!AO15&gt;=601,'(橫掃)RX Mapping'!AO15&lt;=720), (-1)*('(橫掃)RX Mapping'!AO15-720)+120,IF(AND('(橫掃)RX Mapping'!AO15&gt;=721,'(橫掃)RX Mapping'!AO15&lt;=840), ('(橫掃)RX Mapping'!AO15-601),IF(AND('(橫掃)RX Mapping'!AO15&gt;=841,'(橫掃)RX Mapping'!AO15&lt;=960), (-1)*('(橫掃)RX Mapping'!AO15-960)+120,9999))))))))</f>
        <v>9999</v>
      </c>
      <c r="AP15">
        <f>IF(AND('(橫掃)RX Mapping'!AP15&gt;=1,'(橫掃)RX Mapping'!AP15&lt;=120), ('(橫掃)RX Mapping'!AP15-1),IF(AND('(橫掃)RX Mapping'!AP15&gt;=121,'(橫掃)RX Mapping'!AP15&lt;=240), (-1)*('(橫掃)RX Mapping'!AP15-240),IF(AND('(橫掃)RX Mapping'!AP15&gt;=241,'(橫掃)RX Mapping'!AP15&lt;=360), ('(橫掃)RX Mapping'!AP15-241),IF(AND('(橫掃)RX Mapping'!AP15&gt;=361,'(橫掃)RX Mapping'!AP15&lt;=480), (-1)*('(橫掃)RX Mapping'!AP15-480),IF(AND('(橫掃)RX Mapping'!AP15&gt;=481,'(橫掃)RX Mapping'!AP15&lt;=600), ('(橫掃)RX Mapping'!AP15-361),IF(AND('(橫掃)RX Mapping'!AP15&gt;=601,'(橫掃)RX Mapping'!AP15&lt;=720), (-1)*('(橫掃)RX Mapping'!AP15-720)+120,IF(AND('(橫掃)RX Mapping'!AP15&gt;=721,'(橫掃)RX Mapping'!AP15&lt;=840), ('(橫掃)RX Mapping'!AP15-601),IF(AND('(橫掃)RX Mapping'!AP15&gt;=841,'(橫掃)RX Mapping'!AP15&lt;=960), (-1)*('(橫掃)RX Mapping'!AP15-960)+120,9999))))))))</f>
        <v>9999</v>
      </c>
      <c r="AQ15">
        <f>IF(AND('(橫掃)RX Mapping'!AQ15&gt;=1,'(橫掃)RX Mapping'!AQ15&lt;=120), ('(橫掃)RX Mapping'!AQ15-1),IF(AND('(橫掃)RX Mapping'!AQ15&gt;=121,'(橫掃)RX Mapping'!AQ15&lt;=240), (-1)*('(橫掃)RX Mapping'!AQ15-240),IF(AND('(橫掃)RX Mapping'!AQ15&gt;=241,'(橫掃)RX Mapping'!AQ15&lt;=360), ('(橫掃)RX Mapping'!AQ15-241),IF(AND('(橫掃)RX Mapping'!AQ15&gt;=361,'(橫掃)RX Mapping'!AQ15&lt;=480), (-1)*('(橫掃)RX Mapping'!AQ15-480),IF(AND('(橫掃)RX Mapping'!AQ15&gt;=481,'(橫掃)RX Mapping'!AQ15&lt;=600), ('(橫掃)RX Mapping'!AQ15-361),IF(AND('(橫掃)RX Mapping'!AQ15&gt;=601,'(橫掃)RX Mapping'!AQ15&lt;=720), (-1)*('(橫掃)RX Mapping'!AQ15-720)+120,IF(AND('(橫掃)RX Mapping'!AQ15&gt;=721,'(橫掃)RX Mapping'!AQ15&lt;=840), ('(橫掃)RX Mapping'!AQ15-601),IF(AND('(橫掃)RX Mapping'!AQ15&gt;=841,'(橫掃)RX Mapping'!AQ15&lt;=960), (-1)*('(橫掃)RX Mapping'!AQ15-960)+120,9999))))))))</f>
        <v>9999</v>
      </c>
      <c r="AR15">
        <f>IF(AND('(橫掃)RX Mapping'!AR15&gt;=1,'(橫掃)RX Mapping'!AR15&lt;=120), ('(橫掃)RX Mapping'!AR15-1),IF(AND('(橫掃)RX Mapping'!AR15&gt;=121,'(橫掃)RX Mapping'!AR15&lt;=240), (-1)*('(橫掃)RX Mapping'!AR15-240),IF(AND('(橫掃)RX Mapping'!AR15&gt;=241,'(橫掃)RX Mapping'!AR15&lt;=360), ('(橫掃)RX Mapping'!AR15-241),IF(AND('(橫掃)RX Mapping'!AR15&gt;=361,'(橫掃)RX Mapping'!AR15&lt;=480), (-1)*('(橫掃)RX Mapping'!AR15-480),IF(AND('(橫掃)RX Mapping'!AR15&gt;=481,'(橫掃)RX Mapping'!AR15&lt;=600), ('(橫掃)RX Mapping'!AR15-361),IF(AND('(橫掃)RX Mapping'!AR15&gt;=601,'(橫掃)RX Mapping'!AR15&lt;=720), (-1)*('(橫掃)RX Mapping'!AR15-720)+120,IF(AND('(橫掃)RX Mapping'!AR15&gt;=721,'(橫掃)RX Mapping'!AR15&lt;=840), ('(橫掃)RX Mapping'!AR15-601),IF(AND('(橫掃)RX Mapping'!AR15&gt;=841,'(橫掃)RX Mapping'!AR15&lt;=960), (-1)*('(橫掃)RX Mapping'!AR15-960)+120,9999))))))))</f>
        <v>9999</v>
      </c>
      <c r="AS15">
        <f>IF(AND('(橫掃)RX Mapping'!AS15&gt;=1,'(橫掃)RX Mapping'!AS15&lt;=120), ('(橫掃)RX Mapping'!AS15-1),IF(AND('(橫掃)RX Mapping'!AS15&gt;=121,'(橫掃)RX Mapping'!AS15&lt;=240), (-1)*('(橫掃)RX Mapping'!AS15-240),IF(AND('(橫掃)RX Mapping'!AS15&gt;=241,'(橫掃)RX Mapping'!AS15&lt;=360), ('(橫掃)RX Mapping'!AS15-241),IF(AND('(橫掃)RX Mapping'!AS15&gt;=361,'(橫掃)RX Mapping'!AS15&lt;=480), (-1)*('(橫掃)RX Mapping'!AS15-480),IF(AND('(橫掃)RX Mapping'!AS15&gt;=481,'(橫掃)RX Mapping'!AS15&lt;=600), ('(橫掃)RX Mapping'!AS15-361),IF(AND('(橫掃)RX Mapping'!AS15&gt;=601,'(橫掃)RX Mapping'!AS15&lt;=720), (-1)*('(橫掃)RX Mapping'!AS15-720)+120,IF(AND('(橫掃)RX Mapping'!AS15&gt;=721,'(橫掃)RX Mapping'!AS15&lt;=840), ('(橫掃)RX Mapping'!AS15-601),IF(AND('(橫掃)RX Mapping'!AS15&gt;=841,'(橫掃)RX Mapping'!AS15&lt;=960), (-1)*('(橫掃)RX Mapping'!AS15-960)+120,9999))))))))</f>
        <v>9999</v>
      </c>
      <c r="AT15">
        <f>IF(AND('(橫掃)RX Mapping'!AT15&gt;=1,'(橫掃)RX Mapping'!AT15&lt;=120), ('(橫掃)RX Mapping'!AT15-1),IF(AND('(橫掃)RX Mapping'!AT15&gt;=121,'(橫掃)RX Mapping'!AT15&lt;=240), (-1)*('(橫掃)RX Mapping'!AT15-240),IF(AND('(橫掃)RX Mapping'!AT15&gt;=241,'(橫掃)RX Mapping'!AT15&lt;=360), ('(橫掃)RX Mapping'!AT15-241),IF(AND('(橫掃)RX Mapping'!AT15&gt;=361,'(橫掃)RX Mapping'!AT15&lt;=480), (-1)*('(橫掃)RX Mapping'!AT15-480),IF(AND('(橫掃)RX Mapping'!AT15&gt;=481,'(橫掃)RX Mapping'!AT15&lt;=600), ('(橫掃)RX Mapping'!AT15-361),IF(AND('(橫掃)RX Mapping'!AT15&gt;=601,'(橫掃)RX Mapping'!AT15&lt;=720), (-1)*('(橫掃)RX Mapping'!AT15-720)+120,IF(AND('(橫掃)RX Mapping'!AT15&gt;=721,'(橫掃)RX Mapping'!AT15&lt;=840), ('(橫掃)RX Mapping'!AT15-601),IF(AND('(橫掃)RX Mapping'!AT15&gt;=841,'(橫掃)RX Mapping'!AT15&lt;=960), (-1)*('(橫掃)RX Mapping'!AT15-960)+120,9999))))))))</f>
        <v>9999</v>
      </c>
      <c r="AU15">
        <f>IF(AND('(橫掃)RX Mapping'!AU15&gt;=1,'(橫掃)RX Mapping'!AU15&lt;=120), ('(橫掃)RX Mapping'!AU15-1),IF(AND('(橫掃)RX Mapping'!AU15&gt;=121,'(橫掃)RX Mapping'!AU15&lt;=240), (-1)*('(橫掃)RX Mapping'!AU15-240),IF(AND('(橫掃)RX Mapping'!AU15&gt;=241,'(橫掃)RX Mapping'!AU15&lt;=360), ('(橫掃)RX Mapping'!AU15-241),IF(AND('(橫掃)RX Mapping'!AU15&gt;=361,'(橫掃)RX Mapping'!AU15&lt;=480), (-1)*('(橫掃)RX Mapping'!AU15-480),IF(AND('(橫掃)RX Mapping'!AU15&gt;=481,'(橫掃)RX Mapping'!AU15&lt;=600), ('(橫掃)RX Mapping'!AU15-361),IF(AND('(橫掃)RX Mapping'!AU15&gt;=601,'(橫掃)RX Mapping'!AU15&lt;=720), (-1)*('(橫掃)RX Mapping'!AU15-720)+120,IF(AND('(橫掃)RX Mapping'!AU15&gt;=721,'(橫掃)RX Mapping'!AU15&lt;=840), ('(橫掃)RX Mapping'!AU15-601),IF(AND('(橫掃)RX Mapping'!AU15&gt;=841,'(橫掃)RX Mapping'!AU15&lt;=960), (-1)*('(橫掃)RX Mapping'!AU15-960)+120,9999))))))))</f>
        <v>9999</v>
      </c>
      <c r="AV15">
        <f>IF(AND('(橫掃)RX Mapping'!AV15&gt;=1,'(橫掃)RX Mapping'!AV15&lt;=120), ('(橫掃)RX Mapping'!AV15-1),IF(AND('(橫掃)RX Mapping'!AV15&gt;=121,'(橫掃)RX Mapping'!AV15&lt;=240), (-1)*('(橫掃)RX Mapping'!AV15-240),IF(AND('(橫掃)RX Mapping'!AV15&gt;=241,'(橫掃)RX Mapping'!AV15&lt;=360), ('(橫掃)RX Mapping'!AV15-241),IF(AND('(橫掃)RX Mapping'!AV15&gt;=361,'(橫掃)RX Mapping'!AV15&lt;=480), (-1)*('(橫掃)RX Mapping'!AV15-480),IF(AND('(橫掃)RX Mapping'!AV15&gt;=481,'(橫掃)RX Mapping'!AV15&lt;=600), ('(橫掃)RX Mapping'!AV15-361),IF(AND('(橫掃)RX Mapping'!AV15&gt;=601,'(橫掃)RX Mapping'!AV15&lt;=720), (-1)*('(橫掃)RX Mapping'!AV15-720)+120,IF(AND('(橫掃)RX Mapping'!AV15&gt;=721,'(橫掃)RX Mapping'!AV15&lt;=840), ('(橫掃)RX Mapping'!AV15-601),IF(AND('(橫掃)RX Mapping'!AV15&gt;=841,'(橫掃)RX Mapping'!AV15&lt;=960), (-1)*('(橫掃)RX Mapping'!AV15-960)+120,9999))))))))</f>
        <v>9999</v>
      </c>
      <c r="AW15">
        <f>IF(AND('(橫掃)RX Mapping'!AW15&gt;=1,'(橫掃)RX Mapping'!AW15&lt;=120), ('(橫掃)RX Mapping'!AW15-1),IF(AND('(橫掃)RX Mapping'!AW15&gt;=121,'(橫掃)RX Mapping'!AW15&lt;=240), (-1)*('(橫掃)RX Mapping'!AW15-240),IF(AND('(橫掃)RX Mapping'!AW15&gt;=241,'(橫掃)RX Mapping'!AW15&lt;=360), ('(橫掃)RX Mapping'!AW15-241),IF(AND('(橫掃)RX Mapping'!AW15&gt;=361,'(橫掃)RX Mapping'!AW15&lt;=480), (-1)*('(橫掃)RX Mapping'!AW15-480),IF(AND('(橫掃)RX Mapping'!AW15&gt;=481,'(橫掃)RX Mapping'!AW15&lt;=600), ('(橫掃)RX Mapping'!AW15-361),IF(AND('(橫掃)RX Mapping'!AW15&gt;=601,'(橫掃)RX Mapping'!AW15&lt;=720), (-1)*('(橫掃)RX Mapping'!AW15-720)+120,IF(AND('(橫掃)RX Mapping'!AW15&gt;=721,'(橫掃)RX Mapping'!AW15&lt;=840), ('(橫掃)RX Mapping'!AW15-601),IF(AND('(橫掃)RX Mapping'!AW15&gt;=841,'(橫掃)RX Mapping'!AW15&lt;=960), (-1)*('(橫掃)RX Mapping'!AW15-960)+120,9999))))))))</f>
        <v>9999</v>
      </c>
      <c r="AX15">
        <f>IF(AND('(橫掃)RX Mapping'!AX15&gt;=1,'(橫掃)RX Mapping'!AX15&lt;=120), ('(橫掃)RX Mapping'!AX15-1),IF(AND('(橫掃)RX Mapping'!AX15&gt;=121,'(橫掃)RX Mapping'!AX15&lt;=240), (-1)*('(橫掃)RX Mapping'!AX15-240),IF(AND('(橫掃)RX Mapping'!AX15&gt;=241,'(橫掃)RX Mapping'!AX15&lt;=360), ('(橫掃)RX Mapping'!AX15-241),IF(AND('(橫掃)RX Mapping'!AX15&gt;=361,'(橫掃)RX Mapping'!AX15&lt;=480), (-1)*('(橫掃)RX Mapping'!AX15-480),IF(AND('(橫掃)RX Mapping'!AX15&gt;=481,'(橫掃)RX Mapping'!AX15&lt;=600), ('(橫掃)RX Mapping'!AX15-361),IF(AND('(橫掃)RX Mapping'!AX15&gt;=601,'(橫掃)RX Mapping'!AX15&lt;=720), (-1)*('(橫掃)RX Mapping'!AX15-720)+120,IF(AND('(橫掃)RX Mapping'!AX15&gt;=721,'(橫掃)RX Mapping'!AX15&lt;=840), ('(橫掃)RX Mapping'!AX15-601),IF(AND('(橫掃)RX Mapping'!AX15&gt;=841,'(橫掃)RX Mapping'!AX15&lt;=960), (-1)*('(橫掃)RX Mapping'!AX15-960)+120,9999))))))))</f>
        <v>9999</v>
      </c>
      <c r="AY15">
        <f>IF(AND('(橫掃)RX Mapping'!AY15&gt;=1,'(橫掃)RX Mapping'!AY15&lt;=120), ('(橫掃)RX Mapping'!AY15-1),IF(AND('(橫掃)RX Mapping'!AY15&gt;=121,'(橫掃)RX Mapping'!AY15&lt;=240), (-1)*('(橫掃)RX Mapping'!AY15-240),IF(AND('(橫掃)RX Mapping'!AY15&gt;=241,'(橫掃)RX Mapping'!AY15&lt;=360), ('(橫掃)RX Mapping'!AY15-241),IF(AND('(橫掃)RX Mapping'!AY15&gt;=361,'(橫掃)RX Mapping'!AY15&lt;=480), (-1)*('(橫掃)RX Mapping'!AY15-480),IF(AND('(橫掃)RX Mapping'!AY15&gt;=481,'(橫掃)RX Mapping'!AY15&lt;=600), ('(橫掃)RX Mapping'!AY15-361),IF(AND('(橫掃)RX Mapping'!AY15&gt;=601,'(橫掃)RX Mapping'!AY15&lt;=720), (-1)*('(橫掃)RX Mapping'!AY15-720)+120,IF(AND('(橫掃)RX Mapping'!AY15&gt;=721,'(橫掃)RX Mapping'!AY15&lt;=840), ('(橫掃)RX Mapping'!AY15-601),IF(AND('(橫掃)RX Mapping'!AY15&gt;=841,'(橫掃)RX Mapping'!AY15&lt;=960), (-1)*('(橫掃)RX Mapping'!AY15-960)+120,9999))))))))</f>
        <v>9999</v>
      </c>
      <c r="AZ15">
        <f>IF(AND('(橫掃)RX Mapping'!AZ15&gt;=1,'(橫掃)RX Mapping'!AZ15&lt;=120), ('(橫掃)RX Mapping'!AZ15-1),IF(AND('(橫掃)RX Mapping'!AZ15&gt;=121,'(橫掃)RX Mapping'!AZ15&lt;=240), (-1)*('(橫掃)RX Mapping'!AZ15-240),IF(AND('(橫掃)RX Mapping'!AZ15&gt;=241,'(橫掃)RX Mapping'!AZ15&lt;=360), ('(橫掃)RX Mapping'!AZ15-241),IF(AND('(橫掃)RX Mapping'!AZ15&gt;=361,'(橫掃)RX Mapping'!AZ15&lt;=480), (-1)*('(橫掃)RX Mapping'!AZ15-480),IF(AND('(橫掃)RX Mapping'!AZ15&gt;=481,'(橫掃)RX Mapping'!AZ15&lt;=600), ('(橫掃)RX Mapping'!AZ15-361),IF(AND('(橫掃)RX Mapping'!AZ15&gt;=601,'(橫掃)RX Mapping'!AZ15&lt;=720), (-1)*('(橫掃)RX Mapping'!AZ15-720)+120,IF(AND('(橫掃)RX Mapping'!AZ15&gt;=721,'(橫掃)RX Mapping'!AZ15&lt;=840), ('(橫掃)RX Mapping'!AZ15-601),IF(AND('(橫掃)RX Mapping'!AZ15&gt;=841,'(橫掃)RX Mapping'!AZ15&lt;=960), (-1)*('(橫掃)RX Mapping'!AZ15-960)+120,9999))))))))</f>
        <v>9999</v>
      </c>
      <c r="BA15">
        <f>IF(AND('(橫掃)RX Mapping'!BA15&gt;=1,'(橫掃)RX Mapping'!BA15&lt;=120), ('(橫掃)RX Mapping'!BA15-1),IF(AND('(橫掃)RX Mapping'!BA15&gt;=121,'(橫掃)RX Mapping'!BA15&lt;=240), (-1)*('(橫掃)RX Mapping'!BA15-240),IF(AND('(橫掃)RX Mapping'!BA15&gt;=241,'(橫掃)RX Mapping'!BA15&lt;=360), ('(橫掃)RX Mapping'!BA15-241),IF(AND('(橫掃)RX Mapping'!BA15&gt;=361,'(橫掃)RX Mapping'!BA15&lt;=480), (-1)*('(橫掃)RX Mapping'!BA15-480),IF(AND('(橫掃)RX Mapping'!BA15&gt;=481,'(橫掃)RX Mapping'!BA15&lt;=600), ('(橫掃)RX Mapping'!BA15-361),IF(AND('(橫掃)RX Mapping'!BA15&gt;=601,'(橫掃)RX Mapping'!BA15&lt;=720), (-1)*('(橫掃)RX Mapping'!BA15-720)+120,IF(AND('(橫掃)RX Mapping'!BA15&gt;=721,'(橫掃)RX Mapping'!BA15&lt;=840), ('(橫掃)RX Mapping'!BA15-601),IF(AND('(橫掃)RX Mapping'!BA15&gt;=841,'(橫掃)RX Mapping'!BA15&lt;=960), (-1)*('(橫掃)RX Mapping'!BA15-960)+120,9999))))))))</f>
        <v>9999</v>
      </c>
      <c r="BB15">
        <f>IF(AND('(橫掃)RX Mapping'!BB15&gt;=1,'(橫掃)RX Mapping'!BB15&lt;=120), ('(橫掃)RX Mapping'!BB15-1),IF(AND('(橫掃)RX Mapping'!BB15&gt;=121,'(橫掃)RX Mapping'!BB15&lt;=240), (-1)*('(橫掃)RX Mapping'!BB15-240),IF(AND('(橫掃)RX Mapping'!BB15&gt;=241,'(橫掃)RX Mapping'!BB15&lt;=360), ('(橫掃)RX Mapping'!BB15-241),IF(AND('(橫掃)RX Mapping'!BB15&gt;=361,'(橫掃)RX Mapping'!BB15&lt;=480), (-1)*('(橫掃)RX Mapping'!BB15-480),IF(AND('(橫掃)RX Mapping'!BB15&gt;=481,'(橫掃)RX Mapping'!BB15&lt;=600), ('(橫掃)RX Mapping'!BB15-361),IF(AND('(橫掃)RX Mapping'!BB15&gt;=601,'(橫掃)RX Mapping'!BB15&lt;=720), (-1)*('(橫掃)RX Mapping'!BB15-720)+120,IF(AND('(橫掃)RX Mapping'!BB15&gt;=721,'(橫掃)RX Mapping'!BB15&lt;=840), ('(橫掃)RX Mapping'!BB15-601),IF(AND('(橫掃)RX Mapping'!BB15&gt;=841,'(橫掃)RX Mapping'!BB15&lt;=960), (-1)*('(橫掃)RX Mapping'!BB15-960)+120,9999))))))))</f>
        <v>9999</v>
      </c>
      <c r="BC15">
        <f>IF(AND('(橫掃)RX Mapping'!BC15&gt;=1,'(橫掃)RX Mapping'!BC15&lt;=120), ('(橫掃)RX Mapping'!BC15-1),IF(AND('(橫掃)RX Mapping'!BC15&gt;=121,'(橫掃)RX Mapping'!BC15&lt;=240), (-1)*('(橫掃)RX Mapping'!BC15-240),IF(AND('(橫掃)RX Mapping'!BC15&gt;=241,'(橫掃)RX Mapping'!BC15&lt;=360), ('(橫掃)RX Mapping'!BC15-241),IF(AND('(橫掃)RX Mapping'!BC15&gt;=361,'(橫掃)RX Mapping'!BC15&lt;=480), (-1)*('(橫掃)RX Mapping'!BC15-480),IF(AND('(橫掃)RX Mapping'!BC15&gt;=481,'(橫掃)RX Mapping'!BC15&lt;=600), ('(橫掃)RX Mapping'!BC15-361),IF(AND('(橫掃)RX Mapping'!BC15&gt;=601,'(橫掃)RX Mapping'!BC15&lt;=720), (-1)*('(橫掃)RX Mapping'!BC15-720)+120,IF(AND('(橫掃)RX Mapping'!BC15&gt;=721,'(橫掃)RX Mapping'!BC15&lt;=840), ('(橫掃)RX Mapping'!BC15-601),IF(AND('(橫掃)RX Mapping'!BC15&gt;=841,'(橫掃)RX Mapping'!BC15&lt;=960), (-1)*('(橫掃)RX Mapping'!BC15-960)+120,9999))))))))</f>
        <v>9999</v>
      </c>
      <c r="BD15">
        <f>IF(AND('(橫掃)RX Mapping'!BD15&gt;=1,'(橫掃)RX Mapping'!BD15&lt;=120), ('(橫掃)RX Mapping'!BD15-1),IF(AND('(橫掃)RX Mapping'!BD15&gt;=121,'(橫掃)RX Mapping'!BD15&lt;=240), (-1)*('(橫掃)RX Mapping'!BD15-240),IF(AND('(橫掃)RX Mapping'!BD15&gt;=241,'(橫掃)RX Mapping'!BD15&lt;=360), ('(橫掃)RX Mapping'!BD15-241),IF(AND('(橫掃)RX Mapping'!BD15&gt;=361,'(橫掃)RX Mapping'!BD15&lt;=480), (-1)*('(橫掃)RX Mapping'!BD15-480),IF(AND('(橫掃)RX Mapping'!BD15&gt;=481,'(橫掃)RX Mapping'!BD15&lt;=600), ('(橫掃)RX Mapping'!BD15-361),IF(AND('(橫掃)RX Mapping'!BD15&gt;=601,'(橫掃)RX Mapping'!BD15&lt;=720), (-1)*('(橫掃)RX Mapping'!BD15-720)+120,IF(AND('(橫掃)RX Mapping'!BD15&gt;=721,'(橫掃)RX Mapping'!BD15&lt;=840), ('(橫掃)RX Mapping'!BD15-601),IF(AND('(橫掃)RX Mapping'!BD15&gt;=841,'(橫掃)RX Mapping'!BD15&lt;=960), (-1)*('(橫掃)RX Mapping'!BD15-960)+120,9999))))))))</f>
        <v>9999</v>
      </c>
      <c r="BE15">
        <f>IF(AND('(橫掃)RX Mapping'!BE15&gt;=1,'(橫掃)RX Mapping'!BE15&lt;=120), ('(橫掃)RX Mapping'!BE15-1),IF(AND('(橫掃)RX Mapping'!BE15&gt;=121,'(橫掃)RX Mapping'!BE15&lt;=240), (-1)*('(橫掃)RX Mapping'!BE15-240),IF(AND('(橫掃)RX Mapping'!BE15&gt;=241,'(橫掃)RX Mapping'!BE15&lt;=360), ('(橫掃)RX Mapping'!BE15-241),IF(AND('(橫掃)RX Mapping'!BE15&gt;=361,'(橫掃)RX Mapping'!BE15&lt;=480), (-1)*('(橫掃)RX Mapping'!BE15-480),IF(AND('(橫掃)RX Mapping'!BE15&gt;=481,'(橫掃)RX Mapping'!BE15&lt;=600), ('(橫掃)RX Mapping'!BE15-361),IF(AND('(橫掃)RX Mapping'!BE15&gt;=601,'(橫掃)RX Mapping'!BE15&lt;=720), (-1)*('(橫掃)RX Mapping'!BE15-720)+120,IF(AND('(橫掃)RX Mapping'!BE15&gt;=721,'(橫掃)RX Mapping'!BE15&lt;=840), ('(橫掃)RX Mapping'!BE15-601),IF(AND('(橫掃)RX Mapping'!BE15&gt;=841,'(橫掃)RX Mapping'!BE15&lt;=960), (-1)*('(橫掃)RX Mapping'!BE15-960)+120,9999))))))))</f>
        <v>9999</v>
      </c>
      <c r="BF15">
        <f>IF(AND('(橫掃)RX Mapping'!BF15&gt;=1,'(橫掃)RX Mapping'!BF15&lt;=120), ('(橫掃)RX Mapping'!BF15-1),IF(AND('(橫掃)RX Mapping'!BF15&gt;=121,'(橫掃)RX Mapping'!BF15&lt;=240), (-1)*('(橫掃)RX Mapping'!BF15-240),IF(AND('(橫掃)RX Mapping'!BF15&gt;=241,'(橫掃)RX Mapping'!BF15&lt;=360), ('(橫掃)RX Mapping'!BF15-241),IF(AND('(橫掃)RX Mapping'!BF15&gt;=361,'(橫掃)RX Mapping'!BF15&lt;=480), (-1)*('(橫掃)RX Mapping'!BF15-480),IF(AND('(橫掃)RX Mapping'!BF15&gt;=481,'(橫掃)RX Mapping'!BF15&lt;=600), ('(橫掃)RX Mapping'!BF15-361),IF(AND('(橫掃)RX Mapping'!BF15&gt;=601,'(橫掃)RX Mapping'!BF15&lt;=720), (-1)*('(橫掃)RX Mapping'!BF15-720)+120,IF(AND('(橫掃)RX Mapping'!BF15&gt;=721,'(橫掃)RX Mapping'!BF15&lt;=840), ('(橫掃)RX Mapping'!BF15-601),IF(AND('(橫掃)RX Mapping'!BF15&gt;=841,'(橫掃)RX Mapping'!BF15&lt;=960), (-1)*('(橫掃)RX Mapping'!BF15-960)+120,9999))))))))</f>
        <v>9999</v>
      </c>
      <c r="BG15">
        <f>IF(AND('(橫掃)RX Mapping'!BG15&gt;=1,'(橫掃)RX Mapping'!BG15&lt;=120), ('(橫掃)RX Mapping'!BG15-1),IF(AND('(橫掃)RX Mapping'!BG15&gt;=121,'(橫掃)RX Mapping'!BG15&lt;=240), (-1)*('(橫掃)RX Mapping'!BG15-240),IF(AND('(橫掃)RX Mapping'!BG15&gt;=241,'(橫掃)RX Mapping'!BG15&lt;=360), ('(橫掃)RX Mapping'!BG15-241),IF(AND('(橫掃)RX Mapping'!BG15&gt;=361,'(橫掃)RX Mapping'!BG15&lt;=480), (-1)*('(橫掃)RX Mapping'!BG15-480),IF(AND('(橫掃)RX Mapping'!BG15&gt;=481,'(橫掃)RX Mapping'!BG15&lt;=600), ('(橫掃)RX Mapping'!BG15-361),IF(AND('(橫掃)RX Mapping'!BG15&gt;=601,'(橫掃)RX Mapping'!BG15&lt;=720), (-1)*('(橫掃)RX Mapping'!BG15-720)+120,IF(AND('(橫掃)RX Mapping'!BG15&gt;=721,'(橫掃)RX Mapping'!BG15&lt;=840), ('(橫掃)RX Mapping'!BG15-601),IF(AND('(橫掃)RX Mapping'!BG15&gt;=841,'(橫掃)RX Mapping'!BG15&lt;=960), (-1)*('(橫掃)RX Mapping'!BG15-960)+120,9999))))))))</f>
        <v>9999</v>
      </c>
      <c r="BH15">
        <f>IF(AND('(橫掃)RX Mapping'!BH15&gt;=1,'(橫掃)RX Mapping'!BH15&lt;=120), ('(橫掃)RX Mapping'!BH15-1),IF(AND('(橫掃)RX Mapping'!BH15&gt;=121,'(橫掃)RX Mapping'!BH15&lt;=240), (-1)*('(橫掃)RX Mapping'!BH15-240),IF(AND('(橫掃)RX Mapping'!BH15&gt;=241,'(橫掃)RX Mapping'!BH15&lt;=360), ('(橫掃)RX Mapping'!BH15-241),IF(AND('(橫掃)RX Mapping'!BH15&gt;=361,'(橫掃)RX Mapping'!BH15&lt;=480), (-1)*('(橫掃)RX Mapping'!BH15-480),IF(AND('(橫掃)RX Mapping'!BH15&gt;=481,'(橫掃)RX Mapping'!BH15&lt;=600), ('(橫掃)RX Mapping'!BH15-361),IF(AND('(橫掃)RX Mapping'!BH15&gt;=601,'(橫掃)RX Mapping'!BH15&lt;=720), (-1)*('(橫掃)RX Mapping'!BH15-720)+120,IF(AND('(橫掃)RX Mapping'!BH15&gt;=721,'(橫掃)RX Mapping'!BH15&lt;=840), ('(橫掃)RX Mapping'!BH15-601),IF(AND('(橫掃)RX Mapping'!BH15&gt;=841,'(橫掃)RX Mapping'!BH15&lt;=960), (-1)*('(橫掃)RX Mapping'!BH15-960)+120,9999))))))))</f>
        <v>9999</v>
      </c>
      <c r="BI15">
        <f>IF(AND('(橫掃)RX Mapping'!BI15&gt;=1,'(橫掃)RX Mapping'!BI15&lt;=120), ('(橫掃)RX Mapping'!BI15-1),IF(AND('(橫掃)RX Mapping'!BI15&gt;=121,'(橫掃)RX Mapping'!BI15&lt;=240), (-1)*('(橫掃)RX Mapping'!BI15-240),IF(AND('(橫掃)RX Mapping'!BI15&gt;=241,'(橫掃)RX Mapping'!BI15&lt;=360), ('(橫掃)RX Mapping'!BI15-241),IF(AND('(橫掃)RX Mapping'!BI15&gt;=361,'(橫掃)RX Mapping'!BI15&lt;=480), (-1)*('(橫掃)RX Mapping'!BI15-480),IF(AND('(橫掃)RX Mapping'!BI15&gt;=481,'(橫掃)RX Mapping'!BI15&lt;=600), ('(橫掃)RX Mapping'!BI15-361),IF(AND('(橫掃)RX Mapping'!BI15&gt;=601,'(橫掃)RX Mapping'!BI15&lt;=720), (-1)*('(橫掃)RX Mapping'!BI15-720)+120,IF(AND('(橫掃)RX Mapping'!BI15&gt;=721,'(橫掃)RX Mapping'!BI15&lt;=840), ('(橫掃)RX Mapping'!BI15-601),IF(AND('(橫掃)RX Mapping'!BI15&gt;=841,'(橫掃)RX Mapping'!BI15&lt;=960), (-1)*('(橫掃)RX Mapping'!BI15-960)+120,9999))))))))</f>
        <v>9999</v>
      </c>
    </row>
    <row r="16" spans="1:61" x14ac:dyDescent="0.25">
      <c r="A16" s="20">
        <v>15</v>
      </c>
      <c r="B16">
        <f>IF(AND('(橫掃)RX Mapping'!B16&gt;=1,'(橫掃)RX Mapping'!B16&lt;=120), ('(橫掃)RX Mapping'!B16-1),IF(AND('(橫掃)RX Mapping'!B16&gt;=121,'(橫掃)RX Mapping'!B16&lt;=240), (-1)*('(橫掃)RX Mapping'!B16-240),IF(AND('(橫掃)RX Mapping'!B16&gt;=241,'(橫掃)RX Mapping'!B16&lt;=360), ('(橫掃)RX Mapping'!B16-241),IF(AND('(橫掃)RX Mapping'!B16&gt;=361,'(橫掃)RX Mapping'!B16&lt;=480), (-1)*('(橫掃)RX Mapping'!B16-480),IF(AND('(橫掃)RX Mapping'!B16&gt;=481,'(橫掃)RX Mapping'!B16&lt;=600), ('(橫掃)RX Mapping'!B16-361),IF(AND('(橫掃)RX Mapping'!B16&gt;=601,'(橫掃)RX Mapping'!B16&lt;=720), (-1)*('(橫掃)RX Mapping'!B16-720)+120,IF(AND('(橫掃)RX Mapping'!B16&gt;=721,'(橫掃)RX Mapping'!B16&lt;=840), ('(橫掃)RX Mapping'!B16-601),IF(AND('(橫掃)RX Mapping'!B16&gt;=841,'(橫掃)RX Mapping'!B16&lt;=960), (-1)*('(橫掃)RX Mapping'!B16-960)+120,9999))))))))</f>
        <v>14</v>
      </c>
      <c r="C16">
        <f>IF(AND('(橫掃)RX Mapping'!C16&gt;=1,'(橫掃)RX Mapping'!C16&lt;=120), ('(橫掃)RX Mapping'!C16-1),IF(AND('(橫掃)RX Mapping'!C16&gt;=121,'(橫掃)RX Mapping'!C16&lt;=240), (-1)*('(橫掃)RX Mapping'!C16-240),IF(AND('(橫掃)RX Mapping'!C16&gt;=241,'(橫掃)RX Mapping'!C16&lt;=360), ('(橫掃)RX Mapping'!C16-241),IF(AND('(橫掃)RX Mapping'!C16&gt;=361,'(橫掃)RX Mapping'!C16&lt;=480), (-1)*('(橫掃)RX Mapping'!C16-480),IF(AND('(橫掃)RX Mapping'!C16&gt;=481,'(橫掃)RX Mapping'!C16&lt;=600), ('(橫掃)RX Mapping'!C16-361),IF(AND('(橫掃)RX Mapping'!C16&gt;=601,'(橫掃)RX Mapping'!C16&lt;=720), (-1)*('(橫掃)RX Mapping'!C16-720)+120,IF(AND('(橫掃)RX Mapping'!C16&gt;=721,'(橫掃)RX Mapping'!C16&lt;=840), ('(橫掃)RX Mapping'!C16-601),IF(AND('(橫掃)RX Mapping'!C16&gt;=841,'(橫掃)RX Mapping'!C16&lt;=960), (-1)*('(橫掃)RX Mapping'!C16-960)+120,9999))))))))</f>
        <v>46</v>
      </c>
      <c r="D16">
        <f>IF(AND('(橫掃)RX Mapping'!D16&gt;=1,'(橫掃)RX Mapping'!D16&lt;=120), ('(橫掃)RX Mapping'!D16-1),IF(AND('(橫掃)RX Mapping'!D16&gt;=121,'(橫掃)RX Mapping'!D16&lt;=240), (-1)*('(橫掃)RX Mapping'!D16-240),IF(AND('(橫掃)RX Mapping'!D16&gt;=241,'(橫掃)RX Mapping'!D16&lt;=360), ('(橫掃)RX Mapping'!D16-241),IF(AND('(橫掃)RX Mapping'!D16&gt;=361,'(橫掃)RX Mapping'!D16&lt;=480), (-1)*('(橫掃)RX Mapping'!D16-480),IF(AND('(橫掃)RX Mapping'!D16&gt;=481,'(橫掃)RX Mapping'!D16&lt;=600), ('(橫掃)RX Mapping'!D16-361),IF(AND('(橫掃)RX Mapping'!D16&gt;=601,'(橫掃)RX Mapping'!D16&lt;=720), (-1)*('(橫掃)RX Mapping'!D16-720)+120,IF(AND('(橫掃)RX Mapping'!D16&gt;=721,'(橫掃)RX Mapping'!D16&lt;=840), ('(橫掃)RX Mapping'!D16-601),IF(AND('(橫掃)RX Mapping'!D16&gt;=841,'(橫掃)RX Mapping'!D16&lt;=960), (-1)*('(橫掃)RX Mapping'!D16-960)+120,9999))))))))</f>
        <v>78</v>
      </c>
      <c r="E16">
        <f>IF(AND('(橫掃)RX Mapping'!E16&gt;=1,'(橫掃)RX Mapping'!E16&lt;=120), ('(橫掃)RX Mapping'!E16-1),IF(AND('(橫掃)RX Mapping'!E16&gt;=121,'(橫掃)RX Mapping'!E16&lt;=240), (-1)*('(橫掃)RX Mapping'!E16-240),IF(AND('(橫掃)RX Mapping'!E16&gt;=241,'(橫掃)RX Mapping'!E16&lt;=360), ('(橫掃)RX Mapping'!E16-241),IF(AND('(橫掃)RX Mapping'!E16&gt;=361,'(橫掃)RX Mapping'!E16&lt;=480), (-1)*('(橫掃)RX Mapping'!E16-480),IF(AND('(橫掃)RX Mapping'!E16&gt;=481,'(橫掃)RX Mapping'!E16&lt;=600), ('(橫掃)RX Mapping'!E16-361),IF(AND('(橫掃)RX Mapping'!E16&gt;=601,'(橫掃)RX Mapping'!E16&lt;=720), (-1)*('(橫掃)RX Mapping'!E16-720)+120,IF(AND('(橫掃)RX Mapping'!E16&gt;=721,'(橫掃)RX Mapping'!E16&lt;=840), ('(橫掃)RX Mapping'!E16-601),IF(AND('(橫掃)RX Mapping'!E16&gt;=841,'(橫掃)RX Mapping'!E16&lt;=960), (-1)*('(橫掃)RX Mapping'!E16-960)+120,9999))))))))</f>
        <v>110</v>
      </c>
      <c r="F16">
        <f>IF(AND('(橫掃)RX Mapping'!F16&gt;=1,'(橫掃)RX Mapping'!F16&lt;=120), ('(橫掃)RX Mapping'!F16-1),IF(AND('(橫掃)RX Mapping'!F16&gt;=121,'(橫掃)RX Mapping'!F16&lt;=240), (-1)*('(橫掃)RX Mapping'!F16-240),IF(AND('(橫掃)RX Mapping'!F16&gt;=241,'(橫掃)RX Mapping'!F16&lt;=360), ('(橫掃)RX Mapping'!F16-241),IF(AND('(橫掃)RX Mapping'!F16&gt;=361,'(橫掃)RX Mapping'!F16&lt;=480), (-1)*('(橫掃)RX Mapping'!F16-480),IF(AND('(橫掃)RX Mapping'!F16&gt;=481,'(橫掃)RX Mapping'!F16&lt;=600), ('(橫掃)RX Mapping'!F16-361),IF(AND('(橫掃)RX Mapping'!F16&gt;=601,'(橫掃)RX Mapping'!F16&lt;=720), (-1)*('(橫掃)RX Mapping'!F16-720)+120,IF(AND('(橫掃)RX Mapping'!F16&gt;=721,'(橫掃)RX Mapping'!F16&lt;=840), ('(橫掃)RX Mapping'!F16-601),IF(AND('(橫掃)RX Mapping'!F16&gt;=841,'(橫掃)RX Mapping'!F16&lt;=960), (-1)*('(橫掃)RX Mapping'!F16-960)+120,9999))))))))</f>
        <v>97</v>
      </c>
      <c r="G16">
        <f>IF(AND('(橫掃)RX Mapping'!G16&gt;=1,'(橫掃)RX Mapping'!G16&lt;=120), ('(橫掃)RX Mapping'!G16-1),IF(AND('(橫掃)RX Mapping'!G16&gt;=121,'(橫掃)RX Mapping'!G16&lt;=240), (-1)*('(橫掃)RX Mapping'!G16-240),IF(AND('(橫掃)RX Mapping'!G16&gt;=241,'(橫掃)RX Mapping'!G16&lt;=360), ('(橫掃)RX Mapping'!G16-241),IF(AND('(橫掃)RX Mapping'!G16&gt;=361,'(橫掃)RX Mapping'!G16&lt;=480), (-1)*('(橫掃)RX Mapping'!G16-480),IF(AND('(橫掃)RX Mapping'!G16&gt;=481,'(橫掃)RX Mapping'!G16&lt;=600), ('(橫掃)RX Mapping'!G16-361),IF(AND('(橫掃)RX Mapping'!G16&gt;=601,'(橫掃)RX Mapping'!G16&lt;=720), (-1)*('(橫掃)RX Mapping'!G16-720)+120,IF(AND('(橫掃)RX Mapping'!G16&gt;=721,'(橫掃)RX Mapping'!G16&lt;=840), ('(橫掃)RX Mapping'!G16-601),IF(AND('(橫掃)RX Mapping'!G16&gt;=841,'(橫掃)RX Mapping'!G16&lt;=960), (-1)*('(橫掃)RX Mapping'!G16-960)+120,9999))))))))</f>
        <v>65</v>
      </c>
      <c r="H16">
        <f>IF(AND('(橫掃)RX Mapping'!H16&gt;=1,'(橫掃)RX Mapping'!H16&lt;=120), ('(橫掃)RX Mapping'!H16-1),IF(AND('(橫掃)RX Mapping'!H16&gt;=121,'(橫掃)RX Mapping'!H16&lt;=240), (-1)*('(橫掃)RX Mapping'!H16-240),IF(AND('(橫掃)RX Mapping'!H16&gt;=241,'(橫掃)RX Mapping'!H16&lt;=360), ('(橫掃)RX Mapping'!H16-241),IF(AND('(橫掃)RX Mapping'!H16&gt;=361,'(橫掃)RX Mapping'!H16&lt;=480), (-1)*('(橫掃)RX Mapping'!H16-480),IF(AND('(橫掃)RX Mapping'!H16&gt;=481,'(橫掃)RX Mapping'!H16&lt;=600), ('(橫掃)RX Mapping'!H16-361),IF(AND('(橫掃)RX Mapping'!H16&gt;=601,'(橫掃)RX Mapping'!H16&lt;=720), (-1)*('(橫掃)RX Mapping'!H16-720)+120,IF(AND('(橫掃)RX Mapping'!H16&gt;=721,'(橫掃)RX Mapping'!H16&lt;=840), ('(橫掃)RX Mapping'!H16-601),IF(AND('(橫掃)RX Mapping'!H16&gt;=841,'(橫掃)RX Mapping'!H16&lt;=960), (-1)*('(橫掃)RX Mapping'!H16-960)+120,9999))))))))</f>
        <v>33</v>
      </c>
      <c r="I16">
        <f>IF(AND('(橫掃)RX Mapping'!I16&gt;=1,'(橫掃)RX Mapping'!I16&lt;=120), ('(橫掃)RX Mapping'!I16-1),IF(AND('(橫掃)RX Mapping'!I16&gt;=121,'(橫掃)RX Mapping'!I16&lt;=240), (-1)*('(橫掃)RX Mapping'!I16-240),IF(AND('(橫掃)RX Mapping'!I16&gt;=241,'(橫掃)RX Mapping'!I16&lt;=360), ('(橫掃)RX Mapping'!I16-241),IF(AND('(橫掃)RX Mapping'!I16&gt;=361,'(橫掃)RX Mapping'!I16&lt;=480), (-1)*('(橫掃)RX Mapping'!I16-480),IF(AND('(橫掃)RX Mapping'!I16&gt;=481,'(橫掃)RX Mapping'!I16&lt;=600), ('(橫掃)RX Mapping'!I16-361),IF(AND('(橫掃)RX Mapping'!I16&gt;=601,'(橫掃)RX Mapping'!I16&lt;=720), (-1)*('(橫掃)RX Mapping'!I16-720)+120,IF(AND('(橫掃)RX Mapping'!I16&gt;=721,'(橫掃)RX Mapping'!I16&lt;=840), ('(橫掃)RX Mapping'!I16-601),IF(AND('(橫掃)RX Mapping'!I16&gt;=841,'(橫掃)RX Mapping'!I16&lt;=960), (-1)*('(橫掃)RX Mapping'!I16-960)+120,9999))))))))</f>
        <v>14</v>
      </c>
      <c r="J16">
        <f>IF(AND('(橫掃)RX Mapping'!J16&gt;=1,'(橫掃)RX Mapping'!J16&lt;=120), ('(橫掃)RX Mapping'!J16-1),IF(AND('(橫掃)RX Mapping'!J16&gt;=121,'(橫掃)RX Mapping'!J16&lt;=240), (-1)*('(橫掃)RX Mapping'!J16-240),IF(AND('(橫掃)RX Mapping'!J16&gt;=241,'(橫掃)RX Mapping'!J16&lt;=360), ('(橫掃)RX Mapping'!J16-241),IF(AND('(橫掃)RX Mapping'!J16&gt;=361,'(橫掃)RX Mapping'!J16&lt;=480), (-1)*('(橫掃)RX Mapping'!J16-480),IF(AND('(橫掃)RX Mapping'!J16&gt;=481,'(橫掃)RX Mapping'!J16&lt;=600), ('(橫掃)RX Mapping'!J16-361),IF(AND('(橫掃)RX Mapping'!J16&gt;=601,'(橫掃)RX Mapping'!J16&lt;=720), (-1)*('(橫掃)RX Mapping'!J16-720)+120,IF(AND('(橫掃)RX Mapping'!J16&gt;=721,'(橫掃)RX Mapping'!J16&lt;=840), ('(橫掃)RX Mapping'!J16-601),IF(AND('(橫掃)RX Mapping'!J16&gt;=841,'(橫掃)RX Mapping'!J16&lt;=960), (-1)*('(橫掃)RX Mapping'!J16-960)+120,9999))))))))</f>
        <v>46</v>
      </c>
      <c r="K16">
        <f>IF(AND('(橫掃)RX Mapping'!K16&gt;=1,'(橫掃)RX Mapping'!K16&lt;=120), ('(橫掃)RX Mapping'!K16-1),IF(AND('(橫掃)RX Mapping'!K16&gt;=121,'(橫掃)RX Mapping'!K16&lt;=240), (-1)*('(橫掃)RX Mapping'!K16-240),IF(AND('(橫掃)RX Mapping'!K16&gt;=241,'(橫掃)RX Mapping'!K16&lt;=360), ('(橫掃)RX Mapping'!K16-241),IF(AND('(橫掃)RX Mapping'!K16&gt;=361,'(橫掃)RX Mapping'!K16&lt;=480), (-1)*('(橫掃)RX Mapping'!K16-480),IF(AND('(橫掃)RX Mapping'!K16&gt;=481,'(橫掃)RX Mapping'!K16&lt;=600), ('(橫掃)RX Mapping'!K16-361),IF(AND('(橫掃)RX Mapping'!K16&gt;=601,'(橫掃)RX Mapping'!K16&lt;=720), (-1)*('(橫掃)RX Mapping'!K16-720)+120,IF(AND('(橫掃)RX Mapping'!K16&gt;=721,'(橫掃)RX Mapping'!K16&lt;=840), ('(橫掃)RX Mapping'!K16-601),IF(AND('(橫掃)RX Mapping'!K16&gt;=841,'(橫掃)RX Mapping'!K16&lt;=960), (-1)*('(橫掃)RX Mapping'!K16-960)+120,9999))))))))</f>
        <v>78</v>
      </c>
      <c r="L16">
        <f>IF(AND('(橫掃)RX Mapping'!L16&gt;=1,'(橫掃)RX Mapping'!L16&lt;=120), ('(橫掃)RX Mapping'!L16-1),IF(AND('(橫掃)RX Mapping'!L16&gt;=121,'(橫掃)RX Mapping'!L16&lt;=240), (-1)*('(橫掃)RX Mapping'!L16-240),IF(AND('(橫掃)RX Mapping'!L16&gt;=241,'(橫掃)RX Mapping'!L16&lt;=360), ('(橫掃)RX Mapping'!L16-241),IF(AND('(橫掃)RX Mapping'!L16&gt;=361,'(橫掃)RX Mapping'!L16&lt;=480), (-1)*('(橫掃)RX Mapping'!L16-480),IF(AND('(橫掃)RX Mapping'!L16&gt;=481,'(橫掃)RX Mapping'!L16&lt;=600), ('(橫掃)RX Mapping'!L16-361),IF(AND('(橫掃)RX Mapping'!L16&gt;=601,'(橫掃)RX Mapping'!L16&lt;=720), (-1)*('(橫掃)RX Mapping'!L16-720)+120,IF(AND('(橫掃)RX Mapping'!L16&gt;=721,'(橫掃)RX Mapping'!L16&lt;=840), ('(橫掃)RX Mapping'!L16-601),IF(AND('(橫掃)RX Mapping'!L16&gt;=841,'(橫掃)RX Mapping'!L16&lt;=960), (-1)*('(橫掃)RX Mapping'!L16-960)+120,9999))))))))</f>
        <v>110</v>
      </c>
      <c r="M16">
        <f>IF(AND('(橫掃)RX Mapping'!M16&gt;=1,'(橫掃)RX Mapping'!M16&lt;=120), ('(橫掃)RX Mapping'!M16-1),IF(AND('(橫掃)RX Mapping'!M16&gt;=121,'(橫掃)RX Mapping'!M16&lt;=240), (-1)*('(橫掃)RX Mapping'!M16-240),IF(AND('(橫掃)RX Mapping'!M16&gt;=241,'(橫掃)RX Mapping'!M16&lt;=360), ('(橫掃)RX Mapping'!M16-241),IF(AND('(橫掃)RX Mapping'!M16&gt;=361,'(橫掃)RX Mapping'!M16&lt;=480), (-1)*('(橫掃)RX Mapping'!M16-480),IF(AND('(橫掃)RX Mapping'!M16&gt;=481,'(橫掃)RX Mapping'!M16&lt;=600), ('(橫掃)RX Mapping'!M16-361),IF(AND('(橫掃)RX Mapping'!M16&gt;=601,'(橫掃)RX Mapping'!M16&lt;=720), (-1)*('(橫掃)RX Mapping'!M16-720)+120,IF(AND('(橫掃)RX Mapping'!M16&gt;=721,'(橫掃)RX Mapping'!M16&lt;=840), ('(橫掃)RX Mapping'!M16-601),IF(AND('(橫掃)RX Mapping'!M16&gt;=841,'(橫掃)RX Mapping'!M16&lt;=960), (-1)*('(橫掃)RX Mapping'!M16-960)+120,9999))))))))</f>
        <v>97</v>
      </c>
      <c r="N16">
        <f>IF(AND('(橫掃)RX Mapping'!N16&gt;=1,'(橫掃)RX Mapping'!N16&lt;=120), ('(橫掃)RX Mapping'!N16-1),IF(AND('(橫掃)RX Mapping'!N16&gt;=121,'(橫掃)RX Mapping'!N16&lt;=240), (-1)*('(橫掃)RX Mapping'!N16-240),IF(AND('(橫掃)RX Mapping'!N16&gt;=241,'(橫掃)RX Mapping'!N16&lt;=360), ('(橫掃)RX Mapping'!N16-241),IF(AND('(橫掃)RX Mapping'!N16&gt;=361,'(橫掃)RX Mapping'!N16&lt;=480), (-1)*('(橫掃)RX Mapping'!N16-480),IF(AND('(橫掃)RX Mapping'!N16&gt;=481,'(橫掃)RX Mapping'!N16&lt;=600), ('(橫掃)RX Mapping'!N16-361),IF(AND('(橫掃)RX Mapping'!N16&gt;=601,'(橫掃)RX Mapping'!N16&lt;=720), (-1)*('(橫掃)RX Mapping'!N16-720)+120,IF(AND('(橫掃)RX Mapping'!N16&gt;=721,'(橫掃)RX Mapping'!N16&lt;=840), ('(橫掃)RX Mapping'!N16-601),IF(AND('(橫掃)RX Mapping'!N16&gt;=841,'(橫掃)RX Mapping'!N16&lt;=960), (-1)*('(橫掃)RX Mapping'!N16-960)+120,9999))))))))</f>
        <v>65</v>
      </c>
      <c r="O16">
        <f>IF(AND('(橫掃)RX Mapping'!O16&gt;=1,'(橫掃)RX Mapping'!O16&lt;=120), ('(橫掃)RX Mapping'!O16-1),IF(AND('(橫掃)RX Mapping'!O16&gt;=121,'(橫掃)RX Mapping'!O16&lt;=240), (-1)*('(橫掃)RX Mapping'!O16-240),IF(AND('(橫掃)RX Mapping'!O16&gt;=241,'(橫掃)RX Mapping'!O16&lt;=360), ('(橫掃)RX Mapping'!O16-241),IF(AND('(橫掃)RX Mapping'!O16&gt;=361,'(橫掃)RX Mapping'!O16&lt;=480), (-1)*('(橫掃)RX Mapping'!O16-480),IF(AND('(橫掃)RX Mapping'!O16&gt;=481,'(橫掃)RX Mapping'!O16&lt;=600), ('(橫掃)RX Mapping'!O16-361),IF(AND('(橫掃)RX Mapping'!O16&gt;=601,'(橫掃)RX Mapping'!O16&lt;=720), (-1)*('(橫掃)RX Mapping'!O16-720)+120,IF(AND('(橫掃)RX Mapping'!O16&gt;=721,'(橫掃)RX Mapping'!O16&lt;=840), ('(橫掃)RX Mapping'!O16-601),IF(AND('(橫掃)RX Mapping'!O16&gt;=841,'(橫掃)RX Mapping'!O16&lt;=960), (-1)*('(橫掃)RX Mapping'!O16-960)+120,9999))))))))</f>
        <v>33</v>
      </c>
      <c r="P16">
        <f>IF(AND('(橫掃)RX Mapping'!P16&gt;=1,'(橫掃)RX Mapping'!P16&lt;=120), ('(橫掃)RX Mapping'!P16-1),IF(AND('(橫掃)RX Mapping'!P16&gt;=121,'(橫掃)RX Mapping'!P16&lt;=240), (-1)*('(橫掃)RX Mapping'!P16-240),IF(AND('(橫掃)RX Mapping'!P16&gt;=241,'(橫掃)RX Mapping'!P16&lt;=360), ('(橫掃)RX Mapping'!P16-241),IF(AND('(橫掃)RX Mapping'!P16&gt;=361,'(橫掃)RX Mapping'!P16&lt;=480), (-1)*('(橫掃)RX Mapping'!P16-480),IF(AND('(橫掃)RX Mapping'!P16&gt;=481,'(橫掃)RX Mapping'!P16&lt;=600), ('(橫掃)RX Mapping'!P16-361),IF(AND('(橫掃)RX Mapping'!P16&gt;=601,'(橫掃)RX Mapping'!P16&lt;=720), (-1)*('(橫掃)RX Mapping'!P16-720)+120,IF(AND('(橫掃)RX Mapping'!P16&gt;=721,'(橫掃)RX Mapping'!P16&lt;=840), ('(橫掃)RX Mapping'!P16-601),IF(AND('(橫掃)RX Mapping'!P16&gt;=841,'(橫掃)RX Mapping'!P16&lt;=960), (-1)*('(橫掃)RX Mapping'!P16-960)+120,9999))))))))</f>
        <v>134</v>
      </c>
      <c r="Q16">
        <f>IF(AND('(橫掃)RX Mapping'!Q16&gt;=1,'(橫掃)RX Mapping'!Q16&lt;=120), ('(橫掃)RX Mapping'!Q16-1),IF(AND('(橫掃)RX Mapping'!Q16&gt;=121,'(橫掃)RX Mapping'!Q16&lt;=240), (-1)*('(橫掃)RX Mapping'!Q16-240),IF(AND('(橫掃)RX Mapping'!Q16&gt;=241,'(橫掃)RX Mapping'!Q16&lt;=360), ('(橫掃)RX Mapping'!Q16-241),IF(AND('(橫掃)RX Mapping'!Q16&gt;=361,'(橫掃)RX Mapping'!Q16&lt;=480), (-1)*('(橫掃)RX Mapping'!Q16-480),IF(AND('(橫掃)RX Mapping'!Q16&gt;=481,'(橫掃)RX Mapping'!Q16&lt;=600), ('(橫掃)RX Mapping'!Q16-361),IF(AND('(橫掃)RX Mapping'!Q16&gt;=601,'(橫掃)RX Mapping'!Q16&lt;=720), (-1)*('(橫掃)RX Mapping'!Q16-720)+120,IF(AND('(橫掃)RX Mapping'!Q16&gt;=721,'(橫掃)RX Mapping'!Q16&lt;=840), ('(橫掃)RX Mapping'!Q16-601),IF(AND('(橫掃)RX Mapping'!Q16&gt;=841,'(橫掃)RX Mapping'!Q16&lt;=960), (-1)*('(橫掃)RX Mapping'!Q16-960)+120,9999))))))))</f>
        <v>166</v>
      </c>
      <c r="R16">
        <f>IF(AND('(橫掃)RX Mapping'!R16&gt;=1,'(橫掃)RX Mapping'!R16&lt;=120), ('(橫掃)RX Mapping'!R16-1),IF(AND('(橫掃)RX Mapping'!R16&gt;=121,'(橫掃)RX Mapping'!R16&lt;=240), (-1)*('(橫掃)RX Mapping'!R16-240),IF(AND('(橫掃)RX Mapping'!R16&gt;=241,'(橫掃)RX Mapping'!R16&lt;=360), ('(橫掃)RX Mapping'!R16-241),IF(AND('(橫掃)RX Mapping'!R16&gt;=361,'(橫掃)RX Mapping'!R16&lt;=480), (-1)*('(橫掃)RX Mapping'!R16-480),IF(AND('(橫掃)RX Mapping'!R16&gt;=481,'(橫掃)RX Mapping'!R16&lt;=600), ('(橫掃)RX Mapping'!R16-361),IF(AND('(橫掃)RX Mapping'!R16&gt;=601,'(橫掃)RX Mapping'!R16&lt;=720), (-1)*('(橫掃)RX Mapping'!R16-720)+120,IF(AND('(橫掃)RX Mapping'!R16&gt;=721,'(橫掃)RX Mapping'!R16&lt;=840), ('(橫掃)RX Mapping'!R16-601),IF(AND('(橫掃)RX Mapping'!R16&gt;=841,'(橫掃)RX Mapping'!R16&lt;=960), (-1)*('(橫掃)RX Mapping'!R16-960)+120,9999))))))))</f>
        <v>198</v>
      </c>
      <c r="S16">
        <f>IF(AND('(橫掃)RX Mapping'!S16&gt;=1,'(橫掃)RX Mapping'!S16&lt;=120), ('(橫掃)RX Mapping'!S16-1),IF(AND('(橫掃)RX Mapping'!S16&gt;=121,'(橫掃)RX Mapping'!S16&lt;=240), (-1)*('(橫掃)RX Mapping'!S16-240),IF(AND('(橫掃)RX Mapping'!S16&gt;=241,'(橫掃)RX Mapping'!S16&lt;=360), ('(橫掃)RX Mapping'!S16-241),IF(AND('(橫掃)RX Mapping'!S16&gt;=361,'(橫掃)RX Mapping'!S16&lt;=480), (-1)*('(橫掃)RX Mapping'!S16-480),IF(AND('(橫掃)RX Mapping'!S16&gt;=481,'(橫掃)RX Mapping'!S16&lt;=600), ('(橫掃)RX Mapping'!S16-361),IF(AND('(橫掃)RX Mapping'!S16&gt;=601,'(橫掃)RX Mapping'!S16&lt;=720), (-1)*('(橫掃)RX Mapping'!S16-720)+120,IF(AND('(橫掃)RX Mapping'!S16&gt;=721,'(橫掃)RX Mapping'!S16&lt;=840), ('(橫掃)RX Mapping'!S16-601),IF(AND('(橫掃)RX Mapping'!S16&gt;=841,'(橫掃)RX Mapping'!S16&lt;=960), (-1)*('(橫掃)RX Mapping'!S16-960)+120,9999))))))))</f>
        <v>230</v>
      </c>
      <c r="T16">
        <f>IF(AND('(橫掃)RX Mapping'!T16&gt;=1,'(橫掃)RX Mapping'!T16&lt;=120), ('(橫掃)RX Mapping'!T16-1),IF(AND('(橫掃)RX Mapping'!T16&gt;=121,'(橫掃)RX Mapping'!T16&lt;=240), (-1)*('(橫掃)RX Mapping'!T16-240),IF(AND('(橫掃)RX Mapping'!T16&gt;=241,'(橫掃)RX Mapping'!T16&lt;=360), ('(橫掃)RX Mapping'!T16-241),IF(AND('(橫掃)RX Mapping'!T16&gt;=361,'(橫掃)RX Mapping'!T16&lt;=480), (-1)*('(橫掃)RX Mapping'!T16-480),IF(AND('(橫掃)RX Mapping'!T16&gt;=481,'(橫掃)RX Mapping'!T16&lt;=600), ('(橫掃)RX Mapping'!T16-361),IF(AND('(橫掃)RX Mapping'!T16&gt;=601,'(橫掃)RX Mapping'!T16&lt;=720), (-1)*('(橫掃)RX Mapping'!T16-720)+120,IF(AND('(橫掃)RX Mapping'!T16&gt;=721,'(橫掃)RX Mapping'!T16&lt;=840), ('(橫掃)RX Mapping'!T16-601),IF(AND('(橫掃)RX Mapping'!T16&gt;=841,'(橫掃)RX Mapping'!T16&lt;=960), (-1)*('(橫掃)RX Mapping'!T16-960)+120,9999))))))))</f>
        <v>217</v>
      </c>
      <c r="U16">
        <f>IF(AND('(橫掃)RX Mapping'!U16&gt;=1,'(橫掃)RX Mapping'!U16&lt;=120), ('(橫掃)RX Mapping'!U16-1),IF(AND('(橫掃)RX Mapping'!U16&gt;=121,'(橫掃)RX Mapping'!U16&lt;=240), (-1)*('(橫掃)RX Mapping'!U16-240),IF(AND('(橫掃)RX Mapping'!U16&gt;=241,'(橫掃)RX Mapping'!U16&lt;=360), ('(橫掃)RX Mapping'!U16-241),IF(AND('(橫掃)RX Mapping'!U16&gt;=361,'(橫掃)RX Mapping'!U16&lt;=480), (-1)*('(橫掃)RX Mapping'!U16-480),IF(AND('(橫掃)RX Mapping'!U16&gt;=481,'(橫掃)RX Mapping'!U16&lt;=600), ('(橫掃)RX Mapping'!U16-361),IF(AND('(橫掃)RX Mapping'!U16&gt;=601,'(橫掃)RX Mapping'!U16&lt;=720), (-1)*('(橫掃)RX Mapping'!U16-720)+120,IF(AND('(橫掃)RX Mapping'!U16&gt;=721,'(橫掃)RX Mapping'!U16&lt;=840), ('(橫掃)RX Mapping'!U16-601),IF(AND('(橫掃)RX Mapping'!U16&gt;=841,'(橫掃)RX Mapping'!U16&lt;=960), (-1)*('(橫掃)RX Mapping'!U16-960)+120,9999))))))))</f>
        <v>185</v>
      </c>
      <c r="V16">
        <f>IF(AND('(橫掃)RX Mapping'!V16&gt;=1,'(橫掃)RX Mapping'!V16&lt;=120), ('(橫掃)RX Mapping'!V16-1),IF(AND('(橫掃)RX Mapping'!V16&gt;=121,'(橫掃)RX Mapping'!V16&lt;=240), (-1)*('(橫掃)RX Mapping'!V16-240),IF(AND('(橫掃)RX Mapping'!V16&gt;=241,'(橫掃)RX Mapping'!V16&lt;=360), ('(橫掃)RX Mapping'!V16-241),IF(AND('(橫掃)RX Mapping'!V16&gt;=361,'(橫掃)RX Mapping'!V16&lt;=480), (-1)*('(橫掃)RX Mapping'!V16-480),IF(AND('(橫掃)RX Mapping'!V16&gt;=481,'(橫掃)RX Mapping'!V16&lt;=600), ('(橫掃)RX Mapping'!V16-361),IF(AND('(橫掃)RX Mapping'!V16&gt;=601,'(橫掃)RX Mapping'!V16&lt;=720), (-1)*('(橫掃)RX Mapping'!V16-720)+120,IF(AND('(橫掃)RX Mapping'!V16&gt;=721,'(橫掃)RX Mapping'!V16&lt;=840), ('(橫掃)RX Mapping'!V16-601),IF(AND('(橫掃)RX Mapping'!V16&gt;=841,'(橫掃)RX Mapping'!V16&lt;=960), (-1)*('(橫掃)RX Mapping'!V16-960)+120,9999))))))))</f>
        <v>153</v>
      </c>
      <c r="W16">
        <f>IF(AND('(橫掃)RX Mapping'!W16&gt;=1,'(橫掃)RX Mapping'!W16&lt;=120), ('(橫掃)RX Mapping'!W16-1),IF(AND('(橫掃)RX Mapping'!W16&gt;=121,'(橫掃)RX Mapping'!W16&lt;=240), (-1)*('(橫掃)RX Mapping'!W16-240),IF(AND('(橫掃)RX Mapping'!W16&gt;=241,'(橫掃)RX Mapping'!W16&lt;=360), ('(橫掃)RX Mapping'!W16-241),IF(AND('(橫掃)RX Mapping'!W16&gt;=361,'(橫掃)RX Mapping'!W16&lt;=480), (-1)*('(橫掃)RX Mapping'!W16-480),IF(AND('(橫掃)RX Mapping'!W16&gt;=481,'(橫掃)RX Mapping'!W16&lt;=600), ('(橫掃)RX Mapping'!W16-361),IF(AND('(橫掃)RX Mapping'!W16&gt;=601,'(橫掃)RX Mapping'!W16&lt;=720), (-1)*('(橫掃)RX Mapping'!W16-720)+120,IF(AND('(橫掃)RX Mapping'!W16&gt;=721,'(橫掃)RX Mapping'!W16&lt;=840), ('(橫掃)RX Mapping'!W16-601),IF(AND('(橫掃)RX Mapping'!W16&gt;=841,'(橫掃)RX Mapping'!W16&lt;=960), (-1)*('(橫掃)RX Mapping'!W16-960)+120,9999))))))))</f>
        <v>134</v>
      </c>
      <c r="X16">
        <f>IF(AND('(橫掃)RX Mapping'!X16&gt;=1,'(橫掃)RX Mapping'!X16&lt;=120), ('(橫掃)RX Mapping'!X16-1),IF(AND('(橫掃)RX Mapping'!X16&gt;=121,'(橫掃)RX Mapping'!X16&lt;=240), (-1)*('(橫掃)RX Mapping'!X16-240),IF(AND('(橫掃)RX Mapping'!X16&gt;=241,'(橫掃)RX Mapping'!X16&lt;=360), ('(橫掃)RX Mapping'!X16-241),IF(AND('(橫掃)RX Mapping'!X16&gt;=361,'(橫掃)RX Mapping'!X16&lt;=480), (-1)*('(橫掃)RX Mapping'!X16-480),IF(AND('(橫掃)RX Mapping'!X16&gt;=481,'(橫掃)RX Mapping'!X16&lt;=600), ('(橫掃)RX Mapping'!X16-361),IF(AND('(橫掃)RX Mapping'!X16&gt;=601,'(橫掃)RX Mapping'!X16&lt;=720), (-1)*('(橫掃)RX Mapping'!X16-720)+120,IF(AND('(橫掃)RX Mapping'!X16&gt;=721,'(橫掃)RX Mapping'!X16&lt;=840), ('(橫掃)RX Mapping'!X16-601),IF(AND('(橫掃)RX Mapping'!X16&gt;=841,'(橫掃)RX Mapping'!X16&lt;=960), (-1)*('(橫掃)RX Mapping'!X16-960)+120,9999))))))))</f>
        <v>166</v>
      </c>
      <c r="Y16">
        <f>IF(AND('(橫掃)RX Mapping'!Y16&gt;=1,'(橫掃)RX Mapping'!Y16&lt;=120), ('(橫掃)RX Mapping'!Y16-1),IF(AND('(橫掃)RX Mapping'!Y16&gt;=121,'(橫掃)RX Mapping'!Y16&lt;=240), (-1)*('(橫掃)RX Mapping'!Y16-240),IF(AND('(橫掃)RX Mapping'!Y16&gt;=241,'(橫掃)RX Mapping'!Y16&lt;=360), ('(橫掃)RX Mapping'!Y16-241),IF(AND('(橫掃)RX Mapping'!Y16&gt;=361,'(橫掃)RX Mapping'!Y16&lt;=480), (-1)*('(橫掃)RX Mapping'!Y16-480),IF(AND('(橫掃)RX Mapping'!Y16&gt;=481,'(橫掃)RX Mapping'!Y16&lt;=600), ('(橫掃)RX Mapping'!Y16-361),IF(AND('(橫掃)RX Mapping'!Y16&gt;=601,'(橫掃)RX Mapping'!Y16&lt;=720), (-1)*('(橫掃)RX Mapping'!Y16-720)+120,IF(AND('(橫掃)RX Mapping'!Y16&gt;=721,'(橫掃)RX Mapping'!Y16&lt;=840), ('(橫掃)RX Mapping'!Y16-601),IF(AND('(橫掃)RX Mapping'!Y16&gt;=841,'(橫掃)RX Mapping'!Y16&lt;=960), (-1)*('(橫掃)RX Mapping'!Y16-960)+120,9999))))))))</f>
        <v>198</v>
      </c>
      <c r="Z16">
        <f>IF(AND('(橫掃)RX Mapping'!Z16&gt;=1,'(橫掃)RX Mapping'!Z16&lt;=120), ('(橫掃)RX Mapping'!Z16-1),IF(AND('(橫掃)RX Mapping'!Z16&gt;=121,'(橫掃)RX Mapping'!Z16&lt;=240), (-1)*('(橫掃)RX Mapping'!Z16-240),IF(AND('(橫掃)RX Mapping'!Z16&gt;=241,'(橫掃)RX Mapping'!Z16&lt;=360), ('(橫掃)RX Mapping'!Z16-241),IF(AND('(橫掃)RX Mapping'!Z16&gt;=361,'(橫掃)RX Mapping'!Z16&lt;=480), (-1)*('(橫掃)RX Mapping'!Z16-480),IF(AND('(橫掃)RX Mapping'!Z16&gt;=481,'(橫掃)RX Mapping'!Z16&lt;=600), ('(橫掃)RX Mapping'!Z16-361),IF(AND('(橫掃)RX Mapping'!Z16&gt;=601,'(橫掃)RX Mapping'!Z16&lt;=720), (-1)*('(橫掃)RX Mapping'!Z16-720)+120,IF(AND('(橫掃)RX Mapping'!Z16&gt;=721,'(橫掃)RX Mapping'!Z16&lt;=840), ('(橫掃)RX Mapping'!Z16-601),IF(AND('(橫掃)RX Mapping'!Z16&gt;=841,'(橫掃)RX Mapping'!Z16&lt;=960), (-1)*('(橫掃)RX Mapping'!Z16-960)+120,9999))))))))</f>
        <v>230</v>
      </c>
      <c r="AA16">
        <f>IF(AND('(橫掃)RX Mapping'!AA16&gt;=1,'(橫掃)RX Mapping'!AA16&lt;=120), ('(橫掃)RX Mapping'!AA16-1),IF(AND('(橫掃)RX Mapping'!AA16&gt;=121,'(橫掃)RX Mapping'!AA16&lt;=240), (-1)*('(橫掃)RX Mapping'!AA16-240),IF(AND('(橫掃)RX Mapping'!AA16&gt;=241,'(橫掃)RX Mapping'!AA16&lt;=360), ('(橫掃)RX Mapping'!AA16-241),IF(AND('(橫掃)RX Mapping'!AA16&gt;=361,'(橫掃)RX Mapping'!AA16&lt;=480), (-1)*('(橫掃)RX Mapping'!AA16-480),IF(AND('(橫掃)RX Mapping'!AA16&gt;=481,'(橫掃)RX Mapping'!AA16&lt;=600), ('(橫掃)RX Mapping'!AA16-361),IF(AND('(橫掃)RX Mapping'!AA16&gt;=601,'(橫掃)RX Mapping'!AA16&lt;=720), (-1)*('(橫掃)RX Mapping'!AA16-720)+120,IF(AND('(橫掃)RX Mapping'!AA16&gt;=721,'(橫掃)RX Mapping'!AA16&lt;=840), ('(橫掃)RX Mapping'!AA16-601),IF(AND('(橫掃)RX Mapping'!AA16&gt;=841,'(橫掃)RX Mapping'!AA16&lt;=960), (-1)*('(橫掃)RX Mapping'!AA16-960)+120,9999))))))))</f>
        <v>217</v>
      </c>
      <c r="AB16">
        <f>IF(AND('(橫掃)RX Mapping'!AB16&gt;=1,'(橫掃)RX Mapping'!AB16&lt;=120), ('(橫掃)RX Mapping'!AB16-1),IF(AND('(橫掃)RX Mapping'!AB16&gt;=121,'(橫掃)RX Mapping'!AB16&lt;=240), (-1)*('(橫掃)RX Mapping'!AB16-240),IF(AND('(橫掃)RX Mapping'!AB16&gt;=241,'(橫掃)RX Mapping'!AB16&lt;=360), ('(橫掃)RX Mapping'!AB16-241),IF(AND('(橫掃)RX Mapping'!AB16&gt;=361,'(橫掃)RX Mapping'!AB16&lt;=480), (-1)*('(橫掃)RX Mapping'!AB16-480),IF(AND('(橫掃)RX Mapping'!AB16&gt;=481,'(橫掃)RX Mapping'!AB16&lt;=600), ('(橫掃)RX Mapping'!AB16-361),IF(AND('(橫掃)RX Mapping'!AB16&gt;=601,'(橫掃)RX Mapping'!AB16&lt;=720), (-1)*('(橫掃)RX Mapping'!AB16-720)+120,IF(AND('(橫掃)RX Mapping'!AB16&gt;=721,'(橫掃)RX Mapping'!AB16&lt;=840), ('(橫掃)RX Mapping'!AB16-601),IF(AND('(橫掃)RX Mapping'!AB16&gt;=841,'(橫掃)RX Mapping'!AB16&lt;=960), (-1)*('(橫掃)RX Mapping'!AB16-960)+120,9999))))))))</f>
        <v>185</v>
      </c>
      <c r="AC16">
        <f>IF(AND('(橫掃)RX Mapping'!AC16&gt;=1,'(橫掃)RX Mapping'!AC16&lt;=120), ('(橫掃)RX Mapping'!AC16-1),IF(AND('(橫掃)RX Mapping'!AC16&gt;=121,'(橫掃)RX Mapping'!AC16&lt;=240), (-1)*('(橫掃)RX Mapping'!AC16-240),IF(AND('(橫掃)RX Mapping'!AC16&gt;=241,'(橫掃)RX Mapping'!AC16&lt;=360), ('(橫掃)RX Mapping'!AC16-241),IF(AND('(橫掃)RX Mapping'!AC16&gt;=361,'(橫掃)RX Mapping'!AC16&lt;=480), (-1)*('(橫掃)RX Mapping'!AC16-480),IF(AND('(橫掃)RX Mapping'!AC16&gt;=481,'(橫掃)RX Mapping'!AC16&lt;=600), ('(橫掃)RX Mapping'!AC16-361),IF(AND('(橫掃)RX Mapping'!AC16&gt;=601,'(橫掃)RX Mapping'!AC16&lt;=720), (-1)*('(橫掃)RX Mapping'!AC16-720)+120,IF(AND('(橫掃)RX Mapping'!AC16&gt;=721,'(橫掃)RX Mapping'!AC16&lt;=840), ('(橫掃)RX Mapping'!AC16-601),IF(AND('(橫掃)RX Mapping'!AC16&gt;=841,'(橫掃)RX Mapping'!AC16&lt;=960), (-1)*('(橫掃)RX Mapping'!AC16-960)+120,9999))))))))</f>
        <v>153</v>
      </c>
      <c r="AD16">
        <f>IF(AND('(橫掃)RX Mapping'!AD16&gt;=1,'(橫掃)RX Mapping'!AD16&lt;=120), ('(橫掃)RX Mapping'!AD16-1),IF(AND('(橫掃)RX Mapping'!AD16&gt;=121,'(橫掃)RX Mapping'!AD16&lt;=240), (-1)*('(橫掃)RX Mapping'!AD16-240),IF(AND('(橫掃)RX Mapping'!AD16&gt;=241,'(橫掃)RX Mapping'!AD16&lt;=360), ('(橫掃)RX Mapping'!AD16-241),IF(AND('(橫掃)RX Mapping'!AD16&gt;=361,'(橫掃)RX Mapping'!AD16&lt;=480), (-1)*('(橫掃)RX Mapping'!AD16-480),IF(AND('(橫掃)RX Mapping'!AD16&gt;=481,'(橫掃)RX Mapping'!AD16&lt;=600), ('(橫掃)RX Mapping'!AD16-361),IF(AND('(橫掃)RX Mapping'!AD16&gt;=601,'(橫掃)RX Mapping'!AD16&lt;=720), (-1)*('(橫掃)RX Mapping'!AD16-720)+120,IF(AND('(橫掃)RX Mapping'!AD16&gt;=721,'(橫掃)RX Mapping'!AD16&lt;=840), ('(橫掃)RX Mapping'!AD16-601),IF(AND('(橫掃)RX Mapping'!AD16&gt;=841,'(橫掃)RX Mapping'!AD16&lt;=960), (-1)*('(橫掃)RX Mapping'!AD16-960)+120,9999))))))))</f>
        <v>9999</v>
      </c>
      <c r="AE16">
        <f>IF(AND('(橫掃)RX Mapping'!AE16&gt;=1,'(橫掃)RX Mapping'!AE16&lt;=120), ('(橫掃)RX Mapping'!AE16-1),IF(AND('(橫掃)RX Mapping'!AE16&gt;=121,'(橫掃)RX Mapping'!AE16&lt;=240), (-1)*('(橫掃)RX Mapping'!AE16-240),IF(AND('(橫掃)RX Mapping'!AE16&gt;=241,'(橫掃)RX Mapping'!AE16&lt;=360), ('(橫掃)RX Mapping'!AE16-241),IF(AND('(橫掃)RX Mapping'!AE16&gt;=361,'(橫掃)RX Mapping'!AE16&lt;=480), (-1)*('(橫掃)RX Mapping'!AE16-480),IF(AND('(橫掃)RX Mapping'!AE16&gt;=481,'(橫掃)RX Mapping'!AE16&lt;=600), ('(橫掃)RX Mapping'!AE16-361),IF(AND('(橫掃)RX Mapping'!AE16&gt;=601,'(橫掃)RX Mapping'!AE16&lt;=720), (-1)*('(橫掃)RX Mapping'!AE16-720)+120,IF(AND('(橫掃)RX Mapping'!AE16&gt;=721,'(橫掃)RX Mapping'!AE16&lt;=840), ('(橫掃)RX Mapping'!AE16-601),IF(AND('(橫掃)RX Mapping'!AE16&gt;=841,'(橫掃)RX Mapping'!AE16&lt;=960), (-1)*('(橫掃)RX Mapping'!AE16-960)+120,9999))))))))</f>
        <v>9999</v>
      </c>
      <c r="AF16">
        <f>IF(AND('(橫掃)RX Mapping'!AF16&gt;=1,'(橫掃)RX Mapping'!AF16&lt;=120), ('(橫掃)RX Mapping'!AF16-1),IF(AND('(橫掃)RX Mapping'!AF16&gt;=121,'(橫掃)RX Mapping'!AF16&lt;=240), (-1)*('(橫掃)RX Mapping'!AF16-240),IF(AND('(橫掃)RX Mapping'!AF16&gt;=241,'(橫掃)RX Mapping'!AF16&lt;=360), ('(橫掃)RX Mapping'!AF16-241),IF(AND('(橫掃)RX Mapping'!AF16&gt;=361,'(橫掃)RX Mapping'!AF16&lt;=480), (-1)*('(橫掃)RX Mapping'!AF16-480),IF(AND('(橫掃)RX Mapping'!AF16&gt;=481,'(橫掃)RX Mapping'!AF16&lt;=600), ('(橫掃)RX Mapping'!AF16-361),IF(AND('(橫掃)RX Mapping'!AF16&gt;=601,'(橫掃)RX Mapping'!AF16&lt;=720), (-1)*('(橫掃)RX Mapping'!AF16-720)+120,IF(AND('(橫掃)RX Mapping'!AF16&gt;=721,'(橫掃)RX Mapping'!AF16&lt;=840), ('(橫掃)RX Mapping'!AF16-601),IF(AND('(橫掃)RX Mapping'!AF16&gt;=841,'(橫掃)RX Mapping'!AF16&lt;=960), (-1)*('(橫掃)RX Mapping'!AF16-960)+120,9999))))))))</f>
        <v>9999</v>
      </c>
      <c r="AG16">
        <f>IF(AND('(橫掃)RX Mapping'!AG16&gt;=1,'(橫掃)RX Mapping'!AG16&lt;=120), ('(橫掃)RX Mapping'!AG16-1),IF(AND('(橫掃)RX Mapping'!AG16&gt;=121,'(橫掃)RX Mapping'!AG16&lt;=240), (-1)*('(橫掃)RX Mapping'!AG16-240),IF(AND('(橫掃)RX Mapping'!AG16&gt;=241,'(橫掃)RX Mapping'!AG16&lt;=360), ('(橫掃)RX Mapping'!AG16-241),IF(AND('(橫掃)RX Mapping'!AG16&gt;=361,'(橫掃)RX Mapping'!AG16&lt;=480), (-1)*('(橫掃)RX Mapping'!AG16-480),IF(AND('(橫掃)RX Mapping'!AG16&gt;=481,'(橫掃)RX Mapping'!AG16&lt;=600), ('(橫掃)RX Mapping'!AG16-361),IF(AND('(橫掃)RX Mapping'!AG16&gt;=601,'(橫掃)RX Mapping'!AG16&lt;=720), (-1)*('(橫掃)RX Mapping'!AG16-720)+120,IF(AND('(橫掃)RX Mapping'!AG16&gt;=721,'(橫掃)RX Mapping'!AG16&lt;=840), ('(橫掃)RX Mapping'!AG16-601),IF(AND('(橫掃)RX Mapping'!AG16&gt;=841,'(橫掃)RX Mapping'!AG16&lt;=960), (-1)*('(橫掃)RX Mapping'!AG16-960)+120,9999))))))))</f>
        <v>9999</v>
      </c>
      <c r="AH16">
        <f>IF(AND('(橫掃)RX Mapping'!AH16&gt;=1,'(橫掃)RX Mapping'!AH16&lt;=120), ('(橫掃)RX Mapping'!AH16-1),IF(AND('(橫掃)RX Mapping'!AH16&gt;=121,'(橫掃)RX Mapping'!AH16&lt;=240), (-1)*('(橫掃)RX Mapping'!AH16-240),IF(AND('(橫掃)RX Mapping'!AH16&gt;=241,'(橫掃)RX Mapping'!AH16&lt;=360), ('(橫掃)RX Mapping'!AH16-241),IF(AND('(橫掃)RX Mapping'!AH16&gt;=361,'(橫掃)RX Mapping'!AH16&lt;=480), (-1)*('(橫掃)RX Mapping'!AH16-480),IF(AND('(橫掃)RX Mapping'!AH16&gt;=481,'(橫掃)RX Mapping'!AH16&lt;=600), ('(橫掃)RX Mapping'!AH16-361),IF(AND('(橫掃)RX Mapping'!AH16&gt;=601,'(橫掃)RX Mapping'!AH16&lt;=720), (-1)*('(橫掃)RX Mapping'!AH16-720)+120,IF(AND('(橫掃)RX Mapping'!AH16&gt;=721,'(橫掃)RX Mapping'!AH16&lt;=840), ('(橫掃)RX Mapping'!AH16-601),IF(AND('(橫掃)RX Mapping'!AH16&gt;=841,'(橫掃)RX Mapping'!AH16&lt;=960), (-1)*('(橫掃)RX Mapping'!AH16-960)+120,9999))))))))</f>
        <v>9999</v>
      </c>
      <c r="AI16">
        <f>IF(AND('(橫掃)RX Mapping'!AI16&gt;=1,'(橫掃)RX Mapping'!AI16&lt;=120), ('(橫掃)RX Mapping'!AI16-1),IF(AND('(橫掃)RX Mapping'!AI16&gt;=121,'(橫掃)RX Mapping'!AI16&lt;=240), (-1)*('(橫掃)RX Mapping'!AI16-240),IF(AND('(橫掃)RX Mapping'!AI16&gt;=241,'(橫掃)RX Mapping'!AI16&lt;=360), ('(橫掃)RX Mapping'!AI16-241),IF(AND('(橫掃)RX Mapping'!AI16&gt;=361,'(橫掃)RX Mapping'!AI16&lt;=480), (-1)*('(橫掃)RX Mapping'!AI16-480),IF(AND('(橫掃)RX Mapping'!AI16&gt;=481,'(橫掃)RX Mapping'!AI16&lt;=600), ('(橫掃)RX Mapping'!AI16-361),IF(AND('(橫掃)RX Mapping'!AI16&gt;=601,'(橫掃)RX Mapping'!AI16&lt;=720), (-1)*('(橫掃)RX Mapping'!AI16-720)+120,IF(AND('(橫掃)RX Mapping'!AI16&gt;=721,'(橫掃)RX Mapping'!AI16&lt;=840), ('(橫掃)RX Mapping'!AI16-601),IF(AND('(橫掃)RX Mapping'!AI16&gt;=841,'(橫掃)RX Mapping'!AI16&lt;=960), (-1)*('(橫掃)RX Mapping'!AI16-960)+120,9999))))))))</f>
        <v>9999</v>
      </c>
      <c r="AJ16">
        <f>IF(AND('(橫掃)RX Mapping'!AJ16&gt;=1,'(橫掃)RX Mapping'!AJ16&lt;=120), ('(橫掃)RX Mapping'!AJ16-1),IF(AND('(橫掃)RX Mapping'!AJ16&gt;=121,'(橫掃)RX Mapping'!AJ16&lt;=240), (-1)*('(橫掃)RX Mapping'!AJ16-240),IF(AND('(橫掃)RX Mapping'!AJ16&gt;=241,'(橫掃)RX Mapping'!AJ16&lt;=360), ('(橫掃)RX Mapping'!AJ16-241),IF(AND('(橫掃)RX Mapping'!AJ16&gt;=361,'(橫掃)RX Mapping'!AJ16&lt;=480), (-1)*('(橫掃)RX Mapping'!AJ16-480),IF(AND('(橫掃)RX Mapping'!AJ16&gt;=481,'(橫掃)RX Mapping'!AJ16&lt;=600), ('(橫掃)RX Mapping'!AJ16-361),IF(AND('(橫掃)RX Mapping'!AJ16&gt;=601,'(橫掃)RX Mapping'!AJ16&lt;=720), (-1)*('(橫掃)RX Mapping'!AJ16-720)+120,IF(AND('(橫掃)RX Mapping'!AJ16&gt;=721,'(橫掃)RX Mapping'!AJ16&lt;=840), ('(橫掃)RX Mapping'!AJ16-601),IF(AND('(橫掃)RX Mapping'!AJ16&gt;=841,'(橫掃)RX Mapping'!AJ16&lt;=960), (-1)*('(橫掃)RX Mapping'!AJ16-960)+120,9999))))))))</f>
        <v>9999</v>
      </c>
      <c r="AK16">
        <f>IF(AND('(橫掃)RX Mapping'!AK16&gt;=1,'(橫掃)RX Mapping'!AK16&lt;=120), ('(橫掃)RX Mapping'!AK16-1),IF(AND('(橫掃)RX Mapping'!AK16&gt;=121,'(橫掃)RX Mapping'!AK16&lt;=240), (-1)*('(橫掃)RX Mapping'!AK16-240),IF(AND('(橫掃)RX Mapping'!AK16&gt;=241,'(橫掃)RX Mapping'!AK16&lt;=360), ('(橫掃)RX Mapping'!AK16-241),IF(AND('(橫掃)RX Mapping'!AK16&gt;=361,'(橫掃)RX Mapping'!AK16&lt;=480), (-1)*('(橫掃)RX Mapping'!AK16-480),IF(AND('(橫掃)RX Mapping'!AK16&gt;=481,'(橫掃)RX Mapping'!AK16&lt;=600), ('(橫掃)RX Mapping'!AK16-361),IF(AND('(橫掃)RX Mapping'!AK16&gt;=601,'(橫掃)RX Mapping'!AK16&lt;=720), (-1)*('(橫掃)RX Mapping'!AK16-720)+120,IF(AND('(橫掃)RX Mapping'!AK16&gt;=721,'(橫掃)RX Mapping'!AK16&lt;=840), ('(橫掃)RX Mapping'!AK16-601),IF(AND('(橫掃)RX Mapping'!AK16&gt;=841,'(橫掃)RX Mapping'!AK16&lt;=960), (-1)*('(橫掃)RX Mapping'!AK16-960)+120,9999))))))))</f>
        <v>9999</v>
      </c>
      <c r="AL16">
        <f>IF(AND('(橫掃)RX Mapping'!AL16&gt;=1,'(橫掃)RX Mapping'!AL16&lt;=120), ('(橫掃)RX Mapping'!AL16-1),IF(AND('(橫掃)RX Mapping'!AL16&gt;=121,'(橫掃)RX Mapping'!AL16&lt;=240), (-1)*('(橫掃)RX Mapping'!AL16-240),IF(AND('(橫掃)RX Mapping'!AL16&gt;=241,'(橫掃)RX Mapping'!AL16&lt;=360), ('(橫掃)RX Mapping'!AL16-241),IF(AND('(橫掃)RX Mapping'!AL16&gt;=361,'(橫掃)RX Mapping'!AL16&lt;=480), (-1)*('(橫掃)RX Mapping'!AL16-480),IF(AND('(橫掃)RX Mapping'!AL16&gt;=481,'(橫掃)RX Mapping'!AL16&lt;=600), ('(橫掃)RX Mapping'!AL16-361),IF(AND('(橫掃)RX Mapping'!AL16&gt;=601,'(橫掃)RX Mapping'!AL16&lt;=720), (-1)*('(橫掃)RX Mapping'!AL16-720)+120,IF(AND('(橫掃)RX Mapping'!AL16&gt;=721,'(橫掃)RX Mapping'!AL16&lt;=840), ('(橫掃)RX Mapping'!AL16-601),IF(AND('(橫掃)RX Mapping'!AL16&gt;=841,'(橫掃)RX Mapping'!AL16&lt;=960), (-1)*('(橫掃)RX Mapping'!AL16-960)+120,9999))))))))</f>
        <v>9999</v>
      </c>
      <c r="AM16">
        <f>IF(AND('(橫掃)RX Mapping'!AM16&gt;=1,'(橫掃)RX Mapping'!AM16&lt;=120), ('(橫掃)RX Mapping'!AM16-1),IF(AND('(橫掃)RX Mapping'!AM16&gt;=121,'(橫掃)RX Mapping'!AM16&lt;=240), (-1)*('(橫掃)RX Mapping'!AM16-240),IF(AND('(橫掃)RX Mapping'!AM16&gt;=241,'(橫掃)RX Mapping'!AM16&lt;=360), ('(橫掃)RX Mapping'!AM16-241),IF(AND('(橫掃)RX Mapping'!AM16&gt;=361,'(橫掃)RX Mapping'!AM16&lt;=480), (-1)*('(橫掃)RX Mapping'!AM16-480),IF(AND('(橫掃)RX Mapping'!AM16&gt;=481,'(橫掃)RX Mapping'!AM16&lt;=600), ('(橫掃)RX Mapping'!AM16-361),IF(AND('(橫掃)RX Mapping'!AM16&gt;=601,'(橫掃)RX Mapping'!AM16&lt;=720), (-1)*('(橫掃)RX Mapping'!AM16-720)+120,IF(AND('(橫掃)RX Mapping'!AM16&gt;=721,'(橫掃)RX Mapping'!AM16&lt;=840), ('(橫掃)RX Mapping'!AM16-601),IF(AND('(橫掃)RX Mapping'!AM16&gt;=841,'(橫掃)RX Mapping'!AM16&lt;=960), (-1)*('(橫掃)RX Mapping'!AM16-960)+120,9999))))))))</f>
        <v>9999</v>
      </c>
      <c r="AN16">
        <f>IF(AND('(橫掃)RX Mapping'!AN16&gt;=1,'(橫掃)RX Mapping'!AN16&lt;=120), ('(橫掃)RX Mapping'!AN16-1),IF(AND('(橫掃)RX Mapping'!AN16&gt;=121,'(橫掃)RX Mapping'!AN16&lt;=240), (-1)*('(橫掃)RX Mapping'!AN16-240),IF(AND('(橫掃)RX Mapping'!AN16&gt;=241,'(橫掃)RX Mapping'!AN16&lt;=360), ('(橫掃)RX Mapping'!AN16-241),IF(AND('(橫掃)RX Mapping'!AN16&gt;=361,'(橫掃)RX Mapping'!AN16&lt;=480), (-1)*('(橫掃)RX Mapping'!AN16-480),IF(AND('(橫掃)RX Mapping'!AN16&gt;=481,'(橫掃)RX Mapping'!AN16&lt;=600), ('(橫掃)RX Mapping'!AN16-361),IF(AND('(橫掃)RX Mapping'!AN16&gt;=601,'(橫掃)RX Mapping'!AN16&lt;=720), (-1)*('(橫掃)RX Mapping'!AN16-720)+120,IF(AND('(橫掃)RX Mapping'!AN16&gt;=721,'(橫掃)RX Mapping'!AN16&lt;=840), ('(橫掃)RX Mapping'!AN16-601),IF(AND('(橫掃)RX Mapping'!AN16&gt;=841,'(橫掃)RX Mapping'!AN16&lt;=960), (-1)*('(橫掃)RX Mapping'!AN16-960)+120,9999))))))))</f>
        <v>9999</v>
      </c>
      <c r="AO16">
        <f>IF(AND('(橫掃)RX Mapping'!AO16&gt;=1,'(橫掃)RX Mapping'!AO16&lt;=120), ('(橫掃)RX Mapping'!AO16-1),IF(AND('(橫掃)RX Mapping'!AO16&gt;=121,'(橫掃)RX Mapping'!AO16&lt;=240), (-1)*('(橫掃)RX Mapping'!AO16-240),IF(AND('(橫掃)RX Mapping'!AO16&gt;=241,'(橫掃)RX Mapping'!AO16&lt;=360), ('(橫掃)RX Mapping'!AO16-241),IF(AND('(橫掃)RX Mapping'!AO16&gt;=361,'(橫掃)RX Mapping'!AO16&lt;=480), (-1)*('(橫掃)RX Mapping'!AO16-480),IF(AND('(橫掃)RX Mapping'!AO16&gt;=481,'(橫掃)RX Mapping'!AO16&lt;=600), ('(橫掃)RX Mapping'!AO16-361),IF(AND('(橫掃)RX Mapping'!AO16&gt;=601,'(橫掃)RX Mapping'!AO16&lt;=720), (-1)*('(橫掃)RX Mapping'!AO16-720)+120,IF(AND('(橫掃)RX Mapping'!AO16&gt;=721,'(橫掃)RX Mapping'!AO16&lt;=840), ('(橫掃)RX Mapping'!AO16-601),IF(AND('(橫掃)RX Mapping'!AO16&gt;=841,'(橫掃)RX Mapping'!AO16&lt;=960), (-1)*('(橫掃)RX Mapping'!AO16-960)+120,9999))))))))</f>
        <v>9999</v>
      </c>
      <c r="AP16">
        <f>IF(AND('(橫掃)RX Mapping'!AP16&gt;=1,'(橫掃)RX Mapping'!AP16&lt;=120), ('(橫掃)RX Mapping'!AP16-1),IF(AND('(橫掃)RX Mapping'!AP16&gt;=121,'(橫掃)RX Mapping'!AP16&lt;=240), (-1)*('(橫掃)RX Mapping'!AP16-240),IF(AND('(橫掃)RX Mapping'!AP16&gt;=241,'(橫掃)RX Mapping'!AP16&lt;=360), ('(橫掃)RX Mapping'!AP16-241),IF(AND('(橫掃)RX Mapping'!AP16&gt;=361,'(橫掃)RX Mapping'!AP16&lt;=480), (-1)*('(橫掃)RX Mapping'!AP16-480),IF(AND('(橫掃)RX Mapping'!AP16&gt;=481,'(橫掃)RX Mapping'!AP16&lt;=600), ('(橫掃)RX Mapping'!AP16-361),IF(AND('(橫掃)RX Mapping'!AP16&gt;=601,'(橫掃)RX Mapping'!AP16&lt;=720), (-1)*('(橫掃)RX Mapping'!AP16-720)+120,IF(AND('(橫掃)RX Mapping'!AP16&gt;=721,'(橫掃)RX Mapping'!AP16&lt;=840), ('(橫掃)RX Mapping'!AP16-601),IF(AND('(橫掃)RX Mapping'!AP16&gt;=841,'(橫掃)RX Mapping'!AP16&lt;=960), (-1)*('(橫掃)RX Mapping'!AP16-960)+120,9999))))))))</f>
        <v>9999</v>
      </c>
      <c r="AQ16">
        <f>IF(AND('(橫掃)RX Mapping'!AQ16&gt;=1,'(橫掃)RX Mapping'!AQ16&lt;=120), ('(橫掃)RX Mapping'!AQ16-1),IF(AND('(橫掃)RX Mapping'!AQ16&gt;=121,'(橫掃)RX Mapping'!AQ16&lt;=240), (-1)*('(橫掃)RX Mapping'!AQ16-240),IF(AND('(橫掃)RX Mapping'!AQ16&gt;=241,'(橫掃)RX Mapping'!AQ16&lt;=360), ('(橫掃)RX Mapping'!AQ16-241),IF(AND('(橫掃)RX Mapping'!AQ16&gt;=361,'(橫掃)RX Mapping'!AQ16&lt;=480), (-1)*('(橫掃)RX Mapping'!AQ16-480),IF(AND('(橫掃)RX Mapping'!AQ16&gt;=481,'(橫掃)RX Mapping'!AQ16&lt;=600), ('(橫掃)RX Mapping'!AQ16-361),IF(AND('(橫掃)RX Mapping'!AQ16&gt;=601,'(橫掃)RX Mapping'!AQ16&lt;=720), (-1)*('(橫掃)RX Mapping'!AQ16-720)+120,IF(AND('(橫掃)RX Mapping'!AQ16&gt;=721,'(橫掃)RX Mapping'!AQ16&lt;=840), ('(橫掃)RX Mapping'!AQ16-601),IF(AND('(橫掃)RX Mapping'!AQ16&gt;=841,'(橫掃)RX Mapping'!AQ16&lt;=960), (-1)*('(橫掃)RX Mapping'!AQ16-960)+120,9999))))))))</f>
        <v>9999</v>
      </c>
      <c r="AR16">
        <f>IF(AND('(橫掃)RX Mapping'!AR16&gt;=1,'(橫掃)RX Mapping'!AR16&lt;=120), ('(橫掃)RX Mapping'!AR16-1),IF(AND('(橫掃)RX Mapping'!AR16&gt;=121,'(橫掃)RX Mapping'!AR16&lt;=240), (-1)*('(橫掃)RX Mapping'!AR16-240),IF(AND('(橫掃)RX Mapping'!AR16&gt;=241,'(橫掃)RX Mapping'!AR16&lt;=360), ('(橫掃)RX Mapping'!AR16-241),IF(AND('(橫掃)RX Mapping'!AR16&gt;=361,'(橫掃)RX Mapping'!AR16&lt;=480), (-1)*('(橫掃)RX Mapping'!AR16-480),IF(AND('(橫掃)RX Mapping'!AR16&gt;=481,'(橫掃)RX Mapping'!AR16&lt;=600), ('(橫掃)RX Mapping'!AR16-361),IF(AND('(橫掃)RX Mapping'!AR16&gt;=601,'(橫掃)RX Mapping'!AR16&lt;=720), (-1)*('(橫掃)RX Mapping'!AR16-720)+120,IF(AND('(橫掃)RX Mapping'!AR16&gt;=721,'(橫掃)RX Mapping'!AR16&lt;=840), ('(橫掃)RX Mapping'!AR16-601),IF(AND('(橫掃)RX Mapping'!AR16&gt;=841,'(橫掃)RX Mapping'!AR16&lt;=960), (-1)*('(橫掃)RX Mapping'!AR16-960)+120,9999))))))))</f>
        <v>9999</v>
      </c>
      <c r="AS16">
        <f>IF(AND('(橫掃)RX Mapping'!AS16&gt;=1,'(橫掃)RX Mapping'!AS16&lt;=120), ('(橫掃)RX Mapping'!AS16-1),IF(AND('(橫掃)RX Mapping'!AS16&gt;=121,'(橫掃)RX Mapping'!AS16&lt;=240), (-1)*('(橫掃)RX Mapping'!AS16-240),IF(AND('(橫掃)RX Mapping'!AS16&gt;=241,'(橫掃)RX Mapping'!AS16&lt;=360), ('(橫掃)RX Mapping'!AS16-241),IF(AND('(橫掃)RX Mapping'!AS16&gt;=361,'(橫掃)RX Mapping'!AS16&lt;=480), (-1)*('(橫掃)RX Mapping'!AS16-480),IF(AND('(橫掃)RX Mapping'!AS16&gt;=481,'(橫掃)RX Mapping'!AS16&lt;=600), ('(橫掃)RX Mapping'!AS16-361),IF(AND('(橫掃)RX Mapping'!AS16&gt;=601,'(橫掃)RX Mapping'!AS16&lt;=720), (-1)*('(橫掃)RX Mapping'!AS16-720)+120,IF(AND('(橫掃)RX Mapping'!AS16&gt;=721,'(橫掃)RX Mapping'!AS16&lt;=840), ('(橫掃)RX Mapping'!AS16-601),IF(AND('(橫掃)RX Mapping'!AS16&gt;=841,'(橫掃)RX Mapping'!AS16&lt;=960), (-1)*('(橫掃)RX Mapping'!AS16-960)+120,9999))))))))</f>
        <v>9999</v>
      </c>
      <c r="AT16">
        <f>IF(AND('(橫掃)RX Mapping'!AT16&gt;=1,'(橫掃)RX Mapping'!AT16&lt;=120), ('(橫掃)RX Mapping'!AT16-1),IF(AND('(橫掃)RX Mapping'!AT16&gt;=121,'(橫掃)RX Mapping'!AT16&lt;=240), (-1)*('(橫掃)RX Mapping'!AT16-240),IF(AND('(橫掃)RX Mapping'!AT16&gt;=241,'(橫掃)RX Mapping'!AT16&lt;=360), ('(橫掃)RX Mapping'!AT16-241),IF(AND('(橫掃)RX Mapping'!AT16&gt;=361,'(橫掃)RX Mapping'!AT16&lt;=480), (-1)*('(橫掃)RX Mapping'!AT16-480),IF(AND('(橫掃)RX Mapping'!AT16&gt;=481,'(橫掃)RX Mapping'!AT16&lt;=600), ('(橫掃)RX Mapping'!AT16-361),IF(AND('(橫掃)RX Mapping'!AT16&gt;=601,'(橫掃)RX Mapping'!AT16&lt;=720), (-1)*('(橫掃)RX Mapping'!AT16-720)+120,IF(AND('(橫掃)RX Mapping'!AT16&gt;=721,'(橫掃)RX Mapping'!AT16&lt;=840), ('(橫掃)RX Mapping'!AT16-601),IF(AND('(橫掃)RX Mapping'!AT16&gt;=841,'(橫掃)RX Mapping'!AT16&lt;=960), (-1)*('(橫掃)RX Mapping'!AT16-960)+120,9999))))))))</f>
        <v>9999</v>
      </c>
      <c r="AU16">
        <f>IF(AND('(橫掃)RX Mapping'!AU16&gt;=1,'(橫掃)RX Mapping'!AU16&lt;=120), ('(橫掃)RX Mapping'!AU16-1),IF(AND('(橫掃)RX Mapping'!AU16&gt;=121,'(橫掃)RX Mapping'!AU16&lt;=240), (-1)*('(橫掃)RX Mapping'!AU16-240),IF(AND('(橫掃)RX Mapping'!AU16&gt;=241,'(橫掃)RX Mapping'!AU16&lt;=360), ('(橫掃)RX Mapping'!AU16-241),IF(AND('(橫掃)RX Mapping'!AU16&gt;=361,'(橫掃)RX Mapping'!AU16&lt;=480), (-1)*('(橫掃)RX Mapping'!AU16-480),IF(AND('(橫掃)RX Mapping'!AU16&gt;=481,'(橫掃)RX Mapping'!AU16&lt;=600), ('(橫掃)RX Mapping'!AU16-361),IF(AND('(橫掃)RX Mapping'!AU16&gt;=601,'(橫掃)RX Mapping'!AU16&lt;=720), (-1)*('(橫掃)RX Mapping'!AU16-720)+120,IF(AND('(橫掃)RX Mapping'!AU16&gt;=721,'(橫掃)RX Mapping'!AU16&lt;=840), ('(橫掃)RX Mapping'!AU16-601),IF(AND('(橫掃)RX Mapping'!AU16&gt;=841,'(橫掃)RX Mapping'!AU16&lt;=960), (-1)*('(橫掃)RX Mapping'!AU16-960)+120,9999))))))))</f>
        <v>9999</v>
      </c>
      <c r="AV16">
        <f>IF(AND('(橫掃)RX Mapping'!AV16&gt;=1,'(橫掃)RX Mapping'!AV16&lt;=120), ('(橫掃)RX Mapping'!AV16-1),IF(AND('(橫掃)RX Mapping'!AV16&gt;=121,'(橫掃)RX Mapping'!AV16&lt;=240), (-1)*('(橫掃)RX Mapping'!AV16-240),IF(AND('(橫掃)RX Mapping'!AV16&gt;=241,'(橫掃)RX Mapping'!AV16&lt;=360), ('(橫掃)RX Mapping'!AV16-241),IF(AND('(橫掃)RX Mapping'!AV16&gt;=361,'(橫掃)RX Mapping'!AV16&lt;=480), (-1)*('(橫掃)RX Mapping'!AV16-480),IF(AND('(橫掃)RX Mapping'!AV16&gt;=481,'(橫掃)RX Mapping'!AV16&lt;=600), ('(橫掃)RX Mapping'!AV16-361),IF(AND('(橫掃)RX Mapping'!AV16&gt;=601,'(橫掃)RX Mapping'!AV16&lt;=720), (-1)*('(橫掃)RX Mapping'!AV16-720)+120,IF(AND('(橫掃)RX Mapping'!AV16&gt;=721,'(橫掃)RX Mapping'!AV16&lt;=840), ('(橫掃)RX Mapping'!AV16-601),IF(AND('(橫掃)RX Mapping'!AV16&gt;=841,'(橫掃)RX Mapping'!AV16&lt;=960), (-1)*('(橫掃)RX Mapping'!AV16-960)+120,9999))))))))</f>
        <v>9999</v>
      </c>
      <c r="AW16">
        <f>IF(AND('(橫掃)RX Mapping'!AW16&gt;=1,'(橫掃)RX Mapping'!AW16&lt;=120), ('(橫掃)RX Mapping'!AW16-1),IF(AND('(橫掃)RX Mapping'!AW16&gt;=121,'(橫掃)RX Mapping'!AW16&lt;=240), (-1)*('(橫掃)RX Mapping'!AW16-240),IF(AND('(橫掃)RX Mapping'!AW16&gt;=241,'(橫掃)RX Mapping'!AW16&lt;=360), ('(橫掃)RX Mapping'!AW16-241),IF(AND('(橫掃)RX Mapping'!AW16&gt;=361,'(橫掃)RX Mapping'!AW16&lt;=480), (-1)*('(橫掃)RX Mapping'!AW16-480),IF(AND('(橫掃)RX Mapping'!AW16&gt;=481,'(橫掃)RX Mapping'!AW16&lt;=600), ('(橫掃)RX Mapping'!AW16-361),IF(AND('(橫掃)RX Mapping'!AW16&gt;=601,'(橫掃)RX Mapping'!AW16&lt;=720), (-1)*('(橫掃)RX Mapping'!AW16-720)+120,IF(AND('(橫掃)RX Mapping'!AW16&gt;=721,'(橫掃)RX Mapping'!AW16&lt;=840), ('(橫掃)RX Mapping'!AW16-601),IF(AND('(橫掃)RX Mapping'!AW16&gt;=841,'(橫掃)RX Mapping'!AW16&lt;=960), (-1)*('(橫掃)RX Mapping'!AW16-960)+120,9999))))))))</f>
        <v>9999</v>
      </c>
      <c r="AX16">
        <f>IF(AND('(橫掃)RX Mapping'!AX16&gt;=1,'(橫掃)RX Mapping'!AX16&lt;=120), ('(橫掃)RX Mapping'!AX16-1),IF(AND('(橫掃)RX Mapping'!AX16&gt;=121,'(橫掃)RX Mapping'!AX16&lt;=240), (-1)*('(橫掃)RX Mapping'!AX16-240),IF(AND('(橫掃)RX Mapping'!AX16&gt;=241,'(橫掃)RX Mapping'!AX16&lt;=360), ('(橫掃)RX Mapping'!AX16-241),IF(AND('(橫掃)RX Mapping'!AX16&gt;=361,'(橫掃)RX Mapping'!AX16&lt;=480), (-1)*('(橫掃)RX Mapping'!AX16-480),IF(AND('(橫掃)RX Mapping'!AX16&gt;=481,'(橫掃)RX Mapping'!AX16&lt;=600), ('(橫掃)RX Mapping'!AX16-361),IF(AND('(橫掃)RX Mapping'!AX16&gt;=601,'(橫掃)RX Mapping'!AX16&lt;=720), (-1)*('(橫掃)RX Mapping'!AX16-720)+120,IF(AND('(橫掃)RX Mapping'!AX16&gt;=721,'(橫掃)RX Mapping'!AX16&lt;=840), ('(橫掃)RX Mapping'!AX16-601),IF(AND('(橫掃)RX Mapping'!AX16&gt;=841,'(橫掃)RX Mapping'!AX16&lt;=960), (-1)*('(橫掃)RX Mapping'!AX16-960)+120,9999))))))))</f>
        <v>9999</v>
      </c>
      <c r="AY16">
        <f>IF(AND('(橫掃)RX Mapping'!AY16&gt;=1,'(橫掃)RX Mapping'!AY16&lt;=120), ('(橫掃)RX Mapping'!AY16-1),IF(AND('(橫掃)RX Mapping'!AY16&gt;=121,'(橫掃)RX Mapping'!AY16&lt;=240), (-1)*('(橫掃)RX Mapping'!AY16-240),IF(AND('(橫掃)RX Mapping'!AY16&gt;=241,'(橫掃)RX Mapping'!AY16&lt;=360), ('(橫掃)RX Mapping'!AY16-241),IF(AND('(橫掃)RX Mapping'!AY16&gt;=361,'(橫掃)RX Mapping'!AY16&lt;=480), (-1)*('(橫掃)RX Mapping'!AY16-480),IF(AND('(橫掃)RX Mapping'!AY16&gt;=481,'(橫掃)RX Mapping'!AY16&lt;=600), ('(橫掃)RX Mapping'!AY16-361),IF(AND('(橫掃)RX Mapping'!AY16&gt;=601,'(橫掃)RX Mapping'!AY16&lt;=720), (-1)*('(橫掃)RX Mapping'!AY16-720)+120,IF(AND('(橫掃)RX Mapping'!AY16&gt;=721,'(橫掃)RX Mapping'!AY16&lt;=840), ('(橫掃)RX Mapping'!AY16-601),IF(AND('(橫掃)RX Mapping'!AY16&gt;=841,'(橫掃)RX Mapping'!AY16&lt;=960), (-1)*('(橫掃)RX Mapping'!AY16-960)+120,9999))))))))</f>
        <v>9999</v>
      </c>
      <c r="AZ16">
        <f>IF(AND('(橫掃)RX Mapping'!AZ16&gt;=1,'(橫掃)RX Mapping'!AZ16&lt;=120), ('(橫掃)RX Mapping'!AZ16-1),IF(AND('(橫掃)RX Mapping'!AZ16&gt;=121,'(橫掃)RX Mapping'!AZ16&lt;=240), (-1)*('(橫掃)RX Mapping'!AZ16-240),IF(AND('(橫掃)RX Mapping'!AZ16&gt;=241,'(橫掃)RX Mapping'!AZ16&lt;=360), ('(橫掃)RX Mapping'!AZ16-241),IF(AND('(橫掃)RX Mapping'!AZ16&gt;=361,'(橫掃)RX Mapping'!AZ16&lt;=480), (-1)*('(橫掃)RX Mapping'!AZ16-480),IF(AND('(橫掃)RX Mapping'!AZ16&gt;=481,'(橫掃)RX Mapping'!AZ16&lt;=600), ('(橫掃)RX Mapping'!AZ16-361),IF(AND('(橫掃)RX Mapping'!AZ16&gt;=601,'(橫掃)RX Mapping'!AZ16&lt;=720), (-1)*('(橫掃)RX Mapping'!AZ16-720)+120,IF(AND('(橫掃)RX Mapping'!AZ16&gt;=721,'(橫掃)RX Mapping'!AZ16&lt;=840), ('(橫掃)RX Mapping'!AZ16-601),IF(AND('(橫掃)RX Mapping'!AZ16&gt;=841,'(橫掃)RX Mapping'!AZ16&lt;=960), (-1)*('(橫掃)RX Mapping'!AZ16-960)+120,9999))))))))</f>
        <v>9999</v>
      </c>
      <c r="BA16">
        <f>IF(AND('(橫掃)RX Mapping'!BA16&gt;=1,'(橫掃)RX Mapping'!BA16&lt;=120), ('(橫掃)RX Mapping'!BA16-1),IF(AND('(橫掃)RX Mapping'!BA16&gt;=121,'(橫掃)RX Mapping'!BA16&lt;=240), (-1)*('(橫掃)RX Mapping'!BA16-240),IF(AND('(橫掃)RX Mapping'!BA16&gt;=241,'(橫掃)RX Mapping'!BA16&lt;=360), ('(橫掃)RX Mapping'!BA16-241),IF(AND('(橫掃)RX Mapping'!BA16&gt;=361,'(橫掃)RX Mapping'!BA16&lt;=480), (-1)*('(橫掃)RX Mapping'!BA16-480),IF(AND('(橫掃)RX Mapping'!BA16&gt;=481,'(橫掃)RX Mapping'!BA16&lt;=600), ('(橫掃)RX Mapping'!BA16-361),IF(AND('(橫掃)RX Mapping'!BA16&gt;=601,'(橫掃)RX Mapping'!BA16&lt;=720), (-1)*('(橫掃)RX Mapping'!BA16-720)+120,IF(AND('(橫掃)RX Mapping'!BA16&gt;=721,'(橫掃)RX Mapping'!BA16&lt;=840), ('(橫掃)RX Mapping'!BA16-601),IF(AND('(橫掃)RX Mapping'!BA16&gt;=841,'(橫掃)RX Mapping'!BA16&lt;=960), (-1)*('(橫掃)RX Mapping'!BA16-960)+120,9999))))))))</f>
        <v>9999</v>
      </c>
      <c r="BB16">
        <f>IF(AND('(橫掃)RX Mapping'!BB16&gt;=1,'(橫掃)RX Mapping'!BB16&lt;=120), ('(橫掃)RX Mapping'!BB16-1),IF(AND('(橫掃)RX Mapping'!BB16&gt;=121,'(橫掃)RX Mapping'!BB16&lt;=240), (-1)*('(橫掃)RX Mapping'!BB16-240),IF(AND('(橫掃)RX Mapping'!BB16&gt;=241,'(橫掃)RX Mapping'!BB16&lt;=360), ('(橫掃)RX Mapping'!BB16-241),IF(AND('(橫掃)RX Mapping'!BB16&gt;=361,'(橫掃)RX Mapping'!BB16&lt;=480), (-1)*('(橫掃)RX Mapping'!BB16-480),IF(AND('(橫掃)RX Mapping'!BB16&gt;=481,'(橫掃)RX Mapping'!BB16&lt;=600), ('(橫掃)RX Mapping'!BB16-361),IF(AND('(橫掃)RX Mapping'!BB16&gt;=601,'(橫掃)RX Mapping'!BB16&lt;=720), (-1)*('(橫掃)RX Mapping'!BB16-720)+120,IF(AND('(橫掃)RX Mapping'!BB16&gt;=721,'(橫掃)RX Mapping'!BB16&lt;=840), ('(橫掃)RX Mapping'!BB16-601),IF(AND('(橫掃)RX Mapping'!BB16&gt;=841,'(橫掃)RX Mapping'!BB16&lt;=960), (-1)*('(橫掃)RX Mapping'!BB16-960)+120,9999))))))))</f>
        <v>9999</v>
      </c>
      <c r="BC16">
        <f>IF(AND('(橫掃)RX Mapping'!BC16&gt;=1,'(橫掃)RX Mapping'!BC16&lt;=120), ('(橫掃)RX Mapping'!BC16-1),IF(AND('(橫掃)RX Mapping'!BC16&gt;=121,'(橫掃)RX Mapping'!BC16&lt;=240), (-1)*('(橫掃)RX Mapping'!BC16-240),IF(AND('(橫掃)RX Mapping'!BC16&gt;=241,'(橫掃)RX Mapping'!BC16&lt;=360), ('(橫掃)RX Mapping'!BC16-241),IF(AND('(橫掃)RX Mapping'!BC16&gt;=361,'(橫掃)RX Mapping'!BC16&lt;=480), (-1)*('(橫掃)RX Mapping'!BC16-480),IF(AND('(橫掃)RX Mapping'!BC16&gt;=481,'(橫掃)RX Mapping'!BC16&lt;=600), ('(橫掃)RX Mapping'!BC16-361),IF(AND('(橫掃)RX Mapping'!BC16&gt;=601,'(橫掃)RX Mapping'!BC16&lt;=720), (-1)*('(橫掃)RX Mapping'!BC16-720)+120,IF(AND('(橫掃)RX Mapping'!BC16&gt;=721,'(橫掃)RX Mapping'!BC16&lt;=840), ('(橫掃)RX Mapping'!BC16-601),IF(AND('(橫掃)RX Mapping'!BC16&gt;=841,'(橫掃)RX Mapping'!BC16&lt;=960), (-1)*('(橫掃)RX Mapping'!BC16-960)+120,9999))))))))</f>
        <v>9999</v>
      </c>
      <c r="BD16">
        <f>IF(AND('(橫掃)RX Mapping'!BD16&gt;=1,'(橫掃)RX Mapping'!BD16&lt;=120), ('(橫掃)RX Mapping'!BD16-1),IF(AND('(橫掃)RX Mapping'!BD16&gt;=121,'(橫掃)RX Mapping'!BD16&lt;=240), (-1)*('(橫掃)RX Mapping'!BD16-240),IF(AND('(橫掃)RX Mapping'!BD16&gt;=241,'(橫掃)RX Mapping'!BD16&lt;=360), ('(橫掃)RX Mapping'!BD16-241),IF(AND('(橫掃)RX Mapping'!BD16&gt;=361,'(橫掃)RX Mapping'!BD16&lt;=480), (-1)*('(橫掃)RX Mapping'!BD16-480),IF(AND('(橫掃)RX Mapping'!BD16&gt;=481,'(橫掃)RX Mapping'!BD16&lt;=600), ('(橫掃)RX Mapping'!BD16-361),IF(AND('(橫掃)RX Mapping'!BD16&gt;=601,'(橫掃)RX Mapping'!BD16&lt;=720), (-1)*('(橫掃)RX Mapping'!BD16-720)+120,IF(AND('(橫掃)RX Mapping'!BD16&gt;=721,'(橫掃)RX Mapping'!BD16&lt;=840), ('(橫掃)RX Mapping'!BD16-601),IF(AND('(橫掃)RX Mapping'!BD16&gt;=841,'(橫掃)RX Mapping'!BD16&lt;=960), (-1)*('(橫掃)RX Mapping'!BD16-960)+120,9999))))))))</f>
        <v>9999</v>
      </c>
      <c r="BE16">
        <f>IF(AND('(橫掃)RX Mapping'!BE16&gt;=1,'(橫掃)RX Mapping'!BE16&lt;=120), ('(橫掃)RX Mapping'!BE16-1),IF(AND('(橫掃)RX Mapping'!BE16&gt;=121,'(橫掃)RX Mapping'!BE16&lt;=240), (-1)*('(橫掃)RX Mapping'!BE16-240),IF(AND('(橫掃)RX Mapping'!BE16&gt;=241,'(橫掃)RX Mapping'!BE16&lt;=360), ('(橫掃)RX Mapping'!BE16-241),IF(AND('(橫掃)RX Mapping'!BE16&gt;=361,'(橫掃)RX Mapping'!BE16&lt;=480), (-1)*('(橫掃)RX Mapping'!BE16-480),IF(AND('(橫掃)RX Mapping'!BE16&gt;=481,'(橫掃)RX Mapping'!BE16&lt;=600), ('(橫掃)RX Mapping'!BE16-361),IF(AND('(橫掃)RX Mapping'!BE16&gt;=601,'(橫掃)RX Mapping'!BE16&lt;=720), (-1)*('(橫掃)RX Mapping'!BE16-720)+120,IF(AND('(橫掃)RX Mapping'!BE16&gt;=721,'(橫掃)RX Mapping'!BE16&lt;=840), ('(橫掃)RX Mapping'!BE16-601),IF(AND('(橫掃)RX Mapping'!BE16&gt;=841,'(橫掃)RX Mapping'!BE16&lt;=960), (-1)*('(橫掃)RX Mapping'!BE16-960)+120,9999))))))))</f>
        <v>9999</v>
      </c>
      <c r="BF16">
        <f>IF(AND('(橫掃)RX Mapping'!BF16&gt;=1,'(橫掃)RX Mapping'!BF16&lt;=120), ('(橫掃)RX Mapping'!BF16-1),IF(AND('(橫掃)RX Mapping'!BF16&gt;=121,'(橫掃)RX Mapping'!BF16&lt;=240), (-1)*('(橫掃)RX Mapping'!BF16-240),IF(AND('(橫掃)RX Mapping'!BF16&gt;=241,'(橫掃)RX Mapping'!BF16&lt;=360), ('(橫掃)RX Mapping'!BF16-241),IF(AND('(橫掃)RX Mapping'!BF16&gt;=361,'(橫掃)RX Mapping'!BF16&lt;=480), (-1)*('(橫掃)RX Mapping'!BF16-480),IF(AND('(橫掃)RX Mapping'!BF16&gt;=481,'(橫掃)RX Mapping'!BF16&lt;=600), ('(橫掃)RX Mapping'!BF16-361),IF(AND('(橫掃)RX Mapping'!BF16&gt;=601,'(橫掃)RX Mapping'!BF16&lt;=720), (-1)*('(橫掃)RX Mapping'!BF16-720)+120,IF(AND('(橫掃)RX Mapping'!BF16&gt;=721,'(橫掃)RX Mapping'!BF16&lt;=840), ('(橫掃)RX Mapping'!BF16-601),IF(AND('(橫掃)RX Mapping'!BF16&gt;=841,'(橫掃)RX Mapping'!BF16&lt;=960), (-1)*('(橫掃)RX Mapping'!BF16-960)+120,9999))))))))</f>
        <v>9999</v>
      </c>
      <c r="BG16">
        <f>IF(AND('(橫掃)RX Mapping'!BG16&gt;=1,'(橫掃)RX Mapping'!BG16&lt;=120), ('(橫掃)RX Mapping'!BG16-1),IF(AND('(橫掃)RX Mapping'!BG16&gt;=121,'(橫掃)RX Mapping'!BG16&lt;=240), (-1)*('(橫掃)RX Mapping'!BG16-240),IF(AND('(橫掃)RX Mapping'!BG16&gt;=241,'(橫掃)RX Mapping'!BG16&lt;=360), ('(橫掃)RX Mapping'!BG16-241),IF(AND('(橫掃)RX Mapping'!BG16&gt;=361,'(橫掃)RX Mapping'!BG16&lt;=480), (-1)*('(橫掃)RX Mapping'!BG16-480),IF(AND('(橫掃)RX Mapping'!BG16&gt;=481,'(橫掃)RX Mapping'!BG16&lt;=600), ('(橫掃)RX Mapping'!BG16-361),IF(AND('(橫掃)RX Mapping'!BG16&gt;=601,'(橫掃)RX Mapping'!BG16&lt;=720), (-1)*('(橫掃)RX Mapping'!BG16-720)+120,IF(AND('(橫掃)RX Mapping'!BG16&gt;=721,'(橫掃)RX Mapping'!BG16&lt;=840), ('(橫掃)RX Mapping'!BG16-601),IF(AND('(橫掃)RX Mapping'!BG16&gt;=841,'(橫掃)RX Mapping'!BG16&lt;=960), (-1)*('(橫掃)RX Mapping'!BG16-960)+120,9999))))))))</f>
        <v>9999</v>
      </c>
      <c r="BH16">
        <f>IF(AND('(橫掃)RX Mapping'!BH16&gt;=1,'(橫掃)RX Mapping'!BH16&lt;=120), ('(橫掃)RX Mapping'!BH16-1),IF(AND('(橫掃)RX Mapping'!BH16&gt;=121,'(橫掃)RX Mapping'!BH16&lt;=240), (-1)*('(橫掃)RX Mapping'!BH16-240),IF(AND('(橫掃)RX Mapping'!BH16&gt;=241,'(橫掃)RX Mapping'!BH16&lt;=360), ('(橫掃)RX Mapping'!BH16-241),IF(AND('(橫掃)RX Mapping'!BH16&gt;=361,'(橫掃)RX Mapping'!BH16&lt;=480), (-1)*('(橫掃)RX Mapping'!BH16-480),IF(AND('(橫掃)RX Mapping'!BH16&gt;=481,'(橫掃)RX Mapping'!BH16&lt;=600), ('(橫掃)RX Mapping'!BH16-361),IF(AND('(橫掃)RX Mapping'!BH16&gt;=601,'(橫掃)RX Mapping'!BH16&lt;=720), (-1)*('(橫掃)RX Mapping'!BH16-720)+120,IF(AND('(橫掃)RX Mapping'!BH16&gt;=721,'(橫掃)RX Mapping'!BH16&lt;=840), ('(橫掃)RX Mapping'!BH16-601),IF(AND('(橫掃)RX Mapping'!BH16&gt;=841,'(橫掃)RX Mapping'!BH16&lt;=960), (-1)*('(橫掃)RX Mapping'!BH16-960)+120,9999))))))))</f>
        <v>9999</v>
      </c>
      <c r="BI16">
        <f>IF(AND('(橫掃)RX Mapping'!BI16&gt;=1,'(橫掃)RX Mapping'!BI16&lt;=120), ('(橫掃)RX Mapping'!BI16-1),IF(AND('(橫掃)RX Mapping'!BI16&gt;=121,'(橫掃)RX Mapping'!BI16&lt;=240), (-1)*('(橫掃)RX Mapping'!BI16-240),IF(AND('(橫掃)RX Mapping'!BI16&gt;=241,'(橫掃)RX Mapping'!BI16&lt;=360), ('(橫掃)RX Mapping'!BI16-241),IF(AND('(橫掃)RX Mapping'!BI16&gt;=361,'(橫掃)RX Mapping'!BI16&lt;=480), (-1)*('(橫掃)RX Mapping'!BI16-480),IF(AND('(橫掃)RX Mapping'!BI16&gt;=481,'(橫掃)RX Mapping'!BI16&lt;=600), ('(橫掃)RX Mapping'!BI16-361),IF(AND('(橫掃)RX Mapping'!BI16&gt;=601,'(橫掃)RX Mapping'!BI16&lt;=720), (-1)*('(橫掃)RX Mapping'!BI16-720)+120,IF(AND('(橫掃)RX Mapping'!BI16&gt;=721,'(橫掃)RX Mapping'!BI16&lt;=840), ('(橫掃)RX Mapping'!BI16-601),IF(AND('(橫掃)RX Mapping'!BI16&gt;=841,'(橫掃)RX Mapping'!BI16&lt;=960), (-1)*('(橫掃)RX Mapping'!BI16-960)+120,9999))))))))</f>
        <v>9999</v>
      </c>
    </row>
    <row r="17" spans="1:61" x14ac:dyDescent="0.25">
      <c r="A17" s="20">
        <v>16</v>
      </c>
      <c r="B17">
        <f>IF(AND('(橫掃)RX Mapping'!B17&gt;=1,'(橫掃)RX Mapping'!B17&lt;=120), ('(橫掃)RX Mapping'!B17-1),IF(AND('(橫掃)RX Mapping'!B17&gt;=121,'(橫掃)RX Mapping'!B17&lt;=240), (-1)*('(橫掃)RX Mapping'!B17-240),IF(AND('(橫掃)RX Mapping'!B17&gt;=241,'(橫掃)RX Mapping'!B17&lt;=360), ('(橫掃)RX Mapping'!B17-241),IF(AND('(橫掃)RX Mapping'!B17&gt;=361,'(橫掃)RX Mapping'!B17&lt;=480), (-1)*('(橫掃)RX Mapping'!B17-480),IF(AND('(橫掃)RX Mapping'!B17&gt;=481,'(橫掃)RX Mapping'!B17&lt;=600), ('(橫掃)RX Mapping'!B17-361),IF(AND('(橫掃)RX Mapping'!B17&gt;=601,'(橫掃)RX Mapping'!B17&lt;=720), (-1)*('(橫掃)RX Mapping'!B17-720)+120,IF(AND('(橫掃)RX Mapping'!B17&gt;=721,'(橫掃)RX Mapping'!B17&lt;=840), ('(橫掃)RX Mapping'!B17-601),IF(AND('(橫掃)RX Mapping'!B17&gt;=841,'(橫掃)RX Mapping'!B17&lt;=960), (-1)*('(橫掃)RX Mapping'!B17-960)+120,9999))))))))</f>
        <v>15</v>
      </c>
      <c r="C17">
        <f>IF(AND('(橫掃)RX Mapping'!C17&gt;=1,'(橫掃)RX Mapping'!C17&lt;=120), ('(橫掃)RX Mapping'!C17-1),IF(AND('(橫掃)RX Mapping'!C17&gt;=121,'(橫掃)RX Mapping'!C17&lt;=240), (-1)*('(橫掃)RX Mapping'!C17-240),IF(AND('(橫掃)RX Mapping'!C17&gt;=241,'(橫掃)RX Mapping'!C17&lt;=360), ('(橫掃)RX Mapping'!C17-241),IF(AND('(橫掃)RX Mapping'!C17&gt;=361,'(橫掃)RX Mapping'!C17&lt;=480), (-1)*('(橫掃)RX Mapping'!C17-480),IF(AND('(橫掃)RX Mapping'!C17&gt;=481,'(橫掃)RX Mapping'!C17&lt;=600), ('(橫掃)RX Mapping'!C17-361),IF(AND('(橫掃)RX Mapping'!C17&gt;=601,'(橫掃)RX Mapping'!C17&lt;=720), (-1)*('(橫掃)RX Mapping'!C17-720)+120,IF(AND('(橫掃)RX Mapping'!C17&gt;=721,'(橫掃)RX Mapping'!C17&lt;=840), ('(橫掃)RX Mapping'!C17-601),IF(AND('(橫掃)RX Mapping'!C17&gt;=841,'(橫掃)RX Mapping'!C17&lt;=960), (-1)*('(橫掃)RX Mapping'!C17-960)+120,9999))))))))</f>
        <v>47</v>
      </c>
      <c r="D17">
        <f>IF(AND('(橫掃)RX Mapping'!D17&gt;=1,'(橫掃)RX Mapping'!D17&lt;=120), ('(橫掃)RX Mapping'!D17-1),IF(AND('(橫掃)RX Mapping'!D17&gt;=121,'(橫掃)RX Mapping'!D17&lt;=240), (-1)*('(橫掃)RX Mapping'!D17-240),IF(AND('(橫掃)RX Mapping'!D17&gt;=241,'(橫掃)RX Mapping'!D17&lt;=360), ('(橫掃)RX Mapping'!D17-241),IF(AND('(橫掃)RX Mapping'!D17&gt;=361,'(橫掃)RX Mapping'!D17&lt;=480), (-1)*('(橫掃)RX Mapping'!D17-480),IF(AND('(橫掃)RX Mapping'!D17&gt;=481,'(橫掃)RX Mapping'!D17&lt;=600), ('(橫掃)RX Mapping'!D17-361),IF(AND('(橫掃)RX Mapping'!D17&gt;=601,'(橫掃)RX Mapping'!D17&lt;=720), (-1)*('(橫掃)RX Mapping'!D17-720)+120,IF(AND('(橫掃)RX Mapping'!D17&gt;=721,'(橫掃)RX Mapping'!D17&lt;=840), ('(橫掃)RX Mapping'!D17-601),IF(AND('(橫掃)RX Mapping'!D17&gt;=841,'(橫掃)RX Mapping'!D17&lt;=960), (-1)*('(橫掃)RX Mapping'!D17-960)+120,9999))))))))</f>
        <v>79</v>
      </c>
      <c r="E17">
        <f>IF(AND('(橫掃)RX Mapping'!E17&gt;=1,'(橫掃)RX Mapping'!E17&lt;=120), ('(橫掃)RX Mapping'!E17-1),IF(AND('(橫掃)RX Mapping'!E17&gt;=121,'(橫掃)RX Mapping'!E17&lt;=240), (-1)*('(橫掃)RX Mapping'!E17-240),IF(AND('(橫掃)RX Mapping'!E17&gt;=241,'(橫掃)RX Mapping'!E17&lt;=360), ('(橫掃)RX Mapping'!E17-241),IF(AND('(橫掃)RX Mapping'!E17&gt;=361,'(橫掃)RX Mapping'!E17&lt;=480), (-1)*('(橫掃)RX Mapping'!E17-480),IF(AND('(橫掃)RX Mapping'!E17&gt;=481,'(橫掃)RX Mapping'!E17&lt;=600), ('(橫掃)RX Mapping'!E17-361),IF(AND('(橫掃)RX Mapping'!E17&gt;=601,'(橫掃)RX Mapping'!E17&lt;=720), (-1)*('(橫掃)RX Mapping'!E17-720)+120,IF(AND('(橫掃)RX Mapping'!E17&gt;=721,'(橫掃)RX Mapping'!E17&lt;=840), ('(橫掃)RX Mapping'!E17-601),IF(AND('(橫掃)RX Mapping'!E17&gt;=841,'(橫掃)RX Mapping'!E17&lt;=960), (-1)*('(橫掃)RX Mapping'!E17-960)+120,9999))))))))</f>
        <v>111</v>
      </c>
      <c r="F17">
        <f>IF(AND('(橫掃)RX Mapping'!F17&gt;=1,'(橫掃)RX Mapping'!F17&lt;=120), ('(橫掃)RX Mapping'!F17-1),IF(AND('(橫掃)RX Mapping'!F17&gt;=121,'(橫掃)RX Mapping'!F17&lt;=240), (-1)*('(橫掃)RX Mapping'!F17-240),IF(AND('(橫掃)RX Mapping'!F17&gt;=241,'(橫掃)RX Mapping'!F17&lt;=360), ('(橫掃)RX Mapping'!F17-241),IF(AND('(橫掃)RX Mapping'!F17&gt;=361,'(橫掃)RX Mapping'!F17&lt;=480), (-1)*('(橫掃)RX Mapping'!F17-480),IF(AND('(橫掃)RX Mapping'!F17&gt;=481,'(橫掃)RX Mapping'!F17&lt;=600), ('(橫掃)RX Mapping'!F17-361),IF(AND('(橫掃)RX Mapping'!F17&gt;=601,'(橫掃)RX Mapping'!F17&lt;=720), (-1)*('(橫掃)RX Mapping'!F17-720)+120,IF(AND('(橫掃)RX Mapping'!F17&gt;=721,'(橫掃)RX Mapping'!F17&lt;=840), ('(橫掃)RX Mapping'!F17-601),IF(AND('(橫掃)RX Mapping'!F17&gt;=841,'(橫掃)RX Mapping'!F17&lt;=960), (-1)*('(橫掃)RX Mapping'!F17-960)+120,9999))))))))</f>
        <v>96</v>
      </c>
      <c r="G17">
        <f>IF(AND('(橫掃)RX Mapping'!G17&gt;=1,'(橫掃)RX Mapping'!G17&lt;=120), ('(橫掃)RX Mapping'!G17-1),IF(AND('(橫掃)RX Mapping'!G17&gt;=121,'(橫掃)RX Mapping'!G17&lt;=240), (-1)*('(橫掃)RX Mapping'!G17-240),IF(AND('(橫掃)RX Mapping'!G17&gt;=241,'(橫掃)RX Mapping'!G17&lt;=360), ('(橫掃)RX Mapping'!G17-241),IF(AND('(橫掃)RX Mapping'!G17&gt;=361,'(橫掃)RX Mapping'!G17&lt;=480), (-1)*('(橫掃)RX Mapping'!G17-480),IF(AND('(橫掃)RX Mapping'!G17&gt;=481,'(橫掃)RX Mapping'!G17&lt;=600), ('(橫掃)RX Mapping'!G17-361),IF(AND('(橫掃)RX Mapping'!G17&gt;=601,'(橫掃)RX Mapping'!G17&lt;=720), (-1)*('(橫掃)RX Mapping'!G17-720)+120,IF(AND('(橫掃)RX Mapping'!G17&gt;=721,'(橫掃)RX Mapping'!G17&lt;=840), ('(橫掃)RX Mapping'!G17-601),IF(AND('(橫掃)RX Mapping'!G17&gt;=841,'(橫掃)RX Mapping'!G17&lt;=960), (-1)*('(橫掃)RX Mapping'!G17-960)+120,9999))))))))</f>
        <v>64</v>
      </c>
      <c r="H17">
        <f>IF(AND('(橫掃)RX Mapping'!H17&gt;=1,'(橫掃)RX Mapping'!H17&lt;=120), ('(橫掃)RX Mapping'!H17-1),IF(AND('(橫掃)RX Mapping'!H17&gt;=121,'(橫掃)RX Mapping'!H17&lt;=240), (-1)*('(橫掃)RX Mapping'!H17-240),IF(AND('(橫掃)RX Mapping'!H17&gt;=241,'(橫掃)RX Mapping'!H17&lt;=360), ('(橫掃)RX Mapping'!H17-241),IF(AND('(橫掃)RX Mapping'!H17&gt;=361,'(橫掃)RX Mapping'!H17&lt;=480), (-1)*('(橫掃)RX Mapping'!H17-480),IF(AND('(橫掃)RX Mapping'!H17&gt;=481,'(橫掃)RX Mapping'!H17&lt;=600), ('(橫掃)RX Mapping'!H17-361),IF(AND('(橫掃)RX Mapping'!H17&gt;=601,'(橫掃)RX Mapping'!H17&lt;=720), (-1)*('(橫掃)RX Mapping'!H17-720)+120,IF(AND('(橫掃)RX Mapping'!H17&gt;=721,'(橫掃)RX Mapping'!H17&lt;=840), ('(橫掃)RX Mapping'!H17-601),IF(AND('(橫掃)RX Mapping'!H17&gt;=841,'(橫掃)RX Mapping'!H17&lt;=960), (-1)*('(橫掃)RX Mapping'!H17-960)+120,9999))))))))</f>
        <v>32</v>
      </c>
      <c r="I17">
        <f>IF(AND('(橫掃)RX Mapping'!I17&gt;=1,'(橫掃)RX Mapping'!I17&lt;=120), ('(橫掃)RX Mapping'!I17-1),IF(AND('(橫掃)RX Mapping'!I17&gt;=121,'(橫掃)RX Mapping'!I17&lt;=240), (-1)*('(橫掃)RX Mapping'!I17-240),IF(AND('(橫掃)RX Mapping'!I17&gt;=241,'(橫掃)RX Mapping'!I17&lt;=360), ('(橫掃)RX Mapping'!I17-241),IF(AND('(橫掃)RX Mapping'!I17&gt;=361,'(橫掃)RX Mapping'!I17&lt;=480), (-1)*('(橫掃)RX Mapping'!I17-480),IF(AND('(橫掃)RX Mapping'!I17&gt;=481,'(橫掃)RX Mapping'!I17&lt;=600), ('(橫掃)RX Mapping'!I17-361),IF(AND('(橫掃)RX Mapping'!I17&gt;=601,'(橫掃)RX Mapping'!I17&lt;=720), (-1)*('(橫掃)RX Mapping'!I17-720)+120,IF(AND('(橫掃)RX Mapping'!I17&gt;=721,'(橫掃)RX Mapping'!I17&lt;=840), ('(橫掃)RX Mapping'!I17-601),IF(AND('(橫掃)RX Mapping'!I17&gt;=841,'(橫掃)RX Mapping'!I17&lt;=960), (-1)*('(橫掃)RX Mapping'!I17-960)+120,9999))))))))</f>
        <v>15</v>
      </c>
      <c r="J17">
        <f>IF(AND('(橫掃)RX Mapping'!J17&gt;=1,'(橫掃)RX Mapping'!J17&lt;=120), ('(橫掃)RX Mapping'!J17-1),IF(AND('(橫掃)RX Mapping'!J17&gt;=121,'(橫掃)RX Mapping'!J17&lt;=240), (-1)*('(橫掃)RX Mapping'!J17-240),IF(AND('(橫掃)RX Mapping'!J17&gt;=241,'(橫掃)RX Mapping'!J17&lt;=360), ('(橫掃)RX Mapping'!J17-241),IF(AND('(橫掃)RX Mapping'!J17&gt;=361,'(橫掃)RX Mapping'!J17&lt;=480), (-1)*('(橫掃)RX Mapping'!J17-480),IF(AND('(橫掃)RX Mapping'!J17&gt;=481,'(橫掃)RX Mapping'!J17&lt;=600), ('(橫掃)RX Mapping'!J17-361),IF(AND('(橫掃)RX Mapping'!J17&gt;=601,'(橫掃)RX Mapping'!J17&lt;=720), (-1)*('(橫掃)RX Mapping'!J17-720)+120,IF(AND('(橫掃)RX Mapping'!J17&gt;=721,'(橫掃)RX Mapping'!J17&lt;=840), ('(橫掃)RX Mapping'!J17-601),IF(AND('(橫掃)RX Mapping'!J17&gt;=841,'(橫掃)RX Mapping'!J17&lt;=960), (-1)*('(橫掃)RX Mapping'!J17-960)+120,9999))))))))</f>
        <v>47</v>
      </c>
      <c r="K17">
        <f>IF(AND('(橫掃)RX Mapping'!K17&gt;=1,'(橫掃)RX Mapping'!K17&lt;=120), ('(橫掃)RX Mapping'!K17-1),IF(AND('(橫掃)RX Mapping'!K17&gt;=121,'(橫掃)RX Mapping'!K17&lt;=240), (-1)*('(橫掃)RX Mapping'!K17-240),IF(AND('(橫掃)RX Mapping'!K17&gt;=241,'(橫掃)RX Mapping'!K17&lt;=360), ('(橫掃)RX Mapping'!K17-241),IF(AND('(橫掃)RX Mapping'!K17&gt;=361,'(橫掃)RX Mapping'!K17&lt;=480), (-1)*('(橫掃)RX Mapping'!K17-480),IF(AND('(橫掃)RX Mapping'!K17&gt;=481,'(橫掃)RX Mapping'!K17&lt;=600), ('(橫掃)RX Mapping'!K17-361),IF(AND('(橫掃)RX Mapping'!K17&gt;=601,'(橫掃)RX Mapping'!K17&lt;=720), (-1)*('(橫掃)RX Mapping'!K17-720)+120,IF(AND('(橫掃)RX Mapping'!K17&gt;=721,'(橫掃)RX Mapping'!K17&lt;=840), ('(橫掃)RX Mapping'!K17-601),IF(AND('(橫掃)RX Mapping'!K17&gt;=841,'(橫掃)RX Mapping'!K17&lt;=960), (-1)*('(橫掃)RX Mapping'!K17-960)+120,9999))))))))</f>
        <v>79</v>
      </c>
      <c r="L17">
        <f>IF(AND('(橫掃)RX Mapping'!L17&gt;=1,'(橫掃)RX Mapping'!L17&lt;=120), ('(橫掃)RX Mapping'!L17-1),IF(AND('(橫掃)RX Mapping'!L17&gt;=121,'(橫掃)RX Mapping'!L17&lt;=240), (-1)*('(橫掃)RX Mapping'!L17-240),IF(AND('(橫掃)RX Mapping'!L17&gt;=241,'(橫掃)RX Mapping'!L17&lt;=360), ('(橫掃)RX Mapping'!L17-241),IF(AND('(橫掃)RX Mapping'!L17&gt;=361,'(橫掃)RX Mapping'!L17&lt;=480), (-1)*('(橫掃)RX Mapping'!L17-480),IF(AND('(橫掃)RX Mapping'!L17&gt;=481,'(橫掃)RX Mapping'!L17&lt;=600), ('(橫掃)RX Mapping'!L17-361),IF(AND('(橫掃)RX Mapping'!L17&gt;=601,'(橫掃)RX Mapping'!L17&lt;=720), (-1)*('(橫掃)RX Mapping'!L17-720)+120,IF(AND('(橫掃)RX Mapping'!L17&gt;=721,'(橫掃)RX Mapping'!L17&lt;=840), ('(橫掃)RX Mapping'!L17-601),IF(AND('(橫掃)RX Mapping'!L17&gt;=841,'(橫掃)RX Mapping'!L17&lt;=960), (-1)*('(橫掃)RX Mapping'!L17-960)+120,9999))))))))</f>
        <v>111</v>
      </c>
      <c r="M17">
        <f>IF(AND('(橫掃)RX Mapping'!M17&gt;=1,'(橫掃)RX Mapping'!M17&lt;=120), ('(橫掃)RX Mapping'!M17-1),IF(AND('(橫掃)RX Mapping'!M17&gt;=121,'(橫掃)RX Mapping'!M17&lt;=240), (-1)*('(橫掃)RX Mapping'!M17-240),IF(AND('(橫掃)RX Mapping'!M17&gt;=241,'(橫掃)RX Mapping'!M17&lt;=360), ('(橫掃)RX Mapping'!M17-241),IF(AND('(橫掃)RX Mapping'!M17&gt;=361,'(橫掃)RX Mapping'!M17&lt;=480), (-1)*('(橫掃)RX Mapping'!M17-480),IF(AND('(橫掃)RX Mapping'!M17&gt;=481,'(橫掃)RX Mapping'!M17&lt;=600), ('(橫掃)RX Mapping'!M17-361),IF(AND('(橫掃)RX Mapping'!M17&gt;=601,'(橫掃)RX Mapping'!M17&lt;=720), (-1)*('(橫掃)RX Mapping'!M17-720)+120,IF(AND('(橫掃)RX Mapping'!M17&gt;=721,'(橫掃)RX Mapping'!M17&lt;=840), ('(橫掃)RX Mapping'!M17-601),IF(AND('(橫掃)RX Mapping'!M17&gt;=841,'(橫掃)RX Mapping'!M17&lt;=960), (-1)*('(橫掃)RX Mapping'!M17-960)+120,9999))))))))</f>
        <v>96</v>
      </c>
      <c r="N17">
        <f>IF(AND('(橫掃)RX Mapping'!N17&gt;=1,'(橫掃)RX Mapping'!N17&lt;=120), ('(橫掃)RX Mapping'!N17-1),IF(AND('(橫掃)RX Mapping'!N17&gt;=121,'(橫掃)RX Mapping'!N17&lt;=240), (-1)*('(橫掃)RX Mapping'!N17-240),IF(AND('(橫掃)RX Mapping'!N17&gt;=241,'(橫掃)RX Mapping'!N17&lt;=360), ('(橫掃)RX Mapping'!N17-241),IF(AND('(橫掃)RX Mapping'!N17&gt;=361,'(橫掃)RX Mapping'!N17&lt;=480), (-1)*('(橫掃)RX Mapping'!N17-480),IF(AND('(橫掃)RX Mapping'!N17&gt;=481,'(橫掃)RX Mapping'!N17&lt;=600), ('(橫掃)RX Mapping'!N17-361),IF(AND('(橫掃)RX Mapping'!N17&gt;=601,'(橫掃)RX Mapping'!N17&lt;=720), (-1)*('(橫掃)RX Mapping'!N17-720)+120,IF(AND('(橫掃)RX Mapping'!N17&gt;=721,'(橫掃)RX Mapping'!N17&lt;=840), ('(橫掃)RX Mapping'!N17-601),IF(AND('(橫掃)RX Mapping'!N17&gt;=841,'(橫掃)RX Mapping'!N17&lt;=960), (-1)*('(橫掃)RX Mapping'!N17-960)+120,9999))))))))</f>
        <v>64</v>
      </c>
      <c r="O17">
        <f>IF(AND('(橫掃)RX Mapping'!O17&gt;=1,'(橫掃)RX Mapping'!O17&lt;=120), ('(橫掃)RX Mapping'!O17-1),IF(AND('(橫掃)RX Mapping'!O17&gt;=121,'(橫掃)RX Mapping'!O17&lt;=240), (-1)*('(橫掃)RX Mapping'!O17-240),IF(AND('(橫掃)RX Mapping'!O17&gt;=241,'(橫掃)RX Mapping'!O17&lt;=360), ('(橫掃)RX Mapping'!O17-241),IF(AND('(橫掃)RX Mapping'!O17&gt;=361,'(橫掃)RX Mapping'!O17&lt;=480), (-1)*('(橫掃)RX Mapping'!O17-480),IF(AND('(橫掃)RX Mapping'!O17&gt;=481,'(橫掃)RX Mapping'!O17&lt;=600), ('(橫掃)RX Mapping'!O17-361),IF(AND('(橫掃)RX Mapping'!O17&gt;=601,'(橫掃)RX Mapping'!O17&lt;=720), (-1)*('(橫掃)RX Mapping'!O17-720)+120,IF(AND('(橫掃)RX Mapping'!O17&gt;=721,'(橫掃)RX Mapping'!O17&lt;=840), ('(橫掃)RX Mapping'!O17-601),IF(AND('(橫掃)RX Mapping'!O17&gt;=841,'(橫掃)RX Mapping'!O17&lt;=960), (-1)*('(橫掃)RX Mapping'!O17-960)+120,9999))))))))</f>
        <v>32</v>
      </c>
      <c r="P17">
        <f>IF(AND('(橫掃)RX Mapping'!P17&gt;=1,'(橫掃)RX Mapping'!P17&lt;=120), ('(橫掃)RX Mapping'!P17-1),IF(AND('(橫掃)RX Mapping'!P17&gt;=121,'(橫掃)RX Mapping'!P17&lt;=240), (-1)*('(橫掃)RX Mapping'!P17-240),IF(AND('(橫掃)RX Mapping'!P17&gt;=241,'(橫掃)RX Mapping'!P17&lt;=360), ('(橫掃)RX Mapping'!P17-241),IF(AND('(橫掃)RX Mapping'!P17&gt;=361,'(橫掃)RX Mapping'!P17&lt;=480), (-1)*('(橫掃)RX Mapping'!P17-480),IF(AND('(橫掃)RX Mapping'!P17&gt;=481,'(橫掃)RX Mapping'!P17&lt;=600), ('(橫掃)RX Mapping'!P17-361),IF(AND('(橫掃)RX Mapping'!P17&gt;=601,'(橫掃)RX Mapping'!P17&lt;=720), (-1)*('(橫掃)RX Mapping'!P17-720)+120,IF(AND('(橫掃)RX Mapping'!P17&gt;=721,'(橫掃)RX Mapping'!P17&lt;=840), ('(橫掃)RX Mapping'!P17-601),IF(AND('(橫掃)RX Mapping'!P17&gt;=841,'(橫掃)RX Mapping'!P17&lt;=960), (-1)*('(橫掃)RX Mapping'!P17-960)+120,9999))))))))</f>
        <v>135</v>
      </c>
      <c r="Q17">
        <f>IF(AND('(橫掃)RX Mapping'!Q17&gt;=1,'(橫掃)RX Mapping'!Q17&lt;=120), ('(橫掃)RX Mapping'!Q17-1),IF(AND('(橫掃)RX Mapping'!Q17&gt;=121,'(橫掃)RX Mapping'!Q17&lt;=240), (-1)*('(橫掃)RX Mapping'!Q17-240),IF(AND('(橫掃)RX Mapping'!Q17&gt;=241,'(橫掃)RX Mapping'!Q17&lt;=360), ('(橫掃)RX Mapping'!Q17-241),IF(AND('(橫掃)RX Mapping'!Q17&gt;=361,'(橫掃)RX Mapping'!Q17&lt;=480), (-1)*('(橫掃)RX Mapping'!Q17-480),IF(AND('(橫掃)RX Mapping'!Q17&gt;=481,'(橫掃)RX Mapping'!Q17&lt;=600), ('(橫掃)RX Mapping'!Q17-361),IF(AND('(橫掃)RX Mapping'!Q17&gt;=601,'(橫掃)RX Mapping'!Q17&lt;=720), (-1)*('(橫掃)RX Mapping'!Q17-720)+120,IF(AND('(橫掃)RX Mapping'!Q17&gt;=721,'(橫掃)RX Mapping'!Q17&lt;=840), ('(橫掃)RX Mapping'!Q17-601),IF(AND('(橫掃)RX Mapping'!Q17&gt;=841,'(橫掃)RX Mapping'!Q17&lt;=960), (-1)*('(橫掃)RX Mapping'!Q17-960)+120,9999))))))))</f>
        <v>167</v>
      </c>
      <c r="R17">
        <f>IF(AND('(橫掃)RX Mapping'!R17&gt;=1,'(橫掃)RX Mapping'!R17&lt;=120), ('(橫掃)RX Mapping'!R17-1),IF(AND('(橫掃)RX Mapping'!R17&gt;=121,'(橫掃)RX Mapping'!R17&lt;=240), (-1)*('(橫掃)RX Mapping'!R17-240),IF(AND('(橫掃)RX Mapping'!R17&gt;=241,'(橫掃)RX Mapping'!R17&lt;=360), ('(橫掃)RX Mapping'!R17-241),IF(AND('(橫掃)RX Mapping'!R17&gt;=361,'(橫掃)RX Mapping'!R17&lt;=480), (-1)*('(橫掃)RX Mapping'!R17-480),IF(AND('(橫掃)RX Mapping'!R17&gt;=481,'(橫掃)RX Mapping'!R17&lt;=600), ('(橫掃)RX Mapping'!R17-361),IF(AND('(橫掃)RX Mapping'!R17&gt;=601,'(橫掃)RX Mapping'!R17&lt;=720), (-1)*('(橫掃)RX Mapping'!R17-720)+120,IF(AND('(橫掃)RX Mapping'!R17&gt;=721,'(橫掃)RX Mapping'!R17&lt;=840), ('(橫掃)RX Mapping'!R17-601),IF(AND('(橫掃)RX Mapping'!R17&gt;=841,'(橫掃)RX Mapping'!R17&lt;=960), (-1)*('(橫掃)RX Mapping'!R17-960)+120,9999))))))))</f>
        <v>199</v>
      </c>
      <c r="S17">
        <f>IF(AND('(橫掃)RX Mapping'!S17&gt;=1,'(橫掃)RX Mapping'!S17&lt;=120), ('(橫掃)RX Mapping'!S17-1),IF(AND('(橫掃)RX Mapping'!S17&gt;=121,'(橫掃)RX Mapping'!S17&lt;=240), (-1)*('(橫掃)RX Mapping'!S17-240),IF(AND('(橫掃)RX Mapping'!S17&gt;=241,'(橫掃)RX Mapping'!S17&lt;=360), ('(橫掃)RX Mapping'!S17-241),IF(AND('(橫掃)RX Mapping'!S17&gt;=361,'(橫掃)RX Mapping'!S17&lt;=480), (-1)*('(橫掃)RX Mapping'!S17-480),IF(AND('(橫掃)RX Mapping'!S17&gt;=481,'(橫掃)RX Mapping'!S17&lt;=600), ('(橫掃)RX Mapping'!S17-361),IF(AND('(橫掃)RX Mapping'!S17&gt;=601,'(橫掃)RX Mapping'!S17&lt;=720), (-1)*('(橫掃)RX Mapping'!S17-720)+120,IF(AND('(橫掃)RX Mapping'!S17&gt;=721,'(橫掃)RX Mapping'!S17&lt;=840), ('(橫掃)RX Mapping'!S17-601),IF(AND('(橫掃)RX Mapping'!S17&gt;=841,'(橫掃)RX Mapping'!S17&lt;=960), (-1)*('(橫掃)RX Mapping'!S17-960)+120,9999))))))))</f>
        <v>231</v>
      </c>
      <c r="T17">
        <f>IF(AND('(橫掃)RX Mapping'!T17&gt;=1,'(橫掃)RX Mapping'!T17&lt;=120), ('(橫掃)RX Mapping'!T17-1),IF(AND('(橫掃)RX Mapping'!T17&gt;=121,'(橫掃)RX Mapping'!T17&lt;=240), (-1)*('(橫掃)RX Mapping'!T17-240),IF(AND('(橫掃)RX Mapping'!T17&gt;=241,'(橫掃)RX Mapping'!T17&lt;=360), ('(橫掃)RX Mapping'!T17-241),IF(AND('(橫掃)RX Mapping'!T17&gt;=361,'(橫掃)RX Mapping'!T17&lt;=480), (-1)*('(橫掃)RX Mapping'!T17-480),IF(AND('(橫掃)RX Mapping'!T17&gt;=481,'(橫掃)RX Mapping'!T17&lt;=600), ('(橫掃)RX Mapping'!T17-361),IF(AND('(橫掃)RX Mapping'!T17&gt;=601,'(橫掃)RX Mapping'!T17&lt;=720), (-1)*('(橫掃)RX Mapping'!T17-720)+120,IF(AND('(橫掃)RX Mapping'!T17&gt;=721,'(橫掃)RX Mapping'!T17&lt;=840), ('(橫掃)RX Mapping'!T17-601),IF(AND('(橫掃)RX Mapping'!T17&gt;=841,'(橫掃)RX Mapping'!T17&lt;=960), (-1)*('(橫掃)RX Mapping'!T17-960)+120,9999))))))))</f>
        <v>216</v>
      </c>
      <c r="U17">
        <f>IF(AND('(橫掃)RX Mapping'!U17&gt;=1,'(橫掃)RX Mapping'!U17&lt;=120), ('(橫掃)RX Mapping'!U17-1),IF(AND('(橫掃)RX Mapping'!U17&gt;=121,'(橫掃)RX Mapping'!U17&lt;=240), (-1)*('(橫掃)RX Mapping'!U17-240),IF(AND('(橫掃)RX Mapping'!U17&gt;=241,'(橫掃)RX Mapping'!U17&lt;=360), ('(橫掃)RX Mapping'!U17-241),IF(AND('(橫掃)RX Mapping'!U17&gt;=361,'(橫掃)RX Mapping'!U17&lt;=480), (-1)*('(橫掃)RX Mapping'!U17-480),IF(AND('(橫掃)RX Mapping'!U17&gt;=481,'(橫掃)RX Mapping'!U17&lt;=600), ('(橫掃)RX Mapping'!U17-361),IF(AND('(橫掃)RX Mapping'!U17&gt;=601,'(橫掃)RX Mapping'!U17&lt;=720), (-1)*('(橫掃)RX Mapping'!U17-720)+120,IF(AND('(橫掃)RX Mapping'!U17&gt;=721,'(橫掃)RX Mapping'!U17&lt;=840), ('(橫掃)RX Mapping'!U17-601),IF(AND('(橫掃)RX Mapping'!U17&gt;=841,'(橫掃)RX Mapping'!U17&lt;=960), (-1)*('(橫掃)RX Mapping'!U17-960)+120,9999))))))))</f>
        <v>184</v>
      </c>
      <c r="V17">
        <f>IF(AND('(橫掃)RX Mapping'!V17&gt;=1,'(橫掃)RX Mapping'!V17&lt;=120), ('(橫掃)RX Mapping'!V17-1),IF(AND('(橫掃)RX Mapping'!V17&gt;=121,'(橫掃)RX Mapping'!V17&lt;=240), (-1)*('(橫掃)RX Mapping'!V17-240),IF(AND('(橫掃)RX Mapping'!V17&gt;=241,'(橫掃)RX Mapping'!V17&lt;=360), ('(橫掃)RX Mapping'!V17-241),IF(AND('(橫掃)RX Mapping'!V17&gt;=361,'(橫掃)RX Mapping'!V17&lt;=480), (-1)*('(橫掃)RX Mapping'!V17-480),IF(AND('(橫掃)RX Mapping'!V17&gt;=481,'(橫掃)RX Mapping'!V17&lt;=600), ('(橫掃)RX Mapping'!V17-361),IF(AND('(橫掃)RX Mapping'!V17&gt;=601,'(橫掃)RX Mapping'!V17&lt;=720), (-1)*('(橫掃)RX Mapping'!V17-720)+120,IF(AND('(橫掃)RX Mapping'!V17&gt;=721,'(橫掃)RX Mapping'!V17&lt;=840), ('(橫掃)RX Mapping'!V17-601),IF(AND('(橫掃)RX Mapping'!V17&gt;=841,'(橫掃)RX Mapping'!V17&lt;=960), (-1)*('(橫掃)RX Mapping'!V17-960)+120,9999))))))))</f>
        <v>152</v>
      </c>
      <c r="W17">
        <f>IF(AND('(橫掃)RX Mapping'!W17&gt;=1,'(橫掃)RX Mapping'!W17&lt;=120), ('(橫掃)RX Mapping'!W17-1),IF(AND('(橫掃)RX Mapping'!W17&gt;=121,'(橫掃)RX Mapping'!W17&lt;=240), (-1)*('(橫掃)RX Mapping'!W17-240),IF(AND('(橫掃)RX Mapping'!W17&gt;=241,'(橫掃)RX Mapping'!W17&lt;=360), ('(橫掃)RX Mapping'!W17-241),IF(AND('(橫掃)RX Mapping'!W17&gt;=361,'(橫掃)RX Mapping'!W17&lt;=480), (-1)*('(橫掃)RX Mapping'!W17-480),IF(AND('(橫掃)RX Mapping'!W17&gt;=481,'(橫掃)RX Mapping'!W17&lt;=600), ('(橫掃)RX Mapping'!W17-361),IF(AND('(橫掃)RX Mapping'!W17&gt;=601,'(橫掃)RX Mapping'!W17&lt;=720), (-1)*('(橫掃)RX Mapping'!W17-720)+120,IF(AND('(橫掃)RX Mapping'!W17&gt;=721,'(橫掃)RX Mapping'!W17&lt;=840), ('(橫掃)RX Mapping'!W17-601),IF(AND('(橫掃)RX Mapping'!W17&gt;=841,'(橫掃)RX Mapping'!W17&lt;=960), (-1)*('(橫掃)RX Mapping'!W17-960)+120,9999))))))))</f>
        <v>135</v>
      </c>
      <c r="X17">
        <f>IF(AND('(橫掃)RX Mapping'!X17&gt;=1,'(橫掃)RX Mapping'!X17&lt;=120), ('(橫掃)RX Mapping'!X17-1),IF(AND('(橫掃)RX Mapping'!X17&gt;=121,'(橫掃)RX Mapping'!X17&lt;=240), (-1)*('(橫掃)RX Mapping'!X17-240),IF(AND('(橫掃)RX Mapping'!X17&gt;=241,'(橫掃)RX Mapping'!X17&lt;=360), ('(橫掃)RX Mapping'!X17-241),IF(AND('(橫掃)RX Mapping'!X17&gt;=361,'(橫掃)RX Mapping'!X17&lt;=480), (-1)*('(橫掃)RX Mapping'!X17-480),IF(AND('(橫掃)RX Mapping'!X17&gt;=481,'(橫掃)RX Mapping'!X17&lt;=600), ('(橫掃)RX Mapping'!X17-361),IF(AND('(橫掃)RX Mapping'!X17&gt;=601,'(橫掃)RX Mapping'!X17&lt;=720), (-1)*('(橫掃)RX Mapping'!X17-720)+120,IF(AND('(橫掃)RX Mapping'!X17&gt;=721,'(橫掃)RX Mapping'!X17&lt;=840), ('(橫掃)RX Mapping'!X17-601),IF(AND('(橫掃)RX Mapping'!X17&gt;=841,'(橫掃)RX Mapping'!X17&lt;=960), (-1)*('(橫掃)RX Mapping'!X17-960)+120,9999))))))))</f>
        <v>167</v>
      </c>
      <c r="Y17">
        <f>IF(AND('(橫掃)RX Mapping'!Y17&gt;=1,'(橫掃)RX Mapping'!Y17&lt;=120), ('(橫掃)RX Mapping'!Y17-1),IF(AND('(橫掃)RX Mapping'!Y17&gt;=121,'(橫掃)RX Mapping'!Y17&lt;=240), (-1)*('(橫掃)RX Mapping'!Y17-240),IF(AND('(橫掃)RX Mapping'!Y17&gt;=241,'(橫掃)RX Mapping'!Y17&lt;=360), ('(橫掃)RX Mapping'!Y17-241),IF(AND('(橫掃)RX Mapping'!Y17&gt;=361,'(橫掃)RX Mapping'!Y17&lt;=480), (-1)*('(橫掃)RX Mapping'!Y17-480),IF(AND('(橫掃)RX Mapping'!Y17&gt;=481,'(橫掃)RX Mapping'!Y17&lt;=600), ('(橫掃)RX Mapping'!Y17-361),IF(AND('(橫掃)RX Mapping'!Y17&gt;=601,'(橫掃)RX Mapping'!Y17&lt;=720), (-1)*('(橫掃)RX Mapping'!Y17-720)+120,IF(AND('(橫掃)RX Mapping'!Y17&gt;=721,'(橫掃)RX Mapping'!Y17&lt;=840), ('(橫掃)RX Mapping'!Y17-601),IF(AND('(橫掃)RX Mapping'!Y17&gt;=841,'(橫掃)RX Mapping'!Y17&lt;=960), (-1)*('(橫掃)RX Mapping'!Y17-960)+120,9999))))))))</f>
        <v>199</v>
      </c>
      <c r="Z17">
        <f>IF(AND('(橫掃)RX Mapping'!Z17&gt;=1,'(橫掃)RX Mapping'!Z17&lt;=120), ('(橫掃)RX Mapping'!Z17-1),IF(AND('(橫掃)RX Mapping'!Z17&gt;=121,'(橫掃)RX Mapping'!Z17&lt;=240), (-1)*('(橫掃)RX Mapping'!Z17-240),IF(AND('(橫掃)RX Mapping'!Z17&gt;=241,'(橫掃)RX Mapping'!Z17&lt;=360), ('(橫掃)RX Mapping'!Z17-241),IF(AND('(橫掃)RX Mapping'!Z17&gt;=361,'(橫掃)RX Mapping'!Z17&lt;=480), (-1)*('(橫掃)RX Mapping'!Z17-480),IF(AND('(橫掃)RX Mapping'!Z17&gt;=481,'(橫掃)RX Mapping'!Z17&lt;=600), ('(橫掃)RX Mapping'!Z17-361),IF(AND('(橫掃)RX Mapping'!Z17&gt;=601,'(橫掃)RX Mapping'!Z17&lt;=720), (-1)*('(橫掃)RX Mapping'!Z17-720)+120,IF(AND('(橫掃)RX Mapping'!Z17&gt;=721,'(橫掃)RX Mapping'!Z17&lt;=840), ('(橫掃)RX Mapping'!Z17-601),IF(AND('(橫掃)RX Mapping'!Z17&gt;=841,'(橫掃)RX Mapping'!Z17&lt;=960), (-1)*('(橫掃)RX Mapping'!Z17-960)+120,9999))))))))</f>
        <v>231</v>
      </c>
      <c r="AA17">
        <f>IF(AND('(橫掃)RX Mapping'!AA17&gt;=1,'(橫掃)RX Mapping'!AA17&lt;=120), ('(橫掃)RX Mapping'!AA17-1),IF(AND('(橫掃)RX Mapping'!AA17&gt;=121,'(橫掃)RX Mapping'!AA17&lt;=240), (-1)*('(橫掃)RX Mapping'!AA17-240),IF(AND('(橫掃)RX Mapping'!AA17&gt;=241,'(橫掃)RX Mapping'!AA17&lt;=360), ('(橫掃)RX Mapping'!AA17-241),IF(AND('(橫掃)RX Mapping'!AA17&gt;=361,'(橫掃)RX Mapping'!AA17&lt;=480), (-1)*('(橫掃)RX Mapping'!AA17-480),IF(AND('(橫掃)RX Mapping'!AA17&gt;=481,'(橫掃)RX Mapping'!AA17&lt;=600), ('(橫掃)RX Mapping'!AA17-361),IF(AND('(橫掃)RX Mapping'!AA17&gt;=601,'(橫掃)RX Mapping'!AA17&lt;=720), (-1)*('(橫掃)RX Mapping'!AA17-720)+120,IF(AND('(橫掃)RX Mapping'!AA17&gt;=721,'(橫掃)RX Mapping'!AA17&lt;=840), ('(橫掃)RX Mapping'!AA17-601),IF(AND('(橫掃)RX Mapping'!AA17&gt;=841,'(橫掃)RX Mapping'!AA17&lt;=960), (-1)*('(橫掃)RX Mapping'!AA17-960)+120,9999))))))))</f>
        <v>216</v>
      </c>
      <c r="AB17">
        <f>IF(AND('(橫掃)RX Mapping'!AB17&gt;=1,'(橫掃)RX Mapping'!AB17&lt;=120), ('(橫掃)RX Mapping'!AB17-1),IF(AND('(橫掃)RX Mapping'!AB17&gt;=121,'(橫掃)RX Mapping'!AB17&lt;=240), (-1)*('(橫掃)RX Mapping'!AB17-240),IF(AND('(橫掃)RX Mapping'!AB17&gt;=241,'(橫掃)RX Mapping'!AB17&lt;=360), ('(橫掃)RX Mapping'!AB17-241),IF(AND('(橫掃)RX Mapping'!AB17&gt;=361,'(橫掃)RX Mapping'!AB17&lt;=480), (-1)*('(橫掃)RX Mapping'!AB17-480),IF(AND('(橫掃)RX Mapping'!AB17&gt;=481,'(橫掃)RX Mapping'!AB17&lt;=600), ('(橫掃)RX Mapping'!AB17-361),IF(AND('(橫掃)RX Mapping'!AB17&gt;=601,'(橫掃)RX Mapping'!AB17&lt;=720), (-1)*('(橫掃)RX Mapping'!AB17-720)+120,IF(AND('(橫掃)RX Mapping'!AB17&gt;=721,'(橫掃)RX Mapping'!AB17&lt;=840), ('(橫掃)RX Mapping'!AB17-601),IF(AND('(橫掃)RX Mapping'!AB17&gt;=841,'(橫掃)RX Mapping'!AB17&lt;=960), (-1)*('(橫掃)RX Mapping'!AB17-960)+120,9999))))))))</f>
        <v>184</v>
      </c>
      <c r="AC17">
        <f>IF(AND('(橫掃)RX Mapping'!AC17&gt;=1,'(橫掃)RX Mapping'!AC17&lt;=120), ('(橫掃)RX Mapping'!AC17-1),IF(AND('(橫掃)RX Mapping'!AC17&gt;=121,'(橫掃)RX Mapping'!AC17&lt;=240), (-1)*('(橫掃)RX Mapping'!AC17-240),IF(AND('(橫掃)RX Mapping'!AC17&gt;=241,'(橫掃)RX Mapping'!AC17&lt;=360), ('(橫掃)RX Mapping'!AC17-241),IF(AND('(橫掃)RX Mapping'!AC17&gt;=361,'(橫掃)RX Mapping'!AC17&lt;=480), (-1)*('(橫掃)RX Mapping'!AC17-480),IF(AND('(橫掃)RX Mapping'!AC17&gt;=481,'(橫掃)RX Mapping'!AC17&lt;=600), ('(橫掃)RX Mapping'!AC17-361),IF(AND('(橫掃)RX Mapping'!AC17&gt;=601,'(橫掃)RX Mapping'!AC17&lt;=720), (-1)*('(橫掃)RX Mapping'!AC17-720)+120,IF(AND('(橫掃)RX Mapping'!AC17&gt;=721,'(橫掃)RX Mapping'!AC17&lt;=840), ('(橫掃)RX Mapping'!AC17-601),IF(AND('(橫掃)RX Mapping'!AC17&gt;=841,'(橫掃)RX Mapping'!AC17&lt;=960), (-1)*('(橫掃)RX Mapping'!AC17-960)+120,9999))))))))</f>
        <v>152</v>
      </c>
      <c r="AD17">
        <f>IF(AND('(橫掃)RX Mapping'!AD17&gt;=1,'(橫掃)RX Mapping'!AD17&lt;=120), ('(橫掃)RX Mapping'!AD17-1),IF(AND('(橫掃)RX Mapping'!AD17&gt;=121,'(橫掃)RX Mapping'!AD17&lt;=240), (-1)*('(橫掃)RX Mapping'!AD17-240),IF(AND('(橫掃)RX Mapping'!AD17&gt;=241,'(橫掃)RX Mapping'!AD17&lt;=360), ('(橫掃)RX Mapping'!AD17-241),IF(AND('(橫掃)RX Mapping'!AD17&gt;=361,'(橫掃)RX Mapping'!AD17&lt;=480), (-1)*('(橫掃)RX Mapping'!AD17-480),IF(AND('(橫掃)RX Mapping'!AD17&gt;=481,'(橫掃)RX Mapping'!AD17&lt;=600), ('(橫掃)RX Mapping'!AD17-361),IF(AND('(橫掃)RX Mapping'!AD17&gt;=601,'(橫掃)RX Mapping'!AD17&lt;=720), (-1)*('(橫掃)RX Mapping'!AD17-720)+120,IF(AND('(橫掃)RX Mapping'!AD17&gt;=721,'(橫掃)RX Mapping'!AD17&lt;=840), ('(橫掃)RX Mapping'!AD17-601),IF(AND('(橫掃)RX Mapping'!AD17&gt;=841,'(橫掃)RX Mapping'!AD17&lt;=960), (-1)*('(橫掃)RX Mapping'!AD17-960)+120,9999))))))))</f>
        <v>9999</v>
      </c>
      <c r="AE17">
        <f>IF(AND('(橫掃)RX Mapping'!AE17&gt;=1,'(橫掃)RX Mapping'!AE17&lt;=120), ('(橫掃)RX Mapping'!AE17-1),IF(AND('(橫掃)RX Mapping'!AE17&gt;=121,'(橫掃)RX Mapping'!AE17&lt;=240), (-1)*('(橫掃)RX Mapping'!AE17-240),IF(AND('(橫掃)RX Mapping'!AE17&gt;=241,'(橫掃)RX Mapping'!AE17&lt;=360), ('(橫掃)RX Mapping'!AE17-241),IF(AND('(橫掃)RX Mapping'!AE17&gt;=361,'(橫掃)RX Mapping'!AE17&lt;=480), (-1)*('(橫掃)RX Mapping'!AE17-480),IF(AND('(橫掃)RX Mapping'!AE17&gt;=481,'(橫掃)RX Mapping'!AE17&lt;=600), ('(橫掃)RX Mapping'!AE17-361),IF(AND('(橫掃)RX Mapping'!AE17&gt;=601,'(橫掃)RX Mapping'!AE17&lt;=720), (-1)*('(橫掃)RX Mapping'!AE17-720)+120,IF(AND('(橫掃)RX Mapping'!AE17&gt;=721,'(橫掃)RX Mapping'!AE17&lt;=840), ('(橫掃)RX Mapping'!AE17-601),IF(AND('(橫掃)RX Mapping'!AE17&gt;=841,'(橫掃)RX Mapping'!AE17&lt;=960), (-1)*('(橫掃)RX Mapping'!AE17-960)+120,9999))))))))</f>
        <v>9999</v>
      </c>
      <c r="AF17">
        <f>IF(AND('(橫掃)RX Mapping'!AF17&gt;=1,'(橫掃)RX Mapping'!AF17&lt;=120), ('(橫掃)RX Mapping'!AF17-1),IF(AND('(橫掃)RX Mapping'!AF17&gt;=121,'(橫掃)RX Mapping'!AF17&lt;=240), (-1)*('(橫掃)RX Mapping'!AF17-240),IF(AND('(橫掃)RX Mapping'!AF17&gt;=241,'(橫掃)RX Mapping'!AF17&lt;=360), ('(橫掃)RX Mapping'!AF17-241),IF(AND('(橫掃)RX Mapping'!AF17&gt;=361,'(橫掃)RX Mapping'!AF17&lt;=480), (-1)*('(橫掃)RX Mapping'!AF17-480),IF(AND('(橫掃)RX Mapping'!AF17&gt;=481,'(橫掃)RX Mapping'!AF17&lt;=600), ('(橫掃)RX Mapping'!AF17-361),IF(AND('(橫掃)RX Mapping'!AF17&gt;=601,'(橫掃)RX Mapping'!AF17&lt;=720), (-1)*('(橫掃)RX Mapping'!AF17-720)+120,IF(AND('(橫掃)RX Mapping'!AF17&gt;=721,'(橫掃)RX Mapping'!AF17&lt;=840), ('(橫掃)RX Mapping'!AF17-601),IF(AND('(橫掃)RX Mapping'!AF17&gt;=841,'(橫掃)RX Mapping'!AF17&lt;=960), (-1)*('(橫掃)RX Mapping'!AF17-960)+120,9999))))))))</f>
        <v>9999</v>
      </c>
      <c r="AG17">
        <f>IF(AND('(橫掃)RX Mapping'!AG17&gt;=1,'(橫掃)RX Mapping'!AG17&lt;=120), ('(橫掃)RX Mapping'!AG17-1),IF(AND('(橫掃)RX Mapping'!AG17&gt;=121,'(橫掃)RX Mapping'!AG17&lt;=240), (-1)*('(橫掃)RX Mapping'!AG17-240),IF(AND('(橫掃)RX Mapping'!AG17&gt;=241,'(橫掃)RX Mapping'!AG17&lt;=360), ('(橫掃)RX Mapping'!AG17-241),IF(AND('(橫掃)RX Mapping'!AG17&gt;=361,'(橫掃)RX Mapping'!AG17&lt;=480), (-1)*('(橫掃)RX Mapping'!AG17-480),IF(AND('(橫掃)RX Mapping'!AG17&gt;=481,'(橫掃)RX Mapping'!AG17&lt;=600), ('(橫掃)RX Mapping'!AG17-361),IF(AND('(橫掃)RX Mapping'!AG17&gt;=601,'(橫掃)RX Mapping'!AG17&lt;=720), (-1)*('(橫掃)RX Mapping'!AG17-720)+120,IF(AND('(橫掃)RX Mapping'!AG17&gt;=721,'(橫掃)RX Mapping'!AG17&lt;=840), ('(橫掃)RX Mapping'!AG17-601),IF(AND('(橫掃)RX Mapping'!AG17&gt;=841,'(橫掃)RX Mapping'!AG17&lt;=960), (-1)*('(橫掃)RX Mapping'!AG17-960)+120,9999))))))))</f>
        <v>9999</v>
      </c>
      <c r="AH17">
        <f>IF(AND('(橫掃)RX Mapping'!AH17&gt;=1,'(橫掃)RX Mapping'!AH17&lt;=120), ('(橫掃)RX Mapping'!AH17-1),IF(AND('(橫掃)RX Mapping'!AH17&gt;=121,'(橫掃)RX Mapping'!AH17&lt;=240), (-1)*('(橫掃)RX Mapping'!AH17-240),IF(AND('(橫掃)RX Mapping'!AH17&gt;=241,'(橫掃)RX Mapping'!AH17&lt;=360), ('(橫掃)RX Mapping'!AH17-241),IF(AND('(橫掃)RX Mapping'!AH17&gt;=361,'(橫掃)RX Mapping'!AH17&lt;=480), (-1)*('(橫掃)RX Mapping'!AH17-480),IF(AND('(橫掃)RX Mapping'!AH17&gt;=481,'(橫掃)RX Mapping'!AH17&lt;=600), ('(橫掃)RX Mapping'!AH17-361),IF(AND('(橫掃)RX Mapping'!AH17&gt;=601,'(橫掃)RX Mapping'!AH17&lt;=720), (-1)*('(橫掃)RX Mapping'!AH17-720)+120,IF(AND('(橫掃)RX Mapping'!AH17&gt;=721,'(橫掃)RX Mapping'!AH17&lt;=840), ('(橫掃)RX Mapping'!AH17-601),IF(AND('(橫掃)RX Mapping'!AH17&gt;=841,'(橫掃)RX Mapping'!AH17&lt;=960), (-1)*('(橫掃)RX Mapping'!AH17-960)+120,9999))))))))</f>
        <v>9999</v>
      </c>
      <c r="AI17">
        <f>IF(AND('(橫掃)RX Mapping'!AI17&gt;=1,'(橫掃)RX Mapping'!AI17&lt;=120), ('(橫掃)RX Mapping'!AI17-1),IF(AND('(橫掃)RX Mapping'!AI17&gt;=121,'(橫掃)RX Mapping'!AI17&lt;=240), (-1)*('(橫掃)RX Mapping'!AI17-240),IF(AND('(橫掃)RX Mapping'!AI17&gt;=241,'(橫掃)RX Mapping'!AI17&lt;=360), ('(橫掃)RX Mapping'!AI17-241),IF(AND('(橫掃)RX Mapping'!AI17&gt;=361,'(橫掃)RX Mapping'!AI17&lt;=480), (-1)*('(橫掃)RX Mapping'!AI17-480),IF(AND('(橫掃)RX Mapping'!AI17&gt;=481,'(橫掃)RX Mapping'!AI17&lt;=600), ('(橫掃)RX Mapping'!AI17-361),IF(AND('(橫掃)RX Mapping'!AI17&gt;=601,'(橫掃)RX Mapping'!AI17&lt;=720), (-1)*('(橫掃)RX Mapping'!AI17-720)+120,IF(AND('(橫掃)RX Mapping'!AI17&gt;=721,'(橫掃)RX Mapping'!AI17&lt;=840), ('(橫掃)RX Mapping'!AI17-601),IF(AND('(橫掃)RX Mapping'!AI17&gt;=841,'(橫掃)RX Mapping'!AI17&lt;=960), (-1)*('(橫掃)RX Mapping'!AI17-960)+120,9999))))))))</f>
        <v>9999</v>
      </c>
      <c r="AJ17">
        <f>IF(AND('(橫掃)RX Mapping'!AJ17&gt;=1,'(橫掃)RX Mapping'!AJ17&lt;=120), ('(橫掃)RX Mapping'!AJ17-1),IF(AND('(橫掃)RX Mapping'!AJ17&gt;=121,'(橫掃)RX Mapping'!AJ17&lt;=240), (-1)*('(橫掃)RX Mapping'!AJ17-240),IF(AND('(橫掃)RX Mapping'!AJ17&gt;=241,'(橫掃)RX Mapping'!AJ17&lt;=360), ('(橫掃)RX Mapping'!AJ17-241),IF(AND('(橫掃)RX Mapping'!AJ17&gt;=361,'(橫掃)RX Mapping'!AJ17&lt;=480), (-1)*('(橫掃)RX Mapping'!AJ17-480),IF(AND('(橫掃)RX Mapping'!AJ17&gt;=481,'(橫掃)RX Mapping'!AJ17&lt;=600), ('(橫掃)RX Mapping'!AJ17-361),IF(AND('(橫掃)RX Mapping'!AJ17&gt;=601,'(橫掃)RX Mapping'!AJ17&lt;=720), (-1)*('(橫掃)RX Mapping'!AJ17-720)+120,IF(AND('(橫掃)RX Mapping'!AJ17&gt;=721,'(橫掃)RX Mapping'!AJ17&lt;=840), ('(橫掃)RX Mapping'!AJ17-601),IF(AND('(橫掃)RX Mapping'!AJ17&gt;=841,'(橫掃)RX Mapping'!AJ17&lt;=960), (-1)*('(橫掃)RX Mapping'!AJ17-960)+120,9999))))))))</f>
        <v>9999</v>
      </c>
      <c r="AK17">
        <f>IF(AND('(橫掃)RX Mapping'!AK17&gt;=1,'(橫掃)RX Mapping'!AK17&lt;=120), ('(橫掃)RX Mapping'!AK17-1),IF(AND('(橫掃)RX Mapping'!AK17&gt;=121,'(橫掃)RX Mapping'!AK17&lt;=240), (-1)*('(橫掃)RX Mapping'!AK17-240),IF(AND('(橫掃)RX Mapping'!AK17&gt;=241,'(橫掃)RX Mapping'!AK17&lt;=360), ('(橫掃)RX Mapping'!AK17-241),IF(AND('(橫掃)RX Mapping'!AK17&gt;=361,'(橫掃)RX Mapping'!AK17&lt;=480), (-1)*('(橫掃)RX Mapping'!AK17-480),IF(AND('(橫掃)RX Mapping'!AK17&gt;=481,'(橫掃)RX Mapping'!AK17&lt;=600), ('(橫掃)RX Mapping'!AK17-361),IF(AND('(橫掃)RX Mapping'!AK17&gt;=601,'(橫掃)RX Mapping'!AK17&lt;=720), (-1)*('(橫掃)RX Mapping'!AK17-720)+120,IF(AND('(橫掃)RX Mapping'!AK17&gt;=721,'(橫掃)RX Mapping'!AK17&lt;=840), ('(橫掃)RX Mapping'!AK17-601),IF(AND('(橫掃)RX Mapping'!AK17&gt;=841,'(橫掃)RX Mapping'!AK17&lt;=960), (-1)*('(橫掃)RX Mapping'!AK17-960)+120,9999))))))))</f>
        <v>9999</v>
      </c>
      <c r="AL17">
        <f>IF(AND('(橫掃)RX Mapping'!AL17&gt;=1,'(橫掃)RX Mapping'!AL17&lt;=120), ('(橫掃)RX Mapping'!AL17-1),IF(AND('(橫掃)RX Mapping'!AL17&gt;=121,'(橫掃)RX Mapping'!AL17&lt;=240), (-1)*('(橫掃)RX Mapping'!AL17-240),IF(AND('(橫掃)RX Mapping'!AL17&gt;=241,'(橫掃)RX Mapping'!AL17&lt;=360), ('(橫掃)RX Mapping'!AL17-241),IF(AND('(橫掃)RX Mapping'!AL17&gt;=361,'(橫掃)RX Mapping'!AL17&lt;=480), (-1)*('(橫掃)RX Mapping'!AL17-480),IF(AND('(橫掃)RX Mapping'!AL17&gt;=481,'(橫掃)RX Mapping'!AL17&lt;=600), ('(橫掃)RX Mapping'!AL17-361),IF(AND('(橫掃)RX Mapping'!AL17&gt;=601,'(橫掃)RX Mapping'!AL17&lt;=720), (-1)*('(橫掃)RX Mapping'!AL17-720)+120,IF(AND('(橫掃)RX Mapping'!AL17&gt;=721,'(橫掃)RX Mapping'!AL17&lt;=840), ('(橫掃)RX Mapping'!AL17-601),IF(AND('(橫掃)RX Mapping'!AL17&gt;=841,'(橫掃)RX Mapping'!AL17&lt;=960), (-1)*('(橫掃)RX Mapping'!AL17-960)+120,9999))))))))</f>
        <v>9999</v>
      </c>
      <c r="AM17">
        <f>IF(AND('(橫掃)RX Mapping'!AM17&gt;=1,'(橫掃)RX Mapping'!AM17&lt;=120), ('(橫掃)RX Mapping'!AM17-1),IF(AND('(橫掃)RX Mapping'!AM17&gt;=121,'(橫掃)RX Mapping'!AM17&lt;=240), (-1)*('(橫掃)RX Mapping'!AM17-240),IF(AND('(橫掃)RX Mapping'!AM17&gt;=241,'(橫掃)RX Mapping'!AM17&lt;=360), ('(橫掃)RX Mapping'!AM17-241),IF(AND('(橫掃)RX Mapping'!AM17&gt;=361,'(橫掃)RX Mapping'!AM17&lt;=480), (-1)*('(橫掃)RX Mapping'!AM17-480),IF(AND('(橫掃)RX Mapping'!AM17&gt;=481,'(橫掃)RX Mapping'!AM17&lt;=600), ('(橫掃)RX Mapping'!AM17-361),IF(AND('(橫掃)RX Mapping'!AM17&gt;=601,'(橫掃)RX Mapping'!AM17&lt;=720), (-1)*('(橫掃)RX Mapping'!AM17-720)+120,IF(AND('(橫掃)RX Mapping'!AM17&gt;=721,'(橫掃)RX Mapping'!AM17&lt;=840), ('(橫掃)RX Mapping'!AM17-601),IF(AND('(橫掃)RX Mapping'!AM17&gt;=841,'(橫掃)RX Mapping'!AM17&lt;=960), (-1)*('(橫掃)RX Mapping'!AM17-960)+120,9999))))))))</f>
        <v>9999</v>
      </c>
      <c r="AN17">
        <f>IF(AND('(橫掃)RX Mapping'!AN17&gt;=1,'(橫掃)RX Mapping'!AN17&lt;=120), ('(橫掃)RX Mapping'!AN17-1),IF(AND('(橫掃)RX Mapping'!AN17&gt;=121,'(橫掃)RX Mapping'!AN17&lt;=240), (-1)*('(橫掃)RX Mapping'!AN17-240),IF(AND('(橫掃)RX Mapping'!AN17&gt;=241,'(橫掃)RX Mapping'!AN17&lt;=360), ('(橫掃)RX Mapping'!AN17-241),IF(AND('(橫掃)RX Mapping'!AN17&gt;=361,'(橫掃)RX Mapping'!AN17&lt;=480), (-1)*('(橫掃)RX Mapping'!AN17-480),IF(AND('(橫掃)RX Mapping'!AN17&gt;=481,'(橫掃)RX Mapping'!AN17&lt;=600), ('(橫掃)RX Mapping'!AN17-361),IF(AND('(橫掃)RX Mapping'!AN17&gt;=601,'(橫掃)RX Mapping'!AN17&lt;=720), (-1)*('(橫掃)RX Mapping'!AN17-720)+120,IF(AND('(橫掃)RX Mapping'!AN17&gt;=721,'(橫掃)RX Mapping'!AN17&lt;=840), ('(橫掃)RX Mapping'!AN17-601),IF(AND('(橫掃)RX Mapping'!AN17&gt;=841,'(橫掃)RX Mapping'!AN17&lt;=960), (-1)*('(橫掃)RX Mapping'!AN17-960)+120,9999))))))))</f>
        <v>9999</v>
      </c>
      <c r="AO17">
        <f>IF(AND('(橫掃)RX Mapping'!AO17&gt;=1,'(橫掃)RX Mapping'!AO17&lt;=120), ('(橫掃)RX Mapping'!AO17-1),IF(AND('(橫掃)RX Mapping'!AO17&gt;=121,'(橫掃)RX Mapping'!AO17&lt;=240), (-1)*('(橫掃)RX Mapping'!AO17-240),IF(AND('(橫掃)RX Mapping'!AO17&gt;=241,'(橫掃)RX Mapping'!AO17&lt;=360), ('(橫掃)RX Mapping'!AO17-241),IF(AND('(橫掃)RX Mapping'!AO17&gt;=361,'(橫掃)RX Mapping'!AO17&lt;=480), (-1)*('(橫掃)RX Mapping'!AO17-480),IF(AND('(橫掃)RX Mapping'!AO17&gt;=481,'(橫掃)RX Mapping'!AO17&lt;=600), ('(橫掃)RX Mapping'!AO17-361),IF(AND('(橫掃)RX Mapping'!AO17&gt;=601,'(橫掃)RX Mapping'!AO17&lt;=720), (-1)*('(橫掃)RX Mapping'!AO17-720)+120,IF(AND('(橫掃)RX Mapping'!AO17&gt;=721,'(橫掃)RX Mapping'!AO17&lt;=840), ('(橫掃)RX Mapping'!AO17-601),IF(AND('(橫掃)RX Mapping'!AO17&gt;=841,'(橫掃)RX Mapping'!AO17&lt;=960), (-1)*('(橫掃)RX Mapping'!AO17-960)+120,9999))))))))</f>
        <v>9999</v>
      </c>
      <c r="AP17">
        <f>IF(AND('(橫掃)RX Mapping'!AP17&gt;=1,'(橫掃)RX Mapping'!AP17&lt;=120), ('(橫掃)RX Mapping'!AP17-1),IF(AND('(橫掃)RX Mapping'!AP17&gt;=121,'(橫掃)RX Mapping'!AP17&lt;=240), (-1)*('(橫掃)RX Mapping'!AP17-240),IF(AND('(橫掃)RX Mapping'!AP17&gt;=241,'(橫掃)RX Mapping'!AP17&lt;=360), ('(橫掃)RX Mapping'!AP17-241),IF(AND('(橫掃)RX Mapping'!AP17&gt;=361,'(橫掃)RX Mapping'!AP17&lt;=480), (-1)*('(橫掃)RX Mapping'!AP17-480),IF(AND('(橫掃)RX Mapping'!AP17&gt;=481,'(橫掃)RX Mapping'!AP17&lt;=600), ('(橫掃)RX Mapping'!AP17-361),IF(AND('(橫掃)RX Mapping'!AP17&gt;=601,'(橫掃)RX Mapping'!AP17&lt;=720), (-1)*('(橫掃)RX Mapping'!AP17-720)+120,IF(AND('(橫掃)RX Mapping'!AP17&gt;=721,'(橫掃)RX Mapping'!AP17&lt;=840), ('(橫掃)RX Mapping'!AP17-601),IF(AND('(橫掃)RX Mapping'!AP17&gt;=841,'(橫掃)RX Mapping'!AP17&lt;=960), (-1)*('(橫掃)RX Mapping'!AP17-960)+120,9999))))))))</f>
        <v>9999</v>
      </c>
      <c r="AQ17">
        <f>IF(AND('(橫掃)RX Mapping'!AQ17&gt;=1,'(橫掃)RX Mapping'!AQ17&lt;=120), ('(橫掃)RX Mapping'!AQ17-1),IF(AND('(橫掃)RX Mapping'!AQ17&gt;=121,'(橫掃)RX Mapping'!AQ17&lt;=240), (-1)*('(橫掃)RX Mapping'!AQ17-240),IF(AND('(橫掃)RX Mapping'!AQ17&gt;=241,'(橫掃)RX Mapping'!AQ17&lt;=360), ('(橫掃)RX Mapping'!AQ17-241),IF(AND('(橫掃)RX Mapping'!AQ17&gt;=361,'(橫掃)RX Mapping'!AQ17&lt;=480), (-1)*('(橫掃)RX Mapping'!AQ17-480),IF(AND('(橫掃)RX Mapping'!AQ17&gt;=481,'(橫掃)RX Mapping'!AQ17&lt;=600), ('(橫掃)RX Mapping'!AQ17-361),IF(AND('(橫掃)RX Mapping'!AQ17&gt;=601,'(橫掃)RX Mapping'!AQ17&lt;=720), (-1)*('(橫掃)RX Mapping'!AQ17-720)+120,IF(AND('(橫掃)RX Mapping'!AQ17&gt;=721,'(橫掃)RX Mapping'!AQ17&lt;=840), ('(橫掃)RX Mapping'!AQ17-601),IF(AND('(橫掃)RX Mapping'!AQ17&gt;=841,'(橫掃)RX Mapping'!AQ17&lt;=960), (-1)*('(橫掃)RX Mapping'!AQ17-960)+120,9999))))))))</f>
        <v>9999</v>
      </c>
      <c r="AR17">
        <f>IF(AND('(橫掃)RX Mapping'!AR17&gt;=1,'(橫掃)RX Mapping'!AR17&lt;=120), ('(橫掃)RX Mapping'!AR17-1),IF(AND('(橫掃)RX Mapping'!AR17&gt;=121,'(橫掃)RX Mapping'!AR17&lt;=240), (-1)*('(橫掃)RX Mapping'!AR17-240),IF(AND('(橫掃)RX Mapping'!AR17&gt;=241,'(橫掃)RX Mapping'!AR17&lt;=360), ('(橫掃)RX Mapping'!AR17-241),IF(AND('(橫掃)RX Mapping'!AR17&gt;=361,'(橫掃)RX Mapping'!AR17&lt;=480), (-1)*('(橫掃)RX Mapping'!AR17-480),IF(AND('(橫掃)RX Mapping'!AR17&gt;=481,'(橫掃)RX Mapping'!AR17&lt;=600), ('(橫掃)RX Mapping'!AR17-361),IF(AND('(橫掃)RX Mapping'!AR17&gt;=601,'(橫掃)RX Mapping'!AR17&lt;=720), (-1)*('(橫掃)RX Mapping'!AR17-720)+120,IF(AND('(橫掃)RX Mapping'!AR17&gt;=721,'(橫掃)RX Mapping'!AR17&lt;=840), ('(橫掃)RX Mapping'!AR17-601),IF(AND('(橫掃)RX Mapping'!AR17&gt;=841,'(橫掃)RX Mapping'!AR17&lt;=960), (-1)*('(橫掃)RX Mapping'!AR17-960)+120,9999))))))))</f>
        <v>9999</v>
      </c>
      <c r="AS17">
        <f>IF(AND('(橫掃)RX Mapping'!AS17&gt;=1,'(橫掃)RX Mapping'!AS17&lt;=120), ('(橫掃)RX Mapping'!AS17-1),IF(AND('(橫掃)RX Mapping'!AS17&gt;=121,'(橫掃)RX Mapping'!AS17&lt;=240), (-1)*('(橫掃)RX Mapping'!AS17-240),IF(AND('(橫掃)RX Mapping'!AS17&gt;=241,'(橫掃)RX Mapping'!AS17&lt;=360), ('(橫掃)RX Mapping'!AS17-241),IF(AND('(橫掃)RX Mapping'!AS17&gt;=361,'(橫掃)RX Mapping'!AS17&lt;=480), (-1)*('(橫掃)RX Mapping'!AS17-480),IF(AND('(橫掃)RX Mapping'!AS17&gt;=481,'(橫掃)RX Mapping'!AS17&lt;=600), ('(橫掃)RX Mapping'!AS17-361),IF(AND('(橫掃)RX Mapping'!AS17&gt;=601,'(橫掃)RX Mapping'!AS17&lt;=720), (-1)*('(橫掃)RX Mapping'!AS17-720)+120,IF(AND('(橫掃)RX Mapping'!AS17&gt;=721,'(橫掃)RX Mapping'!AS17&lt;=840), ('(橫掃)RX Mapping'!AS17-601),IF(AND('(橫掃)RX Mapping'!AS17&gt;=841,'(橫掃)RX Mapping'!AS17&lt;=960), (-1)*('(橫掃)RX Mapping'!AS17-960)+120,9999))))))))</f>
        <v>9999</v>
      </c>
      <c r="AT17">
        <f>IF(AND('(橫掃)RX Mapping'!AT17&gt;=1,'(橫掃)RX Mapping'!AT17&lt;=120), ('(橫掃)RX Mapping'!AT17-1),IF(AND('(橫掃)RX Mapping'!AT17&gt;=121,'(橫掃)RX Mapping'!AT17&lt;=240), (-1)*('(橫掃)RX Mapping'!AT17-240),IF(AND('(橫掃)RX Mapping'!AT17&gt;=241,'(橫掃)RX Mapping'!AT17&lt;=360), ('(橫掃)RX Mapping'!AT17-241),IF(AND('(橫掃)RX Mapping'!AT17&gt;=361,'(橫掃)RX Mapping'!AT17&lt;=480), (-1)*('(橫掃)RX Mapping'!AT17-480),IF(AND('(橫掃)RX Mapping'!AT17&gt;=481,'(橫掃)RX Mapping'!AT17&lt;=600), ('(橫掃)RX Mapping'!AT17-361),IF(AND('(橫掃)RX Mapping'!AT17&gt;=601,'(橫掃)RX Mapping'!AT17&lt;=720), (-1)*('(橫掃)RX Mapping'!AT17-720)+120,IF(AND('(橫掃)RX Mapping'!AT17&gt;=721,'(橫掃)RX Mapping'!AT17&lt;=840), ('(橫掃)RX Mapping'!AT17-601),IF(AND('(橫掃)RX Mapping'!AT17&gt;=841,'(橫掃)RX Mapping'!AT17&lt;=960), (-1)*('(橫掃)RX Mapping'!AT17-960)+120,9999))))))))</f>
        <v>9999</v>
      </c>
      <c r="AU17">
        <f>IF(AND('(橫掃)RX Mapping'!AU17&gt;=1,'(橫掃)RX Mapping'!AU17&lt;=120), ('(橫掃)RX Mapping'!AU17-1),IF(AND('(橫掃)RX Mapping'!AU17&gt;=121,'(橫掃)RX Mapping'!AU17&lt;=240), (-1)*('(橫掃)RX Mapping'!AU17-240),IF(AND('(橫掃)RX Mapping'!AU17&gt;=241,'(橫掃)RX Mapping'!AU17&lt;=360), ('(橫掃)RX Mapping'!AU17-241),IF(AND('(橫掃)RX Mapping'!AU17&gt;=361,'(橫掃)RX Mapping'!AU17&lt;=480), (-1)*('(橫掃)RX Mapping'!AU17-480),IF(AND('(橫掃)RX Mapping'!AU17&gt;=481,'(橫掃)RX Mapping'!AU17&lt;=600), ('(橫掃)RX Mapping'!AU17-361),IF(AND('(橫掃)RX Mapping'!AU17&gt;=601,'(橫掃)RX Mapping'!AU17&lt;=720), (-1)*('(橫掃)RX Mapping'!AU17-720)+120,IF(AND('(橫掃)RX Mapping'!AU17&gt;=721,'(橫掃)RX Mapping'!AU17&lt;=840), ('(橫掃)RX Mapping'!AU17-601),IF(AND('(橫掃)RX Mapping'!AU17&gt;=841,'(橫掃)RX Mapping'!AU17&lt;=960), (-1)*('(橫掃)RX Mapping'!AU17-960)+120,9999))))))))</f>
        <v>9999</v>
      </c>
      <c r="AV17">
        <f>IF(AND('(橫掃)RX Mapping'!AV17&gt;=1,'(橫掃)RX Mapping'!AV17&lt;=120), ('(橫掃)RX Mapping'!AV17-1),IF(AND('(橫掃)RX Mapping'!AV17&gt;=121,'(橫掃)RX Mapping'!AV17&lt;=240), (-1)*('(橫掃)RX Mapping'!AV17-240),IF(AND('(橫掃)RX Mapping'!AV17&gt;=241,'(橫掃)RX Mapping'!AV17&lt;=360), ('(橫掃)RX Mapping'!AV17-241),IF(AND('(橫掃)RX Mapping'!AV17&gt;=361,'(橫掃)RX Mapping'!AV17&lt;=480), (-1)*('(橫掃)RX Mapping'!AV17-480),IF(AND('(橫掃)RX Mapping'!AV17&gt;=481,'(橫掃)RX Mapping'!AV17&lt;=600), ('(橫掃)RX Mapping'!AV17-361),IF(AND('(橫掃)RX Mapping'!AV17&gt;=601,'(橫掃)RX Mapping'!AV17&lt;=720), (-1)*('(橫掃)RX Mapping'!AV17-720)+120,IF(AND('(橫掃)RX Mapping'!AV17&gt;=721,'(橫掃)RX Mapping'!AV17&lt;=840), ('(橫掃)RX Mapping'!AV17-601),IF(AND('(橫掃)RX Mapping'!AV17&gt;=841,'(橫掃)RX Mapping'!AV17&lt;=960), (-1)*('(橫掃)RX Mapping'!AV17-960)+120,9999))))))))</f>
        <v>9999</v>
      </c>
      <c r="AW17">
        <f>IF(AND('(橫掃)RX Mapping'!AW17&gt;=1,'(橫掃)RX Mapping'!AW17&lt;=120), ('(橫掃)RX Mapping'!AW17-1),IF(AND('(橫掃)RX Mapping'!AW17&gt;=121,'(橫掃)RX Mapping'!AW17&lt;=240), (-1)*('(橫掃)RX Mapping'!AW17-240),IF(AND('(橫掃)RX Mapping'!AW17&gt;=241,'(橫掃)RX Mapping'!AW17&lt;=360), ('(橫掃)RX Mapping'!AW17-241),IF(AND('(橫掃)RX Mapping'!AW17&gt;=361,'(橫掃)RX Mapping'!AW17&lt;=480), (-1)*('(橫掃)RX Mapping'!AW17-480),IF(AND('(橫掃)RX Mapping'!AW17&gt;=481,'(橫掃)RX Mapping'!AW17&lt;=600), ('(橫掃)RX Mapping'!AW17-361),IF(AND('(橫掃)RX Mapping'!AW17&gt;=601,'(橫掃)RX Mapping'!AW17&lt;=720), (-1)*('(橫掃)RX Mapping'!AW17-720)+120,IF(AND('(橫掃)RX Mapping'!AW17&gt;=721,'(橫掃)RX Mapping'!AW17&lt;=840), ('(橫掃)RX Mapping'!AW17-601),IF(AND('(橫掃)RX Mapping'!AW17&gt;=841,'(橫掃)RX Mapping'!AW17&lt;=960), (-1)*('(橫掃)RX Mapping'!AW17-960)+120,9999))))))))</f>
        <v>9999</v>
      </c>
      <c r="AX17">
        <f>IF(AND('(橫掃)RX Mapping'!AX17&gt;=1,'(橫掃)RX Mapping'!AX17&lt;=120), ('(橫掃)RX Mapping'!AX17-1),IF(AND('(橫掃)RX Mapping'!AX17&gt;=121,'(橫掃)RX Mapping'!AX17&lt;=240), (-1)*('(橫掃)RX Mapping'!AX17-240),IF(AND('(橫掃)RX Mapping'!AX17&gt;=241,'(橫掃)RX Mapping'!AX17&lt;=360), ('(橫掃)RX Mapping'!AX17-241),IF(AND('(橫掃)RX Mapping'!AX17&gt;=361,'(橫掃)RX Mapping'!AX17&lt;=480), (-1)*('(橫掃)RX Mapping'!AX17-480),IF(AND('(橫掃)RX Mapping'!AX17&gt;=481,'(橫掃)RX Mapping'!AX17&lt;=600), ('(橫掃)RX Mapping'!AX17-361),IF(AND('(橫掃)RX Mapping'!AX17&gt;=601,'(橫掃)RX Mapping'!AX17&lt;=720), (-1)*('(橫掃)RX Mapping'!AX17-720)+120,IF(AND('(橫掃)RX Mapping'!AX17&gt;=721,'(橫掃)RX Mapping'!AX17&lt;=840), ('(橫掃)RX Mapping'!AX17-601),IF(AND('(橫掃)RX Mapping'!AX17&gt;=841,'(橫掃)RX Mapping'!AX17&lt;=960), (-1)*('(橫掃)RX Mapping'!AX17-960)+120,9999))))))))</f>
        <v>9999</v>
      </c>
      <c r="AY17">
        <f>IF(AND('(橫掃)RX Mapping'!AY17&gt;=1,'(橫掃)RX Mapping'!AY17&lt;=120), ('(橫掃)RX Mapping'!AY17-1),IF(AND('(橫掃)RX Mapping'!AY17&gt;=121,'(橫掃)RX Mapping'!AY17&lt;=240), (-1)*('(橫掃)RX Mapping'!AY17-240),IF(AND('(橫掃)RX Mapping'!AY17&gt;=241,'(橫掃)RX Mapping'!AY17&lt;=360), ('(橫掃)RX Mapping'!AY17-241),IF(AND('(橫掃)RX Mapping'!AY17&gt;=361,'(橫掃)RX Mapping'!AY17&lt;=480), (-1)*('(橫掃)RX Mapping'!AY17-480),IF(AND('(橫掃)RX Mapping'!AY17&gt;=481,'(橫掃)RX Mapping'!AY17&lt;=600), ('(橫掃)RX Mapping'!AY17-361),IF(AND('(橫掃)RX Mapping'!AY17&gt;=601,'(橫掃)RX Mapping'!AY17&lt;=720), (-1)*('(橫掃)RX Mapping'!AY17-720)+120,IF(AND('(橫掃)RX Mapping'!AY17&gt;=721,'(橫掃)RX Mapping'!AY17&lt;=840), ('(橫掃)RX Mapping'!AY17-601),IF(AND('(橫掃)RX Mapping'!AY17&gt;=841,'(橫掃)RX Mapping'!AY17&lt;=960), (-1)*('(橫掃)RX Mapping'!AY17-960)+120,9999))))))))</f>
        <v>9999</v>
      </c>
      <c r="AZ17">
        <f>IF(AND('(橫掃)RX Mapping'!AZ17&gt;=1,'(橫掃)RX Mapping'!AZ17&lt;=120), ('(橫掃)RX Mapping'!AZ17-1),IF(AND('(橫掃)RX Mapping'!AZ17&gt;=121,'(橫掃)RX Mapping'!AZ17&lt;=240), (-1)*('(橫掃)RX Mapping'!AZ17-240),IF(AND('(橫掃)RX Mapping'!AZ17&gt;=241,'(橫掃)RX Mapping'!AZ17&lt;=360), ('(橫掃)RX Mapping'!AZ17-241),IF(AND('(橫掃)RX Mapping'!AZ17&gt;=361,'(橫掃)RX Mapping'!AZ17&lt;=480), (-1)*('(橫掃)RX Mapping'!AZ17-480),IF(AND('(橫掃)RX Mapping'!AZ17&gt;=481,'(橫掃)RX Mapping'!AZ17&lt;=600), ('(橫掃)RX Mapping'!AZ17-361),IF(AND('(橫掃)RX Mapping'!AZ17&gt;=601,'(橫掃)RX Mapping'!AZ17&lt;=720), (-1)*('(橫掃)RX Mapping'!AZ17-720)+120,IF(AND('(橫掃)RX Mapping'!AZ17&gt;=721,'(橫掃)RX Mapping'!AZ17&lt;=840), ('(橫掃)RX Mapping'!AZ17-601),IF(AND('(橫掃)RX Mapping'!AZ17&gt;=841,'(橫掃)RX Mapping'!AZ17&lt;=960), (-1)*('(橫掃)RX Mapping'!AZ17-960)+120,9999))))))))</f>
        <v>9999</v>
      </c>
      <c r="BA17">
        <f>IF(AND('(橫掃)RX Mapping'!BA17&gt;=1,'(橫掃)RX Mapping'!BA17&lt;=120), ('(橫掃)RX Mapping'!BA17-1),IF(AND('(橫掃)RX Mapping'!BA17&gt;=121,'(橫掃)RX Mapping'!BA17&lt;=240), (-1)*('(橫掃)RX Mapping'!BA17-240),IF(AND('(橫掃)RX Mapping'!BA17&gt;=241,'(橫掃)RX Mapping'!BA17&lt;=360), ('(橫掃)RX Mapping'!BA17-241),IF(AND('(橫掃)RX Mapping'!BA17&gt;=361,'(橫掃)RX Mapping'!BA17&lt;=480), (-1)*('(橫掃)RX Mapping'!BA17-480),IF(AND('(橫掃)RX Mapping'!BA17&gt;=481,'(橫掃)RX Mapping'!BA17&lt;=600), ('(橫掃)RX Mapping'!BA17-361),IF(AND('(橫掃)RX Mapping'!BA17&gt;=601,'(橫掃)RX Mapping'!BA17&lt;=720), (-1)*('(橫掃)RX Mapping'!BA17-720)+120,IF(AND('(橫掃)RX Mapping'!BA17&gt;=721,'(橫掃)RX Mapping'!BA17&lt;=840), ('(橫掃)RX Mapping'!BA17-601),IF(AND('(橫掃)RX Mapping'!BA17&gt;=841,'(橫掃)RX Mapping'!BA17&lt;=960), (-1)*('(橫掃)RX Mapping'!BA17-960)+120,9999))))))))</f>
        <v>9999</v>
      </c>
      <c r="BB17">
        <f>IF(AND('(橫掃)RX Mapping'!BB17&gt;=1,'(橫掃)RX Mapping'!BB17&lt;=120), ('(橫掃)RX Mapping'!BB17-1),IF(AND('(橫掃)RX Mapping'!BB17&gt;=121,'(橫掃)RX Mapping'!BB17&lt;=240), (-1)*('(橫掃)RX Mapping'!BB17-240),IF(AND('(橫掃)RX Mapping'!BB17&gt;=241,'(橫掃)RX Mapping'!BB17&lt;=360), ('(橫掃)RX Mapping'!BB17-241),IF(AND('(橫掃)RX Mapping'!BB17&gt;=361,'(橫掃)RX Mapping'!BB17&lt;=480), (-1)*('(橫掃)RX Mapping'!BB17-480),IF(AND('(橫掃)RX Mapping'!BB17&gt;=481,'(橫掃)RX Mapping'!BB17&lt;=600), ('(橫掃)RX Mapping'!BB17-361),IF(AND('(橫掃)RX Mapping'!BB17&gt;=601,'(橫掃)RX Mapping'!BB17&lt;=720), (-1)*('(橫掃)RX Mapping'!BB17-720)+120,IF(AND('(橫掃)RX Mapping'!BB17&gt;=721,'(橫掃)RX Mapping'!BB17&lt;=840), ('(橫掃)RX Mapping'!BB17-601),IF(AND('(橫掃)RX Mapping'!BB17&gt;=841,'(橫掃)RX Mapping'!BB17&lt;=960), (-1)*('(橫掃)RX Mapping'!BB17-960)+120,9999))))))))</f>
        <v>9999</v>
      </c>
      <c r="BC17">
        <f>IF(AND('(橫掃)RX Mapping'!BC17&gt;=1,'(橫掃)RX Mapping'!BC17&lt;=120), ('(橫掃)RX Mapping'!BC17-1),IF(AND('(橫掃)RX Mapping'!BC17&gt;=121,'(橫掃)RX Mapping'!BC17&lt;=240), (-1)*('(橫掃)RX Mapping'!BC17-240),IF(AND('(橫掃)RX Mapping'!BC17&gt;=241,'(橫掃)RX Mapping'!BC17&lt;=360), ('(橫掃)RX Mapping'!BC17-241),IF(AND('(橫掃)RX Mapping'!BC17&gt;=361,'(橫掃)RX Mapping'!BC17&lt;=480), (-1)*('(橫掃)RX Mapping'!BC17-480),IF(AND('(橫掃)RX Mapping'!BC17&gt;=481,'(橫掃)RX Mapping'!BC17&lt;=600), ('(橫掃)RX Mapping'!BC17-361),IF(AND('(橫掃)RX Mapping'!BC17&gt;=601,'(橫掃)RX Mapping'!BC17&lt;=720), (-1)*('(橫掃)RX Mapping'!BC17-720)+120,IF(AND('(橫掃)RX Mapping'!BC17&gt;=721,'(橫掃)RX Mapping'!BC17&lt;=840), ('(橫掃)RX Mapping'!BC17-601),IF(AND('(橫掃)RX Mapping'!BC17&gt;=841,'(橫掃)RX Mapping'!BC17&lt;=960), (-1)*('(橫掃)RX Mapping'!BC17-960)+120,9999))))))))</f>
        <v>9999</v>
      </c>
      <c r="BD17">
        <f>IF(AND('(橫掃)RX Mapping'!BD17&gt;=1,'(橫掃)RX Mapping'!BD17&lt;=120), ('(橫掃)RX Mapping'!BD17-1),IF(AND('(橫掃)RX Mapping'!BD17&gt;=121,'(橫掃)RX Mapping'!BD17&lt;=240), (-1)*('(橫掃)RX Mapping'!BD17-240),IF(AND('(橫掃)RX Mapping'!BD17&gt;=241,'(橫掃)RX Mapping'!BD17&lt;=360), ('(橫掃)RX Mapping'!BD17-241),IF(AND('(橫掃)RX Mapping'!BD17&gt;=361,'(橫掃)RX Mapping'!BD17&lt;=480), (-1)*('(橫掃)RX Mapping'!BD17-480),IF(AND('(橫掃)RX Mapping'!BD17&gt;=481,'(橫掃)RX Mapping'!BD17&lt;=600), ('(橫掃)RX Mapping'!BD17-361),IF(AND('(橫掃)RX Mapping'!BD17&gt;=601,'(橫掃)RX Mapping'!BD17&lt;=720), (-1)*('(橫掃)RX Mapping'!BD17-720)+120,IF(AND('(橫掃)RX Mapping'!BD17&gt;=721,'(橫掃)RX Mapping'!BD17&lt;=840), ('(橫掃)RX Mapping'!BD17-601),IF(AND('(橫掃)RX Mapping'!BD17&gt;=841,'(橫掃)RX Mapping'!BD17&lt;=960), (-1)*('(橫掃)RX Mapping'!BD17-960)+120,9999))))))))</f>
        <v>9999</v>
      </c>
      <c r="BE17">
        <f>IF(AND('(橫掃)RX Mapping'!BE17&gt;=1,'(橫掃)RX Mapping'!BE17&lt;=120), ('(橫掃)RX Mapping'!BE17-1),IF(AND('(橫掃)RX Mapping'!BE17&gt;=121,'(橫掃)RX Mapping'!BE17&lt;=240), (-1)*('(橫掃)RX Mapping'!BE17-240),IF(AND('(橫掃)RX Mapping'!BE17&gt;=241,'(橫掃)RX Mapping'!BE17&lt;=360), ('(橫掃)RX Mapping'!BE17-241),IF(AND('(橫掃)RX Mapping'!BE17&gt;=361,'(橫掃)RX Mapping'!BE17&lt;=480), (-1)*('(橫掃)RX Mapping'!BE17-480),IF(AND('(橫掃)RX Mapping'!BE17&gt;=481,'(橫掃)RX Mapping'!BE17&lt;=600), ('(橫掃)RX Mapping'!BE17-361),IF(AND('(橫掃)RX Mapping'!BE17&gt;=601,'(橫掃)RX Mapping'!BE17&lt;=720), (-1)*('(橫掃)RX Mapping'!BE17-720)+120,IF(AND('(橫掃)RX Mapping'!BE17&gt;=721,'(橫掃)RX Mapping'!BE17&lt;=840), ('(橫掃)RX Mapping'!BE17-601),IF(AND('(橫掃)RX Mapping'!BE17&gt;=841,'(橫掃)RX Mapping'!BE17&lt;=960), (-1)*('(橫掃)RX Mapping'!BE17-960)+120,9999))))))))</f>
        <v>9999</v>
      </c>
      <c r="BF17">
        <f>IF(AND('(橫掃)RX Mapping'!BF17&gt;=1,'(橫掃)RX Mapping'!BF17&lt;=120), ('(橫掃)RX Mapping'!BF17-1),IF(AND('(橫掃)RX Mapping'!BF17&gt;=121,'(橫掃)RX Mapping'!BF17&lt;=240), (-1)*('(橫掃)RX Mapping'!BF17-240),IF(AND('(橫掃)RX Mapping'!BF17&gt;=241,'(橫掃)RX Mapping'!BF17&lt;=360), ('(橫掃)RX Mapping'!BF17-241),IF(AND('(橫掃)RX Mapping'!BF17&gt;=361,'(橫掃)RX Mapping'!BF17&lt;=480), (-1)*('(橫掃)RX Mapping'!BF17-480),IF(AND('(橫掃)RX Mapping'!BF17&gt;=481,'(橫掃)RX Mapping'!BF17&lt;=600), ('(橫掃)RX Mapping'!BF17-361),IF(AND('(橫掃)RX Mapping'!BF17&gt;=601,'(橫掃)RX Mapping'!BF17&lt;=720), (-1)*('(橫掃)RX Mapping'!BF17-720)+120,IF(AND('(橫掃)RX Mapping'!BF17&gt;=721,'(橫掃)RX Mapping'!BF17&lt;=840), ('(橫掃)RX Mapping'!BF17-601),IF(AND('(橫掃)RX Mapping'!BF17&gt;=841,'(橫掃)RX Mapping'!BF17&lt;=960), (-1)*('(橫掃)RX Mapping'!BF17-960)+120,9999))))))))</f>
        <v>9999</v>
      </c>
      <c r="BG17">
        <f>IF(AND('(橫掃)RX Mapping'!BG17&gt;=1,'(橫掃)RX Mapping'!BG17&lt;=120), ('(橫掃)RX Mapping'!BG17-1),IF(AND('(橫掃)RX Mapping'!BG17&gt;=121,'(橫掃)RX Mapping'!BG17&lt;=240), (-1)*('(橫掃)RX Mapping'!BG17-240),IF(AND('(橫掃)RX Mapping'!BG17&gt;=241,'(橫掃)RX Mapping'!BG17&lt;=360), ('(橫掃)RX Mapping'!BG17-241),IF(AND('(橫掃)RX Mapping'!BG17&gt;=361,'(橫掃)RX Mapping'!BG17&lt;=480), (-1)*('(橫掃)RX Mapping'!BG17-480),IF(AND('(橫掃)RX Mapping'!BG17&gt;=481,'(橫掃)RX Mapping'!BG17&lt;=600), ('(橫掃)RX Mapping'!BG17-361),IF(AND('(橫掃)RX Mapping'!BG17&gt;=601,'(橫掃)RX Mapping'!BG17&lt;=720), (-1)*('(橫掃)RX Mapping'!BG17-720)+120,IF(AND('(橫掃)RX Mapping'!BG17&gt;=721,'(橫掃)RX Mapping'!BG17&lt;=840), ('(橫掃)RX Mapping'!BG17-601),IF(AND('(橫掃)RX Mapping'!BG17&gt;=841,'(橫掃)RX Mapping'!BG17&lt;=960), (-1)*('(橫掃)RX Mapping'!BG17-960)+120,9999))))))))</f>
        <v>9999</v>
      </c>
      <c r="BH17">
        <f>IF(AND('(橫掃)RX Mapping'!BH17&gt;=1,'(橫掃)RX Mapping'!BH17&lt;=120), ('(橫掃)RX Mapping'!BH17-1),IF(AND('(橫掃)RX Mapping'!BH17&gt;=121,'(橫掃)RX Mapping'!BH17&lt;=240), (-1)*('(橫掃)RX Mapping'!BH17-240),IF(AND('(橫掃)RX Mapping'!BH17&gt;=241,'(橫掃)RX Mapping'!BH17&lt;=360), ('(橫掃)RX Mapping'!BH17-241),IF(AND('(橫掃)RX Mapping'!BH17&gt;=361,'(橫掃)RX Mapping'!BH17&lt;=480), (-1)*('(橫掃)RX Mapping'!BH17-480),IF(AND('(橫掃)RX Mapping'!BH17&gt;=481,'(橫掃)RX Mapping'!BH17&lt;=600), ('(橫掃)RX Mapping'!BH17-361),IF(AND('(橫掃)RX Mapping'!BH17&gt;=601,'(橫掃)RX Mapping'!BH17&lt;=720), (-1)*('(橫掃)RX Mapping'!BH17-720)+120,IF(AND('(橫掃)RX Mapping'!BH17&gt;=721,'(橫掃)RX Mapping'!BH17&lt;=840), ('(橫掃)RX Mapping'!BH17-601),IF(AND('(橫掃)RX Mapping'!BH17&gt;=841,'(橫掃)RX Mapping'!BH17&lt;=960), (-1)*('(橫掃)RX Mapping'!BH17-960)+120,9999))))))))</f>
        <v>9999</v>
      </c>
      <c r="BI17">
        <f>IF(AND('(橫掃)RX Mapping'!BI17&gt;=1,'(橫掃)RX Mapping'!BI17&lt;=120), ('(橫掃)RX Mapping'!BI17-1),IF(AND('(橫掃)RX Mapping'!BI17&gt;=121,'(橫掃)RX Mapping'!BI17&lt;=240), (-1)*('(橫掃)RX Mapping'!BI17-240),IF(AND('(橫掃)RX Mapping'!BI17&gt;=241,'(橫掃)RX Mapping'!BI17&lt;=360), ('(橫掃)RX Mapping'!BI17-241),IF(AND('(橫掃)RX Mapping'!BI17&gt;=361,'(橫掃)RX Mapping'!BI17&lt;=480), (-1)*('(橫掃)RX Mapping'!BI17-480),IF(AND('(橫掃)RX Mapping'!BI17&gt;=481,'(橫掃)RX Mapping'!BI17&lt;=600), ('(橫掃)RX Mapping'!BI17-361),IF(AND('(橫掃)RX Mapping'!BI17&gt;=601,'(橫掃)RX Mapping'!BI17&lt;=720), (-1)*('(橫掃)RX Mapping'!BI17-720)+120,IF(AND('(橫掃)RX Mapping'!BI17&gt;=721,'(橫掃)RX Mapping'!BI17&lt;=840), ('(橫掃)RX Mapping'!BI17-601),IF(AND('(橫掃)RX Mapping'!BI17&gt;=841,'(橫掃)RX Mapping'!BI17&lt;=960), (-1)*('(橫掃)RX Mapping'!BI17-960)+120,9999))))))))</f>
        <v>9999</v>
      </c>
    </row>
    <row r="18" spans="1:61" x14ac:dyDescent="0.25">
      <c r="A18" s="20">
        <v>17</v>
      </c>
      <c r="B18">
        <f>IF(AND('(橫掃)RX Mapping'!B18&gt;=1,'(橫掃)RX Mapping'!B18&lt;=120), ('(橫掃)RX Mapping'!B18-1),IF(AND('(橫掃)RX Mapping'!B18&gt;=121,'(橫掃)RX Mapping'!B18&lt;=240), (-1)*('(橫掃)RX Mapping'!B18-240),IF(AND('(橫掃)RX Mapping'!B18&gt;=241,'(橫掃)RX Mapping'!B18&lt;=360), ('(橫掃)RX Mapping'!B18-241),IF(AND('(橫掃)RX Mapping'!B18&gt;=361,'(橫掃)RX Mapping'!B18&lt;=480), (-1)*('(橫掃)RX Mapping'!B18-480),IF(AND('(橫掃)RX Mapping'!B18&gt;=481,'(橫掃)RX Mapping'!B18&lt;=600), ('(橫掃)RX Mapping'!B18-361),IF(AND('(橫掃)RX Mapping'!B18&gt;=601,'(橫掃)RX Mapping'!B18&lt;=720), (-1)*('(橫掃)RX Mapping'!B18-720)+120,IF(AND('(橫掃)RX Mapping'!B18&gt;=721,'(橫掃)RX Mapping'!B18&lt;=840), ('(橫掃)RX Mapping'!B18-601),IF(AND('(橫掃)RX Mapping'!B18&gt;=841,'(橫掃)RX Mapping'!B18&lt;=960), (-1)*('(橫掃)RX Mapping'!B18-960)+120,9999))))))))</f>
        <v>16</v>
      </c>
      <c r="C18">
        <f>IF(AND('(橫掃)RX Mapping'!C18&gt;=1,'(橫掃)RX Mapping'!C18&lt;=120), ('(橫掃)RX Mapping'!C18-1),IF(AND('(橫掃)RX Mapping'!C18&gt;=121,'(橫掃)RX Mapping'!C18&lt;=240), (-1)*('(橫掃)RX Mapping'!C18-240),IF(AND('(橫掃)RX Mapping'!C18&gt;=241,'(橫掃)RX Mapping'!C18&lt;=360), ('(橫掃)RX Mapping'!C18-241),IF(AND('(橫掃)RX Mapping'!C18&gt;=361,'(橫掃)RX Mapping'!C18&lt;=480), (-1)*('(橫掃)RX Mapping'!C18-480),IF(AND('(橫掃)RX Mapping'!C18&gt;=481,'(橫掃)RX Mapping'!C18&lt;=600), ('(橫掃)RX Mapping'!C18-361),IF(AND('(橫掃)RX Mapping'!C18&gt;=601,'(橫掃)RX Mapping'!C18&lt;=720), (-1)*('(橫掃)RX Mapping'!C18-720)+120,IF(AND('(橫掃)RX Mapping'!C18&gt;=721,'(橫掃)RX Mapping'!C18&lt;=840), ('(橫掃)RX Mapping'!C18-601),IF(AND('(橫掃)RX Mapping'!C18&gt;=841,'(橫掃)RX Mapping'!C18&lt;=960), (-1)*('(橫掃)RX Mapping'!C18-960)+120,9999))))))))</f>
        <v>48</v>
      </c>
      <c r="D18">
        <f>IF(AND('(橫掃)RX Mapping'!D18&gt;=1,'(橫掃)RX Mapping'!D18&lt;=120), ('(橫掃)RX Mapping'!D18-1),IF(AND('(橫掃)RX Mapping'!D18&gt;=121,'(橫掃)RX Mapping'!D18&lt;=240), (-1)*('(橫掃)RX Mapping'!D18-240),IF(AND('(橫掃)RX Mapping'!D18&gt;=241,'(橫掃)RX Mapping'!D18&lt;=360), ('(橫掃)RX Mapping'!D18-241),IF(AND('(橫掃)RX Mapping'!D18&gt;=361,'(橫掃)RX Mapping'!D18&lt;=480), (-1)*('(橫掃)RX Mapping'!D18-480),IF(AND('(橫掃)RX Mapping'!D18&gt;=481,'(橫掃)RX Mapping'!D18&lt;=600), ('(橫掃)RX Mapping'!D18-361),IF(AND('(橫掃)RX Mapping'!D18&gt;=601,'(橫掃)RX Mapping'!D18&lt;=720), (-1)*('(橫掃)RX Mapping'!D18-720)+120,IF(AND('(橫掃)RX Mapping'!D18&gt;=721,'(橫掃)RX Mapping'!D18&lt;=840), ('(橫掃)RX Mapping'!D18-601),IF(AND('(橫掃)RX Mapping'!D18&gt;=841,'(橫掃)RX Mapping'!D18&lt;=960), (-1)*('(橫掃)RX Mapping'!D18-960)+120,9999))))))))</f>
        <v>80</v>
      </c>
      <c r="E18">
        <f>IF(AND('(橫掃)RX Mapping'!E18&gt;=1,'(橫掃)RX Mapping'!E18&lt;=120), ('(橫掃)RX Mapping'!E18-1),IF(AND('(橫掃)RX Mapping'!E18&gt;=121,'(橫掃)RX Mapping'!E18&lt;=240), (-1)*('(橫掃)RX Mapping'!E18-240),IF(AND('(橫掃)RX Mapping'!E18&gt;=241,'(橫掃)RX Mapping'!E18&lt;=360), ('(橫掃)RX Mapping'!E18-241),IF(AND('(橫掃)RX Mapping'!E18&gt;=361,'(橫掃)RX Mapping'!E18&lt;=480), (-1)*('(橫掃)RX Mapping'!E18-480),IF(AND('(橫掃)RX Mapping'!E18&gt;=481,'(橫掃)RX Mapping'!E18&lt;=600), ('(橫掃)RX Mapping'!E18-361),IF(AND('(橫掃)RX Mapping'!E18&gt;=601,'(橫掃)RX Mapping'!E18&lt;=720), (-1)*('(橫掃)RX Mapping'!E18-720)+120,IF(AND('(橫掃)RX Mapping'!E18&gt;=721,'(橫掃)RX Mapping'!E18&lt;=840), ('(橫掃)RX Mapping'!E18-601),IF(AND('(橫掃)RX Mapping'!E18&gt;=841,'(橫掃)RX Mapping'!E18&lt;=960), (-1)*('(橫掃)RX Mapping'!E18-960)+120,9999))))))))</f>
        <v>112</v>
      </c>
      <c r="F18">
        <f>IF(AND('(橫掃)RX Mapping'!F18&gt;=1,'(橫掃)RX Mapping'!F18&lt;=120), ('(橫掃)RX Mapping'!F18-1),IF(AND('(橫掃)RX Mapping'!F18&gt;=121,'(橫掃)RX Mapping'!F18&lt;=240), (-1)*('(橫掃)RX Mapping'!F18-240),IF(AND('(橫掃)RX Mapping'!F18&gt;=241,'(橫掃)RX Mapping'!F18&lt;=360), ('(橫掃)RX Mapping'!F18-241),IF(AND('(橫掃)RX Mapping'!F18&gt;=361,'(橫掃)RX Mapping'!F18&lt;=480), (-1)*('(橫掃)RX Mapping'!F18-480),IF(AND('(橫掃)RX Mapping'!F18&gt;=481,'(橫掃)RX Mapping'!F18&lt;=600), ('(橫掃)RX Mapping'!F18-361),IF(AND('(橫掃)RX Mapping'!F18&gt;=601,'(橫掃)RX Mapping'!F18&lt;=720), (-1)*('(橫掃)RX Mapping'!F18-720)+120,IF(AND('(橫掃)RX Mapping'!F18&gt;=721,'(橫掃)RX Mapping'!F18&lt;=840), ('(橫掃)RX Mapping'!F18-601),IF(AND('(橫掃)RX Mapping'!F18&gt;=841,'(橫掃)RX Mapping'!F18&lt;=960), (-1)*('(橫掃)RX Mapping'!F18-960)+120,9999))))))))</f>
        <v>95</v>
      </c>
      <c r="G18">
        <f>IF(AND('(橫掃)RX Mapping'!G18&gt;=1,'(橫掃)RX Mapping'!G18&lt;=120), ('(橫掃)RX Mapping'!G18-1),IF(AND('(橫掃)RX Mapping'!G18&gt;=121,'(橫掃)RX Mapping'!G18&lt;=240), (-1)*('(橫掃)RX Mapping'!G18-240),IF(AND('(橫掃)RX Mapping'!G18&gt;=241,'(橫掃)RX Mapping'!G18&lt;=360), ('(橫掃)RX Mapping'!G18-241),IF(AND('(橫掃)RX Mapping'!G18&gt;=361,'(橫掃)RX Mapping'!G18&lt;=480), (-1)*('(橫掃)RX Mapping'!G18-480),IF(AND('(橫掃)RX Mapping'!G18&gt;=481,'(橫掃)RX Mapping'!G18&lt;=600), ('(橫掃)RX Mapping'!G18-361),IF(AND('(橫掃)RX Mapping'!G18&gt;=601,'(橫掃)RX Mapping'!G18&lt;=720), (-1)*('(橫掃)RX Mapping'!G18-720)+120,IF(AND('(橫掃)RX Mapping'!G18&gt;=721,'(橫掃)RX Mapping'!G18&lt;=840), ('(橫掃)RX Mapping'!G18-601),IF(AND('(橫掃)RX Mapping'!G18&gt;=841,'(橫掃)RX Mapping'!G18&lt;=960), (-1)*('(橫掃)RX Mapping'!G18-960)+120,9999))))))))</f>
        <v>63</v>
      </c>
      <c r="H18">
        <f>IF(AND('(橫掃)RX Mapping'!H18&gt;=1,'(橫掃)RX Mapping'!H18&lt;=120), ('(橫掃)RX Mapping'!H18-1),IF(AND('(橫掃)RX Mapping'!H18&gt;=121,'(橫掃)RX Mapping'!H18&lt;=240), (-1)*('(橫掃)RX Mapping'!H18-240),IF(AND('(橫掃)RX Mapping'!H18&gt;=241,'(橫掃)RX Mapping'!H18&lt;=360), ('(橫掃)RX Mapping'!H18-241),IF(AND('(橫掃)RX Mapping'!H18&gt;=361,'(橫掃)RX Mapping'!H18&lt;=480), (-1)*('(橫掃)RX Mapping'!H18-480),IF(AND('(橫掃)RX Mapping'!H18&gt;=481,'(橫掃)RX Mapping'!H18&lt;=600), ('(橫掃)RX Mapping'!H18-361),IF(AND('(橫掃)RX Mapping'!H18&gt;=601,'(橫掃)RX Mapping'!H18&lt;=720), (-1)*('(橫掃)RX Mapping'!H18-720)+120,IF(AND('(橫掃)RX Mapping'!H18&gt;=721,'(橫掃)RX Mapping'!H18&lt;=840), ('(橫掃)RX Mapping'!H18-601),IF(AND('(橫掃)RX Mapping'!H18&gt;=841,'(橫掃)RX Mapping'!H18&lt;=960), (-1)*('(橫掃)RX Mapping'!H18-960)+120,9999))))))))</f>
        <v>31</v>
      </c>
      <c r="I18">
        <f>IF(AND('(橫掃)RX Mapping'!I18&gt;=1,'(橫掃)RX Mapping'!I18&lt;=120), ('(橫掃)RX Mapping'!I18-1),IF(AND('(橫掃)RX Mapping'!I18&gt;=121,'(橫掃)RX Mapping'!I18&lt;=240), (-1)*('(橫掃)RX Mapping'!I18-240),IF(AND('(橫掃)RX Mapping'!I18&gt;=241,'(橫掃)RX Mapping'!I18&lt;=360), ('(橫掃)RX Mapping'!I18-241),IF(AND('(橫掃)RX Mapping'!I18&gt;=361,'(橫掃)RX Mapping'!I18&lt;=480), (-1)*('(橫掃)RX Mapping'!I18-480),IF(AND('(橫掃)RX Mapping'!I18&gt;=481,'(橫掃)RX Mapping'!I18&lt;=600), ('(橫掃)RX Mapping'!I18-361),IF(AND('(橫掃)RX Mapping'!I18&gt;=601,'(橫掃)RX Mapping'!I18&lt;=720), (-1)*('(橫掃)RX Mapping'!I18-720)+120,IF(AND('(橫掃)RX Mapping'!I18&gt;=721,'(橫掃)RX Mapping'!I18&lt;=840), ('(橫掃)RX Mapping'!I18-601),IF(AND('(橫掃)RX Mapping'!I18&gt;=841,'(橫掃)RX Mapping'!I18&lt;=960), (-1)*('(橫掃)RX Mapping'!I18-960)+120,9999))))))))</f>
        <v>16</v>
      </c>
      <c r="J18">
        <f>IF(AND('(橫掃)RX Mapping'!J18&gt;=1,'(橫掃)RX Mapping'!J18&lt;=120), ('(橫掃)RX Mapping'!J18-1),IF(AND('(橫掃)RX Mapping'!J18&gt;=121,'(橫掃)RX Mapping'!J18&lt;=240), (-1)*('(橫掃)RX Mapping'!J18-240),IF(AND('(橫掃)RX Mapping'!J18&gt;=241,'(橫掃)RX Mapping'!J18&lt;=360), ('(橫掃)RX Mapping'!J18-241),IF(AND('(橫掃)RX Mapping'!J18&gt;=361,'(橫掃)RX Mapping'!J18&lt;=480), (-1)*('(橫掃)RX Mapping'!J18-480),IF(AND('(橫掃)RX Mapping'!J18&gt;=481,'(橫掃)RX Mapping'!J18&lt;=600), ('(橫掃)RX Mapping'!J18-361),IF(AND('(橫掃)RX Mapping'!J18&gt;=601,'(橫掃)RX Mapping'!J18&lt;=720), (-1)*('(橫掃)RX Mapping'!J18-720)+120,IF(AND('(橫掃)RX Mapping'!J18&gt;=721,'(橫掃)RX Mapping'!J18&lt;=840), ('(橫掃)RX Mapping'!J18-601),IF(AND('(橫掃)RX Mapping'!J18&gt;=841,'(橫掃)RX Mapping'!J18&lt;=960), (-1)*('(橫掃)RX Mapping'!J18-960)+120,9999))))))))</f>
        <v>48</v>
      </c>
      <c r="K18">
        <f>IF(AND('(橫掃)RX Mapping'!K18&gt;=1,'(橫掃)RX Mapping'!K18&lt;=120), ('(橫掃)RX Mapping'!K18-1),IF(AND('(橫掃)RX Mapping'!K18&gt;=121,'(橫掃)RX Mapping'!K18&lt;=240), (-1)*('(橫掃)RX Mapping'!K18-240),IF(AND('(橫掃)RX Mapping'!K18&gt;=241,'(橫掃)RX Mapping'!K18&lt;=360), ('(橫掃)RX Mapping'!K18-241),IF(AND('(橫掃)RX Mapping'!K18&gt;=361,'(橫掃)RX Mapping'!K18&lt;=480), (-1)*('(橫掃)RX Mapping'!K18-480),IF(AND('(橫掃)RX Mapping'!K18&gt;=481,'(橫掃)RX Mapping'!K18&lt;=600), ('(橫掃)RX Mapping'!K18-361),IF(AND('(橫掃)RX Mapping'!K18&gt;=601,'(橫掃)RX Mapping'!K18&lt;=720), (-1)*('(橫掃)RX Mapping'!K18-720)+120,IF(AND('(橫掃)RX Mapping'!K18&gt;=721,'(橫掃)RX Mapping'!K18&lt;=840), ('(橫掃)RX Mapping'!K18-601),IF(AND('(橫掃)RX Mapping'!K18&gt;=841,'(橫掃)RX Mapping'!K18&lt;=960), (-1)*('(橫掃)RX Mapping'!K18-960)+120,9999))))))))</f>
        <v>80</v>
      </c>
      <c r="L18">
        <f>IF(AND('(橫掃)RX Mapping'!L18&gt;=1,'(橫掃)RX Mapping'!L18&lt;=120), ('(橫掃)RX Mapping'!L18-1),IF(AND('(橫掃)RX Mapping'!L18&gt;=121,'(橫掃)RX Mapping'!L18&lt;=240), (-1)*('(橫掃)RX Mapping'!L18-240),IF(AND('(橫掃)RX Mapping'!L18&gt;=241,'(橫掃)RX Mapping'!L18&lt;=360), ('(橫掃)RX Mapping'!L18-241),IF(AND('(橫掃)RX Mapping'!L18&gt;=361,'(橫掃)RX Mapping'!L18&lt;=480), (-1)*('(橫掃)RX Mapping'!L18-480),IF(AND('(橫掃)RX Mapping'!L18&gt;=481,'(橫掃)RX Mapping'!L18&lt;=600), ('(橫掃)RX Mapping'!L18-361),IF(AND('(橫掃)RX Mapping'!L18&gt;=601,'(橫掃)RX Mapping'!L18&lt;=720), (-1)*('(橫掃)RX Mapping'!L18-720)+120,IF(AND('(橫掃)RX Mapping'!L18&gt;=721,'(橫掃)RX Mapping'!L18&lt;=840), ('(橫掃)RX Mapping'!L18-601),IF(AND('(橫掃)RX Mapping'!L18&gt;=841,'(橫掃)RX Mapping'!L18&lt;=960), (-1)*('(橫掃)RX Mapping'!L18-960)+120,9999))))))))</f>
        <v>112</v>
      </c>
      <c r="M18">
        <f>IF(AND('(橫掃)RX Mapping'!M18&gt;=1,'(橫掃)RX Mapping'!M18&lt;=120), ('(橫掃)RX Mapping'!M18-1),IF(AND('(橫掃)RX Mapping'!M18&gt;=121,'(橫掃)RX Mapping'!M18&lt;=240), (-1)*('(橫掃)RX Mapping'!M18-240),IF(AND('(橫掃)RX Mapping'!M18&gt;=241,'(橫掃)RX Mapping'!M18&lt;=360), ('(橫掃)RX Mapping'!M18-241),IF(AND('(橫掃)RX Mapping'!M18&gt;=361,'(橫掃)RX Mapping'!M18&lt;=480), (-1)*('(橫掃)RX Mapping'!M18-480),IF(AND('(橫掃)RX Mapping'!M18&gt;=481,'(橫掃)RX Mapping'!M18&lt;=600), ('(橫掃)RX Mapping'!M18-361),IF(AND('(橫掃)RX Mapping'!M18&gt;=601,'(橫掃)RX Mapping'!M18&lt;=720), (-1)*('(橫掃)RX Mapping'!M18-720)+120,IF(AND('(橫掃)RX Mapping'!M18&gt;=721,'(橫掃)RX Mapping'!M18&lt;=840), ('(橫掃)RX Mapping'!M18-601),IF(AND('(橫掃)RX Mapping'!M18&gt;=841,'(橫掃)RX Mapping'!M18&lt;=960), (-1)*('(橫掃)RX Mapping'!M18-960)+120,9999))))))))</f>
        <v>95</v>
      </c>
      <c r="N18">
        <f>IF(AND('(橫掃)RX Mapping'!N18&gt;=1,'(橫掃)RX Mapping'!N18&lt;=120), ('(橫掃)RX Mapping'!N18-1),IF(AND('(橫掃)RX Mapping'!N18&gt;=121,'(橫掃)RX Mapping'!N18&lt;=240), (-1)*('(橫掃)RX Mapping'!N18-240),IF(AND('(橫掃)RX Mapping'!N18&gt;=241,'(橫掃)RX Mapping'!N18&lt;=360), ('(橫掃)RX Mapping'!N18-241),IF(AND('(橫掃)RX Mapping'!N18&gt;=361,'(橫掃)RX Mapping'!N18&lt;=480), (-1)*('(橫掃)RX Mapping'!N18-480),IF(AND('(橫掃)RX Mapping'!N18&gt;=481,'(橫掃)RX Mapping'!N18&lt;=600), ('(橫掃)RX Mapping'!N18-361),IF(AND('(橫掃)RX Mapping'!N18&gt;=601,'(橫掃)RX Mapping'!N18&lt;=720), (-1)*('(橫掃)RX Mapping'!N18-720)+120,IF(AND('(橫掃)RX Mapping'!N18&gt;=721,'(橫掃)RX Mapping'!N18&lt;=840), ('(橫掃)RX Mapping'!N18-601),IF(AND('(橫掃)RX Mapping'!N18&gt;=841,'(橫掃)RX Mapping'!N18&lt;=960), (-1)*('(橫掃)RX Mapping'!N18-960)+120,9999))))))))</f>
        <v>63</v>
      </c>
      <c r="O18">
        <f>IF(AND('(橫掃)RX Mapping'!O18&gt;=1,'(橫掃)RX Mapping'!O18&lt;=120), ('(橫掃)RX Mapping'!O18-1),IF(AND('(橫掃)RX Mapping'!O18&gt;=121,'(橫掃)RX Mapping'!O18&lt;=240), (-1)*('(橫掃)RX Mapping'!O18-240),IF(AND('(橫掃)RX Mapping'!O18&gt;=241,'(橫掃)RX Mapping'!O18&lt;=360), ('(橫掃)RX Mapping'!O18-241),IF(AND('(橫掃)RX Mapping'!O18&gt;=361,'(橫掃)RX Mapping'!O18&lt;=480), (-1)*('(橫掃)RX Mapping'!O18-480),IF(AND('(橫掃)RX Mapping'!O18&gt;=481,'(橫掃)RX Mapping'!O18&lt;=600), ('(橫掃)RX Mapping'!O18-361),IF(AND('(橫掃)RX Mapping'!O18&gt;=601,'(橫掃)RX Mapping'!O18&lt;=720), (-1)*('(橫掃)RX Mapping'!O18-720)+120,IF(AND('(橫掃)RX Mapping'!O18&gt;=721,'(橫掃)RX Mapping'!O18&lt;=840), ('(橫掃)RX Mapping'!O18-601),IF(AND('(橫掃)RX Mapping'!O18&gt;=841,'(橫掃)RX Mapping'!O18&lt;=960), (-1)*('(橫掃)RX Mapping'!O18-960)+120,9999))))))))</f>
        <v>31</v>
      </c>
      <c r="P18">
        <f>IF(AND('(橫掃)RX Mapping'!P18&gt;=1,'(橫掃)RX Mapping'!P18&lt;=120), ('(橫掃)RX Mapping'!P18-1),IF(AND('(橫掃)RX Mapping'!P18&gt;=121,'(橫掃)RX Mapping'!P18&lt;=240), (-1)*('(橫掃)RX Mapping'!P18-240),IF(AND('(橫掃)RX Mapping'!P18&gt;=241,'(橫掃)RX Mapping'!P18&lt;=360), ('(橫掃)RX Mapping'!P18-241),IF(AND('(橫掃)RX Mapping'!P18&gt;=361,'(橫掃)RX Mapping'!P18&lt;=480), (-1)*('(橫掃)RX Mapping'!P18-480),IF(AND('(橫掃)RX Mapping'!P18&gt;=481,'(橫掃)RX Mapping'!P18&lt;=600), ('(橫掃)RX Mapping'!P18-361),IF(AND('(橫掃)RX Mapping'!P18&gt;=601,'(橫掃)RX Mapping'!P18&lt;=720), (-1)*('(橫掃)RX Mapping'!P18-720)+120,IF(AND('(橫掃)RX Mapping'!P18&gt;=721,'(橫掃)RX Mapping'!P18&lt;=840), ('(橫掃)RX Mapping'!P18-601),IF(AND('(橫掃)RX Mapping'!P18&gt;=841,'(橫掃)RX Mapping'!P18&lt;=960), (-1)*('(橫掃)RX Mapping'!P18-960)+120,9999))))))))</f>
        <v>136</v>
      </c>
      <c r="Q18">
        <f>IF(AND('(橫掃)RX Mapping'!Q18&gt;=1,'(橫掃)RX Mapping'!Q18&lt;=120), ('(橫掃)RX Mapping'!Q18-1),IF(AND('(橫掃)RX Mapping'!Q18&gt;=121,'(橫掃)RX Mapping'!Q18&lt;=240), (-1)*('(橫掃)RX Mapping'!Q18-240),IF(AND('(橫掃)RX Mapping'!Q18&gt;=241,'(橫掃)RX Mapping'!Q18&lt;=360), ('(橫掃)RX Mapping'!Q18-241),IF(AND('(橫掃)RX Mapping'!Q18&gt;=361,'(橫掃)RX Mapping'!Q18&lt;=480), (-1)*('(橫掃)RX Mapping'!Q18-480),IF(AND('(橫掃)RX Mapping'!Q18&gt;=481,'(橫掃)RX Mapping'!Q18&lt;=600), ('(橫掃)RX Mapping'!Q18-361),IF(AND('(橫掃)RX Mapping'!Q18&gt;=601,'(橫掃)RX Mapping'!Q18&lt;=720), (-1)*('(橫掃)RX Mapping'!Q18-720)+120,IF(AND('(橫掃)RX Mapping'!Q18&gt;=721,'(橫掃)RX Mapping'!Q18&lt;=840), ('(橫掃)RX Mapping'!Q18-601),IF(AND('(橫掃)RX Mapping'!Q18&gt;=841,'(橫掃)RX Mapping'!Q18&lt;=960), (-1)*('(橫掃)RX Mapping'!Q18-960)+120,9999))))))))</f>
        <v>168</v>
      </c>
      <c r="R18">
        <f>IF(AND('(橫掃)RX Mapping'!R18&gt;=1,'(橫掃)RX Mapping'!R18&lt;=120), ('(橫掃)RX Mapping'!R18-1),IF(AND('(橫掃)RX Mapping'!R18&gt;=121,'(橫掃)RX Mapping'!R18&lt;=240), (-1)*('(橫掃)RX Mapping'!R18-240),IF(AND('(橫掃)RX Mapping'!R18&gt;=241,'(橫掃)RX Mapping'!R18&lt;=360), ('(橫掃)RX Mapping'!R18-241),IF(AND('(橫掃)RX Mapping'!R18&gt;=361,'(橫掃)RX Mapping'!R18&lt;=480), (-1)*('(橫掃)RX Mapping'!R18-480),IF(AND('(橫掃)RX Mapping'!R18&gt;=481,'(橫掃)RX Mapping'!R18&lt;=600), ('(橫掃)RX Mapping'!R18-361),IF(AND('(橫掃)RX Mapping'!R18&gt;=601,'(橫掃)RX Mapping'!R18&lt;=720), (-1)*('(橫掃)RX Mapping'!R18-720)+120,IF(AND('(橫掃)RX Mapping'!R18&gt;=721,'(橫掃)RX Mapping'!R18&lt;=840), ('(橫掃)RX Mapping'!R18-601),IF(AND('(橫掃)RX Mapping'!R18&gt;=841,'(橫掃)RX Mapping'!R18&lt;=960), (-1)*('(橫掃)RX Mapping'!R18-960)+120,9999))))))))</f>
        <v>200</v>
      </c>
      <c r="S18">
        <f>IF(AND('(橫掃)RX Mapping'!S18&gt;=1,'(橫掃)RX Mapping'!S18&lt;=120), ('(橫掃)RX Mapping'!S18-1),IF(AND('(橫掃)RX Mapping'!S18&gt;=121,'(橫掃)RX Mapping'!S18&lt;=240), (-1)*('(橫掃)RX Mapping'!S18-240),IF(AND('(橫掃)RX Mapping'!S18&gt;=241,'(橫掃)RX Mapping'!S18&lt;=360), ('(橫掃)RX Mapping'!S18-241),IF(AND('(橫掃)RX Mapping'!S18&gt;=361,'(橫掃)RX Mapping'!S18&lt;=480), (-1)*('(橫掃)RX Mapping'!S18-480),IF(AND('(橫掃)RX Mapping'!S18&gt;=481,'(橫掃)RX Mapping'!S18&lt;=600), ('(橫掃)RX Mapping'!S18-361),IF(AND('(橫掃)RX Mapping'!S18&gt;=601,'(橫掃)RX Mapping'!S18&lt;=720), (-1)*('(橫掃)RX Mapping'!S18-720)+120,IF(AND('(橫掃)RX Mapping'!S18&gt;=721,'(橫掃)RX Mapping'!S18&lt;=840), ('(橫掃)RX Mapping'!S18-601),IF(AND('(橫掃)RX Mapping'!S18&gt;=841,'(橫掃)RX Mapping'!S18&lt;=960), (-1)*('(橫掃)RX Mapping'!S18-960)+120,9999))))))))</f>
        <v>232</v>
      </c>
      <c r="T18">
        <f>IF(AND('(橫掃)RX Mapping'!T18&gt;=1,'(橫掃)RX Mapping'!T18&lt;=120), ('(橫掃)RX Mapping'!T18-1),IF(AND('(橫掃)RX Mapping'!T18&gt;=121,'(橫掃)RX Mapping'!T18&lt;=240), (-1)*('(橫掃)RX Mapping'!T18-240),IF(AND('(橫掃)RX Mapping'!T18&gt;=241,'(橫掃)RX Mapping'!T18&lt;=360), ('(橫掃)RX Mapping'!T18-241),IF(AND('(橫掃)RX Mapping'!T18&gt;=361,'(橫掃)RX Mapping'!T18&lt;=480), (-1)*('(橫掃)RX Mapping'!T18-480),IF(AND('(橫掃)RX Mapping'!T18&gt;=481,'(橫掃)RX Mapping'!T18&lt;=600), ('(橫掃)RX Mapping'!T18-361),IF(AND('(橫掃)RX Mapping'!T18&gt;=601,'(橫掃)RX Mapping'!T18&lt;=720), (-1)*('(橫掃)RX Mapping'!T18-720)+120,IF(AND('(橫掃)RX Mapping'!T18&gt;=721,'(橫掃)RX Mapping'!T18&lt;=840), ('(橫掃)RX Mapping'!T18-601),IF(AND('(橫掃)RX Mapping'!T18&gt;=841,'(橫掃)RX Mapping'!T18&lt;=960), (-1)*('(橫掃)RX Mapping'!T18-960)+120,9999))))))))</f>
        <v>215</v>
      </c>
      <c r="U18">
        <f>IF(AND('(橫掃)RX Mapping'!U18&gt;=1,'(橫掃)RX Mapping'!U18&lt;=120), ('(橫掃)RX Mapping'!U18-1),IF(AND('(橫掃)RX Mapping'!U18&gt;=121,'(橫掃)RX Mapping'!U18&lt;=240), (-1)*('(橫掃)RX Mapping'!U18-240),IF(AND('(橫掃)RX Mapping'!U18&gt;=241,'(橫掃)RX Mapping'!U18&lt;=360), ('(橫掃)RX Mapping'!U18-241),IF(AND('(橫掃)RX Mapping'!U18&gt;=361,'(橫掃)RX Mapping'!U18&lt;=480), (-1)*('(橫掃)RX Mapping'!U18-480),IF(AND('(橫掃)RX Mapping'!U18&gt;=481,'(橫掃)RX Mapping'!U18&lt;=600), ('(橫掃)RX Mapping'!U18-361),IF(AND('(橫掃)RX Mapping'!U18&gt;=601,'(橫掃)RX Mapping'!U18&lt;=720), (-1)*('(橫掃)RX Mapping'!U18-720)+120,IF(AND('(橫掃)RX Mapping'!U18&gt;=721,'(橫掃)RX Mapping'!U18&lt;=840), ('(橫掃)RX Mapping'!U18-601),IF(AND('(橫掃)RX Mapping'!U18&gt;=841,'(橫掃)RX Mapping'!U18&lt;=960), (-1)*('(橫掃)RX Mapping'!U18-960)+120,9999))))))))</f>
        <v>183</v>
      </c>
      <c r="V18">
        <f>IF(AND('(橫掃)RX Mapping'!V18&gt;=1,'(橫掃)RX Mapping'!V18&lt;=120), ('(橫掃)RX Mapping'!V18-1),IF(AND('(橫掃)RX Mapping'!V18&gt;=121,'(橫掃)RX Mapping'!V18&lt;=240), (-1)*('(橫掃)RX Mapping'!V18-240),IF(AND('(橫掃)RX Mapping'!V18&gt;=241,'(橫掃)RX Mapping'!V18&lt;=360), ('(橫掃)RX Mapping'!V18-241),IF(AND('(橫掃)RX Mapping'!V18&gt;=361,'(橫掃)RX Mapping'!V18&lt;=480), (-1)*('(橫掃)RX Mapping'!V18-480),IF(AND('(橫掃)RX Mapping'!V18&gt;=481,'(橫掃)RX Mapping'!V18&lt;=600), ('(橫掃)RX Mapping'!V18-361),IF(AND('(橫掃)RX Mapping'!V18&gt;=601,'(橫掃)RX Mapping'!V18&lt;=720), (-1)*('(橫掃)RX Mapping'!V18-720)+120,IF(AND('(橫掃)RX Mapping'!V18&gt;=721,'(橫掃)RX Mapping'!V18&lt;=840), ('(橫掃)RX Mapping'!V18-601),IF(AND('(橫掃)RX Mapping'!V18&gt;=841,'(橫掃)RX Mapping'!V18&lt;=960), (-1)*('(橫掃)RX Mapping'!V18-960)+120,9999))))))))</f>
        <v>151</v>
      </c>
      <c r="W18">
        <f>IF(AND('(橫掃)RX Mapping'!W18&gt;=1,'(橫掃)RX Mapping'!W18&lt;=120), ('(橫掃)RX Mapping'!W18-1),IF(AND('(橫掃)RX Mapping'!W18&gt;=121,'(橫掃)RX Mapping'!W18&lt;=240), (-1)*('(橫掃)RX Mapping'!W18-240),IF(AND('(橫掃)RX Mapping'!W18&gt;=241,'(橫掃)RX Mapping'!W18&lt;=360), ('(橫掃)RX Mapping'!W18-241),IF(AND('(橫掃)RX Mapping'!W18&gt;=361,'(橫掃)RX Mapping'!W18&lt;=480), (-1)*('(橫掃)RX Mapping'!W18-480),IF(AND('(橫掃)RX Mapping'!W18&gt;=481,'(橫掃)RX Mapping'!W18&lt;=600), ('(橫掃)RX Mapping'!W18-361),IF(AND('(橫掃)RX Mapping'!W18&gt;=601,'(橫掃)RX Mapping'!W18&lt;=720), (-1)*('(橫掃)RX Mapping'!W18-720)+120,IF(AND('(橫掃)RX Mapping'!W18&gt;=721,'(橫掃)RX Mapping'!W18&lt;=840), ('(橫掃)RX Mapping'!W18-601),IF(AND('(橫掃)RX Mapping'!W18&gt;=841,'(橫掃)RX Mapping'!W18&lt;=960), (-1)*('(橫掃)RX Mapping'!W18-960)+120,9999))))))))</f>
        <v>136</v>
      </c>
      <c r="X18">
        <f>IF(AND('(橫掃)RX Mapping'!X18&gt;=1,'(橫掃)RX Mapping'!X18&lt;=120), ('(橫掃)RX Mapping'!X18-1),IF(AND('(橫掃)RX Mapping'!X18&gt;=121,'(橫掃)RX Mapping'!X18&lt;=240), (-1)*('(橫掃)RX Mapping'!X18-240),IF(AND('(橫掃)RX Mapping'!X18&gt;=241,'(橫掃)RX Mapping'!X18&lt;=360), ('(橫掃)RX Mapping'!X18-241),IF(AND('(橫掃)RX Mapping'!X18&gt;=361,'(橫掃)RX Mapping'!X18&lt;=480), (-1)*('(橫掃)RX Mapping'!X18-480),IF(AND('(橫掃)RX Mapping'!X18&gt;=481,'(橫掃)RX Mapping'!X18&lt;=600), ('(橫掃)RX Mapping'!X18-361),IF(AND('(橫掃)RX Mapping'!X18&gt;=601,'(橫掃)RX Mapping'!X18&lt;=720), (-1)*('(橫掃)RX Mapping'!X18-720)+120,IF(AND('(橫掃)RX Mapping'!X18&gt;=721,'(橫掃)RX Mapping'!X18&lt;=840), ('(橫掃)RX Mapping'!X18-601),IF(AND('(橫掃)RX Mapping'!X18&gt;=841,'(橫掃)RX Mapping'!X18&lt;=960), (-1)*('(橫掃)RX Mapping'!X18-960)+120,9999))))))))</f>
        <v>168</v>
      </c>
      <c r="Y18">
        <f>IF(AND('(橫掃)RX Mapping'!Y18&gt;=1,'(橫掃)RX Mapping'!Y18&lt;=120), ('(橫掃)RX Mapping'!Y18-1),IF(AND('(橫掃)RX Mapping'!Y18&gt;=121,'(橫掃)RX Mapping'!Y18&lt;=240), (-1)*('(橫掃)RX Mapping'!Y18-240),IF(AND('(橫掃)RX Mapping'!Y18&gt;=241,'(橫掃)RX Mapping'!Y18&lt;=360), ('(橫掃)RX Mapping'!Y18-241),IF(AND('(橫掃)RX Mapping'!Y18&gt;=361,'(橫掃)RX Mapping'!Y18&lt;=480), (-1)*('(橫掃)RX Mapping'!Y18-480),IF(AND('(橫掃)RX Mapping'!Y18&gt;=481,'(橫掃)RX Mapping'!Y18&lt;=600), ('(橫掃)RX Mapping'!Y18-361),IF(AND('(橫掃)RX Mapping'!Y18&gt;=601,'(橫掃)RX Mapping'!Y18&lt;=720), (-1)*('(橫掃)RX Mapping'!Y18-720)+120,IF(AND('(橫掃)RX Mapping'!Y18&gt;=721,'(橫掃)RX Mapping'!Y18&lt;=840), ('(橫掃)RX Mapping'!Y18-601),IF(AND('(橫掃)RX Mapping'!Y18&gt;=841,'(橫掃)RX Mapping'!Y18&lt;=960), (-1)*('(橫掃)RX Mapping'!Y18-960)+120,9999))))))))</f>
        <v>200</v>
      </c>
      <c r="Z18">
        <f>IF(AND('(橫掃)RX Mapping'!Z18&gt;=1,'(橫掃)RX Mapping'!Z18&lt;=120), ('(橫掃)RX Mapping'!Z18-1),IF(AND('(橫掃)RX Mapping'!Z18&gt;=121,'(橫掃)RX Mapping'!Z18&lt;=240), (-1)*('(橫掃)RX Mapping'!Z18-240),IF(AND('(橫掃)RX Mapping'!Z18&gt;=241,'(橫掃)RX Mapping'!Z18&lt;=360), ('(橫掃)RX Mapping'!Z18-241),IF(AND('(橫掃)RX Mapping'!Z18&gt;=361,'(橫掃)RX Mapping'!Z18&lt;=480), (-1)*('(橫掃)RX Mapping'!Z18-480),IF(AND('(橫掃)RX Mapping'!Z18&gt;=481,'(橫掃)RX Mapping'!Z18&lt;=600), ('(橫掃)RX Mapping'!Z18-361),IF(AND('(橫掃)RX Mapping'!Z18&gt;=601,'(橫掃)RX Mapping'!Z18&lt;=720), (-1)*('(橫掃)RX Mapping'!Z18-720)+120,IF(AND('(橫掃)RX Mapping'!Z18&gt;=721,'(橫掃)RX Mapping'!Z18&lt;=840), ('(橫掃)RX Mapping'!Z18-601),IF(AND('(橫掃)RX Mapping'!Z18&gt;=841,'(橫掃)RX Mapping'!Z18&lt;=960), (-1)*('(橫掃)RX Mapping'!Z18-960)+120,9999))))))))</f>
        <v>232</v>
      </c>
      <c r="AA18">
        <f>IF(AND('(橫掃)RX Mapping'!AA18&gt;=1,'(橫掃)RX Mapping'!AA18&lt;=120), ('(橫掃)RX Mapping'!AA18-1),IF(AND('(橫掃)RX Mapping'!AA18&gt;=121,'(橫掃)RX Mapping'!AA18&lt;=240), (-1)*('(橫掃)RX Mapping'!AA18-240),IF(AND('(橫掃)RX Mapping'!AA18&gt;=241,'(橫掃)RX Mapping'!AA18&lt;=360), ('(橫掃)RX Mapping'!AA18-241),IF(AND('(橫掃)RX Mapping'!AA18&gt;=361,'(橫掃)RX Mapping'!AA18&lt;=480), (-1)*('(橫掃)RX Mapping'!AA18-480),IF(AND('(橫掃)RX Mapping'!AA18&gt;=481,'(橫掃)RX Mapping'!AA18&lt;=600), ('(橫掃)RX Mapping'!AA18-361),IF(AND('(橫掃)RX Mapping'!AA18&gt;=601,'(橫掃)RX Mapping'!AA18&lt;=720), (-1)*('(橫掃)RX Mapping'!AA18-720)+120,IF(AND('(橫掃)RX Mapping'!AA18&gt;=721,'(橫掃)RX Mapping'!AA18&lt;=840), ('(橫掃)RX Mapping'!AA18-601),IF(AND('(橫掃)RX Mapping'!AA18&gt;=841,'(橫掃)RX Mapping'!AA18&lt;=960), (-1)*('(橫掃)RX Mapping'!AA18-960)+120,9999))))))))</f>
        <v>215</v>
      </c>
      <c r="AB18">
        <f>IF(AND('(橫掃)RX Mapping'!AB18&gt;=1,'(橫掃)RX Mapping'!AB18&lt;=120), ('(橫掃)RX Mapping'!AB18-1),IF(AND('(橫掃)RX Mapping'!AB18&gt;=121,'(橫掃)RX Mapping'!AB18&lt;=240), (-1)*('(橫掃)RX Mapping'!AB18-240),IF(AND('(橫掃)RX Mapping'!AB18&gt;=241,'(橫掃)RX Mapping'!AB18&lt;=360), ('(橫掃)RX Mapping'!AB18-241),IF(AND('(橫掃)RX Mapping'!AB18&gt;=361,'(橫掃)RX Mapping'!AB18&lt;=480), (-1)*('(橫掃)RX Mapping'!AB18-480),IF(AND('(橫掃)RX Mapping'!AB18&gt;=481,'(橫掃)RX Mapping'!AB18&lt;=600), ('(橫掃)RX Mapping'!AB18-361),IF(AND('(橫掃)RX Mapping'!AB18&gt;=601,'(橫掃)RX Mapping'!AB18&lt;=720), (-1)*('(橫掃)RX Mapping'!AB18-720)+120,IF(AND('(橫掃)RX Mapping'!AB18&gt;=721,'(橫掃)RX Mapping'!AB18&lt;=840), ('(橫掃)RX Mapping'!AB18-601),IF(AND('(橫掃)RX Mapping'!AB18&gt;=841,'(橫掃)RX Mapping'!AB18&lt;=960), (-1)*('(橫掃)RX Mapping'!AB18-960)+120,9999))))))))</f>
        <v>183</v>
      </c>
      <c r="AC18">
        <f>IF(AND('(橫掃)RX Mapping'!AC18&gt;=1,'(橫掃)RX Mapping'!AC18&lt;=120), ('(橫掃)RX Mapping'!AC18-1),IF(AND('(橫掃)RX Mapping'!AC18&gt;=121,'(橫掃)RX Mapping'!AC18&lt;=240), (-1)*('(橫掃)RX Mapping'!AC18-240),IF(AND('(橫掃)RX Mapping'!AC18&gt;=241,'(橫掃)RX Mapping'!AC18&lt;=360), ('(橫掃)RX Mapping'!AC18-241),IF(AND('(橫掃)RX Mapping'!AC18&gt;=361,'(橫掃)RX Mapping'!AC18&lt;=480), (-1)*('(橫掃)RX Mapping'!AC18-480),IF(AND('(橫掃)RX Mapping'!AC18&gt;=481,'(橫掃)RX Mapping'!AC18&lt;=600), ('(橫掃)RX Mapping'!AC18-361),IF(AND('(橫掃)RX Mapping'!AC18&gt;=601,'(橫掃)RX Mapping'!AC18&lt;=720), (-1)*('(橫掃)RX Mapping'!AC18-720)+120,IF(AND('(橫掃)RX Mapping'!AC18&gt;=721,'(橫掃)RX Mapping'!AC18&lt;=840), ('(橫掃)RX Mapping'!AC18-601),IF(AND('(橫掃)RX Mapping'!AC18&gt;=841,'(橫掃)RX Mapping'!AC18&lt;=960), (-1)*('(橫掃)RX Mapping'!AC18-960)+120,9999))))))))</f>
        <v>151</v>
      </c>
      <c r="AD18">
        <f>IF(AND('(橫掃)RX Mapping'!AD18&gt;=1,'(橫掃)RX Mapping'!AD18&lt;=120), ('(橫掃)RX Mapping'!AD18-1),IF(AND('(橫掃)RX Mapping'!AD18&gt;=121,'(橫掃)RX Mapping'!AD18&lt;=240), (-1)*('(橫掃)RX Mapping'!AD18-240),IF(AND('(橫掃)RX Mapping'!AD18&gt;=241,'(橫掃)RX Mapping'!AD18&lt;=360), ('(橫掃)RX Mapping'!AD18-241),IF(AND('(橫掃)RX Mapping'!AD18&gt;=361,'(橫掃)RX Mapping'!AD18&lt;=480), (-1)*('(橫掃)RX Mapping'!AD18-480),IF(AND('(橫掃)RX Mapping'!AD18&gt;=481,'(橫掃)RX Mapping'!AD18&lt;=600), ('(橫掃)RX Mapping'!AD18-361),IF(AND('(橫掃)RX Mapping'!AD18&gt;=601,'(橫掃)RX Mapping'!AD18&lt;=720), (-1)*('(橫掃)RX Mapping'!AD18-720)+120,IF(AND('(橫掃)RX Mapping'!AD18&gt;=721,'(橫掃)RX Mapping'!AD18&lt;=840), ('(橫掃)RX Mapping'!AD18-601),IF(AND('(橫掃)RX Mapping'!AD18&gt;=841,'(橫掃)RX Mapping'!AD18&lt;=960), (-1)*('(橫掃)RX Mapping'!AD18-960)+120,9999))))))))</f>
        <v>9999</v>
      </c>
      <c r="AE18">
        <f>IF(AND('(橫掃)RX Mapping'!AE18&gt;=1,'(橫掃)RX Mapping'!AE18&lt;=120), ('(橫掃)RX Mapping'!AE18-1),IF(AND('(橫掃)RX Mapping'!AE18&gt;=121,'(橫掃)RX Mapping'!AE18&lt;=240), (-1)*('(橫掃)RX Mapping'!AE18-240),IF(AND('(橫掃)RX Mapping'!AE18&gt;=241,'(橫掃)RX Mapping'!AE18&lt;=360), ('(橫掃)RX Mapping'!AE18-241),IF(AND('(橫掃)RX Mapping'!AE18&gt;=361,'(橫掃)RX Mapping'!AE18&lt;=480), (-1)*('(橫掃)RX Mapping'!AE18-480),IF(AND('(橫掃)RX Mapping'!AE18&gt;=481,'(橫掃)RX Mapping'!AE18&lt;=600), ('(橫掃)RX Mapping'!AE18-361),IF(AND('(橫掃)RX Mapping'!AE18&gt;=601,'(橫掃)RX Mapping'!AE18&lt;=720), (-1)*('(橫掃)RX Mapping'!AE18-720)+120,IF(AND('(橫掃)RX Mapping'!AE18&gt;=721,'(橫掃)RX Mapping'!AE18&lt;=840), ('(橫掃)RX Mapping'!AE18-601),IF(AND('(橫掃)RX Mapping'!AE18&gt;=841,'(橫掃)RX Mapping'!AE18&lt;=960), (-1)*('(橫掃)RX Mapping'!AE18-960)+120,9999))))))))</f>
        <v>9999</v>
      </c>
      <c r="AF18">
        <f>IF(AND('(橫掃)RX Mapping'!AF18&gt;=1,'(橫掃)RX Mapping'!AF18&lt;=120), ('(橫掃)RX Mapping'!AF18-1),IF(AND('(橫掃)RX Mapping'!AF18&gt;=121,'(橫掃)RX Mapping'!AF18&lt;=240), (-1)*('(橫掃)RX Mapping'!AF18-240),IF(AND('(橫掃)RX Mapping'!AF18&gt;=241,'(橫掃)RX Mapping'!AF18&lt;=360), ('(橫掃)RX Mapping'!AF18-241),IF(AND('(橫掃)RX Mapping'!AF18&gt;=361,'(橫掃)RX Mapping'!AF18&lt;=480), (-1)*('(橫掃)RX Mapping'!AF18-480),IF(AND('(橫掃)RX Mapping'!AF18&gt;=481,'(橫掃)RX Mapping'!AF18&lt;=600), ('(橫掃)RX Mapping'!AF18-361),IF(AND('(橫掃)RX Mapping'!AF18&gt;=601,'(橫掃)RX Mapping'!AF18&lt;=720), (-1)*('(橫掃)RX Mapping'!AF18-720)+120,IF(AND('(橫掃)RX Mapping'!AF18&gt;=721,'(橫掃)RX Mapping'!AF18&lt;=840), ('(橫掃)RX Mapping'!AF18-601),IF(AND('(橫掃)RX Mapping'!AF18&gt;=841,'(橫掃)RX Mapping'!AF18&lt;=960), (-1)*('(橫掃)RX Mapping'!AF18-960)+120,9999))))))))</f>
        <v>9999</v>
      </c>
      <c r="AG18">
        <f>IF(AND('(橫掃)RX Mapping'!AG18&gt;=1,'(橫掃)RX Mapping'!AG18&lt;=120), ('(橫掃)RX Mapping'!AG18-1),IF(AND('(橫掃)RX Mapping'!AG18&gt;=121,'(橫掃)RX Mapping'!AG18&lt;=240), (-1)*('(橫掃)RX Mapping'!AG18-240),IF(AND('(橫掃)RX Mapping'!AG18&gt;=241,'(橫掃)RX Mapping'!AG18&lt;=360), ('(橫掃)RX Mapping'!AG18-241),IF(AND('(橫掃)RX Mapping'!AG18&gt;=361,'(橫掃)RX Mapping'!AG18&lt;=480), (-1)*('(橫掃)RX Mapping'!AG18-480),IF(AND('(橫掃)RX Mapping'!AG18&gt;=481,'(橫掃)RX Mapping'!AG18&lt;=600), ('(橫掃)RX Mapping'!AG18-361),IF(AND('(橫掃)RX Mapping'!AG18&gt;=601,'(橫掃)RX Mapping'!AG18&lt;=720), (-1)*('(橫掃)RX Mapping'!AG18-720)+120,IF(AND('(橫掃)RX Mapping'!AG18&gt;=721,'(橫掃)RX Mapping'!AG18&lt;=840), ('(橫掃)RX Mapping'!AG18-601),IF(AND('(橫掃)RX Mapping'!AG18&gt;=841,'(橫掃)RX Mapping'!AG18&lt;=960), (-1)*('(橫掃)RX Mapping'!AG18-960)+120,9999))))))))</f>
        <v>9999</v>
      </c>
      <c r="AH18">
        <f>IF(AND('(橫掃)RX Mapping'!AH18&gt;=1,'(橫掃)RX Mapping'!AH18&lt;=120), ('(橫掃)RX Mapping'!AH18-1),IF(AND('(橫掃)RX Mapping'!AH18&gt;=121,'(橫掃)RX Mapping'!AH18&lt;=240), (-1)*('(橫掃)RX Mapping'!AH18-240),IF(AND('(橫掃)RX Mapping'!AH18&gt;=241,'(橫掃)RX Mapping'!AH18&lt;=360), ('(橫掃)RX Mapping'!AH18-241),IF(AND('(橫掃)RX Mapping'!AH18&gt;=361,'(橫掃)RX Mapping'!AH18&lt;=480), (-1)*('(橫掃)RX Mapping'!AH18-480),IF(AND('(橫掃)RX Mapping'!AH18&gt;=481,'(橫掃)RX Mapping'!AH18&lt;=600), ('(橫掃)RX Mapping'!AH18-361),IF(AND('(橫掃)RX Mapping'!AH18&gt;=601,'(橫掃)RX Mapping'!AH18&lt;=720), (-1)*('(橫掃)RX Mapping'!AH18-720)+120,IF(AND('(橫掃)RX Mapping'!AH18&gt;=721,'(橫掃)RX Mapping'!AH18&lt;=840), ('(橫掃)RX Mapping'!AH18-601),IF(AND('(橫掃)RX Mapping'!AH18&gt;=841,'(橫掃)RX Mapping'!AH18&lt;=960), (-1)*('(橫掃)RX Mapping'!AH18-960)+120,9999))))))))</f>
        <v>9999</v>
      </c>
      <c r="AI18">
        <f>IF(AND('(橫掃)RX Mapping'!AI18&gt;=1,'(橫掃)RX Mapping'!AI18&lt;=120), ('(橫掃)RX Mapping'!AI18-1),IF(AND('(橫掃)RX Mapping'!AI18&gt;=121,'(橫掃)RX Mapping'!AI18&lt;=240), (-1)*('(橫掃)RX Mapping'!AI18-240),IF(AND('(橫掃)RX Mapping'!AI18&gt;=241,'(橫掃)RX Mapping'!AI18&lt;=360), ('(橫掃)RX Mapping'!AI18-241),IF(AND('(橫掃)RX Mapping'!AI18&gt;=361,'(橫掃)RX Mapping'!AI18&lt;=480), (-1)*('(橫掃)RX Mapping'!AI18-480),IF(AND('(橫掃)RX Mapping'!AI18&gt;=481,'(橫掃)RX Mapping'!AI18&lt;=600), ('(橫掃)RX Mapping'!AI18-361),IF(AND('(橫掃)RX Mapping'!AI18&gt;=601,'(橫掃)RX Mapping'!AI18&lt;=720), (-1)*('(橫掃)RX Mapping'!AI18-720)+120,IF(AND('(橫掃)RX Mapping'!AI18&gt;=721,'(橫掃)RX Mapping'!AI18&lt;=840), ('(橫掃)RX Mapping'!AI18-601),IF(AND('(橫掃)RX Mapping'!AI18&gt;=841,'(橫掃)RX Mapping'!AI18&lt;=960), (-1)*('(橫掃)RX Mapping'!AI18-960)+120,9999))))))))</f>
        <v>9999</v>
      </c>
      <c r="AJ18">
        <f>IF(AND('(橫掃)RX Mapping'!AJ18&gt;=1,'(橫掃)RX Mapping'!AJ18&lt;=120), ('(橫掃)RX Mapping'!AJ18-1),IF(AND('(橫掃)RX Mapping'!AJ18&gt;=121,'(橫掃)RX Mapping'!AJ18&lt;=240), (-1)*('(橫掃)RX Mapping'!AJ18-240),IF(AND('(橫掃)RX Mapping'!AJ18&gt;=241,'(橫掃)RX Mapping'!AJ18&lt;=360), ('(橫掃)RX Mapping'!AJ18-241),IF(AND('(橫掃)RX Mapping'!AJ18&gt;=361,'(橫掃)RX Mapping'!AJ18&lt;=480), (-1)*('(橫掃)RX Mapping'!AJ18-480),IF(AND('(橫掃)RX Mapping'!AJ18&gt;=481,'(橫掃)RX Mapping'!AJ18&lt;=600), ('(橫掃)RX Mapping'!AJ18-361),IF(AND('(橫掃)RX Mapping'!AJ18&gt;=601,'(橫掃)RX Mapping'!AJ18&lt;=720), (-1)*('(橫掃)RX Mapping'!AJ18-720)+120,IF(AND('(橫掃)RX Mapping'!AJ18&gt;=721,'(橫掃)RX Mapping'!AJ18&lt;=840), ('(橫掃)RX Mapping'!AJ18-601),IF(AND('(橫掃)RX Mapping'!AJ18&gt;=841,'(橫掃)RX Mapping'!AJ18&lt;=960), (-1)*('(橫掃)RX Mapping'!AJ18-960)+120,9999))))))))</f>
        <v>9999</v>
      </c>
      <c r="AK18">
        <f>IF(AND('(橫掃)RX Mapping'!AK18&gt;=1,'(橫掃)RX Mapping'!AK18&lt;=120), ('(橫掃)RX Mapping'!AK18-1),IF(AND('(橫掃)RX Mapping'!AK18&gt;=121,'(橫掃)RX Mapping'!AK18&lt;=240), (-1)*('(橫掃)RX Mapping'!AK18-240),IF(AND('(橫掃)RX Mapping'!AK18&gt;=241,'(橫掃)RX Mapping'!AK18&lt;=360), ('(橫掃)RX Mapping'!AK18-241),IF(AND('(橫掃)RX Mapping'!AK18&gt;=361,'(橫掃)RX Mapping'!AK18&lt;=480), (-1)*('(橫掃)RX Mapping'!AK18-480),IF(AND('(橫掃)RX Mapping'!AK18&gt;=481,'(橫掃)RX Mapping'!AK18&lt;=600), ('(橫掃)RX Mapping'!AK18-361),IF(AND('(橫掃)RX Mapping'!AK18&gt;=601,'(橫掃)RX Mapping'!AK18&lt;=720), (-1)*('(橫掃)RX Mapping'!AK18-720)+120,IF(AND('(橫掃)RX Mapping'!AK18&gt;=721,'(橫掃)RX Mapping'!AK18&lt;=840), ('(橫掃)RX Mapping'!AK18-601),IF(AND('(橫掃)RX Mapping'!AK18&gt;=841,'(橫掃)RX Mapping'!AK18&lt;=960), (-1)*('(橫掃)RX Mapping'!AK18-960)+120,9999))))))))</f>
        <v>9999</v>
      </c>
      <c r="AL18">
        <f>IF(AND('(橫掃)RX Mapping'!AL18&gt;=1,'(橫掃)RX Mapping'!AL18&lt;=120), ('(橫掃)RX Mapping'!AL18-1),IF(AND('(橫掃)RX Mapping'!AL18&gt;=121,'(橫掃)RX Mapping'!AL18&lt;=240), (-1)*('(橫掃)RX Mapping'!AL18-240),IF(AND('(橫掃)RX Mapping'!AL18&gt;=241,'(橫掃)RX Mapping'!AL18&lt;=360), ('(橫掃)RX Mapping'!AL18-241),IF(AND('(橫掃)RX Mapping'!AL18&gt;=361,'(橫掃)RX Mapping'!AL18&lt;=480), (-1)*('(橫掃)RX Mapping'!AL18-480),IF(AND('(橫掃)RX Mapping'!AL18&gt;=481,'(橫掃)RX Mapping'!AL18&lt;=600), ('(橫掃)RX Mapping'!AL18-361),IF(AND('(橫掃)RX Mapping'!AL18&gt;=601,'(橫掃)RX Mapping'!AL18&lt;=720), (-1)*('(橫掃)RX Mapping'!AL18-720)+120,IF(AND('(橫掃)RX Mapping'!AL18&gt;=721,'(橫掃)RX Mapping'!AL18&lt;=840), ('(橫掃)RX Mapping'!AL18-601),IF(AND('(橫掃)RX Mapping'!AL18&gt;=841,'(橫掃)RX Mapping'!AL18&lt;=960), (-1)*('(橫掃)RX Mapping'!AL18-960)+120,9999))))))))</f>
        <v>9999</v>
      </c>
      <c r="AM18">
        <f>IF(AND('(橫掃)RX Mapping'!AM18&gt;=1,'(橫掃)RX Mapping'!AM18&lt;=120), ('(橫掃)RX Mapping'!AM18-1),IF(AND('(橫掃)RX Mapping'!AM18&gt;=121,'(橫掃)RX Mapping'!AM18&lt;=240), (-1)*('(橫掃)RX Mapping'!AM18-240),IF(AND('(橫掃)RX Mapping'!AM18&gt;=241,'(橫掃)RX Mapping'!AM18&lt;=360), ('(橫掃)RX Mapping'!AM18-241),IF(AND('(橫掃)RX Mapping'!AM18&gt;=361,'(橫掃)RX Mapping'!AM18&lt;=480), (-1)*('(橫掃)RX Mapping'!AM18-480),IF(AND('(橫掃)RX Mapping'!AM18&gt;=481,'(橫掃)RX Mapping'!AM18&lt;=600), ('(橫掃)RX Mapping'!AM18-361),IF(AND('(橫掃)RX Mapping'!AM18&gt;=601,'(橫掃)RX Mapping'!AM18&lt;=720), (-1)*('(橫掃)RX Mapping'!AM18-720)+120,IF(AND('(橫掃)RX Mapping'!AM18&gt;=721,'(橫掃)RX Mapping'!AM18&lt;=840), ('(橫掃)RX Mapping'!AM18-601),IF(AND('(橫掃)RX Mapping'!AM18&gt;=841,'(橫掃)RX Mapping'!AM18&lt;=960), (-1)*('(橫掃)RX Mapping'!AM18-960)+120,9999))))))))</f>
        <v>9999</v>
      </c>
      <c r="AN18">
        <f>IF(AND('(橫掃)RX Mapping'!AN18&gt;=1,'(橫掃)RX Mapping'!AN18&lt;=120), ('(橫掃)RX Mapping'!AN18-1),IF(AND('(橫掃)RX Mapping'!AN18&gt;=121,'(橫掃)RX Mapping'!AN18&lt;=240), (-1)*('(橫掃)RX Mapping'!AN18-240),IF(AND('(橫掃)RX Mapping'!AN18&gt;=241,'(橫掃)RX Mapping'!AN18&lt;=360), ('(橫掃)RX Mapping'!AN18-241),IF(AND('(橫掃)RX Mapping'!AN18&gt;=361,'(橫掃)RX Mapping'!AN18&lt;=480), (-1)*('(橫掃)RX Mapping'!AN18-480),IF(AND('(橫掃)RX Mapping'!AN18&gt;=481,'(橫掃)RX Mapping'!AN18&lt;=600), ('(橫掃)RX Mapping'!AN18-361),IF(AND('(橫掃)RX Mapping'!AN18&gt;=601,'(橫掃)RX Mapping'!AN18&lt;=720), (-1)*('(橫掃)RX Mapping'!AN18-720)+120,IF(AND('(橫掃)RX Mapping'!AN18&gt;=721,'(橫掃)RX Mapping'!AN18&lt;=840), ('(橫掃)RX Mapping'!AN18-601),IF(AND('(橫掃)RX Mapping'!AN18&gt;=841,'(橫掃)RX Mapping'!AN18&lt;=960), (-1)*('(橫掃)RX Mapping'!AN18-960)+120,9999))))))))</f>
        <v>9999</v>
      </c>
      <c r="AO18">
        <f>IF(AND('(橫掃)RX Mapping'!AO18&gt;=1,'(橫掃)RX Mapping'!AO18&lt;=120), ('(橫掃)RX Mapping'!AO18-1),IF(AND('(橫掃)RX Mapping'!AO18&gt;=121,'(橫掃)RX Mapping'!AO18&lt;=240), (-1)*('(橫掃)RX Mapping'!AO18-240),IF(AND('(橫掃)RX Mapping'!AO18&gt;=241,'(橫掃)RX Mapping'!AO18&lt;=360), ('(橫掃)RX Mapping'!AO18-241),IF(AND('(橫掃)RX Mapping'!AO18&gt;=361,'(橫掃)RX Mapping'!AO18&lt;=480), (-1)*('(橫掃)RX Mapping'!AO18-480),IF(AND('(橫掃)RX Mapping'!AO18&gt;=481,'(橫掃)RX Mapping'!AO18&lt;=600), ('(橫掃)RX Mapping'!AO18-361),IF(AND('(橫掃)RX Mapping'!AO18&gt;=601,'(橫掃)RX Mapping'!AO18&lt;=720), (-1)*('(橫掃)RX Mapping'!AO18-720)+120,IF(AND('(橫掃)RX Mapping'!AO18&gt;=721,'(橫掃)RX Mapping'!AO18&lt;=840), ('(橫掃)RX Mapping'!AO18-601),IF(AND('(橫掃)RX Mapping'!AO18&gt;=841,'(橫掃)RX Mapping'!AO18&lt;=960), (-1)*('(橫掃)RX Mapping'!AO18-960)+120,9999))))))))</f>
        <v>9999</v>
      </c>
      <c r="AP18">
        <f>IF(AND('(橫掃)RX Mapping'!AP18&gt;=1,'(橫掃)RX Mapping'!AP18&lt;=120), ('(橫掃)RX Mapping'!AP18-1),IF(AND('(橫掃)RX Mapping'!AP18&gt;=121,'(橫掃)RX Mapping'!AP18&lt;=240), (-1)*('(橫掃)RX Mapping'!AP18-240),IF(AND('(橫掃)RX Mapping'!AP18&gt;=241,'(橫掃)RX Mapping'!AP18&lt;=360), ('(橫掃)RX Mapping'!AP18-241),IF(AND('(橫掃)RX Mapping'!AP18&gt;=361,'(橫掃)RX Mapping'!AP18&lt;=480), (-1)*('(橫掃)RX Mapping'!AP18-480),IF(AND('(橫掃)RX Mapping'!AP18&gt;=481,'(橫掃)RX Mapping'!AP18&lt;=600), ('(橫掃)RX Mapping'!AP18-361),IF(AND('(橫掃)RX Mapping'!AP18&gt;=601,'(橫掃)RX Mapping'!AP18&lt;=720), (-1)*('(橫掃)RX Mapping'!AP18-720)+120,IF(AND('(橫掃)RX Mapping'!AP18&gt;=721,'(橫掃)RX Mapping'!AP18&lt;=840), ('(橫掃)RX Mapping'!AP18-601),IF(AND('(橫掃)RX Mapping'!AP18&gt;=841,'(橫掃)RX Mapping'!AP18&lt;=960), (-1)*('(橫掃)RX Mapping'!AP18-960)+120,9999))))))))</f>
        <v>9999</v>
      </c>
      <c r="AQ18">
        <f>IF(AND('(橫掃)RX Mapping'!AQ18&gt;=1,'(橫掃)RX Mapping'!AQ18&lt;=120), ('(橫掃)RX Mapping'!AQ18-1),IF(AND('(橫掃)RX Mapping'!AQ18&gt;=121,'(橫掃)RX Mapping'!AQ18&lt;=240), (-1)*('(橫掃)RX Mapping'!AQ18-240),IF(AND('(橫掃)RX Mapping'!AQ18&gt;=241,'(橫掃)RX Mapping'!AQ18&lt;=360), ('(橫掃)RX Mapping'!AQ18-241),IF(AND('(橫掃)RX Mapping'!AQ18&gt;=361,'(橫掃)RX Mapping'!AQ18&lt;=480), (-1)*('(橫掃)RX Mapping'!AQ18-480),IF(AND('(橫掃)RX Mapping'!AQ18&gt;=481,'(橫掃)RX Mapping'!AQ18&lt;=600), ('(橫掃)RX Mapping'!AQ18-361),IF(AND('(橫掃)RX Mapping'!AQ18&gt;=601,'(橫掃)RX Mapping'!AQ18&lt;=720), (-1)*('(橫掃)RX Mapping'!AQ18-720)+120,IF(AND('(橫掃)RX Mapping'!AQ18&gt;=721,'(橫掃)RX Mapping'!AQ18&lt;=840), ('(橫掃)RX Mapping'!AQ18-601),IF(AND('(橫掃)RX Mapping'!AQ18&gt;=841,'(橫掃)RX Mapping'!AQ18&lt;=960), (-1)*('(橫掃)RX Mapping'!AQ18-960)+120,9999))))))))</f>
        <v>9999</v>
      </c>
      <c r="AR18">
        <f>IF(AND('(橫掃)RX Mapping'!AR18&gt;=1,'(橫掃)RX Mapping'!AR18&lt;=120), ('(橫掃)RX Mapping'!AR18-1),IF(AND('(橫掃)RX Mapping'!AR18&gt;=121,'(橫掃)RX Mapping'!AR18&lt;=240), (-1)*('(橫掃)RX Mapping'!AR18-240),IF(AND('(橫掃)RX Mapping'!AR18&gt;=241,'(橫掃)RX Mapping'!AR18&lt;=360), ('(橫掃)RX Mapping'!AR18-241),IF(AND('(橫掃)RX Mapping'!AR18&gt;=361,'(橫掃)RX Mapping'!AR18&lt;=480), (-1)*('(橫掃)RX Mapping'!AR18-480),IF(AND('(橫掃)RX Mapping'!AR18&gt;=481,'(橫掃)RX Mapping'!AR18&lt;=600), ('(橫掃)RX Mapping'!AR18-361),IF(AND('(橫掃)RX Mapping'!AR18&gt;=601,'(橫掃)RX Mapping'!AR18&lt;=720), (-1)*('(橫掃)RX Mapping'!AR18-720)+120,IF(AND('(橫掃)RX Mapping'!AR18&gt;=721,'(橫掃)RX Mapping'!AR18&lt;=840), ('(橫掃)RX Mapping'!AR18-601),IF(AND('(橫掃)RX Mapping'!AR18&gt;=841,'(橫掃)RX Mapping'!AR18&lt;=960), (-1)*('(橫掃)RX Mapping'!AR18-960)+120,9999))))))))</f>
        <v>9999</v>
      </c>
      <c r="AS18">
        <f>IF(AND('(橫掃)RX Mapping'!AS18&gt;=1,'(橫掃)RX Mapping'!AS18&lt;=120), ('(橫掃)RX Mapping'!AS18-1),IF(AND('(橫掃)RX Mapping'!AS18&gt;=121,'(橫掃)RX Mapping'!AS18&lt;=240), (-1)*('(橫掃)RX Mapping'!AS18-240),IF(AND('(橫掃)RX Mapping'!AS18&gt;=241,'(橫掃)RX Mapping'!AS18&lt;=360), ('(橫掃)RX Mapping'!AS18-241),IF(AND('(橫掃)RX Mapping'!AS18&gt;=361,'(橫掃)RX Mapping'!AS18&lt;=480), (-1)*('(橫掃)RX Mapping'!AS18-480),IF(AND('(橫掃)RX Mapping'!AS18&gt;=481,'(橫掃)RX Mapping'!AS18&lt;=600), ('(橫掃)RX Mapping'!AS18-361),IF(AND('(橫掃)RX Mapping'!AS18&gt;=601,'(橫掃)RX Mapping'!AS18&lt;=720), (-1)*('(橫掃)RX Mapping'!AS18-720)+120,IF(AND('(橫掃)RX Mapping'!AS18&gt;=721,'(橫掃)RX Mapping'!AS18&lt;=840), ('(橫掃)RX Mapping'!AS18-601),IF(AND('(橫掃)RX Mapping'!AS18&gt;=841,'(橫掃)RX Mapping'!AS18&lt;=960), (-1)*('(橫掃)RX Mapping'!AS18-960)+120,9999))))))))</f>
        <v>9999</v>
      </c>
      <c r="AT18">
        <f>IF(AND('(橫掃)RX Mapping'!AT18&gt;=1,'(橫掃)RX Mapping'!AT18&lt;=120), ('(橫掃)RX Mapping'!AT18-1),IF(AND('(橫掃)RX Mapping'!AT18&gt;=121,'(橫掃)RX Mapping'!AT18&lt;=240), (-1)*('(橫掃)RX Mapping'!AT18-240),IF(AND('(橫掃)RX Mapping'!AT18&gt;=241,'(橫掃)RX Mapping'!AT18&lt;=360), ('(橫掃)RX Mapping'!AT18-241),IF(AND('(橫掃)RX Mapping'!AT18&gt;=361,'(橫掃)RX Mapping'!AT18&lt;=480), (-1)*('(橫掃)RX Mapping'!AT18-480),IF(AND('(橫掃)RX Mapping'!AT18&gt;=481,'(橫掃)RX Mapping'!AT18&lt;=600), ('(橫掃)RX Mapping'!AT18-361),IF(AND('(橫掃)RX Mapping'!AT18&gt;=601,'(橫掃)RX Mapping'!AT18&lt;=720), (-1)*('(橫掃)RX Mapping'!AT18-720)+120,IF(AND('(橫掃)RX Mapping'!AT18&gt;=721,'(橫掃)RX Mapping'!AT18&lt;=840), ('(橫掃)RX Mapping'!AT18-601),IF(AND('(橫掃)RX Mapping'!AT18&gt;=841,'(橫掃)RX Mapping'!AT18&lt;=960), (-1)*('(橫掃)RX Mapping'!AT18-960)+120,9999))))))))</f>
        <v>9999</v>
      </c>
      <c r="AU18">
        <f>IF(AND('(橫掃)RX Mapping'!AU18&gt;=1,'(橫掃)RX Mapping'!AU18&lt;=120), ('(橫掃)RX Mapping'!AU18-1),IF(AND('(橫掃)RX Mapping'!AU18&gt;=121,'(橫掃)RX Mapping'!AU18&lt;=240), (-1)*('(橫掃)RX Mapping'!AU18-240),IF(AND('(橫掃)RX Mapping'!AU18&gt;=241,'(橫掃)RX Mapping'!AU18&lt;=360), ('(橫掃)RX Mapping'!AU18-241),IF(AND('(橫掃)RX Mapping'!AU18&gt;=361,'(橫掃)RX Mapping'!AU18&lt;=480), (-1)*('(橫掃)RX Mapping'!AU18-480),IF(AND('(橫掃)RX Mapping'!AU18&gt;=481,'(橫掃)RX Mapping'!AU18&lt;=600), ('(橫掃)RX Mapping'!AU18-361),IF(AND('(橫掃)RX Mapping'!AU18&gt;=601,'(橫掃)RX Mapping'!AU18&lt;=720), (-1)*('(橫掃)RX Mapping'!AU18-720)+120,IF(AND('(橫掃)RX Mapping'!AU18&gt;=721,'(橫掃)RX Mapping'!AU18&lt;=840), ('(橫掃)RX Mapping'!AU18-601),IF(AND('(橫掃)RX Mapping'!AU18&gt;=841,'(橫掃)RX Mapping'!AU18&lt;=960), (-1)*('(橫掃)RX Mapping'!AU18-960)+120,9999))))))))</f>
        <v>9999</v>
      </c>
      <c r="AV18">
        <f>IF(AND('(橫掃)RX Mapping'!AV18&gt;=1,'(橫掃)RX Mapping'!AV18&lt;=120), ('(橫掃)RX Mapping'!AV18-1),IF(AND('(橫掃)RX Mapping'!AV18&gt;=121,'(橫掃)RX Mapping'!AV18&lt;=240), (-1)*('(橫掃)RX Mapping'!AV18-240),IF(AND('(橫掃)RX Mapping'!AV18&gt;=241,'(橫掃)RX Mapping'!AV18&lt;=360), ('(橫掃)RX Mapping'!AV18-241),IF(AND('(橫掃)RX Mapping'!AV18&gt;=361,'(橫掃)RX Mapping'!AV18&lt;=480), (-1)*('(橫掃)RX Mapping'!AV18-480),IF(AND('(橫掃)RX Mapping'!AV18&gt;=481,'(橫掃)RX Mapping'!AV18&lt;=600), ('(橫掃)RX Mapping'!AV18-361),IF(AND('(橫掃)RX Mapping'!AV18&gt;=601,'(橫掃)RX Mapping'!AV18&lt;=720), (-1)*('(橫掃)RX Mapping'!AV18-720)+120,IF(AND('(橫掃)RX Mapping'!AV18&gt;=721,'(橫掃)RX Mapping'!AV18&lt;=840), ('(橫掃)RX Mapping'!AV18-601),IF(AND('(橫掃)RX Mapping'!AV18&gt;=841,'(橫掃)RX Mapping'!AV18&lt;=960), (-1)*('(橫掃)RX Mapping'!AV18-960)+120,9999))))))))</f>
        <v>9999</v>
      </c>
      <c r="AW18">
        <f>IF(AND('(橫掃)RX Mapping'!AW18&gt;=1,'(橫掃)RX Mapping'!AW18&lt;=120), ('(橫掃)RX Mapping'!AW18-1),IF(AND('(橫掃)RX Mapping'!AW18&gt;=121,'(橫掃)RX Mapping'!AW18&lt;=240), (-1)*('(橫掃)RX Mapping'!AW18-240),IF(AND('(橫掃)RX Mapping'!AW18&gt;=241,'(橫掃)RX Mapping'!AW18&lt;=360), ('(橫掃)RX Mapping'!AW18-241),IF(AND('(橫掃)RX Mapping'!AW18&gt;=361,'(橫掃)RX Mapping'!AW18&lt;=480), (-1)*('(橫掃)RX Mapping'!AW18-480),IF(AND('(橫掃)RX Mapping'!AW18&gt;=481,'(橫掃)RX Mapping'!AW18&lt;=600), ('(橫掃)RX Mapping'!AW18-361),IF(AND('(橫掃)RX Mapping'!AW18&gt;=601,'(橫掃)RX Mapping'!AW18&lt;=720), (-1)*('(橫掃)RX Mapping'!AW18-720)+120,IF(AND('(橫掃)RX Mapping'!AW18&gt;=721,'(橫掃)RX Mapping'!AW18&lt;=840), ('(橫掃)RX Mapping'!AW18-601),IF(AND('(橫掃)RX Mapping'!AW18&gt;=841,'(橫掃)RX Mapping'!AW18&lt;=960), (-1)*('(橫掃)RX Mapping'!AW18-960)+120,9999))))))))</f>
        <v>9999</v>
      </c>
      <c r="AX18">
        <f>IF(AND('(橫掃)RX Mapping'!AX18&gt;=1,'(橫掃)RX Mapping'!AX18&lt;=120), ('(橫掃)RX Mapping'!AX18-1),IF(AND('(橫掃)RX Mapping'!AX18&gt;=121,'(橫掃)RX Mapping'!AX18&lt;=240), (-1)*('(橫掃)RX Mapping'!AX18-240),IF(AND('(橫掃)RX Mapping'!AX18&gt;=241,'(橫掃)RX Mapping'!AX18&lt;=360), ('(橫掃)RX Mapping'!AX18-241),IF(AND('(橫掃)RX Mapping'!AX18&gt;=361,'(橫掃)RX Mapping'!AX18&lt;=480), (-1)*('(橫掃)RX Mapping'!AX18-480),IF(AND('(橫掃)RX Mapping'!AX18&gt;=481,'(橫掃)RX Mapping'!AX18&lt;=600), ('(橫掃)RX Mapping'!AX18-361),IF(AND('(橫掃)RX Mapping'!AX18&gt;=601,'(橫掃)RX Mapping'!AX18&lt;=720), (-1)*('(橫掃)RX Mapping'!AX18-720)+120,IF(AND('(橫掃)RX Mapping'!AX18&gt;=721,'(橫掃)RX Mapping'!AX18&lt;=840), ('(橫掃)RX Mapping'!AX18-601),IF(AND('(橫掃)RX Mapping'!AX18&gt;=841,'(橫掃)RX Mapping'!AX18&lt;=960), (-1)*('(橫掃)RX Mapping'!AX18-960)+120,9999))))))))</f>
        <v>9999</v>
      </c>
      <c r="AY18">
        <f>IF(AND('(橫掃)RX Mapping'!AY18&gt;=1,'(橫掃)RX Mapping'!AY18&lt;=120), ('(橫掃)RX Mapping'!AY18-1),IF(AND('(橫掃)RX Mapping'!AY18&gt;=121,'(橫掃)RX Mapping'!AY18&lt;=240), (-1)*('(橫掃)RX Mapping'!AY18-240),IF(AND('(橫掃)RX Mapping'!AY18&gt;=241,'(橫掃)RX Mapping'!AY18&lt;=360), ('(橫掃)RX Mapping'!AY18-241),IF(AND('(橫掃)RX Mapping'!AY18&gt;=361,'(橫掃)RX Mapping'!AY18&lt;=480), (-1)*('(橫掃)RX Mapping'!AY18-480),IF(AND('(橫掃)RX Mapping'!AY18&gt;=481,'(橫掃)RX Mapping'!AY18&lt;=600), ('(橫掃)RX Mapping'!AY18-361),IF(AND('(橫掃)RX Mapping'!AY18&gt;=601,'(橫掃)RX Mapping'!AY18&lt;=720), (-1)*('(橫掃)RX Mapping'!AY18-720)+120,IF(AND('(橫掃)RX Mapping'!AY18&gt;=721,'(橫掃)RX Mapping'!AY18&lt;=840), ('(橫掃)RX Mapping'!AY18-601),IF(AND('(橫掃)RX Mapping'!AY18&gt;=841,'(橫掃)RX Mapping'!AY18&lt;=960), (-1)*('(橫掃)RX Mapping'!AY18-960)+120,9999))))))))</f>
        <v>9999</v>
      </c>
      <c r="AZ18">
        <f>IF(AND('(橫掃)RX Mapping'!AZ18&gt;=1,'(橫掃)RX Mapping'!AZ18&lt;=120), ('(橫掃)RX Mapping'!AZ18-1),IF(AND('(橫掃)RX Mapping'!AZ18&gt;=121,'(橫掃)RX Mapping'!AZ18&lt;=240), (-1)*('(橫掃)RX Mapping'!AZ18-240),IF(AND('(橫掃)RX Mapping'!AZ18&gt;=241,'(橫掃)RX Mapping'!AZ18&lt;=360), ('(橫掃)RX Mapping'!AZ18-241),IF(AND('(橫掃)RX Mapping'!AZ18&gt;=361,'(橫掃)RX Mapping'!AZ18&lt;=480), (-1)*('(橫掃)RX Mapping'!AZ18-480),IF(AND('(橫掃)RX Mapping'!AZ18&gt;=481,'(橫掃)RX Mapping'!AZ18&lt;=600), ('(橫掃)RX Mapping'!AZ18-361),IF(AND('(橫掃)RX Mapping'!AZ18&gt;=601,'(橫掃)RX Mapping'!AZ18&lt;=720), (-1)*('(橫掃)RX Mapping'!AZ18-720)+120,IF(AND('(橫掃)RX Mapping'!AZ18&gt;=721,'(橫掃)RX Mapping'!AZ18&lt;=840), ('(橫掃)RX Mapping'!AZ18-601),IF(AND('(橫掃)RX Mapping'!AZ18&gt;=841,'(橫掃)RX Mapping'!AZ18&lt;=960), (-1)*('(橫掃)RX Mapping'!AZ18-960)+120,9999))))))))</f>
        <v>9999</v>
      </c>
      <c r="BA18">
        <f>IF(AND('(橫掃)RX Mapping'!BA18&gt;=1,'(橫掃)RX Mapping'!BA18&lt;=120), ('(橫掃)RX Mapping'!BA18-1),IF(AND('(橫掃)RX Mapping'!BA18&gt;=121,'(橫掃)RX Mapping'!BA18&lt;=240), (-1)*('(橫掃)RX Mapping'!BA18-240),IF(AND('(橫掃)RX Mapping'!BA18&gt;=241,'(橫掃)RX Mapping'!BA18&lt;=360), ('(橫掃)RX Mapping'!BA18-241),IF(AND('(橫掃)RX Mapping'!BA18&gt;=361,'(橫掃)RX Mapping'!BA18&lt;=480), (-1)*('(橫掃)RX Mapping'!BA18-480),IF(AND('(橫掃)RX Mapping'!BA18&gt;=481,'(橫掃)RX Mapping'!BA18&lt;=600), ('(橫掃)RX Mapping'!BA18-361),IF(AND('(橫掃)RX Mapping'!BA18&gt;=601,'(橫掃)RX Mapping'!BA18&lt;=720), (-1)*('(橫掃)RX Mapping'!BA18-720)+120,IF(AND('(橫掃)RX Mapping'!BA18&gt;=721,'(橫掃)RX Mapping'!BA18&lt;=840), ('(橫掃)RX Mapping'!BA18-601),IF(AND('(橫掃)RX Mapping'!BA18&gt;=841,'(橫掃)RX Mapping'!BA18&lt;=960), (-1)*('(橫掃)RX Mapping'!BA18-960)+120,9999))))))))</f>
        <v>9999</v>
      </c>
      <c r="BB18">
        <f>IF(AND('(橫掃)RX Mapping'!BB18&gt;=1,'(橫掃)RX Mapping'!BB18&lt;=120), ('(橫掃)RX Mapping'!BB18-1),IF(AND('(橫掃)RX Mapping'!BB18&gt;=121,'(橫掃)RX Mapping'!BB18&lt;=240), (-1)*('(橫掃)RX Mapping'!BB18-240),IF(AND('(橫掃)RX Mapping'!BB18&gt;=241,'(橫掃)RX Mapping'!BB18&lt;=360), ('(橫掃)RX Mapping'!BB18-241),IF(AND('(橫掃)RX Mapping'!BB18&gt;=361,'(橫掃)RX Mapping'!BB18&lt;=480), (-1)*('(橫掃)RX Mapping'!BB18-480),IF(AND('(橫掃)RX Mapping'!BB18&gt;=481,'(橫掃)RX Mapping'!BB18&lt;=600), ('(橫掃)RX Mapping'!BB18-361),IF(AND('(橫掃)RX Mapping'!BB18&gt;=601,'(橫掃)RX Mapping'!BB18&lt;=720), (-1)*('(橫掃)RX Mapping'!BB18-720)+120,IF(AND('(橫掃)RX Mapping'!BB18&gt;=721,'(橫掃)RX Mapping'!BB18&lt;=840), ('(橫掃)RX Mapping'!BB18-601),IF(AND('(橫掃)RX Mapping'!BB18&gt;=841,'(橫掃)RX Mapping'!BB18&lt;=960), (-1)*('(橫掃)RX Mapping'!BB18-960)+120,9999))))))))</f>
        <v>9999</v>
      </c>
      <c r="BC18">
        <f>IF(AND('(橫掃)RX Mapping'!BC18&gt;=1,'(橫掃)RX Mapping'!BC18&lt;=120), ('(橫掃)RX Mapping'!BC18-1),IF(AND('(橫掃)RX Mapping'!BC18&gt;=121,'(橫掃)RX Mapping'!BC18&lt;=240), (-1)*('(橫掃)RX Mapping'!BC18-240),IF(AND('(橫掃)RX Mapping'!BC18&gt;=241,'(橫掃)RX Mapping'!BC18&lt;=360), ('(橫掃)RX Mapping'!BC18-241),IF(AND('(橫掃)RX Mapping'!BC18&gt;=361,'(橫掃)RX Mapping'!BC18&lt;=480), (-1)*('(橫掃)RX Mapping'!BC18-480),IF(AND('(橫掃)RX Mapping'!BC18&gt;=481,'(橫掃)RX Mapping'!BC18&lt;=600), ('(橫掃)RX Mapping'!BC18-361),IF(AND('(橫掃)RX Mapping'!BC18&gt;=601,'(橫掃)RX Mapping'!BC18&lt;=720), (-1)*('(橫掃)RX Mapping'!BC18-720)+120,IF(AND('(橫掃)RX Mapping'!BC18&gt;=721,'(橫掃)RX Mapping'!BC18&lt;=840), ('(橫掃)RX Mapping'!BC18-601),IF(AND('(橫掃)RX Mapping'!BC18&gt;=841,'(橫掃)RX Mapping'!BC18&lt;=960), (-1)*('(橫掃)RX Mapping'!BC18-960)+120,9999))))))))</f>
        <v>9999</v>
      </c>
      <c r="BD18">
        <f>IF(AND('(橫掃)RX Mapping'!BD18&gt;=1,'(橫掃)RX Mapping'!BD18&lt;=120), ('(橫掃)RX Mapping'!BD18-1),IF(AND('(橫掃)RX Mapping'!BD18&gt;=121,'(橫掃)RX Mapping'!BD18&lt;=240), (-1)*('(橫掃)RX Mapping'!BD18-240),IF(AND('(橫掃)RX Mapping'!BD18&gt;=241,'(橫掃)RX Mapping'!BD18&lt;=360), ('(橫掃)RX Mapping'!BD18-241),IF(AND('(橫掃)RX Mapping'!BD18&gt;=361,'(橫掃)RX Mapping'!BD18&lt;=480), (-1)*('(橫掃)RX Mapping'!BD18-480),IF(AND('(橫掃)RX Mapping'!BD18&gt;=481,'(橫掃)RX Mapping'!BD18&lt;=600), ('(橫掃)RX Mapping'!BD18-361),IF(AND('(橫掃)RX Mapping'!BD18&gt;=601,'(橫掃)RX Mapping'!BD18&lt;=720), (-1)*('(橫掃)RX Mapping'!BD18-720)+120,IF(AND('(橫掃)RX Mapping'!BD18&gt;=721,'(橫掃)RX Mapping'!BD18&lt;=840), ('(橫掃)RX Mapping'!BD18-601),IF(AND('(橫掃)RX Mapping'!BD18&gt;=841,'(橫掃)RX Mapping'!BD18&lt;=960), (-1)*('(橫掃)RX Mapping'!BD18-960)+120,9999))))))))</f>
        <v>9999</v>
      </c>
      <c r="BE18">
        <f>IF(AND('(橫掃)RX Mapping'!BE18&gt;=1,'(橫掃)RX Mapping'!BE18&lt;=120), ('(橫掃)RX Mapping'!BE18-1),IF(AND('(橫掃)RX Mapping'!BE18&gt;=121,'(橫掃)RX Mapping'!BE18&lt;=240), (-1)*('(橫掃)RX Mapping'!BE18-240),IF(AND('(橫掃)RX Mapping'!BE18&gt;=241,'(橫掃)RX Mapping'!BE18&lt;=360), ('(橫掃)RX Mapping'!BE18-241),IF(AND('(橫掃)RX Mapping'!BE18&gt;=361,'(橫掃)RX Mapping'!BE18&lt;=480), (-1)*('(橫掃)RX Mapping'!BE18-480),IF(AND('(橫掃)RX Mapping'!BE18&gt;=481,'(橫掃)RX Mapping'!BE18&lt;=600), ('(橫掃)RX Mapping'!BE18-361),IF(AND('(橫掃)RX Mapping'!BE18&gt;=601,'(橫掃)RX Mapping'!BE18&lt;=720), (-1)*('(橫掃)RX Mapping'!BE18-720)+120,IF(AND('(橫掃)RX Mapping'!BE18&gt;=721,'(橫掃)RX Mapping'!BE18&lt;=840), ('(橫掃)RX Mapping'!BE18-601),IF(AND('(橫掃)RX Mapping'!BE18&gt;=841,'(橫掃)RX Mapping'!BE18&lt;=960), (-1)*('(橫掃)RX Mapping'!BE18-960)+120,9999))))))))</f>
        <v>9999</v>
      </c>
      <c r="BF18">
        <f>IF(AND('(橫掃)RX Mapping'!BF18&gt;=1,'(橫掃)RX Mapping'!BF18&lt;=120), ('(橫掃)RX Mapping'!BF18-1),IF(AND('(橫掃)RX Mapping'!BF18&gt;=121,'(橫掃)RX Mapping'!BF18&lt;=240), (-1)*('(橫掃)RX Mapping'!BF18-240),IF(AND('(橫掃)RX Mapping'!BF18&gt;=241,'(橫掃)RX Mapping'!BF18&lt;=360), ('(橫掃)RX Mapping'!BF18-241),IF(AND('(橫掃)RX Mapping'!BF18&gt;=361,'(橫掃)RX Mapping'!BF18&lt;=480), (-1)*('(橫掃)RX Mapping'!BF18-480),IF(AND('(橫掃)RX Mapping'!BF18&gt;=481,'(橫掃)RX Mapping'!BF18&lt;=600), ('(橫掃)RX Mapping'!BF18-361),IF(AND('(橫掃)RX Mapping'!BF18&gt;=601,'(橫掃)RX Mapping'!BF18&lt;=720), (-1)*('(橫掃)RX Mapping'!BF18-720)+120,IF(AND('(橫掃)RX Mapping'!BF18&gt;=721,'(橫掃)RX Mapping'!BF18&lt;=840), ('(橫掃)RX Mapping'!BF18-601),IF(AND('(橫掃)RX Mapping'!BF18&gt;=841,'(橫掃)RX Mapping'!BF18&lt;=960), (-1)*('(橫掃)RX Mapping'!BF18-960)+120,9999))))))))</f>
        <v>9999</v>
      </c>
      <c r="BG18">
        <f>IF(AND('(橫掃)RX Mapping'!BG18&gt;=1,'(橫掃)RX Mapping'!BG18&lt;=120), ('(橫掃)RX Mapping'!BG18-1),IF(AND('(橫掃)RX Mapping'!BG18&gt;=121,'(橫掃)RX Mapping'!BG18&lt;=240), (-1)*('(橫掃)RX Mapping'!BG18-240),IF(AND('(橫掃)RX Mapping'!BG18&gt;=241,'(橫掃)RX Mapping'!BG18&lt;=360), ('(橫掃)RX Mapping'!BG18-241),IF(AND('(橫掃)RX Mapping'!BG18&gt;=361,'(橫掃)RX Mapping'!BG18&lt;=480), (-1)*('(橫掃)RX Mapping'!BG18-480),IF(AND('(橫掃)RX Mapping'!BG18&gt;=481,'(橫掃)RX Mapping'!BG18&lt;=600), ('(橫掃)RX Mapping'!BG18-361),IF(AND('(橫掃)RX Mapping'!BG18&gt;=601,'(橫掃)RX Mapping'!BG18&lt;=720), (-1)*('(橫掃)RX Mapping'!BG18-720)+120,IF(AND('(橫掃)RX Mapping'!BG18&gt;=721,'(橫掃)RX Mapping'!BG18&lt;=840), ('(橫掃)RX Mapping'!BG18-601),IF(AND('(橫掃)RX Mapping'!BG18&gt;=841,'(橫掃)RX Mapping'!BG18&lt;=960), (-1)*('(橫掃)RX Mapping'!BG18-960)+120,9999))))))))</f>
        <v>9999</v>
      </c>
      <c r="BH18">
        <f>IF(AND('(橫掃)RX Mapping'!BH18&gt;=1,'(橫掃)RX Mapping'!BH18&lt;=120), ('(橫掃)RX Mapping'!BH18-1),IF(AND('(橫掃)RX Mapping'!BH18&gt;=121,'(橫掃)RX Mapping'!BH18&lt;=240), (-1)*('(橫掃)RX Mapping'!BH18-240),IF(AND('(橫掃)RX Mapping'!BH18&gt;=241,'(橫掃)RX Mapping'!BH18&lt;=360), ('(橫掃)RX Mapping'!BH18-241),IF(AND('(橫掃)RX Mapping'!BH18&gt;=361,'(橫掃)RX Mapping'!BH18&lt;=480), (-1)*('(橫掃)RX Mapping'!BH18-480),IF(AND('(橫掃)RX Mapping'!BH18&gt;=481,'(橫掃)RX Mapping'!BH18&lt;=600), ('(橫掃)RX Mapping'!BH18-361),IF(AND('(橫掃)RX Mapping'!BH18&gt;=601,'(橫掃)RX Mapping'!BH18&lt;=720), (-1)*('(橫掃)RX Mapping'!BH18-720)+120,IF(AND('(橫掃)RX Mapping'!BH18&gt;=721,'(橫掃)RX Mapping'!BH18&lt;=840), ('(橫掃)RX Mapping'!BH18-601),IF(AND('(橫掃)RX Mapping'!BH18&gt;=841,'(橫掃)RX Mapping'!BH18&lt;=960), (-1)*('(橫掃)RX Mapping'!BH18-960)+120,9999))))))))</f>
        <v>9999</v>
      </c>
      <c r="BI18">
        <f>IF(AND('(橫掃)RX Mapping'!BI18&gt;=1,'(橫掃)RX Mapping'!BI18&lt;=120), ('(橫掃)RX Mapping'!BI18-1),IF(AND('(橫掃)RX Mapping'!BI18&gt;=121,'(橫掃)RX Mapping'!BI18&lt;=240), (-1)*('(橫掃)RX Mapping'!BI18-240),IF(AND('(橫掃)RX Mapping'!BI18&gt;=241,'(橫掃)RX Mapping'!BI18&lt;=360), ('(橫掃)RX Mapping'!BI18-241),IF(AND('(橫掃)RX Mapping'!BI18&gt;=361,'(橫掃)RX Mapping'!BI18&lt;=480), (-1)*('(橫掃)RX Mapping'!BI18-480),IF(AND('(橫掃)RX Mapping'!BI18&gt;=481,'(橫掃)RX Mapping'!BI18&lt;=600), ('(橫掃)RX Mapping'!BI18-361),IF(AND('(橫掃)RX Mapping'!BI18&gt;=601,'(橫掃)RX Mapping'!BI18&lt;=720), (-1)*('(橫掃)RX Mapping'!BI18-720)+120,IF(AND('(橫掃)RX Mapping'!BI18&gt;=721,'(橫掃)RX Mapping'!BI18&lt;=840), ('(橫掃)RX Mapping'!BI18-601),IF(AND('(橫掃)RX Mapping'!BI18&gt;=841,'(橫掃)RX Mapping'!BI18&lt;=960), (-1)*('(橫掃)RX Mapping'!BI18-960)+120,9999))))))))</f>
        <v>9999</v>
      </c>
    </row>
    <row r="19" spans="1:61" x14ac:dyDescent="0.25">
      <c r="A19" s="20">
        <v>18</v>
      </c>
      <c r="B19">
        <f>IF(AND('(橫掃)RX Mapping'!B19&gt;=1,'(橫掃)RX Mapping'!B19&lt;=120), ('(橫掃)RX Mapping'!B19-1),IF(AND('(橫掃)RX Mapping'!B19&gt;=121,'(橫掃)RX Mapping'!B19&lt;=240), (-1)*('(橫掃)RX Mapping'!B19-240),IF(AND('(橫掃)RX Mapping'!B19&gt;=241,'(橫掃)RX Mapping'!B19&lt;=360), ('(橫掃)RX Mapping'!B19-241),IF(AND('(橫掃)RX Mapping'!B19&gt;=361,'(橫掃)RX Mapping'!B19&lt;=480), (-1)*('(橫掃)RX Mapping'!B19-480),IF(AND('(橫掃)RX Mapping'!B19&gt;=481,'(橫掃)RX Mapping'!B19&lt;=600), ('(橫掃)RX Mapping'!B19-361),IF(AND('(橫掃)RX Mapping'!B19&gt;=601,'(橫掃)RX Mapping'!B19&lt;=720), (-1)*('(橫掃)RX Mapping'!B19-720)+120,IF(AND('(橫掃)RX Mapping'!B19&gt;=721,'(橫掃)RX Mapping'!B19&lt;=840), ('(橫掃)RX Mapping'!B19-601),IF(AND('(橫掃)RX Mapping'!B19&gt;=841,'(橫掃)RX Mapping'!B19&lt;=960), (-1)*('(橫掃)RX Mapping'!B19-960)+120,9999))))))))</f>
        <v>17</v>
      </c>
      <c r="C19">
        <f>IF(AND('(橫掃)RX Mapping'!C19&gt;=1,'(橫掃)RX Mapping'!C19&lt;=120), ('(橫掃)RX Mapping'!C19-1),IF(AND('(橫掃)RX Mapping'!C19&gt;=121,'(橫掃)RX Mapping'!C19&lt;=240), (-1)*('(橫掃)RX Mapping'!C19-240),IF(AND('(橫掃)RX Mapping'!C19&gt;=241,'(橫掃)RX Mapping'!C19&lt;=360), ('(橫掃)RX Mapping'!C19-241),IF(AND('(橫掃)RX Mapping'!C19&gt;=361,'(橫掃)RX Mapping'!C19&lt;=480), (-1)*('(橫掃)RX Mapping'!C19-480),IF(AND('(橫掃)RX Mapping'!C19&gt;=481,'(橫掃)RX Mapping'!C19&lt;=600), ('(橫掃)RX Mapping'!C19-361),IF(AND('(橫掃)RX Mapping'!C19&gt;=601,'(橫掃)RX Mapping'!C19&lt;=720), (-1)*('(橫掃)RX Mapping'!C19-720)+120,IF(AND('(橫掃)RX Mapping'!C19&gt;=721,'(橫掃)RX Mapping'!C19&lt;=840), ('(橫掃)RX Mapping'!C19-601),IF(AND('(橫掃)RX Mapping'!C19&gt;=841,'(橫掃)RX Mapping'!C19&lt;=960), (-1)*('(橫掃)RX Mapping'!C19-960)+120,9999))))))))</f>
        <v>49</v>
      </c>
      <c r="D19">
        <f>IF(AND('(橫掃)RX Mapping'!D19&gt;=1,'(橫掃)RX Mapping'!D19&lt;=120), ('(橫掃)RX Mapping'!D19-1),IF(AND('(橫掃)RX Mapping'!D19&gt;=121,'(橫掃)RX Mapping'!D19&lt;=240), (-1)*('(橫掃)RX Mapping'!D19-240),IF(AND('(橫掃)RX Mapping'!D19&gt;=241,'(橫掃)RX Mapping'!D19&lt;=360), ('(橫掃)RX Mapping'!D19-241),IF(AND('(橫掃)RX Mapping'!D19&gt;=361,'(橫掃)RX Mapping'!D19&lt;=480), (-1)*('(橫掃)RX Mapping'!D19-480),IF(AND('(橫掃)RX Mapping'!D19&gt;=481,'(橫掃)RX Mapping'!D19&lt;=600), ('(橫掃)RX Mapping'!D19-361),IF(AND('(橫掃)RX Mapping'!D19&gt;=601,'(橫掃)RX Mapping'!D19&lt;=720), (-1)*('(橫掃)RX Mapping'!D19-720)+120,IF(AND('(橫掃)RX Mapping'!D19&gt;=721,'(橫掃)RX Mapping'!D19&lt;=840), ('(橫掃)RX Mapping'!D19-601),IF(AND('(橫掃)RX Mapping'!D19&gt;=841,'(橫掃)RX Mapping'!D19&lt;=960), (-1)*('(橫掃)RX Mapping'!D19-960)+120,9999))))))))</f>
        <v>81</v>
      </c>
      <c r="E19">
        <f>IF(AND('(橫掃)RX Mapping'!E19&gt;=1,'(橫掃)RX Mapping'!E19&lt;=120), ('(橫掃)RX Mapping'!E19-1),IF(AND('(橫掃)RX Mapping'!E19&gt;=121,'(橫掃)RX Mapping'!E19&lt;=240), (-1)*('(橫掃)RX Mapping'!E19-240),IF(AND('(橫掃)RX Mapping'!E19&gt;=241,'(橫掃)RX Mapping'!E19&lt;=360), ('(橫掃)RX Mapping'!E19-241),IF(AND('(橫掃)RX Mapping'!E19&gt;=361,'(橫掃)RX Mapping'!E19&lt;=480), (-1)*('(橫掃)RX Mapping'!E19-480),IF(AND('(橫掃)RX Mapping'!E19&gt;=481,'(橫掃)RX Mapping'!E19&lt;=600), ('(橫掃)RX Mapping'!E19-361),IF(AND('(橫掃)RX Mapping'!E19&gt;=601,'(橫掃)RX Mapping'!E19&lt;=720), (-1)*('(橫掃)RX Mapping'!E19-720)+120,IF(AND('(橫掃)RX Mapping'!E19&gt;=721,'(橫掃)RX Mapping'!E19&lt;=840), ('(橫掃)RX Mapping'!E19-601),IF(AND('(橫掃)RX Mapping'!E19&gt;=841,'(橫掃)RX Mapping'!E19&lt;=960), (-1)*('(橫掃)RX Mapping'!E19-960)+120,9999))))))))</f>
        <v>113</v>
      </c>
      <c r="F19">
        <f>IF(AND('(橫掃)RX Mapping'!F19&gt;=1,'(橫掃)RX Mapping'!F19&lt;=120), ('(橫掃)RX Mapping'!F19-1),IF(AND('(橫掃)RX Mapping'!F19&gt;=121,'(橫掃)RX Mapping'!F19&lt;=240), (-1)*('(橫掃)RX Mapping'!F19-240),IF(AND('(橫掃)RX Mapping'!F19&gt;=241,'(橫掃)RX Mapping'!F19&lt;=360), ('(橫掃)RX Mapping'!F19-241),IF(AND('(橫掃)RX Mapping'!F19&gt;=361,'(橫掃)RX Mapping'!F19&lt;=480), (-1)*('(橫掃)RX Mapping'!F19-480),IF(AND('(橫掃)RX Mapping'!F19&gt;=481,'(橫掃)RX Mapping'!F19&lt;=600), ('(橫掃)RX Mapping'!F19-361),IF(AND('(橫掃)RX Mapping'!F19&gt;=601,'(橫掃)RX Mapping'!F19&lt;=720), (-1)*('(橫掃)RX Mapping'!F19-720)+120,IF(AND('(橫掃)RX Mapping'!F19&gt;=721,'(橫掃)RX Mapping'!F19&lt;=840), ('(橫掃)RX Mapping'!F19-601),IF(AND('(橫掃)RX Mapping'!F19&gt;=841,'(橫掃)RX Mapping'!F19&lt;=960), (-1)*('(橫掃)RX Mapping'!F19-960)+120,9999))))))))</f>
        <v>94</v>
      </c>
      <c r="G19">
        <f>IF(AND('(橫掃)RX Mapping'!G19&gt;=1,'(橫掃)RX Mapping'!G19&lt;=120), ('(橫掃)RX Mapping'!G19-1),IF(AND('(橫掃)RX Mapping'!G19&gt;=121,'(橫掃)RX Mapping'!G19&lt;=240), (-1)*('(橫掃)RX Mapping'!G19-240),IF(AND('(橫掃)RX Mapping'!G19&gt;=241,'(橫掃)RX Mapping'!G19&lt;=360), ('(橫掃)RX Mapping'!G19-241),IF(AND('(橫掃)RX Mapping'!G19&gt;=361,'(橫掃)RX Mapping'!G19&lt;=480), (-1)*('(橫掃)RX Mapping'!G19-480),IF(AND('(橫掃)RX Mapping'!G19&gt;=481,'(橫掃)RX Mapping'!G19&lt;=600), ('(橫掃)RX Mapping'!G19-361),IF(AND('(橫掃)RX Mapping'!G19&gt;=601,'(橫掃)RX Mapping'!G19&lt;=720), (-1)*('(橫掃)RX Mapping'!G19-720)+120,IF(AND('(橫掃)RX Mapping'!G19&gt;=721,'(橫掃)RX Mapping'!G19&lt;=840), ('(橫掃)RX Mapping'!G19-601),IF(AND('(橫掃)RX Mapping'!G19&gt;=841,'(橫掃)RX Mapping'!G19&lt;=960), (-1)*('(橫掃)RX Mapping'!G19-960)+120,9999))))))))</f>
        <v>62</v>
      </c>
      <c r="H19">
        <f>IF(AND('(橫掃)RX Mapping'!H19&gt;=1,'(橫掃)RX Mapping'!H19&lt;=120), ('(橫掃)RX Mapping'!H19-1),IF(AND('(橫掃)RX Mapping'!H19&gt;=121,'(橫掃)RX Mapping'!H19&lt;=240), (-1)*('(橫掃)RX Mapping'!H19-240),IF(AND('(橫掃)RX Mapping'!H19&gt;=241,'(橫掃)RX Mapping'!H19&lt;=360), ('(橫掃)RX Mapping'!H19-241),IF(AND('(橫掃)RX Mapping'!H19&gt;=361,'(橫掃)RX Mapping'!H19&lt;=480), (-1)*('(橫掃)RX Mapping'!H19-480),IF(AND('(橫掃)RX Mapping'!H19&gt;=481,'(橫掃)RX Mapping'!H19&lt;=600), ('(橫掃)RX Mapping'!H19-361),IF(AND('(橫掃)RX Mapping'!H19&gt;=601,'(橫掃)RX Mapping'!H19&lt;=720), (-1)*('(橫掃)RX Mapping'!H19-720)+120,IF(AND('(橫掃)RX Mapping'!H19&gt;=721,'(橫掃)RX Mapping'!H19&lt;=840), ('(橫掃)RX Mapping'!H19-601),IF(AND('(橫掃)RX Mapping'!H19&gt;=841,'(橫掃)RX Mapping'!H19&lt;=960), (-1)*('(橫掃)RX Mapping'!H19-960)+120,9999))))))))</f>
        <v>30</v>
      </c>
      <c r="I19">
        <f>IF(AND('(橫掃)RX Mapping'!I19&gt;=1,'(橫掃)RX Mapping'!I19&lt;=120), ('(橫掃)RX Mapping'!I19-1),IF(AND('(橫掃)RX Mapping'!I19&gt;=121,'(橫掃)RX Mapping'!I19&lt;=240), (-1)*('(橫掃)RX Mapping'!I19-240),IF(AND('(橫掃)RX Mapping'!I19&gt;=241,'(橫掃)RX Mapping'!I19&lt;=360), ('(橫掃)RX Mapping'!I19-241),IF(AND('(橫掃)RX Mapping'!I19&gt;=361,'(橫掃)RX Mapping'!I19&lt;=480), (-1)*('(橫掃)RX Mapping'!I19-480),IF(AND('(橫掃)RX Mapping'!I19&gt;=481,'(橫掃)RX Mapping'!I19&lt;=600), ('(橫掃)RX Mapping'!I19-361),IF(AND('(橫掃)RX Mapping'!I19&gt;=601,'(橫掃)RX Mapping'!I19&lt;=720), (-1)*('(橫掃)RX Mapping'!I19-720)+120,IF(AND('(橫掃)RX Mapping'!I19&gt;=721,'(橫掃)RX Mapping'!I19&lt;=840), ('(橫掃)RX Mapping'!I19-601),IF(AND('(橫掃)RX Mapping'!I19&gt;=841,'(橫掃)RX Mapping'!I19&lt;=960), (-1)*('(橫掃)RX Mapping'!I19-960)+120,9999))))))))</f>
        <v>17</v>
      </c>
      <c r="J19">
        <f>IF(AND('(橫掃)RX Mapping'!J19&gt;=1,'(橫掃)RX Mapping'!J19&lt;=120), ('(橫掃)RX Mapping'!J19-1),IF(AND('(橫掃)RX Mapping'!J19&gt;=121,'(橫掃)RX Mapping'!J19&lt;=240), (-1)*('(橫掃)RX Mapping'!J19-240),IF(AND('(橫掃)RX Mapping'!J19&gt;=241,'(橫掃)RX Mapping'!J19&lt;=360), ('(橫掃)RX Mapping'!J19-241),IF(AND('(橫掃)RX Mapping'!J19&gt;=361,'(橫掃)RX Mapping'!J19&lt;=480), (-1)*('(橫掃)RX Mapping'!J19-480),IF(AND('(橫掃)RX Mapping'!J19&gt;=481,'(橫掃)RX Mapping'!J19&lt;=600), ('(橫掃)RX Mapping'!J19-361),IF(AND('(橫掃)RX Mapping'!J19&gt;=601,'(橫掃)RX Mapping'!J19&lt;=720), (-1)*('(橫掃)RX Mapping'!J19-720)+120,IF(AND('(橫掃)RX Mapping'!J19&gt;=721,'(橫掃)RX Mapping'!J19&lt;=840), ('(橫掃)RX Mapping'!J19-601),IF(AND('(橫掃)RX Mapping'!J19&gt;=841,'(橫掃)RX Mapping'!J19&lt;=960), (-1)*('(橫掃)RX Mapping'!J19-960)+120,9999))))))))</f>
        <v>49</v>
      </c>
      <c r="K19">
        <f>IF(AND('(橫掃)RX Mapping'!K19&gt;=1,'(橫掃)RX Mapping'!K19&lt;=120), ('(橫掃)RX Mapping'!K19-1),IF(AND('(橫掃)RX Mapping'!K19&gt;=121,'(橫掃)RX Mapping'!K19&lt;=240), (-1)*('(橫掃)RX Mapping'!K19-240),IF(AND('(橫掃)RX Mapping'!K19&gt;=241,'(橫掃)RX Mapping'!K19&lt;=360), ('(橫掃)RX Mapping'!K19-241),IF(AND('(橫掃)RX Mapping'!K19&gt;=361,'(橫掃)RX Mapping'!K19&lt;=480), (-1)*('(橫掃)RX Mapping'!K19-480),IF(AND('(橫掃)RX Mapping'!K19&gt;=481,'(橫掃)RX Mapping'!K19&lt;=600), ('(橫掃)RX Mapping'!K19-361),IF(AND('(橫掃)RX Mapping'!K19&gt;=601,'(橫掃)RX Mapping'!K19&lt;=720), (-1)*('(橫掃)RX Mapping'!K19-720)+120,IF(AND('(橫掃)RX Mapping'!K19&gt;=721,'(橫掃)RX Mapping'!K19&lt;=840), ('(橫掃)RX Mapping'!K19-601),IF(AND('(橫掃)RX Mapping'!K19&gt;=841,'(橫掃)RX Mapping'!K19&lt;=960), (-1)*('(橫掃)RX Mapping'!K19-960)+120,9999))))))))</f>
        <v>81</v>
      </c>
      <c r="L19">
        <f>IF(AND('(橫掃)RX Mapping'!L19&gt;=1,'(橫掃)RX Mapping'!L19&lt;=120), ('(橫掃)RX Mapping'!L19-1),IF(AND('(橫掃)RX Mapping'!L19&gt;=121,'(橫掃)RX Mapping'!L19&lt;=240), (-1)*('(橫掃)RX Mapping'!L19-240),IF(AND('(橫掃)RX Mapping'!L19&gt;=241,'(橫掃)RX Mapping'!L19&lt;=360), ('(橫掃)RX Mapping'!L19-241),IF(AND('(橫掃)RX Mapping'!L19&gt;=361,'(橫掃)RX Mapping'!L19&lt;=480), (-1)*('(橫掃)RX Mapping'!L19-480),IF(AND('(橫掃)RX Mapping'!L19&gt;=481,'(橫掃)RX Mapping'!L19&lt;=600), ('(橫掃)RX Mapping'!L19-361),IF(AND('(橫掃)RX Mapping'!L19&gt;=601,'(橫掃)RX Mapping'!L19&lt;=720), (-1)*('(橫掃)RX Mapping'!L19-720)+120,IF(AND('(橫掃)RX Mapping'!L19&gt;=721,'(橫掃)RX Mapping'!L19&lt;=840), ('(橫掃)RX Mapping'!L19-601),IF(AND('(橫掃)RX Mapping'!L19&gt;=841,'(橫掃)RX Mapping'!L19&lt;=960), (-1)*('(橫掃)RX Mapping'!L19-960)+120,9999))))))))</f>
        <v>113</v>
      </c>
      <c r="M19">
        <f>IF(AND('(橫掃)RX Mapping'!M19&gt;=1,'(橫掃)RX Mapping'!M19&lt;=120), ('(橫掃)RX Mapping'!M19-1),IF(AND('(橫掃)RX Mapping'!M19&gt;=121,'(橫掃)RX Mapping'!M19&lt;=240), (-1)*('(橫掃)RX Mapping'!M19-240),IF(AND('(橫掃)RX Mapping'!M19&gt;=241,'(橫掃)RX Mapping'!M19&lt;=360), ('(橫掃)RX Mapping'!M19-241),IF(AND('(橫掃)RX Mapping'!M19&gt;=361,'(橫掃)RX Mapping'!M19&lt;=480), (-1)*('(橫掃)RX Mapping'!M19-480),IF(AND('(橫掃)RX Mapping'!M19&gt;=481,'(橫掃)RX Mapping'!M19&lt;=600), ('(橫掃)RX Mapping'!M19-361),IF(AND('(橫掃)RX Mapping'!M19&gt;=601,'(橫掃)RX Mapping'!M19&lt;=720), (-1)*('(橫掃)RX Mapping'!M19-720)+120,IF(AND('(橫掃)RX Mapping'!M19&gt;=721,'(橫掃)RX Mapping'!M19&lt;=840), ('(橫掃)RX Mapping'!M19-601),IF(AND('(橫掃)RX Mapping'!M19&gt;=841,'(橫掃)RX Mapping'!M19&lt;=960), (-1)*('(橫掃)RX Mapping'!M19-960)+120,9999))))))))</f>
        <v>94</v>
      </c>
      <c r="N19">
        <f>IF(AND('(橫掃)RX Mapping'!N19&gt;=1,'(橫掃)RX Mapping'!N19&lt;=120), ('(橫掃)RX Mapping'!N19-1),IF(AND('(橫掃)RX Mapping'!N19&gt;=121,'(橫掃)RX Mapping'!N19&lt;=240), (-1)*('(橫掃)RX Mapping'!N19-240),IF(AND('(橫掃)RX Mapping'!N19&gt;=241,'(橫掃)RX Mapping'!N19&lt;=360), ('(橫掃)RX Mapping'!N19-241),IF(AND('(橫掃)RX Mapping'!N19&gt;=361,'(橫掃)RX Mapping'!N19&lt;=480), (-1)*('(橫掃)RX Mapping'!N19-480),IF(AND('(橫掃)RX Mapping'!N19&gt;=481,'(橫掃)RX Mapping'!N19&lt;=600), ('(橫掃)RX Mapping'!N19-361),IF(AND('(橫掃)RX Mapping'!N19&gt;=601,'(橫掃)RX Mapping'!N19&lt;=720), (-1)*('(橫掃)RX Mapping'!N19-720)+120,IF(AND('(橫掃)RX Mapping'!N19&gt;=721,'(橫掃)RX Mapping'!N19&lt;=840), ('(橫掃)RX Mapping'!N19-601),IF(AND('(橫掃)RX Mapping'!N19&gt;=841,'(橫掃)RX Mapping'!N19&lt;=960), (-1)*('(橫掃)RX Mapping'!N19-960)+120,9999))))))))</f>
        <v>62</v>
      </c>
      <c r="O19">
        <f>IF(AND('(橫掃)RX Mapping'!O19&gt;=1,'(橫掃)RX Mapping'!O19&lt;=120), ('(橫掃)RX Mapping'!O19-1),IF(AND('(橫掃)RX Mapping'!O19&gt;=121,'(橫掃)RX Mapping'!O19&lt;=240), (-1)*('(橫掃)RX Mapping'!O19-240),IF(AND('(橫掃)RX Mapping'!O19&gt;=241,'(橫掃)RX Mapping'!O19&lt;=360), ('(橫掃)RX Mapping'!O19-241),IF(AND('(橫掃)RX Mapping'!O19&gt;=361,'(橫掃)RX Mapping'!O19&lt;=480), (-1)*('(橫掃)RX Mapping'!O19-480),IF(AND('(橫掃)RX Mapping'!O19&gt;=481,'(橫掃)RX Mapping'!O19&lt;=600), ('(橫掃)RX Mapping'!O19-361),IF(AND('(橫掃)RX Mapping'!O19&gt;=601,'(橫掃)RX Mapping'!O19&lt;=720), (-1)*('(橫掃)RX Mapping'!O19-720)+120,IF(AND('(橫掃)RX Mapping'!O19&gt;=721,'(橫掃)RX Mapping'!O19&lt;=840), ('(橫掃)RX Mapping'!O19-601),IF(AND('(橫掃)RX Mapping'!O19&gt;=841,'(橫掃)RX Mapping'!O19&lt;=960), (-1)*('(橫掃)RX Mapping'!O19-960)+120,9999))))))))</f>
        <v>30</v>
      </c>
      <c r="P19">
        <f>IF(AND('(橫掃)RX Mapping'!P19&gt;=1,'(橫掃)RX Mapping'!P19&lt;=120), ('(橫掃)RX Mapping'!P19-1),IF(AND('(橫掃)RX Mapping'!P19&gt;=121,'(橫掃)RX Mapping'!P19&lt;=240), (-1)*('(橫掃)RX Mapping'!P19-240),IF(AND('(橫掃)RX Mapping'!P19&gt;=241,'(橫掃)RX Mapping'!P19&lt;=360), ('(橫掃)RX Mapping'!P19-241),IF(AND('(橫掃)RX Mapping'!P19&gt;=361,'(橫掃)RX Mapping'!P19&lt;=480), (-1)*('(橫掃)RX Mapping'!P19-480),IF(AND('(橫掃)RX Mapping'!P19&gt;=481,'(橫掃)RX Mapping'!P19&lt;=600), ('(橫掃)RX Mapping'!P19-361),IF(AND('(橫掃)RX Mapping'!P19&gt;=601,'(橫掃)RX Mapping'!P19&lt;=720), (-1)*('(橫掃)RX Mapping'!P19-720)+120,IF(AND('(橫掃)RX Mapping'!P19&gt;=721,'(橫掃)RX Mapping'!P19&lt;=840), ('(橫掃)RX Mapping'!P19-601),IF(AND('(橫掃)RX Mapping'!P19&gt;=841,'(橫掃)RX Mapping'!P19&lt;=960), (-1)*('(橫掃)RX Mapping'!P19-960)+120,9999))))))))</f>
        <v>137</v>
      </c>
      <c r="Q19">
        <f>IF(AND('(橫掃)RX Mapping'!Q19&gt;=1,'(橫掃)RX Mapping'!Q19&lt;=120), ('(橫掃)RX Mapping'!Q19-1),IF(AND('(橫掃)RX Mapping'!Q19&gt;=121,'(橫掃)RX Mapping'!Q19&lt;=240), (-1)*('(橫掃)RX Mapping'!Q19-240),IF(AND('(橫掃)RX Mapping'!Q19&gt;=241,'(橫掃)RX Mapping'!Q19&lt;=360), ('(橫掃)RX Mapping'!Q19-241),IF(AND('(橫掃)RX Mapping'!Q19&gt;=361,'(橫掃)RX Mapping'!Q19&lt;=480), (-1)*('(橫掃)RX Mapping'!Q19-480),IF(AND('(橫掃)RX Mapping'!Q19&gt;=481,'(橫掃)RX Mapping'!Q19&lt;=600), ('(橫掃)RX Mapping'!Q19-361),IF(AND('(橫掃)RX Mapping'!Q19&gt;=601,'(橫掃)RX Mapping'!Q19&lt;=720), (-1)*('(橫掃)RX Mapping'!Q19-720)+120,IF(AND('(橫掃)RX Mapping'!Q19&gt;=721,'(橫掃)RX Mapping'!Q19&lt;=840), ('(橫掃)RX Mapping'!Q19-601),IF(AND('(橫掃)RX Mapping'!Q19&gt;=841,'(橫掃)RX Mapping'!Q19&lt;=960), (-1)*('(橫掃)RX Mapping'!Q19-960)+120,9999))))))))</f>
        <v>169</v>
      </c>
      <c r="R19">
        <f>IF(AND('(橫掃)RX Mapping'!R19&gt;=1,'(橫掃)RX Mapping'!R19&lt;=120), ('(橫掃)RX Mapping'!R19-1),IF(AND('(橫掃)RX Mapping'!R19&gt;=121,'(橫掃)RX Mapping'!R19&lt;=240), (-1)*('(橫掃)RX Mapping'!R19-240),IF(AND('(橫掃)RX Mapping'!R19&gt;=241,'(橫掃)RX Mapping'!R19&lt;=360), ('(橫掃)RX Mapping'!R19-241),IF(AND('(橫掃)RX Mapping'!R19&gt;=361,'(橫掃)RX Mapping'!R19&lt;=480), (-1)*('(橫掃)RX Mapping'!R19-480),IF(AND('(橫掃)RX Mapping'!R19&gt;=481,'(橫掃)RX Mapping'!R19&lt;=600), ('(橫掃)RX Mapping'!R19-361),IF(AND('(橫掃)RX Mapping'!R19&gt;=601,'(橫掃)RX Mapping'!R19&lt;=720), (-1)*('(橫掃)RX Mapping'!R19-720)+120,IF(AND('(橫掃)RX Mapping'!R19&gt;=721,'(橫掃)RX Mapping'!R19&lt;=840), ('(橫掃)RX Mapping'!R19-601),IF(AND('(橫掃)RX Mapping'!R19&gt;=841,'(橫掃)RX Mapping'!R19&lt;=960), (-1)*('(橫掃)RX Mapping'!R19-960)+120,9999))))))))</f>
        <v>201</v>
      </c>
      <c r="S19">
        <f>IF(AND('(橫掃)RX Mapping'!S19&gt;=1,'(橫掃)RX Mapping'!S19&lt;=120), ('(橫掃)RX Mapping'!S19-1),IF(AND('(橫掃)RX Mapping'!S19&gt;=121,'(橫掃)RX Mapping'!S19&lt;=240), (-1)*('(橫掃)RX Mapping'!S19-240),IF(AND('(橫掃)RX Mapping'!S19&gt;=241,'(橫掃)RX Mapping'!S19&lt;=360), ('(橫掃)RX Mapping'!S19-241),IF(AND('(橫掃)RX Mapping'!S19&gt;=361,'(橫掃)RX Mapping'!S19&lt;=480), (-1)*('(橫掃)RX Mapping'!S19-480),IF(AND('(橫掃)RX Mapping'!S19&gt;=481,'(橫掃)RX Mapping'!S19&lt;=600), ('(橫掃)RX Mapping'!S19-361),IF(AND('(橫掃)RX Mapping'!S19&gt;=601,'(橫掃)RX Mapping'!S19&lt;=720), (-1)*('(橫掃)RX Mapping'!S19-720)+120,IF(AND('(橫掃)RX Mapping'!S19&gt;=721,'(橫掃)RX Mapping'!S19&lt;=840), ('(橫掃)RX Mapping'!S19-601),IF(AND('(橫掃)RX Mapping'!S19&gt;=841,'(橫掃)RX Mapping'!S19&lt;=960), (-1)*('(橫掃)RX Mapping'!S19-960)+120,9999))))))))</f>
        <v>233</v>
      </c>
      <c r="T19">
        <f>IF(AND('(橫掃)RX Mapping'!T19&gt;=1,'(橫掃)RX Mapping'!T19&lt;=120), ('(橫掃)RX Mapping'!T19-1),IF(AND('(橫掃)RX Mapping'!T19&gt;=121,'(橫掃)RX Mapping'!T19&lt;=240), (-1)*('(橫掃)RX Mapping'!T19-240),IF(AND('(橫掃)RX Mapping'!T19&gt;=241,'(橫掃)RX Mapping'!T19&lt;=360), ('(橫掃)RX Mapping'!T19-241),IF(AND('(橫掃)RX Mapping'!T19&gt;=361,'(橫掃)RX Mapping'!T19&lt;=480), (-1)*('(橫掃)RX Mapping'!T19-480),IF(AND('(橫掃)RX Mapping'!T19&gt;=481,'(橫掃)RX Mapping'!T19&lt;=600), ('(橫掃)RX Mapping'!T19-361),IF(AND('(橫掃)RX Mapping'!T19&gt;=601,'(橫掃)RX Mapping'!T19&lt;=720), (-1)*('(橫掃)RX Mapping'!T19-720)+120,IF(AND('(橫掃)RX Mapping'!T19&gt;=721,'(橫掃)RX Mapping'!T19&lt;=840), ('(橫掃)RX Mapping'!T19-601),IF(AND('(橫掃)RX Mapping'!T19&gt;=841,'(橫掃)RX Mapping'!T19&lt;=960), (-1)*('(橫掃)RX Mapping'!T19-960)+120,9999))))))))</f>
        <v>214</v>
      </c>
      <c r="U19">
        <f>IF(AND('(橫掃)RX Mapping'!U19&gt;=1,'(橫掃)RX Mapping'!U19&lt;=120), ('(橫掃)RX Mapping'!U19-1),IF(AND('(橫掃)RX Mapping'!U19&gt;=121,'(橫掃)RX Mapping'!U19&lt;=240), (-1)*('(橫掃)RX Mapping'!U19-240),IF(AND('(橫掃)RX Mapping'!U19&gt;=241,'(橫掃)RX Mapping'!U19&lt;=360), ('(橫掃)RX Mapping'!U19-241),IF(AND('(橫掃)RX Mapping'!U19&gt;=361,'(橫掃)RX Mapping'!U19&lt;=480), (-1)*('(橫掃)RX Mapping'!U19-480),IF(AND('(橫掃)RX Mapping'!U19&gt;=481,'(橫掃)RX Mapping'!U19&lt;=600), ('(橫掃)RX Mapping'!U19-361),IF(AND('(橫掃)RX Mapping'!U19&gt;=601,'(橫掃)RX Mapping'!U19&lt;=720), (-1)*('(橫掃)RX Mapping'!U19-720)+120,IF(AND('(橫掃)RX Mapping'!U19&gt;=721,'(橫掃)RX Mapping'!U19&lt;=840), ('(橫掃)RX Mapping'!U19-601),IF(AND('(橫掃)RX Mapping'!U19&gt;=841,'(橫掃)RX Mapping'!U19&lt;=960), (-1)*('(橫掃)RX Mapping'!U19-960)+120,9999))))))))</f>
        <v>182</v>
      </c>
      <c r="V19">
        <f>IF(AND('(橫掃)RX Mapping'!V19&gt;=1,'(橫掃)RX Mapping'!V19&lt;=120), ('(橫掃)RX Mapping'!V19-1),IF(AND('(橫掃)RX Mapping'!V19&gt;=121,'(橫掃)RX Mapping'!V19&lt;=240), (-1)*('(橫掃)RX Mapping'!V19-240),IF(AND('(橫掃)RX Mapping'!V19&gt;=241,'(橫掃)RX Mapping'!V19&lt;=360), ('(橫掃)RX Mapping'!V19-241),IF(AND('(橫掃)RX Mapping'!V19&gt;=361,'(橫掃)RX Mapping'!V19&lt;=480), (-1)*('(橫掃)RX Mapping'!V19-480),IF(AND('(橫掃)RX Mapping'!V19&gt;=481,'(橫掃)RX Mapping'!V19&lt;=600), ('(橫掃)RX Mapping'!V19-361),IF(AND('(橫掃)RX Mapping'!V19&gt;=601,'(橫掃)RX Mapping'!V19&lt;=720), (-1)*('(橫掃)RX Mapping'!V19-720)+120,IF(AND('(橫掃)RX Mapping'!V19&gt;=721,'(橫掃)RX Mapping'!V19&lt;=840), ('(橫掃)RX Mapping'!V19-601),IF(AND('(橫掃)RX Mapping'!V19&gt;=841,'(橫掃)RX Mapping'!V19&lt;=960), (-1)*('(橫掃)RX Mapping'!V19-960)+120,9999))))))))</f>
        <v>150</v>
      </c>
      <c r="W19">
        <f>IF(AND('(橫掃)RX Mapping'!W19&gt;=1,'(橫掃)RX Mapping'!W19&lt;=120), ('(橫掃)RX Mapping'!W19-1),IF(AND('(橫掃)RX Mapping'!W19&gt;=121,'(橫掃)RX Mapping'!W19&lt;=240), (-1)*('(橫掃)RX Mapping'!W19-240),IF(AND('(橫掃)RX Mapping'!W19&gt;=241,'(橫掃)RX Mapping'!W19&lt;=360), ('(橫掃)RX Mapping'!W19-241),IF(AND('(橫掃)RX Mapping'!W19&gt;=361,'(橫掃)RX Mapping'!W19&lt;=480), (-1)*('(橫掃)RX Mapping'!W19-480),IF(AND('(橫掃)RX Mapping'!W19&gt;=481,'(橫掃)RX Mapping'!W19&lt;=600), ('(橫掃)RX Mapping'!W19-361),IF(AND('(橫掃)RX Mapping'!W19&gt;=601,'(橫掃)RX Mapping'!W19&lt;=720), (-1)*('(橫掃)RX Mapping'!W19-720)+120,IF(AND('(橫掃)RX Mapping'!W19&gt;=721,'(橫掃)RX Mapping'!W19&lt;=840), ('(橫掃)RX Mapping'!W19-601),IF(AND('(橫掃)RX Mapping'!W19&gt;=841,'(橫掃)RX Mapping'!W19&lt;=960), (-1)*('(橫掃)RX Mapping'!W19-960)+120,9999))))))))</f>
        <v>137</v>
      </c>
      <c r="X19">
        <f>IF(AND('(橫掃)RX Mapping'!X19&gt;=1,'(橫掃)RX Mapping'!X19&lt;=120), ('(橫掃)RX Mapping'!X19-1),IF(AND('(橫掃)RX Mapping'!X19&gt;=121,'(橫掃)RX Mapping'!X19&lt;=240), (-1)*('(橫掃)RX Mapping'!X19-240),IF(AND('(橫掃)RX Mapping'!X19&gt;=241,'(橫掃)RX Mapping'!X19&lt;=360), ('(橫掃)RX Mapping'!X19-241),IF(AND('(橫掃)RX Mapping'!X19&gt;=361,'(橫掃)RX Mapping'!X19&lt;=480), (-1)*('(橫掃)RX Mapping'!X19-480),IF(AND('(橫掃)RX Mapping'!X19&gt;=481,'(橫掃)RX Mapping'!X19&lt;=600), ('(橫掃)RX Mapping'!X19-361),IF(AND('(橫掃)RX Mapping'!X19&gt;=601,'(橫掃)RX Mapping'!X19&lt;=720), (-1)*('(橫掃)RX Mapping'!X19-720)+120,IF(AND('(橫掃)RX Mapping'!X19&gt;=721,'(橫掃)RX Mapping'!X19&lt;=840), ('(橫掃)RX Mapping'!X19-601),IF(AND('(橫掃)RX Mapping'!X19&gt;=841,'(橫掃)RX Mapping'!X19&lt;=960), (-1)*('(橫掃)RX Mapping'!X19-960)+120,9999))))))))</f>
        <v>169</v>
      </c>
      <c r="Y19">
        <f>IF(AND('(橫掃)RX Mapping'!Y19&gt;=1,'(橫掃)RX Mapping'!Y19&lt;=120), ('(橫掃)RX Mapping'!Y19-1),IF(AND('(橫掃)RX Mapping'!Y19&gt;=121,'(橫掃)RX Mapping'!Y19&lt;=240), (-1)*('(橫掃)RX Mapping'!Y19-240),IF(AND('(橫掃)RX Mapping'!Y19&gt;=241,'(橫掃)RX Mapping'!Y19&lt;=360), ('(橫掃)RX Mapping'!Y19-241),IF(AND('(橫掃)RX Mapping'!Y19&gt;=361,'(橫掃)RX Mapping'!Y19&lt;=480), (-1)*('(橫掃)RX Mapping'!Y19-480),IF(AND('(橫掃)RX Mapping'!Y19&gt;=481,'(橫掃)RX Mapping'!Y19&lt;=600), ('(橫掃)RX Mapping'!Y19-361),IF(AND('(橫掃)RX Mapping'!Y19&gt;=601,'(橫掃)RX Mapping'!Y19&lt;=720), (-1)*('(橫掃)RX Mapping'!Y19-720)+120,IF(AND('(橫掃)RX Mapping'!Y19&gt;=721,'(橫掃)RX Mapping'!Y19&lt;=840), ('(橫掃)RX Mapping'!Y19-601),IF(AND('(橫掃)RX Mapping'!Y19&gt;=841,'(橫掃)RX Mapping'!Y19&lt;=960), (-1)*('(橫掃)RX Mapping'!Y19-960)+120,9999))))))))</f>
        <v>201</v>
      </c>
      <c r="Z19">
        <f>IF(AND('(橫掃)RX Mapping'!Z19&gt;=1,'(橫掃)RX Mapping'!Z19&lt;=120), ('(橫掃)RX Mapping'!Z19-1),IF(AND('(橫掃)RX Mapping'!Z19&gt;=121,'(橫掃)RX Mapping'!Z19&lt;=240), (-1)*('(橫掃)RX Mapping'!Z19-240),IF(AND('(橫掃)RX Mapping'!Z19&gt;=241,'(橫掃)RX Mapping'!Z19&lt;=360), ('(橫掃)RX Mapping'!Z19-241),IF(AND('(橫掃)RX Mapping'!Z19&gt;=361,'(橫掃)RX Mapping'!Z19&lt;=480), (-1)*('(橫掃)RX Mapping'!Z19-480),IF(AND('(橫掃)RX Mapping'!Z19&gt;=481,'(橫掃)RX Mapping'!Z19&lt;=600), ('(橫掃)RX Mapping'!Z19-361),IF(AND('(橫掃)RX Mapping'!Z19&gt;=601,'(橫掃)RX Mapping'!Z19&lt;=720), (-1)*('(橫掃)RX Mapping'!Z19-720)+120,IF(AND('(橫掃)RX Mapping'!Z19&gt;=721,'(橫掃)RX Mapping'!Z19&lt;=840), ('(橫掃)RX Mapping'!Z19-601),IF(AND('(橫掃)RX Mapping'!Z19&gt;=841,'(橫掃)RX Mapping'!Z19&lt;=960), (-1)*('(橫掃)RX Mapping'!Z19-960)+120,9999))))))))</f>
        <v>233</v>
      </c>
      <c r="AA19">
        <f>IF(AND('(橫掃)RX Mapping'!AA19&gt;=1,'(橫掃)RX Mapping'!AA19&lt;=120), ('(橫掃)RX Mapping'!AA19-1),IF(AND('(橫掃)RX Mapping'!AA19&gt;=121,'(橫掃)RX Mapping'!AA19&lt;=240), (-1)*('(橫掃)RX Mapping'!AA19-240),IF(AND('(橫掃)RX Mapping'!AA19&gt;=241,'(橫掃)RX Mapping'!AA19&lt;=360), ('(橫掃)RX Mapping'!AA19-241),IF(AND('(橫掃)RX Mapping'!AA19&gt;=361,'(橫掃)RX Mapping'!AA19&lt;=480), (-1)*('(橫掃)RX Mapping'!AA19-480),IF(AND('(橫掃)RX Mapping'!AA19&gt;=481,'(橫掃)RX Mapping'!AA19&lt;=600), ('(橫掃)RX Mapping'!AA19-361),IF(AND('(橫掃)RX Mapping'!AA19&gt;=601,'(橫掃)RX Mapping'!AA19&lt;=720), (-1)*('(橫掃)RX Mapping'!AA19-720)+120,IF(AND('(橫掃)RX Mapping'!AA19&gt;=721,'(橫掃)RX Mapping'!AA19&lt;=840), ('(橫掃)RX Mapping'!AA19-601),IF(AND('(橫掃)RX Mapping'!AA19&gt;=841,'(橫掃)RX Mapping'!AA19&lt;=960), (-1)*('(橫掃)RX Mapping'!AA19-960)+120,9999))))))))</f>
        <v>214</v>
      </c>
      <c r="AB19">
        <f>IF(AND('(橫掃)RX Mapping'!AB19&gt;=1,'(橫掃)RX Mapping'!AB19&lt;=120), ('(橫掃)RX Mapping'!AB19-1),IF(AND('(橫掃)RX Mapping'!AB19&gt;=121,'(橫掃)RX Mapping'!AB19&lt;=240), (-1)*('(橫掃)RX Mapping'!AB19-240),IF(AND('(橫掃)RX Mapping'!AB19&gt;=241,'(橫掃)RX Mapping'!AB19&lt;=360), ('(橫掃)RX Mapping'!AB19-241),IF(AND('(橫掃)RX Mapping'!AB19&gt;=361,'(橫掃)RX Mapping'!AB19&lt;=480), (-1)*('(橫掃)RX Mapping'!AB19-480),IF(AND('(橫掃)RX Mapping'!AB19&gt;=481,'(橫掃)RX Mapping'!AB19&lt;=600), ('(橫掃)RX Mapping'!AB19-361),IF(AND('(橫掃)RX Mapping'!AB19&gt;=601,'(橫掃)RX Mapping'!AB19&lt;=720), (-1)*('(橫掃)RX Mapping'!AB19-720)+120,IF(AND('(橫掃)RX Mapping'!AB19&gt;=721,'(橫掃)RX Mapping'!AB19&lt;=840), ('(橫掃)RX Mapping'!AB19-601),IF(AND('(橫掃)RX Mapping'!AB19&gt;=841,'(橫掃)RX Mapping'!AB19&lt;=960), (-1)*('(橫掃)RX Mapping'!AB19-960)+120,9999))))))))</f>
        <v>182</v>
      </c>
      <c r="AC19">
        <f>IF(AND('(橫掃)RX Mapping'!AC19&gt;=1,'(橫掃)RX Mapping'!AC19&lt;=120), ('(橫掃)RX Mapping'!AC19-1),IF(AND('(橫掃)RX Mapping'!AC19&gt;=121,'(橫掃)RX Mapping'!AC19&lt;=240), (-1)*('(橫掃)RX Mapping'!AC19-240),IF(AND('(橫掃)RX Mapping'!AC19&gt;=241,'(橫掃)RX Mapping'!AC19&lt;=360), ('(橫掃)RX Mapping'!AC19-241),IF(AND('(橫掃)RX Mapping'!AC19&gt;=361,'(橫掃)RX Mapping'!AC19&lt;=480), (-1)*('(橫掃)RX Mapping'!AC19-480),IF(AND('(橫掃)RX Mapping'!AC19&gt;=481,'(橫掃)RX Mapping'!AC19&lt;=600), ('(橫掃)RX Mapping'!AC19-361),IF(AND('(橫掃)RX Mapping'!AC19&gt;=601,'(橫掃)RX Mapping'!AC19&lt;=720), (-1)*('(橫掃)RX Mapping'!AC19-720)+120,IF(AND('(橫掃)RX Mapping'!AC19&gt;=721,'(橫掃)RX Mapping'!AC19&lt;=840), ('(橫掃)RX Mapping'!AC19-601),IF(AND('(橫掃)RX Mapping'!AC19&gt;=841,'(橫掃)RX Mapping'!AC19&lt;=960), (-1)*('(橫掃)RX Mapping'!AC19-960)+120,9999))))))))</f>
        <v>150</v>
      </c>
      <c r="AD19">
        <f>IF(AND('(橫掃)RX Mapping'!AD19&gt;=1,'(橫掃)RX Mapping'!AD19&lt;=120), ('(橫掃)RX Mapping'!AD19-1),IF(AND('(橫掃)RX Mapping'!AD19&gt;=121,'(橫掃)RX Mapping'!AD19&lt;=240), (-1)*('(橫掃)RX Mapping'!AD19-240),IF(AND('(橫掃)RX Mapping'!AD19&gt;=241,'(橫掃)RX Mapping'!AD19&lt;=360), ('(橫掃)RX Mapping'!AD19-241),IF(AND('(橫掃)RX Mapping'!AD19&gt;=361,'(橫掃)RX Mapping'!AD19&lt;=480), (-1)*('(橫掃)RX Mapping'!AD19-480),IF(AND('(橫掃)RX Mapping'!AD19&gt;=481,'(橫掃)RX Mapping'!AD19&lt;=600), ('(橫掃)RX Mapping'!AD19-361),IF(AND('(橫掃)RX Mapping'!AD19&gt;=601,'(橫掃)RX Mapping'!AD19&lt;=720), (-1)*('(橫掃)RX Mapping'!AD19-720)+120,IF(AND('(橫掃)RX Mapping'!AD19&gt;=721,'(橫掃)RX Mapping'!AD19&lt;=840), ('(橫掃)RX Mapping'!AD19-601),IF(AND('(橫掃)RX Mapping'!AD19&gt;=841,'(橫掃)RX Mapping'!AD19&lt;=960), (-1)*('(橫掃)RX Mapping'!AD19-960)+120,9999))))))))</f>
        <v>9999</v>
      </c>
      <c r="AE19">
        <f>IF(AND('(橫掃)RX Mapping'!AE19&gt;=1,'(橫掃)RX Mapping'!AE19&lt;=120), ('(橫掃)RX Mapping'!AE19-1),IF(AND('(橫掃)RX Mapping'!AE19&gt;=121,'(橫掃)RX Mapping'!AE19&lt;=240), (-1)*('(橫掃)RX Mapping'!AE19-240),IF(AND('(橫掃)RX Mapping'!AE19&gt;=241,'(橫掃)RX Mapping'!AE19&lt;=360), ('(橫掃)RX Mapping'!AE19-241),IF(AND('(橫掃)RX Mapping'!AE19&gt;=361,'(橫掃)RX Mapping'!AE19&lt;=480), (-1)*('(橫掃)RX Mapping'!AE19-480),IF(AND('(橫掃)RX Mapping'!AE19&gt;=481,'(橫掃)RX Mapping'!AE19&lt;=600), ('(橫掃)RX Mapping'!AE19-361),IF(AND('(橫掃)RX Mapping'!AE19&gt;=601,'(橫掃)RX Mapping'!AE19&lt;=720), (-1)*('(橫掃)RX Mapping'!AE19-720)+120,IF(AND('(橫掃)RX Mapping'!AE19&gt;=721,'(橫掃)RX Mapping'!AE19&lt;=840), ('(橫掃)RX Mapping'!AE19-601),IF(AND('(橫掃)RX Mapping'!AE19&gt;=841,'(橫掃)RX Mapping'!AE19&lt;=960), (-1)*('(橫掃)RX Mapping'!AE19-960)+120,9999))))))))</f>
        <v>9999</v>
      </c>
      <c r="AF19">
        <f>IF(AND('(橫掃)RX Mapping'!AF19&gt;=1,'(橫掃)RX Mapping'!AF19&lt;=120), ('(橫掃)RX Mapping'!AF19-1),IF(AND('(橫掃)RX Mapping'!AF19&gt;=121,'(橫掃)RX Mapping'!AF19&lt;=240), (-1)*('(橫掃)RX Mapping'!AF19-240),IF(AND('(橫掃)RX Mapping'!AF19&gt;=241,'(橫掃)RX Mapping'!AF19&lt;=360), ('(橫掃)RX Mapping'!AF19-241),IF(AND('(橫掃)RX Mapping'!AF19&gt;=361,'(橫掃)RX Mapping'!AF19&lt;=480), (-1)*('(橫掃)RX Mapping'!AF19-480),IF(AND('(橫掃)RX Mapping'!AF19&gt;=481,'(橫掃)RX Mapping'!AF19&lt;=600), ('(橫掃)RX Mapping'!AF19-361),IF(AND('(橫掃)RX Mapping'!AF19&gt;=601,'(橫掃)RX Mapping'!AF19&lt;=720), (-1)*('(橫掃)RX Mapping'!AF19-720)+120,IF(AND('(橫掃)RX Mapping'!AF19&gt;=721,'(橫掃)RX Mapping'!AF19&lt;=840), ('(橫掃)RX Mapping'!AF19-601),IF(AND('(橫掃)RX Mapping'!AF19&gt;=841,'(橫掃)RX Mapping'!AF19&lt;=960), (-1)*('(橫掃)RX Mapping'!AF19-960)+120,9999))))))))</f>
        <v>9999</v>
      </c>
      <c r="AG19">
        <f>IF(AND('(橫掃)RX Mapping'!AG19&gt;=1,'(橫掃)RX Mapping'!AG19&lt;=120), ('(橫掃)RX Mapping'!AG19-1),IF(AND('(橫掃)RX Mapping'!AG19&gt;=121,'(橫掃)RX Mapping'!AG19&lt;=240), (-1)*('(橫掃)RX Mapping'!AG19-240),IF(AND('(橫掃)RX Mapping'!AG19&gt;=241,'(橫掃)RX Mapping'!AG19&lt;=360), ('(橫掃)RX Mapping'!AG19-241),IF(AND('(橫掃)RX Mapping'!AG19&gt;=361,'(橫掃)RX Mapping'!AG19&lt;=480), (-1)*('(橫掃)RX Mapping'!AG19-480),IF(AND('(橫掃)RX Mapping'!AG19&gt;=481,'(橫掃)RX Mapping'!AG19&lt;=600), ('(橫掃)RX Mapping'!AG19-361),IF(AND('(橫掃)RX Mapping'!AG19&gt;=601,'(橫掃)RX Mapping'!AG19&lt;=720), (-1)*('(橫掃)RX Mapping'!AG19-720)+120,IF(AND('(橫掃)RX Mapping'!AG19&gt;=721,'(橫掃)RX Mapping'!AG19&lt;=840), ('(橫掃)RX Mapping'!AG19-601),IF(AND('(橫掃)RX Mapping'!AG19&gt;=841,'(橫掃)RX Mapping'!AG19&lt;=960), (-1)*('(橫掃)RX Mapping'!AG19-960)+120,9999))))))))</f>
        <v>9999</v>
      </c>
      <c r="AH19">
        <f>IF(AND('(橫掃)RX Mapping'!AH19&gt;=1,'(橫掃)RX Mapping'!AH19&lt;=120), ('(橫掃)RX Mapping'!AH19-1),IF(AND('(橫掃)RX Mapping'!AH19&gt;=121,'(橫掃)RX Mapping'!AH19&lt;=240), (-1)*('(橫掃)RX Mapping'!AH19-240),IF(AND('(橫掃)RX Mapping'!AH19&gt;=241,'(橫掃)RX Mapping'!AH19&lt;=360), ('(橫掃)RX Mapping'!AH19-241),IF(AND('(橫掃)RX Mapping'!AH19&gt;=361,'(橫掃)RX Mapping'!AH19&lt;=480), (-1)*('(橫掃)RX Mapping'!AH19-480),IF(AND('(橫掃)RX Mapping'!AH19&gt;=481,'(橫掃)RX Mapping'!AH19&lt;=600), ('(橫掃)RX Mapping'!AH19-361),IF(AND('(橫掃)RX Mapping'!AH19&gt;=601,'(橫掃)RX Mapping'!AH19&lt;=720), (-1)*('(橫掃)RX Mapping'!AH19-720)+120,IF(AND('(橫掃)RX Mapping'!AH19&gt;=721,'(橫掃)RX Mapping'!AH19&lt;=840), ('(橫掃)RX Mapping'!AH19-601),IF(AND('(橫掃)RX Mapping'!AH19&gt;=841,'(橫掃)RX Mapping'!AH19&lt;=960), (-1)*('(橫掃)RX Mapping'!AH19-960)+120,9999))))))))</f>
        <v>9999</v>
      </c>
      <c r="AI19">
        <f>IF(AND('(橫掃)RX Mapping'!AI19&gt;=1,'(橫掃)RX Mapping'!AI19&lt;=120), ('(橫掃)RX Mapping'!AI19-1),IF(AND('(橫掃)RX Mapping'!AI19&gt;=121,'(橫掃)RX Mapping'!AI19&lt;=240), (-1)*('(橫掃)RX Mapping'!AI19-240),IF(AND('(橫掃)RX Mapping'!AI19&gt;=241,'(橫掃)RX Mapping'!AI19&lt;=360), ('(橫掃)RX Mapping'!AI19-241),IF(AND('(橫掃)RX Mapping'!AI19&gt;=361,'(橫掃)RX Mapping'!AI19&lt;=480), (-1)*('(橫掃)RX Mapping'!AI19-480),IF(AND('(橫掃)RX Mapping'!AI19&gt;=481,'(橫掃)RX Mapping'!AI19&lt;=600), ('(橫掃)RX Mapping'!AI19-361),IF(AND('(橫掃)RX Mapping'!AI19&gt;=601,'(橫掃)RX Mapping'!AI19&lt;=720), (-1)*('(橫掃)RX Mapping'!AI19-720)+120,IF(AND('(橫掃)RX Mapping'!AI19&gt;=721,'(橫掃)RX Mapping'!AI19&lt;=840), ('(橫掃)RX Mapping'!AI19-601),IF(AND('(橫掃)RX Mapping'!AI19&gt;=841,'(橫掃)RX Mapping'!AI19&lt;=960), (-1)*('(橫掃)RX Mapping'!AI19-960)+120,9999))))))))</f>
        <v>9999</v>
      </c>
      <c r="AJ19">
        <f>IF(AND('(橫掃)RX Mapping'!AJ19&gt;=1,'(橫掃)RX Mapping'!AJ19&lt;=120), ('(橫掃)RX Mapping'!AJ19-1),IF(AND('(橫掃)RX Mapping'!AJ19&gt;=121,'(橫掃)RX Mapping'!AJ19&lt;=240), (-1)*('(橫掃)RX Mapping'!AJ19-240),IF(AND('(橫掃)RX Mapping'!AJ19&gt;=241,'(橫掃)RX Mapping'!AJ19&lt;=360), ('(橫掃)RX Mapping'!AJ19-241),IF(AND('(橫掃)RX Mapping'!AJ19&gt;=361,'(橫掃)RX Mapping'!AJ19&lt;=480), (-1)*('(橫掃)RX Mapping'!AJ19-480),IF(AND('(橫掃)RX Mapping'!AJ19&gt;=481,'(橫掃)RX Mapping'!AJ19&lt;=600), ('(橫掃)RX Mapping'!AJ19-361),IF(AND('(橫掃)RX Mapping'!AJ19&gt;=601,'(橫掃)RX Mapping'!AJ19&lt;=720), (-1)*('(橫掃)RX Mapping'!AJ19-720)+120,IF(AND('(橫掃)RX Mapping'!AJ19&gt;=721,'(橫掃)RX Mapping'!AJ19&lt;=840), ('(橫掃)RX Mapping'!AJ19-601),IF(AND('(橫掃)RX Mapping'!AJ19&gt;=841,'(橫掃)RX Mapping'!AJ19&lt;=960), (-1)*('(橫掃)RX Mapping'!AJ19-960)+120,9999))))))))</f>
        <v>9999</v>
      </c>
      <c r="AK19">
        <f>IF(AND('(橫掃)RX Mapping'!AK19&gt;=1,'(橫掃)RX Mapping'!AK19&lt;=120), ('(橫掃)RX Mapping'!AK19-1),IF(AND('(橫掃)RX Mapping'!AK19&gt;=121,'(橫掃)RX Mapping'!AK19&lt;=240), (-1)*('(橫掃)RX Mapping'!AK19-240),IF(AND('(橫掃)RX Mapping'!AK19&gt;=241,'(橫掃)RX Mapping'!AK19&lt;=360), ('(橫掃)RX Mapping'!AK19-241),IF(AND('(橫掃)RX Mapping'!AK19&gt;=361,'(橫掃)RX Mapping'!AK19&lt;=480), (-1)*('(橫掃)RX Mapping'!AK19-480),IF(AND('(橫掃)RX Mapping'!AK19&gt;=481,'(橫掃)RX Mapping'!AK19&lt;=600), ('(橫掃)RX Mapping'!AK19-361),IF(AND('(橫掃)RX Mapping'!AK19&gt;=601,'(橫掃)RX Mapping'!AK19&lt;=720), (-1)*('(橫掃)RX Mapping'!AK19-720)+120,IF(AND('(橫掃)RX Mapping'!AK19&gt;=721,'(橫掃)RX Mapping'!AK19&lt;=840), ('(橫掃)RX Mapping'!AK19-601),IF(AND('(橫掃)RX Mapping'!AK19&gt;=841,'(橫掃)RX Mapping'!AK19&lt;=960), (-1)*('(橫掃)RX Mapping'!AK19-960)+120,9999))))))))</f>
        <v>9999</v>
      </c>
      <c r="AL19">
        <f>IF(AND('(橫掃)RX Mapping'!AL19&gt;=1,'(橫掃)RX Mapping'!AL19&lt;=120), ('(橫掃)RX Mapping'!AL19-1),IF(AND('(橫掃)RX Mapping'!AL19&gt;=121,'(橫掃)RX Mapping'!AL19&lt;=240), (-1)*('(橫掃)RX Mapping'!AL19-240),IF(AND('(橫掃)RX Mapping'!AL19&gt;=241,'(橫掃)RX Mapping'!AL19&lt;=360), ('(橫掃)RX Mapping'!AL19-241),IF(AND('(橫掃)RX Mapping'!AL19&gt;=361,'(橫掃)RX Mapping'!AL19&lt;=480), (-1)*('(橫掃)RX Mapping'!AL19-480),IF(AND('(橫掃)RX Mapping'!AL19&gt;=481,'(橫掃)RX Mapping'!AL19&lt;=600), ('(橫掃)RX Mapping'!AL19-361),IF(AND('(橫掃)RX Mapping'!AL19&gt;=601,'(橫掃)RX Mapping'!AL19&lt;=720), (-1)*('(橫掃)RX Mapping'!AL19-720)+120,IF(AND('(橫掃)RX Mapping'!AL19&gt;=721,'(橫掃)RX Mapping'!AL19&lt;=840), ('(橫掃)RX Mapping'!AL19-601),IF(AND('(橫掃)RX Mapping'!AL19&gt;=841,'(橫掃)RX Mapping'!AL19&lt;=960), (-1)*('(橫掃)RX Mapping'!AL19-960)+120,9999))))))))</f>
        <v>9999</v>
      </c>
      <c r="AM19">
        <f>IF(AND('(橫掃)RX Mapping'!AM19&gt;=1,'(橫掃)RX Mapping'!AM19&lt;=120), ('(橫掃)RX Mapping'!AM19-1),IF(AND('(橫掃)RX Mapping'!AM19&gt;=121,'(橫掃)RX Mapping'!AM19&lt;=240), (-1)*('(橫掃)RX Mapping'!AM19-240),IF(AND('(橫掃)RX Mapping'!AM19&gt;=241,'(橫掃)RX Mapping'!AM19&lt;=360), ('(橫掃)RX Mapping'!AM19-241),IF(AND('(橫掃)RX Mapping'!AM19&gt;=361,'(橫掃)RX Mapping'!AM19&lt;=480), (-1)*('(橫掃)RX Mapping'!AM19-480),IF(AND('(橫掃)RX Mapping'!AM19&gt;=481,'(橫掃)RX Mapping'!AM19&lt;=600), ('(橫掃)RX Mapping'!AM19-361),IF(AND('(橫掃)RX Mapping'!AM19&gt;=601,'(橫掃)RX Mapping'!AM19&lt;=720), (-1)*('(橫掃)RX Mapping'!AM19-720)+120,IF(AND('(橫掃)RX Mapping'!AM19&gt;=721,'(橫掃)RX Mapping'!AM19&lt;=840), ('(橫掃)RX Mapping'!AM19-601),IF(AND('(橫掃)RX Mapping'!AM19&gt;=841,'(橫掃)RX Mapping'!AM19&lt;=960), (-1)*('(橫掃)RX Mapping'!AM19-960)+120,9999))))))))</f>
        <v>9999</v>
      </c>
      <c r="AN19">
        <f>IF(AND('(橫掃)RX Mapping'!AN19&gt;=1,'(橫掃)RX Mapping'!AN19&lt;=120), ('(橫掃)RX Mapping'!AN19-1),IF(AND('(橫掃)RX Mapping'!AN19&gt;=121,'(橫掃)RX Mapping'!AN19&lt;=240), (-1)*('(橫掃)RX Mapping'!AN19-240),IF(AND('(橫掃)RX Mapping'!AN19&gt;=241,'(橫掃)RX Mapping'!AN19&lt;=360), ('(橫掃)RX Mapping'!AN19-241),IF(AND('(橫掃)RX Mapping'!AN19&gt;=361,'(橫掃)RX Mapping'!AN19&lt;=480), (-1)*('(橫掃)RX Mapping'!AN19-480),IF(AND('(橫掃)RX Mapping'!AN19&gt;=481,'(橫掃)RX Mapping'!AN19&lt;=600), ('(橫掃)RX Mapping'!AN19-361),IF(AND('(橫掃)RX Mapping'!AN19&gt;=601,'(橫掃)RX Mapping'!AN19&lt;=720), (-1)*('(橫掃)RX Mapping'!AN19-720)+120,IF(AND('(橫掃)RX Mapping'!AN19&gt;=721,'(橫掃)RX Mapping'!AN19&lt;=840), ('(橫掃)RX Mapping'!AN19-601),IF(AND('(橫掃)RX Mapping'!AN19&gt;=841,'(橫掃)RX Mapping'!AN19&lt;=960), (-1)*('(橫掃)RX Mapping'!AN19-960)+120,9999))))))))</f>
        <v>9999</v>
      </c>
      <c r="AO19">
        <f>IF(AND('(橫掃)RX Mapping'!AO19&gt;=1,'(橫掃)RX Mapping'!AO19&lt;=120), ('(橫掃)RX Mapping'!AO19-1),IF(AND('(橫掃)RX Mapping'!AO19&gt;=121,'(橫掃)RX Mapping'!AO19&lt;=240), (-1)*('(橫掃)RX Mapping'!AO19-240),IF(AND('(橫掃)RX Mapping'!AO19&gt;=241,'(橫掃)RX Mapping'!AO19&lt;=360), ('(橫掃)RX Mapping'!AO19-241),IF(AND('(橫掃)RX Mapping'!AO19&gt;=361,'(橫掃)RX Mapping'!AO19&lt;=480), (-1)*('(橫掃)RX Mapping'!AO19-480),IF(AND('(橫掃)RX Mapping'!AO19&gt;=481,'(橫掃)RX Mapping'!AO19&lt;=600), ('(橫掃)RX Mapping'!AO19-361),IF(AND('(橫掃)RX Mapping'!AO19&gt;=601,'(橫掃)RX Mapping'!AO19&lt;=720), (-1)*('(橫掃)RX Mapping'!AO19-720)+120,IF(AND('(橫掃)RX Mapping'!AO19&gt;=721,'(橫掃)RX Mapping'!AO19&lt;=840), ('(橫掃)RX Mapping'!AO19-601),IF(AND('(橫掃)RX Mapping'!AO19&gt;=841,'(橫掃)RX Mapping'!AO19&lt;=960), (-1)*('(橫掃)RX Mapping'!AO19-960)+120,9999))))))))</f>
        <v>9999</v>
      </c>
      <c r="AP19">
        <f>IF(AND('(橫掃)RX Mapping'!AP19&gt;=1,'(橫掃)RX Mapping'!AP19&lt;=120), ('(橫掃)RX Mapping'!AP19-1),IF(AND('(橫掃)RX Mapping'!AP19&gt;=121,'(橫掃)RX Mapping'!AP19&lt;=240), (-1)*('(橫掃)RX Mapping'!AP19-240),IF(AND('(橫掃)RX Mapping'!AP19&gt;=241,'(橫掃)RX Mapping'!AP19&lt;=360), ('(橫掃)RX Mapping'!AP19-241),IF(AND('(橫掃)RX Mapping'!AP19&gt;=361,'(橫掃)RX Mapping'!AP19&lt;=480), (-1)*('(橫掃)RX Mapping'!AP19-480),IF(AND('(橫掃)RX Mapping'!AP19&gt;=481,'(橫掃)RX Mapping'!AP19&lt;=600), ('(橫掃)RX Mapping'!AP19-361),IF(AND('(橫掃)RX Mapping'!AP19&gt;=601,'(橫掃)RX Mapping'!AP19&lt;=720), (-1)*('(橫掃)RX Mapping'!AP19-720)+120,IF(AND('(橫掃)RX Mapping'!AP19&gt;=721,'(橫掃)RX Mapping'!AP19&lt;=840), ('(橫掃)RX Mapping'!AP19-601),IF(AND('(橫掃)RX Mapping'!AP19&gt;=841,'(橫掃)RX Mapping'!AP19&lt;=960), (-1)*('(橫掃)RX Mapping'!AP19-960)+120,9999))))))))</f>
        <v>9999</v>
      </c>
      <c r="AQ19">
        <f>IF(AND('(橫掃)RX Mapping'!AQ19&gt;=1,'(橫掃)RX Mapping'!AQ19&lt;=120), ('(橫掃)RX Mapping'!AQ19-1),IF(AND('(橫掃)RX Mapping'!AQ19&gt;=121,'(橫掃)RX Mapping'!AQ19&lt;=240), (-1)*('(橫掃)RX Mapping'!AQ19-240),IF(AND('(橫掃)RX Mapping'!AQ19&gt;=241,'(橫掃)RX Mapping'!AQ19&lt;=360), ('(橫掃)RX Mapping'!AQ19-241),IF(AND('(橫掃)RX Mapping'!AQ19&gt;=361,'(橫掃)RX Mapping'!AQ19&lt;=480), (-1)*('(橫掃)RX Mapping'!AQ19-480),IF(AND('(橫掃)RX Mapping'!AQ19&gt;=481,'(橫掃)RX Mapping'!AQ19&lt;=600), ('(橫掃)RX Mapping'!AQ19-361),IF(AND('(橫掃)RX Mapping'!AQ19&gt;=601,'(橫掃)RX Mapping'!AQ19&lt;=720), (-1)*('(橫掃)RX Mapping'!AQ19-720)+120,IF(AND('(橫掃)RX Mapping'!AQ19&gt;=721,'(橫掃)RX Mapping'!AQ19&lt;=840), ('(橫掃)RX Mapping'!AQ19-601),IF(AND('(橫掃)RX Mapping'!AQ19&gt;=841,'(橫掃)RX Mapping'!AQ19&lt;=960), (-1)*('(橫掃)RX Mapping'!AQ19-960)+120,9999))))))))</f>
        <v>9999</v>
      </c>
      <c r="AR19">
        <f>IF(AND('(橫掃)RX Mapping'!AR19&gt;=1,'(橫掃)RX Mapping'!AR19&lt;=120), ('(橫掃)RX Mapping'!AR19-1),IF(AND('(橫掃)RX Mapping'!AR19&gt;=121,'(橫掃)RX Mapping'!AR19&lt;=240), (-1)*('(橫掃)RX Mapping'!AR19-240),IF(AND('(橫掃)RX Mapping'!AR19&gt;=241,'(橫掃)RX Mapping'!AR19&lt;=360), ('(橫掃)RX Mapping'!AR19-241),IF(AND('(橫掃)RX Mapping'!AR19&gt;=361,'(橫掃)RX Mapping'!AR19&lt;=480), (-1)*('(橫掃)RX Mapping'!AR19-480),IF(AND('(橫掃)RX Mapping'!AR19&gt;=481,'(橫掃)RX Mapping'!AR19&lt;=600), ('(橫掃)RX Mapping'!AR19-361),IF(AND('(橫掃)RX Mapping'!AR19&gt;=601,'(橫掃)RX Mapping'!AR19&lt;=720), (-1)*('(橫掃)RX Mapping'!AR19-720)+120,IF(AND('(橫掃)RX Mapping'!AR19&gt;=721,'(橫掃)RX Mapping'!AR19&lt;=840), ('(橫掃)RX Mapping'!AR19-601),IF(AND('(橫掃)RX Mapping'!AR19&gt;=841,'(橫掃)RX Mapping'!AR19&lt;=960), (-1)*('(橫掃)RX Mapping'!AR19-960)+120,9999))))))))</f>
        <v>9999</v>
      </c>
      <c r="AS19">
        <f>IF(AND('(橫掃)RX Mapping'!AS19&gt;=1,'(橫掃)RX Mapping'!AS19&lt;=120), ('(橫掃)RX Mapping'!AS19-1),IF(AND('(橫掃)RX Mapping'!AS19&gt;=121,'(橫掃)RX Mapping'!AS19&lt;=240), (-1)*('(橫掃)RX Mapping'!AS19-240),IF(AND('(橫掃)RX Mapping'!AS19&gt;=241,'(橫掃)RX Mapping'!AS19&lt;=360), ('(橫掃)RX Mapping'!AS19-241),IF(AND('(橫掃)RX Mapping'!AS19&gt;=361,'(橫掃)RX Mapping'!AS19&lt;=480), (-1)*('(橫掃)RX Mapping'!AS19-480),IF(AND('(橫掃)RX Mapping'!AS19&gt;=481,'(橫掃)RX Mapping'!AS19&lt;=600), ('(橫掃)RX Mapping'!AS19-361),IF(AND('(橫掃)RX Mapping'!AS19&gt;=601,'(橫掃)RX Mapping'!AS19&lt;=720), (-1)*('(橫掃)RX Mapping'!AS19-720)+120,IF(AND('(橫掃)RX Mapping'!AS19&gt;=721,'(橫掃)RX Mapping'!AS19&lt;=840), ('(橫掃)RX Mapping'!AS19-601),IF(AND('(橫掃)RX Mapping'!AS19&gt;=841,'(橫掃)RX Mapping'!AS19&lt;=960), (-1)*('(橫掃)RX Mapping'!AS19-960)+120,9999))))))))</f>
        <v>9999</v>
      </c>
      <c r="AT19">
        <f>IF(AND('(橫掃)RX Mapping'!AT19&gt;=1,'(橫掃)RX Mapping'!AT19&lt;=120), ('(橫掃)RX Mapping'!AT19-1),IF(AND('(橫掃)RX Mapping'!AT19&gt;=121,'(橫掃)RX Mapping'!AT19&lt;=240), (-1)*('(橫掃)RX Mapping'!AT19-240),IF(AND('(橫掃)RX Mapping'!AT19&gt;=241,'(橫掃)RX Mapping'!AT19&lt;=360), ('(橫掃)RX Mapping'!AT19-241),IF(AND('(橫掃)RX Mapping'!AT19&gt;=361,'(橫掃)RX Mapping'!AT19&lt;=480), (-1)*('(橫掃)RX Mapping'!AT19-480),IF(AND('(橫掃)RX Mapping'!AT19&gt;=481,'(橫掃)RX Mapping'!AT19&lt;=600), ('(橫掃)RX Mapping'!AT19-361),IF(AND('(橫掃)RX Mapping'!AT19&gt;=601,'(橫掃)RX Mapping'!AT19&lt;=720), (-1)*('(橫掃)RX Mapping'!AT19-720)+120,IF(AND('(橫掃)RX Mapping'!AT19&gt;=721,'(橫掃)RX Mapping'!AT19&lt;=840), ('(橫掃)RX Mapping'!AT19-601),IF(AND('(橫掃)RX Mapping'!AT19&gt;=841,'(橫掃)RX Mapping'!AT19&lt;=960), (-1)*('(橫掃)RX Mapping'!AT19-960)+120,9999))))))))</f>
        <v>9999</v>
      </c>
      <c r="AU19">
        <f>IF(AND('(橫掃)RX Mapping'!AU19&gt;=1,'(橫掃)RX Mapping'!AU19&lt;=120), ('(橫掃)RX Mapping'!AU19-1),IF(AND('(橫掃)RX Mapping'!AU19&gt;=121,'(橫掃)RX Mapping'!AU19&lt;=240), (-1)*('(橫掃)RX Mapping'!AU19-240),IF(AND('(橫掃)RX Mapping'!AU19&gt;=241,'(橫掃)RX Mapping'!AU19&lt;=360), ('(橫掃)RX Mapping'!AU19-241),IF(AND('(橫掃)RX Mapping'!AU19&gt;=361,'(橫掃)RX Mapping'!AU19&lt;=480), (-1)*('(橫掃)RX Mapping'!AU19-480),IF(AND('(橫掃)RX Mapping'!AU19&gt;=481,'(橫掃)RX Mapping'!AU19&lt;=600), ('(橫掃)RX Mapping'!AU19-361),IF(AND('(橫掃)RX Mapping'!AU19&gt;=601,'(橫掃)RX Mapping'!AU19&lt;=720), (-1)*('(橫掃)RX Mapping'!AU19-720)+120,IF(AND('(橫掃)RX Mapping'!AU19&gt;=721,'(橫掃)RX Mapping'!AU19&lt;=840), ('(橫掃)RX Mapping'!AU19-601),IF(AND('(橫掃)RX Mapping'!AU19&gt;=841,'(橫掃)RX Mapping'!AU19&lt;=960), (-1)*('(橫掃)RX Mapping'!AU19-960)+120,9999))))))))</f>
        <v>9999</v>
      </c>
      <c r="AV19">
        <f>IF(AND('(橫掃)RX Mapping'!AV19&gt;=1,'(橫掃)RX Mapping'!AV19&lt;=120), ('(橫掃)RX Mapping'!AV19-1),IF(AND('(橫掃)RX Mapping'!AV19&gt;=121,'(橫掃)RX Mapping'!AV19&lt;=240), (-1)*('(橫掃)RX Mapping'!AV19-240),IF(AND('(橫掃)RX Mapping'!AV19&gt;=241,'(橫掃)RX Mapping'!AV19&lt;=360), ('(橫掃)RX Mapping'!AV19-241),IF(AND('(橫掃)RX Mapping'!AV19&gt;=361,'(橫掃)RX Mapping'!AV19&lt;=480), (-1)*('(橫掃)RX Mapping'!AV19-480),IF(AND('(橫掃)RX Mapping'!AV19&gt;=481,'(橫掃)RX Mapping'!AV19&lt;=600), ('(橫掃)RX Mapping'!AV19-361),IF(AND('(橫掃)RX Mapping'!AV19&gt;=601,'(橫掃)RX Mapping'!AV19&lt;=720), (-1)*('(橫掃)RX Mapping'!AV19-720)+120,IF(AND('(橫掃)RX Mapping'!AV19&gt;=721,'(橫掃)RX Mapping'!AV19&lt;=840), ('(橫掃)RX Mapping'!AV19-601),IF(AND('(橫掃)RX Mapping'!AV19&gt;=841,'(橫掃)RX Mapping'!AV19&lt;=960), (-1)*('(橫掃)RX Mapping'!AV19-960)+120,9999))))))))</f>
        <v>9999</v>
      </c>
      <c r="AW19">
        <f>IF(AND('(橫掃)RX Mapping'!AW19&gt;=1,'(橫掃)RX Mapping'!AW19&lt;=120), ('(橫掃)RX Mapping'!AW19-1),IF(AND('(橫掃)RX Mapping'!AW19&gt;=121,'(橫掃)RX Mapping'!AW19&lt;=240), (-1)*('(橫掃)RX Mapping'!AW19-240),IF(AND('(橫掃)RX Mapping'!AW19&gt;=241,'(橫掃)RX Mapping'!AW19&lt;=360), ('(橫掃)RX Mapping'!AW19-241),IF(AND('(橫掃)RX Mapping'!AW19&gt;=361,'(橫掃)RX Mapping'!AW19&lt;=480), (-1)*('(橫掃)RX Mapping'!AW19-480),IF(AND('(橫掃)RX Mapping'!AW19&gt;=481,'(橫掃)RX Mapping'!AW19&lt;=600), ('(橫掃)RX Mapping'!AW19-361),IF(AND('(橫掃)RX Mapping'!AW19&gt;=601,'(橫掃)RX Mapping'!AW19&lt;=720), (-1)*('(橫掃)RX Mapping'!AW19-720)+120,IF(AND('(橫掃)RX Mapping'!AW19&gt;=721,'(橫掃)RX Mapping'!AW19&lt;=840), ('(橫掃)RX Mapping'!AW19-601),IF(AND('(橫掃)RX Mapping'!AW19&gt;=841,'(橫掃)RX Mapping'!AW19&lt;=960), (-1)*('(橫掃)RX Mapping'!AW19-960)+120,9999))))))))</f>
        <v>9999</v>
      </c>
      <c r="AX19">
        <f>IF(AND('(橫掃)RX Mapping'!AX19&gt;=1,'(橫掃)RX Mapping'!AX19&lt;=120), ('(橫掃)RX Mapping'!AX19-1),IF(AND('(橫掃)RX Mapping'!AX19&gt;=121,'(橫掃)RX Mapping'!AX19&lt;=240), (-1)*('(橫掃)RX Mapping'!AX19-240),IF(AND('(橫掃)RX Mapping'!AX19&gt;=241,'(橫掃)RX Mapping'!AX19&lt;=360), ('(橫掃)RX Mapping'!AX19-241),IF(AND('(橫掃)RX Mapping'!AX19&gt;=361,'(橫掃)RX Mapping'!AX19&lt;=480), (-1)*('(橫掃)RX Mapping'!AX19-480),IF(AND('(橫掃)RX Mapping'!AX19&gt;=481,'(橫掃)RX Mapping'!AX19&lt;=600), ('(橫掃)RX Mapping'!AX19-361),IF(AND('(橫掃)RX Mapping'!AX19&gt;=601,'(橫掃)RX Mapping'!AX19&lt;=720), (-1)*('(橫掃)RX Mapping'!AX19-720)+120,IF(AND('(橫掃)RX Mapping'!AX19&gt;=721,'(橫掃)RX Mapping'!AX19&lt;=840), ('(橫掃)RX Mapping'!AX19-601),IF(AND('(橫掃)RX Mapping'!AX19&gt;=841,'(橫掃)RX Mapping'!AX19&lt;=960), (-1)*('(橫掃)RX Mapping'!AX19-960)+120,9999))))))))</f>
        <v>9999</v>
      </c>
      <c r="AY19">
        <f>IF(AND('(橫掃)RX Mapping'!AY19&gt;=1,'(橫掃)RX Mapping'!AY19&lt;=120), ('(橫掃)RX Mapping'!AY19-1),IF(AND('(橫掃)RX Mapping'!AY19&gt;=121,'(橫掃)RX Mapping'!AY19&lt;=240), (-1)*('(橫掃)RX Mapping'!AY19-240),IF(AND('(橫掃)RX Mapping'!AY19&gt;=241,'(橫掃)RX Mapping'!AY19&lt;=360), ('(橫掃)RX Mapping'!AY19-241),IF(AND('(橫掃)RX Mapping'!AY19&gt;=361,'(橫掃)RX Mapping'!AY19&lt;=480), (-1)*('(橫掃)RX Mapping'!AY19-480),IF(AND('(橫掃)RX Mapping'!AY19&gt;=481,'(橫掃)RX Mapping'!AY19&lt;=600), ('(橫掃)RX Mapping'!AY19-361),IF(AND('(橫掃)RX Mapping'!AY19&gt;=601,'(橫掃)RX Mapping'!AY19&lt;=720), (-1)*('(橫掃)RX Mapping'!AY19-720)+120,IF(AND('(橫掃)RX Mapping'!AY19&gt;=721,'(橫掃)RX Mapping'!AY19&lt;=840), ('(橫掃)RX Mapping'!AY19-601),IF(AND('(橫掃)RX Mapping'!AY19&gt;=841,'(橫掃)RX Mapping'!AY19&lt;=960), (-1)*('(橫掃)RX Mapping'!AY19-960)+120,9999))))))))</f>
        <v>9999</v>
      </c>
      <c r="AZ19">
        <f>IF(AND('(橫掃)RX Mapping'!AZ19&gt;=1,'(橫掃)RX Mapping'!AZ19&lt;=120), ('(橫掃)RX Mapping'!AZ19-1),IF(AND('(橫掃)RX Mapping'!AZ19&gt;=121,'(橫掃)RX Mapping'!AZ19&lt;=240), (-1)*('(橫掃)RX Mapping'!AZ19-240),IF(AND('(橫掃)RX Mapping'!AZ19&gt;=241,'(橫掃)RX Mapping'!AZ19&lt;=360), ('(橫掃)RX Mapping'!AZ19-241),IF(AND('(橫掃)RX Mapping'!AZ19&gt;=361,'(橫掃)RX Mapping'!AZ19&lt;=480), (-1)*('(橫掃)RX Mapping'!AZ19-480),IF(AND('(橫掃)RX Mapping'!AZ19&gt;=481,'(橫掃)RX Mapping'!AZ19&lt;=600), ('(橫掃)RX Mapping'!AZ19-361),IF(AND('(橫掃)RX Mapping'!AZ19&gt;=601,'(橫掃)RX Mapping'!AZ19&lt;=720), (-1)*('(橫掃)RX Mapping'!AZ19-720)+120,IF(AND('(橫掃)RX Mapping'!AZ19&gt;=721,'(橫掃)RX Mapping'!AZ19&lt;=840), ('(橫掃)RX Mapping'!AZ19-601),IF(AND('(橫掃)RX Mapping'!AZ19&gt;=841,'(橫掃)RX Mapping'!AZ19&lt;=960), (-1)*('(橫掃)RX Mapping'!AZ19-960)+120,9999))))))))</f>
        <v>9999</v>
      </c>
      <c r="BA19">
        <f>IF(AND('(橫掃)RX Mapping'!BA19&gt;=1,'(橫掃)RX Mapping'!BA19&lt;=120), ('(橫掃)RX Mapping'!BA19-1),IF(AND('(橫掃)RX Mapping'!BA19&gt;=121,'(橫掃)RX Mapping'!BA19&lt;=240), (-1)*('(橫掃)RX Mapping'!BA19-240),IF(AND('(橫掃)RX Mapping'!BA19&gt;=241,'(橫掃)RX Mapping'!BA19&lt;=360), ('(橫掃)RX Mapping'!BA19-241),IF(AND('(橫掃)RX Mapping'!BA19&gt;=361,'(橫掃)RX Mapping'!BA19&lt;=480), (-1)*('(橫掃)RX Mapping'!BA19-480),IF(AND('(橫掃)RX Mapping'!BA19&gt;=481,'(橫掃)RX Mapping'!BA19&lt;=600), ('(橫掃)RX Mapping'!BA19-361),IF(AND('(橫掃)RX Mapping'!BA19&gt;=601,'(橫掃)RX Mapping'!BA19&lt;=720), (-1)*('(橫掃)RX Mapping'!BA19-720)+120,IF(AND('(橫掃)RX Mapping'!BA19&gt;=721,'(橫掃)RX Mapping'!BA19&lt;=840), ('(橫掃)RX Mapping'!BA19-601),IF(AND('(橫掃)RX Mapping'!BA19&gt;=841,'(橫掃)RX Mapping'!BA19&lt;=960), (-1)*('(橫掃)RX Mapping'!BA19-960)+120,9999))))))))</f>
        <v>9999</v>
      </c>
      <c r="BB19">
        <f>IF(AND('(橫掃)RX Mapping'!BB19&gt;=1,'(橫掃)RX Mapping'!BB19&lt;=120), ('(橫掃)RX Mapping'!BB19-1),IF(AND('(橫掃)RX Mapping'!BB19&gt;=121,'(橫掃)RX Mapping'!BB19&lt;=240), (-1)*('(橫掃)RX Mapping'!BB19-240),IF(AND('(橫掃)RX Mapping'!BB19&gt;=241,'(橫掃)RX Mapping'!BB19&lt;=360), ('(橫掃)RX Mapping'!BB19-241),IF(AND('(橫掃)RX Mapping'!BB19&gt;=361,'(橫掃)RX Mapping'!BB19&lt;=480), (-1)*('(橫掃)RX Mapping'!BB19-480),IF(AND('(橫掃)RX Mapping'!BB19&gt;=481,'(橫掃)RX Mapping'!BB19&lt;=600), ('(橫掃)RX Mapping'!BB19-361),IF(AND('(橫掃)RX Mapping'!BB19&gt;=601,'(橫掃)RX Mapping'!BB19&lt;=720), (-1)*('(橫掃)RX Mapping'!BB19-720)+120,IF(AND('(橫掃)RX Mapping'!BB19&gt;=721,'(橫掃)RX Mapping'!BB19&lt;=840), ('(橫掃)RX Mapping'!BB19-601),IF(AND('(橫掃)RX Mapping'!BB19&gt;=841,'(橫掃)RX Mapping'!BB19&lt;=960), (-1)*('(橫掃)RX Mapping'!BB19-960)+120,9999))))))))</f>
        <v>9999</v>
      </c>
      <c r="BC19">
        <f>IF(AND('(橫掃)RX Mapping'!BC19&gt;=1,'(橫掃)RX Mapping'!BC19&lt;=120), ('(橫掃)RX Mapping'!BC19-1),IF(AND('(橫掃)RX Mapping'!BC19&gt;=121,'(橫掃)RX Mapping'!BC19&lt;=240), (-1)*('(橫掃)RX Mapping'!BC19-240),IF(AND('(橫掃)RX Mapping'!BC19&gt;=241,'(橫掃)RX Mapping'!BC19&lt;=360), ('(橫掃)RX Mapping'!BC19-241),IF(AND('(橫掃)RX Mapping'!BC19&gt;=361,'(橫掃)RX Mapping'!BC19&lt;=480), (-1)*('(橫掃)RX Mapping'!BC19-480),IF(AND('(橫掃)RX Mapping'!BC19&gt;=481,'(橫掃)RX Mapping'!BC19&lt;=600), ('(橫掃)RX Mapping'!BC19-361),IF(AND('(橫掃)RX Mapping'!BC19&gt;=601,'(橫掃)RX Mapping'!BC19&lt;=720), (-1)*('(橫掃)RX Mapping'!BC19-720)+120,IF(AND('(橫掃)RX Mapping'!BC19&gt;=721,'(橫掃)RX Mapping'!BC19&lt;=840), ('(橫掃)RX Mapping'!BC19-601),IF(AND('(橫掃)RX Mapping'!BC19&gt;=841,'(橫掃)RX Mapping'!BC19&lt;=960), (-1)*('(橫掃)RX Mapping'!BC19-960)+120,9999))))))))</f>
        <v>9999</v>
      </c>
      <c r="BD19">
        <f>IF(AND('(橫掃)RX Mapping'!BD19&gt;=1,'(橫掃)RX Mapping'!BD19&lt;=120), ('(橫掃)RX Mapping'!BD19-1),IF(AND('(橫掃)RX Mapping'!BD19&gt;=121,'(橫掃)RX Mapping'!BD19&lt;=240), (-1)*('(橫掃)RX Mapping'!BD19-240),IF(AND('(橫掃)RX Mapping'!BD19&gt;=241,'(橫掃)RX Mapping'!BD19&lt;=360), ('(橫掃)RX Mapping'!BD19-241),IF(AND('(橫掃)RX Mapping'!BD19&gt;=361,'(橫掃)RX Mapping'!BD19&lt;=480), (-1)*('(橫掃)RX Mapping'!BD19-480),IF(AND('(橫掃)RX Mapping'!BD19&gt;=481,'(橫掃)RX Mapping'!BD19&lt;=600), ('(橫掃)RX Mapping'!BD19-361),IF(AND('(橫掃)RX Mapping'!BD19&gt;=601,'(橫掃)RX Mapping'!BD19&lt;=720), (-1)*('(橫掃)RX Mapping'!BD19-720)+120,IF(AND('(橫掃)RX Mapping'!BD19&gt;=721,'(橫掃)RX Mapping'!BD19&lt;=840), ('(橫掃)RX Mapping'!BD19-601),IF(AND('(橫掃)RX Mapping'!BD19&gt;=841,'(橫掃)RX Mapping'!BD19&lt;=960), (-1)*('(橫掃)RX Mapping'!BD19-960)+120,9999))))))))</f>
        <v>9999</v>
      </c>
      <c r="BE19">
        <f>IF(AND('(橫掃)RX Mapping'!BE19&gt;=1,'(橫掃)RX Mapping'!BE19&lt;=120), ('(橫掃)RX Mapping'!BE19-1),IF(AND('(橫掃)RX Mapping'!BE19&gt;=121,'(橫掃)RX Mapping'!BE19&lt;=240), (-1)*('(橫掃)RX Mapping'!BE19-240),IF(AND('(橫掃)RX Mapping'!BE19&gt;=241,'(橫掃)RX Mapping'!BE19&lt;=360), ('(橫掃)RX Mapping'!BE19-241),IF(AND('(橫掃)RX Mapping'!BE19&gt;=361,'(橫掃)RX Mapping'!BE19&lt;=480), (-1)*('(橫掃)RX Mapping'!BE19-480),IF(AND('(橫掃)RX Mapping'!BE19&gt;=481,'(橫掃)RX Mapping'!BE19&lt;=600), ('(橫掃)RX Mapping'!BE19-361),IF(AND('(橫掃)RX Mapping'!BE19&gt;=601,'(橫掃)RX Mapping'!BE19&lt;=720), (-1)*('(橫掃)RX Mapping'!BE19-720)+120,IF(AND('(橫掃)RX Mapping'!BE19&gt;=721,'(橫掃)RX Mapping'!BE19&lt;=840), ('(橫掃)RX Mapping'!BE19-601),IF(AND('(橫掃)RX Mapping'!BE19&gt;=841,'(橫掃)RX Mapping'!BE19&lt;=960), (-1)*('(橫掃)RX Mapping'!BE19-960)+120,9999))))))))</f>
        <v>9999</v>
      </c>
      <c r="BF19">
        <f>IF(AND('(橫掃)RX Mapping'!BF19&gt;=1,'(橫掃)RX Mapping'!BF19&lt;=120), ('(橫掃)RX Mapping'!BF19-1),IF(AND('(橫掃)RX Mapping'!BF19&gt;=121,'(橫掃)RX Mapping'!BF19&lt;=240), (-1)*('(橫掃)RX Mapping'!BF19-240),IF(AND('(橫掃)RX Mapping'!BF19&gt;=241,'(橫掃)RX Mapping'!BF19&lt;=360), ('(橫掃)RX Mapping'!BF19-241),IF(AND('(橫掃)RX Mapping'!BF19&gt;=361,'(橫掃)RX Mapping'!BF19&lt;=480), (-1)*('(橫掃)RX Mapping'!BF19-480),IF(AND('(橫掃)RX Mapping'!BF19&gt;=481,'(橫掃)RX Mapping'!BF19&lt;=600), ('(橫掃)RX Mapping'!BF19-361),IF(AND('(橫掃)RX Mapping'!BF19&gt;=601,'(橫掃)RX Mapping'!BF19&lt;=720), (-1)*('(橫掃)RX Mapping'!BF19-720)+120,IF(AND('(橫掃)RX Mapping'!BF19&gt;=721,'(橫掃)RX Mapping'!BF19&lt;=840), ('(橫掃)RX Mapping'!BF19-601),IF(AND('(橫掃)RX Mapping'!BF19&gt;=841,'(橫掃)RX Mapping'!BF19&lt;=960), (-1)*('(橫掃)RX Mapping'!BF19-960)+120,9999))))))))</f>
        <v>9999</v>
      </c>
      <c r="BG19">
        <f>IF(AND('(橫掃)RX Mapping'!BG19&gt;=1,'(橫掃)RX Mapping'!BG19&lt;=120), ('(橫掃)RX Mapping'!BG19-1),IF(AND('(橫掃)RX Mapping'!BG19&gt;=121,'(橫掃)RX Mapping'!BG19&lt;=240), (-1)*('(橫掃)RX Mapping'!BG19-240),IF(AND('(橫掃)RX Mapping'!BG19&gt;=241,'(橫掃)RX Mapping'!BG19&lt;=360), ('(橫掃)RX Mapping'!BG19-241),IF(AND('(橫掃)RX Mapping'!BG19&gt;=361,'(橫掃)RX Mapping'!BG19&lt;=480), (-1)*('(橫掃)RX Mapping'!BG19-480),IF(AND('(橫掃)RX Mapping'!BG19&gt;=481,'(橫掃)RX Mapping'!BG19&lt;=600), ('(橫掃)RX Mapping'!BG19-361),IF(AND('(橫掃)RX Mapping'!BG19&gt;=601,'(橫掃)RX Mapping'!BG19&lt;=720), (-1)*('(橫掃)RX Mapping'!BG19-720)+120,IF(AND('(橫掃)RX Mapping'!BG19&gt;=721,'(橫掃)RX Mapping'!BG19&lt;=840), ('(橫掃)RX Mapping'!BG19-601),IF(AND('(橫掃)RX Mapping'!BG19&gt;=841,'(橫掃)RX Mapping'!BG19&lt;=960), (-1)*('(橫掃)RX Mapping'!BG19-960)+120,9999))))))))</f>
        <v>9999</v>
      </c>
      <c r="BH19">
        <f>IF(AND('(橫掃)RX Mapping'!BH19&gt;=1,'(橫掃)RX Mapping'!BH19&lt;=120), ('(橫掃)RX Mapping'!BH19-1),IF(AND('(橫掃)RX Mapping'!BH19&gt;=121,'(橫掃)RX Mapping'!BH19&lt;=240), (-1)*('(橫掃)RX Mapping'!BH19-240),IF(AND('(橫掃)RX Mapping'!BH19&gt;=241,'(橫掃)RX Mapping'!BH19&lt;=360), ('(橫掃)RX Mapping'!BH19-241),IF(AND('(橫掃)RX Mapping'!BH19&gt;=361,'(橫掃)RX Mapping'!BH19&lt;=480), (-1)*('(橫掃)RX Mapping'!BH19-480),IF(AND('(橫掃)RX Mapping'!BH19&gt;=481,'(橫掃)RX Mapping'!BH19&lt;=600), ('(橫掃)RX Mapping'!BH19-361),IF(AND('(橫掃)RX Mapping'!BH19&gt;=601,'(橫掃)RX Mapping'!BH19&lt;=720), (-1)*('(橫掃)RX Mapping'!BH19-720)+120,IF(AND('(橫掃)RX Mapping'!BH19&gt;=721,'(橫掃)RX Mapping'!BH19&lt;=840), ('(橫掃)RX Mapping'!BH19-601),IF(AND('(橫掃)RX Mapping'!BH19&gt;=841,'(橫掃)RX Mapping'!BH19&lt;=960), (-1)*('(橫掃)RX Mapping'!BH19-960)+120,9999))))))))</f>
        <v>9999</v>
      </c>
      <c r="BI19">
        <f>IF(AND('(橫掃)RX Mapping'!BI19&gt;=1,'(橫掃)RX Mapping'!BI19&lt;=120), ('(橫掃)RX Mapping'!BI19-1),IF(AND('(橫掃)RX Mapping'!BI19&gt;=121,'(橫掃)RX Mapping'!BI19&lt;=240), (-1)*('(橫掃)RX Mapping'!BI19-240),IF(AND('(橫掃)RX Mapping'!BI19&gt;=241,'(橫掃)RX Mapping'!BI19&lt;=360), ('(橫掃)RX Mapping'!BI19-241),IF(AND('(橫掃)RX Mapping'!BI19&gt;=361,'(橫掃)RX Mapping'!BI19&lt;=480), (-1)*('(橫掃)RX Mapping'!BI19-480),IF(AND('(橫掃)RX Mapping'!BI19&gt;=481,'(橫掃)RX Mapping'!BI19&lt;=600), ('(橫掃)RX Mapping'!BI19-361),IF(AND('(橫掃)RX Mapping'!BI19&gt;=601,'(橫掃)RX Mapping'!BI19&lt;=720), (-1)*('(橫掃)RX Mapping'!BI19-720)+120,IF(AND('(橫掃)RX Mapping'!BI19&gt;=721,'(橫掃)RX Mapping'!BI19&lt;=840), ('(橫掃)RX Mapping'!BI19-601),IF(AND('(橫掃)RX Mapping'!BI19&gt;=841,'(橫掃)RX Mapping'!BI19&lt;=960), (-1)*('(橫掃)RX Mapping'!BI19-960)+120,9999))))))))</f>
        <v>9999</v>
      </c>
    </row>
    <row r="20" spans="1:61" x14ac:dyDescent="0.25">
      <c r="A20" s="20">
        <v>19</v>
      </c>
      <c r="B20">
        <f>IF(AND('(橫掃)RX Mapping'!B20&gt;=1,'(橫掃)RX Mapping'!B20&lt;=120), ('(橫掃)RX Mapping'!B20-1),IF(AND('(橫掃)RX Mapping'!B20&gt;=121,'(橫掃)RX Mapping'!B20&lt;=240), (-1)*('(橫掃)RX Mapping'!B20-240),IF(AND('(橫掃)RX Mapping'!B20&gt;=241,'(橫掃)RX Mapping'!B20&lt;=360), ('(橫掃)RX Mapping'!B20-241),IF(AND('(橫掃)RX Mapping'!B20&gt;=361,'(橫掃)RX Mapping'!B20&lt;=480), (-1)*('(橫掃)RX Mapping'!B20-480),IF(AND('(橫掃)RX Mapping'!B20&gt;=481,'(橫掃)RX Mapping'!B20&lt;=600), ('(橫掃)RX Mapping'!B20-361),IF(AND('(橫掃)RX Mapping'!B20&gt;=601,'(橫掃)RX Mapping'!B20&lt;=720), (-1)*('(橫掃)RX Mapping'!B20-720)+120,IF(AND('(橫掃)RX Mapping'!B20&gt;=721,'(橫掃)RX Mapping'!B20&lt;=840), ('(橫掃)RX Mapping'!B20-601),IF(AND('(橫掃)RX Mapping'!B20&gt;=841,'(橫掃)RX Mapping'!B20&lt;=960), (-1)*('(橫掃)RX Mapping'!B20-960)+120,9999))))))))</f>
        <v>18</v>
      </c>
      <c r="C20">
        <f>IF(AND('(橫掃)RX Mapping'!C20&gt;=1,'(橫掃)RX Mapping'!C20&lt;=120), ('(橫掃)RX Mapping'!C20-1),IF(AND('(橫掃)RX Mapping'!C20&gt;=121,'(橫掃)RX Mapping'!C20&lt;=240), (-1)*('(橫掃)RX Mapping'!C20-240),IF(AND('(橫掃)RX Mapping'!C20&gt;=241,'(橫掃)RX Mapping'!C20&lt;=360), ('(橫掃)RX Mapping'!C20-241),IF(AND('(橫掃)RX Mapping'!C20&gt;=361,'(橫掃)RX Mapping'!C20&lt;=480), (-1)*('(橫掃)RX Mapping'!C20-480),IF(AND('(橫掃)RX Mapping'!C20&gt;=481,'(橫掃)RX Mapping'!C20&lt;=600), ('(橫掃)RX Mapping'!C20-361),IF(AND('(橫掃)RX Mapping'!C20&gt;=601,'(橫掃)RX Mapping'!C20&lt;=720), (-1)*('(橫掃)RX Mapping'!C20-720)+120,IF(AND('(橫掃)RX Mapping'!C20&gt;=721,'(橫掃)RX Mapping'!C20&lt;=840), ('(橫掃)RX Mapping'!C20-601),IF(AND('(橫掃)RX Mapping'!C20&gt;=841,'(橫掃)RX Mapping'!C20&lt;=960), (-1)*('(橫掃)RX Mapping'!C20-960)+120,9999))))))))</f>
        <v>50</v>
      </c>
      <c r="D20">
        <f>IF(AND('(橫掃)RX Mapping'!D20&gt;=1,'(橫掃)RX Mapping'!D20&lt;=120), ('(橫掃)RX Mapping'!D20-1),IF(AND('(橫掃)RX Mapping'!D20&gt;=121,'(橫掃)RX Mapping'!D20&lt;=240), (-1)*('(橫掃)RX Mapping'!D20-240),IF(AND('(橫掃)RX Mapping'!D20&gt;=241,'(橫掃)RX Mapping'!D20&lt;=360), ('(橫掃)RX Mapping'!D20-241),IF(AND('(橫掃)RX Mapping'!D20&gt;=361,'(橫掃)RX Mapping'!D20&lt;=480), (-1)*('(橫掃)RX Mapping'!D20-480),IF(AND('(橫掃)RX Mapping'!D20&gt;=481,'(橫掃)RX Mapping'!D20&lt;=600), ('(橫掃)RX Mapping'!D20-361),IF(AND('(橫掃)RX Mapping'!D20&gt;=601,'(橫掃)RX Mapping'!D20&lt;=720), (-1)*('(橫掃)RX Mapping'!D20-720)+120,IF(AND('(橫掃)RX Mapping'!D20&gt;=721,'(橫掃)RX Mapping'!D20&lt;=840), ('(橫掃)RX Mapping'!D20-601),IF(AND('(橫掃)RX Mapping'!D20&gt;=841,'(橫掃)RX Mapping'!D20&lt;=960), (-1)*('(橫掃)RX Mapping'!D20-960)+120,9999))))))))</f>
        <v>82</v>
      </c>
      <c r="E20">
        <f>IF(AND('(橫掃)RX Mapping'!E20&gt;=1,'(橫掃)RX Mapping'!E20&lt;=120), ('(橫掃)RX Mapping'!E20-1),IF(AND('(橫掃)RX Mapping'!E20&gt;=121,'(橫掃)RX Mapping'!E20&lt;=240), (-1)*('(橫掃)RX Mapping'!E20-240),IF(AND('(橫掃)RX Mapping'!E20&gt;=241,'(橫掃)RX Mapping'!E20&lt;=360), ('(橫掃)RX Mapping'!E20-241),IF(AND('(橫掃)RX Mapping'!E20&gt;=361,'(橫掃)RX Mapping'!E20&lt;=480), (-1)*('(橫掃)RX Mapping'!E20-480),IF(AND('(橫掃)RX Mapping'!E20&gt;=481,'(橫掃)RX Mapping'!E20&lt;=600), ('(橫掃)RX Mapping'!E20-361),IF(AND('(橫掃)RX Mapping'!E20&gt;=601,'(橫掃)RX Mapping'!E20&lt;=720), (-1)*('(橫掃)RX Mapping'!E20-720)+120,IF(AND('(橫掃)RX Mapping'!E20&gt;=721,'(橫掃)RX Mapping'!E20&lt;=840), ('(橫掃)RX Mapping'!E20-601),IF(AND('(橫掃)RX Mapping'!E20&gt;=841,'(橫掃)RX Mapping'!E20&lt;=960), (-1)*('(橫掃)RX Mapping'!E20-960)+120,9999))))))))</f>
        <v>114</v>
      </c>
      <c r="F20">
        <f>IF(AND('(橫掃)RX Mapping'!F20&gt;=1,'(橫掃)RX Mapping'!F20&lt;=120), ('(橫掃)RX Mapping'!F20-1),IF(AND('(橫掃)RX Mapping'!F20&gt;=121,'(橫掃)RX Mapping'!F20&lt;=240), (-1)*('(橫掃)RX Mapping'!F20-240),IF(AND('(橫掃)RX Mapping'!F20&gt;=241,'(橫掃)RX Mapping'!F20&lt;=360), ('(橫掃)RX Mapping'!F20-241),IF(AND('(橫掃)RX Mapping'!F20&gt;=361,'(橫掃)RX Mapping'!F20&lt;=480), (-1)*('(橫掃)RX Mapping'!F20-480),IF(AND('(橫掃)RX Mapping'!F20&gt;=481,'(橫掃)RX Mapping'!F20&lt;=600), ('(橫掃)RX Mapping'!F20-361),IF(AND('(橫掃)RX Mapping'!F20&gt;=601,'(橫掃)RX Mapping'!F20&lt;=720), (-1)*('(橫掃)RX Mapping'!F20-720)+120,IF(AND('(橫掃)RX Mapping'!F20&gt;=721,'(橫掃)RX Mapping'!F20&lt;=840), ('(橫掃)RX Mapping'!F20-601),IF(AND('(橫掃)RX Mapping'!F20&gt;=841,'(橫掃)RX Mapping'!F20&lt;=960), (-1)*('(橫掃)RX Mapping'!F20-960)+120,9999))))))))</f>
        <v>93</v>
      </c>
      <c r="G20">
        <f>IF(AND('(橫掃)RX Mapping'!G20&gt;=1,'(橫掃)RX Mapping'!G20&lt;=120), ('(橫掃)RX Mapping'!G20-1),IF(AND('(橫掃)RX Mapping'!G20&gt;=121,'(橫掃)RX Mapping'!G20&lt;=240), (-1)*('(橫掃)RX Mapping'!G20-240),IF(AND('(橫掃)RX Mapping'!G20&gt;=241,'(橫掃)RX Mapping'!G20&lt;=360), ('(橫掃)RX Mapping'!G20-241),IF(AND('(橫掃)RX Mapping'!G20&gt;=361,'(橫掃)RX Mapping'!G20&lt;=480), (-1)*('(橫掃)RX Mapping'!G20-480),IF(AND('(橫掃)RX Mapping'!G20&gt;=481,'(橫掃)RX Mapping'!G20&lt;=600), ('(橫掃)RX Mapping'!G20-361),IF(AND('(橫掃)RX Mapping'!G20&gt;=601,'(橫掃)RX Mapping'!G20&lt;=720), (-1)*('(橫掃)RX Mapping'!G20-720)+120,IF(AND('(橫掃)RX Mapping'!G20&gt;=721,'(橫掃)RX Mapping'!G20&lt;=840), ('(橫掃)RX Mapping'!G20-601),IF(AND('(橫掃)RX Mapping'!G20&gt;=841,'(橫掃)RX Mapping'!G20&lt;=960), (-1)*('(橫掃)RX Mapping'!G20-960)+120,9999))))))))</f>
        <v>61</v>
      </c>
      <c r="H20">
        <f>IF(AND('(橫掃)RX Mapping'!H20&gt;=1,'(橫掃)RX Mapping'!H20&lt;=120), ('(橫掃)RX Mapping'!H20-1),IF(AND('(橫掃)RX Mapping'!H20&gt;=121,'(橫掃)RX Mapping'!H20&lt;=240), (-1)*('(橫掃)RX Mapping'!H20-240),IF(AND('(橫掃)RX Mapping'!H20&gt;=241,'(橫掃)RX Mapping'!H20&lt;=360), ('(橫掃)RX Mapping'!H20-241),IF(AND('(橫掃)RX Mapping'!H20&gt;=361,'(橫掃)RX Mapping'!H20&lt;=480), (-1)*('(橫掃)RX Mapping'!H20-480),IF(AND('(橫掃)RX Mapping'!H20&gt;=481,'(橫掃)RX Mapping'!H20&lt;=600), ('(橫掃)RX Mapping'!H20-361),IF(AND('(橫掃)RX Mapping'!H20&gt;=601,'(橫掃)RX Mapping'!H20&lt;=720), (-1)*('(橫掃)RX Mapping'!H20-720)+120,IF(AND('(橫掃)RX Mapping'!H20&gt;=721,'(橫掃)RX Mapping'!H20&lt;=840), ('(橫掃)RX Mapping'!H20-601),IF(AND('(橫掃)RX Mapping'!H20&gt;=841,'(橫掃)RX Mapping'!H20&lt;=960), (-1)*('(橫掃)RX Mapping'!H20-960)+120,9999))))))))</f>
        <v>29</v>
      </c>
      <c r="I20">
        <f>IF(AND('(橫掃)RX Mapping'!I20&gt;=1,'(橫掃)RX Mapping'!I20&lt;=120), ('(橫掃)RX Mapping'!I20-1),IF(AND('(橫掃)RX Mapping'!I20&gt;=121,'(橫掃)RX Mapping'!I20&lt;=240), (-1)*('(橫掃)RX Mapping'!I20-240),IF(AND('(橫掃)RX Mapping'!I20&gt;=241,'(橫掃)RX Mapping'!I20&lt;=360), ('(橫掃)RX Mapping'!I20-241),IF(AND('(橫掃)RX Mapping'!I20&gt;=361,'(橫掃)RX Mapping'!I20&lt;=480), (-1)*('(橫掃)RX Mapping'!I20-480),IF(AND('(橫掃)RX Mapping'!I20&gt;=481,'(橫掃)RX Mapping'!I20&lt;=600), ('(橫掃)RX Mapping'!I20-361),IF(AND('(橫掃)RX Mapping'!I20&gt;=601,'(橫掃)RX Mapping'!I20&lt;=720), (-1)*('(橫掃)RX Mapping'!I20-720)+120,IF(AND('(橫掃)RX Mapping'!I20&gt;=721,'(橫掃)RX Mapping'!I20&lt;=840), ('(橫掃)RX Mapping'!I20-601),IF(AND('(橫掃)RX Mapping'!I20&gt;=841,'(橫掃)RX Mapping'!I20&lt;=960), (-1)*('(橫掃)RX Mapping'!I20-960)+120,9999))))))))</f>
        <v>18</v>
      </c>
      <c r="J20">
        <f>IF(AND('(橫掃)RX Mapping'!J20&gt;=1,'(橫掃)RX Mapping'!J20&lt;=120), ('(橫掃)RX Mapping'!J20-1),IF(AND('(橫掃)RX Mapping'!J20&gt;=121,'(橫掃)RX Mapping'!J20&lt;=240), (-1)*('(橫掃)RX Mapping'!J20-240),IF(AND('(橫掃)RX Mapping'!J20&gt;=241,'(橫掃)RX Mapping'!J20&lt;=360), ('(橫掃)RX Mapping'!J20-241),IF(AND('(橫掃)RX Mapping'!J20&gt;=361,'(橫掃)RX Mapping'!J20&lt;=480), (-1)*('(橫掃)RX Mapping'!J20-480),IF(AND('(橫掃)RX Mapping'!J20&gt;=481,'(橫掃)RX Mapping'!J20&lt;=600), ('(橫掃)RX Mapping'!J20-361),IF(AND('(橫掃)RX Mapping'!J20&gt;=601,'(橫掃)RX Mapping'!J20&lt;=720), (-1)*('(橫掃)RX Mapping'!J20-720)+120,IF(AND('(橫掃)RX Mapping'!J20&gt;=721,'(橫掃)RX Mapping'!J20&lt;=840), ('(橫掃)RX Mapping'!J20-601),IF(AND('(橫掃)RX Mapping'!J20&gt;=841,'(橫掃)RX Mapping'!J20&lt;=960), (-1)*('(橫掃)RX Mapping'!J20-960)+120,9999))))))))</f>
        <v>50</v>
      </c>
      <c r="K20">
        <f>IF(AND('(橫掃)RX Mapping'!K20&gt;=1,'(橫掃)RX Mapping'!K20&lt;=120), ('(橫掃)RX Mapping'!K20-1),IF(AND('(橫掃)RX Mapping'!K20&gt;=121,'(橫掃)RX Mapping'!K20&lt;=240), (-1)*('(橫掃)RX Mapping'!K20-240),IF(AND('(橫掃)RX Mapping'!K20&gt;=241,'(橫掃)RX Mapping'!K20&lt;=360), ('(橫掃)RX Mapping'!K20-241),IF(AND('(橫掃)RX Mapping'!K20&gt;=361,'(橫掃)RX Mapping'!K20&lt;=480), (-1)*('(橫掃)RX Mapping'!K20-480),IF(AND('(橫掃)RX Mapping'!K20&gt;=481,'(橫掃)RX Mapping'!K20&lt;=600), ('(橫掃)RX Mapping'!K20-361),IF(AND('(橫掃)RX Mapping'!K20&gt;=601,'(橫掃)RX Mapping'!K20&lt;=720), (-1)*('(橫掃)RX Mapping'!K20-720)+120,IF(AND('(橫掃)RX Mapping'!K20&gt;=721,'(橫掃)RX Mapping'!K20&lt;=840), ('(橫掃)RX Mapping'!K20-601),IF(AND('(橫掃)RX Mapping'!K20&gt;=841,'(橫掃)RX Mapping'!K20&lt;=960), (-1)*('(橫掃)RX Mapping'!K20-960)+120,9999))))))))</f>
        <v>82</v>
      </c>
      <c r="L20">
        <f>IF(AND('(橫掃)RX Mapping'!L20&gt;=1,'(橫掃)RX Mapping'!L20&lt;=120), ('(橫掃)RX Mapping'!L20-1),IF(AND('(橫掃)RX Mapping'!L20&gt;=121,'(橫掃)RX Mapping'!L20&lt;=240), (-1)*('(橫掃)RX Mapping'!L20-240),IF(AND('(橫掃)RX Mapping'!L20&gt;=241,'(橫掃)RX Mapping'!L20&lt;=360), ('(橫掃)RX Mapping'!L20-241),IF(AND('(橫掃)RX Mapping'!L20&gt;=361,'(橫掃)RX Mapping'!L20&lt;=480), (-1)*('(橫掃)RX Mapping'!L20-480),IF(AND('(橫掃)RX Mapping'!L20&gt;=481,'(橫掃)RX Mapping'!L20&lt;=600), ('(橫掃)RX Mapping'!L20-361),IF(AND('(橫掃)RX Mapping'!L20&gt;=601,'(橫掃)RX Mapping'!L20&lt;=720), (-1)*('(橫掃)RX Mapping'!L20-720)+120,IF(AND('(橫掃)RX Mapping'!L20&gt;=721,'(橫掃)RX Mapping'!L20&lt;=840), ('(橫掃)RX Mapping'!L20-601),IF(AND('(橫掃)RX Mapping'!L20&gt;=841,'(橫掃)RX Mapping'!L20&lt;=960), (-1)*('(橫掃)RX Mapping'!L20-960)+120,9999))))))))</f>
        <v>114</v>
      </c>
      <c r="M20">
        <f>IF(AND('(橫掃)RX Mapping'!M20&gt;=1,'(橫掃)RX Mapping'!M20&lt;=120), ('(橫掃)RX Mapping'!M20-1),IF(AND('(橫掃)RX Mapping'!M20&gt;=121,'(橫掃)RX Mapping'!M20&lt;=240), (-1)*('(橫掃)RX Mapping'!M20-240),IF(AND('(橫掃)RX Mapping'!M20&gt;=241,'(橫掃)RX Mapping'!M20&lt;=360), ('(橫掃)RX Mapping'!M20-241),IF(AND('(橫掃)RX Mapping'!M20&gt;=361,'(橫掃)RX Mapping'!M20&lt;=480), (-1)*('(橫掃)RX Mapping'!M20-480),IF(AND('(橫掃)RX Mapping'!M20&gt;=481,'(橫掃)RX Mapping'!M20&lt;=600), ('(橫掃)RX Mapping'!M20-361),IF(AND('(橫掃)RX Mapping'!M20&gt;=601,'(橫掃)RX Mapping'!M20&lt;=720), (-1)*('(橫掃)RX Mapping'!M20-720)+120,IF(AND('(橫掃)RX Mapping'!M20&gt;=721,'(橫掃)RX Mapping'!M20&lt;=840), ('(橫掃)RX Mapping'!M20-601),IF(AND('(橫掃)RX Mapping'!M20&gt;=841,'(橫掃)RX Mapping'!M20&lt;=960), (-1)*('(橫掃)RX Mapping'!M20-960)+120,9999))))))))</f>
        <v>93</v>
      </c>
      <c r="N20">
        <f>IF(AND('(橫掃)RX Mapping'!N20&gt;=1,'(橫掃)RX Mapping'!N20&lt;=120), ('(橫掃)RX Mapping'!N20-1),IF(AND('(橫掃)RX Mapping'!N20&gt;=121,'(橫掃)RX Mapping'!N20&lt;=240), (-1)*('(橫掃)RX Mapping'!N20-240),IF(AND('(橫掃)RX Mapping'!N20&gt;=241,'(橫掃)RX Mapping'!N20&lt;=360), ('(橫掃)RX Mapping'!N20-241),IF(AND('(橫掃)RX Mapping'!N20&gt;=361,'(橫掃)RX Mapping'!N20&lt;=480), (-1)*('(橫掃)RX Mapping'!N20-480),IF(AND('(橫掃)RX Mapping'!N20&gt;=481,'(橫掃)RX Mapping'!N20&lt;=600), ('(橫掃)RX Mapping'!N20-361),IF(AND('(橫掃)RX Mapping'!N20&gt;=601,'(橫掃)RX Mapping'!N20&lt;=720), (-1)*('(橫掃)RX Mapping'!N20-720)+120,IF(AND('(橫掃)RX Mapping'!N20&gt;=721,'(橫掃)RX Mapping'!N20&lt;=840), ('(橫掃)RX Mapping'!N20-601),IF(AND('(橫掃)RX Mapping'!N20&gt;=841,'(橫掃)RX Mapping'!N20&lt;=960), (-1)*('(橫掃)RX Mapping'!N20-960)+120,9999))))))))</f>
        <v>61</v>
      </c>
      <c r="O20">
        <f>IF(AND('(橫掃)RX Mapping'!O20&gt;=1,'(橫掃)RX Mapping'!O20&lt;=120), ('(橫掃)RX Mapping'!O20-1),IF(AND('(橫掃)RX Mapping'!O20&gt;=121,'(橫掃)RX Mapping'!O20&lt;=240), (-1)*('(橫掃)RX Mapping'!O20-240),IF(AND('(橫掃)RX Mapping'!O20&gt;=241,'(橫掃)RX Mapping'!O20&lt;=360), ('(橫掃)RX Mapping'!O20-241),IF(AND('(橫掃)RX Mapping'!O20&gt;=361,'(橫掃)RX Mapping'!O20&lt;=480), (-1)*('(橫掃)RX Mapping'!O20-480),IF(AND('(橫掃)RX Mapping'!O20&gt;=481,'(橫掃)RX Mapping'!O20&lt;=600), ('(橫掃)RX Mapping'!O20-361),IF(AND('(橫掃)RX Mapping'!O20&gt;=601,'(橫掃)RX Mapping'!O20&lt;=720), (-1)*('(橫掃)RX Mapping'!O20-720)+120,IF(AND('(橫掃)RX Mapping'!O20&gt;=721,'(橫掃)RX Mapping'!O20&lt;=840), ('(橫掃)RX Mapping'!O20-601),IF(AND('(橫掃)RX Mapping'!O20&gt;=841,'(橫掃)RX Mapping'!O20&lt;=960), (-1)*('(橫掃)RX Mapping'!O20-960)+120,9999))))))))</f>
        <v>29</v>
      </c>
      <c r="P20">
        <f>IF(AND('(橫掃)RX Mapping'!P20&gt;=1,'(橫掃)RX Mapping'!P20&lt;=120), ('(橫掃)RX Mapping'!P20-1),IF(AND('(橫掃)RX Mapping'!P20&gt;=121,'(橫掃)RX Mapping'!P20&lt;=240), (-1)*('(橫掃)RX Mapping'!P20-240),IF(AND('(橫掃)RX Mapping'!P20&gt;=241,'(橫掃)RX Mapping'!P20&lt;=360), ('(橫掃)RX Mapping'!P20-241),IF(AND('(橫掃)RX Mapping'!P20&gt;=361,'(橫掃)RX Mapping'!P20&lt;=480), (-1)*('(橫掃)RX Mapping'!P20-480),IF(AND('(橫掃)RX Mapping'!P20&gt;=481,'(橫掃)RX Mapping'!P20&lt;=600), ('(橫掃)RX Mapping'!P20-361),IF(AND('(橫掃)RX Mapping'!P20&gt;=601,'(橫掃)RX Mapping'!P20&lt;=720), (-1)*('(橫掃)RX Mapping'!P20-720)+120,IF(AND('(橫掃)RX Mapping'!P20&gt;=721,'(橫掃)RX Mapping'!P20&lt;=840), ('(橫掃)RX Mapping'!P20-601),IF(AND('(橫掃)RX Mapping'!P20&gt;=841,'(橫掃)RX Mapping'!P20&lt;=960), (-1)*('(橫掃)RX Mapping'!P20-960)+120,9999))))))))</f>
        <v>138</v>
      </c>
      <c r="Q20">
        <f>IF(AND('(橫掃)RX Mapping'!Q20&gt;=1,'(橫掃)RX Mapping'!Q20&lt;=120), ('(橫掃)RX Mapping'!Q20-1),IF(AND('(橫掃)RX Mapping'!Q20&gt;=121,'(橫掃)RX Mapping'!Q20&lt;=240), (-1)*('(橫掃)RX Mapping'!Q20-240),IF(AND('(橫掃)RX Mapping'!Q20&gt;=241,'(橫掃)RX Mapping'!Q20&lt;=360), ('(橫掃)RX Mapping'!Q20-241),IF(AND('(橫掃)RX Mapping'!Q20&gt;=361,'(橫掃)RX Mapping'!Q20&lt;=480), (-1)*('(橫掃)RX Mapping'!Q20-480),IF(AND('(橫掃)RX Mapping'!Q20&gt;=481,'(橫掃)RX Mapping'!Q20&lt;=600), ('(橫掃)RX Mapping'!Q20-361),IF(AND('(橫掃)RX Mapping'!Q20&gt;=601,'(橫掃)RX Mapping'!Q20&lt;=720), (-1)*('(橫掃)RX Mapping'!Q20-720)+120,IF(AND('(橫掃)RX Mapping'!Q20&gt;=721,'(橫掃)RX Mapping'!Q20&lt;=840), ('(橫掃)RX Mapping'!Q20-601),IF(AND('(橫掃)RX Mapping'!Q20&gt;=841,'(橫掃)RX Mapping'!Q20&lt;=960), (-1)*('(橫掃)RX Mapping'!Q20-960)+120,9999))))))))</f>
        <v>170</v>
      </c>
      <c r="R20">
        <f>IF(AND('(橫掃)RX Mapping'!R20&gt;=1,'(橫掃)RX Mapping'!R20&lt;=120), ('(橫掃)RX Mapping'!R20-1),IF(AND('(橫掃)RX Mapping'!R20&gt;=121,'(橫掃)RX Mapping'!R20&lt;=240), (-1)*('(橫掃)RX Mapping'!R20-240),IF(AND('(橫掃)RX Mapping'!R20&gt;=241,'(橫掃)RX Mapping'!R20&lt;=360), ('(橫掃)RX Mapping'!R20-241),IF(AND('(橫掃)RX Mapping'!R20&gt;=361,'(橫掃)RX Mapping'!R20&lt;=480), (-1)*('(橫掃)RX Mapping'!R20-480),IF(AND('(橫掃)RX Mapping'!R20&gt;=481,'(橫掃)RX Mapping'!R20&lt;=600), ('(橫掃)RX Mapping'!R20-361),IF(AND('(橫掃)RX Mapping'!R20&gt;=601,'(橫掃)RX Mapping'!R20&lt;=720), (-1)*('(橫掃)RX Mapping'!R20-720)+120,IF(AND('(橫掃)RX Mapping'!R20&gt;=721,'(橫掃)RX Mapping'!R20&lt;=840), ('(橫掃)RX Mapping'!R20-601),IF(AND('(橫掃)RX Mapping'!R20&gt;=841,'(橫掃)RX Mapping'!R20&lt;=960), (-1)*('(橫掃)RX Mapping'!R20-960)+120,9999))))))))</f>
        <v>202</v>
      </c>
      <c r="S20">
        <f>IF(AND('(橫掃)RX Mapping'!S20&gt;=1,'(橫掃)RX Mapping'!S20&lt;=120), ('(橫掃)RX Mapping'!S20-1),IF(AND('(橫掃)RX Mapping'!S20&gt;=121,'(橫掃)RX Mapping'!S20&lt;=240), (-1)*('(橫掃)RX Mapping'!S20-240),IF(AND('(橫掃)RX Mapping'!S20&gt;=241,'(橫掃)RX Mapping'!S20&lt;=360), ('(橫掃)RX Mapping'!S20-241),IF(AND('(橫掃)RX Mapping'!S20&gt;=361,'(橫掃)RX Mapping'!S20&lt;=480), (-1)*('(橫掃)RX Mapping'!S20-480),IF(AND('(橫掃)RX Mapping'!S20&gt;=481,'(橫掃)RX Mapping'!S20&lt;=600), ('(橫掃)RX Mapping'!S20-361),IF(AND('(橫掃)RX Mapping'!S20&gt;=601,'(橫掃)RX Mapping'!S20&lt;=720), (-1)*('(橫掃)RX Mapping'!S20-720)+120,IF(AND('(橫掃)RX Mapping'!S20&gt;=721,'(橫掃)RX Mapping'!S20&lt;=840), ('(橫掃)RX Mapping'!S20-601),IF(AND('(橫掃)RX Mapping'!S20&gt;=841,'(橫掃)RX Mapping'!S20&lt;=960), (-1)*('(橫掃)RX Mapping'!S20-960)+120,9999))))))))</f>
        <v>234</v>
      </c>
      <c r="T20">
        <f>IF(AND('(橫掃)RX Mapping'!T20&gt;=1,'(橫掃)RX Mapping'!T20&lt;=120), ('(橫掃)RX Mapping'!T20-1),IF(AND('(橫掃)RX Mapping'!T20&gt;=121,'(橫掃)RX Mapping'!T20&lt;=240), (-1)*('(橫掃)RX Mapping'!T20-240),IF(AND('(橫掃)RX Mapping'!T20&gt;=241,'(橫掃)RX Mapping'!T20&lt;=360), ('(橫掃)RX Mapping'!T20-241),IF(AND('(橫掃)RX Mapping'!T20&gt;=361,'(橫掃)RX Mapping'!T20&lt;=480), (-1)*('(橫掃)RX Mapping'!T20-480),IF(AND('(橫掃)RX Mapping'!T20&gt;=481,'(橫掃)RX Mapping'!T20&lt;=600), ('(橫掃)RX Mapping'!T20-361),IF(AND('(橫掃)RX Mapping'!T20&gt;=601,'(橫掃)RX Mapping'!T20&lt;=720), (-1)*('(橫掃)RX Mapping'!T20-720)+120,IF(AND('(橫掃)RX Mapping'!T20&gt;=721,'(橫掃)RX Mapping'!T20&lt;=840), ('(橫掃)RX Mapping'!T20-601),IF(AND('(橫掃)RX Mapping'!T20&gt;=841,'(橫掃)RX Mapping'!T20&lt;=960), (-1)*('(橫掃)RX Mapping'!T20-960)+120,9999))))))))</f>
        <v>213</v>
      </c>
      <c r="U20">
        <f>IF(AND('(橫掃)RX Mapping'!U20&gt;=1,'(橫掃)RX Mapping'!U20&lt;=120), ('(橫掃)RX Mapping'!U20-1),IF(AND('(橫掃)RX Mapping'!U20&gt;=121,'(橫掃)RX Mapping'!U20&lt;=240), (-1)*('(橫掃)RX Mapping'!U20-240),IF(AND('(橫掃)RX Mapping'!U20&gt;=241,'(橫掃)RX Mapping'!U20&lt;=360), ('(橫掃)RX Mapping'!U20-241),IF(AND('(橫掃)RX Mapping'!U20&gt;=361,'(橫掃)RX Mapping'!U20&lt;=480), (-1)*('(橫掃)RX Mapping'!U20-480),IF(AND('(橫掃)RX Mapping'!U20&gt;=481,'(橫掃)RX Mapping'!U20&lt;=600), ('(橫掃)RX Mapping'!U20-361),IF(AND('(橫掃)RX Mapping'!U20&gt;=601,'(橫掃)RX Mapping'!U20&lt;=720), (-1)*('(橫掃)RX Mapping'!U20-720)+120,IF(AND('(橫掃)RX Mapping'!U20&gt;=721,'(橫掃)RX Mapping'!U20&lt;=840), ('(橫掃)RX Mapping'!U20-601),IF(AND('(橫掃)RX Mapping'!U20&gt;=841,'(橫掃)RX Mapping'!U20&lt;=960), (-1)*('(橫掃)RX Mapping'!U20-960)+120,9999))))))))</f>
        <v>181</v>
      </c>
      <c r="V20">
        <f>IF(AND('(橫掃)RX Mapping'!V20&gt;=1,'(橫掃)RX Mapping'!V20&lt;=120), ('(橫掃)RX Mapping'!V20-1),IF(AND('(橫掃)RX Mapping'!V20&gt;=121,'(橫掃)RX Mapping'!V20&lt;=240), (-1)*('(橫掃)RX Mapping'!V20-240),IF(AND('(橫掃)RX Mapping'!V20&gt;=241,'(橫掃)RX Mapping'!V20&lt;=360), ('(橫掃)RX Mapping'!V20-241),IF(AND('(橫掃)RX Mapping'!V20&gt;=361,'(橫掃)RX Mapping'!V20&lt;=480), (-1)*('(橫掃)RX Mapping'!V20-480),IF(AND('(橫掃)RX Mapping'!V20&gt;=481,'(橫掃)RX Mapping'!V20&lt;=600), ('(橫掃)RX Mapping'!V20-361),IF(AND('(橫掃)RX Mapping'!V20&gt;=601,'(橫掃)RX Mapping'!V20&lt;=720), (-1)*('(橫掃)RX Mapping'!V20-720)+120,IF(AND('(橫掃)RX Mapping'!V20&gt;=721,'(橫掃)RX Mapping'!V20&lt;=840), ('(橫掃)RX Mapping'!V20-601),IF(AND('(橫掃)RX Mapping'!V20&gt;=841,'(橫掃)RX Mapping'!V20&lt;=960), (-1)*('(橫掃)RX Mapping'!V20-960)+120,9999))))))))</f>
        <v>149</v>
      </c>
      <c r="W20">
        <f>IF(AND('(橫掃)RX Mapping'!W20&gt;=1,'(橫掃)RX Mapping'!W20&lt;=120), ('(橫掃)RX Mapping'!W20-1),IF(AND('(橫掃)RX Mapping'!W20&gt;=121,'(橫掃)RX Mapping'!W20&lt;=240), (-1)*('(橫掃)RX Mapping'!W20-240),IF(AND('(橫掃)RX Mapping'!W20&gt;=241,'(橫掃)RX Mapping'!W20&lt;=360), ('(橫掃)RX Mapping'!W20-241),IF(AND('(橫掃)RX Mapping'!W20&gt;=361,'(橫掃)RX Mapping'!W20&lt;=480), (-1)*('(橫掃)RX Mapping'!W20-480),IF(AND('(橫掃)RX Mapping'!W20&gt;=481,'(橫掃)RX Mapping'!W20&lt;=600), ('(橫掃)RX Mapping'!W20-361),IF(AND('(橫掃)RX Mapping'!W20&gt;=601,'(橫掃)RX Mapping'!W20&lt;=720), (-1)*('(橫掃)RX Mapping'!W20-720)+120,IF(AND('(橫掃)RX Mapping'!W20&gt;=721,'(橫掃)RX Mapping'!W20&lt;=840), ('(橫掃)RX Mapping'!W20-601),IF(AND('(橫掃)RX Mapping'!W20&gt;=841,'(橫掃)RX Mapping'!W20&lt;=960), (-1)*('(橫掃)RX Mapping'!W20-960)+120,9999))))))))</f>
        <v>138</v>
      </c>
      <c r="X20">
        <f>IF(AND('(橫掃)RX Mapping'!X20&gt;=1,'(橫掃)RX Mapping'!X20&lt;=120), ('(橫掃)RX Mapping'!X20-1),IF(AND('(橫掃)RX Mapping'!X20&gt;=121,'(橫掃)RX Mapping'!X20&lt;=240), (-1)*('(橫掃)RX Mapping'!X20-240),IF(AND('(橫掃)RX Mapping'!X20&gt;=241,'(橫掃)RX Mapping'!X20&lt;=360), ('(橫掃)RX Mapping'!X20-241),IF(AND('(橫掃)RX Mapping'!X20&gt;=361,'(橫掃)RX Mapping'!X20&lt;=480), (-1)*('(橫掃)RX Mapping'!X20-480),IF(AND('(橫掃)RX Mapping'!X20&gt;=481,'(橫掃)RX Mapping'!X20&lt;=600), ('(橫掃)RX Mapping'!X20-361),IF(AND('(橫掃)RX Mapping'!X20&gt;=601,'(橫掃)RX Mapping'!X20&lt;=720), (-1)*('(橫掃)RX Mapping'!X20-720)+120,IF(AND('(橫掃)RX Mapping'!X20&gt;=721,'(橫掃)RX Mapping'!X20&lt;=840), ('(橫掃)RX Mapping'!X20-601),IF(AND('(橫掃)RX Mapping'!X20&gt;=841,'(橫掃)RX Mapping'!X20&lt;=960), (-1)*('(橫掃)RX Mapping'!X20-960)+120,9999))))))))</f>
        <v>170</v>
      </c>
      <c r="Y20">
        <f>IF(AND('(橫掃)RX Mapping'!Y20&gt;=1,'(橫掃)RX Mapping'!Y20&lt;=120), ('(橫掃)RX Mapping'!Y20-1),IF(AND('(橫掃)RX Mapping'!Y20&gt;=121,'(橫掃)RX Mapping'!Y20&lt;=240), (-1)*('(橫掃)RX Mapping'!Y20-240),IF(AND('(橫掃)RX Mapping'!Y20&gt;=241,'(橫掃)RX Mapping'!Y20&lt;=360), ('(橫掃)RX Mapping'!Y20-241),IF(AND('(橫掃)RX Mapping'!Y20&gt;=361,'(橫掃)RX Mapping'!Y20&lt;=480), (-1)*('(橫掃)RX Mapping'!Y20-480),IF(AND('(橫掃)RX Mapping'!Y20&gt;=481,'(橫掃)RX Mapping'!Y20&lt;=600), ('(橫掃)RX Mapping'!Y20-361),IF(AND('(橫掃)RX Mapping'!Y20&gt;=601,'(橫掃)RX Mapping'!Y20&lt;=720), (-1)*('(橫掃)RX Mapping'!Y20-720)+120,IF(AND('(橫掃)RX Mapping'!Y20&gt;=721,'(橫掃)RX Mapping'!Y20&lt;=840), ('(橫掃)RX Mapping'!Y20-601),IF(AND('(橫掃)RX Mapping'!Y20&gt;=841,'(橫掃)RX Mapping'!Y20&lt;=960), (-1)*('(橫掃)RX Mapping'!Y20-960)+120,9999))))))))</f>
        <v>202</v>
      </c>
      <c r="Z20">
        <f>IF(AND('(橫掃)RX Mapping'!Z20&gt;=1,'(橫掃)RX Mapping'!Z20&lt;=120), ('(橫掃)RX Mapping'!Z20-1),IF(AND('(橫掃)RX Mapping'!Z20&gt;=121,'(橫掃)RX Mapping'!Z20&lt;=240), (-1)*('(橫掃)RX Mapping'!Z20-240),IF(AND('(橫掃)RX Mapping'!Z20&gt;=241,'(橫掃)RX Mapping'!Z20&lt;=360), ('(橫掃)RX Mapping'!Z20-241),IF(AND('(橫掃)RX Mapping'!Z20&gt;=361,'(橫掃)RX Mapping'!Z20&lt;=480), (-1)*('(橫掃)RX Mapping'!Z20-480),IF(AND('(橫掃)RX Mapping'!Z20&gt;=481,'(橫掃)RX Mapping'!Z20&lt;=600), ('(橫掃)RX Mapping'!Z20-361),IF(AND('(橫掃)RX Mapping'!Z20&gt;=601,'(橫掃)RX Mapping'!Z20&lt;=720), (-1)*('(橫掃)RX Mapping'!Z20-720)+120,IF(AND('(橫掃)RX Mapping'!Z20&gt;=721,'(橫掃)RX Mapping'!Z20&lt;=840), ('(橫掃)RX Mapping'!Z20-601),IF(AND('(橫掃)RX Mapping'!Z20&gt;=841,'(橫掃)RX Mapping'!Z20&lt;=960), (-1)*('(橫掃)RX Mapping'!Z20-960)+120,9999))))))))</f>
        <v>234</v>
      </c>
      <c r="AA20">
        <f>IF(AND('(橫掃)RX Mapping'!AA20&gt;=1,'(橫掃)RX Mapping'!AA20&lt;=120), ('(橫掃)RX Mapping'!AA20-1),IF(AND('(橫掃)RX Mapping'!AA20&gt;=121,'(橫掃)RX Mapping'!AA20&lt;=240), (-1)*('(橫掃)RX Mapping'!AA20-240),IF(AND('(橫掃)RX Mapping'!AA20&gt;=241,'(橫掃)RX Mapping'!AA20&lt;=360), ('(橫掃)RX Mapping'!AA20-241),IF(AND('(橫掃)RX Mapping'!AA20&gt;=361,'(橫掃)RX Mapping'!AA20&lt;=480), (-1)*('(橫掃)RX Mapping'!AA20-480),IF(AND('(橫掃)RX Mapping'!AA20&gt;=481,'(橫掃)RX Mapping'!AA20&lt;=600), ('(橫掃)RX Mapping'!AA20-361),IF(AND('(橫掃)RX Mapping'!AA20&gt;=601,'(橫掃)RX Mapping'!AA20&lt;=720), (-1)*('(橫掃)RX Mapping'!AA20-720)+120,IF(AND('(橫掃)RX Mapping'!AA20&gt;=721,'(橫掃)RX Mapping'!AA20&lt;=840), ('(橫掃)RX Mapping'!AA20-601),IF(AND('(橫掃)RX Mapping'!AA20&gt;=841,'(橫掃)RX Mapping'!AA20&lt;=960), (-1)*('(橫掃)RX Mapping'!AA20-960)+120,9999))))))))</f>
        <v>213</v>
      </c>
      <c r="AB20">
        <f>IF(AND('(橫掃)RX Mapping'!AB20&gt;=1,'(橫掃)RX Mapping'!AB20&lt;=120), ('(橫掃)RX Mapping'!AB20-1),IF(AND('(橫掃)RX Mapping'!AB20&gt;=121,'(橫掃)RX Mapping'!AB20&lt;=240), (-1)*('(橫掃)RX Mapping'!AB20-240),IF(AND('(橫掃)RX Mapping'!AB20&gt;=241,'(橫掃)RX Mapping'!AB20&lt;=360), ('(橫掃)RX Mapping'!AB20-241),IF(AND('(橫掃)RX Mapping'!AB20&gt;=361,'(橫掃)RX Mapping'!AB20&lt;=480), (-1)*('(橫掃)RX Mapping'!AB20-480),IF(AND('(橫掃)RX Mapping'!AB20&gt;=481,'(橫掃)RX Mapping'!AB20&lt;=600), ('(橫掃)RX Mapping'!AB20-361),IF(AND('(橫掃)RX Mapping'!AB20&gt;=601,'(橫掃)RX Mapping'!AB20&lt;=720), (-1)*('(橫掃)RX Mapping'!AB20-720)+120,IF(AND('(橫掃)RX Mapping'!AB20&gt;=721,'(橫掃)RX Mapping'!AB20&lt;=840), ('(橫掃)RX Mapping'!AB20-601),IF(AND('(橫掃)RX Mapping'!AB20&gt;=841,'(橫掃)RX Mapping'!AB20&lt;=960), (-1)*('(橫掃)RX Mapping'!AB20-960)+120,9999))))))))</f>
        <v>181</v>
      </c>
      <c r="AC20">
        <f>IF(AND('(橫掃)RX Mapping'!AC20&gt;=1,'(橫掃)RX Mapping'!AC20&lt;=120), ('(橫掃)RX Mapping'!AC20-1),IF(AND('(橫掃)RX Mapping'!AC20&gt;=121,'(橫掃)RX Mapping'!AC20&lt;=240), (-1)*('(橫掃)RX Mapping'!AC20-240),IF(AND('(橫掃)RX Mapping'!AC20&gt;=241,'(橫掃)RX Mapping'!AC20&lt;=360), ('(橫掃)RX Mapping'!AC20-241),IF(AND('(橫掃)RX Mapping'!AC20&gt;=361,'(橫掃)RX Mapping'!AC20&lt;=480), (-1)*('(橫掃)RX Mapping'!AC20-480),IF(AND('(橫掃)RX Mapping'!AC20&gt;=481,'(橫掃)RX Mapping'!AC20&lt;=600), ('(橫掃)RX Mapping'!AC20-361),IF(AND('(橫掃)RX Mapping'!AC20&gt;=601,'(橫掃)RX Mapping'!AC20&lt;=720), (-1)*('(橫掃)RX Mapping'!AC20-720)+120,IF(AND('(橫掃)RX Mapping'!AC20&gt;=721,'(橫掃)RX Mapping'!AC20&lt;=840), ('(橫掃)RX Mapping'!AC20-601),IF(AND('(橫掃)RX Mapping'!AC20&gt;=841,'(橫掃)RX Mapping'!AC20&lt;=960), (-1)*('(橫掃)RX Mapping'!AC20-960)+120,9999))))))))</f>
        <v>149</v>
      </c>
      <c r="AD20">
        <f>IF(AND('(橫掃)RX Mapping'!AD20&gt;=1,'(橫掃)RX Mapping'!AD20&lt;=120), ('(橫掃)RX Mapping'!AD20-1),IF(AND('(橫掃)RX Mapping'!AD20&gt;=121,'(橫掃)RX Mapping'!AD20&lt;=240), (-1)*('(橫掃)RX Mapping'!AD20-240),IF(AND('(橫掃)RX Mapping'!AD20&gt;=241,'(橫掃)RX Mapping'!AD20&lt;=360), ('(橫掃)RX Mapping'!AD20-241),IF(AND('(橫掃)RX Mapping'!AD20&gt;=361,'(橫掃)RX Mapping'!AD20&lt;=480), (-1)*('(橫掃)RX Mapping'!AD20-480),IF(AND('(橫掃)RX Mapping'!AD20&gt;=481,'(橫掃)RX Mapping'!AD20&lt;=600), ('(橫掃)RX Mapping'!AD20-361),IF(AND('(橫掃)RX Mapping'!AD20&gt;=601,'(橫掃)RX Mapping'!AD20&lt;=720), (-1)*('(橫掃)RX Mapping'!AD20-720)+120,IF(AND('(橫掃)RX Mapping'!AD20&gt;=721,'(橫掃)RX Mapping'!AD20&lt;=840), ('(橫掃)RX Mapping'!AD20-601),IF(AND('(橫掃)RX Mapping'!AD20&gt;=841,'(橫掃)RX Mapping'!AD20&lt;=960), (-1)*('(橫掃)RX Mapping'!AD20-960)+120,9999))))))))</f>
        <v>9999</v>
      </c>
      <c r="AE20">
        <f>IF(AND('(橫掃)RX Mapping'!AE20&gt;=1,'(橫掃)RX Mapping'!AE20&lt;=120), ('(橫掃)RX Mapping'!AE20-1),IF(AND('(橫掃)RX Mapping'!AE20&gt;=121,'(橫掃)RX Mapping'!AE20&lt;=240), (-1)*('(橫掃)RX Mapping'!AE20-240),IF(AND('(橫掃)RX Mapping'!AE20&gt;=241,'(橫掃)RX Mapping'!AE20&lt;=360), ('(橫掃)RX Mapping'!AE20-241),IF(AND('(橫掃)RX Mapping'!AE20&gt;=361,'(橫掃)RX Mapping'!AE20&lt;=480), (-1)*('(橫掃)RX Mapping'!AE20-480),IF(AND('(橫掃)RX Mapping'!AE20&gt;=481,'(橫掃)RX Mapping'!AE20&lt;=600), ('(橫掃)RX Mapping'!AE20-361),IF(AND('(橫掃)RX Mapping'!AE20&gt;=601,'(橫掃)RX Mapping'!AE20&lt;=720), (-1)*('(橫掃)RX Mapping'!AE20-720)+120,IF(AND('(橫掃)RX Mapping'!AE20&gt;=721,'(橫掃)RX Mapping'!AE20&lt;=840), ('(橫掃)RX Mapping'!AE20-601),IF(AND('(橫掃)RX Mapping'!AE20&gt;=841,'(橫掃)RX Mapping'!AE20&lt;=960), (-1)*('(橫掃)RX Mapping'!AE20-960)+120,9999))))))))</f>
        <v>9999</v>
      </c>
      <c r="AF20">
        <f>IF(AND('(橫掃)RX Mapping'!AF20&gt;=1,'(橫掃)RX Mapping'!AF20&lt;=120), ('(橫掃)RX Mapping'!AF20-1),IF(AND('(橫掃)RX Mapping'!AF20&gt;=121,'(橫掃)RX Mapping'!AF20&lt;=240), (-1)*('(橫掃)RX Mapping'!AF20-240),IF(AND('(橫掃)RX Mapping'!AF20&gt;=241,'(橫掃)RX Mapping'!AF20&lt;=360), ('(橫掃)RX Mapping'!AF20-241),IF(AND('(橫掃)RX Mapping'!AF20&gt;=361,'(橫掃)RX Mapping'!AF20&lt;=480), (-1)*('(橫掃)RX Mapping'!AF20-480),IF(AND('(橫掃)RX Mapping'!AF20&gt;=481,'(橫掃)RX Mapping'!AF20&lt;=600), ('(橫掃)RX Mapping'!AF20-361),IF(AND('(橫掃)RX Mapping'!AF20&gt;=601,'(橫掃)RX Mapping'!AF20&lt;=720), (-1)*('(橫掃)RX Mapping'!AF20-720)+120,IF(AND('(橫掃)RX Mapping'!AF20&gt;=721,'(橫掃)RX Mapping'!AF20&lt;=840), ('(橫掃)RX Mapping'!AF20-601),IF(AND('(橫掃)RX Mapping'!AF20&gt;=841,'(橫掃)RX Mapping'!AF20&lt;=960), (-1)*('(橫掃)RX Mapping'!AF20-960)+120,9999))))))))</f>
        <v>9999</v>
      </c>
      <c r="AG20">
        <f>IF(AND('(橫掃)RX Mapping'!AG20&gt;=1,'(橫掃)RX Mapping'!AG20&lt;=120), ('(橫掃)RX Mapping'!AG20-1),IF(AND('(橫掃)RX Mapping'!AG20&gt;=121,'(橫掃)RX Mapping'!AG20&lt;=240), (-1)*('(橫掃)RX Mapping'!AG20-240),IF(AND('(橫掃)RX Mapping'!AG20&gt;=241,'(橫掃)RX Mapping'!AG20&lt;=360), ('(橫掃)RX Mapping'!AG20-241),IF(AND('(橫掃)RX Mapping'!AG20&gt;=361,'(橫掃)RX Mapping'!AG20&lt;=480), (-1)*('(橫掃)RX Mapping'!AG20-480),IF(AND('(橫掃)RX Mapping'!AG20&gt;=481,'(橫掃)RX Mapping'!AG20&lt;=600), ('(橫掃)RX Mapping'!AG20-361),IF(AND('(橫掃)RX Mapping'!AG20&gt;=601,'(橫掃)RX Mapping'!AG20&lt;=720), (-1)*('(橫掃)RX Mapping'!AG20-720)+120,IF(AND('(橫掃)RX Mapping'!AG20&gt;=721,'(橫掃)RX Mapping'!AG20&lt;=840), ('(橫掃)RX Mapping'!AG20-601),IF(AND('(橫掃)RX Mapping'!AG20&gt;=841,'(橫掃)RX Mapping'!AG20&lt;=960), (-1)*('(橫掃)RX Mapping'!AG20-960)+120,9999))))))))</f>
        <v>9999</v>
      </c>
      <c r="AH20">
        <f>IF(AND('(橫掃)RX Mapping'!AH20&gt;=1,'(橫掃)RX Mapping'!AH20&lt;=120), ('(橫掃)RX Mapping'!AH20-1),IF(AND('(橫掃)RX Mapping'!AH20&gt;=121,'(橫掃)RX Mapping'!AH20&lt;=240), (-1)*('(橫掃)RX Mapping'!AH20-240),IF(AND('(橫掃)RX Mapping'!AH20&gt;=241,'(橫掃)RX Mapping'!AH20&lt;=360), ('(橫掃)RX Mapping'!AH20-241),IF(AND('(橫掃)RX Mapping'!AH20&gt;=361,'(橫掃)RX Mapping'!AH20&lt;=480), (-1)*('(橫掃)RX Mapping'!AH20-480),IF(AND('(橫掃)RX Mapping'!AH20&gt;=481,'(橫掃)RX Mapping'!AH20&lt;=600), ('(橫掃)RX Mapping'!AH20-361),IF(AND('(橫掃)RX Mapping'!AH20&gt;=601,'(橫掃)RX Mapping'!AH20&lt;=720), (-1)*('(橫掃)RX Mapping'!AH20-720)+120,IF(AND('(橫掃)RX Mapping'!AH20&gt;=721,'(橫掃)RX Mapping'!AH20&lt;=840), ('(橫掃)RX Mapping'!AH20-601),IF(AND('(橫掃)RX Mapping'!AH20&gt;=841,'(橫掃)RX Mapping'!AH20&lt;=960), (-1)*('(橫掃)RX Mapping'!AH20-960)+120,9999))))))))</f>
        <v>9999</v>
      </c>
      <c r="AI20">
        <f>IF(AND('(橫掃)RX Mapping'!AI20&gt;=1,'(橫掃)RX Mapping'!AI20&lt;=120), ('(橫掃)RX Mapping'!AI20-1),IF(AND('(橫掃)RX Mapping'!AI20&gt;=121,'(橫掃)RX Mapping'!AI20&lt;=240), (-1)*('(橫掃)RX Mapping'!AI20-240),IF(AND('(橫掃)RX Mapping'!AI20&gt;=241,'(橫掃)RX Mapping'!AI20&lt;=360), ('(橫掃)RX Mapping'!AI20-241),IF(AND('(橫掃)RX Mapping'!AI20&gt;=361,'(橫掃)RX Mapping'!AI20&lt;=480), (-1)*('(橫掃)RX Mapping'!AI20-480),IF(AND('(橫掃)RX Mapping'!AI20&gt;=481,'(橫掃)RX Mapping'!AI20&lt;=600), ('(橫掃)RX Mapping'!AI20-361),IF(AND('(橫掃)RX Mapping'!AI20&gt;=601,'(橫掃)RX Mapping'!AI20&lt;=720), (-1)*('(橫掃)RX Mapping'!AI20-720)+120,IF(AND('(橫掃)RX Mapping'!AI20&gt;=721,'(橫掃)RX Mapping'!AI20&lt;=840), ('(橫掃)RX Mapping'!AI20-601),IF(AND('(橫掃)RX Mapping'!AI20&gt;=841,'(橫掃)RX Mapping'!AI20&lt;=960), (-1)*('(橫掃)RX Mapping'!AI20-960)+120,9999))))))))</f>
        <v>9999</v>
      </c>
      <c r="AJ20">
        <f>IF(AND('(橫掃)RX Mapping'!AJ20&gt;=1,'(橫掃)RX Mapping'!AJ20&lt;=120), ('(橫掃)RX Mapping'!AJ20-1),IF(AND('(橫掃)RX Mapping'!AJ20&gt;=121,'(橫掃)RX Mapping'!AJ20&lt;=240), (-1)*('(橫掃)RX Mapping'!AJ20-240),IF(AND('(橫掃)RX Mapping'!AJ20&gt;=241,'(橫掃)RX Mapping'!AJ20&lt;=360), ('(橫掃)RX Mapping'!AJ20-241),IF(AND('(橫掃)RX Mapping'!AJ20&gt;=361,'(橫掃)RX Mapping'!AJ20&lt;=480), (-1)*('(橫掃)RX Mapping'!AJ20-480),IF(AND('(橫掃)RX Mapping'!AJ20&gt;=481,'(橫掃)RX Mapping'!AJ20&lt;=600), ('(橫掃)RX Mapping'!AJ20-361),IF(AND('(橫掃)RX Mapping'!AJ20&gt;=601,'(橫掃)RX Mapping'!AJ20&lt;=720), (-1)*('(橫掃)RX Mapping'!AJ20-720)+120,IF(AND('(橫掃)RX Mapping'!AJ20&gt;=721,'(橫掃)RX Mapping'!AJ20&lt;=840), ('(橫掃)RX Mapping'!AJ20-601),IF(AND('(橫掃)RX Mapping'!AJ20&gt;=841,'(橫掃)RX Mapping'!AJ20&lt;=960), (-1)*('(橫掃)RX Mapping'!AJ20-960)+120,9999))))))))</f>
        <v>9999</v>
      </c>
      <c r="AK20">
        <f>IF(AND('(橫掃)RX Mapping'!AK20&gt;=1,'(橫掃)RX Mapping'!AK20&lt;=120), ('(橫掃)RX Mapping'!AK20-1),IF(AND('(橫掃)RX Mapping'!AK20&gt;=121,'(橫掃)RX Mapping'!AK20&lt;=240), (-1)*('(橫掃)RX Mapping'!AK20-240),IF(AND('(橫掃)RX Mapping'!AK20&gt;=241,'(橫掃)RX Mapping'!AK20&lt;=360), ('(橫掃)RX Mapping'!AK20-241),IF(AND('(橫掃)RX Mapping'!AK20&gt;=361,'(橫掃)RX Mapping'!AK20&lt;=480), (-1)*('(橫掃)RX Mapping'!AK20-480),IF(AND('(橫掃)RX Mapping'!AK20&gt;=481,'(橫掃)RX Mapping'!AK20&lt;=600), ('(橫掃)RX Mapping'!AK20-361),IF(AND('(橫掃)RX Mapping'!AK20&gt;=601,'(橫掃)RX Mapping'!AK20&lt;=720), (-1)*('(橫掃)RX Mapping'!AK20-720)+120,IF(AND('(橫掃)RX Mapping'!AK20&gt;=721,'(橫掃)RX Mapping'!AK20&lt;=840), ('(橫掃)RX Mapping'!AK20-601),IF(AND('(橫掃)RX Mapping'!AK20&gt;=841,'(橫掃)RX Mapping'!AK20&lt;=960), (-1)*('(橫掃)RX Mapping'!AK20-960)+120,9999))))))))</f>
        <v>9999</v>
      </c>
      <c r="AL20">
        <f>IF(AND('(橫掃)RX Mapping'!AL20&gt;=1,'(橫掃)RX Mapping'!AL20&lt;=120), ('(橫掃)RX Mapping'!AL20-1),IF(AND('(橫掃)RX Mapping'!AL20&gt;=121,'(橫掃)RX Mapping'!AL20&lt;=240), (-1)*('(橫掃)RX Mapping'!AL20-240),IF(AND('(橫掃)RX Mapping'!AL20&gt;=241,'(橫掃)RX Mapping'!AL20&lt;=360), ('(橫掃)RX Mapping'!AL20-241),IF(AND('(橫掃)RX Mapping'!AL20&gt;=361,'(橫掃)RX Mapping'!AL20&lt;=480), (-1)*('(橫掃)RX Mapping'!AL20-480),IF(AND('(橫掃)RX Mapping'!AL20&gt;=481,'(橫掃)RX Mapping'!AL20&lt;=600), ('(橫掃)RX Mapping'!AL20-361),IF(AND('(橫掃)RX Mapping'!AL20&gt;=601,'(橫掃)RX Mapping'!AL20&lt;=720), (-1)*('(橫掃)RX Mapping'!AL20-720)+120,IF(AND('(橫掃)RX Mapping'!AL20&gt;=721,'(橫掃)RX Mapping'!AL20&lt;=840), ('(橫掃)RX Mapping'!AL20-601),IF(AND('(橫掃)RX Mapping'!AL20&gt;=841,'(橫掃)RX Mapping'!AL20&lt;=960), (-1)*('(橫掃)RX Mapping'!AL20-960)+120,9999))))))))</f>
        <v>9999</v>
      </c>
      <c r="AM20">
        <f>IF(AND('(橫掃)RX Mapping'!AM20&gt;=1,'(橫掃)RX Mapping'!AM20&lt;=120), ('(橫掃)RX Mapping'!AM20-1),IF(AND('(橫掃)RX Mapping'!AM20&gt;=121,'(橫掃)RX Mapping'!AM20&lt;=240), (-1)*('(橫掃)RX Mapping'!AM20-240),IF(AND('(橫掃)RX Mapping'!AM20&gt;=241,'(橫掃)RX Mapping'!AM20&lt;=360), ('(橫掃)RX Mapping'!AM20-241),IF(AND('(橫掃)RX Mapping'!AM20&gt;=361,'(橫掃)RX Mapping'!AM20&lt;=480), (-1)*('(橫掃)RX Mapping'!AM20-480),IF(AND('(橫掃)RX Mapping'!AM20&gt;=481,'(橫掃)RX Mapping'!AM20&lt;=600), ('(橫掃)RX Mapping'!AM20-361),IF(AND('(橫掃)RX Mapping'!AM20&gt;=601,'(橫掃)RX Mapping'!AM20&lt;=720), (-1)*('(橫掃)RX Mapping'!AM20-720)+120,IF(AND('(橫掃)RX Mapping'!AM20&gt;=721,'(橫掃)RX Mapping'!AM20&lt;=840), ('(橫掃)RX Mapping'!AM20-601),IF(AND('(橫掃)RX Mapping'!AM20&gt;=841,'(橫掃)RX Mapping'!AM20&lt;=960), (-1)*('(橫掃)RX Mapping'!AM20-960)+120,9999))))))))</f>
        <v>9999</v>
      </c>
      <c r="AN20">
        <f>IF(AND('(橫掃)RX Mapping'!AN20&gt;=1,'(橫掃)RX Mapping'!AN20&lt;=120), ('(橫掃)RX Mapping'!AN20-1),IF(AND('(橫掃)RX Mapping'!AN20&gt;=121,'(橫掃)RX Mapping'!AN20&lt;=240), (-1)*('(橫掃)RX Mapping'!AN20-240),IF(AND('(橫掃)RX Mapping'!AN20&gt;=241,'(橫掃)RX Mapping'!AN20&lt;=360), ('(橫掃)RX Mapping'!AN20-241),IF(AND('(橫掃)RX Mapping'!AN20&gt;=361,'(橫掃)RX Mapping'!AN20&lt;=480), (-1)*('(橫掃)RX Mapping'!AN20-480),IF(AND('(橫掃)RX Mapping'!AN20&gt;=481,'(橫掃)RX Mapping'!AN20&lt;=600), ('(橫掃)RX Mapping'!AN20-361),IF(AND('(橫掃)RX Mapping'!AN20&gt;=601,'(橫掃)RX Mapping'!AN20&lt;=720), (-1)*('(橫掃)RX Mapping'!AN20-720)+120,IF(AND('(橫掃)RX Mapping'!AN20&gt;=721,'(橫掃)RX Mapping'!AN20&lt;=840), ('(橫掃)RX Mapping'!AN20-601),IF(AND('(橫掃)RX Mapping'!AN20&gt;=841,'(橫掃)RX Mapping'!AN20&lt;=960), (-1)*('(橫掃)RX Mapping'!AN20-960)+120,9999))))))))</f>
        <v>9999</v>
      </c>
      <c r="AO20">
        <f>IF(AND('(橫掃)RX Mapping'!AO20&gt;=1,'(橫掃)RX Mapping'!AO20&lt;=120), ('(橫掃)RX Mapping'!AO20-1),IF(AND('(橫掃)RX Mapping'!AO20&gt;=121,'(橫掃)RX Mapping'!AO20&lt;=240), (-1)*('(橫掃)RX Mapping'!AO20-240),IF(AND('(橫掃)RX Mapping'!AO20&gt;=241,'(橫掃)RX Mapping'!AO20&lt;=360), ('(橫掃)RX Mapping'!AO20-241),IF(AND('(橫掃)RX Mapping'!AO20&gt;=361,'(橫掃)RX Mapping'!AO20&lt;=480), (-1)*('(橫掃)RX Mapping'!AO20-480),IF(AND('(橫掃)RX Mapping'!AO20&gt;=481,'(橫掃)RX Mapping'!AO20&lt;=600), ('(橫掃)RX Mapping'!AO20-361),IF(AND('(橫掃)RX Mapping'!AO20&gt;=601,'(橫掃)RX Mapping'!AO20&lt;=720), (-1)*('(橫掃)RX Mapping'!AO20-720)+120,IF(AND('(橫掃)RX Mapping'!AO20&gt;=721,'(橫掃)RX Mapping'!AO20&lt;=840), ('(橫掃)RX Mapping'!AO20-601),IF(AND('(橫掃)RX Mapping'!AO20&gt;=841,'(橫掃)RX Mapping'!AO20&lt;=960), (-1)*('(橫掃)RX Mapping'!AO20-960)+120,9999))))))))</f>
        <v>9999</v>
      </c>
      <c r="AP20">
        <f>IF(AND('(橫掃)RX Mapping'!AP20&gt;=1,'(橫掃)RX Mapping'!AP20&lt;=120), ('(橫掃)RX Mapping'!AP20-1),IF(AND('(橫掃)RX Mapping'!AP20&gt;=121,'(橫掃)RX Mapping'!AP20&lt;=240), (-1)*('(橫掃)RX Mapping'!AP20-240),IF(AND('(橫掃)RX Mapping'!AP20&gt;=241,'(橫掃)RX Mapping'!AP20&lt;=360), ('(橫掃)RX Mapping'!AP20-241),IF(AND('(橫掃)RX Mapping'!AP20&gt;=361,'(橫掃)RX Mapping'!AP20&lt;=480), (-1)*('(橫掃)RX Mapping'!AP20-480),IF(AND('(橫掃)RX Mapping'!AP20&gt;=481,'(橫掃)RX Mapping'!AP20&lt;=600), ('(橫掃)RX Mapping'!AP20-361),IF(AND('(橫掃)RX Mapping'!AP20&gt;=601,'(橫掃)RX Mapping'!AP20&lt;=720), (-1)*('(橫掃)RX Mapping'!AP20-720)+120,IF(AND('(橫掃)RX Mapping'!AP20&gt;=721,'(橫掃)RX Mapping'!AP20&lt;=840), ('(橫掃)RX Mapping'!AP20-601),IF(AND('(橫掃)RX Mapping'!AP20&gt;=841,'(橫掃)RX Mapping'!AP20&lt;=960), (-1)*('(橫掃)RX Mapping'!AP20-960)+120,9999))))))))</f>
        <v>9999</v>
      </c>
      <c r="AQ20">
        <f>IF(AND('(橫掃)RX Mapping'!AQ20&gt;=1,'(橫掃)RX Mapping'!AQ20&lt;=120), ('(橫掃)RX Mapping'!AQ20-1),IF(AND('(橫掃)RX Mapping'!AQ20&gt;=121,'(橫掃)RX Mapping'!AQ20&lt;=240), (-1)*('(橫掃)RX Mapping'!AQ20-240),IF(AND('(橫掃)RX Mapping'!AQ20&gt;=241,'(橫掃)RX Mapping'!AQ20&lt;=360), ('(橫掃)RX Mapping'!AQ20-241),IF(AND('(橫掃)RX Mapping'!AQ20&gt;=361,'(橫掃)RX Mapping'!AQ20&lt;=480), (-1)*('(橫掃)RX Mapping'!AQ20-480),IF(AND('(橫掃)RX Mapping'!AQ20&gt;=481,'(橫掃)RX Mapping'!AQ20&lt;=600), ('(橫掃)RX Mapping'!AQ20-361),IF(AND('(橫掃)RX Mapping'!AQ20&gt;=601,'(橫掃)RX Mapping'!AQ20&lt;=720), (-1)*('(橫掃)RX Mapping'!AQ20-720)+120,IF(AND('(橫掃)RX Mapping'!AQ20&gt;=721,'(橫掃)RX Mapping'!AQ20&lt;=840), ('(橫掃)RX Mapping'!AQ20-601),IF(AND('(橫掃)RX Mapping'!AQ20&gt;=841,'(橫掃)RX Mapping'!AQ20&lt;=960), (-1)*('(橫掃)RX Mapping'!AQ20-960)+120,9999))))))))</f>
        <v>9999</v>
      </c>
      <c r="AR20">
        <f>IF(AND('(橫掃)RX Mapping'!AR20&gt;=1,'(橫掃)RX Mapping'!AR20&lt;=120), ('(橫掃)RX Mapping'!AR20-1),IF(AND('(橫掃)RX Mapping'!AR20&gt;=121,'(橫掃)RX Mapping'!AR20&lt;=240), (-1)*('(橫掃)RX Mapping'!AR20-240),IF(AND('(橫掃)RX Mapping'!AR20&gt;=241,'(橫掃)RX Mapping'!AR20&lt;=360), ('(橫掃)RX Mapping'!AR20-241),IF(AND('(橫掃)RX Mapping'!AR20&gt;=361,'(橫掃)RX Mapping'!AR20&lt;=480), (-1)*('(橫掃)RX Mapping'!AR20-480),IF(AND('(橫掃)RX Mapping'!AR20&gt;=481,'(橫掃)RX Mapping'!AR20&lt;=600), ('(橫掃)RX Mapping'!AR20-361),IF(AND('(橫掃)RX Mapping'!AR20&gt;=601,'(橫掃)RX Mapping'!AR20&lt;=720), (-1)*('(橫掃)RX Mapping'!AR20-720)+120,IF(AND('(橫掃)RX Mapping'!AR20&gt;=721,'(橫掃)RX Mapping'!AR20&lt;=840), ('(橫掃)RX Mapping'!AR20-601),IF(AND('(橫掃)RX Mapping'!AR20&gt;=841,'(橫掃)RX Mapping'!AR20&lt;=960), (-1)*('(橫掃)RX Mapping'!AR20-960)+120,9999))))))))</f>
        <v>9999</v>
      </c>
      <c r="AS20">
        <f>IF(AND('(橫掃)RX Mapping'!AS20&gt;=1,'(橫掃)RX Mapping'!AS20&lt;=120), ('(橫掃)RX Mapping'!AS20-1),IF(AND('(橫掃)RX Mapping'!AS20&gt;=121,'(橫掃)RX Mapping'!AS20&lt;=240), (-1)*('(橫掃)RX Mapping'!AS20-240),IF(AND('(橫掃)RX Mapping'!AS20&gt;=241,'(橫掃)RX Mapping'!AS20&lt;=360), ('(橫掃)RX Mapping'!AS20-241),IF(AND('(橫掃)RX Mapping'!AS20&gt;=361,'(橫掃)RX Mapping'!AS20&lt;=480), (-1)*('(橫掃)RX Mapping'!AS20-480),IF(AND('(橫掃)RX Mapping'!AS20&gt;=481,'(橫掃)RX Mapping'!AS20&lt;=600), ('(橫掃)RX Mapping'!AS20-361),IF(AND('(橫掃)RX Mapping'!AS20&gt;=601,'(橫掃)RX Mapping'!AS20&lt;=720), (-1)*('(橫掃)RX Mapping'!AS20-720)+120,IF(AND('(橫掃)RX Mapping'!AS20&gt;=721,'(橫掃)RX Mapping'!AS20&lt;=840), ('(橫掃)RX Mapping'!AS20-601),IF(AND('(橫掃)RX Mapping'!AS20&gt;=841,'(橫掃)RX Mapping'!AS20&lt;=960), (-1)*('(橫掃)RX Mapping'!AS20-960)+120,9999))))))))</f>
        <v>9999</v>
      </c>
      <c r="AT20">
        <f>IF(AND('(橫掃)RX Mapping'!AT20&gt;=1,'(橫掃)RX Mapping'!AT20&lt;=120), ('(橫掃)RX Mapping'!AT20-1),IF(AND('(橫掃)RX Mapping'!AT20&gt;=121,'(橫掃)RX Mapping'!AT20&lt;=240), (-1)*('(橫掃)RX Mapping'!AT20-240),IF(AND('(橫掃)RX Mapping'!AT20&gt;=241,'(橫掃)RX Mapping'!AT20&lt;=360), ('(橫掃)RX Mapping'!AT20-241),IF(AND('(橫掃)RX Mapping'!AT20&gt;=361,'(橫掃)RX Mapping'!AT20&lt;=480), (-1)*('(橫掃)RX Mapping'!AT20-480),IF(AND('(橫掃)RX Mapping'!AT20&gt;=481,'(橫掃)RX Mapping'!AT20&lt;=600), ('(橫掃)RX Mapping'!AT20-361),IF(AND('(橫掃)RX Mapping'!AT20&gt;=601,'(橫掃)RX Mapping'!AT20&lt;=720), (-1)*('(橫掃)RX Mapping'!AT20-720)+120,IF(AND('(橫掃)RX Mapping'!AT20&gt;=721,'(橫掃)RX Mapping'!AT20&lt;=840), ('(橫掃)RX Mapping'!AT20-601),IF(AND('(橫掃)RX Mapping'!AT20&gt;=841,'(橫掃)RX Mapping'!AT20&lt;=960), (-1)*('(橫掃)RX Mapping'!AT20-960)+120,9999))))))))</f>
        <v>9999</v>
      </c>
      <c r="AU20">
        <f>IF(AND('(橫掃)RX Mapping'!AU20&gt;=1,'(橫掃)RX Mapping'!AU20&lt;=120), ('(橫掃)RX Mapping'!AU20-1),IF(AND('(橫掃)RX Mapping'!AU20&gt;=121,'(橫掃)RX Mapping'!AU20&lt;=240), (-1)*('(橫掃)RX Mapping'!AU20-240),IF(AND('(橫掃)RX Mapping'!AU20&gt;=241,'(橫掃)RX Mapping'!AU20&lt;=360), ('(橫掃)RX Mapping'!AU20-241),IF(AND('(橫掃)RX Mapping'!AU20&gt;=361,'(橫掃)RX Mapping'!AU20&lt;=480), (-1)*('(橫掃)RX Mapping'!AU20-480),IF(AND('(橫掃)RX Mapping'!AU20&gt;=481,'(橫掃)RX Mapping'!AU20&lt;=600), ('(橫掃)RX Mapping'!AU20-361),IF(AND('(橫掃)RX Mapping'!AU20&gt;=601,'(橫掃)RX Mapping'!AU20&lt;=720), (-1)*('(橫掃)RX Mapping'!AU20-720)+120,IF(AND('(橫掃)RX Mapping'!AU20&gt;=721,'(橫掃)RX Mapping'!AU20&lt;=840), ('(橫掃)RX Mapping'!AU20-601),IF(AND('(橫掃)RX Mapping'!AU20&gt;=841,'(橫掃)RX Mapping'!AU20&lt;=960), (-1)*('(橫掃)RX Mapping'!AU20-960)+120,9999))))))))</f>
        <v>9999</v>
      </c>
      <c r="AV20">
        <f>IF(AND('(橫掃)RX Mapping'!AV20&gt;=1,'(橫掃)RX Mapping'!AV20&lt;=120), ('(橫掃)RX Mapping'!AV20-1),IF(AND('(橫掃)RX Mapping'!AV20&gt;=121,'(橫掃)RX Mapping'!AV20&lt;=240), (-1)*('(橫掃)RX Mapping'!AV20-240),IF(AND('(橫掃)RX Mapping'!AV20&gt;=241,'(橫掃)RX Mapping'!AV20&lt;=360), ('(橫掃)RX Mapping'!AV20-241),IF(AND('(橫掃)RX Mapping'!AV20&gt;=361,'(橫掃)RX Mapping'!AV20&lt;=480), (-1)*('(橫掃)RX Mapping'!AV20-480),IF(AND('(橫掃)RX Mapping'!AV20&gt;=481,'(橫掃)RX Mapping'!AV20&lt;=600), ('(橫掃)RX Mapping'!AV20-361),IF(AND('(橫掃)RX Mapping'!AV20&gt;=601,'(橫掃)RX Mapping'!AV20&lt;=720), (-1)*('(橫掃)RX Mapping'!AV20-720)+120,IF(AND('(橫掃)RX Mapping'!AV20&gt;=721,'(橫掃)RX Mapping'!AV20&lt;=840), ('(橫掃)RX Mapping'!AV20-601),IF(AND('(橫掃)RX Mapping'!AV20&gt;=841,'(橫掃)RX Mapping'!AV20&lt;=960), (-1)*('(橫掃)RX Mapping'!AV20-960)+120,9999))))))))</f>
        <v>9999</v>
      </c>
      <c r="AW20">
        <f>IF(AND('(橫掃)RX Mapping'!AW20&gt;=1,'(橫掃)RX Mapping'!AW20&lt;=120), ('(橫掃)RX Mapping'!AW20-1),IF(AND('(橫掃)RX Mapping'!AW20&gt;=121,'(橫掃)RX Mapping'!AW20&lt;=240), (-1)*('(橫掃)RX Mapping'!AW20-240),IF(AND('(橫掃)RX Mapping'!AW20&gt;=241,'(橫掃)RX Mapping'!AW20&lt;=360), ('(橫掃)RX Mapping'!AW20-241),IF(AND('(橫掃)RX Mapping'!AW20&gt;=361,'(橫掃)RX Mapping'!AW20&lt;=480), (-1)*('(橫掃)RX Mapping'!AW20-480),IF(AND('(橫掃)RX Mapping'!AW20&gt;=481,'(橫掃)RX Mapping'!AW20&lt;=600), ('(橫掃)RX Mapping'!AW20-361),IF(AND('(橫掃)RX Mapping'!AW20&gt;=601,'(橫掃)RX Mapping'!AW20&lt;=720), (-1)*('(橫掃)RX Mapping'!AW20-720)+120,IF(AND('(橫掃)RX Mapping'!AW20&gt;=721,'(橫掃)RX Mapping'!AW20&lt;=840), ('(橫掃)RX Mapping'!AW20-601),IF(AND('(橫掃)RX Mapping'!AW20&gt;=841,'(橫掃)RX Mapping'!AW20&lt;=960), (-1)*('(橫掃)RX Mapping'!AW20-960)+120,9999))))))))</f>
        <v>9999</v>
      </c>
      <c r="AX20">
        <f>IF(AND('(橫掃)RX Mapping'!AX20&gt;=1,'(橫掃)RX Mapping'!AX20&lt;=120), ('(橫掃)RX Mapping'!AX20-1),IF(AND('(橫掃)RX Mapping'!AX20&gt;=121,'(橫掃)RX Mapping'!AX20&lt;=240), (-1)*('(橫掃)RX Mapping'!AX20-240),IF(AND('(橫掃)RX Mapping'!AX20&gt;=241,'(橫掃)RX Mapping'!AX20&lt;=360), ('(橫掃)RX Mapping'!AX20-241),IF(AND('(橫掃)RX Mapping'!AX20&gt;=361,'(橫掃)RX Mapping'!AX20&lt;=480), (-1)*('(橫掃)RX Mapping'!AX20-480),IF(AND('(橫掃)RX Mapping'!AX20&gt;=481,'(橫掃)RX Mapping'!AX20&lt;=600), ('(橫掃)RX Mapping'!AX20-361),IF(AND('(橫掃)RX Mapping'!AX20&gt;=601,'(橫掃)RX Mapping'!AX20&lt;=720), (-1)*('(橫掃)RX Mapping'!AX20-720)+120,IF(AND('(橫掃)RX Mapping'!AX20&gt;=721,'(橫掃)RX Mapping'!AX20&lt;=840), ('(橫掃)RX Mapping'!AX20-601),IF(AND('(橫掃)RX Mapping'!AX20&gt;=841,'(橫掃)RX Mapping'!AX20&lt;=960), (-1)*('(橫掃)RX Mapping'!AX20-960)+120,9999))))))))</f>
        <v>9999</v>
      </c>
      <c r="AY20">
        <f>IF(AND('(橫掃)RX Mapping'!AY20&gt;=1,'(橫掃)RX Mapping'!AY20&lt;=120), ('(橫掃)RX Mapping'!AY20-1),IF(AND('(橫掃)RX Mapping'!AY20&gt;=121,'(橫掃)RX Mapping'!AY20&lt;=240), (-1)*('(橫掃)RX Mapping'!AY20-240),IF(AND('(橫掃)RX Mapping'!AY20&gt;=241,'(橫掃)RX Mapping'!AY20&lt;=360), ('(橫掃)RX Mapping'!AY20-241),IF(AND('(橫掃)RX Mapping'!AY20&gt;=361,'(橫掃)RX Mapping'!AY20&lt;=480), (-1)*('(橫掃)RX Mapping'!AY20-480),IF(AND('(橫掃)RX Mapping'!AY20&gt;=481,'(橫掃)RX Mapping'!AY20&lt;=600), ('(橫掃)RX Mapping'!AY20-361),IF(AND('(橫掃)RX Mapping'!AY20&gt;=601,'(橫掃)RX Mapping'!AY20&lt;=720), (-1)*('(橫掃)RX Mapping'!AY20-720)+120,IF(AND('(橫掃)RX Mapping'!AY20&gt;=721,'(橫掃)RX Mapping'!AY20&lt;=840), ('(橫掃)RX Mapping'!AY20-601),IF(AND('(橫掃)RX Mapping'!AY20&gt;=841,'(橫掃)RX Mapping'!AY20&lt;=960), (-1)*('(橫掃)RX Mapping'!AY20-960)+120,9999))))))))</f>
        <v>9999</v>
      </c>
      <c r="AZ20">
        <f>IF(AND('(橫掃)RX Mapping'!AZ20&gt;=1,'(橫掃)RX Mapping'!AZ20&lt;=120), ('(橫掃)RX Mapping'!AZ20-1),IF(AND('(橫掃)RX Mapping'!AZ20&gt;=121,'(橫掃)RX Mapping'!AZ20&lt;=240), (-1)*('(橫掃)RX Mapping'!AZ20-240),IF(AND('(橫掃)RX Mapping'!AZ20&gt;=241,'(橫掃)RX Mapping'!AZ20&lt;=360), ('(橫掃)RX Mapping'!AZ20-241),IF(AND('(橫掃)RX Mapping'!AZ20&gt;=361,'(橫掃)RX Mapping'!AZ20&lt;=480), (-1)*('(橫掃)RX Mapping'!AZ20-480),IF(AND('(橫掃)RX Mapping'!AZ20&gt;=481,'(橫掃)RX Mapping'!AZ20&lt;=600), ('(橫掃)RX Mapping'!AZ20-361),IF(AND('(橫掃)RX Mapping'!AZ20&gt;=601,'(橫掃)RX Mapping'!AZ20&lt;=720), (-1)*('(橫掃)RX Mapping'!AZ20-720)+120,IF(AND('(橫掃)RX Mapping'!AZ20&gt;=721,'(橫掃)RX Mapping'!AZ20&lt;=840), ('(橫掃)RX Mapping'!AZ20-601),IF(AND('(橫掃)RX Mapping'!AZ20&gt;=841,'(橫掃)RX Mapping'!AZ20&lt;=960), (-1)*('(橫掃)RX Mapping'!AZ20-960)+120,9999))))))))</f>
        <v>9999</v>
      </c>
      <c r="BA20">
        <f>IF(AND('(橫掃)RX Mapping'!BA20&gt;=1,'(橫掃)RX Mapping'!BA20&lt;=120), ('(橫掃)RX Mapping'!BA20-1),IF(AND('(橫掃)RX Mapping'!BA20&gt;=121,'(橫掃)RX Mapping'!BA20&lt;=240), (-1)*('(橫掃)RX Mapping'!BA20-240),IF(AND('(橫掃)RX Mapping'!BA20&gt;=241,'(橫掃)RX Mapping'!BA20&lt;=360), ('(橫掃)RX Mapping'!BA20-241),IF(AND('(橫掃)RX Mapping'!BA20&gt;=361,'(橫掃)RX Mapping'!BA20&lt;=480), (-1)*('(橫掃)RX Mapping'!BA20-480),IF(AND('(橫掃)RX Mapping'!BA20&gt;=481,'(橫掃)RX Mapping'!BA20&lt;=600), ('(橫掃)RX Mapping'!BA20-361),IF(AND('(橫掃)RX Mapping'!BA20&gt;=601,'(橫掃)RX Mapping'!BA20&lt;=720), (-1)*('(橫掃)RX Mapping'!BA20-720)+120,IF(AND('(橫掃)RX Mapping'!BA20&gt;=721,'(橫掃)RX Mapping'!BA20&lt;=840), ('(橫掃)RX Mapping'!BA20-601),IF(AND('(橫掃)RX Mapping'!BA20&gt;=841,'(橫掃)RX Mapping'!BA20&lt;=960), (-1)*('(橫掃)RX Mapping'!BA20-960)+120,9999))))))))</f>
        <v>9999</v>
      </c>
      <c r="BB20">
        <f>IF(AND('(橫掃)RX Mapping'!BB20&gt;=1,'(橫掃)RX Mapping'!BB20&lt;=120), ('(橫掃)RX Mapping'!BB20-1),IF(AND('(橫掃)RX Mapping'!BB20&gt;=121,'(橫掃)RX Mapping'!BB20&lt;=240), (-1)*('(橫掃)RX Mapping'!BB20-240),IF(AND('(橫掃)RX Mapping'!BB20&gt;=241,'(橫掃)RX Mapping'!BB20&lt;=360), ('(橫掃)RX Mapping'!BB20-241),IF(AND('(橫掃)RX Mapping'!BB20&gt;=361,'(橫掃)RX Mapping'!BB20&lt;=480), (-1)*('(橫掃)RX Mapping'!BB20-480),IF(AND('(橫掃)RX Mapping'!BB20&gt;=481,'(橫掃)RX Mapping'!BB20&lt;=600), ('(橫掃)RX Mapping'!BB20-361),IF(AND('(橫掃)RX Mapping'!BB20&gt;=601,'(橫掃)RX Mapping'!BB20&lt;=720), (-1)*('(橫掃)RX Mapping'!BB20-720)+120,IF(AND('(橫掃)RX Mapping'!BB20&gt;=721,'(橫掃)RX Mapping'!BB20&lt;=840), ('(橫掃)RX Mapping'!BB20-601),IF(AND('(橫掃)RX Mapping'!BB20&gt;=841,'(橫掃)RX Mapping'!BB20&lt;=960), (-1)*('(橫掃)RX Mapping'!BB20-960)+120,9999))))))))</f>
        <v>9999</v>
      </c>
      <c r="BC20">
        <f>IF(AND('(橫掃)RX Mapping'!BC20&gt;=1,'(橫掃)RX Mapping'!BC20&lt;=120), ('(橫掃)RX Mapping'!BC20-1),IF(AND('(橫掃)RX Mapping'!BC20&gt;=121,'(橫掃)RX Mapping'!BC20&lt;=240), (-1)*('(橫掃)RX Mapping'!BC20-240),IF(AND('(橫掃)RX Mapping'!BC20&gt;=241,'(橫掃)RX Mapping'!BC20&lt;=360), ('(橫掃)RX Mapping'!BC20-241),IF(AND('(橫掃)RX Mapping'!BC20&gt;=361,'(橫掃)RX Mapping'!BC20&lt;=480), (-1)*('(橫掃)RX Mapping'!BC20-480),IF(AND('(橫掃)RX Mapping'!BC20&gt;=481,'(橫掃)RX Mapping'!BC20&lt;=600), ('(橫掃)RX Mapping'!BC20-361),IF(AND('(橫掃)RX Mapping'!BC20&gt;=601,'(橫掃)RX Mapping'!BC20&lt;=720), (-1)*('(橫掃)RX Mapping'!BC20-720)+120,IF(AND('(橫掃)RX Mapping'!BC20&gt;=721,'(橫掃)RX Mapping'!BC20&lt;=840), ('(橫掃)RX Mapping'!BC20-601),IF(AND('(橫掃)RX Mapping'!BC20&gt;=841,'(橫掃)RX Mapping'!BC20&lt;=960), (-1)*('(橫掃)RX Mapping'!BC20-960)+120,9999))))))))</f>
        <v>9999</v>
      </c>
      <c r="BD20">
        <f>IF(AND('(橫掃)RX Mapping'!BD20&gt;=1,'(橫掃)RX Mapping'!BD20&lt;=120), ('(橫掃)RX Mapping'!BD20-1),IF(AND('(橫掃)RX Mapping'!BD20&gt;=121,'(橫掃)RX Mapping'!BD20&lt;=240), (-1)*('(橫掃)RX Mapping'!BD20-240),IF(AND('(橫掃)RX Mapping'!BD20&gt;=241,'(橫掃)RX Mapping'!BD20&lt;=360), ('(橫掃)RX Mapping'!BD20-241),IF(AND('(橫掃)RX Mapping'!BD20&gt;=361,'(橫掃)RX Mapping'!BD20&lt;=480), (-1)*('(橫掃)RX Mapping'!BD20-480),IF(AND('(橫掃)RX Mapping'!BD20&gt;=481,'(橫掃)RX Mapping'!BD20&lt;=600), ('(橫掃)RX Mapping'!BD20-361),IF(AND('(橫掃)RX Mapping'!BD20&gt;=601,'(橫掃)RX Mapping'!BD20&lt;=720), (-1)*('(橫掃)RX Mapping'!BD20-720)+120,IF(AND('(橫掃)RX Mapping'!BD20&gt;=721,'(橫掃)RX Mapping'!BD20&lt;=840), ('(橫掃)RX Mapping'!BD20-601),IF(AND('(橫掃)RX Mapping'!BD20&gt;=841,'(橫掃)RX Mapping'!BD20&lt;=960), (-1)*('(橫掃)RX Mapping'!BD20-960)+120,9999))))))))</f>
        <v>9999</v>
      </c>
      <c r="BE20">
        <f>IF(AND('(橫掃)RX Mapping'!BE20&gt;=1,'(橫掃)RX Mapping'!BE20&lt;=120), ('(橫掃)RX Mapping'!BE20-1),IF(AND('(橫掃)RX Mapping'!BE20&gt;=121,'(橫掃)RX Mapping'!BE20&lt;=240), (-1)*('(橫掃)RX Mapping'!BE20-240),IF(AND('(橫掃)RX Mapping'!BE20&gt;=241,'(橫掃)RX Mapping'!BE20&lt;=360), ('(橫掃)RX Mapping'!BE20-241),IF(AND('(橫掃)RX Mapping'!BE20&gt;=361,'(橫掃)RX Mapping'!BE20&lt;=480), (-1)*('(橫掃)RX Mapping'!BE20-480),IF(AND('(橫掃)RX Mapping'!BE20&gt;=481,'(橫掃)RX Mapping'!BE20&lt;=600), ('(橫掃)RX Mapping'!BE20-361),IF(AND('(橫掃)RX Mapping'!BE20&gt;=601,'(橫掃)RX Mapping'!BE20&lt;=720), (-1)*('(橫掃)RX Mapping'!BE20-720)+120,IF(AND('(橫掃)RX Mapping'!BE20&gt;=721,'(橫掃)RX Mapping'!BE20&lt;=840), ('(橫掃)RX Mapping'!BE20-601),IF(AND('(橫掃)RX Mapping'!BE20&gt;=841,'(橫掃)RX Mapping'!BE20&lt;=960), (-1)*('(橫掃)RX Mapping'!BE20-960)+120,9999))))))))</f>
        <v>9999</v>
      </c>
      <c r="BF20">
        <f>IF(AND('(橫掃)RX Mapping'!BF20&gt;=1,'(橫掃)RX Mapping'!BF20&lt;=120), ('(橫掃)RX Mapping'!BF20-1),IF(AND('(橫掃)RX Mapping'!BF20&gt;=121,'(橫掃)RX Mapping'!BF20&lt;=240), (-1)*('(橫掃)RX Mapping'!BF20-240),IF(AND('(橫掃)RX Mapping'!BF20&gt;=241,'(橫掃)RX Mapping'!BF20&lt;=360), ('(橫掃)RX Mapping'!BF20-241),IF(AND('(橫掃)RX Mapping'!BF20&gt;=361,'(橫掃)RX Mapping'!BF20&lt;=480), (-1)*('(橫掃)RX Mapping'!BF20-480),IF(AND('(橫掃)RX Mapping'!BF20&gt;=481,'(橫掃)RX Mapping'!BF20&lt;=600), ('(橫掃)RX Mapping'!BF20-361),IF(AND('(橫掃)RX Mapping'!BF20&gt;=601,'(橫掃)RX Mapping'!BF20&lt;=720), (-1)*('(橫掃)RX Mapping'!BF20-720)+120,IF(AND('(橫掃)RX Mapping'!BF20&gt;=721,'(橫掃)RX Mapping'!BF20&lt;=840), ('(橫掃)RX Mapping'!BF20-601),IF(AND('(橫掃)RX Mapping'!BF20&gt;=841,'(橫掃)RX Mapping'!BF20&lt;=960), (-1)*('(橫掃)RX Mapping'!BF20-960)+120,9999))))))))</f>
        <v>9999</v>
      </c>
      <c r="BG20">
        <f>IF(AND('(橫掃)RX Mapping'!BG20&gt;=1,'(橫掃)RX Mapping'!BG20&lt;=120), ('(橫掃)RX Mapping'!BG20-1),IF(AND('(橫掃)RX Mapping'!BG20&gt;=121,'(橫掃)RX Mapping'!BG20&lt;=240), (-1)*('(橫掃)RX Mapping'!BG20-240),IF(AND('(橫掃)RX Mapping'!BG20&gt;=241,'(橫掃)RX Mapping'!BG20&lt;=360), ('(橫掃)RX Mapping'!BG20-241),IF(AND('(橫掃)RX Mapping'!BG20&gt;=361,'(橫掃)RX Mapping'!BG20&lt;=480), (-1)*('(橫掃)RX Mapping'!BG20-480),IF(AND('(橫掃)RX Mapping'!BG20&gt;=481,'(橫掃)RX Mapping'!BG20&lt;=600), ('(橫掃)RX Mapping'!BG20-361),IF(AND('(橫掃)RX Mapping'!BG20&gt;=601,'(橫掃)RX Mapping'!BG20&lt;=720), (-1)*('(橫掃)RX Mapping'!BG20-720)+120,IF(AND('(橫掃)RX Mapping'!BG20&gt;=721,'(橫掃)RX Mapping'!BG20&lt;=840), ('(橫掃)RX Mapping'!BG20-601),IF(AND('(橫掃)RX Mapping'!BG20&gt;=841,'(橫掃)RX Mapping'!BG20&lt;=960), (-1)*('(橫掃)RX Mapping'!BG20-960)+120,9999))))))))</f>
        <v>9999</v>
      </c>
      <c r="BH20">
        <f>IF(AND('(橫掃)RX Mapping'!BH20&gt;=1,'(橫掃)RX Mapping'!BH20&lt;=120), ('(橫掃)RX Mapping'!BH20-1),IF(AND('(橫掃)RX Mapping'!BH20&gt;=121,'(橫掃)RX Mapping'!BH20&lt;=240), (-1)*('(橫掃)RX Mapping'!BH20-240),IF(AND('(橫掃)RX Mapping'!BH20&gt;=241,'(橫掃)RX Mapping'!BH20&lt;=360), ('(橫掃)RX Mapping'!BH20-241),IF(AND('(橫掃)RX Mapping'!BH20&gt;=361,'(橫掃)RX Mapping'!BH20&lt;=480), (-1)*('(橫掃)RX Mapping'!BH20-480),IF(AND('(橫掃)RX Mapping'!BH20&gt;=481,'(橫掃)RX Mapping'!BH20&lt;=600), ('(橫掃)RX Mapping'!BH20-361),IF(AND('(橫掃)RX Mapping'!BH20&gt;=601,'(橫掃)RX Mapping'!BH20&lt;=720), (-1)*('(橫掃)RX Mapping'!BH20-720)+120,IF(AND('(橫掃)RX Mapping'!BH20&gt;=721,'(橫掃)RX Mapping'!BH20&lt;=840), ('(橫掃)RX Mapping'!BH20-601),IF(AND('(橫掃)RX Mapping'!BH20&gt;=841,'(橫掃)RX Mapping'!BH20&lt;=960), (-1)*('(橫掃)RX Mapping'!BH20-960)+120,9999))))))))</f>
        <v>9999</v>
      </c>
      <c r="BI20">
        <f>IF(AND('(橫掃)RX Mapping'!BI20&gt;=1,'(橫掃)RX Mapping'!BI20&lt;=120), ('(橫掃)RX Mapping'!BI20-1),IF(AND('(橫掃)RX Mapping'!BI20&gt;=121,'(橫掃)RX Mapping'!BI20&lt;=240), (-1)*('(橫掃)RX Mapping'!BI20-240),IF(AND('(橫掃)RX Mapping'!BI20&gt;=241,'(橫掃)RX Mapping'!BI20&lt;=360), ('(橫掃)RX Mapping'!BI20-241),IF(AND('(橫掃)RX Mapping'!BI20&gt;=361,'(橫掃)RX Mapping'!BI20&lt;=480), (-1)*('(橫掃)RX Mapping'!BI20-480),IF(AND('(橫掃)RX Mapping'!BI20&gt;=481,'(橫掃)RX Mapping'!BI20&lt;=600), ('(橫掃)RX Mapping'!BI20-361),IF(AND('(橫掃)RX Mapping'!BI20&gt;=601,'(橫掃)RX Mapping'!BI20&lt;=720), (-1)*('(橫掃)RX Mapping'!BI20-720)+120,IF(AND('(橫掃)RX Mapping'!BI20&gt;=721,'(橫掃)RX Mapping'!BI20&lt;=840), ('(橫掃)RX Mapping'!BI20-601),IF(AND('(橫掃)RX Mapping'!BI20&gt;=841,'(橫掃)RX Mapping'!BI20&lt;=960), (-1)*('(橫掃)RX Mapping'!BI20-960)+120,9999))))))))</f>
        <v>9999</v>
      </c>
    </row>
    <row r="21" spans="1:61" x14ac:dyDescent="0.25">
      <c r="A21" s="20">
        <v>20</v>
      </c>
      <c r="B21">
        <f>IF(AND('(橫掃)RX Mapping'!B21&gt;=1,'(橫掃)RX Mapping'!B21&lt;=120), ('(橫掃)RX Mapping'!B21-1),IF(AND('(橫掃)RX Mapping'!B21&gt;=121,'(橫掃)RX Mapping'!B21&lt;=240), (-1)*('(橫掃)RX Mapping'!B21-240),IF(AND('(橫掃)RX Mapping'!B21&gt;=241,'(橫掃)RX Mapping'!B21&lt;=360), ('(橫掃)RX Mapping'!B21-241),IF(AND('(橫掃)RX Mapping'!B21&gt;=361,'(橫掃)RX Mapping'!B21&lt;=480), (-1)*('(橫掃)RX Mapping'!B21-480),IF(AND('(橫掃)RX Mapping'!B21&gt;=481,'(橫掃)RX Mapping'!B21&lt;=600), ('(橫掃)RX Mapping'!B21-361),IF(AND('(橫掃)RX Mapping'!B21&gt;=601,'(橫掃)RX Mapping'!B21&lt;=720), (-1)*('(橫掃)RX Mapping'!B21-720)+120,IF(AND('(橫掃)RX Mapping'!B21&gt;=721,'(橫掃)RX Mapping'!B21&lt;=840), ('(橫掃)RX Mapping'!B21-601),IF(AND('(橫掃)RX Mapping'!B21&gt;=841,'(橫掃)RX Mapping'!B21&lt;=960), (-1)*('(橫掃)RX Mapping'!B21-960)+120,9999))))))))</f>
        <v>19</v>
      </c>
      <c r="C21">
        <f>IF(AND('(橫掃)RX Mapping'!C21&gt;=1,'(橫掃)RX Mapping'!C21&lt;=120), ('(橫掃)RX Mapping'!C21-1),IF(AND('(橫掃)RX Mapping'!C21&gt;=121,'(橫掃)RX Mapping'!C21&lt;=240), (-1)*('(橫掃)RX Mapping'!C21-240),IF(AND('(橫掃)RX Mapping'!C21&gt;=241,'(橫掃)RX Mapping'!C21&lt;=360), ('(橫掃)RX Mapping'!C21-241),IF(AND('(橫掃)RX Mapping'!C21&gt;=361,'(橫掃)RX Mapping'!C21&lt;=480), (-1)*('(橫掃)RX Mapping'!C21-480),IF(AND('(橫掃)RX Mapping'!C21&gt;=481,'(橫掃)RX Mapping'!C21&lt;=600), ('(橫掃)RX Mapping'!C21-361),IF(AND('(橫掃)RX Mapping'!C21&gt;=601,'(橫掃)RX Mapping'!C21&lt;=720), (-1)*('(橫掃)RX Mapping'!C21-720)+120,IF(AND('(橫掃)RX Mapping'!C21&gt;=721,'(橫掃)RX Mapping'!C21&lt;=840), ('(橫掃)RX Mapping'!C21-601),IF(AND('(橫掃)RX Mapping'!C21&gt;=841,'(橫掃)RX Mapping'!C21&lt;=960), (-1)*('(橫掃)RX Mapping'!C21-960)+120,9999))))))))</f>
        <v>51</v>
      </c>
      <c r="D21">
        <f>IF(AND('(橫掃)RX Mapping'!D21&gt;=1,'(橫掃)RX Mapping'!D21&lt;=120), ('(橫掃)RX Mapping'!D21-1),IF(AND('(橫掃)RX Mapping'!D21&gt;=121,'(橫掃)RX Mapping'!D21&lt;=240), (-1)*('(橫掃)RX Mapping'!D21-240),IF(AND('(橫掃)RX Mapping'!D21&gt;=241,'(橫掃)RX Mapping'!D21&lt;=360), ('(橫掃)RX Mapping'!D21-241),IF(AND('(橫掃)RX Mapping'!D21&gt;=361,'(橫掃)RX Mapping'!D21&lt;=480), (-1)*('(橫掃)RX Mapping'!D21-480),IF(AND('(橫掃)RX Mapping'!D21&gt;=481,'(橫掃)RX Mapping'!D21&lt;=600), ('(橫掃)RX Mapping'!D21-361),IF(AND('(橫掃)RX Mapping'!D21&gt;=601,'(橫掃)RX Mapping'!D21&lt;=720), (-1)*('(橫掃)RX Mapping'!D21-720)+120,IF(AND('(橫掃)RX Mapping'!D21&gt;=721,'(橫掃)RX Mapping'!D21&lt;=840), ('(橫掃)RX Mapping'!D21-601),IF(AND('(橫掃)RX Mapping'!D21&gt;=841,'(橫掃)RX Mapping'!D21&lt;=960), (-1)*('(橫掃)RX Mapping'!D21-960)+120,9999))))))))</f>
        <v>83</v>
      </c>
      <c r="E21">
        <f>IF(AND('(橫掃)RX Mapping'!E21&gt;=1,'(橫掃)RX Mapping'!E21&lt;=120), ('(橫掃)RX Mapping'!E21-1),IF(AND('(橫掃)RX Mapping'!E21&gt;=121,'(橫掃)RX Mapping'!E21&lt;=240), (-1)*('(橫掃)RX Mapping'!E21-240),IF(AND('(橫掃)RX Mapping'!E21&gt;=241,'(橫掃)RX Mapping'!E21&lt;=360), ('(橫掃)RX Mapping'!E21-241),IF(AND('(橫掃)RX Mapping'!E21&gt;=361,'(橫掃)RX Mapping'!E21&lt;=480), (-1)*('(橫掃)RX Mapping'!E21-480),IF(AND('(橫掃)RX Mapping'!E21&gt;=481,'(橫掃)RX Mapping'!E21&lt;=600), ('(橫掃)RX Mapping'!E21-361),IF(AND('(橫掃)RX Mapping'!E21&gt;=601,'(橫掃)RX Mapping'!E21&lt;=720), (-1)*('(橫掃)RX Mapping'!E21-720)+120,IF(AND('(橫掃)RX Mapping'!E21&gt;=721,'(橫掃)RX Mapping'!E21&lt;=840), ('(橫掃)RX Mapping'!E21-601),IF(AND('(橫掃)RX Mapping'!E21&gt;=841,'(橫掃)RX Mapping'!E21&lt;=960), (-1)*('(橫掃)RX Mapping'!E21-960)+120,9999))))))))</f>
        <v>115</v>
      </c>
      <c r="F21">
        <f>IF(AND('(橫掃)RX Mapping'!F21&gt;=1,'(橫掃)RX Mapping'!F21&lt;=120), ('(橫掃)RX Mapping'!F21-1),IF(AND('(橫掃)RX Mapping'!F21&gt;=121,'(橫掃)RX Mapping'!F21&lt;=240), (-1)*('(橫掃)RX Mapping'!F21-240),IF(AND('(橫掃)RX Mapping'!F21&gt;=241,'(橫掃)RX Mapping'!F21&lt;=360), ('(橫掃)RX Mapping'!F21-241),IF(AND('(橫掃)RX Mapping'!F21&gt;=361,'(橫掃)RX Mapping'!F21&lt;=480), (-1)*('(橫掃)RX Mapping'!F21-480),IF(AND('(橫掃)RX Mapping'!F21&gt;=481,'(橫掃)RX Mapping'!F21&lt;=600), ('(橫掃)RX Mapping'!F21-361),IF(AND('(橫掃)RX Mapping'!F21&gt;=601,'(橫掃)RX Mapping'!F21&lt;=720), (-1)*('(橫掃)RX Mapping'!F21-720)+120,IF(AND('(橫掃)RX Mapping'!F21&gt;=721,'(橫掃)RX Mapping'!F21&lt;=840), ('(橫掃)RX Mapping'!F21-601),IF(AND('(橫掃)RX Mapping'!F21&gt;=841,'(橫掃)RX Mapping'!F21&lt;=960), (-1)*('(橫掃)RX Mapping'!F21-960)+120,9999))))))))</f>
        <v>92</v>
      </c>
      <c r="G21">
        <f>IF(AND('(橫掃)RX Mapping'!G21&gt;=1,'(橫掃)RX Mapping'!G21&lt;=120), ('(橫掃)RX Mapping'!G21-1),IF(AND('(橫掃)RX Mapping'!G21&gt;=121,'(橫掃)RX Mapping'!G21&lt;=240), (-1)*('(橫掃)RX Mapping'!G21-240),IF(AND('(橫掃)RX Mapping'!G21&gt;=241,'(橫掃)RX Mapping'!G21&lt;=360), ('(橫掃)RX Mapping'!G21-241),IF(AND('(橫掃)RX Mapping'!G21&gt;=361,'(橫掃)RX Mapping'!G21&lt;=480), (-1)*('(橫掃)RX Mapping'!G21-480),IF(AND('(橫掃)RX Mapping'!G21&gt;=481,'(橫掃)RX Mapping'!G21&lt;=600), ('(橫掃)RX Mapping'!G21-361),IF(AND('(橫掃)RX Mapping'!G21&gt;=601,'(橫掃)RX Mapping'!G21&lt;=720), (-1)*('(橫掃)RX Mapping'!G21-720)+120,IF(AND('(橫掃)RX Mapping'!G21&gt;=721,'(橫掃)RX Mapping'!G21&lt;=840), ('(橫掃)RX Mapping'!G21-601),IF(AND('(橫掃)RX Mapping'!G21&gt;=841,'(橫掃)RX Mapping'!G21&lt;=960), (-1)*('(橫掃)RX Mapping'!G21-960)+120,9999))))))))</f>
        <v>60</v>
      </c>
      <c r="H21">
        <f>IF(AND('(橫掃)RX Mapping'!H21&gt;=1,'(橫掃)RX Mapping'!H21&lt;=120), ('(橫掃)RX Mapping'!H21-1),IF(AND('(橫掃)RX Mapping'!H21&gt;=121,'(橫掃)RX Mapping'!H21&lt;=240), (-1)*('(橫掃)RX Mapping'!H21-240),IF(AND('(橫掃)RX Mapping'!H21&gt;=241,'(橫掃)RX Mapping'!H21&lt;=360), ('(橫掃)RX Mapping'!H21-241),IF(AND('(橫掃)RX Mapping'!H21&gt;=361,'(橫掃)RX Mapping'!H21&lt;=480), (-1)*('(橫掃)RX Mapping'!H21-480),IF(AND('(橫掃)RX Mapping'!H21&gt;=481,'(橫掃)RX Mapping'!H21&lt;=600), ('(橫掃)RX Mapping'!H21-361),IF(AND('(橫掃)RX Mapping'!H21&gt;=601,'(橫掃)RX Mapping'!H21&lt;=720), (-1)*('(橫掃)RX Mapping'!H21-720)+120,IF(AND('(橫掃)RX Mapping'!H21&gt;=721,'(橫掃)RX Mapping'!H21&lt;=840), ('(橫掃)RX Mapping'!H21-601),IF(AND('(橫掃)RX Mapping'!H21&gt;=841,'(橫掃)RX Mapping'!H21&lt;=960), (-1)*('(橫掃)RX Mapping'!H21-960)+120,9999))))))))</f>
        <v>28</v>
      </c>
      <c r="I21">
        <f>IF(AND('(橫掃)RX Mapping'!I21&gt;=1,'(橫掃)RX Mapping'!I21&lt;=120), ('(橫掃)RX Mapping'!I21-1),IF(AND('(橫掃)RX Mapping'!I21&gt;=121,'(橫掃)RX Mapping'!I21&lt;=240), (-1)*('(橫掃)RX Mapping'!I21-240),IF(AND('(橫掃)RX Mapping'!I21&gt;=241,'(橫掃)RX Mapping'!I21&lt;=360), ('(橫掃)RX Mapping'!I21-241),IF(AND('(橫掃)RX Mapping'!I21&gt;=361,'(橫掃)RX Mapping'!I21&lt;=480), (-1)*('(橫掃)RX Mapping'!I21-480),IF(AND('(橫掃)RX Mapping'!I21&gt;=481,'(橫掃)RX Mapping'!I21&lt;=600), ('(橫掃)RX Mapping'!I21-361),IF(AND('(橫掃)RX Mapping'!I21&gt;=601,'(橫掃)RX Mapping'!I21&lt;=720), (-1)*('(橫掃)RX Mapping'!I21-720)+120,IF(AND('(橫掃)RX Mapping'!I21&gt;=721,'(橫掃)RX Mapping'!I21&lt;=840), ('(橫掃)RX Mapping'!I21-601),IF(AND('(橫掃)RX Mapping'!I21&gt;=841,'(橫掃)RX Mapping'!I21&lt;=960), (-1)*('(橫掃)RX Mapping'!I21-960)+120,9999))))))))</f>
        <v>19</v>
      </c>
      <c r="J21">
        <f>IF(AND('(橫掃)RX Mapping'!J21&gt;=1,'(橫掃)RX Mapping'!J21&lt;=120), ('(橫掃)RX Mapping'!J21-1),IF(AND('(橫掃)RX Mapping'!J21&gt;=121,'(橫掃)RX Mapping'!J21&lt;=240), (-1)*('(橫掃)RX Mapping'!J21-240),IF(AND('(橫掃)RX Mapping'!J21&gt;=241,'(橫掃)RX Mapping'!J21&lt;=360), ('(橫掃)RX Mapping'!J21-241),IF(AND('(橫掃)RX Mapping'!J21&gt;=361,'(橫掃)RX Mapping'!J21&lt;=480), (-1)*('(橫掃)RX Mapping'!J21-480),IF(AND('(橫掃)RX Mapping'!J21&gt;=481,'(橫掃)RX Mapping'!J21&lt;=600), ('(橫掃)RX Mapping'!J21-361),IF(AND('(橫掃)RX Mapping'!J21&gt;=601,'(橫掃)RX Mapping'!J21&lt;=720), (-1)*('(橫掃)RX Mapping'!J21-720)+120,IF(AND('(橫掃)RX Mapping'!J21&gt;=721,'(橫掃)RX Mapping'!J21&lt;=840), ('(橫掃)RX Mapping'!J21-601),IF(AND('(橫掃)RX Mapping'!J21&gt;=841,'(橫掃)RX Mapping'!J21&lt;=960), (-1)*('(橫掃)RX Mapping'!J21-960)+120,9999))))))))</f>
        <v>51</v>
      </c>
      <c r="K21">
        <f>IF(AND('(橫掃)RX Mapping'!K21&gt;=1,'(橫掃)RX Mapping'!K21&lt;=120), ('(橫掃)RX Mapping'!K21-1),IF(AND('(橫掃)RX Mapping'!K21&gt;=121,'(橫掃)RX Mapping'!K21&lt;=240), (-1)*('(橫掃)RX Mapping'!K21-240),IF(AND('(橫掃)RX Mapping'!K21&gt;=241,'(橫掃)RX Mapping'!K21&lt;=360), ('(橫掃)RX Mapping'!K21-241),IF(AND('(橫掃)RX Mapping'!K21&gt;=361,'(橫掃)RX Mapping'!K21&lt;=480), (-1)*('(橫掃)RX Mapping'!K21-480),IF(AND('(橫掃)RX Mapping'!K21&gt;=481,'(橫掃)RX Mapping'!K21&lt;=600), ('(橫掃)RX Mapping'!K21-361),IF(AND('(橫掃)RX Mapping'!K21&gt;=601,'(橫掃)RX Mapping'!K21&lt;=720), (-1)*('(橫掃)RX Mapping'!K21-720)+120,IF(AND('(橫掃)RX Mapping'!K21&gt;=721,'(橫掃)RX Mapping'!K21&lt;=840), ('(橫掃)RX Mapping'!K21-601),IF(AND('(橫掃)RX Mapping'!K21&gt;=841,'(橫掃)RX Mapping'!K21&lt;=960), (-1)*('(橫掃)RX Mapping'!K21-960)+120,9999))))))))</f>
        <v>83</v>
      </c>
      <c r="L21">
        <f>IF(AND('(橫掃)RX Mapping'!L21&gt;=1,'(橫掃)RX Mapping'!L21&lt;=120), ('(橫掃)RX Mapping'!L21-1),IF(AND('(橫掃)RX Mapping'!L21&gt;=121,'(橫掃)RX Mapping'!L21&lt;=240), (-1)*('(橫掃)RX Mapping'!L21-240),IF(AND('(橫掃)RX Mapping'!L21&gt;=241,'(橫掃)RX Mapping'!L21&lt;=360), ('(橫掃)RX Mapping'!L21-241),IF(AND('(橫掃)RX Mapping'!L21&gt;=361,'(橫掃)RX Mapping'!L21&lt;=480), (-1)*('(橫掃)RX Mapping'!L21-480),IF(AND('(橫掃)RX Mapping'!L21&gt;=481,'(橫掃)RX Mapping'!L21&lt;=600), ('(橫掃)RX Mapping'!L21-361),IF(AND('(橫掃)RX Mapping'!L21&gt;=601,'(橫掃)RX Mapping'!L21&lt;=720), (-1)*('(橫掃)RX Mapping'!L21-720)+120,IF(AND('(橫掃)RX Mapping'!L21&gt;=721,'(橫掃)RX Mapping'!L21&lt;=840), ('(橫掃)RX Mapping'!L21-601),IF(AND('(橫掃)RX Mapping'!L21&gt;=841,'(橫掃)RX Mapping'!L21&lt;=960), (-1)*('(橫掃)RX Mapping'!L21-960)+120,9999))))))))</f>
        <v>115</v>
      </c>
      <c r="M21">
        <f>IF(AND('(橫掃)RX Mapping'!M21&gt;=1,'(橫掃)RX Mapping'!M21&lt;=120), ('(橫掃)RX Mapping'!M21-1),IF(AND('(橫掃)RX Mapping'!M21&gt;=121,'(橫掃)RX Mapping'!M21&lt;=240), (-1)*('(橫掃)RX Mapping'!M21-240),IF(AND('(橫掃)RX Mapping'!M21&gt;=241,'(橫掃)RX Mapping'!M21&lt;=360), ('(橫掃)RX Mapping'!M21-241),IF(AND('(橫掃)RX Mapping'!M21&gt;=361,'(橫掃)RX Mapping'!M21&lt;=480), (-1)*('(橫掃)RX Mapping'!M21-480),IF(AND('(橫掃)RX Mapping'!M21&gt;=481,'(橫掃)RX Mapping'!M21&lt;=600), ('(橫掃)RX Mapping'!M21-361),IF(AND('(橫掃)RX Mapping'!M21&gt;=601,'(橫掃)RX Mapping'!M21&lt;=720), (-1)*('(橫掃)RX Mapping'!M21-720)+120,IF(AND('(橫掃)RX Mapping'!M21&gt;=721,'(橫掃)RX Mapping'!M21&lt;=840), ('(橫掃)RX Mapping'!M21-601),IF(AND('(橫掃)RX Mapping'!M21&gt;=841,'(橫掃)RX Mapping'!M21&lt;=960), (-1)*('(橫掃)RX Mapping'!M21-960)+120,9999))))))))</f>
        <v>92</v>
      </c>
      <c r="N21">
        <f>IF(AND('(橫掃)RX Mapping'!N21&gt;=1,'(橫掃)RX Mapping'!N21&lt;=120), ('(橫掃)RX Mapping'!N21-1),IF(AND('(橫掃)RX Mapping'!N21&gt;=121,'(橫掃)RX Mapping'!N21&lt;=240), (-1)*('(橫掃)RX Mapping'!N21-240),IF(AND('(橫掃)RX Mapping'!N21&gt;=241,'(橫掃)RX Mapping'!N21&lt;=360), ('(橫掃)RX Mapping'!N21-241),IF(AND('(橫掃)RX Mapping'!N21&gt;=361,'(橫掃)RX Mapping'!N21&lt;=480), (-1)*('(橫掃)RX Mapping'!N21-480),IF(AND('(橫掃)RX Mapping'!N21&gt;=481,'(橫掃)RX Mapping'!N21&lt;=600), ('(橫掃)RX Mapping'!N21-361),IF(AND('(橫掃)RX Mapping'!N21&gt;=601,'(橫掃)RX Mapping'!N21&lt;=720), (-1)*('(橫掃)RX Mapping'!N21-720)+120,IF(AND('(橫掃)RX Mapping'!N21&gt;=721,'(橫掃)RX Mapping'!N21&lt;=840), ('(橫掃)RX Mapping'!N21-601),IF(AND('(橫掃)RX Mapping'!N21&gt;=841,'(橫掃)RX Mapping'!N21&lt;=960), (-1)*('(橫掃)RX Mapping'!N21-960)+120,9999))))))))</f>
        <v>60</v>
      </c>
      <c r="O21">
        <f>IF(AND('(橫掃)RX Mapping'!O21&gt;=1,'(橫掃)RX Mapping'!O21&lt;=120), ('(橫掃)RX Mapping'!O21-1),IF(AND('(橫掃)RX Mapping'!O21&gt;=121,'(橫掃)RX Mapping'!O21&lt;=240), (-1)*('(橫掃)RX Mapping'!O21-240),IF(AND('(橫掃)RX Mapping'!O21&gt;=241,'(橫掃)RX Mapping'!O21&lt;=360), ('(橫掃)RX Mapping'!O21-241),IF(AND('(橫掃)RX Mapping'!O21&gt;=361,'(橫掃)RX Mapping'!O21&lt;=480), (-1)*('(橫掃)RX Mapping'!O21-480),IF(AND('(橫掃)RX Mapping'!O21&gt;=481,'(橫掃)RX Mapping'!O21&lt;=600), ('(橫掃)RX Mapping'!O21-361),IF(AND('(橫掃)RX Mapping'!O21&gt;=601,'(橫掃)RX Mapping'!O21&lt;=720), (-1)*('(橫掃)RX Mapping'!O21-720)+120,IF(AND('(橫掃)RX Mapping'!O21&gt;=721,'(橫掃)RX Mapping'!O21&lt;=840), ('(橫掃)RX Mapping'!O21-601),IF(AND('(橫掃)RX Mapping'!O21&gt;=841,'(橫掃)RX Mapping'!O21&lt;=960), (-1)*('(橫掃)RX Mapping'!O21-960)+120,9999))))))))</f>
        <v>28</v>
      </c>
      <c r="P21">
        <f>IF(AND('(橫掃)RX Mapping'!P21&gt;=1,'(橫掃)RX Mapping'!P21&lt;=120), ('(橫掃)RX Mapping'!P21-1),IF(AND('(橫掃)RX Mapping'!P21&gt;=121,'(橫掃)RX Mapping'!P21&lt;=240), (-1)*('(橫掃)RX Mapping'!P21-240),IF(AND('(橫掃)RX Mapping'!P21&gt;=241,'(橫掃)RX Mapping'!P21&lt;=360), ('(橫掃)RX Mapping'!P21-241),IF(AND('(橫掃)RX Mapping'!P21&gt;=361,'(橫掃)RX Mapping'!P21&lt;=480), (-1)*('(橫掃)RX Mapping'!P21-480),IF(AND('(橫掃)RX Mapping'!P21&gt;=481,'(橫掃)RX Mapping'!P21&lt;=600), ('(橫掃)RX Mapping'!P21-361),IF(AND('(橫掃)RX Mapping'!P21&gt;=601,'(橫掃)RX Mapping'!P21&lt;=720), (-1)*('(橫掃)RX Mapping'!P21-720)+120,IF(AND('(橫掃)RX Mapping'!P21&gt;=721,'(橫掃)RX Mapping'!P21&lt;=840), ('(橫掃)RX Mapping'!P21-601),IF(AND('(橫掃)RX Mapping'!P21&gt;=841,'(橫掃)RX Mapping'!P21&lt;=960), (-1)*('(橫掃)RX Mapping'!P21-960)+120,9999))))))))</f>
        <v>139</v>
      </c>
      <c r="Q21">
        <f>IF(AND('(橫掃)RX Mapping'!Q21&gt;=1,'(橫掃)RX Mapping'!Q21&lt;=120), ('(橫掃)RX Mapping'!Q21-1),IF(AND('(橫掃)RX Mapping'!Q21&gt;=121,'(橫掃)RX Mapping'!Q21&lt;=240), (-1)*('(橫掃)RX Mapping'!Q21-240),IF(AND('(橫掃)RX Mapping'!Q21&gt;=241,'(橫掃)RX Mapping'!Q21&lt;=360), ('(橫掃)RX Mapping'!Q21-241),IF(AND('(橫掃)RX Mapping'!Q21&gt;=361,'(橫掃)RX Mapping'!Q21&lt;=480), (-1)*('(橫掃)RX Mapping'!Q21-480),IF(AND('(橫掃)RX Mapping'!Q21&gt;=481,'(橫掃)RX Mapping'!Q21&lt;=600), ('(橫掃)RX Mapping'!Q21-361),IF(AND('(橫掃)RX Mapping'!Q21&gt;=601,'(橫掃)RX Mapping'!Q21&lt;=720), (-1)*('(橫掃)RX Mapping'!Q21-720)+120,IF(AND('(橫掃)RX Mapping'!Q21&gt;=721,'(橫掃)RX Mapping'!Q21&lt;=840), ('(橫掃)RX Mapping'!Q21-601),IF(AND('(橫掃)RX Mapping'!Q21&gt;=841,'(橫掃)RX Mapping'!Q21&lt;=960), (-1)*('(橫掃)RX Mapping'!Q21-960)+120,9999))))))))</f>
        <v>171</v>
      </c>
      <c r="R21">
        <f>IF(AND('(橫掃)RX Mapping'!R21&gt;=1,'(橫掃)RX Mapping'!R21&lt;=120), ('(橫掃)RX Mapping'!R21-1),IF(AND('(橫掃)RX Mapping'!R21&gt;=121,'(橫掃)RX Mapping'!R21&lt;=240), (-1)*('(橫掃)RX Mapping'!R21-240),IF(AND('(橫掃)RX Mapping'!R21&gt;=241,'(橫掃)RX Mapping'!R21&lt;=360), ('(橫掃)RX Mapping'!R21-241),IF(AND('(橫掃)RX Mapping'!R21&gt;=361,'(橫掃)RX Mapping'!R21&lt;=480), (-1)*('(橫掃)RX Mapping'!R21-480),IF(AND('(橫掃)RX Mapping'!R21&gt;=481,'(橫掃)RX Mapping'!R21&lt;=600), ('(橫掃)RX Mapping'!R21-361),IF(AND('(橫掃)RX Mapping'!R21&gt;=601,'(橫掃)RX Mapping'!R21&lt;=720), (-1)*('(橫掃)RX Mapping'!R21-720)+120,IF(AND('(橫掃)RX Mapping'!R21&gt;=721,'(橫掃)RX Mapping'!R21&lt;=840), ('(橫掃)RX Mapping'!R21-601),IF(AND('(橫掃)RX Mapping'!R21&gt;=841,'(橫掃)RX Mapping'!R21&lt;=960), (-1)*('(橫掃)RX Mapping'!R21-960)+120,9999))))))))</f>
        <v>203</v>
      </c>
      <c r="S21">
        <f>IF(AND('(橫掃)RX Mapping'!S21&gt;=1,'(橫掃)RX Mapping'!S21&lt;=120), ('(橫掃)RX Mapping'!S21-1),IF(AND('(橫掃)RX Mapping'!S21&gt;=121,'(橫掃)RX Mapping'!S21&lt;=240), (-1)*('(橫掃)RX Mapping'!S21-240),IF(AND('(橫掃)RX Mapping'!S21&gt;=241,'(橫掃)RX Mapping'!S21&lt;=360), ('(橫掃)RX Mapping'!S21-241),IF(AND('(橫掃)RX Mapping'!S21&gt;=361,'(橫掃)RX Mapping'!S21&lt;=480), (-1)*('(橫掃)RX Mapping'!S21-480),IF(AND('(橫掃)RX Mapping'!S21&gt;=481,'(橫掃)RX Mapping'!S21&lt;=600), ('(橫掃)RX Mapping'!S21-361),IF(AND('(橫掃)RX Mapping'!S21&gt;=601,'(橫掃)RX Mapping'!S21&lt;=720), (-1)*('(橫掃)RX Mapping'!S21-720)+120,IF(AND('(橫掃)RX Mapping'!S21&gt;=721,'(橫掃)RX Mapping'!S21&lt;=840), ('(橫掃)RX Mapping'!S21-601),IF(AND('(橫掃)RX Mapping'!S21&gt;=841,'(橫掃)RX Mapping'!S21&lt;=960), (-1)*('(橫掃)RX Mapping'!S21-960)+120,9999))))))))</f>
        <v>235</v>
      </c>
      <c r="T21">
        <f>IF(AND('(橫掃)RX Mapping'!T21&gt;=1,'(橫掃)RX Mapping'!T21&lt;=120), ('(橫掃)RX Mapping'!T21-1),IF(AND('(橫掃)RX Mapping'!T21&gt;=121,'(橫掃)RX Mapping'!T21&lt;=240), (-1)*('(橫掃)RX Mapping'!T21-240),IF(AND('(橫掃)RX Mapping'!T21&gt;=241,'(橫掃)RX Mapping'!T21&lt;=360), ('(橫掃)RX Mapping'!T21-241),IF(AND('(橫掃)RX Mapping'!T21&gt;=361,'(橫掃)RX Mapping'!T21&lt;=480), (-1)*('(橫掃)RX Mapping'!T21-480),IF(AND('(橫掃)RX Mapping'!T21&gt;=481,'(橫掃)RX Mapping'!T21&lt;=600), ('(橫掃)RX Mapping'!T21-361),IF(AND('(橫掃)RX Mapping'!T21&gt;=601,'(橫掃)RX Mapping'!T21&lt;=720), (-1)*('(橫掃)RX Mapping'!T21-720)+120,IF(AND('(橫掃)RX Mapping'!T21&gt;=721,'(橫掃)RX Mapping'!T21&lt;=840), ('(橫掃)RX Mapping'!T21-601),IF(AND('(橫掃)RX Mapping'!T21&gt;=841,'(橫掃)RX Mapping'!T21&lt;=960), (-1)*('(橫掃)RX Mapping'!T21-960)+120,9999))))))))</f>
        <v>212</v>
      </c>
      <c r="U21">
        <f>IF(AND('(橫掃)RX Mapping'!U21&gt;=1,'(橫掃)RX Mapping'!U21&lt;=120), ('(橫掃)RX Mapping'!U21-1),IF(AND('(橫掃)RX Mapping'!U21&gt;=121,'(橫掃)RX Mapping'!U21&lt;=240), (-1)*('(橫掃)RX Mapping'!U21-240),IF(AND('(橫掃)RX Mapping'!U21&gt;=241,'(橫掃)RX Mapping'!U21&lt;=360), ('(橫掃)RX Mapping'!U21-241),IF(AND('(橫掃)RX Mapping'!U21&gt;=361,'(橫掃)RX Mapping'!U21&lt;=480), (-1)*('(橫掃)RX Mapping'!U21-480),IF(AND('(橫掃)RX Mapping'!U21&gt;=481,'(橫掃)RX Mapping'!U21&lt;=600), ('(橫掃)RX Mapping'!U21-361),IF(AND('(橫掃)RX Mapping'!U21&gt;=601,'(橫掃)RX Mapping'!U21&lt;=720), (-1)*('(橫掃)RX Mapping'!U21-720)+120,IF(AND('(橫掃)RX Mapping'!U21&gt;=721,'(橫掃)RX Mapping'!U21&lt;=840), ('(橫掃)RX Mapping'!U21-601),IF(AND('(橫掃)RX Mapping'!U21&gt;=841,'(橫掃)RX Mapping'!U21&lt;=960), (-1)*('(橫掃)RX Mapping'!U21-960)+120,9999))))))))</f>
        <v>180</v>
      </c>
      <c r="V21">
        <f>IF(AND('(橫掃)RX Mapping'!V21&gt;=1,'(橫掃)RX Mapping'!V21&lt;=120), ('(橫掃)RX Mapping'!V21-1),IF(AND('(橫掃)RX Mapping'!V21&gt;=121,'(橫掃)RX Mapping'!V21&lt;=240), (-1)*('(橫掃)RX Mapping'!V21-240),IF(AND('(橫掃)RX Mapping'!V21&gt;=241,'(橫掃)RX Mapping'!V21&lt;=360), ('(橫掃)RX Mapping'!V21-241),IF(AND('(橫掃)RX Mapping'!V21&gt;=361,'(橫掃)RX Mapping'!V21&lt;=480), (-1)*('(橫掃)RX Mapping'!V21-480),IF(AND('(橫掃)RX Mapping'!V21&gt;=481,'(橫掃)RX Mapping'!V21&lt;=600), ('(橫掃)RX Mapping'!V21-361),IF(AND('(橫掃)RX Mapping'!V21&gt;=601,'(橫掃)RX Mapping'!V21&lt;=720), (-1)*('(橫掃)RX Mapping'!V21-720)+120,IF(AND('(橫掃)RX Mapping'!V21&gt;=721,'(橫掃)RX Mapping'!V21&lt;=840), ('(橫掃)RX Mapping'!V21-601),IF(AND('(橫掃)RX Mapping'!V21&gt;=841,'(橫掃)RX Mapping'!V21&lt;=960), (-1)*('(橫掃)RX Mapping'!V21-960)+120,9999))))))))</f>
        <v>148</v>
      </c>
      <c r="W21">
        <f>IF(AND('(橫掃)RX Mapping'!W21&gt;=1,'(橫掃)RX Mapping'!W21&lt;=120), ('(橫掃)RX Mapping'!W21-1),IF(AND('(橫掃)RX Mapping'!W21&gt;=121,'(橫掃)RX Mapping'!W21&lt;=240), (-1)*('(橫掃)RX Mapping'!W21-240),IF(AND('(橫掃)RX Mapping'!W21&gt;=241,'(橫掃)RX Mapping'!W21&lt;=360), ('(橫掃)RX Mapping'!W21-241),IF(AND('(橫掃)RX Mapping'!W21&gt;=361,'(橫掃)RX Mapping'!W21&lt;=480), (-1)*('(橫掃)RX Mapping'!W21-480),IF(AND('(橫掃)RX Mapping'!W21&gt;=481,'(橫掃)RX Mapping'!W21&lt;=600), ('(橫掃)RX Mapping'!W21-361),IF(AND('(橫掃)RX Mapping'!W21&gt;=601,'(橫掃)RX Mapping'!W21&lt;=720), (-1)*('(橫掃)RX Mapping'!W21-720)+120,IF(AND('(橫掃)RX Mapping'!W21&gt;=721,'(橫掃)RX Mapping'!W21&lt;=840), ('(橫掃)RX Mapping'!W21-601),IF(AND('(橫掃)RX Mapping'!W21&gt;=841,'(橫掃)RX Mapping'!W21&lt;=960), (-1)*('(橫掃)RX Mapping'!W21-960)+120,9999))))))))</f>
        <v>139</v>
      </c>
      <c r="X21">
        <f>IF(AND('(橫掃)RX Mapping'!X21&gt;=1,'(橫掃)RX Mapping'!X21&lt;=120), ('(橫掃)RX Mapping'!X21-1),IF(AND('(橫掃)RX Mapping'!X21&gt;=121,'(橫掃)RX Mapping'!X21&lt;=240), (-1)*('(橫掃)RX Mapping'!X21-240),IF(AND('(橫掃)RX Mapping'!X21&gt;=241,'(橫掃)RX Mapping'!X21&lt;=360), ('(橫掃)RX Mapping'!X21-241),IF(AND('(橫掃)RX Mapping'!X21&gt;=361,'(橫掃)RX Mapping'!X21&lt;=480), (-1)*('(橫掃)RX Mapping'!X21-480),IF(AND('(橫掃)RX Mapping'!X21&gt;=481,'(橫掃)RX Mapping'!X21&lt;=600), ('(橫掃)RX Mapping'!X21-361),IF(AND('(橫掃)RX Mapping'!X21&gt;=601,'(橫掃)RX Mapping'!X21&lt;=720), (-1)*('(橫掃)RX Mapping'!X21-720)+120,IF(AND('(橫掃)RX Mapping'!X21&gt;=721,'(橫掃)RX Mapping'!X21&lt;=840), ('(橫掃)RX Mapping'!X21-601),IF(AND('(橫掃)RX Mapping'!X21&gt;=841,'(橫掃)RX Mapping'!X21&lt;=960), (-1)*('(橫掃)RX Mapping'!X21-960)+120,9999))))))))</f>
        <v>171</v>
      </c>
      <c r="Y21">
        <f>IF(AND('(橫掃)RX Mapping'!Y21&gt;=1,'(橫掃)RX Mapping'!Y21&lt;=120), ('(橫掃)RX Mapping'!Y21-1),IF(AND('(橫掃)RX Mapping'!Y21&gt;=121,'(橫掃)RX Mapping'!Y21&lt;=240), (-1)*('(橫掃)RX Mapping'!Y21-240),IF(AND('(橫掃)RX Mapping'!Y21&gt;=241,'(橫掃)RX Mapping'!Y21&lt;=360), ('(橫掃)RX Mapping'!Y21-241),IF(AND('(橫掃)RX Mapping'!Y21&gt;=361,'(橫掃)RX Mapping'!Y21&lt;=480), (-1)*('(橫掃)RX Mapping'!Y21-480),IF(AND('(橫掃)RX Mapping'!Y21&gt;=481,'(橫掃)RX Mapping'!Y21&lt;=600), ('(橫掃)RX Mapping'!Y21-361),IF(AND('(橫掃)RX Mapping'!Y21&gt;=601,'(橫掃)RX Mapping'!Y21&lt;=720), (-1)*('(橫掃)RX Mapping'!Y21-720)+120,IF(AND('(橫掃)RX Mapping'!Y21&gt;=721,'(橫掃)RX Mapping'!Y21&lt;=840), ('(橫掃)RX Mapping'!Y21-601),IF(AND('(橫掃)RX Mapping'!Y21&gt;=841,'(橫掃)RX Mapping'!Y21&lt;=960), (-1)*('(橫掃)RX Mapping'!Y21-960)+120,9999))))))))</f>
        <v>203</v>
      </c>
      <c r="Z21">
        <f>IF(AND('(橫掃)RX Mapping'!Z21&gt;=1,'(橫掃)RX Mapping'!Z21&lt;=120), ('(橫掃)RX Mapping'!Z21-1),IF(AND('(橫掃)RX Mapping'!Z21&gt;=121,'(橫掃)RX Mapping'!Z21&lt;=240), (-1)*('(橫掃)RX Mapping'!Z21-240),IF(AND('(橫掃)RX Mapping'!Z21&gt;=241,'(橫掃)RX Mapping'!Z21&lt;=360), ('(橫掃)RX Mapping'!Z21-241),IF(AND('(橫掃)RX Mapping'!Z21&gt;=361,'(橫掃)RX Mapping'!Z21&lt;=480), (-1)*('(橫掃)RX Mapping'!Z21-480),IF(AND('(橫掃)RX Mapping'!Z21&gt;=481,'(橫掃)RX Mapping'!Z21&lt;=600), ('(橫掃)RX Mapping'!Z21-361),IF(AND('(橫掃)RX Mapping'!Z21&gt;=601,'(橫掃)RX Mapping'!Z21&lt;=720), (-1)*('(橫掃)RX Mapping'!Z21-720)+120,IF(AND('(橫掃)RX Mapping'!Z21&gt;=721,'(橫掃)RX Mapping'!Z21&lt;=840), ('(橫掃)RX Mapping'!Z21-601),IF(AND('(橫掃)RX Mapping'!Z21&gt;=841,'(橫掃)RX Mapping'!Z21&lt;=960), (-1)*('(橫掃)RX Mapping'!Z21-960)+120,9999))))))))</f>
        <v>235</v>
      </c>
      <c r="AA21">
        <f>IF(AND('(橫掃)RX Mapping'!AA21&gt;=1,'(橫掃)RX Mapping'!AA21&lt;=120), ('(橫掃)RX Mapping'!AA21-1),IF(AND('(橫掃)RX Mapping'!AA21&gt;=121,'(橫掃)RX Mapping'!AA21&lt;=240), (-1)*('(橫掃)RX Mapping'!AA21-240),IF(AND('(橫掃)RX Mapping'!AA21&gt;=241,'(橫掃)RX Mapping'!AA21&lt;=360), ('(橫掃)RX Mapping'!AA21-241),IF(AND('(橫掃)RX Mapping'!AA21&gt;=361,'(橫掃)RX Mapping'!AA21&lt;=480), (-1)*('(橫掃)RX Mapping'!AA21-480),IF(AND('(橫掃)RX Mapping'!AA21&gt;=481,'(橫掃)RX Mapping'!AA21&lt;=600), ('(橫掃)RX Mapping'!AA21-361),IF(AND('(橫掃)RX Mapping'!AA21&gt;=601,'(橫掃)RX Mapping'!AA21&lt;=720), (-1)*('(橫掃)RX Mapping'!AA21-720)+120,IF(AND('(橫掃)RX Mapping'!AA21&gt;=721,'(橫掃)RX Mapping'!AA21&lt;=840), ('(橫掃)RX Mapping'!AA21-601),IF(AND('(橫掃)RX Mapping'!AA21&gt;=841,'(橫掃)RX Mapping'!AA21&lt;=960), (-1)*('(橫掃)RX Mapping'!AA21-960)+120,9999))))))))</f>
        <v>212</v>
      </c>
      <c r="AB21">
        <f>IF(AND('(橫掃)RX Mapping'!AB21&gt;=1,'(橫掃)RX Mapping'!AB21&lt;=120), ('(橫掃)RX Mapping'!AB21-1),IF(AND('(橫掃)RX Mapping'!AB21&gt;=121,'(橫掃)RX Mapping'!AB21&lt;=240), (-1)*('(橫掃)RX Mapping'!AB21-240),IF(AND('(橫掃)RX Mapping'!AB21&gt;=241,'(橫掃)RX Mapping'!AB21&lt;=360), ('(橫掃)RX Mapping'!AB21-241),IF(AND('(橫掃)RX Mapping'!AB21&gt;=361,'(橫掃)RX Mapping'!AB21&lt;=480), (-1)*('(橫掃)RX Mapping'!AB21-480),IF(AND('(橫掃)RX Mapping'!AB21&gt;=481,'(橫掃)RX Mapping'!AB21&lt;=600), ('(橫掃)RX Mapping'!AB21-361),IF(AND('(橫掃)RX Mapping'!AB21&gt;=601,'(橫掃)RX Mapping'!AB21&lt;=720), (-1)*('(橫掃)RX Mapping'!AB21-720)+120,IF(AND('(橫掃)RX Mapping'!AB21&gt;=721,'(橫掃)RX Mapping'!AB21&lt;=840), ('(橫掃)RX Mapping'!AB21-601),IF(AND('(橫掃)RX Mapping'!AB21&gt;=841,'(橫掃)RX Mapping'!AB21&lt;=960), (-1)*('(橫掃)RX Mapping'!AB21-960)+120,9999))))))))</f>
        <v>180</v>
      </c>
      <c r="AC21">
        <f>IF(AND('(橫掃)RX Mapping'!AC21&gt;=1,'(橫掃)RX Mapping'!AC21&lt;=120), ('(橫掃)RX Mapping'!AC21-1),IF(AND('(橫掃)RX Mapping'!AC21&gt;=121,'(橫掃)RX Mapping'!AC21&lt;=240), (-1)*('(橫掃)RX Mapping'!AC21-240),IF(AND('(橫掃)RX Mapping'!AC21&gt;=241,'(橫掃)RX Mapping'!AC21&lt;=360), ('(橫掃)RX Mapping'!AC21-241),IF(AND('(橫掃)RX Mapping'!AC21&gt;=361,'(橫掃)RX Mapping'!AC21&lt;=480), (-1)*('(橫掃)RX Mapping'!AC21-480),IF(AND('(橫掃)RX Mapping'!AC21&gt;=481,'(橫掃)RX Mapping'!AC21&lt;=600), ('(橫掃)RX Mapping'!AC21-361),IF(AND('(橫掃)RX Mapping'!AC21&gt;=601,'(橫掃)RX Mapping'!AC21&lt;=720), (-1)*('(橫掃)RX Mapping'!AC21-720)+120,IF(AND('(橫掃)RX Mapping'!AC21&gt;=721,'(橫掃)RX Mapping'!AC21&lt;=840), ('(橫掃)RX Mapping'!AC21-601),IF(AND('(橫掃)RX Mapping'!AC21&gt;=841,'(橫掃)RX Mapping'!AC21&lt;=960), (-1)*('(橫掃)RX Mapping'!AC21-960)+120,9999))))))))</f>
        <v>148</v>
      </c>
      <c r="AD21">
        <f>IF(AND('(橫掃)RX Mapping'!AD21&gt;=1,'(橫掃)RX Mapping'!AD21&lt;=120), ('(橫掃)RX Mapping'!AD21-1),IF(AND('(橫掃)RX Mapping'!AD21&gt;=121,'(橫掃)RX Mapping'!AD21&lt;=240), (-1)*('(橫掃)RX Mapping'!AD21-240),IF(AND('(橫掃)RX Mapping'!AD21&gt;=241,'(橫掃)RX Mapping'!AD21&lt;=360), ('(橫掃)RX Mapping'!AD21-241),IF(AND('(橫掃)RX Mapping'!AD21&gt;=361,'(橫掃)RX Mapping'!AD21&lt;=480), (-1)*('(橫掃)RX Mapping'!AD21-480),IF(AND('(橫掃)RX Mapping'!AD21&gt;=481,'(橫掃)RX Mapping'!AD21&lt;=600), ('(橫掃)RX Mapping'!AD21-361),IF(AND('(橫掃)RX Mapping'!AD21&gt;=601,'(橫掃)RX Mapping'!AD21&lt;=720), (-1)*('(橫掃)RX Mapping'!AD21-720)+120,IF(AND('(橫掃)RX Mapping'!AD21&gt;=721,'(橫掃)RX Mapping'!AD21&lt;=840), ('(橫掃)RX Mapping'!AD21-601),IF(AND('(橫掃)RX Mapping'!AD21&gt;=841,'(橫掃)RX Mapping'!AD21&lt;=960), (-1)*('(橫掃)RX Mapping'!AD21-960)+120,9999))))))))</f>
        <v>9999</v>
      </c>
      <c r="AE21">
        <f>IF(AND('(橫掃)RX Mapping'!AE21&gt;=1,'(橫掃)RX Mapping'!AE21&lt;=120), ('(橫掃)RX Mapping'!AE21-1),IF(AND('(橫掃)RX Mapping'!AE21&gt;=121,'(橫掃)RX Mapping'!AE21&lt;=240), (-1)*('(橫掃)RX Mapping'!AE21-240),IF(AND('(橫掃)RX Mapping'!AE21&gt;=241,'(橫掃)RX Mapping'!AE21&lt;=360), ('(橫掃)RX Mapping'!AE21-241),IF(AND('(橫掃)RX Mapping'!AE21&gt;=361,'(橫掃)RX Mapping'!AE21&lt;=480), (-1)*('(橫掃)RX Mapping'!AE21-480),IF(AND('(橫掃)RX Mapping'!AE21&gt;=481,'(橫掃)RX Mapping'!AE21&lt;=600), ('(橫掃)RX Mapping'!AE21-361),IF(AND('(橫掃)RX Mapping'!AE21&gt;=601,'(橫掃)RX Mapping'!AE21&lt;=720), (-1)*('(橫掃)RX Mapping'!AE21-720)+120,IF(AND('(橫掃)RX Mapping'!AE21&gt;=721,'(橫掃)RX Mapping'!AE21&lt;=840), ('(橫掃)RX Mapping'!AE21-601),IF(AND('(橫掃)RX Mapping'!AE21&gt;=841,'(橫掃)RX Mapping'!AE21&lt;=960), (-1)*('(橫掃)RX Mapping'!AE21-960)+120,9999))))))))</f>
        <v>9999</v>
      </c>
      <c r="AF21">
        <f>IF(AND('(橫掃)RX Mapping'!AF21&gt;=1,'(橫掃)RX Mapping'!AF21&lt;=120), ('(橫掃)RX Mapping'!AF21-1),IF(AND('(橫掃)RX Mapping'!AF21&gt;=121,'(橫掃)RX Mapping'!AF21&lt;=240), (-1)*('(橫掃)RX Mapping'!AF21-240),IF(AND('(橫掃)RX Mapping'!AF21&gt;=241,'(橫掃)RX Mapping'!AF21&lt;=360), ('(橫掃)RX Mapping'!AF21-241),IF(AND('(橫掃)RX Mapping'!AF21&gt;=361,'(橫掃)RX Mapping'!AF21&lt;=480), (-1)*('(橫掃)RX Mapping'!AF21-480),IF(AND('(橫掃)RX Mapping'!AF21&gt;=481,'(橫掃)RX Mapping'!AF21&lt;=600), ('(橫掃)RX Mapping'!AF21-361),IF(AND('(橫掃)RX Mapping'!AF21&gt;=601,'(橫掃)RX Mapping'!AF21&lt;=720), (-1)*('(橫掃)RX Mapping'!AF21-720)+120,IF(AND('(橫掃)RX Mapping'!AF21&gt;=721,'(橫掃)RX Mapping'!AF21&lt;=840), ('(橫掃)RX Mapping'!AF21-601),IF(AND('(橫掃)RX Mapping'!AF21&gt;=841,'(橫掃)RX Mapping'!AF21&lt;=960), (-1)*('(橫掃)RX Mapping'!AF21-960)+120,9999))))))))</f>
        <v>9999</v>
      </c>
      <c r="AG21">
        <f>IF(AND('(橫掃)RX Mapping'!AG21&gt;=1,'(橫掃)RX Mapping'!AG21&lt;=120), ('(橫掃)RX Mapping'!AG21-1),IF(AND('(橫掃)RX Mapping'!AG21&gt;=121,'(橫掃)RX Mapping'!AG21&lt;=240), (-1)*('(橫掃)RX Mapping'!AG21-240),IF(AND('(橫掃)RX Mapping'!AG21&gt;=241,'(橫掃)RX Mapping'!AG21&lt;=360), ('(橫掃)RX Mapping'!AG21-241),IF(AND('(橫掃)RX Mapping'!AG21&gt;=361,'(橫掃)RX Mapping'!AG21&lt;=480), (-1)*('(橫掃)RX Mapping'!AG21-480),IF(AND('(橫掃)RX Mapping'!AG21&gt;=481,'(橫掃)RX Mapping'!AG21&lt;=600), ('(橫掃)RX Mapping'!AG21-361),IF(AND('(橫掃)RX Mapping'!AG21&gt;=601,'(橫掃)RX Mapping'!AG21&lt;=720), (-1)*('(橫掃)RX Mapping'!AG21-720)+120,IF(AND('(橫掃)RX Mapping'!AG21&gt;=721,'(橫掃)RX Mapping'!AG21&lt;=840), ('(橫掃)RX Mapping'!AG21-601),IF(AND('(橫掃)RX Mapping'!AG21&gt;=841,'(橫掃)RX Mapping'!AG21&lt;=960), (-1)*('(橫掃)RX Mapping'!AG21-960)+120,9999))))))))</f>
        <v>9999</v>
      </c>
      <c r="AH21">
        <f>IF(AND('(橫掃)RX Mapping'!AH21&gt;=1,'(橫掃)RX Mapping'!AH21&lt;=120), ('(橫掃)RX Mapping'!AH21-1),IF(AND('(橫掃)RX Mapping'!AH21&gt;=121,'(橫掃)RX Mapping'!AH21&lt;=240), (-1)*('(橫掃)RX Mapping'!AH21-240),IF(AND('(橫掃)RX Mapping'!AH21&gt;=241,'(橫掃)RX Mapping'!AH21&lt;=360), ('(橫掃)RX Mapping'!AH21-241),IF(AND('(橫掃)RX Mapping'!AH21&gt;=361,'(橫掃)RX Mapping'!AH21&lt;=480), (-1)*('(橫掃)RX Mapping'!AH21-480),IF(AND('(橫掃)RX Mapping'!AH21&gt;=481,'(橫掃)RX Mapping'!AH21&lt;=600), ('(橫掃)RX Mapping'!AH21-361),IF(AND('(橫掃)RX Mapping'!AH21&gt;=601,'(橫掃)RX Mapping'!AH21&lt;=720), (-1)*('(橫掃)RX Mapping'!AH21-720)+120,IF(AND('(橫掃)RX Mapping'!AH21&gt;=721,'(橫掃)RX Mapping'!AH21&lt;=840), ('(橫掃)RX Mapping'!AH21-601),IF(AND('(橫掃)RX Mapping'!AH21&gt;=841,'(橫掃)RX Mapping'!AH21&lt;=960), (-1)*('(橫掃)RX Mapping'!AH21-960)+120,9999))))))))</f>
        <v>9999</v>
      </c>
      <c r="AI21">
        <f>IF(AND('(橫掃)RX Mapping'!AI21&gt;=1,'(橫掃)RX Mapping'!AI21&lt;=120), ('(橫掃)RX Mapping'!AI21-1),IF(AND('(橫掃)RX Mapping'!AI21&gt;=121,'(橫掃)RX Mapping'!AI21&lt;=240), (-1)*('(橫掃)RX Mapping'!AI21-240),IF(AND('(橫掃)RX Mapping'!AI21&gt;=241,'(橫掃)RX Mapping'!AI21&lt;=360), ('(橫掃)RX Mapping'!AI21-241),IF(AND('(橫掃)RX Mapping'!AI21&gt;=361,'(橫掃)RX Mapping'!AI21&lt;=480), (-1)*('(橫掃)RX Mapping'!AI21-480),IF(AND('(橫掃)RX Mapping'!AI21&gt;=481,'(橫掃)RX Mapping'!AI21&lt;=600), ('(橫掃)RX Mapping'!AI21-361),IF(AND('(橫掃)RX Mapping'!AI21&gt;=601,'(橫掃)RX Mapping'!AI21&lt;=720), (-1)*('(橫掃)RX Mapping'!AI21-720)+120,IF(AND('(橫掃)RX Mapping'!AI21&gt;=721,'(橫掃)RX Mapping'!AI21&lt;=840), ('(橫掃)RX Mapping'!AI21-601),IF(AND('(橫掃)RX Mapping'!AI21&gt;=841,'(橫掃)RX Mapping'!AI21&lt;=960), (-1)*('(橫掃)RX Mapping'!AI21-960)+120,9999))))))))</f>
        <v>9999</v>
      </c>
      <c r="AJ21">
        <f>IF(AND('(橫掃)RX Mapping'!AJ21&gt;=1,'(橫掃)RX Mapping'!AJ21&lt;=120), ('(橫掃)RX Mapping'!AJ21-1),IF(AND('(橫掃)RX Mapping'!AJ21&gt;=121,'(橫掃)RX Mapping'!AJ21&lt;=240), (-1)*('(橫掃)RX Mapping'!AJ21-240),IF(AND('(橫掃)RX Mapping'!AJ21&gt;=241,'(橫掃)RX Mapping'!AJ21&lt;=360), ('(橫掃)RX Mapping'!AJ21-241),IF(AND('(橫掃)RX Mapping'!AJ21&gt;=361,'(橫掃)RX Mapping'!AJ21&lt;=480), (-1)*('(橫掃)RX Mapping'!AJ21-480),IF(AND('(橫掃)RX Mapping'!AJ21&gt;=481,'(橫掃)RX Mapping'!AJ21&lt;=600), ('(橫掃)RX Mapping'!AJ21-361),IF(AND('(橫掃)RX Mapping'!AJ21&gt;=601,'(橫掃)RX Mapping'!AJ21&lt;=720), (-1)*('(橫掃)RX Mapping'!AJ21-720)+120,IF(AND('(橫掃)RX Mapping'!AJ21&gt;=721,'(橫掃)RX Mapping'!AJ21&lt;=840), ('(橫掃)RX Mapping'!AJ21-601),IF(AND('(橫掃)RX Mapping'!AJ21&gt;=841,'(橫掃)RX Mapping'!AJ21&lt;=960), (-1)*('(橫掃)RX Mapping'!AJ21-960)+120,9999))))))))</f>
        <v>9999</v>
      </c>
      <c r="AK21">
        <f>IF(AND('(橫掃)RX Mapping'!AK21&gt;=1,'(橫掃)RX Mapping'!AK21&lt;=120), ('(橫掃)RX Mapping'!AK21-1),IF(AND('(橫掃)RX Mapping'!AK21&gt;=121,'(橫掃)RX Mapping'!AK21&lt;=240), (-1)*('(橫掃)RX Mapping'!AK21-240),IF(AND('(橫掃)RX Mapping'!AK21&gt;=241,'(橫掃)RX Mapping'!AK21&lt;=360), ('(橫掃)RX Mapping'!AK21-241),IF(AND('(橫掃)RX Mapping'!AK21&gt;=361,'(橫掃)RX Mapping'!AK21&lt;=480), (-1)*('(橫掃)RX Mapping'!AK21-480),IF(AND('(橫掃)RX Mapping'!AK21&gt;=481,'(橫掃)RX Mapping'!AK21&lt;=600), ('(橫掃)RX Mapping'!AK21-361),IF(AND('(橫掃)RX Mapping'!AK21&gt;=601,'(橫掃)RX Mapping'!AK21&lt;=720), (-1)*('(橫掃)RX Mapping'!AK21-720)+120,IF(AND('(橫掃)RX Mapping'!AK21&gt;=721,'(橫掃)RX Mapping'!AK21&lt;=840), ('(橫掃)RX Mapping'!AK21-601),IF(AND('(橫掃)RX Mapping'!AK21&gt;=841,'(橫掃)RX Mapping'!AK21&lt;=960), (-1)*('(橫掃)RX Mapping'!AK21-960)+120,9999))))))))</f>
        <v>9999</v>
      </c>
      <c r="AL21">
        <f>IF(AND('(橫掃)RX Mapping'!AL21&gt;=1,'(橫掃)RX Mapping'!AL21&lt;=120), ('(橫掃)RX Mapping'!AL21-1),IF(AND('(橫掃)RX Mapping'!AL21&gt;=121,'(橫掃)RX Mapping'!AL21&lt;=240), (-1)*('(橫掃)RX Mapping'!AL21-240),IF(AND('(橫掃)RX Mapping'!AL21&gt;=241,'(橫掃)RX Mapping'!AL21&lt;=360), ('(橫掃)RX Mapping'!AL21-241),IF(AND('(橫掃)RX Mapping'!AL21&gt;=361,'(橫掃)RX Mapping'!AL21&lt;=480), (-1)*('(橫掃)RX Mapping'!AL21-480),IF(AND('(橫掃)RX Mapping'!AL21&gt;=481,'(橫掃)RX Mapping'!AL21&lt;=600), ('(橫掃)RX Mapping'!AL21-361),IF(AND('(橫掃)RX Mapping'!AL21&gt;=601,'(橫掃)RX Mapping'!AL21&lt;=720), (-1)*('(橫掃)RX Mapping'!AL21-720)+120,IF(AND('(橫掃)RX Mapping'!AL21&gt;=721,'(橫掃)RX Mapping'!AL21&lt;=840), ('(橫掃)RX Mapping'!AL21-601),IF(AND('(橫掃)RX Mapping'!AL21&gt;=841,'(橫掃)RX Mapping'!AL21&lt;=960), (-1)*('(橫掃)RX Mapping'!AL21-960)+120,9999))))))))</f>
        <v>9999</v>
      </c>
      <c r="AM21">
        <f>IF(AND('(橫掃)RX Mapping'!AM21&gt;=1,'(橫掃)RX Mapping'!AM21&lt;=120), ('(橫掃)RX Mapping'!AM21-1),IF(AND('(橫掃)RX Mapping'!AM21&gt;=121,'(橫掃)RX Mapping'!AM21&lt;=240), (-1)*('(橫掃)RX Mapping'!AM21-240),IF(AND('(橫掃)RX Mapping'!AM21&gt;=241,'(橫掃)RX Mapping'!AM21&lt;=360), ('(橫掃)RX Mapping'!AM21-241),IF(AND('(橫掃)RX Mapping'!AM21&gt;=361,'(橫掃)RX Mapping'!AM21&lt;=480), (-1)*('(橫掃)RX Mapping'!AM21-480),IF(AND('(橫掃)RX Mapping'!AM21&gt;=481,'(橫掃)RX Mapping'!AM21&lt;=600), ('(橫掃)RX Mapping'!AM21-361),IF(AND('(橫掃)RX Mapping'!AM21&gt;=601,'(橫掃)RX Mapping'!AM21&lt;=720), (-1)*('(橫掃)RX Mapping'!AM21-720)+120,IF(AND('(橫掃)RX Mapping'!AM21&gt;=721,'(橫掃)RX Mapping'!AM21&lt;=840), ('(橫掃)RX Mapping'!AM21-601),IF(AND('(橫掃)RX Mapping'!AM21&gt;=841,'(橫掃)RX Mapping'!AM21&lt;=960), (-1)*('(橫掃)RX Mapping'!AM21-960)+120,9999))))))))</f>
        <v>9999</v>
      </c>
      <c r="AN21">
        <f>IF(AND('(橫掃)RX Mapping'!AN21&gt;=1,'(橫掃)RX Mapping'!AN21&lt;=120), ('(橫掃)RX Mapping'!AN21-1),IF(AND('(橫掃)RX Mapping'!AN21&gt;=121,'(橫掃)RX Mapping'!AN21&lt;=240), (-1)*('(橫掃)RX Mapping'!AN21-240),IF(AND('(橫掃)RX Mapping'!AN21&gt;=241,'(橫掃)RX Mapping'!AN21&lt;=360), ('(橫掃)RX Mapping'!AN21-241),IF(AND('(橫掃)RX Mapping'!AN21&gt;=361,'(橫掃)RX Mapping'!AN21&lt;=480), (-1)*('(橫掃)RX Mapping'!AN21-480),IF(AND('(橫掃)RX Mapping'!AN21&gt;=481,'(橫掃)RX Mapping'!AN21&lt;=600), ('(橫掃)RX Mapping'!AN21-361),IF(AND('(橫掃)RX Mapping'!AN21&gt;=601,'(橫掃)RX Mapping'!AN21&lt;=720), (-1)*('(橫掃)RX Mapping'!AN21-720)+120,IF(AND('(橫掃)RX Mapping'!AN21&gt;=721,'(橫掃)RX Mapping'!AN21&lt;=840), ('(橫掃)RX Mapping'!AN21-601),IF(AND('(橫掃)RX Mapping'!AN21&gt;=841,'(橫掃)RX Mapping'!AN21&lt;=960), (-1)*('(橫掃)RX Mapping'!AN21-960)+120,9999))))))))</f>
        <v>9999</v>
      </c>
      <c r="AO21">
        <f>IF(AND('(橫掃)RX Mapping'!AO21&gt;=1,'(橫掃)RX Mapping'!AO21&lt;=120), ('(橫掃)RX Mapping'!AO21-1),IF(AND('(橫掃)RX Mapping'!AO21&gt;=121,'(橫掃)RX Mapping'!AO21&lt;=240), (-1)*('(橫掃)RX Mapping'!AO21-240),IF(AND('(橫掃)RX Mapping'!AO21&gt;=241,'(橫掃)RX Mapping'!AO21&lt;=360), ('(橫掃)RX Mapping'!AO21-241),IF(AND('(橫掃)RX Mapping'!AO21&gt;=361,'(橫掃)RX Mapping'!AO21&lt;=480), (-1)*('(橫掃)RX Mapping'!AO21-480),IF(AND('(橫掃)RX Mapping'!AO21&gt;=481,'(橫掃)RX Mapping'!AO21&lt;=600), ('(橫掃)RX Mapping'!AO21-361),IF(AND('(橫掃)RX Mapping'!AO21&gt;=601,'(橫掃)RX Mapping'!AO21&lt;=720), (-1)*('(橫掃)RX Mapping'!AO21-720)+120,IF(AND('(橫掃)RX Mapping'!AO21&gt;=721,'(橫掃)RX Mapping'!AO21&lt;=840), ('(橫掃)RX Mapping'!AO21-601),IF(AND('(橫掃)RX Mapping'!AO21&gt;=841,'(橫掃)RX Mapping'!AO21&lt;=960), (-1)*('(橫掃)RX Mapping'!AO21-960)+120,9999))))))))</f>
        <v>9999</v>
      </c>
      <c r="AP21">
        <f>IF(AND('(橫掃)RX Mapping'!AP21&gt;=1,'(橫掃)RX Mapping'!AP21&lt;=120), ('(橫掃)RX Mapping'!AP21-1),IF(AND('(橫掃)RX Mapping'!AP21&gt;=121,'(橫掃)RX Mapping'!AP21&lt;=240), (-1)*('(橫掃)RX Mapping'!AP21-240),IF(AND('(橫掃)RX Mapping'!AP21&gt;=241,'(橫掃)RX Mapping'!AP21&lt;=360), ('(橫掃)RX Mapping'!AP21-241),IF(AND('(橫掃)RX Mapping'!AP21&gt;=361,'(橫掃)RX Mapping'!AP21&lt;=480), (-1)*('(橫掃)RX Mapping'!AP21-480),IF(AND('(橫掃)RX Mapping'!AP21&gt;=481,'(橫掃)RX Mapping'!AP21&lt;=600), ('(橫掃)RX Mapping'!AP21-361),IF(AND('(橫掃)RX Mapping'!AP21&gt;=601,'(橫掃)RX Mapping'!AP21&lt;=720), (-1)*('(橫掃)RX Mapping'!AP21-720)+120,IF(AND('(橫掃)RX Mapping'!AP21&gt;=721,'(橫掃)RX Mapping'!AP21&lt;=840), ('(橫掃)RX Mapping'!AP21-601),IF(AND('(橫掃)RX Mapping'!AP21&gt;=841,'(橫掃)RX Mapping'!AP21&lt;=960), (-1)*('(橫掃)RX Mapping'!AP21-960)+120,9999))))))))</f>
        <v>9999</v>
      </c>
      <c r="AQ21">
        <f>IF(AND('(橫掃)RX Mapping'!AQ21&gt;=1,'(橫掃)RX Mapping'!AQ21&lt;=120), ('(橫掃)RX Mapping'!AQ21-1),IF(AND('(橫掃)RX Mapping'!AQ21&gt;=121,'(橫掃)RX Mapping'!AQ21&lt;=240), (-1)*('(橫掃)RX Mapping'!AQ21-240),IF(AND('(橫掃)RX Mapping'!AQ21&gt;=241,'(橫掃)RX Mapping'!AQ21&lt;=360), ('(橫掃)RX Mapping'!AQ21-241),IF(AND('(橫掃)RX Mapping'!AQ21&gt;=361,'(橫掃)RX Mapping'!AQ21&lt;=480), (-1)*('(橫掃)RX Mapping'!AQ21-480),IF(AND('(橫掃)RX Mapping'!AQ21&gt;=481,'(橫掃)RX Mapping'!AQ21&lt;=600), ('(橫掃)RX Mapping'!AQ21-361),IF(AND('(橫掃)RX Mapping'!AQ21&gt;=601,'(橫掃)RX Mapping'!AQ21&lt;=720), (-1)*('(橫掃)RX Mapping'!AQ21-720)+120,IF(AND('(橫掃)RX Mapping'!AQ21&gt;=721,'(橫掃)RX Mapping'!AQ21&lt;=840), ('(橫掃)RX Mapping'!AQ21-601),IF(AND('(橫掃)RX Mapping'!AQ21&gt;=841,'(橫掃)RX Mapping'!AQ21&lt;=960), (-1)*('(橫掃)RX Mapping'!AQ21-960)+120,9999))))))))</f>
        <v>9999</v>
      </c>
      <c r="AR21">
        <f>IF(AND('(橫掃)RX Mapping'!AR21&gt;=1,'(橫掃)RX Mapping'!AR21&lt;=120), ('(橫掃)RX Mapping'!AR21-1),IF(AND('(橫掃)RX Mapping'!AR21&gt;=121,'(橫掃)RX Mapping'!AR21&lt;=240), (-1)*('(橫掃)RX Mapping'!AR21-240),IF(AND('(橫掃)RX Mapping'!AR21&gt;=241,'(橫掃)RX Mapping'!AR21&lt;=360), ('(橫掃)RX Mapping'!AR21-241),IF(AND('(橫掃)RX Mapping'!AR21&gt;=361,'(橫掃)RX Mapping'!AR21&lt;=480), (-1)*('(橫掃)RX Mapping'!AR21-480),IF(AND('(橫掃)RX Mapping'!AR21&gt;=481,'(橫掃)RX Mapping'!AR21&lt;=600), ('(橫掃)RX Mapping'!AR21-361),IF(AND('(橫掃)RX Mapping'!AR21&gt;=601,'(橫掃)RX Mapping'!AR21&lt;=720), (-1)*('(橫掃)RX Mapping'!AR21-720)+120,IF(AND('(橫掃)RX Mapping'!AR21&gt;=721,'(橫掃)RX Mapping'!AR21&lt;=840), ('(橫掃)RX Mapping'!AR21-601),IF(AND('(橫掃)RX Mapping'!AR21&gt;=841,'(橫掃)RX Mapping'!AR21&lt;=960), (-1)*('(橫掃)RX Mapping'!AR21-960)+120,9999))))))))</f>
        <v>9999</v>
      </c>
      <c r="AS21">
        <f>IF(AND('(橫掃)RX Mapping'!AS21&gt;=1,'(橫掃)RX Mapping'!AS21&lt;=120), ('(橫掃)RX Mapping'!AS21-1),IF(AND('(橫掃)RX Mapping'!AS21&gt;=121,'(橫掃)RX Mapping'!AS21&lt;=240), (-1)*('(橫掃)RX Mapping'!AS21-240),IF(AND('(橫掃)RX Mapping'!AS21&gt;=241,'(橫掃)RX Mapping'!AS21&lt;=360), ('(橫掃)RX Mapping'!AS21-241),IF(AND('(橫掃)RX Mapping'!AS21&gt;=361,'(橫掃)RX Mapping'!AS21&lt;=480), (-1)*('(橫掃)RX Mapping'!AS21-480),IF(AND('(橫掃)RX Mapping'!AS21&gt;=481,'(橫掃)RX Mapping'!AS21&lt;=600), ('(橫掃)RX Mapping'!AS21-361),IF(AND('(橫掃)RX Mapping'!AS21&gt;=601,'(橫掃)RX Mapping'!AS21&lt;=720), (-1)*('(橫掃)RX Mapping'!AS21-720)+120,IF(AND('(橫掃)RX Mapping'!AS21&gt;=721,'(橫掃)RX Mapping'!AS21&lt;=840), ('(橫掃)RX Mapping'!AS21-601),IF(AND('(橫掃)RX Mapping'!AS21&gt;=841,'(橫掃)RX Mapping'!AS21&lt;=960), (-1)*('(橫掃)RX Mapping'!AS21-960)+120,9999))))))))</f>
        <v>9999</v>
      </c>
      <c r="AT21">
        <f>IF(AND('(橫掃)RX Mapping'!AT21&gt;=1,'(橫掃)RX Mapping'!AT21&lt;=120), ('(橫掃)RX Mapping'!AT21-1),IF(AND('(橫掃)RX Mapping'!AT21&gt;=121,'(橫掃)RX Mapping'!AT21&lt;=240), (-1)*('(橫掃)RX Mapping'!AT21-240),IF(AND('(橫掃)RX Mapping'!AT21&gt;=241,'(橫掃)RX Mapping'!AT21&lt;=360), ('(橫掃)RX Mapping'!AT21-241),IF(AND('(橫掃)RX Mapping'!AT21&gt;=361,'(橫掃)RX Mapping'!AT21&lt;=480), (-1)*('(橫掃)RX Mapping'!AT21-480),IF(AND('(橫掃)RX Mapping'!AT21&gt;=481,'(橫掃)RX Mapping'!AT21&lt;=600), ('(橫掃)RX Mapping'!AT21-361),IF(AND('(橫掃)RX Mapping'!AT21&gt;=601,'(橫掃)RX Mapping'!AT21&lt;=720), (-1)*('(橫掃)RX Mapping'!AT21-720)+120,IF(AND('(橫掃)RX Mapping'!AT21&gt;=721,'(橫掃)RX Mapping'!AT21&lt;=840), ('(橫掃)RX Mapping'!AT21-601),IF(AND('(橫掃)RX Mapping'!AT21&gt;=841,'(橫掃)RX Mapping'!AT21&lt;=960), (-1)*('(橫掃)RX Mapping'!AT21-960)+120,9999))))))))</f>
        <v>9999</v>
      </c>
      <c r="AU21">
        <f>IF(AND('(橫掃)RX Mapping'!AU21&gt;=1,'(橫掃)RX Mapping'!AU21&lt;=120), ('(橫掃)RX Mapping'!AU21-1),IF(AND('(橫掃)RX Mapping'!AU21&gt;=121,'(橫掃)RX Mapping'!AU21&lt;=240), (-1)*('(橫掃)RX Mapping'!AU21-240),IF(AND('(橫掃)RX Mapping'!AU21&gt;=241,'(橫掃)RX Mapping'!AU21&lt;=360), ('(橫掃)RX Mapping'!AU21-241),IF(AND('(橫掃)RX Mapping'!AU21&gt;=361,'(橫掃)RX Mapping'!AU21&lt;=480), (-1)*('(橫掃)RX Mapping'!AU21-480),IF(AND('(橫掃)RX Mapping'!AU21&gt;=481,'(橫掃)RX Mapping'!AU21&lt;=600), ('(橫掃)RX Mapping'!AU21-361),IF(AND('(橫掃)RX Mapping'!AU21&gt;=601,'(橫掃)RX Mapping'!AU21&lt;=720), (-1)*('(橫掃)RX Mapping'!AU21-720)+120,IF(AND('(橫掃)RX Mapping'!AU21&gt;=721,'(橫掃)RX Mapping'!AU21&lt;=840), ('(橫掃)RX Mapping'!AU21-601),IF(AND('(橫掃)RX Mapping'!AU21&gt;=841,'(橫掃)RX Mapping'!AU21&lt;=960), (-1)*('(橫掃)RX Mapping'!AU21-960)+120,9999))))))))</f>
        <v>9999</v>
      </c>
      <c r="AV21">
        <f>IF(AND('(橫掃)RX Mapping'!AV21&gt;=1,'(橫掃)RX Mapping'!AV21&lt;=120), ('(橫掃)RX Mapping'!AV21-1),IF(AND('(橫掃)RX Mapping'!AV21&gt;=121,'(橫掃)RX Mapping'!AV21&lt;=240), (-1)*('(橫掃)RX Mapping'!AV21-240),IF(AND('(橫掃)RX Mapping'!AV21&gt;=241,'(橫掃)RX Mapping'!AV21&lt;=360), ('(橫掃)RX Mapping'!AV21-241),IF(AND('(橫掃)RX Mapping'!AV21&gt;=361,'(橫掃)RX Mapping'!AV21&lt;=480), (-1)*('(橫掃)RX Mapping'!AV21-480),IF(AND('(橫掃)RX Mapping'!AV21&gt;=481,'(橫掃)RX Mapping'!AV21&lt;=600), ('(橫掃)RX Mapping'!AV21-361),IF(AND('(橫掃)RX Mapping'!AV21&gt;=601,'(橫掃)RX Mapping'!AV21&lt;=720), (-1)*('(橫掃)RX Mapping'!AV21-720)+120,IF(AND('(橫掃)RX Mapping'!AV21&gt;=721,'(橫掃)RX Mapping'!AV21&lt;=840), ('(橫掃)RX Mapping'!AV21-601),IF(AND('(橫掃)RX Mapping'!AV21&gt;=841,'(橫掃)RX Mapping'!AV21&lt;=960), (-1)*('(橫掃)RX Mapping'!AV21-960)+120,9999))))))))</f>
        <v>9999</v>
      </c>
      <c r="AW21">
        <f>IF(AND('(橫掃)RX Mapping'!AW21&gt;=1,'(橫掃)RX Mapping'!AW21&lt;=120), ('(橫掃)RX Mapping'!AW21-1),IF(AND('(橫掃)RX Mapping'!AW21&gt;=121,'(橫掃)RX Mapping'!AW21&lt;=240), (-1)*('(橫掃)RX Mapping'!AW21-240),IF(AND('(橫掃)RX Mapping'!AW21&gt;=241,'(橫掃)RX Mapping'!AW21&lt;=360), ('(橫掃)RX Mapping'!AW21-241),IF(AND('(橫掃)RX Mapping'!AW21&gt;=361,'(橫掃)RX Mapping'!AW21&lt;=480), (-1)*('(橫掃)RX Mapping'!AW21-480),IF(AND('(橫掃)RX Mapping'!AW21&gt;=481,'(橫掃)RX Mapping'!AW21&lt;=600), ('(橫掃)RX Mapping'!AW21-361),IF(AND('(橫掃)RX Mapping'!AW21&gt;=601,'(橫掃)RX Mapping'!AW21&lt;=720), (-1)*('(橫掃)RX Mapping'!AW21-720)+120,IF(AND('(橫掃)RX Mapping'!AW21&gt;=721,'(橫掃)RX Mapping'!AW21&lt;=840), ('(橫掃)RX Mapping'!AW21-601),IF(AND('(橫掃)RX Mapping'!AW21&gt;=841,'(橫掃)RX Mapping'!AW21&lt;=960), (-1)*('(橫掃)RX Mapping'!AW21-960)+120,9999))))))))</f>
        <v>9999</v>
      </c>
      <c r="AX21">
        <f>IF(AND('(橫掃)RX Mapping'!AX21&gt;=1,'(橫掃)RX Mapping'!AX21&lt;=120), ('(橫掃)RX Mapping'!AX21-1),IF(AND('(橫掃)RX Mapping'!AX21&gt;=121,'(橫掃)RX Mapping'!AX21&lt;=240), (-1)*('(橫掃)RX Mapping'!AX21-240),IF(AND('(橫掃)RX Mapping'!AX21&gt;=241,'(橫掃)RX Mapping'!AX21&lt;=360), ('(橫掃)RX Mapping'!AX21-241),IF(AND('(橫掃)RX Mapping'!AX21&gt;=361,'(橫掃)RX Mapping'!AX21&lt;=480), (-1)*('(橫掃)RX Mapping'!AX21-480),IF(AND('(橫掃)RX Mapping'!AX21&gt;=481,'(橫掃)RX Mapping'!AX21&lt;=600), ('(橫掃)RX Mapping'!AX21-361),IF(AND('(橫掃)RX Mapping'!AX21&gt;=601,'(橫掃)RX Mapping'!AX21&lt;=720), (-1)*('(橫掃)RX Mapping'!AX21-720)+120,IF(AND('(橫掃)RX Mapping'!AX21&gt;=721,'(橫掃)RX Mapping'!AX21&lt;=840), ('(橫掃)RX Mapping'!AX21-601),IF(AND('(橫掃)RX Mapping'!AX21&gt;=841,'(橫掃)RX Mapping'!AX21&lt;=960), (-1)*('(橫掃)RX Mapping'!AX21-960)+120,9999))))))))</f>
        <v>9999</v>
      </c>
      <c r="AY21">
        <f>IF(AND('(橫掃)RX Mapping'!AY21&gt;=1,'(橫掃)RX Mapping'!AY21&lt;=120), ('(橫掃)RX Mapping'!AY21-1),IF(AND('(橫掃)RX Mapping'!AY21&gt;=121,'(橫掃)RX Mapping'!AY21&lt;=240), (-1)*('(橫掃)RX Mapping'!AY21-240),IF(AND('(橫掃)RX Mapping'!AY21&gt;=241,'(橫掃)RX Mapping'!AY21&lt;=360), ('(橫掃)RX Mapping'!AY21-241),IF(AND('(橫掃)RX Mapping'!AY21&gt;=361,'(橫掃)RX Mapping'!AY21&lt;=480), (-1)*('(橫掃)RX Mapping'!AY21-480),IF(AND('(橫掃)RX Mapping'!AY21&gt;=481,'(橫掃)RX Mapping'!AY21&lt;=600), ('(橫掃)RX Mapping'!AY21-361),IF(AND('(橫掃)RX Mapping'!AY21&gt;=601,'(橫掃)RX Mapping'!AY21&lt;=720), (-1)*('(橫掃)RX Mapping'!AY21-720)+120,IF(AND('(橫掃)RX Mapping'!AY21&gt;=721,'(橫掃)RX Mapping'!AY21&lt;=840), ('(橫掃)RX Mapping'!AY21-601),IF(AND('(橫掃)RX Mapping'!AY21&gt;=841,'(橫掃)RX Mapping'!AY21&lt;=960), (-1)*('(橫掃)RX Mapping'!AY21-960)+120,9999))))))))</f>
        <v>9999</v>
      </c>
      <c r="AZ21">
        <f>IF(AND('(橫掃)RX Mapping'!AZ21&gt;=1,'(橫掃)RX Mapping'!AZ21&lt;=120), ('(橫掃)RX Mapping'!AZ21-1),IF(AND('(橫掃)RX Mapping'!AZ21&gt;=121,'(橫掃)RX Mapping'!AZ21&lt;=240), (-1)*('(橫掃)RX Mapping'!AZ21-240),IF(AND('(橫掃)RX Mapping'!AZ21&gt;=241,'(橫掃)RX Mapping'!AZ21&lt;=360), ('(橫掃)RX Mapping'!AZ21-241),IF(AND('(橫掃)RX Mapping'!AZ21&gt;=361,'(橫掃)RX Mapping'!AZ21&lt;=480), (-1)*('(橫掃)RX Mapping'!AZ21-480),IF(AND('(橫掃)RX Mapping'!AZ21&gt;=481,'(橫掃)RX Mapping'!AZ21&lt;=600), ('(橫掃)RX Mapping'!AZ21-361),IF(AND('(橫掃)RX Mapping'!AZ21&gt;=601,'(橫掃)RX Mapping'!AZ21&lt;=720), (-1)*('(橫掃)RX Mapping'!AZ21-720)+120,IF(AND('(橫掃)RX Mapping'!AZ21&gt;=721,'(橫掃)RX Mapping'!AZ21&lt;=840), ('(橫掃)RX Mapping'!AZ21-601),IF(AND('(橫掃)RX Mapping'!AZ21&gt;=841,'(橫掃)RX Mapping'!AZ21&lt;=960), (-1)*('(橫掃)RX Mapping'!AZ21-960)+120,9999))))))))</f>
        <v>9999</v>
      </c>
      <c r="BA21">
        <f>IF(AND('(橫掃)RX Mapping'!BA21&gt;=1,'(橫掃)RX Mapping'!BA21&lt;=120), ('(橫掃)RX Mapping'!BA21-1),IF(AND('(橫掃)RX Mapping'!BA21&gt;=121,'(橫掃)RX Mapping'!BA21&lt;=240), (-1)*('(橫掃)RX Mapping'!BA21-240),IF(AND('(橫掃)RX Mapping'!BA21&gt;=241,'(橫掃)RX Mapping'!BA21&lt;=360), ('(橫掃)RX Mapping'!BA21-241),IF(AND('(橫掃)RX Mapping'!BA21&gt;=361,'(橫掃)RX Mapping'!BA21&lt;=480), (-1)*('(橫掃)RX Mapping'!BA21-480),IF(AND('(橫掃)RX Mapping'!BA21&gt;=481,'(橫掃)RX Mapping'!BA21&lt;=600), ('(橫掃)RX Mapping'!BA21-361),IF(AND('(橫掃)RX Mapping'!BA21&gt;=601,'(橫掃)RX Mapping'!BA21&lt;=720), (-1)*('(橫掃)RX Mapping'!BA21-720)+120,IF(AND('(橫掃)RX Mapping'!BA21&gt;=721,'(橫掃)RX Mapping'!BA21&lt;=840), ('(橫掃)RX Mapping'!BA21-601),IF(AND('(橫掃)RX Mapping'!BA21&gt;=841,'(橫掃)RX Mapping'!BA21&lt;=960), (-1)*('(橫掃)RX Mapping'!BA21-960)+120,9999))))))))</f>
        <v>9999</v>
      </c>
      <c r="BB21">
        <f>IF(AND('(橫掃)RX Mapping'!BB21&gt;=1,'(橫掃)RX Mapping'!BB21&lt;=120), ('(橫掃)RX Mapping'!BB21-1),IF(AND('(橫掃)RX Mapping'!BB21&gt;=121,'(橫掃)RX Mapping'!BB21&lt;=240), (-1)*('(橫掃)RX Mapping'!BB21-240),IF(AND('(橫掃)RX Mapping'!BB21&gt;=241,'(橫掃)RX Mapping'!BB21&lt;=360), ('(橫掃)RX Mapping'!BB21-241),IF(AND('(橫掃)RX Mapping'!BB21&gt;=361,'(橫掃)RX Mapping'!BB21&lt;=480), (-1)*('(橫掃)RX Mapping'!BB21-480),IF(AND('(橫掃)RX Mapping'!BB21&gt;=481,'(橫掃)RX Mapping'!BB21&lt;=600), ('(橫掃)RX Mapping'!BB21-361),IF(AND('(橫掃)RX Mapping'!BB21&gt;=601,'(橫掃)RX Mapping'!BB21&lt;=720), (-1)*('(橫掃)RX Mapping'!BB21-720)+120,IF(AND('(橫掃)RX Mapping'!BB21&gt;=721,'(橫掃)RX Mapping'!BB21&lt;=840), ('(橫掃)RX Mapping'!BB21-601),IF(AND('(橫掃)RX Mapping'!BB21&gt;=841,'(橫掃)RX Mapping'!BB21&lt;=960), (-1)*('(橫掃)RX Mapping'!BB21-960)+120,9999))))))))</f>
        <v>9999</v>
      </c>
      <c r="BC21">
        <f>IF(AND('(橫掃)RX Mapping'!BC21&gt;=1,'(橫掃)RX Mapping'!BC21&lt;=120), ('(橫掃)RX Mapping'!BC21-1),IF(AND('(橫掃)RX Mapping'!BC21&gt;=121,'(橫掃)RX Mapping'!BC21&lt;=240), (-1)*('(橫掃)RX Mapping'!BC21-240),IF(AND('(橫掃)RX Mapping'!BC21&gt;=241,'(橫掃)RX Mapping'!BC21&lt;=360), ('(橫掃)RX Mapping'!BC21-241),IF(AND('(橫掃)RX Mapping'!BC21&gt;=361,'(橫掃)RX Mapping'!BC21&lt;=480), (-1)*('(橫掃)RX Mapping'!BC21-480),IF(AND('(橫掃)RX Mapping'!BC21&gt;=481,'(橫掃)RX Mapping'!BC21&lt;=600), ('(橫掃)RX Mapping'!BC21-361),IF(AND('(橫掃)RX Mapping'!BC21&gt;=601,'(橫掃)RX Mapping'!BC21&lt;=720), (-1)*('(橫掃)RX Mapping'!BC21-720)+120,IF(AND('(橫掃)RX Mapping'!BC21&gt;=721,'(橫掃)RX Mapping'!BC21&lt;=840), ('(橫掃)RX Mapping'!BC21-601),IF(AND('(橫掃)RX Mapping'!BC21&gt;=841,'(橫掃)RX Mapping'!BC21&lt;=960), (-1)*('(橫掃)RX Mapping'!BC21-960)+120,9999))))))))</f>
        <v>9999</v>
      </c>
      <c r="BD21">
        <f>IF(AND('(橫掃)RX Mapping'!BD21&gt;=1,'(橫掃)RX Mapping'!BD21&lt;=120), ('(橫掃)RX Mapping'!BD21-1),IF(AND('(橫掃)RX Mapping'!BD21&gt;=121,'(橫掃)RX Mapping'!BD21&lt;=240), (-1)*('(橫掃)RX Mapping'!BD21-240),IF(AND('(橫掃)RX Mapping'!BD21&gt;=241,'(橫掃)RX Mapping'!BD21&lt;=360), ('(橫掃)RX Mapping'!BD21-241),IF(AND('(橫掃)RX Mapping'!BD21&gt;=361,'(橫掃)RX Mapping'!BD21&lt;=480), (-1)*('(橫掃)RX Mapping'!BD21-480),IF(AND('(橫掃)RX Mapping'!BD21&gt;=481,'(橫掃)RX Mapping'!BD21&lt;=600), ('(橫掃)RX Mapping'!BD21-361),IF(AND('(橫掃)RX Mapping'!BD21&gt;=601,'(橫掃)RX Mapping'!BD21&lt;=720), (-1)*('(橫掃)RX Mapping'!BD21-720)+120,IF(AND('(橫掃)RX Mapping'!BD21&gt;=721,'(橫掃)RX Mapping'!BD21&lt;=840), ('(橫掃)RX Mapping'!BD21-601),IF(AND('(橫掃)RX Mapping'!BD21&gt;=841,'(橫掃)RX Mapping'!BD21&lt;=960), (-1)*('(橫掃)RX Mapping'!BD21-960)+120,9999))))))))</f>
        <v>9999</v>
      </c>
      <c r="BE21">
        <f>IF(AND('(橫掃)RX Mapping'!BE21&gt;=1,'(橫掃)RX Mapping'!BE21&lt;=120), ('(橫掃)RX Mapping'!BE21-1),IF(AND('(橫掃)RX Mapping'!BE21&gt;=121,'(橫掃)RX Mapping'!BE21&lt;=240), (-1)*('(橫掃)RX Mapping'!BE21-240),IF(AND('(橫掃)RX Mapping'!BE21&gt;=241,'(橫掃)RX Mapping'!BE21&lt;=360), ('(橫掃)RX Mapping'!BE21-241),IF(AND('(橫掃)RX Mapping'!BE21&gt;=361,'(橫掃)RX Mapping'!BE21&lt;=480), (-1)*('(橫掃)RX Mapping'!BE21-480),IF(AND('(橫掃)RX Mapping'!BE21&gt;=481,'(橫掃)RX Mapping'!BE21&lt;=600), ('(橫掃)RX Mapping'!BE21-361),IF(AND('(橫掃)RX Mapping'!BE21&gt;=601,'(橫掃)RX Mapping'!BE21&lt;=720), (-1)*('(橫掃)RX Mapping'!BE21-720)+120,IF(AND('(橫掃)RX Mapping'!BE21&gt;=721,'(橫掃)RX Mapping'!BE21&lt;=840), ('(橫掃)RX Mapping'!BE21-601),IF(AND('(橫掃)RX Mapping'!BE21&gt;=841,'(橫掃)RX Mapping'!BE21&lt;=960), (-1)*('(橫掃)RX Mapping'!BE21-960)+120,9999))))))))</f>
        <v>9999</v>
      </c>
      <c r="BF21">
        <f>IF(AND('(橫掃)RX Mapping'!BF21&gt;=1,'(橫掃)RX Mapping'!BF21&lt;=120), ('(橫掃)RX Mapping'!BF21-1),IF(AND('(橫掃)RX Mapping'!BF21&gt;=121,'(橫掃)RX Mapping'!BF21&lt;=240), (-1)*('(橫掃)RX Mapping'!BF21-240),IF(AND('(橫掃)RX Mapping'!BF21&gt;=241,'(橫掃)RX Mapping'!BF21&lt;=360), ('(橫掃)RX Mapping'!BF21-241),IF(AND('(橫掃)RX Mapping'!BF21&gt;=361,'(橫掃)RX Mapping'!BF21&lt;=480), (-1)*('(橫掃)RX Mapping'!BF21-480),IF(AND('(橫掃)RX Mapping'!BF21&gt;=481,'(橫掃)RX Mapping'!BF21&lt;=600), ('(橫掃)RX Mapping'!BF21-361),IF(AND('(橫掃)RX Mapping'!BF21&gt;=601,'(橫掃)RX Mapping'!BF21&lt;=720), (-1)*('(橫掃)RX Mapping'!BF21-720)+120,IF(AND('(橫掃)RX Mapping'!BF21&gt;=721,'(橫掃)RX Mapping'!BF21&lt;=840), ('(橫掃)RX Mapping'!BF21-601),IF(AND('(橫掃)RX Mapping'!BF21&gt;=841,'(橫掃)RX Mapping'!BF21&lt;=960), (-1)*('(橫掃)RX Mapping'!BF21-960)+120,9999))))))))</f>
        <v>9999</v>
      </c>
      <c r="BG21">
        <f>IF(AND('(橫掃)RX Mapping'!BG21&gt;=1,'(橫掃)RX Mapping'!BG21&lt;=120), ('(橫掃)RX Mapping'!BG21-1),IF(AND('(橫掃)RX Mapping'!BG21&gt;=121,'(橫掃)RX Mapping'!BG21&lt;=240), (-1)*('(橫掃)RX Mapping'!BG21-240),IF(AND('(橫掃)RX Mapping'!BG21&gt;=241,'(橫掃)RX Mapping'!BG21&lt;=360), ('(橫掃)RX Mapping'!BG21-241),IF(AND('(橫掃)RX Mapping'!BG21&gt;=361,'(橫掃)RX Mapping'!BG21&lt;=480), (-1)*('(橫掃)RX Mapping'!BG21-480),IF(AND('(橫掃)RX Mapping'!BG21&gt;=481,'(橫掃)RX Mapping'!BG21&lt;=600), ('(橫掃)RX Mapping'!BG21-361),IF(AND('(橫掃)RX Mapping'!BG21&gt;=601,'(橫掃)RX Mapping'!BG21&lt;=720), (-1)*('(橫掃)RX Mapping'!BG21-720)+120,IF(AND('(橫掃)RX Mapping'!BG21&gt;=721,'(橫掃)RX Mapping'!BG21&lt;=840), ('(橫掃)RX Mapping'!BG21-601),IF(AND('(橫掃)RX Mapping'!BG21&gt;=841,'(橫掃)RX Mapping'!BG21&lt;=960), (-1)*('(橫掃)RX Mapping'!BG21-960)+120,9999))))))))</f>
        <v>9999</v>
      </c>
      <c r="BH21">
        <f>IF(AND('(橫掃)RX Mapping'!BH21&gt;=1,'(橫掃)RX Mapping'!BH21&lt;=120), ('(橫掃)RX Mapping'!BH21-1),IF(AND('(橫掃)RX Mapping'!BH21&gt;=121,'(橫掃)RX Mapping'!BH21&lt;=240), (-1)*('(橫掃)RX Mapping'!BH21-240),IF(AND('(橫掃)RX Mapping'!BH21&gt;=241,'(橫掃)RX Mapping'!BH21&lt;=360), ('(橫掃)RX Mapping'!BH21-241),IF(AND('(橫掃)RX Mapping'!BH21&gt;=361,'(橫掃)RX Mapping'!BH21&lt;=480), (-1)*('(橫掃)RX Mapping'!BH21-480),IF(AND('(橫掃)RX Mapping'!BH21&gt;=481,'(橫掃)RX Mapping'!BH21&lt;=600), ('(橫掃)RX Mapping'!BH21-361),IF(AND('(橫掃)RX Mapping'!BH21&gt;=601,'(橫掃)RX Mapping'!BH21&lt;=720), (-1)*('(橫掃)RX Mapping'!BH21-720)+120,IF(AND('(橫掃)RX Mapping'!BH21&gt;=721,'(橫掃)RX Mapping'!BH21&lt;=840), ('(橫掃)RX Mapping'!BH21-601),IF(AND('(橫掃)RX Mapping'!BH21&gt;=841,'(橫掃)RX Mapping'!BH21&lt;=960), (-1)*('(橫掃)RX Mapping'!BH21-960)+120,9999))))))))</f>
        <v>9999</v>
      </c>
      <c r="BI21">
        <f>IF(AND('(橫掃)RX Mapping'!BI21&gt;=1,'(橫掃)RX Mapping'!BI21&lt;=120), ('(橫掃)RX Mapping'!BI21-1),IF(AND('(橫掃)RX Mapping'!BI21&gt;=121,'(橫掃)RX Mapping'!BI21&lt;=240), (-1)*('(橫掃)RX Mapping'!BI21-240),IF(AND('(橫掃)RX Mapping'!BI21&gt;=241,'(橫掃)RX Mapping'!BI21&lt;=360), ('(橫掃)RX Mapping'!BI21-241),IF(AND('(橫掃)RX Mapping'!BI21&gt;=361,'(橫掃)RX Mapping'!BI21&lt;=480), (-1)*('(橫掃)RX Mapping'!BI21-480),IF(AND('(橫掃)RX Mapping'!BI21&gt;=481,'(橫掃)RX Mapping'!BI21&lt;=600), ('(橫掃)RX Mapping'!BI21-361),IF(AND('(橫掃)RX Mapping'!BI21&gt;=601,'(橫掃)RX Mapping'!BI21&lt;=720), (-1)*('(橫掃)RX Mapping'!BI21-720)+120,IF(AND('(橫掃)RX Mapping'!BI21&gt;=721,'(橫掃)RX Mapping'!BI21&lt;=840), ('(橫掃)RX Mapping'!BI21-601),IF(AND('(橫掃)RX Mapping'!BI21&gt;=841,'(橫掃)RX Mapping'!BI21&lt;=960), (-1)*('(橫掃)RX Mapping'!BI21-960)+120,9999))))))))</f>
        <v>9999</v>
      </c>
    </row>
    <row r="22" spans="1:61" x14ac:dyDescent="0.25">
      <c r="A22" s="20">
        <v>21</v>
      </c>
      <c r="B22">
        <f>IF(AND('(橫掃)RX Mapping'!B22&gt;=1,'(橫掃)RX Mapping'!B22&lt;=120), ('(橫掃)RX Mapping'!B22-1),IF(AND('(橫掃)RX Mapping'!B22&gt;=121,'(橫掃)RX Mapping'!B22&lt;=240), (-1)*('(橫掃)RX Mapping'!B22-240),IF(AND('(橫掃)RX Mapping'!B22&gt;=241,'(橫掃)RX Mapping'!B22&lt;=360), ('(橫掃)RX Mapping'!B22-241),IF(AND('(橫掃)RX Mapping'!B22&gt;=361,'(橫掃)RX Mapping'!B22&lt;=480), (-1)*('(橫掃)RX Mapping'!B22-480),IF(AND('(橫掃)RX Mapping'!B22&gt;=481,'(橫掃)RX Mapping'!B22&lt;=600), ('(橫掃)RX Mapping'!B22-361),IF(AND('(橫掃)RX Mapping'!B22&gt;=601,'(橫掃)RX Mapping'!B22&lt;=720), (-1)*('(橫掃)RX Mapping'!B22-720)+120,IF(AND('(橫掃)RX Mapping'!B22&gt;=721,'(橫掃)RX Mapping'!B22&lt;=840), ('(橫掃)RX Mapping'!B22-601),IF(AND('(橫掃)RX Mapping'!B22&gt;=841,'(橫掃)RX Mapping'!B22&lt;=960), (-1)*('(橫掃)RX Mapping'!B22-960)+120,9999))))))))</f>
        <v>20</v>
      </c>
      <c r="C22">
        <f>IF(AND('(橫掃)RX Mapping'!C22&gt;=1,'(橫掃)RX Mapping'!C22&lt;=120), ('(橫掃)RX Mapping'!C22-1),IF(AND('(橫掃)RX Mapping'!C22&gt;=121,'(橫掃)RX Mapping'!C22&lt;=240), (-1)*('(橫掃)RX Mapping'!C22-240),IF(AND('(橫掃)RX Mapping'!C22&gt;=241,'(橫掃)RX Mapping'!C22&lt;=360), ('(橫掃)RX Mapping'!C22-241),IF(AND('(橫掃)RX Mapping'!C22&gt;=361,'(橫掃)RX Mapping'!C22&lt;=480), (-1)*('(橫掃)RX Mapping'!C22-480),IF(AND('(橫掃)RX Mapping'!C22&gt;=481,'(橫掃)RX Mapping'!C22&lt;=600), ('(橫掃)RX Mapping'!C22-361),IF(AND('(橫掃)RX Mapping'!C22&gt;=601,'(橫掃)RX Mapping'!C22&lt;=720), (-1)*('(橫掃)RX Mapping'!C22-720)+120,IF(AND('(橫掃)RX Mapping'!C22&gt;=721,'(橫掃)RX Mapping'!C22&lt;=840), ('(橫掃)RX Mapping'!C22-601),IF(AND('(橫掃)RX Mapping'!C22&gt;=841,'(橫掃)RX Mapping'!C22&lt;=960), (-1)*('(橫掃)RX Mapping'!C22-960)+120,9999))))))))</f>
        <v>52</v>
      </c>
      <c r="D22">
        <f>IF(AND('(橫掃)RX Mapping'!D22&gt;=1,'(橫掃)RX Mapping'!D22&lt;=120), ('(橫掃)RX Mapping'!D22-1),IF(AND('(橫掃)RX Mapping'!D22&gt;=121,'(橫掃)RX Mapping'!D22&lt;=240), (-1)*('(橫掃)RX Mapping'!D22-240),IF(AND('(橫掃)RX Mapping'!D22&gt;=241,'(橫掃)RX Mapping'!D22&lt;=360), ('(橫掃)RX Mapping'!D22-241),IF(AND('(橫掃)RX Mapping'!D22&gt;=361,'(橫掃)RX Mapping'!D22&lt;=480), (-1)*('(橫掃)RX Mapping'!D22-480),IF(AND('(橫掃)RX Mapping'!D22&gt;=481,'(橫掃)RX Mapping'!D22&lt;=600), ('(橫掃)RX Mapping'!D22-361),IF(AND('(橫掃)RX Mapping'!D22&gt;=601,'(橫掃)RX Mapping'!D22&lt;=720), (-1)*('(橫掃)RX Mapping'!D22-720)+120,IF(AND('(橫掃)RX Mapping'!D22&gt;=721,'(橫掃)RX Mapping'!D22&lt;=840), ('(橫掃)RX Mapping'!D22-601),IF(AND('(橫掃)RX Mapping'!D22&gt;=841,'(橫掃)RX Mapping'!D22&lt;=960), (-1)*('(橫掃)RX Mapping'!D22-960)+120,9999))))))))</f>
        <v>84</v>
      </c>
      <c r="E22">
        <f>IF(AND('(橫掃)RX Mapping'!E22&gt;=1,'(橫掃)RX Mapping'!E22&lt;=120), ('(橫掃)RX Mapping'!E22-1),IF(AND('(橫掃)RX Mapping'!E22&gt;=121,'(橫掃)RX Mapping'!E22&lt;=240), (-1)*('(橫掃)RX Mapping'!E22-240),IF(AND('(橫掃)RX Mapping'!E22&gt;=241,'(橫掃)RX Mapping'!E22&lt;=360), ('(橫掃)RX Mapping'!E22-241),IF(AND('(橫掃)RX Mapping'!E22&gt;=361,'(橫掃)RX Mapping'!E22&lt;=480), (-1)*('(橫掃)RX Mapping'!E22-480),IF(AND('(橫掃)RX Mapping'!E22&gt;=481,'(橫掃)RX Mapping'!E22&lt;=600), ('(橫掃)RX Mapping'!E22-361),IF(AND('(橫掃)RX Mapping'!E22&gt;=601,'(橫掃)RX Mapping'!E22&lt;=720), (-1)*('(橫掃)RX Mapping'!E22-720)+120,IF(AND('(橫掃)RX Mapping'!E22&gt;=721,'(橫掃)RX Mapping'!E22&lt;=840), ('(橫掃)RX Mapping'!E22-601),IF(AND('(橫掃)RX Mapping'!E22&gt;=841,'(橫掃)RX Mapping'!E22&lt;=960), (-1)*('(橫掃)RX Mapping'!E22-960)+120,9999))))))))</f>
        <v>116</v>
      </c>
      <c r="F22">
        <f>IF(AND('(橫掃)RX Mapping'!F22&gt;=1,'(橫掃)RX Mapping'!F22&lt;=120), ('(橫掃)RX Mapping'!F22-1),IF(AND('(橫掃)RX Mapping'!F22&gt;=121,'(橫掃)RX Mapping'!F22&lt;=240), (-1)*('(橫掃)RX Mapping'!F22-240),IF(AND('(橫掃)RX Mapping'!F22&gt;=241,'(橫掃)RX Mapping'!F22&lt;=360), ('(橫掃)RX Mapping'!F22-241),IF(AND('(橫掃)RX Mapping'!F22&gt;=361,'(橫掃)RX Mapping'!F22&lt;=480), (-1)*('(橫掃)RX Mapping'!F22-480),IF(AND('(橫掃)RX Mapping'!F22&gt;=481,'(橫掃)RX Mapping'!F22&lt;=600), ('(橫掃)RX Mapping'!F22-361),IF(AND('(橫掃)RX Mapping'!F22&gt;=601,'(橫掃)RX Mapping'!F22&lt;=720), (-1)*('(橫掃)RX Mapping'!F22-720)+120,IF(AND('(橫掃)RX Mapping'!F22&gt;=721,'(橫掃)RX Mapping'!F22&lt;=840), ('(橫掃)RX Mapping'!F22-601),IF(AND('(橫掃)RX Mapping'!F22&gt;=841,'(橫掃)RX Mapping'!F22&lt;=960), (-1)*('(橫掃)RX Mapping'!F22-960)+120,9999))))))))</f>
        <v>91</v>
      </c>
      <c r="G22">
        <f>IF(AND('(橫掃)RX Mapping'!G22&gt;=1,'(橫掃)RX Mapping'!G22&lt;=120), ('(橫掃)RX Mapping'!G22-1),IF(AND('(橫掃)RX Mapping'!G22&gt;=121,'(橫掃)RX Mapping'!G22&lt;=240), (-1)*('(橫掃)RX Mapping'!G22-240),IF(AND('(橫掃)RX Mapping'!G22&gt;=241,'(橫掃)RX Mapping'!G22&lt;=360), ('(橫掃)RX Mapping'!G22-241),IF(AND('(橫掃)RX Mapping'!G22&gt;=361,'(橫掃)RX Mapping'!G22&lt;=480), (-1)*('(橫掃)RX Mapping'!G22-480),IF(AND('(橫掃)RX Mapping'!G22&gt;=481,'(橫掃)RX Mapping'!G22&lt;=600), ('(橫掃)RX Mapping'!G22-361),IF(AND('(橫掃)RX Mapping'!G22&gt;=601,'(橫掃)RX Mapping'!G22&lt;=720), (-1)*('(橫掃)RX Mapping'!G22-720)+120,IF(AND('(橫掃)RX Mapping'!G22&gt;=721,'(橫掃)RX Mapping'!G22&lt;=840), ('(橫掃)RX Mapping'!G22-601),IF(AND('(橫掃)RX Mapping'!G22&gt;=841,'(橫掃)RX Mapping'!G22&lt;=960), (-1)*('(橫掃)RX Mapping'!G22-960)+120,9999))))))))</f>
        <v>59</v>
      </c>
      <c r="H22">
        <f>IF(AND('(橫掃)RX Mapping'!H22&gt;=1,'(橫掃)RX Mapping'!H22&lt;=120), ('(橫掃)RX Mapping'!H22-1),IF(AND('(橫掃)RX Mapping'!H22&gt;=121,'(橫掃)RX Mapping'!H22&lt;=240), (-1)*('(橫掃)RX Mapping'!H22-240),IF(AND('(橫掃)RX Mapping'!H22&gt;=241,'(橫掃)RX Mapping'!H22&lt;=360), ('(橫掃)RX Mapping'!H22-241),IF(AND('(橫掃)RX Mapping'!H22&gt;=361,'(橫掃)RX Mapping'!H22&lt;=480), (-1)*('(橫掃)RX Mapping'!H22-480),IF(AND('(橫掃)RX Mapping'!H22&gt;=481,'(橫掃)RX Mapping'!H22&lt;=600), ('(橫掃)RX Mapping'!H22-361),IF(AND('(橫掃)RX Mapping'!H22&gt;=601,'(橫掃)RX Mapping'!H22&lt;=720), (-1)*('(橫掃)RX Mapping'!H22-720)+120,IF(AND('(橫掃)RX Mapping'!H22&gt;=721,'(橫掃)RX Mapping'!H22&lt;=840), ('(橫掃)RX Mapping'!H22-601),IF(AND('(橫掃)RX Mapping'!H22&gt;=841,'(橫掃)RX Mapping'!H22&lt;=960), (-1)*('(橫掃)RX Mapping'!H22-960)+120,9999))))))))</f>
        <v>27</v>
      </c>
      <c r="I22">
        <f>IF(AND('(橫掃)RX Mapping'!I22&gt;=1,'(橫掃)RX Mapping'!I22&lt;=120), ('(橫掃)RX Mapping'!I22-1),IF(AND('(橫掃)RX Mapping'!I22&gt;=121,'(橫掃)RX Mapping'!I22&lt;=240), (-1)*('(橫掃)RX Mapping'!I22-240),IF(AND('(橫掃)RX Mapping'!I22&gt;=241,'(橫掃)RX Mapping'!I22&lt;=360), ('(橫掃)RX Mapping'!I22-241),IF(AND('(橫掃)RX Mapping'!I22&gt;=361,'(橫掃)RX Mapping'!I22&lt;=480), (-1)*('(橫掃)RX Mapping'!I22-480),IF(AND('(橫掃)RX Mapping'!I22&gt;=481,'(橫掃)RX Mapping'!I22&lt;=600), ('(橫掃)RX Mapping'!I22-361),IF(AND('(橫掃)RX Mapping'!I22&gt;=601,'(橫掃)RX Mapping'!I22&lt;=720), (-1)*('(橫掃)RX Mapping'!I22-720)+120,IF(AND('(橫掃)RX Mapping'!I22&gt;=721,'(橫掃)RX Mapping'!I22&lt;=840), ('(橫掃)RX Mapping'!I22-601),IF(AND('(橫掃)RX Mapping'!I22&gt;=841,'(橫掃)RX Mapping'!I22&lt;=960), (-1)*('(橫掃)RX Mapping'!I22-960)+120,9999))))))))</f>
        <v>20</v>
      </c>
      <c r="J22">
        <f>IF(AND('(橫掃)RX Mapping'!J22&gt;=1,'(橫掃)RX Mapping'!J22&lt;=120), ('(橫掃)RX Mapping'!J22-1),IF(AND('(橫掃)RX Mapping'!J22&gt;=121,'(橫掃)RX Mapping'!J22&lt;=240), (-1)*('(橫掃)RX Mapping'!J22-240),IF(AND('(橫掃)RX Mapping'!J22&gt;=241,'(橫掃)RX Mapping'!J22&lt;=360), ('(橫掃)RX Mapping'!J22-241),IF(AND('(橫掃)RX Mapping'!J22&gt;=361,'(橫掃)RX Mapping'!J22&lt;=480), (-1)*('(橫掃)RX Mapping'!J22-480),IF(AND('(橫掃)RX Mapping'!J22&gt;=481,'(橫掃)RX Mapping'!J22&lt;=600), ('(橫掃)RX Mapping'!J22-361),IF(AND('(橫掃)RX Mapping'!J22&gt;=601,'(橫掃)RX Mapping'!J22&lt;=720), (-1)*('(橫掃)RX Mapping'!J22-720)+120,IF(AND('(橫掃)RX Mapping'!J22&gt;=721,'(橫掃)RX Mapping'!J22&lt;=840), ('(橫掃)RX Mapping'!J22-601),IF(AND('(橫掃)RX Mapping'!J22&gt;=841,'(橫掃)RX Mapping'!J22&lt;=960), (-1)*('(橫掃)RX Mapping'!J22-960)+120,9999))))))))</f>
        <v>52</v>
      </c>
      <c r="K22">
        <f>IF(AND('(橫掃)RX Mapping'!K22&gt;=1,'(橫掃)RX Mapping'!K22&lt;=120), ('(橫掃)RX Mapping'!K22-1),IF(AND('(橫掃)RX Mapping'!K22&gt;=121,'(橫掃)RX Mapping'!K22&lt;=240), (-1)*('(橫掃)RX Mapping'!K22-240),IF(AND('(橫掃)RX Mapping'!K22&gt;=241,'(橫掃)RX Mapping'!K22&lt;=360), ('(橫掃)RX Mapping'!K22-241),IF(AND('(橫掃)RX Mapping'!K22&gt;=361,'(橫掃)RX Mapping'!K22&lt;=480), (-1)*('(橫掃)RX Mapping'!K22-480),IF(AND('(橫掃)RX Mapping'!K22&gt;=481,'(橫掃)RX Mapping'!K22&lt;=600), ('(橫掃)RX Mapping'!K22-361),IF(AND('(橫掃)RX Mapping'!K22&gt;=601,'(橫掃)RX Mapping'!K22&lt;=720), (-1)*('(橫掃)RX Mapping'!K22-720)+120,IF(AND('(橫掃)RX Mapping'!K22&gt;=721,'(橫掃)RX Mapping'!K22&lt;=840), ('(橫掃)RX Mapping'!K22-601),IF(AND('(橫掃)RX Mapping'!K22&gt;=841,'(橫掃)RX Mapping'!K22&lt;=960), (-1)*('(橫掃)RX Mapping'!K22-960)+120,9999))))))))</f>
        <v>84</v>
      </c>
      <c r="L22">
        <f>IF(AND('(橫掃)RX Mapping'!L22&gt;=1,'(橫掃)RX Mapping'!L22&lt;=120), ('(橫掃)RX Mapping'!L22-1),IF(AND('(橫掃)RX Mapping'!L22&gt;=121,'(橫掃)RX Mapping'!L22&lt;=240), (-1)*('(橫掃)RX Mapping'!L22-240),IF(AND('(橫掃)RX Mapping'!L22&gt;=241,'(橫掃)RX Mapping'!L22&lt;=360), ('(橫掃)RX Mapping'!L22-241),IF(AND('(橫掃)RX Mapping'!L22&gt;=361,'(橫掃)RX Mapping'!L22&lt;=480), (-1)*('(橫掃)RX Mapping'!L22-480),IF(AND('(橫掃)RX Mapping'!L22&gt;=481,'(橫掃)RX Mapping'!L22&lt;=600), ('(橫掃)RX Mapping'!L22-361),IF(AND('(橫掃)RX Mapping'!L22&gt;=601,'(橫掃)RX Mapping'!L22&lt;=720), (-1)*('(橫掃)RX Mapping'!L22-720)+120,IF(AND('(橫掃)RX Mapping'!L22&gt;=721,'(橫掃)RX Mapping'!L22&lt;=840), ('(橫掃)RX Mapping'!L22-601),IF(AND('(橫掃)RX Mapping'!L22&gt;=841,'(橫掃)RX Mapping'!L22&lt;=960), (-1)*('(橫掃)RX Mapping'!L22-960)+120,9999))))))))</f>
        <v>116</v>
      </c>
      <c r="M22">
        <f>IF(AND('(橫掃)RX Mapping'!M22&gt;=1,'(橫掃)RX Mapping'!M22&lt;=120), ('(橫掃)RX Mapping'!M22-1),IF(AND('(橫掃)RX Mapping'!M22&gt;=121,'(橫掃)RX Mapping'!M22&lt;=240), (-1)*('(橫掃)RX Mapping'!M22-240),IF(AND('(橫掃)RX Mapping'!M22&gt;=241,'(橫掃)RX Mapping'!M22&lt;=360), ('(橫掃)RX Mapping'!M22-241),IF(AND('(橫掃)RX Mapping'!M22&gt;=361,'(橫掃)RX Mapping'!M22&lt;=480), (-1)*('(橫掃)RX Mapping'!M22-480),IF(AND('(橫掃)RX Mapping'!M22&gt;=481,'(橫掃)RX Mapping'!M22&lt;=600), ('(橫掃)RX Mapping'!M22-361),IF(AND('(橫掃)RX Mapping'!M22&gt;=601,'(橫掃)RX Mapping'!M22&lt;=720), (-1)*('(橫掃)RX Mapping'!M22-720)+120,IF(AND('(橫掃)RX Mapping'!M22&gt;=721,'(橫掃)RX Mapping'!M22&lt;=840), ('(橫掃)RX Mapping'!M22-601),IF(AND('(橫掃)RX Mapping'!M22&gt;=841,'(橫掃)RX Mapping'!M22&lt;=960), (-1)*('(橫掃)RX Mapping'!M22-960)+120,9999))))))))</f>
        <v>91</v>
      </c>
      <c r="N22">
        <f>IF(AND('(橫掃)RX Mapping'!N22&gt;=1,'(橫掃)RX Mapping'!N22&lt;=120), ('(橫掃)RX Mapping'!N22-1),IF(AND('(橫掃)RX Mapping'!N22&gt;=121,'(橫掃)RX Mapping'!N22&lt;=240), (-1)*('(橫掃)RX Mapping'!N22-240),IF(AND('(橫掃)RX Mapping'!N22&gt;=241,'(橫掃)RX Mapping'!N22&lt;=360), ('(橫掃)RX Mapping'!N22-241),IF(AND('(橫掃)RX Mapping'!N22&gt;=361,'(橫掃)RX Mapping'!N22&lt;=480), (-1)*('(橫掃)RX Mapping'!N22-480),IF(AND('(橫掃)RX Mapping'!N22&gt;=481,'(橫掃)RX Mapping'!N22&lt;=600), ('(橫掃)RX Mapping'!N22-361),IF(AND('(橫掃)RX Mapping'!N22&gt;=601,'(橫掃)RX Mapping'!N22&lt;=720), (-1)*('(橫掃)RX Mapping'!N22-720)+120,IF(AND('(橫掃)RX Mapping'!N22&gt;=721,'(橫掃)RX Mapping'!N22&lt;=840), ('(橫掃)RX Mapping'!N22-601),IF(AND('(橫掃)RX Mapping'!N22&gt;=841,'(橫掃)RX Mapping'!N22&lt;=960), (-1)*('(橫掃)RX Mapping'!N22-960)+120,9999))))))))</f>
        <v>59</v>
      </c>
      <c r="O22">
        <f>IF(AND('(橫掃)RX Mapping'!O22&gt;=1,'(橫掃)RX Mapping'!O22&lt;=120), ('(橫掃)RX Mapping'!O22-1),IF(AND('(橫掃)RX Mapping'!O22&gt;=121,'(橫掃)RX Mapping'!O22&lt;=240), (-1)*('(橫掃)RX Mapping'!O22-240),IF(AND('(橫掃)RX Mapping'!O22&gt;=241,'(橫掃)RX Mapping'!O22&lt;=360), ('(橫掃)RX Mapping'!O22-241),IF(AND('(橫掃)RX Mapping'!O22&gt;=361,'(橫掃)RX Mapping'!O22&lt;=480), (-1)*('(橫掃)RX Mapping'!O22-480),IF(AND('(橫掃)RX Mapping'!O22&gt;=481,'(橫掃)RX Mapping'!O22&lt;=600), ('(橫掃)RX Mapping'!O22-361),IF(AND('(橫掃)RX Mapping'!O22&gt;=601,'(橫掃)RX Mapping'!O22&lt;=720), (-1)*('(橫掃)RX Mapping'!O22-720)+120,IF(AND('(橫掃)RX Mapping'!O22&gt;=721,'(橫掃)RX Mapping'!O22&lt;=840), ('(橫掃)RX Mapping'!O22-601),IF(AND('(橫掃)RX Mapping'!O22&gt;=841,'(橫掃)RX Mapping'!O22&lt;=960), (-1)*('(橫掃)RX Mapping'!O22-960)+120,9999))))))))</f>
        <v>27</v>
      </c>
      <c r="P22">
        <f>IF(AND('(橫掃)RX Mapping'!P22&gt;=1,'(橫掃)RX Mapping'!P22&lt;=120), ('(橫掃)RX Mapping'!P22-1),IF(AND('(橫掃)RX Mapping'!P22&gt;=121,'(橫掃)RX Mapping'!P22&lt;=240), (-1)*('(橫掃)RX Mapping'!P22-240),IF(AND('(橫掃)RX Mapping'!P22&gt;=241,'(橫掃)RX Mapping'!P22&lt;=360), ('(橫掃)RX Mapping'!P22-241),IF(AND('(橫掃)RX Mapping'!P22&gt;=361,'(橫掃)RX Mapping'!P22&lt;=480), (-1)*('(橫掃)RX Mapping'!P22-480),IF(AND('(橫掃)RX Mapping'!P22&gt;=481,'(橫掃)RX Mapping'!P22&lt;=600), ('(橫掃)RX Mapping'!P22-361),IF(AND('(橫掃)RX Mapping'!P22&gt;=601,'(橫掃)RX Mapping'!P22&lt;=720), (-1)*('(橫掃)RX Mapping'!P22-720)+120,IF(AND('(橫掃)RX Mapping'!P22&gt;=721,'(橫掃)RX Mapping'!P22&lt;=840), ('(橫掃)RX Mapping'!P22-601),IF(AND('(橫掃)RX Mapping'!P22&gt;=841,'(橫掃)RX Mapping'!P22&lt;=960), (-1)*('(橫掃)RX Mapping'!P22-960)+120,9999))))))))</f>
        <v>140</v>
      </c>
      <c r="Q22">
        <f>IF(AND('(橫掃)RX Mapping'!Q22&gt;=1,'(橫掃)RX Mapping'!Q22&lt;=120), ('(橫掃)RX Mapping'!Q22-1),IF(AND('(橫掃)RX Mapping'!Q22&gt;=121,'(橫掃)RX Mapping'!Q22&lt;=240), (-1)*('(橫掃)RX Mapping'!Q22-240),IF(AND('(橫掃)RX Mapping'!Q22&gt;=241,'(橫掃)RX Mapping'!Q22&lt;=360), ('(橫掃)RX Mapping'!Q22-241),IF(AND('(橫掃)RX Mapping'!Q22&gt;=361,'(橫掃)RX Mapping'!Q22&lt;=480), (-1)*('(橫掃)RX Mapping'!Q22-480),IF(AND('(橫掃)RX Mapping'!Q22&gt;=481,'(橫掃)RX Mapping'!Q22&lt;=600), ('(橫掃)RX Mapping'!Q22-361),IF(AND('(橫掃)RX Mapping'!Q22&gt;=601,'(橫掃)RX Mapping'!Q22&lt;=720), (-1)*('(橫掃)RX Mapping'!Q22-720)+120,IF(AND('(橫掃)RX Mapping'!Q22&gt;=721,'(橫掃)RX Mapping'!Q22&lt;=840), ('(橫掃)RX Mapping'!Q22-601),IF(AND('(橫掃)RX Mapping'!Q22&gt;=841,'(橫掃)RX Mapping'!Q22&lt;=960), (-1)*('(橫掃)RX Mapping'!Q22-960)+120,9999))))))))</f>
        <v>172</v>
      </c>
      <c r="R22">
        <f>IF(AND('(橫掃)RX Mapping'!R22&gt;=1,'(橫掃)RX Mapping'!R22&lt;=120), ('(橫掃)RX Mapping'!R22-1),IF(AND('(橫掃)RX Mapping'!R22&gt;=121,'(橫掃)RX Mapping'!R22&lt;=240), (-1)*('(橫掃)RX Mapping'!R22-240),IF(AND('(橫掃)RX Mapping'!R22&gt;=241,'(橫掃)RX Mapping'!R22&lt;=360), ('(橫掃)RX Mapping'!R22-241),IF(AND('(橫掃)RX Mapping'!R22&gt;=361,'(橫掃)RX Mapping'!R22&lt;=480), (-1)*('(橫掃)RX Mapping'!R22-480),IF(AND('(橫掃)RX Mapping'!R22&gt;=481,'(橫掃)RX Mapping'!R22&lt;=600), ('(橫掃)RX Mapping'!R22-361),IF(AND('(橫掃)RX Mapping'!R22&gt;=601,'(橫掃)RX Mapping'!R22&lt;=720), (-1)*('(橫掃)RX Mapping'!R22-720)+120,IF(AND('(橫掃)RX Mapping'!R22&gt;=721,'(橫掃)RX Mapping'!R22&lt;=840), ('(橫掃)RX Mapping'!R22-601),IF(AND('(橫掃)RX Mapping'!R22&gt;=841,'(橫掃)RX Mapping'!R22&lt;=960), (-1)*('(橫掃)RX Mapping'!R22-960)+120,9999))))))))</f>
        <v>204</v>
      </c>
      <c r="S22">
        <f>IF(AND('(橫掃)RX Mapping'!S22&gt;=1,'(橫掃)RX Mapping'!S22&lt;=120), ('(橫掃)RX Mapping'!S22-1),IF(AND('(橫掃)RX Mapping'!S22&gt;=121,'(橫掃)RX Mapping'!S22&lt;=240), (-1)*('(橫掃)RX Mapping'!S22-240),IF(AND('(橫掃)RX Mapping'!S22&gt;=241,'(橫掃)RX Mapping'!S22&lt;=360), ('(橫掃)RX Mapping'!S22-241),IF(AND('(橫掃)RX Mapping'!S22&gt;=361,'(橫掃)RX Mapping'!S22&lt;=480), (-1)*('(橫掃)RX Mapping'!S22-480),IF(AND('(橫掃)RX Mapping'!S22&gt;=481,'(橫掃)RX Mapping'!S22&lt;=600), ('(橫掃)RX Mapping'!S22-361),IF(AND('(橫掃)RX Mapping'!S22&gt;=601,'(橫掃)RX Mapping'!S22&lt;=720), (-1)*('(橫掃)RX Mapping'!S22-720)+120,IF(AND('(橫掃)RX Mapping'!S22&gt;=721,'(橫掃)RX Mapping'!S22&lt;=840), ('(橫掃)RX Mapping'!S22-601),IF(AND('(橫掃)RX Mapping'!S22&gt;=841,'(橫掃)RX Mapping'!S22&lt;=960), (-1)*('(橫掃)RX Mapping'!S22-960)+120,9999))))))))</f>
        <v>236</v>
      </c>
      <c r="T22">
        <f>IF(AND('(橫掃)RX Mapping'!T22&gt;=1,'(橫掃)RX Mapping'!T22&lt;=120), ('(橫掃)RX Mapping'!T22-1),IF(AND('(橫掃)RX Mapping'!T22&gt;=121,'(橫掃)RX Mapping'!T22&lt;=240), (-1)*('(橫掃)RX Mapping'!T22-240),IF(AND('(橫掃)RX Mapping'!T22&gt;=241,'(橫掃)RX Mapping'!T22&lt;=360), ('(橫掃)RX Mapping'!T22-241),IF(AND('(橫掃)RX Mapping'!T22&gt;=361,'(橫掃)RX Mapping'!T22&lt;=480), (-1)*('(橫掃)RX Mapping'!T22-480),IF(AND('(橫掃)RX Mapping'!T22&gt;=481,'(橫掃)RX Mapping'!T22&lt;=600), ('(橫掃)RX Mapping'!T22-361),IF(AND('(橫掃)RX Mapping'!T22&gt;=601,'(橫掃)RX Mapping'!T22&lt;=720), (-1)*('(橫掃)RX Mapping'!T22-720)+120,IF(AND('(橫掃)RX Mapping'!T22&gt;=721,'(橫掃)RX Mapping'!T22&lt;=840), ('(橫掃)RX Mapping'!T22-601),IF(AND('(橫掃)RX Mapping'!T22&gt;=841,'(橫掃)RX Mapping'!T22&lt;=960), (-1)*('(橫掃)RX Mapping'!T22-960)+120,9999))))))))</f>
        <v>211</v>
      </c>
      <c r="U22">
        <f>IF(AND('(橫掃)RX Mapping'!U22&gt;=1,'(橫掃)RX Mapping'!U22&lt;=120), ('(橫掃)RX Mapping'!U22-1),IF(AND('(橫掃)RX Mapping'!U22&gt;=121,'(橫掃)RX Mapping'!U22&lt;=240), (-1)*('(橫掃)RX Mapping'!U22-240),IF(AND('(橫掃)RX Mapping'!U22&gt;=241,'(橫掃)RX Mapping'!U22&lt;=360), ('(橫掃)RX Mapping'!U22-241),IF(AND('(橫掃)RX Mapping'!U22&gt;=361,'(橫掃)RX Mapping'!U22&lt;=480), (-1)*('(橫掃)RX Mapping'!U22-480),IF(AND('(橫掃)RX Mapping'!U22&gt;=481,'(橫掃)RX Mapping'!U22&lt;=600), ('(橫掃)RX Mapping'!U22-361),IF(AND('(橫掃)RX Mapping'!U22&gt;=601,'(橫掃)RX Mapping'!U22&lt;=720), (-1)*('(橫掃)RX Mapping'!U22-720)+120,IF(AND('(橫掃)RX Mapping'!U22&gt;=721,'(橫掃)RX Mapping'!U22&lt;=840), ('(橫掃)RX Mapping'!U22-601),IF(AND('(橫掃)RX Mapping'!U22&gt;=841,'(橫掃)RX Mapping'!U22&lt;=960), (-1)*('(橫掃)RX Mapping'!U22-960)+120,9999))))))))</f>
        <v>179</v>
      </c>
      <c r="V22">
        <f>IF(AND('(橫掃)RX Mapping'!V22&gt;=1,'(橫掃)RX Mapping'!V22&lt;=120), ('(橫掃)RX Mapping'!V22-1),IF(AND('(橫掃)RX Mapping'!V22&gt;=121,'(橫掃)RX Mapping'!V22&lt;=240), (-1)*('(橫掃)RX Mapping'!V22-240),IF(AND('(橫掃)RX Mapping'!V22&gt;=241,'(橫掃)RX Mapping'!V22&lt;=360), ('(橫掃)RX Mapping'!V22-241),IF(AND('(橫掃)RX Mapping'!V22&gt;=361,'(橫掃)RX Mapping'!V22&lt;=480), (-1)*('(橫掃)RX Mapping'!V22-480),IF(AND('(橫掃)RX Mapping'!V22&gt;=481,'(橫掃)RX Mapping'!V22&lt;=600), ('(橫掃)RX Mapping'!V22-361),IF(AND('(橫掃)RX Mapping'!V22&gt;=601,'(橫掃)RX Mapping'!V22&lt;=720), (-1)*('(橫掃)RX Mapping'!V22-720)+120,IF(AND('(橫掃)RX Mapping'!V22&gt;=721,'(橫掃)RX Mapping'!V22&lt;=840), ('(橫掃)RX Mapping'!V22-601),IF(AND('(橫掃)RX Mapping'!V22&gt;=841,'(橫掃)RX Mapping'!V22&lt;=960), (-1)*('(橫掃)RX Mapping'!V22-960)+120,9999))))))))</f>
        <v>147</v>
      </c>
      <c r="W22">
        <f>IF(AND('(橫掃)RX Mapping'!W22&gt;=1,'(橫掃)RX Mapping'!W22&lt;=120), ('(橫掃)RX Mapping'!W22-1),IF(AND('(橫掃)RX Mapping'!W22&gt;=121,'(橫掃)RX Mapping'!W22&lt;=240), (-1)*('(橫掃)RX Mapping'!W22-240),IF(AND('(橫掃)RX Mapping'!W22&gt;=241,'(橫掃)RX Mapping'!W22&lt;=360), ('(橫掃)RX Mapping'!W22-241),IF(AND('(橫掃)RX Mapping'!W22&gt;=361,'(橫掃)RX Mapping'!W22&lt;=480), (-1)*('(橫掃)RX Mapping'!W22-480),IF(AND('(橫掃)RX Mapping'!W22&gt;=481,'(橫掃)RX Mapping'!W22&lt;=600), ('(橫掃)RX Mapping'!W22-361),IF(AND('(橫掃)RX Mapping'!W22&gt;=601,'(橫掃)RX Mapping'!W22&lt;=720), (-1)*('(橫掃)RX Mapping'!W22-720)+120,IF(AND('(橫掃)RX Mapping'!W22&gt;=721,'(橫掃)RX Mapping'!W22&lt;=840), ('(橫掃)RX Mapping'!W22-601),IF(AND('(橫掃)RX Mapping'!W22&gt;=841,'(橫掃)RX Mapping'!W22&lt;=960), (-1)*('(橫掃)RX Mapping'!W22-960)+120,9999))))))))</f>
        <v>140</v>
      </c>
      <c r="X22">
        <f>IF(AND('(橫掃)RX Mapping'!X22&gt;=1,'(橫掃)RX Mapping'!X22&lt;=120), ('(橫掃)RX Mapping'!X22-1),IF(AND('(橫掃)RX Mapping'!X22&gt;=121,'(橫掃)RX Mapping'!X22&lt;=240), (-1)*('(橫掃)RX Mapping'!X22-240),IF(AND('(橫掃)RX Mapping'!X22&gt;=241,'(橫掃)RX Mapping'!X22&lt;=360), ('(橫掃)RX Mapping'!X22-241),IF(AND('(橫掃)RX Mapping'!X22&gt;=361,'(橫掃)RX Mapping'!X22&lt;=480), (-1)*('(橫掃)RX Mapping'!X22-480),IF(AND('(橫掃)RX Mapping'!X22&gt;=481,'(橫掃)RX Mapping'!X22&lt;=600), ('(橫掃)RX Mapping'!X22-361),IF(AND('(橫掃)RX Mapping'!X22&gt;=601,'(橫掃)RX Mapping'!X22&lt;=720), (-1)*('(橫掃)RX Mapping'!X22-720)+120,IF(AND('(橫掃)RX Mapping'!X22&gt;=721,'(橫掃)RX Mapping'!X22&lt;=840), ('(橫掃)RX Mapping'!X22-601),IF(AND('(橫掃)RX Mapping'!X22&gt;=841,'(橫掃)RX Mapping'!X22&lt;=960), (-1)*('(橫掃)RX Mapping'!X22-960)+120,9999))))))))</f>
        <v>172</v>
      </c>
      <c r="Y22">
        <f>IF(AND('(橫掃)RX Mapping'!Y22&gt;=1,'(橫掃)RX Mapping'!Y22&lt;=120), ('(橫掃)RX Mapping'!Y22-1),IF(AND('(橫掃)RX Mapping'!Y22&gt;=121,'(橫掃)RX Mapping'!Y22&lt;=240), (-1)*('(橫掃)RX Mapping'!Y22-240),IF(AND('(橫掃)RX Mapping'!Y22&gt;=241,'(橫掃)RX Mapping'!Y22&lt;=360), ('(橫掃)RX Mapping'!Y22-241),IF(AND('(橫掃)RX Mapping'!Y22&gt;=361,'(橫掃)RX Mapping'!Y22&lt;=480), (-1)*('(橫掃)RX Mapping'!Y22-480),IF(AND('(橫掃)RX Mapping'!Y22&gt;=481,'(橫掃)RX Mapping'!Y22&lt;=600), ('(橫掃)RX Mapping'!Y22-361),IF(AND('(橫掃)RX Mapping'!Y22&gt;=601,'(橫掃)RX Mapping'!Y22&lt;=720), (-1)*('(橫掃)RX Mapping'!Y22-720)+120,IF(AND('(橫掃)RX Mapping'!Y22&gt;=721,'(橫掃)RX Mapping'!Y22&lt;=840), ('(橫掃)RX Mapping'!Y22-601),IF(AND('(橫掃)RX Mapping'!Y22&gt;=841,'(橫掃)RX Mapping'!Y22&lt;=960), (-1)*('(橫掃)RX Mapping'!Y22-960)+120,9999))))))))</f>
        <v>204</v>
      </c>
      <c r="Z22">
        <f>IF(AND('(橫掃)RX Mapping'!Z22&gt;=1,'(橫掃)RX Mapping'!Z22&lt;=120), ('(橫掃)RX Mapping'!Z22-1),IF(AND('(橫掃)RX Mapping'!Z22&gt;=121,'(橫掃)RX Mapping'!Z22&lt;=240), (-1)*('(橫掃)RX Mapping'!Z22-240),IF(AND('(橫掃)RX Mapping'!Z22&gt;=241,'(橫掃)RX Mapping'!Z22&lt;=360), ('(橫掃)RX Mapping'!Z22-241),IF(AND('(橫掃)RX Mapping'!Z22&gt;=361,'(橫掃)RX Mapping'!Z22&lt;=480), (-1)*('(橫掃)RX Mapping'!Z22-480),IF(AND('(橫掃)RX Mapping'!Z22&gt;=481,'(橫掃)RX Mapping'!Z22&lt;=600), ('(橫掃)RX Mapping'!Z22-361),IF(AND('(橫掃)RX Mapping'!Z22&gt;=601,'(橫掃)RX Mapping'!Z22&lt;=720), (-1)*('(橫掃)RX Mapping'!Z22-720)+120,IF(AND('(橫掃)RX Mapping'!Z22&gt;=721,'(橫掃)RX Mapping'!Z22&lt;=840), ('(橫掃)RX Mapping'!Z22-601),IF(AND('(橫掃)RX Mapping'!Z22&gt;=841,'(橫掃)RX Mapping'!Z22&lt;=960), (-1)*('(橫掃)RX Mapping'!Z22-960)+120,9999))))))))</f>
        <v>236</v>
      </c>
      <c r="AA22">
        <f>IF(AND('(橫掃)RX Mapping'!AA22&gt;=1,'(橫掃)RX Mapping'!AA22&lt;=120), ('(橫掃)RX Mapping'!AA22-1),IF(AND('(橫掃)RX Mapping'!AA22&gt;=121,'(橫掃)RX Mapping'!AA22&lt;=240), (-1)*('(橫掃)RX Mapping'!AA22-240),IF(AND('(橫掃)RX Mapping'!AA22&gt;=241,'(橫掃)RX Mapping'!AA22&lt;=360), ('(橫掃)RX Mapping'!AA22-241),IF(AND('(橫掃)RX Mapping'!AA22&gt;=361,'(橫掃)RX Mapping'!AA22&lt;=480), (-1)*('(橫掃)RX Mapping'!AA22-480),IF(AND('(橫掃)RX Mapping'!AA22&gt;=481,'(橫掃)RX Mapping'!AA22&lt;=600), ('(橫掃)RX Mapping'!AA22-361),IF(AND('(橫掃)RX Mapping'!AA22&gt;=601,'(橫掃)RX Mapping'!AA22&lt;=720), (-1)*('(橫掃)RX Mapping'!AA22-720)+120,IF(AND('(橫掃)RX Mapping'!AA22&gt;=721,'(橫掃)RX Mapping'!AA22&lt;=840), ('(橫掃)RX Mapping'!AA22-601),IF(AND('(橫掃)RX Mapping'!AA22&gt;=841,'(橫掃)RX Mapping'!AA22&lt;=960), (-1)*('(橫掃)RX Mapping'!AA22-960)+120,9999))))))))</f>
        <v>211</v>
      </c>
      <c r="AB22">
        <f>IF(AND('(橫掃)RX Mapping'!AB22&gt;=1,'(橫掃)RX Mapping'!AB22&lt;=120), ('(橫掃)RX Mapping'!AB22-1),IF(AND('(橫掃)RX Mapping'!AB22&gt;=121,'(橫掃)RX Mapping'!AB22&lt;=240), (-1)*('(橫掃)RX Mapping'!AB22-240),IF(AND('(橫掃)RX Mapping'!AB22&gt;=241,'(橫掃)RX Mapping'!AB22&lt;=360), ('(橫掃)RX Mapping'!AB22-241),IF(AND('(橫掃)RX Mapping'!AB22&gt;=361,'(橫掃)RX Mapping'!AB22&lt;=480), (-1)*('(橫掃)RX Mapping'!AB22-480),IF(AND('(橫掃)RX Mapping'!AB22&gt;=481,'(橫掃)RX Mapping'!AB22&lt;=600), ('(橫掃)RX Mapping'!AB22-361),IF(AND('(橫掃)RX Mapping'!AB22&gt;=601,'(橫掃)RX Mapping'!AB22&lt;=720), (-1)*('(橫掃)RX Mapping'!AB22-720)+120,IF(AND('(橫掃)RX Mapping'!AB22&gt;=721,'(橫掃)RX Mapping'!AB22&lt;=840), ('(橫掃)RX Mapping'!AB22-601),IF(AND('(橫掃)RX Mapping'!AB22&gt;=841,'(橫掃)RX Mapping'!AB22&lt;=960), (-1)*('(橫掃)RX Mapping'!AB22-960)+120,9999))))))))</f>
        <v>179</v>
      </c>
      <c r="AC22">
        <f>IF(AND('(橫掃)RX Mapping'!AC22&gt;=1,'(橫掃)RX Mapping'!AC22&lt;=120), ('(橫掃)RX Mapping'!AC22-1),IF(AND('(橫掃)RX Mapping'!AC22&gt;=121,'(橫掃)RX Mapping'!AC22&lt;=240), (-1)*('(橫掃)RX Mapping'!AC22-240),IF(AND('(橫掃)RX Mapping'!AC22&gt;=241,'(橫掃)RX Mapping'!AC22&lt;=360), ('(橫掃)RX Mapping'!AC22-241),IF(AND('(橫掃)RX Mapping'!AC22&gt;=361,'(橫掃)RX Mapping'!AC22&lt;=480), (-1)*('(橫掃)RX Mapping'!AC22-480),IF(AND('(橫掃)RX Mapping'!AC22&gt;=481,'(橫掃)RX Mapping'!AC22&lt;=600), ('(橫掃)RX Mapping'!AC22-361),IF(AND('(橫掃)RX Mapping'!AC22&gt;=601,'(橫掃)RX Mapping'!AC22&lt;=720), (-1)*('(橫掃)RX Mapping'!AC22-720)+120,IF(AND('(橫掃)RX Mapping'!AC22&gt;=721,'(橫掃)RX Mapping'!AC22&lt;=840), ('(橫掃)RX Mapping'!AC22-601),IF(AND('(橫掃)RX Mapping'!AC22&gt;=841,'(橫掃)RX Mapping'!AC22&lt;=960), (-1)*('(橫掃)RX Mapping'!AC22-960)+120,9999))))))))</f>
        <v>147</v>
      </c>
      <c r="AD22">
        <f>IF(AND('(橫掃)RX Mapping'!AD22&gt;=1,'(橫掃)RX Mapping'!AD22&lt;=120), ('(橫掃)RX Mapping'!AD22-1),IF(AND('(橫掃)RX Mapping'!AD22&gt;=121,'(橫掃)RX Mapping'!AD22&lt;=240), (-1)*('(橫掃)RX Mapping'!AD22-240),IF(AND('(橫掃)RX Mapping'!AD22&gt;=241,'(橫掃)RX Mapping'!AD22&lt;=360), ('(橫掃)RX Mapping'!AD22-241),IF(AND('(橫掃)RX Mapping'!AD22&gt;=361,'(橫掃)RX Mapping'!AD22&lt;=480), (-1)*('(橫掃)RX Mapping'!AD22-480),IF(AND('(橫掃)RX Mapping'!AD22&gt;=481,'(橫掃)RX Mapping'!AD22&lt;=600), ('(橫掃)RX Mapping'!AD22-361),IF(AND('(橫掃)RX Mapping'!AD22&gt;=601,'(橫掃)RX Mapping'!AD22&lt;=720), (-1)*('(橫掃)RX Mapping'!AD22-720)+120,IF(AND('(橫掃)RX Mapping'!AD22&gt;=721,'(橫掃)RX Mapping'!AD22&lt;=840), ('(橫掃)RX Mapping'!AD22-601),IF(AND('(橫掃)RX Mapping'!AD22&gt;=841,'(橫掃)RX Mapping'!AD22&lt;=960), (-1)*('(橫掃)RX Mapping'!AD22-960)+120,9999))))))))</f>
        <v>9999</v>
      </c>
      <c r="AE22">
        <f>IF(AND('(橫掃)RX Mapping'!AE22&gt;=1,'(橫掃)RX Mapping'!AE22&lt;=120), ('(橫掃)RX Mapping'!AE22-1),IF(AND('(橫掃)RX Mapping'!AE22&gt;=121,'(橫掃)RX Mapping'!AE22&lt;=240), (-1)*('(橫掃)RX Mapping'!AE22-240),IF(AND('(橫掃)RX Mapping'!AE22&gt;=241,'(橫掃)RX Mapping'!AE22&lt;=360), ('(橫掃)RX Mapping'!AE22-241),IF(AND('(橫掃)RX Mapping'!AE22&gt;=361,'(橫掃)RX Mapping'!AE22&lt;=480), (-1)*('(橫掃)RX Mapping'!AE22-480),IF(AND('(橫掃)RX Mapping'!AE22&gt;=481,'(橫掃)RX Mapping'!AE22&lt;=600), ('(橫掃)RX Mapping'!AE22-361),IF(AND('(橫掃)RX Mapping'!AE22&gt;=601,'(橫掃)RX Mapping'!AE22&lt;=720), (-1)*('(橫掃)RX Mapping'!AE22-720)+120,IF(AND('(橫掃)RX Mapping'!AE22&gt;=721,'(橫掃)RX Mapping'!AE22&lt;=840), ('(橫掃)RX Mapping'!AE22-601),IF(AND('(橫掃)RX Mapping'!AE22&gt;=841,'(橫掃)RX Mapping'!AE22&lt;=960), (-1)*('(橫掃)RX Mapping'!AE22-960)+120,9999))))))))</f>
        <v>9999</v>
      </c>
      <c r="AF22">
        <f>IF(AND('(橫掃)RX Mapping'!AF22&gt;=1,'(橫掃)RX Mapping'!AF22&lt;=120), ('(橫掃)RX Mapping'!AF22-1),IF(AND('(橫掃)RX Mapping'!AF22&gt;=121,'(橫掃)RX Mapping'!AF22&lt;=240), (-1)*('(橫掃)RX Mapping'!AF22-240),IF(AND('(橫掃)RX Mapping'!AF22&gt;=241,'(橫掃)RX Mapping'!AF22&lt;=360), ('(橫掃)RX Mapping'!AF22-241),IF(AND('(橫掃)RX Mapping'!AF22&gt;=361,'(橫掃)RX Mapping'!AF22&lt;=480), (-1)*('(橫掃)RX Mapping'!AF22-480),IF(AND('(橫掃)RX Mapping'!AF22&gt;=481,'(橫掃)RX Mapping'!AF22&lt;=600), ('(橫掃)RX Mapping'!AF22-361),IF(AND('(橫掃)RX Mapping'!AF22&gt;=601,'(橫掃)RX Mapping'!AF22&lt;=720), (-1)*('(橫掃)RX Mapping'!AF22-720)+120,IF(AND('(橫掃)RX Mapping'!AF22&gt;=721,'(橫掃)RX Mapping'!AF22&lt;=840), ('(橫掃)RX Mapping'!AF22-601),IF(AND('(橫掃)RX Mapping'!AF22&gt;=841,'(橫掃)RX Mapping'!AF22&lt;=960), (-1)*('(橫掃)RX Mapping'!AF22-960)+120,9999))))))))</f>
        <v>9999</v>
      </c>
      <c r="AG22">
        <f>IF(AND('(橫掃)RX Mapping'!AG22&gt;=1,'(橫掃)RX Mapping'!AG22&lt;=120), ('(橫掃)RX Mapping'!AG22-1),IF(AND('(橫掃)RX Mapping'!AG22&gt;=121,'(橫掃)RX Mapping'!AG22&lt;=240), (-1)*('(橫掃)RX Mapping'!AG22-240),IF(AND('(橫掃)RX Mapping'!AG22&gt;=241,'(橫掃)RX Mapping'!AG22&lt;=360), ('(橫掃)RX Mapping'!AG22-241),IF(AND('(橫掃)RX Mapping'!AG22&gt;=361,'(橫掃)RX Mapping'!AG22&lt;=480), (-1)*('(橫掃)RX Mapping'!AG22-480),IF(AND('(橫掃)RX Mapping'!AG22&gt;=481,'(橫掃)RX Mapping'!AG22&lt;=600), ('(橫掃)RX Mapping'!AG22-361),IF(AND('(橫掃)RX Mapping'!AG22&gt;=601,'(橫掃)RX Mapping'!AG22&lt;=720), (-1)*('(橫掃)RX Mapping'!AG22-720)+120,IF(AND('(橫掃)RX Mapping'!AG22&gt;=721,'(橫掃)RX Mapping'!AG22&lt;=840), ('(橫掃)RX Mapping'!AG22-601),IF(AND('(橫掃)RX Mapping'!AG22&gt;=841,'(橫掃)RX Mapping'!AG22&lt;=960), (-1)*('(橫掃)RX Mapping'!AG22-960)+120,9999))))))))</f>
        <v>9999</v>
      </c>
      <c r="AH22">
        <f>IF(AND('(橫掃)RX Mapping'!AH22&gt;=1,'(橫掃)RX Mapping'!AH22&lt;=120), ('(橫掃)RX Mapping'!AH22-1),IF(AND('(橫掃)RX Mapping'!AH22&gt;=121,'(橫掃)RX Mapping'!AH22&lt;=240), (-1)*('(橫掃)RX Mapping'!AH22-240),IF(AND('(橫掃)RX Mapping'!AH22&gt;=241,'(橫掃)RX Mapping'!AH22&lt;=360), ('(橫掃)RX Mapping'!AH22-241),IF(AND('(橫掃)RX Mapping'!AH22&gt;=361,'(橫掃)RX Mapping'!AH22&lt;=480), (-1)*('(橫掃)RX Mapping'!AH22-480),IF(AND('(橫掃)RX Mapping'!AH22&gt;=481,'(橫掃)RX Mapping'!AH22&lt;=600), ('(橫掃)RX Mapping'!AH22-361),IF(AND('(橫掃)RX Mapping'!AH22&gt;=601,'(橫掃)RX Mapping'!AH22&lt;=720), (-1)*('(橫掃)RX Mapping'!AH22-720)+120,IF(AND('(橫掃)RX Mapping'!AH22&gt;=721,'(橫掃)RX Mapping'!AH22&lt;=840), ('(橫掃)RX Mapping'!AH22-601),IF(AND('(橫掃)RX Mapping'!AH22&gt;=841,'(橫掃)RX Mapping'!AH22&lt;=960), (-1)*('(橫掃)RX Mapping'!AH22-960)+120,9999))))))))</f>
        <v>9999</v>
      </c>
      <c r="AI22">
        <f>IF(AND('(橫掃)RX Mapping'!AI22&gt;=1,'(橫掃)RX Mapping'!AI22&lt;=120), ('(橫掃)RX Mapping'!AI22-1),IF(AND('(橫掃)RX Mapping'!AI22&gt;=121,'(橫掃)RX Mapping'!AI22&lt;=240), (-1)*('(橫掃)RX Mapping'!AI22-240),IF(AND('(橫掃)RX Mapping'!AI22&gt;=241,'(橫掃)RX Mapping'!AI22&lt;=360), ('(橫掃)RX Mapping'!AI22-241),IF(AND('(橫掃)RX Mapping'!AI22&gt;=361,'(橫掃)RX Mapping'!AI22&lt;=480), (-1)*('(橫掃)RX Mapping'!AI22-480),IF(AND('(橫掃)RX Mapping'!AI22&gt;=481,'(橫掃)RX Mapping'!AI22&lt;=600), ('(橫掃)RX Mapping'!AI22-361),IF(AND('(橫掃)RX Mapping'!AI22&gt;=601,'(橫掃)RX Mapping'!AI22&lt;=720), (-1)*('(橫掃)RX Mapping'!AI22-720)+120,IF(AND('(橫掃)RX Mapping'!AI22&gt;=721,'(橫掃)RX Mapping'!AI22&lt;=840), ('(橫掃)RX Mapping'!AI22-601),IF(AND('(橫掃)RX Mapping'!AI22&gt;=841,'(橫掃)RX Mapping'!AI22&lt;=960), (-1)*('(橫掃)RX Mapping'!AI22-960)+120,9999))))))))</f>
        <v>9999</v>
      </c>
      <c r="AJ22">
        <f>IF(AND('(橫掃)RX Mapping'!AJ22&gt;=1,'(橫掃)RX Mapping'!AJ22&lt;=120), ('(橫掃)RX Mapping'!AJ22-1),IF(AND('(橫掃)RX Mapping'!AJ22&gt;=121,'(橫掃)RX Mapping'!AJ22&lt;=240), (-1)*('(橫掃)RX Mapping'!AJ22-240),IF(AND('(橫掃)RX Mapping'!AJ22&gt;=241,'(橫掃)RX Mapping'!AJ22&lt;=360), ('(橫掃)RX Mapping'!AJ22-241),IF(AND('(橫掃)RX Mapping'!AJ22&gt;=361,'(橫掃)RX Mapping'!AJ22&lt;=480), (-1)*('(橫掃)RX Mapping'!AJ22-480),IF(AND('(橫掃)RX Mapping'!AJ22&gt;=481,'(橫掃)RX Mapping'!AJ22&lt;=600), ('(橫掃)RX Mapping'!AJ22-361),IF(AND('(橫掃)RX Mapping'!AJ22&gt;=601,'(橫掃)RX Mapping'!AJ22&lt;=720), (-1)*('(橫掃)RX Mapping'!AJ22-720)+120,IF(AND('(橫掃)RX Mapping'!AJ22&gt;=721,'(橫掃)RX Mapping'!AJ22&lt;=840), ('(橫掃)RX Mapping'!AJ22-601),IF(AND('(橫掃)RX Mapping'!AJ22&gt;=841,'(橫掃)RX Mapping'!AJ22&lt;=960), (-1)*('(橫掃)RX Mapping'!AJ22-960)+120,9999))))))))</f>
        <v>9999</v>
      </c>
      <c r="AK22">
        <f>IF(AND('(橫掃)RX Mapping'!AK22&gt;=1,'(橫掃)RX Mapping'!AK22&lt;=120), ('(橫掃)RX Mapping'!AK22-1),IF(AND('(橫掃)RX Mapping'!AK22&gt;=121,'(橫掃)RX Mapping'!AK22&lt;=240), (-1)*('(橫掃)RX Mapping'!AK22-240),IF(AND('(橫掃)RX Mapping'!AK22&gt;=241,'(橫掃)RX Mapping'!AK22&lt;=360), ('(橫掃)RX Mapping'!AK22-241),IF(AND('(橫掃)RX Mapping'!AK22&gt;=361,'(橫掃)RX Mapping'!AK22&lt;=480), (-1)*('(橫掃)RX Mapping'!AK22-480),IF(AND('(橫掃)RX Mapping'!AK22&gt;=481,'(橫掃)RX Mapping'!AK22&lt;=600), ('(橫掃)RX Mapping'!AK22-361),IF(AND('(橫掃)RX Mapping'!AK22&gt;=601,'(橫掃)RX Mapping'!AK22&lt;=720), (-1)*('(橫掃)RX Mapping'!AK22-720)+120,IF(AND('(橫掃)RX Mapping'!AK22&gt;=721,'(橫掃)RX Mapping'!AK22&lt;=840), ('(橫掃)RX Mapping'!AK22-601),IF(AND('(橫掃)RX Mapping'!AK22&gt;=841,'(橫掃)RX Mapping'!AK22&lt;=960), (-1)*('(橫掃)RX Mapping'!AK22-960)+120,9999))))))))</f>
        <v>9999</v>
      </c>
      <c r="AL22">
        <f>IF(AND('(橫掃)RX Mapping'!AL22&gt;=1,'(橫掃)RX Mapping'!AL22&lt;=120), ('(橫掃)RX Mapping'!AL22-1),IF(AND('(橫掃)RX Mapping'!AL22&gt;=121,'(橫掃)RX Mapping'!AL22&lt;=240), (-1)*('(橫掃)RX Mapping'!AL22-240),IF(AND('(橫掃)RX Mapping'!AL22&gt;=241,'(橫掃)RX Mapping'!AL22&lt;=360), ('(橫掃)RX Mapping'!AL22-241),IF(AND('(橫掃)RX Mapping'!AL22&gt;=361,'(橫掃)RX Mapping'!AL22&lt;=480), (-1)*('(橫掃)RX Mapping'!AL22-480),IF(AND('(橫掃)RX Mapping'!AL22&gt;=481,'(橫掃)RX Mapping'!AL22&lt;=600), ('(橫掃)RX Mapping'!AL22-361),IF(AND('(橫掃)RX Mapping'!AL22&gt;=601,'(橫掃)RX Mapping'!AL22&lt;=720), (-1)*('(橫掃)RX Mapping'!AL22-720)+120,IF(AND('(橫掃)RX Mapping'!AL22&gt;=721,'(橫掃)RX Mapping'!AL22&lt;=840), ('(橫掃)RX Mapping'!AL22-601),IF(AND('(橫掃)RX Mapping'!AL22&gt;=841,'(橫掃)RX Mapping'!AL22&lt;=960), (-1)*('(橫掃)RX Mapping'!AL22-960)+120,9999))))))))</f>
        <v>9999</v>
      </c>
      <c r="AM22">
        <f>IF(AND('(橫掃)RX Mapping'!AM22&gt;=1,'(橫掃)RX Mapping'!AM22&lt;=120), ('(橫掃)RX Mapping'!AM22-1),IF(AND('(橫掃)RX Mapping'!AM22&gt;=121,'(橫掃)RX Mapping'!AM22&lt;=240), (-1)*('(橫掃)RX Mapping'!AM22-240),IF(AND('(橫掃)RX Mapping'!AM22&gt;=241,'(橫掃)RX Mapping'!AM22&lt;=360), ('(橫掃)RX Mapping'!AM22-241),IF(AND('(橫掃)RX Mapping'!AM22&gt;=361,'(橫掃)RX Mapping'!AM22&lt;=480), (-1)*('(橫掃)RX Mapping'!AM22-480),IF(AND('(橫掃)RX Mapping'!AM22&gt;=481,'(橫掃)RX Mapping'!AM22&lt;=600), ('(橫掃)RX Mapping'!AM22-361),IF(AND('(橫掃)RX Mapping'!AM22&gt;=601,'(橫掃)RX Mapping'!AM22&lt;=720), (-1)*('(橫掃)RX Mapping'!AM22-720)+120,IF(AND('(橫掃)RX Mapping'!AM22&gt;=721,'(橫掃)RX Mapping'!AM22&lt;=840), ('(橫掃)RX Mapping'!AM22-601),IF(AND('(橫掃)RX Mapping'!AM22&gt;=841,'(橫掃)RX Mapping'!AM22&lt;=960), (-1)*('(橫掃)RX Mapping'!AM22-960)+120,9999))))))))</f>
        <v>9999</v>
      </c>
      <c r="AN22">
        <f>IF(AND('(橫掃)RX Mapping'!AN22&gt;=1,'(橫掃)RX Mapping'!AN22&lt;=120), ('(橫掃)RX Mapping'!AN22-1),IF(AND('(橫掃)RX Mapping'!AN22&gt;=121,'(橫掃)RX Mapping'!AN22&lt;=240), (-1)*('(橫掃)RX Mapping'!AN22-240),IF(AND('(橫掃)RX Mapping'!AN22&gt;=241,'(橫掃)RX Mapping'!AN22&lt;=360), ('(橫掃)RX Mapping'!AN22-241),IF(AND('(橫掃)RX Mapping'!AN22&gt;=361,'(橫掃)RX Mapping'!AN22&lt;=480), (-1)*('(橫掃)RX Mapping'!AN22-480),IF(AND('(橫掃)RX Mapping'!AN22&gt;=481,'(橫掃)RX Mapping'!AN22&lt;=600), ('(橫掃)RX Mapping'!AN22-361),IF(AND('(橫掃)RX Mapping'!AN22&gt;=601,'(橫掃)RX Mapping'!AN22&lt;=720), (-1)*('(橫掃)RX Mapping'!AN22-720)+120,IF(AND('(橫掃)RX Mapping'!AN22&gt;=721,'(橫掃)RX Mapping'!AN22&lt;=840), ('(橫掃)RX Mapping'!AN22-601),IF(AND('(橫掃)RX Mapping'!AN22&gt;=841,'(橫掃)RX Mapping'!AN22&lt;=960), (-1)*('(橫掃)RX Mapping'!AN22-960)+120,9999))))))))</f>
        <v>9999</v>
      </c>
      <c r="AO22">
        <f>IF(AND('(橫掃)RX Mapping'!AO22&gt;=1,'(橫掃)RX Mapping'!AO22&lt;=120), ('(橫掃)RX Mapping'!AO22-1),IF(AND('(橫掃)RX Mapping'!AO22&gt;=121,'(橫掃)RX Mapping'!AO22&lt;=240), (-1)*('(橫掃)RX Mapping'!AO22-240),IF(AND('(橫掃)RX Mapping'!AO22&gt;=241,'(橫掃)RX Mapping'!AO22&lt;=360), ('(橫掃)RX Mapping'!AO22-241),IF(AND('(橫掃)RX Mapping'!AO22&gt;=361,'(橫掃)RX Mapping'!AO22&lt;=480), (-1)*('(橫掃)RX Mapping'!AO22-480),IF(AND('(橫掃)RX Mapping'!AO22&gt;=481,'(橫掃)RX Mapping'!AO22&lt;=600), ('(橫掃)RX Mapping'!AO22-361),IF(AND('(橫掃)RX Mapping'!AO22&gt;=601,'(橫掃)RX Mapping'!AO22&lt;=720), (-1)*('(橫掃)RX Mapping'!AO22-720)+120,IF(AND('(橫掃)RX Mapping'!AO22&gt;=721,'(橫掃)RX Mapping'!AO22&lt;=840), ('(橫掃)RX Mapping'!AO22-601),IF(AND('(橫掃)RX Mapping'!AO22&gt;=841,'(橫掃)RX Mapping'!AO22&lt;=960), (-1)*('(橫掃)RX Mapping'!AO22-960)+120,9999))))))))</f>
        <v>9999</v>
      </c>
      <c r="AP22">
        <f>IF(AND('(橫掃)RX Mapping'!AP22&gt;=1,'(橫掃)RX Mapping'!AP22&lt;=120), ('(橫掃)RX Mapping'!AP22-1),IF(AND('(橫掃)RX Mapping'!AP22&gt;=121,'(橫掃)RX Mapping'!AP22&lt;=240), (-1)*('(橫掃)RX Mapping'!AP22-240),IF(AND('(橫掃)RX Mapping'!AP22&gt;=241,'(橫掃)RX Mapping'!AP22&lt;=360), ('(橫掃)RX Mapping'!AP22-241),IF(AND('(橫掃)RX Mapping'!AP22&gt;=361,'(橫掃)RX Mapping'!AP22&lt;=480), (-1)*('(橫掃)RX Mapping'!AP22-480),IF(AND('(橫掃)RX Mapping'!AP22&gt;=481,'(橫掃)RX Mapping'!AP22&lt;=600), ('(橫掃)RX Mapping'!AP22-361),IF(AND('(橫掃)RX Mapping'!AP22&gt;=601,'(橫掃)RX Mapping'!AP22&lt;=720), (-1)*('(橫掃)RX Mapping'!AP22-720)+120,IF(AND('(橫掃)RX Mapping'!AP22&gt;=721,'(橫掃)RX Mapping'!AP22&lt;=840), ('(橫掃)RX Mapping'!AP22-601),IF(AND('(橫掃)RX Mapping'!AP22&gt;=841,'(橫掃)RX Mapping'!AP22&lt;=960), (-1)*('(橫掃)RX Mapping'!AP22-960)+120,9999))))))))</f>
        <v>9999</v>
      </c>
      <c r="AQ22">
        <f>IF(AND('(橫掃)RX Mapping'!AQ22&gt;=1,'(橫掃)RX Mapping'!AQ22&lt;=120), ('(橫掃)RX Mapping'!AQ22-1),IF(AND('(橫掃)RX Mapping'!AQ22&gt;=121,'(橫掃)RX Mapping'!AQ22&lt;=240), (-1)*('(橫掃)RX Mapping'!AQ22-240),IF(AND('(橫掃)RX Mapping'!AQ22&gt;=241,'(橫掃)RX Mapping'!AQ22&lt;=360), ('(橫掃)RX Mapping'!AQ22-241),IF(AND('(橫掃)RX Mapping'!AQ22&gt;=361,'(橫掃)RX Mapping'!AQ22&lt;=480), (-1)*('(橫掃)RX Mapping'!AQ22-480),IF(AND('(橫掃)RX Mapping'!AQ22&gt;=481,'(橫掃)RX Mapping'!AQ22&lt;=600), ('(橫掃)RX Mapping'!AQ22-361),IF(AND('(橫掃)RX Mapping'!AQ22&gt;=601,'(橫掃)RX Mapping'!AQ22&lt;=720), (-1)*('(橫掃)RX Mapping'!AQ22-720)+120,IF(AND('(橫掃)RX Mapping'!AQ22&gt;=721,'(橫掃)RX Mapping'!AQ22&lt;=840), ('(橫掃)RX Mapping'!AQ22-601),IF(AND('(橫掃)RX Mapping'!AQ22&gt;=841,'(橫掃)RX Mapping'!AQ22&lt;=960), (-1)*('(橫掃)RX Mapping'!AQ22-960)+120,9999))))))))</f>
        <v>9999</v>
      </c>
      <c r="AR22">
        <f>IF(AND('(橫掃)RX Mapping'!AR22&gt;=1,'(橫掃)RX Mapping'!AR22&lt;=120), ('(橫掃)RX Mapping'!AR22-1),IF(AND('(橫掃)RX Mapping'!AR22&gt;=121,'(橫掃)RX Mapping'!AR22&lt;=240), (-1)*('(橫掃)RX Mapping'!AR22-240),IF(AND('(橫掃)RX Mapping'!AR22&gt;=241,'(橫掃)RX Mapping'!AR22&lt;=360), ('(橫掃)RX Mapping'!AR22-241),IF(AND('(橫掃)RX Mapping'!AR22&gt;=361,'(橫掃)RX Mapping'!AR22&lt;=480), (-1)*('(橫掃)RX Mapping'!AR22-480),IF(AND('(橫掃)RX Mapping'!AR22&gt;=481,'(橫掃)RX Mapping'!AR22&lt;=600), ('(橫掃)RX Mapping'!AR22-361),IF(AND('(橫掃)RX Mapping'!AR22&gt;=601,'(橫掃)RX Mapping'!AR22&lt;=720), (-1)*('(橫掃)RX Mapping'!AR22-720)+120,IF(AND('(橫掃)RX Mapping'!AR22&gt;=721,'(橫掃)RX Mapping'!AR22&lt;=840), ('(橫掃)RX Mapping'!AR22-601),IF(AND('(橫掃)RX Mapping'!AR22&gt;=841,'(橫掃)RX Mapping'!AR22&lt;=960), (-1)*('(橫掃)RX Mapping'!AR22-960)+120,9999))))))))</f>
        <v>9999</v>
      </c>
      <c r="AS22">
        <f>IF(AND('(橫掃)RX Mapping'!AS22&gt;=1,'(橫掃)RX Mapping'!AS22&lt;=120), ('(橫掃)RX Mapping'!AS22-1),IF(AND('(橫掃)RX Mapping'!AS22&gt;=121,'(橫掃)RX Mapping'!AS22&lt;=240), (-1)*('(橫掃)RX Mapping'!AS22-240),IF(AND('(橫掃)RX Mapping'!AS22&gt;=241,'(橫掃)RX Mapping'!AS22&lt;=360), ('(橫掃)RX Mapping'!AS22-241),IF(AND('(橫掃)RX Mapping'!AS22&gt;=361,'(橫掃)RX Mapping'!AS22&lt;=480), (-1)*('(橫掃)RX Mapping'!AS22-480),IF(AND('(橫掃)RX Mapping'!AS22&gt;=481,'(橫掃)RX Mapping'!AS22&lt;=600), ('(橫掃)RX Mapping'!AS22-361),IF(AND('(橫掃)RX Mapping'!AS22&gt;=601,'(橫掃)RX Mapping'!AS22&lt;=720), (-1)*('(橫掃)RX Mapping'!AS22-720)+120,IF(AND('(橫掃)RX Mapping'!AS22&gt;=721,'(橫掃)RX Mapping'!AS22&lt;=840), ('(橫掃)RX Mapping'!AS22-601),IF(AND('(橫掃)RX Mapping'!AS22&gt;=841,'(橫掃)RX Mapping'!AS22&lt;=960), (-1)*('(橫掃)RX Mapping'!AS22-960)+120,9999))))))))</f>
        <v>9999</v>
      </c>
      <c r="AT22">
        <f>IF(AND('(橫掃)RX Mapping'!AT22&gt;=1,'(橫掃)RX Mapping'!AT22&lt;=120), ('(橫掃)RX Mapping'!AT22-1),IF(AND('(橫掃)RX Mapping'!AT22&gt;=121,'(橫掃)RX Mapping'!AT22&lt;=240), (-1)*('(橫掃)RX Mapping'!AT22-240),IF(AND('(橫掃)RX Mapping'!AT22&gt;=241,'(橫掃)RX Mapping'!AT22&lt;=360), ('(橫掃)RX Mapping'!AT22-241),IF(AND('(橫掃)RX Mapping'!AT22&gt;=361,'(橫掃)RX Mapping'!AT22&lt;=480), (-1)*('(橫掃)RX Mapping'!AT22-480),IF(AND('(橫掃)RX Mapping'!AT22&gt;=481,'(橫掃)RX Mapping'!AT22&lt;=600), ('(橫掃)RX Mapping'!AT22-361),IF(AND('(橫掃)RX Mapping'!AT22&gt;=601,'(橫掃)RX Mapping'!AT22&lt;=720), (-1)*('(橫掃)RX Mapping'!AT22-720)+120,IF(AND('(橫掃)RX Mapping'!AT22&gt;=721,'(橫掃)RX Mapping'!AT22&lt;=840), ('(橫掃)RX Mapping'!AT22-601),IF(AND('(橫掃)RX Mapping'!AT22&gt;=841,'(橫掃)RX Mapping'!AT22&lt;=960), (-1)*('(橫掃)RX Mapping'!AT22-960)+120,9999))))))))</f>
        <v>9999</v>
      </c>
      <c r="AU22">
        <f>IF(AND('(橫掃)RX Mapping'!AU22&gt;=1,'(橫掃)RX Mapping'!AU22&lt;=120), ('(橫掃)RX Mapping'!AU22-1),IF(AND('(橫掃)RX Mapping'!AU22&gt;=121,'(橫掃)RX Mapping'!AU22&lt;=240), (-1)*('(橫掃)RX Mapping'!AU22-240),IF(AND('(橫掃)RX Mapping'!AU22&gt;=241,'(橫掃)RX Mapping'!AU22&lt;=360), ('(橫掃)RX Mapping'!AU22-241),IF(AND('(橫掃)RX Mapping'!AU22&gt;=361,'(橫掃)RX Mapping'!AU22&lt;=480), (-1)*('(橫掃)RX Mapping'!AU22-480),IF(AND('(橫掃)RX Mapping'!AU22&gt;=481,'(橫掃)RX Mapping'!AU22&lt;=600), ('(橫掃)RX Mapping'!AU22-361),IF(AND('(橫掃)RX Mapping'!AU22&gt;=601,'(橫掃)RX Mapping'!AU22&lt;=720), (-1)*('(橫掃)RX Mapping'!AU22-720)+120,IF(AND('(橫掃)RX Mapping'!AU22&gt;=721,'(橫掃)RX Mapping'!AU22&lt;=840), ('(橫掃)RX Mapping'!AU22-601),IF(AND('(橫掃)RX Mapping'!AU22&gt;=841,'(橫掃)RX Mapping'!AU22&lt;=960), (-1)*('(橫掃)RX Mapping'!AU22-960)+120,9999))))))))</f>
        <v>9999</v>
      </c>
      <c r="AV22">
        <f>IF(AND('(橫掃)RX Mapping'!AV22&gt;=1,'(橫掃)RX Mapping'!AV22&lt;=120), ('(橫掃)RX Mapping'!AV22-1),IF(AND('(橫掃)RX Mapping'!AV22&gt;=121,'(橫掃)RX Mapping'!AV22&lt;=240), (-1)*('(橫掃)RX Mapping'!AV22-240),IF(AND('(橫掃)RX Mapping'!AV22&gt;=241,'(橫掃)RX Mapping'!AV22&lt;=360), ('(橫掃)RX Mapping'!AV22-241),IF(AND('(橫掃)RX Mapping'!AV22&gt;=361,'(橫掃)RX Mapping'!AV22&lt;=480), (-1)*('(橫掃)RX Mapping'!AV22-480),IF(AND('(橫掃)RX Mapping'!AV22&gt;=481,'(橫掃)RX Mapping'!AV22&lt;=600), ('(橫掃)RX Mapping'!AV22-361),IF(AND('(橫掃)RX Mapping'!AV22&gt;=601,'(橫掃)RX Mapping'!AV22&lt;=720), (-1)*('(橫掃)RX Mapping'!AV22-720)+120,IF(AND('(橫掃)RX Mapping'!AV22&gt;=721,'(橫掃)RX Mapping'!AV22&lt;=840), ('(橫掃)RX Mapping'!AV22-601),IF(AND('(橫掃)RX Mapping'!AV22&gt;=841,'(橫掃)RX Mapping'!AV22&lt;=960), (-1)*('(橫掃)RX Mapping'!AV22-960)+120,9999))))))))</f>
        <v>9999</v>
      </c>
      <c r="AW22">
        <f>IF(AND('(橫掃)RX Mapping'!AW22&gt;=1,'(橫掃)RX Mapping'!AW22&lt;=120), ('(橫掃)RX Mapping'!AW22-1),IF(AND('(橫掃)RX Mapping'!AW22&gt;=121,'(橫掃)RX Mapping'!AW22&lt;=240), (-1)*('(橫掃)RX Mapping'!AW22-240),IF(AND('(橫掃)RX Mapping'!AW22&gt;=241,'(橫掃)RX Mapping'!AW22&lt;=360), ('(橫掃)RX Mapping'!AW22-241),IF(AND('(橫掃)RX Mapping'!AW22&gt;=361,'(橫掃)RX Mapping'!AW22&lt;=480), (-1)*('(橫掃)RX Mapping'!AW22-480),IF(AND('(橫掃)RX Mapping'!AW22&gt;=481,'(橫掃)RX Mapping'!AW22&lt;=600), ('(橫掃)RX Mapping'!AW22-361),IF(AND('(橫掃)RX Mapping'!AW22&gt;=601,'(橫掃)RX Mapping'!AW22&lt;=720), (-1)*('(橫掃)RX Mapping'!AW22-720)+120,IF(AND('(橫掃)RX Mapping'!AW22&gt;=721,'(橫掃)RX Mapping'!AW22&lt;=840), ('(橫掃)RX Mapping'!AW22-601),IF(AND('(橫掃)RX Mapping'!AW22&gt;=841,'(橫掃)RX Mapping'!AW22&lt;=960), (-1)*('(橫掃)RX Mapping'!AW22-960)+120,9999))))))))</f>
        <v>9999</v>
      </c>
      <c r="AX22">
        <f>IF(AND('(橫掃)RX Mapping'!AX22&gt;=1,'(橫掃)RX Mapping'!AX22&lt;=120), ('(橫掃)RX Mapping'!AX22-1),IF(AND('(橫掃)RX Mapping'!AX22&gt;=121,'(橫掃)RX Mapping'!AX22&lt;=240), (-1)*('(橫掃)RX Mapping'!AX22-240),IF(AND('(橫掃)RX Mapping'!AX22&gt;=241,'(橫掃)RX Mapping'!AX22&lt;=360), ('(橫掃)RX Mapping'!AX22-241),IF(AND('(橫掃)RX Mapping'!AX22&gt;=361,'(橫掃)RX Mapping'!AX22&lt;=480), (-1)*('(橫掃)RX Mapping'!AX22-480),IF(AND('(橫掃)RX Mapping'!AX22&gt;=481,'(橫掃)RX Mapping'!AX22&lt;=600), ('(橫掃)RX Mapping'!AX22-361),IF(AND('(橫掃)RX Mapping'!AX22&gt;=601,'(橫掃)RX Mapping'!AX22&lt;=720), (-1)*('(橫掃)RX Mapping'!AX22-720)+120,IF(AND('(橫掃)RX Mapping'!AX22&gt;=721,'(橫掃)RX Mapping'!AX22&lt;=840), ('(橫掃)RX Mapping'!AX22-601),IF(AND('(橫掃)RX Mapping'!AX22&gt;=841,'(橫掃)RX Mapping'!AX22&lt;=960), (-1)*('(橫掃)RX Mapping'!AX22-960)+120,9999))))))))</f>
        <v>9999</v>
      </c>
      <c r="AY22">
        <f>IF(AND('(橫掃)RX Mapping'!AY22&gt;=1,'(橫掃)RX Mapping'!AY22&lt;=120), ('(橫掃)RX Mapping'!AY22-1),IF(AND('(橫掃)RX Mapping'!AY22&gt;=121,'(橫掃)RX Mapping'!AY22&lt;=240), (-1)*('(橫掃)RX Mapping'!AY22-240),IF(AND('(橫掃)RX Mapping'!AY22&gt;=241,'(橫掃)RX Mapping'!AY22&lt;=360), ('(橫掃)RX Mapping'!AY22-241),IF(AND('(橫掃)RX Mapping'!AY22&gt;=361,'(橫掃)RX Mapping'!AY22&lt;=480), (-1)*('(橫掃)RX Mapping'!AY22-480),IF(AND('(橫掃)RX Mapping'!AY22&gt;=481,'(橫掃)RX Mapping'!AY22&lt;=600), ('(橫掃)RX Mapping'!AY22-361),IF(AND('(橫掃)RX Mapping'!AY22&gt;=601,'(橫掃)RX Mapping'!AY22&lt;=720), (-1)*('(橫掃)RX Mapping'!AY22-720)+120,IF(AND('(橫掃)RX Mapping'!AY22&gt;=721,'(橫掃)RX Mapping'!AY22&lt;=840), ('(橫掃)RX Mapping'!AY22-601),IF(AND('(橫掃)RX Mapping'!AY22&gt;=841,'(橫掃)RX Mapping'!AY22&lt;=960), (-1)*('(橫掃)RX Mapping'!AY22-960)+120,9999))))))))</f>
        <v>9999</v>
      </c>
      <c r="AZ22">
        <f>IF(AND('(橫掃)RX Mapping'!AZ22&gt;=1,'(橫掃)RX Mapping'!AZ22&lt;=120), ('(橫掃)RX Mapping'!AZ22-1),IF(AND('(橫掃)RX Mapping'!AZ22&gt;=121,'(橫掃)RX Mapping'!AZ22&lt;=240), (-1)*('(橫掃)RX Mapping'!AZ22-240),IF(AND('(橫掃)RX Mapping'!AZ22&gt;=241,'(橫掃)RX Mapping'!AZ22&lt;=360), ('(橫掃)RX Mapping'!AZ22-241),IF(AND('(橫掃)RX Mapping'!AZ22&gt;=361,'(橫掃)RX Mapping'!AZ22&lt;=480), (-1)*('(橫掃)RX Mapping'!AZ22-480),IF(AND('(橫掃)RX Mapping'!AZ22&gt;=481,'(橫掃)RX Mapping'!AZ22&lt;=600), ('(橫掃)RX Mapping'!AZ22-361),IF(AND('(橫掃)RX Mapping'!AZ22&gt;=601,'(橫掃)RX Mapping'!AZ22&lt;=720), (-1)*('(橫掃)RX Mapping'!AZ22-720)+120,IF(AND('(橫掃)RX Mapping'!AZ22&gt;=721,'(橫掃)RX Mapping'!AZ22&lt;=840), ('(橫掃)RX Mapping'!AZ22-601),IF(AND('(橫掃)RX Mapping'!AZ22&gt;=841,'(橫掃)RX Mapping'!AZ22&lt;=960), (-1)*('(橫掃)RX Mapping'!AZ22-960)+120,9999))))))))</f>
        <v>9999</v>
      </c>
      <c r="BA22">
        <f>IF(AND('(橫掃)RX Mapping'!BA22&gt;=1,'(橫掃)RX Mapping'!BA22&lt;=120), ('(橫掃)RX Mapping'!BA22-1),IF(AND('(橫掃)RX Mapping'!BA22&gt;=121,'(橫掃)RX Mapping'!BA22&lt;=240), (-1)*('(橫掃)RX Mapping'!BA22-240),IF(AND('(橫掃)RX Mapping'!BA22&gt;=241,'(橫掃)RX Mapping'!BA22&lt;=360), ('(橫掃)RX Mapping'!BA22-241),IF(AND('(橫掃)RX Mapping'!BA22&gt;=361,'(橫掃)RX Mapping'!BA22&lt;=480), (-1)*('(橫掃)RX Mapping'!BA22-480),IF(AND('(橫掃)RX Mapping'!BA22&gt;=481,'(橫掃)RX Mapping'!BA22&lt;=600), ('(橫掃)RX Mapping'!BA22-361),IF(AND('(橫掃)RX Mapping'!BA22&gt;=601,'(橫掃)RX Mapping'!BA22&lt;=720), (-1)*('(橫掃)RX Mapping'!BA22-720)+120,IF(AND('(橫掃)RX Mapping'!BA22&gt;=721,'(橫掃)RX Mapping'!BA22&lt;=840), ('(橫掃)RX Mapping'!BA22-601),IF(AND('(橫掃)RX Mapping'!BA22&gt;=841,'(橫掃)RX Mapping'!BA22&lt;=960), (-1)*('(橫掃)RX Mapping'!BA22-960)+120,9999))))))))</f>
        <v>9999</v>
      </c>
      <c r="BB22">
        <f>IF(AND('(橫掃)RX Mapping'!BB22&gt;=1,'(橫掃)RX Mapping'!BB22&lt;=120), ('(橫掃)RX Mapping'!BB22-1),IF(AND('(橫掃)RX Mapping'!BB22&gt;=121,'(橫掃)RX Mapping'!BB22&lt;=240), (-1)*('(橫掃)RX Mapping'!BB22-240),IF(AND('(橫掃)RX Mapping'!BB22&gt;=241,'(橫掃)RX Mapping'!BB22&lt;=360), ('(橫掃)RX Mapping'!BB22-241),IF(AND('(橫掃)RX Mapping'!BB22&gt;=361,'(橫掃)RX Mapping'!BB22&lt;=480), (-1)*('(橫掃)RX Mapping'!BB22-480),IF(AND('(橫掃)RX Mapping'!BB22&gt;=481,'(橫掃)RX Mapping'!BB22&lt;=600), ('(橫掃)RX Mapping'!BB22-361),IF(AND('(橫掃)RX Mapping'!BB22&gt;=601,'(橫掃)RX Mapping'!BB22&lt;=720), (-1)*('(橫掃)RX Mapping'!BB22-720)+120,IF(AND('(橫掃)RX Mapping'!BB22&gt;=721,'(橫掃)RX Mapping'!BB22&lt;=840), ('(橫掃)RX Mapping'!BB22-601),IF(AND('(橫掃)RX Mapping'!BB22&gt;=841,'(橫掃)RX Mapping'!BB22&lt;=960), (-1)*('(橫掃)RX Mapping'!BB22-960)+120,9999))))))))</f>
        <v>9999</v>
      </c>
      <c r="BC22">
        <f>IF(AND('(橫掃)RX Mapping'!BC22&gt;=1,'(橫掃)RX Mapping'!BC22&lt;=120), ('(橫掃)RX Mapping'!BC22-1),IF(AND('(橫掃)RX Mapping'!BC22&gt;=121,'(橫掃)RX Mapping'!BC22&lt;=240), (-1)*('(橫掃)RX Mapping'!BC22-240),IF(AND('(橫掃)RX Mapping'!BC22&gt;=241,'(橫掃)RX Mapping'!BC22&lt;=360), ('(橫掃)RX Mapping'!BC22-241),IF(AND('(橫掃)RX Mapping'!BC22&gt;=361,'(橫掃)RX Mapping'!BC22&lt;=480), (-1)*('(橫掃)RX Mapping'!BC22-480),IF(AND('(橫掃)RX Mapping'!BC22&gt;=481,'(橫掃)RX Mapping'!BC22&lt;=600), ('(橫掃)RX Mapping'!BC22-361),IF(AND('(橫掃)RX Mapping'!BC22&gt;=601,'(橫掃)RX Mapping'!BC22&lt;=720), (-1)*('(橫掃)RX Mapping'!BC22-720)+120,IF(AND('(橫掃)RX Mapping'!BC22&gt;=721,'(橫掃)RX Mapping'!BC22&lt;=840), ('(橫掃)RX Mapping'!BC22-601),IF(AND('(橫掃)RX Mapping'!BC22&gt;=841,'(橫掃)RX Mapping'!BC22&lt;=960), (-1)*('(橫掃)RX Mapping'!BC22-960)+120,9999))))))))</f>
        <v>9999</v>
      </c>
      <c r="BD22">
        <f>IF(AND('(橫掃)RX Mapping'!BD22&gt;=1,'(橫掃)RX Mapping'!BD22&lt;=120), ('(橫掃)RX Mapping'!BD22-1),IF(AND('(橫掃)RX Mapping'!BD22&gt;=121,'(橫掃)RX Mapping'!BD22&lt;=240), (-1)*('(橫掃)RX Mapping'!BD22-240),IF(AND('(橫掃)RX Mapping'!BD22&gt;=241,'(橫掃)RX Mapping'!BD22&lt;=360), ('(橫掃)RX Mapping'!BD22-241),IF(AND('(橫掃)RX Mapping'!BD22&gt;=361,'(橫掃)RX Mapping'!BD22&lt;=480), (-1)*('(橫掃)RX Mapping'!BD22-480),IF(AND('(橫掃)RX Mapping'!BD22&gt;=481,'(橫掃)RX Mapping'!BD22&lt;=600), ('(橫掃)RX Mapping'!BD22-361),IF(AND('(橫掃)RX Mapping'!BD22&gt;=601,'(橫掃)RX Mapping'!BD22&lt;=720), (-1)*('(橫掃)RX Mapping'!BD22-720)+120,IF(AND('(橫掃)RX Mapping'!BD22&gt;=721,'(橫掃)RX Mapping'!BD22&lt;=840), ('(橫掃)RX Mapping'!BD22-601),IF(AND('(橫掃)RX Mapping'!BD22&gt;=841,'(橫掃)RX Mapping'!BD22&lt;=960), (-1)*('(橫掃)RX Mapping'!BD22-960)+120,9999))))))))</f>
        <v>9999</v>
      </c>
      <c r="BE22">
        <f>IF(AND('(橫掃)RX Mapping'!BE22&gt;=1,'(橫掃)RX Mapping'!BE22&lt;=120), ('(橫掃)RX Mapping'!BE22-1),IF(AND('(橫掃)RX Mapping'!BE22&gt;=121,'(橫掃)RX Mapping'!BE22&lt;=240), (-1)*('(橫掃)RX Mapping'!BE22-240),IF(AND('(橫掃)RX Mapping'!BE22&gt;=241,'(橫掃)RX Mapping'!BE22&lt;=360), ('(橫掃)RX Mapping'!BE22-241),IF(AND('(橫掃)RX Mapping'!BE22&gt;=361,'(橫掃)RX Mapping'!BE22&lt;=480), (-1)*('(橫掃)RX Mapping'!BE22-480),IF(AND('(橫掃)RX Mapping'!BE22&gt;=481,'(橫掃)RX Mapping'!BE22&lt;=600), ('(橫掃)RX Mapping'!BE22-361),IF(AND('(橫掃)RX Mapping'!BE22&gt;=601,'(橫掃)RX Mapping'!BE22&lt;=720), (-1)*('(橫掃)RX Mapping'!BE22-720)+120,IF(AND('(橫掃)RX Mapping'!BE22&gt;=721,'(橫掃)RX Mapping'!BE22&lt;=840), ('(橫掃)RX Mapping'!BE22-601),IF(AND('(橫掃)RX Mapping'!BE22&gt;=841,'(橫掃)RX Mapping'!BE22&lt;=960), (-1)*('(橫掃)RX Mapping'!BE22-960)+120,9999))))))))</f>
        <v>9999</v>
      </c>
      <c r="BF22">
        <f>IF(AND('(橫掃)RX Mapping'!BF22&gt;=1,'(橫掃)RX Mapping'!BF22&lt;=120), ('(橫掃)RX Mapping'!BF22-1),IF(AND('(橫掃)RX Mapping'!BF22&gt;=121,'(橫掃)RX Mapping'!BF22&lt;=240), (-1)*('(橫掃)RX Mapping'!BF22-240),IF(AND('(橫掃)RX Mapping'!BF22&gt;=241,'(橫掃)RX Mapping'!BF22&lt;=360), ('(橫掃)RX Mapping'!BF22-241),IF(AND('(橫掃)RX Mapping'!BF22&gt;=361,'(橫掃)RX Mapping'!BF22&lt;=480), (-1)*('(橫掃)RX Mapping'!BF22-480),IF(AND('(橫掃)RX Mapping'!BF22&gt;=481,'(橫掃)RX Mapping'!BF22&lt;=600), ('(橫掃)RX Mapping'!BF22-361),IF(AND('(橫掃)RX Mapping'!BF22&gt;=601,'(橫掃)RX Mapping'!BF22&lt;=720), (-1)*('(橫掃)RX Mapping'!BF22-720)+120,IF(AND('(橫掃)RX Mapping'!BF22&gt;=721,'(橫掃)RX Mapping'!BF22&lt;=840), ('(橫掃)RX Mapping'!BF22-601),IF(AND('(橫掃)RX Mapping'!BF22&gt;=841,'(橫掃)RX Mapping'!BF22&lt;=960), (-1)*('(橫掃)RX Mapping'!BF22-960)+120,9999))))))))</f>
        <v>9999</v>
      </c>
      <c r="BG22">
        <f>IF(AND('(橫掃)RX Mapping'!BG22&gt;=1,'(橫掃)RX Mapping'!BG22&lt;=120), ('(橫掃)RX Mapping'!BG22-1),IF(AND('(橫掃)RX Mapping'!BG22&gt;=121,'(橫掃)RX Mapping'!BG22&lt;=240), (-1)*('(橫掃)RX Mapping'!BG22-240),IF(AND('(橫掃)RX Mapping'!BG22&gt;=241,'(橫掃)RX Mapping'!BG22&lt;=360), ('(橫掃)RX Mapping'!BG22-241),IF(AND('(橫掃)RX Mapping'!BG22&gt;=361,'(橫掃)RX Mapping'!BG22&lt;=480), (-1)*('(橫掃)RX Mapping'!BG22-480),IF(AND('(橫掃)RX Mapping'!BG22&gt;=481,'(橫掃)RX Mapping'!BG22&lt;=600), ('(橫掃)RX Mapping'!BG22-361),IF(AND('(橫掃)RX Mapping'!BG22&gt;=601,'(橫掃)RX Mapping'!BG22&lt;=720), (-1)*('(橫掃)RX Mapping'!BG22-720)+120,IF(AND('(橫掃)RX Mapping'!BG22&gt;=721,'(橫掃)RX Mapping'!BG22&lt;=840), ('(橫掃)RX Mapping'!BG22-601),IF(AND('(橫掃)RX Mapping'!BG22&gt;=841,'(橫掃)RX Mapping'!BG22&lt;=960), (-1)*('(橫掃)RX Mapping'!BG22-960)+120,9999))))))))</f>
        <v>9999</v>
      </c>
      <c r="BH22">
        <f>IF(AND('(橫掃)RX Mapping'!BH22&gt;=1,'(橫掃)RX Mapping'!BH22&lt;=120), ('(橫掃)RX Mapping'!BH22-1),IF(AND('(橫掃)RX Mapping'!BH22&gt;=121,'(橫掃)RX Mapping'!BH22&lt;=240), (-1)*('(橫掃)RX Mapping'!BH22-240),IF(AND('(橫掃)RX Mapping'!BH22&gt;=241,'(橫掃)RX Mapping'!BH22&lt;=360), ('(橫掃)RX Mapping'!BH22-241),IF(AND('(橫掃)RX Mapping'!BH22&gt;=361,'(橫掃)RX Mapping'!BH22&lt;=480), (-1)*('(橫掃)RX Mapping'!BH22-480),IF(AND('(橫掃)RX Mapping'!BH22&gt;=481,'(橫掃)RX Mapping'!BH22&lt;=600), ('(橫掃)RX Mapping'!BH22-361),IF(AND('(橫掃)RX Mapping'!BH22&gt;=601,'(橫掃)RX Mapping'!BH22&lt;=720), (-1)*('(橫掃)RX Mapping'!BH22-720)+120,IF(AND('(橫掃)RX Mapping'!BH22&gt;=721,'(橫掃)RX Mapping'!BH22&lt;=840), ('(橫掃)RX Mapping'!BH22-601),IF(AND('(橫掃)RX Mapping'!BH22&gt;=841,'(橫掃)RX Mapping'!BH22&lt;=960), (-1)*('(橫掃)RX Mapping'!BH22-960)+120,9999))))))))</f>
        <v>9999</v>
      </c>
      <c r="BI22">
        <f>IF(AND('(橫掃)RX Mapping'!BI22&gt;=1,'(橫掃)RX Mapping'!BI22&lt;=120), ('(橫掃)RX Mapping'!BI22-1),IF(AND('(橫掃)RX Mapping'!BI22&gt;=121,'(橫掃)RX Mapping'!BI22&lt;=240), (-1)*('(橫掃)RX Mapping'!BI22-240),IF(AND('(橫掃)RX Mapping'!BI22&gt;=241,'(橫掃)RX Mapping'!BI22&lt;=360), ('(橫掃)RX Mapping'!BI22-241),IF(AND('(橫掃)RX Mapping'!BI22&gt;=361,'(橫掃)RX Mapping'!BI22&lt;=480), (-1)*('(橫掃)RX Mapping'!BI22-480),IF(AND('(橫掃)RX Mapping'!BI22&gt;=481,'(橫掃)RX Mapping'!BI22&lt;=600), ('(橫掃)RX Mapping'!BI22-361),IF(AND('(橫掃)RX Mapping'!BI22&gt;=601,'(橫掃)RX Mapping'!BI22&lt;=720), (-1)*('(橫掃)RX Mapping'!BI22-720)+120,IF(AND('(橫掃)RX Mapping'!BI22&gt;=721,'(橫掃)RX Mapping'!BI22&lt;=840), ('(橫掃)RX Mapping'!BI22-601),IF(AND('(橫掃)RX Mapping'!BI22&gt;=841,'(橫掃)RX Mapping'!BI22&lt;=960), (-1)*('(橫掃)RX Mapping'!BI22-960)+120,9999))))))))</f>
        <v>9999</v>
      </c>
    </row>
    <row r="23" spans="1:61" x14ac:dyDescent="0.25">
      <c r="A23" s="20">
        <v>22</v>
      </c>
      <c r="B23">
        <f>IF(AND('(橫掃)RX Mapping'!B23&gt;=1,'(橫掃)RX Mapping'!B23&lt;=120), ('(橫掃)RX Mapping'!B23-1),IF(AND('(橫掃)RX Mapping'!B23&gt;=121,'(橫掃)RX Mapping'!B23&lt;=240), (-1)*('(橫掃)RX Mapping'!B23-240),IF(AND('(橫掃)RX Mapping'!B23&gt;=241,'(橫掃)RX Mapping'!B23&lt;=360), ('(橫掃)RX Mapping'!B23-241),IF(AND('(橫掃)RX Mapping'!B23&gt;=361,'(橫掃)RX Mapping'!B23&lt;=480), (-1)*('(橫掃)RX Mapping'!B23-480),IF(AND('(橫掃)RX Mapping'!B23&gt;=481,'(橫掃)RX Mapping'!B23&lt;=600), ('(橫掃)RX Mapping'!B23-361),IF(AND('(橫掃)RX Mapping'!B23&gt;=601,'(橫掃)RX Mapping'!B23&lt;=720), (-1)*('(橫掃)RX Mapping'!B23-720)+120,IF(AND('(橫掃)RX Mapping'!B23&gt;=721,'(橫掃)RX Mapping'!B23&lt;=840), ('(橫掃)RX Mapping'!B23-601),IF(AND('(橫掃)RX Mapping'!B23&gt;=841,'(橫掃)RX Mapping'!B23&lt;=960), (-1)*('(橫掃)RX Mapping'!B23-960)+120,9999))))))))</f>
        <v>21</v>
      </c>
      <c r="C23">
        <f>IF(AND('(橫掃)RX Mapping'!C23&gt;=1,'(橫掃)RX Mapping'!C23&lt;=120), ('(橫掃)RX Mapping'!C23-1),IF(AND('(橫掃)RX Mapping'!C23&gt;=121,'(橫掃)RX Mapping'!C23&lt;=240), (-1)*('(橫掃)RX Mapping'!C23-240),IF(AND('(橫掃)RX Mapping'!C23&gt;=241,'(橫掃)RX Mapping'!C23&lt;=360), ('(橫掃)RX Mapping'!C23-241),IF(AND('(橫掃)RX Mapping'!C23&gt;=361,'(橫掃)RX Mapping'!C23&lt;=480), (-1)*('(橫掃)RX Mapping'!C23-480),IF(AND('(橫掃)RX Mapping'!C23&gt;=481,'(橫掃)RX Mapping'!C23&lt;=600), ('(橫掃)RX Mapping'!C23-361),IF(AND('(橫掃)RX Mapping'!C23&gt;=601,'(橫掃)RX Mapping'!C23&lt;=720), (-1)*('(橫掃)RX Mapping'!C23-720)+120,IF(AND('(橫掃)RX Mapping'!C23&gt;=721,'(橫掃)RX Mapping'!C23&lt;=840), ('(橫掃)RX Mapping'!C23-601),IF(AND('(橫掃)RX Mapping'!C23&gt;=841,'(橫掃)RX Mapping'!C23&lt;=960), (-1)*('(橫掃)RX Mapping'!C23-960)+120,9999))))))))</f>
        <v>53</v>
      </c>
      <c r="D23">
        <f>IF(AND('(橫掃)RX Mapping'!D23&gt;=1,'(橫掃)RX Mapping'!D23&lt;=120), ('(橫掃)RX Mapping'!D23-1),IF(AND('(橫掃)RX Mapping'!D23&gt;=121,'(橫掃)RX Mapping'!D23&lt;=240), (-1)*('(橫掃)RX Mapping'!D23-240),IF(AND('(橫掃)RX Mapping'!D23&gt;=241,'(橫掃)RX Mapping'!D23&lt;=360), ('(橫掃)RX Mapping'!D23-241),IF(AND('(橫掃)RX Mapping'!D23&gt;=361,'(橫掃)RX Mapping'!D23&lt;=480), (-1)*('(橫掃)RX Mapping'!D23-480),IF(AND('(橫掃)RX Mapping'!D23&gt;=481,'(橫掃)RX Mapping'!D23&lt;=600), ('(橫掃)RX Mapping'!D23-361),IF(AND('(橫掃)RX Mapping'!D23&gt;=601,'(橫掃)RX Mapping'!D23&lt;=720), (-1)*('(橫掃)RX Mapping'!D23-720)+120,IF(AND('(橫掃)RX Mapping'!D23&gt;=721,'(橫掃)RX Mapping'!D23&lt;=840), ('(橫掃)RX Mapping'!D23-601),IF(AND('(橫掃)RX Mapping'!D23&gt;=841,'(橫掃)RX Mapping'!D23&lt;=960), (-1)*('(橫掃)RX Mapping'!D23-960)+120,9999))))))))</f>
        <v>85</v>
      </c>
      <c r="E23">
        <f>IF(AND('(橫掃)RX Mapping'!E23&gt;=1,'(橫掃)RX Mapping'!E23&lt;=120), ('(橫掃)RX Mapping'!E23-1),IF(AND('(橫掃)RX Mapping'!E23&gt;=121,'(橫掃)RX Mapping'!E23&lt;=240), (-1)*('(橫掃)RX Mapping'!E23-240),IF(AND('(橫掃)RX Mapping'!E23&gt;=241,'(橫掃)RX Mapping'!E23&lt;=360), ('(橫掃)RX Mapping'!E23-241),IF(AND('(橫掃)RX Mapping'!E23&gt;=361,'(橫掃)RX Mapping'!E23&lt;=480), (-1)*('(橫掃)RX Mapping'!E23-480),IF(AND('(橫掃)RX Mapping'!E23&gt;=481,'(橫掃)RX Mapping'!E23&lt;=600), ('(橫掃)RX Mapping'!E23-361),IF(AND('(橫掃)RX Mapping'!E23&gt;=601,'(橫掃)RX Mapping'!E23&lt;=720), (-1)*('(橫掃)RX Mapping'!E23-720)+120,IF(AND('(橫掃)RX Mapping'!E23&gt;=721,'(橫掃)RX Mapping'!E23&lt;=840), ('(橫掃)RX Mapping'!E23-601),IF(AND('(橫掃)RX Mapping'!E23&gt;=841,'(橫掃)RX Mapping'!E23&lt;=960), (-1)*('(橫掃)RX Mapping'!E23-960)+120,9999))))))))</f>
        <v>117</v>
      </c>
      <c r="F23">
        <f>IF(AND('(橫掃)RX Mapping'!F23&gt;=1,'(橫掃)RX Mapping'!F23&lt;=120), ('(橫掃)RX Mapping'!F23-1),IF(AND('(橫掃)RX Mapping'!F23&gt;=121,'(橫掃)RX Mapping'!F23&lt;=240), (-1)*('(橫掃)RX Mapping'!F23-240),IF(AND('(橫掃)RX Mapping'!F23&gt;=241,'(橫掃)RX Mapping'!F23&lt;=360), ('(橫掃)RX Mapping'!F23-241),IF(AND('(橫掃)RX Mapping'!F23&gt;=361,'(橫掃)RX Mapping'!F23&lt;=480), (-1)*('(橫掃)RX Mapping'!F23-480),IF(AND('(橫掃)RX Mapping'!F23&gt;=481,'(橫掃)RX Mapping'!F23&lt;=600), ('(橫掃)RX Mapping'!F23-361),IF(AND('(橫掃)RX Mapping'!F23&gt;=601,'(橫掃)RX Mapping'!F23&lt;=720), (-1)*('(橫掃)RX Mapping'!F23-720)+120,IF(AND('(橫掃)RX Mapping'!F23&gt;=721,'(橫掃)RX Mapping'!F23&lt;=840), ('(橫掃)RX Mapping'!F23-601),IF(AND('(橫掃)RX Mapping'!F23&gt;=841,'(橫掃)RX Mapping'!F23&lt;=960), (-1)*('(橫掃)RX Mapping'!F23-960)+120,9999))))))))</f>
        <v>90</v>
      </c>
      <c r="G23">
        <f>IF(AND('(橫掃)RX Mapping'!G23&gt;=1,'(橫掃)RX Mapping'!G23&lt;=120), ('(橫掃)RX Mapping'!G23-1),IF(AND('(橫掃)RX Mapping'!G23&gt;=121,'(橫掃)RX Mapping'!G23&lt;=240), (-1)*('(橫掃)RX Mapping'!G23-240),IF(AND('(橫掃)RX Mapping'!G23&gt;=241,'(橫掃)RX Mapping'!G23&lt;=360), ('(橫掃)RX Mapping'!G23-241),IF(AND('(橫掃)RX Mapping'!G23&gt;=361,'(橫掃)RX Mapping'!G23&lt;=480), (-1)*('(橫掃)RX Mapping'!G23-480),IF(AND('(橫掃)RX Mapping'!G23&gt;=481,'(橫掃)RX Mapping'!G23&lt;=600), ('(橫掃)RX Mapping'!G23-361),IF(AND('(橫掃)RX Mapping'!G23&gt;=601,'(橫掃)RX Mapping'!G23&lt;=720), (-1)*('(橫掃)RX Mapping'!G23-720)+120,IF(AND('(橫掃)RX Mapping'!G23&gt;=721,'(橫掃)RX Mapping'!G23&lt;=840), ('(橫掃)RX Mapping'!G23-601),IF(AND('(橫掃)RX Mapping'!G23&gt;=841,'(橫掃)RX Mapping'!G23&lt;=960), (-1)*('(橫掃)RX Mapping'!G23-960)+120,9999))))))))</f>
        <v>58</v>
      </c>
      <c r="H23">
        <f>IF(AND('(橫掃)RX Mapping'!H23&gt;=1,'(橫掃)RX Mapping'!H23&lt;=120), ('(橫掃)RX Mapping'!H23-1),IF(AND('(橫掃)RX Mapping'!H23&gt;=121,'(橫掃)RX Mapping'!H23&lt;=240), (-1)*('(橫掃)RX Mapping'!H23-240),IF(AND('(橫掃)RX Mapping'!H23&gt;=241,'(橫掃)RX Mapping'!H23&lt;=360), ('(橫掃)RX Mapping'!H23-241),IF(AND('(橫掃)RX Mapping'!H23&gt;=361,'(橫掃)RX Mapping'!H23&lt;=480), (-1)*('(橫掃)RX Mapping'!H23-480),IF(AND('(橫掃)RX Mapping'!H23&gt;=481,'(橫掃)RX Mapping'!H23&lt;=600), ('(橫掃)RX Mapping'!H23-361),IF(AND('(橫掃)RX Mapping'!H23&gt;=601,'(橫掃)RX Mapping'!H23&lt;=720), (-1)*('(橫掃)RX Mapping'!H23-720)+120,IF(AND('(橫掃)RX Mapping'!H23&gt;=721,'(橫掃)RX Mapping'!H23&lt;=840), ('(橫掃)RX Mapping'!H23-601),IF(AND('(橫掃)RX Mapping'!H23&gt;=841,'(橫掃)RX Mapping'!H23&lt;=960), (-1)*('(橫掃)RX Mapping'!H23-960)+120,9999))))))))</f>
        <v>26</v>
      </c>
      <c r="I23">
        <f>IF(AND('(橫掃)RX Mapping'!I23&gt;=1,'(橫掃)RX Mapping'!I23&lt;=120), ('(橫掃)RX Mapping'!I23-1),IF(AND('(橫掃)RX Mapping'!I23&gt;=121,'(橫掃)RX Mapping'!I23&lt;=240), (-1)*('(橫掃)RX Mapping'!I23-240),IF(AND('(橫掃)RX Mapping'!I23&gt;=241,'(橫掃)RX Mapping'!I23&lt;=360), ('(橫掃)RX Mapping'!I23-241),IF(AND('(橫掃)RX Mapping'!I23&gt;=361,'(橫掃)RX Mapping'!I23&lt;=480), (-1)*('(橫掃)RX Mapping'!I23-480),IF(AND('(橫掃)RX Mapping'!I23&gt;=481,'(橫掃)RX Mapping'!I23&lt;=600), ('(橫掃)RX Mapping'!I23-361),IF(AND('(橫掃)RX Mapping'!I23&gt;=601,'(橫掃)RX Mapping'!I23&lt;=720), (-1)*('(橫掃)RX Mapping'!I23-720)+120,IF(AND('(橫掃)RX Mapping'!I23&gt;=721,'(橫掃)RX Mapping'!I23&lt;=840), ('(橫掃)RX Mapping'!I23-601),IF(AND('(橫掃)RX Mapping'!I23&gt;=841,'(橫掃)RX Mapping'!I23&lt;=960), (-1)*('(橫掃)RX Mapping'!I23-960)+120,9999))))))))</f>
        <v>21</v>
      </c>
      <c r="J23">
        <f>IF(AND('(橫掃)RX Mapping'!J23&gt;=1,'(橫掃)RX Mapping'!J23&lt;=120), ('(橫掃)RX Mapping'!J23-1),IF(AND('(橫掃)RX Mapping'!J23&gt;=121,'(橫掃)RX Mapping'!J23&lt;=240), (-1)*('(橫掃)RX Mapping'!J23-240),IF(AND('(橫掃)RX Mapping'!J23&gt;=241,'(橫掃)RX Mapping'!J23&lt;=360), ('(橫掃)RX Mapping'!J23-241),IF(AND('(橫掃)RX Mapping'!J23&gt;=361,'(橫掃)RX Mapping'!J23&lt;=480), (-1)*('(橫掃)RX Mapping'!J23-480),IF(AND('(橫掃)RX Mapping'!J23&gt;=481,'(橫掃)RX Mapping'!J23&lt;=600), ('(橫掃)RX Mapping'!J23-361),IF(AND('(橫掃)RX Mapping'!J23&gt;=601,'(橫掃)RX Mapping'!J23&lt;=720), (-1)*('(橫掃)RX Mapping'!J23-720)+120,IF(AND('(橫掃)RX Mapping'!J23&gt;=721,'(橫掃)RX Mapping'!J23&lt;=840), ('(橫掃)RX Mapping'!J23-601),IF(AND('(橫掃)RX Mapping'!J23&gt;=841,'(橫掃)RX Mapping'!J23&lt;=960), (-1)*('(橫掃)RX Mapping'!J23-960)+120,9999))))))))</f>
        <v>53</v>
      </c>
      <c r="K23">
        <f>IF(AND('(橫掃)RX Mapping'!K23&gt;=1,'(橫掃)RX Mapping'!K23&lt;=120), ('(橫掃)RX Mapping'!K23-1),IF(AND('(橫掃)RX Mapping'!K23&gt;=121,'(橫掃)RX Mapping'!K23&lt;=240), (-1)*('(橫掃)RX Mapping'!K23-240),IF(AND('(橫掃)RX Mapping'!K23&gt;=241,'(橫掃)RX Mapping'!K23&lt;=360), ('(橫掃)RX Mapping'!K23-241),IF(AND('(橫掃)RX Mapping'!K23&gt;=361,'(橫掃)RX Mapping'!K23&lt;=480), (-1)*('(橫掃)RX Mapping'!K23-480),IF(AND('(橫掃)RX Mapping'!K23&gt;=481,'(橫掃)RX Mapping'!K23&lt;=600), ('(橫掃)RX Mapping'!K23-361),IF(AND('(橫掃)RX Mapping'!K23&gt;=601,'(橫掃)RX Mapping'!K23&lt;=720), (-1)*('(橫掃)RX Mapping'!K23-720)+120,IF(AND('(橫掃)RX Mapping'!K23&gt;=721,'(橫掃)RX Mapping'!K23&lt;=840), ('(橫掃)RX Mapping'!K23-601),IF(AND('(橫掃)RX Mapping'!K23&gt;=841,'(橫掃)RX Mapping'!K23&lt;=960), (-1)*('(橫掃)RX Mapping'!K23-960)+120,9999))))))))</f>
        <v>85</v>
      </c>
      <c r="L23">
        <f>IF(AND('(橫掃)RX Mapping'!L23&gt;=1,'(橫掃)RX Mapping'!L23&lt;=120), ('(橫掃)RX Mapping'!L23-1),IF(AND('(橫掃)RX Mapping'!L23&gt;=121,'(橫掃)RX Mapping'!L23&lt;=240), (-1)*('(橫掃)RX Mapping'!L23-240),IF(AND('(橫掃)RX Mapping'!L23&gt;=241,'(橫掃)RX Mapping'!L23&lt;=360), ('(橫掃)RX Mapping'!L23-241),IF(AND('(橫掃)RX Mapping'!L23&gt;=361,'(橫掃)RX Mapping'!L23&lt;=480), (-1)*('(橫掃)RX Mapping'!L23-480),IF(AND('(橫掃)RX Mapping'!L23&gt;=481,'(橫掃)RX Mapping'!L23&lt;=600), ('(橫掃)RX Mapping'!L23-361),IF(AND('(橫掃)RX Mapping'!L23&gt;=601,'(橫掃)RX Mapping'!L23&lt;=720), (-1)*('(橫掃)RX Mapping'!L23-720)+120,IF(AND('(橫掃)RX Mapping'!L23&gt;=721,'(橫掃)RX Mapping'!L23&lt;=840), ('(橫掃)RX Mapping'!L23-601),IF(AND('(橫掃)RX Mapping'!L23&gt;=841,'(橫掃)RX Mapping'!L23&lt;=960), (-1)*('(橫掃)RX Mapping'!L23-960)+120,9999))))))))</f>
        <v>117</v>
      </c>
      <c r="M23">
        <f>IF(AND('(橫掃)RX Mapping'!M23&gt;=1,'(橫掃)RX Mapping'!M23&lt;=120), ('(橫掃)RX Mapping'!M23-1),IF(AND('(橫掃)RX Mapping'!M23&gt;=121,'(橫掃)RX Mapping'!M23&lt;=240), (-1)*('(橫掃)RX Mapping'!M23-240),IF(AND('(橫掃)RX Mapping'!M23&gt;=241,'(橫掃)RX Mapping'!M23&lt;=360), ('(橫掃)RX Mapping'!M23-241),IF(AND('(橫掃)RX Mapping'!M23&gt;=361,'(橫掃)RX Mapping'!M23&lt;=480), (-1)*('(橫掃)RX Mapping'!M23-480),IF(AND('(橫掃)RX Mapping'!M23&gt;=481,'(橫掃)RX Mapping'!M23&lt;=600), ('(橫掃)RX Mapping'!M23-361),IF(AND('(橫掃)RX Mapping'!M23&gt;=601,'(橫掃)RX Mapping'!M23&lt;=720), (-1)*('(橫掃)RX Mapping'!M23-720)+120,IF(AND('(橫掃)RX Mapping'!M23&gt;=721,'(橫掃)RX Mapping'!M23&lt;=840), ('(橫掃)RX Mapping'!M23-601),IF(AND('(橫掃)RX Mapping'!M23&gt;=841,'(橫掃)RX Mapping'!M23&lt;=960), (-1)*('(橫掃)RX Mapping'!M23-960)+120,9999))))))))</f>
        <v>90</v>
      </c>
      <c r="N23">
        <f>IF(AND('(橫掃)RX Mapping'!N23&gt;=1,'(橫掃)RX Mapping'!N23&lt;=120), ('(橫掃)RX Mapping'!N23-1),IF(AND('(橫掃)RX Mapping'!N23&gt;=121,'(橫掃)RX Mapping'!N23&lt;=240), (-1)*('(橫掃)RX Mapping'!N23-240),IF(AND('(橫掃)RX Mapping'!N23&gt;=241,'(橫掃)RX Mapping'!N23&lt;=360), ('(橫掃)RX Mapping'!N23-241),IF(AND('(橫掃)RX Mapping'!N23&gt;=361,'(橫掃)RX Mapping'!N23&lt;=480), (-1)*('(橫掃)RX Mapping'!N23-480),IF(AND('(橫掃)RX Mapping'!N23&gt;=481,'(橫掃)RX Mapping'!N23&lt;=600), ('(橫掃)RX Mapping'!N23-361),IF(AND('(橫掃)RX Mapping'!N23&gt;=601,'(橫掃)RX Mapping'!N23&lt;=720), (-1)*('(橫掃)RX Mapping'!N23-720)+120,IF(AND('(橫掃)RX Mapping'!N23&gt;=721,'(橫掃)RX Mapping'!N23&lt;=840), ('(橫掃)RX Mapping'!N23-601),IF(AND('(橫掃)RX Mapping'!N23&gt;=841,'(橫掃)RX Mapping'!N23&lt;=960), (-1)*('(橫掃)RX Mapping'!N23-960)+120,9999))))))))</f>
        <v>58</v>
      </c>
      <c r="O23">
        <f>IF(AND('(橫掃)RX Mapping'!O23&gt;=1,'(橫掃)RX Mapping'!O23&lt;=120), ('(橫掃)RX Mapping'!O23-1),IF(AND('(橫掃)RX Mapping'!O23&gt;=121,'(橫掃)RX Mapping'!O23&lt;=240), (-1)*('(橫掃)RX Mapping'!O23-240),IF(AND('(橫掃)RX Mapping'!O23&gt;=241,'(橫掃)RX Mapping'!O23&lt;=360), ('(橫掃)RX Mapping'!O23-241),IF(AND('(橫掃)RX Mapping'!O23&gt;=361,'(橫掃)RX Mapping'!O23&lt;=480), (-1)*('(橫掃)RX Mapping'!O23-480),IF(AND('(橫掃)RX Mapping'!O23&gt;=481,'(橫掃)RX Mapping'!O23&lt;=600), ('(橫掃)RX Mapping'!O23-361),IF(AND('(橫掃)RX Mapping'!O23&gt;=601,'(橫掃)RX Mapping'!O23&lt;=720), (-1)*('(橫掃)RX Mapping'!O23-720)+120,IF(AND('(橫掃)RX Mapping'!O23&gt;=721,'(橫掃)RX Mapping'!O23&lt;=840), ('(橫掃)RX Mapping'!O23-601),IF(AND('(橫掃)RX Mapping'!O23&gt;=841,'(橫掃)RX Mapping'!O23&lt;=960), (-1)*('(橫掃)RX Mapping'!O23-960)+120,9999))))))))</f>
        <v>26</v>
      </c>
      <c r="P23">
        <f>IF(AND('(橫掃)RX Mapping'!P23&gt;=1,'(橫掃)RX Mapping'!P23&lt;=120), ('(橫掃)RX Mapping'!P23-1),IF(AND('(橫掃)RX Mapping'!P23&gt;=121,'(橫掃)RX Mapping'!P23&lt;=240), (-1)*('(橫掃)RX Mapping'!P23-240),IF(AND('(橫掃)RX Mapping'!P23&gt;=241,'(橫掃)RX Mapping'!P23&lt;=360), ('(橫掃)RX Mapping'!P23-241),IF(AND('(橫掃)RX Mapping'!P23&gt;=361,'(橫掃)RX Mapping'!P23&lt;=480), (-1)*('(橫掃)RX Mapping'!P23-480),IF(AND('(橫掃)RX Mapping'!P23&gt;=481,'(橫掃)RX Mapping'!P23&lt;=600), ('(橫掃)RX Mapping'!P23-361),IF(AND('(橫掃)RX Mapping'!P23&gt;=601,'(橫掃)RX Mapping'!P23&lt;=720), (-1)*('(橫掃)RX Mapping'!P23-720)+120,IF(AND('(橫掃)RX Mapping'!P23&gt;=721,'(橫掃)RX Mapping'!P23&lt;=840), ('(橫掃)RX Mapping'!P23-601),IF(AND('(橫掃)RX Mapping'!P23&gt;=841,'(橫掃)RX Mapping'!P23&lt;=960), (-1)*('(橫掃)RX Mapping'!P23-960)+120,9999))))))))</f>
        <v>141</v>
      </c>
      <c r="Q23">
        <f>IF(AND('(橫掃)RX Mapping'!Q23&gt;=1,'(橫掃)RX Mapping'!Q23&lt;=120), ('(橫掃)RX Mapping'!Q23-1),IF(AND('(橫掃)RX Mapping'!Q23&gt;=121,'(橫掃)RX Mapping'!Q23&lt;=240), (-1)*('(橫掃)RX Mapping'!Q23-240),IF(AND('(橫掃)RX Mapping'!Q23&gt;=241,'(橫掃)RX Mapping'!Q23&lt;=360), ('(橫掃)RX Mapping'!Q23-241),IF(AND('(橫掃)RX Mapping'!Q23&gt;=361,'(橫掃)RX Mapping'!Q23&lt;=480), (-1)*('(橫掃)RX Mapping'!Q23-480),IF(AND('(橫掃)RX Mapping'!Q23&gt;=481,'(橫掃)RX Mapping'!Q23&lt;=600), ('(橫掃)RX Mapping'!Q23-361),IF(AND('(橫掃)RX Mapping'!Q23&gt;=601,'(橫掃)RX Mapping'!Q23&lt;=720), (-1)*('(橫掃)RX Mapping'!Q23-720)+120,IF(AND('(橫掃)RX Mapping'!Q23&gt;=721,'(橫掃)RX Mapping'!Q23&lt;=840), ('(橫掃)RX Mapping'!Q23-601),IF(AND('(橫掃)RX Mapping'!Q23&gt;=841,'(橫掃)RX Mapping'!Q23&lt;=960), (-1)*('(橫掃)RX Mapping'!Q23-960)+120,9999))))))))</f>
        <v>173</v>
      </c>
      <c r="R23">
        <f>IF(AND('(橫掃)RX Mapping'!R23&gt;=1,'(橫掃)RX Mapping'!R23&lt;=120), ('(橫掃)RX Mapping'!R23-1),IF(AND('(橫掃)RX Mapping'!R23&gt;=121,'(橫掃)RX Mapping'!R23&lt;=240), (-1)*('(橫掃)RX Mapping'!R23-240),IF(AND('(橫掃)RX Mapping'!R23&gt;=241,'(橫掃)RX Mapping'!R23&lt;=360), ('(橫掃)RX Mapping'!R23-241),IF(AND('(橫掃)RX Mapping'!R23&gt;=361,'(橫掃)RX Mapping'!R23&lt;=480), (-1)*('(橫掃)RX Mapping'!R23-480),IF(AND('(橫掃)RX Mapping'!R23&gt;=481,'(橫掃)RX Mapping'!R23&lt;=600), ('(橫掃)RX Mapping'!R23-361),IF(AND('(橫掃)RX Mapping'!R23&gt;=601,'(橫掃)RX Mapping'!R23&lt;=720), (-1)*('(橫掃)RX Mapping'!R23-720)+120,IF(AND('(橫掃)RX Mapping'!R23&gt;=721,'(橫掃)RX Mapping'!R23&lt;=840), ('(橫掃)RX Mapping'!R23-601),IF(AND('(橫掃)RX Mapping'!R23&gt;=841,'(橫掃)RX Mapping'!R23&lt;=960), (-1)*('(橫掃)RX Mapping'!R23-960)+120,9999))))))))</f>
        <v>205</v>
      </c>
      <c r="S23">
        <f>IF(AND('(橫掃)RX Mapping'!S23&gt;=1,'(橫掃)RX Mapping'!S23&lt;=120), ('(橫掃)RX Mapping'!S23-1),IF(AND('(橫掃)RX Mapping'!S23&gt;=121,'(橫掃)RX Mapping'!S23&lt;=240), (-1)*('(橫掃)RX Mapping'!S23-240),IF(AND('(橫掃)RX Mapping'!S23&gt;=241,'(橫掃)RX Mapping'!S23&lt;=360), ('(橫掃)RX Mapping'!S23-241),IF(AND('(橫掃)RX Mapping'!S23&gt;=361,'(橫掃)RX Mapping'!S23&lt;=480), (-1)*('(橫掃)RX Mapping'!S23-480),IF(AND('(橫掃)RX Mapping'!S23&gt;=481,'(橫掃)RX Mapping'!S23&lt;=600), ('(橫掃)RX Mapping'!S23-361),IF(AND('(橫掃)RX Mapping'!S23&gt;=601,'(橫掃)RX Mapping'!S23&lt;=720), (-1)*('(橫掃)RX Mapping'!S23-720)+120,IF(AND('(橫掃)RX Mapping'!S23&gt;=721,'(橫掃)RX Mapping'!S23&lt;=840), ('(橫掃)RX Mapping'!S23-601),IF(AND('(橫掃)RX Mapping'!S23&gt;=841,'(橫掃)RX Mapping'!S23&lt;=960), (-1)*('(橫掃)RX Mapping'!S23-960)+120,9999))))))))</f>
        <v>237</v>
      </c>
      <c r="T23">
        <f>IF(AND('(橫掃)RX Mapping'!T23&gt;=1,'(橫掃)RX Mapping'!T23&lt;=120), ('(橫掃)RX Mapping'!T23-1),IF(AND('(橫掃)RX Mapping'!T23&gt;=121,'(橫掃)RX Mapping'!T23&lt;=240), (-1)*('(橫掃)RX Mapping'!T23-240),IF(AND('(橫掃)RX Mapping'!T23&gt;=241,'(橫掃)RX Mapping'!T23&lt;=360), ('(橫掃)RX Mapping'!T23-241),IF(AND('(橫掃)RX Mapping'!T23&gt;=361,'(橫掃)RX Mapping'!T23&lt;=480), (-1)*('(橫掃)RX Mapping'!T23-480),IF(AND('(橫掃)RX Mapping'!T23&gt;=481,'(橫掃)RX Mapping'!T23&lt;=600), ('(橫掃)RX Mapping'!T23-361),IF(AND('(橫掃)RX Mapping'!T23&gt;=601,'(橫掃)RX Mapping'!T23&lt;=720), (-1)*('(橫掃)RX Mapping'!T23-720)+120,IF(AND('(橫掃)RX Mapping'!T23&gt;=721,'(橫掃)RX Mapping'!T23&lt;=840), ('(橫掃)RX Mapping'!T23-601),IF(AND('(橫掃)RX Mapping'!T23&gt;=841,'(橫掃)RX Mapping'!T23&lt;=960), (-1)*('(橫掃)RX Mapping'!T23-960)+120,9999))))))))</f>
        <v>210</v>
      </c>
      <c r="U23">
        <f>IF(AND('(橫掃)RX Mapping'!U23&gt;=1,'(橫掃)RX Mapping'!U23&lt;=120), ('(橫掃)RX Mapping'!U23-1),IF(AND('(橫掃)RX Mapping'!U23&gt;=121,'(橫掃)RX Mapping'!U23&lt;=240), (-1)*('(橫掃)RX Mapping'!U23-240),IF(AND('(橫掃)RX Mapping'!U23&gt;=241,'(橫掃)RX Mapping'!U23&lt;=360), ('(橫掃)RX Mapping'!U23-241),IF(AND('(橫掃)RX Mapping'!U23&gt;=361,'(橫掃)RX Mapping'!U23&lt;=480), (-1)*('(橫掃)RX Mapping'!U23-480),IF(AND('(橫掃)RX Mapping'!U23&gt;=481,'(橫掃)RX Mapping'!U23&lt;=600), ('(橫掃)RX Mapping'!U23-361),IF(AND('(橫掃)RX Mapping'!U23&gt;=601,'(橫掃)RX Mapping'!U23&lt;=720), (-1)*('(橫掃)RX Mapping'!U23-720)+120,IF(AND('(橫掃)RX Mapping'!U23&gt;=721,'(橫掃)RX Mapping'!U23&lt;=840), ('(橫掃)RX Mapping'!U23-601),IF(AND('(橫掃)RX Mapping'!U23&gt;=841,'(橫掃)RX Mapping'!U23&lt;=960), (-1)*('(橫掃)RX Mapping'!U23-960)+120,9999))))))))</f>
        <v>178</v>
      </c>
      <c r="V23">
        <f>IF(AND('(橫掃)RX Mapping'!V23&gt;=1,'(橫掃)RX Mapping'!V23&lt;=120), ('(橫掃)RX Mapping'!V23-1),IF(AND('(橫掃)RX Mapping'!V23&gt;=121,'(橫掃)RX Mapping'!V23&lt;=240), (-1)*('(橫掃)RX Mapping'!V23-240),IF(AND('(橫掃)RX Mapping'!V23&gt;=241,'(橫掃)RX Mapping'!V23&lt;=360), ('(橫掃)RX Mapping'!V23-241),IF(AND('(橫掃)RX Mapping'!V23&gt;=361,'(橫掃)RX Mapping'!V23&lt;=480), (-1)*('(橫掃)RX Mapping'!V23-480),IF(AND('(橫掃)RX Mapping'!V23&gt;=481,'(橫掃)RX Mapping'!V23&lt;=600), ('(橫掃)RX Mapping'!V23-361),IF(AND('(橫掃)RX Mapping'!V23&gt;=601,'(橫掃)RX Mapping'!V23&lt;=720), (-1)*('(橫掃)RX Mapping'!V23-720)+120,IF(AND('(橫掃)RX Mapping'!V23&gt;=721,'(橫掃)RX Mapping'!V23&lt;=840), ('(橫掃)RX Mapping'!V23-601),IF(AND('(橫掃)RX Mapping'!V23&gt;=841,'(橫掃)RX Mapping'!V23&lt;=960), (-1)*('(橫掃)RX Mapping'!V23-960)+120,9999))))))))</f>
        <v>146</v>
      </c>
      <c r="W23">
        <f>IF(AND('(橫掃)RX Mapping'!W23&gt;=1,'(橫掃)RX Mapping'!W23&lt;=120), ('(橫掃)RX Mapping'!W23-1),IF(AND('(橫掃)RX Mapping'!W23&gt;=121,'(橫掃)RX Mapping'!W23&lt;=240), (-1)*('(橫掃)RX Mapping'!W23-240),IF(AND('(橫掃)RX Mapping'!W23&gt;=241,'(橫掃)RX Mapping'!W23&lt;=360), ('(橫掃)RX Mapping'!W23-241),IF(AND('(橫掃)RX Mapping'!W23&gt;=361,'(橫掃)RX Mapping'!W23&lt;=480), (-1)*('(橫掃)RX Mapping'!W23-480),IF(AND('(橫掃)RX Mapping'!W23&gt;=481,'(橫掃)RX Mapping'!W23&lt;=600), ('(橫掃)RX Mapping'!W23-361),IF(AND('(橫掃)RX Mapping'!W23&gt;=601,'(橫掃)RX Mapping'!W23&lt;=720), (-1)*('(橫掃)RX Mapping'!W23-720)+120,IF(AND('(橫掃)RX Mapping'!W23&gt;=721,'(橫掃)RX Mapping'!W23&lt;=840), ('(橫掃)RX Mapping'!W23-601),IF(AND('(橫掃)RX Mapping'!W23&gt;=841,'(橫掃)RX Mapping'!W23&lt;=960), (-1)*('(橫掃)RX Mapping'!W23-960)+120,9999))))))))</f>
        <v>141</v>
      </c>
      <c r="X23">
        <f>IF(AND('(橫掃)RX Mapping'!X23&gt;=1,'(橫掃)RX Mapping'!X23&lt;=120), ('(橫掃)RX Mapping'!X23-1),IF(AND('(橫掃)RX Mapping'!X23&gt;=121,'(橫掃)RX Mapping'!X23&lt;=240), (-1)*('(橫掃)RX Mapping'!X23-240),IF(AND('(橫掃)RX Mapping'!X23&gt;=241,'(橫掃)RX Mapping'!X23&lt;=360), ('(橫掃)RX Mapping'!X23-241),IF(AND('(橫掃)RX Mapping'!X23&gt;=361,'(橫掃)RX Mapping'!X23&lt;=480), (-1)*('(橫掃)RX Mapping'!X23-480),IF(AND('(橫掃)RX Mapping'!X23&gt;=481,'(橫掃)RX Mapping'!X23&lt;=600), ('(橫掃)RX Mapping'!X23-361),IF(AND('(橫掃)RX Mapping'!X23&gt;=601,'(橫掃)RX Mapping'!X23&lt;=720), (-1)*('(橫掃)RX Mapping'!X23-720)+120,IF(AND('(橫掃)RX Mapping'!X23&gt;=721,'(橫掃)RX Mapping'!X23&lt;=840), ('(橫掃)RX Mapping'!X23-601),IF(AND('(橫掃)RX Mapping'!X23&gt;=841,'(橫掃)RX Mapping'!X23&lt;=960), (-1)*('(橫掃)RX Mapping'!X23-960)+120,9999))))))))</f>
        <v>173</v>
      </c>
      <c r="Y23">
        <f>IF(AND('(橫掃)RX Mapping'!Y23&gt;=1,'(橫掃)RX Mapping'!Y23&lt;=120), ('(橫掃)RX Mapping'!Y23-1),IF(AND('(橫掃)RX Mapping'!Y23&gt;=121,'(橫掃)RX Mapping'!Y23&lt;=240), (-1)*('(橫掃)RX Mapping'!Y23-240),IF(AND('(橫掃)RX Mapping'!Y23&gt;=241,'(橫掃)RX Mapping'!Y23&lt;=360), ('(橫掃)RX Mapping'!Y23-241),IF(AND('(橫掃)RX Mapping'!Y23&gt;=361,'(橫掃)RX Mapping'!Y23&lt;=480), (-1)*('(橫掃)RX Mapping'!Y23-480),IF(AND('(橫掃)RX Mapping'!Y23&gt;=481,'(橫掃)RX Mapping'!Y23&lt;=600), ('(橫掃)RX Mapping'!Y23-361),IF(AND('(橫掃)RX Mapping'!Y23&gt;=601,'(橫掃)RX Mapping'!Y23&lt;=720), (-1)*('(橫掃)RX Mapping'!Y23-720)+120,IF(AND('(橫掃)RX Mapping'!Y23&gt;=721,'(橫掃)RX Mapping'!Y23&lt;=840), ('(橫掃)RX Mapping'!Y23-601),IF(AND('(橫掃)RX Mapping'!Y23&gt;=841,'(橫掃)RX Mapping'!Y23&lt;=960), (-1)*('(橫掃)RX Mapping'!Y23-960)+120,9999))))))))</f>
        <v>205</v>
      </c>
      <c r="Z23">
        <f>IF(AND('(橫掃)RX Mapping'!Z23&gt;=1,'(橫掃)RX Mapping'!Z23&lt;=120), ('(橫掃)RX Mapping'!Z23-1),IF(AND('(橫掃)RX Mapping'!Z23&gt;=121,'(橫掃)RX Mapping'!Z23&lt;=240), (-1)*('(橫掃)RX Mapping'!Z23-240),IF(AND('(橫掃)RX Mapping'!Z23&gt;=241,'(橫掃)RX Mapping'!Z23&lt;=360), ('(橫掃)RX Mapping'!Z23-241),IF(AND('(橫掃)RX Mapping'!Z23&gt;=361,'(橫掃)RX Mapping'!Z23&lt;=480), (-1)*('(橫掃)RX Mapping'!Z23-480),IF(AND('(橫掃)RX Mapping'!Z23&gt;=481,'(橫掃)RX Mapping'!Z23&lt;=600), ('(橫掃)RX Mapping'!Z23-361),IF(AND('(橫掃)RX Mapping'!Z23&gt;=601,'(橫掃)RX Mapping'!Z23&lt;=720), (-1)*('(橫掃)RX Mapping'!Z23-720)+120,IF(AND('(橫掃)RX Mapping'!Z23&gt;=721,'(橫掃)RX Mapping'!Z23&lt;=840), ('(橫掃)RX Mapping'!Z23-601),IF(AND('(橫掃)RX Mapping'!Z23&gt;=841,'(橫掃)RX Mapping'!Z23&lt;=960), (-1)*('(橫掃)RX Mapping'!Z23-960)+120,9999))))))))</f>
        <v>237</v>
      </c>
      <c r="AA23">
        <f>IF(AND('(橫掃)RX Mapping'!AA23&gt;=1,'(橫掃)RX Mapping'!AA23&lt;=120), ('(橫掃)RX Mapping'!AA23-1),IF(AND('(橫掃)RX Mapping'!AA23&gt;=121,'(橫掃)RX Mapping'!AA23&lt;=240), (-1)*('(橫掃)RX Mapping'!AA23-240),IF(AND('(橫掃)RX Mapping'!AA23&gt;=241,'(橫掃)RX Mapping'!AA23&lt;=360), ('(橫掃)RX Mapping'!AA23-241),IF(AND('(橫掃)RX Mapping'!AA23&gt;=361,'(橫掃)RX Mapping'!AA23&lt;=480), (-1)*('(橫掃)RX Mapping'!AA23-480),IF(AND('(橫掃)RX Mapping'!AA23&gt;=481,'(橫掃)RX Mapping'!AA23&lt;=600), ('(橫掃)RX Mapping'!AA23-361),IF(AND('(橫掃)RX Mapping'!AA23&gt;=601,'(橫掃)RX Mapping'!AA23&lt;=720), (-1)*('(橫掃)RX Mapping'!AA23-720)+120,IF(AND('(橫掃)RX Mapping'!AA23&gt;=721,'(橫掃)RX Mapping'!AA23&lt;=840), ('(橫掃)RX Mapping'!AA23-601),IF(AND('(橫掃)RX Mapping'!AA23&gt;=841,'(橫掃)RX Mapping'!AA23&lt;=960), (-1)*('(橫掃)RX Mapping'!AA23-960)+120,9999))))))))</f>
        <v>210</v>
      </c>
      <c r="AB23">
        <f>IF(AND('(橫掃)RX Mapping'!AB23&gt;=1,'(橫掃)RX Mapping'!AB23&lt;=120), ('(橫掃)RX Mapping'!AB23-1),IF(AND('(橫掃)RX Mapping'!AB23&gt;=121,'(橫掃)RX Mapping'!AB23&lt;=240), (-1)*('(橫掃)RX Mapping'!AB23-240),IF(AND('(橫掃)RX Mapping'!AB23&gt;=241,'(橫掃)RX Mapping'!AB23&lt;=360), ('(橫掃)RX Mapping'!AB23-241),IF(AND('(橫掃)RX Mapping'!AB23&gt;=361,'(橫掃)RX Mapping'!AB23&lt;=480), (-1)*('(橫掃)RX Mapping'!AB23-480),IF(AND('(橫掃)RX Mapping'!AB23&gt;=481,'(橫掃)RX Mapping'!AB23&lt;=600), ('(橫掃)RX Mapping'!AB23-361),IF(AND('(橫掃)RX Mapping'!AB23&gt;=601,'(橫掃)RX Mapping'!AB23&lt;=720), (-1)*('(橫掃)RX Mapping'!AB23-720)+120,IF(AND('(橫掃)RX Mapping'!AB23&gt;=721,'(橫掃)RX Mapping'!AB23&lt;=840), ('(橫掃)RX Mapping'!AB23-601),IF(AND('(橫掃)RX Mapping'!AB23&gt;=841,'(橫掃)RX Mapping'!AB23&lt;=960), (-1)*('(橫掃)RX Mapping'!AB23-960)+120,9999))))))))</f>
        <v>178</v>
      </c>
      <c r="AC23">
        <f>IF(AND('(橫掃)RX Mapping'!AC23&gt;=1,'(橫掃)RX Mapping'!AC23&lt;=120), ('(橫掃)RX Mapping'!AC23-1),IF(AND('(橫掃)RX Mapping'!AC23&gt;=121,'(橫掃)RX Mapping'!AC23&lt;=240), (-1)*('(橫掃)RX Mapping'!AC23-240),IF(AND('(橫掃)RX Mapping'!AC23&gt;=241,'(橫掃)RX Mapping'!AC23&lt;=360), ('(橫掃)RX Mapping'!AC23-241),IF(AND('(橫掃)RX Mapping'!AC23&gt;=361,'(橫掃)RX Mapping'!AC23&lt;=480), (-1)*('(橫掃)RX Mapping'!AC23-480),IF(AND('(橫掃)RX Mapping'!AC23&gt;=481,'(橫掃)RX Mapping'!AC23&lt;=600), ('(橫掃)RX Mapping'!AC23-361),IF(AND('(橫掃)RX Mapping'!AC23&gt;=601,'(橫掃)RX Mapping'!AC23&lt;=720), (-1)*('(橫掃)RX Mapping'!AC23-720)+120,IF(AND('(橫掃)RX Mapping'!AC23&gt;=721,'(橫掃)RX Mapping'!AC23&lt;=840), ('(橫掃)RX Mapping'!AC23-601),IF(AND('(橫掃)RX Mapping'!AC23&gt;=841,'(橫掃)RX Mapping'!AC23&lt;=960), (-1)*('(橫掃)RX Mapping'!AC23-960)+120,9999))))))))</f>
        <v>146</v>
      </c>
      <c r="AD23">
        <f>IF(AND('(橫掃)RX Mapping'!AD23&gt;=1,'(橫掃)RX Mapping'!AD23&lt;=120), ('(橫掃)RX Mapping'!AD23-1),IF(AND('(橫掃)RX Mapping'!AD23&gt;=121,'(橫掃)RX Mapping'!AD23&lt;=240), (-1)*('(橫掃)RX Mapping'!AD23-240),IF(AND('(橫掃)RX Mapping'!AD23&gt;=241,'(橫掃)RX Mapping'!AD23&lt;=360), ('(橫掃)RX Mapping'!AD23-241),IF(AND('(橫掃)RX Mapping'!AD23&gt;=361,'(橫掃)RX Mapping'!AD23&lt;=480), (-1)*('(橫掃)RX Mapping'!AD23-480),IF(AND('(橫掃)RX Mapping'!AD23&gt;=481,'(橫掃)RX Mapping'!AD23&lt;=600), ('(橫掃)RX Mapping'!AD23-361),IF(AND('(橫掃)RX Mapping'!AD23&gt;=601,'(橫掃)RX Mapping'!AD23&lt;=720), (-1)*('(橫掃)RX Mapping'!AD23-720)+120,IF(AND('(橫掃)RX Mapping'!AD23&gt;=721,'(橫掃)RX Mapping'!AD23&lt;=840), ('(橫掃)RX Mapping'!AD23-601),IF(AND('(橫掃)RX Mapping'!AD23&gt;=841,'(橫掃)RX Mapping'!AD23&lt;=960), (-1)*('(橫掃)RX Mapping'!AD23-960)+120,9999))))))))</f>
        <v>9999</v>
      </c>
      <c r="AE23">
        <f>IF(AND('(橫掃)RX Mapping'!AE23&gt;=1,'(橫掃)RX Mapping'!AE23&lt;=120), ('(橫掃)RX Mapping'!AE23-1),IF(AND('(橫掃)RX Mapping'!AE23&gt;=121,'(橫掃)RX Mapping'!AE23&lt;=240), (-1)*('(橫掃)RX Mapping'!AE23-240),IF(AND('(橫掃)RX Mapping'!AE23&gt;=241,'(橫掃)RX Mapping'!AE23&lt;=360), ('(橫掃)RX Mapping'!AE23-241),IF(AND('(橫掃)RX Mapping'!AE23&gt;=361,'(橫掃)RX Mapping'!AE23&lt;=480), (-1)*('(橫掃)RX Mapping'!AE23-480),IF(AND('(橫掃)RX Mapping'!AE23&gt;=481,'(橫掃)RX Mapping'!AE23&lt;=600), ('(橫掃)RX Mapping'!AE23-361),IF(AND('(橫掃)RX Mapping'!AE23&gt;=601,'(橫掃)RX Mapping'!AE23&lt;=720), (-1)*('(橫掃)RX Mapping'!AE23-720)+120,IF(AND('(橫掃)RX Mapping'!AE23&gt;=721,'(橫掃)RX Mapping'!AE23&lt;=840), ('(橫掃)RX Mapping'!AE23-601),IF(AND('(橫掃)RX Mapping'!AE23&gt;=841,'(橫掃)RX Mapping'!AE23&lt;=960), (-1)*('(橫掃)RX Mapping'!AE23-960)+120,9999))))))))</f>
        <v>9999</v>
      </c>
      <c r="AF23">
        <f>IF(AND('(橫掃)RX Mapping'!AF23&gt;=1,'(橫掃)RX Mapping'!AF23&lt;=120), ('(橫掃)RX Mapping'!AF23-1),IF(AND('(橫掃)RX Mapping'!AF23&gt;=121,'(橫掃)RX Mapping'!AF23&lt;=240), (-1)*('(橫掃)RX Mapping'!AF23-240),IF(AND('(橫掃)RX Mapping'!AF23&gt;=241,'(橫掃)RX Mapping'!AF23&lt;=360), ('(橫掃)RX Mapping'!AF23-241),IF(AND('(橫掃)RX Mapping'!AF23&gt;=361,'(橫掃)RX Mapping'!AF23&lt;=480), (-1)*('(橫掃)RX Mapping'!AF23-480),IF(AND('(橫掃)RX Mapping'!AF23&gt;=481,'(橫掃)RX Mapping'!AF23&lt;=600), ('(橫掃)RX Mapping'!AF23-361),IF(AND('(橫掃)RX Mapping'!AF23&gt;=601,'(橫掃)RX Mapping'!AF23&lt;=720), (-1)*('(橫掃)RX Mapping'!AF23-720)+120,IF(AND('(橫掃)RX Mapping'!AF23&gt;=721,'(橫掃)RX Mapping'!AF23&lt;=840), ('(橫掃)RX Mapping'!AF23-601),IF(AND('(橫掃)RX Mapping'!AF23&gt;=841,'(橫掃)RX Mapping'!AF23&lt;=960), (-1)*('(橫掃)RX Mapping'!AF23-960)+120,9999))))))))</f>
        <v>9999</v>
      </c>
      <c r="AG23">
        <f>IF(AND('(橫掃)RX Mapping'!AG23&gt;=1,'(橫掃)RX Mapping'!AG23&lt;=120), ('(橫掃)RX Mapping'!AG23-1),IF(AND('(橫掃)RX Mapping'!AG23&gt;=121,'(橫掃)RX Mapping'!AG23&lt;=240), (-1)*('(橫掃)RX Mapping'!AG23-240),IF(AND('(橫掃)RX Mapping'!AG23&gt;=241,'(橫掃)RX Mapping'!AG23&lt;=360), ('(橫掃)RX Mapping'!AG23-241),IF(AND('(橫掃)RX Mapping'!AG23&gt;=361,'(橫掃)RX Mapping'!AG23&lt;=480), (-1)*('(橫掃)RX Mapping'!AG23-480),IF(AND('(橫掃)RX Mapping'!AG23&gt;=481,'(橫掃)RX Mapping'!AG23&lt;=600), ('(橫掃)RX Mapping'!AG23-361),IF(AND('(橫掃)RX Mapping'!AG23&gt;=601,'(橫掃)RX Mapping'!AG23&lt;=720), (-1)*('(橫掃)RX Mapping'!AG23-720)+120,IF(AND('(橫掃)RX Mapping'!AG23&gt;=721,'(橫掃)RX Mapping'!AG23&lt;=840), ('(橫掃)RX Mapping'!AG23-601),IF(AND('(橫掃)RX Mapping'!AG23&gt;=841,'(橫掃)RX Mapping'!AG23&lt;=960), (-1)*('(橫掃)RX Mapping'!AG23-960)+120,9999))))))))</f>
        <v>9999</v>
      </c>
      <c r="AH23">
        <f>IF(AND('(橫掃)RX Mapping'!AH23&gt;=1,'(橫掃)RX Mapping'!AH23&lt;=120), ('(橫掃)RX Mapping'!AH23-1),IF(AND('(橫掃)RX Mapping'!AH23&gt;=121,'(橫掃)RX Mapping'!AH23&lt;=240), (-1)*('(橫掃)RX Mapping'!AH23-240),IF(AND('(橫掃)RX Mapping'!AH23&gt;=241,'(橫掃)RX Mapping'!AH23&lt;=360), ('(橫掃)RX Mapping'!AH23-241),IF(AND('(橫掃)RX Mapping'!AH23&gt;=361,'(橫掃)RX Mapping'!AH23&lt;=480), (-1)*('(橫掃)RX Mapping'!AH23-480),IF(AND('(橫掃)RX Mapping'!AH23&gt;=481,'(橫掃)RX Mapping'!AH23&lt;=600), ('(橫掃)RX Mapping'!AH23-361),IF(AND('(橫掃)RX Mapping'!AH23&gt;=601,'(橫掃)RX Mapping'!AH23&lt;=720), (-1)*('(橫掃)RX Mapping'!AH23-720)+120,IF(AND('(橫掃)RX Mapping'!AH23&gt;=721,'(橫掃)RX Mapping'!AH23&lt;=840), ('(橫掃)RX Mapping'!AH23-601),IF(AND('(橫掃)RX Mapping'!AH23&gt;=841,'(橫掃)RX Mapping'!AH23&lt;=960), (-1)*('(橫掃)RX Mapping'!AH23-960)+120,9999))))))))</f>
        <v>9999</v>
      </c>
      <c r="AI23">
        <f>IF(AND('(橫掃)RX Mapping'!AI23&gt;=1,'(橫掃)RX Mapping'!AI23&lt;=120), ('(橫掃)RX Mapping'!AI23-1),IF(AND('(橫掃)RX Mapping'!AI23&gt;=121,'(橫掃)RX Mapping'!AI23&lt;=240), (-1)*('(橫掃)RX Mapping'!AI23-240),IF(AND('(橫掃)RX Mapping'!AI23&gt;=241,'(橫掃)RX Mapping'!AI23&lt;=360), ('(橫掃)RX Mapping'!AI23-241),IF(AND('(橫掃)RX Mapping'!AI23&gt;=361,'(橫掃)RX Mapping'!AI23&lt;=480), (-1)*('(橫掃)RX Mapping'!AI23-480),IF(AND('(橫掃)RX Mapping'!AI23&gt;=481,'(橫掃)RX Mapping'!AI23&lt;=600), ('(橫掃)RX Mapping'!AI23-361),IF(AND('(橫掃)RX Mapping'!AI23&gt;=601,'(橫掃)RX Mapping'!AI23&lt;=720), (-1)*('(橫掃)RX Mapping'!AI23-720)+120,IF(AND('(橫掃)RX Mapping'!AI23&gt;=721,'(橫掃)RX Mapping'!AI23&lt;=840), ('(橫掃)RX Mapping'!AI23-601),IF(AND('(橫掃)RX Mapping'!AI23&gt;=841,'(橫掃)RX Mapping'!AI23&lt;=960), (-1)*('(橫掃)RX Mapping'!AI23-960)+120,9999))))))))</f>
        <v>9999</v>
      </c>
      <c r="AJ23">
        <f>IF(AND('(橫掃)RX Mapping'!AJ23&gt;=1,'(橫掃)RX Mapping'!AJ23&lt;=120), ('(橫掃)RX Mapping'!AJ23-1),IF(AND('(橫掃)RX Mapping'!AJ23&gt;=121,'(橫掃)RX Mapping'!AJ23&lt;=240), (-1)*('(橫掃)RX Mapping'!AJ23-240),IF(AND('(橫掃)RX Mapping'!AJ23&gt;=241,'(橫掃)RX Mapping'!AJ23&lt;=360), ('(橫掃)RX Mapping'!AJ23-241),IF(AND('(橫掃)RX Mapping'!AJ23&gt;=361,'(橫掃)RX Mapping'!AJ23&lt;=480), (-1)*('(橫掃)RX Mapping'!AJ23-480),IF(AND('(橫掃)RX Mapping'!AJ23&gt;=481,'(橫掃)RX Mapping'!AJ23&lt;=600), ('(橫掃)RX Mapping'!AJ23-361),IF(AND('(橫掃)RX Mapping'!AJ23&gt;=601,'(橫掃)RX Mapping'!AJ23&lt;=720), (-1)*('(橫掃)RX Mapping'!AJ23-720)+120,IF(AND('(橫掃)RX Mapping'!AJ23&gt;=721,'(橫掃)RX Mapping'!AJ23&lt;=840), ('(橫掃)RX Mapping'!AJ23-601),IF(AND('(橫掃)RX Mapping'!AJ23&gt;=841,'(橫掃)RX Mapping'!AJ23&lt;=960), (-1)*('(橫掃)RX Mapping'!AJ23-960)+120,9999))))))))</f>
        <v>9999</v>
      </c>
      <c r="AK23">
        <f>IF(AND('(橫掃)RX Mapping'!AK23&gt;=1,'(橫掃)RX Mapping'!AK23&lt;=120), ('(橫掃)RX Mapping'!AK23-1),IF(AND('(橫掃)RX Mapping'!AK23&gt;=121,'(橫掃)RX Mapping'!AK23&lt;=240), (-1)*('(橫掃)RX Mapping'!AK23-240),IF(AND('(橫掃)RX Mapping'!AK23&gt;=241,'(橫掃)RX Mapping'!AK23&lt;=360), ('(橫掃)RX Mapping'!AK23-241),IF(AND('(橫掃)RX Mapping'!AK23&gt;=361,'(橫掃)RX Mapping'!AK23&lt;=480), (-1)*('(橫掃)RX Mapping'!AK23-480),IF(AND('(橫掃)RX Mapping'!AK23&gt;=481,'(橫掃)RX Mapping'!AK23&lt;=600), ('(橫掃)RX Mapping'!AK23-361),IF(AND('(橫掃)RX Mapping'!AK23&gt;=601,'(橫掃)RX Mapping'!AK23&lt;=720), (-1)*('(橫掃)RX Mapping'!AK23-720)+120,IF(AND('(橫掃)RX Mapping'!AK23&gt;=721,'(橫掃)RX Mapping'!AK23&lt;=840), ('(橫掃)RX Mapping'!AK23-601),IF(AND('(橫掃)RX Mapping'!AK23&gt;=841,'(橫掃)RX Mapping'!AK23&lt;=960), (-1)*('(橫掃)RX Mapping'!AK23-960)+120,9999))))))))</f>
        <v>9999</v>
      </c>
      <c r="AL23">
        <f>IF(AND('(橫掃)RX Mapping'!AL23&gt;=1,'(橫掃)RX Mapping'!AL23&lt;=120), ('(橫掃)RX Mapping'!AL23-1),IF(AND('(橫掃)RX Mapping'!AL23&gt;=121,'(橫掃)RX Mapping'!AL23&lt;=240), (-1)*('(橫掃)RX Mapping'!AL23-240),IF(AND('(橫掃)RX Mapping'!AL23&gt;=241,'(橫掃)RX Mapping'!AL23&lt;=360), ('(橫掃)RX Mapping'!AL23-241),IF(AND('(橫掃)RX Mapping'!AL23&gt;=361,'(橫掃)RX Mapping'!AL23&lt;=480), (-1)*('(橫掃)RX Mapping'!AL23-480),IF(AND('(橫掃)RX Mapping'!AL23&gt;=481,'(橫掃)RX Mapping'!AL23&lt;=600), ('(橫掃)RX Mapping'!AL23-361),IF(AND('(橫掃)RX Mapping'!AL23&gt;=601,'(橫掃)RX Mapping'!AL23&lt;=720), (-1)*('(橫掃)RX Mapping'!AL23-720)+120,IF(AND('(橫掃)RX Mapping'!AL23&gt;=721,'(橫掃)RX Mapping'!AL23&lt;=840), ('(橫掃)RX Mapping'!AL23-601),IF(AND('(橫掃)RX Mapping'!AL23&gt;=841,'(橫掃)RX Mapping'!AL23&lt;=960), (-1)*('(橫掃)RX Mapping'!AL23-960)+120,9999))))))))</f>
        <v>9999</v>
      </c>
      <c r="AM23">
        <f>IF(AND('(橫掃)RX Mapping'!AM23&gt;=1,'(橫掃)RX Mapping'!AM23&lt;=120), ('(橫掃)RX Mapping'!AM23-1),IF(AND('(橫掃)RX Mapping'!AM23&gt;=121,'(橫掃)RX Mapping'!AM23&lt;=240), (-1)*('(橫掃)RX Mapping'!AM23-240),IF(AND('(橫掃)RX Mapping'!AM23&gt;=241,'(橫掃)RX Mapping'!AM23&lt;=360), ('(橫掃)RX Mapping'!AM23-241),IF(AND('(橫掃)RX Mapping'!AM23&gt;=361,'(橫掃)RX Mapping'!AM23&lt;=480), (-1)*('(橫掃)RX Mapping'!AM23-480),IF(AND('(橫掃)RX Mapping'!AM23&gt;=481,'(橫掃)RX Mapping'!AM23&lt;=600), ('(橫掃)RX Mapping'!AM23-361),IF(AND('(橫掃)RX Mapping'!AM23&gt;=601,'(橫掃)RX Mapping'!AM23&lt;=720), (-1)*('(橫掃)RX Mapping'!AM23-720)+120,IF(AND('(橫掃)RX Mapping'!AM23&gt;=721,'(橫掃)RX Mapping'!AM23&lt;=840), ('(橫掃)RX Mapping'!AM23-601),IF(AND('(橫掃)RX Mapping'!AM23&gt;=841,'(橫掃)RX Mapping'!AM23&lt;=960), (-1)*('(橫掃)RX Mapping'!AM23-960)+120,9999))))))))</f>
        <v>9999</v>
      </c>
      <c r="AN23">
        <f>IF(AND('(橫掃)RX Mapping'!AN23&gt;=1,'(橫掃)RX Mapping'!AN23&lt;=120), ('(橫掃)RX Mapping'!AN23-1),IF(AND('(橫掃)RX Mapping'!AN23&gt;=121,'(橫掃)RX Mapping'!AN23&lt;=240), (-1)*('(橫掃)RX Mapping'!AN23-240),IF(AND('(橫掃)RX Mapping'!AN23&gt;=241,'(橫掃)RX Mapping'!AN23&lt;=360), ('(橫掃)RX Mapping'!AN23-241),IF(AND('(橫掃)RX Mapping'!AN23&gt;=361,'(橫掃)RX Mapping'!AN23&lt;=480), (-1)*('(橫掃)RX Mapping'!AN23-480),IF(AND('(橫掃)RX Mapping'!AN23&gt;=481,'(橫掃)RX Mapping'!AN23&lt;=600), ('(橫掃)RX Mapping'!AN23-361),IF(AND('(橫掃)RX Mapping'!AN23&gt;=601,'(橫掃)RX Mapping'!AN23&lt;=720), (-1)*('(橫掃)RX Mapping'!AN23-720)+120,IF(AND('(橫掃)RX Mapping'!AN23&gt;=721,'(橫掃)RX Mapping'!AN23&lt;=840), ('(橫掃)RX Mapping'!AN23-601),IF(AND('(橫掃)RX Mapping'!AN23&gt;=841,'(橫掃)RX Mapping'!AN23&lt;=960), (-1)*('(橫掃)RX Mapping'!AN23-960)+120,9999))))))))</f>
        <v>9999</v>
      </c>
      <c r="AO23">
        <f>IF(AND('(橫掃)RX Mapping'!AO23&gt;=1,'(橫掃)RX Mapping'!AO23&lt;=120), ('(橫掃)RX Mapping'!AO23-1),IF(AND('(橫掃)RX Mapping'!AO23&gt;=121,'(橫掃)RX Mapping'!AO23&lt;=240), (-1)*('(橫掃)RX Mapping'!AO23-240),IF(AND('(橫掃)RX Mapping'!AO23&gt;=241,'(橫掃)RX Mapping'!AO23&lt;=360), ('(橫掃)RX Mapping'!AO23-241),IF(AND('(橫掃)RX Mapping'!AO23&gt;=361,'(橫掃)RX Mapping'!AO23&lt;=480), (-1)*('(橫掃)RX Mapping'!AO23-480),IF(AND('(橫掃)RX Mapping'!AO23&gt;=481,'(橫掃)RX Mapping'!AO23&lt;=600), ('(橫掃)RX Mapping'!AO23-361),IF(AND('(橫掃)RX Mapping'!AO23&gt;=601,'(橫掃)RX Mapping'!AO23&lt;=720), (-1)*('(橫掃)RX Mapping'!AO23-720)+120,IF(AND('(橫掃)RX Mapping'!AO23&gt;=721,'(橫掃)RX Mapping'!AO23&lt;=840), ('(橫掃)RX Mapping'!AO23-601),IF(AND('(橫掃)RX Mapping'!AO23&gt;=841,'(橫掃)RX Mapping'!AO23&lt;=960), (-1)*('(橫掃)RX Mapping'!AO23-960)+120,9999))))))))</f>
        <v>9999</v>
      </c>
      <c r="AP23">
        <f>IF(AND('(橫掃)RX Mapping'!AP23&gt;=1,'(橫掃)RX Mapping'!AP23&lt;=120), ('(橫掃)RX Mapping'!AP23-1),IF(AND('(橫掃)RX Mapping'!AP23&gt;=121,'(橫掃)RX Mapping'!AP23&lt;=240), (-1)*('(橫掃)RX Mapping'!AP23-240),IF(AND('(橫掃)RX Mapping'!AP23&gt;=241,'(橫掃)RX Mapping'!AP23&lt;=360), ('(橫掃)RX Mapping'!AP23-241),IF(AND('(橫掃)RX Mapping'!AP23&gt;=361,'(橫掃)RX Mapping'!AP23&lt;=480), (-1)*('(橫掃)RX Mapping'!AP23-480),IF(AND('(橫掃)RX Mapping'!AP23&gt;=481,'(橫掃)RX Mapping'!AP23&lt;=600), ('(橫掃)RX Mapping'!AP23-361),IF(AND('(橫掃)RX Mapping'!AP23&gt;=601,'(橫掃)RX Mapping'!AP23&lt;=720), (-1)*('(橫掃)RX Mapping'!AP23-720)+120,IF(AND('(橫掃)RX Mapping'!AP23&gt;=721,'(橫掃)RX Mapping'!AP23&lt;=840), ('(橫掃)RX Mapping'!AP23-601),IF(AND('(橫掃)RX Mapping'!AP23&gt;=841,'(橫掃)RX Mapping'!AP23&lt;=960), (-1)*('(橫掃)RX Mapping'!AP23-960)+120,9999))))))))</f>
        <v>9999</v>
      </c>
      <c r="AQ23">
        <f>IF(AND('(橫掃)RX Mapping'!AQ23&gt;=1,'(橫掃)RX Mapping'!AQ23&lt;=120), ('(橫掃)RX Mapping'!AQ23-1),IF(AND('(橫掃)RX Mapping'!AQ23&gt;=121,'(橫掃)RX Mapping'!AQ23&lt;=240), (-1)*('(橫掃)RX Mapping'!AQ23-240),IF(AND('(橫掃)RX Mapping'!AQ23&gt;=241,'(橫掃)RX Mapping'!AQ23&lt;=360), ('(橫掃)RX Mapping'!AQ23-241),IF(AND('(橫掃)RX Mapping'!AQ23&gt;=361,'(橫掃)RX Mapping'!AQ23&lt;=480), (-1)*('(橫掃)RX Mapping'!AQ23-480),IF(AND('(橫掃)RX Mapping'!AQ23&gt;=481,'(橫掃)RX Mapping'!AQ23&lt;=600), ('(橫掃)RX Mapping'!AQ23-361),IF(AND('(橫掃)RX Mapping'!AQ23&gt;=601,'(橫掃)RX Mapping'!AQ23&lt;=720), (-1)*('(橫掃)RX Mapping'!AQ23-720)+120,IF(AND('(橫掃)RX Mapping'!AQ23&gt;=721,'(橫掃)RX Mapping'!AQ23&lt;=840), ('(橫掃)RX Mapping'!AQ23-601),IF(AND('(橫掃)RX Mapping'!AQ23&gt;=841,'(橫掃)RX Mapping'!AQ23&lt;=960), (-1)*('(橫掃)RX Mapping'!AQ23-960)+120,9999))))))))</f>
        <v>9999</v>
      </c>
      <c r="AR23">
        <f>IF(AND('(橫掃)RX Mapping'!AR23&gt;=1,'(橫掃)RX Mapping'!AR23&lt;=120), ('(橫掃)RX Mapping'!AR23-1),IF(AND('(橫掃)RX Mapping'!AR23&gt;=121,'(橫掃)RX Mapping'!AR23&lt;=240), (-1)*('(橫掃)RX Mapping'!AR23-240),IF(AND('(橫掃)RX Mapping'!AR23&gt;=241,'(橫掃)RX Mapping'!AR23&lt;=360), ('(橫掃)RX Mapping'!AR23-241),IF(AND('(橫掃)RX Mapping'!AR23&gt;=361,'(橫掃)RX Mapping'!AR23&lt;=480), (-1)*('(橫掃)RX Mapping'!AR23-480),IF(AND('(橫掃)RX Mapping'!AR23&gt;=481,'(橫掃)RX Mapping'!AR23&lt;=600), ('(橫掃)RX Mapping'!AR23-361),IF(AND('(橫掃)RX Mapping'!AR23&gt;=601,'(橫掃)RX Mapping'!AR23&lt;=720), (-1)*('(橫掃)RX Mapping'!AR23-720)+120,IF(AND('(橫掃)RX Mapping'!AR23&gt;=721,'(橫掃)RX Mapping'!AR23&lt;=840), ('(橫掃)RX Mapping'!AR23-601),IF(AND('(橫掃)RX Mapping'!AR23&gt;=841,'(橫掃)RX Mapping'!AR23&lt;=960), (-1)*('(橫掃)RX Mapping'!AR23-960)+120,9999))))))))</f>
        <v>9999</v>
      </c>
      <c r="AS23">
        <f>IF(AND('(橫掃)RX Mapping'!AS23&gt;=1,'(橫掃)RX Mapping'!AS23&lt;=120), ('(橫掃)RX Mapping'!AS23-1),IF(AND('(橫掃)RX Mapping'!AS23&gt;=121,'(橫掃)RX Mapping'!AS23&lt;=240), (-1)*('(橫掃)RX Mapping'!AS23-240),IF(AND('(橫掃)RX Mapping'!AS23&gt;=241,'(橫掃)RX Mapping'!AS23&lt;=360), ('(橫掃)RX Mapping'!AS23-241),IF(AND('(橫掃)RX Mapping'!AS23&gt;=361,'(橫掃)RX Mapping'!AS23&lt;=480), (-1)*('(橫掃)RX Mapping'!AS23-480),IF(AND('(橫掃)RX Mapping'!AS23&gt;=481,'(橫掃)RX Mapping'!AS23&lt;=600), ('(橫掃)RX Mapping'!AS23-361),IF(AND('(橫掃)RX Mapping'!AS23&gt;=601,'(橫掃)RX Mapping'!AS23&lt;=720), (-1)*('(橫掃)RX Mapping'!AS23-720)+120,IF(AND('(橫掃)RX Mapping'!AS23&gt;=721,'(橫掃)RX Mapping'!AS23&lt;=840), ('(橫掃)RX Mapping'!AS23-601),IF(AND('(橫掃)RX Mapping'!AS23&gt;=841,'(橫掃)RX Mapping'!AS23&lt;=960), (-1)*('(橫掃)RX Mapping'!AS23-960)+120,9999))))))))</f>
        <v>9999</v>
      </c>
      <c r="AT23">
        <f>IF(AND('(橫掃)RX Mapping'!AT23&gt;=1,'(橫掃)RX Mapping'!AT23&lt;=120), ('(橫掃)RX Mapping'!AT23-1),IF(AND('(橫掃)RX Mapping'!AT23&gt;=121,'(橫掃)RX Mapping'!AT23&lt;=240), (-1)*('(橫掃)RX Mapping'!AT23-240),IF(AND('(橫掃)RX Mapping'!AT23&gt;=241,'(橫掃)RX Mapping'!AT23&lt;=360), ('(橫掃)RX Mapping'!AT23-241),IF(AND('(橫掃)RX Mapping'!AT23&gt;=361,'(橫掃)RX Mapping'!AT23&lt;=480), (-1)*('(橫掃)RX Mapping'!AT23-480),IF(AND('(橫掃)RX Mapping'!AT23&gt;=481,'(橫掃)RX Mapping'!AT23&lt;=600), ('(橫掃)RX Mapping'!AT23-361),IF(AND('(橫掃)RX Mapping'!AT23&gt;=601,'(橫掃)RX Mapping'!AT23&lt;=720), (-1)*('(橫掃)RX Mapping'!AT23-720)+120,IF(AND('(橫掃)RX Mapping'!AT23&gt;=721,'(橫掃)RX Mapping'!AT23&lt;=840), ('(橫掃)RX Mapping'!AT23-601),IF(AND('(橫掃)RX Mapping'!AT23&gt;=841,'(橫掃)RX Mapping'!AT23&lt;=960), (-1)*('(橫掃)RX Mapping'!AT23-960)+120,9999))))))))</f>
        <v>9999</v>
      </c>
      <c r="AU23">
        <f>IF(AND('(橫掃)RX Mapping'!AU23&gt;=1,'(橫掃)RX Mapping'!AU23&lt;=120), ('(橫掃)RX Mapping'!AU23-1),IF(AND('(橫掃)RX Mapping'!AU23&gt;=121,'(橫掃)RX Mapping'!AU23&lt;=240), (-1)*('(橫掃)RX Mapping'!AU23-240),IF(AND('(橫掃)RX Mapping'!AU23&gt;=241,'(橫掃)RX Mapping'!AU23&lt;=360), ('(橫掃)RX Mapping'!AU23-241),IF(AND('(橫掃)RX Mapping'!AU23&gt;=361,'(橫掃)RX Mapping'!AU23&lt;=480), (-1)*('(橫掃)RX Mapping'!AU23-480),IF(AND('(橫掃)RX Mapping'!AU23&gt;=481,'(橫掃)RX Mapping'!AU23&lt;=600), ('(橫掃)RX Mapping'!AU23-361),IF(AND('(橫掃)RX Mapping'!AU23&gt;=601,'(橫掃)RX Mapping'!AU23&lt;=720), (-1)*('(橫掃)RX Mapping'!AU23-720)+120,IF(AND('(橫掃)RX Mapping'!AU23&gt;=721,'(橫掃)RX Mapping'!AU23&lt;=840), ('(橫掃)RX Mapping'!AU23-601),IF(AND('(橫掃)RX Mapping'!AU23&gt;=841,'(橫掃)RX Mapping'!AU23&lt;=960), (-1)*('(橫掃)RX Mapping'!AU23-960)+120,9999))))))))</f>
        <v>9999</v>
      </c>
      <c r="AV23">
        <f>IF(AND('(橫掃)RX Mapping'!AV23&gt;=1,'(橫掃)RX Mapping'!AV23&lt;=120), ('(橫掃)RX Mapping'!AV23-1),IF(AND('(橫掃)RX Mapping'!AV23&gt;=121,'(橫掃)RX Mapping'!AV23&lt;=240), (-1)*('(橫掃)RX Mapping'!AV23-240),IF(AND('(橫掃)RX Mapping'!AV23&gt;=241,'(橫掃)RX Mapping'!AV23&lt;=360), ('(橫掃)RX Mapping'!AV23-241),IF(AND('(橫掃)RX Mapping'!AV23&gt;=361,'(橫掃)RX Mapping'!AV23&lt;=480), (-1)*('(橫掃)RX Mapping'!AV23-480),IF(AND('(橫掃)RX Mapping'!AV23&gt;=481,'(橫掃)RX Mapping'!AV23&lt;=600), ('(橫掃)RX Mapping'!AV23-361),IF(AND('(橫掃)RX Mapping'!AV23&gt;=601,'(橫掃)RX Mapping'!AV23&lt;=720), (-1)*('(橫掃)RX Mapping'!AV23-720)+120,IF(AND('(橫掃)RX Mapping'!AV23&gt;=721,'(橫掃)RX Mapping'!AV23&lt;=840), ('(橫掃)RX Mapping'!AV23-601),IF(AND('(橫掃)RX Mapping'!AV23&gt;=841,'(橫掃)RX Mapping'!AV23&lt;=960), (-1)*('(橫掃)RX Mapping'!AV23-960)+120,9999))))))))</f>
        <v>9999</v>
      </c>
      <c r="AW23">
        <f>IF(AND('(橫掃)RX Mapping'!AW23&gt;=1,'(橫掃)RX Mapping'!AW23&lt;=120), ('(橫掃)RX Mapping'!AW23-1),IF(AND('(橫掃)RX Mapping'!AW23&gt;=121,'(橫掃)RX Mapping'!AW23&lt;=240), (-1)*('(橫掃)RX Mapping'!AW23-240),IF(AND('(橫掃)RX Mapping'!AW23&gt;=241,'(橫掃)RX Mapping'!AW23&lt;=360), ('(橫掃)RX Mapping'!AW23-241),IF(AND('(橫掃)RX Mapping'!AW23&gt;=361,'(橫掃)RX Mapping'!AW23&lt;=480), (-1)*('(橫掃)RX Mapping'!AW23-480),IF(AND('(橫掃)RX Mapping'!AW23&gt;=481,'(橫掃)RX Mapping'!AW23&lt;=600), ('(橫掃)RX Mapping'!AW23-361),IF(AND('(橫掃)RX Mapping'!AW23&gt;=601,'(橫掃)RX Mapping'!AW23&lt;=720), (-1)*('(橫掃)RX Mapping'!AW23-720)+120,IF(AND('(橫掃)RX Mapping'!AW23&gt;=721,'(橫掃)RX Mapping'!AW23&lt;=840), ('(橫掃)RX Mapping'!AW23-601),IF(AND('(橫掃)RX Mapping'!AW23&gt;=841,'(橫掃)RX Mapping'!AW23&lt;=960), (-1)*('(橫掃)RX Mapping'!AW23-960)+120,9999))))))))</f>
        <v>9999</v>
      </c>
      <c r="AX23">
        <f>IF(AND('(橫掃)RX Mapping'!AX23&gt;=1,'(橫掃)RX Mapping'!AX23&lt;=120), ('(橫掃)RX Mapping'!AX23-1),IF(AND('(橫掃)RX Mapping'!AX23&gt;=121,'(橫掃)RX Mapping'!AX23&lt;=240), (-1)*('(橫掃)RX Mapping'!AX23-240),IF(AND('(橫掃)RX Mapping'!AX23&gt;=241,'(橫掃)RX Mapping'!AX23&lt;=360), ('(橫掃)RX Mapping'!AX23-241),IF(AND('(橫掃)RX Mapping'!AX23&gt;=361,'(橫掃)RX Mapping'!AX23&lt;=480), (-1)*('(橫掃)RX Mapping'!AX23-480),IF(AND('(橫掃)RX Mapping'!AX23&gt;=481,'(橫掃)RX Mapping'!AX23&lt;=600), ('(橫掃)RX Mapping'!AX23-361),IF(AND('(橫掃)RX Mapping'!AX23&gt;=601,'(橫掃)RX Mapping'!AX23&lt;=720), (-1)*('(橫掃)RX Mapping'!AX23-720)+120,IF(AND('(橫掃)RX Mapping'!AX23&gt;=721,'(橫掃)RX Mapping'!AX23&lt;=840), ('(橫掃)RX Mapping'!AX23-601),IF(AND('(橫掃)RX Mapping'!AX23&gt;=841,'(橫掃)RX Mapping'!AX23&lt;=960), (-1)*('(橫掃)RX Mapping'!AX23-960)+120,9999))))))))</f>
        <v>9999</v>
      </c>
      <c r="AY23">
        <f>IF(AND('(橫掃)RX Mapping'!AY23&gt;=1,'(橫掃)RX Mapping'!AY23&lt;=120), ('(橫掃)RX Mapping'!AY23-1),IF(AND('(橫掃)RX Mapping'!AY23&gt;=121,'(橫掃)RX Mapping'!AY23&lt;=240), (-1)*('(橫掃)RX Mapping'!AY23-240),IF(AND('(橫掃)RX Mapping'!AY23&gt;=241,'(橫掃)RX Mapping'!AY23&lt;=360), ('(橫掃)RX Mapping'!AY23-241),IF(AND('(橫掃)RX Mapping'!AY23&gt;=361,'(橫掃)RX Mapping'!AY23&lt;=480), (-1)*('(橫掃)RX Mapping'!AY23-480),IF(AND('(橫掃)RX Mapping'!AY23&gt;=481,'(橫掃)RX Mapping'!AY23&lt;=600), ('(橫掃)RX Mapping'!AY23-361),IF(AND('(橫掃)RX Mapping'!AY23&gt;=601,'(橫掃)RX Mapping'!AY23&lt;=720), (-1)*('(橫掃)RX Mapping'!AY23-720)+120,IF(AND('(橫掃)RX Mapping'!AY23&gt;=721,'(橫掃)RX Mapping'!AY23&lt;=840), ('(橫掃)RX Mapping'!AY23-601),IF(AND('(橫掃)RX Mapping'!AY23&gt;=841,'(橫掃)RX Mapping'!AY23&lt;=960), (-1)*('(橫掃)RX Mapping'!AY23-960)+120,9999))))))))</f>
        <v>9999</v>
      </c>
      <c r="AZ23">
        <f>IF(AND('(橫掃)RX Mapping'!AZ23&gt;=1,'(橫掃)RX Mapping'!AZ23&lt;=120), ('(橫掃)RX Mapping'!AZ23-1),IF(AND('(橫掃)RX Mapping'!AZ23&gt;=121,'(橫掃)RX Mapping'!AZ23&lt;=240), (-1)*('(橫掃)RX Mapping'!AZ23-240),IF(AND('(橫掃)RX Mapping'!AZ23&gt;=241,'(橫掃)RX Mapping'!AZ23&lt;=360), ('(橫掃)RX Mapping'!AZ23-241),IF(AND('(橫掃)RX Mapping'!AZ23&gt;=361,'(橫掃)RX Mapping'!AZ23&lt;=480), (-1)*('(橫掃)RX Mapping'!AZ23-480),IF(AND('(橫掃)RX Mapping'!AZ23&gt;=481,'(橫掃)RX Mapping'!AZ23&lt;=600), ('(橫掃)RX Mapping'!AZ23-361),IF(AND('(橫掃)RX Mapping'!AZ23&gt;=601,'(橫掃)RX Mapping'!AZ23&lt;=720), (-1)*('(橫掃)RX Mapping'!AZ23-720)+120,IF(AND('(橫掃)RX Mapping'!AZ23&gt;=721,'(橫掃)RX Mapping'!AZ23&lt;=840), ('(橫掃)RX Mapping'!AZ23-601),IF(AND('(橫掃)RX Mapping'!AZ23&gt;=841,'(橫掃)RX Mapping'!AZ23&lt;=960), (-1)*('(橫掃)RX Mapping'!AZ23-960)+120,9999))))))))</f>
        <v>9999</v>
      </c>
      <c r="BA23">
        <f>IF(AND('(橫掃)RX Mapping'!BA23&gt;=1,'(橫掃)RX Mapping'!BA23&lt;=120), ('(橫掃)RX Mapping'!BA23-1),IF(AND('(橫掃)RX Mapping'!BA23&gt;=121,'(橫掃)RX Mapping'!BA23&lt;=240), (-1)*('(橫掃)RX Mapping'!BA23-240),IF(AND('(橫掃)RX Mapping'!BA23&gt;=241,'(橫掃)RX Mapping'!BA23&lt;=360), ('(橫掃)RX Mapping'!BA23-241),IF(AND('(橫掃)RX Mapping'!BA23&gt;=361,'(橫掃)RX Mapping'!BA23&lt;=480), (-1)*('(橫掃)RX Mapping'!BA23-480),IF(AND('(橫掃)RX Mapping'!BA23&gt;=481,'(橫掃)RX Mapping'!BA23&lt;=600), ('(橫掃)RX Mapping'!BA23-361),IF(AND('(橫掃)RX Mapping'!BA23&gt;=601,'(橫掃)RX Mapping'!BA23&lt;=720), (-1)*('(橫掃)RX Mapping'!BA23-720)+120,IF(AND('(橫掃)RX Mapping'!BA23&gt;=721,'(橫掃)RX Mapping'!BA23&lt;=840), ('(橫掃)RX Mapping'!BA23-601),IF(AND('(橫掃)RX Mapping'!BA23&gt;=841,'(橫掃)RX Mapping'!BA23&lt;=960), (-1)*('(橫掃)RX Mapping'!BA23-960)+120,9999))))))))</f>
        <v>9999</v>
      </c>
      <c r="BB23">
        <f>IF(AND('(橫掃)RX Mapping'!BB23&gt;=1,'(橫掃)RX Mapping'!BB23&lt;=120), ('(橫掃)RX Mapping'!BB23-1),IF(AND('(橫掃)RX Mapping'!BB23&gt;=121,'(橫掃)RX Mapping'!BB23&lt;=240), (-1)*('(橫掃)RX Mapping'!BB23-240),IF(AND('(橫掃)RX Mapping'!BB23&gt;=241,'(橫掃)RX Mapping'!BB23&lt;=360), ('(橫掃)RX Mapping'!BB23-241),IF(AND('(橫掃)RX Mapping'!BB23&gt;=361,'(橫掃)RX Mapping'!BB23&lt;=480), (-1)*('(橫掃)RX Mapping'!BB23-480),IF(AND('(橫掃)RX Mapping'!BB23&gt;=481,'(橫掃)RX Mapping'!BB23&lt;=600), ('(橫掃)RX Mapping'!BB23-361),IF(AND('(橫掃)RX Mapping'!BB23&gt;=601,'(橫掃)RX Mapping'!BB23&lt;=720), (-1)*('(橫掃)RX Mapping'!BB23-720)+120,IF(AND('(橫掃)RX Mapping'!BB23&gt;=721,'(橫掃)RX Mapping'!BB23&lt;=840), ('(橫掃)RX Mapping'!BB23-601),IF(AND('(橫掃)RX Mapping'!BB23&gt;=841,'(橫掃)RX Mapping'!BB23&lt;=960), (-1)*('(橫掃)RX Mapping'!BB23-960)+120,9999))))))))</f>
        <v>9999</v>
      </c>
      <c r="BC23">
        <f>IF(AND('(橫掃)RX Mapping'!BC23&gt;=1,'(橫掃)RX Mapping'!BC23&lt;=120), ('(橫掃)RX Mapping'!BC23-1),IF(AND('(橫掃)RX Mapping'!BC23&gt;=121,'(橫掃)RX Mapping'!BC23&lt;=240), (-1)*('(橫掃)RX Mapping'!BC23-240),IF(AND('(橫掃)RX Mapping'!BC23&gt;=241,'(橫掃)RX Mapping'!BC23&lt;=360), ('(橫掃)RX Mapping'!BC23-241),IF(AND('(橫掃)RX Mapping'!BC23&gt;=361,'(橫掃)RX Mapping'!BC23&lt;=480), (-1)*('(橫掃)RX Mapping'!BC23-480),IF(AND('(橫掃)RX Mapping'!BC23&gt;=481,'(橫掃)RX Mapping'!BC23&lt;=600), ('(橫掃)RX Mapping'!BC23-361),IF(AND('(橫掃)RX Mapping'!BC23&gt;=601,'(橫掃)RX Mapping'!BC23&lt;=720), (-1)*('(橫掃)RX Mapping'!BC23-720)+120,IF(AND('(橫掃)RX Mapping'!BC23&gt;=721,'(橫掃)RX Mapping'!BC23&lt;=840), ('(橫掃)RX Mapping'!BC23-601),IF(AND('(橫掃)RX Mapping'!BC23&gt;=841,'(橫掃)RX Mapping'!BC23&lt;=960), (-1)*('(橫掃)RX Mapping'!BC23-960)+120,9999))))))))</f>
        <v>9999</v>
      </c>
      <c r="BD23">
        <f>IF(AND('(橫掃)RX Mapping'!BD23&gt;=1,'(橫掃)RX Mapping'!BD23&lt;=120), ('(橫掃)RX Mapping'!BD23-1),IF(AND('(橫掃)RX Mapping'!BD23&gt;=121,'(橫掃)RX Mapping'!BD23&lt;=240), (-1)*('(橫掃)RX Mapping'!BD23-240),IF(AND('(橫掃)RX Mapping'!BD23&gt;=241,'(橫掃)RX Mapping'!BD23&lt;=360), ('(橫掃)RX Mapping'!BD23-241),IF(AND('(橫掃)RX Mapping'!BD23&gt;=361,'(橫掃)RX Mapping'!BD23&lt;=480), (-1)*('(橫掃)RX Mapping'!BD23-480),IF(AND('(橫掃)RX Mapping'!BD23&gt;=481,'(橫掃)RX Mapping'!BD23&lt;=600), ('(橫掃)RX Mapping'!BD23-361),IF(AND('(橫掃)RX Mapping'!BD23&gt;=601,'(橫掃)RX Mapping'!BD23&lt;=720), (-1)*('(橫掃)RX Mapping'!BD23-720)+120,IF(AND('(橫掃)RX Mapping'!BD23&gt;=721,'(橫掃)RX Mapping'!BD23&lt;=840), ('(橫掃)RX Mapping'!BD23-601),IF(AND('(橫掃)RX Mapping'!BD23&gt;=841,'(橫掃)RX Mapping'!BD23&lt;=960), (-1)*('(橫掃)RX Mapping'!BD23-960)+120,9999))))))))</f>
        <v>9999</v>
      </c>
      <c r="BE23">
        <f>IF(AND('(橫掃)RX Mapping'!BE23&gt;=1,'(橫掃)RX Mapping'!BE23&lt;=120), ('(橫掃)RX Mapping'!BE23-1),IF(AND('(橫掃)RX Mapping'!BE23&gt;=121,'(橫掃)RX Mapping'!BE23&lt;=240), (-1)*('(橫掃)RX Mapping'!BE23-240),IF(AND('(橫掃)RX Mapping'!BE23&gt;=241,'(橫掃)RX Mapping'!BE23&lt;=360), ('(橫掃)RX Mapping'!BE23-241),IF(AND('(橫掃)RX Mapping'!BE23&gt;=361,'(橫掃)RX Mapping'!BE23&lt;=480), (-1)*('(橫掃)RX Mapping'!BE23-480),IF(AND('(橫掃)RX Mapping'!BE23&gt;=481,'(橫掃)RX Mapping'!BE23&lt;=600), ('(橫掃)RX Mapping'!BE23-361),IF(AND('(橫掃)RX Mapping'!BE23&gt;=601,'(橫掃)RX Mapping'!BE23&lt;=720), (-1)*('(橫掃)RX Mapping'!BE23-720)+120,IF(AND('(橫掃)RX Mapping'!BE23&gt;=721,'(橫掃)RX Mapping'!BE23&lt;=840), ('(橫掃)RX Mapping'!BE23-601),IF(AND('(橫掃)RX Mapping'!BE23&gt;=841,'(橫掃)RX Mapping'!BE23&lt;=960), (-1)*('(橫掃)RX Mapping'!BE23-960)+120,9999))))))))</f>
        <v>9999</v>
      </c>
      <c r="BF23">
        <f>IF(AND('(橫掃)RX Mapping'!BF23&gt;=1,'(橫掃)RX Mapping'!BF23&lt;=120), ('(橫掃)RX Mapping'!BF23-1),IF(AND('(橫掃)RX Mapping'!BF23&gt;=121,'(橫掃)RX Mapping'!BF23&lt;=240), (-1)*('(橫掃)RX Mapping'!BF23-240),IF(AND('(橫掃)RX Mapping'!BF23&gt;=241,'(橫掃)RX Mapping'!BF23&lt;=360), ('(橫掃)RX Mapping'!BF23-241),IF(AND('(橫掃)RX Mapping'!BF23&gt;=361,'(橫掃)RX Mapping'!BF23&lt;=480), (-1)*('(橫掃)RX Mapping'!BF23-480),IF(AND('(橫掃)RX Mapping'!BF23&gt;=481,'(橫掃)RX Mapping'!BF23&lt;=600), ('(橫掃)RX Mapping'!BF23-361),IF(AND('(橫掃)RX Mapping'!BF23&gt;=601,'(橫掃)RX Mapping'!BF23&lt;=720), (-1)*('(橫掃)RX Mapping'!BF23-720)+120,IF(AND('(橫掃)RX Mapping'!BF23&gt;=721,'(橫掃)RX Mapping'!BF23&lt;=840), ('(橫掃)RX Mapping'!BF23-601),IF(AND('(橫掃)RX Mapping'!BF23&gt;=841,'(橫掃)RX Mapping'!BF23&lt;=960), (-1)*('(橫掃)RX Mapping'!BF23-960)+120,9999))))))))</f>
        <v>9999</v>
      </c>
      <c r="BG23">
        <f>IF(AND('(橫掃)RX Mapping'!BG23&gt;=1,'(橫掃)RX Mapping'!BG23&lt;=120), ('(橫掃)RX Mapping'!BG23-1),IF(AND('(橫掃)RX Mapping'!BG23&gt;=121,'(橫掃)RX Mapping'!BG23&lt;=240), (-1)*('(橫掃)RX Mapping'!BG23-240),IF(AND('(橫掃)RX Mapping'!BG23&gt;=241,'(橫掃)RX Mapping'!BG23&lt;=360), ('(橫掃)RX Mapping'!BG23-241),IF(AND('(橫掃)RX Mapping'!BG23&gt;=361,'(橫掃)RX Mapping'!BG23&lt;=480), (-1)*('(橫掃)RX Mapping'!BG23-480),IF(AND('(橫掃)RX Mapping'!BG23&gt;=481,'(橫掃)RX Mapping'!BG23&lt;=600), ('(橫掃)RX Mapping'!BG23-361),IF(AND('(橫掃)RX Mapping'!BG23&gt;=601,'(橫掃)RX Mapping'!BG23&lt;=720), (-1)*('(橫掃)RX Mapping'!BG23-720)+120,IF(AND('(橫掃)RX Mapping'!BG23&gt;=721,'(橫掃)RX Mapping'!BG23&lt;=840), ('(橫掃)RX Mapping'!BG23-601),IF(AND('(橫掃)RX Mapping'!BG23&gt;=841,'(橫掃)RX Mapping'!BG23&lt;=960), (-1)*('(橫掃)RX Mapping'!BG23-960)+120,9999))))))))</f>
        <v>9999</v>
      </c>
      <c r="BH23">
        <f>IF(AND('(橫掃)RX Mapping'!BH23&gt;=1,'(橫掃)RX Mapping'!BH23&lt;=120), ('(橫掃)RX Mapping'!BH23-1),IF(AND('(橫掃)RX Mapping'!BH23&gt;=121,'(橫掃)RX Mapping'!BH23&lt;=240), (-1)*('(橫掃)RX Mapping'!BH23-240),IF(AND('(橫掃)RX Mapping'!BH23&gt;=241,'(橫掃)RX Mapping'!BH23&lt;=360), ('(橫掃)RX Mapping'!BH23-241),IF(AND('(橫掃)RX Mapping'!BH23&gt;=361,'(橫掃)RX Mapping'!BH23&lt;=480), (-1)*('(橫掃)RX Mapping'!BH23-480),IF(AND('(橫掃)RX Mapping'!BH23&gt;=481,'(橫掃)RX Mapping'!BH23&lt;=600), ('(橫掃)RX Mapping'!BH23-361),IF(AND('(橫掃)RX Mapping'!BH23&gt;=601,'(橫掃)RX Mapping'!BH23&lt;=720), (-1)*('(橫掃)RX Mapping'!BH23-720)+120,IF(AND('(橫掃)RX Mapping'!BH23&gt;=721,'(橫掃)RX Mapping'!BH23&lt;=840), ('(橫掃)RX Mapping'!BH23-601),IF(AND('(橫掃)RX Mapping'!BH23&gt;=841,'(橫掃)RX Mapping'!BH23&lt;=960), (-1)*('(橫掃)RX Mapping'!BH23-960)+120,9999))))))))</f>
        <v>9999</v>
      </c>
      <c r="BI23">
        <f>IF(AND('(橫掃)RX Mapping'!BI23&gt;=1,'(橫掃)RX Mapping'!BI23&lt;=120), ('(橫掃)RX Mapping'!BI23-1),IF(AND('(橫掃)RX Mapping'!BI23&gt;=121,'(橫掃)RX Mapping'!BI23&lt;=240), (-1)*('(橫掃)RX Mapping'!BI23-240),IF(AND('(橫掃)RX Mapping'!BI23&gt;=241,'(橫掃)RX Mapping'!BI23&lt;=360), ('(橫掃)RX Mapping'!BI23-241),IF(AND('(橫掃)RX Mapping'!BI23&gt;=361,'(橫掃)RX Mapping'!BI23&lt;=480), (-1)*('(橫掃)RX Mapping'!BI23-480),IF(AND('(橫掃)RX Mapping'!BI23&gt;=481,'(橫掃)RX Mapping'!BI23&lt;=600), ('(橫掃)RX Mapping'!BI23-361),IF(AND('(橫掃)RX Mapping'!BI23&gt;=601,'(橫掃)RX Mapping'!BI23&lt;=720), (-1)*('(橫掃)RX Mapping'!BI23-720)+120,IF(AND('(橫掃)RX Mapping'!BI23&gt;=721,'(橫掃)RX Mapping'!BI23&lt;=840), ('(橫掃)RX Mapping'!BI23-601),IF(AND('(橫掃)RX Mapping'!BI23&gt;=841,'(橫掃)RX Mapping'!BI23&lt;=960), (-1)*('(橫掃)RX Mapping'!BI23-960)+120,9999))))))))</f>
        <v>9999</v>
      </c>
    </row>
    <row r="24" spans="1:61" x14ac:dyDescent="0.25">
      <c r="A24" s="20">
        <v>23</v>
      </c>
      <c r="B24">
        <f>IF(AND('(橫掃)RX Mapping'!B24&gt;=1,'(橫掃)RX Mapping'!B24&lt;=120), ('(橫掃)RX Mapping'!B24-1),IF(AND('(橫掃)RX Mapping'!B24&gt;=121,'(橫掃)RX Mapping'!B24&lt;=240), (-1)*('(橫掃)RX Mapping'!B24-240),IF(AND('(橫掃)RX Mapping'!B24&gt;=241,'(橫掃)RX Mapping'!B24&lt;=360), ('(橫掃)RX Mapping'!B24-241),IF(AND('(橫掃)RX Mapping'!B24&gt;=361,'(橫掃)RX Mapping'!B24&lt;=480), (-1)*('(橫掃)RX Mapping'!B24-480),IF(AND('(橫掃)RX Mapping'!B24&gt;=481,'(橫掃)RX Mapping'!B24&lt;=600), ('(橫掃)RX Mapping'!B24-361),IF(AND('(橫掃)RX Mapping'!B24&gt;=601,'(橫掃)RX Mapping'!B24&lt;=720), (-1)*('(橫掃)RX Mapping'!B24-720)+120,IF(AND('(橫掃)RX Mapping'!B24&gt;=721,'(橫掃)RX Mapping'!B24&lt;=840), ('(橫掃)RX Mapping'!B24-601),IF(AND('(橫掃)RX Mapping'!B24&gt;=841,'(橫掃)RX Mapping'!B24&lt;=960), (-1)*('(橫掃)RX Mapping'!B24-960)+120,9999))))))))</f>
        <v>22</v>
      </c>
      <c r="C24">
        <f>IF(AND('(橫掃)RX Mapping'!C24&gt;=1,'(橫掃)RX Mapping'!C24&lt;=120), ('(橫掃)RX Mapping'!C24-1),IF(AND('(橫掃)RX Mapping'!C24&gt;=121,'(橫掃)RX Mapping'!C24&lt;=240), (-1)*('(橫掃)RX Mapping'!C24-240),IF(AND('(橫掃)RX Mapping'!C24&gt;=241,'(橫掃)RX Mapping'!C24&lt;=360), ('(橫掃)RX Mapping'!C24-241),IF(AND('(橫掃)RX Mapping'!C24&gt;=361,'(橫掃)RX Mapping'!C24&lt;=480), (-1)*('(橫掃)RX Mapping'!C24-480),IF(AND('(橫掃)RX Mapping'!C24&gt;=481,'(橫掃)RX Mapping'!C24&lt;=600), ('(橫掃)RX Mapping'!C24-361),IF(AND('(橫掃)RX Mapping'!C24&gt;=601,'(橫掃)RX Mapping'!C24&lt;=720), (-1)*('(橫掃)RX Mapping'!C24-720)+120,IF(AND('(橫掃)RX Mapping'!C24&gt;=721,'(橫掃)RX Mapping'!C24&lt;=840), ('(橫掃)RX Mapping'!C24-601),IF(AND('(橫掃)RX Mapping'!C24&gt;=841,'(橫掃)RX Mapping'!C24&lt;=960), (-1)*('(橫掃)RX Mapping'!C24-960)+120,9999))))))))</f>
        <v>54</v>
      </c>
      <c r="D24">
        <f>IF(AND('(橫掃)RX Mapping'!D24&gt;=1,'(橫掃)RX Mapping'!D24&lt;=120), ('(橫掃)RX Mapping'!D24-1),IF(AND('(橫掃)RX Mapping'!D24&gt;=121,'(橫掃)RX Mapping'!D24&lt;=240), (-1)*('(橫掃)RX Mapping'!D24-240),IF(AND('(橫掃)RX Mapping'!D24&gt;=241,'(橫掃)RX Mapping'!D24&lt;=360), ('(橫掃)RX Mapping'!D24-241),IF(AND('(橫掃)RX Mapping'!D24&gt;=361,'(橫掃)RX Mapping'!D24&lt;=480), (-1)*('(橫掃)RX Mapping'!D24-480),IF(AND('(橫掃)RX Mapping'!D24&gt;=481,'(橫掃)RX Mapping'!D24&lt;=600), ('(橫掃)RX Mapping'!D24-361),IF(AND('(橫掃)RX Mapping'!D24&gt;=601,'(橫掃)RX Mapping'!D24&lt;=720), (-1)*('(橫掃)RX Mapping'!D24-720)+120,IF(AND('(橫掃)RX Mapping'!D24&gt;=721,'(橫掃)RX Mapping'!D24&lt;=840), ('(橫掃)RX Mapping'!D24-601),IF(AND('(橫掃)RX Mapping'!D24&gt;=841,'(橫掃)RX Mapping'!D24&lt;=960), (-1)*('(橫掃)RX Mapping'!D24-960)+120,9999))))))))</f>
        <v>86</v>
      </c>
      <c r="E24">
        <f>IF(AND('(橫掃)RX Mapping'!E24&gt;=1,'(橫掃)RX Mapping'!E24&lt;=120), ('(橫掃)RX Mapping'!E24-1),IF(AND('(橫掃)RX Mapping'!E24&gt;=121,'(橫掃)RX Mapping'!E24&lt;=240), (-1)*('(橫掃)RX Mapping'!E24-240),IF(AND('(橫掃)RX Mapping'!E24&gt;=241,'(橫掃)RX Mapping'!E24&lt;=360), ('(橫掃)RX Mapping'!E24-241),IF(AND('(橫掃)RX Mapping'!E24&gt;=361,'(橫掃)RX Mapping'!E24&lt;=480), (-1)*('(橫掃)RX Mapping'!E24-480),IF(AND('(橫掃)RX Mapping'!E24&gt;=481,'(橫掃)RX Mapping'!E24&lt;=600), ('(橫掃)RX Mapping'!E24-361),IF(AND('(橫掃)RX Mapping'!E24&gt;=601,'(橫掃)RX Mapping'!E24&lt;=720), (-1)*('(橫掃)RX Mapping'!E24-720)+120,IF(AND('(橫掃)RX Mapping'!E24&gt;=721,'(橫掃)RX Mapping'!E24&lt;=840), ('(橫掃)RX Mapping'!E24-601),IF(AND('(橫掃)RX Mapping'!E24&gt;=841,'(橫掃)RX Mapping'!E24&lt;=960), (-1)*('(橫掃)RX Mapping'!E24-960)+120,9999))))))))</f>
        <v>118</v>
      </c>
      <c r="F24">
        <f>IF(AND('(橫掃)RX Mapping'!F24&gt;=1,'(橫掃)RX Mapping'!F24&lt;=120), ('(橫掃)RX Mapping'!F24-1),IF(AND('(橫掃)RX Mapping'!F24&gt;=121,'(橫掃)RX Mapping'!F24&lt;=240), (-1)*('(橫掃)RX Mapping'!F24-240),IF(AND('(橫掃)RX Mapping'!F24&gt;=241,'(橫掃)RX Mapping'!F24&lt;=360), ('(橫掃)RX Mapping'!F24-241),IF(AND('(橫掃)RX Mapping'!F24&gt;=361,'(橫掃)RX Mapping'!F24&lt;=480), (-1)*('(橫掃)RX Mapping'!F24-480),IF(AND('(橫掃)RX Mapping'!F24&gt;=481,'(橫掃)RX Mapping'!F24&lt;=600), ('(橫掃)RX Mapping'!F24-361),IF(AND('(橫掃)RX Mapping'!F24&gt;=601,'(橫掃)RX Mapping'!F24&lt;=720), (-1)*('(橫掃)RX Mapping'!F24-720)+120,IF(AND('(橫掃)RX Mapping'!F24&gt;=721,'(橫掃)RX Mapping'!F24&lt;=840), ('(橫掃)RX Mapping'!F24-601),IF(AND('(橫掃)RX Mapping'!F24&gt;=841,'(橫掃)RX Mapping'!F24&lt;=960), (-1)*('(橫掃)RX Mapping'!F24-960)+120,9999))))))))</f>
        <v>89</v>
      </c>
      <c r="G24">
        <f>IF(AND('(橫掃)RX Mapping'!G24&gt;=1,'(橫掃)RX Mapping'!G24&lt;=120), ('(橫掃)RX Mapping'!G24-1),IF(AND('(橫掃)RX Mapping'!G24&gt;=121,'(橫掃)RX Mapping'!G24&lt;=240), (-1)*('(橫掃)RX Mapping'!G24-240),IF(AND('(橫掃)RX Mapping'!G24&gt;=241,'(橫掃)RX Mapping'!G24&lt;=360), ('(橫掃)RX Mapping'!G24-241),IF(AND('(橫掃)RX Mapping'!G24&gt;=361,'(橫掃)RX Mapping'!G24&lt;=480), (-1)*('(橫掃)RX Mapping'!G24-480),IF(AND('(橫掃)RX Mapping'!G24&gt;=481,'(橫掃)RX Mapping'!G24&lt;=600), ('(橫掃)RX Mapping'!G24-361),IF(AND('(橫掃)RX Mapping'!G24&gt;=601,'(橫掃)RX Mapping'!G24&lt;=720), (-1)*('(橫掃)RX Mapping'!G24-720)+120,IF(AND('(橫掃)RX Mapping'!G24&gt;=721,'(橫掃)RX Mapping'!G24&lt;=840), ('(橫掃)RX Mapping'!G24-601),IF(AND('(橫掃)RX Mapping'!G24&gt;=841,'(橫掃)RX Mapping'!G24&lt;=960), (-1)*('(橫掃)RX Mapping'!G24-960)+120,9999))))))))</f>
        <v>57</v>
      </c>
      <c r="H24">
        <f>IF(AND('(橫掃)RX Mapping'!H24&gt;=1,'(橫掃)RX Mapping'!H24&lt;=120), ('(橫掃)RX Mapping'!H24-1),IF(AND('(橫掃)RX Mapping'!H24&gt;=121,'(橫掃)RX Mapping'!H24&lt;=240), (-1)*('(橫掃)RX Mapping'!H24-240),IF(AND('(橫掃)RX Mapping'!H24&gt;=241,'(橫掃)RX Mapping'!H24&lt;=360), ('(橫掃)RX Mapping'!H24-241),IF(AND('(橫掃)RX Mapping'!H24&gt;=361,'(橫掃)RX Mapping'!H24&lt;=480), (-1)*('(橫掃)RX Mapping'!H24-480),IF(AND('(橫掃)RX Mapping'!H24&gt;=481,'(橫掃)RX Mapping'!H24&lt;=600), ('(橫掃)RX Mapping'!H24-361),IF(AND('(橫掃)RX Mapping'!H24&gt;=601,'(橫掃)RX Mapping'!H24&lt;=720), (-1)*('(橫掃)RX Mapping'!H24-720)+120,IF(AND('(橫掃)RX Mapping'!H24&gt;=721,'(橫掃)RX Mapping'!H24&lt;=840), ('(橫掃)RX Mapping'!H24-601),IF(AND('(橫掃)RX Mapping'!H24&gt;=841,'(橫掃)RX Mapping'!H24&lt;=960), (-1)*('(橫掃)RX Mapping'!H24-960)+120,9999))))))))</f>
        <v>25</v>
      </c>
      <c r="I24">
        <f>IF(AND('(橫掃)RX Mapping'!I24&gt;=1,'(橫掃)RX Mapping'!I24&lt;=120), ('(橫掃)RX Mapping'!I24-1),IF(AND('(橫掃)RX Mapping'!I24&gt;=121,'(橫掃)RX Mapping'!I24&lt;=240), (-1)*('(橫掃)RX Mapping'!I24-240),IF(AND('(橫掃)RX Mapping'!I24&gt;=241,'(橫掃)RX Mapping'!I24&lt;=360), ('(橫掃)RX Mapping'!I24-241),IF(AND('(橫掃)RX Mapping'!I24&gt;=361,'(橫掃)RX Mapping'!I24&lt;=480), (-1)*('(橫掃)RX Mapping'!I24-480),IF(AND('(橫掃)RX Mapping'!I24&gt;=481,'(橫掃)RX Mapping'!I24&lt;=600), ('(橫掃)RX Mapping'!I24-361),IF(AND('(橫掃)RX Mapping'!I24&gt;=601,'(橫掃)RX Mapping'!I24&lt;=720), (-1)*('(橫掃)RX Mapping'!I24-720)+120,IF(AND('(橫掃)RX Mapping'!I24&gt;=721,'(橫掃)RX Mapping'!I24&lt;=840), ('(橫掃)RX Mapping'!I24-601),IF(AND('(橫掃)RX Mapping'!I24&gt;=841,'(橫掃)RX Mapping'!I24&lt;=960), (-1)*('(橫掃)RX Mapping'!I24-960)+120,9999))))))))</f>
        <v>22</v>
      </c>
      <c r="J24">
        <f>IF(AND('(橫掃)RX Mapping'!J24&gt;=1,'(橫掃)RX Mapping'!J24&lt;=120), ('(橫掃)RX Mapping'!J24-1),IF(AND('(橫掃)RX Mapping'!J24&gt;=121,'(橫掃)RX Mapping'!J24&lt;=240), (-1)*('(橫掃)RX Mapping'!J24-240),IF(AND('(橫掃)RX Mapping'!J24&gt;=241,'(橫掃)RX Mapping'!J24&lt;=360), ('(橫掃)RX Mapping'!J24-241),IF(AND('(橫掃)RX Mapping'!J24&gt;=361,'(橫掃)RX Mapping'!J24&lt;=480), (-1)*('(橫掃)RX Mapping'!J24-480),IF(AND('(橫掃)RX Mapping'!J24&gt;=481,'(橫掃)RX Mapping'!J24&lt;=600), ('(橫掃)RX Mapping'!J24-361),IF(AND('(橫掃)RX Mapping'!J24&gt;=601,'(橫掃)RX Mapping'!J24&lt;=720), (-1)*('(橫掃)RX Mapping'!J24-720)+120,IF(AND('(橫掃)RX Mapping'!J24&gt;=721,'(橫掃)RX Mapping'!J24&lt;=840), ('(橫掃)RX Mapping'!J24-601),IF(AND('(橫掃)RX Mapping'!J24&gt;=841,'(橫掃)RX Mapping'!J24&lt;=960), (-1)*('(橫掃)RX Mapping'!J24-960)+120,9999))))))))</f>
        <v>54</v>
      </c>
      <c r="K24">
        <f>IF(AND('(橫掃)RX Mapping'!K24&gt;=1,'(橫掃)RX Mapping'!K24&lt;=120), ('(橫掃)RX Mapping'!K24-1),IF(AND('(橫掃)RX Mapping'!K24&gt;=121,'(橫掃)RX Mapping'!K24&lt;=240), (-1)*('(橫掃)RX Mapping'!K24-240),IF(AND('(橫掃)RX Mapping'!K24&gt;=241,'(橫掃)RX Mapping'!K24&lt;=360), ('(橫掃)RX Mapping'!K24-241),IF(AND('(橫掃)RX Mapping'!K24&gt;=361,'(橫掃)RX Mapping'!K24&lt;=480), (-1)*('(橫掃)RX Mapping'!K24-480),IF(AND('(橫掃)RX Mapping'!K24&gt;=481,'(橫掃)RX Mapping'!K24&lt;=600), ('(橫掃)RX Mapping'!K24-361),IF(AND('(橫掃)RX Mapping'!K24&gt;=601,'(橫掃)RX Mapping'!K24&lt;=720), (-1)*('(橫掃)RX Mapping'!K24-720)+120,IF(AND('(橫掃)RX Mapping'!K24&gt;=721,'(橫掃)RX Mapping'!K24&lt;=840), ('(橫掃)RX Mapping'!K24-601),IF(AND('(橫掃)RX Mapping'!K24&gt;=841,'(橫掃)RX Mapping'!K24&lt;=960), (-1)*('(橫掃)RX Mapping'!K24-960)+120,9999))))))))</f>
        <v>86</v>
      </c>
      <c r="L24">
        <f>IF(AND('(橫掃)RX Mapping'!L24&gt;=1,'(橫掃)RX Mapping'!L24&lt;=120), ('(橫掃)RX Mapping'!L24-1),IF(AND('(橫掃)RX Mapping'!L24&gt;=121,'(橫掃)RX Mapping'!L24&lt;=240), (-1)*('(橫掃)RX Mapping'!L24-240),IF(AND('(橫掃)RX Mapping'!L24&gt;=241,'(橫掃)RX Mapping'!L24&lt;=360), ('(橫掃)RX Mapping'!L24-241),IF(AND('(橫掃)RX Mapping'!L24&gt;=361,'(橫掃)RX Mapping'!L24&lt;=480), (-1)*('(橫掃)RX Mapping'!L24-480),IF(AND('(橫掃)RX Mapping'!L24&gt;=481,'(橫掃)RX Mapping'!L24&lt;=600), ('(橫掃)RX Mapping'!L24-361),IF(AND('(橫掃)RX Mapping'!L24&gt;=601,'(橫掃)RX Mapping'!L24&lt;=720), (-1)*('(橫掃)RX Mapping'!L24-720)+120,IF(AND('(橫掃)RX Mapping'!L24&gt;=721,'(橫掃)RX Mapping'!L24&lt;=840), ('(橫掃)RX Mapping'!L24-601),IF(AND('(橫掃)RX Mapping'!L24&gt;=841,'(橫掃)RX Mapping'!L24&lt;=960), (-1)*('(橫掃)RX Mapping'!L24-960)+120,9999))))))))</f>
        <v>118</v>
      </c>
      <c r="M24">
        <f>IF(AND('(橫掃)RX Mapping'!M24&gt;=1,'(橫掃)RX Mapping'!M24&lt;=120), ('(橫掃)RX Mapping'!M24-1),IF(AND('(橫掃)RX Mapping'!M24&gt;=121,'(橫掃)RX Mapping'!M24&lt;=240), (-1)*('(橫掃)RX Mapping'!M24-240),IF(AND('(橫掃)RX Mapping'!M24&gt;=241,'(橫掃)RX Mapping'!M24&lt;=360), ('(橫掃)RX Mapping'!M24-241),IF(AND('(橫掃)RX Mapping'!M24&gt;=361,'(橫掃)RX Mapping'!M24&lt;=480), (-1)*('(橫掃)RX Mapping'!M24-480),IF(AND('(橫掃)RX Mapping'!M24&gt;=481,'(橫掃)RX Mapping'!M24&lt;=600), ('(橫掃)RX Mapping'!M24-361),IF(AND('(橫掃)RX Mapping'!M24&gt;=601,'(橫掃)RX Mapping'!M24&lt;=720), (-1)*('(橫掃)RX Mapping'!M24-720)+120,IF(AND('(橫掃)RX Mapping'!M24&gt;=721,'(橫掃)RX Mapping'!M24&lt;=840), ('(橫掃)RX Mapping'!M24-601),IF(AND('(橫掃)RX Mapping'!M24&gt;=841,'(橫掃)RX Mapping'!M24&lt;=960), (-1)*('(橫掃)RX Mapping'!M24-960)+120,9999))))))))</f>
        <v>89</v>
      </c>
      <c r="N24">
        <f>IF(AND('(橫掃)RX Mapping'!N24&gt;=1,'(橫掃)RX Mapping'!N24&lt;=120), ('(橫掃)RX Mapping'!N24-1),IF(AND('(橫掃)RX Mapping'!N24&gt;=121,'(橫掃)RX Mapping'!N24&lt;=240), (-1)*('(橫掃)RX Mapping'!N24-240),IF(AND('(橫掃)RX Mapping'!N24&gt;=241,'(橫掃)RX Mapping'!N24&lt;=360), ('(橫掃)RX Mapping'!N24-241),IF(AND('(橫掃)RX Mapping'!N24&gt;=361,'(橫掃)RX Mapping'!N24&lt;=480), (-1)*('(橫掃)RX Mapping'!N24-480),IF(AND('(橫掃)RX Mapping'!N24&gt;=481,'(橫掃)RX Mapping'!N24&lt;=600), ('(橫掃)RX Mapping'!N24-361),IF(AND('(橫掃)RX Mapping'!N24&gt;=601,'(橫掃)RX Mapping'!N24&lt;=720), (-1)*('(橫掃)RX Mapping'!N24-720)+120,IF(AND('(橫掃)RX Mapping'!N24&gt;=721,'(橫掃)RX Mapping'!N24&lt;=840), ('(橫掃)RX Mapping'!N24-601),IF(AND('(橫掃)RX Mapping'!N24&gt;=841,'(橫掃)RX Mapping'!N24&lt;=960), (-1)*('(橫掃)RX Mapping'!N24-960)+120,9999))))))))</f>
        <v>57</v>
      </c>
      <c r="O24">
        <f>IF(AND('(橫掃)RX Mapping'!O24&gt;=1,'(橫掃)RX Mapping'!O24&lt;=120), ('(橫掃)RX Mapping'!O24-1),IF(AND('(橫掃)RX Mapping'!O24&gt;=121,'(橫掃)RX Mapping'!O24&lt;=240), (-1)*('(橫掃)RX Mapping'!O24-240),IF(AND('(橫掃)RX Mapping'!O24&gt;=241,'(橫掃)RX Mapping'!O24&lt;=360), ('(橫掃)RX Mapping'!O24-241),IF(AND('(橫掃)RX Mapping'!O24&gt;=361,'(橫掃)RX Mapping'!O24&lt;=480), (-1)*('(橫掃)RX Mapping'!O24-480),IF(AND('(橫掃)RX Mapping'!O24&gt;=481,'(橫掃)RX Mapping'!O24&lt;=600), ('(橫掃)RX Mapping'!O24-361),IF(AND('(橫掃)RX Mapping'!O24&gt;=601,'(橫掃)RX Mapping'!O24&lt;=720), (-1)*('(橫掃)RX Mapping'!O24-720)+120,IF(AND('(橫掃)RX Mapping'!O24&gt;=721,'(橫掃)RX Mapping'!O24&lt;=840), ('(橫掃)RX Mapping'!O24-601),IF(AND('(橫掃)RX Mapping'!O24&gt;=841,'(橫掃)RX Mapping'!O24&lt;=960), (-1)*('(橫掃)RX Mapping'!O24-960)+120,9999))))))))</f>
        <v>25</v>
      </c>
      <c r="P24">
        <f>IF(AND('(橫掃)RX Mapping'!P24&gt;=1,'(橫掃)RX Mapping'!P24&lt;=120), ('(橫掃)RX Mapping'!P24-1),IF(AND('(橫掃)RX Mapping'!P24&gt;=121,'(橫掃)RX Mapping'!P24&lt;=240), (-1)*('(橫掃)RX Mapping'!P24-240),IF(AND('(橫掃)RX Mapping'!P24&gt;=241,'(橫掃)RX Mapping'!P24&lt;=360), ('(橫掃)RX Mapping'!P24-241),IF(AND('(橫掃)RX Mapping'!P24&gt;=361,'(橫掃)RX Mapping'!P24&lt;=480), (-1)*('(橫掃)RX Mapping'!P24-480),IF(AND('(橫掃)RX Mapping'!P24&gt;=481,'(橫掃)RX Mapping'!P24&lt;=600), ('(橫掃)RX Mapping'!P24-361),IF(AND('(橫掃)RX Mapping'!P24&gt;=601,'(橫掃)RX Mapping'!P24&lt;=720), (-1)*('(橫掃)RX Mapping'!P24-720)+120,IF(AND('(橫掃)RX Mapping'!P24&gt;=721,'(橫掃)RX Mapping'!P24&lt;=840), ('(橫掃)RX Mapping'!P24-601),IF(AND('(橫掃)RX Mapping'!P24&gt;=841,'(橫掃)RX Mapping'!P24&lt;=960), (-1)*('(橫掃)RX Mapping'!P24-960)+120,9999))))))))</f>
        <v>142</v>
      </c>
      <c r="Q24">
        <f>IF(AND('(橫掃)RX Mapping'!Q24&gt;=1,'(橫掃)RX Mapping'!Q24&lt;=120), ('(橫掃)RX Mapping'!Q24-1),IF(AND('(橫掃)RX Mapping'!Q24&gt;=121,'(橫掃)RX Mapping'!Q24&lt;=240), (-1)*('(橫掃)RX Mapping'!Q24-240),IF(AND('(橫掃)RX Mapping'!Q24&gt;=241,'(橫掃)RX Mapping'!Q24&lt;=360), ('(橫掃)RX Mapping'!Q24-241),IF(AND('(橫掃)RX Mapping'!Q24&gt;=361,'(橫掃)RX Mapping'!Q24&lt;=480), (-1)*('(橫掃)RX Mapping'!Q24-480),IF(AND('(橫掃)RX Mapping'!Q24&gt;=481,'(橫掃)RX Mapping'!Q24&lt;=600), ('(橫掃)RX Mapping'!Q24-361),IF(AND('(橫掃)RX Mapping'!Q24&gt;=601,'(橫掃)RX Mapping'!Q24&lt;=720), (-1)*('(橫掃)RX Mapping'!Q24-720)+120,IF(AND('(橫掃)RX Mapping'!Q24&gt;=721,'(橫掃)RX Mapping'!Q24&lt;=840), ('(橫掃)RX Mapping'!Q24-601),IF(AND('(橫掃)RX Mapping'!Q24&gt;=841,'(橫掃)RX Mapping'!Q24&lt;=960), (-1)*('(橫掃)RX Mapping'!Q24-960)+120,9999))))))))</f>
        <v>174</v>
      </c>
      <c r="R24">
        <f>IF(AND('(橫掃)RX Mapping'!R24&gt;=1,'(橫掃)RX Mapping'!R24&lt;=120), ('(橫掃)RX Mapping'!R24-1),IF(AND('(橫掃)RX Mapping'!R24&gt;=121,'(橫掃)RX Mapping'!R24&lt;=240), (-1)*('(橫掃)RX Mapping'!R24-240),IF(AND('(橫掃)RX Mapping'!R24&gt;=241,'(橫掃)RX Mapping'!R24&lt;=360), ('(橫掃)RX Mapping'!R24-241),IF(AND('(橫掃)RX Mapping'!R24&gt;=361,'(橫掃)RX Mapping'!R24&lt;=480), (-1)*('(橫掃)RX Mapping'!R24-480),IF(AND('(橫掃)RX Mapping'!R24&gt;=481,'(橫掃)RX Mapping'!R24&lt;=600), ('(橫掃)RX Mapping'!R24-361),IF(AND('(橫掃)RX Mapping'!R24&gt;=601,'(橫掃)RX Mapping'!R24&lt;=720), (-1)*('(橫掃)RX Mapping'!R24-720)+120,IF(AND('(橫掃)RX Mapping'!R24&gt;=721,'(橫掃)RX Mapping'!R24&lt;=840), ('(橫掃)RX Mapping'!R24-601),IF(AND('(橫掃)RX Mapping'!R24&gt;=841,'(橫掃)RX Mapping'!R24&lt;=960), (-1)*('(橫掃)RX Mapping'!R24-960)+120,9999))))))))</f>
        <v>206</v>
      </c>
      <c r="S24">
        <f>IF(AND('(橫掃)RX Mapping'!S24&gt;=1,'(橫掃)RX Mapping'!S24&lt;=120), ('(橫掃)RX Mapping'!S24-1),IF(AND('(橫掃)RX Mapping'!S24&gt;=121,'(橫掃)RX Mapping'!S24&lt;=240), (-1)*('(橫掃)RX Mapping'!S24-240),IF(AND('(橫掃)RX Mapping'!S24&gt;=241,'(橫掃)RX Mapping'!S24&lt;=360), ('(橫掃)RX Mapping'!S24-241),IF(AND('(橫掃)RX Mapping'!S24&gt;=361,'(橫掃)RX Mapping'!S24&lt;=480), (-1)*('(橫掃)RX Mapping'!S24-480),IF(AND('(橫掃)RX Mapping'!S24&gt;=481,'(橫掃)RX Mapping'!S24&lt;=600), ('(橫掃)RX Mapping'!S24-361),IF(AND('(橫掃)RX Mapping'!S24&gt;=601,'(橫掃)RX Mapping'!S24&lt;=720), (-1)*('(橫掃)RX Mapping'!S24-720)+120,IF(AND('(橫掃)RX Mapping'!S24&gt;=721,'(橫掃)RX Mapping'!S24&lt;=840), ('(橫掃)RX Mapping'!S24-601),IF(AND('(橫掃)RX Mapping'!S24&gt;=841,'(橫掃)RX Mapping'!S24&lt;=960), (-1)*('(橫掃)RX Mapping'!S24-960)+120,9999))))))))</f>
        <v>238</v>
      </c>
      <c r="T24">
        <f>IF(AND('(橫掃)RX Mapping'!T24&gt;=1,'(橫掃)RX Mapping'!T24&lt;=120), ('(橫掃)RX Mapping'!T24-1),IF(AND('(橫掃)RX Mapping'!T24&gt;=121,'(橫掃)RX Mapping'!T24&lt;=240), (-1)*('(橫掃)RX Mapping'!T24-240),IF(AND('(橫掃)RX Mapping'!T24&gt;=241,'(橫掃)RX Mapping'!T24&lt;=360), ('(橫掃)RX Mapping'!T24-241),IF(AND('(橫掃)RX Mapping'!T24&gt;=361,'(橫掃)RX Mapping'!T24&lt;=480), (-1)*('(橫掃)RX Mapping'!T24-480),IF(AND('(橫掃)RX Mapping'!T24&gt;=481,'(橫掃)RX Mapping'!T24&lt;=600), ('(橫掃)RX Mapping'!T24-361),IF(AND('(橫掃)RX Mapping'!T24&gt;=601,'(橫掃)RX Mapping'!T24&lt;=720), (-1)*('(橫掃)RX Mapping'!T24-720)+120,IF(AND('(橫掃)RX Mapping'!T24&gt;=721,'(橫掃)RX Mapping'!T24&lt;=840), ('(橫掃)RX Mapping'!T24-601),IF(AND('(橫掃)RX Mapping'!T24&gt;=841,'(橫掃)RX Mapping'!T24&lt;=960), (-1)*('(橫掃)RX Mapping'!T24-960)+120,9999))))))))</f>
        <v>209</v>
      </c>
      <c r="U24">
        <f>IF(AND('(橫掃)RX Mapping'!U24&gt;=1,'(橫掃)RX Mapping'!U24&lt;=120), ('(橫掃)RX Mapping'!U24-1),IF(AND('(橫掃)RX Mapping'!U24&gt;=121,'(橫掃)RX Mapping'!U24&lt;=240), (-1)*('(橫掃)RX Mapping'!U24-240),IF(AND('(橫掃)RX Mapping'!U24&gt;=241,'(橫掃)RX Mapping'!U24&lt;=360), ('(橫掃)RX Mapping'!U24-241),IF(AND('(橫掃)RX Mapping'!U24&gt;=361,'(橫掃)RX Mapping'!U24&lt;=480), (-1)*('(橫掃)RX Mapping'!U24-480),IF(AND('(橫掃)RX Mapping'!U24&gt;=481,'(橫掃)RX Mapping'!U24&lt;=600), ('(橫掃)RX Mapping'!U24-361),IF(AND('(橫掃)RX Mapping'!U24&gt;=601,'(橫掃)RX Mapping'!U24&lt;=720), (-1)*('(橫掃)RX Mapping'!U24-720)+120,IF(AND('(橫掃)RX Mapping'!U24&gt;=721,'(橫掃)RX Mapping'!U24&lt;=840), ('(橫掃)RX Mapping'!U24-601),IF(AND('(橫掃)RX Mapping'!U24&gt;=841,'(橫掃)RX Mapping'!U24&lt;=960), (-1)*('(橫掃)RX Mapping'!U24-960)+120,9999))))))))</f>
        <v>177</v>
      </c>
      <c r="V24">
        <f>IF(AND('(橫掃)RX Mapping'!V24&gt;=1,'(橫掃)RX Mapping'!V24&lt;=120), ('(橫掃)RX Mapping'!V24-1),IF(AND('(橫掃)RX Mapping'!V24&gt;=121,'(橫掃)RX Mapping'!V24&lt;=240), (-1)*('(橫掃)RX Mapping'!V24-240),IF(AND('(橫掃)RX Mapping'!V24&gt;=241,'(橫掃)RX Mapping'!V24&lt;=360), ('(橫掃)RX Mapping'!V24-241),IF(AND('(橫掃)RX Mapping'!V24&gt;=361,'(橫掃)RX Mapping'!V24&lt;=480), (-1)*('(橫掃)RX Mapping'!V24-480),IF(AND('(橫掃)RX Mapping'!V24&gt;=481,'(橫掃)RX Mapping'!V24&lt;=600), ('(橫掃)RX Mapping'!V24-361),IF(AND('(橫掃)RX Mapping'!V24&gt;=601,'(橫掃)RX Mapping'!V24&lt;=720), (-1)*('(橫掃)RX Mapping'!V24-720)+120,IF(AND('(橫掃)RX Mapping'!V24&gt;=721,'(橫掃)RX Mapping'!V24&lt;=840), ('(橫掃)RX Mapping'!V24-601),IF(AND('(橫掃)RX Mapping'!V24&gt;=841,'(橫掃)RX Mapping'!V24&lt;=960), (-1)*('(橫掃)RX Mapping'!V24-960)+120,9999))))))))</f>
        <v>145</v>
      </c>
      <c r="W24">
        <f>IF(AND('(橫掃)RX Mapping'!W24&gt;=1,'(橫掃)RX Mapping'!W24&lt;=120), ('(橫掃)RX Mapping'!W24-1),IF(AND('(橫掃)RX Mapping'!W24&gt;=121,'(橫掃)RX Mapping'!W24&lt;=240), (-1)*('(橫掃)RX Mapping'!W24-240),IF(AND('(橫掃)RX Mapping'!W24&gt;=241,'(橫掃)RX Mapping'!W24&lt;=360), ('(橫掃)RX Mapping'!W24-241),IF(AND('(橫掃)RX Mapping'!W24&gt;=361,'(橫掃)RX Mapping'!W24&lt;=480), (-1)*('(橫掃)RX Mapping'!W24-480),IF(AND('(橫掃)RX Mapping'!W24&gt;=481,'(橫掃)RX Mapping'!W24&lt;=600), ('(橫掃)RX Mapping'!W24-361),IF(AND('(橫掃)RX Mapping'!W24&gt;=601,'(橫掃)RX Mapping'!W24&lt;=720), (-1)*('(橫掃)RX Mapping'!W24-720)+120,IF(AND('(橫掃)RX Mapping'!W24&gt;=721,'(橫掃)RX Mapping'!W24&lt;=840), ('(橫掃)RX Mapping'!W24-601),IF(AND('(橫掃)RX Mapping'!W24&gt;=841,'(橫掃)RX Mapping'!W24&lt;=960), (-1)*('(橫掃)RX Mapping'!W24-960)+120,9999))))))))</f>
        <v>142</v>
      </c>
      <c r="X24">
        <f>IF(AND('(橫掃)RX Mapping'!X24&gt;=1,'(橫掃)RX Mapping'!X24&lt;=120), ('(橫掃)RX Mapping'!X24-1),IF(AND('(橫掃)RX Mapping'!X24&gt;=121,'(橫掃)RX Mapping'!X24&lt;=240), (-1)*('(橫掃)RX Mapping'!X24-240),IF(AND('(橫掃)RX Mapping'!X24&gt;=241,'(橫掃)RX Mapping'!X24&lt;=360), ('(橫掃)RX Mapping'!X24-241),IF(AND('(橫掃)RX Mapping'!X24&gt;=361,'(橫掃)RX Mapping'!X24&lt;=480), (-1)*('(橫掃)RX Mapping'!X24-480),IF(AND('(橫掃)RX Mapping'!X24&gt;=481,'(橫掃)RX Mapping'!X24&lt;=600), ('(橫掃)RX Mapping'!X24-361),IF(AND('(橫掃)RX Mapping'!X24&gt;=601,'(橫掃)RX Mapping'!X24&lt;=720), (-1)*('(橫掃)RX Mapping'!X24-720)+120,IF(AND('(橫掃)RX Mapping'!X24&gt;=721,'(橫掃)RX Mapping'!X24&lt;=840), ('(橫掃)RX Mapping'!X24-601),IF(AND('(橫掃)RX Mapping'!X24&gt;=841,'(橫掃)RX Mapping'!X24&lt;=960), (-1)*('(橫掃)RX Mapping'!X24-960)+120,9999))))))))</f>
        <v>174</v>
      </c>
      <c r="Y24">
        <f>IF(AND('(橫掃)RX Mapping'!Y24&gt;=1,'(橫掃)RX Mapping'!Y24&lt;=120), ('(橫掃)RX Mapping'!Y24-1),IF(AND('(橫掃)RX Mapping'!Y24&gt;=121,'(橫掃)RX Mapping'!Y24&lt;=240), (-1)*('(橫掃)RX Mapping'!Y24-240),IF(AND('(橫掃)RX Mapping'!Y24&gt;=241,'(橫掃)RX Mapping'!Y24&lt;=360), ('(橫掃)RX Mapping'!Y24-241),IF(AND('(橫掃)RX Mapping'!Y24&gt;=361,'(橫掃)RX Mapping'!Y24&lt;=480), (-1)*('(橫掃)RX Mapping'!Y24-480),IF(AND('(橫掃)RX Mapping'!Y24&gt;=481,'(橫掃)RX Mapping'!Y24&lt;=600), ('(橫掃)RX Mapping'!Y24-361),IF(AND('(橫掃)RX Mapping'!Y24&gt;=601,'(橫掃)RX Mapping'!Y24&lt;=720), (-1)*('(橫掃)RX Mapping'!Y24-720)+120,IF(AND('(橫掃)RX Mapping'!Y24&gt;=721,'(橫掃)RX Mapping'!Y24&lt;=840), ('(橫掃)RX Mapping'!Y24-601),IF(AND('(橫掃)RX Mapping'!Y24&gt;=841,'(橫掃)RX Mapping'!Y24&lt;=960), (-1)*('(橫掃)RX Mapping'!Y24-960)+120,9999))))))))</f>
        <v>206</v>
      </c>
      <c r="Z24">
        <f>IF(AND('(橫掃)RX Mapping'!Z24&gt;=1,'(橫掃)RX Mapping'!Z24&lt;=120), ('(橫掃)RX Mapping'!Z24-1),IF(AND('(橫掃)RX Mapping'!Z24&gt;=121,'(橫掃)RX Mapping'!Z24&lt;=240), (-1)*('(橫掃)RX Mapping'!Z24-240),IF(AND('(橫掃)RX Mapping'!Z24&gt;=241,'(橫掃)RX Mapping'!Z24&lt;=360), ('(橫掃)RX Mapping'!Z24-241),IF(AND('(橫掃)RX Mapping'!Z24&gt;=361,'(橫掃)RX Mapping'!Z24&lt;=480), (-1)*('(橫掃)RX Mapping'!Z24-480),IF(AND('(橫掃)RX Mapping'!Z24&gt;=481,'(橫掃)RX Mapping'!Z24&lt;=600), ('(橫掃)RX Mapping'!Z24-361),IF(AND('(橫掃)RX Mapping'!Z24&gt;=601,'(橫掃)RX Mapping'!Z24&lt;=720), (-1)*('(橫掃)RX Mapping'!Z24-720)+120,IF(AND('(橫掃)RX Mapping'!Z24&gt;=721,'(橫掃)RX Mapping'!Z24&lt;=840), ('(橫掃)RX Mapping'!Z24-601),IF(AND('(橫掃)RX Mapping'!Z24&gt;=841,'(橫掃)RX Mapping'!Z24&lt;=960), (-1)*('(橫掃)RX Mapping'!Z24-960)+120,9999))))))))</f>
        <v>238</v>
      </c>
      <c r="AA24">
        <f>IF(AND('(橫掃)RX Mapping'!AA24&gt;=1,'(橫掃)RX Mapping'!AA24&lt;=120), ('(橫掃)RX Mapping'!AA24-1),IF(AND('(橫掃)RX Mapping'!AA24&gt;=121,'(橫掃)RX Mapping'!AA24&lt;=240), (-1)*('(橫掃)RX Mapping'!AA24-240),IF(AND('(橫掃)RX Mapping'!AA24&gt;=241,'(橫掃)RX Mapping'!AA24&lt;=360), ('(橫掃)RX Mapping'!AA24-241),IF(AND('(橫掃)RX Mapping'!AA24&gt;=361,'(橫掃)RX Mapping'!AA24&lt;=480), (-1)*('(橫掃)RX Mapping'!AA24-480),IF(AND('(橫掃)RX Mapping'!AA24&gt;=481,'(橫掃)RX Mapping'!AA24&lt;=600), ('(橫掃)RX Mapping'!AA24-361),IF(AND('(橫掃)RX Mapping'!AA24&gt;=601,'(橫掃)RX Mapping'!AA24&lt;=720), (-1)*('(橫掃)RX Mapping'!AA24-720)+120,IF(AND('(橫掃)RX Mapping'!AA24&gt;=721,'(橫掃)RX Mapping'!AA24&lt;=840), ('(橫掃)RX Mapping'!AA24-601),IF(AND('(橫掃)RX Mapping'!AA24&gt;=841,'(橫掃)RX Mapping'!AA24&lt;=960), (-1)*('(橫掃)RX Mapping'!AA24-960)+120,9999))))))))</f>
        <v>209</v>
      </c>
      <c r="AB24">
        <f>IF(AND('(橫掃)RX Mapping'!AB24&gt;=1,'(橫掃)RX Mapping'!AB24&lt;=120), ('(橫掃)RX Mapping'!AB24-1),IF(AND('(橫掃)RX Mapping'!AB24&gt;=121,'(橫掃)RX Mapping'!AB24&lt;=240), (-1)*('(橫掃)RX Mapping'!AB24-240),IF(AND('(橫掃)RX Mapping'!AB24&gt;=241,'(橫掃)RX Mapping'!AB24&lt;=360), ('(橫掃)RX Mapping'!AB24-241),IF(AND('(橫掃)RX Mapping'!AB24&gt;=361,'(橫掃)RX Mapping'!AB24&lt;=480), (-1)*('(橫掃)RX Mapping'!AB24-480),IF(AND('(橫掃)RX Mapping'!AB24&gt;=481,'(橫掃)RX Mapping'!AB24&lt;=600), ('(橫掃)RX Mapping'!AB24-361),IF(AND('(橫掃)RX Mapping'!AB24&gt;=601,'(橫掃)RX Mapping'!AB24&lt;=720), (-1)*('(橫掃)RX Mapping'!AB24-720)+120,IF(AND('(橫掃)RX Mapping'!AB24&gt;=721,'(橫掃)RX Mapping'!AB24&lt;=840), ('(橫掃)RX Mapping'!AB24-601),IF(AND('(橫掃)RX Mapping'!AB24&gt;=841,'(橫掃)RX Mapping'!AB24&lt;=960), (-1)*('(橫掃)RX Mapping'!AB24-960)+120,9999))))))))</f>
        <v>177</v>
      </c>
      <c r="AC24">
        <f>IF(AND('(橫掃)RX Mapping'!AC24&gt;=1,'(橫掃)RX Mapping'!AC24&lt;=120), ('(橫掃)RX Mapping'!AC24-1),IF(AND('(橫掃)RX Mapping'!AC24&gt;=121,'(橫掃)RX Mapping'!AC24&lt;=240), (-1)*('(橫掃)RX Mapping'!AC24-240),IF(AND('(橫掃)RX Mapping'!AC24&gt;=241,'(橫掃)RX Mapping'!AC24&lt;=360), ('(橫掃)RX Mapping'!AC24-241),IF(AND('(橫掃)RX Mapping'!AC24&gt;=361,'(橫掃)RX Mapping'!AC24&lt;=480), (-1)*('(橫掃)RX Mapping'!AC24-480),IF(AND('(橫掃)RX Mapping'!AC24&gt;=481,'(橫掃)RX Mapping'!AC24&lt;=600), ('(橫掃)RX Mapping'!AC24-361),IF(AND('(橫掃)RX Mapping'!AC24&gt;=601,'(橫掃)RX Mapping'!AC24&lt;=720), (-1)*('(橫掃)RX Mapping'!AC24-720)+120,IF(AND('(橫掃)RX Mapping'!AC24&gt;=721,'(橫掃)RX Mapping'!AC24&lt;=840), ('(橫掃)RX Mapping'!AC24-601),IF(AND('(橫掃)RX Mapping'!AC24&gt;=841,'(橫掃)RX Mapping'!AC24&lt;=960), (-1)*('(橫掃)RX Mapping'!AC24-960)+120,9999))))))))</f>
        <v>145</v>
      </c>
      <c r="AD24">
        <f>IF(AND('(橫掃)RX Mapping'!AD24&gt;=1,'(橫掃)RX Mapping'!AD24&lt;=120), ('(橫掃)RX Mapping'!AD24-1),IF(AND('(橫掃)RX Mapping'!AD24&gt;=121,'(橫掃)RX Mapping'!AD24&lt;=240), (-1)*('(橫掃)RX Mapping'!AD24-240),IF(AND('(橫掃)RX Mapping'!AD24&gt;=241,'(橫掃)RX Mapping'!AD24&lt;=360), ('(橫掃)RX Mapping'!AD24-241),IF(AND('(橫掃)RX Mapping'!AD24&gt;=361,'(橫掃)RX Mapping'!AD24&lt;=480), (-1)*('(橫掃)RX Mapping'!AD24-480),IF(AND('(橫掃)RX Mapping'!AD24&gt;=481,'(橫掃)RX Mapping'!AD24&lt;=600), ('(橫掃)RX Mapping'!AD24-361),IF(AND('(橫掃)RX Mapping'!AD24&gt;=601,'(橫掃)RX Mapping'!AD24&lt;=720), (-1)*('(橫掃)RX Mapping'!AD24-720)+120,IF(AND('(橫掃)RX Mapping'!AD24&gt;=721,'(橫掃)RX Mapping'!AD24&lt;=840), ('(橫掃)RX Mapping'!AD24-601),IF(AND('(橫掃)RX Mapping'!AD24&gt;=841,'(橫掃)RX Mapping'!AD24&lt;=960), (-1)*('(橫掃)RX Mapping'!AD24-960)+120,9999))))))))</f>
        <v>9999</v>
      </c>
      <c r="AE24">
        <f>IF(AND('(橫掃)RX Mapping'!AE24&gt;=1,'(橫掃)RX Mapping'!AE24&lt;=120), ('(橫掃)RX Mapping'!AE24-1),IF(AND('(橫掃)RX Mapping'!AE24&gt;=121,'(橫掃)RX Mapping'!AE24&lt;=240), (-1)*('(橫掃)RX Mapping'!AE24-240),IF(AND('(橫掃)RX Mapping'!AE24&gt;=241,'(橫掃)RX Mapping'!AE24&lt;=360), ('(橫掃)RX Mapping'!AE24-241),IF(AND('(橫掃)RX Mapping'!AE24&gt;=361,'(橫掃)RX Mapping'!AE24&lt;=480), (-1)*('(橫掃)RX Mapping'!AE24-480),IF(AND('(橫掃)RX Mapping'!AE24&gt;=481,'(橫掃)RX Mapping'!AE24&lt;=600), ('(橫掃)RX Mapping'!AE24-361),IF(AND('(橫掃)RX Mapping'!AE24&gt;=601,'(橫掃)RX Mapping'!AE24&lt;=720), (-1)*('(橫掃)RX Mapping'!AE24-720)+120,IF(AND('(橫掃)RX Mapping'!AE24&gt;=721,'(橫掃)RX Mapping'!AE24&lt;=840), ('(橫掃)RX Mapping'!AE24-601),IF(AND('(橫掃)RX Mapping'!AE24&gt;=841,'(橫掃)RX Mapping'!AE24&lt;=960), (-1)*('(橫掃)RX Mapping'!AE24-960)+120,9999))))))))</f>
        <v>9999</v>
      </c>
      <c r="AF24">
        <f>IF(AND('(橫掃)RX Mapping'!AF24&gt;=1,'(橫掃)RX Mapping'!AF24&lt;=120), ('(橫掃)RX Mapping'!AF24-1),IF(AND('(橫掃)RX Mapping'!AF24&gt;=121,'(橫掃)RX Mapping'!AF24&lt;=240), (-1)*('(橫掃)RX Mapping'!AF24-240),IF(AND('(橫掃)RX Mapping'!AF24&gt;=241,'(橫掃)RX Mapping'!AF24&lt;=360), ('(橫掃)RX Mapping'!AF24-241),IF(AND('(橫掃)RX Mapping'!AF24&gt;=361,'(橫掃)RX Mapping'!AF24&lt;=480), (-1)*('(橫掃)RX Mapping'!AF24-480),IF(AND('(橫掃)RX Mapping'!AF24&gt;=481,'(橫掃)RX Mapping'!AF24&lt;=600), ('(橫掃)RX Mapping'!AF24-361),IF(AND('(橫掃)RX Mapping'!AF24&gt;=601,'(橫掃)RX Mapping'!AF24&lt;=720), (-1)*('(橫掃)RX Mapping'!AF24-720)+120,IF(AND('(橫掃)RX Mapping'!AF24&gt;=721,'(橫掃)RX Mapping'!AF24&lt;=840), ('(橫掃)RX Mapping'!AF24-601),IF(AND('(橫掃)RX Mapping'!AF24&gt;=841,'(橫掃)RX Mapping'!AF24&lt;=960), (-1)*('(橫掃)RX Mapping'!AF24-960)+120,9999))))))))</f>
        <v>9999</v>
      </c>
      <c r="AG24">
        <f>IF(AND('(橫掃)RX Mapping'!AG24&gt;=1,'(橫掃)RX Mapping'!AG24&lt;=120), ('(橫掃)RX Mapping'!AG24-1),IF(AND('(橫掃)RX Mapping'!AG24&gt;=121,'(橫掃)RX Mapping'!AG24&lt;=240), (-1)*('(橫掃)RX Mapping'!AG24-240),IF(AND('(橫掃)RX Mapping'!AG24&gt;=241,'(橫掃)RX Mapping'!AG24&lt;=360), ('(橫掃)RX Mapping'!AG24-241),IF(AND('(橫掃)RX Mapping'!AG24&gt;=361,'(橫掃)RX Mapping'!AG24&lt;=480), (-1)*('(橫掃)RX Mapping'!AG24-480),IF(AND('(橫掃)RX Mapping'!AG24&gt;=481,'(橫掃)RX Mapping'!AG24&lt;=600), ('(橫掃)RX Mapping'!AG24-361),IF(AND('(橫掃)RX Mapping'!AG24&gt;=601,'(橫掃)RX Mapping'!AG24&lt;=720), (-1)*('(橫掃)RX Mapping'!AG24-720)+120,IF(AND('(橫掃)RX Mapping'!AG24&gt;=721,'(橫掃)RX Mapping'!AG24&lt;=840), ('(橫掃)RX Mapping'!AG24-601),IF(AND('(橫掃)RX Mapping'!AG24&gt;=841,'(橫掃)RX Mapping'!AG24&lt;=960), (-1)*('(橫掃)RX Mapping'!AG24-960)+120,9999))))))))</f>
        <v>9999</v>
      </c>
      <c r="AH24">
        <f>IF(AND('(橫掃)RX Mapping'!AH24&gt;=1,'(橫掃)RX Mapping'!AH24&lt;=120), ('(橫掃)RX Mapping'!AH24-1),IF(AND('(橫掃)RX Mapping'!AH24&gt;=121,'(橫掃)RX Mapping'!AH24&lt;=240), (-1)*('(橫掃)RX Mapping'!AH24-240),IF(AND('(橫掃)RX Mapping'!AH24&gt;=241,'(橫掃)RX Mapping'!AH24&lt;=360), ('(橫掃)RX Mapping'!AH24-241),IF(AND('(橫掃)RX Mapping'!AH24&gt;=361,'(橫掃)RX Mapping'!AH24&lt;=480), (-1)*('(橫掃)RX Mapping'!AH24-480),IF(AND('(橫掃)RX Mapping'!AH24&gt;=481,'(橫掃)RX Mapping'!AH24&lt;=600), ('(橫掃)RX Mapping'!AH24-361),IF(AND('(橫掃)RX Mapping'!AH24&gt;=601,'(橫掃)RX Mapping'!AH24&lt;=720), (-1)*('(橫掃)RX Mapping'!AH24-720)+120,IF(AND('(橫掃)RX Mapping'!AH24&gt;=721,'(橫掃)RX Mapping'!AH24&lt;=840), ('(橫掃)RX Mapping'!AH24-601),IF(AND('(橫掃)RX Mapping'!AH24&gt;=841,'(橫掃)RX Mapping'!AH24&lt;=960), (-1)*('(橫掃)RX Mapping'!AH24-960)+120,9999))))))))</f>
        <v>9999</v>
      </c>
      <c r="AI24">
        <f>IF(AND('(橫掃)RX Mapping'!AI24&gt;=1,'(橫掃)RX Mapping'!AI24&lt;=120), ('(橫掃)RX Mapping'!AI24-1),IF(AND('(橫掃)RX Mapping'!AI24&gt;=121,'(橫掃)RX Mapping'!AI24&lt;=240), (-1)*('(橫掃)RX Mapping'!AI24-240),IF(AND('(橫掃)RX Mapping'!AI24&gt;=241,'(橫掃)RX Mapping'!AI24&lt;=360), ('(橫掃)RX Mapping'!AI24-241),IF(AND('(橫掃)RX Mapping'!AI24&gt;=361,'(橫掃)RX Mapping'!AI24&lt;=480), (-1)*('(橫掃)RX Mapping'!AI24-480),IF(AND('(橫掃)RX Mapping'!AI24&gt;=481,'(橫掃)RX Mapping'!AI24&lt;=600), ('(橫掃)RX Mapping'!AI24-361),IF(AND('(橫掃)RX Mapping'!AI24&gt;=601,'(橫掃)RX Mapping'!AI24&lt;=720), (-1)*('(橫掃)RX Mapping'!AI24-720)+120,IF(AND('(橫掃)RX Mapping'!AI24&gt;=721,'(橫掃)RX Mapping'!AI24&lt;=840), ('(橫掃)RX Mapping'!AI24-601),IF(AND('(橫掃)RX Mapping'!AI24&gt;=841,'(橫掃)RX Mapping'!AI24&lt;=960), (-1)*('(橫掃)RX Mapping'!AI24-960)+120,9999))))))))</f>
        <v>9999</v>
      </c>
      <c r="AJ24">
        <f>IF(AND('(橫掃)RX Mapping'!AJ24&gt;=1,'(橫掃)RX Mapping'!AJ24&lt;=120), ('(橫掃)RX Mapping'!AJ24-1),IF(AND('(橫掃)RX Mapping'!AJ24&gt;=121,'(橫掃)RX Mapping'!AJ24&lt;=240), (-1)*('(橫掃)RX Mapping'!AJ24-240),IF(AND('(橫掃)RX Mapping'!AJ24&gt;=241,'(橫掃)RX Mapping'!AJ24&lt;=360), ('(橫掃)RX Mapping'!AJ24-241),IF(AND('(橫掃)RX Mapping'!AJ24&gt;=361,'(橫掃)RX Mapping'!AJ24&lt;=480), (-1)*('(橫掃)RX Mapping'!AJ24-480),IF(AND('(橫掃)RX Mapping'!AJ24&gt;=481,'(橫掃)RX Mapping'!AJ24&lt;=600), ('(橫掃)RX Mapping'!AJ24-361),IF(AND('(橫掃)RX Mapping'!AJ24&gt;=601,'(橫掃)RX Mapping'!AJ24&lt;=720), (-1)*('(橫掃)RX Mapping'!AJ24-720)+120,IF(AND('(橫掃)RX Mapping'!AJ24&gt;=721,'(橫掃)RX Mapping'!AJ24&lt;=840), ('(橫掃)RX Mapping'!AJ24-601),IF(AND('(橫掃)RX Mapping'!AJ24&gt;=841,'(橫掃)RX Mapping'!AJ24&lt;=960), (-1)*('(橫掃)RX Mapping'!AJ24-960)+120,9999))))))))</f>
        <v>9999</v>
      </c>
      <c r="AK24">
        <f>IF(AND('(橫掃)RX Mapping'!AK24&gt;=1,'(橫掃)RX Mapping'!AK24&lt;=120), ('(橫掃)RX Mapping'!AK24-1),IF(AND('(橫掃)RX Mapping'!AK24&gt;=121,'(橫掃)RX Mapping'!AK24&lt;=240), (-1)*('(橫掃)RX Mapping'!AK24-240),IF(AND('(橫掃)RX Mapping'!AK24&gt;=241,'(橫掃)RX Mapping'!AK24&lt;=360), ('(橫掃)RX Mapping'!AK24-241),IF(AND('(橫掃)RX Mapping'!AK24&gt;=361,'(橫掃)RX Mapping'!AK24&lt;=480), (-1)*('(橫掃)RX Mapping'!AK24-480),IF(AND('(橫掃)RX Mapping'!AK24&gt;=481,'(橫掃)RX Mapping'!AK24&lt;=600), ('(橫掃)RX Mapping'!AK24-361),IF(AND('(橫掃)RX Mapping'!AK24&gt;=601,'(橫掃)RX Mapping'!AK24&lt;=720), (-1)*('(橫掃)RX Mapping'!AK24-720)+120,IF(AND('(橫掃)RX Mapping'!AK24&gt;=721,'(橫掃)RX Mapping'!AK24&lt;=840), ('(橫掃)RX Mapping'!AK24-601),IF(AND('(橫掃)RX Mapping'!AK24&gt;=841,'(橫掃)RX Mapping'!AK24&lt;=960), (-1)*('(橫掃)RX Mapping'!AK24-960)+120,9999))))))))</f>
        <v>9999</v>
      </c>
      <c r="AL24">
        <f>IF(AND('(橫掃)RX Mapping'!AL24&gt;=1,'(橫掃)RX Mapping'!AL24&lt;=120), ('(橫掃)RX Mapping'!AL24-1),IF(AND('(橫掃)RX Mapping'!AL24&gt;=121,'(橫掃)RX Mapping'!AL24&lt;=240), (-1)*('(橫掃)RX Mapping'!AL24-240),IF(AND('(橫掃)RX Mapping'!AL24&gt;=241,'(橫掃)RX Mapping'!AL24&lt;=360), ('(橫掃)RX Mapping'!AL24-241),IF(AND('(橫掃)RX Mapping'!AL24&gt;=361,'(橫掃)RX Mapping'!AL24&lt;=480), (-1)*('(橫掃)RX Mapping'!AL24-480),IF(AND('(橫掃)RX Mapping'!AL24&gt;=481,'(橫掃)RX Mapping'!AL24&lt;=600), ('(橫掃)RX Mapping'!AL24-361),IF(AND('(橫掃)RX Mapping'!AL24&gt;=601,'(橫掃)RX Mapping'!AL24&lt;=720), (-1)*('(橫掃)RX Mapping'!AL24-720)+120,IF(AND('(橫掃)RX Mapping'!AL24&gt;=721,'(橫掃)RX Mapping'!AL24&lt;=840), ('(橫掃)RX Mapping'!AL24-601),IF(AND('(橫掃)RX Mapping'!AL24&gt;=841,'(橫掃)RX Mapping'!AL24&lt;=960), (-1)*('(橫掃)RX Mapping'!AL24-960)+120,9999))))))))</f>
        <v>9999</v>
      </c>
      <c r="AM24">
        <f>IF(AND('(橫掃)RX Mapping'!AM24&gt;=1,'(橫掃)RX Mapping'!AM24&lt;=120), ('(橫掃)RX Mapping'!AM24-1),IF(AND('(橫掃)RX Mapping'!AM24&gt;=121,'(橫掃)RX Mapping'!AM24&lt;=240), (-1)*('(橫掃)RX Mapping'!AM24-240),IF(AND('(橫掃)RX Mapping'!AM24&gt;=241,'(橫掃)RX Mapping'!AM24&lt;=360), ('(橫掃)RX Mapping'!AM24-241),IF(AND('(橫掃)RX Mapping'!AM24&gt;=361,'(橫掃)RX Mapping'!AM24&lt;=480), (-1)*('(橫掃)RX Mapping'!AM24-480),IF(AND('(橫掃)RX Mapping'!AM24&gt;=481,'(橫掃)RX Mapping'!AM24&lt;=600), ('(橫掃)RX Mapping'!AM24-361),IF(AND('(橫掃)RX Mapping'!AM24&gt;=601,'(橫掃)RX Mapping'!AM24&lt;=720), (-1)*('(橫掃)RX Mapping'!AM24-720)+120,IF(AND('(橫掃)RX Mapping'!AM24&gt;=721,'(橫掃)RX Mapping'!AM24&lt;=840), ('(橫掃)RX Mapping'!AM24-601),IF(AND('(橫掃)RX Mapping'!AM24&gt;=841,'(橫掃)RX Mapping'!AM24&lt;=960), (-1)*('(橫掃)RX Mapping'!AM24-960)+120,9999))))))))</f>
        <v>9999</v>
      </c>
      <c r="AN24">
        <f>IF(AND('(橫掃)RX Mapping'!AN24&gt;=1,'(橫掃)RX Mapping'!AN24&lt;=120), ('(橫掃)RX Mapping'!AN24-1),IF(AND('(橫掃)RX Mapping'!AN24&gt;=121,'(橫掃)RX Mapping'!AN24&lt;=240), (-1)*('(橫掃)RX Mapping'!AN24-240),IF(AND('(橫掃)RX Mapping'!AN24&gt;=241,'(橫掃)RX Mapping'!AN24&lt;=360), ('(橫掃)RX Mapping'!AN24-241),IF(AND('(橫掃)RX Mapping'!AN24&gt;=361,'(橫掃)RX Mapping'!AN24&lt;=480), (-1)*('(橫掃)RX Mapping'!AN24-480),IF(AND('(橫掃)RX Mapping'!AN24&gt;=481,'(橫掃)RX Mapping'!AN24&lt;=600), ('(橫掃)RX Mapping'!AN24-361),IF(AND('(橫掃)RX Mapping'!AN24&gt;=601,'(橫掃)RX Mapping'!AN24&lt;=720), (-1)*('(橫掃)RX Mapping'!AN24-720)+120,IF(AND('(橫掃)RX Mapping'!AN24&gt;=721,'(橫掃)RX Mapping'!AN24&lt;=840), ('(橫掃)RX Mapping'!AN24-601),IF(AND('(橫掃)RX Mapping'!AN24&gt;=841,'(橫掃)RX Mapping'!AN24&lt;=960), (-1)*('(橫掃)RX Mapping'!AN24-960)+120,9999))))))))</f>
        <v>9999</v>
      </c>
      <c r="AO24">
        <f>IF(AND('(橫掃)RX Mapping'!AO24&gt;=1,'(橫掃)RX Mapping'!AO24&lt;=120), ('(橫掃)RX Mapping'!AO24-1),IF(AND('(橫掃)RX Mapping'!AO24&gt;=121,'(橫掃)RX Mapping'!AO24&lt;=240), (-1)*('(橫掃)RX Mapping'!AO24-240),IF(AND('(橫掃)RX Mapping'!AO24&gt;=241,'(橫掃)RX Mapping'!AO24&lt;=360), ('(橫掃)RX Mapping'!AO24-241),IF(AND('(橫掃)RX Mapping'!AO24&gt;=361,'(橫掃)RX Mapping'!AO24&lt;=480), (-1)*('(橫掃)RX Mapping'!AO24-480),IF(AND('(橫掃)RX Mapping'!AO24&gt;=481,'(橫掃)RX Mapping'!AO24&lt;=600), ('(橫掃)RX Mapping'!AO24-361),IF(AND('(橫掃)RX Mapping'!AO24&gt;=601,'(橫掃)RX Mapping'!AO24&lt;=720), (-1)*('(橫掃)RX Mapping'!AO24-720)+120,IF(AND('(橫掃)RX Mapping'!AO24&gt;=721,'(橫掃)RX Mapping'!AO24&lt;=840), ('(橫掃)RX Mapping'!AO24-601),IF(AND('(橫掃)RX Mapping'!AO24&gt;=841,'(橫掃)RX Mapping'!AO24&lt;=960), (-1)*('(橫掃)RX Mapping'!AO24-960)+120,9999))))))))</f>
        <v>9999</v>
      </c>
      <c r="AP24">
        <f>IF(AND('(橫掃)RX Mapping'!AP24&gt;=1,'(橫掃)RX Mapping'!AP24&lt;=120), ('(橫掃)RX Mapping'!AP24-1),IF(AND('(橫掃)RX Mapping'!AP24&gt;=121,'(橫掃)RX Mapping'!AP24&lt;=240), (-1)*('(橫掃)RX Mapping'!AP24-240),IF(AND('(橫掃)RX Mapping'!AP24&gt;=241,'(橫掃)RX Mapping'!AP24&lt;=360), ('(橫掃)RX Mapping'!AP24-241),IF(AND('(橫掃)RX Mapping'!AP24&gt;=361,'(橫掃)RX Mapping'!AP24&lt;=480), (-1)*('(橫掃)RX Mapping'!AP24-480),IF(AND('(橫掃)RX Mapping'!AP24&gt;=481,'(橫掃)RX Mapping'!AP24&lt;=600), ('(橫掃)RX Mapping'!AP24-361),IF(AND('(橫掃)RX Mapping'!AP24&gt;=601,'(橫掃)RX Mapping'!AP24&lt;=720), (-1)*('(橫掃)RX Mapping'!AP24-720)+120,IF(AND('(橫掃)RX Mapping'!AP24&gt;=721,'(橫掃)RX Mapping'!AP24&lt;=840), ('(橫掃)RX Mapping'!AP24-601),IF(AND('(橫掃)RX Mapping'!AP24&gt;=841,'(橫掃)RX Mapping'!AP24&lt;=960), (-1)*('(橫掃)RX Mapping'!AP24-960)+120,9999))))))))</f>
        <v>9999</v>
      </c>
      <c r="AQ24">
        <f>IF(AND('(橫掃)RX Mapping'!AQ24&gt;=1,'(橫掃)RX Mapping'!AQ24&lt;=120), ('(橫掃)RX Mapping'!AQ24-1),IF(AND('(橫掃)RX Mapping'!AQ24&gt;=121,'(橫掃)RX Mapping'!AQ24&lt;=240), (-1)*('(橫掃)RX Mapping'!AQ24-240),IF(AND('(橫掃)RX Mapping'!AQ24&gt;=241,'(橫掃)RX Mapping'!AQ24&lt;=360), ('(橫掃)RX Mapping'!AQ24-241),IF(AND('(橫掃)RX Mapping'!AQ24&gt;=361,'(橫掃)RX Mapping'!AQ24&lt;=480), (-1)*('(橫掃)RX Mapping'!AQ24-480),IF(AND('(橫掃)RX Mapping'!AQ24&gt;=481,'(橫掃)RX Mapping'!AQ24&lt;=600), ('(橫掃)RX Mapping'!AQ24-361),IF(AND('(橫掃)RX Mapping'!AQ24&gt;=601,'(橫掃)RX Mapping'!AQ24&lt;=720), (-1)*('(橫掃)RX Mapping'!AQ24-720)+120,IF(AND('(橫掃)RX Mapping'!AQ24&gt;=721,'(橫掃)RX Mapping'!AQ24&lt;=840), ('(橫掃)RX Mapping'!AQ24-601),IF(AND('(橫掃)RX Mapping'!AQ24&gt;=841,'(橫掃)RX Mapping'!AQ24&lt;=960), (-1)*('(橫掃)RX Mapping'!AQ24-960)+120,9999))))))))</f>
        <v>9999</v>
      </c>
      <c r="AR24">
        <f>IF(AND('(橫掃)RX Mapping'!AR24&gt;=1,'(橫掃)RX Mapping'!AR24&lt;=120), ('(橫掃)RX Mapping'!AR24-1),IF(AND('(橫掃)RX Mapping'!AR24&gt;=121,'(橫掃)RX Mapping'!AR24&lt;=240), (-1)*('(橫掃)RX Mapping'!AR24-240),IF(AND('(橫掃)RX Mapping'!AR24&gt;=241,'(橫掃)RX Mapping'!AR24&lt;=360), ('(橫掃)RX Mapping'!AR24-241),IF(AND('(橫掃)RX Mapping'!AR24&gt;=361,'(橫掃)RX Mapping'!AR24&lt;=480), (-1)*('(橫掃)RX Mapping'!AR24-480),IF(AND('(橫掃)RX Mapping'!AR24&gt;=481,'(橫掃)RX Mapping'!AR24&lt;=600), ('(橫掃)RX Mapping'!AR24-361),IF(AND('(橫掃)RX Mapping'!AR24&gt;=601,'(橫掃)RX Mapping'!AR24&lt;=720), (-1)*('(橫掃)RX Mapping'!AR24-720)+120,IF(AND('(橫掃)RX Mapping'!AR24&gt;=721,'(橫掃)RX Mapping'!AR24&lt;=840), ('(橫掃)RX Mapping'!AR24-601),IF(AND('(橫掃)RX Mapping'!AR24&gt;=841,'(橫掃)RX Mapping'!AR24&lt;=960), (-1)*('(橫掃)RX Mapping'!AR24-960)+120,9999))))))))</f>
        <v>9999</v>
      </c>
      <c r="AS24">
        <f>IF(AND('(橫掃)RX Mapping'!AS24&gt;=1,'(橫掃)RX Mapping'!AS24&lt;=120), ('(橫掃)RX Mapping'!AS24-1),IF(AND('(橫掃)RX Mapping'!AS24&gt;=121,'(橫掃)RX Mapping'!AS24&lt;=240), (-1)*('(橫掃)RX Mapping'!AS24-240),IF(AND('(橫掃)RX Mapping'!AS24&gt;=241,'(橫掃)RX Mapping'!AS24&lt;=360), ('(橫掃)RX Mapping'!AS24-241),IF(AND('(橫掃)RX Mapping'!AS24&gt;=361,'(橫掃)RX Mapping'!AS24&lt;=480), (-1)*('(橫掃)RX Mapping'!AS24-480),IF(AND('(橫掃)RX Mapping'!AS24&gt;=481,'(橫掃)RX Mapping'!AS24&lt;=600), ('(橫掃)RX Mapping'!AS24-361),IF(AND('(橫掃)RX Mapping'!AS24&gt;=601,'(橫掃)RX Mapping'!AS24&lt;=720), (-1)*('(橫掃)RX Mapping'!AS24-720)+120,IF(AND('(橫掃)RX Mapping'!AS24&gt;=721,'(橫掃)RX Mapping'!AS24&lt;=840), ('(橫掃)RX Mapping'!AS24-601),IF(AND('(橫掃)RX Mapping'!AS24&gt;=841,'(橫掃)RX Mapping'!AS24&lt;=960), (-1)*('(橫掃)RX Mapping'!AS24-960)+120,9999))))))))</f>
        <v>9999</v>
      </c>
      <c r="AT24">
        <f>IF(AND('(橫掃)RX Mapping'!AT24&gt;=1,'(橫掃)RX Mapping'!AT24&lt;=120), ('(橫掃)RX Mapping'!AT24-1),IF(AND('(橫掃)RX Mapping'!AT24&gt;=121,'(橫掃)RX Mapping'!AT24&lt;=240), (-1)*('(橫掃)RX Mapping'!AT24-240),IF(AND('(橫掃)RX Mapping'!AT24&gt;=241,'(橫掃)RX Mapping'!AT24&lt;=360), ('(橫掃)RX Mapping'!AT24-241),IF(AND('(橫掃)RX Mapping'!AT24&gt;=361,'(橫掃)RX Mapping'!AT24&lt;=480), (-1)*('(橫掃)RX Mapping'!AT24-480),IF(AND('(橫掃)RX Mapping'!AT24&gt;=481,'(橫掃)RX Mapping'!AT24&lt;=600), ('(橫掃)RX Mapping'!AT24-361),IF(AND('(橫掃)RX Mapping'!AT24&gt;=601,'(橫掃)RX Mapping'!AT24&lt;=720), (-1)*('(橫掃)RX Mapping'!AT24-720)+120,IF(AND('(橫掃)RX Mapping'!AT24&gt;=721,'(橫掃)RX Mapping'!AT24&lt;=840), ('(橫掃)RX Mapping'!AT24-601),IF(AND('(橫掃)RX Mapping'!AT24&gt;=841,'(橫掃)RX Mapping'!AT24&lt;=960), (-1)*('(橫掃)RX Mapping'!AT24-960)+120,9999))))))))</f>
        <v>9999</v>
      </c>
      <c r="AU24">
        <f>IF(AND('(橫掃)RX Mapping'!AU24&gt;=1,'(橫掃)RX Mapping'!AU24&lt;=120), ('(橫掃)RX Mapping'!AU24-1),IF(AND('(橫掃)RX Mapping'!AU24&gt;=121,'(橫掃)RX Mapping'!AU24&lt;=240), (-1)*('(橫掃)RX Mapping'!AU24-240),IF(AND('(橫掃)RX Mapping'!AU24&gt;=241,'(橫掃)RX Mapping'!AU24&lt;=360), ('(橫掃)RX Mapping'!AU24-241),IF(AND('(橫掃)RX Mapping'!AU24&gt;=361,'(橫掃)RX Mapping'!AU24&lt;=480), (-1)*('(橫掃)RX Mapping'!AU24-480),IF(AND('(橫掃)RX Mapping'!AU24&gt;=481,'(橫掃)RX Mapping'!AU24&lt;=600), ('(橫掃)RX Mapping'!AU24-361),IF(AND('(橫掃)RX Mapping'!AU24&gt;=601,'(橫掃)RX Mapping'!AU24&lt;=720), (-1)*('(橫掃)RX Mapping'!AU24-720)+120,IF(AND('(橫掃)RX Mapping'!AU24&gt;=721,'(橫掃)RX Mapping'!AU24&lt;=840), ('(橫掃)RX Mapping'!AU24-601),IF(AND('(橫掃)RX Mapping'!AU24&gt;=841,'(橫掃)RX Mapping'!AU24&lt;=960), (-1)*('(橫掃)RX Mapping'!AU24-960)+120,9999))))))))</f>
        <v>9999</v>
      </c>
      <c r="AV24">
        <f>IF(AND('(橫掃)RX Mapping'!AV24&gt;=1,'(橫掃)RX Mapping'!AV24&lt;=120), ('(橫掃)RX Mapping'!AV24-1),IF(AND('(橫掃)RX Mapping'!AV24&gt;=121,'(橫掃)RX Mapping'!AV24&lt;=240), (-1)*('(橫掃)RX Mapping'!AV24-240),IF(AND('(橫掃)RX Mapping'!AV24&gt;=241,'(橫掃)RX Mapping'!AV24&lt;=360), ('(橫掃)RX Mapping'!AV24-241),IF(AND('(橫掃)RX Mapping'!AV24&gt;=361,'(橫掃)RX Mapping'!AV24&lt;=480), (-1)*('(橫掃)RX Mapping'!AV24-480),IF(AND('(橫掃)RX Mapping'!AV24&gt;=481,'(橫掃)RX Mapping'!AV24&lt;=600), ('(橫掃)RX Mapping'!AV24-361),IF(AND('(橫掃)RX Mapping'!AV24&gt;=601,'(橫掃)RX Mapping'!AV24&lt;=720), (-1)*('(橫掃)RX Mapping'!AV24-720)+120,IF(AND('(橫掃)RX Mapping'!AV24&gt;=721,'(橫掃)RX Mapping'!AV24&lt;=840), ('(橫掃)RX Mapping'!AV24-601),IF(AND('(橫掃)RX Mapping'!AV24&gt;=841,'(橫掃)RX Mapping'!AV24&lt;=960), (-1)*('(橫掃)RX Mapping'!AV24-960)+120,9999))))))))</f>
        <v>9999</v>
      </c>
      <c r="AW24">
        <f>IF(AND('(橫掃)RX Mapping'!AW24&gt;=1,'(橫掃)RX Mapping'!AW24&lt;=120), ('(橫掃)RX Mapping'!AW24-1),IF(AND('(橫掃)RX Mapping'!AW24&gt;=121,'(橫掃)RX Mapping'!AW24&lt;=240), (-1)*('(橫掃)RX Mapping'!AW24-240),IF(AND('(橫掃)RX Mapping'!AW24&gt;=241,'(橫掃)RX Mapping'!AW24&lt;=360), ('(橫掃)RX Mapping'!AW24-241),IF(AND('(橫掃)RX Mapping'!AW24&gt;=361,'(橫掃)RX Mapping'!AW24&lt;=480), (-1)*('(橫掃)RX Mapping'!AW24-480),IF(AND('(橫掃)RX Mapping'!AW24&gt;=481,'(橫掃)RX Mapping'!AW24&lt;=600), ('(橫掃)RX Mapping'!AW24-361),IF(AND('(橫掃)RX Mapping'!AW24&gt;=601,'(橫掃)RX Mapping'!AW24&lt;=720), (-1)*('(橫掃)RX Mapping'!AW24-720)+120,IF(AND('(橫掃)RX Mapping'!AW24&gt;=721,'(橫掃)RX Mapping'!AW24&lt;=840), ('(橫掃)RX Mapping'!AW24-601),IF(AND('(橫掃)RX Mapping'!AW24&gt;=841,'(橫掃)RX Mapping'!AW24&lt;=960), (-1)*('(橫掃)RX Mapping'!AW24-960)+120,9999))))))))</f>
        <v>9999</v>
      </c>
      <c r="AX24">
        <f>IF(AND('(橫掃)RX Mapping'!AX24&gt;=1,'(橫掃)RX Mapping'!AX24&lt;=120), ('(橫掃)RX Mapping'!AX24-1),IF(AND('(橫掃)RX Mapping'!AX24&gt;=121,'(橫掃)RX Mapping'!AX24&lt;=240), (-1)*('(橫掃)RX Mapping'!AX24-240),IF(AND('(橫掃)RX Mapping'!AX24&gt;=241,'(橫掃)RX Mapping'!AX24&lt;=360), ('(橫掃)RX Mapping'!AX24-241),IF(AND('(橫掃)RX Mapping'!AX24&gt;=361,'(橫掃)RX Mapping'!AX24&lt;=480), (-1)*('(橫掃)RX Mapping'!AX24-480),IF(AND('(橫掃)RX Mapping'!AX24&gt;=481,'(橫掃)RX Mapping'!AX24&lt;=600), ('(橫掃)RX Mapping'!AX24-361),IF(AND('(橫掃)RX Mapping'!AX24&gt;=601,'(橫掃)RX Mapping'!AX24&lt;=720), (-1)*('(橫掃)RX Mapping'!AX24-720)+120,IF(AND('(橫掃)RX Mapping'!AX24&gt;=721,'(橫掃)RX Mapping'!AX24&lt;=840), ('(橫掃)RX Mapping'!AX24-601),IF(AND('(橫掃)RX Mapping'!AX24&gt;=841,'(橫掃)RX Mapping'!AX24&lt;=960), (-1)*('(橫掃)RX Mapping'!AX24-960)+120,9999))))))))</f>
        <v>9999</v>
      </c>
      <c r="AY24">
        <f>IF(AND('(橫掃)RX Mapping'!AY24&gt;=1,'(橫掃)RX Mapping'!AY24&lt;=120), ('(橫掃)RX Mapping'!AY24-1),IF(AND('(橫掃)RX Mapping'!AY24&gt;=121,'(橫掃)RX Mapping'!AY24&lt;=240), (-1)*('(橫掃)RX Mapping'!AY24-240),IF(AND('(橫掃)RX Mapping'!AY24&gt;=241,'(橫掃)RX Mapping'!AY24&lt;=360), ('(橫掃)RX Mapping'!AY24-241),IF(AND('(橫掃)RX Mapping'!AY24&gt;=361,'(橫掃)RX Mapping'!AY24&lt;=480), (-1)*('(橫掃)RX Mapping'!AY24-480),IF(AND('(橫掃)RX Mapping'!AY24&gt;=481,'(橫掃)RX Mapping'!AY24&lt;=600), ('(橫掃)RX Mapping'!AY24-361),IF(AND('(橫掃)RX Mapping'!AY24&gt;=601,'(橫掃)RX Mapping'!AY24&lt;=720), (-1)*('(橫掃)RX Mapping'!AY24-720)+120,IF(AND('(橫掃)RX Mapping'!AY24&gt;=721,'(橫掃)RX Mapping'!AY24&lt;=840), ('(橫掃)RX Mapping'!AY24-601),IF(AND('(橫掃)RX Mapping'!AY24&gt;=841,'(橫掃)RX Mapping'!AY24&lt;=960), (-1)*('(橫掃)RX Mapping'!AY24-960)+120,9999))))))))</f>
        <v>9999</v>
      </c>
      <c r="AZ24">
        <f>IF(AND('(橫掃)RX Mapping'!AZ24&gt;=1,'(橫掃)RX Mapping'!AZ24&lt;=120), ('(橫掃)RX Mapping'!AZ24-1),IF(AND('(橫掃)RX Mapping'!AZ24&gt;=121,'(橫掃)RX Mapping'!AZ24&lt;=240), (-1)*('(橫掃)RX Mapping'!AZ24-240),IF(AND('(橫掃)RX Mapping'!AZ24&gt;=241,'(橫掃)RX Mapping'!AZ24&lt;=360), ('(橫掃)RX Mapping'!AZ24-241),IF(AND('(橫掃)RX Mapping'!AZ24&gt;=361,'(橫掃)RX Mapping'!AZ24&lt;=480), (-1)*('(橫掃)RX Mapping'!AZ24-480),IF(AND('(橫掃)RX Mapping'!AZ24&gt;=481,'(橫掃)RX Mapping'!AZ24&lt;=600), ('(橫掃)RX Mapping'!AZ24-361),IF(AND('(橫掃)RX Mapping'!AZ24&gt;=601,'(橫掃)RX Mapping'!AZ24&lt;=720), (-1)*('(橫掃)RX Mapping'!AZ24-720)+120,IF(AND('(橫掃)RX Mapping'!AZ24&gt;=721,'(橫掃)RX Mapping'!AZ24&lt;=840), ('(橫掃)RX Mapping'!AZ24-601),IF(AND('(橫掃)RX Mapping'!AZ24&gt;=841,'(橫掃)RX Mapping'!AZ24&lt;=960), (-1)*('(橫掃)RX Mapping'!AZ24-960)+120,9999))))))))</f>
        <v>9999</v>
      </c>
      <c r="BA24">
        <f>IF(AND('(橫掃)RX Mapping'!BA24&gt;=1,'(橫掃)RX Mapping'!BA24&lt;=120), ('(橫掃)RX Mapping'!BA24-1),IF(AND('(橫掃)RX Mapping'!BA24&gt;=121,'(橫掃)RX Mapping'!BA24&lt;=240), (-1)*('(橫掃)RX Mapping'!BA24-240),IF(AND('(橫掃)RX Mapping'!BA24&gt;=241,'(橫掃)RX Mapping'!BA24&lt;=360), ('(橫掃)RX Mapping'!BA24-241),IF(AND('(橫掃)RX Mapping'!BA24&gt;=361,'(橫掃)RX Mapping'!BA24&lt;=480), (-1)*('(橫掃)RX Mapping'!BA24-480),IF(AND('(橫掃)RX Mapping'!BA24&gt;=481,'(橫掃)RX Mapping'!BA24&lt;=600), ('(橫掃)RX Mapping'!BA24-361),IF(AND('(橫掃)RX Mapping'!BA24&gt;=601,'(橫掃)RX Mapping'!BA24&lt;=720), (-1)*('(橫掃)RX Mapping'!BA24-720)+120,IF(AND('(橫掃)RX Mapping'!BA24&gt;=721,'(橫掃)RX Mapping'!BA24&lt;=840), ('(橫掃)RX Mapping'!BA24-601),IF(AND('(橫掃)RX Mapping'!BA24&gt;=841,'(橫掃)RX Mapping'!BA24&lt;=960), (-1)*('(橫掃)RX Mapping'!BA24-960)+120,9999))))))))</f>
        <v>9999</v>
      </c>
      <c r="BB24">
        <f>IF(AND('(橫掃)RX Mapping'!BB24&gt;=1,'(橫掃)RX Mapping'!BB24&lt;=120), ('(橫掃)RX Mapping'!BB24-1),IF(AND('(橫掃)RX Mapping'!BB24&gt;=121,'(橫掃)RX Mapping'!BB24&lt;=240), (-1)*('(橫掃)RX Mapping'!BB24-240),IF(AND('(橫掃)RX Mapping'!BB24&gt;=241,'(橫掃)RX Mapping'!BB24&lt;=360), ('(橫掃)RX Mapping'!BB24-241),IF(AND('(橫掃)RX Mapping'!BB24&gt;=361,'(橫掃)RX Mapping'!BB24&lt;=480), (-1)*('(橫掃)RX Mapping'!BB24-480),IF(AND('(橫掃)RX Mapping'!BB24&gt;=481,'(橫掃)RX Mapping'!BB24&lt;=600), ('(橫掃)RX Mapping'!BB24-361),IF(AND('(橫掃)RX Mapping'!BB24&gt;=601,'(橫掃)RX Mapping'!BB24&lt;=720), (-1)*('(橫掃)RX Mapping'!BB24-720)+120,IF(AND('(橫掃)RX Mapping'!BB24&gt;=721,'(橫掃)RX Mapping'!BB24&lt;=840), ('(橫掃)RX Mapping'!BB24-601),IF(AND('(橫掃)RX Mapping'!BB24&gt;=841,'(橫掃)RX Mapping'!BB24&lt;=960), (-1)*('(橫掃)RX Mapping'!BB24-960)+120,9999))))))))</f>
        <v>9999</v>
      </c>
      <c r="BC24">
        <f>IF(AND('(橫掃)RX Mapping'!BC24&gt;=1,'(橫掃)RX Mapping'!BC24&lt;=120), ('(橫掃)RX Mapping'!BC24-1),IF(AND('(橫掃)RX Mapping'!BC24&gt;=121,'(橫掃)RX Mapping'!BC24&lt;=240), (-1)*('(橫掃)RX Mapping'!BC24-240),IF(AND('(橫掃)RX Mapping'!BC24&gt;=241,'(橫掃)RX Mapping'!BC24&lt;=360), ('(橫掃)RX Mapping'!BC24-241),IF(AND('(橫掃)RX Mapping'!BC24&gt;=361,'(橫掃)RX Mapping'!BC24&lt;=480), (-1)*('(橫掃)RX Mapping'!BC24-480),IF(AND('(橫掃)RX Mapping'!BC24&gt;=481,'(橫掃)RX Mapping'!BC24&lt;=600), ('(橫掃)RX Mapping'!BC24-361),IF(AND('(橫掃)RX Mapping'!BC24&gt;=601,'(橫掃)RX Mapping'!BC24&lt;=720), (-1)*('(橫掃)RX Mapping'!BC24-720)+120,IF(AND('(橫掃)RX Mapping'!BC24&gt;=721,'(橫掃)RX Mapping'!BC24&lt;=840), ('(橫掃)RX Mapping'!BC24-601),IF(AND('(橫掃)RX Mapping'!BC24&gt;=841,'(橫掃)RX Mapping'!BC24&lt;=960), (-1)*('(橫掃)RX Mapping'!BC24-960)+120,9999))))))))</f>
        <v>9999</v>
      </c>
      <c r="BD24">
        <f>IF(AND('(橫掃)RX Mapping'!BD24&gt;=1,'(橫掃)RX Mapping'!BD24&lt;=120), ('(橫掃)RX Mapping'!BD24-1),IF(AND('(橫掃)RX Mapping'!BD24&gt;=121,'(橫掃)RX Mapping'!BD24&lt;=240), (-1)*('(橫掃)RX Mapping'!BD24-240),IF(AND('(橫掃)RX Mapping'!BD24&gt;=241,'(橫掃)RX Mapping'!BD24&lt;=360), ('(橫掃)RX Mapping'!BD24-241),IF(AND('(橫掃)RX Mapping'!BD24&gt;=361,'(橫掃)RX Mapping'!BD24&lt;=480), (-1)*('(橫掃)RX Mapping'!BD24-480),IF(AND('(橫掃)RX Mapping'!BD24&gt;=481,'(橫掃)RX Mapping'!BD24&lt;=600), ('(橫掃)RX Mapping'!BD24-361),IF(AND('(橫掃)RX Mapping'!BD24&gt;=601,'(橫掃)RX Mapping'!BD24&lt;=720), (-1)*('(橫掃)RX Mapping'!BD24-720)+120,IF(AND('(橫掃)RX Mapping'!BD24&gt;=721,'(橫掃)RX Mapping'!BD24&lt;=840), ('(橫掃)RX Mapping'!BD24-601),IF(AND('(橫掃)RX Mapping'!BD24&gt;=841,'(橫掃)RX Mapping'!BD24&lt;=960), (-1)*('(橫掃)RX Mapping'!BD24-960)+120,9999))))))))</f>
        <v>9999</v>
      </c>
      <c r="BE24">
        <f>IF(AND('(橫掃)RX Mapping'!BE24&gt;=1,'(橫掃)RX Mapping'!BE24&lt;=120), ('(橫掃)RX Mapping'!BE24-1),IF(AND('(橫掃)RX Mapping'!BE24&gt;=121,'(橫掃)RX Mapping'!BE24&lt;=240), (-1)*('(橫掃)RX Mapping'!BE24-240),IF(AND('(橫掃)RX Mapping'!BE24&gt;=241,'(橫掃)RX Mapping'!BE24&lt;=360), ('(橫掃)RX Mapping'!BE24-241),IF(AND('(橫掃)RX Mapping'!BE24&gt;=361,'(橫掃)RX Mapping'!BE24&lt;=480), (-1)*('(橫掃)RX Mapping'!BE24-480),IF(AND('(橫掃)RX Mapping'!BE24&gt;=481,'(橫掃)RX Mapping'!BE24&lt;=600), ('(橫掃)RX Mapping'!BE24-361),IF(AND('(橫掃)RX Mapping'!BE24&gt;=601,'(橫掃)RX Mapping'!BE24&lt;=720), (-1)*('(橫掃)RX Mapping'!BE24-720)+120,IF(AND('(橫掃)RX Mapping'!BE24&gt;=721,'(橫掃)RX Mapping'!BE24&lt;=840), ('(橫掃)RX Mapping'!BE24-601),IF(AND('(橫掃)RX Mapping'!BE24&gt;=841,'(橫掃)RX Mapping'!BE24&lt;=960), (-1)*('(橫掃)RX Mapping'!BE24-960)+120,9999))))))))</f>
        <v>9999</v>
      </c>
      <c r="BF24">
        <f>IF(AND('(橫掃)RX Mapping'!BF24&gt;=1,'(橫掃)RX Mapping'!BF24&lt;=120), ('(橫掃)RX Mapping'!BF24-1),IF(AND('(橫掃)RX Mapping'!BF24&gt;=121,'(橫掃)RX Mapping'!BF24&lt;=240), (-1)*('(橫掃)RX Mapping'!BF24-240),IF(AND('(橫掃)RX Mapping'!BF24&gt;=241,'(橫掃)RX Mapping'!BF24&lt;=360), ('(橫掃)RX Mapping'!BF24-241),IF(AND('(橫掃)RX Mapping'!BF24&gt;=361,'(橫掃)RX Mapping'!BF24&lt;=480), (-1)*('(橫掃)RX Mapping'!BF24-480),IF(AND('(橫掃)RX Mapping'!BF24&gt;=481,'(橫掃)RX Mapping'!BF24&lt;=600), ('(橫掃)RX Mapping'!BF24-361),IF(AND('(橫掃)RX Mapping'!BF24&gt;=601,'(橫掃)RX Mapping'!BF24&lt;=720), (-1)*('(橫掃)RX Mapping'!BF24-720)+120,IF(AND('(橫掃)RX Mapping'!BF24&gt;=721,'(橫掃)RX Mapping'!BF24&lt;=840), ('(橫掃)RX Mapping'!BF24-601),IF(AND('(橫掃)RX Mapping'!BF24&gt;=841,'(橫掃)RX Mapping'!BF24&lt;=960), (-1)*('(橫掃)RX Mapping'!BF24-960)+120,9999))))))))</f>
        <v>9999</v>
      </c>
      <c r="BG24">
        <f>IF(AND('(橫掃)RX Mapping'!BG24&gt;=1,'(橫掃)RX Mapping'!BG24&lt;=120), ('(橫掃)RX Mapping'!BG24-1),IF(AND('(橫掃)RX Mapping'!BG24&gt;=121,'(橫掃)RX Mapping'!BG24&lt;=240), (-1)*('(橫掃)RX Mapping'!BG24-240),IF(AND('(橫掃)RX Mapping'!BG24&gt;=241,'(橫掃)RX Mapping'!BG24&lt;=360), ('(橫掃)RX Mapping'!BG24-241),IF(AND('(橫掃)RX Mapping'!BG24&gt;=361,'(橫掃)RX Mapping'!BG24&lt;=480), (-1)*('(橫掃)RX Mapping'!BG24-480),IF(AND('(橫掃)RX Mapping'!BG24&gt;=481,'(橫掃)RX Mapping'!BG24&lt;=600), ('(橫掃)RX Mapping'!BG24-361),IF(AND('(橫掃)RX Mapping'!BG24&gt;=601,'(橫掃)RX Mapping'!BG24&lt;=720), (-1)*('(橫掃)RX Mapping'!BG24-720)+120,IF(AND('(橫掃)RX Mapping'!BG24&gt;=721,'(橫掃)RX Mapping'!BG24&lt;=840), ('(橫掃)RX Mapping'!BG24-601),IF(AND('(橫掃)RX Mapping'!BG24&gt;=841,'(橫掃)RX Mapping'!BG24&lt;=960), (-1)*('(橫掃)RX Mapping'!BG24-960)+120,9999))))))))</f>
        <v>9999</v>
      </c>
      <c r="BH24">
        <f>IF(AND('(橫掃)RX Mapping'!BH24&gt;=1,'(橫掃)RX Mapping'!BH24&lt;=120), ('(橫掃)RX Mapping'!BH24-1),IF(AND('(橫掃)RX Mapping'!BH24&gt;=121,'(橫掃)RX Mapping'!BH24&lt;=240), (-1)*('(橫掃)RX Mapping'!BH24-240),IF(AND('(橫掃)RX Mapping'!BH24&gt;=241,'(橫掃)RX Mapping'!BH24&lt;=360), ('(橫掃)RX Mapping'!BH24-241),IF(AND('(橫掃)RX Mapping'!BH24&gt;=361,'(橫掃)RX Mapping'!BH24&lt;=480), (-1)*('(橫掃)RX Mapping'!BH24-480),IF(AND('(橫掃)RX Mapping'!BH24&gt;=481,'(橫掃)RX Mapping'!BH24&lt;=600), ('(橫掃)RX Mapping'!BH24-361),IF(AND('(橫掃)RX Mapping'!BH24&gt;=601,'(橫掃)RX Mapping'!BH24&lt;=720), (-1)*('(橫掃)RX Mapping'!BH24-720)+120,IF(AND('(橫掃)RX Mapping'!BH24&gt;=721,'(橫掃)RX Mapping'!BH24&lt;=840), ('(橫掃)RX Mapping'!BH24-601),IF(AND('(橫掃)RX Mapping'!BH24&gt;=841,'(橫掃)RX Mapping'!BH24&lt;=960), (-1)*('(橫掃)RX Mapping'!BH24-960)+120,9999))))))))</f>
        <v>9999</v>
      </c>
      <c r="BI24">
        <f>IF(AND('(橫掃)RX Mapping'!BI24&gt;=1,'(橫掃)RX Mapping'!BI24&lt;=120), ('(橫掃)RX Mapping'!BI24-1),IF(AND('(橫掃)RX Mapping'!BI24&gt;=121,'(橫掃)RX Mapping'!BI24&lt;=240), (-1)*('(橫掃)RX Mapping'!BI24-240),IF(AND('(橫掃)RX Mapping'!BI24&gt;=241,'(橫掃)RX Mapping'!BI24&lt;=360), ('(橫掃)RX Mapping'!BI24-241),IF(AND('(橫掃)RX Mapping'!BI24&gt;=361,'(橫掃)RX Mapping'!BI24&lt;=480), (-1)*('(橫掃)RX Mapping'!BI24-480),IF(AND('(橫掃)RX Mapping'!BI24&gt;=481,'(橫掃)RX Mapping'!BI24&lt;=600), ('(橫掃)RX Mapping'!BI24-361),IF(AND('(橫掃)RX Mapping'!BI24&gt;=601,'(橫掃)RX Mapping'!BI24&lt;=720), (-1)*('(橫掃)RX Mapping'!BI24-720)+120,IF(AND('(橫掃)RX Mapping'!BI24&gt;=721,'(橫掃)RX Mapping'!BI24&lt;=840), ('(橫掃)RX Mapping'!BI24-601),IF(AND('(橫掃)RX Mapping'!BI24&gt;=841,'(橫掃)RX Mapping'!BI24&lt;=960), (-1)*('(橫掃)RX Mapping'!BI24-960)+120,9999))))))))</f>
        <v>9999</v>
      </c>
    </row>
    <row r="25" spans="1:61" x14ac:dyDescent="0.25">
      <c r="A25" s="20">
        <v>24</v>
      </c>
      <c r="B25">
        <f>IF(AND('(橫掃)RX Mapping'!B25&gt;=1,'(橫掃)RX Mapping'!B25&lt;=120), ('(橫掃)RX Mapping'!B25-1),IF(AND('(橫掃)RX Mapping'!B25&gt;=121,'(橫掃)RX Mapping'!B25&lt;=240), (-1)*('(橫掃)RX Mapping'!B25-240),IF(AND('(橫掃)RX Mapping'!B25&gt;=241,'(橫掃)RX Mapping'!B25&lt;=360), ('(橫掃)RX Mapping'!B25-241),IF(AND('(橫掃)RX Mapping'!B25&gt;=361,'(橫掃)RX Mapping'!B25&lt;=480), (-1)*('(橫掃)RX Mapping'!B25-480),IF(AND('(橫掃)RX Mapping'!B25&gt;=481,'(橫掃)RX Mapping'!B25&lt;=600), ('(橫掃)RX Mapping'!B25-361),IF(AND('(橫掃)RX Mapping'!B25&gt;=601,'(橫掃)RX Mapping'!B25&lt;=720), (-1)*('(橫掃)RX Mapping'!B25-720)+120,IF(AND('(橫掃)RX Mapping'!B25&gt;=721,'(橫掃)RX Mapping'!B25&lt;=840), ('(橫掃)RX Mapping'!B25-601),IF(AND('(橫掃)RX Mapping'!B25&gt;=841,'(橫掃)RX Mapping'!B25&lt;=960), (-1)*('(橫掃)RX Mapping'!B25-960)+120,9999))))))))</f>
        <v>23</v>
      </c>
      <c r="C25">
        <f>IF(AND('(橫掃)RX Mapping'!C25&gt;=1,'(橫掃)RX Mapping'!C25&lt;=120), ('(橫掃)RX Mapping'!C25-1),IF(AND('(橫掃)RX Mapping'!C25&gt;=121,'(橫掃)RX Mapping'!C25&lt;=240), (-1)*('(橫掃)RX Mapping'!C25-240),IF(AND('(橫掃)RX Mapping'!C25&gt;=241,'(橫掃)RX Mapping'!C25&lt;=360), ('(橫掃)RX Mapping'!C25-241),IF(AND('(橫掃)RX Mapping'!C25&gt;=361,'(橫掃)RX Mapping'!C25&lt;=480), (-1)*('(橫掃)RX Mapping'!C25-480),IF(AND('(橫掃)RX Mapping'!C25&gt;=481,'(橫掃)RX Mapping'!C25&lt;=600), ('(橫掃)RX Mapping'!C25-361),IF(AND('(橫掃)RX Mapping'!C25&gt;=601,'(橫掃)RX Mapping'!C25&lt;=720), (-1)*('(橫掃)RX Mapping'!C25-720)+120,IF(AND('(橫掃)RX Mapping'!C25&gt;=721,'(橫掃)RX Mapping'!C25&lt;=840), ('(橫掃)RX Mapping'!C25-601),IF(AND('(橫掃)RX Mapping'!C25&gt;=841,'(橫掃)RX Mapping'!C25&lt;=960), (-1)*('(橫掃)RX Mapping'!C25-960)+120,9999))))))))</f>
        <v>55</v>
      </c>
      <c r="D25">
        <f>IF(AND('(橫掃)RX Mapping'!D25&gt;=1,'(橫掃)RX Mapping'!D25&lt;=120), ('(橫掃)RX Mapping'!D25-1),IF(AND('(橫掃)RX Mapping'!D25&gt;=121,'(橫掃)RX Mapping'!D25&lt;=240), (-1)*('(橫掃)RX Mapping'!D25-240),IF(AND('(橫掃)RX Mapping'!D25&gt;=241,'(橫掃)RX Mapping'!D25&lt;=360), ('(橫掃)RX Mapping'!D25-241),IF(AND('(橫掃)RX Mapping'!D25&gt;=361,'(橫掃)RX Mapping'!D25&lt;=480), (-1)*('(橫掃)RX Mapping'!D25-480),IF(AND('(橫掃)RX Mapping'!D25&gt;=481,'(橫掃)RX Mapping'!D25&lt;=600), ('(橫掃)RX Mapping'!D25-361),IF(AND('(橫掃)RX Mapping'!D25&gt;=601,'(橫掃)RX Mapping'!D25&lt;=720), (-1)*('(橫掃)RX Mapping'!D25-720)+120,IF(AND('(橫掃)RX Mapping'!D25&gt;=721,'(橫掃)RX Mapping'!D25&lt;=840), ('(橫掃)RX Mapping'!D25-601),IF(AND('(橫掃)RX Mapping'!D25&gt;=841,'(橫掃)RX Mapping'!D25&lt;=960), (-1)*('(橫掃)RX Mapping'!D25-960)+120,9999))))))))</f>
        <v>87</v>
      </c>
      <c r="E25">
        <f>IF(AND('(橫掃)RX Mapping'!E25&gt;=1,'(橫掃)RX Mapping'!E25&lt;=120), ('(橫掃)RX Mapping'!E25-1),IF(AND('(橫掃)RX Mapping'!E25&gt;=121,'(橫掃)RX Mapping'!E25&lt;=240), (-1)*('(橫掃)RX Mapping'!E25-240),IF(AND('(橫掃)RX Mapping'!E25&gt;=241,'(橫掃)RX Mapping'!E25&lt;=360), ('(橫掃)RX Mapping'!E25-241),IF(AND('(橫掃)RX Mapping'!E25&gt;=361,'(橫掃)RX Mapping'!E25&lt;=480), (-1)*('(橫掃)RX Mapping'!E25-480),IF(AND('(橫掃)RX Mapping'!E25&gt;=481,'(橫掃)RX Mapping'!E25&lt;=600), ('(橫掃)RX Mapping'!E25-361),IF(AND('(橫掃)RX Mapping'!E25&gt;=601,'(橫掃)RX Mapping'!E25&lt;=720), (-1)*('(橫掃)RX Mapping'!E25-720)+120,IF(AND('(橫掃)RX Mapping'!E25&gt;=721,'(橫掃)RX Mapping'!E25&lt;=840), ('(橫掃)RX Mapping'!E25-601),IF(AND('(橫掃)RX Mapping'!E25&gt;=841,'(橫掃)RX Mapping'!E25&lt;=960), (-1)*('(橫掃)RX Mapping'!E25-960)+120,9999))))))))</f>
        <v>119</v>
      </c>
      <c r="F25">
        <f>IF(AND('(橫掃)RX Mapping'!F25&gt;=1,'(橫掃)RX Mapping'!F25&lt;=120), ('(橫掃)RX Mapping'!F25-1),IF(AND('(橫掃)RX Mapping'!F25&gt;=121,'(橫掃)RX Mapping'!F25&lt;=240), (-1)*('(橫掃)RX Mapping'!F25-240),IF(AND('(橫掃)RX Mapping'!F25&gt;=241,'(橫掃)RX Mapping'!F25&lt;=360), ('(橫掃)RX Mapping'!F25-241),IF(AND('(橫掃)RX Mapping'!F25&gt;=361,'(橫掃)RX Mapping'!F25&lt;=480), (-1)*('(橫掃)RX Mapping'!F25-480),IF(AND('(橫掃)RX Mapping'!F25&gt;=481,'(橫掃)RX Mapping'!F25&lt;=600), ('(橫掃)RX Mapping'!F25-361),IF(AND('(橫掃)RX Mapping'!F25&gt;=601,'(橫掃)RX Mapping'!F25&lt;=720), (-1)*('(橫掃)RX Mapping'!F25-720)+120,IF(AND('(橫掃)RX Mapping'!F25&gt;=721,'(橫掃)RX Mapping'!F25&lt;=840), ('(橫掃)RX Mapping'!F25-601),IF(AND('(橫掃)RX Mapping'!F25&gt;=841,'(橫掃)RX Mapping'!F25&lt;=960), (-1)*('(橫掃)RX Mapping'!F25-960)+120,9999))))))))</f>
        <v>88</v>
      </c>
      <c r="G25">
        <f>IF(AND('(橫掃)RX Mapping'!G25&gt;=1,'(橫掃)RX Mapping'!G25&lt;=120), ('(橫掃)RX Mapping'!G25-1),IF(AND('(橫掃)RX Mapping'!G25&gt;=121,'(橫掃)RX Mapping'!G25&lt;=240), (-1)*('(橫掃)RX Mapping'!G25-240),IF(AND('(橫掃)RX Mapping'!G25&gt;=241,'(橫掃)RX Mapping'!G25&lt;=360), ('(橫掃)RX Mapping'!G25-241),IF(AND('(橫掃)RX Mapping'!G25&gt;=361,'(橫掃)RX Mapping'!G25&lt;=480), (-1)*('(橫掃)RX Mapping'!G25-480),IF(AND('(橫掃)RX Mapping'!G25&gt;=481,'(橫掃)RX Mapping'!G25&lt;=600), ('(橫掃)RX Mapping'!G25-361),IF(AND('(橫掃)RX Mapping'!G25&gt;=601,'(橫掃)RX Mapping'!G25&lt;=720), (-1)*('(橫掃)RX Mapping'!G25-720)+120,IF(AND('(橫掃)RX Mapping'!G25&gt;=721,'(橫掃)RX Mapping'!G25&lt;=840), ('(橫掃)RX Mapping'!G25-601),IF(AND('(橫掃)RX Mapping'!G25&gt;=841,'(橫掃)RX Mapping'!G25&lt;=960), (-1)*('(橫掃)RX Mapping'!G25-960)+120,9999))))))))</f>
        <v>56</v>
      </c>
      <c r="H25">
        <f>IF(AND('(橫掃)RX Mapping'!H25&gt;=1,'(橫掃)RX Mapping'!H25&lt;=120), ('(橫掃)RX Mapping'!H25-1),IF(AND('(橫掃)RX Mapping'!H25&gt;=121,'(橫掃)RX Mapping'!H25&lt;=240), (-1)*('(橫掃)RX Mapping'!H25-240),IF(AND('(橫掃)RX Mapping'!H25&gt;=241,'(橫掃)RX Mapping'!H25&lt;=360), ('(橫掃)RX Mapping'!H25-241),IF(AND('(橫掃)RX Mapping'!H25&gt;=361,'(橫掃)RX Mapping'!H25&lt;=480), (-1)*('(橫掃)RX Mapping'!H25-480),IF(AND('(橫掃)RX Mapping'!H25&gt;=481,'(橫掃)RX Mapping'!H25&lt;=600), ('(橫掃)RX Mapping'!H25-361),IF(AND('(橫掃)RX Mapping'!H25&gt;=601,'(橫掃)RX Mapping'!H25&lt;=720), (-1)*('(橫掃)RX Mapping'!H25-720)+120,IF(AND('(橫掃)RX Mapping'!H25&gt;=721,'(橫掃)RX Mapping'!H25&lt;=840), ('(橫掃)RX Mapping'!H25-601),IF(AND('(橫掃)RX Mapping'!H25&gt;=841,'(橫掃)RX Mapping'!H25&lt;=960), (-1)*('(橫掃)RX Mapping'!H25-960)+120,9999))))))))</f>
        <v>24</v>
      </c>
      <c r="I25">
        <f>IF(AND('(橫掃)RX Mapping'!I25&gt;=1,'(橫掃)RX Mapping'!I25&lt;=120), ('(橫掃)RX Mapping'!I25-1),IF(AND('(橫掃)RX Mapping'!I25&gt;=121,'(橫掃)RX Mapping'!I25&lt;=240), (-1)*('(橫掃)RX Mapping'!I25-240),IF(AND('(橫掃)RX Mapping'!I25&gt;=241,'(橫掃)RX Mapping'!I25&lt;=360), ('(橫掃)RX Mapping'!I25-241),IF(AND('(橫掃)RX Mapping'!I25&gt;=361,'(橫掃)RX Mapping'!I25&lt;=480), (-1)*('(橫掃)RX Mapping'!I25-480),IF(AND('(橫掃)RX Mapping'!I25&gt;=481,'(橫掃)RX Mapping'!I25&lt;=600), ('(橫掃)RX Mapping'!I25-361),IF(AND('(橫掃)RX Mapping'!I25&gt;=601,'(橫掃)RX Mapping'!I25&lt;=720), (-1)*('(橫掃)RX Mapping'!I25-720)+120,IF(AND('(橫掃)RX Mapping'!I25&gt;=721,'(橫掃)RX Mapping'!I25&lt;=840), ('(橫掃)RX Mapping'!I25-601),IF(AND('(橫掃)RX Mapping'!I25&gt;=841,'(橫掃)RX Mapping'!I25&lt;=960), (-1)*('(橫掃)RX Mapping'!I25-960)+120,9999))))))))</f>
        <v>23</v>
      </c>
      <c r="J25">
        <f>IF(AND('(橫掃)RX Mapping'!J25&gt;=1,'(橫掃)RX Mapping'!J25&lt;=120), ('(橫掃)RX Mapping'!J25-1),IF(AND('(橫掃)RX Mapping'!J25&gt;=121,'(橫掃)RX Mapping'!J25&lt;=240), (-1)*('(橫掃)RX Mapping'!J25-240),IF(AND('(橫掃)RX Mapping'!J25&gt;=241,'(橫掃)RX Mapping'!J25&lt;=360), ('(橫掃)RX Mapping'!J25-241),IF(AND('(橫掃)RX Mapping'!J25&gt;=361,'(橫掃)RX Mapping'!J25&lt;=480), (-1)*('(橫掃)RX Mapping'!J25-480),IF(AND('(橫掃)RX Mapping'!J25&gt;=481,'(橫掃)RX Mapping'!J25&lt;=600), ('(橫掃)RX Mapping'!J25-361),IF(AND('(橫掃)RX Mapping'!J25&gt;=601,'(橫掃)RX Mapping'!J25&lt;=720), (-1)*('(橫掃)RX Mapping'!J25-720)+120,IF(AND('(橫掃)RX Mapping'!J25&gt;=721,'(橫掃)RX Mapping'!J25&lt;=840), ('(橫掃)RX Mapping'!J25-601),IF(AND('(橫掃)RX Mapping'!J25&gt;=841,'(橫掃)RX Mapping'!J25&lt;=960), (-1)*('(橫掃)RX Mapping'!J25-960)+120,9999))))))))</f>
        <v>55</v>
      </c>
      <c r="K25">
        <f>IF(AND('(橫掃)RX Mapping'!K25&gt;=1,'(橫掃)RX Mapping'!K25&lt;=120), ('(橫掃)RX Mapping'!K25-1),IF(AND('(橫掃)RX Mapping'!K25&gt;=121,'(橫掃)RX Mapping'!K25&lt;=240), (-1)*('(橫掃)RX Mapping'!K25-240),IF(AND('(橫掃)RX Mapping'!K25&gt;=241,'(橫掃)RX Mapping'!K25&lt;=360), ('(橫掃)RX Mapping'!K25-241),IF(AND('(橫掃)RX Mapping'!K25&gt;=361,'(橫掃)RX Mapping'!K25&lt;=480), (-1)*('(橫掃)RX Mapping'!K25-480),IF(AND('(橫掃)RX Mapping'!K25&gt;=481,'(橫掃)RX Mapping'!K25&lt;=600), ('(橫掃)RX Mapping'!K25-361),IF(AND('(橫掃)RX Mapping'!K25&gt;=601,'(橫掃)RX Mapping'!K25&lt;=720), (-1)*('(橫掃)RX Mapping'!K25-720)+120,IF(AND('(橫掃)RX Mapping'!K25&gt;=721,'(橫掃)RX Mapping'!K25&lt;=840), ('(橫掃)RX Mapping'!K25-601),IF(AND('(橫掃)RX Mapping'!K25&gt;=841,'(橫掃)RX Mapping'!K25&lt;=960), (-1)*('(橫掃)RX Mapping'!K25-960)+120,9999))))))))</f>
        <v>87</v>
      </c>
      <c r="L25">
        <f>IF(AND('(橫掃)RX Mapping'!L25&gt;=1,'(橫掃)RX Mapping'!L25&lt;=120), ('(橫掃)RX Mapping'!L25-1),IF(AND('(橫掃)RX Mapping'!L25&gt;=121,'(橫掃)RX Mapping'!L25&lt;=240), (-1)*('(橫掃)RX Mapping'!L25-240),IF(AND('(橫掃)RX Mapping'!L25&gt;=241,'(橫掃)RX Mapping'!L25&lt;=360), ('(橫掃)RX Mapping'!L25-241),IF(AND('(橫掃)RX Mapping'!L25&gt;=361,'(橫掃)RX Mapping'!L25&lt;=480), (-1)*('(橫掃)RX Mapping'!L25-480),IF(AND('(橫掃)RX Mapping'!L25&gt;=481,'(橫掃)RX Mapping'!L25&lt;=600), ('(橫掃)RX Mapping'!L25-361),IF(AND('(橫掃)RX Mapping'!L25&gt;=601,'(橫掃)RX Mapping'!L25&lt;=720), (-1)*('(橫掃)RX Mapping'!L25-720)+120,IF(AND('(橫掃)RX Mapping'!L25&gt;=721,'(橫掃)RX Mapping'!L25&lt;=840), ('(橫掃)RX Mapping'!L25-601),IF(AND('(橫掃)RX Mapping'!L25&gt;=841,'(橫掃)RX Mapping'!L25&lt;=960), (-1)*('(橫掃)RX Mapping'!L25-960)+120,9999))))))))</f>
        <v>119</v>
      </c>
      <c r="M25">
        <f>IF(AND('(橫掃)RX Mapping'!M25&gt;=1,'(橫掃)RX Mapping'!M25&lt;=120), ('(橫掃)RX Mapping'!M25-1),IF(AND('(橫掃)RX Mapping'!M25&gt;=121,'(橫掃)RX Mapping'!M25&lt;=240), (-1)*('(橫掃)RX Mapping'!M25-240),IF(AND('(橫掃)RX Mapping'!M25&gt;=241,'(橫掃)RX Mapping'!M25&lt;=360), ('(橫掃)RX Mapping'!M25-241),IF(AND('(橫掃)RX Mapping'!M25&gt;=361,'(橫掃)RX Mapping'!M25&lt;=480), (-1)*('(橫掃)RX Mapping'!M25-480),IF(AND('(橫掃)RX Mapping'!M25&gt;=481,'(橫掃)RX Mapping'!M25&lt;=600), ('(橫掃)RX Mapping'!M25-361),IF(AND('(橫掃)RX Mapping'!M25&gt;=601,'(橫掃)RX Mapping'!M25&lt;=720), (-1)*('(橫掃)RX Mapping'!M25-720)+120,IF(AND('(橫掃)RX Mapping'!M25&gt;=721,'(橫掃)RX Mapping'!M25&lt;=840), ('(橫掃)RX Mapping'!M25-601),IF(AND('(橫掃)RX Mapping'!M25&gt;=841,'(橫掃)RX Mapping'!M25&lt;=960), (-1)*('(橫掃)RX Mapping'!M25-960)+120,9999))))))))</f>
        <v>88</v>
      </c>
      <c r="N25">
        <f>IF(AND('(橫掃)RX Mapping'!N25&gt;=1,'(橫掃)RX Mapping'!N25&lt;=120), ('(橫掃)RX Mapping'!N25-1),IF(AND('(橫掃)RX Mapping'!N25&gt;=121,'(橫掃)RX Mapping'!N25&lt;=240), (-1)*('(橫掃)RX Mapping'!N25-240),IF(AND('(橫掃)RX Mapping'!N25&gt;=241,'(橫掃)RX Mapping'!N25&lt;=360), ('(橫掃)RX Mapping'!N25-241),IF(AND('(橫掃)RX Mapping'!N25&gt;=361,'(橫掃)RX Mapping'!N25&lt;=480), (-1)*('(橫掃)RX Mapping'!N25-480),IF(AND('(橫掃)RX Mapping'!N25&gt;=481,'(橫掃)RX Mapping'!N25&lt;=600), ('(橫掃)RX Mapping'!N25-361),IF(AND('(橫掃)RX Mapping'!N25&gt;=601,'(橫掃)RX Mapping'!N25&lt;=720), (-1)*('(橫掃)RX Mapping'!N25-720)+120,IF(AND('(橫掃)RX Mapping'!N25&gt;=721,'(橫掃)RX Mapping'!N25&lt;=840), ('(橫掃)RX Mapping'!N25-601),IF(AND('(橫掃)RX Mapping'!N25&gt;=841,'(橫掃)RX Mapping'!N25&lt;=960), (-1)*('(橫掃)RX Mapping'!N25-960)+120,9999))))))))</f>
        <v>56</v>
      </c>
      <c r="O25">
        <f>IF(AND('(橫掃)RX Mapping'!O25&gt;=1,'(橫掃)RX Mapping'!O25&lt;=120), ('(橫掃)RX Mapping'!O25-1),IF(AND('(橫掃)RX Mapping'!O25&gt;=121,'(橫掃)RX Mapping'!O25&lt;=240), (-1)*('(橫掃)RX Mapping'!O25-240),IF(AND('(橫掃)RX Mapping'!O25&gt;=241,'(橫掃)RX Mapping'!O25&lt;=360), ('(橫掃)RX Mapping'!O25-241),IF(AND('(橫掃)RX Mapping'!O25&gt;=361,'(橫掃)RX Mapping'!O25&lt;=480), (-1)*('(橫掃)RX Mapping'!O25-480),IF(AND('(橫掃)RX Mapping'!O25&gt;=481,'(橫掃)RX Mapping'!O25&lt;=600), ('(橫掃)RX Mapping'!O25-361),IF(AND('(橫掃)RX Mapping'!O25&gt;=601,'(橫掃)RX Mapping'!O25&lt;=720), (-1)*('(橫掃)RX Mapping'!O25-720)+120,IF(AND('(橫掃)RX Mapping'!O25&gt;=721,'(橫掃)RX Mapping'!O25&lt;=840), ('(橫掃)RX Mapping'!O25-601),IF(AND('(橫掃)RX Mapping'!O25&gt;=841,'(橫掃)RX Mapping'!O25&lt;=960), (-1)*('(橫掃)RX Mapping'!O25-960)+120,9999))))))))</f>
        <v>24</v>
      </c>
      <c r="P25">
        <f>IF(AND('(橫掃)RX Mapping'!P25&gt;=1,'(橫掃)RX Mapping'!P25&lt;=120), ('(橫掃)RX Mapping'!P25-1),IF(AND('(橫掃)RX Mapping'!P25&gt;=121,'(橫掃)RX Mapping'!P25&lt;=240), (-1)*('(橫掃)RX Mapping'!P25-240),IF(AND('(橫掃)RX Mapping'!P25&gt;=241,'(橫掃)RX Mapping'!P25&lt;=360), ('(橫掃)RX Mapping'!P25-241),IF(AND('(橫掃)RX Mapping'!P25&gt;=361,'(橫掃)RX Mapping'!P25&lt;=480), (-1)*('(橫掃)RX Mapping'!P25-480),IF(AND('(橫掃)RX Mapping'!P25&gt;=481,'(橫掃)RX Mapping'!P25&lt;=600), ('(橫掃)RX Mapping'!P25-361),IF(AND('(橫掃)RX Mapping'!P25&gt;=601,'(橫掃)RX Mapping'!P25&lt;=720), (-1)*('(橫掃)RX Mapping'!P25-720)+120,IF(AND('(橫掃)RX Mapping'!P25&gt;=721,'(橫掃)RX Mapping'!P25&lt;=840), ('(橫掃)RX Mapping'!P25-601),IF(AND('(橫掃)RX Mapping'!P25&gt;=841,'(橫掃)RX Mapping'!P25&lt;=960), (-1)*('(橫掃)RX Mapping'!P25-960)+120,9999))))))))</f>
        <v>143</v>
      </c>
      <c r="Q25">
        <f>IF(AND('(橫掃)RX Mapping'!Q25&gt;=1,'(橫掃)RX Mapping'!Q25&lt;=120), ('(橫掃)RX Mapping'!Q25-1),IF(AND('(橫掃)RX Mapping'!Q25&gt;=121,'(橫掃)RX Mapping'!Q25&lt;=240), (-1)*('(橫掃)RX Mapping'!Q25-240),IF(AND('(橫掃)RX Mapping'!Q25&gt;=241,'(橫掃)RX Mapping'!Q25&lt;=360), ('(橫掃)RX Mapping'!Q25-241),IF(AND('(橫掃)RX Mapping'!Q25&gt;=361,'(橫掃)RX Mapping'!Q25&lt;=480), (-1)*('(橫掃)RX Mapping'!Q25-480),IF(AND('(橫掃)RX Mapping'!Q25&gt;=481,'(橫掃)RX Mapping'!Q25&lt;=600), ('(橫掃)RX Mapping'!Q25-361),IF(AND('(橫掃)RX Mapping'!Q25&gt;=601,'(橫掃)RX Mapping'!Q25&lt;=720), (-1)*('(橫掃)RX Mapping'!Q25-720)+120,IF(AND('(橫掃)RX Mapping'!Q25&gt;=721,'(橫掃)RX Mapping'!Q25&lt;=840), ('(橫掃)RX Mapping'!Q25-601),IF(AND('(橫掃)RX Mapping'!Q25&gt;=841,'(橫掃)RX Mapping'!Q25&lt;=960), (-1)*('(橫掃)RX Mapping'!Q25-960)+120,9999))))))))</f>
        <v>175</v>
      </c>
      <c r="R25">
        <f>IF(AND('(橫掃)RX Mapping'!R25&gt;=1,'(橫掃)RX Mapping'!R25&lt;=120), ('(橫掃)RX Mapping'!R25-1),IF(AND('(橫掃)RX Mapping'!R25&gt;=121,'(橫掃)RX Mapping'!R25&lt;=240), (-1)*('(橫掃)RX Mapping'!R25-240),IF(AND('(橫掃)RX Mapping'!R25&gt;=241,'(橫掃)RX Mapping'!R25&lt;=360), ('(橫掃)RX Mapping'!R25-241),IF(AND('(橫掃)RX Mapping'!R25&gt;=361,'(橫掃)RX Mapping'!R25&lt;=480), (-1)*('(橫掃)RX Mapping'!R25-480),IF(AND('(橫掃)RX Mapping'!R25&gt;=481,'(橫掃)RX Mapping'!R25&lt;=600), ('(橫掃)RX Mapping'!R25-361),IF(AND('(橫掃)RX Mapping'!R25&gt;=601,'(橫掃)RX Mapping'!R25&lt;=720), (-1)*('(橫掃)RX Mapping'!R25-720)+120,IF(AND('(橫掃)RX Mapping'!R25&gt;=721,'(橫掃)RX Mapping'!R25&lt;=840), ('(橫掃)RX Mapping'!R25-601),IF(AND('(橫掃)RX Mapping'!R25&gt;=841,'(橫掃)RX Mapping'!R25&lt;=960), (-1)*('(橫掃)RX Mapping'!R25-960)+120,9999))))))))</f>
        <v>207</v>
      </c>
      <c r="S25">
        <f>IF(AND('(橫掃)RX Mapping'!S25&gt;=1,'(橫掃)RX Mapping'!S25&lt;=120), ('(橫掃)RX Mapping'!S25-1),IF(AND('(橫掃)RX Mapping'!S25&gt;=121,'(橫掃)RX Mapping'!S25&lt;=240), (-1)*('(橫掃)RX Mapping'!S25-240),IF(AND('(橫掃)RX Mapping'!S25&gt;=241,'(橫掃)RX Mapping'!S25&lt;=360), ('(橫掃)RX Mapping'!S25-241),IF(AND('(橫掃)RX Mapping'!S25&gt;=361,'(橫掃)RX Mapping'!S25&lt;=480), (-1)*('(橫掃)RX Mapping'!S25-480),IF(AND('(橫掃)RX Mapping'!S25&gt;=481,'(橫掃)RX Mapping'!S25&lt;=600), ('(橫掃)RX Mapping'!S25-361),IF(AND('(橫掃)RX Mapping'!S25&gt;=601,'(橫掃)RX Mapping'!S25&lt;=720), (-1)*('(橫掃)RX Mapping'!S25-720)+120,IF(AND('(橫掃)RX Mapping'!S25&gt;=721,'(橫掃)RX Mapping'!S25&lt;=840), ('(橫掃)RX Mapping'!S25-601),IF(AND('(橫掃)RX Mapping'!S25&gt;=841,'(橫掃)RX Mapping'!S25&lt;=960), (-1)*('(橫掃)RX Mapping'!S25-960)+120,9999))))))))</f>
        <v>239</v>
      </c>
      <c r="T25">
        <f>IF(AND('(橫掃)RX Mapping'!T25&gt;=1,'(橫掃)RX Mapping'!T25&lt;=120), ('(橫掃)RX Mapping'!T25-1),IF(AND('(橫掃)RX Mapping'!T25&gt;=121,'(橫掃)RX Mapping'!T25&lt;=240), (-1)*('(橫掃)RX Mapping'!T25-240),IF(AND('(橫掃)RX Mapping'!T25&gt;=241,'(橫掃)RX Mapping'!T25&lt;=360), ('(橫掃)RX Mapping'!T25-241),IF(AND('(橫掃)RX Mapping'!T25&gt;=361,'(橫掃)RX Mapping'!T25&lt;=480), (-1)*('(橫掃)RX Mapping'!T25-480),IF(AND('(橫掃)RX Mapping'!T25&gt;=481,'(橫掃)RX Mapping'!T25&lt;=600), ('(橫掃)RX Mapping'!T25-361),IF(AND('(橫掃)RX Mapping'!T25&gt;=601,'(橫掃)RX Mapping'!T25&lt;=720), (-1)*('(橫掃)RX Mapping'!T25-720)+120,IF(AND('(橫掃)RX Mapping'!T25&gt;=721,'(橫掃)RX Mapping'!T25&lt;=840), ('(橫掃)RX Mapping'!T25-601),IF(AND('(橫掃)RX Mapping'!T25&gt;=841,'(橫掃)RX Mapping'!T25&lt;=960), (-1)*('(橫掃)RX Mapping'!T25-960)+120,9999))))))))</f>
        <v>208</v>
      </c>
      <c r="U25">
        <f>IF(AND('(橫掃)RX Mapping'!U25&gt;=1,'(橫掃)RX Mapping'!U25&lt;=120), ('(橫掃)RX Mapping'!U25-1),IF(AND('(橫掃)RX Mapping'!U25&gt;=121,'(橫掃)RX Mapping'!U25&lt;=240), (-1)*('(橫掃)RX Mapping'!U25-240),IF(AND('(橫掃)RX Mapping'!U25&gt;=241,'(橫掃)RX Mapping'!U25&lt;=360), ('(橫掃)RX Mapping'!U25-241),IF(AND('(橫掃)RX Mapping'!U25&gt;=361,'(橫掃)RX Mapping'!U25&lt;=480), (-1)*('(橫掃)RX Mapping'!U25-480),IF(AND('(橫掃)RX Mapping'!U25&gt;=481,'(橫掃)RX Mapping'!U25&lt;=600), ('(橫掃)RX Mapping'!U25-361),IF(AND('(橫掃)RX Mapping'!U25&gt;=601,'(橫掃)RX Mapping'!U25&lt;=720), (-1)*('(橫掃)RX Mapping'!U25-720)+120,IF(AND('(橫掃)RX Mapping'!U25&gt;=721,'(橫掃)RX Mapping'!U25&lt;=840), ('(橫掃)RX Mapping'!U25-601),IF(AND('(橫掃)RX Mapping'!U25&gt;=841,'(橫掃)RX Mapping'!U25&lt;=960), (-1)*('(橫掃)RX Mapping'!U25-960)+120,9999))))))))</f>
        <v>176</v>
      </c>
      <c r="V25">
        <f>IF(AND('(橫掃)RX Mapping'!V25&gt;=1,'(橫掃)RX Mapping'!V25&lt;=120), ('(橫掃)RX Mapping'!V25-1),IF(AND('(橫掃)RX Mapping'!V25&gt;=121,'(橫掃)RX Mapping'!V25&lt;=240), (-1)*('(橫掃)RX Mapping'!V25-240),IF(AND('(橫掃)RX Mapping'!V25&gt;=241,'(橫掃)RX Mapping'!V25&lt;=360), ('(橫掃)RX Mapping'!V25-241),IF(AND('(橫掃)RX Mapping'!V25&gt;=361,'(橫掃)RX Mapping'!V25&lt;=480), (-1)*('(橫掃)RX Mapping'!V25-480),IF(AND('(橫掃)RX Mapping'!V25&gt;=481,'(橫掃)RX Mapping'!V25&lt;=600), ('(橫掃)RX Mapping'!V25-361),IF(AND('(橫掃)RX Mapping'!V25&gt;=601,'(橫掃)RX Mapping'!V25&lt;=720), (-1)*('(橫掃)RX Mapping'!V25-720)+120,IF(AND('(橫掃)RX Mapping'!V25&gt;=721,'(橫掃)RX Mapping'!V25&lt;=840), ('(橫掃)RX Mapping'!V25-601),IF(AND('(橫掃)RX Mapping'!V25&gt;=841,'(橫掃)RX Mapping'!V25&lt;=960), (-1)*('(橫掃)RX Mapping'!V25-960)+120,9999))))))))</f>
        <v>144</v>
      </c>
      <c r="W25">
        <f>IF(AND('(橫掃)RX Mapping'!W25&gt;=1,'(橫掃)RX Mapping'!W25&lt;=120), ('(橫掃)RX Mapping'!W25-1),IF(AND('(橫掃)RX Mapping'!W25&gt;=121,'(橫掃)RX Mapping'!W25&lt;=240), (-1)*('(橫掃)RX Mapping'!W25-240),IF(AND('(橫掃)RX Mapping'!W25&gt;=241,'(橫掃)RX Mapping'!W25&lt;=360), ('(橫掃)RX Mapping'!W25-241),IF(AND('(橫掃)RX Mapping'!W25&gt;=361,'(橫掃)RX Mapping'!W25&lt;=480), (-1)*('(橫掃)RX Mapping'!W25-480),IF(AND('(橫掃)RX Mapping'!W25&gt;=481,'(橫掃)RX Mapping'!W25&lt;=600), ('(橫掃)RX Mapping'!W25-361),IF(AND('(橫掃)RX Mapping'!W25&gt;=601,'(橫掃)RX Mapping'!W25&lt;=720), (-1)*('(橫掃)RX Mapping'!W25-720)+120,IF(AND('(橫掃)RX Mapping'!W25&gt;=721,'(橫掃)RX Mapping'!W25&lt;=840), ('(橫掃)RX Mapping'!W25-601),IF(AND('(橫掃)RX Mapping'!W25&gt;=841,'(橫掃)RX Mapping'!W25&lt;=960), (-1)*('(橫掃)RX Mapping'!W25-960)+120,9999))))))))</f>
        <v>143</v>
      </c>
      <c r="X25">
        <f>IF(AND('(橫掃)RX Mapping'!X25&gt;=1,'(橫掃)RX Mapping'!X25&lt;=120), ('(橫掃)RX Mapping'!X25-1),IF(AND('(橫掃)RX Mapping'!X25&gt;=121,'(橫掃)RX Mapping'!X25&lt;=240), (-1)*('(橫掃)RX Mapping'!X25-240),IF(AND('(橫掃)RX Mapping'!X25&gt;=241,'(橫掃)RX Mapping'!X25&lt;=360), ('(橫掃)RX Mapping'!X25-241),IF(AND('(橫掃)RX Mapping'!X25&gt;=361,'(橫掃)RX Mapping'!X25&lt;=480), (-1)*('(橫掃)RX Mapping'!X25-480),IF(AND('(橫掃)RX Mapping'!X25&gt;=481,'(橫掃)RX Mapping'!X25&lt;=600), ('(橫掃)RX Mapping'!X25-361),IF(AND('(橫掃)RX Mapping'!X25&gt;=601,'(橫掃)RX Mapping'!X25&lt;=720), (-1)*('(橫掃)RX Mapping'!X25-720)+120,IF(AND('(橫掃)RX Mapping'!X25&gt;=721,'(橫掃)RX Mapping'!X25&lt;=840), ('(橫掃)RX Mapping'!X25-601),IF(AND('(橫掃)RX Mapping'!X25&gt;=841,'(橫掃)RX Mapping'!X25&lt;=960), (-1)*('(橫掃)RX Mapping'!X25-960)+120,9999))))))))</f>
        <v>175</v>
      </c>
      <c r="Y25">
        <f>IF(AND('(橫掃)RX Mapping'!Y25&gt;=1,'(橫掃)RX Mapping'!Y25&lt;=120), ('(橫掃)RX Mapping'!Y25-1),IF(AND('(橫掃)RX Mapping'!Y25&gt;=121,'(橫掃)RX Mapping'!Y25&lt;=240), (-1)*('(橫掃)RX Mapping'!Y25-240),IF(AND('(橫掃)RX Mapping'!Y25&gt;=241,'(橫掃)RX Mapping'!Y25&lt;=360), ('(橫掃)RX Mapping'!Y25-241),IF(AND('(橫掃)RX Mapping'!Y25&gt;=361,'(橫掃)RX Mapping'!Y25&lt;=480), (-1)*('(橫掃)RX Mapping'!Y25-480),IF(AND('(橫掃)RX Mapping'!Y25&gt;=481,'(橫掃)RX Mapping'!Y25&lt;=600), ('(橫掃)RX Mapping'!Y25-361),IF(AND('(橫掃)RX Mapping'!Y25&gt;=601,'(橫掃)RX Mapping'!Y25&lt;=720), (-1)*('(橫掃)RX Mapping'!Y25-720)+120,IF(AND('(橫掃)RX Mapping'!Y25&gt;=721,'(橫掃)RX Mapping'!Y25&lt;=840), ('(橫掃)RX Mapping'!Y25-601),IF(AND('(橫掃)RX Mapping'!Y25&gt;=841,'(橫掃)RX Mapping'!Y25&lt;=960), (-1)*('(橫掃)RX Mapping'!Y25-960)+120,9999))))))))</f>
        <v>207</v>
      </c>
      <c r="Z25">
        <f>IF(AND('(橫掃)RX Mapping'!Z25&gt;=1,'(橫掃)RX Mapping'!Z25&lt;=120), ('(橫掃)RX Mapping'!Z25-1),IF(AND('(橫掃)RX Mapping'!Z25&gt;=121,'(橫掃)RX Mapping'!Z25&lt;=240), (-1)*('(橫掃)RX Mapping'!Z25-240),IF(AND('(橫掃)RX Mapping'!Z25&gt;=241,'(橫掃)RX Mapping'!Z25&lt;=360), ('(橫掃)RX Mapping'!Z25-241),IF(AND('(橫掃)RX Mapping'!Z25&gt;=361,'(橫掃)RX Mapping'!Z25&lt;=480), (-1)*('(橫掃)RX Mapping'!Z25-480),IF(AND('(橫掃)RX Mapping'!Z25&gt;=481,'(橫掃)RX Mapping'!Z25&lt;=600), ('(橫掃)RX Mapping'!Z25-361),IF(AND('(橫掃)RX Mapping'!Z25&gt;=601,'(橫掃)RX Mapping'!Z25&lt;=720), (-1)*('(橫掃)RX Mapping'!Z25-720)+120,IF(AND('(橫掃)RX Mapping'!Z25&gt;=721,'(橫掃)RX Mapping'!Z25&lt;=840), ('(橫掃)RX Mapping'!Z25-601),IF(AND('(橫掃)RX Mapping'!Z25&gt;=841,'(橫掃)RX Mapping'!Z25&lt;=960), (-1)*('(橫掃)RX Mapping'!Z25-960)+120,9999))))))))</f>
        <v>239</v>
      </c>
      <c r="AA25">
        <f>IF(AND('(橫掃)RX Mapping'!AA25&gt;=1,'(橫掃)RX Mapping'!AA25&lt;=120), ('(橫掃)RX Mapping'!AA25-1),IF(AND('(橫掃)RX Mapping'!AA25&gt;=121,'(橫掃)RX Mapping'!AA25&lt;=240), (-1)*('(橫掃)RX Mapping'!AA25-240),IF(AND('(橫掃)RX Mapping'!AA25&gt;=241,'(橫掃)RX Mapping'!AA25&lt;=360), ('(橫掃)RX Mapping'!AA25-241),IF(AND('(橫掃)RX Mapping'!AA25&gt;=361,'(橫掃)RX Mapping'!AA25&lt;=480), (-1)*('(橫掃)RX Mapping'!AA25-480),IF(AND('(橫掃)RX Mapping'!AA25&gt;=481,'(橫掃)RX Mapping'!AA25&lt;=600), ('(橫掃)RX Mapping'!AA25-361),IF(AND('(橫掃)RX Mapping'!AA25&gt;=601,'(橫掃)RX Mapping'!AA25&lt;=720), (-1)*('(橫掃)RX Mapping'!AA25-720)+120,IF(AND('(橫掃)RX Mapping'!AA25&gt;=721,'(橫掃)RX Mapping'!AA25&lt;=840), ('(橫掃)RX Mapping'!AA25-601),IF(AND('(橫掃)RX Mapping'!AA25&gt;=841,'(橫掃)RX Mapping'!AA25&lt;=960), (-1)*('(橫掃)RX Mapping'!AA25-960)+120,9999))))))))</f>
        <v>208</v>
      </c>
      <c r="AB25">
        <f>IF(AND('(橫掃)RX Mapping'!AB25&gt;=1,'(橫掃)RX Mapping'!AB25&lt;=120), ('(橫掃)RX Mapping'!AB25-1),IF(AND('(橫掃)RX Mapping'!AB25&gt;=121,'(橫掃)RX Mapping'!AB25&lt;=240), (-1)*('(橫掃)RX Mapping'!AB25-240),IF(AND('(橫掃)RX Mapping'!AB25&gt;=241,'(橫掃)RX Mapping'!AB25&lt;=360), ('(橫掃)RX Mapping'!AB25-241),IF(AND('(橫掃)RX Mapping'!AB25&gt;=361,'(橫掃)RX Mapping'!AB25&lt;=480), (-1)*('(橫掃)RX Mapping'!AB25-480),IF(AND('(橫掃)RX Mapping'!AB25&gt;=481,'(橫掃)RX Mapping'!AB25&lt;=600), ('(橫掃)RX Mapping'!AB25-361),IF(AND('(橫掃)RX Mapping'!AB25&gt;=601,'(橫掃)RX Mapping'!AB25&lt;=720), (-1)*('(橫掃)RX Mapping'!AB25-720)+120,IF(AND('(橫掃)RX Mapping'!AB25&gt;=721,'(橫掃)RX Mapping'!AB25&lt;=840), ('(橫掃)RX Mapping'!AB25-601),IF(AND('(橫掃)RX Mapping'!AB25&gt;=841,'(橫掃)RX Mapping'!AB25&lt;=960), (-1)*('(橫掃)RX Mapping'!AB25-960)+120,9999))))))))</f>
        <v>176</v>
      </c>
      <c r="AC25">
        <f>IF(AND('(橫掃)RX Mapping'!AC25&gt;=1,'(橫掃)RX Mapping'!AC25&lt;=120), ('(橫掃)RX Mapping'!AC25-1),IF(AND('(橫掃)RX Mapping'!AC25&gt;=121,'(橫掃)RX Mapping'!AC25&lt;=240), (-1)*('(橫掃)RX Mapping'!AC25-240),IF(AND('(橫掃)RX Mapping'!AC25&gt;=241,'(橫掃)RX Mapping'!AC25&lt;=360), ('(橫掃)RX Mapping'!AC25-241),IF(AND('(橫掃)RX Mapping'!AC25&gt;=361,'(橫掃)RX Mapping'!AC25&lt;=480), (-1)*('(橫掃)RX Mapping'!AC25-480),IF(AND('(橫掃)RX Mapping'!AC25&gt;=481,'(橫掃)RX Mapping'!AC25&lt;=600), ('(橫掃)RX Mapping'!AC25-361),IF(AND('(橫掃)RX Mapping'!AC25&gt;=601,'(橫掃)RX Mapping'!AC25&lt;=720), (-1)*('(橫掃)RX Mapping'!AC25-720)+120,IF(AND('(橫掃)RX Mapping'!AC25&gt;=721,'(橫掃)RX Mapping'!AC25&lt;=840), ('(橫掃)RX Mapping'!AC25-601),IF(AND('(橫掃)RX Mapping'!AC25&gt;=841,'(橫掃)RX Mapping'!AC25&lt;=960), (-1)*('(橫掃)RX Mapping'!AC25-960)+120,9999))))))))</f>
        <v>144</v>
      </c>
      <c r="AD25">
        <f>IF(AND('(橫掃)RX Mapping'!AD25&gt;=1,'(橫掃)RX Mapping'!AD25&lt;=120), ('(橫掃)RX Mapping'!AD25-1),IF(AND('(橫掃)RX Mapping'!AD25&gt;=121,'(橫掃)RX Mapping'!AD25&lt;=240), (-1)*('(橫掃)RX Mapping'!AD25-240),IF(AND('(橫掃)RX Mapping'!AD25&gt;=241,'(橫掃)RX Mapping'!AD25&lt;=360), ('(橫掃)RX Mapping'!AD25-241),IF(AND('(橫掃)RX Mapping'!AD25&gt;=361,'(橫掃)RX Mapping'!AD25&lt;=480), (-1)*('(橫掃)RX Mapping'!AD25-480),IF(AND('(橫掃)RX Mapping'!AD25&gt;=481,'(橫掃)RX Mapping'!AD25&lt;=600), ('(橫掃)RX Mapping'!AD25-361),IF(AND('(橫掃)RX Mapping'!AD25&gt;=601,'(橫掃)RX Mapping'!AD25&lt;=720), (-1)*('(橫掃)RX Mapping'!AD25-720)+120,IF(AND('(橫掃)RX Mapping'!AD25&gt;=721,'(橫掃)RX Mapping'!AD25&lt;=840), ('(橫掃)RX Mapping'!AD25-601),IF(AND('(橫掃)RX Mapping'!AD25&gt;=841,'(橫掃)RX Mapping'!AD25&lt;=960), (-1)*('(橫掃)RX Mapping'!AD25-960)+120,9999))))))))</f>
        <v>9999</v>
      </c>
      <c r="AE25">
        <f>IF(AND('(橫掃)RX Mapping'!AE25&gt;=1,'(橫掃)RX Mapping'!AE25&lt;=120), ('(橫掃)RX Mapping'!AE25-1),IF(AND('(橫掃)RX Mapping'!AE25&gt;=121,'(橫掃)RX Mapping'!AE25&lt;=240), (-1)*('(橫掃)RX Mapping'!AE25-240),IF(AND('(橫掃)RX Mapping'!AE25&gt;=241,'(橫掃)RX Mapping'!AE25&lt;=360), ('(橫掃)RX Mapping'!AE25-241),IF(AND('(橫掃)RX Mapping'!AE25&gt;=361,'(橫掃)RX Mapping'!AE25&lt;=480), (-1)*('(橫掃)RX Mapping'!AE25-480),IF(AND('(橫掃)RX Mapping'!AE25&gt;=481,'(橫掃)RX Mapping'!AE25&lt;=600), ('(橫掃)RX Mapping'!AE25-361),IF(AND('(橫掃)RX Mapping'!AE25&gt;=601,'(橫掃)RX Mapping'!AE25&lt;=720), (-1)*('(橫掃)RX Mapping'!AE25-720)+120,IF(AND('(橫掃)RX Mapping'!AE25&gt;=721,'(橫掃)RX Mapping'!AE25&lt;=840), ('(橫掃)RX Mapping'!AE25-601),IF(AND('(橫掃)RX Mapping'!AE25&gt;=841,'(橫掃)RX Mapping'!AE25&lt;=960), (-1)*('(橫掃)RX Mapping'!AE25-960)+120,9999))))))))</f>
        <v>9999</v>
      </c>
      <c r="AF25">
        <f>IF(AND('(橫掃)RX Mapping'!AF25&gt;=1,'(橫掃)RX Mapping'!AF25&lt;=120), ('(橫掃)RX Mapping'!AF25-1),IF(AND('(橫掃)RX Mapping'!AF25&gt;=121,'(橫掃)RX Mapping'!AF25&lt;=240), (-1)*('(橫掃)RX Mapping'!AF25-240),IF(AND('(橫掃)RX Mapping'!AF25&gt;=241,'(橫掃)RX Mapping'!AF25&lt;=360), ('(橫掃)RX Mapping'!AF25-241),IF(AND('(橫掃)RX Mapping'!AF25&gt;=361,'(橫掃)RX Mapping'!AF25&lt;=480), (-1)*('(橫掃)RX Mapping'!AF25-480),IF(AND('(橫掃)RX Mapping'!AF25&gt;=481,'(橫掃)RX Mapping'!AF25&lt;=600), ('(橫掃)RX Mapping'!AF25-361),IF(AND('(橫掃)RX Mapping'!AF25&gt;=601,'(橫掃)RX Mapping'!AF25&lt;=720), (-1)*('(橫掃)RX Mapping'!AF25-720)+120,IF(AND('(橫掃)RX Mapping'!AF25&gt;=721,'(橫掃)RX Mapping'!AF25&lt;=840), ('(橫掃)RX Mapping'!AF25-601),IF(AND('(橫掃)RX Mapping'!AF25&gt;=841,'(橫掃)RX Mapping'!AF25&lt;=960), (-1)*('(橫掃)RX Mapping'!AF25-960)+120,9999))))))))</f>
        <v>9999</v>
      </c>
      <c r="AG25">
        <f>IF(AND('(橫掃)RX Mapping'!AG25&gt;=1,'(橫掃)RX Mapping'!AG25&lt;=120), ('(橫掃)RX Mapping'!AG25-1),IF(AND('(橫掃)RX Mapping'!AG25&gt;=121,'(橫掃)RX Mapping'!AG25&lt;=240), (-1)*('(橫掃)RX Mapping'!AG25-240),IF(AND('(橫掃)RX Mapping'!AG25&gt;=241,'(橫掃)RX Mapping'!AG25&lt;=360), ('(橫掃)RX Mapping'!AG25-241),IF(AND('(橫掃)RX Mapping'!AG25&gt;=361,'(橫掃)RX Mapping'!AG25&lt;=480), (-1)*('(橫掃)RX Mapping'!AG25-480),IF(AND('(橫掃)RX Mapping'!AG25&gt;=481,'(橫掃)RX Mapping'!AG25&lt;=600), ('(橫掃)RX Mapping'!AG25-361),IF(AND('(橫掃)RX Mapping'!AG25&gt;=601,'(橫掃)RX Mapping'!AG25&lt;=720), (-1)*('(橫掃)RX Mapping'!AG25-720)+120,IF(AND('(橫掃)RX Mapping'!AG25&gt;=721,'(橫掃)RX Mapping'!AG25&lt;=840), ('(橫掃)RX Mapping'!AG25-601),IF(AND('(橫掃)RX Mapping'!AG25&gt;=841,'(橫掃)RX Mapping'!AG25&lt;=960), (-1)*('(橫掃)RX Mapping'!AG25-960)+120,9999))))))))</f>
        <v>9999</v>
      </c>
      <c r="AH25">
        <f>IF(AND('(橫掃)RX Mapping'!AH25&gt;=1,'(橫掃)RX Mapping'!AH25&lt;=120), ('(橫掃)RX Mapping'!AH25-1),IF(AND('(橫掃)RX Mapping'!AH25&gt;=121,'(橫掃)RX Mapping'!AH25&lt;=240), (-1)*('(橫掃)RX Mapping'!AH25-240),IF(AND('(橫掃)RX Mapping'!AH25&gt;=241,'(橫掃)RX Mapping'!AH25&lt;=360), ('(橫掃)RX Mapping'!AH25-241),IF(AND('(橫掃)RX Mapping'!AH25&gt;=361,'(橫掃)RX Mapping'!AH25&lt;=480), (-1)*('(橫掃)RX Mapping'!AH25-480),IF(AND('(橫掃)RX Mapping'!AH25&gt;=481,'(橫掃)RX Mapping'!AH25&lt;=600), ('(橫掃)RX Mapping'!AH25-361),IF(AND('(橫掃)RX Mapping'!AH25&gt;=601,'(橫掃)RX Mapping'!AH25&lt;=720), (-1)*('(橫掃)RX Mapping'!AH25-720)+120,IF(AND('(橫掃)RX Mapping'!AH25&gt;=721,'(橫掃)RX Mapping'!AH25&lt;=840), ('(橫掃)RX Mapping'!AH25-601),IF(AND('(橫掃)RX Mapping'!AH25&gt;=841,'(橫掃)RX Mapping'!AH25&lt;=960), (-1)*('(橫掃)RX Mapping'!AH25-960)+120,9999))))))))</f>
        <v>9999</v>
      </c>
      <c r="AI25">
        <f>IF(AND('(橫掃)RX Mapping'!AI25&gt;=1,'(橫掃)RX Mapping'!AI25&lt;=120), ('(橫掃)RX Mapping'!AI25-1),IF(AND('(橫掃)RX Mapping'!AI25&gt;=121,'(橫掃)RX Mapping'!AI25&lt;=240), (-1)*('(橫掃)RX Mapping'!AI25-240),IF(AND('(橫掃)RX Mapping'!AI25&gt;=241,'(橫掃)RX Mapping'!AI25&lt;=360), ('(橫掃)RX Mapping'!AI25-241),IF(AND('(橫掃)RX Mapping'!AI25&gt;=361,'(橫掃)RX Mapping'!AI25&lt;=480), (-1)*('(橫掃)RX Mapping'!AI25-480),IF(AND('(橫掃)RX Mapping'!AI25&gt;=481,'(橫掃)RX Mapping'!AI25&lt;=600), ('(橫掃)RX Mapping'!AI25-361),IF(AND('(橫掃)RX Mapping'!AI25&gt;=601,'(橫掃)RX Mapping'!AI25&lt;=720), (-1)*('(橫掃)RX Mapping'!AI25-720)+120,IF(AND('(橫掃)RX Mapping'!AI25&gt;=721,'(橫掃)RX Mapping'!AI25&lt;=840), ('(橫掃)RX Mapping'!AI25-601),IF(AND('(橫掃)RX Mapping'!AI25&gt;=841,'(橫掃)RX Mapping'!AI25&lt;=960), (-1)*('(橫掃)RX Mapping'!AI25-960)+120,9999))))))))</f>
        <v>9999</v>
      </c>
      <c r="AJ25">
        <f>IF(AND('(橫掃)RX Mapping'!AJ25&gt;=1,'(橫掃)RX Mapping'!AJ25&lt;=120), ('(橫掃)RX Mapping'!AJ25-1),IF(AND('(橫掃)RX Mapping'!AJ25&gt;=121,'(橫掃)RX Mapping'!AJ25&lt;=240), (-1)*('(橫掃)RX Mapping'!AJ25-240),IF(AND('(橫掃)RX Mapping'!AJ25&gt;=241,'(橫掃)RX Mapping'!AJ25&lt;=360), ('(橫掃)RX Mapping'!AJ25-241),IF(AND('(橫掃)RX Mapping'!AJ25&gt;=361,'(橫掃)RX Mapping'!AJ25&lt;=480), (-1)*('(橫掃)RX Mapping'!AJ25-480),IF(AND('(橫掃)RX Mapping'!AJ25&gt;=481,'(橫掃)RX Mapping'!AJ25&lt;=600), ('(橫掃)RX Mapping'!AJ25-361),IF(AND('(橫掃)RX Mapping'!AJ25&gt;=601,'(橫掃)RX Mapping'!AJ25&lt;=720), (-1)*('(橫掃)RX Mapping'!AJ25-720)+120,IF(AND('(橫掃)RX Mapping'!AJ25&gt;=721,'(橫掃)RX Mapping'!AJ25&lt;=840), ('(橫掃)RX Mapping'!AJ25-601),IF(AND('(橫掃)RX Mapping'!AJ25&gt;=841,'(橫掃)RX Mapping'!AJ25&lt;=960), (-1)*('(橫掃)RX Mapping'!AJ25-960)+120,9999))))))))</f>
        <v>9999</v>
      </c>
      <c r="AK25">
        <f>IF(AND('(橫掃)RX Mapping'!AK25&gt;=1,'(橫掃)RX Mapping'!AK25&lt;=120), ('(橫掃)RX Mapping'!AK25-1),IF(AND('(橫掃)RX Mapping'!AK25&gt;=121,'(橫掃)RX Mapping'!AK25&lt;=240), (-1)*('(橫掃)RX Mapping'!AK25-240),IF(AND('(橫掃)RX Mapping'!AK25&gt;=241,'(橫掃)RX Mapping'!AK25&lt;=360), ('(橫掃)RX Mapping'!AK25-241),IF(AND('(橫掃)RX Mapping'!AK25&gt;=361,'(橫掃)RX Mapping'!AK25&lt;=480), (-1)*('(橫掃)RX Mapping'!AK25-480),IF(AND('(橫掃)RX Mapping'!AK25&gt;=481,'(橫掃)RX Mapping'!AK25&lt;=600), ('(橫掃)RX Mapping'!AK25-361),IF(AND('(橫掃)RX Mapping'!AK25&gt;=601,'(橫掃)RX Mapping'!AK25&lt;=720), (-1)*('(橫掃)RX Mapping'!AK25-720)+120,IF(AND('(橫掃)RX Mapping'!AK25&gt;=721,'(橫掃)RX Mapping'!AK25&lt;=840), ('(橫掃)RX Mapping'!AK25-601),IF(AND('(橫掃)RX Mapping'!AK25&gt;=841,'(橫掃)RX Mapping'!AK25&lt;=960), (-1)*('(橫掃)RX Mapping'!AK25-960)+120,9999))))))))</f>
        <v>9999</v>
      </c>
      <c r="AL25">
        <f>IF(AND('(橫掃)RX Mapping'!AL25&gt;=1,'(橫掃)RX Mapping'!AL25&lt;=120), ('(橫掃)RX Mapping'!AL25-1),IF(AND('(橫掃)RX Mapping'!AL25&gt;=121,'(橫掃)RX Mapping'!AL25&lt;=240), (-1)*('(橫掃)RX Mapping'!AL25-240),IF(AND('(橫掃)RX Mapping'!AL25&gt;=241,'(橫掃)RX Mapping'!AL25&lt;=360), ('(橫掃)RX Mapping'!AL25-241),IF(AND('(橫掃)RX Mapping'!AL25&gt;=361,'(橫掃)RX Mapping'!AL25&lt;=480), (-1)*('(橫掃)RX Mapping'!AL25-480),IF(AND('(橫掃)RX Mapping'!AL25&gt;=481,'(橫掃)RX Mapping'!AL25&lt;=600), ('(橫掃)RX Mapping'!AL25-361),IF(AND('(橫掃)RX Mapping'!AL25&gt;=601,'(橫掃)RX Mapping'!AL25&lt;=720), (-1)*('(橫掃)RX Mapping'!AL25-720)+120,IF(AND('(橫掃)RX Mapping'!AL25&gt;=721,'(橫掃)RX Mapping'!AL25&lt;=840), ('(橫掃)RX Mapping'!AL25-601),IF(AND('(橫掃)RX Mapping'!AL25&gt;=841,'(橫掃)RX Mapping'!AL25&lt;=960), (-1)*('(橫掃)RX Mapping'!AL25-960)+120,9999))))))))</f>
        <v>9999</v>
      </c>
      <c r="AM25">
        <f>IF(AND('(橫掃)RX Mapping'!AM25&gt;=1,'(橫掃)RX Mapping'!AM25&lt;=120), ('(橫掃)RX Mapping'!AM25-1),IF(AND('(橫掃)RX Mapping'!AM25&gt;=121,'(橫掃)RX Mapping'!AM25&lt;=240), (-1)*('(橫掃)RX Mapping'!AM25-240),IF(AND('(橫掃)RX Mapping'!AM25&gt;=241,'(橫掃)RX Mapping'!AM25&lt;=360), ('(橫掃)RX Mapping'!AM25-241),IF(AND('(橫掃)RX Mapping'!AM25&gt;=361,'(橫掃)RX Mapping'!AM25&lt;=480), (-1)*('(橫掃)RX Mapping'!AM25-480),IF(AND('(橫掃)RX Mapping'!AM25&gt;=481,'(橫掃)RX Mapping'!AM25&lt;=600), ('(橫掃)RX Mapping'!AM25-361),IF(AND('(橫掃)RX Mapping'!AM25&gt;=601,'(橫掃)RX Mapping'!AM25&lt;=720), (-1)*('(橫掃)RX Mapping'!AM25-720)+120,IF(AND('(橫掃)RX Mapping'!AM25&gt;=721,'(橫掃)RX Mapping'!AM25&lt;=840), ('(橫掃)RX Mapping'!AM25-601),IF(AND('(橫掃)RX Mapping'!AM25&gt;=841,'(橫掃)RX Mapping'!AM25&lt;=960), (-1)*('(橫掃)RX Mapping'!AM25-960)+120,9999))))))))</f>
        <v>9999</v>
      </c>
      <c r="AN25">
        <f>IF(AND('(橫掃)RX Mapping'!AN25&gt;=1,'(橫掃)RX Mapping'!AN25&lt;=120), ('(橫掃)RX Mapping'!AN25-1),IF(AND('(橫掃)RX Mapping'!AN25&gt;=121,'(橫掃)RX Mapping'!AN25&lt;=240), (-1)*('(橫掃)RX Mapping'!AN25-240),IF(AND('(橫掃)RX Mapping'!AN25&gt;=241,'(橫掃)RX Mapping'!AN25&lt;=360), ('(橫掃)RX Mapping'!AN25-241),IF(AND('(橫掃)RX Mapping'!AN25&gt;=361,'(橫掃)RX Mapping'!AN25&lt;=480), (-1)*('(橫掃)RX Mapping'!AN25-480),IF(AND('(橫掃)RX Mapping'!AN25&gt;=481,'(橫掃)RX Mapping'!AN25&lt;=600), ('(橫掃)RX Mapping'!AN25-361),IF(AND('(橫掃)RX Mapping'!AN25&gt;=601,'(橫掃)RX Mapping'!AN25&lt;=720), (-1)*('(橫掃)RX Mapping'!AN25-720)+120,IF(AND('(橫掃)RX Mapping'!AN25&gt;=721,'(橫掃)RX Mapping'!AN25&lt;=840), ('(橫掃)RX Mapping'!AN25-601),IF(AND('(橫掃)RX Mapping'!AN25&gt;=841,'(橫掃)RX Mapping'!AN25&lt;=960), (-1)*('(橫掃)RX Mapping'!AN25-960)+120,9999))))))))</f>
        <v>9999</v>
      </c>
      <c r="AO25">
        <f>IF(AND('(橫掃)RX Mapping'!AO25&gt;=1,'(橫掃)RX Mapping'!AO25&lt;=120), ('(橫掃)RX Mapping'!AO25-1),IF(AND('(橫掃)RX Mapping'!AO25&gt;=121,'(橫掃)RX Mapping'!AO25&lt;=240), (-1)*('(橫掃)RX Mapping'!AO25-240),IF(AND('(橫掃)RX Mapping'!AO25&gt;=241,'(橫掃)RX Mapping'!AO25&lt;=360), ('(橫掃)RX Mapping'!AO25-241),IF(AND('(橫掃)RX Mapping'!AO25&gt;=361,'(橫掃)RX Mapping'!AO25&lt;=480), (-1)*('(橫掃)RX Mapping'!AO25-480),IF(AND('(橫掃)RX Mapping'!AO25&gt;=481,'(橫掃)RX Mapping'!AO25&lt;=600), ('(橫掃)RX Mapping'!AO25-361),IF(AND('(橫掃)RX Mapping'!AO25&gt;=601,'(橫掃)RX Mapping'!AO25&lt;=720), (-1)*('(橫掃)RX Mapping'!AO25-720)+120,IF(AND('(橫掃)RX Mapping'!AO25&gt;=721,'(橫掃)RX Mapping'!AO25&lt;=840), ('(橫掃)RX Mapping'!AO25-601),IF(AND('(橫掃)RX Mapping'!AO25&gt;=841,'(橫掃)RX Mapping'!AO25&lt;=960), (-1)*('(橫掃)RX Mapping'!AO25-960)+120,9999))))))))</f>
        <v>9999</v>
      </c>
      <c r="AP25">
        <f>IF(AND('(橫掃)RX Mapping'!AP25&gt;=1,'(橫掃)RX Mapping'!AP25&lt;=120), ('(橫掃)RX Mapping'!AP25-1),IF(AND('(橫掃)RX Mapping'!AP25&gt;=121,'(橫掃)RX Mapping'!AP25&lt;=240), (-1)*('(橫掃)RX Mapping'!AP25-240),IF(AND('(橫掃)RX Mapping'!AP25&gt;=241,'(橫掃)RX Mapping'!AP25&lt;=360), ('(橫掃)RX Mapping'!AP25-241),IF(AND('(橫掃)RX Mapping'!AP25&gt;=361,'(橫掃)RX Mapping'!AP25&lt;=480), (-1)*('(橫掃)RX Mapping'!AP25-480),IF(AND('(橫掃)RX Mapping'!AP25&gt;=481,'(橫掃)RX Mapping'!AP25&lt;=600), ('(橫掃)RX Mapping'!AP25-361),IF(AND('(橫掃)RX Mapping'!AP25&gt;=601,'(橫掃)RX Mapping'!AP25&lt;=720), (-1)*('(橫掃)RX Mapping'!AP25-720)+120,IF(AND('(橫掃)RX Mapping'!AP25&gt;=721,'(橫掃)RX Mapping'!AP25&lt;=840), ('(橫掃)RX Mapping'!AP25-601),IF(AND('(橫掃)RX Mapping'!AP25&gt;=841,'(橫掃)RX Mapping'!AP25&lt;=960), (-1)*('(橫掃)RX Mapping'!AP25-960)+120,9999))))))))</f>
        <v>9999</v>
      </c>
      <c r="AQ25">
        <f>IF(AND('(橫掃)RX Mapping'!AQ25&gt;=1,'(橫掃)RX Mapping'!AQ25&lt;=120), ('(橫掃)RX Mapping'!AQ25-1),IF(AND('(橫掃)RX Mapping'!AQ25&gt;=121,'(橫掃)RX Mapping'!AQ25&lt;=240), (-1)*('(橫掃)RX Mapping'!AQ25-240),IF(AND('(橫掃)RX Mapping'!AQ25&gt;=241,'(橫掃)RX Mapping'!AQ25&lt;=360), ('(橫掃)RX Mapping'!AQ25-241),IF(AND('(橫掃)RX Mapping'!AQ25&gt;=361,'(橫掃)RX Mapping'!AQ25&lt;=480), (-1)*('(橫掃)RX Mapping'!AQ25-480),IF(AND('(橫掃)RX Mapping'!AQ25&gt;=481,'(橫掃)RX Mapping'!AQ25&lt;=600), ('(橫掃)RX Mapping'!AQ25-361),IF(AND('(橫掃)RX Mapping'!AQ25&gt;=601,'(橫掃)RX Mapping'!AQ25&lt;=720), (-1)*('(橫掃)RX Mapping'!AQ25-720)+120,IF(AND('(橫掃)RX Mapping'!AQ25&gt;=721,'(橫掃)RX Mapping'!AQ25&lt;=840), ('(橫掃)RX Mapping'!AQ25-601),IF(AND('(橫掃)RX Mapping'!AQ25&gt;=841,'(橫掃)RX Mapping'!AQ25&lt;=960), (-1)*('(橫掃)RX Mapping'!AQ25-960)+120,9999))))))))</f>
        <v>9999</v>
      </c>
      <c r="AR25">
        <f>IF(AND('(橫掃)RX Mapping'!AR25&gt;=1,'(橫掃)RX Mapping'!AR25&lt;=120), ('(橫掃)RX Mapping'!AR25-1),IF(AND('(橫掃)RX Mapping'!AR25&gt;=121,'(橫掃)RX Mapping'!AR25&lt;=240), (-1)*('(橫掃)RX Mapping'!AR25-240),IF(AND('(橫掃)RX Mapping'!AR25&gt;=241,'(橫掃)RX Mapping'!AR25&lt;=360), ('(橫掃)RX Mapping'!AR25-241),IF(AND('(橫掃)RX Mapping'!AR25&gt;=361,'(橫掃)RX Mapping'!AR25&lt;=480), (-1)*('(橫掃)RX Mapping'!AR25-480),IF(AND('(橫掃)RX Mapping'!AR25&gt;=481,'(橫掃)RX Mapping'!AR25&lt;=600), ('(橫掃)RX Mapping'!AR25-361),IF(AND('(橫掃)RX Mapping'!AR25&gt;=601,'(橫掃)RX Mapping'!AR25&lt;=720), (-1)*('(橫掃)RX Mapping'!AR25-720)+120,IF(AND('(橫掃)RX Mapping'!AR25&gt;=721,'(橫掃)RX Mapping'!AR25&lt;=840), ('(橫掃)RX Mapping'!AR25-601),IF(AND('(橫掃)RX Mapping'!AR25&gt;=841,'(橫掃)RX Mapping'!AR25&lt;=960), (-1)*('(橫掃)RX Mapping'!AR25-960)+120,9999))))))))</f>
        <v>9999</v>
      </c>
      <c r="AS25">
        <f>IF(AND('(橫掃)RX Mapping'!AS25&gt;=1,'(橫掃)RX Mapping'!AS25&lt;=120), ('(橫掃)RX Mapping'!AS25-1),IF(AND('(橫掃)RX Mapping'!AS25&gt;=121,'(橫掃)RX Mapping'!AS25&lt;=240), (-1)*('(橫掃)RX Mapping'!AS25-240),IF(AND('(橫掃)RX Mapping'!AS25&gt;=241,'(橫掃)RX Mapping'!AS25&lt;=360), ('(橫掃)RX Mapping'!AS25-241),IF(AND('(橫掃)RX Mapping'!AS25&gt;=361,'(橫掃)RX Mapping'!AS25&lt;=480), (-1)*('(橫掃)RX Mapping'!AS25-480),IF(AND('(橫掃)RX Mapping'!AS25&gt;=481,'(橫掃)RX Mapping'!AS25&lt;=600), ('(橫掃)RX Mapping'!AS25-361),IF(AND('(橫掃)RX Mapping'!AS25&gt;=601,'(橫掃)RX Mapping'!AS25&lt;=720), (-1)*('(橫掃)RX Mapping'!AS25-720)+120,IF(AND('(橫掃)RX Mapping'!AS25&gt;=721,'(橫掃)RX Mapping'!AS25&lt;=840), ('(橫掃)RX Mapping'!AS25-601),IF(AND('(橫掃)RX Mapping'!AS25&gt;=841,'(橫掃)RX Mapping'!AS25&lt;=960), (-1)*('(橫掃)RX Mapping'!AS25-960)+120,9999))))))))</f>
        <v>9999</v>
      </c>
      <c r="AT25">
        <f>IF(AND('(橫掃)RX Mapping'!AT25&gt;=1,'(橫掃)RX Mapping'!AT25&lt;=120), ('(橫掃)RX Mapping'!AT25-1),IF(AND('(橫掃)RX Mapping'!AT25&gt;=121,'(橫掃)RX Mapping'!AT25&lt;=240), (-1)*('(橫掃)RX Mapping'!AT25-240),IF(AND('(橫掃)RX Mapping'!AT25&gt;=241,'(橫掃)RX Mapping'!AT25&lt;=360), ('(橫掃)RX Mapping'!AT25-241),IF(AND('(橫掃)RX Mapping'!AT25&gt;=361,'(橫掃)RX Mapping'!AT25&lt;=480), (-1)*('(橫掃)RX Mapping'!AT25-480),IF(AND('(橫掃)RX Mapping'!AT25&gt;=481,'(橫掃)RX Mapping'!AT25&lt;=600), ('(橫掃)RX Mapping'!AT25-361),IF(AND('(橫掃)RX Mapping'!AT25&gt;=601,'(橫掃)RX Mapping'!AT25&lt;=720), (-1)*('(橫掃)RX Mapping'!AT25-720)+120,IF(AND('(橫掃)RX Mapping'!AT25&gt;=721,'(橫掃)RX Mapping'!AT25&lt;=840), ('(橫掃)RX Mapping'!AT25-601),IF(AND('(橫掃)RX Mapping'!AT25&gt;=841,'(橫掃)RX Mapping'!AT25&lt;=960), (-1)*('(橫掃)RX Mapping'!AT25-960)+120,9999))))))))</f>
        <v>9999</v>
      </c>
      <c r="AU25">
        <f>IF(AND('(橫掃)RX Mapping'!AU25&gt;=1,'(橫掃)RX Mapping'!AU25&lt;=120), ('(橫掃)RX Mapping'!AU25-1),IF(AND('(橫掃)RX Mapping'!AU25&gt;=121,'(橫掃)RX Mapping'!AU25&lt;=240), (-1)*('(橫掃)RX Mapping'!AU25-240),IF(AND('(橫掃)RX Mapping'!AU25&gt;=241,'(橫掃)RX Mapping'!AU25&lt;=360), ('(橫掃)RX Mapping'!AU25-241),IF(AND('(橫掃)RX Mapping'!AU25&gt;=361,'(橫掃)RX Mapping'!AU25&lt;=480), (-1)*('(橫掃)RX Mapping'!AU25-480),IF(AND('(橫掃)RX Mapping'!AU25&gt;=481,'(橫掃)RX Mapping'!AU25&lt;=600), ('(橫掃)RX Mapping'!AU25-361),IF(AND('(橫掃)RX Mapping'!AU25&gt;=601,'(橫掃)RX Mapping'!AU25&lt;=720), (-1)*('(橫掃)RX Mapping'!AU25-720)+120,IF(AND('(橫掃)RX Mapping'!AU25&gt;=721,'(橫掃)RX Mapping'!AU25&lt;=840), ('(橫掃)RX Mapping'!AU25-601),IF(AND('(橫掃)RX Mapping'!AU25&gt;=841,'(橫掃)RX Mapping'!AU25&lt;=960), (-1)*('(橫掃)RX Mapping'!AU25-960)+120,9999))))))))</f>
        <v>9999</v>
      </c>
      <c r="AV25">
        <f>IF(AND('(橫掃)RX Mapping'!AV25&gt;=1,'(橫掃)RX Mapping'!AV25&lt;=120), ('(橫掃)RX Mapping'!AV25-1),IF(AND('(橫掃)RX Mapping'!AV25&gt;=121,'(橫掃)RX Mapping'!AV25&lt;=240), (-1)*('(橫掃)RX Mapping'!AV25-240),IF(AND('(橫掃)RX Mapping'!AV25&gt;=241,'(橫掃)RX Mapping'!AV25&lt;=360), ('(橫掃)RX Mapping'!AV25-241),IF(AND('(橫掃)RX Mapping'!AV25&gt;=361,'(橫掃)RX Mapping'!AV25&lt;=480), (-1)*('(橫掃)RX Mapping'!AV25-480),IF(AND('(橫掃)RX Mapping'!AV25&gt;=481,'(橫掃)RX Mapping'!AV25&lt;=600), ('(橫掃)RX Mapping'!AV25-361),IF(AND('(橫掃)RX Mapping'!AV25&gt;=601,'(橫掃)RX Mapping'!AV25&lt;=720), (-1)*('(橫掃)RX Mapping'!AV25-720)+120,IF(AND('(橫掃)RX Mapping'!AV25&gt;=721,'(橫掃)RX Mapping'!AV25&lt;=840), ('(橫掃)RX Mapping'!AV25-601),IF(AND('(橫掃)RX Mapping'!AV25&gt;=841,'(橫掃)RX Mapping'!AV25&lt;=960), (-1)*('(橫掃)RX Mapping'!AV25-960)+120,9999))))))))</f>
        <v>9999</v>
      </c>
      <c r="AW25">
        <f>IF(AND('(橫掃)RX Mapping'!AW25&gt;=1,'(橫掃)RX Mapping'!AW25&lt;=120), ('(橫掃)RX Mapping'!AW25-1),IF(AND('(橫掃)RX Mapping'!AW25&gt;=121,'(橫掃)RX Mapping'!AW25&lt;=240), (-1)*('(橫掃)RX Mapping'!AW25-240),IF(AND('(橫掃)RX Mapping'!AW25&gt;=241,'(橫掃)RX Mapping'!AW25&lt;=360), ('(橫掃)RX Mapping'!AW25-241),IF(AND('(橫掃)RX Mapping'!AW25&gt;=361,'(橫掃)RX Mapping'!AW25&lt;=480), (-1)*('(橫掃)RX Mapping'!AW25-480),IF(AND('(橫掃)RX Mapping'!AW25&gt;=481,'(橫掃)RX Mapping'!AW25&lt;=600), ('(橫掃)RX Mapping'!AW25-361),IF(AND('(橫掃)RX Mapping'!AW25&gt;=601,'(橫掃)RX Mapping'!AW25&lt;=720), (-1)*('(橫掃)RX Mapping'!AW25-720)+120,IF(AND('(橫掃)RX Mapping'!AW25&gt;=721,'(橫掃)RX Mapping'!AW25&lt;=840), ('(橫掃)RX Mapping'!AW25-601),IF(AND('(橫掃)RX Mapping'!AW25&gt;=841,'(橫掃)RX Mapping'!AW25&lt;=960), (-1)*('(橫掃)RX Mapping'!AW25-960)+120,9999))))))))</f>
        <v>9999</v>
      </c>
      <c r="AX25">
        <f>IF(AND('(橫掃)RX Mapping'!AX25&gt;=1,'(橫掃)RX Mapping'!AX25&lt;=120), ('(橫掃)RX Mapping'!AX25-1),IF(AND('(橫掃)RX Mapping'!AX25&gt;=121,'(橫掃)RX Mapping'!AX25&lt;=240), (-1)*('(橫掃)RX Mapping'!AX25-240),IF(AND('(橫掃)RX Mapping'!AX25&gt;=241,'(橫掃)RX Mapping'!AX25&lt;=360), ('(橫掃)RX Mapping'!AX25-241),IF(AND('(橫掃)RX Mapping'!AX25&gt;=361,'(橫掃)RX Mapping'!AX25&lt;=480), (-1)*('(橫掃)RX Mapping'!AX25-480),IF(AND('(橫掃)RX Mapping'!AX25&gt;=481,'(橫掃)RX Mapping'!AX25&lt;=600), ('(橫掃)RX Mapping'!AX25-361),IF(AND('(橫掃)RX Mapping'!AX25&gt;=601,'(橫掃)RX Mapping'!AX25&lt;=720), (-1)*('(橫掃)RX Mapping'!AX25-720)+120,IF(AND('(橫掃)RX Mapping'!AX25&gt;=721,'(橫掃)RX Mapping'!AX25&lt;=840), ('(橫掃)RX Mapping'!AX25-601),IF(AND('(橫掃)RX Mapping'!AX25&gt;=841,'(橫掃)RX Mapping'!AX25&lt;=960), (-1)*('(橫掃)RX Mapping'!AX25-960)+120,9999))))))))</f>
        <v>9999</v>
      </c>
      <c r="AY25">
        <f>IF(AND('(橫掃)RX Mapping'!AY25&gt;=1,'(橫掃)RX Mapping'!AY25&lt;=120), ('(橫掃)RX Mapping'!AY25-1),IF(AND('(橫掃)RX Mapping'!AY25&gt;=121,'(橫掃)RX Mapping'!AY25&lt;=240), (-1)*('(橫掃)RX Mapping'!AY25-240),IF(AND('(橫掃)RX Mapping'!AY25&gt;=241,'(橫掃)RX Mapping'!AY25&lt;=360), ('(橫掃)RX Mapping'!AY25-241),IF(AND('(橫掃)RX Mapping'!AY25&gt;=361,'(橫掃)RX Mapping'!AY25&lt;=480), (-1)*('(橫掃)RX Mapping'!AY25-480),IF(AND('(橫掃)RX Mapping'!AY25&gt;=481,'(橫掃)RX Mapping'!AY25&lt;=600), ('(橫掃)RX Mapping'!AY25-361),IF(AND('(橫掃)RX Mapping'!AY25&gt;=601,'(橫掃)RX Mapping'!AY25&lt;=720), (-1)*('(橫掃)RX Mapping'!AY25-720)+120,IF(AND('(橫掃)RX Mapping'!AY25&gt;=721,'(橫掃)RX Mapping'!AY25&lt;=840), ('(橫掃)RX Mapping'!AY25-601),IF(AND('(橫掃)RX Mapping'!AY25&gt;=841,'(橫掃)RX Mapping'!AY25&lt;=960), (-1)*('(橫掃)RX Mapping'!AY25-960)+120,9999))))))))</f>
        <v>9999</v>
      </c>
      <c r="AZ25">
        <f>IF(AND('(橫掃)RX Mapping'!AZ25&gt;=1,'(橫掃)RX Mapping'!AZ25&lt;=120), ('(橫掃)RX Mapping'!AZ25-1),IF(AND('(橫掃)RX Mapping'!AZ25&gt;=121,'(橫掃)RX Mapping'!AZ25&lt;=240), (-1)*('(橫掃)RX Mapping'!AZ25-240),IF(AND('(橫掃)RX Mapping'!AZ25&gt;=241,'(橫掃)RX Mapping'!AZ25&lt;=360), ('(橫掃)RX Mapping'!AZ25-241),IF(AND('(橫掃)RX Mapping'!AZ25&gt;=361,'(橫掃)RX Mapping'!AZ25&lt;=480), (-1)*('(橫掃)RX Mapping'!AZ25-480),IF(AND('(橫掃)RX Mapping'!AZ25&gt;=481,'(橫掃)RX Mapping'!AZ25&lt;=600), ('(橫掃)RX Mapping'!AZ25-361),IF(AND('(橫掃)RX Mapping'!AZ25&gt;=601,'(橫掃)RX Mapping'!AZ25&lt;=720), (-1)*('(橫掃)RX Mapping'!AZ25-720)+120,IF(AND('(橫掃)RX Mapping'!AZ25&gt;=721,'(橫掃)RX Mapping'!AZ25&lt;=840), ('(橫掃)RX Mapping'!AZ25-601),IF(AND('(橫掃)RX Mapping'!AZ25&gt;=841,'(橫掃)RX Mapping'!AZ25&lt;=960), (-1)*('(橫掃)RX Mapping'!AZ25-960)+120,9999))))))))</f>
        <v>9999</v>
      </c>
      <c r="BA25">
        <f>IF(AND('(橫掃)RX Mapping'!BA25&gt;=1,'(橫掃)RX Mapping'!BA25&lt;=120), ('(橫掃)RX Mapping'!BA25-1),IF(AND('(橫掃)RX Mapping'!BA25&gt;=121,'(橫掃)RX Mapping'!BA25&lt;=240), (-1)*('(橫掃)RX Mapping'!BA25-240),IF(AND('(橫掃)RX Mapping'!BA25&gt;=241,'(橫掃)RX Mapping'!BA25&lt;=360), ('(橫掃)RX Mapping'!BA25-241),IF(AND('(橫掃)RX Mapping'!BA25&gt;=361,'(橫掃)RX Mapping'!BA25&lt;=480), (-1)*('(橫掃)RX Mapping'!BA25-480),IF(AND('(橫掃)RX Mapping'!BA25&gt;=481,'(橫掃)RX Mapping'!BA25&lt;=600), ('(橫掃)RX Mapping'!BA25-361),IF(AND('(橫掃)RX Mapping'!BA25&gt;=601,'(橫掃)RX Mapping'!BA25&lt;=720), (-1)*('(橫掃)RX Mapping'!BA25-720)+120,IF(AND('(橫掃)RX Mapping'!BA25&gt;=721,'(橫掃)RX Mapping'!BA25&lt;=840), ('(橫掃)RX Mapping'!BA25-601),IF(AND('(橫掃)RX Mapping'!BA25&gt;=841,'(橫掃)RX Mapping'!BA25&lt;=960), (-1)*('(橫掃)RX Mapping'!BA25-960)+120,9999))))))))</f>
        <v>9999</v>
      </c>
      <c r="BB25">
        <f>IF(AND('(橫掃)RX Mapping'!BB25&gt;=1,'(橫掃)RX Mapping'!BB25&lt;=120), ('(橫掃)RX Mapping'!BB25-1),IF(AND('(橫掃)RX Mapping'!BB25&gt;=121,'(橫掃)RX Mapping'!BB25&lt;=240), (-1)*('(橫掃)RX Mapping'!BB25-240),IF(AND('(橫掃)RX Mapping'!BB25&gt;=241,'(橫掃)RX Mapping'!BB25&lt;=360), ('(橫掃)RX Mapping'!BB25-241),IF(AND('(橫掃)RX Mapping'!BB25&gt;=361,'(橫掃)RX Mapping'!BB25&lt;=480), (-1)*('(橫掃)RX Mapping'!BB25-480),IF(AND('(橫掃)RX Mapping'!BB25&gt;=481,'(橫掃)RX Mapping'!BB25&lt;=600), ('(橫掃)RX Mapping'!BB25-361),IF(AND('(橫掃)RX Mapping'!BB25&gt;=601,'(橫掃)RX Mapping'!BB25&lt;=720), (-1)*('(橫掃)RX Mapping'!BB25-720)+120,IF(AND('(橫掃)RX Mapping'!BB25&gt;=721,'(橫掃)RX Mapping'!BB25&lt;=840), ('(橫掃)RX Mapping'!BB25-601),IF(AND('(橫掃)RX Mapping'!BB25&gt;=841,'(橫掃)RX Mapping'!BB25&lt;=960), (-1)*('(橫掃)RX Mapping'!BB25-960)+120,9999))))))))</f>
        <v>9999</v>
      </c>
      <c r="BC25">
        <f>IF(AND('(橫掃)RX Mapping'!BC25&gt;=1,'(橫掃)RX Mapping'!BC25&lt;=120), ('(橫掃)RX Mapping'!BC25-1),IF(AND('(橫掃)RX Mapping'!BC25&gt;=121,'(橫掃)RX Mapping'!BC25&lt;=240), (-1)*('(橫掃)RX Mapping'!BC25-240),IF(AND('(橫掃)RX Mapping'!BC25&gt;=241,'(橫掃)RX Mapping'!BC25&lt;=360), ('(橫掃)RX Mapping'!BC25-241),IF(AND('(橫掃)RX Mapping'!BC25&gt;=361,'(橫掃)RX Mapping'!BC25&lt;=480), (-1)*('(橫掃)RX Mapping'!BC25-480),IF(AND('(橫掃)RX Mapping'!BC25&gt;=481,'(橫掃)RX Mapping'!BC25&lt;=600), ('(橫掃)RX Mapping'!BC25-361),IF(AND('(橫掃)RX Mapping'!BC25&gt;=601,'(橫掃)RX Mapping'!BC25&lt;=720), (-1)*('(橫掃)RX Mapping'!BC25-720)+120,IF(AND('(橫掃)RX Mapping'!BC25&gt;=721,'(橫掃)RX Mapping'!BC25&lt;=840), ('(橫掃)RX Mapping'!BC25-601),IF(AND('(橫掃)RX Mapping'!BC25&gt;=841,'(橫掃)RX Mapping'!BC25&lt;=960), (-1)*('(橫掃)RX Mapping'!BC25-960)+120,9999))))))))</f>
        <v>9999</v>
      </c>
      <c r="BD25">
        <f>IF(AND('(橫掃)RX Mapping'!BD25&gt;=1,'(橫掃)RX Mapping'!BD25&lt;=120), ('(橫掃)RX Mapping'!BD25-1),IF(AND('(橫掃)RX Mapping'!BD25&gt;=121,'(橫掃)RX Mapping'!BD25&lt;=240), (-1)*('(橫掃)RX Mapping'!BD25-240),IF(AND('(橫掃)RX Mapping'!BD25&gt;=241,'(橫掃)RX Mapping'!BD25&lt;=360), ('(橫掃)RX Mapping'!BD25-241),IF(AND('(橫掃)RX Mapping'!BD25&gt;=361,'(橫掃)RX Mapping'!BD25&lt;=480), (-1)*('(橫掃)RX Mapping'!BD25-480),IF(AND('(橫掃)RX Mapping'!BD25&gt;=481,'(橫掃)RX Mapping'!BD25&lt;=600), ('(橫掃)RX Mapping'!BD25-361),IF(AND('(橫掃)RX Mapping'!BD25&gt;=601,'(橫掃)RX Mapping'!BD25&lt;=720), (-1)*('(橫掃)RX Mapping'!BD25-720)+120,IF(AND('(橫掃)RX Mapping'!BD25&gt;=721,'(橫掃)RX Mapping'!BD25&lt;=840), ('(橫掃)RX Mapping'!BD25-601),IF(AND('(橫掃)RX Mapping'!BD25&gt;=841,'(橫掃)RX Mapping'!BD25&lt;=960), (-1)*('(橫掃)RX Mapping'!BD25-960)+120,9999))))))))</f>
        <v>9999</v>
      </c>
      <c r="BE25">
        <f>IF(AND('(橫掃)RX Mapping'!BE25&gt;=1,'(橫掃)RX Mapping'!BE25&lt;=120), ('(橫掃)RX Mapping'!BE25-1),IF(AND('(橫掃)RX Mapping'!BE25&gt;=121,'(橫掃)RX Mapping'!BE25&lt;=240), (-1)*('(橫掃)RX Mapping'!BE25-240),IF(AND('(橫掃)RX Mapping'!BE25&gt;=241,'(橫掃)RX Mapping'!BE25&lt;=360), ('(橫掃)RX Mapping'!BE25-241),IF(AND('(橫掃)RX Mapping'!BE25&gt;=361,'(橫掃)RX Mapping'!BE25&lt;=480), (-1)*('(橫掃)RX Mapping'!BE25-480),IF(AND('(橫掃)RX Mapping'!BE25&gt;=481,'(橫掃)RX Mapping'!BE25&lt;=600), ('(橫掃)RX Mapping'!BE25-361),IF(AND('(橫掃)RX Mapping'!BE25&gt;=601,'(橫掃)RX Mapping'!BE25&lt;=720), (-1)*('(橫掃)RX Mapping'!BE25-720)+120,IF(AND('(橫掃)RX Mapping'!BE25&gt;=721,'(橫掃)RX Mapping'!BE25&lt;=840), ('(橫掃)RX Mapping'!BE25-601),IF(AND('(橫掃)RX Mapping'!BE25&gt;=841,'(橫掃)RX Mapping'!BE25&lt;=960), (-1)*('(橫掃)RX Mapping'!BE25-960)+120,9999))))))))</f>
        <v>9999</v>
      </c>
      <c r="BF25">
        <f>IF(AND('(橫掃)RX Mapping'!BF25&gt;=1,'(橫掃)RX Mapping'!BF25&lt;=120), ('(橫掃)RX Mapping'!BF25-1),IF(AND('(橫掃)RX Mapping'!BF25&gt;=121,'(橫掃)RX Mapping'!BF25&lt;=240), (-1)*('(橫掃)RX Mapping'!BF25-240),IF(AND('(橫掃)RX Mapping'!BF25&gt;=241,'(橫掃)RX Mapping'!BF25&lt;=360), ('(橫掃)RX Mapping'!BF25-241),IF(AND('(橫掃)RX Mapping'!BF25&gt;=361,'(橫掃)RX Mapping'!BF25&lt;=480), (-1)*('(橫掃)RX Mapping'!BF25-480),IF(AND('(橫掃)RX Mapping'!BF25&gt;=481,'(橫掃)RX Mapping'!BF25&lt;=600), ('(橫掃)RX Mapping'!BF25-361),IF(AND('(橫掃)RX Mapping'!BF25&gt;=601,'(橫掃)RX Mapping'!BF25&lt;=720), (-1)*('(橫掃)RX Mapping'!BF25-720)+120,IF(AND('(橫掃)RX Mapping'!BF25&gt;=721,'(橫掃)RX Mapping'!BF25&lt;=840), ('(橫掃)RX Mapping'!BF25-601),IF(AND('(橫掃)RX Mapping'!BF25&gt;=841,'(橫掃)RX Mapping'!BF25&lt;=960), (-1)*('(橫掃)RX Mapping'!BF25-960)+120,9999))))))))</f>
        <v>9999</v>
      </c>
      <c r="BG25">
        <f>IF(AND('(橫掃)RX Mapping'!BG25&gt;=1,'(橫掃)RX Mapping'!BG25&lt;=120), ('(橫掃)RX Mapping'!BG25-1),IF(AND('(橫掃)RX Mapping'!BG25&gt;=121,'(橫掃)RX Mapping'!BG25&lt;=240), (-1)*('(橫掃)RX Mapping'!BG25-240),IF(AND('(橫掃)RX Mapping'!BG25&gt;=241,'(橫掃)RX Mapping'!BG25&lt;=360), ('(橫掃)RX Mapping'!BG25-241),IF(AND('(橫掃)RX Mapping'!BG25&gt;=361,'(橫掃)RX Mapping'!BG25&lt;=480), (-1)*('(橫掃)RX Mapping'!BG25-480),IF(AND('(橫掃)RX Mapping'!BG25&gt;=481,'(橫掃)RX Mapping'!BG25&lt;=600), ('(橫掃)RX Mapping'!BG25-361),IF(AND('(橫掃)RX Mapping'!BG25&gt;=601,'(橫掃)RX Mapping'!BG25&lt;=720), (-1)*('(橫掃)RX Mapping'!BG25-720)+120,IF(AND('(橫掃)RX Mapping'!BG25&gt;=721,'(橫掃)RX Mapping'!BG25&lt;=840), ('(橫掃)RX Mapping'!BG25-601),IF(AND('(橫掃)RX Mapping'!BG25&gt;=841,'(橫掃)RX Mapping'!BG25&lt;=960), (-1)*('(橫掃)RX Mapping'!BG25-960)+120,9999))))))))</f>
        <v>9999</v>
      </c>
      <c r="BH25">
        <f>IF(AND('(橫掃)RX Mapping'!BH25&gt;=1,'(橫掃)RX Mapping'!BH25&lt;=120), ('(橫掃)RX Mapping'!BH25-1),IF(AND('(橫掃)RX Mapping'!BH25&gt;=121,'(橫掃)RX Mapping'!BH25&lt;=240), (-1)*('(橫掃)RX Mapping'!BH25-240),IF(AND('(橫掃)RX Mapping'!BH25&gt;=241,'(橫掃)RX Mapping'!BH25&lt;=360), ('(橫掃)RX Mapping'!BH25-241),IF(AND('(橫掃)RX Mapping'!BH25&gt;=361,'(橫掃)RX Mapping'!BH25&lt;=480), (-1)*('(橫掃)RX Mapping'!BH25-480),IF(AND('(橫掃)RX Mapping'!BH25&gt;=481,'(橫掃)RX Mapping'!BH25&lt;=600), ('(橫掃)RX Mapping'!BH25-361),IF(AND('(橫掃)RX Mapping'!BH25&gt;=601,'(橫掃)RX Mapping'!BH25&lt;=720), (-1)*('(橫掃)RX Mapping'!BH25-720)+120,IF(AND('(橫掃)RX Mapping'!BH25&gt;=721,'(橫掃)RX Mapping'!BH25&lt;=840), ('(橫掃)RX Mapping'!BH25-601),IF(AND('(橫掃)RX Mapping'!BH25&gt;=841,'(橫掃)RX Mapping'!BH25&lt;=960), (-1)*('(橫掃)RX Mapping'!BH25-960)+120,9999))))))))</f>
        <v>9999</v>
      </c>
      <c r="BI25">
        <f>IF(AND('(橫掃)RX Mapping'!BI25&gt;=1,'(橫掃)RX Mapping'!BI25&lt;=120), ('(橫掃)RX Mapping'!BI25-1),IF(AND('(橫掃)RX Mapping'!BI25&gt;=121,'(橫掃)RX Mapping'!BI25&lt;=240), (-1)*('(橫掃)RX Mapping'!BI25-240),IF(AND('(橫掃)RX Mapping'!BI25&gt;=241,'(橫掃)RX Mapping'!BI25&lt;=360), ('(橫掃)RX Mapping'!BI25-241),IF(AND('(橫掃)RX Mapping'!BI25&gt;=361,'(橫掃)RX Mapping'!BI25&lt;=480), (-1)*('(橫掃)RX Mapping'!BI25-480),IF(AND('(橫掃)RX Mapping'!BI25&gt;=481,'(橫掃)RX Mapping'!BI25&lt;=600), ('(橫掃)RX Mapping'!BI25-361),IF(AND('(橫掃)RX Mapping'!BI25&gt;=601,'(橫掃)RX Mapping'!BI25&lt;=720), (-1)*('(橫掃)RX Mapping'!BI25-720)+120,IF(AND('(橫掃)RX Mapping'!BI25&gt;=721,'(橫掃)RX Mapping'!BI25&lt;=840), ('(橫掃)RX Mapping'!BI25-601),IF(AND('(橫掃)RX Mapping'!BI25&gt;=841,'(橫掃)RX Mapping'!BI25&lt;=960), (-1)*('(橫掃)RX Mapping'!BI25-960)+120,9999))))))))</f>
        <v>9999</v>
      </c>
    </row>
    <row r="26" spans="1:61" x14ac:dyDescent="0.25">
      <c r="A26" s="20">
        <v>25</v>
      </c>
      <c r="B26">
        <f>IF(AND('(橫掃)RX Mapping'!B26&gt;=1,'(橫掃)RX Mapping'!B26&lt;=120), ('(橫掃)RX Mapping'!B26-1),IF(AND('(橫掃)RX Mapping'!B26&gt;=121,'(橫掃)RX Mapping'!B26&lt;=240), (-1)*('(橫掃)RX Mapping'!B26-240),IF(AND('(橫掃)RX Mapping'!B26&gt;=241,'(橫掃)RX Mapping'!B26&lt;=360), ('(橫掃)RX Mapping'!B26-241),IF(AND('(橫掃)RX Mapping'!B26&gt;=361,'(橫掃)RX Mapping'!B26&lt;=480), (-1)*('(橫掃)RX Mapping'!B26-480),IF(AND('(橫掃)RX Mapping'!B26&gt;=481,'(橫掃)RX Mapping'!B26&lt;=600), ('(橫掃)RX Mapping'!B26-361),IF(AND('(橫掃)RX Mapping'!B26&gt;=601,'(橫掃)RX Mapping'!B26&lt;=720), (-1)*('(橫掃)RX Mapping'!B26-720)+120,IF(AND('(橫掃)RX Mapping'!B26&gt;=721,'(橫掃)RX Mapping'!B26&lt;=840), ('(橫掃)RX Mapping'!B26-601),IF(AND('(橫掃)RX Mapping'!B26&gt;=841,'(橫掃)RX Mapping'!B26&lt;=960), (-1)*('(橫掃)RX Mapping'!B26-960)+120,9999))))))))</f>
        <v>24</v>
      </c>
      <c r="C26">
        <f>IF(AND('(橫掃)RX Mapping'!C26&gt;=1,'(橫掃)RX Mapping'!C26&lt;=120), ('(橫掃)RX Mapping'!C26-1),IF(AND('(橫掃)RX Mapping'!C26&gt;=121,'(橫掃)RX Mapping'!C26&lt;=240), (-1)*('(橫掃)RX Mapping'!C26-240),IF(AND('(橫掃)RX Mapping'!C26&gt;=241,'(橫掃)RX Mapping'!C26&lt;=360), ('(橫掃)RX Mapping'!C26-241),IF(AND('(橫掃)RX Mapping'!C26&gt;=361,'(橫掃)RX Mapping'!C26&lt;=480), (-1)*('(橫掃)RX Mapping'!C26-480),IF(AND('(橫掃)RX Mapping'!C26&gt;=481,'(橫掃)RX Mapping'!C26&lt;=600), ('(橫掃)RX Mapping'!C26-361),IF(AND('(橫掃)RX Mapping'!C26&gt;=601,'(橫掃)RX Mapping'!C26&lt;=720), (-1)*('(橫掃)RX Mapping'!C26-720)+120,IF(AND('(橫掃)RX Mapping'!C26&gt;=721,'(橫掃)RX Mapping'!C26&lt;=840), ('(橫掃)RX Mapping'!C26-601),IF(AND('(橫掃)RX Mapping'!C26&gt;=841,'(橫掃)RX Mapping'!C26&lt;=960), (-1)*('(橫掃)RX Mapping'!C26-960)+120,9999))))))))</f>
        <v>56</v>
      </c>
      <c r="D26">
        <f>IF(AND('(橫掃)RX Mapping'!D26&gt;=1,'(橫掃)RX Mapping'!D26&lt;=120), ('(橫掃)RX Mapping'!D26-1),IF(AND('(橫掃)RX Mapping'!D26&gt;=121,'(橫掃)RX Mapping'!D26&lt;=240), (-1)*('(橫掃)RX Mapping'!D26-240),IF(AND('(橫掃)RX Mapping'!D26&gt;=241,'(橫掃)RX Mapping'!D26&lt;=360), ('(橫掃)RX Mapping'!D26-241),IF(AND('(橫掃)RX Mapping'!D26&gt;=361,'(橫掃)RX Mapping'!D26&lt;=480), (-1)*('(橫掃)RX Mapping'!D26-480),IF(AND('(橫掃)RX Mapping'!D26&gt;=481,'(橫掃)RX Mapping'!D26&lt;=600), ('(橫掃)RX Mapping'!D26-361),IF(AND('(橫掃)RX Mapping'!D26&gt;=601,'(橫掃)RX Mapping'!D26&lt;=720), (-1)*('(橫掃)RX Mapping'!D26-720)+120,IF(AND('(橫掃)RX Mapping'!D26&gt;=721,'(橫掃)RX Mapping'!D26&lt;=840), ('(橫掃)RX Mapping'!D26-601),IF(AND('(橫掃)RX Mapping'!D26&gt;=841,'(橫掃)RX Mapping'!D26&lt;=960), (-1)*('(橫掃)RX Mapping'!D26-960)+120,9999))))))))</f>
        <v>88</v>
      </c>
      <c r="E26">
        <f>IF(AND('(橫掃)RX Mapping'!E26&gt;=1,'(橫掃)RX Mapping'!E26&lt;=120), ('(橫掃)RX Mapping'!E26-1),IF(AND('(橫掃)RX Mapping'!E26&gt;=121,'(橫掃)RX Mapping'!E26&lt;=240), (-1)*('(橫掃)RX Mapping'!E26-240),IF(AND('(橫掃)RX Mapping'!E26&gt;=241,'(橫掃)RX Mapping'!E26&lt;=360), ('(橫掃)RX Mapping'!E26-241),IF(AND('(橫掃)RX Mapping'!E26&gt;=361,'(橫掃)RX Mapping'!E26&lt;=480), (-1)*('(橫掃)RX Mapping'!E26-480),IF(AND('(橫掃)RX Mapping'!E26&gt;=481,'(橫掃)RX Mapping'!E26&lt;=600), ('(橫掃)RX Mapping'!E26-361),IF(AND('(橫掃)RX Mapping'!E26&gt;=601,'(橫掃)RX Mapping'!E26&lt;=720), (-1)*('(橫掃)RX Mapping'!E26-720)+120,IF(AND('(橫掃)RX Mapping'!E26&gt;=721,'(橫掃)RX Mapping'!E26&lt;=840), ('(橫掃)RX Mapping'!E26-601),IF(AND('(橫掃)RX Mapping'!E26&gt;=841,'(橫掃)RX Mapping'!E26&lt;=960), (-1)*('(橫掃)RX Mapping'!E26-960)+120,9999))))))))</f>
        <v>119</v>
      </c>
      <c r="F26">
        <f>IF(AND('(橫掃)RX Mapping'!F26&gt;=1,'(橫掃)RX Mapping'!F26&lt;=120), ('(橫掃)RX Mapping'!F26-1),IF(AND('(橫掃)RX Mapping'!F26&gt;=121,'(橫掃)RX Mapping'!F26&lt;=240), (-1)*('(橫掃)RX Mapping'!F26-240),IF(AND('(橫掃)RX Mapping'!F26&gt;=241,'(橫掃)RX Mapping'!F26&lt;=360), ('(橫掃)RX Mapping'!F26-241),IF(AND('(橫掃)RX Mapping'!F26&gt;=361,'(橫掃)RX Mapping'!F26&lt;=480), (-1)*('(橫掃)RX Mapping'!F26-480),IF(AND('(橫掃)RX Mapping'!F26&gt;=481,'(橫掃)RX Mapping'!F26&lt;=600), ('(橫掃)RX Mapping'!F26-361),IF(AND('(橫掃)RX Mapping'!F26&gt;=601,'(橫掃)RX Mapping'!F26&lt;=720), (-1)*('(橫掃)RX Mapping'!F26-720)+120,IF(AND('(橫掃)RX Mapping'!F26&gt;=721,'(橫掃)RX Mapping'!F26&lt;=840), ('(橫掃)RX Mapping'!F26-601),IF(AND('(橫掃)RX Mapping'!F26&gt;=841,'(橫掃)RX Mapping'!F26&lt;=960), (-1)*('(橫掃)RX Mapping'!F26-960)+120,9999))))))))</f>
        <v>87</v>
      </c>
      <c r="G26">
        <f>IF(AND('(橫掃)RX Mapping'!G26&gt;=1,'(橫掃)RX Mapping'!G26&lt;=120), ('(橫掃)RX Mapping'!G26-1),IF(AND('(橫掃)RX Mapping'!G26&gt;=121,'(橫掃)RX Mapping'!G26&lt;=240), (-1)*('(橫掃)RX Mapping'!G26-240),IF(AND('(橫掃)RX Mapping'!G26&gt;=241,'(橫掃)RX Mapping'!G26&lt;=360), ('(橫掃)RX Mapping'!G26-241),IF(AND('(橫掃)RX Mapping'!G26&gt;=361,'(橫掃)RX Mapping'!G26&lt;=480), (-1)*('(橫掃)RX Mapping'!G26-480),IF(AND('(橫掃)RX Mapping'!G26&gt;=481,'(橫掃)RX Mapping'!G26&lt;=600), ('(橫掃)RX Mapping'!G26-361),IF(AND('(橫掃)RX Mapping'!G26&gt;=601,'(橫掃)RX Mapping'!G26&lt;=720), (-1)*('(橫掃)RX Mapping'!G26-720)+120,IF(AND('(橫掃)RX Mapping'!G26&gt;=721,'(橫掃)RX Mapping'!G26&lt;=840), ('(橫掃)RX Mapping'!G26-601),IF(AND('(橫掃)RX Mapping'!G26&gt;=841,'(橫掃)RX Mapping'!G26&lt;=960), (-1)*('(橫掃)RX Mapping'!G26-960)+120,9999))))))))</f>
        <v>55</v>
      </c>
      <c r="H26">
        <f>IF(AND('(橫掃)RX Mapping'!H26&gt;=1,'(橫掃)RX Mapping'!H26&lt;=120), ('(橫掃)RX Mapping'!H26-1),IF(AND('(橫掃)RX Mapping'!H26&gt;=121,'(橫掃)RX Mapping'!H26&lt;=240), (-1)*('(橫掃)RX Mapping'!H26-240),IF(AND('(橫掃)RX Mapping'!H26&gt;=241,'(橫掃)RX Mapping'!H26&lt;=360), ('(橫掃)RX Mapping'!H26-241),IF(AND('(橫掃)RX Mapping'!H26&gt;=361,'(橫掃)RX Mapping'!H26&lt;=480), (-1)*('(橫掃)RX Mapping'!H26-480),IF(AND('(橫掃)RX Mapping'!H26&gt;=481,'(橫掃)RX Mapping'!H26&lt;=600), ('(橫掃)RX Mapping'!H26-361),IF(AND('(橫掃)RX Mapping'!H26&gt;=601,'(橫掃)RX Mapping'!H26&lt;=720), (-1)*('(橫掃)RX Mapping'!H26-720)+120,IF(AND('(橫掃)RX Mapping'!H26&gt;=721,'(橫掃)RX Mapping'!H26&lt;=840), ('(橫掃)RX Mapping'!H26-601),IF(AND('(橫掃)RX Mapping'!H26&gt;=841,'(橫掃)RX Mapping'!H26&lt;=960), (-1)*('(橫掃)RX Mapping'!H26-960)+120,9999))))))))</f>
        <v>23</v>
      </c>
      <c r="I26">
        <f>IF(AND('(橫掃)RX Mapping'!I26&gt;=1,'(橫掃)RX Mapping'!I26&lt;=120), ('(橫掃)RX Mapping'!I26-1),IF(AND('(橫掃)RX Mapping'!I26&gt;=121,'(橫掃)RX Mapping'!I26&lt;=240), (-1)*('(橫掃)RX Mapping'!I26-240),IF(AND('(橫掃)RX Mapping'!I26&gt;=241,'(橫掃)RX Mapping'!I26&lt;=360), ('(橫掃)RX Mapping'!I26-241),IF(AND('(橫掃)RX Mapping'!I26&gt;=361,'(橫掃)RX Mapping'!I26&lt;=480), (-1)*('(橫掃)RX Mapping'!I26-480),IF(AND('(橫掃)RX Mapping'!I26&gt;=481,'(橫掃)RX Mapping'!I26&lt;=600), ('(橫掃)RX Mapping'!I26-361),IF(AND('(橫掃)RX Mapping'!I26&gt;=601,'(橫掃)RX Mapping'!I26&lt;=720), (-1)*('(橫掃)RX Mapping'!I26-720)+120,IF(AND('(橫掃)RX Mapping'!I26&gt;=721,'(橫掃)RX Mapping'!I26&lt;=840), ('(橫掃)RX Mapping'!I26-601),IF(AND('(橫掃)RX Mapping'!I26&gt;=841,'(橫掃)RX Mapping'!I26&lt;=960), (-1)*('(橫掃)RX Mapping'!I26-960)+120,9999))))))))</f>
        <v>24</v>
      </c>
      <c r="J26">
        <f>IF(AND('(橫掃)RX Mapping'!J26&gt;=1,'(橫掃)RX Mapping'!J26&lt;=120), ('(橫掃)RX Mapping'!J26-1),IF(AND('(橫掃)RX Mapping'!J26&gt;=121,'(橫掃)RX Mapping'!J26&lt;=240), (-1)*('(橫掃)RX Mapping'!J26-240),IF(AND('(橫掃)RX Mapping'!J26&gt;=241,'(橫掃)RX Mapping'!J26&lt;=360), ('(橫掃)RX Mapping'!J26-241),IF(AND('(橫掃)RX Mapping'!J26&gt;=361,'(橫掃)RX Mapping'!J26&lt;=480), (-1)*('(橫掃)RX Mapping'!J26-480),IF(AND('(橫掃)RX Mapping'!J26&gt;=481,'(橫掃)RX Mapping'!J26&lt;=600), ('(橫掃)RX Mapping'!J26-361),IF(AND('(橫掃)RX Mapping'!J26&gt;=601,'(橫掃)RX Mapping'!J26&lt;=720), (-1)*('(橫掃)RX Mapping'!J26-720)+120,IF(AND('(橫掃)RX Mapping'!J26&gt;=721,'(橫掃)RX Mapping'!J26&lt;=840), ('(橫掃)RX Mapping'!J26-601),IF(AND('(橫掃)RX Mapping'!J26&gt;=841,'(橫掃)RX Mapping'!J26&lt;=960), (-1)*('(橫掃)RX Mapping'!J26-960)+120,9999))))))))</f>
        <v>56</v>
      </c>
      <c r="K26">
        <f>IF(AND('(橫掃)RX Mapping'!K26&gt;=1,'(橫掃)RX Mapping'!K26&lt;=120), ('(橫掃)RX Mapping'!K26-1),IF(AND('(橫掃)RX Mapping'!K26&gt;=121,'(橫掃)RX Mapping'!K26&lt;=240), (-1)*('(橫掃)RX Mapping'!K26-240),IF(AND('(橫掃)RX Mapping'!K26&gt;=241,'(橫掃)RX Mapping'!K26&lt;=360), ('(橫掃)RX Mapping'!K26-241),IF(AND('(橫掃)RX Mapping'!K26&gt;=361,'(橫掃)RX Mapping'!K26&lt;=480), (-1)*('(橫掃)RX Mapping'!K26-480),IF(AND('(橫掃)RX Mapping'!K26&gt;=481,'(橫掃)RX Mapping'!K26&lt;=600), ('(橫掃)RX Mapping'!K26-361),IF(AND('(橫掃)RX Mapping'!K26&gt;=601,'(橫掃)RX Mapping'!K26&lt;=720), (-1)*('(橫掃)RX Mapping'!K26-720)+120,IF(AND('(橫掃)RX Mapping'!K26&gt;=721,'(橫掃)RX Mapping'!K26&lt;=840), ('(橫掃)RX Mapping'!K26-601),IF(AND('(橫掃)RX Mapping'!K26&gt;=841,'(橫掃)RX Mapping'!K26&lt;=960), (-1)*('(橫掃)RX Mapping'!K26-960)+120,9999))))))))</f>
        <v>88</v>
      </c>
      <c r="L26">
        <f>IF(AND('(橫掃)RX Mapping'!L26&gt;=1,'(橫掃)RX Mapping'!L26&lt;=120), ('(橫掃)RX Mapping'!L26-1),IF(AND('(橫掃)RX Mapping'!L26&gt;=121,'(橫掃)RX Mapping'!L26&lt;=240), (-1)*('(橫掃)RX Mapping'!L26-240),IF(AND('(橫掃)RX Mapping'!L26&gt;=241,'(橫掃)RX Mapping'!L26&lt;=360), ('(橫掃)RX Mapping'!L26-241),IF(AND('(橫掃)RX Mapping'!L26&gt;=361,'(橫掃)RX Mapping'!L26&lt;=480), (-1)*('(橫掃)RX Mapping'!L26-480),IF(AND('(橫掃)RX Mapping'!L26&gt;=481,'(橫掃)RX Mapping'!L26&lt;=600), ('(橫掃)RX Mapping'!L26-361),IF(AND('(橫掃)RX Mapping'!L26&gt;=601,'(橫掃)RX Mapping'!L26&lt;=720), (-1)*('(橫掃)RX Mapping'!L26-720)+120,IF(AND('(橫掃)RX Mapping'!L26&gt;=721,'(橫掃)RX Mapping'!L26&lt;=840), ('(橫掃)RX Mapping'!L26-601),IF(AND('(橫掃)RX Mapping'!L26&gt;=841,'(橫掃)RX Mapping'!L26&lt;=960), (-1)*('(橫掃)RX Mapping'!L26-960)+120,9999))))))))</f>
        <v>119</v>
      </c>
      <c r="M26">
        <f>IF(AND('(橫掃)RX Mapping'!M26&gt;=1,'(橫掃)RX Mapping'!M26&lt;=120), ('(橫掃)RX Mapping'!M26-1),IF(AND('(橫掃)RX Mapping'!M26&gt;=121,'(橫掃)RX Mapping'!M26&lt;=240), (-1)*('(橫掃)RX Mapping'!M26-240),IF(AND('(橫掃)RX Mapping'!M26&gt;=241,'(橫掃)RX Mapping'!M26&lt;=360), ('(橫掃)RX Mapping'!M26-241),IF(AND('(橫掃)RX Mapping'!M26&gt;=361,'(橫掃)RX Mapping'!M26&lt;=480), (-1)*('(橫掃)RX Mapping'!M26-480),IF(AND('(橫掃)RX Mapping'!M26&gt;=481,'(橫掃)RX Mapping'!M26&lt;=600), ('(橫掃)RX Mapping'!M26-361),IF(AND('(橫掃)RX Mapping'!M26&gt;=601,'(橫掃)RX Mapping'!M26&lt;=720), (-1)*('(橫掃)RX Mapping'!M26-720)+120,IF(AND('(橫掃)RX Mapping'!M26&gt;=721,'(橫掃)RX Mapping'!M26&lt;=840), ('(橫掃)RX Mapping'!M26-601),IF(AND('(橫掃)RX Mapping'!M26&gt;=841,'(橫掃)RX Mapping'!M26&lt;=960), (-1)*('(橫掃)RX Mapping'!M26-960)+120,9999))))))))</f>
        <v>87</v>
      </c>
      <c r="N26">
        <f>IF(AND('(橫掃)RX Mapping'!N26&gt;=1,'(橫掃)RX Mapping'!N26&lt;=120), ('(橫掃)RX Mapping'!N26-1),IF(AND('(橫掃)RX Mapping'!N26&gt;=121,'(橫掃)RX Mapping'!N26&lt;=240), (-1)*('(橫掃)RX Mapping'!N26-240),IF(AND('(橫掃)RX Mapping'!N26&gt;=241,'(橫掃)RX Mapping'!N26&lt;=360), ('(橫掃)RX Mapping'!N26-241),IF(AND('(橫掃)RX Mapping'!N26&gt;=361,'(橫掃)RX Mapping'!N26&lt;=480), (-1)*('(橫掃)RX Mapping'!N26-480),IF(AND('(橫掃)RX Mapping'!N26&gt;=481,'(橫掃)RX Mapping'!N26&lt;=600), ('(橫掃)RX Mapping'!N26-361),IF(AND('(橫掃)RX Mapping'!N26&gt;=601,'(橫掃)RX Mapping'!N26&lt;=720), (-1)*('(橫掃)RX Mapping'!N26-720)+120,IF(AND('(橫掃)RX Mapping'!N26&gt;=721,'(橫掃)RX Mapping'!N26&lt;=840), ('(橫掃)RX Mapping'!N26-601),IF(AND('(橫掃)RX Mapping'!N26&gt;=841,'(橫掃)RX Mapping'!N26&lt;=960), (-1)*('(橫掃)RX Mapping'!N26-960)+120,9999))))))))</f>
        <v>55</v>
      </c>
      <c r="O26">
        <f>IF(AND('(橫掃)RX Mapping'!O26&gt;=1,'(橫掃)RX Mapping'!O26&lt;=120), ('(橫掃)RX Mapping'!O26-1),IF(AND('(橫掃)RX Mapping'!O26&gt;=121,'(橫掃)RX Mapping'!O26&lt;=240), (-1)*('(橫掃)RX Mapping'!O26-240),IF(AND('(橫掃)RX Mapping'!O26&gt;=241,'(橫掃)RX Mapping'!O26&lt;=360), ('(橫掃)RX Mapping'!O26-241),IF(AND('(橫掃)RX Mapping'!O26&gt;=361,'(橫掃)RX Mapping'!O26&lt;=480), (-1)*('(橫掃)RX Mapping'!O26-480),IF(AND('(橫掃)RX Mapping'!O26&gt;=481,'(橫掃)RX Mapping'!O26&lt;=600), ('(橫掃)RX Mapping'!O26-361),IF(AND('(橫掃)RX Mapping'!O26&gt;=601,'(橫掃)RX Mapping'!O26&lt;=720), (-1)*('(橫掃)RX Mapping'!O26-720)+120,IF(AND('(橫掃)RX Mapping'!O26&gt;=721,'(橫掃)RX Mapping'!O26&lt;=840), ('(橫掃)RX Mapping'!O26-601),IF(AND('(橫掃)RX Mapping'!O26&gt;=841,'(橫掃)RX Mapping'!O26&lt;=960), (-1)*('(橫掃)RX Mapping'!O26-960)+120,9999))))))))</f>
        <v>23</v>
      </c>
      <c r="P26">
        <f>IF(AND('(橫掃)RX Mapping'!P26&gt;=1,'(橫掃)RX Mapping'!P26&lt;=120), ('(橫掃)RX Mapping'!P26-1),IF(AND('(橫掃)RX Mapping'!P26&gt;=121,'(橫掃)RX Mapping'!P26&lt;=240), (-1)*('(橫掃)RX Mapping'!P26-240),IF(AND('(橫掃)RX Mapping'!P26&gt;=241,'(橫掃)RX Mapping'!P26&lt;=360), ('(橫掃)RX Mapping'!P26-241),IF(AND('(橫掃)RX Mapping'!P26&gt;=361,'(橫掃)RX Mapping'!P26&lt;=480), (-1)*('(橫掃)RX Mapping'!P26-480),IF(AND('(橫掃)RX Mapping'!P26&gt;=481,'(橫掃)RX Mapping'!P26&lt;=600), ('(橫掃)RX Mapping'!P26-361),IF(AND('(橫掃)RX Mapping'!P26&gt;=601,'(橫掃)RX Mapping'!P26&lt;=720), (-1)*('(橫掃)RX Mapping'!P26-720)+120,IF(AND('(橫掃)RX Mapping'!P26&gt;=721,'(橫掃)RX Mapping'!P26&lt;=840), ('(橫掃)RX Mapping'!P26-601),IF(AND('(橫掃)RX Mapping'!P26&gt;=841,'(橫掃)RX Mapping'!P26&lt;=960), (-1)*('(橫掃)RX Mapping'!P26-960)+120,9999))))))))</f>
        <v>144</v>
      </c>
      <c r="Q26">
        <f>IF(AND('(橫掃)RX Mapping'!Q26&gt;=1,'(橫掃)RX Mapping'!Q26&lt;=120), ('(橫掃)RX Mapping'!Q26-1),IF(AND('(橫掃)RX Mapping'!Q26&gt;=121,'(橫掃)RX Mapping'!Q26&lt;=240), (-1)*('(橫掃)RX Mapping'!Q26-240),IF(AND('(橫掃)RX Mapping'!Q26&gt;=241,'(橫掃)RX Mapping'!Q26&lt;=360), ('(橫掃)RX Mapping'!Q26-241),IF(AND('(橫掃)RX Mapping'!Q26&gt;=361,'(橫掃)RX Mapping'!Q26&lt;=480), (-1)*('(橫掃)RX Mapping'!Q26-480),IF(AND('(橫掃)RX Mapping'!Q26&gt;=481,'(橫掃)RX Mapping'!Q26&lt;=600), ('(橫掃)RX Mapping'!Q26-361),IF(AND('(橫掃)RX Mapping'!Q26&gt;=601,'(橫掃)RX Mapping'!Q26&lt;=720), (-1)*('(橫掃)RX Mapping'!Q26-720)+120,IF(AND('(橫掃)RX Mapping'!Q26&gt;=721,'(橫掃)RX Mapping'!Q26&lt;=840), ('(橫掃)RX Mapping'!Q26-601),IF(AND('(橫掃)RX Mapping'!Q26&gt;=841,'(橫掃)RX Mapping'!Q26&lt;=960), (-1)*('(橫掃)RX Mapping'!Q26-960)+120,9999))))))))</f>
        <v>176</v>
      </c>
      <c r="R26">
        <f>IF(AND('(橫掃)RX Mapping'!R26&gt;=1,'(橫掃)RX Mapping'!R26&lt;=120), ('(橫掃)RX Mapping'!R26-1),IF(AND('(橫掃)RX Mapping'!R26&gt;=121,'(橫掃)RX Mapping'!R26&lt;=240), (-1)*('(橫掃)RX Mapping'!R26-240),IF(AND('(橫掃)RX Mapping'!R26&gt;=241,'(橫掃)RX Mapping'!R26&lt;=360), ('(橫掃)RX Mapping'!R26-241),IF(AND('(橫掃)RX Mapping'!R26&gt;=361,'(橫掃)RX Mapping'!R26&lt;=480), (-1)*('(橫掃)RX Mapping'!R26-480),IF(AND('(橫掃)RX Mapping'!R26&gt;=481,'(橫掃)RX Mapping'!R26&lt;=600), ('(橫掃)RX Mapping'!R26-361),IF(AND('(橫掃)RX Mapping'!R26&gt;=601,'(橫掃)RX Mapping'!R26&lt;=720), (-1)*('(橫掃)RX Mapping'!R26-720)+120,IF(AND('(橫掃)RX Mapping'!R26&gt;=721,'(橫掃)RX Mapping'!R26&lt;=840), ('(橫掃)RX Mapping'!R26-601),IF(AND('(橫掃)RX Mapping'!R26&gt;=841,'(橫掃)RX Mapping'!R26&lt;=960), (-1)*('(橫掃)RX Mapping'!R26-960)+120,9999))))))))</f>
        <v>208</v>
      </c>
      <c r="S26">
        <f>IF(AND('(橫掃)RX Mapping'!S26&gt;=1,'(橫掃)RX Mapping'!S26&lt;=120), ('(橫掃)RX Mapping'!S26-1),IF(AND('(橫掃)RX Mapping'!S26&gt;=121,'(橫掃)RX Mapping'!S26&lt;=240), (-1)*('(橫掃)RX Mapping'!S26-240),IF(AND('(橫掃)RX Mapping'!S26&gt;=241,'(橫掃)RX Mapping'!S26&lt;=360), ('(橫掃)RX Mapping'!S26-241),IF(AND('(橫掃)RX Mapping'!S26&gt;=361,'(橫掃)RX Mapping'!S26&lt;=480), (-1)*('(橫掃)RX Mapping'!S26-480),IF(AND('(橫掃)RX Mapping'!S26&gt;=481,'(橫掃)RX Mapping'!S26&lt;=600), ('(橫掃)RX Mapping'!S26-361),IF(AND('(橫掃)RX Mapping'!S26&gt;=601,'(橫掃)RX Mapping'!S26&lt;=720), (-1)*('(橫掃)RX Mapping'!S26-720)+120,IF(AND('(橫掃)RX Mapping'!S26&gt;=721,'(橫掃)RX Mapping'!S26&lt;=840), ('(橫掃)RX Mapping'!S26-601),IF(AND('(橫掃)RX Mapping'!S26&gt;=841,'(橫掃)RX Mapping'!S26&lt;=960), (-1)*('(橫掃)RX Mapping'!S26-960)+120,9999))))))))</f>
        <v>239</v>
      </c>
      <c r="T26">
        <f>IF(AND('(橫掃)RX Mapping'!T26&gt;=1,'(橫掃)RX Mapping'!T26&lt;=120), ('(橫掃)RX Mapping'!T26-1),IF(AND('(橫掃)RX Mapping'!T26&gt;=121,'(橫掃)RX Mapping'!T26&lt;=240), (-1)*('(橫掃)RX Mapping'!T26-240),IF(AND('(橫掃)RX Mapping'!T26&gt;=241,'(橫掃)RX Mapping'!T26&lt;=360), ('(橫掃)RX Mapping'!T26-241),IF(AND('(橫掃)RX Mapping'!T26&gt;=361,'(橫掃)RX Mapping'!T26&lt;=480), (-1)*('(橫掃)RX Mapping'!T26-480),IF(AND('(橫掃)RX Mapping'!T26&gt;=481,'(橫掃)RX Mapping'!T26&lt;=600), ('(橫掃)RX Mapping'!T26-361),IF(AND('(橫掃)RX Mapping'!T26&gt;=601,'(橫掃)RX Mapping'!T26&lt;=720), (-1)*('(橫掃)RX Mapping'!T26-720)+120,IF(AND('(橫掃)RX Mapping'!T26&gt;=721,'(橫掃)RX Mapping'!T26&lt;=840), ('(橫掃)RX Mapping'!T26-601),IF(AND('(橫掃)RX Mapping'!T26&gt;=841,'(橫掃)RX Mapping'!T26&lt;=960), (-1)*('(橫掃)RX Mapping'!T26-960)+120,9999))))))))</f>
        <v>207</v>
      </c>
      <c r="U26">
        <f>IF(AND('(橫掃)RX Mapping'!U26&gt;=1,'(橫掃)RX Mapping'!U26&lt;=120), ('(橫掃)RX Mapping'!U26-1),IF(AND('(橫掃)RX Mapping'!U26&gt;=121,'(橫掃)RX Mapping'!U26&lt;=240), (-1)*('(橫掃)RX Mapping'!U26-240),IF(AND('(橫掃)RX Mapping'!U26&gt;=241,'(橫掃)RX Mapping'!U26&lt;=360), ('(橫掃)RX Mapping'!U26-241),IF(AND('(橫掃)RX Mapping'!U26&gt;=361,'(橫掃)RX Mapping'!U26&lt;=480), (-1)*('(橫掃)RX Mapping'!U26-480),IF(AND('(橫掃)RX Mapping'!U26&gt;=481,'(橫掃)RX Mapping'!U26&lt;=600), ('(橫掃)RX Mapping'!U26-361),IF(AND('(橫掃)RX Mapping'!U26&gt;=601,'(橫掃)RX Mapping'!U26&lt;=720), (-1)*('(橫掃)RX Mapping'!U26-720)+120,IF(AND('(橫掃)RX Mapping'!U26&gt;=721,'(橫掃)RX Mapping'!U26&lt;=840), ('(橫掃)RX Mapping'!U26-601),IF(AND('(橫掃)RX Mapping'!U26&gt;=841,'(橫掃)RX Mapping'!U26&lt;=960), (-1)*('(橫掃)RX Mapping'!U26-960)+120,9999))))))))</f>
        <v>175</v>
      </c>
      <c r="V26">
        <f>IF(AND('(橫掃)RX Mapping'!V26&gt;=1,'(橫掃)RX Mapping'!V26&lt;=120), ('(橫掃)RX Mapping'!V26-1),IF(AND('(橫掃)RX Mapping'!V26&gt;=121,'(橫掃)RX Mapping'!V26&lt;=240), (-1)*('(橫掃)RX Mapping'!V26-240),IF(AND('(橫掃)RX Mapping'!V26&gt;=241,'(橫掃)RX Mapping'!V26&lt;=360), ('(橫掃)RX Mapping'!V26-241),IF(AND('(橫掃)RX Mapping'!V26&gt;=361,'(橫掃)RX Mapping'!V26&lt;=480), (-1)*('(橫掃)RX Mapping'!V26-480),IF(AND('(橫掃)RX Mapping'!V26&gt;=481,'(橫掃)RX Mapping'!V26&lt;=600), ('(橫掃)RX Mapping'!V26-361),IF(AND('(橫掃)RX Mapping'!V26&gt;=601,'(橫掃)RX Mapping'!V26&lt;=720), (-1)*('(橫掃)RX Mapping'!V26-720)+120,IF(AND('(橫掃)RX Mapping'!V26&gt;=721,'(橫掃)RX Mapping'!V26&lt;=840), ('(橫掃)RX Mapping'!V26-601),IF(AND('(橫掃)RX Mapping'!V26&gt;=841,'(橫掃)RX Mapping'!V26&lt;=960), (-1)*('(橫掃)RX Mapping'!V26-960)+120,9999))))))))</f>
        <v>143</v>
      </c>
      <c r="W26">
        <f>IF(AND('(橫掃)RX Mapping'!W26&gt;=1,'(橫掃)RX Mapping'!W26&lt;=120), ('(橫掃)RX Mapping'!W26-1),IF(AND('(橫掃)RX Mapping'!W26&gt;=121,'(橫掃)RX Mapping'!W26&lt;=240), (-1)*('(橫掃)RX Mapping'!W26-240),IF(AND('(橫掃)RX Mapping'!W26&gt;=241,'(橫掃)RX Mapping'!W26&lt;=360), ('(橫掃)RX Mapping'!W26-241),IF(AND('(橫掃)RX Mapping'!W26&gt;=361,'(橫掃)RX Mapping'!W26&lt;=480), (-1)*('(橫掃)RX Mapping'!W26-480),IF(AND('(橫掃)RX Mapping'!W26&gt;=481,'(橫掃)RX Mapping'!W26&lt;=600), ('(橫掃)RX Mapping'!W26-361),IF(AND('(橫掃)RX Mapping'!W26&gt;=601,'(橫掃)RX Mapping'!W26&lt;=720), (-1)*('(橫掃)RX Mapping'!W26-720)+120,IF(AND('(橫掃)RX Mapping'!W26&gt;=721,'(橫掃)RX Mapping'!W26&lt;=840), ('(橫掃)RX Mapping'!W26-601),IF(AND('(橫掃)RX Mapping'!W26&gt;=841,'(橫掃)RX Mapping'!W26&lt;=960), (-1)*('(橫掃)RX Mapping'!W26-960)+120,9999))))))))</f>
        <v>144</v>
      </c>
      <c r="X26">
        <f>IF(AND('(橫掃)RX Mapping'!X26&gt;=1,'(橫掃)RX Mapping'!X26&lt;=120), ('(橫掃)RX Mapping'!X26-1),IF(AND('(橫掃)RX Mapping'!X26&gt;=121,'(橫掃)RX Mapping'!X26&lt;=240), (-1)*('(橫掃)RX Mapping'!X26-240),IF(AND('(橫掃)RX Mapping'!X26&gt;=241,'(橫掃)RX Mapping'!X26&lt;=360), ('(橫掃)RX Mapping'!X26-241),IF(AND('(橫掃)RX Mapping'!X26&gt;=361,'(橫掃)RX Mapping'!X26&lt;=480), (-1)*('(橫掃)RX Mapping'!X26-480),IF(AND('(橫掃)RX Mapping'!X26&gt;=481,'(橫掃)RX Mapping'!X26&lt;=600), ('(橫掃)RX Mapping'!X26-361),IF(AND('(橫掃)RX Mapping'!X26&gt;=601,'(橫掃)RX Mapping'!X26&lt;=720), (-1)*('(橫掃)RX Mapping'!X26-720)+120,IF(AND('(橫掃)RX Mapping'!X26&gt;=721,'(橫掃)RX Mapping'!X26&lt;=840), ('(橫掃)RX Mapping'!X26-601),IF(AND('(橫掃)RX Mapping'!X26&gt;=841,'(橫掃)RX Mapping'!X26&lt;=960), (-1)*('(橫掃)RX Mapping'!X26-960)+120,9999))))))))</f>
        <v>176</v>
      </c>
      <c r="Y26">
        <f>IF(AND('(橫掃)RX Mapping'!Y26&gt;=1,'(橫掃)RX Mapping'!Y26&lt;=120), ('(橫掃)RX Mapping'!Y26-1),IF(AND('(橫掃)RX Mapping'!Y26&gt;=121,'(橫掃)RX Mapping'!Y26&lt;=240), (-1)*('(橫掃)RX Mapping'!Y26-240),IF(AND('(橫掃)RX Mapping'!Y26&gt;=241,'(橫掃)RX Mapping'!Y26&lt;=360), ('(橫掃)RX Mapping'!Y26-241),IF(AND('(橫掃)RX Mapping'!Y26&gt;=361,'(橫掃)RX Mapping'!Y26&lt;=480), (-1)*('(橫掃)RX Mapping'!Y26-480),IF(AND('(橫掃)RX Mapping'!Y26&gt;=481,'(橫掃)RX Mapping'!Y26&lt;=600), ('(橫掃)RX Mapping'!Y26-361),IF(AND('(橫掃)RX Mapping'!Y26&gt;=601,'(橫掃)RX Mapping'!Y26&lt;=720), (-1)*('(橫掃)RX Mapping'!Y26-720)+120,IF(AND('(橫掃)RX Mapping'!Y26&gt;=721,'(橫掃)RX Mapping'!Y26&lt;=840), ('(橫掃)RX Mapping'!Y26-601),IF(AND('(橫掃)RX Mapping'!Y26&gt;=841,'(橫掃)RX Mapping'!Y26&lt;=960), (-1)*('(橫掃)RX Mapping'!Y26-960)+120,9999))))))))</f>
        <v>208</v>
      </c>
      <c r="Z26">
        <f>IF(AND('(橫掃)RX Mapping'!Z26&gt;=1,'(橫掃)RX Mapping'!Z26&lt;=120), ('(橫掃)RX Mapping'!Z26-1),IF(AND('(橫掃)RX Mapping'!Z26&gt;=121,'(橫掃)RX Mapping'!Z26&lt;=240), (-1)*('(橫掃)RX Mapping'!Z26-240),IF(AND('(橫掃)RX Mapping'!Z26&gt;=241,'(橫掃)RX Mapping'!Z26&lt;=360), ('(橫掃)RX Mapping'!Z26-241),IF(AND('(橫掃)RX Mapping'!Z26&gt;=361,'(橫掃)RX Mapping'!Z26&lt;=480), (-1)*('(橫掃)RX Mapping'!Z26-480),IF(AND('(橫掃)RX Mapping'!Z26&gt;=481,'(橫掃)RX Mapping'!Z26&lt;=600), ('(橫掃)RX Mapping'!Z26-361),IF(AND('(橫掃)RX Mapping'!Z26&gt;=601,'(橫掃)RX Mapping'!Z26&lt;=720), (-1)*('(橫掃)RX Mapping'!Z26-720)+120,IF(AND('(橫掃)RX Mapping'!Z26&gt;=721,'(橫掃)RX Mapping'!Z26&lt;=840), ('(橫掃)RX Mapping'!Z26-601),IF(AND('(橫掃)RX Mapping'!Z26&gt;=841,'(橫掃)RX Mapping'!Z26&lt;=960), (-1)*('(橫掃)RX Mapping'!Z26-960)+120,9999))))))))</f>
        <v>239</v>
      </c>
      <c r="AA26">
        <f>IF(AND('(橫掃)RX Mapping'!AA26&gt;=1,'(橫掃)RX Mapping'!AA26&lt;=120), ('(橫掃)RX Mapping'!AA26-1),IF(AND('(橫掃)RX Mapping'!AA26&gt;=121,'(橫掃)RX Mapping'!AA26&lt;=240), (-1)*('(橫掃)RX Mapping'!AA26-240),IF(AND('(橫掃)RX Mapping'!AA26&gt;=241,'(橫掃)RX Mapping'!AA26&lt;=360), ('(橫掃)RX Mapping'!AA26-241),IF(AND('(橫掃)RX Mapping'!AA26&gt;=361,'(橫掃)RX Mapping'!AA26&lt;=480), (-1)*('(橫掃)RX Mapping'!AA26-480),IF(AND('(橫掃)RX Mapping'!AA26&gt;=481,'(橫掃)RX Mapping'!AA26&lt;=600), ('(橫掃)RX Mapping'!AA26-361),IF(AND('(橫掃)RX Mapping'!AA26&gt;=601,'(橫掃)RX Mapping'!AA26&lt;=720), (-1)*('(橫掃)RX Mapping'!AA26-720)+120,IF(AND('(橫掃)RX Mapping'!AA26&gt;=721,'(橫掃)RX Mapping'!AA26&lt;=840), ('(橫掃)RX Mapping'!AA26-601),IF(AND('(橫掃)RX Mapping'!AA26&gt;=841,'(橫掃)RX Mapping'!AA26&lt;=960), (-1)*('(橫掃)RX Mapping'!AA26-960)+120,9999))))))))</f>
        <v>207</v>
      </c>
      <c r="AB26">
        <f>IF(AND('(橫掃)RX Mapping'!AB26&gt;=1,'(橫掃)RX Mapping'!AB26&lt;=120), ('(橫掃)RX Mapping'!AB26-1),IF(AND('(橫掃)RX Mapping'!AB26&gt;=121,'(橫掃)RX Mapping'!AB26&lt;=240), (-1)*('(橫掃)RX Mapping'!AB26-240),IF(AND('(橫掃)RX Mapping'!AB26&gt;=241,'(橫掃)RX Mapping'!AB26&lt;=360), ('(橫掃)RX Mapping'!AB26-241),IF(AND('(橫掃)RX Mapping'!AB26&gt;=361,'(橫掃)RX Mapping'!AB26&lt;=480), (-1)*('(橫掃)RX Mapping'!AB26-480),IF(AND('(橫掃)RX Mapping'!AB26&gt;=481,'(橫掃)RX Mapping'!AB26&lt;=600), ('(橫掃)RX Mapping'!AB26-361),IF(AND('(橫掃)RX Mapping'!AB26&gt;=601,'(橫掃)RX Mapping'!AB26&lt;=720), (-1)*('(橫掃)RX Mapping'!AB26-720)+120,IF(AND('(橫掃)RX Mapping'!AB26&gt;=721,'(橫掃)RX Mapping'!AB26&lt;=840), ('(橫掃)RX Mapping'!AB26-601),IF(AND('(橫掃)RX Mapping'!AB26&gt;=841,'(橫掃)RX Mapping'!AB26&lt;=960), (-1)*('(橫掃)RX Mapping'!AB26-960)+120,9999))))))))</f>
        <v>175</v>
      </c>
      <c r="AC26">
        <f>IF(AND('(橫掃)RX Mapping'!AC26&gt;=1,'(橫掃)RX Mapping'!AC26&lt;=120), ('(橫掃)RX Mapping'!AC26-1),IF(AND('(橫掃)RX Mapping'!AC26&gt;=121,'(橫掃)RX Mapping'!AC26&lt;=240), (-1)*('(橫掃)RX Mapping'!AC26-240),IF(AND('(橫掃)RX Mapping'!AC26&gt;=241,'(橫掃)RX Mapping'!AC26&lt;=360), ('(橫掃)RX Mapping'!AC26-241),IF(AND('(橫掃)RX Mapping'!AC26&gt;=361,'(橫掃)RX Mapping'!AC26&lt;=480), (-1)*('(橫掃)RX Mapping'!AC26-480),IF(AND('(橫掃)RX Mapping'!AC26&gt;=481,'(橫掃)RX Mapping'!AC26&lt;=600), ('(橫掃)RX Mapping'!AC26-361),IF(AND('(橫掃)RX Mapping'!AC26&gt;=601,'(橫掃)RX Mapping'!AC26&lt;=720), (-1)*('(橫掃)RX Mapping'!AC26-720)+120,IF(AND('(橫掃)RX Mapping'!AC26&gt;=721,'(橫掃)RX Mapping'!AC26&lt;=840), ('(橫掃)RX Mapping'!AC26-601),IF(AND('(橫掃)RX Mapping'!AC26&gt;=841,'(橫掃)RX Mapping'!AC26&lt;=960), (-1)*('(橫掃)RX Mapping'!AC26-960)+120,9999))))))))</f>
        <v>143</v>
      </c>
      <c r="AD26">
        <f>IF(AND('(橫掃)RX Mapping'!AD26&gt;=1,'(橫掃)RX Mapping'!AD26&lt;=120), ('(橫掃)RX Mapping'!AD26-1),IF(AND('(橫掃)RX Mapping'!AD26&gt;=121,'(橫掃)RX Mapping'!AD26&lt;=240), (-1)*('(橫掃)RX Mapping'!AD26-240),IF(AND('(橫掃)RX Mapping'!AD26&gt;=241,'(橫掃)RX Mapping'!AD26&lt;=360), ('(橫掃)RX Mapping'!AD26-241),IF(AND('(橫掃)RX Mapping'!AD26&gt;=361,'(橫掃)RX Mapping'!AD26&lt;=480), (-1)*('(橫掃)RX Mapping'!AD26-480),IF(AND('(橫掃)RX Mapping'!AD26&gt;=481,'(橫掃)RX Mapping'!AD26&lt;=600), ('(橫掃)RX Mapping'!AD26-361),IF(AND('(橫掃)RX Mapping'!AD26&gt;=601,'(橫掃)RX Mapping'!AD26&lt;=720), (-1)*('(橫掃)RX Mapping'!AD26-720)+120,IF(AND('(橫掃)RX Mapping'!AD26&gt;=721,'(橫掃)RX Mapping'!AD26&lt;=840), ('(橫掃)RX Mapping'!AD26-601),IF(AND('(橫掃)RX Mapping'!AD26&gt;=841,'(橫掃)RX Mapping'!AD26&lt;=960), (-1)*('(橫掃)RX Mapping'!AD26-960)+120,9999))))))))</f>
        <v>9999</v>
      </c>
      <c r="AE26">
        <f>IF(AND('(橫掃)RX Mapping'!AE26&gt;=1,'(橫掃)RX Mapping'!AE26&lt;=120), ('(橫掃)RX Mapping'!AE26-1),IF(AND('(橫掃)RX Mapping'!AE26&gt;=121,'(橫掃)RX Mapping'!AE26&lt;=240), (-1)*('(橫掃)RX Mapping'!AE26-240),IF(AND('(橫掃)RX Mapping'!AE26&gt;=241,'(橫掃)RX Mapping'!AE26&lt;=360), ('(橫掃)RX Mapping'!AE26-241),IF(AND('(橫掃)RX Mapping'!AE26&gt;=361,'(橫掃)RX Mapping'!AE26&lt;=480), (-1)*('(橫掃)RX Mapping'!AE26-480),IF(AND('(橫掃)RX Mapping'!AE26&gt;=481,'(橫掃)RX Mapping'!AE26&lt;=600), ('(橫掃)RX Mapping'!AE26-361),IF(AND('(橫掃)RX Mapping'!AE26&gt;=601,'(橫掃)RX Mapping'!AE26&lt;=720), (-1)*('(橫掃)RX Mapping'!AE26-720)+120,IF(AND('(橫掃)RX Mapping'!AE26&gt;=721,'(橫掃)RX Mapping'!AE26&lt;=840), ('(橫掃)RX Mapping'!AE26-601),IF(AND('(橫掃)RX Mapping'!AE26&gt;=841,'(橫掃)RX Mapping'!AE26&lt;=960), (-1)*('(橫掃)RX Mapping'!AE26-960)+120,9999))))))))</f>
        <v>9999</v>
      </c>
      <c r="AF26">
        <f>IF(AND('(橫掃)RX Mapping'!AF26&gt;=1,'(橫掃)RX Mapping'!AF26&lt;=120), ('(橫掃)RX Mapping'!AF26-1),IF(AND('(橫掃)RX Mapping'!AF26&gt;=121,'(橫掃)RX Mapping'!AF26&lt;=240), (-1)*('(橫掃)RX Mapping'!AF26-240),IF(AND('(橫掃)RX Mapping'!AF26&gt;=241,'(橫掃)RX Mapping'!AF26&lt;=360), ('(橫掃)RX Mapping'!AF26-241),IF(AND('(橫掃)RX Mapping'!AF26&gt;=361,'(橫掃)RX Mapping'!AF26&lt;=480), (-1)*('(橫掃)RX Mapping'!AF26-480),IF(AND('(橫掃)RX Mapping'!AF26&gt;=481,'(橫掃)RX Mapping'!AF26&lt;=600), ('(橫掃)RX Mapping'!AF26-361),IF(AND('(橫掃)RX Mapping'!AF26&gt;=601,'(橫掃)RX Mapping'!AF26&lt;=720), (-1)*('(橫掃)RX Mapping'!AF26-720)+120,IF(AND('(橫掃)RX Mapping'!AF26&gt;=721,'(橫掃)RX Mapping'!AF26&lt;=840), ('(橫掃)RX Mapping'!AF26-601),IF(AND('(橫掃)RX Mapping'!AF26&gt;=841,'(橫掃)RX Mapping'!AF26&lt;=960), (-1)*('(橫掃)RX Mapping'!AF26-960)+120,9999))))))))</f>
        <v>9999</v>
      </c>
      <c r="AG26">
        <f>IF(AND('(橫掃)RX Mapping'!AG26&gt;=1,'(橫掃)RX Mapping'!AG26&lt;=120), ('(橫掃)RX Mapping'!AG26-1),IF(AND('(橫掃)RX Mapping'!AG26&gt;=121,'(橫掃)RX Mapping'!AG26&lt;=240), (-1)*('(橫掃)RX Mapping'!AG26-240),IF(AND('(橫掃)RX Mapping'!AG26&gt;=241,'(橫掃)RX Mapping'!AG26&lt;=360), ('(橫掃)RX Mapping'!AG26-241),IF(AND('(橫掃)RX Mapping'!AG26&gt;=361,'(橫掃)RX Mapping'!AG26&lt;=480), (-1)*('(橫掃)RX Mapping'!AG26-480),IF(AND('(橫掃)RX Mapping'!AG26&gt;=481,'(橫掃)RX Mapping'!AG26&lt;=600), ('(橫掃)RX Mapping'!AG26-361),IF(AND('(橫掃)RX Mapping'!AG26&gt;=601,'(橫掃)RX Mapping'!AG26&lt;=720), (-1)*('(橫掃)RX Mapping'!AG26-720)+120,IF(AND('(橫掃)RX Mapping'!AG26&gt;=721,'(橫掃)RX Mapping'!AG26&lt;=840), ('(橫掃)RX Mapping'!AG26-601),IF(AND('(橫掃)RX Mapping'!AG26&gt;=841,'(橫掃)RX Mapping'!AG26&lt;=960), (-1)*('(橫掃)RX Mapping'!AG26-960)+120,9999))))))))</f>
        <v>9999</v>
      </c>
      <c r="AH26">
        <f>IF(AND('(橫掃)RX Mapping'!AH26&gt;=1,'(橫掃)RX Mapping'!AH26&lt;=120), ('(橫掃)RX Mapping'!AH26-1),IF(AND('(橫掃)RX Mapping'!AH26&gt;=121,'(橫掃)RX Mapping'!AH26&lt;=240), (-1)*('(橫掃)RX Mapping'!AH26-240),IF(AND('(橫掃)RX Mapping'!AH26&gt;=241,'(橫掃)RX Mapping'!AH26&lt;=360), ('(橫掃)RX Mapping'!AH26-241),IF(AND('(橫掃)RX Mapping'!AH26&gt;=361,'(橫掃)RX Mapping'!AH26&lt;=480), (-1)*('(橫掃)RX Mapping'!AH26-480),IF(AND('(橫掃)RX Mapping'!AH26&gt;=481,'(橫掃)RX Mapping'!AH26&lt;=600), ('(橫掃)RX Mapping'!AH26-361),IF(AND('(橫掃)RX Mapping'!AH26&gt;=601,'(橫掃)RX Mapping'!AH26&lt;=720), (-1)*('(橫掃)RX Mapping'!AH26-720)+120,IF(AND('(橫掃)RX Mapping'!AH26&gt;=721,'(橫掃)RX Mapping'!AH26&lt;=840), ('(橫掃)RX Mapping'!AH26-601),IF(AND('(橫掃)RX Mapping'!AH26&gt;=841,'(橫掃)RX Mapping'!AH26&lt;=960), (-1)*('(橫掃)RX Mapping'!AH26-960)+120,9999))))))))</f>
        <v>9999</v>
      </c>
      <c r="AI26">
        <f>IF(AND('(橫掃)RX Mapping'!AI26&gt;=1,'(橫掃)RX Mapping'!AI26&lt;=120), ('(橫掃)RX Mapping'!AI26-1),IF(AND('(橫掃)RX Mapping'!AI26&gt;=121,'(橫掃)RX Mapping'!AI26&lt;=240), (-1)*('(橫掃)RX Mapping'!AI26-240),IF(AND('(橫掃)RX Mapping'!AI26&gt;=241,'(橫掃)RX Mapping'!AI26&lt;=360), ('(橫掃)RX Mapping'!AI26-241),IF(AND('(橫掃)RX Mapping'!AI26&gt;=361,'(橫掃)RX Mapping'!AI26&lt;=480), (-1)*('(橫掃)RX Mapping'!AI26-480),IF(AND('(橫掃)RX Mapping'!AI26&gt;=481,'(橫掃)RX Mapping'!AI26&lt;=600), ('(橫掃)RX Mapping'!AI26-361),IF(AND('(橫掃)RX Mapping'!AI26&gt;=601,'(橫掃)RX Mapping'!AI26&lt;=720), (-1)*('(橫掃)RX Mapping'!AI26-720)+120,IF(AND('(橫掃)RX Mapping'!AI26&gt;=721,'(橫掃)RX Mapping'!AI26&lt;=840), ('(橫掃)RX Mapping'!AI26-601),IF(AND('(橫掃)RX Mapping'!AI26&gt;=841,'(橫掃)RX Mapping'!AI26&lt;=960), (-1)*('(橫掃)RX Mapping'!AI26-960)+120,9999))))))))</f>
        <v>9999</v>
      </c>
      <c r="AJ26">
        <f>IF(AND('(橫掃)RX Mapping'!AJ26&gt;=1,'(橫掃)RX Mapping'!AJ26&lt;=120), ('(橫掃)RX Mapping'!AJ26-1),IF(AND('(橫掃)RX Mapping'!AJ26&gt;=121,'(橫掃)RX Mapping'!AJ26&lt;=240), (-1)*('(橫掃)RX Mapping'!AJ26-240),IF(AND('(橫掃)RX Mapping'!AJ26&gt;=241,'(橫掃)RX Mapping'!AJ26&lt;=360), ('(橫掃)RX Mapping'!AJ26-241),IF(AND('(橫掃)RX Mapping'!AJ26&gt;=361,'(橫掃)RX Mapping'!AJ26&lt;=480), (-1)*('(橫掃)RX Mapping'!AJ26-480),IF(AND('(橫掃)RX Mapping'!AJ26&gt;=481,'(橫掃)RX Mapping'!AJ26&lt;=600), ('(橫掃)RX Mapping'!AJ26-361),IF(AND('(橫掃)RX Mapping'!AJ26&gt;=601,'(橫掃)RX Mapping'!AJ26&lt;=720), (-1)*('(橫掃)RX Mapping'!AJ26-720)+120,IF(AND('(橫掃)RX Mapping'!AJ26&gt;=721,'(橫掃)RX Mapping'!AJ26&lt;=840), ('(橫掃)RX Mapping'!AJ26-601),IF(AND('(橫掃)RX Mapping'!AJ26&gt;=841,'(橫掃)RX Mapping'!AJ26&lt;=960), (-1)*('(橫掃)RX Mapping'!AJ26-960)+120,9999))))))))</f>
        <v>9999</v>
      </c>
      <c r="AK26">
        <f>IF(AND('(橫掃)RX Mapping'!AK26&gt;=1,'(橫掃)RX Mapping'!AK26&lt;=120), ('(橫掃)RX Mapping'!AK26-1),IF(AND('(橫掃)RX Mapping'!AK26&gt;=121,'(橫掃)RX Mapping'!AK26&lt;=240), (-1)*('(橫掃)RX Mapping'!AK26-240),IF(AND('(橫掃)RX Mapping'!AK26&gt;=241,'(橫掃)RX Mapping'!AK26&lt;=360), ('(橫掃)RX Mapping'!AK26-241),IF(AND('(橫掃)RX Mapping'!AK26&gt;=361,'(橫掃)RX Mapping'!AK26&lt;=480), (-1)*('(橫掃)RX Mapping'!AK26-480),IF(AND('(橫掃)RX Mapping'!AK26&gt;=481,'(橫掃)RX Mapping'!AK26&lt;=600), ('(橫掃)RX Mapping'!AK26-361),IF(AND('(橫掃)RX Mapping'!AK26&gt;=601,'(橫掃)RX Mapping'!AK26&lt;=720), (-1)*('(橫掃)RX Mapping'!AK26-720)+120,IF(AND('(橫掃)RX Mapping'!AK26&gt;=721,'(橫掃)RX Mapping'!AK26&lt;=840), ('(橫掃)RX Mapping'!AK26-601),IF(AND('(橫掃)RX Mapping'!AK26&gt;=841,'(橫掃)RX Mapping'!AK26&lt;=960), (-1)*('(橫掃)RX Mapping'!AK26-960)+120,9999))))))))</f>
        <v>9999</v>
      </c>
      <c r="AL26">
        <f>IF(AND('(橫掃)RX Mapping'!AL26&gt;=1,'(橫掃)RX Mapping'!AL26&lt;=120), ('(橫掃)RX Mapping'!AL26-1),IF(AND('(橫掃)RX Mapping'!AL26&gt;=121,'(橫掃)RX Mapping'!AL26&lt;=240), (-1)*('(橫掃)RX Mapping'!AL26-240),IF(AND('(橫掃)RX Mapping'!AL26&gt;=241,'(橫掃)RX Mapping'!AL26&lt;=360), ('(橫掃)RX Mapping'!AL26-241),IF(AND('(橫掃)RX Mapping'!AL26&gt;=361,'(橫掃)RX Mapping'!AL26&lt;=480), (-1)*('(橫掃)RX Mapping'!AL26-480),IF(AND('(橫掃)RX Mapping'!AL26&gt;=481,'(橫掃)RX Mapping'!AL26&lt;=600), ('(橫掃)RX Mapping'!AL26-361),IF(AND('(橫掃)RX Mapping'!AL26&gt;=601,'(橫掃)RX Mapping'!AL26&lt;=720), (-1)*('(橫掃)RX Mapping'!AL26-720)+120,IF(AND('(橫掃)RX Mapping'!AL26&gt;=721,'(橫掃)RX Mapping'!AL26&lt;=840), ('(橫掃)RX Mapping'!AL26-601),IF(AND('(橫掃)RX Mapping'!AL26&gt;=841,'(橫掃)RX Mapping'!AL26&lt;=960), (-1)*('(橫掃)RX Mapping'!AL26-960)+120,9999))))))))</f>
        <v>9999</v>
      </c>
      <c r="AM26">
        <f>IF(AND('(橫掃)RX Mapping'!AM26&gt;=1,'(橫掃)RX Mapping'!AM26&lt;=120), ('(橫掃)RX Mapping'!AM26-1),IF(AND('(橫掃)RX Mapping'!AM26&gt;=121,'(橫掃)RX Mapping'!AM26&lt;=240), (-1)*('(橫掃)RX Mapping'!AM26-240),IF(AND('(橫掃)RX Mapping'!AM26&gt;=241,'(橫掃)RX Mapping'!AM26&lt;=360), ('(橫掃)RX Mapping'!AM26-241),IF(AND('(橫掃)RX Mapping'!AM26&gt;=361,'(橫掃)RX Mapping'!AM26&lt;=480), (-1)*('(橫掃)RX Mapping'!AM26-480),IF(AND('(橫掃)RX Mapping'!AM26&gt;=481,'(橫掃)RX Mapping'!AM26&lt;=600), ('(橫掃)RX Mapping'!AM26-361),IF(AND('(橫掃)RX Mapping'!AM26&gt;=601,'(橫掃)RX Mapping'!AM26&lt;=720), (-1)*('(橫掃)RX Mapping'!AM26-720)+120,IF(AND('(橫掃)RX Mapping'!AM26&gt;=721,'(橫掃)RX Mapping'!AM26&lt;=840), ('(橫掃)RX Mapping'!AM26-601),IF(AND('(橫掃)RX Mapping'!AM26&gt;=841,'(橫掃)RX Mapping'!AM26&lt;=960), (-1)*('(橫掃)RX Mapping'!AM26-960)+120,9999))))))))</f>
        <v>9999</v>
      </c>
      <c r="AN26">
        <f>IF(AND('(橫掃)RX Mapping'!AN26&gt;=1,'(橫掃)RX Mapping'!AN26&lt;=120), ('(橫掃)RX Mapping'!AN26-1),IF(AND('(橫掃)RX Mapping'!AN26&gt;=121,'(橫掃)RX Mapping'!AN26&lt;=240), (-1)*('(橫掃)RX Mapping'!AN26-240),IF(AND('(橫掃)RX Mapping'!AN26&gt;=241,'(橫掃)RX Mapping'!AN26&lt;=360), ('(橫掃)RX Mapping'!AN26-241),IF(AND('(橫掃)RX Mapping'!AN26&gt;=361,'(橫掃)RX Mapping'!AN26&lt;=480), (-1)*('(橫掃)RX Mapping'!AN26-480),IF(AND('(橫掃)RX Mapping'!AN26&gt;=481,'(橫掃)RX Mapping'!AN26&lt;=600), ('(橫掃)RX Mapping'!AN26-361),IF(AND('(橫掃)RX Mapping'!AN26&gt;=601,'(橫掃)RX Mapping'!AN26&lt;=720), (-1)*('(橫掃)RX Mapping'!AN26-720)+120,IF(AND('(橫掃)RX Mapping'!AN26&gt;=721,'(橫掃)RX Mapping'!AN26&lt;=840), ('(橫掃)RX Mapping'!AN26-601),IF(AND('(橫掃)RX Mapping'!AN26&gt;=841,'(橫掃)RX Mapping'!AN26&lt;=960), (-1)*('(橫掃)RX Mapping'!AN26-960)+120,9999))))))))</f>
        <v>9999</v>
      </c>
      <c r="AO26">
        <f>IF(AND('(橫掃)RX Mapping'!AO26&gt;=1,'(橫掃)RX Mapping'!AO26&lt;=120), ('(橫掃)RX Mapping'!AO26-1),IF(AND('(橫掃)RX Mapping'!AO26&gt;=121,'(橫掃)RX Mapping'!AO26&lt;=240), (-1)*('(橫掃)RX Mapping'!AO26-240),IF(AND('(橫掃)RX Mapping'!AO26&gt;=241,'(橫掃)RX Mapping'!AO26&lt;=360), ('(橫掃)RX Mapping'!AO26-241),IF(AND('(橫掃)RX Mapping'!AO26&gt;=361,'(橫掃)RX Mapping'!AO26&lt;=480), (-1)*('(橫掃)RX Mapping'!AO26-480),IF(AND('(橫掃)RX Mapping'!AO26&gt;=481,'(橫掃)RX Mapping'!AO26&lt;=600), ('(橫掃)RX Mapping'!AO26-361),IF(AND('(橫掃)RX Mapping'!AO26&gt;=601,'(橫掃)RX Mapping'!AO26&lt;=720), (-1)*('(橫掃)RX Mapping'!AO26-720)+120,IF(AND('(橫掃)RX Mapping'!AO26&gt;=721,'(橫掃)RX Mapping'!AO26&lt;=840), ('(橫掃)RX Mapping'!AO26-601),IF(AND('(橫掃)RX Mapping'!AO26&gt;=841,'(橫掃)RX Mapping'!AO26&lt;=960), (-1)*('(橫掃)RX Mapping'!AO26-960)+120,9999))))))))</f>
        <v>9999</v>
      </c>
      <c r="AP26">
        <f>IF(AND('(橫掃)RX Mapping'!AP26&gt;=1,'(橫掃)RX Mapping'!AP26&lt;=120), ('(橫掃)RX Mapping'!AP26-1),IF(AND('(橫掃)RX Mapping'!AP26&gt;=121,'(橫掃)RX Mapping'!AP26&lt;=240), (-1)*('(橫掃)RX Mapping'!AP26-240),IF(AND('(橫掃)RX Mapping'!AP26&gt;=241,'(橫掃)RX Mapping'!AP26&lt;=360), ('(橫掃)RX Mapping'!AP26-241),IF(AND('(橫掃)RX Mapping'!AP26&gt;=361,'(橫掃)RX Mapping'!AP26&lt;=480), (-1)*('(橫掃)RX Mapping'!AP26-480),IF(AND('(橫掃)RX Mapping'!AP26&gt;=481,'(橫掃)RX Mapping'!AP26&lt;=600), ('(橫掃)RX Mapping'!AP26-361),IF(AND('(橫掃)RX Mapping'!AP26&gt;=601,'(橫掃)RX Mapping'!AP26&lt;=720), (-1)*('(橫掃)RX Mapping'!AP26-720)+120,IF(AND('(橫掃)RX Mapping'!AP26&gt;=721,'(橫掃)RX Mapping'!AP26&lt;=840), ('(橫掃)RX Mapping'!AP26-601),IF(AND('(橫掃)RX Mapping'!AP26&gt;=841,'(橫掃)RX Mapping'!AP26&lt;=960), (-1)*('(橫掃)RX Mapping'!AP26-960)+120,9999))))))))</f>
        <v>9999</v>
      </c>
      <c r="AQ26">
        <f>IF(AND('(橫掃)RX Mapping'!AQ26&gt;=1,'(橫掃)RX Mapping'!AQ26&lt;=120), ('(橫掃)RX Mapping'!AQ26-1),IF(AND('(橫掃)RX Mapping'!AQ26&gt;=121,'(橫掃)RX Mapping'!AQ26&lt;=240), (-1)*('(橫掃)RX Mapping'!AQ26-240),IF(AND('(橫掃)RX Mapping'!AQ26&gt;=241,'(橫掃)RX Mapping'!AQ26&lt;=360), ('(橫掃)RX Mapping'!AQ26-241),IF(AND('(橫掃)RX Mapping'!AQ26&gt;=361,'(橫掃)RX Mapping'!AQ26&lt;=480), (-1)*('(橫掃)RX Mapping'!AQ26-480),IF(AND('(橫掃)RX Mapping'!AQ26&gt;=481,'(橫掃)RX Mapping'!AQ26&lt;=600), ('(橫掃)RX Mapping'!AQ26-361),IF(AND('(橫掃)RX Mapping'!AQ26&gt;=601,'(橫掃)RX Mapping'!AQ26&lt;=720), (-1)*('(橫掃)RX Mapping'!AQ26-720)+120,IF(AND('(橫掃)RX Mapping'!AQ26&gt;=721,'(橫掃)RX Mapping'!AQ26&lt;=840), ('(橫掃)RX Mapping'!AQ26-601),IF(AND('(橫掃)RX Mapping'!AQ26&gt;=841,'(橫掃)RX Mapping'!AQ26&lt;=960), (-1)*('(橫掃)RX Mapping'!AQ26-960)+120,9999))))))))</f>
        <v>9999</v>
      </c>
      <c r="AR26">
        <f>IF(AND('(橫掃)RX Mapping'!AR26&gt;=1,'(橫掃)RX Mapping'!AR26&lt;=120), ('(橫掃)RX Mapping'!AR26-1),IF(AND('(橫掃)RX Mapping'!AR26&gt;=121,'(橫掃)RX Mapping'!AR26&lt;=240), (-1)*('(橫掃)RX Mapping'!AR26-240),IF(AND('(橫掃)RX Mapping'!AR26&gt;=241,'(橫掃)RX Mapping'!AR26&lt;=360), ('(橫掃)RX Mapping'!AR26-241),IF(AND('(橫掃)RX Mapping'!AR26&gt;=361,'(橫掃)RX Mapping'!AR26&lt;=480), (-1)*('(橫掃)RX Mapping'!AR26-480),IF(AND('(橫掃)RX Mapping'!AR26&gt;=481,'(橫掃)RX Mapping'!AR26&lt;=600), ('(橫掃)RX Mapping'!AR26-361),IF(AND('(橫掃)RX Mapping'!AR26&gt;=601,'(橫掃)RX Mapping'!AR26&lt;=720), (-1)*('(橫掃)RX Mapping'!AR26-720)+120,IF(AND('(橫掃)RX Mapping'!AR26&gt;=721,'(橫掃)RX Mapping'!AR26&lt;=840), ('(橫掃)RX Mapping'!AR26-601),IF(AND('(橫掃)RX Mapping'!AR26&gt;=841,'(橫掃)RX Mapping'!AR26&lt;=960), (-1)*('(橫掃)RX Mapping'!AR26-960)+120,9999))))))))</f>
        <v>9999</v>
      </c>
      <c r="AS26">
        <f>IF(AND('(橫掃)RX Mapping'!AS26&gt;=1,'(橫掃)RX Mapping'!AS26&lt;=120), ('(橫掃)RX Mapping'!AS26-1),IF(AND('(橫掃)RX Mapping'!AS26&gt;=121,'(橫掃)RX Mapping'!AS26&lt;=240), (-1)*('(橫掃)RX Mapping'!AS26-240),IF(AND('(橫掃)RX Mapping'!AS26&gt;=241,'(橫掃)RX Mapping'!AS26&lt;=360), ('(橫掃)RX Mapping'!AS26-241),IF(AND('(橫掃)RX Mapping'!AS26&gt;=361,'(橫掃)RX Mapping'!AS26&lt;=480), (-1)*('(橫掃)RX Mapping'!AS26-480),IF(AND('(橫掃)RX Mapping'!AS26&gt;=481,'(橫掃)RX Mapping'!AS26&lt;=600), ('(橫掃)RX Mapping'!AS26-361),IF(AND('(橫掃)RX Mapping'!AS26&gt;=601,'(橫掃)RX Mapping'!AS26&lt;=720), (-1)*('(橫掃)RX Mapping'!AS26-720)+120,IF(AND('(橫掃)RX Mapping'!AS26&gt;=721,'(橫掃)RX Mapping'!AS26&lt;=840), ('(橫掃)RX Mapping'!AS26-601),IF(AND('(橫掃)RX Mapping'!AS26&gt;=841,'(橫掃)RX Mapping'!AS26&lt;=960), (-1)*('(橫掃)RX Mapping'!AS26-960)+120,9999))))))))</f>
        <v>9999</v>
      </c>
      <c r="AT26">
        <f>IF(AND('(橫掃)RX Mapping'!AT26&gt;=1,'(橫掃)RX Mapping'!AT26&lt;=120), ('(橫掃)RX Mapping'!AT26-1),IF(AND('(橫掃)RX Mapping'!AT26&gt;=121,'(橫掃)RX Mapping'!AT26&lt;=240), (-1)*('(橫掃)RX Mapping'!AT26-240),IF(AND('(橫掃)RX Mapping'!AT26&gt;=241,'(橫掃)RX Mapping'!AT26&lt;=360), ('(橫掃)RX Mapping'!AT26-241),IF(AND('(橫掃)RX Mapping'!AT26&gt;=361,'(橫掃)RX Mapping'!AT26&lt;=480), (-1)*('(橫掃)RX Mapping'!AT26-480),IF(AND('(橫掃)RX Mapping'!AT26&gt;=481,'(橫掃)RX Mapping'!AT26&lt;=600), ('(橫掃)RX Mapping'!AT26-361),IF(AND('(橫掃)RX Mapping'!AT26&gt;=601,'(橫掃)RX Mapping'!AT26&lt;=720), (-1)*('(橫掃)RX Mapping'!AT26-720)+120,IF(AND('(橫掃)RX Mapping'!AT26&gt;=721,'(橫掃)RX Mapping'!AT26&lt;=840), ('(橫掃)RX Mapping'!AT26-601),IF(AND('(橫掃)RX Mapping'!AT26&gt;=841,'(橫掃)RX Mapping'!AT26&lt;=960), (-1)*('(橫掃)RX Mapping'!AT26-960)+120,9999))))))))</f>
        <v>9999</v>
      </c>
      <c r="AU26">
        <f>IF(AND('(橫掃)RX Mapping'!AU26&gt;=1,'(橫掃)RX Mapping'!AU26&lt;=120), ('(橫掃)RX Mapping'!AU26-1),IF(AND('(橫掃)RX Mapping'!AU26&gt;=121,'(橫掃)RX Mapping'!AU26&lt;=240), (-1)*('(橫掃)RX Mapping'!AU26-240),IF(AND('(橫掃)RX Mapping'!AU26&gt;=241,'(橫掃)RX Mapping'!AU26&lt;=360), ('(橫掃)RX Mapping'!AU26-241),IF(AND('(橫掃)RX Mapping'!AU26&gt;=361,'(橫掃)RX Mapping'!AU26&lt;=480), (-1)*('(橫掃)RX Mapping'!AU26-480),IF(AND('(橫掃)RX Mapping'!AU26&gt;=481,'(橫掃)RX Mapping'!AU26&lt;=600), ('(橫掃)RX Mapping'!AU26-361),IF(AND('(橫掃)RX Mapping'!AU26&gt;=601,'(橫掃)RX Mapping'!AU26&lt;=720), (-1)*('(橫掃)RX Mapping'!AU26-720)+120,IF(AND('(橫掃)RX Mapping'!AU26&gt;=721,'(橫掃)RX Mapping'!AU26&lt;=840), ('(橫掃)RX Mapping'!AU26-601),IF(AND('(橫掃)RX Mapping'!AU26&gt;=841,'(橫掃)RX Mapping'!AU26&lt;=960), (-1)*('(橫掃)RX Mapping'!AU26-960)+120,9999))))))))</f>
        <v>9999</v>
      </c>
      <c r="AV26">
        <f>IF(AND('(橫掃)RX Mapping'!AV26&gt;=1,'(橫掃)RX Mapping'!AV26&lt;=120), ('(橫掃)RX Mapping'!AV26-1),IF(AND('(橫掃)RX Mapping'!AV26&gt;=121,'(橫掃)RX Mapping'!AV26&lt;=240), (-1)*('(橫掃)RX Mapping'!AV26-240),IF(AND('(橫掃)RX Mapping'!AV26&gt;=241,'(橫掃)RX Mapping'!AV26&lt;=360), ('(橫掃)RX Mapping'!AV26-241),IF(AND('(橫掃)RX Mapping'!AV26&gt;=361,'(橫掃)RX Mapping'!AV26&lt;=480), (-1)*('(橫掃)RX Mapping'!AV26-480),IF(AND('(橫掃)RX Mapping'!AV26&gt;=481,'(橫掃)RX Mapping'!AV26&lt;=600), ('(橫掃)RX Mapping'!AV26-361),IF(AND('(橫掃)RX Mapping'!AV26&gt;=601,'(橫掃)RX Mapping'!AV26&lt;=720), (-1)*('(橫掃)RX Mapping'!AV26-720)+120,IF(AND('(橫掃)RX Mapping'!AV26&gt;=721,'(橫掃)RX Mapping'!AV26&lt;=840), ('(橫掃)RX Mapping'!AV26-601),IF(AND('(橫掃)RX Mapping'!AV26&gt;=841,'(橫掃)RX Mapping'!AV26&lt;=960), (-1)*('(橫掃)RX Mapping'!AV26-960)+120,9999))))))))</f>
        <v>9999</v>
      </c>
      <c r="AW26">
        <f>IF(AND('(橫掃)RX Mapping'!AW26&gt;=1,'(橫掃)RX Mapping'!AW26&lt;=120), ('(橫掃)RX Mapping'!AW26-1),IF(AND('(橫掃)RX Mapping'!AW26&gt;=121,'(橫掃)RX Mapping'!AW26&lt;=240), (-1)*('(橫掃)RX Mapping'!AW26-240),IF(AND('(橫掃)RX Mapping'!AW26&gt;=241,'(橫掃)RX Mapping'!AW26&lt;=360), ('(橫掃)RX Mapping'!AW26-241),IF(AND('(橫掃)RX Mapping'!AW26&gt;=361,'(橫掃)RX Mapping'!AW26&lt;=480), (-1)*('(橫掃)RX Mapping'!AW26-480),IF(AND('(橫掃)RX Mapping'!AW26&gt;=481,'(橫掃)RX Mapping'!AW26&lt;=600), ('(橫掃)RX Mapping'!AW26-361),IF(AND('(橫掃)RX Mapping'!AW26&gt;=601,'(橫掃)RX Mapping'!AW26&lt;=720), (-1)*('(橫掃)RX Mapping'!AW26-720)+120,IF(AND('(橫掃)RX Mapping'!AW26&gt;=721,'(橫掃)RX Mapping'!AW26&lt;=840), ('(橫掃)RX Mapping'!AW26-601),IF(AND('(橫掃)RX Mapping'!AW26&gt;=841,'(橫掃)RX Mapping'!AW26&lt;=960), (-1)*('(橫掃)RX Mapping'!AW26-960)+120,9999))))))))</f>
        <v>9999</v>
      </c>
      <c r="AX26">
        <f>IF(AND('(橫掃)RX Mapping'!AX26&gt;=1,'(橫掃)RX Mapping'!AX26&lt;=120), ('(橫掃)RX Mapping'!AX26-1),IF(AND('(橫掃)RX Mapping'!AX26&gt;=121,'(橫掃)RX Mapping'!AX26&lt;=240), (-1)*('(橫掃)RX Mapping'!AX26-240),IF(AND('(橫掃)RX Mapping'!AX26&gt;=241,'(橫掃)RX Mapping'!AX26&lt;=360), ('(橫掃)RX Mapping'!AX26-241),IF(AND('(橫掃)RX Mapping'!AX26&gt;=361,'(橫掃)RX Mapping'!AX26&lt;=480), (-1)*('(橫掃)RX Mapping'!AX26-480),IF(AND('(橫掃)RX Mapping'!AX26&gt;=481,'(橫掃)RX Mapping'!AX26&lt;=600), ('(橫掃)RX Mapping'!AX26-361),IF(AND('(橫掃)RX Mapping'!AX26&gt;=601,'(橫掃)RX Mapping'!AX26&lt;=720), (-1)*('(橫掃)RX Mapping'!AX26-720)+120,IF(AND('(橫掃)RX Mapping'!AX26&gt;=721,'(橫掃)RX Mapping'!AX26&lt;=840), ('(橫掃)RX Mapping'!AX26-601),IF(AND('(橫掃)RX Mapping'!AX26&gt;=841,'(橫掃)RX Mapping'!AX26&lt;=960), (-1)*('(橫掃)RX Mapping'!AX26-960)+120,9999))))))))</f>
        <v>9999</v>
      </c>
      <c r="AY26">
        <f>IF(AND('(橫掃)RX Mapping'!AY26&gt;=1,'(橫掃)RX Mapping'!AY26&lt;=120), ('(橫掃)RX Mapping'!AY26-1),IF(AND('(橫掃)RX Mapping'!AY26&gt;=121,'(橫掃)RX Mapping'!AY26&lt;=240), (-1)*('(橫掃)RX Mapping'!AY26-240),IF(AND('(橫掃)RX Mapping'!AY26&gt;=241,'(橫掃)RX Mapping'!AY26&lt;=360), ('(橫掃)RX Mapping'!AY26-241),IF(AND('(橫掃)RX Mapping'!AY26&gt;=361,'(橫掃)RX Mapping'!AY26&lt;=480), (-1)*('(橫掃)RX Mapping'!AY26-480),IF(AND('(橫掃)RX Mapping'!AY26&gt;=481,'(橫掃)RX Mapping'!AY26&lt;=600), ('(橫掃)RX Mapping'!AY26-361),IF(AND('(橫掃)RX Mapping'!AY26&gt;=601,'(橫掃)RX Mapping'!AY26&lt;=720), (-1)*('(橫掃)RX Mapping'!AY26-720)+120,IF(AND('(橫掃)RX Mapping'!AY26&gt;=721,'(橫掃)RX Mapping'!AY26&lt;=840), ('(橫掃)RX Mapping'!AY26-601),IF(AND('(橫掃)RX Mapping'!AY26&gt;=841,'(橫掃)RX Mapping'!AY26&lt;=960), (-1)*('(橫掃)RX Mapping'!AY26-960)+120,9999))))))))</f>
        <v>9999</v>
      </c>
      <c r="AZ26">
        <f>IF(AND('(橫掃)RX Mapping'!AZ26&gt;=1,'(橫掃)RX Mapping'!AZ26&lt;=120), ('(橫掃)RX Mapping'!AZ26-1),IF(AND('(橫掃)RX Mapping'!AZ26&gt;=121,'(橫掃)RX Mapping'!AZ26&lt;=240), (-1)*('(橫掃)RX Mapping'!AZ26-240),IF(AND('(橫掃)RX Mapping'!AZ26&gt;=241,'(橫掃)RX Mapping'!AZ26&lt;=360), ('(橫掃)RX Mapping'!AZ26-241),IF(AND('(橫掃)RX Mapping'!AZ26&gt;=361,'(橫掃)RX Mapping'!AZ26&lt;=480), (-1)*('(橫掃)RX Mapping'!AZ26-480),IF(AND('(橫掃)RX Mapping'!AZ26&gt;=481,'(橫掃)RX Mapping'!AZ26&lt;=600), ('(橫掃)RX Mapping'!AZ26-361),IF(AND('(橫掃)RX Mapping'!AZ26&gt;=601,'(橫掃)RX Mapping'!AZ26&lt;=720), (-1)*('(橫掃)RX Mapping'!AZ26-720)+120,IF(AND('(橫掃)RX Mapping'!AZ26&gt;=721,'(橫掃)RX Mapping'!AZ26&lt;=840), ('(橫掃)RX Mapping'!AZ26-601),IF(AND('(橫掃)RX Mapping'!AZ26&gt;=841,'(橫掃)RX Mapping'!AZ26&lt;=960), (-1)*('(橫掃)RX Mapping'!AZ26-960)+120,9999))))))))</f>
        <v>9999</v>
      </c>
      <c r="BA26">
        <f>IF(AND('(橫掃)RX Mapping'!BA26&gt;=1,'(橫掃)RX Mapping'!BA26&lt;=120), ('(橫掃)RX Mapping'!BA26-1),IF(AND('(橫掃)RX Mapping'!BA26&gt;=121,'(橫掃)RX Mapping'!BA26&lt;=240), (-1)*('(橫掃)RX Mapping'!BA26-240),IF(AND('(橫掃)RX Mapping'!BA26&gt;=241,'(橫掃)RX Mapping'!BA26&lt;=360), ('(橫掃)RX Mapping'!BA26-241),IF(AND('(橫掃)RX Mapping'!BA26&gt;=361,'(橫掃)RX Mapping'!BA26&lt;=480), (-1)*('(橫掃)RX Mapping'!BA26-480),IF(AND('(橫掃)RX Mapping'!BA26&gt;=481,'(橫掃)RX Mapping'!BA26&lt;=600), ('(橫掃)RX Mapping'!BA26-361),IF(AND('(橫掃)RX Mapping'!BA26&gt;=601,'(橫掃)RX Mapping'!BA26&lt;=720), (-1)*('(橫掃)RX Mapping'!BA26-720)+120,IF(AND('(橫掃)RX Mapping'!BA26&gt;=721,'(橫掃)RX Mapping'!BA26&lt;=840), ('(橫掃)RX Mapping'!BA26-601),IF(AND('(橫掃)RX Mapping'!BA26&gt;=841,'(橫掃)RX Mapping'!BA26&lt;=960), (-1)*('(橫掃)RX Mapping'!BA26-960)+120,9999))))))))</f>
        <v>9999</v>
      </c>
      <c r="BB26">
        <f>IF(AND('(橫掃)RX Mapping'!BB26&gt;=1,'(橫掃)RX Mapping'!BB26&lt;=120), ('(橫掃)RX Mapping'!BB26-1),IF(AND('(橫掃)RX Mapping'!BB26&gt;=121,'(橫掃)RX Mapping'!BB26&lt;=240), (-1)*('(橫掃)RX Mapping'!BB26-240),IF(AND('(橫掃)RX Mapping'!BB26&gt;=241,'(橫掃)RX Mapping'!BB26&lt;=360), ('(橫掃)RX Mapping'!BB26-241),IF(AND('(橫掃)RX Mapping'!BB26&gt;=361,'(橫掃)RX Mapping'!BB26&lt;=480), (-1)*('(橫掃)RX Mapping'!BB26-480),IF(AND('(橫掃)RX Mapping'!BB26&gt;=481,'(橫掃)RX Mapping'!BB26&lt;=600), ('(橫掃)RX Mapping'!BB26-361),IF(AND('(橫掃)RX Mapping'!BB26&gt;=601,'(橫掃)RX Mapping'!BB26&lt;=720), (-1)*('(橫掃)RX Mapping'!BB26-720)+120,IF(AND('(橫掃)RX Mapping'!BB26&gt;=721,'(橫掃)RX Mapping'!BB26&lt;=840), ('(橫掃)RX Mapping'!BB26-601),IF(AND('(橫掃)RX Mapping'!BB26&gt;=841,'(橫掃)RX Mapping'!BB26&lt;=960), (-1)*('(橫掃)RX Mapping'!BB26-960)+120,9999))))))))</f>
        <v>9999</v>
      </c>
      <c r="BC26">
        <f>IF(AND('(橫掃)RX Mapping'!BC26&gt;=1,'(橫掃)RX Mapping'!BC26&lt;=120), ('(橫掃)RX Mapping'!BC26-1),IF(AND('(橫掃)RX Mapping'!BC26&gt;=121,'(橫掃)RX Mapping'!BC26&lt;=240), (-1)*('(橫掃)RX Mapping'!BC26-240),IF(AND('(橫掃)RX Mapping'!BC26&gt;=241,'(橫掃)RX Mapping'!BC26&lt;=360), ('(橫掃)RX Mapping'!BC26-241),IF(AND('(橫掃)RX Mapping'!BC26&gt;=361,'(橫掃)RX Mapping'!BC26&lt;=480), (-1)*('(橫掃)RX Mapping'!BC26-480),IF(AND('(橫掃)RX Mapping'!BC26&gt;=481,'(橫掃)RX Mapping'!BC26&lt;=600), ('(橫掃)RX Mapping'!BC26-361),IF(AND('(橫掃)RX Mapping'!BC26&gt;=601,'(橫掃)RX Mapping'!BC26&lt;=720), (-1)*('(橫掃)RX Mapping'!BC26-720)+120,IF(AND('(橫掃)RX Mapping'!BC26&gt;=721,'(橫掃)RX Mapping'!BC26&lt;=840), ('(橫掃)RX Mapping'!BC26-601),IF(AND('(橫掃)RX Mapping'!BC26&gt;=841,'(橫掃)RX Mapping'!BC26&lt;=960), (-1)*('(橫掃)RX Mapping'!BC26-960)+120,9999))))))))</f>
        <v>9999</v>
      </c>
      <c r="BD26">
        <f>IF(AND('(橫掃)RX Mapping'!BD26&gt;=1,'(橫掃)RX Mapping'!BD26&lt;=120), ('(橫掃)RX Mapping'!BD26-1),IF(AND('(橫掃)RX Mapping'!BD26&gt;=121,'(橫掃)RX Mapping'!BD26&lt;=240), (-1)*('(橫掃)RX Mapping'!BD26-240),IF(AND('(橫掃)RX Mapping'!BD26&gt;=241,'(橫掃)RX Mapping'!BD26&lt;=360), ('(橫掃)RX Mapping'!BD26-241),IF(AND('(橫掃)RX Mapping'!BD26&gt;=361,'(橫掃)RX Mapping'!BD26&lt;=480), (-1)*('(橫掃)RX Mapping'!BD26-480),IF(AND('(橫掃)RX Mapping'!BD26&gt;=481,'(橫掃)RX Mapping'!BD26&lt;=600), ('(橫掃)RX Mapping'!BD26-361),IF(AND('(橫掃)RX Mapping'!BD26&gt;=601,'(橫掃)RX Mapping'!BD26&lt;=720), (-1)*('(橫掃)RX Mapping'!BD26-720)+120,IF(AND('(橫掃)RX Mapping'!BD26&gt;=721,'(橫掃)RX Mapping'!BD26&lt;=840), ('(橫掃)RX Mapping'!BD26-601),IF(AND('(橫掃)RX Mapping'!BD26&gt;=841,'(橫掃)RX Mapping'!BD26&lt;=960), (-1)*('(橫掃)RX Mapping'!BD26-960)+120,9999))))))))</f>
        <v>9999</v>
      </c>
      <c r="BE26">
        <f>IF(AND('(橫掃)RX Mapping'!BE26&gt;=1,'(橫掃)RX Mapping'!BE26&lt;=120), ('(橫掃)RX Mapping'!BE26-1),IF(AND('(橫掃)RX Mapping'!BE26&gt;=121,'(橫掃)RX Mapping'!BE26&lt;=240), (-1)*('(橫掃)RX Mapping'!BE26-240),IF(AND('(橫掃)RX Mapping'!BE26&gt;=241,'(橫掃)RX Mapping'!BE26&lt;=360), ('(橫掃)RX Mapping'!BE26-241),IF(AND('(橫掃)RX Mapping'!BE26&gt;=361,'(橫掃)RX Mapping'!BE26&lt;=480), (-1)*('(橫掃)RX Mapping'!BE26-480),IF(AND('(橫掃)RX Mapping'!BE26&gt;=481,'(橫掃)RX Mapping'!BE26&lt;=600), ('(橫掃)RX Mapping'!BE26-361),IF(AND('(橫掃)RX Mapping'!BE26&gt;=601,'(橫掃)RX Mapping'!BE26&lt;=720), (-1)*('(橫掃)RX Mapping'!BE26-720)+120,IF(AND('(橫掃)RX Mapping'!BE26&gt;=721,'(橫掃)RX Mapping'!BE26&lt;=840), ('(橫掃)RX Mapping'!BE26-601),IF(AND('(橫掃)RX Mapping'!BE26&gt;=841,'(橫掃)RX Mapping'!BE26&lt;=960), (-1)*('(橫掃)RX Mapping'!BE26-960)+120,9999))))))))</f>
        <v>9999</v>
      </c>
      <c r="BF26">
        <f>IF(AND('(橫掃)RX Mapping'!BF26&gt;=1,'(橫掃)RX Mapping'!BF26&lt;=120), ('(橫掃)RX Mapping'!BF26-1),IF(AND('(橫掃)RX Mapping'!BF26&gt;=121,'(橫掃)RX Mapping'!BF26&lt;=240), (-1)*('(橫掃)RX Mapping'!BF26-240),IF(AND('(橫掃)RX Mapping'!BF26&gt;=241,'(橫掃)RX Mapping'!BF26&lt;=360), ('(橫掃)RX Mapping'!BF26-241),IF(AND('(橫掃)RX Mapping'!BF26&gt;=361,'(橫掃)RX Mapping'!BF26&lt;=480), (-1)*('(橫掃)RX Mapping'!BF26-480),IF(AND('(橫掃)RX Mapping'!BF26&gt;=481,'(橫掃)RX Mapping'!BF26&lt;=600), ('(橫掃)RX Mapping'!BF26-361),IF(AND('(橫掃)RX Mapping'!BF26&gt;=601,'(橫掃)RX Mapping'!BF26&lt;=720), (-1)*('(橫掃)RX Mapping'!BF26-720)+120,IF(AND('(橫掃)RX Mapping'!BF26&gt;=721,'(橫掃)RX Mapping'!BF26&lt;=840), ('(橫掃)RX Mapping'!BF26-601),IF(AND('(橫掃)RX Mapping'!BF26&gt;=841,'(橫掃)RX Mapping'!BF26&lt;=960), (-1)*('(橫掃)RX Mapping'!BF26-960)+120,9999))))))))</f>
        <v>9999</v>
      </c>
      <c r="BG26">
        <f>IF(AND('(橫掃)RX Mapping'!BG26&gt;=1,'(橫掃)RX Mapping'!BG26&lt;=120), ('(橫掃)RX Mapping'!BG26-1),IF(AND('(橫掃)RX Mapping'!BG26&gt;=121,'(橫掃)RX Mapping'!BG26&lt;=240), (-1)*('(橫掃)RX Mapping'!BG26-240),IF(AND('(橫掃)RX Mapping'!BG26&gt;=241,'(橫掃)RX Mapping'!BG26&lt;=360), ('(橫掃)RX Mapping'!BG26-241),IF(AND('(橫掃)RX Mapping'!BG26&gt;=361,'(橫掃)RX Mapping'!BG26&lt;=480), (-1)*('(橫掃)RX Mapping'!BG26-480),IF(AND('(橫掃)RX Mapping'!BG26&gt;=481,'(橫掃)RX Mapping'!BG26&lt;=600), ('(橫掃)RX Mapping'!BG26-361),IF(AND('(橫掃)RX Mapping'!BG26&gt;=601,'(橫掃)RX Mapping'!BG26&lt;=720), (-1)*('(橫掃)RX Mapping'!BG26-720)+120,IF(AND('(橫掃)RX Mapping'!BG26&gt;=721,'(橫掃)RX Mapping'!BG26&lt;=840), ('(橫掃)RX Mapping'!BG26-601),IF(AND('(橫掃)RX Mapping'!BG26&gt;=841,'(橫掃)RX Mapping'!BG26&lt;=960), (-1)*('(橫掃)RX Mapping'!BG26-960)+120,9999))))))))</f>
        <v>9999</v>
      </c>
      <c r="BH26">
        <f>IF(AND('(橫掃)RX Mapping'!BH26&gt;=1,'(橫掃)RX Mapping'!BH26&lt;=120), ('(橫掃)RX Mapping'!BH26-1),IF(AND('(橫掃)RX Mapping'!BH26&gt;=121,'(橫掃)RX Mapping'!BH26&lt;=240), (-1)*('(橫掃)RX Mapping'!BH26-240),IF(AND('(橫掃)RX Mapping'!BH26&gt;=241,'(橫掃)RX Mapping'!BH26&lt;=360), ('(橫掃)RX Mapping'!BH26-241),IF(AND('(橫掃)RX Mapping'!BH26&gt;=361,'(橫掃)RX Mapping'!BH26&lt;=480), (-1)*('(橫掃)RX Mapping'!BH26-480),IF(AND('(橫掃)RX Mapping'!BH26&gt;=481,'(橫掃)RX Mapping'!BH26&lt;=600), ('(橫掃)RX Mapping'!BH26-361),IF(AND('(橫掃)RX Mapping'!BH26&gt;=601,'(橫掃)RX Mapping'!BH26&lt;=720), (-1)*('(橫掃)RX Mapping'!BH26-720)+120,IF(AND('(橫掃)RX Mapping'!BH26&gt;=721,'(橫掃)RX Mapping'!BH26&lt;=840), ('(橫掃)RX Mapping'!BH26-601),IF(AND('(橫掃)RX Mapping'!BH26&gt;=841,'(橫掃)RX Mapping'!BH26&lt;=960), (-1)*('(橫掃)RX Mapping'!BH26-960)+120,9999))))))))</f>
        <v>9999</v>
      </c>
      <c r="BI26">
        <f>IF(AND('(橫掃)RX Mapping'!BI26&gt;=1,'(橫掃)RX Mapping'!BI26&lt;=120), ('(橫掃)RX Mapping'!BI26-1),IF(AND('(橫掃)RX Mapping'!BI26&gt;=121,'(橫掃)RX Mapping'!BI26&lt;=240), (-1)*('(橫掃)RX Mapping'!BI26-240),IF(AND('(橫掃)RX Mapping'!BI26&gt;=241,'(橫掃)RX Mapping'!BI26&lt;=360), ('(橫掃)RX Mapping'!BI26-241),IF(AND('(橫掃)RX Mapping'!BI26&gt;=361,'(橫掃)RX Mapping'!BI26&lt;=480), (-1)*('(橫掃)RX Mapping'!BI26-480),IF(AND('(橫掃)RX Mapping'!BI26&gt;=481,'(橫掃)RX Mapping'!BI26&lt;=600), ('(橫掃)RX Mapping'!BI26-361),IF(AND('(橫掃)RX Mapping'!BI26&gt;=601,'(橫掃)RX Mapping'!BI26&lt;=720), (-1)*('(橫掃)RX Mapping'!BI26-720)+120,IF(AND('(橫掃)RX Mapping'!BI26&gt;=721,'(橫掃)RX Mapping'!BI26&lt;=840), ('(橫掃)RX Mapping'!BI26-601),IF(AND('(橫掃)RX Mapping'!BI26&gt;=841,'(橫掃)RX Mapping'!BI26&lt;=960), (-1)*('(橫掃)RX Mapping'!BI26-960)+120,9999))))))))</f>
        <v>9999</v>
      </c>
    </row>
    <row r="27" spans="1:61" x14ac:dyDescent="0.25">
      <c r="A27" s="20">
        <v>26</v>
      </c>
      <c r="B27">
        <f>IF(AND('(橫掃)RX Mapping'!B27&gt;=1,'(橫掃)RX Mapping'!B27&lt;=120), ('(橫掃)RX Mapping'!B27-1),IF(AND('(橫掃)RX Mapping'!B27&gt;=121,'(橫掃)RX Mapping'!B27&lt;=240), (-1)*('(橫掃)RX Mapping'!B27-240),IF(AND('(橫掃)RX Mapping'!B27&gt;=241,'(橫掃)RX Mapping'!B27&lt;=360), ('(橫掃)RX Mapping'!B27-241),IF(AND('(橫掃)RX Mapping'!B27&gt;=361,'(橫掃)RX Mapping'!B27&lt;=480), (-1)*('(橫掃)RX Mapping'!B27-480),IF(AND('(橫掃)RX Mapping'!B27&gt;=481,'(橫掃)RX Mapping'!B27&lt;=600), ('(橫掃)RX Mapping'!B27-361),IF(AND('(橫掃)RX Mapping'!B27&gt;=601,'(橫掃)RX Mapping'!B27&lt;=720), (-1)*('(橫掃)RX Mapping'!B27-720)+120,IF(AND('(橫掃)RX Mapping'!B27&gt;=721,'(橫掃)RX Mapping'!B27&lt;=840), ('(橫掃)RX Mapping'!B27-601),IF(AND('(橫掃)RX Mapping'!B27&gt;=841,'(橫掃)RX Mapping'!B27&lt;=960), (-1)*('(橫掃)RX Mapping'!B27-960)+120,9999))))))))</f>
        <v>25</v>
      </c>
      <c r="C27">
        <f>IF(AND('(橫掃)RX Mapping'!C27&gt;=1,'(橫掃)RX Mapping'!C27&lt;=120), ('(橫掃)RX Mapping'!C27-1),IF(AND('(橫掃)RX Mapping'!C27&gt;=121,'(橫掃)RX Mapping'!C27&lt;=240), (-1)*('(橫掃)RX Mapping'!C27-240),IF(AND('(橫掃)RX Mapping'!C27&gt;=241,'(橫掃)RX Mapping'!C27&lt;=360), ('(橫掃)RX Mapping'!C27-241),IF(AND('(橫掃)RX Mapping'!C27&gt;=361,'(橫掃)RX Mapping'!C27&lt;=480), (-1)*('(橫掃)RX Mapping'!C27-480),IF(AND('(橫掃)RX Mapping'!C27&gt;=481,'(橫掃)RX Mapping'!C27&lt;=600), ('(橫掃)RX Mapping'!C27-361),IF(AND('(橫掃)RX Mapping'!C27&gt;=601,'(橫掃)RX Mapping'!C27&lt;=720), (-1)*('(橫掃)RX Mapping'!C27-720)+120,IF(AND('(橫掃)RX Mapping'!C27&gt;=721,'(橫掃)RX Mapping'!C27&lt;=840), ('(橫掃)RX Mapping'!C27-601),IF(AND('(橫掃)RX Mapping'!C27&gt;=841,'(橫掃)RX Mapping'!C27&lt;=960), (-1)*('(橫掃)RX Mapping'!C27-960)+120,9999))))))))</f>
        <v>57</v>
      </c>
      <c r="D27">
        <f>IF(AND('(橫掃)RX Mapping'!D27&gt;=1,'(橫掃)RX Mapping'!D27&lt;=120), ('(橫掃)RX Mapping'!D27-1),IF(AND('(橫掃)RX Mapping'!D27&gt;=121,'(橫掃)RX Mapping'!D27&lt;=240), (-1)*('(橫掃)RX Mapping'!D27-240),IF(AND('(橫掃)RX Mapping'!D27&gt;=241,'(橫掃)RX Mapping'!D27&lt;=360), ('(橫掃)RX Mapping'!D27-241),IF(AND('(橫掃)RX Mapping'!D27&gt;=361,'(橫掃)RX Mapping'!D27&lt;=480), (-1)*('(橫掃)RX Mapping'!D27-480),IF(AND('(橫掃)RX Mapping'!D27&gt;=481,'(橫掃)RX Mapping'!D27&lt;=600), ('(橫掃)RX Mapping'!D27-361),IF(AND('(橫掃)RX Mapping'!D27&gt;=601,'(橫掃)RX Mapping'!D27&lt;=720), (-1)*('(橫掃)RX Mapping'!D27-720)+120,IF(AND('(橫掃)RX Mapping'!D27&gt;=721,'(橫掃)RX Mapping'!D27&lt;=840), ('(橫掃)RX Mapping'!D27-601),IF(AND('(橫掃)RX Mapping'!D27&gt;=841,'(橫掃)RX Mapping'!D27&lt;=960), (-1)*('(橫掃)RX Mapping'!D27-960)+120,9999))))))))</f>
        <v>89</v>
      </c>
      <c r="E27">
        <f>IF(AND('(橫掃)RX Mapping'!E27&gt;=1,'(橫掃)RX Mapping'!E27&lt;=120), ('(橫掃)RX Mapping'!E27-1),IF(AND('(橫掃)RX Mapping'!E27&gt;=121,'(橫掃)RX Mapping'!E27&lt;=240), (-1)*('(橫掃)RX Mapping'!E27-240),IF(AND('(橫掃)RX Mapping'!E27&gt;=241,'(橫掃)RX Mapping'!E27&lt;=360), ('(橫掃)RX Mapping'!E27-241),IF(AND('(橫掃)RX Mapping'!E27&gt;=361,'(橫掃)RX Mapping'!E27&lt;=480), (-1)*('(橫掃)RX Mapping'!E27-480),IF(AND('(橫掃)RX Mapping'!E27&gt;=481,'(橫掃)RX Mapping'!E27&lt;=600), ('(橫掃)RX Mapping'!E27-361),IF(AND('(橫掃)RX Mapping'!E27&gt;=601,'(橫掃)RX Mapping'!E27&lt;=720), (-1)*('(橫掃)RX Mapping'!E27-720)+120,IF(AND('(橫掃)RX Mapping'!E27&gt;=721,'(橫掃)RX Mapping'!E27&lt;=840), ('(橫掃)RX Mapping'!E27-601),IF(AND('(橫掃)RX Mapping'!E27&gt;=841,'(橫掃)RX Mapping'!E27&lt;=960), (-1)*('(橫掃)RX Mapping'!E27-960)+120,9999))))))))</f>
        <v>118</v>
      </c>
      <c r="F27">
        <f>IF(AND('(橫掃)RX Mapping'!F27&gt;=1,'(橫掃)RX Mapping'!F27&lt;=120), ('(橫掃)RX Mapping'!F27-1),IF(AND('(橫掃)RX Mapping'!F27&gt;=121,'(橫掃)RX Mapping'!F27&lt;=240), (-1)*('(橫掃)RX Mapping'!F27-240),IF(AND('(橫掃)RX Mapping'!F27&gt;=241,'(橫掃)RX Mapping'!F27&lt;=360), ('(橫掃)RX Mapping'!F27-241),IF(AND('(橫掃)RX Mapping'!F27&gt;=361,'(橫掃)RX Mapping'!F27&lt;=480), (-1)*('(橫掃)RX Mapping'!F27-480),IF(AND('(橫掃)RX Mapping'!F27&gt;=481,'(橫掃)RX Mapping'!F27&lt;=600), ('(橫掃)RX Mapping'!F27-361),IF(AND('(橫掃)RX Mapping'!F27&gt;=601,'(橫掃)RX Mapping'!F27&lt;=720), (-1)*('(橫掃)RX Mapping'!F27-720)+120,IF(AND('(橫掃)RX Mapping'!F27&gt;=721,'(橫掃)RX Mapping'!F27&lt;=840), ('(橫掃)RX Mapping'!F27-601),IF(AND('(橫掃)RX Mapping'!F27&gt;=841,'(橫掃)RX Mapping'!F27&lt;=960), (-1)*('(橫掃)RX Mapping'!F27-960)+120,9999))))))))</f>
        <v>86</v>
      </c>
      <c r="G27">
        <f>IF(AND('(橫掃)RX Mapping'!G27&gt;=1,'(橫掃)RX Mapping'!G27&lt;=120), ('(橫掃)RX Mapping'!G27-1),IF(AND('(橫掃)RX Mapping'!G27&gt;=121,'(橫掃)RX Mapping'!G27&lt;=240), (-1)*('(橫掃)RX Mapping'!G27-240),IF(AND('(橫掃)RX Mapping'!G27&gt;=241,'(橫掃)RX Mapping'!G27&lt;=360), ('(橫掃)RX Mapping'!G27-241),IF(AND('(橫掃)RX Mapping'!G27&gt;=361,'(橫掃)RX Mapping'!G27&lt;=480), (-1)*('(橫掃)RX Mapping'!G27-480),IF(AND('(橫掃)RX Mapping'!G27&gt;=481,'(橫掃)RX Mapping'!G27&lt;=600), ('(橫掃)RX Mapping'!G27-361),IF(AND('(橫掃)RX Mapping'!G27&gt;=601,'(橫掃)RX Mapping'!G27&lt;=720), (-1)*('(橫掃)RX Mapping'!G27-720)+120,IF(AND('(橫掃)RX Mapping'!G27&gt;=721,'(橫掃)RX Mapping'!G27&lt;=840), ('(橫掃)RX Mapping'!G27-601),IF(AND('(橫掃)RX Mapping'!G27&gt;=841,'(橫掃)RX Mapping'!G27&lt;=960), (-1)*('(橫掃)RX Mapping'!G27-960)+120,9999))))))))</f>
        <v>54</v>
      </c>
      <c r="H27">
        <f>IF(AND('(橫掃)RX Mapping'!H27&gt;=1,'(橫掃)RX Mapping'!H27&lt;=120), ('(橫掃)RX Mapping'!H27-1),IF(AND('(橫掃)RX Mapping'!H27&gt;=121,'(橫掃)RX Mapping'!H27&lt;=240), (-1)*('(橫掃)RX Mapping'!H27-240),IF(AND('(橫掃)RX Mapping'!H27&gt;=241,'(橫掃)RX Mapping'!H27&lt;=360), ('(橫掃)RX Mapping'!H27-241),IF(AND('(橫掃)RX Mapping'!H27&gt;=361,'(橫掃)RX Mapping'!H27&lt;=480), (-1)*('(橫掃)RX Mapping'!H27-480),IF(AND('(橫掃)RX Mapping'!H27&gt;=481,'(橫掃)RX Mapping'!H27&lt;=600), ('(橫掃)RX Mapping'!H27-361),IF(AND('(橫掃)RX Mapping'!H27&gt;=601,'(橫掃)RX Mapping'!H27&lt;=720), (-1)*('(橫掃)RX Mapping'!H27-720)+120,IF(AND('(橫掃)RX Mapping'!H27&gt;=721,'(橫掃)RX Mapping'!H27&lt;=840), ('(橫掃)RX Mapping'!H27-601),IF(AND('(橫掃)RX Mapping'!H27&gt;=841,'(橫掃)RX Mapping'!H27&lt;=960), (-1)*('(橫掃)RX Mapping'!H27-960)+120,9999))))))))</f>
        <v>22</v>
      </c>
      <c r="I27">
        <f>IF(AND('(橫掃)RX Mapping'!I27&gt;=1,'(橫掃)RX Mapping'!I27&lt;=120), ('(橫掃)RX Mapping'!I27-1),IF(AND('(橫掃)RX Mapping'!I27&gt;=121,'(橫掃)RX Mapping'!I27&lt;=240), (-1)*('(橫掃)RX Mapping'!I27-240),IF(AND('(橫掃)RX Mapping'!I27&gt;=241,'(橫掃)RX Mapping'!I27&lt;=360), ('(橫掃)RX Mapping'!I27-241),IF(AND('(橫掃)RX Mapping'!I27&gt;=361,'(橫掃)RX Mapping'!I27&lt;=480), (-1)*('(橫掃)RX Mapping'!I27-480),IF(AND('(橫掃)RX Mapping'!I27&gt;=481,'(橫掃)RX Mapping'!I27&lt;=600), ('(橫掃)RX Mapping'!I27-361),IF(AND('(橫掃)RX Mapping'!I27&gt;=601,'(橫掃)RX Mapping'!I27&lt;=720), (-1)*('(橫掃)RX Mapping'!I27-720)+120,IF(AND('(橫掃)RX Mapping'!I27&gt;=721,'(橫掃)RX Mapping'!I27&lt;=840), ('(橫掃)RX Mapping'!I27-601),IF(AND('(橫掃)RX Mapping'!I27&gt;=841,'(橫掃)RX Mapping'!I27&lt;=960), (-1)*('(橫掃)RX Mapping'!I27-960)+120,9999))))))))</f>
        <v>25</v>
      </c>
      <c r="J27">
        <f>IF(AND('(橫掃)RX Mapping'!J27&gt;=1,'(橫掃)RX Mapping'!J27&lt;=120), ('(橫掃)RX Mapping'!J27-1),IF(AND('(橫掃)RX Mapping'!J27&gt;=121,'(橫掃)RX Mapping'!J27&lt;=240), (-1)*('(橫掃)RX Mapping'!J27-240),IF(AND('(橫掃)RX Mapping'!J27&gt;=241,'(橫掃)RX Mapping'!J27&lt;=360), ('(橫掃)RX Mapping'!J27-241),IF(AND('(橫掃)RX Mapping'!J27&gt;=361,'(橫掃)RX Mapping'!J27&lt;=480), (-1)*('(橫掃)RX Mapping'!J27-480),IF(AND('(橫掃)RX Mapping'!J27&gt;=481,'(橫掃)RX Mapping'!J27&lt;=600), ('(橫掃)RX Mapping'!J27-361),IF(AND('(橫掃)RX Mapping'!J27&gt;=601,'(橫掃)RX Mapping'!J27&lt;=720), (-1)*('(橫掃)RX Mapping'!J27-720)+120,IF(AND('(橫掃)RX Mapping'!J27&gt;=721,'(橫掃)RX Mapping'!J27&lt;=840), ('(橫掃)RX Mapping'!J27-601),IF(AND('(橫掃)RX Mapping'!J27&gt;=841,'(橫掃)RX Mapping'!J27&lt;=960), (-1)*('(橫掃)RX Mapping'!J27-960)+120,9999))))))))</f>
        <v>57</v>
      </c>
      <c r="K27">
        <f>IF(AND('(橫掃)RX Mapping'!K27&gt;=1,'(橫掃)RX Mapping'!K27&lt;=120), ('(橫掃)RX Mapping'!K27-1),IF(AND('(橫掃)RX Mapping'!K27&gt;=121,'(橫掃)RX Mapping'!K27&lt;=240), (-1)*('(橫掃)RX Mapping'!K27-240),IF(AND('(橫掃)RX Mapping'!K27&gt;=241,'(橫掃)RX Mapping'!K27&lt;=360), ('(橫掃)RX Mapping'!K27-241),IF(AND('(橫掃)RX Mapping'!K27&gt;=361,'(橫掃)RX Mapping'!K27&lt;=480), (-1)*('(橫掃)RX Mapping'!K27-480),IF(AND('(橫掃)RX Mapping'!K27&gt;=481,'(橫掃)RX Mapping'!K27&lt;=600), ('(橫掃)RX Mapping'!K27-361),IF(AND('(橫掃)RX Mapping'!K27&gt;=601,'(橫掃)RX Mapping'!K27&lt;=720), (-1)*('(橫掃)RX Mapping'!K27-720)+120,IF(AND('(橫掃)RX Mapping'!K27&gt;=721,'(橫掃)RX Mapping'!K27&lt;=840), ('(橫掃)RX Mapping'!K27-601),IF(AND('(橫掃)RX Mapping'!K27&gt;=841,'(橫掃)RX Mapping'!K27&lt;=960), (-1)*('(橫掃)RX Mapping'!K27-960)+120,9999))))))))</f>
        <v>89</v>
      </c>
      <c r="L27">
        <f>IF(AND('(橫掃)RX Mapping'!L27&gt;=1,'(橫掃)RX Mapping'!L27&lt;=120), ('(橫掃)RX Mapping'!L27-1),IF(AND('(橫掃)RX Mapping'!L27&gt;=121,'(橫掃)RX Mapping'!L27&lt;=240), (-1)*('(橫掃)RX Mapping'!L27-240),IF(AND('(橫掃)RX Mapping'!L27&gt;=241,'(橫掃)RX Mapping'!L27&lt;=360), ('(橫掃)RX Mapping'!L27-241),IF(AND('(橫掃)RX Mapping'!L27&gt;=361,'(橫掃)RX Mapping'!L27&lt;=480), (-1)*('(橫掃)RX Mapping'!L27-480),IF(AND('(橫掃)RX Mapping'!L27&gt;=481,'(橫掃)RX Mapping'!L27&lt;=600), ('(橫掃)RX Mapping'!L27-361),IF(AND('(橫掃)RX Mapping'!L27&gt;=601,'(橫掃)RX Mapping'!L27&lt;=720), (-1)*('(橫掃)RX Mapping'!L27-720)+120,IF(AND('(橫掃)RX Mapping'!L27&gt;=721,'(橫掃)RX Mapping'!L27&lt;=840), ('(橫掃)RX Mapping'!L27-601),IF(AND('(橫掃)RX Mapping'!L27&gt;=841,'(橫掃)RX Mapping'!L27&lt;=960), (-1)*('(橫掃)RX Mapping'!L27-960)+120,9999))))))))</f>
        <v>118</v>
      </c>
      <c r="M27">
        <f>IF(AND('(橫掃)RX Mapping'!M27&gt;=1,'(橫掃)RX Mapping'!M27&lt;=120), ('(橫掃)RX Mapping'!M27-1),IF(AND('(橫掃)RX Mapping'!M27&gt;=121,'(橫掃)RX Mapping'!M27&lt;=240), (-1)*('(橫掃)RX Mapping'!M27-240),IF(AND('(橫掃)RX Mapping'!M27&gt;=241,'(橫掃)RX Mapping'!M27&lt;=360), ('(橫掃)RX Mapping'!M27-241),IF(AND('(橫掃)RX Mapping'!M27&gt;=361,'(橫掃)RX Mapping'!M27&lt;=480), (-1)*('(橫掃)RX Mapping'!M27-480),IF(AND('(橫掃)RX Mapping'!M27&gt;=481,'(橫掃)RX Mapping'!M27&lt;=600), ('(橫掃)RX Mapping'!M27-361),IF(AND('(橫掃)RX Mapping'!M27&gt;=601,'(橫掃)RX Mapping'!M27&lt;=720), (-1)*('(橫掃)RX Mapping'!M27-720)+120,IF(AND('(橫掃)RX Mapping'!M27&gt;=721,'(橫掃)RX Mapping'!M27&lt;=840), ('(橫掃)RX Mapping'!M27-601),IF(AND('(橫掃)RX Mapping'!M27&gt;=841,'(橫掃)RX Mapping'!M27&lt;=960), (-1)*('(橫掃)RX Mapping'!M27-960)+120,9999))))))))</f>
        <v>86</v>
      </c>
      <c r="N27">
        <f>IF(AND('(橫掃)RX Mapping'!N27&gt;=1,'(橫掃)RX Mapping'!N27&lt;=120), ('(橫掃)RX Mapping'!N27-1),IF(AND('(橫掃)RX Mapping'!N27&gt;=121,'(橫掃)RX Mapping'!N27&lt;=240), (-1)*('(橫掃)RX Mapping'!N27-240),IF(AND('(橫掃)RX Mapping'!N27&gt;=241,'(橫掃)RX Mapping'!N27&lt;=360), ('(橫掃)RX Mapping'!N27-241),IF(AND('(橫掃)RX Mapping'!N27&gt;=361,'(橫掃)RX Mapping'!N27&lt;=480), (-1)*('(橫掃)RX Mapping'!N27-480),IF(AND('(橫掃)RX Mapping'!N27&gt;=481,'(橫掃)RX Mapping'!N27&lt;=600), ('(橫掃)RX Mapping'!N27-361),IF(AND('(橫掃)RX Mapping'!N27&gt;=601,'(橫掃)RX Mapping'!N27&lt;=720), (-1)*('(橫掃)RX Mapping'!N27-720)+120,IF(AND('(橫掃)RX Mapping'!N27&gt;=721,'(橫掃)RX Mapping'!N27&lt;=840), ('(橫掃)RX Mapping'!N27-601),IF(AND('(橫掃)RX Mapping'!N27&gt;=841,'(橫掃)RX Mapping'!N27&lt;=960), (-1)*('(橫掃)RX Mapping'!N27-960)+120,9999))))))))</f>
        <v>54</v>
      </c>
      <c r="O27">
        <f>IF(AND('(橫掃)RX Mapping'!O27&gt;=1,'(橫掃)RX Mapping'!O27&lt;=120), ('(橫掃)RX Mapping'!O27-1),IF(AND('(橫掃)RX Mapping'!O27&gt;=121,'(橫掃)RX Mapping'!O27&lt;=240), (-1)*('(橫掃)RX Mapping'!O27-240),IF(AND('(橫掃)RX Mapping'!O27&gt;=241,'(橫掃)RX Mapping'!O27&lt;=360), ('(橫掃)RX Mapping'!O27-241),IF(AND('(橫掃)RX Mapping'!O27&gt;=361,'(橫掃)RX Mapping'!O27&lt;=480), (-1)*('(橫掃)RX Mapping'!O27-480),IF(AND('(橫掃)RX Mapping'!O27&gt;=481,'(橫掃)RX Mapping'!O27&lt;=600), ('(橫掃)RX Mapping'!O27-361),IF(AND('(橫掃)RX Mapping'!O27&gt;=601,'(橫掃)RX Mapping'!O27&lt;=720), (-1)*('(橫掃)RX Mapping'!O27-720)+120,IF(AND('(橫掃)RX Mapping'!O27&gt;=721,'(橫掃)RX Mapping'!O27&lt;=840), ('(橫掃)RX Mapping'!O27-601),IF(AND('(橫掃)RX Mapping'!O27&gt;=841,'(橫掃)RX Mapping'!O27&lt;=960), (-1)*('(橫掃)RX Mapping'!O27-960)+120,9999))))))))</f>
        <v>22</v>
      </c>
      <c r="P27">
        <f>IF(AND('(橫掃)RX Mapping'!P27&gt;=1,'(橫掃)RX Mapping'!P27&lt;=120), ('(橫掃)RX Mapping'!P27-1),IF(AND('(橫掃)RX Mapping'!P27&gt;=121,'(橫掃)RX Mapping'!P27&lt;=240), (-1)*('(橫掃)RX Mapping'!P27-240),IF(AND('(橫掃)RX Mapping'!P27&gt;=241,'(橫掃)RX Mapping'!P27&lt;=360), ('(橫掃)RX Mapping'!P27-241),IF(AND('(橫掃)RX Mapping'!P27&gt;=361,'(橫掃)RX Mapping'!P27&lt;=480), (-1)*('(橫掃)RX Mapping'!P27-480),IF(AND('(橫掃)RX Mapping'!P27&gt;=481,'(橫掃)RX Mapping'!P27&lt;=600), ('(橫掃)RX Mapping'!P27-361),IF(AND('(橫掃)RX Mapping'!P27&gt;=601,'(橫掃)RX Mapping'!P27&lt;=720), (-1)*('(橫掃)RX Mapping'!P27-720)+120,IF(AND('(橫掃)RX Mapping'!P27&gt;=721,'(橫掃)RX Mapping'!P27&lt;=840), ('(橫掃)RX Mapping'!P27-601),IF(AND('(橫掃)RX Mapping'!P27&gt;=841,'(橫掃)RX Mapping'!P27&lt;=960), (-1)*('(橫掃)RX Mapping'!P27-960)+120,9999))))))))</f>
        <v>145</v>
      </c>
      <c r="Q27">
        <f>IF(AND('(橫掃)RX Mapping'!Q27&gt;=1,'(橫掃)RX Mapping'!Q27&lt;=120), ('(橫掃)RX Mapping'!Q27-1),IF(AND('(橫掃)RX Mapping'!Q27&gt;=121,'(橫掃)RX Mapping'!Q27&lt;=240), (-1)*('(橫掃)RX Mapping'!Q27-240),IF(AND('(橫掃)RX Mapping'!Q27&gt;=241,'(橫掃)RX Mapping'!Q27&lt;=360), ('(橫掃)RX Mapping'!Q27-241),IF(AND('(橫掃)RX Mapping'!Q27&gt;=361,'(橫掃)RX Mapping'!Q27&lt;=480), (-1)*('(橫掃)RX Mapping'!Q27-480),IF(AND('(橫掃)RX Mapping'!Q27&gt;=481,'(橫掃)RX Mapping'!Q27&lt;=600), ('(橫掃)RX Mapping'!Q27-361),IF(AND('(橫掃)RX Mapping'!Q27&gt;=601,'(橫掃)RX Mapping'!Q27&lt;=720), (-1)*('(橫掃)RX Mapping'!Q27-720)+120,IF(AND('(橫掃)RX Mapping'!Q27&gt;=721,'(橫掃)RX Mapping'!Q27&lt;=840), ('(橫掃)RX Mapping'!Q27-601),IF(AND('(橫掃)RX Mapping'!Q27&gt;=841,'(橫掃)RX Mapping'!Q27&lt;=960), (-1)*('(橫掃)RX Mapping'!Q27-960)+120,9999))))))))</f>
        <v>177</v>
      </c>
      <c r="R27">
        <f>IF(AND('(橫掃)RX Mapping'!R27&gt;=1,'(橫掃)RX Mapping'!R27&lt;=120), ('(橫掃)RX Mapping'!R27-1),IF(AND('(橫掃)RX Mapping'!R27&gt;=121,'(橫掃)RX Mapping'!R27&lt;=240), (-1)*('(橫掃)RX Mapping'!R27-240),IF(AND('(橫掃)RX Mapping'!R27&gt;=241,'(橫掃)RX Mapping'!R27&lt;=360), ('(橫掃)RX Mapping'!R27-241),IF(AND('(橫掃)RX Mapping'!R27&gt;=361,'(橫掃)RX Mapping'!R27&lt;=480), (-1)*('(橫掃)RX Mapping'!R27-480),IF(AND('(橫掃)RX Mapping'!R27&gt;=481,'(橫掃)RX Mapping'!R27&lt;=600), ('(橫掃)RX Mapping'!R27-361),IF(AND('(橫掃)RX Mapping'!R27&gt;=601,'(橫掃)RX Mapping'!R27&lt;=720), (-1)*('(橫掃)RX Mapping'!R27-720)+120,IF(AND('(橫掃)RX Mapping'!R27&gt;=721,'(橫掃)RX Mapping'!R27&lt;=840), ('(橫掃)RX Mapping'!R27-601),IF(AND('(橫掃)RX Mapping'!R27&gt;=841,'(橫掃)RX Mapping'!R27&lt;=960), (-1)*('(橫掃)RX Mapping'!R27-960)+120,9999))))))))</f>
        <v>209</v>
      </c>
      <c r="S27">
        <f>IF(AND('(橫掃)RX Mapping'!S27&gt;=1,'(橫掃)RX Mapping'!S27&lt;=120), ('(橫掃)RX Mapping'!S27-1),IF(AND('(橫掃)RX Mapping'!S27&gt;=121,'(橫掃)RX Mapping'!S27&lt;=240), (-1)*('(橫掃)RX Mapping'!S27-240),IF(AND('(橫掃)RX Mapping'!S27&gt;=241,'(橫掃)RX Mapping'!S27&lt;=360), ('(橫掃)RX Mapping'!S27-241),IF(AND('(橫掃)RX Mapping'!S27&gt;=361,'(橫掃)RX Mapping'!S27&lt;=480), (-1)*('(橫掃)RX Mapping'!S27-480),IF(AND('(橫掃)RX Mapping'!S27&gt;=481,'(橫掃)RX Mapping'!S27&lt;=600), ('(橫掃)RX Mapping'!S27-361),IF(AND('(橫掃)RX Mapping'!S27&gt;=601,'(橫掃)RX Mapping'!S27&lt;=720), (-1)*('(橫掃)RX Mapping'!S27-720)+120,IF(AND('(橫掃)RX Mapping'!S27&gt;=721,'(橫掃)RX Mapping'!S27&lt;=840), ('(橫掃)RX Mapping'!S27-601),IF(AND('(橫掃)RX Mapping'!S27&gt;=841,'(橫掃)RX Mapping'!S27&lt;=960), (-1)*('(橫掃)RX Mapping'!S27-960)+120,9999))))))))</f>
        <v>238</v>
      </c>
      <c r="T27">
        <f>IF(AND('(橫掃)RX Mapping'!T27&gt;=1,'(橫掃)RX Mapping'!T27&lt;=120), ('(橫掃)RX Mapping'!T27-1),IF(AND('(橫掃)RX Mapping'!T27&gt;=121,'(橫掃)RX Mapping'!T27&lt;=240), (-1)*('(橫掃)RX Mapping'!T27-240),IF(AND('(橫掃)RX Mapping'!T27&gt;=241,'(橫掃)RX Mapping'!T27&lt;=360), ('(橫掃)RX Mapping'!T27-241),IF(AND('(橫掃)RX Mapping'!T27&gt;=361,'(橫掃)RX Mapping'!T27&lt;=480), (-1)*('(橫掃)RX Mapping'!T27-480),IF(AND('(橫掃)RX Mapping'!T27&gt;=481,'(橫掃)RX Mapping'!T27&lt;=600), ('(橫掃)RX Mapping'!T27-361),IF(AND('(橫掃)RX Mapping'!T27&gt;=601,'(橫掃)RX Mapping'!T27&lt;=720), (-1)*('(橫掃)RX Mapping'!T27-720)+120,IF(AND('(橫掃)RX Mapping'!T27&gt;=721,'(橫掃)RX Mapping'!T27&lt;=840), ('(橫掃)RX Mapping'!T27-601),IF(AND('(橫掃)RX Mapping'!T27&gt;=841,'(橫掃)RX Mapping'!T27&lt;=960), (-1)*('(橫掃)RX Mapping'!T27-960)+120,9999))))))))</f>
        <v>206</v>
      </c>
      <c r="U27">
        <f>IF(AND('(橫掃)RX Mapping'!U27&gt;=1,'(橫掃)RX Mapping'!U27&lt;=120), ('(橫掃)RX Mapping'!U27-1),IF(AND('(橫掃)RX Mapping'!U27&gt;=121,'(橫掃)RX Mapping'!U27&lt;=240), (-1)*('(橫掃)RX Mapping'!U27-240),IF(AND('(橫掃)RX Mapping'!U27&gt;=241,'(橫掃)RX Mapping'!U27&lt;=360), ('(橫掃)RX Mapping'!U27-241),IF(AND('(橫掃)RX Mapping'!U27&gt;=361,'(橫掃)RX Mapping'!U27&lt;=480), (-1)*('(橫掃)RX Mapping'!U27-480),IF(AND('(橫掃)RX Mapping'!U27&gt;=481,'(橫掃)RX Mapping'!U27&lt;=600), ('(橫掃)RX Mapping'!U27-361),IF(AND('(橫掃)RX Mapping'!U27&gt;=601,'(橫掃)RX Mapping'!U27&lt;=720), (-1)*('(橫掃)RX Mapping'!U27-720)+120,IF(AND('(橫掃)RX Mapping'!U27&gt;=721,'(橫掃)RX Mapping'!U27&lt;=840), ('(橫掃)RX Mapping'!U27-601),IF(AND('(橫掃)RX Mapping'!U27&gt;=841,'(橫掃)RX Mapping'!U27&lt;=960), (-1)*('(橫掃)RX Mapping'!U27-960)+120,9999))))))))</f>
        <v>174</v>
      </c>
      <c r="V27">
        <f>IF(AND('(橫掃)RX Mapping'!V27&gt;=1,'(橫掃)RX Mapping'!V27&lt;=120), ('(橫掃)RX Mapping'!V27-1),IF(AND('(橫掃)RX Mapping'!V27&gt;=121,'(橫掃)RX Mapping'!V27&lt;=240), (-1)*('(橫掃)RX Mapping'!V27-240),IF(AND('(橫掃)RX Mapping'!V27&gt;=241,'(橫掃)RX Mapping'!V27&lt;=360), ('(橫掃)RX Mapping'!V27-241),IF(AND('(橫掃)RX Mapping'!V27&gt;=361,'(橫掃)RX Mapping'!V27&lt;=480), (-1)*('(橫掃)RX Mapping'!V27-480),IF(AND('(橫掃)RX Mapping'!V27&gt;=481,'(橫掃)RX Mapping'!V27&lt;=600), ('(橫掃)RX Mapping'!V27-361),IF(AND('(橫掃)RX Mapping'!V27&gt;=601,'(橫掃)RX Mapping'!V27&lt;=720), (-1)*('(橫掃)RX Mapping'!V27-720)+120,IF(AND('(橫掃)RX Mapping'!V27&gt;=721,'(橫掃)RX Mapping'!V27&lt;=840), ('(橫掃)RX Mapping'!V27-601),IF(AND('(橫掃)RX Mapping'!V27&gt;=841,'(橫掃)RX Mapping'!V27&lt;=960), (-1)*('(橫掃)RX Mapping'!V27-960)+120,9999))))))))</f>
        <v>142</v>
      </c>
      <c r="W27">
        <f>IF(AND('(橫掃)RX Mapping'!W27&gt;=1,'(橫掃)RX Mapping'!W27&lt;=120), ('(橫掃)RX Mapping'!W27-1),IF(AND('(橫掃)RX Mapping'!W27&gt;=121,'(橫掃)RX Mapping'!W27&lt;=240), (-1)*('(橫掃)RX Mapping'!W27-240),IF(AND('(橫掃)RX Mapping'!W27&gt;=241,'(橫掃)RX Mapping'!W27&lt;=360), ('(橫掃)RX Mapping'!W27-241),IF(AND('(橫掃)RX Mapping'!W27&gt;=361,'(橫掃)RX Mapping'!W27&lt;=480), (-1)*('(橫掃)RX Mapping'!W27-480),IF(AND('(橫掃)RX Mapping'!W27&gt;=481,'(橫掃)RX Mapping'!W27&lt;=600), ('(橫掃)RX Mapping'!W27-361),IF(AND('(橫掃)RX Mapping'!W27&gt;=601,'(橫掃)RX Mapping'!W27&lt;=720), (-1)*('(橫掃)RX Mapping'!W27-720)+120,IF(AND('(橫掃)RX Mapping'!W27&gt;=721,'(橫掃)RX Mapping'!W27&lt;=840), ('(橫掃)RX Mapping'!W27-601),IF(AND('(橫掃)RX Mapping'!W27&gt;=841,'(橫掃)RX Mapping'!W27&lt;=960), (-1)*('(橫掃)RX Mapping'!W27-960)+120,9999))))))))</f>
        <v>145</v>
      </c>
      <c r="X27">
        <f>IF(AND('(橫掃)RX Mapping'!X27&gt;=1,'(橫掃)RX Mapping'!X27&lt;=120), ('(橫掃)RX Mapping'!X27-1),IF(AND('(橫掃)RX Mapping'!X27&gt;=121,'(橫掃)RX Mapping'!X27&lt;=240), (-1)*('(橫掃)RX Mapping'!X27-240),IF(AND('(橫掃)RX Mapping'!X27&gt;=241,'(橫掃)RX Mapping'!X27&lt;=360), ('(橫掃)RX Mapping'!X27-241),IF(AND('(橫掃)RX Mapping'!X27&gt;=361,'(橫掃)RX Mapping'!X27&lt;=480), (-1)*('(橫掃)RX Mapping'!X27-480),IF(AND('(橫掃)RX Mapping'!X27&gt;=481,'(橫掃)RX Mapping'!X27&lt;=600), ('(橫掃)RX Mapping'!X27-361),IF(AND('(橫掃)RX Mapping'!X27&gt;=601,'(橫掃)RX Mapping'!X27&lt;=720), (-1)*('(橫掃)RX Mapping'!X27-720)+120,IF(AND('(橫掃)RX Mapping'!X27&gt;=721,'(橫掃)RX Mapping'!X27&lt;=840), ('(橫掃)RX Mapping'!X27-601),IF(AND('(橫掃)RX Mapping'!X27&gt;=841,'(橫掃)RX Mapping'!X27&lt;=960), (-1)*('(橫掃)RX Mapping'!X27-960)+120,9999))))))))</f>
        <v>177</v>
      </c>
      <c r="Y27">
        <f>IF(AND('(橫掃)RX Mapping'!Y27&gt;=1,'(橫掃)RX Mapping'!Y27&lt;=120), ('(橫掃)RX Mapping'!Y27-1),IF(AND('(橫掃)RX Mapping'!Y27&gt;=121,'(橫掃)RX Mapping'!Y27&lt;=240), (-1)*('(橫掃)RX Mapping'!Y27-240),IF(AND('(橫掃)RX Mapping'!Y27&gt;=241,'(橫掃)RX Mapping'!Y27&lt;=360), ('(橫掃)RX Mapping'!Y27-241),IF(AND('(橫掃)RX Mapping'!Y27&gt;=361,'(橫掃)RX Mapping'!Y27&lt;=480), (-1)*('(橫掃)RX Mapping'!Y27-480),IF(AND('(橫掃)RX Mapping'!Y27&gt;=481,'(橫掃)RX Mapping'!Y27&lt;=600), ('(橫掃)RX Mapping'!Y27-361),IF(AND('(橫掃)RX Mapping'!Y27&gt;=601,'(橫掃)RX Mapping'!Y27&lt;=720), (-1)*('(橫掃)RX Mapping'!Y27-720)+120,IF(AND('(橫掃)RX Mapping'!Y27&gt;=721,'(橫掃)RX Mapping'!Y27&lt;=840), ('(橫掃)RX Mapping'!Y27-601),IF(AND('(橫掃)RX Mapping'!Y27&gt;=841,'(橫掃)RX Mapping'!Y27&lt;=960), (-1)*('(橫掃)RX Mapping'!Y27-960)+120,9999))))))))</f>
        <v>209</v>
      </c>
      <c r="Z27">
        <f>IF(AND('(橫掃)RX Mapping'!Z27&gt;=1,'(橫掃)RX Mapping'!Z27&lt;=120), ('(橫掃)RX Mapping'!Z27-1),IF(AND('(橫掃)RX Mapping'!Z27&gt;=121,'(橫掃)RX Mapping'!Z27&lt;=240), (-1)*('(橫掃)RX Mapping'!Z27-240),IF(AND('(橫掃)RX Mapping'!Z27&gt;=241,'(橫掃)RX Mapping'!Z27&lt;=360), ('(橫掃)RX Mapping'!Z27-241),IF(AND('(橫掃)RX Mapping'!Z27&gt;=361,'(橫掃)RX Mapping'!Z27&lt;=480), (-1)*('(橫掃)RX Mapping'!Z27-480),IF(AND('(橫掃)RX Mapping'!Z27&gt;=481,'(橫掃)RX Mapping'!Z27&lt;=600), ('(橫掃)RX Mapping'!Z27-361),IF(AND('(橫掃)RX Mapping'!Z27&gt;=601,'(橫掃)RX Mapping'!Z27&lt;=720), (-1)*('(橫掃)RX Mapping'!Z27-720)+120,IF(AND('(橫掃)RX Mapping'!Z27&gt;=721,'(橫掃)RX Mapping'!Z27&lt;=840), ('(橫掃)RX Mapping'!Z27-601),IF(AND('(橫掃)RX Mapping'!Z27&gt;=841,'(橫掃)RX Mapping'!Z27&lt;=960), (-1)*('(橫掃)RX Mapping'!Z27-960)+120,9999))))))))</f>
        <v>238</v>
      </c>
      <c r="AA27">
        <f>IF(AND('(橫掃)RX Mapping'!AA27&gt;=1,'(橫掃)RX Mapping'!AA27&lt;=120), ('(橫掃)RX Mapping'!AA27-1),IF(AND('(橫掃)RX Mapping'!AA27&gt;=121,'(橫掃)RX Mapping'!AA27&lt;=240), (-1)*('(橫掃)RX Mapping'!AA27-240),IF(AND('(橫掃)RX Mapping'!AA27&gt;=241,'(橫掃)RX Mapping'!AA27&lt;=360), ('(橫掃)RX Mapping'!AA27-241),IF(AND('(橫掃)RX Mapping'!AA27&gt;=361,'(橫掃)RX Mapping'!AA27&lt;=480), (-1)*('(橫掃)RX Mapping'!AA27-480),IF(AND('(橫掃)RX Mapping'!AA27&gt;=481,'(橫掃)RX Mapping'!AA27&lt;=600), ('(橫掃)RX Mapping'!AA27-361),IF(AND('(橫掃)RX Mapping'!AA27&gt;=601,'(橫掃)RX Mapping'!AA27&lt;=720), (-1)*('(橫掃)RX Mapping'!AA27-720)+120,IF(AND('(橫掃)RX Mapping'!AA27&gt;=721,'(橫掃)RX Mapping'!AA27&lt;=840), ('(橫掃)RX Mapping'!AA27-601),IF(AND('(橫掃)RX Mapping'!AA27&gt;=841,'(橫掃)RX Mapping'!AA27&lt;=960), (-1)*('(橫掃)RX Mapping'!AA27-960)+120,9999))))))))</f>
        <v>206</v>
      </c>
      <c r="AB27">
        <f>IF(AND('(橫掃)RX Mapping'!AB27&gt;=1,'(橫掃)RX Mapping'!AB27&lt;=120), ('(橫掃)RX Mapping'!AB27-1),IF(AND('(橫掃)RX Mapping'!AB27&gt;=121,'(橫掃)RX Mapping'!AB27&lt;=240), (-1)*('(橫掃)RX Mapping'!AB27-240),IF(AND('(橫掃)RX Mapping'!AB27&gt;=241,'(橫掃)RX Mapping'!AB27&lt;=360), ('(橫掃)RX Mapping'!AB27-241),IF(AND('(橫掃)RX Mapping'!AB27&gt;=361,'(橫掃)RX Mapping'!AB27&lt;=480), (-1)*('(橫掃)RX Mapping'!AB27-480),IF(AND('(橫掃)RX Mapping'!AB27&gt;=481,'(橫掃)RX Mapping'!AB27&lt;=600), ('(橫掃)RX Mapping'!AB27-361),IF(AND('(橫掃)RX Mapping'!AB27&gt;=601,'(橫掃)RX Mapping'!AB27&lt;=720), (-1)*('(橫掃)RX Mapping'!AB27-720)+120,IF(AND('(橫掃)RX Mapping'!AB27&gt;=721,'(橫掃)RX Mapping'!AB27&lt;=840), ('(橫掃)RX Mapping'!AB27-601),IF(AND('(橫掃)RX Mapping'!AB27&gt;=841,'(橫掃)RX Mapping'!AB27&lt;=960), (-1)*('(橫掃)RX Mapping'!AB27-960)+120,9999))))))))</f>
        <v>174</v>
      </c>
      <c r="AC27">
        <f>IF(AND('(橫掃)RX Mapping'!AC27&gt;=1,'(橫掃)RX Mapping'!AC27&lt;=120), ('(橫掃)RX Mapping'!AC27-1),IF(AND('(橫掃)RX Mapping'!AC27&gt;=121,'(橫掃)RX Mapping'!AC27&lt;=240), (-1)*('(橫掃)RX Mapping'!AC27-240),IF(AND('(橫掃)RX Mapping'!AC27&gt;=241,'(橫掃)RX Mapping'!AC27&lt;=360), ('(橫掃)RX Mapping'!AC27-241),IF(AND('(橫掃)RX Mapping'!AC27&gt;=361,'(橫掃)RX Mapping'!AC27&lt;=480), (-1)*('(橫掃)RX Mapping'!AC27-480),IF(AND('(橫掃)RX Mapping'!AC27&gt;=481,'(橫掃)RX Mapping'!AC27&lt;=600), ('(橫掃)RX Mapping'!AC27-361),IF(AND('(橫掃)RX Mapping'!AC27&gt;=601,'(橫掃)RX Mapping'!AC27&lt;=720), (-1)*('(橫掃)RX Mapping'!AC27-720)+120,IF(AND('(橫掃)RX Mapping'!AC27&gt;=721,'(橫掃)RX Mapping'!AC27&lt;=840), ('(橫掃)RX Mapping'!AC27-601),IF(AND('(橫掃)RX Mapping'!AC27&gt;=841,'(橫掃)RX Mapping'!AC27&lt;=960), (-1)*('(橫掃)RX Mapping'!AC27-960)+120,9999))))))))</f>
        <v>142</v>
      </c>
      <c r="AD27">
        <f>IF(AND('(橫掃)RX Mapping'!AD27&gt;=1,'(橫掃)RX Mapping'!AD27&lt;=120), ('(橫掃)RX Mapping'!AD27-1),IF(AND('(橫掃)RX Mapping'!AD27&gt;=121,'(橫掃)RX Mapping'!AD27&lt;=240), (-1)*('(橫掃)RX Mapping'!AD27-240),IF(AND('(橫掃)RX Mapping'!AD27&gt;=241,'(橫掃)RX Mapping'!AD27&lt;=360), ('(橫掃)RX Mapping'!AD27-241),IF(AND('(橫掃)RX Mapping'!AD27&gt;=361,'(橫掃)RX Mapping'!AD27&lt;=480), (-1)*('(橫掃)RX Mapping'!AD27-480),IF(AND('(橫掃)RX Mapping'!AD27&gt;=481,'(橫掃)RX Mapping'!AD27&lt;=600), ('(橫掃)RX Mapping'!AD27-361),IF(AND('(橫掃)RX Mapping'!AD27&gt;=601,'(橫掃)RX Mapping'!AD27&lt;=720), (-1)*('(橫掃)RX Mapping'!AD27-720)+120,IF(AND('(橫掃)RX Mapping'!AD27&gt;=721,'(橫掃)RX Mapping'!AD27&lt;=840), ('(橫掃)RX Mapping'!AD27-601),IF(AND('(橫掃)RX Mapping'!AD27&gt;=841,'(橫掃)RX Mapping'!AD27&lt;=960), (-1)*('(橫掃)RX Mapping'!AD27-960)+120,9999))))))))</f>
        <v>9999</v>
      </c>
      <c r="AE27">
        <f>IF(AND('(橫掃)RX Mapping'!AE27&gt;=1,'(橫掃)RX Mapping'!AE27&lt;=120), ('(橫掃)RX Mapping'!AE27-1),IF(AND('(橫掃)RX Mapping'!AE27&gt;=121,'(橫掃)RX Mapping'!AE27&lt;=240), (-1)*('(橫掃)RX Mapping'!AE27-240),IF(AND('(橫掃)RX Mapping'!AE27&gt;=241,'(橫掃)RX Mapping'!AE27&lt;=360), ('(橫掃)RX Mapping'!AE27-241),IF(AND('(橫掃)RX Mapping'!AE27&gt;=361,'(橫掃)RX Mapping'!AE27&lt;=480), (-1)*('(橫掃)RX Mapping'!AE27-480),IF(AND('(橫掃)RX Mapping'!AE27&gt;=481,'(橫掃)RX Mapping'!AE27&lt;=600), ('(橫掃)RX Mapping'!AE27-361),IF(AND('(橫掃)RX Mapping'!AE27&gt;=601,'(橫掃)RX Mapping'!AE27&lt;=720), (-1)*('(橫掃)RX Mapping'!AE27-720)+120,IF(AND('(橫掃)RX Mapping'!AE27&gt;=721,'(橫掃)RX Mapping'!AE27&lt;=840), ('(橫掃)RX Mapping'!AE27-601),IF(AND('(橫掃)RX Mapping'!AE27&gt;=841,'(橫掃)RX Mapping'!AE27&lt;=960), (-1)*('(橫掃)RX Mapping'!AE27-960)+120,9999))))))))</f>
        <v>9999</v>
      </c>
      <c r="AF27">
        <f>IF(AND('(橫掃)RX Mapping'!AF27&gt;=1,'(橫掃)RX Mapping'!AF27&lt;=120), ('(橫掃)RX Mapping'!AF27-1),IF(AND('(橫掃)RX Mapping'!AF27&gt;=121,'(橫掃)RX Mapping'!AF27&lt;=240), (-1)*('(橫掃)RX Mapping'!AF27-240),IF(AND('(橫掃)RX Mapping'!AF27&gt;=241,'(橫掃)RX Mapping'!AF27&lt;=360), ('(橫掃)RX Mapping'!AF27-241),IF(AND('(橫掃)RX Mapping'!AF27&gt;=361,'(橫掃)RX Mapping'!AF27&lt;=480), (-1)*('(橫掃)RX Mapping'!AF27-480),IF(AND('(橫掃)RX Mapping'!AF27&gt;=481,'(橫掃)RX Mapping'!AF27&lt;=600), ('(橫掃)RX Mapping'!AF27-361),IF(AND('(橫掃)RX Mapping'!AF27&gt;=601,'(橫掃)RX Mapping'!AF27&lt;=720), (-1)*('(橫掃)RX Mapping'!AF27-720)+120,IF(AND('(橫掃)RX Mapping'!AF27&gt;=721,'(橫掃)RX Mapping'!AF27&lt;=840), ('(橫掃)RX Mapping'!AF27-601),IF(AND('(橫掃)RX Mapping'!AF27&gt;=841,'(橫掃)RX Mapping'!AF27&lt;=960), (-1)*('(橫掃)RX Mapping'!AF27-960)+120,9999))))))))</f>
        <v>9999</v>
      </c>
      <c r="AG27">
        <f>IF(AND('(橫掃)RX Mapping'!AG27&gt;=1,'(橫掃)RX Mapping'!AG27&lt;=120), ('(橫掃)RX Mapping'!AG27-1),IF(AND('(橫掃)RX Mapping'!AG27&gt;=121,'(橫掃)RX Mapping'!AG27&lt;=240), (-1)*('(橫掃)RX Mapping'!AG27-240),IF(AND('(橫掃)RX Mapping'!AG27&gt;=241,'(橫掃)RX Mapping'!AG27&lt;=360), ('(橫掃)RX Mapping'!AG27-241),IF(AND('(橫掃)RX Mapping'!AG27&gt;=361,'(橫掃)RX Mapping'!AG27&lt;=480), (-1)*('(橫掃)RX Mapping'!AG27-480),IF(AND('(橫掃)RX Mapping'!AG27&gt;=481,'(橫掃)RX Mapping'!AG27&lt;=600), ('(橫掃)RX Mapping'!AG27-361),IF(AND('(橫掃)RX Mapping'!AG27&gt;=601,'(橫掃)RX Mapping'!AG27&lt;=720), (-1)*('(橫掃)RX Mapping'!AG27-720)+120,IF(AND('(橫掃)RX Mapping'!AG27&gt;=721,'(橫掃)RX Mapping'!AG27&lt;=840), ('(橫掃)RX Mapping'!AG27-601),IF(AND('(橫掃)RX Mapping'!AG27&gt;=841,'(橫掃)RX Mapping'!AG27&lt;=960), (-1)*('(橫掃)RX Mapping'!AG27-960)+120,9999))))))))</f>
        <v>9999</v>
      </c>
      <c r="AH27">
        <f>IF(AND('(橫掃)RX Mapping'!AH27&gt;=1,'(橫掃)RX Mapping'!AH27&lt;=120), ('(橫掃)RX Mapping'!AH27-1),IF(AND('(橫掃)RX Mapping'!AH27&gt;=121,'(橫掃)RX Mapping'!AH27&lt;=240), (-1)*('(橫掃)RX Mapping'!AH27-240),IF(AND('(橫掃)RX Mapping'!AH27&gt;=241,'(橫掃)RX Mapping'!AH27&lt;=360), ('(橫掃)RX Mapping'!AH27-241),IF(AND('(橫掃)RX Mapping'!AH27&gt;=361,'(橫掃)RX Mapping'!AH27&lt;=480), (-1)*('(橫掃)RX Mapping'!AH27-480),IF(AND('(橫掃)RX Mapping'!AH27&gt;=481,'(橫掃)RX Mapping'!AH27&lt;=600), ('(橫掃)RX Mapping'!AH27-361),IF(AND('(橫掃)RX Mapping'!AH27&gt;=601,'(橫掃)RX Mapping'!AH27&lt;=720), (-1)*('(橫掃)RX Mapping'!AH27-720)+120,IF(AND('(橫掃)RX Mapping'!AH27&gt;=721,'(橫掃)RX Mapping'!AH27&lt;=840), ('(橫掃)RX Mapping'!AH27-601),IF(AND('(橫掃)RX Mapping'!AH27&gt;=841,'(橫掃)RX Mapping'!AH27&lt;=960), (-1)*('(橫掃)RX Mapping'!AH27-960)+120,9999))))))))</f>
        <v>9999</v>
      </c>
      <c r="AI27">
        <f>IF(AND('(橫掃)RX Mapping'!AI27&gt;=1,'(橫掃)RX Mapping'!AI27&lt;=120), ('(橫掃)RX Mapping'!AI27-1),IF(AND('(橫掃)RX Mapping'!AI27&gt;=121,'(橫掃)RX Mapping'!AI27&lt;=240), (-1)*('(橫掃)RX Mapping'!AI27-240),IF(AND('(橫掃)RX Mapping'!AI27&gt;=241,'(橫掃)RX Mapping'!AI27&lt;=360), ('(橫掃)RX Mapping'!AI27-241),IF(AND('(橫掃)RX Mapping'!AI27&gt;=361,'(橫掃)RX Mapping'!AI27&lt;=480), (-1)*('(橫掃)RX Mapping'!AI27-480),IF(AND('(橫掃)RX Mapping'!AI27&gt;=481,'(橫掃)RX Mapping'!AI27&lt;=600), ('(橫掃)RX Mapping'!AI27-361),IF(AND('(橫掃)RX Mapping'!AI27&gt;=601,'(橫掃)RX Mapping'!AI27&lt;=720), (-1)*('(橫掃)RX Mapping'!AI27-720)+120,IF(AND('(橫掃)RX Mapping'!AI27&gt;=721,'(橫掃)RX Mapping'!AI27&lt;=840), ('(橫掃)RX Mapping'!AI27-601),IF(AND('(橫掃)RX Mapping'!AI27&gt;=841,'(橫掃)RX Mapping'!AI27&lt;=960), (-1)*('(橫掃)RX Mapping'!AI27-960)+120,9999))))))))</f>
        <v>9999</v>
      </c>
      <c r="AJ27">
        <f>IF(AND('(橫掃)RX Mapping'!AJ27&gt;=1,'(橫掃)RX Mapping'!AJ27&lt;=120), ('(橫掃)RX Mapping'!AJ27-1),IF(AND('(橫掃)RX Mapping'!AJ27&gt;=121,'(橫掃)RX Mapping'!AJ27&lt;=240), (-1)*('(橫掃)RX Mapping'!AJ27-240),IF(AND('(橫掃)RX Mapping'!AJ27&gt;=241,'(橫掃)RX Mapping'!AJ27&lt;=360), ('(橫掃)RX Mapping'!AJ27-241),IF(AND('(橫掃)RX Mapping'!AJ27&gt;=361,'(橫掃)RX Mapping'!AJ27&lt;=480), (-1)*('(橫掃)RX Mapping'!AJ27-480),IF(AND('(橫掃)RX Mapping'!AJ27&gt;=481,'(橫掃)RX Mapping'!AJ27&lt;=600), ('(橫掃)RX Mapping'!AJ27-361),IF(AND('(橫掃)RX Mapping'!AJ27&gt;=601,'(橫掃)RX Mapping'!AJ27&lt;=720), (-1)*('(橫掃)RX Mapping'!AJ27-720)+120,IF(AND('(橫掃)RX Mapping'!AJ27&gt;=721,'(橫掃)RX Mapping'!AJ27&lt;=840), ('(橫掃)RX Mapping'!AJ27-601),IF(AND('(橫掃)RX Mapping'!AJ27&gt;=841,'(橫掃)RX Mapping'!AJ27&lt;=960), (-1)*('(橫掃)RX Mapping'!AJ27-960)+120,9999))))))))</f>
        <v>9999</v>
      </c>
      <c r="AK27">
        <f>IF(AND('(橫掃)RX Mapping'!AK27&gt;=1,'(橫掃)RX Mapping'!AK27&lt;=120), ('(橫掃)RX Mapping'!AK27-1),IF(AND('(橫掃)RX Mapping'!AK27&gt;=121,'(橫掃)RX Mapping'!AK27&lt;=240), (-1)*('(橫掃)RX Mapping'!AK27-240),IF(AND('(橫掃)RX Mapping'!AK27&gt;=241,'(橫掃)RX Mapping'!AK27&lt;=360), ('(橫掃)RX Mapping'!AK27-241),IF(AND('(橫掃)RX Mapping'!AK27&gt;=361,'(橫掃)RX Mapping'!AK27&lt;=480), (-1)*('(橫掃)RX Mapping'!AK27-480),IF(AND('(橫掃)RX Mapping'!AK27&gt;=481,'(橫掃)RX Mapping'!AK27&lt;=600), ('(橫掃)RX Mapping'!AK27-361),IF(AND('(橫掃)RX Mapping'!AK27&gt;=601,'(橫掃)RX Mapping'!AK27&lt;=720), (-1)*('(橫掃)RX Mapping'!AK27-720)+120,IF(AND('(橫掃)RX Mapping'!AK27&gt;=721,'(橫掃)RX Mapping'!AK27&lt;=840), ('(橫掃)RX Mapping'!AK27-601),IF(AND('(橫掃)RX Mapping'!AK27&gt;=841,'(橫掃)RX Mapping'!AK27&lt;=960), (-1)*('(橫掃)RX Mapping'!AK27-960)+120,9999))))))))</f>
        <v>9999</v>
      </c>
      <c r="AL27">
        <f>IF(AND('(橫掃)RX Mapping'!AL27&gt;=1,'(橫掃)RX Mapping'!AL27&lt;=120), ('(橫掃)RX Mapping'!AL27-1),IF(AND('(橫掃)RX Mapping'!AL27&gt;=121,'(橫掃)RX Mapping'!AL27&lt;=240), (-1)*('(橫掃)RX Mapping'!AL27-240),IF(AND('(橫掃)RX Mapping'!AL27&gt;=241,'(橫掃)RX Mapping'!AL27&lt;=360), ('(橫掃)RX Mapping'!AL27-241),IF(AND('(橫掃)RX Mapping'!AL27&gt;=361,'(橫掃)RX Mapping'!AL27&lt;=480), (-1)*('(橫掃)RX Mapping'!AL27-480),IF(AND('(橫掃)RX Mapping'!AL27&gt;=481,'(橫掃)RX Mapping'!AL27&lt;=600), ('(橫掃)RX Mapping'!AL27-361),IF(AND('(橫掃)RX Mapping'!AL27&gt;=601,'(橫掃)RX Mapping'!AL27&lt;=720), (-1)*('(橫掃)RX Mapping'!AL27-720)+120,IF(AND('(橫掃)RX Mapping'!AL27&gt;=721,'(橫掃)RX Mapping'!AL27&lt;=840), ('(橫掃)RX Mapping'!AL27-601),IF(AND('(橫掃)RX Mapping'!AL27&gt;=841,'(橫掃)RX Mapping'!AL27&lt;=960), (-1)*('(橫掃)RX Mapping'!AL27-960)+120,9999))))))))</f>
        <v>9999</v>
      </c>
      <c r="AM27">
        <f>IF(AND('(橫掃)RX Mapping'!AM27&gt;=1,'(橫掃)RX Mapping'!AM27&lt;=120), ('(橫掃)RX Mapping'!AM27-1),IF(AND('(橫掃)RX Mapping'!AM27&gt;=121,'(橫掃)RX Mapping'!AM27&lt;=240), (-1)*('(橫掃)RX Mapping'!AM27-240),IF(AND('(橫掃)RX Mapping'!AM27&gt;=241,'(橫掃)RX Mapping'!AM27&lt;=360), ('(橫掃)RX Mapping'!AM27-241),IF(AND('(橫掃)RX Mapping'!AM27&gt;=361,'(橫掃)RX Mapping'!AM27&lt;=480), (-1)*('(橫掃)RX Mapping'!AM27-480),IF(AND('(橫掃)RX Mapping'!AM27&gt;=481,'(橫掃)RX Mapping'!AM27&lt;=600), ('(橫掃)RX Mapping'!AM27-361),IF(AND('(橫掃)RX Mapping'!AM27&gt;=601,'(橫掃)RX Mapping'!AM27&lt;=720), (-1)*('(橫掃)RX Mapping'!AM27-720)+120,IF(AND('(橫掃)RX Mapping'!AM27&gt;=721,'(橫掃)RX Mapping'!AM27&lt;=840), ('(橫掃)RX Mapping'!AM27-601),IF(AND('(橫掃)RX Mapping'!AM27&gt;=841,'(橫掃)RX Mapping'!AM27&lt;=960), (-1)*('(橫掃)RX Mapping'!AM27-960)+120,9999))))))))</f>
        <v>9999</v>
      </c>
      <c r="AN27">
        <f>IF(AND('(橫掃)RX Mapping'!AN27&gt;=1,'(橫掃)RX Mapping'!AN27&lt;=120), ('(橫掃)RX Mapping'!AN27-1),IF(AND('(橫掃)RX Mapping'!AN27&gt;=121,'(橫掃)RX Mapping'!AN27&lt;=240), (-1)*('(橫掃)RX Mapping'!AN27-240),IF(AND('(橫掃)RX Mapping'!AN27&gt;=241,'(橫掃)RX Mapping'!AN27&lt;=360), ('(橫掃)RX Mapping'!AN27-241),IF(AND('(橫掃)RX Mapping'!AN27&gt;=361,'(橫掃)RX Mapping'!AN27&lt;=480), (-1)*('(橫掃)RX Mapping'!AN27-480),IF(AND('(橫掃)RX Mapping'!AN27&gt;=481,'(橫掃)RX Mapping'!AN27&lt;=600), ('(橫掃)RX Mapping'!AN27-361),IF(AND('(橫掃)RX Mapping'!AN27&gt;=601,'(橫掃)RX Mapping'!AN27&lt;=720), (-1)*('(橫掃)RX Mapping'!AN27-720)+120,IF(AND('(橫掃)RX Mapping'!AN27&gt;=721,'(橫掃)RX Mapping'!AN27&lt;=840), ('(橫掃)RX Mapping'!AN27-601),IF(AND('(橫掃)RX Mapping'!AN27&gt;=841,'(橫掃)RX Mapping'!AN27&lt;=960), (-1)*('(橫掃)RX Mapping'!AN27-960)+120,9999))))))))</f>
        <v>9999</v>
      </c>
      <c r="AO27">
        <f>IF(AND('(橫掃)RX Mapping'!AO27&gt;=1,'(橫掃)RX Mapping'!AO27&lt;=120), ('(橫掃)RX Mapping'!AO27-1),IF(AND('(橫掃)RX Mapping'!AO27&gt;=121,'(橫掃)RX Mapping'!AO27&lt;=240), (-1)*('(橫掃)RX Mapping'!AO27-240),IF(AND('(橫掃)RX Mapping'!AO27&gt;=241,'(橫掃)RX Mapping'!AO27&lt;=360), ('(橫掃)RX Mapping'!AO27-241),IF(AND('(橫掃)RX Mapping'!AO27&gt;=361,'(橫掃)RX Mapping'!AO27&lt;=480), (-1)*('(橫掃)RX Mapping'!AO27-480),IF(AND('(橫掃)RX Mapping'!AO27&gt;=481,'(橫掃)RX Mapping'!AO27&lt;=600), ('(橫掃)RX Mapping'!AO27-361),IF(AND('(橫掃)RX Mapping'!AO27&gt;=601,'(橫掃)RX Mapping'!AO27&lt;=720), (-1)*('(橫掃)RX Mapping'!AO27-720)+120,IF(AND('(橫掃)RX Mapping'!AO27&gt;=721,'(橫掃)RX Mapping'!AO27&lt;=840), ('(橫掃)RX Mapping'!AO27-601),IF(AND('(橫掃)RX Mapping'!AO27&gt;=841,'(橫掃)RX Mapping'!AO27&lt;=960), (-1)*('(橫掃)RX Mapping'!AO27-960)+120,9999))))))))</f>
        <v>9999</v>
      </c>
      <c r="AP27">
        <f>IF(AND('(橫掃)RX Mapping'!AP27&gt;=1,'(橫掃)RX Mapping'!AP27&lt;=120), ('(橫掃)RX Mapping'!AP27-1),IF(AND('(橫掃)RX Mapping'!AP27&gt;=121,'(橫掃)RX Mapping'!AP27&lt;=240), (-1)*('(橫掃)RX Mapping'!AP27-240),IF(AND('(橫掃)RX Mapping'!AP27&gt;=241,'(橫掃)RX Mapping'!AP27&lt;=360), ('(橫掃)RX Mapping'!AP27-241),IF(AND('(橫掃)RX Mapping'!AP27&gt;=361,'(橫掃)RX Mapping'!AP27&lt;=480), (-1)*('(橫掃)RX Mapping'!AP27-480),IF(AND('(橫掃)RX Mapping'!AP27&gt;=481,'(橫掃)RX Mapping'!AP27&lt;=600), ('(橫掃)RX Mapping'!AP27-361),IF(AND('(橫掃)RX Mapping'!AP27&gt;=601,'(橫掃)RX Mapping'!AP27&lt;=720), (-1)*('(橫掃)RX Mapping'!AP27-720)+120,IF(AND('(橫掃)RX Mapping'!AP27&gt;=721,'(橫掃)RX Mapping'!AP27&lt;=840), ('(橫掃)RX Mapping'!AP27-601),IF(AND('(橫掃)RX Mapping'!AP27&gt;=841,'(橫掃)RX Mapping'!AP27&lt;=960), (-1)*('(橫掃)RX Mapping'!AP27-960)+120,9999))))))))</f>
        <v>9999</v>
      </c>
      <c r="AQ27">
        <f>IF(AND('(橫掃)RX Mapping'!AQ27&gt;=1,'(橫掃)RX Mapping'!AQ27&lt;=120), ('(橫掃)RX Mapping'!AQ27-1),IF(AND('(橫掃)RX Mapping'!AQ27&gt;=121,'(橫掃)RX Mapping'!AQ27&lt;=240), (-1)*('(橫掃)RX Mapping'!AQ27-240),IF(AND('(橫掃)RX Mapping'!AQ27&gt;=241,'(橫掃)RX Mapping'!AQ27&lt;=360), ('(橫掃)RX Mapping'!AQ27-241),IF(AND('(橫掃)RX Mapping'!AQ27&gt;=361,'(橫掃)RX Mapping'!AQ27&lt;=480), (-1)*('(橫掃)RX Mapping'!AQ27-480),IF(AND('(橫掃)RX Mapping'!AQ27&gt;=481,'(橫掃)RX Mapping'!AQ27&lt;=600), ('(橫掃)RX Mapping'!AQ27-361),IF(AND('(橫掃)RX Mapping'!AQ27&gt;=601,'(橫掃)RX Mapping'!AQ27&lt;=720), (-1)*('(橫掃)RX Mapping'!AQ27-720)+120,IF(AND('(橫掃)RX Mapping'!AQ27&gt;=721,'(橫掃)RX Mapping'!AQ27&lt;=840), ('(橫掃)RX Mapping'!AQ27-601),IF(AND('(橫掃)RX Mapping'!AQ27&gt;=841,'(橫掃)RX Mapping'!AQ27&lt;=960), (-1)*('(橫掃)RX Mapping'!AQ27-960)+120,9999))))))))</f>
        <v>9999</v>
      </c>
      <c r="AR27">
        <f>IF(AND('(橫掃)RX Mapping'!AR27&gt;=1,'(橫掃)RX Mapping'!AR27&lt;=120), ('(橫掃)RX Mapping'!AR27-1),IF(AND('(橫掃)RX Mapping'!AR27&gt;=121,'(橫掃)RX Mapping'!AR27&lt;=240), (-1)*('(橫掃)RX Mapping'!AR27-240),IF(AND('(橫掃)RX Mapping'!AR27&gt;=241,'(橫掃)RX Mapping'!AR27&lt;=360), ('(橫掃)RX Mapping'!AR27-241),IF(AND('(橫掃)RX Mapping'!AR27&gt;=361,'(橫掃)RX Mapping'!AR27&lt;=480), (-1)*('(橫掃)RX Mapping'!AR27-480),IF(AND('(橫掃)RX Mapping'!AR27&gt;=481,'(橫掃)RX Mapping'!AR27&lt;=600), ('(橫掃)RX Mapping'!AR27-361),IF(AND('(橫掃)RX Mapping'!AR27&gt;=601,'(橫掃)RX Mapping'!AR27&lt;=720), (-1)*('(橫掃)RX Mapping'!AR27-720)+120,IF(AND('(橫掃)RX Mapping'!AR27&gt;=721,'(橫掃)RX Mapping'!AR27&lt;=840), ('(橫掃)RX Mapping'!AR27-601),IF(AND('(橫掃)RX Mapping'!AR27&gt;=841,'(橫掃)RX Mapping'!AR27&lt;=960), (-1)*('(橫掃)RX Mapping'!AR27-960)+120,9999))))))))</f>
        <v>9999</v>
      </c>
      <c r="AS27">
        <f>IF(AND('(橫掃)RX Mapping'!AS27&gt;=1,'(橫掃)RX Mapping'!AS27&lt;=120), ('(橫掃)RX Mapping'!AS27-1),IF(AND('(橫掃)RX Mapping'!AS27&gt;=121,'(橫掃)RX Mapping'!AS27&lt;=240), (-1)*('(橫掃)RX Mapping'!AS27-240),IF(AND('(橫掃)RX Mapping'!AS27&gt;=241,'(橫掃)RX Mapping'!AS27&lt;=360), ('(橫掃)RX Mapping'!AS27-241),IF(AND('(橫掃)RX Mapping'!AS27&gt;=361,'(橫掃)RX Mapping'!AS27&lt;=480), (-1)*('(橫掃)RX Mapping'!AS27-480),IF(AND('(橫掃)RX Mapping'!AS27&gt;=481,'(橫掃)RX Mapping'!AS27&lt;=600), ('(橫掃)RX Mapping'!AS27-361),IF(AND('(橫掃)RX Mapping'!AS27&gt;=601,'(橫掃)RX Mapping'!AS27&lt;=720), (-1)*('(橫掃)RX Mapping'!AS27-720)+120,IF(AND('(橫掃)RX Mapping'!AS27&gt;=721,'(橫掃)RX Mapping'!AS27&lt;=840), ('(橫掃)RX Mapping'!AS27-601),IF(AND('(橫掃)RX Mapping'!AS27&gt;=841,'(橫掃)RX Mapping'!AS27&lt;=960), (-1)*('(橫掃)RX Mapping'!AS27-960)+120,9999))))))))</f>
        <v>9999</v>
      </c>
      <c r="AT27">
        <f>IF(AND('(橫掃)RX Mapping'!AT27&gt;=1,'(橫掃)RX Mapping'!AT27&lt;=120), ('(橫掃)RX Mapping'!AT27-1),IF(AND('(橫掃)RX Mapping'!AT27&gt;=121,'(橫掃)RX Mapping'!AT27&lt;=240), (-1)*('(橫掃)RX Mapping'!AT27-240),IF(AND('(橫掃)RX Mapping'!AT27&gt;=241,'(橫掃)RX Mapping'!AT27&lt;=360), ('(橫掃)RX Mapping'!AT27-241),IF(AND('(橫掃)RX Mapping'!AT27&gt;=361,'(橫掃)RX Mapping'!AT27&lt;=480), (-1)*('(橫掃)RX Mapping'!AT27-480),IF(AND('(橫掃)RX Mapping'!AT27&gt;=481,'(橫掃)RX Mapping'!AT27&lt;=600), ('(橫掃)RX Mapping'!AT27-361),IF(AND('(橫掃)RX Mapping'!AT27&gt;=601,'(橫掃)RX Mapping'!AT27&lt;=720), (-1)*('(橫掃)RX Mapping'!AT27-720)+120,IF(AND('(橫掃)RX Mapping'!AT27&gt;=721,'(橫掃)RX Mapping'!AT27&lt;=840), ('(橫掃)RX Mapping'!AT27-601),IF(AND('(橫掃)RX Mapping'!AT27&gt;=841,'(橫掃)RX Mapping'!AT27&lt;=960), (-1)*('(橫掃)RX Mapping'!AT27-960)+120,9999))))))))</f>
        <v>9999</v>
      </c>
      <c r="AU27">
        <f>IF(AND('(橫掃)RX Mapping'!AU27&gt;=1,'(橫掃)RX Mapping'!AU27&lt;=120), ('(橫掃)RX Mapping'!AU27-1),IF(AND('(橫掃)RX Mapping'!AU27&gt;=121,'(橫掃)RX Mapping'!AU27&lt;=240), (-1)*('(橫掃)RX Mapping'!AU27-240),IF(AND('(橫掃)RX Mapping'!AU27&gt;=241,'(橫掃)RX Mapping'!AU27&lt;=360), ('(橫掃)RX Mapping'!AU27-241),IF(AND('(橫掃)RX Mapping'!AU27&gt;=361,'(橫掃)RX Mapping'!AU27&lt;=480), (-1)*('(橫掃)RX Mapping'!AU27-480),IF(AND('(橫掃)RX Mapping'!AU27&gt;=481,'(橫掃)RX Mapping'!AU27&lt;=600), ('(橫掃)RX Mapping'!AU27-361),IF(AND('(橫掃)RX Mapping'!AU27&gt;=601,'(橫掃)RX Mapping'!AU27&lt;=720), (-1)*('(橫掃)RX Mapping'!AU27-720)+120,IF(AND('(橫掃)RX Mapping'!AU27&gt;=721,'(橫掃)RX Mapping'!AU27&lt;=840), ('(橫掃)RX Mapping'!AU27-601),IF(AND('(橫掃)RX Mapping'!AU27&gt;=841,'(橫掃)RX Mapping'!AU27&lt;=960), (-1)*('(橫掃)RX Mapping'!AU27-960)+120,9999))))))))</f>
        <v>9999</v>
      </c>
      <c r="AV27">
        <f>IF(AND('(橫掃)RX Mapping'!AV27&gt;=1,'(橫掃)RX Mapping'!AV27&lt;=120), ('(橫掃)RX Mapping'!AV27-1),IF(AND('(橫掃)RX Mapping'!AV27&gt;=121,'(橫掃)RX Mapping'!AV27&lt;=240), (-1)*('(橫掃)RX Mapping'!AV27-240),IF(AND('(橫掃)RX Mapping'!AV27&gt;=241,'(橫掃)RX Mapping'!AV27&lt;=360), ('(橫掃)RX Mapping'!AV27-241),IF(AND('(橫掃)RX Mapping'!AV27&gt;=361,'(橫掃)RX Mapping'!AV27&lt;=480), (-1)*('(橫掃)RX Mapping'!AV27-480),IF(AND('(橫掃)RX Mapping'!AV27&gt;=481,'(橫掃)RX Mapping'!AV27&lt;=600), ('(橫掃)RX Mapping'!AV27-361),IF(AND('(橫掃)RX Mapping'!AV27&gt;=601,'(橫掃)RX Mapping'!AV27&lt;=720), (-1)*('(橫掃)RX Mapping'!AV27-720)+120,IF(AND('(橫掃)RX Mapping'!AV27&gt;=721,'(橫掃)RX Mapping'!AV27&lt;=840), ('(橫掃)RX Mapping'!AV27-601),IF(AND('(橫掃)RX Mapping'!AV27&gt;=841,'(橫掃)RX Mapping'!AV27&lt;=960), (-1)*('(橫掃)RX Mapping'!AV27-960)+120,9999))))))))</f>
        <v>9999</v>
      </c>
      <c r="AW27">
        <f>IF(AND('(橫掃)RX Mapping'!AW27&gt;=1,'(橫掃)RX Mapping'!AW27&lt;=120), ('(橫掃)RX Mapping'!AW27-1),IF(AND('(橫掃)RX Mapping'!AW27&gt;=121,'(橫掃)RX Mapping'!AW27&lt;=240), (-1)*('(橫掃)RX Mapping'!AW27-240),IF(AND('(橫掃)RX Mapping'!AW27&gt;=241,'(橫掃)RX Mapping'!AW27&lt;=360), ('(橫掃)RX Mapping'!AW27-241),IF(AND('(橫掃)RX Mapping'!AW27&gt;=361,'(橫掃)RX Mapping'!AW27&lt;=480), (-1)*('(橫掃)RX Mapping'!AW27-480),IF(AND('(橫掃)RX Mapping'!AW27&gt;=481,'(橫掃)RX Mapping'!AW27&lt;=600), ('(橫掃)RX Mapping'!AW27-361),IF(AND('(橫掃)RX Mapping'!AW27&gt;=601,'(橫掃)RX Mapping'!AW27&lt;=720), (-1)*('(橫掃)RX Mapping'!AW27-720)+120,IF(AND('(橫掃)RX Mapping'!AW27&gt;=721,'(橫掃)RX Mapping'!AW27&lt;=840), ('(橫掃)RX Mapping'!AW27-601),IF(AND('(橫掃)RX Mapping'!AW27&gt;=841,'(橫掃)RX Mapping'!AW27&lt;=960), (-1)*('(橫掃)RX Mapping'!AW27-960)+120,9999))))))))</f>
        <v>9999</v>
      </c>
      <c r="AX27">
        <f>IF(AND('(橫掃)RX Mapping'!AX27&gt;=1,'(橫掃)RX Mapping'!AX27&lt;=120), ('(橫掃)RX Mapping'!AX27-1),IF(AND('(橫掃)RX Mapping'!AX27&gt;=121,'(橫掃)RX Mapping'!AX27&lt;=240), (-1)*('(橫掃)RX Mapping'!AX27-240),IF(AND('(橫掃)RX Mapping'!AX27&gt;=241,'(橫掃)RX Mapping'!AX27&lt;=360), ('(橫掃)RX Mapping'!AX27-241),IF(AND('(橫掃)RX Mapping'!AX27&gt;=361,'(橫掃)RX Mapping'!AX27&lt;=480), (-1)*('(橫掃)RX Mapping'!AX27-480),IF(AND('(橫掃)RX Mapping'!AX27&gt;=481,'(橫掃)RX Mapping'!AX27&lt;=600), ('(橫掃)RX Mapping'!AX27-361),IF(AND('(橫掃)RX Mapping'!AX27&gt;=601,'(橫掃)RX Mapping'!AX27&lt;=720), (-1)*('(橫掃)RX Mapping'!AX27-720)+120,IF(AND('(橫掃)RX Mapping'!AX27&gt;=721,'(橫掃)RX Mapping'!AX27&lt;=840), ('(橫掃)RX Mapping'!AX27-601),IF(AND('(橫掃)RX Mapping'!AX27&gt;=841,'(橫掃)RX Mapping'!AX27&lt;=960), (-1)*('(橫掃)RX Mapping'!AX27-960)+120,9999))))))))</f>
        <v>9999</v>
      </c>
      <c r="AY27">
        <f>IF(AND('(橫掃)RX Mapping'!AY27&gt;=1,'(橫掃)RX Mapping'!AY27&lt;=120), ('(橫掃)RX Mapping'!AY27-1),IF(AND('(橫掃)RX Mapping'!AY27&gt;=121,'(橫掃)RX Mapping'!AY27&lt;=240), (-1)*('(橫掃)RX Mapping'!AY27-240),IF(AND('(橫掃)RX Mapping'!AY27&gt;=241,'(橫掃)RX Mapping'!AY27&lt;=360), ('(橫掃)RX Mapping'!AY27-241),IF(AND('(橫掃)RX Mapping'!AY27&gt;=361,'(橫掃)RX Mapping'!AY27&lt;=480), (-1)*('(橫掃)RX Mapping'!AY27-480),IF(AND('(橫掃)RX Mapping'!AY27&gt;=481,'(橫掃)RX Mapping'!AY27&lt;=600), ('(橫掃)RX Mapping'!AY27-361),IF(AND('(橫掃)RX Mapping'!AY27&gt;=601,'(橫掃)RX Mapping'!AY27&lt;=720), (-1)*('(橫掃)RX Mapping'!AY27-720)+120,IF(AND('(橫掃)RX Mapping'!AY27&gt;=721,'(橫掃)RX Mapping'!AY27&lt;=840), ('(橫掃)RX Mapping'!AY27-601),IF(AND('(橫掃)RX Mapping'!AY27&gt;=841,'(橫掃)RX Mapping'!AY27&lt;=960), (-1)*('(橫掃)RX Mapping'!AY27-960)+120,9999))))))))</f>
        <v>9999</v>
      </c>
      <c r="AZ27">
        <f>IF(AND('(橫掃)RX Mapping'!AZ27&gt;=1,'(橫掃)RX Mapping'!AZ27&lt;=120), ('(橫掃)RX Mapping'!AZ27-1),IF(AND('(橫掃)RX Mapping'!AZ27&gt;=121,'(橫掃)RX Mapping'!AZ27&lt;=240), (-1)*('(橫掃)RX Mapping'!AZ27-240),IF(AND('(橫掃)RX Mapping'!AZ27&gt;=241,'(橫掃)RX Mapping'!AZ27&lt;=360), ('(橫掃)RX Mapping'!AZ27-241),IF(AND('(橫掃)RX Mapping'!AZ27&gt;=361,'(橫掃)RX Mapping'!AZ27&lt;=480), (-1)*('(橫掃)RX Mapping'!AZ27-480),IF(AND('(橫掃)RX Mapping'!AZ27&gt;=481,'(橫掃)RX Mapping'!AZ27&lt;=600), ('(橫掃)RX Mapping'!AZ27-361),IF(AND('(橫掃)RX Mapping'!AZ27&gt;=601,'(橫掃)RX Mapping'!AZ27&lt;=720), (-1)*('(橫掃)RX Mapping'!AZ27-720)+120,IF(AND('(橫掃)RX Mapping'!AZ27&gt;=721,'(橫掃)RX Mapping'!AZ27&lt;=840), ('(橫掃)RX Mapping'!AZ27-601),IF(AND('(橫掃)RX Mapping'!AZ27&gt;=841,'(橫掃)RX Mapping'!AZ27&lt;=960), (-1)*('(橫掃)RX Mapping'!AZ27-960)+120,9999))))))))</f>
        <v>9999</v>
      </c>
      <c r="BA27">
        <f>IF(AND('(橫掃)RX Mapping'!BA27&gt;=1,'(橫掃)RX Mapping'!BA27&lt;=120), ('(橫掃)RX Mapping'!BA27-1),IF(AND('(橫掃)RX Mapping'!BA27&gt;=121,'(橫掃)RX Mapping'!BA27&lt;=240), (-1)*('(橫掃)RX Mapping'!BA27-240),IF(AND('(橫掃)RX Mapping'!BA27&gt;=241,'(橫掃)RX Mapping'!BA27&lt;=360), ('(橫掃)RX Mapping'!BA27-241),IF(AND('(橫掃)RX Mapping'!BA27&gt;=361,'(橫掃)RX Mapping'!BA27&lt;=480), (-1)*('(橫掃)RX Mapping'!BA27-480),IF(AND('(橫掃)RX Mapping'!BA27&gt;=481,'(橫掃)RX Mapping'!BA27&lt;=600), ('(橫掃)RX Mapping'!BA27-361),IF(AND('(橫掃)RX Mapping'!BA27&gt;=601,'(橫掃)RX Mapping'!BA27&lt;=720), (-1)*('(橫掃)RX Mapping'!BA27-720)+120,IF(AND('(橫掃)RX Mapping'!BA27&gt;=721,'(橫掃)RX Mapping'!BA27&lt;=840), ('(橫掃)RX Mapping'!BA27-601),IF(AND('(橫掃)RX Mapping'!BA27&gt;=841,'(橫掃)RX Mapping'!BA27&lt;=960), (-1)*('(橫掃)RX Mapping'!BA27-960)+120,9999))))))))</f>
        <v>9999</v>
      </c>
      <c r="BB27">
        <f>IF(AND('(橫掃)RX Mapping'!BB27&gt;=1,'(橫掃)RX Mapping'!BB27&lt;=120), ('(橫掃)RX Mapping'!BB27-1),IF(AND('(橫掃)RX Mapping'!BB27&gt;=121,'(橫掃)RX Mapping'!BB27&lt;=240), (-1)*('(橫掃)RX Mapping'!BB27-240),IF(AND('(橫掃)RX Mapping'!BB27&gt;=241,'(橫掃)RX Mapping'!BB27&lt;=360), ('(橫掃)RX Mapping'!BB27-241),IF(AND('(橫掃)RX Mapping'!BB27&gt;=361,'(橫掃)RX Mapping'!BB27&lt;=480), (-1)*('(橫掃)RX Mapping'!BB27-480),IF(AND('(橫掃)RX Mapping'!BB27&gt;=481,'(橫掃)RX Mapping'!BB27&lt;=600), ('(橫掃)RX Mapping'!BB27-361),IF(AND('(橫掃)RX Mapping'!BB27&gt;=601,'(橫掃)RX Mapping'!BB27&lt;=720), (-1)*('(橫掃)RX Mapping'!BB27-720)+120,IF(AND('(橫掃)RX Mapping'!BB27&gt;=721,'(橫掃)RX Mapping'!BB27&lt;=840), ('(橫掃)RX Mapping'!BB27-601),IF(AND('(橫掃)RX Mapping'!BB27&gt;=841,'(橫掃)RX Mapping'!BB27&lt;=960), (-1)*('(橫掃)RX Mapping'!BB27-960)+120,9999))))))))</f>
        <v>9999</v>
      </c>
      <c r="BC27">
        <f>IF(AND('(橫掃)RX Mapping'!BC27&gt;=1,'(橫掃)RX Mapping'!BC27&lt;=120), ('(橫掃)RX Mapping'!BC27-1),IF(AND('(橫掃)RX Mapping'!BC27&gt;=121,'(橫掃)RX Mapping'!BC27&lt;=240), (-1)*('(橫掃)RX Mapping'!BC27-240),IF(AND('(橫掃)RX Mapping'!BC27&gt;=241,'(橫掃)RX Mapping'!BC27&lt;=360), ('(橫掃)RX Mapping'!BC27-241),IF(AND('(橫掃)RX Mapping'!BC27&gt;=361,'(橫掃)RX Mapping'!BC27&lt;=480), (-1)*('(橫掃)RX Mapping'!BC27-480),IF(AND('(橫掃)RX Mapping'!BC27&gt;=481,'(橫掃)RX Mapping'!BC27&lt;=600), ('(橫掃)RX Mapping'!BC27-361),IF(AND('(橫掃)RX Mapping'!BC27&gt;=601,'(橫掃)RX Mapping'!BC27&lt;=720), (-1)*('(橫掃)RX Mapping'!BC27-720)+120,IF(AND('(橫掃)RX Mapping'!BC27&gt;=721,'(橫掃)RX Mapping'!BC27&lt;=840), ('(橫掃)RX Mapping'!BC27-601),IF(AND('(橫掃)RX Mapping'!BC27&gt;=841,'(橫掃)RX Mapping'!BC27&lt;=960), (-1)*('(橫掃)RX Mapping'!BC27-960)+120,9999))))))))</f>
        <v>9999</v>
      </c>
      <c r="BD27">
        <f>IF(AND('(橫掃)RX Mapping'!BD27&gt;=1,'(橫掃)RX Mapping'!BD27&lt;=120), ('(橫掃)RX Mapping'!BD27-1),IF(AND('(橫掃)RX Mapping'!BD27&gt;=121,'(橫掃)RX Mapping'!BD27&lt;=240), (-1)*('(橫掃)RX Mapping'!BD27-240),IF(AND('(橫掃)RX Mapping'!BD27&gt;=241,'(橫掃)RX Mapping'!BD27&lt;=360), ('(橫掃)RX Mapping'!BD27-241),IF(AND('(橫掃)RX Mapping'!BD27&gt;=361,'(橫掃)RX Mapping'!BD27&lt;=480), (-1)*('(橫掃)RX Mapping'!BD27-480),IF(AND('(橫掃)RX Mapping'!BD27&gt;=481,'(橫掃)RX Mapping'!BD27&lt;=600), ('(橫掃)RX Mapping'!BD27-361),IF(AND('(橫掃)RX Mapping'!BD27&gt;=601,'(橫掃)RX Mapping'!BD27&lt;=720), (-1)*('(橫掃)RX Mapping'!BD27-720)+120,IF(AND('(橫掃)RX Mapping'!BD27&gt;=721,'(橫掃)RX Mapping'!BD27&lt;=840), ('(橫掃)RX Mapping'!BD27-601),IF(AND('(橫掃)RX Mapping'!BD27&gt;=841,'(橫掃)RX Mapping'!BD27&lt;=960), (-1)*('(橫掃)RX Mapping'!BD27-960)+120,9999))))))))</f>
        <v>9999</v>
      </c>
      <c r="BE27">
        <f>IF(AND('(橫掃)RX Mapping'!BE27&gt;=1,'(橫掃)RX Mapping'!BE27&lt;=120), ('(橫掃)RX Mapping'!BE27-1),IF(AND('(橫掃)RX Mapping'!BE27&gt;=121,'(橫掃)RX Mapping'!BE27&lt;=240), (-1)*('(橫掃)RX Mapping'!BE27-240),IF(AND('(橫掃)RX Mapping'!BE27&gt;=241,'(橫掃)RX Mapping'!BE27&lt;=360), ('(橫掃)RX Mapping'!BE27-241),IF(AND('(橫掃)RX Mapping'!BE27&gt;=361,'(橫掃)RX Mapping'!BE27&lt;=480), (-1)*('(橫掃)RX Mapping'!BE27-480),IF(AND('(橫掃)RX Mapping'!BE27&gt;=481,'(橫掃)RX Mapping'!BE27&lt;=600), ('(橫掃)RX Mapping'!BE27-361),IF(AND('(橫掃)RX Mapping'!BE27&gt;=601,'(橫掃)RX Mapping'!BE27&lt;=720), (-1)*('(橫掃)RX Mapping'!BE27-720)+120,IF(AND('(橫掃)RX Mapping'!BE27&gt;=721,'(橫掃)RX Mapping'!BE27&lt;=840), ('(橫掃)RX Mapping'!BE27-601),IF(AND('(橫掃)RX Mapping'!BE27&gt;=841,'(橫掃)RX Mapping'!BE27&lt;=960), (-1)*('(橫掃)RX Mapping'!BE27-960)+120,9999))))))))</f>
        <v>9999</v>
      </c>
      <c r="BF27">
        <f>IF(AND('(橫掃)RX Mapping'!BF27&gt;=1,'(橫掃)RX Mapping'!BF27&lt;=120), ('(橫掃)RX Mapping'!BF27-1),IF(AND('(橫掃)RX Mapping'!BF27&gt;=121,'(橫掃)RX Mapping'!BF27&lt;=240), (-1)*('(橫掃)RX Mapping'!BF27-240),IF(AND('(橫掃)RX Mapping'!BF27&gt;=241,'(橫掃)RX Mapping'!BF27&lt;=360), ('(橫掃)RX Mapping'!BF27-241),IF(AND('(橫掃)RX Mapping'!BF27&gt;=361,'(橫掃)RX Mapping'!BF27&lt;=480), (-1)*('(橫掃)RX Mapping'!BF27-480),IF(AND('(橫掃)RX Mapping'!BF27&gt;=481,'(橫掃)RX Mapping'!BF27&lt;=600), ('(橫掃)RX Mapping'!BF27-361),IF(AND('(橫掃)RX Mapping'!BF27&gt;=601,'(橫掃)RX Mapping'!BF27&lt;=720), (-1)*('(橫掃)RX Mapping'!BF27-720)+120,IF(AND('(橫掃)RX Mapping'!BF27&gt;=721,'(橫掃)RX Mapping'!BF27&lt;=840), ('(橫掃)RX Mapping'!BF27-601),IF(AND('(橫掃)RX Mapping'!BF27&gt;=841,'(橫掃)RX Mapping'!BF27&lt;=960), (-1)*('(橫掃)RX Mapping'!BF27-960)+120,9999))))))))</f>
        <v>9999</v>
      </c>
      <c r="BG27">
        <f>IF(AND('(橫掃)RX Mapping'!BG27&gt;=1,'(橫掃)RX Mapping'!BG27&lt;=120), ('(橫掃)RX Mapping'!BG27-1),IF(AND('(橫掃)RX Mapping'!BG27&gt;=121,'(橫掃)RX Mapping'!BG27&lt;=240), (-1)*('(橫掃)RX Mapping'!BG27-240),IF(AND('(橫掃)RX Mapping'!BG27&gt;=241,'(橫掃)RX Mapping'!BG27&lt;=360), ('(橫掃)RX Mapping'!BG27-241),IF(AND('(橫掃)RX Mapping'!BG27&gt;=361,'(橫掃)RX Mapping'!BG27&lt;=480), (-1)*('(橫掃)RX Mapping'!BG27-480),IF(AND('(橫掃)RX Mapping'!BG27&gt;=481,'(橫掃)RX Mapping'!BG27&lt;=600), ('(橫掃)RX Mapping'!BG27-361),IF(AND('(橫掃)RX Mapping'!BG27&gt;=601,'(橫掃)RX Mapping'!BG27&lt;=720), (-1)*('(橫掃)RX Mapping'!BG27-720)+120,IF(AND('(橫掃)RX Mapping'!BG27&gt;=721,'(橫掃)RX Mapping'!BG27&lt;=840), ('(橫掃)RX Mapping'!BG27-601),IF(AND('(橫掃)RX Mapping'!BG27&gt;=841,'(橫掃)RX Mapping'!BG27&lt;=960), (-1)*('(橫掃)RX Mapping'!BG27-960)+120,9999))))))))</f>
        <v>9999</v>
      </c>
      <c r="BH27">
        <f>IF(AND('(橫掃)RX Mapping'!BH27&gt;=1,'(橫掃)RX Mapping'!BH27&lt;=120), ('(橫掃)RX Mapping'!BH27-1),IF(AND('(橫掃)RX Mapping'!BH27&gt;=121,'(橫掃)RX Mapping'!BH27&lt;=240), (-1)*('(橫掃)RX Mapping'!BH27-240),IF(AND('(橫掃)RX Mapping'!BH27&gt;=241,'(橫掃)RX Mapping'!BH27&lt;=360), ('(橫掃)RX Mapping'!BH27-241),IF(AND('(橫掃)RX Mapping'!BH27&gt;=361,'(橫掃)RX Mapping'!BH27&lt;=480), (-1)*('(橫掃)RX Mapping'!BH27-480),IF(AND('(橫掃)RX Mapping'!BH27&gt;=481,'(橫掃)RX Mapping'!BH27&lt;=600), ('(橫掃)RX Mapping'!BH27-361),IF(AND('(橫掃)RX Mapping'!BH27&gt;=601,'(橫掃)RX Mapping'!BH27&lt;=720), (-1)*('(橫掃)RX Mapping'!BH27-720)+120,IF(AND('(橫掃)RX Mapping'!BH27&gt;=721,'(橫掃)RX Mapping'!BH27&lt;=840), ('(橫掃)RX Mapping'!BH27-601),IF(AND('(橫掃)RX Mapping'!BH27&gt;=841,'(橫掃)RX Mapping'!BH27&lt;=960), (-1)*('(橫掃)RX Mapping'!BH27-960)+120,9999))))))))</f>
        <v>9999</v>
      </c>
      <c r="BI27">
        <f>IF(AND('(橫掃)RX Mapping'!BI27&gt;=1,'(橫掃)RX Mapping'!BI27&lt;=120), ('(橫掃)RX Mapping'!BI27-1),IF(AND('(橫掃)RX Mapping'!BI27&gt;=121,'(橫掃)RX Mapping'!BI27&lt;=240), (-1)*('(橫掃)RX Mapping'!BI27-240),IF(AND('(橫掃)RX Mapping'!BI27&gt;=241,'(橫掃)RX Mapping'!BI27&lt;=360), ('(橫掃)RX Mapping'!BI27-241),IF(AND('(橫掃)RX Mapping'!BI27&gt;=361,'(橫掃)RX Mapping'!BI27&lt;=480), (-1)*('(橫掃)RX Mapping'!BI27-480),IF(AND('(橫掃)RX Mapping'!BI27&gt;=481,'(橫掃)RX Mapping'!BI27&lt;=600), ('(橫掃)RX Mapping'!BI27-361),IF(AND('(橫掃)RX Mapping'!BI27&gt;=601,'(橫掃)RX Mapping'!BI27&lt;=720), (-1)*('(橫掃)RX Mapping'!BI27-720)+120,IF(AND('(橫掃)RX Mapping'!BI27&gt;=721,'(橫掃)RX Mapping'!BI27&lt;=840), ('(橫掃)RX Mapping'!BI27-601),IF(AND('(橫掃)RX Mapping'!BI27&gt;=841,'(橫掃)RX Mapping'!BI27&lt;=960), (-1)*('(橫掃)RX Mapping'!BI27-960)+120,9999))))))))</f>
        <v>9999</v>
      </c>
    </row>
    <row r="28" spans="1:61" x14ac:dyDescent="0.25">
      <c r="A28" s="20">
        <v>27</v>
      </c>
      <c r="B28">
        <f>IF(AND('(橫掃)RX Mapping'!B28&gt;=1,'(橫掃)RX Mapping'!B28&lt;=120), ('(橫掃)RX Mapping'!B28-1),IF(AND('(橫掃)RX Mapping'!B28&gt;=121,'(橫掃)RX Mapping'!B28&lt;=240), (-1)*('(橫掃)RX Mapping'!B28-240),IF(AND('(橫掃)RX Mapping'!B28&gt;=241,'(橫掃)RX Mapping'!B28&lt;=360), ('(橫掃)RX Mapping'!B28-241),IF(AND('(橫掃)RX Mapping'!B28&gt;=361,'(橫掃)RX Mapping'!B28&lt;=480), (-1)*('(橫掃)RX Mapping'!B28-480),IF(AND('(橫掃)RX Mapping'!B28&gt;=481,'(橫掃)RX Mapping'!B28&lt;=600), ('(橫掃)RX Mapping'!B28-361),IF(AND('(橫掃)RX Mapping'!B28&gt;=601,'(橫掃)RX Mapping'!B28&lt;=720), (-1)*('(橫掃)RX Mapping'!B28-720)+120,IF(AND('(橫掃)RX Mapping'!B28&gt;=721,'(橫掃)RX Mapping'!B28&lt;=840), ('(橫掃)RX Mapping'!B28-601),IF(AND('(橫掃)RX Mapping'!B28&gt;=841,'(橫掃)RX Mapping'!B28&lt;=960), (-1)*('(橫掃)RX Mapping'!B28-960)+120,9999))))))))</f>
        <v>26</v>
      </c>
      <c r="C28">
        <f>IF(AND('(橫掃)RX Mapping'!C28&gt;=1,'(橫掃)RX Mapping'!C28&lt;=120), ('(橫掃)RX Mapping'!C28-1),IF(AND('(橫掃)RX Mapping'!C28&gt;=121,'(橫掃)RX Mapping'!C28&lt;=240), (-1)*('(橫掃)RX Mapping'!C28-240),IF(AND('(橫掃)RX Mapping'!C28&gt;=241,'(橫掃)RX Mapping'!C28&lt;=360), ('(橫掃)RX Mapping'!C28-241),IF(AND('(橫掃)RX Mapping'!C28&gt;=361,'(橫掃)RX Mapping'!C28&lt;=480), (-1)*('(橫掃)RX Mapping'!C28-480),IF(AND('(橫掃)RX Mapping'!C28&gt;=481,'(橫掃)RX Mapping'!C28&lt;=600), ('(橫掃)RX Mapping'!C28-361),IF(AND('(橫掃)RX Mapping'!C28&gt;=601,'(橫掃)RX Mapping'!C28&lt;=720), (-1)*('(橫掃)RX Mapping'!C28-720)+120,IF(AND('(橫掃)RX Mapping'!C28&gt;=721,'(橫掃)RX Mapping'!C28&lt;=840), ('(橫掃)RX Mapping'!C28-601),IF(AND('(橫掃)RX Mapping'!C28&gt;=841,'(橫掃)RX Mapping'!C28&lt;=960), (-1)*('(橫掃)RX Mapping'!C28-960)+120,9999))))))))</f>
        <v>58</v>
      </c>
      <c r="D28">
        <f>IF(AND('(橫掃)RX Mapping'!D28&gt;=1,'(橫掃)RX Mapping'!D28&lt;=120), ('(橫掃)RX Mapping'!D28-1),IF(AND('(橫掃)RX Mapping'!D28&gt;=121,'(橫掃)RX Mapping'!D28&lt;=240), (-1)*('(橫掃)RX Mapping'!D28-240),IF(AND('(橫掃)RX Mapping'!D28&gt;=241,'(橫掃)RX Mapping'!D28&lt;=360), ('(橫掃)RX Mapping'!D28-241),IF(AND('(橫掃)RX Mapping'!D28&gt;=361,'(橫掃)RX Mapping'!D28&lt;=480), (-1)*('(橫掃)RX Mapping'!D28-480),IF(AND('(橫掃)RX Mapping'!D28&gt;=481,'(橫掃)RX Mapping'!D28&lt;=600), ('(橫掃)RX Mapping'!D28-361),IF(AND('(橫掃)RX Mapping'!D28&gt;=601,'(橫掃)RX Mapping'!D28&lt;=720), (-1)*('(橫掃)RX Mapping'!D28-720)+120,IF(AND('(橫掃)RX Mapping'!D28&gt;=721,'(橫掃)RX Mapping'!D28&lt;=840), ('(橫掃)RX Mapping'!D28-601),IF(AND('(橫掃)RX Mapping'!D28&gt;=841,'(橫掃)RX Mapping'!D28&lt;=960), (-1)*('(橫掃)RX Mapping'!D28-960)+120,9999))))))))</f>
        <v>90</v>
      </c>
      <c r="E28">
        <f>IF(AND('(橫掃)RX Mapping'!E28&gt;=1,'(橫掃)RX Mapping'!E28&lt;=120), ('(橫掃)RX Mapping'!E28-1),IF(AND('(橫掃)RX Mapping'!E28&gt;=121,'(橫掃)RX Mapping'!E28&lt;=240), (-1)*('(橫掃)RX Mapping'!E28-240),IF(AND('(橫掃)RX Mapping'!E28&gt;=241,'(橫掃)RX Mapping'!E28&lt;=360), ('(橫掃)RX Mapping'!E28-241),IF(AND('(橫掃)RX Mapping'!E28&gt;=361,'(橫掃)RX Mapping'!E28&lt;=480), (-1)*('(橫掃)RX Mapping'!E28-480),IF(AND('(橫掃)RX Mapping'!E28&gt;=481,'(橫掃)RX Mapping'!E28&lt;=600), ('(橫掃)RX Mapping'!E28-361),IF(AND('(橫掃)RX Mapping'!E28&gt;=601,'(橫掃)RX Mapping'!E28&lt;=720), (-1)*('(橫掃)RX Mapping'!E28-720)+120,IF(AND('(橫掃)RX Mapping'!E28&gt;=721,'(橫掃)RX Mapping'!E28&lt;=840), ('(橫掃)RX Mapping'!E28-601),IF(AND('(橫掃)RX Mapping'!E28&gt;=841,'(橫掃)RX Mapping'!E28&lt;=960), (-1)*('(橫掃)RX Mapping'!E28-960)+120,9999))))))))</f>
        <v>117</v>
      </c>
      <c r="F28">
        <f>IF(AND('(橫掃)RX Mapping'!F28&gt;=1,'(橫掃)RX Mapping'!F28&lt;=120), ('(橫掃)RX Mapping'!F28-1),IF(AND('(橫掃)RX Mapping'!F28&gt;=121,'(橫掃)RX Mapping'!F28&lt;=240), (-1)*('(橫掃)RX Mapping'!F28-240),IF(AND('(橫掃)RX Mapping'!F28&gt;=241,'(橫掃)RX Mapping'!F28&lt;=360), ('(橫掃)RX Mapping'!F28-241),IF(AND('(橫掃)RX Mapping'!F28&gt;=361,'(橫掃)RX Mapping'!F28&lt;=480), (-1)*('(橫掃)RX Mapping'!F28-480),IF(AND('(橫掃)RX Mapping'!F28&gt;=481,'(橫掃)RX Mapping'!F28&lt;=600), ('(橫掃)RX Mapping'!F28-361),IF(AND('(橫掃)RX Mapping'!F28&gt;=601,'(橫掃)RX Mapping'!F28&lt;=720), (-1)*('(橫掃)RX Mapping'!F28-720)+120,IF(AND('(橫掃)RX Mapping'!F28&gt;=721,'(橫掃)RX Mapping'!F28&lt;=840), ('(橫掃)RX Mapping'!F28-601),IF(AND('(橫掃)RX Mapping'!F28&gt;=841,'(橫掃)RX Mapping'!F28&lt;=960), (-1)*('(橫掃)RX Mapping'!F28-960)+120,9999))))))))</f>
        <v>85</v>
      </c>
      <c r="G28">
        <f>IF(AND('(橫掃)RX Mapping'!G28&gt;=1,'(橫掃)RX Mapping'!G28&lt;=120), ('(橫掃)RX Mapping'!G28-1),IF(AND('(橫掃)RX Mapping'!G28&gt;=121,'(橫掃)RX Mapping'!G28&lt;=240), (-1)*('(橫掃)RX Mapping'!G28-240),IF(AND('(橫掃)RX Mapping'!G28&gt;=241,'(橫掃)RX Mapping'!G28&lt;=360), ('(橫掃)RX Mapping'!G28-241),IF(AND('(橫掃)RX Mapping'!G28&gt;=361,'(橫掃)RX Mapping'!G28&lt;=480), (-1)*('(橫掃)RX Mapping'!G28-480),IF(AND('(橫掃)RX Mapping'!G28&gt;=481,'(橫掃)RX Mapping'!G28&lt;=600), ('(橫掃)RX Mapping'!G28-361),IF(AND('(橫掃)RX Mapping'!G28&gt;=601,'(橫掃)RX Mapping'!G28&lt;=720), (-1)*('(橫掃)RX Mapping'!G28-720)+120,IF(AND('(橫掃)RX Mapping'!G28&gt;=721,'(橫掃)RX Mapping'!G28&lt;=840), ('(橫掃)RX Mapping'!G28-601),IF(AND('(橫掃)RX Mapping'!G28&gt;=841,'(橫掃)RX Mapping'!G28&lt;=960), (-1)*('(橫掃)RX Mapping'!G28-960)+120,9999))))))))</f>
        <v>53</v>
      </c>
      <c r="H28">
        <f>IF(AND('(橫掃)RX Mapping'!H28&gt;=1,'(橫掃)RX Mapping'!H28&lt;=120), ('(橫掃)RX Mapping'!H28-1),IF(AND('(橫掃)RX Mapping'!H28&gt;=121,'(橫掃)RX Mapping'!H28&lt;=240), (-1)*('(橫掃)RX Mapping'!H28-240),IF(AND('(橫掃)RX Mapping'!H28&gt;=241,'(橫掃)RX Mapping'!H28&lt;=360), ('(橫掃)RX Mapping'!H28-241),IF(AND('(橫掃)RX Mapping'!H28&gt;=361,'(橫掃)RX Mapping'!H28&lt;=480), (-1)*('(橫掃)RX Mapping'!H28-480),IF(AND('(橫掃)RX Mapping'!H28&gt;=481,'(橫掃)RX Mapping'!H28&lt;=600), ('(橫掃)RX Mapping'!H28-361),IF(AND('(橫掃)RX Mapping'!H28&gt;=601,'(橫掃)RX Mapping'!H28&lt;=720), (-1)*('(橫掃)RX Mapping'!H28-720)+120,IF(AND('(橫掃)RX Mapping'!H28&gt;=721,'(橫掃)RX Mapping'!H28&lt;=840), ('(橫掃)RX Mapping'!H28-601),IF(AND('(橫掃)RX Mapping'!H28&gt;=841,'(橫掃)RX Mapping'!H28&lt;=960), (-1)*('(橫掃)RX Mapping'!H28-960)+120,9999))))))))</f>
        <v>21</v>
      </c>
      <c r="I28">
        <f>IF(AND('(橫掃)RX Mapping'!I28&gt;=1,'(橫掃)RX Mapping'!I28&lt;=120), ('(橫掃)RX Mapping'!I28-1),IF(AND('(橫掃)RX Mapping'!I28&gt;=121,'(橫掃)RX Mapping'!I28&lt;=240), (-1)*('(橫掃)RX Mapping'!I28-240),IF(AND('(橫掃)RX Mapping'!I28&gt;=241,'(橫掃)RX Mapping'!I28&lt;=360), ('(橫掃)RX Mapping'!I28-241),IF(AND('(橫掃)RX Mapping'!I28&gt;=361,'(橫掃)RX Mapping'!I28&lt;=480), (-1)*('(橫掃)RX Mapping'!I28-480),IF(AND('(橫掃)RX Mapping'!I28&gt;=481,'(橫掃)RX Mapping'!I28&lt;=600), ('(橫掃)RX Mapping'!I28-361),IF(AND('(橫掃)RX Mapping'!I28&gt;=601,'(橫掃)RX Mapping'!I28&lt;=720), (-1)*('(橫掃)RX Mapping'!I28-720)+120,IF(AND('(橫掃)RX Mapping'!I28&gt;=721,'(橫掃)RX Mapping'!I28&lt;=840), ('(橫掃)RX Mapping'!I28-601),IF(AND('(橫掃)RX Mapping'!I28&gt;=841,'(橫掃)RX Mapping'!I28&lt;=960), (-1)*('(橫掃)RX Mapping'!I28-960)+120,9999))))))))</f>
        <v>26</v>
      </c>
      <c r="J28">
        <f>IF(AND('(橫掃)RX Mapping'!J28&gt;=1,'(橫掃)RX Mapping'!J28&lt;=120), ('(橫掃)RX Mapping'!J28-1),IF(AND('(橫掃)RX Mapping'!J28&gt;=121,'(橫掃)RX Mapping'!J28&lt;=240), (-1)*('(橫掃)RX Mapping'!J28-240),IF(AND('(橫掃)RX Mapping'!J28&gt;=241,'(橫掃)RX Mapping'!J28&lt;=360), ('(橫掃)RX Mapping'!J28-241),IF(AND('(橫掃)RX Mapping'!J28&gt;=361,'(橫掃)RX Mapping'!J28&lt;=480), (-1)*('(橫掃)RX Mapping'!J28-480),IF(AND('(橫掃)RX Mapping'!J28&gt;=481,'(橫掃)RX Mapping'!J28&lt;=600), ('(橫掃)RX Mapping'!J28-361),IF(AND('(橫掃)RX Mapping'!J28&gt;=601,'(橫掃)RX Mapping'!J28&lt;=720), (-1)*('(橫掃)RX Mapping'!J28-720)+120,IF(AND('(橫掃)RX Mapping'!J28&gt;=721,'(橫掃)RX Mapping'!J28&lt;=840), ('(橫掃)RX Mapping'!J28-601),IF(AND('(橫掃)RX Mapping'!J28&gt;=841,'(橫掃)RX Mapping'!J28&lt;=960), (-1)*('(橫掃)RX Mapping'!J28-960)+120,9999))))))))</f>
        <v>58</v>
      </c>
      <c r="K28">
        <f>IF(AND('(橫掃)RX Mapping'!K28&gt;=1,'(橫掃)RX Mapping'!K28&lt;=120), ('(橫掃)RX Mapping'!K28-1),IF(AND('(橫掃)RX Mapping'!K28&gt;=121,'(橫掃)RX Mapping'!K28&lt;=240), (-1)*('(橫掃)RX Mapping'!K28-240),IF(AND('(橫掃)RX Mapping'!K28&gt;=241,'(橫掃)RX Mapping'!K28&lt;=360), ('(橫掃)RX Mapping'!K28-241),IF(AND('(橫掃)RX Mapping'!K28&gt;=361,'(橫掃)RX Mapping'!K28&lt;=480), (-1)*('(橫掃)RX Mapping'!K28-480),IF(AND('(橫掃)RX Mapping'!K28&gt;=481,'(橫掃)RX Mapping'!K28&lt;=600), ('(橫掃)RX Mapping'!K28-361),IF(AND('(橫掃)RX Mapping'!K28&gt;=601,'(橫掃)RX Mapping'!K28&lt;=720), (-1)*('(橫掃)RX Mapping'!K28-720)+120,IF(AND('(橫掃)RX Mapping'!K28&gt;=721,'(橫掃)RX Mapping'!K28&lt;=840), ('(橫掃)RX Mapping'!K28-601),IF(AND('(橫掃)RX Mapping'!K28&gt;=841,'(橫掃)RX Mapping'!K28&lt;=960), (-1)*('(橫掃)RX Mapping'!K28-960)+120,9999))))))))</f>
        <v>90</v>
      </c>
      <c r="L28">
        <f>IF(AND('(橫掃)RX Mapping'!L28&gt;=1,'(橫掃)RX Mapping'!L28&lt;=120), ('(橫掃)RX Mapping'!L28-1),IF(AND('(橫掃)RX Mapping'!L28&gt;=121,'(橫掃)RX Mapping'!L28&lt;=240), (-1)*('(橫掃)RX Mapping'!L28-240),IF(AND('(橫掃)RX Mapping'!L28&gt;=241,'(橫掃)RX Mapping'!L28&lt;=360), ('(橫掃)RX Mapping'!L28-241),IF(AND('(橫掃)RX Mapping'!L28&gt;=361,'(橫掃)RX Mapping'!L28&lt;=480), (-1)*('(橫掃)RX Mapping'!L28-480),IF(AND('(橫掃)RX Mapping'!L28&gt;=481,'(橫掃)RX Mapping'!L28&lt;=600), ('(橫掃)RX Mapping'!L28-361),IF(AND('(橫掃)RX Mapping'!L28&gt;=601,'(橫掃)RX Mapping'!L28&lt;=720), (-1)*('(橫掃)RX Mapping'!L28-720)+120,IF(AND('(橫掃)RX Mapping'!L28&gt;=721,'(橫掃)RX Mapping'!L28&lt;=840), ('(橫掃)RX Mapping'!L28-601),IF(AND('(橫掃)RX Mapping'!L28&gt;=841,'(橫掃)RX Mapping'!L28&lt;=960), (-1)*('(橫掃)RX Mapping'!L28-960)+120,9999))))))))</f>
        <v>117</v>
      </c>
      <c r="M28">
        <f>IF(AND('(橫掃)RX Mapping'!M28&gt;=1,'(橫掃)RX Mapping'!M28&lt;=120), ('(橫掃)RX Mapping'!M28-1),IF(AND('(橫掃)RX Mapping'!M28&gt;=121,'(橫掃)RX Mapping'!M28&lt;=240), (-1)*('(橫掃)RX Mapping'!M28-240),IF(AND('(橫掃)RX Mapping'!M28&gt;=241,'(橫掃)RX Mapping'!M28&lt;=360), ('(橫掃)RX Mapping'!M28-241),IF(AND('(橫掃)RX Mapping'!M28&gt;=361,'(橫掃)RX Mapping'!M28&lt;=480), (-1)*('(橫掃)RX Mapping'!M28-480),IF(AND('(橫掃)RX Mapping'!M28&gt;=481,'(橫掃)RX Mapping'!M28&lt;=600), ('(橫掃)RX Mapping'!M28-361),IF(AND('(橫掃)RX Mapping'!M28&gt;=601,'(橫掃)RX Mapping'!M28&lt;=720), (-1)*('(橫掃)RX Mapping'!M28-720)+120,IF(AND('(橫掃)RX Mapping'!M28&gt;=721,'(橫掃)RX Mapping'!M28&lt;=840), ('(橫掃)RX Mapping'!M28-601),IF(AND('(橫掃)RX Mapping'!M28&gt;=841,'(橫掃)RX Mapping'!M28&lt;=960), (-1)*('(橫掃)RX Mapping'!M28-960)+120,9999))))))))</f>
        <v>85</v>
      </c>
      <c r="N28">
        <f>IF(AND('(橫掃)RX Mapping'!N28&gt;=1,'(橫掃)RX Mapping'!N28&lt;=120), ('(橫掃)RX Mapping'!N28-1),IF(AND('(橫掃)RX Mapping'!N28&gt;=121,'(橫掃)RX Mapping'!N28&lt;=240), (-1)*('(橫掃)RX Mapping'!N28-240),IF(AND('(橫掃)RX Mapping'!N28&gt;=241,'(橫掃)RX Mapping'!N28&lt;=360), ('(橫掃)RX Mapping'!N28-241),IF(AND('(橫掃)RX Mapping'!N28&gt;=361,'(橫掃)RX Mapping'!N28&lt;=480), (-1)*('(橫掃)RX Mapping'!N28-480),IF(AND('(橫掃)RX Mapping'!N28&gt;=481,'(橫掃)RX Mapping'!N28&lt;=600), ('(橫掃)RX Mapping'!N28-361),IF(AND('(橫掃)RX Mapping'!N28&gt;=601,'(橫掃)RX Mapping'!N28&lt;=720), (-1)*('(橫掃)RX Mapping'!N28-720)+120,IF(AND('(橫掃)RX Mapping'!N28&gt;=721,'(橫掃)RX Mapping'!N28&lt;=840), ('(橫掃)RX Mapping'!N28-601),IF(AND('(橫掃)RX Mapping'!N28&gt;=841,'(橫掃)RX Mapping'!N28&lt;=960), (-1)*('(橫掃)RX Mapping'!N28-960)+120,9999))))))))</f>
        <v>53</v>
      </c>
      <c r="O28">
        <f>IF(AND('(橫掃)RX Mapping'!O28&gt;=1,'(橫掃)RX Mapping'!O28&lt;=120), ('(橫掃)RX Mapping'!O28-1),IF(AND('(橫掃)RX Mapping'!O28&gt;=121,'(橫掃)RX Mapping'!O28&lt;=240), (-1)*('(橫掃)RX Mapping'!O28-240),IF(AND('(橫掃)RX Mapping'!O28&gt;=241,'(橫掃)RX Mapping'!O28&lt;=360), ('(橫掃)RX Mapping'!O28-241),IF(AND('(橫掃)RX Mapping'!O28&gt;=361,'(橫掃)RX Mapping'!O28&lt;=480), (-1)*('(橫掃)RX Mapping'!O28-480),IF(AND('(橫掃)RX Mapping'!O28&gt;=481,'(橫掃)RX Mapping'!O28&lt;=600), ('(橫掃)RX Mapping'!O28-361),IF(AND('(橫掃)RX Mapping'!O28&gt;=601,'(橫掃)RX Mapping'!O28&lt;=720), (-1)*('(橫掃)RX Mapping'!O28-720)+120,IF(AND('(橫掃)RX Mapping'!O28&gt;=721,'(橫掃)RX Mapping'!O28&lt;=840), ('(橫掃)RX Mapping'!O28-601),IF(AND('(橫掃)RX Mapping'!O28&gt;=841,'(橫掃)RX Mapping'!O28&lt;=960), (-1)*('(橫掃)RX Mapping'!O28-960)+120,9999))))))))</f>
        <v>21</v>
      </c>
      <c r="P28">
        <f>IF(AND('(橫掃)RX Mapping'!P28&gt;=1,'(橫掃)RX Mapping'!P28&lt;=120), ('(橫掃)RX Mapping'!P28-1),IF(AND('(橫掃)RX Mapping'!P28&gt;=121,'(橫掃)RX Mapping'!P28&lt;=240), (-1)*('(橫掃)RX Mapping'!P28-240),IF(AND('(橫掃)RX Mapping'!P28&gt;=241,'(橫掃)RX Mapping'!P28&lt;=360), ('(橫掃)RX Mapping'!P28-241),IF(AND('(橫掃)RX Mapping'!P28&gt;=361,'(橫掃)RX Mapping'!P28&lt;=480), (-1)*('(橫掃)RX Mapping'!P28-480),IF(AND('(橫掃)RX Mapping'!P28&gt;=481,'(橫掃)RX Mapping'!P28&lt;=600), ('(橫掃)RX Mapping'!P28-361),IF(AND('(橫掃)RX Mapping'!P28&gt;=601,'(橫掃)RX Mapping'!P28&lt;=720), (-1)*('(橫掃)RX Mapping'!P28-720)+120,IF(AND('(橫掃)RX Mapping'!P28&gt;=721,'(橫掃)RX Mapping'!P28&lt;=840), ('(橫掃)RX Mapping'!P28-601),IF(AND('(橫掃)RX Mapping'!P28&gt;=841,'(橫掃)RX Mapping'!P28&lt;=960), (-1)*('(橫掃)RX Mapping'!P28-960)+120,9999))))))))</f>
        <v>146</v>
      </c>
      <c r="Q28">
        <f>IF(AND('(橫掃)RX Mapping'!Q28&gt;=1,'(橫掃)RX Mapping'!Q28&lt;=120), ('(橫掃)RX Mapping'!Q28-1),IF(AND('(橫掃)RX Mapping'!Q28&gt;=121,'(橫掃)RX Mapping'!Q28&lt;=240), (-1)*('(橫掃)RX Mapping'!Q28-240),IF(AND('(橫掃)RX Mapping'!Q28&gt;=241,'(橫掃)RX Mapping'!Q28&lt;=360), ('(橫掃)RX Mapping'!Q28-241),IF(AND('(橫掃)RX Mapping'!Q28&gt;=361,'(橫掃)RX Mapping'!Q28&lt;=480), (-1)*('(橫掃)RX Mapping'!Q28-480),IF(AND('(橫掃)RX Mapping'!Q28&gt;=481,'(橫掃)RX Mapping'!Q28&lt;=600), ('(橫掃)RX Mapping'!Q28-361),IF(AND('(橫掃)RX Mapping'!Q28&gt;=601,'(橫掃)RX Mapping'!Q28&lt;=720), (-1)*('(橫掃)RX Mapping'!Q28-720)+120,IF(AND('(橫掃)RX Mapping'!Q28&gt;=721,'(橫掃)RX Mapping'!Q28&lt;=840), ('(橫掃)RX Mapping'!Q28-601),IF(AND('(橫掃)RX Mapping'!Q28&gt;=841,'(橫掃)RX Mapping'!Q28&lt;=960), (-1)*('(橫掃)RX Mapping'!Q28-960)+120,9999))))))))</f>
        <v>178</v>
      </c>
      <c r="R28">
        <f>IF(AND('(橫掃)RX Mapping'!R28&gt;=1,'(橫掃)RX Mapping'!R28&lt;=120), ('(橫掃)RX Mapping'!R28-1),IF(AND('(橫掃)RX Mapping'!R28&gt;=121,'(橫掃)RX Mapping'!R28&lt;=240), (-1)*('(橫掃)RX Mapping'!R28-240),IF(AND('(橫掃)RX Mapping'!R28&gt;=241,'(橫掃)RX Mapping'!R28&lt;=360), ('(橫掃)RX Mapping'!R28-241),IF(AND('(橫掃)RX Mapping'!R28&gt;=361,'(橫掃)RX Mapping'!R28&lt;=480), (-1)*('(橫掃)RX Mapping'!R28-480),IF(AND('(橫掃)RX Mapping'!R28&gt;=481,'(橫掃)RX Mapping'!R28&lt;=600), ('(橫掃)RX Mapping'!R28-361),IF(AND('(橫掃)RX Mapping'!R28&gt;=601,'(橫掃)RX Mapping'!R28&lt;=720), (-1)*('(橫掃)RX Mapping'!R28-720)+120,IF(AND('(橫掃)RX Mapping'!R28&gt;=721,'(橫掃)RX Mapping'!R28&lt;=840), ('(橫掃)RX Mapping'!R28-601),IF(AND('(橫掃)RX Mapping'!R28&gt;=841,'(橫掃)RX Mapping'!R28&lt;=960), (-1)*('(橫掃)RX Mapping'!R28-960)+120,9999))))))))</f>
        <v>210</v>
      </c>
      <c r="S28">
        <f>IF(AND('(橫掃)RX Mapping'!S28&gt;=1,'(橫掃)RX Mapping'!S28&lt;=120), ('(橫掃)RX Mapping'!S28-1),IF(AND('(橫掃)RX Mapping'!S28&gt;=121,'(橫掃)RX Mapping'!S28&lt;=240), (-1)*('(橫掃)RX Mapping'!S28-240),IF(AND('(橫掃)RX Mapping'!S28&gt;=241,'(橫掃)RX Mapping'!S28&lt;=360), ('(橫掃)RX Mapping'!S28-241),IF(AND('(橫掃)RX Mapping'!S28&gt;=361,'(橫掃)RX Mapping'!S28&lt;=480), (-1)*('(橫掃)RX Mapping'!S28-480),IF(AND('(橫掃)RX Mapping'!S28&gt;=481,'(橫掃)RX Mapping'!S28&lt;=600), ('(橫掃)RX Mapping'!S28-361),IF(AND('(橫掃)RX Mapping'!S28&gt;=601,'(橫掃)RX Mapping'!S28&lt;=720), (-1)*('(橫掃)RX Mapping'!S28-720)+120,IF(AND('(橫掃)RX Mapping'!S28&gt;=721,'(橫掃)RX Mapping'!S28&lt;=840), ('(橫掃)RX Mapping'!S28-601),IF(AND('(橫掃)RX Mapping'!S28&gt;=841,'(橫掃)RX Mapping'!S28&lt;=960), (-1)*('(橫掃)RX Mapping'!S28-960)+120,9999))))))))</f>
        <v>237</v>
      </c>
      <c r="T28">
        <f>IF(AND('(橫掃)RX Mapping'!T28&gt;=1,'(橫掃)RX Mapping'!T28&lt;=120), ('(橫掃)RX Mapping'!T28-1),IF(AND('(橫掃)RX Mapping'!T28&gt;=121,'(橫掃)RX Mapping'!T28&lt;=240), (-1)*('(橫掃)RX Mapping'!T28-240),IF(AND('(橫掃)RX Mapping'!T28&gt;=241,'(橫掃)RX Mapping'!T28&lt;=360), ('(橫掃)RX Mapping'!T28-241),IF(AND('(橫掃)RX Mapping'!T28&gt;=361,'(橫掃)RX Mapping'!T28&lt;=480), (-1)*('(橫掃)RX Mapping'!T28-480),IF(AND('(橫掃)RX Mapping'!T28&gt;=481,'(橫掃)RX Mapping'!T28&lt;=600), ('(橫掃)RX Mapping'!T28-361),IF(AND('(橫掃)RX Mapping'!T28&gt;=601,'(橫掃)RX Mapping'!T28&lt;=720), (-1)*('(橫掃)RX Mapping'!T28-720)+120,IF(AND('(橫掃)RX Mapping'!T28&gt;=721,'(橫掃)RX Mapping'!T28&lt;=840), ('(橫掃)RX Mapping'!T28-601),IF(AND('(橫掃)RX Mapping'!T28&gt;=841,'(橫掃)RX Mapping'!T28&lt;=960), (-1)*('(橫掃)RX Mapping'!T28-960)+120,9999))))))))</f>
        <v>205</v>
      </c>
      <c r="U28">
        <f>IF(AND('(橫掃)RX Mapping'!U28&gt;=1,'(橫掃)RX Mapping'!U28&lt;=120), ('(橫掃)RX Mapping'!U28-1),IF(AND('(橫掃)RX Mapping'!U28&gt;=121,'(橫掃)RX Mapping'!U28&lt;=240), (-1)*('(橫掃)RX Mapping'!U28-240),IF(AND('(橫掃)RX Mapping'!U28&gt;=241,'(橫掃)RX Mapping'!U28&lt;=360), ('(橫掃)RX Mapping'!U28-241),IF(AND('(橫掃)RX Mapping'!U28&gt;=361,'(橫掃)RX Mapping'!U28&lt;=480), (-1)*('(橫掃)RX Mapping'!U28-480),IF(AND('(橫掃)RX Mapping'!U28&gt;=481,'(橫掃)RX Mapping'!U28&lt;=600), ('(橫掃)RX Mapping'!U28-361),IF(AND('(橫掃)RX Mapping'!U28&gt;=601,'(橫掃)RX Mapping'!U28&lt;=720), (-1)*('(橫掃)RX Mapping'!U28-720)+120,IF(AND('(橫掃)RX Mapping'!U28&gt;=721,'(橫掃)RX Mapping'!U28&lt;=840), ('(橫掃)RX Mapping'!U28-601),IF(AND('(橫掃)RX Mapping'!U28&gt;=841,'(橫掃)RX Mapping'!U28&lt;=960), (-1)*('(橫掃)RX Mapping'!U28-960)+120,9999))))))))</f>
        <v>173</v>
      </c>
      <c r="V28">
        <f>IF(AND('(橫掃)RX Mapping'!V28&gt;=1,'(橫掃)RX Mapping'!V28&lt;=120), ('(橫掃)RX Mapping'!V28-1),IF(AND('(橫掃)RX Mapping'!V28&gt;=121,'(橫掃)RX Mapping'!V28&lt;=240), (-1)*('(橫掃)RX Mapping'!V28-240),IF(AND('(橫掃)RX Mapping'!V28&gt;=241,'(橫掃)RX Mapping'!V28&lt;=360), ('(橫掃)RX Mapping'!V28-241),IF(AND('(橫掃)RX Mapping'!V28&gt;=361,'(橫掃)RX Mapping'!V28&lt;=480), (-1)*('(橫掃)RX Mapping'!V28-480),IF(AND('(橫掃)RX Mapping'!V28&gt;=481,'(橫掃)RX Mapping'!V28&lt;=600), ('(橫掃)RX Mapping'!V28-361),IF(AND('(橫掃)RX Mapping'!V28&gt;=601,'(橫掃)RX Mapping'!V28&lt;=720), (-1)*('(橫掃)RX Mapping'!V28-720)+120,IF(AND('(橫掃)RX Mapping'!V28&gt;=721,'(橫掃)RX Mapping'!V28&lt;=840), ('(橫掃)RX Mapping'!V28-601),IF(AND('(橫掃)RX Mapping'!V28&gt;=841,'(橫掃)RX Mapping'!V28&lt;=960), (-1)*('(橫掃)RX Mapping'!V28-960)+120,9999))))))))</f>
        <v>141</v>
      </c>
      <c r="W28">
        <f>IF(AND('(橫掃)RX Mapping'!W28&gt;=1,'(橫掃)RX Mapping'!W28&lt;=120), ('(橫掃)RX Mapping'!W28-1),IF(AND('(橫掃)RX Mapping'!W28&gt;=121,'(橫掃)RX Mapping'!W28&lt;=240), (-1)*('(橫掃)RX Mapping'!W28-240),IF(AND('(橫掃)RX Mapping'!W28&gt;=241,'(橫掃)RX Mapping'!W28&lt;=360), ('(橫掃)RX Mapping'!W28-241),IF(AND('(橫掃)RX Mapping'!W28&gt;=361,'(橫掃)RX Mapping'!W28&lt;=480), (-1)*('(橫掃)RX Mapping'!W28-480),IF(AND('(橫掃)RX Mapping'!W28&gt;=481,'(橫掃)RX Mapping'!W28&lt;=600), ('(橫掃)RX Mapping'!W28-361),IF(AND('(橫掃)RX Mapping'!W28&gt;=601,'(橫掃)RX Mapping'!W28&lt;=720), (-1)*('(橫掃)RX Mapping'!W28-720)+120,IF(AND('(橫掃)RX Mapping'!W28&gt;=721,'(橫掃)RX Mapping'!W28&lt;=840), ('(橫掃)RX Mapping'!W28-601),IF(AND('(橫掃)RX Mapping'!W28&gt;=841,'(橫掃)RX Mapping'!W28&lt;=960), (-1)*('(橫掃)RX Mapping'!W28-960)+120,9999))))))))</f>
        <v>146</v>
      </c>
      <c r="X28">
        <f>IF(AND('(橫掃)RX Mapping'!X28&gt;=1,'(橫掃)RX Mapping'!X28&lt;=120), ('(橫掃)RX Mapping'!X28-1),IF(AND('(橫掃)RX Mapping'!X28&gt;=121,'(橫掃)RX Mapping'!X28&lt;=240), (-1)*('(橫掃)RX Mapping'!X28-240),IF(AND('(橫掃)RX Mapping'!X28&gt;=241,'(橫掃)RX Mapping'!X28&lt;=360), ('(橫掃)RX Mapping'!X28-241),IF(AND('(橫掃)RX Mapping'!X28&gt;=361,'(橫掃)RX Mapping'!X28&lt;=480), (-1)*('(橫掃)RX Mapping'!X28-480),IF(AND('(橫掃)RX Mapping'!X28&gt;=481,'(橫掃)RX Mapping'!X28&lt;=600), ('(橫掃)RX Mapping'!X28-361),IF(AND('(橫掃)RX Mapping'!X28&gt;=601,'(橫掃)RX Mapping'!X28&lt;=720), (-1)*('(橫掃)RX Mapping'!X28-720)+120,IF(AND('(橫掃)RX Mapping'!X28&gt;=721,'(橫掃)RX Mapping'!X28&lt;=840), ('(橫掃)RX Mapping'!X28-601),IF(AND('(橫掃)RX Mapping'!X28&gt;=841,'(橫掃)RX Mapping'!X28&lt;=960), (-1)*('(橫掃)RX Mapping'!X28-960)+120,9999))))))))</f>
        <v>178</v>
      </c>
      <c r="Y28">
        <f>IF(AND('(橫掃)RX Mapping'!Y28&gt;=1,'(橫掃)RX Mapping'!Y28&lt;=120), ('(橫掃)RX Mapping'!Y28-1),IF(AND('(橫掃)RX Mapping'!Y28&gt;=121,'(橫掃)RX Mapping'!Y28&lt;=240), (-1)*('(橫掃)RX Mapping'!Y28-240),IF(AND('(橫掃)RX Mapping'!Y28&gt;=241,'(橫掃)RX Mapping'!Y28&lt;=360), ('(橫掃)RX Mapping'!Y28-241),IF(AND('(橫掃)RX Mapping'!Y28&gt;=361,'(橫掃)RX Mapping'!Y28&lt;=480), (-1)*('(橫掃)RX Mapping'!Y28-480),IF(AND('(橫掃)RX Mapping'!Y28&gt;=481,'(橫掃)RX Mapping'!Y28&lt;=600), ('(橫掃)RX Mapping'!Y28-361),IF(AND('(橫掃)RX Mapping'!Y28&gt;=601,'(橫掃)RX Mapping'!Y28&lt;=720), (-1)*('(橫掃)RX Mapping'!Y28-720)+120,IF(AND('(橫掃)RX Mapping'!Y28&gt;=721,'(橫掃)RX Mapping'!Y28&lt;=840), ('(橫掃)RX Mapping'!Y28-601),IF(AND('(橫掃)RX Mapping'!Y28&gt;=841,'(橫掃)RX Mapping'!Y28&lt;=960), (-1)*('(橫掃)RX Mapping'!Y28-960)+120,9999))))))))</f>
        <v>210</v>
      </c>
      <c r="Z28">
        <f>IF(AND('(橫掃)RX Mapping'!Z28&gt;=1,'(橫掃)RX Mapping'!Z28&lt;=120), ('(橫掃)RX Mapping'!Z28-1),IF(AND('(橫掃)RX Mapping'!Z28&gt;=121,'(橫掃)RX Mapping'!Z28&lt;=240), (-1)*('(橫掃)RX Mapping'!Z28-240),IF(AND('(橫掃)RX Mapping'!Z28&gt;=241,'(橫掃)RX Mapping'!Z28&lt;=360), ('(橫掃)RX Mapping'!Z28-241),IF(AND('(橫掃)RX Mapping'!Z28&gt;=361,'(橫掃)RX Mapping'!Z28&lt;=480), (-1)*('(橫掃)RX Mapping'!Z28-480),IF(AND('(橫掃)RX Mapping'!Z28&gt;=481,'(橫掃)RX Mapping'!Z28&lt;=600), ('(橫掃)RX Mapping'!Z28-361),IF(AND('(橫掃)RX Mapping'!Z28&gt;=601,'(橫掃)RX Mapping'!Z28&lt;=720), (-1)*('(橫掃)RX Mapping'!Z28-720)+120,IF(AND('(橫掃)RX Mapping'!Z28&gt;=721,'(橫掃)RX Mapping'!Z28&lt;=840), ('(橫掃)RX Mapping'!Z28-601),IF(AND('(橫掃)RX Mapping'!Z28&gt;=841,'(橫掃)RX Mapping'!Z28&lt;=960), (-1)*('(橫掃)RX Mapping'!Z28-960)+120,9999))))))))</f>
        <v>237</v>
      </c>
      <c r="AA28">
        <f>IF(AND('(橫掃)RX Mapping'!AA28&gt;=1,'(橫掃)RX Mapping'!AA28&lt;=120), ('(橫掃)RX Mapping'!AA28-1),IF(AND('(橫掃)RX Mapping'!AA28&gt;=121,'(橫掃)RX Mapping'!AA28&lt;=240), (-1)*('(橫掃)RX Mapping'!AA28-240),IF(AND('(橫掃)RX Mapping'!AA28&gt;=241,'(橫掃)RX Mapping'!AA28&lt;=360), ('(橫掃)RX Mapping'!AA28-241),IF(AND('(橫掃)RX Mapping'!AA28&gt;=361,'(橫掃)RX Mapping'!AA28&lt;=480), (-1)*('(橫掃)RX Mapping'!AA28-480),IF(AND('(橫掃)RX Mapping'!AA28&gt;=481,'(橫掃)RX Mapping'!AA28&lt;=600), ('(橫掃)RX Mapping'!AA28-361),IF(AND('(橫掃)RX Mapping'!AA28&gt;=601,'(橫掃)RX Mapping'!AA28&lt;=720), (-1)*('(橫掃)RX Mapping'!AA28-720)+120,IF(AND('(橫掃)RX Mapping'!AA28&gt;=721,'(橫掃)RX Mapping'!AA28&lt;=840), ('(橫掃)RX Mapping'!AA28-601),IF(AND('(橫掃)RX Mapping'!AA28&gt;=841,'(橫掃)RX Mapping'!AA28&lt;=960), (-1)*('(橫掃)RX Mapping'!AA28-960)+120,9999))))))))</f>
        <v>205</v>
      </c>
      <c r="AB28">
        <f>IF(AND('(橫掃)RX Mapping'!AB28&gt;=1,'(橫掃)RX Mapping'!AB28&lt;=120), ('(橫掃)RX Mapping'!AB28-1),IF(AND('(橫掃)RX Mapping'!AB28&gt;=121,'(橫掃)RX Mapping'!AB28&lt;=240), (-1)*('(橫掃)RX Mapping'!AB28-240),IF(AND('(橫掃)RX Mapping'!AB28&gt;=241,'(橫掃)RX Mapping'!AB28&lt;=360), ('(橫掃)RX Mapping'!AB28-241),IF(AND('(橫掃)RX Mapping'!AB28&gt;=361,'(橫掃)RX Mapping'!AB28&lt;=480), (-1)*('(橫掃)RX Mapping'!AB28-480),IF(AND('(橫掃)RX Mapping'!AB28&gt;=481,'(橫掃)RX Mapping'!AB28&lt;=600), ('(橫掃)RX Mapping'!AB28-361),IF(AND('(橫掃)RX Mapping'!AB28&gt;=601,'(橫掃)RX Mapping'!AB28&lt;=720), (-1)*('(橫掃)RX Mapping'!AB28-720)+120,IF(AND('(橫掃)RX Mapping'!AB28&gt;=721,'(橫掃)RX Mapping'!AB28&lt;=840), ('(橫掃)RX Mapping'!AB28-601),IF(AND('(橫掃)RX Mapping'!AB28&gt;=841,'(橫掃)RX Mapping'!AB28&lt;=960), (-1)*('(橫掃)RX Mapping'!AB28-960)+120,9999))))))))</f>
        <v>173</v>
      </c>
      <c r="AC28">
        <f>IF(AND('(橫掃)RX Mapping'!AC28&gt;=1,'(橫掃)RX Mapping'!AC28&lt;=120), ('(橫掃)RX Mapping'!AC28-1),IF(AND('(橫掃)RX Mapping'!AC28&gt;=121,'(橫掃)RX Mapping'!AC28&lt;=240), (-1)*('(橫掃)RX Mapping'!AC28-240),IF(AND('(橫掃)RX Mapping'!AC28&gt;=241,'(橫掃)RX Mapping'!AC28&lt;=360), ('(橫掃)RX Mapping'!AC28-241),IF(AND('(橫掃)RX Mapping'!AC28&gt;=361,'(橫掃)RX Mapping'!AC28&lt;=480), (-1)*('(橫掃)RX Mapping'!AC28-480),IF(AND('(橫掃)RX Mapping'!AC28&gt;=481,'(橫掃)RX Mapping'!AC28&lt;=600), ('(橫掃)RX Mapping'!AC28-361),IF(AND('(橫掃)RX Mapping'!AC28&gt;=601,'(橫掃)RX Mapping'!AC28&lt;=720), (-1)*('(橫掃)RX Mapping'!AC28-720)+120,IF(AND('(橫掃)RX Mapping'!AC28&gt;=721,'(橫掃)RX Mapping'!AC28&lt;=840), ('(橫掃)RX Mapping'!AC28-601),IF(AND('(橫掃)RX Mapping'!AC28&gt;=841,'(橫掃)RX Mapping'!AC28&lt;=960), (-1)*('(橫掃)RX Mapping'!AC28-960)+120,9999))))))))</f>
        <v>141</v>
      </c>
      <c r="AD28">
        <f>IF(AND('(橫掃)RX Mapping'!AD28&gt;=1,'(橫掃)RX Mapping'!AD28&lt;=120), ('(橫掃)RX Mapping'!AD28-1),IF(AND('(橫掃)RX Mapping'!AD28&gt;=121,'(橫掃)RX Mapping'!AD28&lt;=240), (-1)*('(橫掃)RX Mapping'!AD28-240),IF(AND('(橫掃)RX Mapping'!AD28&gt;=241,'(橫掃)RX Mapping'!AD28&lt;=360), ('(橫掃)RX Mapping'!AD28-241),IF(AND('(橫掃)RX Mapping'!AD28&gt;=361,'(橫掃)RX Mapping'!AD28&lt;=480), (-1)*('(橫掃)RX Mapping'!AD28-480),IF(AND('(橫掃)RX Mapping'!AD28&gt;=481,'(橫掃)RX Mapping'!AD28&lt;=600), ('(橫掃)RX Mapping'!AD28-361),IF(AND('(橫掃)RX Mapping'!AD28&gt;=601,'(橫掃)RX Mapping'!AD28&lt;=720), (-1)*('(橫掃)RX Mapping'!AD28-720)+120,IF(AND('(橫掃)RX Mapping'!AD28&gt;=721,'(橫掃)RX Mapping'!AD28&lt;=840), ('(橫掃)RX Mapping'!AD28-601),IF(AND('(橫掃)RX Mapping'!AD28&gt;=841,'(橫掃)RX Mapping'!AD28&lt;=960), (-1)*('(橫掃)RX Mapping'!AD28-960)+120,9999))))))))</f>
        <v>9999</v>
      </c>
      <c r="AE28">
        <f>IF(AND('(橫掃)RX Mapping'!AE28&gt;=1,'(橫掃)RX Mapping'!AE28&lt;=120), ('(橫掃)RX Mapping'!AE28-1),IF(AND('(橫掃)RX Mapping'!AE28&gt;=121,'(橫掃)RX Mapping'!AE28&lt;=240), (-1)*('(橫掃)RX Mapping'!AE28-240),IF(AND('(橫掃)RX Mapping'!AE28&gt;=241,'(橫掃)RX Mapping'!AE28&lt;=360), ('(橫掃)RX Mapping'!AE28-241),IF(AND('(橫掃)RX Mapping'!AE28&gt;=361,'(橫掃)RX Mapping'!AE28&lt;=480), (-1)*('(橫掃)RX Mapping'!AE28-480),IF(AND('(橫掃)RX Mapping'!AE28&gt;=481,'(橫掃)RX Mapping'!AE28&lt;=600), ('(橫掃)RX Mapping'!AE28-361),IF(AND('(橫掃)RX Mapping'!AE28&gt;=601,'(橫掃)RX Mapping'!AE28&lt;=720), (-1)*('(橫掃)RX Mapping'!AE28-720)+120,IF(AND('(橫掃)RX Mapping'!AE28&gt;=721,'(橫掃)RX Mapping'!AE28&lt;=840), ('(橫掃)RX Mapping'!AE28-601),IF(AND('(橫掃)RX Mapping'!AE28&gt;=841,'(橫掃)RX Mapping'!AE28&lt;=960), (-1)*('(橫掃)RX Mapping'!AE28-960)+120,9999))))))))</f>
        <v>9999</v>
      </c>
      <c r="AF28">
        <f>IF(AND('(橫掃)RX Mapping'!AF28&gt;=1,'(橫掃)RX Mapping'!AF28&lt;=120), ('(橫掃)RX Mapping'!AF28-1),IF(AND('(橫掃)RX Mapping'!AF28&gt;=121,'(橫掃)RX Mapping'!AF28&lt;=240), (-1)*('(橫掃)RX Mapping'!AF28-240),IF(AND('(橫掃)RX Mapping'!AF28&gt;=241,'(橫掃)RX Mapping'!AF28&lt;=360), ('(橫掃)RX Mapping'!AF28-241),IF(AND('(橫掃)RX Mapping'!AF28&gt;=361,'(橫掃)RX Mapping'!AF28&lt;=480), (-1)*('(橫掃)RX Mapping'!AF28-480),IF(AND('(橫掃)RX Mapping'!AF28&gt;=481,'(橫掃)RX Mapping'!AF28&lt;=600), ('(橫掃)RX Mapping'!AF28-361),IF(AND('(橫掃)RX Mapping'!AF28&gt;=601,'(橫掃)RX Mapping'!AF28&lt;=720), (-1)*('(橫掃)RX Mapping'!AF28-720)+120,IF(AND('(橫掃)RX Mapping'!AF28&gt;=721,'(橫掃)RX Mapping'!AF28&lt;=840), ('(橫掃)RX Mapping'!AF28-601),IF(AND('(橫掃)RX Mapping'!AF28&gt;=841,'(橫掃)RX Mapping'!AF28&lt;=960), (-1)*('(橫掃)RX Mapping'!AF28-960)+120,9999))))))))</f>
        <v>9999</v>
      </c>
      <c r="AG28">
        <f>IF(AND('(橫掃)RX Mapping'!AG28&gt;=1,'(橫掃)RX Mapping'!AG28&lt;=120), ('(橫掃)RX Mapping'!AG28-1),IF(AND('(橫掃)RX Mapping'!AG28&gt;=121,'(橫掃)RX Mapping'!AG28&lt;=240), (-1)*('(橫掃)RX Mapping'!AG28-240),IF(AND('(橫掃)RX Mapping'!AG28&gt;=241,'(橫掃)RX Mapping'!AG28&lt;=360), ('(橫掃)RX Mapping'!AG28-241),IF(AND('(橫掃)RX Mapping'!AG28&gt;=361,'(橫掃)RX Mapping'!AG28&lt;=480), (-1)*('(橫掃)RX Mapping'!AG28-480),IF(AND('(橫掃)RX Mapping'!AG28&gt;=481,'(橫掃)RX Mapping'!AG28&lt;=600), ('(橫掃)RX Mapping'!AG28-361),IF(AND('(橫掃)RX Mapping'!AG28&gt;=601,'(橫掃)RX Mapping'!AG28&lt;=720), (-1)*('(橫掃)RX Mapping'!AG28-720)+120,IF(AND('(橫掃)RX Mapping'!AG28&gt;=721,'(橫掃)RX Mapping'!AG28&lt;=840), ('(橫掃)RX Mapping'!AG28-601),IF(AND('(橫掃)RX Mapping'!AG28&gt;=841,'(橫掃)RX Mapping'!AG28&lt;=960), (-1)*('(橫掃)RX Mapping'!AG28-960)+120,9999))))))))</f>
        <v>9999</v>
      </c>
      <c r="AH28">
        <f>IF(AND('(橫掃)RX Mapping'!AH28&gt;=1,'(橫掃)RX Mapping'!AH28&lt;=120), ('(橫掃)RX Mapping'!AH28-1),IF(AND('(橫掃)RX Mapping'!AH28&gt;=121,'(橫掃)RX Mapping'!AH28&lt;=240), (-1)*('(橫掃)RX Mapping'!AH28-240),IF(AND('(橫掃)RX Mapping'!AH28&gt;=241,'(橫掃)RX Mapping'!AH28&lt;=360), ('(橫掃)RX Mapping'!AH28-241),IF(AND('(橫掃)RX Mapping'!AH28&gt;=361,'(橫掃)RX Mapping'!AH28&lt;=480), (-1)*('(橫掃)RX Mapping'!AH28-480),IF(AND('(橫掃)RX Mapping'!AH28&gt;=481,'(橫掃)RX Mapping'!AH28&lt;=600), ('(橫掃)RX Mapping'!AH28-361),IF(AND('(橫掃)RX Mapping'!AH28&gt;=601,'(橫掃)RX Mapping'!AH28&lt;=720), (-1)*('(橫掃)RX Mapping'!AH28-720)+120,IF(AND('(橫掃)RX Mapping'!AH28&gt;=721,'(橫掃)RX Mapping'!AH28&lt;=840), ('(橫掃)RX Mapping'!AH28-601),IF(AND('(橫掃)RX Mapping'!AH28&gt;=841,'(橫掃)RX Mapping'!AH28&lt;=960), (-1)*('(橫掃)RX Mapping'!AH28-960)+120,9999))))))))</f>
        <v>9999</v>
      </c>
      <c r="AI28">
        <f>IF(AND('(橫掃)RX Mapping'!AI28&gt;=1,'(橫掃)RX Mapping'!AI28&lt;=120), ('(橫掃)RX Mapping'!AI28-1),IF(AND('(橫掃)RX Mapping'!AI28&gt;=121,'(橫掃)RX Mapping'!AI28&lt;=240), (-1)*('(橫掃)RX Mapping'!AI28-240),IF(AND('(橫掃)RX Mapping'!AI28&gt;=241,'(橫掃)RX Mapping'!AI28&lt;=360), ('(橫掃)RX Mapping'!AI28-241),IF(AND('(橫掃)RX Mapping'!AI28&gt;=361,'(橫掃)RX Mapping'!AI28&lt;=480), (-1)*('(橫掃)RX Mapping'!AI28-480),IF(AND('(橫掃)RX Mapping'!AI28&gt;=481,'(橫掃)RX Mapping'!AI28&lt;=600), ('(橫掃)RX Mapping'!AI28-361),IF(AND('(橫掃)RX Mapping'!AI28&gt;=601,'(橫掃)RX Mapping'!AI28&lt;=720), (-1)*('(橫掃)RX Mapping'!AI28-720)+120,IF(AND('(橫掃)RX Mapping'!AI28&gt;=721,'(橫掃)RX Mapping'!AI28&lt;=840), ('(橫掃)RX Mapping'!AI28-601),IF(AND('(橫掃)RX Mapping'!AI28&gt;=841,'(橫掃)RX Mapping'!AI28&lt;=960), (-1)*('(橫掃)RX Mapping'!AI28-960)+120,9999))))))))</f>
        <v>9999</v>
      </c>
      <c r="AJ28">
        <f>IF(AND('(橫掃)RX Mapping'!AJ28&gt;=1,'(橫掃)RX Mapping'!AJ28&lt;=120), ('(橫掃)RX Mapping'!AJ28-1),IF(AND('(橫掃)RX Mapping'!AJ28&gt;=121,'(橫掃)RX Mapping'!AJ28&lt;=240), (-1)*('(橫掃)RX Mapping'!AJ28-240),IF(AND('(橫掃)RX Mapping'!AJ28&gt;=241,'(橫掃)RX Mapping'!AJ28&lt;=360), ('(橫掃)RX Mapping'!AJ28-241),IF(AND('(橫掃)RX Mapping'!AJ28&gt;=361,'(橫掃)RX Mapping'!AJ28&lt;=480), (-1)*('(橫掃)RX Mapping'!AJ28-480),IF(AND('(橫掃)RX Mapping'!AJ28&gt;=481,'(橫掃)RX Mapping'!AJ28&lt;=600), ('(橫掃)RX Mapping'!AJ28-361),IF(AND('(橫掃)RX Mapping'!AJ28&gt;=601,'(橫掃)RX Mapping'!AJ28&lt;=720), (-1)*('(橫掃)RX Mapping'!AJ28-720)+120,IF(AND('(橫掃)RX Mapping'!AJ28&gt;=721,'(橫掃)RX Mapping'!AJ28&lt;=840), ('(橫掃)RX Mapping'!AJ28-601),IF(AND('(橫掃)RX Mapping'!AJ28&gt;=841,'(橫掃)RX Mapping'!AJ28&lt;=960), (-1)*('(橫掃)RX Mapping'!AJ28-960)+120,9999))))))))</f>
        <v>9999</v>
      </c>
      <c r="AK28">
        <f>IF(AND('(橫掃)RX Mapping'!AK28&gt;=1,'(橫掃)RX Mapping'!AK28&lt;=120), ('(橫掃)RX Mapping'!AK28-1),IF(AND('(橫掃)RX Mapping'!AK28&gt;=121,'(橫掃)RX Mapping'!AK28&lt;=240), (-1)*('(橫掃)RX Mapping'!AK28-240),IF(AND('(橫掃)RX Mapping'!AK28&gt;=241,'(橫掃)RX Mapping'!AK28&lt;=360), ('(橫掃)RX Mapping'!AK28-241),IF(AND('(橫掃)RX Mapping'!AK28&gt;=361,'(橫掃)RX Mapping'!AK28&lt;=480), (-1)*('(橫掃)RX Mapping'!AK28-480),IF(AND('(橫掃)RX Mapping'!AK28&gt;=481,'(橫掃)RX Mapping'!AK28&lt;=600), ('(橫掃)RX Mapping'!AK28-361),IF(AND('(橫掃)RX Mapping'!AK28&gt;=601,'(橫掃)RX Mapping'!AK28&lt;=720), (-1)*('(橫掃)RX Mapping'!AK28-720)+120,IF(AND('(橫掃)RX Mapping'!AK28&gt;=721,'(橫掃)RX Mapping'!AK28&lt;=840), ('(橫掃)RX Mapping'!AK28-601),IF(AND('(橫掃)RX Mapping'!AK28&gt;=841,'(橫掃)RX Mapping'!AK28&lt;=960), (-1)*('(橫掃)RX Mapping'!AK28-960)+120,9999))))))))</f>
        <v>9999</v>
      </c>
      <c r="AL28">
        <f>IF(AND('(橫掃)RX Mapping'!AL28&gt;=1,'(橫掃)RX Mapping'!AL28&lt;=120), ('(橫掃)RX Mapping'!AL28-1),IF(AND('(橫掃)RX Mapping'!AL28&gt;=121,'(橫掃)RX Mapping'!AL28&lt;=240), (-1)*('(橫掃)RX Mapping'!AL28-240),IF(AND('(橫掃)RX Mapping'!AL28&gt;=241,'(橫掃)RX Mapping'!AL28&lt;=360), ('(橫掃)RX Mapping'!AL28-241),IF(AND('(橫掃)RX Mapping'!AL28&gt;=361,'(橫掃)RX Mapping'!AL28&lt;=480), (-1)*('(橫掃)RX Mapping'!AL28-480),IF(AND('(橫掃)RX Mapping'!AL28&gt;=481,'(橫掃)RX Mapping'!AL28&lt;=600), ('(橫掃)RX Mapping'!AL28-361),IF(AND('(橫掃)RX Mapping'!AL28&gt;=601,'(橫掃)RX Mapping'!AL28&lt;=720), (-1)*('(橫掃)RX Mapping'!AL28-720)+120,IF(AND('(橫掃)RX Mapping'!AL28&gt;=721,'(橫掃)RX Mapping'!AL28&lt;=840), ('(橫掃)RX Mapping'!AL28-601),IF(AND('(橫掃)RX Mapping'!AL28&gt;=841,'(橫掃)RX Mapping'!AL28&lt;=960), (-1)*('(橫掃)RX Mapping'!AL28-960)+120,9999))))))))</f>
        <v>9999</v>
      </c>
      <c r="AM28">
        <f>IF(AND('(橫掃)RX Mapping'!AM28&gt;=1,'(橫掃)RX Mapping'!AM28&lt;=120), ('(橫掃)RX Mapping'!AM28-1),IF(AND('(橫掃)RX Mapping'!AM28&gt;=121,'(橫掃)RX Mapping'!AM28&lt;=240), (-1)*('(橫掃)RX Mapping'!AM28-240),IF(AND('(橫掃)RX Mapping'!AM28&gt;=241,'(橫掃)RX Mapping'!AM28&lt;=360), ('(橫掃)RX Mapping'!AM28-241),IF(AND('(橫掃)RX Mapping'!AM28&gt;=361,'(橫掃)RX Mapping'!AM28&lt;=480), (-1)*('(橫掃)RX Mapping'!AM28-480),IF(AND('(橫掃)RX Mapping'!AM28&gt;=481,'(橫掃)RX Mapping'!AM28&lt;=600), ('(橫掃)RX Mapping'!AM28-361),IF(AND('(橫掃)RX Mapping'!AM28&gt;=601,'(橫掃)RX Mapping'!AM28&lt;=720), (-1)*('(橫掃)RX Mapping'!AM28-720)+120,IF(AND('(橫掃)RX Mapping'!AM28&gt;=721,'(橫掃)RX Mapping'!AM28&lt;=840), ('(橫掃)RX Mapping'!AM28-601),IF(AND('(橫掃)RX Mapping'!AM28&gt;=841,'(橫掃)RX Mapping'!AM28&lt;=960), (-1)*('(橫掃)RX Mapping'!AM28-960)+120,9999))))))))</f>
        <v>9999</v>
      </c>
      <c r="AN28">
        <f>IF(AND('(橫掃)RX Mapping'!AN28&gt;=1,'(橫掃)RX Mapping'!AN28&lt;=120), ('(橫掃)RX Mapping'!AN28-1),IF(AND('(橫掃)RX Mapping'!AN28&gt;=121,'(橫掃)RX Mapping'!AN28&lt;=240), (-1)*('(橫掃)RX Mapping'!AN28-240),IF(AND('(橫掃)RX Mapping'!AN28&gt;=241,'(橫掃)RX Mapping'!AN28&lt;=360), ('(橫掃)RX Mapping'!AN28-241),IF(AND('(橫掃)RX Mapping'!AN28&gt;=361,'(橫掃)RX Mapping'!AN28&lt;=480), (-1)*('(橫掃)RX Mapping'!AN28-480),IF(AND('(橫掃)RX Mapping'!AN28&gt;=481,'(橫掃)RX Mapping'!AN28&lt;=600), ('(橫掃)RX Mapping'!AN28-361),IF(AND('(橫掃)RX Mapping'!AN28&gt;=601,'(橫掃)RX Mapping'!AN28&lt;=720), (-1)*('(橫掃)RX Mapping'!AN28-720)+120,IF(AND('(橫掃)RX Mapping'!AN28&gt;=721,'(橫掃)RX Mapping'!AN28&lt;=840), ('(橫掃)RX Mapping'!AN28-601),IF(AND('(橫掃)RX Mapping'!AN28&gt;=841,'(橫掃)RX Mapping'!AN28&lt;=960), (-1)*('(橫掃)RX Mapping'!AN28-960)+120,9999))))))))</f>
        <v>9999</v>
      </c>
      <c r="AO28">
        <f>IF(AND('(橫掃)RX Mapping'!AO28&gt;=1,'(橫掃)RX Mapping'!AO28&lt;=120), ('(橫掃)RX Mapping'!AO28-1),IF(AND('(橫掃)RX Mapping'!AO28&gt;=121,'(橫掃)RX Mapping'!AO28&lt;=240), (-1)*('(橫掃)RX Mapping'!AO28-240),IF(AND('(橫掃)RX Mapping'!AO28&gt;=241,'(橫掃)RX Mapping'!AO28&lt;=360), ('(橫掃)RX Mapping'!AO28-241),IF(AND('(橫掃)RX Mapping'!AO28&gt;=361,'(橫掃)RX Mapping'!AO28&lt;=480), (-1)*('(橫掃)RX Mapping'!AO28-480),IF(AND('(橫掃)RX Mapping'!AO28&gt;=481,'(橫掃)RX Mapping'!AO28&lt;=600), ('(橫掃)RX Mapping'!AO28-361),IF(AND('(橫掃)RX Mapping'!AO28&gt;=601,'(橫掃)RX Mapping'!AO28&lt;=720), (-1)*('(橫掃)RX Mapping'!AO28-720)+120,IF(AND('(橫掃)RX Mapping'!AO28&gt;=721,'(橫掃)RX Mapping'!AO28&lt;=840), ('(橫掃)RX Mapping'!AO28-601),IF(AND('(橫掃)RX Mapping'!AO28&gt;=841,'(橫掃)RX Mapping'!AO28&lt;=960), (-1)*('(橫掃)RX Mapping'!AO28-960)+120,9999))))))))</f>
        <v>9999</v>
      </c>
      <c r="AP28">
        <f>IF(AND('(橫掃)RX Mapping'!AP28&gt;=1,'(橫掃)RX Mapping'!AP28&lt;=120), ('(橫掃)RX Mapping'!AP28-1),IF(AND('(橫掃)RX Mapping'!AP28&gt;=121,'(橫掃)RX Mapping'!AP28&lt;=240), (-1)*('(橫掃)RX Mapping'!AP28-240),IF(AND('(橫掃)RX Mapping'!AP28&gt;=241,'(橫掃)RX Mapping'!AP28&lt;=360), ('(橫掃)RX Mapping'!AP28-241),IF(AND('(橫掃)RX Mapping'!AP28&gt;=361,'(橫掃)RX Mapping'!AP28&lt;=480), (-1)*('(橫掃)RX Mapping'!AP28-480),IF(AND('(橫掃)RX Mapping'!AP28&gt;=481,'(橫掃)RX Mapping'!AP28&lt;=600), ('(橫掃)RX Mapping'!AP28-361),IF(AND('(橫掃)RX Mapping'!AP28&gt;=601,'(橫掃)RX Mapping'!AP28&lt;=720), (-1)*('(橫掃)RX Mapping'!AP28-720)+120,IF(AND('(橫掃)RX Mapping'!AP28&gt;=721,'(橫掃)RX Mapping'!AP28&lt;=840), ('(橫掃)RX Mapping'!AP28-601),IF(AND('(橫掃)RX Mapping'!AP28&gt;=841,'(橫掃)RX Mapping'!AP28&lt;=960), (-1)*('(橫掃)RX Mapping'!AP28-960)+120,9999))))))))</f>
        <v>9999</v>
      </c>
      <c r="AQ28">
        <f>IF(AND('(橫掃)RX Mapping'!AQ28&gt;=1,'(橫掃)RX Mapping'!AQ28&lt;=120), ('(橫掃)RX Mapping'!AQ28-1),IF(AND('(橫掃)RX Mapping'!AQ28&gt;=121,'(橫掃)RX Mapping'!AQ28&lt;=240), (-1)*('(橫掃)RX Mapping'!AQ28-240),IF(AND('(橫掃)RX Mapping'!AQ28&gt;=241,'(橫掃)RX Mapping'!AQ28&lt;=360), ('(橫掃)RX Mapping'!AQ28-241),IF(AND('(橫掃)RX Mapping'!AQ28&gt;=361,'(橫掃)RX Mapping'!AQ28&lt;=480), (-1)*('(橫掃)RX Mapping'!AQ28-480),IF(AND('(橫掃)RX Mapping'!AQ28&gt;=481,'(橫掃)RX Mapping'!AQ28&lt;=600), ('(橫掃)RX Mapping'!AQ28-361),IF(AND('(橫掃)RX Mapping'!AQ28&gt;=601,'(橫掃)RX Mapping'!AQ28&lt;=720), (-1)*('(橫掃)RX Mapping'!AQ28-720)+120,IF(AND('(橫掃)RX Mapping'!AQ28&gt;=721,'(橫掃)RX Mapping'!AQ28&lt;=840), ('(橫掃)RX Mapping'!AQ28-601),IF(AND('(橫掃)RX Mapping'!AQ28&gt;=841,'(橫掃)RX Mapping'!AQ28&lt;=960), (-1)*('(橫掃)RX Mapping'!AQ28-960)+120,9999))))))))</f>
        <v>9999</v>
      </c>
      <c r="AR28">
        <f>IF(AND('(橫掃)RX Mapping'!AR28&gt;=1,'(橫掃)RX Mapping'!AR28&lt;=120), ('(橫掃)RX Mapping'!AR28-1),IF(AND('(橫掃)RX Mapping'!AR28&gt;=121,'(橫掃)RX Mapping'!AR28&lt;=240), (-1)*('(橫掃)RX Mapping'!AR28-240),IF(AND('(橫掃)RX Mapping'!AR28&gt;=241,'(橫掃)RX Mapping'!AR28&lt;=360), ('(橫掃)RX Mapping'!AR28-241),IF(AND('(橫掃)RX Mapping'!AR28&gt;=361,'(橫掃)RX Mapping'!AR28&lt;=480), (-1)*('(橫掃)RX Mapping'!AR28-480),IF(AND('(橫掃)RX Mapping'!AR28&gt;=481,'(橫掃)RX Mapping'!AR28&lt;=600), ('(橫掃)RX Mapping'!AR28-361),IF(AND('(橫掃)RX Mapping'!AR28&gt;=601,'(橫掃)RX Mapping'!AR28&lt;=720), (-1)*('(橫掃)RX Mapping'!AR28-720)+120,IF(AND('(橫掃)RX Mapping'!AR28&gt;=721,'(橫掃)RX Mapping'!AR28&lt;=840), ('(橫掃)RX Mapping'!AR28-601),IF(AND('(橫掃)RX Mapping'!AR28&gt;=841,'(橫掃)RX Mapping'!AR28&lt;=960), (-1)*('(橫掃)RX Mapping'!AR28-960)+120,9999))))))))</f>
        <v>9999</v>
      </c>
      <c r="AS28">
        <f>IF(AND('(橫掃)RX Mapping'!AS28&gt;=1,'(橫掃)RX Mapping'!AS28&lt;=120), ('(橫掃)RX Mapping'!AS28-1),IF(AND('(橫掃)RX Mapping'!AS28&gt;=121,'(橫掃)RX Mapping'!AS28&lt;=240), (-1)*('(橫掃)RX Mapping'!AS28-240),IF(AND('(橫掃)RX Mapping'!AS28&gt;=241,'(橫掃)RX Mapping'!AS28&lt;=360), ('(橫掃)RX Mapping'!AS28-241),IF(AND('(橫掃)RX Mapping'!AS28&gt;=361,'(橫掃)RX Mapping'!AS28&lt;=480), (-1)*('(橫掃)RX Mapping'!AS28-480),IF(AND('(橫掃)RX Mapping'!AS28&gt;=481,'(橫掃)RX Mapping'!AS28&lt;=600), ('(橫掃)RX Mapping'!AS28-361),IF(AND('(橫掃)RX Mapping'!AS28&gt;=601,'(橫掃)RX Mapping'!AS28&lt;=720), (-1)*('(橫掃)RX Mapping'!AS28-720)+120,IF(AND('(橫掃)RX Mapping'!AS28&gt;=721,'(橫掃)RX Mapping'!AS28&lt;=840), ('(橫掃)RX Mapping'!AS28-601),IF(AND('(橫掃)RX Mapping'!AS28&gt;=841,'(橫掃)RX Mapping'!AS28&lt;=960), (-1)*('(橫掃)RX Mapping'!AS28-960)+120,9999))))))))</f>
        <v>9999</v>
      </c>
      <c r="AT28">
        <f>IF(AND('(橫掃)RX Mapping'!AT28&gt;=1,'(橫掃)RX Mapping'!AT28&lt;=120), ('(橫掃)RX Mapping'!AT28-1),IF(AND('(橫掃)RX Mapping'!AT28&gt;=121,'(橫掃)RX Mapping'!AT28&lt;=240), (-1)*('(橫掃)RX Mapping'!AT28-240),IF(AND('(橫掃)RX Mapping'!AT28&gt;=241,'(橫掃)RX Mapping'!AT28&lt;=360), ('(橫掃)RX Mapping'!AT28-241),IF(AND('(橫掃)RX Mapping'!AT28&gt;=361,'(橫掃)RX Mapping'!AT28&lt;=480), (-1)*('(橫掃)RX Mapping'!AT28-480),IF(AND('(橫掃)RX Mapping'!AT28&gt;=481,'(橫掃)RX Mapping'!AT28&lt;=600), ('(橫掃)RX Mapping'!AT28-361),IF(AND('(橫掃)RX Mapping'!AT28&gt;=601,'(橫掃)RX Mapping'!AT28&lt;=720), (-1)*('(橫掃)RX Mapping'!AT28-720)+120,IF(AND('(橫掃)RX Mapping'!AT28&gt;=721,'(橫掃)RX Mapping'!AT28&lt;=840), ('(橫掃)RX Mapping'!AT28-601),IF(AND('(橫掃)RX Mapping'!AT28&gt;=841,'(橫掃)RX Mapping'!AT28&lt;=960), (-1)*('(橫掃)RX Mapping'!AT28-960)+120,9999))))))))</f>
        <v>9999</v>
      </c>
      <c r="AU28">
        <f>IF(AND('(橫掃)RX Mapping'!AU28&gt;=1,'(橫掃)RX Mapping'!AU28&lt;=120), ('(橫掃)RX Mapping'!AU28-1),IF(AND('(橫掃)RX Mapping'!AU28&gt;=121,'(橫掃)RX Mapping'!AU28&lt;=240), (-1)*('(橫掃)RX Mapping'!AU28-240),IF(AND('(橫掃)RX Mapping'!AU28&gt;=241,'(橫掃)RX Mapping'!AU28&lt;=360), ('(橫掃)RX Mapping'!AU28-241),IF(AND('(橫掃)RX Mapping'!AU28&gt;=361,'(橫掃)RX Mapping'!AU28&lt;=480), (-1)*('(橫掃)RX Mapping'!AU28-480),IF(AND('(橫掃)RX Mapping'!AU28&gt;=481,'(橫掃)RX Mapping'!AU28&lt;=600), ('(橫掃)RX Mapping'!AU28-361),IF(AND('(橫掃)RX Mapping'!AU28&gt;=601,'(橫掃)RX Mapping'!AU28&lt;=720), (-1)*('(橫掃)RX Mapping'!AU28-720)+120,IF(AND('(橫掃)RX Mapping'!AU28&gt;=721,'(橫掃)RX Mapping'!AU28&lt;=840), ('(橫掃)RX Mapping'!AU28-601),IF(AND('(橫掃)RX Mapping'!AU28&gt;=841,'(橫掃)RX Mapping'!AU28&lt;=960), (-1)*('(橫掃)RX Mapping'!AU28-960)+120,9999))))))))</f>
        <v>9999</v>
      </c>
      <c r="AV28">
        <f>IF(AND('(橫掃)RX Mapping'!AV28&gt;=1,'(橫掃)RX Mapping'!AV28&lt;=120), ('(橫掃)RX Mapping'!AV28-1),IF(AND('(橫掃)RX Mapping'!AV28&gt;=121,'(橫掃)RX Mapping'!AV28&lt;=240), (-1)*('(橫掃)RX Mapping'!AV28-240),IF(AND('(橫掃)RX Mapping'!AV28&gt;=241,'(橫掃)RX Mapping'!AV28&lt;=360), ('(橫掃)RX Mapping'!AV28-241),IF(AND('(橫掃)RX Mapping'!AV28&gt;=361,'(橫掃)RX Mapping'!AV28&lt;=480), (-1)*('(橫掃)RX Mapping'!AV28-480),IF(AND('(橫掃)RX Mapping'!AV28&gt;=481,'(橫掃)RX Mapping'!AV28&lt;=600), ('(橫掃)RX Mapping'!AV28-361),IF(AND('(橫掃)RX Mapping'!AV28&gt;=601,'(橫掃)RX Mapping'!AV28&lt;=720), (-1)*('(橫掃)RX Mapping'!AV28-720)+120,IF(AND('(橫掃)RX Mapping'!AV28&gt;=721,'(橫掃)RX Mapping'!AV28&lt;=840), ('(橫掃)RX Mapping'!AV28-601),IF(AND('(橫掃)RX Mapping'!AV28&gt;=841,'(橫掃)RX Mapping'!AV28&lt;=960), (-1)*('(橫掃)RX Mapping'!AV28-960)+120,9999))))))))</f>
        <v>9999</v>
      </c>
      <c r="AW28">
        <f>IF(AND('(橫掃)RX Mapping'!AW28&gt;=1,'(橫掃)RX Mapping'!AW28&lt;=120), ('(橫掃)RX Mapping'!AW28-1),IF(AND('(橫掃)RX Mapping'!AW28&gt;=121,'(橫掃)RX Mapping'!AW28&lt;=240), (-1)*('(橫掃)RX Mapping'!AW28-240),IF(AND('(橫掃)RX Mapping'!AW28&gt;=241,'(橫掃)RX Mapping'!AW28&lt;=360), ('(橫掃)RX Mapping'!AW28-241),IF(AND('(橫掃)RX Mapping'!AW28&gt;=361,'(橫掃)RX Mapping'!AW28&lt;=480), (-1)*('(橫掃)RX Mapping'!AW28-480),IF(AND('(橫掃)RX Mapping'!AW28&gt;=481,'(橫掃)RX Mapping'!AW28&lt;=600), ('(橫掃)RX Mapping'!AW28-361),IF(AND('(橫掃)RX Mapping'!AW28&gt;=601,'(橫掃)RX Mapping'!AW28&lt;=720), (-1)*('(橫掃)RX Mapping'!AW28-720)+120,IF(AND('(橫掃)RX Mapping'!AW28&gt;=721,'(橫掃)RX Mapping'!AW28&lt;=840), ('(橫掃)RX Mapping'!AW28-601),IF(AND('(橫掃)RX Mapping'!AW28&gt;=841,'(橫掃)RX Mapping'!AW28&lt;=960), (-1)*('(橫掃)RX Mapping'!AW28-960)+120,9999))))))))</f>
        <v>9999</v>
      </c>
      <c r="AX28">
        <f>IF(AND('(橫掃)RX Mapping'!AX28&gt;=1,'(橫掃)RX Mapping'!AX28&lt;=120), ('(橫掃)RX Mapping'!AX28-1),IF(AND('(橫掃)RX Mapping'!AX28&gt;=121,'(橫掃)RX Mapping'!AX28&lt;=240), (-1)*('(橫掃)RX Mapping'!AX28-240),IF(AND('(橫掃)RX Mapping'!AX28&gt;=241,'(橫掃)RX Mapping'!AX28&lt;=360), ('(橫掃)RX Mapping'!AX28-241),IF(AND('(橫掃)RX Mapping'!AX28&gt;=361,'(橫掃)RX Mapping'!AX28&lt;=480), (-1)*('(橫掃)RX Mapping'!AX28-480),IF(AND('(橫掃)RX Mapping'!AX28&gt;=481,'(橫掃)RX Mapping'!AX28&lt;=600), ('(橫掃)RX Mapping'!AX28-361),IF(AND('(橫掃)RX Mapping'!AX28&gt;=601,'(橫掃)RX Mapping'!AX28&lt;=720), (-1)*('(橫掃)RX Mapping'!AX28-720)+120,IF(AND('(橫掃)RX Mapping'!AX28&gt;=721,'(橫掃)RX Mapping'!AX28&lt;=840), ('(橫掃)RX Mapping'!AX28-601),IF(AND('(橫掃)RX Mapping'!AX28&gt;=841,'(橫掃)RX Mapping'!AX28&lt;=960), (-1)*('(橫掃)RX Mapping'!AX28-960)+120,9999))))))))</f>
        <v>9999</v>
      </c>
      <c r="AY28">
        <f>IF(AND('(橫掃)RX Mapping'!AY28&gt;=1,'(橫掃)RX Mapping'!AY28&lt;=120), ('(橫掃)RX Mapping'!AY28-1),IF(AND('(橫掃)RX Mapping'!AY28&gt;=121,'(橫掃)RX Mapping'!AY28&lt;=240), (-1)*('(橫掃)RX Mapping'!AY28-240),IF(AND('(橫掃)RX Mapping'!AY28&gt;=241,'(橫掃)RX Mapping'!AY28&lt;=360), ('(橫掃)RX Mapping'!AY28-241),IF(AND('(橫掃)RX Mapping'!AY28&gt;=361,'(橫掃)RX Mapping'!AY28&lt;=480), (-1)*('(橫掃)RX Mapping'!AY28-480),IF(AND('(橫掃)RX Mapping'!AY28&gt;=481,'(橫掃)RX Mapping'!AY28&lt;=600), ('(橫掃)RX Mapping'!AY28-361),IF(AND('(橫掃)RX Mapping'!AY28&gt;=601,'(橫掃)RX Mapping'!AY28&lt;=720), (-1)*('(橫掃)RX Mapping'!AY28-720)+120,IF(AND('(橫掃)RX Mapping'!AY28&gt;=721,'(橫掃)RX Mapping'!AY28&lt;=840), ('(橫掃)RX Mapping'!AY28-601),IF(AND('(橫掃)RX Mapping'!AY28&gt;=841,'(橫掃)RX Mapping'!AY28&lt;=960), (-1)*('(橫掃)RX Mapping'!AY28-960)+120,9999))))))))</f>
        <v>9999</v>
      </c>
      <c r="AZ28">
        <f>IF(AND('(橫掃)RX Mapping'!AZ28&gt;=1,'(橫掃)RX Mapping'!AZ28&lt;=120), ('(橫掃)RX Mapping'!AZ28-1),IF(AND('(橫掃)RX Mapping'!AZ28&gt;=121,'(橫掃)RX Mapping'!AZ28&lt;=240), (-1)*('(橫掃)RX Mapping'!AZ28-240),IF(AND('(橫掃)RX Mapping'!AZ28&gt;=241,'(橫掃)RX Mapping'!AZ28&lt;=360), ('(橫掃)RX Mapping'!AZ28-241),IF(AND('(橫掃)RX Mapping'!AZ28&gt;=361,'(橫掃)RX Mapping'!AZ28&lt;=480), (-1)*('(橫掃)RX Mapping'!AZ28-480),IF(AND('(橫掃)RX Mapping'!AZ28&gt;=481,'(橫掃)RX Mapping'!AZ28&lt;=600), ('(橫掃)RX Mapping'!AZ28-361),IF(AND('(橫掃)RX Mapping'!AZ28&gt;=601,'(橫掃)RX Mapping'!AZ28&lt;=720), (-1)*('(橫掃)RX Mapping'!AZ28-720)+120,IF(AND('(橫掃)RX Mapping'!AZ28&gt;=721,'(橫掃)RX Mapping'!AZ28&lt;=840), ('(橫掃)RX Mapping'!AZ28-601),IF(AND('(橫掃)RX Mapping'!AZ28&gt;=841,'(橫掃)RX Mapping'!AZ28&lt;=960), (-1)*('(橫掃)RX Mapping'!AZ28-960)+120,9999))))))))</f>
        <v>9999</v>
      </c>
      <c r="BA28">
        <f>IF(AND('(橫掃)RX Mapping'!BA28&gt;=1,'(橫掃)RX Mapping'!BA28&lt;=120), ('(橫掃)RX Mapping'!BA28-1),IF(AND('(橫掃)RX Mapping'!BA28&gt;=121,'(橫掃)RX Mapping'!BA28&lt;=240), (-1)*('(橫掃)RX Mapping'!BA28-240),IF(AND('(橫掃)RX Mapping'!BA28&gt;=241,'(橫掃)RX Mapping'!BA28&lt;=360), ('(橫掃)RX Mapping'!BA28-241),IF(AND('(橫掃)RX Mapping'!BA28&gt;=361,'(橫掃)RX Mapping'!BA28&lt;=480), (-1)*('(橫掃)RX Mapping'!BA28-480),IF(AND('(橫掃)RX Mapping'!BA28&gt;=481,'(橫掃)RX Mapping'!BA28&lt;=600), ('(橫掃)RX Mapping'!BA28-361),IF(AND('(橫掃)RX Mapping'!BA28&gt;=601,'(橫掃)RX Mapping'!BA28&lt;=720), (-1)*('(橫掃)RX Mapping'!BA28-720)+120,IF(AND('(橫掃)RX Mapping'!BA28&gt;=721,'(橫掃)RX Mapping'!BA28&lt;=840), ('(橫掃)RX Mapping'!BA28-601),IF(AND('(橫掃)RX Mapping'!BA28&gt;=841,'(橫掃)RX Mapping'!BA28&lt;=960), (-1)*('(橫掃)RX Mapping'!BA28-960)+120,9999))))))))</f>
        <v>9999</v>
      </c>
      <c r="BB28">
        <f>IF(AND('(橫掃)RX Mapping'!BB28&gt;=1,'(橫掃)RX Mapping'!BB28&lt;=120), ('(橫掃)RX Mapping'!BB28-1),IF(AND('(橫掃)RX Mapping'!BB28&gt;=121,'(橫掃)RX Mapping'!BB28&lt;=240), (-1)*('(橫掃)RX Mapping'!BB28-240),IF(AND('(橫掃)RX Mapping'!BB28&gt;=241,'(橫掃)RX Mapping'!BB28&lt;=360), ('(橫掃)RX Mapping'!BB28-241),IF(AND('(橫掃)RX Mapping'!BB28&gt;=361,'(橫掃)RX Mapping'!BB28&lt;=480), (-1)*('(橫掃)RX Mapping'!BB28-480),IF(AND('(橫掃)RX Mapping'!BB28&gt;=481,'(橫掃)RX Mapping'!BB28&lt;=600), ('(橫掃)RX Mapping'!BB28-361),IF(AND('(橫掃)RX Mapping'!BB28&gt;=601,'(橫掃)RX Mapping'!BB28&lt;=720), (-1)*('(橫掃)RX Mapping'!BB28-720)+120,IF(AND('(橫掃)RX Mapping'!BB28&gt;=721,'(橫掃)RX Mapping'!BB28&lt;=840), ('(橫掃)RX Mapping'!BB28-601),IF(AND('(橫掃)RX Mapping'!BB28&gt;=841,'(橫掃)RX Mapping'!BB28&lt;=960), (-1)*('(橫掃)RX Mapping'!BB28-960)+120,9999))))))))</f>
        <v>9999</v>
      </c>
      <c r="BC28">
        <f>IF(AND('(橫掃)RX Mapping'!BC28&gt;=1,'(橫掃)RX Mapping'!BC28&lt;=120), ('(橫掃)RX Mapping'!BC28-1),IF(AND('(橫掃)RX Mapping'!BC28&gt;=121,'(橫掃)RX Mapping'!BC28&lt;=240), (-1)*('(橫掃)RX Mapping'!BC28-240),IF(AND('(橫掃)RX Mapping'!BC28&gt;=241,'(橫掃)RX Mapping'!BC28&lt;=360), ('(橫掃)RX Mapping'!BC28-241),IF(AND('(橫掃)RX Mapping'!BC28&gt;=361,'(橫掃)RX Mapping'!BC28&lt;=480), (-1)*('(橫掃)RX Mapping'!BC28-480),IF(AND('(橫掃)RX Mapping'!BC28&gt;=481,'(橫掃)RX Mapping'!BC28&lt;=600), ('(橫掃)RX Mapping'!BC28-361),IF(AND('(橫掃)RX Mapping'!BC28&gt;=601,'(橫掃)RX Mapping'!BC28&lt;=720), (-1)*('(橫掃)RX Mapping'!BC28-720)+120,IF(AND('(橫掃)RX Mapping'!BC28&gt;=721,'(橫掃)RX Mapping'!BC28&lt;=840), ('(橫掃)RX Mapping'!BC28-601),IF(AND('(橫掃)RX Mapping'!BC28&gt;=841,'(橫掃)RX Mapping'!BC28&lt;=960), (-1)*('(橫掃)RX Mapping'!BC28-960)+120,9999))))))))</f>
        <v>9999</v>
      </c>
      <c r="BD28">
        <f>IF(AND('(橫掃)RX Mapping'!BD28&gt;=1,'(橫掃)RX Mapping'!BD28&lt;=120), ('(橫掃)RX Mapping'!BD28-1),IF(AND('(橫掃)RX Mapping'!BD28&gt;=121,'(橫掃)RX Mapping'!BD28&lt;=240), (-1)*('(橫掃)RX Mapping'!BD28-240),IF(AND('(橫掃)RX Mapping'!BD28&gt;=241,'(橫掃)RX Mapping'!BD28&lt;=360), ('(橫掃)RX Mapping'!BD28-241),IF(AND('(橫掃)RX Mapping'!BD28&gt;=361,'(橫掃)RX Mapping'!BD28&lt;=480), (-1)*('(橫掃)RX Mapping'!BD28-480),IF(AND('(橫掃)RX Mapping'!BD28&gt;=481,'(橫掃)RX Mapping'!BD28&lt;=600), ('(橫掃)RX Mapping'!BD28-361),IF(AND('(橫掃)RX Mapping'!BD28&gt;=601,'(橫掃)RX Mapping'!BD28&lt;=720), (-1)*('(橫掃)RX Mapping'!BD28-720)+120,IF(AND('(橫掃)RX Mapping'!BD28&gt;=721,'(橫掃)RX Mapping'!BD28&lt;=840), ('(橫掃)RX Mapping'!BD28-601),IF(AND('(橫掃)RX Mapping'!BD28&gt;=841,'(橫掃)RX Mapping'!BD28&lt;=960), (-1)*('(橫掃)RX Mapping'!BD28-960)+120,9999))))))))</f>
        <v>9999</v>
      </c>
      <c r="BE28">
        <f>IF(AND('(橫掃)RX Mapping'!BE28&gt;=1,'(橫掃)RX Mapping'!BE28&lt;=120), ('(橫掃)RX Mapping'!BE28-1),IF(AND('(橫掃)RX Mapping'!BE28&gt;=121,'(橫掃)RX Mapping'!BE28&lt;=240), (-1)*('(橫掃)RX Mapping'!BE28-240),IF(AND('(橫掃)RX Mapping'!BE28&gt;=241,'(橫掃)RX Mapping'!BE28&lt;=360), ('(橫掃)RX Mapping'!BE28-241),IF(AND('(橫掃)RX Mapping'!BE28&gt;=361,'(橫掃)RX Mapping'!BE28&lt;=480), (-1)*('(橫掃)RX Mapping'!BE28-480),IF(AND('(橫掃)RX Mapping'!BE28&gt;=481,'(橫掃)RX Mapping'!BE28&lt;=600), ('(橫掃)RX Mapping'!BE28-361),IF(AND('(橫掃)RX Mapping'!BE28&gt;=601,'(橫掃)RX Mapping'!BE28&lt;=720), (-1)*('(橫掃)RX Mapping'!BE28-720)+120,IF(AND('(橫掃)RX Mapping'!BE28&gt;=721,'(橫掃)RX Mapping'!BE28&lt;=840), ('(橫掃)RX Mapping'!BE28-601),IF(AND('(橫掃)RX Mapping'!BE28&gt;=841,'(橫掃)RX Mapping'!BE28&lt;=960), (-1)*('(橫掃)RX Mapping'!BE28-960)+120,9999))))))))</f>
        <v>9999</v>
      </c>
      <c r="BF28">
        <f>IF(AND('(橫掃)RX Mapping'!BF28&gt;=1,'(橫掃)RX Mapping'!BF28&lt;=120), ('(橫掃)RX Mapping'!BF28-1),IF(AND('(橫掃)RX Mapping'!BF28&gt;=121,'(橫掃)RX Mapping'!BF28&lt;=240), (-1)*('(橫掃)RX Mapping'!BF28-240),IF(AND('(橫掃)RX Mapping'!BF28&gt;=241,'(橫掃)RX Mapping'!BF28&lt;=360), ('(橫掃)RX Mapping'!BF28-241),IF(AND('(橫掃)RX Mapping'!BF28&gt;=361,'(橫掃)RX Mapping'!BF28&lt;=480), (-1)*('(橫掃)RX Mapping'!BF28-480),IF(AND('(橫掃)RX Mapping'!BF28&gt;=481,'(橫掃)RX Mapping'!BF28&lt;=600), ('(橫掃)RX Mapping'!BF28-361),IF(AND('(橫掃)RX Mapping'!BF28&gt;=601,'(橫掃)RX Mapping'!BF28&lt;=720), (-1)*('(橫掃)RX Mapping'!BF28-720)+120,IF(AND('(橫掃)RX Mapping'!BF28&gt;=721,'(橫掃)RX Mapping'!BF28&lt;=840), ('(橫掃)RX Mapping'!BF28-601),IF(AND('(橫掃)RX Mapping'!BF28&gt;=841,'(橫掃)RX Mapping'!BF28&lt;=960), (-1)*('(橫掃)RX Mapping'!BF28-960)+120,9999))))))))</f>
        <v>9999</v>
      </c>
      <c r="BG28">
        <f>IF(AND('(橫掃)RX Mapping'!BG28&gt;=1,'(橫掃)RX Mapping'!BG28&lt;=120), ('(橫掃)RX Mapping'!BG28-1),IF(AND('(橫掃)RX Mapping'!BG28&gt;=121,'(橫掃)RX Mapping'!BG28&lt;=240), (-1)*('(橫掃)RX Mapping'!BG28-240),IF(AND('(橫掃)RX Mapping'!BG28&gt;=241,'(橫掃)RX Mapping'!BG28&lt;=360), ('(橫掃)RX Mapping'!BG28-241),IF(AND('(橫掃)RX Mapping'!BG28&gt;=361,'(橫掃)RX Mapping'!BG28&lt;=480), (-1)*('(橫掃)RX Mapping'!BG28-480),IF(AND('(橫掃)RX Mapping'!BG28&gt;=481,'(橫掃)RX Mapping'!BG28&lt;=600), ('(橫掃)RX Mapping'!BG28-361),IF(AND('(橫掃)RX Mapping'!BG28&gt;=601,'(橫掃)RX Mapping'!BG28&lt;=720), (-1)*('(橫掃)RX Mapping'!BG28-720)+120,IF(AND('(橫掃)RX Mapping'!BG28&gt;=721,'(橫掃)RX Mapping'!BG28&lt;=840), ('(橫掃)RX Mapping'!BG28-601),IF(AND('(橫掃)RX Mapping'!BG28&gt;=841,'(橫掃)RX Mapping'!BG28&lt;=960), (-1)*('(橫掃)RX Mapping'!BG28-960)+120,9999))))))))</f>
        <v>9999</v>
      </c>
      <c r="BH28">
        <f>IF(AND('(橫掃)RX Mapping'!BH28&gt;=1,'(橫掃)RX Mapping'!BH28&lt;=120), ('(橫掃)RX Mapping'!BH28-1),IF(AND('(橫掃)RX Mapping'!BH28&gt;=121,'(橫掃)RX Mapping'!BH28&lt;=240), (-1)*('(橫掃)RX Mapping'!BH28-240),IF(AND('(橫掃)RX Mapping'!BH28&gt;=241,'(橫掃)RX Mapping'!BH28&lt;=360), ('(橫掃)RX Mapping'!BH28-241),IF(AND('(橫掃)RX Mapping'!BH28&gt;=361,'(橫掃)RX Mapping'!BH28&lt;=480), (-1)*('(橫掃)RX Mapping'!BH28-480),IF(AND('(橫掃)RX Mapping'!BH28&gt;=481,'(橫掃)RX Mapping'!BH28&lt;=600), ('(橫掃)RX Mapping'!BH28-361),IF(AND('(橫掃)RX Mapping'!BH28&gt;=601,'(橫掃)RX Mapping'!BH28&lt;=720), (-1)*('(橫掃)RX Mapping'!BH28-720)+120,IF(AND('(橫掃)RX Mapping'!BH28&gt;=721,'(橫掃)RX Mapping'!BH28&lt;=840), ('(橫掃)RX Mapping'!BH28-601),IF(AND('(橫掃)RX Mapping'!BH28&gt;=841,'(橫掃)RX Mapping'!BH28&lt;=960), (-1)*('(橫掃)RX Mapping'!BH28-960)+120,9999))))))))</f>
        <v>9999</v>
      </c>
      <c r="BI28">
        <f>IF(AND('(橫掃)RX Mapping'!BI28&gt;=1,'(橫掃)RX Mapping'!BI28&lt;=120), ('(橫掃)RX Mapping'!BI28-1),IF(AND('(橫掃)RX Mapping'!BI28&gt;=121,'(橫掃)RX Mapping'!BI28&lt;=240), (-1)*('(橫掃)RX Mapping'!BI28-240),IF(AND('(橫掃)RX Mapping'!BI28&gt;=241,'(橫掃)RX Mapping'!BI28&lt;=360), ('(橫掃)RX Mapping'!BI28-241),IF(AND('(橫掃)RX Mapping'!BI28&gt;=361,'(橫掃)RX Mapping'!BI28&lt;=480), (-1)*('(橫掃)RX Mapping'!BI28-480),IF(AND('(橫掃)RX Mapping'!BI28&gt;=481,'(橫掃)RX Mapping'!BI28&lt;=600), ('(橫掃)RX Mapping'!BI28-361),IF(AND('(橫掃)RX Mapping'!BI28&gt;=601,'(橫掃)RX Mapping'!BI28&lt;=720), (-1)*('(橫掃)RX Mapping'!BI28-720)+120,IF(AND('(橫掃)RX Mapping'!BI28&gt;=721,'(橫掃)RX Mapping'!BI28&lt;=840), ('(橫掃)RX Mapping'!BI28-601),IF(AND('(橫掃)RX Mapping'!BI28&gt;=841,'(橫掃)RX Mapping'!BI28&lt;=960), (-1)*('(橫掃)RX Mapping'!BI28-960)+120,9999))))))))</f>
        <v>9999</v>
      </c>
    </row>
    <row r="29" spans="1:61" x14ac:dyDescent="0.25">
      <c r="A29" s="20">
        <v>28</v>
      </c>
      <c r="B29">
        <f>IF(AND('(橫掃)RX Mapping'!B29&gt;=1,'(橫掃)RX Mapping'!B29&lt;=120), ('(橫掃)RX Mapping'!B29-1),IF(AND('(橫掃)RX Mapping'!B29&gt;=121,'(橫掃)RX Mapping'!B29&lt;=240), (-1)*('(橫掃)RX Mapping'!B29-240),IF(AND('(橫掃)RX Mapping'!B29&gt;=241,'(橫掃)RX Mapping'!B29&lt;=360), ('(橫掃)RX Mapping'!B29-241),IF(AND('(橫掃)RX Mapping'!B29&gt;=361,'(橫掃)RX Mapping'!B29&lt;=480), (-1)*('(橫掃)RX Mapping'!B29-480),IF(AND('(橫掃)RX Mapping'!B29&gt;=481,'(橫掃)RX Mapping'!B29&lt;=600), ('(橫掃)RX Mapping'!B29-361),IF(AND('(橫掃)RX Mapping'!B29&gt;=601,'(橫掃)RX Mapping'!B29&lt;=720), (-1)*('(橫掃)RX Mapping'!B29-720)+120,IF(AND('(橫掃)RX Mapping'!B29&gt;=721,'(橫掃)RX Mapping'!B29&lt;=840), ('(橫掃)RX Mapping'!B29-601),IF(AND('(橫掃)RX Mapping'!B29&gt;=841,'(橫掃)RX Mapping'!B29&lt;=960), (-1)*('(橫掃)RX Mapping'!B29-960)+120,9999))))))))</f>
        <v>27</v>
      </c>
      <c r="C29">
        <f>IF(AND('(橫掃)RX Mapping'!C29&gt;=1,'(橫掃)RX Mapping'!C29&lt;=120), ('(橫掃)RX Mapping'!C29-1),IF(AND('(橫掃)RX Mapping'!C29&gt;=121,'(橫掃)RX Mapping'!C29&lt;=240), (-1)*('(橫掃)RX Mapping'!C29-240),IF(AND('(橫掃)RX Mapping'!C29&gt;=241,'(橫掃)RX Mapping'!C29&lt;=360), ('(橫掃)RX Mapping'!C29-241),IF(AND('(橫掃)RX Mapping'!C29&gt;=361,'(橫掃)RX Mapping'!C29&lt;=480), (-1)*('(橫掃)RX Mapping'!C29-480),IF(AND('(橫掃)RX Mapping'!C29&gt;=481,'(橫掃)RX Mapping'!C29&lt;=600), ('(橫掃)RX Mapping'!C29-361),IF(AND('(橫掃)RX Mapping'!C29&gt;=601,'(橫掃)RX Mapping'!C29&lt;=720), (-1)*('(橫掃)RX Mapping'!C29-720)+120,IF(AND('(橫掃)RX Mapping'!C29&gt;=721,'(橫掃)RX Mapping'!C29&lt;=840), ('(橫掃)RX Mapping'!C29-601),IF(AND('(橫掃)RX Mapping'!C29&gt;=841,'(橫掃)RX Mapping'!C29&lt;=960), (-1)*('(橫掃)RX Mapping'!C29-960)+120,9999))))))))</f>
        <v>59</v>
      </c>
      <c r="D29">
        <f>IF(AND('(橫掃)RX Mapping'!D29&gt;=1,'(橫掃)RX Mapping'!D29&lt;=120), ('(橫掃)RX Mapping'!D29-1),IF(AND('(橫掃)RX Mapping'!D29&gt;=121,'(橫掃)RX Mapping'!D29&lt;=240), (-1)*('(橫掃)RX Mapping'!D29-240),IF(AND('(橫掃)RX Mapping'!D29&gt;=241,'(橫掃)RX Mapping'!D29&lt;=360), ('(橫掃)RX Mapping'!D29-241),IF(AND('(橫掃)RX Mapping'!D29&gt;=361,'(橫掃)RX Mapping'!D29&lt;=480), (-1)*('(橫掃)RX Mapping'!D29-480),IF(AND('(橫掃)RX Mapping'!D29&gt;=481,'(橫掃)RX Mapping'!D29&lt;=600), ('(橫掃)RX Mapping'!D29-361),IF(AND('(橫掃)RX Mapping'!D29&gt;=601,'(橫掃)RX Mapping'!D29&lt;=720), (-1)*('(橫掃)RX Mapping'!D29-720)+120,IF(AND('(橫掃)RX Mapping'!D29&gt;=721,'(橫掃)RX Mapping'!D29&lt;=840), ('(橫掃)RX Mapping'!D29-601),IF(AND('(橫掃)RX Mapping'!D29&gt;=841,'(橫掃)RX Mapping'!D29&lt;=960), (-1)*('(橫掃)RX Mapping'!D29-960)+120,9999))))))))</f>
        <v>91</v>
      </c>
      <c r="E29">
        <f>IF(AND('(橫掃)RX Mapping'!E29&gt;=1,'(橫掃)RX Mapping'!E29&lt;=120), ('(橫掃)RX Mapping'!E29-1),IF(AND('(橫掃)RX Mapping'!E29&gt;=121,'(橫掃)RX Mapping'!E29&lt;=240), (-1)*('(橫掃)RX Mapping'!E29-240),IF(AND('(橫掃)RX Mapping'!E29&gt;=241,'(橫掃)RX Mapping'!E29&lt;=360), ('(橫掃)RX Mapping'!E29-241),IF(AND('(橫掃)RX Mapping'!E29&gt;=361,'(橫掃)RX Mapping'!E29&lt;=480), (-1)*('(橫掃)RX Mapping'!E29-480),IF(AND('(橫掃)RX Mapping'!E29&gt;=481,'(橫掃)RX Mapping'!E29&lt;=600), ('(橫掃)RX Mapping'!E29-361),IF(AND('(橫掃)RX Mapping'!E29&gt;=601,'(橫掃)RX Mapping'!E29&lt;=720), (-1)*('(橫掃)RX Mapping'!E29-720)+120,IF(AND('(橫掃)RX Mapping'!E29&gt;=721,'(橫掃)RX Mapping'!E29&lt;=840), ('(橫掃)RX Mapping'!E29-601),IF(AND('(橫掃)RX Mapping'!E29&gt;=841,'(橫掃)RX Mapping'!E29&lt;=960), (-1)*('(橫掃)RX Mapping'!E29-960)+120,9999))))))))</f>
        <v>116</v>
      </c>
      <c r="F29">
        <f>IF(AND('(橫掃)RX Mapping'!F29&gt;=1,'(橫掃)RX Mapping'!F29&lt;=120), ('(橫掃)RX Mapping'!F29-1),IF(AND('(橫掃)RX Mapping'!F29&gt;=121,'(橫掃)RX Mapping'!F29&lt;=240), (-1)*('(橫掃)RX Mapping'!F29-240),IF(AND('(橫掃)RX Mapping'!F29&gt;=241,'(橫掃)RX Mapping'!F29&lt;=360), ('(橫掃)RX Mapping'!F29-241),IF(AND('(橫掃)RX Mapping'!F29&gt;=361,'(橫掃)RX Mapping'!F29&lt;=480), (-1)*('(橫掃)RX Mapping'!F29-480),IF(AND('(橫掃)RX Mapping'!F29&gt;=481,'(橫掃)RX Mapping'!F29&lt;=600), ('(橫掃)RX Mapping'!F29-361),IF(AND('(橫掃)RX Mapping'!F29&gt;=601,'(橫掃)RX Mapping'!F29&lt;=720), (-1)*('(橫掃)RX Mapping'!F29-720)+120,IF(AND('(橫掃)RX Mapping'!F29&gt;=721,'(橫掃)RX Mapping'!F29&lt;=840), ('(橫掃)RX Mapping'!F29-601),IF(AND('(橫掃)RX Mapping'!F29&gt;=841,'(橫掃)RX Mapping'!F29&lt;=960), (-1)*('(橫掃)RX Mapping'!F29-960)+120,9999))))))))</f>
        <v>84</v>
      </c>
      <c r="G29">
        <f>IF(AND('(橫掃)RX Mapping'!G29&gt;=1,'(橫掃)RX Mapping'!G29&lt;=120), ('(橫掃)RX Mapping'!G29-1),IF(AND('(橫掃)RX Mapping'!G29&gt;=121,'(橫掃)RX Mapping'!G29&lt;=240), (-1)*('(橫掃)RX Mapping'!G29-240),IF(AND('(橫掃)RX Mapping'!G29&gt;=241,'(橫掃)RX Mapping'!G29&lt;=360), ('(橫掃)RX Mapping'!G29-241),IF(AND('(橫掃)RX Mapping'!G29&gt;=361,'(橫掃)RX Mapping'!G29&lt;=480), (-1)*('(橫掃)RX Mapping'!G29-480),IF(AND('(橫掃)RX Mapping'!G29&gt;=481,'(橫掃)RX Mapping'!G29&lt;=600), ('(橫掃)RX Mapping'!G29-361),IF(AND('(橫掃)RX Mapping'!G29&gt;=601,'(橫掃)RX Mapping'!G29&lt;=720), (-1)*('(橫掃)RX Mapping'!G29-720)+120,IF(AND('(橫掃)RX Mapping'!G29&gt;=721,'(橫掃)RX Mapping'!G29&lt;=840), ('(橫掃)RX Mapping'!G29-601),IF(AND('(橫掃)RX Mapping'!G29&gt;=841,'(橫掃)RX Mapping'!G29&lt;=960), (-1)*('(橫掃)RX Mapping'!G29-960)+120,9999))))))))</f>
        <v>52</v>
      </c>
      <c r="H29">
        <f>IF(AND('(橫掃)RX Mapping'!H29&gt;=1,'(橫掃)RX Mapping'!H29&lt;=120), ('(橫掃)RX Mapping'!H29-1),IF(AND('(橫掃)RX Mapping'!H29&gt;=121,'(橫掃)RX Mapping'!H29&lt;=240), (-1)*('(橫掃)RX Mapping'!H29-240),IF(AND('(橫掃)RX Mapping'!H29&gt;=241,'(橫掃)RX Mapping'!H29&lt;=360), ('(橫掃)RX Mapping'!H29-241),IF(AND('(橫掃)RX Mapping'!H29&gt;=361,'(橫掃)RX Mapping'!H29&lt;=480), (-1)*('(橫掃)RX Mapping'!H29-480),IF(AND('(橫掃)RX Mapping'!H29&gt;=481,'(橫掃)RX Mapping'!H29&lt;=600), ('(橫掃)RX Mapping'!H29-361),IF(AND('(橫掃)RX Mapping'!H29&gt;=601,'(橫掃)RX Mapping'!H29&lt;=720), (-1)*('(橫掃)RX Mapping'!H29-720)+120,IF(AND('(橫掃)RX Mapping'!H29&gt;=721,'(橫掃)RX Mapping'!H29&lt;=840), ('(橫掃)RX Mapping'!H29-601),IF(AND('(橫掃)RX Mapping'!H29&gt;=841,'(橫掃)RX Mapping'!H29&lt;=960), (-1)*('(橫掃)RX Mapping'!H29-960)+120,9999))))))))</f>
        <v>20</v>
      </c>
      <c r="I29">
        <f>IF(AND('(橫掃)RX Mapping'!I29&gt;=1,'(橫掃)RX Mapping'!I29&lt;=120), ('(橫掃)RX Mapping'!I29-1),IF(AND('(橫掃)RX Mapping'!I29&gt;=121,'(橫掃)RX Mapping'!I29&lt;=240), (-1)*('(橫掃)RX Mapping'!I29-240),IF(AND('(橫掃)RX Mapping'!I29&gt;=241,'(橫掃)RX Mapping'!I29&lt;=360), ('(橫掃)RX Mapping'!I29-241),IF(AND('(橫掃)RX Mapping'!I29&gt;=361,'(橫掃)RX Mapping'!I29&lt;=480), (-1)*('(橫掃)RX Mapping'!I29-480),IF(AND('(橫掃)RX Mapping'!I29&gt;=481,'(橫掃)RX Mapping'!I29&lt;=600), ('(橫掃)RX Mapping'!I29-361),IF(AND('(橫掃)RX Mapping'!I29&gt;=601,'(橫掃)RX Mapping'!I29&lt;=720), (-1)*('(橫掃)RX Mapping'!I29-720)+120,IF(AND('(橫掃)RX Mapping'!I29&gt;=721,'(橫掃)RX Mapping'!I29&lt;=840), ('(橫掃)RX Mapping'!I29-601),IF(AND('(橫掃)RX Mapping'!I29&gt;=841,'(橫掃)RX Mapping'!I29&lt;=960), (-1)*('(橫掃)RX Mapping'!I29-960)+120,9999))))))))</f>
        <v>27</v>
      </c>
      <c r="J29">
        <f>IF(AND('(橫掃)RX Mapping'!J29&gt;=1,'(橫掃)RX Mapping'!J29&lt;=120), ('(橫掃)RX Mapping'!J29-1),IF(AND('(橫掃)RX Mapping'!J29&gt;=121,'(橫掃)RX Mapping'!J29&lt;=240), (-1)*('(橫掃)RX Mapping'!J29-240),IF(AND('(橫掃)RX Mapping'!J29&gt;=241,'(橫掃)RX Mapping'!J29&lt;=360), ('(橫掃)RX Mapping'!J29-241),IF(AND('(橫掃)RX Mapping'!J29&gt;=361,'(橫掃)RX Mapping'!J29&lt;=480), (-1)*('(橫掃)RX Mapping'!J29-480),IF(AND('(橫掃)RX Mapping'!J29&gt;=481,'(橫掃)RX Mapping'!J29&lt;=600), ('(橫掃)RX Mapping'!J29-361),IF(AND('(橫掃)RX Mapping'!J29&gt;=601,'(橫掃)RX Mapping'!J29&lt;=720), (-1)*('(橫掃)RX Mapping'!J29-720)+120,IF(AND('(橫掃)RX Mapping'!J29&gt;=721,'(橫掃)RX Mapping'!J29&lt;=840), ('(橫掃)RX Mapping'!J29-601),IF(AND('(橫掃)RX Mapping'!J29&gt;=841,'(橫掃)RX Mapping'!J29&lt;=960), (-1)*('(橫掃)RX Mapping'!J29-960)+120,9999))))))))</f>
        <v>59</v>
      </c>
      <c r="K29">
        <f>IF(AND('(橫掃)RX Mapping'!K29&gt;=1,'(橫掃)RX Mapping'!K29&lt;=120), ('(橫掃)RX Mapping'!K29-1),IF(AND('(橫掃)RX Mapping'!K29&gt;=121,'(橫掃)RX Mapping'!K29&lt;=240), (-1)*('(橫掃)RX Mapping'!K29-240),IF(AND('(橫掃)RX Mapping'!K29&gt;=241,'(橫掃)RX Mapping'!K29&lt;=360), ('(橫掃)RX Mapping'!K29-241),IF(AND('(橫掃)RX Mapping'!K29&gt;=361,'(橫掃)RX Mapping'!K29&lt;=480), (-1)*('(橫掃)RX Mapping'!K29-480),IF(AND('(橫掃)RX Mapping'!K29&gt;=481,'(橫掃)RX Mapping'!K29&lt;=600), ('(橫掃)RX Mapping'!K29-361),IF(AND('(橫掃)RX Mapping'!K29&gt;=601,'(橫掃)RX Mapping'!K29&lt;=720), (-1)*('(橫掃)RX Mapping'!K29-720)+120,IF(AND('(橫掃)RX Mapping'!K29&gt;=721,'(橫掃)RX Mapping'!K29&lt;=840), ('(橫掃)RX Mapping'!K29-601),IF(AND('(橫掃)RX Mapping'!K29&gt;=841,'(橫掃)RX Mapping'!K29&lt;=960), (-1)*('(橫掃)RX Mapping'!K29-960)+120,9999))))))))</f>
        <v>91</v>
      </c>
      <c r="L29">
        <f>IF(AND('(橫掃)RX Mapping'!L29&gt;=1,'(橫掃)RX Mapping'!L29&lt;=120), ('(橫掃)RX Mapping'!L29-1),IF(AND('(橫掃)RX Mapping'!L29&gt;=121,'(橫掃)RX Mapping'!L29&lt;=240), (-1)*('(橫掃)RX Mapping'!L29-240),IF(AND('(橫掃)RX Mapping'!L29&gt;=241,'(橫掃)RX Mapping'!L29&lt;=360), ('(橫掃)RX Mapping'!L29-241),IF(AND('(橫掃)RX Mapping'!L29&gt;=361,'(橫掃)RX Mapping'!L29&lt;=480), (-1)*('(橫掃)RX Mapping'!L29-480),IF(AND('(橫掃)RX Mapping'!L29&gt;=481,'(橫掃)RX Mapping'!L29&lt;=600), ('(橫掃)RX Mapping'!L29-361),IF(AND('(橫掃)RX Mapping'!L29&gt;=601,'(橫掃)RX Mapping'!L29&lt;=720), (-1)*('(橫掃)RX Mapping'!L29-720)+120,IF(AND('(橫掃)RX Mapping'!L29&gt;=721,'(橫掃)RX Mapping'!L29&lt;=840), ('(橫掃)RX Mapping'!L29-601),IF(AND('(橫掃)RX Mapping'!L29&gt;=841,'(橫掃)RX Mapping'!L29&lt;=960), (-1)*('(橫掃)RX Mapping'!L29-960)+120,9999))))))))</f>
        <v>116</v>
      </c>
      <c r="M29">
        <f>IF(AND('(橫掃)RX Mapping'!M29&gt;=1,'(橫掃)RX Mapping'!M29&lt;=120), ('(橫掃)RX Mapping'!M29-1),IF(AND('(橫掃)RX Mapping'!M29&gt;=121,'(橫掃)RX Mapping'!M29&lt;=240), (-1)*('(橫掃)RX Mapping'!M29-240),IF(AND('(橫掃)RX Mapping'!M29&gt;=241,'(橫掃)RX Mapping'!M29&lt;=360), ('(橫掃)RX Mapping'!M29-241),IF(AND('(橫掃)RX Mapping'!M29&gt;=361,'(橫掃)RX Mapping'!M29&lt;=480), (-1)*('(橫掃)RX Mapping'!M29-480),IF(AND('(橫掃)RX Mapping'!M29&gt;=481,'(橫掃)RX Mapping'!M29&lt;=600), ('(橫掃)RX Mapping'!M29-361),IF(AND('(橫掃)RX Mapping'!M29&gt;=601,'(橫掃)RX Mapping'!M29&lt;=720), (-1)*('(橫掃)RX Mapping'!M29-720)+120,IF(AND('(橫掃)RX Mapping'!M29&gt;=721,'(橫掃)RX Mapping'!M29&lt;=840), ('(橫掃)RX Mapping'!M29-601),IF(AND('(橫掃)RX Mapping'!M29&gt;=841,'(橫掃)RX Mapping'!M29&lt;=960), (-1)*('(橫掃)RX Mapping'!M29-960)+120,9999))))))))</f>
        <v>84</v>
      </c>
      <c r="N29">
        <f>IF(AND('(橫掃)RX Mapping'!N29&gt;=1,'(橫掃)RX Mapping'!N29&lt;=120), ('(橫掃)RX Mapping'!N29-1),IF(AND('(橫掃)RX Mapping'!N29&gt;=121,'(橫掃)RX Mapping'!N29&lt;=240), (-1)*('(橫掃)RX Mapping'!N29-240),IF(AND('(橫掃)RX Mapping'!N29&gt;=241,'(橫掃)RX Mapping'!N29&lt;=360), ('(橫掃)RX Mapping'!N29-241),IF(AND('(橫掃)RX Mapping'!N29&gt;=361,'(橫掃)RX Mapping'!N29&lt;=480), (-1)*('(橫掃)RX Mapping'!N29-480),IF(AND('(橫掃)RX Mapping'!N29&gt;=481,'(橫掃)RX Mapping'!N29&lt;=600), ('(橫掃)RX Mapping'!N29-361),IF(AND('(橫掃)RX Mapping'!N29&gt;=601,'(橫掃)RX Mapping'!N29&lt;=720), (-1)*('(橫掃)RX Mapping'!N29-720)+120,IF(AND('(橫掃)RX Mapping'!N29&gt;=721,'(橫掃)RX Mapping'!N29&lt;=840), ('(橫掃)RX Mapping'!N29-601),IF(AND('(橫掃)RX Mapping'!N29&gt;=841,'(橫掃)RX Mapping'!N29&lt;=960), (-1)*('(橫掃)RX Mapping'!N29-960)+120,9999))))))))</f>
        <v>52</v>
      </c>
      <c r="O29">
        <f>IF(AND('(橫掃)RX Mapping'!O29&gt;=1,'(橫掃)RX Mapping'!O29&lt;=120), ('(橫掃)RX Mapping'!O29-1),IF(AND('(橫掃)RX Mapping'!O29&gt;=121,'(橫掃)RX Mapping'!O29&lt;=240), (-1)*('(橫掃)RX Mapping'!O29-240),IF(AND('(橫掃)RX Mapping'!O29&gt;=241,'(橫掃)RX Mapping'!O29&lt;=360), ('(橫掃)RX Mapping'!O29-241),IF(AND('(橫掃)RX Mapping'!O29&gt;=361,'(橫掃)RX Mapping'!O29&lt;=480), (-1)*('(橫掃)RX Mapping'!O29-480),IF(AND('(橫掃)RX Mapping'!O29&gt;=481,'(橫掃)RX Mapping'!O29&lt;=600), ('(橫掃)RX Mapping'!O29-361),IF(AND('(橫掃)RX Mapping'!O29&gt;=601,'(橫掃)RX Mapping'!O29&lt;=720), (-1)*('(橫掃)RX Mapping'!O29-720)+120,IF(AND('(橫掃)RX Mapping'!O29&gt;=721,'(橫掃)RX Mapping'!O29&lt;=840), ('(橫掃)RX Mapping'!O29-601),IF(AND('(橫掃)RX Mapping'!O29&gt;=841,'(橫掃)RX Mapping'!O29&lt;=960), (-1)*('(橫掃)RX Mapping'!O29-960)+120,9999))))))))</f>
        <v>20</v>
      </c>
      <c r="P29">
        <f>IF(AND('(橫掃)RX Mapping'!P29&gt;=1,'(橫掃)RX Mapping'!P29&lt;=120), ('(橫掃)RX Mapping'!P29-1),IF(AND('(橫掃)RX Mapping'!P29&gt;=121,'(橫掃)RX Mapping'!P29&lt;=240), (-1)*('(橫掃)RX Mapping'!P29-240),IF(AND('(橫掃)RX Mapping'!P29&gt;=241,'(橫掃)RX Mapping'!P29&lt;=360), ('(橫掃)RX Mapping'!P29-241),IF(AND('(橫掃)RX Mapping'!P29&gt;=361,'(橫掃)RX Mapping'!P29&lt;=480), (-1)*('(橫掃)RX Mapping'!P29-480),IF(AND('(橫掃)RX Mapping'!P29&gt;=481,'(橫掃)RX Mapping'!P29&lt;=600), ('(橫掃)RX Mapping'!P29-361),IF(AND('(橫掃)RX Mapping'!P29&gt;=601,'(橫掃)RX Mapping'!P29&lt;=720), (-1)*('(橫掃)RX Mapping'!P29-720)+120,IF(AND('(橫掃)RX Mapping'!P29&gt;=721,'(橫掃)RX Mapping'!P29&lt;=840), ('(橫掃)RX Mapping'!P29-601),IF(AND('(橫掃)RX Mapping'!P29&gt;=841,'(橫掃)RX Mapping'!P29&lt;=960), (-1)*('(橫掃)RX Mapping'!P29-960)+120,9999))))))))</f>
        <v>147</v>
      </c>
      <c r="Q29">
        <f>IF(AND('(橫掃)RX Mapping'!Q29&gt;=1,'(橫掃)RX Mapping'!Q29&lt;=120), ('(橫掃)RX Mapping'!Q29-1),IF(AND('(橫掃)RX Mapping'!Q29&gt;=121,'(橫掃)RX Mapping'!Q29&lt;=240), (-1)*('(橫掃)RX Mapping'!Q29-240),IF(AND('(橫掃)RX Mapping'!Q29&gt;=241,'(橫掃)RX Mapping'!Q29&lt;=360), ('(橫掃)RX Mapping'!Q29-241),IF(AND('(橫掃)RX Mapping'!Q29&gt;=361,'(橫掃)RX Mapping'!Q29&lt;=480), (-1)*('(橫掃)RX Mapping'!Q29-480),IF(AND('(橫掃)RX Mapping'!Q29&gt;=481,'(橫掃)RX Mapping'!Q29&lt;=600), ('(橫掃)RX Mapping'!Q29-361),IF(AND('(橫掃)RX Mapping'!Q29&gt;=601,'(橫掃)RX Mapping'!Q29&lt;=720), (-1)*('(橫掃)RX Mapping'!Q29-720)+120,IF(AND('(橫掃)RX Mapping'!Q29&gt;=721,'(橫掃)RX Mapping'!Q29&lt;=840), ('(橫掃)RX Mapping'!Q29-601),IF(AND('(橫掃)RX Mapping'!Q29&gt;=841,'(橫掃)RX Mapping'!Q29&lt;=960), (-1)*('(橫掃)RX Mapping'!Q29-960)+120,9999))))))))</f>
        <v>179</v>
      </c>
      <c r="R29">
        <f>IF(AND('(橫掃)RX Mapping'!R29&gt;=1,'(橫掃)RX Mapping'!R29&lt;=120), ('(橫掃)RX Mapping'!R29-1),IF(AND('(橫掃)RX Mapping'!R29&gt;=121,'(橫掃)RX Mapping'!R29&lt;=240), (-1)*('(橫掃)RX Mapping'!R29-240),IF(AND('(橫掃)RX Mapping'!R29&gt;=241,'(橫掃)RX Mapping'!R29&lt;=360), ('(橫掃)RX Mapping'!R29-241),IF(AND('(橫掃)RX Mapping'!R29&gt;=361,'(橫掃)RX Mapping'!R29&lt;=480), (-1)*('(橫掃)RX Mapping'!R29-480),IF(AND('(橫掃)RX Mapping'!R29&gt;=481,'(橫掃)RX Mapping'!R29&lt;=600), ('(橫掃)RX Mapping'!R29-361),IF(AND('(橫掃)RX Mapping'!R29&gt;=601,'(橫掃)RX Mapping'!R29&lt;=720), (-1)*('(橫掃)RX Mapping'!R29-720)+120,IF(AND('(橫掃)RX Mapping'!R29&gt;=721,'(橫掃)RX Mapping'!R29&lt;=840), ('(橫掃)RX Mapping'!R29-601),IF(AND('(橫掃)RX Mapping'!R29&gt;=841,'(橫掃)RX Mapping'!R29&lt;=960), (-1)*('(橫掃)RX Mapping'!R29-960)+120,9999))))))))</f>
        <v>211</v>
      </c>
      <c r="S29">
        <f>IF(AND('(橫掃)RX Mapping'!S29&gt;=1,'(橫掃)RX Mapping'!S29&lt;=120), ('(橫掃)RX Mapping'!S29-1),IF(AND('(橫掃)RX Mapping'!S29&gt;=121,'(橫掃)RX Mapping'!S29&lt;=240), (-1)*('(橫掃)RX Mapping'!S29-240),IF(AND('(橫掃)RX Mapping'!S29&gt;=241,'(橫掃)RX Mapping'!S29&lt;=360), ('(橫掃)RX Mapping'!S29-241),IF(AND('(橫掃)RX Mapping'!S29&gt;=361,'(橫掃)RX Mapping'!S29&lt;=480), (-1)*('(橫掃)RX Mapping'!S29-480),IF(AND('(橫掃)RX Mapping'!S29&gt;=481,'(橫掃)RX Mapping'!S29&lt;=600), ('(橫掃)RX Mapping'!S29-361),IF(AND('(橫掃)RX Mapping'!S29&gt;=601,'(橫掃)RX Mapping'!S29&lt;=720), (-1)*('(橫掃)RX Mapping'!S29-720)+120,IF(AND('(橫掃)RX Mapping'!S29&gt;=721,'(橫掃)RX Mapping'!S29&lt;=840), ('(橫掃)RX Mapping'!S29-601),IF(AND('(橫掃)RX Mapping'!S29&gt;=841,'(橫掃)RX Mapping'!S29&lt;=960), (-1)*('(橫掃)RX Mapping'!S29-960)+120,9999))))))))</f>
        <v>236</v>
      </c>
      <c r="T29">
        <f>IF(AND('(橫掃)RX Mapping'!T29&gt;=1,'(橫掃)RX Mapping'!T29&lt;=120), ('(橫掃)RX Mapping'!T29-1),IF(AND('(橫掃)RX Mapping'!T29&gt;=121,'(橫掃)RX Mapping'!T29&lt;=240), (-1)*('(橫掃)RX Mapping'!T29-240),IF(AND('(橫掃)RX Mapping'!T29&gt;=241,'(橫掃)RX Mapping'!T29&lt;=360), ('(橫掃)RX Mapping'!T29-241),IF(AND('(橫掃)RX Mapping'!T29&gt;=361,'(橫掃)RX Mapping'!T29&lt;=480), (-1)*('(橫掃)RX Mapping'!T29-480),IF(AND('(橫掃)RX Mapping'!T29&gt;=481,'(橫掃)RX Mapping'!T29&lt;=600), ('(橫掃)RX Mapping'!T29-361),IF(AND('(橫掃)RX Mapping'!T29&gt;=601,'(橫掃)RX Mapping'!T29&lt;=720), (-1)*('(橫掃)RX Mapping'!T29-720)+120,IF(AND('(橫掃)RX Mapping'!T29&gt;=721,'(橫掃)RX Mapping'!T29&lt;=840), ('(橫掃)RX Mapping'!T29-601),IF(AND('(橫掃)RX Mapping'!T29&gt;=841,'(橫掃)RX Mapping'!T29&lt;=960), (-1)*('(橫掃)RX Mapping'!T29-960)+120,9999))))))))</f>
        <v>204</v>
      </c>
      <c r="U29">
        <f>IF(AND('(橫掃)RX Mapping'!U29&gt;=1,'(橫掃)RX Mapping'!U29&lt;=120), ('(橫掃)RX Mapping'!U29-1),IF(AND('(橫掃)RX Mapping'!U29&gt;=121,'(橫掃)RX Mapping'!U29&lt;=240), (-1)*('(橫掃)RX Mapping'!U29-240),IF(AND('(橫掃)RX Mapping'!U29&gt;=241,'(橫掃)RX Mapping'!U29&lt;=360), ('(橫掃)RX Mapping'!U29-241),IF(AND('(橫掃)RX Mapping'!U29&gt;=361,'(橫掃)RX Mapping'!U29&lt;=480), (-1)*('(橫掃)RX Mapping'!U29-480),IF(AND('(橫掃)RX Mapping'!U29&gt;=481,'(橫掃)RX Mapping'!U29&lt;=600), ('(橫掃)RX Mapping'!U29-361),IF(AND('(橫掃)RX Mapping'!U29&gt;=601,'(橫掃)RX Mapping'!U29&lt;=720), (-1)*('(橫掃)RX Mapping'!U29-720)+120,IF(AND('(橫掃)RX Mapping'!U29&gt;=721,'(橫掃)RX Mapping'!U29&lt;=840), ('(橫掃)RX Mapping'!U29-601),IF(AND('(橫掃)RX Mapping'!U29&gt;=841,'(橫掃)RX Mapping'!U29&lt;=960), (-1)*('(橫掃)RX Mapping'!U29-960)+120,9999))))))))</f>
        <v>172</v>
      </c>
      <c r="V29">
        <f>IF(AND('(橫掃)RX Mapping'!V29&gt;=1,'(橫掃)RX Mapping'!V29&lt;=120), ('(橫掃)RX Mapping'!V29-1),IF(AND('(橫掃)RX Mapping'!V29&gt;=121,'(橫掃)RX Mapping'!V29&lt;=240), (-1)*('(橫掃)RX Mapping'!V29-240),IF(AND('(橫掃)RX Mapping'!V29&gt;=241,'(橫掃)RX Mapping'!V29&lt;=360), ('(橫掃)RX Mapping'!V29-241),IF(AND('(橫掃)RX Mapping'!V29&gt;=361,'(橫掃)RX Mapping'!V29&lt;=480), (-1)*('(橫掃)RX Mapping'!V29-480),IF(AND('(橫掃)RX Mapping'!V29&gt;=481,'(橫掃)RX Mapping'!V29&lt;=600), ('(橫掃)RX Mapping'!V29-361),IF(AND('(橫掃)RX Mapping'!V29&gt;=601,'(橫掃)RX Mapping'!V29&lt;=720), (-1)*('(橫掃)RX Mapping'!V29-720)+120,IF(AND('(橫掃)RX Mapping'!V29&gt;=721,'(橫掃)RX Mapping'!V29&lt;=840), ('(橫掃)RX Mapping'!V29-601),IF(AND('(橫掃)RX Mapping'!V29&gt;=841,'(橫掃)RX Mapping'!V29&lt;=960), (-1)*('(橫掃)RX Mapping'!V29-960)+120,9999))))))))</f>
        <v>140</v>
      </c>
      <c r="W29">
        <f>IF(AND('(橫掃)RX Mapping'!W29&gt;=1,'(橫掃)RX Mapping'!W29&lt;=120), ('(橫掃)RX Mapping'!W29-1),IF(AND('(橫掃)RX Mapping'!W29&gt;=121,'(橫掃)RX Mapping'!W29&lt;=240), (-1)*('(橫掃)RX Mapping'!W29-240),IF(AND('(橫掃)RX Mapping'!W29&gt;=241,'(橫掃)RX Mapping'!W29&lt;=360), ('(橫掃)RX Mapping'!W29-241),IF(AND('(橫掃)RX Mapping'!W29&gt;=361,'(橫掃)RX Mapping'!W29&lt;=480), (-1)*('(橫掃)RX Mapping'!W29-480),IF(AND('(橫掃)RX Mapping'!W29&gt;=481,'(橫掃)RX Mapping'!W29&lt;=600), ('(橫掃)RX Mapping'!W29-361),IF(AND('(橫掃)RX Mapping'!W29&gt;=601,'(橫掃)RX Mapping'!W29&lt;=720), (-1)*('(橫掃)RX Mapping'!W29-720)+120,IF(AND('(橫掃)RX Mapping'!W29&gt;=721,'(橫掃)RX Mapping'!W29&lt;=840), ('(橫掃)RX Mapping'!W29-601),IF(AND('(橫掃)RX Mapping'!W29&gt;=841,'(橫掃)RX Mapping'!W29&lt;=960), (-1)*('(橫掃)RX Mapping'!W29-960)+120,9999))))))))</f>
        <v>147</v>
      </c>
      <c r="X29">
        <f>IF(AND('(橫掃)RX Mapping'!X29&gt;=1,'(橫掃)RX Mapping'!X29&lt;=120), ('(橫掃)RX Mapping'!X29-1),IF(AND('(橫掃)RX Mapping'!X29&gt;=121,'(橫掃)RX Mapping'!X29&lt;=240), (-1)*('(橫掃)RX Mapping'!X29-240),IF(AND('(橫掃)RX Mapping'!X29&gt;=241,'(橫掃)RX Mapping'!X29&lt;=360), ('(橫掃)RX Mapping'!X29-241),IF(AND('(橫掃)RX Mapping'!X29&gt;=361,'(橫掃)RX Mapping'!X29&lt;=480), (-1)*('(橫掃)RX Mapping'!X29-480),IF(AND('(橫掃)RX Mapping'!X29&gt;=481,'(橫掃)RX Mapping'!X29&lt;=600), ('(橫掃)RX Mapping'!X29-361),IF(AND('(橫掃)RX Mapping'!X29&gt;=601,'(橫掃)RX Mapping'!X29&lt;=720), (-1)*('(橫掃)RX Mapping'!X29-720)+120,IF(AND('(橫掃)RX Mapping'!X29&gt;=721,'(橫掃)RX Mapping'!X29&lt;=840), ('(橫掃)RX Mapping'!X29-601),IF(AND('(橫掃)RX Mapping'!X29&gt;=841,'(橫掃)RX Mapping'!X29&lt;=960), (-1)*('(橫掃)RX Mapping'!X29-960)+120,9999))))))))</f>
        <v>179</v>
      </c>
      <c r="Y29">
        <f>IF(AND('(橫掃)RX Mapping'!Y29&gt;=1,'(橫掃)RX Mapping'!Y29&lt;=120), ('(橫掃)RX Mapping'!Y29-1),IF(AND('(橫掃)RX Mapping'!Y29&gt;=121,'(橫掃)RX Mapping'!Y29&lt;=240), (-1)*('(橫掃)RX Mapping'!Y29-240),IF(AND('(橫掃)RX Mapping'!Y29&gt;=241,'(橫掃)RX Mapping'!Y29&lt;=360), ('(橫掃)RX Mapping'!Y29-241),IF(AND('(橫掃)RX Mapping'!Y29&gt;=361,'(橫掃)RX Mapping'!Y29&lt;=480), (-1)*('(橫掃)RX Mapping'!Y29-480),IF(AND('(橫掃)RX Mapping'!Y29&gt;=481,'(橫掃)RX Mapping'!Y29&lt;=600), ('(橫掃)RX Mapping'!Y29-361),IF(AND('(橫掃)RX Mapping'!Y29&gt;=601,'(橫掃)RX Mapping'!Y29&lt;=720), (-1)*('(橫掃)RX Mapping'!Y29-720)+120,IF(AND('(橫掃)RX Mapping'!Y29&gt;=721,'(橫掃)RX Mapping'!Y29&lt;=840), ('(橫掃)RX Mapping'!Y29-601),IF(AND('(橫掃)RX Mapping'!Y29&gt;=841,'(橫掃)RX Mapping'!Y29&lt;=960), (-1)*('(橫掃)RX Mapping'!Y29-960)+120,9999))))))))</f>
        <v>211</v>
      </c>
      <c r="Z29">
        <f>IF(AND('(橫掃)RX Mapping'!Z29&gt;=1,'(橫掃)RX Mapping'!Z29&lt;=120), ('(橫掃)RX Mapping'!Z29-1),IF(AND('(橫掃)RX Mapping'!Z29&gt;=121,'(橫掃)RX Mapping'!Z29&lt;=240), (-1)*('(橫掃)RX Mapping'!Z29-240),IF(AND('(橫掃)RX Mapping'!Z29&gt;=241,'(橫掃)RX Mapping'!Z29&lt;=360), ('(橫掃)RX Mapping'!Z29-241),IF(AND('(橫掃)RX Mapping'!Z29&gt;=361,'(橫掃)RX Mapping'!Z29&lt;=480), (-1)*('(橫掃)RX Mapping'!Z29-480),IF(AND('(橫掃)RX Mapping'!Z29&gt;=481,'(橫掃)RX Mapping'!Z29&lt;=600), ('(橫掃)RX Mapping'!Z29-361),IF(AND('(橫掃)RX Mapping'!Z29&gt;=601,'(橫掃)RX Mapping'!Z29&lt;=720), (-1)*('(橫掃)RX Mapping'!Z29-720)+120,IF(AND('(橫掃)RX Mapping'!Z29&gt;=721,'(橫掃)RX Mapping'!Z29&lt;=840), ('(橫掃)RX Mapping'!Z29-601),IF(AND('(橫掃)RX Mapping'!Z29&gt;=841,'(橫掃)RX Mapping'!Z29&lt;=960), (-1)*('(橫掃)RX Mapping'!Z29-960)+120,9999))))))))</f>
        <v>236</v>
      </c>
      <c r="AA29">
        <f>IF(AND('(橫掃)RX Mapping'!AA29&gt;=1,'(橫掃)RX Mapping'!AA29&lt;=120), ('(橫掃)RX Mapping'!AA29-1),IF(AND('(橫掃)RX Mapping'!AA29&gt;=121,'(橫掃)RX Mapping'!AA29&lt;=240), (-1)*('(橫掃)RX Mapping'!AA29-240),IF(AND('(橫掃)RX Mapping'!AA29&gt;=241,'(橫掃)RX Mapping'!AA29&lt;=360), ('(橫掃)RX Mapping'!AA29-241),IF(AND('(橫掃)RX Mapping'!AA29&gt;=361,'(橫掃)RX Mapping'!AA29&lt;=480), (-1)*('(橫掃)RX Mapping'!AA29-480),IF(AND('(橫掃)RX Mapping'!AA29&gt;=481,'(橫掃)RX Mapping'!AA29&lt;=600), ('(橫掃)RX Mapping'!AA29-361),IF(AND('(橫掃)RX Mapping'!AA29&gt;=601,'(橫掃)RX Mapping'!AA29&lt;=720), (-1)*('(橫掃)RX Mapping'!AA29-720)+120,IF(AND('(橫掃)RX Mapping'!AA29&gt;=721,'(橫掃)RX Mapping'!AA29&lt;=840), ('(橫掃)RX Mapping'!AA29-601),IF(AND('(橫掃)RX Mapping'!AA29&gt;=841,'(橫掃)RX Mapping'!AA29&lt;=960), (-1)*('(橫掃)RX Mapping'!AA29-960)+120,9999))))))))</f>
        <v>204</v>
      </c>
      <c r="AB29">
        <f>IF(AND('(橫掃)RX Mapping'!AB29&gt;=1,'(橫掃)RX Mapping'!AB29&lt;=120), ('(橫掃)RX Mapping'!AB29-1),IF(AND('(橫掃)RX Mapping'!AB29&gt;=121,'(橫掃)RX Mapping'!AB29&lt;=240), (-1)*('(橫掃)RX Mapping'!AB29-240),IF(AND('(橫掃)RX Mapping'!AB29&gt;=241,'(橫掃)RX Mapping'!AB29&lt;=360), ('(橫掃)RX Mapping'!AB29-241),IF(AND('(橫掃)RX Mapping'!AB29&gt;=361,'(橫掃)RX Mapping'!AB29&lt;=480), (-1)*('(橫掃)RX Mapping'!AB29-480),IF(AND('(橫掃)RX Mapping'!AB29&gt;=481,'(橫掃)RX Mapping'!AB29&lt;=600), ('(橫掃)RX Mapping'!AB29-361),IF(AND('(橫掃)RX Mapping'!AB29&gt;=601,'(橫掃)RX Mapping'!AB29&lt;=720), (-1)*('(橫掃)RX Mapping'!AB29-720)+120,IF(AND('(橫掃)RX Mapping'!AB29&gt;=721,'(橫掃)RX Mapping'!AB29&lt;=840), ('(橫掃)RX Mapping'!AB29-601),IF(AND('(橫掃)RX Mapping'!AB29&gt;=841,'(橫掃)RX Mapping'!AB29&lt;=960), (-1)*('(橫掃)RX Mapping'!AB29-960)+120,9999))))))))</f>
        <v>172</v>
      </c>
      <c r="AC29">
        <f>IF(AND('(橫掃)RX Mapping'!AC29&gt;=1,'(橫掃)RX Mapping'!AC29&lt;=120), ('(橫掃)RX Mapping'!AC29-1),IF(AND('(橫掃)RX Mapping'!AC29&gt;=121,'(橫掃)RX Mapping'!AC29&lt;=240), (-1)*('(橫掃)RX Mapping'!AC29-240),IF(AND('(橫掃)RX Mapping'!AC29&gt;=241,'(橫掃)RX Mapping'!AC29&lt;=360), ('(橫掃)RX Mapping'!AC29-241),IF(AND('(橫掃)RX Mapping'!AC29&gt;=361,'(橫掃)RX Mapping'!AC29&lt;=480), (-1)*('(橫掃)RX Mapping'!AC29-480),IF(AND('(橫掃)RX Mapping'!AC29&gt;=481,'(橫掃)RX Mapping'!AC29&lt;=600), ('(橫掃)RX Mapping'!AC29-361),IF(AND('(橫掃)RX Mapping'!AC29&gt;=601,'(橫掃)RX Mapping'!AC29&lt;=720), (-1)*('(橫掃)RX Mapping'!AC29-720)+120,IF(AND('(橫掃)RX Mapping'!AC29&gt;=721,'(橫掃)RX Mapping'!AC29&lt;=840), ('(橫掃)RX Mapping'!AC29-601),IF(AND('(橫掃)RX Mapping'!AC29&gt;=841,'(橫掃)RX Mapping'!AC29&lt;=960), (-1)*('(橫掃)RX Mapping'!AC29-960)+120,9999))))))))</f>
        <v>140</v>
      </c>
      <c r="AD29">
        <f>IF(AND('(橫掃)RX Mapping'!AD29&gt;=1,'(橫掃)RX Mapping'!AD29&lt;=120), ('(橫掃)RX Mapping'!AD29-1),IF(AND('(橫掃)RX Mapping'!AD29&gt;=121,'(橫掃)RX Mapping'!AD29&lt;=240), (-1)*('(橫掃)RX Mapping'!AD29-240),IF(AND('(橫掃)RX Mapping'!AD29&gt;=241,'(橫掃)RX Mapping'!AD29&lt;=360), ('(橫掃)RX Mapping'!AD29-241),IF(AND('(橫掃)RX Mapping'!AD29&gt;=361,'(橫掃)RX Mapping'!AD29&lt;=480), (-1)*('(橫掃)RX Mapping'!AD29-480),IF(AND('(橫掃)RX Mapping'!AD29&gt;=481,'(橫掃)RX Mapping'!AD29&lt;=600), ('(橫掃)RX Mapping'!AD29-361),IF(AND('(橫掃)RX Mapping'!AD29&gt;=601,'(橫掃)RX Mapping'!AD29&lt;=720), (-1)*('(橫掃)RX Mapping'!AD29-720)+120,IF(AND('(橫掃)RX Mapping'!AD29&gt;=721,'(橫掃)RX Mapping'!AD29&lt;=840), ('(橫掃)RX Mapping'!AD29-601),IF(AND('(橫掃)RX Mapping'!AD29&gt;=841,'(橫掃)RX Mapping'!AD29&lt;=960), (-1)*('(橫掃)RX Mapping'!AD29-960)+120,9999))))))))</f>
        <v>9999</v>
      </c>
      <c r="AE29">
        <f>IF(AND('(橫掃)RX Mapping'!AE29&gt;=1,'(橫掃)RX Mapping'!AE29&lt;=120), ('(橫掃)RX Mapping'!AE29-1),IF(AND('(橫掃)RX Mapping'!AE29&gt;=121,'(橫掃)RX Mapping'!AE29&lt;=240), (-1)*('(橫掃)RX Mapping'!AE29-240),IF(AND('(橫掃)RX Mapping'!AE29&gt;=241,'(橫掃)RX Mapping'!AE29&lt;=360), ('(橫掃)RX Mapping'!AE29-241),IF(AND('(橫掃)RX Mapping'!AE29&gt;=361,'(橫掃)RX Mapping'!AE29&lt;=480), (-1)*('(橫掃)RX Mapping'!AE29-480),IF(AND('(橫掃)RX Mapping'!AE29&gt;=481,'(橫掃)RX Mapping'!AE29&lt;=600), ('(橫掃)RX Mapping'!AE29-361),IF(AND('(橫掃)RX Mapping'!AE29&gt;=601,'(橫掃)RX Mapping'!AE29&lt;=720), (-1)*('(橫掃)RX Mapping'!AE29-720)+120,IF(AND('(橫掃)RX Mapping'!AE29&gt;=721,'(橫掃)RX Mapping'!AE29&lt;=840), ('(橫掃)RX Mapping'!AE29-601),IF(AND('(橫掃)RX Mapping'!AE29&gt;=841,'(橫掃)RX Mapping'!AE29&lt;=960), (-1)*('(橫掃)RX Mapping'!AE29-960)+120,9999))))))))</f>
        <v>9999</v>
      </c>
      <c r="AF29">
        <f>IF(AND('(橫掃)RX Mapping'!AF29&gt;=1,'(橫掃)RX Mapping'!AF29&lt;=120), ('(橫掃)RX Mapping'!AF29-1),IF(AND('(橫掃)RX Mapping'!AF29&gt;=121,'(橫掃)RX Mapping'!AF29&lt;=240), (-1)*('(橫掃)RX Mapping'!AF29-240),IF(AND('(橫掃)RX Mapping'!AF29&gt;=241,'(橫掃)RX Mapping'!AF29&lt;=360), ('(橫掃)RX Mapping'!AF29-241),IF(AND('(橫掃)RX Mapping'!AF29&gt;=361,'(橫掃)RX Mapping'!AF29&lt;=480), (-1)*('(橫掃)RX Mapping'!AF29-480),IF(AND('(橫掃)RX Mapping'!AF29&gt;=481,'(橫掃)RX Mapping'!AF29&lt;=600), ('(橫掃)RX Mapping'!AF29-361),IF(AND('(橫掃)RX Mapping'!AF29&gt;=601,'(橫掃)RX Mapping'!AF29&lt;=720), (-1)*('(橫掃)RX Mapping'!AF29-720)+120,IF(AND('(橫掃)RX Mapping'!AF29&gt;=721,'(橫掃)RX Mapping'!AF29&lt;=840), ('(橫掃)RX Mapping'!AF29-601),IF(AND('(橫掃)RX Mapping'!AF29&gt;=841,'(橫掃)RX Mapping'!AF29&lt;=960), (-1)*('(橫掃)RX Mapping'!AF29-960)+120,9999))))))))</f>
        <v>9999</v>
      </c>
      <c r="AG29">
        <f>IF(AND('(橫掃)RX Mapping'!AG29&gt;=1,'(橫掃)RX Mapping'!AG29&lt;=120), ('(橫掃)RX Mapping'!AG29-1),IF(AND('(橫掃)RX Mapping'!AG29&gt;=121,'(橫掃)RX Mapping'!AG29&lt;=240), (-1)*('(橫掃)RX Mapping'!AG29-240),IF(AND('(橫掃)RX Mapping'!AG29&gt;=241,'(橫掃)RX Mapping'!AG29&lt;=360), ('(橫掃)RX Mapping'!AG29-241),IF(AND('(橫掃)RX Mapping'!AG29&gt;=361,'(橫掃)RX Mapping'!AG29&lt;=480), (-1)*('(橫掃)RX Mapping'!AG29-480),IF(AND('(橫掃)RX Mapping'!AG29&gt;=481,'(橫掃)RX Mapping'!AG29&lt;=600), ('(橫掃)RX Mapping'!AG29-361),IF(AND('(橫掃)RX Mapping'!AG29&gt;=601,'(橫掃)RX Mapping'!AG29&lt;=720), (-1)*('(橫掃)RX Mapping'!AG29-720)+120,IF(AND('(橫掃)RX Mapping'!AG29&gt;=721,'(橫掃)RX Mapping'!AG29&lt;=840), ('(橫掃)RX Mapping'!AG29-601),IF(AND('(橫掃)RX Mapping'!AG29&gt;=841,'(橫掃)RX Mapping'!AG29&lt;=960), (-1)*('(橫掃)RX Mapping'!AG29-960)+120,9999))))))))</f>
        <v>9999</v>
      </c>
      <c r="AH29">
        <f>IF(AND('(橫掃)RX Mapping'!AH29&gt;=1,'(橫掃)RX Mapping'!AH29&lt;=120), ('(橫掃)RX Mapping'!AH29-1),IF(AND('(橫掃)RX Mapping'!AH29&gt;=121,'(橫掃)RX Mapping'!AH29&lt;=240), (-1)*('(橫掃)RX Mapping'!AH29-240),IF(AND('(橫掃)RX Mapping'!AH29&gt;=241,'(橫掃)RX Mapping'!AH29&lt;=360), ('(橫掃)RX Mapping'!AH29-241),IF(AND('(橫掃)RX Mapping'!AH29&gt;=361,'(橫掃)RX Mapping'!AH29&lt;=480), (-1)*('(橫掃)RX Mapping'!AH29-480),IF(AND('(橫掃)RX Mapping'!AH29&gt;=481,'(橫掃)RX Mapping'!AH29&lt;=600), ('(橫掃)RX Mapping'!AH29-361),IF(AND('(橫掃)RX Mapping'!AH29&gt;=601,'(橫掃)RX Mapping'!AH29&lt;=720), (-1)*('(橫掃)RX Mapping'!AH29-720)+120,IF(AND('(橫掃)RX Mapping'!AH29&gt;=721,'(橫掃)RX Mapping'!AH29&lt;=840), ('(橫掃)RX Mapping'!AH29-601),IF(AND('(橫掃)RX Mapping'!AH29&gt;=841,'(橫掃)RX Mapping'!AH29&lt;=960), (-1)*('(橫掃)RX Mapping'!AH29-960)+120,9999))))))))</f>
        <v>9999</v>
      </c>
      <c r="AI29">
        <f>IF(AND('(橫掃)RX Mapping'!AI29&gt;=1,'(橫掃)RX Mapping'!AI29&lt;=120), ('(橫掃)RX Mapping'!AI29-1),IF(AND('(橫掃)RX Mapping'!AI29&gt;=121,'(橫掃)RX Mapping'!AI29&lt;=240), (-1)*('(橫掃)RX Mapping'!AI29-240),IF(AND('(橫掃)RX Mapping'!AI29&gt;=241,'(橫掃)RX Mapping'!AI29&lt;=360), ('(橫掃)RX Mapping'!AI29-241),IF(AND('(橫掃)RX Mapping'!AI29&gt;=361,'(橫掃)RX Mapping'!AI29&lt;=480), (-1)*('(橫掃)RX Mapping'!AI29-480),IF(AND('(橫掃)RX Mapping'!AI29&gt;=481,'(橫掃)RX Mapping'!AI29&lt;=600), ('(橫掃)RX Mapping'!AI29-361),IF(AND('(橫掃)RX Mapping'!AI29&gt;=601,'(橫掃)RX Mapping'!AI29&lt;=720), (-1)*('(橫掃)RX Mapping'!AI29-720)+120,IF(AND('(橫掃)RX Mapping'!AI29&gt;=721,'(橫掃)RX Mapping'!AI29&lt;=840), ('(橫掃)RX Mapping'!AI29-601),IF(AND('(橫掃)RX Mapping'!AI29&gt;=841,'(橫掃)RX Mapping'!AI29&lt;=960), (-1)*('(橫掃)RX Mapping'!AI29-960)+120,9999))))))))</f>
        <v>9999</v>
      </c>
      <c r="AJ29">
        <f>IF(AND('(橫掃)RX Mapping'!AJ29&gt;=1,'(橫掃)RX Mapping'!AJ29&lt;=120), ('(橫掃)RX Mapping'!AJ29-1),IF(AND('(橫掃)RX Mapping'!AJ29&gt;=121,'(橫掃)RX Mapping'!AJ29&lt;=240), (-1)*('(橫掃)RX Mapping'!AJ29-240),IF(AND('(橫掃)RX Mapping'!AJ29&gt;=241,'(橫掃)RX Mapping'!AJ29&lt;=360), ('(橫掃)RX Mapping'!AJ29-241),IF(AND('(橫掃)RX Mapping'!AJ29&gt;=361,'(橫掃)RX Mapping'!AJ29&lt;=480), (-1)*('(橫掃)RX Mapping'!AJ29-480),IF(AND('(橫掃)RX Mapping'!AJ29&gt;=481,'(橫掃)RX Mapping'!AJ29&lt;=600), ('(橫掃)RX Mapping'!AJ29-361),IF(AND('(橫掃)RX Mapping'!AJ29&gt;=601,'(橫掃)RX Mapping'!AJ29&lt;=720), (-1)*('(橫掃)RX Mapping'!AJ29-720)+120,IF(AND('(橫掃)RX Mapping'!AJ29&gt;=721,'(橫掃)RX Mapping'!AJ29&lt;=840), ('(橫掃)RX Mapping'!AJ29-601),IF(AND('(橫掃)RX Mapping'!AJ29&gt;=841,'(橫掃)RX Mapping'!AJ29&lt;=960), (-1)*('(橫掃)RX Mapping'!AJ29-960)+120,9999))))))))</f>
        <v>9999</v>
      </c>
      <c r="AK29">
        <f>IF(AND('(橫掃)RX Mapping'!AK29&gt;=1,'(橫掃)RX Mapping'!AK29&lt;=120), ('(橫掃)RX Mapping'!AK29-1),IF(AND('(橫掃)RX Mapping'!AK29&gt;=121,'(橫掃)RX Mapping'!AK29&lt;=240), (-1)*('(橫掃)RX Mapping'!AK29-240),IF(AND('(橫掃)RX Mapping'!AK29&gt;=241,'(橫掃)RX Mapping'!AK29&lt;=360), ('(橫掃)RX Mapping'!AK29-241),IF(AND('(橫掃)RX Mapping'!AK29&gt;=361,'(橫掃)RX Mapping'!AK29&lt;=480), (-1)*('(橫掃)RX Mapping'!AK29-480),IF(AND('(橫掃)RX Mapping'!AK29&gt;=481,'(橫掃)RX Mapping'!AK29&lt;=600), ('(橫掃)RX Mapping'!AK29-361),IF(AND('(橫掃)RX Mapping'!AK29&gt;=601,'(橫掃)RX Mapping'!AK29&lt;=720), (-1)*('(橫掃)RX Mapping'!AK29-720)+120,IF(AND('(橫掃)RX Mapping'!AK29&gt;=721,'(橫掃)RX Mapping'!AK29&lt;=840), ('(橫掃)RX Mapping'!AK29-601),IF(AND('(橫掃)RX Mapping'!AK29&gt;=841,'(橫掃)RX Mapping'!AK29&lt;=960), (-1)*('(橫掃)RX Mapping'!AK29-960)+120,9999))))))))</f>
        <v>9999</v>
      </c>
      <c r="AL29">
        <f>IF(AND('(橫掃)RX Mapping'!AL29&gt;=1,'(橫掃)RX Mapping'!AL29&lt;=120), ('(橫掃)RX Mapping'!AL29-1),IF(AND('(橫掃)RX Mapping'!AL29&gt;=121,'(橫掃)RX Mapping'!AL29&lt;=240), (-1)*('(橫掃)RX Mapping'!AL29-240),IF(AND('(橫掃)RX Mapping'!AL29&gt;=241,'(橫掃)RX Mapping'!AL29&lt;=360), ('(橫掃)RX Mapping'!AL29-241),IF(AND('(橫掃)RX Mapping'!AL29&gt;=361,'(橫掃)RX Mapping'!AL29&lt;=480), (-1)*('(橫掃)RX Mapping'!AL29-480),IF(AND('(橫掃)RX Mapping'!AL29&gt;=481,'(橫掃)RX Mapping'!AL29&lt;=600), ('(橫掃)RX Mapping'!AL29-361),IF(AND('(橫掃)RX Mapping'!AL29&gt;=601,'(橫掃)RX Mapping'!AL29&lt;=720), (-1)*('(橫掃)RX Mapping'!AL29-720)+120,IF(AND('(橫掃)RX Mapping'!AL29&gt;=721,'(橫掃)RX Mapping'!AL29&lt;=840), ('(橫掃)RX Mapping'!AL29-601),IF(AND('(橫掃)RX Mapping'!AL29&gt;=841,'(橫掃)RX Mapping'!AL29&lt;=960), (-1)*('(橫掃)RX Mapping'!AL29-960)+120,9999))))))))</f>
        <v>9999</v>
      </c>
      <c r="AM29">
        <f>IF(AND('(橫掃)RX Mapping'!AM29&gt;=1,'(橫掃)RX Mapping'!AM29&lt;=120), ('(橫掃)RX Mapping'!AM29-1),IF(AND('(橫掃)RX Mapping'!AM29&gt;=121,'(橫掃)RX Mapping'!AM29&lt;=240), (-1)*('(橫掃)RX Mapping'!AM29-240),IF(AND('(橫掃)RX Mapping'!AM29&gt;=241,'(橫掃)RX Mapping'!AM29&lt;=360), ('(橫掃)RX Mapping'!AM29-241),IF(AND('(橫掃)RX Mapping'!AM29&gt;=361,'(橫掃)RX Mapping'!AM29&lt;=480), (-1)*('(橫掃)RX Mapping'!AM29-480),IF(AND('(橫掃)RX Mapping'!AM29&gt;=481,'(橫掃)RX Mapping'!AM29&lt;=600), ('(橫掃)RX Mapping'!AM29-361),IF(AND('(橫掃)RX Mapping'!AM29&gt;=601,'(橫掃)RX Mapping'!AM29&lt;=720), (-1)*('(橫掃)RX Mapping'!AM29-720)+120,IF(AND('(橫掃)RX Mapping'!AM29&gt;=721,'(橫掃)RX Mapping'!AM29&lt;=840), ('(橫掃)RX Mapping'!AM29-601),IF(AND('(橫掃)RX Mapping'!AM29&gt;=841,'(橫掃)RX Mapping'!AM29&lt;=960), (-1)*('(橫掃)RX Mapping'!AM29-960)+120,9999))))))))</f>
        <v>9999</v>
      </c>
      <c r="AN29">
        <f>IF(AND('(橫掃)RX Mapping'!AN29&gt;=1,'(橫掃)RX Mapping'!AN29&lt;=120), ('(橫掃)RX Mapping'!AN29-1),IF(AND('(橫掃)RX Mapping'!AN29&gt;=121,'(橫掃)RX Mapping'!AN29&lt;=240), (-1)*('(橫掃)RX Mapping'!AN29-240),IF(AND('(橫掃)RX Mapping'!AN29&gt;=241,'(橫掃)RX Mapping'!AN29&lt;=360), ('(橫掃)RX Mapping'!AN29-241),IF(AND('(橫掃)RX Mapping'!AN29&gt;=361,'(橫掃)RX Mapping'!AN29&lt;=480), (-1)*('(橫掃)RX Mapping'!AN29-480),IF(AND('(橫掃)RX Mapping'!AN29&gt;=481,'(橫掃)RX Mapping'!AN29&lt;=600), ('(橫掃)RX Mapping'!AN29-361),IF(AND('(橫掃)RX Mapping'!AN29&gt;=601,'(橫掃)RX Mapping'!AN29&lt;=720), (-1)*('(橫掃)RX Mapping'!AN29-720)+120,IF(AND('(橫掃)RX Mapping'!AN29&gt;=721,'(橫掃)RX Mapping'!AN29&lt;=840), ('(橫掃)RX Mapping'!AN29-601),IF(AND('(橫掃)RX Mapping'!AN29&gt;=841,'(橫掃)RX Mapping'!AN29&lt;=960), (-1)*('(橫掃)RX Mapping'!AN29-960)+120,9999))))))))</f>
        <v>9999</v>
      </c>
      <c r="AO29">
        <f>IF(AND('(橫掃)RX Mapping'!AO29&gt;=1,'(橫掃)RX Mapping'!AO29&lt;=120), ('(橫掃)RX Mapping'!AO29-1),IF(AND('(橫掃)RX Mapping'!AO29&gt;=121,'(橫掃)RX Mapping'!AO29&lt;=240), (-1)*('(橫掃)RX Mapping'!AO29-240),IF(AND('(橫掃)RX Mapping'!AO29&gt;=241,'(橫掃)RX Mapping'!AO29&lt;=360), ('(橫掃)RX Mapping'!AO29-241),IF(AND('(橫掃)RX Mapping'!AO29&gt;=361,'(橫掃)RX Mapping'!AO29&lt;=480), (-1)*('(橫掃)RX Mapping'!AO29-480),IF(AND('(橫掃)RX Mapping'!AO29&gt;=481,'(橫掃)RX Mapping'!AO29&lt;=600), ('(橫掃)RX Mapping'!AO29-361),IF(AND('(橫掃)RX Mapping'!AO29&gt;=601,'(橫掃)RX Mapping'!AO29&lt;=720), (-1)*('(橫掃)RX Mapping'!AO29-720)+120,IF(AND('(橫掃)RX Mapping'!AO29&gt;=721,'(橫掃)RX Mapping'!AO29&lt;=840), ('(橫掃)RX Mapping'!AO29-601),IF(AND('(橫掃)RX Mapping'!AO29&gt;=841,'(橫掃)RX Mapping'!AO29&lt;=960), (-1)*('(橫掃)RX Mapping'!AO29-960)+120,9999))))))))</f>
        <v>9999</v>
      </c>
      <c r="AP29">
        <f>IF(AND('(橫掃)RX Mapping'!AP29&gt;=1,'(橫掃)RX Mapping'!AP29&lt;=120), ('(橫掃)RX Mapping'!AP29-1),IF(AND('(橫掃)RX Mapping'!AP29&gt;=121,'(橫掃)RX Mapping'!AP29&lt;=240), (-1)*('(橫掃)RX Mapping'!AP29-240),IF(AND('(橫掃)RX Mapping'!AP29&gt;=241,'(橫掃)RX Mapping'!AP29&lt;=360), ('(橫掃)RX Mapping'!AP29-241),IF(AND('(橫掃)RX Mapping'!AP29&gt;=361,'(橫掃)RX Mapping'!AP29&lt;=480), (-1)*('(橫掃)RX Mapping'!AP29-480),IF(AND('(橫掃)RX Mapping'!AP29&gt;=481,'(橫掃)RX Mapping'!AP29&lt;=600), ('(橫掃)RX Mapping'!AP29-361),IF(AND('(橫掃)RX Mapping'!AP29&gt;=601,'(橫掃)RX Mapping'!AP29&lt;=720), (-1)*('(橫掃)RX Mapping'!AP29-720)+120,IF(AND('(橫掃)RX Mapping'!AP29&gt;=721,'(橫掃)RX Mapping'!AP29&lt;=840), ('(橫掃)RX Mapping'!AP29-601),IF(AND('(橫掃)RX Mapping'!AP29&gt;=841,'(橫掃)RX Mapping'!AP29&lt;=960), (-1)*('(橫掃)RX Mapping'!AP29-960)+120,9999))))))))</f>
        <v>9999</v>
      </c>
      <c r="AQ29">
        <f>IF(AND('(橫掃)RX Mapping'!AQ29&gt;=1,'(橫掃)RX Mapping'!AQ29&lt;=120), ('(橫掃)RX Mapping'!AQ29-1),IF(AND('(橫掃)RX Mapping'!AQ29&gt;=121,'(橫掃)RX Mapping'!AQ29&lt;=240), (-1)*('(橫掃)RX Mapping'!AQ29-240),IF(AND('(橫掃)RX Mapping'!AQ29&gt;=241,'(橫掃)RX Mapping'!AQ29&lt;=360), ('(橫掃)RX Mapping'!AQ29-241),IF(AND('(橫掃)RX Mapping'!AQ29&gt;=361,'(橫掃)RX Mapping'!AQ29&lt;=480), (-1)*('(橫掃)RX Mapping'!AQ29-480),IF(AND('(橫掃)RX Mapping'!AQ29&gt;=481,'(橫掃)RX Mapping'!AQ29&lt;=600), ('(橫掃)RX Mapping'!AQ29-361),IF(AND('(橫掃)RX Mapping'!AQ29&gt;=601,'(橫掃)RX Mapping'!AQ29&lt;=720), (-1)*('(橫掃)RX Mapping'!AQ29-720)+120,IF(AND('(橫掃)RX Mapping'!AQ29&gt;=721,'(橫掃)RX Mapping'!AQ29&lt;=840), ('(橫掃)RX Mapping'!AQ29-601),IF(AND('(橫掃)RX Mapping'!AQ29&gt;=841,'(橫掃)RX Mapping'!AQ29&lt;=960), (-1)*('(橫掃)RX Mapping'!AQ29-960)+120,9999))))))))</f>
        <v>9999</v>
      </c>
      <c r="AR29">
        <f>IF(AND('(橫掃)RX Mapping'!AR29&gt;=1,'(橫掃)RX Mapping'!AR29&lt;=120), ('(橫掃)RX Mapping'!AR29-1),IF(AND('(橫掃)RX Mapping'!AR29&gt;=121,'(橫掃)RX Mapping'!AR29&lt;=240), (-1)*('(橫掃)RX Mapping'!AR29-240),IF(AND('(橫掃)RX Mapping'!AR29&gt;=241,'(橫掃)RX Mapping'!AR29&lt;=360), ('(橫掃)RX Mapping'!AR29-241),IF(AND('(橫掃)RX Mapping'!AR29&gt;=361,'(橫掃)RX Mapping'!AR29&lt;=480), (-1)*('(橫掃)RX Mapping'!AR29-480),IF(AND('(橫掃)RX Mapping'!AR29&gt;=481,'(橫掃)RX Mapping'!AR29&lt;=600), ('(橫掃)RX Mapping'!AR29-361),IF(AND('(橫掃)RX Mapping'!AR29&gt;=601,'(橫掃)RX Mapping'!AR29&lt;=720), (-1)*('(橫掃)RX Mapping'!AR29-720)+120,IF(AND('(橫掃)RX Mapping'!AR29&gt;=721,'(橫掃)RX Mapping'!AR29&lt;=840), ('(橫掃)RX Mapping'!AR29-601),IF(AND('(橫掃)RX Mapping'!AR29&gt;=841,'(橫掃)RX Mapping'!AR29&lt;=960), (-1)*('(橫掃)RX Mapping'!AR29-960)+120,9999))))))))</f>
        <v>9999</v>
      </c>
      <c r="AS29">
        <f>IF(AND('(橫掃)RX Mapping'!AS29&gt;=1,'(橫掃)RX Mapping'!AS29&lt;=120), ('(橫掃)RX Mapping'!AS29-1),IF(AND('(橫掃)RX Mapping'!AS29&gt;=121,'(橫掃)RX Mapping'!AS29&lt;=240), (-1)*('(橫掃)RX Mapping'!AS29-240),IF(AND('(橫掃)RX Mapping'!AS29&gt;=241,'(橫掃)RX Mapping'!AS29&lt;=360), ('(橫掃)RX Mapping'!AS29-241),IF(AND('(橫掃)RX Mapping'!AS29&gt;=361,'(橫掃)RX Mapping'!AS29&lt;=480), (-1)*('(橫掃)RX Mapping'!AS29-480),IF(AND('(橫掃)RX Mapping'!AS29&gt;=481,'(橫掃)RX Mapping'!AS29&lt;=600), ('(橫掃)RX Mapping'!AS29-361),IF(AND('(橫掃)RX Mapping'!AS29&gt;=601,'(橫掃)RX Mapping'!AS29&lt;=720), (-1)*('(橫掃)RX Mapping'!AS29-720)+120,IF(AND('(橫掃)RX Mapping'!AS29&gt;=721,'(橫掃)RX Mapping'!AS29&lt;=840), ('(橫掃)RX Mapping'!AS29-601),IF(AND('(橫掃)RX Mapping'!AS29&gt;=841,'(橫掃)RX Mapping'!AS29&lt;=960), (-1)*('(橫掃)RX Mapping'!AS29-960)+120,9999))))))))</f>
        <v>9999</v>
      </c>
      <c r="AT29">
        <f>IF(AND('(橫掃)RX Mapping'!AT29&gt;=1,'(橫掃)RX Mapping'!AT29&lt;=120), ('(橫掃)RX Mapping'!AT29-1),IF(AND('(橫掃)RX Mapping'!AT29&gt;=121,'(橫掃)RX Mapping'!AT29&lt;=240), (-1)*('(橫掃)RX Mapping'!AT29-240),IF(AND('(橫掃)RX Mapping'!AT29&gt;=241,'(橫掃)RX Mapping'!AT29&lt;=360), ('(橫掃)RX Mapping'!AT29-241),IF(AND('(橫掃)RX Mapping'!AT29&gt;=361,'(橫掃)RX Mapping'!AT29&lt;=480), (-1)*('(橫掃)RX Mapping'!AT29-480),IF(AND('(橫掃)RX Mapping'!AT29&gt;=481,'(橫掃)RX Mapping'!AT29&lt;=600), ('(橫掃)RX Mapping'!AT29-361),IF(AND('(橫掃)RX Mapping'!AT29&gt;=601,'(橫掃)RX Mapping'!AT29&lt;=720), (-1)*('(橫掃)RX Mapping'!AT29-720)+120,IF(AND('(橫掃)RX Mapping'!AT29&gt;=721,'(橫掃)RX Mapping'!AT29&lt;=840), ('(橫掃)RX Mapping'!AT29-601),IF(AND('(橫掃)RX Mapping'!AT29&gt;=841,'(橫掃)RX Mapping'!AT29&lt;=960), (-1)*('(橫掃)RX Mapping'!AT29-960)+120,9999))))))))</f>
        <v>9999</v>
      </c>
      <c r="AU29">
        <f>IF(AND('(橫掃)RX Mapping'!AU29&gt;=1,'(橫掃)RX Mapping'!AU29&lt;=120), ('(橫掃)RX Mapping'!AU29-1),IF(AND('(橫掃)RX Mapping'!AU29&gt;=121,'(橫掃)RX Mapping'!AU29&lt;=240), (-1)*('(橫掃)RX Mapping'!AU29-240),IF(AND('(橫掃)RX Mapping'!AU29&gt;=241,'(橫掃)RX Mapping'!AU29&lt;=360), ('(橫掃)RX Mapping'!AU29-241),IF(AND('(橫掃)RX Mapping'!AU29&gt;=361,'(橫掃)RX Mapping'!AU29&lt;=480), (-1)*('(橫掃)RX Mapping'!AU29-480),IF(AND('(橫掃)RX Mapping'!AU29&gt;=481,'(橫掃)RX Mapping'!AU29&lt;=600), ('(橫掃)RX Mapping'!AU29-361),IF(AND('(橫掃)RX Mapping'!AU29&gt;=601,'(橫掃)RX Mapping'!AU29&lt;=720), (-1)*('(橫掃)RX Mapping'!AU29-720)+120,IF(AND('(橫掃)RX Mapping'!AU29&gt;=721,'(橫掃)RX Mapping'!AU29&lt;=840), ('(橫掃)RX Mapping'!AU29-601),IF(AND('(橫掃)RX Mapping'!AU29&gt;=841,'(橫掃)RX Mapping'!AU29&lt;=960), (-1)*('(橫掃)RX Mapping'!AU29-960)+120,9999))))))))</f>
        <v>9999</v>
      </c>
      <c r="AV29">
        <f>IF(AND('(橫掃)RX Mapping'!AV29&gt;=1,'(橫掃)RX Mapping'!AV29&lt;=120), ('(橫掃)RX Mapping'!AV29-1),IF(AND('(橫掃)RX Mapping'!AV29&gt;=121,'(橫掃)RX Mapping'!AV29&lt;=240), (-1)*('(橫掃)RX Mapping'!AV29-240),IF(AND('(橫掃)RX Mapping'!AV29&gt;=241,'(橫掃)RX Mapping'!AV29&lt;=360), ('(橫掃)RX Mapping'!AV29-241),IF(AND('(橫掃)RX Mapping'!AV29&gt;=361,'(橫掃)RX Mapping'!AV29&lt;=480), (-1)*('(橫掃)RX Mapping'!AV29-480),IF(AND('(橫掃)RX Mapping'!AV29&gt;=481,'(橫掃)RX Mapping'!AV29&lt;=600), ('(橫掃)RX Mapping'!AV29-361),IF(AND('(橫掃)RX Mapping'!AV29&gt;=601,'(橫掃)RX Mapping'!AV29&lt;=720), (-1)*('(橫掃)RX Mapping'!AV29-720)+120,IF(AND('(橫掃)RX Mapping'!AV29&gt;=721,'(橫掃)RX Mapping'!AV29&lt;=840), ('(橫掃)RX Mapping'!AV29-601),IF(AND('(橫掃)RX Mapping'!AV29&gt;=841,'(橫掃)RX Mapping'!AV29&lt;=960), (-1)*('(橫掃)RX Mapping'!AV29-960)+120,9999))))))))</f>
        <v>9999</v>
      </c>
      <c r="AW29">
        <f>IF(AND('(橫掃)RX Mapping'!AW29&gt;=1,'(橫掃)RX Mapping'!AW29&lt;=120), ('(橫掃)RX Mapping'!AW29-1),IF(AND('(橫掃)RX Mapping'!AW29&gt;=121,'(橫掃)RX Mapping'!AW29&lt;=240), (-1)*('(橫掃)RX Mapping'!AW29-240),IF(AND('(橫掃)RX Mapping'!AW29&gt;=241,'(橫掃)RX Mapping'!AW29&lt;=360), ('(橫掃)RX Mapping'!AW29-241),IF(AND('(橫掃)RX Mapping'!AW29&gt;=361,'(橫掃)RX Mapping'!AW29&lt;=480), (-1)*('(橫掃)RX Mapping'!AW29-480),IF(AND('(橫掃)RX Mapping'!AW29&gt;=481,'(橫掃)RX Mapping'!AW29&lt;=600), ('(橫掃)RX Mapping'!AW29-361),IF(AND('(橫掃)RX Mapping'!AW29&gt;=601,'(橫掃)RX Mapping'!AW29&lt;=720), (-1)*('(橫掃)RX Mapping'!AW29-720)+120,IF(AND('(橫掃)RX Mapping'!AW29&gt;=721,'(橫掃)RX Mapping'!AW29&lt;=840), ('(橫掃)RX Mapping'!AW29-601),IF(AND('(橫掃)RX Mapping'!AW29&gt;=841,'(橫掃)RX Mapping'!AW29&lt;=960), (-1)*('(橫掃)RX Mapping'!AW29-960)+120,9999))))))))</f>
        <v>9999</v>
      </c>
      <c r="AX29">
        <f>IF(AND('(橫掃)RX Mapping'!AX29&gt;=1,'(橫掃)RX Mapping'!AX29&lt;=120), ('(橫掃)RX Mapping'!AX29-1),IF(AND('(橫掃)RX Mapping'!AX29&gt;=121,'(橫掃)RX Mapping'!AX29&lt;=240), (-1)*('(橫掃)RX Mapping'!AX29-240),IF(AND('(橫掃)RX Mapping'!AX29&gt;=241,'(橫掃)RX Mapping'!AX29&lt;=360), ('(橫掃)RX Mapping'!AX29-241),IF(AND('(橫掃)RX Mapping'!AX29&gt;=361,'(橫掃)RX Mapping'!AX29&lt;=480), (-1)*('(橫掃)RX Mapping'!AX29-480),IF(AND('(橫掃)RX Mapping'!AX29&gt;=481,'(橫掃)RX Mapping'!AX29&lt;=600), ('(橫掃)RX Mapping'!AX29-361),IF(AND('(橫掃)RX Mapping'!AX29&gt;=601,'(橫掃)RX Mapping'!AX29&lt;=720), (-1)*('(橫掃)RX Mapping'!AX29-720)+120,IF(AND('(橫掃)RX Mapping'!AX29&gt;=721,'(橫掃)RX Mapping'!AX29&lt;=840), ('(橫掃)RX Mapping'!AX29-601),IF(AND('(橫掃)RX Mapping'!AX29&gt;=841,'(橫掃)RX Mapping'!AX29&lt;=960), (-1)*('(橫掃)RX Mapping'!AX29-960)+120,9999))))))))</f>
        <v>9999</v>
      </c>
      <c r="AY29">
        <f>IF(AND('(橫掃)RX Mapping'!AY29&gt;=1,'(橫掃)RX Mapping'!AY29&lt;=120), ('(橫掃)RX Mapping'!AY29-1),IF(AND('(橫掃)RX Mapping'!AY29&gt;=121,'(橫掃)RX Mapping'!AY29&lt;=240), (-1)*('(橫掃)RX Mapping'!AY29-240),IF(AND('(橫掃)RX Mapping'!AY29&gt;=241,'(橫掃)RX Mapping'!AY29&lt;=360), ('(橫掃)RX Mapping'!AY29-241),IF(AND('(橫掃)RX Mapping'!AY29&gt;=361,'(橫掃)RX Mapping'!AY29&lt;=480), (-1)*('(橫掃)RX Mapping'!AY29-480),IF(AND('(橫掃)RX Mapping'!AY29&gt;=481,'(橫掃)RX Mapping'!AY29&lt;=600), ('(橫掃)RX Mapping'!AY29-361),IF(AND('(橫掃)RX Mapping'!AY29&gt;=601,'(橫掃)RX Mapping'!AY29&lt;=720), (-1)*('(橫掃)RX Mapping'!AY29-720)+120,IF(AND('(橫掃)RX Mapping'!AY29&gt;=721,'(橫掃)RX Mapping'!AY29&lt;=840), ('(橫掃)RX Mapping'!AY29-601),IF(AND('(橫掃)RX Mapping'!AY29&gt;=841,'(橫掃)RX Mapping'!AY29&lt;=960), (-1)*('(橫掃)RX Mapping'!AY29-960)+120,9999))))))))</f>
        <v>9999</v>
      </c>
      <c r="AZ29">
        <f>IF(AND('(橫掃)RX Mapping'!AZ29&gt;=1,'(橫掃)RX Mapping'!AZ29&lt;=120), ('(橫掃)RX Mapping'!AZ29-1),IF(AND('(橫掃)RX Mapping'!AZ29&gt;=121,'(橫掃)RX Mapping'!AZ29&lt;=240), (-1)*('(橫掃)RX Mapping'!AZ29-240),IF(AND('(橫掃)RX Mapping'!AZ29&gt;=241,'(橫掃)RX Mapping'!AZ29&lt;=360), ('(橫掃)RX Mapping'!AZ29-241),IF(AND('(橫掃)RX Mapping'!AZ29&gt;=361,'(橫掃)RX Mapping'!AZ29&lt;=480), (-1)*('(橫掃)RX Mapping'!AZ29-480),IF(AND('(橫掃)RX Mapping'!AZ29&gt;=481,'(橫掃)RX Mapping'!AZ29&lt;=600), ('(橫掃)RX Mapping'!AZ29-361),IF(AND('(橫掃)RX Mapping'!AZ29&gt;=601,'(橫掃)RX Mapping'!AZ29&lt;=720), (-1)*('(橫掃)RX Mapping'!AZ29-720)+120,IF(AND('(橫掃)RX Mapping'!AZ29&gt;=721,'(橫掃)RX Mapping'!AZ29&lt;=840), ('(橫掃)RX Mapping'!AZ29-601),IF(AND('(橫掃)RX Mapping'!AZ29&gt;=841,'(橫掃)RX Mapping'!AZ29&lt;=960), (-1)*('(橫掃)RX Mapping'!AZ29-960)+120,9999))))))))</f>
        <v>9999</v>
      </c>
      <c r="BA29">
        <f>IF(AND('(橫掃)RX Mapping'!BA29&gt;=1,'(橫掃)RX Mapping'!BA29&lt;=120), ('(橫掃)RX Mapping'!BA29-1),IF(AND('(橫掃)RX Mapping'!BA29&gt;=121,'(橫掃)RX Mapping'!BA29&lt;=240), (-1)*('(橫掃)RX Mapping'!BA29-240),IF(AND('(橫掃)RX Mapping'!BA29&gt;=241,'(橫掃)RX Mapping'!BA29&lt;=360), ('(橫掃)RX Mapping'!BA29-241),IF(AND('(橫掃)RX Mapping'!BA29&gt;=361,'(橫掃)RX Mapping'!BA29&lt;=480), (-1)*('(橫掃)RX Mapping'!BA29-480),IF(AND('(橫掃)RX Mapping'!BA29&gt;=481,'(橫掃)RX Mapping'!BA29&lt;=600), ('(橫掃)RX Mapping'!BA29-361),IF(AND('(橫掃)RX Mapping'!BA29&gt;=601,'(橫掃)RX Mapping'!BA29&lt;=720), (-1)*('(橫掃)RX Mapping'!BA29-720)+120,IF(AND('(橫掃)RX Mapping'!BA29&gt;=721,'(橫掃)RX Mapping'!BA29&lt;=840), ('(橫掃)RX Mapping'!BA29-601),IF(AND('(橫掃)RX Mapping'!BA29&gt;=841,'(橫掃)RX Mapping'!BA29&lt;=960), (-1)*('(橫掃)RX Mapping'!BA29-960)+120,9999))))))))</f>
        <v>9999</v>
      </c>
      <c r="BB29">
        <f>IF(AND('(橫掃)RX Mapping'!BB29&gt;=1,'(橫掃)RX Mapping'!BB29&lt;=120), ('(橫掃)RX Mapping'!BB29-1),IF(AND('(橫掃)RX Mapping'!BB29&gt;=121,'(橫掃)RX Mapping'!BB29&lt;=240), (-1)*('(橫掃)RX Mapping'!BB29-240),IF(AND('(橫掃)RX Mapping'!BB29&gt;=241,'(橫掃)RX Mapping'!BB29&lt;=360), ('(橫掃)RX Mapping'!BB29-241),IF(AND('(橫掃)RX Mapping'!BB29&gt;=361,'(橫掃)RX Mapping'!BB29&lt;=480), (-1)*('(橫掃)RX Mapping'!BB29-480),IF(AND('(橫掃)RX Mapping'!BB29&gt;=481,'(橫掃)RX Mapping'!BB29&lt;=600), ('(橫掃)RX Mapping'!BB29-361),IF(AND('(橫掃)RX Mapping'!BB29&gt;=601,'(橫掃)RX Mapping'!BB29&lt;=720), (-1)*('(橫掃)RX Mapping'!BB29-720)+120,IF(AND('(橫掃)RX Mapping'!BB29&gt;=721,'(橫掃)RX Mapping'!BB29&lt;=840), ('(橫掃)RX Mapping'!BB29-601),IF(AND('(橫掃)RX Mapping'!BB29&gt;=841,'(橫掃)RX Mapping'!BB29&lt;=960), (-1)*('(橫掃)RX Mapping'!BB29-960)+120,9999))))))))</f>
        <v>9999</v>
      </c>
      <c r="BC29">
        <f>IF(AND('(橫掃)RX Mapping'!BC29&gt;=1,'(橫掃)RX Mapping'!BC29&lt;=120), ('(橫掃)RX Mapping'!BC29-1),IF(AND('(橫掃)RX Mapping'!BC29&gt;=121,'(橫掃)RX Mapping'!BC29&lt;=240), (-1)*('(橫掃)RX Mapping'!BC29-240),IF(AND('(橫掃)RX Mapping'!BC29&gt;=241,'(橫掃)RX Mapping'!BC29&lt;=360), ('(橫掃)RX Mapping'!BC29-241),IF(AND('(橫掃)RX Mapping'!BC29&gt;=361,'(橫掃)RX Mapping'!BC29&lt;=480), (-1)*('(橫掃)RX Mapping'!BC29-480),IF(AND('(橫掃)RX Mapping'!BC29&gt;=481,'(橫掃)RX Mapping'!BC29&lt;=600), ('(橫掃)RX Mapping'!BC29-361),IF(AND('(橫掃)RX Mapping'!BC29&gt;=601,'(橫掃)RX Mapping'!BC29&lt;=720), (-1)*('(橫掃)RX Mapping'!BC29-720)+120,IF(AND('(橫掃)RX Mapping'!BC29&gt;=721,'(橫掃)RX Mapping'!BC29&lt;=840), ('(橫掃)RX Mapping'!BC29-601),IF(AND('(橫掃)RX Mapping'!BC29&gt;=841,'(橫掃)RX Mapping'!BC29&lt;=960), (-1)*('(橫掃)RX Mapping'!BC29-960)+120,9999))))))))</f>
        <v>9999</v>
      </c>
      <c r="BD29">
        <f>IF(AND('(橫掃)RX Mapping'!BD29&gt;=1,'(橫掃)RX Mapping'!BD29&lt;=120), ('(橫掃)RX Mapping'!BD29-1),IF(AND('(橫掃)RX Mapping'!BD29&gt;=121,'(橫掃)RX Mapping'!BD29&lt;=240), (-1)*('(橫掃)RX Mapping'!BD29-240),IF(AND('(橫掃)RX Mapping'!BD29&gt;=241,'(橫掃)RX Mapping'!BD29&lt;=360), ('(橫掃)RX Mapping'!BD29-241),IF(AND('(橫掃)RX Mapping'!BD29&gt;=361,'(橫掃)RX Mapping'!BD29&lt;=480), (-1)*('(橫掃)RX Mapping'!BD29-480),IF(AND('(橫掃)RX Mapping'!BD29&gt;=481,'(橫掃)RX Mapping'!BD29&lt;=600), ('(橫掃)RX Mapping'!BD29-361),IF(AND('(橫掃)RX Mapping'!BD29&gt;=601,'(橫掃)RX Mapping'!BD29&lt;=720), (-1)*('(橫掃)RX Mapping'!BD29-720)+120,IF(AND('(橫掃)RX Mapping'!BD29&gt;=721,'(橫掃)RX Mapping'!BD29&lt;=840), ('(橫掃)RX Mapping'!BD29-601),IF(AND('(橫掃)RX Mapping'!BD29&gt;=841,'(橫掃)RX Mapping'!BD29&lt;=960), (-1)*('(橫掃)RX Mapping'!BD29-960)+120,9999))))))))</f>
        <v>9999</v>
      </c>
      <c r="BE29">
        <f>IF(AND('(橫掃)RX Mapping'!BE29&gt;=1,'(橫掃)RX Mapping'!BE29&lt;=120), ('(橫掃)RX Mapping'!BE29-1),IF(AND('(橫掃)RX Mapping'!BE29&gt;=121,'(橫掃)RX Mapping'!BE29&lt;=240), (-1)*('(橫掃)RX Mapping'!BE29-240),IF(AND('(橫掃)RX Mapping'!BE29&gt;=241,'(橫掃)RX Mapping'!BE29&lt;=360), ('(橫掃)RX Mapping'!BE29-241),IF(AND('(橫掃)RX Mapping'!BE29&gt;=361,'(橫掃)RX Mapping'!BE29&lt;=480), (-1)*('(橫掃)RX Mapping'!BE29-480),IF(AND('(橫掃)RX Mapping'!BE29&gt;=481,'(橫掃)RX Mapping'!BE29&lt;=600), ('(橫掃)RX Mapping'!BE29-361),IF(AND('(橫掃)RX Mapping'!BE29&gt;=601,'(橫掃)RX Mapping'!BE29&lt;=720), (-1)*('(橫掃)RX Mapping'!BE29-720)+120,IF(AND('(橫掃)RX Mapping'!BE29&gt;=721,'(橫掃)RX Mapping'!BE29&lt;=840), ('(橫掃)RX Mapping'!BE29-601),IF(AND('(橫掃)RX Mapping'!BE29&gt;=841,'(橫掃)RX Mapping'!BE29&lt;=960), (-1)*('(橫掃)RX Mapping'!BE29-960)+120,9999))))))))</f>
        <v>9999</v>
      </c>
      <c r="BF29">
        <f>IF(AND('(橫掃)RX Mapping'!BF29&gt;=1,'(橫掃)RX Mapping'!BF29&lt;=120), ('(橫掃)RX Mapping'!BF29-1),IF(AND('(橫掃)RX Mapping'!BF29&gt;=121,'(橫掃)RX Mapping'!BF29&lt;=240), (-1)*('(橫掃)RX Mapping'!BF29-240),IF(AND('(橫掃)RX Mapping'!BF29&gt;=241,'(橫掃)RX Mapping'!BF29&lt;=360), ('(橫掃)RX Mapping'!BF29-241),IF(AND('(橫掃)RX Mapping'!BF29&gt;=361,'(橫掃)RX Mapping'!BF29&lt;=480), (-1)*('(橫掃)RX Mapping'!BF29-480),IF(AND('(橫掃)RX Mapping'!BF29&gt;=481,'(橫掃)RX Mapping'!BF29&lt;=600), ('(橫掃)RX Mapping'!BF29-361),IF(AND('(橫掃)RX Mapping'!BF29&gt;=601,'(橫掃)RX Mapping'!BF29&lt;=720), (-1)*('(橫掃)RX Mapping'!BF29-720)+120,IF(AND('(橫掃)RX Mapping'!BF29&gt;=721,'(橫掃)RX Mapping'!BF29&lt;=840), ('(橫掃)RX Mapping'!BF29-601),IF(AND('(橫掃)RX Mapping'!BF29&gt;=841,'(橫掃)RX Mapping'!BF29&lt;=960), (-1)*('(橫掃)RX Mapping'!BF29-960)+120,9999))))))))</f>
        <v>9999</v>
      </c>
      <c r="BG29">
        <f>IF(AND('(橫掃)RX Mapping'!BG29&gt;=1,'(橫掃)RX Mapping'!BG29&lt;=120), ('(橫掃)RX Mapping'!BG29-1),IF(AND('(橫掃)RX Mapping'!BG29&gt;=121,'(橫掃)RX Mapping'!BG29&lt;=240), (-1)*('(橫掃)RX Mapping'!BG29-240),IF(AND('(橫掃)RX Mapping'!BG29&gt;=241,'(橫掃)RX Mapping'!BG29&lt;=360), ('(橫掃)RX Mapping'!BG29-241),IF(AND('(橫掃)RX Mapping'!BG29&gt;=361,'(橫掃)RX Mapping'!BG29&lt;=480), (-1)*('(橫掃)RX Mapping'!BG29-480),IF(AND('(橫掃)RX Mapping'!BG29&gt;=481,'(橫掃)RX Mapping'!BG29&lt;=600), ('(橫掃)RX Mapping'!BG29-361),IF(AND('(橫掃)RX Mapping'!BG29&gt;=601,'(橫掃)RX Mapping'!BG29&lt;=720), (-1)*('(橫掃)RX Mapping'!BG29-720)+120,IF(AND('(橫掃)RX Mapping'!BG29&gt;=721,'(橫掃)RX Mapping'!BG29&lt;=840), ('(橫掃)RX Mapping'!BG29-601),IF(AND('(橫掃)RX Mapping'!BG29&gt;=841,'(橫掃)RX Mapping'!BG29&lt;=960), (-1)*('(橫掃)RX Mapping'!BG29-960)+120,9999))))))))</f>
        <v>9999</v>
      </c>
      <c r="BH29">
        <f>IF(AND('(橫掃)RX Mapping'!BH29&gt;=1,'(橫掃)RX Mapping'!BH29&lt;=120), ('(橫掃)RX Mapping'!BH29-1),IF(AND('(橫掃)RX Mapping'!BH29&gt;=121,'(橫掃)RX Mapping'!BH29&lt;=240), (-1)*('(橫掃)RX Mapping'!BH29-240),IF(AND('(橫掃)RX Mapping'!BH29&gt;=241,'(橫掃)RX Mapping'!BH29&lt;=360), ('(橫掃)RX Mapping'!BH29-241),IF(AND('(橫掃)RX Mapping'!BH29&gt;=361,'(橫掃)RX Mapping'!BH29&lt;=480), (-1)*('(橫掃)RX Mapping'!BH29-480),IF(AND('(橫掃)RX Mapping'!BH29&gt;=481,'(橫掃)RX Mapping'!BH29&lt;=600), ('(橫掃)RX Mapping'!BH29-361),IF(AND('(橫掃)RX Mapping'!BH29&gt;=601,'(橫掃)RX Mapping'!BH29&lt;=720), (-1)*('(橫掃)RX Mapping'!BH29-720)+120,IF(AND('(橫掃)RX Mapping'!BH29&gt;=721,'(橫掃)RX Mapping'!BH29&lt;=840), ('(橫掃)RX Mapping'!BH29-601),IF(AND('(橫掃)RX Mapping'!BH29&gt;=841,'(橫掃)RX Mapping'!BH29&lt;=960), (-1)*('(橫掃)RX Mapping'!BH29-960)+120,9999))))))))</f>
        <v>9999</v>
      </c>
      <c r="BI29">
        <f>IF(AND('(橫掃)RX Mapping'!BI29&gt;=1,'(橫掃)RX Mapping'!BI29&lt;=120), ('(橫掃)RX Mapping'!BI29-1),IF(AND('(橫掃)RX Mapping'!BI29&gt;=121,'(橫掃)RX Mapping'!BI29&lt;=240), (-1)*('(橫掃)RX Mapping'!BI29-240),IF(AND('(橫掃)RX Mapping'!BI29&gt;=241,'(橫掃)RX Mapping'!BI29&lt;=360), ('(橫掃)RX Mapping'!BI29-241),IF(AND('(橫掃)RX Mapping'!BI29&gt;=361,'(橫掃)RX Mapping'!BI29&lt;=480), (-1)*('(橫掃)RX Mapping'!BI29-480),IF(AND('(橫掃)RX Mapping'!BI29&gt;=481,'(橫掃)RX Mapping'!BI29&lt;=600), ('(橫掃)RX Mapping'!BI29-361),IF(AND('(橫掃)RX Mapping'!BI29&gt;=601,'(橫掃)RX Mapping'!BI29&lt;=720), (-1)*('(橫掃)RX Mapping'!BI29-720)+120,IF(AND('(橫掃)RX Mapping'!BI29&gt;=721,'(橫掃)RX Mapping'!BI29&lt;=840), ('(橫掃)RX Mapping'!BI29-601),IF(AND('(橫掃)RX Mapping'!BI29&gt;=841,'(橫掃)RX Mapping'!BI29&lt;=960), (-1)*('(橫掃)RX Mapping'!BI29-960)+120,9999))))))))</f>
        <v>9999</v>
      </c>
    </row>
    <row r="30" spans="1:61" x14ac:dyDescent="0.25">
      <c r="A30" s="20">
        <v>29</v>
      </c>
      <c r="B30">
        <f>IF(AND('(橫掃)RX Mapping'!B30&gt;=1,'(橫掃)RX Mapping'!B30&lt;=120), ('(橫掃)RX Mapping'!B30-1),IF(AND('(橫掃)RX Mapping'!B30&gt;=121,'(橫掃)RX Mapping'!B30&lt;=240), (-1)*('(橫掃)RX Mapping'!B30-240),IF(AND('(橫掃)RX Mapping'!B30&gt;=241,'(橫掃)RX Mapping'!B30&lt;=360), ('(橫掃)RX Mapping'!B30-241),IF(AND('(橫掃)RX Mapping'!B30&gt;=361,'(橫掃)RX Mapping'!B30&lt;=480), (-1)*('(橫掃)RX Mapping'!B30-480),IF(AND('(橫掃)RX Mapping'!B30&gt;=481,'(橫掃)RX Mapping'!B30&lt;=600), ('(橫掃)RX Mapping'!B30-361),IF(AND('(橫掃)RX Mapping'!B30&gt;=601,'(橫掃)RX Mapping'!B30&lt;=720), (-1)*('(橫掃)RX Mapping'!B30-720)+120,IF(AND('(橫掃)RX Mapping'!B30&gt;=721,'(橫掃)RX Mapping'!B30&lt;=840), ('(橫掃)RX Mapping'!B30-601),IF(AND('(橫掃)RX Mapping'!B30&gt;=841,'(橫掃)RX Mapping'!B30&lt;=960), (-1)*('(橫掃)RX Mapping'!B30-960)+120,9999))))))))</f>
        <v>28</v>
      </c>
      <c r="C30">
        <f>IF(AND('(橫掃)RX Mapping'!C30&gt;=1,'(橫掃)RX Mapping'!C30&lt;=120), ('(橫掃)RX Mapping'!C30-1),IF(AND('(橫掃)RX Mapping'!C30&gt;=121,'(橫掃)RX Mapping'!C30&lt;=240), (-1)*('(橫掃)RX Mapping'!C30-240),IF(AND('(橫掃)RX Mapping'!C30&gt;=241,'(橫掃)RX Mapping'!C30&lt;=360), ('(橫掃)RX Mapping'!C30-241),IF(AND('(橫掃)RX Mapping'!C30&gt;=361,'(橫掃)RX Mapping'!C30&lt;=480), (-1)*('(橫掃)RX Mapping'!C30-480),IF(AND('(橫掃)RX Mapping'!C30&gt;=481,'(橫掃)RX Mapping'!C30&lt;=600), ('(橫掃)RX Mapping'!C30-361),IF(AND('(橫掃)RX Mapping'!C30&gt;=601,'(橫掃)RX Mapping'!C30&lt;=720), (-1)*('(橫掃)RX Mapping'!C30-720)+120,IF(AND('(橫掃)RX Mapping'!C30&gt;=721,'(橫掃)RX Mapping'!C30&lt;=840), ('(橫掃)RX Mapping'!C30-601),IF(AND('(橫掃)RX Mapping'!C30&gt;=841,'(橫掃)RX Mapping'!C30&lt;=960), (-1)*('(橫掃)RX Mapping'!C30-960)+120,9999))))))))</f>
        <v>60</v>
      </c>
      <c r="D30">
        <f>IF(AND('(橫掃)RX Mapping'!D30&gt;=1,'(橫掃)RX Mapping'!D30&lt;=120), ('(橫掃)RX Mapping'!D30-1),IF(AND('(橫掃)RX Mapping'!D30&gt;=121,'(橫掃)RX Mapping'!D30&lt;=240), (-1)*('(橫掃)RX Mapping'!D30-240),IF(AND('(橫掃)RX Mapping'!D30&gt;=241,'(橫掃)RX Mapping'!D30&lt;=360), ('(橫掃)RX Mapping'!D30-241),IF(AND('(橫掃)RX Mapping'!D30&gt;=361,'(橫掃)RX Mapping'!D30&lt;=480), (-1)*('(橫掃)RX Mapping'!D30-480),IF(AND('(橫掃)RX Mapping'!D30&gt;=481,'(橫掃)RX Mapping'!D30&lt;=600), ('(橫掃)RX Mapping'!D30-361),IF(AND('(橫掃)RX Mapping'!D30&gt;=601,'(橫掃)RX Mapping'!D30&lt;=720), (-1)*('(橫掃)RX Mapping'!D30-720)+120,IF(AND('(橫掃)RX Mapping'!D30&gt;=721,'(橫掃)RX Mapping'!D30&lt;=840), ('(橫掃)RX Mapping'!D30-601),IF(AND('(橫掃)RX Mapping'!D30&gt;=841,'(橫掃)RX Mapping'!D30&lt;=960), (-1)*('(橫掃)RX Mapping'!D30-960)+120,9999))))))))</f>
        <v>92</v>
      </c>
      <c r="E30">
        <f>IF(AND('(橫掃)RX Mapping'!E30&gt;=1,'(橫掃)RX Mapping'!E30&lt;=120), ('(橫掃)RX Mapping'!E30-1),IF(AND('(橫掃)RX Mapping'!E30&gt;=121,'(橫掃)RX Mapping'!E30&lt;=240), (-1)*('(橫掃)RX Mapping'!E30-240),IF(AND('(橫掃)RX Mapping'!E30&gt;=241,'(橫掃)RX Mapping'!E30&lt;=360), ('(橫掃)RX Mapping'!E30-241),IF(AND('(橫掃)RX Mapping'!E30&gt;=361,'(橫掃)RX Mapping'!E30&lt;=480), (-1)*('(橫掃)RX Mapping'!E30-480),IF(AND('(橫掃)RX Mapping'!E30&gt;=481,'(橫掃)RX Mapping'!E30&lt;=600), ('(橫掃)RX Mapping'!E30-361),IF(AND('(橫掃)RX Mapping'!E30&gt;=601,'(橫掃)RX Mapping'!E30&lt;=720), (-1)*('(橫掃)RX Mapping'!E30-720)+120,IF(AND('(橫掃)RX Mapping'!E30&gt;=721,'(橫掃)RX Mapping'!E30&lt;=840), ('(橫掃)RX Mapping'!E30-601),IF(AND('(橫掃)RX Mapping'!E30&gt;=841,'(橫掃)RX Mapping'!E30&lt;=960), (-1)*('(橫掃)RX Mapping'!E30-960)+120,9999))))))))</f>
        <v>115</v>
      </c>
      <c r="F30">
        <f>IF(AND('(橫掃)RX Mapping'!F30&gt;=1,'(橫掃)RX Mapping'!F30&lt;=120), ('(橫掃)RX Mapping'!F30-1),IF(AND('(橫掃)RX Mapping'!F30&gt;=121,'(橫掃)RX Mapping'!F30&lt;=240), (-1)*('(橫掃)RX Mapping'!F30-240),IF(AND('(橫掃)RX Mapping'!F30&gt;=241,'(橫掃)RX Mapping'!F30&lt;=360), ('(橫掃)RX Mapping'!F30-241),IF(AND('(橫掃)RX Mapping'!F30&gt;=361,'(橫掃)RX Mapping'!F30&lt;=480), (-1)*('(橫掃)RX Mapping'!F30-480),IF(AND('(橫掃)RX Mapping'!F30&gt;=481,'(橫掃)RX Mapping'!F30&lt;=600), ('(橫掃)RX Mapping'!F30-361),IF(AND('(橫掃)RX Mapping'!F30&gt;=601,'(橫掃)RX Mapping'!F30&lt;=720), (-1)*('(橫掃)RX Mapping'!F30-720)+120,IF(AND('(橫掃)RX Mapping'!F30&gt;=721,'(橫掃)RX Mapping'!F30&lt;=840), ('(橫掃)RX Mapping'!F30-601),IF(AND('(橫掃)RX Mapping'!F30&gt;=841,'(橫掃)RX Mapping'!F30&lt;=960), (-1)*('(橫掃)RX Mapping'!F30-960)+120,9999))))))))</f>
        <v>83</v>
      </c>
      <c r="G30">
        <f>IF(AND('(橫掃)RX Mapping'!G30&gt;=1,'(橫掃)RX Mapping'!G30&lt;=120), ('(橫掃)RX Mapping'!G30-1),IF(AND('(橫掃)RX Mapping'!G30&gt;=121,'(橫掃)RX Mapping'!G30&lt;=240), (-1)*('(橫掃)RX Mapping'!G30-240),IF(AND('(橫掃)RX Mapping'!G30&gt;=241,'(橫掃)RX Mapping'!G30&lt;=360), ('(橫掃)RX Mapping'!G30-241),IF(AND('(橫掃)RX Mapping'!G30&gt;=361,'(橫掃)RX Mapping'!G30&lt;=480), (-1)*('(橫掃)RX Mapping'!G30-480),IF(AND('(橫掃)RX Mapping'!G30&gt;=481,'(橫掃)RX Mapping'!G30&lt;=600), ('(橫掃)RX Mapping'!G30-361),IF(AND('(橫掃)RX Mapping'!G30&gt;=601,'(橫掃)RX Mapping'!G30&lt;=720), (-1)*('(橫掃)RX Mapping'!G30-720)+120,IF(AND('(橫掃)RX Mapping'!G30&gt;=721,'(橫掃)RX Mapping'!G30&lt;=840), ('(橫掃)RX Mapping'!G30-601),IF(AND('(橫掃)RX Mapping'!G30&gt;=841,'(橫掃)RX Mapping'!G30&lt;=960), (-1)*('(橫掃)RX Mapping'!G30-960)+120,9999))))))))</f>
        <v>51</v>
      </c>
      <c r="H30">
        <f>IF(AND('(橫掃)RX Mapping'!H30&gt;=1,'(橫掃)RX Mapping'!H30&lt;=120), ('(橫掃)RX Mapping'!H30-1),IF(AND('(橫掃)RX Mapping'!H30&gt;=121,'(橫掃)RX Mapping'!H30&lt;=240), (-1)*('(橫掃)RX Mapping'!H30-240),IF(AND('(橫掃)RX Mapping'!H30&gt;=241,'(橫掃)RX Mapping'!H30&lt;=360), ('(橫掃)RX Mapping'!H30-241),IF(AND('(橫掃)RX Mapping'!H30&gt;=361,'(橫掃)RX Mapping'!H30&lt;=480), (-1)*('(橫掃)RX Mapping'!H30-480),IF(AND('(橫掃)RX Mapping'!H30&gt;=481,'(橫掃)RX Mapping'!H30&lt;=600), ('(橫掃)RX Mapping'!H30-361),IF(AND('(橫掃)RX Mapping'!H30&gt;=601,'(橫掃)RX Mapping'!H30&lt;=720), (-1)*('(橫掃)RX Mapping'!H30-720)+120,IF(AND('(橫掃)RX Mapping'!H30&gt;=721,'(橫掃)RX Mapping'!H30&lt;=840), ('(橫掃)RX Mapping'!H30-601),IF(AND('(橫掃)RX Mapping'!H30&gt;=841,'(橫掃)RX Mapping'!H30&lt;=960), (-1)*('(橫掃)RX Mapping'!H30-960)+120,9999))))))))</f>
        <v>19</v>
      </c>
      <c r="I30">
        <f>IF(AND('(橫掃)RX Mapping'!I30&gt;=1,'(橫掃)RX Mapping'!I30&lt;=120), ('(橫掃)RX Mapping'!I30-1),IF(AND('(橫掃)RX Mapping'!I30&gt;=121,'(橫掃)RX Mapping'!I30&lt;=240), (-1)*('(橫掃)RX Mapping'!I30-240),IF(AND('(橫掃)RX Mapping'!I30&gt;=241,'(橫掃)RX Mapping'!I30&lt;=360), ('(橫掃)RX Mapping'!I30-241),IF(AND('(橫掃)RX Mapping'!I30&gt;=361,'(橫掃)RX Mapping'!I30&lt;=480), (-1)*('(橫掃)RX Mapping'!I30-480),IF(AND('(橫掃)RX Mapping'!I30&gt;=481,'(橫掃)RX Mapping'!I30&lt;=600), ('(橫掃)RX Mapping'!I30-361),IF(AND('(橫掃)RX Mapping'!I30&gt;=601,'(橫掃)RX Mapping'!I30&lt;=720), (-1)*('(橫掃)RX Mapping'!I30-720)+120,IF(AND('(橫掃)RX Mapping'!I30&gt;=721,'(橫掃)RX Mapping'!I30&lt;=840), ('(橫掃)RX Mapping'!I30-601),IF(AND('(橫掃)RX Mapping'!I30&gt;=841,'(橫掃)RX Mapping'!I30&lt;=960), (-1)*('(橫掃)RX Mapping'!I30-960)+120,9999))))))))</f>
        <v>28</v>
      </c>
      <c r="J30">
        <f>IF(AND('(橫掃)RX Mapping'!J30&gt;=1,'(橫掃)RX Mapping'!J30&lt;=120), ('(橫掃)RX Mapping'!J30-1),IF(AND('(橫掃)RX Mapping'!J30&gt;=121,'(橫掃)RX Mapping'!J30&lt;=240), (-1)*('(橫掃)RX Mapping'!J30-240),IF(AND('(橫掃)RX Mapping'!J30&gt;=241,'(橫掃)RX Mapping'!J30&lt;=360), ('(橫掃)RX Mapping'!J30-241),IF(AND('(橫掃)RX Mapping'!J30&gt;=361,'(橫掃)RX Mapping'!J30&lt;=480), (-1)*('(橫掃)RX Mapping'!J30-480),IF(AND('(橫掃)RX Mapping'!J30&gt;=481,'(橫掃)RX Mapping'!J30&lt;=600), ('(橫掃)RX Mapping'!J30-361),IF(AND('(橫掃)RX Mapping'!J30&gt;=601,'(橫掃)RX Mapping'!J30&lt;=720), (-1)*('(橫掃)RX Mapping'!J30-720)+120,IF(AND('(橫掃)RX Mapping'!J30&gt;=721,'(橫掃)RX Mapping'!J30&lt;=840), ('(橫掃)RX Mapping'!J30-601),IF(AND('(橫掃)RX Mapping'!J30&gt;=841,'(橫掃)RX Mapping'!J30&lt;=960), (-1)*('(橫掃)RX Mapping'!J30-960)+120,9999))))))))</f>
        <v>60</v>
      </c>
      <c r="K30">
        <f>IF(AND('(橫掃)RX Mapping'!K30&gt;=1,'(橫掃)RX Mapping'!K30&lt;=120), ('(橫掃)RX Mapping'!K30-1),IF(AND('(橫掃)RX Mapping'!K30&gt;=121,'(橫掃)RX Mapping'!K30&lt;=240), (-1)*('(橫掃)RX Mapping'!K30-240),IF(AND('(橫掃)RX Mapping'!K30&gt;=241,'(橫掃)RX Mapping'!K30&lt;=360), ('(橫掃)RX Mapping'!K30-241),IF(AND('(橫掃)RX Mapping'!K30&gt;=361,'(橫掃)RX Mapping'!K30&lt;=480), (-1)*('(橫掃)RX Mapping'!K30-480),IF(AND('(橫掃)RX Mapping'!K30&gt;=481,'(橫掃)RX Mapping'!K30&lt;=600), ('(橫掃)RX Mapping'!K30-361),IF(AND('(橫掃)RX Mapping'!K30&gt;=601,'(橫掃)RX Mapping'!K30&lt;=720), (-1)*('(橫掃)RX Mapping'!K30-720)+120,IF(AND('(橫掃)RX Mapping'!K30&gt;=721,'(橫掃)RX Mapping'!K30&lt;=840), ('(橫掃)RX Mapping'!K30-601),IF(AND('(橫掃)RX Mapping'!K30&gt;=841,'(橫掃)RX Mapping'!K30&lt;=960), (-1)*('(橫掃)RX Mapping'!K30-960)+120,9999))))))))</f>
        <v>92</v>
      </c>
      <c r="L30">
        <f>IF(AND('(橫掃)RX Mapping'!L30&gt;=1,'(橫掃)RX Mapping'!L30&lt;=120), ('(橫掃)RX Mapping'!L30-1),IF(AND('(橫掃)RX Mapping'!L30&gt;=121,'(橫掃)RX Mapping'!L30&lt;=240), (-1)*('(橫掃)RX Mapping'!L30-240),IF(AND('(橫掃)RX Mapping'!L30&gt;=241,'(橫掃)RX Mapping'!L30&lt;=360), ('(橫掃)RX Mapping'!L30-241),IF(AND('(橫掃)RX Mapping'!L30&gt;=361,'(橫掃)RX Mapping'!L30&lt;=480), (-1)*('(橫掃)RX Mapping'!L30-480),IF(AND('(橫掃)RX Mapping'!L30&gt;=481,'(橫掃)RX Mapping'!L30&lt;=600), ('(橫掃)RX Mapping'!L30-361),IF(AND('(橫掃)RX Mapping'!L30&gt;=601,'(橫掃)RX Mapping'!L30&lt;=720), (-1)*('(橫掃)RX Mapping'!L30-720)+120,IF(AND('(橫掃)RX Mapping'!L30&gt;=721,'(橫掃)RX Mapping'!L30&lt;=840), ('(橫掃)RX Mapping'!L30-601),IF(AND('(橫掃)RX Mapping'!L30&gt;=841,'(橫掃)RX Mapping'!L30&lt;=960), (-1)*('(橫掃)RX Mapping'!L30-960)+120,9999))))))))</f>
        <v>115</v>
      </c>
      <c r="M30">
        <f>IF(AND('(橫掃)RX Mapping'!M30&gt;=1,'(橫掃)RX Mapping'!M30&lt;=120), ('(橫掃)RX Mapping'!M30-1),IF(AND('(橫掃)RX Mapping'!M30&gt;=121,'(橫掃)RX Mapping'!M30&lt;=240), (-1)*('(橫掃)RX Mapping'!M30-240),IF(AND('(橫掃)RX Mapping'!M30&gt;=241,'(橫掃)RX Mapping'!M30&lt;=360), ('(橫掃)RX Mapping'!M30-241),IF(AND('(橫掃)RX Mapping'!M30&gt;=361,'(橫掃)RX Mapping'!M30&lt;=480), (-1)*('(橫掃)RX Mapping'!M30-480),IF(AND('(橫掃)RX Mapping'!M30&gt;=481,'(橫掃)RX Mapping'!M30&lt;=600), ('(橫掃)RX Mapping'!M30-361),IF(AND('(橫掃)RX Mapping'!M30&gt;=601,'(橫掃)RX Mapping'!M30&lt;=720), (-1)*('(橫掃)RX Mapping'!M30-720)+120,IF(AND('(橫掃)RX Mapping'!M30&gt;=721,'(橫掃)RX Mapping'!M30&lt;=840), ('(橫掃)RX Mapping'!M30-601),IF(AND('(橫掃)RX Mapping'!M30&gt;=841,'(橫掃)RX Mapping'!M30&lt;=960), (-1)*('(橫掃)RX Mapping'!M30-960)+120,9999))))))))</f>
        <v>83</v>
      </c>
      <c r="N30">
        <f>IF(AND('(橫掃)RX Mapping'!N30&gt;=1,'(橫掃)RX Mapping'!N30&lt;=120), ('(橫掃)RX Mapping'!N30-1),IF(AND('(橫掃)RX Mapping'!N30&gt;=121,'(橫掃)RX Mapping'!N30&lt;=240), (-1)*('(橫掃)RX Mapping'!N30-240),IF(AND('(橫掃)RX Mapping'!N30&gt;=241,'(橫掃)RX Mapping'!N30&lt;=360), ('(橫掃)RX Mapping'!N30-241),IF(AND('(橫掃)RX Mapping'!N30&gt;=361,'(橫掃)RX Mapping'!N30&lt;=480), (-1)*('(橫掃)RX Mapping'!N30-480),IF(AND('(橫掃)RX Mapping'!N30&gt;=481,'(橫掃)RX Mapping'!N30&lt;=600), ('(橫掃)RX Mapping'!N30-361),IF(AND('(橫掃)RX Mapping'!N30&gt;=601,'(橫掃)RX Mapping'!N30&lt;=720), (-1)*('(橫掃)RX Mapping'!N30-720)+120,IF(AND('(橫掃)RX Mapping'!N30&gt;=721,'(橫掃)RX Mapping'!N30&lt;=840), ('(橫掃)RX Mapping'!N30-601),IF(AND('(橫掃)RX Mapping'!N30&gt;=841,'(橫掃)RX Mapping'!N30&lt;=960), (-1)*('(橫掃)RX Mapping'!N30-960)+120,9999))))))))</f>
        <v>51</v>
      </c>
      <c r="O30">
        <f>IF(AND('(橫掃)RX Mapping'!O30&gt;=1,'(橫掃)RX Mapping'!O30&lt;=120), ('(橫掃)RX Mapping'!O30-1),IF(AND('(橫掃)RX Mapping'!O30&gt;=121,'(橫掃)RX Mapping'!O30&lt;=240), (-1)*('(橫掃)RX Mapping'!O30-240),IF(AND('(橫掃)RX Mapping'!O30&gt;=241,'(橫掃)RX Mapping'!O30&lt;=360), ('(橫掃)RX Mapping'!O30-241),IF(AND('(橫掃)RX Mapping'!O30&gt;=361,'(橫掃)RX Mapping'!O30&lt;=480), (-1)*('(橫掃)RX Mapping'!O30-480),IF(AND('(橫掃)RX Mapping'!O30&gt;=481,'(橫掃)RX Mapping'!O30&lt;=600), ('(橫掃)RX Mapping'!O30-361),IF(AND('(橫掃)RX Mapping'!O30&gt;=601,'(橫掃)RX Mapping'!O30&lt;=720), (-1)*('(橫掃)RX Mapping'!O30-720)+120,IF(AND('(橫掃)RX Mapping'!O30&gt;=721,'(橫掃)RX Mapping'!O30&lt;=840), ('(橫掃)RX Mapping'!O30-601),IF(AND('(橫掃)RX Mapping'!O30&gt;=841,'(橫掃)RX Mapping'!O30&lt;=960), (-1)*('(橫掃)RX Mapping'!O30-960)+120,9999))))))))</f>
        <v>19</v>
      </c>
      <c r="P30">
        <f>IF(AND('(橫掃)RX Mapping'!P30&gt;=1,'(橫掃)RX Mapping'!P30&lt;=120), ('(橫掃)RX Mapping'!P30-1),IF(AND('(橫掃)RX Mapping'!P30&gt;=121,'(橫掃)RX Mapping'!P30&lt;=240), (-1)*('(橫掃)RX Mapping'!P30-240),IF(AND('(橫掃)RX Mapping'!P30&gt;=241,'(橫掃)RX Mapping'!P30&lt;=360), ('(橫掃)RX Mapping'!P30-241),IF(AND('(橫掃)RX Mapping'!P30&gt;=361,'(橫掃)RX Mapping'!P30&lt;=480), (-1)*('(橫掃)RX Mapping'!P30-480),IF(AND('(橫掃)RX Mapping'!P30&gt;=481,'(橫掃)RX Mapping'!P30&lt;=600), ('(橫掃)RX Mapping'!P30-361),IF(AND('(橫掃)RX Mapping'!P30&gt;=601,'(橫掃)RX Mapping'!P30&lt;=720), (-1)*('(橫掃)RX Mapping'!P30-720)+120,IF(AND('(橫掃)RX Mapping'!P30&gt;=721,'(橫掃)RX Mapping'!P30&lt;=840), ('(橫掃)RX Mapping'!P30-601),IF(AND('(橫掃)RX Mapping'!P30&gt;=841,'(橫掃)RX Mapping'!P30&lt;=960), (-1)*('(橫掃)RX Mapping'!P30-960)+120,9999))))))))</f>
        <v>148</v>
      </c>
      <c r="Q30">
        <f>IF(AND('(橫掃)RX Mapping'!Q30&gt;=1,'(橫掃)RX Mapping'!Q30&lt;=120), ('(橫掃)RX Mapping'!Q30-1),IF(AND('(橫掃)RX Mapping'!Q30&gt;=121,'(橫掃)RX Mapping'!Q30&lt;=240), (-1)*('(橫掃)RX Mapping'!Q30-240),IF(AND('(橫掃)RX Mapping'!Q30&gt;=241,'(橫掃)RX Mapping'!Q30&lt;=360), ('(橫掃)RX Mapping'!Q30-241),IF(AND('(橫掃)RX Mapping'!Q30&gt;=361,'(橫掃)RX Mapping'!Q30&lt;=480), (-1)*('(橫掃)RX Mapping'!Q30-480),IF(AND('(橫掃)RX Mapping'!Q30&gt;=481,'(橫掃)RX Mapping'!Q30&lt;=600), ('(橫掃)RX Mapping'!Q30-361),IF(AND('(橫掃)RX Mapping'!Q30&gt;=601,'(橫掃)RX Mapping'!Q30&lt;=720), (-1)*('(橫掃)RX Mapping'!Q30-720)+120,IF(AND('(橫掃)RX Mapping'!Q30&gt;=721,'(橫掃)RX Mapping'!Q30&lt;=840), ('(橫掃)RX Mapping'!Q30-601),IF(AND('(橫掃)RX Mapping'!Q30&gt;=841,'(橫掃)RX Mapping'!Q30&lt;=960), (-1)*('(橫掃)RX Mapping'!Q30-960)+120,9999))))))))</f>
        <v>180</v>
      </c>
      <c r="R30">
        <f>IF(AND('(橫掃)RX Mapping'!R30&gt;=1,'(橫掃)RX Mapping'!R30&lt;=120), ('(橫掃)RX Mapping'!R30-1),IF(AND('(橫掃)RX Mapping'!R30&gt;=121,'(橫掃)RX Mapping'!R30&lt;=240), (-1)*('(橫掃)RX Mapping'!R30-240),IF(AND('(橫掃)RX Mapping'!R30&gt;=241,'(橫掃)RX Mapping'!R30&lt;=360), ('(橫掃)RX Mapping'!R30-241),IF(AND('(橫掃)RX Mapping'!R30&gt;=361,'(橫掃)RX Mapping'!R30&lt;=480), (-1)*('(橫掃)RX Mapping'!R30-480),IF(AND('(橫掃)RX Mapping'!R30&gt;=481,'(橫掃)RX Mapping'!R30&lt;=600), ('(橫掃)RX Mapping'!R30-361),IF(AND('(橫掃)RX Mapping'!R30&gt;=601,'(橫掃)RX Mapping'!R30&lt;=720), (-1)*('(橫掃)RX Mapping'!R30-720)+120,IF(AND('(橫掃)RX Mapping'!R30&gt;=721,'(橫掃)RX Mapping'!R30&lt;=840), ('(橫掃)RX Mapping'!R30-601),IF(AND('(橫掃)RX Mapping'!R30&gt;=841,'(橫掃)RX Mapping'!R30&lt;=960), (-1)*('(橫掃)RX Mapping'!R30-960)+120,9999))))))))</f>
        <v>212</v>
      </c>
      <c r="S30">
        <f>IF(AND('(橫掃)RX Mapping'!S30&gt;=1,'(橫掃)RX Mapping'!S30&lt;=120), ('(橫掃)RX Mapping'!S30-1),IF(AND('(橫掃)RX Mapping'!S30&gt;=121,'(橫掃)RX Mapping'!S30&lt;=240), (-1)*('(橫掃)RX Mapping'!S30-240),IF(AND('(橫掃)RX Mapping'!S30&gt;=241,'(橫掃)RX Mapping'!S30&lt;=360), ('(橫掃)RX Mapping'!S30-241),IF(AND('(橫掃)RX Mapping'!S30&gt;=361,'(橫掃)RX Mapping'!S30&lt;=480), (-1)*('(橫掃)RX Mapping'!S30-480),IF(AND('(橫掃)RX Mapping'!S30&gt;=481,'(橫掃)RX Mapping'!S30&lt;=600), ('(橫掃)RX Mapping'!S30-361),IF(AND('(橫掃)RX Mapping'!S30&gt;=601,'(橫掃)RX Mapping'!S30&lt;=720), (-1)*('(橫掃)RX Mapping'!S30-720)+120,IF(AND('(橫掃)RX Mapping'!S30&gt;=721,'(橫掃)RX Mapping'!S30&lt;=840), ('(橫掃)RX Mapping'!S30-601),IF(AND('(橫掃)RX Mapping'!S30&gt;=841,'(橫掃)RX Mapping'!S30&lt;=960), (-1)*('(橫掃)RX Mapping'!S30-960)+120,9999))))))))</f>
        <v>235</v>
      </c>
      <c r="T30">
        <f>IF(AND('(橫掃)RX Mapping'!T30&gt;=1,'(橫掃)RX Mapping'!T30&lt;=120), ('(橫掃)RX Mapping'!T30-1),IF(AND('(橫掃)RX Mapping'!T30&gt;=121,'(橫掃)RX Mapping'!T30&lt;=240), (-1)*('(橫掃)RX Mapping'!T30-240),IF(AND('(橫掃)RX Mapping'!T30&gt;=241,'(橫掃)RX Mapping'!T30&lt;=360), ('(橫掃)RX Mapping'!T30-241),IF(AND('(橫掃)RX Mapping'!T30&gt;=361,'(橫掃)RX Mapping'!T30&lt;=480), (-1)*('(橫掃)RX Mapping'!T30-480),IF(AND('(橫掃)RX Mapping'!T30&gt;=481,'(橫掃)RX Mapping'!T30&lt;=600), ('(橫掃)RX Mapping'!T30-361),IF(AND('(橫掃)RX Mapping'!T30&gt;=601,'(橫掃)RX Mapping'!T30&lt;=720), (-1)*('(橫掃)RX Mapping'!T30-720)+120,IF(AND('(橫掃)RX Mapping'!T30&gt;=721,'(橫掃)RX Mapping'!T30&lt;=840), ('(橫掃)RX Mapping'!T30-601),IF(AND('(橫掃)RX Mapping'!T30&gt;=841,'(橫掃)RX Mapping'!T30&lt;=960), (-1)*('(橫掃)RX Mapping'!T30-960)+120,9999))))))))</f>
        <v>203</v>
      </c>
      <c r="U30">
        <f>IF(AND('(橫掃)RX Mapping'!U30&gt;=1,'(橫掃)RX Mapping'!U30&lt;=120), ('(橫掃)RX Mapping'!U30-1),IF(AND('(橫掃)RX Mapping'!U30&gt;=121,'(橫掃)RX Mapping'!U30&lt;=240), (-1)*('(橫掃)RX Mapping'!U30-240),IF(AND('(橫掃)RX Mapping'!U30&gt;=241,'(橫掃)RX Mapping'!U30&lt;=360), ('(橫掃)RX Mapping'!U30-241),IF(AND('(橫掃)RX Mapping'!U30&gt;=361,'(橫掃)RX Mapping'!U30&lt;=480), (-1)*('(橫掃)RX Mapping'!U30-480),IF(AND('(橫掃)RX Mapping'!U30&gt;=481,'(橫掃)RX Mapping'!U30&lt;=600), ('(橫掃)RX Mapping'!U30-361),IF(AND('(橫掃)RX Mapping'!U30&gt;=601,'(橫掃)RX Mapping'!U30&lt;=720), (-1)*('(橫掃)RX Mapping'!U30-720)+120,IF(AND('(橫掃)RX Mapping'!U30&gt;=721,'(橫掃)RX Mapping'!U30&lt;=840), ('(橫掃)RX Mapping'!U30-601),IF(AND('(橫掃)RX Mapping'!U30&gt;=841,'(橫掃)RX Mapping'!U30&lt;=960), (-1)*('(橫掃)RX Mapping'!U30-960)+120,9999))))))))</f>
        <v>171</v>
      </c>
      <c r="V30">
        <f>IF(AND('(橫掃)RX Mapping'!V30&gt;=1,'(橫掃)RX Mapping'!V30&lt;=120), ('(橫掃)RX Mapping'!V30-1),IF(AND('(橫掃)RX Mapping'!V30&gt;=121,'(橫掃)RX Mapping'!V30&lt;=240), (-1)*('(橫掃)RX Mapping'!V30-240),IF(AND('(橫掃)RX Mapping'!V30&gt;=241,'(橫掃)RX Mapping'!V30&lt;=360), ('(橫掃)RX Mapping'!V30-241),IF(AND('(橫掃)RX Mapping'!V30&gt;=361,'(橫掃)RX Mapping'!V30&lt;=480), (-1)*('(橫掃)RX Mapping'!V30-480),IF(AND('(橫掃)RX Mapping'!V30&gt;=481,'(橫掃)RX Mapping'!V30&lt;=600), ('(橫掃)RX Mapping'!V30-361),IF(AND('(橫掃)RX Mapping'!V30&gt;=601,'(橫掃)RX Mapping'!V30&lt;=720), (-1)*('(橫掃)RX Mapping'!V30-720)+120,IF(AND('(橫掃)RX Mapping'!V30&gt;=721,'(橫掃)RX Mapping'!V30&lt;=840), ('(橫掃)RX Mapping'!V30-601),IF(AND('(橫掃)RX Mapping'!V30&gt;=841,'(橫掃)RX Mapping'!V30&lt;=960), (-1)*('(橫掃)RX Mapping'!V30-960)+120,9999))))))))</f>
        <v>139</v>
      </c>
      <c r="W30">
        <f>IF(AND('(橫掃)RX Mapping'!W30&gt;=1,'(橫掃)RX Mapping'!W30&lt;=120), ('(橫掃)RX Mapping'!W30-1),IF(AND('(橫掃)RX Mapping'!W30&gt;=121,'(橫掃)RX Mapping'!W30&lt;=240), (-1)*('(橫掃)RX Mapping'!W30-240),IF(AND('(橫掃)RX Mapping'!W30&gt;=241,'(橫掃)RX Mapping'!W30&lt;=360), ('(橫掃)RX Mapping'!W30-241),IF(AND('(橫掃)RX Mapping'!W30&gt;=361,'(橫掃)RX Mapping'!W30&lt;=480), (-1)*('(橫掃)RX Mapping'!W30-480),IF(AND('(橫掃)RX Mapping'!W30&gt;=481,'(橫掃)RX Mapping'!W30&lt;=600), ('(橫掃)RX Mapping'!W30-361),IF(AND('(橫掃)RX Mapping'!W30&gt;=601,'(橫掃)RX Mapping'!W30&lt;=720), (-1)*('(橫掃)RX Mapping'!W30-720)+120,IF(AND('(橫掃)RX Mapping'!W30&gt;=721,'(橫掃)RX Mapping'!W30&lt;=840), ('(橫掃)RX Mapping'!W30-601),IF(AND('(橫掃)RX Mapping'!W30&gt;=841,'(橫掃)RX Mapping'!W30&lt;=960), (-1)*('(橫掃)RX Mapping'!W30-960)+120,9999))))))))</f>
        <v>148</v>
      </c>
      <c r="X30">
        <f>IF(AND('(橫掃)RX Mapping'!X30&gt;=1,'(橫掃)RX Mapping'!X30&lt;=120), ('(橫掃)RX Mapping'!X30-1),IF(AND('(橫掃)RX Mapping'!X30&gt;=121,'(橫掃)RX Mapping'!X30&lt;=240), (-1)*('(橫掃)RX Mapping'!X30-240),IF(AND('(橫掃)RX Mapping'!X30&gt;=241,'(橫掃)RX Mapping'!X30&lt;=360), ('(橫掃)RX Mapping'!X30-241),IF(AND('(橫掃)RX Mapping'!X30&gt;=361,'(橫掃)RX Mapping'!X30&lt;=480), (-1)*('(橫掃)RX Mapping'!X30-480),IF(AND('(橫掃)RX Mapping'!X30&gt;=481,'(橫掃)RX Mapping'!X30&lt;=600), ('(橫掃)RX Mapping'!X30-361),IF(AND('(橫掃)RX Mapping'!X30&gt;=601,'(橫掃)RX Mapping'!X30&lt;=720), (-1)*('(橫掃)RX Mapping'!X30-720)+120,IF(AND('(橫掃)RX Mapping'!X30&gt;=721,'(橫掃)RX Mapping'!X30&lt;=840), ('(橫掃)RX Mapping'!X30-601),IF(AND('(橫掃)RX Mapping'!X30&gt;=841,'(橫掃)RX Mapping'!X30&lt;=960), (-1)*('(橫掃)RX Mapping'!X30-960)+120,9999))))))))</f>
        <v>180</v>
      </c>
      <c r="Y30">
        <f>IF(AND('(橫掃)RX Mapping'!Y30&gt;=1,'(橫掃)RX Mapping'!Y30&lt;=120), ('(橫掃)RX Mapping'!Y30-1),IF(AND('(橫掃)RX Mapping'!Y30&gt;=121,'(橫掃)RX Mapping'!Y30&lt;=240), (-1)*('(橫掃)RX Mapping'!Y30-240),IF(AND('(橫掃)RX Mapping'!Y30&gt;=241,'(橫掃)RX Mapping'!Y30&lt;=360), ('(橫掃)RX Mapping'!Y30-241),IF(AND('(橫掃)RX Mapping'!Y30&gt;=361,'(橫掃)RX Mapping'!Y30&lt;=480), (-1)*('(橫掃)RX Mapping'!Y30-480),IF(AND('(橫掃)RX Mapping'!Y30&gt;=481,'(橫掃)RX Mapping'!Y30&lt;=600), ('(橫掃)RX Mapping'!Y30-361),IF(AND('(橫掃)RX Mapping'!Y30&gt;=601,'(橫掃)RX Mapping'!Y30&lt;=720), (-1)*('(橫掃)RX Mapping'!Y30-720)+120,IF(AND('(橫掃)RX Mapping'!Y30&gt;=721,'(橫掃)RX Mapping'!Y30&lt;=840), ('(橫掃)RX Mapping'!Y30-601),IF(AND('(橫掃)RX Mapping'!Y30&gt;=841,'(橫掃)RX Mapping'!Y30&lt;=960), (-1)*('(橫掃)RX Mapping'!Y30-960)+120,9999))))))))</f>
        <v>212</v>
      </c>
      <c r="Z30">
        <f>IF(AND('(橫掃)RX Mapping'!Z30&gt;=1,'(橫掃)RX Mapping'!Z30&lt;=120), ('(橫掃)RX Mapping'!Z30-1),IF(AND('(橫掃)RX Mapping'!Z30&gt;=121,'(橫掃)RX Mapping'!Z30&lt;=240), (-1)*('(橫掃)RX Mapping'!Z30-240),IF(AND('(橫掃)RX Mapping'!Z30&gt;=241,'(橫掃)RX Mapping'!Z30&lt;=360), ('(橫掃)RX Mapping'!Z30-241),IF(AND('(橫掃)RX Mapping'!Z30&gt;=361,'(橫掃)RX Mapping'!Z30&lt;=480), (-1)*('(橫掃)RX Mapping'!Z30-480),IF(AND('(橫掃)RX Mapping'!Z30&gt;=481,'(橫掃)RX Mapping'!Z30&lt;=600), ('(橫掃)RX Mapping'!Z30-361),IF(AND('(橫掃)RX Mapping'!Z30&gt;=601,'(橫掃)RX Mapping'!Z30&lt;=720), (-1)*('(橫掃)RX Mapping'!Z30-720)+120,IF(AND('(橫掃)RX Mapping'!Z30&gt;=721,'(橫掃)RX Mapping'!Z30&lt;=840), ('(橫掃)RX Mapping'!Z30-601),IF(AND('(橫掃)RX Mapping'!Z30&gt;=841,'(橫掃)RX Mapping'!Z30&lt;=960), (-1)*('(橫掃)RX Mapping'!Z30-960)+120,9999))))))))</f>
        <v>235</v>
      </c>
      <c r="AA30">
        <f>IF(AND('(橫掃)RX Mapping'!AA30&gt;=1,'(橫掃)RX Mapping'!AA30&lt;=120), ('(橫掃)RX Mapping'!AA30-1),IF(AND('(橫掃)RX Mapping'!AA30&gt;=121,'(橫掃)RX Mapping'!AA30&lt;=240), (-1)*('(橫掃)RX Mapping'!AA30-240),IF(AND('(橫掃)RX Mapping'!AA30&gt;=241,'(橫掃)RX Mapping'!AA30&lt;=360), ('(橫掃)RX Mapping'!AA30-241),IF(AND('(橫掃)RX Mapping'!AA30&gt;=361,'(橫掃)RX Mapping'!AA30&lt;=480), (-1)*('(橫掃)RX Mapping'!AA30-480),IF(AND('(橫掃)RX Mapping'!AA30&gt;=481,'(橫掃)RX Mapping'!AA30&lt;=600), ('(橫掃)RX Mapping'!AA30-361),IF(AND('(橫掃)RX Mapping'!AA30&gt;=601,'(橫掃)RX Mapping'!AA30&lt;=720), (-1)*('(橫掃)RX Mapping'!AA30-720)+120,IF(AND('(橫掃)RX Mapping'!AA30&gt;=721,'(橫掃)RX Mapping'!AA30&lt;=840), ('(橫掃)RX Mapping'!AA30-601),IF(AND('(橫掃)RX Mapping'!AA30&gt;=841,'(橫掃)RX Mapping'!AA30&lt;=960), (-1)*('(橫掃)RX Mapping'!AA30-960)+120,9999))))))))</f>
        <v>203</v>
      </c>
      <c r="AB30">
        <f>IF(AND('(橫掃)RX Mapping'!AB30&gt;=1,'(橫掃)RX Mapping'!AB30&lt;=120), ('(橫掃)RX Mapping'!AB30-1),IF(AND('(橫掃)RX Mapping'!AB30&gt;=121,'(橫掃)RX Mapping'!AB30&lt;=240), (-1)*('(橫掃)RX Mapping'!AB30-240),IF(AND('(橫掃)RX Mapping'!AB30&gt;=241,'(橫掃)RX Mapping'!AB30&lt;=360), ('(橫掃)RX Mapping'!AB30-241),IF(AND('(橫掃)RX Mapping'!AB30&gt;=361,'(橫掃)RX Mapping'!AB30&lt;=480), (-1)*('(橫掃)RX Mapping'!AB30-480),IF(AND('(橫掃)RX Mapping'!AB30&gt;=481,'(橫掃)RX Mapping'!AB30&lt;=600), ('(橫掃)RX Mapping'!AB30-361),IF(AND('(橫掃)RX Mapping'!AB30&gt;=601,'(橫掃)RX Mapping'!AB30&lt;=720), (-1)*('(橫掃)RX Mapping'!AB30-720)+120,IF(AND('(橫掃)RX Mapping'!AB30&gt;=721,'(橫掃)RX Mapping'!AB30&lt;=840), ('(橫掃)RX Mapping'!AB30-601),IF(AND('(橫掃)RX Mapping'!AB30&gt;=841,'(橫掃)RX Mapping'!AB30&lt;=960), (-1)*('(橫掃)RX Mapping'!AB30-960)+120,9999))))))))</f>
        <v>171</v>
      </c>
      <c r="AC30">
        <f>IF(AND('(橫掃)RX Mapping'!AC30&gt;=1,'(橫掃)RX Mapping'!AC30&lt;=120), ('(橫掃)RX Mapping'!AC30-1),IF(AND('(橫掃)RX Mapping'!AC30&gt;=121,'(橫掃)RX Mapping'!AC30&lt;=240), (-1)*('(橫掃)RX Mapping'!AC30-240),IF(AND('(橫掃)RX Mapping'!AC30&gt;=241,'(橫掃)RX Mapping'!AC30&lt;=360), ('(橫掃)RX Mapping'!AC30-241),IF(AND('(橫掃)RX Mapping'!AC30&gt;=361,'(橫掃)RX Mapping'!AC30&lt;=480), (-1)*('(橫掃)RX Mapping'!AC30-480),IF(AND('(橫掃)RX Mapping'!AC30&gt;=481,'(橫掃)RX Mapping'!AC30&lt;=600), ('(橫掃)RX Mapping'!AC30-361),IF(AND('(橫掃)RX Mapping'!AC30&gt;=601,'(橫掃)RX Mapping'!AC30&lt;=720), (-1)*('(橫掃)RX Mapping'!AC30-720)+120,IF(AND('(橫掃)RX Mapping'!AC30&gt;=721,'(橫掃)RX Mapping'!AC30&lt;=840), ('(橫掃)RX Mapping'!AC30-601),IF(AND('(橫掃)RX Mapping'!AC30&gt;=841,'(橫掃)RX Mapping'!AC30&lt;=960), (-1)*('(橫掃)RX Mapping'!AC30-960)+120,9999))))))))</f>
        <v>139</v>
      </c>
      <c r="AD30">
        <f>IF(AND('(橫掃)RX Mapping'!AD30&gt;=1,'(橫掃)RX Mapping'!AD30&lt;=120), ('(橫掃)RX Mapping'!AD30-1),IF(AND('(橫掃)RX Mapping'!AD30&gt;=121,'(橫掃)RX Mapping'!AD30&lt;=240), (-1)*('(橫掃)RX Mapping'!AD30-240),IF(AND('(橫掃)RX Mapping'!AD30&gt;=241,'(橫掃)RX Mapping'!AD30&lt;=360), ('(橫掃)RX Mapping'!AD30-241),IF(AND('(橫掃)RX Mapping'!AD30&gt;=361,'(橫掃)RX Mapping'!AD30&lt;=480), (-1)*('(橫掃)RX Mapping'!AD30-480),IF(AND('(橫掃)RX Mapping'!AD30&gt;=481,'(橫掃)RX Mapping'!AD30&lt;=600), ('(橫掃)RX Mapping'!AD30-361),IF(AND('(橫掃)RX Mapping'!AD30&gt;=601,'(橫掃)RX Mapping'!AD30&lt;=720), (-1)*('(橫掃)RX Mapping'!AD30-720)+120,IF(AND('(橫掃)RX Mapping'!AD30&gt;=721,'(橫掃)RX Mapping'!AD30&lt;=840), ('(橫掃)RX Mapping'!AD30-601),IF(AND('(橫掃)RX Mapping'!AD30&gt;=841,'(橫掃)RX Mapping'!AD30&lt;=960), (-1)*('(橫掃)RX Mapping'!AD30-960)+120,9999))))))))</f>
        <v>9999</v>
      </c>
      <c r="AE30">
        <f>IF(AND('(橫掃)RX Mapping'!AE30&gt;=1,'(橫掃)RX Mapping'!AE30&lt;=120), ('(橫掃)RX Mapping'!AE30-1),IF(AND('(橫掃)RX Mapping'!AE30&gt;=121,'(橫掃)RX Mapping'!AE30&lt;=240), (-1)*('(橫掃)RX Mapping'!AE30-240),IF(AND('(橫掃)RX Mapping'!AE30&gt;=241,'(橫掃)RX Mapping'!AE30&lt;=360), ('(橫掃)RX Mapping'!AE30-241),IF(AND('(橫掃)RX Mapping'!AE30&gt;=361,'(橫掃)RX Mapping'!AE30&lt;=480), (-1)*('(橫掃)RX Mapping'!AE30-480),IF(AND('(橫掃)RX Mapping'!AE30&gt;=481,'(橫掃)RX Mapping'!AE30&lt;=600), ('(橫掃)RX Mapping'!AE30-361),IF(AND('(橫掃)RX Mapping'!AE30&gt;=601,'(橫掃)RX Mapping'!AE30&lt;=720), (-1)*('(橫掃)RX Mapping'!AE30-720)+120,IF(AND('(橫掃)RX Mapping'!AE30&gt;=721,'(橫掃)RX Mapping'!AE30&lt;=840), ('(橫掃)RX Mapping'!AE30-601),IF(AND('(橫掃)RX Mapping'!AE30&gt;=841,'(橫掃)RX Mapping'!AE30&lt;=960), (-1)*('(橫掃)RX Mapping'!AE30-960)+120,9999))))))))</f>
        <v>9999</v>
      </c>
      <c r="AF30">
        <f>IF(AND('(橫掃)RX Mapping'!AF30&gt;=1,'(橫掃)RX Mapping'!AF30&lt;=120), ('(橫掃)RX Mapping'!AF30-1),IF(AND('(橫掃)RX Mapping'!AF30&gt;=121,'(橫掃)RX Mapping'!AF30&lt;=240), (-1)*('(橫掃)RX Mapping'!AF30-240),IF(AND('(橫掃)RX Mapping'!AF30&gt;=241,'(橫掃)RX Mapping'!AF30&lt;=360), ('(橫掃)RX Mapping'!AF30-241),IF(AND('(橫掃)RX Mapping'!AF30&gt;=361,'(橫掃)RX Mapping'!AF30&lt;=480), (-1)*('(橫掃)RX Mapping'!AF30-480),IF(AND('(橫掃)RX Mapping'!AF30&gt;=481,'(橫掃)RX Mapping'!AF30&lt;=600), ('(橫掃)RX Mapping'!AF30-361),IF(AND('(橫掃)RX Mapping'!AF30&gt;=601,'(橫掃)RX Mapping'!AF30&lt;=720), (-1)*('(橫掃)RX Mapping'!AF30-720)+120,IF(AND('(橫掃)RX Mapping'!AF30&gt;=721,'(橫掃)RX Mapping'!AF30&lt;=840), ('(橫掃)RX Mapping'!AF30-601),IF(AND('(橫掃)RX Mapping'!AF30&gt;=841,'(橫掃)RX Mapping'!AF30&lt;=960), (-1)*('(橫掃)RX Mapping'!AF30-960)+120,9999))))))))</f>
        <v>9999</v>
      </c>
      <c r="AG30">
        <f>IF(AND('(橫掃)RX Mapping'!AG30&gt;=1,'(橫掃)RX Mapping'!AG30&lt;=120), ('(橫掃)RX Mapping'!AG30-1),IF(AND('(橫掃)RX Mapping'!AG30&gt;=121,'(橫掃)RX Mapping'!AG30&lt;=240), (-1)*('(橫掃)RX Mapping'!AG30-240),IF(AND('(橫掃)RX Mapping'!AG30&gt;=241,'(橫掃)RX Mapping'!AG30&lt;=360), ('(橫掃)RX Mapping'!AG30-241),IF(AND('(橫掃)RX Mapping'!AG30&gt;=361,'(橫掃)RX Mapping'!AG30&lt;=480), (-1)*('(橫掃)RX Mapping'!AG30-480),IF(AND('(橫掃)RX Mapping'!AG30&gt;=481,'(橫掃)RX Mapping'!AG30&lt;=600), ('(橫掃)RX Mapping'!AG30-361),IF(AND('(橫掃)RX Mapping'!AG30&gt;=601,'(橫掃)RX Mapping'!AG30&lt;=720), (-1)*('(橫掃)RX Mapping'!AG30-720)+120,IF(AND('(橫掃)RX Mapping'!AG30&gt;=721,'(橫掃)RX Mapping'!AG30&lt;=840), ('(橫掃)RX Mapping'!AG30-601),IF(AND('(橫掃)RX Mapping'!AG30&gt;=841,'(橫掃)RX Mapping'!AG30&lt;=960), (-1)*('(橫掃)RX Mapping'!AG30-960)+120,9999))))))))</f>
        <v>9999</v>
      </c>
      <c r="AH30">
        <f>IF(AND('(橫掃)RX Mapping'!AH30&gt;=1,'(橫掃)RX Mapping'!AH30&lt;=120), ('(橫掃)RX Mapping'!AH30-1),IF(AND('(橫掃)RX Mapping'!AH30&gt;=121,'(橫掃)RX Mapping'!AH30&lt;=240), (-1)*('(橫掃)RX Mapping'!AH30-240),IF(AND('(橫掃)RX Mapping'!AH30&gt;=241,'(橫掃)RX Mapping'!AH30&lt;=360), ('(橫掃)RX Mapping'!AH30-241),IF(AND('(橫掃)RX Mapping'!AH30&gt;=361,'(橫掃)RX Mapping'!AH30&lt;=480), (-1)*('(橫掃)RX Mapping'!AH30-480),IF(AND('(橫掃)RX Mapping'!AH30&gt;=481,'(橫掃)RX Mapping'!AH30&lt;=600), ('(橫掃)RX Mapping'!AH30-361),IF(AND('(橫掃)RX Mapping'!AH30&gt;=601,'(橫掃)RX Mapping'!AH30&lt;=720), (-1)*('(橫掃)RX Mapping'!AH30-720)+120,IF(AND('(橫掃)RX Mapping'!AH30&gt;=721,'(橫掃)RX Mapping'!AH30&lt;=840), ('(橫掃)RX Mapping'!AH30-601),IF(AND('(橫掃)RX Mapping'!AH30&gt;=841,'(橫掃)RX Mapping'!AH30&lt;=960), (-1)*('(橫掃)RX Mapping'!AH30-960)+120,9999))))))))</f>
        <v>9999</v>
      </c>
      <c r="AI30">
        <f>IF(AND('(橫掃)RX Mapping'!AI30&gt;=1,'(橫掃)RX Mapping'!AI30&lt;=120), ('(橫掃)RX Mapping'!AI30-1),IF(AND('(橫掃)RX Mapping'!AI30&gt;=121,'(橫掃)RX Mapping'!AI30&lt;=240), (-1)*('(橫掃)RX Mapping'!AI30-240),IF(AND('(橫掃)RX Mapping'!AI30&gt;=241,'(橫掃)RX Mapping'!AI30&lt;=360), ('(橫掃)RX Mapping'!AI30-241),IF(AND('(橫掃)RX Mapping'!AI30&gt;=361,'(橫掃)RX Mapping'!AI30&lt;=480), (-1)*('(橫掃)RX Mapping'!AI30-480),IF(AND('(橫掃)RX Mapping'!AI30&gt;=481,'(橫掃)RX Mapping'!AI30&lt;=600), ('(橫掃)RX Mapping'!AI30-361),IF(AND('(橫掃)RX Mapping'!AI30&gt;=601,'(橫掃)RX Mapping'!AI30&lt;=720), (-1)*('(橫掃)RX Mapping'!AI30-720)+120,IF(AND('(橫掃)RX Mapping'!AI30&gt;=721,'(橫掃)RX Mapping'!AI30&lt;=840), ('(橫掃)RX Mapping'!AI30-601),IF(AND('(橫掃)RX Mapping'!AI30&gt;=841,'(橫掃)RX Mapping'!AI30&lt;=960), (-1)*('(橫掃)RX Mapping'!AI30-960)+120,9999))))))))</f>
        <v>9999</v>
      </c>
      <c r="AJ30">
        <f>IF(AND('(橫掃)RX Mapping'!AJ30&gt;=1,'(橫掃)RX Mapping'!AJ30&lt;=120), ('(橫掃)RX Mapping'!AJ30-1),IF(AND('(橫掃)RX Mapping'!AJ30&gt;=121,'(橫掃)RX Mapping'!AJ30&lt;=240), (-1)*('(橫掃)RX Mapping'!AJ30-240),IF(AND('(橫掃)RX Mapping'!AJ30&gt;=241,'(橫掃)RX Mapping'!AJ30&lt;=360), ('(橫掃)RX Mapping'!AJ30-241),IF(AND('(橫掃)RX Mapping'!AJ30&gt;=361,'(橫掃)RX Mapping'!AJ30&lt;=480), (-1)*('(橫掃)RX Mapping'!AJ30-480),IF(AND('(橫掃)RX Mapping'!AJ30&gt;=481,'(橫掃)RX Mapping'!AJ30&lt;=600), ('(橫掃)RX Mapping'!AJ30-361),IF(AND('(橫掃)RX Mapping'!AJ30&gt;=601,'(橫掃)RX Mapping'!AJ30&lt;=720), (-1)*('(橫掃)RX Mapping'!AJ30-720)+120,IF(AND('(橫掃)RX Mapping'!AJ30&gt;=721,'(橫掃)RX Mapping'!AJ30&lt;=840), ('(橫掃)RX Mapping'!AJ30-601),IF(AND('(橫掃)RX Mapping'!AJ30&gt;=841,'(橫掃)RX Mapping'!AJ30&lt;=960), (-1)*('(橫掃)RX Mapping'!AJ30-960)+120,9999))))))))</f>
        <v>9999</v>
      </c>
      <c r="AK30">
        <f>IF(AND('(橫掃)RX Mapping'!AK30&gt;=1,'(橫掃)RX Mapping'!AK30&lt;=120), ('(橫掃)RX Mapping'!AK30-1),IF(AND('(橫掃)RX Mapping'!AK30&gt;=121,'(橫掃)RX Mapping'!AK30&lt;=240), (-1)*('(橫掃)RX Mapping'!AK30-240),IF(AND('(橫掃)RX Mapping'!AK30&gt;=241,'(橫掃)RX Mapping'!AK30&lt;=360), ('(橫掃)RX Mapping'!AK30-241),IF(AND('(橫掃)RX Mapping'!AK30&gt;=361,'(橫掃)RX Mapping'!AK30&lt;=480), (-1)*('(橫掃)RX Mapping'!AK30-480),IF(AND('(橫掃)RX Mapping'!AK30&gt;=481,'(橫掃)RX Mapping'!AK30&lt;=600), ('(橫掃)RX Mapping'!AK30-361),IF(AND('(橫掃)RX Mapping'!AK30&gt;=601,'(橫掃)RX Mapping'!AK30&lt;=720), (-1)*('(橫掃)RX Mapping'!AK30-720)+120,IF(AND('(橫掃)RX Mapping'!AK30&gt;=721,'(橫掃)RX Mapping'!AK30&lt;=840), ('(橫掃)RX Mapping'!AK30-601),IF(AND('(橫掃)RX Mapping'!AK30&gt;=841,'(橫掃)RX Mapping'!AK30&lt;=960), (-1)*('(橫掃)RX Mapping'!AK30-960)+120,9999))))))))</f>
        <v>9999</v>
      </c>
      <c r="AL30">
        <f>IF(AND('(橫掃)RX Mapping'!AL30&gt;=1,'(橫掃)RX Mapping'!AL30&lt;=120), ('(橫掃)RX Mapping'!AL30-1),IF(AND('(橫掃)RX Mapping'!AL30&gt;=121,'(橫掃)RX Mapping'!AL30&lt;=240), (-1)*('(橫掃)RX Mapping'!AL30-240),IF(AND('(橫掃)RX Mapping'!AL30&gt;=241,'(橫掃)RX Mapping'!AL30&lt;=360), ('(橫掃)RX Mapping'!AL30-241),IF(AND('(橫掃)RX Mapping'!AL30&gt;=361,'(橫掃)RX Mapping'!AL30&lt;=480), (-1)*('(橫掃)RX Mapping'!AL30-480),IF(AND('(橫掃)RX Mapping'!AL30&gt;=481,'(橫掃)RX Mapping'!AL30&lt;=600), ('(橫掃)RX Mapping'!AL30-361),IF(AND('(橫掃)RX Mapping'!AL30&gt;=601,'(橫掃)RX Mapping'!AL30&lt;=720), (-1)*('(橫掃)RX Mapping'!AL30-720)+120,IF(AND('(橫掃)RX Mapping'!AL30&gt;=721,'(橫掃)RX Mapping'!AL30&lt;=840), ('(橫掃)RX Mapping'!AL30-601),IF(AND('(橫掃)RX Mapping'!AL30&gt;=841,'(橫掃)RX Mapping'!AL30&lt;=960), (-1)*('(橫掃)RX Mapping'!AL30-960)+120,9999))))))))</f>
        <v>9999</v>
      </c>
      <c r="AM30">
        <f>IF(AND('(橫掃)RX Mapping'!AM30&gt;=1,'(橫掃)RX Mapping'!AM30&lt;=120), ('(橫掃)RX Mapping'!AM30-1),IF(AND('(橫掃)RX Mapping'!AM30&gt;=121,'(橫掃)RX Mapping'!AM30&lt;=240), (-1)*('(橫掃)RX Mapping'!AM30-240),IF(AND('(橫掃)RX Mapping'!AM30&gt;=241,'(橫掃)RX Mapping'!AM30&lt;=360), ('(橫掃)RX Mapping'!AM30-241),IF(AND('(橫掃)RX Mapping'!AM30&gt;=361,'(橫掃)RX Mapping'!AM30&lt;=480), (-1)*('(橫掃)RX Mapping'!AM30-480),IF(AND('(橫掃)RX Mapping'!AM30&gt;=481,'(橫掃)RX Mapping'!AM30&lt;=600), ('(橫掃)RX Mapping'!AM30-361),IF(AND('(橫掃)RX Mapping'!AM30&gt;=601,'(橫掃)RX Mapping'!AM30&lt;=720), (-1)*('(橫掃)RX Mapping'!AM30-720)+120,IF(AND('(橫掃)RX Mapping'!AM30&gt;=721,'(橫掃)RX Mapping'!AM30&lt;=840), ('(橫掃)RX Mapping'!AM30-601),IF(AND('(橫掃)RX Mapping'!AM30&gt;=841,'(橫掃)RX Mapping'!AM30&lt;=960), (-1)*('(橫掃)RX Mapping'!AM30-960)+120,9999))))))))</f>
        <v>9999</v>
      </c>
      <c r="AN30">
        <f>IF(AND('(橫掃)RX Mapping'!AN30&gt;=1,'(橫掃)RX Mapping'!AN30&lt;=120), ('(橫掃)RX Mapping'!AN30-1),IF(AND('(橫掃)RX Mapping'!AN30&gt;=121,'(橫掃)RX Mapping'!AN30&lt;=240), (-1)*('(橫掃)RX Mapping'!AN30-240),IF(AND('(橫掃)RX Mapping'!AN30&gt;=241,'(橫掃)RX Mapping'!AN30&lt;=360), ('(橫掃)RX Mapping'!AN30-241),IF(AND('(橫掃)RX Mapping'!AN30&gt;=361,'(橫掃)RX Mapping'!AN30&lt;=480), (-1)*('(橫掃)RX Mapping'!AN30-480),IF(AND('(橫掃)RX Mapping'!AN30&gt;=481,'(橫掃)RX Mapping'!AN30&lt;=600), ('(橫掃)RX Mapping'!AN30-361),IF(AND('(橫掃)RX Mapping'!AN30&gt;=601,'(橫掃)RX Mapping'!AN30&lt;=720), (-1)*('(橫掃)RX Mapping'!AN30-720)+120,IF(AND('(橫掃)RX Mapping'!AN30&gt;=721,'(橫掃)RX Mapping'!AN30&lt;=840), ('(橫掃)RX Mapping'!AN30-601),IF(AND('(橫掃)RX Mapping'!AN30&gt;=841,'(橫掃)RX Mapping'!AN30&lt;=960), (-1)*('(橫掃)RX Mapping'!AN30-960)+120,9999))))))))</f>
        <v>9999</v>
      </c>
      <c r="AO30">
        <f>IF(AND('(橫掃)RX Mapping'!AO30&gt;=1,'(橫掃)RX Mapping'!AO30&lt;=120), ('(橫掃)RX Mapping'!AO30-1),IF(AND('(橫掃)RX Mapping'!AO30&gt;=121,'(橫掃)RX Mapping'!AO30&lt;=240), (-1)*('(橫掃)RX Mapping'!AO30-240),IF(AND('(橫掃)RX Mapping'!AO30&gt;=241,'(橫掃)RX Mapping'!AO30&lt;=360), ('(橫掃)RX Mapping'!AO30-241),IF(AND('(橫掃)RX Mapping'!AO30&gt;=361,'(橫掃)RX Mapping'!AO30&lt;=480), (-1)*('(橫掃)RX Mapping'!AO30-480),IF(AND('(橫掃)RX Mapping'!AO30&gt;=481,'(橫掃)RX Mapping'!AO30&lt;=600), ('(橫掃)RX Mapping'!AO30-361),IF(AND('(橫掃)RX Mapping'!AO30&gt;=601,'(橫掃)RX Mapping'!AO30&lt;=720), (-1)*('(橫掃)RX Mapping'!AO30-720)+120,IF(AND('(橫掃)RX Mapping'!AO30&gt;=721,'(橫掃)RX Mapping'!AO30&lt;=840), ('(橫掃)RX Mapping'!AO30-601),IF(AND('(橫掃)RX Mapping'!AO30&gt;=841,'(橫掃)RX Mapping'!AO30&lt;=960), (-1)*('(橫掃)RX Mapping'!AO30-960)+120,9999))))))))</f>
        <v>9999</v>
      </c>
      <c r="AP30">
        <f>IF(AND('(橫掃)RX Mapping'!AP30&gt;=1,'(橫掃)RX Mapping'!AP30&lt;=120), ('(橫掃)RX Mapping'!AP30-1),IF(AND('(橫掃)RX Mapping'!AP30&gt;=121,'(橫掃)RX Mapping'!AP30&lt;=240), (-1)*('(橫掃)RX Mapping'!AP30-240),IF(AND('(橫掃)RX Mapping'!AP30&gt;=241,'(橫掃)RX Mapping'!AP30&lt;=360), ('(橫掃)RX Mapping'!AP30-241),IF(AND('(橫掃)RX Mapping'!AP30&gt;=361,'(橫掃)RX Mapping'!AP30&lt;=480), (-1)*('(橫掃)RX Mapping'!AP30-480),IF(AND('(橫掃)RX Mapping'!AP30&gt;=481,'(橫掃)RX Mapping'!AP30&lt;=600), ('(橫掃)RX Mapping'!AP30-361),IF(AND('(橫掃)RX Mapping'!AP30&gt;=601,'(橫掃)RX Mapping'!AP30&lt;=720), (-1)*('(橫掃)RX Mapping'!AP30-720)+120,IF(AND('(橫掃)RX Mapping'!AP30&gt;=721,'(橫掃)RX Mapping'!AP30&lt;=840), ('(橫掃)RX Mapping'!AP30-601),IF(AND('(橫掃)RX Mapping'!AP30&gt;=841,'(橫掃)RX Mapping'!AP30&lt;=960), (-1)*('(橫掃)RX Mapping'!AP30-960)+120,9999))))))))</f>
        <v>9999</v>
      </c>
      <c r="AQ30">
        <f>IF(AND('(橫掃)RX Mapping'!AQ30&gt;=1,'(橫掃)RX Mapping'!AQ30&lt;=120), ('(橫掃)RX Mapping'!AQ30-1),IF(AND('(橫掃)RX Mapping'!AQ30&gt;=121,'(橫掃)RX Mapping'!AQ30&lt;=240), (-1)*('(橫掃)RX Mapping'!AQ30-240),IF(AND('(橫掃)RX Mapping'!AQ30&gt;=241,'(橫掃)RX Mapping'!AQ30&lt;=360), ('(橫掃)RX Mapping'!AQ30-241),IF(AND('(橫掃)RX Mapping'!AQ30&gt;=361,'(橫掃)RX Mapping'!AQ30&lt;=480), (-1)*('(橫掃)RX Mapping'!AQ30-480),IF(AND('(橫掃)RX Mapping'!AQ30&gt;=481,'(橫掃)RX Mapping'!AQ30&lt;=600), ('(橫掃)RX Mapping'!AQ30-361),IF(AND('(橫掃)RX Mapping'!AQ30&gt;=601,'(橫掃)RX Mapping'!AQ30&lt;=720), (-1)*('(橫掃)RX Mapping'!AQ30-720)+120,IF(AND('(橫掃)RX Mapping'!AQ30&gt;=721,'(橫掃)RX Mapping'!AQ30&lt;=840), ('(橫掃)RX Mapping'!AQ30-601),IF(AND('(橫掃)RX Mapping'!AQ30&gt;=841,'(橫掃)RX Mapping'!AQ30&lt;=960), (-1)*('(橫掃)RX Mapping'!AQ30-960)+120,9999))))))))</f>
        <v>9999</v>
      </c>
      <c r="AR30">
        <f>IF(AND('(橫掃)RX Mapping'!AR30&gt;=1,'(橫掃)RX Mapping'!AR30&lt;=120), ('(橫掃)RX Mapping'!AR30-1),IF(AND('(橫掃)RX Mapping'!AR30&gt;=121,'(橫掃)RX Mapping'!AR30&lt;=240), (-1)*('(橫掃)RX Mapping'!AR30-240),IF(AND('(橫掃)RX Mapping'!AR30&gt;=241,'(橫掃)RX Mapping'!AR30&lt;=360), ('(橫掃)RX Mapping'!AR30-241),IF(AND('(橫掃)RX Mapping'!AR30&gt;=361,'(橫掃)RX Mapping'!AR30&lt;=480), (-1)*('(橫掃)RX Mapping'!AR30-480),IF(AND('(橫掃)RX Mapping'!AR30&gt;=481,'(橫掃)RX Mapping'!AR30&lt;=600), ('(橫掃)RX Mapping'!AR30-361),IF(AND('(橫掃)RX Mapping'!AR30&gt;=601,'(橫掃)RX Mapping'!AR30&lt;=720), (-1)*('(橫掃)RX Mapping'!AR30-720)+120,IF(AND('(橫掃)RX Mapping'!AR30&gt;=721,'(橫掃)RX Mapping'!AR30&lt;=840), ('(橫掃)RX Mapping'!AR30-601),IF(AND('(橫掃)RX Mapping'!AR30&gt;=841,'(橫掃)RX Mapping'!AR30&lt;=960), (-1)*('(橫掃)RX Mapping'!AR30-960)+120,9999))))))))</f>
        <v>9999</v>
      </c>
      <c r="AS30">
        <f>IF(AND('(橫掃)RX Mapping'!AS30&gt;=1,'(橫掃)RX Mapping'!AS30&lt;=120), ('(橫掃)RX Mapping'!AS30-1),IF(AND('(橫掃)RX Mapping'!AS30&gt;=121,'(橫掃)RX Mapping'!AS30&lt;=240), (-1)*('(橫掃)RX Mapping'!AS30-240),IF(AND('(橫掃)RX Mapping'!AS30&gt;=241,'(橫掃)RX Mapping'!AS30&lt;=360), ('(橫掃)RX Mapping'!AS30-241),IF(AND('(橫掃)RX Mapping'!AS30&gt;=361,'(橫掃)RX Mapping'!AS30&lt;=480), (-1)*('(橫掃)RX Mapping'!AS30-480),IF(AND('(橫掃)RX Mapping'!AS30&gt;=481,'(橫掃)RX Mapping'!AS30&lt;=600), ('(橫掃)RX Mapping'!AS30-361),IF(AND('(橫掃)RX Mapping'!AS30&gt;=601,'(橫掃)RX Mapping'!AS30&lt;=720), (-1)*('(橫掃)RX Mapping'!AS30-720)+120,IF(AND('(橫掃)RX Mapping'!AS30&gt;=721,'(橫掃)RX Mapping'!AS30&lt;=840), ('(橫掃)RX Mapping'!AS30-601),IF(AND('(橫掃)RX Mapping'!AS30&gt;=841,'(橫掃)RX Mapping'!AS30&lt;=960), (-1)*('(橫掃)RX Mapping'!AS30-960)+120,9999))))))))</f>
        <v>9999</v>
      </c>
      <c r="AT30">
        <f>IF(AND('(橫掃)RX Mapping'!AT30&gt;=1,'(橫掃)RX Mapping'!AT30&lt;=120), ('(橫掃)RX Mapping'!AT30-1),IF(AND('(橫掃)RX Mapping'!AT30&gt;=121,'(橫掃)RX Mapping'!AT30&lt;=240), (-1)*('(橫掃)RX Mapping'!AT30-240),IF(AND('(橫掃)RX Mapping'!AT30&gt;=241,'(橫掃)RX Mapping'!AT30&lt;=360), ('(橫掃)RX Mapping'!AT30-241),IF(AND('(橫掃)RX Mapping'!AT30&gt;=361,'(橫掃)RX Mapping'!AT30&lt;=480), (-1)*('(橫掃)RX Mapping'!AT30-480),IF(AND('(橫掃)RX Mapping'!AT30&gt;=481,'(橫掃)RX Mapping'!AT30&lt;=600), ('(橫掃)RX Mapping'!AT30-361),IF(AND('(橫掃)RX Mapping'!AT30&gt;=601,'(橫掃)RX Mapping'!AT30&lt;=720), (-1)*('(橫掃)RX Mapping'!AT30-720)+120,IF(AND('(橫掃)RX Mapping'!AT30&gt;=721,'(橫掃)RX Mapping'!AT30&lt;=840), ('(橫掃)RX Mapping'!AT30-601),IF(AND('(橫掃)RX Mapping'!AT30&gt;=841,'(橫掃)RX Mapping'!AT30&lt;=960), (-1)*('(橫掃)RX Mapping'!AT30-960)+120,9999))))))))</f>
        <v>9999</v>
      </c>
      <c r="AU30">
        <f>IF(AND('(橫掃)RX Mapping'!AU30&gt;=1,'(橫掃)RX Mapping'!AU30&lt;=120), ('(橫掃)RX Mapping'!AU30-1),IF(AND('(橫掃)RX Mapping'!AU30&gt;=121,'(橫掃)RX Mapping'!AU30&lt;=240), (-1)*('(橫掃)RX Mapping'!AU30-240),IF(AND('(橫掃)RX Mapping'!AU30&gt;=241,'(橫掃)RX Mapping'!AU30&lt;=360), ('(橫掃)RX Mapping'!AU30-241),IF(AND('(橫掃)RX Mapping'!AU30&gt;=361,'(橫掃)RX Mapping'!AU30&lt;=480), (-1)*('(橫掃)RX Mapping'!AU30-480),IF(AND('(橫掃)RX Mapping'!AU30&gt;=481,'(橫掃)RX Mapping'!AU30&lt;=600), ('(橫掃)RX Mapping'!AU30-361),IF(AND('(橫掃)RX Mapping'!AU30&gt;=601,'(橫掃)RX Mapping'!AU30&lt;=720), (-1)*('(橫掃)RX Mapping'!AU30-720)+120,IF(AND('(橫掃)RX Mapping'!AU30&gt;=721,'(橫掃)RX Mapping'!AU30&lt;=840), ('(橫掃)RX Mapping'!AU30-601),IF(AND('(橫掃)RX Mapping'!AU30&gt;=841,'(橫掃)RX Mapping'!AU30&lt;=960), (-1)*('(橫掃)RX Mapping'!AU30-960)+120,9999))))))))</f>
        <v>9999</v>
      </c>
      <c r="AV30">
        <f>IF(AND('(橫掃)RX Mapping'!AV30&gt;=1,'(橫掃)RX Mapping'!AV30&lt;=120), ('(橫掃)RX Mapping'!AV30-1),IF(AND('(橫掃)RX Mapping'!AV30&gt;=121,'(橫掃)RX Mapping'!AV30&lt;=240), (-1)*('(橫掃)RX Mapping'!AV30-240),IF(AND('(橫掃)RX Mapping'!AV30&gt;=241,'(橫掃)RX Mapping'!AV30&lt;=360), ('(橫掃)RX Mapping'!AV30-241),IF(AND('(橫掃)RX Mapping'!AV30&gt;=361,'(橫掃)RX Mapping'!AV30&lt;=480), (-1)*('(橫掃)RX Mapping'!AV30-480),IF(AND('(橫掃)RX Mapping'!AV30&gt;=481,'(橫掃)RX Mapping'!AV30&lt;=600), ('(橫掃)RX Mapping'!AV30-361),IF(AND('(橫掃)RX Mapping'!AV30&gt;=601,'(橫掃)RX Mapping'!AV30&lt;=720), (-1)*('(橫掃)RX Mapping'!AV30-720)+120,IF(AND('(橫掃)RX Mapping'!AV30&gt;=721,'(橫掃)RX Mapping'!AV30&lt;=840), ('(橫掃)RX Mapping'!AV30-601),IF(AND('(橫掃)RX Mapping'!AV30&gt;=841,'(橫掃)RX Mapping'!AV30&lt;=960), (-1)*('(橫掃)RX Mapping'!AV30-960)+120,9999))))))))</f>
        <v>9999</v>
      </c>
      <c r="AW30">
        <f>IF(AND('(橫掃)RX Mapping'!AW30&gt;=1,'(橫掃)RX Mapping'!AW30&lt;=120), ('(橫掃)RX Mapping'!AW30-1),IF(AND('(橫掃)RX Mapping'!AW30&gt;=121,'(橫掃)RX Mapping'!AW30&lt;=240), (-1)*('(橫掃)RX Mapping'!AW30-240),IF(AND('(橫掃)RX Mapping'!AW30&gt;=241,'(橫掃)RX Mapping'!AW30&lt;=360), ('(橫掃)RX Mapping'!AW30-241),IF(AND('(橫掃)RX Mapping'!AW30&gt;=361,'(橫掃)RX Mapping'!AW30&lt;=480), (-1)*('(橫掃)RX Mapping'!AW30-480),IF(AND('(橫掃)RX Mapping'!AW30&gt;=481,'(橫掃)RX Mapping'!AW30&lt;=600), ('(橫掃)RX Mapping'!AW30-361),IF(AND('(橫掃)RX Mapping'!AW30&gt;=601,'(橫掃)RX Mapping'!AW30&lt;=720), (-1)*('(橫掃)RX Mapping'!AW30-720)+120,IF(AND('(橫掃)RX Mapping'!AW30&gt;=721,'(橫掃)RX Mapping'!AW30&lt;=840), ('(橫掃)RX Mapping'!AW30-601),IF(AND('(橫掃)RX Mapping'!AW30&gt;=841,'(橫掃)RX Mapping'!AW30&lt;=960), (-1)*('(橫掃)RX Mapping'!AW30-960)+120,9999))))))))</f>
        <v>9999</v>
      </c>
      <c r="AX30">
        <f>IF(AND('(橫掃)RX Mapping'!AX30&gt;=1,'(橫掃)RX Mapping'!AX30&lt;=120), ('(橫掃)RX Mapping'!AX30-1),IF(AND('(橫掃)RX Mapping'!AX30&gt;=121,'(橫掃)RX Mapping'!AX30&lt;=240), (-1)*('(橫掃)RX Mapping'!AX30-240),IF(AND('(橫掃)RX Mapping'!AX30&gt;=241,'(橫掃)RX Mapping'!AX30&lt;=360), ('(橫掃)RX Mapping'!AX30-241),IF(AND('(橫掃)RX Mapping'!AX30&gt;=361,'(橫掃)RX Mapping'!AX30&lt;=480), (-1)*('(橫掃)RX Mapping'!AX30-480),IF(AND('(橫掃)RX Mapping'!AX30&gt;=481,'(橫掃)RX Mapping'!AX30&lt;=600), ('(橫掃)RX Mapping'!AX30-361),IF(AND('(橫掃)RX Mapping'!AX30&gt;=601,'(橫掃)RX Mapping'!AX30&lt;=720), (-1)*('(橫掃)RX Mapping'!AX30-720)+120,IF(AND('(橫掃)RX Mapping'!AX30&gt;=721,'(橫掃)RX Mapping'!AX30&lt;=840), ('(橫掃)RX Mapping'!AX30-601),IF(AND('(橫掃)RX Mapping'!AX30&gt;=841,'(橫掃)RX Mapping'!AX30&lt;=960), (-1)*('(橫掃)RX Mapping'!AX30-960)+120,9999))))))))</f>
        <v>9999</v>
      </c>
      <c r="AY30">
        <f>IF(AND('(橫掃)RX Mapping'!AY30&gt;=1,'(橫掃)RX Mapping'!AY30&lt;=120), ('(橫掃)RX Mapping'!AY30-1),IF(AND('(橫掃)RX Mapping'!AY30&gt;=121,'(橫掃)RX Mapping'!AY30&lt;=240), (-1)*('(橫掃)RX Mapping'!AY30-240),IF(AND('(橫掃)RX Mapping'!AY30&gt;=241,'(橫掃)RX Mapping'!AY30&lt;=360), ('(橫掃)RX Mapping'!AY30-241),IF(AND('(橫掃)RX Mapping'!AY30&gt;=361,'(橫掃)RX Mapping'!AY30&lt;=480), (-1)*('(橫掃)RX Mapping'!AY30-480),IF(AND('(橫掃)RX Mapping'!AY30&gt;=481,'(橫掃)RX Mapping'!AY30&lt;=600), ('(橫掃)RX Mapping'!AY30-361),IF(AND('(橫掃)RX Mapping'!AY30&gt;=601,'(橫掃)RX Mapping'!AY30&lt;=720), (-1)*('(橫掃)RX Mapping'!AY30-720)+120,IF(AND('(橫掃)RX Mapping'!AY30&gt;=721,'(橫掃)RX Mapping'!AY30&lt;=840), ('(橫掃)RX Mapping'!AY30-601),IF(AND('(橫掃)RX Mapping'!AY30&gt;=841,'(橫掃)RX Mapping'!AY30&lt;=960), (-1)*('(橫掃)RX Mapping'!AY30-960)+120,9999))))))))</f>
        <v>9999</v>
      </c>
      <c r="AZ30">
        <f>IF(AND('(橫掃)RX Mapping'!AZ30&gt;=1,'(橫掃)RX Mapping'!AZ30&lt;=120), ('(橫掃)RX Mapping'!AZ30-1),IF(AND('(橫掃)RX Mapping'!AZ30&gt;=121,'(橫掃)RX Mapping'!AZ30&lt;=240), (-1)*('(橫掃)RX Mapping'!AZ30-240),IF(AND('(橫掃)RX Mapping'!AZ30&gt;=241,'(橫掃)RX Mapping'!AZ30&lt;=360), ('(橫掃)RX Mapping'!AZ30-241),IF(AND('(橫掃)RX Mapping'!AZ30&gt;=361,'(橫掃)RX Mapping'!AZ30&lt;=480), (-1)*('(橫掃)RX Mapping'!AZ30-480),IF(AND('(橫掃)RX Mapping'!AZ30&gt;=481,'(橫掃)RX Mapping'!AZ30&lt;=600), ('(橫掃)RX Mapping'!AZ30-361),IF(AND('(橫掃)RX Mapping'!AZ30&gt;=601,'(橫掃)RX Mapping'!AZ30&lt;=720), (-1)*('(橫掃)RX Mapping'!AZ30-720)+120,IF(AND('(橫掃)RX Mapping'!AZ30&gt;=721,'(橫掃)RX Mapping'!AZ30&lt;=840), ('(橫掃)RX Mapping'!AZ30-601),IF(AND('(橫掃)RX Mapping'!AZ30&gt;=841,'(橫掃)RX Mapping'!AZ30&lt;=960), (-1)*('(橫掃)RX Mapping'!AZ30-960)+120,9999))))))))</f>
        <v>9999</v>
      </c>
      <c r="BA30">
        <f>IF(AND('(橫掃)RX Mapping'!BA30&gt;=1,'(橫掃)RX Mapping'!BA30&lt;=120), ('(橫掃)RX Mapping'!BA30-1),IF(AND('(橫掃)RX Mapping'!BA30&gt;=121,'(橫掃)RX Mapping'!BA30&lt;=240), (-1)*('(橫掃)RX Mapping'!BA30-240),IF(AND('(橫掃)RX Mapping'!BA30&gt;=241,'(橫掃)RX Mapping'!BA30&lt;=360), ('(橫掃)RX Mapping'!BA30-241),IF(AND('(橫掃)RX Mapping'!BA30&gt;=361,'(橫掃)RX Mapping'!BA30&lt;=480), (-1)*('(橫掃)RX Mapping'!BA30-480),IF(AND('(橫掃)RX Mapping'!BA30&gt;=481,'(橫掃)RX Mapping'!BA30&lt;=600), ('(橫掃)RX Mapping'!BA30-361),IF(AND('(橫掃)RX Mapping'!BA30&gt;=601,'(橫掃)RX Mapping'!BA30&lt;=720), (-1)*('(橫掃)RX Mapping'!BA30-720)+120,IF(AND('(橫掃)RX Mapping'!BA30&gt;=721,'(橫掃)RX Mapping'!BA30&lt;=840), ('(橫掃)RX Mapping'!BA30-601),IF(AND('(橫掃)RX Mapping'!BA30&gt;=841,'(橫掃)RX Mapping'!BA30&lt;=960), (-1)*('(橫掃)RX Mapping'!BA30-960)+120,9999))))))))</f>
        <v>9999</v>
      </c>
      <c r="BB30">
        <f>IF(AND('(橫掃)RX Mapping'!BB30&gt;=1,'(橫掃)RX Mapping'!BB30&lt;=120), ('(橫掃)RX Mapping'!BB30-1),IF(AND('(橫掃)RX Mapping'!BB30&gt;=121,'(橫掃)RX Mapping'!BB30&lt;=240), (-1)*('(橫掃)RX Mapping'!BB30-240),IF(AND('(橫掃)RX Mapping'!BB30&gt;=241,'(橫掃)RX Mapping'!BB30&lt;=360), ('(橫掃)RX Mapping'!BB30-241),IF(AND('(橫掃)RX Mapping'!BB30&gt;=361,'(橫掃)RX Mapping'!BB30&lt;=480), (-1)*('(橫掃)RX Mapping'!BB30-480),IF(AND('(橫掃)RX Mapping'!BB30&gt;=481,'(橫掃)RX Mapping'!BB30&lt;=600), ('(橫掃)RX Mapping'!BB30-361),IF(AND('(橫掃)RX Mapping'!BB30&gt;=601,'(橫掃)RX Mapping'!BB30&lt;=720), (-1)*('(橫掃)RX Mapping'!BB30-720)+120,IF(AND('(橫掃)RX Mapping'!BB30&gt;=721,'(橫掃)RX Mapping'!BB30&lt;=840), ('(橫掃)RX Mapping'!BB30-601),IF(AND('(橫掃)RX Mapping'!BB30&gt;=841,'(橫掃)RX Mapping'!BB30&lt;=960), (-1)*('(橫掃)RX Mapping'!BB30-960)+120,9999))))))))</f>
        <v>9999</v>
      </c>
      <c r="BC30">
        <f>IF(AND('(橫掃)RX Mapping'!BC30&gt;=1,'(橫掃)RX Mapping'!BC30&lt;=120), ('(橫掃)RX Mapping'!BC30-1),IF(AND('(橫掃)RX Mapping'!BC30&gt;=121,'(橫掃)RX Mapping'!BC30&lt;=240), (-1)*('(橫掃)RX Mapping'!BC30-240),IF(AND('(橫掃)RX Mapping'!BC30&gt;=241,'(橫掃)RX Mapping'!BC30&lt;=360), ('(橫掃)RX Mapping'!BC30-241),IF(AND('(橫掃)RX Mapping'!BC30&gt;=361,'(橫掃)RX Mapping'!BC30&lt;=480), (-1)*('(橫掃)RX Mapping'!BC30-480),IF(AND('(橫掃)RX Mapping'!BC30&gt;=481,'(橫掃)RX Mapping'!BC30&lt;=600), ('(橫掃)RX Mapping'!BC30-361),IF(AND('(橫掃)RX Mapping'!BC30&gt;=601,'(橫掃)RX Mapping'!BC30&lt;=720), (-1)*('(橫掃)RX Mapping'!BC30-720)+120,IF(AND('(橫掃)RX Mapping'!BC30&gt;=721,'(橫掃)RX Mapping'!BC30&lt;=840), ('(橫掃)RX Mapping'!BC30-601),IF(AND('(橫掃)RX Mapping'!BC30&gt;=841,'(橫掃)RX Mapping'!BC30&lt;=960), (-1)*('(橫掃)RX Mapping'!BC30-960)+120,9999))))))))</f>
        <v>9999</v>
      </c>
      <c r="BD30">
        <f>IF(AND('(橫掃)RX Mapping'!BD30&gt;=1,'(橫掃)RX Mapping'!BD30&lt;=120), ('(橫掃)RX Mapping'!BD30-1),IF(AND('(橫掃)RX Mapping'!BD30&gt;=121,'(橫掃)RX Mapping'!BD30&lt;=240), (-1)*('(橫掃)RX Mapping'!BD30-240),IF(AND('(橫掃)RX Mapping'!BD30&gt;=241,'(橫掃)RX Mapping'!BD30&lt;=360), ('(橫掃)RX Mapping'!BD30-241),IF(AND('(橫掃)RX Mapping'!BD30&gt;=361,'(橫掃)RX Mapping'!BD30&lt;=480), (-1)*('(橫掃)RX Mapping'!BD30-480),IF(AND('(橫掃)RX Mapping'!BD30&gt;=481,'(橫掃)RX Mapping'!BD30&lt;=600), ('(橫掃)RX Mapping'!BD30-361),IF(AND('(橫掃)RX Mapping'!BD30&gt;=601,'(橫掃)RX Mapping'!BD30&lt;=720), (-1)*('(橫掃)RX Mapping'!BD30-720)+120,IF(AND('(橫掃)RX Mapping'!BD30&gt;=721,'(橫掃)RX Mapping'!BD30&lt;=840), ('(橫掃)RX Mapping'!BD30-601),IF(AND('(橫掃)RX Mapping'!BD30&gt;=841,'(橫掃)RX Mapping'!BD30&lt;=960), (-1)*('(橫掃)RX Mapping'!BD30-960)+120,9999))))))))</f>
        <v>9999</v>
      </c>
      <c r="BE30">
        <f>IF(AND('(橫掃)RX Mapping'!BE30&gt;=1,'(橫掃)RX Mapping'!BE30&lt;=120), ('(橫掃)RX Mapping'!BE30-1),IF(AND('(橫掃)RX Mapping'!BE30&gt;=121,'(橫掃)RX Mapping'!BE30&lt;=240), (-1)*('(橫掃)RX Mapping'!BE30-240),IF(AND('(橫掃)RX Mapping'!BE30&gt;=241,'(橫掃)RX Mapping'!BE30&lt;=360), ('(橫掃)RX Mapping'!BE30-241),IF(AND('(橫掃)RX Mapping'!BE30&gt;=361,'(橫掃)RX Mapping'!BE30&lt;=480), (-1)*('(橫掃)RX Mapping'!BE30-480),IF(AND('(橫掃)RX Mapping'!BE30&gt;=481,'(橫掃)RX Mapping'!BE30&lt;=600), ('(橫掃)RX Mapping'!BE30-361),IF(AND('(橫掃)RX Mapping'!BE30&gt;=601,'(橫掃)RX Mapping'!BE30&lt;=720), (-1)*('(橫掃)RX Mapping'!BE30-720)+120,IF(AND('(橫掃)RX Mapping'!BE30&gt;=721,'(橫掃)RX Mapping'!BE30&lt;=840), ('(橫掃)RX Mapping'!BE30-601),IF(AND('(橫掃)RX Mapping'!BE30&gt;=841,'(橫掃)RX Mapping'!BE30&lt;=960), (-1)*('(橫掃)RX Mapping'!BE30-960)+120,9999))))))))</f>
        <v>9999</v>
      </c>
      <c r="BF30">
        <f>IF(AND('(橫掃)RX Mapping'!BF30&gt;=1,'(橫掃)RX Mapping'!BF30&lt;=120), ('(橫掃)RX Mapping'!BF30-1),IF(AND('(橫掃)RX Mapping'!BF30&gt;=121,'(橫掃)RX Mapping'!BF30&lt;=240), (-1)*('(橫掃)RX Mapping'!BF30-240),IF(AND('(橫掃)RX Mapping'!BF30&gt;=241,'(橫掃)RX Mapping'!BF30&lt;=360), ('(橫掃)RX Mapping'!BF30-241),IF(AND('(橫掃)RX Mapping'!BF30&gt;=361,'(橫掃)RX Mapping'!BF30&lt;=480), (-1)*('(橫掃)RX Mapping'!BF30-480),IF(AND('(橫掃)RX Mapping'!BF30&gt;=481,'(橫掃)RX Mapping'!BF30&lt;=600), ('(橫掃)RX Mapping'!BF30-361),IF(AND('(橫掃)RX Mapping'!BF30&gt;=601,'(橫掃)RX Mapping'!BF30&lt;=720), (-1)*('(橫掃)RX Mapping'!BF30-720)+120,IF(AND('(橫掃)RX Mapping'!BF30&gt;=721,'(橫掃)RX Mapping'!BF30&lt;=840), ('(橫掃)RX Mapping'!BF30-601),IF(AND('(橫掃)RX Mapping'!BF30&gt;=841,'(橫掃)RX Mapping'!BF30&lt;=960), (-1)*('(橫掃)RX Mapping'!BF30-960)+120,9999))))))))</f>
        <v>9999</v>
      </c>
      <c r="BG30">
        <f>IF(AND('(橫掃)RX Mapping'!BG30&gt;=1,'(橫掃)RX Mapping'!BG30&lt;=120), ('(橫掃)RX Mapping'!BG30-1),IF(AND('(橫掃)RX Mapping'!BG30&gt;=121,'(橫掃)RX Mapping'!BG30&lt;=240), (-1)*('(橫掃)RX Mapping'!BG30-240),IF(AND('(橫掃)RX Mapping'!BG30&gt;=241,'(橫掃)RX Mapping'!BG30&lt;=360), ('(橫掃)RX Mapping'!BG30-241),IF(AND('(橫掃)RX Mapping'!BG30&gt;=361,'(橫掃)RX Mapping'!BG30&lt;=480), (-1)*('(橫掃)RX Mapping'!BG30-480),IF(AND('(橫掃)RX Mapping'!BG30&gt;=481,'(橫掃)RX Mapping'!BG30&lt;=600), ('(橫掃)RX Mapping'!BG30-361),IF(AND('(橫掃)RX Mapping'!BG30&gt;=601,'(橫掃)RX Mapping'!BG30&lt;=720), (-1)*('(橫掃)RX Mapping'!BG30-720)+120,IF(AND('(橫掃)RX Mapping'!BG30&gt;=721,'(橫掃)RX Mapping'!BG30&lt;=840), ('(橫掃)RX Mapping'!BG30-601),IF(AND('(橫掃)RX Mapping'!BG30&gt;=841,'(橫掃)RX Mapping'!BG30&lt;=960), (-1)*('(橫掃)RX Mapping'!BG30-960)+120,9999))))))))</f>
        <v>9999</v>
      </c>
      <c r="BH30">
        <f>IF(AND('(橫掃)RX Mapping'!BH30&gt;=1,'(橫掃)RX Mapping'!BH30&lt;=120), ('(橫掃)RX Mapping'!BH30-1),IF(AND('(橫掃)RX Mapping'!BH30&gt;=121,'(橫掃)RX Mapping'!BH30&lt;=240), (-1)*('(橫掃)RX Mapping'!BH30-240),IF(AND('(橫掃)RX Mapping'!BH30&gt;=241,'(橫掃)RX Mapping'!BH30&lt;=360), ('(橫掃)RX Mapping'!BH30-241),IF(AND('(橫掃)RX Mapping'!BH30&gt;=361,'(橫掃)RX Mapping'!BH30&lt;=480), (-1)*('(橫掃)RX Mapping'!BH30-480),IF(AND('(橫掃)RX Mapping'!BH30&gt;=481,'(橫掃)RX Mapping'!BH30&lt;=600), ('(橫掃)RX Mapping'!BH30-361),IF(AND('(橫掃)RX Mapping'!BH30&gt;=601,'(橫掃)RX Mapping'!BH30&lt;=720), (-1)*('(橫掃)RX Mapping'!BH30-720)+120,IF(AND('(橫掃)RX Mapping'!BH30&gt;=721,'(橫掃)RX Mapping'!BH30&lt;=840), ('(橫掃)RX Mapping'!BH30-601),IF(AND('(橫掃)RX Mapping'!BH30&gt;=841,'(橫掃)RX Mapping'!BH30&lt;=960), (-1)*('(橫掃)RX Mapping'!BH30-960)+120,9999))))))))</f>
        <v>9999</v>
      </c>
      <c r="BI30">
        <f>IF(AND('(橫掃)RX Mapping'!BI30&gt;=1,'(橫掃)RX Mapping'!BI30&lt;=120), ('(橫掃)RX Mapping'!BI30-1),IF(AND('(橫掃)RX Mapping'!BI30&gt;=121,'(橫掃)RX Mapping'!BI30&lt;=240), (-1)*('(橫掃)RX Mapping'!BI30-240),IF(AND('(橫掃)RX Mapping'!BI30&gt;=241,'(橫掃)RX Mapping'!BI30&lt;=360), ('(橫掃)RX Mapping'!BI30-241),IF(AND('(橫掃)RX Mapping'!BI30&gt;=361,'(橫掃)RX Mapping'!BI30&lt;=480), (-1)*('(橫掃)RX Mapping'!BI30-480),IF(AND('(橫掃)RX Mapping'!BI30&gt;=481,'(橫掃)RX Mapping'!BI30&lt;=600), ('(橫掃)RX Mapping'!BI30-361),IF(AND('(橫掃)RX Mapping'!BI30&gt;=601,'(橫掃)RX Mapping'!BI30&lt;=720), (-1)*('(橫掃)RX Mapping'!BI30-720)+120,IF(AND('(橫掃)RX Mapping'!BI30&gt;=721,'(橫掃)RX Mapping'!BI30&lt;=840), ('(橫掃)RX Mapping'!BI30-601),IF(AND('(橫掃)RX Mapping'!BI30&gt;=841,'(橫掃)RX Mapping'!BI30&lt;=960), (-1)*('(橫掃)RX Mapping'!BI30-960)+120,9999))))))))</f>
        <v>9999</v>
      </c>
    </row>
    <row r="31" spans="1:61" x14ac:dyDescent="0.25">
      <c r="A31" s="20">
        <v>30</v>
      </c>
      <c r="B31">
        <f>IF(AND('(橫掃)RX Mapping'!B31&gt;=1,'(橫掃)RX Mapping'!B31&lt;=120), ('(橫掃)RX Mapping'!B31-1),IF(AND('(橫掃)RX Mapping'!B31&gt;=121,'(橫掃)RX Mapping'!B31&lt;=240), (-1)*('(橫掃)RX Mapping'!B31-240),IF(AND('(橫掃)RX Mapping'!B31&gt;=241,'(橫掃)RX Mapping'!B31&lt;=360), ('(橫掃)RX Mapping'!B31-241),IF(AND('(橫掃)RX Mapping'!B31&gt;=361,'(橫掃)RX Mapping'!B31&lt;=480), (-1)*('(橫掃)RX Mapping'!B31-480),IF(AND('(橫掃)RX Mapping'!B31&gt;=481,'(橫掃)RX Mapping'!B31&lt;=600), ('(橫掃)RX Mapping'!B31-361),IF(AND('(橫掃)RX Mapping'!B31&gt;=601,'(橫掃)RX Mapping'!B31&lt;=720), (-1)*('(橫掃)RX Mapping'!B31-720)+120,IF(AND('(橫掃)RX Mapping'!B31&gt;=721,'(橫掃)RX Mapping'!B31&lt;=840), ('(橫掃)RX Mapping'!B31-601),IF(AND('(橫掃)RX Mapping'!B31&gt;=841,'(橫掃)RX Mapping'!B31&lt;=960), (-1)*('(橫掃)RX Mapping'!B31-960)+120,9999))))))))</f>
        <v>29</v>
      </c>
      <c r="C31">
        <f>IF(AND('(橫掃)RX Mapping'!C31&gt;=1,'(橫掃)RX Mapping'!C31&lt;=120), ('(橫掃)RX Mapping'!C31-1),IF(AND('(橫掃)RX Mapping'!C31&gt;=121,'(橫掃)RX Mapping'!C31&lt;=240), (-1)*('(橫掃)RX Mapping'!C31-240),IF(AND('(橫掃)RX Mapping'!C31&gt;=241,'(橫掃)RX Mapping'!C31&lt;=360), ('(橫掃)RX Mapping'!C31-241),IF(AND('(橫掃)RX Mapping'!C31&gt;=361,'(橫掃)RX Mapping'!C31&lt;=480), (-1)*('(橫掃)RX Mapping'!C31-480),IF(AND('(橫掃)RX Mapping'!C31&gt;=481,'(橫掃)RX Mapping'!C31&lt;=600), ('(橫掃)RX Mapping'!C31-361),IF(AND('(橫掃)RX Mapping'!C31&gt;=601,'(橫掃)RX Mapping'!C31&lt;=720), (-1)*('(橫掃)RX Mapping'!C31-720)+120,IF(AND('(橫掃)RX Mapping'!C31&gt;=721,'(橫掃)RX Mapping'!C31&lt;=840), ('(橫掃)RX Mapping'!C31-601),IF(AND('(橫掃)RX Mapping'!C31&gt;=841,'(橫掃)RX Mapping'!C31&lt;=960), (-1)*('(橫掃)RX Mapping'!C31-960)+120,9999))))))))</f>
        <v>61</v>
      </c>
      <c r="D31">
        <f>IF(AND('(橫掃)RX Mapping'!D31&gt;=1,'(橫掃)RX Mapping'!D31&lt;=120), ('(橫掃)RX Mapping'!D31-1),IF(AND('(橫掃)RX Mapping'!D31&gt;=121,'(橫掃)RX Mapping'!D31&lt;=240), (-1)*('(橫掃)RX Mapping'!D31-240),IF(AND('(橫掃)RX Mapping'!D31&gt;=241,'(橫掃)RX Mapping'!D31&lt;=360), ('(橫掃)RX Mapping'!D31-241),IF(AND('(橫掃)RX Mapping'!D31&gt;=361,'(橫掃)RX Mapping'!D31&lt;=480), (-1)*('(橫掃)RX Mapping'!D31-480),IF(AND('(橫掃)RX Mapping'!D31&gt;=481,'(橫掃)RX Mapping'!D31&lt;=600), ('(橫掃)RX Mapping'!D31-361),IF(AND('(橫掃)RX Mapping'!D31&gt;=601,'(橫掃)RX Mapping'!D31&lt;=720), (-1)*('(橫掃)RX Mapping'!D31-720)+120,IF(AND('(橫掃)RX Mapping'!D31&gt;=721,'(橫掃)RX Mapping'!D31&lt;=840), ('(橫掃)RX Mapping'!D31-601),IF(AND('(橫掃)RX Mapping'!D31&gt;=841,'(橫掃)RX Mapping'!D31&lt;=960), (-1)*('(橫掃)RX Mapping'!D31-960)+120,9999))))))))</f>
        <v>93</v>
      </c>
      <c r="E31">
        <f>IF(AND('(橫掃)RX Mapping'!E31&gt;=1,'(橫掃)RX Mapping'!E31&lt;=120), ('(橫掃)RX Mapping'!E31-1),IF(AND('(橫掃)RX Mapping'!E31&gt;=121,'(橫掃)RX Mapping'!E31&lt;=240), (-1)*('(橫掃)RX Mapping'!E31-240),IF(AND('(橫掃)RX Mapping'!E31&gt;=241,'(橫掃)RX Mapping'!E31&lt;=360), ('(橫掃)RX Mapping'!E31-241),IF(AND('(橫掃)RX Mapping'!E31&gt;=361,'(橫掃)RX Mapping'!E31&lt;=480), (-1)*('(橫掃)RX Mapping'!E31-480),IF(AND('(橫掃)RX Mapping'!E31&gt;=481,'(橫掃)RX Mapping'!E31&lt;=600), ('(橫掃)RX Mapping'!E31-361),IF(AND('(橫掃)RX Mapping'!E31&gt;=601,'(橫掃)RX Mapping'!E31&lt;=720), (-1)*('(橫掃)RX Mapping'!E31-720)+120,IF(AND('(橫掃)RX Mapping'!E31&gt;=721,'(橫掃)RX Mapping'!E31&lt;=840), ('(橫掃)RX Mapping'!E31-601),IF(AND('(橫掃)RX Mapping'!E31&gt;=841,'(橫掃)RX Mapping'!E31&lt;=960), (-1)*('(橫掃)RX Mapping'!E31-960)+120,9999))))))))</f>
        <v>114</v>
      </c>
      <c r="F31">
        <f>IF(AND('(橫掃)RX Mapping'!F31&gt;=1,'(橫掃)RX Mapping'!F31&lt;=120), ('(橫掃)RX Mapping'!F31-1),IF(AND('(橫掃)RX Mapping'!F31&gt;=121,'(橫掃)RX Mapping'!F31&lt;=240), (-1)*('(橫掃)RX Mapping'!F31-240),IF(AND('(橫掃)RX Mapping'!F31&gt;=241,'(橫掃)RX Mapping'!F31&lt;=360), ('(橫掃)RX Mapping'!F31-241),IF(AND('(橫掃)RX Mapping'!F31&gt;=361,'(橫掃)RX Mapping'!F31&lt;=480), (-1)*('(橫掃)RX Mapping'!F31-480),IF(AND('(橫掃)RX Mapping'!F31&gt;=481,'(橫掃)RX Mapping'!F31&lt;=600), ('(橫掃)RX Mapping'!F31-361),IF(AND('(橫掃)RX Mapping'!F31&gt;=601,'(橫掃)RX Mapping'!F31&lt;=720), (-1)*('(橫掃)RX Mapping'!F31-720)+120,IF(AND('(橫掃)RX Mapping'!F31&gt;=721,'(橫掃)RX Mapping'!F31&lt;=840), ('(橫掃)RX Mapping'!F31-601),IF(AND('(橫掃)RX Mapping'!F31&gt;=841,'(橫掃)RX Mapping'!F31&lt;=960), (-1)*('(橫掃)RX Mapping'!F31-960)+120,9999))))))))</f>
        <v>82</v>
      </c>
      <c r="G31">
        <f>IF(AND('(橫掃)RX Mapping'!G31&gt;=1,'(橫掃)RX Mapping'!G31&lt;=120), ('(橫掃)RX Mapping'!G31-1),IF(AND('(橫掃)RX Mapping'!G31&gt;=121,'(橫掃)RX Mapping'!G31&lt;=240), (-1)*('(橫掃)RX Mapping'!G31-240),IF(AND('(橫掃)RX Mapping'!G31&gt;=241,'(橫掃)RX Mapping'!G31&lt;=360), ('(橫掃)RX Mapping'!G31-241),IF(AND('(橫掃)RX Mapping'!G31&gt;=361,'(橫掃)RX Mapping'!G31&lt;=480), (-1)*('(橫掃)RX Mapping'!G31-480),IF(AND('(橫掃)RX Mapping'!G31&gt;=481,'(橫掃)RX Mapping'!G31&lt;=600), ('(橫掃)RX Mapping'!G31-361),IF(AND('(橫掃)RX Mapping'!G31&gt;=601,'(橫掃)RX Mapping'!G31&lt;=720), (-1)*('(橫掃)RX Mapping'!G31-720)+120,IF(AND('(橫掃)RX Mapping'!G31&gt;=721,'(橫掃)RX Mapping'!G31&lt;=840), ('(橫掃)RX Mapping'!G31-601),IF(AND('(橫掃)RX Mapping'!G31&gt;=841,'(橫掃)RX Mapping'!G31&lt;=960), (-1)*('(橫掃)RX Mapping'!G31-960)+120,9999))))))))</f>
        <v>50</v>
      </c>
      <c r="H31">
        <f>IF(AND('(橫掃)RX Mapping'!H31&gt;=1,'(橫掃)RX Mapping'!H31&lt;=120), ('(橫掃)RX Mapping'!H31-1),IF(AND('(橫掃)RX Mapping'!H31&gt;=121,'(橫掃)RX Mapping'!H31&lt;=240), (-1)*('(橫掃)RX Mapping'!H31-240),IF(AND('(橫掃)RX Mapping'!H31&gt;=241,'(橫掃)RX Mapping'!H31&lt;=360), ('(橫掃)RX Mapping'!H31-241),IF(AND('(橫掃)RX Mapping'!H31&gt;=361,'(橫掃)RX Mapping'!H31&lt;=480), (-1)*('(橫掃)RX Mapping'!H31-480),IF(AND('(橫掃)RX Mapping'!H31&gt;=481,'(橫掃)RX Mapping'!H31&lt;=600), ('(橫掃)RX Mapping'!H31-361),IF(AND('(橫掃)RX Mapping'!H31&gt;=601,'(橫掃)RX Mapping'!H31&lt;=720), (-1)*('(橫掃)RX Mapping'!H31-720)+120,IF(AND('(橫掃)RX Mapping'!H31&gt;=721,'(橫掃)RX Mapping'!H31&lt;=840), ('(橫掃)RX Mapping'!H31-601),IF(AND('(橫掃)RX Mapping'!H31&gt;=841,'(橫掃)RX Mapping'!H31&lt;=960), (-1)*('(橫掃)RX Mapping'!H31-960)+120,9999))))))))</f>
        <v>18</v>
      </c>
      <c r="I31">
        <f>IF(AND('(橫掃)RX Mapping'!I31&gt;=1,'(橫掃)RX Mapping'!I31&lt;=120), ('(橫掃)RX Mapping'!I31-1),IF(AND('(橫掃)RX Mapping'!I31&gt;=121,'(橫掃)RX Mapping'!I31&lt;=240), (-1)*('(橫掃)RX Mapping'!I31-240),IF(AND('(橫掃)RX Mapping'!I31&gt;=241,'(橫掃)RX Mapping'!I31&lt;=360), ('(橫掃)RX Mapping'!I31-241),IF(AND('(橫掃)RX Mapping'!I31&gt;=361,'(橫掃)RX Mapping'!I31&lt;=480), (-1)*('(橫掃)RX Mapping'!I31-480),IF(AND('(橫掃)RX Mapping'!I31&gt;=481,'(橫掃)RX Mapping'!I31&lt;=600), ('(橫掃)RX Mapping'!I31-361),IF(AND('(橫掃)RX Mapping'!I31&gt;=601,'(橫掃)RX Mapping'!I31&lt;=720), (-1)*('(橫掃)RX Mapping'!I31-720)+120,IF(AND('(橫掃)RX Mapping'!I31&gt;=721,'(橫掃)RX Mapping'!I31&lt;=840), ('(橫掃)RX Mapping'!I31-601),IF(AND('(橫掃)RX Mapping'!I31&gt;=841,'(橫掃)RX Mapping'!I31&lt;=960), (-1)*('(橫掃)RX Mapping'!I31-960)+120,9999))))))))</f>
        <v>29</v>
      </c>
      <c r="J31">
        <f>IF(AND('(橫掃)RX Mapping'!J31&gt;=1,'(橫掃)RX Mapping'!J31&lt;=120), ('(橫掃)RX Mapping'!J31-1),IF(AND('(橫掃)RX Mapping'!J31&gt;=121,'(橫掃)RX Mapping'!J31&lt;=240), (-1)*('(橫掃)RX Mapping'!J31-240),IF(AND('(橫掃)RX Mapping'!J31&gt;=241,'(橫掃)RX Mapping'!J31&lt;=360), ('(橫掃)RX Mapping'!J31-241),IF(AND('(橫掃)RX Mapping'!J31&gt;=361,'(橫掃)RX Mapping'!J31&lt;=480), (-1)*('(橫掃)RX Mapping'!J31-480),IF(AND('(橫掃)RX Mapping'!J31&gt;=481,'(橫掃)RX Mapping'!J31&lt;=600), ('(橫掃)RX Mapping'!J31-361),IF(AND('(橫掃)RX Mapping'!J31&gt;=601,'(橫掃)RX Mapping'!J31&lt;=720), (-1)*('(橫掃)RX Mapping'!J31-720)+120,IF(AND('(橫掃)RX Mapping'!J31&gt;=721,'(橫掃)RX Mapping'!J31&lt;=840), ('(橫掃)RX Mapping'!J31-601),IF(AND('(橫掃)RX Mapping'!J31&gt;=841,'(橫掃)RX Mapping'!J31&lt;=960), (-1)*('(橫掃)RX Mapping'!J31-960)+120,9999))))))))</f>
        <v>61</v>
      </c>
      <c r="K31">
        <f>IF(AND('(橫掃)RX Mapping'!K31&gt;=1,'(橫掃)RX Mapping'!K31&lt;=120), ('(橫掃)RX Mapping'!K31-1),IF(AND('(橫掃)RX Mapping'!K31&gt;=121,'(橫掃)RX Mapping'!K31&lt;=240), (-1)*('(橫掃)RX Mapping'!K31-240),IF(AND('(橫掃)RX Mapping'!K31&gt;=241,'(橫掃)RX Mapping'!K31&lt;=360), ('(橫掃)RX Mapping'!K31-241),IF(AND('(橫掃)RX Mapping'!K31&gt;=361,'(橫掃)RX Mapping'!K31&lt;=480), (-1)*('(橫掃)RX Mapping'!K31-480),IF(AND('(橫掃)RX Mapping'!K31&gt;=481,'(橫掃)RX Mapping'!K31&lt;=600), ('(橫掃)RX Mapping'!K31-361),IF(AND('(橫掃)RX Mapping'!K31&gt;=601,'(橫掃)RX Mapping'!K31&lt;=720), (-1)*('(橫掃)RX Mapping'!K31-720)+120,IF(AND('(橫掃)RX Mapping'!K31&gt;=721,'(橫掃)RX Mapping'!K31&lt;=840), ('(橫掃)RX Mapping'!K31-601),IF(AND('(橫掃)RX Mapping'!K31&gt;=841,'(橫掃)RX Mapping'!K31&lt;=960), (-1)*('(橫掃)RX Mapping'!K31-960)+120,9999))))))))</f>
        <v>93</v>
      </c>
      <c r="L31">
        <f>IF(AND('(橫掃)RX Mapping'!L31&gt;=1,'(橫掃)RX Mapping'!L31&lt;=120), ('(橫掃)RX Mapping'!L31-1),IF(AND('(橫掃)RX Mapping'!L31&gt;=121,'(橫掃)RX Mapping'!L31&lt;=240), (-1)*('(橫掃)RX Mapping'!L31-240),IF(AND('(橫掃)RX Mapping'!L31&gt;=241,'(橫掃)RX Mapping'!L31&lt;=360), ('(橫掃)RX Mapping'!L31-241),IF(AND('(橫掃)RX Mapping'!L31&gt;=361,'(橫掃)RX Mapping'!L31&lt;=480), (-1)*('(橫掃)RX Mapping'!L31-480),IF(AND('(橫掃)RX Mapping'!L31&gt;=481,'(橫掃)RX Mapping'!L31&lt;=600), ('(橫掃)RX Mapping'!L31-361),IF(AND('(橫掃)RX Mapping'!L31&gt;=601,'(橫掃)RX Mapping'!L31&lt;=720), (-1)*('(橫掃)RX Mapping'!L31-720)+120,IF(AND('(橫掃)RX Mapping'!L31&gt;=721,'(橫掃)RX Mapping'!L31&lt;=840), ('(橫掃)RX Mapping'!L31-601),IF(AND('(橫掃)RX Mapping'!L31&gt;=841,'(橫掃)RX Mapping'!L31&lt;=960), (-1)*('(橫掃)RX Mapping'!L31-960)+120,9999))))))))</f>
        <v>114</v>
      </c>
      <c r="M31">
        <f>IF(AND('(橫掃)RX Mapping'!M31&gt;=1,'(橫掃)RX Mapping'!M31&lt;=120), ('(橫掃)RX Mapping'!M31-1),IF(AND('(橫掃)RX Mapping'!M31&gt;=121,'(橫掃)RX Mapping'!M31&lt;=240), (-1)*('(橫掃)RX Mapping'!M31-240),IF(AND('(橫掃)RX Mapping'!M31&gt;=241,'(橫掃)RX Mapping'!M31&lt;=360), ('(橫掃)RX Mapping'!M31-241),IF(AND('(橫掃)RX Mapping'!M31&gt;=361,'(橫掃)RX Mapping'!M31&lt;=480), (-1)*('(橫掃)RX Mapping'!M31-480),IF(AND('(橫掃)RX Mapping'!M31&gt;=481,'(橫掃)RX Mapping'!M31&lt;=600), ('(橫掃)RX Mapping'!M31-361),IF(AND('(橫掃)RX Mapping'!M31&gt;=601,'(橫掃)RX Mapping'!M31&lt;=720), (-1)*('(橫掃)RX Mapping'!M31-720)+120,IF(AND('(橫掃)RX Mapping'!M31&gt;=721,'(橫掃)RX Mapping'!M31&lt;=840), ('(橫掃)RX Mapping'!M31-601),IF(AND('(橫掃)RX Mapping'!M31&gt;=841,'(橫掃)RX Mapping'!M31&lt;=960), (-1)*('(橫掃)RX Mapping'!M31-960)+120,9999))))))))</f>
        <v>82</v>
      </c>
      <c r="N31">
        <f>IF(AND('(橫掃)RX Mapping'!N31&gt;=1,'(橫掃)RX Mapping'!N31&lt;=120), ('(橫掃)RX Mapping'!N31-1),IF(AND('(橫掃)RX Mapping'!N31&gt;=121,'(橫掃)RX Mapping'!N31&lt;=240), (-1)*('(橫掃)RX Mapping'!N31-240),IF(AND('(橫掃)RX Mapping'!N31&gt;=241,'(橫掃)RX Mapping'!N31&lt;=360), ('(橫掃)RX Mapping'!N31-241),IF(AND('(橫掃)RX Mapping'!N31&gt;=361,'(橫掃)RX Mapping'!N31&lt;=480), (-1)*('(橫掃)RX Mapping'!N31-480),IF(AND('(橫掃)RX Mapping'!N31&gt;=481,'(橫掃)RX Mapping'!N31&lt;=600), ('(橫掃)RX Mapping'!N31-361),IF(AND('(橫掃)RX Mapping'!N31&gt;=601,'(橫掃)RX Mapping'!N31&lt;=720), (-1)*('(橫掃)RX Mapping'!N31-720)+120,IF(AND('(橫掃)RX Mapping'!N31&gt;=721,'(橫掃)RX Mapping'!N31&lt;=840), ('(橫掃)RX Mapping'!N31-601),IF(AND('(橫掃)RX Mapping'!N31&gt;=841,'(橫掃)RX Mapping'!N31&lt;=960), (-1)*('(橫掃)RX Mapping'!N31-960)+120,9999))))))))</f>
        <v>50</v>
      </c>
      <c r="O31">
        <f>IF(AND('(橫掃)RX Mapping'!O31&gt;=1,'(橫掃)RX Mapping'!O31&lt;=120), ('(橫掃)RX Mapping'!O31-1),IF(AND('(橫掃)RX Mapping'!O31&gt;=121,'(橫掃)RX Mapping'!O31&lt;=240), (-1)*('(橫掃)RX Mapping'!O31-240),IF(AND('(橫掃)RX Mapping'!O31&gt;=241,'(橫掃)RX Mapping'!O31&lt;=360), ('(橫掃)RX Mapping'!O31-241),IF(AND('(橫掃)RX Mapping'!O31&gt;=361,'(橫掃)RX Mapping'!O31&lt;=480), (-1)*('(橫掃)RX Mapping'!O31-480),IF(AND('(橫掃)RX Mapping'!O31&gt;=481,'(橫掃)RX Mapping'!O31&lt;=600), ('(橫掃)RX Mapping'!O31-361),IF(AND('(橫掃)RX Mapping'!O31&gt;=601,'(橫掃)RX Mapping'!O31&lt;=720), (-1)*('(橫掃)RX Mapping'!O31-720)+120,IF(AND('(橫掃)RX Mapping'!O31&gt;=721,'(橫掃)RX Mapping'!O31&lt;=840), ('(橫掃)RX Mapping'!O31-601),IF(AND('(橫掃)RX Mapping'!O31&gt;=841,'(橫掃)RX Mapping'!O31&lt;=960), (-1)*('(橫掃)RX Mapping'!O31-960)+120,9999))))))))</f>
        <v>18</v>
      </c>
      <c r="P31">
        <f>IF(AND('(橫掃)RX Mapping'!P31&gt;=1,'(橫掃)RX Mapping'!P31&lt;=120), ('(橫掃)RX Mapping'!P31-1),IF(AND('(橫掃)RX Mapping'!P31&gt;=121,'(橫掃)RX Mapping'!P31&lt;=240), (-1)*('(橫掃)RX Mapping'!P31-240),IF(AND('(橫掃)RX Mapping'!P31&gt;=241,'(橫掃)RX Mapping'!P31&lt;=360), ('(橫掃)RX Mapping'!P31-241),IF(AND('(橫掃)RX Mapping'!P31&gt;=361,'(橫掃)RX Mapping'!P31&lt;=480), (-1)*('(橫掃)RX Mapping'!P31-480),IF(AND('(橫掃)RX Mapping'!P31&gt;=481,'(橫掃)RX Mapping'!P31&lt;=600), ('(橫掃)RX Mapping'!P31-361),IF(AND('(橫掃)RX Mapping'!P31&gt;=601,'(橫掃)RX Mapping'!P31&lt;=720), (-1)*('(橫掃)RX Mapping'!P31-720)+120,IF(AND('(橫掃)RX Mapping'!P31&gt;=721,'(橫掃)RX Mapping'!P31&lt;=840), ('(橫掃)RX Mapping'!P31-601),IF(AND('(橫掃)RX Mapping'!P31&gt;=841,'(橫掃)RX Mapping'!P31&lt;=960), (-1)*('(橫掃)RX Mapping'!P31-960)+120,9999))))))))</f>
        <v>149</v>
      </c>
      <c r="Q31">
        <f>IF(AND('(橫掃)RX Mapping'!Q31&gt;=1,'(橫掃)RX Mapping'!Q31&lt;=120), ('(橫掃)RX Mapping'!Q31-1),IF(AND('(橫掃)RX Mapping'!Q31&gt;=121,'(橫掃)RX Mapping'!Q31&lt;=240), (-1)*('(橫掃)RX Mapping'!Q31-240),IF(AND('(橫掃)RX Mapping'!Q31&gt;=241,'(橫掃)RX Mapping'!Q31&lt;=360), ('(橫掃)RX Mapping'!Q31-241),IF(AND('(橫掃)RX Mapping'!Q31&gt;=361,'(橫掃)RX Mapping'!Q31&lt;=480), (-1)*('(橫掃)RX Mapping'!Q31-480),IF(AND('(橫掃)RX Mapping'!Q31&gt;=481,'(橫掃)RX Mapping'!Q31&lt;=600), ('(橫掃)RX Mapping'!Q31-361),IF(AND('(橫掃)RX Mapping'!Q31&gt;=601,'(橫掃)RX Mapping'!Q31&lt;=720), (-1)*('(橫掃)RX Mapping'!Q31-720)+120,IF(AND('(橫掃)RX Mapping'!Q31&gt;=721,'(橫掃)RX Mapping'!Q31&lt;=840), ('(橫掃)RX Mapping'!Q31-601),IF(AND('(橫掃)RX Mapping'!Q31&gt;=841,'(橫掃)RX Mapping'!Q31&lt;=960), (-1)*('(橫掃)RX Mapping'!Q31-960)+120,9999))))))))</f>
        <v>181</v>
      </c>
      <c r="R31">
        <f>IF(AND('(橫掃)RX Mapping'!R31&gt;=1,'(橫掃)RX Mapping'!R31&lt;=120), ('(橫掃)RX Mapping'!R31-1),IF(AND('(橫掃)RX Mapping'!R31&gt;=121,'(橫掃)RX Mapping'!R31&lt;=240), (-1)*('(橫掃)RX Mapping'!R31-240),IF(AND('(橫掃)RX Mapping'!R31&gt;=241,'(橫掃)RX Mapping'!R31&lt;=360), ('(橫掃)RX Mapping'!R31-241),IF(AND('(橫掃)RX Mapping'!R31&gt;=361,'(橫掃)RX Mapping'!R31&lt;=480), (-1)*('(橫掃)RX Mapping'!R31-480),IF(AND('(橫掃)RX Mapping'!R31&gt;=481,'(橫掃)RX Mapping'!R31&lt;=600), ('(橫掃)RX Mapping'!R31-361),IF(AND('(橫掃)RX Mapping'!R31&gt;=601,'(橫掃)RX Mapping'!R31&lt;=720), (-1)*('(橫掃)RX Mapping'!R31-720)+120,IF(AND('(橫掃)RX Mapping'!R31&gt;=721,'(橫掃)RX Mapping'!R31&lt;=840), ('(橫掃)RX Mapping'!R31-601),IF(AND('(橫掃)RX Mapping'!R31&gt;=841,'(橫掃)RX Mapping'!R31&lt;=960), (-1)*('(橫掃)RX Mapping'!R31-960)+120,9999))))))))</f>
        <v>213</v>
      </c>
      <c r="S31">
        <f>IF(AND('(橫掃)RX Mapping'!S31&gt;=1,'(橫掃)RX Mapping'!S31&lt;=120), ('(橫掃)RX Mapping'!S31-1),IF(AND('(橫掃)RX Mapping'!S31&gt;=121,'(橫掃)RX Mapping'!S31&lt;=240), (-1)*('(橫掃)RX Mapping'!S31-240),IF(AND('(橫掃)RX Mapping'!S31&gt;=241,'(橫掃)RX Mapping'!S31&lt;=360), ('(橫掃)RX Mapping'!S31-241),IF(AND('(橫掃)RX Mapping'!S31&gt;=361,'(橫掃)RX Mapping'!S31&lt;=480), (-1)*('(橫掃)RX Mapping'!S31-480),IF(AND('(橫掃)RX Mapping'!S31&gt;=481,'(橫掃)RX Mapping'!S31&lt;=600), ('(橫掃)RX Mapping'!S31-361),IF(AND('(橫掃)RX Mapping'!S31&gt;=601,'(橫掃)RX Mapping'!S31&lt;=720), (-1)*('(橫掃)RX Mapping'!S31-720)+120,IF(AND('(橫掃)RX Mapping'!S31&gt;=721,'(橫掃)RX Mapping'!S31&lt;=840), ('(橫掃)RX Mapping'!S31-601),IF(AND('(橫掃)RX Mapping'!S31&gt;=841,'(橫掃)RX Mapping'!S31&lt;=960), (-1)*('(橫掃)RX Mapping'!S31-960)+120,9999))))))))</f>
        <v>234</v>
      </c>
      <c r="T31">
        <f>IF(AND('(橫掃)RX Mapping'!T31&gt;=1,'(橫掃)RX Mapping'!T31&lt;=120), ('(橫掃)RX Mapping'!T31-1),IF(AND('(橫掃)RX Mapping'!T31&gt;=121,'(橫掃)RX Mapping'!T31&lt;=240), (-1)*('(橫掃)RX Mapping'!T31-240),IF(AND('(橫掃)RX Mapping'!T31&gt;=241,'(橫掃)RX Mapping'!T31&lt;=360), ('(橫掃)RX Mapping'!T31-241),IF(AND('(橫掃)RX Mapping'!T31&gt;=361,'(橫掃)RX Mapping'!T31&lt;=480), (-1)*('(橫掃)RX Mapping'!T31-480),IF(AND('(橫掃)RX Mapping'!T31&gt;=481,'(橫掃)RX Mapping'!T31&lt;=600), ('(橫掃)RX Mapping'!T31-361),IF(AND('(橫掃)RX Mapping'!T31&gt;=601,'(橫掃)RX Mapping'!T31&lt;=720), (-1)*('(橫掃)RX Mapping'!T31-720)+120,IF(AND('(橫掃)RX Mapping'!T31&gt;=721,'(橫掃)RX Mapping'!T31&lt;=840), ('(橫掃)RX Mapping'!T31-601),IF(AND('(橫掃)RX Mapping'!T31&gt;=841,'(橫掃)RX Mapping'!T31&lt;=960), (-1)*('(橫掃)RX Mapping'!T31-960)+120,9999))))))))</f>
        <v>202</v>
      </c>
      <c r="U31">
        <f>IF(AND('(橫掃)RX Mapping'!U31&gt;=1,'(橫掃)RX Mapping'!U31&lt;=120), ('(橫掃)RX Mapping'!U31-1),IF(AND('(橫掃)RX Mapping'!U31&gt;=121,'(橫掃)RX Mapping'!U31&lt;=240), (-1)*('(橫掃)RX Mapping'!U31-240),IF(AND('(橫掃)RX Mapping'!U31&gt;=241,'(橫掃)RX Mapping'!U31&lt;=360), ('(橫掃)RX Mapping'!U31-241),IF(AND('(橫掃)RX Mapping'!U31&gt;=361,'(橫掃)RX Mapping'!U31&lt;=480), (-1)*('(橫掃)RX Mapping'!U31-480),IF(AND('(橫掃)RX Mapping'!U31&gt;=481,'(橫掃)RX Mapping'!U31&lt;=600), ('(橫掃)RX Mapping'!U31-361),IF(AND('(橫掃)RX Mapping'!U31&gt;=601,'(橫掃)RX Mapping'!U31&lt;=720), (-1)*('(橫掃)RX Mapping'!U31-720)+120,IF(AND('(橫掃)RX Mapping'!U31&gt;=721,'(橫掃)RX Mapping'!U31&lt;=840), ('(橫掃)RX Mapping'!U31-601),IF(AND('(橫掃)RX Mapping'!U31&gt;=841,'(橫掃)RX Mapping'!U31&lt;=960), (-1)*('(橫掃)RX Mapping'!U31-960)+120,9999))))))))</f>
        <v>170</v>
      </c>
      <c r="V31">
        <f>IF(AND('(橫掃)RX Mapping'!V31&gt;=1,'(橫掃)RX Mapping'!V31&lt;=120), ('(橫掃)RX Mapping'!V31-1),IF(AND('(橫掃)RX Mapping'!V31&gt;=121,'(橫掃)RX Mapping'!V31&lt;=240), (-1)*('(橫掃)RX Mapping'!V31-240),IF(AND('(橫掃)RX Mapping'!V31&gt;=241,'(橫掃)RX Mapping'!V31&lt;=360), ('(橫掃)RX Mapping'!V31-241),IF(AND('(橫掃)RX Mapping'!V31&gt;=361,'(橫掃)RX Mapping'!V31&lt;=480), (-1)*('(橫掃)RX Mapping'!V31-480),IF(AND('(橫掃)RX Mapping'!V31&gt;=481,'(橫掃)RX Mapping'!V31&lt;=600), ('(橫掃)RX Mapping'!V31-361),IF(AND('(橫掃)RX Mapping'!V31&gt;=601,'(橫掃)RX Mapping'!V31&lt;=720), (-1)*('(橫掃)RX Mapping'!V31-720)+120,IF(AND('(橫掃)RX Mapping'!V31&gt;=721,'(橫掃)RX Mapping'!V31&lt;=840), ('(橫掃)RX Mapping'!V31-601),IF(AND('(橫掃)RX Mapping'!V31&gt;=841,'(橫掃)RX Mapping'!V31&lt;=960), (-1)*('(橫掃)RX Mapping'!V31-960)+120,9999))))))))</f>
        <v>138</v>
      </c>
      <c r="W31">
        <f>IF(AND('(橫掃)RX Mapping'!W31&gt;=1,'(橫掃)RX Mapping'!W31&lt;=120), ('(橫掃)RX Mapping'!W31-1),IF(AND('(橫掃)RX Mapping'!W31&gt;=121,'(橫掃)RX Mapping'!W31&lt;=240), (-1)*('(橫掃)RX Mapping'!W31-240),IF(AND('(橫掃)RX Mapping'!W31&gt;=241,'(橫掃)RX Mapping'!W31&lt;=360), ('(橫掃)RX Mapping'!W31-241),IF(AND('(橫掃)RX Mapping'!W31&gt;=361,'(橫掃)RX Mapping'!W31&lt;=480), (-1)*('(橫掃)RX Mapping'!W31-480),IF(AND('(橫掃)RX Mapping'!W31&gt;=481,'(橫掃)RX Mapping'!W31&lt;=600), ('(橫掃)RX Mapping'!W31-361),IF(AND('(橫掃)RX Mapping'!W31&gt;=601,'(橫掃)RX Mapping'!W31&lt;=720), (-1)*('(橫掃)RX Mapping'!W31-720)+120,IF(AND('(橫掃)RX Mapping'!W31&gt;=721,'(橫掃)RX Mapping'!W31&lt;=840), ('(橫掃)RX Mapping'!W31-601),IF(AND('(橫掃)RX Mapping'!W31&gt;=841,'(橫掃)RX Mapping'!W31&lt;=960), (-1)*('(橫掃)RX Mapping'!W31-960)+120,9999))))))))</f>
        <v>149</v>
      </c>
      <c r="X31">
        <f>IF(AND('(橫掃)RX Mapping'!X31&gt;=1,'(橫掃)RX Mapping'!X31&lt;=120), ('(橫掃)RX Mapping'!X31-1),IF(AND('(橫掃)RX Mapping'!X31&gt;=121,'(橫掃)RX Mapping'!X31&lt;=240), (-1)*('(橫掃)RX Mapping'!X31-240),IF(AND('(橫掃)RX Mapping'!X31&gt;=241,'(橫掃)RX Mapping'!X31&lt;=360), ('(橫掃)RX Mapping'!X31-241),IF(AND('(橫掃)RX Mapping'!X31&gt;=361,'(橫掃)RX Mapping'!X31&lt;=480), (-1)*('(橫掃)RX Mapping'!X31-480),IF(AND('(橫掃)RX Mapping'!X31&gt;=481,'(橫掃)RX Mapping'!X31&lt;=600), ('(橫掃)RX Mapping'!X31-361),IF(AND('(橫掃)RX Mapping'!X31&gt;=601,'(橫掃)RX Mapping'!X31&lt;=720), (-1)*('(橫掃)RX Mapping'!X31-720)+120,IF(AND('(橫掃)RX Mapping'!X31&gt;=721,'(橫掃)RX Mapping'!X31&lt;=840), ('(橫掃)RX Mapping'!X31-601),IF(AND('(橫掃)RX Mapping'!X31&gt;=841,'(橫掃)RX Mapping'!X31&lt;=960), (-1)*('(橫掃)RX Mapping'!X31-960)+120,9999))))))))</f>
        <v>181</v>
      </c>
      <c r="Y31">
        <f>IF(AND('(橫掃)RX Mapping'!Y31&gt;=1,'(橫掃)RX Mapping'!Y31&lt;=120), ('(橫掃)RX Mapping'!Y31-1),IF(AND('(橫掃)RX Mapping'!Y31&gt;=121,'(橫掃)RX Mapping'!Y31&lt;=240), (-1)*('(橫掃)RX Mapping'!Y31-240),IF(AND('(橫掃)RX Mapping'!Y31&gt;=241,'(橫掃)RX Mapping'!Y31&lt;=360), ('(橫掃)RX Mapping'!Y31-241),IF(AND('(橫掃)RX Mapping'!Y31&gt;=361,'(橫掃)RX Mapping'!Y31&lt;=480), (-1)*('(橫掃)RX Mapping'!Y31-480),IF(AND('(橫掃)RX Mapping'!Y31&gt;=481,'(橫掃)RX Mapping'!Y31&lt;=600), ('(橫掃)RX Mapping'!Y31-361),IF(AND('(橫掃)RX Mapping'!Y31&gt;=601,'(橫掃)RX Mapping'!Y31&lt;=720), (-1)*('(橫掃)RX Mapping'!Y31-720)+120,IF(AND('(橫掃)RX Mapping'!Y31&gt;=721,'(橫掃)RX Mapping'!Y31&lt;=840), ('(橫掃)RX Mapping'!Y31-601),IF(AND('(橫掃)RX Mapping'!Y31&gt;=841,'(橫掃)RX Mapping'!Y31&lt;=960), (-1)*('(橫掃)RX Mapping'!Y31-960)+120,9999))))))))</f>
        <v>213</v>
      </c>
      <c r="Z31">
        <f>IF(AND('(橫掃)RX Mapping'!Z31&gt;=1,'(橫掃)RX Mapping'!Z31&lt;=120), ('(橫掃)RX Mapping'!Z31-1),IF(AND('(橫掃)RX Mapping'!Z31&gt;=121,'(橫掃)RX Mapping'!Z31&lt;=240), (-1)*('(橫掃)RX Mapping'!Z31-240),IF(AND('(橫掃)RX Mapping'!Z31&gt;=241,'(橫掃)RX Mapping'!Z31&lt;=360), ('(橫掃)RX Mapping'!Z31-241),IF(AND('(橫掃)RX Mapping'!Z31&gt;=361,'(橫掃)RX Mapping'!Z31&lt;=480), (-1)*('(橫掃)RX Mapping'!Z31-480),IF(AND('(橫掃)RX Mapping'!Z31&gt;=481,'(橫掃)RX Mapping'!Z31&lt;=600), ('(橫掃)RX Mapping'!Z31-361),IF(AND('(橫掃)RX Mapping'!Z31&gt;=601,'(橫掃)RX Mapping'!Z31&lt;=720), (-1)*('(橫掃)RX Mapping'!Z31-720)+120,IF(AND('(橫掃)RX Mapping'!Z31&gt;=721,'(橫掃)RX Mapping'!Z31&lt;=840), ('(橫掃)RX Mapping'!Z31-601),IF(AND('(橫掃)RX Mapping'!Z31&gt;=841,'(橫掃)RX Mapping'!Z31&lt;=960), (-1)*('(橫掃)RX Mapping'!Z31-960)+120,9999))))))))</f>
        <v>234</v>
      </c>
      <c r="AA31">
        <f>IF(AND('(橫掃)RX Mapping'!AA31&gt;=1,'(橫掃)RX Mapping'!AA31&lt;=120), ('(橫掃)RX Mapping'!AA31-1),IF(AND('(橫掃)RX Mapping'!AA31&gt;=121,'(橫掃)RX Mapping'!AA31&lt;=240), (-1)*('(橫掃)RX Mapping'!AA31-240),IF(AND('(橫掃)RX Mapping'!AA31&gt;=241,'(橫掃)RX Mapping'!AA31&lt;=360), ('(橫掃)RX Mapping'!AA31-241),IF(AND('(橫掃)RX Mapping'!AA31&gt;=361,'(橫掃)RX Mapping'!AA31&lt;=480), (-1)*('(橫掃)RX Mapping'!AA31-480),IF(AND('(橫掃)RX Mapping'!AA31&gt;=481,'(橫掃)RX Mapping'!AA31&lt;=600), ('(橫掃)RX Mapping'!AA31-361),IF(AND('(橫掃)RX Mapping'!AA31&gt;=601,'(橫掃)RX Mapping'!AA31&lt;=720), (-1)*('(橫掃)RX Mapping'!AA31-720)+120,IF(AND('(橫掃)RX Mapping'!AA31&gt;=721,'(橫掃)RX Mapping'!AA31&lt;=840), ('(橫掃)RX Mapping'!AA31-601),IF(AND('(橫掃)RX Mapping'!AA31&gt;=841,'(橫掃)RX Mapping'!AA31&lt;=960), (-1)*('(橫掃)RX Mapping'!AA31-960)+120,9999))))))))</f>
        <v>202</v>
      </c>
      <c r="AB31">
        <f>IF(AND('(橫掃)RX Mapping'!AB31&gt;=1,'(橫掃)RX Mapping'!AB31&lt;=120), ('(橫掃)RX Mapping'!AB31-1),IF(AND('(橫掃)RX Mapping'!AB31&gt;=121,'(橫掃)RX Mapping'!AB31&lt;=240), (-1)*('(橫掃)RX Mapping'!AB31-240),IF(AND('(橫掃)RX Mapping'!AB31&gt;=241,'(橫掃)RX Mapping'!AB31&lt;=360), ('(橫掃)RX Mapping'!AB31-241),IF(AND('(橫掃)RX Mapping'!AB31&gt;=361,'(橫掃)RX Mapping'!AB31&lt;=480), (-1)*('(橫掃)RX Mapping'!AB31-480),IF(AND('(橫掃)RX Mapping'!AB31&gt;=481,'(橫掃)RX Mapping'!AB31&lt;=600), ('(橫掃)RX Mapping'!AB31-361),IF(AND('(橫掃)RX Mapping'!AB31&gt;=601,'(橫掃)RX Mapping'!AB31&lt;=720), (-1)*('(橫掃)RX Mapping'!AB31-720)+120,IF(AND('(橫掃)RX Mapping'!AB31&gt;=721,'(橫掃)RX Mapping'!AB31&lt;=840), ('(橫掃)RX Mapping'!AB31-601),IF(AND('(橫掃)RX Mapping'!AB31&gt;=841,'(橫掃)RX Mapping'!AB31&lt;=960), (-1)*('(橫掃)RX Mapping'!AB31-960)+120,9999))))))))</f>
        <v>170</v>
      </c>
      <c r="AC31">
        <f>IF(AND('(橫掃)RX Mapping'!AC31&gt;=1,'(橫掃)RX Mapping'!AC31&lt;=120), ('(橫掃)RX Mapping'!AC31-1),IF(AND('(橫掃)RX Mapping'!AC31&gt;=121,'(橫掃)RX Mapping'!AC31&lt;=240), (-1)*('(橫掃)RX Mapping'!AC31-240),IF(AND('(橫掃)RX Mapping'!AC31&gt;=241,'(橫掃)RX Mapping'!AC31&lt;=360), ('(橫掃)RX Mapping'!AC31-241),IF(AND('(橫掃)RX Mapping'!AC31&gt;=361,'(橫掃)RX Mapping'!AC31&lt;=480), (-1)*('(橫掃)RX Mapping'!AC31-480),IF(AND('(橫掃)RX Mapping'!AC31&gt;=481,'(橫掃)RX Mapping'!AC31&lt;=600), ('(橫掃)RX Mapping'!AC31-361),IF(AND('(橫掃)RX Mapping'!AC31&gt;=601,'(橫掃)RX Mapping'!AC31&lt;=720), (-1)*('(橫掃)RX Mapping'!AC31-720)+120,IF(AND('(橫掃)RX Mapping'!AC31&gt;=721,'(橫掃)RX Mapping'!AC31&lt;=840), ('(橫掃)RX Mapping'!AC31-601),IF(AND('(橫掃)RX Mapping'!AC31&gt;=841,'(橫掃)RX Mapping'!AC31&lt;=960), (-1)*('(橫掃)RX Mapping'!AC31-960)+120,9999))))))))</f>
        <v>138</v>
      </c>
      <c r="AD31">
        <f>IF(AND('(橫掃)RX Mapping'!AD31&gt;=1,'(橫掃)RX Mapping'!AD31&lt;=120), ('(橫掃)RX Mapping'!AD31-1),IF(AND('(橫掃)RX Mapping'!AD31&gt;=121,'(橫掃)RX Mapping'!AD31&lt;=240), (-1)*('(橫掃)RX Mapping'!AD31-240),IF(AND('(橫掃)RX Mapping'!AD31&gt;=241,'(橫掃)RX Mapping'!AD31&lt;=360), ('(橫掃)RX Mapping'!AD31-241),IF(AND('(橫掃)RX Mapping'!AD31&gt;=361,'(橫掃)RX Mapping'!AD31&lt;=480), (-1)*('(橫掃)RX Mapping'!AD31-480),IF(AND('(橫掃)RX Mapping'!AD31&gt;=481,'(橫掃)RX Mapping'!AD31&lt;=600), ('(橫掃)RX Mapping'!AD31-361),IF(AND('(橫掃)RX Mapping'!AD31&gt;=601,'(橫掃)RX Mapping'!AD31&lt;=720), (-1)*('(橫掃)RX Mapping'!AD31-720)+120,IF(AND('(橫掃)RX Mapping'!AD31&gt;=721,'(橫掃)RX Mapping'!AD31&lt;=840), ('(橫掃)RX Mapping'!AD31-601),IF(AND('(橫掃)RX Mapping'!AD31&gt;=841,'(橫掃)RX Mapping'!AD31&lt;=960), (-1)*('(橫掃)RX Mapping'!AD31-960)+120,9999))))))))</f>
        <v>9999</v>
      </c>
      <c r="AE31">
        <f>IF(AND('(橫掃)RX Mapping'!AE31&gt;=1,'(橫掃)RX Mapping'!AE31&lt;=120), ('(橫掃)RX Mapping'!AE31-1),IF(AND('(橫掃)RX Mapping'!AE31&gt;=121,'(橫掃)RX Mapping'!AE31&lt;=240), (-1)*('(橫掃)RX Mapping'!AE31-240),IF(AND('(橫掃)RX Mapping'!AE31&gt;=241,'(橫掃)RX Mapping'!AE31&lt;=360), ('(橫掃)RX Mapping'!AE31-241),IF(AND('(橫掃)RX Mapping'!AE31&gt;=361,'(橫掃)RX Mapping'!AE31&lt;=480), (-1)*('(橫掃)RX Mapping'!AE31-480),IF(AND('(橫掃)RX Mapping'!AE31&gt;=481,'(橫掃)RX Mapping'!AE31&lt;=600), ('(橫掃)RX Mapping'!AE31-361),IF(AND('(橫掃)RX Mapping'!AE31&gt;=601,'(橫掃)RX Mapping'!AE31&lt;=720), (-1)*('(橫掃)RX Mapping'!AE31-720)+120,IF(AND('(橫掃)RX Mapping'!AE31&gt;=721,'(橫掃)RX Mapping'!AE31&lt;=840), ('(橫掃)RX Mapping'!AE31-601),IF(AND('(橫掃)RX Mapping'!AE31&gt;=841,'(橫掃)RX Mapping'!AE31&lt;=960), (-1)*('(橫掃)RX Mapping'!AE31-960)+120,9999))))))))</f>
        <v>9999</v>
      </c>
      <c r="AF31">
        <f>IF(AND('(橫掃)RX Mapping'!AF31&gt;=1,'(橫掃)RX Mapping'!AF31&lt;=120), ('(橫掃)RX Mapping'!AF31-1),IF(AND('(橫掃)RX Mapping'!AF31&gt;=121,'(橫掃)RX Mapping'!AF31&lt;=240), (-1)*('(橫掃)RX Mapping'!AF31-240),IF(AND('(橫掃)RX Mapping'!AF31&gt;=241,'(橫掃)RX Mapping'!AF31&lt;=360), ('(橫掃)RX Mapping'!AF31-241),IF(AND('(橫掃)RX Mapping'!AF31&gt;=361,'(橫掃)RX Mapping'!AF31&lt;=480), (-1)*('(橫掃)RX Mapping'!AF31-480),IF(AND('(橫掃)RX Mapping'!AF31&gt;=481,'(橫掃)RX Mapping'!AF31&lt;=600), ('(橫掃)RX Mapping'!AF31-361),IF(AND('(橫掃)RX Mapping'!AF31&gt;=601,'(橫掃)RX Mapping'!AF31&lt;=720), (-1)*('(橫掃)RX Mapping'!AF31-720)+120,IF(AND('(橫掃)RX Mapping'!AF31&gt;=721,'(橫掃)RX Mapping'!AF31&lt;=840), ('(橫掃)RX Mapping'!AF31-601),IF(AND('(橫掃)RX Mapping'!AF31&gt;=841,'(橫掃)RX Mapping'!AF31&lt;=960), (-1)*('(橫掃)RX Mapping'!AF31-960)+120,9999))))))))</f>
        <v>9999</v>
      </c>
      <c r="AG31">
        <f>IF(AND('(橫掃)RX Mapping'!AG31&gt;=1,'(橫掃)RX Mapping'!AG31&lt;=120), ('(橫掃)RX Mapping'!AG31-1),IF(AND('(橫掃)RX Mapping'!AG31&gt;=121,'(橫掃)RX Mapping'!AG31&lt;=240), (-1)*('(橫掃)RX Mapping'!AG31-240),IF(AND('(橫掃)RX Mapping'!AG31&gt;=241,'(橫掃)RX Mapping'!AG31&lt;=360), ('(橫掃)RX Mapping'!AG31-241),IF(AND('(橫掃)RX Mapping'!AG31&gt;=361,'(橫掃)RX Mapping'!AG31&lt;=480), (-1)*('(橫掃)RX Mapping'!AG31-480),IF(AND('(橫掃)RX Mapping'!AG31&gt;=481,'(橫掃)RX Mapping'!AG31&lt;=600), ('(橫掃)RX Mapping'!AG31-361),IF(AND('(橫掃)RX Mapping'!AG31&gt;=601,'(橫掃)RX Mapping'!AG31&lt;=720), (-1)*('(橫掃)RX Mapping'!AG31-720)+120,IF(AND('(橫掃)RX Mapping'!AG31&gt;=721,'(橫掃)RX Mapping'!AG31&lt;=840), ('(橫掃)RX Mapping'!AG31-601),IF(AND('(橫掃)RX Mapping'!AG31&gt;=841,'(橫掃)RX Mapping'!AG31&lt;=960), (-1)*('(橫掃)RX Mapping'!AG31-960)+120,9999))))))))</f>
        <v>9999</v>
      </c>
      <c r="AH31">
        <f>IF(AND('(橫掃)RX Mapping'!AH31&gt;=1,'(橫掃)RX Mapping'!AH31&lt;=120), ('(橫掃)RX Mapping'!AH31-1),IF(AND('(橫掃)RX Mapping'!AH31&gt;=121,'(橫掃)RX Mapping'!AH31&lt;=240), (-1)*('(橫掃)RX Mapping'!AH31-240),IF(AND('(橫掃)RX Mapping'!AH31&gt;=241,'(橫掃)RX Mapping'!AH31&lt;=360), ('(橫掃)RX Mapping'!AH31-241),IF(AND('(橫掃)RX Mapping'!AH31&gt;=361,'(橫掃)RX Mapping'!AH31&lt;=480), (-1)*('(橫掃)RX Mapping'!AH31-480),IF(AND('(橫掃)RX Mapping'!AH31&gt;=481,'(橫掃)RX Mapping'!AH31&lt;=600), ('(橫掃)RX Mapping'!AH31-361),IF(AND('(橫掃)RX Mapping'!AH31&gt;=601,'(橫掃)RX Mapping'!AH31&lt;=720), (-1)*('(橫掃)RX Mapping'!AH31-720)+120,IF(AND('(橫掃)RX Mapping'!AH31&gt;=721,'(橫掃)RX Mapping'!AH31&lt;=840), ('(橫掃)RX Mapping'!AH31-601),IF(AND('(橫掃)RX Mapping'!AH31&gt;=841,'(橫掃)RX Mapping'!AH31&lt;=960), (-1)*('(橫掃)RX Mapping'!AH31-960)+120,9999))))))))</f>
        <v>9999</v>
      </c>
      <c r="AI31">
        <f>IF(AND('(橫掃)RX Mapping'!AI31&gt;=1,'(橫掃)RX Mapping'!AI31&lt;=120), ('(橫掃)RX Mapping'!AI31-1),IF(AND('(橫掃)RX Mapping'!AI31&gt;=121,'(橫掃)RX Mapping'!AI31&lt;=240), (-1)*('(橫掃)RX Mapping'!AI31-240),IF(AND('(橫掃)RX Mapping'!AI31&gt;=241,'(橫掃)RX Mapping'!AI31&lt;=360), ('(橫掃)RX Mapping'!AI31-241),IF(AND('(橫掃)RX Mapping'!AI31&gt;=361,'(橫掃)RX Mapping'!AI31&lt;=480), (-1)*('(橫掃)RX Mapping'!AI31-480),IF(AND('(橫掃)RX Mapping'!AI31&gt;=481,'(橫掃)RX Mapping'!AI31&lt;=600), ('(橫掃)RX Mapping'!AI31-361),IF(AND('(橫掃)RX Mapping'!AI31&gt;=601,'(橫掃)RX Mapping'!AI31&lt;=720), (-1)*('(橫掃)RX Mapping'!AI31-720)+120,IF(AND('(橫掃)RX Mapping'!AI31&gt;=721,'(橫掃)RX Mapping'!AI31&lt;=840), ('(橫掃)RX Mapping'!AI31-601),IF(AND('(橫掃)RX Mapping'!AI31&gt;=841,'(橫掃)RX Mapping'!AI31&lt;=960), (-1)*('(橫掃)RX Mapping'!AI31-960)+120,9999))))))))</f>
        <v>9999</v>
      </c>
      <c r="AJ31">
        <f>IF(AND('(橫掃)RX Mapping'!AJ31&gt;=1,'(橫掃)RX Mapping'!AJ31&lt;=120), ('(橫掃)RX Mapping'!AJ31-1),IF(AND('(橫掃)RX Mapping'!AJ31&gt;=121,'(橫掃)RX Mapping'!AJ31&lt;=240), (-1)*('(橫掃)RX Mapping'!AJ31-240),IF(AND('(橫掃)RX Mapping'!AJ31&gt;=241,'(橫掃)RX Mapping'!AJ31&lt;=360), ('(橫掃)RX Mapping'!AJ31-241),IF(AND('(橫掃)RX Mapping'!AJ31&gt;=361,'(橫掃)RX Mapping'!AJ31&lt;=480), (-1)*('(橫掃)RX Mapping'!AJ31-480),IF(AND('(橫掃)RX Mapping'!AJ31&gt;=481,'(橫掃)RX Mapping'!AJ31&lt;=600), ('(橫掃)RX Mapping'!AJ31-361),IF(AND('(橫掃)RX Mapping'!AJ31&gt;=601,'(橫掃)RX Mapping'!AJ31&lt;=720), (-1)*('(橫掃)RX Mapping'!AJ31-720)+120,IF(AND('(橫掃)RX Mapping'!AJ31&gt;=721,'(橫掃)RX Mapping'!AJ31&lt;=840), ('(橫掃)RX Mapping'!AJ31-601),IF(AND('(橫掃)RX Mapping'!AJ31&gt;=841,'(橫掃)RX Mapping'!AJ31&lt;=960), (-1)*('(橫掃)RX Mapping'!AJ31-960)+120,9999))))))))</f>
        <v>9999</v>
      </c>
      <c r="AK31">
        <f>IF(AND('(橫掃)RX Mapping'!AK31&gt;=1,'(橫掃)RX Mapping'!AK31&lt;=120), ('(橫掃)RX Mapping'!AK31-1),IF(AND('(橫掃)RX Mapping'!AK31&gt;=121,'(橫掃)RX Mapping'!AK31&lt;=240), (-1)*('(橫掃)RX Mapping'!AK31-240),IF(AND('(橫掃)RX Mapping'!AK31&gt;=241,'(橫掃)RX Mapping'!AK31&lt;=360), ('(橫掃)RX Mapping'!AK31-241),IF(AND('(橫掃)RX Mapping'!AK31&gt;=361,'(橫掃)RX Mapping'!AK31&lt;=480), (-1)*('(橫掃)RX Mapping'!AK31-480),IF(AND('(橫掃)RX Mapping'!AK31&gt;=481,'(橫掃)RX Mapping'!AK31&lt;=600), ('(橫掃)RX Mapping'!AK31-361),IF(AND('(橫掃)RX Mapping'!AK31&gt;=601,'(橫掃)RX Mapping'!AK31&lt;=720), (-1)*('(橫掃)RX Mapping'!AK31-720)+120,IF(AND('(橫掃)RX Mapping'!AK31&gt;=721,'(橫掃)RX Mapping'!AK31&lt;=840), ('(橫掃)RX Mapping'!AK31-601),IF(AND('(橫掃)RX Mapping'!AK31&gt;=841,'(橫掃)RX Mapping'!AK31&lt;=960), (-1)*('(橫掃)RX Mapping'!AK31-960)+120,9999))))))))</f>
        <v>9999</v>
      </c>
      <c r="AL31">
        <f>IF(AND('(橫掃)RX Mapping'!AL31&gt;=1,'(橫掃)RX Mapping'!AL31&lt;=120), ('(橫掃)RX Mapping'!AL31-1),IF(AND('(橫掃)RX Mapping'!AL31&gt;=121,'(橫掃)RX Mapping'!AL31&lt;=240), (-1)*('(橫掃)RX Mapping'!AL31-240),IF(AND('(橫掃)RX Mapping'!AL31&gt;=241,'(橫掃)RX Mapping'!AL31&lt;=360), ('(橫掃)RX Mapping'!AL31-241),IF(AND('(橫掃)RX Mapping'!AL31&gt;=361,'(橫掃)RX Mapping'!AL31&lt;=480), (-1)*('(橫掃)RX Mapping'!AL31-480),IF(AND('(橫掃)RX Mapping'!AL31&gt;=481,'(橫掃)RX Mapping'!AL31&lt;=600), ('(橫掃)RX Mapping'!AL31-361),IF(AND('(橫掃)RX Mapping'!AL31&gt;=601,'(橫掃)RX Mapping'!AL31&lt;=720), (-1)*('(橫掃)RX Mapping'!AL31-720)+120,IF(AND('(橫掃)RX Mapping'!AL31&gt;=721,'(橫掃)RX Mapping'!AL31&lt;=840), ('(橫掃)RX Mapping'!AL31-601),IF(AND('(橫掃)RX Mapping'!AL31&gt;=841,'(橫掃)RX Mapping'!AL31&lt;=960), (-1)*('(橫掃)RX Mapping'!AL31-960)+120,9999))))))))</f>
        <v>9999</v>
      </c>
      <c r="AM31">
        <f>IF(AND('(橫掃)RX Mapping'!AM31&gt;=1,'(橫掃)RX Mapping'!AM31&lt;=120), ('(橫掃)RX Mapping'!AM31-1),IF(AND('(橫掃)RX Mapping'!AM31&gt;=121,'(橫掃)RX Mapping'!AM31&lt;=240), (-1)*('(橫掃)RX Mapping'!AM31-240),IF(AND('(橫掃)RX Mapping'!AM31&gt;=241,'(橫掃)RX Mapping'!AM31&lt;=360), ('(橫掃)RX Mapping'!AM31-241),IF(AND('(橫掃)RX Mapping'!AM31&gt;=361,'(橫掃)RX Mapping'!AM31&lt;=480), (-1)*('(橫掃)RX Mapping'!AM31-480),IF(AND('(橫掃)RX Mapping'!AM31&gt;=481,'(橫掃)RX Mapping'!AM31&lt;=600), ('(橫掃)RX Mapping'!AM31-361),IF(AND('(橫掃)RX Mapping'!AM31&gt;=601,'(橫掃)RX Mapping'!AM31&lt;=720), (-1)*('(橫掃)RX Mapping'!AM31-720)+120,IF(AND('(橫掃)RX Mapping'!AM31&gt;=721,'(橫掃)RX Mapping'!AM31&lt;=840), ('(橫掃)RX Mapping'!AM31-601),IF(AND('(橫掃)RX Mapping'!AM31&gt;=841,'(橫掃)RX Mapping'!AM31&lt;=960), (-1)*('(橫掃)RX Mapping'!AM31-960)+120,9999))))))))</f>
        <v>9999</v>
      </c>
      <c r="AN31">
        <f>IF(AND('(橫掃)RX Mapping'!AN31&gt;=1,'(橫掃)RX Mapping'!AN31&lt;=120), ('(橫掃)RX Mapping'!AN31-1),IF(AND('(橫掃)RX Mapping'!AN31&gt;=121,'(橫掃)RX Mapping'!AN31&lt;=240), (-1)*('(橫掃)RX Mapping'!AN31-240),IF(AND('(橫掃)RX Mapping'!AN31&gt;=241,'(橫掃)RX Mapping'!AN31&lt;=360), ('(橫掃)RX Mapping'!AN31-241),IF(AND('(橫掃)RX Mapping'!AN31&gt;=361,'(橫掃)RX Mapping'!AN31&lt;=480), (-1)*('(橫掃)RX Mapping'!AN31-480),IF(AND('(橫掃)RX Mapping'!AN31&gt;=481,'(橫掃)RX Mapping'!AN31&lt;=600), ('(橫掃)RX Mapping'!AN31-361),IF(AND('(橫掃)RX Mapping'!AN31&gt;=601,'(橫掃)RX Mapping'!AN31&lt;=720), (-1)*('(橫掃)RX Mapping'!AN31-720)+120,IF(AND('(橫掃)RX Mapping'!AN31&gt;=721,'(橫掃)RX Mapping'!AN31&lt;=840), ('(橫掃)RX Mapping'!AN31-601),IF(AND('(橫掃)RX Mapping'!AN31&gt;=841,'(橫掃)RX Mapping'!AN31&lt;=960), (-1)*('(橫掃)RX Mapping'!AN31-960)+120,9999))))))))</f>
        <v>9999</v>
      </c>
      <c r="AO31">
        <f>IF(AND('(橫掃)RX Mapping'!AO31&gt;=1,'(橫掃)RX Mapping'!AO31&lt;=120), ('(橫掃)RX Mapping'!AO31-1),IF(AND('(橫掃)RX Mapping'!AO31&gt;=121,'(橫掃)RX Mapping'!AO31&lt;=240), (-1)*('(橫掃)RX Mapping'!AO31-240),IF(AND('(橫掃)RX Mapping'!AO31&gt;=241,'(橫掃)RX Mapping'!AO31&lt;=360), ('(橫掃)RX Mapping'!AO31-241),IF(AND('(橫掃)RX Mapping'!AO31&gt;=361,'(橫掃)RX Mapping'!AO31&lt;=480), (-1)*('(橫掃)RX Mapping'!AO31-480),IF(AND('(橫掃)RX Mapping'!AO31&gt;=481,'(橫掃)RX Mapping'!AO31&lt;=600), ('(橫掃)RX Mapping'!AO31-361),IF(AND('(橫掃)RX Mapping'!AO31&gt;=601,'(橫掃)RX Mapping'!AO31&lt;=720), (-1)*('(橫掃)RX Mapping'!AO31-720)+120,IF(AND('(橫掃)RX Mapping'!AO31&gt;=721,'(橫掃)RX Mapping'!AO31&lt;=840), ('(橫掃)RX Mapping'!AO31-601),IF(AND('(橫掃)RX Mapping'!AO31&gt;=841,'(橫掃)RX Mapping'!AO31&lt;=960), (-1)*('(橫掃)RX Mapping'!AO31-960)+120,9999))))))))</f>
        <v>9999</v>
      </c>
      <c r="AP31">
        <f>IF(AND('(橫掃)RX Mapping'!AP31&gt;=1,'(橫掃)RX Mapping'!AP31&lt;=120), ('(橫掃)RX Mapping'!AP31-1),IF(AND('(橫掃)RX Mapping'!AP31&gt;=121,'(橫掃)RX Mapping'!AP31&lt;=240), (-1)*('(橫掃)RX Mapping'!AP31-240),IF(AND('(橫掃)RX Mapping'!AP31&gt;=241,'(橫掃)RX Mapping'!AP31&lt;=360), ('(橫掃)RX Mapping'!AP31-241),IF(AND('(橫掃)RX Mapping'!AP31&gt;=361,'(橫掃)RX Mapping'!AP31&lt;=480), (-1)*('(橫掃)RX Mapping'!AP31-480),IF(AND('(橫掃)RX Mapping'!AP31&gt;=481,'(橫掃)RX Mapping'!AP31&lt;=600), ('(橫掃)RX Mapping'!AP31-361),IF(AND('(橫掃)RX Mapping'!AP31&gt;=601,'(橫掃)RX Mapping'!AP31&lt;=720), (-1)*('(橫掃)RX Mapping'!AP31-720)+120,IF(AND('(橫掃)RX Mapping'!AP31&gt;=721,'(橫掃)RX Mapping'!AP31&lt;=840), ('(橫掃)RX Mapping'!AP31-601),IF(AND('(橫掃)RX Mapping'!AP31&gt;=841,'(橫掃)RX Mapping'!AP31&lt;=960), (-1)*('(橫掃)RX Mapping'!AP31-960)+120,9999))))))))</f>
        <v>9999</v>
      </c>
      <c r="AQ31">
        <f>IF(AND('(橫掃)RX Mapping'!AQ31&gt;=1,'(橫掃)RX Mapping'!AQ31&lt;=120), ('(橫掃)RX Mapping'!AQ31-1),IF(AND('(橫掃)RX Mapping'!AQ31&gt;=121,'(橫掃)RX Mapping'!AQ31&lt;=240), (-1)*('(橫掃)RX Mapping'!AQ31-240),IF(AND('(橫掃)RX Mapping'!AQ31&gt;=241,'(橫掃)RX Mapping'!AQ31&lt;=360), ('(橫掃)RX Mapping'!AQ31-241),IF(AND('(橫掃)RX Mapping'!AQ31&gt;=361,'(橫掃)RX Mapping'!AQ31&lt;=480), (-1)*('(橫掃)RX Mapping'!AQ31-480),IF(AND('(橫掃)RX Mapping'!AQ31&gt;=481,'(橫掃)RX Mapping'!AQ31&lt;=600), ('(橫掃)RX Mapping'!AQ31-361),IF(AND('(橫掃)RX Mapping'!AQ31&gt;=601,'(橫掃)RX Mapping'!AQ31&lt;=720), (-1)*('(橫掃)RX Mapping'!AQ31-720)+120,IF(AND('(橫掃)RX Mapping'!AQ31&gt;=721,'(橫掃)RX Mapping'!AQ31&lt;=840), ('(橫掃)RX Mapping'!AQ31-601),IF(AND('(橫掃)RX Mapping'!AQ31&gt;=841,'(橫掃)RX Mapping'!AQ31&lt;=960), (-1)*('(橫掃)RX Mapping'!AQ31-960)+120,9999))))))))</f>
        <v>9999</v>
      </c>
      <c r="AR31">
        <f>IF(AND('(橫掃)RX Mapping'!AR31&gt;=1,'(橫掃)RX Mapping'!AR31&lt;=120), ('(橫掃)RX Mapping'!AR31-1),IF(AND('(橫掃)RX Mapping'!AR31&gt;=121,'(橫掃)RX Mapping'!AR31&lt;=240), (-1)*('(橫掃)RX Mapping'!AR31-240),IF(AND('(橫掃)RX Mapping'!AR31&gt;=241,'(橫掃)RX Mapping'!AR31&lt;=360), ('(橫掃)RX Mapping'!AR31-241),IF(AND('(橫掃)RX Mapping'!AR31&gt;=361,'(橫掃)RX Mapping'!AR31&lt;=480), (-1)*('(橫掃)RX Mapping'!AR31-480),IF(AND('(橫掃)RX Mapping'!AR31&gt;=481,'(橫掃)RX Mapping'!AR31&lt;=600), ('(橫掃)RX Mapping'!AR31-361),IF(AND('(橫掃)RX Mapping'!AR31&gt;=601,'(橫掃)RX Mapping'!AR31&lt;=720), (-1)*('(橫掃)RX Mapping'!AR31-720)+120,IF(AND('(橫掃)RX Mapping'!AR31&gt;=721,'(橫掃)RX Mapping'!AR31&lt;=840), ('(橫掃)RX Mapping'!AR31-601),IF(AND('(橫掃)RX Mapping'!AR31&gt;=841,'(橫掃)RX Mapping'!AR31&lt;=960), (-1)*('(橫掃)RX Mapping'!AR31-960)+120,9999))))))))</f>
        <v>9999</v>
      </c>
      <c r="AS31">
        <f>IF(AND('(橫掃)RX Mapping'!AS31&gt;=1,'(橫掃)RX Mapping'!AS31&lt;=120), ('(橫掃)RX Mapping'!AS31-1),IF(AND('(橫掃)RX Mapping'!AS31&gt;=121,'(橫掃)RX Mapping'!AS31&lt;=240), (-1)*('(橫掃)RX Mapping'!AS31-240),IF(AND('(橫掃)RX Mapping'!AS31&gt;=241,'(橫掃)RX Mapping'!AS31&lt;=360), ('(橫掃)RX Mapping'!AS31-241),IF(AND('(橫掃)RX Mapping'!AS31&gt;=361,'(橫掃)RX Mapping'!AS31&lt;=480), (-1)*('(橫掃)RX Mapping'!AS31-480),IF(AND('(橫掃)RX Mapping'!AS31&gt;=481,'(橫掃)RX Mapping'!AS31&lt;=600), ('(橫掃)RX Mapping'!AS31-361),IF(AND('(橫掃)RX Mapping'!AS31&gt;=601,'(橫掃)RX Mapping'!AS31&lt;=720), (-1)*('(橫掃)RX Mapping'!AS31-720)+120,IF(AND('(橫掃)RX Mapping'!AS31&gt;=721,'(橫掃)RX Mapping'!AS31&lt;=840), ('(橫掃)RX Mapping'!AS31-601),IF(AND('(橫掃)RX Mapping'!AS31&gt;=841,'(橫掃)RX Mapping'!AS31&lt;=960), (-1)*('(橫掃)RX Mapping'!AS31-960)+120,9999))))))))</f>
        <v>9999</v>
      </c>
      <c r="AT31">
        <f>IF(AND('(橫掃)RX Mapping'!AT31&gt;=1,'(橫掃)RX Mapping'!AT31&lt;=120), ('(橫掃)RX Mapping'!AT31-1),IF(AND('(橫掃)RX Mapping'!AT31&gt;=121,'(橫掃)RX Mapping'!AT31&lt;=240), (-1)*('(橫掃)RX Mapping'!AT31-240),IF(AND('(橫掃)RX Mapping'!AT31&gt;=241,'(橫掃)RX Mapping'!AT31&lt;=360), ('(橫掃)RX Mapping'!AT31-241),IF(AND('(橫掃)RX Mapping'!AT31&gt;=361,'(橫掃)RX Mapping'!AT31&lt;=480), (-1)*('(橫掃)RX Mapping'!AT31-480),IF(AND('(橫掃)RX Mapping'!AT31&gt;=481,'(橫掃)RX Mapping'!AT31&lt;=600), ('(橫掃)RX Mapping'!AT31-361),IF(AND('(橫掃)RX Mapping'!AT31&gt;=601,'(橫掃)RX Mapping'!AT31&lt;=720), (-1)*('(橫掃)RX Mapping'!AT31-720)+120,IF(AND('(橫掃)RX Mapping'!AT31&gt;=721,'(橫掃)RX Mapping'!AT31&lt;=840), ('(橫掃)RX Mapping'!AT31-601),IF(AND('(橫掃)RX Mapping'!AT31&gt;=841,'(橫掃)RX Mapping'!AT31&lt;=960), (-1)*('(橫掃)RX Mapping'!AT31-960)+120,9999))))))))</f>
        <v>9999</v>
      </c>
      <c r="AU31">
        <f>IF(AND('(橫掃)RX Mapping'!AK2&gt;=1,'(橫掃)RX Mapping'!AK2&lt;=120), ('(橫掃)RX Mapping'!AK2-1),IF(AND('(橫掃)RX Mapping'!AK2&gt;=121,'(橫掃)RX Mapping'!AK2&lt;=240), (-1)*('(橫掃)RX Mapping'!AK2-240),IF(AND('(橫掃)RX Mapping'!AK2&gt;=241,'(橫掃)RX Mapping'!AK2&lt;=360), ('(橫掃)RX Mapping'!AK2-241),IF(AND('(橫掃)RX Mapping'!AK2&gt;=361,'(橫掃)RX Mapping'!AK2&lt;=480), (-1)*('(橫掃)RX Mapping'!AK2-480),IF(AND('(橫掃)RX Mapping'!AK2&gt;=481,'(橫掃)RX Mapping'!AK2&lt;=600), ('(橫掃)RX Mapping'!AK2-361),IF(AND('(橫掃)RX Mapping'!AK2&gt;=601,'(橫掃)RX Mapping'!AK2&lt;=720), (-1)*('(橫掃)RX Mapping'!AK2-720)+120,IF(AND('(橫掃)RX Mapping'!AK2&gt;=721,'(橫掃)RX Mapping'!AK2&lt;=840), ('(橫掃)RX Mapping'!AK2-601),IF(AND('(橫掃)RX Mapping'!AK2&gt;=841,'(橫掃)RX Mapping'!AK2&lt;=960), (-1)*('(橫掃)RX Mapping'!AK2-960)+120,9999))))))))</f>
        <v>9999</v>
      </c>
      <c r="AV31">
        <f>IF(AND('(橫掃)RX Mapping'!AV31&gt;=1,'(橫掃)RX Mapping'!AV31&lt;=120), ('(橫掃)RX Mapping'!AV31-1),IF(AND('(橫掃)RX Mapping'!AV31&gt;=121,'(橫掃)RX Mapping'!AV31&lt;=240), (-1)*('(橫掃)RX Mapping'!AV31-240),IF(AND('(橫掃)RX Mapping'!AV31&gt;=241,'(橫掃)RX Mapping'!AV31&lt;=360), ('(橫掃)RX Mapping'!AV31-241),IF(AND('(橫掃)RX Mapping'!AV31&gt;=361,'(橫掃)RX Mapping'!AV31&lt;=480), (-1)*('(橫掃)RX Mapping'!AV31-480),IF(AND('(橫掃)RX Mapping'!AV31&gt;=481,'(橫掃)RX Mapping'!AV31&lt;=600), ('(橫掃)RX Mapping'!AV31-361),IF(AND('(橫掃)RX Mapping'!AV31&gt;=601,'(橫掃)RX Mapping'!AV31&lt;=720), (-1)*('(橫掃)RX Mapping'!AV31-720)+120,IF(AND('(橫掃)RX Mapping'!AV31&gt;=721,'(橫掃)RX Mapping'!AV31&lt;=840), ('(橫掃)RX Mapping'!AV31-601),IF(AND('(橫掃)RX Mapping'!AV31&gt;=841,'(橫掃)RX Mapping'!AV31&lt;=960), (-1)*('(橫掃)RX Mapping'!AV31-960)+120,9999))))))))</f>
        <v>9999</v>
      </c>
      <c r="AW31">
        <f>IF(AND('(橫掃)RX Mapping'!AW31&gt;=1,'(橫掃)RX Mapping'!AW31&lt;=120), ('(橫掃)RX Mapping'!AW31-1),IF(AND('(橫掃)RX Mapping'!AW31&gt;=121,'(橫掃)RX Mapping'!AW31&lt;=240), (-1)*('(橫掃)RX Mapping'!AW31-240),IF(AND('(橫掃)RX Mapping'!AW31&gt;=241,'(橫掃)RX Mapping'!AW31&lt;=360), ('(橫掃)RX Mapping'!AW31-241),IF(AND('(橫掃)RX Mapping'!AW31&gt;=361,'(橫掃)RX Mapping'!AW31&lt;=480), (-1)*('(橫掃)RX Mapping'!AW31-480),IF(AND('(橫掃)RX Mapping'!AW31&gt;=481,'(橫掃)RX Mapping'!AW31&lt;=600), ('(橫掃)RX Mapping'!AW31-361),IF(AND('(橫掃)RX Mapping'!AW31&gt;=601,'(橫掃)RX Mapping'!AW31&lt;=720), (-1)*('(橫掃)RX Mapping'!AW31-720)+120,IF(AND('(橫掃)RX Mapping'!AW31&gt;=721,'(橫掃)RX Mapping'!AW31&lt;=840), ('(橫掃)RX Mapping'!AW31-601),IF(AND('(橫掃)RX Mapping'!AW31&gt;=841,'(橫掃)RX Mapping'!AW31&lt;=960), (-1)*('(橫掃)RX Mapping'!AW31-960)+120,9999))))))))</f>
        <v>9999</v>
      </c>
      <c r="AX31">
        <f>IF(AND('(橫掃)RX Mapping'!AX31&gt;=1,'(橫掃)RX Mapping'!AX31&lt;=120), ('(橫掃)RX Mapping'!AX31-1),IF(AND('(橫掃)RX Mapping'!AX31&gt;=121,'(橫掃)RX Mapping'!AX31&lt;=240), (-1)*('(橫掃)RX Mapping'!AX31-240),IF(AND('(橫掃)RX Mapping'!AX31&gt;=241,'(橫掃)RX Mapping'!AX31&lt;=360), ('(橫掃)RX Mapping'!AX31-241),IF(AND('(橫掃)RX Mapping'!AX31&gt;=361,'(橫掃)RX Mapping'!AX31&lt;=480), (-1)*('(橫掃)RX Mapping'!AX31-480),IF(AND('(橫掃)RX Mapping'!AX31&gt;=481,'(橫掃)RX Mapping'!AX31&lt;=600), ('(橫掃)RX Mapping'!AX31-361),IF(AND('(橫掃)RX Mapping'!AX31&gt;=601,'(橫掃)RX Mapping'!AX31&lt;=720), (-1)*('(橫掃)RX Mapping'!AX31-720)+120,IF(AND('(橫掃)RX Mapping'!AX31&gt;=721,'(橫掃)RX Mapping'!AX31&lt;=840), ('(橫掃)RX Mapping'!AX31-601),IF(AND('(橫掃)RX Mapping'!AX31&gt;=841,'(橫掃)RX Mapping'!AX31&lt;=960), (-1)*('(橫掃)RX Mapping'!AX31-960)+120,9999))))))))</f>
        <v>9999</v>
      </c>
      <c r="AY31">
        <f>IF(AND('(橫掃)RX Mapping'!AY31&gt;=1,'(橫掃)RX Mapping'!AY31&lt;=120), ('(橫掃)RX Mapping'!AY31-1),IF(AND('(橫掃)RX Mapping'!AY31&gt;=121,'(橫掃)RX Mapping'!AY31&lt;=240), (-1)*('(橫掃)RX Mapping'!AY31-240),IF(AND('(橫掃)RX Mapping'!AY31&gt;=241,'(橫掃)RX Mapping'!AY31&lt;=360), ('(橫掃)RX Mapping'!AY31-241),IF(AND('(橫掃)RX Mapping'!AY31&gt;=361,'(橫掃)RX Mapping'!AY31&lt;=480), (-1)*('(橫掃)RX Mapping'!AY31-480),IF(AND('(橫掃)RX Mapping'!AY31&gt;=481,'(橫掃)RX Mapping'!AY31&lt;=600), ('(橫掃)RX Mapping'!AY31-361),IF(AND('(橫掃)RX Mapping'!AY31&gt;=601,'(橫掃)RX Mapping'!AY31&lt;=720), (-1)*('(橫掃)RX Mapping'!AY31-720)+120,IF(AND('(橫掃)RX Mapping'!AY31&gt;=721,'(橫掃)RX Mapping'!AY31&lt;=840), ('(橫掃)RX Mapping'!AY31-601),IF(AND('(橫掃)RX Mapping'!AY31&gt;=841,'(橫掃)RX Mapping'!AY31&lt;=960), (-1)*('(橫掃)RX Mapping'!AY31-960)+120,9999))))))))</f>
        <v>9999</v>
      </c>
      <c r="AZ31">
        <f>IF(AND('(橫掃)RX Mapping'!AZ31&gt;=1,'(橫掃)RX Mapping'!AZ31&lt;=120), ('(橫掃)RX Mapping'!AZ31-1),IF(AND('(橫掃)RX Mapping'!AZ31&gt;=121,'(橫掃)RX Mapping'!AZ31&lt;=240), (-1)*('(橫掃)RX Mapping'!AZ31-240),IF(AND('(橫掃)RX Mapping'!AZ31&gt;=241,'(橫掃)RX Mapping'!AZ31&lt;=360), ('(橫掃)RX Mapping'!AZ31-241),IF(AND('(橫掃)RX Mapping'!AZ31&gt;=361,'(橫掃)RX Mapping'!AZ31&lt;=480), (-1)*('(橫掃)RX Mapping'!AZ31-480),IF(AND('(橫掃)RX Mapping'!AZ31&gt;=481,'(橫掃)RX Mapping'!AZ31&lt;=600), ('(橫掃)RX Mapping'!AZ31-361),IF(AND('(橫掃)RX Mapping'!AZ31&gt;=601,'(橫掃)RX Mapping'!AZ31&lt;=720), (-1)*('(橫掃)RX Mapping'!AZ31-720)+120,IF(AND('(橫掃)RX Mapping'!AZ31&gt;=721,'(橫掃)RX Mapping'!AZ31&lt;=840), ('(橫掃)RX Mapping'!AZ31-601),IF(AND('(橫掃)RX Mapping'!AZ31&gt;=841,'(橫掃)RX Mapping'!AZ31&lt;=960), (-1)*('(橫掃)RX Mapping'!AZ31-960)+120,9999))))))))</f>
        <v>9999</v>
      </c>
      <c r="BA31">
        <f>IF(AND('(橫掃)RX Mapping'!BA31&gt;=1,'(橫掃)RX Mapping'!BA31&lt;=120), ('(橫掃)RX Mapping'!BA31-1),IF(AND('(橫掃)RX Mapping'!BA31&gt;=121,'(橫掃)RX Mapping'!BA31&lt;=240), (-1)*('(橫掃)RX Mapping'!BA31-240),IF(AND('(橫掃)RX Mapping'!BA31&gt;=241,'(橫掃)RX Mapping'!BA31&lt;=360), ('(橫掃)RX Mapping'!BA31-241),IF(AND('(橫掃)RX Mapping'!BA31&gt;=361,'(橫掃)RX Mapping'!BA31&lt;=480), (-1)*('(橫掃)RX Mapping'!BA31-480),IF(AND('(橫掃)RX Mapping'!BA31&gt;=481,'(橫掃)RX Mapping'!BA31&lt;=600), ('(橫掃)RX Mapping'!BA31-361),IF(AND('(橫掃)RX Mapping'!BA31&gt;=601,'(橫掃)RX Mapping'!BA31&lt;=720), (-1)*('(橫掃)RX Mapping'!BA31-720)+120,IF(AND('(橫掃)RX Mapping'!BA31&gt;=721,'(橫掃)RX Mapping'!BA31&lt;=840), ('(橫掃)RX Mapping'!BA31-601),IF(AND('(橫掃)RX Mapping'!BA31&gt;=841,'(橫掃)RX Mapping'!BA31&lt;=960), (-1)*('(橫掃)RX Mapping'!BA31-960)+120,9999))))))))</f>
        <v>9999</v>
      </c>
      <c r="BB31">
        <f>IF(AND('(橫掃)RX Mapping'!BB31&gt;=1,'(橫掃)RX Mapping'!BB31&lt;=120), ('(橫掃)RX Mapping'!BB31-1),IF(AND('(橫掃)RX Mapping'!BB31&gt;=121,'(橫掃)RX Mapping'!BB31&lt;=240), (-1)*('(橫掃)RX Mapping'!BB31-240),IF(AND('(橫掃)RX Mapping'!BB31&gt;=241,'(橫掃)RX Mapping'!BB31&lt;=360), ('(橫掃)RX Mapping'!BB31-241),IF(AND('(橫掃)RX Mapping'!BB31&gt;=361,'(橫掃)RX Mapping'!BB31&lt;=480), (-1)*('(橫掃)RX Mapping'!BB31-480),IF(AND('(橫掃)RX Mapping'!BB31&gt;=481,'(橫掃)RX Mapping'!BB31&lt;=600), ('(橫掃)RX Mapping'!BB31-361),IF(AND('(橫掃)RX Mapping'!BB31&gt;=601,'(橫掃)RX Mapping'!BB31&lt;=720), (-1)*('(橫掃)RX Mapping'!BB31-720)+120,IF(AND('(橫掃)RX Mapping'!BB31&gt;=721,'(橫掃)RX Mapping'!BB31&lt;=840), ('(橫掃)RX Mapping'!BB31-601),IF(AND('(橫掃)RX Mapping'!BB31&gt;=841,'(橫掃)RX Mapping'!BB31&lt;=960), (-1)*('(橫掃)RX Mapping'!BB31-960)+120,9999))))))))</f>
        <v>9999</v>
      </c>
      <c r="BC31">
        <f>IF(AND('(橫掃)RX Mapping'!BC31&gt;=1,'(橫掃)RX Mapping'!BC31&lt;=120), ('(橫掃)RX Mapping'!BC31-1),IF(AND('(橫掃)RX Mapping'!BC31&gt;=121,'(橫掃)RX Mapping'!BC31&lt;=240), (-1)*('(橫掃)RX Mapping'!BC31-240),IF(AND('(橫掃)RX Mapping'!BC31&gt;=241,'(橫掃)RX Mapping'!BC31&lt;=360), ('(橫掃)RX Mapping'!BC31-241),IF(AND('(橫掃)RX Mapping'!BC31&gt;=361,'(橫掃)RX Mapping'!BC31&lt;=480), (-1)*('(橫掃)RX Mapping'!BC31-480),IF(AND('(橫掃)RX Mapping'!BC31&gt;=481,'(橫掃)RX Mapping'!BC31&lt;=600), ('(橫掃)RX Mapping'!BC31-361),IF(AND('(橫掃)RX Mapping'!BC31&gt;=601,'(橫掃)RX Mapping'!BC31&lt;=720), (-1)*('(橫掃)RX Mapping'!BC31-720)+120,IF(AND('(橫掃)RX Mapping'!BC31&gt;=721,'(橫掃)RX Mapping'!BC31&lt;=840), ('(橫掃)RX Mapping'!BC31-601),IF(AND('(橫掃)RX Mapping'!BC31&gt;=841,'(橫掃)RX Mapping'!BC31&lt;=960), (-1)*('(橫掃)RX Mapping'!BC31-960)+120,9999))))))))</f>
        <v>9999</v>
      </c>
      <c r="BD31">
        <f>IF(AND('(橫掃)RX Mapping'!BD31&gt;=1,'(橫掃)RX Mapping'!BD31&lt;=120), ('(橫掃)RX Mapping'!BD31-1),IF(AND('(橫掃)RX Mapping'!BD31&gt;=121,'(橫掃)RX Mapping'!BD31&lt;=240), (-1)*('(橫掃)RX Mapping'!BD31-240),IF(AND('(橫掃)RX Mapping'!BD31&gt;=241,'(橫掃)RX Mapping'!BD31&lt;=360), ('(橫掃)RX Mapping'!BD31-241),IF(AND('(橫掃)RX Mapping'!BD31&gt;=361,'(橫掃)RX Mapping'!BD31&lt;=480), (-1)*('(橫掃)RX Mapping'!BD31-480),IF(AND('(橫掃)RX Mapping'!BD31&gt;=481,'(橫掃)RX Mapping'!BD31&lt;=600), ('(橫掃)RX Mapping'!BD31-361),IF(AND('(橫掃)RX Mapping'!BD31&gt;=601,'(橫掃)RX Mapping'!BD31&lt;=720), (-1)*('(橫掃)RX Mapping'!BD31-720)+120,IF(AND('(橫掃)RX Mapping'!BD31&gt;=721,'(橫掃)RX Mapping'!BD31&lt;=840), ('(橫掃)RX Mapping'!BD31-601),IF(AND('(橫掃)RX Mapping'!BD31&gt;=841,'(橫掃)RX Mapping'!BD31&lt;=960), (-1)*('(橫掃)RX Mapping'!BD31-960)+120,9999))))))))</f>
        <v>9999</v>
      </c>
      <c r="BE31">
        <f>IF(AND('(橫掃)RX Mapping'!BE31&gt;=1,'(橫掃)RX Mapping'!BE31&lt;=120), ('(橫掃)RX Mapping'!BE31-1),IF(AND('(橫掃)RX Mapping'!BE31&gt;=121,'(橫掃)RX Mapping'!BE31&lt;=240), (-1)*('(橫掃)RX Mapping'!BE31-240),IF(AND('(橫掃)RX Mapping'!BE31&gt;=241,'(橫掃)RX Mapping'!BE31&lt;=360), ('(橫掃)RX Mapping'!BE31-241),IF(AND('(橫掃)RX Mapping'!BE31&gt;=361,'(橫掃)RX Mapping'!BE31&lt;=480), (-1)*('(橫掃)RX Mapping'!BE31-480),IF(AND('(橫掃)RX Mapping'!BE31&gt;=481,'(橫掃)RX Mapping'!BE31&lt;=600), ('(橫掃)RX Mapping'!BE31-361),IF(AND('(橫掃)RX Mapping'!BE31&gt;=601,'(橫掃)RX Mapping'!BE31&lt;=720), (-1)*('(橫掃)RX Mapping'!BE31-720)+120,IF(AND('(橫掃)RX Mapping'!BE31&gt;=721,'(橫掃)RX Mapping'!BE31&lt;=840), ('(橫掃)RX Mapping'!BE31-601),IF(AND('(橫掃)RX Mapping'!BE31&gt;=841,'(橫掃)RX Mapping'!BE31&lt;=960), (-1)*('(橫掃)RX Mapping'!BE31-960)+120,9999))))))))</f>
        <v>9999</v>
      </c>
      <c r="BF31">
        <f>IF(AND('(橫掃)RX Mapping'!BF31&gt;=1,'(橫掃)RX Mapping'!BF31&lt;=120), ('(橫掃)RX Mapping'!BF31-1),IF(AND('(橫掃)RX Mapping'!BF31&gt;=121,'(橫掃)RX Mapping'!BF31&lt;=240), (-1)*('(橫掃)RX Mapping'!BF31-240),IF(AND('(橫掃)RX Mapping'!BF31&gt;=241,'(橫掃)RX Mapping'!BF31&lt;=360), ('(橫掃)RX Mapping'!BF31-241),IF(AND('(橫掃)RX Mapping'!BF31&gt;=361,'(橫掃)RX Mapping'!BF31&lt;=480), (-1)*('(橫掃)RX Mapping'!BF31-480),IF(AND('(橫掃)RX Mapping'!BF31&gt;=481,'(橫掃)RX Mapping'!BF31&lt;=600), ('(橫掃)RX Mapping'!BF31-361),IF(AND('(橫掃)RX Mapping'!BF31&gt;=601,'(橫掃)RX Mapping'!BF31&lt;=720), (-1)*('(橫掃)RX Mapping'!BF31-720)+120,IF(AND('(橫掃)RX Mapping'!BF31&gt;=721,'(橫掃)RX Mapping'!BF31&lt;=840), ('(橫掃)RX Mapping'!BF31-601),IF(AND('(橫掃)RX Mapping'!BF31&gt;=841,'(橫掃)RX Mapping'!BF31&lt;=960), (-1)*('(橫掃)RX Mapping'!BF31-960)+120,9999))))))))</f>
        <v>9999</v>
      </c>
      <c r="BG31">
        <f>IF(AND('(橫掃)RX Mapping'!BG31&gt;=1,'(橫掃)RX Mapping'!BG31&lt;=120), ('(橫掃)RX Mapping'!BG31-1),IF(AND('(橫掃)RX Mapping'!BG31&gt;=121,'(橫掃)RX Mapping'!BG31&lt;=240), (-1)*('(橫掃)RX Mapping'!BG31-240),IF(AND('(橫掃)RX Mapping'!BG31&gt;=241,'(橫掃)RX Mapping'!BG31&lt;=360), ('(橫掃)RX Mapping'!BG31-241),IF(AND('(橫掃)RX Mapping'!BG31&gt;=361,'(橫掃)RX Mapping'!BG31&lt;=480), (-1)*('(橫掃)RX Mapping'!BG31-480),IF(AND('(橫掃)RX Mapping'!BG31&gt;=481,'(橫掃)RX Mapping'!BG31&lt;=600), ('(橫掃)RX Mapping'!BG31-361),IF(AND('(橫掃)RX Mapping'!BG31&gt;=601,'(橫掃)RX Mapping'!BG31&lt;=720), (-1)*('(橫掃)RX Mapping'!BG31-720)+120,IF(AND('(橫掃)RX Mapping'!BG31&gt;=721,'(橫掃)RX Mapping'!BG31&lt;=840), ('(橫掃)RX Mapping'!BG31-601),IF(AND('(橫掃)RX Mapping'!BG31&gt;=841,'(橫掃)RX Mapping'!BG31&lt;=960), (-1)*('(橫掃)RX Mapping'!BG31-960)+120,9999))))))))</f>
        <v>9999</v>
      </c>
      <c r="BH31">
        <f>IF(AND('(橫掃)RX Mapping'!BH31&gt;=1,'(橫掃)RX Mapping'!BH31&lt;=120), ('(橫掃)RX Mapping'!BH31-1),IF(AND('(橫掃)RX Mapping'!BH31&gt;=121,'(橫掃)RX Mapping'!BH31&lt;=240), (-1)*('(橫掃)RX Mapping'!BH31-240),IF(AND('(橫掃)RX Mapping'!BH31&gt;=241,'(橫掃)RX Mapping'!BH31&lt;=360), ('(橫掃)RX Mapping'!BH31-241),IF(AND('(橫掃)RX Mapping'!BH31&gt;=361,'(橫掃)RX Mapping'!BH31&lt;=480), (-1)*('(橫掃)RX Mapping'!BH31-480),IF(AND('(橫掃)RX Mapping'!BH31&gt;=481,'(橫掃)RX Mapping'!BH31&lt;=600), ('(橫掃)RX Mapping'!BH31-361),IF(AND('(橫掃)RX Mapping'!BH31&gt;=601,'(橫掃)RX Mapping'!BH31&lt;=720), (-1)*('(橫掃)RX Mapping'!BH31-720)+120,IF(AND('(橫掃)RX Mapping'!BH31&gt;=721,'(橫掃)RX Mapping'!BH31&lt;=840), ('(橫掃)RX Mapping'!BH31-601),IF(AND('(橫掃)RX Mapping'!BH31&gt;=841,'(橫掃)RX Mapping'!BH31&lt;=960), (-1)*('(橫掃)RX Mapping'!BH31-960)+120,9999))))))))</f>
        <v>9999</v>
      </c>
      <c r="BI31">
        <f>IF(AND('(橫掃)RX Mapping'!BI31&gt;=1,'(橫掃)RX Mapping'!BI31&lt;=120), ('(橫掃)RX Mapping'!BI31-1),IF(AND('(橫掃)RX Mapping'!BI31&gt;=121,'(橫掃)RX Mapping'!BI31&lt;=240), (-1)*('(橫掃)RX Mapping'!BI31-240),IF(AND('(橫掃)RX Mapping'!BI31&gt;=241,'(橫掃)RX Mapping'!BI31&lt;=360), ('(橫掃)RX Mapping'!BI31-241),IF(AND('(橫掃)RX Mapping'!BI31&gt;=361,'(橫掃)RX Mapping'!BI31&lt;=480), (-1)*('(橫掃)RX Mapping'!BI31-480),IF(AND('(橫掃)RX Mapping'!BI31&gt;=481,'(橫掃)RX Mapping'!BI31&lt;=600), ('(橫掃)RX Mapping'!BI31-361),IF(AND('(橫掃)RX Mapping'!BI31&gt;=601,'(橫掃)RX Mapping'!BI31&lt;=720), (-1)*('(橫掃)RX Mapping'!BI31-720)+120,IF(AND('(橫掃)RX Mapping'!BI31&gt;=721,'(橫掃)RX Mapping'!BI31&lt;=840), ('(橫掃)RX Mapping'!BI31-601),IF(AND('(橫掃)RX Mapping'!BI31&gt;=841,'(橫掃)RX Mapping'!BI31&lt;=960), (-1)*('(橫掃)RX Mapping'!BI31-960)+120,9999))))))))</f>
        <v>9999</v>
      </c>
    </row>
    <row r="32" spans="1:61" x14ac:dyDescent="0.25">
      <c r="A32" s="20">
        <v>31</v>
      </c>
      <c r="B32">
        <f>IF(AND('(橫掃)RX Mapping'!B32&gt;=1,'(橫掃)RX Mapping'!B32&lt;=120), ('(橫掃)RX Mapping'!B32-1),IF(AND('(橫掃)RX Mapping'!B32&gt;=121,'(橫掃)RX Mapping'!B32&lt;=240), (-1)*('(橫掃)RX Mapping'!B32-240),IF(AND('(橫掃)RX Mapping'!B32&gt;=241,'(橫掃)RX Mapping'!B32&lt;=360), ('(橫掃)RX Mapping'!B32-241),IF(AND('(橫掃)RX Mapping'!B32&gt;=361,'(橫掃)RX Mapping'!B32&lt;=480), (-1)*('(橫掃)RX Mapping'!B32-480),IF(AND('(橫掃)RX Mapping'!B32&gt;=481,'(橫掃)RX Mapping'!B32&lt;=600), ('(橫掃)RX Mapping'!B32-361),IF(AND('(橫掃)RX Mapping'!B32&gt;=601,'(橫掃)RX Mapping'!B32&lt;=720), (-1)*('(橫掃)RX Mapping'!B32-720)+120,IF(AND('(橫掃)RX Mapping'!B32&gt;=721,'(橫掃)RX Mapping'!B32&lt;=840), ('(橫掃)RX Mapping'!B32-601),IF(AND('(橫掃)RX Mapping'!B32&gt;=841,'(橫掃)RX Mapping'!B32&lt;=960), (-1)*('(橫掃)RX Mapping'!B32-960)+120,9999))))))))</f>
        <v>30</v>
      </c>
      <c r="C32">
        <f>IF(AND('(橫掃)RX Mapping'!C32&gt;=1,'(橫掃)RX Mapping'!C32&lt;=120), ('(橫掃)RX Mapping'!C32-1),IF(AND('(橫掃)RX Mapping'!C32&gt;=121,'(橫掃)RX Mapping'!C32&lt;=240), (-1)*('(橫掃)RX Mapping'!C32-240),IF(AND('(橫掃)RX Mapping'!C32&gt;=241,'(橫掃)RX Mapping'!C32&lt;=360), ('(橫掃)RX Mapping'!C32-241),IF(AND('(橫掃)RX Mapping'!C32&gt;=361,'(橫掃)RX Mapping'!C32&lt;=480), (-1)*('(橫掃)RX Mapping'!C32-480),IF(AND('(橫掃)RX Mapping'!C32&gt;=481,'(橫掃)RX Mapping'!C32&lt;=600), ('(橫掃)RX Mapping'!C32-361),IF(AND('(橫掃)RX Mapping'!C32&gt;=601,'(橫掃)RX Mapping'!C32&lt;=720), (-1)*('(橫掃)RX Mapping'!C32-720)+120,IF(AND('(橫掃)RX Mapping'!C32&gt;=721,'(橫掃)RX Mapping'!C32&lt;=840), ('(橫掃)RX Mapping'!C32-601),IF(AND('(橫掃)RX Mapping'!C32&gt;=841,'(橫掃)RX Mapping'!C32&lt;=960), (-1)*('(橫掃)RX Mapping'!C32-960)+120,9999))))))))</f>
        <v>62</v>
      </c>
      <c r="D32">
        <f>IF(AND('(橫掃)RX Mapping'!D32&gt;=1,'(橫掃)RX Mapping'!D32&lt;=120), ('(橫掃)RX Mapping'!D32-1),IF(AND('(橫掃)RX Mapping'!D32&gt;=121,'(橫掃)RX Mapping'!D32&lt;=240), (-1)*('(橫掃)RX Mapping'!D32-240),IF(AND('(橫掃)RX Mapping'!D32&gt;=241,'(橫掃)RX Mapping'!D32&lt;=360), ('(橫掃)RX Mapping'!D32-241),IF(AND('(橫掃)RX Mapping'!D32&gt;=361,'(橫掃)RX Mapping'!D32&lt;=480), (-1)*('(橫掃)RX Mapping'!D32-480),IF(AND('(橫掃)RX Mapping'!D32&gt;=481,'(橫掃)RX Mapping'!D32&lt;=600), ('(橫掃)RX Mapping'!D32-361),IF(AND('(橫掃)RX Mapping'!D32&gt;=601,'(橫掃)RX Mapping'!D32&lt;=720), (-1)*('(橫掃)RX Mapping'!D32-720)+120,IF(AND('(橫掃)RX Mapping'!D32&gt;=721,'(橫掃)RX Mapping'!D32&lt;=840), ('(橫掃)RX Mapping'!D32-601),IF(AND('(橫掃)RX Mapping'!D32&gt;=841,'(橫掃)RX Mapping'!D32&lt;=960), (-1)*('(橫掃)RX Mapping'!D32-960)+120,9999))))))))</f>
        <v>94</v>
      </c>
      <c r="E32">
        <f>IF(AND('(橫掃)RX Mapping'!E32&gt;=1,'(橫掃)RX Mapping'!E32&lt;=120), ('(橫掃)RX Mapping'!E32-1),IF(AND('(橫掃)RX Mapping'!E32&gt;=121,'(橫掃)RX Mapping'!E32&lt;=240), (-1)*('(橫掃)RX Mapping'!E32-240),IF(AND('(橫掃)RX Mapping'!E32&gt;=241,'(橫掃)RX Mapping'!E32&lt;=360), ('(橫掃)RX Mapping'!E32-241),IF(AND('(橫掃)RX Mapping'!E32&gt;=361,'(橫掃)RX Mapping'!E32&lt;=480), (-1)*('(橫掃)RX Mapping'!E32-480),IF(AND('(橫掃)RX Mapping'!E32&gt;=481,'(橫掃)RX Mapping'!E32&lt;=600), ('(橫掃)RX Mapping'!E32-361),IF(AND('(橫掃)RX Mapping'!E32&gt;=601,'(橫掃)RX Mapping'!E32&lt;=720), (-1)*('(橫掃)RX Mapping'!E32-720)+120,IF(AND('(橫掃)RX Mapping'!E32&gt;=721,'(橫掃)RX Mapping'!E32&lt;=840), ('(橫掃)RX Mapping'!E32-601),IF(AND('(橫掃)RX Mapping'!E32&gt;=841,'(橫掃)RX Mapping'!E32&lt;=960), (-1)*('(橫掃)RX Mapping'!E32-960)+120,9999))))))))</f>
        <v>113</v>
      </c>
      <c r="F32">
        <f>IF(AND('(橫掃)RX Mapping'!F32&gt;=1,'(橫掃)RX Mapping'!F32&lt;=120), ('(橫掃)RX Mapping'!F32-1),IF(AND('(橫掃)RX Mapping'!F32&gt;=121,'(橫掃)RX Mapping'!F32&lt;=240), (-1)*('(橫掃)RX Mapping'!F32-240),IF(AND('(橫掃)RX Mapping'!F32&gt;=241,'(橫掃)RX Mapping'!F32&lt;=360), ('(橫掃)RX Mapping'!F32-241),IF(AND('(橫掃)RX Mapping'!F32&gt;=361,'(橫掃)RX Mapping'!F32&lt;=480), (-1)*('(橫掃)RX Mapping'!F32-480),IF(AND('(橫掃)RX Mapping'!F32&gt;=481,'(橫掃)RX Mapping'!F32&lt;=600), ('(橫掃)RX Mapping'!F32-361),IF(AND('(橫掃)RX Mapping'!F32&gt;=601,'(橫掃)RX Mapping'!F32&lt;=720), (-1)*('(橫掃)RX Mapping'!F32-720)+120,IF(AND('(橫掃)RX Mapping'!F32&gt;=721,'(橫掃)RX Mapping'!F32&lt;=840), ('(橫掃)RX Mapping'!F32-601),IF(AND('(橫掃)RX Mapping'!F32&gt;=841,'(橫掃)RX Mapping'!F32&lt;=960), (-1)*('(橫掃)RX Mapping'!F32-960)+120,9999))))))))</f>
        <v>81</v>
      </c>
      <c r="G32">
        <f>IF(AND('(橫掃)RX Mapping'!G32&gt;=1,'(橫掃)RX Mapping'!G32&lt;=120), ('(橫掃)RX Mapping'!G32-1),IF(AND('(橫掃)RX Mapping'!G32&gt;=121,'(橫掃)RX Mapping'!G32&lt;=240), (-1)*('(橫掃)RX Mapping'!G32-240),IF(AND('(橫掃)RX Mapping'!G32&gt;=241,'(橫掃)RX Mapping'!G32&lt;=360), ('(橫掃)RX Mapping'!G32-241),IF(AND('(橫掃)RX Mapping'!G32&gt;=361,'(橫掃)RX Mapping'!G32&lt;=480), (-1)*('(橫掃)RX Mapping'!G32-480),IF(AND('(橫掃)RX Mapping'!G32&gt;=481,'(橫掃)RX Mapping'!G32&lt;=600), ('(橫掃)RX Mapping'!G32-361),IF(AND('(橫掃)RX Mapping'!G32&gt;=601,'(橫掃)RX Mapping'!G32&lt;=720), (-1)*('(橫掃)RX Mapping'!G32-720)+120,IF(AND('(橫掃)RX Mapping'!G32&gt;=721,'(橫掃)RX Mapping'!G32&lt;=840), ('(橫掃)RX Mapping'!G32-601),IF(AND('(橫掃)RX Mapping'!G32&gt;=841,'(橫掃)RX Mapping'!G32&lt;=960), (-1)*('(橫掃)RX Mapping'!G32-960)+120,9999))))))))</f>
        <v>49</v>
      </c>
      <c r="H32">
        <f>IF(AND('(橫掃)RX Mapping'!H32&gt;=1,'(橫掃)RX Mapping'!H32&lt;=120), ('(橫掃)RX Mapping'!H32-1),IF(AND('(橫掃)RX Mapping'!H32&gt;=121,'(橫掃)RX Mapping'!H32&lt;=240), (-1)*('(橫掃)RX Mapping'!H32-240),IF(AND('(橫掃)RX Mapping'!H32&gt;=241,'(橫掃)RX Mapping'!H32&lt;=360), ('(橫掃)RX Mapping'!H32-241),IF(AND('(橫掃)RX Mapping'!H32&gt;=361,'(橫掃)RX Mapping'!H32&lt;=480), (-1)*('(橫掃)RX Mapping'!H32-480),IF(AND('(橫掃)RX Mapping'!H32&gt;=481,'(橫掃)RX Mapping'!H32&lt;=600), ('(橫掃)RX Mapping'!H32-361),IF(AND('(橫掃)RX Mapping'!H32&gt;=601,'(橫掃)RX Mapping'!H32&lt;=720), (-1)*('(橫掃)RX Mapping'!H32-720)+120,IF(AND('(橫掃)RX Mapping'!H32&gt;=721,'(橫掃)RX Mapping'!H32&lt;=840), ('(橫掃)RX Mapping'!H32-601),IF(AND('(橫掃)RX Mapping'!H32&gt;=841,'(橫掃)RX Mapping'!H32&lt;=960), (-1)*('(橫掃)RX Mapping'!H32-960)+120,9999))))))))</f>
        <v>17</v>
      </c>
      <c r="I32">
        <f>IF(AND('(橫掃)RX Mapping'!I32&gt;=1,'(橫掃)RX Mapping'!I32&lt;=120), ('(橫掃)RX Mapping'!I32-1),IF(AND('(橫掃)RX Mapping'!I32&gt;=121,'(橫掃)RX Mapping'!I32&lt;=240), (-1)*('(橫掃)RX Mapping'!I32-240),IF(AND('(橫掃)RX Mapping'!I32&gt;=241,'(橫掃)RX Mapping'!I32&lt;=360), ('(橫掃)RX Mapping'!I32-241),IF(AND('(橫掃)RX Mapping'!I32&gt;=361,'(橫掃)RX Mapping'!I32&lt;=480), (-1)*('(橫掃)RX Mapping'!I32-480),IF(AND('(橫掃)RX Mapping'!I32&gt;=481,'(橫掃)RX Mapping'!I32&lt;=600), ('(橫掃)RX Mapping'!I32-361),IF(AND('(橫掃)RX Mapping'!I32&gt;=601,'(橫掃)RX Mapping'!I32&lt;=720), (-1)*('(橫掃)RX Mapping'!I32-720)+120,IF(AND('(橫掃)RX Mapping'!I32&gt;=721,'(橫掃)RX Mapping'!I32&lt;=840), ('(橫掃)RX Mapping'!I32-601),IF(AND('(橫掃)RX Mapping'!I32&gt;=841,'(橫掃)RX Mapping'!I32&lt;=960), (-1)*('(橫掃)RX Mapping'!I32-960)+120,9999))))))))</f>
        <v>30</v>
      </c>
      <c r="J32">
        <f>IF(AND('(橫掃)RX Mapping'!J32&gt;=1,'(橫掃)RX Mapping'!J32&lt;=120), ('(橫掃)RX Mapping'!J32-1),IF(AND('(橫掃)RX Mapping'!J32&gt;=121,'(橫掃)RX Mapping'!J32&lt;=240), (-1)*('(橫掃)RX Mapping'!J32-240),IF(AND('(橫掃)RX Mapping'!J32&gt;=241,'(橫掃)RX Mapping'!J32&lt;=360), ('(橫掃)RX Mapping'!J32-241),IF(AND('(橫掃)RX Mapping'!J32&gt;=361,'(橫掃)RX Mapping'!J32&lt;=480), (-1)*('(橫掃)RX Mapping'!J32-480),IF(AND('(橫掃)RX Mapping'!J32&gt;=481,'(橫掃)RX Mapping'!J32&lt;=600), ('(橫掃)RX Mapping'!J32-361),IF(AND('(橫掃)RX Mapping'!J32&gt;=601,'(橫掃)RX Mapping'!J32&lt;=720), (-1)*('(橫掃)RX Mapping'!J32-720)+120,IF(AND('(橫掃)RX Mapping'!J32&gt;=721,'(橫掃)RX Mapping'!J32&lt;=840), ('(橫掃)RX Mapping'!J32-601),IF(AND('(橫掃)RX Mapping'!J32&gt;=841,'(橫掃)RX Mapping'!J32&lt;=960), (-1)*('(橫掃)RX Mapping'!J32-960)+120,9999))))))))</f>
        <v>62</v>
      </c>
      <c r="K32">
        <f>IF(AND('(橫掃)RX Mapping'!K32&gt;=1,'(橫掃)RX Mapping'!K32&lt;=120), ('(橫掃)RX Mapping'!K32-1),IF(AND('(橫掃)RX Mapping'!K32&gt;=121,'(橫掃)RX Mapping'!K32&lt;=240), (-1)*('(橫掃)RX Mapping'!K32-240),IF(AND('(橫掃)RX Mapping'!K32&gt;=241,'(橫掃)RX Mapping'!K32&lt;=360), ('(橫掃)RX Mapping'!K32-241),IF(AND('(橫掃)RX Mapping'!K32&gt;=361,'(橫掃)RX Mapping'!K32&lt;=480), (-1)*('(橫掃)RX Mapping'!K32-480),IF(AND('(橫掃)RX Mapping'!K32&gt;=481,'(橫掃)RX Mapping'!K32&lt;=600), ('(橫掃)RX Mapping'!K32-361),IF(AND('(橫掃)RX Mapping'!K32&gt;=601,'(橫掃)RX Mapping'!K32&lt;=720), (-1)*('(橫掃)RX Mapping'!K32-720)+120,IF(AND('(橫掃)RX Mapping'!K32&gt;=721,'(橫掃)RX Mapping'!K32&lt;=840), ('(橫掃)RX Mapping'!K32-601),IF(AND('(橫掃)RX Mapping'!K32&gt;=841,'(橫掃)RX Mapping'!K32&lt;=960), (-1)*('(橫掃)RX Mapping'!K32-960)+120,9999))))))))</f>
        <v>94</v>
      </c>
      <c r="L32">
        <f>IF(AND('(橫掃)RX Mapping'!L32&gt;=1,'(橫掃)RX Mapping'!L32&lt;=120), ('(橫掃)RX Mapping'!L32-1),IF(AND('(橫掃)RX Mapping'!L32&gt;=121,'(橫掃)RX Mapping'!L32&lt;=240), (-1)*('(橫掃)RX Mapping'!L32-240),IF(AND('(橫掃)RX Mapping'!L32&gt;=241,'(橫掃)RX Mapping'!L32&lt;=360), ('(橫掃)RX Mapping'!L32-241),IF(AND('(橫掃)RX Mapping'!L32&gt;=361,'(橫掃)RX Mapping'!L32&lt;=480), (-1)*('(橫掃)RX Mapping'!L32-480),IF(AND('(橫掃)RX Mapping'!L32&gt;=481,'(橫掃)RX Mapping'!L32&lt;=600), ('(橫掃)RX Mapping'!L32-361),IF(AND('(橫掃)RX Mapping'!L32&gt;=601,'(橫掃)RX Mapping'!L32&lt;=720), (-1)*('(橫掃)RX Mapping'!L32-720)+120,IF(AND('(橫掃)RX Mapping'!L32&gt;=721,'(橫掃)RX Mapping'!L32&lt;=840), ('(橫掃)RX Mapping'!L32-601),IF(AND('(橫掃)RX Mapping'!L32&gt;=841,'(橫掃)RX Mapping'!L32&lt;=960), (-1)*('(橫掃)RX Mapping'!L32-960)+120,9999))))))))</f>
        <v>113</v>
      </c>
      <c r="M32">
        <f>IF(AND('(橫掃)RX Mapping'!M32&gt;=1,'(橫掃)RX Mapping'!M32&lt;=120), ('(橫掃)RX Mapping'!M32-1),IF(AND('(橫掃)RX Mapping'!M32&gt;=121,'(橫掃)RX Mapping'!M32&lt;=240), (-1)*('(橫掃)RX Mapping'!M32-240),IF(AND('(橫掃)RX Mapping'!M32&gt;=241,'(橫掃)RX Mapping'!M32&lt;=360), ('(橫掃)RX Mapping'!M32-241),IF(AND('(橫掃)RX Mapping'!M32&gt;=361,'(橫掃)RX Mapping'!M32&lt;=480), (-1)*('(橫掃)RX Mapping'!M32-480),IF(AND('(橫掃)RX Mapping'!M32&gt;=481,'(橫掃)RX Mapping'!M32&lt;=600), ('(橫掃)RX Mapping'!M32-361),IF(AND('(橫掃)RX Mapping'!M32&gt;=601,'(橫掃)RX Mapping'!M32&lt;=720), (-1)*('(橫掃)RX Mapping'!M32-720)+120,IF(AND('(橫掃)RX Mapping'!M32&gt;=721,'(橫掃)RX Mapping'!M32&lt;=840), ('(橫掃)RX Mapping'!M32-601),IF(AND('(橫掃)RX Mapping'!M32&gt;=841,'(橫掃)RX Mapping'!M32&lt;=960), (-1)*('(橫掃)RX Mapping'!M32-960)+120,9999))))))))</f>
        <v>81</v>
      </c>
      <c r="N32">
        <f>IF(AND('(橫掃)RX Mapping'!N32&gt;=1,'(橫掃)RX Mapping'!N32&lt;=120), ('(橫掃)RX Mapping'!N32-1),IF(AND('(橫掃)RX Mapping'!N32&gt;=121,'(橫掃)RX Mapping'!N32&lt;=240), (-1)*('(橫掃)RX Mapping'!N32-240),IF(AND('(橫掃)RX Mapping'!N32&gt;=241,'(橫掃)RX Mapping'!N32&lt;=360), ('(橫掃)RX Mapping'!N32-241),IF(AND('(橫掃)RX Mapping'!N32&gt;=361,'(橫掃)RX Mapping'!N32&lt;=480), (-1)*('(橫掃)RX Mapping'!N32-480),IF(AND('(橫掃)RX Mapping'!N32&gt;=481,'(橫掃)RX Mapping'!N32&lt;=600), ('(橫掃)RX Mapping'!N32-361),IF(AND('(橫掃)RX Mapping'!N32&gt;=601,'(橫掃)RX Mapping'!N32&lt;=720), (-1)*('(橫掃)RX Mapping'!N32-720)+120,IF(AND('(橫掃)RX Mapping'!N32&gt;=721,'(橫掃)RX Mapping'!N32&lt;=840), ('(橫掃)RX Mapping'!N32-601),IF(AND('(橫掃)RX Mapping'!N32&gt;=841,'(橫掃)RX Mapping'!N32&lt;=960), (-1)*('(橫掃)RX Mapping'!N32-960)+120,9999))))))))</f>
        <v>49</v>
      </c>
      <c r="O32">
        <f>IF(AND('(橫掃)RX Mapping'!O32&gt;=1,'(橫掃)RX Mapping'!O32&lt;=120), ('(橫掃)RX Mapping'!O32-1),IF(AND('(橫掃)RX Mapping'!O32&gt;=121,'(橫掃)RX Mapping'!O32&lt;=240), (-1)*('(橫掃)RX Mapping'!O32-240),IF(AND('(橫掃)RX Mapping'!O32&gt;=241,'(橫掃)RX Mapping'!O32&lt;=360), ('(橫掃)RX Mapping'!O32-241),IF(AND('(橫掃)RX Mapping'!O32&gt;=361,'(橫掃)RX Mapping'!O32&lt;=480), (-1)*('(橫掃)RX Mapping'!O32-480),IF(AND('(橫掃)RX Mapping'!O32&gt;=481,'(橫掃)RX Mapping'!O32&lt;=600), ('(橫掃)RX Mapping'!O32-361),IF(AND('(橫掃)RX Mapping'!O32&gt;=601,'(橫掃)RX Mapping'!O32&lt;=720), (-1)*('(橫掃)RX Mapping'!O32-720)+120,IF(AND('(橫掃)RX Mapping'!O32&gt;=721,'(橫掃)RX Mapping'!O32&lt;=840), ('(橫掃)RX Mapping'!O32-601),IF(AND('(橫掃)RX Mapping'!O32&gt;=841,'(橫掃)RX Mapping'!O32&lt;=960), (-1)*('(橫掃)RX Mapping'!O32-960)+120,9999))))))))</f>
        <v>17</v>
      </c>
      <c r="P32">
        <f>IF(AND('(橫掃)RX Mapping'!P32&gt;=1,'(橫掃)RX Mapping'!P32&lt;=120), ('(橫掃)RX Mapping'!P32-1),IF(AND('(橫掃)RX Mapping'!P32&gt;=121,'(橫掃)RX Mapping'!P32&lt;=240), (-1)*('(橫掃)RX Mapping'!P32-240),IF(AND('(橫掃)RX Mapping'!P32&gt;=241,'(橫掃)RX Mapping'!P32&lt;=360), ('(橫掃)RX Mapping'!P32-241),IF(AND('(橫掃)RX Mapping'!P32&gt;=361,'(橫掃)RX Mapping'!P32&lt;=480), (-1)*('(橫掃)RX Mapping'!P32-480),IF(AND('(橫掃)RX Mapping'!P32&gt;=481,'(橫掃)RX Mapping'!P32&lt;=600), ('(橫掃)RX Mapping'!P32-361),IF(AND('(橫掃)RX Mapping'!P32&gt;=601,'(橫掃)RX Mapping'!P32&lt;=720), (-1)*('(橫掃)RX Mapping'!P32-720)+120,IF(AND('(橫掃)RX Mapping'!P32&gt;=721,'(橫掃)RX Mapping'!P32&lt;=840), ('(橫掃)RX Mapping'!P32-601),IF(AND('(橫掃)RX Mapping'!P32&gt;=841,'(橫掃)RX Mapping'!P32&lt;=960), (-1)*('(橫掃)RX Mapping'!P32-960)+120,9999))))))))</f>
        <v>150</v>
      </c>
      <c r="Q32">
        <f>IF(AND('(橫掃)RX Mapping'!Q32&gt;=1,'(橫掃)RX Mapping'!Q32&lt;=120), ('(橫掃)RX Mapping'!Q32-1),IF(AND('(橫掃)RX Mapping'!Q32&gt;=121,'(橫掃)RX Mapping'!Q32&lt;=240), (-1)*('(橫掃)RX Mapping'!Q32-240),IF(AND('(橫掃)RX Mapping'!Q32&gt;=241,'(橫掃)RX Mapping'!Q32&lt;=360), ('(橫掃)RX Mapping'!Q32-241),IF(AND('(橫掃)RX Mapping'!Q32&gt;=361,'(橫掃)RX Mapping'!Q32&lt;=480), (-1)*('(橫掃)RX Mapping'!Q32-480),IF(AND('(橫掃)RX Mapping'!Q32&gt;=481,'(橫掃)RX Mapping'!Q32&lt;=600), ('(橫掃)RX Mapping'!Q32-361),IF(AND('(橫掃)RX Mapping'!Q32&gt;=601,'(橫掃)RX Mapping'!Q32&lt;=720), (-1)*('(橫掃)RX Mapping'!Q32-720)+120,IF(AND('(橫掃)RX Mapping'!Q32&gt;=721,'(橫掃)RX Mapping'!Q32&lt;=840), ('(橫掃)RX Mapping'!Q32-601),IF(AND('(橫掃)RX Mapping'!Q32&gt;=841,'(橫掃)RX Mapping'!Q32&lt;=960), (-1)*('(橫掃)RX Mapping'!Q32-960)+120,9999))))))))</f>
        <v>182</v>
      </c>
      <c r="R32">
        <f>IF(AND('(橫掃)RX Mapping'!R32&gt;=1,'(橫掃)RX Mapping'!R32&lt;=120), ('(橫掃)RX Mapping'!R32-1),IF(AND('(橫掃)RX Mapping'!R32&gt;=121,'(橫掃)RX Mapping'!R32&lt;=240), (-1)*('(橫掃)RX Mapping'!R32-240),IF(AND('(橫掃)RX Mapping'!R32&gt;=241,'(橫掃)RX Mapping'!R32&lt;=360), ('(橫掃)RX Mapping'!R32-241),IF(AND('(橫掃)RX Mapping'!R32&gt;=361,'(橫掃)RX Mapping'!R32&lt;=480), (-1)*('(橫掃)RX Mapping'!R32-480),IF(AND('(橫掃)RX Mapping'!R32&gt;=481,'(橫掃)RX Mapping'!R32&lt;=600), ('(橫掃)RX Mapping'!R32-361),IF(AND('(橫掃)RX Mapping'!R32&gt;=601,'(橫掃)RX Mapping'!R32&lt;=720), (-1)*('(橫掃)RX Mapping'!R32-720)+120,IF(AND('(橫掃)RX Mapping'!R32&gt;=721,'(橫掃)RX Mapping'!R32&lt;=840), ('(橫掃)RX Mapping'!R32-601),IF(AND('(橫掃)RX Mapping'!R32&gt;=841,'(橫掃)RX Mapping'!R32&lt;=960), (-1)*('(橫掃)RX Mapping'!R32-960)+120,9999))))))))</f>
        <v>214</v>
      </c>
      <c r="S32">
        <f>IF(AND('(橫掃)RX Mapping'!S32&gt;=1,'(橫掃)RX Mapping'!S32&lt;=120), ('(橫掃)RX Mapping'!S32-1),IF(AND('(橫掃)RX Mapping'!S32&gt;=121,'(橫掃)RX Mapping'!S32&lt;=240), (-1)*('(橫掃)RX Mapping'!S32-240),IF(AND('(橫掃)RX Mapping'!S32&gt;=241,'(橫掃)RX Mapping'!S32&lt;=360), ('(橫掃)RX Mapping'!S32-241),IF(AND('(橫掃)RX Mapping'!S32&gt;=361,'(橫掃)RX Mapping'!S32&lt;=480), (-1)*('(橫掃)RX Mapping'!S32-480),IF(AND('(橫掃)RX Mapping'!S32&gt;=481,'(橫掃)RX Mapping'!S32&lt;=600), ('(橫掃)RX Mapping'!S32-361),IF(AND('(橫掃)RX Mapping'!S32&gt;=601,'(橫掃)RX Mapping'!S32&lt;=720), (-1)*('(橫掃)RX Mapping'!S32-720)+120,IF(AND('(橫掃)RX Mapping'!S32&gt;=721,'(橫掃)RX Mapping'!S32&lt;=840), ('(橫掃)RX Mapping'!S32-601),IF(AND('(橫掃)RX Mapping'!S32&gt;=841,'(橫掃)RX Mapping'!S32&lt;=960), (-1)*('(橫掃)RX Mapping'!S32-960)+120,9999))))))))</f>
        <v>233</v>
      </c>
      <c r="T32">
        <f>IF(AND('(橫掃)RX Mapping'!T32&gt;=1,'(橫掃)RX Mapping'!T32&lt;=120), ('(橫掃)RX Mapping'!T32-1),IF(AND('(橫掃)RX Mapping'!T32&gt;=121,'(橫掃)RX Mapping'!T32&lt;=240), (-1)*('(橫掃)RX Mapping'!T32-240),IF(AND('(橫掃)RX Mapping'!T32&gt;=241,'(橫掃)RX Mapping'!T32&lt;=360), ('(橫掃)RX Mapping'!T32-241),IF(AND('(橫掃)RX Mapping'!T32&gt;=361,'(橫掃)RX Mapping'!T32&lt;=480), (-1)*('(橫掃)RX Mapping'!T32-480),IF(AND('(橫掃)RX Mapping'!T32&gt;=481,'(橫掃)RX Mapping'!T32&lt;=600), ('(橫掃)RX Mapping'!T32-361),IF(AND('(橫掃)RX Mapping'!T32&gt;=601,'(橫掃)RX Mapping'!T32&lt;=720), (-1)*('(橫掃)RX Mapping'!T32-720)+120,IF(AND('(橫掃)RX Mapping'!T32&gt;=721,'(橫掃)RX Mapping'!T32&lt;=840), ('(橫掃)RX Mapping'!T32-601),IF(AND('(橫掃)RX Mapping'!T32&gt;=841,'(橫掃)RX Mapping'!T32&lt;=960), (-1)*('(橫掃)RX Mapping'!T32-960)+120,9999))))))))</f>
        <v>201</v>
      </c>
      <c r="U32">
        <f>IF(AND('(橫掃)RX Mapping'!U32&gt;=1,'(橫掃)RX Mapping'!U32&lt;=120), ('(橫掃)RX Mapping'!U32-1),IF(AND('(橫掃)RX Mapping'!U32&gt;=121,'(橫掃)RX Mapping'!U32&lt;=240), (-1)*('(橫掃)RX Mapping'!U32-240),IF(AND('(橫掃)RX Mapping'!U32&gt;=241,'(橫掃)RX Mapping'!U32&lt;=360), ('(橫掃)RX Mapping'!U32-241),IF(AND('(橫掃)RX Mapping'!U32&gt;=361,'(橫掃)RX Mapping'!U32&lt;=480), (-1)*('(橫掃)RX Mapping'!U32-480),IF(AND('(橫掃)RX Mapping'!U32&gt;=481,'(橫掃)RX Mapping'!U32&lt;=600), ('(橫掃)RX Mapping'!U32-361),IF(AND('(橫掃)RX Mapping'!U32&gt;=601,'(橫掃)RX Mapping'!U32&lt;=720), (-1)*('(橫掃)RX Mapping'!U32-720)+120,IF(AND('(橫掃)RX Mapping'!U32&gt;=721,'(橫掃)RX Mapping'!U32&lt;=840), ('(橫掃)RX Mapping'!U32-601),IF(AND('(橫掃)RX Mapping'!U32&gt;=841,'(橫掃)RX Mapping'!U32&lt;=960), (-1)*('(橫掃)RX Mapping'!U32-960)+120,9999))))))))</f>
        <v>169</v>
      </c>
      <c r="V32">
        <f>IF(AND('(橫掃)RX Mapping'!V32&gt;=1,'(橫掃)RX Mapping'!V32&lt;=120), ('(橫掃)RX Mapping'!V32-1),IF(AND('(橫掃)RX Mapping'!V32&gt;=121,'(橫掃)RX Mapping'!V32&lt;=240), (-1)*('(橫掃)RX Mapping'!V32-240),IF(AND('(橫掃)RX Mapping'!V32&gt;=241,'(橫掃)RX Mapping'!V32&lt;=360), ('(橫掃)RX Mapping'!V32-241),IF(AND('(橫掃)RX Mapping'!V32&gt;=361,'(橫掃)RX Mapping'!V32&lt;=480), (-1)*('(橫掃)RX Mapping'!V32-480),IF(AND('(橫掃)RX Mapping'!V32&gt;=481,'(橫掃)RX Mapping'!V32&lt;=600), ('(橫掃)RX Mapping'!V32-361),IF(AND('(橫掃)RX Mapping'!V32&gt;=601,'(橫掃)RX Mapping'!V32&lt;=720), (-1)*('(橫掃)RX Mapping'!V32-720)+120,IF(AND('(橫掃)RX Mapping'!V32&gt;=721,'(橫掃)RX Mapping'!V32&lt;=840), ('(橫掃)RX Mapping'!V32-601),IF(AND('(橫掃)RX Mapping'!V32&gt;=841,'(橫掃)RX Mapping'!V32&lt;=960), (-1)*('(橫掃)RX Mapping'!V32-960)+120,9999))))))))</f>
        <v>137</v>
      </c>
      <c r="W32">
        <f>IF(AND('(橫掃)RX Mapping'!W32&gt;=1,'(橫掃)RX Mapping'!W32&lt;=120), ('(橫掃)RX Mapping'!W32-1),IF(AND('(橫掃)RX Mapping'!W32&gt;=121,'(橫掃)RX Mapping'!W32&lt;=240), (-1)*('(橫掃)RX Mapping'!W32-240),IF(AND('(橫掃)RX Mapping'!W32&gt;=241,'(橫掃)RX Mapping'!W32&lt;=360), ('(橫掃)RX Mapping'!W32-241),IF(AND('(橫掃)RX Mapping'!W32&gt;=361,'(橫掃)RX Mapping'!W32&lt;=480), (-1)*('(橫掃)RX Mapping'!W32-480),IF(AND('(橫掃)RX Mapping'!W32&gt;=481,'(橫掃)RX Mapping'!W32&lt;=600), ('(橫掃)RX Mapping'!W32-361),IF(AND('(橫掃)RX Mapping'!W32&gt;=601,'(橫掃)RX Mapping'!W32&lt;=720), (-1)*('(橫掃)RX Mapping'!W32-720)+120,IF(AND('(橫掃)RX Mapping'!W32&gt;=721,'(橫掃)RX Mapping'!W32&lt;=840), ('(橫掃)RX Mapping'!W32-601),IF(AND('(橫掃)RX Mapping'!W32&gt;=841,'(橫掃)RX Mapping'!W32&lt;=960), (-1)*('(橫掃)RX Mapping'!W32-960)+120,9999))))))))</f>
        <v>150</v>
      </c>
      <c r="X32">
        <f>IF(AND('(橫掃)RX Mapping'!X32&gt;=1,'(橫掃)RX Mapping'!X32&lt;=120), ('(橫掃)RX Mapping'!X32-1),IF(AND('(橫掃)RX Mapping'!X32&gt;=121,'(橫掃)RX Mapping'!X32&lt;=240), (-1)*('(橫掃)RX Mapping'!X32-240),IF(AND('(橫掃)RX Mapping'!X32&gt;=241,'(橫掃)RX Mapping'!X32&lt;=360), ('(橫掃)RX Mapping'!X32-241),IF(AND('(橫掃)RX Mapping'!X32&gt;=361,'(橫掃)RX Mapping'!X32&lt;=480), (-1)*('(橫掃)RX Mapping'!X32-480),IF(AND('(橫掃)RX Mapping'!X32&gt;=481,'(橫掃)RX Mapping'!X32&lt;=600), ('(橫掃)RX Mapping'!X32-361),IF(AND('(橫掃)RX Mapping'!X32&gt;=601,'(橫掃)RX Mapping'!X32&lt;=720), (-1)*('(橫掃)RX Mapping'!X32-720)+120,IF(AND('(橫掃)RX Mapping'!X32&gt;=721,'(橫掃)RX Mapping'!X32&lt;=840), ('(橫掃)RX Mapping'!X32-601),IF(AND('(橫掃)RX Mapping'!X32&gt;=841,'(橫掃)RX Mapping'!X32&lt;=960), (-1)*('(橫掃)RX Mapping'!X32-960)+120,9999))))))))</f>
        <v>182</v>
      </c>
      <c r="Y32">
        <f>IF(AND('(橫掃)RX Mapping'!Y32&gt;=1,'(橫掃)RX Mapping'!Y32&lt;=120), ('(橫掃)RX Mapping'!Y32-1),IF(AND('(橫掃)RX Mapping'!Y32&gt;=121,'(橫掃)RX Mapping'!Y32&lt;=240), (-1)*('(橫掃)RX Mapping'!Y32-240),IF(AND('(橫掃)RX Mapping'!Y32&gt;=241,'(橫掃)RX Mapping'!Y32&lt;=360), ('(橫掃)RX Mapping'!Y32-241),IF(AND('(橫掃)RX Mapping'!Y32&gt;=361,'(橫掃)RX Mapping'!Y32&lt;=480), (-1)*('(橫掃)RX Mapping'!Y32-480),IF(AND('(橫掃)RX Mapping'!Y32&gt;=481,'(橫掃)RX Mapping'!Y32&lt;=600), ('(橫掃)RX Mapping'!Y32-361),IF(AND('(橫掃)RX Mapping'!Y32&gt;=601,'(橫掃)RX Mapping'!Y32&lt;=720), (-1)*('(橫掃)RX Mapping'!Y32-720)+120,IF(AND('(橫掃)RX Mapping'!Y32&gt;=721,'(橫掃)RX Mapping'!Y32&lt;=840), ('(橫掃)RX Mapping'!Y32-601),IF(AND('(橫掃)RX Mapping'!Y32&gt;=841,'(橫掃)RX Mapping'!Y32&lt;=960), (-1)*('(橫掃)RX Mapping'!Y32-960)+120,9999))))))))</f>
        <v>214</v>
      </c>
      <c r="Z32">
        <f>IF(AND('(橫掃)RX Mapping'!Z32&gt;=1,'(橫掃)RX Mapping'!Z32&lt;=120), ('(橫掃)RX Mapping'!Z32-1),IF(AND('(橫掃)RX Mapping'!Z32&gt;=121,'(橫掃)RX Mapping'!Z32&lt;=240), (-1)*('(橫掃)RX Mapping'!Z32-240),IF(AND('(橫掃)RX Mapping'!Z32&gt;=241,'(橫掃)RX Mapping'!Z32&lt;=360), ('(橫掃)RX Mapping'!Z32-241),IF(AND('(橫掃)RX Mapping'!Z32&gt;=361,'(橫掃)RX Mapping'!Z32&lt;=480), (-1)*('(橫掃)RX Mapping'!Z32-480),IF(AND('(橫掃)RX Mapping'!Z32&gt;=481,'(橫掃)RX Mapping'!Z32&lt;=600), ('(橫掃)RX Mapping'!Z32-361),IF(AND('(橫掃)RX Mapping'!Z32&gt;=601,'(橫掃)RX Mapping'!Z32&lt;=720), (-1)*('(橫掃)RX Mapping'!Z32-720)+120,IF(AND('(橫掃)RX Mapping'!Z32&gt;=721,'(橫掃)RX Mapping'!Z32&lt;=840), ('(橫掃)RX Mapping'!Z32-601),IF(AND('(橫掃)RX Mapping'!Z32&gt;=841,'(橫掃)RX Mapping'!Z32&lt;=960), (-1)*('(橫掃)RX Mapping'!Z32-960)+120,9999))))))))</f>
        <v>233</v>
      </c>
      <c r="AA32">
        <f>IF(AND('(橫掃)RX Mapping'!AA32&gt;=1,'(橫掃)RX Mapping'!AA32&lt;=120), ('(橫掃)RX Mapping'!AA32-1),IF(AND('(橫掃)RX Mapping'!AA32&gt;=121,'(橫掃)RX Mapping'!AA32&lt;=240), (-1)*('(橫掃)RX Mapping'!AA32-240),IF(AND('(橫掃)RX Mapping'!AA32&gt;=241,'(橫掃)RX Mapping'!AA32&lt;=360), ('(橫掃)RX Mapping'!AA32-241),IF(AND('(橫掃)RX Mapping'!AA32&gt;=361,'(橫掃)RX Mapping'!AA32&lt;=480), (-1)*('(橫掃)RX Mapping'!AA32-480),IF(AND('(橫掃)RX Mapping'!AA32&gt;=481,'(橫掃)RX Mapping'!AA32&lt;=600), ('(橫掃)RX Mapping'!AA32-361),IF(AND('(橫掃)RX Mapping'!AA32&gt;=601,'(橫掃)RX Mapping'!AA32&lt;=720), (-1)*('(橫掃)RX Mapping'!AA32-720)+120,IF(AND('(橫掃)RX Mapping'!AA32&gt;=721,'(橫掃)RX Mapping'!AA32&lt;=840), ('(橫掃)RX Mapping'!AA32-601),IF(AND('(橫掃)RX Mapping'!AA32&gt;=841,'(橫掃)RX Mapping'!AA32&lt;=960), (-1)*('(橫掃)RX Mapping'!AA32-960)+120,9999))))))))</f>
        <v>201</v>
      </c>
      <c r="AB32">
        <f>IF(AND('(橫掃)RX Mapping'!AB32&gt;=1,'(橫掃)RX Mapping'!AB32&lt;=120), ('(橫掃)RX Mapping'!AB32-1),IF(AND('(橫掃)RX Mapping'!AB32&gt;=121,'(橫掃)RX Mapping'!AB32&lt;=240), (-1)*('(橫掃)RX Mapping'!AB32-240),IF(AND('(橫掃)RX Mapping'!AB32&gt;=241,'(橫掃)RX Mapping'!AB32&lt;=360), ('(橫掃)RX Mapping'!AB32-241),IF(AND('(橫掃)RX Mapping'!AB32&gt;=361,'(橫掃)RX Mapping'!AB32&lt;=480), (-1)*('(橫掃)RX Mapping'!AB32-480),IF(AND('(橫掃)RX Mapping'!AB32&gt;=481,'(橫掃)RX Mapping'!AB32&lt;=600), ('(橫掃)RX Mapping'!AB32-361),IF(AND('(橫掃)RX Mapping'!AB32&gt;=601,'(橫掃)RX Mapping'!AB32&lt;=720), (-1)*('(橫掃)RX Mapping'!AB32-720)+120,IF(AND('(橫掃)RX Mapping'!AB32&gt;=721,'(橫掃)RX Mapping'!AB32&lt;=840), ('(橫掃)RX Mapping'!AB32-601),IF(AND('(橫掃)RX Mapping'!AB32&gt;=841,'(橫掃)RX Mapping'!AB32&lt;=960), (-1)*('(橫掃)RX Mapping'!AB32-960)+120,9999))))))))</f>
        <v>169</v>
      </c>
      <c r="AC32">
        <f>IF(AND('(橫掃)RX Mapping'!AC32&gt;=1,'(橫掃)RX Mapping'!AC32&lt;=120), ('(橫掃)RX Mapping'!AC32-1),IF(AND('(橫掃)RX Mapping'!AC32&gt;=121,'(橫掃)RX Mapping'!AC32&lt;=240), (-1)*('(橫掃)RX Mapping'!AC32-240),IF(AND('(橫掃)RX Mapping'!AC32&gt;=241,'(橫掃)RX Mapping'!AC32&lt;=360), ('(橫掃)RX Mapping'!AC32-241),IF(AND('(橫掃)RX Mapping'!AC32&gt;=361,'(橫掃)RX Mapping'!AC32&lt;=480), (-1)*('(橫掃)RX Mapping'!AC32-480),IF(AND('(橫掃)RX Mapping'!AC32&gt;=481,'(橫掃)RX Mapping'!AC32&lt;=600), ('(橫掃)RX Mapping'!AC32-361),IF(AND('(橫掃)RX Mapping'!AC32&gt;=601,'(橫掃)RX Mapping'!AC32&lt;=720), (-1)*('(橫掃)RX Mapping'!AC32-720)+120,IF(AND('(橫掃)RX Mapping'!AC32&gt;=721,'(橫掃)RX Mapping'!AC32&lt;=840), ('(橫掃)RX Mapping'!AC32-601),IF(AND('(橫掃)RX Mapping'!AC32&gt;=841,'(橫掃)RX Mapping'!AC32&lt;=960), (-1)*('(橫掃)RX Mapping'!AC32-960)+120,9999))))))))</f>
        <v>137</v>
      </c>
      <c r="AD32">
        <f>IF(AND('(橫掃)RX Mapping'!AD32&gt;=1,'(橫掃)RX Mapping'!AD32&lt;=120), ('(橫掃)RX Mapping'!AD32-1),IF(AND('(橫掃)RX Mapping'!AD32&gt;=121,'(橫掃)RX Mapping'!AD32&lt;=240), (-1)*('(橫掃)RX Mapping'!AD32-240),IF(AND('(橫掃)RX Mapping'!AD32&gt;=241,'(橫掃)RX Mapping'!AD32&lt;=360), ('(橫掃)RX Mapping'!AD32-241),IF(AND('(橫掃)RX Mapping'!AD32&gt;=361,'(橫掃)RX Mapping'!AD32&lt;=480), (-1)*('(橫掃)RX Mapping'!AD32-480),IF(AND('(橫掃)RX Mapping'!AD32&gt;=481,'(橫掃)RX Mapping'!AD32&lt;=600), ('(橫掃)RX Mapping'!AD32-361),IF(AND('(橫掃)RX Mapping'!AD32&gt;=601,'(橫掃)RX Mapping'!AD32&lt;=720), (-1)*('(橫掃)RX Mapping'!AD32-720)+120,IF(AND('(橫掃)RX Mapping'!AD32&gt;=721,'(橫掃)RX Mapping'!AD32&lt;=840), ('(橫掃)RX Mapping'!AD32-601),IF(AND('(橫掃)RX Mapping'!AD32&gt;=841,'(橫掃)RX Mapping'!AD32&lt;=960), (-1)*('(橫掃)RX Mapping'!AD32-960)+120,9999))))))))</f>
        <v>9999</v>
      </c>
      <c r="AE32">
        <f>IF(AND('(橫掃)RX Mapping'!AE32&gt;=1,'(橫掃)RX Mapping'!AE32&lt;=120), ('(橫掃)RX Mapping'!AE32-1),IF(AND('(橫掃)RX Mapping'!AE32&gt;=121,'(橫掃)RX Mapping'!AE32&lt;=240), (-1)*('(橫掃)RX Mapping'!AE32-240),IF(AND('(橫掃)RX Mapping'!AE32&gt;=241,'(橫掃)RX Mapping'!AE32&lt;=360), ('(橫掃)RX Mapping'!AE32-241),IF(AND('(橫掃)RX Mapping'!AE32&gt;=361,'(橫掃)RX Mapping'!AE32&lt;=480), (-1)*('(橫掃)RX Mapping'!AE32-480),IF(AND('(橫掃)RX Mapping'!AE32&gt;=481,'(橫掃)RX Mapping'!AE32&lt;=600), ('(橫掃)RX Mapping'!AE32-361),IF(AND('(橫掃)RX Mapping'!AE32&gt;=601,'(橫掃)RX Mapping'!AE32&lt;=720), (-1)*('(橫掃)RX Mapping'!AE32-720)+120,IF(AND('(橫掃)RX Mapping'!AE32&gt;=721,'(橫掃)RX Mapping'!AE32&lt;=840), ('(橫掃)RX Mapping'!AE32-601),IF(AND('(橫掃)RX Mapping'!AE32&gt;=841,'(橫掃)RX Mapping'!AE32&lt;=960), (-1)*('(橫掃)RX Mapping'!AE32-960)+120,9999))))))))</f>
        <v>9999</v>
      </c>
      <c r="AF32">
        <f>IF(AND('(橫掃)RX Mapping'!AF32&gt;=1,'(橫掃)RX Mapping'!AF32&lt;=120), ('(橫掃)RX Mapping'!AF32-1),IF(AND('(橫掃)RX Mapping'!AF32&gt;=121,'(橫掃)RX Mapping'!AF32&lt;=240), (-1)*('(橫掃)RX Mapping'!AF32-240),IF(AND('(橫掃)RX Mapping'!AF32&gt;=241,'(橫掃)RX Mapping'!AF32&lt;=360), ('(橫掃)RX Mapping'!AF32-241),IF(AND('(橫掃)RX Mapping'!AF32&gt;=361,'(橫掃)RX Mapping'!AF32&lt;=480), (-1)*('(橫掃)RX Mapping'!AF32-480),IF(AND('(橫掃)RX Mapping'!AF32&gt;=481,'(橫掃)RX Mapping'!AF32&lt;=600), ('(橫掃)RX Mapping'!AF32-361),IF(AND('(橫掃)RX Mapping'!AF32&gt;=601,'(橫掃)RX Mapping'!AF32&lt;=720), (-1)*('(橫掃)RX Mapping'!AF32-720)+120,IF(AND('(橫掃)RX Mapping'!AF32&gt;=721,'(橫掃)RX Mapping'!AF32&lt;=840), ('(橫掃)RX Mapping'!AF32-601),IF(AND('(橫掃)RX Mapping'!AF32&gt;=841,'(橫掃)RX Mapping'!AF32&lt;=960), (-1)*('(橫掃)RX Mapping'!AF32-960)+120,9999))))))))</f>
        <v>9999</v>
      </c>
      <c r="AG32">
        <f>IF(AND('(橫掃)RX Mapping'!AG32&gt;=1,'(橫掃)RX Mapping'!AG32&lt;=120), ('(橫掃)RX Mapping'!AG32-1),IF(AND('(橫掃)RX Mapping'!AG32&gt;=121,'(橫掃)RX Mapping'!AG32&lt;=240), (-1)*('(橫掃)RX Mapping'!AG32-240),IF(AND('(橫掃)RX Mapping'!AG32&gt;=241,'(橫掃)RX Mapping'!AG32&lt;=360), ('(橫掃)RX Mapping'!AG32-241),IF(AND('(橫掃)RX Mapping'!AG32&gt;=361,'(橫掃)RX Mapping'!AG32&lt;=480), (-1)*('(橫掃)RX Mapping'!AG32-480),IF(AND('(橫掃)RX Mapping'!AG32&gt;=481,'(橫掃)RX Mapping'!AG32&lt;=600), ('(橫掃)RX Mapping'!AG32-361),IF(AND('(橫掃)RX Mapping'!AG32&gt;=601,'(橫掃)RX Mapping'!AG32&lt;=720), (-1)*('(橫掃)RX Mapping'!AG32-720)+120,IF(AND('(橫掃)RX Mapping'!AG32&gt;=721,'(橫掃)RX Mapping'!AG32&lt;=840), ('(橫掃)RX Mapping'!AG32-601),IF(AND('(橫掃)RX Mapping'!AG32&gt;=841,'(橫掃)RX Mapping'!AG32&lt;=960), (-1)*('(橫掃)RX Mapping'!AG32-960)+120,9999))))))))</f>
        <v>9999</v>
      </c>
      <c r="AH32">
        <f>IF(AND('(橫掃)RX Mapping'!AH32&gt;=1,'(橫掃)RX Mapping'!AH32&lt;=120), ('(橫掃)RX Mapping'!AH32-1),IF(AND('(橫掃)RX Mapping'!AH32&gt;=121,'(橫掃)RX Mapping'!AH32&lt;=240), (-1)*('(橫掃)RX Mapping'!AH32-240),IF(AND('(橫掃)RX Mapping'!AH32&gt;=241,'(橫掃)RX Mapping'!AH32&lt;=360), ('(橫掃)RX Mapping'!AH32-241),IF(AND('(橫掃)RX Mapping'!AH32&gt;=361,'(橫掃)RX Mapping'!AH32&lt;=480), (-1)*('(橫掃)RX Mapping'!AH32-480),IF(AND('(橫掃)RX Mapping'!AH32&gt;=481,'(橫掃)RX Mapping'!AH32&lt;=600), ('(橫掃)RX Mapping'!AH32-361),IF(AND('(橫掃)RX Mapping'!AH32&gt;=601,'(橫掃)RX Mapping'!AH32&lt;=720), (-1)*('(橫掃)RX Mapping'!AH32-720)+120,IF(AND('(橫掃)RX Mapping'!AH32&gt;=721,'(橫掃)RX Mapping'!AH32&lt;=840), ('(橫掃)RX Mapping'!AH32-601),IF(AND('(橫掃)RX Mapping'!AH32&gt;=841,'(橫掃)RX Mapping'!AH32&lt;=960), (-1)*('(橫掃)RX Mapping'!AH32-960)+120,9999))))))))</f>
        <v>9999</v>
      </c>
      <c r="AI32">
        <f>IF(AND('(橫掃)RX Mapping'!AI32&gt;=1,'(橫掃)RX Mapping'!AI32&lt;=120), ('(橫掃)RX Mapping'!AI32-1),IF(AND('(橫掃)RX Mapping'!AI32&gt;=121,'(橫掃)RX Mapping'!AI32&lt;=240), (-1)*('(橫掃)RX Mapping'!AI32-240),IF(AND('(橫掃)RX Mapping'!AI32&gt;=241,'(橫掃)RX Mapping'!AI32&lt;=360), ('(橫掃)RX Mapping'!AI32-241),IF(AND('(橫掃)RX Mapping'!AI32&gt;=361,'(橫掃)RX Mapping'!AI32&lt;=480), (-1)*('(橫掃)RX Mapping'!AI32-480),IF(AND('(橫掃)RX Mapping'!AI32&gt;=481,'(橫掃)RX Mapping'!AI32&lt;=600), ('(橫掃)RX Mapping'!AI32-361),IF(AND('(橫掃)RX Mapping'!AI32&gt;=601,'(橫掃)RX Mapping'!AI32&lt;=720), (-1)*('(橫掃)RX Mapping'!AI32-720)+120,IF(AND('(橫掃)RX Mapping'!AI32&gt;=721,'(橫掃)RX Mapping'!AI32&lt;=840), ('(橫掃)RX Mapping'!AI32-601),IF(AND('(橫掃)RX Mapping'!AI32&gt;=841,'(橫掃)RX Mapping'!AI32&lt;=960), (-1)*('(橫掃)RX Mapping'!AI32-960)+120,9999))))))))</f>
        <v>9999</v>
      </c>
      <c r="AJ32">
        <f>IF(AND('(橫掃)RX Mapping'!AJ32&gt;=1,'(橫掃)RX Mapping'!AJ32&lt;=120), ('(橫掃)RX Mapping'!AJ32-1),IF(AND('(橫掃)RX Mapping'!AJ32&gt;=121,'(橫掃)RX Mapping'!AJ32&lt;=240), (-1)*('(橫掃)RX Mapping'!AJ32-240),IF(AND('(橫掃)RX Mapping'!AJ32&gt;=241,'(橫掃)RX Mapping'!AJ32&lt;=360), ('(橫掃)RX Mapping'!AJ32-241),IF(AND('(橫掃)RX Mapping'!AJ32&gt;=361,'(橫掃)RX Mapping'!AJ32&lt;=480), (-1)*('(橫掃)RX Mapping'!AJ32-480),IF(AND('(橫掃)RX Mapping'!AJ32&gt;=481,'(橫掃)RX Mapping'!AJ32&lt;=600), ('(橫掃)RX Mapping'!AJ32-361),IF(AND('(橫掃)RX Mapping'!AJ32&gt;=601,'(橫掃)RX Mapping'!AJ32&lt;=720), (-1)*('(橫掃)RX Mapping'!AJ32-720)+120,IF(AND('(橫掃)RX Mapping'!AJ32&gt;=721,'(橫掃)RX Mapping'!AJ32&lt;=840), ('(橫掃)RX Mapping'!AJ32-601),IF(AND('(橫掃)RX Mapping'!AJ32&gt;=841,'(橫掃)RX Mapping'!AJ32&lt;=960), (-1)*('(橫掃)RX Mapping'!AJ32-960)+120,9999))))))))</f>
        <v>9999</v>
      </c>
      <c r="AK32">
        <f>IF(AND('(橫掃)RX Mapping'!AK32&gt;=1,'(橫掃)RX Mapping'!AK32&lt;=120), ('(橫掃)RX Mapping'!AK32-1),IF(AND('(橫掃)RX Mapping'!AK32&gt;=121,'(橫掃)RX Mapping'!AK32&lt;=240), (-1)*('(橫掃)RX Mapping'!AK32-240),IF(AND('(橫掃)RX Mapping'!AK32&gt;=241,'(橫掃)RX Mapping'!AK32&lt;=360), ('(橫掃)RX Mapping'!AK32-241),IF(AND('(橫掃)RX Mapping'!AK32&gt;=361,'(橫掃)RX Mapping'!AK32&lt;=480), (-1)*('(橫掃)RX Mapping'!AK32-480),IF(AND('(橫掃)RX Mapping'!AK32&gt;=481,'(橫掃)RX Mapping'!AK32&lt;=600), ('(橫掃)RX Mapping'!AK32-361),IF(AND('(橫掃)RX Mapping'!AK32&gt;=601,'(橫掃)RX Mapping'!AK32&lt;=720), (-1)*('(橫掃)RX Mapping'!AK32-720)+120,IF(AND('(橫掃)RX Mapping'!AK32&gt;=721,'(橫掃)RX Mapping'!AK32&lt;=840), ('(橫掃)RX Mapping'!AK32-601),IF(AND('(橫掃)RX Mapping'!AK32&gt;=841,'(橫掃)RX Mapping'!AK32&lt;=960), (-1)*('(橫掃)RX Mapping'!AK32-960)+120,9999))))))))</f>
        <v>9999</v>
      </c>
      <c r="AL32">
        <f>IF(AND('(橫掃)RX Mapping'!AL32&gt;=1,'(橫掃)RX Mapping'!AL32&lt;=120), ('(橫掃)RX Mapping'!AL32-1),IF(AND('(橫掃)RX Mapping'!AL32&gt;=121,'(橫掃)RX Mapping'!AL32&lt;=240), (-1)*('(橫掃)RX Mapping'!AL32-240),IF(AND('(橫掃)RX Mapping'!AL32&gt;=241,'(橫掃)RX Mapping'!AL32&lt;=360), ('(橫掃)RX Mapping'!AL32-241),IF(AND('(橫掃)RX Mapping'!AL32&gt;=361,'(橫掃)RX Mapping'!AL32&lt;=480), (-1)*('(橫掃)RX Mapping'!AL32-480),IF(AND('(橫掃)RX Mapping'!AL32&gt;=481,'(橫掃)RX Mapping'!AL32&lt;=600), ('(橫掃)RX Mapping'!AL32-361),IF(AND('(橫掃)RX Mapping'!AL32&gt;=601,'(橫掃)RX Mapping'!AL32&lt;=720), (-1)*('(橫掃)RX Mapping'!AL32-720)+120,IF(AND('(橫掃)RX Mapping'!AL32&gt;=721,'(橫掃)RX Mapping'!AL32&lt;=840), ('(橫掃)RX Mapping'!AL32-601),IF(AND('(橫掃)RX Mapping'!AL32&gt;=841,'(橫掃)RX Mapping'!AL32&lt;=960), (-1)*('(橫掃)RX Mapping'!AL32-960)+120,9999))))))))</f>
        <v>9999</v>
      </c>
      <c r="AM32">
        <f>IF(AND('(橫掃)RX Mapping'!AM32&gt;=1,'(橫掃)RX Mapping'!AM32&lt;=120), ('(橫掃)RX Mapping'!AM32-1),IF(AND('(橫掃)RX Mapping'!AM32&gt;=121,'(橫掃)RX Mapping'!AM32&lt;=240), (-1)*('(橫掃)RX Mapping'!AM32-240),IF(AND('(橫掃)RX Mapping'!AM32&gt;=241,'(橫掃)RX Mapping'!AM32&lt;=360), ('(橫掃)RX Mapping'!AM32-241),IF(AND('(橫掃)RX Mapping'!AM32&gt;=361,'(橫掃)RX Mapping'!AM32&lt;=480), (-1)*('(橫掃)RX Mapping'!AM32-480),IF(AND('(橫掃)RX Mapping'!AM32&gt;=481,'(橫掃)RX Mapping'!AM32&lt;=600), ('(橫掃)RX Mapping'!AM32-361),IF(AND('(橫掃)RX Mapping'!AM32&gt;=601,'(橫掃)RX Mapping'!AM32&lt;=720), (-1)*('(橫掃)RX Mapping'!AM32-720)+120,IF(AND('(橫掃)RX Mapping'!AM32&gt;=721,'(橫掃)RX Mapping'!AM32&lt;=840), ('(橫掃)RX Mapping'!AM32-601),IF(AND('(橫掃)RX Mapping'!AM32&gt;=841,'(橫掃)RX Mapping'!AM32&lt;=960), (-1)*('(橫掃)RX Mapping'!AM32-960)+120,9999))))))))</f>
        <v>9999</v>
      </c>
      <c r="AN32">
        <f>IF(AND('(橫掃)RX Mapping'!AN32&gt;=1,'(橫掃)RX Mapping'!AN32&lt;=120), ('(橫掃)RX Mapping'!AN32-1),IF(AND('(橫掃)RX Mapping'!AN32&gt;=121,'(橫掃)RX Mapping'!AN32&lt;=240), (-1)*('(橫掃)RX Mapping'!AN32-240),IF(AND('(橫掃)RX Mapping'!AN32&gt;=241,'(橫掃)RX Mapping'!AN32&lt;=360), ('(橫掃)RX Mapping'!AN32-241),IF(AND('(橫掃)RX Mapping'!AN32&gt;=361,'(橫掃)RX Mapping'!AN32&lt;=480), (-1)*('(橫掃)RX Mapping'!AN32-480),IF(AND('(橫掃)RX Mapping'!AN32&gt;=481,'(橫掃)RX Mapping'!AN32&lt;=600), ('(橫掃)RX Mapping'!AN32-361),IF(AND('(橫掃)RX Mapping'!AN32&gt;=601,'(橫掃)RX Mapping'!AN32&lt;=720), (-1)*('(橫掃)RX Mapping'!AN32-720)+120,IF(AND('(橫掃)RX Mapping'!AN32&gt;=721,'(橫掃)RX Mapping'!AN32&lt;=840), ('(橫掃)RX Mapping'!AN32-601),IF(AND('(橫掃)RX Mapping'!AN32&gt;=841,'(橫掃)RX Mapping'!AN32&lt;=960), (-1)*('(橫掃)RX Mapping'!AN32-960)+120,9999))))))))</f>
        <v>9999</v>
      </c>
      <c r="AO32">
        <f>IF(AND('(橫掃)RX Mapping'!AO32&gt;=1,'(橫掃)RX Mapping'!AO32&lt;=120), ('(橫掃)RX Mapping'!AO32-1),IF(AND('(橫掃)RX Mapping'!AO32&gt;=121,'(橫掃)RX Mapping'!AO32&lt;=240), (-1)*('(橫掃)RX Mapping'!AO32-240),IF(AND('(橫掃)RX Mapping'!AO32&gt;=241,'(橫掃)RX Mapping'!AO32&lt;=360), ('(橫掃)RX Mapping'!AO32-241),IF(AND('(橫掃)RX Mapping'!AO32&gt;=361,'(橫掃)RX Mapping'!AO32&lt;=480), (-1)*('(橫掃)RX Mapping'!AO32-480),IF(AND('(橫掃)RX Mapping'!AO32&gt;=481,'(橫掃)RX Mapping'!AO32&lt;=600), ('(橫掃)RX Mapping'!AO32-361),IF(AND('(橫掃)RX Mapping'!AO32&gt;=601,'(橫掃)RX Mapping'!AO32&lt;=720), (-1)*('(橫掃)RX Mapping'!AO32-720)+120,IF(AND('(橫掃)RX Mapping'!AO32&gt;=721,'(橫掃)RX Mapping'!AO32&lt;=840), ('(橫掃)RX Mapping'!AO32-601),IF(AND('(橫掃)RX Mapping'!AO32&gt;=841,'(橫掃)RX Mapping'!AO32&lt;=960), (-1)*('(橫掃)RX Mapping'!AO32-960)+120,9999))))))))</f>
        <v>9999</v>
      </c>
      <c r="AP32">
        <f>IF(AND('(橫掃)RX Mapping'!AP32&gt;=1,'(橫掃)RX Mapping'!AP32&lt;=120), ('(橫掃)RX Mapping'!AP32-1),IF(AND('(橫掃)RX Mapping'!AP32&gt;=121,'(橫掃)RX Mapping'!AP32&lt;=240), (-1)*('(橫掃)RX Mapping'!AP32-240),IF(AND('(橫掃)RX Mapping'!AP32&gt;=241,'(橫掃)RX Mapping'!AP32&lt;=360), ('(橫掃)RX Mapping'!AP32-241),IF(AND('(橫掃)RX Mapping'!AP32&gt;=361,'(橫掃)RX Mapping'!AP32&lt;=480), (-1)*('(橫掃)RX Mapping'!AP32-480),IF(AND('(橫掃)RX Mapping'!AP32&gt;=481,'(橫掃)RX Mapping'!AP32&lt;=600), ('(橫掃)RX Mapping'!AP32-361),IF(AND('(橫掃)RX Mapping'!AP32&gt;=601,'(橫掃)RX Mapping'!AP32&lt;=720), (-1)*('(橫掃)RX Mapping'!AP32-720)+120,IF(AND('(橫掃)RX Mapping'!AP32&gt;=721,'(橫掃)RX Mapping'!AP32&lt;=840), ('(橫掃)RX Mapping'!AP32-601),IF(AND('(橫掃)RX Mapping'!AP32&gt;=841,'(橫掃)RX Mapping'!AP32&lt;=960), (-1)*('(橫掃)RX Mapping'!AP32-960)+120,9999))))))))</f>
        <v>9999</v>
      </c>
      <c r="AQ32">
        <f>IF(AND('(橫掃)RX Mapping'!AQ32&gt;=1,'(橫掃)RX Mapping'!AQ32&lt;=120), ('(橫掃)RX Mapping'!AQ32-1),IF(AND('(橫掃)RX Mapping'!AQ32&gt;=121,'(橫掃)RX Mapping'!AQ32&lt;=240), (-1)*('(橫掃)RX Mapping'!AQ32-240),IF(AND('(橫掃)RX Mapping'!AQ32&gt;=241,'(橫掃)RX Mapping'!AQ32&lt;=360), ('(橫掃)RX Mapping'!AQ32-241),IF(AND('(橫掃)RX Mapping'!AQ32&gt;=361,'(橫掃)RX Mapping'!AQ32&lt;=480), (-1)*('(橫掃)RX Mapping'!AQ32-480),IF(AND('(橫掃)RX Mapping'!AQ32&gt;=481,'(橫掃)RX Mapping'!AQ32&lt;=600), ('(橫掃)RX Mapping'!AQ32-361),IF(AND('(橫掃)RX Mapping'!AQ32&gt;=601,'(橫掃)RX Mapping'!AQ32&lt;=720), (-1)*('(橫掃)RX Mapping'!AQ32-720)+120,IF(AND('(橫掃)RX Mapping'!AQ32&gt;=721,'(橫掃)RX Mapping'!AQ32&lt;=840), ('(橫掃)RX Mapping'!AQ32-601),IF(AND('(橫掃)RX Mapping'!AQ32&gt;=841,'(橫掃)RX Mapping'!AQ32&lt;=960), (-1)*('(橫掃)RX Mapping'!AQ32-960)+120,9999))))))))</f>
        <v>9999</v>
      </c>
      <c r="AR32">
        <f>IF(AND('(橫掃)RX Mapping'!AR32&gt;=1,'(橫掃)RX Mapping'!AR32&lt;=120), ('(橫掃)RX Mapping'!AR32-1),IF(AND('(橫掃)RX Mapping'!AR32&gt;=121,'(橫掃)RX Mapping'!AR32&lt;=240), (-1)*('(橫掃)RX Mapping'!AR32-240),IF(AND('(橫掃)RX Mapping'!AR32&gt;=241,'(橫掃)RX Mapping'!AR32&lt;=360), ('(橫掃)RX Mapping'!AR32-241),IF(AND('(橫掃)RX Mapping'!AR32&gt;=361,'(橫掃)RX Mapping'!AR32&lt;=480), (-1)*('(橫掃)RX Mapping'!AR32-480),IF(AND('(橫掃)RX Mapping'!AR32&gt;=481,'(橫掃)RX Mapping'!AR32&lt;=600), ('(橫掃)RX Mapping'!AR32-361),IF(AND('(橫掃)RX Mapping'!AR32&gt;=601,'(橫掃)RX Mapping'!AR32&lt;=720), (-1)*('(橫掃)RX Mapping'!AR32-720)+120,IF(AND('(橫掃)RX Mapping'!AR32&gt;=721,'(橫掃)RX Mapping'!AR32&lt;=840), ('(橫掃)RX Mapping'!AR32-601),IF(AND('(橫掃)RX Mapping'!AR32&gt;=841,'(橫掃)RX Mapping'!AR32&lt;=960), (-1)*('(橫掃)RX Mapping'!AR32-960)+120,9999))))))))</f>
        <v>9999</v>
      </c>
      <c r="AS32">
        <f>IF(AND('(橫掃)RX Mapping'!AS32&gt;=1,'(橫掃)RX Mapping'!AS32&lt;=120), ('(橫掃)RX Mapping'!AS32-1),IF(AND('(橫掃)RX Mapping'!AS32&gt;=121,'(橫掃)RX Mapping'!AS32&lt;=240), (-1)*('(橫掃)RX Mapping'!AS32-240),IF(AND('(橫掃)RX Mapping'!AS32&gt;=241,'(橫掃)RX Mapping'!AS32&lt;=360), ('(橫掃)RX Mapping'!AS32-241),IF(AND('(橫掃)RX Mapping'!AS32&gt;=361,'(橫掃)RX Mapping'!AS32&lt;=480), (-1)*('(橫掃)RX Mapping'!AS32-480),IF(AND('(橫掃)RX Mapping'!AS32&gt;=481,'(橫掃)RX Mapping'!AS32&lt;=600), ('(橫掃)RX Mapping'!AS32-361),IF(AND('(橫掃)RX Mapping'!AS32&gt;=601,'(橫掃)RX Mapping'!AS32&lt;=720), (-1)*('(橫掃)RX Mapping'!AS32-720)+120,IF(AND('(橫掃)RX Mapping'!AS32&gt;=721,'(橫掃)RX Mapping'!AS32&lt;=840), ('(橫掃)RX Mapping'!AS32-601),IF(AND('(橫掃)RX Mapping'!AS32&gt;=841,'(橫掃)RX Mapping'!AS32&lt;=960), (-1)*('(橫掃)RX Mapping'!AS32-960)+120,9999))))))))</f>
        <v>9999</v>
      </c>
      <c r="AT32">
        <f>IF(AND('(橫掃)RX Mapping'!AT32&gt;=1,'(橫掃)RX Mapping'!AT32&lt;=120), ('(橫掃)RX Mapping'!AT32-1),IF(AND('(橫掃)RX Mapping'!AT32&gt;=121,'(橫掃)RX Mapping'!AT32&lt;=240), (-1)*('(橫掃)RX Mapping'!AT32-240),IF(AND('(橫掃)RX Mapping'!AT32&gt;=241,'(橫掃)RX Mapping'!AT32&lt;=360), ('(橫掃)RX Mapping'!AT32-241),IF(AND('(橫掃)RX Mapping'!AT32&gt;=361,'(橫掃)RX Mapping'!AT32&lt;=480), (-1)*('(橫掃)RX Mapping'!AT32-480),IF(AND('(橫掃)RX Mapping'!AT32&gt;=481,'(橫掃)RX Mapping'!AT32&lt;=600), ('(橫掃)RX Mapping'!AT32-361),IF(AND('(橫掃)RX Mapping'!AT32&gt;=601,'(橫掃)RX Mapping'!AT32&lt;=720), (-1)*('(橫掃)RX Mapping'!AT32-720)+120,IF(AND('(橫掃)RX Mapping'!AT32&gt;=721,'(橫掃)RX Mapping'!AT32&lt;=840), ('(橫掃)RX Mapping'!AT32-601),IF(AND('(橫掃)RX Mapping'!AT32&gt;=841,'(橫掃)RX Mapping'!AT32&lt;=960), (-1)*('(橫掃)RX Mapping'!AT32-960)+120,9999))))))))</f>
        <v>9999</v>
      </c>
      <c r="AU32">
        <f>IF(AND('(橫掃)RX Mapping'!AK3&gt;=1,'(橫掃)RX Mapping'!AK3&lt;=120), ('(橫掃)RX Mapping'!AK3-1),IF(AND('(橫掃)RX Mapping'!AK3&gt;=121,'(橫掃)RX Mapping'!AK3&lt;=240), (-1)*('(橫掃)RX Mapping'!AK3-240),IF(AND('(橫掃)RX Mapping'!AK3&gt;=241,'(橫掃)RX Mapping'!AK3&lt;=360), ('(橫掃)RX Mapping'!AK3-241),IF(AND('(橫掃)RX Mapping'!AK3&gt;=361,'(橫掃)RX Mapping'!AK3&lt;=480), (-1)*('(橫掃)RX Mapping'!AK3-480),IF(AND('(橫掃)RX Mapping'!AK3&gt;=481,'(橫掃)RX Mapping'!AK3&lt;=600), ('(橫掃)RX Mapping'!AK3-361),IF(AND('(橫掃)RX Mapping'!AK3&gt;=601,'(橫掃)RX Mapping'!AK3&lt;=720), (-1)*('(橫掃)RX Mapping'!AK3-720)+120,IF(AND('(橫掃)RX Mapping'!AK3&gt;=721,'(橫掃)RX Mapping'!AK3&lt;=840), ('(橫掃)RX Mapping'!AK3-601),IF(AND('(橫掃)RX Mapping'!AK3&gt;=841,'(橫掃)RX Mapping'!AK3&lt;=960), (-1)*('(橫掃)RX Mapping'!AK3-960)+120,9999))))))))</f>
        <v>9999</v>
      </c>
      <c r="AV32">
        <f>IF(AND('(橫掃)RX Mapping'!AV32&gt;=1,'(橫掃)RX Mapping'!AV32&lt;=120), ('(橫掃)RX Mapping'!AV32-1),IF(AND('(橫掃)RX Mapping'!AV32&gt;=121,'(橫掃)RX Mapping'!AV32&lt;=240), (-1)*('(橫掃)RX Mapping'!AV32-240),IF(AND('(橫掃)RX Mapping'!AV32&gt;=241,'(橫掃)RX Mapping'!AV32&lt;=360), ('(橫掃)RX Mapping'!AV32-241),IF(AND('(橫掃)RX Mapping'!AV32&gt;=361,'(橫掃)RX Mapping'!AV32&lt;=480), (-1)*('(橫掃)RX Mapping'!AV32-480),IF(AND('(橫掃)RX Mapping'!AV32&gt;=481,'(橫掃)RX Mapping'!AV32&lt;=600), ('(橫掃)RX Mapping'!AV32-361),IF(AND('(橫掃)RX Mapping'!AV32&gt;=601,'(橫掃)RX Mapping'!AV32&lt;=720), (-1)*('(橫掃)RX Mapping'!AV32-720)+120,IF(AND('(橫掃)RX Mapping'!AV32&gt;=721,'(橫掃)RX Mapping'!AV32&lt;=840), ('(橫掃)RX Mapping'!AV32-601),IF(AND('(橫掃)RX Mapping'!AV32&gt;=841,'(橫掃)RX Mapping'!AV32&lt;=960), (-1)*('(橫掃)RX Mapping'!AV32-960)+120,9999))))))))</f>
        <v>9999</v>
      </c>
      <c r="AW32">
        <f>IF(AND('(橫掃)RX Mapping'!AW32&gt;=1,'(橫掃)RX Mapping'!AW32&lt;=120), ('(橫掃)RX Mapping'!AW32-1),IF(AND('(橫掃)RX Mapping'!AW32&gt;=121,'(橫掃)RX Mapping'!AW32&lt;=240), (-1)*('(橫掃)RX Mapping'!AW32-240),IF(AND('(橫掃)RX Mapping'!AW32&gt;=241,'(橫掃)RX Mapping'!AW32&lt;=360), ('(橫掃)RX Mapping'!AW32-241),IF(AND('(橫掃)RX Mapping'!AW32&gt;=361,'(橫掃)RX Mapping'!AW32&lt;=480), (-1)*('(橫掃)RX Mapping'!AW32-480),IF(AND('(橫掃)RX Mapping'!AW32&gt;=481,'(橫掃)RX Mapping'!AW32&lt;=600), ('(橫掃)RX Mapping'!AW32-361),IF(AND('(橫掃)RX Mapping'!AW32&gt;=601,'(橫掃)RX Mapping'!AW32&lt;=720), (-1)*('(橫掃)RX Mapping'!AW32-720)+120,IF(AND('(橫掃)RX Mapping'!AW32&gt;=721,'(橫掃)RX Mapping'!AW32&lt;=840), ('(橫掃)RX Mapping'!AW32-601),IF(AND('(橫掃)RX Mapping'!AW32&gt;=841,'(橫掃)RX Mapping'!AW32&lt;=960), (-1)*('(橫掃)RX Mapping'!AW32-960)+120,9999))))))))</f>
        <v>9999</v>
      </c>
      <c r="AX32">
        <f>IF(AND('(橫掃)RX Mapping'!AX32&gt;=1,'(橫掃)RX Mapping'!AX32&lt;=120), ('(橫掃)RX Mapping'!AX32-1),IF(AND('(橫掃)RX Mapping'!AX32&gt;=121,'(橫掃)RX Mapping'!AX32&lt;=240), (-1)*('(橫掃)RX Mapping'!AX32-240),IF(AND('(橫掃)RX Mapping'!AX32&gt;=241,'(橫掃)RX Mapping'!AX32&lt;=360), ('(橫掃)RX Mapping'!AX32-241),IF(AND('(橫掃)RX Mapping'!AX32&gt;=361,'(橫掃)RX Mapping'!AX32&lt;=480), (-1)*('(橫掃)RX Mapping'!AX32-480),IF(AND('(橫掃)RX Mapping'!AX32&gt;=481,'(橫掃)RX Mapping'!AX32&lt;=600), ('(橫掃)RX Mapping'!AX32-361),IF(AND('(橫掃)RX Mapping'!AX32&gt;=601,'(橫掃)RX Mapping'!AX32&lt;=720), (-1)*('(橫掃)RX Mapping'!AX32-720)+120,IF(AND('(橫掃)RX Mapping'!AX32&gt;=721,'(橫掃)RX Mapping'!AX32&lt;=840), ('(橫掃)RX Mapping'!AX32-601),IF(AND('(橫掃)RX Mapping'!AX32&gt;=841,'(橫掃)RX Mapping'!AX32&lt;=960), (-1)*('(橫掃)RX Mapping'!AX32-960)+120,9999))))))))</f>
        <v>9999</v>
      </c>
      <c r="AY32">
        <f>IF(AND('(橫掃)RX Mapping'!AY32&gt;=1,'(橫掃)RX Mapping'!AY32&lt;=120), ('(橫掃)RX Mapping'!AY32-1),IF(AND('(橫掃)RX Mapping'!AY32&gt;=121,'(橫掃)RX Mapping'!AY32&lt;=240), (-1)*('(橫掃)RX Mapping'!AY32-240),IF(AND('(橫掃)RX Mapping'!AY32&gt;=241,'(橫掃)RX Mapping'!AY32&lt;=360), ('(橫掃)RX Mapping'!AY32-241),IF(AND('(橫掃)RX Mapping'!AY32&gt;=361,'(橫掃)RX Mapping'!AY32&lt;=480), (-1)*('(橫掃)RX Mapping'!AY32-480),IF(AND('(橫掃)RX Mapping'!AY32&gt;=481,'(橫掃)RX Mapping'!AY32&lt;=600), ('(橫掃)RX Mapping'!AY32-361),IF(AND('(橫掃)RX Mapping'!AY32&gt;=601,'(橫掃)RX Mapping'!AY32&lt;=720), (-1)*('(橫掃)RX Mapping'!AY32-720)+120,IF(AND('(橫掃)RX Mapping'!AY32&gt;=721,'(橫掃)RX Mapping'!AY32&lt;=840), ('(橫掃)RX Mapping'!AY32-601),IF(AND('(橫掃)RX Mapping'!AY32&gt;=841,'(橫掃)RX Mapping'!AY32&lt;=960), (-1)*('(橫掃)RX Mapping'!AY32-960)+120,9999))))))))</f>
        <v>9999</v>
      </c>
      <c r="AZ32">
        <f>IF(AND('(橫掃)RX Mapping'!AZ32&gt;=1,'(橫掃)RX Mapping'!AZ32&lt;=120), ('(橫掃)RX Mapping'!AZ32-1),IF(AND('(橫掃)RX Mapping'!AZ32&gt;=121,'(橫掃)RX Mapping'!AZ32&lt;=240), (-1)*('(橫掃)RX Mapping'!AZ32-240),IF(AND('(橫掃)RX Mapping'!AZ32&gt;=241,'(橫掃)RX Mapping'!AZ32&lt;=360), ('(橫掃)RX Mapping'!AZ32-241),IF(AND('(橫掃)RX Mapping'!AZ32&gt;=361,'(橫掃)RX Mapping'!AZ32&lt;=480), (-1)*('(橫掃)RX Mapping'!AZ32-480),IF(AND('(橫掃)RX Mapping'!AZ32&gt;=481,'(橫掃)RX Mapping'!AZ32&lt;=600), ('(橫掃)RX Mapping'!AZ32-361),IF(AND('(橫掃)RX Mapping'!AZ32&gt;=601,'(橫掃)RX Mapping'!AZ32&lt;=720), (-1)*('(橫掃)RX Mapping'!AZ32-720)+120,IF(AND('(橫掃)RX Mapping'!AZ32&gt;=721,'(橫掃)RX Mapping'!AZ32&lt;=840), ('(橫掃)RX Mapping'!AZ32-601),IF(AND('(橫掃)RX Mapping'!AZ32&gt;=841,'(橫掃)RX Mapping'!AZ32&lt;=960), (-1)*('(橫掃)RX Mapping'!AZ32-960)+120,9999))))))))</f>
        <v>9999</v>
      </c>
      <c r="BA32">
        <f>IF(AND('(橫掃)RX Mapping'!BA32&gt;=1,'(橫掃)RX Mapping'!BA32&lt;=120), ('(橫掃)RX Mapping'!BA32-1),IF(AND('(橫掃)RX Mapping'!BA32&gt;=121,'(橫掃)RX Mapping'!BA32&lt;=240), (-1)*('(橫掃)RX Mapping'!BA32-240),IF(AND('(橫掃)RX Mapping'!BA32&gt;=241,'(橫掃)RX Mapping'!BA32&lt;=360), ('(橫掃)RX Mapping'!BA32-241),IF(AND('(橫掃)RX Mapping'!BA32&gt;=361,'(橫掃)RX Mapping'!BA32&lt;=480), (-1)*('(橫掃)RX Mapping'!BA32-480),IF(AND('(橫掃)RX Mapping'!BA32&gt;=481,'(橫掃)RX Mapping'!BA32&lt;=600), ('(橫掃)RX Mapping'!BA32-361),IF(AND('(橫掃)RX Mapping'!BA32&gt;=601,'(橫掃)RX Mapping'!BA32&lt;=720), (-1)*('(橫掃)RX Mapping'!BA32-720)+120,IF(AND('(橫掃)RX Mapping'!BA32&gt;=721,'(橫掃)RX Mapping'!BA32&lt;=840), ('(橫掃)RX Mapping'!BA32-601),IF(AND('(橫掃)RX Mapping'!BA32&gt;=841,'(橫掃)RX Mapping'!BA32&lt;=960), (-1)*('(橫掃)RX Mapping'!BA32-960)+120,9999))))))))</f>
        <v>9999</v>
      </c>
      <c r="BB32">
        <f>IF(AND('(橫掃)RX Mapping'!BB32&gt;=1,'(橫掃)RX Mapping'!BB32&lt;=120), ('(橫掃)RX Mapping'!BB32-1),IF(AND('(橫掃)RX Mapping'!BB32&gt;=121,'(橫掃)RX Mapping'!BB32&lt;=240), (-1)*('(橫掃)RX Mapping'!BB32-240),IF(AND('(橫掃)RX Mapping'!BB32&gt;=241,'(橫掃)RX Mapping'!BB32&lt;=360), ('(橫掃)RX Mapping'!BB32-241),IF(AND('(橫掃)RX Mapping'!BB32&gt;=361,'(橫掃)RX Mapping'!BB32&lt;=480), (-1)*('(橫掃)RX Mapping'!BB32-480),IF(AND('(橫掃)RX Mapping'!BB32&gt;=481,'(橫掃)RX Mapping'!BB32&lt;=600), ('(橫掃)RX Mapping'!BB32-361),IF(AND('(橫掃)RX Mapping'!BB32&gt;=601,'(橫掃)RX Mapping'!BB32&lt;=720), (-1)*('(橫掃)RX Mapping'!BB32-720)+120,IF(AND('(橫掃)RX Mapping'!BB32&gt;=721,'(橫掃)RX Mapping'!BB32&lt;=840), ('(橫掃)RX Mapping'!BB32-601),IF(AND('(橫掃)RX Mapping'!BB32&gt;=841,'(橫掃)RX Mapping'!BB32&lt;=960), (-1)*('(橫掃)RX Mapping'!BB32-960)+120,9999))))))))</f>
        <v>9999</v>
      </c>
      <c r="BC32">
        <f>IF(AND('(橫掃)RX Mapping'!BC32&gt;=1,'(橫掃)RX Mapping'!BC32&lt;=120), ('(橫掃)RX Mapping'!BC32-1),IF(AND('(橫掃)RX Mapping'!BC32&gt;=121,'(橫掃)RX Mapping'!BC32&lt;=240), (-1)*('(橫掃)RX Mapping'!BC32-240),IF(AND('(橫掃)RX Mapping'!BC32&gt;=241,'(橫掃)RX Mapping'!BC32&lt;=360), ('(橫掃)RX Mapping'!BC32-241),IF(AND('(橫掃)RX Mapping'!BC32&gt;=361,'(橫掃)RX Mapping'!BC32&lt;=480), (-1)*('(橫掃)RX Mapping'!BC32-480),IF(AND('(橫掃)RX Mapping'!BC32&gt;=481,'(橫掃)RX Mapping'!BC32&lt;=600), ('(橫掃)RX Mapping'!BC32-361),IF(AND('(橫掃)RX Mapping'!BC32&gt;=601,'(橫掃)RX Mapping'!BC32&lt;=720), (-1)*('(橫掃)RX Mapping'!BC32-720)+120,IF(AND('(橫掃)RX Mapping'!BC32&gt;=721,'(橫掃)RX Mapping'!BC32&lt;=840), ('(橫掃)RX Mapping'!BC32-601),IF(AND('(橫掃)RX Mapping'!BC32&gt;=841,'(橫掃)RX Mapping'!BC32&lt;=960), (-1)*('(橫掃)RX Mapping'!BC32-960)+120,9999))))))))</f>
        <v>9999</v>
      </c>
      <c r="BD32">
        <f>IF(AND('(橫掃)RX Mapping'!BD32&gt;=1,'(橫掃)RX Mapping'!BD32&lt;=120), ('(橫掃)RX Mapping'!BD32-1),IF(AND('(橫掃)RX Mapping'!BD32&gt;=121,'(橫掃)RX Mapping'!BD32&lt;=240), (-1)*('(橫掃)RX Mapping'!BD32-240),IF(AND('(橫掃)RX Mapping'!BD32&gt;=241,'(橫掃)RX Mapping'!BD32&lt;=360), ('(橫掃)RX Mapping'!BD32-241),IF(AND('(橫掃)RX Mapping'!BD32&gt;=361,'(橫掃)RX Mapping'!BD32&lt;=480), (-1)*('(橫掃)RX Mapping'!BD32-480),IF(AND('(橫掃)RX Mapping'!BD32&gt;=481,'(橫掃)RX Mapping'!BD32&lt;=600), ('(橫掃)RX Mapping'!BD32-361),IF(AND('(橫掃)RX Mapping'!BD32&gt;=601,'(橫掃)RX Mapping'!BD32&lt;=720), (-1)*('(橫掃)RX Mapping'!BD32-720)+120,IF(AND('(橫掃)RX Mapping'!BD32&gt;=721,'(橫掃)RX Mapping'!BD32&lt;=840), ('(橫掃)RX Mapping'!BD32-601),IF(AND('(橫掃)RX Mapping'!BD32&gt;=841,'(橫掃)RX Mapping'!BD32&lt;=960), (-1)*('(橫掃)RX Mapping'!BD32-960)+120,9999))))))))</f>
        <v>9999</v>
      </c>
      <c r="BE32">
        <f>IF(AND('(橫掃)RX Mapping'!BE32&gt;=1,'(橫掃)RX Mapping'!BE32&lt;=120), ('(橫掃)RX Mapping'!BE32-1),IF(AND('(橫掃)RX Mapping'!BE32&gt;=121,'(橫掃)RX Mapping'!BE32&lt;=240), (-1)*('(橫掃)RX Mapping'!BE32-240),IF(AND('(橫掃)RX Mapping'!BE32&gt;=241,'(橫掃)RX Mapping'!BE32&lt;=360), ('(橫掃)RX Mapping'!BE32-241),IF(AND('(橫掃)RX Mapping'!BE32&gt;=361,'(橫掃)RX Mapping'!BE32&lt;=480), (-1)*('(橫掃)RX Mapping'!BE32-480),IF(AND('(橫掃)RX Mapping'!BE32&gt;=481,'(橫掃)RX Mapping'!BE32&lt;=600), ('(橫掃)RX Mapping'!BE32-361),IF(AND('(橫掃)RX Mapping'!BE32&gt;=601,'(橫掃)RX Mapping'!BE32&lt;=720), (-1)*('(橫掃)RX Mapping'!BE32-720)+120,IF(AND('(橫掃)RX Mapping'!BE32&gt;=721,'(橫掃)RX Mapping'!BE32&lt;=840), ('(橫掃)RX Mapping'!BE32-601),IF(AND('(橫掃)RX Mapping'!BE32&gt;=841,'(橫掃)RX Mapping'!BE32&lt;=960), (-1)*('(橫掃)RX Mapping'!BE32-960)+120,9999))))))))</f>
        <v>9999</v>
      </c>
      <c r="BF32">
        <f>IF(AND('(橫掃)RX Mapping'!BF32&gt;=1,'(橫掃)RX Mapping'!BF32&lt;=120), ('(橫掃)RX Mapping'!BF32-1),IF(AND('(橫掃)RX Mapping'!BF32&gt;=121,'(橫掃)RX Mapping'!BF32&lt;=240), (-1)*('(橫掃)RX Mapping'!BF32-240),IF(AND('(橫掃)RX Mapping'!BF32&gt;=241,'(橫掃)RX Mapping'!BF32&lt;=360), ('(橫掃)RX Mapping'!BF32-241),IF(AND('(橫掃)RX Mapping'!BF32&gt;=361,'(橫掃)RX Mapping'!BF32&lt;=480), (-1)*('(橫掃)RX Mapping'!BF32-480),IF(AND('(橫掃)RX Mapping'!BF32&gt;=481,'(橫掃)RX Mapping'!BF32&lt;=600), ('(橫掃)RX Mapping'!BF32-361),IF(AND('(橫掃)RX Mapping'!BF32&gt;=601,'(橫掃)RX Mapping'!BF32&lt;=720), (-1)*('(橫掃)RX Mapping'!BF32-720)+120,IF(AND('(橫掃)RX Mapping'!BF32&gt;=721,'(橫掃)RX Mapping'!BF32&lt;=840), ('(橫掃)RX Mapping'!BF32-601),IF(AND('(橫掃)RX Mapping'!BF32&gt;=841,'(橫掃)RX Mapping'!BF32&lt;=960), (-1)*('(橫掃)RX Mapping'!BF32-960)+120,9999))))))))</f>
        <v>9999</v>
      </c>
      <c r="BG32">
        <f>IF(AND('(橫掃)RX Mapping'!BG32&gt;=1,'(橫掃)RX Mapping'!BG32&lt;=120), ('(橫掃)RX Mapping'!BG32-1),IF(AND('(橫掃)RX Mapping'!BG32&gt;=121,'(橫掃)RX Mapping'!BG32&lt;=240), (-1)*('(橫掃)RX Mapping'!BG32-240),IF(AND('(橫掃)RX Mapping'!BG32&gt;=241,'(橫掃)RX Mapping'!BG32&lt;=360), ('(橫掃)RX Mapping'!BG32-241),IF(AND('(橫掃)RX Mapping'!BG32&gt;=361,'(橫掃)RX Mapping'!BG32&lt;=480), (-1)*('(橫掃)RX Mapping'!BG32-480),IF(AND('(橫掃)RX Mapping'!BG32&gt;=481,'(橫掃)RX Mapping'!BG32&lt;=600), ('(橫掃)RX Mapping'!BG32-361),IF(AND('(橫掃)RX Mapping'!BG32&gt;=601,'(橫掃)RX Mapping'!BG32&lt;=720), (-1)*('(橫掃)RX Mapping'!BG32-720)+120,IF(AND('(橫掃)RX Mapping'!BG32&gt;=721,'(橫掃)RX Mapping'!BG32&lt;=840), ('(橫掃)RX Mapping'!BG32-601),IF(AND('(橫掃)RX Mapping'!BG32&gt;=841,'(橫掃)RX Mapping'!BG32&lt;=960), (-1)*('(橫掃)RX Mapping'!BG32-960)+120,9999))))))))</f>
        <v>9999</v>
      </c>
      <c r="BH32">
        <f>IF(AND('(橫掃)RX Mapping'!BH32&gt;=1,'(橫掃)RX Mapping'!BH32&lt;=120), ('(橫掃)RX Mapping'!BH32-1),IF(AND('(橫掃)RX Mapping'!BH32&gt;=121,'(橫掃)RX Mapping'!BH32&lt;=240), (-1)*('(橫掃)RX Mapping'!BH32-240),IF(AND('(橫掃)RX Mapping'!BH32&gt;=241,'(橫掃)RX Mapping'!BH32&lt;=360), ('(橫掃)RX Mapping'!BH32-241),IF(AND('(橫掃)RX Mapping'!BH32&gt;=361,'(橫掃)RX Mapping'!BH32&lt;=480), (-1)*('(橫掃)RX Mapping'!BH32-480),IF(AND('(橫掃)RX Mapping'!BH32&gt;=481,'(橫掃)RX Mapping'!BH32&lt;=600), ('(橫掃)RX Mapping'!BH32-361),IF(AND('(橫掃)RX Mapping'!BH32&gt;=601,'(橫掃)RX Mapping'!BH32&lt;=720), (-1)*('(橫掃)RX Mapping'!BH32-720)+120,IF(AND('(橫掃)RX Mapping'!BH32&gt;=721,'(橫掃)RX Mapping'!BH32&lt;=840), ('(橫掃)RX Mapping'!BH32-601),IF(AND('(橫掃)RX Mapping'!BH32&gt;=841,'(橫掃)RX Mapping'!BH32&lt;=960), (-1)*('(橫掃)RX Mapping'!BH32-960)+120,9999))))))))</f>
        <v>9999</v>
      </c>
      <c r="BI32">
        <f>IF(AND('(橫掃)RX Mapping'!BI32&gt;=1,'(橫掃)RX Mapping'!BI32&lt;=120), ('(橫掃)RX Mapping'!BI32-1),IF(AND('(橫掃)RX Mapping'!BI32&gt;=121,'(橫掃)RX Mapping'!BI32&lt;=240), (-1)*('(橫掃)RX Mapping'!BI32-240),IF(AND('(橫掃)RX Mapping'!BI32&gt;=241,'(橫掃)RX Mapping'!BI32&lt;=360), ('(橫掃)RX Mapping'!BI32-241),IF(AND('(橫掃)RX Mapping'!BI32&gt;=361,'(橫掃)RX Mapping'!BI32&lt;=480), (-1)*('(橫掃)RX Mapping'!BI32-480),IF(AND('(橫掃)RX Mapping'!BI32&gt;=481,'(橫掃)RX Mapping'!BI32&lt;=600), ('(橫掃)RX Mapping'!BI32-361),IF(AND('(橫掃)RX Mapping'!BI32&gt;=601,'(橫掃)RX Mapping'!BI32&lt;=720), (-1)*('(橫掃)RX Mapping'!BI32-720)+120,IF(AND('(橫掃)RX Mapping'!BI32&gt;=721,'(橫掃)RX Mapping'!BI32&lt;=840), ('(橫掃)RX Mapping'!BI32-601),IF(AND('(橫掃)RX Mapping'!BI32&gt;=841,'(橫掃)RX Mapping'!BI32&lt;=960), (-1)*('(橫掃)RX Mapping'!BI32-960)+120,9999))))))))</f>
        <v>9999</v>
      </c>
    </row>
    <row r="33" spans="1:61" x14ac:dyDescent="0.25">
      <c r="A33" s="20">
        <v>32</v>
      </c>
      <c r="B33">
        <f>IF(AND('(橫掃)RX Mapping'!B33&gt;=1,'(橫掃)RX Mapping'!B33&lt;=120), ('(橫掃)RX Mapping'!B33-1),IF(AND('(橫掃)RX Mapping'!B33&gt;=121,'(橫掃)RX Mapping'!B33&lt;=240), (-1)*('(橫掃)RX Mapping'!B33-240),IF(AND('(橫掃)RX Mapping'!B33&gt;=241,'(橫掃)RX Mapping'!B33&lt;=360), ('(橫掃)RX Mapping'!B33-241),IF(AND('(橫掃)RX Mapping'!B33&gt;=361,'(橫掃)RX Mapping'!B33&lt;=480), (-1)*('(橫掃)RX Mapping'!B33-480),IF(AND('(橫掃)RX Mapping'!B33&gt;=481,'(橫掃)RX Mapping'!B33&lt;=600), ('(橫掃)RX Mapping'!B33-361),IF(AND('(橫掃)RX Mapping'!B33&gt;=601,'(橫掃)RX Mapping'!B33&lt;=720), (-1)*('(橫掃)RX Mapping'!B33-720)+120,IF(AND('(橫掃)RX Mapping'!B33&gt;=721,'(橫掃)RX Mapping'!B33&lt;=840), ('(橫掃)RX Mapping'!B33-601),IF(AND('(橫掃)RX Mapping'!B33&gt;=841,'(橫掃)RX Mapping'!B33&lt;=960), (-1)*('(橫掃)RX Mapping'!B33-960)+120,9999))))))))</f>
        <v>31</v>
      </c>
      <c r="C33">
        <f>IF(AND('(橫掃)RX Mapping'!C33&gt;=1,'(橫掃)RX Mapping'!C33&lt;=120), ('(橫掃)RX Mapping'!C33-1),IF(AND('(橫掃)RX Mapping'!C33&gt;=121,'(橫掃)RX Mapping'!C33&lt;=240), (-1)*('(橫掃)RX Mapping'!C33-240),IF(AND('(橫掃)RX Mapping'!C33&gt;=241,'(橫掃)RX Mapping'!C33&lt;=360), ('(橫掃)RX Mapping'!C33-241),IF(AND('(橫掃)RX Mapping'!C33&gt;=361,'(橫掃)RX Mapping'!C33&lt;=480), (-1)*('(橫掃)RX Mapping'!C33-480),IF(AND('(橫掃)RX Mapping'!C33&gt;=481,'(橫掃)RX Mapping'!C33&lt;=600), ('(橫掃)RX Mapping'!C33-361),IF(AND('(橫掃)RX Mapping'!C33&gt;=601,'(橫掃)RX Mapping'!C33&lt;=720), (-1)*('(橫掃)RX Mapping'!C33-720)+120,IF(AND('(橫掃)RX Mapping'!C33&gt;=721,'(橫掃)RX Mapping'!C33&lt;=840), ('(橫掃)RX Mapping'!C33-601),IF(AND('(橫掃)RX Mapping'!C33&gt;=841,'(橫掃)RX Mapping'!C33&lt;=960), (-1)*('(橫掃)RX Mapping'!C33-960)+120,9999))))))))</f>
        <v>63</v>
      </c>
      <c r="D33">
        <f>IF(AND('(橫掃)RX Mapping'!D33&gt;=1,'(橫掃)RX Mapping'!D33&lt;=120), ('(橫掃)RX Mapping'!D33-1),IF(AND('(橫掃)RX Mapping'!D33&gt;=121,'(橫掃)RX Mapping'!D33&lt;=240), (-1)*('(橫掃)RX Mapping'!D33-240),IF(AND('(橫掃)RX Mapping'!D33&gt;=241,'(橫掃)RX Mapping'!D33&lt;=360), ('(橫掃)RX Mapping'!D33-241),IF(AND('(橫掃)RX Mapping'!D33&gt;=361,'(橫掃)RX Mapping'!D33&lt;=480), (-1)*('(橫掃)RX Mapping'!D33-480),IF(AND('(橫掃)RX Mapping'!D33&gt;=481,'(橫掃)RX Mapping'!D33&lt;=600), ('(橫掃)RX Mapping'!D33-361),IF(AND('(橫掃)RX Mapping'!D33&gt;=601,'(橫掃)RX Mapping'!D33&lt;=720), (-1)*('(橫掃)RX Mapping'!D33-720)+120,IF(AND('(橫掃)RX Mapping'!D33&gt;=721,'(橫掃)RX Mapping'!D33&lt;=840), ('(橫掃)RX Mapping'!D33-601),IF(AND('(橫掃)RX Mapping'!D33&gt;=841,'(橫掃)RX Mapping'!D33&lt;=960), (-1)*('(橫掃)RX Mapping'!D33-960)+120,9999))))))))</f>
        <v>95</v>
      </c>
      <c r="E33">
        <f>IF(AND('(橫掃)RX Mapping'!E33&gt;=1,'(橫掃)RX Mapping'!E33&lt;=120), ('(橫掃)RX Mapping'!E33-1),IF(AND('(橫掃)RX Mapping'!E33&gt;=121,'(橫掃)RX Mapping'!E33&lt;=240), (-1)*('(橫掃)RX Mapping'!E33-240),IF(AND('(橫掃)RX Mapping'!E33&gt;=241,'(橫掃)RX Mapping'!E33&lt;=360), ('(橫掃)RX Mapping'!E33-241),IF(AND('(橫掃)RX Mapping'!E33&gt;=361,'(橫掃)RX Mapping'!E33&lt;=480), (-1)*('(橫掃)RX Mapping'!E33-480),IF(AND('(橫掃)RX Mapping'!E33&gt;=481,'(橫掃)RX Mapping'!E33&lt;=600), ('(橫掃)RX Mapping'!E33-361),IF(AND('(橫掃)RX Mapping'!E33&gt;=601,'(橫掃)RX Mapping'!E33&lt;=720), (-1)*('(橫掃)RX Mapping'!E33-720)+120,IF(AND('(橫掃)RX Mapping'!E33&gt;=721,'(橫掃)RX Mapping'!E33&lt;=840), ('(橫掃)RX Mapping'!E33-601),IF(AND('(橫掃)RX Mapping'!E33&gt;=841,'(橫掃)RX Mapping'!E33&lt;=960), (-1)*('(橫掃)RX Mapping'!E33-960)+120,9999))))))))</f>
        <v>112</v>
      </c>
      <c r="F33">
        <f>IF(AND('(橫掃)RX Mapping'!F33&gt;=1,'(橫掃)RX Mapping'!F33&lt;=120), ('(橫掃)RX Mapping'!F33-1),IF(AND('(橫掃)RX Mapping'!F33&gt;=121,'(橫掃)RX Mapping'!F33&lt;=240), (-1)*('(橫掃)RX Mapping'!F33-240),IF(AND('(橫掃)RX Mapping'!F33&gt;=241,'(橫掃)RX Mapping'!F33&lt;=360), ('(橫掃)RX Mapping'!F33-241),IF(AND('(橫掃)RX Mapping'!F33&gt;=361,'(橫掃)RX Mapping'!F33&lt;=480), (-1)*('(橫掃)RX Mapping'!F33-480),IF(AND('(橫掃)RX Mapping'!F33&gt;=481,'(橫掃)RX Mapping'!F33&lt;=600), ('(橫掃)RX Mapping'!F33-361),IF(AND('(橫掃)RX Mapping'!F33&gt;=601,'(橫掃)RX Mapping'!F33&lt;=720), (-1)*('(橫掃)RX Mapping'!F33-720)+120,IF(AND('(橫掃)RX Mapping'!F33&gt;=721,'(橫掃)RX Mapping'!F33&lt;=840), ('(橫掃)RX Mapping'!F33-601),IF(AND('(橫掃)RX Mapping'!F33&gt;=841,'(橫掃)RX Mapping'!F33&lt;=960), (-1)*('(橫掃)RX Mapping'!F33-960)+120,9999))))))))</f>
        <v>80</v>
      </c>
      <c r="G33">
        <f>IF(AND('(橫掃)RX Mapping'!G33&gt;=1,'(橫掃)RX Mapping'!G33&lt;=120), ('(橫掃)RX Mapping'!G33-1),IF(AND('(橫掃)RX Mapping'!G33&gt;=121,'(橫掃)RX Mapping'!G33&lt;=240), (-1)*('(橫掃)RX Mapping'!G33-240),IF(AND('(橫掃)RX Mapping'!G33&gt;=241,'(橫掃)RX Mapping'!G33&lt;=360), ('(橫掃)RX Mapping'!G33-241),IF(AND('(橫掃)RX Mapping'!G33&gt;=361,'(橫掃)RX Mapping'!G33&lt;=480), (-1)*('(橫掃)RX Mapping'!G33-480),IF(AND('(橫掃)RX Mapping'!G33&gt;=481,'(橫掃)RX Mapping'!G33&lt;=600), ('(橫掃)RX Mapping'!G33-361),IF(AND('(橫掃)RX Mapping'!G33&gt;=601,'(橫掃)RX Mapping'!G33&lt;=720), (-1)*('(橫掃)RX Mapping'!G33-720)+120,IF(AND('(橫掃)RX Mapping'!G33&gt;=721,'(橫掃)RX Mapping'!G33&lt;=840), ('(橫掃)RX Mapping'!G33-601),IF(AND('(橫掃)RX Mapping'!G33&gt;=841,'(橫掃)RX Mapping'!G33&lt;=960), (-1)*('(橫掃)RX Mapping'!G33-960)+120,9999))))))))</f>
        <v>48</v>
      </c>
      <c r="H33">
        <f>IF(AND('(橫掃)RX Mapping'!H33&gt;=1,'(橫掃)RX Mapping'!H33&lt;=120), ('(橫掃)RX Mapping'!H33-1),IF(AND('(橫掃)RX Mapping'!H33&gt;=121,'(橫掃)RX Mapping'!H33&lt;=240), (-1)*('(橫掃)RX Mapping'!H33-240),IF(AND('(橫掃)RX Mapping'!H33&gt;=241,'(橫掃)RX Mapping'!H33&lt;=360), ('(橫掃)RX Mapping'!H33-241),IF(AND('(橫掃)RX Mapping'!H33&gt;=361,'(橫掃)RX Mapping'!H33&lt;=480), (-1)*('(橫掃)RX Mapping'!H33-480),IF(AND('(橫掃)RX Mapping'!H33&gt;=481,'(橫掃)RX Mapping'!H33&lt;=600), ('(橫掃)RX Mapping'!H33-361),IF(AND('(橫掃)RX Mapping'!H33&gt;=601,'(橫掃)RX Mapping'!H33&lt;=720), (-1)*('(橫掃)RX Mapping'!H33-720)+120,IF(AND('(橫掃)RX Mapping'!H33&gt;=721,'(橫掃)RX Mapping'!H33&lt;=840), ('(橫掃)RX Mapping'!H33-601),IF(AND('(橫掃)RX Mapping'!H33&gt;=841,'(橫掃)RX Mapping'!H33&lt;=960), (-1)*('(橫掃)RX Mapping'!H33-960)+120,9999))))))))</f>
        <v>16</v>
      </c>
      <c r="I33">
        <f>IF(AND('(橫掃)RX Mapping'!I33&gt;=1,'(橫掃)RX Mapping'!I33&lt;=120), ('(橫掃)RX Mapping'!I33-1),IF(AND('(橫掃)RX Mapping'!I33&gt;=121,'(橫掃)RX Mapping'!I33&lt;=240), (-1)*('(橫掃)RX Mapping'!I33-240),IF(AND('(橫掃)RX Mapping'!I33&gt;=241,'(橫掃)RX Mapping'!I33&lt;=360), ('(橫掃)RX Mapping'!I33-241),IF(AND('(橫掃)RX Mapping'!I33&gt;=361,'(橫掃)RX Mapping'!I33&lt;=480), (-1)*('(橫掃)RX Mapping'!I33-480),IF(AND('(橫掃)RX Mapping'!I33&gt;=481,'(橫掃)RX Mapping'!I33&lt;=600), ('(橫掃)RX Mapping'!I33-361),IF(AND('(橫掃)RX Mapping'!I33&gt;=601,'(橫掃)RX Mapping'!I33&lt;=720), (-1)*('(橫掃)RX Mapping'!I33-720)+120,IF(AND('(橫掃)RX Mapping'!I33&gt;=721,'(橫掃)RX Mapping'!I33&lt;=840), ('(橫掃)RX Mapping'!I33-601),IF(AND('(橫掃)RX Mapping'!I33&gt;=841,'(橫掃)RX Mapping'!I33&lt;=960), (-1)*('(橫掃)RX Mapping'!I33-960)+120,9999))))))))</f>
        <v>31</v>
      </c>
      <c r="J33">
        <f>IF(AND('(橫掃)RX Mapping'!J33&gt;=1,'(橫掃)RX Mapping'!J33&lt;=120), ('(橫掃)RX Mapping'!J33-1),IF(AND('(橫掃)RX Mapping'!J33&gt;=121,'(橫掃)RX Mapping'!J33&lt;=240), (-1)*('(橫掃)RX Mapping'!J33-240),IF(AND('(橫掃)RX Mapping'!J33&gt;=241,'(橫掃)RX Mapping'!J33&lt;=360), ('(橫掃)RX Mapping'!J33-241),IF(AND('(橫掃)RX Mapping'!J33&gt;=361,'(橫掃)RX Mapping'!J33&lt;=480), (-1)*('(橫掃)RX Mapping'!J33-480),IF(AND('(橫掃)RX Mapping'!J33&gt;=481,'(橫掃)RX Mapping'!J33&lt;=600), ('(橫掃)RX Mapping'!J33-361),IF(AND('(橫掃)RX Mapping'!J33&gt;=601,'(橫掃)RX Mapping'!J33&lt;=720), (-1)*('(橫掃)RX Mapping'!J33-720)+120,IF(AND('(橫掃)RX Mapping'!J33&gt;=721,'(橫掃)RX Mapping'!J33&lt;=840), ('(橫掃)RX Mapping'!J33-601),IF(AND('(橫掃)RX Mapping'!J33&gt;=841,'(橫掃)RX Mapping'!J33&lt;=960), (-1)*('(橫掃)RX Mapping'!J33-960)+120,9999))))))))</f>
        <v>63</v>
      </c>
      <c r="K33">
        <f>IF(AND('(橫掃)RX Mapping'!K33&gt;=1,'(橫掃)RX Mapping'!K33&lt;=120), ('(橫掃)RX Mapping'!K33-1),IF(AND('(橫掃)RX Mapping'!K33&gt;=121,'(橫掃)RX Mapping'!K33&lt;=240), (-1)*('(橫掃)RX Mapping'!K33-240),IF(AND('(橫掃)RX Mapping'!K33&gt;=241,'(橫掃)RX Mapping'!K33&lt;=360), ('(橫掃)RX Mapping'!K33-241),IF(AND('(橫掃)RX Mapping'!K33&gt;=361,'(橫掃)RX Mapping'!K33&lt;=480), (-1)*('(橫掃)RX Mapping'!K33-480),IF(AND('(橫掃)RX Mapping'!K33&gt;=481,'(橫掃)RX Mapping'!K33&lt;=600), ('(橫掃)RX Mapping'!K33-361),IF(AND('(橫掃)RX Mapping'!K33&gt;=601,'(橫掃)RX Mapping'!K33&lt;=720), (-1)*('(橫掃)RX Mapping'!K33-720)+120,IF(AND('(橫掃)RX Mapping'!K33&gt;=721,'(橫掃)RX Mapping'!K33&lt;=840), ('(橫掃)RX Mapping'!K33-601),IF(AND('(橫掃)RX Mapping'!K33&gt;=841,'(橫掃)RX Mapping'!K33&lt;=960), (-1)*('(橫掃)RX Mapping'!K33-960)+120,9999))))))))</f>
        <v>95</v>
      </c>
      <c r="L33">
        <f>IF(AND('(橫掃)RX Mapping'!L33&gt;=1,'(橫掃)RX Mapping'!L33&lt;=120), ('(橫掃)RX Mapping'!L33-1),IF(AND('(橫掃)RX Mapping'!L33&gt;=121,'(橫掃)RX Mapping'!L33&lt;=240), (-1)*('(橫掃)RX Mapping'!L33-240),IF(AND('(橫掃)RX Mapping'!L33&gt;=241,'(橫掃)RX Mapping'!L33&lt;=360), ('(橫掃)RX Mapping'!L33-241),IF(AND('(橫掃)RX Mapping'!L33&gt;=361,'(橫掃)RX Mapping'!L33&lt;=480), (-1)*('(橫掃)RX Mapping'!L33-480),IF(AND('(橫掃)RX Mapping'!L33&gt;=481,'(橫掃)RX Mapping'!L33&lt;=600), ('(橫掃)RX Mapping'!L33-361),IF(AND('(橫掃)RX Mapping'!L33&gt;=601,'(橫掃)RX Mapping'!L33&lt;=720), (-1)*('(橫掃)RX Mapping'!L33-720)+120,IF(AND('(橫掃)RX Mapping'!L33&gt;=721,'(橫掃)RX Mapping'!L33&lt;=840), ('(橫掃)RX Mapping'!L33-601),IF(AND('(橫掃)RX Mapping'!L33&gt;=841,'(橫掃)RX Mapping'!L33&lt;=960), (-1)*('(橫掃)RX Mapping'!L33-960)+120,9999))))))))</f>
        <v>112</v>
      </c>
      <c r="M33">
        <f>IF(AND('(橫掃)RX Mapping'!M33&gt;=1,'(橫掃)RX Mapping'!M33&lt;=120), ('(橫掃)RX Mapping'!M33-1),IF(AND('(橫掃)RX Mapping'!M33&gt;=121,'(橫掃)RX Mapping'!M33&lt;=240), (-1)*('(橫掃)RX Mapping'!M33-240),IF(AND('(橫掃)RX Mapping'!M33&gt;=241,'(橫掃)RX Mapping'!M33&lt;=360), ('(橫掃)RX Mapping'!M33-241),IF(AND('(橫掃)RX Mapping'!M33&gt;=361,'(橫掃)RX Mapping'!M33&lt;=480), (-1)*('(橫掃)RX Mapping'!M33-480),IF(AND('(橫掃)RX Mapping'!M33&gt;=481,'(橫掃)RX Mapping'!M33&lt;=600), ('(橫掃)RX Mapping'!M33-361),IF(AND('(橫掃)RX Mapping'!M33&gt;=601,'(橫掃)RX Mapping'!M33&lt;=720), (-1)*('(橫掃)RX Mapping'!M33-720)+120,IF(AND('(橫掃)RX Mapping'!M33&gt;=721,'(橫掃)RX Mapping'!M33&lt;=840), ('(橫掃)RX Mapping'!M33-601),IF(AND('(橫掃)RX Mapping'!M33&gt;=841,'(橫掃)RX Mapping'!M33&lt;=960), (-1)*('(橫掃)RX Mapping'!M33-960)+120,9999))))))))</f>
        <v>80</v>
      </c>
      <c r="N33">
        <f>IF(AND('(橫掃)RX Mapping'!N33&gt;=1,'(橫掃)RX Mapping'!N33&lt;=120), ('(橫掃)RX Mapping'!N33-1),IF(AND('(橫掃)RX Mapping'!N33&gt;=121,'(橫掃)RX Mapping'!N33&lt;=240), (-1)*('(橫掃)RX Mapping'!N33-240),IF(AND('(橫掃)RX Mapping'!N33&gt;=241,'(橫掃)RX Mapping'!N33&lt;=360), ('(橫掃)RX Mapping'!N33-241),IF(AND('(橫掃)RX Mapping'!N33&gt;=361,'(橫掃)RX Mapping'!N33&lt;=480), (-1)*('(橫掃)RX Mapping'!N33-480),IF(AND('(橫掃)RX Mapping'!N33&gt;=481,'(橫掃)RX Mapping'!N33&lt;=600), ('(橫掃)RX Mapping'!N33-361),IF(AND('(橫掃)RX Mapping'!N33&gt;=601,'(橫掃)RX Mapping'!N33&lt;=720), (-1)*('(橫掃)RX Mapping'!N33-720)+120,IF(AND('(橫掃)RX Mapping'!N33&gt;=721,'(橫掃)RX Mapping'!N33&lt;=840), ('(橫掃)RX Mapping'!N33-601),IF(AND('(橫掃)RX Mapping'!N33&gt;=841,'(橫掃)RX Mapping'!N33&lt;=960), (-1)*('(橫掃)RX Mapping'!N33-960)+120,9999))))))))</f>
        <v>48</v>
      </c>
      <c r="O33">
        <f>IF(AND('(橫掃)RX Mapping'!O33&gt;=1,'(橫掃)RX Mapping'!O33&lt;=120), ('(橫掃)RX Mapping'!O33-1),IF(AND('(橫掃)RX Mapping'!O33&gt;=121,'(橫掃)RX Mapping'!O33&lt;=240), (-1)*('(橫掃)RX Mapping'!O33-240),IF(AND('(橫掃)RX Mapping'!O33&gt;=241,'(橫掃)RX Mapping'!O33&lt;=360), ('(橫掃)RX Mapping'!O33-241),IF(AND('(橫掃)RX Mapping'!O33&gt;=361,'(橫掃)RX Mapping'!O33&lt;=480), (-1)*('(橫掃)RX Mapping'!O33-480),IF(AND('(橫掃)RX Mapping'!O33&gt;=481,'(橫掃)RX Mapping'!O33&lt;=600), ('(橫掃)RX Mapping'!O33-361),IF(AND('(橫掃)RX Mapping'!O33&gt;=601,'(橫掃)RX Mapping'!O33&lt;=720), (-1)*('(橫掃)RX Mapping'!O33-720)+120,IF(AND('(橫掃)RX Mapping'!O33&gt;=721,'(橫掃)RX Mapping'!O33&lt;=840), ('(橫掃)RX Mapping'!O33-601),IF(AND('(橫掃)RX Mapping'!O33&gt;=841,'(橫掃)RX Mapping'!O33&lt;=960), (-1)*('(橫掃)RX Mapping'!O33-960)+120,9999))))))))</f>
        <v>16</v>
      </c>
      <c r="P33">
        <f>IF(AND('(橫掃)RX Mapping'!P33&gt;=1,'(橫掃)RX Mapping'!P33&lt;=120), ('(橫掃)RX Mapping'!P33-1),IF(AND('(橫掃)RX Mapping'!P33&gt;=121,'(橫掃)RX Mapping'!P33&lt;=240), (-1)*('(橫掃)RX Mapping'!P33-240),IF(AND('(橫掃)RX Mapping'!P33&gt;=241,'(橫掃)RX Mapping'!P33&lt;=360), ('(橫掃)RX Mapping'!P33-241),IF(AND('(橫掃)RX Mapping'!P33&gt;=361,'(橫掃)RX Mapping'!P33&lt;=480), (-1)*('(橫掃)RX Mapping'!P33-480),IF(AND('(橫掃)RX Mapping'!P33&gt;=481,'(橫掃)RX Mapping'!P33&lt;=600), ('(橫掃)RX Mapping'!P33-361),IF(AND('(橫掃)RX Mapping'!P33&gt;=601,'(橫掃)RX Mapping'!P33&lt;=720), (-1)*('(橫掃)RX Mapping'!P33-720)+120,IF(AND('(橫掃)RX Mapping'!P33&gt;=721,'(橫掃)RX Mapping'!P33&lt;=840), ('(橫掃)RX Mapping'!P33-601),IF(AND('(橫掃)RX Mapping'!P33&gt;=841,'(橫掃)RX Mapping'!P33&lt;=960), (-1)*('(橫掃)RX Mapping'!P33-960)+120,9999))))))))</f>
        <v>151</v>
      </c>
      <c r="Q33">
        <f>IF(AND('(橫掃)RX Mapping'!Q33&gt;=1,'(橫掃)RX Mapping'!Q33&lt;=120), ('(橫掃)RX Mapping'!Q33-1),IF(AND('(橫掃)RX Mapping'!Q33&gt;=121,'(橫掃)RX Mapping'!Q33&lt;=240), (-1)*('(橫掃)RX Mapping'!Q33-240),IF(AND('(橫掃)RX Mapping'!Q33&gt;=241,'(橫掃)RX Mapping'!Q33&lt;=360), ('(橫掃)RX Mapping'!Q33-241),IF(AND('(橫掃)RX Mapping'!Q33&gt;=361,'(橫掃)RX Mapping'!Q33&lt;=480), (-1)*('(橫掃)RX Mapping'!Q33-480),IF(AND('(橫掃)RX Mapping'!Q33&gt;=481,'(橫掃)RX Mapping'!Q33&lt;=600), ('(橫掃)RX Mapping'!Q33-361),IF(AND('(橫掃)RX Mapping'!Q33&gt;=601,'(橫掃)RX Mapping'!Q33&lt;=720), (-1)*('(橫掃)RX Mapping'!Q33-720)+120,IF(AND('(橫掃)RX Mapping'!Q33&gt;=721,'(橫掃)RX Mapping'!Q33&lt;=840), ('(橫掃)RX Mapping'!Q33-601),IF(AND('(橫掃)RX Mapping'!Q33&gt;=841,'(橫掃)RX Mapping'!Q33&lt;=960), (-1)*('(橫掃)RX Mapping'!Q33-960)+120,9999))))))))</f>
        <v>183</v>
      </c>
      <c r="R33">
        <f>IF(AND('(橫掃)RX Mapping'!R33&gt;=1,'(橫掃)RX Mapping'!R33&lt;=120), ('(橫掃)RX Mapping'!R33-1),IF(AND('(橫掃)RX Mapping'!R33&gt;=121,'(橫掃)RX Mapping'!R33&lt;=240), (-1)*('(橫掃)RX Mapping'!R33-240),IF(AND('(橫掃)RX Mapping'!R33&gt;=241,'(橫掃)RX Mapping'!R33&lt;=360), ('(橫掃)RX Mapping'!R33-241),IF(AND('(橫掃)RX Mapping'!R33&gt;=361,'(橫掃)RX Mapping'!R33&lt;=480), (-1)*('(橫掃)RX Mapping'!R33-480),IF(AND('(橫掃)RX Mapping'!R33&gt;=481,'(橫掃)RX Mapping'!R33&lt;=600), ('(橫掃)RX Mapping'!R33-361),IF(AND('(橫掃)RX Mapping'!R33&gt;=601,'(橫掃)RX Mapping'!R33&lt;=720), (-1)*('(橫掃)RX Mapping'!R33-720)+120,IF(AND('(橫掃)RX Mapping'!R33&gt;=721,'(橫掃)RX Mapping'!R33&lt;=840), ('(橫掃)RX Mapping'!R33-601),IF(AND('(橫掃)RX Mapping'!R33&gt;=841,'(橫掃)RX Mapping'!R33&lt;=960), (-1)*('(橫掃)RX Mapping'!R33-960)+120,9999))))))))</f>
        <v>215</v>
      </c>
      <c r="S33">
        <f>IF(AND('(橫掃)RX Mapping'!S33&gt;=1,'(橫掃)RX Mapping'!S33&lt;=120), ('(橫掃)RX Mapping'!S33-1),IF(AND('(橫掃)RX Mapping'!S33&gt;=121,'(橫掃)RX Mapping'!S33&lt;=240), (-1)*('(橫掃)RX Mapping'!S33-240),IF(AND('(橫掃)RX Mapping'!S33&gt;=241,'(橫掃)RX Mapping'!S33&lt;=360), ('(橫掃)RX Mapping'!S33-241),IF(AND('(橫掃)RX Mapping'!S33&gt;=361,'(橫掃)RX Mapping'!S33&lt;=480), (-1)*('(橫掃)RX Mapping'!S33-480),IF(AND('(橫掃)RX Mapping'!S33&gt;=481,'(橫掃)RX Mapping'!S33&lt;=600), ('(橫掃)RX Mapping'!S33-361),IF(AND('(橫掃)RX Mapping'!S33&gt;=601,'(橫掃)RX Mapping'!S33&lt;=720), (-1)*('(橫掃)RX Mapping'!S33-720)+120,IF(AND('(橫掃)RX Mapping'!S33&gt;=721,'(橫掃)RX Mapping'!S33&lt;=840), ('(橫掃)RX Mapping'!S33-601),IF(AND('(橫掃)RX Mapping'!S33&gt;=841,'(橫掃)RX Mapping'!S33&lt;=960), (-1)*('(橫掃)RX Mapping'!S33-960)+120,9999))))))))</f>
        <v>232</v>
      </c>
      <c r="T33">
        <f>IF(AND('(橫掃)RX Mapping'!T33&gt;=1,'(橫掃)RX Mapping'!T33&lt;=120), ('(橫掃)RX Mapping'!T33-1),IF(AND('(橫掃)RX Mapping'!T33&gt;=121,'(橫掃)RX Mapping'!T33&lt;=240), (-1)*('(橫掃)RX Mapping'!T33-240),IF(AND('(橫掃)RX Mapping'!T33&gt;=241,'(橫掃)RX Mapping'!T33&lt;=360), ('(橫掃)RX Mapping'!T33-241),IF(AND('(橫掃)RX Mapping'!T33&gt;=361,'(橫掃)RX Mapping'!T33&lt;=480), (-1)*('(橫掃)RX Mapping'!T33-480),IF(AND('(橫掃)RX Mapping'!T33&gt;=481,'(橫掃)RX Mapping'!T33&lt;=600), ('(橫掃)RX Mapping'!T33-361),IF(AND('(橫掃)RX Mapping'!T33&gt;=601,'(橫掃)RX Mapping'!T33&lt;=720), (-1)*('(橫掃)RX Mapping'!T33-720)+120,IF(AND('(橫掃)RX Mapping'!T33&gt;=721,'(橫掃)RX Mapping'!T33&lt;=840), ('(橫掃)RX Mapping'!T33-601),IF(AND('(橫掃)RX Mapping'!T33&gt;=841,'(橫掃)RX Mapping'!T33&lt;=960), (-1)*('(橫掃)RX Mapping'!T33-960)+120,9999))))))))</f>
        <v>200</v>
      </c>
      <c r="U33">
        <f>IF(AND('(橫掃)RX Mapping'!U33&gt;=1,'(橫掃)RX Mapping'!U33&lt;=120), ('(橫掃)RX Mapping'!U33-1),IF(AND('(橫掃)RX Mapping'!U33&gt;=121,'(橫掃)RX Mapping'!U33&lt;=240), (-1)*('(橫掃)RX Mapping'!U33-240),IF(AND('(橫掃)RX Mapping'!U33&gt;=241,'(橫掃)RX Mapping'!U33&lt;=360), ('(橫掃)RX Mapping'!U33-241),IF(AND('(橫掃)RX Mapping'!U33&gt;=361,'(橫掃)RX Mapping'!U33&lt;=480), (-1)*('(橫掃)RX Mapping'!U33-480),IF(AND('(橫掃)RX Mapping'!U33&gt;=481,'(橫掃)RX Mapping'!U33&lt;=600), ('(橫掃)RX Mapping'!U33-361),IF(AND('(橫掃)RX Mapping'!U33&gt;=601,'(橫掃)RX Mapping'!U33&lt;=720), (-1)*('(橫掃)RX Mapping'!U33-720)+120,IF(AND('(橫掃)RX Mapping'!U33&gt;=721,'(橫掃)RX Mapping'!U33&lt;=840), ('(橫掃)RX Mapping'!U33-601),IF(AND('(橫掃)RX Mapping'!U33&gt;=841,'(橫掃)RX Mapping'!U33&lt;=960), (-1)*('(橫掃)RX Mapping'!U33-960)+120,9999))))))))</f>
        <v>168</v>
      </c>
      <c r="V33">
        <f>IF(AND('(橫掃)RX Mapping'!V33&gt;=1,'(橫掃)RX Mapping'!V33&lt;=120), ('(橫掃)RX Mapping'!V33-1),IF(AND('(橫掃)RX Mapping'!V33&gt;=121,'(橫掃)RX Mapping'!V33&lt;=240), (-1)*('(橫掃)RX Mapping'!V33-240),IF(AND('(橫掃)RX Mapping'!V33&gt;=241,'(橫掃)RX Mapping'!V33&lt;=360), ('(橫掃)RX Mapping'!V33-241),IF(AND('(橫掃)RX Mapping'!V33&gt;=361,'(橫掃)RX Mapping'!V33&lt;=480), (-1)*('(橫掃)RX Mapping'!V33-480),IF(AND('(橫掃)RX Mapping'!V33&gt;=481,'(橫掃)RX Mapping'!V33&lt;=600), ('(橫掃)RX Mapping'!V33-361),IF(AND('(橫掃)RX Mapping'!V33&gt;=601,'(橫掃)RX Mapping'!V33&lt;=720), (-1)*('(橫掃)RX Mapping'!V33-720)+120,IF(AND('(橫掃)RX Mapping'!V33&gt;=721,'(橫掃)RX Mapping'!V33&lt;=840), ('(橫掃)RX Mapping'!V33-601),IF(AND('(橫掃)RX Mapping'!V33&gt;=841,'(橫掃)RX Mapping'!V33&lt;=960), (-1)*('(橫掃)RX Mapping'!V33-960)+120,9999))))))))</f>
        <v>136</v>
      </c>
      <c r="W33">
        <f>IF(AND('(橫掃)RX Mapping'!W33&gt;=1,'(橫掃)RX Mapping'!W33&lt;=120), ('(橫掃)RX Mapping'!W33-1),IF(AND('(橫掃)RX Mapping'!W33&gt;=121,'(橫掃)RX Mapping'!W33&lt;=240), (-1)*('(橫掃)RX Mapping'!W33-240),IF(AND('(橫掃)RX Mapping'!W33&gt;=241,'(橫掃)RX Mapping'!W33&lt;=360), ('(橫掃)RX Mapping'!W33-241),IF(AND('(橫掃)RX Mapping'!W33&gt;=361,'(橫掃)RX Mapping'!W33&lt;=480), (-1)*('(橫掃)RX Mapping'!W33-480),IF(AND('(橫掃)RX Mapping'!W33&gt;=481,'(橫掃)RX Mapping'!W33&lt;=600), ('(橫掃)RX Mapping'!W33-361),IF(AND('(橫掃)RX Mapping'!W33&gt;=601,'(橫掃)RX Mapping'!W33&lt;=720), (-1)*('(橫掃)RX Mapping'!W33-720)+120,IF(AND('(橫掃)RX Mapping'!W33&gt;=721,'(橫掃)RX Mapping'!W33&lt;=840), ('(橫掃)RX Mapping'!W33-601),IF(AND('(橫掃)RX Mapping'!W33&gt;=841,'(橫掃)RX Mapping'!W33&lt;=960), (-1)*('(橫掃)RX Mapping'!W33-960)+120,9999))))))))</f>
        <v>151</v>
      </c>
      <c r="X33">
        <f>IF(AND('(橫掃)RX Mapping'!X33&gt;=1,'(橫掃)RX Mapping'!X33&lt;=120), ('(橫掃)RX Mapping'!X33-1),IF(AND('(橫掃)RX Mapping'!X33&gt;=121,'(橫掃)RX Mapping'!X33&lt;=240), (-1)*('(橫掃)RX Mapping'!X33-240),IF(AND('(橫掃)RX Mapping'!X33&gt;=241,'(橫掃)RX Mapping'!X33&lt;=360), ('(橫掃)RX Mapping'!X33-241),IF(AND('(橫掃)RX Mapping'!X33&gt;=361,'(橫掃)RX Mapping'!X33&lt;=480), (-1)*('(橫掃)RX Mapping'!X33-480),IF(AND('(橫掃)RX Mapping'!X33&gt;=481,'(橫掃)RX Mapping'!X33&lt;=600), ('(橫掃)RX Mapping'!X33-361),IF(AND('(橫掃)RX Mapping'!X33&gt;=601,'(橫掃)RX Mapping'!X33&lt;=720), (-1)*('(橫掃)RX Mapping'!X33-720)+120,IF(AND('(橫掃)RX Mapping'!X33&gt;=721,'(橫掃)RX Mapping'!X33&lt;=840), ('(橫掃)RX Mapping'!X33-601),IF(AND('(橫掃)RX Mapping'!X33&gt;=841,'(橫掃)RX Mapping'!X33&lt;=960), (-1)*('(橫掃)RX Mapping'!X33-960)+120,9999))))))))</f>
        <v>183</v>
      </c>
      <c r="Y33">
        <f>IF(AND('(橫掃)RX Mapping'!Y33&gt;=1,'(橫掃)RX Mapping'!Y33&lt;=120), ('(橫掃)RX Mapping'!Y33-1),IF(AND('(橫掃)RX Mapping'!Y33&gt;=121,'(橫掃)RX Mapping'!Y33&lt;=240), (-1)*('(橫掃)RX Mapping'!Y33-240),IF(AND('(橫掃)RX Mapping'!Y33&gt;=241,'(橫掃)RX Mapping'!Y33&lt;=360), ('(橫掃)RX Mapping'!Y33-241),IF(AND('(橫掃)RX Mapping'!Y33&gt;=361,'(橫掃)RX Mapping'!Y33&lt;=480), (-1)*('(橫掃)RX Mapping'!Y33-480),IF(AND('(橫掃)RX Mapping'!Y33&gt;=481,'(橫掃)RX Mapping'!Y33&lt;=600), ('(橫掃)RX Mapping'!Y33-361),IF(AND('(橫掃)RX Mapping'!Y33&gt;=601,'(橫掃)RX Mapping'!Y33&lt;=720), (-1)*('(橫掃)RX Mapping'!Y33-720)+120,IF(AND('(橫掃)RX Mapping'!Y33&gt;=721,'(橫掃)RX Mapping'!Y33&lt;=840), ('(橫掃)RX Mapping'!Y33-601),IF(AND('(橫掃)RX Mapping'!Y33&gt;=841,'(橫掃)RX Mapping'!Y33&lt;=960), (-1)*('(橫掃)RX Mapping'!Y33-960)+120,9999))))))))</f>
        <v>215</v>
      </c>
      <c r="Z33">
        <f>IF(AND('(橫掃)RX Mapping'!Z33&gt;=1,'(橫掃)RX Mapping'!Z33&lt;=120), ('(橫掃)RX Mapping'!Z33-1),IF(AND('(橫掃)RX Mapping'!Z33&gt;=121,'(橫掃)RX Mapping'!Z33&lt;=240), (-1)*('(橫掃)RX Mapping'!Z33-240),IF(AND('(橫掃)RX Mapping'!Z33&gt;=241,'(橫掃)RX Mapping'!Z33&lt;=360), ('(橫掃)RX Mapping'!Z33-241),IF(AND('(橫掃)RX Mapping'!Z33&gt;=361,'(橫掃)RX Mapping'!Z33&lt;=480), (-1)*('(橫掃)RX Mapping'!Z33-480),IF(AND('(橫掃)RX Mapping'!Z33&gt;=481,'(橫掃)RX Mapping'!Z33&lt;=600), ('(橫掃)RX Mapping'!Z33-361),IF(AND('(橫掃)RX Mapping'!Z33&gt;=601,'(橫掃)RX Mapping'!Z33&lt;=720), (-1)*('(橫掃)RX Mapping'!Z33-720)+120,IF(AND('(橫掃)RX Mapping'!Z33&gt;=721,'(橫掃)RX Mapping'!Z33&lt;=840), ('(橫掃)RX Mapping'!Z33-601),IF(AND('(橫掃)RX Mapping'!Z33&gt;=841,'(橫掃)RX Mapping'!Z33&lt;=960), (-1)*('(橫掃)RX Mapping'!Z33-960)+120,9999))))))))</f>
        <v>232</v>
      </c>
      <c r="AA33">
        <f>IF(AND('(橫掃)RX Mapping'!AA33&gt;=1,'(橫掃)RX Mapping'!AA33&lt;=120), ('(橫掃)RX Mapping'!AA33-1),IF(AND('(橫掃)RX Mapping'!AA33&gt;=121,'(橫掃)RX Mapping'!AA33&lt;=240), (-1)*('(橫掃)RX Mapping'!AA33-240),IF(AND('(橫掃)RX Mapping'!AA33&gt;=241,'(橫掃)RX Mapping'!AA33&lt;=360), ('(橫掃)RX Mapping'!AA33-241),IF(AND('(橫掃)RX Mapping'!AA33&gt;=361,'(橫掃)RX Mapping'!AA33&lt;=480), (-1)*('(橫掃)RX Mapping'!AA33-480),IF(AND('(橫掃)RX Mapping'!AA33&gt;=481,'(橫掃)RX Mapping'!AA33&lt;=600), ('(橫掃)RX Mapping'!AA33-361),IF(AND('(橫掃)RX Mapping'!AA33&gt;=601,'(橫掃)RX Mapping'!AA33&lt;=720), (-1)*('(橫掃)RX Mapping'!AA33-720)+120,IF(AND('(橫掃)RX Mapping'!AA33&gt;=721,'(橫掃)RX Mapping'!AA33&lt;=840), ('(橫掃)RX Mapping'!AA33-601),IF(AND('(橫掃)RX Mapping'!AA33&gt;=841,'(橫掃)RX Mapping'!AA33&lt;=960), (-1)*('(橫掃)RX Mapping'!AA33-960)+120,9999))))))))</f>
        <v>200</v>
      </c>
      <c r="AB33">
        <f>IF(AND('(橫掃)RX Mapping'!AB33&gt;=1,'(橫掃)RX Mapping'!AB33&lt;=120), ('(橫掃)RX Mapping'!AB33-1),IF(AND('(橫掃)RX Mapping'!AB33&gt;=121,'(橫掃)RX Mapping'!AB33&lt;=240), (-1)*('(橫掃)RX Mapping'!AB33-240),IF(AND('(橫掃)RX Mapping'!AB33&gt;=241,'(橫掃)RX Mapping'!AB33&lt;=360), ('(橫掃)RX Mapping'!AB33-241),IF(AND('(橫掃)RX Mapping'!AB33&gt;=361,'(橫掃)RX Mapping'!AB33&lt;=480), (-1)*('(橫掃)RX Mapping'!AB33-480),IF(AND('(橫掃)RX Mapping'!AB33&gt;=481,'(橫掃)RX Mapping'!AB33&lt;=600), ('(橫掃)RX Mapping'!AB33-361),IF(AND('(橫掃)RX Mapping'!AB33&gt;=601,'(橫掃)RX Mapping'!AB33&lt;=720), (-1)*('(橫掃)RX Mapping'!AB33-720)+120,IF(AND('(橫掃)RX Mapping'!AB33&gt;=721,'(橫掃)RX Mapping'!AB33&lt;=840), ('(橫掃)RX Mapping'!AB33-601),IF(AND('(橫掃)RX Mapping'!AB33&gt;=841,'(橫掃)RX Mapping'!AB33&lt;=960), (-1)*('(橫掃)RX Mapping'!AB33-960)+120,9999))))))))</f>
        <v>168</v>
      </c>
      <c r="AC33">
        <f>IF(AND('(橫掃)RX Mapping'!AC33&gt;=1,'(橫掃)RX Mapping'!AC33&lt;=120), ('(橫掃)RX Mapping'!AC33-1),IF(AND('(橫掃)RX Mapping'!AC33&gt;=121,'(橫掃)RX Mapping'!AC33&lt;=240), (-1)*('(橫掃)RX Mapping'!AC33-240),IF(AND('(橫掃)RX Mapping'!AC33&gt;=241,'(橫掃)RX Mapping'!AC33&lt;=360), ('(橫掃)RX Mapping'!AC33-241),IF(AND('(橫掃)RX Mapping'!AC33&gt;=361,'(橫掃)RX Mapping'!AC33&lt;=480), (-1)*('(橫掃)RX Mapping'!AC33-480),IF(AND('(橫掃)RX Mapping'!AC33&gt;=481,'(橫掃)RX Mapping'!AC33&lt;=600), ('(橫掃)RX Mapping'!AC33-361),IF(AND('(橫掃)RX Mapping'!AC33&gt;=601,'(橫掃)RX Mapping'!AC33&lt;=720), (-1)*('(橫掃)RX Mapping'!AC33-720)+120,IF(AND('(橫掃)RX Mapping'!AC33&gt;=721,'(橫掃)RX Mapping'!AC33&lt;=840), ('(橫掃)RX Mapping'!AC33-601),IF(AND('(橫掃)RX Mapping'!AC33&gt;=841,'(橫掃)RX Mapping'!AC33&lt;=960), (-1)*('(橫掃)RX Mapping'!AC33-960)+120,9999))))))))</f>
        <v>136</v>
      </c>
      <c r="AD33">
        <f>IF(AND('(橫掃)RX Mapping'!AD33&gt;=1,'(橫掃)RX Mapping'!AD33&lt;=120), ('(橫掃)RX Mapping'!AD33-1),IF(AND('(橫掃)RX Mapping'!AD33&gt;=121,'(橫掃)RX Mapping'!AD33&lt;=240), (-1)*('(橫掃)RX Mapping'!AD33-240),IF(AND('(橫掃)RX Mapping'!AD33&gt;=241,'(橫掃)RX Mapping'!AD33&lt;=360), ('(橫掃)RX Mapping'!AD33-241),IF(AND('(橫掃)RX Mapping'!AD33&gt;=361,'(橫掃)RX Mapping'!AD33&lt;=480), (-1)*('(橫掃)RX Mapping'!AD33-480),IF(AND('(橫掃)RX Mapping'!AD33&gt;=481,'(橫掃)RX Mapping'!AD33&lt;=600), ('(橫掃)RX Mapping'!AD33-361),IF(AND('(橫掃)RX Mapping'!AD33&gt;=601,'(橫掃)RX Mapping'!AD33&lt;=720), (-1)*('(橫掃)RX Mapping'!AD33-720)+120,IF(AND('(橫掃)RX Mapping'!AD33&gt;=721,'(橫掃)RX Mapping'!AD33&lt;=840), ('(橫掃)RX Mapping'!AD33-601),IF(AND('(橫掃)RX Mapping'!AD33&gt;=841,'(橫掃)RX Mapping'!AD33&lt;=960), (-1)*('(橫掃)RX Mapping'!AD33-960)+120,9999))))))))</f>
        <v>9999</v>
      </c>
      <c r="AE33">
        <f>IF(AND('(橫掃)RX Mapping'!AE33&gt;=1,'(橫掃)RX Mapping'!AE33&lt;=120), ('(橫掃)RX Mapping'!AE33-1),IF(AND('(橫掃)RX Mapping'!AE33&gt;=121,'(橫掃)RX Mapping'!AE33&lt;=240), (-1)*('(橫掃)RX Mapping'!AE33-240),IF(AND('(橫掃)RX Mapping'!AE33&gt;=241,'(橫掃)RX Mapping'!AE33&lt;=360), ('(橫掃)RX Mapping'!AE33-241),IF(AND('(橫掃)RX Mapping'!AE33&gt;=361,'(橫掃)RX Mapping'!AE33&lt;=480), (-1)*('(橫掃)RX Mapping'!AE33-480),IF(AND('(橫掃)RX Mapping'!AE33&gt;=481,'(橫掃)RX Mapping'!AE33&lt;=600), ('(橫掃)RX Mapping'!AE33-361),IF(AND('(橫掃)RX Mapping'!AE33&gt;=601,'(橫掃)RX Mapping'!AE33&lt;=720), (-1)*('(橫掃)RX Mapping'!AE33-720)+120,IF(AND('(橫掃)RX Mapping'!AE33&gt;=721,'(橫掃)RX Mapping'!AE33&lt;=840), ('(橫掃)RX Mapping'!AE33-601),IF(AND('(橫掃)RX Mapping'!AE33&gt;=841,'(橫掃)RX Mapping'!AE33&lt;=960), (-1)*('(橫掃)RX Mapping'!AE33-960)+120,9999))))))))</f>
        <v>9999</v>
      </c>
      <c r="AF33">
        <f>IF(AND('(橫掃)RX Mapping'!AF33&gt;=1,'(橫掃)RX Mapping'!AF33&lt;=120), ('(橫掃)RX Mapping'!AF33-1),IF(AND('(橫掃)RX Mapping'!AF33&gt;=121,'(橫掃)RX Mapping'!AF33&lt;=240), (-1)*('(橫掃)RX Mapping'!AF33-240),IF(AND('(橫掃)RX Mapping'!AF33&gt;=241,'(橫掃)RX Mapping'!AF33&lt;=360), ('(橫掃)RX Mapping'!AF33-241),IF(AND('(橫掃)RX Mapping'!AF33&gt;=361,'(橫掃)RX Mapping'!AF33&lt;=480), (-1)*('(橫掃)RX Mapping'!AF33-480),IF(AND('(橫掃)RX Mapping'!AF33&gt;=481,'(橫掃)RX Mapping'!AF33&lt;=600), ('(橫掃)RX Mapping'!AF33-361),IF(AND('(橫掃)RX Mapping'!AF33&gt;=601,'(橫掃)RX Mapping'!AF33&lt;=720), (-1)*('(橫掃)RX Mapping'!AF33-720)+120,IF(AND('(橫掃)RX Mapping'!AF33&gt;=721,'(橫掃)RX Mapping'!AF33&lt;=840), ('(橫掃)RX Mapping'!AF33-601),IF(AND('(橫掃)RX Mapping'!AF33&gt;=841,'(橫掃)RX Mapping'!AF33&lt;=960), (-1)*('(橫掃)RX Mapping'!AF33-960)+120,9999))))))))</f>
        <v>9999</v>
      </c>
      <c r="AG33">
        <f>IF(AND('(橫掃)RX Mapping'!AG33&gt;=1,'(橫掃)RX Mapping'!AG33&lt;=120), ('(橫掃)RX Mapping'!AG33-1),IF(AND('(橫掃)RX Mapping'!AG33&gt;=121,'(橫掃)RX Mapping'!AG33&lt;=240), (-1)*('(橫掃)RX Mapping'!AG33-240),IF(AND('(橫掃)RX Mapping'!AG33&gt;=241,'(橫掃)RX Mapping'!AG33&lt;=360), ('(橫掃)RX Mapping'!AG33-241),IF(AND('(橫掃)RX Mapping'!AG33&gt;=361,'(橫掃)RX Mapping'!AG33&lt;=480), (-1)*('(橫掃)RX Mapping'!AG33-480),IF(AND('(橫掃)RX Mapping'!AG33&gt;=481,'(橫掃)RX Mapping'!AG33&lt;=600), ('(橫掃)RX Mapping'!AG33-361),IF(AND('(橫掃)RX Mapping'!AG33&gt;=601,'(橫掃)RX Mapping'!AG33&lt;=720), (-1)*('(橫掃)RX Mapping'!AG33-720)+120,IF(AND('(橫掃)RX Mapping'!AG33&gt;=721,'(橫掃)RX Mapping'!AG33&lt;=840), ('(橫掃)RX Mapping'!AG33-601),IF(AND('(橫掃)RX Mapping'!AG33&gt;=841,'(橫掃)RX Mapping'!AG33&lt;=960), (-1)*('(橫掃)RX Mapping'!AG33-960)+120,9999))))))))</f>
        <v>9999</v>
      </c>
      <c r="AH33">
        <f>IF(AND('(橫掃)RX Mapping'!AH33&gt;=1,'(橫掃)RX Mapping'!AH33&lt;=120), ('(橫掃)RX Mapping'!AH33-1),IF(AND('(橫掃)RX Mapping'!AH33&gt;=121,'(橫掃)RX Mapping'!AH33&lt;=240), (-1)*('(橫掃)RX Mapping'!AH33-240),IF(AND('(橫掃)RX Mapping'!AH33&gt;=241,'(橫掃)RX Mapping'!AH33&lt;=360), ('(橫掃)RX Mapping'!AH33-241),IF(AND('(橫掃)RX Mapping'!AH33&gt;=361,'(橫掃)RX Mapping'!AH33&lt;=480), (-1)*('(橫掃)RX Mapping'!AH33-480),IF(AND('(橫掃)RX Mapping'!AH33&gt;=481,'(橫掃)RX Mapping'!AH33&lt;=600), ('(橫掃)RX Mapping'!AH33-361),IF(AND('(橫掃)RX Mapping'!AH33&gt;=601,'(橫掃)RX Mapping'!AH33&lt;=720), (-1)*('(橫掃)RX Mapping'!AH33-720)+120,IF(AND('(橫掃)RX Mapping'!AH33&gt;=721,'(橫掃)RX Mapping'!AH33&lt;=840), ('(橫掃)RX Mapping'!AH33-601),IF(AND('(橫掃)RX Mapping'!AH33&gt;=841,'(橫掃)RX Mapping'!AH33&lt;=960), (-1)*('(橫掃)RX Mapping'!AH33-960)+120,9999))))))))</f>
        <v>9999</v>
      </c>
      <c r="AI33">
        <f>IF(AND('(橫掃)RX Mapping'!AI33&gt;=1,'(橫掃)RX Mapping'!AI33&lt;=120), ('(橫掃)RX Mapping'!AI33-1),IF(AND('(橫掃)RX Mapping'!AI33&gt;=121,'(橫掃)RX Mapping'!AI33&lt;=240), (-1)*('(橫掃)RX Mapping'!AI33-240),IF(AND('(橫掃)RX Mapping'!AI33&gt;=241,'(橫掃)RX Mapping'!AI33&lt;=360), ('(橫掃)RX Mapping'!AI33-241),IF(AND('(橫掃)RX Mapping'!AI33&gt;=361,'(橫掃)RX Mapping'!AI33&lt;=480), (-1)*('(橫掃)RX Mapping'!AI33-480),IF(AND('(橫掃)RX Mapping'!AI33&gt;=481,'(橫掃)RX Mapping'!AI33&lt;=600), ('(橫掃)RX Mapping'!AI33-361),IF(AND('(橫掃)RX Mapping'!AI33&gt;=601,'(橫掃)RX Mapping'!AI33&lt;=720), (-1)*('(橫掃)RX Mapping'!AI33-720)+120,IF(AND('(橫掃)RX Mapping'!AI33&gt;=721,'(橫掃)RX Mapping'!AI33&lt;=840), ('(橫掃)RX Mapping'!AI33-601),IF(AND('(橫掃)RX Mapping'!AI33&gt;=841,'(橫掃)RX Mapping'!AI33&lt;=960), (-1)*('(橫掃)RX Mapping'!AI33-960)+120,9999))))))))</f>
        <v>9999</v>
      </c>
      <c r="AJ33">
        <f>IF(AND('(橫掃)RX Mapping'!AJ33&gt;=1,'(橫掃)RX Mapping'!AJ33&lt;=120), ('(橫掃)RX Mapping'!AJ33-1),IF(AND('(橫掃)RX Mapping'!AJ33&gt;=121,'(橫掃)RX Mapping'!AJ33&lt;=240), (-1)*('(橫掃)RX Mapping'!AJ33-240),IF(AND('(橫掃)RX Mapping'!AJ33&gt;=241,'(橫掃)RX Mapping'!AJ33&lt;=360), ('(橫掃)RX Mapping'!AJ33-241),IF(AND('(橫掃)RX Mapping'!AJ33&gt;=361,'(橫掃)RX Mapping'!AJ33&lt;=480), (-1)*('(橫掃)RX Mapping'!AJ33-480),IF(AND('(橫掃)RX Mapping'!AJ33&gt;=481,'(橫掃)RX Mapping'!AJ33&lt;=600), ('(橫掃)RX Mapping'!AJ33-361),IF(AND('(橫掃)RX Mapping'!AJ33&gt;=601,'(橫掃)RX Mapping'!AJ33&lt;=720), (-1)*('(橫掃)RX Mapping'!AJ33-720)+120,IF(AND('(橫掃)RX Mapping'!AJ33&gt;=721,'(橫掃)RX Mapping'!AJ33&lt;=840), ('(橫掃)RX Mapping'!AJ33-601),IF(AND('(橫掃)RX Mapping'!AJ33&gt;=841,'(橫掃)RX Mapping'!AJ33&lt;=960), (-1)*('(橫掃)RX Mapping'!AJ33-960)+120,9999))))))))</f>
        <v>9999</v>
      </c>
      <c r="AK33">
        <f>IF(AND('(橫掃)RX Mapping'!AK33&gt;=1,'(橫掃)RX Mapping'!AK33&lt;=120), ('(橫掃)RX Mapping'!AK33-1),IF(AND('(橫掃)RX Mapping'!AK33&gt;=121,'(橫掃)RX Mapping'!AK33&lt;=240), (-1)*('(橫掃)RX Mapping'!AK33-240),IF(AND('(橫掃)RX Mapping'!AK33&gt;=241,'(橫掃)RX Mapping'!AK33&lt;=360), ('(橫掃)RX Mapping'!AK33-241),IF(AND('(橫掃)RX Mapping'!AK33&gt;=361,'(橫掃)RX Mapping'!AK33&lt;=480), (-1)*('(橫掃)RX Mapping'!AK33-480),IF(AND('(橫掃)RX Mapping'!AK33&gt;=481,'(橫掃)RX Mapping'!AK33&lt;=600), ('(橫掃)RX Mapping'!AK33-361),IF(AND('(橫掃)RX Mapping'!AK33&gt;=601,'(橫掃)RX Mapping'!AK33&lt;=720), (-1)*('(橫掃)RX Mapping'!AK33-720)+120,IF(AND('(橫掃)RX Mapping'!AK33&gt;=721,'(橫掃)RX Mapping'!AK33&lt;=840), ('(橫掃)RX Mapping'!AK33-601),IF(AND('(橫掃)RX Mapping'!AK33&gt;=841,'(橫掃)RX Mapping'!AK33&lt;=960), (-1)*('(橫掃)RX Mapping'!AK33-960)+120,9999))))))))</f>
        <v>9999</v>
      </c>
      <c r="AL33">
        <f>IF(AND('(橫掃)RX Mapping'!AL33&gt;=1,'(橫掃)RX Mapping'!AL33&lt;=120), ('(橫掃)RX Mapping'!AL33-1),IF(AND('(橫掃)RX Mapping'!AL33&gt;=121,'(橫掃)RX Mapping'!AL33&lt;=240), (-1)*('(橫掃)RX Mapping'!AL33-240),IF(AND('(橫掃)RX Mapping'!AL33&gt;=241,'(橫掃)RX Mapping'!AL33&lt;=360), ('(橫掃)RX Mapping'!AL33-241),IF(AND('(橫掃)RX Mapping'!AL33&gt;=361,'(橫掃)RX Mapping'!AL33&lt;=480), (-1)*('(橫掃)RX Mapping'!AL33-480),IF(AND('(橫掃)RX Mapping'!AL33&gt;=481,'(橫掃)RX Mapping'!AL33&lt;=600), ('(橫掃)RX Mapping'!AL33-361),IF(AND('(橫掃)RX Mapping'!AL33&gt;=601,'(橫掃)RX Mapping'!AL33&lt;=720), (-1)*('(橫掃)RX Mapping'!AL33-720)+120,IF(AND('(橫掃)RX Mapping'!AL33&gt;=721,'(橫掃)RX Mapping'!AL33&lt;=840), ('(橫掃)RX Mapping'!AL33-601),IF(AND('(橫掃)RX Mapping'!AL33&gt;=841,'(橫掃)RX Mapping'!AL33&lt;=960), (-1)*('(橫掃)RX Mapping'!AL33-960)+120,9999))))))))</f>
        <v>9999</v>
      </c>
      <c r="AM33">
        <f>IF(AND('(橫掃)RX Mapping'!AM33&gt;=1,'(橫掃)RX Mapping'!AM33&lt;=120), ('(橫掃)RX Mapping'!AM33-1),IF(AND('(橫掃)RX Mapping'!AM33&gt;=121,'(橫掃)RX Mapping'!AM33&lt;=240), (-1)*('(橫掃)RX Mapping'!AM33-240),IF(AND('(橫掃)RX Mapping'!AM33&gt;=241,'(橫掃)RX Mapping'!AM33&lt;=360), ('(橫掃)RX Mapping'!AM33-241),IF(AND('(橫掃)RX Mapping'!AM33&gt;=361,'(橫掃)RX Mapping'!AM33&lt;=480), (-1)*('(橫掃)RX Mapping'!AM33-480),IF(AND('(橫掃)RX Mapping'!AM33&gt;=481,'(橫掃)RX Mapping'!AM33&lt;=600), ('(橫掃)RX Mapping'!AM33-361),IF(AND('(橫掃)RX Mapping'!AM33&gt;=601,'(橫掃)RX Mapping'!AM33&lt;=720), (-1)*('(橫掃)RX Mapping'!AM33-720)+120,IF(AND('(橫掃)RX Mapping'!AM33&gt;=721,'(橫掃)RX Mapping'!AM33&lt;=840), ('(橫掃)RX Mapping'!AM33-601),IF(AND('(橫掃)RX Mapping'!AM33&gt;=841,'(橫掃)RX Mapping'!AM33&lt;=960), (-1)*('(橫掃)RX Mapping'!AM33-960)+120,9999))))))))</f>
        <v>9999</v>
      </c>
      <c r="AN33">
        <f>IF(AND('(橫掃)RX Mapping'!AN33&gt;=1,'(橫掃)RX Mapping'!AN33&lt;=120), ('(橫掃)RX Mapping'!AN33-1),IF(AND('(橫掃)RX Mapping'!AN33&gt;=121,'(橫掃)RX Mapping'!AN33&lt;=240), (-1)*('(橫掃)RX Mapping'!AN33-240),IF(AND('(橫掃)RX Mapping'!AN33&gt;=241,'(橫掃)RX Mapping'!AN33&lt;=360), ('(橫掃)RX Mapping'!AN33-241),IF(AND('(橫掃)RX Mapping'!AN33&gt;=361,'(橫掃)RX Mapping'!AN33&lt;=480), (-1)*('(橫掃)RX Mapping'!AN33-480),IF(AND('(橫掃)RX Mapping'!AN33&gt;=481,'(橫掃)RX Mapping'!AN33&lt;=600), ('(橫掃)RX Mapping'!AN33-361),IF(AND('(橫掃)RX Mapping'!AN33&gt;=601,'(橫掃)RX Mapping'!AN33&lt;=720), (-1)*('(橫掃)RX Mapping'!AN33-720)+120,IF(AND('(橫掃)RX Mapping'!AN33&gt;=721,'(橫掃)RX Mapping'!AN33&lt;=840), ('(橫掃)RX Mapping'!AN33-601),IF(AND('(橫掃)RX Mapping'!AN33&gt;=841,'(橫掃)RX Mapping'!AN33&lt;=960), (-1)*('(橫掃)RX Mapping'!AN33-960)+120,9999))))))))</f>
        <v>9999</v>
      </c>
      <c r="AO33">
        <f>IF(AND('(橫掃)RX Mapping'!AO33&gt;=1,'(橫掃)RX Mapping'!AO33&lt;=120), ('(橫掃)RX Mapping'!AO33-1),IF(AND('(橫掃)RX Mapping'!AO33&gt;=121,'(橫掃)RX Mapping'!AO33&lt;=240), (-1)*('(橫掃)RX Mapping'!AO33-240),IF(AND('(橫掃)RX Mapping'!AO33&gt;=241,'(橫掃)RX Mapping'!AO33&lt;=360), ('(橫掃)RX Mapping'!AO33-241),IF(AND('(橫掃)RX Mapping'!AO33&gt;=361,'(橫掃)RX Mapping'!AO33&lt;=480), (-1)*('(橫掃)RX Mapping'!AO33-480),IF(AND('(橫掃)RX Mapping'!AO33&gt;=481,'(橫掃)RX Mapping'!AO33&lt;=600), ('(橫掃)RX Mapping'!AO33-361),IF(AND('(橫掃)RX Mapping'!AO33&gt;=601,'(橫掃)RX Mapping'!AO33&lt;=720), (-1)*('(橫掃)RX Mapping'!AO33-720)+120,IF(AND('(橫掃)RX Mapping'!AO33&gt;=721,'(橫掃)RX Mapping'!AO33&lt;=840), ('(橫掃)RX Mapping'!AO33-601),IF(AND('(橫掃)RX Mapping'!AO33&gt;=841,'(橫掃)RX Mapping'!AO33&lt;=960), (-1)*('(橫掃)RX Mapping'!AO33-960)+120,9999))))))))</f>
        <v>9999</v>
      </c>
      <c r="AP33">
        <f>IF(AND('(橫掃)RX Mapping'!AP33&gt;=1,'(橫掃)RX Mapping'!AP33&lt;=120), ('(橫掃)RX Mapping'!AP33-1),IF(AND('(橫掃)RX Mapping'!AP33&gt;=121,'(橫掃)RX Mapping'!AP33&lt;=240), (-1)*('(橫掃)RX Mapping'!AP33-240),IF(AND('(橫掃)RX Mapping'!AP33&gt;=241,'(橫掃)RX Mapping'!AP33&lt;=360), ('(橫掃)RX Mapping'!AP33-241),IF(AND('(橫掃)RX Mapping'!AP33&gt;=361,'(橫掃)RX Mapping'!AP33&lt;=480), (-1)*('(橫掃)RX Mapping'!AP33-480),IF(AND('(橫掃)RX Mapping'!AP33&gt;=481,'(橫掃)RX Mapping'!AP33&lt;=600), ('(橫掃)RX Mapping'!AP33-361),IF(AND('(橫掃)RX Mapping'!AP33&gt;=601,'(橫掃)RX Mapping'!AP33&lt;=720), (-1)*('(橫掃)RX Mapping'!AP33-720)+120,IF(AND('(橫掃)RX Mapping'!AP33&gt;=721,'(橫掃)RX Mapping'!AP33&lt;=840), ('(橫掃)RX Mapping'!AP33-601),IF(AND('(橫掃)RX Mapping'!AP33&gt;=841,'(橫掃)RX Mapping'!AP33&lt;=960), (-1)*('(橫掃)RX Mapping'!AP33-960)+120,9999))))))))</f>
        <v>9999</v>
      </c>
      <c r="AQ33">
        <f>IF(AND('(橫掃)RX Mapping'!AQ33&gt;=1,'(橫掃)RX Mapping'!AQ33&lt;=120), ('(橫掃)RX Mapping'!AQ33-1),IF(AND('(橫掃)RX Mapping'!AQ33&gt;=121,'(橫掃)RX Mapping'!AQ33&lt;=240), (-1)*('(橫掃)RX Mapping'!AQ33-240),IF(AND('(橫掃)RX Mapping'!AQ33&gt;=241,'(橫掃)RX Mapping'!AQ33&lt;=360), ('(橫掃)RX Mapping'!AQ33-241),IF(AND('(橫掃)RX Mapping'!AQ33&gt;=361,'(橫掃)RX Mapping'!AQ33&lt;=480), (-1)*('(橫掃)RX Mapping'!AQ33-480),IF(AND('(橫掃)RX Mapping'!AQ33&gt;=481,'(橫掃)RX Mapping'!AQ33&lt;=600), ('(橫掃)RX Mapping'!AQ33-361),IF(AND('(橫掃)RX Mapping'!AQ33&gt;=601,'(橫掃)RX Mapping'!AQ33&lt;=720), (-1)*('(橫掃)RX Mapping'!AQ33-720)+120,IF(AND('(橫掃)RX Mapping'!AQ33&gt;=721,'(橫掃)RX Mapping'!AQ33&lt;=840), ('(橫掃)RX Mapping'!AQ33-601),IF(AND('(橫掃)RX Mapping'!AQ33&gt;=841,'(橫掃)RX Mapping'!AQ33&lt;=960), (-1)*('(橫掃)RX Mapping'!AQ33-960)+120,9999))))))))</f>
        <v>9999</v>
      </c>
      <c r="AR33">
        <f>IF(AND('(橫掃)RX Mapping'!AR33&gt;=1,'(橫掃)RX Mapping'!AR33&lt;=120), ('(橫掃)RX Mapping'!AR33-1),IF(AND('(橫掃)RX Mapping'!AR33&gt;=121,'(橫掃)RX Mapping'!AR33&lt;=240), (-1)*('(橫掃)RX Mapping'!AR33-240),IF(AND('(橫掃)RX Mapping'!AR33&gt;=241,'(橫掃)RX Mapping'!AR33&lt;=360), ('(橫掃)RX Mapping'!AR33-241),IF(AND('(橫掃)RX Mapping'!AR33&gt;=361,'(橫掃)RX Mapping'!AR33&lt;=480), (-1)*('(橫掃)RX Mapping'!AR33-480),IF(AND('(橫掃)RX Mapping'!AR33&gt;=481,'(橫掃)RX Mapping'!AR33&lt;=600), ('(橫掃)RX Mapping'!AR33-361),IF(AND('(橫掃)RX Mapping'!AR33&gt;=601,'(橫掃)RX Mapping'!AR33&lt;=720), (-1)*('(橫掃)RX Mapping'!AR33-720)+120,IF(AND('(橫掃)RX Mapping'!AR33&gt;=721,'(橫掃)RX Mapping'!AR33&lt;=840), ('(橫掃)RX Mapping'!AR33-601),IF(AND('(橫掃)RX Mapping'!AR33&gt;=841,'(橫掃)RX Mapping'!AR33&lt;=960), (-1)*('(橫掃)RX Mapping'!AR33-960)+120,9999))))))))</f>
        <v>9999</v>
      </c>
      <c r="AS33">
        <f>IF(AND('(橫掃)RX Mapping'!AS33&gt;=1,'(橫掃)RX Mapping'!AS33&lt;=120), ('(橫掃)RX Mapping'!AS33-1),IF(AND('(橫掃)RX Mapping'!AS33&gt;=121,'(橫掃)RX Mapping'!AS33&lt;=240), (-1)*('(橫掃)RX Mapping'!AS33-240),IF(AND('(橫掃)RX Mapping'!AS33&gt;=241,'(橫掃)RX Mapping'!AS33&lt;=360), ('(橫掃)RX Mapping'!AS33-241),IF(AND('(橫掃)RX Mapping'!AS33&gt;=361,'(橫掃)RX Mapping'!AS33&lt;=480), (-1)*('(橫掃)RX Mapping'!AS33-480),IF(AND('(橫掃)RX Mapping'!AS33&gt;=481,'(橫掃)RX Mapping'!AS33&lt;=600), ('(橫掃)RX Mapping'!AS33-361),IF(AND('(橫掃)RX Mapping'!AS33&gt;=601,'(橫掃)RX Mapping'!AS33&lt;=720), (-1)*('(橫掃)RX Mapping'!AS33-720)+120,IF(AND('(橫掃)RX Mapping'!AS33&gt;=721,'(橫掃)RX Mapping'!AS33&lt;=840), ('(橫掃)RX Mapping'!AS33-601),IF(AND('(橫掃)RX Mapping'!AS33&gt;=841,'(橫掃)RX Mapping'!AS33&lt;=960), (-1)*('(橫掃)RX Mapping'!AS33-960)+120,9999))))))))</f>
        <v>9999</v>
      </c>
      <c r="AT33">
        <f>IF(AND('(橫掃)RX Mapping'!AT33&gt;=1,'(橫掃)RX Mapping'!AT33&lt;=120), ('(橫掃)RX Mapping'!AT33-1),IF(AND('(橫掃)RX Mapping'!AT33&gt;=121,'(橫掃)RX Mapping'!AT33&lt;=240), (-1)*('(橫掃)RX Mapping'!AT33-240),IF(AND('(橫掃)RX Mapping'!AT33&gt;=241,'(橫掃)RX Mapping'!AT33&lt;=360), ('(橫掃)RX Mapping'!AT33-241),IF(AND('(橫掃)RX Mapping'!AT33&gt;=361,'(橫掃)RX Mapping'!AT33&lt;=480), (-1)*('(橫掃)RX Mapping'!AT33-480),IF(AND('(橫掃)RX Mapping'!AT33&gt;=481,'(橫掃)RX Mapping'!AT33&lt;=600), ('(橫掃)RX Mapping'!AT33-361),IF(AND('(橫掃)RX Mapping'!AT33&gt;=601,'(橫掃)RX Mapping'!AT33&lt;=720), (-1)*('(橫掃)RX Mapping'!AT33-720)+120,IF(AND('(橫掃)RX Mapping'!AT33&gt;=721,'(橫掃)RX Mapping'!AT33&lt;=840), ('(橫掃)RX Mapping'!AT33-601),IF(AND('(橫掃)RX Mapping'!AT33&gt;=841,'(橫掃)RX Mapping'!AT33&lt;=960), (-1)*('(橫掃)RX Mapping'!AT33-960)+120,9999))))))))</f>
        <v>9999</v>
      </c>
      <c r="AU33">
        <f>IF(AND('(橫掃)RX Mapping'!AU33&gt;=1,'(橫掃)RX Mapping'!AU33&lt;=120), ('(橫掃)RX Mapping'!AU33-1),IF(AND('(橫掃)RX Mapping'!AU33&gt;=121,'(橫掃)RX Mapping'!AU33&lt;=240), (-1)*('(橫掃)RX Mapping'!AU33-240),IF(AND('(橫掃)RX Mapping'!AU33&gt;=241,'(橫掃)RX Mapping'!AU33&lt;=360), ('(橫掃)RX Mapping'!AU33-241),IF(AND('(橫掃)RX Mapping'!AU33&gt;=361,'(橫掃)RX Mapping'!AU33&lt;=480), (-1)*('(橫掃)RX Mapping'!AU33-480),IF(AND('(橫掃)RX Mapping'!AU33&gt;=481,'(橫掃)RX Mapping'!AU33&lt;=600), ('(橫掃)RX Mapping'!AU33-361),IF(AND('(橫掃)RX Mapping'!AU33&gt;=601,'(橫掃)RX Mapping'!AU33&lt;=720), (-1)*('(橫掃)RX Mapping'!AU33-720)+120,IF(AND('(橫掃)RX Mapping'!AU33&gt;=721,'(橫掃)RX Mapping'!AU33&lt;=840), ('(橫掃)RX Mapping'!AU33-601),IF(AND('(橫掃)RX Mapping'!AU33&gt;=841,'(橫掃)RX Mapping'!AU33&lt;=960), (-1)*('(橫掃)RX Mapping'!AU33-960)+120,9999))))))))</f>
        <v>9999</v>
      </c>
      <c r="AV33">
        <f>IF(AND('(橫掃)RX Mapping'!AV33&gt;=1,'(橫掃)RX Mapping'!AV33&lt;=120), ('(橫掃)RX Mapping'!AV33-1),IF(AND('(橫掃)RX Mapping'!AV33&gt;=121,'(橫掃)RX Mapping'!AV33&lt;=240), (-1)*('(橫掃)RX Mapping'!AV33-240),IF(AND('(橫掃)RX Mapping'!AV33&gt;=241,'(橫掃)RX Mapping'!AV33&lt;=360), ('(橫掃)RX Mapping'!AV33-241),IF(AND('(橫掃)RX Mapping'!AV33&gt;=361,'(橫掃)RX Mapping'!AV33&lt;=480), (-1)*('(橫掃)RX Mapping'!AV33-480),IF(AND('(橫掃)RX Mapping'!AV33&gt;=481,'(橫掃)RX Mapping'!AV33&lt;=600), ('(橫掃)RX Mapping'!AV33-361),IF(AND('(橫掃)RX Mapping'!AV33&gt;=601,'(橫掃)RX Mapping'!AV33&lt;=720), (-1)*('(橫掃)RX Mapping'!AV33-720)+120,IF(AND('(橫掃)RX Mapping'!AV33&gt;=721,'(橫掃)RX Mapping'!AV33&lt;=840), ('(橫掃)RX Mapping'!AV33-601),IF(AND('(橫掃)RX Mapping'!AV33&gt;=841,'(橫掃)RX Mapping'!AV33&lt;=960), (-1)*('(橫掃)RX Mapping'!AV33-960)+120,9999))))))))</f>
        <v>9999</v>
      </c>
      <c r="AW33">
        <f>IF(AND('(橫掃)RX Mapping'!AW33&gt;=1,'(橫掃)RX Mapping'!AW33&lt;=120), ('(橫掃)RX Mapping'!AW33-1),IF(AND('(橫掃)RX Mapping'!AW33&gt;=121,'(橫掃)RX Mapping'!AW33&lt;=240), (-1)*('(橫掃)RX Mapping'!AW33-240),IF(AND('(橫掃)RX Mapping'!AW33&gt;=241,'(橫掃)RX Mapping'!AW33&lt;=360), ('(橫掃)RX Mapping'!AW33-241),IF(AND('(橫掃)RX Mapping'!AW33&gt;=361,'(橫掃)RX Mapping'!AW33&lt;=480), (-1)*('(橫掃)RX Mapping'!AW33-480),IF(AND('(橫掃)RX Mapping'!AW33&gt;=481,'(橫掃)RX Mapping'!AW33&lt;=600), ('(橫掃)RX Mapping'!AW33-361),IF(AND('(橫掃)RX Mapping'!AW33&gt;=601,'(橫掃)RX Mapping'!AW33&lt;=720), (-1)*('(橫掃)RX Mapping'!AW33-720)+120,IF(AND('(橫掃)RX Mapping'!AW33&gt;=721,'(橫掃)RX Mapping'!AW33&lt;=840), ('(橫掃)RX Mapping'!AW33-601),IF(AND('(橫掃)RX Mapping'!AW33&gt;=841,'(橫掃)RX Mapping'!AW33&lt;=960), (-1)*('(橫掃)RX Mapping'!AW33-960)+120,9999))))))))</f>
        <v>9999</v>
      </c>
      <c r="AX33">
        <f>IF(AND('(橫掃)RX Mapping'!AX33&gt;=1,'(橫掃)RX Mapping'!AX33&lt;=120), ('(橫掃)RX Mapping'!AX33-1),IF(AND('(橫掃)RX Mapping'!AX33&gt;=121,'(橫掃)RX Mapping'!AX33&lt;=240), (-1)*('(橫掃)RX Mapping'!AX33-240),IF(AND('(橫掃)RX Mapping'!AX33&gt;=241,'(橫掃)RX Mapping'!AX33&lt;=360), ('(橫掃)RX Mapping'!AX33-241),IF(AND('(橫掃)RX Mapping'!AX33&gt;=361,'(橫掃)RX Mapping'!AX33&lt;=480), (-1)*('(橫掃)RX Mapping'!AX33-480),IF(AND('(橫掃)RX Mapping'!AX33&gt;=481,'(橫掃)RX Mapping'!AX33&lt;=600), ('(橫掃)RX Mapping'!AX33-361),IF(AND('(橫掃)RX Mapping'!AX33&gt;=601,'(橫掃)RX Mapping'!AX33&lt;=720), (-1)*('(橫掃)RX Mapping'!AX33-720)+120,IF(AND('(橫掃)RX Mapping'!AX33&gt;=721,'(橫掃)RX Mapping'!AX33&lt;=840), ('(橫掃)RX Mapping'!AX33-601),IF(AND('(橫掃)RX Mapping'!AX33&gt;=841,'(橫掃)RX Mapping'!AX33&lt;=960), (-1)*('(橫掃)RX Mapping'!AX33-960)+120,9999))))))))</f>
        <v>9999</v>
      </c>
      <c r="AY33">
        <f>IF(AND('(橫掃)RX Mapping'!AY33&gt;=1,'(橫掃)RX Mapping'!AY33&lt;=120), ('(橫掃)RX Mapping'!AY33-1),IF(AND('(橫掃)RX Mapping'!AY33&gt;=121,'(橫掃)RX Mapping'!AY33&lt;=240), (-1)*('(橫掃)RX Mapping'!AY33-240),IF(AND('(橫掃)RX Mapping'!AY33&gt;=241,'(橫掃)RX Mapping'!AY33&lt;=360), ('(橫掃)RX Mapping'!AY33-241),IF(AND('(橫掃)RX Mapping'!AY33&gt;=361,'(橫掃)RX Mapping'!AY33&lt;=480), (-1)*('(橫掃)RX Mapping'!AY33-480),IF(AND('(橫掃)RX Mapping'!AY33&gt;=481,'(橫掃)RX Mapping'!AY33&lt;=600), ('(橫掃)RX Mapping'!AY33-361),IF(AND('(橫掃)RX Mapping'!AY33&gt;=601,'(橫掃)RX Mapping'!AY33&lt;=720), (-1)*('(橫掃)RX Mapping'!AY33-720)+120,IF(AND('(橫掃)RX Mapping'!AY33&gt;=721,'(橫掃)RX Mapping'!AY33&lt;=840), ('(橫掃)RX Mapping'!AY33-601),IF(AND('(橫掃)RX Mapping'!AY33&gt;=841,'(橫掃)RX Mapping'!AY33&lt;=960), (-1)*('(橫掃)RX Mapping'!AY33-960)+120,9999))))))))</f>
        <v>9999</v>
      </c>
      <c r="AZ33">
        <f>IF(AND('(橫掃)RX Mapping'!AZ33&gt;=1,'(橫掃)RX Mapping'!AZ33&lt;=120), ('(橫掃)RX Mapping'!AZ33-1),IF(AND('(橫掃)RX Mapping'!AZ33&gt;=121,'(橫掃)RX Mapping'!AZ33&lt;=240), (-1)*('(橫掃)RX Mapping'!AZ33-240),IF(AND('(橫掃)RX Mapping'!AZ33&gt;=241,'(橫掃)RX Mapping'!AZ33&lt;=360), ('(橫掃)RX Mapping'!AZ33-241),IF(AND('(橫掃)RX Mapping'!AZ33&gt;=361,'(橫掃)RX Mapping'!AZ33&lt;=480), (-1)*('(橫掃)RX Mapping'!AZ33-480),IF(AND('(橫掃)RX Mapping'!AZ33&gt;=481,'(橫掃)RX Mapping'!AZ33&lt;=600), ('(橫掃)RX Mapping'!AZ33-361),IF(AND('(橫掃)RX Mapping'!AZ33&gt;=601,'(橫掃)RX Mapping'!AZ33&lt;=720), (-1)*('(橫掃)RX Mapping'!AZ33-720)+120,IF(AND('(橫掃)RX Mapping'!AZ33&gt;=721,'(橫掃)RX Mapping'!AZ33&lt;=840), ('(橫掃)RX Mapping'!AZ33-601),IF(AND('(橫掃)RX Mapping'!AZ33&gt;=841,'(橫掃)RX Mapping'!AZ33&lt;=960), (-1)*('(橫掃)RX Mapping'!AZ33-960)+120,9999))))))))</f>
        <v>9999</v>
      </c>
      <c r="BA33">
        <f>IF(AND('(橫掃)RX Mapping'!BA33&gt;=1,'(橫掃)RX Mapping'!BA33&lt;=120), ('(橫掃)RX Mapping'!BA33-1),IF(AND('(橫掃)RX Mapping'!BA33&gt;=121,'(橫掃)RX Mapping'!BA33&lt;=240), (-1)*('(橫掃)RX Mapping'!BA33-240),IF(AND('(橫掃)RX Mapping'!BA33&gt;=241,'(橫掃)RX Mapping'!BA33&lt;=360), ('(橫掃)RX Mapping'!BA33-241),IF(AND('(橫掃)RX Mapping'!BA33&gt;=361,'(橫掃)RX Mapping'!BA33&lt;=480), (-1)*('(橫掃)RX Mapping'!BA33-480),IF(AND('(橫掃)RX Mapping'!BA33&gt;=481,'(橫掃)RX Mapping'!BA33&lt;=600), ('(橫掃)RX Mapping'!BA33-361),IF(AND('(橫掃)RX Mapping'!BA33&gt;=601,'(橫掃)RX Mapping'!BA33&lt;=720), (-1)*('(橫掃)RX Mapping'!BA33-720)+120,IF(AND('(橫掃)RX Mapping'!BA33&gt;=721,'(橫掃)RX Mapping'!BA33&lt;=840), ('(橫掃)RX Mapping'!BA33-601),IF(AND('(橫掃)RX Mapping'!BA33&gt;=841,'(橫掃)RX Mapping'!BA33&lt;=960), (-1)*('(橫掃)RX Mapping'!BA33-960)+120,9999))))))))</f>
        <v>9999</v>
      </c>
      <c r="BB33">
        <f>IF(AND('(橫掃)RX Mapping'!BB33&gt;=1,'(橫掃)RX Mapping'!BB33&lt;=120), ('(橫掃)RX Mapping'!BB33-1),IF(AND('(橫掃)RX Mapping'!BB33&gt;=121,'(橫掃)RX Mapping'!BB33&lt;=240), (-1)*('(橫掃)RX Mapping'!BB33-240),IF(AND('(橫掃)RX Mapping'!BB33&gt;=241,'(橫掃)RX Mapping'!BB33&lt;=360), ('(橫掃)RX Mapping'!BB33-241),IF(AND('(橫掃)RX Mapping'!BB33&gt;=361,'(橫掃)RX Mapping'!BB33&lt;=480), (-1)*('(橫掃)RX Mapping'!BB33-480),IF(AND('(橫掃)RX Mapping'!BB33&gt;=481,'(橫掃)RX Mapping'!BB33&lt;=600), ('(橫掃)RX Mapping'!BB33-361),IF(AND('(橫掃)RX Mapping'!BB33&gt;=601,'(橫掃)RX Mapping'!BB33&lt;=720), (-1)*('(橫掃)RX Mapping'!BB33-720)+120,IF(AND('(橫掃)RX Mapping'!BB33&gt;=721,'(橫掃)RX Mapping'!BB33&lt;=840), ('(橫掃)RX Mapping'!BB33-601),IF(AND('(橫掃)RX Mapping'!BB33&gt;=841,'(橫掃)RX Mapping'!BB33&lt;=960), (-1)*('(橫掃)RX Mapping'!BB33-960)+120,9999))))))))</f>
        <v>9999</v>
      </c>
      <c r="BC33">
        <f>IF(AND('(橫掃)RX Mapping'!BC33&gt;=1,'(橫掃)RX Mapping'!BC33&lt;=120), ('(橫掃)RX Mapping'!BC33-1),IF(AND('(橫掃)RX Mapping'!BC33&gt;=121,'(橫掃)RX Mapping'!BC33&lt;=240), (-1)*('(橫掃)RX Mapping'!BC33-240),IF(AND('(橫掃)RX Mapping'!BC33&gt;=241,'(橫掃)RX Mapping'!BC33&lt;=360), ('(橫掃)RX Mapping'!BC33-241),IF(AND('(橫掃)RX Mapping'!BC33&gt;=361,'(橫掃)RX Mapping'!BC33&lt;=480), (-1)*('(橫掃)RX Mapping'!BC33-480),IF(AND('(橫掃)RX Mapping'!BC33&gt;=481,'(橫掃)RX Mapping'!BC33&lt;=600), ('(橫掃)RX Mapping'!BC33-361),IF(AND('(橫掃)RX Mapping'!BC33&gt;=601,'(橫掃)RX Mapping'!BC33&lt;=720), (-1)*('(橫掃)RX Mapping'!BC33-720)+120,IF(AND('(橫掃)RX Mapping'!BC33&gt;=721,'(橫掃)RX Mapping'!BC33&lt;=840), ('(橫掃)RX Mapping'!BC33-601),IF(AND('(橫掃)RX Mapping'!BC33&gt;=841,'(橫掃)RX Mapping'!BC33&lt;=960), (-1)*('(橫掃)RX Mapping'!BC33-960)+120,9999))))))))</f>
        <v>9999</v>
      </c>
      <c r="BD33">
        <f>IF(AND('(橫掃)RX Mapping'!BD33&gt;=1,'(橫掃)RX Mapping'!BD33&lt;=120), ('(橫掃)RX Mapping'!BD33-1),IF(AND('(橫掃)RX Mapping'!BD33&gt;=121,'(橫掃)RX Mapping'!BD33&lt;=240), (-1)*('(橫掃)RX Mapping'!BD33-240),IF(AND('(橫掃)RX Mapping'!BD33&gt;=241,'(橫掃)RX Mapping'!BD33&lt;=360), ('(橫掃)RX Mapping'!BD33-241),IF(AND('(橫掃)RX Mapping'!BD33&gt;=361,'(橫掃)RX Mapping'!BD33&lt;=480), (-1)*('(橫掃)RX Mapping'!BD33-480),IF(AND('(橫掃)RX Mapping'!BD33&gt;=481,'(橫掃)RX Mapping'!BD33&lt;=600), ('(橫掃)RX Mapping'!BD33-361),IF(AND('(橫掃)RX Mapping'!BD33&gt;=601,'(橫掃)RX Mapping'!BD33&lt;=720), (-1)*('(橫掃)RX Mapping'!BD33-720)+120,IF(AND('(橫掃)RX Mapping'!BD33&gt;=721,'(橫掃)RX Mapping'!BD33&lt;=840), ('(橫掃)RX Mapping'!BD33-601),IF(AND('(橫掃)RX Mapping'!BD33&gt;=841,'(橫掃)RX Mapping'!BD33&lt;=960), (-1)*('(橫掃)RX Mapping'!BD33-960)+120,9999))))))))</f>
        <v>9999</v>
      </c>
      <c r="BE33">
        <f>IF(AND('(橫掃)RX Mapping'!BE33&gt;=1,'(橫掃)RX Mapping'!BE33&lt;=120), ('(橫掃)RX Mapping'!BE33-1),IF(AND('(橫掃)RX Mapping'!BE33&gt;=121,'(橫掃)RX Mapping'!BE33&lt;=240), (-1)*('(橫掃)RX Mapping'!BE33-240),IF(AND('(橫掃)RX Mapping'!BE33&gt;=241,'(橫掃)RX Mapping'!BE33&lt;=360), ('(橫掃)RX Mapping'!BE33-241),IF(AND('(橫掃)RX Mapping'!BE33&gt;=361,'(橫掃)RX Mapping'!BE33&lt;=480), (-1)*('(橫掃)RX Mapping'!BE33-480),IF(AND('(橫掃)RX Mapping'!BE33&gt;=481,'(橫掃)RX Mapping'!BE33&lt;=600), ('(橫掃)RX Mapping'!BE33-361),IF(AND('(橫掃)RX Mapping'!BE33&gt;=601,'(橫掃)RX Mapping'!BE33&lt;=720), (-1)*('(橫掃)RX Mapping'!BE33-720)+120,IF(AND('(橫掃)RX Mapping'!BE33&gt;=721,'(橫掃)RX Mapping'!BE33&lt;=840), ('(橫掃)RX Mapping'!BE33-601),IF(AND('(橫掃)RX Mapping'!BE33&gt;=841,'(橫掃)RX Mapping'!BE33&lt;=960), (-1)*('(橫掃)RX Mapping'!BE33-960)+120,9999))))))))</f>
        <v>9999</v>
      </c>
      <c r="BF33">
        <f>IF(AND('(橫掃)RX Mapping'!BF33&gt;=1,'(橫掃)RX Mapping'!BF33&lt;=120), ('(橫掃)RX Mapping'!BF33-1),IF(AND('(橫掃)RX Mapping'!BF33&gt;=121,'(橫掃)RX Mapping'!BF33&lt;=240), (-1)*('(橫掃)RX Mapping'!BF33-240),IF(AND('(橫掃)RX Mapping'!BF33&gt;=241,'(橫掃)RX Mapping'!BF33&lt;=360), ('(橫掃)RX Mapping'!BF33-241),IF(AND('(橫掃)RX Mapping'!BF33&gt;=361,'(橫掃)RX Mapping'!BF33&lt;=480), (-1)*('(橫掃)RX Mapping'!BF33-480),IF(AND('(橫掃)RX Mapping'!BF33&gt;=481,'(橫掃)RX Mapping'!BF33&lt;=600), ('(橫掃)RX Mapping'!BF33-361),IF(AND('(橫掃)RX Mapping'!BF33&gt;=601,'(橫掃)RX Mapping'!BF33&lt;=720), (-1)*('(橫掃)RX Mapping'!BF33-720)+120,IF(AND('(橫掃)RX Mapping'!BF33&gt;=721,'(橫掃)RX Mapping'!BF33&lt;=840), ('(橫掃)RX Mapping'!BF33-601),IF(AND('(橫掃)RX Mapping'!BF33&gt;=841,'(橫掃)RX Mapping'!BF33&lt;=960), (-1)*('(橫掃)RX Mapping'!BF33-960)+120,9999))))))))</f>
        <v>9999</v>
      </c>
      <c r="BG33">
        <f>IF(AND('(橫掃)RX Mapping'!BG33&gt;=1,'(橫掃)RX Mapping'!BG33&lt;=120), ('(橫掃)RX Mapping'!BG33-1),IF(AND('(橫掃)RX Mapping'!BG33&gt;=121,'(橫掃)RX Mapping'!BG33&lt;=240), (-1)*('(橫掃)RX Mapping'!BG33-240),IF(AND('(橫掃)RX Mapping'!BG33&gt;=241,'(橫掃)RX Mapping'!BG33&lt;=360), ('(橫掃)RX Mapping'!BG33-241),IF(AND('(橫掃)RX Mapping'!BG33&gt;=361,'(橫掃)RX Mapping'!BG33&lt;=480), (-1)*('(橫掃)RX Mapping'!BG33-480),IF(AND('(橫掃)RX Mapping'!BG33&gt;=481,'(橫掃)RX Mapping'!BG33&lt;=600), ('(橫掃)RX Mapping'!BG33-361),IF(AND('(橫掃)RX Mapping'!BG33&gt;=601,'(橫掃)RX Mapping'!BG33&lt;=720), (-1)*('(橫掃)RX Mapping'!BG33-720)+120,IF(AND('(橫掃)RX Mapping'!BG33&gt;=721,'(橫掃)RX Mapping'!BG33&lt;=840), ('(橫掃)RX Mapping'!BG33-601),IF(AND('(橫掃)RX Mapping'!BG33&gt;=841,'(橫掃)RX Mapping'!BG33&lt;=960), (-1)*('(橫掃)RX Mapping'!BG33-960)+120,9999))))))))</f>
        <v>9999</v>
      </c>
      <c r="BH33">
        <f>IF(AND('(橫掃)RX Mapping'!BH33&gt;=1,'(橫掃)RX Mapping'!BH33&lt;=120), ('(橫掃)RX Mapping'!BH33-1),IF(AND('(橫掃)RX Mapping'!BH33&gt;=121,'(橫掃)RX Mapping'!BH33&lt;=240), (-1)*('(橫掃)RX Mapping'!BH33-240),IF(AND('(橫掃)RX Mapping'!BH33&gt;=241,'(橫掃)RX Mapping'!BH33&lt;=360), ('(橫掃)RX Mapping'!BH33-241),IF(AND('(橫掃)RX Mapping'!BH33&gt;=361,'(橫掃)RX Mapping'!BH33&lt;=480), (-1)*('(橫掃)RX Mapping'!BH33-480),IF(AND('(橫掃)RX Mapping'!BH33&gt;=481,'(橫掃)RX Mapping'!BH33&lt;=600), ('(橫掃)RX Mapping'!BH33-361),IF(AND('(橫掃)RX Mapping'!BH33&gt;=601,'(橫掃)RX Mapping'!BH33&lt;=720), (-1)*('(橫掃)RX Mapping'!BH33-720)+120,IF(AND('(橫掃)RX Mapping'!BH33&gt;=721,'(橫掃)RX Mapping'!BH33&lt;=840), ('(橫掃)RX Mapping'!BH33-601),IF(AND('(橫掃)RX Mapping'!BH33&gt;=841,'(橫掃)RX Mapping'!BH33&lt;=960), (-1)*('(橫掃)RX Mapping'!BH33-960)+120,9999))))))))</f>
        <v>9999</v>
      </c>
      <c r="BI33">
        <f>IF(AND('(橫掃)RX Mapping'!BI33&gt;=1,'(橫掃)RX Mapping'!BI33&lt;=120), ('(橫掃)RX Mapping'!BI33-1),IF(AND('(橫掃)RX Mapping'!BI33&gt;=121,'(橫掃)RX Mapping'!BI33&lt;=240), (-1)*('(橫掃)RX Mapping'!BI33-240),IF(AND('(橫掃)RX Mapping'!BI33&gt;=241,'(橫掃)RX Mapping'!BI33&lt;=360), ('(橫掃)RX Mapping'!BI33-241),IF(AND('(橫掃)RX Mapping'!BI33&gt;=361,'(橫掃)RX Mapping'!BI33&lt;=480), (-1)*('(橫掃)RX Mapping'!BI33-480),IF(AND('(橫掃)RX Mapping'!BI33&gt;=481,'(橫掃)RX Mapping'!BI33&lt;=600), ('(橫掃)RX Mapping'!BI33-361),IF(AND('(橫掃)RX Mapping'!BI33&gt;=601,'(橫掃)RX Mapping'!BI33&lt;=720), (-1)*('(橫掃)RX Mapping'!BI33-720)+120,IF(AND('(橫掃)RX Mapping'!BI33&gt;=721,'(橫掃)RX Mapping'!BI33&lt;=840), ('(橫掃)RX Mapping'!BI33-601),IF(AND('(橫掃)RX Mapping'!BI33&gt;=841,'(橫掃)RX Mapping'!BI33&lt;=960), (-1)*('(橫掃)RX Mapping'!BI33-960)+120,9999))))))))</f>
        <v>9999</v>
      </c>
    </row>
    <row r="34" spans="1:61" x14ac:dyDescent="0.25">
      <c r="A34" s="20">
        <v>33</v>
      </c>
      <c r="B34">
        <f>IF(AND('(橫掃)RX Mapping'!B34&gt;=1,'(橫掃)RX Mapping'!B34&lt;=120), ('(橫掃)RX Mapping'!B34-1),IF(AND('(橫掃)RX Mapping'!B34&gt;=121,'(橫掃)RX Mapping'!B34&lt;=240), (-1)*('(橫掃)RX Mapping'!B34-240),IF(AND('(橫掃)RX Mapping'!B34&gt;=241,'(橫掃)RX Mapping'!B34&lt;=360), ('(橫掃)RX Mapping'!B34-241),IF(AND('(橫掃)RX Mapping'!B34&gt;=361,'(橫掃)RX Mapping'!B34&lt;=480), (-1)*('(橫掃)RX Mapping'!B34-480),IF(AND('(橫掃)RX Mapping'!B34&gt;=481,'(橫掃)RX Mapping'!B34&lt;=600), ('(橫掃)RX Mapping'!B34-361),IF(AND('(橫掃)RX Mapping'!B34&gt;=601,'(橫掃)RX Mapping'!B34&lt;=720), (-1)*('(橫掃)RX Mapping'!B34-720)+120,IF(AND('(橫掃)RX Mapping'!B34&gt;=721,'(橫掃)RX Mapping'!B34&lt;=840), ('(橫掃)RX Mapping'!B34-601),IF(AND('(橫掃)RX Mapping'!B34&gt;=841,'(橫掃)RX Mapping'!B34&lt;=960), (-1)*('(橫掃)RX Mapping'!B34-960)+120,9999))))))))</f>
        <v>9999</v>
      </c>
      <c r="C34">
        <f>IF(AND('(橫掃)RX Mapping'!C34&gt;=1,'(橫掃)RX Mapping'!C34&lt;=120), ('(橫掃)RX Mapping'!C34-1),IF(AND('(橫掃)RX Mapping'!C34&gt;=121,'(橫掃)RX Mapping'!C34&lt;=240), (-1)*('(橫掃)RX Mapping'!C34-240),IF(AND('(橫掃)RX Mapping'!C34&gt;=241,'(橫掃)RX Mapping'!C34&lt;=360), ('(橫掃)RX Mapping'!C34-241),IF(AND('(橫掃)RX Mapping'!C34&gt;=361,'(橫掃)RX Mapping'!C34&lt;=480), (-1)*('(橫掃)RX Mapping'!C34-480),IF(AND('(橫掃)RX Mapping'!C34&gt;=481,'(橫掃)RX Mapping'!C34&lt;=600), ('(橫掃)RX Mapping'!C34-361),IF(AND('(橫掃)RX Mapping'!C34&gt;=601,'(橫掃)RX Mapping'!C34&lt;=720), (-1)*('(橫掃)RX Mapping'!C34-720)+120,IF(AND('(橫掃)RX Mapping'!C34&gt;=721,'(橫掃)RX Mapping'!C34&lt;=840), ('(橫掃)RX Mapping'!C34-601),IF(AND('(橫掃)RX Mapping'!C34&gt;=841,'(橫掃)RX Mapping'!C34&lt;=960), (-1)*('(橫掃)RX Mapping'!C34-960)+120,9999))))))))</f>
        <v>9999</v>
      </c>
      <c r="D34">
        <f>IF(AND('(橫掃)RX Mapping'!D34&gt;=1,'(橫掃)RX Mapping'!D34&lt;=120), ('(橫掃)RX Mapping'!D34-1),IF(AND('(橫掃)RX Mapping'!D34&gt;=121,'(橫掃)RX Mapping'!D34&lt;=240), (-1)*('(橫掃)RX Mapping'!D34-240),IF(AND('(橫掃)RX Mapping'!D34&gt;=241,'(橫掃)RX Mapping'!D34&lt;=360), ('(橫掃)RX Mapping'!D34-241),IF(AND('(橫掃)RX Mapping'!D34&gt;=361,'(橫掃)RX Mapping'!D34&lt;=480), (-1)*('(橫掃)RX Mapping'!D34-480),IF(AND('(橫掃)RX Mapping'!D34&gt;=481,'(橫掃)RX Mapping'!D34&lt;=600), ('(橫掃)RX Mapping'!D34-361),IF(AND('(橫掃)RX Mapping'!D34&gt;=601,'(橫掃)RX Mapping'!D34&lt;=720), (-1)*('(橫掃)RX Mapping'!D34-720)+120,IF(AND('(橫掃)RX Mapping'!D34&gt;=721,'(橫掃)RX Mapping'!D34&lt;=840), ('(橫掃)RX Mapping'!D34-601),IF(AND('(橫掃)RX Mapping'!D34&gt;=841,'(橫掃)RX Mapping'!D34&lt;=960), (-1)*('(橫掃)RX Mapping'!D34-960)+120,9999))))))))</f>
        <v>9999</v>
      </c>
      <c r="E34">
        <f>IF(AND('(橫掃)RX Mapping'!E34&gt;=1,'(橫掃)RX Mapping'!E34&lt;=120), ('(橫掃)RX Mapping'!E34-1),IF(AND('(橫掃)RX Mapping'!E34&gt;=121,'(橫掃)RX Mapping'!E34&lt;=240), (-1)*('(橫掃)RX Mapping'!E34-240),IF(AND('(橫掃)RX Mapping'!E34&gt;=241,'(橫掃)RX Mapping'!E34&lt;=360), ('(橫掃)RX Mapping'!E34-241),IF(AND('(橫掃)RX Mapping'!E34&gt;=361,'(橫掃)RX Mapping'!E34&lt;=480), (-1)*('(橫掃)RX Mapping'!E34-480),IF(AND('(橫掃)RX Mapping'!E34&gt;=481,'(橫掃)RX Mapping'!E34&lt;=600), ('(橫掃)RX Mapping'!E34-361),IF(AND('(橫掃)RX Mapping'!E34&gt;=601,'(橫掃)RX Mapping'!E34&lt;=720), (-1)*('(橫掃)RX Mapping'!E34-720)+120,IF(AND('(橫掃)RX Mapping'!E34&gt;=721,'(橫掃)RX Mapping'!E34&lt;=840), ('(橫掃)RX Mapping'!E34-601),IF(AND('(橫掃)RX Mapping'!E34&gt;=841,'(橫掃)RX Mapping'!E34&lt;=960), (-1)*('(橫掃)RX Mapping'!E34-960)+120,9999))))))))</f>
        <v>9999</v>
      </c>
      <c r="F34">
        <f>IF(AND('(橫掃)RX Mapping'!F34&gt;=1,'(橫掃)RX Mapping'!F34&lt;=120), ('(橫掃)RX Mapping'!F34-1),IF(AND('(橫掃)RX Mapping'!F34&gt;=121,'(橫掃)RX Mapping'!F34&lt;=240), (-1)*('(橫掃)RX Mapping'!F34-240),IF(AND('(橫掃)RX Mapping'!F34&gt;=241,'(橫掃)RX Mapping'!F34&lt;=360), ('(橫掃)RX Mapping'!F34-241),IF(AND('(橫掃)RX Mapping'!F34&gt;=361,'(橫掃)RX Mapping'!F34&lt;=480), (-1)*('(橫掃)RX Mapping'!F34-480),IF(AND('(橫掃)RX Mapping'!F34&gt;=481,'(橫掃)RX Mapping'!F34&lt;=600), ('(橫掃)RX Mapping'!F34-361),IF(AND('(橫掃)RX Mapping'!F34&gt;=601,'(橫掃)RX Mapping'!F34&lt;=720), (-1)*('(橫掃)RX Mapping'!F34-720)+120,IF(AND('(橫掃)RX Mapping'!F34&gt;=721,'(橫掃)RX Mapping'!F34&lt;=840), ('(橫掃)RX Mapping'!F34-601),IF(AND('(橫掃)RX Mapping'!F34&gt;=841,'(橫掃)RX Mapping'!F34&lt;=960), (-1)*('(橫掃)RX Mapping'!F34-960)+120,9999))))))))</f>
        <v>9999</v>
      </c>
      <c r="G34">
        <f>IF(AND('(橫掃)RX Mapping'!G34&gt;=1,'(橫掃)RX Mapping'!G34&lt;=120), ('(橫掃)RX Mapping'!G34-1),IF(AND('(橫掃)RX Mapping'!G34&gt;=121,'(橫掃)RX Mapping'!G34&lt;=240), (-1)*('(橫掃)RX Mapping'!G34-240),IF(AND('(橫掃)RX Mapping'!G34&gt;=241,'(橫掃)RX Mapping'!G34&lt;=360), ('(橫掃)RX Mapping'!G34-241),IF(AND('(橫掃)RX Mapping'!G34&gt;=361,'(橫掃)RX Mapping'!G34&lt;=480), (-1)*('(橫掃)RX Mapping'!G34-480),IF(AND('(橫掃)RX Mapping'!G34&gt;=481,'(橫掃)RX Mapping'!G34&lt;=600), ('(橫掃)RX Mapping'!G34-361),IF(AND('(橫掃)RX Mapping'!G34&gt;=601,'(橫掃)RX Mapping'!G34&lt;=720), (-1)*('(橫掃)RX Mapping'!G34-720)+120,IF(AND('(橫掃)RX Mapping'!G34&gt;=721,'(橫掃)RX Mapping'!G34&lt;=840), ('(橫掃)RX Mapping'!G34-601),IF(AND('(橫掃)RX Mapping'!G34&gt;=841,'(橫掃)RX Mapping'!G34&lt;=960), (-1)*('(橫掃)RX Mapping'!G34-960)+120,9999))))))))</f>
        <v>9999</v>
      </c>
      <c r="H34">
        <f>IF(AND('(橫掃)RX Mapping'!H34&gt;=1,'(橫掃)RX Mapping'!H34&lt;=120), ('(橫掃)RX Mapping'!H34-1),IF(AND('(橫掃)RX Mapping'!H34&gt;=121,'(橫掃)RX Mapping'!H34&lt;=240), (-1)*('(橫掃)RX Mapping'!H34-240),IF(AND('(橫掃)RX Mapping'!H34&gt;=241,'(橫掃)RX Mapping'!H34&lt;=360), ('(橫掃)RX Mapping'!H34-241),IF(AND('(橫掃)RX Mapping'!H34&gt;=361,'(橫掃)RX Mapping'!H34&lt;=480), (-1)*('(橫掃)RX Mapping'!H34-480),IF(AND('(橫掃)RX Mapping'!H34&gt;=481,'(橫掃)RX Mapping'!H34&lt;=600), ('(橫掃)RX Mapping'!H34-361),IF(AND('(橫掃)RX Mapping'!H34&gt;=601,'(橫掃)RX Mapping'!H34&lt;=720), (-1)*('(橫掃)RX Mapping'!H34-720)+120,IF(AND('(橫掃)RX Mapping'!H34&gt;=721,'(橫掃)RX Mapping'!H34&lt;=840), ('(橫掃)RX Mapping'!H34-601),IF(AND('(橫掃)RX Mapping'!H34&gt;=841,'(橫掃)RX Mapping'!H34&lt;=960), (-1)*('(橫掃)RX Mapping'!H34-960)+120,9999))))))))</f>
        <v>9999</v>
      </c>
      <c r="I34">
        <f>IF(AND('(橫掃)RX Mapping'!I34&gt;=1,'(橫掃)RX Mapping'!I34&lt;=120), ('(橫掃)RX Mapping'!I34-1),IF(AND('(橫掃)RX Mapping'!I34&gt;=121,'(橫掃)RX Mapping'!I34&lt;=240), (-1)*('(橫掃)RX Mapping'!I34-240),IF(AND('(橫掃)RX Mapping'!I34&gt;=241,'(橫掃)RX Mapping'!I34&lt;=360), ('(橫掃)RX Mapping'!I34-241),IF(AND('(橫掃)RX Mapping'!I34&gt;=361,'(橫掃)RX Mapping'!I34&lt;=480), (-1)*('(橫掃)RX Mapping'!I34-480),IF(AND('(橫掃)RX Mapping'!I34&gt;=481,'(橫掃)RX Mapping'!I34&lt;=600), ('(橫掃)RX Mapping'!I34-361),IF(AND('(橫掃)RX Mapping'!I34&gt;=601,'(橫掃)RX Mapping'!I34&lt;=720), (-1)*('(橫掃)RX Mapping'!I34-720)+120,IF(AND('(橫掃)RX Mapping'!I34&gt;=721,'(橫掃)RX Mapping'!I34&lt;=840), ('(橫掃)RX Mapping'!I34-601),IF(AND('(橫掃)RX Mapping'!I34&gt;=841,'(橫掃)RX Mapping'!I34&lt;=960), (-1)*('(橫掃)RX Mapping'!I34-960)+120,9999))))))))</f>
        <v>9999</v>
      </c>
      <c r="J34">
        <f>IF(AND('(橫掃)RX Mapping'!J34&gt;=1,'(橫掃)RX Mapping'!J34&lt;=120), ('(橫掃)RX Mapping'!J34-1),IF(AND('(橫掃)RX Mapping'!J34&gt;=121,'(橫掃)RX Mapping'!J34&lt;=240), (-1)*('(橫掃)RX Mapping'!J34-240),IF(AND('(橫掃)RX Mapping'!J34&gt;=241,'(橫掃)RX Mapping'!J34&lt;=360), ('(橫掃)RX Mapping'!J34-241),IF(AND('(橫掃)RX Mapping'!J34&gt;=361,'(橫掃)RX Mapping'!J34&lt;=480), (-1)*('(橫掃)RX Mapping'!J34-480),IF(AND('(橫掃)RX Mapping'!J34&gt;=481,'(橫掃)RX Mapping'!J34&lt;=600), ('(橫掃)RX Mapping'!J34-361),IF(AND('(橫掃)RX Mapping'!J34&gt;=601,'(橫掃)RX Mapping'!J34&lt;=720), (-1)*('(橫掃)RX Mapping'!J34-720)+120,IF(AND('(橫掃)RX Mapping'!J34&gt;=721,'(橫掃)RX Mapping'!J34&lt;=840), ('(橫掃)RX Mapping'!J34-601),IF(AND('(橫掃)RX Mapping'!J34&gt;=841,'(橫掃)RX Mapping'!J34&lt;=960), (-1)*('(橫掃)RX Mapping'!J34-960)+120,9999))))))))</f>
        <v>9999</v>
      </c>
      <c r="K34">
        <f>IF(AND('(橫掃)RX Mapping'!K34&gt;=1,'(橫掃)RX Mapping'!K34&lt;=120), ('(橫掃)RX Mapping'!K34-1),IF(AND('(橫掃)RX Mapping'!K34&gt;=121,'(橫掃)RX Mapping'!K34&lt;=240), (-1)*('(橫掃)RX Mapping'!K34-240),IF(AND('(橫掃)RX Mapping'!K34&gt;=241,'(橫掃)RX Mapping'!K34&lt;=360), ('(橫掃)RX Mapping'!K34-241),IF(AND('(橫掃)RX Mapping'!K34&gt;=361,'(橫掃)RX Mapping'!K34&lt;=480), (-1)*('(橫掃)RX Mapping'!K34-480),IF(AND('(橫掃)RX Mapping'!K34&gt;=481,'(橫掃)RX Mapping'!K34&lt;=600), ('(橫掃)RX Mapping'!K34-361),IF(AND('(橫掃)RX Mapping'!K34&gt;=601,'(橫掃)RX Mapping'!K34&lt;=720), (-1)*('(橫掃)RX Mapping'!K34-720)+120,IF(AND('(橫掃)RX Mapping'!K34&gt;=721,'(橫掃)RX Mapping'!K34&lt;=840), ('(橫掃)RX Mapping'!K34-601),IF(AND('(橫掃)RX Mapping'!K34&gt;=841,'(橫掃)RX Mapping'!K34&lt;=960), (-1)*('(橫掃)RX Mapping'!K34-960)+120,9999))))))))</f>
        <v>9999</v>
      </c>
      <c r="L34">
        <f>IF(AND('(橫掃)RX Mapping'!L34&gt;=1,'(橫掃)RX Mapping'!L34&lt;=120), ('(橫掃)RX Mapping'!L34-1),IF(AND('(橫掃)RX Mapping'!L34&gt;=121,'(橫掃)RX Mapping'!L34&lt;=240), (-1)*('(橫掃)RX Mapping'!L34-240),IF(AND('(橫掃)RX Mapping'!L34&gt;=241,'(橫掃)RX Mapping'!L34&lt;=360), ('(橫掃)RX Mapping'!L34-241),IF(AND('(橫掃)RX Mapping'!L34&gt;=361,'(橫掃)RX Mapping'!L34&lt;=480), (-1)*('(橫掃)RX Mapping'!L34-480),IF(AND('(橫掃)RX Mapping'!L34&gt;=481,'(橫掃)RX Mapping'!L34&lt;=600), ('(橫掃)RX Mapping'!L34-361),IF(AND('(橫掃)RX Mapping'!L34&gt;=601,'(橫掃)RX Mapping'!L34&lt;=720), (-1)*('(橫掃)RX Mapping'!L34-720)+120,IF(AND('(橫掃)RX Mapping'!L34&gt;=721,'(橫掃)RX Mapping'!L34&lt;=840), ('(橫掃)RX Mapping'!L34-601),IF(AND('(橫掃)RX Mapping'!L34&gt;=841,'(橫掃)RX Mapping'!L34&lt;=960), (-1)*('(橫掃)RX Mapping'!L34-960)+120,9999))))))))</f>
        <v>9999</v>
      </c>
      <c r="M34">
        <f>IF(AND('(橫掃)RX Mapping'!M34&gt;=1,'(橫掃)RX Mapping'!M34&lt;=120), ('(橫掃)RX Mapping'!M34-1),IF(AND('(橫掃)RX Mapping'!M34&gt;=121,'(橫掃)RX Mapping'!M34&lt;=240), (-1)*('(橫掃)RX Mapping'!M34-240),IF(AND('(橫掃)RX Mapping'!M34&gt;=241,'(橫掃)RX Mapping'!M34&lt;=360), ('(橫掃)RX Mapping'!M34-241),IF(AND('(橫掃)RX Mapping'!M34&gt;=361,'(橫掃)RX Mapping'!M34&lt;=480), (-1)*('(橫掃)RX Mapping'!M34-480),IF(AND('(橫掃)RX Mapping'!M34&gt;=481,'(橫掃)RX Mapping'!M34&lt;=600), ('(橫掃)RX Mapping'!M34-361),IF(AND('(橫掃)RX Mapping'!M34&gt;=601,'(橫掃)RX Mapping'!M34&lt;=720), (-1)*('(橫掃)RX Mapping'!M34-720)+120,IF(AND('(橫掃)RX Mapping'!M34&gt;=721,'(橫掃)RX Mapping'!M34&lt;=840), ('(橫掃)RX Mapping'!M34-601),IF(AND('(橫掃)RX Mapping'!M34&gt;=841,'(橫掃)RX Mapping'!M34&lt;=960), (-1)*('(橫掃)RX Mapping'!M34-960)+120,9999))))))))</f>
        <v>9999</v>
      </c>
      <c r="N34">
        <f>IF(AND('(橫掃)RX Mapping'!N34&gt;=1,'(橫掃)RX Mapping'!N34&lt;=120), ('(橫掃)RX Mapping'!N34-1),IF(AND('(橫掃)RX Mapping'!N34&gt;=121,'(橫掃)RX Mapping'!N34&lt;=240), (-1)*('(橫掃)RX Mapping'!N34-240),IF(AND('(橫掃)RX Mapping'!N34&gt;=241,'(橫掃)RX Mapping'!N34&lt;=360), ('(橫掃)RX Mapping'!N34-241),IF(AND('(橫掃)RX Mapping'!N34&gt;=361,'(橫掃)RX Mapping'!N34&lt;=480), (-1)*('(橫掃)RX Mapping'!N34-480),IF(AND('(橫掃)RX Mapping'!N34&gt;=481,'(橫掃)RX Mapping'!N34&lt;=600), ('(橫掃)RX Mapping'!N34-361),IF(AND('(橫掃)RX Mapping'!N34&gt;=601,'(橫掃)RX Mapping'!N34&lt;=720), (-1)*('(橫掃)RX Mapping'!N34-720)+120,IF(AND('(橫掃)RX Mapping'!N34&gt;=721,'(橫掃)RX Mapping'!N34&lt;=840), ('(橫掃)RX Mapping'!N34-601),IF(AND('(橫掃)RX Mapping'!N34&gt;=841,'(橫掃)RX Mapping'!N34&lt;=960), (-1)*('(橫掃)RX Mapping'!N34-960)+120,9999))))))))</f>
        <v>9999</v>
      </c>
      <c r="O34">
        <f>IF(AND('(橫掃)RX Mapping'!O34&gt;=1,'(橫掃)RX Mapping'!O34&lt;=120), ('(橫掃)RX Mapping'!O34-1),IF(AND('(橫掃)RX Mapping'!O34&gt;=121,'(橫掃)RX Mapping'!O34&lt;=240), (-1)*('(橫掃)RX Mapping'!O34-240),IF(AND('(橫掃)RX Mapping'!O34&gt;=241,'(橫掃)RX Mapping'!O34&lt;=360), ('(橫掃)RX Mapping'!O34-241),IF(AND('(橫掃)RX Mapping'!O34&gt;=361,'(橫掃)RX Mapping'!O34&lt;=480), (-1)*('(橫掃)RX Mapping'!O34-480),IF(AND('(橫掃)RX Mapping'!O34&gt;=481,'(橫掃)RX Mapping'!O34&lt;=600), ('(橫掃)RX Mapping'!O34-361),IF(AND('(橫掃)RX Mapping'!O34&gt;=601,'(橫掃)RX Mapping'!O34&lt;=720), (-1)*('(橫掃)RX Mapping'!O34-720)+120,IF(AND('(橫掃)RX Mapping'!O34&gt;=721,'(橫掃)RX Mapping'!O34&lt;=840), ('(橫掃)RX Mapping'!O34-601),IF(AND('(橫掃)RX Mapping'!O34&gt;=841,'(橫掃)RX Mapping'!O34&lt;=960), (-1)*('(橫掃)RX Mapping'!O34-960)+120,9999))))))))</f>
        <v>9999</v>
      </c>
      <c r="P34">
        <f>IF(AND('(橫掃)RX Mapping'!P34&gt;=1,'(橫掃)RX Mapping'!P34&lt;=120), ('(橫掃)RX Mapping'!P34-1),IF(AND('(橫掃)RX Mapping'!P34&gt;=121,'(橫掃)RX Mapping'!P34&lt;=240), (-1)*('(橫掃)RX Mapping'!P34-240),IF(AND('(橫掃)RX Mapping'!P34&gt;=241,'(橫掃)RX Mapping'!P34&lt;=360), ('(橫掃)RX Mapping'!P34-241),IF(AND('(橫掃)RX Mapping'!P34&gt;=361,'(橫掃)RX Mapping'!P34&lt;=480), (-1)*('(橫掃)RX Mapping'!P34-480),IF(AND('(橫掃)RX Mapping'!P34&gt;=481,'(橫掃)RX Mapping'!P34&lt;=600), ('(橫掃)RX Mapping'!P34-361),IF(AND('(橫掃)RX Mapping'!P34&gt;=601,'(橫掃)RX Mapping'!P34&lt;=720), (-1)*('(橫掃)RX Mapping'!P34-720)+120,IF(AND('(橫掃)RX Mapping'!P34&gt;=721,'(橫掃)RX Mapping'!P34&lt;=840), ('(橫掃)RX Mapping'!P34-601),IF(AND('(橫掃)RX Mapping'!P34&gt;=841,'(橫掃)RX Mapping'!P34&lt;=960), (-1)*('(橫掃)RX Mapping'!P34-960)+120,9999))))))))</f>
        <v>9999</v>
      </c>
      <c r="Q34">
        <f>IF(AND('(橫掃)RX Mapping'!Q34&gt;=1,'(橫掃)RX Mapping'!Q34&lt;=120), ('(橫掃)RX Mapping'!Q34-1),IF(AND('(橫掃)RX Mapping'!Q34&gt;=121,'(橫掃)RX Mapping'!Q34&lt;=240), (-1)*('(橫掃)RX Mapping'!Q34-240),IF(AND('(橫掃)RX Mapping'!Q34&gt;=241,'(橫掃)RX Mapping'!Q34&lt;=360), ('(橫掃)RX Mapping'!Q34-241),IF(AND('(橫掃)RX Mapping'!Q34&gt;=361,'(橫掃)RX Mapping'!Q34&lt;=480), (-1)*('(橫掃)RX Mapping'!Q34-480),IF(AND('(橫掃)RX Mapping'!Q34&gt;=481,'(橫掃)RX Mapping'!Q34&lt;=600), ('(橫掃)RX Mapping'!Q34-361),IF(AND('(橫掃)RX Mapping'!Q34&gt;=601,'(橫掃)RX Mapping'!Q34&lt;=720), (-1)*('(橫掃)RX Mapping'!Q34-720)+120,IF(AND('(橫掃)RX Mapping'!Q34&gt;=721,'(橫掃)RX Mapping'!Q34&lt;=840), ('(橫掃)RX Mapping'!Q34-601),IF(AND('(橫掃)RX Mapping'!Q34&gt;=841,'(橫掃)RX Mapping'!Q34&lt;=960), (-1)*('(橫掃)RX Mapping'!Q34-960)+120,9999))))))))</f>
        <v>9999</v>
      </c>
      <c r="R34">
        <f>IF(AND('(橫掃)RX Mapping'!R34&gt;=1,'(橫掃)RX Mapping'!R34&lt;=120), ('(橫掃)RX Mapping'!R34-1),IF(AND('(橫掃)RX Mapping'!R34&gt;=121,'(橫掃)RX Mapping'!R34&lt;=240), (-1)*('(橫掃)RX Mapping'!R34-240),IF(AND('(橫掃)RX Mapping'!R34&gt;=241,'(橫掃)RX Mapping'!R34&lt;=360), ('(橫掃)RX Mapping'!R34-241),IF(AND('(橫掃)RX Mapping'!R34&gt;=361,'(橫掃)RX Mapping'!R34&lt;=480), (-1)*('(橫掃)RX Mapping'!R34-480),IF(AND('(橫掃)RX Mapping'!R34&gt;=481,'(橫掃)RX Mapping'!R34&lt;=600), ('(橫掃)RX Mapping'!R34-361),IF(AND('(橫掃)RX Mapping'!R34&gt;=601,'(橫掃)RX Mapping'!R34&lt;=720), (-1)*('(橫掃)RX Mapping'!R34-720)+120,IF(AND('(橫掃)RX Mapping'!R34&gt;=721,'(橫掃)RX Mapping'!R34&lt;=840), ('(橫掃)RX Mapping'!R34-601),IF(AND('(橫掃)RX Mapping'!R34&gt;=841,'(橫掃)RX Mapping'!R34&lt;=960), (-1)*('(橫掃)RX Mapping'!R34-960)+120,9999))))))))</f>
        <v>9999</v>
      </c>
      <c r="S34">
        <f>IF(AND('(橫掃)RX Mapping'!S34&gt;=1,'(橫掃)RX Mapping'!S34&lt;=120), ('(橫掃)RX Mapping'!S34-1),IF(AND('(橫掃)RX Mapping'!S34&gt;=121,'(橫掃)RX Mapping'!S34&lt;=240), (-1)*('(橫掃)RX Mapping'!S34-240),IF(AND('(橫掃)RX Mapping'!S34&gt;=241,'(橫掃)RX Mapping'!S34&lt;=360), ('(橫掃)RX Mapping'!S34-241),IF(AND('(橫掃)RX Mapping'!S34&gt;=361,'(橫掃)RX Mapping'!S34&lt;=480), (-1)*('(橫掃)RX Mapping'!S34-480),IF(AND('(橫掃)RX Mapping'!S34&gt;=481,'(橫掃)RX Mapping'!S34&lt;=600), ('(橫掃)RX Mapping'!S34-361),IF(AND('(橫掃)RX Mapping'!S34&gt;=601,'(橫掃)RX Mapping'!S34&lt;=720), (-1)*('(橫掃)RX Mapping'!S34-720)+120,IF(AND('(橫掃)RX Mapping'!S34&gt;=721,'(橫掃)RX Mapping'!S34&lt;=840), ('(橫掃)RX Mapping'!S34-601),IF(AND('(橫掃)RX Mapping'!S34&gt;=841,'(橫掃)RX Mapping'!S34&lt;=960), (-1)*('(橫掃)RX Mapping'!S34-960)+120,9999))))))))</f>
        <v>9999</v>
      </c>
      <c r="T34">
        <f>IF(AND('(橫掃)RX Mapping'!T34&gt;=1,'(橫掃)RX Mapping'!T34&lt;=120), ('(橫掃)RX Mapping'!T34-1),IF(AND('(橫掃)RX Mapping'!T34&gt;=121,'(橫掃)RX Mapping'!T34&lt;=240), (-1)*('(橫掃)RX Mapping'!T34-240),IF(AND('(橫掃)RX Mapping'!T34&gt;=241,'(橫掃)RX Mapping'!T34&lt;=360), ('(橫掃)RX Mapping'!T34-241),IF(AND('(橫掃)RX Mapping'!T34&gt;=361,'(橫掃)RX Mapping'!T34&lt;=480), (-1)*('(橫掃)RX Mapping'!T34-480),IF(AND('(橫掃)RX Mapping'!T34&gt;=481,'(橫掃)RX Mapping'!T34&lt;=600), ('(橫掃)RX Mapping'!T34-361),IF(AND('(橫掃)RX Mapping'!T34&gt;=601,'(橫掃)RX Mapping'!T34&lt;=720), (-1)*('(橫掃)RX Mapping'!T34-720)+120,IF(AND('(橫掃)RX Mapping'!T34&gt;=721,'(橫掃)RX Mapping'!T34&lt;=840), ('(橫掃)RX Mapping'!T34-601),IF(AND('(橫掃)RX Mapping'!T34&gt;=841,'(橫掃)RX Mapping'!T34&lt;=960), (-1)*('(橫掃)RX Mapping'!T34-960)+120,9999))))))))</f>
        <v>9999</v>
      </c>
      <c r="U34">
        <f>IF(AND('(橫掃)RX Mapping'!U34&gt;=1,'(橫掃)RX Mapping'!U34&lt;=120), ('(橫掃)RX Mapping'!U34-1),IF(AND('(橫掃)RX Mapping'!U34&gt;=121,'(橫掃)RX Mapping'!U34&lt;=240), (-1)*('(橫掃)RX Mapping'!U34-240),IF(AND('(橫掃)RX Mapping'!U34&gt;=241,'(橫掃)RX Mapping'!U34&lt;=360), ('(橫掃)RX Mapping'!U34-241),IF(AND('(橫掃)RX Mapping'!U34&gt;=361,'(橫掃)RX Mapping'!U34&lt;=480), (-1)*('(橫掃)RX Mapping'!U34-480),IF(AND('(橫掃)RX Mapping'!U34&gt;=481,'(橫掃)RX Mapping'!U34&lt;=600), ('(橫掃)RX Mapping'!U34-361),IF(AND('(橫掃)RX Mapping'!U34&gt;=601,'(橫掃)RX Mapping'!U34&lt;=720), (-1)*('(橫掃)RX Mapping'!U34-720)+120,IF(AND('(橫掃)RX Mapping'!U34&gt;=721,'(橫掃)RX Mapping'!U34&lt;=840), ('(橫掃)RX Mapping'!U34-601),IF(AND('(橫掃)RX Mapping'!U34&gt;=841,'(橫掃)RX Mapping'!U34&lt;=960), (-1)*('(橫掃)RX Mapping'!U34-960)+120,9999))))))))</f>
        <v>9999</v>
      </c>
      <c r="V34">
        <f>IF(AND('(橫掃)RX Mapping'!V34&gt;=1,'(橫掃)RX Mapping'!V34&lt;=120), ('(橫掃)RX Mapping'!V34-1),IF(AND('(橫掃)RX Mapping'!V34&gt;=121,'(橫掃)RX Mapping'!V34&lt;=240), (-1)*('(橫掃)RX Mapping'!V34-240),IF(AND('(橫掃)RX Mapping'!V34&gt;=241,'(橫掃)RX Mapping'!V34&lt;=360), ('(橫掃)RX Mapping'!V34-241),IF(AND('(橫掃)RX Mapping'!V34&gt;=361,'(橫掃)RX Mapping'!V34&lt;=480), (-1)*('(橫掃)RX Mapping'!V34-480),IF(AND('(橫掃)RX Mapping'!V34&gt;=481,'(橫掃)RX Mapping'!V34&lt;=600), ('(橫掃)RX Mapping'!V34-361),IF(AND('(橫掃)RX Mapping'!V34&gt;=601,'(橫掃)RX Mapping'!V34&lt;=720), (-1)*('(橫掃)RX Mapping'!V34-720)+120,IF(AND('(橫掃)RX Mapping'!V34&gt;=721,'(橫掃)RX Mapping'!V34&lt;=840), ('(橫掃)RX Mapping'!V34-601),IF(AND('(橫掃)RX Mapping'!V34&gt;=841,'(橫掃)RX Mapping'!V34&lt;=960), (-1)*('(橫掃)RX Mapping'!V34-960)+120,9999))))))))</f>
        <v>9999</v>
      </c>
      <c r="W34">
        <f>IF(AND('(橫掃)RX Mapping'!W34&gt;=1,'(橫掃)RX Mapping'!W34&lt;=120), ('(橫掃)RX Mapping'!W34-1),IF(AND('(橫掃)RX Mapping'!W34&gt;=121,'(橫掃)RX Mapping'!W34&lt;=240), (-1)*('(橫掃)RX Mapping'!W34-240),IF(AND('(橫掃)RX Mapping'!W34&gt;=241,'(橫掃)RX Mapping'!W34&lt;=360), ('(橫掃)RX Mapping'!W34-241),IF(AND('(橫掃)RX Mapping'!W34&gt;=361,'(橫掃)RX Mapping'!W34&lt;=480), (-1)*('(橫掃)RX Mapping'!W34-480),IF(AND('(橫掃)RX Mapping'!W34&gt;=481,'(橫掃)RX Mapping'!W34&lt;=600), ('(橫掃)RX Mapping'!W34-361),IF(AND('(橫掃)RX Mapping'!W34&gt;=601,'(橫掃)RX Mapping'!W34&lt;=720), (-1)*('(橫掃)RX Mapping'!W34-720)+120,IF(AND('(橫掃)RX Mapping'!W34&gt;=721,'(橫掃)RX Mapping'!W34&lt;=840), ('(橫掃)RX Mapping'!W34-601),IF(AND('(橫掃)RX Mapping'!W34&gt;=841,'(橫掃)RX Mapping'!W34&lt;=960), (-1)*('(橫掃)RX Mapping'!W34-960)+120,9999))))))))</f>
        <v>9999</v>
      </c>
      <c r="X34">
        <f>IF(AND('(橫掃)RX Mapping'!X34&gt;=1,'(橫掃)RX Mapping'!X34&lt;=120), ('(橫掃)RX Mapping'!X34-1),IF(AND('(橫掃)RX Mapping'!X34&gt;=121,'(橫掃)RX Mapping'!X34&lt;=240), (-1)*('(橫掃)RX Mapping'!X34-240),IF(AND('(橫掃)RX Mapping'!X34&gt;=241,'(橫掃)RX Mapping'!X34&lt;=360), ('(橫掃)RX Mapping'!X34-241),IF(AND('(橫掃)RX Mapping'!X34&gt;=361,'(橫掃)RX Mapping'!X34&lt;=480), (-1)*('(橫掃)RX Mapping'!X34-480),IF(AND('(橫掃)RX Mapping'!X34&gt;=481,'(橫掃)RX Mapping'!X34&lt;=600), ('(橫掃)RX Mapping'!X34-361),IF(AND('(橫掃)RX Mapping'!X34&gt;=601,'(橫掃)RX Mapping'!X34&lt;=720), (-1)*('(橫掃)RX Mapping'!X34-720)+120,IF(AND('(橫掃)RX Mapping'!X34&gt;=721,'(橫掃)RX Mapping'!X34&lt;=840), ('(橫掃)RX Mapping'!X34-601),IF(AND('(橫掃)RX Mapping'!X34&gt;=841,'(橫掃)RX Mapping'!X34&lt;=960), (-1)*('(橫掃)RX Mapping'!X34-960)+120,9999))))))))</f>
        <v>9999</v>
      </c>
      <c r="Y34">
        <f>IF(AND('(橫掃)RX Mapping'!Y34&gt;=1,'(橫掃)RX Mapping'!Y34&lt;=120), ('(橫掃)RX Mapping'!Y34-1),IF(AND('(橫掃)RX Mapping'!Y34&gt;=121,'(橫掃)RX Mapping'!Y34&lt;=240), (-1)*('(橫掃)RX Mapping'!Y34-240),IF(AND('(橫掃)RX Mapping'!Y34&gt;=241,'(橫掃)RX Mapping'!Y34&lt;=360), ('(橫掃)RX Mapping'!Y34-241),IF(AND('(橫掃)RX Mapping'!Y34&gt;=361,'(橫掃)RX Mapping'!Y34&lt;=480), (-1)*('(橫掃)RX Mapping'!Y34-480),IF(AND('(橫掃)RX Mapping'!Y34&gt;=481,'(橫掃)RX Mapping'!Y34&lt;=600), ('(橫掃)RX Mapping'!Y34-361),IF(AND('(橫掃)RX Mapping'!Y34&gt;=601,'(橫掃)RX Mapping'!Y34&lt;=720), (-1)*('(橫掃)RX Mapping'!Y34-720)+120,IF(AND('(橫掃)RX Mapping'!Y34&gt;=721,'(橫掃)RX Mapping'!Y34&lt;=840), ('(橫掃)RX Mapping'!Y34-601),IF(AND('(橫掃)RX Mapping'!Y34&gt;=841,'(橫掃)RX Mapping'!Y34&lt;=960), (-1)*('(橫掃)RX Mapping'!Y34-960)+120,9999))))))))</f>
        <v>9999</v>
      </c>
      <c r="Z34">
        <f>IF(AND('(橫掃)RX Mapping'!Z34&gt;=1,'(橫掃)RX Mapping'!Z34&lt;=120), ('(橫掃)RX Mapping'!Z34-1),IF(AND('(橫掃)RX Mapping'!Z34&gt;=121,'(橫掃)RX Mapping'!Z34&lt;=240), (-1)*('(橫掃)RX Mapping'!Z34-240),IF(AND('(橫掃)RX Mapping'!Z34&gt;=241,'(橫掃)RX Mapping'!Z34&lt;=360), ('(橫掃)RX Mapping'!Z34-241),IF(AND('(橫掃)RX Mapping'!Z34&gt;=361,'(橫掃)RX Mapping'!Z34&lt;=480), (-1)*('(橫掃)RX Mapping'!Z34-480),IF(AND('(橫掃)RX Mapping'!Z34&gt;=481,'(橫掃)RX Mapping'!Z34&lt;=600), ('(橫掃)RX Mapping'!Z34-361),IF(AND('(橫掃)RX Mapping'!Z34&gt;=601,'(橫掃)RX Mapping'!Z34&lt;=720), (-1)*('(橫掃)RX Mapping'!Z34-720)+120,IF(AND('(橫掃)RX Mapping'!Z34&gt;=721,'(橫掃)RX Mapping'!Z34&lt;=840), ('(橫掃)RX Mapping'!Z34-601),IF(AND('(橫掃)RX Mapping'!Z34&gt;=841,'(橫掃)RX Mapping'!Z34&lt;=960), (-1)*('(橫掃)RX Mapping'!Z34-960)+120,9999))))))))</f>
        <v>9999</v>
      </c>
      <c r="AA34">
        <f>IF(AND('(橫掃)RX Mapping'!AA34&gt;=1,'(橫掃)RX Mapping'!AA34&lt;=120), ('(橫掃)RX Mapping'!AA34-1),IF(AND('(橫掃)RX Mapping'!AA34&gt;=121,'(橫掃)RX Mapping'!AA34&lt;=240), (-1)*('(橫掃)RX Mapping'!AA34-240),IF(AND('(橫掃)RX Mapping'!AA34&gt;=241,'(橫掃)RX Mapping'!AA34&lt;=360), ('(橫掃)RX Mapping'!AA34-241),IF(AND('(橫掃)RX Mapping'!AA34&gt;=361,'(橫掃)RX Mapping'!AA34&lt;=480), (-1)*('(橫掃)RX Mapping'!AA34-480),IF(AND('(橫掃)RX Mapping'!AA34&gt;=481,'(橫掃)RX Mapping'!AA34&lt;=600), ('(橫掃)RX Mapping'!AA34-361),IF(AND('(橫掃)RX Mapping'!AA34&gt;=601,'(橫掃)RX Mapping'!AA34&lt;=720), (-1)*('(橫掃)RX Mapping'!AA34-720)+120,IF(AND('(橫掃)RX Mapping'!AA34&gt;=721,'(橫掃)RX Mapping'!AA34&lt;=840), ('(橫掃)RX Mapping'!AA34-601),IF(AND('(橫掃)RX Mapping'!AA34&gt;=841,'(橫掃)RX Mapping'!AA34&lt;=960), (-1)*('(橫掃)RX Mapping'!AA34-960)+120,9999))))))))</f>
        <v>9999</v>
      </c>
      <c r="AB34">
        <f>IF(AND('(橫掃)RX Mapping'!AB34&gt;=1,'(橫掃)RX Mapping'!AB34&lt;=120), ('(橫掃)RX Mapping'!AB34-1),IF(AND('(橫掃)RX Mapping'!AB34&gt;=121,'(橫掃)RX Mapping'!AB34&lt;=240), (-1)*('(橫掃)RX Mapping'!AB34-240),IF(AND('(橫掃)RX Mapping'!AB34&gt;=241,'(橫掃)RX Mapping'!AB34&lt;=360), ('(橫掃)RX Mapping'!AB34-241),IF(AND('(橫掃)RX Mapping'!AB34&gt;=361,'(橫掃)RX Mapping'!AB34&lt;=480), (-1)*('(橫掃)RX Mapping'!AB34-480),IF(AND('(橫掃)RX Mapping'!AB34&gt;=481,'(橫掃)RX Mapping'!AB34&lt;=600), ('(橫掃)RX Mapping'!AB34-361),IF(AND('(橫掃)RX Mapping'!AB34&gt;=601,'(橫掃)RX Mapping'!AB34&lt;=720), (-1)*('(橫掃)RX Mapping'!AB34-720)+120,IF(AND('(橫掃)RX Mapping'!AB34&gt;=721,'(橫掃)RX Mapping'!AB34&lt;=840), ('(橫掃)RX Mapping'!AB34-601),IF(AND('(橫掃)RX Mapping'!AB34&gt;=841,'(橫掃)RX Mapping'!AB34&lt;=960), (-1)*('(橫掃)RX Mapping'!AB34-960)+120,9999))))))))</f>
        <v>9999</v>
      </c>
      <c r="AC34">
        <f>IF(AND('(橫掃)RX Mapping'!AC34&gt;=1,'(橫掃)RX Mapping'!AC34&lt;=120), ('(橫掃)RX Mapping'!AC34-1),IF(AND('(橫掃)RX Mapping'!AC34&gt;=121,'(橫掃)RX Mapping'!AC34&lt;=240), (-1)*('(橫掃)RX Mapping'!AC34-240),IF(AND('(橫掃)RX Mapping'!AC34&gt;=241,'(橫掃)RX Mapping'!AC34&lt;=360), ('(橫掃)RX Mapping'!AC34-241),IF(AND('(橫掃)RX Mapping'!AC34&gt;=361,'(橫掃)RX Mapping'!AC34&lt;=480), (-1)*('(橫掃)RX Mapping'!AC34-480),IF(AND('(橫掃)RX Mapping'!AC34&gt;=481,'(橫掃)RX Mapping'!AC34&lt;=600), ('(橫掃)RX Mapping'!AC34-361),IF(AND('(橫掃)RX Mapping'!AC34&gt;=601,'(橫掃)RX Mapping'!AC34&lt;=720), (-1)*('(橫掃)RX Mapping'!AC34-720)+120,IF(AND('(橫掃)RX Mapping'!AC34&gt;=721,'(橫掃)RX Mapping'!AC34&lt;=840), ('(橫掃)RX Mapping'!AC34-601),IF(AND('(橫掃)RX Mapping'!AC34&gt;=841,'(橫掃)RX Mapping'!AC34&lt;=960), (-1)*('(橫掃)RX Mapping'!AC34-960)+120,9999))))))))</f>
        <v>9999</v>
      </c>
      <c r="AD34">
        <f>IF(AND('(橫掃)RX Mapping'!AD34&gt;=1,'(橫掃)RX Mapping'!AD34&lt;=120), ('(橫掃)RX Mapping'!AD34-1),IF(AND('(橫掃)RX Mapping'!AD34&gt;=121,'(橫掃)RX Mapping'!AD34&lt;=240), (-1)*('(橫掃)RX Mapping'!AD34-240),IF(AND('(橫掃)RX Mapping'!AD34&gt;=241,'(橫掃)RX Mapping'!AD34&lt;=360), ('(橫掃)RX Mapping'!AD34-241),IF(AND('(橫掃)RX Mapping'!AD34&gt;=361,'(橫掃)RX Mapping'!AD34&lt;=480), (-1)*('(橫掃)RX Mapping'!AD34-480),IF(AND('(橫掃)RX Mapping'!AD34&gt;=481,'(橫掃)RX Mapping'!AD34&lt;=600), ('(橫掃)RX Mapping'!AD34-361),IF(AND('(橫掃)RX Mapping'!AD34&gt;=601,'(橫掃)RX Mapping'!AD34&lt;=720), (-1)*('(橫掃)RX Mapping'!AD34-720)+120,IF(AND('(橫掃)RX Mapping'!AD34&gt;=721,'(橫掃)RX Mapping'!AD34&lt;=840), ('(橫掃)RX Mapping'!AD34-601),IF(AND('(橫掃)RX Mapping'!AD34&gt;=841,'(橫掃)RX Mapping'!AD34&lt;=960), (-1)*('(橫掃)RX Mapping'!AD34-960)+120,9999))))))))</f>
        <v>9999</v>
      </c>
      <c r="AE34">
        <f>IF(AND('(橫掃)RX Mapping'!AE34&gt;=1,'(橫掃)RX Mapping'!AE34&lt;=120), ('(橫掃)RX Mapping'!AE34-1),IF(AND('(橫掃)RX Mapping'!AE34&gt;=121,'(橫掃)RX Mapping'!AE34&lt;=240), (-1)*('(橫掃)RX Mapping'!AE34-240),IF(AND('(橫掃)RX Mapping'!AE34&gt;=241,'(橫掃)RX Mapping'!AE34&lt;=360), ('(橫掃)RX Mapping'!AE34-241),IF(AND('(橫掃)RX Mapping'!AE34&gt;=361,'(橫掃)RX Mapping'!AE34&lt;=480), (-1)*('(橫掃)RX Mapping'!AE34-480),IF(AND('(橫掃)RX Mapping'!AE34&gt;=481,'(橫掃)RX Mapping'!AE34&lt;=600), ('(橫掃)RX Mapping'!AE34-361),IF(AND('(橫掃)RX Mapping'!AE34&gt;=601,'(橫掃)RX Mapping'!AE34&lt;=720), (-1)*('(橫掃)RX Mapping'!AE34-720)+120,IF(AND('(橫掃)RX Mapping'!AE34&gt;=721,'(橫掃)RX Mapping'!AE34&lt;=840), ('(橫掃)RX Mapping'!AE34-601),IF(AND('(橫掃)RX Mapping'!AE34&gt;=841,'(橫掃)RX Mapping'!AE34&lt;=960), (-1)*('(橫掃)RX Mapping'!AE34-960)+120,9999))))))))</f>
        <v>9999</v>
      </c>
      <c r="AF34">
        <f>IF(AND('(橫掃)RX Mapping'!AF34&gt;=1,'(橫掃)RX Mapping'!AF34&lt;=120), ('(橫掃)RX Mapping'!AF34-1),IF(AND('(橫掃)RX Mapping'!AF34&gt;=121,'(橫掃)RX Mapping'!AF34&lt;=240), (-1)*('(橫掃)RX Mapping'!AF34-240),IF(AND('(橫掃)RX Mapping'!AF34&gt;=241,'(橫掃)RX Mapping'!AF34&lt;=360), ('(橫掃)RX Mapping'!AF34-241),IF(AND('(橫掃)RX Mapping'!AF34&gt;=361,'(橫掃)RX Mapping'!AF34&lt;=480), (-1)*('(橫掃)RX Mapping'!AF34-480),IF(AND('(橫掃)RX Mapping'!AF34&gt;=481,'(橫掃)RX Mapping'!AF34&lt;=600), ('(橫掃)RX Mapping'!AF34-361),IF(AND('(橫掃)RX Mapping'!AF34&gt;=601,'(橫掃)RX Mapping'!AF34&lt;=720), (-1)*('(橫掃)RX Mapping'!AF34-720)+120,IF(AND('(橫掃)RX Mapping'!AF34&gt;=721,'(橫掃)RX Mapping'!AF34&lt;=840), ('(橫掃)RX Mapping'!AF34-601),IF(AND('(橫掃)RX Mapping'!AF34&gt;=841,'(橫掃)RX Mapping'!AF34&lt;=960), (-1)*('(橫掃)RX Mapping'!AF34-960)+120,9999))))))))</f>
        <v>9999</v>
      </c>
      <c r="AG34">
        <f>IF(AND('(橫掃)RX Mapping'!AG34&gt;=1,'(橫掃)RX Mapping'!AG34&lt;=120), ('(橫掃)RX Mapping'!AG34-1),IF(AND('(橫掃)RX Mapping'!AG34&gt;=121,'(橫掃)RX Mapping'!AG34&lt;=240), (-1)*('(橫掃)RX Mapping'!AG34-240),IF(AND('(橫掃)RX Mapping'!AG34&gt;=241,'(橫掃)RX Mapping'!AG34&lt;=360), ('(橫掃)RX Mapping'!AG34-241),IF(AND('(橫掃)RX Mapping'!AG34&gt;=361,'(橫掃)RX Mapping'!AG34&lt;=480), (-1)*('(橫掃)RX Mapping'!AG34-480),IF(AND('(橫掃)RX Mapping'!AG34&gt;=481,'(橫掃)RX Mapping'!AG34&lt;=600), ('(橫掃)RX Mapping'!AG34-361),IF(AND('(橫掃)RX Mapping'!AG34&gt;=601,'(橫掃)RX Mapping'!AG34&lt;=720), (-1)*('(橫掃)RX Mapping'!AG34-720)+120,IF(AND('(橫掃)RX Mapping'!AG34&gt;=721,'(橫掃)RX Mapping'!AG34&lt;=840), ('(橫掃)RX Mapping'!AG34-601),IF(AND('(橫掃)RX Mapping'!AG34&gt;=841,'(橫掃)RX Mapping'!AG34&lt;=960), (-1)*('(橫掃)RX Mapping'!AG34-960)+120,9999))))))))</f>
        <v>9999</v>
      </c>
      <c r="AH34">
        <f>IF(AND('(橫掃)RX Mapping'!AH34&gt;=1,'(橫掃)RX Mapping'!AH34&lt;=120), ('(橫掃)RX Mapping'!AH34-1),IF(AND('(橫掃)RX Mapping'!AH34&gt;=121,'(橫掃)RX Mapping'!AH34&lt;=240), (-1)*('(橫掃)RX Mapping'!AH34-240),IF(AND('(橫掃)RX Mapping'!AH34&gt;=241,'(橫掃)RX Mapping'!AH34&lt;=360), ('(橫掃)RX Mapping'!AH34-241),IF(AND('(橫掃)RX Mapping'!AH34&gt;=361,'(橫掃)RX Mapping'!AH34&lt;=480), (-1)*('(橫掃)RX Mapping'!AH34-480),IF(AND('(橫掃)RX Mapping'!AH34&gt;=481,'(橫掃)RX Mapping'!AH34&lt;=600), ('(橫掃)RX Mapping'!AH34-361),IF(AND('(橫掃)RX Mapping'!AH34&gt;=601,'(橫掃)RX Mapping'!AH34&lt;=720), (-1)*('(橫掃)RX Mapping'!AH34-720)+120,IF(AND('(橫掃)RX Mapping'!AH34&gt;=721,'(橫掃)RX Mapping'!AH34&lt;=840), ('(橫掃)RX Mapping'!AH34-601),IF(AND('(橫掃)RX Mapping'!AH34&gt;=841,'(橫掃)RX Mapping'!AH34&lt;=960), (-1)*('(橫掃)RX Mapping'!AH34-960)+120,9999))))))))</f>
        <v>9999</v>
      </c>
      <c r="AI34">
        <f>IF(AND('(橫掃)RX Mapping'!AI34&gt;=1,'(橫掃)RX Mapping'!AI34&lt;=120), ('(橫掃)RX Mapping'!AI34-1),IF(AND('(橫掃)RX Mapping'!AI34&gt;=121,'(橫掃)RX Mapping'!AI34&lt;=240), (-1)*('(橫掃)RX Mapping'!AI34-240),IF(AND('(橫掃)RX Mapping'!AI34&gt;=241,'(橫掃)RX Mapping'!AI34&lt;=360), ('(橫掃)RX Mapping'!AI34-241),IF(AND('(橫掃)RX Mapping'!AI34&gt;=361,'(橫掃)RX Mapping'!AI34&lt;=480), (-1)*('(橫掃)RX Mapping'!AI34-480),IF(AND('(橫掃)RX Mapping'!AI34&gt;=481,'(橫掃)RX Mapping'!AI34&lt;=600), ('(橫掃)RX Mapping'!AI34-361),IF(AND('(橫掃)RX Mapping'!AI34&gt;=601,'(橫掃)RX Mapping'!AI34&lt;=720), (-1)*('(橫掃)RX Mapping'!AI34-720)+120,IF(AND('(橫掃)RX Mapping'!AI34&gt;=721,'(橫掃)RX Mapping'!AI34&lt;=840), ('(橫掃)RX Mapping'!AI34-601),IF(AND('(橫掃)RX Mapping'!AI34&gt;=841,'(橫掃)RX Mapping'!AI34&lt;=960), (-1)*('(橫掃)RX Mapping'!AI34-960)+120,9999))))))))</f>
        <v>9999</v>
      </c>
      <c r="AJ34">
        <f>IF(AND('(橫掃)RX Mapping'!AJ34&gt;=1,'(橫掃)RX Mapping'!AJ34&lt;=120), ('(橫掃)RX Mapping'!AJ34-1),IF(AND('(橫掃)RX Mapping'!AJ34&gt;=121,'(橫掃)RX Mapping'!AJ34&lt;=240), (-1)*('(橫掃)RX Mapping'!AJ34-240),IF(AND('(橫掃)RX Mapping'!AJ34&gt;=241,'(橫掃)RX Mapping'!AJ34&lt;=360), ('(橫掃)RX Mapping'!AJ34-241),IF(AND('(橫掃)RX Mapping'!AJ34&gt;=361,'(橫掃)RX Mapping'!AJ34&lt;=480), (-1)*('(橫掃)RX Mapping'!AJ34-480),IF(AND('(橫掃)RX Mapping'!AJ34&gt;=481,'(橫掃)RX Mapping'!AJ34&lt;=600), ('(橫掃)RX Mapping'!AJ34-361),IF(AND('(橫掃)RX Mapping'!AJ34&gt;=601,'(橫掃)RX Mapping'!AJ34&lt;=720), (-1)*('(橫掃)RX Mapping'!AJ34-720)+120,IF(AND('(橫掃)RX Mapping'!AJ34&gt;=721,'(橫掃)RX Mapping'!AJ34&lt;=840), ('(橫掃)RX Mapping'!AJ34-601),IF(AND('(橫掃)RX Mapping'!AJ34&gt;=841,'(橫掃)RX Mapping'!AJ34&lt;=960), (-1)*('(橫掃)RX Mapping'!AJ34-960)+120,9999))))))))</f>
        <v>9999</v>
      </c>
      <c r="AK34">
        <f>IF(AND('(橫掃)RX Mapping'!AK34&gt;=1,'(橫掃)RX Mapping'!AK34&lt;=120), ('(橫掃)RX Mapping'!AK34-1),IF(AND('(橫掃)RX Mapping'!AK34&gt;=121,'(橫掃)RX Mapping'!AK34&lt;=240), (-1)*('(橫掃)RX Mapping'!AK34-240),IF(AND('(橫掃)RX Mapping'!AK34&gt;=241,'(橫掃)RX Mapping'!AK34&lt;=360), ('(橫掃)RX Mapping'!AK34-241),IF(AND('(橫掃)RX Mapping'!AK34&gt;=361,'(橫掃)RX Mapping'!AK34&lt;=480), (-1)*('(橫掃)RX Mapping'!AK34-480),IF(AND('(橫掃)RX Mapping'!AK34&gt;=481,'(橫掃)RX Mapping'!AK34&lt;=600), ('(橫掃)RX Mapping'!AK34-361),IF(AND('(橫掃)RX Mapping'!AK34&gt;=601,'(橫掃)RX Mapping'!AK34&lt;=720), (-1)*('(橫掃)RX Mapping'!AK34-720)+120,IF(AND('(橫掃)RX Mapping'!AK34&gt;=721,'(橫掃)RX Mapping'!AK34&lt;=840), ('(橫掃)RX Mapping'!AK34-601),IF(AND('(橫掃)RX Mapping'!AK34&gt;=841,'(橫掃)RX Mapping'!AK34&lt;=960), (-1)*('(橫掃)RX Mapping'!AK34-960)+120,9999))))))))</f>
        <v>9999</v>
      </c>
      <c r="AL34">
        <f>IF(AND('(橫掃)RX Mapping'!AL34&gt;=1,'(橫掃)RX Mapping'!AL34&lt;=120), ('(橫掃)RX Mapping'!AL34-1),IF(AND('(橫掃)RX Mapping'!AL34&gt;=121,'(橫掃)RX Mapping'!AL34&lt;=240), (-1)*('(橫掃)RX Mapping'!AL34-240),IF(AND('(橫掃)RX Mapping'!AL34&gt;=241,'(橫掃)RX Mapping'!AL34&lt;=360), ('(橫掃)RX Mapping'!AL34-241),IF(AND('(橫掃)RX Mapping'!AL34&gt;=361,'(橫掃)RX Mapping'!AL34&lt;=480), (-1)*('(橫掃)RX Mapping'!AL34-480),IF(AND('(橫掃)RX Mapping'!AL34&gt;=481,'(橫掃)RX Mapping'!AL34&lt;=600), ('(橫掃)RX Mapping'!AL34-361),IF(AND('(橫掃)RX Mapping'!AL34&gt;=601,'(橫掃)RX Mapping'!AL34&lt;=720), (-1)*('(橫掃)RX Mapping'!AL34-720)+120,IF(AND('(橫掃)RX Mapping'!AL34&gt;=721,'(橫掃)RX Mapping'!AL34&lt;=840), ('(橫掃)RX Mapping'!AL34-601),IF(AND('(橫掃)RX Mapping'!AL34&gt;=841,'(橫掃)RX Mapping'!AL34&lt;=960), (-1)*('(橫掃)RX Mapping'!AL34-960)+120,9999))))))))</f>
        <v>9999</v>
      </c>
      <c r="AM34">
        <f>IF(AND('(橫掃)RX Mapping'!AM34&gt;=1,'(橫掃)RX Mapping'!AM34&lt;=120), ('(橫掃)RX Mapping'!AM34-1),IF(AND('(橫掃)RX Mapping'!AM34&gt;=121,'(橫掃)RX Mapping'!AM34&lt;=240), (-1)*('(橫掃)RX Mapping'!AM34-240),IF(AND('(橫掃)RX Mapping'!AM34&gt;=241,'(橫掃)RX Mapping'!AM34&lt;=360), ('(橫掃)RX Mapping'!AM34-241),IF(AND('(橫掃)RX Mapping'!AM34&gt;=361,'(橫掃)RX Mapping'!AM34&lt;=480), (-1)*('(橫掃)RX Mapping'!AM34-480),IF(AND('(橫掃)RX Mapping'!AM34&gt;=481,'(橫掃)RX Mapping'!AM34&lt;=600), ('(橫掃)RX Mapping'!AM34-361),IF(AND('(橫掃)RX Mapping'!AM34&gt;=601,'(橫掃)RX Mapping'!AM34&lt;=720), (-1)*('(橫掃)RX Mapping'!AM34-720)+120,IF(AND('(橫掃)RX Mapping'!AM34&gt;=721,'(橫掃)RX Mapping'!AM34&lt;=840), ('(橫掃)RX Mapping'!AM34-601),IF(AND('(橫掃)RX Mapping'!AM34&gt;=841,'(橫掃)RX Mapping'!AM34&lt;=960), (-1)*('(橫掃)RX Mapping'!AM34-960)+120,9999))))))))</f>
        <v>9999</v>
      </c>
      <c r="AN34">
        <f>IF(AND('(橫掃)RX Mapping'!AN34&gt;=1,'(橫掃)RX Mapping'!AN34&lt;=120), ('(橫掃)RX Mapping'!AN34-1),IF(AND('(橫掃)RX Mapping'!AN34&gt;=121,'(橫掃)RX Mapping'!AN34&lt;=240), (-1)*('(橫掃)RX Mapping'!AN34-240),IF(AND('(橫掃)RX Mapping'!AN34&gt;=241,'(橫掃)RX Mapping'!AN34&lt;=360), ('(橫掃)RX Mapping'!AN34-241),IF(AND('(橫掃)RX Mapping'!AN34&gt;=361,'(橫掃)RX Mapping'!AN34&lt;=480), (-1)*('(橫掃)RX Mapping'!AN34-480),IF(AND('(橫掃)RX Mapping'!AN34&gt;=481,'(橫掃)RX Mapping'!AN34&lt;=600), ('(橫掃)RX Mapping'!AN34-361),IF(AND('(橫掃)RX Mapping'!AN34&gt;=601,'(橫掃)RX Mapping'!AN34&lt;=720), (-1)*('(橫掃)RX Mapping'!AN34-720)+120,IF(AND('(橫掃)RX Mapping'!AN34&gt;=721,'(橫掃)RX Mapping'!AN34&lt;=840), ('(橫掃)RX Mapping'!AN34-601),IF(AND('(橫掃)RX Mapping'!AN34&gt;=841,'(橫掃)RX Mapping'!AN34&lt;=960), (-1)*('(橫掃)RX Mapping'!AN34-960)+120,9999))))))))</f>
        <v>9999</v>
      </c>
      <c r="AO34">
        <f>IF(AND('(橫掃)RX Mapping'!AO34&gt;=1,'(橫掃)RX Mapping'!AO34&lt;=120), ('(橫掃)RX Mapping'!AO34-1),IF(AND('(橫掃)RX Mapping'!AO34&gt;=121,'(橫掃)RX Mapping'!AO34&lt;=240), (-1)*('(橫掃)RX Mapping'!AO34-240),IF(AND('(橫掃)RX Mapping'!AO34&gt;=241,'(橫掃)RX Mapping'!AO34&lt;=360), ('(橫掃)RX Mapping'!AO34-241),IF(AND('(橫掃)RX Mapping'!AO34&gt;=361,'(橫掃)RX Mapping'!AO34&lt;=480), (-1)*('(橫掃)RX Mapping'!AO34-480),IF(AND('(橫掃)RX Mapping'!AO34&gt;=481,'(橫掃)RX Mapping'!AO34&lt;=600), ('(橫掃)RX Mapping'!AO34-361),IF(AND('(橫掃)RX Mapping'!AO34&gt;=601,'(橫掃)RX Mapping'!AO34&lt;=720), (-1)*('(橫掃)RX Mapping'!AO34-720)+120,IF(AND('(橫掃)RX Mapping'!AO34&gt;=721,'(橫掃)RX Mapping'!AO34&lt;=840), ('(橫掃)RX Mapping'!AO34-601),IF(AND('(橫掃)RX Mapping'!AO34&gt;=841,'(橫掃)RX Mapping'!AO34&lt;=960), (-1)*('(橫掃)RX Mapping'!AO34-960)+120,9999))))))))</f>
        <v>9999</v>
      </c>
      <c r="AP34">
        <f>IF(AND('(橫掃)RX Mapping'!AP34&gt;=1,'(橫掃)RX Mapping'!AP34&lt;=120), ('(橫掃)RX Mapping'!AP34-1),IF(AND('(橫掃)RX Mapping'!AP34&gt;=121,'(橫掃)RX Mapping'!AP34&lt;=240), (-1)*('(橫掃)RX Mapping'!AP34-240),IF(AND('(橫掃)RX Mapping'!AP34&gt;=241,'(橫掃)RX Mapping'!AP34&lt;=360), ('(橫掃)RX Mapping'!AP34-241),IF(AND('(橫掃)RX Mapping'!AP34&gt;=361,'(橫掃)RX Mapping'!AP34&lt;=480), (-1)*('(橫掃)RX Mapping'!AP34-480),IF(AND('(橫掃)RX Mapping'!AP34&gt;=481,'(橫掃)RX Mapping'!AP34&lt;=600), ('(橫掃)RX Mapping'!AP34-361),IF(AND('(橫掃)RX Mapping'!AP34&gt;=601,'(橫掃)RX Mapping'!AP34&lt;=720), (-1)*('(橫掃)RX Mapping'!AP34-720)+120,IF(AND('(橫掃)RX Mapping'!AP34&gt;=721,'(橫掃)RX Mapping'!AP34&lt;=840), ('(橫掃)RX Mapping'!AP34-601),IF(AND('(橫掃)RX Mapping'!AP34&gt;=841,'(橫掃)RX Mapping'!AP34&lt;=960), (-1)*('(橫掃)RX Mapping'!AP34-960)+120,9999))))))))</f>
        <v>9999</v>
      </c>
      <c r="AQ34">
        <f>IF(AND('(橫掃)RX Mapping'!AQ34&gt;=1,'(橫掃)RX Mapping'!AQ34&lt;=120), ('(橫掃)RX Mapping'!AQ34-1),IF(AND('(橫掃)RX Mapping'!AQ34&gt;=121,'(橫掃)RX Mapping'!AQ34&lt;=240), (-1)*('(橫掃)RX Mapping'!AQ34-240),IF(AND('(橫掃)RX Mapping'!AQ34&gt;=241,'(橫掃)RX Mapping'!AQ34&lt;=360), ('(橫掃)RX Mapping'!AQ34-241),IF(AND('(橫掃)RX Mapping'!AQ34&gt;=361,'(橫掃)RX Mapping'!AQ34&lt;=480), (-1)*('(橫掃)RX Mapping'!AQ34-480),IF(AND('(橫掃)RX Mapping'!AQ34&gt;=481,'(橫掃)RX Mapping'!AQ34&lt;=600), ('(橫掃)RX Mapping'!AQ34-361),IF(AND('(橫掃)RX Mapping'!AQ34&gt;=601,'(橫掃)RX Mapping'!AQ34&lt;=720), (-1)*('(橫掃)RX Mapping'!AQ34-720)+120,IF(AND('(橫掃)RX Mapping'!AQ34&gt;=721,'(橫掃)RX Mapping'!AQ34&lt;=840), ('(橫掃)RX Mapping'!AQ34-601),IF(AND('(橫掃)RX Mapping'!AQ34&gt;=841,'(橫掃)RX Mapping'!AQ34&lt;=960), (-1)*('(橫掃)RX Mapping'!AQ34-960)+120,9999))))))))</f>
        <v>9999</v>
      </c>
      <c r="AR34">
        <f>IF(AND('(橫掃)RX Mapping'!AR34&gt;=1,'(橫掃)RX Mapping'!AR34&lt;=120), ('(橫掃)RX Mapping'!AR34-1),IF(AND('(橫掃)RX Mapping'!AR34&gt;=121,'(橫掃)RX Mapping'!AR34&lt;=240), (-1)*('(橫掃)RX Mapping'!AR34-240),IF(AND('(橫掃)RX Mapping'!AR34&gt;=241,'(橫掃)RX Mapping'!AR34&lt;=360), ('(橫掃)RX Mapping'!AR34-241),IF(AND('(橫掃)RX Mapping'!AR34&gt;=361,'(橫掃)RX Mapping'!AR34&lt;=480), (-1)*('(橫掃)RX Mapping'!AR34-480),IF(AND('(橫掃)RX Mapping'!AR34&gt;=481,'(橫掃)RX Mapping'!AR34&lt;=600), ('(橫掃)RX Mapping'!AR34-361),IF(AND('(橫掃)RX Mapping'!AR34&gt;=601,'(橫掃)RX Mapping'!AR34&lt;=720), (-1)*('(橫掃)RX Mapping'!AR34-720)+120,IF(AND('(橫掃)RX Mapping'!AR34&gt;=721,'(橫掃)RX Mapping'!AR34&lt;=840), ('(橫掃)RX Mapping'!AR34-601),IF(AND('(橫掃)RX Mapping'!AR34&gt;=841,'(橫掃)RX Mapping'!AR34&lt;=960), (-1)*('(橫掃)RX Mapping'!AR34-960)+120,9999))))))))</f>
        <v>9999</v>
      </c>
      <c r="AS34">
        <f>IF(AND('(橫掃)RX Mapping'!AS34&gt;=1,'(橫掃)RX Mapping'!AS34&lt;=120), ('(橫掃)RX Mapping'!AS34-1),IF(AND('(橫掃)RX Mapping'!AS34&gt;=121,'(橫掃)RX Mapping'!AS34&lt;=240), (-1)*('(橫掃)RX Mapping'!AS34-240),IF(AND('(橫掃)RX Mapping'!AS34&gt;=241,'(橫掃)RX Mapping'!AS34&lt;=360), ('(橫掃)RX Mapping'!AS34-241),IF(AND('(橫掃)RX Mapping'!AS34&gt;=361,'(橫掃)RX Mapping'!AS34&lt;=480), (-1)*('(橫掃)RX Mapping'!AS34-480),IF(AND('(橫掃)RX Mapping'!AS34&gt;=481,'(橫掃)RX Mapping'!AS34&lt;=600), ('(橫掃)RX Mapping'!AS34-361),IF(AND('(橫掃)RX Mapping'!AS34&gt;=601,'(橫掃)RX Mapping'!AS34&lt;=720), (-1)*('(橫掃)RX Mapping'!AS34-720)+120,IF(AND('(橫掃)RX Mapping'!AS34&gt;=721,'(橫掃)RX Mapping'!AS34&lt;=840), ('(橫掃)RX Mapping'!AS34-601),IF(AND('(橫掃)RX Mapping'!AS34&gt;=841,'(橫掃)RX Mapping'!AS34&lt;=960), (-1)*('(橫掃)RX Mapping'!AS34-960)+120,9999))))))))</f>
        <v>9999</v>
      </c>
      <c r="AT34">
        <f>IF(AND('(橫掃)RX Mapping'!AT34&gt;=1,'(橫掃)RX Mapping'!AT34&lt;=120), ('(橫掃)RX Mapping'!AT34-1),IF(AND('(橫掃)RX Mapping'!AT34&gt;=121,'(橫掃)RX Mapping'!AT34&lt;=240), (-1)*('(橫掃)RX Mapping'!AT34-240),IF(AND('(橫掃)RX Mapping'!AT34&gt;=241,'(橫掃)RX Mapping'!AT34&lt;=360), ('(橫掃)RX Mapping'!AT34-241),IF(AND('(橫掃)RX Mapping'!AT34&gt;=361,'(橫掃)RX Mapping'!AT34&lt;=480), (-1)*('(橫掃)RX Mapping'!AT34-480),IF(AND('(橫掃)RX Mapping'!AT34&gt;=481,'(橫掃)RX Mapping'!AT34&lt;=600), ('(橫掃)RX Mapping'!AT34-361),IF(AND('(橫掃)RX Mapping'!AT34&gt;=601,'(橫掃)RX Mapping'!AT34&lt;=720), (-1)*('(橫掃)RX Mapping'!AT34-720)+120,IF(AND('(橫掃)RX Mapping'!AT34&gt;=721,'(橫掃)RX Mapping'!AT34&lt;=840), ('(橫掃)RX Mapping'!AT34-601),IF(AND('(橫掃)RX Mapping'!AT34&gt;=841,'(橫掃)RX Mapping'!AT34&lt;=960), (-1)*('(橫掃)RX Mapping'!AT34-960)+120,9999))))))))</f>
        <v>9999</v>
      </c>
      <c r="AU34">
        <f>IF(AND('(橫掃)RX Mapping'!AU34&gt;=1,'(橫掃)RX Mapping'!AU34&lt;=120), ('(橫掃)RX Mapping'!AU34-1),IF(AND('(橫掃)RX Mapping'!AU34&gt;=121,'(橫掃)RX Mapping'!AU34&lt;=240), (-1)*('(橫掃)RX Mapping'!AU34-240),IF(AND('(橫掃)RX Mapping'!AU34&gt;=241,'(橫掃)RX Mapping'!AU34&lt;=360), ('(橫掃)RX Mapping'!AU34-241),IF(AND('(橫掃)RX Mapping'!AU34&gt;=361,'(橫掃)RX Mapping'!AU34&lt;=480), (-1)*('(橫掃)RX Mapping'!AU34-480),IF(AND('(橫掃)RX Mapping'!AU34&gt;=481,'(橫掃)RX Mapping'!AU34&lt;=600), ('(橫掃)RX Mapping'!AU34-361),IF(AND('(橫掃)RX Mapping'!AU34&gt;=601,'(橫掃)RX Mapping'!AU34&lt;=720), (-1)*('(橫掃)RX Mapping'!AU34-720)+120,IF(AND('(橫掃)RX Mapping'!AU34&gt;=721,'(橫掃)RX Mapping'!AU34&lt;=840), ('(橫掃)RX Mapping'!AU34-601),IF(AND('(橫掃)RX Mapping'!AU34&gt;=841,'(橫掃)RX Mapping'!AU34&lt;=960), (-1)*('(橫掃)RX Mapping'!AU34-960)+120,9999))))))))</f>
        <v>9999</v>
      </c>
      <c r="AV34">
        <f>IF(AND('(橫掃)RX Mapping'!AV34&gt;=1,'(橫掃)RX Mapping'!AV34&lt;=120), ('(橫掃)RX Mapping'!AV34-1),IF(AND('(橫掃)RX Mapping'!AV34&gt;=121,'(橫掃)RX Mapping'!AV34&lt;=240), (-1)*('(橫掃)RX Mapping'!AV34-240),IF(AND('(橫掃)RX Mapping'!AV34&gt;=241,'(橫掃)RX Mapping'!AV34&lt;=360), ('(橫掃)RX Mapping'!AV34-241),IF(AND('(橫掃)RX Mapping'!AV34&gt;=361,'(橫掃)RX Mapping'!AV34&lt;=480), (-1)*('(橫掃)RX Mapping'!AV34-480),IF(AND('(橫掃)RX Mapping'!AV34&gt;=481,'(橫掃)RX Mapping'!AV34&lt;=600), ('(橫掃)RX Mapping'!AV34-361),IF(AND('(橫掃)RX Mapping'!AV34&gt;=601,'(橫掃)RX Mapping'!AV34&lt;=720), (-1)*('(橫掃)RX Mapping'!AV34-720)+120,IF(AND('(橫掃)RX Mapping'!AV34&gt;=721,'(橫掃)RX Mapping'!AV34&lt;=840), ('(橫掃)RX Mapping'!AV34-601),IF(AND('(橫掃)RX Mapping'!AV34&gt;=841,'(橫掃)RX Mapping'!AV34&lt;=960), (-1)*('(橫掃)RX Mapping'!AV34-960)+120,9999))))))))</f>
        <v>9999</v>
      </c>
      <c r="AW34">
        <f>IF(AND('(橫掃)RX Mapping'!AW34&gt;=1,'(橫掃)RX Mapping'!AW34&lt;=120), ('(橫掃)RX Mapping'!AW34-1),IF(AND('(橫掃)RX Mapping'!AW34&gt;=121,'(橫掃)RX Mapping'!AW34&lt;=240), (-1)*('(橫掃)RX Mapping'!AW34-240),IF(AND('(橫掃)RX Mapping'!AW34&gt;=241,'(橫掃)RX Mapping'!AW34&lt;=360), ('(橫掃)RX Mapping'!AW34-241),IF(AND('(橫掃)RX Mapping'!AW34&gt;=361,'(橫掃)RX Mapping'!AW34&lt;=480), (-1)*('(橫掃)RX Mapping'!AW34-480),IF(AND('(橫掃)RX Mapping'!AW34&gt;=481,'(橫掃)RX Mapping'!AW34&lt;=600), ('(橫掃)RX Mapping'!AW34-361),IF(AND('(橫掃)RX Mapping'!AW34&gt;=601,'(橫掃)RX Mapping'!AW34&lt;=720), (-1)*('(橫掃)RX Mapping'!AW34-720)+120,IF(AND('(橫掃)RX Mapping'!AW34&gt;=721,'(橫掃)RX Mapping'!AW34&lt;=840), ('(橫掃)RX Mapping'!AW34-601),IF(AND('(橫掃)RX Mapping'!AW34&gt;=841,'(橫掃)RX Mapping'!AW34&lt;=960), (-1)*('(橫掃)RX Mapping'!AW34-960)+120,9999))))))))</f>
        <v>9999</v>
      </c>
      <c r="AX34">
        <f>IF(AND('(橫掃)RX Mapping'!AX34&gt;=1,'(橫掃)RX Mapping'!AX34&lt;=120), ('(橫掃)RX Mapping'!AX34-1),IF(AND('(橫掃)RX Mapping'!AX34&gt;=121,'(橫掃)RX Mapping'!AX34&lt;=240), (-1)*('(橫掃)RX Mapping'!AX34-240),IF(AND('(橫掃)RX Mapping'!AX34&gt;=241,'(橫掃)RX Mapping'!AX34&lt;=360), ('(橫掃)RX Mapping'!AX34-241),IF(AND('(橫掃)RX Mapping'!AX34&gt;=361,'(橫掃)RX Mapping'!AX34&lt;=480), (-1)*('(橫掃)RX Mapping'!AX34-480),IF(AND('(橫掃)RX Mapping'!AX34&gt;=481,'(橫掃)RX Mapping'!AX34&lt;=600), ('(橫掃)RX Mapping'!AX34-361),IF(AND('(橫掃)RX Mapping'!AX34&gt;=601,'(橫掃)RX Mapping'!AX34&lt;=720), (-1)*('(橫掃)RX Mapping'!AX34-720)+120,IF(AND('(橫掃)RX Mapping'!AX34&gt;=721,'(橫掃)RX Mapping'!AX34&lt;=840), ('(橫掃)RX Mapping'!AX34-601),IF(AND('(橫掃)RX Mapping'!AX34&gt;=841,'(橫掃)RX Mapping'!AX34&lt;=960), (-1)*('(橫掃)RX Mapping'!AX34-960)+120,9999))))))))</f>
        <v>9999</v>
      </c>
      <c r="AY34">
        <f>IF(AND('(橫掃)RX Mapping'!AY34&gt;=1,'(橫掃)RX Mapping'!AY34&lt;=120), ('(橫掃)RX Mapping'!AY34-1),IF(AND('(橫掃)RX Mapping'!AY34&gt;=121,'(橫掃)RX Mapping'!AY34&lt;=240), (-1)*('(橫掃)RX Mapping'!AY34-240),IF(AND('(橫掃)RX Mapping'!AY34&gt;=241,'(橫掃)RX Mapping'!AY34&lt;=360), ('(橫掃)RX Mapping'!AY34-241),IF(AND('(橫掃)RX Mapping'!AY34&gt;=361,'(橫掃)RX Mapping'!AY34&lt;=480), (-1)*('(橫掃)RX Mapping'!AY34-480),IF(AND('(橫掃)RX Mapping'!AY34&gt;=481,'(橫掃)RX Mapping'!AY34&lt;=600), ('(橫掃)RX Mapping'!AY34-361),IF(AND('(橫掃)RX Mapping'!AY34&gt;=601,'(橫掃)RX Mapping'!AY34&lt;=720), (-1)*('(橫掃)RX Mapping'!AY34-720)+120,IF(AND('(橫掃)RX Mapping'!AY34&gt;=721,'(橫掃)RX Mapping'!AY34&lt;=840), ('(橫掃)RX Mapping'!AY34-601),IF(AND('(橫掃)RX Mapping'!AY34&gt;=841,'(橫掃)RX Mapping'!AY34&lt;=960), (-1)*('(橫掃)RX Mapping'!AY34-960)+120,9999))))))))</f>
        <v>9999</v>
      </c>
      <c r="AZ34">
        <f>IF(AND('(橫掃)RX Mapping'!AZ34&gt;=1,'(橫掃)RX Mapping'!AZ34&lt;=120), ('(橫掃)RX Mapping'!AZ34-1),IF(AND('(橫掃)RX Mapping'!AZ34&gt;=121,'(橫掃)RX Mapping'!AZ34&lt;=240), (-1)*('(橫掃)RX Mapping'!AZ34-240),IF(AND('(橫掃)RX Mapping'!AZ34&gt;=241,'(橫掃)RX Mapping'!AZ34&lt;=360), ('(橫掃)RX Mapping'!AZ34-241),IF(AND('(橫掃)RX Mapping'!AZ34&gt;=361,'(橫掃)RX Mapping'!AZ34&lt;=480), (-1)*('(橫掃)RX Mapping'!AZ34-480),IF(AND('(橫掃)RX Mapping'!AZ34&gt;=481,'(橫掃)RX Mapping'!AZ34&lt;=600), ('(橫掃)RX Mapping'!AZ34-361),IF(AND('(橫掃)RX Mapping'!AZ34&gt;=601,'(橫掃)RX Mapping'!AZ34&lt;=720), (-1)*('(橫掃)RX Mapping'!AZ34-720)+120,IF(AND('(橫掃)RX Mapping'!AZ34&gt;=721,'(橫掃)RX Mapping'!AZ34&lt;=840), ('(橫掃)RX Mapping'!AZ34-601),IF(AND('(橫掃)RX Mapping'!AZ34&gt;=841,'(橫掃)RX Mapping'!AZ34&lt;=960), (-1)*('(橫掃)RX Mapping'!AZ34-960)+120,9999))))))))</f>
        <v>9999</v>
      </c>
      <c r="BA34">
        <f>IF(AND('(橫掃)RX Mapping'!BA34&gt;=1,'(橫掃)RX Mapping'!BA34&lt;=120), ('(橫掃)RX Mapping'!BA34-1),IF(AND('(橫掃)RX Mapping'!BA34&gt;=121,'(橫掃)RX Mapping'!BA34&lt;=240), (-1)*('(橫掃)RX Mapping'!BA34-240),IF(AND('(橫掃)RX Mapping'!BA34&gt;=241,'(橫掃)RX Mapping'!BA34&lt;=360), ('(橫掃)RX Mapping'!BA34-241),IF(AND('(橫掃)RX Mapping'!BA34&gt;=361,'(橫掃)RX Mapping'!BA34&lt;=480), (-1)*('(橫掃)RX Mapping'!BA34-480),IF(AND('(橫掃)RX Mapping'!BA34&gt;=481,'(橫掃)RX Mapping'!BA34&lt;=600), ('(橫掃)RX Mapping'!BA34-361),IF(AND('(橫掃)RX Mapping'!BA34&gt;=601,'(橫掃)RX Mapping'!BA34&lt;=720), (-1)*('(橫掃)RX Mapping'!BA34-720)+120,IF(AND('(橫掃)RX Mapping'!BA34&gt;=721,'(橫掃)RX Mapping'!BA34&lt;=840), ('(橫掃)RX Mapping'!BA34-601),IF(AND('(橫掃)RX Mapping'!BA34&gt;=841,'(橫掃)RX Mapping'!BA34&lt;=960), (-1)*('(橫掃)RX Mapping'!BA34-960)+120,9999))))))))</f>
        <v>9999</v>
      </c>
      <c r="BB34">
        <f>IF(AND('(橫掃)RX Mapping'!BB34&gt;=1,'(橫掃)RX Mapping'!BB34&lt;=120), ('(橫掃)RX Mapping'!BB34-1),IF(AND('(橫掃)RX Mapping'!BB34&gt;=121,'(橫掃)RX Mapping'!BB34&lt;=240), (-1)*('(橫掃)RX Mapping'!BB34-240),IF(AND('(橫掃)RX Mapping'!BB34&gt;=241,'(橫掃)RX Mapping'!BB34&lt;=360), ('(橫掃)RX Mapping'!BB34-241),IF(AND('(橫掃)RX Mapping'!BB34&gt;=361,'(橫掃)RX Mapping'!BB34&lt;=480), (-1)*('(橫掃)RX Mapping'!BB34-480),IF(AND('(橫掃)RX Mapping'!BB34&gt;=481,'(橫掃)RX Mapping'!BB34&lt;=600), ('(橫掃)RX Mapping'!BB34-361),IF(AND('(橫掃)RX Mapping'!BB34&gt;=601,'(橫掃)RX Mapping'!BB34&lt;=720), (-1)*('(橫掃)RX Mapping'!BB34-720)+120,IF(AND('(橫掃)RX Mapping'!BB34&gt;=721,'(橫掃)RX Mapping'!BB34&lt;=840), ('(橫掃)RX Mapping'!BB34-601),IF(AND('(橫掃)RX Mapping'!BB34&gt;=841,'(橫掃)RX Mapping'!BB34&lt;=960), (-1)*('(橫掃)RX Mapping'!BB34-960)+120,9999))))))))</f>
        <v>9999</v>
      </c>
      <c r="BC34">
        <f>IF(AND('(橫掃)RX Mapping'!BC34&gt;=1,'(橫掃)RX Mapping'!BC34&lt;=120), ('(橫掃)RX Mapping'!BC34-1),IF(AND('(橫掃)RX Mapping'!BC34&gt;=121,'(橫掃)RX Mapping'!BC34&lt;=240), (-1)*('(橫掃)RX Mapping'!BC34-240),IF(AND('(橫掃)RX Mapping'!BC34&gt;=241,'(橫掃)RX Mapping'!BC34&lt;=360), ('(橫掃)RX Mapping'!BC34-241),IF(AND('(橫掃)RX Mapping'!BC34&gt;=361,'(橫掃)RX Mapping'!BC34&lt;=480), (-1)*('(橫掃)RX Mapping'!BC34-480),IF(AND('(橫掃)RX Mapping'!BC34&gt;=481,'(橫掃)RX Mapping'!BC34&lt;=600), ('(橫掃)RX Mapping'!BC34-361),IF(AND('(橫掃)RX Mapping'!BC34&gt;=601,'(橫掃)RX Mapping'!BC34&lt;=720), (-1)*('(橫掃)RX Mapping'!BC34-720)+120,IF(AND('(橫掃)RX Mapping'!BC34&gt;=721,'(橫掃)RX Mapping'!BC34&lt;=840), ('(橫掃)RX Mapping'!BC34-601),IF(AND('(橫掃)RX Mapping'!BC34&gt;=841,'(橫掃)RX Mapping'!BC34&lt;=960), (-1)*('(橫掃)RX Mapping'!BC34-960)+120,9999))))))))</f>
        <v>9999</v>
      </c>
      <c r="BD34">
        <f>IF(AND('(橫掃)RX Mapping'!BD34&gt;=1,'(橫掃)RX Mapping'!BD34&lt;=120), ('(橫掃)RX Mapping'!BD34-1),IF(AND('(橫掃)RX Mapping'!BD34&gt;=121,'(橫掃)RX Mapping'!BD34&lt;=240), (-1)*('(橫掃)RX Mapping'!BD34-240),IF(AND('(橫掃)RX Mapping'!BD34&gt;=241,'(橫掃)RX Mapping'!BD34&lt;=360), ('(橫掃)RX Mapping'!BD34-241),IF(AND('(橫掃)RX Mapping'!BD34&gt;=361,'(橫掃)RX Mapping'!BD34&lt;=480), (-1)*('(橫掃)RX Mapping'!BD34-480),IF(AND('(橫掃)RX Mapping'!BD34&gt;=481,'(橫掃)RX Mapping'!BD34&lt;=600), ('(橫掃)RX Mapping'!BD34-361),IF(AND('(橫掃)RX Mapping'!BD34&gt;=601,'(橫掃)RX Mapping'!BD34&lt;=720), (-1)*('(橫掃)RX Mapping'!BD34-720)+120,IF(AND('(橫掃)RX Mapping'!BD34&gt;=721,'(橫掃)RX Mapping'!BD34&lt;=840), ('(橫掃)RX Mapping'!BD34-601),IF(AND('(橫掃)RX Mapping'!BD34&gt;=841,'(橫掃)RX Mapping'!BD34&lt;=960), (-1)*('(橫掃)RX Mapping'!BD34-960)+120,9999))))))))</f>
        <v>9999</v>
      </c>
      <c r="BE34">
        <f>IF(AND('(橫掃)RX Mapping'!BE34&gt;=1,'(橫掃)RX Mapping'!BE34&lt;=120), ('(橫掃)RX Mapping'!BE34-1),IF(AND('(橫掃)RX Mapping'!BE34&gt;=121,'(橫掃)RX Mapping'!BE34&lt;=240), (-1)*('(橫掃)RX Mapping'!BE34-240),IF(AND('(橫掃)RX Mapping'!BE34&gt;=241,'(橫掃)RX Mapping'!BE34&lt;=360), ('(橫掃)RX Mapping'!BE34-241),IF(AND('(橫掃)RX Mapping'!BE34&gt;=361,'(橫掃)RX Mapping'!BE34&lt;=480), (-1)*('(橫掃)RX Mapping'!BE34-480),IF(AND('(橫掃)RX Mapping'!BE34&gt;=481,'(橫掃)RX Mapping'!BE34&lt;=600), ('(橫掃)RX Mapping'!BE34-361),IF(AND('(橫掃)RX Mapping'!BE34&gt;=601,'(橫掃)RX Mapping'!BE34&lt;=720), (-1)*('(橫掃)RX Mapping'!BE34-720)+120,IF(AND('(橫掃)RX Mapping'!BE34&gt;=721,'(橫掃)RX Mapping'!BE34&lt;=840), ('(橫掃)RX Mapping'!BE34-601),IF(AND('(橫掃)RX Mapping'!BE34&gt;=841,'(橫掃)RX Mapping'!BE34&lt;=960), (-1)*('(橫掃)RX Mapping'!BE34-960)+120,9999))))))))</f>
        <v>9999</v>
      </c>
      <c r="BF34">
        <f>IF(AND('(橫掃)RX Mapping'!BF34&gt;=1,'(橫掃)RX Mapping'!BF34&lt;=120), ('(橫掃)RX Mapping'!BF34-1),IF(AND('(橫掃)RX Mapping'!BF34&gt;=121,'(橫掃)RX Mapping'!BF34&lt;=240), (-1)*('(橫掃)RX Mapping'!BF34-240),IF(AND('(橫掃)RX Mapping'!BF34&gt;=241,'(橫掃)RX Mapping'!BF34&lt;=360), ('(橫掃)RX Mapping'!BF34-241),IF(AND('(橫掃)RX Mapping'!BF34&gt;=361,'(橫掃)RX Mapping'!BF34&lt;=480), (-1)*('(橫掃)RX Mapping'!BF34-480),IF(AND('(橫掃)RX Mapping'!BF34&gt;=481,'(橫掃)RX Mapping'!BF34&lt;=600), ('(橫掃)RX Mapping'!BF34-361),IF(AND('(橫掃)RX Mapping'!BF34&gt;=601,'(橫掃)RX Mapping'!BF34&lt;=720), (-1)*('(橫掃)RX Mapping'!BF34-720)+120,IF(AND('(橫掃)RX Mapping'!BF34&gt;=721,'(橫掃)RX Mapping'!BF34&lt;=840), ('(橫掃)RX Mapping'!BF34-601),IF(AND('(橫掃)RX Mapping'!BF34&gt;=841,'(橫掃)RX Mapping'!BF34&lt;=960), (-1)*('(橫掃)RX Mapping'!BF34-960)+120,9999))))))))</f>
        <v>9999</v>
      </c>
      <c r="BG34">
        <f>IF(AND('(橫掃)RX Mapping'!BG34&gt;=1,'(橫掃)RX Mapping'!BG34&lt;=120), ('(橫掃)RX Mapping'!BG34-1),IF(AND('(橫掃)RX Mapping'!BG34&gt;=121,'(橫掃)RX Mapping'!BG34&lt;=240), (-1)*('(橫掃)RX Mapping'!BG34-240),IF(AND('(橫掃)RX Mapping'!BG34&gt;=241,'(橫掃)RX Mapping'!BG34&lt;=360), ('(橫掃)RX Mapping'!BG34-241),IF(AND('(橫掃)RX Mapping'!BG34&gt;=361,'(橫掃)RX Mapping'!BG34&lt;=480), (-1)*('(橫掃)RX Mapping'!BG34-480),IF(AND('(橫掃)RX Mapping'!BG34&gt;=481,'(橫掃)RX Mapping'!BG34&lt;=600), ('(橫掃)RX Mapping'!BG34-361),IF(AND('(橫掃)RX Mapping'!BG34&gt;=601,'(橫掃)RX Mapping'!BG34&lt;=720), (-1)*('(橫掃)RX Mapping'!BG34-720)+120,IF(AND('(橫掃)RX Mapping'!BG34&gt;=721,'(橫掃)RX Mapping'!BG34&lt;=840), ('(橫掃)RX Mapping'!BG34-601),IF(AND('(橫掃)RX Mapping'!BG34&gt;=841,'(橫掃)RX Mapping'!BG34&lt;=960), (-1)*('(橫掃)RX Mapping'!BG34-960)+120,9999))))))))</f>
        <v>9999</v>
      </c>
      <c r="BH34">
        <f>IF(AND('(橫掃)RX Mapping'!BH34&gt;=1,'(橫掃)RX Mapping'!BH34&lt;=120), ('(橫掃)RX Mapping'!BH34-1),IF(AND('(橫掃)RX Mapping'!BH34&gt;=121,'(橫掃)RX Mapping'!BH34&lt;=240), (-1)*('(橫掃)RX Mapping'!BH34-240),IF(AND('(橫掃)RX Mapping'!BH34&gt;=241,'(橫掃)RX Mapping'!BH34&lt;=360), ('(橫掃)RX Mapping'!BH34-241),IF(AND('(橫掃)RX Mapping'!BH34&gt;=361,'(橫掃)RX Mapping'!BH34&lt;=480), (-1)*('(橫掃)RX Mapping'!BH34-480),IF(AND('(橫掃)RX Mapping'!BH34&gt;=481,'(橫掃)RX Mapping'!BH34&lt;=600), ('(橫掃)RX Mapping'!BH34-361),IF(AND('(橫掃)RX Mapping'!BH34&gt;=601,'(橫掃)RX Mapping'!BH34&lt;=720), (-1)*('(橫掃)RX Mapping'!BH34-720)+120,IF(AND('(橫掃)RX Mapping'!BH34&gt;=721,'(橫掃)RX Mapping'!BH34&lt;=840), ('(橫掃)RX Mapping'!BH34-601),IF(AND('(橫掃)RX Mapping'!BH34&gt;=841,'(橫掃)RX Mapping'!BH34&lt;=960), (-1)*('(橫掃)RX Mapping'!BH34-960)+120,9999))))))))</f>
        <v>9999</v>
      </c>
      <c r="BI34">
        <f>IF(AND('(橫掃)RX Mapping'!BI34&gt;=1,'(橫掃)RX Mapping'!BI34&lt;=120), ('(橫掃)RX Mapping'!BI34-1),IF(AND('(橫掃)RX Mapping'!BI34&gt;=121,'(橫掃)RX Mapping'!BI34&lt;=240), (-1)*('(橫掃)RX Mapping'!BI34-240),IF(AND('(橫掃)RX Mapping'!BI34&gt;=241,'(橫掃)RX Mapping'!BI34&lt;=360), ('(橫掃)RX Mapping'!BI34-241),IF(AND('(橫掃)RX Mapping'!BI34&gt;=361,'(橫掃)RX Mapping'!BI34&lt;=480), (-1)*('(橫掃)RX Mapping'!BI34-480),IF(AND('(橫掃)RX Mapping'!BI34&gt;=481,'(橫掃)RX Mapping'!BI34&lt;=600), ('(橫掃)RX Mapping'!BI34-361),IF(AND('(橫掃)RX Mapping'!BI34&gt;=601,'(橫掃)RX Mapping'!BI34&lt;=720), (-1)*('(橫掃)RX Mapping'!BI34-720)+120,IF(AND('(橫掃)RX Mapping'!BI34&gt;=721,'(橫掃)RX Mapping'!BI34&lt;=840), ('(橫掃)RX Mapping'!BI34-601),IF(AND('(橫掃)RX Mapping'!BI34&gt;=841,'(橫掃)RX Mapping'!BI34&lt;=960), (-1)*('(橫掃)RX Mapping'!BI34-960)+120,9999))))))))</f>
        <v>9999</v>
      </c>
    </row>
    <row r="35" spans="1:61" x14ac:dyDescent="0.25">
      <c r="A35" s="20">
        <v>34</v>
      </c>
      <c r="B35">
        <f>IF(AND('(橫掃)RX Mapping'!B35&gt;=1,'(橫掃)RX Mapping'!B35&lt;=120), ('(橫掃)RX Mapping'!B35-1),IF(AND('(橫掃)RX Mapping'!B35&gt;=121,'(橫掃)RX Mapping'!B35&lt;=240), (-1)*('(橫掃)RX Mapping'!B35-240),IF(AND('(橫掃)RX Mapping'!B35&gt;=241,'(橫掃)RX Mapping'!B35&lt;=360), ('(橫掃)RX Mapping'!B35-241),IF(AND('(橫掃)RX Mapping'!B35&gt;=361,'(橫掃)RX Mapping'!B35&lt;=480), (-1)*('(橫掃)RX Mapping'!B35-480),IF(AND('(橫掃)RX Mapping'!B35&gt;=481,'(橫掃)RX Mapping'!B35&lt;=600), ('(橫掃)RX Mapping'!B35-361),IF(AND('(橫掃)RX Mapping'!B35&gt;=601,'(橫掃)RX Mapping'!B35&lt;=720), (-1)*('(橫掃)RX Mapping'!B35-720)+120,IF(AND('(橫掃)RX Mapping'!B35&gt;=721,'(橫掃)RX Mapping'!B35&lt;=840), ('(橫掃)RX Mapping'!B35-601),IF(AND('(橫掃)RX Mapping'!B35&gt;=841,'(橫掃)RX Mapping'!B35&lt;=960), (-1)*('(橫掃)RX Mapping'!B35-960)+120,9999))))))))</f>
        <v>9999</v>
      </c>
      <c r="C35">
        <f>IF(AND('(橫掃)RX Mapping'!C35&gt;=1,'(橫掃)RX Mapping'!C35&lt;=120), ('(橫掃)RX Mapping'!C35-1),IF(AND('(橫掃)RX Mapping'!C35&gt;=121,'(橫掃)RX Mapping'!C35&lt;=240), (-1)*('(橫掃)RX Mapping'!C35-240),IF(AND('(橫掃)RX Mapping'!C35&gt;=241,'(橫掃)RX Mapping'!C35&lt;=360), ('(橫掃)RX Mapping'!C35-241),IF(AND('(橫掃)RX Mapping'!C35&gt;=361,'(橫掃)RX Mapping'!C35&lt;=480), (-1)*('(橫掃)RX Mapping'!C35-480),IF(AND('(橫掃)RX Mapping'!C35&gt;=481,'(橫掃)RX Mapping'!C35&lt;=600), ('(橫掃)RX Mapping'!C35-361),IF(AND('(橫掃)RX Mapping'!C35&gt;=601,'(橫掃)RX Mapping'!C35&lt;=720), (-1)*('(橫掃)RX Mapping'!C35-720)+120,IF(AND('(橫掃)RX Mapping'!C35&gt;=721,'(橫掃)RX Mapping'!C35&lt;=840), ('(橫掃)RX Mapping'!C35-601),IF(AND('(橫掃)RX Mapping'!C35&gt;=841,'(橫掃)RX Mapping'!C35&lt;=960), (-1)*('(橫掃)RX Mapping'!C35-960)+120,9999))))))))</f>
        <v>9999</v>
      </c>
      <c r="D35">
        <f>IF(AND('(橫掃)RX Mapping'!D35&gt;=1,'(橫掃)RX Mapping'!D35&lt;=120), ('(橫掃)RX Mapping'!D35-1),IF(AND('(橫掃)RX Mapping'!D35&gt;=121,'(橫掃)RX Mapping'!D35&lt;=240), (-1)*('(橫掃)RX Mapping'!D35-240),IF(AND('(橫掃)RX Mapping'!D35&gt;=241,'(橫掃)RX Mapping'!D35&lt;=360), ('(橫掃)RX Mapping'!D35-241),IF(AND('(橫掃)RX Mapping'!D35&gt;=361,'(橫掃)RX Mapping'!D35&lt;=480), (-1)*('(橫掃)RX Mapping'!D35-480),IF(AND('(橫掃)RX Mapping'!D35&gt;=481,'(橫掃)RX Mapping'!D35&lt;=600), ('(橫掃)RX Mapping'!D35-361),IF(AND('(橫掃)RX Mapping'!D35&gt;=601,'(橫掃)RX Mapping'!D35&lt;=720), (-1)*('(橫掃)RX Mapping'!D35-720)+120,IF(AND('(橫掃)RX Mapping'!D35&gt;=721,'(橫掃)RX Mapping'!D35&lt;=840), ('(橫掃)RX Mapping'!D35-601),IF(AND('(橫掃)RX Mapping'!D35&gt;=841,'(橫掃)RX Mapping'!D35&lt;=960), (-1)*('(橫掃)RX Mapping'!D35-960)+120,9999))))))))</f>
        <v>9999</v>
      </c>
      <c r="E35">
        <f>IF(AND('(橫掃)RX Mapping'!E35&gt;=1,'(橫掃)RX Mapping'!E35&lt;=120), ('(橫掃)RX Mapping'!E35-1),IF(AND('(橫掃)RX Mapping'!E35&gt;=121,'(橫掃)RX Mapping'!E35&lt;=240), (-1)*('(橫掃)RX Mapping'!E35-240),IF(AND('(橫掃)RX Mapping'!E35&gt;=241,'(橫掃)RX Mapping'!E35&lt;=360), ('(橫掃)RX Mapping'!E35-241),IF(AND('(橫掃)RX Mapping'!E35&gt;=361,'(橫掃)RX Mapping'!E35&lt;=480), (-1)*('(橫掃)RX Mapping'!E35-480),IF(AND('(橫掃)RX Mapping'!E35&gt;=481,'(橫掃)RX Mapping'!E35&lt;=600), ('(橫掃)RX Mapping'!E35-361),IF(AND('(橫掃)RX Mapping'!E35&gt;=601,'(橫掃)RX Mapping'!E35&lt;=720), (-1)*('(橫掃)RX Mapping'!E35-720)+120,IF(AND('(橫掃)RX Mapping'!E35&gt;=721,'(橫掃)RX Mapping'!E35&lt;=840), ('(橫掃)RX Mapping'!E35-601),IF(AND('(橫掃)RX Mapping'!E35&gt;=841,'(橫掃)RX Mapping'!E35&lt;=960), (-1)*('(橫掃)RX Mapping'!E35-960)+120,9999))))))))</f>
        <v>9999</v>
      </c>
      <c r="F35">
        <f>IF(AND('(橫掃)RX Mapping'!F35&gt;=1,'(橫掃)RX Mapping'!F35&lt;=120), ('(橫掃)RX Mapping'!F35-1),IF(AND('(橫掃)RX Mapping'!F35&gt;=121,'(橫掃)RX Mapping'!F35&lt;=240), (-1)*('(橫掃)RX Mapping'!F35-240),IF(AND('(橫掃)RX Mapping'!F35&gt;=241,'(橫掃)RX Mapping'!F35&lt;=360), ('(橫掃)RX Mapping'!F35-241),IF(AND('(橫掃)RX Mapping'!F35&gt;=361,'(橫掃)RX Mapping'!F35&lt;=480), (-1)*('(橫掃)RX Mapping'!F35-480),IF(AND('(橫掃)RX Mapping'!F35&gt;=481,'(橫掃)RX Mapping'!F35&lt;=600), ('(橫掃)RX Mapping'!F35-361),IF(AND('(橫掃)RX Mapping'!F35&gt;=601,'(橫掃)RX Mapping'!F35&lt;=720), (-1)*('(橫掃)RX Mapping'!F35-720)+120,IF(AND('(橫掃)RX Mapping'!F35&gt;=721,'(橫掃)RX Mapping'!F35&lt;=840), ('(橫掃)RX Mapping'!F35-601),IF(AND('(橫掃)RX Mapping'!F35&gt;=841,'(橫掃)RX Mapping'!F35&lt;=960), (-1)*('(橫掃)RX Mapping'!F35-960)+120,9999))))))))</f>
        <v>9999</v>
      </c>
      <c r="G35">
        <f>IF(AND('(橫掃)RX Mapping'!G35&gt;=1,'(橫掃)RX Mapping'!G35&lt;=120), ('(橫掃)RX Mapping'!G35-1),IF(AND('(橫掃)RX Mapping'!G35&gt;=121,'(橫掃)RX Mapping'!G35&lt;=240), (-1)*('(橫掃)RX Mapping'!G35-240),IF(AND('(橫掃)RX Mapping'!G35&gt;=241,'(橫掃)RX Mapping'!G35&lt;=360), ('(橫掃)RX Mapping'!G35-241),IF(AND('(橫掃)RX Mapping'!G35&gt;=361,'(橫掃)RX Mapping'!G35&lt;=480), (-1)*('(橫掃)RX Mapping'!G35-480),IF(AND('(橫掃)RX Mapping'!G35&gt;=481,'(橫掃)RX Mapping'!G35&lt;=600), ('(橫掃)RX Mapping'!G35-361),IF(AND('(橫掃)RX Mapping'!G35&gt;=601,'(橫掃)RX Mapping'!G35&lt;=720), (-1)*('(橫掃)RX Mapping'!G35-720)+120,IF(AND('(橫掃)RX Mapping'!G35&gt;=721,'(橫掃)RX Mapping'!G35&lt;=840), ('(橫掃)RX Mapping'!G35-601),IF(AND('(橫掃)RX Mapping'!G35&gt;=841,'(橫掃)RX Mapping'!G35&lt;=960), (-1)*('(橫掃)RX Mapping'!G35-960)+120,9999))))))))</f>
        <v>9999</v>
      </c>
      <c r="H35">
        <f>IF(AND('(橫掃)RX Mapping'!H35&gt;=1,'(橫掃)RX Mapping'!H35&lt;=120), ('(橫掃)RX Mapping'!H35-1),IF(AND('(橫掃)RX Mapping'!H35&gt;=121,'(橫掃)RX Mapping'!H35&lt;=240), (-1)*('(橫掃)RX Mapping'!H35-240),IF(AND('(橫掃)RX Mapping'!H35&gt;=241,'(橫掃)RX Mapping'!H35&lt;=360), ('(橫掃)RX Mapping'!H35-241),IF(AND('(橫掃)RX Mapping'!H35&gt;=361,'(橫掃)RX Mapping'!H35&lt;=480), (-1)*('(橫掃)RX Mapping'!H35-480),IF(AND('(橫掃)RX Mapping'!H35&gt;=481,'(橫掃)RX Mapping'!H35&lt;=600), ('(橫掃)RX Mapping'!H35-361),IF(AND('(橫掃)RX Mapping'!H35&gt;=601,'(橫掃)RX Mapping'!H35&lt;=720), (-1)*('(橫掃)RX Mapping'!H35-720)+120,IF(AND('(橫掃)RX Mapping'!H35&gt;=721,'(橫掃)RX Mapping'!H35&lt;=840), ('(橫掃)RX Mapping'!H35-601),IF(AND('(橫掃)RX Mapping'!H35&gt;=841,'(橫掃)RX Mapping'!H35&lt;=960), (-1)*('(橫掃)RX Mapping'!H35-960)+120,9999))))))))</f>
        <v>9999</v>
      </c>
      <c r="I35">
        <f>IF(AND('(橫掃)RX Mapping'!I35&gt;=1,'(橫掃)RX Mapping'!I35&lt;=120), ('(橫掃)RX Mapping'!I35-1),IF(AND('(橫掃)RX Mapping'!I35&gt;=121,'(橫掃)RX Mapping'!I35&lt;=240), (-1)*('(橫掃)RX Mapping'!I35-240),IF(AND('(橫掃)RX Mapping'!I35&gt;=241,'(橫掃)RX Mapping'!I35&lt;=360), ('(橫掃)RX Mapping'!I35-241),IF(AND('(橫掃)RX Mapping'!I35&gt;=361,'(橫掃)RX Mapping'!I35&lt;=480), (-1)*('(橫掃)RX Mapping'!I35-480),IF(AND('(橫掃)RX Mapping'!I35&gt;=481,'(橫掃)RX Mapping'!I35&lt;=600), ('(橫掃)RX Mapping'!I35-361),IF(AND('(橫掃)RX Mapping'!I35&gt;=601,'(橫掃)RX Mapping'!I35&lt;=720), (-1)*('(橫掃)RX Mapping'!I35-720)+120,IF(AND('(橫掃)RX Mapping'!I35&gt;=721,'(橫掃)RX Mapping'!I35&lt;=840), ('(橫掃)RX Mapping'!I35-601),IF(AND('(橫掃)RX Mapping'!I35&gt;=841,'(橫掃)RX Mapping'!I35&lt;=960), (-1)*('(橫掃)RX Mapping'!I35-960)+120,9999))))))))</f>
        <v>9999</v>
      </c>
      <c r="J35">
        <f>IF(AND('(橫掃)RX Mapping'!J35&gt;=1,'(橫掃)RX Mapping'!J35&lt;=120), ('(橫掃)RX Mapping'!J35-1),IF(AND('(橫掃)RX Mapping'!J35&gt;=121,'(橫掃)RX Mapping'!J35&lt;=240), (-1)*('(橫掃)RX Mapping'!J35-240),IF(AND('(橫掃)RX Mapping'!J35&gt;=241,'(橫掃)RX Mapping'!J35&lt;=360), ('(橫掃)RX Mapping'!J35-241),IF(AND('(橫掃)RX Mapping'!J35&gt;=361,'(橫掃)RX Mapping'!J35&lt;=480), (-1)*('(橫掃)RX Mapping'!J35-480),IF(AND('(橫掃)RX Mapping'!J35&gt;=481,'(橫掃)RX Mapping'!J35&lt;=600), ('(橫掃)RX Mapping'!J35-361),IF(AND('(橫掃)RX Mapping'!J35&gt;=601,'(橫掃)RX Mapping'!J35&lt;=720), (-1)*('(橫掃)RX Mapping'!J35-720)+120,IF(AND('(橫掃)RX Mapping'!J35&gt;=721,'(橫掃)RX Mapping'!J35&lt;=840), ('(橫掃)RX Mapping'!J35-601),IF(AND('(橫掃)RX Mapping'!J35&gt;=841,'(橫掃)RX Mapping'!J35&lt;=960), (-1)*('(橫掃)RX Mapping'!J35-960)+120,9999))))))))</f>
        <v>9999</v>
      </c>
      <c r="K35">
        <f>IF(AND('(橫掃)RX Mapping'!K35&gt;=1,'(橫掃)RX Mapping'!K35&lt;=120), ('(橫掃)RX Mapping'!K35-1),IF(AND('(橫掃)RX Mapping'!K35&gt;=121,'(橫掃)RX Mapping'!K35&lt;=240), (-1)*('(橫掃)RX Mapping'!K35-240),IF(AND('(橫掃)RX Mapping'!K35&gt;=241,'(橫掃)RX Mapping'!K35&lt;=360), ('(橫掃)RX Mapping'!K35-241),IF(AND('(橫掃)RX Mapping'!K35&gt;=361,'(橫掃)RX Mapping'!K35&lt;=480), (-1)*('(橫掃)RX Mapping'!K35-480),IF(AND('(橫掃)RX Mapping'!K35&gt;=481,'(橫掃)RX Mapping'!K35&lt;=600), ('(橫掃)RX Mapping'!K35-361),IF(AND('(橫掃)RX Mapping'!K35&gt;=601,'(橫掃)RX Mapping'!K35&lt;=720), (-1)*('(橫掃)RX Mapping'!K35-720)+120,IF(AND('(橫掃)RX Mapping'!K35&gt;=721,'(橫掃)RX Mapping'!K35&lt;=840), ('(橫掃)RX Mapping'!K35-601),IF(AND('(橫掃)RX Mapping'!K35&gt;=841,'(橫掃)RX Mapping'!K35&lt;=960), (-1)*('(橫掃)RX Mapping'!K35-960)+120,9999))))))))</f>
        <v>9999</v>
      </c>
      <c r="L35">
        <f>IF(AND('(橫掃)RX Mapping'!L35&gt;=1,'(橫掃)RX Mapping'!L35&lt;=120), ('(橫掃)RX Mapping'!L35-1),IF(AND('(橫掃)RX Mapping'!L35&gt;=121,'(橫掃)RX Mapping'!L35&lt;=240), (-1)*('(橫掃)RX Mapping'!L35-240),IF(AND('(橫掃)RX Mapping'!L35&gt;=241,'(橫掃)RX Mapping'!L35&lt;=360), ('(橫掃)RX Mapping'!L35-241),IF(AND('(橫掃)RX Mapping'!L35&gt;=361,'(橫掃)RX Mapping'!L35&lt;=480), (-1)*('(橫掃)RX Mapping'!L35-480),IF(AND('(橫掃)RX Mapping'!L35&gt;=481,'(橫掃)RX Mapping'!L35&lt;=600), ('(橫掃)RX Mapping'!L35-361),IF(AND('(橫掃)RX Mapping'!L35&gt;=601,'(橫掃)RX Mapping'!L35&lt;=720), (-1)*('(橫掃)RX Mapping'!L35-720)+120,IF(AND('(橫掃)RX Mapping'!L35&gt;=721,'(橫掃)RX Mapping'!L35&lt;=840), ('(橫掃)RX Mapping'!L35-601),IF(AND('(橫掃)RX Mapping'!L35&gt;=841,'(橫掃)RX Mapping'!L35&lt;=960), (-1)*('(橫掃)RX Mapping'!L35-960)+120,9999))))))))</f>
        <v>9999</v>
      </c>
      <c r="M35">
        <f>IF(AND('(橫掃)RX Mapping'!M35&gt;=1,'(橫掃)RX Mapping'!M35&lt;=120), ('(橫掃)RX Mapping'!M35-1),IF(AND('(橫掃)RX Mapping'!M35&gt;=121,'(橫掃)RX Mapping'!M35&lt;=240), (-1)*('(橫掃)RX Mapping'!M35-240),IF(AND('(橫掃)RX Mapping'!M35&gt;=241,'(橫掃)RX Mapping'!M35&lt;=360), ('(橫掃)RX Mapping'!M35-241),IF(AND('(橫掃)RX Mapping'!M35&gt;=361,'(橫掃)RX Mapping'!M35&lt;=480), (-1)*('(橫掃)RX Mapping'!M35-480),IF(AND('(橫掃)RX Mapping'!M35&gt;=481,'(橫掃)RX Mapping'!M35&lt;=600), ('(橫掃)RX Mapping'!M35-361),IF(AND('(橫掃)RX Mapping'!M35&gt;=601,'(橫掃)RX Mapping'!M35&lt;=720), (-1)*('(橫掃)RX Mapping'!M35-720)+120,IF(AND('(橫掃)RX Mapping'!M35&gt;=721,'(橫掃)RX Mapping'!M35&lt;=840), ('(橫掃)RX Mapping'!M35-601),IF(AND('(橫掃)RX Mapping'!M35&gt;=841,'(橫掃)RX Mapping'!M35&lt;=960), (-1)*('(橫掃)RX Mapping'!M35-960)+120,9999))))))))</f>
        <v>9999</v>
      </c>
      <c r="N35">
        <f>IF(AND('(橫掃)RX Mapping'!N35&gt;=1,'(橫掃)RX Mapping'!N35&lt;=120), ('(橫掃)RX Mapping'!N35-1),IF(AND('(橫掃)RX Mapping'!N35&gt;=121,'(橫掃)RX Mapping'!N35&lt;=240), (-1)*('(橫掃)RX Mapping'!N35-240),IF(AND('(橫掃)RX Mapping'!N35&gt;=241,'(橫掃)RX Mapping'!N35&lt;=360), ('(橫掃)RX Mapping'!N35-241),IF(AND('(橫掃)RX Mapping'!N35&gt;=361,'(橫掃)RX Mapping'!N35&lt;=480), (-1)*('(橫掃)RX Mapping'!N35-480),IF(AND('(橫掃)RX Mapping'!N35&gt;=481,'(橫掃)RX Mapping'!N35&lt;=600), ('(橫掃)RX Mapping'!N35-361),IF(AND('(橫掃)RX Mapping'!N35&gt;=601,'(橫掃)RX Mapping'!N35&lt;=720), (-1)*('(橫掃)RX Mapping'!N35-720)+120,IF(AND('(橫掃)RX Mapping'!N35&gt;=721,'(橫掃)RX Mapping'!N35&lt;=840), ('(橫掃)RX Mapping'!N35-601),IF(AND('(橫掃)RX Mapping'!N35&gt;=841,'(橫掃)RX Mapping'!N35&lt;=960), (-1)*('(橫掃)RX Mapping'!N35-960)+120,9999))))))))</f>
        <v>9999</v>
      </c>
      <c r="O35">
        <f>IF(AND('(橫掃)RX Mapping'!O35&gt;=1,'(橫掃)RX Mapping'!O35&lt;=120), ('(橫掃)RX Mapping'!O35-1),IF(AND('(橫掃)RX Mapping'!O35&gt;=121,'(橫掃)RX Mapping'!O35&lt;=240), (-1)*('(橫掃)RX Mapping'!O35-240),IF(AND('(橫掃)RX Mapping'!O35&gt;=241,'(橫掃)RX Mapping'!O35&lt;=360), ('(橫掃)RX Mapping'!O35-241),IF(AND('(橫掃)RX Mapping'!O35&gt;=361,'(橫掃)RX Mapping'!O35&lt;=480), (-1)*('(橫掃)RX Mapping'!O35-480),IF(AND('(橫掃)RX Mapping'!O35&gt;=481,'(橫掃)RX Mapping'!O35&lt;=600), ('(橫掃)RX Mapping'!O35-361),IF(AND('(橫掃)RX Mapping'!O35&gt;=601,'(橫掃)RX Mapping'!O35&lt;=720), (-1)*('(橫掃)RX Mapping'!O35-720)+120,IF(AND('(橫掃)RX Mapping'!O35&gt;=721,'(橫掃)RX Mapping'!O35&lt;=840), ('(橫掃)RX Mapping'!O35-601),IF(AND('(橫掃)RX Mapping'!O35&gt;=841,'(橫掃)RX Mapping'!O35&lt;=960), (-1)*('(橫掃)RX Mapping'!O35-960)+120,9999))))))))</f>
        <v>9999</v>
      </c>
      <c r="P35">
        <f>IF(AND('(橫掃)RX Mapping'!P35&gt;=1,'(橫掃)RX Mapping'!P35&lt;=120), ('(橫掃)RX Mapping'!P35-1),IF(AND('(橫掃)RX Mapping'!P35&gt;=121,'(橫掃)RX Mapping'!P35&lt;=240), (-1)*('(橫掃)RX Mapping'!P35-240),IF(AND('(橫掃)RX Mapping'!P35&gt;=241,'(橫掃)RX Mapping'!P35&lt;=360), ('(橫掃)RX Mapping'!P35-241),IF(AND('(橫掃)RX Mapping'!P35&gt;=361,'(橫掃)RX Mapping'!P35&lt;=480), (-1)*('(橫掃)RX Mapping'!P35-480),IF(AND('(橫掃)RX Mapping'!P35&gt;=481,'(橫掃)RX Mapping'!P35&lt;=600), ('(橫掃)RX Mapping'!P35-361),IF(AND('(橫掃)RX Mapping'!P35&gt;=601,'(橫掃)RX Mapping'!P35&lt;=720), (-1)*('(橫掃)RX Mapping'!P35-720)+120,IF(AND('(橫掃)RX Mapping'!P35&gt;=721,'(橫掃)RX Mapping'!P35&lt;=840), ('(橫掃)RX Mapping'!P35-601),IF(AND('(橫掃)RX Mapping'!P35&gt;=841,'(橫掃)RX Mapping'!P35&lt;=960), (-1)*('(橫掃)RX Mapping'!P35-960)+120,9999))))))))</f>
        <v>9999</v>
      </c>
      <c r="Q35">
        <f>IF(AND('(橫掃)RX Mapping'!Q35&gt;=1,'(橫掃)RX Mapping'!Q35&lt;=120), ('(橫掃)RX Mapping'!Q35-1),IF(AND('(橫掃)RX Mapping'!Q35&gt;=121,'(橫掃)RX Mapping'!Q35&lt;=240), (-1)*('(橫掃)RX Mapping'!Q35-240),IF(AND('(橫掃)RX Mapping'!Q35&gt;=241,'(橫掃)RX Mapping'!Q35&lt;=360), ('(橫掃)RX Mapping'!Q35-241),IF(AND('(橫掃)RX Mapping'!Q35&gt;=361,'(橫掃)RX Mapping'!Q35&lt;=480), (-1)*('(橫掃)RX Mapping'!Q35-480),IF(AND('(橫掃)RX Mapping'!Q35&gt;=481,'(橫掃)RX Mapping'!Q35&lt;=600), ('(橫掃)RX Mapping'!Q35-361),IF(AND('(橫掃)RX Mapping'!Q35&gt;=601,'(橫掃)RX Mapping'!Q35&lt;=720), (-1)*('(橫掃)RX Mapping'!Q35-720)+120,IF(AND('(橫掃)RX Mapping'!Q35&gt;=721,'(橫掃)RX Mapping'!Q35&lt;=840), ('(橫掃)RX Mapping'!Q35-601),IF(AND('(橫掃)RX Mapping'!Q35&gt;=841,'(橫掃)RX Mapping'!Q35&lt;=960), (-1)*('(橫掃)RX Mapping'!Q35-960)+120,9999))))))))</f>
        <v>9999</v>
      </c>
      <c r="R35">
        <f>IF(AND('(橫掃)RX Mapping'!R35&gt;=1,'(橫掃)RX Mapping'!R35&lt;=120), ('(橫掃)RX Mapping'!R35-1),IF(AND('(橫掃)RX Mapping'!R35&gt;=121,'(橫掃)RX Mapping'!R35&lt;=240), (-1)*('(橫掃)RX Mapping'!R35-240),IF(AND('(橫掃)RX Mapping'!R35&gt;=241,'(橫掃)RX Mapping'!R35&lt;=360), ('(橫掃)RX Mapping'!R35-241),IF(AND('(橫掃)RX Mapping'!R35&gt;=361,'(橫掃)RX Mapping'!R35&lt;=480), (-1)*('(橫掃)RX Mapping'!R35-480),IF(AND('(橫掃)RX Mapping'!R35&gt;=481,'(橫掃)RX Mapping'!R35&lt;=600), ('(橫掃)RX Mapping'!R35-361),IF(AND('(橫掃)RX Mapping'!R35&gt;=601,'(橫掃)RX Mapping'!R35&lt;=720), (-1)*('(橫掃)RX Mapping'!R35-720)+120,IF(AND('(橫掃)RX Mapping'!R35&gt;=721,'(橫掃)RX Mapping'!R35&lt;=840), ('(橫掃)RX Mapping'!R35-601),IF(AND('(橫掃)RX Mapping'!R35&gt;=841,'(橫掃)RX Mapping'!R35&lt;=960), (-1)*('(橫掃)RX Mapping'!R35-960)+120,9999))))))))</f>
        <v>9999</v>
      </c>
      <c r="S35">
        <f>IF(AND('(橫掃)RX Mapping'!S35&gt;=1,'(橫掃)RX Mapping'!S35&lt;=120), ('(橫掃)RX Mapping'!S35-1),IF(AND('(橫掃)RX Mapping'!S35&gt;=121,'(橫掃)RX Mapping'!S35&lt;=240), (-1)*('(橫掃)RX Mapping'!S35-240),IF(AND('(橫掃)RX Mapping'!S35&gt;=241,'(橫掃)RX Mapping'!S35&lt;=360), ('(橫掃)RX Mapping'!S35-241),IF(AND('(橫掃)RX Mapping'!S35&gt;=361,'(橫掃)RX Mapping'!S35&lt;=480), (-1)*('(橫掃)RX Mapping'!S35-480),IF(AND('(橫掃)RX Mapping'!S35&gt;=481,'(橫掃)RX Mapping'!S35&lt;=600), ('(橫掃)RX Mapping'!S35-361),IF(AND('(橫掃)RX Mapping'!S35&gt;=601,'(橫掃)RX Mapping'!S35&lt;=720), (-1)*('(橫掃)RX Mapping'!S35-720)+120,IF(AND('(橫掃)RX Mapping'!S35&gt;=721,'(橫掃)RX Mapping'!S35&lt;=840), ('(橫掃)RX Mapping'!S35-601),IF(AND('(橫掃)RX Mapping'!S35&gt;=841,'(橫掃)RX Mapping'!S35&lt;=960), (-1)*('(橫掃)RX Mapping'!S35-960)+120,9999))))))))</f>
        <v>9999</v>
      </c>
      <c r="T35">
        <f>IF(AND('(橫掃)RX Mapping'!T35&gt;=1,'(橫掃)RX Mapping'!T35&lt;=120), ('(橫掃)RX Mapping'!T35-1),IF(AND('(橫掃)RX Mapping'!T35&gt;=121,'(橫掃)RX Mapping'!T35&lt;=240), (-1)*('(橫掃)RX Mapping'!T35-240),IF(AND('(橫掃)RX Mapping'!T35&gt;=241,'(橫掃)RX Mapping'!T35&lt;=360), ('(橫掃)RX Mapping'!T35-241),IF(AND('(橫掃)RX Mapping'!T35&gt;=361,'(橫掃)RX Mapping'!T35&lt;=480), (-1)*('(橫掃)RX Mapping'!T35-480),IF(AND('(橫掃)RX Mapping'!T35&gt;=481,'(橫掃)RX Mapping'!T35&lt;=600), ('(橫掃)RX Mapping'!T35-361),IF(AND('(橫掃)RX Mapping'!T35&gt;=601,'(橫掃)RX Mapping'!T35&lt;=720), (-1)*('(橫掃)RX Mapping'!T35-720)+120,IF(AND('(橫掃)RX Mapping'!T35&gt;=721,'(橫掃)RX Mapping'!T35&lt;=840), ('(橫掃)RX Mapping'!T35-601),IF(AND('(橫掃)RX Mapping'!T35&gt;=841,'(橫掃)RX Mapping'!T35&lt;=960), (-1)*('(橫掃)RX Mapping'!T35-960)+120,9999))))))))</f>
        <v>9999</v>
      </c>
      <c r="U35">
        <f>IF(AND('(橫掃)RX Mapping'!U35&gt;=1,'(橫掃)RX Mapping'!U35&lt;=120), ('(橫掃)RX Mapping'!U35-1),IF(AND('(橫掃)RX Mapping'!U35&gt;=121,'(橫掃)RX Mapping'!U35&lt;=240), (-1)*('(橫掃)RX Mapping'!U35-240),IF(AND('(橫掃)RX Mapping'!U35&gt;=241,'(橫掃)RX Mapping'!U35&lt;=360), ('(橫掃)RX Mapping'!U35-241),IF(AND('(橫掃)RX Mapping'!U35&gt;=361,'(橫掃)RX Mapping'!U35&lt;=480), (-1)*('(橫掃)RX Mapping'!U35-480),IF(AND('(橫掃)RX Mapping'!U35&gt;=481,'(橫掃)RX Mapping'!U35&lt;=600), ('(橫掃)RX Mapping'!U35-361),IF(AND('(橫掃)RX Mapping'!U35&gt;=601,'(橫掃)RX Mapping'!U35&lt;=720), (-1)*('(橫掃)RX Mapping'!U35-720)+120,IF(AND('(橫掃)RX Mapping'!U35&gt;=721,'(橫掃)RX Mapping'!U35&lt;=840), ('(橫掃)RX Mapping'!U35-601),IF(AND('(橫掃)RX Mapping'!U35&gt;=841,'(橫掃)RX Mapping'!U35&lt;=960), (-1)*('(橫掃)RX Mapping'!U35-960)+120,9999))))))))</f>
        <v>9999</v>
      </c>
      <c r="V35">
        <f>IF(AND('(橫掃)RX Mapping'!V35&gt;=1,'(橫掃)RX Mapping'!V35&lt;=120), ('(橫掃)RX Mapping'!V35-1),IF(AND('(橫掃)RX Mapping'!V35&gt;=121,'(橫掃)RX Mapping'!V35&lt;=240), (-1)*('(橫掃)RX Mapping'!V35-240),IF(AND('(橫掃)RX Mapping'!V35&gt;=241,'(橫掃)RX Mapping'!V35&lt;=360), ('(橫掃)RX Mapping'!V35-241),IF(AND('(橫掃)RX Mapping'!V35&gt;=361,'(橫掃)RX Mapping'!V35&lt;=480), (-1)*('(橫掃)RX Mapping'!V35-480),IF(AND('(橫掃)RX Mapping'!V35&gt;=481,'(橫掃)RX Mapping'!V35&lt;=600), ('(橫掃)RX Mapping'!V35-361),IF(AND('(橫掃)RX Mapping'!V35&gt;=601,'(橫掃)RX Mapping'!V35&lt;=720), (-1)*('(橫掃)RX Mapping'!V35-720)+120,IF(AND('(橫掃)RX Mapping'!V35&gt;=721,'(橫掃)RX Mapping'!V35&lt;=840), ('(橫掃)RX Mapping'!V35-601),IF(AND('(橫掃)RX Mapping'!V35&gt;=841,'(橫掃)RX Mapping'!V35&lt;=960), (-1)*('(橫掃)RX Mapping'!V35-960)+120,9999))))))))</f>
        <v>9999</v>
      </c>
      <c r="W35">
        <f>IF(AND('(橫掃)RX Mapping'!W35&gt;=1,'(橫掃)RX Mapping'!W35&lt;=120), ('(橫掃)RX Mapping'!W35-1),IF(AND('(橫掃)RX Mapping'!W35&gt;=121,'(橫掃)RX Mapping'!W35&lt;=240), (-1)*('(橫掃)RX Mapping'!W35-240),IF(AND('(橫掃)RX Mapping'!W35&gt;=241,'(橫掃)RX Mapping'!W35&lt;=360), ('(橫掃)RX Mapping'!W35-241),IF(AND('(橫掃)RX Mapping'!W35&gt;=361,'(橫掃)RX Mapping'!W35&lt;=480), (-1)*('(橫掃)RX Mapping'!W35-480),IF(AND('(橫掃)RX Mapping'!W35&gt;=481,'(橫掃)RX Mapping'!W35&lt;=600), ('(橫掃)RX Mapping'!W35-361),IF(AND('(橫掃)RX Mapping'!W35&gt;=601,'(橫掃)RX Mapping'!W35&lt;=720), (-1)*('(橫掃)RX Mapping'!W35-720)+120,IF(AND('(橫掃)RX Mapping'!W35&gt;=721,'(橫掃)RX Mapping'!W35&lt;=840), ('(橫掃)RX Mapping'!W35-601),IF(AND('(橫掃)RX Mapping'!W35&gt;=841,'(橫掃)RX Mapping'!W35&lt;=960), (-1)*('(橫掃)RX Mapping'!W35-960)+120,9999))))))))</f>
        <v>9999</v>
      </c>
      <c r="X35">
        <f>IF(AND('(橫掃)RX Mapping'!X35&gt;=1,'(橫掃)RX Mapping'!X35&lt;=120), ('(橫掃)RX Mapping'!X35-1),IF(AND('(橫掃)RX Mapping'!X35&gt;=121,'(橫掃)RX Mapping'!X35&lt;=240), (-1)*('(橫掃)RX Mapping'!X35-240),IF(AND('(橫掃)RX Mapping'!X35&gt;=241,'(橫掃)RX Mapping'!X35&lt;=360), ('(橫掃)RX Mapping'!X35-241),IF(AND('(橫掃)RX Mapping'!X35&gt;=361,'(橫掃)RX Mapping'!X35&lt;=480), (-1)*('(橫掃)RX Mapping'!X35-480),IF(AND('(橫掃)RX Mapping'!X35&gt;=481,'(橫掃)RX Mapping'!X35&lt;=600), ('(橫掃)RX Mapping'!X35-361),IF(AND('(橫掃)RX Mapping'!X35&gt;=601,'(橫掃)RX Mapping'!X35&lt;=720), (-1)*('(橫掃)RX Mapping'!X35-720)+120,IF(AND('(橫掃)RX Mapping'!X35&gt;=721,'(橫掃)RX Mapping'!X35&lt;=840), ('(橫掃)RX Mapping'!X35-601),IF(AND('(橫掃)RX Mapping'!X35&gt;=841,'(橫掃)RX Mapping'!X35&lt;=960), (-1)*('(橫掃)RX Mapping'!X35-960)+120,9999))))))))</f>
        <v>9999</v>
      </c>
      <c r="Y35">
        <f>IF(AND('(橫掃)RX Mapping'!Y35&gt;=1,'(橫掃)RX Mapping'!Y35&lt;=120), ('(橫掃)RX Mapping'!Y35-1),IF(AND('(橫掃)RX Mapping'!Y35&gt;=121,'(橫掃)RX Mapping'!Y35&lt;=240), (-1)*('(橫掃)RX Mapping'!Y35-240),IF(AND('(橫掃)RX Mapping'!Y35&gt;=241,'(橫掃)RX Mapping'!Y35&lt;=360), ('(橫掃)RX Mapping'!Y35-241),IF(AND('(橫掃)RX Mapping'!Y35&gt;=361,'(橫掃)RX Mapping'!Y35&lt;=480), (-1)*('(橫掃)RX Mapping'!Y35-480),IF(AND('(橫掃)RX Mapping'!Y35&gt;=481,'(橫掃)RX Mapping'!Y35&lt;=600), ('(橫掃)RX Mapping'!Y35-361),IF(AND('(橫掃)RX Mapping'!Y35&gt;=601,'(橫掃)RX Mapping'!Y35&lt;=720), (-1)*('(橫掃)RX Mapping'!Y35-720)+120,IF(AND('(橫掃)RX Mapping'!Y35&gt;=721,'(橫掃)RX Mapping'!Y35&lt;=840), ('(橫掃)RX Mapping'!Y35-601),IF(AND('(橫掃)RX Mapping'!Y35&gt;=841,'(橫掃)RX Mapping'!Y35&lt;=960), (-1)*('(橫掃)RX Mapping'!Y35-960)+120,9999))))))))</f>
        <v>9999</v>
      </c>
      <c r="Z35">
        <f>IF(AND('(橫掃)RX Mapping'!Z35&gt;=1,'(橫掃)RX Mapping'!Z35&lt;=120), ('(橫掃)RX Mapping'!Z35-1),IF(AND('(橫掃)RX Mapping'!Z35&gt;=121,'(橫掃)RX Mapping'!Z35&lt;=240), (-1)*('(橫掃)RX Mapping'!Z35-240),IF(AND('(橫掃)RX Mapping'!Z35&gt;=241,'(橫掃)RX Mapping'!Z35&lt;=360), ('(橫掃)RX Mapping'!Z35-241),IF(AND('(橫掃)RX Mapping'!Z35&gt;=361,'(橫掃)RX Mapping'!Z35&lt;=480), (-1)*('(橫掃)RX Mapping'!Z35-480),IF(AND('(橫掃)RX Mapping'!Z35&gt;=481,'(橫掃)RX Mapping'!Z35&lt;=600), ('(橫掃)RX Mapping'!Z35-361),IF(AND('(橫掃)RX Mapping'!Z35&gt;=601,'(橫掃)RX Mapping'!Z35&lt;=720), (-1)*('(橫掃)RX Mapping'!Z35-720)+120,IF(AND('(橫掃)RX Mapping'!Z35&gt;=721,'(橫掃)RX Mapping'!Z35&lt;=840), ('(橫掃)RX Mapping'!Z35-601),IF(AND('(橫掃)RX Mapping'!Z35&gt;=841,'(橫掃)RX Mapping'!Z35&lt;=960), (-1)*('(橫掃)RX Mapping'!Z35-960)+120,9999))))))))</f>
        <v>9999</v>
      </c>
      <c r="AA35">
        <f>IF(AND('(橫掃)RX Mapping'!AA35&gt;=1,'(橫掃)RX Mapping'!AA35&lt;=120), ('(橫掃)RX Mapping'!AA35-1),IF(AND('(橫掃)RX Mapping'!AA35&gt;=121,'(橫掃)RX Mapping'!AA35&lt;=240), (-1)*('(橫掃)RX Mapping'!AA35-240),IF(AND('(橫掃)RX Mapping'!AA35&gt;=241,'(橫掃)RX Mapping'!AA35&lt;=360), ('(橫掃)RX Mapping'!AA35-241),IF(AND('(橫掃)RX Mapping'!AA35&gt;=361,'(橫掃)RX Mapping'!AA35&lt;=480), (-1)*('(橫掃)RX Mapping'!AA35-480),IF(AND('(橫掃)RX Mapping'!AA35&gt;=481,'(橫掃)RX Mapping'!AA35&lt;=600), ('(橫掃)RX Mapping'!AA35-361),IF(AND('(橫掃)RX Mapping'!AA35&gt;=601,'(橫掃)RX Mapping'!AA35&lt;=720), (-1)*('(橫掃)RX Mapping'!AA35-720)+120,IF(AND('(橫掃)RX Mapping'!AA35&gt;=721,'(橫掃)RX Mapping'!AA35&lt;=840), ('(橫掃)RX Mapping'!AA35-601),IF(AND('(橫掃)RX Mapping'!AA35&gt;=841,'(橫掃)RX Mapping'!AA35&lt;=960), (-1)*('(橫掃)RX Mapping'!AA35-960)+120,9999))))))))</f>
        <v>9999</v>
      </c>
      <c r="AB35">
        <f>IF(AND('(橫掃)RX Mapping'!AB35&gt;=1,'(橫掃)RX Mapping'!AB35&lt;=120), ('(橫掃)RX Mapping'!AB35-1),IF(AND('(橫掃)RX Mapping'!AB35&gt;=121,'(橫掃)RX Mapping'!AB35&lt;=240), (-1)*('(橫掃)RX Mapping'!AB35-240),IF(AND('(橫掃)RX Mapping'!AB35&gt;=241,'(橫掃)RX Mapping'!AB35&lt;=360), ('(橫掃)RX Mapping'!AB35-241),IF(AND('(橫掃)RX Mapping'!AB35&gt;=361,'(橫掃)RX Mapping'!AB35&lt;=480), (-1)*('(橫掃)RX Mapping'!AB35-480),IF(AND('(橫掃)RX Mapping'!AB35&gt;=481,'(橫掃)RX Mapping'!AB35&lt;=600), ('(橫掃)RX Mapping'!AB35-361),IF(AND('(橫掃)RX Mapping'!AB35&gt;=601,'(橫掃)RX Mapping'!AB35&lt;=720), (-1)*('(橫掃)RX Mapping'!AB35-720)+120,IF(AND('(橫掃)RX Mapping'!AB35&gt;=721,'(橫掃)RX Mapping'!AB35&lt;=840), ('(橫掃)RX Mapping'!AB35-601),IF(AND('(橫掃)RX Mapping'!AB35&gt;=841,'(橫掃)RX Mapping'!AB35&lt;=960), (-1)*('(橫掃)RX Mapping'!AB35-960)+120,9999))))))))</f>
        <v>9999</v>
      </c>
      <c r="AC35">
        <f>IF(AND('(橫掃)RX Mapping'!AC35&gt;=1,'(橫掃)RX Mapping'!AC35&lt;=120), ('(橫掃)RX Mapping'!AC35-1),IF(AND('(橫掃)RX Mapping'!AC35&gt;=121,'(橫掃)RX Mapping'!AC35&lt;=240), (-1)*('(橫掃)RX Mapping'!AC35-240),IF(AND('(橫掃)RX Mapping'!AC35&gt;=241,'(橫掃)RX Mapping'!AC35&lt;=360), ('(橫掃)RX Mapping'!AC35-241),IF(AND('(橫掃)RX Mapping'!AC35&gt;=361,'(橫掃)RX Mapping'!AC35&lt;=480), (-1)*('(橫掃)RX Mapping'!AC35-480),IF(AND('(橫掃)RX Mapping'!AC35&gt;=481,'(橫掃)RX Mapping'!AC35&lt;=600), ('(橫掃)RX Mapping'!AC35-361),IF(AND('(橫掃)RX Mapping'!AC35&gt;=601,'(橫掃)RX Mapping'!AC35&lt;=720), (-1)*('(橫掃)RX Mapping'!AC35-720)+120,IF(AND('(橫掃)RX Mapping'!AC35&gt;=721,'(橫掃)RX Mapping'!AC35&lt;=840), ('(橫掃)RX Mapping'!AC35-601),IF(AND('(橫掃)RX Mapping'!AC35&gt;=841,'(橫掃)RX Mapping'!AC35&lt;=960), (-1)*('(橫掃)RX Mapping'!AC35-960)+120,9999))))))))</f>
        <v>9999</v>
      </c>
      <c r="AD35">
        <f>IF(AND('(橫掃)RX Mapping'!AD35&gt;=1,'(橫掃)RX Mapping'!AD35&lt;=120), ('(橫掃)RX Mapping'!AD35-1),IF(AND('(橫掃)RX Mapping'!AD35&gt;=121,'(橫掃)RX Mapping'!AD35&lt;=240), (-1)*('(橫掃)RX Mapping'!AD35-240),IF(AND('(橫掃)RX Mapping'!AD35&gt;=241,'(橫掃)RX Mapping'!AD35&lt;=360), ('(橫掃)RX Mapping'!AD35-241),IF(AND('(橫掃)RX Mapping'!AD35&gt;=361,'(橫掃)RX Mapping'!AD35&lt;=480), (-1)*('(橫掃)RX Mapping'!AD35-480),IF(AND('(橫掃)RX Mapping'!AD35&gt;=481,'(橫掃)RX Mapping'!AD35&lt;=600), ('(橫掃)RX Mapping'!AD35-361),IF(AND('(橫掃)RX Mapping'!AD35&gt;=601,'(橫掃)RX Mapping'!AD35&lt;=720), (-1)*('(橫掃)RX Mapping'!AD35-720)+120,IF(AND('(橫掃)RX Mapping'!AD35&gt;=721,'(橫掃)RX Mapping'!AD35&lt;=840), ('(橫掃)RX Mapping'!AD35-601),IF(AND('(橫掃)RX Mapping'!AD35&gt;=841,'(橫掃)RX Mapping'!AD35&lt;=960), (-1)*('(橫掃)RX Mapping'!AD35-960)+120,9999))))))))</f>
        <v>9999</v>
      </c>
      <c r="AE35">
        <f>IF(AND('(橫掃)RX Mapping'!AE35&gt;=1,'(橫掃)RX Mapping'!AE35&lt;=120), ('(橫掃)RX Mapping'!AE35-1),IF(AND('(橫掃)RX Mapping'!AE35&gt;=121,'(橫掃)RX Mapping'!AE35&lt;=240), (-1)*('(橫掃)RX Mapping'!AE35-240),IF(AND('(橫掃)RX Mapping'!AE35&gt;=241,'(橫掃)RX Mapping'!AE35&lt;=360), ('(橫掃)RX Mapping'!AE35-241),IF(AND('(橫掃)RX Mapping'!AE35&gt;=361,'(橫掃)RX Mapping'!AE35&lt;=480), (-1)*('(橫掃)RX Mapping'!AE35-480),IF(AND('(橫掃)RX Mapping'!AE35&gt;=481,'(橫掃)RX Mapping'!AE35&lt;=600), ('(橫掃)RX Mapping'!AE35-361),IF(AND('(橫掃)RX Mapping'!AE35&gt;=601,'(橫掃)RX Mapping'!AE35&lt;=720), (-1)*('(橫掃)RX Mapping'!AE35-720)+120,IF(AND('(橫掃)RX Mapping'!AE35&gt;=721,'(橫掃)RX Mapping'!AE35&lt;=840), ('(橫掃)RX Mapping'!AE35-601),IF(AND('(橫掃)RX Mapping'!AE35&gt;=841,'(橫掃)RX Mapping'!AE35&lt;=960), (-1)*('(橫掃)RX Mapping'!AE35-960)+120,9999))))))))</f>
        <v>9999</v>
      </c>
      <c r="AF35">
        <f>IF(AND('(橫掃)RX Mapping'!AF35&gt;=1,'(橫掃)RX Mapping'!AF35&lt;=120), ('(橫掃)RX Mapping'!AF35-1),IF(AND('(橫掃)RX Mapping'!AF35&gt;=121,'(橫掃)RX Mapping'!AF35&lt;=240), (-1)*('(橫掃)RX Mapping'!AF35-240),IF(AND('(橫掃)RX Mapping'!AF35&gt;=241,'(橫掃)RX Mapping'!AF35&lt;=360), ('(橫掃)RX Mapping'!AF35-241),IF(AND('(橫掃)RX Mapping'!AF35&gt;=361,'(橫掃)RX Mapping'!AF35&lt;=480), (-1)*('(橫掃)RX Mapping'!AF35-480),IF(AND('(橫掃)RX Mapping'!AF35&gt;=481,'(橫掃)RX Mapping'!AF35&lt;=600), ('(橫掃)RX Mapping'!AF35-361),IF(AND('(橫掃)RX Mapping'!AF35&gt;=601,'(橫掃)RX Mapping'!AF35&lt;=720), (-1)*('(橫掃)RX Mapping'!AF35-720)+120,IF(AND('(橫掃)RX Mapping'!AF35&gt;=721,'(橫掃)RX Mapping'!AF35&lt;=840), ('(橫掃)RX Mapping'!AF35-601),IF(AND('(橫掃)RX Mapping'!AF35&gt;=841,'(橫掃)RX Mapping'!AF35&lt;=960), (-1)*('(橫掃)RX Mapping'!AF35-960)+120,9999))))))))</f>
        <v>9999</v>
      </c>
      <c r="AG35">
        <f>IF(AND('(橫掃)RX Mapping'!AG35&gt;=1,'(橫掃)RX Mapping'!AG35&lt;=120), ('(橫掃)RX Mapping'!AG35-1),IF(AND('(橫掃)RX Mapping'!AG35&gt;=121,'(橫掃)RX Mapping'!AG35&lt;=240), (-1)*('(橫掃)RX Mapping'!AG35-240),IF(AND('(橫掃)RX Mapping'!AG35&gt;=241,'(橫掃)RX Mapping'!AG35&lt;=360), ('(橫掃)RX Mapping'!AG35-241),IF(AND('(橫掃)RX Mapping'!AG35&gt;=361,'(橫掃)RX Mapping'!AG35&lt;=480), (-1)*('(橫掃)RX Mapping'!AG35-480),IF(AND('(橫掃)RX Mapping'!AG35&gt;=481,'(橫掃)RX Mapping'!AG35&lt;=600), ('(橫掃)RX Mapping'!AG35-361),IF(AND('(橫掃)RX Mapping'!AG35&gt;=601,'(橫掃)RX Mapping'!AG35&lt;=720), (-1)*('(橫掃)RX Mapping'!AG35-720)+120,IF(AND('(橫掃)RX Mapping'!AG35&gt;=721,'(橫掃)RX Mapping'!AG35&lt;=840), ('(橫掃)RX Mapping'!AG35-601),IF(AND('(橫掃)RX Mapping'!AG35&gt;=841,'(橫掃)RX Mapping'!AG35&lt;=960), (-1)*('(橫掃)RX Mapping'!AG35-960)+120,9999))))))))</f>
        <v>9999</v>
      </c>
      <c r="AH35">
        <f>IF(AND('(橫掃)RX Mapping'!AH35&gt;=1,'(橫掃)RX Mapping'!AH35&lt;=120), ('(橫掃)RX Mapping'!AH35-1),IF(AND('(橫掃)RX Mapping'!AH35&gt;=121,'(橫掃)RX Mapping'!AH35&lt;=240), (-1)*('(橫掃)RX Mapping'!AH35-240),IF(AND('(橫掃)RX Mapping'!AH35&gt;=241,'(橫掃)RX Mapping'!AH35&lt;=360), ('(橫掃)RX Mapping'!AH35-241),IF(AND('(橫掃)RX Mapping'!AH35&gt;=361,'(橫掃)RX Mapping'!AH35&lt;=480), (-1)*('(橫掃)RX Mapping'!AH35-480),IF(AND('(橫掃)RX Mapping'!AH35&gt;=481,'(橫掃)RX Mapping'!AH35&lt;=600), ('(橫掃)RX Mapping'!AH35-361),IF(AND('(橫掃)RX Mapping'!AH35&gt;=601,'(橫掃)RX Mapping'!AH35&lt;=720), (-1)*('(橫掃)RX Mapping'!AH35-720)+120,IF(AND('(橫掃)RX Mapping'!AH35&gt;=721,'(橫掃)RX Mapping'!AH35&lt;=840), ('(橫掃)RX Mapping'!AH35-601),IF(AND('(橫掃)RX Mapping'!AH35&gt;=841,'(橫掃)RX Mapping'!AH35&lt;=960), (-1)*('(橫掃)RX Mapping'!AH35-960)+120,9999))))))))</f>
        <v>9999</v>
      </c>
      <c r="AI35">
        <f>IF(AND('(橫掃)RX Mapping'!AI35&gt;=1,'(橫掃)RX Mapping'!AI35&lt;=120), ('(橫掃)RX Mapping'!AI35-1),IF(AND('(橫掃)RX Mapping'!AI35&gt;=121,'(橫掃)RX Mapping'!AI35&lt;=240), (-1)*('(橫掃)RX Mapping'!AI35-240),IF(AND('(橫掃)RX Mapping'!AI35&gt;=241,'(橫掃)RX Mapping'!AI35&lt;=360), ('(橫掃)RX Mapping'!AI35-241),IF(AND('(橫掃)RX Mapping'!AI35&gt;=361,'(橫掃)RX Mapping'!AI35&lt;=480), (-1)*('(橫掃)RX Mapping'!AI35-480),IF(AND('(橫掃)RX Mapping'!AI35&gt;=481,'(橫掃)RX Mapping'!AI35&lt;=600), ('(橫掃)RX Mapping'!AI35-361),IF(AND('(橫掃)RX Mapping'!AI35&gt;=601,'(橫掃)RX Mapping'!AI35&lt;=720), (-1)*('(橫掃)RX Mapping'!AI35-720)+120,IF(AND('(橫掃)RX Mapping'!AI35&gt;=721,'(橫掃)RX Mapping'!AI35&lt;=840), ('(橫掃)RX Mapping'!AI35-601),IF(AND('(橫掃)RX Mapping'!AI35&gt;=841,'(橫掃)RX Mapping'!AI35&lt;=960), (-1)*('(橫掃)RX Mapping'!AI35-960)+120,9999))))))))</f>
        <v>9999</v>
      </c>
      <c r="AJ35">
        <f>IF(AND('(橫掃)RX Mapping'!AJ35&gt;=1,'(橫掃)RX Mapping'!AJ35&lt;=120), ('(橫掃)RX Mapping'!AJ35-1),IF(AND('(橫掃)RX Mapping'!AJ35&gt;=121,'(橫掃)RX Mapping'!AJ35&lt;=240), (-1)*('(橫掃)RX Mapping'!AJ35-240),IF(AND('(橫掃)RX Mapping'!AJ35&gt;=241,'(橫掃)RX Mapping'!AJ35&lt;=360), ('(橫掃)RX Mapping'!AJ35-241),IF(AND('(橫掃)RX Mapping'!AJ35&gt;=361,'(橫掃)RX Mapping'!AJ35&lt;=480), (-1)*('(橫掃)RX Mapping'!AJ35-480),IF(AND('(橫掃)RX Mapping'!AJ35&gt;=481,'(橫掃)RX Mapping'!AJ35&lt;=600), ('(橫掃)RX Mapping'!AJ35-361),IF(AND('(橫掃)RX Mapping'!AJ35&gt;=601,'(橫掃)RX Mapping'!AJ35&lt;=720), (-1)*('(橫掃)RX Mapping'!AJ35-720)+120,IF(AND('(橫掃)RX Mapping'!AJ35&gt;=721,'(橫掃)RX Mapping'!AJ35&lt;=840), ('(橫掃)RX Mapping'!AJ35-601),IF(AND('(橫掃)RX Mapping'!AJ35&gt;=841,'(橫掃)RX Mapping'!AJ35&lt;=960), (-1)*('(橫掃)RX Mapping'!AJ35-960)+120,9999))))))))</f>
        <v>9999</v>
      </c>
      <c r="AK35">
        <f>IF(AND('(橫掃)RX Mapping'!AK35&gt;=1,'(橫掃)RX Mapping'!AK35&lt;=120), ('(橫掃)RX Mapping'!AK35-1),IF(AND('(橫掃)RX Mapping'!AK35&gt;=121,'(橫掃)RX Mapping'!AK35&lt;=240), (-1)*('(橫掃)RX Mapping'!AK35-240),IF(AND('(橫掃)RX Mapping'!AK35&gt;=241,'(橫掃)RX Mapping'!AK35&lt;=360), ('(橫掃)RX Mapping'!AK35-241),IF(AND('(橫掃)RX Mapping'!AK35&gt;=361,'(橫掃)RX Mapping'!AK35&lt;=480), (-1)*('(橫掃)RX Mapping'!AK35-480),IF(AND('(橫掃)RX Mapping'!AK35&gt;=481,'(橫掃)RX Mapping'!AK35&lt;=600), ('(橫掃)RX Mapping'!AK35-361),IF(AND('(橫掃)RX Mapping'!AK35&gt;=601,'(橫掃)RX Mapping'!AK35&lt;=720), (-1)*('(橫掃)RX Mapping'!AK35-720)+120,IF(AND('(橫掃)RX Mapping'!AK35&gt;=721,'(橫掃)RX Mapping'!AK35&lt;=840), ('(橫掃)RX Mapping'!AK35-601),IF(AND('(橫掃)RX Mapping'!AK35&gt;=841,'(橫掃)RX Mapping'!AK35&lt;=960), (-1)*('(橫掃)RX Mapping'!AK35-960)+120,9999))))))))</f>
        <v>9999</v>
      </c>
      <c r="AL35">
        <f>IF(AND('(橫掃)RX Mapping'!AL35&gt;=1,'(橫掃)RX Mapping'!AL35&lt;=120), ('(橫掃)RX Mapping'!AL35-1),IF(AND('(橫掃)RX Mapping'!AL35&gt;=121,'(橫掃)RX Mapping'!AL35&lt;=240), (-1)*('(橫掃)RX Mapping'!AL35-240),IF(AND('(橫掃)RX Mapping'!AL35&gt;=241,'(橫掃)RX Mapping'!AL35&lt;=360), ('(橫掃)RX Mapping'!AL35-241),IF(AND('(橫掃)RX Mapping'!AL35&gt;=361,'(橫掃)RX Mapping'!AL35&lt;=480), (-1)*('(橫掃)RX Mapping'!AL35-480),IF(AND('(橫掃)RX Mapping'!AL35&gt;=481,'(橫掃)RX Mapping'!AL35&lt;=600), ('(橫掃)RX Mapping'!AL35-361),IF(AND('(橫掃)RX Mapping'!AL35&gt;=601,'(橫掃)RX Mapping'!AL35&lt;=720), (-1)*('(橫掃)RX Mapping'!AL35-720)+120,IF(AND('(橫掃)RX Mapping'!AL35&gt;=721,'(橫掃)RX Mapping'!AL35&lt;=840), ('(橫掃)RX Mapping'!AL35-601),IF(AND('(橫掃)RX Mapping'!AL35&gt;=841,'(橫掃)RX Mapping'!AL35&lt;=960), (-1)*('(橫掃)RX Mapping'!AL35-960)+120,9999))))))))</f>
        <v>9999</v>
      </c>
      <c r="AM35">
        <f>IF(AND('(橫掃)RX Mapping'!AM35&gt;=1,'(橫掃)RX Mapping'!AM35&lt;=120), ('(橫掃)RX Mapping'!AM35-1),IF(AND('(橫掃)RX Mapping'!AM35&gt;=121,'(橫掃)RX Mapping'!AM35&lt;=240), (-1)*('(橫掃)RX Mapping'!AM35-240),IF(AND('(橫掃)RX Mapping'!AM35&gt;=241,'(橫掃)RX Mapping'!AM35&lt;=360), ('(橫掃)RX Mapping'!AM35-241),IF(AND('(橫掃)RX Mapping'!AM35&gt;=361,'(橫掃)RX Mapping'!AM35&lt;=480), (-1)*('(橫掃)RX Mapping'!AM35-480),IF(AND('(橫掃)RX Mapping'!AM35&gt;=481,'(橫掃)RX Mapping'!AM35&lt;=600), ('(橫掃)RX Mapping'!AM35-361),IF(AND('(橫掃)RX Mapping'!AM35&gt;=601,'(橫掃)RX Mapping'!AM35&lt;=720), (-1)*('(橫掃)RX Mapping'!AM35-720)+120,IF(AND('(橫掃)RX Mapping'!AM35&gt;=721,'(橫掃)RX Mapping'!AM35&lt;=840), ('(橫掃)RX Mapping'!AM35-601),IF(AND('(橫掃)RX Mapping'!AM35&gt;=841,'(橫掃)RX Mapping'!AM35&lt;=960), (-1)*('(橫掃)RX Mapping'!AM35-960)+120,9999))))))))</f>
        <v>9999</v>
      </c>
      <c r="AN35">
        <f>IF(AND('(橫掃)RX Mapping'!AN35&gt;=1,'(橫掃)RX Mapping'!AN35&lt;=120), ('(橫掃)RX Mapping'!AN35-1),IF(AND('(橫掃)RX Mapping'!AN35&gt;=121,'(橫掃)RX Mapping'!AN35&lt;=240), (-1)*('(橫掃)RX Mapping'!AN35-240),IF(AND('(橫掃)RX Mapping'!AN35&gt;=241,'(橫掃)RX Mapping'!AN35&lt;=360), ('(橫掃)RX Mapping'!AN35-241),IF(AND('(橫掃)RX Mapping'!AN35&gt;=361,'(橫掃)RX Mapping'!AN35&lt;=480), (-1)*('(橫掃)RX Mapping'!AN35-480),IF(AND('(橫掃)RX Mapping'!AN35&gt;=481,'(橫掃)RX Mapping'!AN35&lt;=600), ('(橫掃)RX Mapping'!AN35-361),IF(AND('(橫掃)RX Mapping'!AN35&gt;=601,'(橫掃)RX Mapping'!AN35&lt;=720), (-1)*('(橫掃)RX Mapping'!AN35-720)+120,IF(AND('(橫掃)RX Mapping'!AN35&gt;=721,'(橫掃)RX Mapping'!AN35&lt;=840), ('(橫掃)RX Mapping'!AN35-601),IF(AND('(橫掃)RX Mapping'!AN35&gt;=841,'(橫掃)RX Mapping'!AN35&lt;=960), (-1)*('(橫掃)RX Mapping'!AN35-960)+120,9999))))))))</f>
        <v>9999</v>
      </c>
      <c r="AO35">
        <f>IF(AND('(橫掃)RX Mapping'!AO35&gt;=1,'(橫掃)RX Mapping'!AO35&lt;=120), ('(橫掃)RX Mapping'!AO35-1),IF(AND('(橫掃)RX Mapping'!AO35&gt;=121,'(橫掃)RX Mapping'!AO35&lt;=240), (-1)*('(橫掃)RX Mapping'!AO35-240),IF(AND('(橫掃)RX Mapping'!AO35&gt;=241,'(橫掃)RX Mapping'!AO35&lt;=360), ('(橫掃)RX Mapping'!AO35-241),IF(AND('(橫掃)RX Mapping'!AO35&gt;=361,'(橫掃)RX Mapping'!AO35&lt;=480), (-1)*('(橫掃)RX Mapping'!AO35-480),IF(AND('(橫掃)RX Mapping'!AO35&gt;=481,'(橫掃)RX Mapping'!AO35&lt;=600), ('(橫掃)RX Mapping'!AO35-361),IF(AND('(橫掃)RX Mapping'!AO35&gt;=601,'(橫掃)RX Mapping'!AO35&lt;=720), (-1)*('(橫掃)RX Mapping'!AO35-720)+120,IF(AND('(橫掃)RX Mapping'!AO35&gt;=721,'(橫掃)RX Mapping'!AO35&lt;=840), ('(橫掃)RX Mapping'!AO35-601),IF(AND('(橫掃)RX Mapping'!AO35&gt;=841,'(橫掃)RX Mapping'!AO35&lt;=960), (-1)*('(橫掃)RX Mapping'!AO35-960)+120,9999))))))))</f>
        <v>9999</v>
      </c>
      <c r="AP35">
        <f>IF(AND('(橫掃)RX Mapping'!AP35&gt;=1,'(橫掃)RX Mapping'!AP35&lt;=120), ('(橫掃)RX Mapping'!AP35-1),IF(AND('(橫掃)RX Mapping'!AP35&gt;=121,'(橫掃)RX Mapping'!AP35&lt;=240), (-1)*('(橫掃)RX Mapping'!AP35-240),IF(AND('(橫掃)RX Mapping'!AP35&gt;=241,'(橫掃)RX Mapping'!AP35&lt;=360), ('(橫掃)RX Mapping'!AP35-241),IF(AND('(橫掃)RX Mapping'!AP35&gt;=361,'(橫掃)RX Mapping'!AP35&lt;=480), (-1)*('(橫掃)RX Mapping'!AP35-480),IF(AND('(橫掃)RX Mapping'!AP35&gt;=481,'(橫掃)RX Mapping'!AP35&lt;=600), ('(橫掃)RX Mapping'!AP35-361),IF(AND('(橫掃)RX Mapping'!AP35&gt;=601,'(橫掃)RX Mapping'!AP35&lt;=720), (-1)*('(橫掃)RX Mapping'!AP35-720)+120,IF(AND('(橫掃)RX Mapping'!AP35&gt;=721,'(橫掃)RX Mapping'!AP35&lt;=840), ('(橫掃)RX Mapping'!AP35-601),IF(AND('(橫掃)RX Mapping'!AP35&gt;=841,'(橫掃)RX Mapping'!AP35&lt;=960), (-1)*('(橫掃)RX Mapping'!AP35-960)+120,9999))))))))</f>
        <v>9999</v>
      </c>
      <c r="AQ35">
        <f>IF(AND('(橫掃)RX Mapping'!AQ35&gt;=1,'(橫掃)RX Mapping'!AQ35&lt;=120), ('(橫掃)RX Mapping'!AQ35-1),IF(AND('(橫掃)RX Mapping'!AQ35&gt;=121,'(橫掃)RX Mapping'!AQ35&lt;=240), (-1)*('(橫掃)RX Mapping'!AQ35-240),IF(AND('(橫掃)RX Mapping'!AQ35&gt;=241,'(橫掃)RX Mapping'!AQ35&lt;=360), ('(橫掃)RX Mapping'!AQ35-241),IF(AND('(橫掃)RX Mapping'!AQ35&gt;=361,'(橫掃)RX Mapping'!AQ35&lt;=480), (-1)*('(橫掃)RX Mapping'!AQ35-480),IF(AND('(橫掃)RX Mapping'!AQ35&gt;=481,'(橫掃)RX Mapping'!AQ35&lt;=600), ('(橫掃)RX Mapping'!AQ35-361),IF(AND('(橫掃)RX Mapping'!AQ35&gt;=601,'(橫掃)RX Mapping'!AQ35&lt;=720), (-1)*('(橫掃)RX Mapping'!AQ35-720)+120,IF(AND('(橫掃)RX Mapping'!AQ35&gt;=721,'(橫掃)RX Mapping'!AQ35&lt;=840), ('(橫掃)RX Mapping'!AQ35-601),IF(AND('(橫掃)RX Mapping'!AQ35&gt;=841,'(橫掃)RX Mapping'!AQ35&lt;=960), (-1)*('(橫掃)RX Mapping'!AQ35-960)+120,9999))))))))</f>
        <v>9999</v>
      </c>
      <c r="AR35">
        <f>IF(AND('(橫掃)RX Mapping'!AR35&gt;=1,'(橫掃)RX Mapping'!AR35&lt;=120), ('(橫掃)RX Mapping'!AR35-1),IF(AND('(橫掃)RX Mapping'!AR35&gt;=121,'(橫掃)RX Mapping'!AR35&lt;=240), (-1)*('(橫掃)RX Mapping'!AR35-240),IF(AND('(橫掃)RX Mapping'!AR35&gt;=241,'(橫掃)RX Mapping'!AR35&lt;=360), ('(橫掃)RX Mapping'!AR35-241),IF(AND('(橫掃)RX Mapping'!AR35&gt;=361,'(橫掃)RX Mapping'!AR35&lt;=480), (-1)*('(橫掃)RX Mapping'!AR35-480),IF(AND('(橫掃)RX Mapping'!AR35&gt;=481,'(橫掃)RX Mapping'!AR35&lt;=600), ('(橫掃)RX Mapping'!AR35-361),IF(AND('(橫掃)RX Mapping'!AR35&gt;=601,'(橫掃)RX Mapping'!AR35&lt;=720), (-1)*('(橫掃)RX Mapping'!AR35-720)+120,IF(AND('(橫掃)RX Mapping'!AR35&gt;=721,'(橫掃)RX Mapping'!AR35&lt;=840), ('(橫掃)RX Mapping'!AR35-601),IF(AND('(橫掃)RX Mapping'!AR35&gt;=841,'(橫掃)RX Mapping'!AR35&lt;=960), (-1)*('(橫掃)RX Mapping'!AR35-960)+120,9999))))))))</f>
        <v>9999</v>
      </c>
      <c r="AS35">
        <f>IF(AND('(橫掃)RX Mapping'!AS35&gt;=1,'(橫掃)RX Mapping'!AS35&lt;=120), ('(橫掃)RX Mapping'!AS35-1),IF(AND('(橫掃)RX Mapping'!AS35&gt;=121,'(橫掃)RX Mapping'!AS35&lt;=240), (-1)*('(橫掃)RX Mapping'!AS35-240),IF(AND('(橫掃)RX Mapping'!AS35&gt;=241,'(橫掃)RX Mapping'!AS35&lt;=360), ('(橫掃)RX Mapping'!AS35-241),IF(AND('(橫掃)RX Mapping'!AS35&gt;=361,'(橫掃)RX Mapping'!AS35&lt;=480), (-1)*('(橫掃)RX Mapping'!AS35-480),IF(AND('(橫掃)RX Mapping'!AS35&gt;=481,'(橫掃)RX Mapping'!AS35&lt;=600), ('(橫掃)RX Mapping'!AS35-361),IF(AND('(橫掃)RX Mapping'!AS35&gt;=601,'(橫掃)RX Mapping'!AS35&lt;=720), (-1)*('(橫掃)RX Mapping'!AS35-720)+120,IF(AND('(橫掃)RX Mapping'!AS35&gt;=721,'(橫掃)RX Mapping'!AS35&lt;=840), ('(橫掃)RX Mapping'!AS35-601),IF(AND('(橫掃)RX Mapping'!AS35&gt;=841,'(橫掃)RX Mapping'!AS35&lt;=960), (-1)*('(橫掃)RX Mapping'!AS35-960)+120,9999))))))))</f>
        <v>9999</v>
      </c>
      <c r="AT35">
        <f>IF(AND('(橫掃)RX Mapping'!AT35&gt;=1,'(橫掃)RX Mapping'!AT35&lt;=120), ('(橫掃)RX Mapping'!AT35-1),IF(AND('(橫掃)RX Mapping'!AT35&gt;=121,'(橫掃)RX Mapping'!AT35&lt;=240), (-1)*('(橫掃)RX Mapping'!AT35-240),IF(AND('(橫掃)RX Mapping'!AT35&gt;=241,'(橫掃)RX Mapping'!AT35&lt;=360), ('(橫掃)RX Mapping'!AT35-241),IF(AND('(橫掃)RX Mapping'!AT35&gt;=361,'(橫掃)RX Mapping'!AT35&lt;=480), (-1)*('(橫掃)RX Mapping'!AT35-480),IF(AND('(橫掃)RX Mapping'!AT35&gt;=481,'(橫掃)RX Mapping'!AT35&lt;=600), ('(橫掃)RX Mapping'!AT35-361),IF(AND('(橫掃)RX Mapping'!AT35&gt;=601,'(橫掃)RX Mapping'!AT35&lt;=720), (-1)*('(橫掃)RX Mapping'!AT35-720)+120,IF(AND('(橫掃)RX Mapping'!AT35&gt;=721,'(橫掃)RX Mapping'!AT35&lt;=840), ('(橫掃)RX Mapping'!AT35-601),IF(AND('(橫掃)RX Mapping'!AT35&gt;=841,'(橫掃)RX Mapping'!AT35&lt;=960), (-1)*('(橫掃)RX Mapping'!AT35-960)+120,9999))))))))</f>
        <v>9999</v>
      </c>
      <c r="AU35">
        <f>IF(AND('(橫掃)RX Mapping'!AU35&gt;=1,'(橫掃)RX Mapping'!AU35&lt;=120), ('(橫掃)RX Mapping'!AU35-1),IF(AND('(橫掃)RX Mapping'!AU35&gt;=121,'(橫掃)RX Mapping'!AU35&lt;=240), (-1)*('(橫掃)RX Mapping'!AU35-240),IF(AND('(橫掃)RX Mapping'!AU35&gt;=241,'(橫掃)RX Mapping'!AU35&lt;=360), ('(橫掃)RX Mapping'!AU35-241),IF(AND('(橫掃)RX Mapping'!AU35&gt;=361,'(橫掃)RX Mapping'!AU35&lt;=480), (-1)*('(橫掃)RX Mapping'!AU35-480),IF(AND('(橫掃)RX Mapping'!AU35&gt;=481,'(橫掃)RX Mapping'!AU35&lt;=600), ('(橫掃)RX Mapping'!AU35-361),IF(AND('(橫掃)RX Mapping'!AU35&gt;=601,'(橫掃)RX Mapping'!AU35&lt;=720), (-1)*('(橫掃)RX Mapping'!AU35-720)+120,IF(AND('(橫掃)RX Mapping'!AU35&gt;=721,'(橫掃)RX Mapping'!AU35&lt;=840), ('(橫掃)RX Mapping'!AU35-601),IF(AND('(橫掃)RX Mapping'!AU35&gt;=841,'(橫掃)RX Mapping'!AU35&lt;=960), (-1)*('(橫掃)RX Mapping'!AU35-960)+120,9999))))))))</f>
        <v>9999</v>
      </c>
      <c r="AV35">
        <f>IF(AND('(橫掃)RX Mapping'!AV35&gt;=1,'(橫掃)RX Mapping'!AV35&lt;=120), ('(橫掃)RX Mapping'!AV35-1),IF(AND('(橫掃)RX Mapping'!AV35&gt;=121,'(橫掃)RX Mapping'!AV35&lt;=240), (-1)*('(橫掃)RX Mapping'!AV35-240),IF(AND('(橫掃)RX Mapping'!AV35&gt;=241,'(橫掃)RX Mapping'!AV35&lt;=360), ('(橫掃)RX Mapping'!AV35-241),IF(AND('(橫掃)RX Mapping'!AV35&gt;=361,'(橫掃)RX Mapping'!AV35&lt;=480), (-1)*('(橫掃)RX Mapping'!AV35-480),IF(AND('(橫掃)RX Mapping'!AV35&gt;=481,'(橫掃)RX Mapping'!AV35&lt;=600), ('(橫掃)RX Mapping'!AV35-361),IF(AND('(橫掃)RX Mapping'!AV35&gt;=601,'(橫掃)RX Mapping'!AV35&lt;=720), (-1)*('(橫掃)RX Mapping'!AV35-720)+120,IF(AND('(橫掃)RX Mapping'!AV35&gt;=721,'(橫掃)RX Mapping'!AV35&lt;=840), ('(橫掃)RX Mapping'!AV35-601),IF(AND('(橫掃)RX Mapping'!AV35&gt;=841,'(橫掃)RX Mapping'!AV35&lt;=960), (-1)*('(橫掃)RX Mapping'!AV35-960)+120,9999))))))))</f>
        <v>9999</v>
      </c>
      <c r="AW35">
        <f>IF(AND('(橫掃)RX Mapping'!AW35&gt;=1,'(橫掃)RX Mapping'!AW35&lt;=120), ('(橫掃)RX Mapping'!AW35-1),IF(AND('(橫掃)RX Mapping'!AW35&gt;=121,'(橫掃)RX Mapping'!AW35&lt;=240), (-1)*('(橫掃)RX Mapping'!AW35-240),IF(AND('(橫掃)RX Mapping'!AW35&gt;=241,'(橫掃)RX Mapping'!AW35&lt;=360), ('(橫掃)RX Mapping'!AW35-241),IF(AND('(橫掃)RX Mapping'!AW35&gt;=361,'(橫掃)RX Mapping'!AW35&lt;=480), (-1)*('(橫掃)RX Mapping'!AW35-480),IF(AND('(橫掃)RX Mapping'!AW35&gt;=481,'(橫掃)RX Mapping'!AW35&lt;=600), ('(橫掃)RX Mapping'!AW35-361),IF(AND('(橫掃)RX Mapping'!AW35&gt;=601,'(橫掃)RX Mapping'!AW35&lt;=720), (-1)*('(橫掃)RX Mapping'!AW35-720)+120,IF(AND('(橫掃)RX Mapping'!AW35&gt;=721,'(橫掃)RX Mapping'!AW35&lt;=840), ('(橫掃)RX Mapping'!AW35-601),IF(AND('(橫掃)RX Mapping'!AW35&gt;=841,'(橫掃)RX Mapping'!AW35&lt;=960), (-1)*('(橫掃)RX Mapping'!AW35-960)+120,9999))))))))</f>
        <v>9999</v>
      </c>
      <c r="AX35">
        <f>IF(AND('(橫掃)RX Mapping'!AX35&gt;=1,'(橫掃)RX Mapping'!AX35&lt;=120), ('(橫掃)RX Mapping'!AX35-1),IF(AND('(橫掃)RX Mapping'!AX35&gt;=121,'(橫掃)RX Mapping'!AX35&lt;=240), (-1)*('(橫掃)RX Mapping'!AX35-240),IF(AND('(橫掃)RX Mapping'!AX35&gt;=241,'(橫掃)RX Mapping'!AX35&lt;=360), ('(橫掃)RX Mapping'!AX35-241),IF(AND('(橫掃)RX Mapping'!AX35&gt;=361,'(橫掃)RX Mapping'!AX35&lt;=480), (-1)*('(橫掃)RX Mapping'!AX35-480),IF(AND('(橫掃)RX Mapping'!AX35&gt;=481,'(橫掃)RX Mapping'!AX35&lt;=600), ('(橫掃)RX Mapping'!AX35-361),IF(AND('(橫掃)RX Mapping'!AX35&gt;=601,'(橫掃)RX Mapping'!AX35&lt;=720), (-1)*('(橫掃)RX Mapping'!AX35-720)+120,IF(AND('(橫掃)RX Mapping'!AX35&gt;=721,'(橫掃)RX Mapping'!AX35&lt;=840), ('(橫掃)RX Mapping'!AX35-601),IF(AND('(橫掃)RX Mapping'!AX35&gt;=841,'(橫掃)RX Mapping'!AX35&lt;=960), (-1)*('(橫掃)RX Mapping'!AX35-960)+120,9999))))))))</f>
        <v>9999</v>
      </c>
      <c r="AY35">
        <f>IF(AND('(橫掃)RX Mapping'!AY35&gt;=1,'(橫掃)RX Mapping'!AY35&lt;=120), ('(橫掃)RX Mapping'!AY35-1),IF(AND('(橫掃)RX Mapping'!AY35&gt;=121,'(橫掃)RX Mapping'!AY35&lt;=240), (-1)*('(橫掃)RX Mapping'!AY35-240),IF(AND('(橫掃)RX Mapping'!AY35&gt;=241,'(橫掃)RX Mapping'!AY35&lt;=360), ('(橫掃)RX Mapping'!AY35-241),IF(AND('(橫掃)RX Mapping'!AY35&gt;=361,'(橫掃)RX Mapping'!AY35&lt;=480), (-1)*('(橫掃)RX Mapping'!AY35-480),IF(AND('(橫掃)RX Mapping'!AY35&gt;=481,'(橫掃)RX Mapping'!AY35&lt;=600), ('(橫掃)RX Mapping'!AY35-361),IF(AND('(橫掃)RX Mapping'!AY35&gt;=601,'(橫掃)RX Mapping'!AY35&lt;=720), (-1)*('(橫掃)RX Mapping'!AY35-720)+120,IF(AND('(橫掃)RX Mapping'!AY35&gt;=721,'(橫掃)RX Mapping'!AY35&lt;=840), ('(橫掃)RX Mapping'!AY35-601),IF(AND('(橫掃)RX Mapping'!AY35&gt;=841,'(橫掃)RX Mapping'!AY35&lt;=960), (-1)*('(橫掃)RX Mapping'!AY35-960)+120,9999))))))))</f>
        <v>9999</v>
      </c>
      <c r="AZ35">
        <f>IF(AND('(橫掃)RX Mapping'!AZ35&gt;=1,'(橫掃)RX Mapping'!AZ35&lt;=120), ('(橫掃)RX Mapping'!AZ35-1),IF(AND('(橫掃)RX Mapping'!AZ35&gt;=121,'(橫掃)RX Mapping'!AZ35&lt;=240), (-1)*('(橫掃)RX Mapping'!AZ35-240),IF(AND('(橫掃)RX Mapping'!AZ35&gt;=241,'(橫掃)RX Mapping'!AZ35&lt;=360), ('(橫掃)RX Mapping'!AZ35-241),IF(AND('(橫掃)RX Mapping'!AZ35&gt;=361,'(橫掃)RX Mapping'!AZ35&lt;=480), (-1)*('(橫掃)RX Mapping'!AZ35-480),IF(AND('(橫掃)RX Mapping'!AZ35&gt;=481,'(橫掃)RX Mapping'!AZ35&lt;=600), ('(橫掃)RX Mapping'!AZ35-361),IF(AND('(橫掃)RX Mapping'!AZ35&gt;=601,'(橫掃)RX Mapping'!AZ35&lt;=720), (-1)*('(橫掃)RX Mapping'!AZ35-720)+120,IF(AND('(橫掃)RX Mapping'!AZ35&gt;=721,'(橫掃)RX Mapping'!AZ35&lt;=840), ('(橫掃)RX Mapping'!AZ35-601),IF(AND('(橫掃)RX Mapping'!AZ35&gt;=841,'(橫掃)RX Mapping'!AZ35&lt;=960), (-1)*('(橫掃)RX Mapping'!AZ35-960)+120,9999))))))))</f>
        <v>9999</v>
      </c>
      <c r="BA35">
        <f>IF(AND('(橫掃)RX Mapping'!BA35&gt;=1,'(橫掃)RX Mapping'!BA35&lt;=120), ('(橫掃)RX Mapping'!BA35-1),IF(AND('(橫掃)RX Mapping'!BA35&gt;=121,'(橫掃)RX Mapping'!BA35&lt;=240), (-1)*('(橫掃)RX Mapping'!BA35-240),IF(AND('(橫掃)RX Mapping'!BA35&gt;=241,'(橫掃)RX Mapping'!BA35&lt;=360), ('(橫掃)RX Mapping'!BA35-241),IF(AND('(橫掃)RX Mapping'!BA35&gt;=361,'(橫掃)RX Mapping'!BA35&lt;=480), (-1)*('(橫掃)RX Mapping'!BA35-480),IF(AND('(橫掃)RX Mapping'!BA35&gt;=481,'(橫掃)RX Mapping'!BA35&lt;=600), ('(橫掃)RX Mapping'!BA35-361),IF(AND('(橫掃)RX Mapping'!BA35&gt;=601,'(橫掃)RX Mapping'!BA35&lt;=720), (-1)*('(橫掃)RX Mapping'!BA35-720)+120,IF(AND('(橫掃)RX Mapping'!BA35&gt;=721,'(橫掃)RX Mapping'!BA35&lt;=840), ('(橫掃)RX Mapping'!BA35-601),IF(AND('(橫掃)RX Mapping'!BA35&gt;=841,'(橫掃)RX Mapping'!BA35&lt;=960), (-1)*('(橫掃)RX Mapping'!BA35-960)+120,9999))))))))</f>
        <v>9999</v>
      </c>
      <c r="BB35">
        <f>IF(AND('(橫掃)RX Mapping'!BB35&gt;=1,'(橫掃)RX Mapping'!BB35&lt;=120), ('(橫掃)RX Mapping'!BB35-1),IF(AND('(橫掃)RX Mapping'!BB35&gt;=121,'(橫掃)RX Mapping'!BB35&lt;=240), (-1)*('(橫掃)RX Mapping'!BB35-240),IF(AND('(橫掃)RX Mapping'!BB35&gt;=241,'(橫掃)RX Mapping'!BB35&lt;=360), ('(橫掃)RX Mapping'!BB35-241),IF(AND('(橫掃)RX Mapping'!BB35&gt;=361,'(橫掃)RX Mapping'!BB35&lt;=480), (-1)*('(橫掃)RX Mapping'!BB35-480),IF(AND('(橫掃)RX Mapping'!BB35&gt;=481,'(橫掃)RX Mapping'!BB35&lt;=600), ('(橫掃)RX Mapping'!BB35-361),IF(AND('(橫掃)RX Mapping'!BB35&gt;=601,'(橫掃)RX Mapping'!BB35&lt;=720), (-1)*('(橫掃)RX Mapping'!BB35-720)+120,IF(AND('(橫掃)RX Mapping'!BB35&gt;=721,'(橫掃)RX Mapping'!BB35&lt;=840), ('(橫掃)RX Mapping'!BB35-601),IF(AND('(橫掃)RX Mapping'!BB35&gt;=841,'(橫掃)RX Mapping'!BB35&lt;=960), (-1)*('(橫掃)RX Mapping'!BB35-960)+120,9999))))))))</f>
        <v>9999</v>
      </c>
      <c r="BC35">
        <f>IF(AND('(橫掃)RX Mapping'!BC35&gt;=1,'(橫掃)RX Mapping'!BC35&lt;=120), ('(橫掃)RX Mapping'!BC35-1),IF(AND('(橫掃)RX Mapping'!BC35&gt;=121,'(橫掃)RX Mapping'!BC35&lt;=240), (-1)*('(橫掃)RX Mapping'!BC35-240),IF(AND('(橫掃)RX Mapping'!BC35&gt;=241,'(橫掃)RX Mapping'!BC35&lt;=360), ('(橫掃)RX Mapping'!BC35-241),IF(AND('(橫掃)RX Mapping'!BC35&gt;=361,'(橫掃)RX Mapping'!BC35&lt;=480), (-1)*('(橫掃)RX Mapping'!BC35-480),IF(AND('(橫掃)RX Mapping'!BC35&gt;=481,'(橫掃)RX Mapping'!BC35&lt;=600), ('(橫掃)RX Mapping'!BC35-361),IF(AND('(橫掃)RX Mapping'!BC35&gt;=601,'(橫掃)RX Mapping'!BC35&lt;=720), (-1)*('(橫掃)RX Mapping'!BC35-720)+120,IF(AND('(橫掃)RX Mapping'!BC35&gt;=721,'(橫掃)RX Mapping'!BC35&lt;=840), ('(橫掃)RX Mapping'!BC35-601),IF(AND('(橫掃)RX Mapping'!BC35&gt;=841,'(橫掃)RX Mapping'!BC35&lt;=960), (-1)*('(橫掃)RX Mapping'!BC35-960)+120,9999))))))))</f>
        <v>9999</v>
      </c>
      <c r="BD35">
        <f>IF(AND('(橫掃)RX Mapping'!BD35&gt;=1,'(橫掃)RX Mapping'!BD35&lt;=120), ('(橫掃)RX Mapping'!BD35-1),IF(AND('(橫掃)RX Mapping'!BD35&gt;=121,'(橫掃)RX Mapping'!BD35&lt;=240), (-1)*('(橫掃)RX Mapping'!BD35-240),IF(AND('(橫掃)RX Mapping'!BD35&gt;=241,'(橫掃)RX Mapping'!BD35&lt;=360), ('(橫掃)RX Mapping'!BD35-241),IF(AND('(橫掃)RX Mapping'!BD35&gt;=361,'(橫掃)RX Mapping'!BD35&lt;=480), (-1)*('(橫掃)RX Mapping'!BD35-480),IF(AND('(橫掃)RX Mapping'!BD35&gt;=481,'(橫掃)RX Mapping'!BD35&lt;=600), ('(橫掃)RX Mapping'!BD35-361),IF(AND('(橫掃)RX Mapping'!BD35&gt;=601,'(橫掃)RX Mapping'!BD35&lt;=720), (-1)*('(橫掃)RX Mapping'!BD35-720)+120,IF(AND('(橫掃)RX Mapping'!BD35&gt;=721,'(橫掃)RX Mapping'!BD35&lt;=840), ('(橫掃)RX Mapping'!BD35-601),IF(AND('(橫掃)RX Mapping'!BD35&gt;=841,'(橫掃)RX Mapping'!BD35&lt;=960), (-1)*('(橫掃)RX Mapping'!BD35-960)+120,9999))))))))</f>
        <v>9999</v>
      </c>
      <c r="BE35">
        <f>IF(AND('(橫掃)RX Mapping'!BE35&gt;=1,'(橫掃)RX Mapping'!BE35&lt;=120), ('(橫掃)RX Mapping'!BE35-1),IF(AND('(橫掃)RX Mapping'!BE35&gt;=121,'(橫掃)RX Mapping'!BE35&lt;=240), (-1)*('(橫掃)RX Mapping'!BE35-240),IF(AND('(橫掃)RX Mapping'!BE35&gt;=241,'(橫掃)RX Mapping'!BE35&lt;=360), ('(橫掃)RX Mapping'!BE35-241),IF(AND('(橫掃)RX Mapping'!BE35&gt;=361,'(橫掃)RX Mapping'!BE35&lt;=480), (-1)*('(橫掃)RX Mapping'!BE35-480),IF(AND('(橫掃)RX Mapping'!BE35&gt;=481,'(橫掃)RX Mapping'!BE35&lt;=600), ('(橫掃)RX Mapping'!BE35-361),IF(AND('(橫掃)RX Mapping'!BE35&gt;=601,'(橫掃)RX Mapping'!BE35&lt;=720), (-1)*('(橫掃)RX Mapping'!BE35-720)+120,IF(AND('(橫掃)RX Mapping'!BE35&gt;=721,'(橫掃)RX Mapping'!BE35&lt;=840), ('(橫掃)RX Mapping'!BE35-601),IF(AND('(橫掃)RX Mapping'!BE35&gt;=841,'(橫掃)RX Mapping'!BE35&lt;=960), (-1)*('(橫掃)RX Mapping'!BE35-960)+120,9999))))))))</f>
        <v>9999</v>
      </c>
      <c r="BF35">
        <f>IF(AND('(橫掃)RX Mapping'!BF35&gt;=1,'(橫掃)RX Mapping'!BF35&lt;=120), ('(橫掃)RX Mapping'!BF35-1),IF(AND('(橫掃)RX Mapping'!BF35&gt;=121,'(橫掃)RX Mapping'!BF35&lt;=240), (-1)*('(橫掃)RX Mapping'!BF35-240),IF(AND('(橫掃)RX Mapping'!BF35&gt;=241,'(橫掃)RX Mapping'!BF35&lt;=360), ('(橫掃)RX Mapping'!BF35-241),IF(AND('(橫掃)RX Mapping'!BF35&gt;=361,'(橫掃)RX Mapping'!BF35&lt;=480), (-1)*('(橫掃)RX Mapping'!BF35-480),IF(AND('(橫掃)RX Mapping'!BF35&gt;=481,'(橫掃)RX Mapping'!BF35&lt;=600), ('(橫掃)RX Mapping'!BF35-361),IF(AND('(橫掃)RX Mapping'!BF35&gt;=601,'(橫掃)RX Mapping'!BF35&lt;=720), (-1)*('(橫掃)RX Mapping'!BF35-720)+120,IF(AND('(橫掃)RX Mapping'!BF35&gt;=721,'(橫掃)RX Mapping'!BF35&lt;=840), ('(橫掃)RX Mapping'!BF35-601),IF(AND('(橫掃)RX Mapping'!BF35&gt;=841,'(橫掃)RX Mapping'!BF35&lt;=960), (-1)*('(橫掃)RX Mapping'!BF35-960)+120,9999))))))))</f>
        <v>9999</v>
      </c>
      <c r="BG35">
        <f>IF(AND('(橫掃)RX Mapping'!BG35&gt;=1,'(橫掃)RX Mapping'!BG35&lt;=120), ('(橫掃)RX Mapping'!BG35-1),IF(AND('(橫掃)RX Mapping'!BG35&gt;=121,'(橫掃)RX Mapping'!BG35&lt;=240), (-1)*('(橫掃)RX Mapping'!BG35-240),IF(AND('(橫掃)RX Mapping'!BG35&gt;=241,'(橫掃)RX Mapping'!BG35&lt;=360), ('(橫掃)RX Mapping'!BG35-241),IF(AND('(橫掃)RX Mapping'!BG35&gt;=361,'(橫掃)RX Mapping'!BG35&lt;=480), (-1)*('(橫掃)RX Mapping'!BG35-480),IF(AND('(橫掃)RX Mapping'!BG35&gt;=481,'(橫掃)RX Mapping'!BG35&lt;=600), ('(橫掃)RX Mapping'!BG35-361),IF(AND('(橫掃)RX Mapping'!BG35&gt;=601,'(橫掃)RX Mapping'!BG35&lt;=720), (-1)*('(橫掃)RX Mapping'!BG35-720)+120,IF(AND('(橫掃)RX Mapping'!BG35&gt;=721,'(橫掃)RX Mapping'!BG35&lt;=840), ('(橫掃)RX Mapping'!BG35-601),IF(AND('(橫掃)RX Mapping'!BG35&gt;=841,'(橫掃)RX Mapping'!BG35&lt;=960), (-1)*('(橫掃)RX Mapping'!BG35-960)+120,9999))))))))</f>
        <v>9999</v>
      </c>
      <c r="BH35">
        <f>IF(AND('(橫掃)RX Mapping'!BH35&gt;=1,'(橫掃)RX Mapping'!BH35&lt;=120), ('(橫掃)RX Mapping'!BH35-1),IF(AND('(橫掃)RX Mapping'!BH35&gt;=121,'(橫掃)RX Mapping'!BH35&lt;=240), (-1)*('(橫掃)RX Mapping'!BH35-240),IF(AND('(橫掃)RX Mapping'!BH35&gt;=241,'(橫掃)RX Mapping'!BH35&lt;=360), ('(橫掃)RX Mapping'!BH35-241),IF(AND('(橫掃)RX Mapping'!BH35&gt;=361,'(橫掃)RX Mapping'!BH35&lt;=480), (-1)*('(橫掃)RX Mapping'!BH35-480),IF(AND('(橫掃)RX Mapping'!BH35&gt;=481,'(橫掃)RX Mapping'!BH35&lt;=600), ('(橫掃)RX Mapping'!BH35-361),IF(AND('(橫掃)RX Mapping'!BH35&gt;=601,'(橫掃)RX Mapping'!BH35&lt;=720), (-1)*('(橫掃)RX Mapping'!BH35-720)+120,IF(AND('(橫掃)RX Mapping'!BH35&gt;=721,'(橫掃)RX Mapping'!BH35&lt;=840), ('(橫掃)RX Mapping'!BH35-601),IF(AND('(橫掃)RX Mapping'!BH35&gt;=841,'(橫掃)RX Mapping'!BH35&lt;=960), (-1)*('(橫掃)RX Mapping'!BH35-960)+120,9999))))))))</f>
        <v>9999</v>
      </c>
      <c r="BI35">
        <f>IF(AND('(橫掃)RX Mapping'!BI35&gt;=1,'(橫掃)RX Mapping'!BI35&lt;=120), ('(橫掃)RX Mapping'!BI35-1),IF(AND('(橫掃)RX Mapping'!BI35&gt;=121,'(橫掃)RX Mapping'!BI35&lt;=240), (-1)*('(橫掃)RX Mapping'!BI35-240),IF(AND('(橫掃)RX Mapping'!BI35&gt;=241,'(橫掃)RX Mapping'!BI35&lt;=360), ('(橫掃)RX Mapping'!BI35-241),IF(AND('(橫掃)RX Mapping'!BI35&gt;=361,'(橫掃)RX Mapping'!BI35&lt;=480), (-1)*('(橫掃)RX Mapping'!BI35-480),IF(AND('(橫掃)RX Mapping'!BI35&gt;=481,'(橫掃)RX Mapping'!BI35&lt;=600), ('(橫掃)RX Mapping'!BI35-361),IF(AND('(橫掃)RX Mapping'!BI35&gt;=601,'(橫掃)RX Mapping'!BI35&lt;=720), (-1)*('(橫掃)RX Mapping'!BI35-720)+120,IF(AND('(橫掃)RX Mapping'!BI35&gt;=721,'(橫掃)RX Mapping'!BI35&lt;=840), ('(橫掃)RX Mapping'!BI35-601),IF(AND('(橫掃)RX Mapping'!BI35&gt;=841,'(橫掃)RX Mapping'!BI35&lt;=960), (-1)*('(橫掃)RX Mapping'!BI35-960)+120,9999))))))))</f>
        <v>9999</v>
      </c>
    </row>
    <row r="36" spans="1:61" x14ac:dyDescent="0.25">
      <c r="A36" s="20">
        <v>35</v>
      </c>
      <c r="B36">
        <f>IF(AND('(橫掃)RX Mapping'!B36&gt;=1,'(橫掃)RX Mapping'!B36&lt;=120), ('(橫掃)RX Mapping'!B36-1),IF(AND('(橫掃)RX Mapping'!B36&gt;=121,'(橫掃)RX Mapping'!B36&lt;=240), (-1)*('(橫掃)RX Mapping'!B36-240),IF(AND('(橫掃)RX Mapping'!B36&gt;=241,'(橫掃)RX Mapping'!B36&lt;=360), ('(橫掃)RX Mapping'!B36-241),IF(AND('(橫掃)RX Mapping'!B36&gt;=361,'(橫掃)RX Mapping'!B36&lt;=480), (-1)*('(橫掃)RX Mapping'!B36-480),IF(AND('(橫掃)RX Mapping'!B36&gt;=481,'(橫掃)RX Mapping'!B36&lt;=600), ('(橫掃)RX Mapping'!B36-361),IF(AND('(橫掃)RX Mapping'!B36&gt;=601,'(橫掃)RX Mapping'!B36&lt;=720), (-1)*('(橫掃)RX Mapping'!B36-720)+120,IF(AND('(橫掃)RX Mapping'!B36&gt;=721,'(橫掃)RX Mapping'!B36&lt;=840), ('(橫掃)RX Mapping'!B36-601),IF(AND('(橫掃)RX Mapping'!B36&gt;=841,'(橫掃)RX Mapping'!B36&lt;=960), (-1)*('(橫掃)RX Mapping'!B36-960)+120,9999))))))))</f>
        <v>9999</v>
      </c>
      <c r="C36">
        <f>IF(AND('(橫掃)RX Mapping'!C36&gt;=1,'(橫掃)RX Mapping'!C36&lt;=120), ('(橫掃)RX Mapping'!C36-1),IF(AND('(橫掃)RX Mapping'!C36&gt;=121,'(橫掃)RX Mapping'!C36&lt;=240), (-1)*('(橫掃)RX Mapping'!C36-240),IF(AND('(橫掃)RX Mapping'!C36&gt;=241,'(橫掃)RX Mapping'!C36&lt;=360), ('(橫掃)RX Mapping'!C36-241),IF(AND('(橫掃)RX Mapping'!C36&gt;=361,'(橫掃)RX Mapping'!C36&lt;=480), (-1)*('(橫掃)RX Mapping'!C36-480),IF(AND('(橫掃)RX Mapping'!C36&gt;=481,'(橫掃)RX Mapping'!C36&lt;=600), ('(橫掃)RX Mapping'!C36-361),IF(AND('(橫掃)RX Mapping'!C36&gt;=601,'(橫掃)RX Mapping'!C36&lt;=720), (-1)*('(橫掃)RX Mapping'!C36-720)+120,IF(AND('(橫掃)RX Mapping'!C36&gt;=721,'(橫掃)RX Mapping'!C36&lt;=840), ('(橫掃)RX Mapping'!C36-601),IF(AND('(橫掃)RX Mapping'!C36&gt;=841,'(橫掃)RX Mapping'!C36&lt;=960), (-1)*('(橫掃)RX Mapping'!C36-960)+120,9999))))))))</f>
        <v>9999</v>
      </c>
      <c r="D36">
        <f>IF(AND('(橫掃)RX Mapping'!D36&gt;=1,'(橫掃)RX Mapping'!D36&lt;=120), ('(橫掃)RX Mapping'!D36-1),IF(AND('(橫掃)RX Mapping'!D36&gt;=121,'(橫掃)RX Mapping'!D36&lt;=240), (-1)*('(橫掃)RX Mapping'!D36-240),IF(AND('(橫掃)RX Mapping'!D36&gt;=241,'(橫掃)RX Mapping'!D36&lt;=360), ('(橫掃)RX Mapping'!D36-241),IF(AND('(橫掃)RX Mapping'!D36&gt;=361,'(橫掃)RX Mapping'!D36&lt;=480), (-1)*('(橫掃)RX Mapping'!D36-480),IF(AND('(橫掃)RX Mapping'!D36&gt;=481,'(橫掃)RX Mapping'!D36&lt;=600), ('(橫掃)RX Mapping'!D36-361),IF(AND('(橫掃)RX Mapping'!D36&gt;=601,'(橫掃)RX Mapping'!D36&lt;=720), (-1)*('(橫掃)RX Mapping'!D36-720)+120,IF(AND('(橫掃)RX Mapping'!D36&gt;=721,'(橫掃)RX Mapping'!D36&lt;=840), ('(橫掃)RX Mapping'!D36-601),IF(AND('(橫掃)RX Mapping'!D36&gt;=841,'(橫掃)RX Mapping'!D36&lt;=960), (-1)*('(橫掃)RX Mapping'!D36-960)+120,9999))))))))</f>
        <v>9999</v>
      </c>
      <c r="E36">
        <f>IF(AND('(橫掃)RX Mapping'!E36&gt;=1,'(橫掃)RX Mapping'!E36&lt;=120), ('(橫掃)RX Mapping'!E36-1),IF(AND('(橫掃)RX Mapping'!E36&gt;=121,'(橫掃)RX Mapping'!E36&lt;=240), (-1)*('(橫掃)RX Mapping'!E36-240),IF(AND('(橫掃)RX Mapping'!E36&gt;=241,'(橫掃)RX Mapping'!E36&lt;=360), ('(橫掃)RX Mapping'!E36-241),IF(AND('(橫掃)RX Mapping'!E36&gt;=361,'(橫掃)RX Mapping'!E36&lt;=480), (-1)*('(橫掃)RX Mapping'!E36-480),IF(AND('(橫掃)RX Mapping'!E36&gt;=481,'(橫掃)RX Mapping'!E36&lt;=600), ('(橫掃)RX Mapping'!E36-361),IF(AND('(橫掃)RX Mapping'!E36&gt;=601,'(橫掃)RX Mapping'!E36&lt;=720), (-1)*('(橫掃)RX Mapping'!E36-720)+120,IF(AND('(橫掃)RX Mapping'!E36&gt;=721,'(橫掃)RX Mapping'!E36&lt;=840), ('(橫掃)RX Mapping'!E36-601),IF(AND('(橫掃)RX Mapping'!E36&gt;=841,'(橫掃)RX Mapping'!E36&lt;=960), (-1)*('(橫掃)RX Mapping'!E36-960)+120,9999))))))))</f>
        <v>9999</v>
      </c>
      <c r="F36">
        <f>IF(AND('(橫掃)RX Mapping'!F36&gt;=1,'(橫掃)RX Mapping'!F36&lt;=120), ('(橫掃)RX Mapping'!F36-1),IF(AND('(橫掃)RX Mapping'!F36&gt;=121,'(橫掃)RX Mapping'!F36&lt;=240), (-1)*('(橫掃)RX Mapping'!F36-240),IF(AND('(橫掃)RX Mapping'!F36&gt;=241,'(橫掃)RX Mapping'!F36&lt;=360), ('(橫掃)RX Mapping'!F36-241),IF(AND('(橫掃)RX Mapping'!F36&gt;=361,'(橫掃)RX Mapping'!F36&lt;=480), (-1)*('(橫掃)RX Mapping'!F36-480),IF(AND('(橫掃)RX Mapping'!F36&gt;=481,'(橫掃)RX Mapping'!F36&lt;=600), ('(橫掃)RX Mapping'!F36-361),IF(AND('(橫掃)RX Mapping'!F36&gt;=601,'(橫掃)RX Mapping'!F36&lt;=720), (-1)*('(橫掃)RX Mapping'!F36-720)+120,IF(AND('(橫掃)RX Mapping'!F36&gt;=721,'(橫掃)RX Mapping'!F36&lt;=840), ('(橫掃)RX Mapping'!F36-601),IF(AND('(橫掃)RX Mapping'!F36&gt;=841,'(橫掃)RX Mapping'!F36&lt;=960), (-1)*('(橫掃)RX Mapping'!F36-960)+120,9999))))))))</f>
        <v>9999</v>
      </c>
      <c r="G36">
        <f>IF(AND('(橫掃)RX Mapping'!G36&gt;=1,'(橫掃)RX Mapping'!G36&lt;=120), ('(橫掃)RX Mapping'!G36-1),IF(AND('(橫掃)RX Mapping'!G36&gt;=121,'(橫掃)RX Mapping'!G36&lt;=240), (-1)*('(橫掃)RX Mapping'!G36-240),IF(AND('(橫掃)RX Mapping'!G36&gt;=241,'(橫掃)RX Mapping'!G36&lt;=360), ('(橫掃)RX Mapping'!G36-241),IF(AND('(橫掃)RX Mapping'!G36&gt;=361,'(橫掃)RX Mapping'!G36&lt;=480), (-1)*('(橫掃)RX Mapping'!G36-480),IF(AND('(橫掃)RX Mapping'!G36&gt;=481,'(橫掃)RX Mapping'!G36&lt;=600), ('(橫掃)RX Mapping'!G36-361),IF(AND('(橫掃)RX Mapping'!G36&gt;=601,'(橫掃)RX Mapping'!G36&lt;=720), (-1)*('(橫掃)RX Mapping'!G36-720)+120,IF(AND('(橫掃)RX Mapping'!G36&gt;=721,'(橫掃)RX Mapping'!G36&lt;=840), ('(橫掃)RX Mapping'!G36-601),IF(AND('(橫掃)RX Mapping'!G36&gt;=841,'(橫掃)RX Mapping'!G36&lt;=960), (-1)*('(橫掃)RX Mapping'!G36-960)+120,9999))))))))</f>
        <v>9999</v>
      </c>
      <c r="H36">
        <f>IF(AND('(橫掃)RX Mapping'!H36&gt;=1,'(橫掃)RX Mapping'!H36&lt;=120), ('(橫掃)RX Mapping'!H36-1),IF(AND('(橫掃)RX Mapping'!H36&gt;=121,'(橫掃)RX Mapping'!H36&lt;=240), (-1)*('(橫掃)RX Mapping'!H36-240),IF(AND('(橫掃)RX Mapping'!H36&gt;=241,'(橫掃)RX Mapping'!H36&lt;=360), ('(橫掃)RX Mapping'!H36-241),IF(AND('(橫掃)RX Mapping'!H36&gt;=361,'(橫掃)RX Mapping'!H36&lt;=480), (-1)*('(橫掃)RX Mapping'!H36-480),IF(AND('(橫掃)RX Mapping'!H36&gt;=481,'(橫掃)RX Mapping'!H36&lt;=600), ('(橫掃)RX Mapping'!H36-361),IF(AND('(橫掃)RX Mapping'!H36&gt;=601,'(橫掃)RX Mapping'!H36&lt;=720), (-1)*('(橫掃)RX Mapping'!H36-720)+120,IF(AND('(橫掃)RX Mapping'!H36&gt;=721,'(橫掃)RX Mapping'!H36&lt;=840), ('(橫掃)RX Mapping'!H36-601),IF(AND('(橫掃)RX Mapping'!H36&gt;=841,'(橫掃)RX Mapping'!H36&lt;=960), (-1)*('(橫掃)RX Mapping'!H36-960)+120,9999))))))))</f>
        <v>9999</v>
      </c>
      <c r="I36">
        <f>IF(AND('(橫掃)RX Mapping'!I36&gt;=1,'(橫掃)RX Mapping'!I36&lt;=120), ('(橫掃)RX Mapping'!I36-1),IF(AND('(橫掃)RX Mapping'!I36&gt;=121,'(橫掃)RX Mapping'!I36&lt;=240), (-1)*('(橫掃)RX Mapping'!I36-240),IF(AND('(橫掃)RX Mapping'!I36&gt;=241,'(橫掃)RX Mapping'!I36&lt;=360), ('(橫掃)RX Mapping'!I36-241),IF(AND('(橫掃)RX Mapping'!I36&gt;=361,'(橫掃)RX Mapping'!I36&lt;=480), (-1)*('(橫掃)RX Mapping'!I36-480),IF(AND('(橫掃)RX Mapping'!I36&gt;=481,'(橫掃)RX Mapping'!I36&lt;=600), ('(橫掃)RX Mapping'!I36-361),IF(AND('(橫掃)RX Mapping'!I36&gt;=601,'(橫掃)RX Mapping'!I36&lt;=720), (-1)*('(橫掃)RX Mapping'!I36-720)+120,IF(AND('(橫掃)RX Mapping'!I36&gt;=721,'(橫掃)RX Mapping'!I36&lt;=840), ('(橫掃)RX Mapping'!I36-601),IF(AND('(橫掃)RX Mapping'!I36&gt;=841,'(橫掃)RX Mapping'!I36&lt;=960), (-1)*('(橫掃)RX Mapping'!I36-960)+120,9999))))))))</f>
        <v>9999</v>
      </c>
      <c r="J36">
        <f>IF(AND('(橫掃)RX Mapping'!J36&gt;=1,'(橫掃)RX Mapping'!J36&lt;=120), ('(橫掃)RX Mapping'!J36-1),IF(AND('(橫掃)RX Mapping'!J36&gt;=121,'(橫掃)RX Mapping'!J36&lt;=240), (-1)*('(橫掃)RX Mapping'!J36-240),IF(AND('(橫掃)RX Mapping'!J36&gt;=241,'(橫掃)RX Mapping'!J36&lt;=360), ('(橫掃)RX Mapping'!J36-241),IF(AND('(橫掃)RX Mapping'!J36&gt;=361,'(橫掃)RX Mapping'!J36&lt;=480), (-1)*('(橫掃)RX Mapping'!J36-480),IF(AND('(橫掃)RX Mapping'!J36&gt;=481,'(橫掃)RX Mapping'!J36&lt;=600), ('(橫掃)RX Mapping'!J36-361),IF(AND('(橫掃)RX Mapping'!J36&gt;=601,'(橫掃)RX Mapping'!J36&lt;=720), (-1)*('(橫掃)RX Mapping'!J36-720)+120,IF(AND('(橫掃)RX Mapping'!J36&gt;=721,'(橫掃)RX Mapping'!J36&lt;=840), ('(橫掃)RX Mapping'!J36-601),IF(AND('(橫掃)RX Mapping'!J36&gt;=841,'(橫掃)RX Mapping'!J36&lt;=960), (-1)*('(橫掃)RX Mapping'!J36-960)+120,9999))))))))</f>
        <v>9999</v>
      </c>
      <c r="K36">
        <f>IF(AND('(橫掃)RX Mapping'!K36&gt;=1,'(橫掃)RX Mapping'!K36&lt;=120), ('(橫掃)RX Mapping'!K36-1),IF(AND('(橫掃)RX Mapping'!K36&gt;=121,'(橫掃)RX Mapping'!K36&lt;=240), (-1)*('(橫掃)RX Mapping'!K36-240),IF(AND('(橫掃)RX Mapping'!K36&gt;=241,'(橫掃)RX Mapping'!K36&lt;=360), ('(橫掃)RX Mapping'!K36-241),IF(AND('(橫掃)RX Mapping'!K36&gt;=361,'(橫掃)RX Mapping'!K36&lt;=480), (-1)*('(橫掃)RX Mapping'!K36-480),IF(AND('(橫掃)RX Mapping'!K36&gt;=481,'(橫掃)RX Mapping'!K36&lt;=600), ('(橫掃)RX Mapping'!K36-361),IF(AND('(橫掃)RX Mapping'!K36&gt;=601,'(橫掃)RX Mapping'!K36&lt;=720), (-1)*('(橫掃)RX Mapping'!K36-720)+120,IF(AND('(橫掃)RX Mapping'!K36&gt;=721,'(橫掃)RX Mapping'!K36&lt;=840), ('(橫掃)RX Mapping'!K36-601),IF(AND('(橫掃)RX Mapping'!K36&gt;=841,'(橫掃)RX Mapping'!K36&lt;=960), (-1)*('(橫掃)RX Mapping'!K36-960)+120,9999))))))))</f>
        <v>9999</v>
      </c>
      <c r="L36">
        <f>IF(AND('(橫掃)RX Mapping'!L36&gt;=1,'(橫掃)RX Mapping'!L36&lt;=120), ('(橫掃)RX Mapping'!L36-1),IF(AND('(橫掃)RX Mapping'!L36&gt;=121,'(橫掃)RX Mapping'!L36&lt;=240), (-1)*('(橫掃)RX Mapping'!L36-240),IF(AND('(橫掃)RX Mapping'!L36&gt;=241,'(橫掃)RX Mapping'!L36&lt;=360), ('(橫掃)RX Mapping'!L36-241),IF(AND('(橫掃)RX Mapping'!L36&gt;=361,'(橫掃)RX Mapping'!L36&lt;=480), (-1)*('(橫掃)RX Mapping'!L36-480),IF(AND('(橫掃)RX Mapping'!L36&gt;=481,'(橫掃)RX Mapping'!L36&lt;=600), ('(橫掃)RX Mapping'!L36-361),IF(AND('(橫掃)RX Mapping'!L36&gt;=601,'(橫掃)RX Mapping'!L36&lt;=720), (-1)*('(橫掃)RX Mapping'!L36-720)+120,IF(AND('(橫掃)RX Mapping'!L36&gt;=721,'(橫掃)RX Mapping'!L36&lt;=840), ('(橫掃)RX Mapping'!L36-601),IF(AND('(橫掃)RX Mapping'!L36&gt;=841,'(橫掃)RX Mapping'!L36&lt;=960), (-1)*('(橫掃)RX Mapping'!L36-960)+120,9999))))))))</f>
        <v>9999</v>
      </c>
      <c r="M36">
        <f>IF(AND('(橫掃)RX Mapping'!M36&gt;=1,'(橫掃)RX Mapping'!M36&lt;=120), ('(橫掃)RX Mapping'!M36-1),IF(AND('(橫掃)RX Mapping'!M36&gt;=121,'(橫掃)RX Mapping'!M36&lt;=240), (-1)*('(橫掃)RX Mapping'!M36-240),IF(AND('(橫掃)RX Mapping'!M36&gt;=241,'(橫掃)RX Mapping'!M36&lt;=360), ('(橫掃)RX Mapping'!M36-241),IF(AND('(橫掃)RX Mapping'!M36&gt;=361,'(橫掃)RX Mapping'!M36&lt;=480), (-1)*('(橫掃)RX Mapping'!M36-480),IF(AND('(橫掃)RX Mapping'!M36&gt;=481,'(橫掃)RX Mapping'!M36&lt;=600), ('(橫掃)RX Mapping'!M36-361),IF(AND('(橫掃)RX Mapping'!M36&gt;=601,'(橫掃)RX Mapping'!M36&lt;=720), (-1)*('(橫掃)RX Mapping'!M36-720)+120,IF(AND('(橫掃)RX Mapping'!M36&gt;=721,'(橫掃)RX Mapping'!M36&lt;=840), ('(橫掃)RX Mapping'!M36-601),IF(AND('(橫掃)RX Mapping'!M36&gt;=841,'(橫掃)RX Mapping'!M36&lt;=960), (-1)*('(橫掃)RX Mapping'!M36-960)+120,9999))))))))</f>
        <v>9999</v>
      </c>
      <c r="N36">
        <f>IF(AND('(橫掃)RX Mapping'!N36&gt;=1,'(橫掃)RX Mapping'!N36&lt;=120), ('(橫掃)RX Mapping'!N36-1),IF(AND('(橫掃)RX Mapping'!N36&gt;=121,'(橫掃)RX Mapping'!N36&lt;=240), (-1)*('(橫掃)RX Mapping'!N36-240),IF(AND('(橫掃)RX Mapping'!N36&gt;=241,'(橫掃)RX Mapping'!N36&lt;=360), ('(橫掃)RX Mapping'!N36-241),IF(AND('(橫掃)RX Mapping'!N36&gt;=361,'(橫掃)RX Mapping'!N36&lt;=480), (-1)*('(橫掃)RX Mapping'!N36-480),IF(AND('(橫掃)RX Mapping'!N36&gt;=481,'(橫掃)RX Mapping'!N36&lt;=600), ('(橫掃)RX Mapping'!N36-361),IF(AND('(橫掃)RX Mapping'!N36&gt;=601,'(橫掃)RX Mapping'!N36&lt;=720), (-1)*('(橫掃)RX Mapping'!N36-720)+120,IF(AND('(橫掃)RX Mapping'!N36&gt;=721,'(橫掃)RX Mapping'!N36&lt;=840), ('(橫掃)RX Mapping'!N36-601),IF(AND('(橫掃)RX Mapping'!N36&gt;=841,'(橫掃)RX Mapping'!N36&lt;=960), (-1)*('(橫掃)RX Mapping'!N36-960)+120,9999))))))))</f>
        <v>9999</v>
      </c>
      <c r="O36">
        <f>IF(AND('(橫掃)RX Mapping'!O36&gt;=1,'(橫掃)RX Mapping'!O36&lt;=120), ('(橫掃)RX Mapping'!O36-1),IF(AND('(橫掃)RX Mapping'!O36&gt;=121,'(橫掃)RX Mapping'!O36&lt;=240), (-1)*('(橫掃)RX Mapping'!O36-240),IF(AND('(橫掃)RX Mapping'!O36&gt;=241,'(橫掃)RX Mapping'!O36&lt;=360), ('(橫掃)RX Mapping'!O36-241),IF(AND('(橫掃)RX Mapping'!O36&gt;=361,'(橫掃)RX Mapping'!O36&lt;=480), (-1)*('(橫掃)RX Mapping'!O36-480),IF(AND('(橫掃)RX Mapping'!O36&gt;=481,'(橫掃)RX Mapping'!O36&lt;=600), ('(橫掃)RX Mapping'!O36-361),IF(AND('(橫掃)RX Mapping'!O36&gt;=601,'(橫掃)RX Mapping'!O36&lt;=720), (-1)*('(橫掃)RX Mapping'!O36-720)+120,IF(AND('(橫掃)RX Mapping'!O36&gt;=721,'(橫掃)RX Mapping'!O36&lt;=840), ('(橫掃)RX Mapping'!O36-601),IF(AND('(橫掃)RX Mapping'!O36&gt;=841,'(橫掃)RX Mapping'!O36&lt;=960), (-1)*('(橫掃)RX Mapping'!O36-960)+120,9999))))))))</f>
        <v>9999</v>
      </c>
      <c r="P36">
        <f>IF(AND('(橫掃)RX Mapping'!P36&gt;=1,'(橫掃)RX Mapping'!P36&lt;=120), ('(橫掃)RX Mapping'!P36-1),IF(AND('(橫掃)RX Mapping'!P36&gt;=121,'(橫掃)RX Mapping'!P36&lt;=240), (-1)*('(橫掃)RX Mapping'!P36-240),IF(AND('(橫掃)RX Mapping'!P36&gt;=241,'(橫掃)RX Mapping'!P36&lt;=360), ('(橫掃)RX Mapping'!P36-241),IF(AND('(橫掃)RX Mapping'!P36&gt;=361,'(橫掃)RX Mapping'!P36&lt;=480), (-1)*('(橫掃)RX Mapping'!P36-480),IF(AND('(橫掃)RX Mapping'!P36&gt;=481,'(橫掃)RX Mapping'!P36&lt;=600), ('(橫掃)RX Mapping'!P36-361),IF(AND('(橫掃)RX Mapping'!P36&gt;=601,'(橫掃)RX Mapping'!P36&lt;=720), (-1)*('(橫掃)RX Mapping'!P36-720)+120,IF(AND('(橫掃)RX Mapping'!P36&gt;=721,'(橫掃)RX Mapping'!P36&lt;=840), ('(橫掃)RX Mapping'!P36-601),IF(AND('(橫掃)RX Mapping'!P36&gt;=841,'(橫掃)RX Mapping'!P36&lt;=960), (-1)*('(橫掃)RX Mapping'!P36-960)+120,9999))))))))</f>
        <v>9999</v>
      </c>
      <c r="Q36">
        <f>IF(AND('(橫掃)RX Mapping'!Q36&gt;=1,'(橫掃)RX Mapping'!Q36&lt;=120), ('(橫掃)RX Mapping'!Q36-1),IF(AND('(橫掃)RX Mapping'!Q36&gt;=121,'(橫掃)RX Mapping'!Q36&lt;=240), (-1)*('(橫掃)RX Mapping'!Q36-240),IF(AND('(橫掃)RX Mapping'!Q36&gt;=241,'(橫掃)RX Mapping'!Q36&lt;=360), ('(橫掃)RX Mapping'!Q36-241),IF(AND('(橫掃)RX Mapping'!Q36&gt;=361,'(橫掃)RX Mapping'!Q36&lt;=480), (-1)*('(橫掃)RX Mapping'!Q36-480),IF(AND('(橫掃)RX Mapping'!Q36&gt;=481,'(橫掃)RX Mapping'!Q36&lt;=600), ('(橫掃)RX Mapping'!Q36-361),IF(AND('(橫掃)RX Mapping'!Q36&gt;=601,'(橫掃)RX Mapping'!Q36&lt;=720), (-1)*('(橫掃)RX Mapping'!Q36-720)+120,IF(AND('(橫掃)RX Mapping'!Q36&gt;=721,'(橫掃)RX Mapping'!Q36&lt;=840), ('(橫掃)RX Mapping'!Q36-601),IF(AND('(橫掃)RX Mapping'!Q36&gt;=841,'(橫掃)RX Mapping'!Q36&lt;=960), (-1)*('(橫掃)RX Mapping'!Q36-960)+120,9999))))))))</f>
        <v>9999</v>
      </c>
      <c r="R36">
        <f>IF(AND('(橫掃)RX Mapping'!R36&gt;=1,'(橫掃)RX Mapping'!R36&lt;=120), ('(橫掃)RX Mapping'!R36-1),IF(AND('(橫掃)RX Mapping'!R36&gt;=121,'(橫掃)RX Mapping'!R36&lt;=240), (-1)*('(橫掃)RX Mapping'!R36-240),IF(AND('(橫掃)RX Mapping'!R36&gt;=241,'(橫掃)RX Mapping'!R36&lt;=360), ('(橫掃)RX Mapping'!R36-241),IF(AND('(橫掃)RX Mapping'!R36&gt;=361,'(橫掃)RX Mapping'!R36&lt;=480), (-1)*('(橫掃)RX Mapping'!R36-480),IF(AND('(橫掃)RX Mapping'!R36&gt;=481,'(橫掃)RX Mapping'!R36&lt;=600), ('(橫掃)RX Mapping'!R36-361),IF(AND('(橫掃)RX Mapping'!R36&gt;=601,'(橫掃)RX Mapping'!R36&lt;=720), (-1)*('(橫掃)RX Mapping'!R36-720)+120,IF(AND('(橫掃)RX Mapping'!R36&gt;=721,'(橫掃)RX Mapping'!R36&lt;=840), ('(橫掃)RX Mapping'!R36-601),IF(AND('(橫掃)RX Mapping'!R36&gt;=841,'(橫掃)RX Mapping'!R36&lt;=960), (-1)*('(橫掃)RX Mapping'!R36-960)+120,9999))))))))</f>
        <v>9999</v>
      </c>
      <c r="S36">
        <f>IF(AND('(橫掃)RX Mapping'!S36&gt;=1,'(橫掃)RX Mapping'!S36&lt;=120), ('(橫掃)RX Mapping'!S36-1),IF(AND('(橫掃)RX Mapping'!S36&gt;=121,'(橫掃)RX Mapping'!S36&lt;=240), (-1)*('(橫掃)RX Mapping'!S36-240),IF(AND('(橫掃)RX Mapping'!S36&gt;=241,'(橫掃)RX Mapping'!S36&lt;=360), ('(橫掃)RX Mapping'!S36-241),IF(AND('(橫掃)RX Mapping'!S36&gt;=361,'(橫掃)RX Mapping'!S36&lt;=480), (-1)*('(橫掃)RX Mapping'!S36-480),IF(AND('(橫掃)RX Mapping'!S36&gt;=481,'(橫掃)RX Mapping'!S36&lt;=600), ('(橫掃)RX Mapping'!S36-361),IF(AND('(橫掃)RX Mapping'!S36&gt;=601,'(橫掃)RX Mapping'!S36&lt;=720), (-1)*('(橫掃)RX Mapping'!S36-720)+120,IF(AND('(橫掃)RX Mapping'!S36&gt;=721,'(橫掃)RX Mapping'!S36&lt;=840), ('(橫掃)RX Mapping'!S36-601),IF(AND('(橫掃)RX Mapping'!S36&gt;=841,'(橫掃)RX Mapping'!S36&lt;=960), (-1)*('(橫掃)RX Mapping'!S36-960)+120,9999))))))))</f>
        <v>9999</v>
      </c>
      <c r="T36">
        <f>IF(AND('(橫掃)RX Mapping'!T36&gt;=1,'(橫掃)RX Mapping'!T36&lt;=120), ('(橫掃)RX Mapping'!T36-1),IF(AND('(橫掃)RX Mapping'!T36&gt;=121,'(橫掃)RX Mapping'!T36&lt;=240), (-1)*('(橫掃)RX Mapping'!T36-240),IF(AND('(橫掃)RX Mapping'!T36&gt;=241,'(橫掃)RX Mapping'!T36&lt;=360), ('(橫掃)RX Mapping'!T36-241),IF(AND('(橫掃)RX Mapping'!T36&gt;=361,'(橫掃)RX Mapping'!T36&lt;=480), (-1)*('(橫掃)RX Mapping'!T36-480),IF(AND('(橫掃)RX Mapping'!T36&gt;=481,'(橫掃)RX Mapping'!T36&lt;=600), ('(橫掃)RX Mapping'!T36-361),IF(AND('(橫掃)RX Mapping'!T36&gt;=601,'(橫掃)RX Mapping'!T36&lt;=720), (-1)*('(橫掃)RX Mapping'!T36-720)+120,IF(AND('(橫掃)RX Mapping'!T36&gt;=721,'(橫掃)RX Mapping'!T36&lt;=840), ('(橫掃)RX Mapping'!T36-601),IF(AND('(橫掃)RX Mapping'!T36&gt;=841,'(橫掃)RX Mapping'!T36&lt;=960), (-1)*('(橫掃)RX Mapping'!T36-960)+120,9999))))))))</f>
        <v>9999</v>
      </c>
      <c r="U36">
        <f>IF(AND('(橫掃)RX Mapping'!U36&gt;=1,'(橫掃)RX Mapping'!U36&lt;=120), ('(橫掃)RX Mapping'!U36-1),IF(AND('(橫掃)RX Mapping'!U36&gt;=121,'(橫掃)RX Mapping'!U36&lt;=240), (-1)*('(橫掃)RX Mapping'!U36-240),IF(AND('(橫掃)RX Mapping'!U36&gt;=241,'(橫掃)RX Mapping'!U36&lt;=360), ('(橫掃)RX Mapping'!U36-241),IF(AND('(橫掃)RX Mapping'!U36&gt;=361,'(橫掃)RX Mapping'!U36&lt;=480), (-1)*('(橫掃)RX Mapping'!U36-480),IF(AND('(橫掃)RX Mapping'!U36&gt;=481,'(橫掃)RX Mapping'!U36&lt;=600), ('(橫掃)RX Mapping'!U36-361),IF(AND('(橫掃)RX Mapping'!U36&gt;=601,'(橫掃)RX Mapping'!U36&lt;=720), (-1)*('(橫掃)RX Mapping'!U36-720)+120,IF(AND('(橫掃)RX Mapping'!U36&gt;=721,'(橫掃)RX Mapping'!U36&lt;=840), ('(橫掃)RX Mapping'!U36-601),IF(AND('(橫掃)RX Mapping'!U36&gt;=841,'(橫掃)RX Mapping'!U36&lt;=960), (-1)*('(橫掃)RX Mapping'!U36-960)+120,9999))))))))</f>
        <v>9999</v>
      </c>
      <c r="V36">
        <f>IF(AND('(橫掃)RX Mapping'!V36&gt;=1,'(橫掃)RX Mapping'!V36&lt;=120), ('(橫掃)RX Mapping'!V36-1),IF(AND('(橫掃)RX Mapping'!V36&gt;=121,'(橫掃)RX Mapping'!V36&lt;=240), (-1)*('(橫掃)RX Mapping'!V36-240),IF(AND('(橫掃)RX Mapping'!V36&gt;=241,'(橫掃)RX Mapping'!V36&lt;=360), ('(橫掃)RX Mapping'!V36-241),IF(AND('(橫掃)RX Mapping'!V36&gt;=361,'(橫掃)RX Mapping'!V36&lt;=480), (-1)*('(橫掃)RX Mapping'!V36-480),IF(AND('(橫掃)RX Mapping'!V36&gt;=481,'(橫掃)RX Mapping'!V36&lt;=600), ('(橫掃)RX Mapping'!V36-361),IF(AND('(橫掃)RX Mapping'!V36&gt;=601,'(橫掃)RX Mapping'!V36&lt;=720), (-1)*('(橫掃)RX Mapping'!V36-720)+120,IF(AND('(橫掃)RX Mapping'!V36&gt;=721,'(橫掃)RX Mapping'!V36&lt;=840), ('(橫掃)RX Mapping'!V36-601),IF(AND('(橫掃)RX Mapping'!V36&gt;=841,'(橫掃)RX Mapping'!V36&lt;=960), (-1)*('(橫掃)RX Mapping'!V36-960)+120,9999))))))))</f>
        <v>9999</v>
      </c>
      <c r="W36">
        <f>IF(AND('(橫掃)RX Mapping'!W36&gt;=1,'(橫掃)RX Mapping'!W36&lt;=120), ('(橫掃)RX Mapping'!W36-1),IF(AND('(橫掃)RX Mapping'!W36&gt;=121,'(橫掃)RX Mapping'!W36&lt;=240), (-1)*('(橫掃)RX Mapping'!W36-240),IF(AND('(橫掃)RX Mapping'!W36&gt;=241,'(橫掃)RX Mapping'!W36&lt;=360), ('(橫掃)RX Mapping'!W36-241),IF(AND('(橫掃)RX Mapping'!W36&gt;=361,'(橫掃)RX Mapping'!W36&lt;=480), (-1)*('(橫掃)RX Mapping'!W36-480),IF(AND('(橫掃)RX Mapping'!W36&gt;=481,'(橫掃)RX Mapping'!W36&lt;=600), ('(橫掃)RX Mapping'!W36-361),IF(AND('(橫掃)RX Mapping'!W36&gt;=601,'(橫掃)RX Mapping'!W36&lt;=720), (-1)*('(橫掃)RX Mapping'!W36-720)+120,IF(AND('(橫掃)RX Mapping'!W36&gt;=721,'(橫掃)RX Mapping'!W36&lt;=840), ('(橫掃)RX Mapping'!W36-601),IF(AND('(橫掃)RX Mapping'!W36&gt;=841,'(橫掃)RX Mapping'!W36&lt;=960), (-1)*('(橫掃)RX Mapping'!W36-960)+120,9999))))))))</f>
        <v>9999</v>
      </c>
      <c r="X36">
        <f>IF(AND('(橫掃)RX Mapping'!X36&gt;=1,'(橫掃)RX Mapping'!X36&lt;=120), ('(橫掃)RX Mapping'!X36-1),IF(AND('(橫掃)RX Mapping'!X36&gt;=121,'(橫掃)RX Mapping'!X36&lt;=240), (-1)*('(橫掃)RX Mapping'!X36-240),IF(AND('(橫掃)RX Mapping'!X36&gt;=241,'(橫掃)RX Mapping'!X36&lt;=360), ('(橫掃)RX Mapping'!X36-241),IF(AND('(橫掃)RX Mapping'!X36&gt;=361,'(橫掃)RX Mapping'!X36&lt;=480), (-1)*('(橫掃)RX Mapping'!X36-480),IF(AND('(橫掃)RX Mapping'!X36&gt;=481,'(橫掃)RX Mapping'!X36&lt;=600), ('(橫掃)RX Mapping'!X36-361),IF(AND('(橫掃)RX Mapping'!X36&gt;=601,'(橫掃)RX Mapping'!X36&lt;=720), (-1)*('(橫掃)RX Mapping'!X36-720)+120,IF(AND('(橫掃)RX Mapping'!X36&gt;=721,'(橫掃)RX Mapping'!X36&lt;=840), ('(橫掃)RX Mapping'!X36-601),IF(AND('(橫掃)RX Mapping'!X36&gt;=841,'(橫掃)RX Mapping'!X36&lt;=960), (-1)*('(橫掃)RX Mapping'!X36-960)+120,9999))))))))</f>
        <v>9999</v>
      </c>
      <c r="Y36">
        <f>IF(AND('(橫掃)RX Mapping'!Y36&gt;=1,'(橫掃)RX Mapping'!Y36&lt;=120), ('(橫掃)RX Mapping'!Y36-1),IF(AND('(橫掃)RX Mapping'!Y36&gt;=121,'(橫掃)RX Mapping'!Y36&lt;=240), (-1)*('(橫掃)RX Mapping'!Y36-240),IF(AND('(橫掃)RX Mapping'!Y36&gt;=241,'(橫掃)RX Mapping'!Y36&lt;=360), ('(橫掃)RX Mapping'!Y36-241),IF(AND('(橫掃)RX Mapping'!Y36&gt;=361,'(橫掃)RX Mapping'!Y36&lt;=480), (-1)*('(橫掃)RX Mapping'!Y36-480),IF(AND('(橫掃)RX Mapping'!Y36&gt;=481,'(橫掃)RX Mapping'!Y36&lt;=600), ('(橫掃)RX Mapping'!Y36-361),IF(AND('(橫掃)RX Mapping'!Y36&gt;=601,'(橫掃)RX Mapping'!Y36&lt;=720), (-1)*('(橫掃)RX Mapping'!Y36-720)+120,IF(AND('(橫掃)RX Mapping'!Y36&gt;=721,'(橫掃)RX Mapping'!Y36&lt;=840), ('(橫掃)RX Mapping'!Y36-601),IF(AND('(橫掃)RX Mapping'!Y36&gt;=841,'(橫掃)RX Mapping'!Y36&lt;=960), (-1)*('(橫掃)RX Mapping'!Y36-960)+120,9999))))))))</f>
        <v>9999</v>
      </c>
      <c r="Z36">
        <f>IF(AND('(橫掃)RX Mapping'!Z36&gt;=1,'(橫掃)RX Mapping'!Z36&lt;=120), ('(橫掃)RX Mapping'!Z36-1),IF(AND('(橫掃)RX Mapping'!Z36&gt;=121,'(橫掃)RX Mapping'!Z36&lt;=240), (-1)*('(橫掃)RX Mapping'!Z36-240),IF(AND('(橫掃)RX Mapping'!Z36&gt;=241,'(橫掃)RX Mapping'!Z36&lt;=360), ('(橫掃)RX Mapping'!Z36-241),IF(AND('(橫掃)RX Mapping'!Z36&gt;=361,'(橫掃)RX Mapping'!Z36&lt;=480), (-1)*('(橫掃)RX Mapping'!Z36-480),IF(AND('(橫掃)RX Mapping'!Z36&gt;=481,'(橫掃)RX Mapping'!Z36&lt;=600), ('(橫掃)RX Mapping'!Z36-361),IF(AND('(橫掃)RX Mapping'!Z36&gt;=601,'(橫掃)RX Mapping'!Z36&lt;=720), (-1)*('(橫掃)RX Mapping'!Z36-720)+120,IF(AND('(橫掃)RX Mapping'!Z36&gt;=721,'(橫掃)RX Mapping'!Z36&lt;=840), ('(橫掃)RX Mapping'!Z36-601),IF(AND('(橫掃)RX Mapping'!Z36&gt;=841,'(橫掃)RX Mapping'!Z36&lt;=960), (-1)*('(橫掃)RX Mapping'!Z36-960)+120,9999))))))))</f>
        <v>9999</v>
      </c>
      <c r="AA36">
        <f>IF(AND('(橫掃)RX Mapping'!AA36&gt;=1,'(橫掃)RX Mapping'!AA36&lt;=120), ('(橫掃)RX Mapping'!AA36-1),IF(AND('(橫掃)RX Mapping'!AA36&gt;=121,'(橫掃)RX Mapping'!AA36&lt;=240), (-1)*('(橫掃)RX Mapping'!AA36-240),IF(AND('(橫掃)RX Mapping'!AA36&gt;=241,'(橫掃)RX Mapping'!AA36&lt;=360), ('(橫掃)RX Mapping'!AA36-241),IF(AND('(橫掃)RX Mapping'!AA36&gt;=361,'(橫掃)RX Mapping'!AA36&lt;=480), (-1)*('(橫掃)RX Mapping'!AA36-480),IF(AND('(橫掃)RX Mapping'!AA36&gt;=481,'(橫掃)RX Mapping'!AA36&lt;=600), ('(橫掃)RX Mapping'!AA36-361),IF(AND('(橫掃)RX Mapping'!AA36&gt;=601,'(橫掃)RX Mapping'!AA36&lt;=720), (-1)*('(橫掃)RX Mapping'!AA36-720)+120,IF(AND('(橫掃)RX Mapping'!AA36&gt;=721,'(橫掃)RX Mapping'!AA36&lt;=840), ('(橫掃)RX Mapping'!AA36-601),IF(AND('(橫掃)RX Mapping'!AA36&gt;=841,'(橫掃)RX Mapping'!AA36&lt;=960), (-1)*('(橫掃)RX Mapping'!AA36-960)+120,9999))))))))</f>
        <v>9999</v>
      </c>
      <c r="AB36">
        <f>IF(AND('(橫掃)RX Mapping'!AB36&gt;=1,'(橫掃)RX Mapping'!AB36&lt;=120), ('(橫掃)RX Mapping'!AB36-1),IF(AND('(橫掃)RX Mapping'!AB36&gt;=121,'(橫掃)RX Mapping'!AB36&lt;=240), (-1)*('(橫掃)RX Mapping'!AB36-240),IF(AND('(橫掃)RX Mapping'!AB36&gt;=241,'(橫掃)RX Mapping'!AB36&lt;=360), ('(橫掃)RX Mapping'!AB36-241),IF(AND('(橫掃)RX Mapping'!AB36&gt;=361,'(橫掃)RX Mapping'!AB36&lt;=480), (-1)*('(橫掃)RX Mapping'!AB36-480),IF(AND('(橫掃)RX Mapping'!AB36&gt;=481,'(橫掃)RX Mapping'!AB36&lt;=600), ('(橫掃)RX Mapping'!AB36-361),IF(AND('(橫掃)RX Mapping'!AB36&gt;=601,'(橫掃)RX Mapping'!AB36&lt;=720), (-1)*('(橫掃)RX Mapping'!AB36-720)+120,IF(AND('(橫掃)RX Mapping'!AB36&gt;=721,'(橫掃)RX Mapping'!AB36&lt;=840), ('(橫掃)RX Mapping'!AB36-601),IF(AND('(橫掃)RX Mapping'!AB36&gt;=841,'(橫掃)RX Mapping'!AB36&lt;=960), (-1)*('(橫掃)RX Mapping'!AB36-960)+120,9999))))))))</f>
        <v>9999</v>
      </c>
      <c r="AC36">
        <f>IF(AND('(橫掃)RX Mapping'!AC36&gt;=1,'(橫掃)RX Mapping'!AC36&lt;=120), ('(橫掃)RX Mapping'!AC36-1),IF(AND('(橫掃)RX Mapping'!AC36&gt;=121,'(橫掃)RX Mapping'!AC36&lt;=240), (-1)*('(橫掃)RX Mapping'!AC36-240),IF(AND('(橫掃)RX Mapping'!AC36&gt;=241,'(橫掃)RX Mapping'!AC36&lt;=360), ('(橫掃)RX Mapping'!AC36-241),IF(AND('(橫掃)RX Mapping'!AC36&gt;=361,'(橫掃)RX Mapping'!AC36&lt;=480), (-1)*('(橫掃)RX Mapping'!AC36-480),IF(AND('(橫掃)RX Mapping'!AC36&gt;=481,'(橫掃)RX Mapping'!AC36&lt;=600), ('(橫掃)RX Mapping'!AC36-361),IF(AND('(橫掃)RX Mapping'!AC36&gt;=601,'(橫掃)RX Mapping'!AC36&lt;=720), (-1)*('(橫掃)RX Mapping'!AC36-720)+120,IF(AND('(橫掃)RX Mapping'!AC36&gt;=721,'(橫掃)RX Mapping'!AC36&lt;=840), ('(橫掃)RX Mapping'!AC36-601),IF(AND('(橫掃)RX Mapping'!AC36&gt;=841,'(橫掃)RX Mapping'!AC36&lt;=960), (-1)*('(橫掃)RX Mapping'!AC36-960)+120,9999))))))))</f>
        <v>9999</v>
      </c>
      <c r="AD36">
        <f>IF(AND('(橫掃)RX Mapping'!AD36&gt;=1,'(橫掃)RX Mapping'!AD36&lt;=120), ('(橫掃)RX Mapping'!AD36-1),IF(AND('(橫掃)RX Mapping'!AD36&gt;=121,'(橫掃)RX Mapping'!AD36&lt;=240), (-1)*('(橫掃)RX Mapping'!AD36-240),IF(AND('(橫掃)RX Mapping'!AD36&gt;=241,'(橫掃)RX Mapping'!AD36&lt;=360), ('(橫掃)RX Mapping'!AD36-241),IF(AND('(橫掃)RX Mapping'!AD36&gt;=361,'(橫掃)RX Mapping'!AD36&lt;=480), (-1)*('(橫掃)RX Mapping'!AD36-480),IF(AND('(橫掃)RX Mapping'!AD36&gt;=481,'(橫掃)RX Mapping'!AD36&lt;=600), ('(橫掃)RX Mapping'!AD36-361),IF(AND('(橫掃)RX Mapping'!AD36&gt;=601,'(橫掃)RX Mapping'!AD36&lt;=720), (-1)*('(橫掃)RX Mapping'!AD36-720)+120,IF(AND('(橫掃)RX Mapping'!AD36&gt;=721,'(橫掃)RX Mapping'!AD36&lt;=840), ('(橫掃)RX Mapping'!AD36-601),IF(AND('(橫掃)RX Mapping'!AD36&gt;=841,'(橫掃)RX Mapping'!AD36&lt;=960), (-1)*('(橫掃)RX Mapping'!AD36-960)+120,9999))))))))</f>
        <v>9999</v>
      </c>
      <c r="AE36">
        <f>IF(AND('(橫掃)RX Mapping'!AE36&gt;=1,'(橫掃)RX Mapping'!AE36&lt;=120), ('(橫掃)RX Mapping'!AE36-1),IF(AND('(橫掃)RX Mapping'!AE36&gt;=121,'(橫掃)RX Mapping'!AE36&lt;=240), (-1)*('(橫掃)RX Mapping'!AE36-240),IF(AND('(橫掃)RX Mapping'!AE36&gt;=241,'(橫掃)RX Mapping'!AE36&lt;=360), ('(橫掃)RX Mapping'!AE36-241),IF(AND('(橫掃)RX Mapping'!AE36&gt;=361,'(橫掃)RX Mapping'!AE36&lt;=480), (-1)*('(橫掃)RX Mapping'!AE36-480),IF(AND('(橫掃)RX Mapping'!AE36&gt;=481,'(橫掃)RX Mapping'!AE36&lt;=600), ('(橫掃)RX Mapping'!AE36-361),IF(AND('(橫掃)RX Mapping'!AE36&gt;=601,'(橫掃)RX Mapping'!AE36&lt;=720), (-1)*('(橫掃)RX Mapping'!AE36-720)+120,IF(AND('(橫掃)RX Mapping'!AE36&gt;=721,'(橫掃)RX Mapping'!AE36&lt;=840), ('(橫掃)RX Mapping'!AE36-601),IF(AND('(橫掃)RX Mapping'!AE36&gt;=841,'(橫掃)RX Mapping'!AE36&lt;=960), (-1)*('(橫掃)RX Mapping'!AE36-960)+120,9999))))))))</f>
        <v>9999</v>
      </c>
      <c r="AF36">
        <f>IF(AND('(橫掃)RX Mapping'!AF36&gt;=1,'(橫掃)RX Mapping'!AF36&lt;=120), ('(橫掃)RX Mapping'!AF36-1),IF(AND('(橫掃)RX Mapping'!AF36&gt;=121,'(橫掃)RX Mapping'!AF36&lt;=240), (-1)*('(橫掃)RX Mapping'!AF36-240),IF(AND('(橫掃)RX Mapping'!AF36&gt;=241,'(橫掃)RX Mapping'!AF36&lt;=360), ('(橫掃)RX Mapping'!AF36-241),IF(AND('(橫掃)RX Mapping'!AF36&gt;=361,'(橫掃)RX Mapping'!AF36&lt;=480), (-1)*('(橫掃)RX Mapping'!AF36-480),IF(AND('(橫掃)RX Mapping'!AF36&gt;=481,'(橫掃)RX Mapping'!AF36&lt;=600), ('(橫掃)RX Mapping'!AF36-361),IF(AND('(橫掃)RX Mapping'!AF36&gt;=601,'(橫掃)RX Mapping'!AF36&lt;=720), (-1)*('(橫掃)RX Mapping'!AF36-720)+120,IF(AND('(橫掃)RX Mapping'!AF36&gt;=721,'(橫掃)RX Mapping'!AF36&lt;=840), ('(橫掃)RX Mapping'!AF36-601),IF(AND('(橫掃)RX Mapping'!AF36&gt;=841,'(橫掃)RX Mapping'!AF36&lt;=960), (-1)*('(橫掃)RX Mapping'!AF36-960)+120,9999))))))))</f>
        <v>9999</v>
      </c>
      <c r="AG36">
        <f>IF(AND('(橫掃)RX Mapping'!AG36&gt;=1,'(橫掃)RX Mapping'!AG36&lt;=120), ('(橫掃)RX Mapping'!AG36-1),IF(AND('(橫掃)RX Mapping'!AG36&gt;=121,'(橫掃)RX Mapping'!AG36&lt;=240), (-1)*('(橫掃)RX Mapping'!AG36-240),IF(AND('(橫掃)RX Mapping'!AG36&gt;=241,'(橫掃)RX Mapping'!AG36&lt;=360), ('(橫掃)RX Mapping'!AG36-241),IF(AND('(橫掃)RX Mapping'!AG36&gt;=361,'(橫掃)RX Mapping'!AG36&lt;=480), (-1)*('(橫掃)RX Mapping'!AG36-480),IF(AND('(橫掃)RX Mapping'!AG36&gt;=481,'(橫掃)RX Mapping'!AG36&lt;=600), ('(橫掃)RX Mapping'!AG36-361),IF(AND('(橫掃)RX Mapping'!AG36&gt;=601,'(橫掃)RX Mapping'!AG36&lt;=720), (-1)*('(橫掃)RX Mapping'!AG36-720)+120,IF(AND('(橫掃)RX Mapping'!AG36&gt;=721,'(橫掃)RX Mapping'!AG36&lt;=840), ('(橫掃)RX Mapping'!AG36-601),IF(AND('(橫掃)RX Mapping'!AG36&gt;=841,'(橫掃)RX Mapping'!AG36&lt;=960), (-1)*('(橫掃)RX Mapping'!AG36-960)+120,9999))))))))</f>
        <v>9999</v>
      </c>
      <c r="AH36">
        <f>IF(AND('(橫掃)RX Mapping'!AH36&gt;=1,'(橫掃)RX Mapping'!AH36&lt;=120), ('(橫掃)RX Mapping'!AH36-1),IF(AND('(橫掃)RX Mapping'!AH36&gt;=121,'(橫掃)RX Mapping'!AH36&lt;=240), (-1)*('(橫掃)RX Mapping'!AH36-240),IF(AND('(橫掃)RX Mapping'!AH36&gt;=241,'(橫掃)RX Mapping'!AH36&lt;=360), ('(橫掃)RX Mapping'!AH36-241),IF(AND('(橫掃)RX Mapping'!AH36&gt;=361,'(橫掃)RX Mapping'!AH36&lt;=480), (-1)*('(橫掃)RX Mapping'!AH36-480),IF(AND('(橫掃)RX Mapping'!AH36&gt;=481,'(橫掃)RX Mapping'!AH36&lt;=600), ('(橫掃)RX Mapping'!AH36-361),IF(AND('(橫掃)RX Mapping'!AH36&gt;=601,'(橫掃)RX Mapping'!AH36&lt;=720), (-1)*('(橫掃)RX Mapping'!AH36-720)+120,IF(AND('(橫掃)RX Mapping'!AH36&gt;=721,'(橫掃)RX Mapping'!AH36&lt;=840), ('(橫掃)RX Mapping'!AH36-601),IF(AND('(橫掃)RX Mapping'!AH36&gt;=841,'(橫掃)RX Mapping'!AH36&lt;=960), (-1)*('(橫掃)RX Mapping'!AH36-960)+120,9999))))))))</f>
        <v>9999</v>
      </c>
      <c r="AI36">
        <f>IF(AND('(橫掃)RX Mapping'!AI36&gt;=1,'(橫掃)RX Mapping'!AI36&lt;=120), ('(橫掃)RX Mapping'!AI36-1),IF(AND('(橫掃)RX Mapping'!AI36&gt;=121,'(橫掃)RX Mapping'!AI36&lt;=240), (-1)*('(橫掃)RX Mapping'!AI36-240),IF(AND('(橫掃)RX Mapping'!AI36&gt;=241,'(橫掃)RX Mapping'!AI36&lt;=360), ('(橫掃)RX Mapping'!AI36-241),IF(AND('(橫掃)RX Mapping'!AI36&gt;=361,'(橫掃)RX Mapping'!AI36&lt;=480), (-1)*('(橫掃)RX Mapping'!AI36-480),IF(AND('(橫掃)RX Mapping'!AI36&gt;=481,'(橫掃)RX Mapping'!AI36&lt;=600), ('(橫掃)RX Mapping'!AI36-361),IF(AND('(橫掃)RX Mapping'!AI36&gt;=601,'(橫掃)RX Mapping'!AI36&lt;=720), (-1)*('(橫掃)RX Mapping'!AI36-720)+120,IF(AND('(橫掃)RX Mapping'!AI36&gt;=721,'(橫掃)RX Mapping'!AI36&lt;=840), ('(橫掃)RX Mapping'!AI36-601),IF(AND('(橫掃)RX Mapping'!AI36&gt;=841,'(橫掃)RX Mapping'!AI36&lt;=960), (-1)*('(橫掃)RX Mapping'!AI36-960)+120,9999))))))))</f>
        <v>9999</v>
      </c>
      <c r="AJ36">
        <f>IF(AND('(橫掃)RX Mapping'!AJ36&gt;=1,'(橫掃)RX Mapping'!AJ36&lt;=120), ('(橫掃)RX Mapping'!AJ36-1),IF(AND('(橫掃)RX Mapping'!AJ36&gt;=121,'(橫掃)RX Mapping'!AJ36&lt;=240), (-1)*('(橫掃)RX Mapping'!AJ36-240),IF(AND('(橫掃)RX Mapping'!AJ36&gt;=241,'(橫掃)RX Mapping'!AJ36&lt;=360), ('(橫掃)RX Mapping'!AJ36-241),IF(AND('(橫掃)RX Mapping'!AJ36&gt;=361,'(橫掃)RX Mapping'!AJ36&lt;=480), (-1)*('(橫掃)RX Mapping'!AJ36-480),IF(AND('(橫掃)RX Mapping'!AJ36&gt;=481,'(橫掃)RX Mapping'!AJ36&lt;=600), ('(橫掃)RX Mapping'!AJ36-361),IF(AND('(橫掃)RX Mapping'!AJ36&gt;=601,'(橫掃)RX Mapping'!AJ36&lt;=720), (-1)*('(橫掃)RX Mapping'!AJ36-720)+120,IF(AND('(橫掃)RX Mapping'!AJ36&gt;=721,'(橫掃)RX Mapping'!AJ36&lt;=840), ('(橫掃)RX Mapping'!AJ36-601),IF(AND('(橫掃)RX Mapping'!AJ36&gt;=841,'(橫掃)RX Mapping'!AJ36&lt;=960), (-1)*('(橫掃)RX Mapping'!AJ36-960)+120,9999))))))))</f>
        <v>9999</v>
      </c>
      <c r="AK36">
        <f>IF(AND('(橫掃)RX Mapping'!AK36&gt;=1,'(橫掃)RX Mapping'!AK36&lt;=120), ('(橫掃)RX Mapping'!AK36-1),IF(AND('(橫掃)RX Mapping'!AK36&gt;=121,'(橫掃)RX Mapping'!AK36&lt;=240), (-1)*('(橫掃)RX Mapping'!AK36-240),IF(AND('(橫掃)RX Mapping'!AK36&gt;=241,'(橫掃)RX Mapping'!AK36&lt;=360), ('(橫掃)RX Mapping'!AK36-241),IF(AND('(橫掃)RX Mapping'!AK36&gt;=361,'(橫掃)RX Mapping'!AK36&lt;=480), (-1)*('(橫掃)RX Mapping'!AK36-480),IF(AND('(橫掃)RX Mapping'!AK36&gt;=481,'(橫掃)RX Mapping'!AK36&lt;=600), ('(橫掃)RX Mapping'!AK36-361),IF(AND('(橫掃)RX Mapping'!AK36&gt;=601,'(橫掃)RX Mapping'!AK36&lt;=720), (-1)*('(橫掃)RX Mapping'!AK36-720)+120,IF(AND('(橫掃)RX Mapping'!AK36&gt;=721,'(橫掃)RX Mapping'!AK36&lt;=840), ('(橫掃)RX Mapping'!AK36-601),IF(AND('(橫掃)RX Mapping'!AK36&gt;=841,'(橫掃)RX Mapping'!AK36&lt;=960), (-1)*('(橫掃)RX Mapping'!AK36-960)+120,9999))))))))</f>
        <v>9999</v>
      </c>
      <c r="AL36">
        <f>IF(AND('(橫掃)RX Mapping'!AL36&gt;=1,'(橫掃)RX Mapping'!AL36&lt;=120), ('(橫掃)RX Mapping'!AL36-1),IF(AND('(橫掃)RX Mapping'!AL36&gt;=121,'(橫掃)RX Mapping'!AL36&lt;=240), (-1)*('(橫掃)RX Mapping'!AL36-240),IF(AND('(橫掃)RX Mapping'!AL36&gt;=241,'(橫掃)RX Mapping'!AL36&lt;=360), ('(橫掃)RX Mapping'!AL36-241),IF(AND('(橫掃)RX Mapping'!AL36&gt;=361,'(橫掃)RX Mapping'!AL36&lt;=480), (-1)*('(橫掃)RX Mapping'!AL36-480),IF(AND('(橫掃)RX Mapping'!AL36&gt;=481,'(橫掃)RX Mapping'!AL36&lt;=600), ('(橫掃)RX Mapping'!AL36-361),IF(AND('(橫掃)RX Mapping'!AL36&gt;=601,'(橫掃)RX Mapping'!AL36&lt;=720), (-1)*('(橫掃)RX Mapping'!AL36-720)+120,IF(AND('(橫掃)RX Mapping'!AL36&gt;=721,'(橫掃)RX Mapping'!AL36&lt;=840), ('(橫掃)RX Mapping'!AL36-601),IF(AND('(橫掃)RX Mapping'!AL36&gt;=841,'(橫掃)RX Mapping'!AL36&lt;=960), (-1)*('(橫掃)RX Mapping'!AL36-960)+120,9999))))))))</f>
        <v>9999</v>
      </c>
      <c r="AM36">
        <f>IF(AND('(橫掃)RX Mapping'!AM36&gt;=1,'(橫掃)RX Mapping'!AM36&lt;=120), ('(橫掃)RX Mapping'!AM36-1),IF(AND('(橫掃)RX Mapping'!AM36&gt;=121,'(橫掃)RX Mapping'!AM36&lt;=240), (-1)*('(橫掃)RX Mapping'!AM36-240),IF(AND('(橫掃)RX Mapping'!AM36&gt;=241,'(橫掃)RX Mapping'!AM36&lt;=360), ('(橫掃)RX Mapping'!AM36-241),IF(AND('(橫掃)RX Mapping'!AM36&gt;=361,'(橫掃)RX Mapping'!AM36&lt;=480), (-1)*('(橫掃)RX Mapping'!AM36-480),IF(AND('(橫掃)RX Mapping'!AM36&gt;=481,'(橫掃)RX Mapping'!AM36&lt;=600), ('(橫掃)RX Mapping'!AM36-361),IF(AND('(橫掃)RX Mapping'!AM36&gt;=601,'(橫掃)RX Mapping'!AM36&lt;=720), (-1)*('(橫掃)RX Mapping'!AM36-720)+120,IF(AND('(橫掃)RX Mapping'!AM36&gt;=721,'(橫掃)RX Mapping'!AM36&lt;=840), ('(橫掃)RX Mapping'!AM36-601),IF(AND('(橫掃)RX Mapping'!AM36&gt;=841,'(橫掃)RX Mapping'!AM36&lt;=960), (-1)*('(橫掃)RX Mapping'!AM36-960)+120,9999))))))))</f>
        <v>9999</v>
      </c>
      <c r="AN36">
        <f>IF(AND('(橫掃)RX Mapping'!AN36&gt;=1,'(橫掃)RX Mapping'!AN36&lt;=120), ('(橫掃)RX Mapping'!AN36-1),IF(AND('(橫掃)RX Mapping'!AN36&gt;=121,'(橫掃)RX Mapping'!AN36&lt;=240), (-1)*('(橫掃)RX Mapping'!AN36-240),IF(AND('(橫掃)RX Mapping'!AN36&gt;=241,'(橫掃)RX Mapping'!AN36&lt;=360), ('(橫掃)RX Mapping'!AN36-241),IF(AND('(橫掃)RX Mapping'!AN36&gt;=361,'(橫掃)RX Mapping'!AN36&lt;=480), (-1)*('(橫掃)RX Mapping'!AN36-480),IF(AND('(橫掃)RX Mapping'!AN36&gt;=481,'(橫掃)RX Mapping'!AN36&lt;=600), ('(橫掃)RX Mapping'!AN36-361),IF(AND('(橫掃)RX Mapping'!AN36&gt;=601,'(橫掃)RX Mapping'!AN36&lt;=720), (-1)*('(橫掃)RX Mapping'!AN36-720)+120,IF(AND('(橫掃)RX Mapping'!AN36&gt;=721,'(橫掃)RX Mapping'!AN36&lt;=840), ('(橫掃)RX Mapping'!AN36-601),IF(AND('(橫掃)RX Mapping'!AN36&gt;=841,'(橫掃)RX Mapping'!AN36&lt;=960), (-1)*('(橫掃)RX Mapping'!AN36-960)+120,9999))))))))</f>
        <v>9999</v>
      </c>
      <c r="AO36">
        <f>IF(AND('(橫掃)RX Mapping'!AO36&gt;=1,'(橫掃)RX Mapping'!AO36&lt;=120), ('(橫掃)RX Mapping'!AO36-1),IF(AND('(橫掃)RX Mapping'!AO36&gt;=121,'(橫掃)RX Mapping'!AO36&lt;=240), (-1)*('(橫掃)RX Mapping'!AO36-240),IF(AND('(橫掃)RX Mapping'!AO36&gt;=241,'(橫掃)RX Mapping'!AO36&lt;=360), ('(橫掃)RX Mapping'!AO36-241),IF(AND('(橫掃)RX Mapping'!AO36&gt;=361,'(橫掃)RX Mapping'!AO36&lt;=480), (-1)*('(橫掃)RX Mapping'!AO36-480),IF(AND('(橫掃)RX Mapping'!AO36&gt;=481,'(橫掃)RX Mapping'!AO36&lt;=600), ('(橫掃)RX Mapping'!AO36-361),IF(AND('(橫掃)RX Mapping'!AO36&gt;=601,'(橫掃)RX Mapping'!AO36&lt;=720), (-1)*('(橫掃)RX Mapping'!AO36-720)+120,IF(AND('(橫掃)RX Mapping'!AO36&gt;=721,'(橫掃)RX Mapping'!AO36&lt;=840), ('(橫掃)RX Mapping'!AO36-601),IF(AND('(橫掃)RX Mapping'!AO36&gt;=841,'(橫掃)RX Mapping'!AO36&lt;=960), (-1)*('(橫掃)RX Mapping'!AO36-960)+120,9999))))))))</f>
        <v>9999</v>
      </c>
      <c r="AP36">
        <f>IF(AND('(橫掃)RX Mapping'!AP36&gt;=1,'(橫掃)RX Mapping'!AP36&lt;=120), ('(橫掃)RX Mapping'!AP36-1),IF(AND('(橫掃)RX Mapping'!AP36&gt;=121,'(橫掃)RX Mapping'!AP36&lt;=240), (-1)*('(橫掃)RX Mapping'!AP36-240),IF(AND('(橫掃)RX Mapping'!AP36&gt;=241,'(橫掃)RX Mapping'!AP36&lt;=360), ('(橫掃)RX Mapping'!AP36-241),IF(AND('(橫掃)RX Mapping'!AP36&gt;=361,'(橫掃)RX Mapping'!AP36&lt;=480), (-1)*('(橫掃)RX Mapping'!AP36-480),IF(AND('(橫掃)RX Mapping'!AP36&gt;=481,'(橫掃)RX Mapping'!AP36&lt;=600), ('(橫掃)RX Mapping'!AP36-361),IF(AND('(橫掃)RX Mapping'!AP36&gt;=601,'(橫掃)RX Mapping'!AP36&lt;=720), (-1)*('(橫掃)RX Mapping'!AP36-720)+120,IF(AND('(橫掃)RX Mapping'!AP36&gt;=721,'(橫掃)RX Mapping'!AP36&lt;=840), ('(橫掃)RX Mapping'!AP36-601),IF(AND('(橫掃)RX Mapping'!AP36&gt;=841,'(橫掃)RX Mapping'!AP36&lt;=960), (-1)*('(橫掃)RX Mapping'!AP36-960)+120,9999))))))))</f>
        <v>9999</v>
      </c>
      <c r="AQ36">
        <f>IF(AND('(橫掃)RX Mapping'!AQ36&gt;=1,'(橫掃)RX Mapping'!AQ36&lt;=120), ('(橫掃)RX Mapping'!AQ36-1),IF(AND('(橫掃)RX Mapping'!AQ36&gt;=121,'(橫掃)RX Mapping'!AQ36&lt;=240), (-1)*('(橫掃)RX Mapping'!AQ36-240),IF(AND('(橫掃)RX Mapping'!AQ36&gt;=241,'(橫掃)RX Mapping'!AQ36&lt;=360), ('(橫掃)RX Mapping'!AQ36-241),IF(AND('(橫掃)RX Mapping'!AQ36&gt;=361,'(橫掃)RX Mapping'!AQ36&lt;=480), (-1)*('(橫掃)RX Mapping'!AQ36-480),IF(AND('(橫掃)RX Mapping'!AQ36&gt;=481,'(橫掃)RX Mapping'!AQ36&lt;=600), ('(橫掃)RX Mapping'!AQ36-361),IF(AND('(橫掃)RX Mapping'!AQ36&gt;=601,'(橫掃)RX Mapping'!AQ36&lt;=720), (-1)*('(橫掃)RX Mapping'!AQ36-720)+120,IF(AND('(橫掃)RX Mapping'!AQ36&gt;=721,'(橫掃)RX Mapping'!AQ36&lt;=840), ('(橫掃)RX Mapping'!AQ36-601),IF(AND('(橫掃)RX Mapping'!AQ36&gt;=841,'(橫掃)RX Mapping'!AQ36&lt;=960), (-1)*('(橫掃)RX Mapping'!AQ36-960)+120,9999))))))))</f>
        <v>9999</v>
      </c>
      <c r="AR36">
        <f>IF(AND('(橫掃)RX Mapping'!AR36&gt;=1,'(橫掃)RX Mapping'!AR36&lt;=120), ('(橫掃)RX Mapping'!AR36-1),IF(AND('(橫掃)RX Mapping'!AR36&gt;=121,'(橫掃)RX Mapping'!AR36&lt;=240), (-1)*('(橫掃)RX Mapping'!AR36-240),IF(AND('(橫掃)RX Mapping'!AR36&gt;=241,'(橫掃)RX Mapping'!AR36&lt;=360), ('(橫掃)RX Mapping'!AR36-241),IF(AND('(橫掃)RX Mapping'!AR36&gt;=361,'(橫掃)RX Mapping'!AR36&lt;=480), (-1)*('(橫掃)RX Mapping'!AR36-480),IF(AND('(橫掃)RX Mapping'!AR36&gt;=481,'(橫掃)RX Mapping'!AR36&lt;=600), ('(橫掃)RX Mapping'!AR36-361),IF(AND('(橫掃)RX Mapping'!AR36&gt;=601,'(橫掃)RX Mapping'!AR36&lt;=720), (-1)*('(橫掃)RX Mapping'!AR36-720)+120,IF(AND('(橫掃)RX Mapping'!AR36&gt;=721,'(橫掃)RX Mapping'!AR36&lt;=840), ('(橫掃)RX Mapping'!AR36-601),IF(AND('(橫掃)RX Mapping'!AR36&gt;=841,'(橫掃)RX Mapping'!AR36&lt;=960), (-1)*('(橫掃)RX Mapping'!AR36-960)+120,9999))))))))</f>
        <v>9999</v>
      </c>
      <c r="AS36">
        <f>IF(AND('(橫掃)RX Mapping'!AS36&gt;=1,'(橫掃)RX Mapping'!AS36&lt;=120), ('(橫掃)RX Mapping'!AS36-1),IF(AND('(橫掃)RX Mapping'!AS36&gt;=121,'(橫掃)RX Mapping'!AS36&lt;=240), (-1)*('(橫掃)RX Mapping'!AS36-240),IF(AND('(橫掃)RX Mapping'!AS36&gt;=241,'(橫掃)RX Mapping'!AS36&lt;=360), ('(橫掃)RX Mapping'!AS36-241),IF(AND('(橫掃)RX Mapping'!AS36&gt;=361,'(橫掃)RX Mapping'!AS36&lt;=480), (-1)*('(橫掃)RX Mapping'!AS36-480),IF(AND('(橫掃)RX Mapping'!AS36&gt;=481,'(橫掃)RX Mapping'!AS36&lt;=600), ('(橫掃)RX Mapping'!AS36-361),IF(AND('(橫掃)RX Mapping'!AS36&gt;=601,'(橫掃)RX Mapping'!AS36&lt;=720), (-1)*('(橫掃)RX Mapping'!AS36-720)+120,IF(AND('(橫掃)RX Mapping'!AS36&gt;=721,'(橫掃)RX Mapping'!AS36&lt;=840), ('(橫掃)RX Mapping'!AS36-601),IF(AND('(橫掃)RX Mapping'!AS36&gt;=841,'(橫掃)RX Mapping'!AS36&lt;=960), (-1)*('(橫掃)RX Mapping'!AS36-960)+120,9999))))))))</f>
        <v>9999</v>
      </c>
      <c r="AT36">
        <f>IF(AND('(橫掃)RX Mapping'!AT36&gt;=1,'(橫掃)RX Mapping'!AT36&lt;=120), ('(橫掃)RX Mapping'!AT36-1),IF(AND('(橫掃)RX Mapping'!AT36&gt;=121,'(橫掃)RX Mapping'!AT36&lt;=240), (-1)*('(橫掃)RX Mapping'!AT36-240),IF(AND('(橫掃)RX Mapping'!AT36&gt;=241,'(橫掃)RX Mapping'!AT36&lt;=360), ('(橫掃)RX Mapping'!AT36-241),IF(AND('(橫掃)RX Mapping'!AT36&gt;=361,'(橫掃)RX Mapping'!AT36&lt;=480), (-1)*('(橫掃)RX Mapping'!AT36-480),IF(AND('(橫掃)RX Mapping'!AT36&gt;=481,'(橫掃)RX Mapping'!AT36&lt;=600), ('(橫掃)RX Mapping'!AT36-361),IF(AND('(橫掃)RX Mapping'!AT36&gt;=601,'(橫掃)RX Mapping'!AT36&lt;=720), (-1)*('(橫掃)RX Mapping'!AT36-720)+120,IF(AND('(橫掃)RX Mapping'!AT36&gt;=721,'(橫掃)RX Mapping'!AT36&lt;=840), ('(橫掃)RX Mapping'!AT36-601),IF(AND('(橫掃)RX Mapping'!AT36&gt;=841,'(橫掃)RX Mapping'!AT36&lt;=960), (-1)*('(橫掃)RX Mapping'!AT36-960)+120,9999))))))))</f>
        <v>9999</v>
      </c>
      <c r="AU36">
        <f>IF(AND('(橫掃)RX Mapping'!AU36&gt;=1,'(橫掃)RX Mapping'!AU36&lt;=120), ('(橫掃)RX Mapping'!AU36-1),IF(AND('(橫掃)RX Mapping'!AU36&gt;=121,'(橫掃)RX Mapping'!AU36&lt;=240), (-1)*('(橫掃)RX Mapping'!AU36-240),IF(AND('(橫掃)RX Mapping'!AU36&gt;=241,'(橫掃)RX Mapping'!AU36&lt;=360), ('(橫掃)RX Mapping'!AU36-241),IF(AND('(橫掃)RX Mapping'!AU36&gt;=361,'(橫掃)RX Mapping'!AU36&lt;=480), (-1)*('(橫掃)RX Mapping'!AU36-480),IF(AND('(橫掃)RX Mapping'!AU36&gt;=481,'(橫掃)RX Mapping'!AU36&lt;=600), ('(橫掃)RX Mapping'!AU36-361),IF(AND('(橫掃)RX Mapping'!AU36&gt;=601,'(橫掃)RX Mapping'!AU36&lt;=720), (-1)*('(橫掃)RX Mapping'!AU36-720)+120,IF(AND('(橫掃)RX Mapping'!AU36&gt;=721,'(橫掃)RX Mapping'!AU36&lt;=840), ('(橫掃)RX Mapping'!AU36-601),IF(AND('(橫掃)RX Mapping'!AU36&gt;=841,'(橫掃)RX Mapping'!AU36&lt;=960), (-1)*('(橫掃)RX Mapping'!AU36-960)+120,9999))))))))</f>
        <v>9999</v>
      </c>
      <c r="AV36">
        <f>IF(AND('(橫掃)RX Mapping'!AV36&gt;=1,'(橫掃)RX Mapping'!AV36&lt;=120), ('(橫掃)RX Mapping'!AV36-1),IF(AND('(橫掃)RX Mapping'!AV36&gt;=121,'(橫掃)RX Mapping'!AV36&lt;=240), (-1)*('(橫掃)RX Mapping'!AV36-240),IF(AND('(橫掃)RX Mapping'!AV36&gt;=241,'(橫掃)RX Mapping'!AV36&lt;=360), ('(橫掃)RX Mapping'!AV36-241),IF(AND('(橫掃)RX Mapping'!AV36&gt;=361,'(橫掃)RX Mapping'!AV36&lt;=480), (-1)*('(橫掃)RX Mapping'!AV36-480),IF(AND('(橫掃)RX Mapping'!AV36&gt;=481,'(橫掃)RX Mapping'!AV36&lt;=600), ('(橫掃)RX Mapping'!AV36-361),IF(AND('(橫掃)RX Mapping'!AV36&gt;=601,'(橫掃)RX Mapping'!AV36&lt;=720), (-1)*('(橫掃)RX Mapping'!AV36-720)+120,IF(AND('(橫掃)RX Mapping'!AV36&gt;=721,'(橫掃)RX Mapping'!AV36&lt;=840), ('(橫掃)RX Mapping'!AV36-601),IF(AND('(橫掃)RX Mapping'!AV36&gt;=841,'(橫掃)RX Mapping'!AV36&lt;=960), (-1)*('(橫掃)RX Mapping'!AV36-960)+120,9999))))))))</f>
        <v>9999</v>
      </c>
      <c r="AW36">
        <f>IF(AND('(橫掃)RX Mapping'!AW36&gt;=1,'(橫掃)RX Mapping'!AW36&lt;=120), ('(橫掃)RX Mapping'!AW36-1),IF(AND('(橫掃)RX Mapping'!AW36&gt;=121,'(橫掃)RX Mapping'!AW36&lt;=240), (-1)*('(橫掃)RX Mapping'!AW36-240),IF(AND('(橫掃)RX Mapping'!AW36&gt;=241,'(橫掃)RX Mapping'!AW36&lt;=360), ('(橫掃)RX Mapping'!AW36-241),IF(AND('(橫掃)RX Mapping'!AW36&gt;=361,'(橫掃)RX Mapping'!AW36&lt;=480), (-1)*('(橫掃)RX Mapping'!AW36-480),IF(AND('(橫掃)RX Mapping'!AW36&gt;=481,'(橫掃)RX Mapping'!AW36&lt;=600), ('(橫掃)RX Mapping'!AW36-361),IF(AND('(橫掃)RX Mapping'!AW36&gt;=601,'(橫掃)RX Mapping'!AW36&lt;=720), (-1)*('(橫掃)RX Mapping'!AW36-720)+120,IF(AND('(橫掃)RX Mapping'!AW36&gt;=721,'(橫掃)RX Mapping'!AW36&lt;=840), ('(橫掃)RX Mapping'!AW36-601),IF(AND('(橫掃)RX Mapping'!AW36&gt;=841,'(橫掃)RX Mapping'!AW36&lt;=960), (-1)*('(橫掃)RX Mapping'!AW36-960)+120,9999))))))))</f>
        <v>9999</v>
      </c>
      <c r="AX36">
        <f>IF(AND('(橫掃)RX Mapping'!AX36&gt;=1,'(橫掃)RX Mapping'!AX36&lt;=120), ('(橫掃)RX Mapping'!AX36-1),IF(AND('(橫掃)RX Mapping'!AX36&gt;=121,'(橫掃)RX Mapping'!AX36&lt;=240), (-1)*('(橫掃)RX Mapping'!AX36-240),IF(AND('(橫掃)RX Mapping'!AX36&gt;=241,'(橫掃)RX Mapping'!AX36&lt;=360), ('(橫掃)RX Mapping'!AX36-241),IF(AND('(橫掃)RX Mapping'!AX36&gt;=361,'(橫掃)RX Mapping'!AX36&lt;=480), (-1)*('(橫掃)RX Mapping'!AX36-480),IF(AND('(橫掃)RX Mapping'!AX36&gt;=481,'(橫掃)RX Mapping'!AX36&lt;=600), ('(橫掃)RX Mapping'!AX36-361),IF(AND('(橫掃)RX Mapping'!AX36&gt;=601,'(橫掃)RX Mapping'!AX36&lt;=720), (-1)*('(橫掃)RX Mapping'!AX36-720)+120,IF(AND('(橫掃)RX Mapping'!AX36&gt;=721,'(橫掃)RX Mapping'!AX36&lt;=840), ('(橫掃)RX Mapping'!AX36-601),IF(AND('(橫掃)RX Mapping'!AX36&gt;=841,'(橫掃)RX Mapping'!AX36&lt;=960), (-1)*('(橫掃)RX Mapping'!AX36-960)+120,9999))))))))</f>
        <v>9999</v>
      </c>
      <c r="AY36">
        <f>IF(AND('(橫掃)RX Mapping'!AY36&gt;=1,'(橫掃)RX Mapping'!AY36&lt;=120), ('(橫掃)RX Mapping'!AY36-1),IF(AND('(橫掃)RX Mapping'!AY36&gt;=121,'(橫掃)RX Mapping'!AY36&lt;=240), (-1)*('(橫掃)RX Mapping'!AY36-240),IF(AND('(橫掃)RX Mapping'!AY36&gt;=241,'(橫掃)RX Mapping'!AY36&lt;=360), ('(橫掃)RX Mapping'!AY36-241),IF(AND('(橫掃)RX Mapping'!AY36&gt;=361,'(橫掃)RX Mapping'!AY36&lt;=480), (-1)*('(橫掃)RX Mapping'!AY36-480),IF(AND('(橫掃)RX Mapping'!AY36&gt;=481,'(橫掃)RX Mapping'!AY36&lt;=600), ('(橫掃)RX Mapping'!AY36-361),IF(AND('(橫掃)RX Mapping'!AY36&gt;=601,'(橫掃)RX Mapping'!AY36&lt;=720), (-1)*('(橫掃)RX Mapping'!AY36-720)+120,IF(AND('(橫掃)RX Mapping'!AY36&gt;=721,'(橫掃)RX Mapping'!AY36&lt;=840), ('(橫掃)RX Mapping'!AY36-601),IF(AND('(橫掃)RX Mapping'!AY36&gt;=841,'(橫掃)RX Mapping'!AY36&lt;=960), (-1)*('(橫掃)RX Mapping'!AY36-960)+120,9999))))))))</f>
        <v>9999</v>
      </c>
      <c r="AZ36">
        <f>IF(AND('(橫掃)RX Mapping'!AZ36&gt;=1,'(橫掃)RX Mapping'!AZ36&lt;=120), ('(橫掃)RX Mapping'!AZ36-1),IF(AND('(橫掃)RX Mapping'!AZ36&gt;=121,'(橫掃)RX Mapping'!AZ36&lt;=240), (-1)*('(橫掃)RX Mapping'!AZ36-240),IF(AND('(橫掃)RX Mapping'!AZ36&gt;=241,'(橫掃)RX Mapping'!AZ36&lt;=360), ('(橫掃)RX Mapping'!AZ36-241),IF(AND('(橫掃)RX Mapping'!AZ36&gt;=361,'(橫掃)RX Mapping'!AZ36&lt;=480), (-1)*('(橫掃)RX Mapping'!AZ36-480),IF(AND('(橫掃)RX Mapping'!AZ36&gt;=481,'(橫掃)RX Mapping'!AZ36&lt;=600), ('(橫掃)RX Mapping'!AZ36-361),IF(AND('(橫掃)RX Mapping'!AZ36&gt;=601,'(橫掃)RX Mapping'!AZ36&lt;=720), (-1)*('(橫掃)RX Mapping'!AZ36-720)+120,IF(AND('(橫掃)RX Mapping'!AZ36&gt;=721,'(橫掃)RX Mapping'!AZ36&lt;=840), ('(橫掃)RX Mapping'!AZ36-601),IF(AND('(橫掃)RX Mapping'!AZ36&gt;=841,'(橫掃)RX Mapping'!AZ36&lt;=960), (-1)*('(橫掃)RX Mapping'!AZ36-960)+120,9999))))))))</f>
        <v>9999</v>
      </c>
      <c r="BA36">
        <f>IF(AND('(橫掃)RX Mapping'!BA36&gt;=1,'(橫掃)RX Mapping'!BA36&lt;=120), ('(橫掃)RX Mapping'!BA36-1),IF(AND('(橫掃)RX Mapping'!BA36&gt;=121,'(橫掃)RX Mapping'!BA36&lt;=240), (-1)*('(橫掃)RX Mapping'!BA36-240),IF(AND('(橫掃)RX Mapping'!BA36&gt;=241,'(橫掃)RX Mapping'!BA36&lt;=360), ('(橫掃)RX Mapping'!BA36-241),IF(AND('(橫掃)RX Mapping'!BA36&gt;=361,'(橫掃)RX Mapping'!BA36&lt;=480), (-1)*('(橫掃)RX Mapping'!BA36-480),IF(AND('(橫掃)RX Mapping'!BA36&gt;=481,'(橫掃)RX Mapping'!BA36&lt;=600), ('(橫掃)RX Mapping'!BA36-361),IF(AND('(橫掃)RX Mapping'!BA36&gt;=601,'(橫掃)RX Mapping'!BA36&lt;=720), (-1)*('(橫掃)RX Mapping'!BA36-720)+120,IF(AND('(橫掃)RX Mapping'!BA36&gt;=721,'(橫掃)RX Mapping'!BA36&lt;=840), ('(橫掃)RX Mapping'!BA36-601),IF(AND('(橫掃)RX Mapping'!BA36&gt;=841,'(橫掃)RX Mapping'!BA36&lt;=960), (-1)*('(橫掃)RX Mapping'!BA36-960)+120,9999))))))))</f>
        <v>9999</v>
      </c>
      <c r="BB36">
        <f>IF(AND('(橫掃)RX Mapping'!BB36&gt;=1,'(橫掃)RX Mapping'!BB36&lt;=120), ('(橫掃)RX Mapping'!BB36-1),IF(AND('(橫掃)RX Mapping'!BB36&gt;=121,'(橫掃)RX Mapping'!BB36&lt;=240), (-1)*('(橫掃)RX Mapping'!BB36-240),IF(AND('(橫掃)RX Mapping'!BB36&gt;=241,'(橫掃)RX Mapping'!BB36&lt;=360), ('(橫掃)RX Mapping'!BB36-241),IF(AND('(橫掃)RX Mapping'!BB36&gt;=361,'(橫掃)RX Mapping'!BB36&lt;=480), (-1)*('(橫掃)RX Mapping'!BB36-480),IF(AND('(橫掃)RX Mapping'!BB36&gt;=481,'(橫掃)RX Mapping'!BB36&lt;=600), ('(橫掃)RX Mapping'!BB36-361),IF(AND('(橫掃)RX Mapping'!BB36&gt;=601,'(橫掃)RX Mapping'!BB36&lt;=720), (-1)*('(橫掃)RX Mapping'!BB36-720)+120,IF(AND('(橫掃)RX Mapping'!BB36&gt;=721,'(橫掃)RX Mapping'!BB36&lt;=840), ('(橫掃)RX Mapping'!BB36-601),IF(AND('(橫掃)RX Mapping'!BB36&gt;=841,'(橫掃)RX Mapping'!BB36&lt;=960), (-1)*('(橫掃)RX Mapping'!BB36-960)+120,9999))))))))</f>
        <v>9999</v>
      </c>
      <c r="BC36">
        <f>IF(AND('(橫掃)RX Mapping'!BC36&gt;=1,'(橫掃)RX Mapping'!BC36&lt;=120), ('(橫掃)RX Mapping'!BC36-1),IF(AND('(橫掃)RX Mapping'!BC36&gt;=121,'(橫掃)RX Mapping'!BC36&lt;=240), (-1)*('(橫掃)RX Mapping'!BC36-240),IF(AND('(橫掃)RX Mapping'!BC36&gt;=241,'(橫掃)RX Mapping'!BC36&lt;=360), ('(橫掃)RX Mapping'!BC36-241),IF(AND('(橫掃)RX Mapping'!BC36&gt;=361,'(橫掃)RX Mapping'!BC36&lt;=480), (-1)*('(橫掃)RX Mapping'!BC36-480),IF(AND('(橫掃)RX Mapping'!BC36&gt;=481,'(橫掃)RX Mapping'!BC36&lt;=600), ('(橫掃)RX Mapping'!BC36-361),IF(AND('(橫掃)RX Mapping'!BC36&gt;=601,'(橫掃)RX Mapping'!BC36&lt;=720), (-1)*('(橫掃)RX Mapping'!BC36-720)+120,IF(AND('(橫掃)RX Mapping'!BC36&gt;=721,'(橫掃)RX Mapping'!BC36&lt;=840), ('(橫掃)RX Mapping'!BC36-601),IF(AND('(橫掃)RX Mapping'!BC36&gt;=841,'(橫掃)RX Mapping'!BC36&lt;=960), (-1)*('(橫掃)RX Mapping'!BC36-960)+120,9999))))))))</f>
        <v>9999</v>
      </c>
      <c r="BD36">
        <f>IF(AND('(橫掃)RX Mapping'!BD36&gt;=1,'(橫掃)RX Mapping'!BD36&lt;=120), ('(橫掃)RX Mapping'!BD36-1),IF(AND('(橫掃)RX Mapping'!BD36&gt;=121,'(橫掃)RX Mapping'!BD36&lt;=240), (-1)*('(橫掃)RX Mapping'!BD36-240),IF(AND('(橫掃)RX Mapping'!BD36&gt;=241,'(橫掃)RX Mapping'!BD36&lt;=360), ('(橫掃)RX Mapping'!BD36-241),IF(AND('(橫掃)RX Mapping'!BD36&gt;=361,'(橫掃)RX Mapping'!BD36&lt;=480), (-1)*('(橫掃)RX Mapping'!BD36-480),IF(AND('(橫掃)RX Mapping'!BD36&gt;=481,'(橫掃)RX Mapping'!BD36&lt;=600), ('(橫掃)RX Mapping'!BD36-361),IF(AND('(橫掃)RX Mapping'!BD36&gt;=601,'(橫掃)RX Mapping'!BD36&lt;=720), (-1)*('(橫掃)RX Mapping'!BD36-720)+120,IF(AND('(橫掃)RX Mapping'!BD36&gt;=721,'(橫掃)RX Mapping'!BD36&lt;=840), ('(橫掃)RX Mapping'!BD36-601),IF(AND('(橫掃)RX Mapping'!BD36&gt;=841,'(橫掃)RX Mapping'!BD36&lt;=960), (-1)*('(橫掃)RX Mapping'!BD36-960)+120,9999))))))))</f>
        <v>9999</v>
      </c>
      <c r="BE36">
        <f>IF(AND('(橫掃)RX Mapping'!BE36&gt;=1,'(橫掃)RX Mapping'!BE36&lt;=120), ('(橫掃)RX Mapping'!BE36-1),IF(AND('(橫掃)RX Mapping'!BE36&gt;=121,'(橫掃)RX Mapping'!BE36&lt;=240), (-1)*('(橫掃)RX Mapping'!BE36-240),IF(AND('(橫掃)RX Mapping'!BE36&gt;=241,'(橫掃)RX Mapping'!BE36&lt;=360), ('(橫掃)RX Mapping'!BE36-241),IF(AND('(橫掃)RX Mapping'!BE36&gt;=361,'(橫掃)RX Mapping'!BE36&lt;=480), (-1)*('(橫掃)RX Mapping'!BE36-480),IF(AND('(橫掃)RX Mapping'!BE36&gt;=481,'(橫掃)RX Mapping'!BE36&lt;=600), ('(橫掃)RX Mapping'!BE36-361),IF(AND('(橫掃)RX Mapping'!BE36&gt;=601,'(橫掃)RX Mapping'!BE36&lt;=720), (-1)*('(橫掃)RX Mapping'!BE36-720)+120,IF(AND('(橫掃)RX Mapping'!BE36&gt;=721,'(橫掃)RX Mapping'!BE36&lt;=840), ('(橫掃)RX Mapping'!BE36-601),IF(AND('(橫掃)RX Mapping'!BE36&gt;=841,'(橫掃)RX Mapping'!BE36&lt;=960), (-1)*('(橫掃)RX Mapping'!BE36-960)+120,9999))))))))</f>
        <v>9999</v>
      </c>
      <c r="BF36">
        <f>IF(AND('(橫掃)RX Mapping'!BF36&gt;=1,'(橫掃)RX Mapping'!BF36&lt;=120), ('(橫掃)RX Mapping'!BF36-1),IF(AND('(橫掃)RX Mapping'!BF36&gt;=121,'(橫掃)RX Mapping'!BF36&lt;=240), (-1)*('(橫掃)RX Mapping'!BF36-240),IF(AND('(橫掃)RX Mapping'!BF36&gt;=241,'(橫掃)RX Mapping'!BF36&lt;=360), ('(橫掃)RX Mapping'!BF36-241),IF(AND('(橫掃)RX Mapping'!BF36&gt;=361,'(橫掃)RX Mapping'!BF36&lt;=480), (-1)*('(橫掃)RX Mapping'!BF36-480),IF(AND('(橫掃)RX Mapping'!BF36&gt;=481,'(橫掃)RX Mapping'!BF36&lt;=600), ('(橫掃)RX Mapping'!BF36-361),IF(AND('(橫掃)RX Mapping'!BF36&gt;=601,'(橫掃)RX Mapping'!BF36&lt;=720), (-1)*('(橫掃)RX Mapping'!BF36-720)+120,IF(AND('(橫掃)RX Mapping'!BF36&gt;=721,'(橫掃)RX Mapping'!BF36&lt;=840), ('(橫掃)RX Mapping'!BF36-601),IF(AND('(橫掃)RX Mapping'!BF36&gt;=841,'(橫掃)RX Mapping'!BF36&lt;=960), (-1)*('(橫掃)RX Mapping'!BF36-960)+120,9999))))))))</f>
        <v>9999</v>
      </c>
      <c r="BG36">
        <f>IF(AND('(橫掃)RX Mapping'!BG36&gt;=1,'(橫掃)RX Mapping'!BG36&lt;=120), ('(橫掃)RX Mapping'!BG36-1),IF(AND('(橫掃)RX Mapping'!BG36&gt;=121,'(橫掃)RX Mapping'!BG36&lt;=240), (-1)*('(橫掃)RX Mapping'!BG36-240),IF(AND('(橫掃)RX Mapping'!BG36&gt;=241,'(橫掃)RX Mapping'!BG36&lt;=360), ('(橫掃)RX Mapping'!BG36-241),IF(AND('(橫掃)RX Mapping'!BG36&gt;=361,'(橫掃)RX Mapping'!BG36&lt;=480), (-1)*('(橫掃)RX Mapping'!BG36-480),IF(AND('(橫掃)RX Mapping'!BG36&gt;=481,'(橫掃)RX Mapping'!BG36&lt;=600), ('(橫掃)RX Mapping'!BG36-361),IF(AND('(橫掃)RX Mapping'!BG36&gt;=601,'(橫掃)RX Mapping'!BG36&lt;=720), (-1)*('(橫掃)RX Mapping'!BG36-720)+120,IF(AND('(橫掃)RX Mapping'!BG36&gt;=721,'(橫掃)RX Mapping'!BG36&lt;=840), ('(橫掃)RX Mapping'!BG36-601),IF(AND('(橫掃)RX Mapping'!BG36&gt;=841,'(橫掃)RX Mapping'!BG36&lt;=960), (-1)*('(橫掃)RX Mapping'!BG36-960)+120,9999))))))))</f>
        <v>9999</v>
      </c>
      <c r="BH36">
        <f>IF(AND('(橫掃)RX Mapping'!BH36&gt;=1,'(橫掃)RX Mapping'!BH36&lt;=120), ('(橫掃)RX Mapping'!BH36-1),IF(AND('(橫掃)RX Mapping'!BH36&gt;=121,'(橫掃)RX Mapping'!BH36&lt;=240), (-1)*('(橫掃)RX Mapping'!BH36-240),IF(AND('(橫掃)RX Mapping'!BH36&gt;=241,'(橫掃)RX Mapping'!BH36&lt;=360), ('(橫掃)RX Mapping'!BH36-241),IF(AND('(橫掃)RX Mapping'!BH36&gt;=361,'(橫掃)RX Mapping'!BH36&lt;=480), (-1)*('(橫掃)RX Mapping'!BH36-480),IF(AND('(橫掃)RX Mapping'!BH36&gt;=481,'(橫掃)RX Mapping'!BH36&lt;=600), ('(橫掃)RX Mapping'!BH36-361),IF(AND('(橫掃)RX Mapping'!BH36&gt;=601,'(橫掃)RX Mapping'!BH36&lt;=720), (-1)*('(橫掃)RX Mapping'!BH36-720)+120,IF(AND('(橫掃)RX Mapping'!BH36&gt;=721,'(橫掃)RX Mapping'!BH36&lt;=840), ('(橫掃)RX Mapping'!BH36-601),IF(AND('(橫掃)RX Mapping'!BH36&gt;=841,'(橫掃)RX Mapping'!BH36&lt;=960), (-1)*('(橫掃)RX Mapping'!BH36-960)+120,9999))))))))</f>
        <v>9999</v>
      </c>
      <c r="BI36">
        <f>IF(AND('(橫掃)RX Mapping'!BI36&gt;=1,'(橫掃)RX Mapping'!BI36&lt;=120), ('(橫掃)RX Mapping'!BI36-1),IF(AND('(橫掃)RX Mapping'!BI36&gt;=121,'(橫掃)RX Mapping'!BI36&lt;=240), (-1)*('(橫掃)RX Mapping'!BI36-240),IF(AND('(橫掃)RX Mapping'!BI36&gt;=241,'(橫掃)RX Mapping'!BI36&lt;=360), ('(橫掃)RX Mapping'!BI36-241),IF(AND('(橫掃)RX Mapping'!BI36&gt;=361,'(橫掃)RX Mapping'!BI36&lt;=480), (-1)*('(橫掃)RX Mapping'!BI36-480),IF(AND('(橫掃)RX Mapping'!BI36&gt;=481,'(橫掃)RX Mapping'!BI36&lt;=600), ('(橫掃)RX Mapping'!BI36-361),IF(AND('(橫掃)RX Mapping'!BI36&gt;=601,'(橫掃)RX Mapping'!BI36&lt;=720), (-1)*('(橫掃)RX Mapping'!BI36-720)+120,IF(AND('(橫掃)RX Mapping'!BI36&gt;=721,'(橫掃)RX Mapping'!BI36&lt;=840), ('(橫掃)RX Mapping'!BI36-601),IF(AND('(橫掃)RX Mapping'!BI36&gt;=841,'(橫掃)RX Mapping'!BI36&lt;=960), (-1)*('(橫掃)RX Mapping'!BI36-960)+120,9999))))))))</f>
        <v>9999</v>
      </c>
    </row>
    <row r="37" spans="1:61" x14ac:dyDescent="0.25">
      <c r="A37" s="20">
        <v>36</v>
      </c>
      <c r="B37">
        <f>IF(AND('(橫掃)RX Mapping'!B37&gt;=1,'(橫掃)RX Mapping'!B37&lt;=120), ('(橫掃)RX Mapping'!B37-1),IF(AND('(橫掃)RX Mapping'!B37&gt;=121,'(橫掃)RX Mapping'!B37&lt;=240), (-1)*('(橫掃)RX Mapping'!B37-240),IF(AND('(橫掃)RX Mapping'!B37&gt;=241,'(橫掃)RX Mapping'!B37&lt;=360), ('(橫掃)RX Mapping'!B37-241),IF(AND('(橫掃)RX Mapping'!B37&gt;=361,'(橫掃)RX Mapping'!B37&lt;=480), (-1)*('(橫掃)RX Mapping'!B37-480),IF(AND('(橫掃)RX Mapping'!B37&gt;=481,'(橫掃)RX Mapping'!B37&lt;=600), ('(橫掃)RX Mapping'!B37-361),IF(AND('(橫掃)RX Mapping'!B37&gt;=601,'(橫掃)RX Mapping'!B37&lt;=720), (-1)*('(橫掃)RX Mapping'!B37-720)+120,IF(AND('(橫掃)RX Mapping'!B37&gt;=721,'(橫掃)RX Mapping'!B37&lt;=840), ('(橫掃)RX Mapping'!B37-601),IF(AND('(橫掃)RX Mapping'!B37&gt;=841,'(橫掃)RX Mapping'!B37&lt;=960), (-1)*('(橫掃)RX Mapping'!B37-960)+120,9999))))))))</f>
        <v>9999</v>
      </c>
      <c r="C37">
        <f>IF(AND('(橫掃)RX Mapping'!C37&gt;=1,'(橫掃)RX Mapping'!C37&lt;=120), ('(橫掃)RX Mapping'!C37-1),IF(AND('(橫掃)RX Mapping'!C37&gt;=121,'(橫掃)RX Mapping'!C37&lt;=240), (-1)*('(橫掃)RX Mapping'!C37-240),IF(AND('(橫掃)RX Mapping'!C37&gt;=241,'(橫掃)RX Mapping'!C37&lt;=360), ('(橫掃)RX Mapping'!C37-241),IF(AND('(橫掃)RX Mapping'!C37&gt;=361,'(橫掃)RX Mapping'!C37&lt;=480), (-1)*('(橫掃)RX Mapping'!C37-480),IF(AND('(橫掃)RX Mapping'!C37&gt;=481,'(橫掃)RX Mapping'!C37&lt;=600), ('(橫掃)RX Mapping'!C37-361),IF(AND('(橫掃)RX Mapping'!C37&gt;=601,'(橫掃)RX Mapping'!C37&lt;=720), (-1)*('(橫掃)RX Mapping'!C37-720)+120,IF(AND('(橫掃)RX Mapping'!C37&gt;=721,'(橫掃)RX Mapping'!C37&lt;=840), ('(橫掃)RX Mapping'!C37-601),IF(AND('(橫掃)RX Mapping'!C37&gt;=841,'(橫掃)RX Mapping'!C37&lt;=960), (-1)*('(橫掃)RX Mapping'!C37-960)+120,9999))))))))</f>
        <v>9999</v>
      </c>
      <c r="D37">
        <f>IF(AND('(橫掃)RX Mapping'!D37&gt;=1,'(橫掃)RX Mapping'!D37&lt;=120), ('(橫掃)RX Mapping'!D37-1),IF(AND('(橫掃)RX Mapping'!D37&gt;=121,'(橫掃)RX Mapping'!D37&lt;=240), (-1)*('(橫掃)RX Mapping'!D37-240),IF(AND('(橫掃)RX Mapping'!D37&gt;=241,'(橫掃)RX Mapping'!D37&lt;=360), ('(橫掃)RX Mapping'!D37-241),IF(AND('(橫掃)RX Mapping'!D37&gt;=361,'(橫掃)RX Mapping'!D37&lt;=480), (-1)*('(橫掃)RX Mapping'!D37-480),IF(AND('(橫掃)RX Mapping'!D37&gt;=481,'(橫掃)RX Mapping'!D37&lt;=600), ('(橫掃)RX Mapping'!D37-361),IF(AND('(橫掃)RX Mapping'!D37&gt;=601,'(橫掃)RX Mapping'!D37&lt;=720), (-1)*('(橫掃)RX Mapping'!D37-720)+120,IF(AND('(橫掃)RX Mapping'!D37&gt;=721,'(橫掃)RX Mapping'!D37&lt;=840), ('(橫掃)RX Mapping'!D37-601),IF(AND('(橫掃)RX Mapping'!D37&gt;=841,'(橫掃)RX Mapping'!D37&lt;=960), (-1)*('(橫掃)RX Mapping'!D37-960)+120,9999))))))))</f>
        <v>9999</v>
      </c>
      <c r="E37">
        <f>IF(AND('(橫掃)RX Mapping'!E37&gt;=1,'(橫掃)RX Mapping'!E37&lt;=120), ('(橫掃)RX Mapping'!E37-1),IF(AND('(橫掃)RX Mapping'!E37&gt;=121,'(橫掃)RX Mapping'!E37&lt;=240), (-1)*('(橫掃)RX Mapping'!E37-240),IF(AND('(橫掃)RX Mapping'!E37&gt;=241,'(橫掃)RX Mapping'!E37&lt;=360), ('(橫掃)RX Mapping'!E37-241),IF(AND('(橫掃)RX Mapping'!E37&gt;=361,'(橫掃)RX Mapping'!E37&lt;=480), (-1)*('(橫掃)RX Mapping'!E37-480),IF(AND('(橫掃)RX Mapping'!E37&gt;=481,'(橫掃)RX Mapping'!E37&lt;=600), ('(橫掃)RX Mapping'!E37-361),IF(AND('(橫掃)RX Mapping'!E37&gt;=601,'(橫掃)RX Mapping'!E37&lt;=720), (-1)*('(橫掃)RX Mapping'!E37-720)+120,IF(AND('(橫掃)RX Mapping'!E37&gt;=721,'(橫掃)RX Mapping'!E37&lt;=840), ('(橫掃)RX Mapping'!E37-601),IF(AND('(橫掃)RX Mapping'!E37&gt;=841,'(橫掃)RX Mapping'!E37&lt;=960), (-1)*('(橫掃)RX Mapping'!E37-960)+120,9999))))))))</f>
        <v>9999</v>
      </c>
      <c r="F37">
        <f>IF(AND('(橫掃)RX Mapping'!F37&gt;=1,'(橫掃)RX Mapping'!F37&lt;=120), ('(橫掃)RX Mapping'!F37-1),IF(AND('(橫掃)RX Mapping'!F37&gt;=121,'(橫掃)RX Mapping'!F37&lt;=240), (-1)*('(橫掃)RX Mapping'!F37-240),IF(AND('(橫掃)RX Mapping'!F37&gt;=241,'(橫掃)RX Mapping'!F37&lt;=360), ('(橫掃)RX Mapping'!F37-241),IF(AND('(橫掃)RX Mapping'!F37&gt;=361,'(橫掃)RX Mapping'!F37&lt;=480), (-1)*('(橫掃)RX Mapping'!F37-480),IF(AND('(橫掃)RX Mapping'!F37&gt;=481,'(橫掃)RX Mapping'!F37&lt;=600), ('(橫掃)RX Mapping'!F37-361),IF(AND('(橫掃)RX Mapping'!F37&gt;=601,'(橫掃)RX Mapping'!F37&lt;=720), (-1)*('(橫掃)RX Mapping'!F37-720)+120,IF(AND('(橫掃)RX Mapping'!F37&gt;=721,'(橫掃)RX Mapping'!F37&lt;=840), ('(橫掃)RX Mapping'!F37-601),IF(AND('(橫掃)RX Mapping'!F37&gt;=841,'(橫掃)RX Mapping'!F37&lt;=960), (-1)*('(橫掃)RX Mapping'!F37-960)+120,9999))))))))</f>
        <v>9999</v>
      </c>
      <c r="G37">
        <f>IF(AND('(橫掃)RX Mapping'!G37&gt;=1,'(橫掃)RX Mapping'!G37&lt;=120), ('(橫掃)RX Mapping'!G37-1),IF(AND('(橫掃)RX Mapping'!G37&gt;=121,'(橫掃)RX Mapping'!G37&lt;=240), (-1)*('(橫掃)RX Mapping'!G37-240),IF(AND('(橫掃)RX Mapping'!G37&gt;=241,'(橫掃)RX Mapping'!G37&lt;=360), ('(橫掃)RX Mapping'!G37-241),IF(AND('(橫掃)RX Mapping'!G37&gt;=361,'(橫掃)RX Mapping'!G37&lt;=480), (-1)*('(橫掃)RX Mapping'!G37-480),IF(AND('(橫掃)RX Mapping'!G37&gt;=481,'(橫掃)RX Mapping'!G37&lt;=600), ('(橫掃)RX Mapping'!G37-361),IF(AND('(橫掃)RX Mapping'!G37&gt;=601,'(橫掃)RX Mapping'!G37&lt;=720), (-1)*('(橫掃)RX Mapping'!G37-720)+120,IF(AND('(橫掃)RX Mapping'!G37&gt;=721,'(橫掃)RX Mapping'!G37&lt;=840), ('(橫掃)RX Mapping'!G37-601),IF(AND('(橫掃)RX Mapping'!G37&gt;=841,'(橫掃)RX Mapping'!G37&lt;=960), (-1)*('(橫掃)RX Mapping'!G37-960)+120,9999))))))))</f>
        <v>9999</v>
      </c>
      <c r="H37">
        <f>IF(AND('(橫掃)RX Mapping'!H37&gt;=1,'(橫掃)RX Mapping'!H37&lt;=120), ('(橫掃)RX Mapping'!H37-1),IF(AND('(橫掃)RX Mapping'!H37&gt;=121,'(橫掃)RX Mapping'!H37&lt;=240), (-1)*('(橫掃)RX Mapping'!H37-240),IF(AND('(橫掃)RX Mapping'!H37&gt;=241,'(橫掃)RX Mapping'!H37&lt;=360), ('(橫掃)RX Mapping'!H37-241),IF(AND('(橫掃)RX Mapping'!H37&gt;=361,'(橫掃)RX Mapping'!H37&lt;=480), (-1)*('(橫掃)RX Mapping'!H37-480),IF(AND('(橫掃)RX Mapping'!H37&gt;=481,'(橫掃)RX Mapping'!H37&lt;=600), ('(橫掃)RX Mapping'!H37-361),IF(AND('(橫掃)RX Mapping'!H37&gt;=601,'(橫掃)RX Mapping'!H37&lt;=720), (-1)*('(橫掃)RX Mapping'!H37-720)+120,IF(AND('(橫掃)RX Mapping'!H37&gt;=721,'(橫掃)RX Mapping'!H37&lt;=840), ('(橫掃)RX Mapping'!H37-601),IF(AND('(橫掃)RX Mapping'!H37&gt;=841,'(橫掃)RX Mapping'!H37&lt;=960), (-1)*('(橫掃)RX Mapping'!H37-960)+120,9999))))))))</f>
        <v>9999</v>
      </c>
      <c r="I37">
        <f>IF(AND('(橫掃)RX Mapping'!I37&gt;=1,'(橫掃)RX Mapping'!I37&lt;=120), ('(橫掃)RX Mapping'!I37-1),IF(AND('(橫掃)RX Mapping'!I37&gt;=121,'(橫掃)RX Mapping'!I37&lt;=240), (-1)*('(橫掃)RX Mapping'!I37-240),IF(AND('(橫掃)RX Mapping'!I37&gt;=241,'(橫掃)RX Mapping'!I37&lt;=360), ('(橫掃)RX Mapping'!I37-241),IF(AND('(橫掃)RX Mapping'!I37&gt;=361,'(橫掃)RX Mapping'!I37&lt;=480), (-1)*('(橫掃)RX Mapping'!I37-480),IF(AND('(橫掃)RX Mapping'!I37&gt;=481,'(橫掃)RX Mapping'!I37&lt;=600), ('(橫掃)RX Mapping'!I37-361),IF(AND('(橫掃)RX Mapping'!I37&gt;=601,'(橫掃)RX Mapping'!I37&lt;=720), (-1)*('(橫掃)RX Mapping'!I37-720)+120,IF(AND('(橫掃)RX Mapping'!I37&gt;=721,'(橫掃)RX Mapping'!I37&lt;=840), ('(橫掃)RX Mapping'!I37-601),IF(AND('(橫掃)RX Mapping'!I37&gt;=841,'(橫掃)RX Mapping'!I37&lt;=960), (-1)*('(橫掃)RX Mapping'!I37-960)+120,9999))))))))</f>
        <v>9999</v>
      </c>
      <c r="J37">
        <f>IF(AND('(橫掃)RX Mapping'!J37&gt;=1,'(橫掃)RX Mapping'!J37&lt;=120), ('(橫掃)RX Mapping'!J37-1),IF(AND('(橫掃)RX Mapping'!J37&gt;=121,'(橫掃)RX Mapping'!J37&lt;=240), (-1)*('(橫掃)RX Mapping'!J37-240),IF(AND('(橫掃)RX Mapping'!J37&gt;=241,'(橫掃)RX Mapping'!J37&lt;=360), ('(橫掃)RX Mapping'!J37-241),IF(AND('(橫掃)RX Mapping'!J37&gt;=361,'(橫掃)RX Mapping'!J37&lt;=480), (-1)*('(橫掃)RX Mapping'!J37-480),IF(AND('(橫掃)RX Mapping'!J37&gt;=481,'(橫掃)RX Mapping'!J37&lt;=600), ('(橫掃)RX Mapping'!J37-361),IF(AND('(橫掃)RX Mapping'!J37&gt;=601,'(橫掃)RX Mapping'!J37&lt;=720), (-1)*('(橫掃)RX Mapping'!J37-720)+120,IF(AND('(橫掃)RX Mapping'!J37&gt;=721,'(橫掃)RX Mapping'!J37&lt;=840), ('(橫掃)RX Mapping'!J37-601),IF(AND('(橫掃)RX Mapping'!J37&gt;=841,'(橫掃)RX Mapping'!J37&lt;=960), (-1)*('(橫掃)RX Mapping'!J37-960)+120,9999))))))))</f>
        <v>9999</v>
      </c>
      <c r="K37">
        <f>IF(AND('(橫掃)RX Mapping'!K37&gt;=1,'(橫掃)RX Mapping'!K37&lt;=120), ('(橫掃)RX Mapping'!K37-1),IF(AND('(橫掃)RX Mapping'!K37&gt;=121,'(橫掃)RX Mapping'!K37&lt;=240), (-1)*('(橫掃)RX Mapping'!K37-240),IF(AND('(橫掃)RX Mapping'!K37&gt;=241,'(橫掃)RX Mapping'!K37&lt;=360), ('(橫掃)RX Mapping'!K37-241),IF(AND('(橫掃)RX Mapping'!K37&gt;=361,'(橫掃)RX Mapping'!K37&lt;=480), (-1)*('(橫掃)RX Mapping'!K37-480),IF(AND('(橫掃)RX Mapping'!K37&gt;=481,'(橫掃)RX Mapping'!K37&lt;=600), ('(橫掃)RX Mapping'!K37-361),IF(AND('(橫掃)RX Mapping'!K37&gt;=601,'(橫掃)RX Mapping'!K37&lt;=720), (-1)*('(橫掃)RX Mapping'!K37-720)+120,IF(AND('(橫掃)RX Mapping'!K37&gt;=721,'(橫掃)RX Mapping'!K37&lt;=840), ('(橫掃)RX Mapping'!K37-601),IF(AND('(橫掃)RX Mapping'!K37&gt;=841,'(橫掃)RX Mapping'!K37&lt;=960), (-1)*('(橫掃)RX Mapping'!K37-960)+120,9999))))))))</f>
        <v>9999</v>
      </c>
      <c r="L37">
        <f>IF(AND('(橫掃)RX Mapping'!L37&gt;=1,'(橫掃)RX Mapping'!L37&lt;=120), ('(橫掃)RX Mapping'!L37-1),IF(AND('(橫掃)RX Mapping'!L37&gt;=121,'(橫掃)RX Mapping'!L37&lt;=240), (-1)*('(橫掃)RX Mapping'!L37-240),IF(AND('(橫掃)RX Mapping'!L37&gt;=241,'(橫掃)RX Mapping'!L37&lt;=360), ('(橫掃)RX Mapping'!L37-241),IF(AND('(橫掃)RX Mapping'!L37&gt;=361,'(橫掃)RX Mapping'!L37&lt;=480), (-1)*('(橫掃)RX Mapping'!L37-480),IF(AND('(橫掃)RX Mapping'!L37&gt;=481,'(橫掃)RX Mapping'!L37&lt;=600), ('(橫掃)RX Mapping'!L37-361),IF(AND('(橫掃)RX Mapping'!L37&gt;=601,'(橫掃)RX Mapping'!L37&lt;=720), (-1)*('(橫掃)RX Mapping'!L37-720)+120,IF(AND('(橫掃)RX Mapping'!L37&gt;=721,'(橫掃)RX Mapping'!L37&lt;=840), ('(橫掃)RX Mapping'!L37-601),IF(AND('(橫掃)RX Mapping'!L37&gt;=841,'(橫掃)RX Mapping'!L37&lt;=960), (-1)*('(橫掃)RX Mapping'!L37-960)+120,9999))))))))</f>
        <v>9999</v>
      </c>
      <c r="M37">
        <f>IF(AND('(橫掃)RX Mapping'!M37&gt;=1,'(橫掃)RX Mapping'!M37&lt;=120), ('(橫掃)RX Mapping'!M37-1),IF(AND('(橫掃)RX Mapping'!M37&gt;=121,'(橫掃)RX Mapping'!M37&lt;=240), (-1)*('(橫掃)RX Mapping'!M37-240),IF(AND('(橫掃)RX Mapping'!M37&gt;=241,'(橫掃)RX Mapping'!M37&lt;=360), ('(橫掃)RX Mapping'!M37-241),IF(AND('(橫掃)RX Mapping'!M37&gt;=361,'(橫掃)RX Mapping'!M37&lt;=480), (-1)*('(橫掃)RX Mapping'!M37-480),IF(AND('(橫掃)RX Mapping'!M37&gt;=481,'(橫掃)RX Mapping'!M37&lt;=600), ('(橫掃)RX Mapping'!M37-361),IF(AND('(橫掃)RX Mapping'!M37&gt;=601,'(橫掃)RX Mapping'!M37&lt;=720), (-1)*('(橫掃)RX Mapping'!M37-720)+120,IF(AND('(橫掃)RX Mapping'!M37&gt;=721,'(橫掃)RX Mapping'!M37&lt;=840), ('(橫掃)RX Mapping'!M37-601),IF(AND('(橫掃)RX Mapping'!M37&gt;=841,'(橫掃)RX Mapping'!M37&lt;=960), (-1)*('(橫掃)RX Mapping'!M37-960)+120,9999))))))))</f>
        <v>9999</v>
      </c>
      <c r="N37">
        <f>IF(AND('(橫掃)RX Mapping'!N37&gt;=1,'(橫掃)RX Mapping'!N37&lt;=120), ('(橫掃)RX Mapping'!N37-1),IF(AND('(橫掃)RX Mapping'!N37&gt;=121,'(橫掃)RX Mapping'!N37&lt;=240), (-1)*('(橫掃)RX Mapping'!N37-240),IF(AND('(橫掃)RX Mapping'!N37&gt;=241,'(橫掃)RX Mapping'!N37&lt;=360), ('(橫掃)RX Mapping'!N37-241),IF(AND('(橫掃)RX Mapping'!N37&gt;=361,'(橫掃)RX Mapping'!N37&lt;=480), (-1)*('(橫掃)RX Mapping'!N37-480),IF(AND('(橫掃)RX Mapping'!N37&gt;=481,'(橫掃)RX Mapping'!N37&lt;=600), ('(橫掃)RX Mapping'!N37-361),IF(AND('(橫掃)RX Mapping'!N37&gt;=601,'(橫掃)RX Mapping'!N37&lt;=720), (-1)*('(橫掃)RX Mapping'!N37-720)+120,IF(AND('(橫掃)RX Mapping'!N37&gt;=721,'(橫掃)RX Mapping'!N37&lt;=840), ('(橫掃)RX Mapping'!N37-601),IF(AND('(橫掃)RX Mapping'!N37&gt;=841,'(橫掃)RX Mapping'!N37&lt;=960), (-1)*('(橫掃)RX Mapping'!N37-960)+120,9999))))))))</f>
        <v>9999</v>
      </c>
      <c r="O37">
        <f>IF(AND('(橫掃)RX Mapping'!O37&gt;=1,'(橫掃)RX Mapping'!O37&lt;=120), ('(橫掃)RX Mapping'!O37-1),IF(AND('(橫掃)RX Mapping'!O37&gt;=121,'(橫掃)RX Mapping'!O37&lt;=240), (-1)*('(橫掃)RX Mapping'!O37-240),IF(AND('(橫掃)RX Mapping'!O37&gt;=241,'(橫掃)RX Mapping'!O37&lt;=360), ('(橫掃)RX Mapping'!O37-241),IF(AND('(橫掃)RX Mapping'!O37&gt;=361,'(橫掃)RX Mapping'!O37&lt;=480), (-1)*('(橫掃)RX Mapping'!O37-480),IF(AND('(橫掃)RX Mapping'!O37&gt;=481,'(橫掃)RX Mapping'!O37&lt;=600), ('(橫掃)RX Mapping'!O37-361),IF(AND('(橫掃)RX Mapping'!O37&gt;=601,'(橫掃)RX Mapping'!O37&lt;=720), (-1)*('(橫掃)RX Mapping'!O37-720)+120,IF(AND('(橫掃)RX Mapping'!O37&gt;=721,'(橫掃)RX Mapping'!O37&lt;=840), ('(橫掃)RX Mapping'!O37-601),IF(AND('(橫掃)RX Mapping'!O37&gt;=841,'(橫掃)RX Mapping'!O37&lt;=960), (-1)*('(橫掃)RX Mapping'!O37-960)+120,9999))))))))</f>
        <v>9999</v>
      </c>
      <c r="P37">
        <f>IF(AND('(橫掃)RX Mapping'!P37&gt;=1,'(橫掃)RX Mapping'!P37&lt;=120), ('(橫掃)RX Mapping'!P37-1),IF(AND('(橫掃)RX Mapping'!P37&gt;=121,'(橫掃)RX Mapping'!P37&lt;=240), (-1)*('(橫掃)RX Mapping'!P37-240),IF(AND('(橫掃)RX Mapping'!P37&gt;=241,'(橫掃)RX Mapping'!P37&lt;=360), ('(橫掃)RX Mapping'!P37-241),IF(AND('(橫掃)RX Mapping'!P37&gt;=361,'(橫掃)RX Mapping'!P37&lt;=480), (-1)*('(橫掃)RX Mapping'!P37-480),IF(AND('(橫掃)RX Mapping'!P37&gt;=481,'(橫掃)RX Mapping'!P37&lt;=600), ('(橫掃)RX Mapping'!P37-361),IF(AND('(橫掃)RX Mapping'!P37&gt;=601,'(橫掃)RX Mapping'!P37&lt;=720), (-1)*('(橫掃)RX Mapping'!P37-720)+120,IF(AND('(橫掃)RX Mapping'!P37&gt;=721,'(橫掃)RX Mapping'!P37&lt;=840), ('(橫掃)RX Mapping'!P37-601),IF(AND('(橫掃)RX Mapping'!P37&gt;=841,'(橫掃)RX Mapping'!P37&lt;=960), (-1)*('(橫掃)RX Mapping'!P37-960)+120,9999))))))))</f>
        <v>9999</v>
      </c>
      <c r="Q37">
        <f>IF(AND('(橫掃)RX Mapping'!Q37&gt;=1,'(橫掃)RX Mapping'!Q37&lt;=120), ('(橫掃)RX Mapping'!Q37-1),IF(AND('(橫掃)RX Mapping'!Q37&gt;=121,'(橫掃)RX Mapping'!Q37&lt;=240), (-1)*('(橫掃)RX Mapping'!Q37-240),IF(AND('(橫掃)RX Mapping'!Q37&gt;=241,'(橫掃)RX Mapping'!Q37&lt;=360), ('(橫掃)RX Mapping'!Q37-241),IF(AND('(橫掃)RX Mapping'!Q37&gt;=361,'(橫掃)RX Mapping'!Q37&lt;=480), (-1)*('(橫掃)RX Mapping'!Q37-480),IF(AND('(橫掃)RX Mapping'!Q37&gt;=481,'(橫掃)RX Mapping'!Q37&lt;=600), ('(橫掃)RX Mapping'!Q37-361),IF(AND('(橫掃)RX Mapping'!Q37&gt;=601,'(橫掃)RX Mapping'!Q37&lt;=720), (-1)*('(橫掃)RX Mapping'!Q37-720)+120,IF(AND('(橫掃)RX Mapping'!Q37&gt;=721,'(橫掃)RX Mapping'!Q37&lt;=840), ('(橫掃)RX Mapping'!Q37-601),IF(AND('(橫掃)RX Mapping'!Q37&gt;=841,'(橫掃)RX Mapping'!Q37&lt;=960), (-1)*('(橫掃)RX Mapping'!Q37-960)+120,9999))))))))</f>
        <v>9999</v>
      </c>
      <c r="R37">
        <f>IF(AND('(橫掃)RX Mapping'!R37&gt;=1,'(橫掃)RX Mapping'!R37&lt;=120), ('(橫掃)RX Mapping'!R37-1),IF(AND('(橫掃)RX Mapping'!R37&gt;=121,'(橫掃)RX Mapping'!R37&lt;=240), (-1)*('(橫掃)RX Mapping'!R37-240),IF(AND('(橫掃)RX Mapping'!R37&gt;=241,'(橫掃)RX Mapping'!R37&lt;=360), ('(橫掃)RX Mapping'!R37-241),IF(AND('(橫掃)RX Mapping'!R37&gt;=361,'(橫掃)RX Mapping'!R37&lt;=480), (-1)*('(橫掃)RX Mapping'!R37-480),IF(AND('(橫掃)RX Mapping'!R37&gt;=481,'(橫掃)RX Mapping'!R37&lt;=600), ('(橫掃)RX Mapping'!R37-361),IF(AND('(橫掃)RX Mapping'!R37&gt;=601,'(橫掃)RX Mapping'!R37&lt;=720), (-1)*('(橫掃)RX Mapping'!R37-720)+120,IF(AND('(橫掃)RX Mapping'!R37&gt;=721,'(橫掃)RX Mapping'!R37&lt;=840), ('(橫掃)RX Mapping'!R37-601),IF(AND('(橫掃)RX Mapping'!R37&gt;=841,'(橫掃)RX Mapping'!R37&lt;=960), (-1)*('(橫掃)RX Mapping'!R37-960)+120,9999))))))))</f>
        <v>9999</v>
      </c>
      <c r="S37">
        <f>IF(AND('(橫掃)RX Mapping'!S37&gt;=1,'(橫掃)RX Mapping'!S37&lt;=120), ('(橫掃)RX Mapping'!S37-1),IF(AND('(橫掃)RX Mapping'!S37&gt;=121,'(橫掃)RX Mapping'!S37&lt;=240), (-1)*('(橫掃)RX Mapping'!S37-240),IF(AND('(橫掃)RX Mapping'!S37&gt;=241,'(橫掃)RX Mapping'!S37&lt;=360), ('(橫掃)RX Mapping'!S37-241),IF(AND('(橫掃)RX Mapping'!S37&gt;=361,'(橫掃)RX Mapping'!S37&lt;=480), (-1)*('(橫掃)RX Mapping'!S37-480),IF(AND('(橫掃)RX Mapping'!S37&gt;=481,'(橫掃)RX Mapping'!S37&lt;=600), ('(橫掃)RX Mapping'!S37-361),IF(AND('(橫掃)RX Mapping'!S37&gt;=601,'(橫掃)RX Mapping'!S37&lt;=720), (-1)*('(橫掃)RX Mapping'!S37-720)+120,IF(AND('(橫掃)RX Mapping'!S37&gt;=721,'(橫掃)RX Mapping'!S37&lt;=840), ('(橫掃)RX Mapping'!S37-601),IF(AND('(橫掃)RX Mapping'!S37&gt;=841,'(橫掃)RX Mapping'!S37&lt;=960), (-1)*('(橫掃)RX Mapping'!S37-960)+120,9999))))))))</f>
        <v>9999</v>
      </c>
      <c r="T37">
        <f>IF(AND('(橫掃)RX Mapping'!T37&gt;=1,'(橫掃)RX Mapping'!T37&lt;=120), ('(橫掃)RX Mapping'!T37-1),IF(AND('(橫掃)RX Mapping'!T37&gt;=121,'(橫掃)RX Mapping'!T37&lt;=240), (-1)*('(橫掃)RX Mapping'!T37-240),IF(AND('(橫掃)RX Mapping'!T37&gt;=241,'(橫掃)RX Mapping'!T37&lt;=360), ('(橫掃)RX Mapping'!T37-241),IF(AND('(橫掃)RX Mapping'!T37&gt;=361,'(橫掃)RX Mapping'!T37&lt;=480), (-1)*('(橫掃)RX Mapping'!T37-480),IF(AND('(橫掃)RX Mapping'!T37&gt;=481,'(橫掃)RX Mapping'!T37&lt;=600), ('(橫掃)RX Mapping'!T37-361),IF(AND('(橫掃)RX Mapping'!T37&gt;=601,'(橫掃)RX Mapping'!T37&lt;=720), (-1)*('(橫掃)RX Mapping'!T37-720)+120,IF(AND('(橫掃)RX Mapping'!T37&gt;=721,'(橫掃)RX Mapping'!T37&lt;=840), ('(橫掃)RX Mapping'!T37-601),IF(AND('(橫掃)RX Mapping'!T37&gt;=841,'(橫掃)RX Mapping'!T37&lt;=960), (-1)*('(橫掃)RX Mapping'!T37-960)+120,9999))))))))</f>
        <v>9999</v>
      </c>
      <c r="U37">
        <f>IF(AND('(橫掃)RX Mapping'!U37&gt;=1,'(橫掃)RX Mapping'!U37&lt;=120), ('(橫掃)RX Mapping'!U37-1),IF(AND('(橫掃)RX Mapping'!U37&gt;=121,'(橫掃)RX Mapping'!U37&lt;=240), (-1)*('(橫掃)RX Mapping'!U37-240),IF(AND('(橫掃)RX Mapping'!U37&gt;=241,'(橫掃)RX Mapping'!U37&lt;=360), ('(橫掃)RX Mapping'!U37-241),IF(AND('(橫掃)RX Mapping'!U37&gt;=361,'(橫掃)RX Mapping'!U37&lt;=480), (-1)*('(橫掃)RX Mapping'!U37-480),IF(AND('(橫掃)RX Mapping'!U37&gt;=481,'(橫掃)RX Mapping'!U37&lt;=600), ('(橫掃)RX Mapping'!U37-361),IF(AND('(橫掃)RX Mapping'!U37&gt;=601,'(橫掃)RX Mapping'!U37&lt;=720), (-1)*('(橫掃)RX Mapping'!U37-720)+120,IF(AND('(橫掃)RX Mapping'!U37&gt;=721,'(橫掃)RX Mapping'!U37&lt;=840), ('(橫掃)RX Mapping'!U37-601),IF(AND('(橫掃)RX Mapping'!U37&gt;=841,'(橫掃)RX Mapping'!U37&lt;=960), (-1)*('(橫掃)RX Mapping'!U37-960)+120,9999))))))))</f>
        <v>9999</v>
      </c>
      <c r="V37">
        <f>IF(AND('(橫掃)RX Mapping'!V37&gt;=1,'(橫掃)RX Mapping'!V37&lt;=120), ('(橫掃)RX Mapping'!V37-1),IF(AND('(橫掃)RX Mapping'!V37&gt;=121,'(橫掃)RX Mapping'!V37&lt;=240), (-1)*('(橫掃)RX Mapping'!V37-240),IF(AND('(橫掃)RX Mapping'!V37&gt;=241,'(橫掃)RX Mapping'!V37&lt;=360), ('(橫掃)RX Mapping'!V37-241),IF(AND('(橫掃)RX Mapping'!V37&gt;=361,'(橫掃)RX Mapping'!V37&lt;=480), (-1)*('(橫掃)RX Mapping'!V37-480),IF(AND('(橫掃)RX Mapping'!V37&gt;=481,'(橫掃)RX Mapping'!V37&lt;=600), ('(橫掃)RX Mapping'!V37-361),IF(AND('(橫掃)RX Mapping'!V37&gt;=601,'(橫掃)RX Mapping'!V37&lt;=720), (-1)*('(橫掃)RX Mapping'!V37-720)+120,IF(AND('(橫掃)RX Mapping'!V37&gt;=721,'(橫掃)RX Mapping'!V37&lt;=840), ('(橫掃)RX Mapping'!V37-601),IF(AND('(橫掃)RX Mapping'!V37&gt;=841,'(橫掃)RX Mapping'!V37&lt;=960), (-1)*('(橫掃)RX Mapping'!V37-960)+120,9999))))))))</f>
        <v>9999</v>
      </c>
      <c r="W37">
        <f>IF(AND('(橫掃)RX Mapping'!W37&gt;=1,'(橫掃)RX Mapping'!W37&lt;=120), ('(橫掃)RX Mapping'!W37-1),IF(AND('(橫掃)RX Mapping'!W37&gt;=121,'(橫掃)RX Mapping'!W37&lt;=240), (-1)*('(橫掃)RX Mapping'!W37-240),IF(AND('(橫掃)RX Mapping'!W37&gt;=241,'(橫掃)RX Mapping'!W37&lt;=360), ('(橫掃)RX Mapping'!W37-241),IF(AND('(橫掃)RX Mapping'!W37&gt;=361,'(橫掃)RX Mapping'!W37&lt;=480), (-1)*('(橫掃)RX Mapping'!W37-480),IF(AND('(橫掃)RX Mapping'!W37&gt;=481,'(橫掃)RX Mapping'!W37&lt;=600), ('(橫掃)RX Mapping'!W37-361),IF(AND('(橫掃)RX Mapping'!W37&gt;=601,'(橫掃)RX Mapping'!W37&lt;=720), (-1)*('(橫掃)RX Mapping'!W37-720)+120,IF(AND('(橫掃)RX Mapping'!W37&gt;=721,'(橫掃)RX Mapping'!W37&lt;=840), ('(橫掃)RX Mapping'!W37-601),IF(AND('(橫掃)RX Mapping'!W37&gt;=841,'(橫掃)RX Mapping'!W37&lt;=960), (-1)*('(橫掃)RX Mapping'!W37-960)+120,9999))))))))</f>
        <v>9999</v>
      </c>
      <c r="X37">
        <f>IF(AND('(橫掃)RX Mapping'!X37&gt;=1,'(橫掃)RX Mapping'!X37&lt;=120), ('(橫掃)RX Mapping'!X37-1),IF(AND('(橫掃)RX Mapping'!X37&gt;=121,'(橫掃)RX Mapping'!X37&lt;=240), (-1)*('(橫掃)RX Mapping'!X37-240),IF(AND('(橫掃)RX Mapping'!X37&gt;=241,'(橫掃)RX Mapping'!X37&lt;=360), ('(橫掃)RX Mapping'!X37-241),IF(AND('(橫掃)RX Mapping'!X37&gt;=361,'(橫掃)RX Mapping'!X37&lt;=480), (-1)*('(橫掃)RX Mapping'!X37-480),IF(AND('(橫掃)RX Mapping'!X37&gt;=481,'(橫掃)RX Mapping'!X37&lt;=600), ('(橫掃)RX Mapping'!X37-361),IF(AND('(橫掃)RX Mapping'!X37&gt;=601,'(橫掃)RX Mapping'!X37&lt;=720), (-1)*('(橫掃)RX Mapping'!X37-720)+120,IF(AND('(橫掃)RX Mapping'!X37&gt;=721,'(橫掃)RX Mapping'!X37&lt;=840), ('(橫掃)RX Mapping'!X37-601),IF(AND('(橫掃)RX Mapping'!X37&gt;=841,'(橫掃)RX Mapping'!X37&lt;=960), (-1)*('(橫掃)RX Mapping'!X37-960)+120,9999))))))))</f>
        <v>9999</v>
      </c>
      <c r="Y37">
        <f>IF(AND('(橫掃)RX Mapping'!Y37&gt;=1,'(橫掃)RX Mapping'!Y37&lt;=120), ('(橫掃)RX Mapping'!Y37-1),IF(AND('(橫掃)RX Mapping'!Y37&gt;=121,'(橫掃)RX Mapping'!Y37&lt;=240), (-1)*('(橫掃)RX Mapping'!Y37-240),IF(AND('(橫掃)RX Mapping'!Y37&gt;=241,'(橫掃)RX Mapping'!Y37&lt;=360), ('(橫掃)RX Mapping'!Y37-241),IF(AND('(橫掃)RX Mapping'!Y37&gt;=361,'(橫掃)RX Mapping'!Y37&lt;=480), (-1)*('(橫掃)RX Mapping'!Y37-480),IF(AND('(橫掃)RX Mapping'!Y37&gt;=481,'(橫掃)RX Mapping'!Y37&lt;=600), ('(橫掃)RX Mapping'!Y37-361),IF(AND('(橫掃)RX Mapping'!Y37&gt;=601,'(橫掃)RX Mapping'!Y37&lt;=720), (-1)*('(橫掃)RX Mapping'!Y37-720)+120,IF(AND('(橫掃)RX Mapping'!Y37&gt;=721,'(橫掃)RX Mapping'!Y37&lt;=840), ('(橫掃)RX Mapping'!Y37-601),IF(AND('(橫掃)RX Mapping'!Y37&gt;=841,'(橫掃)RX Mapping'!Y37&lt;=960), (-1)*('(橫掃)RX Mapping'!Y37-960)+120,9999))))))))</f>
        <v>9999</v>
      </c>
      <c r="Z37">
        <f>IF(AND('(橫掃)RX Mapping'!Z37&gt;=1,'(橫掃)RX Mapping'!Z37&lt;=120), ('(橫掃)RX Mapping'!Z37-1),IF(AND('(橫掃)RX Mapping'!Z37&gt;=121,'(橫掃)RX Mapping'!Z37&lt;=240), (-1)*('(橫掃)RX Mapping'!Z37-240),IF(AND('(橫掃)RX Mapping'!Z37&gt;=241,'(橫掃)RX Mapping'!Z37&lt;=360), ('(橫掃)RX Mapping'!Z37-241),IF(AND('(橫掃)RX Mapping'!Z37&gt;=361,'(橫掃)RX Mapping'!Z37&lt;=480), (-1)*('(橫掃)RX Mapping'!Z37-480),IF(AND('(橫掃)RX Mapping'!Z37&gt;=481,'(橫掃)RX Mapping'!Z37&lt;=600), ('(橫掃)RX Mapping'!Z37-361),IF(AND('(橫掃)RX Mapping'!Z37&gt;=601,'(橫掃)RX Mapping'!Z37&lt;=720), (-1)*('(橫掃)RX Mapping'!Z37-720)+120,IF(AND('(橫掃)RX Mapping'!Z37&gt;=721,'(橫掃)RX Mapping'!Z37&lt;=840), ('(橫掃)RX Mapping'!Z37-601),IF(AND('(橫掃)RX Mapping'!Z37&gt;=841,'(橫掃)RX Mapping'!Z37&lt;=960), (-1)*('(橫掃)RX Mapping'!Z37-960)+120,9999))))))))</f>
        <v>9999</v>
      </c>
      <c r="AA37">
        <f>IF(AND('(橫掃)RX Mapping'!AA37&gt;=1,'(橫掃)RX Mapping'!AA37&lt;=120), ('(橫掃)RX Mapping'!AA37-1),IF(AND('(橫掃)RX Mapping'!AA37&gt;=121,'(橫掃)RX Mapping'!AA37&lt;=240), (-1)*('(橫掃)RX Mapping'!AA37-240),IF(AND('(橫掃)RX Mapping'!AA37&gt;=241,'(橫掃)RX Mapping'!AA37&lt;=360), ('(橫掃)RX Mapping'!AA37-241),IF(AND('(橫掃)RX Mapping'!AA37&gt;=361,'(橫掃)RX Mapping'!AA37&lt;=480), (-1)*('(橫掃)RX Mapping'!AA37-480),IF(AND('(橫掃)RX Mapping'!AA37&gt;=481,'(橫掃)RX Mapping'!AA37&lt;=600), ('(橫掃)RX Mapping'!AA37-361),IF(AND('(橫掃)RX Mapping'!AA37&gt;=601,'(橫掃)RX Mapping'!AA37&lt;=720), (-1)*('(橫掃)RX Mapping'!AA37-720)+120,IF(AND('(橫掃)RX Mapping'!AA37&gt;=721,'(橫掃)RX Mapping'!AA37&lt;=840), ('(橫掃)RX Mapping'!AA37-601),IF(AND('(橫掃)RX Mapping'!AA37&gt;=841,'(橫掃)RX Mapping'!AA37&lt;=960), (-1)*('(橫掃)RX Mapping'!AA37-960)+120,9999))))))))</f>
        <v>9999</v>
      </c>
      <c r="AB37">
        <f>IF(AND('(橫掃)RX Mapping'!AB37&gt;=1,'(橫掃)RX Mapping'!AB37&lt;=120), ('(橫掃)RX Mapping'!AB37-1),IF(AND('(橫掃)RX Mapping'!AB37&gt;=121,'(橫掃)RX Mapping'!AB37&lt;=240), (-1)*('(橫掃)RX Mapping'!AB37-240),IF(AND('(橫掃)RX Mapping'!AB37&gt;=241,'(橫掃)RX Mapping'!AB37&lt;=360), ('(橫掃)RX Mapping'!AB37-241),IF(AND('(橫掃)RX Mapping'!AB37&gt;=361,'(橫掃)RX Mapping'!AB37&lt;=480), (-1)*('(橫掃)RX Mapping'!AB37-480),IF(AND('(橫掃)RX Mapping'!AB37&gt;=481,'(橫掃)RX Mapping'!AB37&lt;=600), ('(橫掃)RX Mapping'!AB37-361),IF(AND('(橫掃)RX Mapping'!AB37&gt;=601,'(橫掃)RX Mapping'!AB37&lt;=720), (-1)*('(橫掃)RX Mapping'!AB37-720)+120,IF(AND('(橫掃)RX Mapping'!AB37&gt;=721,'(橫掃)RX Mapping'!AB37&lt;=840), ('(橫掃)RX Mapping'!AB37-601),IF(AND('(橫掃)RX Mapping'!AB37&gt;=841,'(橫掃)RX Mapping'!AB37&lt;=960), (-1)*('(橫掃)RX Mapping'!AB37-960)+120,9999))))))))</f>
        <v>9999</v>
      </c>
      <c r="AC37">
        <f>IF(AND('(橫掃)RX Mapping'!AC37&gt;=1,'(橫掃)RX Mapping'!AC37&lt;=120), ('(橫掃)RX Mapping'!AC37-1),IF(AND('(橫掃)RX Mapping'!AC37&gt;=121,'(橫掃)RX Mapping'!AC37&lt;=240), (-1)*('(橫掃)RX Mapping'!AC37-240),IF(AND('(橫掃)RX Mapping'!AC37&gt;=241,'(橫掃)RX Mapping'!AC37&lt;=360), ('(橫掃)RX Mapping'!AC37-241),IF(AND('(橫掃)RX Mapping'!AC37&gt;=361,'(橫掃)RX Mapping'!AC37&lt;=480), (-1)*('(橫掃)RX Mapping'!AC37-480),IF(AND('(橫掃)RX Mapping'!AC37&gt;=481,'(橫掃)RX Mapping'!AC37&lt;=600), ('(橫掃)RX Mapping'!AC37-361),IF(AND('(橫掃)RX Mapping'!AC37&gt;=601,'(橫掃)RX Mapping'!AC37&lt;=720), (-1)*('(橫掃)RX Mapping'!AC37-720)+120,IF(AND('(橫掃)RX Mapping'!AC37&gt;=721,'(橫掃)RX Mapping'!AC37&lt;=840), ('(橫掃)RX Mapping'!AC37-601),IF(AND('(橫掃)RX Mapping'!AC37&gt;=841,'(橫掃)RX Mapping'!AC37&lt;=960), (-1)*('(橫掃)RX Mapping'!AC37-960)+120,9999))))))))</f>
        <v>9999</v>
      </c>
      <c r="AD37">
        <f>IF(AND('(橫掃)RX Mapping'!AD37&gt;=1,'(橫掃)RX Mapping'!AD37&lt;=120), ('(橫掃)RX Mapping'!AD37-1),IF(AND('(橫掃)RX Mapping'!AD37&gt;=121,'(橫掃)RX Mapping'!AD37&lt;=240), (-1)*('(橫掃)RX Mapping'!AD37-240),IF(AND('(橫掃)RX Mapping'!AD37&gt;=241,'(橫掃)RX Mapping'!AD37&lt;=360), ('(橫掃)RX Mapping'!AD37-241),IF(AND('(橫掃)RX Mapping'!AD37&gt;=361,'(橫掃)RX Mapping'!AD37&lt;=480), (-1)*('(橫掃)RX Mapping'!AD37-480),IF(AND('(橫掃)RX Mapping'!AD37&gt;=481,'(橫掃)RX Mapping'!AD37&lt;=600), ('(橫掃)RX Mapping'!AD37-361),IF(AND('(橫掃)RX Mapping'!AD37&gt;=601,'(橫掃)RX Mapping'!AD37&lt;=720), (-1)*('(橫掃)RX Mapping'!AD37-720)+120,IF(AND('(橫掃)RX Mapping'!AD37&gt;=721,'(橫掃)RX Mapping'!AD37&lt;=840), ('(橫掃)RX Mapping'!AD37-601),IF(AND('(橫掃)RX Mapping'!AD37&gt;=841,'(橫掃)RX Mapping'!AD37&lt;=960), (-1)*('(橫掃)RX Mapping'!AD37-960)+120,9999))))))))</f>
        <v>9999</v>
      </c>
      <c r="AE37">
        <f>IF(AND('(橫掃)RX Mapping'!AE37&gt;=1,'(橫掃)RX Mapping'!AE37&lt;=120), ('(橫掃)RX Mapping'!AE37-1),IF(AND('(橫掃)RX Mapping'!AE37&gt;=121,'(橫掃)RX Mapping'!AE37&lt;=240), (-1)*('(橫掃)RX Mapping'!AE37-240),IF(AND('(橫掃)RX Mapping'!AE37&gt;=241,'(橫掃)RX Mapping'!AE37&lt;=360), ('(橫掃)RX Mapping'!AE37-241),IF(AND('(橫掃)RX Mapping'!AE37&gt;=361,'(橫掃)RX Mapping'!AE37&lt;=480), (-1)*('(橫掃)RX Mapping'!AE37-480),IF(AND('(橫掃)RX Mapping'!AE37&gt;=481,'(橫掃)RX Mapping'!AE37&lt;=600), ('(橫掃)RX Mapping'!AE37-361),IF(AND('(橫掃)RX Mapping'!AE37&gt;=601,'(橫掃)RX Mapping'!AE37&lt;=720), (-1)*('(橫掃)RX Mapping'!AE37-720)+120,IF(AND('(橫掃)RX Mapping'!AE37&gt;=721,'(橫掃)RX Mapping'!AE37&lt;=840), ('(橫掃)RX Mapping'!AE37-601),IF(AND('(橫掃)RX Mapping'!AE37&gt;=841,'(橫掃)RX Mapping'!AE37&lt;=960), (-1)*('(橫掃)RX Mapping'!AE37-960)+120,9999))))))))</f>
        <v>9999</v>
      </c>
      <c r="AF37">
        <f>IF(AND('(橫掃)RX Mapping'!AF37&gt;=1,'(橫掃)RX Mapping'!AF37&lt;=120), ('(橫掃)RX Mapping'!AF37-1),IF(AND('(橫掃)RX Mapping'!AF37&gt;=121,'(橫掃)RX Mapping'!AF37&lt;=240), (-1)*('(橫掃)RX Mapping'!AF37-240),IF(AND('(橫掃)RX Mapping'!AF37&gt;=241,'(橫掃)RX Mapping'!AF37&lt;=360), ('(橫掃)RX Mapping'!AF37-241),IF(AND('(橫掃)RX Mapping'!AF37&gt;=361,'(橫掃)RX Mapping'!AF37&lt;=480), (-1)*('(橫掃)RX Mapping'!AF37-480),IF(AND('(橫掃)RX Mapping'!AF37&gt;=481,'(橫掃)RX Mapping'!AF37&lt;=600), ('(橫掃)RX Mapping'!AF37-361),IF(AND('(橫掃)RX Mapping'!AF37&gt;=601,'(橫掃)RX Mapping'!AF37&lt;=720), (-1)*('(橫掃)RX Mapping'!AF37-720)+120,IF(AND('(橫掃)RX Mapping'!AF37&gt;=721,'(橫掃)RX Mapping'!AF37&lt;=840), ('(橫掃)RX Mapping'!AF37-601),IF(AND('(橫掃)RX Mapping'!AF37&gt;=841,'(橫掃)RX Mapping'!AF37&lt;=960), (-1)*('(橫掃)RX Mapping'!AF37-960)+120,9999))))))))</f>
        <v>9999</v>
      </c>
      <c r="AG37">
        <f>IF(AND('(橫掃)RX Mapping'!AG37&gt;=1,'(橫掃)RX Mapping'!AG37&lt;=120), ('(橫掃)RX Mapping'!AG37-1),IF(AND('(橫掃)RX Mapping'!AG37&gt;=121,'(橫掃)RX Mapping'!AG37&lt;=240), (-1)*('(橫掃)RX Mapping'!AG37-240),IF(AND('(橫掃)RX Mapping'!AG37&gt;=241,'(橫掃)RX Mapping'!AG37&lt;=360), ('(橫掃)RX Mapping'!AG37-241),IF(AND('(橫掃)RX Mapping'!AG37&gt;=361,'(橫掃)RX Mapping'!AG37&lt;=480), (-1)*('(橫掃)RX Mapping'!AG37-480),IF(AND('(橫掃)RX Mapping'!AG37&gt;=481,'(橫掃)RX Mapping'!AG37&lt;=600), ('(橫掃)RX Mapping'!AG37-361),IF(AND('(橫掃)RX Mapping'!AG37&gt;=601,'(橫掃)RX Mapping'!AG37&lt;=720), (-1)*('(橫掃)RX Mapping'!AG37-720)+120,IF(AND('(橫掃)RX Mapping'!AG37&gt;=721,'(橫掃)RX Mapping'!AG37&lt;=840), ('(橫掃)RX Mapping'!AG37-601),IF(AND('(橫掃)RX Mapping'!AG37&gt;=841,'(橫掃)RX Mapping'!AG37&lt;=960), (-1)*('(橫掃)RX Mapping'!AG37-960)+120,9999))))))))</f>
        <v>9999</v>
      </c>
      <c r="AH37">
        <f>IF(AND('(橫掃)RX Mapping'!AH37&gt;=1,'(橫掃)RX Mapping'!AH37&lt;=120), ('(橫掃)RX Mapping'!AH37-1),IF(AND('(橫掃)RX Mapping'!AH37&gt;=121,'(橫掃)RX Mapping'!AH37&lt;=240), (-1)*('(橫掃)RX Mapping'!AH37-240),IF(AND('(橫掃)RX Mapping'!AH37&gt;=241,'(橫掃)RX Mapping'!AH37&lt;=360), ('(橫掃)RX Mapping'!AH37-241),IF(AND('(橫掃)RX Mapping'!AH37&gt;=361,'(橫掃)RX Mapping'!AH37&lt;=480), (-1)*('(橫掃)RX Mapping'!AH37-480),IF(AND('(橫掃)RX Mapping'!AH37&gt;=481,'(橫掃)RX Mapping'!AH37&lt;=600), ('(橫掃)RX Mapping'!AH37-361),IF(AND('(橫掃)RX Mapping'!AH37&gt;=601,'(橫掃)RX Mapping'!AH37&lt;=720), (-1)*('(橫掃)RX Mapping'!AH37-720)+120,IF(AND('(橫掃)RX Mapping'!AH37&gt;=721,'(橫掃)RX Mapping'!AH37&lt;=840), ('(橫掃)RX Mapping'!AH37-601),IF(AND('(橫掃)RX Mapping'!AH37&gt;=841,'(橫掃)RX Mapping'!AH37&lt;=960), (-1)*('(橫掃)RX Mapping'!AH37-960)+120,9999))))))))</f>
        <v>9999</v>
      </c>
      <c r="AI37">
        <f>IF(AND('(橫掃)RX Mapping'!AI37&gt;=1,'(橫掃)RX Mapping'!AI37&lt;=120), ('(橫掃)RX Mapping'!AI37-1),IF(AND('(橫掃)RX Mapping'!AI37&gt;=121,'(橫掃)RX Mapping'!AI37&lt;=240), (-1)*('(橫掃)RX Mapping'!AI37-240),IF(AND('(橫掃)RX Mapping'!AI37&gt;=241,'(橫掃)RX Mapping'!AI37&lt;=360), ('(橫掃)RX Mapping'!AI37-241),IF(AND('(橫掃)RX Mapping'!AI37&gt;=361,'(橫掃)RX Mapping'!AI37&lt;=480), (-1)*('(橫掃)RX Mapping'!AI37-480),IF(AND('(橫掃)RX Mapping'!AI37&gt;=481,'(橫掃)RX Mapping'!AI37&lt;=600), ('(橫掃)RX Mapping'!AI37-361),IF(AND('(橫掃)RX Mapping'!AI37&gt;=601,'(橫掃)RX Mapping'!AI37&lt;=720), (-1)*('(橫掃)RX Mapping'!AI37-720)+120,IF(AND('(橫掃)RX Mapping'!AI37&gt;=721,'(橫掃)RX Mapping'!AI37&lt;=840), ('(橫掃)RX Mapping'!AI37-601),IF(AND('(橫掃)RX Mapping'!AI37&gt;=841,'(橫掃)RX Mapping'!AI37&lt;=960), (-1)*('(橫掃)RX Mapping'!AI37-960)+120,9999))))))))</f>
        <v>9999</v>
      </c>
      <c r="AJ37">
        <f>IF(AND('(橫掃)RX Mapping'!AJ37&gt;=1,'(橫掃)RX Mapping'!AJ37&lt;=120), ('(橫掃)RX Mapping'!AJ37-1),IF(AND('(橫掃)RX Mapping'!AJ37&gt;=121,'(橫掃)RX Mapping'!AJ37&lt;=240), (-1)*('(橫掃)RX Mapping'!AJ37-240),IF(AND('(橫掃)RX Mapping'!AJ37&gt;=241,'(橫掃)RX Mapping'!AJ37&lt;=360), ('(橫掃)RX Mapping'!AJ37-241),IF(AND('(橫掃)RX Mapping'!AJ37&gt;=361,'(橫掃)RX Mapping'!AJ37&lt;=480), (-1)*('(橫掃)RX Mapping'!AJ37-480),IF(AND('(橫掃)RX Mapping'!AJ37&gt;=481,'(橫掃)RX Mapping'!AJ37&lt;=600), ('(橫掃)RX Mapping'!AJ37-361),IF(AND('(橫掃)RX Mapping'!AJ37&gt;=601,'(橫掃)RX Mapping'!AJ37&lt;=720), (-1)*('(橫掃)RX Mapping'!AJ37-720)+120,IF(AND('(橫掃)RX Mapping'!AJ37&gt;=721,'(橫掃)RX Mapping'!AJ37&lt;=840), ('(橫掃)RX Mapping'!AJ37-601),IF(AND('(橫掃)RX Mapping'!AJ37&gt;=841,'(橫掃)RX Mapping'!AJ37&lt;=960), (-1)*('(橫掃)RX Mapping'!AJ37-960)+120,9999))))))))</f>
        <v>9999</v>
      </c>
      <c r="AK37">
        <f>IF(AND('(橫掃)RX Mapping'!AK37&gt;=1,'(橫掃)RX Mapping'!AK37&lt;=120), ('(橫掃)RX Mapping'!AK37-1),IF(AND('(橫掃)RX Mapping'!AK37&gt;=121,'(橫掃)RX Mapping'!AK37&lt;=240), (-1)*('(橫掃)RX Mapping'!AK37-240),IF(AND('(橫掃)RX Mapping'!AK37&gt;=241,'(橫掃)RX Mapping'!AK37&lt;=360), ('(橫掃)RX Mapping'!AK37-241),IF(AND('(橫掃)RX Mapping'!AK37&gt;=361,'(橫掃)RX Mapping'!AK37&lt;=480), (-1)*('(橫掃)RX Mapping'!AK37-480),IF(AND('(橫掃)RX Mapping'!AK37&gt;=481,'(橫掃)RX Mapping'!AK37&lt;=600), ('(橫掃)RX Mapping'!AK37-361),IF(AND('(橫掃)RX Mapping'!AK37&gt;=601,'(橫掃)RX Mapping'!AK37&lt;=720), (-1)*('(橫掃)RX Mapping'!AK37-720)+120,IF(AND('(橫掃)RX Mapping'!AK37&gt;=721,'(橫掃)RX Mapping'!AK37&lt;=840), ('(橫掃)RX Mapping'!AK37-601),IF(AND('(橫掃)RX Mapping'!AK37&gt;=841,'(橫掃)RX Mapping'!AK37&lt;=960), (-1)*('(橫掃)RX Mapping'!AK37-960)+120,9999))))))))</f>
        <v>9999</v>
      </c>
      <c r="AL37">
        <f>IF(AND('(橫掃)RX Mapping'!AL37&gt;=1,'(橫掃)RX Mapping'!AL37&lt;=120), ('(橫掃)RX Mapping'!AL37-1),IF(AND('(橫掃)RX Mapping'!AL37&gt;=121,'(橫掃)RX Mapping'!AL37&lt;=240), (-1)*('(橫掃)RX Mapping'!AL37-240),IF(AND('(橫掃)RX Mapping'!AL37&gt;=241,'(橫掃)RX Mapping'!AL37&lt;=360), ('(橫掃)RX Mapping'!AL37-241),IF(AND('(橫掃)RX Mapping'!AL37&gt;=361,'(橫掃)RX Mapping'!AL37&lt;=480), (-1)*('(橫掃)RX Mapping'!AL37-480),IF(AND('(橫掃)RX Mapping'!AL37&gt;=481,'(橫掃)RX Mapping'!AL37&lt;=600), ('(橫掃)RX Mapping'!AL37-361),IF(AND('(橫掃)RX Mapping'!AL37&gt;=601,'(橫掃)RX Mapping'!AL37&lt;=720), (-1)*('(橫掃)RX Mapping'!AL37-720)+120,IF(AND('(橫掃)RX Mapping'!AL37&gt;=721,'(橫掃)RX Mapping'!AL37&lt;=840), ('(橫掃)RX Mapping'!AL37-601),IF(AND('(橫掃)RX Mapping'!AL37&gt;=841,'(橫掃)RX Mapping'!AL37&lt;=960), (-1)*('(橫掃)RX Mapping'!AL37-960)+120,9999))))))))</f>
        <v>9999</v>
      </c>
      <c r="AM37">
        <f>IF(AND('(橫掃)RX Mapping'!AM37&gt;=1,'(橫掃)RX Mapping'!AM37&lt;=120), ('(橫掃)RX Mapping'!AM37-1),IF(AND('(橫掃)RX Mapping'!AM37&gt;=121,'(橫掃)RX Mapping'!AM37&lt;=240), (-1)*('(橫掃)RX Mapping'!AM37-240),IF(AND('(橫掃)RX Mapping'!AM37&gt;=241,'(橫掃)RX Mapping'!AM37&lt;=360), ('(橫掃)RX Mapping'!AM37-241),IF(AND('(橫掃)RX Mapping'!AM37&gt;=361,'(橫掃)RX Mapping'!AM37&lt;=480), (-1)*('(橫掃)RX Mapping'!AM37-480),IF(AND('(橫掃)RX Mapping'!AM37&gt;=481,'(橫掃)RX Mapping'!AM37&lt;=600), ('(橫掃)RX Mapping'!AM37-361),IF(AND('(橫掃)RX Mapping'!AM37&gt;=601,'(橫掃)RX Mapping'!AM37&lt;=720), (-1)*('(橫掃)RX Mapping'!AM37-720)+120,IF(AND('(橫掃)RX Mapping'!AM37&gt;=721,'(橫掃)RX Mapping'!AM37&lt;=840), ('(橫掃)RX Mapping'!AM37-601),IF(AND('(橫掃)RX Mapping'!AM37&gt;=841,'(橫掃)RX Mapping'!AM37&lt;=960), (-1)*('(橫掃)RX Mapping'!AM37-960)+120,9999))))))))</f>
        <v>9999</v>
      </c>
      <c r="AN37">
        <f>IF(AND('(橫掃)RX Mapping'!AN37&gt;=1,'(橫掃)RX Mapping'!AN37&lt;=120), ('(橫掃)RX Mapping'!AN37-1),IF(AND('(橫掃)RX Mapping'!AN37&gt;=121,'(橫掃)RX Mapping'!AN37&lt;=240), (-1)*('(橫掃)RX Mapping'!AN37-240),IF(AND('(橫掃)RX Mapping'!AN37&gt;=241,'(橫掃)RX Mapping'!AN37&lt;=360), ('(橫掃)RX Mapping'!AN37-241),IF(AND('(橫掃)RX Mapping'!AN37&gt;=361,'(橫掃)RX Mapping'!AN37&lt;=480), (-1)*('(橫掃)RX Mapping'!AN37-480),IF(AND('(橫掃)RX Mapping'!AN37&gt;=481,'(橫掃)RX Mapping'!AN37&lt;=600), ('(橫掃)RX Mapping'!AN37-361),IF(AND('(橫掃)RX Mapping'!AN37&gt;=601,'(橫掃)RX Mapping'!AN37&lt;=720), (-1)*('(橫掃)RX Mapping'!AN37-720)+120,IF(AND('(橫掃)RX Mapping'!AN37&gt;=721,'(橫掃)RX Mapping'!AN37&lt;=840), ('(橫掃)RX Mapping'!AN37-601),IF(AND('(橫掃)RX Mapping'!AN37&gt;=841,'(橫掃)RX Mapping'!AN37&lt;=960), (-1)*('(橫掃)RX Mapping'!AN37-960)+120,9999))))))))</f>
        <v>9999</v>
      </c>
      <c r="AO37">
        <f>IF(AND('(橫掃)RX Mapping'!AO37&gt;=1,'(橫掃)RX Mapping'!AO37&lt;=120), ('(橫掃)RX Mapping'!AO37-1),IF(AND('(橫掃)RX Mapping'!AO37&gt;=121,'(橫掃)RX Mapping'!AO37&lt;=240), (-1)*('(橫掃)RX Mapping'!AO37-240),IF(AND('(橫掃)RX Mapping'!AO37&gt;=241,'(橫掃)RX Mapping'!AO37&lt;=360), ('(橫掃)RX Mapping'!AO37-241),IF(AND('(橫掃)RX Mapping'!AO37&gt;=361,'(橫掃)RX Mapping'!AO37&lt;=480), (-1)*('(橫掃)RX Mapping'!AO37-480),IF(AND('(橫掃)RX Mapping'!AO37&gt;=481,'(橫掃)RX Mapping'!AO37&lt;=600), ('(橫掃)RX Mapping'!AO37-361),IF(AND('(橫掃)RX Mapping'!AO37&gt;=601,'(橫掃)RX Mapping'!AO37&lt;=720), (-1)*('(橫掃)RX Mapping'!AO37-720)+120,IF(AND('(橫掃)RX Mapping'!AO37&gt;=721,'(橫掃)RX Mapping'!AO37&lt;=840), ('(橫掃)RX Mapping'!AO37-601),IF(AND('(橫掃)RX Mapping'!AO37&gt;=841,'(橫掃)RX Mapping'!AO37&lt;=960), (-1)*('(橫掃)RX Mapping'!AO37-960)+120,9999))))))))</f>
        <v>9999</v>
      </c>
      <c r="AP37">
        <f>IF(AND('(橫掃)RX Mapping'!AP37&gt;=1,'(橫掃)RX Mapping'!AP37&lt;=120), ('(橫掃)RX Mapping'!AP37-1),IF(AND('(橫掃)RX Mapping'!AP37&gt;=121,'(橫掃)RX Mapping'!AP37&lt;=240), (-1)*('(橫掃)RX Mapping'!AP37-240),IF(AND('(橫掃)RX Mapping'!AP37&gt;=241,'(橫掃)RX Mapping'!AP37&lt;=360), ('(橫掃)RX Mapping'!AP37-241),IF(AND('(橫掃)RX Mapping'!AP37&gt;=361,'(橫掃)RX Mapping'!AP37&lt;=480), (-1)*('(橫掃)RX Mapping'!AP37-480),IF(AND('(橫掃)RX Mapping'!AP37&gt;=481,'(橫掃)RX Mapping'!AP37&lt;=600), ('(橫掃)RX Mapping'!AP37-361),IF(AND('(橫掃)RX Mapping'!AP37&gt;=601,'(橫掃)RX Mapping'!AP37&lt;=720), (-1)*('(橫掃)RX Mapping'!AP37-720)+120,IF(AND('(橫掃)RX Mapping'!AP37&gt;=721,'(橫掃)RX Mapping'!AP37&lt;=840), ('(橫掃)RX Mapping'!AP37-601),IF(AND('(橫掃)RX Mapping'!AP37&gt;=841,'(橫掃)RX Mapping'!AP37&lt;=960), (-1)*('(橫掃)RX Mapping'!AP37-960)+120,9999))))))))</f>
        <v>9999</v>
      </c>
      <c r="AQ37">
        <f>IF(AND('(橫掃)RX Mapping'!AQ37&gt;=1,'(橫掃)RX Mapping'!AQ37&lt;=120), ('(橫掃)RX Mapping'!AQ37-1),IF(AND('(橫掃)RX Mapping'!AQ37&gt;=121,'(橫掃)RX Mapping'!AQ37&lt;=240), (-1)*('(橫掃)RX Mapping'!AQ37-240),IF(AND('(橫掃)RX Mapping'!AQ37&gt;=241,'(橫掃)RX Mapping'!AQ37&lt;=360), ('(橫掃)RX Mapping'!AQ37-241),IF(AND('(橫掃)RX Mapping'!AQ37&gt;=361,'(橫掃)RX Mapping'!AQ37&lt;=480), (-1)*('(橫掃)RX Mapping'!AQ37-480),IF(AND('(橫掃)RX Mapping'!AQ37&gt;=481,'(橫掃)RX Mapping'!AQ37&lt;=600), ('(橫掃)RX Mapping'!AQ37-361),IF(AND('(橫掃)RX Mapping'!AQ37&gt;=601,'(橫掃)RX Mapping'!AQ37&lt;=720), (-1)*('(橫掃)RX Mapping'!AQ37-720)+120,IF(AND('(橫掃)RX Mapping'!AQ37&gt;=721,'(橫掃)RX Mapping'!AQ37&lt;=840), ('(橫掃)RX Mapping'!AQ37-601),IF(AND('(橫掃)RX Mapping'!AQ37&gt;=841,'(橫掃)RX Mapping'!AQ37&lt;=960), (-1)*('(橫掃)RX Mapping'!AQ37-960)+120,9999))))))))</f>
        <v>9999</v>
      </c>
      <c r="AR37">
        <f>IF(AND('(橫掃)RX Mapping'!AR37&gt;=1,'(橫掃)RX Mapping'!AR37&lt;=120), ('(橫掃)RX Mapping'!AR37-1),IF(AND('(橫掃)RX Mapping'!AR37&gt;=121,'(橫掃)RX Mapping'!AR37&lt;=240), (-1)*('(橫掃)RX Mapping'!AR37-240),IF(AND('(橫掃)RX Mapping'!AR37&gt;=241,'(橫掃)RX Mapping'!AR37&lt;=360), ('(橫掃)RX Mapping'!AR37-241),IF(AND('(橫掃)RX Mapping'!AR37&gt;=361,'(橫掃)RX Mapping'!AR37&lt;=480), (-1)*('(橫掃)RX Mapping'!AR37-480),IF(AND('(橫掃)RX Mapping'!AR37&gt;=481,'(橫掃)RX Mapping'!AR37&lt;=600), ('(橫掃)RX Mapping'!AR37-361),IF(AND('(橫掃)RX Mapping'!AR37&gt;=601,'(橫掃)RX Mapping'!AR37&lt;=720), (-1)*('(橫掃)RX Mapping'!AR37-720)+120,IF(AND('(橫掃)RX Mapping'!AR37&gt;=721,'(橫掃)RX Mapping'!AR37&lt;=840), ('(橫掃)RX Mapping'!AR37-601),IF(AND('(橫掃)RX Mapping'!AR37&gt;=841,'(橫掃)RX Mapping'!AR37&lt;=960), (-1)*('(橫掃)RX Mapping'!AR37-960)+120,9999))))))))</f>
        <v>9999</v>
      </c>
      <c r="AS37">
        <f>IF(AND('(橫掃)RX Mapping'!AS37&gt;=1,'(橫掃)RX Mapping'!AS37&lt;=120), ('(橫掃)RX Mapping'!AS37-1),IF(AND('(橫掃)RX Mapping'!AS37&gt;=121,'(橫掃)RX Mapping'!AS37&lt;=240), (-1)*('(橫掃)RX Mapping'!AS37-240),IF(AND('(橫掃)RX Mapping'!AS37&gt;=241,'(橫掃)RX Mapping'!AS37&lt;=360), ('(橫掃)RX Mapping'!AS37-241),IF(AND('(橫掃)RX Mapping'!AS37&gt;=361,'(橫掃)RX Mapping'!AS37&lt;=480), (-1)*('(橫掃)RX Mapping'!AS37-480),IF(AND('(橫掃)RX Mapping'!AS37&gt;=481,'(橫掃)RX Mapping'!AS37&lt;=600), ('(橫掃)RX Mapping'!AS37-361),IF(AND('(橫掃)RX Mapping'!AS37&gt;=601,'(橫掃)RX Mapping'!AS37&lt;=720), (-1)*('(橫掃)RX Mapping'!AS37-720)+120,IF(AND('(橫掃)RX Mapping'!AS37&gt;=721,'(橫掃)RX Mapping'!AS37&lt;=840), ('(橫掃)RX Mapping'!AS37-601),IF(AND('(橫掃)RX Mapping'!AS37&gt;=841,'(橫掃)RX Mapping'!AS37&lt;=960), (-1)*('(橫掃)RX Mapping'!AS37-960)+120,9999))))))))</f>
        <v>9999</v>
      </c>
      <c r="AT37">
        <f>IF(AND('(橫掃)RX Mapping'!AT37&gt;=1,'(橫掃)RX Mapping'!AT37&lt;=120), ('(橫掃)RX Mapping'!AT37-1),IF(AND('(橫掃)RX Mapping'!AT37&gt;=121,'(橫掃)RX Mapping'!AT37&lt;=240), (-1)*('(橫掃)RX Mapping'!AT37-240),IF(AND('(橫掃)RX Mapping'!AT37&gt;=241,'(橫掃)RX Mapping'!AT37&lt;=360), ('(橫掃)RX Mapping'!AT37-241),IF(AND('(橫掃)RX Mapping'!AT37&gt;=361,'(橫掃)RX Mapping'!AT37&lt;=480), (-1)*('(橫掃)RX Mapping'!AT37-480),IF(AND('(橫掃)RX Mapping'!AT37&gt;=481,'(橫掃)RX Mapping'!AT37&lt;=600), ('(橫掃)RX Mapping'!AT37-361),IF(AND('(橫掃)RX Mapping'!AT37&gt;=601,'(橫掃)RX Mapping'!AT37&lt;=720), (-1)*('(橫掃)RX Mapping'!AT37-720)+120,IF(AND('(橫掃)RX Mapping'!AT37&gt;=721,'(橫掃)RX Mapping'!AT37&lt;=840), ('(橫掃)RX Mapping'!AT37-601),IF(AND('(橫掃)RX Mapping'!AT37&gt;=841,'(橫掃)RX Mapping'!AT37&lt;=960), (-1)*('(橫掃)RX Mapping'!AT37-960)+120,9999))))))))</f>
        <v>9999</v>
      </c>
      <c r="AU37">
        <f>IF(AND('(橫掃)RX Mapping'!AU37&gt;=1,'(橫掃)RX Mapping'!AU37&lt;=120), ('(橫掃)RX Mapping'!AU37-1),IF(AND('(橫掃)RX Mapping'!AU37&gt;=121,'(橫掃)RX Mapping'!AU37&lt;=240), (-1)*('(橫掃)RX Mapping'!AU37-240),IF(AND('(橫掃)RX Mapping'!AU37&gt;=241,'(橫掃)RX Mapping'!AU37&lt;=360), ('(橫掃)RX Mapping'!AU37-241),IF(AND('(橫掃)RX Mapping'!AU37&gt;=361,'(橫掃)RX Mapping'!AU37&lt;=480), (-1)*('(橫掃)RX Mapping'!AU37-480),IF(AND('(橫掃)RX Mapping'!AU37&gt;=481,'(橫掃)RX Mapping'!AU37&lt;=600), ('(橫掃)RX Mapping'!AU37-361),IF(AND('(橫掃)RX Mapping'!AU37&gt;=601,'(橫掃)RX Mapping'!AU37&lt;=720), (-1)*('(橫掃)RX Mapping'!AU37-720)+120,IF(AND('(橫掃)RX Mapping'!AU37&gt;=721,'(橫掃)RX Mapping'!AU37&lt;=840), ('(橫掃)RX Mapping'!AU37-601),IF(AND('(橫掃)RX Mapping'!AU37&gt;=841,'(橫掃)RX Mapping'!AU37&lt;=960), (-1)*('(橫掃)RX Mapping'!AU37-960)+120,9999))))))))</f>
        <v>9999</v>
      </c>
      <c r="AV37">
        <f>IF(AND('(橫掃)RX Mapping'!AV37&gt;=1,'(橫掃)RX Mapping'!AV37&lt;=120), ('(橫掃)RX Mapping'!AV37-1),IF(AND('(橫掃)RX Mapping'!AV37&gt;=121,'(橫掃)RX Mapping'!AV37&lt;=240), (-1)*('(橫掃)RX Mapping'!AV37-240),IF(AND('(橫掃)RX Mapping'!AV37&gt;=241,'(橫掃)RX Mapping'!AV37&lt;=360), ('(橫掃)RX Mapping'!AV37-241),IF(AND('(橫掃)RX Mapping'!AV37&gt;=361,'(橫掃)RX Mapping'!AV37&lt;=480), (-1)*('(橫掃)RX Mapping'!AV37-480),IF(AND('(橫掃)RX Mapping'!AV37&gt;=481,'(橫掃)RX Mapping'!AV37&lt;=600), ('(橫掃)RX Mapping'!AV37-361),IF(AND('(橫掃)RX Mapping'!AV37&gt;=601,'(橫掃)RX Mapping'!AV37&lt;=720), (-1)*('(橫掃)RX Mapping'!AV37-720)+120,IF(AND('(橫掃)RX Mapping'!AV37&gt;=721,'(橫掃)RX Mapping'!AV37&lt;=840), ('(橫掃)RX Mapping'!AV37-601),IF(AND('(橫掃)RX Mapping'!AV37&gt;=841,'(橫掃)RX Mapping'!AV37&lt;=960), (-1)*('(橫掃)RX Mapping'!AV37-960)+120,9999))))))))</f>
        <v>9999</v>
      </c>
      <c r="AW37">
        <f>IF(AND('(橫掃)RX Mapping'!AW37&gt;=1,'(橫掃)RX Mapping'!AW37&lt;=120), ('(橫掃)RX Mapping'!AW37-1),IF(AND('(橫掃)RX Mapping'!AW37&gt;=121,'(橫掃)RX Mapping'!AW37&lt;=240), (-1)*('(橫掃)RX Mapping'!AW37-240),IF(AND('(橫掃)RX Mapping'!AW37&gt;=241,'(橫掃)RX Mapping'!AW37&lt;=360), ('(橫掃)RX Mapping'!AW37-241),IF(AND('(橫掃)RX Mapping'!AW37&gt;=361,'(橫掃)RX Mapping'!AW37&lt;=480), (-1)*('(橫掃)RX Mapping'!AW37-480),IF(AND('(橫掃)RX Mapping'!AW37&gt;=481,'(橫掃)RX Mapping'!AW37&lt;=600), ('(橫掃)RX Mapping'!AW37-361),IF(AND('(橫掃)RX Mapping'!AW37&gt;=601,'(橫掃)RX Mapping'!AW37&lt;=720), (-1)*('(橫掃)RX Mapping'!AW37-720)+120,IF(AND('(橫掃)RX Mapping'!AW37&gt;=721,'(橫掃)RX Mapping'!AW37&lt;=840), ('(橫掃)RX Mapping'!AW37-601),IF(AND('(橫掃)RX Mapping'!AW37&gt;=841,'(橫掃)RX Mapping'!AW37&lt;=960), (-1)*('(橫掃)RX Mapping'!AW37-960)+120,9999))))))))</f>
        <v>9999</v>
      </c>
      <c r="AX37">
        <f>IF(AND('(橫掃)RX Mapping'!AX37&gt;=1,'(橫掃)RX Mapping'!AX37&lt;=120), ('(橫掃)RX Mapping'!AX37-1),IF(AND('(橫掃)RX Mapping'!AX37&gt;=121,'(橫掃)RX Mapping'!AX37&lt;=240), (-1)*('(橫掃)RX Mapping'!AX37-240),IF(AND('(橫掃)RX Mapping'!AX37&gt;=241,'(橫掃)RX Mapping'!AX37&lt;=360), ('(橫掃)RX Mapping'!AX37-241),IF(AND('(橫掃)RX Mapping'!AX37&gt;=361,'(橫掃)RX Mapping'!AX37&lt;=480), (-1)*('(橫掃)RX Mapping'!AX37-480),IF(AND('(橫掃)RX Mapping'!AX37&gt;=481,'(橫掃)RX Mapping'!AX37&lt;=600), ('(橫掃)RX Mapping'!AX37-361),IF(AND('(橫掃)RX Mapping'!AX37&gt;=601,'(橫掃)RX Mapping'!AX37&lt;=720), (-1)*('(橫掃)RX Mapping'!AX37-720)+120,IF(AND('(橫掃)RX Mapping'!AX37&gt;=721,'(橫掃)RX Mapping'!AX37&lt;=840), ('(橫掃)RX Mapping'!AX37-601),IF(AND('(橫掃)RX Mapping'!AX37&gt;=841,'(橫掃)RX Mapping'!AX37&lt;=960), (-1)*('(橫掃)RX Mapping'!AX37-960)+120,9999))))))))</f>
        <v>9999</v>
      </c>
      <c r="AY37">
        <f>IF(AND('(橫掃)RX Mapping'!AY37&gt;=1,'(橫掃)RX Mapping'!AY37&lt;=120), ('(橫掃)RX Mapping'!AY37-1),IF(AND('(橫掃)RX Mapping'!AY37&gt;=121,'(橫掃)RX Mapping'!AY37&lt;=240), (-1)*('(橫掃)RX Mapping'!AY37-240),IF(AND('(橫掃)RX Mapping'!AY37&gt;=241,'(橫掃)RX Mapping'!AY37&lt;=360), ('(橫掃)RX Mapping'!AY37-241),IF(AND('(橫掃)RX Mapping'!AY37&gt;=361,'(橫掃)RX Mapping'!AY37&lt;=480), (-1)*('(橫掃)RX Mapping'!AY37-480),IF(AND('(橫掃)RX Mapping'!AY37&gt;=481,'(橫掃)RX Mapping'!AY37&lt;=600), ('(橫掃)RX Mapping'!AY37-361),IF(AND('(橫掃)RX Mapping'!AY37&gt;=601,'(橫掃)RX Mapping'!AY37&lt;=720), (-1)*('(橫掃)RX Mapping'!AY37-720)+120,IF(AND('(橫掃)RX Mapping'!AY37&gt;=721,'(橫掃)RX Mapping'!AY37&lt;=840), ('(橫掃)RX Mapping'!AY37-601),IF(AND('(橫掃)RX Mapping'!AY37&gt;=841,'(橫掃)RX Mapping'!AY37&lt;=960), (-1)*('(橫掃)RX Mapping'!AY37-960)+120,9999))))))))</f>
        <v>9999</v>
      </c>
      <c r="AZ37">
        <f>IF(AND('(橫掃)RX Mapping'!AZ37&gt;=1,'(橫掃)RX Mapping'!AZ37&lt;=120), ('(橫掃)RX Mapping'!AZ37-1),IF(AND('(橫掃)RX Mapping'!AZ37&gt;=121,'(橫掃)RX Mapping'!AZ37&lt;=240), (-1)*('(橫掃)RX Mapping'!AZ37-240),IF(AND('(橫掃)RX Mapping'!AZ37&gt;=241,'(橫掃)RX Mapping'!AZ37&lt;=360), ('(橫掃)RX Mapping'!AZ37-241),IF(AND('(橫掃)RX Mapping'!AZ37&gt;=361,'(橫掃)RX Mapping'!AZ37&lt;=480), (-1)*('(橫掃)RX Mapping'!AZ37-480),IF(AND('(橫掃)RX Mapping'!AZ37&gt;=481,'(橫掃)RX Mapping'!AZ37&lt;=600), ('(橫掃)RX Mapping'!AZ37-361),IF(AND('(橫掃)RX Mapping'!AZ37&gt;=601,'(橫掃)RX Mapping'!AZ37&lt;=720), (-1)*('(橫掃)RX Mapping'!AZ37-720)+120,IF(AND('(橫掃)RX Mapping'!AZ37&gt;=721,'(橫掃)RX Mapping'!AZ37&lt;=840), ('(橫掃)RX Mapping'!AZ37-601),IF(AND('(橫掃)RX Mapping'!AZ37&gt;=841,'(橫掃)RX Mapping'!AZ37&lt;=960), (-1)*('(橫掃)RX Mapping'!AZ37-960)+120,9999))))))))</f>
        <v>9999</v>
      </c>
      <c r="BA37">
        <f>IF(AND('(橫掃)RX Mapping'!BA37&gt;=1,'(橫掃)RX Mapping'!BA37&lt;=120), ('(橫掃)RX Mapping'!BA37-1),IF(AND('(橫掃)RX Mapping'!BA37&gt;=121,'(橫掃)RX Mapping'!BA37&lt;=240), (-1)*('(橫掃)RX Mapping'!BA37-240),IF(AND('(橫掃)RX Mapping'!BA37&gt;=241,'(橫掃)RX Mapping'!BA37&lt;=360), ('(橫掃)RX Mapping'!BA37-241),IF(AND('(橫掃)RX Mapping'!BA37&gt;=361,'(橫掃)RX Mapping'!BA37&lt;=480), (-1)*('(橫掃)RX Mapping'!BA37-480),IF(AND('(橫掃)RX Mapping'!BA37&gt;=481,'(橫掃)RX Mapping'!BA37&lt;=600), ('(橫掃)RX Mapping'!BA37-361),IF(AND('(橫掃)RX Mapping'!BA37&gt;=601,'(橫掃)RX Mapping'!BA37&lt;=720), (-1)*('(橫掃)RX Mapping'!BA37-720)+120,IF(AND('(橫掃)RX Mapping'!BA37&gt;=721,'(橫掃)RX Mapping'!BA37&lt;=840), ('(橫掃)RX Mapping'!BA37-601),IF(AND('(橫掃)RX Mapping'!BA37&gt;=841,'(橫掃)RX Mapping'!BA37&lt;=960), (-1)*('(橫掃)RX Mapping'!BA37-960)+120,9999))))))))</f>
        <v>9999</v>
      </c>
      <c r="BB37">
        <f>IF(AND('(橫掃)RX Mapping'!BB37&gt;=1,'(橫掃)RX Mapping'!BB37&lt;=120), ('(橫掃)RX Mapping'!BB37-1),IF(AND('(橫掃)RX Mapping'!BB37&gt;=121,'(橫掃)RX Mapping'!BB37&lt;=240), (-1)*('(橫掃)RX Mapping'!BB37-240),IF(AND('(橫掃)RX Mapping'!BB37&gt;=241,'(橫掃)RX Mapping'!BB37&lt;=360), ('(橫掃)RX Mapping'!BB37-241),IF(AND('(橫掃)RX Mapping'!BB37&gt;=361,'(橫掃)RX Mapping'!BB37&lt;=480), (-1)*('(橫掃)RX Mapping'!BB37-480),IF(AND('(橫掃)RX Mapping'!BB37&gt;=481,'(橫掃)RX Mapping'!BB37&lt;=600), ('(橫掃)RX Mapping'!BB37-361),IF(AND('(橫掃)RX Mapping'!BB37&gt;=601,'(橫掃)RX Mapping'!BB37&lt;=720), (-1)*('(橫掃)RX Mapping'!BB37-720)+120,IF(AND('(橫掃)RX Mapping'!BB37&gt;=721,'(橫掃)RX Mapping'!BB37&lt;=840), ('(橫掃)RX Mapping'!BB37-601),IF(AND('(橫掃)RX Mapping'!BB37&gt;=841,'(橫掃)RX Mapping'!BB37&lt;=960), (-1)*('(橫掃)RX Mapping'!BB37-960)+120,9999))))))))</f>
        <v>9999</v>
      </c>
      <c r="BC37">
        <f>IF(AND('(橫掃)RX Mapping'!BC37&gt;=1,'(橫掃)RX Mapping'!BC37&lt;=120), ('(橫掃)RX Mapping'!BC37-1),IF(AND('(橫掃)RX Mapping'!BC37&gt;=121,'(橫掃)RX Mapping'!BC37&lt;=240), (-1)*('(橫掃)RX Mapping'!BC37-240),IF(AND('(橫掃)RX Mapping'!BC37&gt;=241,'(橫掃)RX Mapping'!BC37&lt;=360), ('(橫掃)RX Mapping'!BC37-241),IF(AND('(橫掃)RX Mapping'!BC37&gt;=361,'(橫掃)RX Mapping'!BC37&lt;=480), (-1)*('(橫掃)RX Mapping'!BC37-480),IF(AND('(橫掃)RX Mapping'!BC37&gt;=481,'(橫掃)RX Mapping'!BC37&lt;=600), ('(橫掃)RX Mapping'!BC37-361),IF(AND('(橫掃)RX Mapping'!BC37&gt;=601,'(橫掃)RX Mapping'!BC37&lt;=720), (-1)*('(橫掃)RX Mapping'!BC37-720)+120,IF(AND('(橫掃)RX Mapping'!BC37&gt;=721,'(橫掃)RX Mapping'!BC37&lt;=840), ('(橫掃)RX Mapping'!BC37-601),IF(AND('(橫掃)RX Mapping'!BC37&gt;=841,'(橫掃)RX Mapping'!BC37&lt;=960), (-1)*('(橫掃)RX Mapping'!BC37-960)+120,9999))))))))</f>
        <v>9999</v>
      </c>
      <c r="BD37">
        <f>IF(AND('(橫掃)RX Mapping'!BD37&gt;=1,'(橫掃)RX Mapping'!BD37&lt;=120), ('(橫掃)RX Mapping'!BD37-1),IF(AND('(橫掃)RX Mapping'!BD37&gt;=121,'(橫掃)RX Mapping'!BD37&lt;=240), (-1)*('(橫掃)RX Mapping'!BD37-240),IF(AND('(橫掃)RX Mapping'!BD37&gt;=241,'(橫掃)RX Mapping'!BD37&lt;=360), ('(橫掃)RX Mapping'!BD37-241),IF(AND('(橫掃)RX Mapping'!BD37&gt;=361,'(橫掃)RX Mapping'!BD37&lt;=480), (-1)*('(橫掃)RX Mapping'!BD37-480),IF(AND('(橫掃)RX Mapping'!BD37&gt;=481,'(橫掃)RX Mapping'!BD37&lt;=600), ('(橫掃)RX Mapping'!BD37-361),IF(AND('(橫掃)RX Mapping'!BD37&gt;=601,'(橫掃)RX Mapping'!BD37&lt;=720), (-1)*('(橫掃)RX Mapping'!BD37-720)+120,IF(AND('(橫掃)RX Mapping'!BD37&gt;=721,'(橫掃)RX Mapping'!BD37&lt;=840), ('(橫掃)RX Mapping'!BD37-601),IF(AND('(橫掃)RX Mapping'!BD37&gt;=841,'(橫掃)RX Mapping'!BD37&lt;=960), (-1)*('(橫掃)RX Mapping'!BD37-960)+120,9999))))))))</f>
        <v>9999</v>
      </c>
      <c r="BE37">
        <f>IF(AND('(橫掃)RX Mapping'!BE37&gt;=1,'(橫掃)RX Mapping'!BE37&lt;=120), ('(橫掃)RX Mapping'!BE37-1),IF(AND('(橫掃)RX Mapping'!BE37&gt;=121,'(橫掃)RX Mapping'!BE37&lt;=240), (-1)*('(橫掃)RX Mapping'!BE37-240),IF(AND('(橫掃)RX Mapping'!BE37&gt;=241,'(橫掃)RX Mapping'!BE37&lt;=360), ('(橫掃)RX Mapping'!BE37-241),IF(AND('(橫掃)RX Mapping'!BE37&gt;=361,'(橫掃)RX Mapping'!BE37&lt;=480), (-1)*('(橫掃)RX Mapping'!BE37-480),IF(AND('(橫掃)RX Mapping'!BE37&gt;=481,'(橫掃)RX Mapping'!BE37&lt;=600), ('(橫掃)RX Mapping'!BE37-361),IF(AND('(橫掃)RX Mapping'!BE37&gt;=601,'(橫掃)RX Mapping'!BE37&lt;=720), (-1)*('(橫掃)RX Mapping'!BE37-720)+120,IF(AND('(橫掃)RX Mapping'!BE37&gt;=721,'(橫掃)RX Mapping'!BE37&lt;=840), ('(橫掃)RX Mapping'!BE37-601),IF(AND('(橫掃)RX Mapping'!BE37&gt;=841,'(橫掃)RX Mapping'!BE37&lt;=960), (-1)*('(橫掃)RX Mapping'!BE37-960)+120,9999))))))))</f>
        <v>9999</v>
      </c>
      <c r="BF37">
        <f>IF(AND('(橫掃)RX Mapping'!BF37&gt;=1,'(橫掃)RX Mapping'!BF37&lt;=120), ('(橫掃)RX Mapping'!BF37-1),IF(AND('(橫掃)RX Mapping'!BF37&gt;=121,'(橫掃)RX Mapping'!BF37&lt;=240), (-1)*('(橫掃)RX Mapping'!BF37-240),IF(AND('(橫掃)RX Mapping'!BF37&gt;=241,'(橫掃)RX Mapping'!BF37&lt;=360), ('(橫掃)RX Mapping'!BF37-241),IF(AND('(橫掃)RX Mapping'!BF37&gt;=361,'(橫掃)RX Mapping'!BF37&lt;=480), (-1)*('(橫掃)RX Mapping'!BF37-480),IF(AND('(橫掃)RX Mapping'!BF37&gt;=481,'(橫掃)RX Mapping'!BF37&lt;=600), ('(橫掃)RX Mapping'!BF37-361),IF(AND('(橫掃)RX Mapping'!BF37&gt;=601,'(橫掃)RX Mapping'!BF37&lt;=720), (-1)*('(橫掃)RX Mapping'!BF37-720)+120,IF(AND('(橫掃)RX Mapping'!BF37&gt;=721,'(橫掃)RX Mapping'!BF37&lt;=840), ('(橫掃)RX Mapping'!BF37-601),IF(AND('(橫掃)RX Mapping'!BF37&gt;=841,'(橫掃)RX Mapping'!BF37&lt;=960), (-1)*('(橫掃)RX Mapping'!BF37-960)+120,9999))))))))</f>
        <v>9999</v>
      </c>
      <c r="BG37">
        <f>IF(AND('(橫掃)RX Mapping'!BG37&gt;=1,'(橫掃)RX Mapping'!BG37&lt;=120), ('(橫掃)RX Mapping'!BG37-1),IF(AND('(橫掃)RX Mapping'!BG37&gt;=121,'(橫掃)RX Mapping'!BG37&lt;=240), (-1)*('(橫掃)RX Mapping'!BG37-240),IF(AND('(橫掃)RX Mapping'!BG37&gt;=241,'(橫掃)RX Mapping'!BG37&lt;=360), ('(橫掃)RX Mapping'!BG37-241),IF(AND('(橫掃)RX Mapping'!BG37&gt;=361,'(橫掃)RX Mapping'!BG37&lt;=480), (-1)*('(橫掃)RX Mapping'!BG37-480),IF(AND('(橫掃)RX Mapping'!BG37&gt;=481,'(橫掃)RX Mapping'!BG37&lt;=600), ('(橫掃)RX Mapping'!BG37-361),IF(AND('(橫掃)RX Mapping'!BG37&gt;=601,'(橫掃)RX Mapping'!BG37&lt;=720), (-1)*('(橫掃)RX Mapping'!BG37-720)+120,IF(AND('(橫掃)RX Mapping'!BG37&gt;=721,'(橫掃)RX Mapping'!BG37&lt;=840), ('(橫掃)RX Mapping'!BG37-601),IF(AND('(橫掃)RX Mapping'!BG37&gt;=841,'(橫掃)RX Mapping'!BG37&lt;=960), (-1)*('(橫掃)RX Mapping'!BG37-960)+120,9999))))))))</f>
        <v>9999</v>
      </c>
      <c r="BH37">
        <f>IF(AND('(橫掃)RX Mapping'!BH37&gt;=1,'(橫掃)RX Mapping'!BH37&lt;=120), ('(橫掃)RX Mapping'!BH37-1),IF(AND('(橫掃)RX Mapping'!BH37&gt;=121,'(橫掃)RX Mapping'!BH37&lt;=240), (-1)*('(橫掃)RX Mapping'!BH37-240),IF(AND('(橫掃)RX Mapping'!BH37&gt;=241,'(橫掃)RX Mapping'!BH37&lt;=360), ('(橫掃)RX Mapping'!BH37-241),IF(AND('(橫掃)RX Mapping'!BH37&gt;=361,'(橫掃)RX Mapping'!BH37&lt;=480), (-1)*('(橫掃)RX Mapping'!BH37-480),IF(AND('(橫掃)RX Mapping'!BH37&gt;=481,'(橫掃)RX Mapping'!BH37&lt;=600), ('(橫掃)RX Mapping'!BH37-361),IF(AND('(橫掃)RX Mapping'!BH37&gt;=601,'(橫掃)RX Mapping'!BH37&lt;=720), (-1)*('(橫掃)RX Mapping'!BH37-720)+120,IF(AND('(橫掃)RX Mapping'!BH37&gt;=721,'(橫掃)RX Mapping'!BH37&lt;=840), ('(橫掃)RX Mapping'!BH37-601),IF(AND('(橫掃)RX Mapping'!BH37&gt;=841,'(橫掃)RX Mapping'!BH37&lt;=960), (-1)*('(橫掃)RX Mapping'!BH37-960)+120,9999))))))))</f>
        <v>9999</v>
      </c>
      <c r="BI37">
        <f>IF(AND('(橫掃)RX Mapping'!BI37&gt;=1,'(橫掃)RX Mapping'!BI37&lt;=120), ('(橫掃)RX Mapping'!BI37-1),IF(AND('(橫掃)RX Mapping'!BI37&gt;=121,'(橫掃)RX Mapping'!BI37&lt;=240), (-1)*('(橫掃)RX Mapping'!BI37-240),IF(AND('(橫掃)RX Mapping'!BI37&gt;=241,'(橫掃)RX Mapping'!BI37&lt;=360), ('(橫掃)RX Mapping'!BI37-241),IF(AND('(橫掃)RX Mapping'!BI37&gt;=361,'(橫掃)RX Mapping'!BI37&lt;=480), (-1)*('(橫掃)RX Mapping'!BI37-480),IF(AND('(橫掃)RX Mapping'!BI37&gt;=481,'(橫掃)RX Mapping'!BI37&lt;=600), ('(橫掃)RX Mapping'!BI37-361),IF(AND('(橫掃)RX Mapping'!BI37&gt;=601,'(橫掃)RX Mapping'!BI37&lt;=720), (-1)*('(橫掃)RX Mapping'!BI37-720)+120,IF(AND('(橫掃)RX Mapping'!BI37&gt;=721,'(橫掃)RX Mapping'!BI37&lt;=840), ('(橫掃)RX Mapping'!BI37-601),IF(AND('(橫掃)RX Mapping'!BI37&gt;=841,'(橫掃)RX Mapping'!BI37&lt;=960), (-1)*('(橫掃)RX Mapping'!BI37-960)+120,9999))))))))</f>
        <v>9999</v>
      </c>
    </row>
    <row r="38" spans="1:61" x14ac:dyDescent="0.25">
      <c r="A38" s="20">
        <v>37</v>
      </c>
      <c r="B38">
        <f>IF(AND('(橫掃)RX Mapping'!B38&gt;=1,'(橫掃)RX Mapping'!B38&lt;=120), ('(橫掃)RX Mapping'!B38-1),IF(AND('(橫掃)RX Mapping'!B38&gt;=121,'(橫掃)RX Mapping'!B38&lt;=240), (-1)*('(橫掃)RX Mapping'!B38-240),IF(AND('(橫掃)RX Mapping'!B38&gt;=241,'(橫掃)RX Mapping'!B38&lt;=360), ('(橫掃)RX Mapping'!B38-241),IF(AND('(橫掃)RX Mapping'!B38&gt;=361,'(橫掃)RX Mapping'!B38&lt;=480), (-1)*('(橫掃)RX Mapping'!B38-480),IF(AND('(橫掃)RX Mapping'!B38&gt;=481,'(橫掃)RX Mapping'!B38&lt;=600), ('(橫掃)RX Mapping'!B38-361),IF(AND('(橫掃)RX Mapping'!B38&gt;=601,'(橫掃)RX Mapping'!B38&lt;=720), (-1)*('(橫掃)RX Mapping'!B38-720)+120,IF(AND('(橫掃)RX Mapping'!B38&gt;=721,'(橫掃)RX Mapping'!B38&lt;=840), ('(橫掃)RX Mapping'!B38-601),IF(AND('(橫掃)RX Mapping'!B38&gt;=841,'(橫掃)RX Mapping'!B38&lt;=960), (-1)*('(橫掃)RX Mapping'!B38-960)+120,9999))))))))</f>
        <v>9999</v>
      </c>
      <c r="C38">
        <f>IF(AND('(橫掃)RX Mapping'!C38&gt;=1,'(橫掃)RX Mapping'!C38&lt;=120), ('(橫掃)RX Mapping'!C38-1),IF(AND('(橫掃)RX Mapping'!C38&gt;=121,'(橫掃)RX Mapping'!C38&lt;=240), (-1)*('(橫掃)RX Mapping'!C38-240),IF(AND('(橫掃)RX Mapping'!C38&gt;=241,'(橫掃)RX Mapping'!C38&lt;=360), ('(橫掃)RX Mapping'!C38-241),IF(AND('(橫掃)RX Mapping'!C38&gt;=361,'(橫掃)RX Mapping'!C38&lt;=480), (-1)*('(橫掃)RX Mapping'!C38-480),IF(AND('(橫掃)RX Mapping'!C38&gt;=481,'(橫掃)RX Mapping'!C38&lt;=600), ('(橫掃)RX Mapping'!C38-361),IF(AND('(橫掃)RX Mapping'!C38&gt;=601,'(橫掃)RX Mapping'!C38&lt;=720), (-1)*('(橫掃)RX Mapping'!C38-720)+120,IF(AND('(橫掃)RX Mapping'!C38&gt;=721,'(橫掃)RX Mapping'!C38&lt;=840), ('(橫掃)RX Mapping'!C38-601),IF(AND('(橫掃)RX Mapping'!C38&gt;=841,'(橫掃)RX Mapping'!C38&lt;=960), (-1)*('(橫掃)RX Mapping'!C38-960)+120,9999))))))))</f>
        <v>9999</v>
      </c>
      <c r="D38">
        <f>IF(AND('(橫掃)RX Mapping'!D38&gt;=1,'(橫掃)RX Mapping'!D38&lt;=120), ('(橫掃)RX Mapping'!D38-1),IF(AND('(橫掃)RX Mapping'!D38&gt;=121,'(橫掃)RX Mapping'!D38&lt;=240), (-1)*('(橫掃)RX Mapping'!D38-240),IF(AND('(橫掃)RX Mapping'!D38&gt;=241,'(橫掃)RX Mapping'!D38&lt;=360), ('(橫掃)RX Mapping'!D38-241),IF(AND('(橫掃)RX Mapping'!D38&gt;=361,'(橫掃)RX Mapping'!D38&lt;=480), (-1)*('(橫掃)RX Mapping'!D38-480),IF(AND('(橫掃)RX Mapping'!D38&gt;=481,'(橫掃)RX Mapping'!D38&lt;=600), ('(橫掃)RX Mapping'!D38-361),IF(AND('(橫掃)RX Mapping'!D38&gt;=601,'(橫掃)RX Mapping'!D38&lt;=720), (-1)*('(橫掃)RX Mapping'!D38-720)+120,IF(AND('(橫掃)RX Mapping'!D38&gt;=721,'(橫掃)RX Mapping'!D38&lt;=840), ('(橫掃)RX Mapping'!D38-601),IF(AND('(橫掃)RX Mapping'!D38&gt;=841,'(橫掃)RX Mapping'!D38&lt;=960), (-1)*('(橫掃)RX Mapping'!D38-960)+120,9999))))))))</f>
        <v>9999</v>
      </c>
      <c r="E38">
        <f>IF(AND('(橫掃)RX Mapping'!E38&gt;=1,'(橫掃)RX Mapping'!E38&lt;=120), ('(橫掃)RX Mapping'!E38-1),IF(AND('(橫掃)RX Mapping'!E38&gt;=121,'(橫掃)RX Mapping'!E38&lt;=240), (-1)*('(橫掃)RX Mapping'!E38-240),IF(AND('(橫掃)RX Mapping'!E38&gt;=241,'(橫掃)RX Mapping'!E38&lt;=360), ('(橫掃)RX Mapping'!E38-241),IF(AND('(橫掃)RX Mapping'!E38&gt;=361,'(橫掃)RX Mapping'!E38&lt;=480), (-1)*('(橫掃)RX Mapping'!E38-480),IF(AND('(橫掃)RX Mapping'!E38&gt;=481,'(橫掃)RX Mapping'!E38&lt;=600), ('(橫掃)RX Mapping'!E38-361),IF(AND('(橫掃)RX Mapping'!E38&gt;=601,'(橫掃)RX Mapping'!E38&lt;=720), (-1)*('(橫掃)RX Mapping'!E38-720)+120,IF(AND('(橫掃)RX Mapping'!E38&gt;=721,'(橫掃)RX Mapping'!E38&lt;=840), ('(橫掃)RX Mapping'!E38-601),IF(AND('(橫掃)RX Mapping'!E38&gt;=841,'(橫掃)RX Mapping'!E38&lt;=960), (-1)*('(橫掃)RX Mapping'!E38-960)+120,9999))))))))</f>
        <v>9999</v>
      </c>
      <c r="F38">
        <f>IF(AND('(橫掃)RX Mapping'!F38&gt;=1,'(橫掃)RX Mapping'!F38&lt;=120), ('(橫掃)RX Mapping'!F38-1),IF(AND('(橫掃)RX Mapping'!F38&gt;=121,'(橫掃)RX Mapping'!F38&lt;=240), (-1)*('(橫掃)RX Mapping'!F38-240),IF(AND('(橫掃)RX Mapping'!F38&gt;=241,'(橫掃)RX Mapping'!F38&lt;=360), ('(橫掃)RX Mapping'!F38-241),IF(AND('(橫掃)RX Mapping'!F38&gt;=361,'(橫掃)RX Mapping'!F38&lt;=480), (-1)*('(橫掃)RX Mapping'!F38-480),IF(AND('(橫掃)RX Mapping'!F38&gt;=481,'(橫掃)RX Mapping'!F38&lt;=600), ('(橫掃)RX Mapping'!F38-361),IF(AND('(橫掃)RX Mapping'!F38&gt;=601,'(橫掃)RX Mapping'!F38&lt;=720), (-1)*('(橫掃)RX Mapping'!F38-720)+120,IF(AND('(橫掃)RX Mapping'!F38&gt;=721,'(橫掃)RX Mapping'!F38&lt;=840), ('(橫掃)RX Mapping'!F38-601),IF(AND('(橫掃)RX Mapping'!F38&gt;=841,'(橫掃)RX Mapping'!F38&lt;=960), (-1)*('(橫掃)RX Mapping'!F38-960)+120,9999))))))))</f>
        <v>9999</v>
      </c>
      <c r="G38">
        <f>IF(AND('(橫掃)RX Mapping'!G38&gt;=1,'(橫掃)RX Mapping'!G38&lt;=120), ('(橫掃)RX Mapping'!G38-1),IF(AND('(橫掃)RX Mapping'!G38&gt;=121,'(橫掃)RX Mapping'!G38&lt;=240), (-1)*('(橫掃)RX Mapping'!G38-240),IF(AND('(橫掃)RX Mapping'!G38&gt;=241,'(橫掃)RX Mapping'!G38&lt;=360), ('(橫掃)RX Mapping'!G38-241),IF(AND('(橫掃)RX Mapping'!G38&gt;=361,'(橫掃)RX Mapping'!G38&lt;=480), (-1)*('(橫掃)RX Mapping'!G38-480),IF(AND('(橫掃)RX Mapping'!G38&gt;=481,'(橫掃)RX Mapping'!G38&lt;=600), ('(橫掃)RX Mapping'!G38-361),IF(AND('(橫掃)RX Mapping'!G38&gt;=601,'(橫掃)RX Mapping'!G38&lt;=720), (-1)*('(橫掃)RX Mapping'!G38-720)+120,IF(AND('(橫掃)RX Mapping'!G38&gt;=721,'(橫掃)RX Mapping'!G38&lt;=840), ('(橫掃)RX Mapping'!G38-601),IF(AND('(橫掃)RX Mapping'!G38&gt;=841,'(橫掃)RX Mapping'!G38&lt;=960), (-1)*('(橫掃)RX Mapping'!G38-960)+120,9999))))))))</f>
        <v>9999</v>
      </c>
      <c r="H38">
        <f>IF(AND('(橫掃)RX Mapping'!H38&gt;=1,'(橫掃)RX Mapping'!H38&lt;=120), ('(橫掃)RX Mapping'!H38-1),IF(AND('(橫掃)RX Mapping'!H38&gt;=121,'(橫掃)RX Mapping'!H38&lt;=240), (-1)*('(橫掃)RX Mapping'!H38-240),IF(AND('(橫掃)RX Mapping'!H38&gt;=241,'(橫掃)RX Mapping'!H38&lt;=360), ('(橫掃)RX Mapping'!H38-241),IF(AND('(橫掃)RX Mapping'!H38&gt;=361,'(橫掃)RX Mapping'!H38&lt;=480), (-1)*('(橫掃)RX Mapping'!H38-480),IF(AND('(橫掃)RX Mapping'!H38&gt;=481,'(橫掃)RX Mapping'!H38&lt;=600), ('(橫掃)RX Mapping'!H38-361),IF(AND('(橫掃)RX Mapping'!H38&gt;=601,'(橫掃)RX Mapping'!H38&lt;=720), (-1)*('(橫掃)RX Mapping'!H38-720)+120,IF(AND('(橫掃)RX Mapping'!H38&gt;=721,'(橫掃)RX Mapping'!H38&lt;=840), ('(橫掃)RX Mapping'!H38-601),IF(AND('(橫掃)RX Mapping'!H38&gt;=841,'(橫掃)RX Mapping'!H38&lt;=960), (-1)*('(橫掃)RX Mapping'!H38-960)+120,9999))))))))</f>
        <v>9999</v>
      </c>
      <c r="I38">
        <f>IF(AND('(橫掃)RX Mapping'!I38&gt;=1,'(橫掃)RX Mapping'!I38&lt;=120), ('(橫掃)RX Mapping'!I38-1),IF(AND('(橫掃)RX Mapping'!I38&gt;=121,'(橫掃)RX Mapping'!I38&lt;=240), (-1)*('(橫掃)RX Mapping'!I38-240),IF(AND('(橫掃)RX Mapping'!I38&gt;=241,'(橫掃)RX Mapping'!I38&lt;=360), ('(橫掃)RX Mapping'!I38-241),IF(AND('(橫掃)RX Mapping'!I38&gt;=361,'(橫掃)RX Mapping'!I38&lt;=480), (-1)*('(橫掃)RX Mapping'!I38-480),IF(AND('(橫掃)RX Mapping'!I38&gt;=481,'(橫掃)RX Mapping'!I38&lt;=600), ('(橫掃)RX Mapping'!I38-361),IF(AND('(橫掃)RX Mapping'!I38&gt;=601,'(橫掃)RX Mapping'!I38&lt;=720), (-1)*('(橫掃)RX Mapping'!I38-720)+120,IF(AND('(橫掃)RX Mapping'!I38&gt;=721,'(橫掃)RX Mapping'!I38&lt;=840), ('(橫掃)RX Mapping'!I38-601),IF(AND('(橫掃)RX Mapping'!I38&gt;=841,'(橫掃)RX Mapping'!I38&lt;=960), (-1)*('(橫掃)RX Mapping'!I38-960)+120,9999))))))))</f>
        <v>9999</v>
      </c>
      <c r="J38">
        <f>IF(AND('(橫掃)RX Mapping'!J38&gt;=1,'(橫掃)RX Mapping'!J38&lt;=120), ('(橫掃)RX Mapping'!J38-1),IF(AND('(橫掃)RX Mapping'!J38&gt;=121,'(橫掃)RX Mapping'!J38&lt;=240), (-1)*('(橫掃)RX Mapping'!J38-240),IF(AND('(橫掃)RX Mapping'!J38&gt;=241,'(橫掃)RX Mapping'!J38&lt;=360), ('(橫掃)RX Mapping'!J38-241),IF(AND('(橫掃)RX Mapping'!J38&gt;=361,'(橫掃)RX Mapping'!J38&lt;=480), (-1)*('(橫掃)RX Mapping'!J38-480),IF(AND('(橫掃)RX Mapping'!J38&gt;=481,'(橫掃)RX Mapping'!J38&lt;=600), ('(橫掃)RX Mapping'!J38-361),IF(AND('(橫掃)RX Mapping'!J38&gt;=601,'(橫掃)RX Mapping'!J38&lt;=720), (-1)*('(橫掃)RX Mapping'!J38-720)+120,IF(AND('(橫掃)RX Mapping'!J38&gt;=721,'(橫掃)RX Mapping'!J38&lt;=840), ('(橫掃)RX Mapping'!J38-601),IF(AND('(橫掃)RX Mapping'!J38&gt;=841,'(橫掃)RX Mapping'!J38&lt;=960), (-1)*('(橫掃)RX Mapping'!J38-960)+120,9999))))))))</f>
        <v>9999</v>
      </c>
      <c r="K38">
        <f>IF(AND('(橫掃)RX Mapping'!K38&gt;=1,'(橫掃)RX Mapping'!K38&lt;=120), ('(橫掃)RX Mapping'!K38-1),IF(AND('(橫掃)RX Mapping'!K38&gt;=121,'(橫掃)RX Mapping'!K38&lt;=240), (-1)*('(橫掃)RX Mapping'!K38-240),IF(AND('(橫掃)RX Mapping'!K38&gt;=241,'(橫掃)RX Mapping'!K38&lt;=360), ('(橫掃)RX Mapping'!K38-241),IF(AND('(橫掃)RX Mapping'!K38&gt;=361,'(橫掃)RX Mapping'!K38&lt;=480), (-1)*('(橫掃)RX Mapping'!K38-480),IF(AND('(橫掃)RX Mapping'!K38&gt;=481,'(橫掃)RX Mapping'!K38&lt;=600), ('(橫掃)RX Mapping'!K38-361),IF(AND('(橫掃)RX Mapping'!K38&gt;=601,'(橫掃)RX Mapping'!K38&lt;=720), (-1)*('(橫掃)RX Mapping'!K38-720)+120,IF(AND('(橫掃)RX Mapping'!K38&gt;=721,'(橫掃)RX Mapping'!K38&lt;=840), ('(橫掃)RX Mapping'!K38-601),IF(AND('(橫掃)RX Mapping'!K38&gt;=841,'(橫掃)RX Mapping'!K38&lt;=960), (-1)*('(橫掃)RX Mapping'!K38-960)+120,9999))))))))</f>
        <v>9999</v>
      </c>
      <c r="L38">
        <f>IF(AND('(橫掃)RX Mapping'!L38&gt;=1,'(橫掃)RX Mapping'!L38&lt;=120), ('(橫掃)RX Mapping'!L38-1),IF(AND('(橫掃)RX Mapping'!L38&gt;=121,'(橫掃)RX Mapping'!L38&lt;=240), (-1)*('(橫掃)RX Mapping'!L38-240),IF(AND('(橫掃)RX Mapping'!L38&gt;=241,'(橫掃)RX Mapping'!L38&lt;=360), ('(橫掃)RX Mapping'!L38-241),IF(AND('(橫掃)RX Mapping'!L38&gt;=361,'(橫掃)RX Mapping'!L38&lt;=480), (-1)*('(橫掃)RX Mapping'!L38-480),IF(AND('(橫掃)RX Mapping'!L38&gt;=481,'(橫掃)RX Mapping'!L38&lt;=600), ('(橫掃)RX Mapping'!L38-361),IF(AND('(橫掃)RX Mapping'!L38&gt;=601,'(橫掃)RX Mapping'!L38&lt;=720), (-1)*('(橫掃)RX Mapping'!L38-720)+120,IF(AND('(橫掃)RX Mapping'!L38&gt;=721,'(橫掃)RX Mapping'!L38&lt;=840), ('(橫掃)RX Mapping'!L38-601),IF(AND('(橫掃)RX Mapping'!L38&gt;=841,'(橫掃)RX Mapping'!L38&lt;=960), (-1)*('(橫掃)RX Mapping'!L38-960)+120,9999))))))))</f>
        <v>9999</v>
      </c>
      <c r="M38">
        <f>IF(AND('(橫掃)RX Mapping'!M38&gt;=1,'(橫掃)RX Mapping'!M38&lt;=120), ('(橫掃)RX Mapping'!M38-1),IF(AND('(橫掃)RX Mapping'!M38&gt;=121,'(橫掃)RX Mapping'!M38&lt;=240), (-1)*('(橫掃)RX Mapping'!M38-240),IF(AND('(橫掃)RX Mapping'!M38&gt;=241,'(橫掃)RX Mapping'!M38&lt;=360), ('(橫掃)RX Mapping'!M38-241),IF(AND('(橫掃)RX Mapping'!M38&gt;=361,'(橫掃)RX Mapping'!M38&lt;=480), (-1)*('(橫掃)RX Mapping'!M38-480),IF(AND('(橫掃)RX Mapping'!M38&gt;=481,'(橫掃)RX Mapping'!M38&lt;=600), ('(橫掃)RX Mapping'!M38-361),IF(AND('(橫掃)RX Mapping'!M38&gt;=601,'(橫掃)RX Mapping'!M38&lt;=720), (-1)*('(橫掃)RX Mapping'!M38-720)+120,IF(AND('(橫掃)RX Mapping'!M38&gt;=721,'(橫掃)RX Mapping'!M38&lt;=840), ('(橫掃)RX Mapping'!M38-601),IF(AND('(橫掃)RX Mapping'!M38&gt;=841,'(橫掃)RX Mapping'!M38&lt;=960), (-1)*('(橫掃)RX Mapping'!M38-960)+120,9999))))))))</f>
        <v>9999</v>
      </c>
      <c r="N38">
        <f>IF(AND('(橫掃)RX Mapping'!N38&gt;=1,'(橫掃)RX Mapping'!N38&lt;=120), ('(橫掃)RX Mapping'!N38-1),IF(AND('(橫掃)RX Mapping'!N38&gt;=121,'(橫掃)RX Mapping'!N38&lt;=240), (-1)*('(橫掃)RX Mapping'!N38-240),IF(AND('(橫掃)RX Mapping'!N38&gt;=241,'(橫掃)RX Mapping'!N38&lt;=360), ('(橫掃)RX Mapping'!N38-241),IF(AND('(橫掃)RX Mapping'!N38&gt;=361,'(橫掃)RX Mapping'!N38&lt;=480), (-1)*('(橫掃)RX Mapping'!N38-480),IF(AND('(橫掃)RX Mapping'!N38&gt;=481,'(橫掃)RX Mapping'!N38&lt;=600), ('(橫掃)RX Mapping'!N38-361),IF(AND('(橫掃)RX Mapping'!N38&gt;=601,'(橫掃)RX Mapping'!N38&lt;=720), (-1)*('(橫掃)RX Mapping'!N38-720)+120,IF(AND('(橫掃)RX Mapping'!N38&gt;=721,'(橫掃)RX Mapping'!N38&lt;=840), ('(橫掃)RX Mapping'!N38-601),IF(AND('(橫掃)RX Mapping'!N38&gt;=841,'(橫掃)RX Mapping'!N38&lt;=960), (-1)*('(橫掃)RX Mapping'!N38-960)+120,9999))))))))</f>
        <v>9999</v>
      </c>
      <c r="O38">
        <f>IF(AND('(橫掃)RX Mapping'!O38&gt;=1,'(橫掃)RX Mapping'!O38&lt;=120), ('(橫掃)RX Mapping'!O38-1),IF(AND('(橫掃)RX Mapping'!O38&gt;=121,'(橫掃)RX Mapping'!O38&lt;=240), (-1)*('(橫掃)RX Mapping'!O38-240),IF(AND('(橫掃)RX Mapping'!O38&gt;=241,'(橫掃)RX Mapping'!O38&lt;=360), ('(橫掃)RX Mapping'!O38-241),IF(AND('(橫掃)RX Mapping'!O38&gt;=361,'(橫掃)RX Mapping'!O38&lt;=480), (-1)*('(橫掃)RX Mapping'!O38-480),IF(AND('(橫掃)RX Mapping'!O38&gt;=481,'(橫掃)RX Mapping'!O38&lt;=600), ('(橫掃)RX Mapping'!O38-361),IF(AND('(橫掃)RX Mapping'!O38&gt;=601,'(橫掃)RX Mapping'!O38&lt;=720), (-1)*('(橫掃)RX Mapping'!O38-720)+120,IF(AND('(橫掃)RX Mapping'!O38&gt;=721,'(橫掃)RX Mapping'!O38&lt;=840), ('(橫掃)RX Mapping'!O38-601),IF(AND('(橫掃)RX Mapping'!O38&gt;=841,'(橫掃)RX Mapping'!O38&lt;=960), (-1)*('(橫掃)RX Mapping'!O38-960)+120,9999))))))))</f>
        <v>9999</v>
      </c>
      <c r="P38">
        <f>IF(AND('(橫掃)RX Mapping'!P38&gt;=1,'(橫掃)RX Mapping'!P38&lt;=120), ('(橫掃)RX Mapping'!P38-1),IF(AND('(橫掃)RX Mapping'!P38&gt;=121,'(橫掃)RX Mapping'!P38&lt;=240), (-1)*('(橫掃)RX Mapping'!P38-240),IF(AND('(橫掃)RX Mapping'!P38&gt;=241,'(橫掃)RX Mapping'!P38&lt;=360), ('(橫掃)RX Mapping'!P38-241),IF(AND('(橫掃)RX Mapping'!P38&gt;=361,'(橫掃)RX Mapping'!P38&lt;=480), (-1)*('(橫掃)RX Mapping'!P38-480),IF(AND('(橫掃)RX Mapping'!P38&gt;=481,'(橫掃)RX Mapping'!P38&lt;=600), ('(橫掃)RX Mapping'!P38-361),IF(AND('(橫掃)RX Mapping'!P38&gt;=601,'(橫掃)RX Mapping'!P38&lt;=720), (-1)*('(橫掃)RX Mapping'!P38-720)+120,IF(AND('(橫掃)RX Mapping'!P38&gt;=721,'(橫掃)RX Mapping'!P38&lt;=840), ('(橫掃)RX Mapping'!P38-601),IF(AND('(橫掃)RX Mapping'!P38&gt;=841,'(橫掃)RX Mapping'!P38&lt;=960), (-1)*('(橫掃)RX Mapping'!P38-960)+120,9999))))))))</f>
        <v>9999</v>
      </c>
      <c r="Q38">
        <f>IF(AND('(橫掃)RX Mapping'!Q38&gt;=1,'(橫掃)RX Mapping'!Q38&lt;=120), ('(橫掃)RX Mapping'!Q38-1),IF(AND('(橫掃)RX Mapping'!Q38&gt;=121,'(橫掃)RX Mapping'!Q38&lt;=240), (-1)*('(橫掃)RX Mapping'!Q38-240),IF(AND('(橫掃)RX Mapping'!Q38&gt;=241,'(橫掃)RX Mapping'!Q38&lt;=360), ('(橫掃)RX Mapping'!Q38-241),IF(AND('(橫掃)RX Mapping'!Q38&gt;=361,'(橫掃)RX Mapping'!Q38&lt;=480), (-1)*('(橫掃)RX Mapping'!Q38-480),IF(AND('(橫掃)RX Mapping'!Q38&gt;=481,'(橫掃)RX Mapping'!Q38&lt;=600), ('(橫掃)RX Mapping'!Q38-361),IF(AND('(橫掃)RX Mapping'!Q38&gt;=601,'(橫掃)RX Mapping'!Q38&lt;=720), (-1)*('(橫掃)RX Mapping'!Q38-720)+120,IF(AND('(橫掃)RX Mapping'!Q38&gt;=721,'(橫掃)RX Mapping'!Q38&lt;=840), ('(橫掃)RX Mapping'!Q38-601),IF(AND('(橫掃)RX Mapping'!Q38&gt;=841,'(橫掃)RX Mapping'!Q38&lt;=960), (-1)*('(橫掃)RX Mapping'!Q38-960)+120,9999))))))))</f>
        <v>9999</v>
      </c>
      <c r="R38">
        <f>IF(AND('(橫掃)RX Mapping'!R38&gt;=1,'(橫掃)RX Mapping'!R38&lt;=120), ('(橫掃)RX Mapping'!R38-1),IF(AND('(橫掃)RX Mapping'!R38&gt;=121,'(橫掃)RX Mapping'!R38&lt;=240), (-1)*('(橫掃)RX Mapping'!R38-240),IF(AND('(橫掃)RX Mapping'!R38&gt;=241,'(橫掃)RX Mapping'!R38&lt;=360), ('(橫掃)RX Mapping'!R38-241),IF(AND('(橫掃)RX Mapping'!R38&gt;=361,'(橫掃)RX Mapping'!R38&lt;=480), (-1)*('(橫掃)RX Mapping'!R38-480),IF(AND('(橫掃)RX Mapping'!R38&gt;=481,'(橫掃)RX Mapping'!R38&lt;=600), ('(橫掃)RX Mapping'!R38-361),IF(AND('(橫掃)RX Mapping'!R38&gt;=601,'(橫掃)RX Mapping'!R38&lt;=720), (-1)*('(橫掃)RX Mapping'!R38-720)+120,IF(AND('(橫掃)RX Mapping'!R38&gt;=721,'(橫掃)RX Mapping'!R38&lt;=840), ('(橫掃)RX Mapping'!R38-601),IF(AND('(橫掃)RX Mapping'!R38&gt;=841,'(橫掃)RX Mapping'!R38&lt;=960), (-1)*('(橫掃)RX Mapping'!R38-960)+120,9999))))))))</f>
        <v>9999</v>
      </c>
      <c r="S38">
        <f>IF(AND('(橫掃)RX Mapping'!S38&gt;=1,'(橫掃)RX Mapping'!S38&lt;=120), ('(橫掃)RX Mapping'!S38-1),IF(AND('(橫掃)RX Mapping'!S38&gt;=121,'(橫掃)RX Mapping'!S38&lt;=240), (-1)*('(橫掃)RX Mapping'!S38-240),IF(AND('(橫掃)RX Mapping'!S38&gt;=241,'(橫掃)RX Mapping'!S38&lt;=360), ('(橫掃)RX Mapping'!S38-241),IF(AND('(橫掃)RX Mapping'!S38&gt;=361,'(橫掃)RX Mapping'!S38&lt;=480), (-1)*('(橫掃)RX Mapping'!S38-480),IF(AND('(橫掃)RX Mapping'!S38&gt;=481,'(橫掃)RX Mapping'!S38&lt;=600), ('(橫掃)RX Mapping'!S38-361),IF(AND('(橫掃)RX Mapping'!S38&gt;=601,'(橫掃)RX Mapping'!S38&lt;=720), (-1)*('(橫掃)RX Mapping'!S38-720)+120,IF(AND('(橫掃)RX Mapping'!S38&gt;=721,'(橫掃)RX Mapping'!S38&lt;=840), ('(橫掃)RX Mapping'!S38-601),IF(AND('(橫掃)RX Mapping'!S38&gt;=841,'(橫掃)RX Mapping'!S38&lt;=960), (-1)*('(橫掃)RX Mapping'!S38-960)+120,9999))))))))</f>
        <v>9999</v>
      </c>
      <c r="T38">
        <f>IF(AND('(橫掃)RX Mapping'!T38&gt;=1,'(橫掃)RX Mapping'!T38&lt;=120), ('(橫掃)RX Mapping'!T38-1),IF(AND('(橫掃)RX Mapping'!T38&gt;=121,'(橫掃)RX Mapping'!T38&lt;=240), (-1)*('(橫掃)RX Mapping'!T38-240),IF(AND('(橫掃)RX Mapping'!T38&gt;=241,'(橫掃)RX Mapping'!T38&lt;=360), ('(橫掃)RX Mapping'!T38-241),IF(AND('(橫掃)RX Mapping'!T38&gt;=361,'(橫掃)RX Mapping'!T38&lt;=480), (-1)*('(橫掃)RX Mapping'!T38-480),IF(AND('(橫掃)RX Mapping'!T38&gt;=481,'(橫掃)RX Mapping'!T38&lt;=600), ('(橫掃)RX Mapping'!T38-361),IF(AND('(橫掃)RX Mapping'!T38&gt;=601,'(橫掃)RX Mapping'!T38&lt;=720), (-1)*('(橫掃)RX Mapping'!T38-720)+120,IF(AND('(橫掃)RX Mapping'!T38&gt;=721,'(橫掃)RX Mapping'!T38&lt;=840), ('(橫掃)RX Mapping'!T38-601),IF(AND('(橫掃)RX Mapping'!T38&gt;=841,'(橫掃)RX Mapping'!T38&lt;=960), (-1)*('(橫掃)RX Mapping'!T38-960)+120,9999))))))))</f>
        <v>9999</v>
      </c>
      <c r="U38">
        <f>IF(AND('(橫掃)RX Mapping'!U38&gt;=1,'(橫掃)RX Mapping'!U38&lt;=120), ('(橫掃)RX Mapping'!U38-1),IF(AND('(橫掃)RX Mapping'!U38&gt;=121,'(橫掃)RX Mapping'!U38&lt;=240), (-1)*('(橫掃)RX Mapping'!U38-240),IF(AND('(橫掃)RX Mapping'!U38&gt;=241,'(橫掃)RX Mapping'!U38&lt;=360), ('(橫掃)RX Mapping'!U38-241),IF(AND('(橫掃)RX Mapping'!U38&gt;=361,'(橫掃)RX Mapping'!U38&lt;=480), (-1)*('(橫掃)RX Mapping'!U38-480),IF(AND('(橫掃)RX Mapping'!U38&gt;=481,'(橫掃)RX Mapping'!U38&lt;=600), ('(橫掃)RX Mapping'!U38-361),IF(AND('(橫掃)RX Mapping'!U38&gt;=601,'(橫掃)RX Mapping'!U38&lt;=720), (-1)*('(橫掃)RX Mapping'!U38-720)+120,IF(AND('(橫掃)RX Mapping'!U38&gt;=721,'(橫掃)RX Mapping'!U38&lt;=840), ('(橫掃)RX Mapping'!U38-601),IF(AND('(橫掃)RX Mapping'!U38&gt;=841,'(橫掃)RX Mapping'!U38&lt;=960), (-1)*('(橫掃)RX Mapping'!U38-960)+120,9999))))))))</f>
        <v>9999</v>
      </c>
      <c r="V38">
        <f>IF(AND('(橫掃)RX Mapping'!V38&gt;=1,'(橫掃)RX Mapping'!V38&lt;=120), ('(橫掃)RX Mapping'!V38-1),IF(AND('(橫掃)RX Mapping'!V38&gt;=121,'(橫掃)RX Mapping'!V38&lt;=240), (-1)*('(橫掃)RX Mapping'!V38-240),IF(AND('(橫掃)RX Mapping'!V38&gt;=241,'(橫掃)RX Mapping'!V38&lt;=360), ('(橫掃)RX Mapping'!V38-241),IF(AND('(橫掃)RX Mapping'!V38&gt;=361,'(橫掃)RX Mapping'!V38&lt;=480), (-1)*('(橫掃)RX Mapping'!V38-480),IF(AND('(橫掃)RX Mapping'!V38&gt;=481,'(橫掃)RX Mapping'!V38&lt;=600), ('(橫掃)RX Mapping'!V38-361),IF(AND('(橫掃)RX Mapping'!V38&gt;=601,'(橫掃)RX Mapping'!V38&lt;=720), (-1)*('(橫掃)RX Mapping'!V38-720)+120,IF(AND('(橫掃)RX Mapping'!V38&gt;=721,'(橫掃)RX Mapping'!V38&lt;=840), ('(橫掃)RX Mapping'!V38-601),IF(AND('(橫掃)RX Mapping'!V38&gt;=841,'(橫掃)RX Mapping'!V38&lt;=960), (-1)*('(橫掃)RX Mapping'!V38-960)+120,9999))))))))</f>
        <v>9999</v>
      </c>
      <c r="W38">
        <f>IF(AND('(橫掃)RX Mapping'!W38&gt;=1,'(橫掃)RX Mapping'!W38&lt;=120), ('(橫掃)RX Mapping'!W38-1),IF(AND('(橫掃)RX Mapping'!W38&gt;=121,'(橫掃)RX Mapping'!W38&lt;=240), (-1)*('(橫掃)RX Mapping'!W38-240),IF(AND('(橫掃)RX Mapping'!W38&gt;=241,'(橫掃)RX Mapping'!W38&lt;=360), ('(橫掃)RX Mapping'!W38-241),IF(AND('(橫掃)RX Mapping'!W38&gt;=361,'(橫掃)RX Mapping'!W38&lt;=480), (-1)*('(橫掃)RX Mapping'!W38-480),IF(AND('(橫掃)RX Mapping'!W38&gt;=481,'(橫掃)RX Mapping'!W38&lt;=600), ('(橫掃)RX Mapping'!W38-361),IF(AND('(橫掃)RX Mapping'!W38&gt;=601,'(橫掃)RX Mapping'!W38&lt;=720), (-1)*('(橫掃)RX Mapping'!W38-720)+120,IF(AND('(橫掃)RX Mapping'!W38&gt;=721,'(橫掃)RX Mapping'!W38&lt;=840), ('(橫掃)RX Mapping'!W38-601),IF(AND('(橫掃)RX Mapping'!W38&gt;=841,'(橫掃)RX Mapping'!W38&lt;=960), (-1)*('(橫掃)RX Mapping'!W38-960)+120,9999))))))))</f>
        <v>9999</v>
      </c>
      <c r="X38">
        <f>IF(AND('(橫掃)RX Mapping'!X38&gt;=1,'(橫掃)RX Mapping'!X38&lt;=120), ('(橫掃)RX Mapping'!X38-1),IF(AND('(橫掃)RX Mapping'!X38&gt;=121,'(橫掃)RX Mapping'!X38&lt;=240), (-1)*('(橫掃)RX Mapping'!X38-240),IF(AND('(橫掃)RX Mapping'!X38&gt;=241,'(橫掃)RX Mapping'!X38&lt;=360), ('(橫掃)RX Mapping'!X38-241),IF(AND('(橫掃)RX Mapping'!X38&gt;=361,'(橫掃)RX Mapping'!X38&lt;=480), (-1)*('(橫掃)RX Mapping'!X38-480),IF(AND('(橫掃)RX Mapping'!X38&gt;=481,'(橫掃)RX Mapping'!X38&lt;=600), ('(橫掃)RX Mapping'!X38-361),IF(AND('(橫掃)RX Mapping'!X38&gt;=601,'(橫掃)RX Mapping'!X38&lt;=720), (-1)*('(橫掃)RX Mapping'!X38-720)+120,IF(AND('(橫掃)RX Mapping'!X38&gt;=721,'(橫掃)RX Mapping'!X38&lt;=840), ('(橫掃)RX Mapping'!X38-601),IF(AND('(橫掃)RX Mapping'!X38&gt;=841,'(橫掃)RX Mapping'!X38&lt;=960), (-1)*('(橫掃)RX Mapping'!X38-960)+120,9999))))))))</f>
        <v>9999</v>
      </c>
      <c r="Y38">
        <f>IF(AND('(橫掃)RX Mapping'!Y38&gt;=1,'(橫掃)RX Mapping'!Y38&lt;=120), ('(橫掃)RX Mapping'!Y38-1),IF(AND('(橫掃)RX Mapping'!Y38&gt;=121,'(橫掃)RX Mapping'!Y38&lt;=240), (-1)*('(橫掃)RX Mapping'!Y38-240),IF(AND('(橫掃)RX Mapping'!Y38&gt;=241,'(橫掃)RX Mapping'!Y38&lt;=360), ('(橫掃)RX Mapping'!Y38-241),IF(AND('(橫掃)RX Mapping'!Y38&gt;=361,'(橫掃)RX Mapping'!Y38&lt;=480), (-1)*('(橫掃)RX Mapping'!Y38-480),IF(AND('(橫掃)RX Mapping'!Y38&gt;=481,'(橫掃)RX Mapping'!Y38&lt;=600), ('(橫掃)RX Mapping'!Y38-361),IF(AND('(橫掃)RX Mapping'!Y38&gt;=601,'(橫掃)RX Mapping'!Y38&lt;=720), (-1)*('(橫掃)RX Mapping'!Y38-720)+120,IF(AND('(橫掃)RX Mapping'!Y38&gt;=721,'(橫掃)RX Mapping'!Y38&lt;=840), ('(橫掃)RX Mapping'!Y38-601),IF(AND('(橫掃)RX Mapping'!Y38&gt;=841,'(橫掃)RX Mapping'!Y38&lt;=960), (-1)*('(橫掃)RX Mapping'!Y38-960)+120,9999))))))))</f>
        <v>9999</v>
      </c>
      <c r="Z38">
        <f>IF(AND('(橫掃)RX Mapping'!Z38&gt;=1,'(橫掃)RX Mapping'!Z38&lt;=120), ('(橫掃)RX Mapping'!Z38-1),IF(AND('(橫掃)RX Mapping'!Z38&gt;=121,'(橫掃)RX Mapping'!Z38&lt;=240), (-1)*('(橫掃)RX Mapping'!Z38-240),IF(AND('(橫掃)RX Mapping'!Z38&gt;=241,'(橫掃)RX Mapping'!Z38&lt;=360), ('(橫掃)RX Mapping'!Z38-241),IF(AND('(橫掃)RX Mapping'!Z38&gt;=361,'(橫掃)RX Mapping'!Z38&lt;=480), (-1)*('(橫掃)RX Mapping'!Z38-480),IF(AND('(橫掃)RX Mapping'!Z38&gt;=481,'(橫掃)RX Mapping'!Z38&lt;=600), ('(橫掃)RX Mapping'!Z38-361),IF(AND('(橫掃)RX Mapping'!Z38&gt;=601,'(橫掃)RX Mapping'!Z38&lt;=720), (-1)*('(橫掃)RX Mapping'!Z38-720)+120,IF(AND('(橫掃)RX Mapping'!Z38&gt;=721,'(橫掃)RX Mapping'!Z38&lt;=840), ('(橫掃)RX Mapping'!Z38-601),IF(AND('(橫掃)RX Mapping'!Z38&gt;=841,'(橫掃)RX Mapping'!Z38&lt;=960), (-1)*('(橫掃)RX Mapping'!Z38-960)+120,9999))))))))</f>
        <v>9999</v>
      </c>
      <c r="AA38">
        <f>IF(AND('(橫掃)RX Mapping'!AA38&gt;=1,'(橫掃)RX Mapping'!AA38&lt;=120), ('(橫掃)RX Mapping'!AA38-1),IF(AND('(橫掃)RX Mapping'!AA38&gt;=121,'(橫掃)RX Mapping'!AA38&lt;=240), (-1)*('(橫掃)RX Mapping'!AA38-240),IF(AND('(橫掃)RX Mapping'!AA38&gt;=241,'(橫掃)RX Mapping'!AA38&lt;=360), ('(橫掃)RX Mapping'!AA38-241),IF(AND('(橫掃)RX Mapping'!AA38&gt;=361,'(橫掃)RX Mapping'!AA38&lt;=480), (-1)*('(橫掃)RX Mapping'!AA38-480),IF(AND('(橫掃)RX Mapping'!AA38&gt;=481,'(橫掃)RX Mapping'!AA38&lt;=600), ('(橫掃)RX Mapping'!AA38-361),IF(AND('(橫掃)RX Mapping'!AA38&gt;=601,'(橫掃)RX Mapping'!AA38&lt;=720), (-1)*('(橫掃)RX Mapping'!AA38-720)+120,IF(AND('(橫掃)RX Mapping'!AA38&gt;=721,'(橫掃)RX Mapping'!AA38&lt;=840), ('(橫掃)RX Mapping'!AA38-601),IF(AND('(橫掃)RX Mapping'!AA38&gt;=841,'(橫掃)RX Mapping'!AA38&lt;=960), (-1)*('(橫掃)RX Mapping'!AA38-960)+120,9999))))))))</f>
        <v>9999</v>
      </c>
      <c r="AB38">
        <f>IF(AND('(橫掃)RX Mapping'!AB38&gt;=1,'(橫掃)RX Mapping'!AB38&lt;=120), ('(橫掃)RX Mapping'!AB38-1),IF(AND('(橫掃)RX Mapping'!AB38&gt;=121,'(橫掃)RX Mapping'!AB38&lt;=240), (-1)*('(橫掃)RX Mapping'!AB38-240),IF(AND('(橫掃)RX Mapping'!AB38&gt;=241,'(橫掃)RX Mapping'!AB38&lt;=360), ('(橫掃)RX Mapping'!AB38-241),IF(AND('(橫掃)RX Mapping'!AB38&gt;=361,'(橫掃)RX Mapping'!AB38&lt;=480), (-1)*('(橫掃)RX Mapping'!AB38-480),IF(AND('(橫掃)RX Mapping'!AB38&gt;=481,'(橫掃)RX Mapping'!AB38&lt;=600), ('(橫掃)RX Mapping'!AB38-361),IF(AND('(橫掃)RX Mapping'!AB38&gt;=601,'(橫掃)RX Mapping'!AB38&lt;=720), (-1)*('(橫掃)RX Mapping'!AB38-720)+120,IF(AND('(橫掃)RX Mapping'!AB38&gt;=721,'(橫掃)RX Mapping'!AB38&lt;=840), ('(橫掃)RX Mapping'!AB38-601),IF(AND('(橫掃)RX Mapping'!AB38&gt;=841,'(橫掃)RX Mapping'!AB38&lt;=960), (-1)*('(橫掃)RX Mapping'!AB38-960)+120,9999))))))))</f>
        <v>9999</v>
      </c>
      <c r="AC38">
        <f>IF(AND('(橫掃)RX Mapping'!AC38&gt;=1,'(橫掃)RX Mapping'!AC38&lt;=120), ('(橫掃)RX Mapping'!AC38-1),IF(AND('(橫掃)RX Mapping'!AC38&gt;=121,'(橫掃)RX Mapping'!AC38&lt;=240), (-1)*('(橫掃)RX Mapping'!AC38-240),IF(AND('(橫掃)RX Mapping'!AC38&gt;=241,'(橫掃)RX Mapping'!AC38&lt;=360), ('(橫掃)RX Mapping'!AC38-241),IF(AND('(橫掃)RX Mapping'!AC38&gt;=361,'(橫掃)RX Mapping'!AC38&lt;=480), (-1)*('(橫掃)RX Mapping'!AC38-480),IF(AND('(橫掃)RX Mapping'!AC38&gt;=481,'(橫掃)RX Mapping'!AC38&lt;=600), ('(橫掃)RX Mapping'!AC38-361),IF(AND('(橫掃)RX Mapping'!AC38&gt;=601,'(橫掃)RX Mapping'!AC38&lt;=720), (-1)*('(橫掃)RX Mapping'!AC38-720)+120,IF(AND('(橫掃)RX Mapping'!AC38&gt;=721,'(橫掃)RX Mapping'!AC38&lt;=840), ('(橫掃)RX Mapping'!AC38-601),IF(AND('(橫掃)RX Mapping'!AC38&gt;=841,'(橫掃)RX Mapping'!AC38&lt;=960), (-1)*('(橫掃)RX Mapping'!AC38-960)+120,9999))))))))</f>
        <v>9999</v>
      </c>
      <c r="AD38">
        <f>IF(AND('(橫掃)RX Mapping'!AD38&gt;=1,'(橫掃)RX Mapping'!AD38&lt;=120), ('(橫掃)RX Mapping'!AD38-1),IF(AND('(橫掃)RX Mapping'!AD38&gt;=121,'(橫掃)RX Mapping'!AD38&lt;=240), (-1)*('(橫掃)RX Mapping'!AD38-240),IF(AND('(橫掃)RX Mapping'!AD38&gt;=241,'(橫掃)RX Mapping'!AD38&lt;=360), ('(橫掃)RX Mapping'!AD38-241),IF(AND('(橫掃)RX Mapping'!AD38&gt;=361,'(橫掃)RX Mapping'!AD38&lt;=480), (-1)*('(橫掃)RX Mapping'!AD38-480),IF(AND('(橫掃)RX Mapping'!AD38&gt;=481,'(橫掃)RX Mapping'!AD38&lt;=600), ('(橫掃)RX Mapping'!AD38-361),IF(AND('(橫掃)RX Mapping'!AD38&gt;=601,'(橫掃)RX Mapping'!AD38&lt;=720), (-1)*('(橫掃)RX Mapping'!AD38-720)+120,IF(AND('(橫掃)RX Mapping'!AD38&gt;=721,'(橫掃)RX Mapping'!AD38&lt;=840), ('(橫掃)RX Mapping'!AD38-601),IF(AND('(橫掃)RX Mapping'!AD38&gt;=841,'(橫掃)RX Mapping'!AD38&lt;=960), (-1)*('(橫掃)RX Mapping'!AD38-960)+120,9999))))))))</f>
        <v>9999</v>
      </c>
      <c r="AE38">
        <f>IF(AND('(橫掃)RX Mapping'!AE38&gt;=1,'(橫掃)RX Mapping'!AE38&lt;=120), ('(橫掃)RX Mapping'!AE38-1),IF(AND('(橫掃)RX Mapping'!AE38&gt;=121,'(橫掃)RX Mapping'!AE38&lt;=240), (-1)*('(橫掃)RX Mapping'!AE38-240),IF(AND('(橫掃)RX Mapping'!AE38&gt;=241,'(橫掃)RX Mapping'!AE38&lt;=360), ('(橫掃)RX Mapping'!AE38-241),IF(AND('(橫掃)RX Mapping'!AE38&gt;=361,'(橫掃)RX Mapping'!AE38&lt;=480), (-1)*('(橫掃)RX Mapping'!AE38-480),IF(AND('(橫掃)RX Mapping'!AE38&gt;=481,'(橫掃)RX Mapping'!AE38&lt;=600), ('(橫掃)RX Mapping'!AE38-361),IF(AND('(橫掃)RX Mapping'!AE38&gt;=601,'(橫掃)RX Mapping'!AE38&lt;=720), (-1)*('(橫掃)RX Mapping'!AE38-720)+120,IF(AND('(橫掃)RX Mapping'!AE38&gt;=721,'(橫掃)RX Mapping'!AE38&lt;=840), ('(橫掃)RX Mapping'!AE38-601),IF(AND('(橫掃)RX Mapping'!AE38&gt;=841,'(橫掃)RX Mapping'!AE38&lt;=960), (-1)*('(橫掃)RX Mapping'!AE38-960)+120,9999))))))))</f>
        <v>9999</v>
      </c>
      <c r="AF38">
        <f>IF(AND('(橫掃)RX Mapping'!AF38&gt;=1,'(橫掃)RX Mapping'!AF38&lt;=120), ('(橫掃)RX Mapping'!AF38-1),IF(AND('(橫掃)RX Mapping'!AF38&gt;=121,'(橫掃)RX Mapping'!AF38&lt;=240), (-1)*('(橫掃)RX Mapping'!AF38-240),IF(AND('(橫掃)RX Mapping'!AF38&gt;=241,'(橫掃)RX Mapping'!AF38&lt;=360), ('(橫掃)RX Mapping'!AF38-241),IF(AND('(橫掃)RX Mapping'!AF38&gt;=361,'(橫掃)RX Mapping'!AF38&lt;=480), (-1)*('(橫掃)RX Mapping'!AF38-480),IF(AND('(橫掃)RX Mapping'!AF38&gt;=481,'(橫掃)RX Mapping'!AF38&lt;=600), ('(橫掃)RX Mapping'!AF38-361),IF(AND('(橫掃)RX Mapping'!AF38&gt;=601,'(橫掃)RX Mapping'!AF38&lt;=720), (-1)*('(橫掃)RX Mapping'!AF38-720)+120,IF(AND('(橫掃)RX Mapping'!AF38&gt;=721,'(橫掃)RX Mapping'!AF38&lt;=840), ('(橫掃)RX Mapping'!AF38-601),IF(AND('(橫掃)RX Mapping'!AF38&gt;=841,'(橫掃)RX Mapping'!AF38&lt;=960), (-1)*('(橫掃)RX Mapping'!AF38-960)+120,9999))))))))</f>
        <v>9999</v>
      </c>
      <c r="AG38">
        <f>IF(AND('(橫掃)RX Mapping'!AG38&gt;=1,'(橫掃)RX Mapping'!AG38&lt;=120), ('(橫掃)RX Mapping'!AG38-1),IF(AND('(橫掃)RX Mapping'!AG38&gt;=121,'(橫掃)RX Mapping'!AG38&lt;=240), (-1)*('(橫掃)RX Mapping'!AG38-240),IF(AND('(橫掃)RX Mapping'!AG38&gt;=241,'(橫掃)RX Mapping'!AG38&lt;=360), ('(橫掃)RX Mapping'!AG38-241),IF(AND('(橫掃)RX Mapping'!AG38&gt;=361,'(橫掃)RX Mapping'!AG38&lt;=480), (-1)*('(橫掃)RX Mapping'!AG38-480),IF(AND('(橫掃)RX Mapping'!AG38&gt;=481,'(橫掃)RX Mapping'!AG38&lt;=600), ('(橫掃)RX Mapping'!AG38-361),IF(AND('(橫掃)RX Mapping'!AG38&gt;=601,'(橫掃)RX Mapping'!AG38&lt;=720), (-1)*('(橫掃)RX Mapping'!AG38-720)+120,IF(AND('(橫掃)RX Mapping'!AG38&gt;=721,'(橫掃)RX Mapping'!AG38&lt;=840), ('(橫掃)RX Mapping'!AG38-601),IF(AND('(橫掃)RX Mapping'!AG38&gt;=841,'(橫掃)RX Mapping'!AG38&lt;=960), (-1)*('(橫掃)RX Mapping'!AG38-960)+120,9999))))))))</f>
        <v>9999</v>
      </c>
      <c r="AH38">
        <f>IF(AND('(橫掃)RX Mapping'!AH38&gt;=1,'(橫掃)RX Mapping'!AH38&lt;=120), ('(橫掃)RX Mapping'!AH38-1),IF(AND('(橫掃)RX Mapping'!AH38&gt;=121,'(橫掃)RX Mapping'!AH38&lt;=240), (-1)*('(橫掃)RX Mapping'!AH38-240),IF(AND('(橫掃)RX Mapping'!AH38&gt;=241,'(橫掃)RX Mapping'!AH38&lt;=360), ('(橫掃)RX Mapping'!AH38-241),IF(AND('(橫掃)RX Mapping'!AH38&gt;=361,'(橫掃)RX Mapping'!AH38&lt;=480), (-1)*('(橫掃)RX Mapping'!AH38-480),IF(AND('(橫掃)RX Mapping'!AH38&gt;=481,'(橫掃)RX Mapping'!AH38&lt;=600), ('(橫掃)RX Mapping'!AH38-361),IF(AND('(橫掃)RX Mapping'!AH38&gt;=601,'(橫掃)RX Mapping'!AH38&lt;=720), (-1)*('(橫掃)RX Mapping'!AH38-720)+120,IF(AND('(橫掃)RX Mapping'!AH38&gt;=721,'(橫掃)RX Mapping'!AH38&lt;=840), ('(橫掃)RX Mapping'!AH38-601),IF(AND('(橫掃)RX Mapping'!AH38&gt;=841,'(橫掃)RX Mapping'!AH38&lt;=960), (-1)*('(橫掃)RX Mapping'!AH38-960)+120,9999))))))))</f>
        <v>9999</v>
      </c>
      <c r="AI38">
        <f>IF(AND('(橫掃)RX Mapping'!AI38&gt;=1,'(橫掃)RX Mapping'!AI38&lt;=120), ('(橫掃)RX Mapping'!AI38-1),IF(AND('(橫掃)RX Mapping'!AI38&gt;=121,'(橫掃)RX Mapping'!AI38&lt;=240), (-1)*('(橫掃)RX Mapping'!AI38-240),IF(AND('(橫掃)RX Mapping'!AI38&gt;=241,'(橫掃)RX Mapping'!AI38&lt;=360), ('(橫掃)RX Mapping'!AI38-241),IF(AND('(橫掃)RX Mapping'!AI38&gt;=361,'(橫掃)RX Mapping'!AI38&lt;=480), (-1)*('(橫掃)RX Mapping'!AI38-480),IF(AND('(橫掃)RX Mapping'!AI38&gt;=481,'(橫掃)RX Mapping'!AI38&lt;=600), ('(橫掃)RX Mapping'!AI38-361),IF(AND('(橫掃)RX Mapping'!AI38&gt;=601,'(橫掃)RX Mapping'!AI38&lt;=720), (-1)*('(橫掃)RX Mapping'!AI38-720)+120,IF(AND('(橫掃)RX Mapping'!AI38&gt;=721,'(橫掃)RX Mapping'!AI38&lt;=840), ('(橫掃)RX Mapping'!AI38-601),IF(AND('(橫掃)RX Mapping'!AI38&gt;=841,'(橫掃)RX Mapping'!AI38&lt;=960), (-1)*('(橫掃)RX Mapping'!AI38-960)+120,9999))))))))</f>
        <v>9999</v>
      </c>
      <c r="AJ38">
        <f>IF(AND('(橫掃)RX Mapping'!AJ38&gt;=1,'(橫掃)RX Mapping'!AJ38&lt;=120), ('(橫掃)RX Mapping'!AJ38-1),IF(AND('(橫掃)RX Mapping'!AJ38&gt;=121,'(橫掃)RX Mapping'!AJ38&lt;=240), (-1)*('(橫掃)RX Mapping'!AJ38-240),IF(AND('(橫掃)RX Mapping'!AJ38&gt;=241,'(橫掃)RX Mapping'!AJ38&lt;=360), ('(橫掃)RX Mapping'!AJ38-241),IF(AND('(橫掃)RX Mapping'!AJ38&gt;=361,'(橫掃)RX Mapping'!AJ38&lt;=480), (-1)*('(橫掃)RX Mapping'!AJ38-480),IF(AND('(橫掃)RX Mapping'!AJ38&gt;=481,'(橫掃)RX Mapping'!AJ38&lt;=600), ('(橫掃)RX Mapping'!AJ38-361),IF(AND('(橫掃)RX Mapping'!AJ38&gt;=601,'(橫掃)RX Mapping'!AJ38&lt;=720), (-1)*('(橫掃)RX Mapping'!AJ38-720)+120,IF(AND('(橫掃)RX Mapping'!AJ38&gt;=721,'(橫掃)RX Mapping'!AJ38&lt;=840), ('(橫掃)RX Mapping'!AJ38-601),IF(AND('(橫掃)RX Mapping'!AJ38&gt;=841,'(橫掃)RX Mapping'!AJ38&lt;=960), (-1)*('(橫掃)RX Mapping'!AJ38-960)+120,9999))))))))</f>
        <v>9999</v>
      </c>
      <c r="AK38">
        <f>IF(AND('(橫掃)RX Mapping'!AK38&gt;=1,'(橫掃)RX Mapping'!AK38&lt;=120), ('(橫掃)RX Mapping'!AK38-1),IF(AND('(橫掃)RX Mapping'!AK38&gt;=121,'(橫掃)RX Mapping'!AK38&lt;=240), (-1)*('(橫掃)RX Mapping'!AK38-240),IF(AND('(橫掃)RX Mapping'!AK38&gt;=241,'(橫掃)RX Mapping'!AK38&lt;=360), ('(橫掃)RX Mapping'!AK38-241),IF(AND('(橫掃)RX Mapping'!AK38&gt;=361,'(橫掃)RX Mapping'!AK38&lt;=480), (-1)*('(橫掃)RX Mapping'!AK38-480),IF(AND('(橫掃)RX Mapping'!AK38&gt;=481,'(橫掃)RX Mapping'!AK38&lt;=600), ('(橫掃)RX Mapping'!AK38-361),IF(AND('(橫掃)RX Mapping'!AK38&gt;=601,'(橫掃)RX Mapping'!AK38&lt;=720), (-1)*('(橫掃)RX Mapping'!AK38-720)+120,IF(AND('(橫掃)RX Mapping'!AK38&gt;=721,'(橫掃)RX Mapping'!AK38&lt;=840), ('(橫掃)RX Mapping'!AK38-601),IF(AND('(橫掃)RX Mapping'!AK38&gt;=841,'(橫掃)RX Mapping'!AK38&lt;=960), (-1)*('(橫掃)RX Mapping'!AK38-960)+120,9999))))))))</f>
        <v>9999</v>
      </c>
      <c r="AL38">
        <f>IF(AND('(橫掃)RX Mapping'!AL38&gt;=1,'(橫掃)RX Mapping'!AL38&lt;=120), ('(橫掃)RX Mapping'!AL38-1),IF(AND('(橫掃)RX Mapping'!AL38&gt;=121,'(橫掃)RX Mapping'!AL38&lt;=240), (-1)*('(橫掃)RX Mapping'!AL38-240),IF(AND('(橫掃)RX Mapping'!AL38&gt;=241,'(橫掃)RX Mapping'!AL38&lt;=360), ('(橫掃)RX Mapping'!AL38-241),IF(AND('(橫掃)RX Mapping'!AL38&gt;=361,'(橫掃)RX Mapping'!AL38&lt;=480), (-1)*('(橫掃)RX Mapping'!AL38-480),IF(AND('(橫掃)RX Mapping'!AL38&gt;=481,'(橫掃)RX Mapping'!AL38&lt;=600), ('(橫掃)RX Mapping'!AL38-361),IF(AND('(橫掃)RX Mapping'!AL38&gt;=601,'(橫掃)RX Mapping'!AL38&lt;=720), (-1)*('(橫掃)RX Mapping'!AL38-720)+120,IF(AND('(橫掃)RX Mapping'!AL38&gt;=721,'(橫掃)RX Mapping'!AL38&lt;=840), ('(橫掃)RX Mapping'!AL38-601),IF(AND('(橫掃)RX Mapping'!AL38&gt;=841,'(橫掃)RX Mapping'!AL38&lt;=960), (-1)*('(橫掃)RX Mapping'!AL38-960)+120,9999))))))))</f>
        <v>9999</v>
      </c>
      <c r="AM38">
        <f>IF(AND('(橫掃)RX Mapping'!AM38&gt;=1,'(橫掃)RX Mapping'!AM38&lt;=120), ('(橫掃)RX Mapping'!AM38-1),IF(AND('(橫掃)RX Mapping'!AM38&gt;=121,'(橫掃)RX Mapping'!AM38&lt;=240), (-1)*('(橫掃)RX Mapping'!AM38-240),IF(AND('(橫掃)RX Mapping'!AM38&gt;=241,'(橫掃)RX Mapping'!AM38&lt;=360), ('(橫掃)RX Mapping'!AM38-241),IF(AND('(橫掃)RX Mapping'!AM38&gt;=361,'(橫掃)RX Mapping'!AM38&lt;=480), (-1)*('(橫掃)RX Mapping'!AM38-480),IF(AND('(橫掃)RX Mapping'!AM38&gt;=481,'(橫掃)RX Mapping'!AM38&lt;=600), ('(橫掃)RX Mapping'!AM38-361),IF(AND('(橫掃)RX Mapping'!AM38&gt;=601,'(橫掃)RX Mapping'!AM38&lt;=720), (-1)*('(橫掃)RX Mapping'!AM38-720)+120,IF(AND('(橫掃)RX Mapping'!AM38&gt;=721,'(橫掃)RX Mapping'!AM38&lt;=840), ('(橫掃)RX Mapping'!AM38-601),IF(AND('(橫掃)RX Mapping'!AM38&gt;=841,'(橫掃)RX Mapping'!AM38&lt;=960), (-1)*('(橫掃)RX Mapping'!AM38-960)+120,9999))))))))</f>
        <v>9999</v>
      </c>
      <c r="AN38">
        <f>IF(AND('(橫掃)RX Mapping'!AN38&gt;=1,'(橫掃)RX Mapping'!AN38&lt;=120), ('(橫掃)RX Mapping'!AN38-1),IF(AND('(橫掃)RX Mapping'!AN38&gt;=121,'(橫掃)RX Mapping'!AN38&lt;=240), (-1)*('(橫掃)RX Mapping'!AN38-240),IF(AND('(橫掃)RX Mapping'!AN38&gt;=241,'(橫掃)RX Mapping'!AN38&lt;=360), ('(橫掃)RX Mapping'!AN38-241),IF(AND('(橫掃)RX Mapping'!AN38&gt;=361,'(橫掃)RX Mapping'!AN38&lt;=480), (-1)*('(橫掃)RX Mapping'!AN38-480),IF(AND('(橫掃)RX Mapping'!AN38&gt;=481,'(橫掃)RX Mapping'!AN38&lt;=600), ('(橫掃)RX Mapping'!AN38-361),IF(AND('(橫掃)RX Mapping'!AN38&gt;=601,'(橫掃)RX Mapping'!AN38&lt;=720), (-1)*('(橫掃)RX Mapping'!AN38-720)+120,IF(AND('(橫掃)RX Mapping'!AN38&gt;=721,'(橫掃)RX Mapping'!AN38&lt;=840), ('(橫掃)RX Mapping'!AN38-601),IF(AND('(橫掃)RX Mapping'!AN38&gt;=841,'(橫掃)RX Mapping'!AN38&lt;=960), (-1)*('(橫掃)RX Mapping'!AN38-960)+120,9999))))))))</f>
        <v>9999</v>
      </c>
      <c r="AO38">
        <f>IF(AND('(橫掃)RX Mapping'!AO38&gt;=1,'(橫掃)RX Mapping'!AO38&lt;=120), ('(橫掃)RX Mapping'!AO38-1),IF(AND('(橫掃)RX Mapping'!AO38&gt;=121,'(橫掃)RX Mapping'!AO38&lt;=240), (-1)*('(橫掃)RX Mapping'!AO38-240),IF(AND('(橫掃)RX Mapping'!AO38&gt;=241,'(橫掃)RX Mapping'!AO38&lt;=360), ('(橫掃)RX Mapping'!AO38-241),IF(AND('(橫掃)RX Mapping'!AO38&gt;=361,'(橫掃)RX Mapping'!AO38&lt;=480), (-1)*('(橫掃)RX Mapping'!AO38-480),IF(AND('(橫掃)RX Mapping'!AO38&gt;=481,'(橫掃)RX Mapping'!AO38&lt;=600), ('(橫掃)RX Mapping'!AO38-361),IF(AND('(橫掃)RX Mapping'!AO38&gt;=601,'(橫掃)RX Mapping'!AO38&lt;=720), (-1)*('(橫掃)RX Mapping'!AO38-720)+120,IF(AND('(橫掃)RX Mapping'!AO38&gt;=721,'(橫掃)RX Mapping'!AO38&lt;=840), ('(橫掃)RX Mapping'!AO38-601),IF(AND('(橫掃)RX Mapping'!AO38&gt;=841,'(橫掃)RX Mapping'!AO38&lt;=960), (-1)*('(橫掃)RX Mapping'!AO38-960)+120,9999))))))))</f>
        <v>9999</v>
      </c>
      <c r="AP38">
        <f>IF(AND('(橫掃)RX Mapping'!AP38&gt;=1,'(橫掃)RX Mapping'!AP38&lt;=120), ('(橫掃)RX Mapping'!AP38-1),IF(AND('(橫掃)RX Mapping'!AP38&gt;=121,'(橫掃)RX Mapping'!AP38&lt;=240), (-1)*('(橫掃)RX Mapping'!AP38-240),IF(AND('(橫掃)RX Mapping'!AP38&gt;=241,'(橫掃)RX Mapping'!AP38&lt;=360), ('(橫掃)RX Mapping'!AP38-241),IF(AND('(橫掃)RX Mapping'!AP38&gt;=361,'(橫掃)RX Mapping'!AP38&lt;=480), (-1)*('(橫掃)RX Mapping'!AP38-480),IF(AND('(橫掃)RX Mapping'!AP38&gt;=481,'(橫掃)RX Mapping'!AP38&lt;=600), ('(橫掃)RX Mapping'!AP38-361),IF(AND('(橫掃)RX Mapping'!AP38&gt;=601,'(橫掃)RX Mapping'!AP38&lt;=720), (-1)*('(橫掃)RX Mapping'!AP38-720)+120,IF(AND('(橫掃)RX Mapping'!AP38&gt;=721,'(橫掃)RX Mapping'!AP38&lt;=840), ('(橫掃)RX Mapping'!AP38-601),IF(AND('(橫掃)RX Mapping'!AP38&gt;=841,'(橫掃)RX Mapping'!AP38&lt;=960), (-1)*('(橫掃)RX Mapping'!AP38-960)+120,9999))))))))</f>
        <v>9999</v>
      </c>
      <c r="AQ38">
        <f>IF(AND('(橫掃)RX Mapping'!AQ38&gt;=1,'(橫掃)RX Mapping'!AQ38&lt;=120), ('(橫掃)RX Mapping'!AQ38-1),IF(AND('(橫掃)RX Mapping'!AQ38&gt;=121,'(橫掃)RX Mapping'!AQ38&lt;=240), (-1)*('(橫掃)RX Mapping'!AQ38-240),IF(AND('(橫掃)RX Mapping'!AQ38&gt;=241,'(橫掃)RX Mapping'!AQ38&lt;=360), ('(橫掃)RX Mapping'!AQ38-241),IF(AND('(橫掃)RX Mapping'!AQ38&gt;=361,'(橫掃)RX Mapping'!AQ38&lt;=480), (-1)*('(橫掃)RX Mapping'!AQ38-480),IF(AND('(橫掃)RX Mapping'!AQ38&gt;=481,'(橫掃)RX Mapping'!AQ38&lt;=600), ('(橫掃)RX Mapping'!AQ38-361),IF(AND('(橫掃)RX Mapping'!AQ38&gt;=601,'(橫掃)RX Mapping'!AQ38&lt;=720), (-1)*('(橫掃)RX Mapping'!AQ38-720)+120,IF(AND('(橫掃)RX Mapping'!AQ38&gt;=721,'(橫掃)RX Mapping'!AQ38&lt;=840), ('(橫掃)RX Mapping'!AQ38-601),IF(AND('(橫掃)RX Mapping'!AQ38&gt;=841,'(橫掃)RX Mapping'!AQ38&lt;=960), (-1)*('(橫掃)RX Mapping'!AQ38-960)+120,9999))))))))</f>
        <v>9999</v>
      </c>
      <c r="AR38">
        <f>IF(AND('(橫掃)RX Mapping'!AR38&gt;=1,'(橫掃)RX Mapping'!AR38&lt;=120), ('(橫掃)RX Mapping'!AR38-1),IF(AND('(橫掃)RX Mapping'!AR38&gt;=121,'(橫掃)RX Mapping'!AR38&lt;=240), (-1)*('(橫掃)RX Mapping'!AR38-240),IF(AND('(橫掃)RX Mapping'!AR38&gt;=241,'(橫掃)RX Mapping'!AR38&lt;=360), ('(橫掃)RX Mapping'!AR38-241),IF(AND('(橫掃)RX Mapping'!AR38&gt;=361,'(橫掃)RX Mapping'!AR38&lt;=480), (-1)*('(橫掃)RX Mapping'!AR38-480),IF(AND('(橫掃)RX Mapping'!AR38&gt;=481,'(橫掃)RX Mapping'!AR38&lt;=600), ('(橫掃)RX Mapping'!AR38-361),IF(AND('(橫掃)RX Mapping'!AR38&gt;=601,'(橫掃)RX Mapping'!AR38&lt;=720), (-1)*('(橫掃)RX Mapping'!AR38-720)+120,IF(AND('(橫掃)RX Mapping'!AR38&gt;=721,'(橫掃)RX Mapping'!AR38&lt;=840), ('(橫掃)RX Mapping'!AR38-601),IF(AND('(橫掃)RX Mapping'!AR38&gt;=841,'(橫掃)RX Mapping'!AR38&lt;=960), (-1)*('(橫掃)RX Mapping'!AR38-960)+120,9999))))))))</f>
        <v>9999</v>
      </c>
      <c r="AS38">
        <f>IF(AND('(橫掃)RX Mapping'!AS38&gt;=1,'(橫掃)RX Mapping'!AS38&lt;=120), ('(橫掃)RX Mapping'!AS38-1),IF(AND('(橫掃)RX Mapping'!AS38&gt;=121,'(橫掃)RX Mapping'!AS38&lt;=240), (-1)*('(橫掃)RX Mapping'!AS38-240),IF(AND('(橫掃)RX Mapping'!AS38&gt;=241,'(橫掃)RX Mapping'!AS38&lt;=360), ('(橫掃)RX Mapping'!AS38-241),IF(AND('(橫掃)RX Mapping'!AS38&gt;=361,'(橫掃)RX Mapping'!AS38&lt;=480), (-1)*('(橫掃)RX Mapping'!AS38-480),IF(AND('(橫掃)RX Mapping'!AS38&gt;=481,'(橫掃)RX Mapping'!AS38&lt;=600), ('(橫掃)RX Mapping'!AS38-361),IF(AND('(橫掃)RX Mapping'!AS38&gt;=601,'(橫掃)RX Mapping'!AS38&lt;=720), (-1)*('(橫掃)RX Mapping'!AS38-720)+120,IF(AND('(橫掃)RX Mapping'!AS38&gt;=721,'(橫掃)RX Mapping'!AS38&lt;=840), ('(橫掃)RX Mapping'!AS38-601),IF(AND('(橫掃)RX Mapping'!AS38&gt;=841,'(橫掃)RX Mapping'!AS38&lt;=960), (-1)*('(橫掃)RX Mapping'!AS38-960)+120,9999))))))))</f>
        <v>9999</v>
      </c>
      <c r="AT38">
        <f>IF(AND('(橫掃)RX Mapping'!AT38&gt;=1,'(橫掃)RX Mapping'!AT38&lt;=120), ('(橫掃)RX Mapping'!AT38-1),IF(AND('(橫掃)RX Mapping'!AT38&gt;=121,'(橫掃)RX Mapping'!AT38&lt;=240), (-1)*('(橫掃)RX Mapping'!AT38-240),IF(AND('(橫掃)RX Mapping'!AT38&gt;=241,'(橫掃)RX Mapping'!AT38&lt;=360), ('(橫掃)RX Mapping'!AT38-241),IF(AND('(橫掃)RX Mapping'!AT38&gt;=361,'(橫掃)RX Mapping'!AT38&lt;=480), (-1)*('(橫掃)RX Mapping'!AT38-480),IF(AND('(橫掃)RX Mapping'!AT38&gt;=481,'(橫掃)RX Mapping'!AT38&lt;=600), ('(橫掃)RX Mapping'!AT38-361),IF(AND('(橫掃)RX Mapping'!AT38&gt;=601,'(橫掃)RX Mapping'!AT38&lt;=720), (-1)*('(橫掃)RX Mapping'!AT38-720)+120,IF(AND('(橫掃)RX Mapping'!AT38&gt;=721,'(橫掃)RX Mapping'!AT38&lt;=840), ('(橫掃)RX Mapping'!AT38-601),IF(AND('(橫掃)RX Mapping'!AT38&gt;=841,'(橫掃)RX Mapping'!AT38&lt;=960), (-1)*('(橫掃)RX Mapping'!AT38-960)+120,9999))))))))</f>
        <v>9999</v>
      </c>
      <c r="AU38">
        <f>IF(AND('(橫掃)RX Mapping'!AU38&gt;=1,'(橫掃)RX Mapping'!AU38&lt;=120), ('(橫掃)RX Mapping'!AU38-1),IF(AND('(橫掃)RX Mapping'!AU38&gt;=121,'(橫掃)RX Mapping'!AU38&lt;=240), (-1)*('(橫掃)RX Mapping'!AU38-240),IF(AND('(橫掃)RX Mapping'!AU38&gt;=241,'(橫掃)RX Mapping'!AU38&lt;=360), ('(橫掃)RX Mapping'!AU38-241),IF(AND('(橫掃)RX Mapping'!AU38&gt;=361,'(橫掃)RX Mapping'!AU38&lt;=480), (-1)*('(橫掃)RX Mapping'!AU38-480),IF(AND('(橫掃)RX Mapping'!AU38&gt;=481,'(橫掃)RX Mapping'!AU38&lt;=600), ('(橫掃)RX Mapping'!AU38-361),IF(AND('(橫掃)RX Mapping'!AU38&gt;=601,'(橫掃)RX Mapping'!AU38&lt;=720), (-1)*('(橫掃)RX Mapping'!AU38-720)+120,IF(AND('(橫掃)RX Mapping'!AU38&gt;=721,'(橫掃)RX Mapping'!AU38&lt;=840), ('(橫掃)RX Mapping'!AU38-601),IF(AND('(橫掃)RX Mapping'!AU38&gt;=841,'(橫掃)RX Mapping'!AU38&lt;=960), (-1)*('(橫掃)RX Mapping'!AU38-960)+120,9999))))))))</f>
        <v>9999</v>
      </c>
      <c r="AV38">
        <f>IF(AND('(橫掃)RX Mapping'!AV38&gt;=1,'(橫掃)RX Mapping'!AV38&lt;=120), ('(橫掃)RX Mapping'!AV38-1),IF(AND('(橫掃)RX Mapping'!AV38&gt;=121,'(橫掃)RX Mapping'!AV38&lt;=240), (-1)*('(橫掃)RX Mapping'!AV38-240),IF(AND('(橫掃)RX Mapping'!AV38&gt;=241,'(橫掃)RX Mapping'!AV38&lt;=360), ('(橫掃)RX Mapping'!AV38-241),IF(AND('(橫掃)RX Mapping'!AV38&gt;=361,'(橫掃)RX Mapping'!AV38&lt;=480), (-1)*('(橫掃)RX Mapping'!AV38-480),IF(AND('(橫掃)RX Mapping'!AV38&gt;=481,'(橫掃)RX Mapping'!AV38&lt;=600), ('(橫掃)RX Mapping'!AV38-361),IF(AND('(橫掃)RX Mapping'!AV38&gt;=601,'(橫掃)RX Mapping'!AV38&lt;=720), (-1)*('(橫掃)RX Mapping'!AV38-720)+120,IF(AND('(橫掃)RX Mapping'!AV38&gt;=721,'(橫掃)RX Mapping'!AV38&lt;=840), ('(橫掃)RX Mapping'!AV38-601),IF(AND('(橫掃)RX Mapping'!AV38&gt;=841,'(橫掃)RX Mapping'!AV38&lt;=960), (-1)*('(橫掃)RX Mapping'!AV38-960)+120,9999))))))))</f>
        <v>9999</v>
      </c>
      <c r="AW38">
        <f>IF(AND('(橫掃)RX Mapping'!AW38&gt;=1,'(橫掃)RX Mapping'!AW38&lt;=120), ('(橫掃)RX Mapping'!AW38-1),IF(AND('(橫掃)RX Mapping'!AW38&gt;=121,'(橫掃)RX Mapping'!AW38&lt;=240), (-1)*('(橫掃)RX Mapping'!AW38-240),IF(AND('(橫掃)RX Mapping'!AW38&gt;=241,'(橫掃)RX Mapping'!AW38&lt;=360), ('(橫掃)RX Mapping'!AW38-241),IF(AND('(橫掃)RX Mapping'!AW38&gt;=361,'(橫掃)RX Mapping'!AW38&lt;=480), (-1)*('(橫掃)RX Mapping'!AW38-480),IF(AND('(橫掃)RX Mapping'!AW38&gt;=481,'(橫掃)RX Mapping'!AW38&lt;=600), ('(橫掃)RX Mapping'!AW38-361),IF(AND('(橫掃)RX Mapping'!AW38&gt;=601,'(橫掃)RX Mapping'!AW38&lt;=720), (-1)*('(橫掃)RX Mapping'!AW38-720)+120,IF(AND('(橫掃)RX Mapping'!AW38&gt;=721,'(橫掃)RX Mapping'!AW38&lt;=840), ('(橫掃)RX Mapping'!AW38-601),IF(AND('(橫掃)RX Mapping'!AW38&gt;=841,'(橫掃)RX Mapping'!AW38&lt;=960), (-1)*('(橫掃)RX Mapping'!AW38-960)+120,9999))))))))</f>
        <v>9999</v>
      </c>
      <c r="AX38">
        <f>IF(AND('(橫掃)RX Mapping'!AX38&gt;=1,'(橫掃)RX Mapping'!AX38&lt;=120), ('(橫掃)RX Mapping'!AX38-1),IF(AND('(橫掃)RX Mapping'!AX38&gt;=121,'(橫掃)RX Mapping'!AX38&lt;=240), (-1)*('(橫掃)RX Mapping'!AX38-240),IF(AND('(橫掃)RX Mapping'!AX38&gt;=241,'(橫掃)RX Mapping'!AX38&lt;=360), ('(橫掃)RX Mapping'!AX38-241),IF(AND('(橫掃)RX Mapping'!AX38&gt;=361,'(橫掃)RX Mapping'!AX38&lt;=480), (-1)*('(橫掃)RX Mapping'!AX38-480),IF(AND('(橫掃)RX Mapping'!AX38&gt;=481,'(橫掃)RX Mapping'!AX38&lt;=600), ('(橫掃)RX Mapping'!AX38-361),IF(AND('(橫掃)RX Mapping'!AX38&gt;=601,'(橫掃)RX Mapping'!AX38&lt;=720), (-1)*('(橫掃)RX Mapping'!AX38-720)+120,IF(AND('(橫掃)RX Mapping'!AX38&gt;=721,'(橫掃)RX Mapping'!AX38&lt;=840), ('(橫掃)RX Mapping'!AX38-601),IF(AND('(橫掃)RX Mapping'!AX38&gt;=841,'(橫掃)RX Mapping'!AX38&lt;=960), (-1)*('(橫掃)RX Mapping'!AX38-960)+120,9999))))))))</f>
        <v>9999</v>
      </c>
      <c r="AY38">
        <f>IF(AND('(橫掃)RX Mapping'!AY38&gt;=1,'(橫掃)RX Mapping'!AY38&lt;=120), ('(橫掃)RX Mapping'!AY38-1),IF(AND('(橫掃)RX Mapping'!AY38&gt;=121,'(橫掃)RX Mapping'!AY38&lt;=240), (-1)*('(橫掃)RX Mapping'!AY38-240),IF(AND('(橫掃)RX Mapping'!AY38&gt;=241,'(橫掃)RX Mapping'!AY38&lt;=360), ('(橫掃)RX Mapping'!AY38-241),IF(AND('(橫掃)RX Mapping'!AY38&gt;=361,'(橫掃)RX Mapping'!AY38&lt;=480), (-1)*('(橫掃)RX Mapping'!AY38-480),IF(AND('(橫掃)RX Mapping'!AY38&gt;=481,'(橫掃)RX Mapping'!AY38&lt;=600), ('(橫掃)RX Mapping'!AY38-361),IF(AND('(橫掃)RX Mapping'!AY38&gt;=601,'(橫掃)RX Mapping'!AY38&lt;=720), (-1)*('(橫掃)RX Mapping'!AY38-720)+120,IF(AND('(橫掃)RX Mapping'!AY38&gt;=721,'(橫掃)RX Mapping'!AY38&lt;=840), ('(橫掃)RX Mapping'!AY38-601),IF(AND('(橫掃)RX Mapping'!AY38&gt;=841,'(橫掃)RX Mapping'!AY38&lt;=960), (-1)*('(橫掃)RX Mapping'!AY38-960)+120,9999))))))))</f>
        <v>9999</v>
      </c>
      <c r="AZ38">
        <f>IF(AND('(橫掃)RX Mapping'!AZ38&gt;=1,'(橫掃)RX Mapping'!AZ38&lt;=120), ('(橫掃)RX Mapping'!AZ38-1),IF(AND('(橫掃)RX Mapping'!AZ38&gt;=121,'(橫掃)RX Mapping'!AZ38&lt;=240), (-1)*('(橫掃)RX Mapping'!AZ38-240),IF(AND('(橫掃)RX Mapping'!AZ38&gt;=241,'(橫掃)RX Mapping'!AZ38&lt;=360), ('(橫掃)RX Mapping'!AZ38-241),IF(AND('(橫掃)RX Mapping'!AZ38&gt;=361,'(橫掃)RX Mapping'!AZ38&lt;=480), (-1)*('(橫掃)RX Mapping'!AZ38-480),IF(AND('(橫掃)RX Mapping'!AZ38&gt;=481,'(橫掃)RX Mapping'!AZ38&lt;=600), ('(橫掃)RX Mapping'!AZ38-361),IF(AND('(橫掃)RX Mapping'!AZ38&gt;=601,'(橫掃)RX Mapping'!AZ38&lt;=720), (-1)*('(橫掃)RX Mapping'!AZ38-720)+120,IF(AND('(橫掃)RX Mapping'!AZ38&gt;=721,'(橫掃)RX Mapping'!AZ38&lt;=840), ('(橫掃)RX Mapping'!AZ38-601),IF(AND('(橫掃)RX Mapping'!AZ38&gt;=841,'(橫掃)RX Mapping'!AZ38&lt;=960), (-1)*('(橫掃)RX Mapping'!AZ38-960)+120,9999))))))))</f>
        <v>9999</v>
      </c>
      <c r="BA38">
        <f>IF(AND('(橫掃)RX Mapping'!BA38&gt;=1,'(橫掃)RX Mapping'!BA38&lt;=120), ('(橫掃)RX Mapping'!BA38-1),IF(AND('(橫掃)RX Mapping'!BA38&gt;=121,'(橫掃)RX Mapping'!BA38&lt;=240), (-1)*('(橫掃)RX Mapping'!BA38-240),IF(AND('(橫掃)RX Mapping'!BA38&gt;=241,'(橫掃)RX Mapping'!BA38&lt;=360), ('(橫掃)RX Mapping'!BA38-241),IF(AND('(橫掃)RX Mapping'!BA38&gt;=361,'(橫掃)RX Mapping'!BA38&lt;=480), (-1)*('(橫掃)RX Mapping'!BA38-480),IF(AND('(橫掃)RX Mapping'!BA38&gt;=481,'(橫掃)RX Mapping'!BA38&lt;=600), ('(橫掃)RX Mapping'!BA38-361),IF(AND('(橫掃)RX Mapping'!BA38&gt;=601,'(橫掃)RX Mapping'!BA38&lt;=720), (-1)*('(橫掃)RX Mapping'!BA38-720)+120,IF(AND('(橫掃)RX Mapping'!BA38&gt;=721,'(橫掃)RX Mapping'!BA38&lt;=840), ('(橫掃)RX Mapping'!BA38-601),IF(AND('(橫掃)RX Mapping'!BA38&gt;=841,'(橫掃)RX Mapping'!BA38&lt;=960), (-1)*('(橫掃)RX Mapping'!BA38-960)+120,9999))))))))</f>
        <v>9999</v>
      </c>
      <c r="BB38">
        <f>IF(AND('(橫掃)RX Mapping'!BB38&gt;=1,'(橫掃)RX Mapping'!BB38&lt;=120), ('(橫掃)RX Mapping'!BB38-1),IF(AND('(橫掃)RX Mapping'!BB38&gt;=121,'(橫掃)RX Mapping'!BB38&lt;=240), (-1)*('(橫掃)RX Mapping'!BB38-240),IF(AND('(橫掃)RX Mapping'!BB38&gt;=241,'(橫掃)RX Mapping'!BB38&lt;=360), ('(橫掃)RX Mapping'!BB38-241),IF(AND('(橫掃)RX Mapping'!BB38&gt;=361,'(橫掃)RX Mapping'!BB38&lt;=480), (-1)*('(橫掃)RX Mapping'!BB38-480),IF(AND('(橫掃)RX Mapping'!BB38&gt;=481,'(橫掃)RX Mapping'!BB38&lt;=600), ('(橫掃)RX Mapping'!BB38-361),IF(AND('(橫掃)RX Mapping'!BB38&gt;=601,'(橫掃)RX Mapping'!BB38&lt;=720), (-1)*('(橫掃)RX Mapping'!BB38-720)+120,IF(AND('(橫掃)RX Mapping'!BB38&gt;=721,'(橫掃)RX Mapping'!BB38&lt;=840), ('(橫掃)RX Mapping'!BB38-601),IF(AND('(橫掃)RX Mapping'!BB38&gt;=841,'(橫掃)RX Mapping'!BB38&lt;=960), (-1)*('(橫掃)RX Mapping'!BB38-960)+120,9999))))))))</f>
        <v>9999</v>
      </c>
      <c r="BC38">
        <f>IF(AND('(橫掃)RX Mapping'!BC38&gt;=1,'(橫掃)RX Mapping'!BC38&lt;=120), ('(橫掃)RX Mapping'!BC38-1),IF(AND('(橫掃)RX Mapping'!BC38&gt;=121,'(橫掃)RX Mapping'!BC38&lt;=240), (-1)*('(橫掃)RX Mapping'!BC38-240),IF(AND('(橫掃)RX Mapping'!BC38&gt;=241,'(橫掃)RX Mapping'!BC38&lt;=360), ('(橫掃)RX Mapping'!BC38-241),IF(AND('(橫掃)RX Mapping'!BC38&gt;=361,'(橫掃)RX Mapping'!BC38&lt;=480), (-1)*('(橫掃)RX Mapping'!BC38-480),IF(AND('(橫掃)RX Mapping'!BC38&gt;=481,'(橫掃)RX Mapping'!BC38&lt;=600), ('(橫掃)RX Mapping'!BC38-361),IF(AND('(橫掃)RX Mapping'!BC38&gt;=601,'(橫掃)RX Mapping'!BC38&lt;=720), (-1)*('(橫掃)RX Mapping'!BC38-720)+120,IF(AND('(橫掃)RX Mapping'!BC38&gt;=721,'(橫掃)RX Mapping'!BC38&lt;=840), ('(橫掃)RX Mapping'!BC38-601),IF(AND('(橫掃)RX Mapping'!BC38&gt;=841,'(橫掃)RX Mapping'!BC38&lt;=960), (-1)*('(橫掃)RX Mapping'!BC38-960)+120,9999))))))))</f>
        <v>9999</v>
      </c>
      <c r="BD38">
        <f>IF(AND('(橫掃)RX Mapping'!BD38&gt;=1,'(橫掃)RX Mapping'!BD38&lt;=120), ('(橫掃)RX Mapping'!BD38-1),IF(AND('(橫掃)RX Mapping'!BD38&gt;=121,'(橫掃)RX Mapping'!BD38&lt;=240), (-1)*('(橫掃)RX Mapping'!BD38-240),IF(AND('(橫掃)RX Mapping'!BD38&gt;=241,'(橫掃)RX Mapping'!BD38&lt;=360), ('(橫掃)RX Mapping'!BD38-241),IF(AND('(橫掃)RX Mapping'!BD38&gt;=361,'(橫掃)RX Mapping'!BD38&lt;=480), (-1)*('(橫掃)RX Mapping'!BD38-480),IF(AND('(橫掃)RX Mapping'!BD38&gt;=481,'(橫掃)RX Mapping'!BD38&lt;=600), ('(橫掃)RX Mapping'!BD38-361),IF(AND('(橫掃)RX Mapping'!BD38&gt;=601,'(橫掃)RX Mapping'!BD38&lt;=720), (-1)*('(橫掃)RX Mapping'!BD38-720)+120,IF(AND('(橫掃)RX Mapping'!BD38&gt;=721,'(橫掃)RX Mapping'!BD38&lt;=840), ('(橫掃)RX Mapping'!BD38-601),IF(AND('(橫掃)RX Mapping'!BD38&gt;=841,'(橫掃)RX Mapping'!BD38&lt;=960), (-1)*('(橫掃)RX Mapping'!BD38-960)+120,9999))))))))</f>
        <v>9999</v>
      </c>
      <c r="BE38">
        <f>IF(AND('(橫掃)RX Mapping'!BE38&gt;=1,'(橫掃)RX Mapping'!BE38&lt;=120), ('(橫掃)RX Mapping'!BE38-1),IF(AND('(橫掃)RX Mapping'!BE38&gt;=121,'(橫掃)RX Mapping'!BE38&lt;=240), (-1)*('(橫掃)RX Mapping'!BE38-240),IF(AND('(橫掃)RX Mapping'!BE38&gt;=241,'(橫掃)RX Mapping'!BE38&lt;=360), ('(橫掃)RX Mapping'!BE38-241),IF(AND('(橫掃)RX Mapping'!BE38&gt;=361,'(橫掃)RX Mapping'!BE38&lt;=480), (-1)*('(橫掃)RX Mapping'!BE38-480),IF(AND('(橫掃)RX Mapping'!BE38&gt;=481,'(橫掃)RX Mapping'!BE38&lt;=600), ('(橫掃)RX Mapping'!BE38-361),IF(AND('(橫掃)RX Mapping'!BE38&gt;=601,'(橫掃)RX Mapping'!BE38&lt;=720), (-1)*('(橫掃)RX Mapping'!BE38-720)+120,IF(AND('(橫掃)RX Mapping'!BE38&gt;=721,'(橫掃)RX Mapping'!BE38&lt;=840), ('(橫掃)RX Mapping'!BE38-601),IF(AND('(橫掃)RX Mapping'!BE38&gt;=841,'(橫掃)RX Mapping'!BE38&lt;=960), (-1)*('(橫掃)RX Mapping'!BE38-960)+120,9999))))))))</f>
        <v>9999</v>
      </c>
      <c r="BF38">
        <f>IF(AND('(橫掃)RX Mapping'!BF38&gt;=1,'(橫掃)RX Mapping'!BF38&lt;=120), ('(橫掃)RX Mapping'!BF38-1),IF(AND('(橫掃)RX Mapping'!BF38&gt;=121,'(橫掃)RX Mapping'!BF38&lt;=240), (-1)*('(橫掃)RX Mapping'!BF38-240),IF(AND('(橫掃)RX Mapping'!BF38&gt;=241,'(橫掃)RX Mapping'!BF38&lt;=360), ('(橫掃)RX Mapping'!BF38-241),IF(AND('(橫掃)RX Mapping'!BF38&gt;=361,'(橫掃)RX Mapping'!BF38&lt;=480), (-1)*('(橫掃)RX Mapping'!BF38-480),IF(AND('(橫掃)RX Mapping'!BF38&gt;=481,'(橫掃)RX Mapping'!BF38&lt;=600), ('(橫掃)RX Mapping'!BF38-361),IF(AND('(橫掃)RX Mapping'!BF38&gt;=601,'(橫掃)RX Mapping'!BF38&lt;=720), (-1)*('(橫掃)RX Mapping'!BF38-720)+120,IF(AND('(橫掃)RX Mapping'!BF38&gt;=721,'(橫掃)RX Mapping'!BF38&lt;=840), ('(橫掃)RX Mapping'!BF38-601),IF(AND('(橫掃)RX Mapping'!BF38&gt;=841,'(橫掃)RX Mapping'!BF38&lt;=960), (-1)*('(橫掃)RX Mapping'!BF38-960)+120,9999))))))))</f>
        <v>9999</v>
      </c>
      <c r="BG38">
        <f>IF(AND('(橫掃)RX Mapping'!BG38&gt;=1,'(橫掃)RX Mapping'!BG38&lt;=120), ('(橫掃)RX Mapping'!BG38-1),IF(AND('(橫掃)RX Mapping'!BG38&gt;=121,'(橫掃)RX Mapping'!BG38&lt;=240), (-1)*('(橫掃)RX Mapping'!BG38-240),IF(AND('(橫掃)RX Mapping'!BG38&gt;=241,'(橫掃)RX Mapping'!BG38&lt;=360), ('(橫掃)RX Mapping'!BG38-241),IF(AND('(橫掃)RX Mapping'!BG38&gt;=361,'(橫掃)RX Mapping'!BG38&lt;=480), (-1)*('(橫掃)RX Mapping'!BG38-480),IF(AND('(橫掃)RX Mapping'!BG38&gt;=481,'(橫掃)RX Mapping'!BG38&lt;=600), ('(橫掃)RX Mapping'!BG38-361),IF(AND('(橫掃)RX Mapping'!BG38&gt;=601,'(橫掃)RX Mapping'!BG38&lt;=720), (-1)*('(橫掃)RX Mapping'!BG38-720)+120,IF(AND('(橫掃)RX Mapping'!BG38&gt;=721,'(橫掃)RX Mapping'!BG38&lt;=840), ('(橫掃)RX Mapping'!BG38-601),IF(AND('(橫掃)RX Mapping'!BG38&gt;=841,'(橫掃)RX Mapping'!BG38&lt;=960), (-1)*('(橫掃)RX Mapping'!BG38-960)+120,9999))))))))</f>
        <v>9999</v>
      </c>
      <c r="BH38">
        <f>IF(AND('(橫掃)RX Mapping'!BH38&gt;=1,'(橫掃)RX Mapping'!BH38&lt;=120), ('(橫掃)RX Mapping'!BH38-1),IF(AND('(橫掃)RX Mapping'!BH38&gt;=121,'(橫掃)RX Mapping'!BH38&lt;=240), (-1)*('(橫掃)RX Mapping'!BH38-240),IF(AND('(橫掃)RX Mapping'!BH38&gt;=241,'(橫掃)RX Mapping'!BH38&lt;=360), ('(橫掃)RX Mapping'!BH38-241),IF(AND('(橫掃)RX Mapping'!BH38&gt;=361,'(橫掃)RX Mapping'!BH38&lt;=480), (-1)*('(橫掃)RX Mapping'!BH38-480),IF(AND('(橫掃)RX Mapping'!BH38&gt;=481,'(橫掃)RX Mapping'!BH38&lt;=600), ('(橫掃)RX Mapping'!BH38-361),IF(AND('(橫掃)RX Mapping'!BH38&gt;=601,'(橫掃)RX Mapping'!BH38&lt;=720), (-1)*('(橫掃)RX Mapping'!BH38-720)+120,IF(AND('(橫掃)RX Mapping'!BH38&gt;=721,'(橫掃)RX Mapping'!BH38&lt;=840), ('(橫掃)RX Mapping'!BH38-601),IF(AND('(橫掃)RX Mapping'!BH38&gt;=841,'(橫掃)RX Mapping'!BH38&lt;=960), (-1)*('(橫掃)RX Mapping'!BH38-960)+120,9999))))))))</f>
        <v>9999</v>
      </c>
      <c r="BI38">
        <f>IF(AND('(橫掃)RX Mapping'!BI38&gt;=1,'(橫掃)RX Mapping'!BI38&lt;=120), ('(橫掃)RX Mapping'!BI38-1),IF(AND('(橫掃)RX Mapping'!BI38&gt;=121,'(橫掃)RX Mapping'!BI38&lt;=240), (-1)*('(橫掃)RX Mapping'!BI38-240),IF(AND('(橫掃)RX Mapping'!BI38&gt;=241,'(橫掃)RX Mapping'!BI38&lt;=360), ('(橫掃)RX Mapping'!BI38-241),IF(AND('(橫掃)RX Mapping'!BI38&gt;=361,'(橫掃)RX Mapping'!BI38&lt;=480), (-1)*('(橫掃)RX Mapping'!BI38-480),IF(AND('(橫掃)RX Mapping'!BI38&gt;=481,'(橫掃)RX Mapping'!BI38&lt;=600), ('(橫掃)RX Mapping'!BI38-361),IF(AND('(橫掃)RX Mapping'!BI38&gt;=601,'(橫掃)RX Mapping'!BI38&lt;=720), (-1)*('(橫掃)RX Mapping'!BI38-720)+120,IF(AND('(橫掃)RX Mapping'!BI38&gt;=721,'(橫掃)RX Mapping'!BI38&lt;=840), ('(橫掃)RX Mapping'!BI38-601),IF(AND('(橫掃)RX Mapping'!BI38&gt;=841,'(橫掃)RX Mapping'!BI38&lt;=960), (-1)*('(橫掃)RX Mapping'!BI38-960)+120,9999))))))))</f>
        <v>9999</v>
      </c>
    </row>
    <row r="39" spans="1:61" x14ac:dyDescent="0.25">
      <c r="A39" s="20">
        <v>38</v>
      </c>
      <c r="B39">
        <f>IF(AND('(橫掃)RX Mapping'!B39&gt;=1,'(橫掃)RX Mapping'!B39&lt;=120), ('(橫掃)RX Mapping'!B39-1),IF(AND('(橫掃)RX Mapping'!B39&gt;=121,'(橫掃)RX Mapping'!B39&lt;=240), (-1)*('(橫掃)RX Mapping'!B39-240),IF(AND('(橫掃)RX Mapping'!B39&gt;=241,'(橫掃)RX Mapping'!B39&lt;=360), ('(橫掃)RX Mapping'!B39-241),IF(AND('(橫掃)RX Mapping'!B39&gt;=361,'(橫掃)RX Mapping'!B39&lt;=480), (-1)*('(橫掃)RX Mapping'!B39-480),IF(AND('(橫掃)RX Mapping'!B39&gt;=481,'(橫掃)RX Mapping'!B39&lt;=600), ('(橫掃)RX Mapping'!B39-361),IF(AND('(橫掃)RX Mapping'!B39&gt;=601,'(橫掃)RX Mapping'!B39&lt;=720), (-1)*('(橫掃)RX Mapping'!B39-720)+120,IF(AND('(橫掃)RX Mapping'!B39&gt;=721,'(橫掃)RX Mapping'!B39&lt;=840), ('(橫掃)RX Mapping'!B39-601),IF(AND('(橫掃)RX Mapping'!B39&gt;=841,'(橫掃)RX Mapping'!B39&lt;=960), (-1)*('(橫掃)RX Mapping'!B39-960)+120,9999))))))))</f>
        <v>9999</v>
      </c>
      <c r="C39">
        <f>IF(AND('(橫掃)RX Mapping'!C39&gt;=1,'(橫掃)RX Mapping'!C39&lt;=120), ('(橫掃)RX Mapping'!C39-1),IF(AND('(橫掃)RX Mapping'!C39&gt;=121,'(橫掃)RX Mapping'!C39&lt;=240), (-1)*('(橫掃)RX Mapping'!C39-240),IF(AND('(橫掃)RX Mapping'!C39&gt;=241,'(橫掃)RX Mapping'!C39&lt;=360), ('(橫掃)RX Mapping'!C39-241),IF(AND('(橫掃)RX Mapping'!C39&gt;=361,'(橫掃)RX Mapping'!C39&lt;=480), (-1)*('(橫掃)RX Mapping'!C39-480),IF(AND('(橫掃)RX Mapping'!C39&gt;=481,'(橫掃)RX Mapping'!C39&lt;=600), ('(橫掃)RX Mapping'!C39-361),IF(AND('(橫掃)RX Mapping'!C39&gt;=601,'(橫掃)RX Mapping'!C39&lt;=720), (-1)*('(橫掃)RX Mapping'!C39-720)+120,IF(AND('(橫掃)RX Mapping'!C39&gt;=721,'(橫掃)RX Mapping'!C39&lt;=840), ('(橫掃)RX Mapping'!C39-601),IF(AND('(橫掃)RX Mapping'!C39&gt;=841,'(橫掃)RX Mapping'!C39&lt;=960), (-1)*('(橫掃)RX Mapping'!C39-960)+120,9999))))))))</f>
        <v>9999</v>
      </c>
      <c r="D39">
        <f>IF(AND('(橫掃)RX Mapping'!D39&gt;=1,'(橫掃)RX Mapping'!D39&lt;=120), ('(橫掃)RX Mapping'!D39-1),IF(AND('(橫掃)RX Mapping'!D39&gt;=121,'(橫掃)RX Mapping'!D39&lt;=240), (-1)*('(橫掃)RX Mapping'!D39-240),IF(AND('(橫掃)RX Mapping'!D39&gt;=241,'(橫掃)RX Mapping'!D39&lt;=360), ('(橫掃)RX Mapping'!D39-241),IF(AND('(橫掃)RX Mapping'!D39&gt;=361,'(橫掃)RX Mapping'!D39&lt;=480), (-1)*('(橫掃)RX Mapping'!D39-480),IF(AND('(橫掃)RX Mapping'!D39&gt;=481,'(橫掃)RX Mapping'!D39&lt;=600), ('(橫掃)RX Mapping'!D39-361),IF(AND('(橫掃)RX Mapping'!D39&gt;=601,'(橫掃)RX Mapping'!D39&lt;=720), (-1)*('(橫掃)RX Mapping'!D39-720)+120,IF(AND('(橫掃)RX Mapping'!D39&gt;=721,'(橫掃)RX Mapping'!D39&lt;=840), ('(橫掃)RX Mapping'!D39-601),IF(AND('(橫掃)RX Mapping'!D39&gt;=841,'(橫掃)RX Mapping'!D39&lt;=960), (-1)*('(橫掃)RX Mapping'!D39-960)+120,9999))))))))</f>
        <v>9999</v>
      </c>
      <c r="E39">
        <f>IF(AND('(橫掃)RX Mapping'!E39&gt;=1,'(橫掃)RX Mapping'!E39&lt;=120), ('(橫掃)RX Mapping'!E39-1),IF(AND('(橫掃)RX Mapping'!E39&gt;=121,'(橫掃)RX Mapping'!E39&lt;=240), (-1)*('(橫掃)RX Mapping'!E39-240),IF(AND('(橫掃)RX Mapping'!E39&gt;=241,'(橫掃)RX Mapping'!E39&lt;=360), ('(橫掃)RX Mapping'!E39-241),IF(AND('(橫掃)RX Mapping'!E39&gt;=361,'(橫掃)RX Mapping'!E39&lt;=480), (-1)*('(橫掃)RX Mapping'!E39-480),IF(AND('(橫掃)RX Mapping'!E39&gt;=481,'(橫掃)RX Mapping'!E39&lt;=600), ('(橫掃)RX Mapping'!E39-361),IF(AND('(橫掃)RX Mapping'!E39&gt;=601,'(橫掃)RX Mapping'!E39&lt;=720), (-1)*('(橫掃)RX Mapping'!E39-720)+120,IF(AND('(橫掃)RX Mapping'!E39&gt;=721,'(橫掃)RX Mapping'!E39&lt;=840), ('(橫掃)RX Mapping'!E39-601),IF(AND('(橫掃)RX Mapping'!E39&gt;=841,'(橫掃)RX Mapping'!E39&lt;=960), (-1)*('(橫掃)RX Mapping'!E39-960)+120,9999))))))))</f>
        <v>9999</v>
      </c>
      <c r="F39">
        <f>IF(AND('(橫掃)RX Mapping'!F39&gt;=1,'(橫掃)RX Mapping'!F39&lt;=120), ('(橫掃)RX Mapping'!F39-1),IF(AND('(橫掃)RX Mapping'!F39&gt;=121,'(橫掃)RX Mapping'!F39&lt;=240), (-1)*('(橫掃)RX Mapping'!F39-240),IF(AND('(橫掃)RX Mapping'!F39&gt;=241,'(橫掃)RX Mapping'!F39&lt;=360), ('(橫掃)RX Mapping'!F39-241),IF(AND('(橫掃)RX Mapping'!F39&gt;=361,'(橫掃)RX Mapping'!F39&lt;=480), (-1)*('(橫掃)RX Mapping'!F39-480),IF(AND('(橫掃)RX Mapping'!F39&gt;=481,'(橫掃)RX Mapping'!F39&lt;=600), ('(橫掃)RX Mapping'!F39-361),IF(AND('(橫掃)RX Mapping'!F39&gt;=601,'(橫掃)RX Mapping'!F39&lt;=720), (-1)*('(橫掃)RX Mapping'!F39-720)+120,IF(AND('(橫掃)RX Mapping'!F39&gt;=721,'(橫掃)RX Mapping'!F39&lt;=840), ('(橫掃)RX Mapping'!F39-601),IF(AND('(橫掃)RX Mapping'!F39&gt;=841,'(橫掃)RX Mapping'!F39&lt;=960), (-1)*('(橫掃)RX Mapping'!F39-960)+120,9999))))))))</f>
        <v>9999</v>
      </c>
      <c r="G39">
        <f>IF(AND('(橫掃)RX Mapping'!G39&gt;=1,'(橫掃)RX Mapping'!G39&lt;=120), ('(橫掃)RX Mapping'!G39-1),IF(AND('(橫掃)RX Mapping'!G39&gt;=121,'(橫掃)RX Mapping'!G39&lt;=240), (-1)*('(橫掃)RX Mapping'!G39-240),IF(AND('(橫掃)RX Mapping'!G39&gt;=241,'(橫掃)RX Mapping'!G39&lt;=360), ('(橫掃)RX Mapping'!G39-241),IF(AND('(橫掃)RX Mapping'!G39&gt;=361,'(橫掃)RX Mapping'!G39&lt;=480), (-1)*('(橫掃)RX Mapping'!G39-480),IF(AND('(橫掃)RX Mapping'!G39&gt;=481,'(橫掃)RX Mapping'!G39&lt;=600), ('(橫掃)RX Mapping'!G39-361),IF(AND('(橫掃)RX Mapping'!G39&gt;=601,'(橫掃)RX Mapping'!G39&lt;=720), (-1)*('(橫掃)RX Mapping'!G39-720)+120,IF(AND('(橫掃)RX Mapping'!G39&gt;=721,'(橫掃)RX Mapping'!G39&lt;=840), ('(橫掃)RX Mapping'!G39-601),IF(AND('(橫掃)RX Mapping'!G39&gt;=841,'(橫掃)RX Mapping'!G39&lt;=960), (-1)*('(橫掃)RX Mapping'!G39-960)+120,9999))))))))</f>
        <v>9999</v>
      </c>
      <c r="H39">
        <f>IF(AND('(橫掃)RX Mapping'!H39&gt;=1,'(橫掃)RX Mapping'!H39&lt;=120), ('(橫掃)RX Mapping'!H39-1),IF(AND('(橫掃)RX Mapping'!H39&gt;=121,'(橫掃)RX Mapping'!H39&lt;=240), (-1)*('(橫掃)RX Mapping'!H39-240),IF(AND('(橫掃)RX Mapping'!H39&gt;=241,'(橫掃)RX Mapping'!H39&lt;=360), ('(橫掃)RX Mapping'!H39-241),IF(AND('(橫掃)RX Mapping'!H39&gt;=361,'(橫掃)RX Mapping'!H39&lt;=480), (-1)*('(橫掃)RX Mapping'!H39-480),IF(AND('(橫掃)RX Mapping'!H39&gt;=481,'(橫掃)RX Mapping'!H39&lt;=600), ('(橫掃)RX Mapping'!H39-361),IF(AND('(橫掃)RX Mapping'!H39&gt;=601,'(橫掃)RX Mapping'!H39&lt;=720), (-1)*('(橫掃)RX Mapping'!H39-720)+120,IF(AND('(橫掃)RX Mapping'!H39&gt;=721,'(橫掃)RX Mapping'!H39&lt;=840), ('(橫掃)RX Mapping'!H39-601),IF(AND('(橫掃)RX Mapping'!H39&gt;=841,'(橫掃)RX Mapping'!H39&lt;=960), (-1)*('(橫掃)RX Mapping'!H39-960)+120,9999))))))))</f>
        <v>9999</v>
      </c>
      <c r="I39">
        <f>IF(AND('(橫掃)RX Mapping'!I39&gt;=1,'(橫掃)RX Mapping'!I39&lt;=120), ('(橫掃)RX Mapping'!I39-1),IF(AND('(橫掃)RX Mapping'!I39&gt;=121,'(橫掃)RX Mapping'!I39&lt;=240), (-1)*('(橫掃)RX Mapping'!I39-240),IF(AND('(橫掃)RX Mapping'!I39&gt;=241,'(橫掃)RX Mapping'!I39&lt;=360), ('(橫掃)RX Mapping'!I39-241),IF(AND('(橫掃)RX Mapping'!I39&gt;=361,'(橫掃)RX Mapping'!I39&lt;=480), (-1)*('(橫掃)RX Mapping'!I39-480),IF(AND('(橫掃)RX Mapping'!I39&gt;=481,'(橫掃)RX Mapping'!I39&lt;=600), ('(橫掃)RX Mapping'!I39-361),IF(AND('(橫掃)RX Mapping'!I39&gt;=601,'(橫掃)RX Mapping'!I39&lt;=720), (-1)*('(橫掃)RX Mapping'!I39-720)+120,IF(AND('(橫掃)RX Mapping'!I39&gt;=721,'(橫掃)RX Mapping'!I39&lt;=840), ('(橫掃)RX Mapping'!I39-601),IF(AND('(橫掃)RX Mapping'!I39&gt;=841,'(橫掃)RX Mapping'!I39&lt;=960), (-1)*('(橫掃)RX Mapping'!I39-960)+120,9999))))))))</f>
        <v>9999</v>
      </c>
      <c r="J39">
        <f>IF(AND('(橫掃)RX Mapping'!J39&gt;=1,'(橫掃)RX Mapping'!J39&lt;=120), ('(橫掃)RX Mapping'!J39-1),IF(AND('(橫掃)RX Mapping'!J39&gt;=121,'(橫掃)RX Mapping'!J39&lt;=240), (-1)*('(橫掃)RX Mapping'!J39-240),IF(AND('(橫掃)RX Mapping'!J39&gt;=241,'(橫掃)RX Mapping'!J39&lt;=360), ('(橫掃)RX Mapping'!J39-241),IF(AND('(橫掃)RX Mapping'!J39&gt;=361,'(橫掃)RX Mapping'!J39&lt;=480), (-1)*('(橫掃)RX Mapping'!J39-480),IF(AND('(橫掃)RX Mapping'!J39&gt;=481,'(橫掃)RX Mapping'!J39&lt;=600), ('(橫掃)RX Mapping'!J39-361),IF(AND('(橫掃)RX Mapping'!J39&gt;=601,'(橫掃)RX Mapping'!J39&lt;=720), (-1)*('(橫掃)RX Mapping'!J39-720)+120,IF(AND('(橫掃)RX Mapping'!J39&gt;=721,'(橫掃)RX Mapping'!J39&lt;=840), ('(橫掃)RX Mapping'!J39-601),IF(AND('(橫掃)RX Mapping'!J39&gt;=841,'(橫掃)RX Mapping'!J39&lt;=960), (-1)*('(橫掃)RX Mapping'!J39-960)+120,9999))))))))</f>
        <v>9999</v>
      </c>
      <c r="K39">
        <f>IF(AND('(橫掃)RX Mapping'!K39&gt;=1,'(橫掃)RX Mapping'!K39&lt;=120), ('(橫掃)RX Mapping'!K39-1),IF(AND('(橫掃)RX Mapping'!K39&gt;=121,'(橫掃)RX Mapping'!K39&lt;=240), (-1)*('(橫掃)RX Mapping'!K39-240),IF(AND('(橫掃)RX Mapping'!K39&gt;=241,'(橫掃)RX Mapping'!K39&lt;=360), ('(橫掃)RX Mapping'!K39-241),IF(AND('(橫掃)RX Mapping'!K39&gt;=361,'(橫掃)RX Mapping'!K39&lt;=480), (-1)*('(橫掃)RX Mapping'!K39-480),IF(AND('(橫掃)RX Mapping'!K39&gt;=481,'(橫掃)RX Mapping'!K39&lt;=600), ('(橫掃)RX Mapping'!K39-361),IF(AND('(橫掃)RX Mapping'!K39&gt;=601,'(橫掃)RX Mapping'!K39&lt;=720), (-1)*('(橫掃)RX Mapping'!K39-720)+120,IF(AND('(橫掃)RX Mapping'!K39&gt;=721,'(橫掃)RX Mapping'!K39&lt;=840), ('(橫掃)RX Mapping'!K39-601),IF(AND('(橫掃)RX Mapping'!K39&gt;=841,'(橫掃)RX Mapping'!K39&lt;=960), (-1)*('(橫掃)RX Mapping'!K39-960)+120,9999))))))))</f>
        <v>9999</v>
      </c>
      <c r="L39">
        <f>IF(AND('(橫掃)RX Mapping'!L39&gt;=1,'(橫掃)RX Mapping'!L39&lt;=120), ('(橫掃)RX Mapping'!L39-1),IF(AND('(橫掃)RX Mapping'!L39&gt;=121,'(橫掃)RX Mapping'!L39&lt;=240), (-1)*('(橫掃)RX Mapping'!L39-240),IF(AND('(橫掃)RX Mapping'!L39&gt;=241,'(橫掃)RX Mapping'!L39&lt;=360), ('(橫掃)RX Mapping'!L39-241),IF(AND('(橫掃)RX Mapping'!L39&gt;=361,'(橫掃)RX Mapping'!L39&lt;=480), (-1)*('(橫掃)RX Mapping'!L39-480),IF(AND('(橫掃)RX Mapping'!L39&gt;=481,'(橫掃)RX Mapping'!L39&lt;=600), ('(橫掃)RX Mapping'!L39-361),IF(AND('(橫掃)RX Mapping'!L39&gt;=601,'(橫掃)RX Mapping'!L39&lt;=720), (-1)*('(橫掃)RX Mapping'!L39-720)+120,IF(AND('(橫掃)RX Mapping'!L39&gt;=721,'(橫掃)RX Mapping'!L39&lt;=840), ('(橫掃)RX Mapping'!L39-601),IF(AND('(橫掃)RX Mapping'!L39&gt;=841,'(橫掃)RX Mapping'!L39&lt;=960), (-1)*('(橫掃)RX Mapping'!L39-960)+120,9999))))))))</f>
        <v>9999</v>
      </c>
      <c r="M39">
        <f>IF(AND('(橫掃)RX Mapping'!M39&gt;=1,'(橫掃)RX Mapping'!M39&lt;=120), ('(橫掃)RX Mapping'!M39-1),IF(AND('(橫掃)RX Mapping'!M39&gt;=121,'(橫掃)RX Mapping'!M39&lt;=240), (-1)*('(橫掃)RX Mapping'!M39-240),IF(AND('(橫掃)RX Mapping'!M39&gt;=241,'(橫掃)RX Mapping'!M39&lt;=360), ('(橫掃)RX Mapping'!M39-241),IF(AND('(橫掃)RX Mapping'!M39&gt;=361,'(橫掃)RX Mapping'!M39&lt;=480), (-1)*('(橫掃)RX Mapping'!M39-480),IF(AND('(橫掃)RX Mapping'!M39&gt;=481,'(橫掃)RX Mapping'!M39&lt;=600), ('(橫掃)RX Mapping'!M39-361),IF(AND('(橫掃)RX Mapping'!M39&gt;=601,'(橫掃)RX Mapping'!M39&lt;=720), (-1)*('(橫掃)RX Mapping'!M39-720)+120,IF(AND('(橫掃)RX Mapping'!M39&gt;=721,'(橫掃)RX Mapping'!M39&lt;=840), ('(橫掃)RX Mapping'!M39-601),IF(AND('(橫掃)RX Mapping'!M39&gt;=841,'(橫掃)RX Mapping'!M39&lt;=960), (-1)*('(橫掃)RX Mapping'!M39-960)+120,9999))))))))</f>
        <v>9999</v>
      </c>
      <c r="N39">
        <f>IF(AND('(橫掃)RX Mapping'!N39&gt;=1,'(橫掃)RX Mapping'!N39&lt;=120), ('(橫掃)RX Mapping'!N39-1),IF(AND('(橫掃)RX Mapping'!N39&gt;=121,'(橫掃)RX Mapping'!N39&lt;=240), (-1)*('(橫掃)RX Mapping'!N39-240),IF(AND('(橫掃)RX Mapping'!N39&gt;=241,'(橫掃)RX Mapping'!N39&lt;=360), ('(橫掃)RX Mapping'!N39-241),IF(AND('(橫掃)RX Mapping'!N39&gt;=361,'(橫掃)RX Mapping'!N39&lt;=480), (-1)*('(橫掃)RX Mapping'!N39-480),IF(AND('(橫掃)RX Mapping'!N39&gt;=481,'(橫掃)RX Mapping'!N39&lt;=600), ('(橫掃)RX Mapping'!N39-361),IF(AND('(橫掃)RX Mapping'!N39&gt;=601,'(橫掃)RX Mapping'!N39&lt;=720), (-1)*('(橫掃)RX Mapping'!N39-720)+120,IF(AND('(橫掃)RX Mapping'!N39&gt;=721,'(橫掃)RX Mapping'!N39&lt;=840), ('(橫掃)RX Mapping'!N39-601),IF(AND('(橫掃)RX Mapping'!N39&gt;=841,'(橫掃)RX Mapping'!N39&lt;=960), (-1)*('(橫掃)RX Mapping'!N39-960)+120,9999))))))))</f>
        <v>9999</v>
      </c>
      <c r="O39">
        <f>IF(AND('(橫掃)RX Mapping'!O39&gt;=1,'(橫掃)RX Mapping'!O39&lt;=120), ('(橫掃)RX Mapping'!O39-1),IF(AND('(橫掃)RX Mapping'!O39&gt;=121,'(橫掃)RX Mapping'!O39&lt;=240), (-1)*('(橫掃)RX Mapping'!O39-240),IF(AND('(橫掃)RX Mapping'!O39&gt;=241,'(橫掃)RX Mapping'!O39&lt;=360), ('(橫掃)RX Mapping'!O39-241),IF(AND('(橫掃)RX Mapping'!O39&gt;=361,'(橫掃)RX Mapping'!O39&lt;=480), (-1)*('(橫掃)RX Mapping'!O39-480),IF(AND('(橫掃)RX Mapping'!O39&gt;=481,'(橫掃)RX Mapping'!O39&lt;=600), ('(橫掃)RX Mapping'!O39-361),IF(AND('(橫掃)RX Mapping'!O39&gt;=601,'(橫掃)RX Mapping'!O39&lt;=720), (-1)*('(橫掃)RX Mapping'!O39-720)+120,IF(AND('(橫掃)RX Mapping'!O39&gt;=721,'(橫掃)RX Mapping'!O39&lt;=840), ('(橫掃)RX Mapping'!O39-601),IF(AND('(橫掃)RX Mapping'!O39&gt;=841,'(橫掃)RX Mapping'!O39&lt;=960), (-1)*('(橫掃)RX Mapping'!O39-960)+120,9999))))))))</f>
        <v>9999</v>
      </c>
      <c r="P39">
        <f>IF(AND('(橫掃)RX Mapping'!P39&gt;=1,'(橫掃)RX Mapping'!P39&lt;=120), ('(橫掃)RX Mapping'!P39-1),IF(AND('(橫掃)RX Mapping'!P39&gt;=121,'(橫掃)RX Mapping'!P39&lt;=240), (-1)*('(橫掃)RX Mapping'!P39-240),IF(AND('(橫掃)RX Mapping'!P39&gt;=241,'(橫掃)RX Mapping'!P39&lt;=360), ('(橫掃)RX Mapping'!P39-241),IF(AND('(橫掃)RX Mapping'!P39&gt;=361,'(橫掃)RX Mapping'!P39&lt;=480), (-1)*('(橫掃)RX Mapping'!P39-480),IF(AND('(橫掃)RX Mapping'!P39&gt;=481,'(橫掃)RX Mapping'!P39&lt;=600), ('(橫掃)RX Mapping'!P39-361),IF(AND('(橫掃)RX Mapping'!P39&gt;=601,'(橫掃)RX Mapping'!P39&lt;=720), (-1)*('(橫掃)RX Mapping'!P39-720)+120,IF(AND('(橫掃)RX Mapping'!P39&gt;=721,'(橫掃)RX Mapping'!P39&lt;=840), ('(橫掃)RX Mapping'!P39-601),IF(AND('(橫掃)RX Mapping'!P39&gt;=841,'(橫掃)RX Mapping'!P39&lt;=960), (-1)*('(橫掃)RX Mapping'!P39-960)+120,9999))))))))</f>
        <v>9999</v>
      </c>
      <c r="Q39">
        <f>IF(AND('(橫掃)RX Mapping'!Q39&gt;=1,'(橫掃)RX Mapping'!Q39&lt;=120), ('(橫掃)RX Mapping'!Q39-1),IF(AND('(橫掃)RX Mapping'!Q39&gt;=121,'(橫掃)RX Mapping'!Q39&lt;=240), (-1)*('(橫掃)RX Mapping'!Q39-240),IF(AND('(橫掃)RX Mapping'!Q39&gt;=241,'(橫掃)RX Mapping'!Q39&lt;=360), ('(橫掃)RX Mapping'!Q39-241),IF(AND('(橫掃)RX Mapping'!Q39&gt;=361,'(橫掃)RX Mapping'!Q39&lt;=480), (-1)*('(橫掃)RX Mapping'!Q39-480),IF(AND('(橫掃)RX Mapping'!Q39&gt;=481,'(橫掃)RX Mapping'!Q39&lt;=600), ('(橫掃)RX Mapping'!Q39-361),IF(AND('(橫掃)RX Mapping'!Q39&gt;=601,'(橫掃)RX Mapping'!Q39&lt;=720), (-1)*('(橫掃)RX Mapping'!Q39-720)+120,IF(AND('(橫掃)RX Mapping'!Q39&gt;=721,'(橫掃)RX Mapping'!Q39&lt;=840), ('(橫掃)RX Mapping'!Q39-601),IF(AND('(橫掃)RX Mapping'!Q39&gt;=841,'(橫掃)RX Mapping'!Q39&lt;=960), (-1)*('(橫掃)RX Mapping'!Q39-960)+120,9999))))))))</f>
        <v>9999</v>
      </c>
      <c r="R39">
        <f>IF(AND('(橫掃)RX Mapping'!R39&gt;=1,'(橫掃)RX Mapping'!R39&lt;=120), ('(橫掃)RX Mapping'!R39-1),IF(AND('(橫掃)RX Mapping'!R39&gt;=121,'(橫掃)RX Mapping'!R39&lt;=240), (-1)*('(橫掃)RX Mapping'!R39-240),IF(AND('(橫掃)RX Mapping'!R39&gt;=241,'(橫掃)RX Mapping'!R39&lt;=360), ('(橫掃)RX Mapping'!R39-241),IF(AND('(橫掃)RX Mapping'!R39&gt;=361,'(橫掃)RX Mapping'!R39&lt;=480), (-1)*('(橫掃)RX Mapping'!R39-480),IF(AND('(橫掃)RX Mapping'!R39&gt;=481,'(橫掃)RX Mapping'!R39&lt;=600), ('(橫掃)RX Mapping'!R39-361),IF(AND('(橫掃)RX Mapping'!R39&gt;=601,'(橫掃)RX Mapping'!R39&lt;=720), (-1)*('(橫掃)RX Mapping'!R39-720)+120,IF(AND('(橫掃)RX Mapping'!R39&gt;=721,'(橫掃)RX Mapping'!R39&lt;=840), ('(橫掃)RX Mapping'!R39-601),IF(AND('(橫掃)RX Mapping'!R39&gt;=841,'(橫掃)RX Mapping'!R39&lt;=960), (-1)*('(橫掃)RX Mapping'!R39-960)+120,9999))))))))</f>
        <v>9999</v>
      </c>
      <c r="S39">
        <f>IF(AND('(橫掃)RX Mapping'!S39&gt;=1,'(橫掃)RX Mapping'!S39&lt;=120), ('(橫掃)RX Mapping'!S39-1),IF(AND('(橫掃)RX Mapping'!S39&gt;=121,'(橫掃)RX Mapping'!S39&lt;=240), (-1)*('(橫掃)RX Mapping'!S39-240),IF(AND('(橫掃)RX Mapping'!S39&gt;=241,'(橫掃)RX Mapping'!S39&lt;=360), ('(橫掃)RX Mapping'!S39-241),IF(AND('(橫掃)RX Mapping'!S39&gt;=361,'(橫掃)RX Mapping'!S39&lt;=480), (-1)*('(橫掃)RX Mapping'!S39-480),IF(AND('(橫掃)RX Mapping'!S39&gt;=481,'(橫掃)RX Mapping'!S39&lt;=600), ('(橫掃)RX Mapping'!S39-361),IF(AND('(橫掃)RX Mapping'!S39&gt;=601,'(橫掃)RX Mapping'!S39&lt;=720), (-1)*('(橫掃)RX Mapping'!S39-720)+120,IF(AND('(橫掃)RX Mapping'!S39&gt;=721,'(橫掃)RX Mapping'!S39&lt;=840), ('(橫掃)RX Mapping'!S39-601),IF(AND('(橫掃)RX Mapping'!S39&gt;=841,'(橫掃)RX Mapping'!S39&lt;=960), (-1)*('(橫掃)RX Mapping'!S39-960)+120,9999))))))))</f>
        <v>9999</v>
      </c>
      <c r="T39">
        <f>IF(AND('(橫掃)RX Mapping'!T39&gt;=1,'(橫掃)RX Mapping'!T39&lt;=120), ('(橫掃)RX Mapping'!T39-1),IF(AND('(橫掃)RX Mapping'!T39&gt;=121,'(橫掃)RX Mapping'!T39&lt;=240), (-1)*('(橫掃)RX Mapping'!T39-240),IF(AND('(橫掃)RX Mapping'!T39&gt;=241,'(橫掃)RX Mapping'!T39&lt;=360), ('(橫掃)RX Mapping'!T39-241),IF(AND('(橫掃)RX Mapping'!T39&gt;=361,'(橫掃)RX Mapping'!T39&lt;=480), (-1)*('(橫掃)RX Mapping'!T39-480),IF(AND('(橫掃)RX Mapping'!T39&gt;=481,'(橫掃)RX Mapping'!T39&lt;=600), ('(橫掃)RX Mapping'!T39-361),IF(AND('(橫掃)RX Mapping'!T39&gt;=601,'(橫掃)RX Mapping'!T39&lt;=720), (-1)*('(橫掃)RX Mapping'!T39-720)+120,IF(AND('(橫掃)RX Mapping'!T39&gt;=721,'(橫掃)RX Mapping'!T39&lt;=840), ('(橫掃)RX Mapping'!T39-601),IF(AND('(橫掃)RX Mapping'!T39&gt;=841,'(橫掃)RX Mapping'!T39&lt;=960), (-1)*('(橫掃)RX Mapping'!T39-960)+120,9999))))))))</f>
        <v>9999</v>
      </c>
      <c r="U39">
        <f>IF(AND('(橫掃)RX Mapping'!U39&gt;=1,'(橫掃)RX Mapping'!U39&lt;=120), ('(橫掃)RX Mapping'!U39-1),IF(AND('(橫掃)RX Mapping'!U39&gt;=121,'(橫掃)RX Mapping'!U39&lt;=240), (-1)*('(橫掃)RX Mapping'!U39-240),IF(AND('(橫掃)RX Mapping'!U39&gt;=241,'(橫掃)RX Mapping'!U39&lt;=360), ('(橫掃)RX Mapping'!U39-241),IF(AND('(橫掃)RX Mapping'!U39&gt;=361,'(橫掃)RX Mapping'!U39&lt;=480), (-1)*('(橫掃)RX Mapping'!U39-480),IF(AND('(橫掃)RX Mapping'!U39&gt;=481,'(橫掃)RX Mapping'!U39&lt;=600), ('(橫掃)RX Mapping'!U39-361),IF(AND('(橫掃)RX Mapping'!U39&gt;=601,'(橫掃)RX Mapping'!U39&lt;=720), (-1)*('(橫掃)RX Mapping'!U39-720)+120,IF(AND('(橫掃)RX Mapping'!U39&gt;=721,'(橫掃)RX Mapping'!U39&lt;=840), ('(橫掃)RX Mapping'!U39-601),IF(AND('(橫掃)RX Mapping'!U39&gt;=841,'(橫掃)RX Mapping'!U39&lt;=960), (-1)*('(橫掃)RX Mapping'!U39-960)+120,9999))))))))</f>
        <v>9999</v>
      </c>
      <c r="V39">
        <f>IF(AND('(橫掃)RX Mapping'!V39&gt;=1,'(橫掃)RX Mapping'!V39&lt;=120), ('(橫掃)RX Mapping'!V39-1),IF(AND('(橫掃)RX Mapping'!V39&gt;=121,'(橫掃)RX Mapping'!V39&lt;=240), (-1)*('(橫掃)RX Mapping'!V39-240),IF(AND('(橫掃)RX Mapping'!V39&gt;=241,'(橫掃)RX Mapping'!V39&lt;=360), ('(橫掃)RX Mapping'!V39-241),IF(AND('(橫掃)RX Mapping'!V39&gt;=361,'(橫掃)RX Mapping'!V39&lt;=480), (-1)*('(橫掃)RX Mapping'!V39-480),IF(AND('(橫掃)RX Mapping'!V39&gt;=481,'(橫掃)RX Mapping'!V39&lt;=600), ('(橫掃)RX Mapping'!V39-361),IF(AND('(橫掃)RX Mapping'!V39&gt;=601,'(橫掃)RX Mapping'!V39&lt;=720), (-1)*('(橫掃)RX Mapping'!V39-720)+120,IF(AND('(橫掃)RX Mapping'!V39&gt;=721,'(橫掃)RX Mapping'!V39&lt;=840), ('(橫掃)RX Mapping'!V39-601),IF(AND('(橫掃)RX Mapping'!V39&gt;=841,'(橫掃)RX Mapping'!V39&lt;=960), (-1)*('(橫掃)RX Mapping'!V39-960)+120,9999))))))))</f>
        <v>9999</v>
      </c>
      <c r="W39">
        <f>IF(AND('(橫掃)RX Mapping'!W39&gt;=1,'(橫掃)RX Mapping'!W39&lt;=120), ('(橫掃)RX Mapping'!W39-1),IF(AND('(橫掃)RX Mapping'!W39&gt;=121,'(橫掃)RX Mapping'!W39&lt;=240), (-1)*('(橫掃)RX Mapping'!W39-240),IF(AND('(橫掃)RX Mapping'!W39&gt;=241,'(橫掃)RX Mapping'!W39&lt;=360), ('(橫掃)RX Mapping'!W39-241),IF(AND('(橫掃)RX Mapping'!W39&gt;=361,'(橫掃)RX Mapping'!W39&lt;=480), (-1)*('(橫掃)RX Mapping'!W39-480),IF(AND('(橫掃)RX Mapping'!W39&gt;=481,'(橫掃)RX Mapping'!W39&lt;=600), ('(橫掃)RX Mapping'!W39-361),IF(AND('(橫掃)RX Mapping'!W39&gt;=601,'(橫掃)RX Mapping'!W39&lt;=720), (-1)*('(橫掃)RX Mapping'!W39-720)+120,IF(AND('(橫掃)RX Mapping'!W39&gt;=721,'(橫掃)RX Mapping'!W39&lt;=840), ('(橫掃)RX Mapping'!W39-601),IF(AND('(橫掃)RX Mapping'!W39&gt;=841,'(橫掃)RX Mapping'!W39&lt;=960), (-1)*('(橫掃)RX Mapping'!W39-960)+120,9999))))))))</f>
        <v>9999</v>
      </c>
      <c r="X39">
        <f>IF(AND('(橫掃)RX Mapping'!X39&gt;=1,'(橫掃)RX Mapping'!X39&lt;=120), ('(橫掃)RX Mapping'!X39-1),IF(AND('(橫掃)RX Mapping'!X39&gt;=121,'(橫掃)RX Mapping'!X39&lt;=240), (-1)*('(橫掃)RX Mapping'!X39-240),IF(AND('(橫掃)RX Mapping'!X39&gt;=241,'(橫掃)RX Mapping'!X39&lt;=360), ('(橫掃)RX Mapping'!X39-241),IF(AND('(橫掃)RX Mapping'!X39&gt;=361,'(橫掃)RX Mapping'!X39&lt;=480), (-1)*('(橫掃)RX Mapping'!X39-480),IF(AND('(橫掃)RX Mapping'!X39&gt;=481,'(橫掃)RX Mapping'!X39&lt;=600), ('(橫掃)RX Mapping'!X39-361),IF(AND('(橫掃)RX Mapping'!X39&gt;=601,'(橫掃)RX Mapping'!X39&lt;=720), (-1)*('(橫掃)RX Mapping'!X39-720)+120,IF(AND('(橫掃)RX Mapping'!X39&gt;=721,'(橫掃)RX Mapping'!X39&lt;=840), ('(橫掃)RX Mapping'!X39-601),IF(AND('(橫掃)RX Mapping'!X39&gt;=841,'(橫掃)RX Mapping'!X39&lt;=960), (-1)*('(橫掃)RX Mapping'!X39-960)+120,9999))))))))</f>
        <v>9999</v>
      </c>
      <c r="Y39">
        <f>IF(AND('(橫掃)RX Mapping'!Y39&gt;=1,'(橫掃)RX Mapping'!Y39&lt;=120), ('(橫掃)RX Mapping'!Y39-1),IF(AND('(橫掃)RX Mapping'!Y39&gt;=121,'(橫掃)RX Mapping'!Y39&lt;=240), (-1)*('(橫掃)RX Mapping'!Y39-240),IF(AND('(橫掃)RX Mapping'!Y39&gt;=241,'(橫掃)RX Mapping'!Y39&lt;=360), ('(橫掃)RX Mapping'!Y39-241),IF(AND('(橫掃)RX Mapping'!Y39&gt;=361,'(橫掃)RX Mapping'!Y39&lt;=480), (-1)*('(橫掃)RX Mapping'!Y39-480),IF(AND('(橫掃)RX Mapping'!Y39&gt;=481,'(橫掃)RX Mapping'!Y39&lt;=600), ('(橫掃)RX Mapping'!Y39-361),IF(AND('(橫掃)RX Mapping'!Y39&gt;=601,'(橫掃)RX Mapping'!Y39&lt;=720), (-1)*('(橫掃)RX Mapping'!Y39-720)+120,IF(AND('(橫掃)RX Mapping'!Y39&gt;=721,'(橫掃)RX Mapping'!Y39&lt;=840), ('(橫掃)RX Mapping'!Y39-601),IF(AND('(橫掃)RX Mapping'!Y39&gt;=841,'(橫掃)RX Mapping'!Y39&lt;=960), (-1)*('(橫掃)RX Mapping'!Y39-960)+120,9999))))))))</f>
        <v>9999</v>
      </c>
      <c r="Z39">
        <f>IF(AND('(橫掃)RX Mapping'!Z39&gt;=1,'(橫掃)RX Mapping'!Z39&lt;=120), ('(橫掃)RX Mapping'!Z39-1),IF(AND('(橫掃)RX Mapping'!Z39&gt;=121,'(橫掃)RX Mapping'!Z39&lt;=240), (-1)*('(橫掃)RX Mapping'!Z39-240),IF(AND('(橫掃)RX Mapping'!Z39&gt;=241,'(橫掃)RX Mapping'!Z39&lt;=360), ('(橫掃)RX Mapping'!Z39-241),IF(AND('(橫掃)RX Mapping'!Z39&gt;=361,'(橫掃)RX Mapping'!Z39&lt;=480), (-1)*('(橫掃)RX Mapping'!Z39-480),IF(AND('(橫掃)RX Mapping'!Z39&gt;=481,'(橫掃)RX Mapping'!Z39&lt;=600), ('(橫掃)RX Mapping'!Z39-361),IF(AND('(橫掃)RX Mapping'!Z39&gt;=601,'(橫掃)RX Mapping'!Z39&lt;=720), (-1)*('(橫掃)RX Mapping'!Z39-720)+120,IF(AND('(橫掃)RX Mapping'!Z39&gt;=721,'(橫掃)RX Mapping'!Z39&lt;=840), ('(橫掃)RX Mapping'!Z39-601),IF(AND('(橫掃)RX Mapping'!Z39&gt;=841,'(橫掃)RX Mapping'!Z39&lt;=960), (-1)*('(橫掃)RX Mapping'!Z39-960)+120,9999))))))))</f>
        <v>9999</v>
      </c>
      <c r="AA39">
        <f>IF(AND('(橫掃)RX Mapping'!AA39&gt;=1,'(橫掃)RX Mapping'!AA39&lt;=120), ('(橫掃)RX Mapping'!AA39-1),IF(AND('(橫掃)RX Mapping'!AA39&gt;=121,'(橫掃)RX Mapping'!AA39&lt;=240), (-1)*('(橫掃)RX Mapping'!AA39-240),IF(AND('(橫掃)RX Mapping'!AA39&gt;=241,'(橫掃)RX Mapping'!AA39&lt;=360), ('(橫掃)RX Mapping'!AA39-241),IF(AND('(橫掃)RX Mapping'!AA39&gt;=361,'(橫掃)RX Mapping'!AA39&lt;=480), (-1)*('(橫掃)RX Mapping'!AA39-480),IF(AND('(橫掃)RX Mapping'!AA39&gt;=481,'(橫掃)RX Mapping'!AA39&lt;=600), ('(橫掃)RX Mapping'!AA39-361),IF(AND('(橫掃)RX Mapping'!AA39&gt;=601,'(橫掃)RX Mapping'!AA39&lt;=720), (-1)*('(橫掃)RX Mapping'!AA39-720)+120,IF(AND('(橫掃)RX Mapping'!AA39&gt;=721,'(橫掃)RX Mapping'!AA39&lt;=840), ('(橫掃)RX Mapping'!AA39-601),IF(AND('(橫掃)RX Mapping'!AA39&gt;=841,'(橫掃)RX Mapping'!AA39&lt;=960), (-1)*('(橫掃)RX Mapping'!AA39-960)+120,9999))))))))</f>
        <v>9999</v>
      </c>
      <c r="AB39">
        <f>IF(AND('(橫掃)RX Mapping'!AB39&gt;=1,'(橫掃)RX Mapping'!AB39&lt;=120), ('(橫掃)RX Mapping'!AB39-1),IF(AND('(橫掃)RX Mapping'!AB39&gt;=121,'(橫掃)RX Mapping'!AB39&lt;=240), (-1)*('(橫掃)RX Mapping'!AB39-240),IF(AND('(橫掃)RX Mapping'!AB39&gt;=241,'(橫掃)RX Mapping'!AB39&lt;=360), ('(橫掃)RX Mapping'!AB39-241),IF(AND('(橫掃)RX Mapping'!AB39&gt;=361,'(橫掃)RX Mapping'!AB39&lt;=480), (-1)*('(橫掃)RX Mapping'!AB39-480),IF(AND('(橫掃)RX Mapping'!AB39&gt;=481,'(橫掃)RX Mapping'!AB39&lt;=600), ('(橫掃)RX Mapping'!AB39-361),IF(AND('(橫掃)RX Mapping'!AB39&gt;=601,'(橫掃)RX Mapping'!AB39&lt;=720), (-1)*('(橫掃)RX Mapping'!AB39-720)+120,IF(AND('(橫掃)RX Mapping'!AB39&gt;=721,'(橫掃)RX Mapping'!AB39&lt;=840), ('(橫掃)RX Mapping'!AB39-601),IF(AND('(橫掃)RX Mapping'!AB39&gt;=841,'(橫掃)RX Mapping'!AB39&lt;=960), (-1)*('(橫掃)RX Mapping'!AB39-960)+120,9999))))))))</f>
        <v>9999</v>
      </c>
      <c r="AC39">
        <f>IF(AND('(橫掃)RX Mapping'!AC39&gt;=1,'(橫掃)RX Mapping'!AC39&lt;=120), ('(橫掃)RX Mapping'!AC39-1),IF(AND('(橫掃)RX Mapping'!AC39&gt;=121,'(橫掃)RX Mapping'!AC39&lt;=240), (-1)*('(橫掃)RX Mapping'!AC39-240),IF(AND('(橫掃)RX Mapping'!AC39&gt;=241,'(橫掃)RX Mapping'!AC39&lt;=360), ('(橫掃)RX Mapping'!AC39-241),IF(AND('(橫掃)RX Mapping'!AC39&gt;=361,'(橫掃)RX Mapping'!AC39&lt;=480), (-1)*('(橫掃)RX Mapping'!AC39-480),IF(AND('(橫掃)RX Mapping'!AC39&gt;=481,'(橫掃)RX Mapping'!AC39&lt;=600), ('(橫掃)RX Mapping'!AC39-361),IF(AND('(橫掃)RX Mapping'!AC39&gt;=601,'(橫掃)RX Mapping'!AC39&lt;=720), (-1)*('(橫掃)RX Mapping'!AC39-720)+120,IF(AND('(橫掃)RX Mapping'!AC39&gt;=721,'(橫掃)RX Mapping'!AC39&lt;=840), ('(橫掃)RX Mapping'!AC39-601),IF(AND('(橫掃)RX Mapping'!AC39&gt;=841,'(橫掃)RX Mapping'!AC39&lt;=960), (-1)*('(橫掃)RX Mapping'!AC39-960)+120,9999))))))))</f>
        <v>9999</v>
      </c>
      <c r="AD39">
        <f>IF(AND('(橫掃)RX Mapping'!AD39&gt;=1,'(橫掃)RX Mapping'!AD39&lt;=120), ('(橫掃)RX Mapping'!AD39-1),IF(AND('(橫掃)RX Mapping'!AD39&gt;=121,'(橫掃)RX Mapping'!AD39&lt;=240), (-1)*('(橫掃)RX Mapping'!AD39-240),IF(AND('(橫掃)RX Mapping'!AD39&gt;=241,'(橫掃)RX Mapping'!AD39&lt;=360), ('(橫掃)RX Mapping'!AD39-241),IF(AND('(橫掃)RX Mapping'!AD39&gt;=361,'(橫掃)RX Mapping'!AD39&lt;=480), (-1)*('(橫掃)RX Mapping'!AD39-480),IF(AND('(橫掃)RX Mapping'!AD39&gt;=481,'(橫掃)RX Mapping'!AD39&lt;=600), ('(橫掃)RX Mapping'!AD39-361),IF(AND('(橫掃)RX Mapping'!AD39&gt;=601,'(橫掃)RX Mapping'!AD39&lt;=720), (-1)*('(橫掃)RX Mapping'!AD39-720)+120,IF(AND('(橫掃)RX Mapping'!AD39&gt;=721,'(橫掃)RX Mapping'!AD39&lt;=840), ('(橫掃)RX Mapping'!AD39-601),IF(AND('(橫掃)RX Mapping'!AD39&gt;=841,'(橫掃)RX Mapping'!AD39&lt;=960), (-1)*('(橫掃)RX Mapping'!AD39-960)+120,9999))))))))</f>
        <v>9999</v>
      </c>
      <c r="AE39">
        <f>IF(AND('(橫掃)RX Mapping'!AE39&gt;=1,'(橫掃)RX Mapping'!AE39&lt;=120), ('(橫掃)RX Mapping'!AE39-1),IF(AND('(橫掃)RX Mapping'!AE39&gt;=121,'(橫掃)RX Mapping'!AE39&lt;=240), (-1)*('(橫掃)RX Mapping'!AE39-240),IF(AND('(橫掃)RX Mapping'!AE39&gt;=241,'(橫掃)RX Mapping'!AE39&lt;=360), ('(橫掃)RX Mapping'!AE39-241),IF(AND('(橫掃)RX Mapping'!AE39&gt;=361,'(橫掃)RX Mapping'!AE39&lt;=480), (-1)*('(橫掃)RX Mapping'!AE39-480),IF(AND('(橫掃)RX Mapping'!AE39&gt;=481,'(橫掃)RX Mapping'!AE39&lt;=600), ('(橫掃)RX Mapping'!AE39-361),IF(AND('(橫掃)RX Mapping'!AE39&gt;=601,'(橫掃)RX Mapping'!AE39&lt;=720), (-1)*('(橫掃)RX Mapping'!AE39-720)+120,IF(AND('(橫掃)RX Mapping'!AE39&gt;=721,'(橫掃)RX Mapping'!AE39&lt;=840), ('(橫掃)RX Mapping'!AE39-601),IF(AND('(橫掃)RX Mapping'!AE39&gt;=841,'(橫掃)RX Mapping'!AE39&lt;=960), (-1)*('(橫掃)RX Mapping'!AE39-960)+120,9999))))))))</f>
        <v>9999</v>
      </c>
      <c r="AF39">
        <f>IF(AND('(橫掃)RX Mapping'!AF39&gt;=1,'(橫掃)RX Mapping'!AF39&lt;=120), ('(橫掃)RX Mapping'!AF39-1),IF(AND('(橫掃)RX Mapping'!AF39&gt;=121,'(橫掃)RX Mapping'!AF39&lt;=240), (-1)*('(橫掃)RX Mapping'!AF39-240),IF(AND('(橫掃)RX Mapping'!AF39&gt;=241,'(橫掃)RX Mapping'!AF39&lt;=360), ('(橫掃)RX Mapping'!AF39-241),IF(AND('(橫掃)RX Mapping'!AF39&gt;=361,'(橫掃)RX Mapping'!AF39&lt;=480), (-1)*('(橫掃)RX Mapping'!AF39-480),IF(AND('(橫掃)RX Mapping'!AF39&gt;=481,'(橫掃)RX Mapping'!AF39&lt;=600), ('(橫掃)RX Mapping'!AF39-361),IF(AND('(橫掃)RX Mapping'!AF39&gt;=601,'(橫掃)RX Mapping'!AF39&lt;=720), (-1)*('(橫掃)RX Mapping'!AF39-720)+120,IF(AND('(橫掃)RX Mapping'!AF39&gt;=721,'(橫掃)RX Mapping'!AF39&lt;=840), ('(橫掃)RX Mapping'!AF39-601),IF(AND('(橫掃)RX Mapping'!AF39&gt;=841,'(橫掃)RX Mapping'!AF39&lt;=960), (-1)*('(橫掃)RX Mapping'!AF39-960)+120,9999))))))))</f>
        <v>9999</v>
      </c>
      <c r="AG39">
        <f>IF(AND('(橫掃)RX Mapping'!AG39&gt;=1,'(橫掃)RX Mapping'!AG39&lt;=120), ('(橫掃)RX Mapping'!AG39-1),IF(AND('(橫掃)RX Mapping'!AG39&gt;=121,'(橫掃)RX Mapping'!AG39&lt;=240), (-1)*('(橫掃)RX Mapping'!AG39-240),IF(AND('(橫掃)RX Mapping'!AG39&gt;=241,'(橫掃)RX Mapping'!AG39&lt;=360), ('(橫掃)RX Mapping'!AG39-241),IF(AND('(橫掃)RX Mapping'!AG39&gt;=361,'(橫掃)RX Mapping'!AG39&lt;=480), (-1)*('(橫掃)RX Mapping'!AG39-480),IF(AND('(橫掃)RX Mapping'!AG39&gt;=481,'(橫掃)RX Mapping'!AG39&lt;=600), ('(橫掃)RX Mapping'!AG39-361),IF(AND('(橫掃)RX Mapping'!AG39&gt;=601,'(橫掃)RX Mapping'!AG39&lt;=720), (-1)*('(橫掃)RX Mapping'!AG39-720)+120,IF(AND('(橫掃)RX Mapping'!AG39&gt;=721,'(橫掃)RX Mapping'!AG39&lt;=840), ('(橫掃)RX Mapping'!AG39-601),IF(AND('(橫掃)RX Mapping'!AG39&gt;=841,'(橫掃)RX Mapping'!AG39&lt;=960), (-1)*('(橫掃)RX Mapping'!AG39-960)+120,9999))))))))</f>
        <v>9999</v>
      </c>
      <c r="AH39">
        <f>IF(AND('(橫掃)RX Mapping'!AH39&gt;=1,'(橫掃)RX Mapping'!AH39&lt;=120), ('(橫掃)RX Mapping'!AH39-1),IF(AND('(橫掃)RX Mapping'!AH39&gt;=121,'(橫掃)RX Mapping'!AH39&lt;=240), (-1)*('(橫掃)RX Mapping'!AH39-240),IF(AND('(橫掃)RX Mapping'!AH39&gt;=241,'(橫掃)RX Mapping'!AH39&lt;=360), ('(橫掃)RX Mapping'!AH39-241),IF(AND('(橫掃)RX Mapping'!AH39&gt;=361,'(橫掃)RX Mapping'!AH39&lt;=480), (-1)*('(橫掃)RX Mapping'!AH39-480),IF(AND('(橫掃)RX Mapping'!AH39&gt;=481,'(橫掃)RX Mapping'!AH39&lt;=600), ('(橫掃)RX Mapping'!AH39-361),IF(AND('(橫掃)RX Mapping'!AH39&gt;=601,'(橫掃)RX Mapping'!AH39&lt;=720), (-1)*('(橫掃)RX Mapping'!AH39-720)+120,IF(AND('(橫掃)RX Mapping'!AH39&gt;=721,'(橫掃)RX Mapping'!AH39&lt;=840), ('(橫掃)RX Mapping'!AH39-601),IF(AND('(橫掃)RX Mapping'!AH39&gt;=841,'(橫掃)RX Mapping'!AH39&lt;=960), (-1)*('(橫掃)RX Mapping'!AH39-960)+120,9999))))))))</f>
        <v>9999</v>
      </c>
      <c r="AI39">
        <f>IF(AND('(橫掃)RX Mapping'!AI39&gt;=1,'(橫掃)RX Mapping'!AI39&lt;=120), ('(橫掃)RX Mapping'!AI39-1),IF(AND('(橫掃)RX Mapping'!AI39&gt;=121,'(橫掃)RX Mapping'!AI39&lt;=240), (-1)*('(橫掃)RX Mapping'!AI39-240),IF(AND('(橫掃)RX Mapping'!AI39&gt;=241,'(橫掃)RX Mapping'!AI39&lt;=360), ('(橫掃)RX Mapping'!AI39-241),IF(AND('(橫掃)RX Mapping'!AI39&gt;=361,'(橫掃)RX Mapping'!AI39&lt;=480), (-1)*('(橫掃)RX Mapping'!AI39-480),IF(AND('(橫掃)RX Mapping'!AI39&gt;=481,'(橫掃)RX Mapping'!AI39&lt;=600), ('(橫掃)RX Mapping'!AI39-361),IF(AND('(橫掃)RX Mapping'!AI39&gt;=601,'(橫掃)RX Mapping'!AI39&lt;=720), (-1)*('(橫掃)RX Mapping'!AI39-720)+120,IF(AND('(橫掃)RX Mapping'!AI39&gt;=721,'(橫掃)RX Mapping'!AI39&lt;=840), ('(橫掃)RX Mapping'!AI39-601),IF(AND('(橫掃)RX Mapping'!AI39&gt;=841,'(橫掃)RX Mapping'!AI39&lt;=960), (-1)*('(橫掃)RX Mapping'!AI39-960)+120,9999))))))))</f>
        <v>9999</v>
      </c>
      <c r="AJ39">
        <f>IF(AND('(橫掃)RX Mapping'!AJ39&gt;=1,'(橫掃)RX Mapping'!AJ39&lt;=120), ('(橫掃)RX Mapping'!AJ39-1),IF(AND('(橫掃)RX Mapping'!AJ39&gt;=121,'(橫掃)RX Mapping'!AJ39&lt;=240), (-1)*('(橫掃)RX Mapping'!AJ39-240),IF(AND('(橫掃)RX Mapping'!AJ39&gt;=241,'(橫掃)RX Mapping'!AJ39&lt;=360), ('(橫掃)RX Mapping'!AJ39-241),IF(AND('(橫掃)RX Mapping'!AJ39&gt;=361,'(橫掃)RX Mapping'!AJ39&lt;=480), (-1)*('(橫掃)RX Mapping'!AJ39-480),IF(AND('(橫掃)RX Mapping'!AJ39&gt;=481,'(橫掃)RX Mapping'!AJ39&lt;=600), ('(橫掃)RX Mapping'!AJ39-361),IF(AND('(橫掃)RX Mapping'!AJ39&gt;=601,'(橫掃)RX Mapping'!AJ39&lt;=720), (-1)*('(橫掃)RX Mapping'!AJ39-720)+120,IF(AND('(橫掃)RX Mapping'!AJ39&gt;=721,'(橫掃)RX Mapping'!AJ39&lt;=840), ('(橫掃)RX Mapping'!AJ39-601),IF(AND('(橫掃)RX Mapping'!AJ39&gt;=841,'(橫掃)RX Mapping'!AJ39&lt;=960), (-1)*('(橫掃)RX Mapping'!AJ39-960)+120,9999))))))))</f>
        <v>9999</v>
      </c>
      <c r="AK39">
        <f>IF(AND('(橫掃)RX Mapping'!AK39&gt;=1,'(橫掃)RX Mapping'!AK39&lt;=120), ('(橫掃)RX Mapping'!AK39-1),IF(AND('(橫掃)RX Mapping'!AK39&gt;=121,'(橫掃)RX Mapping'!AK39&lt;=240), (-1)*('(橫掃)RX Mapping'!AK39-240),IF(AND('(橫掃)RX Mapping'!AK39&gt;=241,'(橫掃)RX Mapping'!AK39&lt;=360), ('(橫掃)RX Mapping'!AK39-241),IF(AND('(橫掃)RX Mapping'!AK39&gt;=361,'(橫掃)RX Mapping'!AK39&lt;=480), (-1)*('(橫掃)RX Mapping'!AK39-480),IF(AND('(橫掃)RX Mapping'!AK39&gt;=481,'(橫掃)RX Mapping'!AK39&lt;=600), ('(橫掃)RX Mapping'!AK39-361),IF(AND('(橫掃)RX Mapping'!AK39&gt;=601,'(橫掃)RX Mapping'!AK39&lt;=720), (-1)*('(橫掃)RX Mapping'!AK39-720)+120,IF(AND('(橫掃)RX Mapping'!AK39&gt;=721,'(橫掃)RX Mapping'!AK39&lt;=840), ('(橫掃)RX Mapping'!AK39-601),IF(AND('(橫掃)RX Mapping'!AK39&gt;=841,'(橫掃)RX Mapping'!AK39&lt;=960), (-1)*('(橫掃)RX Mapping'!AK39-960)+120,9999))))))))</f>
        <v>9999</v>
      </c>
      <c r="AL39">
        <f>IF(AND('(橫掃)RX Mapping'!AL39&gt;=1,'(橫掃)RX Mapping'!AL39&lt;=120), ('(橫掃)RX Mapping'!AL39-1),IF(AND('(橫掃)RX Mapping'!AL39&gt;=121,'(橫掃)RX Mapping'!AL39&lt;=240), (-1)*('(橫掃)RX Mapping'!AL39-240),IF(AND('(橫掃)RX Mapping'!AL39&gt;=241,'(橫掃)RX Mapping'!AL39&lt;=360), ('(橫掃)RX Mapping'!AL39-241),IF(AND('(橫掃)RX Mapping'!AL39&gt;=361,'(橫掃)RX Mapping'!AL39&lt;=480), (-1)*('(橫掃)RX Mapping'!AL39-480),IF(AND('(橫掃)RX Mapping'!AL39&gt;=481,'(橫掃)RX Mapping'!AL39&lt;=600), ('(橫掃)RX Mapping'!AL39-361),IF(AND('(橫掃)RX Mapping'!AL39&gt;=601,'(橫掃)RX Mapping'!AL39&lt;=720), (-1)*('(橫掃)RX Mapping'!AL39-720)+120,IF(AND('(橫掃)RX Mapping'!AL39&gt;=721,'(橫掃)RX Mapping'!AL39&lt;=840), ('(橫掃)RX Mapping'!AL39-601),IF(AND('(橫掃)RX Mapping'!AL39&gt;=841,'(橫掃)RX Mapping'!AL39&lt;=960), (-1)*('(橫掃)RX Mapping'!AL39-960)+120,9999))))))))</f>
        <v>9999</v>
      </c>
      <c r="AM39">
        <f>IF(AND('(橫掃)RX Mapping'!AM39&gt;=1,'(橫掃)RX Mapping'!AM39&lt;=120), ('(橫掃)RX Mapping'!AM39-1),IF(AND('(橫掃)RX Mapping'!AM39&gt;=121,'(橫掃)RX Mapping'!AM39&lt;=240), (-1)*('(橫掃)RX Mapping'!AM39-240),IF(AND('(橫掃)RX Mapping'!AM39&gt;=241,'(橫掃)RX Mapping'!AM39&lt;=360), ('(橫掃)RX Mapping'!AM39-241),IF(AND('(橫掃)RX Mapping'!AM39&gt;=361,'(橫掃)RX Mapping'!AM39&lt;=480), (-1)*('(橫掃)RX Mapping'!AM39-480),IF(AND('(橫掃)RX Mapping'!AM39&gt;=481,'(橫掃)RX Mapping'!AM39&lt;=600), ('(橫掃)RX Mapping'!AM39-361),IF(AND('(橫掃)RX Mapping'!AM39&gt;=601,'(橫掃)RX Mapping'!AM39&lt;=720), (-1)*('(橫掃)RX Mapping'!AM39-720)+120,IF(AND('(橫掃)RX Mapping'!AM39&gt;=721,'(橫掃)RX Mapping'!AM39&lt;=840), ('(橫掃)RX Mapping'!AM39-601),IF(AND('(橫掃)RX Mapping'!AM39&gt;=841,'(橫掃)RX Mapping'!AM39&lt;=960), (-1)*('(橫掃)RX Mapping'!AM39-960)+120,9999))))))))</f>
        <v>9999</v>
      </c>
      <c r="AN39">
        <f>IF(AND('(橫掃)RX Mapping'!AN39&gt;=1,'(橫掃)RX Mapping'!AN39&lt;=120), ('(橫掃)RX Mapping'!AN39-1),IF(AND('(橫掃)RX Mapping'!AN39&gt;=121,'(橫掃)RX Mapping'!AN39&lt;=240), (-1)*('(橫掃)RX Mapping'!AN39-240),IF(AND('(橫掃)RX Mapping'!AN39&gt;=241,'(橫掃)RX Mapping'!AN39&lt;=360), ('(橫掃)RX Mapping'!AN39-241),IF(AND('(橫掃)RX Mapping'!AN39&gt;=361,'(橫掃)RX Mapping'!AN39&lt;=480), (-1)*('(橫掃)RX Mapping'!AN39-480),IF(AND('(橫掃)RX Mapping'!AN39&gt;=481,'(橫掃)RX Mapping'!AN39&lt;=600), ('(橫掃)RX Mapping'!AN39-361),IF(AND('(橫掃)RX Mapping'!AN39&gt;=601,'(橫掃)RX Mapping'!AN39&lt;=720), (-1)*('(橫掃)RX Mapping'!AN39-720)+120,IF(AND('(橫掃)RX Mapping'!AN39&gt;=721,'(橫掃)RX Mapping'!AN39&lt;=840), ('(橫掃)RX Mapping'!AN39-601),IF(AND('(橫掃)RX Mapping'!AN39&gt;=841,'(橫掃)RX Mapping'!AN39&lt;=960), (-1)*('(橫掃)RX Mapping'!AN39-960)+120,9999))))))))</f>
        <v>9999</v>
      </c>
      <c r="AO39">
        <f>IF(AND('(橫掃)RX Mapping'!AO39&gt;=1,'(橫掃)RX Mapping'!AO39&lt;=120), ('(橫掃)RX Mapping'!AO39-1),IF(AND('(橫掃)RX Mapping'!AO39&gt;=121,'(橫掃)RX Mapping'!AO39&lt;=240), (-1)*('(橫掃)RX Mapping'!AO39-240),IF(AND('(橫掃)RX Mapping'!AO39&gt;=241,'(橫掃)RX Mapping'!AO39&lt;=360), ('(橫掃)RX Mapping'!AO39-241),IF(AND('(橫掃)RX Mapping'!AO39&gt;=361,'(橫掃)RX Mapping'!AO39&lt;=480), (-1)*('(橫掃)RX Mapping'!AO39-480),IF(AND('(橫掃)RX Mapping'!AO39&gt;=481,'(橫掃)RX Mapping'!AO39&lt;=600), ('(橫掃)RX Mapping'!AO39-361),IF(AND('(橫掃)RX Mapping'!AO39&gt;=601,'(橫掃)RX Mapping'!AO39&lt;=720), (-1)*('(橫掃)RX Mapping'!AO39-720)+120,IF(AND('(橫掃)RX Mapping'!AO39&gt;=721,'(橫掃)RX Mapping'!AO39&lt;=840), ('(橫掃)RX Mapping'!AO39-601),IF(AND('(橫掃)RX Mapping'!AO39&gt;=841,'(橫掃)RX Mapping'!AO39&lt;=960), (-1)*('(橫掃)RX Mapping'!AO39-960)+120,9999))))))))</f>
        <v>9999</v>
      </c>
      <c r="AP39">
        <f>IF(AND('(橫掃)RX Mapping'!AP39&gt;=1,'(橫掃)RX Mapping'!AP39&lt;=120), ('(橫掃)RX Mapping'!AP39-1),IF(AND('(橫掃)RX Mapping'!AP39&gt;=121,'(橫掃)RX Mapping'!AP39&lt;=240), (-1)*('(橫掃)RX Mapping'!AP39-240),IF(AND('(橫掃)RX Mapping'!AP39&gt;=241,'(橫掃)RX Mapping'!AP39&lt;=360), ('(橫掃)RX Mapping'!AP39-241),IF(AND('(橫掃)RX Mapping'!AP39&gt;=361,'(橫掃)RX Mapping'!AP39&lt;=480), (-1)*('(橫掃)RX Mapping'!AP39-480),IF(AND('(橫掃)RX Mapping'!AP39&gt;=481,'(橫掃)RX Mapping'!AP39&lt;=600), ('(橫掃)RX Mapping'!AP39-361),IF(AND('(橫掃)RX Mapping'!AP39&gt;=601,'(橫掃)RX Mapping'!AP39&lt;=720), (-1)*('(橫掃)RX Mapping'!AP39-720)+120,IF(AND('(橫掃)RX Mapping'!AP39&gt;=721,'(橫掃)RX Mapping'!AP39&lt;=840), ('(橫掃)RX Mapping'!AP39-601),IF(AND('(橫掃)RX Mapping'!AP39&gt;=841,'(橫掃)RX Mapping'!AP39&lt;=960), (-1)*('(橫掃)RX Mapping'!AP39-960)+120,9999))))))))</f>
        <v>9999</v>
      </c>
      <c r="AQ39">
        <f>IF(AND('(橫掃)RX Mapping'!AQ39&gt;=1,'(橫掃)RX Mapping'!AQ39&lt;=120), ('(橫掃)RX Mapping'!AQ39-1),IF(AND('(橫掃)RX Mapping'!AQ39&gt;=121,'(橫掃)RX Mapping'!AQ39&lt;=240), (-1)*('(橫掃)RX Mapping'!AQ39-240),IF(AND('(橫掃)RX Mapping'!AQ39&gt;=241,'(橫掃)RX Mapping'!AQ39&lt;=360), ('(橫掃)RX Mapping'!AQ39-241),IF(AND('(橫掃)RX Mapping'!AQ39&gt;=361,'(橫掃)RX Mapping'!AQ39&lt;=480), (-1)*('(橫掃)RX Mapping'!AQ39-480),IF(AND('(橫掃)RX Mapping'!AQ39&gt;=481,'(橫掃)RX Mapping'!AQ39&lt;=600), ('(橫掃)RX Mapping'!AQ39-361),IF(AND('(橫掃)RX Mapping'!AQ39&gt;=601,'(橫掃)RX Mapping'!AQ39&lt;=720), (-1)*('(橫掃)RX Mapping'!AQ39-720)+120,IF(AND('(橫掃)RX Mapping'!AQ39&gt;=721,'(橫掃)RX Mapping'!AQ39&lt;=840), ('(橫掃)RX Mapping'!AQ39-601),IF(AND('(橫掃)RX Mapping'!AQ39&gt;=841,'(橫掃)RX Mapping'!AQ39&lt;=960), (-1)*('(橫掃)RX Mapping'!AQ39-960)+120,9999))))))))</f>
        <v>9999</v>
      </c>
      <c r="AR39">
        <f>IF(AND('(橫掃)RX Mapping'!AR39&gt;=1,'(橫掃)RX Mapping'!AR39&lt;=120), ('(橫掃)RX Mapping'!AR39-1),IF(AND('(橫掃)RX Mapping'!AR39&gt;=121,'(橫掃)RX Mapping'!AR39&lt;=240), (-1)*('(橫掃)RX Mapping'!AR39-240),IF(AND('(橫掃)RX Mapping'!AR39&gt;=241,'(橫掃)RX Mapping'!AR39&lt;=360), ('(橫掃)RX Mapping'!AR39-241),IF(AND('(橫掃)RX Mapping'!AR39&gt;=361,'(橫掃)RX Mapping'!AR39&lt;=480), (-1)*('(橫掃)RX Mapping'!AR39-480),IF(AND('(橫掃)RX Mapping'!AR39&gt;=481,'(橫掃)RX Mapping'!AR39&lt;=600), ('(橫掃)RX Mapping'!AR39-361),IF(AND('(橫掃)RX Mapping'!AR39&gt;=601,'(橫掃)RX Mapping'!AR39&lt;=720), (-1)*('(橫掃)RX Mapping'!AR39-720)+120,IF(AND('(橫掃)RX Mapping'!AR39&gt;=721,'(橫掃)RX Mapping'!AR39&lt;=840), ('(橫掃)RX Mapping'!AR39-601),IF(AND('(橫掃)RX Mapping'!AR39&gt;=841,'(橫掃)RX Mapping'!AR39&lt;=960), (-1)*('(橫掃)RX Mapping'!AR39-960)+120,9999))))))))</f>
        <v>9999</v>
      </c>
      <c r="AS39">
        <f>IF(AND('(橫掃)RX Mapping'!AS39&gt;=1,'(橫掃)RX Mapping'!AS39&lt;=120), ('(橫掃)RX Mapping'!AS39-1),IF(AND('(橫掃)RX Mapping'!AS39&gt;=121,'(橫掃)RX Mapping'!AS39&lt;=240), (-1)*('(橫掃)RX Mapping'!AS39-240),IF(AND('(橫掃)RX Mapping'!AS39&gt;=241,'(橫掃)RX Mapping'!AS39&lt;=360), ('(橫掃)RX Mapping'!AS39-241),IF(AND('(橫掃)RX Mapping'!AS39&gt;=361,'(橫掃)RX Mapping'!AS39&lt;=480), (-1)*('(橫掃)RX Mapping'!AS39-480),IF(AND('(橫掃)RX Mapping'!AS39&gt;=481,'(橫掃)RX Mapping'!AS39&lt;=600), ('(橫掃)RX Mapping'!AS39-361),IF(AND('(橫掃)RX Mapping'!AS39&gt;=601,'(橫掃)RX Mapping'!AS39&lt;=720), (-1)*('(橫掃)RX Mapping'!AS39-720)+120,IF(AND('(橫掃)RX Mapping'!AS39&gt;=721,'(橫掃)RX Mapping'!AS39&lt;=840), ('(橫掃)RX Mapping'!AS39-601),IF(AND('(橫掃)RX Mapping'!AS39&gt;=841,'(橫掃)RX Mapping'!AS39&lt;=960), (-1)*('(橫掃)RX Mapping'!AS39-960)+120,9999))))))))</f>
        <v>9999</v>
      </c>
      <c r="AT39">
        <f>IF(AND('(橫掃)RX Mapping'!AT39&gt;=1,'(橫掃)RX Mapping'!AT39&lt;=120), ('(橫掃)RX Mapping'!AT39-1),IF(AND('(橫掃)RX Mapping'!AT39&gt;=121,'(橫掃)RX Mapping'!AT39&lt;=240), (-1)*('(橫掃)RX Mapping'!AT39-240),IF(AND('(橫掃)RX Mapping'!AT39&gt;=241,'(橫掃)RX Mapping'!AT39&lt;=360), ('(橫掃)RX Mapping'!AT39-241),IF(AND('(橫掃)RX Mapping'!AT39&gt;=361,'(橫掃)RX Mapping'!AT39&lt;=480), (-1)*('(橫掃)RX Mapping'!AT39-480),IF(AND('(橫掃)RX Mapping'!AT39&gt;=481,'(橫掃)RX Mapping'!AT39&lt;=600), ('(橫掃)RX Mapping'!AT39-361),IF(AND('(橫掃)RX Mapping'!AT39&gt;=601,'(橫掃)RX Mapping'!AT39&lt;=720), (-1)*('(橫掃)RX Mapping'!AT39-720)+120,IF(AND('(橫掃)RX Mapping'!AT39&gt;=721,'(橫掃)RX Mapping'!AT39&lt;=840), ('(橫掃)RX Mapping'!AT39-601),IF(AND('(橫掃)RX Mapping'!AT39&gt;=841,'(橫掃)RX Mapping'!AT39&lt;=960), (-1)*('(橫掃)RX Mapping'!AT39-960)+120,9999))))))))</f>
        <v>9999</v>
      </c>
      <c r="AU39">
        <f>IF(AND('(橫掃)RX Mapping'!AU39&gt;=1,'(橫掃)RX Mapping'!AU39&lt;=120), ('(橫掃)RX Mapping'!AU39-1),IF(AND('(橫掃)RX Mapping'!AU39&gt;=121,'(橫掃)RX Mapping'!AU39&lt;=240), (-1)*('(橫掃)RX Mapping'!AU39-240),IF(AND('(橫掃)RX Mapping'!AU39&gt;=241,'(橫掃)RX Mapping'!AU39&lt;=360), ('(橫掃)RX Mapping'!AU39-241),IF(AND('(橫掃)RX Mapping'!AU39&gt;=361,'(橫掃)RX Mapping'!AU39&lt;=480), (-1)*('(橫掃)RX Mapping'!AU39-480),IF(AND('(橫掃)RX Mapping'!AU39&gt;=481,'(橫掃)RX Mapping'!AU39&lt;=600), ('(橫掃)RX Mapping'!AU39-361),IF(AND('(橫掃)RX Mapping'!AU39&gt;=601,'(橫掃)RX Mapping'!AU39&lt;=720), (-1)*('(橫掃)RX Mapping'!AU39-720)+120,IF(AND('(橫掃)RX Mapping'!AU39&gt;=721,'(橫掃)RX Mapping'!AU39&lt;=840), ('(橫掃)RX Mapping'!AU39-601),IF(AND('(橫掃)RX Mapping'!AU39&gt;=841,'(橫掃)RX Mapping'!AU39&lt;=960), (-1)*('(橫掃)RX Mapping'!AU39-960)+120,9999))))))))</f>
        <v>9999</v>
      </c>
      <c r="AV39">
        <f>IF(AND('(橫掃)RX Mapping'!AV39&gt;=1,'(橫掃)RX Mapping'!AV39&lt;=120), ('(橫掃)RX Mapping'!AV39-1),IF(AND('(橫掃)RX Mapping'!AV39&gt;=121,'(橫掃)RX Mapping'!AV39&lt;=240), (-1)*('(橫掃)RX Mapping'!AV39-240),IF(AND('(橫掃)RX Mapping'!AV39&gt;=241,'(橫掃)RX Mapping'!AV39&lt;=360), ('(橫掃)RX Mapping'!AV39-241),IF(AND('(橫掃)RX Mapping'!AV39&gt;=361,'(橫掃)RX Mapping'!AV39&lt;=480), (-1)*('(橫掃)RX Mapping'!AV39-480),IF(AND('(橫掃)RX Mapping'!AV39&gt;=481,'(橫掃)RX Mapping'!AV39&lt;=600), ('(橫掃)RX Mapping'!AV39-361),IF(AND('(橫掃)RX Mapping'!AV39&gt;=601,'(橫掃)RX Mapping'!AV39&lt;=720), (-1)*('(橫掃)RX Mapping'!AV39-720)+120,IF(AND('(橫掃)RX Mapping'!AV39&gt;=721,'(橫掃)RX Mapping'!AV39&lt;=840), ('(橫掃)RX Mapping'!AV39-601),IF(AND('(橫掃)RX Mapping'!AV39&gt;=841,'(橫掃)RX Mapping'!AV39&lt;=960), (-1)*('(橫掃)RX Mapping'!AV39-960)+120,9999))))))))</f>
        <v>9999</v>
      </c>
      <c r="AW39">
        <f>IF(AND('(橫掃)RX Mapping'!AW39&gt;=1,'(橫掃)RX Mapping'!AW39&lt;=120), ('(橫掃)RX Mapping'!AW39-1),IF(AND('(橫掃)RX Mapping'!AW39&gt;=121,'(橫掃)RX Mapping'!AW39&lt;=240), (-1)*('(橫掃)RX Mapping'!AW39-240),IF(AND('(橫掃)RX Mapping'!AW39&gt;=241,'(橫掃)RX Mapping'!AW39&lt;=360), ('(橫掃)RX Mapping'!AW39-241),IF(AND('(橫掃)RX Mapping'!AW39&gt;=361,'(橫掃)RX Mapping'!AW39&lt;=480), (-1)*('(橫掃)RX Mapping'!AW39-480),IF(AND('(橫掃)RX Mapping'!AW39&gt;=481,'(橫掃)RX Mapping'!AW39&lt;=600), ('(橫掃)RX Mapping'!AW39-361),IF(AND('(橫掃)RX Mapping'!AW39&gt;=601,'(橫掃)RX Mapping'!AW39&lt;=720), (-1)*('(橫掃)RX Mapping'!AW39-720)+120,IF(AND('(橫掃)RX Mapping'!AW39&gt;=721,'(橫掃)RX Mapping'!AW39&lt;=840), ('(橫掃)RX Mapping'!AW39-601),IF(AND('(橫掃)RX Mapping'!AW39&gt;=841,'(橫掃)RX Mapping'!AW39&lt;=960), (-1)*('(橫掃)RX Mapping'!AW39-960)+120,9999))))))))</f>
        <v>9999</v>
      </c>
      <c r="AX39">
        <f>IF(AND('(橫掃)RX Mapping'!AX39&gt;=1,'(橫掃)RX Mapping'!AX39&lt;=120), ('(橫掃)RX Mapping'!AX39-1),IF(AND('(橫掃)RX Mapping'!AX39&gt;=121,'(橫掃)RX Mapping'!AX39&lt;=240), (-1)*('(橫掃)RX Mapping'!AX39-240),IF(AND('(橫掃)RX Mapping'!AX39&gt;=241,'(橫掃)RX Mapping'!AX39&lt;=360), ('(橫掃)RX Mapping'!AX39-241),IF(AND('(橫掃)RX Mapping'!AX39&gt;=361,'(橫掃)RX Mapping'!AX39&lt;=480), (-1)*('(橫掃)RX Mapping'!AX39-480),IF(AND('(橫掃)RX Mapping'!AX39&gt;=481,'(橫掃)RX Mapping'!AX39&lt;=600), ('(橫掃)RX Mapping'!AX39-361),IF(AND('(橫掃)RX Mapping'!AX39&gt;=601,'(橫掃)RX Mapping'!AX39&lt;=720), (-1)*('(橫掃)RX Mapping'!AX39-720)+120,IF(AND('(橫掃)RX Mapping'!AX39&gt;=721,'(橫掃)RX Mapping'!AX39&lt;=840), ('(橫掃)RX Mapping'!AX39-601),IF(AND('(橫掃)RX Mapping'!AX39&gt;=841,'(橫掃)RX Mapping'!AX39&lt;=960), (-1)*('(橫掃)RX Mapping'!AX39-960)+120,9999))))))))</f>
        <v>9999</v>
      </c>
      <c r="AY39">
        <f>IF(AND('(橫掃)RX Mapping'!AY39&gt;=1,'(橫掃)RX Mapping'!AY39&lt;=120), ('(橫掃)RX Mapping'!AY39-1),IF(AND('(橫掃)RX Mapping'!AY39&gt;=121,'(橫掃)RX Mapping'!AY39&lt;=240), (-1)*('(橫掃)RX Mapping'!AY39-240),IF(AND('(橫掃)RX Mapping'!AY39&gt;=241,'(橫掃)RX Mapping'!AY39&lt;=360), ('(橫掃)RX Mapping'!AY39-241),IF(AND('(橫掃)RX Mapping'!AY39&gt;=361,'(橫掃)RX Mapping'!AY39&lt;=480), (-1)*('(橫掃)RX Mapping'!AY39-480),IF(AND('(橫掃)RX Mapping'!AY39&gt;=481,'(橫掃)RX Mapping'!AY39&lt;=600), ('(橫掃)RX Mapping'!AY39-361),IF(AND('(橫掃)RX Mapping'!AY39&gt;=601,'(橫掃)RX Mapping'!AY39&lt;=720), (-1)*('(橫掃)RX Mapping'!AY39-720)+120,IF(AND('(橫掃)RX Mapping'!AY39&gt;=721,'(橫掃)RX Mapping'!AY39&lt;=840), ('(橫掃)RX Mapping'!AY39-601),IF(AND('(橫掃)RX Mapping'!AY39&gt;=841,'(橫掃)RX Mapping'!AY39&lt;=960), (-1)*('(橫掃)RX Mapping'!AY39-960)+120,9999))))))))</f>
        <v>9999</v>
      </c>
      <c r="AZ39">
        <f>IF(AND('(橫掃)RX Mapping'!AZ39&gt;=1,'(橫掃)RX Mapping'!AZ39&lt;=120), ('(橫掃)RX Mapping'!AZ39-1),IF(AND('(橫掃)RX Mapping'!AZ39&gt;=121,'(橫掃)RX Mapping'!AZ39&lt;=240), (-1)*('(橫掃)RX Mapping'!AZ39-240),IF(AND('(橫掃)RX Mapping'!AZ39&gt;=241,'(橫掃)RX Mapping'!AZ39&lt;=360), ('(橫掃)RX Mapping'!AZ39-241),IF(AND('(橫掃)RX Mapping'!AZ39&gt;=361,'(橫掃)RX Mapping'!AZ39&lt;=480), (-1)*('(橫掃)RX Mapping'!AZ39-480),IF(AND('(橫掃)RX Mapping'!AZ39&gt;=481,'(橫掃)RX Mapping'!AZ39&lt;=600), ('(橫掃)RX Mapping'!AZ39-361),IF(AND('(橫掃)RX Mapping'!AZ39&gt;=601,'(橫掃)RX Mapping'!AZ39&lt;=720), (-1)*('(橫掃)RX Mapping'!AZ39-720)+120,IF(AND('(橫掃)RX Mapping'!AZ39&gt;=721,'(橫掃)RX Mapping'!AZ39&lt;=840), ('(橫掃)RX Mapping'!AZ39-601),IF(AND('(橫掃)RX Mapping'!AZ39&gt;=841,'(橫掃)RX Mapping'!AZ39&lt;=960), (-1)*('(橫掃)RX Mapping'!AZ39-960)+120,9999))))))))</f>
        <v>9999</v>
      </c>
      <c r="BA39">
        <f>IF(AND('(橫掃)RX Mapping'!BA39&gt;=1,'(橫掃)RX Mapping'!BA39&lt;=120), ('(橫掃)RX Mapping'!BA39-1),IF(AND('(橫掃)RX Mapping'!BA39&gt;=121,'(橫掃)RX Mapping'!BA39&lt;=240), (-1)*('(橫掃)RX Mapping'!BA39-240),IF(AND('(橫掃)RX Mapping'!BA39&gt;=241,'(橫掃)RX Mapping'!BA39&lt;=360), ('(橫掃)RX Mapping'!BA39-241),IF(AND('(橫掃)RX Mapping'!BA39&gt;=361,'(橫掃)RX Mapping'!BA39&lt;=480), (-1)*('(橫掃)RX Mapping'!BA39-480),IF(AND('(橫掃)RX Mapping'!BA39&gt;=481,'(橫掃)RX Mapping'!BA39&lt;=600), ('(橫掃)RX Mapping'!BA39-361),IF(AND('(橫掃)RX Mapping'!BA39&gt;=601,'(橫掃)RX Mapping'!BA39&lt;=720), (-1)*('(橫掃)RX Mapping'!BA39-720)+120,IF(AND('(橫掃)RX Mapping'!BA39&gt;=721,'(橫掃)RX Mapping'!BA39&lt;=840), ('(橫掃)RX Mapping'!BA39-601),IF(AND('(橫掃)RX Mapping'!BA39&gt;=841,'(橫掃)RX Mapping'!BA39&lt;=960), (-1)*('(橫掃)RX Mapping'!BA39-960)+120,9999))))))))</f>
        <v>9999</v>
      </c>
      <c r="BB39">
        <f>IF(AND('(橫掃)RX Mapping'!BB39&gt;=1,'(橫掃)RX Mapping'!BB39&lt;=120), ('(橫掃)RX Mapping'!BB39-1),IF(AND('(橫掃)RX Mapping'!BB39&gt;=121,'(橫掃)RX Mapping'!BB39&lt;=240), (-1)*('(橫掃)RX Mapping'!BB39-240),IF(AND('(橫掃)RX Mapping'!BB39&gt;=241,'(橫掃)RX Mapping'!BB39&lt;=360), ('(橫掃)RX Mapping'!BB39-241),IF(AND('(橫掃)RX Mapping'!BB39&gt;=361,'(橫掃)RX Mapping'!BB39&lt;=480), (-1)*('(橫掃)RX Mapping'!BB39-480),IF(AND('(橫掃)RX Mapping'!BB39&gt;=481,'(橫掃)RX Mapping'!BB39&lt;=600), ('(橫掃)RX Mapping'!BB39-361),IF(AND('(橫掃)RX Mapping'!BB39&gt;=601,'(橫掃)RX Mapping'!BB39&lt;=720), (-1)*('(橫掃)RX Mapping'!BB39-720)+120,IF(AND('(橫掃)RX Mapping'!BB39&gt;=721,'(橫掃)RX Mapping'!BB39&lt;=840), ('(橫掃)RX Mapping'!BB39-601),IF(AND('(橫掃)RX Mapping'!BB39&gt;=841,'(橫掃)RX Mapping'!BB39&lt;=960), (-1)*('(橫掃)RX Mapping'!BB39-960)+120,9999))))))))</f>
        <v>9999</v>
      </c>
      <c r="BC39">
        <f>IF(AND('(橫掃)RX Mapping'!BC39&gt;=1,'(橫掃)RX Mapping'!BC39&lt;=120), ('(橫掃)RX Mapping'!BC39-1),IF(AND('(橫掃)RX Mapping'!BC39&gt;=121,'(橫掃)RX Mapping'!BC39&lt;=240), (-1)*('(橫掃)RX Mapping'!BC39-240),IF(AND('(橫掃)RX Mapping'!BC39&gt;=241,'(橫掃)RX Mapping'!BC39&lt;=360), ('(橫掃)RX Mapping'!BC39-241),IF(AND('(橫掃)RX Mapping'!BC39&gt;=361,'(橫掃)RX Mapping'!BC39&lt;=480), (-1)*('(橫掃)RX Mapping'!BC39-480),IF(AND('(橫掃)RX Mapping'!BC39&gt;=481,'(橫掃)RX Mapping'!BC39&lt;=600), ('(橫掃)RX Mapping'!BC39-361),IF(AND('(橫掃)RX Mapping'!BC39&gt;=601,'(橫掃)RX Mapping'!BC39&lt;=720), (-1)*('(橫掃)RX Mapping'!BC39-720)+120,IF(AND('(橫掃)RX Mapping'!BC39&gt;=721,'(橫掃)RX Mapping'!BC39&lt;=840), ('(橫掃)RX Mapping'!BC39-601),IF(AND('(橫掃)RX Mapping'!BC39&gt;=841,'(橫掃)RX Mapping'!BC39&lt;=960), (-1)*('(橫掃)RX Mapping'!BC39-960)+120,9999))))))))</f>
        <v>9999</v>
      </c>
      <c r="BD39">
        <f>IF(AND('(橫掃)RX Mapping'!BD39&gt;=1,'(橫掃)RX Mapping'!BD39&lt;=120), ('(橫掃)RX Mapping'!BD39-1),IF(AND('(橫掃)RX Mapping'!BD39&gt;=121,'(橫掃)RX Mapping'!BD39&lt;=240), (-1)*('(橫掃)RX Mapping'!BD39-240),IF(AND('(橫掃)RX Mapping'!BD39&gt;=241,'(橫掃)RX Mapping'!BD39&lt;=360), ('(橫掃)RX Mapping'!BD39-241),IF(AND('(橫掃)RX Mapping'!BD39&gt;=361,'(橫掃)RX Mapping'!BD39&lt;=480), (-1)*('(橫掃)RX Mapping'!BD39-480),IF(AND('(橫掃)RX Mapping'!BD39&gt;=481,'(橫掃)RX Mapping'!BD39&lt;=600), ('(橫掃)RX Mapping'!BD39-361),IF(AND('(橫掃)RX Mapping'!BD39&gt;=601,'(橫掃)RX Mapping'!BD39&lt;=720), (-1)*('(橫掃)RX Mapping'!BD39-720)+120,IF(AND('(橫掃)RX Mapping'!BD39&gt;=721,'(橫掃)RX Mapping'!BD39&lt;=840), ('(橫掃)RX Mapping'!BD39-601),IF(AND('(橫掃)RX Mapping'!BD39&gt;=841,'(橫掃)RX Mapping'!BD39&lt;=960), (-1)*('(橫掃)RX Mapping'!BD39-960)+120,9999))))))))</f>
        <v>9999</v>
      </c>
      <c r="BE39">
        <f>IF(AND('(橫掃)RX Mapping'!BE39&gt;=1,'(橫掃)RX Mapping'!BE39&lt;=120), ('(橫掃)RX Mapping'!BE39-1),IF(AND('(橫掃)RX Mapping'!BE39&gt;=121,'(橫掃)RX Mapping'!BE39&lt;=240), (-1)*('(橫掃)RX Mapping'!BE39-240),IF(AND('(橫掃)RX Mapping'!BE39&gt;=241,'(橫掃)RX Mapping'!BE39&lt;=360), ('(橫掃)RX Mapping'!BE39-241),IF(AND('(橫掃)RX Mapping'!BE39&gt;=361,'(橫掃)RX Mapping'!BE39&lt;=480), (-1)*('(橫掃)RX Mapping'!BE39-480),IF(AND('(橫掃)RX Mapping'!BE39&gt;=481,'(橫掃)RX Mapping'!BE39&lt;=600), ('(橫掃)RX Mapping'!BE39-361),IF(AND('(橫掃)RX Mapping'!BE39&gt;=601,'(橫掃)RX Mapping'!BE39&lt;=720), (-1)*('(橫掃)RX Mapping'!BE39-720)+120,IF(AND('(橫掃)RX Mapping'!BE39&gt;=721,'(橫掃)RX Mapping'!BE39&lt;=840), ('(橫掃)RX Mapping'!BE39-601),IF(AND('(橫掃)RX Mapping'!BE39&gt;=841,'(橫掃)RX Mapping'!BE39&lt;=960), (-1)*('(橫掃)RX Mapping'!BE39-960)+120,9999))))))))</f>
        <v>9999</v>
      </c>
      <c r="BF39">
        <f>IF(AND('(橫掃)RX Mapping'!BF39&gt;=1,'(橫掃)RX Mapping'!BF39&lt;=120), ('(橫掃)RX Mapping'!BF39-1),IF(AND('(橫掃)RX Mapping'!BF39&gt;=121,'(橫掃)RX Mapping'!BF39&lt;=240), (-1)*('(橫掃)RX Mapping'!BF39-240),IF(AND('(橫掃)RX Mapping'!BF39&gt;=241,'(橫掃)RX Mapping'!BF39&lt;=360), ('(橫掃)RX Mapping'!BF39-241),IF(AND('(橫掃)RX Mapping'!BF39&gt;=361,'(橫掃)RX Mapping'!BF39&lt;=480), (-1)*('(橫掃)RX Mapping'!BF39-480),IF(AND('(橫掃)RX Mapping'!BF39&gt;=481,'(橫掃)RX Mapping'!BF39&lt;=600), ('(橫掃)RX Mapping'!BF39-361),IF(AND('(橫掃)RX Mapping'!BF39&gt;=601,'(橫掃)RX Mapping'!BF39&lt;=720), (-1)*('(橫掃)RX Mapping'!BF39-720)+120,IF(AND('(橫掃)RX Mapping'!BF39&gt;=721,'(橫掃)RX Mapping'!BF39&lt;=840), ('(橫掃)RX Mapping'!BF39-601),IF(AND('(橫掃)RX Mapping'!BF39&gt;=841,'(橫掃)RX Mapping'!BF39&lt;=960), (-1)*('(橫掃)RX Mapping'!BF39-960)+120,9999))))))))</f>
        <v>9999</v>
      </c>
      <c r="BG39">
        <f>IF(AND('(橫掃)RX Mapping'!BG39&gt;=1,'(橫掃)RX Mapping'!BG39&lt;=120), ('(橫掃)RX Mapping'!BG39-1),IF(AND('(橫掃)RX Mapping'!BG39&gt;=121,'(橫掃)RX Mapping'!BG39&lt;=240), (-1)*('(橫掃)RX Mapping'!BG39-240),IF(AND('(橫掃)RX Mapping'!BG39&gt;=241,'(橫掃)RX Mapping'!BG39&lt;=360), ('(橫掃)RX Mapping'!BG39-241),IF(AND('(橫掃)RX Mapping'!BG39&gt;=361,'(橫掃)RX Mapping'!BG39&lt;=480), (-1)*('(橫掃)RX Mapping'!BG39-480),IF(AND('(橫掃)RX Mapping'!BG39&gt;=481,'(橫掃)RX Mapping'!BG39&lt;=600), ('(橫掃)RX Mapping'!BG39-361),IF(AND('(橫掃)RX Mapping'!BG39&gt;=601,'(橫掃)RX Mapping'!BG39&lt;=720), (-1)*('(橫掃)RX Mapping'!BG39-720)+120,IF(AND('(橫掃)RX Mapping'!BG39&gt;=721,'(橫掃)RX Mapping'!BG39&lt;=840), ('(橫掃)RX Mapping'!BG39-601),IF(AND('(橫掃)RX Mapping'!BG39&gt;=841,'(橫掃)RX Mapping'!BG39&lt;=960), (-1)*('(橫掃)RX Mapping'!BG39-960)+120,9999))))))))</f>
        <v>9999</v>
      </c>
      <c r="BH39">
        <f>IF(AND('(橫掃)RX Mapping'!BH39&gt;=1,'(橫掃)RX Mapping'!BH39&lt;=120), ('(橫掃)RX Mapping'!BH39-1),IF(AND('(橫掃)RX Mapping'!BH39&gt;=121,'(橫掃)RX Mapping'!BH39&lt;=240), (-1)*('(橫掃)RX Mapping'!BH39-240),IF(AND('(橫掃)RX Mapping'!BH39&gt;=241,'(橫掃)RX Mapping'!BH39&lt;=360), ('(橫掃)RX Mapping'!BH39-241),IF(AND('(橫掃)RX Mapping'!BH39&gt;=361,'(橫掃)RX Mapping'!BH39&lt;=480), (-1)*('(橫掃)RX Mapping'!BH39-480),IF(AND('(橫掃)RX Mapping'!BH39&gt;=481,'(橫掃)RX Mapping'!BH39&lt;=600), ('(橫掃)RX Mapping'!BH39-361),IF(AND('(橫掃)RX Mapping'!BH39&gt;=601,'(橫掃)RX Mapping'!BH39&lt;=720), (-1)*('(橫掃)RX Mapping'!BH39-720)+120,IF(AND('(橫掃)RX Mapping'!BH39&gt;=721,'(橫掃)RX Mapping'!BH39&lt;=840), ('(橫掃)RX Mapping'!BH39-601),IF(AND('(橫掃)RX Mapping'!BH39&gt;=841,'(橫掃)RX Mapping'!BH39&lt;=960), (-1)*('(橫掃)RX Mapping'!BH39-960)+120,9999))))))))</f>
        <v>9999</v>
      </c>
      <c r="BI39">
        <f>IF(AND('(橫掃)RX Mapping'!BI39&gt;=1,'(橫掃)RX Mapping'!BI39&lt;=120), ('(橫掃)RX Mapping'!BI39-1),IF(AND('(橫掃)RX Mapping'!BI39&gt;=121,'(橫掃)RX Mapping'!BI39&lt;=240), (-1)*('(橫掃)RX Mapping'!BI39-240),IF(AND('(橫掃)RX Mapping'!BI39&gt;=241,'(橫掃)RX Mapping'!BI39&lt;=360), ('(橫掃)RX Mapping'!BI39-241),IF(AND('(橫掃)RX Mapping'!BI39&gt;=361,'(橫掃)RX Mapping'!BI39&lt;=480), (-1)*('(橫掃)RX Mapping'!BI39-480),IF(AND('(橫掃)RX Mapping'!BI39&gt;=481,'(橫掃)RX Mapping'!BI39&lt;=600), ('(橫掃)RX Mapping'!BI39-361),IF(AND('(橫掃)RX Mapping'!BI39&gt;=601,'(橫掃)RX Mapping'!BI39&lt;=720), (-1)*('(橫掃)RX Mapping'!BI39-720)+120,IF(AND('(橫掃)RX Mapping'!BI39&gt;=721,'(橫掃)RX Mapping'!BI39&lt;=840), ('(橫掃)RX Mapping'!BI39-601),IF(AND('(橫掃)RX Mapping'!BI39&gt;=841,'(橫掃)RX Mapping'!BI39&lt;=960), (-1)*('(橫掃)RX Mapping'!BI39-960)+120,9999))))))))</f>
        <v>9999</v>
      </c>
    </row>
    <row r="40" spans="1:61" x14ac:dyDescent="0.25">
      <c r="A40" s="20">
        <v>39</v>
      </c>
      <c r="B40">
        <f>IF(AND('(橫掃)RX Mapping'!B40&gt;=1,'(橫掃)RX Mapping'!B40&lt;=120), ('(橫掃)RX Mapping'!B40-1),IF(AND('(橫掃)RX Mapping'!B40&gt;=121,'(橫掃)RX Mapping'!B40&lt;=240), (-1)*('(橫掃)RX Mapping'!B40-240),IF(AND('(橫掃)RX Mapping'!B40&gt;=241,'(橫掃)RX Mapping'!B40&lt;=360), ('(橫掃)RX Mapping'!B40-241),IF(AND('(橫掃)RX Mapping'!B40&gt;=361,'(橫掃)RX Mapping'!B40&lt;=480), (-1)*('(橫掃)RX Mapping'!B40-480),IF(AND('(橫掃)RX Mapping'!B40&gt;=481,'(橫掃)RX Mapping'!B40&lt;=600), ('(橫掃)RX Mapping'!B40-361),IF(AND('(橫掃)RX Mapping'!B40&gt;=601,'(橫掃)RX Mapping'!B40&lt;=720), (-1)*('(橫掃)RX Mapping'!B40-720)+120,IF(AND('(橫掃)RX Mapping'!B40&gt;=721,'(橫掃)RX Mapping'!B40&lt;=840), ('(橫掃)RX Mapping'!B40-601),IF(AND('(橫掃)RX Mapping'!B40&gt;=841,'(橫掃)RX Mapping'!B40&lt;=960), (-1)*('(橫掃)RX Mapping'!B40-960)+120,9999))))))))</f>
        <v>9999</v>
      </c>
      <c r="C40">
        <f>IF(AND('(橫掃)RX Mapping'!C40&gt;=1,'(橫掃)RX Mapping'!C40&lt;=120), ('(橫掃)RX Mapping'!C40-1),IF(AND('(橫掃)RX Mapping'!C40&gt;=121,'(橫掃)RX Mapping'!C40&lt;=240), (-1)*('(橫掃)RX Mapping'!C40-240),IF(AND('(橫掃)RX Mapping'!C40&gt;=241,'(橫掃)RX Mapping'!C40&lt;=360), ('(橫掃)RX Mapping'!C40-241),IF(AND('(橫掃)RX Mapping'!C40&gt;=361,'(橫掃)RX Mapping'!C40&lt;=480), (-1)*('(橫掃)RX Mapping'!C40-480),IF(AND('(橫掃)RX Mapping'!C40&gt;=481,'(橫掃)RX Mapping'!C40&lt;=600), ('(橫掃)RX Mapping'!C40-361),IF(AND('(橫掃)RX Mapping'!C40&gt;=601,'(橫掃)RX Mapping'!C40&lt;=720), (-1)*('(橫掃)RX Mapping'!C40-720)+120,IF(AND('(橫掃)RX Mapping'!C40&gt;=721,'(橫掃)RX Mapping'!C40&lt;=840), ('(橫掃)RX Mapping'!C40-601),IF(AND('(橫掃)RX Mapping'!C40&gt;=841,'(橫掃)RX Mapping'!C40&lt;=960), (-1)*('(橫掃)RX Mapping'!C40-960)+120,9999))))))))</f>
        <v>9999</v>
      </c>
      <c r="D40">
        <f>IF(AND('(橫掃)RX Mapping'!D40&gt;=1,'(橫掃)RX Mapping'!D40&lt;=120), ('(橫掃)RX Mapping'!D40-1),IF(AND('(橫掃)RX Mapping'!D40&gt;=121,'(橫掃)RX Mapping'!D40&lt;=240), (-1)*('(橫掃)RX Mapping'!D40-240),IF(AND('(橫掃)RX Mapping'!D40&gt;=241,'(橫掃)RX Mapping'!D40&lt;=360), ('(橫掃)RX Mapping'!D40-241),IF(AND('(橫掃)RX Mapping'!D40&gt;=361,'(橫掃)RX Mapping'!D40&lt;=480), (-1)*('(橫掃)RX Mapping'!D40-480),IF(AND('(橫掃)RX Mapping'!D40&gt;=481,'(橫掃)RX Mapping'!D40&lt;=600), ('(橫掃)RX Mapping'!D40-361),IF(AND('(橫掃)RX Mapping'!D40&gt;=601,'(橫掃)RX Mapping'!D40&lt;=720), (-1)*('(橫掃)RX Mapping'!D40-720)+120,IF(AND('(橫掃)RX Mapping'!D40&gt;=721,'(橫掃)RX Mapping'!D40&lt;=840), ('(橫掃)RX Mapping'!D40-601),IF(AND('(橫掃)RX Mapping'!D40&gt;=841,'(橫掃)RX Mapping'!D40&lt;=960), (-1)*('(橫掃)RX Mapping'!D40-960)+120,9999))))))))</f>
        <v>9999</v>
      </c>
      <c r="E40">
        <f>IF(AND('(橫掃)RX Mapping'!E40&gt;=1,'(橫掃)RX Mapping'!E40&lt;=120), ('(橫掃)RX Mapping'!E40-1),IF(AND('(橫掃)RX Mapping'!E40&gt;=121,'(橫掃)RX Mapping'!E40&lt;=240), (-1)*('(橫掃)RX Mapping'!E40-240),IF(AND('(橫掃)RX Mapping'!E40&gt;=241,'(橫掃)RX Mapping'!E40&lt;=360), ('(橫掃)RX Mapping'!E40-241),IF(AND('(橫掃)RX Mapping'!E40&gt;=361,'(橫掃)RX Mapping'!E40&lt;=480), (-1)*('(橫掃)RX Mapping'!E40-480),IF(AND('(橫掃)RX Mapping'!E40&gt;=481,'(橫掃)RX Mapping'!E40&lt;=600), ('(橫掃)RX Mapping'!E40-361),IF(AND('(橫掃)RX Mapping'!E40&gt;=601,'(橫掃)RX Mapping'!E40&lt;=720), (-1)*('(橫掃)RX Mapping'!E40-720)+120,IF(AND('(橫掃)RX Mapping'!E40&gt;=721,'(橫掃)RX Mapping'!E40&lt;=840), ('(橫掃)RX Mapping'!E40-601),IF(AND('(橫掃)RX Mapping'!E40&gt;=841,'(橫掃)RX Mapping'!E40&lt;=960), (-1)*('(橫掃)RX Mapping'!E40-960)+120,9999))))))))</f>
        <v>9999</v>
      </c>
      <c r="F40">
        <f>IF(AND('(橫掃)RX Mapping'!F40&gt;=1,'(橫掃)RX Mapping'!F40&lt;=120), ('(橫掃)RX Mapping'!F40-1),IF(AND('(橫掃)RX Mapping'!F40&gt;=121,'(橫掃)RX Mapping'!F40&lt;=240), (-1)*('(橫掃)RX Mapping'!F40-240),IF(AND('(橫掃)RX Mapping'!F40&gt;=241,'(橫掃)RX Mapping'!F40&lt;=360), ('(橫掃)RX Mapping'!F40-241),IF(AND('(橫掃)RX Mapping'!F40&gt;=361,'(橫掃)RX Mapping'!F40&lt;=480), (-1)*('(橫掃)RX Mapping'!F40-480),IF(AND('(橫掃)RX Mapping'!F40&gt;=481,'(橫掃)RX Mapping'!F40&lt;=600), ('(橫掃)RX Mapping'!F40-361),IF(AND('(橫掃)RX Mapping'!F40&gt;=601,'(橫掃)RX Mapping'!F40&lt;=720), (-1)*('(橫掃)RX Mapping'!F40-720)+120,IF(AND('(橫掃)RX Mapping'!F40&gt;=721,'(橫掃)RX Mapping'!F40&lt;=840), ('(橫掃)RX Mapping'!F40-601),IF(AND('(橫掃)RX Mapping'!F40&gt;=841,'(橫掃)RX Mapping'!F40&lt;=960), (-1)*('(橫掃)RX Mapping'!F40-960)+120,9999))))))))</f>
        <v>9999</v>
      </c>
      <c r="G40">
        <f>IF(AND('(橫掃)RX Mapping'!G40&gt;=1,'(橫掃)RX Mapping'!G40&lt;=120), ('(橫掃)RX Mapping'!G40-1),IF(AND('(橫掃)RX Mapping'!G40&gt;=121,'(橫掃)RX Mapping'!G40&lt;=240), (-1)*('(橫掃)RX Mapping'!G40-240),IF(AND('(橫掃)RX Mapping'!G40&gt;=241,'(橫掃)RX Mapping'!G40&lt;=360), ('(橫掃)RX Mapping'!G40-241),IF(AND('(橫掃)RX Mapping'!G40&gt;=361,'(橫掃)RX Mapping'!G40&lt;=480), (-1)*('(橫掃)RX Mapping'!G40-480),IF(AND('(橫掃)RX Mapping'!G40&gt;=481,'(橫掃)RX Mapping'!G40&lt;=600), ('(橫掃)RX Mapping'!G40-361),IF(AND('(橫掃)RX Mapping'!G40&gt;=601,'(橫掃)RX Mapping'!G40&lt;=720), (-1)*('(橫掃)RX Mapping'!G40-720)+120,IF(AND('(橫掃)RX Mapping'!G40&gt;=721,'(橫掃)RX Mapping'!G40&lt;=840), ('(橫掃)RX Mapping'!G40-601),IF(AND('(橫掃)RX Mapping'!G40&gt;=841,'(橫掃)RX Mapping'!G40&lt;=960), (-1)*('(橫掃)RX Mapping'!G40-960)+120,9999))))))))</f>
        <v>9999</v>
      </c>
      <c r="H40">
        <f>IF(AND('(橫掃)RX Mapping'!H40&gt;=1,'(橫掃)RX Mapping'!H40&lt;=120), ('(橫掃)RX Mapping'!H40-1),IF(AND('(橫掃)RX Mapping'!H40&gt;=121,'(橫掃)RX Mapping'!H40&lt;=240), (-1)*('(橫掃)RX Mapping'!H40-240),IF(AND('(橫掃)RX Mapping'!H40&gt;=241,'(橫掃)RX Mapping'!H40&lt;=360), ('(橫掃)RX Mapping'!H40-241),IF(AND('(橫掃)RX Mapping'!H40&gt;=361,'(橫掃)RX Mapping'!H40&lt;=480), (-1)*('(橫掃)RX Mapping'!H40-480),IF(AND('(橫掃)RX Mapping'!H40&gt;=481,'(橫掃)RX Mapping'!H40&lt;=600), ('(橫掃)RX Mapping'!H40-361),IF(AND('(橫掃)RX Mapping'!H40&gt;=601,'(橫掃)RX Mapping'!H40&lt;=720), (-1)*('(橫掃)RX Mapping'!H40-720)+120,IF(AND('(橫掃)RX Mapping'!H40&gt;=721,'(橫掃)RX Mapping'!H40&lt;=840), ('(橫掃)RX Mapping'!H40-601),IF(AND('(橫掃)RX Mapping'!H40&gt;=841,'(橫掃)RX Mapping'!H40&lt;=960), (-1)*('(橫掃)RX Mapping'!H40-960)+120,9999))))))))</f>
        <v>9999</v>
      </c>
      <c r="I40">
        <f>IF(AND('(橫掃)RX Mapping'!I40&gt;=1,'(橫掃)RX Mapping'!I40&lt;=120), ('(橫掃)RX Mapping'!I40-1),IF(AND('(橫掃)RX Mapping'!I40&gt;=121,'(橫掃)RX Mapping'!I40&lt;=240), (-1)*('(橫掃)RX Mapping'!I40-240),IF(AND('(橫掃)RX Mapping'!I40&gt;=241,'(橫掃)RX Mapping'!I40&lt;=360), ('(橫掃)RX Mapping'!I40-241),IF(AND('(橫掃)RX Mapping'!I40&gt;=361,'(橫掃)RX Mapping'!I40&lt;=480), (-1)*('(橫掃)RX Mapping'!I40-480),IF(AND('(橫掃)RX Mapping'!I40&gt;=481,'(橫掃)RX Mapping'!I40&lt;=600), ('(橫掃)RX Mapping'!I40-361),IF(AND('(橫掃)RX Mapping'!I40&gt;=601,'(橫掃)RX Mapping'!I40&lt;=720), (-1)*('(橫掃)RX Mapping'!I40-720)+120,IF(AND('(橫掃)RX Mapping'!I40&gt;=721,'(橫掃)RX Mapping'!I40&lt;=840), ('(橫掃)RX Mapping'!I40-601),IF(AND('(橫掃)RX Mapping'!I40&gt;=841,'(橫掃)RX Mapping'!I40&lt;=960), (-1)*('(橫掃)RX Mapping'!I40-960)+120,9999))))))))</f>
        <v>9999</v>
      </c>
      <c r="J40">
        <f>IF(AND('(橫掃)RX Mapping'!J40&gt;=1,'(橫掃)RX Mapping'!J40&lt;=120), ('(橫掃)RX Mapping'!J40-1),IF(AND('(橫掃)RX Mapping'!J40&gt;=121,'(橫掃)RX Mapping'!J40&lt;=240), (-1)*('(橫掃)RX Mapping'!J40-240),IF(AND('(橫掃)RX Mapping'!J40&gt;=241,'(橫掃)RX Mapping'!J40&lt;=360), ('(橫掃)RX Mapping'!J40-241),IF(AND('(橫掃)RX Mapping'!J40&gt;=361,'(橫掃)RX Mapping'!J40&lt;=480), (-1)*('(橫掃)RX Mapping'!J40-480),IF(AND('(橫掃)RX Mapping'!J40&gt;=481,'(橫掃)RX Mapping'!J40&lt;=600), ('(橫掃)RX Mapping'!J40-361),IF(AND('(橫掃)RX Mapping'!J40&gt;=601,'(橫掃)RX Mapping'!J40&lt;=720), (-1)*('(橫掃)RX Mapping'!J40-720)+120,IF(AND('(橫掃)RX Mapping'!J40&gt;=721,'(橫掃)RX Mapping'!J40&lt;=840), ('(橫掃)RX Mapping'!J40-601),IF(AND('(橫掃)RX Mapping'!J40&gt;=841,'(橫掃)RX Mapping'!J40&lt;=960), (-1)*('(橫掃)RX Mapping'!J40-960)+120,9999))))))))</f>
        <v>9999</v>
      </c>
      <c r="K40">
        <f>IF(AND('(橫掃)RX Mapping'!K40&gt;=1,'(橫掃)RX Mapping'!K40&lt;=120), ('(橫掃)RX Mapping'!K40-1),IF(AND('(橫掃)RX Mapping'!K40&gt;=121,'(橫掃)RX Mapping'!K40&lt;=240), (-1)*('(橫掃)RX Mapping'!K40-240),IF(AND('(橫掃)RX Mapping'!K40&gt;=241,'(橫掃)RX Mapping'!K40&lt;=360), ('(橫掃)RX Mapping'!K40-241),IF(AND('(橫掃)RX Mapping'!K40&gt;=361,'(橫掃)RX Mapping'!K40&lt;=480), (-1)*('(橫掃)RX Mapping'!K40-480),IF(AND('(橫掃)RX Mapping'!K40&gt;=481,'(橫掃)RX Mapping'!K40&lt;=600), ('(橫掃)RX Mapping'!K40-361),IF(AND('(橫掃)RX Mapping'!K40&gt;=601,'(橫掃)RX Mapping'!K40&lt;=720), (-1)*('(橫掃)RX Mapping'!K40-720)+120,IF(AND('(橫掃)RX Mapping'!K40&gt;=721,'(橫掃)RX Mapping'!K40&lt;=840), ('(橫掃)RX Mapping'!K40-601),IF(AND('(橫掃)RX Mapping'!K40&gt;=841,'(橫掃)RX Mapping'!K40&lt;=960), (-1)*('(橫掃)RX Mapping'!K40-960)+120,9999))))))))</f>
        <v>9999</v>
      </c>
      <c r="L40">
        <f>IF(AND('(橫掃)RX Mapping'!L40&gt;=1,'(橫掃)RX Mapping'!L40&lt;=120), ('(橫掃)RX Mapping'!L40-1),IF(AND('(橫掃)RX Mapping'!L40&gt;=121,'(橫掃)RX Mapping'!L40&lt;=240), (-1)*('(橫掃)RX Mapping'!L40-240),IF(AND('(橫掃)RX Mapping'!L40&gt;=241,'(橫掃)RX Mapping'!L40&lt;=360), ('(橫掃)RX Mapping'!L40-241),IF(AND('(橫掃)RX Mapping'!L40&gt;=361,'(橫掃)RX Mapping'!L40&lt;=480), (-1)*('(橫掃)RX Mapping'!L40-480),IF(AND('(橫掃)RX Mapping'!L40&gt;=481,'(橫掃)RX Mapping'!L40&lt;=600), ('(橫掃)RX Mapping'!L40-361),IF(AND('(橫掃)RX Mapping'!L40&gt;=601,'(橫掃)RX Mapping'!L40&lt;=720), (-1)*('(橫掃)RX Mapping'!L40-720)+120,IF(AND('(橫掃)RX Mapping'!L40&gt;=721,'(橫掃)RX Mapping'!L40&lt;=840), ('(橫掃)RX Mapping'!L40-601),IF(AND('(橫掃)RX Mapping'!L40&gt;=841,'(橫掃)RX Mapping'!L40&lt;=960), (-1)*('(橫掃)RX Mapping'!L40-960)+120,9999))))))))</f>
        <v>9999</v>
      </c>
      <c r="M40">
        <f>IF(AND('(橫掃)RX Mapping'!M40&gt;=1,'(橫掃)RX Mapping'!M40&lt;=120), ('(橫掃)RX Mapping'!M40-1),IF(AND('(橫掃)RX Mapping'!M40&gt;=121,'(橫掃)RX Mapping'!M40&lt;=240), (-1)*('(橫掃)RX Mapping'!M40-240),IF(AND('(橫掃)RX Mapping'!M40&gt;=241,'(橫掃)RX Mapping'!M40&lt;=360), ('(橫掃)RX Mapping'!M40-241),IF(AND('(橫掃)RX Mapping'!M40&gt;=361,'(橫掃)RX Mapping'!M40&lt;=480), (-1)*('(橫掃)RX Mapping'!M40-480),IF(AND('(橫掃)RX Mapping'!M40&gt;=481,'(橫掃)RX Mapping'!M40&lt;=600), ('(橫掃)RX Mapping'!M40-361),IF(AND('(橫掃)RX Mapping'!M40&gt;=601,'(橫掃)RX Mapping'!M40&lt;=720), (-1)*('(橫掃)RX Mapping'!M40-720)+120,IF(AND('(橫掃)RX Mapping'!M40&gt;=721,'(橫掃)RX Mapping'!M40&lt;=840), ('(橫掃)RX Mapping'!M40-601),IF(AND('(橫掃)RX Mapping'!M40&gt;=841,'(橫掃)RX Mapping'!M40&lt;=960), (-1)*('(橫掃)RX Mapping'!M40-960)+120,9999))))))))</f>
        <v>9999</v>
      </c>
      <c r="N40">
        <f>IF(AND('(橫掃)RX Mapping'!N40&gt;=1,'(橫掃)RX Mapping'!N40&lt;=120), ('(橫掃)RX Mapping'!N40-1),IF(AND('(橫掃)RX Mapping'!N40&gt;=121,'(橫掃)RX Mapping'!N40&lt;=240), (-1)*('(橫掃)RX Mapping'!N40-240),IF(AND('(橫掃)RX Mapping'!N40&gt;=241,'(橫掃)RX Mapping'!N40&lt;=360), ('(橫掃)RX Mapping'!N40-241),IF(AND('(橫掃)RX Mapping'!N40&gt;=361,'(橫掃)RX Mapping'!N40&lt;=480), (-1)*('(橫掃)RX Mapping'!N40-480),IF(AND('(橫掃)RX Mapping'!N40&gt;=481,'(橫掃)RX Mapping'!N40&lt;=600), ('(橫掃)RX Mapping'!N40-361),IF(AND('(橫掃)RX Mapping'!N40&gt;=601,'(橫掃)RX Mapping'!N40&lt;=720), (-1)*('(橫掃)RX Mapping'!N40-720)+120,IF(AND('(橫掃)RX Mapping'!N40&gt;=721,'(橫掃)RX Mapping'!N40&lt;=840), ('(橫掃)RX Mapping'!N40-601),IF(AND('(橫掃)RX Mapping'!N40&gt;=841,'(橫掃)RX Mapping'!N40&lt;=960), (-1)*('(橫掃)RX Mapping'!N40-960)+120,9999))))))))</f>
        <v>9999</v>
      </c>
      <c r="O40">
        <f>IF(AND('(橫掃)RX Mapping'!O40&gt;=1,'(橫掃)RX Mapping'!O40&lt;=120), ('(橫掃)RX Mapping'!O40-1),IF(AND('(橫掃)RX Mapping'!O40&gt;=121,'(橫掃)RX Mapping'!O40&lt;=240), (-1)*('(橫掃)RX Mapping'!O40-240),IF(AND('(橫掃)RX Mapping'!O40&gt;=241,'(橫掃)RX Mapping'!O40&lt;=360), ('(橫掃)RX Mapping'!O40-241),IF(AND('(橫掃)RX Mapping'!O40&gt;=361,'(橫掃)RX Mapping'!O40&lt;=480), (-1)*('(橫掃)RX Mapping'!O40-480),IF(AND('(橫掃)RX Mapping'!O40&gt;=481,'(橫掃)RX Mapping'!O40&lt;=600), ('(橫掃)RX Mapping'!O40-361),IF(AND('(橫掃)RX Mapping'!O40&gt;=601,'(橫掃)RX Mapping'!O40&lt;=720), (-1)*('(橫掃)RX Mapping'!O40-720)+120,IF(AND('(橫掃)RX Mapping'!O40&gt;=721,'(橫掃)RX Mapping'!O40&lt;=840), ('(橫掃)RX Mapping'!O40-601),IF(AND('(橫掃)RX Mapping'!O40&gt;=841,'(橫掃)RX Mapping'!O40&lt;=960), (-1)*('(橫掃)RX Mapping'!O40-960)+120,9999))))))))</f>
        <v>9999</v>
      </c>
      <c r="P40">
        <f>IF(AND('(橫掃)RX Mapping'!P40&gt;=1,'(橫掃)RX Mapping'!P40&lt;=120), ('(橫掃)RX Mapping'!P40-1),IF(AND('(橫掃)RX Mapping'!P40&gt;=121,'(橫掃)RX Mapping'!P40&lt;=240), (-1)*('(橫掃)RX Mapping'!P40-240),IF(AND('(橫掃)RX Mapping'!P40&gt;=241,'(橫掃)RX Mapping'!P40&lt;=360), ('(橫掃)RX Mapping'!P40-241),IF(AND('(橫掃)RX Mapping'!P40&gt;=361,'(橫掃)RX Mapping'!P40&lt;=480), (-1)*('(橫掃)RX Mapping'!P40-480),IF(AND('(橫掃)RX Mapping'!P40&gt;=481,'(橫掃)RX Mapping'!P40&lt;=600), ('(橫掃)RX Mapping'!P40-361),IF(AND('(橫掃)RX Mapping'!P40&gt;=601,'(橫掃)RX Mapping'!P40&lt;=720), (-1)*('(橫掃)RX Mapping'!P40-720)+120,IF(AND('(橫掃)RX Mapping'!P40&gt;=721,'(橫掃)RX Mapping'!P40&lt;=840), ('(橫掃)RX Mapping'!P40-601),IF(AND('(橫掃)RX Mapping'!P40&gt;=841,'(橫掃)RX Mapping'!P40&lt;=960), (-1)*('(橫掃)RX Mapping'!P40-960)+120,9999))))))))</f>
        <v>9999</v>
      </c>
      <c r="Q40">
        <f>IF(AND('(橫掃)RX Mapping'!Q40&gt;=1,'(橫掃)RX Mapping'!Q40&lt;=120), ('(橫掃)RX Mapping'!Q40-1),IF(AND('(橫掃)RX Mapping'!Q40&gt;=121,'(橫掃)RX Mapping'!Q40&lt;=240), (-1)*('(橫掃)RX Mapping'!Q40-240),IF(AND('(橫掃)RX Mapping'!Q40&gt;=241,'(橫掃)RX Mapping'!Q40&lt;=360), ('(橫掃)RX Mapping'!Q40-241),IF(AND('(橫掃)RX Mapping'!Q40&gt;=361,'(橫掃)RX Mapping'!Q40&lt;=480), (-1)*('(橫掃)RX Mapping'!Q40-480),IF(AND('(橫掃)RX Mapping'!Q40&gt;=481,'(橫掃)RX Mapping'!Q40&lt;=600), ('(橫掃)RX Mapping'!Q40-361),IF(AND('(橫掃)RX Mapping'!Q40&gt;=601,'(橫掃)RX Mapping'!Q40&lt;=720), (-1)*('(橫掃)RX Mapping'!Q40-720)+120,IF(AND('(橫掃)RX Mapping'!Q40&gt;=721,'(橫掃)RX Mapping'!Q40&lt;=840), ('(橫掃)RX Mapping'!Q40-601),IF(AND('(橫掃)RX Mapping'!Q40&gt;=841,'(橫掃)RX Mapping'!Q40&lt;=960), (-1)*('(橫掃)RX Mapping'!Q40-960)+120,9999))))))))</f>
        <v>9999</v>
      </c>
      <c r="R40">
        <f>IF(AND('(橫掃)RX Mapping'!R40&gt;=1,'(橫掃)RX Mapping'!R40&lt;=120), ('(橫掃)RX Mapping'!R40-1),IF(AND('(橫掃)RX Mapping'!R40&gt;=121,'(橫掃)RX Mapping'!R40&lt;=240), (-1)*('(橫掃)RX Mapping'!R40-240),IF(AND('(橫掃)RX Mapping'!R40&gt;=241,'(橫掃)RX Mapping'!R40&lt;=360), ('(橫掃)RX Mapping'!R40-241),IF(AND('(橫掃)RX Mapping'!R40&gt;=361,'(橫掃)RX Mapping'!R40&lt;=480), (-1)*('(橫掃)RX Mapping'!R40-480),IF(AND('(橫掃)RX Mapping'!R40&gt;=481,'(橫掃)RX Mapping'!R40&lt;=600), ('(橫掃)RX Mapping'!R40-361),IF(AND('(橫掃)RX Mapping'!R40&gt;=601,'(橫掃)RX Mapping'!R40&lt;=720), (-1)*('(橫掃)RX Mapping'!R40-720)+120,IF(AND('(橫掃)RX Mapping'!R40&gt;=721,'(橫掃)RX Mapping'!R40&lt;=840), ('(橫掃)RX Mapping'!R40-601),IF(AND('(橫掃)RX Mapping'!R40&gt;=841,'(橫掃)RX Mapping'!R40&lt;=960), (-1)*('(橫掃)RX Mapping'!R40-960)+120,9999))))))))</f>
        <v>9999</v>
      </c>
      <c r="S40">
        <f>IF(AND('(橫掃)RX Mapping'!S40&gt;=1,'(橫掃)RX Mapping'!S40&lt;=120), ('(橫掃)RX Mapping'!S40-1),IF(AND('(橫掃)RX Mapping'!S40&gt;=121,'(橫掃)RX Mapping'!S40&lt;=240), (-1)*('(橫掃)RX Mapping'!S40-240),IF(AND('(橫掃)RX Mapping'!S40&gt;=241,'(橫掃)RX Mapping'!S40&lt;=360), ('(橫掃)RX Mapping'!S40-241),IF(AND('(橫掃)RX Mapping'!S40&gt;=361,'(橫掃)RX Mapping'!S40&lt;=480), (-1)*('(橫掃)RX Mapping'!S40-480),IF(AND('(橫掃)RX Mapping'!S40&gt;=481,'(橫掃)RX Mapping'!S40&lt;=600), ('(橫掃)RX Mapping'!S40-361),IF(AND('(橫掃)RX Mapping'!S40&gt;=601,'(橫掃)RX Mapping'!S40&lt;=720), (-1)*('(橫掃)RX Mapping'!S40-720)+120,IF(AND('(橫掃)RX Mapping'!S40&gt;=721,'(橫掃)RX Mapping'!S40&lt;=840), ('(橫掃)RX Mapping'!S40-601),IF(AND('(橫掃)RX Mapping'!S40&gt;=841,'(橫掃)RX Mapping'!S40&lt;=960), (-1)*('(橫掃)RX Mapping'!S40-960)+120,9999))))))))</f>
        <v>9999</v>
      </c>
      <c r="T40">
        <f>IF(AND('(橫掃)RX Mapping'!T40&gt;=1,'(橫掃)RX Mapping'!T40&lt;=120), ('(橫掃)RX Mapping'!T40-1),IF(AND('(橫掃)RX Mapping'!T40&gt;=121,'(橫掃)RX Mapping'!T40&lt;=240), (-1)*('(橫掃)RX Mapping'!T40-240),IF(AND('(橫掃)RX Mapping'!T40&gt;=241,'(橫掃)RX Mapping'!T40&lt;=360), ('(橫掃)RX Mapping'!T40-241),IF(AND('(橫掃)RX Mapping'!T40&gt;=361,'(橫掃)RX Mapping'!T40&lt;=480), (-1)*('(橫掃)RX Mapping'!T40-480),IF(AND('(橫掃)RX Mapping'!T40&gt;=481,'(橫掃)RX Mapping'!T40&lt;=600), ('(橫掃)RX Mapping'!T40-361),IF(AND('(橫掃)RX Mapping'!T40&gt;=601,'(橫掃)RX Mapping'!T40&lt;=720), (-1)*('(橫掃)RX Mapping'!T40-720)+120,IF(AND('(橫掃)RX Mapping'!T40&gt;=721,'(橫掃)RX Mapping'!T40&lt;=840), ('(橫掃)RX Mapping'!T40-601),IF(AND('(橫掃)RX Mapping'!T40&gt;=841,'(橫掃)RX Mapping'!T40&lt;=960), (-1)*('(橫掃)RX Mapping'!T40-960)+120,9999))))))))</f>
        <v>9999</v>
      </c>
      <c r="U40">
        <f>IF(AND('(橫掃)RX Mapping'!U40&gt;=1,'(橫掃)RX Mapping'!U40&lt;=120), ('(橫掃)RX Mapping'!U40-1),IF(AND('(橫掃)RX Mapping'!U40&gt;=121,'(橫掃)RX Mapping'!U40&lt;=240), (-1)*('(橫掃)RX Mapping'!U40-240),IF(AND('(橫掃)RX Mapping'!U40&gt;=241,'(橫掃)RX Mapping'!U40&lt;=360), ('(橫掃)RX Mapping'!U40-241),IF(AND('(橫掃)RX Mapping'!U40&gt;=361,'(橫掃)RX Mapping'!U40&lt;=480), (-1)*('(橫掃)RX Mapping'!U40-480),IF(AND('(橫掃)RX Mapping'!U40&gt;=481,'(橫掃)RX Mapping'!U40&lt;=600), ('(橫掃)RX Mapping'!U40-361),IF(AND('(橫掃)RX Mapping'!U40&gt;=601,'(橫掃)RX Mapping'!U40&lt;=720), (-1)*('(橫掃)RX Mapping'!U40-720)+120,IF(AND('(橫掃)RX Mapping'!U40&gt;=721,'(橫掃)RX Mapping'!U40&lt;=840), ('(橫掃)RX Mapping'!U40-601),IF(AND('(橫掃)RX Mapping'!U40&gt;=841,'(橫掃)RX Mapping'!U40&lt;=960), (-1)*('(橫掃)RX Mapping'!U40-960)+120,9999))))))))</f>
        <v>9999</v>
      </c>
      <c r="V40">
        <f>IF(AND('(橫掃)RX Mapping'!V40&gt;=1,'(橫掃)RX Mapping'!V40&lt;=120), ('(橫掃)RX Mapping'!V40-1),IF(AND('(橫掃)RX Mapping'!V40&gt;=121,'(橫掃)RX Mapping'!V40&lt;=240), (-1)*('(橫掃)RX Mapping'!V40-240),IF(AND('(橫掃)RX Mapping'!V40&gt;=241,'(橫掃)RX Mapping'!V40&lt;=360), ('(橫掃)RX Mapping'!V40-241),IF(AND('(橫掃)RX Mapping'!V40&gt;=361,'(橫掃)RX Mapping'!V40&lt;=480), (-1)*('(橫掃)RX Mapping'!V40-480),IF(AND('(橫掃)RX Mapping'!V40&gt;=481,'(橫掃)RX Mapping'!V40&lt;=600), ('(橫掃)RX Mapping'!V40-361),IF(AND('(橫掃)RX Mapping'!V40&gt;=601,'(橫掃)RX Mapping'!V40&lt;=720), (-1)*('(橫掃)RX Mapping'!V40-720)+120,IF(AND('(橫掃)RX Mapping'!V40&gt;=721,'(橫掃)RX Mapping'!V40&lt;=840), ('(橫掃)RX Mapping'!V40-601),IF(AND('(橫掃)RX Mapping'!V40&gt;=841,'(橫掃)RX Mapping'!V40&lt;=960), (-1)*('(橫掃)RX Mapping'!V40-960)+120,9999))))))))</f>
        <v>9999</v>
      </c>
      <c r="W40">
        <f>IF(AND('(橫掃)RX Mapping'!W40&gt;=1,'(橫掃)RX Mapping'!W40&lt;=120), ('(橫掃)RX Mapping'!W40-1),IF(AND('(橫掃)RX Mapping'!W40&gt;=121,'(橫掃)RX Mapping'!W40&lt;=240), (-1)*('(橫掃)RX Mapping'!W40-240),IF(AND('(橫掃)RX Mapping'!W40&gt;=241,'(橫掃)RX Mapping'!W40&lt;=360), ('(橫掃)RX Mapping'!W40-241),IF(AND('(橫掃)RX Mapping'!W40&gt;=361,'(橫掃)RX Mapping'!W40&lt;=480), (-1)*('(橫掃)RX Mapping'!W40-480),IF(AND('(橫掃)RX Mapping'!W40&gt;=481,'(橫掃)RX Mapping'!W40&lt;=600), ('(橫掃)RX Mapping'!W40-361),IF(AND('(橫掃)RX Mapping'!W40&gt;=601,'(橫掃)RX Mapping'!W40&lt;=720), (-1)*('(橫掃)RX Mapping'!W40-720)+120,IF(AND('(橫掃)RX Mapping'!W40&gt;=721,'(橫掃)RX Mapping'!W40&lt;=840), ('(橫掃)RX Mapping'!W40-601),IF(AND('(橫掃)RX Mapping'!W40&gt;=841,'(橫掃)RX Mapping'!W40&lt;=960), (-1)*('(橫掃)RX Mapping'!W40-960)+120,9999))))))))</f>
        <v>9999</v>
      </c>
      <c r="X40">
        <f>IF(AND('(橫掃)RX Mapping'!X40&gt;=1,'(橫掃)RX Mapping'!X40&lt;=120), ('(橫掃)RX Mapping'!X40-1),IF(AND('(橫掃)RX Mapping'!X40&gt;=121,'(橫掃)RX Mapping'!X40&lt;=240), (-1)*('(橫掃)RX Mapping'!X40-240),IF(AND('(橫掃)RX Mapping'!X40&gt;=241,'(橫掃)RX Mapping'!X40&lt;=360), ('(橫掃)RX Mapping'!X40-241),IF(AND('(橫掃)RX Mapping'!X40&gt;=361,'(橫掃)RX Mapping'!X40&lt;=480), (-1)*('(橫掃)RX Mapping'!X40-480),IF(AND('(橫掃)RX Mapping'!X40&gt;=481,'(橫掃)RX Mapping'!X40&lt;=600), ('(橫掃)RX Mapping'!X40-361),IF(AND('(橫掃)RX Mapping'!X40&gt;=601,'(橫掃)RX Mapping'!X40&lt;=720), (-1)*('(橫掃)RX Mapping'!X40-720)+120,IF(AND('(橫掃)RX Mapping'!X40&gt;=721,'(橫掃)RX Mapping'!X40&lt;=840), ('(橫掃)RX Mapping'!X40-601),IF(AND('(橫掃)RX Mapping'!X40&gt;=841,'(橫掃)RX Mapping'!X40&lt;=960), (-1)*('(橫掃)RX Mapping'!X40-960)+120,9999))))))))</f>
        <v>9999</v>
      </c>
      <c r="Y40">
        <f>IF(AND('(橫掃)RX Mapping'!Y40&gt;=1,'(橫掃)RX Mapping'!Y40&lt;=120), ('(橫掃)RX Mapping'!Y40-1),IF(AND('(橫掃)RX Mapping'!Y40&gt;=121,'(橫掃)RX Mapping'!Y40&lt;=240), (-1)*('(橫掃)RX Mapping'!Y40-240),IF(AND('(橫掃)RX Mapping'!Y40&gt;=241,'(橫掃)RX Mapping'!Y40&lt;=360), ('(橫掃)RX Mapping'!Y40-241),IF(AND('(橫掃)RX Mapping'!Y40&gt;=361,'(橫掃)RX Mapping'!Y40&lt;=480), (-1)*('(橫掃)RX Mapping'!Y40-480),IF(AND('(橫掃)RX Mapping'!Y40&gt;=481,'(橫掃)RX Mapping'!Y40&lt;=600), ('(橫掃)RX Mapping'!Y40-361),IF(AND('(橫掃)RX Mapping'!Y40&gt;=601,'(橫掃)RX Mapping'!Y40&lt;=720), (-1)*('(橫掃)RX Mapping'!Y40-720)+120,IF(AND('(橫掃)RX Mapping'!Y40&gt;=721,'(橫掃)RX Mapping'!Y40&lt;=840), ('(橫掃)RX Mapping'!Y40-601),IF(AND('(橫掃)RX Mapping'!Y40&gt;=841,'(橫掃)RX Mapping'!Y40&lt;=960), (-1)*('(橫掃)RX Mapping'!Y40-960)+120,9999))))))))</f>
        <v>9999</v>
      </c>
      <c r="Z40">
        <f>IF(AND('(橫掃)RX Mapping'!Z40&gt;=1,'(橫掃)RX Mapping'!Z40&lt;=120), ('(橫掃)RX Mapping'!Z40-1),IF(AND('(橫掃)RX Mapping'!Z40&gt;=121,'(橫掃)RX Mapping'!Z40&lt;=240), (-1)*('(橫掃)RX Mapping'!Z40-240),IF(AND('(橫掃)RX Mapping'!Z40&gt;=241,'(橫掃)RX Mapping'!Z40&lt;=360), ('(橫掃)RX Mapping'!Z40-241),IF(AND('(橫掃)RX Mapping'!Z40&gt;=361,'(橫掃)RX Mapping'!Z40&lt;=480), (-1)*('(橫掃)RX Mapping'!Z40-480),IF(AND('(橫掃)RX Mapping'!Z40&gt;=481,'(橫掃)RX Mapping'!Z40&lt;=600), ('(橫掃)RX Mapping'!Z40-361),IF(AND('(橫掃)RX Mapping'!Z40&gt;=601,'(橫掃)RX Mapping'!Z40&lt;=720), (-1)*('(橫掃)RX Mapping'!Z40-720)+120,IF(AND('(橫掃)RX Mapping'!Z40&gt;=721,'(橫掃)RX Mapping'!Z40&lt;=840), ('(橫掃)RX Mapping'!Z40-601),IF(AND('(橫掃)RX Mapping'!Z40&gt;=841,'(橫掃)RX Mapping'!Z40&lt;=960), (-1)*('(橫掃)RX Mapping'!Z40-960)+120,9999))))))))</f>
        <v>9999</v>
      </c>
      <c r="AA40">
        <f>IF(AND('(橫掃)RX Mapping'!AA40&gt;=1,'(橫掃)RX Mapping'!AA40&lt;=120), ('(橫掃)RX Mapping'!AA40-1),IF(AND('(橫掃)RX Mapping'!AA40&gt;=121,'(橫掃)RX Mapping'!AA40&lt;=240), (-1)*('(橫掃)RX Mapping'!AA40-240),IF(AND('(橫掃)RX Mapping'!AA40&gt;=241,'(橫掃)RX Mapping'!AA40&lt;=360), ('(橫掃)RX Mapping'!AA40-241),IF(AND('(橫掃)RX Mapping'!AA40&gt;=361,'(橫掃)RX Mapping'!AA40&lt;=480), (-1)*('(橫掃)RX Mapping'!AA40-480),IF(AND('(橫掃)RX Mapping'!AA40&gt;=481,'(橫掃)RX Mapping'!AA40&lt;=600), ('(橫掃)RX Mapping'!AA40-361),IF(AND('(橫掃)RX Mapping'!AA40&gt;=601,'(橫掃)RX Mapping'!AA40&lt;=720), (-1)*('(橫掃)RX Mapping'!AA40-720)+120,IF(AND('(橫掃)RX Mapping'!AA40&gt;=721,'(橫掃)RX Mapping'!AA40&lt;=840), ('(橫掃)RX Mapping'!AA40-601),IF(AND('(橫掃)RX Mapping'!AA40&gt;=841,'(橫掃)RX Mapping'!AA40&lt;=960), (-1)*('(橫掃)RX Mapping'!AA40-960)+120,9999))))))))</f>
        <v>9999</v>
      </c>
      <c r="AB40">
        <f>IF(AND('(橫掃)RX Mapping'!AB40&gt;=1,'(橫掃)RX Mapping'!AB40&lt;=120), ('(橫掃)RX Mapping'!AB40-1),IF(AND('(橫掃)RX Mapping'!AB40&gt;=121,'(橫掃)RX Mapping'!AB40&lt;=240), (-1)*('(橫掃)RX Mapping'!AB40-240),IF(AND('(橫掃)RX Mapping'!AB40&gt;=241,'(橫掃)RX Mapping'!AB40&lt;=360), ('(橫掃)RX Mapping'!AB40-241),IF(AND('(橫掃)RX Mapping'!AB40&gt;=361,'(橫掃)RX Mapping'!AB40&lt;=480), (-1)*('(橫掃)RX Mapping'!AB40-480),IF(AND('(橫掃)RX Mapping'!AB40&gt;=481,'(橫掃)RX Mapping'!AB40&lt;=600), ('(橫掃)RX Mapping'!AB40-361),IF(AND('(橫掃)RX Mapping'!AB40&gt;=601,'(橫掃)RX Mapping'!AB40&lt;=720), (-1)*('(橫掃)RX Mapping'!AB40-720)+120,IF(AND('(橫掃)RX Mapping'!AB40&gt;=721,'(橫掃)RX Mapping'!AB40&lt;=840), ('(橫掃)RX Mapping'!AB40-601),IF(AND('(橫掃)RX Mapping'!AB40&gt;=841,'(橫掃)RX Mapping'!AB40&lt;=960), (-1)*('(橫掃)RX Mapping'!AB40-960)+120,9999))))))))</f>
        <v>9999</v>
      </c>
      <c r="AC40">
        <f>IF(AND('(橫掃)RX Mapping'!AC40&gt;=1,'(橫掃)RX Mapping'!AC40&lt;=120), ('(橫掃)RX Mapping'!AC40-1),IF(AND('(橫掃)RX Mapping'!AC40&gt;=121,'(橫掃)RX Mapping'!AC40&lt;=240), (-1)*('(橫掃)RX Mapping'!AC40-240),IF(AND('(橫掃)RX Mapping'!AC40&gt;=241,'(橫掃)RX Mapping'!AC40&lt;=360), ('(橫掃)RX Mapping'!AC40-241),IF(AND('(橫掃)RX Mapping'!AC40&gt;=361,'(橫掃)RX Mapping'!AC40&lt;=480), (-1)*('(橫掃)RX Mapping'!AC40-480),IF(AND('(橫掃)RX Mapping'!AC40&gt;=481,'(橫掃)RX Mapping'!AC40&lt;=600), ('(橫掃)RX Mapping'!AC40-361),IF(AND('(橫掃)RX Mapping'!AC40&gt;=601,'(橫掃)RX Mapping'!AC40&lt;=720), (-1)*('(橫掃)RX Mapping'!AC40-720)+120,IF(AND('(橫掃)RX Mapping'!AC40&gt;=721,'(橫掃)RX Mapping'!AC40&lt;=840), ('(橫掃)RX Mapping'!AC40-601),IF(AND('(橫掃)RX Mapping'!AC40&gt;=841,'(橫掃)RX Mapping'!AC40&lt;=960), (-1)*('(橫掃)RX Mapping'!AC40-960)+120,9999))))))))</f>
        <v>9999</v>
      </c>
      <c r="AD40">
        <f>IF(AND('(橫掃)RX Mapping'!AD40&gt;=1,'(橫掃)RX Mapping'!AD40&lt;=120), ('(橫掃)RX Mapping'!AD40-1),IF(AND('(橫掃)RX Mapping'!AD40&gt;=121,'(橫掃)RX Mapping'!AD40&lt;=240), (-1)*('(橫掃)RX Mapping'!AD40-240),IF(AND('(橫掃)RX Mapping'!AD40&gt;=241,'(橫掃)RX Mapping'!AD40&lt;=360), ('(橫掃)RX Mapping'!AD40-241),IF(AND('(橫掃)RX Mapping'!AD40&gt;=361,'(橫掃)RX Mapping'!AD40&lt;=480), (-1)*('(橫掃)RX Mapping'!AD40-480),IF(AND('(橫掃)RX Mapping'!AD40&gt;=481,'(橫掃)RX Mapping'!AD40&lt;=600), ('(橫掃)RX Mapping'!AD40-361),IF(AND('(橫掃)RX Mapping'!AD40&gt;=601,'(橫掃)RX Mapping'!AD40&lt;=720), (-1)*('(橫掃)RX Mapping'!AD40-720)+120,IF(AND('(橫掃)RX Mapping'!AD40&gt;=721,'(橫掃)RX Mapping'!AD40&lt;=840), ('(橫掃)RX Mapping'!AD40-601),IF(AND('(橫掃)RX Mapping'!AD40&gt;=841,'(橫掃)RX Mapping'!AD40&lt;=960), (-1)*('(橫掃)RX Mapping'!AD40-960)+120,9999))))))))</f>
        <v>9999</v>
      </c>
      <c r="AE40">
        <f>IF(AND('(橫掃)RX Mapping'!AE40&gt;=1,'(橫掃)RX Mapping'!AE40&lt;=120), ('(橫掃)RX Mapping'!AE40-1),IF(AND('(橫掃)RX Mapping'!AE40&gt;=121,'(橫掃)RX Mapping'!AE40&lt;=240), (-1)*('(橫掃)RX Mapping'!AE40-240),IF(AND('(橫掃)RX Mapping'!AE40&gt;=241,'(橫掃)RX Mapping'!AE40&lt;=360), ('(橫掃)RX Mapping'!AE40-241),IF(AND('(橫掃)RX Mapping'!AE40&gt;=361,'(橫掃)RX Mapping'!AE40&lt;=480), (-1)*('(橫掃)RX Mapping'!AE40-480),IF(AND('(橫掃)RX Mapping'!AE40&gt;=481,'(橫掃)RX Mapping'!AE40&lt;=600), ('(橫掃)RX Mapping'!AE40-361),IF(AND('(橫掃)RX Mapping'!AE40&gt;=601,'(橫掃)RX Mapping'!AE40&lt;=720), (-1)*('(橫掃)RX Mapping'!AE40-720)+120,IF(AND('(橫掃)RX Mapping'!AE40&gt;=721,'(橫掃)RX Mapping'!AE40&lt;=840), ('(橫掃)RX Mapping'!AE40-601),IF(AND('(橫掃)RX Mapping'!AE40&gt;=841,'(橫掃)RX Mapping'!AE40&lt;=960), (-1)*('(橫掃)RX Mapping'!AE40-960)+120,9999))))))))</f>
        <v>9999</v>
      </c>
      <c r="AF40">
        <f>IF(AND('(橫掃)RX Mapping'!AF40&gt;=1,'(橫掃)RX Mapping'!AF40&lt;=120), ('(橫掃)RX Mapping'!AF40-1),IF(AND('(橫掃)RX Mapping'!AF40&gt;=121,'(橫掃)RX Mapping'!AF40&lt;=240), (-1)*('(橫掃)RX Mapping'!AF40-240),IF(AND('(橫掃)RX Mapping'!AF40&gt;=241,'(橫掃)RX Mapping'!AF40&lt;=360), ('(橫掃)RX Mapping'!AF40-241),IF(AND('(橫掃)RX Mapping'!AF40&gt;=361,'(橫掃)RX Mapping'!AF40&lt;=480), (-1)*('(橫掃)RX Mapping'!AF40-480),IF(AND('(橫掃)RX Mapping'!AF40&gt;=481,'(橫掃)RX Mapping'!AF40&lt;=600), ('(橫掃)RX Mapping'!AF40-361),IF(AND('(橫掃)RX Mapping'!AF40&gt;=601,'(橫掃)RX Mapping'!AF40&lt;=720), (-1)*('(橫掃)RX Mapping'!AF40-720)+120,IF(AND('(橫掃)RX Mapping'!AF40&gt;=721,'(橫掃)RX Mapping'!AF40&lt;=840), ('(橫掃)RX Mapping'!AF40-601),IF(AND('(橫掃)RX Mapping'!AF40&gt;=841,'(橫掃)RX Mapping'!AF40&lt;=960), (-1)*('(橫掃)RX Mapping'!AF40-960)+120,9999))))))))</f>
        <v>9999</v>
      </c>
      <c r="AG40">
        <f>IF(AND('(橫掃)RX Mapping'!AG40&gt;=1,'(橫掃)RX Mapping'!AG40&lt;=120), ('(橫掃)RX Mapping'!AG40-1),IF(AND('(橫掃)RX Mapping'!AG40&gt;=121,'(橫掃)RX Mapping'!AG40&lt;=240), (-1)*('(橫掃)RX Mapping'!AG40-240),IF(AND('(橫掃)RX Mapping'!AG40&gt;=241,'(橫掃)RX Mapping'!AG40&lt;=360), ('(橫掃)RX Mapping'!AG40-241),IF(AND('(橫掃)RX Mapping'!AG40&gt;=361,'(橫掃)RX Mapping'!AG40&lt;=480), (-1)*('(橫掃)RX Mapping'!AG40-480),IF(AND('(橫掃)RX Mapping'!AG40&gt;=481,'(橫掃)RX Mapping'!AG40&lt;=600), ('(橫掃)RX Mapping'!AG40-361),IF(AND('(橫掃)RX Mapping'!AG40&gt;=601,'(橫掃)RX Mapping'!AG40&lt;=720), (-1)*('(橫掃)RX Mapping'!AG40-720)+120,IF(AND('(橫掃)RX Mapping'!AG40&gt;=721,'(橫掃)RX Mapping'!AG40&lt;=840), ('(橫掃)RX Mapping'!AG40-601),IF(AND('(橫掃)RX Mapping'!AG40&gt;=841,'(橫掃)RX Mapping'!AG40&lt;=960), (-1)*('(橫掃)RX Mapping'!AG40-960)+120,9999))))))))</f>
        <v>9999</v>
      </c>
      <c r="AH40">
        <f>IF(AND('(橫掃)RX Mapping'!AH40&gt;=1,'(橫掃)RX Mapping'!AH40&lt;=120), ('(橫掃)RX Mapping'!AH40-1),IF(AND('(橫掃)RX Mapping'!AH40&gt;=121,'(橫掃)RX Mapping'!AH40&lt;=240), (-1)*('(橫掃)RX Mapping'!AH40-240),IF(AND('(橫掃)RX Mapping'!AH40&gt;=241,'(橫掃)RX Mapping'!AH40&lt;=360), ('(橫掃)RX Mapping'!AH40-241),IF(AND('(橫掃)RX Mapping'!AH40&gt;=361,'(橫掃)RX Mapping'!AH40&lt;=480), (-1)*('(橫掃)RX Mapping'!AH40-480),IF(AND('(橫掃)RX Mapping'!AH40&gt;=481,'(橫掃)RX Mapping'!AH40&lt;=600), ('(橫掃)RX Mapping'!AH40-361),IF(AND('(橫掃)RX Mapping'!AH40&gt;=601,'(橫掃)RX Mapping'!AH40&lt;=720), (-1)*('(橫掃)RX Mapping'!AH40-720)+120,IF(AND('(橫掃)RX Mapping'!AH40&gt;=721,'(橫掃)RX Mapping'!AH40&lt;=840), ('(橫掃)RX Mapping'!AH40-601),IF(AND('(橫掃)RX Mapping'!AH40&gt;=841,'(橫掃)RX Mapping'!AH40&lt;=960), (-1)*('(橫掃)RX Mapping'!AH40-960)+120,9999))))))))</f>
        <v>9999</v>
      </c>
      <c r="AI40">
        <f>IF(AND('(橫掃)RX Mapping'!AI40&gt;=1,'(橫掃)RX Mapping'!AI40&lt;=120), ('(橫掃)RX Mapping'!AI40-1),IF(AND('(橫掃)RX Mapping'!AI40&gt;=121,'(橫掃)RX Mapping'!AI40&lt;=240), (-1)*('(橫掃)RX Mapping'!AI40-240),IF(AND('(橫掃)RX Mapping'!AI40&gt;=241,'(橫掃)RX Mapping'!AI40&lt;=360), ('(橫掃)RX Mapping'!AI40-241),IF(AND('(橫掃)RX Mapping'!AI40&gt;=361,'(橫掃)RX Mapping'!AI40&lt;=480), (-1)*('(橫掃)RX Mapping'!AI40-480),IF(AND('(橫掃)RX Mapping'!AI40&gt;=481,'(橫掃)RX Mapping'!AI40&lt;=600), ('(橫掃)RX Mapping'!AI40-361),IF(AND('(橫掃)RX Mapping'!AI40&gt;=601,'(橫掃)RX Mapping'!AI40&lt;=720), (-1)*('(橫掃)RX Mapping'!AI40-720)+120,IF(AND('(橫掃)RX Mapping'!AI40&gt;=721,'(橫掃)RX Mapping'!AI40&lt;=840), ('(橫掃)RX Mapping'!AI40-601),IF(AND('(橫掃)RX Mapping'!AI40&gt;=841,'(橫掃)RX Mapping'!AI40&lt;=960), (-1)*('(橫掃)RX Mapping'!AI40-960)+120,9999))))))))</f>
        <v>9999</v>
      </c>
      <c r="AJ40">
        <f>IF(AND('(橫掃)RX Mapping'!AJ40&gt;=1,'(橫掃)RX Mapping'!AJ40&lt;=120), ('(橫掃)RX Mapping'!AJ40-1),IF(AND('(橫掃)RX Mapping'!AJ40&gt;=121,'(橫掃)RX Mapping'!AJ40&lt;=240), (-1)*('(橫掃)RX Mapping'!AJ40-240),IF(AND('(橫掃)RX Mapping'!AJ40&gt;=241,'(橫掃)RX Mapping'!AJ40&lt;=360), ('(橫掃)RX Mapping'!AJ40-241),IF(AND('(橫掃)RX Mapping'!AJ40&gt;=361,'(橫掃)RX Mapping'!AJ40&lt;=480), (-1)*('(橫掃)RX Mapping'!AJ40-480),IF(AND('(橫掃)RX Mapping'!AJ40&gt;=481,'(橫掃)RX Mapping'!AJ40&lt;=600), ('(橫掃)RX Mapping'!AJ40-361),IF(AND('(橫掃)RX Mapping'!AJ40&gt;=601,'(橫掃)RX Mapping'!AJ40&lt;=720), (-1)*('(橫掃)RX Mapping'!AJ40-720)+120,IF(AND('(橫掃)RX Mapping'!AJ40&gt;=721,'(橫掃)RX Mapping'!AJ40&lt;=840), ('(橫掃)RX Mapping'!AJ40-601),IF(AND('(橫掃)RX Mapping'!AJ40&gt;=841,'(橫掃)RX Mapping'!AJ40&lt;=960), (-1)*('(橫掃)RX Mapping'!AJ40-960)+120,9999))))))))</f>
        <v>9999</v>
      </c>
      <c r="AK40">
        <f>IF(AND('(橫掃)RX Mapping'!AK40&gt;=1,'(橫掃)RX Mapping'!AK40&lt;=120), ('(橫掃)RX Mapping'!AK40-1),IF(AND('(橫掃)RX Mapping'!AK40&gt;=121,'(橫掃)RX Mapping'!AK40&lt;=240), (-1)*('(橫掃)RX Mapping'!AK40-240),IF(AND('(橫掃)RX Mapping'!AK40&gt;=241,'(橫掃)RX Mapping'!AK40&lt;=360), ('(橫掃)RX Mapping'!AK40-241),IF(AND('(橫掃)RX Mapping'!AK40&gt;=361,'(橫掃)RX Mapping'!AK40&lt;=480), (-1)*('(橫掃)RX Mapping'!AK40-480),IF(AND('(橫掃)RX Mapping'!AK40&gt;=481,'(橫掃)RX Mapping'!AK40&lt;=600), ('(橫掃)RX Mapping'!AK40-361),IF(AND('(橫掃)RX Mapping'!AK40&gt;=601,'(橫掃)RX Mapping'!AK40&lt;=720), (-1)*('(橫掃)RX Mapping'!AK40-720)+120,IF(AND('(橫掃)RX Mapping'!AK40&gt;=721,'(橫掃)RX Mapping'!AK40&lt;=840), ('(橫掃)RX Mapping'!AK40-601),IF(AND('(橫掃)RX Mapping'!AK40&gt;=841,'(橫掃)RX Mapping'!AK40&lt;=960), (-1)*('(橫掃)RX Mapping'!AK40-960)+120,9999))))))))</f>
        <v>9999</v>
      </c>
      <c r="AL40">
        <f>IF(AND('(橫掃)RX Mapping'!AL40&gt;=1,'(橫掃)RX Mapping'!AL40&lt;=120), ('(橫掃)RX Mapping'!AL40-1),IF(AND('(橫掃)RX Mapping'!AL40&gt;=121,'(橫掃)RX Mapping'!AL40&lt;=240), (-1)*('(橫掃)RX Mapping'!AL40-240),IF(AND('(橫掃)RX Mapping'!AL40&gt;=241,'(橫掃)RX Mapping'!AL40&lt;=360), ('(橫掃)RX Mapping'!AL40-241),IF(AND('(橫掃)RX Mapping'!AL40&gt;=361,'(橫掃)RX Mapping'!AL40&lt;=480), (-1)*('(橫掃)RX Mapping'!AL40-480),IF(AND('(橫掃)RX Mapping'!AL40&gt;=481,'(橫掃)RX Mapping'!AL40&lt;=600), ('(橫掃)RX Mapping'!AL40-361),IF(AND('(橫掃)RX Mapping'!AL40&gt;=601,'(橫掃)RX Mapping'!AL40&lt;=720), (-1)*('(橫掃)RX Mapping'!AL40-720)+120,IF(AND('(橫掃)RX Mapping'!AL40&gt;=721,'(橫掃)RX Mapping'!AL40&lt;=840), ('(橫掃)RX Mapping'!AL40-601),IF(AND('(橫掃)RX Mapping'!AL40&gt;=841,'(橫掃)RX Mapping'!AL40&lt;=960), (-1)*('(橫掃)RX Mapping'!AL40-960)+120,9999))))))))</f>
        <v>9999</v>
      </c>
      <c r="AM40">
        <f>IF(AND('(橫掃)RX Mapping'!AM40&gt;=1,'(橫掃)RX Mapping'!AM40&lt;=120), ('(橫掃)RX Mapping'!AM40-1),IF(AND('(橫掃)RX Mapping'!AM40&gt;=121,'(橫掃)RX Mapping'!AM40&lt;=240), (-1)*('(橫掃)RX Mapping'!AM40-240),IF(AND('(橫掃)RX Mapping'!AM40&gt;=241,'(橫掃)RX Mapping'!AM40&lt;=360), ('(橫掃)RX Mapping'!AM40-241),IF(AND('(橫掃)RX Mapping'!AM40&gt;=361,'(橫掃)RX Mapping'!AM40&lt;=480), (-1)*('(橫掃)RX Mapping'!AM40-480),IF(AND('(橫掃)RX Mapping'!AM40&gt;=481,'(橫掃)RX Mapping'!AM40&lt;=600), ('(橫掃)RX Mapping'!AM40-361),IF(AND('(橫掃)RX Mapping'!AM40&gt;=601,'(橫掃)RX Mapping'!AM40&lt;=720), (-1)*('(橫掃)RX Mapping'!AM40-720)+120,IF(AND('(橫掃)RX Mapping'!AM40&gt;=721,'(橫掃)RX Mapping'!AM40&lt;=840), ('(橫掃)RX Mapping'!AM40-601),IF(AND('(橫掃)RX Mapping'!AM40&gt;=841,'(橫掃)RX Mapping'!AM40&lt;=960), (-1)*('(橫掃)RX Mapping'!AM40-960)+120,9999))))))))</f>
        <v>9999</v>
      </c>
      <c r="AN40">
        <f>IF(AND('(橫掃)RX Mapping'!AN40&gt;=1,'(橫掃)RX Mapping'!AN40&lt;=120), ('(橫掃)RX Mapping'!AN40-1),IF(AND('(橫掃)RX Mapping'!AN40&gt;=121,'(橫掃)RX Mapping'!AN40&lt;=240), (-1)*('(橫掃)RX Mapping'!AN40-240),IF(AND('(橫掃)RX Mapping'!AN40&gt;=241,'(橫掃)RX Mapping'!AN40&lt;=360), ('(橫掃)RX Mapping'!AN40-241),IF(AND('(橫掃)RX Mapping'!AN40&gt;=361,'(橫掃)RX Mapping'!AN40&lt;=480), (-1)*('(橫掃)RX Mapping'!AN40-480),IF(AND('(橫掃)RX Mapping'!AN40&gt;=481,'(橫掃)RX Mapping'!AN40&lt;=600), ('(橫掃)RX Mapping'!AN40-361),IF(AND('(橫掃)RX Mapping'!AN40&gt;=601,'(橫掃)RX Mapping'!AN40&lt;=720), (-1)*('(橫掃)RX Mapping'!AN40-720)+120,IF(AND('(橫掃)RX Mapping'!AN40&gt;=721,'(橫掃)RX Mapping'!AN40&lt;=840), ('(橫掃)RX Mapping'!AN40-601),IF(AND('(橫掃)RX Mapping'!AN40&gt;=841,'(橫掃)RX Mapping'!AN40&lt;=960), (-1)*('(橫掃)RX Mapping'!AN40-960)+120,9999))))))))</f>
        <v>9999</v>
      </c>
      <c r="AO40">
        <f>IF(AND('(橫掃)RX Mapping'!AO40&gt;=1,'(橫掃)RX Mapping'!AO40&lt;=120), ('(橫掃)RX Mapping'!AO40-1),IF(AND('(橫掃)RX Mapping'!AO40&gt;=121,'(橫掃)RX Mapping'!AO40&lt;=240), (-1)*('(橫掃)RX Mapping'!AO40-240),IF(AND('(橫掃)RX Mapping'!AO40&gt;=241,'(橫掃)RX Mapping'!AO40&lt;=360), ('(橫掃)RX Mapping'!AO40-241),IF(AND('(橫掃)RX Mapping'!AO40&gt;=361,'(橫掃)RX Mapping'!AO40&lt;=480), (-1)*('(橫掃)RX Mapping'!AO40-480),IF(AND('(橫掃)RX Mapping'!AO40&gt;=481,'(橫掃)RX Mapping'!AO40&lt;=600), ('(橫掃)RX Mapping'!AO40-361),IF(AND('(橫掃)RX Mapping'!AO40&gt;=601,'(橫掃)RX Mapping'!AO40&lt;=720), (-1)*('(橫掃)RX Mapping'!AO40-720)+120,IF(AND('(橫掃)RX Mapping'!AO40&gt;=721,'(橫掃)RX Mapping'!AO40&lt;=840), ('(橫掃)RX Mapping'!AO40-601),IF(AND('(橫掃)RX Mapping'!AO40&gt;=841,'(橫掃)RX Mapping'!AO40&lt;=960), (-1)*('(橫掃)RX Mapping'!AO40-960)+120,9999))))))))</f>
        <v>9999</v>
      </c>
      <c r="AP40">
        <f>IF(AND('(橫掃)RX Mapping'!AP40&gt;=1,'(橫掃)RX Mapping'!AP40&lt;=120), ('(橫掃)RX Mapping'!AP40-1),IF(AND('(橫掃)RX Mapping'!AP40&gt;=121,'(橫掃)RX Mapping'!AP40&lt;=240), (-1)*('(橫掃)RX Mapping'!AP40-240),IF(AND('(橫掃)RX Mapping'!AP40&gt;=241,'(橫掃)RX Mapping'!AP40&lt;=360), ('(橫掃)RX Mapping'!AP40-241),IF(AND('(橫掃)RX Mapping'!AP40&gt;=361,'(橫掃)RX Mapping'!AP40&lt;=480), (-1)*('(橫掃)RX Mapping'!AP40-480),IF(AND('(橫掃)RX Mapping'!AP40&gt;=481,'(橫掃)RX Mapping'!AP40&lt;=600), ('(橫掃)RX Mapping'!AP40-361),IF(AND('(橫掃)RX Mapping'!AP40&gt;=601,'(橫掃)RX Mapping'!AP40&lt;=720), (-1)*('(橫掃)RX Mapping'!AP40-720)+120,IF(AND('(橫掃)RX Mapping'!AP40&gt;=721,'(橫掃)RX Mapping'!AP40&lt;=840), ('(橫掃)RX Mapping'!AP40-601),IF(AND('(橫掃)RX Mapping'!AP40&gt;=841,'(橫掃)RX Mapping'!AP40&lt;=960), (-1)*('(橫掃)RX Mapping'!AP40-960)+120,9999))))))))</f>
        <v>9999</v>
      </c>
      <c r="AQ40">
        <f>IF(AND('(橫掃)RX Mapping'!AQ40&gt;=1,'(橫掃)RX Mapping'!AQ40&lt;=120), ('(橫掃)RX Mapping'!AQ40-1),IF(AND('(橫掃)RX Mapping'!AQ40&gt;=121,'(橫掃)RX Mapping'!AQ40&lt;=240), (-1)*('(橫掃)RX Mapping'!AQ40-240),IF(AND('(橫掃)RX Mapping'!AQ40&gt;=241,'(橫掃)RX Mapping'!AQ40&lt;=360), ('(橫掃)RX Mapping'!AQ40-241),IF(AND('(橫掃)RX Mapping'!AQ40&gt;=361,'(橫掃)RX Mapping'!AQ40&lt;=480), (-1)*('(橫掃)RX Mapping'!AQ40-480),IF(AND('(橫掃)RX Mapping'!AQ40&gt;=481,'(橫掃)RX Mapping'!AQ40&lt;=600), ('(橫掃)RX Mapping'!AQ40-361),IF(AND('(橫掃)RX Mapping'!AQ40&gt;=601,'(橫掃)RX Mapping'!AQ40&lt;=720), (-1)*('(橫掃)RX Mapping'!AQ40-720)+120,IF(AND('(橫掃)RX Mapping'!AQ40&gt;=721,'(橫掃)RX Mapping'!AQ40&lt;=840), ('(橫掃)RX Mapping'!AQ40-601),IF(AND('(橫掃)RX Mapping'!AQ40&gt;=841,'(橫掃)RX Mapping'!AQ40&lt;=960), (-1)*('(橫掃)RX Mapping'!AQ40-960)+120,9999))))))))</f>
        <v>9999</v>
      </c>
      <c r="AR40">
        <f>IF(AND('(橫掃)RX Mapping'!AR40&gt;=1,'(橫掃)RX Mapping'!AR40&lt;=120), ('(橫掃)RX Mapping'!AR40-1),IF(AND('(橫掃)RX Mapping'!AR40&gt;=121,'(橫掃)RX Mapping'!AR40&lt;=240), (-1)*('(橫掃)RX Mapping'!AR40-240),IF(AND('(橫掃)RX Mapping'!AR40&gt;=241,'(橫掃)RX Mapping'!AR40&lt;=360), ('(橫掃)RX Mapping'!AR40-241),IF(AND('(橫掃)RX Mapping'!AR40&gt;=361,'(橫掃)RX Mapping'!AR40&lt;=480), (-1)*('(橫掃)RX Mapping'!AR40-480),IF(AND('(橫掃)RX Mapping'!AR40&gt;=481,'(橫掃)RX Mapping'!AR40&lt;=600), ('(橫掃)RX Mapping'!AR40-361),IF(AND('(橫掃)RX Mapping'!AR40&gt;=601,'(橫掃)RX Mapping'!AR40&lt;=720), (-1)*('(橫掃)RX Mapping'!AR40-720)+120,IF(AND('(橫掃)RX Mapping'!AR40&gt;=721,'(橫掃)RX Mapping'!AR40&lt;=840), ('(橫掃)RX Mapping'!AR40-601),IF(AND('(橫掃)RX Mapping'!AR40&gt;=841,'(橫掃)RX Mapping'!AR40&lt;=960), (-1)*('(橫掃)RX Mapping'!AR40-960)+120,9999))))))))</f>
        <v>9999</v>
      </c>
      <c r="AS40">
        <f>IF(AND('(橫掃)RX Mapping'!AS40&gt;=1,'(橫掃)RX Mapping'!AS40&lt;=120), ('(橫掃)RX Mapping'!AS40-1),IF(AND('(橫掃)RX Mapping'!AS40&gt;=121,'(橫掃)RX Mapping'!AS40&lt;=240), (-1)*('(橫掃)RX Mapping'!AS40-240),IF(AND('(橫掃)RX Mapping'!AS40&gt;=241,'(橫掃)RX Mapping'!AS40&lt;=360), ('(橫掃)RX Mapping'!AS40-241),IF(AND('(橫掃)RX Mapping'!AS40&gt;=361,'(橫掃)RX Mapping'!AS40&lt;=480), (-1)*('(橫掃)RX Mapping'!AS40-480),IF(AND('(橫掃)RX Mapping'!AS40&gt;=481,'(橫掃)RX Mapping'!AS40&lt;=600), ('(橫掃)RX Mapping'!AS40-361),IF(AND('(橫掃)RX Mapping'!AS40&gt;=601,'(橫掃)RX Mapping'!AS40&lt;=720), (-1)*('(橫掃)RX Mapping'!AS40-720)+120,IF(AND('(橫掃)RX Mapping'!AS40&gt;=721,'(橫掃)RX Mapping'!AS40&lt;=840), ('(橫掃)RX Mapping'!AS40-601),IF(AND('(橫掃)RX Mapping'!AS40&gt;=841,'(橫掃)RX Mapping'!AS40&lt;=960), (-1)*('(橫掃)RX Mapping'!AS40-960)+120,9999))))))))</f>
        <v>9999</v>
      </c>
      <c r="AT40">
        <f>IF(AND('(橫掃)RX Mapping'!AT40&gt;=1,'(橫掃)RX Mapping'!AT40&lt;=120), ('(橫掃)RX Mapping'!AT40-1),IF(AND('(橫掃)RX Mapping'!AT40&gt;=121,'(橫掃)RX Mapping'!AT40&lt;=240), (-1)*('(橫掃)RX Mapping'!AT40-240),IF(AND('(橫掃)RX Mapping'!AT40&gt;=241,'(橫掃)RX Mapping'!AT40&lt;=360), ('(橫掃)RX Mapping'!AT40-241),IF(AND('(橫掃)RX Mapping'!AT40&gt;=361,'(橫掃)RX Mapping'!AT40&lt;=480), (-1)*('(橫掃)RX Mapping'!AT40-480),IF(AND('(橫掃)RX Mapping'!AT40&gt;=481,'(橫掃)RX Mapping'!AT40&lt;=600), ('(橫掃)RX Mapping'!AT40-361),IF(AND('(橫掃)RX Mapping'!AT40&gt;=601,'(橫掃)RX Mapping'!AT40&lt;=720), (-1)*('(橫掃)RX Mapping'!AT40-720)+120,IF(AND('(橫掃)RX Mapping'!AT40&gt;=721,'(橫掃)RX Mapping'!AT40&lt;=840), ('(橫掃)RX Mapping'!AT40-601),IF(AND('(橫掃)RX Mapping'!AT40&gt;=841,'(橫掃)RX Mapping'!AT40&lt;=960), (-1)*('(橫掃)RX Mapping'!AT40-960)+120,9999))))))))</f>
        <v>9999</v>
      </c>
      <c r="AU40">
        <f>IF(AND('(橫掃)RX Mapping'!AU40&gt;=1,'(橫掃)RX Mapping'!AU40&lt;=120), ('(橫掃)RX Mapping'!AU40-1),IF(AND('(橫掃)RX Mapping'!AU40&gt;=121,'(橫掃)RX Mapping'!AU40&lt;=240), (-1)*('(橫掃)RX Mapping'!AU40-240),IF(AND('(橫掃)RX Mapping'!AU40&gt;=241,'(橫掃)RX Mapping'!AU40&lt;=360), ('(橫掃)RX Mapping'!AU40-241),IF(AND('(橫掃)RX Mapping'!AU40&gt;=361,'(橫掃)RX Mapping'!AU40&lt;=480), (-1)*('(橫掃)RX Mapping'!AU40-480),IF(AND('(橫掃)RX Mapping'!AU40&gt;=481,'(橫掃)RX Mapping'!AU40&lt;=600), ('(橫掃)RX Mapping'!AU40-361),IF(AND('(橫掃)RX Mapping'!AU40&gt;=601,'(橫掃)RX Mapping'!AU40&lt;=720), (-1)*('(橫掃)RX Mapping'!AU40-720)+120,IF(AND('(橫掃)RX Mapping'!AU40&gt;=721,'(橫掃)RX Mapping'!AU40&lt;=840), ('(橫掃)RX Mapping'!AU40-601),IF(AND('(橫掃)RX Mapping'!AU40&gt;=841,'(橫掃)RX Mapping'!AU40&lt;=960), (-1)*('(橫掃)RX Mapping'!AU40-960)+120,9999))))))))</f>
        <v>9999</v>
      </c>
      <c r="AV40">
        <f>IF(AND('(橫掃)RX Mapping'!AV40&gt;=1,'(橫掃)RX Mapping'!AV40&lt;=120), ('(橫掃)RX Mapping'!AV40-1),IF(AND('(橫掃)RX Mapping'!AV40&gt;=121,'(橫掃)RX Mapping'!AV40&lt;=240), (-1)*('(橫掃)RX Mapping'!AV40-240),IF(AND('(橫掃)RX Mapping'!AV40&gt;=241,'(橫掃)RX Mapping'!AV40&lt;=360), ('(橫掃)RX Mapping'!AV40-241),IF(AND('(橫掃)RX Mapping'!AV40&gt;=361,'(橫掃)RX Mapping'!AV40&lt;=480), (-1)*('(橫掃)RX Mapping'!AV40-480),IF(AND('(橫掃)RX Mapping'!AV40&gt;=481,'(橫掃)RX Mapping'!AV40&lt;=600), ('(橫掃)RX Mapping'!AV40-361),IF(AND('(橫掃)RX Mapping'!AV40&gt;=601,'(橫掃)RX Mapping'!AV40&lt;=720), (-1)*('(橫掃)RX Mapping'!AV40-720)+120,IF(AND('(橫掃)RX Mapping'!AV40&gt;=721,'(橫掃)RX Mapping'!AV40&lt;=840), ('(橫掃)RX Mapping'!AV40-601),IF(AND('(橫掃)RX Mapping'!AV40&gt;=841,'(橫掃)RX Mapping'!AV40&lt;=960), (-1)*('(橫掃)RX Mapping'!AV40-960)+120,9999))))))))</f>
        <v>9999</v>
      </c>
      <c r="AW40">
        <f>IF(AND('(橫掃)RX Mapping'!AW40&gt;=1,'(橫掃)RX Mapping'!AW40&lt;=120), ('(橫掃)RX Mapping'!AW40-1),IF(AND('(橫掃)RX Mapping'!AW40&gt;=121,'(橫掃)RX Mapping'!AW40&lt;=240), (-1)*('(橫掃)RX Mapping'!AW40-240),IF(AND('(橫掃)RX Mapping'!AW40&gt;=241,'(橫掃)RX Mapping'!AW40&lt;=360), ('(橫掃)RX Mapping'!AW40-241),IF(AND('(橫掃)RX Mapping'!AW40&gt;=361,'(橫掃)RX Mapping'!AW40&lt;=480), (-1)*('(橫掃)RX Mapping'!AW40-480),IF(AND('(橫掃)RX Mapping'!AW40&gt;=481,'(橫掃)RX Mapping'!AW40&lt;=600), ('(橫掃)RX Mapping'!AW40-361),IF(AND('(橫掃)RX Mapping'!AW40&gt;=601,'(橫掃)RX Mapping'!AW40&lt;=720), (-1)*('(橫掃)RX Mapping'!AW40-720)+120,IF(AND('(橫掃)RX Mapping'!AW40&gt;=721,'(橫掃)RX Mapping'!AW40&lt;=840), ('(橫掃)RX Mapping'!AW40-601),IF(AND('(橫掃)RX Mapping'!AW40&gt;=841,'(橫掃)RX Mapping'!AW40&lt;=960), (-1)*('(橫掃)RX Mapping'!AW40-960)+120,9999))))))))</f>
        <v>9999</v>
      </c>
      <c r="AX40">
        <f>IF(AND('(橫掃)RX Mapping'!AX40&gt;=1,'(橫掃)RX Mapping'!AX40&lt;=120), ('(橫掃)RX Mapping'!AX40-1),IF(AND('(橫掃)RX Mapping'!AX40&gt;=121,'(橫掃)RX Mapping'!AX40&lt;=240), (-1)*('(橫掃)RX Mapping'!AX40-240),IF(AND('(橫掃)RX Mapping'!AX40&gt;=241,'(橫掃)RX Mapping'!AX40&lt;=360), ('(橫掃)RX Mapping'!AX40-241),IF(AND('(橫掃)RX Mapping'!AX40&gt;=361,'(橫掃)RX Mapping'!AX40&lt;=480), (-1)*('(橫掃)RX Mapping'!AX40-480),IF(AND('(橫掃)RX Mapping'!AX40&gt;=481,'(橫掃)RX Mapping'!AX40&lt;=600), ('(橫掃)RX Mapping'!AX40-361),IF(AND('(橫掃)RX Mapping'!AX40&gt;=601,'(橫掃)RX Mapping'!AX40&lt;=720), (-1)*('(橫掃)RX Mapping'!AX40-720)+120,IF(AND('(橫掃)RX Mapping'!AX40&gt;=721,'(橫掃)RX Mapping'!AX40&lt;=840), ('(橫掃)RX Mapping'!AX40-601),IF(AND('(橫掃)RX Mapping'!AX40&gt;=841,'(橫掃)RX Mapping'!AX40&lt;=960), (-1)*('(橫掃)RX Mapping'!AX40-960)+120,9999))))))))</f>
        <v>9999</v>
      </c>
      <c r="AY40">
        <f>IF(AND('(橫掃)RX Mapping'!AY40&gt;=1,'(橫掃)RX Mapping'!AY40&lt;=120), ('(橫掃)RX Mapping'!AY40-1),IF(AND('(橫掃)RX Mapping'!AY40&gt;=121,'(橫掃)RX Mapping'!AY40&lt;=240), (-1)*('(橫掃)RX Mapping'!AY40-240),IF(AND('(橫掃)RX Mapping'!AY40&gt;=241,'(橫掃)RX Mapping'!AY40&lt;=360), ('(橫掃)RX Mapping'!AY40-241),IF(AND('(橫掃)RX Mapping'!AY40&gt;=361,'(橫掃)RX Mapping'!AY40&lt;=480), (-1)*('(橫掃)RX Mapping'!AY40-480),IF(AND('(橫掃)RX Mapping'!AY40&gt;=481,'(橫掃)RX Mapping'!AY40&lt;=600), ('(橫掃)RX Mapping'!AY40-361),IF(AND('(橫掃)RX Mapping'!AY40&gt;=601,'(橫掃)RX Mapping'!AY40&lt;=720), (-1)*('(橫掃)RX Mapping'!AY40-720)+120,IF(AND('(橫掃)RX Mapping'!AY40&gt;=721,'(橫掃)RX Mapping'!AY40&lt;=840), ('(橫掃)RX Mapping'!AY40-601),IF(AND('(橫掃)RX Mapping'!AY40&gt;=841,'(橫掃)RX Mapping'!AY40&lt;=960), (-1)*('(橫掃)RX Mapping'!AY40-960)+120,9999))))))))</f>
        <v>9999</v>
      </c>
      <c r="AZ40">
        <f>IF(AND('(橫掃)RX Mapping'!AZ40&gt;=1,'(橫掃)RX Mapping'!AZ40&lt;=120), ('(橫掃)RX Mapping'!AZ40-1),IF(AND('(橫掃)RX Mapping'!AZ40&gt;=121,'(橫掃)RX Mapping'!AZ40&lt;=240), (-1)*('(橫掃)RX Mapping'!AZ40-240),IF(AND('(橫掃)RX Mapping'!AZ40&gt;=241,'(橫掃)RX Mapping'!AZ40&lt;=360), ('(橫掃)RX Mapping'!AZ40-241),IF(AND('(橫掃)RX Mapping'!AZ40&gt;=361,'(橫掃)RX Mapping'!AZ40&lt;=480), (-1)*('(橫掃)RX Mapping'!AZ40-480),IF(AND('(橫掃)RX Mapping'!AZ40&gt;=481,'(橫掃)RX Mapping'!AZ40&lt;=600), ('(橫掃)RX Mapping'!AZ40-361),IF(AND('(橫掃)RX Mapping'!AZ40&gt;=601,'(橫掃)RX Mapping'!AZ40&lt;=720), (-1)*('(橫掃)RX Mapping'!AZ40-720)+120,IF(AND('(橫掃)RX Mapping'!AZ40&gt;=721,'(橫掃)RX Mapping'!AZ40&lt;=840), ('(橫掃)RX Mapping'!AZ40-601),IF(AND('(橫掃)RX Mapping'!AZ40&gt;=841,'(橫掃)RX Mapping'!AZ40&lt;=960), (-1)*('(橫掃)RX Mapping'!AZ40-960)+120,9999))))))))</f>
        <v>9999</v>
      </c>
      <c r="BA40">
        <f>IF(AND('(橫掃)RX Mapping'!BA40&gt;=1,'(橫掃)RX Mapping'!BA40&lt;=120), ('(橫掃)RX Mapping'!BA40-1),IF(AND('(橫掃)RX Mapping'!BA40&gt;=121,'(橫掃)RX Mapping'!BA40&lt;=240), (-1)*('(橫掃)RX Mapping'!BA40-240),IF(AND('(橫掃)RX Mapping'!BA40&gt;=241,'(橫掃)RX Mapping'!BA40&lt;=360), ('(橫掃)RX Mapping'!BA40-241),IF(AND('(橫掃)RX Mapping'!BA40&gt;=361,'(橫掃)RX Mapping'!BA40&lt;=480), (-1)*('(橫掃)RX Mapping'!BA40-480),IF(AND('(橫掃)RX Mapping'!BA40&gt;=481,'(橫掃)RX Mapping'!BA40&lt;=600), ('(橫掃)RX Mapping'!BA40-361),IF(AND('(橫掃)RX Mapping'!BA40&gt;=601,'(橫掃)RX Mapping'!BA40&lt;=720), (-1)*('(橫掃)RX Mapping'!BA40-720)+120,IF(AND('(橫掃)RX Mapping'!BA40&gt;=721,'(橫掃)RX Mapping'!BA40&lt;=840), ('(橫掃)RX Mapping'!BA40-601),IF(AND('(橫掃)RX Mapping'!BA40&gt;=841,'(橫掃)RX Mapping'!BA40&lt;=960), (-1)*('(橫掃)RX Mapping'!BA40-960)+120,9999))))))))</f>
        <v>9999</v>
      </c>
      <c r="BB40">
        <f>IF(AND('(橫掃)RX Mapping'!BB40&gt;=1,'(橫掃)RX Mapping'!BB40&lt;=120), ('(橫掃)RX Mapping'!BB40-1),IF(AND('(橫掃)RX Mapping'!BB40&gt;=121,'(橫掃)RX Mapping'!BB40&lt;=240), (-1)*('(橫掃)RX Mapping'!BB40-240),IF(AND('(橫掃)RX Mapping'!BB40&gt;=241,'(橫掃)RX Mapping'!BB40&lt;=360), ('(橫掃)RX Mapping'!BB40-241),IF(AND('(橫掃)RX Mapping'!BB40&gt;=361,'(橫掃)RX Mapping'!BB40&lt;=480), (-1)*('(橫掃)RX Mapping'!BB40-480),IF(AND('(橫掃)RX Mapping'!BB40&gt;=481,'(橫掃)RX Mapping'!BB40&lt;=600), ('(橫掃)RX Mapping'!BB40-361),IF(AND('(橫掃)RX Mapping'!BB40&gt;=601,'(橫掃)RX Mapping'!BB40&lt;=720), (-1)*('(橫掃)RX Mapping'!BB40-720)+120,IF(AND('(橫掃)RX Mapping'!BB40&gt;=721,'(橫掃)RX Mapping'!BB40&lt;=840), ('(橫掃)RX Mapping'!BB40-601),IF(AND('(橫掃)RX Mapping'!BB40&gt;=841,'(橫掃)RX Mapping'!BB40&lt;=960), (-1)*('(橫掃)RX Mapping'!BB40-960)+120,9999))))))))</f>
        <v>9999</v>
      </c>
      <c r="BC40">
        <f>IF(AND('(橫掃)RX Mapping'!BC40&gt;=1,'(橫掃)RX Mapping'!BC40&lt;=120), ('(橫掃)RX Mapping'!BC40-1),IF(AND('(橫掃)RX Mapping'!BC40&gt;=121,'(橫掃)RX Mapping'!BC40&lt;=240), (-1)*('(橫掃)RX Mapping'!BC40-240),IF(AND('(橫掃)RX Mapping'!BC40&gt;=241,'(橫掃)RX Mapping'!BC40&lt;=360), ('(橫掃)RX Mapping'!BC40-241),IF(AND('(橫掃)RX Mapping'!BC40&gt;=361,'(橫掃)RX Mapping'!BC40&lt;=480), (-1)*('(橫掃)RX Mapping'!BC40-480),IF(AND('(橫掃)RX Mapping'!BC40&gt;=481,'(橫掃)RX Mapping'!BC40&lt;=600), ('(橫掃)RX Mapping'!BC40-361),IF(AND('(橫掃)RX Mapping'!BC40&gt;=601,'(橫掃)RX Mapping'!BC40&lt;=720), (-1)*('(橫掃)RX Mapping'!BC40-720)+120,IF(AND('(橫掃)RX Mapping'!BC40&gt;=721,'(橫掃)RX Mapping'!BC40&lt;=840), ('(橫掃)RX Mapping'!BC40-601),IF(AND('(橫掃)RX Mapping'!BC40&gt;=841,'(橫掃)RX Mapping'!BC40&lt;=960), (-1)*('(橫掃)RX Mapping'!BC40-960)+120,9999))))))))</f>
        <v>9999</v>
      </c>
      <c r="BD40">
        <f>IF(AND('(橫掃)RX Mapping'!BD40&gt;=1,'(橫掃)RX Mapping'!BD40&lt;=120), ('(橫掃)RX Mapping'!BD40-1),IF(AND('(橫掃)RX Mapping'!BD40&gt;=121,'(橫掃)RX Mapping'!BD40&lt;=240), (-1)*('(橫掃)RX Mapping'!BD40-240),IF(AND('(橫掃)RX Mapping'!BD40&gt;=241,'(橫掃)RX Mapping'!BD40&lt;=360), ('(橫掃)RX Mapping'!BD40-241),IF(AND('(橫掃)RX Mapping'!BD40&gt;=361,'(橫掃)RX Mapping'!BD40&lt;=480), (-1)*('(橫掃)RX Mapping'!BD40-480),IF(AND('(橫掃)RX Mapping'!BD40&gt;=481,'(橫掃)RX Mapping'!BD40&lt;=600), ('(橫掃)RX Mapping'!BD40-361),IF(AND('(橫掃)RX Mapping'!BD40&gt;=601,'(橫掃)RX Mapping'!BD40&lt;=720), (-1)*('(橫掃)RX Mapping'!BD40-720)+120,IF(AND('(橫掃)RX Mapping'!BD40&gt;=721,'(橫掃)RX Mapping'!BD40&lt;=840), ('(橫掃)RX Mapping'!BD40-601),IF(AND('(橫掃)RX Mapping'!BD40&gt;=841,'(橫掃)RX Mapping'!BD40&lt;=960), (-1)*('(橫掃)RX Mapping'!BD40-960)+120,9999))))))))</f>
        <v>9999</v>
      </c>
      <c r="BE40">
        <f>IF(AND('(橫掃)RX Mapping'!BE40&gt;=1,'(橫掃)RX Mapping'!BE40&lt;=120), ('(橫掃)RX Mapping'!BE40-1),IF(AND('(橫掃)RX Mapping'!BE40&gt;=121,'(橫掃)RX Mapping'!BE40&lt;=240), (-1)*('(橫掃)RX Mapping'!BE40-240),IF(AND('(橫掃)RX Mapping'!BE40&gt;=241,'(橫掃)RX Mapping'!BE40&lt;=360), ('(橫掃)RX Mapping'!BE40-241),IF(AND('(橫掃)RX Mapping'!BE40&gt;=361,'(橫掃)RX Mapping'!BE40&lt;=480), (-1)*('(橫掃)RX Mapping'!BE40-480),IF(AND('(橫掃)RX Mapping'!BE40&gt;=481,'(橫掃)RX Mapping'!BE40&lt;=600), ('(橫掃)RX Mapping'!BE40-361),IF(AND('(橫掃)RX Mapping'!BE40&gt;=601,'(橫掃)RX Mapping'!BE40&lt;=720), (-1)*('(橫掃)RX Mapping'!BE40-720)+120,IF(AND('(橫掃)RX Mapping'!BE40&gt;=721,'(橫掃)RX Mapping'!BE40&lt;=840), ('(橫掃)RX Mapping'!BE40-601),IF(AND('(橫掃)RX Mapping'!BE40&gt;=841,'(橫掃)RX Mapping'!BE40&lt;=960), (-1)*('(橫掃)RX Mapping'!BE40-960)+120,9999))))))))</f>
        <v>9999</v>
      </c>
      <c r="BF40">
        <f>IF(AND('(橫掃)RX Mapping'!BF40&gt;=1,'(橫掃)RX Mapping'!BF40&lt;=120), ('(橫掃)RX Mapping'!BF40-1),IF(AND('(橫掃)RX Mapping'!BF40&gt;=121,'(橫掃)RX Mapping'!BF40&lt;=240), (-1)*('(橫掃)RX Mapping'!BF40-240),IF(AND('(橫掃)RX Mapping'!BF40&gt;=241,'(橫掃)RX Mapping'!BF40&lt;=360), ('(橫掃)RX Mapping'!BF40-241),IF(AND('(橫掃)RX Mapping'!BF40&gt;=361,'(橫掃)RX Mapping'!BF40&lt;=480), (-1)*('(橫掃)RX Mapping'!BF40-480),IF(AND('(橫掃)RX Mapping'!BF40&gt;=481,'(橫掃)RX Mapping'!BF40&lt;=600), ('(橫掃)RX Mapping'!BF40-361),IF(AND('(橫掃)RX Mapping'!BF40&gt;=601,'(橫掃)RX Mapping'!BF40&lt;=720), (-1)*('(橫掃)RX Mapping'!BF40-720)+120,IF(AND('(橫掃)RX Mapping'!BF40&gt;=721,'(橫掃)RX Mapping'!BF40&lt;=840), ('(橫掃)RX Mapping'!BF40-601),IF(AND('(橫掃)RX Mapping'!BF40&gt;=841,'(橫掃)RX Mapping'!BF40&lt;=960), (-1)*('(橫掃)RX Mapping'!BF40-960)+120,9999))))))))</f>
        <v>9999</v>
      </c>
      <c r="BG40">
        <f>IF(AND('(橫掃)RX Mapping'!BG40&gt;=1,'(橫掃)RX Mapping'!BG40&lt;=120), ('(橫掃)RX Mapping'!BG40-1),IF(AND('(橫掃)RX Mapping'!BG40&gt;=121,'(橫掃)RX Mapping'!BG40&lt;=240), (-1)*('(橫掃)RX Mapping'!BG40-240),IF(AND('(橫掃)RX Mapping'!BG40&gt;=241,'(橫掃)RX Mapping'!BG40&lt;=360), ('(橫掃)RX Mapping'!BG40-241),IF(AND('(橫掃)RX Mapping'!BG40&gt;=361,'(橫掃)RX Mapping'!BG40&lt;=480), (-1)*('(橫掃)RX Mapping'!BG40-480),IF(AND('(橫掃)RX Mapping'!BG40&gt;=481,'(橫掃)RX Mapping'!BG40&lt;=600), ('(橫掃)RX Mapping'!BG40-361),IF(AND('(橫掃)RX Mapping'!BG40&gt;=601,'(橫掃)RX Mapping'!BG40&lt;=720), (-1)*('(橫掃)RX Mapping'!BG40-720)+120,IF(AND('(橫掃)RX Mapping'!BG40&gt;=721,'(橫掃)RX Mapping'!BG40&lt;=840), ('(橫掃)RX Mapping'!BG40-601),IF(AND('(橫掃)RX Mapping'!BG40&gt;=841,'(橫掃)RX Mapping'!BG40&lt;=960), (-1)*('(橫掃)RX Mapping'!BG40-960)+120,9999))))))))</f>
        <v>9999</v>
      </c>
      <c r="BH40">
        <f>IF(AND('(橫掃)RX Mapping'!BH40&gt;=1,'(橫掃)RX Mapping'!BH40&lt;=120), ('(橫掃)RX Mapping'!BH40-1),IF(AND('(橫掃)RX Mapping'!BH40&gt;=121,'(橫掃)RX Mapping'!BH40&lt;=240), (-1)*('(橫掃)RX Mapping'!BH40-240),IF(AND('(橫掃)RX Mapping'!BH40&gt;=241,'(橫掃)RX Mapping'!BH40&lt;=360), ('(橫掃)RX Mapping'!BH40-241),IF(AND('(橫掃)RX Mapping'!BH40&gt;=361,'(橫掃)RX Mapping'!BH40&lt;=480), (-1)*('(橫掃)RX Mapping'!BH40-480),IF(AND('(橫掃)RX Mapping'!BH40&gt;=481,'(橫掃)RX Mapping'!BH40&lt;=600), ('(橫掃)RX Mapping'!BH40-361),IF(AND('(橫掃)RX Mapping'!BH40&gt;=601,'(橫掃)RX Mapping'!BH40&lt;=720), (-1)*('(橫掃)RX Mapping'!BH40-720)+120,IF(AND('(橫掃)RX Mapping'!BH40&gt;=721,'(橫掃)RX Mapping'!BH40&lt;=840), ('(橫掃)RX Mapping'!BH40-601),IF(AND('(橫掃)RX Mapping'!BH40&gt;=841,'(橫掃)RX Mapping'!BH40&lt;=960), (-1)*('(橫掃)RX Mapping'!BH40-960)+120,9999))))))))</f>
        <v>9999</v>
      </c>
      <c r="BI40">
        <f>IF(AND('(橫掃)RX Mapping'!BI40&gt;=1,'(橫掃)RX Mapping'!BI40&lt;=120), ('(橫掃)RX Mapping'!BI40-1),IF(AND('(橫掃)RX Mapping'!BI40&gt;=121,'(橫掃)RX Mapping'!BI40&lt;=240), (-1)*('(橫掃)RX Mapping'!BI40-240),IF(AND('(橫掃)RX Mapping'!BI40&gt;=241,'(橫掃)RX Mapping'!BI40&lt;=360), ('(橫掃)RX Mapping'!BI40-241),IF(AND('(橫掃)RX Mapping'!BI40&gt;=361,'(橫掃)RX Mapping'!BI40&lt;=480), (-1)*('(橫掃)RX Mapping'!BI40-480),IF(AND('(橫掃)RX Mapping'!BI40&gt;=481,'(橫掃)RX Mapping'!BI40&lt;=600), ('(橫掃)RX Mapping'!BI40-361),IF(AND('(橫掃)RX Mapping'!BI40&gt;=601,'(橫掃)RX Mapping'!BI40&lt;=720), (-1)*('(橫掃)RX Mapping'!BI40-720)+120,IF(AND('(橫掃)RX Mapping'!BI40&gt;=721,'(橫掃)RX Mapping'!BI40&lt;=840), ('(橫掃)RX Mapping'!BI40-601),IF(AND('(橫掃)RX Mapping'!BI40&gt;=841,'(橫掃)RX Mapping'!BI40&lt;=960), (-1)*('(橫掃)RX Mapping'!BI40-960)+120,9999))))))))</f>
        <v>9999</v>
      </c>
    </row>
    <row r="41" spans="1:61" x14ac:dyDescent="0.25">
      <c r="A41" s="20">
        <v>40</v>
      </c>
      <c r="B41">
        <f>IF(AND('(橫掃)RX Mapping'!B41&gt;=1,'(橫掃)RX Mapping'!B41&lt;=120), ('(橫掃)RX Mapping'!B41-1),IF(AND('(橫掃)RX Mapping'!B41&gt;=121,'(橫掃)RX Mapping'!B41&lt;=240), (-1)*('(橫掃)RX Mapping'!B41-240),IF(AND('(橫掃)RX Mapping'!B41&gt;=241,'(橫掃)RX Mapping'!B41&lt;=360), ('(橫掃)RX Mapping'!B41-241),IF(AND('(橫掃)RX Mapping'!B41&gt;=361,'(橫掃)RX Mapping'!B41&lt;=480), (-1)*('(橫掃)RX Mapping'!B41-480),IF(AND('(橫掃)RX Mapping'!B41&gt;=481,'(橫掃)RX Mapping'!B41&lt;=600), ('(橫掃)RX Mapping'!B41-361),IF(AND('(橫掃)RX Mapping'!B41&gt;=601,'(橫掃)RX Mapping'!B41&lt;=720), (-1)*('(橫掃)RX Mapping'!B41-720)+120,IF(AND('(橫掃)RX Mapping'!B41&gt;=721,'(橫掃)RX Mapping'!B41&lt;=840), ('(橫掃)RX Mapping'!B41-601),IF(AND('(橫掃)RX Mapping'!B41&gt;=841,'(橫掃)RX Mapping'!B41&lt;=960), (-1)*('(橫掃)RX Mapping'!B41-960)+120,9999))))))))</f>
        <v>9999</v>
      </c>
      <c r="C41">
        <f>IF(AND('(橫掃)RX Mapping'!C41&gt;=1,'(橫掃)RX Mapping'!C41&lt;=120), ('(橫掃)RX Mapping'!C41-1),IF(AND('(橫掃)RX Mapping'!C41&gt;=121,'(橫掃)RX Mapping'!C41&lt;=240), (-1)*('(橫掃)RX Mapping'!C41-240),IF(AND('(橫掃)RX Mapping'!C41&gt;=241,'(橫掃)RX Mapping'!C41&lt;=360), ('(橫掃)RX Mapping'!C41-241),IF(AND('(橫掃)RX Mapping'!C41&gt;=361,'(橫掃)RX Mapping'!C41&lt;=480), (-1)*('(橫掃)RX Mapping'!C41-480),IF(AND('(橫掃)RX Mapping'!C41&gt;=481,'(橫掃)RX Mapping'!C41&lt;=600), ('(橫掃)RX Mapping'!C41-361),IF(AND('(橫掃)RX Mapping'!C41&gt;=601,'(橫掃)RX Mapping'!C41&lt;=720), (-1)*('(橫掃)RX Mapping'!C41-720)+120,IF(AND('(橫掃)RX Mapping'!C41&gt;=721,'(橫掃)RX Mapping'!C41&lt;=840), ('(橫掃)RX Mapping'!C41-601),IF(AND('(橫掃)RX Mapping'!C41&gt;=841,'(橫掃)RX Mapping'!C41&lt;=960), (-1)*('(橫掃)RX Mapping'!C41-960)+120,9999))))))))</f>
        <v>9999</v>
      </c>
      <c r="D41">
        <f>IF(AND('(橫掃)RX Mapping'!D41&gt;=1,'(橫掃)RX Mapping'!D41&lt;=120), ('(橫掃)RX Mapping'!D41-1),IF(AND('(橫掃)RX Mapping'!D41&gt;=121,'(橫掃)RX Mapping'!D41&lt;=240), (-1)*('(橫掃)RX Mapping'!D41-240),IF(AND('(橫掃)RX Mapping'!D41&gt;=241,'(橫掃)RX Mapping'!D41&lt;=360), ('(橫掃)RX Mapping'!D41-241),IF(AND('(橫掃)RX Mapping'!D41&gt;=361,'(橫掃)RX Mapping'!D41&lt;=480), (-1)*('(橫掃)RX Mapping'!D41-480),IF(AND('(橫掃)RX Mapping'!D41&gt;=481,'(橫掃)RX Mapping'!D41&lt;=600), ('(橫掃)RX Mapping'!D41-361),IF(AND('(橫掃)RX Mapping'!D41&gt;=601,'(橫掃)RX Mapping'!D41&lt;=720), (-1)*('(橫掃)RX Mapping'!D41-720)+120,IF(AND('(橫掃)RX Mapping'!D41&gt;=721,'(橫掃)RX Mapping'!D41&lt;=840), ('(橫掃)RX Mapping'!D41-601),IF(AND('(橫掃)RX Mapping'!D41&gt;=841,'(橫掃)RX Mapping'!D41&lt;=960), (-1)*('(橫掃)RX Mapping'!D41-960)+120,9999))))))))</f>
        <v>9999</v>
      </c>
      <c r="E41">
        <f>IF(AND('(橫掃)RX Mapping'!E41&gt;=1,'(橫掃)RX Mapping'!E41&lt;=120), ('(橫掃)RX Mapping'!E41-1),IF(AND('(橫掃)RX Mapping'!E41&gt;=121,'(橫掃)RX Mapping'!E41&lt;=240), (-1)*('(橫掃)RX Mapping'!E41-240),IF(AND('(橫掃)RX Mapping'!E41&gt;=241,'(橫掃)RX Mapping'!E41&lt;=360), ('(橫掃)RX Mapping'!E41-241),IF(AND('(橫掃)RX Mapping'!E41&gt;=361,'(橫掃)RX Mapping'!E41&lt;=480), (-1)*('(橫掃)RX Mapping'!E41-480),IF(AND('(橫掃)RX Mapping'!E41&gt;=481,'(橫掃)RX Mapping'!E41&lt;=600), ('(橫掃)RX Mapping'!E41-361),IF(AND('(橫掃)RX Mapping'!E41&gt;=601,'(橫掃)RX Mapping'!E41&lt;=720), (-1)*('(橫掃)RX Mapping'!E41-720)+120,IF(AND('(橫掃)RX Mapping'!E41&gt;=721,'(橫掃)RX Mapping'!E41&lt;=840), ('(橫掃)RX Mapping'!E41-601),IF(AND('(橫掃)RX Mapping'!E41&gt;=841,'(橫掃)RX Mapping'!E41&lt;=960), (-1)*('(橫掃)RX Mapping'!E41-960)+120,9999))))))))</f>
        <v>9999</v>
      </c>
      <c r="F41">
        <f>IF(AND('(橫掃)RX Mapping'!F41&gt;=1,'(橫掃)RX Mapping'!F41&lt;=120), ('(橫掃)RX Mapping'!F41-1),IF(AND('(橫掃)RX Mapping'!F41&gt;=121,'(橫掃)RX Mapping'!F41&lt;=240), (-1)*('(橫掃)RX Mapping'!F41-240),IF(AND('(橫掃)RX Mapping'!F41&gt;=241,'(橫掃)RX Mapping'!F41&lt;=360), ('(橫掃)RX Mapping'!F41-241),IF(AND('(橫掃)RX Mapping'!F41&gt;=361,'(橫掃)RX Mapping'!F41&lt;=480), (-1)*('(橫掃)RX Mapping'!F41-480),IF(AND('(橫掃)RX Mapping'!F41&gt;=481,'(橫掃)RX Mapping'!F41&lt;=600), ('(橫掃)RX Mapping'!F41-361),IF(AND('(橫掃)RX Mapping'!F41&gt;=601,'(橫掃)RX Mapping'!F41&lt;=720), (-1)*('(橫掃)RX Mapping'!F41-720)+120,IF(AND('(橫掃)RX Mapping'!F41&gt;=721,'(橫掃)RX Mapping'!F41&lt;=840), ('(橫掃)RX Mapping'!F41-601),IF(AND('(橫掃)RX Mapping'!F41&gt;=841,'(橫掃)RX Mapping'!F41&lt;=960), (-1)*('(橫掃)RX Mapping'!F41-960)+120,9999))))))))</f>
        <v>9999</v>
      </c>
      <c r="G41">
        <f>IF(AND('(橫掃)RX Mapping'!G41&gt;=1,'(橫掃)RX Mapping'!G41&lt;=120), ('(橫掃)RX Mapping'!G41-1),IF(AND('(橫掃)RX Mapping'!G41&gt;=121,'(橫掃)RX Mapping'!G41&lt;=240), (-1)*('(橫掃)RX Mapping'!G41-240),IF(AND('(橫掃)RX Mapping'!G41&gt;=241,'(橫掃)RX Mapping'!G41&lt;=360), ('(橫掃)RX Mapping'!G41-241),IF(AND('(橫掃)RX Mapping'!G41&gt;=361,'(橫掃)RX Mapping'!G41&lt;=480), (-1)*('(橫掃)RX Mapping'!G41-480),IF(AND('(橫掃)RX Mapping'!G41&gt;=481,'(橫掃)RX Mapping'!G41&lt;=600), ('(橫掃)RX Mapping'!G41-361),IF(AND('(橫掃)RX Mapping'!G41&gt;=601,'(橫掃)RX Mapping'!G41&lt;=720), (-1)*('(橫掃)RX Mapping'!G41-720)+120,IF(AND('(橫掃)RX Mapping'!G41&gt;=721,'(橫掃)RX Mapping'!G41&lt;=840), ('(橫掃)RX Mapping'!G41-601),IF(AND('(橫掃)RX Mapping'!G41&gt;=841,'(橫掃)RX Mapping'!G41&lt;=960), (-1)*('(橫掃)RX Mapping'!G41-960)+120,9999))))))))</f>
        <v>9999</v>
      </c>
      <c r="H41">
        <f>IF(AND('(橫掃)RX Mapping'!H41&gt;=1,'(橫掃)RX Mapping'!H41&lt;=120), ('(橫掃)RX Mapping'!H41-1),IF(AND('(橫掃)RX Mapping'!H41&gt;=121,'(橫掃)RX Mapping'!H41&lt;=240), (-1)*('(橫掃)RX Mapping'!H41-240),IF(AND('(橫掃)RX Mapping'!H41&gt;=241,'(橫掃)RX Mapping'!H41&lt;=360), ('(橫掃)RX Mapping'!H41-241),IF(AND('(橫掃)RX Mapping'!H41&gt;=361,'(橫掃)RX Mapping'!H41&lt;=480), (-1)*('(橫掃)RX Mapping'!H41-480),IF(AND('(橫掃)RX Mapping'!H41&gt;=481,'(橫掃)RX Mapping'!H41&lt;=600), ('(橫掃)RX Mapping'!H41-361),IF(AND('(橫掃)RX Mapping'!H41&gt;=601,'(橫掃)RX Mapping'!H41&lt;=720), (-1)*('(橫掃)RX Mapping'!H41-720)+120,IF(AND('(橫掃)RX Mapping'!H41&gt;=721,'(橫掃)RX Mapping'!H41&lt;=840), ('(橫掃)RX Mapping'!H41-601),IF(AND('(橫掃)RX Mapping'!H41&gt;=841,'(橫掃)RX Mapping'!H41&lt;=960), (-1)*('(橫掃)RX Mapping'!H41-960)+120,9999))))))))</f>
        <v>9999</v>
      </c>
      <c r="I41">
        <f>IF(AND('(橫掃)RX Mapping'!I41&gt;=1,'(橫掃)RX Mapping'!I41&lt;=120), ('(橫掃)RX Mapping'!I41-1),IF(AND('(橫掃)RX Mapping'!I41&gt;=121,'(橫掃)RX Mapping'!I41&lt;=240), (-1)*('(橫掃)RX Mapping'!I41-240),IF(AND('(橫掃)RX Mapping'!I41&gt;=241,'(橫掃)RX Mapping'!I41&lt;=360), ('(橫掃)RX Mapping'!I41-241),IF(AND('(橫掃)RX Mapping'!I41&gt;=361,'(橫掃)RX Mapping'!I41&lt;=480), (-1)*('(橫掃)RX Mapping'!I41-480),IF(AND('(橫掃)RX Mapping'!I41&gt;=481,'(橫掃)RX Mapping'!I41&lt;=600), ('(橫掃)RX Mapping'!I41-361),IF(AND('(橫掃)RX Mapping'!I41&gt;=601,'(橫掃)RX Mapping'!I41&lt;=720), (-1)*('(橫掃)RX Mapping'!I41-720)+120,IF(AND('(橫掃)RX Mapping'!I41&gt;=721,'(橫掃)RX Mapping'!I41&lt;=840), ('(橫掃)RX Mapping'!I41-601),IF(AND('(橫掃)RX Mapping'!I41&gt;=841,'(橫掃)RX Mapping'!I41&lt;=960), (-1)*('(橫掃)RX Mapping'!I41-960)+120,9999))))))))</f>
        <v>9999</v>
      </c>
      <c r="J41">
        <f>IF(AND('(橫掃)RX Mapping'!J41&gt;=1,'(橫掃)RX Mapping'!J41&lt;=120), ('(橫掃)RX Mapping'!J41-1),IF(AND('(橫掃)RX Mapping'!J41&gt;=121,'(橫掃)RX Mapping'!J41&lt;=240), (-1)*('(橫掃)RX Mapping'!J41-240),IF(AND('(橫掃)RX Mapping'!J41&gt;=241,'(橫掃)RX Mapping'!J41&lt;=360), ('(橫掃)RX Mapping'!J41-241),IF(AND('(橫掃)RX Mapping'!J41&gt;=361,'(橫掃)RX Mapping'!J41&lt;=480), (-1)*('(橫掃)RX Mapping'!J41-480),IF(AND('(橫掃)RX Mapping'!J41&gt;=481,'(橫掃)RX Mapping'!J41&lt;=600), ('(橫掃)RX Mapping'!J41-361),IF(AND('(橫掃)RX Mapping'!J41&gt;=601,'(橫掃)RX Mapping'!J41&lt;=720), (-1)*('(橫掃)RX Mapping'!J41-720)+120,IF(AND('(橫掃)RX Mapping'!J41&gt;=721,'(橫掃)RX Mapping'!J41&lt;=840), ('(橫掃)RX Mapping'!J41-601),IF(AND('(橫掃)RX Mapping'!J41&gt;=841,'(橫掃)RX Mapping'!J41&lt;=960), (-1)*('(橫掃)RX Mapping'!J41-960)+120,9999))))))))</f>
        <v>9999</v>
      </c>
      <c r="K41">
        <f>IF(AND('(橫掃)RX Mapping'!K41&gt;=1,'(橫掃)RX Mapping'!K41&lt;=120), ('(橫掃)RX Mapping'!K41-1),IF(AND('(橫掃)RX Mapping'!K41&gt;=121,'(橫掃)RX Mapping'!K41&lt;=240), (-1)*('(橫掃)RX Mapping'!K41-240),IF(AND('(橫掃)RX Mapping'!K41&gt;=241,'(橫掃)RX Mapping'!K41&lt;=360), ('(橫掃)RX Mapping'!K41-241),IF(AND('(橫掃)RX Mapping'!K41&gt;=361,'(橫掃)RX Mapping'!K41&lt;=480), (-1)*('(橫掃)RX Mapping'!K41-480),IF(AND('(橫掃)RX Mapping'!K41&gt;=481,'(橫掃)RX Mapping'!K41&lt;=600), ('(橫掃)RX Mapping'!K41-361),IF(AND('(橫掃)RX Mapping'!K41&gt;=601,'(橫掃)RX Mapping'!K41&lt;=720), (-1)*('(橫掃)RX Mapping'!K41-720)+120,IF(AND('(橫掃)RX Mapping'!K41&gt;=721,'(橫掃)RX Mapping'!K41&lt;=840), ('(橫掃)RX Mapping'!K41-601),IF(AND('(橫掃)RX Mapping'!K41&gt;=841,'(橫掃)RX Mapping'!K41&lt;=960), (-1)*('(橫掃)RX Mapping'!K41-960)+120,9999))))))))</f>
        <v>9999</v>
      </c>
      <c r="L41">
        <f>IF(AND('(橫掃)RX Mapping'!L41&gt;=1,'(橫掃)RX Mapping'!L41&lt;=120), ('(橫掃)RX Mapping'!L41-1),IF(AND('(橫掃)RX Mapping'!L41&gt;=121,'(橫掃)RX Mapping'!L41&lt;=240), (-1)*('(橫掃)RX Mapping'!L41-240),IF(AND('(橫掃)RX Mapping'!L41&gt;=241,'(橫掃)RX Mapping'!L41&lt;=360), ('(橫掃)RX Mapping'!L41-241),IF(AND('(橫掃)RX Mapping'!L41&gt;=361,'(橫掃)RX Mapping'!L41&lt;=480), (-1)*('(橫掃)RX Mapping'!L41-480),IF(AND('(橫掃)RX Mapping'!L41&gt;=481,'(橫掃)RX Mapping'!L41&lt;=600), ('(橫掃)RX Mapping'!L41-361),IF(AND('(橫掃)RX Mapping'!L41&gt;=601,'(橫掃)RX Mapping'!L41&lt;=720), (-1)*('(橫掃)RX Mapping'!L41-720)+120,IF(AND('(橫掃)RX Mapping'!L41&gt;=721,'(橫掃)RX Mapping'!L41&lt;=840), ('(橫掃)RX Mapping'!L41-601),IF(AND('(橫掃)RX Mapping'!L41&gt;=841,'(橫掃)RX Mapping'!L41&lt;=960), (-1)*('(橫掃)RX Mapping'!L41-960)+120,9999))))))))</f>
        <v>9999</v>
      </c>
      <c r="M41">
        <f>IF(AND('(橫掃)RX Mapping'!M41&gt;=1,'(橫掃)RX Mapping'!M41&lt;=120), ('(橫掃)RX Mapping'!M41-1),IF(AND('(橫掃)RX Mapping'!M41&gt;=121,'(橫掃)RX Mapping'!M41&lt;=240), (-1)*('(橫掃)RX Mapping'!M41-240),IF(AND('(橫掃)RX Mapping'!M41&gt;=241,'(橫掃)RX Mapping'!M41&lt;=360), ('(橫掃)RX Mapping'!M41-241),IF(AND('(橫掃)RX Mapping'!M41&gt;=361,'(橫掃)RX Mapping'!M41&lt;=480), (-1)*('(橫掃)RX Mapping'!M41-480),IF(AND('(橫掃)RX Mapping'!M41&gt;=481,'(橫掃)RX Mapping'!M41&lt;=600), ('(橫掃)RX Mapping'!M41-361),IF(AND('(橫掃)RX Mapping'!M41&gt;=601,'(橫掃)RX Mapping'!M41&lt;=720), (-1)*('(橫掃)RX Mapping'!M41-720)+120,IF(AND('(橫掃)RX Mapping'!M41&gt;=721,'(橫掃)RX Mapping'!M41&lt;=840), ('(橫掃)RX Mapping'!M41-601),IF(AND('(橫掃)RX Mapping'!M41&gt;=841,'(橫掃)RX Mapping'!M41&lt;=960), (-1)*('(橫掃)RX Mapping'!M41-960)+120,9999))))))))</f>
        <v>9999</v>
      </c>
      <c r="N41">
        <f>IF(AND('(橫掃)RX Mapping'!N41&gt;=1,'(橫掃)RX Mapping'!N41&lt;=120), ('(橫掃)RX Mapping'!N41-1),IF(AND('(橫掃)RX Mapping'!N41&gt;=121,'(橫掃)RX Mapping'!N41&lt;=240), (-1)*('(橫掃)RX Mapping'!N41-240),IF(AND('(橫掃)RX Mapping'!N41&gt;=241,'(橫掃)RX Mapping'!N41&lt;=360), ('(橫掃)RX Mapping'!N41-241),IF(AND('(橫掃)RX Mapping'!N41&gt;=361,'(橫掃)RX Mapping'!N41&lt;=480), (-1)*('(橫掃)RX Mapping'!N41-480),IF(AND('(橫掃)RX Mapping'!N41&gt;=481,'(橫掃)RX Mapping'!N41&lt;=600), ('(橫掃)RX Mapping'!N41-361),IF(AND('(橫掃)RX Mapping'!N41&gt;=601,'(橫掃)RX Mapping'!N41&lt;=720), (-1)*('(橫掃)RX Mapping'!N41-720)+120,IF(AND('(橫掃)RX Mapping'!N41&gt;=721,'(橫掃)RX Mapping'!N41&lt;=840), ('(橫掃)RX Mapping'!N41-601),IF(AND('(橫掃)RX Mapping'!N41&gt;=841,'(橫掃)RX Mapping'!N41&lt;=960), (-1)*('(橫掃)RX Mapping'!N41-960)+120,9999))))))))</f>
        <v>9999</v>
      </c>
      <c r="O41">
        <f>IF(AND('(橫掃)RX Mapping'!O41&gt;=1,'(橫掃)RX Mapping'!O41&lt;=120), ('(橫掃)RX Mapping'!O41-1),IF(AND('(橫掃)RX Mapping'!O41&gt;=121,'(橫掃)RX Mapping'!O41&lt;=240), (-1)*('(橫掃)RX Mapping'!O41-240),IF(AND('(橫掃)RX Mapping'!O41&gt;=241,'(橫掃)RX Mapping'!O41&lt;=360), ('(橫掃)RX Mapping'!O41-241),IF(AND('(橫掃)RX Mapping'!O41&gt;=361,'(橫掃)RX Mapping'!O41&lt;=480), (-1)*('(橫掃)RX Mapping'!O41-480),IF(AND('(橫掃)RX Mapping'!O41&gt;=481,'(橫掃)RX Mapping'!O41&lt;=600), ('(橫掃)RX Mapping'!O41-361),IF(AND('(橫掃)RX Mapping'!O41&gt;=601,'(橫掃)RX Mapping'!O41&lt;=720), (-1)*('(橫掃)RX Mapping'!O41-720)+120,IF(AND('(橫掃)RX Mapping'!O41&gt;=721,'(橫掃)RX Mapping'!O41&lt;=840), ('(橫掃)RX Mapping'!O41-601),IF(AND('(橫掃)RX Mapping'!O41&gt;=841,'(橫掃)RX Mapping'!O41&lt;=960), (-1)*('(橫掃)RX Mapping'!O41-960)+120,9999))))))))</f>
        <v>9999</v>
      </c>
      <c r="P41">
        <f>IF(AND('(橫掃)RX Mapping'!P41&gt;=1,'(橫掃)RX Mapping'!P41&lt;=120), ('(橫掃)RX Mapping'!P41-1),IF(AND('(橫掃)RX Mapping'!P41&gt;=121,'(橫掃)RX Mapping'!P41&lt;=240), (-1)*('(橫掃)RX Mapping'!P41-240),IF(AND('(橫掃)RX Mapping'!P41&gt;=241,'(橫掃)RX Mapping'!P41&lt;=360), ('(橫掃)RX Mapping'!P41-241),IF(AND('(橫掃)RX Mapping'!P41&gt;=361,'(橫掃)RX Mapping'!P41&lt;=480), (-1)*('(橫掃)RX Mapping'!P41-480),IF(AND('(橫掃)RX Mapping'!P41&gt;=481,'(橫掃)RX Mapping'!P41&lt;=600), ('(橫掃)RX Mapping'!P41-361),IF(AND('(橫掃)RX Mapping'!P41&gt;=601,'(橫掃)RX Mapping'!P41&lt;=720), (-1)*('(橫掃)RX Mapping'!P41-720)+120,IF(AND('(橫掃)RX Mapping'!P41&gt;=721,'(橫掃)RX Mapping'!P41&lt;=840), ('(橫掃)RX Mapping'!P41-601),IF(AND('(橫掃)RX Mapping'!P41&gt;=841,'(橫掃)RX Mapping'!P41&lt;=960), (-1)*('(橫掃)RX Mapping'!P41-960)+120,9999))))))))</f>
        <v>9999</v>
      </c>
      <c r="Q41">
        <f>IF(AND('(橫掃)RX Mapping'!Q41&gt;=1,'(橫掃)RX Mapping'!Q41&lt;=120), ('(橫掃)RX Mapping'!Q41-1),IF(AND('(橫掃)RX Mapping'!Q41&gt;=121,'(橫掃)RX Mapping'!Q41&lt;=240), (-1)*('(橫掃)RX Mapping'!Q41-240),IF(AND('(橫掃)RX Mapping'!Q41&gt;=241,'(橫掃)RX Mapping'!Q41&lt;=360), ('(橫掃)RX Mapping'!Q41-241),IF(AND('(橫掃)RX Mapping'!Q41&gt;=361,'(橫掃)RX Mapping'!Q41&lt;=480), (-1)*('(橫掃)RX Mapping'!Q41-480),IF(AND('(橫掃)RX Mapping'!Q41&gt;=481,'(橫掃)RX Mapping'!Q41&lt;=600), ('(橫掃)RX Mapping'!Q41-361),IF(AND('(橫掃)RX Mapping'!Q41&gt;=601,'(橫掃)RX Mapping'!Q41&lt;=720), (-1)*('(橫掃)RX Mapping'!Q41-720)+120,IF(AND('(橫掃)RX Mapping'!Q41&gt;=721,'(橫掃)RX Mapping'!Q41&lt;=840), ('(橫掃)RX Mapping'!Q41-601),IF(AND('(橫掃)RX Mapping'!Q41&gt;=841,'(橫掃)RX Mapping'!Q41&lt;=960), (-1)*('(橫掃)RX Mapping'!Q41-960)+120,9999))))))))</f>
        <v>9999</v>
      </c>
      <c r="R41">
        <f>IF(AND('(橫掃)RX Mapping'!R41&gt;=1,'(橫掃)RX Mapping'!R41&lt;=120), ('(橫掃)RX Mapping'!R41-1),IF(AND('(橫掃)RX Mapping'!R41&gt;=121,'(橫掃)RX Mapping'!R41&lt;=240), (-1)*('(橫掃)RX Mapping'!R41-240),IF(AND('(橫掃)RX Mapping'!R41&gt;=241,'(橫掃)RX Mapping'!R41&lt;=360), ('(橫掃)RX Mapping'!R41-241),IF(AND('(橫掃)RX Mapping'!R41&gt;=361,'(橫掃)RX Mapping'!R41&lt;=480), (-1)*('(橫掃)RX Mapping'!R41-480),IF(AND('(橫掃)RX Mapping'!R41&gt;=481,'(橫掃)RX Mapping'!R41&lt;=600), ('(橫掃)RX Mapping'!R41-361),IF(AND('(橫掃)RX Mapping'!R41&gt;=601,'(橫掃)RX Mapping'!R41&lt;=720), (-1)*('(橫掃)RX Mapping'!R41-720)+120,IF(AND('(橫掃)RX Mapping'!R41&gt;=721,'(橫掃)RX Mapping'!R41&lt;=840), ('(橫掃)RX Mapping'!R41-601),IF(AND('(橫掃)RX Mapping'!R41&gt;=841,'(橫掃)RX Mapping'!R41&lt;=960), (-1)*('(橫掃)RX Mapping'!R41-960)+120,9999))))))))</f>
        <v>9999</v>
      </c>
      <c r="S41">
        <f>IF(AND('(橫掃)RX Mapping'!S41&gt;=1,'(橫掃)RX Mapping'!S41&lt;=120), ('(橫掃)RX Mapping'!S41-1),IF(AND('(橫掃)RX Mapping'!S41&gt;=121,'(橫掃)RX Mapping'!S41&lt;=240), (-1)*('(橫掃)RX Mapping'!S41-240),IF(AND('(橫掃)RX Mapping'!S41&gt;=241,'(橫掃)RX Mapping'!S41&lt;=360), ('(橫掃)RX Mapping'!S41-241),IF(AND('(橫掃)RX Mapping'!S41&gt;=361,'(橫掃)RX Mapping'!S41&lt;=480), (-1)*('(橫掃)RX Mapping'!S41-480),IF(AND('(橫掃)RX Mapping'!S41&gt;=481,'(橫掃)RX Mapping'!S41&lt;=600), ('(橫掃)RX Mapping'!S41-361),IF(AND('(橫掃)RX Mapping'!S41&gt;=601,'(橫掃)RX Mapping'!S41&lt;=720), (-1)*('(橫掃)RX Mapping'!S41-720)+120,IF(AND('(橫掃)RX Mapping'!S41&gt;=721,'(橫掃)RX Mapping'!S41&lt;=840), ('(橫掃)RX Mapping'!S41-601),IF(AND('(橫掃)RX Mapping'!S41&gt;=841,'(橫掃)RX Mapping'!S41&lt;=960), (-1)*('(橫掃)RX Mapping'!S41-960)+120,9999))))))))</f>
        <v>9999</v>
      </c>
      <c r="T41">
        <f>IF(AND('(橫掃)RX Mapping'!T41&gt;=1,'(橫掃)RX Mapping'!T41&lt;=120), ('(橫掃)RX Mapping'!T41-1),IF(AND('(橫掃)RX Mapping'!T41&gt;=121,'(橫掃)RX Mapping'!T41&lt;=240), (-1)*('(橫掃)RX Mapping'!T41-240),IF(AND('(橫掃)RX Mapping'!T41&gt;=241,'(橫掃)RX Mapping'!T41&lt;=360), ('(橫掃)RX Mapping'!T41-241),IF(AND('(橫掃)RX Mapping'!T41&gt;=361,'(橫掃)RX Mapping'!T41&lt;=480), (-1)*('(橫掃)RX Mapping'!T41-480),IF(AND('(橫掃)RX Mapping'!T41&gt;=481,'(橫掃)RX Mapping'!T41&lt;=600), ('(橫掃)RX Mapping'!T41-361),IF(AND('(橫掃)RX Mapping'!T41&gt;=601,'(橫掃)RX Mapping'!T41&lt;=720), (-1)*('(橫掃)RX Mapping'!T41-720)+120,IF(AND('(橫掃)RX Mapping'!T41&gt;=721,'(橫掃)RX Mapping'!T41&lt;=840), ('(橫掃)RX Mapping'!T41-601),IF(AND('(橫掃)RX Mapping'!T41&gt;=841,'(橫掃)RX Mapping'!T41&lt;=960), (-1)*('(橫掃)RX Mapping'!T41-960)+120,9999))))))))</f>
        <v>9999</v>
      </c>
      <c r="U41">
        <f>IF(AND('(橫掃)RX Mapping'!U41&gt;=1,'(橫掃)RX Mapping'!U41&lt;=120), ('(橫掃)RX Mapping'!U41-1),IF(AND('(橫掃)RX Mapping'!U41&gt;=121,'(橫掃)RX Mapping'!U41&lt;=240), (-1)*('(橫掃)RX Mapping'!U41-240),IF(AND('(橫掃)RX Mapping'!U41&gt;=241,'(橫掃)RX Mapping'!U41&lt;=360), ('(橫掃)RX Mapping'!U41-241),IF(AND('(橫掃)RX Mapping'!U41&gt;=361,'(橫掃)RX Mapping'!U41&lt;=480), (-1)*('(橫掃)RX Mapping'!U41-480),IF(AND('(橫掃)RX Mapping'!U41&gt;=481,'(橫掃)RX Mapping'!U41&lt;=600), ('(橫掃)RX Mapping'!U41-361),IF(AND('(橫掃)RX Mapping'!U41&gt;=601,'(橫掃)RX Mapping'!U41&lt;=720), (-1)*('(橫掃)RX Mapping'!U41-720)+120,IF(AND('(橫掃)RX Mapping'!U41&gt;=721,'(橫掃)RX Mapping'!U41&lt;=840), ('(橫掃)RX Mapping'!U41-601),IF(AND('(橫掃)RX Mapping'!U41&gt;=841,'(橫掃)RX Mapping'!U41&lt;=960), (-1)*('(橫掃)RX Mapping'!U41-960)+120,9999))))))))</f>
        <v>9999</v>
      </c>
      <c r="V41">
        <f>IF(AND('(橫掃)RX Mapping'!V41&gt;=1,'(橫掃)RX Mapping'!V41&lt;=120), ('(橫掃)RX Mapping'!V41-1),IF(AND('(橫掃)RX Mapping'!V41&gt;=121,'(橫掃)RX Mapping'!V41&lt;=240), (-1)*('(橫掃)RX Mapping'!V41-240),IF(AND('(橫掃)RX Mapping'!V41&gt;=241,'(橫掃)RX Mapping'!V41&lt;=360), ('(橫掃)RX Mapping'!V41-241),IF(AND('(橫掃)RX Mapping'!V41&gt;=361,'(橫掃)RX Mapping'!V41&lt;=480), (-1)*('(橫掃)RX Mapping'!V41-480),IF(AND('(橫掃)RX Mapping'!V41&gt;=481,'(橫掃)RX Mapping'!V41&lt;=600), ('(橫掃)RX Mapping'!V41-361),IF(AND('(橫掃)RX Mapping'!V41&gt;=601,'(橫掃)RX Mapping'!V41&lt;=720), (-1)*('(橫掃)RX Mapping'!V41-720)+120,IF(AND('(橫掃)RX Mapping'!V41&gt;=721,'(橫掃)RX Mapping'!V41&lt;=840), ('(橫掃)RX Mapping'!V41-601),IF(AND('(橫掃)RX Mapping'!V41&gt;=841,'(橫掃)RX Mapping'!V41&lt;=960), (-1)*('(橫掃)RX Mapping'!V41-960)+120,9999))))))))</f>
        <v>9999</v>
      </c>
      <c r="W41">
        <f>IF(AND('(橫掃)RX Mapping'!W41&gt;=1,'(橫掃)RX Mapping'!W41&lt;=120), ('(橫掃)RX Mapping'!W41-1),IF(AND('(橫掃)RX Mapping'!W41&gt;=121,'(橫掃)RX Mapping'!W41&lt;=240), (-1)*('(橫掃)RX Mapping'!W41-240),IF(AND('(橫掃)RX Mapping'!W41&gt;=241,'(橫掃)RX Mapping'!W41&lt;=360), ('(橫掃)RX Mapping'!W41-241),IF(AND('(橫掃)RX Mapping'!W41&gt;=361,'(橫掃)RX Mapping'!W41&lt;=480), (-1)*('(橫掃)RX Mapping'!W41-480),IF(AND('(橫掃)RX Mapping'!W41&gt;=481,'(橫掃)RX Mapping'!W41&lt;=600), ('(橫掃)RX Mapping'!W41-361),IF(AND('(橫掃)RX Mapping'!W41&gt;=601,'(橫掃)RX Mapping'!W41&lt;=720), (-1)*('(橫掃)RX Mapping'!W41-720)+120,IF(AND('(橫掃)RX Mapping'!W41&gt;=721,'(橫掃)RX Mapping'!W41&lt;=840), ('(橫掃)RX Mapping'!W41-601),IF(AND('(橫掃)RX Mapping'!W41&gt;=841,'(橫掃)RX Mapping'!W41&lt;=960), (-1)*('(橫掃)RX Mapping'!W41-960)+120,9999))))))))</f>
        <v>9999</v>
      </c>
      <c r="X41">
        <f>IF(AND('(橫掃)RX Mapping'!X41&gt;=1,'(橫掃)RX Mapping'!X41&lt;=120), ('(橫掃)RX Mapping'!X41-1),IF(AND('(橫掃)RX Mapping'!X41&gt;=121,'(橫掃)RX Mapping'!X41&lt;=240), (-1)*('(橫掃)RX Mapping'!X41-240),IF(AND('(橫掃)RX Mapping'!X41&gt;=241,'(橫掃)RX Mapping'!X41&lt;=360), ('(橫掃)RX Mapping'!X41-241),IF(AND('(橫掃)RX Mapping'!X41&gt;=361,'(橫掃)RX Mapping'!X41&lt;=480), (-1)*('(橫掃)RX Mapping'!X41-480),IF(AND('(橫掃)RX Mapping'!X41&gt;=481,'(橫掃)RX Mapping'!X41&lt;=600), ('(橫掃)RX Mapping'!X41-361),IF(AND('(橫掃)RX Mapping'!X41&gt;=601,'(橫掃)RX Mapping'!X41&lt;=720), (-1)*('(橫掃)RX Mapping'!X41-720)+120,IF(AND('(橫掃)RX Mapping'!X41&gt;=721,'(橫掃)RX Mapping'!X41&lt;=840), ('(橫掃)RX Mapping'!X41-601),IF(AND('(橫掃)RX Mapping'!X41&gt;=841,'(橫掃)RX Mapping'!X41&lt;=960), (-1)*('(橫掃)RX Mapping'!X41-960)+120,9999))))))))</f>
        <v>9999</v>
      </c>
      <c r="Y41">
        <f>IF(AND('(橫掃)RX Mapping'!Y41&gt;=1,'(橫掃)RX Mapping'!Y41&lt;=120), ('(橫掃)RX Mapping'!Y41-1),IF(AND('(橫掃)RX Mapping'!Y41&gt;=121,'(橫掃)RX Mapping'!Y41&lt;=240), (-1)*('(橫掃)RX Mapping'!Y41-240),IF(AND('(橫掃)RX Mapping'!Y41&gt;=241,'(橫掃)RX Mapping'!Y41&lt;=360), ('(橫掃)RX Mapping'!Y41-241),IF(AND('(橫掃)RX Mapping'!Y41&gt;=361,'(橫掃)RX Mapping'!Y41&lt;=480), (-1)*('(橫掃)RX Mapping'!Y41-480),IF(AND('(橫掃)RX Mapping'!Y41&gt;=481,'(橫掃)RX Mapping'!Y41&lt;=600), ('(橫掃)RX Mapping'!Y41-361),IF(AND('(橫掃)RX Mapping'!Y41&gt;=601,'(橫掃)RX Mapping'!Y41&lt;=720), (-1)*('(橫掃)RX Mapping'!Y41-720)+120,IF(AND('(橫掃)RX Mapping'!Y41&gt;=721,'(橫掃)RX Mapping'!Y41&lt;=840), ('(橫掃)RX Mapping'!Y41-601),IF(AND('(橫掃)RX Mapping'!Y41&gt;=841,'(橫掃)RX Mapping'!Y41&lt;=960), (-1)*('(橫掃)RX Mapping'!Y41-960)+120,9999))))))))</f>
        <v>9999</v>
      </c>
      <c r="Z41">
        <f>IF(AND('(橫掃)RX Mapping'!Z41&gt;=1,'(橫掃)RX Mapping'!Z41&lt;=120), ('(橫掃)RX Mapping'!Z41-1),IF(AND('(橫掃)RX Mapping'!Z41&gt;=121,'(橫掃)RX Mapping'!Z41&lt;=240), (-1)*('(橫掃)RX Mapping'!Z41-240),IF(AND('(橫掃)RX Mapping'!Z41&gt;=241,'(橫掃)RX Mapping'!Z41&lt;=360), ('(橫掃)RX Mapping'!Z41-241),IF(AND('(橫掃)RX Mapping'!Z41&gt;=361,'(橫掃)RX Mapping'!Z41&lt;=480), (-1)*('(橫掃)RX Mapping'!Z41-480),IF(AND('(橫掃)RX Mapping'!Z41&gt;=481,'(橫掃)RX Mapping'!Z41&lt;=600), ('(橫掃)RX Mapping'!Z41-361),IF(AND('(橫掃)RX Mapping'!Z41&gt;=601,'(橫掃)RX Mapping'!Z41&lt;=720), (-1)*('(橫掃)RX Mapping'!Z41-720)+120,IF(AND('(橫掃)RX Mapping'!Z41&gt;=721,'(橫掃)RX Mapping'!Z41&lt;=840), ('(橫掃)RX Mapping'!Z41-601),IF(AND('(橫掃)RX Mapping'!Z41&gt;=841,'(橫掃)RX Mapping'!Z41&lt;=960), (-1)*('(橫掃)RX Mapping'!Z41-960)+120,9999))))))))</f>
        <v>9999</v>
      </c>
      <c r="AA41">
        <f>IF(AND('(橫掃)RX Mapping'!AA41&gt;=1,'(橫掃)RX Mapping'!AA41&lt;=120), ('(橫掃)RX Mapping'!AA41-1),IF(AND('(橫掃)RX Mapping'!AA41&gt;=121,'(橫掃)RX Mapping'!AA41&lt;=240), (-1)*('(橫掃)RX Mapping'!AA41-240),IF(AND('(橫掃)RX Mapping'!AA41&gt;=241,'(橫掃)RX Mapping'!AA41&lt;=360), ('(橫掃)RX Mapping'!AA41-241),IF(AND('(橫掃)RX Mapping'!AA41&gt;=361,'(橫掃)RX Mapping'!AA41&lt;=480), (-1)*('(橫掃)RX Mapping'!AA41-480),IF(AND('(橫掃)RX Mapping'!AA41&gt;=481,'(橫掃)RX Mapping'!AA41&lt;=600), ('(橫掃)RX Mapping'!AA41-361),IF(AND('(橫掃)RX Mapping'!AA41&gt;=601,'(橫掃)RX Mapping'!AA41&lt;=720), (-1)*('(橫掃)RX Mapping'!AA41-720)+120,IF(AND('(橫掃)RX Mapping'!AA41&gt;=721,'(橫掃)RX Mapping'!AA41&lt;=840), ('(橫掃)RX Mapping'!AA41-601),IF(AND('(橫掃)RX Mapping'!AA41&gt;=841,'(橫掃)RX Mapping'!AA41&lt;=960), (-1)*('(橫掃)RX Mapping'!AA41-960)+120,9999))))))))</f>
        <v>9999</v>
      </c>
      <c r="AB41">
        <f>IF(AND('(橫掃)RX Mapping'!AB41&gt;=1,'(橫掃)RX Mapping'!AB41&lt;=120), ('(橫掃)RX Mapping'!AB41-1),IF(AND('(橫掃)RX Mapping'!AB41&gt;=121,'(橫掃)RX Mapping'!AB41&lt;=240), (-1)*('(橫掃)RX Mapping'!AB41-240),IF(AND('(橫掃)RX Mapping'!AB41&gt;=241,'(橫掃)RX Mapping'!AB41&lt;=360), ('(橫掃)RX Mapping'!AB41-241),IF(AND('(橫掃)RX Mapping'!AB41&gt;=361,'(橫掃)RX Mapping'!AB41&lt;=480), (-1)*('(橫掃)RX Mapping'!AB41-480),IF(AND('(橫掃)RX Mapping'!AB41&gt;=481,'(橫掃)RX Mapping'!AB41&lt;=600), ('(橫掃)RX Mapping'!AB41-361),IF(AND('(橫掃)RX Mapping'!AB41&gt;=601,'(橫掃)RX Mapping'!AB41&lt;=720), (-1)*('(橫掃)RX Mapping'!AB41-720)+120,IF(AND('(橫掃)RX Mapping'!AB41&gt;=721,'(橫掃)RX Mapping'!AB41&lt;=840), ('(橫掃)RX Mapping'!AB41-601),IF(AND('(橫掃)RX Mapping'!AB41&gt;=841,'(橫掃)RX Mapping'!AB41&lt;=960), (-1)*('(橫掃)RX Mapping'!AB41-960)+120,9999))))))))</f>
        <v>9999</v>
      </c>
      <c r="AC41">
        <f>IF(AND('(橫掃)RX Mapping'!AC41&gt;=1,'(橫掃)RX Mapping'!AC41&lt;=120), ('(橫掃)RX Mapping'!AC41-1),IF(AND('(橫掃)RX Mapping'!AC41&gt;=121,'(橫掃)RX Mapping'!AC41&lt;=240), (-1)*('(橫掃)RX Mapping'!AC41-240),IF(AND('(橫掃)RX Mapping'!AC41&gt;=241,'(橫掃)RX Mapping'!AC41&lt;=360), ('(橫掃)RX Mapping'!AC41-241),IF(AND('(橫掃)RX Mapping'!AC41&gt;=361,'(橫掃)RX Mapping'!AC41&lt;=480), (-1)*('(橫掃)RX Mapping'!AC41-480),IF(AND('(橫掃)RX Mapping'!AC41&gt;=481,'(橫掃)RX Mapping'!AC41&lt;=600), ('(橫掃)RX Mapping'!AC41-361),IF(AND('(橫掃)RX Mapping'!AC41&gt;=601,'(橫掃)RX Mapping'!AC41&lt;=720), (-1)*('(橫掃)RX Mapping'!AC41-720)+120,IF(AND('(橫掃)RX Mapping'!AC41&gt;=721,'(橫掃)RX Mapping'!AC41&lt;=840), ('(橫掃)RX Mapping'!AC41-601),IF(AND('(橫掃)RX Mapping'!AC41&gt;=841,'(橫掃)RX Mapping'!AC41&lt;=960), (-1)*('(橫掃)RX Mapping'!AC41-960)+120,9999))))))))</f>
        <v>9999</v>
      </c>
      <c r="AD41">
        <f>IF(AND('(橫掃)RX Mapping'!AD41&gt;=1,'(橫掃)RX Mapping'!AD41&lt;=120), ('(橫掃)RX Mapping'!AD41-1),IF(AND('(橫掃)RX Mapping'!AD41&gt;=121,'(橫掃)RX Mapping'!AD41&lt;=240), (-1)*('(橫掃)RX Mapping'!AD41-240),IF(AND('(橫掃)RX Mapping'!AD41&gt;=241,'(橫掃)RX Mapping'!AD41&lt;=360), ('(橫掃)RX Mapping'!AD41-241),IF(AND('(橫掃)RX Mapping'!AD41&gt;=361,'(橫掃)RX Mapping'!AD41&lt;=480), (-1)*('(橫掃)RX Mapping'!AD41-480),IF(AND('(橫掃)RX Mapping'!AD41&gt;=481,'(橫掃)RX Mapping'!AD41&lt;=600), ('(橫掃)RX Mapping'!AD41-361),IF(AND('(橫掃)RX Mapping'!AD41&gt;=601,'(橫掃)RX Mapping'!AD41&lt;=720), (-1)*('(橫掃)RX Mapping'!AD41-720)+120,IF(AND('(橫掃)RX Mapping'!AD41&gt;=721,'(橫掃)RX Mapping'!AD41&lt;=840), ('(橫掃)RX Mapping'!AD41-601),IF(AND('(橫掃)RX Mapping'!AD41&gt;=841,'(橫掃)RX Mapping'!AD41&lt;=960), (-1)*('(橫掃)RX Mapping'!AD41-960)+120,9999))))))))</f>
        <v>9999</v>
      </c>
      <c r="AE41">
        <f>IF(AND('(橫掃)RX Mapping'!AE41&gt;=1,'(橫掃)RX Mapping'!AE41&lt;=120), ('(橫掃)RX Mapping'!AE41-1),IF(AND('(橫掃)RX Mapping'!AE41&gt;=121,'(橫掃)RX Mapping'!AE41&lt;=240), (-1)*('(橫掃)RX Mapping'!AE41-240),IF(AND('(橫掃)RX Mapping'!AE41&gt;=241,'(橫掃)RX Mapping'!AE41&lt;=360), ('(橫掃)RX Mapping'!AE41-241),IF(AND('(橫掃)RX Mapping'!AE41&gt;=361,'(橫掃)RX Mapping'!AE41&lt;=480), (-1)*('(橫掃)RX Mapping'!AE41-480),IF(AND('(橫掃)RX Mapping'!AE41&gt;=481,'(橫掃)RX Mapping'!AE41&lt;=600), ('(橫掃)RX Mapping'!AE41-361),IF(AND('(橫掃)RX Mapping'!AE41&gt;=601,'(橫掃)RX Mapping'!AE41&lt;=720), (-1)*('(橫掃)RX Mapping'!AE41-720)+120,IF(AND('(橫掃)RX Mapping'!AE41&gt;=721,'(橫掃)RX Mapping'!AE41&lt;=840), ('(橫掃)RX Mapping'!AE41-601),IF(AND('(橫掃)RX Mapping'!AE41&gt;=841,'(橫掃)RX Mapping'!AE41&lt;=960), (-1)*('(橫掃)RX Mapping'!AE41-960)+120,9999))))))))</f>
        <v>9999</v>
      </c>
      <c r="AF41">
        <f>IF(AND('(橫掃)RX Mapping'!AF41&gt;=1,'(橫掃)RX Mapping'!AF41&lt;=120), ('(橫掃)RX Mapping'!AF41-1),IF(AND('(橫掃)RX Mapping'!AF41&gt;=121,'(橫掃)RX Mapping'!AF41&lt;=240), (-1)*('(橫掃)RX Mapping'!AF41-240),IF(AND('(橫掃)RX Mapping'!AF41&gt;=241,'(橫掃)RX Mapping'!AF41&lt;=360), ('(橫掃)RX Mapping'!AF41-241),IF(AND('(橫掃)RX Mapping'!AF41&gt;=361,'(橫掃)RX Mapping'!AF41&lt;=480), (-1)*('(橫掃)RX Mapping'!AF41-480),IF(AND('(橫掃)RX Mapping'!AF41&gt;=481,'(橫掃)RX Mapping'!AF41&lt;=600), ('(橫掃)RX Mapping'!AF41-361),IF(AND('(橫掃)RX Mapping'!AF41&gt;=601,'(橫掃)RX Mapping'!AF41&lt;=720), (-1)*('(橫掃)RX Mapping'!AF41-720)+120,IF(AND('(橫掃)RX Mapping'!AF41&gt;=721,'(橫掃)RX Mapping'!AF41&lt;=840), ('(橫掃)RX Mapping'!AF41-601),IF(AND('(橫掃)RX Mapping'!AF41&gt;=841,'(橫掃)RX Mapping'!AF41&lt;=960), (-1)*('(橫掃)RX Mapping'!AF41-960)+120,9999))))))))</f>
        <v>9999</v>
      </c>
      <c r="AG41">
        <f>IF(AND('(橫掃)RX Mapping'!AG41&gt;=1,'(橫掃)RX Mapping'!AG41&lt;=120), ('(橫掃)RX Mapping'!AG41-1),IF(AND('(橫掃)RX Mapping'!AG41&gt;=121,'(橫掃)RX Mapping'!AG41&lt;=240), (-1)*('(橫掃)RX Mapping'!AG41-240),IF(AND('(橫掃)RX Mapping'!AG41&gt;=241,'(橫掃)RX Mapping'!AG41&lt;=360), ('(橫掃)RX Mapping'!AG41-241),IF(AND('(橫掃)RX Mapping'!AG41&gt;=361,'(橫掃)RX Mapping'!AG41&lt;=480), (-1)*('(橫掃)RX Mapping'!AG41-480),IF(AND('(橫掃)RX Mapping'!AG41&gt;=481,'(橫掃)RX Mapping'!AG41&lt;=600), ('(橫掃)RX Mapping'!AG41-361),IF(AND('(橫掃)RX Mapping'!AG41&gt;=601,'(橫掃)RX Mapping'!AG41&lt;=720), (-1)*('(橫掃)RX Mapping'!AG41-720)+120,IF(AND('(橫掃)RX Mapping'!AG41&gt;=721,'(橫掃)RX Mapping'!AG41&lt;=840), ('(橫掃)RX Mapping'!AG41-601),IF(AND('(橫掃)RX Mapping'!AG41&gt;=841,'(橫掃)RX Mapping'!AG41&lt;=960), (-1)*('(橫掃)RX Mapping'!AG41-960)+120,9999))))))))</f>
        <v>9999</v>
      </c>
      <c r="AH41">
        <f>IF(AND('(橫掃)RX Mapping'!AH41&gt;=1,'(橫掃)RX Mapping'!AH41&lt;=120), ('(橫掃)RX Mapping'!AH41-1),IF(AND('(橫掃)RX Mapping'!AH41&gt;=121,'(橫掃)RX Mapping'!AH41&lt;=240), (-1)*('(橫掃)RX Mapping'!AH41-240),IF(AND('(橫掃)RX Mapping'!AH41&gt;=241,'(橫掃)RX Mapping'!AH41&lt;=360), ('(橫掃)RX Mapping'!AH41-241),IF(AND('(橫掃)RX Mapping'!AH41&gt;=361,'(橫掃)RX Mapping'!AH41&lt;=480), (-1)*('(橫掃)RX Mapping'!AH41-480),IF(AND('(橫掃)RX Mapping'!AH41&gt;=481,'(橫掃)RX Mapping'!AH41&lt;=600), ('(橫掃)RX Mapping'!AH41-361),IF(AND('(橫掃)RX Mapping'!AH41&gt;=601,'(橫掃)RX Mapping'!AH41&lt;=720), (-1)*('(橫掃)RX Mapping'!AH41-720)+120,IF(AND('(橫掃)RX Mapping'!AH41&gt;=721,'(橫掃)RX Mapping'!AH41&lt;=840), ('(橫掃)RX Mapping'!AH41-601),IF(AND('(橫掃)RX Mapping'!AH41&gt;=841,'(橫掃)RX Mapping'!AH41&lt;=960), (-1)*('(橫掃)RX Mapping'!AH41-960)+120,9999))))))))</f>
        <v>9999</v>
      </c>
      <c r="AI41">
        <f>IF(AND('(橫掃)RX Mapping'!AI41&gt;=1,'(橫掃)RX Mapping'!AI41&lt;=120), ('(橫掃)RX Mapping'!AI41-1),IF(AND('(橫掃)RX Mapping'!AI41&gt;=121,'(橫掃)RX Mapping'!AI41&lt;=240), (-1)*('(橫掃)RX Mapping'!AI41-240),IF(AND('(橫掃)RX Mapping'!AI41&gt;=241,'(橫掃)RX Mapping'!AI41&lt;=360), ('(橫掃)RX Mapping'!AI41-241),IF(AND('(橫掃)RX Mapping'!AI41&gt;=361,'(橫掃)RX Mapping'!AI41&lt;=480), (-1)*('(橫掃)RX Mapping'!AI41-480),IF(AND('(橫掃)RX Mapping'!AI41&gt;=481,'(橫掃)RX Mapping'!AI41&lt;=600), ('(橫掃)RX Mapping'!AI41-361),IF(AND('(橫掃)RX Mapping'!AI41&gt;=601,'(橫掃)RX Mapping'!AI41&lt;=720), (-1)*('(橫掃)RX Mapping'!AI41-720)+120,IF(AND('(橫掃)RX Mapping'!AI41&gt;=721,'(橫掃)RX Mapping'!AI41&lt;=840), ('(橫掃)RX Mapping'!AI41-601),IF(AND('(橫掃)RX Mapping'!AI41&gt;=841,'(橫掃)RX Mapping'!AI41&lt;=960), (-1)*('(橫掃)RX Mapping'!AI41-960)+120,9999))))))))</f>
        <v>9999</v>
      </c>
      <c r="AJ41">
        <f>IF(AND('(橫掃)RX Mapping'!AJ41&gt;=1,'(橫掃)RX Mapping'!AJ41&lt;=120), ('(橫掃)RX Mapping'!AJ41-1),IF(AND('(橫掃)RX Mapping'!AJ41&gt;=121,'(橫掃)RX Mapping'!AJ41&lt;=240), (-1)*('(橫掃)RX Mapping'!AJ41-240),IF(AND('(橫掃)RX Mapping'!AJ41&gt;=241,'(橫掃)RX Mapping'!AJ41&lt;=360), ('(橫掃)RX Mapping'!AJ41-241),IF(AND('(橫掃)RX Mapping'!AJ41&gt;=361,'(橫掃)RX Mapping'!AJ41&lt;=480), (-1)*('(橫掃)RX Mapping'!AJ41-480),IF(AND('(橫掃)RX Mapping'!AJ41&gt;=481,'(橫掃)RX Mapping'!AJ41&lt;=600), ('(橫掃)RX Mapping'!AJ41-361),IF(AND('(橫掃)RX Mapping'!AJ41&gt;=601,'(橫掃)RX Mapping'!AJ41&lt;=720), (-1)*('(橫掃)RX Mapping'!AJ41-720)+120,IF(AND('(橫掃)RX Mapping'!AJ41&gt;=721,'(橫掃)RX Mapping'!AJ41&lt;=840), ('(橫掃)RX Mapping'!AJ41-601),IF(AND('(橫掃)RX Mapping'!AJ41&gt;=841,'(橫掃)RX Mapping'!AJ41&lt;=960), (-1)*('(橫掃)RX Mapping'!AJ41-960)+120,9999))))))))</f>
        <v>9999</v>
      </c>
      <c r="AK41">
        <f>IF(AND('(橫掃)RX Mapping'!AK41&gt;=1,'(橫掃)RX Mapping'!AK41&lt;=120), ('(橫掃)RX Mapping'!AK41-1),IF(AND('(橫掃)RX Mapping'!AK41&gt;=121,'(橫掃)RX Mapping'!AK41&lt;=240), (-1)*('(橫掃)RX Mapping'!AK41-240),IF(AND('(橫掃)RX Mapping'!AK41&gt;=241,'(橫掃)RX Mapping'!AK41&lt;=360), ('(橫掃)RX Mapping'!AK41-241),IF(AND('(橫掃)RX Mapping'!AK41&gt;=361,'(橫掃)RX Mapping'!AK41&lt;=480), (-1)*('(橫掃)RX Mapping'!AK41-480),IF(AND('(橫掃)RX Mapping'!AK41&gt;=481,'(橫掃)RX Mapping'!AK41&lt;=600), ('(橫掃)RX Mapping'!AK41-361),IF(AND('(橫掃)RX Mapping'!AK41&gt;=601,'(橫掃)RX Mapping'!AK41&lt;=720), (-1)*('(橫掃)RX Mapping'!AK41-720)+120,IF(AND('(橫掃)RX Mapping'!AK41&gt;=721,'(橫掃)RX Mapping'!AK41&lt;=840), ('(橫掃)RX Mapping'!AK41-601),IF(AND('(橫掃)RX Mapping'!AK41&gt;=841,'(橫掃)RX Mapping'!AK41&lt;=960), (-1)*('(橫掃)RX Mapping'!AK41-960)+120,9999))))))))</f>
        <v>9999</v>
      </c>
      <c r="AL41">
        <f>IF(AND('(橫掃)RX Mapping'!AL41&gt;=1,'(橫掃)RX Mapping'!AL41&lt;=120), ('(橫掃)RX Mapping'!AL41-1),IF(AND('(橫掃)RX Mapping'!AL41&gt;=121,'(橫掃)RX Mapping'!AL41&lt;=240), (-1)*('(橫掃)RX Mapping'!AL41-240),IF(AND('(橫掃)RX Mapping'!AL41&gt;=241,'(橫掃)RX Mapping'!AL41&lt;=360), ('(橫掃)RX Mapping'!AL41-241),IF(AND('(橫掃)RX Mapping'!AL41&gt;=361,'(橫掃)RX Mapping'!AL41&lt;=480), (-1)*('(橫掃)RX Mapping'!AL41-480),IF(AND('(橫掃)RX Mapping'!AL41&gt;=481,'(橫掃)RX Mapping'!AL41&lt;=600), ('(橫掃)RX Mapping'!AL41-361),IF(AND('(橫掃)RX Mapping'!AL41&gt;=601,'(橫掃)RX Mapping'!AL41&lt;=720), (-1)*('(橫掃)RX Mapping'!AL41-720)+120,IF(AND('(橫掃)RX Mapping'!AL41&gt;=721,'(橫掃)RX Mapping'!AL41&lt;=840), ('(橫掃)RX Mapping'!AL41-601),IF(AND('(橫掃)RX Mapping'!AL41&gt;=841,'(橫掃)RX Mapping'!AL41&lt;=960), (-1)*('(橫掃)RX Mapping'!AL41-960)+120,9999))))))))</f>
        <v>9999</v>
      </c>
      <c r="AM41">
        <f>IF(AND('(橫掃)RX Mapping'!AM41&gt;=1,'(橫掃)RX Mapping'!AM41&lt;=120), ('(橫掃)RX Mapping'!AM41-1),IF(AND('(橫掃)RX Mapping'!AM41&gt;=121,'(橫掃)RX Mapping'!AM41&lt;=240), (-1)*('(橫掃)RX Mapping'!AM41-240),IF(AND('(橫掃)RX Mapping'!AM41&gt;=241,'(橫掃)RX Mapping'!AM41&lt;=360), ('(橫掃)RX Mapping'!AM41-241),IF(AND('(橫掃)RX Mapping'!AM41&gt;=361,'(橫掃)RX Mapping'!AM41&lt;=480), (-1)*('(橫掃)RX Mapping'!AM41-480),IF(AND('(橫掃)RX Mapping'!AM41&gt;=481,'(橫掃)RX Mapping'!AM41&lt;=600), ('(橫掃)RX Mapping'!AM41-361),IF(AND('(橫掃)RX Mapping'!AM41&gt;=601,'(橫掃)RX Mapping'!AM41&lt;=720), (-1)*('(橫掃)RX Mapping'!AM41-720)+120,IF(AND('(橫掃)RX Mapping'!AM41&gt;=721,'(橫掃)RX Mapping'!AM41&lt;=840), ('(橫掃)RX Mapping'!AM41-601),IF(AND('(橫掃)RX Mapping'!AM41&gt;=841,'(橫掃)RX Mapping'!AM41&lt;=960), (-1)*('(橫掃)RX Mapping'!AM41-960)+120,9999))))))))</f>
        <v>9999</v>
      </c>
      <c r="AN41">
        <f>IF(AND('(橫掃)RX Mapping'!AN41&gt;=1,'(橫掃)RX Mapping'!AN41&lt;=120), ('(橫掃)RX Mapping'!AN41-1),IF(AND('(橫掃)RX Mapping'!AN41&gt;=121,'(橫掃)RX Mapping'!AN41&lt;=240), (-1)*('(橫掃)RX Mapping'!AN41-240),IF(AND('(橫掃)RX Mapping'!AN41&gt;=241,'(橫掃)RX Mapping'!AN41&lt;=360), ('(橫掃)RX Mapping'!AN41-241),IF(AND('(橫掃)RX Mapping'!AN41&gt;=361,'(橫掃)RX Mapping'!AN41&lt;=480), (-1)*('(橫掃)RX Mapping'!AN41-480),IF(AND('(橫掃)RX Mapping'!AN41&gt;=481,'(橫掃)RX Mapping'!AN41&lt;=600), ('(橫掃)RX Mapping'!AN41-361),IF(AND('(橫掃)RX Mapping'!AN41&gt;=601,'(橫掃)RX Mapping'!AN41&lt;=720), (-1)*('(橫掃)RX Mapping'!AN41-720)+120,IF(AND('(橫掃)RX Mapping'!AN41&gt;=721,'(橫掃)RX Mapping'!AN41&lt;=840), ('(橫掃)RX Mapping'!AN41-601),IF(AND('(橫掃)RX Mapping'!AN41&gt;=841,'(橫掃)RX Mapping'!AN41&lt;=960), (-1)*('(橫掃)RX Mapping'!AN41-960)+120,9999))))))))</f>
        <v>9999</v>
      </c>
      <c r="AO41">
        <f>IF(AND('(橫掃)RX Mapping'!AO41&gt;=1,'(橫掃)RX Mapping'!AO41&lt;=120), ('(橫掃)RX Mapping'!AO41-1),IF(AND('(橫掃)RX Mapping'!AO41&gt;=121,'(橫掃)RX Mapping'!AO41&lt;=240), (-1)*('(橫掃)RX Mapping'!AO41-240),IF(AND('(橫掃)RX Mapping'!AO41&gt;=241,'(橫掃)RX Mapping'!AO41&lt;=360), ('(橫掃)RX Mapping'!AO41-241),IF(AND('(橫掃)RX Mapping'!AO41&gt;=361,'(橫掃)RX Mapping'!AO41&lt;=480), (-1)*('(橫掃)RX Mapping'!AO41-480),IF(AND('(橫掃)RX Mapping'!AO41&gt;=481,'(橫掃)RX Mapping'!AO41&lt;=600), ('(橫掃)RX Mapping'!AO41-361),IF(AND('(橫掃)RX Mapping'!AO41&gt;=601,'(橫掃)RX Mapping'!AO41&lt;=720), (-1)*('(橫掃)RX Mapping'!AO41-720)+120,IF(AND('(橫掃)RX Mapping'!AO41&gt;=721,'(橫掃)RX Mapping'!AO41&lt;=840), ('(橫掃)RX Mapping'!AO41-601),IF(AND('(橫掃)RX Mapping'!AO41&gt;=841,'(橫掃)RX Mapping'!AO41&lt;=960), (-1)*('(橫掃)RX Mapping'!AO41-960)+120,9999))))))))</f>
        <v>9999</v>
      </c>
      <c r="AP41">
        <f>IF(AND('(橫掃)RX Mapping'!AP41&gt;=1,'(橫掃)RX Mapping'!AP41&lt;=120), ('(橫掃)RX Mapping'!AP41-1),IF(AND('(橫掃)RX Mapping'!AP41&gt;=121,'(橫掃)RX Mapping'!AP41&lt;=240), (-1)*('(橫掃)RX Mapping'!AP41-240),IF(AND('(橫掃)RX Mapping'!AP41&gt;=241,'(橫掃)RX Mapping'!AP41&lt;=360), ('(橫掃)RX Mapping'!AP41-241),IF(AND('(橫掃)RX Mapping'!AP41&gt;=361,'(橫掃)RX Mapping'!AP41&lt;=480), (-1)*('(橫掃)RX Mapping'!AP41-480),IF(AND('(橫掃)RX Mapping'!AP41&gt;=481,'(橫掃)RX Mapping'!AP41&lt;=600), ('(橫掃)RX Mapping'!AP41-361),IF(AND('(橫掃)RX Mapping'!AP41&gt;=601,'(橫掃)RX Mapping'!AP41&lt;=720), (-1)*('(橫掃)RX Mapping'!AP41-720)+120,IF(AND('(橫掃)RX Mapping'!AP41&gt;=721,'(橫掃)RX Mapping'!AP41&lt;=840), ('(橫掃)RX Mapping'!AP41-601),IF(AND('(橫掃)RX Mapping'!AP41&gt;=841,'(橫掃)RX Mapping'!AP41&lt;=960), (-1)*('(橫掃)RX Mapping'!AP41-960)+120,9999))))))))</f>
        <v>9999</v>
      </c>
      <c r="AQ41">
        <f>IF(AND('(橫掃)RX Mapping'!AQ41&gt;=1,'(橫掃)RX Mapping'!AQ41&lt;=120), ('(橫掃)RX Mapping'!AQ41-1),IF(AND('(橫掃)RX Mapping'!AQ41&gt;=121,'(橫掃)RX Mapping'!AQ41&lt;=240), (-1)*('(橫掃)RX Mapping'!AQ41-240),IF(AND('(橫掃)RX Mapping'!AQ41&gt;=241,'(橫掃)RX Mapping'!AQ41&lt;=360), ('(橫掃)RX Mapping'!AQ41-241),IF(AND('(橫掃)RX Mapping'!AQ41&gt;=361,'(橫掃)RX Mapping'!AQ41&lt;=480), (-1)*('(橫掃)RX Mapping'!AQ41-480),IF(AND('(橫掃)RX Mapping'!AQ41&gt;=481,'(橫掃)RX Mapping'!AQ41&lt;=600), ('(橫掃)RX Mapping'!AQ41-361),IF(AND('(橫掃)RX Mapping'!AQ41&gt;=601,'(橫掃)RX Mapping'!AQ41&lt;=720), (-1)*('(橫掃)RX Mapping'!AQ41-720)+120,IF(AND('(橫掃)RX Mapping'!AQ41&gt;=721,'(橫掃)RX Mapping'!AQ41&lt;=840), ('(橫掃)RX Mapping'!AQ41-601),IF(AND('(橫掃)RX Mapping'!AQ41&gt;=841,'(橫掃)RX Mapping'!AQ41&lt;=960), (-1)*('(橫掃)RX Mapping'!AQ41-960)+120,9999))))))))</f>
        <v>9999</v>
      </c>
      <c r="AR41">
        <f>IF(AND('(橫掃)RX Mapping'!AR41&gt;=1,'(橫掃)RX Mapping'!AR41&lt;=120), ('(橫掃)RX Mapping'!AR41-1),IF(AND('(橫掃)RX Mapping'!AR41&gt;=121,'(橫掃)RX Mapping'!AR41&lt;=240), (-1)*('(橫掃)RX Mapping'!AR41-240),IF(AND('(橫掃)RX Mapping'!AR41&gt;=241,'(橫掃)RX Mapping'!AR41&lt;=360), ('(橫掃)RX Mapping'!AR41-241),IF(AND('(橫掃)RX Mapping'!AR41&gt;=361,'(橫掃)RX Mapping'!AR41&lt;=480), (-1)*('(橫掃)RX Mapping'!AR41-480),IF(AND('(橫掃)RX Mapping'!AR41&gt;=481,'(橫掃)RX Mapping'!AR41&lt;=600), ('(橫掃)RX Mapping'!AR41-361),IF(AND('(橫掃)RX Mapping'!AR41&gt;=601,'(橫掃)RX Mapping'!AR41&lt;=720), (-1)*('(橫掃)RX Mapping'!AR41-720)+120,IF(AND('(橫掃)RX Mapping'!AR41&gt;=721,'(橫掃)RX Mapping'!AR41&lt;=840), ('(橫掃)RX Mapping'!AR41-601),IF(AND('(橫掃)RX Mapping'!AR41&gt;=841,'(橫掃)RX Mapping'!AR41&lt;=960), (-1)*('(橫掃)RX Mapping'!AR41-960)+120,9999))))))))</f>
        <v>9999</v>
      </c>
      <c r="AS41">
        <f>IF(AND('(橫掃)RX Mapping'!AS41&gt;=1,'(橫掃)RX Mapping'!AS41&lt;=120), ('(橫掃)RX Mapping'!AS41-1),IF(AND('(橫掃)RX Mapping'!AS41&gt;=121,'(橫掃)RX Mapping'!AS41&lt;=240), (-1)*('(橫掃)RX Mapping'!AS41-240),IF(AND('(橫掃)RX Mapping'!AS41&gt;=241,'(橫掃)RX Mapping'!AS41&lt;=360), ('(橫掃)RX Mapping'!AS41-241),IF(AND('(橫掃)RX Mapping'!AS41&gt;=361,'(橫掃)RX Mapping'!AS41&lt;=480), (-1)*('(橫掃)RX Mapping'!AS41-480),IF(AND('(橫掃)RX Mapping'!AS41&gt;=481,'(橫掃)RX Mapping'!AS41&lt;=600), ('(橫掃)RX Mapping'!AS41-361),IF(AND('(橫掃)RX Mapping'!AS41&gt;=601,'(橫掃)RX Mapping'!AS41&lt;=720), (-1)*('(橫掃)RX Mapping'!AS41-720)+120,IF(AND('(橫掃)RX Mapping'!AS41&gt;=721,'(橫掃)RX Mapping'!AS41&lt;=840), ('(橫掃)RX Mapping'!AS41-601),IF(AND('(橫掃)RX Mapping'!AS41&gt;=841,'(橫掃)RX Mapping'!AS41&lt;=960), (-1)*('(橫掃)RX Mapping'!AS41-960)+120,9999))))))))</f>
        <v>9999</v>
      </c>
      <c r="AT41">
        <f>IF(AND('(橫掃)RX Mapping'!AT41&gt;=1,'(橫掃)RX Mapping'!AT41&lt;=120), ('(橫掃)RX Mapping'!AT41-1),IF(AND('(橫掃)RX Mapping'!AT41&gt;=121,'(橫掃)RX Mapping'!AT41&lt;=240), (-1)*('(橫掃)RX Mapping'!AT41-240),IF(AND('(橫掃)RX Mapping'!AT41&gt;=241,'(橫掃)RX Mapping'!AT41&lt;=360), ('(橫掃)RX Mapping'!AT41-241),IF(AND('(橫掃)RX Mapping'!AT41&gt;=361,'(橫掃)RX Mapping'!AT41&lt;=480), (-1)*('(橫掃)RX Mapping'!AT41-480),IF(AND('(橫掃)RX Mapping'!AT41&gt;=481,'(橫掃)RX Mapping'!AT41&lt;=600), ('(橫掃)RX Mapping'!AT41-361),IF(AND('(橫掃)RX Mapping'!AT41&gt;=601,'(橫掃)RX Mapping'!AT41&lt;=720), (-1)*('(橫掃)RX Mapping'!AT41-720)+120,IF(AND('(橫掃)RX Mapping'!AT41&gt;=721,'(橫掃)RX Mapping'!AT41&lt;=840), ('(橫掃)RX Mapping'!AT41-601),IF(AND('(橫掃)RX Mapping'!AT41&gt;=841,'(橫掃)RX Mapping'!AT41&lt;=960), (-1)*('(橫掃)RX Mapping'!AT41-960)+120,9999))))))))</f>
        <v>9999</v>
      </c>
      <c r="AU41">
        <f>IF(AND('(橫掃)RX Mapping'!AU41&gt;=1,'(橫掃)RX Mapping'!AU41&lt;=120), ('(橫掃)RX Mapping'!AU41-1),IF(AND('(橫掃)RX Mapping'!AU41&gt;=121,'(橫掃)RX Mapping'!AU41&lt;=240), (-1)*('(橫掃)RX Mapping'!AU41-240),IF(AND('(橫掃)RX Mapping'!AU41&gt;=241,'(橫掃)RX Mapping'!AU41&lt;=360), ('(橫掃)RX Mapping'!AU41-241),IF(AND('(橫掃)RX Mapping'!AU41&gt;=361,'(橫掃)RX Mapping'!AU41&lt;=480), (-1)*('(橫掃)RX Mapping'!AU41-480),IF(AND('(橫掃)RX Mapping'!AU41&gt;=481,'(橫掃)RX Mapping'!AU41&lt;=600), ('(橫掃)RX Mapping'!AU41-361),IF(AND('(橫掃)RX Mapping'!AU41&gt;=601,'(橫掃)RX Mapping'!AU41&lt;=720), (-1)*('(橫掃)RX Mapping'!AU41-720)+120,IF(AND('(橫掃)RX Mapping'!AU41&gt;=721,'(橫掃)RX Mapping'!AU41&lt;=840), ('(橫掃)RX Mapping'!AU41-601),IF(AND('(橫掃)RX Mapping'!AU41&gt;=841,'(橫掃)RX Mapping'!AU41&lt;=960), (-1)*('(橫掃)RX Mapping'!AU41-960)+120,9999))))))))</f>
        <v>9999</v>
      </c>
      <c r="AV41">
        <f>IF(AND('(橫掃)RX Mapping'!AV41&gt;=1,'(橫掃)RX Mapping'!AV41&lt;=120), ('(橫掃)RX Mapping'!AV41-1),IF(AND('(橫掃)RX Mapping'!AV41&gt;=121,'(橫掃)RX Mapping'!AV41&lt;=240), (-1)*('(橫掃)RX Mapping'!AV41-240),IF(AND('(橫掃)RX Mapping'!AV41&gt;=241,'(橫掃)RX Mapping'!AV41&lt;=360), ('(橫掃)RX Mapping'!AV41-241),IF(AND('(橫掃)RX Mapping'!AV41&gt;=361,'(橫掃)RX Mapping'!AV41&lt;=480), (-1)*('(橫掃)RX Mapping'!AV41-480),IF(AND('(橫掃)RX Mapping'!AV41&gt;=481,'(橫掃)RX Mapping'!AV41&lt;=600), ('(橫掃)RX Mapping'!AV41-361),IF(AND('(橫掃)RX Mapping'!AV41&gt;=601,'(橫掃)RX Mapping'!AV41&lt;=720), (-1)*('(橫掃)RX Mapping'!AV41-720)+120,IF(AND('(橫掃)RX Mapping'!AV41&gt;=721,'(橫掃)RX Mapping'!AV41&lt;=840), ('(橫掃)RX Mapping'!AV41-601),IF(AND('(橫掃)RX Mapping'!AV41&gt;=841,'(橫掃)RX Mapping'!AV41&lt;=960), (-1)*('(橫掃)RX Mapping'!AV41-960)+120,9999))))))))</f>
        <v>9999</v>
      </c>
      <c r="AW41">
        <f>IF(AND('(橫掃)RX Mapping'!AW41&gt;=1,'(橫掃)RX Mapping'!AW41&lt;=120), ('(橫掃)RX Mapping'!AW41-1),IF(AND('(橫掃)RX Mapping'!AW41&gt;=121,'(橫掃)RX Mapping'!AW41&lt;=240), (-1)*('(橫掃)RX Mapping'!AW41-240),IF(AND('(橫掃)RX Mapping'!AW41&gt;=241,'(橫掃)RX Mapping'!AW41&lt;=360), ('(橫掃)RX Mapping'!AW41-241),IF(AND('(橫掃)RX Mapping'!AW41&gt;=361,'(橫掃)RX Mapping'!AW41&lt;=480), (-1)*('(橫掃)RX Mapping'!AW41-480),IF(AND('(橫掃)RX Mapping'!AW41&gt;=481,'(橫掃)RX Mapping'!AW41&lt;=600), ('(橫掃)RX Mapping'!AW41-361),IF(AND('(橫掃)RX Mapping'!AW41&gt;=601,'(橫掃)RX Mapping'!AW41&lt;=720), (-1)*('(橫掃)RX Mapping'!AW41-720)+120,IF(AND('(橫掃)RX Mapping'!AW41&gt;=721,'(橫掃)RX Mapping'!AW41&lt;=840), ('(橫掃)RX Mapping'!AW41-601),IF(AND('(橫掃)RX Mapping'!AW41&gt;=841,'(橫掃)RX Mapping'!AW41&lt;=960), (-1)*('(橫掃)RX Mapping'!AW41-960)+120,9999))))))))</f>
        <v>9999</v>
      </c>
      <c r="AX41">
        <f>IF(AND('(橫掃)RX Mapping'!AX41&gt;=1,'(橫掃)RX Mapping'!AX41&lt;=120), ('(橫掃)RX Mapping'!AX41-1),IF(AND('(橫掃)RX Mapping'!AX41&gt;=121,'(橫掃)RX Mapping'!AX41&lt;=240), (-1)*('(橫掃)RX Mapping'!AX41-240),IF(AND('(橫掃)RX Mapping'!AX41&gt;=241,'(橫掃)RX Mapping'!AX41&lt;=360), ('(橫掃)RX Mapping'!AX41-241),IF(AND('(橫掃)RX Mapping'!AX41&gt;=361,'(橫掃)RX Mapping'!AX41&lt;=480), (-1)*('(橫掃)RX Mapping'!AX41-480),IF(AND('(橫掃)RX Mapping'!AX41&gt;=481,'(橫掃)RX Mapping'!AX41&lt;=600), ('(橫掃)RX Mapping'!AX41-361),IF(AND('(橫掃)RX Mapping'!AX41&gt;=601,'(橫掃)RX Mapping'!AX41&lt;=720), (-1)*('(橫掃)RX Mapping'!AX41-720)+120,IF(AND('(橫掃)RX Mapping'!AX41&gt;=721,'(橫掃)RX Mapping'!AX41&lt;=840), ('(橫掃)RX Mapping'!AX41-601),IF(AND('(橫掃)RX Mapping'!AX41&gt;=841,'(橫掃)RX Mapping'!AX41&lt;=960), (-1)*('(橫掃)RX Mapping'!AX41-960)+120,9999))))))))</f>
        <v>9999</v>
      </c>
      <c r="AY41">
        <f>IF(AND('(橫掃)RX Mapping'!AY41&gt;=1,'(橫掃)RX Mapping'!AY41&lt;=120), ('(橫掃)RX Mapping'!AY41-1),IF(AND('(橫掃)RX Mapping'!AY41&gt;=121,'(橫掃)RX Mapping'!AY41&lt;=240), (-1)*('(橫掃)RX Mapping'!AY41-240),IF(AND('(橫掃)RX Mapping'!AY41&gt;=241,'(橫掃)RX Mapping'!AY41&lt;=360), ('(橫掃)RX Mapping'!AY41-241),IF(AND('(橫掃)RX Mapping'!AY41&gt;=361,'(橫掃)RX Mapping'!AY41&lt;=480), (-1)*('(橫掃)RX Mapping'!AY41-480),IF(AND('(橫掃)RX Mapping'!AY41&gt;=481,'(橫掃)RX Mapping'!AY41&lt;=600), ('(橫掃)RX Mapping'!AY41-361),IF(AND('(橫掃)RX Mapping'!AY41&gt;=601,'(橫掃)RX Mapping'!AY41&lt;=720), (-1)*('(橫掃)RX Mapping'!AY41-720)+120,IF(AND('(橫掃)RX Mapping'!AY41&gt;=721,'(橫掃)RX Mapping'!AY41&lt;=840), ('(橫掃)RX Mapping'!AY41-601),IF(AND('(橫掃)RX Mapping'!AY41&gt;=841,'(橫掃)RX Mapping'!AY41&lt;=960), (-1)*('(橫掃)RX Mapping'!AY41-960)+120,9999))))))))</f>
        <v>9999</v>
      </c>
      <c r="AZ41">
        <f>IF(AND('(橫掃)RX Mapping'!AZ41&gt;=1,'(橫掃)RX Mapping'!AZ41&lt;=120), ('(橫掃)RX Mapping'!AZ41-1),IF(AND('(橫掃)RX Mapping'!AZ41&gt;=121,'(橫掃)RX Mapping'!AZ41&lt;=240), (-1)*('(橫掃)RX Mapping'!AZ41-240),IF(AND('(橫掃)RX Mapping'!AZ41&gt;=241,'(橫掃)RX Mapping'!AZ41&lt;=360), ('(橫掃)RX Mapping'!AZ41-241),IF(AND('(橫掃)RX Mapping'!AZ41&gt;=361,'(橫掃)RX Mapping'!AZ41&lt;=480), (-1)*('(橫掃)RX Mapping'!AZ41-480),IF(AND('(橫掃)RX Mapping'!AZ41&gt;=481,'(橫掃)RX Mapping'!AZ41&lt;=600), ('(橫掃)RX Mapping'!AZ41-361),IF(AND('(橫掃)RX Mapping'!AZ41&gt;=601,'(橫掃)RX Mapping'!AZ41&lt;=720), (-1)*('(橫掃)RX Mapping'!AZ41-720)+120,IF(AND('(橫掃)RX Mapping'!AZ41&gt;=721,'(橫掃)RX Mapping'!AZ41&lt;=840), ('(橫掃)RX Mapping'!AZ41-601),IF(AND('(橫掃)RX Mapping'!AZ41&gt;=841,'(橫掃)RX Mapping'!AZ41&lt;=960), (-1)*('(橫掃)RX Mapping'!AZ41-960)+120,9999))))))))</f>
        <v>9999</v>
      </c>
      <c r="BA41">
        <f>IF(AND('(橫掃)RX Mapping'!BA41&gt;=1,'(橫掃)RX Mapping'!BA41&lt;=120), ('(橫掃)RX Mapping'!BA41-1),IF(AND('(橫掃)RX Mapping'!BA41&gt;=121,'(橫掃)RX Mapping'!BA41&lt;=240), (-1)*('(橫掃)RX Mapping'!BA41-240),IF(AND('(橫掃)RX Mapping'!BA41&gt;=241,'(橫掃)RX Mapping'!BA41&lt;=360), ('(橫掃)RX Mapping'!BA41-241),IF(AND('(橫掃)RX Mapping'!BA41&gt;=361,'(橫掃)RX Mapping'!BA41&lt;=480), (-1)*('(橫掃)RX Mapping'!BA41-480),IF(AND('(橫掃)RX Mapping'!BA41&gt;=481,'(橫掃)RX Mapping'!BA41&lt;=600), ('(橫掃)RX Mapping'!BA41-361),IF(AND('(橫掃)RX Mapping'!BA41&gt;=601,'(橫掃)RX Mapping'!BA41&lt;=720), (-1)*('(橫掃)RX Mapping'!BA41-720)+120,IF(AND('(橫掃)RX Mapping'!BA41&gt;=721,'(橫掃)RX Mapping'!BA41&lt;=840), ('(橫掃)RX Mapping'!BA41-601),IF(AND('(橫掃)RX Mapping'!BA41&gt;=841,'(橫掃)RX Mapping'!BA41&lt;=960), (-1)*('(橫掃)RX Mapping'!BA41-960)+120,9999))))))))</f>
        <v>9999</v>
      </c>
      <c r="BB41">
        <f>IF(AND('(橫掃)RX Mapping'!BB41&gt;=1,'(橫掃)RX Mapping'!BB41&lt;=120), ('(橫掃)RX Mapping'!BB41-1),IF(AND('(橫掃)RX Mapping'!BB41&gt;=121,'(橫掃)RX Mapping'!BB41&lt;=240), (-1)*('(橫掃)RX Mapping'!BB41-240),IF(AND('(橫掃)RX Mapping'!BB41&gt;=241,'(橫掃)RX Mapping'!BB41&lt;=360), ('(橫掃)RX Mapping'!BB41-241),IF(AND('(橫掃)RX Mapping'!BB41&gt;=361,'(橫掃)RX Mapping'!BB41&lt;=480), (-1)*('(橫掃)RX Mapping'!BB41-480),IF(AND('(橫掃)RX Mapping'!BB41&gt;=481,'(橫掃)RX Mapping'!BB41&lt;=600), ('(橫掃)RX Mapping'!BB41-361),IF(AND('(橫掃)RX Mapping'!BB41&gt;=601,'(橫掃)RX Mapping'!BB41&lt;=720), (-1)*('(橫掃)RX Mapping'!BB41-720)+120,IF(AND('(橫掃)RX Mapping'!BB41&gt;=721,'(橫掃)RX Mapping'!BB41&lt;=840), ('(橫掃)RX Mapping'!BB41-601),IF(AND('(橫掃)RX Mapping'!BB41&gt;=841,'(橫掃)RX Mapping'!BB41&lt;=960), (-1)*('(橫掃)RX Mapping'!BB41-960)+120,9999))))))))</f>
        <v>9999</v>
      </c>
      <c r="BC41">
        <f>IF(AND('(橫掃)RX Mapping'!BC41&gt;=1,'(橫掃)RX Mapping'!BC41&lt;=120), ('(橫掃)RX Mapping'!BC41-1),IF(AND('(橫掃)RX Mapping'!BC41&gt;=121,'(橫掃)RX Mapping'!BC41&lt;=240), (-1)*('(橫掃)RX Mapping'!BC41-240),IF(AND('(橫掃)RX Mapping'!BC41&gt;=241,'(橫掃)RX Mapping'!BC41&lt;=360), ('(橫掃)RX Mapping'!BC41-241),IF(AND('(橫掃)RX Mapping'!BC41&gt;=361,'(橫掃)RX Mapping'!BC41&lt;=480), (-1)*('(橫掃)RX Mapping'!BC41-480),IF(AND('(橫掃)RX Mapping'!BC41&gt;=481,'(橫掃)RX Mapping'!BC41&lt;=600), ('(橫掃)RX Mapping'!BC41-361),IF(AND('(橫掃)RX Mapping'!BC41&gt;=601,'(橫掃)RX Mapping'!BC41&lt;=720), (-1)*('(橫掃)RX Mapping'!BC41-720)+120,IF(AND('(橫掃)RX Mapping'!BC41&gt;=721,'(橫掃)RX Mapping'!BC41&lt;=840), ('(橫掃)RX Mapping'!BC41-601),IF(AND('(橫掃)RX Mapping'!BC41&gt;=841,'(橫掃)RX Mapping'!BC41&lt;=960), (-1)*('(橫掃)RX Mapping'!BC41-960)+120,9999))))))))</f>
        <v>9999</v>
      </c>
      <c r="BD41">
        <f>IF(AND('(橫掃)RX Mapping'!BD41&gt;=1,'(橫掃)RX Mapping'!BD41&lt;=120), ('(橫掃)RX Mapping'!BD41-1),IF(AND('(橫掃)RX Mapping'!BD41&gt;=121,'(橫掃)RX Mapping'!BD41&lt;=240), (-1)*('(橫掃)RX Mapping'!BD41-240),IF(AND('(橫掃)RX Mapping'!BD41&gt;=241,'(橫掃)RX Mapping'!BD41&lt;=360), ('(橫掃)RX Mapping'!BD41-241),IF(AND('(橫掃)RX Mapping'!BD41&gt;=361,'(橫掃)RX Mapping'!BD41&lt;=480), (-1)*('(橫掃)RX Mapping'!BD41-480),IF(AND('(橫掃)RX Mapping'!BD41&gt;=481,'(橫掃)RX Mapping'!BD41&lt;=600), ('(橫掃)RX Mapping'!BD41-361),IF(AND('(橫掃)RX Mapping'!BD41&gt;=601,'(橫掃)RX Mapping'!BD41&lt;=720), (-1)*('(橫掃)RX Mapping'!BD41-720)+120,IF(AND('(橫掃)RX Mapping'!BD41&gt;=721,'(橫掃)RX Mapping'!BD41&lt;=840), ('(橫掃)RX Mapping'!BD41-601),IF(AND('(橫掃)RX Mapping'!BD41&gt;=841,'(橫掃)RX Mapping'!BD41&lt;=960), (-1)*('(橫掃)RX Mapping'!BD41-960)+120,9999))))))))</f>
        <v>9999</v>
      </c>
      <c r="BE41">
        <f>IF(AND('(橫掃)RX Mapping'!BE41&gt;=1,'(橫掃)RX Mapping'!BE41&lt;=120), ('(橫掃)RX Mapping'!BE41-1),IF(AND('(橫掃)RX Mapping'!BE41&gt;=121,'(橫掃)RX Mapping'!BE41&lt;=240), (-1)*('(橫掃)RX Mapping'!BE41-240),IF(AND('(橫掃)RX Mapping'!BE41&gt;=241,'(橫掃)RX Mapping'!BE41&lt;=360), ('(橫掃)RX Mapping'!BE41-241),IF(AND('(橫掃)RX Mapping'!BE41&gt;=361,'(橫掃)RX Mapping'!BE41&lt;=480), (-1)*('(橫掃)RX Mapping'!BE41-480),IF(AND('(橫掃)RX Mapping'!BE41&gt;=481,'(橫掃)RX Mapping'!BE41&lt;=600), ('(橫掃)RX Mapping'!BE41-361),IF(AND('(橫掃)RX Mapping'!BE41&gt;=601,'(橫掃)RX Mapping'!BE41&lt;=720), (-1)*('(橫掃)RX Mapping'!BE41-720)+120,IF(AND('(橫掃)RX Mapping'!BE41&gt;=721,'(橫掃)RX Mapping'!BE41&lt;=840), ('(橫掃)RX Mapping'!BE41-601),IF(AND('(橫掃)RX Mapping'!BE41&gt;=841,'(橫掃)RX Mapping'!BE41&lt;=960), (-1)*('(橫掃)RX Mapping'!BE41-960)+120,9999))))))))</f>
        <v>9999</v>
      </c>
      <c r="BF41">
        <f>IF(AND('(橫掃)RX Mapping'!BF41&gt;=1,'(橫掃)RX Mapping'!BF41&lt;=120), ('(橫掃)RX Mapping'!BF41-1),IF(AND('(橫掃)RX Mapping'!BF41&gt;=121,'(橫掃)RX Mapping'!BF41&lt;=240), (-1)*('(橫掃)RX Mapping'!BF41-240),IF(AND('(橫掃)RX Mapping'!BF41&gt;=241,'(橫掃)RX Mapping'!BF41&lt;=360), ('(橫掃)RX Mapping'!BF41-241),IF(AND('(橫掃)RX Mapping'!BF41&gt;=361,'(橫掃)RX Mapping'!BF41&lt;=480), (-1)*('(橫掃)RX Mapping'!BF41-480),IF(AND('(橫掃)RX Mapping'!BF41&gt;=481,'(橫掃)RX Mapping'!BF41&lt;=600), ('(橫掃)RX Mapping'!BF41-361),IF(AND('(橫掃)RX Mapping'!BF41&gt;=601,'(橫掃)RX Mapping'!BF41&lt;=720), (-1)*('(橫掃)RX Mapping'!BF41-720)+120,IF(AND('(橫掃)RX Mapping'!BF41&gt;=721,'(橫掃)RX Mapping'!BF41&lt;=840), ('(橫掃)RX Mapping'!BF41-601),IF(AND('(橫掃)RX Mapping'!BF41&gt;=841,'(橫掃)RX Mapping'!BF41&lt;=960), (-1)*('(橫掃)RX Mapping'!BF41-960)+120,9999))))))))</f>
        <v>9999</v>
      </c>
      <c r="BG41">
        <f>IF(AND('(橫掃)RX Mapping'!BG41&gt;=1,'(橫掃)RX Mapping'!BG41&lt;=120), ('(橫掃)RX Mapping'!BG41-1),IF(AND('(橫掃)RX Mapping'!BG41&gt;=121,'(橫掃)RX Mapping'!BG41&lt;=240), (-1)*('(橫掃)RX Mapping'!BG41-240),IF(AND('(橫掃)RX Mapping'!BG41&gt;=241,'(橫掃)RX Mapping'!BG41&lt;=360), ('(橫掃)RX Mapping'!BG41-241),IF(AND('(橫掃)RX Mapping'!BG41&gt;=361,'(橫掃)RX Mapping'!BG41&lt;=480), (-1)*('(橫掃)RX Mapping'!BG41-480),IF(AND('(橫掃)RX Mapping'!BG41&gt;=481,'(橫掃)RX Mapping'!BG41&lt;=600), ('(橫掃)RX Mapping'!BG41-361),IF(AND('(橫掃)RX Mapping'!BG41&gt;=601,'(橫掃)RX Mapping'!BG41&lt;=720), (-1)*('(橫掃)RX Mapping'!BG41-720)+120,IF(AND('(橫掃)RX Mapping'!BG41&gt;=721,'(橫掃)RX Mapping'!BG41&lt;=840), ('(橫掃)RX Mapping'!BG41-601),IF(AND('(橫掃)RX Mapping'!BG41&gt;=841,'(橫掃)RX Mapping'!BG41&lt;=960), (-1)*('(橫掃)RX Mapping'!BG41-960)+120,9999))))))))</f>
        <v>9999</v>
      </c>
      <c r="BH41">
        <f>IF(AND('(橫掃)RX Mapping'!BH41&gt;=1,'(橫掃)RX Mapping'!BH41&lt;=120), ('(橫掃)RX Mapping'!BH41-1),IF(AND('(橫掃)RX Mapping'!BH41&gt;=121,'(橫掃)RX Mapping'!BH41&lt;=240), (-1)*('(橫掃)RX Mapping'!BH41-240),IF(AND('(橫掃)RX Mapping'!BH41&gt;=241,'(橫掃)RX Mapping'!BH41&lt;=360), ('(橫掃)RX Mapping'!BH41-241),IF(AND('(橫掃)RX Mapping'!BH41&gt;=361,'(橫掃)RX Mapping'!BH41&lt;=480), (-1)*('(橫掃)RX Mapping'!BH41-480),IF(AND('(橫掃)RX Mapping'!BH41&gt;=481,'(橫掃)RX Mapping'!BH41&lt;=600), ('(橫掃)RX Mapping'!BH41-361),IF(AND('(橫掃)RX Mapping'!BH41&gt;=601,'(橫掃)RX Mapping'!BH41&lt;=720), (-1)*('(橫掃)RX Mapping'!BH41-720)+120,IF(AND('(橫掃)RX Mapping'!BH41&gt;=721,'(橫掃)RX Mapping'!BH41&lt;=840), ('(橫掃)RX Mapping'!BH41-601),IF(AND('(橫掃)RX Mapping'!BH41&gt;=841,'(橫掃)RX Mapping'!BH41&lt;=960), (-1)*('(橫掃)RX Mapping'!BH41-960)+120,9999))))))))</f>
        <v>9999</v>
      </c>
      <c r="BI41">
        <f>IF(AND('(橫掃)RX Mapping'!BI41&gt;=1,'(橫掃)RX Mapping'!BI41&lt;=120), ('(橫掃)RX Mapping'!BI41-1),IF(AND('(橫掃)RX Mapping'!BI41&gt;=121,'(橫掃)RX Mapping'!BI41&lt;=240), (-1)*('(橫掃)RX Mapping'!BI41-240),IF(AND('(橫掃)RX Mapping'!BI41&gt;=241,'(橫掃)RX Mapping'!BI41&lt;=360), ('(橫掃)RX Mapping'!BI41-241),IF(AND('(橫掃)RX Mapping'!BI41&gt;=361,'(橫掃)RX Mapping'!BI41&lt;=480), (-1)*('(橫掃)RX Mapping'!BI41-480),IF(AND('(橫掃)RX Mapping'!BI41&gt;=481,'(橫掃)RX Mapping'!BI41&lt;=600), ('(橫掃)RX Mapping'!BI41-361),IF(AND('(橫掃)RX Mapping'!BI41&gt;=601,'(橫掃)RX Mapping'!BI41&lt;=720), (-1)*('(橫掃)RX Mapping'!BI41-720)+120,IF(AND('(橫掃)RX Mapping'!BI41&gt;=721,'(橫掃)RX Mapping'!BI41&lt;=840), ('(橫掃)RX Mapping'!BI41-601),IF(AND('(橫掃)RX Mapping'!BI41&gt;=841,'(橫掃)RX Mapping'!BI41&lt;=960), (-1)*('(橫掃)RX Mapping'!BI41-960)+120,9999))))))))</f>
        <v>9999</v>
      </c>
    </row>
    <row r="42" spans="1:61" x14ac:dyDescent="0.25">
      <c r="A42" s="20">
        <v>41</v>
      </c>
      <c r="B42">
        <f>IF(AND('(橫掃)RX Mapping'!B42&gt;=1,'(橫掃)RX Mapping'!B42&lt;=120), ('(橫掃)RX Mapping'!B42-1),IF(AND('(橫掃)RX Mapping'!B42&gt;=121,'(橫掃)RX Mapping'!B42&lt;=240), (-1)*('(橫掃)RX Mapping'!B42-240),IF(AND('(橫掃)RX Mapping'!B42&gt;=241,'(橫掃)RX Mapping'!B42&lt;=360), ('(橫掃)RX Mapping'!B42-241),IF(AND('(橫掃)RX Mapping'!B42&gt;=361,'(橫掃)RX Mapping'!B42&lt;=480), (-1)*('(橫掃)RX Mapping'!B42-480),IF(AND('(橫掃)RX Mapping'!B42&gt;=481,'(橫掃)RX Mapping'!B42&lt;=600), ('(橫掃)RX Mapping'!B42-361),IF(AND('(橫掃)RX Mapping'!B42&gt;=601,'(橫掃)RX Mapping'!B42&lt;=720), (-1)*('(橫掃)RX Mapping'!B42-720)+120,IF(AND('(橫掃)RX Mapping'!B42&gt;=721,'(橫掃)RX Mapping'!B42&lt;=840), ('(橫掃)RX Mapping'!B42-601),IF(AND('(橫掃)RX Mapping'!B42&gt;=841,'(橫掃)RX Mapping'!B42&lt;=960), (-1)*('(橫掃)RX Mapping'!B42-960)+120,9999))))))))</f>
        <v>9999</v>
      </c>
      <c r="C42">
        <f>IF(AND('(橫掃)RX Mapping'!C42&gt;=1,'(橫掃)RX Mapping'!C42&lt;=120), ('(橫掃)RX Mapping'!C42-1),IF(AND('(橫掃)RX Mapping'!C42&gt;=121,'(橫掃)RX Mapping'!C42&lt;=240), (-1)*('(橫掃)RX Mapping'!C42-240),IF(AND('(橫掃)RX Mapping'!C42&gt;=241,'(橫掃)RX Mapping'!C42&lt;=360), ('(橫掃)RX Mapping'!C42-241),IF(AND('(橫掃)RX Mapping'!C42&gt;=361,'(橫掃)RX Mapping'!C42&lt;=480), (-1)*('(橫掃)RX Mapping'!C42-480),IF(AND('(橫掃)RX Mapping'!C42&gt;=481,'(橫掃)RX Mapping'!C42&lt;=600), ('(橫掃)RX Mapping'!C42-361),IF(AND('(橫掃)RX Mapping'!C42&gt;=601,'(橫掃)RX Mapping'!C42&lt;=720), (-1)*('(橫掃)RX Mapping'!C42-720)+120,IF(AND('(橫掃)RX Mapping'!C42&gt;=721,'(橫掃)RX Mapping'!C42&lt;=840), ('(橫掃)RX Mapping'!C42-601),IF(AND('(橫掃)RX Mapping'!C42&gt;=841,'(橫掃)RX Mapping'!C42&lt;=960), (-1)*('(橫掃)RX Mapping'!C42-960)+120,9999))))))))</f>
        <v>9999</v>
      </c>
      <c r="D42">
        <f>IF(AND('(橫掃)RX Mapping'!D42&gt;=1,'(橫掃)RX Mapping'!D42&lt;=120), ('(橫掃)RX Mapping'!D42-1),IF(AND('(橫掃)RX Mapping'!D42&gt;=121,'(橫掃)RX Mapping'!D42&lt;=240), (-1)*('(橫掃)RX Mapping'!D42-240),IF(AND('(橫掃)RX Mapping'!D42&gt;=241,'(橫掃)RX Mapping'!D42&lt;=360), ('(橫掃)RX Mapping'!D42-241),IF(AND('(橫掃)RX Mapping'!D42&gt;=361,'(橫掃)RX Mapping'!D42&lt;=480), (-1)*('(橫掃)RX Mapping'!D42-480),IF(AND('(橫掃)RX Mapping'!D42&gt;=481,'(橫掃)RX Mapping'!D42&lt;=600), ('(橫掃)RX Mapping'!D42-361),IF(AND('(橫掃)RX Mapping'!D42&gt;=601,'(橫掃)RX Mapping'!D42&lt;=720), (-1)*('(橫掃)RX Mapping'!D42-720)+120,IF(AND('(橫掃)RX Mapping'!D42&gt;=721,'(橫掃)RX Mapping'!D42&lt;=840), ('(橫掃)RX Mapping'!D42-601),IF(AND('(橫掃)RX Mapping'!D42&gt;=841,'(橫掃)RX Mapping'!D42&lt;=960), (-1)*('(橫掃)RX Mapping'!D42-960)+120,9999))))))))</f>
        <v>9999</v>
      </c>
      <c r="E42">
        <f>IF(AND('(橫掃)RX Mapping'!E42&gt;=1,'(橫掃)RX Mapping'!E42&lt;=120), ('(橫掃)RX Mapping'!E42-1),IF(AND('(橫掃)RX Mapping'!E42&gt;=121,'(橫掃)RX Mapping'!E42&lt;=240), (-1)*('(橫掃)RX Mapping'!E42-240),IF(AND('(橫掃)RX Mapping'!E42&gt;=241,'(橫掃)RX Mapping'!E42&lt;=360), ('(橫掃)RX Mapping'!E42-241),IF(AND('(橫掃)RX Mapping'!E42&gt;=361,'(橫掃)RX Mapping'!E42&lt;=480), (-1)*('(橫掃)RX Mapping'!E42-480),IF(AND('(橫掃)RX Mapping'!E42&gt;=481,'(橫掃)RX Mapping'!E42&lt;=600), ('(橫掃)RX Mapping'!E42-361),IF(AND('(橫掃)RX Mapping'!E42&gt;=601,'(橫掃)RX Mapping'!E42&lt;=720), (-1)*('(橫掃)RX Mapping'!E42-720)+120,IF(AND('(橫掃)RX Mapping'!E42&gt;=721,'(橫掃)RX Mapping'!E42&lt;=840), ('(橫掃)RX Mapping'!E42-601),IF(AND('(橫掃)RX Mapping'!E42&gt;=841,'(橫掃)RX Mapping'!E42&lt;=960), (-1)*('(橫掃)RX Mapping'!E42-960)+120,9999))))))))</f>
        <v>9999</v>
      </c>
      <c r="F42">
        <f>IF(AND('(橫掃)RX Mapping'!F42&gt;=1,'(橫掃)RX Mapping'!F42&lt;=120), ('(橫掃)RX Mapping'!F42-1),IF(AND('(橫掃)RX Mapping'!F42&gt;=121,'(橫掃)RX Mapping'!F42&lt;=240), (-1)*('(橫掃)RX Mapping'!F42-240),IF(AND('(橫掃)RX Mapping'!F42&gt;=241,'(橫掃)RX Mapping'!F42&lt;=360), ('(橫掃)RX Mapping'!F42-241),IF(AND('(橫掃)RX Mapping'!F42&gt;=361,'(橫掃)RX Mapping'!F42&lt;=480), (-1)*('(橫掃)RX Mapping'!F42-480),IF(AND('(橫掃)RX Mapping'!F42&gt;=481,'(橫掃)RX Mapping'!F42&lt;=600), ('(橫掃)RX Mapping'!F42-361),IF(AND('(橫掃)RX Mapping'!F42&gt;=601,'(橫掃)RX Mapping'!F42&lt;=720), (-1)*('(橫掃)RX Mapping'!F42-720)+120,IF(AND('(橫掃)RX Mapping'!F42&gt;=721,'(橫掃)RX Mapping'!F42&lt;=840), ('(橫掃)RX Mapping'!F42-601),IF(AND('(橫掃)RX Mapping'!F42&gt;=841,'(橫掃)RX Mapping'!F42&lt;=960), (-1)*('(橫掃)RX Mapping'!F42-960)+120,9999))))))))</f>
        <v>9999</v>
      </c>
      <c r="G42">
        <f>IF(AND('(橫掃)RX Mapping'!G42&gt;=1,'(橫掃)RX Mapping'!G42&lt;=120), ('(橫掃)RX Mapping'!G42-1),IF(AND('(橫掃)RX Mapping'!G42&gt;=121,'(橫掃)RX Mapping'!G42&lt;=240), (-1)*('(橫掃)RX Mapping'!G42-240),IF(AND('(橫掃)RX Mapping'!G42&gt;=241,'(橫掃)RX Mapping'!G42&lt;=360), ('(橫掃)RX Mapping'!G42-241),IF(AND('(橫掃)RX Mapping'!G42&gt;=361,'(橫掃)RX Mapping'!G42&lt;=480), (-1)*('(橫掃)RX Mapping'!G42-480),IF(AND('(橫掃)RX Mapping'!G42&gt;=481,'(橫掃)RX Mapping'!G42&lt;=600), ('(橫掃)RX Mapping'!G42-361),IF(AND('(橫掃)RX Mapping'!G42&gt;=601,'(橫掃)RX Mapping'!G42&lt;=720), (-1)*('(橫掃)RX Mapping'!G42-720)+120,IF(AND('(橫掃)RX Mapping'!G42&gt;=721,'(橫掃)RX Mapping'!G42&lt;=840), ('(橫掃)RX Mapping'!G42-601),IF(AND('(橫掃)RX Mapping'!G42&gt;=841,'(橫掃)RX Mapping'!G42&lt;=960), (-1)*('(橫掃)RX Mapping'!G42-960)+120,9999))))))))</f>
        <v>9999</v>
      </c>
      <c r="H42">
        <f>IF(AND('(橫掃)RX Mapping'!H42&gt;=1,'(橫掃)RX Mapping'!H42&lt;=120), ('(橫掃)RX Mapping'!H42-1),IF(AND('(橫掃)RX Mapping'!H42&gt;=121,'(橫掃)RX Mapping'!H42&lt;=240), (-1)*('(橫掃)RX Mapping'!H42-240),IF(AND('(橫掃)RX Mapping'!H42&gt;=241,'(橫掃)RX Mapping'!H42&lt;=360), ('(橫掃)RX Mapping'!H42-241),IF(AND('(橫掃)RX Mapping'!H42&gt;=361,'(橫掃)RX Mapping'!H42&lt;=480), (-1)*('(橫掃)RX Mapping'!H42-480),IF(AND('(橫掃)RX Mapping'!H42&gt;=481,'(橫掃)RX Mapping'!H42&lt;=600), ('(橫掃)RX Mapping'!H42-361),IF(AND('(橫掃)RX Mapping'!H42&gt;=601,'(橫掃)RX Mapping'!H42&lt;=720), (-1)*('(橫掃)RX Mapping'!H42-720)+120,IF(AND('(橫掃)RX Mapping'!H42&gt;=721,'(橫掃)RX Mapping'!H42&lt;=840), ('(橫掃)RX Mapping'!H42-601),IF(AND('(橫掃)RX Mapping'!H42&gt;=841,'(橫掃)RX Mapping'!H42&lt;=960), (-1)*('(橫掃)RX Mapping'!H42-960)+120,9999))))))))</f>
        <v>9999</v>
      </c>
      <c r="I42">
        <f>IF(AND('(橫掃)RX Mapping'!I42&gt;=1,'(橫掃)RX Mapping'!I42&lt;=120), ('(橫掃)RX Mapping'!I42-1),IF(AND('(橫掃)RX Mapping'!I42&gt;=121,'(橫掃)RX Mapping'!I42&lt;=240), (-1)*('(橫掃)RX Mapping'!I42-240),IF(AND('(橫掃)RX Mapping'!I42&gt;=241,'(橫掃)RX Mapping'!I42&lt;=360), ('(橫掃)RX Mapping'!I42-241),IF(AND('(橫掃)RX Mapping'!I42&gt;=361,'(橫掃)RX Mapping'!I42&lt;=480), (-1)*('(橫掃)RX Mapping'!I42-480),IF(AND('(橫掃)RX Mapping'!I42&gt;=481,'(橫掃)RX Mapping'!I42&lt;=600), ('(橫掃)RX Mapping'!I42-361),IF(AND('(橫掃)RX Mapping'!I42&gt;=601,'(橫掃)RX Mapping'!I42&lt;=720), (-1)*('(橫掃)RX Mapping'!I42-720)+120,IF(AND('(橫掃)RX Mapping'!I42&gt;=721,'(橫掃)RX Mapping'!I42&lt;=840), ('(橫掃)RX Mapping'!I42-601),IF(AND('(橫掃)RX Mapping'!I42&gt;=841,'(橫掃)RX Mapping'!I42&lt;=960), (-1)*('(橫掃)RX Mapping'!I42-960)+120,9999))))))))</f>
        <v>9999</v>
      </c>
      <c r="J42">
        <f>IF(AND('(橫掃)RX Mapping'!J42&gt;=1,'(橫掃)RX Mapping'!J42&lt;=120), ('(橫掃)RX Mapping'!J42-1),IF(AND('(橫掃)RX Mapping'!J42&gt;=121,'(橫掃)RX Mapping'!J42&lt;=240), (-1)*('(橫掃)RX Mapping'!J42-240),IF(AND('(橫掃)RX Mapping'!J42&gt;=241,'(橫掃)RX Mapping'!J42&lt;=360), ('(橫掃)RX Mapping'!J42-241),IF(AND('(橫掃)RX Mapping'!J42&gt;=361,'(橫掃)RX Mapping'!J42&lt;=480), (-1)*('(橫掃)RX Mapping'!J42-480),IF(AND('(橫掃)RX Mapping'!J42&gt;=481,'(橫掃)RX Mapping'!J42&lt;=600), ('(橫掃)RX Mapping'!J42-361),IF(AND('(橫掃)RX Mapping'!J42&gt;=601,'(橫掃)RX Mapping'!J42&lt;=720), (-1)*('(橫掃)RX Mapping'!J42-720)+120,IF(AND('(橫掃)RX Mapping'!J42&gt;=721,'(橫掃)RX Mapping'!J42&lt;=840), ('(橫掃)RX Mapping'!J42-601),IF(AND('(橫掃)RX Mapping'!J42&gt;=841,'(橫掃)RX Mapping'!J42&lt;=960), (-1)*('(橫掃)RX Mapping'!J42-960)+120,9999))))))))</f>
        <v>9999</v>
      </c>
      <c r="K42">
        <f>IF(AND('(橫掃)RX Mapping'!K42&gt;=1,'(橫掃)RX Mapping'!K42&lt;=120), ('(橫掃)RX Mapping'!K42-1),IF(AND('(橫掃)RX Mapping'!K42&gt;=121,'(橫掃)RX Mapping'!K42&lt;=240), (-1)*('(橫掃)RX Mapping'!K42-240),IF(AND('(橫掃)RX Mapping'!K42&gt;=241,'(橫掃)RX Mapping'!K42&lt;=360), ('(橫掃)RX Mapping'!K42-241),IF(AND('(橫掃)RX Mapping'!K42&gt;=361,'(橫掃)RX Mapping'!K42&lt;=480), (-1)*('(橫掃)RX Mapping'!K42-480),IF(AND('(橫掃)RX Mapping'!K42&gt;=481,'(橫掃)RX Mapping'!K42&lt;=600), ('(橫掃)RX Mapping'!K42-361),IF(AND('(橫掃)RX Mapping'!K42&gt;=601,'(橫掃)RX Mapping'!K42&lt;=720), (-1)*('(橫掃)RX Mapping'!K42-720)+120,IF(AND('(橫掃)RX Mapping'!K42&gt;=721,'(橫掃)RX Mapping'!K42&lt;=840), ('(橫掃)RX Mapping'!K42-601),IF(AND('(橫掃)RX Mapping'!K42&gt;=841,'(橫掃)RX Mapping'!K42&lt;=960), (-1)*('(橫掃)RX Mapping'!K42-960)+120,9999))))))))</f>
        <v>9999</v>
      </c>
      <c r="L42">
        <f>IF(AND('(橫掃)RX Mapping'!L42&gt;=1,'(橫掃)RX Mapping'!L42&lt;=120), ('(橫掃)RX Mapping'!L42-1),IF(AND('(橫掃)RX Mapping'!L42&gt;=121,'(橫掃)RX Mapping'!L42&lt;=240), (-1)*('(橫掃)RX Mapping'!L42-240),IF(AND('(橫掃)RX Mapping'!L42&gt;=241,'(橫掃)RX Mapping'!L42&lt;=360), ('(橫掃)RX Mapping'!L42-241),IF(AND('(橫掃)RX Mapping'!L42&gt;=361,'(橫掃)RX Mapping'!L42&lt;=480), (-1)*('(橫掃)RX Mapping'!L42-480),IF(AND('(橫掃)RX Mapping'!L42&gt;=481,'(橫掃)RX Mapping'!L42&lt;=600), ('(橫掃)RX Mapping'!L42-361),IF(AND('(橫掃)RX Mapping'!L42&gt;=601,'(橫掃)RX Mapping'!L42&lt;=720), (-1)*('(橫掃)RX Mapping'!L42-720)+120,IF(AND('(橫掃)RX Mapping'!L42&gt;=721,'(橫掃)RX Mapping'!L42&lt;=840), ('(橫掃)RX Mapping'!L42-601),IF(AND('(橫掃)RX Mapping'!L42&gt;=841,'(橫掃)RX Mapping'!L42&lt;=960), (-1)*('(橫掃)RX Mapping'!L42-960)+120,9999))))))))</f>
        <v>9999</v>
      </c>
      <c r="M42">
        <f>IF(AND('(橫掃)RX Mapping'!M42&gt;=1,'(橫掃)RX Mapping'!M42&lt;=120), ('(橫掃)RX Mapping'!M42-1),IF(AND('(橫掃)RX Mapping'!M42&gt;=121,'(橫掃)RX Mapping'!M42&lt;=240), (-1)*('(橫掃)RX Mapping'!M42-240),IF(AND('(橫掃)RX Mapping'!M42&gt;=241,'(橫掃)RX Mapping'!M42&lt;=360), ('(橫掃)RX Mapping'!M42-241),IF(AND('(橫掃)RX Mapping'!M42&gt;=361,'(橫掃)RX Mapping'!M42&lt;=480), (-1)*('(橫掃)RX Mapping'!M42-480),IF(AND('(橫掃)RX Mapping'!M42&gt;=481,'(橫掃)RX Mapping'!M42&lt;=600), ('(橫掃)RX Mapping'!M42-361),IF(AND('(橫掃)RX Mapping'!M42&gt;=601,'(橫掃)RX Mapping'!M42&lt;=720), (-1)*('(橫掃)RX Mapping'!M42-720)+120,IF(AND('(橫掃)RX Mapping'!M42&gt;=721,'(橫掃)RX Mapping'!M42&lt;=840), ('(橫掃)RX Mapping'!M42-601),IF(AND('(橫掃)RX Mapping'!M42&gt;=841,'(橫掃)RX Mapping'!M42&lt;=960), (-1)*('(橫掃)RX Mapping'!M42-960)+120,9999))))))))</f>
        <v>9999</v>
      </c>
      <c r="N42">
        <f>IF(AND('(橫掃)RX Mapping'!N42&gt;=1,'(橫掃)RX Mapping'!N42&lt;=120), ('(橫掃)RX Mapping'!N42-1),IF(AND('(橫掃)RX Mapping'!N42&gt;=121,'(橫掃)RX Mapping'!N42&lt;=240), (-1)*('(橫掃)RX Mapping'!N42-240),IF(AND('(橫掃)RX Mapping'!N42&gt;=241,'(橫掃)RX Mapping'!N42&lt;=360), ('(橫掃)RX Mapping'!N42-241),IF(AND('(橫掃)RX Mapping'!N42&gt;=361,'(橫掃)RX Mapping'!N42&lt;=480), (-1)*('(橫掃)RX Mapping'!N42-480),IF(AND('(橫掃)RX Mapping'!N42&gt;=481,'(橫掃)RX Mapping'!N42&lt;=600), ('(橫掃)RX Mapping'!N42-361),IF(AND('(橫掃)RX Mapping'!N42&gt;=601,'(橫掃)RX Mapping'!N42&lt;=720), (-1)*('(橫掃)RX Mapping'!N42-720)+120,IF(AND('(橫掃)RX Mapping'!N42&gt;=721,'(橫掃)RX Mapping'!N42&lt;=840), ('(橫掃)RX Mapping'!N42-601),IF(AND('(橫掃)RX Mapping'!N42&gt;=841,'(橫掃)RX Mapping'!N42&lt;=960), (-1)*('(橫掃)RX Mapping'!N42-960)+120,9999))))))))</f>
        <v>9999</v>
      </c>
      <c r="O42">
        <f>IF(AND('(橫掃)RX Mapping'!O42&gt;=1,'(橫掃)RX Mapping'!O42&lt;=120), ('(橫掃)RX Mapping'!O42-1),IF(AND('(橫掃)RX Mapping'!O42&gt;=121,'(橫掃)RX Mapping'!O42&lt;=240), (-1)*('(橫掃)RX Mapping'!O42-240),IF(AND('(橫掃)RX Mapping'!O42&gt;=241,'(橫掃)RX Mapping'!O42&lt;=360), ('(橫掃)RX Mapping'!O42-241),IF(AND('(橫掃)RX Mapping'!O42&gt;=361,'(橫掃)RX Mapping'!O42&lt;=480), (-1)*('(橫掃)RX Mapping'!O42-480),IF(AND('(橫掃)RX Mapping'!O42&gt;=481,'(橫掃)RX Mapping'!O42&lt;=600), ('(橫掃)RX Mapping'!O42-361),IF(AND('(橫掃)RX Mapping'!O42&gt;=601,'(橫掃)RX Mapping'!O42&lt;=720), (-1)*('(橫掃)RX Mapping'!O42-720)+120,IF(AND('(橫掃)RX Mapping'!O42&gt;=721,'(橫掃)RX Mapping'!O42&lt;=840), ('(橫掃)RX Mapping'!O42-601),IF(AND('(橫掃)RX Mapping'!O42&gt;=841,'(橫掃)RX Mapping'!O42&lt;=960), (-1)*('(橫掃)RX Mapping'!O42-960)+120,9999))))))))</f>
        <v>9999</v>
      </c>
      <c r="P42">
        <f>IF(AND('(橫掃)RX Mapping'!P42&gt;=1,'(橫掃)RX Mapping'!P42&lt;=120), ('(橫掃)RX Mapping'!P42-1),IF(AND('(橫掃)RX Mapping'!P42&gt;=121,'(橫掃)RX Mapping'!P42&lt;=240), (-1)*('(橫掃)RX Mapping'!P42-240),IF(AND('(橫掃)RX Mapping'!P42&gt;=241,'(橫掃)RX Mapping'!P42&lt;=360), ('(橫掃)RX Mapping'!P42-241),IF(AND('(橫掃)RX Mapping'!P42&gt;=361,'(橫掃)RX Mapping'!P42&lt;=480), (-1)*('(橫掃)RX Mapping'!P42-480),IF(AND('(橫掃)RX Mapping'!P42&gt;=481,'(橫掃)RX Mapping'!P42&lt;=600), ('(橫掃)RX Mapping'!P42-361),IF(AND('(橫掃)RX Mapping'!P42&gt;=601,'(橫掃)RX Mapping'!P42&lt;=720), (-1)*('(橫掃)RX Mapping'!P42-720)+120,IF(AND('(橫掃)RX Mapping'!P42&gt;=721,'(橫掃)RX Mapping'!P42&lt;=840), ('(橫掃)RX Mapping'!P42-601),IF(AND('(橫掃)RX Mapping'!P42&gt;=841,'(橫掃)RX Mapping'!P42&lt;=960), (-1)*('(橫掃)RX Mapping'!P42-960)+120,9999))))))))</f>
        <v>9999</v>
      </c>
      <c r="Q42">
        <f>IF(AND('(橫掃)RX Mapping'!Q42&gt;=1,'(橫掃)RX Mapping'!Q42&lt;=120), ('(橫掃)RX Mapping'!Q42-1),IF(AND('(橫掃)RX Mapping'!Q42&gt;=121,'(橫掃)RX Mapping'!Q42&lt;=240), (-1)*('(橫掃)RX Mapping'!Q42-240),IF(AND('(橫掃)RX Mapping'!Q42&gt;=241,'(橫掃)RX Mapping'!Q42&lt;=360), ('(橫掃)RX Mapping'!Q42-241),IF(AND('(橫掃)RX Mapping'!Q42&gt;=361,'(橫掃)RX Mapping'!Q42&lt;=480), (-1)*('(橫掃)RX Mapping'!Q42-480),IF(AND('(橫掃)RX Mapping'!Q42&gt;=481,'(橫掃)RX Mapping'!Q42&lt;=600), ('(橫掃)RX Mapping'!Q42-361),IF(AND('(橫掃)RX Mapping'!Q42&gt;=601,'(橫掃)RX Mapping'!Q42&lt;=720), (-1)*('(橫掃)RX Mapping'!Q42-720)+120,IF(AND('(橫掃)RX Mapping'!Q42&gt;=721,'(橫掃)RX Mapping'!Q42&lt;=840), ('(橫掃)RX Mapping'!Q42-601),IF(AND('(橫掃)RX Mapping'!Q42&gt;=841,'(橫掃)RX Mapping'!Q42&lt;=960), (-1)*('(橫掃)RX Mapping'!Q42-960)+120,9999))))))))</f>
        <v>9999</v>
      </c>
      <c r="R42">
        <f>IF(AND('(橫掃)RX Mapping'!R42&gt;=1,'(橫掃)RX Mapping'!R42&lt;=120), ('(橫掃)RX Mapping'!R42-1),IF(AND('(橫掃)RX Mapping'!R42&gt;=121,'(橫掃)RX Mapping'!R42&lt;=240), (-1)*('(橫掃)RX Mapping'!R42-240),IF(AND('(橫掃)RX Mapping'!R42&gt;=241,'(橫掃)RX Mapping'!R42&lt;=360), ('(橫掃)RX Mapping'!R42-241),IF(AND('(橫掃)RX Mapping'!R42&gt;=361,'(橫掃)RX Mapping'!R42&lt;=480), (-1)*('(橫掃)RX Mapping'!R42-480),IF(AND('(橫掃)RX Mapping'!R42&gt;=481,'(橫掃)RX Mapping'!R42&lt;=600), ('(橫掃)RX Mapping'!R42-361),IF(AND('(橫掃)RX Mapping'!R42&gt;=601,'(橫掃)RX Mapping'!R42&lt;=720), (-1)*('(橫掃)RX Mapping'!R42-720)+120,IF(AND('(橫掃)RX Mapping'!R42&gt;=721,'(橫掃)RX Mapping'!R42&lt;=840), ('(橫掃)RX Mapping'!R42-601),IF(AND('(橫掃)RX Mapping'!R42&gt;=841,'(橫掃)RX Mapping'!R42&lt;=960), (-1)*('(橫掃)RX Mapping'!R42-960)+120,9999))))))))</f>
        <v>9999</v>
      </c>
      <c r="S42">
        <f>IF(AND('(橫掃)RX Mapping'!S42&gt;=1,'(橫掃)RX Mapping'!S42&lt;=120), ('(橫掃)RX Mapping'!S42-1),IF(AND('(橫掃)RX Mapping'!S42&gt;=121,'(橫掃)RX Mapping'!S42&lt;=240), (-1)*('(橫掃)RX Mapping'!S42-240),IF(AND('(橫掃)RX Mapping'!S42&gt;=241,'(橫掃)RX Mapping'!S42&lt;=360), ('(橫掃)RX Mapping'!S42-241),IF(AND('(橫掃)RX Mapping'!S42&gt;=361,'(橫掃)RX Mapping'!S42&lt;=480), (-1)*('(橫掃)RX Mapping'!S42-480),IF(AND('(橫掃)RX Mapping'!S42&gt;=481,'(橫掃)RX Mapping'!S42&lt;=600), ('(橫掃)RX Mapping'!S42-361),IF(AND('(橫掃)RX Mapping'!S42&gt;=601,'(橫掃)RX Mapping'!S42&lt;=720), (-1)*('(橫掃)RX Mapping'!S42-720)+120,IF(AND('(橫掃)RX Mapping'!S42&gt;=721,'(橫掃)RX Mapping'!S42&lt;=840), ('(橫掃)RX Mapping'!S42-601),IF(AND('(橫掃)RX Mapping'!S42&gt;=841,'(橫掃)RX Mapping'!S42&lt;=960), (-1)*('(橫掃)RX Mapping'!S42-960)+120,9999))))))))</f>
        <v>9999</v>
      </c>
      <c r="T42">
        <f>IF(AND('(橫掃)RX Mapping'!T42&gt;=1,'(橫掃)RX Mapping'!T42&lt;=120), ('(橫掃)RX Mapping'!T42-1),IF(AND('(橫掃)RX Mapping'!T42&gt;=121,'(橫掃)RX Mapping'!T42&lt;=240), (-1)*('(橫掃)RX Mapping'!T42-240),IF(AND('(橫掃)RX Mapping'!T42&gt;=241,'(橫掃)RX Mapping'!T42&lt;=360), ('(橫掃)RX Mapping'!T42-241),IF(AND('(橫掃)RX Mapping'!T42&gt;=361,'(橫掃)RX Mapping'!T42&lt;=480), (-1)*('(橫掃)RX Mapping'!T42-480),IF(AND('(橫掃)RX Mapping'!T42&gt;=481,'(橫掃)RX Mapping'!T42&lt;=600), ('(橫掃)RX Mapping'!T42-361),IF(AND('(橫掃)RX Mapping'!T42&gt;=601,'(橫掃)RX Mapping'!T42&lt;=720), (-1)*('(橫掃)RX Mapping'!T42-720)+120,IF(AND('(橫掃)RX Mapping'!T42&gt;=721,'(橫掃)RX Mapping'!T42&lt;=840), ('(橫掃)RX Mapping'!T42-601),IF(AND('(橫掃)RX Mapping'!T42&gt;=841,'(橫掃)RX Mapping'!T42&lt;=960), (-1)*('(橫掃)RX Mapping'!T42-960)+120,9999))))))))</f>
        <v>9999</v>
      </c>
      <c r="U42">
        <f>IF(AND('(橫掃)RX Mapping'!U42&gt;=1,'(橫掃)RX Mapping'!U42&lt;=120), ('(橫掃)RX Mapping'!U42-1),IF(AND('(橫掃)RX Mapping'!U42&gt;=121,'(橫掃)RX Mapping'!U42&lt;=240), (-1)*('(橫掃)RX Mapping'!U42-240),IF(AND('(橫掃)RX Mapping'!U42&gt;=241,'(橫掃)RX Mapping'!U42&lt;=360), ('(橫掃)RX Mapping'!U42-241),IF(AND('(橫掃)RX Mapping'!U42&gt;=361,'(橫掃)RX Mapping'!U42&lt;=480), (-1)*('(橫掃)RX Mapping'!U42-480),IF(AND('(橫掃)RX Mapping'!U42&gt;=481,'(橫掃)RX Mapping'!U42&lt;=600), ('(橫掃)RX Mapping'!U42-361),IF(AND('(橫掃)RX Mapping'!U42&gt;=601,'(橫掃)RX Mapping'!U42&lt;=720), (-1)*('(橫掃)RX Mapping'!U42-720)+120,IF(AND('(橫掃)RX Mapping'!U42&gt;=721,'(橫掃)RX Mapping'!U42&lt;=840), ('(橫掃)RX Mapping'!U42-601),IF(AND('(橫掃)RX Mapping'!U42&gt;=841,'(橫掃)RX Mapping'!U42&lt;=960), (-1)*('(橫掃)RX Mapping'!U42-960)+120,9999))))))))</f>
        <v>9999</v>
      </c>
      <c r="V42">
        <f>IF(AND('(橫掃)RX Mapping'!V42&gt;=1,'(橫掃)RX Mapping'!V42&lt;=120), ('(橫掃)RX Mapping'!V42-1),IF(AND('(橫掃)RX Mapping'!V42&gt;=121,'(橫掃)RX Mapping'!V42&lt;=240), (-1)*('(橫掃)RX Mapping'!V42-240),IF(AND('(橫掃)RX Mapping'!V42&gt;=241,'(橫掃)RX Mapping'!V42&lt;=360), ('(橫掃)RX Mapping'!V42-241),IF(AND('(橫掃)RX Mapping'!V42&gt;=361,'(橫掃)RX Mapping'!V42&lt;=480), (-1)*('(橫掃)RX Mapping'!V42-480),IF(AND('(橫掃)RX Mapping'!V42&gt;=481,'(橫掃)RX Mapping'!V42&lt;=600), ('(橫掃)RX Mapping'!V42-361),IF(AND('(橫掃)RX Mapping'!V42&gt;=601,'(橫掃)RX Mapping'!V42&lt;=720), (-1)*('(橫掃)RX Mapping'!V42-720)+120,IF(AND('(橫掃)RX Mapping'!V42&gt;=721,'(橫掃)RX Mapping'!V42&lt;=840), ('(橫掃)RX Mapping'!V42-601),IF(AND('(橫掃)RX Mapping'!V42&gt;=841,'(橫掃)RX Mapping'!V42&lt;=960), (-1)*('(橫掃)RX Mapping'!V42-960)+120,9999))))))))</f>
        <v>9999</v>
      </c>
      <c r="W42">
        <f>IF(AND('(橫掃)RX Mapping'!W42&gt;=1,'(橫掃)RX Mapping'!W42&lt;=120), ('(橫掃)RX Mapping'!W42-1),IF(AND('(橫掃)RX Mapping'!W42&gt;=121,'(橫掃)RX Mapping'!W42&lt;=240), (-1)*('(橫掃)RX Mapping'!W42-240),IF(AND('(橫掃)RX Mapping'!W42&gt;=241,'(橫掃)RX Mapping'!W42&lt;=360), ('(橫掃)RX Mapping'!W42-241),IF(AND('(橫掃)RX Mapping'!W42&gt;=361,'(橫掃)RX Mapping'!W42&lt;=480), (-1)*('(橫掃)RX Mapping'!W42-480),IF(AND('(橫掃)RX Mapping'!W42&gt;=481,'(橫掃)RX Mapping'!W42&lt;=600), ('(橫掃)RX Mapping'!W42-361),IF(AND('(橫掃)RX Mapping'!W42&gt;=601,'(橫掃)RX Mapping'!W42&lt;=720), (-1)*('(橫掃)RX Mapping'!W42-720)+120,IF(AND('(橫掃)RX Mapping'!W42&gt;=721,'(橫掃)RX Mapping'!W42&lt;=840), ('(橫掃)RX Mapping'!W42-601),IF(AND('(橫掃)RX Mapping'!W42&gt;=841,'(橫掃)RX Mapping'!W42&lt;=960), (-1)*('(橫掃)RX Mapping'!W42-960)+120,9999))))))))</f>
        <v>9999</v>
      </c>
      <c r="X42">
        <f>IF(AND('(橫掃)RX Mapping'!X42&gt;=1,'(橫掃)RX Mapping'!X42&lt;=120), ('(橫掃)RX Mapping'!X42-1),IF(AND('(橫掃)RX Mapping'!X42&gt;=121,'(橫掃)RX Mapping'!X42&lt;=240), (-1)*('(橫掃)RX Mapping'!X42-240),IF(AND('(橫掃)RX Mapping'!X42&gt;=241,'(橫掃)RX Mapping'!X42&lt;=360), ('(橫掃)RX Mapping'!X42-241),IF(AND('(橫掃)RX Mapping'!X42&gt;=361,'(橫掃)RX Mapping'!X42&lt;=480), (-1)*('(橫掃)RX Mapping'!X42-480),IF(AND('(橫掃)RX Mapping'!X42&gt;=481,'(橫掃)RX Mapping'!X42&lt;=600), ('(橫掃)RX Mapping'!X42-361),IF(AND('(橫掃)RX Mapping'!X42&gt;=601,'(橫掃)RX Mapping'!X42&lt;=720), (-1)*('(橫掃)RX Mapping'!X42-720)+120,IF(AND('(橫掃)RX Mapping'!X42&gt;=721,'(橫掃)RX Mapping'!X42&lt;=840), ('(橫掃)RX Mapping'!X42-601),IF(AND('(橫掃)RX Mapping'!X42&gt;=841,'(橫掃)RX Mapping'!X42&lt;=960), (-1)*('(橫掃)RX Mapping'!X42-960)+120,9999))))))))</f>
        <v>9999</v>
      </c>
      <c r="Y42">
        <f>IF(AND('(橫掃)RX Mapping'!Y42&gt;=1,'(橫掃)RX Mapping'!Y42&lt;=120), ('(橫掃)RX Mapping'!Y42-1),IF(AND('(橫掃)RX Mapping'!Y42&gt;=121,'(橫掃)RX Mapping'!Y42&lt;=240), (-1)*('(橫掃)RX Mapping'!Y42-240),IF(AND('(橫掃)RX Mapping'!Y42&gt;=241,'(橫掃)RX Mapping'!Y42&lt;=360), ('(橫掃)RX Mapping'!Y42-241),IF(AND('(橫掃)RX Mapping'!Y42&gt;=361,'(橫掃)RX Mapping'!Y42&lt;=480), (-1)*('(橫掃)RX Mapping'!Y42-480),IF(AND('(橫掃)RX Mapping'!Y42&gt;=481,'(橫掃)RX Mapping'!Y42&lt;=600), ('(橫掃)RX Mapping'!Y42-361),IF(AND('(橫掃)RX Mapping'!Y42&gt;=601,'(橫掃)RX Mapping'!Y42&lt;=720), (-1)*('(橫掃)RX Mapping'!Y42-720)+120,IF(AND('(橫掃)RX Mapping'!Y42&gt;=721,'(橫掃)RX Mapping'!Y42&lt;=840), ('(橫掃)RX Mapping'!Y42-601),IF(AND('(橫掃)RX Mapping'!Y42&gt;=841,'(橫掃)RX Mapping'!Y42&lt;=960), (-1)*('(橫掃)RX Mapping'!Y42-960)+120,9999))))))))</f>
        <v>9999</v>
      </c>
      <c r="Z42">
        <f>IF(AND('(橫掃)RX Mapping'!Z42&gt;=1,'(橫掃)RX Mapping'!Z42&lt;=120), ('(橫掃)RX Mapping'!Z42-1),IF(AND('(橫掃)RX Mapping'!Z42&gt;=121,'(橫掃)RX Mapping'!Z42&lt;=240), (-1)*('(橫掃)RX Mapping'!Z42-240),IF(AND('(橫掃)RX Mapping'!Z42&gt;=241,'(橫掃)RX Mapping'!Z42&lt;=360), ('(橫掃)RX Mapping'!Z42-241),IF(AND('(橫掃)RX Mapping'!Z42&gt;=361,'(橫掃)RX Mapping'!Z42&lt;=480), (-1)*('(橫掃)RX Mapping'!Z42-480),IF(AND('(橫掃)RX Mapping'!Z42&gt;=481,'(橫掃)RX Mapping'!Z42&lt;=600), ('(橫掃)RX Mapping'!Z42-361),IF(AND('(橫掃)RX Mapping'!Z42&gt;=601,'(橫掃)RX Mapping'!Z42&lt;=720), (-1)*('(橫掃)RX Mapping'!Z42-720)+120,IF(AND('(橫掃)RX Mapping'!Z42&gt;=721,'(橫掃)RX Mapping'!Z42&lt;=840), ('(橫掃)RX Mapping'!Z42-601),IF(AND('(橫掃)RX Mapping'!Z42&gt;=841,'(橫掃)RX Mapping'!Z42&lt;=960), (-1)*('(橫掃)RX Mapping'!Z42-960)+120,9999))))))))</f>
        <v>9999</v>
      </c>
      <c r="AA42">
        <f>IF(AND('(橫掃)RX Mapping'!AA42&gt;=1,'(橫掃)RX Mapping'!AA42&lt;=120), ('(橫掃)RX Mapping'!AA42-1),IF(AND('(橫掃)RX Mapping'!AA42&gt;=121,'(橫掃)RX Mapping'!AA42&lt;=240), (-1)*('(橫掃)RX Mapping'!AA42-240),IF(AND('(橫掃)RX Mapping'!AA42&gt;=241,'(橫掃)RX Mapping'!AA42&lt;=360), ('(橫掃)RX Mapping'!AA42-241),IF(AND('(橫掃)RX Mapping'!AA42&gt;=361,'(橫掃)RX Mapping'!AA42&lt;=480), (-1)*('(橫掃)RX Mapping'!AA42-480),IF(AND('(橫掃)RX Mapping'!AA42&gt;=481,'(橫掃)RX Mapping'!AA42&lt;=600), ('(橫掃)RX Mapping'!AA42-361),IF(AND('(橫掃)RX Mapping'!AA42&gt;=601,'(橫掃)RX Mapping'!AA42&lt;=720), (-1)*('(橫掃)RX Mapping'!AA42-720)+120,IF(AND('(橫掃)RX Mapping'!AA42&gt;=721,'(橫掃)RX Mapping'!AA42&lt;=840), ('(橫掃)RX Mapping'!AA42-601),IF(AND('(橫掃)RX Mapping'!AA42&gt;=841,'(橫掃)RX Mapping'!AA42&lt;=960), (-1)*('(橫掃)RX Mapping'!AA42-960)+120,9999))))))))</f>
        <v>9999</v>
      </c>
      <c r="AB42">
        <f>IF(AND('(橫掃)RX Mapping'!AB42&gt;=1,'(橫掃)RX Mapping'!AB42&lt;=120), ('(橫掃)RX Mapping'!AB42-1),IF(AND('(橫掃)RX Mapping'!AB42&gt;=121,'(橫掃)RX Mapping'!AB42&lt;=240), (-1)*('(橫掃)RX Mapping'!AB42-240),IF(AND('(橫掃)RX Mapping'!AB42&gt;=241,'(橫掃)RX Mapping'!AB42&lt;=360), ('(橫掃)RX Mapping'!AB42-241),IF(AND('(橫掃)RX Mapping'!AB42&gt;=361,'(橫掃)RX Mapping'!AB42&lt;=480), (-1)*('(橫掃)RX Mapping'!AB42-480),IF(AND('(橫掃)RX Mapping'!AB42&gt;=481,'(橫掃)RX Mapping'!AB42&lt;=600), ('(橫掃)RX Mapping'!AB42-361),IF(AND('(橫掃)RX Mapping'!AB42&gt;=601,'(橫掃)RX Mapping'!AB42&lt;=720), (-1)*('(橫掃)RX Mapping'!AB42-720)+120,IF(AND('(橫掃)RX Mapping'!AB42&gt;=721,'(橫掃)RX Mapping'!AB42&lt;=840), ('(橫掃)RX Mapping'!AB42-601),IF(AND('(橫掃)RX Mapping'!AB42&gt;=841,'(橫掃)RX Mapping'!AB42&lt;=960), (-1)*('(橫掃)RX Mapping'!AB42-960)+120,9999))))))))</f>
        <v>9999</v>
      </c>
      <c r="AC42">
        <f>IF(AND('(橫掃)RX Mapping'!AC42&gt;=1,'(橫掃)RX Mapping'!AC42&lt;=120), ('(橫掃)RX Mapping'!AC42-1),IF(AND('(橫掃)RX Mapping'!AC42&gt;=121,'(橫掃)RX Mapping'!AC42&lt;=240), (-1)*('(橫掃)RX Mapping'!AC42-240),IF(AND('(橫掃)RX Mapping'!AC42&gt;=241,'(橫掃)RX Mapping'!AC42&lt;=360), ('(橫掃)RX Mapping'!AC42-241),IF(AND('(橫掃)RX Mapping'!AC42&gt;=361,'(橫掃)RX Mapping'!AC42&lt;=480), (-1)*('(橫掃)RX Mapping'!AC42-480),IF(AND('(橫掃)RX Mapping'!AC42&gt;=481,'(橫掃)RX Mapping'!AC42&lt;=600), ('(橫掃)RX Mapping'!AC42-361),IF(AND('(橫掃)RX Mapping'!AC42&gt;=601,'(橫掃)RX Mapping'!AC42&lt;=720), (-1)*('(橫掃)RX Mapping'!AC42-720)+120,IF(AND('(橫掃)RX Mapping'!AC42&gt;=721,'(橫掃)RX Mapping'!AC42&lt;=840), ('(橫掃)RX Mapping'!AC42-601),IF(AND('(橫掃)RX Mapping'!AC42&gt;=841,'(橫掃)RX Mapping'!AC42&lt;=960), (-1)*('(橫掃)RX Mapping'!AC42-960)+120,9999))))))))</f>
        <v>9999</v>
      </c>
      <c r="AD42">
        <f>IF(AND('(橫掃)RX Mapping'!AD42&gt;=1,'(橫掃)RX Mapping'!AD42&lt;=120), ('(橫掃)RX Mapping'!AD42-1),IF(AND('(橫掃)RX Mapping'!AD42&gt;=121,'(橫掃)RX Mapping'!AD42&lt;=240), (-1)*('(橫掃)RX Mapping'!AD42-240),IF(AND('(橫掃)RX Mapping'!AD42&gt;=241,'(橫掃)RX Mapping'!AD42&lt;=360), ('(橫掃)RX Mapping'!AD42-241),IF(AND('(橫掃)RX Mapping'!AD42&gt;=361,'(橫掃)RX Mapping'!AD42&lt;=480), (-1)*('(橫掃)RX Mapping'!AD42-480),IF(AND('(橫掃)RX Mapping'!AD42&gt;=481,'(橫掃)RX Mapping'!AD42&lt;=600), ('(橫掃)RX Mapping'!AD42-361),IF(AND('(橫掃)RX Mapping'!AD42&gt;=601,'(橫掃)RX Mapping'!AD42&lt;=720), (-1)*('(橫掃)RX Mapping'!AD42-720)+120,IF(AND('(橫掃)RX Mapping'!AD42&gt;=721,'(橫掃)RX Mapping'!AD42&lt;=840), ('(橫掃)RX Mapping'!AD42-601),IF(AND('(橫掃)RX Mapping'!AD42&gt;=841,'(橫掃)RX Mapping'!AD42&lt;=960), (-1)*('(橫掃)RX Mapping'!AD42-960)+120,9999))))))))</f>
        <v>9999</v>
      </c>
      <c r="AE42">
        <f>IF(AND('(橫掃)RX Mapping'!AE42&gt;=1,'(橫掃)RX Mapping'!AE42&lt;=120), ('(橫掃)RX Mapping'!AE42-1),IF(AND('(橫掃)RX Mapping'!AE42&gt;=121,'(橫掃)RX Mapping'!AE42&lt;=240), (-1)*('(橫掃)RX Mapping'!AE42-240),IF(AND('(橫掃)RX Mapping'!AE42&gt;=241,'(橫掃)RX Mapping'!AE42&lt;=360), ('(橫掃)RX Mapping'!AE42-241),IF(AND('(橫掃)RX Mapping'!AE42&gt;=361,'(橫掃)RX Mapping'!AE42&lt;=480), (-1)*('(橫掃)RX Mapping'!AE42-480),IF(AND('(橫掃)RX Mapping'!AE42&gt;=481,'(橫掃)RX Mapping'!AE42&lt;=600), ('(橫掃)RX Mapping'!AE42-361),IF(AND('(橫掃)RX Mapping'!AE42&gt;=601,'(橫掃)RX Mapping'!AE42&lt;=720), (-1)*('(橫掃)RX Mapping'!AE42-720)+120,IF(AND('(橫掃)RX Mapping'!AE42&gt;=721,'(橫掃)RX Mapping'!AE42&lt;=840), ('(橫掃)RX Mapping'!AE42-601),IF(AND('(橫掃)RX Mapping'!AE42&gt;=841,'(橫掃)RX Mapping'!AE42&lt;=960), (-1)*('(橫掃)RX Mapping'!AE42-960)+120,9999))))))))</f>
        <v>9999</v>
      </c>
      <c r="AF42">
        <f>IF(AND('(橫掃)RX Mapping'!AF42&gt;=1,'(橫掃)RX Mapping'!AF42&lt;=120), ('(橫掃)RX Mapping'!AF42-1),IF(AND('(橫掃)RX Mapping'!AF42&gt;=121,'(橫掃)RX Mapping'!AF42&lt;=240), (-1)*('(橫掃)RX Mapping'!AF42-240),IF(AND('(橫掃)RX Mapping'!AF42&gt;=241,'(橫掃)RX Mapping'!AF42&lt;=360), ('(橫掃)RX Mapping'!AF42-241),IF(AND('(橫掃)RX Mapping'!AF42&gt;=361,'(橫掃)RX Mapping'!AF42&lt;=480), (-1)*('(橫掃)RX Mapping'!AF42-480),IF(AND('(橫掃)RX Mapping'!AF42&gt;=481,'(橫掃)RX Mapping'!AF42&lt;=600), ('(橫掃)RX Mapping'!AF42-361),IF(AND('(橫掃)RX Mapping'!AF42&gt;=601,'(橫掃)RX Mapping'!AF42&lt;=720), (-1)*('(橫掃)RX Mapping'!AF42-720)+120,IF(AND('(橫掃)RX Mapping'!AF42&gt;=721,'(橫掃)RX Mapping'!AF42&lt;=840), ('(橫掃)RX Mapping'!AF42-601),IF(AND('(橫掃)RX Mapping'!AF42&gt;=841,'(橫掃)RX Mapping'!AF42&lt;=960), (-1)*('(橫掃)RX Mapping'!AF42-960)+120,9999))))))))</f>
        <v>9999</v>
      </c>
      <c r="AG42">
        <f>IF(AND('(橫掃)RX Mapping'!AG42&gt;=1,'(橫掃)RX Mapping'!AG42&lt;=120), ('(橫掃)RX Mapping'!AG42-1),IF(AND('(橫掃)RX Mapping'!AG42&gt;=121,'(橫掃)RX Mapping'!AG42&lt;=240), (-1)*('(橫掃)RX Mapping'!AG42-240),IF(AND('(橫掃)RX Mapping'!AG42&gt;=241,'(橫掃)RX Mapping'!AG42&lt;=360), ('(橫掃)RX Mapping'!AG42-241),IF(AND('(橫掃)RX Mapping'!AG42&gt;=361,'(橫掃)RX Mapping'!AG42&lt;=480), (-1)*('(橫掃)RX Mapping'!AG42-480),IF(AND('(橫掃)RX Mapping'!AG42&gt;=481,'(橫掃)RX Mapping'!AG42&lt;=600), ('(橫掃)RX Mapping'!AG42-361),IF(AND('(橫掃)RX Mapping'!AG42&gt;=601,'(橫掃)RX Mapping'!AG42&lt;=720), (-1)*('(橫掃)RX Mapping'!AG42-720)+120,IF(AND('(橫掃)RX Mapping'!AG42&gt;=721,'(橫掃)RX Mapping'!AG42&lt;=840), ('(橫掃)RX Mapping'!AG42-601),IF(AND('(橫掃)RX Mapping'!AG42&gt;=841,'(橫掃)RX Mapping'!AG42&lt;=960), (-1)*('(橫掃)RX Mapping'!AG42-960)+120,9999))))))))</f>
        <v>9999</v>
      </c>
      <c r="AH42">
        <f>IF(AND('(橫掃)RX Mapping'!AH42&gt;=1,'(橫掃)RX Mapping'!AH42&lt;=120), ('(橫掃)RX Mapping'!AH42-1),IF(AND('(橫掃)RX Mapping'!AH42&gt;=121,'(橫掃)RX Mapping'!AH42&lt;=240), (-1)*('(橫掃)RX Mapping'!AH42-240),IF(AND('(橫掃)RX Mapping'!AH42&gt;=241,'(橫掃)RX Mapping'!AH42&lt;=360), ('(橫掃)RX Mapping'!AH42-241),IF(AND('(橫掃)RX Mapping'!AH42&gt;=361,'(橫掃)RX Mapping'!AH42&lt;=480), (-1)*('(橫掃)RX Mapping'!AH42-480),IF(AND('(橫掃)RX Mapping'!AH42&gt;=481,'(橫掃)RX Mapping'!AH42&lt;=600), ('(橫掃)RX Mapping'!AH42-361),IF(AND('(橫掃)RX Mapping'!AH42&gt;=601,'(橫掃)RX Mapping'!AH42&lt;=720), (-1)*('(橫掃)RX Mapping'!AH42-720)+120,IF(AND('(橫掃)RX Mapping'!AH42&gt;=721,'(橫掃)RX Mapping'!AH42&lt;=840), ('(橫掃)RX Mapping'!AH42-601),IF(AND('(橫掃)RX Mapping'!AH42&gt;=841,'(橫掃)RX Mapping'!AH42&lt;=960), (-1)*('(橫掃)RX Mapping'!AH42-960)+120,9999))))))))</f>
        <v>9999</v>
      </c>
      <c r="AI42">
        <f>IF(AND('(橫掃)RX Mapping'!AI42&gt;=1,'(橫掃)RX Mapping'!AI42&lt;=120), ('(橫掃)RX Mapping'!AI42-1),IF(AND('(橫掃)RX Mapping'!AI42&gt;=121,'(橫掃)RX Mapping'!AI42&lt;=240), (-1)*('(橫掃)RX Mapping'!AI42-240),IF(AND('(橫掃)RX Mapping'!AI42&gt;=241,'(橫掃)RX Mapping'!AI42&lt;=360), ('(橫掃)RX Mapping'!AI42-241),IF(AND('(橫掃)RX Mapping'!AI42&gt;=361,'(橫掃)RX Mapping'!AI42&lt;=480), (-1)*('(橫掃)RX Mapping'!AI42-480),IF(AND('(橫掃)RX Mapping'!AI42&gt;=481,'(橫掃)RX Mapping'!AI42&lt;=600), ('(橫掃)RX Mapping'!AI42-361),IF(AND('(橫掃)RX Mapping'!AI42&gt;=601,'(橫掃)RX Mapping'!AI42&lt;=720), (-1)*('(橫掃)RX Mapping'!AI42-720)+120,IF(AND('(橫掃)RX Mapping'!AI42&gt;=721,'(橫掃)RX Mapping'!AI42&lt;=840), ('(橫掃)RX Mapping'!AI42-601),IF(AND('(橫掃)RX Mapping'!AI42&gt;=841,'(橫掃)RX Mapping'!AI42&lt;=960), (-1)*('(橫掃)RX Mapping'!AI42-960)+120,9999))))))))</f>
        <v>9999</v>
      </c>
      <c r="AJ42">
        <f>IF(AND('(橫掃)RX Mapping'!AJ42&gt;=1,'(橫掃)RX Mapping'!AJ42&lt;=120), ('(橫掃)RX Mapping'!AJ42-1),IF(AND('(橫掃)RX Mapping'!AJ42&gt;=121,'(橫掃)RX Mapping'!AJ42&lt;=240), (-1)*('(橫掃)RX Mapping'!AJ42-240),IF(AND('(橫掃)RX Mapping'!AJ42&gt;=241,'(橫掃)RX Mapping'!AJ42&lt;=360), ('(橫掃)RX Mapping'!AJ42-241),IF(AND('(橫掃)RX Mapping'!AJ42&gt;=361,'(橫掃)RX Mapping'!AJ42&lt;=480), (-1)*('(橫掃)RX Mapping'!AJ42-480),IF(AND('(橫掃)RX Mapping'!AJ42&gt;=481,'(橫掃)RX Mapping'!AJ42&lt;=600), ('(橫掃)RX Mapping'!AJ42-361),IF(AND('(橫掃)RX Mapping'!AJ42&gt;=601,'(橫掃)RX Mapping'!AJ42&lt;=720), (-1)*('(橫掃)RX Mapping'!AJ42-720)+120,IF(AND('(橫掃)RX Mapping'!AJ42&gt;=721,'(橫掃)RX Mapping'!AJ42&lt;=840), ('(橫掃)RX Mapping'!AJ42-601),IF(AND('(橫掃)RX Mapping'!AJ42&gt;=841,'(橫掃)RX Mapping'!AJ42&lt;=960), (-1)*('(橫掃)RX Mapping'!AJ42-960)+120,9999))))))))</f>
        <v>9999</v>
      </c>
      <c r="AK42">
        <f>IF(AND('(橫掃)RX Mapping'!AK42&gt;=1,'(橫掃)RX Mapping'!AK42&lt;=120), ('(橫掃)RX Mapping'!AK42-1),IF(AND('(橫掃)RX Mapping'!AK42&gt;=121,'(橫掃)RX Mapping'!AK42&lt;=240), (-1)*('(橫掃)RX Mapping'!AK42-240),IF(AND('(橫掃)RX Mapping'!AK42&gt;=241,'(橫掃)RX Mapping'!AK42&lt;=360), ('(橫掃)RX Mapping'!AK42-241),IF(AND('(橫掃)RX Mapping'!AK42&gt;=361,'(橫掃)RX Mapping'!AK42&lt;=480), (-1)*('(橫掃)RX Mapping'!AK42-480),IF(AND('(橫掃)RX Mapping'!AK42&gt;=481,'(橫掃)RX Mapping'!AK42&lt;=600), ('(橫掃)RX Mapping'!AK42-361),IF(AND('(橫掃)RX Mapping'!AK42&gt;=601,'(橫掃)RX Mapping'!AK42&lt;=720), (-1)*('(橫掃)RX Mapping'!AK42-720)+120,IF(AND('(橫掃)RX Mapping'!AK42&gt;=721,'(橫掃)RX Mapping'!AK42&lt;=840), ('(橫掃)RX Mapping'!AK42-601),IF(AND('(橫掃)RX Mapping'!AK42&gt;=841,'(橫掃)RX Mapping'!AK42&lt;=960), (-1)*('(橫掃)RX Mapping'!AK42-960)+120,9999))))))))</f>
        <v>9999</v>
      </c>
      <c r="AL42">
        <f>IF(AND('(橫掃)RX Mapping'!AL42&gt;=1,'(橫掃)RX Mapping'!AL42&lt;=120), ('(橫掃)RX Mapping'!AL42-1),IF(AND('(橫掃)RX Mapping'!AL42&gt;=121,'(橫掃)RX Mapping'!AL42&lt;=240), (-1)*('(橫掃)RX Mapping'!AL42-240),IF(AND('(橫掃)RX Mapping'!AL42&gt;=241,'(橫掃)RX Mapping'!AL42&lt;=360), ('(橫掃)RX Mapping'!AL42-241),IF(AND('(橫掃)RX Mapping'!AL42&gt;=361,'(橫掃)RX Mapping'!AL42&lt;=480), (-1)*('(橫掃)RX Mapping'!AL42-480),IF(AND('(橫掃)RX Mapping'!AL42&gt;=481,'(橫掃)RX Mapping'!AL42&lt;=600), ('(橫掃)RX Mapping'!AL42-361),IF(AND('(橫掃)RX Mapping'!AL42&gt;=601,'(橫掃)RX Mapping'!AL42&lt;=720), (-1)*('(橫掃)RX Mapping'!AL42-720)+120,IF(AND('(橫掃)RX Mapping'!AL42&gt;=721,'(橫掃)RX Mapping'!AL42&lt;=840), ('(橫掃)RX Mapping'!AL42-601),IF(AND('(橫掃)RX Mapping'!AL42&gt;=841,'(橫掃)RX Mapping'!AL42&lt;=960), (-1)*('(橫掃)RX Mapping'!AL42-960)+120,9999))))))))</f>
        <v>9999</v>
      </c>
      <c r="AM42">
        <f>IF(AND('(橫掃)RX Mapping'!AM42&gt;=1,'(橫掃)RX Mapping'!AM42&lt;=120), ('(橫掃)RX Mapping'!AM42-1),IF(AND('(橫掃)RX Mapping'!AM42&gt;=121,'(橫掃)RX Mapping'!AM42&lt;=240), (-1)*('(橫掃)RX Mapping'!AM42-240),IF(AND('(橫掃)RX Mapping'!AM42&gt;=241,'(橫掃)RX Mapping'!AM42&lt;=360), ('(橫掃)RX Mapping'!AM42-241),IF(AND('(橫掃)RX Mapping'!AM42&gt;=361,'(橫掃)RX Mapping'!AM42&lt;=480), (-1)*('(橫掃)RX Mapping'!AM42-480),IF(AND('(橫掃)RX Mapping'!AM42&gt;=481,'(橫掃)RX Mapping'!AM42&lt;=600), ('(橫掃)RX Mapping'!AM42-361),IF(AND('(橫掃)RX Mapping'!AM42&gt;=601,'(橫掃)RX Mapping'!AM42&lt;=720), (-1)*('(橫掃)RX Mapping'!AM42-720)+120,IF(AND('(橫掃)RX Mapping'!AM42&gt;=721,'(橫掃)RX Mapping'!AM42&lt;=840), ('(橫掃)RX Mapping'!AM42-601),IF(AND('(橫掃)RX Mapping'!AM42&gt;=841,'(橫掃)RX Mapping'!AM42&lt;=960), (-1)*('(橫掃)RX Mapping'!AM42-960)+120,9999))))))))</f>
        <v>9999</v>
      </c>
      <c r="AN42">
        <f>IF(AND('(橫掃)RX Mapping'!AN42&gt;=1,'(橫掃)RX Mapping'!AN42&lt;=120), ('(橫掃)RX Mapping'!AN42-1),IF(AND('(橫掃)RX Mapping'!AN42&gt;=121,'(橫掃)RX Mapping'!AN42&lt;=240), (-1)*('(橫掃)RX Mapping'!AN42-240),IF(AND('(橫掃)RX Mapping'!AN42&gt;=241,'(橫掃)RX Mapping'!AN42&lt;=360), ('(橫掃)RX Mapping'!AN42-241),IF(AND('(橫掃)RX Mapping'!AN42&gt;=361,'(橫掃)RX Mapping'!AN42&lt;=480), (-1)*('(橫掃)RX Mapping'!AN42-480),IF(AND('(橫掃)RX Mapping'!AN42&gt;=481,'(橫掃)RX Mapping'!AN42&lt;=600), ('(橫掃)RX Mapping'!AN42-361),IF(AND('(橫掃)RX Mapping'!AN42&gt;=601,'(橫掃)RX Mapping'!AN42&lt;=720), (-1)*('(橫掃)RX Mapping'!AN42-720)+120,IF(AND('(橫掃)RX Mapping'!AN42&gt;=721,'(橫掃)RX Mapping'!AN42&lt;=840), ('(橫掃)RX Mapping'!AN42-601),IF(AND('(橫掃)RX Mapping'!AN42&gt;=841,'(橫掃)RX Mapping'!AN42&lt;=960), (-1)*('(橫掃)RX Mapping'!AN42-960)+120,9999))))))))</f>
        <v>9999</v>
      </c>
      <c r="AO42">
        <f>IF(AND('(橫掃)RX Mapping'!AO42&gt;=1,'(橫掃)RX Mapping'!AO42&lt;=120), ('(橫掃)RX Mapping'!AO42-1),IF(AND('(橫掃)RX Mapping'!AO42&gt;=121,'(橫掃)RX Mapping'!AO42&lt;=240), (-1)*('(橫掃)RX Mapping'!AO42-240),IF(AND('(橫掃)RX Mapping'!AO42&gt;=241,'(橫掃)RX Mapping'!AO42&lt;=360), ('(橫掃)RX Mapping'!AO42-241),IF(AND('(橫掃)RX Mapping'!AO42&gt;=361,'(橫掃)RX Mapping'!AO42&lt;=480), (-1)*('(橫掃)RX Mapping'!AO42-480),IF(AND('(橫掃)RX Mapping'!AO42&gt;=481,'(橫掃)RX Mapping'!AO42&lt;=600), ('(橫掃)RX Mapping'!AO42-361),IF(AND('(橫掃)RX Mapping'!AO42&gt;=601,'(橫掃)RX Mapping'!AO42&lt;=720), (-1)*('(橫掃)RX Mapping'!AO42-720)+120,IF(AND('(橫掃)RX Mapping'!AO42&gt;=721,'(橫掃)RX Mapping'!AO42&lt;=840), ('(橫掃)RX Mapping'!AO42-601),IF(AND('(橫掃)RX Mapping'!AO42&gt;=841,'(橫掃)RX Mapping'!AO42&lt;=960), (-1)*('(橫掃)RX Mapping'!AO42-960)+120,9999))))))))</f>
        <v>9999</v>
      </c>
      <c r="AP42">
        <f>IF(AND('(橫掃)RX Mapping'!AP42&gt;=1,'(橫掃)RX Mapping'!AP42&lt;=120), ('(橫掃)RX Mapping'!AP42-1),IF(AND('(橫掃)RX Mapping'!AP42&gt;=121,'(橫掃)RX Mapping'!AP42&lt;=240), (-1)*('(橫掃)RX Mapping'!AP42-240),IF(AND('(橫掃)RX Mapping'!AP42&gt;=241,'(橫掃)RX Mapping'!AP42&lt;=360), ('(橫掃)RX Mapping'!AP42-241),IF(AND('(橫掃)RX Mapping'!AP42&gt;=361,'(橫掃)RX Mapping'!AP42&lt;=480), (-1)*('(橫掃)RX Mapping'!AP42-480),IF(AND('(橫掃)RX Mapping'!AP42&gt;=481,'(橫掃)RX Mapping'!AP42&lt;=600), ('(橫掃)RX Mapping'!AP42-361),IF(AND('(橫掃)RX Mapping'!AP42&gt;=601,'(橫掃)RX Mapping'!AP42&lt;=720), (-1)*('(橫掃)RX Mapping'!AP42-720)+120,IF(AND('(橫掃)RX Mapping'!AP42&gt;=721,'(橫掃)RX Mapping'!AP42&lt;=840), ('(橫掃)RX Mapping'!AP42-601),IF(AND('(橫掃)RX Mapping'!AP42&gt;=841,'(橫掃)RX Mapping'!AP42&lt;=960), (-1)*('(橫掃)RX Mapping'!AP42-960)+120,9999))))))))</f>
        <v>9999</v>
      </c>
      <c r="AQ42">
        <f>IF(AND('(橫掃)RX Mapping'!AQ42&gt;=1,'(橫掃)RX Mapping'!AQ42&lt;=120), ('(橫掃)RX Mapping'!AQ42-1),IF(AND('(橫掃)RX Mapping'!AQ42&gt;=121,'(橫掃)RX Mapping'!AQ42&lt;=240), (-1)*('(橫掃)RX Mapping'!AQ42-240),IF(AND('(橫掃)RX Mapping'!AQ42&gt;=241,'(橫掃)RX Mapping'!AQ42&lt;=360), ('(橫掃)RX Mapping'!AQ42-241),IF(AND('(橫掃)RX Mapping'!AQ42&gt;=361,'(橫掃)RX Mapping'!AQ42&lt;=480), (-1)*('(橫掃)RX Mapping'!AQ42-480),IF(AND('(橫掃)RX Mapping'!AQ42&gt;=481,'(橫掃)RX Mapping'!AQ42&lt;=600), ('(橫掃)RX Mapping'!AQ42-361),IF(AND('(橫掃)RX Mapping'!AQ42&gt;=601,'(橫掃)RX Mapping'!AQ42&lt;=720), (-1)*('(橫掃)RX Mapping'!AQ42-720)+120,IF(AND('(橫掃)RX Mapping'!AQ42&gt;=721,'(橫掃)RX Mapping'!AQ42&lt;=840), ('(橫掃)RX Mapping'!AQ42-601),IF(AND('(橫掃)RX Mapping'!AQ42&gt;=841,'(橫掃)RX Mapping'!AQ42&lt;=960), (-1)*('(橫掃)RX Mapping'!AQ42-960)+120,9999))))))))</f>
        <v>9999</v>
      </c>
      <c r="AR42">
        <f>IF(AND('(橫掃)RX Mapping'!AR42&gt;=1,'(橫掃)RX Mapping'!AR42&lt;=120), ('(橫掃)RX Mapping'!AR42-1),IF(AND('(橫掃)RX Mapping'!AR42&gt;=121,'(橫掃)RX Mapping'!AR42&lt;=240), (-1)*('(橫掃)RX Mapping'!AR42-240),IF(AND('(橫掃)RX Mapping'!AR42&gt;=241,'(橫掃)RX Mapping'!AR42&lt;=360), ('(橫掃)RX Mapping'!AR42-241),IF(AND('(橫掃)RX Mapping'!AR42&gt;=361,'(橫掃)RX Mapping'!AR42&lt;=480), (-1)*('(橫掃)RX Mapping'!AR42-480),IF(AND('(橫掃)RX Mapping'!AR42&gt;=481,'(橫掃)RX Mapping'!AR42&lt;=600), ('(橫掃)RX Mapping'!AR42-361),IF(AND('(橫掃)RX Mapping'!AR42&gt;=601,'(橫掃)RX Mapping'!AR42&lt;=720), (-1)*('(橫掃)RX Mapping'!AR42-720)+120,IF(AND('(橫掃)RX Mapping'!AR42&gt;=721,'(橫掃)RX Mapping'!AR42&lt;=840), ('(橫掃)RX Mapping'!AR42-601),IF(AND('(橫掃)RX Mapping'!AR42&gt;=841,'(橫掃)RX Mapping'!AR42&lt;=960), (-1)*('(橫掃)RX Mapping'!AR42-960)+120,9999))))))))</f>
        <v>9999</v>
      </c>
      <c r="AS42">
        <f>IF(AND('(橫掃)RX Mapping'!AS42&gt;=1,'(橫掃)RX Mapping'!AS42&lt;=120), ('(橫掃)RX Mapping'!AS42-1),IF(AND('(橫掃)RX Mapping'!AS42&gt;=121,'(橫掃)RX Mapping'!AS42&lt;=240), (-1)*('(橫掃)RX Mapping'!AS42-240),IF(AND('(橫掃)RX Mapping'!AS42&gt;=241,'(橫掃)RX Mapping'!AS42&lt;=360), ('(橫掃)RX Mapping'!AS42-241),IF(AND('(橫掃)RX Mapping'!AS42&gt;=361,'(橫掃)RX Mapping'!AS42&lt;=480), (-1)*('(橫掃)RX Mapping'!AS42-480),IF(AND('(橫掃)RX Mapping'!AS42&gt;=481,'(橫掃)RX Mapping'!AS42&lt;=600), ('(橫掃)RX Mapping'!AS42-361),IF(AND('(橫掃)RX Mapping'!AS42&gt;=601,'(橫掃)RX Mapping'!AS42&lt;=720), (-1)*('(橫掃)RX Mapping'!AS42-720)+120,IF(AND('(橫掃)RX Mapping'!AS42&gt;=721,'(橫掃)RX Mapping'!AS42&lt;=840), ('(橫掃)RX Mapping'!AS42-601),IF(AND('(橫掃)RX Mapping'!AS42&gt;=841,'(橫掃)RX Mapping'!AS42&lt;=960), (-1)*('(橫掃)RX Mapping'!AS42-960)+120,9999))))))))</f>
        <v>9999</v>
      </c>
      <c r="AT42">
        <f>IF(AND('(橫掃)RX Mapping'!AT42&gt;=1,'(橫掃)RX Mapping'!AT42&lt;=120), ('(橫掃)RX Mapping'!AT42-1),IF(AND('(橫掃)RX Mapping'!AT42&gt;=121,'(橫掃)RX Mapping'!AT42&lt;=240), (-1)*('(橫掃)RX Mapping'!AT42-240),IF(AND('(橫掃)RX Mapping'!AT42&gt;=241,'(橫掃)RX Mapping'!AT42&lt;=360), ('(橫掃)RX Mapping'!AT42-241),IF(AND('(橫掃)RX Mapping'!AT42&gt;=361,'(橫掃)RX Mapping'!AT42&lt;=480), (-1)*('(橫掃)RX Mapping'!AT42-480),IF(AND('(橫掃)RX Mapping'!AT42&gt;=481,'(橫掃)RX Mapping'!AT42&lt;=600), ('(橫掃)RX Mapping'!AT42-361),IF(AND('(橫掃)RX Mapping'!AT42&gt;=601,'(橫掃)RX Mapping'!AT42&lt;=720), (-1)*('(橫掃)RX Mapping'!AT42-720)+120,IF(AND('(橫掃)RX Mapping'!AT42&gt;=721,'(橫掃)RX Mapping'!AT42&lt;=840), ('(橫掃)RX Mapping'!AT42-601),IF(AND('(橫掃)RX Mapping'!AT42&gt;=841,'(橫掃)RX Mapping'!AT42&lt;=960), (-1)*('(橫掃)RX Mapping'!AT42-960)+120,9999))))))))</f>
        <v>9999</v>
      </c>
      <c r="AU42">
        <f>IF(AND('(橫掃)RX Mapping'!AU42&gt;=1,'(橫掃)RX Mapping'!AU42&lt;=120), ('(橫掃)RX Mapping'!AU42-1),IF(AND('(橫掃)RX Mapping'!AU42&gt;=121,'(橫掃)RX Mapping'!AU42&lt;=240), (-1)*('(橫掃)RX Mapping'!AU42-240),IF(AND('(橫掃)RX Mapping'!AU42&gt;=241,'(橫掃)RX Mapping'!AU42&lt;=360), ('(橫掃)RX Mapping'!AU42-241),IF(AND('(橫掃)RX Mapping'!AU42&gt;=361,'(橫掃)RX Mapping'!AU42&lt;=480), (-1)*('(橫掃)RX Mapping'!AU42-480),IF(AND('(橫掃)RX Mapping'!AU42&gt;=481,'(橫掃)RX Mapping'!AU42&lt;=600), ('(橫掃)RX Mapping'!AU42-361),IF(AND('(橫掃)RX Mapping'!AU42&gt;=601,'(橫掃)RX Mapping'!AU42&lt;=720), (-1)*('(橫掃)RX Mapping'!AU42-720)+120,IF(AND('(橫掃)RX Mapping'!AU42&gt;=721,'(橫掃)RX Mapping'!AU42&lt;=840), ('(橫掃)RX Mapping'!AU42-601),IF(AND('(橫掃)RX Mapping'!AU42&gt;=841,'(橫掃)RX Mapping'!AU42&lt;=960), (-1)*('(橫掃)RX Mapping'!AU42-960)+120,9999))))))))</f>
        <v>9999</v>
      </c>
      <c r="AV42">
        <f>IF(AND('(橫掃)RX Mapping'!AV42&gt;=1,'(橫掃)RX Mapping'!AV42&lt;=120), ('(橫掃)RX Mapping'!AV42-1),IF(AND('(橫掃)RX Mapping'!AV42&gt;=121,'(橫掃)RX Mapping'!AV42&lt;=240), (-1)*('(橫掃)RX Mapping'!AV42-240),IF(AND('(橫掃)RX Mapping'!AV42&gt;=241,'(橫掃)RX Mapping'!AV42&lt;=360), ('(橫掃)RX Mapping'!AV42-241),IF(AND('(橫掃)RX Mapping'!AV42&gt;=361,'(橫掃)RX Mapping'!AV42&lt;=480), (-1)*('(橫掃)RX Mapping'!AV42-480),IF(AND('(橫掃)RX Mapping'!AV42&gt;=481,'(橫掃)RX Mapping'!AV42&lt;=600), ('(橫掃)RX Mapping'!AV42-361),IF(AND('(橫掃)RX Mapping'!AV42&gt;=601,'(橫掃)RX Mapping'!AV42&lt;=720), (-1)*('(橫掃)RX Mapping'!AV42-720)+120,IF(AND('(橫掃)RX Mapping'!AV42&gt;=721,'(橫掃)RX Mapping'!AV42&lt;=840), ('(橫掃)RX Mapping'!AV42-601),IF(AND('(橫掃)RX Mapping'!AV42&gt;=841,'(橫掃)RX Mapping'!AV42&lt;=960), (-1)*('(橫掃)RX Mapping'!AV42-960)+120,9999))))))))</f>
        <v>9999</v>
      </c>
      <c r="AW42">
        <f>IF(AND('(橫掃)RX Mapping'!AW42&gt;=1,'(橫掃)RX Mapping'!AW42&lt;=120), ('(橫掃)RX Mapping'!AW42-1),IF(AND('(橫掃)RX Mapping'!AW42&gt;=121,'(橫掃)RX Mapping'!AW42&lt;=240), (-1)*('(橫掃)RX Mapping'!AW42-240),IF(AND('(橫掃)RX Mapping'!AW42&gt;=241,'(橫掃)RX Mapping'!AW42&lt;=360), ('(橫掃)RX Mapping'!AW42-241),IF(AND('(橫掃)RX Mapping'!AW42&gt;=361,'(橫掃)RX Mapping'!AW42&lt;=480), (-1)*('(橫掃)RX Mapping'!AW42-480),IF(AND('(橫掃)RX Mapping'!AW42&gt;=481,'(橫掃)RX Mapping'!AW42&lt;=600), ('(橫掃)RX Mapping'!AW42-361),IF(AND('(橫掃)RX Mapping'!AW42&gt;=601,'(橫掃)RX Mapping'!AW42&lt;=720), (-1)*('(橫掃)RX Mapping'!AW42-720)+120,IF(AND('(橫掃)RX Mapping'!AW42&gt;=721,'(橫掃)RX Mapping'!AW42&lt;=840), ('(橫掃)RX Mapping'!AW42-601),IF(AND('(橫掃)RX Mapping'!AW42&gt;=841,'(橫掃)RX Mapping'!AW42&lt;=960), (-1)*('(橫掃)RX Mapping'!AW42-960)+120,9999))))))))</f>
        <v>9999</v>
      </c>
      <c r="AX42">
        <f>IF(AND('(橫掃)RX Mapping'!AX42&gt;=1,'(橫掃)RX Mapping'!AX42&lt;=120), ('(橫掃)RX Mapping'!AX42-1),IF(AND('(橫掃)RX Mapping'!AX42&gt;=121,'(橫掃)RX Mapping'!AX42&lt;=240), (-1)*('(橫掃)RX Mapping'!AX42-240),IF(AND('(橫掃)RX Mapping'!AX42&gt;=241,'(橫掃)RX Mapping'!AX42&lt;=360), ('(橫掃)RX Mapping'!AX42-241),IF(AND('(橫掃)RX Mapping'!AX42&gt;=361,'(橫掃)RX Mapping'!AX42&lt;=480), (-1)*('(橫掃)RX Mapping'!AX42-480),IF(AND('(橫掃)RX Mapping'!AX42&gt;=481,'(橫掃)RX Mapping'!AX42&lt;=600), ('(橫掃)RX Mapping'!AX42-361),IF(AND('(橫掃)RX Mapping'!AX42&gt;=601,'(橫掃)RX Mapping'!AX42&lt;=720), (-1)*('(橫掃)RX Mapping'!AX42-720)+120,IF(AND('(橫掃)RX Mapping'!AX42&gt;=721,'(橫掃)RX Mapping'!AX42&lt;=840), ('(橫掃)RX Mapping'!AX42-601),IF(AND('(橫掃)RX Mapping'!AX42&gt;=841,'(橫掃)RX Mapping'!AX42&lt;=960), (-1)*('(橫掃)RX Mapping'!AX42-960)+120,9999))))))))</f>
        <v>9999</v>
      </c>
      <c r="AY42">
        <f>IF(AND('(橫掃)RX Mapping'!AY42&gt;=1,'(橫掃)RX Mapping'!AY42&lt;=120), ('(橫掃)RX Mapping'!AY42-1),IF(AND('(橫掃)RX Mapping'!AY42&gt;=121,'(橫掃)RX Mapping'!AY42&lt;=240), (-1)*('(橫掃)RX Mapping'!AY42-240),IF(AND('(橫掃)RX Mapping'!AY42&gt;=241,'(橫掃)RX Mapping'!AY42&lt;=360), ('(橫掃)RX Mapping'!AY42-241),IF(AND('(橫掃)RX Mapping'!AY42&gt;=361,'(橫掃)RX Mapping'!AY42&lt;=480), (-1)*('(橫掃)RX Mapping'!AY42-480),IF(AND('(橫掃)RX Mapping'!AY42&gt;=481,'(橫掃)RX Mapping'!AY42&lt;=600), ('(橫掃)RX Mapping'!AY42-361),IF(AND('(橫掃)RX Mapping'!AY42&gt;=601,'(橫掃)RX Mapping'!AY42&lt;=720), (-1)*('(橫掃)RX Mapping'!AY42-720)+120,IF(AND('(橫掃)RX Mapping'!AY42&gt;=721,'(橫掃)RX Mapping'!AY42&lt;=840), ('(橫掃)RX Mapping'!AY42-601),IF(AND('(橫掃)RX Mapping'!AY42&gt;=841,'(橫掃)RX Mapping'!AY42&lt;=960), (-1)*('(橫掃)RX Mapping'!AY42-960)+120,9999))))))))</f>
        <v>9999</v>
      </c>
      <c r="AZ42">
        <f>IF(AND('(橫掃)RX Mapping'!AZ42&gt;=1,'(橫掃)RX Mapping'!AZ42&lt;=120), ('(橫掃)RX Mapping'!AZ42-1),IF(AND('(橫掃)RX Mapping'!AZ42&gt;=121,'(橫掃)RX Mapping'!AZ42&lt;=240), (-1)*('(橫掃)RX Mapping'!AZ42-240),IF(AND('(橫掃)RX Mapping'!AZ42&gt;=241,'(橫掃)RX Mapping'!AZ42&lt;=360), ('(橫掃)RX Mapping'!AZ42-241),IF(AND('(橫掃)RX Mapping'!AZ42&gt;=361,'(橫掃)RX Mapping'!AZ42&lt;=480), (-1)*('(橫掃)RX Mapping'!AZ42-480),IF(AND('(橫掃)RX Mapping'!AZ42&gt;=481,'(橫掃)RX Mapping'!AZ42&lt;=600), ('(橫掃)RX Mapping'!AZ42-361),IF(AND('(橫掃)RX Mapping'!AZ42&gt;=601,'(橫掃)RX Mapping'!AZ42&lt;=720), (-1)*('(橫掃)RX Mapping'!AZ42-720)+120,IF(AND('(橫掃)RX Mapping'!AZ42&gt;=721,'(橫掃)RX Mapping'!AZ42&lt;=840), ('(橫掃)RX Mapping'!AZ42-601),IF(AND('(橫掃)RX Mapping'!AZ42&gt;=841,'(橫掃)RX Mapping'!AZ42&lt;=960), (-1)*('(橫掃)RX Mapping'!AZ42-960)+120,9999))))))))</f>
        <v>9999</v>
      </c>
      <c r="BA42">
        <f>IF(AND('(橫掃)RX Mapping'!BA42&gt;=1,'(橫掃)RX Mapping'!BA42&lt;=120), ('(橫掃)RX Mapping'!BA42-1),IF(AND('(橫掃)RX Mapping'!BA42&gt;=121,'(橫掃)RX Mapping'!BA42&lt;=240), (-1)*('(橫掃)RX Mapping'!BA42-240),IF(AND('(橫掃)RX Mapping'!BA42&gt;=241,'(橫掃)RX Mapping'!BA42&lt;=360), ('(橫掃)RX Mapping'!BA42-241),IF(AND('(橫掃)RX Mapping'!BA42&gt;=361,'(橫掃)RX Mapping'!BA42&lt;=480), (-1)*('(橫掃)RX Mapping'!BA42-480),IF(AND('(橫掃)RX Mapping'!BA42&gt;=481,'(橫掃)RX Mapping'!BA42&lt;=600), ('(橫掃)RX Mapping'!BA42-361),IF(AND('(橫掃)RX Mapping'!BA42&gt;=601,'(橫掃)RX Mapping'!BA42&lt;=720), (-1)*('(橫掃)RX Mapping'!BA42-720)+120,IF(AND('(橫掃)RX Mapping'!BA42&gt;=721,'(橫掃)RX Mapping'!BA42&lt;=840), ('(橫掃)RX Mapping'!BA42-601),IF(AND('(橫掃)RX Mapping'!BA42&gt;=841,'(橫掃)RX Mapping'!BA42&lt;=960), (-1)*('(橫掃)RX Mapping'!BA42-960)+120,9999))))))))</f>
        <v>9999</v>
      </c>
      <c r="BB42">
        <f>IF(AND('(橫掃)RX Mapping'!BB42&gt;=1,'(橫掃)RX Mapping'!BB42&lt;=120), ('(橫掃)RX Mapping'!BB42-1),IF(AND('(橫掃)RX Mapping'!BB42&gt;=121,'(橫掃)RX Mapping'!BB42&lt;=240), (-1)*('(橫掃)RX Mapping'!BB42-240),IF(AND('(橫掃)RX Mapping'!BB42&gt;=241,'(橫掃)RX Mapping'!BB42&lt;=360), ('(橫掃)RX Mapping'!BB42-241),IF(AND('(橫掃)RX Mapping'!BB42&gt;=361,'(橫掃)RX Mapping'!BB42&lt;=480), (-1)*('(橫掃)RX Mapping'!BB42-480),IF(AND('(橫掃)RX Mapping'!BB42&gt;=481,'(橫掃)RX Mapping'!BB42&lt;=600), ('(橫掃)RX Mapping'!BB42-361),IF(AND('(橫掃)RX Mapping'!BB42&gt;=601,'(橫掃)RX Mapping'!BB42&lt;=720), (-1)*('(橫掃)RX Mapping'!BB42-720)+120,IF(AND('(橫掃)RX Mapping'!BB42&gt;=721,'(橫掃)RX Mapping'!BB42&lt;=840), ('(橫掃)RX Mapping'!BB42-601),IF(AND('(橫掃)RX Mapping'!BB42&gt;=841,'(橫掃)RX Mapping'!BB42&lt;=960), (-1)*('(橫掃)RX Mapping'!BB42-960)+120,9999))))))))</f>
        <v>9999</v>
      </c>
      <c r="BC42">
        <f>IF(AND('(橫掃)RX Mapping'!BC42&gt;=1,'(橫掃)RX Mapping'!BC42&lt;=120), ('(橫掃)RX Mapping'!BC42-1),IF(AND('(橫掃)RX Mapping'!BC42&gt;=121,'(橫掃)RX Mapping'!BC42&lt;=240), (-1)*('(橫掃)RX Mapping'!BC42-240),IF(AND('(橫掃)RX Mapping'!BC42&gt;=241,'(橫掃)RX Mapping'!BC42&lt;=360), ('(橫掃)RX Mapping'!BC42-241),IF(AND('(橫掃)RX Mapping'!BC42&gt;=361,'(橫掃)RX Mapping'!BC42&lt;=480), (-1)*('(橫掃)RX Mapping'!BC42-480),IF(AND('(橫掃)RX Mapping'!BC42&gt;=481,'(橫掃)RX Mapping'!BC42&lt;=600), ('(橫掃)RX Mapping'!BC42-361),IF(AND('(橫掃)RX Mapping'!BC42&gt;=601,'(橫掃)RX Mapping'!BC42&lt;=720), (-1)*('(橫掃)RX Mapping'!BC42-720)+120,IF(AND('(橫掃)RX Mapping'!BC42&gt;=721,'(橫掃)RX Mapping'!BC42&lt;=840), ('(橫掃)RX Mapping'!BC42-601),IF(AND('(橫掃)RX Mapping'!BC42&gt;=841,'(橫掃)RX Mapping'!BC42&lt;=960), (-1)*('(橫掃)RX Mapping'!BC42-960)+120,9999))))))))</f>
        <v>9999</v>
      </c>
      <c r="BD42">
        <f>IF(AND('(橫掃)RX Mapping'!BD42&gt;=1,'(橫掃)RX Mapping'!BD42&lt;=120), ('(橫掃)RX Mapping'!BD42-1),IF(AND('(橫掃)RX Mapping'!BD42&gt;=121,'(橫掃)RX Mapping'!BD42&lt;=240), (-1)*('(橫掃)RX Mapping'!BD42-240),IF(AND('(橫掃)RX Mapping'!BD42&gt;=241,'(橫掃)RX Mapping'!BD42&lt;=360), ('(橫掃)RX Mapping'!BD42-241),IF(AND('(橫掃)RX Mapping'!BD42&gt;=361,'(橫掃)RX Mapping'!BD42&lt;=480), (-1)*('(橫掃)RX Mapping'!BD42-480),IF(AND('(橫掃)RX Mapping'!BD42&gt;=481,'(橫掃)RX Mapping'!BD42&lt;=600), ('(橫掃)RX Mapping'!BD42-361),IF(AND('(橫掃)RX Mapping'!BD42&gt;=601,'(橫掃)RX Mapping'!BD42&lt;=720), (-1)*('(橫掃)RX Mapping'!BD42-720)+120,IF(AND('(橫掃)RX Mapping'!BD42&gt;=721,'(橫掃)RX Mapping'!BD42&lt;=840), ('(橫掃)RX Mapping'!BD42-601),IF(AND('(橫掃)RX Mapping'!BD42&gt;=841,'(橫掃)RX Mapping'!BD42&lt;=960), (-1)*('(橫掃)RX Mapping'!BD42-960)+120,9999))))))))</f>
        <v>9999</v>
      </c>
      <c r="BE42">
        <f>IF(AND('(橫掃)RX Mapping'!BE42&gt;=1,'(橫掃)RX Mapping'!BE42&lt;=120), ('(橫掃)RX Mapping'!BE42-1),IF(AND('(橫掃)RX Mapping'!BE42&gt;=121,'(橫掃)RX Mapping'!BE42&lt;=240), (-1)*('(橫掃)RX Mapping'!BE42-240),IF(AND('(橫掃)RX Mapping'!BE42&gt;=241,'(橫掃)RX Mapping'!BE42&lt;=360), ('(橫掃)RX Mapping'!BE42-241),IF(AND('(橫掃)RX Mapping'!BE42&gt;=361,'(橫掃)RX Mapping'!BE42&lt;=480), (-1)*('(橫掃)RX Mapping'!BE42-480),IF(AND('(橫掃)RX Mapping'!BE42&gt;=481,'(橫掃)RX Mapping'!BE42&lt;=600), ('(橫掃)RX Mapping'!BE42-361),IF(AND('(橫掃)RX Mapping'!BE42&gt;=601,'(橫掃)RX Mapping'!BE42&lt;=720), (-1)*('(橫掃)RX Mapping'!BE42-720)+120,IF(AND('(橫掃)RX Mapping'!BE42&gt;=721,'(橫掃)RX Mapping'!BE42&lt;=840), ('(橫掃)RX Mapping'!BE42-601),IF(AND('(橫掃)RX Mapping'!BE42&gt;=841,'(橫掃)RX Mapping'!BE42&lt;=960), (-1)*('(橫掃)RX Mapping'!BE42-960)+120,9999))))))))</f>
        <v>9999</v>
      </c>
      <c r="BF42">
        <f>IF(AND('(橫掃)RX Mapping'!BF42&gt;=1,'(橫掃)RX Mapping'!BF42&lt;=120), ('(橫掃)RX Mapping'!BF42-1),IF(AND('(橫掃)RX Mapping'!BF42&gt;=121,'(橫掃)RX Mapping'!BF42&lt;=240), (-1)*('(橫掃)RX Mapping'!BF42-240),IF(AND('(橫掃)RX Mapping'!BF42&gt;=241,'(橫掃)RX Mapping'!BF42&lt;=360), ('(橫掃)RX Mapping'!BF42-241),IF(AND('(橫掃)RX Mapping'!BF42&gt;=361,'(橫掃)RX Mapping'!BF42&lt;=480), (-1)*('(橫掃)RX Mapping'!BF42-480),IF(AND('(橫掃)RX Mapping'!BF42&gt;=481,'(橫掃)RX Mapping'!BF42&lt;=600), ('(橫掃)RX Mapping'!BF42-361),IF(AND('(橫掃)RX Mapping'!BF42&gt;=601,'(橫掃)RX Mapping'!BF42&lt;=720), (-1)*('(橫掃)RX Mapping'!BF42-720)+120,IF(AND('(橫掃)RX Mapping'!BF42&gt;=721,'(橫掃)RX Mapping'!BF42&lt;=840), ('(橫掃)RX Mapping'!BF42-601),IF(AND('(橫掃)RX Mapping'!BF42&gt;=841,'(橫掃)RX Mapping'!BF42&lt;=960), (-1)*('(橫掃)RX Mapping'!BF42-960)+120,9999))))))))</f>
        <v>9999</v>
      </c>
      <c r="BG42">
        <f>IF(AND('(橫掃)RX Mapping'!BG42&gt;=1,'(橫掃)RX Mapping'!BG42&lt;=120), ('(橫掃)RX Mapping'!BG42-1),IF(AND('(橫掃)RX Mapping'!BG42&gt;=121,'(橫掃)RX Mapping'!BG42&lt;=240), (-1)*('(橫掃)RX Mapping'!BG42-240),IF(AND('(橫掃)RX Mapping'!BG42&gt;=241,'(橫掃)RX Mapping'!BG42&lt;=360), ('(橫掃)RX Mapping'!BG42-241),IF(AND('(橫掃)RX Mapping'!BG42&gt;=361,'(橫掃)RX Mapping'!BG42&lt;=480), (-1)*('(橫掃)RX Mapping'!BG42-480),IF(AND('(橫掃)RX Mapping'!BG42&gt;=481,'(橫掃)RX Mapping'!BG42&lt;=600), ('(橫掃)RX Mapping'!BG42-361),IF(AND('(橫掃)RX Mapping'!BG42&gt;=601,'(橫掃)RX Mapping'!BG42&lt;=720), (-1)*('(橫掃)RX Mapping'!BG42-720)+120,IF(AND('(橫掃)RX Mapping'!BG42&gt;=721,'(橫掃)RX Mapping'!BG42&lt;=840), ('(橫掃)RX Mapping'!BG42-601),IF(AND('(橫掃)RX Mapping'!BG42&gt;=841,'(橫掃)RX Mapping'!BG42&lt;=960), (-1)*('(橫掃)RX Mapping'!BG42-960)+120,9999))))))))</f>
        <v>9999</v>
      </c>
      <c r="BH42">
        <f>IF(AND('(橫掃)RX Mapping'!BH42&gt;=1,'(橫掃)RX Mapping'!BH42&lt;=120), ('(橫掃)RX Mapping'!BH42-1),IF(AND('(橫掃)RX Mapping'!BH42&gt;=121,'(橫掃)RX Mapping'!BH42&lt;=240), (-1)*('(橫掃)RX Mapping'!BH42-240),IF(AND('(橫掃)RX Mapping'!BH42&gt;=241,'(橫掃)RX Mapping'!BH42&lt;=360), ('(橫掃)RX Mapping'!BH42-241),IF(AND('(橫掃)RX Mapping'!BH42&gt;=361,'(橫掃)RX Mapping'!BH42&lt;=480), (-1)*('(橫掃)RX Mapping'!BH42-480),IF(AND('(橫掃)RX Mapping'!BH42&gt;=481,'(橫掃)RX Mapping'!BH42&lt;=600), ('(橫掃)RX Mapping'!BH42-361),IF(AND('(橫掃)RX Mapping'!BH42&gt;=601,'(橫掃)RX Mapping'!BH42&lt;=720), (-1)*('(橫掃)RX Mapping'!BH42-720)+120,IF(AND('(橫掃)RX Mapping'!BH42&gt;=721,'(橫掃)RX Mapping'!BH42&lt;=840), ('(橫掃)RX Mapping'!BH42-601),IF(AND('(橫掃)RX Mapping'!BH42&gt;=841,'(橫掃)RX Mapping'!BH42&lt;=960), (-1)*('(橫掃)RX Mapping'!BH42-960)+120,9999))))))))</f>
        <v>9999</v>
      </c>
      <c r="BI42">
        <f>IF(AND('(橫掃)RX Mapping'!BI42&gt;=1,'(橫掃)RX Mapping'!BI42&lt;=120), ('(橫掃)RX Mapping'!BI42-1),IF(AND('(橫掃)RX Mapping'!BI42&gt;=121,'(橫掃)RX Mapping'!BI42&lt;=240), (-1)*('(橫掃)RX Mapping'!BI42-240),IF(AND('(橫掃)RX Mapping'!BI42&gt;=241,'(橫掃)RX Mapping'!BI42&lt;=360), ('(橫掃)RX Mapping'!BI42-241),IF(AND('(橫掃)RX Mapping'!BI42&gt;=361,'(橫掃)RX Mapping'!BI42&lt;=480), (-1)*('(橫掃)RX Mapping'!BI42-480),IF(AND('(橫掃)RX Mapping'!BI42&gt;=481,'(橫掃)RX Mapping'!BI42&lt;=600), ('(橫掃)RX Mapping'!BI42-361),IF(AND('(橫掃)RX Mapping'!BI42&gt;=601,'(橫掃)RX Mapping'!BI42&lt;=720), (-1)*('(橫掃)RX Mapping'!BI42-720)+120,IF(AND('(橫掃)RX Mapping'!BI42&gt;=721,'(橫掃)RX Mapping'!BI42&lt;=840), ('(橫掃)RX Mapping'!BI42-601),IF(AND('(橫掃)RX Mapping'!BI42&gt;=841,'(橫掃)RX Mapping'!BI42&lt;=960), (-1)*('(橫掃)RX Mapping'!BI42-960)+120,9999))))))))</f>
        <v>9999</v>
      </c>
    </row>
    <row r="43" spans="1:61" x14ac:dyDescent="0.25">
      <c r="A43" s="20">
        <v>42</v>
      </c>
      <c r="B43">
        <f>IF(AND('(橫掃)RX Mapping'!B43&gt;=1,'(橫掃)RX Mapping'!B43&lt;=120), ('(橫掃)RX Mapping'!B43-1),IF(AND('(橫掃)RX Mapping'!B43&gt;=121,'(橫掃)RX Mapping'!B43&lt;=240), (-1)*('(橫掃)RX Mapping'!B43-240),IF(AND('(橫掃)RX Mapping'!B43&gt;=241,'(橫掃)RX Mapping'!B43&lt;=360), ('(橫掃)RX Mapping'!B43-241),IF(AND('(橫掃)RX Mapping'!B43&gt;=361,'(橫掃)RX Mapping'!B43&lt;=480), (-1)*('(橫掃)RX Mapping'!B43-480),IF(AND('(橫掃)RX Mapping'!B43&gt;=481,'(橫掃)RX Mapping'!B43&lt;=600), ('(橫掃)RX Mapping'!B43-361),IF(AND('(橫掃)RX Mapping'!B43&gt;=601,'(橫掃)RX Mapping'!B43&lt;=720), (-1)*('(橫掃)RX Mapping'!B43-720)+120,IF(AND('(橫掃)RX Mapping'!B43&gt;=721,'(橫掃)RX Mapping'!B43&lt;=840), ('(橫掃)RX Mapping'!B43-601),IF(AND('(橫掃)RX Mapping'!B43&gt;=841,'(橫掃)RX Mapping'!B43&lt;=960), (-1)*('(橫掃)RX Mapping'!B43-960)+120,9999))))))))</f>
        <v>9999</v>
      </c>
      <c r="C43">
        <f>IF(AND('(橫掃)RX Mapping'!C43&gt;=1,'(橫掃)RX Mapping'!C43&lt;=120), ('(橫掃)RX Mapping'!C43-1),IF(AND('(橫掃)RX Mapping'!C43&gt;=121,'(橫掃)RX Mapping'!C43&lt;=240), (-1)*('(橫掃)RX Mapping'!C43-240),IF(AND('(橫掃)RX Mapping'!C43&gt;=241,'(橫掃)RX Mapping'!C43&lt;=360), ('(橫掃)RX Mapping'!C43-241),IF(AND('(橫掃)RX Mapping'!C43&gt;=361,'(橫掃)RX Mapping'!C43&lt;=480), (-1)*('(橫掃)RX Mapping'!C43-480),IF(AND('(橫掃)RX Mapping'!C43&gt;=481,'(橫掃)RX Mapping'!C43&lt;=600), ('(橫掃)RX Mapping'!C43-361),IF(AND('(橫掃)RX Mapping'!C43&gt;=601,'(橫掃)RX Mapping'!C43&lt;=720), (-1)*('(橫掃)RX Mapping'!C43-720)+120,IF(AND('(橫掃)RX Mapping'!C43&gt;=721,'(橫掃)RX Mapping'!C43&lt;=840), ('(橫掃)RX Mapping'!C43-601),IF(AND('(橫掃)RX Mapping'!C43&gt;=841,'(橫掃)RX Mapping'!C43&lt;=960), (-1)*('(橫掃)RX Mapping'!C43-960)+120,9999))))))))</f>
        <v>9999</v>
      </c>
      <c r="D43">
        <f>IF(AND('(橫掃)RX Mapping'!D43&gt;=1,'(橫掃)RX Mapping'!D43&lt;=120), ('(橫掃)RX Mapping'!D43-1),IF(AND('(橫掃)RX Mapping'!D43&gt;=121,'(橫掃)RX Mapping'!D43&lt;=240), (-1)*('(橫掃)RX Mapping'!D43-240),IF(AND('(橫掃)RX Mapping'!D43&gt;=241,'(橫掃)RX Mapping'!D43&lt;=360), ('(橫掃)RX Mapping'!D43-241),IF(AND('(橫掃)RX Mapping'!D43&gt;=361,'(橫掃)RX Mapping'!D43&lt;=480), (-1)*('(橫掃)RX Mapping'!D43-480),IF(AND('(橫掃)RX Mapping'!D43&gt;=481,'(橫掃)RX Mapping'!D43&lt;=600), ('(橫掃)RX Mapping'!D43-361),IF(AND('(橫掃)RX Mapping'!D43&gt;=601,'(橫掃)RX Mapping'!D43&lt;=720), (-1)*('(橫掃)RX Mapping'!D43-720)+120,IF(AND('(橫掃)RX Mapping'!D43&gt;=721,'(橫掃)RX Mapping'!D43&lt;=840), ('(橫掃)RX Mapping'!D43-601),IF(AND('(橫掃)RX Mapping'!D43&gt;=841,'(橫掃)RX Mapping'!D43&lt;=960), (-1)*('(橫掃)RX Mapping'!D43-960)+120,9999))))))))</f>
        <v>9999</v>
      </c>
      <c r="E43">
        <f>IF(AND('(橫掃)RX Mapping'!E43&gt;=1,'(橫掃)RX Mapping'!E43&lt;=120), ('(橫掃)RX Mapping'!E43-1),IF(AND('(橫掃)RX Mapping'!E43&gt;=121,'(橫掃)RX Mapping'!E43&lt;=240), (-1)*('(橫掃)RX Mapping'!E43-240),IF(AND('(橫掃)RX Mapping'!E43&gt;=241,'(橫掃)RX Mapping'!E43&lt;=360), ('(橫掃)RX Mapping'!E43-241),IF(AND('(橫掃)RX Mapping'!E43&gt;=361,'(橫掃)RX Mapping'!E43&lt;=480), (-1)*('(橫掃)RX Mapping'!E43-480),IF(AND('(橫掃)RX Mapping'!E43&gt;=481,'(橫掃)RX Mapping'!E43&lt;=600), ('(橫掃)RX Mapping'!E43-361),IF(AND('(橫掃)RX Mapping'!E43&gt;=601,'(橫掃)RX Mapping'!E43&lt;=720), (-1)*('(橫掃)RX Mapping'!E43-720)+120,IF(AND('(橫掃)RX Mapping'!E43&gt;=721,'(橫掃)RX Mapping'!E43&lt;=840), ('(橫掃)RX Mapping'!E43-601),IF(AND('(橫掃)RX Mapping'!E43&gt;=841,'(橫掃)RX Mapping'!E43&lt;=960), (-1)*('(橫掃)RX Mapping'!E43-960)+120,9999))))))))</f>
        <v>9999</v>
      </c>
      <c r="F43">
        <f>IF(AND('(橫掃)RX Mapping'!F43&gt;=1,'(橫掃)RX Mapping'!F43&lt;=120), ('(橫掃)RX Mapping'!F43-1),IF(AND('(橫掃)RX Mapping'!F43&gt;=121,'(橫掃)RX Mapping'!F43&lt;=240), (-1)*('(橫掃)RX Mapping'!F43-240),IF(AND('(橫掃)RX Mapping'!F43&gt;=241,'(橫掃)RX Mapping'!F43&lt;=360), ('(橫掃)RX Mapping'!F43-241),IF(AND('(橫掃)RX Mapping'!F43&gt;=361,'(橫掃)RX Mapping'!F43&lt;=480), (-1)*('(橫掃)RX Mapping'!F43-480),IF(AND('(橫掃)RX Mapping'!F43&gt;=481,'(橫掃)RX Mapping'!F43&lt;=600), ('(橫掃)RX Mapping'!F43-361),IF(AND('(橫掃)RX Mapping'!F43&gt;=601,'(橫掃)RX Mapping'!F43&lt;=720), (-1)*('(橫掃)RX Mapping'!F43-720)+120,IF(AND('(橫掃)RX Mapping'!F43&gt;=721,'(橫掃)RX Mapping'!F43&lt;=840), ('(橫掃)RX Mapping'!F43-601),IF(AND('(橫掃)RX Mapping'!F43&gt;=841,'(橫掃)RX Mapping'!F43&lt;=960), (-1)*('(橫掃)RX Mapping'!F43-960)+120,9999))))))))</f>
        <v>9999</v>
      </c>
      <c r="G43">
        <f>IF(AND('(橫掃)RX Mapping'!G43&gt;=1,'(橫掃)RX Mapping'!G43&lt;=120), ('(橫掃)RX Mapping'!G43-1),IF(AND('(橫掃)RX Mapping'!G43&gt;=121,'(橫掃)RX Mapping'!G43&lt;=240), (-1)*('(橫掃)RX Mapping'!G43-240),IF(AND('(橫掃)RX Mapping'!G43&gt;=241,'(橫掃)RX Mapping'!G43&lt;=360), ('(橫掃)RX Mapping'!G43-241),IF(AND('(橫掃)RX Mapping'!G43&gt;=361,'(橫掃)RX Mapping'!G43&lt;=480), (-1)*('(橫掃)RX Mapping'!G43-480),IF(AND('(橫掃)RX Mapping'!G43&gt;=481,'(橫掃)RX Mapping'!G43&lt;=600), ('(橫掃)RX Mapping'!G43-361),IF(AND('(橫掃)RX Mapping'!G43&gt;=601,'(橫掃)RX Mapping'!G43&lt;=720), (-1)*('(橫掃)RX Mapping'!G43-720)+120,IF(AND('(橫掃)RX Mapping'!G43&gt;=721,'(橫掃)RX Mapping'!G43&lt;=840), ('(橫掃)RX Mapping'!G43-601),IF(AND('(橫掃)RX Mapping'!G43&gt;=841,'(橫掃)RX Mapping'!G43&lt;=960), (-1)*('(橫掃)RX Mapping'!G43-960)+120,9999))))))))</f>
        <v>9999</v>
      </c>
      <c r="H43">
        <f>IF(AND('(橫掃)RX Mapping'!H43&gt;=1,'(橫掃)RX Mapping'!H43&lt;=120), ('(橫掃)RX Mapping'!H43-1),IF(AND('(橫掃)RX Mapping'!H43&gt;=121,'(橫掃)RX Mapping'!H43&lt;=240), (-1)*('(橫掃)RX Mapping'!H43-240),IF(AND('(橫掃)RX Mapping'!H43&gt;=241,'(橫掃)RX Mapping'!H43&lt;=360), ('(橫掃)RX Mapping'!H43-241),IF(AND('(橫掃)RX Mapping'!H43&gt;=361,'(橫掃)RX Mapping'!H43&lt;=480), (-1)*('(橫掃)RX Mapping'!H43-480),IF(AND('(橫掃)RX Mapping'!H43&gt;=481,'(橫掃)RX Mapping'!H43&lt;=600), ('(橫掃)RX Mapping'!H43-361),IF(AND('(橫掃)RX Mapping'!H43&gt;=601,'(橫掃)RX Mapping'!H43&lt;=720), (-1)*('(橫掃)RX Mapping'!H43-720)+120,IF(AND('(橫掃)RX Mapping'!H43&gt;=721,'(橫掃)RX Mapping'!H43&lt;=840), ('(橫掃)RX Mapping'!H43-601),IF(AND('(橫掃)RX Mapping'!H43&gt;=841,'(橫掃)RX Mapping'!H43&lt;=960), (-1)*('(橫掃)RX Mapping'!H43-960)+120,9999))))))))</f>
        <v>9999</v>
      </c>
      <c r="I43">
        <f>IF(AND('(橫掃)RX Mapping'!I43&gt;=1,'(橫掃)RX Mapping'!I43&lt;=120), ('(橫掃)RX Mapping'!I43-1),IF(AND('(橫掃)RX Mapping'!I43&gt;=121,'(橫掃)RX Mapping'!I43&lt;=240), (-1)*('(橫掃)RX Mapping'!I43-240),IF(AND('(橫掃)RX Mapping'!I43&gt;=241,'(橫掃)RX Mapping'!I43&lt;=360), ('(橫掃)RX Mapping'!I43-241),IF(AND('(橫掃)RX Mapping'!I43&gt;=361,'(橫掃)RX Mapping'!I43&lt;=480), (-1)*('(橫掃)RX Mapping'!I43-480),IF(AND('(橫掃)RX Mapping'!I43&gt;=481,'(橫掃)RX Mapping'!I43&lt;=600), ('(橫掃)RX Mapping'!I43-361),IF(AND('(橫掃)RX Mapping'!I43&gt;=601,'(橫掃)RX Mapping'!I43&lt;=720), (-1)*('(橫掃)RX Mapping'!I43-720)+120,IF(AND('(橫掃)RX Mapping'!I43&gt;=721,'(橫掃)RX Mapping'!I43&lt;=840), ('(橫掃)RX Mapping'!I43-601),IF(AND('(橫掃)RX Mapping'!I43&gt;=841,'(橫掃)RX Mapping'!I43&lt;=960), (-1)*('(橫掃)RX Mapping'!I43-960)+120,9999))))))))</f>
        <v>9999</v>
      </c>
      <c r="J43">
        <f>IF(AND('(橫掃)RX Mapping'!J43&gt;=1,'(橫掃)RX Mapping'!J43&lt;=120), ('(橫掃)RX Mapping'!J43-1),IF(AND('(橫掃)RX Mapping'!J43&gt;=121,'(橫掃)RX Mapping'!J43&lt;=240), (-1)*('(橫掃)RX Mapping'!J43-240),IF(AND('(橫掃)RX Mapping'!J43&gt;=241,'(橫掃)RX Mapping'!J43&lt;=360), ('(橫掃)RX Mapping'!J43-241),IF(AND('(橫掃)RX Mapping'!J43&gt;=361,'(橫掃)RX Mapping'!J43&lt;=480), (-1)*('(橫掃)RX Mapping'!J43-480),IF(AND('(橫掃)RX Mapping'!J43&gt;=481,'(橫掃)RX Mapping'!J43&lt;=600), ('(橫掃)RX Mapping'!J43-361),IF(AND('(橫掃)RX Mapping'!J43&gt;=601,'(橫掃)RX Mapping'!J43&lt;=720), (-1)*('(橫掃)RX Mapping'!J43-720)+120,IF(AND('(橫掃)RX Mapping'!J43&gt;=721,'(橫掃)RX Mapping'!J43&lt;=840), ('(橫掃)RX Mapping'!J43-601),IF(AND('(橫掃)RX Mapping'!J43&gt;=841,'(橫掃)RX Mapping'!J43&lt;=960), (-1)*('(橫掃)RX Mapping'!J43-960)+120,9999))))))))</f>
        <v>9999</v>
      </c>
      <c r="K43">
        <f>IF(AND('(橫掃)RX Mapping'!K43&gt;=1,'(橫掃)RX Mapping'!K43&lt;=120), ('(橫掃)RX Mapping'!K43-1),IF(AND('(橫掃)RX Mapping'!K43&gt;=121,'(橫掃)RX Mapping'!K43&lt;=240), (-1)*('(橫掃)RX Mapping'!K43-240),IF(AND('(橫掃)RX Mapping'!K43&gt;=241,'(橫掃)RX Mapping'!K43&lt;=360), ('(橫掃)RX Mapping'!K43-241),IF(AND('(橫掃)RX Mapping'!K43&gt;=361,'(橫掃)RX Mapping'!K43&lt;=480), (-1)*('(橫掃)RX Mapping'!K43-480),IF(AND('(橫掃)RX Mapping'!K43&gt;=481,'(橫掃)RX Mapping'!K43&lt;=600), ('(橫掃)RX Mapping'!K43-361),IF(AND('(橫掃)RX Mapping'!K43&gt;=601,'(橫掃)RX Mapping'!K43&lt;=720), (-1)*('(橫掃)RX Mapping'!K43-720)+120,IF(AND('(橫掃)RX Mapping'!K43&gt;=721,'(橫掃)RX Mapping'!K43&lt;=840), ('(橫掃)RX Mapping'!K43-601),IF(AND('(橫掃)RX Mapping'!K43&gt;=841,'(橫掃)RX Mapping'!K43&lt;=960), (-1)*('(橫掃)RX Mapping'!K43-960)+120,9999))))))))</f>
        <v>9999</v>
      </c>
      <c r="L43">
        <f>IF(AND('(橫掃)RX Mapping'!L43&gt;=1,'(橫掃)RX Mapping'!L43&lt;=120), ('(橫掃)RX Mapping'!L43-1),IF(AND('(橫掃)RX Mapping'!L43&gt;=121,'(橫掃)RX Mapping'!L43&lt;=240), (-1)*('(橫掃)RX Mapping'!L43-240),IF(AND('(橫掃)RX Mapping'!L43&gt;=241,'(橫掃)RX Mapping'!L43&lt;=360), ('(橫掃)RX Mapping'!L43-241),IF(AND('(橫掃)RX Mapping'!L43&gt;=361,'(橫掃)RX Mapping'!L43&lt;=480), (-1)*('(橫掃)RX Mapping'!L43-480),IF(AND('(橫掃)RX Mapping'!L43&gt;=481,'(橫掃)RX Mapping'!L43&lt;=600), ('(橫掃)RX Mapping'!L43-361),IF(AND('(橫掃)RX Mapping'!L43&gt;=601,'(橫掃)RX Mapping'!L43&lt;=720), (-1)*('(橫掃)RX Mapping'!L43-720)+120,IF(AND('(橫掃)RX Mapping'!L43&gt;=721,'(橫掃)RX Mapping'!L43&lt;=840), ('(橫掃)RX Mapping'!L43-601),IF(AND('(橫掃)RX Mapping'!L43&gt;=841,'(橫掃)RX Mapping'!L43&lt;=960), (-1)*('(橫掃)RX Mapping'!L43-960)+120,9999))))))))</f>
        <v>9999</v>
      </c>
      <c r="M43">
        <f>IF(AND('(橫掃)RX Mapping'!M43&gt;=1,'(橫掃)RX Mapping'!M43&lt;=120), ('(橫掃)RX Mapping'!M43-1),IF(AND('(橫掃)RX Mapping'!M43&gt;=121,'(橫掃)RX Mapping'!M43&lt;=240), (-1)*('(橫掃)RX Mapping'!M43-240),IF(AND('(橫掃)RX Mapping'!M43&gt;=241,'(橫掃)RX Mapping'!M43&lt;=360), ('(橫掃)RX Mapping'!M43-241),IF(AND('(橫掃)RX Mapping'!M43&gt;=361,'(橫掃)RX Mapping'!M43&lt;=480), (-1)*('(橫掃)RX Mapping'!M43-480),IF(AND('(橫掃)RX Mapping'!M43&gt;=481,'(橫掃)RX Mapping'!M43&lt;=600), ('(橫掃)RX Mapping'!M43-361),IF(AND('(橫掃)RX Mapping'!M43&gt;=601,'(橫掃)RX Mapping'!M43&lt;=720), (-1)*('(橫掃)RX Mapping'!M43-720)+120,IF(AND('(橫掃)RX Mapping'!M43&gt;=721,'(橫掃)RX Mapping'!M43&lt;=840), ('(橫掃)RX Mapping'!M43-601),IF(AND('(橫掃)RX Mapping'!M43&gt;=841,'(橫掃)RX Mapping'!M43&lt;=960), (-1)*('(橫掃)RX Mapping'!M43-960)+120,9999))))))))</f>
        <v>9999</v>
      </c>
      <c r="N43">
        <f>IF(AND('(橫掃)RX Mapping'!N43&gt;=1,'(橫掃)RX Mapping'!N43&lt;=120), ('(橫掃)RX Mapping'!N43-1),IF(AND('(橫掃)RX Mapping'!N43&gt;=121,'(橫掃)RX Mapping'!N43&lt;=240), (-1)*('(橫掃)RX Mapping'!N43-240),IF(AND('(橫掃)RX Mapping'!N43&gt;=241,'(橫掃)RX Mapping'!N43&lt;=360), ('(橫掃)RX Mapping'!N43-241),IF(AND('(橫掃)RX Mapping'!N43&gt;=361,'(橫掃)RX Mapping'!N43&lt;=480), (-1)*('(橫掃)RX Mapping'!N43-480),IF(AND('(橫掃)RX Mapping'!N43&gt;=481,'(橫掃)RX Mapping'!N43&lt;=600), ('(橫掃)RX Mapping'!N43-361),IF(AND('(橫掃)RX Mapping'!N43&gt;=601,'(橫掃)RX Mapping'!N43&lt;=720), (-1)*('(橫掃)RX Mapping'!N43-720)+120,IF(AND('(橫掃)RX Mapping'!N43&gt;=721,'(橫掃)RX Mapping'!N43&lt;=840), ('(橫掃)RX Mapping'!N43-601),IF(AND('(橫掃)RX Mapping'!N43&gt;=841,'(橫掃)RX Mapping'!N43&lt;=960), (-1)*('(橫掃)RX Mapping'!N43-960)+120,9999))))))))</f>
        <v>9999</v>
      </c>
      <c r="O43">
        <f>IF(AND('(橫掃)RX Mapping'!O43&gt;=1,'(橫掃)RX Mapping'!O43&lt;=120), ('(橫掃)RX Mapping'!O43-1),IF(AND('(橫掃)RX Mapping'!O43&gt;=121,'(橫掃)RX Mapping'!O43&lt;=240), (-1)*('(橫掃)RX Mapping'!O43-240),IF(AND('(橫掃)RX Mapping'!O43&gt;=241,'(橫掃)RX Mapping'!O43&lt;=360), ('(橫掃)RX Mapping'!O43-241),IF(AND('(橫掃)RX Mapping'!O43&gt;=361,'(橫掃)RX Mapping'!O43&lt;=480), (-1)*('(橫掃)RX Mapping'!O43-480),IF(AND('(橫掃)RX Mapping'!O43&gt;=481,'(橫掃)RX Mapping'!O43&lt;=600), ('(橫掃)RX Mapping'!O43-361),IF(AND('(橫掃)RX Mapping'!O43&gt;=601,'(橫掃)RX Mapping'!O43&lt;=720), (-1)*('(橫掃)RX Mapping'!O43-720)+120,IF(AND('(橫掃)RX Mapping'!O43&gt;=721,'(橫掃)RX Mapping'!O43&lt;=840), ('(橫掃)RX Mapping'!O43-601),IF(AND('(橫掃)RX Mapping'!O43&gt;=841,'(橫掃)RX Mapping'!O43&lt;=960), (-1)*('(橫掃)RX Mapping'!O43-960)+120,9999))))))))</f>
        <v>9999</v>
      </c>
      <c r="P43">
        <f>IF(AND('(橫掃)RX Mapping'!P43&gt;=1,'(橫掃)RX Mapping'!P43&lt;=120), ('(橫掃)RX Mapping'!P43-1),IF(AND('(橫掃)RX Mapping'!P43&gt;=121,'(橫掃)RX Mapping'!P43&lt;=240), (-1)*('(橫掃)RX Mapping'!P43-240),IF(AND('(橫掃)RX Mapping'!P43&gt;=241,'(橫掃)RX Mapping'!P43&lt;=360), ('(橫掃)RX Mapping'!P43-241),IF(AND('(橫掃)RX Mapping'!P43&gt;=361,'(橫掃)RX Mapping'!P43&lt;=480), (-1)*('(橫掃)RX Mapping'!P43-480),IF(AND('(橫掃)RX Mapping'!P43&gt;=481,'(橫掃)RX Mapping'!P43&lt;=600), ('(橫掃)RX Mapping'!P43-361),IF(AND('(橫掃)RX Mapping'!P43&gt;=601,'(橫掃)RX Mapping'!P43&lt;=720), (-1)*('(橫掃)RX Mapping'!P43-720)+120,IF(AND('(橫掃)RX Mapping'!P43&gt;=721,'(橫掃)RX Mapping'!P43&lt;=840), ('(橫掃)RX Mapping'!P43-601),IF(AND('(橫掃)RX Mapping'!P43&gt;=841,'(橫掃)RX Mapping'!P43&lt;=960), (-1)*('(橫掃)RX Mapping'!P43-960)+120,9999))))))))</f>
        <v>9999</v>
      </c>
      <c r="Q43">
        <f>IF(AND('(橫掃)RX Mapping'!Q43&gt;=1,'(橫掃)RX Mapping'!Q43&lt;=120), ('(橫掃)RX Mapping'!Q43-1),IF(AND('(橫掃)RX Mapping'!Q43&gt;=121,'(橫掃)RX Mapping'!Q43&lt;=240), (-1)*('(橫掃)RX Mapping'!Q43-240),IF(AND('(橫掃)RX Mapping'!Q43&gt;=241,'(橫掃)RX Mapping'!Q43&lt;=360), ('(橫掃)RX Mapping'!Q43-241),IF(AND('(橫掃)RX Mapping'!Q43&gt;=361,'(橫掃)RX Mapping'!Q43&lt;=480), (-1)*('(橫掃)RX Mapping'!Q43-480),IF(AND('(橫掃)RX Mapping'!Q43&gt;=481,'(橫掃)RX Mapping'!Q43&lt;=600), ('(橫掃)RX Mapping'!Q43-361),IF(AND('(橫掃)RX Mapping'!Q43&gt;=601,'(橫掃)RX Mapping'!Q43&lt;=720), (-1)*('(橫掃)RX Mapping'!Q43-720)+120,IF(AND('(橫掃)RX Mapping'!Q43&gt;=721,'(橫掃)RX Mapping'!Q43&lt;=840), ('(橫掃)RX Mapping'!Q43-601),IF(AND('(橫掃)RX Mapping'!Q43&gt;=841,'(橫掃)RX Mapping'!Q43&lt;=960), (-1)*('(橫掃)RX Mapping'!Q43-960)+120,9999))))))))</f>
        <v>9999</v>
      </c>
      <c r="R43">
        <f>IF(AND('(橫掃)RX Mapping'!R43&gt;=1,'(橫掃)RX Mapping'!R43&lt;=120), ('(橫掃)RX Mapping'!R43-1),IF(AND('(橫掃)RX Mapping'!R43&gt;=121,'(橫掃)RX Mapping'!R43&lt;=240), (-1)*('(橫掃)RX Mapping'!R43-240),IF(AND('(橫掃)RX Mapping'!R43&gt;=241,'(橫掃)RX Mapping'!R43&lt;=360), ('(橫掃)RX Mapping'!R43-241),IF(AND('(橫掃)RX Mapping'!R43&gt;=361,'(橫掃)RX Mapping'!R43&lt;=480), (-1)*('(橫掃)RX Mapping'!R43-480),IF(AND('(橫掃)RX Mapping'!R43&gt;=481,'(橫掃)RX Mapping'!R43&lt;=600), ('(橫掃)RX Mapping'!R43-361),IF(AND('(橫掃)RX Mapping'!R43&gt;=601,'(橫掃)RX Mapping'!R43&lt;=720), (-1)*('(橫掃)RX Mapping'!R43-720)+120,IF(AND('(橫掃)RX Mapping'!R43&gt;=721,'(橫掃)RX Mapping'!R43&lt;=840), ('(橫掃)RX Mapping'!R43-601),IF(AND('(橫掃)RX Mapping'!R43&gt;=841,'(橫掃)RX Mapping'!R43&lt;=960), (-1)*('(橫掃)RX Mapping'!R43-960)+120,9999))))))))</f>
        <v>9999</v>
      </c>
      <c r="S43">
        <f>IF(AND('(橫掃)RX Mapping'!S43&gt;=1,'(橫掃)RX Mapping'!S43&lt;=120), ('(橫掃)RX Mapping'!S43-1),IF(AND('(橫掃)RX Mapping'!S43&gt;=121,'(橫掃)RX Mapping'!S43&lt;=240), (-1)*('(橫掃)RX Mapping'!S43-240),IF(AND('(橫掃)RX Mapping'!S43&gt;=241,'(橫掃)RX Mapping'!S43&lt;=360), ('(橫掃)RX Mapping'!S43-241),IF(AND('(橫掃)RX Mapping'!S43&gt;=361,'(橫掃)RX Mapping'!S43&lt;=480), (-1)*('(橫掃)RX Mapping'!S43-480),IF(AND('(橫掃)RX Mapping'!S43&gt;=481,'(橫掃)RX Mapping'!S43&lt;=600), ('(橫掃)RX Mapping'!S43-361),IF(AND('(橫掃)RX Mapping'!S43&gt;=601,'(橫掃)RX Mapping'!S43&lt;=720), (-1)*('(橫掃)RX Mapping'!S43-720)+120,IF(AND('(橫掃)RX Mapping'!S43&gt;=721,'(橫掃)RX Mapping'!S43&lt;=840), ('(橫掃)RX Mapping'!S43-601),IF(AND('(橫掃)RX Mapping'!S43&gt;=841,'(橫掃)RX Mapping'!S43&lt;=960), (-1)*('(橫掃)RX Mapping'!S43-960)+120,9999))))))))</f>
        <v>9999</v>
      </c>
      <c r="T43">
        <f>IF(AND('(橫掃)RX Mapping'!T43&gt;=1,'(橫掃)RX Mapping'!T43&lt;=120), ('(橫掃)RX Mapping'!T43-1),IF(AND('(橫掃)RX Mapping'!T43&gt;=121,'(橫掃)RX Mapping'!T43&lt;=240), (-1)*('(橫掃)RX Mapping'!T43-240),IF(AND('(橫掃)RX Mapping'!T43&gt;=241,'(橫掃)RX Mapping'!T43&lt;=360), ('(橫掃)RX Mapping'!T43-241),IF(AND('(橫掃)RX Mapping'!T43&gt;=361,'(橫掃)RX Mapping'!T43&lt;=480), (-1)*('(橫掃)RX Mapping'!T43-480),IF(AND('(橫掃)RX Mapping'!T43&gt;=481,'(橫掃)RX Mapping'!T43&lt;=600), ('(橫掃)RX Mapping'!T43-361),IF(AND('(橫掃)RX Mapping'!T43&gt;=601,'(橫掃)RX Mapping'!T43&lt;=720), (-1)*('(橫掃)RX Mapping'!T43-720)+120,IF(AND('(橫掃)RX Mapping'!T43&gt;=721,'(橫掃)RX Mapping'!T43&lt;=840), ('(橫掃)RX Mapping'!T43-601),IF(AND('(橫掃)RX Mapping'!T43&gt;=841,'(橫掃)RX Mapping'!T43&lt;=960), (-1)*('(橫掃)RX Mapping'!T43-960)+120,9999))))))))</f>
        <v>9999</v>
      </c>
      <c r="U43">
        <f>IF(AND('(橫掃)RX Mapping'!U43&gt;=1,'(橫掃)RX Mapping'!U43&lt;=120), ('(橫掃)RX Mapping'!U43-1),IF(AND('(橫掃)RX Mapping'!U43&gt;=121,'(橫掃)RX Mapping'!U43&lt;=240), (-1)*('(橫掃)RX Mapping'!U43-240),IF(AND('(橫掃)RX Mapping'!U43&gt;=241,'(橫掃)RX Mapping'!U43&lt;=360), ('(橫掃)RX Mapping'!U43-241),IF(AND('(橫掃)RX Mapping'!U43&gt;=361,'(橫掃)RX Mapping'!U43&lt;=480), (-1)*('(橫掃)RX Mapping'!U43-480),IF(AND('(橫掃)RX Mapping'!U43&gt;=481,'(橫掃)RX Mapping'!U43&lt;=600), ('(橫掃)RX Mapping'!U43-361),IF(AND('(橫掃)RX Mapping'!U43&gt;=601,'(橫掃)RX Mapping'!U43&lt;=720), (-1)*('(橫掃)RX Mapping'!U43-720)+120,IF(AND('(橫掃)RX Mapping'!U43&gt;=721,'(橫掃)RX Mapping'!U43&lt;=840), ('(橫掃)RX Mapping'!U43-601),IF(AND('(橫掃)RX Mapping'!U43&gt;=841,'(橫掃)RX Mapping'!U43&lt;=960), (-1)*('(橫掃)RX Mapping'!U43-960)+120,9999))))))))</f>
        <v>9999</v>
      </c>
      <c r="V43">
        <f>IF(AND('(橫掃)RX Mapping'!V43&gt;=1,'(橫掃)RX Mapping'!V43&lt;=120), ('(橫掃)RX Mapping'!V43-1),IF(AND('(橫掃)RX Mapping'!V43&gt;=121,'(橫掃)RX Mapping'!V43&lt;=240), (-1)*('(橫掃)RX Mapping'!V43-240),IF(AND('(橫掃)RX Mapping'!V43&gt;=241,'(橫掃)RX Mapping'!V43&lt;=360), ('(橫掃)RX Mapping'!V43-241),IF(AND('(橫掃)RX Mapping'!V43&gt;=361,'(橫掃)RX Mapping'!V43&lt;=480), (-1)*('(橫掃)RX Mapping'!V43-480),IF(AND('(橫掃)RX Mapping'!V43&gt;=481,'(橫掃)RX Mapping'!V43&lt;=600), ('(橫掃)RX Mapping'!V43-361),IF(AND('(橫掃)RX Mapping'!V43&gt;=601,'(橫掃)RX Mapping'!V43&lt;=720), (-1)*('(橫掃)RX Mapping'!V43-720)+120,IF(AND('(橫掃)RX Mapping'!V43&gt;=721,'(橫掃)RX Mapping'!V43&lt;=840), ('(橫掃)RX Mapping'!V43-601),IF(AND('(橫掃)RX Mapping'!V43&gt;=841,'(橫掃)RX Mapping'!V43&lt;=960), (-1)*('(橫掃)RX Mapping'!V43-960)+120,9999))))))))</f>
        <v>9999</v>
      </c>
      <c r="W43">
        <f>IF(AND('(橫掃)RX Mapping'!W43&gt;=1,'(橫掃)RX Mapping'!W43&lt;=120), ('(橫掃)RX Mapping'!W43-1),IF(AND('(橫掃)RX Mapping'!W43&gt;=121,'(橫掃)RX Mapping'!W43&lt;=240), (-1)*('(橫掃)RX Mapping'!W43-240),IF(AND('(橫掃)RX Mapping'!W43&gt;=241,'(橫掃)RX Mapping'!W43&lt;=360), ('(橫掃)RX Mapping'!W43-241),IF(AND('(橫掃)RX Mapping'!W43&gt;=361,'(橫掃)RX Mapping'!W43&lt;=480), (-1)*('(橫掃)RX Mapping'!W43-480),IF(AND('(橫掃)RX Mapping'!W43&gt;=481,'(橫掃)RX Mapping'!W43&lt;=600), ('(橫掃)RX Mapping'!W43-361),IF(AND('(橫掃)RX Mapping'!W43&gt;=601,'(橫掃)RX Mapping'!W43&lt;=720), (-1)*('(橫掃)RX Mapping'!W43-720)+120,IF(AND('(橫掃)RX Mapping'!W43&gt;=721,'(橫掃)RX Mapping'!W43&lt;=840), ('(橫掃)RX Mapping'!W43-601),IF(AND('(橫掃)RX Mapping'!W43&gt;=841,'(橫掃)RX Mapping'!W43&lt;=960), (-1)*('(橫掃)RX Mapping'!W43-960)+120,9999))))))))</f>
        <v>9999</v>
      </c>
      <c r="X43">
        <f>IF(AND('(橫掃)RX Mapping'!X43&gt;=1,'(橫掃)RX Mapping'!X43&lt;=120), ('(橫掃)RX Mapping'!X43-1),IF(AND('(橫掃)RX Mapping'!X43&gt;=121,'(橫掃)RX Mapping'!X43&lt;=240), (-1)*('(橫掃)RX Mapping'!X43-240),IF(AND('(橫掃)RX Mapping'!X43&gt;=241,'(橫掃)RX Mapping'!X43&lt;=360), ('(橫掃)RX Mapping'!X43-241),IF(AND('(橫掃)RX Mapping'!X43&gt;=361,'(橫掃)RX Mapping'!X43&lt;=480), (-1)*('(橫掃)RX Mapping'!X43-480),IF(AND('(橫掃)RX Mapping'!X43&gt;=481,'(橫掃)RX Mapping'!X43&lt;=600), ('(橫掃)RX Mapping'!X43-361),IF(AND('(橫掃)RX Mapping'!X43&gt;=601,'(橫掃)RX Mapping'!X43&lt;=720), (-1)*('(橫掃)RX Mapping'!X43-720)+120,IF(AND('(橫掃)RX Mapping'!X43&gt;=721,'(橫掃)RX Mapping'!X43&lt;=840), ('(橫掃)RX Mapping'!X43-601),IF(AND('(橫掃)RX Mapping'!X43&gt;=841,'(橫掃)RX Mapping'!X43&lt;=960), (-1)*('(橫掃)RX Mapping'!X43-960)+120,9999))))))))</f>
        <v>9999</v>
      </c>
      <c r="Y43">
        <f>IF(AND('(橫掃)RX Mapping'!Y43&gt;=1,'(橫掃)RX Mapping'!Y43&lt;=120), ('(橫掃)RX Mapping'!Y43-1),IF(AND('(橫掃)RX Mapping'!Y43&gt;=121,'(橫掃)RX Mapping'!Y43&lt;=240), (-1)*('(橫掃)RX Mapping'!Y43-240),IF(AND('(橫掃)RX Mapping'!Y43&gt;=241,'(橫掃)RX Mapping'!Y43&lt;=360), ('(橫掃)RX Mapping'!Y43-241),IF(AND('(橫掃)RX Mapping'!Y43&gt;=361,'(橫掃)RX Mapping'!Y43&lt;=480), (-1)*('(橫掃)RX Mapping'!Y43-480),IF(AND('(橫掃)RX Mapping'!Y43&gt;=481,'(橫掃)RX Mapping'!Y43&lt;=600), ('(橫掃)RX Mapping'!Y43-361),IF(AND('(橫掃)RX Mapping'!Y43&gt;=601,'(橫掃)RX Mapping'!Y43&lt;=720), (-1)*('(橫掃)RX Mapping'!Y43-720)+120,IF(AND('(橫掃)RX Mapping'!Y43&gt;=721,'(橫掃)RX Mapping'!Y43&lt;=840), ('(橫掃)RX Mapping'!Y43-601),IF(AND('(橫掃)RX Mapping'!Y43&gt;=841,'(橫掃)RX Mapping'!Y43&lt;=960), (-1)*('(橫掃)RX Mapping'!Y43-960)+120,9999))))))))</f>
        <v>9999</v>
      </c>
      <c r="Z43">
        <f>IF(AND('(橫掃)RX Mapping'!Z43&gt;=1,'(橫掃)RX Mapping'!Z43&lt;=120), ('(橫掃)RX Mapping'!Z43-1),IF(AND('(橫掃)RX Mapping'!Z43&gt;=121,'(橫掃)RX Mapping'!Z43&lt;=240), (-1)*('(橫掃)RX Mapping'!Z43-240),IF(AND('(橫掃)RX Mapping'!Z43&gt;=241,'(橫掃)RX Mapping'!Z43&lt;=360), ('(橫掃)RX Mapping'!Z43-241),IF(AND('(橫掃)RX Mapping'!Z43&gt;=361,'(橫掃)RX Mapping'!Z43&lt;=480), (-1)*('(橫掃)RX Mapping'!Z43-480),IF(AND('(橫掃)RX Mapping'!Z43&gt;=481,'(橫掃)RX Mapping'!Z43&lt;=600), ('(橫掃)RX Mapping'!Z43-361),IF(AND('(橫掃)RX Mapping'!Z43&gt;=601,'(橫掃)RX Mapping'!Z43&lt;=720), (-1)*('(橫掃)RX Mapping'!Z43-720)+120,IF(AND('(橫掃)RX Mapping'!Z43&gt;=721,'(橫掃)RX Mapping'!Z43&lt;=840), ('(橫掃)RX Mapping'!Z43-601),IF(AND('(橫掃)RX Mapping'!Z43&gt;=841,'(橫掃)RX Mapping'!Z43&lt;=960), (-1)*('(橫掃)RX Mapping'!Z43-960)+120,9999))))))))</f>
        <v>9999</v>
      </c>
      <c r="AA43">
        <f>IF(AND('(橫掃)RX Mapping'!AA43&gt;=1,'(橫掃)RX Mapping'!AA43&lt;=120), ('(橫掃)RX Mapping'!AA43-1),IF(AND('(橫掃)RX Mapping'!AA43&gt;=121,'(橫掃)RX Mapping'!AA43&lt;=240), (-1)*('(橫掃)RX Mapping'!AA43-240),IF(AND('(橫掃)RX Mapping'!AA43&gt;=241,'(橫掃)RX Mapping'!AA43&lt;=360), ('(橫掃)RX Mapping'!AA43-241),IF(AND('(橫掃)RX Mapping'!AA43&gt;=361,'(橫掃)RX Mapping'!AA43&lt;=480), (-1)*('(橫掃)RX Mapping'!AA43-480),IF(AND('(橫掃)RX Mapping'!AA43&gt;=481,'(橫掃)RX Mapping'!AA43&lt;=600), ('(橫掃)RX Mapping'!AA43-361),IF(AND('(橫掃)RX Mapping'!AA43&gt;=601,'(橫掃)RX Mapping'!AA43&lt;=720), (-1)*('(橫掃)RX Mapping'!AA43-720)+120,IF(AND('(橫掃)RX Mapping'!AA43&gt;=721,'(橫掃)RX Mapping'!AA43&lt;=840), ('(橫掃)RX Mapping'!AA43-601),IF(AND('(橫掃)RX Mapping'!AA43&gt;=841,'(橫掃)RX Mapping'!AA43&lt;=960), (-1)*('(橫掃)RX Mapping'!AA43-960)+120,9999))))))))</f>
        <v>9999</v>
      </c>
      <c r="AB43">
        <f>IF(AND('(橫掃)RX Mapping'!AB43&gt;=1,'(橫掃)RX Mapping'!AB43&lt;=120), ('(橫掃)RX Mapping'!AB43-1),IF(AND('(橫掃)RX Mapping'!AB43&gt;=121,'(橫掃)RX Mapping'!AB43&lt;=240), (-1)*('(橫掃)RX Mapping'!AB43-240),IF(AND('(橫掃)RX Mapping'!AB43&gt;=241,'(橫掃)RX Mapping'!AB43&lt;=360), ('(橫掃)RX Mapping'!AB43-241),IF(AND('(橫掃)RX Mapping'!AB43&gt;=361,'(橫掃)RX Mapping'!AB43&lt;=480), (-1)*('(橫掃)RX Mapping'!AB43-480),IF(AND('(橫掃)RX Mapping'!AB43&gt;=481,'(橫掃)RX Mapping'!AB43&lt;=600), ('(橫掃)RX Mapping'!AB43-361),IF(AND('(橫掃)RX Mapping'!AB43&gt;=601,'(橫掃)RX Mapping'!AB43&lt;=720), (-1)*('(橫掃)RX Mapping'!AB43-720)+120,IF(AND('(橫掃)RX Mapping'!AB43&gt;=721,'(橫掃)RX Mapping'!AB43&lt;=840), ('(橫掃)RX Mapping'!AB43-601),IF(AND('(橫掃)RX Mapping'!AB43&gt;=841,'(橫掃)RX Mapping'!AB43&lt;=960), (-1)*('(橫掃)RX Mapping'!AB43-960)+120,9999))))))))</f>
        <v>9999</v>
      </c>
      <c r="AC43">
        <f>IF(AND('(橫掃)RX Mapping'!AC43&gt;=1,'(橫掃)RX Mapping'!AC43&lt;=120), ('(橫掃)RX Mapping'!AC43-1),IF(AND('(橫掃)RX Mapping'!AC43&gt;=121,'(橫掃)RX Mapping'!AC43&lt;=240), (-1)*('(橫掃)RX Mapping'!AC43-240),IF(AND('(橫掃)RX Mapping'!AC43&gt;=241,'(橫掃)RX Mapping'!AC43&lt;=360), ('(橫掃)RX Mapping'!AC43-241),IF(AND('(橫掃)RX Mapping'!AC43&gt;=361,'(橫掃)RX Mapping'!AC43&lt;=480), (-1)*('(橫掃)RX Mapping'!AC43-480),IF(AND('(橫掃)RX Mapping'!AC43&gt;=481,'(橫掃)RX Mapping'!AC43&lt;=600), ('(橫掃)RX Mapping'!AC43-361),IF(AND('(橫掃)RX Mapping'!AC43&gt;=601,'(橫掃)RX Mapping'!AC43&lt;=720), (-1)*('(橫掃)RX Mapping'!AC43-720)+120,IF(AND('(橫掃)RX Mapping'!AC43&gt;=721,'(橫掃)RX Mapping'!AC43&lt;=840), ('(橫掃)RX Mapping'!AC43-601),IF(AND('(橫掃)RX Mapping'!AC43&gt;=841,'(橫掃)RX Mapping'!AC43&lt;=960), (-1)*('(橫掃)RX Mapping'!AC43-960)+120,9999))))))))</f>
        <v>9999</v>
      </c>
      <c r="AD43">
        <f>IF(AND('(橫掃)RX Mapping'!AD43&gt;=1,'(橫掃)RX Mapping'!AD43&lt;=120), ('(橫掃)RX Mapping'!AD43-1),IF(AND('(橫掃)RX Mapping'!AD43&gt;=121,'(橫掃)RX Mapping'!AD43&lt;=240), (-1)*('(橫掃)RX Mapping'!AD43-240),IF(AND('(橫掃)RX Mapping'!AD43&gt;=241,'(橫掃)RX Mapping'!AD43&lt;=360), ('(橫掃)RX Mapping'!AD43-241),IF(AND('(橫掃)RX Mapping'!AD43&gt;=361,'(橫掃)RX Mapping'!AD43&lt;=480), (-1)*('(橫掃)RX Mapping'!AD43-480),IF(AND('(橫掃)RX Mapping'!AD43&gt;=481,'(橫掃)RX Mapping'!AD43&lt;=600), ('(橫掃)RX Mapping'!AD43-361),IF(AND('(橫掃)RX Mapping'!AD43&gt;=601,'(橫掃)RX Mapping'!AD43&lt;=720), (-1)*('(橫掃)RX Mapping'!AD43-720)+120,IF(AND('(橫掃)RX Mapping'!AD43&gt;=721,'(橫掃)RX Mapping'!AD43&lt;=840), ('(橫掃)RX Mapping'!AD43-601),IF(AND('(橫掃)RX Mapping'!AD43&gt;=841,'(橫掃)RX Mapping'!AD43&lt;=960), (-1)*('(橫掃)RX Mapping'!AD43-960)+120,9999))))))))</f>
        <v>9999</v>
      </c>
      <c r="AE43">
        <f>IF(AND('(橫掃)RX Mapping'!AE43&gt;=1,'(橫掃)RX Mapping'!AE43&lt;=120), ('(橫掃)RX Mapping'!AE43-1),IF(AND('(橫掃)RX Mapping'!AE43&gt;=121,'(橫掃)RX Mapping'!AE43&lt;=240), (-1)*('(橫掃)RX Mapping'!AE43-240),IF(AND('(橫掃)RX Mapping'!AE43&gt;=241,'(橫掃)RX Mapping'!AE43&lt;=360), ('(橫掃)RX Mapping'!AE43-241),IF(AND('(橫掃)RX Mapping'!AE43&gt;=361,'(橫掃)RX Mapping'!AE43&lt;=480), (-1)*('(橫掃)RX Mapping'!AE43-480),IF(AND('(橫掃)RX Mapping'!AE43&gt;=481,'(橫掃)RX Mapping'!AE43&lt;=600), ('(橫掃)RX Mapping'!AE43-361),IF(AND('(橫掃)RX Mapping'!AE43&gt;=601,'(橫掃)RX Mapping'!AE43&lt;=720), (-1)*('(橫掃)RX Mapping'!AE43-720)+120,IF(AND('(橫掃)RX Mapping'!AE43&gt;=721,'(橫掃)RX Mapping'!AE43&lt;=840), ('(橫掃)RX Mapping'!AE43-601),IF(AND('(橫掃)RX Mapping'!AE43&gt;=841,'(橫掃)RX Mapping'!AE43&lt;=960), (-1)*('(橫掃)RX Mapping'!AE43-960)+120,9999))))))))</f>
        <v>9999</v>
      </c>
      <c r="AF43">
        <f>IF(AND('(橫掃)RX Mapping'!AF43&gt;=1,'(橫掃)RX Mapping'!AF43&lt;=120), ('(橫掃)RX Mapping'!AF43-1),IF(AND('(橫掃)RX Mapping'!AF43&gt;=121,'(橫掃)RX Mapping'!AF43&lt;=240), (-1)*('(橫掃)RX Mapping'!AF43-240),IF(AND('(橫掃)RX Mapping'!AF43&gt;=241,'(橫掃)RX Mapping'!AF43&lt;=360), ('(橫掃)RX Mapping'!AF43-241),IF(AND('(橫掃)RX Mapping'!AF43&gt;=361,'(橫掃)RX Mapping'!AF43&lt;=480), (-1)*('(橫掃)RX Mapping'!AF43-480),IF(AND('(橫掃)RX Mapping'!AF43&gt;=481,'(橫掃)RX Mapping'!AF43&lt;=600), ('(橫掃)RX Mapping'!AF43-361),IF(AND('(橫掃)RX Mapping'!AF43&gt;=601,'(橫掃)RX Mapping'!AF43&lt;=720), (-1)*('(橫掃)RX Mapping'!AF43-720)+120,IF(AND('(橫掃)RX Mapping'!AF43&gt;=721,'(橫掃)RX Mapping'!AF43&lt;=840), ('(橫掃)RX Mapping'!AF43-601),IF(AND('(橫掃)RX Mapping'!AF43&gt;=841,'(橫掃)RX Mapping'!AF43&lt;=960), (-1)*('(橫掃)RX Mapping'!AF43-960)+120,9999))))))))</f>
        <v>9999</v>
      </c>
      <c r="AG43">
        <f>IF(AND('(橫掃)RX Mapping'!AG43&gt;=1,'(橫掃)RX Mapping'!AG43&lt;=120), ('(橫掃)RX Mapping'!AG43-1),IF(AND('(橫掃)RX Mapping'!AG43&gt;=121,'(橫掃)RX Mapping'!AG43&lt;=240), (-1)*('(橫掃)RX Mapping'!AG43-240),IF(AND('(橫掃)RX Mapping'!AG43&gt;=241,'(橫掃)RX Mapping'!AG43&lt;=360), ('(橫掃)RX Mapping'!AG43-241),IF(AND('(橫掃)RX Mapping'!AG43&gt;=361,'(橫掃)RX Mapping'!AG43&lt;=480), (-1)*('(橫掃)RX Mapping'!AG43-480),IF(AND('(橫掃)RX Mapping'!AG43&gt;=481,'(橫掃)RX Mapping'!AG43&lt;=600), ('(橫掃)RX Mapping'!AG43-361),IF(AND('(橫掃)RX Mapping'!AG43&gt;=601,'(橫掃)RX Mapping'!AG43&lt;=720), (-1)*('(橫掃)RX Mapping'!AG43-720)+120,IF(AND('(橫掃)RX Mapping'!AG43&gt;=721,'(橫掃)RX Mapping'!AG43&lt;=840), ('(橫掃)RX Mapping'!AG43-601),IF(AND('(橫掃)RX Mapping'!AG43&gt;=841,'(橫掃)RX Mapping'!AG43&lt;=960), (-1)*('(橫掃)RX Mapping'!AG43-960)+120,9999))))))))</f>
        <v>9999</v>
      </c>
      <c r="AH43">
        <f>IF(AND('(橫掃)RX Mapping'!AH43&gt;=1,'(橫掃)RX Mapping'!AH43&lt;=120), ('(橫掃)RX Mapping'!AH43-1),IF(AND('(橫掃)RX Mapping'!AH43&gt;=121,'(橫掃)RX Mapping'!AH43&lt;=240), (-1)*('(橫掃)RX Mapping'!AH43-240),IF(AND('(橫掃)RX Mapping'!AH43&gt;=241,'(橫掃)RX Mapping'!AH43&lt;=360), ('(橫掃)RX Mapping'!AH43-241),IF(AND('(橫掃)RX Mapping'!AH43&gt;=361,'(橫掃)RX Mapping'!AH43&lt;=480), (-1)*('(橫掃)RX Mapping'!AH43-480),IF(AND('(橫掃)RX Mapping'!AH43&gt;=481,'(橫掃)RX Mapping'!AH43&lt;=600), ('(橫掃)RX Mapping'!AH43-361),IF(AND('(橫掃)RX Mapping'!AH43&gt;=601,'(橫掃)RX Mapping'!AH43&lt;=720), (-1)*('(橫掃)RX Mapping'!AH43-720)+120,IF(AND('(橫掃)RX Mapping'!AH43&gt;=721,'(橫掃)RX Mapping'!AH43&lt;=840), ('(橫掃)RX Mapping'!AH43-601),IF(AND('(橫掃)RX Mapping'!AH43&gt;=841,'(橫掃)RX Mapping'!AH43&lt;=960), (-1)*('(橫掃)RX Mapping'!AH43-960)+120,9999))))))))</f>
        <v>9999</v>
      </c>
      <c r="AI43">
        <f>IF(AND('(橫掃)RX Mapping'!AI43&gt;=1,'(橫掃)RX Mapping'!AI43&lt;=120), ('(橫掃)RX Mapping'!AI43-1),IF(AND('(橫掃)RX Mapping'!AI43&gt;=121,'(橫掃)RX Mapping'!AI43&lt;=240), (-1)*('(橫掃)RX Mapping'!AI43-240),IF(AND('(橫掃)RX Mapping'!AI43&gt;=241,'(橫掃)RX Mapping'!AI43&lt;=360), ('(橫掃)RX Mapping'!AI43-241),IF(AND('(橫掃)RX Mapping'!AI43&gt;=361,'(橫掃)RX Mapping'!AI43&lt;=480), (-1)*('(橫掃)RX Mapping'!AI43-480),IF(AND('(橫掃)RX Mapping'!AI43&gt;=481,'(橫掃)RX Mapping'!AI43&lt;=600), ('(橫掃)RX Mapping'!AI43-361),IF(AND('(橫掃)RX Mapping'!AI43&gt;=601,'(橫掃)RX Mapping'!AI43&lt;=720), (-1)*('(橫掃)RX Mapping'!AI43-720)+120,IF(AND('(橫掃)RX Mapping'!AI43&gt;=721,'(橫掃)RX Mapping'!AI43&lt;=840), ('(橫掃)RX Mapping'!AI43-601),IF(AND('(橫掃)RX Mapping'!AI43&gt;=841,'(橫掃)RX Mapping'!AI43&lt;=960), (-1)*('(橫掃)RX Mapping'!AI43-960)+120,9999))))))))</f>
        <v>9999</v>
      </c>
      <c r="AJ43">
        <f>IF(AND('(橫掃)RX Mapping'!AJ43&gt;=1,'(橫掃)RX Mapping'!AJ43&lt;=120), ('(橫掃)RX Mapping'!AJ43-1),IF(AND('(橫掃)RX Mapping'!AJ43&gt;=121,'(橫掃)RX Mapping'!AJ43&lt;=240), (-1)*('(橫掃)RX Mapping'!AJ43-240),IF(AND('(橫掃)RX Mapping'!AJ43&gt;=241,'(橫掃)RX Mapping'!AJ43&lt;=360), ('(橫掃)RX Mapping'!AJ43-241),IF(AND('(橫掃)RX Mapping'!AJ43&gt;=361,'(橫掃)RX Mapping'!AJ43&lt;=480), (-1)*('(橫掃)RX Mapping'!AJ43-480),IF(AND('(橫掃)RX Mapping'!AJ43&gt;=481,'(橫掃)RX Mapping'!AJ43&lt;=600), ('(橫掃)RX Mapping'!AJ43-361),IF(AND('(橫掃)RX Mapping'!AJ43&gt;=601,'(橫掃)RX Mapping'!AJ43&lt;=720), (-1)*('(橫掃)RX Mapping'!AJ43-720)+120,IF(AND('(橫掃)RX Mapping'!AJ43&gt;=721,'(橫掃)RX Mapping'!AJ43&lt;=840), ('(橫掃)RX Mapping'!AJ43-601),IF(AND('(橫掃)RX Mapping'!AJ43&gt;=841,'(橫掃)RX Mapping'!AJ43&lt;=960), (-1)*('(橫掃)RX Mapping'!AJ43-960)+120,9999))))))))</f>
        <v>9999</v>
      </c>
      <c r="AK43">
        <f>IF(AND('(橫掃)RX Mapping'!AK43&gt;=1,'(橫掃)RX Mapping'!AK43&lt;=120), ('(橫掃)RX Mapping'!AK43-1),IF(AND('(橫掃)RX Mapping'!AK43&gt;=121,'(橫掃)RX Mapping'!AK43&lt;=240), (-1)*('(橫掃)RX Mapping'!AK43-240),IF(AND('(橫掃)RX Mapping'!AK43&gt;=241,'(橫掃)RX Mapping'!AK43&lt;=360), ('(橫掃)RX Mapping'!AK43-241),IF(AND('(橫掃)RX Mapping'!AK43&gt;=361,'(橫掃)RX Mapping'!AK43&lt;=480), (-1)*('(橫掃)RX Mapping'!AK43-480),IF(AND('(橫掃)RX Mapping'!AK43&gt;=481,'(橫掃)RX Mapping'!AK43&lt;=600), ('(橫掃)RX Mapping'!AK43-361),IF(AND('(橫掃)RX Mapping'!AK43&gt;=601,'(橫掃)RX Mapping'!AK43&lt;=720), (-1)*('(橫掃)RX Mapping'!AK43-720)+120,IF(AND('(橫掃)RX Mapping'!AK43&gt;=721,'(橫掃)RX Mapping'!AK43&lt;=840), ('(橫掃)RX Mapping'!AK43-601),IF(AND('(橫掃)RX Mapping'!AK43&gt;=841,'(橫掃)RX Mapping'!AK43&lt;=960), (-1)*('(橫掃)RX Mapping'!AK43-960)+120,9999))))))))</f>
        <v>9999</v>
      </c>
      <c r="AL43">
        <f>IF(AND('(橫掃)RX Mapping'!AL43&gt;=1,'(橫掃)RX Mapping'!AL43&lt;=120), ('(橫掃)RX Mapping'!AL43-1),IF(AND('(橫掃)RX Mapping'!AL43&gt;=121,'(橫掃)RX Mapping'!AL43&lt;=240), (-1)*('(橫掃)RX Mapping'!AL43-240),IF(AND('(橫掃)RX Mapping'!AL43&gt;=241,'(橫掃)RX Mapping'!AL43&lt;=360), ('(橫掃)RX Mapping'!AL43-241),IF(AND('(橫掃)RX Mapping'!AL43&gt;=361,'(橫掃)RX Mapping'!AL43&lt;=480), (-1)*('(橫掃)RX Mapping'!AL43-480),IF(AND('(橫掃)RX Mapping'!AL43&gt;=481,'(橫掃)RX Mapping'!AL43&lt;=600), ('(橫掃)RX Mapping'!AL43-361),IF(AND('(橫掃)RX Mapping'!AL43&gt;=601,'(橫掃)RX Mapping'!AL43&lt;=720), (-1)*('(橫掃)RX Mapping'!AL43-720)+120,IF(AND('(橫掃)RX Mapping'!AL43&gt;=721,'(橫掃)RX Mapping'!AL43&lt;=840), ('(橫掃)RX Mapping'!AL43-601),IF(AND('(橫掃)RX Mapping'!AL43&gt;=841,'(橫掃)RX Mapping'!AL43&lt;=960), (-1)*('(橫掃)RX Mapping'!AL43-960)+120,9999))))))))</f>
        <v>9999</v>
      </c>
      <c r="AM43">
        <f>IF(AND('(橫掃)RX Mapping'!AM43&gt;=1,'(橫掃)RX Mapping'!AM43&lt;=120), ('(橫掃)RX Mapping'!AM43-1),IF(AND('(橫掃)RX Mapping'!AM43&gt;=121,'(橫掃)RX Mapping'!AM43&lt;=240), (-1)*('(橫掃)RX Mapping'!AM43-240),IF(AND('(橫掃)RX Mapping'!AM43&gt;=241,'(橫掃)RX Mapping'!AM43&lt;=360), ('(橫掃)RX Mapping'!AM43-241),IF(AND('(橫掃)RX Mapping'!AM43&gt;=361,'(橫掃)RX Mapping'!AM43&lt;=480), (-1)*('(橫掃)RX Mapping'!AM43-480),IF(AND('(橫掃)RX Mapping'!AM43&gt;=481,'(橫掃)RX Mapping'!AM43&lt;=600), ('(橫掃)RX Mapping'!AM43-361),IF(AND('(橫掃)RX Mapping'!AM43&gt;=601,'(橫掃)RX Mapping'!AM43&lt;=720), (-1)*('(橫掃)RX Mapping'!AM43-720)+120,IF(AND('(橫掃)RX Mapping'!AM43&gt;=721,'(橫掃)RX Mapping'!AM43&lt;=840), ('(橫掃)RX Mapping'!AM43-601),IF(AND('(橫掃)RX Mapping'!AM43&gt;=841,'(橫掃)RX Mapping'!AM43&lt;=960), (-1)*('(橫掃)RX Mapping'!AM43-960)+120,9999))))))))</f>
        <v>9999</v>
      </c>
      <c r="AN43">
        <f>IF(AND('(橫掃)RX Mapping'!AN43&gt;=1,'(橫掃)RX Mapping'!AN43&lt;=120), ('(橫掃)RX Mapping'!AN43-1),IF(AND('(橫掃)RX Mapping'!AN43&gt;=121,'(橫掃)RX Mapping'!AN43&lt;=240), (-1)*('(橫掃)RX Mapping'!AN43-240),IF(AND('(橫掃)RX Mapping'!AN43&gt;=241,'(橫掃)RX Mapping'!AN43&lt;=360), ('(橫掃)RX Mapping'!AN43-241),IF(AND('(橫掃)RX Mapping'!AN43&gt;=361,'(橫掃)RX Mapping'!AN43&lt;=480), (-1)*('(橫掃)RX Mapping'!AN43-480),IF(AND('(橫掃)RX Mapping'!AN43&gt;=481,'(橫掃)RX Mapping'!AN43&lt;=600), ('(橫掃)RX Mapping'!AN43-361),IF(AND('(橫掃)RX Mapping'!AN43&gt;=601,'(橫掃)RX Mapping'!AN43&lt;=720), (-1)*('(橫掃)RX Mapping'!AN43-720)+120,IF(AND('(橫掃)RX Mapping'!AN43&gt;=721,'(橫掃)RX Mapping'!AN43&lt;=840), ('(橫掃)RX Mapping'!AN43-601),IF(AND('(橫掃)RX Mapping'!AN43&gt;=841,'(橫掃)RX Mapping'!AN43&lt;=960), (-1)*('(橫掃)RX Mapping'!AN43-960)+120,9999))))))))</f>
        <v>9999</v>
      </c>
      <c r="AO43">
        <f>IF(AND('(橫掃)RX Mapping'!AO43&gt;=1,'(橫掃)RX Mapping'!AO43&lt;=120), ('(橫掃)RX Mapping'!AO43-1),IF(AND('(橫掃)RX Mapping'!AO43&gt;=121,'(橫掃)RX Mapping'!AO43&lt;=240), (-1)*('(橫掃)RX Mapping'!AO43-240),IF(AND('(橫掃)RX Mapping'!AO43&gt;=241,'(橫掃)RX Mapping'!AO43&lt;=360), ('(橫掃)RX Mapping'!AO43-241),IF(AND('(橫掃)RX Mapping'!AO43&gt;=361,'(橫掃)RX Mapping'!AO43&lt;=480), (-1)*('(橫掃)RX Mapping'!AO43-480),IF(AND('(橫掃)RX Mapping'!AO43&gt;=481,'(橫掃)RX Mapping'!AO43&lt;=600), ('(橫掃)RX Mapping'!AO43-361),IF(AND('(橫掃)RX Mapping'!AO43&gt;=601,'(橫掃)RX Mapping'!AO43&lt;=720), (-1)*('(橫掃)RX Mapping'!AO43-720)+120,IF(AND('(橫掃)RX Mapping'!AO43&gt;=721,'(橫掃)RX Mapping'!AO43&lt;=840), ('(橫掃)RX Mapping'!AO43-601),IF(AND('(橫掃)RX Mapping'!AO43&gt;=841,'(橫掃)RX Mapping'!AO43&lt;=960), (-1)*('(橫掃)RX Mapping'!AO43-960)+120,9999))))))))</f>
        <v>9999</v>
      </c>
      <c r="AP43">
        <f>IF(AND('(橫掃)RX Mapping'!AP43&gt;=1,'(橫掃)RX Mapping'!AP43&lt;=120), ('(橫掃)RX Mapping'!AP43-1),IF(AND('(橫掃)RX Mapping'!AP43&gt;=121,'(橫掃)RX Mapping'!AP43&lt;=240), (-1)*('(橫掃)RX Mapping'!AP43-240),IF(AND('(橫掃)RX Mapping'!AP43&gt;=241,'(橫掃)RX Mapping'!AP43&lt;=360), ('(橫掃)RX Mapping'!AP43-241),IF(AND('(橫掃)RX Mapping'!AP43&gt;=361,'(橫掃)RX Mapping'!AP43&lt;=480), (-1)*('(橫掃)RX Mapping'!AP43-480),IF(AND('(橫掃)RX Mapping'!AP43&gt;=481,'(橫掃)RX Mapping'!AP43&lt;=600), ('(橫掃)RX Mapping'!AP43-361),IF(AND('(橫掃)RX Mapping'!AP43&gt;=601,'(橫掃)RX Mapping'!AP43&lt;=720), (-1)*('(橫掃)RX Mapping'!AP43-720)+120,IF(AND('(橫掃)RX Mapping'!AP43&gt;=721,'(橫掃)RX Mapping'!AP43&lt;=840), ('(橫掃)RX Mapping'!AP43-601),IF(AND('(橫掃)RX Mapping'!AP43&gt;=841,'(橫掃)RX Mapping'!AP43&lt;=960), (-1)*('(橫掃)RX Mapping'!AP43-960)+120,9999))))))))</f>
        <v>9999</v>
      </c>
      <c r="AQ43">
        <f>IF(AND('(橫掃)RX Mapping'!AQ43&gt;=1,'(橫掃)RX Mapping'!AQ43&lt;=120), ('(橫掃)RX Mapping'!AQ43-1),IF(AND('(橫掃)RX Mapping'!AQ43&gt;=121,'(橫掃)RX Mapping'!AQ43&lt;=240), (-1)*('(橫掃)RX Mapping'!AQ43-240),IF(AND('(橫掃)RX Mapping'!AQ43&gt;=241,'(橫掃)RX Mapping'!AQ43&lt;=360), ('(橫掃)RX Mapping'!AQ43-241),IF(AND('(橫掃)RX Mapping'!AQ43&gt;=361,'(橫掃)RX Mapping'!AQ43&lt;=480), (-1)*('(橫掃)RX Mapping'!AQ43-480),IF(AND('(橫掃)RX Mapping'!AQ43&gt;=481,'(橫掃)RX Mapping'!AQ43&lt;=600), ('(橫掃)RX Mapping'!AQ43-361),IF(AND('(橫掃)RX Mapping'!AQ43&gt;=601,'(橫掃)RX Mapping'!AQ43&lt;=720), (-1)*('(橫掃)RX Mapping'!AQ43-720)+120,IF(AND('(橫掃)RX Mapping'!AQ43&gt;=721,'(橫掃)RX Mapping'!AQ43&lt;=840), ('(橫掃)RX Mapping'!AQ43-601),IF(AND('(橫掃)RX Mapping'!AQ43&gt;=841,'(橫掃)RX Mapping'!AQ43&lt;=960), (-1)*('(橫掃)RX Mapping'!AQ43-960)+120,9999))))))))</f>
        <v>9999</v>
      </c>
      <c r="AR43">
        <f>IF(AND('(橫掃)RX Mapping'!AR43&gt;=1,'(橫掃)RX Mapping'!AR43&lt;=120), ('(橫掃)RX Mapping'!AR43-1),IF(AND('(橫掃)RX Mapping'!AR43&gt;=121,'(橫掃)RX Mapping'!AR43&lt;=240), (-1)*('(橫掃)RX Mapping'!AR43-240),IF(AND('(橫掃)RX Mapping'!AR43&gt;=241,'(橫掃)RX Mapping'!AR43&lt;=360), ('(橫掃)RX Mapping'!AR43-241),IF(AND('(橫掃)RX Mapping'!AR43&gt;=361,'(橫掃)RX Mapping'!AR43&lt;=480), (-1)*('(橫掃)RX Mapping'!AR43-480),IF(AND('(橫掃)RX Mapping'!AR43&gt;=481,'(橫掃)RX Mapping'!AR43&lt;=600), ('(橫掃)RX Mapping'!AR43-361),IF(AND('(橫掃)RX Mapping'!AR43&gt;=601,'(橫掃)RX Mapping'!AR43&lt;=720), (-1)*('(橫掃)RX Mapping'!AR43-720)+120,IF(AND('(橫掃)RX Mapping'!AR43&gt;=721,'(橫掃)RX Mapping'!AR43&lt;=840), ('(橫掃)RX Mapping'!AR43-601),IF(AND('(橫掃)RX Mapping'!AR43&gt;=841,'(橫掃)RX Mapping'!AR43&lt;=960), (-1)*('(橫掃)RX Mapping'!AR43-960)+120,9999))))))))</f>
        <v>9999</v>
      </c>
      <c r="AS43">
        <f>IF(AND('(橫掃)RX Mapping'!AS43&gt;=1,'(橫掃)RX Mapping'!AS43&lt;=120), ('(橫掃)RX Mapping'!AS43-1),IF(AND('(橫掃)RX Mapping'!AS43&gt;=121,'(橫掃)RX Mapping'!AS43&lt;=240), (-1)*('(橫掃)RX Mapping'!AS43-240),IF(AND('(橫掃)RX Mapping'!AS43&gt;=241,'(橫掃)RX Mapping'!AS43&lt;=360), ('(橫掃)RX Mapping'!AS43-241),IF(AND('(橫掃)RX Mapping'!AS43&gt;=361,'(橫掃)RX Mapping'!AS43&lt;=480), (-1)*('(橫掃)RX Mapping'!AS43-480),IF(AND('(橫掃)RX Mapping'!AS43&gt;=481,'(橫掃)RX Mapping'!AS43&lt;=600), ('(橫掃)RX Mapping'!AS43-361),IF(AND('(橫掃)RX Mapping'!AS43&gt;=601,'(橫掃)RX Mapping'!AS43&lt;=720), (-1)*('(橫掃)RX Mapping'!AS43-720)+120,IF(AND('(橫掃)RX Mapping'!AS43&gt;=721,'(橫掃)RX Mapping'!AS43&lt;=840), ('(橫掃)RX Mapping'!AS43-601),IF(AND('(橫掃)RX Mapping'!AS43&gt;=841,'(橫掃)RX Mapping'!AS43&lt;=960), (-1)*('(橫掃)RX Mapping'!AS43-960)+120,9999))))))))</f>
        <v>9999</v>
      </c>
      <c r="AT43">
        <f>IF(AND('(橫掃)RX Mapping'!AT43&gt;=1,'(橫掃)RX Mapping'!AT43&lt;=120), ('(橫掃)RX Mapping'!AT43-1),IF(AND('(橫掃)RX Mapping'!AT43&gt;=121,'(橫掃)RX Mapping'!AT43&lt;=240), (-1)*('(橫掃)RX Mapping'!AT43-240),IF(AND('(橫掃)RX Mapping'!AT43&gt;=241,'(橫掃)RX Mapping'!AT43&lt;=360), ('(橫掃)RX Mapping'!AT43-241),IF(AND('(橫掃)RX Mapping'!AT43&gt;=361,'(橫掃)RX Mapping'!AT43&lt;=480), (-1)*('(橫掃)RX Mapping'!AT43-480),IF(AND('(橫掃)RX Mapping'!AT43&gt;=481,'(橫掃)RX Mapping'!AT43&lt;=600), ('(橫掃)RX Mapping'!AT43-361),IF(AND('(橫掃)RX Mapping'!AT43&gt;=601,'(橫掃)RX Mapping'!AT43&lt;=720), (-1)*('(橫掃)RX Mapping'!AT43-720)+120,IF(AND('(橫掃)RX Mapping'!AT43&gt;=721,'(橫掃)RX Mapping'!AT43&lt;=840), ('(橫掃)RX Mapping'!AT43-601),IF(AND('(橫掃)RX Mapping'!AT43&gt;=841,'(橫掃)RX Mapping'!AT43&lt;=960), (-1)*('(橫掃)RX Mapping'!AT43-960)+120,9999))))))))</f>
        <v>9999</v>
      </c>
      <c r="AU43">
        <f>IF(AND('(橫掃)RX Mapping'!AU43&gt;=1,'(橫掃)RX Mapping'!AU43&lt;=120), ('(橫掃)RX Mapping'!AU43-1),IF(AND('(橫掃)RX Mapping'!AU43&gt;=121,'(橫掃)RX Mapping'!AU43&lt;=240), (-1)*('(橫掃)RX Mapping'!AU43-240),IF(AND('(橫掃)RX Mapping'!AU43&gt;=241,'(橫掃)RX Mapping'!AU43&lt;=360), ('(橫掃)RX Mapping'!AU43-241),IF(AND('(橫掃)RX Mapping'!AU43&gt;=361,'(橫掃)RX Mapping'!AU43&lt;=480), (-1)*('(橫掃)RX Mapping'!AU43-480),IF(AND('(橫掃)RX Mapping'!AU43&gt;=481,'(橫掃)RX Mapping'!AU43&lt;=600), ('(橫掃)RX Mapping'!AU43-361),IF(AND('(橫掃)RX Mapping'!AU43&gt;=601,'(橫掃)RX Mapping'!AU43&lt;=720), (-1)*('(橫掃)RX Mapping'!AU43-720)+120,IF(AND('(橫掃)RX Mapping'!AU43&gt;=721,'(橫掃)RX Mapping'!AU43&lt;=840), ('(橫掃)RX Mapping'!AU43-601),IF(AND('(橫掃)RX Mapping'!AU43&gt;=841,'(橫掃)RX Mapping'!AU43&lt;=960), (-1)*('(橫掃)RX Mapping'!AU43-960)+120,9999))))))))</f>
        <v>9999</v>
      </c>
      <c r="AV43">
        <f>IF(AND('(橫掃)RX Mapping'!AV43&gt;=1,'(橫掃)RX Mapping'!AV43&lt;=120), ('(橫掃)RX Mapping'!AV43-1),IF(AND('(橫掃)RX Mapping'!AV43&gt;=121,'(橫掃)RX Mapping'!AV43&lt;=240), (-1)*('(橫掃)RX Mapping'!AV43-240),IF(AND('(橫掃)RX Mapping'!AV43&gt;=241,'(橫掃)RX Mapping'!AV43&lt;=360), ('(橫掃)RX Mapping'!AV43-241),IF(AND('(橫掃)RX Mapping'!AV43&gt;=361,'(橫掃)RX Mapping'!AV43&lt;=480), (-1)*('(橫掃)RX Mapping'!AV43-480),IF(AND('(橫掃)RX Mapping'!AV43&gt;=481,'(橫掃)RX Mapping'!AV43&lt;=600), ('(橫掃)RX Mapping'!AV43-361),IF(AND('(橫掃)RX Mapping'!AV43&gt;=601,'(橫掃)RX Mapping'!AV43&lt;=720), (-1)*('(橫掃)RX Mapping'!AV43-720)+120,IF(AND('(橫掃)RX Mapping'!AV43&gt;=721,'(橫掃)RX Mapping'!AV43&lt;=840), ('(橫掃)RX Mapping'!AV43-601),IF(AND('(橫掃)RX Mapping'!AV43&gt;=841,'(橫掃)RX Mapping'!AV43&lt;=960), (-1)*('(橫掃)RX Mapping'!AV43-960)+120,9999))))))))</f>
        <v>9999</v>
      </c>
      <c r="AW43">
        <f>IF(AND('(橫掃)RX Mapping'!AW43&gt;=1,'(橫掃)RX Mapping'!AW43&lt;=120), ('(橫掃)RX Mapping'!AW43-1),IF(AND('(橫掃)RX Mapping'!AW43&gt;=121,'(橫掃)RX Mapping'!AW43&lt;=240), (-1)*('(橫掃)RX Mapping'!AW43-240),IF(AND('(橫掃)RX Mapping'!AW43&gt;=241,'(橫掃)RX Mapping'!AW43&lt;=360), ('(橫掃)RX Mapping'!AW43-241),IF(AND('(橫掃)RX Mapping'!AW43&gt;=361,'(橫掃)RX Mapping'!AW43&lt;=480), (-1)*('(橫掃)RX Mapping'!AW43-480),IF(AND('(橫掃)RX Mapping'!AW43&gt;=481,'(橫掃)RX Mapping'!AW43&lt;=600), ('(橫掃)RX Mapping'!AW43-361),IF(AND('(橫掃)RX Mapping'!AW43&gt;=601,'(橫掃)RX Mapping'!AW43&lt;=720), (-1)*('(橫掃)RX Mapping'!AW43-720)+120,IF(AND('(橫掃)RX Mapping'!AW43&gt;=721,'(橫掃)RX Mapping'!AW43&lt;=840), ('(橫掃)RX Mapping'!AW43-601),IF(AND('(橫掃)RX Mapping'!AW43&gt;=841,'(橫掃)RX Mapping'!AW43&lt;=960), (-1)*('(橫掃)RX Mapping'!AW43-960)+120,9999))))))))</f>
        <v>9999</v>
      </c>
      <c r="AX43">
        <f>IF(AND('(橫掃)RX Mapping'!AX43&gt;=1,'(橫掃)RX Mapping'!AX43&lt;=120), ('(橫掃)RX Mapping'!AX43-1),IF(AND('(橫掃)RX Mapping'!AX43&gt;=121,'(橫掃)RX Mapping'!AX43&lt;=240), (-1)*('(橫掃)RX Mapping'!AX43-240),IF(AND('(橫掃)RX Mapping'!AX43&gt;=241,'(橫掃)RX Mapping'!AX43&lt;=360), ('(橫掃)RX Mapping'!AX43-241),IF(AND('(橫掃)RX Mapping'!AX43&gt;=361,'(橫掃)RX Mapping'!AX43&lt;=480), (-1)*('(橫掃)RX Mapping'!AX43-480),IF(AND('(橫掃)RX Mapping'!AX43&gt;=481,'(橫掃)RX Mapping'!AX43&lt;=600), ('(橫掃)RX Mapping'!AX43-361),IF(AND('(橫掃)RX Mapping'!AX43&gt;=601,'(橫掃)RX Mapping'!AX43&lt;=720), (-1)*('(橫掃)RX Mapping'!AX43-720)+120,IF(AND('(橫掃)RX Mapping'!AX43&gt;=721,'(橫掃)RX Mapping'!AX43&lt;=840), ('(橫掃)RX Mapping'!AX43-601),IF(AND('(橫掃)RX Mapping'!AX43&gt;=841,'(橫掃)RX Mapping'!AX43&lt;=960), (-1)*('(橫掃)RX Mapping'!AX43-960)+120,9999))))))))</f>
        <v>9999</v>
      </c>
      <c r="AY43">
        <f>IF(AND('(橫掃)RX Mapping'!AY43&gt;=1,'(橫掃)RX Mapping'!AY43&lt;=120), ('(橫掃)RX Mapping'!AY43-1),IF(AND('(橫掃)RX Mapping'!AY43&gt;=121,'(橫掃)RX Mapping'!AY43&lt;=240), (-1)*('(橫掃)RX Mapping'!AY43-240),IF(AND('(橫掃)RX Mapping'!AY43&gt;=241,'(橫掃)RX Mapping'!AY43&lt;=360), ('(橫掃)RX Mapping'!AY43-241),IF(AND('(橫掃)RX Mapping'!AY43&gt;=361,'(橫掃)RX Mapping'!AY43&lt;=480), (-1)*('(橫掃)RX Mapping'!AY43-480),IF(AND('(橫掃)RX Mapping'!AY43&gt;=481,'(橫掃)RX Mapping'!AY43&lt;=600), ('(橫掃)RX Mapping'!AY43-361),IF(AND('(橫掃)RX Mapping'!AY43&gt;=601,'(橫掃)RX Mapping'!AY43&lt;=720), (-1)*('(橫掃)RX Mapping'!AY43-720)+120,IF(AND('(橫掃)RX Mapping'!AY43&gt;=721,'(橫掃)RX Mapping'!AY43&lt;=840), ('(橫掃)RX Mapping'!AY43-601),IF(AND('(橫掃)RX Mapping'!AY43&gt;=841,'(橫掃)RX Mapping'!AY43&lt;=960), (-1)*('(橫掃)RX Mapping'!AY43-960)+120,9999))))))))</f>
        <v>9999</v>
      </c>
      <c r="AZ43">
        <f>IF(AND('(橫掃)RX Mapping'!AZ43&gt;=1,'(橫掃)RX Mapping'!AZ43&lt;=120), ('(橫掃)RX Mapping'!AZ43-1),IF(AND('(橫掃)RX Mapping'!AZ43&gt;=121,'(橫掃)RX Mapping'!AZ43&lt;=240), (-1)*('(橫掃)RX Mapping'!AZ43-240),IF(AND('(橫掃)RX Mapping'!AZ43&gt;=241,'(橫掃)RX Mapping'!AZ43&lt;=360), ('(橫掃)RX Mapping'!AZ43-241),IF(AND('(橫掃)RX Mapping'!AZ43&gt;=361,'(橫掃)RX Mapping'!AZ43&lt;=480), (-1)*('(橫掃)RX Mapping'!AZ43-480),IF(AND('(橫掃)RX Mapping'!AZ43&gt;=481,'(橫掃)RX Mapping'!AZ43&lt;=600), ('(橫掃)RX Mapping'!AZ43-361),IF(AND('(橫掃)RX Mapping'!AZ43&gt;=601,'(橫掃)RX Mapping'!AZ43&lt;=720), (-1)*('(橫掃)RX Mapping'!AZ43-720)+120,IF(AND('(橫掃)RX Mapping'!AZ43&gt;=721,'(橫掃)RX Mapping'!AZ43&lt;=840), ('(橫掃)RX Mapping'!AZ43-601),IF(AND('(橫掃)RX Mapping'!AZ43&gt;=841,'(橫掃)RX Mapping'!AZ43&lt;=960), (-1)*('(橫掃)RX Mapping'!AZ43-960)+120,9999))))))))</f>
        <v>9999</v>
      </c>
      <c r="BA43">
        <f>IF(AND('(橫掃)RX Mapping'!BA43&gt;=1,'(橫掃)RX Mapping'!BA43&lt;=120), ('(橫掃)RX Mapping'!BA43-1),IF(AND('(橫掃)RX Mapping'!BA43&gt;=121,'(橫掃)RX Mapping'!BA43&lt;=240), (-1)*('(橫掃)RX Mapping'!BA43-240),IF(AND('(橫掃)RX Mapping'!BA43&gt;=241,'(橫掃)RX Mapping'!BA43&lt;=360), ('(橫掃)RX Mapping'!BA43-241),IF(AND('(橫掃)RX Mapping'!BA43&gt;=361,'(橫掃)RX Mapping'!BA43&lt;=480), (-1)*('(橫掃)RX Mapping'!BA43-480),IF(AND('(橫掃)RX Mapping'!BA43&gt;=481,'(橫掃)RX Mapping'!BA43&lt;=600), ('(橫掃)RX Mapping'!BA43-361),IF(AND('(橫掃)RX Mapping'!BA43&gt;=601,'(橫掃)RX Mapping'!BA43&lt;=720), (-1)*('(橫掃)RX Mapping'!BA43-720)+120,IF(AND('(橫掃)RX Mapping'!BA43&gt;=721,'(橫掃)RX Mapping'!BA43&lt;=840), ('(橫掃)RX Mapping'!BA43-601),IF(AND('(橫掃)RX Mapping'!BA43&gt;=841,'(橫掃)RX Mapping'!BA43&lt;=960), (-1)*('(橫掃)RX Mapping'!BA43-960)+120,9999))))))))</f>
        <v>9999</v>
      </c>
      <c r="BB43">
        <f>IF(AND('(橫掃)RX Mapping'!BB43&gt;=1,'(橫掃)RX Mapping'!BB43&lt;=120), ('(橫掃)RX Mapping'!BB43-1),IF(AND('(橫掃)RX Mapping'!BB43&gt;=121,'(橫掃)RX Mapping'!BB43&lt;=240), (-1)*('(橫掃)RX Mapping'!BB43-240),IF(AND('(橫掃)RX Mapping'!BB43&gt;=241,'(橫掃)RX Mapping'!BB43&lt;=360), ('(橫掃)RX Mapping'!BB43-241),IF(AND('(橫掃)RX Mapping'!BB43&gt;=361,'(橫掃)RX Mapping'!BB43&lt;=480), (-1)*('(橫掃)RX Mapping'!BB43-480),IF(AND('(橫掃)RX Mapping'!BB43&gt;=481,'(橫掃)RX Mapping'!BB43&lt;=600), ('(橫掃)RX Mapping'!BB43-361),IF(AND('(橫掃)RX Mapping'!BB43&gt;=601,'(橫掃)RX Mapping'!BB43&lt;=720), (-1)*('(橫掃)RX Mapping'!BB43-720)+120,IF(AND('(橫掃)RX Mapping'!BB43&gt;=721,'(橫掃)RX Mapping'!BB43&lt;=840), ('(橫掃)RX Mapping'!BB43-601),IF(AND('(橫掃)RX Mapping'!BB43&gt;=841,'(橫掃)RX Mapping'!BB43&lt;=960), (-1)*('(橫掃)RX Mapping'!BB43-960)+120,9999))))))))</f>
        <v>9999</v>
      </c>
      <c r="BC43">
        <f>IF(AND('(橫掃)RX Mapping'!BC43&gt;=1,'(橫掃)RX Mapping'!BC43&lt;=120), ('(橫掃)RX Mapping'!BC43-1),IF(AND('(橫掃)RX Mapping'!BC43&gt;=121,'(橫掃)RX Mapping'!BC43&lt;=240), (-1)*('(橫掃)RX Mapping'!BC43-240),IF(AND('(橫掃)RX Mapping'!BC43&gt;=241,'(橫掃)RX Mapping'!BC43&lt;=360), ('(橫掃)RX Mapping'!BC43-241),IF(AND('(橫掃)RX Mapping'!BC43&gt;=361,'(橫掃)RX Mapping'!BC43&lt;=480), (-1)*('(橫掃)RX Mapping'!BC43-480),IF(AND('(橫掃)RX Mapping'!BC43&gt;=481,'(橫掃)RX Mapping'!BC43&lt;=600), ('(橫掃)RX Mapping'!BC43-361),IF(AND('(橫掃)RX Mapping'!BC43&gt;=601,'(橫掃)RX Mapping'!BC43&lt;=720), (-1)*('(橫掃)RX Mapping'!BC43-720)+120,IF(AND('(橫掃)RX Mapping'!BC43&gt;=721,'(橫掃)RX Mapping'!BC43&lt;=840), ('(橫掃)RX Mapping'!BC43-601),IF(AND('(橫掃)RX Mapping'!BC43&gt;=841,'(橫掃)RX Mapping'!BC43&lt;=960), (-1)*('(橫掃)RX Mapping'!BC43-960)+120,9999))))))))</f>
        <v>9999</v>
      </c>
      <c r="BD43">
        <f>IF(AND('(橫掃)RX Mapping'!BD43&gt;=1,'(橫掃)RX Mapping'!BD43&lt;=120), ('(橫掃)RX Mapping'!BD43-1),IF(AND('(橫掃)RX Mapping'!BD43&gt;=121,'(橫掃)RX Mapping'!BD43&lt;=240), (-1)*('(橫掃)RX Mapping'!BD43-240),IF(AND('(橫掃)RX Mapping'!BD43&gt;=241,'(橫掃)RX Mapping'!BD43&lt;=360), ('(橫掃)RX Mapping'!BD43-241),IF(AND('(橫掃)RX Mapping'!BD43&gt;=361,'(橫掃)RX Mapping'!BD43&lt;=480), (-1)*('(橫掃)RX Mapping'!BD43-480),IF(AND('(橫掃)RX Mapping'!BD43&gt;=481,'(橫掃)RX Mapping'!BD43&lt;=600), ('(橫掃)RX Mapping'!BD43-361),IF(AND('(橫掃)RX Mapping'!BD43&gt;=601,'(橫掃)RX Mapping'!BD43&lt;=720), (-1)*('(橫掃)RX Mapping'!BD43-720)+120,IF(AND('(橫掃)RX Mapping'!BD43&gt;=721,'(橫掃)RX Mapping'!BD43&lt;=840), ('(橫掃)RX Mapping'!BD43-601),IF(AND('(橫掃)RX Mapping'!BD43&gt;=841,'(橫掃)RX Mapping'!BD43&lt;=960), (-1)*('(橫掃)RX Mapping'!BD43-960)+120,9999))))))))</f>
        <v>9999</v>
      </c>
      <c r="BE43">
        <f>IF(AND('(橫掃)RX Mapping'!BE43&gt;=1,'(橫掃)RX Mapping'!BE43&lt;=120), ('(橫掃)RX Mapping'!BE43-1),IF(AND('(橫掃)RX Mapping'!BE43&gt;=121,'(橫掃)RX Mapping'!BE43&lt;=240), (-1)*('(橫掃)RX Mapping'!BE43-240),IF(AND('(橫掃)RX Mapping'!BE43&gt;=241,'(橫掃)RX Mapping'!BE43&lt;=360), ('(橫掃)RX Mapping'!BE43-241),IF(AND('(橫掃)RX Mapping'!BE43&gt;=361,'(橫掃)RX Mapping'!BE43&lt;=480), (-1)*('(橫掃)RX Mapping'!BE43-480),IF(AND('(橫掃)RX Mapping'!BE43&gt;=481,'(橫掃)RX Mapping'!BE43&lt;=600), ('(橫掃)RX Mapping'!BE43-361),IF(AND('(橫掃)RX Mapping'!BE43&gt;=601,'(橫掃)RX Mapping'!BE43&lt;=720), (-1)*('(橫掃)RX Mapping'!BE43-720)+120,IF(AND('(橫掃)RX Mapping'!BE43&gt;=721,'(橫掃)RX Mapping'!BE43&lt;=840), ('(橫掃)RX Mapping'!BE43-601),IF(AND('(橫掃)RX Mapping'!BE43&gt;=841,'(橫掃)RX Mapping'!BE43&lt;=960), (-1)*('(橫掃)RX Mapping'!BE43-960)+120,9999))))))))</f>
        <v>9999</v>
      </c>
      <c r="BF43">
        <f>IF(AND('(橫掃)RX Mapping'!BF43&gt;=1,'(橫掃)RX Mapping'!BF43&lt;=120), ('(橫掃)RX Mapping'!BF43-1),IF(AND('(橫掃)RX Mapping'!BF43&gt;=121,'(橫掃)RX Mapping'!BF43&lt;=240), (-1)*('(橫掃)RX Mapping'!BF43-240),IF(AND('(橫掃)RX Mapping'!BF43&gt;=241,'(橫掃)RX Mapping'!BF43&lt;=360), ('(橫掃)RX Mapping'!BF43-241),IF(AND('(橫掃)RX Mapping'!BF43&gt;=361,'(橫掃)RX Mapping'!BF43&lt;=480), (-1)*('(橫掃)RX Mapping'!BF43-480),IF(AND('(橫掃)RX Mapping'!BF43&gt;=481,'(橫掃)RX Mapping'!BF43&lt;=600), ('(橫掃)RX Mapping'!BF43-361),IF(AND('(橫掃)RX Mapping'!BF43&gt;=601,'(橫掃)RX Mapping'!BF43&lt;=720), (-1)*('(橫掃)RX Mapping'!BF43-720)+120,IF(AND('(橫掃)RX Mapping'!BF43&gt;=721,'(橫掃)RX Mapping'!BF43&lt;=840), ('(橫掃)RX Mapping'!BF43-601),IF(AND('(橫掃)RX Mapping'!BF43&gt;=841,'(橫掃)RX Mapping'!BF43&lt;=960), (-1)*('(橫掃)RX Mapping'!BF43-960)+120,9999))))))))</f>
        <v>9999</v>
      </c>
      <c r="BG43">
        <f>IF(AND('(橫掃)RX Mapping'!BG43&gt;=1,'(橫掃)RX Mapping'!BG43&lt;=120), ('(橫掃)RX Mapping'!BG43-1),IF(AND('(橫掃)RX Mapping'!BG43&gt;=121,'(橫掃)RX Mapping'!BG43&lt;=240), (-1)*('(橫掃)RX Mapping'!BG43-240),IF(AND('(橫掃)RX Mapping'!BG43&gt;=241,'(橫掃)RX Mapping'!BG43&lt;=360), ('(橫掃)RX Mapping'!BG43-241),IF(AND('(橫掃)RX Mapping'!BG43&gt;=361,'(橫掃)RX Mapping'!BG43&lt;=480), (-1)*('(橫掃)RX Mapping'!BG43-480),IF(AND('(橫掃)RX Mapping'!BG43&gt;=481,'(橫掃)RX Mapping'!BG43&lt;=600), ('(橫掃)RX Mapping'!BG43-361),IF(AND('(橫掃)RX Mapping'!BG43&gt;=601,'(橫掃)RX Mapping'!BG43&lt;=720), (-1)*('(橫掃)RX Mapping'!BG43-720)+120,IF(AND('(橫掃)RX Mapping'!BG43&gt;=721,'(橫掃)RX Mapping'!BG43&lt;=840), ('(橫掃)RX Mapping'!BG43-601),IF(AND('(橫掃)RX Mapping'!BG43&gt;=841,'(橫掃)RX Mapping'!BG43&lt;=960), (-1)*('(橫掃)RX Mapping'!BG43-960)+120,9999))))))))</f>
        <v>9999</v>
      </c>
      <c r="BH43">
        <f>IF(AND('(橫掃)RX Mapping'!BH43&gt;=1,'(橫掃)RX Mapping'!BH43&lt;=120), ('(橫掃)RX Mapping'!BH43-1),IF(AND('(橫掃)RX Mapping'!BH43&gt;=121,'(橫掃)RX Mapping'!BH43&lt;=240), (-1)*('(橫掃)RX Mapping'!BH43-240),IF(AND('(橫掃)RX Mapping'!BH43&gt;=241,'(橫掃)RX Mapping'!BH43&lt;=360), ('(橫掃)RX Mapping'!BH43-241),IF(AND('(橫掃)RX Mapping'!BH43&gt;=361,'(橫掃)RX Mapping'!BH43&lt;=480), (-1)*('(橫掃)RX Mapping'!BH43-480),IF(AND('(橫掃)RX Mapping'!BH43&gt;=481,'(橫掃)RX Mapping'!BH43&lt;=600), ('(橫掃)RX Mapping'!BH43-361),IF(AND('(橫掃)RX Mapping'!BH43&gt;=601,'(橫掃)RX Mapping'!BH43&lt;=720), (-1)*('(橫掃)RX Mapping'!BH43-720)+120,IF(AND('(橫掃)RX Mapping'!BH43&gt;=721,'(橫掃)RX Mapping'!BH43&lt;=840), ('(橫掃)RX Mapping'!BH43-601),IF(AND('(橫掃)RX Mapping'!BH43&gt;=841,'(橫掃)RX Mapping'!BH43&lt;=960), (-1)*('(橫掃)RX Mapping'!BH43-960)+120,9999))))))))</f>
        <v>9999</v>
      </c>
      <c r="BI43">
        <f>IF(AND('(橫掃)RX Mapping'!BI43&gt;=1,'(橫掃)RX Mapping'!BI43&lt;=120), ('(橫掃)RX Mapping'!BI43-1),IF(AND('(橫掃)RX Mapping'!BI43&gt;=121,'(橫掃)RX Mapping'!BI43&lt;=240), (-1)*('(橫掃)RX Mapping'!BI43-240),IF(AND('(橫掃)RX Mapping'!BI43&gt;=241,'(橫掃)RX Mapping'!BI43&lt;=360), ('(橫掃)RX Mapping'!BI43-241),IF(AND('(橫掃)RX Mapping'!BI43&gt;=361,'(橫掃)RX Mapping'!BI43&lt;=480), (-1)*('(橫掃)RX Mapping'!BI43-480),IF(AND('(橫掃)RX Mapping'!BI43&gt;=481,'(橫掃)RX Mapping'!BI43&lt;=600), ('(橫掃)RX Mapping'!BI43-361),IF(AND('(橫掃)RX Mapping'!BI43&gt;=601,'(橫掃)RX Mapping'!BI43&lt;=720), (-1)*('(橫掃)RX Mapping'!BI43-720)+120,IF(AND('(橫掃)RX Mapping'!BI43&gt;=721,'(橫掃)RX Mapping'!BI43&lt;=840), ('(橫掃)RX Mapping'!BI43-601),IF(AND('(橫掃)RX Mapping'!BI43&gt;=841,'(橫掃)RX Mapping'!BI43&lt;=960), (-1)*('(橫掃)RX Mapping'!BI43-960)+120,9999))))))))</f>
        <v>9999</v>
      </c>
    </row>
    <row r="44" spans="1:61" x14ac:dyDescent="0.25">
      <c r="A44" s="20">
        <v>43</v>
      </c>
      <c r="B44">
        <f>IF(AND('(橫掃)RX Mapping'!B44&gt;=1,'(橫掃)RX Mapping'!B44&lt;=120), ('(橫掃)RX Mapping'!B44-1),IF(AND('(橫掃)RX Mapping'!B44&gt;=121,'(橫掃)RX Mapping'!B44&lt;=240), (-1)*('(橫掃)RX Mapping'!B44-240),IF(AND('(橫掃)RX Mapping'!B44&gt;=241,'(橫掃)RX Mapping'!B44&lt;=360), ('(橫掃)RX Mapping'!B44-241),IF(AND('(橫掃)RX Mapping'!B44&gt;=361,'(橫掃)RX Mapping'!B44&lt;=480), (-1)*('(橫掃)RX Mapping'!B44-480),IF(AND('(橫掃)RX Mapping'!B44&gt;=481,'(橫掃)RX Mapping'!B44&lt;=600), ('(橫掃)RX Mapping'!B44-361),IF(AND('(橫掃)RX Mapping'!B44&gt;=601,'(橫掃)RX Mapping'!B44&lt;=720), (-1)*('(橫掃)RX Mapping'!B44-720)+120,IF(AND('(橫掃)RX Mapping'!B44&gt;=721,'(橫掃)RX Mapping'!B44&lt;=840), ('(橫掃)RX Mapping'!B44-601),IF(AND('(橫掃)RX Mapping'!B44&gt;=841,'(橫掃)RX Mapping'!B44&lt;=960), (-1)*('(橫掃)RX Mapping'!B44-960)+120,9999))))))))</f>
        <v>9999</v>
      </c>
      <c r="C44">
        <f>IF(AND('(橫掃)RX Mapping'!C44&gt;=1,'(橫掃)RX Mapping'!C44&lt;=120), ('(橫掃)RX Mapping'!C44-1),IF(AND('(橫掃)RX Mapping'!C44&gt;=121,'(橫掃)RX Mapping'!C44&lt;=240), (-1)*('(橫掃)RX Mapping'!C44-240),IF(AND('(橫掃)RX Mapping'!C44&gt;=241,'(橫掃)RX Mapping'!C44&lt;=360), ('(橫掃)RX Mapping'!C44-241),IF(AND('(橫掃)RX Mapping'!C44&gt;=361,'(橫掃)RX Mapping'!C44&lt;=480), (-1)*('(橫掃)RX Mapping'!C44-480),IF(AND('(橫掃)RX Mapping'!C44&gt;=481,'(橫掃)RX Mapping'!C44&lt;=600), ('(橫掃)RX Mapping'!C44-361),IF(AND('(橫掃)RX Mapping'!C44&gt;=601,'(橫掃)RX Mapping'!C44&lt;=720), (-1)*('(橫掃)RX Mapping'!C44-720)+120,IF(AND('(橫掃)RX Mapping'!C44&gt;=721,'(橫掃)RX Mapping'!C44&lt;=840), ('(橫掃)RX Mapping'!C44-601),IF(AND('(橫掃)RX Mapping'!C44&gt;=841,'(橫掃)RX Mapping'!C44&lt;=960), (-1)*('(橫掃)RX Mapping'!C44-960)+120,9999))))))))</f>
        <v>9999</v>
      </c>
      <c r="D44">
        <f>IF(AND('(橫掃)RX Mapping'!D44&gt;=1,'(橫掃)RX Mapping'!D44&lt;=120), ('(橫掃)RX Mapping'!D44-1),IF(AND('(橫掃)RX Mapping'!D44&gt;=121,'(橫掃)RX Mapping'!D44&lt;=240), (-1)*('(橫掃)RX Mapping'!D44-240),IF(AND('(橫掃)RX Mapping'!D44&gt;=241,'(橫掃)RX Mapping'!D44&lt;=360), ('(橫掃)RX Mapping'!D44-241),IF(AND('(橫掃)RX Mapping'!D44&gt;=361,'(橫掃)RX Mapping'!D44&lt;=480), (-1)*('(橫掃)RX Mapping'!D44-480),IF(AND('(橫掃)RX Mapping'!D44&gt;=481,'(橫掃)RX Mapping'!D44&lt;=600), ('(橫掃)RX Mapping'!D44-361),IF(AND('(橫掃)RX Mapping'!D44&gt;=601,'(橫掃)RX Mapping'!D44&lt;=720), (-1)*('(橫掃)RX Mapping'!D44-720)+120,IF(AND('(橫掃)RX Mapping'!D44&gt;=721,'(橫掃)RX Mapping'!D44&lt;=840), ('(橫掃)RX Mapping'!D44-601),IF(AND('(橫掃)RX Mapping'!D44&gt;=841,'(橫掃)RX Mapping'!D44&lt;=960), (-1)*('(橫掃)RX Mapping'!D44-960)+120,9999))))))))</f>
        <v>9999</v>
      </c>
      <c r="E44">
        <f>IF(AND('(橫掃)RX Mapping'!E44&gt;=1,'(橫掃)RX Mapping'!E44&lt;=120), ('(橫掃)RX Mapping'!E44-1),IF(AND('(橫掃)RX Mapping'!E44&gt;=121,'(橫掃)RX Mapping'!E44&lt;=240), (-1)*('(橫掃)RX Mapping'!E44-240),IF(AND('(橫掃)RX Mapping'!E44&gt;=241,'(橫掃)RX Mapping'!E44&lt;=360), ('(橫掃)RX Mapping'!E44-241),IF(AND('(橫掃)RX Mapping'!E44&gt;=361,'(橫掃)RX Mapping'!E44&lt;=480), (-1)*('(橫掃)RX Mapping'!E44-480),IF(AND('(橫掃)RX Mapping'!E44&gt;=481,'(橫掃)RX Mapping'!E44&lt;=600), ('(橫掃)RX Mapping'!E44-361),IF(AND('(橫掃)RX Mapping'!E44&gt;=601,'(橫掃)RX Mapping'!E44&lt;=720), (-1)*('(橫掃)RX Mapping'!E44-720)+120,IF(AND('(橫掃)RX Mapping'!E44&gt;=721,'(橫掃)RX Mapping'!E44&lt;=840), ('(橫掃)RX Mapping'!E44-601),IF(AND('(橫掃)RX Mapping'!E44&gt;=841,'(橫掃)RX Mapping'!E44&lt;=960), (-1)*('(橫掃)RX Mapping'!E44-960)+120,9999))))))))</f>
        <v>9999</v>
      </c>
      <c r="F44">
        <f>IF(AND('(橫掃)RX Mapping'!F44&gt;=1,'(橫掃)RX Mapping'!F44&lt;=120), ('(橫掃)RX Mapping'!F44-1),IF(AND('(橫掃)RX Mapping'!F44&gt;=121,'(橫掃)RX Mapping'!F44&lt;=240), (-1)*('(橫掃)RX Mapping'!F44-240),IF(AND('(橫掃)RX Mapping'!F44&gt;=241,'(橫掃)RX Mapping'!F44&lt;=360), ('(橫掃)RX Mapping'!F44-241),IF(AND('(橫掃)RX Mapping'!F44&gt;=361,'(橫掃)RX Mapping'!F44&lt;=480), (-1)*('(橫掃)RX Mapping'!F44-480),IF(AND('(橫掃)RX Mapping'!F44&gt;=481,'(橫掃)RX Mapping'!F44&lt;=600), ('(橫掃)RX Mapping'!F44-361),IF(AND('(橫掃)RX Mapping'!F44&gt;=601,'(橫掃)RX Mapping'!F44&lt;=720), (-1)*('(橫掃)RX Mapping'!F44-720)+120,IF(AND('(橫掃)RX Mapping'!F44&gt;=721,'(橫掃)RX Mapping'!F44&lt;=840), ('(橫掃)RX Mapping'!F44-601),IF(AND('(橫掃)RX Mapping'!F44&gt;=841,'(橫掃)RX Mapping'!F44&lt;=960), (-1)*('(橫掃)RX Mapping'!F44-960)+120,9999))))))))</f>
        <v>9999</v>
      </c>
      <c r="G44">
        <f>IF(AND('(橫掃)RX Mapping'!G44&gt;=1,'(橫掃)RX Mapping'!G44&lt;=120), ('(橫掃)RX Mapping'!G44-1),IF(AND('(橫掃)RX Mapping'!G44&gt;=121,'(橫掃)RX Mapping'!G44&lt;=240), (-1)*('(橫掃)RX Mapping'!G44-240),IF(AND('(橫掃)RX Mapping'!G44&gt;=241,'(橫掃)RX Mapping'!G44&lt;=360), ('(橫掃)RX Mapping'!G44-241),IF(AND('(橫掃)RX Mapping'!G44&gt;=361,'(橫掃)RX Mapping'!G44&lt;=480), (-1)*('(橫掃)RX Mapping'!G44-480),IF(AND('(橫掃)RX Mapping'!G44&gt;=481,'(橫掃)RX Mapping'!G44&lt;=600), ('(橫掃)RX Mapping'!G44-361),IF(AND('(橫掃)RX Mapping'!G44&gt;=601,'(橫掃)RX Mapping'!G44&lt;=720), (-1)*('(橫掃)RX Mapping'!G44-720)+120,IF(AND('(橫掃)RX Mapping'!G44&gt;=721,'(橫掃)RX Mapping'!G44&lt;=840), ('(橫掃)RX Mapping'!G44-601),IF(AND('(橫掃)RX Mapping'!G44&gt;=841,'(橫掃)RX Mapping'!G44&lt;=960), (-1)*('(橫掃)RX Mapping'!G44-960)+120,9999))))))))</f>
        <v>9999</v>
      </c>
      <c r="H44">
        <f>IF(AND('(橫掃)RX Mapping'!H44&gt;=1,'(橫掃)RX Mapping'!H44&lt;=120), ('(橫掃)RX Mapping'!H44-1),IF(AND('(橫掃)RX Mapping'!H44&gt;=121,'(橫掃)RX Mapping'!H44&lt;=240), (-1)*('(橫掃)RX Mapping'!H44-240),IF(AND('(橫掃)RX Mapping'!H44&gt;=241,'(橫掃)RX Mapping'!H44&lt;=360), ('(橫掃)RX Mapping'!H44-241),IF(AND('(橫掃)RX Mapping'!H44&gt;=361,'(橫掃)RX Mapping'!H44&lt;=480), (-1)*('(橫掃)RX Mapping'!H44-480),IF(AND('(橫掃)RX Mapping'!H44&gt;=481,'(橫掃)RX Mapping'!H44&lt;=600), ('(橫掃)RX Mapping'!H44-361),IF(AND('(橫掃)RX Mapping'!H44&gt;=601,'(橫掃)RX Mapping'!H44&lt;=720), (-1)*('(橫掃)RX Mapping'!H44-720)+120,IF(AND('(橫掃)RX Mapping'!H44&gt;=721,'(橫掃)RX Mapping'!H44&lt;=840), ('(橫掃)RX Mapping'!H44-601),IF(AND('(橫掃)RX Mapping'!H44&gt;=841,'(橫掃)RX Mapping'!H44&lt;=960), (-1)*('(橫掃)RX Mapping'!H44-960)+120,9999))))))))</f>
        <v>9999</v>
      </c>
      <c r="I44">
        <f>IF(AND('(橫掃)RX Mapping'!I44&gt;=1,'(橫掃)RX Mapping'!I44&lt;=120), ('(橫掃)RX Mapping'!I44-1),IF(AND('(橫掃)RX Mapping'!I44&gt;=121,'(橫掃)RX Mapping'!I44&lt;=240), (-1)*('(橫掃)RX Mapping'!I44-240),IF(AND('(橫掃)RX Mapping'!I44&gt;=241,'(橫掃)RX Mapping'!I44&lt;=360), ('(橫掃)RX Mapping'!I44-241),IF(AND('(橫掃)RX Mapping'!I44&gt;=361,'(橫掃)RX Mapping'!I44&lt;=480), (-1)*('(橫掃)RX Mapping'!I44-480),IF(AND('(橫掃)RX Mapping'!I44&gt;=481,'(橫掃)RX Mapping'!I44&lt;=600), ('(橫掃)RX Mapping'!I44-361),IF(AND('(橫掃)RX Mapping'!I44&gt;=601,'(橫掃)RX Mapping'!I44&lt;=720), (-1)*('(橫掃)RX Mapping'!I44-720)+120,IF(AND('(橫掃)RX Mapping'!I44&gt;=721,'(橫掃)RX Mapping'!I44&lt;=840), ('(橫掃)RX Mapping'!I44-601),IF(AND('(橫掃)RX Mapping'!I44&gt;=841,'(橫掃)RX Mapping'!I44&lt;=960), (-1)*('(橫掃)RX Mapping'!I44-960)+120,9999))))))))</f>
        <v>9999</v>
      </c>
      <c r="J44">
        <f>IF(AND('(橫掃)RX Mapping'!J44&gt;=1,'(橫掃)RX Mapping'!J44&lt;=120), ('(橫掃)RX Mapping'!J44-1),IF(AND('(橫掃)RX Mapping'!J44&gt;=121,'(橫掃)RX Mapping'!J44&lt;=240), (-1)*('(橫掃)RX Mapping'!J44-240),IF(AND('(橫掃)RX Mapping'!J44&gt;=241,'(橫掃)RX Mapping'!J44&lt;=360), ('(橫掃)RX Mapping'!J44-241),IF(AND('(橫掃)RX Mapping'!J44&gt;=361,'(橫掃)RX Mapping'!J44&lt;=480), (-1)*('(橫掃)RX Mapping'!J44-480),IF(AND('(橫掃)RX Mapping'!J44&gt;=481,'(橫掃)RX Mapping'!J44&lt;=600), ('(橫掃)RX Mapping'!J44-361),IF(AND('(橫掃)RX Mapping'!J44&gt;=601,'(橫掃)RX Mapping'!J44&lt;=720), (-1)*('(橫掃)RX Mapping'!J44-720)+120,IF(AND('(橫掃)RX Mapping'!J44&gt;=721,'(橫掃)RX Mapping'!J44&lt;=840), ('(橫掃)RX Mapping'!J44-601),IF(AND('(橫掃)RX Mapping'!J44&gt;=841,'(橫掃)RX Mapping'!J44&lt;=960), (-1)*('(橫掃)RX Mapping'!J44-960)+120,9999))))))))</f>
        <v>9999</v>
      </c>
      <c r="K44">
        <f>IF(AND('(橫掃)RX Mapping'!K44&gt;=1,'(橫掃)RX Mapping'!K44&lt;=120), ('(橫掃)RX Mapping'!K44-1),IF(AND('(橫掃)RX Mapping'!K44&gt;=121,'(橫掃)RX Mapping'!K44&lt;=240), (-1)*('(橫掃)RX Mapping'!K44-240),IF(AND('(橫掃)RX Mapping'!K44&gt;=241,'(橫掃)RX Mapping'!K44&lt;=360), ('(橫掃)RX Mapping'!K44-241),IF(AND('(橫掃)RX Mapping'!K44&gt;=361,'(橫掃)RX Mapping'!K44&lt;=480), (-1)*('(橫掃)RX Mapping'!K44-480),IF(AND('(橫掃)RX Mapping'!K44&gt;=481,'(橫掃)RX Mapping'!K44&lt;=600), ('(橫掃)RX Mapping'!K44-361),IF(AND('(橫掃)RX Mapping'!K44&gt;=601,'(橫掃)RX Mapping'!K44&lt;=720), (-1)*('(橫掃)RX Mapping'!K44-720)+120,IF(AND('(橫掃)RX Mapping'!K44&gt;=721,'(橫掃)RX Mapping'!K44&lt;=840), ('(橫掃)RX Mapping'!K44-601),IF(AND('(橫掃)RX Mapping'!K44&gt;=841,'(橫掃)RX Mapping'!K44&lt;=960), (-1)*('(橫掃)RX Mapping'!K44-960)+120,9999))))))))</f>
        <v>9999</v>
      </c>
      <c r="L44">
        <f>IF(AND('(橫掃)RX Mapping'!L44&gt;=1,'(橫掃)RX Mapping'!L44&lt;=120), ('(橫掃)RX Mapping'!L44-1),IF(AND('(橫掃)RX Mapping'!L44&gt;=121,'(橫掃)RX Mapping'!L44&lt;=240), (-1)*('(橫掃)RX Mapping'!L44-240),IF(AND('(橫掃)RX Mapping'!L44&gt;=241,'(橫掃)RX Mapping'!L44&lt;=360), ('(橫掃)RX Mapping'!L44-241),IF(AND('(橫掃)RX Mapping'!L44&gt;=361,'(橫掃)RX Mapping'!L44&lt;=480), (-1)*('(橫掃)RX Mapping'!L44-480),IF(AND('(橫掃)RX Mapping'!L44&gt;=481,'(橫掃)RX Mapping'!L44&lt;=600), ('(橫掃)RX Mapping'!L44-361),IF(AND('(橫掃)RX Mapping'!L44&gt;=601,'(橫掃)RX Mapping'!L44&lt;=720), (-1)*('(橫掃)RX Mapping'!L44-720)+120,IF(AND('(橫掃)RX Mapping'!L44&gt;=721,'(橫掃)RX Mapping'!L44&lt;=840), ('(橫掃)RX Mapping'!L44-601),IF(AND('(橫掃)RX Mapping'!L44&gt;=841,'(橫掃)RX Mapping'!L44&lt;=960), (-1)*('(橫掃)RX Mapping'!L44-960)+120,9999))))))))</f>
        <v>9999</v>
      </c>
      <c r="M44">
        <f>IF(AND('(橫掃)RX Mapping'!M44&gt;=1,'(橫掃)RX Mapping'!M44&lt;=120), ('(橫掃)RX Mapping'!M44-1),IF(AND('(橫掃)RX Mapping'!M44&gt;=121,'(橫掃)RX Mapping'!M44&lt;=240), (-1)*('(橫掃)RX Mapping'!M44-240),IF(AND('(橫掃)RX Mapping'!M44&gt;=241,'(橫掃)RX Mapping'!M44&lt;=360), ('(橫掃)RX Mapping'!M44-241),IF(AND('(橫掃)RX Mapping'!M44&gt;=361,'(橫掃)RX Mapping'!M44&lt;=480), (-1)*('(橫掃)RX Mapping'!M44-480),IF(AND('(橫掃)RX Mapping'!M44&gt;=481,'(橫掃)RX Mapping'!M44&lt;=600), ('(橫掃)RX Mapping'!M44-361),IF(AND('(橫掃)RX Mapping'!M44&gt;=601,'(橫掃)RX Mapping'!M44&lt;=720), (-1)*('(橫掃)RX Mapping'!M44-720)+120,IF(AND('(橫掃)RX Mapping'!M44&gt;=721,'(橫掃)RX Mapping'!M44&lt;=840), ('(橫掃)RX Mapping'!M44-601),IF(AND('(橫掃)RX Mapping'!M44&gt;=841,'(橫掃)RX Mapping'!M44&lt;=960), (-1)*('(橫掃)RX Mapping'!M44-960)+120,9999))))))))</f>
        <v>9999</v>
      </c>
      <c r="N44">
        <f>IF(AND('(橫掃)RX Mapping'!N44&gt;=1,'(橫掃)RX Mapping'!N44&lt;=120), ('(橫掃)RX Mapping'!N44-1),IF(AND('(橫掃)RX Mapping'!N44&gt;=121,'(橫掃)RX Mapping'!N44&lt;=240), (-1)*('(橫掃)RX Mapping'!N44-240),IF(AND('(橫掃)RX Mapping'!N44&gt;=241,'(橫掃)RX Mapping'!N44&lt;=360), ('(橫掃)RX Mapping'!N44-241),IF(AND('(橫掃)RX Mapping'!N44&gt;=361,'(橫掃)RX Mapping'!N44&lt;=480), (-1)*('(橫掃)RX Mapping'!N44-480),IF(AND('(橫掃)RX Mapping'!N44&gt;=481,'(橫掃)RX Mapping'!N44&lt;=600), ('(橫掃)RX Mapping'!N44-361),IF(AND('(橫掃)RX Mapping'!N44&gt;=601,'(橫掃)RX Mapping'!N44&lt;=720), (-1)*('(橫掃)RX Mapping'!N44-720)+120,IF(AND('(橫掃)RX Mapping'!N44&gt;=721,'(橫掃)RX Mapping'!N44&lt;=840), ('(橫掃)RX Mapping'!N44-601),IF(AND('(橫掃)RX Mapping'!N44&gt;=841,'(橫掃)RX Mapping'!N44&lt;=960), (-1)*('(橫掃)RX Mapping'!N44-960)+120,9999))))))))</f>
        <v>9999</v>
      </c>
      <c r="O44">
        <f>IF(AND('(橫掃)RX Mapping'!O44&gt;=1,'(橫掃)RX Mapping'!O44&lt;=120), ('(橫掃)RX Mapping'!O44-1),IF(AND('(橫掃)RX Mapping'!O44&gt;=121,'(橫掃)RX Mapping'!O44&lt;=240), (-1)*('(橫掃)RX Mapping'!O44-240),IF(AND('(橫掃)RX Mapping'!O44&gt;=241,'(橫掃)RX Mapping'!O44&lt;=360), ('(橫掃)RX Mapping'!O44-241),IF(AND('(橫掃)RX Mapping'!O44&gt;=361,'(橫掃)RX Mapping'!O44&lt;=480), (-1)*('(橫掃)RX Mapping'!O44-480),IF(AND('(橫掃)RX Mapping'!O44&gt;=481,'(橫掃)RX Mapping'!O44&lt;=600), ('(橫掃)RX Mapping'!O44-361),IF(AND('(橫掃)RX Mapping'!O44&gt;=601,'(橫掃)RX Mapping'!O44&lt;=720), (-1)*('(橫掃)RX Mapping'!O44-720)+120,IF(AND('(橫掃)RX Mapping'!O44&gt;=721,'(橫掃)RX Mapping'!O44&lt;=840), ('(橫掃)RX Mapping'!O44-601),IF(AND('(橫掃)RX Mapping'!O44&gt;=841,'(橫掃)RX Mapping'!O44&lt;=960), (-1)*('(橫掃)RX Mapping'!O44-960)+120,9999))))))))</f>
        <v>9999</v>
      </c>
      <c r="P44">
        <f>IF(AND('(橫掃)RX Mapping'!P44&gt;=1,'(橫掃)RX Mapping'!P44&lt;=120), ('(橫掃)RX Mapping'!P44-1),IF(AND('(橫掃)RX Mapping'!P44&gt;=121,'(橫掃)RX Mapping'!P44&lt;=240), (-1)*('(橫掃)RX Mapping'!P44-240),IF(AND('(橫掃)RX Mapping'!P44&gt;=241,'(橫掃)RX Mapping'!P44&lt;=360), ('(橫掃)RX Mapping'!P44-241),IF(AND('(橫掃)RX Mapping'!P44&gt;=361,'(橫掃)RX Mapping'!P44&lt;=480), (-1)*('(橫掃)RX Mapping'!P44-480),IF(AND('(橫掃)RX Mapping'!P44&gt;=481,'(橫掃)RX Mapping'!P44&lt;=600), ('(橫掃)RX Mapping'!P44-361),IF(AND('(橫掃)RX Mapping'!P44&gt;=601,'(橫掃)RX Mapping'!P44&lt;=720), (-1)*('(橫掃)RX Mapping'!P44-720)+120,IF(AND('(橫掃)RX Mapping'!P44&gt;=721,'(橫掃)RX Mapping'!P44&lt;=840), ('(橫掃)RX Mapping'!P44-601),IF(AND('(橫掃)RX Mapping'!P44&gt;=841,'(橫掃)RX Mapping'!P44&lt;=960), (-1)*('(橫掃)RX Mapping'!P44-960)+120,9999))))))))</f>
        <v>9999</v>
      </c>
      <c r="Q44">
        <f>IF(AND('(橫掃)RX Mapping'!Q44&gt;=1,'(橫掃)RX Mapping'!Q44&lt;=120), ('(橫掃)RX Mapping'!Q44-1),IF(AND('(橫掃)RX Mapping'!Q44&gt;=121,'(橫掃)RX Mapping'!Q44&lt;=240), (-1)*('(橫掃)RX Mapping'!Q44-240),IF(AND('(橫掃)RX Mapping'!Q44&gt;=241,'(橫掃)RX Mapping'!Q44&lt;=360), ('(橫掃)RX Mapping'!Q44-241),IF(AND('(橫掃)RX Mapping'!Q44&gt;=361,'(橫掃)RX Mapping'!Q44&lt;=480), (-1)*('(橫掃)RX Mapping'!Q44-480),IF(AND('(橫掃)RX Mapping'!Q44&gt;=481,'(橫掃)RX Mapping'!Q44&lt;=600), ('(橫掃)RX Mapping'!Q44-361),IF(AND('(橫掃)RX Mapping'!Q44&gt;=601,'(橫掃)RX Mapping'!Q44&lt;=720), (-1)*('(橫掃)RX Mapping'!Q44-720)+120,IF(AND('(橫掃)RX Mapping'!Q44&gt;=721,'(橫掃)RX Mapping'!Q44&lt;=840), ('(橫掃)RX Mapping'!Q44-601),IF(AND('(橫掃)RX Mapping'!Q44&gt;=841,'(橫掃)RX Mapping'!Q44&lt;=960), (-1)*('(橫掃)RX Mapping'!Q44-960)+120,9999))))))))</f>
        <v>9999</v>
      </c>
      <c r="R44">
        <f>IF(AND('(橫掃)RX Mapping'!R44&gt;=1,'(橫掃)RX Mapping'!R44&lt;=120), ('(橫掃)RX Mapping'!R44-1),IF(AND('(橫掃)RX Mapping'!R44&gt;=121,'(橫掃)RX Mapping'!R44&lt;=240), (-1)*('(橫掃)RX Mapping'!R44-240),IF(AND('(橫掃)RX Mapping'!R44&gt;=241,'(橫掃)RX Mapping'!R44&lt;=360), ('(橫掃)RX Mapping'!R44-241),IF(AND('(橫掃)RX Mapping'!R44&gt;=361,'(橫掃)RX Mapping'!R44&lt;=480), (-1)*('(橫掃)RX Mapping'!R44-480),IF(AND('(橫掃)RX Mapping'!R44&gt;=481,'(橫掃)RX Mapping'!R44&lt;=600), ('(橫掃)RX Mapping'!R44-361),IF(AND('(橫掃)RX Mapping'!R44&gt;=601,'(橫掃)RX Mapping'!R44&lt;=720), (-1)*('(橫掃)RX Mapping'!R44-720)+120,IF(AND('(橫掃)RX Mapping'!R44&gt;=721,'(橫掃)RX Mapping'!R44&lt;=840), ('(橫掃)RX Mapping'!R44-601),IF(AND('(橫掃)RX Mapping'!R44&gt;=841,'(橫掃)RX Mapping'!R44&lt;=960), (-1)*('(橫掃)RX Mapping'!R44-960)+120,9999))))))))</f>
        <v>9999</v>
      </c>
      <c r="S44">
        <f>IF(AND('(橫掃)RX Mapping'!S44&gt;=1,'(橫掃)RX Mapping'!S44&lt;=120), ('(橫掃)RX Mapping'!S44-1),IF(AND('(橫掃)RX Mapping'!S44&gt;=121,'(橫掃)RX Mapping'!S44&lt;=240), (-1)*('(橫掃)RX Mapping'!S44-240),IF(AND('(橫掃)RX Mapping'!S44&gt;=241,'(橫掃)RX Mapping'!S44&lt;=360), ('(橫掃)RX Mapping'!S44-241),IF(AND('(橫掃)RX Mapping'!S44&gt;=361,'(橫掃)RX Mapping'!S44&lt;=480), (-1)*('(橫掃)RX Mapping'!S44-480),IF(AND('(橫掃)RX Mapping'!S44&gt;=481,'(橫掃)RX Mapping'!S44&lt;=600), ('(橫掃)RX Mapping'!S44-361),IF(AND('(橫掃)RX Mapping'!S44&gt;=601,'(橫掃)RX Mapping'!S44&lt;=720), (-1)*('(橫掃)RX Mapping'!S44-720)+120,IF(AND('(橫掃)RX Mapping'!S44&gt;=721,'(橫掃)RX Mapping'!S44&lt;=840), ('(橫掃)RX Mapping'!S44-601),IF(AND('(橫掃)RX Mapping'!S44&gt;=841,'(橫掃)RX Mapping'!S44&lt;=960), (-1)*('(橫掃)RX Mapping'!S44-960)+120,9999))))))))</f>
        <v>9999</v>
      </c>
      <c r="T44">
        <f>IF(AND('(橫掃)RX Mapping'!T44&gt;=1,'(橫掃)RX Mapping'!T44&lt;=120), ('(橫掃)RX Mapping'!T44-1),IF(AND('(橫掃)RX Mapping'!T44&gt;=121,'(橫掃)RX Mapping'!T44&lt;=240), (-1)*('(橫掃)RX Mapping'!T44-240),IF(AND('(橫掃)RX Mapping'!T44&gt;=241,'(橫掃)RX Mapping'!T44&lt;=360), ('(橫掃)RX Mapping'!T44-241),IF(AND('(橫掃)RX Mapping'!T44&gt;=361,'(橫掃)RX Mapping'!T44&lt;=480), (-1)*('(橫掃)RX Mapping'!T44-480),IF(AND('(橫掃)RX Mapping'!T44&gt;=481,'(橫掃)RX Mapping'!T44&lt;=600), ('(橫掃)RX Mapping'!T44-361),IF(AND('(橫掃)RX Mapping'!T44&gt;=601,'(橫掃)RX Mapping'!T44&lt;=720), (-1)*('(橫掃)RX Mapping'!T44-720)+120,IF(AND('(橫掃)RX Mapping'!T44&gt;=721,'(橫掃)RX Mapping'!T44&lt;=840), ('(橫掃)RX Mapping'!T44-601),IF(AND('(橫掃)RX Mapping'!T44&gt;=841,'(橫掃)RX Mapping'!T44&lt;=960), (-1)*('(橫掃)RX Mapping'!T44-960)+120,9999))))))))</f>
        <v>9999</v>
      </c>
      <c r="U44">
        <f>IF(AND('(橫掃)RX Mapping'!U44&gt;=1,'(橫掃)RX Mapping'!U44&lt;=120), ('(橫掃)RX Mapping'!U44-1),IF(AND('(橫掃)RX Mapping'!U44&gt;=121,'(橫掃)RX Mapping'!U44&lt;=240), (-1)*('(橫掃)RX Mapping'!U44-240),IF(AND('(橫掃)RX Mapping'!U44&gt;=241,'(橫掃)RX Mapping'!U44&lt;=360), ('(橫掃)RX Mapping'!U44-241),IF(AND('(橫掃)RX Mapping'!U44&gt;=361,'(橫掃)RX Mapping'!U44&lt;=480), (-1)*('(橫掃)RX Mapping'!U44-480),IF(AND('(橫掃)RX Mapping'!U44&gt;=481,'(橫掃)RX Mapping'!U44&lt;=600), ('(橫掃)RX Mapping'!U44-361),IF(AND('(橫掃)RX Mapping'!U44&gt;=601,'(橫掃)RX Mapping'!U44&lt;=720), (-1)*('(橫掃)RX Mapping'!U44-720)+120,IF(AND('(橫掃)RX Mapping'!U44&gt;=721,'(橫掃)RX Mapping'!U44&lt;=840), ('(橫掃)RX Mapping'!U44-601),IF(AND('(橫掃)RX Mapping'!U44&gt;=841,'(橫掃)RX Mapping'!U44&lt;=960), (-1)*('(橫掃)RX Mapping'!U44-960)+120,9999))))))))</f>
        <v>9999</v>
      </c>
      <c r="V44">
        <f>IF(AND('(橫掃)RX Mapping'!V44&gt;=1,'(橫掃)RX Mapping'!V44&lt;=120), ('(橫掃)RX Mapping'!V44-1),IF(AND('(橫掃)RX Mapping'!V44&gt;=121,'(橫掃)RX Mapping'!V44&lt;=240), (-1)*('(橫掃)RX Mapping'!V44-240),IF(AND('(橫掃)RX Mapping'!V44&gt;=241,'(橫掃)RX Mapping'!V44&lt;=360), ('(橫掃)RX Mapping'!V44-241),IF(AND('(橫掃)RX Mapping'!V44&gt;=361,'(橫掃)RX Mapping'!V44&lt;=480), (-1)*('(橫掃)RX Mapping'!V44-480),IF(AND('(橫掃)RX Mapping'!V44&gt;=481,'(橫掃)RX Mapping'!V44&lt;=600), ('(橫掃)RX Mapping'!V44-361),IF(AND('(橫掃)RX Mapping'!V44&gt;=601,'(橫掃)RX Mapping'!V44&lt;=720), (-1)*('(橫掃)RX Mapping'!V44-720)+120,IF(AND('(橫掃)RX Mapping'!V44&gt;=721,'(橫掃)RX Mapping'!V44&lt;=840), ('(橫掃)RX Mapping'!V44-601),IF(AND('(橫掃)RX Mapping'!V44&gt;=841,'(橫掃)RX Mapping'!V44&lt;=960), (-1)*('(橫掃)RX Mapping'!V44-960)+120,9999))))))))</f>
        <v>9999</v>
      </c>
      <c r="W44">
        <f>IF(AND('(橫掃)RX Mapping'!W44&gt;=1,'(橫掃)RX Mapping'!W44&lt;=120), ('(橫掃)RX Mapping'!W44-1),IF(AND('(橫掃)RX Mapping'!W44&gt;=121,'(橫掃)RX Mapping'!W44&lt;=240), (-1)*('(橫掃)RX Mapping'!W44-240),IF(AND('(橫掃)RX Mapping'!W44&gt;=241,'(橫掃)RX Mapping'!W44&lt;=360), ('(橫掃)RX Mapping'!W44-241),IF(AND('(橫掃)RX Mapping'!W44&gt;=361,'(橫掃)RX Mapping'!W44&lt;=480), (-1)*('(橫掃)RX Mapping'!W44-480),IF(AND('(橫掃)RX Mapping'!W44&gt;=481,'(橫掃)RX Mapping'!W44&lt;=600), ('(橫掃)RX Mapping'!W44-361),IF(AND('(橫掃)RX Mapping'!W44&gt;=601,'(橫掃)RX Mapping'!W44&lt;=720), (-1)*('(橫掃)RX Mapping'!W44-720)+120,IF(AND('(橫掃)RX Mapping'!W44&gt;=721,'(橫掃)RX Mapping'!W44&lt;=840), ('(橫掃)RX Mapping'!W44-601),IF(AND('(橫掃)RX Mapping'!W44&gt;=841,'(橫掃)RX Mapping'!W44&lt;=960), (-1)*('(橫掃)RX Mapping'!W44-960)+120,9999))))))))</f>
        <v>9999</v>
      </c>
      <c r="X44">
        <f>IF(AND('(橫掃)RX Mapping'!X44&gt;=1,'(橫掃)RX Mapping'!X44&lt;=120), ('(橫掃)RX Mapping'!X44-1),IF(AND('(橫掃)RX Mapping'!X44&gt;=121,'(橫掃)RX Mapping'!X44&lt;=240), (-1)*('(橫掃)RX Mapping'!X44-240),IF(AND('(橫掃)RX Mapping'!X44&gt;=241,'(橫掃)RX Mapping'!X44&lt;=360), ('(橫掃)RX Mapping'!X44-241),IF(AND('(橫掃)RX Mapping'!X44&gt;=361,'(橫掃)RX Mapping'!X44&lt;=480), (-1)*('(橫掃)RX Mapping'!X44-480),IF(AND('(橫掃)RX Mapping'!X44&gt;=481,'(橫掃)RX Mapping'!X44&lt;=600), ('(橫掃)RX Mapping'!X44-361),IF(AND('(橫掃)RX Mapping'!X44&gt;=601,'(橫掃)RX Mapping'!X44&lt;=720), (-1)*('(橫掃)RX Mapping'!X44-720)+120,IF(AND('(橫掃)RX Mapping'!X44&gt;=721,'(橫掃)RX Mapping'!X44&lt;=840), ('(橫掃)RX Mapping'!X44-601),IF(AND('(橫掃)RX Mapping'!X44&gt;=841,'(橫掃)RX Mapping'!X44&lt;=960), (-1)*('(橫掃)RX Mapping'!X44-960)+120,9999))))))))</f>
        <v>9999</v>
      </c>
      <c r="Y44">
        <f>IF(AND('(橫掃)RX Mapping'!Y44&gt;=1,'(橫掃)RX Mapping'!Y44&lt;=120), ('(橫掃)RX Mapping'!Y44-1),IF(AND('(橫掃)RX Mapping'!Y44&gt;=121,'(橫掃)RX Mapping'!Y44&lt;=240), (-1)*('(橫掃)RX Mapping'!Y44-240),IF(AND('(橫掃)RX Mapping'!Y44&gt;=241,'(橫掃)RX Mapping'!Y44&lt;=360), ('(橫掃)RX Mapping'!Y44-241),IF(AND('(橫掃)RX Mapping'!Y44&gt;=361,'(橫掃)RX Mapping'!Y44&lt;=480), (-1)*('(橫掃)RX Mapping'!Y44-480),IF(AND('(橫掃)RX Mapping'!Y44&gt;=481,'(橫掃)RX Mapping'!Y44&lt;=600), ('(橫掃)RX Mapping'!Y44-361),IF(AND('(橫掃)RX Mapping'!Y44&gt;=601,'(橫掃)RX Mapping'!Y44&lt;=720), (-1)*('(橫掃)RX Mapping'!Y44-720)+120,IF(AND('(橫掃)RX Mapping'!Y44&gt;=721,'(橫掃)RX Mapping'!Y44&lt;=840), ('(橫掃)RX Mapping'!Y44-601),IF(AND('(橫掃)RX Mapping'!Y44&gt;=841,'(橫掃)RX Mapping'!Y44&lt;=960), (-1)*('(橫掃)RX Mapping'!Y44-960)+120,9999))))))))</f>
        <v>9999</v>
      </c>
      <c r="Z44">
        <f>IF(AND('(橫掃)RX Mapping'!Z44&gt;=1,'(橫掃)RX Mapping'!Z44&lt;=120), ('(橫掃)RX Mapping'!Z44-1),IF(AND('(橫掃)RX Mapping'!Z44&gt;=121,'(橫掃)RX Mapping'!Z44&lt;=240), (-1)*('(橫掃)RX Mapping'!Z44-240),IF(AND('(橫掃)RX Mapping'!Z44&gt;=241,'(橫掃)RX Mapping'!Z44&lt;=360), ('(橫掃)RX Mapping'!Z44-241),IF(AND('(橫掃)RX Mapping'!Z44&gt;=361,'(橫掃)RX Mapping'!Z44&lt;=480), (-1)*('(橫掃)RX Mapping'!Z44-480),IF(AND('(橫掃)RX Mapping'!Z44&gt;=481,'(橫掃)RX Mapping'!Z44&lt;=600), ('(橫掃)RX Mapping'!Z44-361),IF(AND('(橫掃)RX Mapping'!Z44&gt;=601,'(橫掃)RX Mapping'!Z44&lt;=720), (-1)*('(橫掃)RX Mapping'!Z44-720)+120,IF(AND('(橫掃)RX Mapping'!Z44&gt;=721,'(橫掃)RX Mapping'!Z44&lt;=840), ('(橫掃)RX Mapping'!Z44-601),IF(AND('(橫掃)RX Mapping'!Z44&gt;=841,'(橫掃)RX Mapping'!Z44&lt;=960), (-1)*('(橫掃)RX Mapping'!Z44-960)+120,9999))))))))</f>
        <v>9999</v>
      </c>
      <c r="AA44">
        <f>IF(AND('(橫掃)RX Mapping'!AA44&gt;=1,'(橫掃)RX Mapping'!AA44&lt;=120), ('(橫掃)RX Mapping'!AA44-1),IF(AND('(橫掃)RX Mapping'!AA44&gt;=121,'(橫掃)RX Mapping'!AA44&lt;=240), (-1)*('(橫掃)RX Mapping'!AA44-240),IF(AND('(橫掃)RX Mapping'!AA44&gt;=241,'(橫掃)RX Mapping'!AA44&lt;=360), ('(橫掃)RX Mapping'!AA44-241),IF(AND('(橫掃)RX Mapping'!AA44&gt;=361,'(橫掃)RX Mapping'!AA44&lt;=480), (-1)*('(橫掃)RX Mapping'!AA44-480),IF(AND('(橫掃)RX Mapping'!AA44&gt;=481,'(橫掃)RX Mapping'!AA44&lt;=600), ('(橫掃)RX Mapping'!AA44-361),IF(AND('(橫掃)RX Mapping'!AA44&gt;=601,'(橫掃)RX Mapping'!AA44&lt;=720), (-1)*('(橫掃)RX Mapping'!AA44-720)+120,IF(AND('(橫掃)RX Mapping'!AA44&gt;=721,'(橫掃)RX Mapping'!AA44&lt;=840), ('(橫掃)RX Mapping'!AA44-601),IF(AND('(橫掃)RX Mapping'!AA44&gt;=841,'(橫掃)RX Mapping'!AA44&lt;=960), (-1)*('(橫掃)RX Mapping'!AA44-960)+120,9999))))))))</f>
        <v>9999</v>
      </c>
      <c r="AB44">
        <f>IF(AND('(橫掃)RX Mapping'!AB44&gt;=1,'(橫掃)RX Mapping'!AB44&lt;=120), ('(橫掃)RX Mapping'!AB44-1),IF(AND('(橫掃)RX Mapping'!AB44&gt;=121,'(橫掃)RX Mapping'!AB44&lt;=240), (-1)*('(橫掃)RX Mapping'!AB44-240),IF(AND('(橫掃)RX Mapping'!AB44&gt;=241,'(橫掃)RX Mapping'!AB44&lt;=360), ('(橫掃)RX Mapping'!AB44-241),IF(AND('(橫掃)RX Mapping'!AB44&gt;=361,'(橫掃)RX Mapping'!AB44&lt;=480), (-1)*('(橫掃)RX Mapping'!AB44-480),IF(AND('(橫掃)RX Mapping'!AB44&gt;=481,'(橫掃)RX Mapping'!AB44&lt;=600), ('(橫掃)RX Mapping'!AB44-361),IF(AND('(橫掃)RX Mapping'!AB44&gt;=601,'(橫掃)RX Mapping'!AB44&lt;=720), (-1)*('(橫掃)RX Mapping'!AB44-720)+120,IF(AND('(橫掃)RX Mapping'!AB44&gt;=721,'(橫掃)RX Mapping'!AB44&lt;=840), ('(橫掃)RX Mapping'!AB44-601),IF(AND('(橫掃)RX Mapping'!AB44&gt;=841,'(橫掃)RX Mapping'!AB44&lt;=960), (-1)*('(橫掃)RX Mapping'!AB44-960)+120,9999))))))))</f>
        <v>9999</v>
      </c>
      <c r="AC44">
        <f>IF(AND('(橫掃)RX Mapping'!AC44&gt;=1,'(橫掃)RX Mapping'!AC44&lt;=120), ('(橫掃)RX Mapping'!AC44-1),IF(AND('(橫掃)RX Mapping'!AC44&gt;=121,'(橫掃)RX Mapping'!AC44&lt;=240), (-1)*('(橫掃)RX Mapping'!AC44-240),IF(AND('(橫掃)RX Mapping'!AC44&gt;=241,'(橫掃)RX Mapping'!AC44&lt;=360), ('(橫掃)RX Mapping'!AC44-241),IF(AND('(橫掃)RX Mapping'!AC44&gt;=361,'(橫掃)RX Mapping'!AC44&lt;=480), (-1)*('(橫掃)RX Mapping'!AC44-480),IF(AND('(橫掃)RX Mapping'!AC44&gt;=481,'(橫掃)RX Mapping'!AC44&lt;=600), ('(橫掃)RX Mapping'!AC44-361),IF(AND('(橫掃)RX Mapping'!AC44&gt;=601,'(橫掃)RX Mapping'!AC44&lt;=720), (-1)*('(橫掃)RX Mapping'!AC44-720)+120,IF(AND('(橫掃)RX Mapping'!AC44&gt;=721,'(橫掃)RX Mapping'!AC44&lt;=840), ('(橫掃)RX Mapping'!AC44-601),IF(AND('(橫掃)RX Mapping'!AC44&gt;=841,'(橫掃)RX Mapping'!AC44&lt;=960), (-1)*('(橫掃)RX Mapping'!AC44-960)+120,9999))))))))</f>
        <v>9999</v>
      </c>
      <c r="AD44">
        <f>IF(AND('(橫掃)RX Mapping'!AD44&gt;=1,'(橫掃)RX Mapping'!AD44&lt;=120), ('(橫掃)RX Mapping'!AD44-1),IF(AND('(橫掃)RX Mapping'!AD44&gt;=121,'(橫掃)RX Mapping'!AD44&lt;=240), (-1)*('(橫掃)RX Mapping'!AD44-240),IF(AND('(橫掃)RX Mapping'!AD44&gt;=241,'(橫掃)RX Mapping'!AD44&lt;=360), ('(橫掃)RX Mapping'!AD44-241),IF(AND('(橫掃)RX Mapping'!AD44&gt;=361,'(橫掃)RX Mapping'!AD44&lt;=480), (-1)*('(橫掃)RX Mapping'!AD44-480),IF(AND('(橫掃)RX Mapping'!AD44&gt;=481,'(橫掃)RX Mapping'!AD44&lt;=600), ('(橫掃)RX Mapping'!AD44-361),IF(AND('(橫掃)RX Mapping'!AD44&gt;=601,'(橫掃)RX Mapping'!AD44&lt;=720), (-1)*('(橫掃)RX Mapping'!AD44-720)+120,IF(AND('(橫掃)RX Mapping'!AD44&gt;=721,'(橫掃)RX Mapping'!AD44&lt;=840), ('(橫掃)RX Mapping'!AD44-601),IF(AND('(橫掃)RX Mapping'!AD44&gt;=841,'(橫掃)RX Mapping'!AD44&lt;=960), (-1)*('(橫掃)RX Mapping'!AD44-960)+120,9999))))))))</f>
        <v>9999</v>
      </c>
      <c r="AE44">
        <f>IF(AND('(橫掃)RX Mapping'!AE44&gt;=1,'(橫掃)RX Mapping'!AE44&lt;=120), ('(橫掃)RX Mapping'!AE44-1),IF(AND('(橫掃)RX Mapping'!AE44&gt;=121,'(橫掃)RX Mapping'!AE44&lt;=240), (-1)*('(橫掃)RX Mapping'!AE44-240),IF(AND('(橫掃)RX Mapping'!AE44&gt;=241,'(橫掃)RX Mapping'!AE44&lt;=360), ('(橫掃)RX Mapping'!AE44-241),IF(AND('(橫掃)RX Mapping'!AE44&gt;=361,'(橫掃)RX Mapping'!AE44&lt;=480), (-1)*('(橫掃)RX Mapping'!AE44-480),IF(AND('(橫掃)RX Mapping'!AE44&gt;=481,'(橫掃)RX Mapping'!AE44&lt;=600), ('(橫掃)RX Mapping'!AE44-361),IF(AND('(橫掃)RX Mapping'!AE44&gt;=601,'(橫掃)RX Mapping'!AE44&lt;=720), (-1)*('(橫掃)RX Mapping'!AE44-720)+120,IF(AND('(橫掃)RX Mapping'!AE44&gt;=721,'(橫掃)RX Mapping'!AE44&lt;=840), ('(橫掃)RX Mapping'!AE44-601),IF(AND('(橫掃)RX Mapping'!AE44&gt;=841,'(橫掃)RX Mapping'!AE44&lt;=960), (-1)*('(橫掃)RX Mapping'!AE44-960)+120,9999))))))))</f>
        <v>9999</v>
      </c>
      <c r="AF44">
        <f>IF(AND('(橫掃)RX Mapping'!AF44&gt;=1,'(橫掃)RX Mapping'!AF44&lt;=120), ('(橫掃)RX Mapping'!AF44-1),IF(AND('(橫掃)RX Mapping'!AF44&gt;=121,'(橫掃)RX Mapping'!AF44&lt;=240), (-1)*('(橫掃)RX Mapping'!AF44-240),IF(AND('(橫掃)RX Mapping'!AF44&gt;=241,'(橫掃)RX Mapping'!AF44&lt;=360), ('(橫掃)RX Mapping'!AF44-241),IF(AND('(橫掃)RX Mapping'!AF44&gt;=361,'(橫掃)RX Mapping'!AF44&lt;=480), (-1)*('(橫掃)RX Mapping'!AF44-480),IF(AND('(橫掃)RX Mapping'!AF44&gt;=481,'(橫掃)RX Mapping'!AF44&lt;=600), ('(橫掃)RX Mapping'!AF44-361),IF(AND('(橫掃)RX Mapping'!AF44&gt;=601,'(橫掃)RX Mapping'!AF44&lt;=720), (-1)*('(橫掃)RX Mapping'!AF44-720)+120,IF(AND('(橫掃)RX Mapping'!AF44&gt;=721,'(橫掃)RX Mapping'!AF44&lt;=840), ('(橫掃)RX Mapping'!AF44-601),IF(AND('(橫掃)RX Mapping'!AF44&gt;=841,'(橫掃)RX Mapping'!AF44&lt;=960), (-1)*('(橫掃)RX Mapping'!AF44-960)+120,9999))))))))</f>
        <v>9999</v>
      </c>
      <c r="AG44">
        <f>IF(AND('(橫掃)RX Mapping'!AG44&gt;=1,'(橫掃)RX Mapping'!AG44&lt;=120), ('(橫掃)RX Mapping'!AG44-1),IF(AND('(橫掃)RX Mapping'!AG44&gt;=121,'(橫掃)RX Mapping'!AG44&lt;=240), (-1)*('(橫掃)RX Mapping'!AG44-240),IF(AND('(橫掃)RX Mapping'!AG44&gt;=241,'(橫掃)RX Mapping'!AG44&lt;=360), ('(橫掃)RX Mapping'!AG44-241),IF(AND('(橫掃)RX Mapping'!AG44&gt;=361,'(橫掃)RX Mapping'!AG44&lt;=480), (-1)*('(橫掃)RX Mapping'!AG44-480),IF(AND('(橫掃)RX Mapping'!AG44&gt;=481,'(橫掃)RX Mapping'!AG44&lt;=600), ('(橫掃)RX Mapping'!AG44-361),IF(AND('(橫掃)RX Mapping'!AG44&gt;=601,'(橫掃)RX Mapping'!AG44&lt;=720), (-1)*('(橫掃)RX Mapping'!AG44-720)+120,IF(AND('(橫掃)RX Mapping'!AG44&gt;=721,'(橫掃)RX Mapping'!AG44&lt;=840), ('(橫掃)RX Mapping'!AG44-601),IF(AND('(橫掃)RX Mapping'!AG44&gt;=841,'(橫掃)RX Mapping'!AG44&lt;=960), (-1)*('(橫掃)RX Mapping'!AG44-960)+120,9999))))))))</f>
        <v>9999</v>
      </c>
      <c r="AH44">
        <f>IF(AND('(橫掃)RX Mapping'!AH44&gt;=1,'(橫掃)RX Mapping'!AH44&lt;=120), ('(橫掃)RX Mapping'!AH44-1),IF(AND('(橫掃)RX Mapping'!AH44&gt;=121,'(橫掃)RX Mapping'!AH44&lt;=240), (-1)*('(橫掃)RX Mapping'!AH44-240),IF(AND('(橫掃)RX Mapping'!AH44&gt;=241,'(橫掃)RX Mapping'!AH44&lt;=360), ('(橫掃)RX Mapping'!AH44-241),IF(AND('(橫掃)RX Mapping'!AH44&gt;=361,'(橫掃)RX Mapping'!AH44&lt;=480), (-1)*('(橫掃)RX Mapping'!AH44-480),IF(AND('(橫掃)RX Mapping'!AH44&gt;=481,'(橫掃)RX Mapping'!AH44&lt;=600), ('(橫掃)RX Mapping'!AH44-361),IF(AND('(橫掃)RX Mapping'!AH44&gt;=601,'(橫掃)RX Mapping'!AH44&lt;=720), (-1)*('(橫掃)RX Mapping'!AH44-720)+120,IF(AND('(橫掃)RX Mapping'!AH44&gt;=721,'(橫掃)RX Mapping'!AH44&lt;=840), ('(橫掃)RX Mapping'!AH44-601),IF(AND('(橫掃)RX Mapping'!AH44&gt;=841,'(橫掃)RX Mapping'!AH44&lt;=960), (-1)*('(橫掃)RX Mapping'!AH44-960)+120,9999))))))))</f>
        <v>9999</v>
      </c>
      <c r="AI44">
        <f>IF(AND('(橫掃)RX Mapping'!AI44&gt;=1,'(橫掃)RX Mapping'!AI44&lt;=120), ('(橫掃)RX Mapping'!AI44-1),IF(AND('(橫掃)RX Mapping'!AI44&gt;=121,'(橫掃)RX Mapping'!AI44&lt;=240), (-1)*('(橫掃)RX Mapping'!AI44-240),IF(AND('(橫掃)RX Mapping'!AI44&gt;=241,'(橫掃)RX Mapping'!AI44&lt;=360), ('(橫掃)RX Mapping'!AI44-241),IF(AND('(橫掃)RX Mapping'!AI44&gt;=361,'(橫掃)RX Mapping'!AI44&lt;=480), (-1)*('(橫掃)RX Mapping'!AI44-480),IF(AND('(橫掃)RX Mapping'!AI44&gt;=481,'(橫掃)RX Mapping'!AI44&lt;=600), ('(橫掃)RX Mapping'!AI44-361),IF(AND('(橫掃)RX Mapping'!AI44&gt;=601,'(橫掃)RX Mapping'!AI44&lt;=720), (-1)*('(橫掃)RX Mapping'!AI44-720)+120,IF(AND('(橫掃)RX Mapping'!AI44&gt;=721,'(橫掃)RX Mapping'!AI44&lt;=840), ('(橫掃)RX Mapping'!AI44-601),IF(AND('(橫掃)RX Mapping'!AI44&gt;=841,'(橫掃)RX Mapping'!AI44&lt;=960), (-1)*('(橫掃)RX Mapping'!AI44-960)+120,9999))))))))</f>
        <v>9999</v>
      </c>
      <c r="AJ44">
        <f>IF(AND('(橫掃)RX Mapping'!AJ44&gt;=1,'(橫掃)RX Mapping'!AJ44&lt;=120), ('(橫掃)RX Mapping'!AJ44-1),IF(AND('(橫掃)RX Mapping'!AJ44&gt;=121,'(橫掃)RX Mapping'!AJ44&lt;=240), (-1)*('(橫掃)RX Mapping'!AJ44-240),IF(AND('(橫掃)RX Mapping'!AJ44&gt;=241,'(橫掃)RX Mapping'!AJ44&lt;=360), ('(橫掃)RX Mapping'!AJ44-241),IF(AND('(橫掃)RX Mapping'!AJ44&gt;=361,'(橫掃)RX Mapping'!AJ44&lt;=480), (-1)*('(橫掃)RX Mapping'!AJ44-480),IF(AND('(橫掃)RX Mapping'!AJ44&gt;=481,'(橫掃)RX Mapping'!AJ44&lt;=600), ('(橫掃)RX Mapping'!AJ44-361),IF(AND('(橫掃)RX Mapping'!AJ44&gt;=601,'(橫掃)RX Mapping'!AJ44&lt;=720), (-1)*('(橫掃)RX Mapping'!AJ44-720)+120,IF(AND('(橫掃)RX Mapping'!AJ44&gt;=721,'(橫掃)RX Mapping'!AJ44&lt;=840), ('(橫掃)RX Mapping'!AJ44-601),IF(AND('(橫掃)RX Mapping'!AJ44&gt;=841,'(橫掃)RX Mapping'!AJ44&lt;=960), (-1)*('(橫掃)RX Mapping'!AJ44-960)+120,9999))))))))</f>
        <v>9999</v>
      </c>
      <c r="AK44">
        <f>IF(AND('(橫掃)RX Mapping'!AK44&gt;=1,'(橫掃)RX Mapping'!AK44&lt;=120), ('(橫掃)RX Mapping'!AK44-1),IF(AND('(橫掃)RX Mapping'!AK44&gt;=121,'(橫掃)RX Mapping'!AK44&lt;=240), (-1)*('(橫掃)RX Mapping'!AK44-240),IF(AND('(橫掃)RX Mapping'!AK44&gt;=241,'(橫掃)RX Mapping'!AK44&lt;=360), ('(橫掃)RX Mapping'!AK44-241),IF(AND('(橫掃)RX Mapping'!AK44&gt;=361,'(橫掃)RX Mapping'!AK44&lt;=480), (-1)*('(橫掃)RX Mapping'!AK44-480),IF(AND('(橫掃)RX Mapping'!AK44&gt;=481,'(橫掃)RX Mapping'!AK44&lt;=600), ('(橫掃)RX Mapping'!AK44-361),IF(AND('(橫掃)RX Mapping'!AK44&gt;=601,'(橫掃)RX Mapping'!AK44&lt;=720), (-1)*('(橫掃)RX Mapping'!AK44-720)+120,IF(AND('(橫掃)RX Mapping'!AK44&gt;=721,'(橫掃)RX Mapping'!AK44&lt;=840), ('(橫掃)RX Mapping'!AK44-601),IF(AND('(橫掃)RX Mapping'!AK44&gt;=841,'(橫掃)RX Mapping'!AK44&lt;=960), (-1)*('(橫掃)RX Mapping'!AK44-960)+120,9999))))))))</f>
        <v>9999</v>
      </c>
      <c r="AL44">
        <f>IF(AND('(橫掃)RX Mapping'!AL44&gt;=1,'(橫掃)RX Mapping'!AL44&lt;=120), ('(橫掃)RX Mapping'!AL44-1),IF(AND('(橫掃)RX Mapping'!AL44&gt;=121,'(橫掃)RX Mapping'!AL44&lt;=240), (-1)*('(橫掃)RX Mapping'!AL44-240),IF(AND('(橫掃)RX Mapping'!AL44&gt;=241,'(橫掃)RX Mapping'!AL44&lt;=360), ('(橫掃)RX Mapping'!AL44-241),IF(AND('(橫掃)RX Mapping'!AL44&gt;=361,'(橫掃)RX Mapping'!AL44&lt;=480), (-1)*('(橫掃)RX Mapping'!AL44-480),IF(AND('(橫掃)RX Mapping'!AL44&gt;=481,'(橫掃)RX Mapping'!AL44&lt;=600), ('(橫掃)RX Mapping'!AL44-361),IF(AND('(橫掃)RX Mapping'!AL44&gt;=601,'(橫掃)RX Mapping'!AL44&lt;=720), (-1)*('(橫掃)RX Mapping'!AL44-720)+120,IF(AND('(橫掃)RX Mapping'!AL44&gt;=721,'(橫掃)RX Mapping'!AL44&lt;=840), ('(橫掃)RX Mapping'!AL44-601),IF(AND('(橫掃)RX Mapping'!AL44&gt;=841,'(橫掃)RX Mapping'!AL44&lt;=960), (-1)*('(橫掃)RX Mapping'!AL44-960)+120,9999))))))))</f>
        <v>9999</v>
      </c>
      <c r="AM44">
        <f>IF(AND('(橫掃)RX Mapping'!AM44&gt;=1,'(橫掃)RX Mapping'!AM44&lt;=120), ('(橫掃)RX Mapping'!AM44-1),IF(AND('(橫掃)RX Mapping'!AM44&gt;=121,'(橫掃)RX Mapping'!AM44&lt;=240), (-1)*('(橫掃)RX Mapping'!AM44-240),IF(AND('(橫掃)RX Mapping'!AM44&gt;=241,'(橫掃)RX Mapping'!AM44&lt;=360), ('(橫掃)RX Mapping'!AM44-241),IF(AND('(橫掃)RX Mapping'!AM44&gt;=361,'(橫掃)RX Mapping'!AM44&lt;=480), (-1)*('(橫掃)RX Mapping'!AM44-480),IF(AND('(橫掃)RX Mapping'!AM44&gt;=481,'(橫掃)RX Mapping'!AM44&lt;=600), ('(橫掃)RX Mapping'!AM44-361),IF(AND('(橫掃)RX Mapping'!AM44&gt;=601,'(橫掃)RX Mapping'!AM44&lt;=720), (-1)*('(橫掃)RX Mapping'!AM44-720)+120,IF(AND('(橫掃)RX Mapping'!AM44&gt;=721,'(橫掃)RX Mapping'!AM44&lt;=840), ('(橫掃)RX Mapping'!AM44-601),IF(AND('(橫掃)RX Mapping'!AM44&gt;=841,'(橫掃)RX Mapping'!AM44&lt;=960), (-1)*('(橫掃)RX Mapping'!AM44-960)+120,9999))))))))</f>
        <v>9999</v>
      </c>
      <c r="AN44">
        <f>IF(AND('(橫掃)RX Mapping'!AN44&gt;=1,'(橫掃)RX Mapping'!AN44&lt;=120), ('(橫掃)RX Mapping'!AN44-1),IF(AND('(橫掃)RX Mapping'!AN44&gt;=121,'(橫掃)RX Mapping'!AN44&lt;=240), (-1)*('(橫掃)RX Mapping'!AN44-240),IF(AND('(橫掃)RX Mapping'!AN44&gt;=241,'(橫掃)RX Mapping'!AN44&lt;=360), ('(橫掃)RX Mapping'!AN44-241),IF(AND('(橫掃)RX Mapping'!AN44&gt;=361,'(橫掃)RX Mapping'!AN44&lt;=480), (-1)*('(橫掃)RX Mapping'!AN44-480),IF(AND('(橫掃)RX Mapping'!AN44&gt;=481,'(橫掃)RX Mapping'!AN44&lt;=600), ('(橫掃)RX Mapping'!AN44-361),IF(AND('(橫掃)RX Mapping'!AN44&gt;=601,'(橫掃)RX Mapping'!AN44&lt;=720), (-1)*('(橫掃)RX Mapping'!AN44-720)+120,IF(AND('(橫掃)RX Mapping'!AN44&gt;=721,'(橫掃)RX Mapping'!AN44&lt;=840), ('(橫掃)RX Mapping'!AN44-601),IF(AND('(橫掃)RX Mapping'!AN44&gt;=841,'(橫掃)RX Mapping'!AN44&lt;=960), (-1)*('(橫掃)RX Mapping'!AN44-960)+120,9999))))))))</f>
        <v>9999</v>
      </c>
      <c r="AO44">
        <f>IF(AND('(橫掃)RX Mapping'!AO44&gt;=1,'(橫掃)RX Mapping'!AO44&lt;=120), ('(橫掃)RX Mapping'!AO44-1),IF(AND('(橫掃)RX Mapping'!AO44&gt;=121,'(橫掃)RX Mapping'!AO44&lt;=240), (-1)*('(橫掃)RX Mapping'!AO44-240),IF(AND('(橫掃)RX Mapping'!AO44&gt;=241,'(橫掃)RX Mapping'!AO44&lt;=360), ('(橫掃)RX Mapping'!AO44-241),IF(AND('(橫掃)RX Mapping'!AO44&gt;=361,'(橫掃)RX Mapping'!AO44&lt;=480), (-1)*('(橫掃)RX Mapping'!AO44-480),IF(AND('(橫掃)RX Mapping'!AO44&gt;=481,'(橫掃)RX Mapping'!AO44&lt;=600), ('(橫掃)RX Mapping'!AO44-361),IF(AND('(橫掃)RX Mapping'!AO44&gt;=601,'(橫掃)RX Mapping'!AO44&lt;=720), (-1)*('(橫掃)RX Mapping'!AO44-720)+120,IF(AND('(橫掃)RX Mapping'!AO44&gt;=721,'(橫掃)RX Mapping'!AO44&lt;=840), ('(橫掃)RX Mapping'!AO44-601),IF(AND('(橫掃)RX Mapping'!AO44&gt;=841,'(橫掃)RX Mapping'!AO44&lt;=960), (-1)*('(橫掃)RX Mapping'!AO44-960)+120,9999))))))))</f>
        <v>9999</v>
      </c>
      <c r="AP44">
        <f>IF(AND('(橫掃)RX Mapping'!AP44&gt;=1,'(橫掃)RX Mapping'!AP44&lt;=120), ('(橫掃)RX Mapping'!AP44-1),IF(AND('(橫掃)RX Mapping'!AP44&gt;=121,'(橫掃)RX Mapping'!AP44&lt;=240), (-1)*('(橫掃)RX Mapping'!AP44-240),IF(AND('(橫掃)RX Mapping'!AP44&gt;=241,'(橫掃)RX Mapping'!AP44&lt;=360), ('(橫掃)RX Mapping'!AP44-241),IF(AND('(橫掃)RX Mapping'!AP44&gt;=361,'(橫掃)RX Mapping'!AP44&lt;=480), (-1)*('(橫掃)RX Mapping'!AP44-480),IF(AND('(橫掃)RX Mapping'!AP44&gt;=481,'(橫掃)RX Mapping'!AP44&lt;=600), ('(橫掃)RX Mapping'!AP44-361),IF(AND('(橫掃)RX Mapping'!AP44&gt;=601,'(橫掃)RX Mapping'!AP44&lt;=720), (-1)*('(橫掃)RX Mapping'!AP44-720)+120,IF(AND('(橫掃)RX Mapping'!AP44&gt;=721,'(橫掃)RX Mapping'!AP44&lt;=840), ('(橫掃)RX Mapping'!AP44-601),IF(AND('(橫掃)RX Mapping'!AP44&gt;=841,'(橫掃)RX Mapping'!AP44&lt;=960), (-1)*('(橫掃)RX Mapping'!AP44-960)+120,9999))))))))</f>
        <v>9999</v>
      </c>
      <c r="AQ44">
        <f>IF(AND('(橫掃)RX Mapping'!AQ44&gt;=1,'(橫掃)RX Mapping'!AQ44&lt;=120), ('(橫掃)RX Mapping'!AQ44-1),IF(AND('(橫掃)RX Mapping'!AQ44&gt;=121,'(橫掃)RX Mapping'!AQ44&lt;=240), (-1)*('(橫掃)RX Mapping'!AQ44-240),IF(AND('(橫掃)RX Mapping'!AQ44&gt;=241,'(橫掃)RX Mapping'!AQ44&lt;=360), ('(橫掃)RX Mapping'!AQ44-241),IF(AND('(橫掃)RX Mapping'!AQ44&gt;=361,'(橫掃)RX Mapping'!AQ44&lt;=480), (-1)*('(橫掃)RX Mapping'!AQ44-480),IF(AND('(橫掃)RX Mapping'!AQ44&gt;=481,'(橫掃)RX Mapping'!AQ44&lt;=600), ('(橫掃)RX Mapping'!AQ44-361),IF(AND('(橫掃)RX Mapping'!AQ44&gt;=601,'(橫掃)RX Mapping'!AQ44&lt;=720), (-1)*('(橫掃)RX Mapping'!AQ44-720)+120,IF(AND('(橫掃)RX Mapping'!AQ44&gt;=721,'(橫掃)RX Mapping'!AQ44&lt;=840), ('(橫掃)RX Mapping'!AQ44-601),IF(AND('(橫掃)RX Mapping'!AQ44&gt;=841,'(橫掃)RX Mapping'!AQ44&lt;=960), (-1)*('(橫掃)RX Mapping'!AQ44-960)+120,9999))))))))</f>
        <v>9999</v>
      </c>
      <c r="AR44">
        <f>IF(AND('(橫掃)RX Mapping'!AR44&gt;=1,'(橫掃)RX Mapping'!AR44&lt;=120), ('(橫掃)RX Mapping'!AR44-1),IF(AND('(橫掃)RX Mapping'!AR44&gt;=121,'(橫掃)RX Mapping'!AR44&lt;=240), (-1)*('(橫掃)RX Mapping'!AR44-240),IF(AND('(橫掃)RX Mapping'!AR44&gt;=241,'(橫掃)RX Mapping'!AR44&lt;=360), ('(橫掃)RX Mapping'!AR44-241),IF(AND('(橫掃)RX Mapping'!AR44&gt;=361,'(橫掃)RX Mapping'!AR44&lt;=480), (-1)*('(橫掃)RX Mapping'!AR44-480),IF(AND('(橫掃)RX Mapping'!AR44&gt;=481,'(橫掃)RX Mapping'!AR44&lt;=600), ('(橫掃)RX Mapping'!AR44-361),IF(AND('(橫掃)RX Mapping'!AR44&gt;=601,'(橫掃)RX Mapping'!AR44&lt;=720), (-1)*('(橫掃)RX Mapping'!AR44-720)+120,IF(AND('(橫掃)RX Mapping'!AR44&gt;=721,'(橫掃)RX Mapping'!AR44&lt;=840), ('(橫掃)RX Mapping'!AR44-601),IF(AND('(橫掃)RX Mapping'!AR44&gt;=841,'(橫掃)RX Mapping'!AR44&lt;=960), (-1)*('(橫掃)RX Mapping'!AR44-960)+120,9999))))))))</f>
        <v>9999</v>
      </c>
      <c r="AS44">
        <f>IF(AND('(橫掃)RX Mapping'!AS44&gt;=1,'(橫掃)RX Mapping'!AS44&lt;=120), ('(橫掃)RX Mapping'!AS44-1),IF(AND('(橫掃)RX Mapping'!AS44&gt;=121,'(橫掃)RX Mapping'!AS44&lt;=240), (-1)*('(橫掃)RX Mapping'!AS44-240),IF(AND('(橫掃)RX Mapping'!AS44&gt;=241,'(橫掃)RX Mapping'!AS44&lt;=360), ('(橫掃)RX Mapping'!AS44-241),IF(AND('(橫掃)RX Mapping'!AS44&gt;=361,'(橫掃)RX Mapping'!AS44&lt;=480), (-1)*('(橫掃)RX Mapping'!AS44-480),IF(AND('(橫掃)RX Mapping'!AS44&gt;=481,'(橫掃)RX Mapping'!AS44&lt;=600), ('(橫掃)RX Mapping'!AS44-361),IF(AND('(橫掃)RX Mapping'!AS44&gt;=601,'(橫掃)RX Mapping'!AS44&lt;=720), (-1)*('(橫掃)RX Mapping'!AS44-720)+120,IF(AND('(橫掃)RX Mapping'!AS44&gt;=721,'(橫掃)RX Mapping'!AS44&lt;=840), ('(橫掃)RX Mapping'!AS44-601),IF(AND('(橫掃)RX Mapping'!AS44&gt;=841,'(橫掃)RX Mapping'!AS44&lt;=960), (-1)*('(橫掃)RX Mapping'!AS44-960)+120,9999))))))))</f>
        <v>9999</v>
      </c>
      <c r="AT44">
        <f>IF(AND('(橫掃)RX Mapping'!AT44&gt;=1,'(橫掃)RX Mapping'!AT44&lt;=120), ('(橫掃)RX Mapping'!AT44-1),IF(AND('(橫掃)RX Mapping'!AT44&gt;=121,'(橫掃)RX Mapping'!AT44&lt;=240), (-1)*('(橫掃)RX Mapping'!AT44-240),IF(AND('(橫掃)RX Mapping'!AT44&gt;=241,'(橫掃)RX Mapping'!AT44&lt;=360), ('(橫掃)RX Mapping'!AT44-241),IF(AND('(橫掃)RX Mapping'!AT44&gt;=361,'(橫掃)RX Mapping'!AT44&lt;=480), (-1)*('(橫掃)RX Mapping'!AT44-480),IF(AND('(橫掃)RX Mapping'!AT44&gt;=481,'(橫掃)RX Mapping'!AT44&lt;=600), ('(橫掃)RX Mapping'!AT44-361),IF(AND('(橫掃)RX Mapping'!AT44&gt;=601,'(橫掃)RX Mapping'!AT44&lt;=720), (-1)*('(橫掃)RX Mapping'!AT44-720)+120,IF(AND('(橫掃)RX Mapping'!AT44&gt;=721,'(橫掃)RX Mapping'!AT44&lt;=840), ('(橫掃)RX Mapping'!AT44-601),IF(AND('(橫掃)RX Mapping'!AT44&gt;=841,'(橫掃)RX Mapping'!AT44&lt;=960), (-1)*('(橫掃)RX Mapping'!AT44-960)+120,9999))))))))</f>
        <v>9999</v>
      </c>
      <c r="AU44">
        <f>IF(AND('(橫掃)RX Mapping'!AU44&gt;=1,'(橫掃)RX Mapping'!AU44&lt;=120), ('(橫掃)RX Mapping'!AU44-1),IF(AND('(橫掃)RX Mapping'!AU44&gt;=121,'(橫掃)RX Mapping'!AU44&lt;=240), (-1)*('(橫掃)RX Mapping'!AU44-240),IF(AND('(橫掃)RX Mapping'!AU44&gt;=241,'(橫掃)RX Mapping'!AU44&lt;=360), ('(橫掃)RX Mapping'!AU44-241),IF(AND('(橫掃)RX Mapping'!AU44&gt;=361,'(橫掃)RX Mapping'!AU44&lt;=480), (-1)*('(橫掃)RX Mapping'!AU44-480),IF(AND('(橫掃)RX Mapping'!AU44&gt;=481,'(橫掃)RX Mapping'!AU44&lt;=600), ('(橫掃)RX Mapping'!AU44-361),IF(AND('(橫掃)RX Mapping'!AU44&gt;=601,'(橫掃)RX Mapping'!AU44&lt;=720), (-1)*('(橫掃)RX Mapping'!AU44-720)+120,IF(AND('(橫掃)RX Mapping'!AU44&gt;=721,'(橫掃)RX Mapping'!AU44&lt;=840), ('(橫掃)RX Mapping'!AU44-601),IF(AND('(橫掃)RX Mapping'!AU44&gt;=841,'(橫掃)RX Mapping'!AU44&lt;=960), (-1)*('(橫掃)RX Mapping'!AU44-960)+120,9999))))))))</f>
        <v>9999</v>
      </c>
      <c r="AV44">
        <f>IF(AND('(橫掃)RX Mapping'!AV44&gt;=1,'(橫掃)RX Mapping'!AV44&lt;=120), ('(橫掃)RX Mapping'!AV44-1),IF(AND('(橫掃)RX Mapping'!AV44&gt;=121,'(橫掃)RX Mapping'!AV44&lt;=240), (-1)*('(橫掃)RX Mapping'!AV44-240),IF(AND('(橫掃)RX Mapping'!AV44&gt;=241,'(橫掃)RX Mapping'!AV44&lt;=360), ('(橫掃)RX Mapping'!AV44-241),IF(AND('(橫掃)RX Mapping'!AV44&gt;=361,'(橫掃)RX Mapping'!AV44&lt;=480), (-1)*('(橫掃)RX Mapping'!AV44-480),IF(AND('(橫掃)RX Mapping'!AV44&gt;=481,'(橫掃)RX Mapping'!AV44&lt;=600), ('(橫掃)RX Mapping'!AV44-361),IF(AND('(橫掃)RX Mapping'!AV44&gt;=601,'(橫掃)RX Mapping'!AV44&lt;=720), (-1)*('(橫掃)RX Mapping'!AV44-720)+120,IF(AND('(橫掃)RX Mapping'!AV44&gt;=721,'(橫掃)RX Mapping'!AV44&lt;=840), ('(橫掃)RX Mapping'!AV44-601),IF(AND('(橫掃)RX Mapping'!AV44&gt;=841,'(橫掃)RX Mapping'!AV44&lt;=960), (-1)*('(橫掃)RX Mapping'!AV44-960)+120,9999))))))))</f>
        <v>9999</v>
      </c>
      <c r="AW44">
        <f>IF(AND('(橫掃)RX Mapping'!AW44&gt;=1,'(橫掃)RX Mapping'!AW44&lt;=120), ('(橫掃)RX Mapping'!AW44-1),IF(AND('(橫掃)RX Mapping'!AW44&gt;=121,'(橫掃)RX Mapping'!AW44&lt;=240), (-1)*('(橫掃)RX Mapping'!AW44-240),IF(AND('(橫掃)RX Mapping'!AW44&gt;=241,'(橫掃)RX Mapping'!AW44&lt;=360), ('(橫掃)RX Mapping'!AW44-241),IF(AND('(橫掃)RX Mapping'!AW44&gt;=361,'(橫掃)RX Mapping'!AW44&lt;=480), (-1)*('(橫掃)RX Mapping'!AW44-480),IF(AND('(橫掃)RX Mapping'!AW44&gt;=481,'(橫掃)RX Mapping'!AW44&lt;=600), ('(橫掃)RX Mapping'!AW44-361),IF(AND('(橫掃)RX Mapping'!AW44&gt;=601,'(橫掃)RX Mapping'!AW44&lt;=720), (-1)*('(橫掃)RX Mapping'!AW44-720)+120,IF(AND('(橫掃)RX Mapping'!AW44&gt;=721,'(橫掃)RX Mapping'!AW44&lt;=840), ('(橫掃)RX Mapping'!AW44-601),IF(AND('(橫掃)RX Mapping'!AW44&gt;=841,'(橫掃)RX Mapping'!AW44&lt;=960), (-1)*('(橫掃)RX Mapping'!AW44-960)+120,9999))))))))</f>
        <v>9999</v>
      </c>
      <c r="AX44">
        <f>IF(AND('(橫掃)RX Mapping'!AX44&gt;=1,'(橫掃)RX Mapping'!AX44&lt;=120), ('(橫掃)RX Mapping'!AX44-1),IF(AND('(橫掃)RX Mapping'!AX44&gt;=121,'(橫掃)RX Mapping'!AX44&lt;=240), (-1)*('(橫掃)RX Mapping'!AX44-240),IF(AND('(橫掃)RX Mapping'!AX44&gt;=241,'(橫掃)RX Mapping'!AX44&lt;=360), ('(橫掃)RX Mapping'!AX44-241),IF(AND('(橫掃)RX Mapping'!AX44&gt;=361,'(橫掃)RX Mapping'!AX44&lt;=480), (-1)*('(橫掃)RX Mapping'!AX44-480),IF(AND('(橫掃)RX Mapping'!AX44&gt;=481,'(橫掃)RX Mapping'!AX44&lt;=600), ('(橫掃)RX Mapping'!AX44-361),IF(AND('(橫掃)RX Mapping'!AX44&gt;=601,'(橫掃)RX Mapping'!AX44&lt;=720), (-1)*('(橫掃)RX Mapping'!AX44-720)+120,IF(AND('(橫掃)RX Mapping'!AX44&gt;=721,'(橫掃)RX Mapping'!AX44&lt;=840), ('(橫掃)RX Mapping'!AX44-601),IF(AND('(橫掃)RX Mapping'!AX44&gt;=841,'(橫掃)RX Mapping'!AX44&lt;=960), (-1)*('(橫掃)RX Mapping'!AX44-960)+120,9999))))))))</f>
        <v>9999</v>
      </c>
      <c r="AY44">
        <f>IF(AND('(橫掃)RX Mapping'!AY44&gt;=1,'(橫掃)RX Mapping'!AY44&lt;=120), ('(橫掃)RX Mapping'!AY44-1),IF(AND('(橫掃)RX Mapping'!AY44&gt;=121,'(橫掃)RX Mapping'!AY44&lt;=240), (-1)*('(橫掃)RX Mapping'!AY44-240),IF(AND('(橫掃)RX Mapping'!AY44&gt;=241,'(橫掃)RX Mapping'!AY44&lt;=360), ('(橫掃)RX Mapping'!AY44-241),IF(AND('(橫掃)RX Mapping'!AY44&gt;=361,'(橫掃)RX Mapping'!AY44&lt;=480), (-1)*('(橫掃)RX Mapping'!AY44-480),IF(AND('(橫掃)RX Mapping'!AY44&gt;=481,'(橫掃)RX Mapping'!AY44&lt;=600), ('(橫掃)RX Mapping'!AY44-361),IF(AND('(橫掃)RX Mapping'!AY44&gt;=601,'(橫掃)RX Mapping'!AY44&lt;=720), (-1)*('(橫掃)RX Mapping'!AY44-720)+120,IF(AND('(橫掃)RX Mapping'!AY44&gt;=721,'(橫掃)RX Mapping'!AY44&lt;=840), ('(橫掃)RX Mapping'!AY44-601),IF(AND('(橫掃)RX Mapping'!AY44&gt;=841,'(橫掃)RX Mapping'!AY44&lt;=960), (-1)*('(橫掃)RX Mapping'!AY44-960)+120,9999))))))))</f>
        <v>9999</v>
      </c>
      <c r="AZ44">
        <f>IF(AND('(橫掃)RX Mapping'!AZ44&gt;=1,'(橫掃)RX Mapping'!AZ44&lt;=120), ('(橫掃)RX Mapping'!AZ44-1),IF(AND('(橫掃)RX Mapping'!AZ44&gt;=121,'(橫掃)RX Mapping'!AZ44&lt;=240), (-1)*('(橫掃)RX Mapping'!AZ44-240),IF(AND('(橫掃)RX Mapping'!AZ44&gt;=241,'(橫掃)RX Mapping'!AZ44&lt;=360), ('(橫掃)RX Mapping'!AZ44-241),IF(AND('(橫掃)RX Mapping'!AZ44&gt;=361,'(橫掃)RX Mapping'!AZ44&lt;=480), (-1)*('(橫掃)RX Mapping'!AZ44-480),IF(AND('(橫掃)RX Mapping'!AZ44&gt;=481,'(橫掃)RX Mapping'!AZ44&lt;=600), ('(橫掃)RX Mapping'!AZ44-361),IF(AND('(橫掃)RX Mapping'!AZ44&gt;=601,'(橫掃)RX Mapping'!AZ44&lt;=720), (-1)*('(橫掃)RX Mapping'!AZ44-720)+120,IF(AND('(橫掃)RX Mapping'!AZ44&gt;=721,'(橫掃)RX Mapping'!AZ44&lt;=840), ('(橫掃)RX Mapping'!AZ44-601),IF(AND('(橫掃)RX Mapping'!AZ44&gt;=841,'(橫掃)RX Mapping'!AZ44&lt;=960), (-1)*('(橫掃)RX Mapping'!AZ44-960)+120,9999))))))))</f>
        <v>9999</v>
      </c>
      <c r="BA44">
        <f>IF(AND('(橫掃)RX Mapping'!BA44&gt;=1,'(橫掃)RX Mapping'!BA44&lt;=120), ('(橫掃)RX Mapping'!BA44-1),IF(AND('(橫掃)RX Mapping'!BA44&gt;=121,'(橫掃)RX Mapping'!BA44&lt;=240), (-1)*('(橫掃)RX Mapping'!BA44-240),IF(AND('(橫掃)RX Mapping'!BA44&gt;=241,'(橫掃)RX Mapping'!BA44&lt;=360), ('(橫掃)RX Mapping'!BA44-241),IF(AND('(橫掃)RX Mapping'!BA44&gt;=361,'(橫掃)RX Mapping'!BA44&lt;=480), (-1)*('(橫掃)RX Mapping'!BA44-480),IF(AND('(橫掃)RX Mapping'!BA44&gt;=481,'(橫掃)RX Mapping'!BA44&lt;=600), ('(橫掃)RX Mapping'!BA44-361),IF(AND('(橫掃)RX Mapping'!BA44&gt;=601,'(橫掃)RX Mapping'!BA44&lt;=720), (-1)*('(橫掃)RX Mapping'!BA44-720)+120,IF(AND('(橫掃)RX Mapping'!BA44&gt;=721,'(橫掃)RX Mapping'!BA44&lt;=840), ('(橫掃)RX Mapping'!BA44-601),IF(AND('(橫掃)RX Mapping'!BA44&gt;=841,'(橫掃)RX Mapping'!BA44&lt;=960), (-1)*('(橫掃)RX Mapping'!BA44-960)+120,9999))))))))</f>
        <v>9999</v>
      </c>
      <c r="BB44">
        <f>IF(AND('(橫掃)RX Mapping'!BB44&gt;=1,'(橫掃)RX Mapping'!BB44&lt;=120), ('(橫掃)RX Mapping'!BB44-1),IF(AND('(橫掃)RX Mapping'!BB44&gt;=121,'(橫掃)RX Mapping'!BB44&lt;=240), (-1)*('(橫掃)RX Mapping'!BB44-240),IF(AND('(橫掃)RX Mapping'!BB44&gt;=241,'(橫掃)RX Mapping'!BB44&lt;=360), ('(橫掃)RX Mapping'!BB44-241),IF(AND('(橫掃)RX Mapping'!BB44&gt;=361,'(橫掃)RX Mapping'!BB44&lt;=480), (-1)*('(橫掃)RX Mapping'!BB44-480),IF(AND('(橫掃)RX Mapping'!BB44&gt;=481,'(橫掃)RX Mapping'!BB44&lt;=600), ('(橫掃)RX Mapping'!BB44-361),IF(AND('(橫掃)RX Mapping'!BB44&gt;=601,'(橫掃)RX Mapping'!BB44&lt;=720), (-1)*('(橫掃)RX Mapping'!BB44-720)+120,IF(AND('(橫掃)RX Mapping'!BB44&gt;=721,'(橫掃)RX Mapping'!BB44&lt;=840), ('(橫掃)RX Mapping'!BB44-601),IF(AND('(橫掃)RX Mapping'!BB44&gt;=841,'(橫掃)RX Mapping'!BB44&lt;=960), (-1)*('(橫掃)RX Mapping'!BB44-960)+120,9999))))))))</f>
        <v>9999</v>
      </c>
      <c r="BC44">
        <f>IF(AND('(橫掃)RX Mapping'!BC44&gt;=1,'(橫掃)RX Mapping'!BC44&lt;=120), ('(橫掃)RX Mapping'!BC44-1),IF(AND('(橫掃)RX Mapping'!BC44&gt;=121,'(橫掃)RX Mapping'!BC44&lt;=240), (-1)*('(橫掃)RX Mapping'!BC44-240),IF(AND('(橫掃)RX Mapping'!BC44&gt;=241,'(橫掃)RX Mapping'!BC44&lt;=360), ('(橫掃)RX Mapping'!BC44-241),IF(AND('(橫掃)RX Mapping'!BC44&gt;=361,'(橫掃)RX Mapping'!BC44&lt;=480), (-1)*('(橫掃)RX Mapping'!BC44-480),IF(AND('(橫掃)RX Mapping'!BC44&gt;=481,'(橫掃)RX Mapping'!BC44&lt;=600), ('(橫掃)RX Mapping'!BC44-361),IF(AND('(橫掃)RX Mapping'!BC44&gt;=601,'(橫掃)RX Mapping'!BC44&lt;=720), (-1)*('(橫掃)RX Mapping'!BC44-720)+120,IF(AND('(橫掃)RX Mapping'!BC44&gt;=721,'(橫掃)RX Mapping'!BC44&lt;=840), ('(橫掃)RX Mapping'!BC44-601),IF(AND('(橫掃)RX Mapping'!BC44&gt;=841,'(橫掃)RX Mapping'!BC44&lt;=960), (-1)*('(橫掃)RX Mapping'!BC44-960)+120,9999))))))))</f>
        <v>9999</v>
      </c>
      <c r="BD44">
        <f>IF(AND('(橫掃)RX Mapping'!BD44&gt;=1,'(橫掃)RX Mapping'!BD44&lt;=120), ('(橫掃)RX Mapping'!BD44-1),IF(AND('(橫掃)RX Mapping'!BD44&gt;=121,'(橫掃)RX Mapping'!BD44&lt;=240), (-1)*('(橫掃)RX Mapping'!BD44-240),IF(AND('(橫掃)RX Mapping'!BD44&gt;=241,'(橫掃)RX Mapping'!BD44&lt;=360), ('(橫掃)RX Mapping'!BD44-241),IF(AND('(橫掃)RX Mapping'!BD44&gt;=361,'(橫掃)RX Mapping'!BD44&lt;=480), (-1)*('(橫掃)RX Mapping'!BD44-480),IF(AND('(橫掃)RX Mapping'!BD44&gt;=481,'(橫掃)RX Mapping'!BD44&lt;=600), ('(橫掃)RX Mapping'!BD44-361),IF(AND('(橫掃)RX Mapping'!BD44&gt;=601,'(橫掃)RX Mapping'!BD44&lt;=720), (-1)*('(橫掃)RX Mapping'!BD44-720)+120,IF(AND('(橫掃)RX Mapping'!BD44&gt;=721,'(橫掃)RX Mapping'!BD44&lt;=840), ('(橫掃)RX Mapping'!BD44-601),IF(AND('(橫掃)RX Mapping'!BD44&gt;=841,'(橫掃)RX Mapping'!BD44&lt;=960), (-1)*('(橫掃)RX Mapping'!BD44-960)+120,9999))))))))</f>
        <v>9999</v>
      </c>
      <c r="BE44">
        <f>IF(AND('(橫掃)RX Mapping'!BE44&gt;=1,'(橫掃)RX Mapping'!BE44&lt;=120), ('(橫掃)RX Mapping'!BE44-1),IF(AND('(橫掃)RX Mapping'!BE44&gt;=121,'(橫掃)RX Mapping'!BE44&lt;=240), (-1)*('(橫掃)RX Mapping'!BE44-240),IF(AND('(橫掃)RX Mapping'!BE44&gt;=241,'(橫掃)RX Mapping'!BE44&lt;=360), ('(橫掃)RX Mapping'!BE44-241),IF(AND('(橫掃)RX Mapping'!BE44&gt;=361,'(橫掃)RX Mapping'!BE44&lt;=480), (-1)*('(橫掃)RX Mapping'!BE44-480),IF(AND('(橫掃)RX Mapping'!BE44&gt;=481,'(橫掃)RX Mapping'!BE44&lt;=600), ('(橫掃)RX Mapping'!BE44-361),IF(AND('(橫掃)RX Mapping'!BE44&gt;=601,'(橫掃)RX Mapping'!BE44&lt;=720), (-1)*('(橫掃)RX Mapping'!BE44-720)+120,IF(AND('(橫掃)RX Mapping'!BE44&gt;=721,'(橫掃)RX Mapping'!BE44&lt;=840), ('(橫掃)RX Mapping'!BE44-601),IF(AND('(橫掃)RX Mapping'!BE44&gt;=841,'(橫掃)RX Mapping'!BE44&lt;=960), (-1)*('(橫掃)RX Mapping'!BE44-960)+120,9999))))))))</f>
        <v>9999</v>
      </c>
      <c r="BF44">
        <f>IF(AND('(橫掃)RX Mapping'!BF44&gt;=1,'(橫掃)RX Mapping'!BF44&lt;=120), ('(橫掃)RX Mapping'!BF44-1),IF(AND('(橫掃)RX Mapping'!BF44&gt;=121,'(橫掃)RX Mapping'!BF44&lt;=240), (-1)*('(橫掃)RX Mapping'!BF44-240),IF(AND('(橫掃)RX Mapping'!BF44&gt;=241,'(橫掃)RX Mapping'!BF44&lt;=360), ('(橫掃)RX Mapping'!BF44-241),IF(AND('(橫掃)RX Mapping'!BF44&gt;=361,'(橫掃)RX Mapping'!BF44&lt;=480), (-1)*('(橫掃)RX Mapping'!BF44-480),IF(AND('(橫掃)RX Mapping'!BF44&gt;=481,'(橫掃)RX Mapping'!BF44&lt;=600), ('(橫掃)RX Mapping'!BF44-361),IF(AND('(橫掃)RX Mapping'!BF44&gt;=601,'(橫掃)RX Mapping'!BF44&lt;=720), (-1)*('(橫掃)RX Mapping'!BF44-720)+120,IF(AND('(橫掃)RX Mapping'!BF44&gt;=721,'(橫掃)RX Mapping'!BF44&lt;=840), ('(橫掃)RX Mapping'!BF44-601),IF(AND('(橫掃)RX Mapping'!BF44&gt;=841,'(橫掃)RX Mapping'!BF44&lt;=960), (-1)*('(橫掃)RX Mapping'!BF44-960)+120,9999))))))))</f>
        <v>9999</v>
      </c>
      <c r="BG44">
        <f>IF(AND('(橫掃)RX Mapping'!BG44&gt;=1,'(橫掃)RX Mapping'!BG44&lt;=120), ('(橫掃)RX Mapping'!BG44-1),IF(AND('(橫掃)RX Mapping'!BG44&gt;=121,'(橫掃)RX Mapping'!BG44&lt;=240), (-1)*('(橫掃)RX Mapping'!BG44-240),IF(AND('(橫掃)RX Mapping'!BG44&gt;=241,'(橫掃)RX Mapping'!BG44&lt;=360), ('(橫掃)RX Mapping'!BG44-241),IF(AND('(橫掃)RX Mapping'!BG44&gt;=361,'(橫掃)RX Mapping'!BG44&lt;=480), (-1)*('(橫掃)RX Mapping'!BG44-480),IF(AND('(橫掃)RX Mapping'!BG44&gt;=481,'(橫掃)RX Mapping'!BG44&lt;=600), ('(橫掃)RX Mapping'!BG44-361),IF(AND('(橫掃)RX Mapping'!BG44&gt;=601,'(橫掃)RX Mapping'!BG44&lt;=720), (-1)*('(橫掃)RX Mapping'!BG44-720)+120,IF(AND('(橫掃)RX Mapping'!BG44&gt;=721,'(橫掃)RX Mapping'!BG44&lt;=840), ('(橫掃)RX Mapping'!BG44-601),IF(AND('(橫掃)RX Mapping'!BG44&gt;=841,'(橫掃)RX Mapping'!BG44&lt;=960), (-1)*('(橫掃)RX Mapping'!BG44-960)+120,9999))))))))</f>
        <v>9999</v>
      </c>
      <c r="BH44">
        <f>IF(AND('(橫掃)RX Mapping'!BH44&gt;=1,'(橫掃)RX Mapping'!BH44&lt;=120), ('(橫掃)RX Mapping'!BH44-1),IF(AND('(橫掃)RX Mapping'!BH44&gt;=121,'(橫掃)RX Mapping'!BH44&lt;=240), (-1)*('(橫掃)RX Mapping'!BH44-240),IF(AND('(橫掃)RX Mapping'!BH44&gt;=241,'(橫掃)RX Mapping'!BH44&lt;=360), ('(橫掃)RX Mapping'!BH44-241),IF(AND('(橫掃)RX Mapping'!BH44&gt;=361,'(橫掃)RX Mapping'!BH44&lt;=480), (-1)*('(橫掃)RX Mapping'!BH44-480),IF(AND('(橫掃)RX Mapping'!BH44&gt;=481,'(橫掃)RX Mapping'!BH44&lt;=600), ('(橫掃)RX Mapping'!BH44-361),IF(AND('(橫掃)RX Mapping'!BH44&gt;=601,'(橫掃)RX Mapping'!BH44&lt;=720), (-1)*('(橫掃)RX Mapping'!BH44-720)+120,IF(AND('(橫掃)RX Mapping'!BH44&gt;=721,'(橫掃)RX Mapping'!BH44&lt;=840), ('(橫掃)RX Mapping'!BH44-601),IF(AND('(橫掃)RX Mapping'!BH44&gt;=841,'(橫掃)RX Mapping'!BH44&lt;=960), (-1)*('(橫掃)RX Mapping'!BH44-960)+120,9999))))))))</f>
        <v>9999</v>
      </c>
      <c r="BI44">
        <f>IF(AND('(橫掃)RX Mapping'!BI44&gt;=1,'(橫掃)RX Mapping'!BI44&lt;=120), ('(橫掃)RX Mapping'!BI44-1),IF(AND('(橫掃)RX Mapping'!BI44&gt;=121,'(橫掃)RX Mapping'!BI44&lt;=240), (-1)*('(橫掃)RX Mapping'!BI44-240),IF(AND('(橫掃)RX Mapping'!BI44&gt;=241,'(橫掃)RX Mapping'!BI44&lt;=360), ('(橫掃)RX Mapping'!BI44-241),IF(AND('(橫掃)RX Mapping'!BI44&gt;=361,'(橫掃)RX Mapping'!BI44&lt;=480), (-1)*('(橫掃)RX Mapping'!BI44-480),IF(AND('(橫掃)RX Mapping'!BI44&gt;=481,'(橫掃)RX Mapping'!BI44&lt;=600), ('(橫掃)RX Mapping'!BI44-361),IF(AND('(橫掃)RX Mapping'!BI44&gt;=601,'(橫掃)RX Mapping'!BI44&lt;=720), (-1)*('(橫掃)RX Mapping'!BI44-720)+120,IF(AND('(橫掃)RX Mapping'!BI44&gt;=721,'(橫掃)RX Mapping'!BI44&lt;=840), ('(橫掃)RX Mapping'!BI44-601),IF(AND('(橫掃)RX Mapping'!BI44&gt;=841,'(橫掃)RX Mapping'!BI44&lt;=960), (-1)*('(橫掃)RX Mapping'!BI44-960)+120,9999))))))))</f>
        <v>9999</v>
      </c>
    </row>
    <row r="45" spans="1:61" x14ac:dyDescent="0.25">
      <c r="A45" s="20">
        <v>44</v>
      </c>
      <c r="B45">
        <f>IF(AND('(橫掃)RX Mapping'!B45&gt;=1,'(橫掃)RX Mapping'!B45&lt;=120), ('(橫掃)RX Mapping'!B45-1),IF(AND('(橫掃)RX Mapping'!B45&gt;=121,'(橫掃)RX Mapping'!B45&lt;=240), (-1)*('(橫掃)RX Mapping'!B45-240),IF(AND('(橫掃)RX Mapping'!B45&gt;=241,'(橫掃)RX Mapping'!B45&lt;=360), ('(橫掃)RX Mapping'!B45-241),IF(AND('(橫掃)RX Mapping'!B45&gt;=361,'(橫掃)RX Mapping'!B45&lt;=480), (-1)*('(橫掃)RX Mapping'!B45-480),IF(AND('(橫掃)RX Mapping'!B45&gt;=481,'(橫掃)RX Mapping'!B45&lt;=600), ('(橫掃)RX Mapping'!B45-361),IF(AND('(橫掃)RX Mapping'!B45&gt;=601,'(橫掃)RX Mapping'!B45&lt;=720), (-1)*('(橫掃)RX Mapping'!B45-720)+120,IF(AND('(橫掃)RX Mapping'!B45&gt;=721,'(橫掃)RX Mapping'!B45&lt;=840), ('(橫掃)RX Mapping'!B45-601),IF(AND('(橫掃)RX Mapping'!B45&gt;=841,'(橫掃)RX Mapping'!B45&lt;=960), (-1)*('(橫掃)RX Mapping'!B45-960)+120,9999))))))))</f>
        <v>9999</v>
      </c>
      <c r="C45">
        <f>IF(AND('(橫掃)RX Mapping'!C45&gt;=1,'(橫掃)RX Mapping'!C45&lt;=120), ('(橫掃)RX Mapping'!C45-1),IF(AND('(橫掃)RX Mapping'!C45&gt;=121,'(橫掃)RX Mapping'!C45&lt;=240), (-1)*('(橫掃)RX Mapping'!C45-240),IF(AND('(橫掃)RX Mapping'!C45&gt;=241,'(橫掃)RX Mapping'!C45&lt;=360), ('(橫掃)RX Mapping'!C45-241),IF(AND('(橫掃)RX Mapping'!C45&gt;=361,'(橫掃)RX Mapping'!C45&lt;=480), (-1)*('(橫掃)RX Mapping'!C45-480),IF(AND('(橫掃)RX Mapping'!C45&gt;=481,'(橫掃)RX Mapping'!C45&lt;=600), ('(橫掃)RX Mapping'!C45-361),IF(AND('(橫掃)RX Mapping'!C45&gt;=601,'(橫掃)RX Mapping'!C45&lt;=720), (-1)*('(橫掃)RX Mapping'!C45-720)+120,IF(AND('(橫掃)RX Mapping'!C45&gt;=721,'(橫掃)RX Mapping'!C45&lt;=840), ('(橫掃)RX Mapping'!C45-601),IF(AND('(橫掃)RX Mapping'!C45&gt;=841,'(橫掃)RX Mapping'!C45&lt;=960), (-1)*('(橫掃)RX Mapping'!C45-960)+120,9999))))))))</f>
        <v>9999</v>
      </c>
      <c r="D45">
        <f>IF(AND('(橫掃)RX Mapping'!D45&gt;=1,'(橫掃)RX Mapping'!D45&lt;=120), ('(橫掃)RX Mapping'!D45-1),IF(AND('(橫掃)RX Mapping'!D45&gt;=121,'(橫掃)RX Mapping'!D45&lt;=240), (-1)*('(橫掃)RX Mapping'!D45-240),IF(AND('(橫掃)RX Mapping'!D45&gt;=241,'(橫掃)RX Mapping'!D45&lt;=360), ('(橫掃)RX Mapping'!D45-241),IF(AND('(橫掃)RX Mapping'!D45&gt;=361,'(橫掃)RX Mapping'!D45&lt;=480), (-1)*('(橫掃)RX Mapping'!D45-480),IF(AND('(橫掃)RX Mapping'!D45&gt;=481,'(橫掃)RX Mapping'!D45&lt;=600), ('(橫掃)RX Mapping'!D45-361),IF(AND('(橫掃)RX Mapping'!D45&gt;=601,'(橫掃)RX Mapping'!D45&lt;=720), (-1)*('(橫掃)RX Mapping'!D45-720)+120,IF(AND('(橫掃)RX Mapping'!D45&gt;=721,'(橫掃)RX Mapping'!D45&lt;=840), ('(橫掃)RX Mapping'!D45-601),IF(AND('(橫掃)RX Mapping'!D45&gt;=841,'(橫掃)RX Mapping'!D45&lt;=960), (-1)*('(橫掃)RX Mapping'!D45-960)+120,9999))))))))</f>
        <v>9999</v>
      </c>
      <c r="E45">
        <f>IF(AND('(橫掃)RX Mapping'!E45&gt;=1,'(橫掃)RX Mapping'!E45&lt;=120), ('(橫掃)RX Mapping'!E45-1),IF(AND('(橫掃)RX Mapping'!E45&gt;=121,'(橫掃)RX Mapping'!E45&lt;=240), (-1)*('(橫掃)RX Mapping'!E45-240),IF(AND('(橫掃)RX Mapping'!E45&gt;=241,'(橫掃)RX Mapping'!E45&lt;=360), ('(橫掃)RX Mapping'!E45-241),IF(AND('(橫掃)RX Mapping'!E45&gt;=361,'(橫掃)RX Mapping'!E45&lt;=480), (-1)*('(橫掃)RX Mapping'!E45-480),IF(AND('(橫掃)RX Mapping'!E45&gt;=481,'(橫掃)RX Mapping'!E45&lt;=600), ('(橫掃)RX Mapping'!E45-361),IF(AND('(橫掃)RX Mapping'!E45&gt;=601,'(橫掃)RX Mapping'!E45&lt;=720), (-1)*('(橫掃)RX Mapping'!E45-720)+120,IF(AND('(橫掃)RX Mapping'!E45&gt;=721,'(橫掃)RX Mapping'!E45&lt;=840), ('(橫掃)RX Mapping'!E45-601),IF(AND('(橫掃)RX Mapping'!E45&gt;=841,'(橫掃)RX Mapping'!E45&lt;=960), (-1)*('(橫掃)RX Mapping'!E45-960)+120,9999))))))))</f>
        <v>9999</v>
      </c>
      <c r="F45">
        <f>IF(AND('(橫掃)RX Mapping'!F45&gt;=1,'(橫掃)RX Mapping'!F45&lt;=120), ('(橫掃)RX Mapping'!F45-1),IF(AND('(橫掃)RX Mapping'!F45&gt;=121,'(橫掃)RX Mapping'!F45&lt;=240), (-1)*('(橫掃)RX Mapping'!F45-240),IF(AND('(橫掃)RX Mapping'!F45&gt;=241,'(橫掃)RX Mapping'!F45&lt;=360), ('(橫掃)RX Mapping'!F45-241),IF(AND('(橫掃)RX Mapping'!F45&gt;=361,'(橫掃)RX Mapping'!F45&lt;=480), (-1)*('(橫掃)RX Mapping'!F45-480),IF(AND('(橫掃)RX Mapping'!F45&gt;=481,'(橫掃)RX Mapping'!F45&lt;=600), ('(橫掃)RX Mapping'!F45-361),IF(AND('(橫掃)RX Mapping'!F45&gt;=601,'(橫掃)RX Mapping'!F45&lt;=720), (-1)*('(橫掃)RX Mapping'!F45-720)+120,IF(AND('(橫掃)RX Mapping'!F45&gt;=721,'(橫掃)RX Mapping'!F45&lt;=840), ('(橫掃)RX Mapping'!F45-601),IF(AND('(橫掃)RX Mapping'!F45&gt;=841,'(橫掃)RX Mapping'!F45&lt;=960), (-1)*('(橫掃)RX Mapping'!F45-960)+120,9999))))))))</f>
        <v>9999</v>
      </c>
      <c r="G45">
        <f>IF(AND('(橫掃)RX Mapping'!G45&gt;=1,'(橫掃)RX Mapping'!G45&lt;=120), ('(橫掃)RX Mapping'!G45-1),IF(AND('(橫掃)RX Mapping'!G45&gt;=121,'(橫掃)RX Mapping'!G45&lt;=240), (-1)*('(橫掃)RX Mapping'!G45-240),IF(AND('(橫掃)RX Mapping'!G45&gt;=241,'(橫掃)RX Mapping'!G45&lt;=360), ('(橫掃)RX Mapping'!G45-241),IF(AND('(橫掃)RX Mapping'!G45&gt;=361,'(橫掃)RX Mapping'!G45&lt;=480), (-1)*('(橫掃)RX Mapping'!G45-480),IF(AND('(橫掃)RX Mapping'!G45&gt;=481,'(橫掃)RX Mapping'!G45&lt;=600), ('(橫掃)RX Mapping'!G45-361),IF(AND('(橫掃)RX Mapping'!G45&gt;=601,'(橫掃)RX Mapping'!G45&lt;=720), (-1)*('(橫掃)RX Mapping'!G45-720)+120,IF(AND('(橫掃)RX Mapping'!G45&gt;=721,'(橫掃)RX Mapping'!G45&lt;=840), ('(橫掃)RX Mapping'!G45-601),IF(AND('(橫掃)RX Mapping'!G45&gt;=841,'(橫掃)RX Mapping'!G45&lt;=960), (-1)*('(橫掃)RX Mapping'!G45-960)+120,9999))))))))</f>
        <v>9999</v>
      </c>
      <c r="H45">
        <f>IF(AND('(橫掃)RX Mapping'!H45&gt;=1,'(橫掃)RX Mapping'!H45&lt;=120), ('(橫掃)RX Mapping'!H45-1),IF(AND('(橫掃)RX Mapping'!H45&gt;=121,'(橫掃)RX Mapping'!H45&lt;=240), (-1)*('(橫掃)RX Mapping'!H45-240),IF(AND('(橫掃)RX Mapping'!H45&gt;=241,'(橫掃)RX Mapping'!H45&lt;=360), ('(橫掃)RX Mapping'!H45-241),IF(AND('(橫掃)RX Mapping'!H45&gt;=361,'(橫掃)RX Mapping'!H45&lt;=480), (-1)*('(橫掃)RX Mapping'!H45-480),IF(AND('(橫掃)RX Mapping'!H45&gt;=481,'(橫掃)RX Mapping'!H45&lt;=600), ('(橫掃)RX Mapping'!H45-361),IF(AND('(橫掃)RX Mapping'!H45&gt;=601,'(橫掃)RX Mapping'!H45&lt;=720), (-1)*('(橫掃)RX Mapping'!H45-720)+120,IF(AND('(橫掃)RX Mapping'!H45&gt;=721,'(橫掃)RX Mapping'!H45&lt;=840), ('(橫掃)RX Mapping'!H45-601),IF(AND('(橫掃)RX Mapping'!H45&gt;=841,'(橫掃)RX Mapping'!H45&lt;=960), (-1)*('(橫掃)RX Mapping'!H45-960)+120,9999))))))))</f>
        <v>9999</v>
      </c>
      <c r="I45">
        <f>IF(AND('(橫掃)RX Mapping'!I45&gt;=1,'(橫掃)RX Mapping'!I45&lt;=120), ('(橫掃)RX Mapping'!I45-1),IF(AND('(橫掃)RX Mapping'!I45&gt;=121,'(橫掃)RX Mapping'!I45&lt;=240), (-1)*('(橫掃)RX Mapping'!I45-240),IF(AND('(橫掃)RX Mapping'!I45&gt;=241,'(橫掃)RX Mapping'!I45&lt;=360), ('(橫掃)RX Mapping'!I45-241),IF(AND('(橫掃)RX Mapping'!I45&gt;=361,'(橫掃)RX Mapping'!I45&lt;=480), (-1)*('(橫掃)RX Mapping'!I45-480),IF(AND('(橫掃)RX Mapping'!I45&gt;=481,'(橫掃)RX Mapping'!I45&lt;=600), ('(橫掃)RX Mapping'!I45-361),IF(AND('(橫掃)RX Mapping'!I45&gt;=601,'(橫掃)RX Mapping'!I45&lt;=720), (-1)*('(橫掃)RX Mapping'!I45-720)+120,IF(AND('(橫掃)RX Mapping'!I45&gt;=721,'(橫掃)RX Mapping'!I45&lt;=840), ('(橫掃)RX Mapping'!I45-601),IF(AND('(橫掃)RX Mapping'!I45&gt;=841,'(橫掃)RX Mapping'!I45&lt;=960), (-1)*('(橫掃)RX Mapping'!I45-960)+120,9999))))))))</f>
        <v>9999</v>
      </c>
      <c r="J45">
        <f>IF(AND('(橫掃)RX Mapping'!J45&gt;=1,'(橫掃)RX Mapping'!J45&lt;=120), ('(橫掃)RX Mapping'!J45-1),IF(AND('(橫掃)RX Mapping'!J45&gt;=121,'(橫掃)RX Mapping'!J45&lt;=240), (-1)*('(橫掃)RX Mapping'!J45-240),IF(AND('(橫掃)RX Mapping'!J45&gt;=241,'(橫掃)RX Mapping'!J45&lt;=360), ('(橫掃)RX Mapping'!J45-241),IF(AND('(橫掃)RX Mapping'!J45&gt;=361,'(橫掃)RX Mapping'!J45&lt;=480), (-1)*('(橫掃)RX Mapping'!J45-480),IF(AND('(橫掃)RX Mapping'!J45&gt;=481,'(橫掃)RX Mapping'!J45&lt;=600), ('(橫掃)RX Mapping'!J45-361),IF(AND('(橫掃)RX Mapping'!J45&gt;=601,'(橫掃)RX Mapping'!J45&lt;=720), (-1)*('(橫掃)RX Mapping'!J45-720)+120,IF(AND('(橫掃)RX Mapping'!J45&gt;=721,'(橫掃)RX Mapping'!J45&lt;=840), ('(橫掃)RX Mapping'!J45-601),IF(AND('(橫掃)RX Mapping'!J45&gt;=841,'(橫掃)RX Mapping'!J45&lt;=960), (-1)*('(橫掃)RX Mapping'!J45-960)+120,9999))))))))</f>
        <v>9999</v>
      </c>
      <c r="K45">
        <f>IF(AND('(橫掃)RX Mapping'!K45&gt;=1,'(橫掃)RX Mapping'!K45&lt;=120), ('(橫掃)RX Mapping'!K45-1),IF(AND('(橫掃)RX Mapping'!K45&gt;=121,'(橫掃)RX Mapping'!K45&lt;=240), (-1)*('(橫掃)RX Mapping'!K45-240),IF(AND('(橫掃)RX Mapping'!K45&gt;=241,'(橫掃)RX Mapping'!K45&lt;=360), ('(橫掃)RX Mapping'!K45-241),IF(AND('(橫掃)RX Mapping'!K45&gt;=361,'(橫掃)RX Mapping'!K45&lt;=480), (-1)*('(橫掃)RX Mapping'!K45-480),IF(AND('(橫掃)RX Mapping'!K45&gt;=481,'(橫掃)RX Mapping'!K45&lt;=600), ('(橫掃)RX Mapping'!K45-361),IF(AND('(橫掃)RX Mapping'!K45&gt;=601,'(橫掃)RX Mapping'!K45&lt;=720), (-1)*('(橫掃)RX Mapping'!K45-720)+120,IF(AND('(橫掃)RX Mapping'!K45&gt;=721,'(橫掃)RX Mapping'!K45&lt;=840), ('(橫掃)RX Mapping'!K45-601),IF(AND('(橫掃)RX Mapping'!K45&gt;=841,'(橫掃)RX Mapping'!K45&lt;=960), (-1)*('(橫掃)RX Mapping'!K45-960)+120,9999))))))))</f>
        <v>9999</v>
      </c>
      <c r="L45">
        <f>IF(AND('(橫掃)RX Mapping'!L45&gt;=1,'(橫掃)RX Mapping'!L45&lt;=120), ('(橫掃)RX Mapping'!L45-1),IF(AND('(橫掃)RX Mapping'!L45&gt;=121,'(橫掃)RX Mapping'!L45&lt;=240), (-1)*('(橫掃)RX Mapping'!L45-240),IF(AND('(橫掃)RX Mapping'!L45&gt;=241,'(橫掃)RX Mapping'!L45&lt;=360), ('(橫掃)RX Mapping'!L45-241),IF(AND('(橫掃)RX Mapping'!L45&gt;=361,'(橫掃)RX Mapping'!L45&lt;=480), (-1)*('(橫掃)RX Mapping'!L45-480),IF(AND('(橫掃)RX Mapping'!L45&gt;=481,'(橫掃)RX Mapping'!L45&lt;=600), ('(橫掃)RX Mapping'!L45-361),IF(AND('(橫掃)RX Mapping'!L45&gt;=601,'(橫掃)RX Mapping'!L45&lt;=720), (-1)*('(橫掃)RX Mapping'!L45-720)+120,IF(AND('(橫掃)RX Mapping'!L45&gt;=721,'(橫掃)RX Mapping'!L45&lt;=840), ('(橫掃)RX Mapping'!L45-601),IF(AND('(橫掃)RX Mapping'!L45&gt;=841,'(橫掃)RX Mapping'!L45&lt;=960), (-1)*('(橫掃)RX Mapping'!L45-960)+120,9999))))))))</f>
        <v>9999</v>
      </c>
      <c r="M45">
        <f>IF(AND('(橫掃)RX Mapping'!M45&gt;=1,'(橫掃)RX Mapping'!M45&lt;=120), ('(橫掃)RX Mapping'!M45-1),IF(AND('(橫掃)RX Mapping'!M45&gt;=121,'(橫掃)RX Mapping'!M45&lt;=240), (-1)*('(橫掃)RX Mapping'!M45-240),IF(AND('(橫掃)RX Mapping'!M45&gt;=241,'(橫掃)RX Mapping'!M45&lt;=360), ('(橫掃)RX Mapping'!M45-241),IF(AND('(橫掃)RX Mapping'!M45&gt;=361,'(橫掃)RX Mapping'!M45&lt;=480), (-1)*('(橫掃)RX Mapping'!M45-480),IF(AND('(橫掃)RX Mapping'!M45&gt;=481,'(橫掃)RX Mapping'!M45&lt;=600), ('(橫掃)RX Mapping'!M45-361),IF(AND('(橫掃)RX Mapping'!M45&gt;=601,'(橫掃)RX Mapping'!M45&lt;=720), (-1)*('(橫掃)RX Mapping'!M45-720)+120,IF(AND('(橫掃)RX Mapping'!M45&gt;=721,'(橫掃)RX Mapping'!M45&lt;=840), ('(橫掃)RX Mapping'!M45-601),IF(AND('(橫掃)RX Mapping'!M45&gt;=841,'(橫掃)RX Mapping'!M45&lt;=960), (-1)*('(橫掃)RX Mapping'!M45-960)+120,9999))))))))</f>
        <v>9999</v>
      </c>
      <c r="N45">
        <f>IF(AND('(橫掃)RX Mapping'!N45&gt;=1,'(橫掃)RX Mapping'!N45&lt;=120), ('(橫掃)RX Mapping'!N45-1),IF(AND('(橫掃)RX Mapping'!N45&gt;=121,'(橫掃)RX Mapping'!N45&lt;=240), (-1)*('(橫掃)RX Mapping'!N45-240),IF(AND('(橫掃)RX Mapping'!N45&gt;=241,'(橫掃)RX Mapping'!N45&lt;=360), ('(橫掃)RX Mapping'!N45-241),IF(AND('(橫掃)RX Mapping'!N45&gt;=361,'(橫掃)RX Mapping'!N45&lt;=480), (-1)*('(橫掃)RX Mapping'!N45-480),IF(AND('(橫掃)RX Mapping'!N45&gt;=481,'(橫掃)RX Mapping'!N45&lt;=600), ('(橫掃)RX Mapping'!N45-361),IF(AND('(橫掃)RX Mapping'!N45&gt;=601,'(橫掃)RX Mapping'!N45&lt;=720), (-1)*('(橫掃)RX Mapping'!N45-720)+120,IF(AND('(橫掃)RX Mapping'!N45&gt;=721,'(橫掃)RX Mapping'!N45&lt;=840), ('(橫掃)RX Mapping'!N45-601),IF(AND('(橫掃)RX Mapping'!N45&gt;=841,'(橫掃)RX Mapping'!N45&lt;=960), (-1)*('(橫掃)RX Mapping'!N45-960)+120,9999))))))))</f>
        <v>9999</v>
      </c>
      <c r="O45">
        <f>IF(AND('(橫掃)RX Mapping'!O45&gt;=1,'(橫掃)RX Mapping'!O45&lt;=120), ('(橫掃)RX Mapping'!O45-1),IF(AND('(橫掃)RX Mapping'!O45&gt;=121,'(橫掃)RX Mapping'!O45&lt;=240), (-1)*('(橫掃)RX Mapping'!O45-240),IF(AND('(橫掃)RX Mapping'!O45&gt;=241,'(橫掃)RX Mapping'!O45&lt;=360), ('(橫掃)RX Mapping'!O45-241),IF(AND('(橫掃)RX Mapping'!O45&gt;=361,'(橫掃)RX Mapping'!O45&lt;=480), (-1)*('(橫掃)RX Mapping'!O45-480),IF(AND('(橫掃)RX Mapping'!O45&gt;=481,'(橫掃)RX Mapping'!O45&lt;=600), ('(橫掃)RX Mapping'!O45-361),IF(AND('(橫掃)RX Mapping'!O45&gt;=601,'(橫掃)RX Mapping'!O45&lt;=720), (-1)*('(橫掃)RX Mapping'!O45-720)+120,IF(AND('(橫掃)RX Mapping'!O45&gt;=721,'(橫掃)RX Mapping'!O45&lt;=840), ('(橫掃)RX Mapping'!O45-601),IF(AND('(橫掃)RX Mapping'!O45&gt;=841,'(橫掃)RX Mapping'!O45&lt;=960), (-1)*('(橫掃)RX Mapping'!O45-960)+120,9999))))))))</f>
        <v>9999</v>
      </c>
      <c r="P45">
        <f>IF(AND('(橫掃)RX Mapping'!P45&gt;=1,'(橫掃)RX Mapping'!P45&lt;=120), ('(橫掃)RX Mapping'!P45-1),IF(AND('(橫掃)RX Mapping'!P45&gt;=121,'(橫掃)RX Mapping'!P45&lt;=240), (-1)*('(橫掃)RX Mapping'!P45-240),IF(AND('(橫掃)RX Mapping'!P45&gt;=241,'(橫掃)RX Mapping'!P45&lt;=360), ('(橫掃)RX Mapping'!P45-241),IF(AND('(橫掃)RX Mapping'!P45&gt;=361,'(橫掃)RX Mapping'!P45&lt;=480), (-1)*('(橫掃)RX Mapping'!P45-480),IF(AND('(橫掃)RX Mapping'!P45&gt;=481,'(橫掃)RX Mapping'!P45&lt;=600), ('(橫掃)RX Mapping'!P45-361),IF(AND('(橫掃)RX Mapping'!P45&gt;=601,'(橫掃)RX Mapping'!P45&lt;=720), (-1)*('(橫掃)RX Mapping'!P45-720)+120,IF(AND('(橫掃)RX Mapping'!P45&gt;=721,'(橫掃)RX Mapping'!P45&lt;=840), ('(橫掃)RX Mapping'!P45-601),IF(AND('(橫掃)RX Mapping'!P45&gt;=841,'(橫掃)RX Mapping'!P45&lt;=960), (-1)*('(橫掃)RX Mapping'!P45-960)+120,9999))))))))</f>
        <v>9999</v>
      </c>
      <c r="Q45">
        <f>IF(AND('(橫掃)RX Mapping'!Q45&gt;=1,'(橫掃)RX Mapping'!Q45&lt;=120), ('(橫掃)RX Mapping'!Q45-1),IF(AND('(橫掃)RX Mapping'!Q45&gt;=121,'(橫掃)RX Mapping'!Q45&lt;=240), (-1)*('(橫掃)RX Mapping'!Q45-240),IF(AND('(橫掃)RX Mapping'!Q45&gt;=241,'(橫掃)RX Mapping'!Q45&lt;=360), ('(橫掃)RX Mapping'!Q45-241),IF(AND('(橫掃)RX Mapping'!Q45&gt;=361,'(橫掃)RX Mapping'!Q45&lt;=480), (-1)*('(橫掃)RX Mapping'!Q45-480),IF(AND('(橫掃)RX Mapping'!Q45&gt;=481,'(橫掃)RX Mapping'!Q45&lt;=600), ('(橫掃)RX Mapping'!Q45-361),IF(AND('(橫掃)RX Mapping'!Q45&gt;=601,'(橫掃)RX Mapping'!Q45&lt;=720), (-1)*('(橫掃)RX Mapping'!Q45-720)+120,IF(AND('(橫掃)RX Mapping'!Q45&gt;=721,'(橫掃)RX Mapping'!Q45&lt;=840), ('(橫掃)RX Mapping'!Q45-601),IF(AND('(橫掃)RX Mapping'!Q45&gt;=841,'(橫掃)RX Mapping'!Q45&lt;=960), (-1)*('(橫掃)RX Mapping'!Q45-960)+120,9999))))))))</f>
        <v>9999</v>
      </c>
      <c r="R45">
        <f>IF(AND('(橫掃)RX Mapping'!R45&gt;=1,'(橫掃)RX Mapping'!R45&lt;=120), ('(橫掃)RX Mapping'!R45-1),IF(AND('(橫掃)RX Mapping'!R45&gt;=121,'(橫掃)RX Mapping'!R45&lt;=240), (-1)*('(橫掃)RX Mapping'!R45-240),IF(AND('(橫掃)RX Mapping'!R45&gt;=241,'(橫掃)RX Mapping'!R45&lt;=360), ('(橫掃)RX Mapping'!R45-241),IF(AND('(橫掃)RX Mapping'!R45&gt;=361,'(橫掃)RX Mapping'!R45&lt;=480), (-1)*('(橫掃)RX Mapping'!R45-480),IF(AND('(橫掃)RX Mapping'!R45&gt;=481,'(橫掃)RX Mapping'!R45&lt;=600), ('(橫掃)RX Mapping'!R45-361),IF(AND('(橫掃)RX Mapping'!R45&gt;=601,'(橫掃)RX Mapping'!R45&lt;=720), (-1)*('(橫掃)RX Mapping'!R45-720)+120,IF(AND('(橫掃)RX Mapping'!R45&gt;=721,'(橫掃)RX Mapping'!R45&lt;=840), ('(橫掃)RX Mapping'!R45-601),IF(AND('(橫掃)RX Mapping'!R45&gt;=841,'(橫掃)RX Mapping'!R45&lt;=960), (-1)*('(橫掃)RX Mapping'!R45-960)+120,9999))))))))</f>
        <v>9999</v>
      </c>
      <c r="S45">
        <f>IF(AND('(橫掃)RX Mapping'!S45&gt;=1,'(橫掃)RX Mapping'!S45&lt;=120), ('(橫掃)RX Mapping'!S45-1),IF(AND('(橫掃)RX Mapping'!S45&gt;=121,'(橫掃)RX Mapping'!S45&lt;=240), (-1)*('(橫掃)RX Mapping'!S45-240),IF(AND('(橫掃)RX Mapping'!S45&gt;=241,'(橫掃)RX Mapping'!S45&lt;=360), ('(橫掃)RX Mapping'!S45-241),IF(AND('(橫掃)RX Mapping'!S45&gt;=361,'(橫掃)RX Mapping'!S45&lt;=480), (-1)*('(橫掃)RX Mapping'!S45-480),IF(AND('(橫掃)RX Mapping'!S45&gt;=481,'(橫掃)RX Mapping'!S45&lt;=600), ('(橫掃)RX Mapping'!S45-361),IF(AND('(橫掃)RX Mapping'!S45&gt;=601,'(橫掃)RX Mapping'!S45&lt;=720), (-1)*('(橫掃)RX Mapping'!S45-720)+120,IF(AND('(橫掃)RX Mapping'!S45&gt;=721,'(橫掃)RX Mapping'!S45&lt;=840), ('(橫掃)RX Mapping'!S45-601),IF(AND('(橫掃)RX Mapping'!S45&gt;=841,'(橫掃)RX Mapping'!S45&lt;=960), (-1)*('(橫掃)RX Mapping'!S45-960)+120,9999))))))))</f>
        <v>9999</v>
      </c>
      <c r="T45">
        <f>IF(AND('(橫掃)RX Mapping'!T45&gt;=1,'(橫掃)RX Mapping'!T45&lt;=120), ('(橫掃)RX Mapping'!T45-1),IF(AND('(橫掃)RX Mapping'!T45&gt;=121,'(橫掃)RX Mapping'!T45&lt;=240), (-1)*('(橫掃)RX Mapping'!T45-240),IF(AND('(橫掃)RX Mapping'!T45&gt;=241,'(橫掃)RX Mapping'!T45&lt;=360), ('(橫掃)RX Mapping'!T45-241),IF(AND('(橫掃)RX Mapping'!T45&gt;=361,'(橫掃)RX Mapping'!T45&lt;=480), (-1)*('(橫掃)RX Mapping'!T45-480),IF(AND('(橫掃)RX Mapping'!T45&gt;=481,'(橫掃)RX Mapping'!T45&lt;=600), ('(橫掃)RX Mapping'!T45-361),IF(AND('(橫掃)RX Mapping'!T45&gt;=601,'(橫掃)RX Mapping'!T45&lt;=720), (-1)*('(橫掃)RX Mapping'!T45-720)+120,IF(AND('(橫掃)RX Mapping'!T45&gt;=721,'(橫掃)RX Mapping'!T45&lt;=840), ('(橫掃)RX Mapping'!T45-601),IF(AND('(橫掃)RX Mapping'!T45&gt;=841,'(橫掃)RX Mapping'!T45&lt;=960), (-1)*('(橫掃)RX Mapping'!T45-960)+120,9999))))))))</f>
        <v>9999</v>
      </c>
      <c r="U45">
        <f>IF(AND('(橫掃)RX Mapping'!U45&gt;=1,'(橫掃)RX Mapping'!U45&lt;=120), ('(橫掃)RX Mapping'!U45-1),IF(AND('(橫掃)RX Mapping'!U45&gt;=121,'(橫掃)RX Mapping'!U45&lt;=240), (-1)*('(橫掃)RX Mapping'!U45-240),IF(AND('(橫掃)RX Mapping'!U45&gt;=241,'(橫掃)RX Mapping'!U45&lt;=360), ('(橫掃)RX Mapping'!U45-241),IF(AND('(橫掃)RX Mapping'!U45&gt;=361,'(橫掃)RX Mapping'!U45&lt;=480), (-1)*('(橫掃)RX Mapping'!U45-480),IF(AND('(橫掃)RX Mapping'!U45&gt;=481,'(橫掃)RX Mapping'!U45&lt;=600), ('(橫掃)RX Mapping'!U45-361),IF(AND('(橫掃)RX Mapping'!U45&gt;=601,'(橫掃)RX Mapping'!U45&lt;=720), (-1)*('(橫掃)RX Mapping'!U45-720)+120,IF(AND('(橫掃)RX Mapping'!U45&gt;=721,'(橫掃)RX Mapping'!U45&lt;=840), ('(橫掃)RX Mapping'!U45-601),IF(AND('(橫掃)RX Mapping'!U45&gt;=841,'(橫掃)RX Mapping'!U45&lt;=960), (-1)*('(橫掃)RX Mapping'!U45-960)+120,9999))))))))</f>
        <v>9999</v>
      </c>
      <c r="V45">
        <f>IF(AND('(橫掃)RX Mapping'!V45&gt;=1,'(橫掃)RX Mapping'!V45&lt;=120), ('(橫掃)RX Mapping'!V45-1),IF(AND('(橫掃)RX Mapping'!V45&gt;=121,'(橫掃)RX Mapping'!V45&lt;=240), (-1)*('(橫掃)RX Mapping'!V45-240),IF(AND('(橫掃)RX Mapping'!V45&gt;=241,'(橫掃)RX Mapping'!V45&lt;=360), ('(橫掃)RX Mapping'!V45-241),IF(AND('(橫掃)RX Mapping'!V45&gt;=361,'(橫掃)RX Mapping'!V45&lt;=480), (-1)*('(橫掃)RX Mapping'!V45-480),IF(AND('(橫掃)RX Mapping'!V45&gt;=481,'(橫掃)RX Mapping'!V45&lt;=600), ('(橫掃)RX Mapping'!V45-361),IF(AND('(橫掃)RX Mapping'!V45&gt;=601,'(橫掃)RX Mapping'!V45&lt;=720), (-1)*('(橫掃)RX Mapping'!V45-720)+120,IF(AND('(橫掃)RX Mapping'!V45&gt;=721,'(橫掃)RX Mapping'!V45&lt;=840), ('(橫掃)RX Mapping'!V45-601),IF(AND('(橫掃)RX Mapping'!V45&gt;=841,'(橫掃)RX Mapping'!V45&lt;=960), (-1)*('(橫掃)RX Mapping'!V45-960)+120,9999))))))))</f>
        <v>9999</v>
      </c>
      <c r="W45">
        <f>IF(AND('(橫掃)RX Mapping'!W45&gt;=1,'(橫掃)RX Mapping'!W45&lt;=120), ('(橫掃)RX Mapping'!W45-1),IF(AND('(橫掃)RX Mapping'!W45&gt;=121,'(橫掃)RX Mapping'!W45&lt;=240), (-1)*('(橫掃)RX Mapping'!W45-240),IF(AND('(橫掃)RX Mapping'!W45&gt;=241,'(橫掃)RX Mapping'!W45&lt;=360), ('(橫掃)RX Mapping'!W45-241),IF(AND('(橫掃)RX Mapping'!W45&gt;=361,'(橫掃)RX Mapping'!W45&lt;=480), (-1)*('(橫掃)RX Mapping'!W45-480),IF(AND('(橫掃)RX Mapping'!W45&gt;=481,'(橫掃)RX Mapping'!W45&lt;=600), ('(橫掃)RX Mapping'!W45-361),IF(AND('(橫掃)RX Mapping'!W45&gt;=601,'(橫掃)RX Mapping'!W45&lt;=720), (-1)*('(橫掃)RX Mapping'!W45-720)+120,IF(AND('(橫掃)RX Mapping'!W45&gt;=721,'(橫掃)RX Mapping'!W45&lt;=840), ('(橫掃)RX Mapping'!W45-601),IF(AND('(橫掃)RX Mapping'!W45&gt;=841,'(橫掃)RX Mapping'!W45&lt;=960), (-1)*('(橫掃)RX Mapping'!W45-960)+120,9999))))))))</f>
        <v>9999</v>
      </c>
      <c r="X45">
        <f>IF(AND('(橫掃)RX Mapping'!X45&gt;=1,'(橫掃)RX Mapping'!X45&lt;=120), ('(橫掃)RX Mapping'!X45-1),IF(AND('(橫掃)RX Mapping'!X45&gt;=121,'(橫掃)RX Mapping'!X45&lt;=240), (-1)*('(橫掃)RX Mapping'!X45-240),IF(AND('(橫掃)RX Mapping'!X45&gt;=241,'(橫掃)RX Mapping'!X45&lt;=360), ('(橫掃)RX Mapping'!X45-241),IF(AND('(橫掃)RX Mapping'!X45&gt;=361,'(橫掃)RX Mapping'!X45&lt;=480), (-1)*('(橫掃)RX Mapping'!X45-480),IF(AND('(橫掃)RX Mapping'!X45&gt;=481,'(橫掃)RX Mapping'!X45&lt;=600), ('(橫掃)RX Mapping'!X45-361),IF(AND('(橫掃)RX Mapping'!X45&gt;=601,'(橫掃)RX Mapping'!X45&lt;=720), (-1)*('(橫掃)RX Mapping'!X45-720)+120,IF(AND('(橫掃)RX Mapping'!X45&gt;=721,'(橫掃)RX Mapping'!X45&lt;=840), ('(橫掃)RX Mapping'!X45-601),IF(AND('(橫掃)RX Mapping'!X45&gt;=841,'(橫掃)RX Mapping'!X45&lt;=960), (-1)*('(橫掃)RX Mapping'!X45-960)+120,9999))))))))</f>
        <v>9999</v>
      </c>
      <c r="Y45">
        <f>IF(AND('(橫掃)RX Mapping'!Y45&gt;=1,'(橫掃)RX Mapping'!Y45&lt;=120), ('(橫掃)RX Mapping'!Y45-1),IF(AND('(橫掃)RX Mapping'!Y45&gt;=121,'(橫掃)RX Mapping'!Y45&lt;=240), (-1)*('(橫掃)RX Mapping'!Y45-240),IF(AND('(橫掃)RX Mapping'!Y45&gt;=241,'(橫掃)RX Mapping'!Y45&lt;=360), ('(橫掃)RX Mapping'!Y45-241),IF(AND('(橫掃)RX Mapping'!Y45&gt;=361,'(橫掃)RX Mapping'!Y45&lt;=480), (-1)*('(橫掃)RX Mapping'!Y45-480),IF(AND('(橫掃)RX Mapping'!Y45&gt;=481,'(橫掃)RX Mapping'!Y45&lt;=600), ('(橫掃)RX Mapping'!Y45-361),IF(AND('(橫掃)RX Mapping'!Y45&gt;=601,'(橫掃)RX Mapping'!Y45&lt;=720), (-1)*('(橫掃)RX Mapping'!Y45-720)+120,IF(AND('(橫掃)RX Mapping'!Y45&gt;=721,'(橫掃)RX Mapping'!Y45&lt;=840), ('(橫掃)RX Mapping'!Y45-601),IF(AND('(橫掃)RX Mapping'!Y45&gt;=841,'(橫掃)RX Mapping'!Y45&lt;=960), (-1)*('(橫掃)RX Mapping'!Y45-960)+120,9999))))))))</f>
        <v>9999</v>
      </c>
      <c r="Z45">
        <f>IF(AND('(橫掃)RX Mapping'!Z45&gt;=1,'(橫掃)RX Mapping'!Z45&lt;=120), ('(橫掃)RX Mapping'!Z45-1),IF(AND('(橫掃)RX Mapping'!Z45&gt;=121,'(橫掃)RX Mapping'!Z45&lt;=240), (-1)*('(橫掃)RX Mapping'!Z45-240),IF(AND('(橫掃)RX Mapping'!Z45&gt;=241,'(橫掃)RX Mapping'!Z45&lt;=360), ('(橫掃)RX Mapping'!Z45-241),IF(AND('(橫掃)RX Mapping'!Z45&gt;=361,'(橫掃)RX Mapping'!Z45&lt;=480), (-1)*('(橫掃)RX Mapping'!Z45-480),IF(AND('(橫掃)RX Mapping'!Z45&gt;=481,'(橫掃)RX Mapping'!Z45&lt;=600), ('(橫掃)RX Mapping'!Z45-361),IF(AND('(橫掃)RX Mapping'!Z45&gt;=601,'(橫掃)RX Mapping'!Z45&lt;=720), (-1)*('(橫掃)RX Mapping'!Z45-720)+120,IF(AND('(橫掃)RX Mapping'!Z45&gt;=721,'(橫掃)RX Mapping'!Z45&lt;=840), ('(橫掃)RX Mapping'!Z45-601),IF(AND('(橫掃)RX Mapping'!Z45&gt;=841,'(橫掃)RX Mapping'!Z45&lt;=960), (-1)*('(橫掃)RX Mapping'!Z45-960)+120,9999))))))))</f>
        <v>9999</v>
      </c>
      <c r="AA45">
        <f>IF(AND('(橫掃)RX Mapping'!AA45&gt;=1,'(橫掃)RX Mapping'!AA45&lt;=120), ('(橫掃)RX Mapping'!AA45-1),IF(AND('(橫掃)RX Mapping'!AA45&gt;=121,'(橫掃)RX Mapping'!AA45&lt;=240), (-1)*('(橫掃)RX Mapping'!AA45-240),IF(AND('(橫掃)RX Mapping'!AA45&gt;=241,'(橫掃)RX Mapping'!AA45&lt;=360), ('(橫掃)RX Mapping'!AA45-241),IF(AND('(橫掃)RX Mapping'!AA45&gt;=361,'(橫掃)RX Mapping'!AA45&lt;=480), (-1)*('(橫掃)RX Mapping'!AA45-480),IF(AND('(橫掃)RX Mapping'!AA45&gt;=481,'(橫掃)RX Mapping'!AA45&lt;=600), ('(橫掃)RX Mapping'!AA45-361),IF(AND('(橫掃)RX Mapping'!AA45&gt;=601,'(橫掃)RX Mapping'!AA45&lt;=720), (-1)*('(橫掃)RX Mapping'!AA45-720)+120,IF(AND('(橫掃)RX Mapping'!AA45&gt;=721,'(橫掃)RX Mapping'!AA45&lt;=840), ('(橫掃)RX Mapping'!AA45-601),IF(AND('(橫掃)RX Mapping'!AA45&gt;=841,'(橫掃)RX Mapping'!AA45&lt;=960), (-1)*('(橫掃)RX Mapping'!AA45-960)+120,9999))))))))</f>
        <v>9999</v>
      </c>
      <c r="AB45">
        <f>IF(AND('(橫掃)RX Mapping'!AB45&gt;=1,'(橫掃)RX Mapping'!AB45&lt;=120), ('(橫掃)RX Mapping'!AB45-1),IF(AND('(橫掃)RX Mapping'!AB45&gt;=121,'(橫掃)RX Mapping'!AB45&lt;=240), (-1)*('(橫掃)RX Mapping'!AB45-240),IF(AND('(橫掃)RX Mapping'!AB45&gt;=241,'(橫掃)RX Mapping'!AB45&lt;=360), ('(橫掃)RX Mapping'!AB45-241),IF(AND('(橫掃)RX Mapping'!AB45&gt;=361,'(橫掃)RX Mapping'!AB45&lt;=480), (-1)*('(橫掃)RX Mapping'!AB45-480),IF(AND('(橫掃)RX Mapping'!AB45&gt;=481,'(橫掃)RX Mapping'!AB45&lt;=600), ('(橫掃)RX Mapping'!AB45-361),IF(AND('(橫掃)RX Mapping'!AB45&gt;=601,'(橫掃)RX Mapping'!AB45&lt;=720), (-1)*('(橫掃)RX Mapping'!AB45-720)+120,IF(AND('(橫掃)RX Mapping'!AB45&gt;=721,'(橫掃)RX Mapping'!AB45&lt;=840), ('(橫掃)RX Mapping'!AB45-601),IF(AND('(橫掃)RX Mapping'!AB45&gt;=841,'(橫掃)RX Mapping'!AB45&lt;=960), (-1)*('(橫掃)RX Mapping'!AB45-960)+120,9999))))))))</f>
        <v>9999</v>
      </c>
      <c r="AC45">
        <f>IF(AND('(橫掃)RX Mapping'!AC45&gt;=1,'(橫掃)RX Mapping'!AC45&lt;=120), ('(橫掃)RX Mapping'!AC45-1),IF(AND('(橫掃)RX Mapping'!AC45&gt;=121,'(橫掃)RX Mapping'!AC45&lt;=240), (-1)*('(橫掃)RX Mapping'!AC45-240),IF(AND('(橫掃)RX Mapping'!AC45&gt;=241,'(橫掃)RX Mapping'!AC45&lt;=360), ('(橫掃)RX Mapping'!AC45-241),IF(AND('(橫掃)RX Mapping'!AC45&gt;=361,'(橫掃)RX Mapping'!AC45&lt;=480), (-1)*('(橫掃)RX Mapping'!AC45-480),IF(AND('(橫掃)RX Mapping'!AC45&gt;=481,'(橫掃)RX Mapping'!AC45&lt;=600), ('(橫掃)RX Mapping'!AC45-361),IF(AND('(橫掃)RX Mapping'!AC45&gt;=601,'(橫掃)RX Mapping'!AC45&lt;=720), (-1)*('(橫掃)RX Mapping'!AC45-720)+120,IF(AND('(橫掃)RX Mapping'!AC45&gt;=721,'(橫掃)RX Mapping'!AC45&lt;=840), ('(橫掃)RX Mapping'!AC45-601),IF(AND('(橫掃)RX Mapping'!AC45&gt;=841,'(橫掃)RX Mapping'!AC45&lt;=960), (-1)*('(橫掃)RX Mapping'!AC45-960)+120,9999))))))))</f>
        <v>9999</v>
      </c>
      <c r="AD45">
        <f>IF(AND('(橫掃)RX Mapping'!AD45&gt;=1,'(橫掃)RX Mapping'!AD45&lt;=120), ('(橫掃)RX Mapping'!AD45-1),IF(AND('(橫掃)RX Mapping'!AD45&gt;=121,'(橫掃)RX Mapping'!AD45&lt;=240), (-1)*('(橫掃)RX Mapping'!AD45-240),IF(AND('(橫掃)RX Mapping'!AD45&gt;=241,'(橫掃)RX Mapping'!AD45&lt;=360), ('(橫掃)RX Mapping'!AD45-241),IF(AND('(橫掃)RX Mapping'!AD45&gt;=361,'(橫掃)RX Mapping'!AD45&lt;=480), (-1)*('(橫掃)RX Mapping'!AD45-480),IF(AND('(橫掃)RX Mapping'!AD45&gt;=481,'(橫掃)RX Mapping'!AD45&lt;=600), ('(橫掃)RX Mapping'!AD45-361),IF(AND('(橫掃)RX Mapping'!AD45&gt;=601,'(橫掃)RX Mapping'!AD45&lt;=720), (-1)*('(橫掃)RX Mapping'!AD45-720)+120,IF(AND('(橫掃)RX Mapping'!AD45&gt;=721,'(橫掃)RX Mapping'!AD45&lt;=840), ('(橫掃)RX Mapping'!AD45-601),IF(AND('(橫掃)RX Mapping'!AD45&gt;=841,'(橫掃)RX Mapping'!AD45&lt;=960), (-1)*('(橫掃)RX Mapping'!AD45-960)+120,9999))))))))</f>
        <v>9999</v>
      </c>
      <c r="AE45">
        <f>IF(AND('(橫掃)RX Mapping'!AE45&gt;=1,'(橫掃)RX Mapping'!AE45&lt;=120), ('(橫掃)RX Mapping'!AE45-1),IF(AND('(橫掃)RX Mapping'!AE45&gt;=121,'(橫掃)RX Mapping'!AE45&lt;=240), (-1)*('(橫掃)RX Mapping'!AE45-240),IF(AND('(橫掃)RX Mapping'!AE45&gt;=241,'(橫掃)RX Mapping'!AE45&lt;=360), ('(橫掃)RX Mapping'!AE45-241),IF(AND('(橫掃)RX Mapping'!AE45&gt;=361,'(橫掃)RX Mapping'!AE45&lt;=480), (-1)*('(橫掃)RX Mapping'!AE45-480),IF(AND('(橫掃)RX Mapping'!AE45&gt;=481,'(橫掃)RX Mapping'!AE45&lt;=600), ('(橫掃)RX Mapping'!AE45-361),IF(AND('(橫掃)RX Mapping'!AE45&gt;=601,'(橫掃)RX Mapping'!AE45&lt;=720), (-1)*('(橫掃)RX Mapping'!AE45-720)+120,IF(AND('(橫掃)RX Mapping'!AE45&gt;=721,'(橫掃)RX Mapping'!AE45&lt;=840), ('(橫掃)RX Mapping'!AE45-601),IF(AND('(橫掃)RX Mapping'!AE45&gt;=841,'(橫掃)RX Mapping'!AE45&lt;=960), (-1)*('(橫掃)RX Mapping'!AE45-960)+120,9999))))))))</f>
        <v>9999</v>
      </c>
      <c r="AF45">
        <f>IF(AND('(橫掃)RX Mapping'!AF45&gt;=1,'(橫掃)RX Mapping'!AF45&lt;=120), ('(橫掃)RX Mapping'!AF45-1),IF(AND('(橫掃)RX Mapping'!AF45&gt;=121,'(橫掃)RX Mapping'!AF45&lt;=240), (-1)*('(橫掃)RX Mapping'!AF45-240),IF(AND('(橫掃)RX Mapping'!AF45&gt;=241,'(橫掃)RX Mapping'!AF45&lt;=360), ('(橫掃)RX Mapping'!AF45-241),IF(AND('(橫掃)RX Mapping'!AF45&gt;=361,'(橫掃)RX Mapping'!AF45&lt;=480), (-1)*('(橫掃)RX Mapping'!AF45-480),IF(AND('(橫掃)RX Mapping'!AF45&gt;=481,'(橫掃)RX Mapping'!AF45&lt;=600), ('(橫掃)RX Mapping'!AF45-361),IF(AND('(橫掃)RX Mapping'!AF45&gt;=601,'(橫掃)RX Mapping'!AF45&lt;=720), (-1)*('(橫掃)RX Mapping'!AF45-720)+120,IF(AND('(橫掃)RX Mapping'!AF45&gt;=721,'(橫掃)RX Mapping'!AF45&lt;=840), ('(橫掃)RX Mapping'!AF45-601),IF(AND('(橫掃)RX Mapping'!AF45&gt;=841,'(橫掃)RX Mapping'!AF45&lt;=960), (-1)*('(橫掃)RX Mapping'!AF45-960)+120,9999))))))))</f>
        <v>9999</v>
      </c>
      <c r="AG45">
        <f>IF(AND('(橫掃)RX Mapping'!AG45&gt;=1,'(橫掃)RX Mapping'!AG45&lt;=120), ('(橫掃)RX Mapping'!AG45-1),IF(AND('(橫掃)RX Mapping'!AG45&gt;=121,'(橫掃)RX Mapping'!AG45&lt;=240), (-1)*('(橫掃)RX Mapping'!AG45-240),IF(AND('(橫掃)RX Mapping'!AG45&gt;=241,'(橫掃)RX Mapping'!AG45&lt;=360), ('(橫掃)RX Mapping'!AG45-241),IF(AND('(橫掃)RX Mapping'!AG45&gt;=361,'(橫掃)RX Mapping'!AG45&lt;=480), (-1)*('(橫掃)RX Mapping'!AG45-480),IF(AND('(橫掃)RX Mapping'!AG45&gt;=481,'(橫掃)RX Mapping'!AG45&lt;=600), ('(橫掃)RX Mapping'!AG45-361),IF(AND('(橫掃)RX Mapping'!AG45&gt;=601,'(橫掃)RX Mapping'!AG45&lt;=720), (-1)*('(橫掃)RX Mapping'!AG45-720)+120,IF(AND('(橫掃)RX Mapping'!AG45&gt;=721,'(橫掃)RX Mapping'!AG45&lt;=840), ('(橫掃)RX Mapping'!AG45-601),IF(AND('(橫掃)RX Mapping'!AG45&gt;=841,'(橫掃)RX Mapping'!AG45&lt;=960), (-1)*('(橫掃)RX Mapping'!AG45-960)+120,9999))))))))</f>
        <v>9999</v>
      </c>
      <c r="AH45">
        <f>IF(AND('(橫掃)RX Mapping'!AH45&gt;=1,'(橫掃)RX Mapping'!AH45&lt;=120), ('(橫掃)RX Mapping'!AH45-1),IF(AND('(橫掃)RX Mapping'!AH45&gt;=121,'(橫掃)RX Mapping'!AH45&lt;=240), (-1)*('(橫掃)RX Mapping'!AH45-240),IF(AND('(橫掃)RX Mapping'!AH45&gt;=241,'(橫掃)RX Mapping'!AH45&lt;=360), ('(橫掃)RX Mapping'!AH45-241),IF(AND('(橫掃)RX Mapping'!AH45&gt;=361,'(橫掃)RX Mapping'!AH45&lt;=480), (-1)*('(橫掃)RX Mapping'!AH45-480),IF(AND('(橫掃)RX Mapping'!AH45&gt;=481,'(橫掃)RX Mapping'!AH45&lt;=600), ('(橫掃)RX Mapping'!AH45-361),IF(AND('(橫掃)RX Mapping'!AH45&gt;=601,'(橫掃)RX Mapping'!AH45&lt;=720), (-1)*('(橫掃)RX Mapping'!AH45-720)+120,IF(AND('(橫掃)RX Mapping'!AH45&gt;=721,'(橫掃)RX Mapping'!AH45&lt;=840), ('(橫掃)RX Mapping'!AH45-601),IF(AND('(橫掃)RX Mapping'!AH45&gt;=841,'(橫掃)RX Mapping'!AH45&lt;=960), (-1)*('(橫掃)RX Mapping'!AH45-960)+120,9999))))))))</f>
        <v>9999</v>
      </c>
      <c r="AI45">
        <f>IF(AND('(橫掃)RX Mapping'!AI45&gt;=1,'(橫掃)RX Mapping'!AI45&lt;=120), ('(橫掃)RX Mapping'!AI45-1),IF(AND('(橫掃)RX Mapping'!AI45&gt;=121,'(橫掃)RX Mapping'!AI45&lt;=240), (-1)*('(橫掃)RX Mapping'!AI45-240),IF(AND('(橫掃)RX Mapping'!AI45&gt;=241,'(橫掃)RX Mapping'!AI45&lt;=360), ('(橫掃)RX Mapping'!AI45-241),IF(AND('(橫掃)RX Mapping'!AI45&gt;=361,'(橫掃)RX Mapping'!AI45&lt;=480), (-1)*('(橫掃)RX Mapping'!AI45-480),IF(AND('(橫掃)RX Mapping'!AI45&gt;=481,'(橫掃)RX Mapping'!AI45&lt;=600), ('(橫掃)RX Mapping'!AI45-361),IF(AND('(橫掃)RX Mapping'!AI45&gt;=601,'(橫掃)RX Mapping'!AI45&lt;=720), (-1)*('(橫掃)RX Mapping'!AI45-720)+120,IF(AND('(橫掃)RX Mapping'!AI45&gt;=721,'(橫掃)RX Mapping'!AI45&lt;=840), ('(橫掃)RX Mapping'!AI45-601),IF(AND('(橫掃)RX Mapping'!AI45&gt;=841,'(橫掃)RX Mapping'!AI45&lt;=960), (-1)*('(橫掃)RX Mapping'!AI45-960)+120,9999))))))))</f>
        <v>9999</v>
      </c>
      <c r="AJ45">
        <f>IF(AND('(橫掃)RX Mapping'!AJ45&gt;=1,'(橫掃)RX Mapping'!AJ45&lt;=120), ('(橫掃)RX Mapping'!AJ45-1),IF(AND('(橫掃)RX Mapping'!AJ45&gt;=121,'(橫掃)RX Mapping'!AJ45&lt;=240), (-1)*('(橫掃)RX Mapping'!AJ45-240),IF(AND('(橫掃)RX Mapping'!AJ45&gt;=241,'(橫掃)RX Mapping'!AJ45&lt;=360), ('(橫掃)RX Mapping'!AJ45-241),IF(AND('(橫掃)RX Mapping'!AJ45&gt;=361,'(橫掃)RX Mapping'!AJ45&lt;=480), (-1)*('(橫掃)RX Mapping'!AJ45-480),IF(AND('(橫掃)RX Mapping'!AJ45&gt;=481,'(橫掃)RX Mapping'!AJ45&lt;=600), ('(橫掃)RX Mapping'!AJ45-361),IF(AND('(橫掃)RX Mapping'!AJ45&gt;=601,'(橫掃)RX Mapping'!AJ45&lt;=720), (-1)*('(橫掃)RX Mapping'!AJ45-720)+120,IF(AND('(橫掃)RX Mapping'!AJ45&gt;=721,'(橫掃)RX Mapping'!AJ45&lt;=840), ('(橫掃)RX Mapping'!AJ45-601),IF(AND('(橫掃)RX Mapping'!AJ45&gt;=841,'(橫掃)RX Mapping'!AJ45&lt;=960), (-1)*('(橫掃)RX Mapping'!AJ45-960)+120,9999))))))))</f>
        <v>9999</v>
      </c>
      <c r="AK45">
        <f>IF(AND('(橫掃)RX Mapping'!AK45&gt;=1,'(橫掃)RX Mapping'!AK45&lt;=120), ('(橫掃)RX Mapping'!AK45-1),IF(AND('(橫掃)RX Mapping'!AK45&gt;=121,'(橫掃)RX Mapping'!AK45&lt;=240), (-1)*('(橫掃)RX Mapping'!AK45-240),IF(AND('(橫掃)RX Mapping'!AK45&gt;=241,'(橫掃)RX Mapping'!AK45&lt;=360), ('(橫掃)RX Mapping'!AK45-241),IF(AND('(橫掃)RX Mapping'!AK45&gt;=361,'(橫掃)RX Mapping'!AK45&lt;=480), (-1)*('(橫掃)RX Mapping'!AK45-480),IF(AND('(橫掃)RX Mapping'!AK45&gt;=481,'(橫掃)RX Mapping'!AK45&lt;=600), ('(橫掃)RX Mapping'!AK45-361),IF(AND('(橫掃)RX Mapping'!AK45&gt;=601,'(橫掃)RX Mapping'!AK45&lt;=720), (-1)*('(橫掃)RX Mapping'!AK45-720)+120,IF(AND('(橫掃)RX Mapping'!AK45&gt;=721,'(橫掃)RX Mapping'!AK45&lt;=840), ('(橫掃)RX Mapping'!AK45-601),IF(AND('(橫掃)RX Mapping'!AK45&gt;=841,'(橫掃)RX Mapping'!AK45&lt;=960), (-1)*('(橫掃)RX Mapping'!AK45-960)+120,9999))))))))</f>
        <v>9999</v>
      </c>
      <c r="AL45">
        <f>IF(AND('(橫掃)RX Mapping'!AL45&gt;=1,'(橫掃)RX Mapping'!AL45&lt;=120), ('(橫掃)RX Mapping'!AL45-1),IF(AND('(橫掃)RX Mapping'!AL45&gt;=121,'(橫掃)RX Mapping'!AL45&lt;=240), (-1)*('(橫掃)RX Mapping'!AL45-240),IF(AND('(橫掃)RX Mapping'!AL45&gt;=241,'(橫掃)RX Mapping'!AL45&lt;=360), ('(橫掃)RX Mapping'!AL45-241),IF(AND('(橫掃)RX Mapping'!AL45&gt;=361,'(橫掃)RX Mapping'!AL45&lt;=480), (-1)*('(橫掃)RX Mapping'!AL45-480),IF(AND('(橫掃)RX Mapping'!AL45&gt;=481,'(橫掃)RX Mapping'!AL45&lt;=600), ('(橫掃)RX Mapping'!AL45-361),IF(AND('(橫掃)RX Mapping'!AL45&gt;=601,'(橫掃)RX Mapping'!AL45&lt;=720), (-1)*('(橫掃)RX Mapping'!AL45-720)+120,IF(AND('(橫掃)RX Mapping'!AL45&gt;=721,'(橫掃)RX Mapping'!AL45&lt;=840), ('(橫掃)RX Mapping'!AL45-601),IF(AND('(橫掃)RX Mapping'!AL45&gt;=841,'(橫掃)RX Mapping'!AL45&lt;=960), (-1)*('(橫掃)RX Mapping'!AL45-960)+120,9999))))))))</f>
        <v>9999</v>
      </c>
      <c r="AM45">
        <f>IF(AND('(橫掃)RX Mapping'!AM45&gt;=1,'(橫掃)RX Mapping'!AM45&lt;=120), ('(橫掃)RX Mapping'!AM45-1),IF(AND('(橫掃)RX Mapping'!AM45&gt;=121,'(橫掃)RX Mapping'!AM45&lt;=240), (-1)*('(橫掃)RX Mapping'!AM45-240),IF(AND('(橫掃)RX Mapping'!AM45&gt;=241,'(橫掃)RX Mapping'!AM45&lt;=360), ('(橫掃)RX Mapping'!AM45-241),IF(AND('(橫掃)RX Mapping'!AM45&gt;=361,'(橫掃)RX Mapping'!AM45&lt;=480), (-1)*('(橫掃)RX Mapping'!AM45-480),IF(AND('(橫掃)RX Mapping'!AM45&gt;=481,'(橫掃)RX Mapping'!AM45&lt;=600), ('(橫掃)RX Mapping'!AM45-361),IF(AND('(橫掃)RX Mapping'!AM45&gt;=601,'(橫掃)RX Mapping'!AM45&lt;=720), (-1)*('(橫掃)RX Mapping'!AM45-720)+120,IF(AND('(橫掃)RX Mapping'!AM45&gt;=721,'(橫掃)RX Mapping'!AM45&lt;=840), ('(橫掃)RX Mapping'!AM45-601),IF(AND('(橫掃)RX Mapping'!AM45&gt;=841,'(橫掃)RX Mapping'!AM45&lt;=960), (-1)*('(橫掃)RX Mapping'!AM45-960)+120,9999))))))))</f>
        <v>9999</v>
      </c>
      <c r="AN45">
        <f>IF(AND('(橫掃)RX Mapping'!AN45&gt;=1,'(橫掃)RX Mapping'!AN45&lt;=120), ('(橫掃)RX Mapping'!AN45-1),IF(AND('(橫掃)RX Mapping'!AN45&gt;=121,'(橫掃)RX Mapping'!AN45&lt;=240), (-1)*('(橫掃)RX Mapping'!AN45-240),IF(AND('(橫掃)RX Mapping'!AN45&gt;=241,'(橫掃)RX Mapping'!AN45&lt;=360), ('(橫掃)RX Mapping'!AN45-241),IF(AND('(橫掃)RX Mapping'!AN45&gt;=361,'(橫掃)RX Mapping'!AN45&lt;=480), (-1)*('(橫掃)RX Mapping'!AN45-480),IF(AND('(橫掃)RX Mapping'!AN45&gt;=481,'(橫掃)RX Mapping'!AN45&lt;=600), ('(橫掃)RX Mapping'!AN45-361),IF(AND('(橫掃)RX Mapping'!AN45&gt;=601,'(橫掃)RX Mapping'!AN45&lt;=720), (-1)*('(橫掃)RX Mapping'!AN45-720)+120,IF(AND('(橫掃)RX Mapping'!AN45&gt;=721,'(橫掃)RX Mapping'!AN45&lt;=840), ('(橫掃)RX Mapping'!AN45-601),IF(AND('(橫掃)RX Mapping'!AN45&gt;=841,'(橫掃)RX Mapping'!AN45&lt;=960), (-1)*('(橫掃)RX Mapping'!AN45-960)+120,9999))))))))</f>
        <v>9999</v>
      </c>
      <c r="AO45">
        <f>IF(AND('(橫掃)RX Mapping'!AO45&gt;=1,'(橫掃)RX Mapping'!AO45&lt;=120), ('(橫掃)RX Mapping'!AO45-1),IF(AND('(橫掃)RX Mapping'!AO45&gt;=121,'(橫掃)RX Mapping'!AO45&lt;=240), (-1)*('(橫掃)RX Mapping'!AO45-240),IF(AND('(橫掃)RX Mapping'!AO45&gt;=241,'(橫掃)RX Mapping'!AO45&lt;=360), ('(橫掃)RX Mapping'!AO45-241),IF(AND('(橫掃)RX Mapping'!AO45&gt;=361,'(橫掃)RX Mapping'!AO45&lt;=480), (-1)*('(橫掃)RX Mapping'!AO45-480),IF(AND('(橫掃)RX Mapping'!AO45&gt;=481,'(橫掃)RX Mapping'!AO45&lt;=600), ('(橫掃)RX Mapping'!AO45-361),IF(AND('(橫掃)RX Mapping'!AO45&gt;=601,'(橫掃)RX Mapping'!AO45&lt;=720), (-1)*('(橫掃)RX Mapping'!AO45-720)+120,IF(AND('(橫掃)RX Mapping'!AO45&gt;=721,'(橫掃)RX Mapping'!AO45&lt;=840), ('(橫掃)RX Mapping'!AO45-601),IF(AND('(橫掃)RX Mapping'!AO45&gt;=841,'(橫掃)RX Mapping'!AO45&lt;=960), (-1)*('(橫掃)RX Mapping'!AO45-960)+120,9999))))))))</f>
        <v>9999</v>
      </c>
      <c r="AP45">
        <f>IF(AND('(橫掃)RX Mapping'!AP45&gt;=1,'(橫掃)RX Mapping'!AP45&lt;=120), ('(橫掃)RX Mapping'!AP45-1),IF(AND('(橫掃)RX Mapping'!AP45&gt;=121,'(橫掃)RX Mapping'!AP45&lt;=240), (-1)*('(橫掃)RX Mapping'!AP45-240),IF(AND('(橫掃)RX Mapping'!AP45&gt;=241,'(橫掃)RX Mapping'!AP45&lt;=360), ('(橫掃)RX Mapping'!AP45-241),IF(AND('(橫掃)RX Mapping'!AP45&gt;=361,'(橫掃)RX Mapping'!AP45&lt;=480), (-1)*('(橫掃)RX Mapping'!AP45-480),IF(AND('(橫掃)RX Mapping'!AP45&gt;=481,'(橫掃)RX Mapping'!AP45&lt;=600), ('(橫掃)RX Mapping'!AP45-361),IF(AND('(橫掃)RX Mapping'!AP45&gt;=601,'(橫掃)RX Mapping'!AP45&lt;=720), (-1)*('(橫掃)RX Mapping'!AP45-720)+120,IF(AND('(橫掃)RX Mapping'!AP45&gt;=721,'(橫掃)RX Mapping'!AP45&lt;=840), ('(橫掃)RX Mapping'!AP45-601),IF(AND('(橫掃)RX Mapping'!AP45&gt;=841,'(橫掃)RX Mapping'!AP45&lt;=960), (-1)*('(橫掃)RX Mapping'!AP45-960)+120,9999))))))))</f>
        <v>9999</v>
      </c>
      <c r="AQ45">
        <f>IF(AND('(橫掃)RX Mapping'!AQ45&gt;=1,'(橫掃)RX Mapping'!AQ45&lt;=120), ('(橫掃)RX Mapping'!AQ45-1),IF(AND('(橫掃)RX Mapping'!AQ45&gt;=121,'(橫掃)RX Mapping'!AQ45&lt;=240), (-1)*('(橫掃)RX Mapping'!AQ45-240),IF(AND('(橫掃)RX Mapping'!AQ45&gt;=241,'(橫掃)RX Mapping'!AQ45&lt;=360), ('(橫掃)RX Mapping'!AQ45-241),IF(AND('(橫掃)RX Mapping'!AQ45&gt;=361,'(橫掃)RX Mapping'!AQ45&lt;=480), (-1)*('(橫掃)RX Mapping'!AQ45-480),IF(AND('(橫掃)RX Mapping'!AQ45&gt;=481,'(橫掃)RX Mapping'!AQ45&lt;=600), ('(橫掃)RX Mapping'!AQ45-361),IF(AND('(橫掃)RX Mapping'!AQ45&gt;=601,'(橫掃)RX Mapping'!AQ45&lt;=720), (-1)*('(橫掃)RX Mapping'!AQ45-720)+120,IF(AND('(橫掃)RX Mapping'!AQ45&gt;=721,'(橫掃)RX Mapping'!AQ45&lt;=840), ('(橫掃)RX Mapping'!AQ45-601),IF(AND('(橫掃)RX Mapping'!AQ45&gt;=841,'(橫掃)RX Mapping'!AQ45&lt;=960), (-1)*('(橫掃)RX Mapping'!AQ45-960)+120,9999))))))))</f>
        <v>9999</v>
      </c>
      <c r="AR45">
        <f>IF(AND('(橫掃)RX Mapping'!AR45&gt;=1,'(橫掃)RX Mapping'!AR45&lt;=120), ('(橫掃)RX Mapping'!AR45-1),IF(AND('(橫掃)RX Mapping'!AR45&gt;=121,'(橫掃)RX Mapping'!AR45&lt;=240), (-1)*('(橫掃)RX Mapping'!AR45-240),IF(AND('(橫掃)RX Mapping'!AR45&gt;=241,'(橫掃)RX Mapping'!AR45&lt;=360), ('(橫掃)RX Mapping'!AR45-241),IF(AND('(橫掃)RX Mapping'!AR45&gt;=361,'(橫掃)RX Mapping'!AR45&lt;=480), (-1)*('(橫掃)RX Mapping'!AR45-480),IF(AND('(橫掃)RX Mapping'!AR45&gt;=481,'(橫掃)RX Mapping'!AR45&lt;=600), ('(橫掃)RX Mapping'!AR45-361),IF(AND('(橫掃)RX Mapping'!AR45&gt;=601,'(橫掃)RX Mapping'!AR45&lt;=720), (-1)*('(橫掃)RX Mapping'!AR45-720)+120,IF(AND('(橫掃)RX Mapping'!AR45&gt;=721,'(橫掃)RX Mapping'!AR45&lt;=840), ('(橫掃)RX Mapping'!AR45-601),IF(AND('(橫掃)RX Mapping'!AR45&gt;=841,'(橫掃)RX Mapping'!AR45&lt;=960), (-1)*('(橫掃)RX Mapping'!AR45-960)+120,9999))))))))</f>
        <v>9999</v>
      </c>
      <c r="AS45">
        <f>IF(AND('(橫掃)RX Mapping'!AS45&gt;=1,'(橫掃)RX Mapping'!AS45&lt;=120), ('(橫掃)RX Mapping'!AS45-1),IF(AND('(橫掃)RX Mapping'!AS45&gt;=121,'(橫掃)RX Mapping'!AS45&lt;=240), (-1)*('(橫掃)RX Mapping'!AS45-240),IF(AND('(橫掃)RX Mapping'!AS45&gt;=241,'(橫掃)RX Mapping'!AS45&lt;=360), ('(橫掃)RX Mapping'!AS45-241),IF(AND('(橫掃)RX Mapping'!AS45&gt;=361,'(橫掃)RX Mapping'!AS45&lt;=480), (-1)*('(橫掃)RX Mapping'!AS45-480),IF(AND('(橫掃)RX Mapping'!AS45&gt;=481,'(橫掃)RX Mapping'!AS45&lt;=600), ('(橫掃)RX Mapping'!AS45-361),IF(AND('(橫掃)RX Mapping'!AS45&gt;=601,'(橫掃)RX Mapping'!AS45&lt;=720), (-1)*('(橫掃)RX Mapping'!AS45-720)+120,IF(AND('(橫掃)RX Mapping'!AS45&gt;=721,'(橫掃)RX Mapping'!AS45&lt;=840), ('(橫掃)RX Mapping'!AS45-601),IF(AND('(橫掃)RX Mapping'!AS45&gt;=841,'(橫掃)RX Mapping'!AS45&lt;=960), (-1)*('(橫掃)RX Mapping'!AS45-960)+120,9999))))))))</f>
        <v>9999</v>
      </c>
      <c r="AT45">
        <f>IF(AND('(橫掃)RX Mapping'!AT45&gt;=1,'(橫掃)RX Mapping'!AT45&lt;=120), ('(橫掃)RX Mapping'!AT45-1),IF(AND('(橫掃)RX Mapping'!AT45&gt;=121,'(橫掃)RX Mapping'!AT45&lt;=240), (-1)*('(橫掃)RX Mapping'!AT45-240),IF(AND('(橫掃)RX Mapping'!AT45&gt;=241,'(橫掃)RX Mapping'!AT45&lt;=360), ('(橫掃)RX Mapping'!AT45-241),IF(AND('(橫掃)RX Mapping'!AT45&gt;=361,'(橫掃)RX Mapping'!AT45&lt;=480), (-1)*('(橫掃)RX Mapping'!AT45-480),IF(AND('(橫掃)RX Mapping'!AT45&gt;=481,'(橫掃)RX Mapping'!AT45&lt;=600), ('(橫掃)RX Mapping'!AT45-361),IF(AND('(橫掃)RX Mapping'!AT45&gt;=601,'(橫掃)RX Mapping'!AT45&lt;=720), (-1)*('(橫掃)RX Mapping'!AT45-720)+120,IF(AND('(橫掃)RX Mapping'!AT45&gt;=721,'(橫掃)RX Mapping'!AT45&lt;=840), ('(橫掃)RX Mapping'!AT45-601),IF(AND('(橫掃)RX Mapping'!AT45&gt;=841,'(橫掃)RX Mapping'!AT45&lt;=960), (-1)*('(橫掃)RX Mapping'!AT45-960)+120,9999))))))))</f>
        <v>9999</v>
      </c>
      <c r="AU45">
        <f>IF(AND('(橫掃)RX Mapping'!AU45&gt;=1,'(橫掃)RX Mapping'!AU45&lt;=120), ('(橫掃)RX Mapping'!AU45-1),IF(AND('(橫掃)RX Mapping'!AU45&gt;=121,'(橫掃)RX Mapping'!AU45&lt;=240), (-1)*('(橫掃)RX Mapping'!AU45-240),IF(AND('(橫掃)RX Mapping'!AU45&gt;=241,'(橫掃)RX Mapping'!AU45&lt;=360), ('(橫掃)RX Mapping'!AU45-241),IF(AND('(橫掃)RX Mapping'!AU45&gt;=361,'(橫掃)RX Mapping'!AU45&lt;=480), (-1)*('(橫掃)RX Mapping'!AU45-480),IF(AND('(橫掃)RX Mapping'!AU45&gt;=481,'(橫掃)RX Mapping'!AU45&lt;=600), ('(橫掃)RX Mapping'!AU45-361),IF(AND('(橫掃)RX Mapping'!AU45&gt;=601,'(橫掃)RX Mapping'!AU45&lt;=720), (-1)*('(橫掃)RX Mapping'!AU45-720)+120,IF(AND('(橫掃)RX Mapping'!AU45&gt;=721,'(橫掃)RX Mapping'!AU45&lt;=840), ('(橫掃)RX Mapping'!AU45-601),IF(AND('(橫掃)RX Mapping'!AU45&gt;=841,'(橫掃)RX Mapping'!AU45&lt;=960), (-1)*('(橫掃)RX Mapping'!AU45-960)+120,9999))))))))</f>
        <v>9999</v>
      </c>
      <c r="AV45">
        <f>IF(AND('(橫掃)RX Mapping'!AV45&gt;=1,'(橫掃)RX Mapping'!AV45&lt;=120), ('(橫掃)RX Mapping'!AV45-1),IF(AND('(橫掃)RX Mapping'!AV45&gt;=121,'(橫掃)RX Mapping'!AV45&lt;=240), (-1)*('(橫掃)RX Mapping'!AV45-240),IF(AND('(橫掃)RX Mapping'!AV45&gt;=241,'(橫掃)RX Mapping'!AV45&lt;=360), ('(橫掃)RX Mapping'!AV45-241),IF(AND('(橫掃)RX Mapping'!AV45&gt;=361,'(橫掃)RX Mapping'!AV45&lt;=480), (-1)*('(橫掃)RX Mapping'!AV45-480),IF(AND('(橫掃)RX Mapping'!AV45&gt;=481,'(橫掃)RX Mapping'!AV45&lt;=600), ('(橫掃)RX Mapping'!AV45-361),IF(AND('(橫掃)RX Mapping'!AV45&gt;=601,'(橫掃)RX Mapping'!AV45&lt;=720), (-1)*('(橫掃)RX Mapping'!AV45-720)+120,IF(AND('(橫掃)RX Mapping'!AV45&gt;=721,'(橫掃)RX Mapping'!AV45&lt;=840), ('(橫掃)RX Mapping'!AV45-601),IF(AND('(橫掃)RX Mapping'!AV45&gt;=841,'(橫掃)RX Mapping'!AV45&lt;=960), (-1)*('(橫掃)RX Mapping'!AV45-960)+120,9999))))))))</f>
        <v>9999</v>
      </c>
      <c r="AW45">
        <f>IF(AND('(橫掃)RX Mapping'!AW45&gt;=1,'(橫掃)RX Mapping'!AW45&lt;=120), ('(橫掃)RX Mapping'!AW45-1),IF(AND('(橫掃)RX Mapping'!AW45&gt;=121,'(橫掃)RX Mapping'!AW45&lt;=240), (-1)*('(橫掃)RX Mapping'!AW45-240),IF(AND('(橫掃)RX Mapping'!AW45&gt;=241,'(橫掃)RX Mapping'!AW45&lt;=360), ('(橫掃)RX Mapping'!AW45-241),IF(AND('(橫掃)RX Mapping'!AW45&gt;=361,'(橫掃)RX Mapping'!AW45&lt;=480), (-1)*('(橫掃)RX Mapping'!AW45-480),IF(AND('(橫掃)RX Mapping'!AW45&gt;=481,'(橫掃)RX Mapping'!AW45&lt;=600), ('(橫掃)RX Mapping'!AW45-361),IF(AND('(橫掃)RX Mapping'!AW45&gt;=601,'(橫掃)RX Mapping'!AW45&lt;=720), (-1)*('(橫掃)RX Mapping'!AW45-720)+120,IF(AND('(橫掃)RX Mapping'!AW45&gt;=721,'(橫掃)RX Mapping'!AW45&lt;=840), ('(橫掃)RX Mapping'!AW45-601),IF(AND('(橫掃)RX Mapping'!AW45&gt;=841,'(橫掃)RX Mapping'!AW45&lt;=960), (-1)*('(橫掃)RX Mapping'!AW45-960)+120,9999))))))))</f>
        <v>9999</v>
      </c>
      <c r="AX45">
        <f>IF(AND('(橫掃)RX Mapping'!AX45&gt;=1,'(橫掃)RX Mapping'!AX45&lt;=120), ('(橫掃)RX Mapping'!AX45-1),IF(AND('(橫掃)RX Mapping'!AX45&gt;=121,'(橫掃)RX Mapping'!AX45&lt;=240), (-1)*('(橫掃)RX Mapping'!AX45-240),IF(AND('(橫掃)RX Mapping'!AX45&gt;=241,'(橫掃)RX Mapping'!AX45&lt;=360), ('(橫掃)RX Mapping'!AX45-241),IF(AND('(橫掃)RX Mapping'!AX45&gt;=361,'(橫掃)RX Mapping'!AX45&lt;=480), (-1)*('(橫掃)RX Mapping'!AX45-480),IF(AND('(橫掃)RX Mapping'!AX45&gt;=481,'(橫掃)RX Mapping'!AX45&lt;=600), ('(橫掃)RX Mapping'!AX45-361),IF(AND('(橫掃)RX Mapping'!AX45&gt;=601,'(橫掃)RX Mapping'!AX45&lt;=720), (-1)*('(橫掃)RX Mapping'!AX45-720)+120,IF(AND('(橫掃)RX Mapping'!AX45&gt;=721,'(橫掃)RX Mapping'!AX45&lt;=840), ('(橫掃)RX Mapping'!AX45-601),IF(AND('(橫掃)RX Mapping'!AX45&gt;=841,'(橫掃)RX Mapping'!AX45&lt;=960), (-1)*('(橫掃)RX Mapping'!AX45-960)+120,9999))))))))</f>
        <v>9999</v>
      </c>
      <c r="AY45">
        <f>IF(AND('(橫掃)RX Mapping'!AY45&gt;=1,'(橫掃)RX Mapping'!AY45&lt;=120), ('(橫掃)RX Mapping'!AY45-1),IF(AND('(橫掃)RX Mapping'!AY45&gt;=121,'(橫掃)RX Mapping'!AY45&lt;=240), (-1)*('(橫掃)RX Mapping'!AY45-240),IF(AND('(橫掃)RX Mapping'!AY45&gt;=241,'(橫掃)RX Mapping'!AY45&lt;=360), ('(橫掃)RX Mapping'!AY45-241),IF(AND('(橫掃)RX Mapping'!AY45&gt;=361,'(橫掃)RX Mapping'!AY45&lt;=480), (-1)*('(橫掃)RX Mapping'!AY45-480),IF(AND('(橫掃)RX Mapping'!AY45&gt;=481,'(橫掃)RX Mapping'!AY45&lt;=600), ('(橫掃)RX Mapping'!AY45-361),IF(AND('(橫掃)RX Mapping'!AY45&gt;=601,'(橫掃)RX Mapping'!AY45&lt;=720), (-1)*('(橫掃)RX Mapping'!AY45-720)+120,IF(AND('(橫掃)RX Mapping'!AY45&gt;=721,'(橫掃)RX Mapping'!AY45&lt;=840), ('(橫掃)RX Mapping'!AY45-601),IF(AND('(橫掃)RX Mapping'!AY45&gt;=841,'(橫掃)RX Mapping'!AY45&lt;=960), (-1)*('(橫掃)RX Mapping'!AY45-960)+120,9999))))))))</f>
        <v>9999</v>
      </c>
      <c r="AZ45">
        <f>IF(AND('(橫掃)RX Mapping'!AZ45&gt;=1,'(橫掃)RX Mapping'!AZ45&lt;=120), ('(橫掃)RX Mapping'!AZ45-1),IF(AND('(橫掃)RX Mapping'!AZ45&gt;=121,'(橫掃)RX Mapping'!AZ45&lt;=240), (-1)*('(橫掃)RX Mapping'!AZ45-240),IF(AND('(橫掃)RX Mapping'!AZ45&gt;=241,'(橫掃)RX Mapping'!AZ45&lt;=360), ('(橫掃)RX Mapping'!AZ45-241),IF(AND('(橫掃)RX Mapping'!AZ45&gt;=361,'(橫掃)RX Mapping'!AZ45&lt;=480), (-1)*('(橫掃)RX Mapping'!AZ45-480),IF(AND('(橫掃)RX Mapping'!AZ45&gt;=481,'(橫掃)RX Mapping'!AZ45&lt;=600), ('(橫掃)RX Mapping'!AZ45-361),IF(AND('(橫掃)RX Mapping'!AZ45&gt;=601,'(橫掃)RX Mapping'!AZ45&lt;=720), (-1)*('(橫掃)RX Mapping'!AZ45-720)+120,IF(AND('(橫掃)RX Mapping'!AZ45&gt;=721,'(橫掃)RX Mapping'!AZ45&lt;=840), ('(橫掃)RX Mapping'!AZ45-601),IF(AND('(橫掃)RX Mapping'!AZ45&gt;=841,'(橫掃)RX Mapping'!AZ45&lt;=960), (-1)*('(橫掃)RX Mapping'!AZ45-960)+120,9999))))))))</f>
        <v>9999</v>
      </c>
      <c r="BA45">
        <f>IF(AND('(橫掃)RX Mapping'!BA45&gt;=1,'(橫掃)RX Mapping'!BA45&lt;=120), ('(橫掃)RX Mapping'!BA45-1),IF(AND('(橫掃)RX Mapping'!BA45&gt;=121,'(橫掃)RX Mapping'!BA45&lt;=240), (-1)*('(橫掃)RX Mapping'!BA45-240),IF(AND('(橫掃)RX Mapping'!BA45&gt;=241,'(橫掃)RX Mapping'!BA45&lt;=360), ('(橫掃)RX Mapping'!BA45-241),IF(AND('(橫掃)RX Mapping'!BA45&gt;=361,'(橫掃)RX Mapping'!BA45&lt;=480), (-1)*('(橫掃)RX Mapping'!BA45-480),IF(AND('(橫掃)RX Mapping'!BA45&gt;=481,'(橫掃)RX Mapping'!BA45&lt;=600), ('(橫掃)RX Mapping'!BA45-361),IF(AND('(橫掃)RX Mapping'!BA45&gt;=601,'(橫掃)RX Mapping'!BA45&lt;=720), (-1)*('(橫掃)RX Mapping'!BA45-720)+120,IF(AND('(橫掃)RX Mapping'!BA45&gt;=721,'(橫掃)RX Mapping'!BA45&lt;=840), ('(橫掃)RX Mapping'!BA45-601),IF(AND('(橫掃)RX Mapping'!BA45&gt;=841,'(橫掃)RX Mapping'!BA45&lt;=960), (-1)*('(橫掃)RX Mapping'!BA45-960)+120,9999))))))))</f>
        <v>9999</v>
      </c>
      <c r="BB45">
        <f>IF(AND('(橫掃)RX Mapping'!BB45&gt;=1,'(橫掃)RX Mapping'!BB45&lt;=120), ('(橫掃)RX Mapping'!BB45-1),IF(AND('(橫掃)RX Mapping'!BB45&gt;=121,'(橫掃)RX Mapping'!BB45&lt;=240), (-1)*('(橫掃)RX Mapping'!BB45-240),IF(AND('(橫掃)RX Mapping'!BB45&gt;=241,'(橫掃)RX Mapping'!BB45&lt;=360), ('(橫掃)RX Mapping'!BB45-241),IF(AND('(橫掃)RX Mapping'!BB45&gt;=361,'(橫掃)RX Mapping'!BB45&lt;=480), (-1)*('(橫掃)RX Mapping'!BB45-480),IF(AND('(橫掃)RX Mapping'!BB45&gt;=481,'(橫掃)RX Mapping'!BB45&lt;=600), ('(橫掃)RX Mapping'!BB45-361),IF(AND('(橫掃)RX Mapping'!BB45&gt;=601,'(橫掃)RX Mapping'!BB45&lt;=720), (-1)*('(橫掃)RX Mapping'!BB45-720)+120,IF(AND('(橫掃)RX Mapping'!BB45&gt;=721,'(橫掃)RX Mapping'!BB45&lt;=840), ('(橫掃)RX Mapping'!BB45-601),IF(AND('(橫掃)RX Mapping'!BB45&gt;=841,'(橫掃)RX Mapping'!BB45&lt;=960), (-1)*('(橫掃)RX Mapping'!BB45-960)+120,9999))))))))</f>
        <v>9999</v>
      </c>
      <c r="BC45">
        <f>IF(AND('(橫掃)RX Mapping'!BC45&gt;=1,'(橫掃)RX Mapping'!BC45&lt;=120), ('(橫掃)RX Mapping'!BC45-1),IF(AND('(橫掃)RX Mapping'!BC45&gt;=121,'(橫掃)RX Mapping'!BC45&lt;=240), (-1)*('(橫掃)RX Mapping'!BC45-240),IF(AND('(橫掃)RX Mapping'!BC45&gt;=241,'(橫掃)RX Mapping'!BC45&lt;=360), ('(橫掃)RX Mapping'!BC45-241),IF(AND('(橫掃)RX Mapping'!BC45&gt;=361,'(橫掃)RX Mapping'!BC45&lt;=480), (-1)*('(橫掃)RX Mapping'!BC45-480),IF(AND('(橫掃)RX Mapping'!BC45&gt;=481,'(橫掃)RX Mapping'!BC45&lt;=600), ('(橫掃)RX Mapping'!BC45-361),IF(AND('(橫掃)RX Mapping'!BC45&gt;=601,'(橫掃)RX Mapping'!BC45&lt;=720), (-1)*('(橫掃)RX Mapping'!BC45-720)+120,IF(AND('(橫掃)RX Mapping'!BC45&gt;=721,'(橫掃)RX Mapping'!BC45&lt;=840), ('(橫掃)RX Mapping'!BC45-601),IF(AND('(橫掃)RX Mapping'!BC45&gt;=841,'(橫掃)RX Mapping'!BC45&lt;=960), (-1)*('(橫掃)RX Mapping'!BC45-960)+120,9999))))))))</f>
        <v>9999</v>
      </c>
      <c r="BD45">
        <f>IF(AND('(橫掃)RX Mapping'!BD45&gt;=1,'(橫掃)RX Mapping'!BD45&lt;=120), ('(橫掃)RX Mapping'!BD45-1),IF(AND('(橫掃)RX Mapping'!BD45&gt;=121,'(橫掃)RX Mapping'!BD45&lt;=240), (-1)*('(橫掃)RX Mapping'!BD45-240),IF(AND('(橫掃)RX Mapping'!BD45&gt;=241,'(橫掃)RX Mapping'!BD45&lt;=360), ('(橫掃)RX Mapping'!BD45-241),IF(AND('(橫掃)RX Mapping'!BD45&gt;=361,'(橫掃)RX Mapping'!BD45&lt;=480), (-1)*('(橫掃)RX Mapping'!BD45-480),IF(AND('(橫掃)RX Mapping'!BD45&gt;=481,'(橫掃)RX Mapping'!BD45&lt;=600), ('(橫掃)RX Mapping'!BD45-361),IF(AND('(橫掃)RX Mapping'!BD45&gt;=601,'(橫掃)RX Mapping'!BD45&lt;=720), (-1)*('(橫掃)RX Mapping'!BD45-720)+120,IF(AND('(橫掃)RX Mapping'!BD45&gt;=721,'(橫掃)RX Mapping'!BD45&lt;=840), ('(橫掃)RX Mapping'!BD45-601),IF(AND('(橫掃)RX Mapping'!BD45&gt;=841,'(橫掃)RX Mapping'!BD45&lt;=960), (-1)*('(橫掃)RX Mapping'!BD45-960)+120,9999))))))))</f>
        <v>9999</v>
      </c>
      <c r="BE45">
        <f>IF(AND('(橫掃)RX Mapping'!BE45&gt;=1,'(橫掃)RX Mapping'!BE45&lt;=120), ('(橫掃)RX Mapping'!BE45-1),IF(AND('(橫掃)RX Mapping'!BE45&gt;=121,'(橫掃)RX Mapping'!BE45&lt;=240), (-1)*('(橫掃)RX Mapping'!BE45-240),IF(AND('(橫掃)RX Mapping'!BE45&gt;=241,'(橫掃)RX Mapping'!BE45&lt;=360), ('(橫掃)RX Mapping'!BE45-241),IF(AND('(橫掃)RX Mapping'!BE45&gt;=361,'(橫掃)RX Mapping'!BE45&lt;=480), (-1)*('(橫掃)RX Mapping'!BE45-480),IF(AND('(橫掃)RX Mapping'!BE45&gt;=481,'(橫掃)RX Mapping'!BE45&lt;=600), ('(橫掃)RX Mapping'!BE45-361),IF(AND('(橫掃)RX Mapping'!BE45&gt;=601,'(橫掃)RX Mapping'!BE45&lt;=720), (-1)*('(橫掃)RX Mapping'!BE45-720)+120,IF(AND('(橫掃)RX Mapping'!BE45&gt;=721,'(橫掃)RX Mapping'!BE45&lt;=840), ('(橫掃)RX Mapping'!BE45-601),IF(AND('(橫掃)RX Mapping'!BE45&gt;=841,'(橫掃)RX Mapping'!BE45&lt;=960), (-1)*('(橫掃)RX Mapping'!BE45-960)+120,9999))))))))</f>
        <v>9999</v>
      </c>
      <c r="BF45">
        <f>IF(AND('(橫掃)RX Mapping'!BF45&gt;=1,'(橫掃)RX Mapping'!BF45&lt;=120), ('(橫掃)RX Mapping'!BF45-1),IF(AND('(橫掃)RX Mapping'!BF45&gt;=121,'(橫掃)RX Mapping'!BF45&lt;=240), (-1)*('(橫掃)RX Mapping'!BF45-240),IF(AND('(橫掃)RX Mapping'!BF45&gt;=241,'(橫掃)RX Mapping'!BF45&lt;=360), ('(橫掃)RX Mapping'!BF45-241),IF(AND('(橫掃)RX Mapping'!BF45&gt;=361,'(橫掃)RX Mapping'!BF45&lt;=480), (-1)*('(橫掃)RX Mapping'!BF45-480),IF(AND('(橫掃)RX Mapping'!BF45&gt;=481,'(橫掃)RX Mapping'!BF45&lt;=600), ('(橫掃)RX Mapping'!BF45-361),IF(AND('(橫掃)RX Mapping'!BF45&gt;=601,'(橫掃)RX Mapping'!BF45&lt;=720), (-1)*('(橫掃)RX Mapping'!BF45-720)+120,IF(AND('(橫掃)RX Mapping'!BF45&gt;=721,'(橫掃)RX Mapping'!BF45&lt;=840), ('(橫掃)RX Mapping'!BF45-601),IF(AND('(橫掃)RX Mapping'!BF45&gt;=841,'(橫掃)RX Mapping'!BF45&lt;=960), (-1)*('(橫掃)RX Mapping'!BF45-960)+120,9999))))))))</f>
        <v>9999</v>
      </c>
      <c r="BG45">
        <f>IF(AND('(橫掃)RX Mapping'!BG45&gt;=1,'(橫掃)RX Mapping'!BG45&lt;=120), ('(橫掃)RX Mapping'!BG45-1),IF(AND('(橫掃)RX Mapping'!BG45&gt;=121,'(橫掃)RX Mapping'!BG45&lt;=240), (-1)*('(橫掃)RX Mapping'!BG45-240),IF(AND('(橫掃)RX Mapping'!BG45&gt;=241,'(橫掃)RX Mapping'!BG45&lt;=360), ('(橫掃)RX Mapping'!BG45-241),IF(AND('(橫掃)RX Mapping'!BG45&gt;=361,'(橫掃)RX Mapping'!BG45&lt;=480), (-1)*('(橫掃)RX Mapping'!BG45-480),IF(AND('(橫掃)RX Mapping'!BG45&gt;=481,'(橫掃)RX Mapping'!BG45&lt;=600), ('(橫掃)RX Mapping'!BG45-361),IF(AND('(橫掃)RX Mapping'!BG45&gt;=601,'(橫掃)RX Mapping'!BG45&lt;=720), (-1)*('(橫掃)RX Mapping'!BG45-720)+120,IF(AND('(橫掃)RX Mapping'!BG45&gt;=721,'(橫掃)RX Mapping'!BG45&lt;=840), ('(橫掃)RX Mapping'!BG45-601),IF(AND('(橫掃)RX Mapping'!BG45&gt;=841,'(橫掃)RX Mapping'!BG45&lt;=960), (-1)*('(橫掃)RX Mapping'!BG45-960)+120,9999))))))))</f>
        <v>9999</v>
      </c>
      <c r="BH45">
        <f>IF(AND('(橫掃)RX Mapping'!BH45&gt;=1,'(橫掃)RX Mapping'!BH45&lt;=120), ('(橫掃)RX Mapping'!BH45-1),IF(AND('(橫掃)RX Mapping'!BH45&gt;=121,'(橫掃)RX Mapping'!BH45&lt;=240), (-1)*('(橫掃)RX Mapping'!BH45-240),IF(AND('(橫掃)RX Mapping'!BH45&gt;=241,'(橫掃)RX Mapping'!BH45&lt;=360), ('(橫掃)RX Mapping'!BH45-241),IF(AND('(橫掃)RX Mapping'!BH45&gt;=361,'(橫掃)RX Mapping'!BH45&lt;=480), (-1)*('(橫掃)RX Mapping'!BH45-480),IF(AND('(橫掃)RX Mapping'!BH45&gt;=481,'(橫掃)RX Mapping'!BH45&lt;=600), ('(橫掃)RX Mapping'!BH45-361),IF(AND('(橫掃)RX Mapping'!BH45&gt;=601,'(橫掃)RX Mapping'!BH45&lt;=720), (-1)*('(橫掃)RX Mapping'!BH45-720)+120,IF(AND('(橫掃)RX Mapping'!BH45&gt;=721,'(橫掃)RX Mapping'!BH45&lt;=840), ('(橫掃)RX Mapping'!BH45-601),IF(AND('(橫掃)RX Mapping'!BH45&gt;=841,'(橫掃)RX Mapping'!BH45&lt;=960), (-1)*('(橫掃)RX Mapping'!BH45-960)+120,9999))))))))</f>
        <v>9999</v>
      </c>
      <c r="BI45">
        <f>IF(AND('(橫掃)RX Mapping'!BI45&gt;=1,'(橫掃)RX Mapping'!BI45&lt;=120), ('(橫掃)RX Mapping'!BI45-1),IF(AND('(橫掃)RX Mapping'!BI45&gt;=121,'(橫掃)RX Mapping'!BI45&lt;=240), (-1)*('(橫掃)RX Mapping'!BI45-240),IF(AND('(橫掃)RX Mapping'!BI45&gt;=241,'(橫掃)RX Mapping'!BI45&lt;=360), ('(橫掃)RX Mapping'!BI45-241),IF(AND('(橫掃)RX Mapping'!BI45&gt;=361,'(橫掃)RX Mapping'!BI45&lt;=480), (-1)*('(橫掃)RX Mapping'!BI45-480),IF(AND('(橫掃)RX Mapping'!BI45&gt;=481,'(橫掃)RX Mapping'!BI45&lt;=600), ('(橫掃)RX Mapping'!BI45-361),IF(AND('(橫掃)RX Mapping'!BI45&gt;=601,'(橫掃)RX Mapping'!BI45&lt;=720), (-1)*('(橫掃)RX Mapping'!BI45-720)+120,IF(AND('(橫掃)RX Mapping'!BI45&gt;=721,'(橫掃)RX Mapping'!BI45&lt;=840), ('(橫掃)RX Mapping'!BI45-601),IF(AND('(橫掃)RX Mapping'!BI45&gt;=841,'(橫掃)RX Mapping'!BI45&lt;=960), (-1)*('(橫掃)RX Mapping'!BI45-960)+120,9999))))))))</f>
        <v>9999</v>
      </c>
    </row>
    <row r="46" spans="1:61" x14ac:dyDescent="0.25">
      <c r="A46" s="20">
        <v>45</v>
      </c>
      <c r="B46">
        <f>IF(AND('(橫掃)RX Mapping'!B46&gt;=1,'(橫掃)RX Mapping'!B46&lt;=120), ('(橫掃)RX Mapping'!B46-1),IF(AND('(橫掃)RX Mapping'!B46&gt;=121,'(橫掃)RX Mapping'!B46&lt;=240), (-1)*('(橫掃)RX Mapping'!B46-240),IF(AND('(橫掃)RX Mapping'!B46&gt;=241,'(橫掃)RX Mapping'!B46&lt;=360), ('(橫掃)RX Mapping'!B46-241),IF(AND('(橫掃)RX Mapping'!B46&gt;=361,'(橫掃)RX Mapping'!B46&lt;=480), (-1)*('(橫掃)RX Mapping'!B46-480),IF(AND('(橫掃)RX Mapping'!B46&gt;=481,'(橫掃)RX Mapping'!B46&lt;=600), ('(橫掃)RX Mapping'!B46-361),IF(AND('(橫掃)RX Mapping'!B46&gt;=601,'(橫掃)RX Mapping'!B46&lt;=720), (-1)*('(橫掃)RX Mapping'!B46-720)+120,IF(AND('(橫掃)RX Mapping'!B46&gt;=721,'(橫掃)RX Mapping'!B46&lt;=840), ('(橫掃)RX Mapping'!B46-601),IF(AND('(橫掃)RX Mapping'!B46&gt;=841,'(橫掃)RX Mapping'!B46&lt;=960), (-1)*('(橫掃)RX Mapping'!B46-960)+120,9999))))))))</f>
        <v>9999</v>
      </c>
      <c r="C46">
        <f>IF(AND('(橫掃)RX Mapping'!C46&gt;=1,'(橫掃)RX Mapping'!C46&lt;=120), ('(橫掃)RX Mapping'!C46-1),IF(AND('(橫掃)RX Mapping'!C46&gt;=121,'(橫掃)RX Mapping'!C46&lt;=240), (-1)*('(橫掃)RX Mapping'!C46-240),IF(AND('(橫掃)RX Mapping'!C46&gt;=241,'(橫掃)RX Mapping'!C46&lt;=360), ('(橫掃)RX Mapping'!C46-241),IF(AND('(橫掃)RX Mapping'!C46&gt;=361,'(橫掃)RX Mapping'!C46&lt;=480), (-1)*('(橫掃)RX Mapping'!C46-480),IF(AND('(橫掃)RX Mapping'!C46&gt;=481,'(橫掃)RX Mapping'!C46&lt;=600), ('(橫掃)RX Mapping'!C46-361),IF(AND('(橫掃)RX Mapping'!C46&gt;=601,'(橫掃)RX Mapping'!C46&lt;=720), (-1)*('(橫掃)RX Mapping'!C46-720)+120,IF(AND('(橫掃)RX Mapping'!C46&gt;=721,'(橫掃)RX Mapping'!C46&lt;=840), ('(橫掃)RX Mapping'!C46-601),IF(AND('(橫掃)RX Mapping'!C46&gt;=841,'(橫掃)RX Mapping'!C46&lt;=960), (-1)*('(橫掃)RX Mapping'!C46-960)+120,9999))))))))</f>
        <v>9999</v>
      </c>
      <c r="D46">
        <f>IF(AND('(橫掃)RX Mapping'!D46&gt;=1,'(橫掃)RX Mapping'!D46&lt;=120), ('(橫掃)RX Mapping'!D46-1),IF(AND('(橫掃)RX Mapping'!D46&gt;=121,'(橫掃)RX Mapping'!D46&lt;=240), (-1)*('(橫掃)RX Mapping'!D46-240),IF(AND('(橫掃)RX Mapping'!D46&gt;=241,'(橫掃)RX Mapping'!D46&lt;=360), ('(橫掃)RX Mapping'!D46-241),IF(AND('(橫掃)RX Mapping'!D46&gt;=361,'(橫掃)RX Mapping'!D46&lt;=480), (-1)*('(橫掃)RX Mapping'!D46-480),IF(AND('(橫掃)RX Mapping'!D46&gt;=481,'(橫掃)RX Mapping'!D46&lt;=600), ('(橫掃)RX Mapping'!D46-361),IF(AND('(橫掃)RX Mapping'!D46&gt;=601,'(橫掃)RX Mapping'!D46&lt;=720), (-1)*('(橫掃)RX Mapping'!D46-720)+120,IF(AND('(橫掃)RX Mapping'!D46&gt;=721,'(橫掃)RX Mapping'!D46&lt;=840), ('(橫掃)RX Mapping'!D46-601),IF(AND('(橫掃)RX Mapping'!D46&gt;=841,'(橫掃)RX Mapping'!D46&lt;=960), (-1)*('(橫掃)RX Mapping'!D46-960)+120,9999))))))))</f>
        <v>9999</v>
      </c>
      <c r="E46">
        <f>IF(AND('(橫掃)RX Mapping'!E46&gt;=1,'(橫掃)RX Mapping'!E46&lt;=120), ('(橫掃)RX Mapping'!E46-1),IF(AND('(橫掃)RX Mapping'!E46&gt;=121,'(橫掃)RX Mapping'!E46&lt;=240), (-1)*('(橫掃)RX Mapping'!E46-240),IF(AND('(橫掃)RX Mapping'!E46&gt;=241,'(橫掃)RX Mapping'!E46&lt;=360), ('(橫掃)RX Mapping'!E46-241),IF(AND('(橫掃)RX Mapping'!E46&gt;=361,'(橫掃)RX Mapping'!E46&lt;=480), (-1)*('(橫掃)RX Mapping'!E46-480),IF(AND('(橫掃)RX Mapping'!E46&gt;=481,'(橫掃)RX Mapping'!E46&lt;=600), ('(橫掃)RX Mapping'!E46-361),IF(AND('(橫掃)RX Mapping'!E46&gt;=601,'(橫掃)RX Mapping'!E46&lt;=720), (-1)*('(橫掃)RX Mapping'!E46-720)+120,IF(AND('(橫掃)RX Mapping'!E46&gt;=721,'(橫掃)RX Mapping'!E46&lt;=840), ('(橫掃)RX Mapping'!E46-601),IF(AND('(橫掃)RX Mapping'!E46&gt;=841,'(橫掃)RX Mapping'!E46&lt;=960), (-1)*('(橫掃)RX Mapping'!E46-960)+120,9999))))))))</f>
        <v>9999</v>
      </c>
      <c r="F46">
        <f>IF(AND('(橫掃)RX Mapping'!F46&gt;=1,'(橫掃)RX Mapping'!F46&lt;=120), ('(橫掃)RX Mapping'!F46-1),IF(AND('(橫掃)RX Mapping'!F46&gt;=121,'(橫掃)RX Mapping'!F46&lt;=240), (-1)*('(橫掃)RX Mapping'!F46-240),IF(AND('(橫掃)RX Mapping'!F46&gt;=241,'(橫掃)RX Mapping'!F46&lt;=360), ('(橫掃)RX Mapping'!F46-241),IF(AND('(橫掃)RX Mapping'!F46&gt;=361,'(橫掃)RX Mapping'!F46&lt;=480), (-1)*('(橫掃)RX Mapping'!F46-480),IF(AND('(橫掃)RX Mapping'!F46&gt;=481,'(橫掃)RX Mapping'!F46&lt;=600), ('(橫掃)RX Mapping'!F46-361),IF(AND('(橫掃)RX Mapping'!F46&gt;=601,'(橫掃)RX Mapping'!F46&lt;=720), (-1)*('(橫掃)RX Mapping'!F46-720)+120,IF(AND('(橫掃)RX Mapping'!F46&gt;=721,'(橫掃)RX Mapping'!F46&lt;=840), ('(橫掃)RX Mapping'!F46-601),IF(AND('(橫掃)RX Mapping'!F46&gt;=841,'(橫掃)RX Mapping'!F46&lt;=960), (-1)*('(橫掃)RX Mapping'!F46-960)+120,9999))))))))</f>
        <v>9999</v>
      </c>
      <c r="G46">
        <f>IF(AND('(橫掃)RX Mapping'!G46&gt;=1,'(橫掃)RX Mapping'!G46&lt;=120), ('(橫掃)RX Mapping'!G46-1),IF(AND('(橫掃)RX Mapping'!G46&gt;=121,'(橫掃)RX Mapping'!G46&lt;=240), (-1)*('(橫掃)RX Mapping'!G46-240),IF(AND('(橫掃)RX Mapping'!G46&gt;=241,'(橫掃)RX Mapping'!G46&lt;=360), ('(橫掃)RX Mapping'!G46-241),IF(AND('(橫掃)RX Mapping'!G46&gt;=361,'(橫掃)RX Mapping'!G46&lt;=480), (-1)*('(橫掃)RX Mapping'!G46-480),IF(AND('(橫掃)RX Mapping'!G46&gt;=481,'(橫掃)RX Mapping'!G46&lt;=600), ('(橫掃)RX Mapping'!G46-361),IF(AND('(橫掃)RX Mapping'!G46&gt;=601,'(橫掃)RX Mapping'!G46&lt;=720), (-1)*('(橫掃)RX Mapping'!G46-720)+120,IF(AND('(橫掃)RX Mapping'!G46&gt;=721,'(橫掃)RX Mapping'!G46&lt;=840), ('(橫掃)RX Mapping'!G46-601),IF(AND('(橫掃)RX Mapping'!G46&gt;=841,'(橫掃)RX Mapping'!G46&lt;=960), (-1)*('(橫掃)RX Mapping'!G46-960)+120,9999))))))))</f>
        <v>9999</v>
      </c>
      <c r="H46">
        <f>IF(AND('(橫掃)RX Mapping'!H46&gt;=1,'(橫掃)RX Mapping'!H46&lt;=120), ('(橫掃)RX Mapping'!H46-1),IF(AND('(橫掃)RX Mapping'!H46&gt;=121,'(橫掃)RX Mapping'!H46&lt;=240), (-1)*('(橫掃)RX Mapping'!H46-240),IF(AND('(橫掃)RX Mapping'!H46&gt;=241,'(橫掃)RX Mapping'!H46&lt;=360), ('(橫掃)RX Mapping'!H46-241),IF(AND('(橫掃)RX Mapping'!H46&gt;=361,'(橫掃)RX Mapping'!H46&lt;=480), (-1)*('(橫掃)RX Mapping'!H46-480),IF(AND('(橫掃)RX Mapping'!H46&gt;=481,'(橫掃)RX Mapping'!H46&lt;=600), ('(橫掃)RX Mapping'!H46-361),IF(AND('(橫掃)RX Mapping'!H46&gt;=601,'(橫掃)RX Mapping'!H46&lt;=720), (-1)*('(橫掃)RX Mapping'!H46-720)+120,IF(AND('(橫掃)RX Mapping'!H46&gt;=721,'(橫掃)RX Mapping'!H46&lt;=840), ('(橫掃)RX Mapping'!H46-601),IF(AND('(橫掃)RX Mapping'!H46&gt;=841,'(橫掃)RX Mapping'!H46&lt;=960), (-1)*('(橫掃)RX Mapping'!H46-960)+120,9999))))))))</f>
        <v>9999</v>
      </c>
      <c r="I46">
        <f>IF(AND('(橫掃)RX Mapping'!I46&gt;=1,'(橫掃)RX Mapping'!I46&lt;=120), ('(橫掃)RX Mapping'!I46-1),IF(AND('(橫掃)RX Mapping'!I46&gt;=121,'(橫掃)RX Mapping'!I46&lt;=240), (-1)*('(橫掃)RX Mapping'!I46-240),IF(AND('(橫掃)RX Mapping'!I46&gt;=241,'(橫掃)RX Mapping'!I46&lt;=360), ('(橫掃)RX Mapping'!I46-241),IF(AND('(橫掃)RX Mapping'!I46&gt;=361,'(橫掃)RX Mapping'!I46&lt;=480), (-1)*('(橫掃)RX Mapping'!I46-480),IF(AND('(橫掃)RX Mapping'!I46&gt;=481,'(橫掃)RX Mapping'!I46&lt;=600), ('(橫掃)RX Mapping'!I46-361),IF(AND('(橫掃)RX Mapping'!I46&gt;=601,'(橫掃)RX Mapping'!I46&lt;=720), (-1)*('(橫掃)RX Mapping'!I46-720)+120,IF(AND('(橫掃)RX Mapping'!I46&gt;=721,'(橫掃)RX Mapping'!I46&lt;=840), ('(橫掃)RX Mapping'!I46-601),IF(AND('(橫掃)RX Mapping'!I46&gt;=841,'(橫掃)RX Mapping'!I46&lt;=960), (-1)*('(橫掃)RX Mapping'!I46-960)+120,9999))))))))</f>
        <v>9999</v>
      </c>
      <c r="J46">
        <f>IF(AND('(橫掃)RX Mapping'!J46&gt;=1,'(橫掃)RX Mapping'!J46&lt;=120), ('(橫掃)RX Mapping'!J46-1),IF(AND('(橫掃)RX Mapping'!J46&gt;=121,'(橫掃)RX Mapping'!J46&lt;=240), (-1)*('(橫掃)RX Mapping'!J46-240),IF(AND('(橫掃)RX Mapping'!J46&gt;=241,'(橫掃)RX Mapping'!J46&lt;=360), ('(橫掃)RX Mapping'!J46-241),IF(AND('(橫掃)RX Mapping'!J46&gt;=361,'(橫掃)RX Mapping'!J46&lt;=480), (-1)*('(橫掃)RX Mapping'!J46-480),IF(AND('(橫掃)RX Mapping'!J46&gt;=481,'(橫掃)RX Mapping'!J46&lt;=600), ('(橫掃)RX Mapping'!J46-361),IF(AND('(橫掃)RX Mapping'!J46&gt;=601,'(橫掃)RX Mapping'!J46&lt;=720), (-1)*('(橫掃)RX Mapping'!J46-720)+120,IF(AND('(橫掃)RX Mapping'!J46&gt;=721,'(橫掃)RX Mapping'!J46&lt;=840), ('(橫掃)RX Mapping'!J46-601),IF(AND('(橫掃)RX Mapping'!J46&gt;=841,'(橫掃)RX Mapping'!J46&lt;=960), (-1)*('(橫掃)RX Mapping'!J46-960)+120,9999))))))))</f>
        <v>9999</v>
      </c>
      <c r="K46">
        <f>IF(AND('(橫掃)RX Mapping'!K46&gt;=1,'(橫掃)RX Mapping'!K46&lt;=120), ('(橫掃)RX Mapping'!K46-1),IF(AND('(橫掃)RX Mapping'!K46&gt;=121,'(橫掃)RX Mapping'!K46&lt;=240), (-1)*('(橫掃)RX Mapping'!K46-240),IF(AND('(橫掃)RX Mapping'!K46&gt;=241,'(橫掃)RX Mapping'!K46&lt;=360), ('(橫掃)RX Mapping'!K46-241),IF(AND('(橫掃)RX Mapping'!K46&gt;=361,'(橫掃)RX Mapping'!K46&lt;=480), (-1)*('(橫掃)RX Mapping'!K46-480),IF(AND('(橫掃)RX Mapping'!K46&gt;=481,'(橫掃)RX Mapping'!K46&lt;=600), ('(橫掃)RX Mapping'!K46-361),IF(AND('(橫掃)RX Mapping'!K46&gt;=601,'(橫掃)RX Mapping'!K46&lt;=720), (-1)*('(橫掃)RX Mapping'!K46-720)+120,IF(AND('(橫掃)RX Mapping'!K46&gt;=721,'(橫掃)RX Mapping'!K46&lt;=840), ('(橫掃)RX Mapping'!K46-601),IF(AND('(橫掃)RX Mapping'!K46&gt;=841,'(橫掃)RX Mapping'!K46&lt;=960), (-1)*('(橫掃)RX Mapping'!K46-960)+120,9999))))))))</f>
        <v>9999</v>
      </c>
      <c r="L46">
        <f>IF(AND('(橫掃)RX Mapping'!L46&gt;=1,'(橫掃)RX Mapping'!L46&lt;=120), ('(橫掃)RX Mapping'!L46-1),IF(AND('(橫掃)RX Mapping'!L46&gt;=121,'(橫掃)RX Mapping'!L46&lt;=240), (-1)*('(橫掃)RX Mapping'!L46-240),IF(AND('(橫掃)RX Mapping'!L46&gt;=241,'(橫掃)RX Mapping'!L46&lt;=360), ('(橫掃)RX Mapping'!L46-241),IF(AND('(橫掃)RX Mapping'!L46&gt;=361,'(橫掃)RX Mapping'!L46&lt;=480), (-1)*('(橫掃)RX Mapping'!L46-480),IF(AND('(橫掃)RX Mapping'!L46&gt;=481,'(橫掃)RX Mapping'!L46&lt;=600), ('(橫掃)RX Mapping'!L46-361),IF(AND('(橫掃)RX Mapping'!L46&gt;=601,'(橫掃)RX Mapping'!L46&lt;=720), (-1)*('(橫掃)RX Mapping'!L46-720)+120,IF(AND('(橫掃)RX Mapping'!L46&gt;=721,'(橫掃)RX Mapping'!L46&lt;=840), ('(橫掃)RX Mapping'!L46-601),IF(AND('(橫掃)RX Mapping'!L46&gt;=841,'(橫掃)RX Mapping'!L46&lt;=960), (-1)*('(橫掃)RX Mapping'!L46-960)+120,9999))))))))</f>
        <v>9999</v>
      </c>
      <c r="M46">
        <f>IF(AND('(橫掃)RX Mapping'!M46&gt;=1,'(橫掃)RX Mapping'!M46&lt;=120), ('(橫掃)RX Mapping'!M46-1),IF(AND('(橫掃)RX Mapping'!M46&gt;=121,'(橫掃)RX Mapping'!M46&lt;=240), (-1)*('(橫掃)RX Mapping'!M46-240),IF(AND('(橫掃)RX Mapping'!M46&gt;=241,'(橫掃)RX Mapping'!M46&lt;=360), ('(橫掃)RX Mapping'!M46-241),IF(AND('(橫掃)RX Mapping'!M46&gt;=361,'(橫掃)RX Mapping'!M46&lt;=480), (-1)*('(橫掃)RX Mapping'!M46-480),IF(AND('(橫掃)RX Mapping'!M46&gt;=481,'(橫掃)RX Mapping'!M46&lt;=600), ('(橫掃)RX Mapping'!M46-361),IF(AND('(橫掃)RX Mapping'!M46&gt;=601,'(橫掃)RX Mapping'!M46&lt;=720), (-1)*('(橫掃)RX Mapping'!M46-720)+120,IF(AND('(橫掃)RX Mapping'!M46&gt;=721,'(橫掃)RX Mapping'!M46&lt;=840), ('(橫掃)RX Mapping'!M46-601),IF(AND('(橫掃)RX Mapping'!M46&gt;=841,'(橫掃)RX Mapping'!M46&lt;=960), (-1)*('(橫掃)RX Mapping'!M46-960)+120,9999))))))))</f>
        <v>9999</v>
      </c>
      <c r="N46">
        <f>IF(AND('(橫掃)RX Mapping'!N46&gt;=1,'(橫掃)RX Mapping'!N46&lt;=120), ('(橫掃)RX Mapping'!N46-1),IF(AND('(橫掃)RX Mapping'!N46&gt;=121,'(橫掃)RX Mapping'!N46&lt;=240), (-1)*('(橫掃)RX Mapping'!N46-240),IF(AND('(橫掃)RX Mapping'!N46&gt;=241,'(橫掃)RX Mapping'!N46&lt;=360), ('(橫掃)RX Mapping'!N46-241),IF(AND('(橫掃)RX Mapping'!N46&gt;=361,'(橫掃)RX Mapping'!N46&lt;=480), (-1)*('(橫掃)RX Mapping'!N46-480),IF(AND('(橫掃)RX Mapping'!N46&gt;=481,'(橫掃)RX Mapping'!N46&lt;=600), ('(橫掃)RX Mapping'!N46-361),IF(AND('(橫掃)RX Mapping'!N46&gt;=601,'(橫掃)RX Mapping'!N46&lt;=720), (-1)*('(橫掃)RX Mapping'!N46-720)+120,IF(AND('(橫掃)RX Mapping'!N46&gt;=721,'(橫掃)RX Mapping'!N46&lt;=840), ('(橫掃)RX Mapping'!N46-601),IF(AND('(橫掃)RX Mapping'!N46&gt;=841,'(橫掃)RX Mapping'!N46&lt;=960), (-1)*('(橫掃)RX Mapping'!N46-960)+120,9999))))))))</f>
        <v>9999</v>
      </c>
      <c r="O46">
        <f>IF(AND('(橫掃)RX Mapping'!O46&gt;=1,'(橫掃)RX Mapping'!O46&lt;=120), ('(橫掃)RX Mapping'!O46-1),IF(AND('(橫掃)RX Mapping'!O46&gt;=121,'(橫掃)RX Mapping'!O46&lt;=240), (-1)*('(橫掃)RX Mapping'!O46-240),IF(AND('(橫掃)RX Mapping'!O46&gt;=241,'(橫掃)RX Mapping'!O46&lt;=360), ('(橫掃)RX Mapping'!O46-241),IF(AND('(橫掃)RX Mapping'!O46&gt;=361,'(橫掃)RX Mapping'!O46&lt;=480), (-1)*('(橫掃)RX Mapping'!O46-480),IF(AND('(橫掃)RX Mapping'!O46&gt;=481,'(橫掃)RX Mapping'!O46&lt;=600), ('(橫掃)RX Mapping'!O46-361),IF(AND('(橫掃)RX Mapping'!O46&gt;=601,'(橫掃)RX Mapping'!O46&lt;=720), (-1)*('(橫掃)RX Mapping'!O46-720)+120,IF(AND('(橫掃)RX Mapping'!O46&gt;=721,'(橫掃)RX Mapping'!O46&lt;=840), ('(橫掃)RX Mapping'!O46-601),IF(AND('(橫掃)RX Mapping'!O46&gt;=841,'(橫掃)RX Mapping'!O46&lt;=960), (-1)*('(橫掃)RX Mapping'!O46-960)+120,9999))))))))</f>
        <v>9999</v>
      </c>
      <c r="P46">
        <f>IF(AND('(橫掃)RX Mapping'!P46&gt;=1,'(橫掃)RX Mapping'!P46&lt;=120), ('(橫掃)RX Mapping'!P46-1),IF(AND('(橫掃)RX Mapping'!P46&gt;=121,'(橫掃)RX Mapping'!P46&lt;=240), (-1)*('(橫掃)RX Mapping'!P46-240),IF(AND('(橫掃)RX Mapping'!P46&gt;=241,'(橫掃)RX Mapping'!P46&lt;=360), ('(橫掃)RX Mapping'!P46-241),IF(AND('(橫掃)RX Mapping'!P46&gt;=361,'(橫掃)RX Mapping'!P46&lt;=480), (-1)*('(橫掃)RX Mapping'!P46-480),IF(AND('(橫掃)RX Mapping'!P46&gt;=481,'(橫掃)RX Mapping'!P46&lt;=600), ('(橫掃)RX Mapping'!P46-361),IF(AND('(橫掃)RX Mapping'!P46&gt;=601,'(橫掃)RX Mapping'!P46&lt;=720), (-1)*('(橫掃)RX Mapping'!P46-720)+120,IF(AND('(橫掃)RX Mapping'!P46&gt;=721,'(橫掃)RX Mapping'!P46&lt;=840), ('(橫掃)RX Mapping'!P46-601),IF(AND('(橫掃)RX Mapping'!P46&gt;=841,'(橫掃)RX Mapping'!P46&lt;=960), (-1)*('(橫掃)RX Mapping'!P46-960)+120,9999))))))))</f>
        <v>9999</v>
      </c>
      <c r="Q46">
        <f>IF(AND('(橫掃)RX Mapping'!Q46&gt;=1,'(橫掃)RX Mapping'!Q46&lt;=120), ('(橫掃)RX Mapping'!Q46-1),IF(AND('(橫掃)RX Mapping'!Q46&gt;=121,'(橫掃)RX Mapping'!Q46&lt;=240), (-1)*('(橫掃)RX Mapping'!Q46-240),IF(AND('(橫掃)RX Mapping'!Q46&gt;=241,'(橫掃)RX Mapping'!Q46&lt;=360), ('(橫掃)RX Mapping'!Q46-241),IF(AND('(橫掃)RX Mapping'!Q46&gt;=361,'(橫掃)RX Mapping'!Q46&lt;=480), (-1)*('(橫掃)RX Mapping'!Q46-480),IF(AND('(橫掃)RX Mapping'!Q46&gt;=481,'(橫掃)RX Mapping'!Q46&lt;=600), ('(橫掃)RX Mapping'!Q46-361),IF(AND('(橫掃)RX Mapping'!Q46&gt;=601,'(橫掃)RX Mapping'!Q46&lt;=720), (-1)*('(橫掃)RX Mapping'!Q46-720)+120,IF(AND('(橫掃)RX Mapping'!Q46&gt;=721,'(橫掃)RX Mapping'!Q46&lt;=840), ('(橫掃)RX Mapping'!Q46-601),IF(AND('(橫掃)RX Mapping'!Q46&gt;=841,'(橫掃)RX Mapping'!Q46&lt;=960), (-1)*('(橫掃)RX Mapping'!Q46-960)+120,9999))))))))</f>
        <v>9999</v>
      </c>
      <c r="R46">
        <f>IF(AND('(橫掃)RX Mapping'!R46&gt;=1,'(橫掃)RX Mapping'!R46&lt;=120), ('(橫掃)RX Mapping'!R46-1),IF(AND('(橫掃)RX Mapping'!R46&gt;=121,'(橫掃)RX Mapping'!R46&lt;=240), (-1)*('(橫掃)RX Mapping'!R46-240),IF(AND('(橫掃)RX Mapping'!R46&gt;=241,'(橫掃)RX Mapping'!R46&lt;=360), ('(橫掃)RX Mapping'!R46-241),IF(AND('(橫掃)RX Mapping'!R46&gt;=361,'(橫掃)RX Mapping'!R46&lt;=480), (-1)*('(橫掃)RX Mapping'!R46-480),IF(AND('(橫掃)RX Mapping'!R46&gt;=481,'(橫掃)RX Mapping'!R46&lt;=600), ('(橫掃)RX Mapping'!R46-361),IF(AND('(橫掃)RX Mapping'!R46&gt;=601,'(橫掃)RX Mapping'!R46&lt;=720), (-1)*('(橫掃)RX Mapping'!R46-720)+120,IF(AND('(橫掃)RX Mapping'!R46&gt;=721,'(橫掃)RX Mapping'!R46&lt;=840), ('(橫掃)RX Mapping'!R46-601),IF(AND('(橫掃)RX Mapping'!R46&gt;=841,'(橫掃)RX Mapping'!R46&lt;=960), (-1)*('(橫掃)RX Mapping'!R46-960)+120,9999))))))))</f>
        <v>9999</v>
      </c>
      <c r="S46">
        <f>IF(AND('(橫掃)RX Mapping'!S46&gt;=1,'(橫掃)RX Mapping'!S46&lt;=120), ('(橫掃)RX Mapping'!S46-1),IF(AND('(橫掃)RX Mapping'!S46&gt;=121,'(橫掃)RX Mapping'!S46&lt;=240), (-1)*('(橫掃)RX Mapping'!S46-240),IF(AND('(橫掃)RX Mapping'!S46&gt;=241,'(橫掃)RX Mapping'!S46&lt;=360), ('(橫掃)RX Mapping'!S46-241),IF(AND('(橫掃)RX Mapping'!S46&gt;=361,'(橫掃)RX Mapping'!S46&lt;=480), (-1)*('(橫掃)RX Mapping'!S46-480),IF(AND('(橫掃)RX Mapping'!S46&gt;=481,'(橫掃)RX Mapping'!S46&lt;=600), ('(橫掃)RX Mapping'!S46-361),IF(AND('(橫掃)RX Mapping'!S46&gt;=601,'(橫掃)RX Mapping'!S46&lt;=720), (-1)*('(橫掃)RX Mapping'!S46-720)+120,IF(AND('(橫掃)RX Mapping'!S46&gt;=721,'(橫掃)RX Mapping'!S46&lt;=840), ('(橫掃)RX Mapping'!S46-601),IF(AND('(橫掃)RX Mapping'!S46&gt;=841,'(橫掃)RX Mapping'!S46&lt;=960), (-1)*('(橫掃)RX Mapping'!S46-960)+120,9999))))))))</f>
        <v>9999</v>
      </c>
      <c r="T46">
        <f>IF(AND('(橫掃)RX Mapping'!T46&gt;=1,'(橫掃)RX Mapping'!T46&lt;=120), ('(橫掃)RX Mapping'!T46-1),IF(AND('(橫掃)RX Mapping'!T46&gt;=121,'(橫掃)RX Mapping'!T46&lt;=240), (-1)*('(橫掃)RX Mapping'!T46-240),IF(AND('(橫掃)RX Mapping'!T46&gt;=241,'(橫掃)RX Mapping'!T46&lt;=360), ('(橫掃)RX Mapping'!T46-241),IF(AND('(橫掃)RX Mapping'!T46&gt;=361,'(橫掃)RX Mapping'!T46&lt;=480), (-1)*('(橫掃)RX Mapping'!T46-480),IF(AND('(橫掃)RX Mapping'!T46&gt;=481,'(橫掃)RX Mapping'!T46&lt;=600), ('(橫掃)RX Mapping'!T46-361),IF(AND('(橫掃)RX Mapping'!T46&gt;=601,'(橫掃)RX Mapping'!T46&lt;=720), (-1)*('(橫掃)RX Mapping'!T46-720)+120,IF(AND('(橫掃)RX Mapping'!T46&gt;=721,'(橫掃)RX Mapping'!T46&lt;=840), ('(橫掃)RX Mapping'!T46-601),IF(AND('(橫掃)RX Mapping'!T46&gt;=841,'(橫掃)RX Mapping'!T46&lt;=960), (-1)*('(橫掃)RX Mapping'!T46-960)+120,9999))))))))</f>
        <v>9999</v>
      </c>
      <c r="U46">
        <f>IF(AND('(橫掃)RX Mapping'!U46&gt;=1,'(橫掃)RX Mapping'!U46&lt;=120), ('(橫掃)RX Mapping'!U46-1),IF(AND('(橫掃)RX Mapping'!U46&gt;=121,'(橫掃)RX Mapping'!U46&lt;=240), (-1)*('(橫掃)RX Mapping'!U46-240),IF(AND('(橫掃)RX Mapping'!U46&gt;=241,'(橫掃)RX Mapping'!U46&lt;=360), ('(橫掃)RX Mapping'!U46-241),IF(AND('(橫掃)RX Mapping'!U46&gt;=361,'(橫掃)RX Mapping'!U46&lt;=480), (-1)*('(橫掃)RX Mapping'!U46-480),IF(AND('(橫掃)RX Mapping'!U46&gt;=481,'(橫掃)RX Mapping'!U46&lt;=600), ('(橫掃)RX Mapping'!U46-361),IF(AND('(橫掃)RX Mapping'!U46&gt;=601,'(橫掃)RX Mapping'!U46&lt;=720), (-1)*('(橫掃)RX Mapping'!U46-720)+120,IF(AND('(橫掃)RX Mapping'!U46&gt;=721,'(橫掃)RX Mapping'!U46&lt;=840), ('(橫掃)RX Mapping'!U46-601),IF(AND('(橫掃)RX Mapping'!U46&gt;=841,'(橫掃)RX Mapping'!U46&lt;=960), (-1)*('(橫掃)RX Mapping'!U46-960)+120,9999))))))))</f>
        <v>9999</v>
      </c>
      <c r="V46">
        <f>IF(AND('(橫掃)RX Mapping'!V46&gt;=1,'(橫掃)RX Mapping'!V46&lt;=120), ('(橫掃)RX Mapping'!V46-1),IF(AND('(橫掃)RX Mapping'!V46&gt;=121,'(橫掃)RX Mapping'!V46&lt;=240), (-1)*('(橫掃)RX Mapping'!V46-240),IF(AND('(橫掃)RX Mapping'!V46&gt;=241,'(橫掃)RX Mapping'!V46&lt;=360), ('(橫掃)RX Mapping'!V46-241),IF(AND('(橫掃)RX Mapping'!V46&gt;=361,'(橫掃)RX Mapping'!V46&lt;=480), (-1)*('(橫掃)RX Mapping'!V46-480),IF(AND('(橫掃)RX Mapping'!V46&gt;=481,'(橫掃)RX Mapping'!V46&lt;=600), ('(橫掃)RX Mapping'!V46-361),IF(AND('(橫掃)RX Mapping'!V46&gt;=601,'(橫掃)RX Mapping'!V46&lt;=720), (-1)*('(橫掃)RX Mapping'!V46-720)+120,IF(AND('(橫掃)RX Mapping'!V46&gt;=721,'(橫掃)RX Mapping'!V46&lt;=840), ('(橫掃)RX Mapping'!V46-601),IF(AND('(橫掃)RX Mapping'!V46&gt;=841,'(橫掃)RX Mapping'!V46&lt;=960), (-1)*('(橫掃)RX Mapping'!V46-960)+120,9999))))))))</f>
        <v>9999</v>
      </c>
      <c r="W46">
        <f>IF(AND('(橫掃)RX Mapping'!W46&gt;=1,'(橫掃)RX Mapping'!W46&lt;=120), ('(橫掃)RX Mapping'!W46-1),IF(AND('(橫掃)RX Mapping'!W46&gt;=121,'(橫掃)RX Mapping'!W46&lt;=240), (-1)*('(橫掃)RX Mapping'!W46-240),IF(AND('(橫掃)RX Mapping'!W46&gt;=241,'(橫掃)RX Mapping'!W46&lt;=360), ('(橫掃)RX Mapping'!W46-241),IF(AND('(橫掃)RX Mapping'!W46&gt;=361,'(橫掃)RX Mapping'!W46&lt;=480), (-1)*('(橫掃)RX Mapping'!W46-480),IF(AND('(橫掃)RX Mapping'!W46&gt;=481,'(橫掃)RX Mapping'!W46&lt;=600), ('(橫掃)RX Mapping'!W46-361),IF(AND('(橫掃)RX Mapping'!W46&gt;=601,'(橫掃)RX Mapping'!W46&lt;=720), (-1)*('(橫掃)RX Mapping'!W46-720)+120,IF(AND('(橫掃)RX Mapping'!W46&gt;=721,'(橫掃)RX Mapping'!W46&lt;=840), ('(橫掃)RX Mapping'!W46-601),IF(AND('(橫掃)RX Mapping'!W46&gt;=841,'(橫掃)RX Mapping'!W46&lt;=960), (-1)*('(橫掃)RX Mapping'!W46-960)+120,9999))))))))</f>
        <v>9999</v>
      </c>
      <c r="X46">
        <f>IF(AND('(橫掃)RX Mapping'!X46&gt;=1,'(橫掃)RX Mapping'!X46&lt;=120), ('(橫掃)RX Mapping'!X46-1),IF(AND('(橫掃)RX Mapping'!X46&gt;=121,'(橫掃)RX Mapping'!X46&lt;=240), (-1)*('(橫掃)RX Mapping'!X46-240),IF(AND('(橫掃)RX Mapping'!X46&gt;=241,'(橫掃)RX Mapping'!X46&lt;=360), ('(橫掃)RX Mapping'!X46-241),IF(AND('(橫掃)RX Mapping'!X46&gt;=361,'(橫掃)RX Mapping'!X46&lt;=480), (-1)*('(橫掃)RX Mapping'!X46-480),IF(AND('(橫掃)RX Mapping'!X46&gt;=481,'(橫掃)RX Mapping'!X46&lt;=600), ('(橫掃)RX Mapping'!X46-361),IF(AND('(橫掃)RX Mapping'!X46&gt;=601,'(橫掃)RX Mapping'!X46&lt;=720), (-1)*('(橫掃)RX Mapping'!X46-720)+120,IF(AND('(橫掃)RX Mapping'!X46&gt;=721,'(橫掃)RX Mapping'!X46&lt;=840), ('(橫掃)RX Mapping'!X46-601),IF(AND('(橫掃)RX Mapping'!X46&gt;=841,'(橫掃)RX Mapping'!X46&lt;=960), (-1)*('(橫掃)RX Mapping'!X46-960)+120,9999))))))))</f>
        <v>9999</v>
      </c>
      <c r="Y46">
        <f>IF(AND('(橫掃)RX Mapping'!Y46&gt;=1,'(橫掃)RX Mapping'!Y46&lt;=120), ('(橫掃)RX Mapping'!Y46-1),IF(AND('(橫掃)RX Mapping'!Y46&gt;=121,'(橫掃)RX Mapping'!Y46&lt;=240), (-1)*('(橫掃)RX Mapping'!Y46-240),IF(AND('(橫掃)RX Mapping'!Y46&gt;=241,'(橫掃)RX Mapping'!Y46&lt;=360), ('(橫掃)RX Mapping'!Y46-241),IF(AND('(橫掃)RX Mapping'!Y46&gt;=361,'(橫掃)RX Mapping'!Y46&lt;=480), (-1)*('(橫掃)RX Mapping'!Y46-480),IF(AND('(橫掃)RX Mapping'!Y46&gt;=481,'(橫掃)RX Mapping'!Y46&lt;=600), ('(橫掃)RX Mapping'!Y46-361),IF(AND('(橫掃)RX Mapping'!Y46&gt;=601,'(橫掃)RX Mapping'!Y46&lt;=720), (-1)*('(橫掃)RX Mapping'!Y46-720)+120,IF(AND('(橫掃)RX Mapping'!Y46&gt;=721,'(橫掃)RX Mapping'!Y46&lt;=840), ('(橫掃)RX Mapping'!Y46-601),IF(AND('(橫掃)RX Mapping'!Y46&gt;=841,'(橫掃)RX Mapping'!Y46&lt;=960), (-1)*('(橫掃)RX Mapping'!Y46-960)+120,9999))))))))</f>
        <v>9999</v>
      </c>
      <c r="Z46">
        <f>IF(AND('(橫掃)RX Mapping'!Z46&gt;=1,'(橫掃)RX Mapping'!Z46&lt;=120), ('(橫掃)RX Mapping'!Z46-1),IF(AND('(橫掃)RX Mapping'!Z46&gt;=121,'(橫掃)RX Mapping'!Z46&lt;=240), (-1)*('(橫掃)RX Mapping'!Z46-240),IF(AND('(橫掃)RX Mapping'!Z46&gt;=241,'(橫掃)RX Mapping'!Z46&lt;=360), ('(橫掃)RX Mapping'!Z46-241),IF(AND('(橫掃)RX Mapping'!Z46&gt;=361,'(橫掃)RX Mapping'!Z46&lt;=480), (-1)*('(橫掃)RX Mapping'!Z46-480),IF(AND('(橫掃)RX Mapping'!Z46&gt;=481,'(橫掃)RX Mapping'!Z46&lt;=600), ('(橫掃)RX Mapping'!Z46-361),IF(AND('(橫掃)RX Mapping'!Z46&gt;=601,'(橫掃)RX Mapping'!Z46&lt;=720), (-1)*('(橫掃)RX Mapping'!Z46-720)+120,IF(AND('(橫掃)RX Mapping'!Z46&gt;=721,'(橫掃)RX Mapping'!Z46&lt;=840), ('(橫掃)RX Mapping'!Z46-601),IF(AND('(橫掃)RX Mapping'!Z46&gt;=841,'(橫掃)RX Mapping'!Z46&lt;=960), (-1)*('(橫掃)RX Mapping'!Z46-960)+120,9999))))))))</f>
        <v>9999</v>
      </c>
      <c r="AA46">
        <f>IF(AND('(橫掃)RX Mapping'!AA46&gt;=1,'(橫掃)RX Mapping'!AA46&lt;=120), ('(橫掃)RX Mapping'!AA46-1),IF(AND('(橫掃)RX Mapping'!AA46&gt;=121,'(橫掃)RX Mapping'!AA46&lt;=240), (-1)*('(橫掃)RX Mapping'!AA46-240),IF(AND('(橫掃)RX Mapping'!AA46&gt;=241,'(橫掃)RX Mapping'!AA46&lt;=360), ('(橫掃)RX Mapping'!AA46-241),IF(AND('(橫掃)RX Mapping'!AA46&gt;=361,'(橫掃)RX Mapping'!AA46&lt;=480), (-1)*('(橫掃)RX Mapping'!AA46-480),IF(AND('(橫掃)RX Mapping'!AA46&gt;=481,'(橫掃)RX Mapping'!AA46&lt;=600), ('(橫掃)RX Mapping'!AA46-361),IF(AND('(橫掃)RX Mapping'!AA46&gt;=601,'(橫掃)RX Mapping'!AA46&lt;=720), (-1)*('(橫掃)RX Mapping'!AA46-720)+120,IF(AND('(橫掃)RX Mapping'!AA46&gt;=721,'(橫掃)RX Mapping'!AA46&lt;=840), ('(橫掃)RX Mapping'!AA46-601),IF(AND('(橫掃)RX Mapping'!AA46&gt;=841,'(橫掃)RX Mapping'!AA46&lt;=960), (-1)*('(橫掃)RX Mapping'!AA46-960)+120,9999))))))))</f>
        <v>9999</v>
      </c>
      <c r="AB46">
        <f>IF(AND('(橫掃)RX Mapping'!AB46&gt;=1,'(橫掃)RX Mapping'!AB46&lt;=120), ('(橫掃)RX Mapping'!AB46-1),IF(AND('(橫掃)RX Mapping'!AB46&gt;=121,'(橫掃)RX Mapping'!AB46&lt;=240), (-1)*('(橫掃)RX Mapping'!AB46-240),IF(AND('(橫掃)RX Mapping'!AB46&gt;=241,'(橫掃)RX Mapping'!AB46&lt;=360), ('(橫掃)RX Mapping'!AB46-241),IF(AND('(橫掃)RX Mapping'!AB46&gt;=361,'(橫掃)RX Mapping'!AB46&lt;=480), (-1)*('(橫掃)RX Mapping'!AB46-480),IF(AND('(橫掃)RX Mapping'!AB46&gt;=481,'(橫掃)RX Mapping'!AB46&lt;=600), ('(橫掃)RX Mapping'!AB46-361),IF(AND('(橫掃)RX Mapping'!AB46&gt;=601,'(橫掃)RX Mapping'!AB46&lt;=720), (-1)*('(橫掃)RX Mapping'!AB46-720)+120,IF(AND('(橫掃)RX Mapping'!AB46&gt;=721,'(橫掃)RX Mapping'!AB46&lt;=840), ('(橫掃)RX Mapping'!AB46-601),IF(AND('(橫掃)RX Mapping'!AB46&gt;=841,'(橫掃)RX Mapping'!AB46&lt;=960), (-1)*('(橫掃)RX Mapping'!AB46-960)+120,9999))))))))</f>
        <v>9999</v>
      </c>
      <c r="AC46">
        <f>IF(AND('(橫掃)RX Mapping'!AC46&gt;=1,'(橫掃)RX Mapping'!AC46&lt;=120), ('(橫掃)RX Mapping'!AC46-1),IF(AND('(橫掃)RX Mapping'!AC46&gt;=121,'(橫掃)RX Mapping'!AC46&lt;=240), (-1)*('(橫掃)RX Mapping'!AC46-240),IF(AND('(橫掃)RX Mapping'!AC46&gt;=241,'(橫掃)RX Mapping'!AC46&lt;=360), ('(橫掃)RX Mapping'!AC46-241),IF(AND('(橫掃)RX Mapping'!AC46&gt;=361,'(橫掃)RX Mapping'!AC46&lt;=480), (-1)*('(橫掃)RX Mapping'!AC46-480),IF(AND('(橫掃)RX Mapping'!AC46&gt;=481,'(橫掃)RX Mapping'!AC46&lt;=600), ('(橫掃)RX Mapping'!AC46-361),IF(AND('(橫掃)RX Mapping'!AC46&gt;=601,'(橫掃)RX Mapping'!AC46&lt;=720), (-1)*('(橫掃)RX Mapping'!AC46-720)+120,IF(AND('(橫掃)RX Mapping'!AC46&gt;=721,'(橫掃)RX Mapping'!AC46&lt;=840), ('(橫掃)RX Mapping'!AC46-601),IF(AND('(橫掃)RX Mapping'!AC46&gt;=841,'(橫掃)RX Mapping'!AC46&lt;=960), (-1)*('(橫掃)RX Mapping'!AC46-960)+120,9999))))))))</f>
        <v>9999</v>
      </c>
      <c r="AD46">
        <f>IF(AND('(橫掃)RX Mapping'!AD46&gt;=1,'(橫掃)RX Mapping'!AD46&lt;=120), ('(橫掃)RX Mapping'!AD46-1),IF(AND('(橫掃)RX Mapping'!AD46&gt;=121,'(橫掃)RX Mapping'!AD46&lt;=240), (-1)*('(橫掃)RX Mapping'!AD46-240),IF(AND('(橫掃)RX Mapping'!AD46&gt;=241,'(橫掃)RX Mapping'!AD46&lt;=360), ('(橫掃)RX Mapping'!AD46-241),IF(AND('(橫掃)RX Mapping'!AD46&gt;=361,'(橫掃)RX Mapping'!AD46&lt;=480), (-1)*('(橫掃)RX Mapping'!AD46-480),IF(AND('(橫掃)RX Mapping'!AD46&gt;=481,'(橫掃)RX Mapping'!AD46&lt;=600), ('(橫掃)RX Mapping'!AD46-361),IF(AND('(橫掃)RX Mapping'!AD46&gt;=601,'(橫掃)RX Mapping'!AD46&lt;=720), (-1)*('(橫掃)RX Mapping'!AD46-720)+120,IF(AND('(橫掃)RX Mapping'!AD46&gt;=721,'(橫掃)RX Mapping'!AD46&lt;=840), ('(橫掃)RX Mapping'!AD46-601),IF(AND('(橫掃)RX Mapping'!AD46&gt;=841,'(橫掃)RX Mapping'!AD46&lt;=960), (-1)*('(橫掃)RX Mapping'!AD46-960)+120,9999))))))))</f>
        <v>9999</v>
      </c>
      <c r="AE46">
        <f>IF(AND('(橫掃)RX Mapping'!AE46&gt;=1,'(橫掃)RX Mapping'!AE46&lt;=120), ('(橫掃)RX Mapping'!AE46-1),IF(AND('(橫掃)RX Mapping'!AE46&gt;=121,'(橫掃)RX Mapping'!AE46&lt;=240), (-1)*('(橫掃)RX Mapping'!AE46-240),IF(AND('(橫掃)RX Mapping'!AE46&gt;=241,'(橫掃)RX Mapping'!AE46&lt;=360), ('(橫掃)RX Mapping'!AE46-241),IF(AND('(橫掃)RX Mapping'!AE46&gt;=361,'(橫掃)RX Mapping'!AE46&lt;=480), (-1)*('(橫掃)RX Mapping'!AE46-480),IF(AND('(橫掃)RX Mapping'!AE46&gt;=481,'(橫掃)RX Mapping'!AE46&lt;=600), ('(橫掃)RX Mapping'!AE46-361),IF(AND('(橫掃)RX Mapping'!AE46&gt;=601,'(橫掃)RX Mapping'!AE46&lt;=720), (-1)*('(橫掃)RX Mapping'!AE46-720)+120,IF(AND('(橫掃)RX Mapping'!AE46&gt;=721,'(橫掃)RX Mapping'!AE46&lt;=840), ('(橫掃)RX Mapping'!AE46-601),IF(AND('(橫掃)RX Mapping'!AE46&gt;=841,'(橫掃)RX Mapping'!AE46&lt;=960), (-1)*('(橫掃)RX Mapping'!AE46-960)+120,9999))))))))</f>
        <v>9999</v>
      </c>
      <c r="AF46">
        <f>IF(AND('(橫掃)RX Mapping'!AF46&gt;=1,'(橫掃)RX Mapping'!AF46&lt;=120), ('(橫掃)RX Mapping'!AF46-1),IF(AND('(橫掃)RX Mapping'!AF46&gt;=121,'(橫掃)RX Mapping'!AF46&lt;=240), (-1)*('(橫掃)RX Mapping'!AF46-240),IF(AND('(橫掃)RX Mapping'!AF46&gt;=241,'(橫掃)RX Mapping'!AF46&lt;=360), ('(橫掃)RX Mapping'!AF46-241),IF(AND('(橫掃)RX Mapping'!AF46&gt;=361,'(橫掃)RX Mapping'!AF46&lt;=480), (-1)*('(橫掃)RX Mapping'!AF46-480),IF(AND('(橫掃)RX Mapping'!AF46&gt;=481,'(橫掃)RX Mapping'!AF46&lt;=600), ('(橫掃)RX Mapping'!AF46-361),IF(AND('(橫掃)RX Mapping'!AF46&gt;=601,'(橫掃)RX Mapping'!AF46&lt;=720), (-1)*('(橫掃)RX Mapping'!AF46-720)+120,IF(AND('(橫掃)RX Mapping'!AF46&gt;=721,'(橫掃)RX Mapping'!AF46&lt;=840), ('(橫掃)RX Mapping'!AF46-601),IF(AND('(橫掃)RX Mapping'!AF46&gt;=841,'(橫掃)RX Mapping'!AF46&lt;=960), (-1)*('(橫掃)RX Mapping'!AF46-960)+120,9999))))))))</f>
        <v>9999</v>
      </c>
      <c r="AG46">
        <f>IF(AND('(橫掃)RX Mapping'!AG46&gt;=1,'(橫掃)RX Mapping'!AG46&lt;=120), ('(橫掃)RX Mapping'!AG46-1),IF(AND('(橫掃)RX Mapping'!AG46&gt;=121,'(橫掃)RX Mapping'!AG46&lt;=240), (-1)*('(橫掃)RX Mapping'!AG46-240),IF(AND('(橫掃)RX Mapping'!AG46&gt;=241,'(橫掃)RX Mapping'!AG46&lt;=360), ('(橫掃)RX Mapping'!AG46-241),IF(AND('(橫掃)RX Mapping'!AG46&gt;=361,'(橫掃)RX Mapping'!AG46&lt;=480), (-1)*('(橫掃)RX Mapping'!AG46-480),IF(AND('(橫掃)RX Mapping'!AG46&gt;=481,'(橫掃)RX Mapping'!AG46&lt;=600), ('(橫掃)RX Mapping'!AG46-361),IF(AND('(橫掃)RX Mapping'!AG46&gt;=601,'(橫掃)RX Mapping'!AG46&lt;=720), (-1)*('(橫掃)RX Mapping'!AG46-720)+120,IF(AND('(橫掃)RX Mapping'!AG46&gt;=721,'(橫掃)RX Mapping'!AG46&lt;=840), ('(橫掃)RX Mapping'!AG46-601),IF(AND('(橫掃)RX Mapping'!AG46&gt;=841,'(橫掃)RX Mapping'!AG46&lt;=960), (-1)*('(橫掃)RX Mapping'!AG46-960)+120,9999))))))))</f>
        <v>9999</v>
      </c>
      <c r="AH46">
        <f>IF(AND('(橫掃)RX Mapping'!AH46&gt;=1,'(橫掃)RX Mapping'!AH46&lt;=120), ('(橫掃)RX Mapping'!AH46-1),IF(AND('(橫掃)RX Mapping'!AH46&gt;=121,'(橫掃)RX Mapping'!AH46&lt;=240), (-1)*('(橫掃)RX Mapping'!AH46-240),IF(AND('(橫掃)RX Mapping'!AH46&gt;=241,'(橫掃)RX Mapping'!AH46&lt;=360), ('(橫掃)RX Mapping'!AH46-241),IF(AND('(橫掃)RX Mapping'!AH46&gt;=361,'(橫掃)RX Mapping'!AH46&lt;=480), (-1)*('(橫掃)RX Mapping'!AH46-480),IF(AND('(橫掃)RX Mapping'!AH46&gt;=481,'(橫掃)RX Mapping'!AH46&lt;=600), ('(橫掃)RX Mapping'!AH46-361),IF(AND('(橫掃)RX Mapping'!AH46&gt;=601,'(橫掃)RX Mapping'!AH46&lt;=720), (-1)*('(橫掃)RX Mapping'!AH46-720)+120,IF(AND('(橫掃)RX Mapping'!AH46&gt;=721,'(橫掃)RX Mapping'!AH46&lt;=840), ('(橫掃)RX Mapping'!AH46-601),IF(AND('(橫掃)RX Mapping'!AH46&gt;=841,'(橫掃)RX Mapping'!AH46&lt;=960), (-1)*('(橫掃)RX Mapping'!AH46-960)+120,9999))))))))</f>
        <v>9999</v>
      </c>
      <c r="AI46">
        <f>IF(AND('(橫掃)RX Mapping'!AI46&gt;=1,'(橫掃)RX Mapping'!AI46&lt;=120), ('(橫掃)RX Mapping'!AI46-1),IF(AND('(橫掃)RX Mapping'!AI46&gt;=121,'(橫掃)RX Mapping'!AI46&lt;=240), (-1)*('(橫掃)RX Mapping'!AI46-240),IF(AND('(橫掃)RX Mapping'!AI46&gt;=241,'(橫掃)RX Mapping'!AI46&lt;=360), ('(橫掃)RX Mapping'!AI46-241),IF(AND('(橫掃)RX Mapping'!AI46&gt;=361,'(橫掃)RX Mapping'!AI46&lt;=480), (-1)*('(橫掃)RX Mapping'!AI46-480),IF(AND('(橫掃)RX Mapping'!AI46&gt;=481,'(橫掃)RX Mapping'!AI46&lt;=600), ('(橫掃)RX Mapping'!AI46-361),IF(AND('(橫掃)RX Mapping'!AI46&gt;=601,'(橫掃)RX Mapping'!AI46&lt;=720), (-1)*('(橫掃)RX Mapping'!AI46-720)+120,IF(AND('(橫掃)RX Mapping'!AI46&gt;=721,'(橫掃)RX Mapping'!AI46&lt;=840), ('(橫掃)RX Mapping'!AI46-601),IF(AND('(橫掃)RX Mapping'!AI46&gt;=841,'(橫掃)RX Mapping'!AI46&lt;=960), (-1)*('(橫掃)RX Mapping'!AI46-960)+120,9999))))))))</f>
        <v>9999</v>
      </c>
      <c r="AJ46">
        <f>IF(AND('(橫掃)RX Mapping'!AJ46&gt;=1,'(橫掃)RX Mapping'!AJ46&lt;=120), ('(橫掃)RX Mapping'!AJ46-1),IF(AND('(橫掃)RX Mapping'!AJ46&gt;=121,'(橫掃)RX Mapping'!AJ46&lt;=240), (-1)*('(橫掃)RX Mapping'!AJ46-240),IF(AND('(橫掃)RX Mapping'!AJ46&gt;=241,'(橫掃)RX Mapping'!AJ46&lt;=360), ('(橫掃)RX Mapping'!AJ46-241),IF(AND('(橫掃)RX Mapping'!AJ46&gt;=361,'(橫掃)RX Mapping'!AJ46&lt;=480), (-1)*('(橫掃)RX Mapping'!AJ46-480),IF(AND('(橫掃)RX Mapping'!AJ46&gt;=481,'(橫掃)RX Mapping'!AJ46&lt;=600), ('(橫掃)RX Mapping'!AJ46-361),IF(AND('(橫掃)RX Mapping'!AJ46&gt;=601,'(橫掃)RX Mapping'!AJ46&lt;=720), (-1)*('(橫掃)RX Mapping'!AJ46-720)+120,IF(AND('(橫掃)RX Mapping'!AJ46&gt;=721,'(橫掃)RX Mapping'!AJ46&lt;=840), ('(橫掃)RX Mapping'!AJ46-601),IF(AND('(橫掃)RX Mapping'!AJ46&gt;=841,'(橫掃)RX Mapping'!AJ46&lt;=960), (-1)*('(橫掃)RX Mapping'!AJ46-960)+120,9999))))))))</f>
        <v>9999</v>
      </c>
      <c r="AK46">
        <f>IF(AND('(橫掃)RX Mapping'!AK46&gt;=1,'(橫掃)RX Mapping'!AK46&lt;=120), ('(橫掃)RX Mapping'!AK46-1),IF(AND('(橫掃)RX Mapping'!AK46&gt;=121,'(橫掃)RX Mapping'!AK46&lt;=240), (-1)*('(橫掃)RX Mapping'!AK46-240),IF(AND('(橫掃)RX Mapping'!AK46&gt;=241,'(橫掃)RX Mapping'!AK46&lt;=360), ('(橫掃)RX Mapping'!AK46-241),IF(AND('(橫掃)RX Mapping'!AK46&gt;=361,'(橫掃)RX Mapping'!AK46&lt;=480), (-1)*('(橫掃)RX Mapping'!AK46-480),IF(AND('(橫掃)RX Mapping'!AK46&gt;=481,'(橫掃)RX Mapping'!AK46&lt;=600), ('(橫掃)RX Mapping'!AK46-361),IF(AND('(橫掃)RX Mapping'!AK46&gt;=601,'(橫掃)RX Mapping'!AK46&lt;=720), (-1)*('(橫掃)RX Mapping'!AK46-720)+120,IF(AND('(橫掃)RX Mapping'!AK46&gt;=721,'(橫掃)RX Mapping'!AK46&lt;=840), ('(橫掃)RX Mapping'!AK46-601),IF(AND('(橫掃)RX Mapping'!AK46&gt;=841,'(橫掃)RX Mapping'!AK46&lt;=960), (-1)*('(橫掃)RX Mapping'!AK46-960)+120,9999))))))))</f>
        <v>9999</v>
      </c>
      <c r="AL46">
        <f>IF(AND('(橫掃)RX Mapping'!AL46&gt;=1,'(橫掃)RX Mapping'!AL46&lt;=120), ('(橫掃)RX Mapping'!AL46-1),IF(AND('(橫掃)RX Mapping'!AL46&gt;=121,'(橫掃)RX Mapping'!AL46&lt;=240), (-1)*('(橫掃)RX Mapping'!AL46-240),IF(AND('(橫掃)RX Mapping'!AL46&gt;=241,'(橫掃)RX Mapping'!AL46&lt;=360), ('(橫掃)RX Mapping'!AL46-241),IF(AND('(橫掃)RX Mapping'!AL46&gt;=361,'(橫掃)RX Mapping'!AL46&lt;=480), (-1)*('(橫掃)RX Mapping'!AL46-480),IF(AND('(橫掃)RX Mapping'!AL46&gt;=481,'(橫掃)RX Mapping'!AL46&lt;=600), ('(橫掃)RX Mapping'!AL46-361),IF(AND('(橫掃)RX Mapping'!AL46&gt;=601,'(橫掃)RX Mapping'!AL46&lt;=720), (-1)*('(橫掃)RX Mapping'!AL46-720)+120,IF(AND('(橫掃)RX Mapping'!AL46&gt;=721,'(橫掃)RX Mapping'!AL46&lt;=840), ('(橫掃)RX Mapping'!AL46-601),IF(AND('(橫掃)RX Mapping'!AL46&gt;=841,'(橫掃)RX Mapping'!AL46&lt;=960), (-1)*('(橫掃)RX Mapping'!AL46-960)+120,9999))))))))</f>
        <v>9999</v>
      </c>
      <c r="AM46">
        <f>IF(AND('(橫掃)RX Mapping'!AM46&gt;=1,'(橫掃)RX Mapping'!AM46&lt;=120), ('(橫掃)RX Mapping'!AM46-1),IF(AND('(橫掃)RX Mapping'!AM46&gt;=121,'(橫掃)RX Mapping'!AM46&lt;=240), (-1)*('(橫掃)RX Mapping'!AM46-240),IF(AND('(橫掃)RX Mapping'!AM46&gt;=241,'(橫掃)RX Mapping'!AM46&lt;=360), ('(橫掃)RX Mapping'!AM46-241),IF(AND('(橫掃)RX Mapping'!AM46&gt;=361,'(橫掃)RX Mapping'!AM46&lt;=480), (-1)*('(橫掃)RX Mapping'!AM46-480),IF(AND('(橫掃)RX Mapping'!AM46&gt;=481,'(橫掃)RX Mapping'!AM46&lt;=600), ('(橫掃)RX Mapping'!AM46-361),IF(AND('(橫掃)RX Mapping'!AM46&gt;=601,'(橫掃)RX Mapping'!AM46&lt;=720), (-1)*('(橫掃)RX Mapping'!AM46-720)+120,IF(AND('(橫掃)RX Mapping'!AM46&gt;=721,'(橫掃)RX Mapping'!AM46&lt;=840), ('(橫掃)RX Mapping'!AM46-601),IF(AND('(橫掃)RX Mapping'!AM46&gt;=841,'(橫掃)RX Mapping'!AM46&lt;=960), (-1)*('(橫掃)RX Mapping'!AM46-960)+120,9999))))))))</f>
        <v>9999</v>
      </c>
      <c r="AN46">
        <f>IF(AND('(橫掃)RX Mapping'!AN46&gt;=1,'(橫掃)RX Mapping'!AN46&lt;=120), ('(橫掃)RX Mapping'!AN46-1),IF(AND('(橫掃)RX Mapping'!AN46&gt;=121,'(橫掃)RX Mapping'!AN46&lt;=240), (-1)*('(橫掃)RX Mapping'!AN46-240),IF(AND('(橫掃)RX Mapping'!AN46&gt;=241,'(橫掃)RX Mapping'!AN46&lt;=360), ('(橫掃)RX Mapping'!AN46-241),IF(AND('(橫掃)RX Mapping'!AN46&gt;=361,'(橫掃)RX Mapping'!AN46&lt;=480), (-1)*('(橫掃)RX Mapping'!AN46-480),IF(AND('(橫掃)RX Mapping'!AN46&gt;=481,'(橫掃)RX Mapping'!AN46&lt;=600), ('(橫掃)RX Mapping'!AN46-361),IF(AND('(橫掃)RX Mapping'!AN46&gt;=601,'(橫掃)RX Mapping'!AN46&lt;=720), (-1)*('(橫掃)RX Mapping'!AN46-720)+120,IF(AND('(橫掃)RX Mapping'!AN46&gt;=721,'(橫掃)RX Mapping'!AN46&lt;=840), ('(橫掃)RX Mapping'!AN46-601),IF(AND('(橫掃)RX Mapping'!AN46&gt;=841,'(橫掃)RX Mapping'!AN46&lt;=960), (-1)*('(橫掃)RX Mapping'!AN46-960)+120,9999))))))))</f>
        <v>9999</v>
      </c>
      <c r="AO46">
        <f>IF(AND('(橫掃)RX Mapping'!AO46&gt;=1,'(橫掃)RX Mapping'!AO46&lt;=120), ('(橫掃)RX Mapping'!AO46-1),IF(AND('(橫掃)RX Mapping'!AO46&gt;=121,'(橫掃)RX Mapping'!AO46&lt;=240), (-1)*('(橫掃)RX Mapping'!AO46-240),IF(AND('(橫掃)RX Mapping'!AO46&gt;=241,'(橫掃)RX Mapping'!AO46&lt;=360), ('(橫掃)RX Mapping'!AO46-241),IF(AND('(橫掃)RX Mapping'!AO46&gt;=361,'(橫掃)RX Mapping'!AO46&lt;=480), (-1)*('(橫掃)RX Mapping'!AO46-480),IF(AND('(橫掃)RX Mapping'!AO46&gt;=481,'(橫掃)RX Mapping'!AO46&lt;=600), ('(橫掃)RX Mapping'!AO46-361),IF(AND('(橫掃)RX Mapping'!AO46&gt;=601,'(橫掃)RX Mapping'!AO46&lt;=720), (-1)*('(橫掃)RX Mapping'!AO46-720)+120,IF(AND('(橫掃)RX Mapping'!AO46&gt;=721,'(橫掃)RX Mapping'!AO46&lt;=840), ('(橫掃)RX Mapping'!AO46-601),IF(AND('(橫掃)RX Mapping'!AO46&gt;=841,'(橫掃)RX Mapping'!AO46&lt;=960), (-1)*('(橫掃)RX Mapping'!AO46-960)+120,9999))))))))</f>
        <v>9999</v>
      </c>
      <c r="AP46">
        <f>IF(AND('(橫掃)RX Mapping'!AP46&gt;=1,'(橫掃)RX Mapping'!AP46&lt;=120), ('(橫掃)RX Mapping'!AP46-1),IF(AND('(橫掃)RX Mapping'!AP46&gt;=121,'(橫掃)RX Mapping'!AP46&lt;=240), (-1)*('(橫掃)RX Mapping'!AP46-240),IF(AND('(橫掃)RX Mapping'!AP46&gt;=241,'(橫掃)RX Mapping'!AP46&lt;=360), ('(橫掃)RX Mapping'!AP46-241),IF(AND('(橫掃)RX Mapping'!AP46&gt;=361,'(橫掃)RX Mapping'!AP46&lt;=480), (-1)*('(橫掃)RX Mapping'!AP46-480),IF(AND('(橫掃)RX Mapping'!AP46&gt;=481,'(橫掃)RX Mapping'!AP46&lt;=600), ('(橫掃)RX Mapping'!AP46-361),IF(AND('(橫掃)RX Mapping'!AP46&gt;=601,'(橫掃)RX Mapping'!AP46&lt;=720), (-1)*('(橫掃)RX Mapping'!AP46-720)+120,IF(AND('(橫掃)RX Mapping'!AP46&gt;=721,'(橫掃)RX Mapping'!AP46&lt;=840), ('(橫掃)RX Mapping'!AP46-601),IF(AND('(橫掃)RX Mapping'!AP46&gt;=841,'(橫掃)RX Mapping'!AP46&lt;=960), (-1)*('(橫掃)RX Mapping'!AP46-960)+120,9999))))))))</f>
        <v>9999</v>
      </c>
      <c r="AQ46">
        <f>IF(AND('(橫掃)RX Mapping'!AQ46&gt;=1,'(橫掃)RX Mapping'!AQ46&lt;=120), ('(橫掃)RX Mapping'!AQ46-1),IF(AND('(橫掃)RX Mapping'!AQ46&gt;=121,'(橫掃)RX Mapping'!AQ46&lt;=240), (-1)*('(橫掃)RX Mapping'!AQ46-240),IF(AND('(橫掃)RX Mapping'!AQ46&gt;=241,'(橫掃)RX Mapping'!AQ46&lt;=360), ('(橫掃)RX Mapping'!AQ46-241),IF(AND('(橫掃)RX Mapping'!AQ46&gt;=361,'(橫掃)RX Mapping'!AQ46&lt;=480), (-1)*('(橫掃)RX Mapping'!AQ46-480),IF(AND('(橫掃)RX Mapping'!AQ46&gt;=481,'(橫掃)RX Mapping'!AQ46&lt;=600), ('(橫掃)RX Mapping'!AQ46-361),IF(AND('(橫掃)RX Mapping'!AQ46&gt;=601,'(橫掃)RX Mapping'!AQ46&lt;=720), (-1)*('(橫掃)RX Mapping'!AQ46-720)+120,IF(AND('(橫掃)RX Mapping'!AQ46&gt;=721,'(橫掃)RX Mapping'!AQ46&lt;=840), ('(橫掃)RX Mapping'!AQ46-601),IF(AND('(橫掃)RX Mapping'!AQ46&gt;=841,'(橫掃)RX Mapping'!AQ46&lt;=960), (-1)*('(橫掃)RX Mapping'!AQ46-960)+120,9999))))))))</f>
        <v>9999</v>
      </c>
      <c r="AR46">
        <f>IF(AND('(橫掃)RX Mapping'!AR46&gt;=1,'(橫掃)RX Mapping'!AR46&lt;=120), ('(橫掃)RX Mapping'!AR46-1),IF(AND('(橫掃)RX Mapping'!AR46&gt;=121,'(橫掃)RX Mapping'!AR46&lt;=240), (-1)*('(橫掃)RX Mapping'!AR46-240),IF(AND('(橫掃)RX Mapping'!AR46&gt;=241,'(橫掃)RX Mapping'!AR46&lt;=360), ('(橫掃)RX Mapping'!AR46-241),IF(AND('(橫掃)RX Mapping'!AR46&gt;=361,'(橫掃)RX Mapping'!AR46&lt;=480), (-1)*('(橫掃)RX Mapping'!AR46-480),IF(AND('(橫掃)RX Mapping'!AR46&gt;=481,'(橫掃)RX Mapping'!AR46&lt;=600), ('(橫掃)RX Mapping'!AR46-361),IF(AND('(橫掃)RX Mapping'!AR46&gt;=601,'(橫掃)RX Mapping'!AR46&lt;=720), (-1)*('(橫掃)RX Mapping'!AR46-720)+120,IF(AND('(橫掃)RX Mapping'!AR46&gt;=721,'(橫掃)RX Mapping'!AR46&lt;=840), ('(橫掃)RX Mapping'!AR46-601),IF(AND('(橫掃)RX Mapping'!AR46&gt;=841,'(橫掃)RX Mapping'!AR46&lt;=960), (-1)*('(橫掃)RX Mapping'!AR46-960)+120,9999))))))))</f>
        <v>9999</v>
      </c>
      <c r="AS46">
        <f>IF(AND('(橫掃)RX Mapping'!AS46&gt;=1,'(橫掃)RX Mapping'!AS46&lt;=120), ('(橫掃)RX Mapping'!AS46-1),IF(AND('(橫掃)RX Mapping'!AS46&gt;=121,'(橫掃)RX Mapping'!AS46&lt;=240), (-1)*('(橫掃)RX Mapping'!AS46-240),IF(AND('(橫掃)RX Mapping'!AS46&gt;=241,'(橫掃)RX Mapping'!AS46&lt;=360), ('(橫掃)RX Mapping'!AS46-241),IF(AND('(橫掃)RX Mapping'!AS46&gt;=361,'(橫掃)RX Mapping'!AS46&lt;=480), (-1)*('(橫掃)RX Mapping'!AS46-480),IF(AND('(橫掃)RX Mapping'!AS46&gt;=481,'(橫掃)RX Mapping'!AS46&lt;=600), ('(橫掃)RX Mapping'!AS46-361),IF(AND('(橫掃)RX Mapping'!AS46&gt;=601,'(橫掃)RX Mapping'!AS46&lt;=720), (-1)*('(橫掃)RX Mapping'!AS46-720)+120,IF(AND('(橫掃)RX Mapping'!AS46&gt;=721,'(橫掃)RX Mapping'!AS46&lt;=840), ('(橫掃)RX Mapping'!AS46-601),IF(AND('(橫掃)RX Mapping'!AS46&gt;=841,'(橫掃)RX Mapping'!AS46&lt;=960), (-1)*('(橫掃)RX Mapping'!AS46-960)+120,9999))))))))</f>
        <v>9999</v>
      </c>
      <c r="AT46">
        <f>IF(AND('(橫掃)RX Mapping'!AT46&gt;=1,'(橫掃)RX Mapping'!AT46&lt;=120), ('(橫掃)RX Mapping'!AT46-1),IF(AND('(橫掃)RX Mapping'!AT46&gt;=121,'(橫掃)RX Mapping'!AT46&lt;=240), (-1)*('(橫掃)RX Mapping'!AT46-240),IF(AND('(橫掃)RX Mapping'!AT46&gt;=241,'(橫掃)RX Mapping'!AT46&lt;=360), ('(橫掃)RX Mapping'!AT46-241),IF(AND('(橫掃)RX Mapping'!AT46&gt;=361,'(橫掃)RX Mapping'!AT46&lt;=480), (-1)*('(橫掃)RX Mapping'!AT46-480),IF(AND('(橫掃)RX Mapping'!AT46&gt;=481,'(橫掃)RX Mapping'!AT46&lt;=600), ('(橫掃)RX Mapping'!AT46-361),IF(AND('(橫掃)RX Mapping'!AT46&gt;=601,'(橫掃)RX Mapping'!AT46&lt;=720), (-1)*('(橫掃)RX Mapping'!AT46-720)+120,IF(AND('(橫掃)RX Mapping'!AT46&gt;=721,'(橫掃)RX Mapping'!AT46&lt;=840), ('(橫掃)RX Mapping'!AT46-601),IF(AND('(橫掃)RX Mapping'!AT46&gt;=841,'(橫掃)RX Mapping'!AT46&lt;=960), (-1)*('(橫掃)RX Mapping'!AT46-960)+120,9999))))))))</f>
        <v>9999</v>
      </c>
      <c r="AU46">
        <f>IF(AND('(橫掃)RX Mapping'!AU46&gt;=1,'(橫掃)RX Mapping'!AU46&lt;=120), ('(橫掃)RX Mapping'!AU46-1),IF(AND('(橫掃)RX Mapping'!AU46&gt;=121,'(橫掃)RX Mapping'!AU46&lt;=240), (-1)*('(橫掃)RX Mapping'!AU46-240),IF(AND('(橫掃)RX Mapping'!AU46&gt;=241,'(橫掃)RX Mapping'!AU46&lt;=360), ('(橫掃)RX Mapping'!AU46-241),IF(AND('(橫掃)RX Mapping'!AU46&gt;=361,'(橫掃)RX Mapping'!AU46&lt;=480), (-1)*('(橫掃)RX Mapping'!AU46-480),IF(AND('(橫掃)RX Mapping'!AU46&gt;=481,'(橫掃)RX Mapping'!AU46&lt;=600), ('(橫掃)RX Mapping'!AU46-361),IF(AND('(橫掃)RX Mapping'!AU46&gt;=601,'(橫掃)RX Mapping'!AU46&lt;=720), (-1)*('(橫掃)RX Mapping'!AU46-720)+120,IF(AND('(橫掃)RX Mapping'!AU46&gt;=721,'(橫掃)RX Mapping'!AU46&lt;=840), ('(橫掃)RX Mapping'!AU46-601),IF(AND('(橫掃)RX Mapping'!AU46&gt;=841,'(橫掃)RX Mapping'!AU46&lt;=960), (-1)*('(橫掃)RX Mapping'!AU46-960)+120,9999))))))))</f>
        <v>9999</v>
      </c>
      <c r="AV46">
        <f>IF(AND('(橫掃)RX Mapping'!AV46&gt;=1,'(橫掃)RX Mapping'!AV46&lt;=120), ('(橫掃)RX Mapping'!AV46-1),IF(AND('(橫掃)RX Mapping'!AV46&gt;=121,'(橫掃)RX Mapping'!AV46&lt;=240), (-1)*('(橫掃)RX Mapping'!AV46-240),IF(AND('(橫掃)RX Mapping'!AV46&gt;=241,'(橫掃)RX Mapping'!AV46&lt;=360), ('(橫掃)RX Mapping'!AV46-241),IF(AND('(橫掃)RX Mapping'!AV46&gt;=361,'(橫掃)RX Mapping'!AV46&lt;=480), (-1)*('(橫掃)RX Mapping'!AV46-480),IF(AND('(橫掃)RX Mapping'!AV46&gt;=481,'(橫掃)RX Mapping'!AV46&lt;=600), ('(橫掃)RX Mapping'!AV46-361),IF(AND('(橫掃)RX Mapping'!AV46&gt;=601,'(橫掃)RX Mapping'!AV46&lt;=720), (-1)*('(橫掃)RX Mapping'!AV46-720)+120,IF(AND('(橫掃)RX Mapping'!AV46&gt;=721,'(橫掃)RX Mapping'!AV46&lt;=840), ('(橫掃)RX Mapping'!AV46-601),IF(AND('(橫掃)RX Mapping'!AV46&gt;=841,'(橫掃)RX Mapping'!AV46&lt;=960), (-1)*('(橫掃)RX Mapping'!AV46-960)+120,9999))))))))</f>
        <v>9999</v>
      </c>
      <c r="AW46">
        <f>IF(AND('(橫掃)RX Mapping'!AW46&gt;=1,'(橫掃)RX Mapping'!AW46&lt;=120), ('(橫掃)RX Mapping'!AW46-1),IF(AND('(橫掃)RX Mapping'!AW46&gt;=121,'(橫掃)RX Mapping'!AW46&lt;=240), (-1)*('(橫掃)RX Mapping'!AW46-240),IF(AND('(橫掃)RX Mapping'!AW46&gt;=241,'(橫掃)RX Mapping'!AW46&lt;=360), ('(橫掃)RX Mapping'!AW46-241),IF(AND('(橫掃)RX Mapping'!AW46&gt;=361,'(橫掃)RX Mapping'!AW46&lt;=480), (-1)*('(橫掃)RX Mapping'!AW46-480),IF(AND('(橫掃)RX Mapping'!AW46&gt;=481,'(橫掃)RX Mapping'!AW46&lt;=600), ('(橫掃)RX Mapping'!AW46-361),IF(AND('(橫掃)RX Mapping'!AW46&gt;=601,'(橫掃)RX Mapping'!AW46&lt;=720), (-1)*('(橫掃)RX Mapping'!AW46-720)+120,IF(AND('(橫掃)RX Mapping'!AW46&gt;=721,'(橫掃)RX Mapping'!AW46&lt;=840), ('(橫掃)RX Mapping'!AW46-601),IF(AND('(橫掃)RX Mapping'!AW46&gt;=841,'(橫掃)RX Mapping'!AW46&lt;=960), (-1)*('(橫掃)RX Mapping'!AW46-960)+120,9999))))))))</f>
        <v>9999</v>
      </c>
      <c r="AX46">
        <f>IF(AND('(橫掃)RX Mapping'!AX46&gt;=1,'(橫掃)RX Mapping'!AX46&lt;=120), ('(橫掃)RX Mapping'!AX46-1),IF(AND('(橫掃)RX Mapping'!AX46&gt;=121,'(橫掃)RX Mapping'!AX46&lt;=240), (-1)*('(橫掃)RX Mapping'!AX46-240),IF(AND('(橫掃)RX Mapping'!AX46&gt;=241,'(橫掃)RX Mapping'!AX46&lt;=360), ('(橫掃)RX Mapping'!AX46-241),IF(AND('(橫掃)RX Mapping'!AX46&gt;=361,'(橫掃)RX Mapping'!AX46&lt;=480), (-1)*('(橫掃)RX Mapping'!AX46-480),IF(AND('(橫掃)RX Mapping'!AX46&gt;=481,'(橫掃)RX Mapping'!AX46&lt;=600), ('(橫掃)RX Mapping'!AX46-361),IF(AND('(橫掃)RX Mapping'!AX46&gt;=601,'(橫掃)RX Mapping'!AX46&lt;=720), (-1)*('(橫掃)RX Mapping'!AX46-720)+120,IF(AND('(橫掃)RX Mapping'!AX46&gt;=721,'(橫掃)RX Mapping'!AX46&lt;=840), ('(橫掃)RX Mapping'!AX46-601),IF(AND('(橫掃)RX Mapping'!AX46&gt;=841,'(橫掃)RX Mapping'!AX46&lt;=960), (-1)*('(橫掃)RX Mapping'!AX46-960)+120,9999))))))))</f>
        <v>9999</v>
      </c>
      <c r="AY46">
        <f>IF(AND('(橫掃)RX Mapping'!AY46&gt;=1,'(橫掃)RX Mapping'!AY46&lt;=120), ('(橫掃)RX Mapping'!AY46-1),IF(AND('(橫掃)RX Mapping'!AY46&gt;=121,'(橫掃)RX Mapping'!AY46&lt;=240), (-1)*('(橫掃)RX Mapping'!AY46-240),IF(AND('(橫掃)RX Mapping'!AY46&gt;=241,'(橫掃)RX Mapping'!AY46&lt;=360), ('(橫掃)RX Mapping'!AY46-241),IF(AND('(橫掃)RX Mapping'!AY46&gt;=361,'(橫掃)RX Mapping'!AY46&lt;=480), (-1)*('(橫掃)RX Mapping'!AY46-480),IF(AND('(橫掃)RX Mapping'!AY46&gt;=481,'(橫掃)RX Mapping'!AY46&lt;=600), ('(橫掃)RX Mapping'!AY46-361),IF(AND('(橫掃)RX Mapping'!AY46&gt;=601,'(橫掃)RX Mapping'!AY46&lt;=720), (-1)*('(橫掃)RX Mapping'!AY46-720)+120,IF(AND('(橫掃)RX Mapping'!AY46&gt;=721,'(橫掃)RX Mapping'!AY46&lt;=840), ('(橫掃)RX Mapping'!AY46-601),IF(AND('(橫掃)RX Mapping'!AY46&gt;=841,'(橫掃)RX Mapping'!AY46&lt;=960), (-1)*('(橫掃)RX Mapping'!AY46-960)+120,9999))))))))</f>
        <v>9999</v>
      </c>
      <c r="AZ46">
        <f>IF(AND('(橫掃)RX Mapping'!AZ46&gt;=1,'(橫掃)RX Mapping'!AZ46&lt;=120), ('(橫掃)RX Mapping'!AZ46-1),IF(AND('(橫掃)RX Mapping'!AZ46&gt;=121,'(橫掃)RX Mapping'!AZ46&lt;=240), (-1)*('(橫掃)RX Mapping'!AZ46-240),IF(AND('(橫掃)RX Mapping'!AZ46&gt;=241,'(橫掃)RX Mapping'!AZ46&lt;=360), ('(橫掃)RX Mapping'!AZ46-241),IF(AND('(橫掃)RX Mapping'!AZ46&gt;=361,'(橫掃)RX Mapping'!AZ46&lt;=480), (-1)*('(橫掃)RX Mapping'!AZ46-480),IF(AND('(橫掃)RX Mapping'!AZ46&gt;=481,'(橫掃)RX Mapping'!AZ46&lt;=600), ('(橫掃)RX Mapping'!AZ46-361),IF(AND('(橫掃)RX Mapping'!AZ46&gt;=601,'(橫掃)RX Mapping'!AZ46&lt;=720), (-1)*('(橫掃)RX Mapping'!AZ46-720)+120,IF(AND('(橫掃)RX Mapping'!AZ46&gt;=721,'(橫掃)RX Mapping'!AZ46&lt;=840), ('(橫掃)RX Mapping'!AZ46-601),IF(AND('(橫掃)RX Mapping'!AZ46&gt;=841,'(橫掃)RX Mapping'!AZ46&lt;=960), (-1)*('(橫掃)RX Mapping'!AZ46-960)+120,9999))))))))</f>
        <v>9999</v>
      </c>
      <c r="BA46">
        <f>IF(AND('(橫掃)RX Mapping'!BA46&gt;=1,'(橫掃)RX Mapping'!BA46&lt;=120), ('(橫掃)RX Mapping'!BA46-1),IF(AND('(橫掃)RX Mapping'!BA46&gt;=121,'(橫掃)RX Mapping'!BA46&lt;=240), (-1)*('(橫掃)RX Mapping'!BA46-240),IF(AND('(橫掃)RX Mapping'!BA46&gt;=241,'(橫掃)RX Mapping'!BA46&lt;=360), ('(橫掃)RX Mapping'!BA46-241),IF(AND('(橫掃)RX Mapping'!BA46&gt;=361,'(橫掃)RX Mapping'!BA46&lt;=480), (-1)*('(橫掃)RX Mapping'!BA46-480),IF(AND('(橫掃)RX Mapping'!BA46&gt;=481,'(橫掃)RX Mapping'!BA46&lt;=600), ('(橫掃)RX Mapping'!BA46-361),IF(AND('(橫掃)RX Mapping'!BA46&gt;=601,'(橫掃)RX Mapping'!BA46&lt;=720), (-1)*('(橫掃)RX Mapping'!BA46-720)+120,IF(AND('(橫掃)RX Mapping'!BA46&gt;=721,'(橫掃)RX Mapping'!BA46&lt;=840), ('(橫掃)RX Mapping'!BA46-601),IF(AND('(橫掃)RX Mapping'!BA46&gt;=841,'(橫掃)RX Mapping'!BA46&lt;=960), (-1)*('(橫掃)RX Mapping'!BA46-960)+120,9999))))))))</f>
        <v>9999</v>
      </c>
      <c r="BB46">
        <f>IF(AND('(橫掃)RX Mapping'!BB46&gt;=1,'(橫掃)RX Mapping'!BB46&lt;=120), ('(橫掃)RX Mapping'!BB46-1),IF(AND('(橫掃)RX Mapping'!BB46&gt;=121,'(橫掃)RX Mapping'!BB46&lt;=240), (-1)*('(橫掃)RX Mapping'!BB46-240),IF(AND('(橫掃)RX Mapping'!BB46&gt;=241,'(橫掃)RX Mapping'!BB46&lt;=360), ('(橫掃)RX Mapping'!BB46-241),IF(AND('(橫掃)RX Mapping'!BB46&gt;=361,'(橫掃)RX Mapping'!BB46&lt;=480), (-1)*('(橫掃)RX Mapping'!BB46-480),IF(AND('(橫掃)RX Mapping'!BB46&gt;=481,'(橫掃)RX Mapping'!BB46&lt;=600), ('(橫掃)RX Mapping'!BB46-361),IF(AND('(橫掃)RX Mapping'!BB46&gt;=601,'(橫掃)RX Mapping'!BB46&lt;=720), (-1)*('(橫掃)RX Mapping'!BB46-720)+120,IF(AND('(橫掃)RX Mapping'!BB46&gt;=721,'(橫掃)RX Mapping'!BB46&lt;=840), ('(橫掃)RX Mapping'!BB46-601),IF(AND('(橫掃)RX Mapping'!BB46&gt;=841,'(橫掃)RX Mapping'!BB46&lt;=960), (-1)*('(橫掃)RX Mapping'!BB46-960)+120,9999))))))))</f>
        <v>9999</v>
      </c>
      <c r="BC46">
        <f>IF(AND('(橫掃)RX Mapping'!BC46&gt;=1,'(橫掃)RX Mapping'!BC46&lt;=120), ('(橫掃)RX Mapping'!BC46-1),IF(AND('(橫掃)RX Mapping'!BC46&gt;=121,'(橫掃)RX Mapping'!BC46&lt;=240), (-1)*('(橫掃)RX Mapping'!BC46-240),IF(AND('(橫掃)RX Mapping'!BC46&gt;=241,'(橫掃)RX Mapping'!BC46&lt;=360), ('(橫掃)RX Mapping'!BC46-241),IF(AND('(橫掃)RX Mapping'!BC46&gt;=361,'(橫掃)RX Mapping'!BC46&lt;=480), (-1)*('(橫掃)RX Mapping'!BC46-480),IF(AND('(橫掃)RX Mapping'!BC46&gt;=481,'(橫掃)RX Mapping'!BC46&lt;=600), ('(橫掃)RX Mapping'!BC46-361),IF(AND('(橫掃)RX Mapping'!BC46&gt;=601,'(橫掃)RX Mapping'!BC46&lt;=720), (-1)*('(橫掃)RX Mapping'!BC46-720)+120,IF(AND('(橫掃)RX Mapping'!BC46&gt;=721,'(橫掃)RX Mapping'!BC46&lt;=840), ('(橫掃)RX Mapping'!BC46-601),IF(AND('(橫掃)RX Mapping'!BC46&gt;=841,'(橫掃)RX Mapping'!BC46&lt;=960), (-1)*('(橫掃)RX Mapping'!BC46-960)+120,9999))))))))</f>
        <v>9999</v>
      </c>
      <c r="BD46">
        <f>IF(AND('(橫掃)RX Mapping'!BD46&gt;=1,'(橫掃)RX Mapping'!BD46&lt;=120), ('(橫掃)RX Mapping'!BD46-1),IF(AND('(橫掃)RX Mapping'!BD46&gt;=121,'(橫掃)RX Mapping'!BD46&lt;=240), (-1)*('(橫掃)RX Mapping'!BD46-240),IF(AND('(橫掃)RX Mapping'!BD46&gt;=241,'(橫掃)RX Mapping'!BD46&lt;=360), ('(橫掃)RX Mapping'!BD46-241),IF(AND('(橫掃)RX Mapping'!BD46&gt;=361,'(橫掃)RX Mapping'!BD46&lt;=480), (-1)*('(橫掃)RX Mapping'!BD46-480),IF(AND('(橫掃)RX Mapping'!BD46&gt;=481,'(橫掃)RX Mapping'!BD46&lt;=600), ('(橫掃)RX Mapping'!BD46-361),IF(AND('(橫掃)RX Mapping'!BD46&gt;=601,'(橫掃)RX Mapping'!BD46&lt;=720), (-1)*('(橫掃)RX Mapping'!BD46-720)+120,IF(AND('(橫掃)RX Mapping'!BD46&gt;=721,'(橫掃)RX Mapping'!BD46&lt;=840), ('(橫掃)RX Mapping'!BD46-601),IF(AND('(橫掃)RX Mapping'!BD46&gt;=841,'(橫掃)RX Mapping'!BD46&lt;=960), (-1)*('(橫掃)RX Mapping'!BD46-960)+120,9999))))))))</f>
        <v>9999</v>
      </c>
      <c r="BE46">
        <f>IF(AND('(橫掃)RX Mapping'!BE46&gt;=1,'(橫掃)RX Mapping'!BE46&lt;=120), ('(橫掃)RX Mapping'!BE46-1),IF(AND('(橫掃)RX Mapping'!BE46&gt;=121,'(橫掃)RX Mapping'!BE46&lt;=240), (-1)*('(橫掃)RX Mapping'!BE46-240),IF(AND('(橫掃)RX Mapping'!BE46&gt;=241,'(橫掃)RX Mapping'!BE46&lt;=360), ('(橫掃)RX Mapping'!BE46-241),IF(AND('(橫掃)RX Mapping'!BE46&gt;=361,'(橫掃)RX Mapping'!BE46&lt;=480), (-1)*('(橫掃)RX Mapping'!BE46-480),IF(AND('(橫掃)RX Mapping'!BE46&gt;=481,'(橫掃)RX Mapping'!BE46&lt;=600), ('(橫掃)RX Mapping'!BE46-361),IF(AND('(橫掃)RX Mapping'!BE46&gt;=601,'(橫掃)RX Mapping'!BE46&lt;=720), (-1)*('(橫掃)RX Mapping'!BE46-720)+120,IF(AND('(橫掃)RX Mapping'!BE46&gt;=721,'(橫掃)RX Mapping'!BE46&lt;=840), ('(橫掃)RX Mapping'!BE46-601),IF(AND('(橫掃)RX Mapping'!BE46&gt;=841,'(橫掃)RX Mapping'!BE46&lt;=960), (-1)*('(橫掃)RX Mapping'!BE46-960)+120,9999))))))))</f>
        <v>9999</v>
      </c>
      <c r="BF46">
        <f>IF(AND('(橫掃)RX Mapping'!BF46&gt;=1,'(橫掃)RX Mapping'!BF46&lt;=120), ('(橫掃)RX Mapping'!BF46-1),IF(AND('(橫掃)RX Mapping'!BF46&gt;=121,'(橫掃)RX Mapping'!BF46&lt;=240), (-1)*('(橫掃)RX Mapping'!BF46-240),IF(AND('(橫掃)RX Mapping'!BF46&gt;=241,'(橫掃)RX Mapping'!BF46&lt;=360), ('(橫掃)RX Mapping'!BF46-241),IF(AND('(橫掃)RX Mapping'!BF46&gt;=361,'(橫掃)RX Mapping'!BF46&lt;=480), (-1)*('(橫掃)RX Mapping'!BF46-480),IF(AND('(橫掃)RX Mapping'!BF46&gt;=481,'(橫掃)RX Mapping'!BF46&lt;=600), ('(橫掃)RX Mapping'!BF46-361),IF(AND('(橫掃)RX Mapping'!BF46&gt;=601,'(橫掃)RX Mapping'!BF46&lt;=720), (-1)*('(橫掃)RX Mapping'!BF46-720)+120,IF(AND('(橫掃)RX Mapping'!BF46&gt;=721,'(橫掃)RX Mapping'!BF46&lt;=840), ('(橫掃)RX Mapping'!BF46-601),IF(AND('(橫掃)RX Mapping'!BF46&gt;=841,'(橫掃)RX Mapping'!BF46&lt;=960), (-1)*('(橫掃)RX Mapping'!BF46-960)+120,9999))))))))</f>
        <v>9999</v>
      </c>
      <c r="BG46">
        <f>IF(AND('(橫掃)RX Mapping'!BG46&gt;=1,'(橫掃)RX Mapping'!BG46&lt;=120), ('(橫掃)RX Mapping'!BG46-1),IF(AND('(橫掃)RX Mapping'!BG46&gt;=121,'(橫掃)RX Mapping'!BG46&lt;=240), (-1)*('(橫掃)RX Mapping'!BG46-240),IF(AND('(橫掃)RX Mapping'!BG46&gt;=241,'(橫掃)RX Mapping'!BG46&lt;=360), ('(橫掃)RX Mapping'!BG46-241),IF(AND('(橫掃)RX Mapping'!BG46&gt;=361,'(橫掃)RX Mapping'!BG46&lt;=480), (-1)*('(橫掃)RX Mapping'!BG46-480),IF(AND('(橫掃)RX Mapping'!BG46&gt;=481,'(橫掃)RX Mapping'!BG46&lt;=600), ('(橫掃)RX Mapping'!BG46-361),IF(AND('(橫掃)RX Mapping'!BG46&gt;=601,'(橫掃)RX Mapping'!BG46&lt;=720), (-1)*('(橫掃)RX Mapping'!BG46-720)+120,IF(AND('(橫掃)RX Mapping'!BG46&gt;=721,'(橫掃)RX Mapping'!BG46&lt;=840), ('(橫掃)RX Mapping'!BG46-601),IF(AND('(橫掃)RX Mapping'!BG46&gt;=841,'(橫掃)RX Mapping'!BG46&lt;=960), (-1)*('(橫掃)RX Mapping'!BG46-960)+120,9999))))))))</f>
        <v>9999</v>
      </c>
      <c r="BH46">
        <f>IF(AND('(橫掃)RX Mapping'!BH46&gt;=1,'(橫掃)RX Mapping'!BH46&lt;=120), ('(橫掃)RX Mapping'!BH46-1),IF(AND('(橫掃)RX Mapping'!BH46&gt;=121,'(橫掃)RX Mapping'!BH46&lt;=240), (-1)*('(橫掃)RX Mapping'!BH46-240),IF(AND('(橫掃)RX Mapping'!BH46&gt;=241,'(橫掃)RX Mapping'!BH46&lt;=360), ('(橫掃)RX Mapping'!BH46-241),IF(AND('(橫掃)RX Mapping'!BH46&gt;=361,'(橫掃)RX Mapping'!BH46&lt;=480), (-1)*('(橫掃)RX Mapping'!BH46-480),IF(AND('(橫掃)RX Mapping'!BH46&gt;=481,'(橫掃)RX Mapping'!BH46&lt;=600), ('(橫掃)RX Mapping'!BH46-361),IF(AND('(橫掃)RX Mapping'!BH46&gt;=601,'(橫掃)RX Mapping'!BH46&lt;=720), (-1)*('(橫掃)RX Mapping'!BH46-720)+120,IF(AND('(橫掃)RX Mapping'!BH46&gt;=721,'(橫掃)RX Mapping'!BH46&lt;=840), ('(橫掃)RX Mapping'!BH46-601),IF(AND('(橫掃)RX Mapping'!BH46&gt;=841,'(橫掃)RX Mapping'!BH46&lt;=960), (-1)*('(橫掃)RX Mapping'!BH46-960)+120,9999))))))))</f>
        <v>9999</v>
      </c>
      <c r="BI46">
        <f>IF(AND('(橫掃)RX Mapping'!BI46&gt;=1,'(橫掃)RX Mapping'!BI46&lt;=120), ('(橫掃)RX Mapping'!BI46-1),IF(AND('(橫掃)RX Mapping'!BI46&gt;=121,'(橫掃)RX Mapping'!BI46&lt;=240), (-1)*('(橫掃)RX Mapping'!BI46-240),IF(AND('(橫掃)RX Mapping'!BI46&gt;=241,'(橫掃)RX Mapping'!BI46&lt;=360), ('(橫掃)RX Mapping'!BI46-241),IF(AND('(橫掃)RX Mapping'!BI46&gt;=361,'(橫掃)RX Mapping'!BI46&lt;=480), (-1)*('(橫掃)RX Mapping'!BI46-480),IF(AND('(橫掃)RX Mapping'!BI46&gt;=481,'(橫掃)RX Mapping'!BI46&lt;=600), ('(橫掃)RX Mapping'!BI46-361),IF(AND('(橫掃)RX Mapping'!BI46&gt;=601,'(橫掃)RX Mapping'!BI46&lt;=720), (-1)*('(橫掃)RX Mapping'!BI46-720)+120,IF(AND('(橫掃)RX Mapping'!BI46&gt;=721,'(橫掃)RX Mapping'!BI46&lt;=840), ('(橫掃)RX Mapping'!BI46-601),IF(AND('(橫掃)RX Mapping'!BI46&gt;=841,'(橫掃)RX Mapping'!BI46&lt;=960), (-1)*('(橫掃)RX Mapping'!BI46-960)+120,9999))))))))</f>
        <v>9999</v>
      </c>
    </row>
    <row r="47" spans="1:61" x14ac:dyDescent="0.25">
      <c r="A47" s="20">
        <v>46</v>
      </c>
      <c r="B47">
        <f>IF(AND('(橫掃)RX Mapping'!B47&gt;=1,'(橫掃)RX Mapping'!B47&lt;=120), ('(橫掃)RX Mapping'!B47-1),IF(AND('(橫掃)RX Mapping'!B47&gt;=121,'(橫掃)RX Mapping'!B47&lt;=240), (-1)*('(橫掃)RX Mapping'!B47-240),IF(AND('(橫掃)RX Mapping'!B47&gt;=241,'(橫掃)RX Mapping'!B47&lt;=360), ('(橫掃)RX Mapping'!B47-241),IF(AND('(橫掃)RX Mapping'!B47&gt;=361,'(橫掃)RX Mapping'!B47&lt;=480), (-1)*('(橫掃)RX Mapping'!B47-480),IF(AND('(橫掃)RX Mapping'!B47&gt;=481,'(橫掃)RX Mapping'!B47&lt;=600), ('(橫掃)RX Mapping'!B47-361),IF(AND('(橫掃)RX Mapping'!B47&gt;=601,'(橫掃)RX Mapping'!B47&lt;=720), (-1)*('(橫掃)RX Mapping'!B47-720)+120,IF(AND('(橫掃)RX Mapping'!B47&gt;=721,'(橫掃)RX Mapping'!B47&lt;=840), ('(橫掃)RX Mapping'!B47-601),IF(AND('(橫掃)RX Mapping'!B47&gt;=841,'(橫掃)RX Mapping'!B47&lt;=960), (-1)*('(橫掃)RX Mapping'!B47-960)+120,9999))))))))</f>
        <v>9999</v>
      </c>
      <c r="C47">
        <f>IF(AND('(橫掃)RX Mapping'!C47&gt;=1,'(橫掃)RX Mapping'!C47&lt;=120), ('(橫掃)RX Mapping'!C47-1),IF(AND('(橫掃)RX Mapping'!C47&gt;=121,'(橫掃)RX Mapping'!C47&lt;=240), (-1)*('(橫掃)RX Mapping'!C47-240),IF(AND('(橫掃)RX Mapping'!C47&gt;=241,'(橫掃)RX Mapping'!C47&lt;=360), ('(橫掃)RX Mapping'!C47-241),IF(AND('(橫掃)RX Mapping'!C47&gt;=361,'(橫掃)RX Mapping'!C47&lt;=480), (-1)*('(橫掃)RX Mapping'!C47-480),IF(AND('(橫掃)RX Mapping'!C47&gt;=481,'(橫掃)RX Mapping'!C47&lt;=600), ('(橫掃)RX Mapping'!C47-361),IF(AND('(橫掃)RX Mapping'!C47&gt;=601,'(橫掃)RX Mapping'!C47&lt;=720), (-1)*('(橫掃)RX Mapping'!C47-720)+120,IF(AND('(橫掃)RX Mapping'!C47&gt;=721,'(橫掃)RX Mapping'!C47&lt;=840), ('(橫掃)RX Mapping'!C47-601),IF(AND('(橫掃)RX Mapping'!C47&gt;=841,'(橫掃)RX Mapping'!C47&lt;=960), (-1)*('(橫掃)RX Mapping'!C47-960)+120,9999))))))))</f>
        <v>9999</v>
      </c>
      <c r="D47">
        <f>IF(AND('(橫掃)RX Mapping'!D47&gt;=1,'(橫掃)RX Mapping'!D47&lt;=120), ('(橫掃)RX Mapping'!D47-1),IF(AND('(橫掃)RX Mapping'!D47&gt;=121,'(橫掃)RX Mapping'!D47&lt;=240), (-1)*('(橫掃)RX Mapping'!D47-240),IF(AND('(橫掃)RX Mapping'!D47&gt;=241,'(橫掃)RX Mapping'!D47&lt;=360), ('(橫掃)RX Mapping'!D47-241),IF(AND('(橫掃)RX Mapping'!D47&gt;=361,'(橫掃)RX Mapping'!D47&lt;=480), (-1)*('(橫掃)RX Mapping'!D47-480),IF(AND('(橫掃)RX Mapping'!D47&gt;=481,'(橫掃)RX Mapping'!D47&lt;=600), ('(橫掃)RX Mapping'!D47-361),IF(AND('(橫掃)RX Mapping'!D47&gt;=601,'(橫掃)RX Mapping'!D47&lt;=720), (-1)*('(橫掃)RX Mapping'!D47-720)+120,IF(AND('(橫掃)RX Mapping'!D47&gt;=721,'(橫掃)RX Mapping'!D47&lt;=840), ('(橫掃)RX Mapping'!D47-601),IF(AND('(橫掃)RX Mapping'!D47&gt;=841,'(橫掃)RX Mapping'!D47&lt;=960), (-1)*('(橫掃)RX Mapping'!D47-960)+120,9999))))))))</f>
        <v>9999</v>
      </c>
      <c r="E47">
        <f>IF(AND('(橫掃)RX Mapping'!E47&gt;=1,'(橫掃)RX Mapping'!E47&lt;=120), ('(橫掃)RX Mapping'!E47-1),IF(AND('(橫掃)RX Mapping'!E47&gt;=121,'(橫掃)RX Mapping'!E47&lt;=240), (-1)*('(橫掃)RX Mapping'!E47-240),IF(AND('(橫掃)RX Mapping'!E47&gt;=241,'(橫掃)RX Mapping'!E47&lt;=360), ('(橫掃)RX Mapping'!E47-241),IF(AND('(橫掃)RX Mapping'!E47&gt;=361,'(橫掃)RX Mapping'!E47&lt;=480), (-1)*('(橫掃)RX Mapping'!E47-480),IF(AND('(橫掃)RX Mapping'!E47&gt;=481,'(橫掃)RX Mapping'!E47&lt;=600), ('(橫掃)RX Mapping'!E47-361),IF(AND('(橫掃)RX Mapping'!E47&gt;=601,'(橫掃)RX Mapping'!E47&lt;=720), (-1)*('(橫掃)RX Mapping'!E47-720)+120,IF(AND('(橫掃)RX Mapping'!E47&gt;=721,'(橫掃)RX Mapping'!E47&lt;=840), ('(橫掃)RX Mapping'!E47-601),IF(AND('(橫掃)RX Mapping'!E47&gt;=841,'(橫掃)RX Mapping'!E47&lt;=960), (-1)*('(橫掃)RX Mapping'!E47-960)+120,9999))))))))</f>
        <v>9999</v>
      </c>
      <c r="F47">
        <f>IF(AND('(橫掃)RX Mapping'!F47&gt;=1,'(橫掃)RX Mapping'!F47&lt;=120), ('(橫掃)RX Mapping'!F47-1),IF(AND('(橫掃)RX Mapping'!F47&gt;=121,'(橫掃)RX Mapping'!F47&lt;=240), (-1)*('(橫掃)RX Mapping'!F47-240),IF(AND('(橫掃)RX Mapping'!F47&gt;=241,'(橫掃)RX Mapping'!F47&lt;=360), ('(橫掃)RX Mapping'!F47-241),IF(AND('(橫掃)RX Mapping'!F47&gt;=361,'(橫掃)RX Mapping'!F47&lt;=480), (-1)*('(橫掃)RX Mapping'!F47-480),IF(AND('(橫掃)RX Mapping'!F47&gt;=481,'(橫掃)RX Mapping'!F47&lt;=600), ('(橫掃)RX Mapping'!F47-361),IF(AND('(橫掃)RX Mapping'!F47&gt;=601,'(橫掃)RX Mapping'!F47&lt;=720), (-1)*('(橫掃)RX Mapping'!F47-720)+120,IF(AND('(橫掃)RX Mapping'!F47&gt;=721,'(橫掃)RX Mapping'!F47&lt;=840), ('(橫掃)RX Mapping'!F47-601),IF(AND('(橫掃)RX Mapping'!F47&gt;=841,'(橫掃)RX Mapping'!F47&lt;=960), (-1)*('(橫掃)RX Mapping'!F47-960)+120,9999))))))))</f>
        <v>9999</v>
      </c>
      <c r="G47">
        <f>IF(AND('(橫掃)RX Mapping'!G47&gt;=1,'(橫掃)RX Mapping'!G47&lt;=120), ('(橫掃)RX Mapping'!G47-1),IF(AND('(橫掃)RX Mapping'!G47&gt;=121,'(橫掃)RX Mapping'!G47&lt;=240), (-1)*('(橫掃)RX Mapping'!G47-240),IF(AND('(橫掃)RX Mapping'!G47&gt;=241,'(橫掃)RX Mapping'!G47&lt;=360), ('(橫掃)RX Mapping'!G47-241),IF(AND('(橫掃)RX Mapping'!G47&gt;=361,'(橫掃)RX Mapping'!G47&lt;=480), (-1)*('(橫掃)RX Mapping'!G47-480),IF(AND('(橫掃)RX Mapping'!G47&gt;=481,'(橫掃)RX Mapping'!G47&lt;=600), ('(橫掃)RX Mapping'!G47-361),IF(AND('(橫掃)RX Mapping'!G47&gt;=601,'(橫掃)RX Mapping'!G47&lt;=720), (-1)*('(橫掃)RX Mapping'!G47-720)+120,IF(AND('(橫掃)RX Mapping'!G47&gt;=721,'(橫掃)RX Mapping'!G47&lt;=840), ('(橫掃)RX Mapping'!G47-601),IF(AND('(橫掃)RX Mapping'!G47&gt;=841,'(橫掃)RX Mapping'!G47&lt;=960), (-1)*('(橫掃)RX Mapping'!G47-960)+120,9999))))))))</f>
        <v>9999</v>
      </c>
      <c r="H47">
        <f>IF(AND('(橫掃)RX Mapping'!H47&gt;=1,'(橫掃)RX Mapping'!H47&lt;=120), ('(橫掃)RX Mapping'!H47-1),IF(AND('(橫掃)RX Mapping'!H47&gt;=121,'(橫掃)RX Mapping'!H47&lt;=240), (-1)*('(橫掃)RX Mapping'!H47-240),IF(AND('(橫掃)RX Mapping'!H47&gt;=241,'(橫掃)RX Mapping'!H47&lt;=360), ('(橫掃)RX Mapping'!H47-241),IF(AND('(橫掃)RX Mapping'!H47&gt;=361,'(橫掃)RX Mapping'!H47&lt;=480), (-1)*('(橫掃)RX Mapping'!H47-480),IF(AND('(橫掃)RX Mapping'!H47&gt;=481,'(橫掃)RX Mapping'!H47&lt;=600), ('(橫掃)RX Mapping'!H47-361),IF(AND('(橫掃)RX Mapping'!H47&gt;=601,'(橫掃)RX Mapping'!H47&lt;=720), (-1)*('(橫掃)RX Mapping'!H47-720)+120,IF(AND('(橫掃)RX Mapping'!H47&gt;=721,'(橫掃)RX Mapping'!H47&lt;=840), ('(橫掃)RX Mapping'!H47-601),IF(AND('(橫掃)RX Mapping'!H47&gt;=841,'(橫掃)RX Mapping'!H47&lt;=960), (-1)*('(橫掃)RX Mapping'!H47-960)+120,9999))))))))</f>
        <v>9999</v>
      </c>
      <c r="I47">
        <f>IF(AND('(橫掃)RX Mapping'!I47&gt;=1,'(橫掃)RX Mapping'!I47&lt;=120), ('(橫掃)RX Mapping'!I47-1),IF(AND('(橫掃)RX Mapping'!I47&gt;=121,'(橫掃)RX Mapping'!I47&lt;=240), (-1)*('(橫掃)RX Mapping'!I47-240),IF(AND('(橫掃)RX Mapping'!I47&gt;=241,'(橫掃)RX Mapping'!I47&lt;=360), ('(橫掃)RX Mapping'!I47-241),IF(AND('(橫掃)RX Mapping'!I47&gt;=361,'(橫掃)RX Mapping'!I47&lt;=480), (-1)*('(橫掃)RX Mapping'!I47-480),IF(AND('(橫掃)RX Mapping'!I47&gt;=481,'(橫掃)RX Mapping'!I47&lt;=600), ('(橫掃)RX Mapping'!I47-361),IF(AND('(橫掃)RX Mapping'!I47&gt;=601,'(橫掃)RX Mapping'!I47&lt;=720), (-1)*('(橫掃)RX Mapping'!I47-720)+120,IF(AND('(橫掃)RX Mapping'!I47&gt;=721,'(橫掃)RX Mapping'!I47&lt;=840), ('(橫掃)RX Mapping'!I47-601),IF(AND('(橫掃)RX Mapping'!I47&gt;=841,'(橫掃)RX Mapping'!I47&lt;=960), (-1)*('(橫掃)RX Mapping'!I47-960)+120,9999))))))))</f>
        <v>9999</v>
      </c>
      <c r="J47">
        <f>IF(AND('(橫掃)RX Mapping'!J47&gt;=1,'(橫掃)RX Mapping'!J47&lt;=120), ('(橫掃)RX Mapping'!J47-1),IF(AND('(橫掃)RX Mapping'!J47&gt;=121,'(橫掃)RX Mapping'!J47&lt;=240), (-1)*('(橫掃)RX Mapping'!J47-240),IF(AND('(橫掃)RX Mapping'!J47&gt;=241,'(橫掃)RX Mapping'!J47&lt;=360), ('(橫掃)RX Mapping'!J47-241),IF(AND('(橫掃)RX Mapping'!J47&gt;=361,'(橫掃)RX Mapping'!J47&lt;=480), (-1)*('(橫掃)RX Mapping'!J47-480),IF(AND('(橫掃)RX Mapping'!J47&gt;=481,'(橫掃)RX Mapping'!J47&lt;=600), ('(橫掃)RX Mapping'!J47-361),IF(AND('(橫掃)RX Mapping'!J47&gt;=601,'(橫掃)RX Mapping'!J47&lt;=720), (-1)*('(橫掃)RX Mapping'!J47-720)+120,IF(AND('(橫掃)RX Mapping'!J47&gt;=721,'(橫掃)RX Mapping'!J47&lt;=840), ('(橫掃)RX Mapping'!J47-601),IF(AND('(橫掃)RX Mapping'!J47&gt;=841,'(橫掃)RX Mapping'!J47&lt;=960), (-1)*('(橫掃)RX Mapping'!J47-960)+120,9999))))))))</f>
        <v>9999</v>
      </c>
      <c r="K47">
        <f>IF(AND('(橫掃)RX Mapping'!K47&gt;=1,'(橫掃)RX Mapping'!K47&lt;=120), ('(橫掃)RX Mapping'!K47-1),IF(AND('(橫掃)RX Mapping'!K47&gt;=121,'(橫掃)RX Mapping'!K47&lt;=240), (-1)*('(橫掃)RX Mapping'!K47-240),IF(AND('(橫掃)RX Mapping'!K47&gt;=241,'(橫掃)RX Mapping'!K47&lt;=360), ('(橫掃)RX Mapping'!K47-241),IF(AND('(橫掃)RX Mapping'!K47&gt;=361,'(橫掃)RX Mapping'!K47&lt;=480), (-1)*('(橫掃)RX Mapping'!K47-480),IF(AND('(橫掃)RX Mapping'!K47&gt;=481,'(橫掃)RX Mapping'!K47&lt;=600), ('(橫掃)RX Mapping'!K47-361),IF(AND('(橫掃)RX Mapping'!K47&gt;=601,'(橫掃)RX Mapping'!K47&lt;=720), (-1)*('(橫掃)RX Mapping'!K47-720)+120,IF(AND('(橫掃)RX Mapping'!K47&gt;=721,'(橫掃)RX Mapping'!K47&lt;=840), ('(橫掃)RX Mapping'!K47-601),IF(AND('(橫掃)RX Mapping'!K47&gt;=841,'(橫掃)RX Mapping'!K47&lt;=960), (-1)*('(橫掃)RX Mapping'!K47-960)+120,9999))))))))</f>
        <v>9999</v>
      </c>
      <c r="L47">
        <f>IF(AND('(橫掃)RX Mapping'!L47&gt;=1,'(橫掃)RX Mapping'!L47&lt;=120), ('(橫掃)RX Mapping'!L47-1),IF(AND('(橫掃)RX Mapping'!L47&gt;=121,'(橫掃)RX Mapping'!L47&lt;=240), (-1)*('(橫掃)RX Mapping'!L47-240),IF(AND('(橫掃)RX Mapping'!L47&gt;=241,'(橫掃)RX Mapping'!L47&lt;=360), ('(橫掃)RX Mapping'!L47-241),IF(AND('(橫掃)RX Mapping'!L47&gt;=361,'(橫掃)RX Mapping'!L47&lt;=480), (-1)*('(橫掃)RX Mapping'!L47-480),IF(AND('(橫掃)RX Mapping'!L47&gt;=481,'(橫掃)RX Mapping'!L47&lt;=600), ('(橫掃)RX Mapping'!L47-361),IF(AND('(橫掃)RX Mapping'!L47&gt;=601,'(橫掃)RX Mapping'!L47&lt;=720), (-1)*('(橫掃)RX Mapping'!L47-720)+120,IF(AND('(橫掃)RX Mapping'!L47&gt;=721,'(橫掃)RX Mapping'!L47&lt;=840), ('(橫掃)RX Mapping'!L47-601),IF(AND('(橫掃)RX Mapping'!L47&gt;=841,'(橫掃)RX Mapping'!L47&lt;=960), (-1)*('(橫掃)RX Mapping'!L47-960)+120,9999))))))))</f>
        <v>9999</v>
      </c>
      <c r="M47">
        <f>IF(AND('(橫掃)RX Mapping'!M47&gt;=1,'(橫掃)RX Mapping'!M47&lt;=120), ('(橫掃)RX Mapping'!M47-1),IF(AND('(橫掃)RX Mapping'!M47&gt;=121,'(橫掃)RX Mapping'!M47&lt;=240), (-1)*('(橫掃)RX Mapping'!M47-240),IF(AND('(橫掃)RX Mapping'!M47&gt;=241,'(橫掃)RX Mapping'!M47&lt;=360), ('(橫掃)RX Mapping'!M47-241),IF(AND('(橫掃)RX Mapping'!M47&gt;=361,'(橫掃)RX Mapping'!M47&lt;=480), (-1)*('(橫掃)RX Mapping'!M47-480),IF(AND('(橫掃)RX Mapping'!M47&gt;=481,'(橫掃)RX Mapping'!M47&lt;=600), ('(橫掃)RX Mapping'!M47-361),IF(AND('(橫掃)RX Mapping'!M47&gt;=601,'(橫掃)RX Mapping'!M47&lt;=720), (-1)*('(橫掃)RX Mapping'!M47-720)+120,IF(AND('(橫掃)RX Mapping'!M47&gt;=721,'(橫掃)RX Mapping'!M47&lt;=840), ('(橫掃)RX Mapping'!M47-601),IF(AND('(橫掃)RX Mapping'!M47&gt;=841,'(橫掃)RX Mapping'!M47&lt;=960), (-1)*('(橫掃)RX Mapping'!M47-960)+120,9999))))))))</f>
        <v>9999</v>
      </c>
      <c r="N47">
        <f>IF(AND('(橫掃)RX Mapping'!N47&gt;=1,'(橫掃)RX Mapping'!N47&lt;=120), ('(橫掃)RX Mapping'!N47-1),IF(AND('(橫掃)RX Mapping'!N47&gt;=121,'(橫掃)RX Mapping'!N47&lt;=240), (-1)*('(橫掃)RX Mapping'!N47-240),IF(AND('(橫掃)RX Mapping'!N47&gt;=241,'(橫掃)RX Mapping'!N47&lt;=360), ('(橫掃)RX Mapping'!N47-241),IF(AND('(橫掃)RX Mapping'!N47&gt;=361,'(橫掃)RX Mapping'!N47&lt;=480), (-1)*('(橫掃)RX Mapping'!N47-480),IF(AND('(橫掃)RX Mapping'!N47&gt;=481,'(橫掃)RX Mapping'!N47&lt;=600), ('(橫掃)RX Mapping'!N47-361),IF(AND('(橫掃)RX Mapping'!N47&gt;=601,'(橫掃)RX Mapping'!N47&lt;=720), (-1)*('(橫掃)RX Mapping'!N47-720)+120,IF(AND('(橫掃)RX Mapping'!N47&gt;=721,'(橫掃)RX Mapping'!N47&lt;=840), ('(橫掃)RX Mapping'!N47-601),IF(AND('(橫掃)RX Mapping'!N47&gt;=841,'(橫掃)RX Mapping'!N47&lt;=960), (-1)*('(橫掃)RX Mapping'!N47-960)+120,9999))))))))</f>
        <v>9999</v>
      </c>
      <c r="O47">
        <f>IF(AND('(橫掃)RX Mapping'!O47&gt;=1,'(橫掃)RX Mapping'!O47&lt;=120), ('(橫掃)RX Mapping'!O47-1),IF(AND('(橫掃)RX Mapping'!O47&gt;=121,'(橫掃)RX Mapping'!O47&lt;=240), (-1)*('(橫掃)RX Mapping'!O47-240),IF(AND('(橫掃)RX Mapping'!O47&gt;=241,'(橫掃)RX Mapping'!O47&lt;=360), ('(橫掃)RX Mapping'!O47-241),IF(AND('(橫掃)RX Mapping'!O47&gt;=361,'(橫掃)RX Mapping'!O47&lt;=480), (-1)*('(橫掃)RX Mapping'!O47-480),IF(AND('(橫掃)RX Mapping'!O47&gt;=481,'(橫掃)RX Mapping'!O47&lt;=600), ('(橫掃)RX Mapping'!O47-361),IF(AND('(橫掃)RX Mapping'!O47&gt;=601,'(橫掃)RX Mapping'!O47&lt;=720), (-1)*('(橫掃)RX Mapping'!O47-720)+120,IF(AND('(橫掃)RX Mapping'!O47&gt;=721,'(橫掃)RX Mapping'!O47&lt;=840), ('(橫掃)RX Mapping'!O47-601),IF(AND('(橫掃)RX Mapping'!O47&gt;=841,'(橫掃)RX Mapping'!O47&lt;=960), (-1)*('(橫掃)RX Mapping'!O47-960)+120,9999))))))))</f>
        <v>9999</v>
      </c>
      <c r="P47">
        <f>IF(AND('(橫掃)RX Mapping'!P47&gt;=1,'(橫掃)RX Mapping'!P47&lt;=120), ('(橫掃)RX Mapping'!P47-1),IF(AND('(橫掃)RX Mapping'!P47&gt;=121,'(橫掃)RX Mapping'!P47&lt;=240), (-1)*('(橫掃)RX Mapping'!P47-240),IF(AND('(橫掃)RX Mapping'!P47&gt;=241,'(橫掃)RX Mapping'!P47&lt;=360), ('(橫掃)RX Mapping'!P47-241),IF(AND('(橫掃)RX Mapping'!P47&gt;=361,'(橫掃)RX Mapping'!P47&lt;=480), (-1)*('(橫掃)RX Mapping'!P47-480),IF(AND('(橫掃)RX Mapping'!P47&gt;=481,'(橫掃)RX Mapping'!P47&lt;=600), ('(橫掃)RX Mapping'!P47-361),IF(AND('(橫掃)RX Mapping'!P47&gt;=601,'(橫掃)RX Mapping'!P47&lt;=720), (-1)*('(橫掃)RX Mapping'!P47-720)+120,IF(AND('(橫掃)RX Mapping'!P47&gt;=721,'(橫掃)RX Mapping'!P47&lt;=840), ('(橫掃)RX Mapping'!P47-601),IF(AND('(橫掃)RX Mapping'!P47&gt;=841,'(橫掃)RX Mapping'!P47&lt;=960), (-1)*('(橫掃)RX Mapping'!P47-960)+120,9999))))))))</f>
        <v>9999</v>
      </c>
      <c r="Q47">
        <f>IF(AND('(橫掃)RX Mapping'!Q47&gt;=1,'(橫掃)RX Mapping'!Q47&lt;=120), ('(橫掃)RX Mapping'!Q47-1),IF(AND('(橫掃)RX Mapping'!Q47&gt;=121,'(橫掃)RX Mapping'!Q47&lt;=240), (-1)*('(橫掃)RX Mapping'!Q47-240),IF(AND('(橫掃)RX Mapping'!Q47&gt;=241,'(橫掃)RX Mapping'!Q47&lt;=360), ('(橫掃)RX Mapping'!Q47-241),IF(AND('(橫掃)RX Mapping'!Q47&gt;=361,'(橫掃)RX Mapping'!Q47&lt;=480), (-1)*('(橫掃)RX Mapping'!Q47-480),IF(AND('(橫掃)RX Mapping'!Q47&gt;=481,'(橫掃)RX Mapping'!Q47&lt;=600), ('(橫掃)RX Mapping'!Q47-361),IF(AND('(橫掃)RX Mapping'!Q47&gt;=601,'(橫掃)RX Mapping'!Q47&lt;=720), (-1)*('(橫掃)RX Mapping'!Q47-720)+120,IF(AND('(橫掃)RX Mapping'!Q47&gt;=721,'(橫掃)RX Mapping'!Q47&lt;=840), ('(橫掃)RX Mapping'!Q47-601),IF(AND('(橫掃)RX Mapping'!Q47&gt;=841,'(橫掃)RX Mapping'!Q47&lt;=960), (-1)*('(橫掃)RX Mapping'!Q47-960)+120,9999))))))))</f>
        <v>9999</v>
      </c>
      <c r="R47">
        <f>IF(AND('(橫掃)RX Mapping'!R47&gt;=1,'(橫掃)RX Mapping'!R47&lt;=120), ('(橫掃)RX Mapping'!R47-1),IF(AND('(橫掃)RX Mapping'!R47&gt;=121,'(橫掃)RX Mapping'!R47&lt;=240), (-1)*('(橫掃)RX Mapping'!R47-240),IF(AND('(橫掃)RX Mapping'!R47&gt;=241,'(橫掃)RX Mapping'!R47&lt;=360), ('(橫掃)RX Mapping'!R47-241),IF(AND('(橫掃)RX Mapping'!R47&gt;=361,'(橫掃)RX Mapping'!R47&lt;=480), (-1)*('(橫掃)RX Mapping'!R47-480),IF(AND('(橫掃)RX Mapping'!R47&gt;=481,'(橫掃)RX Mapping'!R47&lt;=600), ('(橫掃)RX Mapping'!R47-361),IF(AND('(橫掃)RX Mapping'!R47&gt;=601,'(橫掃)RX Mapping'!R47&lt;=720), (-1)*('(橫掃)RX Mapping'!R47-720)+120,IF(AND('(橫掃)RX Mapping'!R47&gt;=721,'(橫掃)RX Mapping'!R47&lt;=840), ('(橫掃)RX Mapping'!R47-601),IF(AND('(橫掃)RX Mapping'!R47&gt;=841,'(橫掃)RX Mapping'!R47&lt;=960), (-1)*('(橫掃)RX Mapping'!R47-960)+120,9999))))))))</f>
        <v>9999</v>
      </c>
      <c r="S47">
        <f>IF(AND('(橫掃)RX Mapping'!S47&gt;=1,'(橫掃)RX Mapping'!S47&lt;=120), ('(橫掃)RX Mapping'!S47-1),IF(AND('(橫掃)RX Mapping'!S47&gt;=121,'(橫掃)RX Mapping'!S47&lt;=240), (-1)*('(橫掃)RX Mapping'!S47-240),IF(AND('(橫掃)RX Mapping'!S47&gt;=241,'(橫掃)RX Mapping'!S47&lt;=360), ('(橫掃)RX Mapping'!S47-241),IF(AND('(橫掃)RX Mapping'!S47&gt;=361,'(橫掃)RX Mapping'!S47&lt;=480), (-1)*('(橫掃)RX Mapping'!S47-480),IF(AND('(橫掃)RX Mapping'!S47&gt;=481,'(橫掃)RX Mapping'!S47&lt;=600), ('(橫掃)RX Mapping'!S47-361),IF(AND('(橫掃)RX Mapping'!S47&gt;=601,'(橫掃)RX Mapping'!S47&lt;=720), (-1)*('(橫掃)RX Mapping'!S47-720)+120,IF(AND('(橫掃)RX Mapping'!S47&gt;=721,'(橫掃)RX Mapping'!S47&lt;=840), ('(橫掃)RX Mapping'!S47-601),IF(AND('(橫掃)RX Mapping'!S47&gt;=841,'(橫掃)RX Mapping'!S47&lt;=960), (-1)*('(橫掃)RX Mapping'!S47-960)+120,9999))))))))</f>
        <v>9999</v>
      </c>
      <c r="T47">
        <f>IF(AND('(橫掃)RX Mapping'!T47&gt;=1,'(橫掃)RX Mapping'!T47&lt;=120), ('(橫掃)RX Mapping'!T47-1),IF(AND('(橫掃)RX Mapping'!T47&gt;=121,'(橫掃)RX Mapping'!T47&lt;=240), (-1)*('(橫掃)RX Mapping'!T47-240),IF(AND('(橫掃)RX Mapping'!T47&gt;=241,'(橫掃)RX Mapping'!T47&lt;=360), ('(橫掃)RX Mapping'!T47-241),IF(AND('(橫掃)RX Mapping'!T47&gt;=361,'(橫掃)RX Mapping'!T47&lt;=480), (-1)*('(橫掃)RX Mapping'!T47-480),IF(AND('(橫掃)RX Mapping'!T47&gt;=481,'(橫掃)RX Mapping'!T47&lt;=600), ('(橫掃)RX Mapping'!T47-361),IF(AND('(橫掃)RX Mapping'!T47&gt;=601,'(橫掃)RX Mapping'!T47&lt;=720), (-1)*('(橫掃)RX Mapping'!T47-720)+120,IF(AND('(橫掃)RX Mapping'!T47&gt;=721,'(橫掃)RX Mapping'!T47&lt;=840), ('(橫掃)RX Mapping'!T47-601),IF(AND('(橫掃)RX Mapping'!T47&gt;=841,'(橫掃)RX Mapping'!T47&lt;=960), (-1)*('(橫掃)RX Mapping'!T47-960)+120,9999))))))))</f>
        <v>9999</v>
      </c>
      <c r="U47">
        <f>IF(AND('(橫掃)RX Mapping'!U47&gt;=1,'(橫掃)RX Mapping'!U47&lt;=120), ('(橫掃)RX Mapping'!U47-1),IF(AND('(橫掃)RX Mapping'!U47&gt;=121,'(橫掃)RX Mapping'!U47&lt;=240), (-1)*('(橫掃)RX Mapping'!U47-240),IF(AND('(橫掃)RX Mapping'!U47&gt;=241,'(橫掃)RX Mapping'!U47&lt;=360), ('(橫掃)RX Mapping'!U47-241),IF(AND('(橫掃)RX Mapping'!U47&gt;=361,'(橫掃)RX Mapping'!U47&lt;=480), (-1)*('(橫掃)RX Mapping'!U47-480),IF(AND('(橫掃)RX Mapping'!U47&gt;=481,'(橫掃)RX Mapping'!U47&lt;=600), ('(橫掃)RX Mapping'!U47-361),IF(AND('(橫掃)RX Mapping'!U47&gt;=601,'(橫掃)RX Mapping'!U47&lt;=720), (-1)*('(橫掃)RX Mapping'!U47-720)+120,IF(AND('(橫掃)RX Mapping'!U47&gt;=721,'(橫掃)RX Mapping'!U47&lt;=840), ('(橫掃)RX Mapping'!U47-601),IF(AND('(橫掃)RX Mapping'!U47&gt;=841,'(橫掃)RX Mapping'!U47&lt;=960), (-1)*('(橫掃)RX Mapping'!U47-960)+120,9999))))))))</f>
        <v>9999</v>
      </c>
      <c r="V47">
        <f>IF(AND('(橫掃)RX Mapping'!V47&gt;=1,'(橫掃)RX Mapping'!V47&lt;=120), ('(橫掃)RX Mapping'!V47-1),IF(AND('(橫掃)RX Mapping'!V47&gt;=121,'(橫掃)RX Mapping'!V47&lt;=240), (-1)*('(橫掃)RX Mapping'!V47-240),IF(AND('(橫掃)RX Mapping'!V47&gt;=241,'(橫掃)RX Mapping'!V47&lt;=360), ('(橫掃)RX Mapping'!V47-241),IF(AND('(橫掃)RX Mapping'!V47&gt;=361,'(橫掃)RX Mapping'!V47&lt;=480), (-1)*('(橫掃)RX Mapping'!V47-480),IF(AND('(橫掃)RX Mapping'!V47&gt;=481,'(橫掃)RX Mapping'!V47&lt;=600), ('(橫掃)RX Mapping'!V47-361),IF(AND('(橫掃)RX Mapping'!V47&gt;=601,'(橫掃)RX Mapping'!V47&lt;=720), (-1)*('(橫掃)RX Mapping'!V47-720)+120,IF(AND('(橫掃)RX Mapping'!V47&gt;=721,'(橫掃)RX Mapping'!V47&lt;=840), ('(橫掃)RX Mapping'!V47-601),IF(AND('(橫掃)RX Mapping'!V47&gt;=841,'(橫掃)RX Mapping'!V47&lt;=960), (-1)*('(橫掃)RX Mapping'!V47-960)+120,9999))))))))</f>
        <v>9999</v>
      </c>
      <c r="W47">
        <f>IF(AND('(橫掃)RX Mapping'!W47&gt;=1,'(橫掃)RX Mapping'!W47&lt;=120), ('(橫掃)RX Mapping'!W47-1),IF(AND('(橫掃)RX Mapping'!W47&gt;=121,'(橫掃)RX Mapping'!W47&lt;=240), (-1)*('(橫掃)RX Mapping'!W47-240),IF(AND('(橫掃)RX Mapping'!W47&gt;=241,'(橫掃)RX Mapping'!W47&lt;=360), ('(橫掃)RX Mapping'!W47-241),IF(AND('(橫掃)RX Mapping'!W47&gt;=361,'(橫掃)RX Mapping'!W47&lt;=480), (-1)*('(橫掃)RX Mapping'!W47-480),IF(AND('(橫掃)RX Mapping'!W47&gt;=481,'(橫掃)RX Mapping'!W47&lt;=600), ('(橫掃)RX Mapping'!W47-361),IF(AND('(橫掃)RX Mapping'!W47&gt;=601,'(橫掃)RX Mapping'!W47&lt;=720), (-1)*('(橫掃)RX Mapping'!W47-720)+120,IF(AND('(橫掃)RX Mapping'!W47&gt;=721,'(橫掃)RX Mapping'!W47&lt;=840), ('(橫掃)RX Mapping'!W47-601),IF(AND('(橫掃)RX Mapping'!W47&gt;=841,'(橫掃)RX Mapping'!W47&lt;=960), (-1)*('(橫掃)RX Mapping'!W47-960)+120,9999))))))))</f>
        <v>9999</v>
      </c>
      <c r="X47">
        <f>IF(AND('(橫掃)RX Mapping'!X47&gt;=1,'(橫掃)RX Mapping'!X47&lt;=120), ('(橫掃)RX Mapping'!X47-1),IF(AND('(橫掃)RX Mapping'!X47&gt;=121,'(橫掃)RX Mapping'!X47&lt;=240), (-1)*('(橫掃)RX Mapping'!X47-240),IF(AND('(橫掃)RX Mapping'!X47&gt;=241,'(橫掃)RX Mapping'!X47&lt;=360), ('(橫掃)RX Mapping'!X47-241),IF(AND('(橫掃)RX Mapping'!X47&gt;=361,'(橫掃)RX Mapping'!X47&lt;=480), (-1)*('(橫掃)RX Mapping'!X47-480),IF(AND('(橫掃)RX Mapping'!X47&gt;=481,'(橫掃)RX Mapping'!X47&lt;=600), ('(橫掃)RX Mapping'!X47-361),IF(AND('(橫掃)RX Mapping'!X47&gt;=601,'(橫掃)RX Mapping'!X47&lt;=720), (-1)*('(橫掃)RX Mapping'!X47-720)+120,IF(AND('(橫掃)RX Mapping'!X47&gt;=721,'(橫掃)RX Mapping'!X47&lt;=840), ('(橫掃)RX Mapping'!X47-601),IF(AND('(橫掃)RX Mapping'!X47&gt;=841,'(橫掃)RX Mapping'!X47&lt;=960), (-1)*('(橫掃)RX Mapping'!X47-960)+120,9999))))))))</f>
        <v>9999</v>
      </c>
      <c r="Y47">
        <f>IF(AND('(橫掃)RX Mapping'!Y47&gt;=1,'(橫掃)RX Mapping'!Y47&lt;=120), ('(橫掃)RX Mapping'!Y47-1),IF(AND('(橫掃)RX Mapping'!Y47&gt;=121,'(橫掃)RX Mapping'!Y47&lt;=240), (-1)*('(橫掃)RX Mapping'!Y47-240),IF(AND('(橫掃)RX Mapping'!Y47&gt;=241,'(橫掃)RX Mapping'!Y47&lt;=360), ('(橫掃)RX Mapping'!Y47-241),IF(AND('(橫掃)RX Mapping'!Y47&gt;=361,'(橫掃)RX Mapping'!Y47&lt;=480), (-1)*('(橫掃)RX Mapping'!Y47-480),IF(AND('(橫掃)RX Mapping'!Y47&gt;=481,'(橫掃)RX Mapping'!Y47&lt;=600), ('(橫掃)RX Mapping'!Y47-361),IF(AND('(橫掃)RX Mapping'!Y47&gt;=601,'(橫掃)RX Mapping'!Y47&lt;=720), (-1)*('(橫掃)RX Mapping'!Y47-720)+120,IF(AND('(橫掃)RX Mapping'!Y47&gt;=721,'(橫掃)RX Mapping'!Y47&lt;=840), ('(橫掃)RX Mapping'!Y47-601),IF(AND('(橫掃)RX Mapping'!Y47&gt;=841,'(橫掃)RX Mapping'!Y47&lt;=960), (-1)*('(橫掃)RX Mapping'!Y47-960)+120,9999))))))))</f>
        <v>9999</v>
      </c>
      <c r="Z47">
        <f>IF(AND('(橫掃)RX Mapping'!Z47&gt;=1,'(橫掃)RX Mapping'!Z47&lt;=120), ('(橫掃)RX Mapping'!Z47-1),IF(AND('(橫掃)RX Mapping'!Z47&gt;=121,'(橫掃)RX Mapping'!Z47&lt;=240), (-1)*('(橫掃)RX Mapping'!Z47-240),IF(AND('(橫掃)RX Mapping'!Z47&gt;=241,'(橫掃)RX Mapping'!Z47&lt;=360), ('(橫掃)RX Mapping'!Z47-241),IF(AND('(橫掃)RX Mapping'!Z47&gt;=361,'(橫掃)RX Mapping'!Z47&lt;=480), (-1)*('(橫掃)RX Mapping'!Z47-480),IF(AND('(橫掃)RX Mapping'!Z47&gt;=481,'(橫掃)RX Mapping'!Z47&lt;=600), ('(橫掃)RX Mapping'!Z47-361),IF(AND('(橫掃)RX Mapping'!Z47&gt;=601,'(橫掃)RX Mapping'!Z47&lt;=720), (-1)*('(橫掃)RX Mapping'!Z47-720)+120,IF(AND('(橫掃)RX Mapping'!Z47&gt;=721,'(橫掃)RX Mapping'!Z47&lt;=840), ('(橫掃)RX Mapping'!Z47-601),IF(AND('(橫掃)RX Mapping'!Z47&gt;=841,'(橫掃)RX Mapping'!Z47&lt;=960), (-1)*('(橫掃)RX Mapping'!Z47-960)+120,9999))))))))</f>
        <v>9999</v>
      </c>
      <c r="AA47">
        <f>IF(AND('(橫掃)RX Mapping'!AA47&gt;=1,'(橫掃)RX Mapping'!AA47&lt;=120), ('(橫掃)RX Mapping'!AA47-1),IF(AND('(橫掃)RX Mapping'!AA47&gt;=121,'(橫掃)RX Mapping'!AA47&lt;=240), (-1)*('(橫掃)RX Mapping'!AA47-240),IF(AND('(橫掃)RX Mapping'!AA47&gt;=241,'(橫掃)RX Mapping'!AA47&lt;=360), ('(橫掃)RX Mapping'!AA47-241),IF(AND('(橫掃)RX Mapping'!AA47&gt;=361,'(橫掃)RX Mapping'!AA47&lt;=480), (-1)*('(橫掃)RX Mapping'!AA47-480),IF(AND('(橫掃)RX Mapping'!AA47&gt;=481,'(橫掃)RX Mapping'!AA47&lt;=600), ('(橫掃)RX Mapping'!AA47-361),IF(AND('(橫掃)RX Mapping'!AA47&gt;=601,'(橫掃)RX Mapping'!AA47&lt;=720), (-1)*('(橫掃)RX Mapping'!AA47-720)+120,IF(AND('(橫掃)RX Mapping'!AA47&gt;=721,'(橫掃)RX Mapping'!AA47&lt;=840), ('(橫掃)RX Mapping'!AA47-601),IF(AND('(橫掃)RX Mapping'!AA47&gt;=841,'(橫掃)RX Mapping'!AA47&lt;=960), (-1)*('(橫掃)RX Mapping'!AA47-960)+120,9999))))))))</f>
        <v>9999</v>
      </c>
      <c r="AB47">
        <f>IF(AND('(橫掃)RX Mapping'!AB47&gt;=1,'(橫掃)RX Mapping'!AB47&lt;=120), ('(橫掃)RX Mapping'!AB47-1),IF(AND('(橫掃)RX Mapping'!AB47&gt;=121,'(橫掃)RX Mapping'!AB47&lt;=240), (-1)*('(橫掃)RX Mapping'!AB47-240),IF(AND('(橫掃)RX Mapping'!AB47&gt;=241,'(橫掃)RX Mapping'!AB47&lt;=360), ('(橫掃)RX Mapping'!AB47-241),IF(AND('(橫掃)RX Mapping'!AB47&gt;=361,'(橫掃)RX Mapping'!AB47&lt;=480), (-1)*('(橫掃)RX Mapping'!AB47-480),IF(AND('(橫掃)RX Mapping'!AB47&gt;=481,'(橫掃)RX Mapping'!AB47&lt;=600), ('(橫掃)RX Mapping'!AB47-361),IF(AND('(橫掃)RX Mapping'!AB47&gt;=601,'(橫掃)RX Mapping'!AB47&lt;=720), (-1)*('(橫掃)RX Mapping'!AB47-720)+120,IF(AND('(橫掃)RX Mapping'!AB47&gt;=721,'(橫掃)RX Mapping'!AB47&lt;=840), ('(橫掃)RX Mapping'!AB47-601),IF(AND('(橫掃)RX Mapping'!AB47&gt;=841,'(橫掃)RX Mapping'!AB47&lt;=960), (-1)*('(橫掃)RX Mapping'!AB47-960)+120,9999))))))))</f>
        <v>9999</v>
      </c>
      <c r="AC47">
        <f>IF(AND('(橫掃)RX Mapping'!AC47&gt;=1,'(橫掃)RX Mapping'!AC47&lt;=120), ('(橫掃)RX Mapping'!AC47-1),IF(AND('(橫掃)RX Mapping'!AC47&gt;=121,'(橫掃)RX Mapping'!AC47&lt;=240), (-1)*('(橫掃)RX Mapping'!AC47-240),IF(AND('(橫掃)RX Mapping'!AC47&gt;=241,'(橫掃)RX Mapping'!AC47&lt;=360), ('(橫掃)RX Mapping'!AC47-241),IF(AND('(橫掃)RX Mapping'!AC47&gt;=361,'(橫掃)RX Mapping'!AC47&lt;=480), (-1)*('(橫掃)RX Mapping'!AC47-480),IF(AND('(橫掃)RX Mapping'!AC47&gt;=481,'(橫掃)RX Mapping'!AC47&lt;=600), ('(橫掃)RX Mapping'!AC47-361),IF(AND('(橫掃)RX Mapping'!AC47&gt;=601,'(橫掃)RX Mapping'!AC47&lt;=720), (-1)*('(橫掃)RX Mapping'!AC47-720)+120,IF(AND('(橫掃)RX Mapping'!AC47&gt;=721,'(橫掃)RX Mapping'!AC47&lt;=840), ('(橫掃)RX Mapping'!AC47-601),IF(AND('(橫掃)RX Mapping'!AC47&gt;=841,'(橫掃)RX Mapping'!AC47&lt;=960), (-1)*('(橫掃)RX Mapping'!AC47-960)+120,9999))))))))</f>
        <v>9999</v>
      </c>
      <c r="AD47">
        <f>IF(AND('(橫掃)RX Mapping'!AD47&gt;=1,'(橫掃)RX Mapping'!AD47&lt;=120), ('(橫掃)RX Mapping'!AD47-1),IF(AND('(橫掃)RX Mapping'!AD47&gt;=121,'(橫掃)RX Mapping'!AD47&lt;=240), (-1)*('(橫掃)RX Mapping'!AD47-240),IF(AND('(橫掃)RX Mapping'!AD47&gt;=241,'(橫掃)RX Mapping'!AD47&lt;=360), ('(橫掃)RX Mapping'!AD47-241),IF(AND('(橫掃)RX Mapping'!AD47&gt;=361,'(橫掃)RX Mapping'!AD47&lt;=480), (-1)*('(橫掃)RX Mapping'!AD47-480),IF(AND('(橫掃)RX Mapping'!AD47&gt;=481,'(橫掃)RX Mapping'!AD47&lt;=600), ('(橫掃)RX Mapping'!AD47-361),IF(AND('(橫掃)RX Mapping'!AD47&gt;=601,'(橫掃)RX Mapping'!AD47&lt;=720), (-1)*('(橫掃)RX Mapping'!AD47-720)+120,IF(AND('(橫掃)RX Mapping'!AD47&gt;=721,'(橫掃)RX Mapping'!AD47&lt;=840), ('(橫掃)RX Mapping'!AD47-601),IF(AND('(橫掃)RX Mapping'!AD47&gt;=841,'(橫掃)RX Mapping'!AD47&lt;=960), (-1)*('(橫掃)RX Mapping'!AD47-960)+120,9999))))))))</f>
        <v>9999</v>
      </c>
      <c r="AE47">
        <f>IF(AND('(橫掃)RX Mapping'!AE47&gt;=1,'(橫掃)RX Mapping'!AE47&lt;=120), ('(橫掃)RX Mapping'!AE47-1),IF(AND('(橫掃)RX Mapping'!AE47&gt;=121,'(橫掃)RX Mapping'!AE47&lt;=240), (-1)*('(橫掃)RX Mapping'!AE47-240),IF(AND('(橫掃)RX Mapping'!AE47&gt;=241,'(橫掃)RX Mapping'!AE47&lt;=360), ('(橫掃)RX Mapping'!AE47-241),IF(AND('(橫掃)RX Mapping'!AE47&gt;=361,'(橫掃)RX Mapping'!AE47&lt;=480), (-1)*('(橫掃)RX Mapping'!AE47-480),IF(AND('(橫掃)RX Mapping'!AE47&gt;=481,'(橫掃)RX Mapping'!AE47&lt;=600), ('(橫掃)RX Mapping'!AE47-361),IF(AND('(橫掃)RX Mapping'!AE47&gt;=601,'(橫掃)RX Mapping'!AE47&lt;=720), (-1)*('(橫掃)RX Mapping'!AE47-720)+120,IF(AND('(橫掃)RX Mapping'!AE47&gt;=721,'(橫掃)RX Mapping'!AE47&lt;=840), ('(橫掃)RX Mapping'!AE47-601),IF(AND('(橫掃)RX Mapping'!AE47&gt;=841,'(橫掃)RX Mapping'!AE47&lt;=960), (-1)*('(橫掃)RX Mapping'!AE47-960)+120,9999))))))))</f>
        <v>9999</v>
      </c>
      <c r="AF47">
        <f>IF(AND('(橫掃)RX Mapping'!AF47&gt;=1,'(橫掃)RX Mapping'!AF47&lt;=120), ('(橫掃)RX Mapping'!AF47-1),IF(AND('(橫掃)RX Mapping'!AF47&gt;=121,'(橫掃)RX Mapping'!AF47&lt;=240), (-1)*('(橫掃)RX Mapping'!AF47-240),IF(AND('(橫掃)RX Mapping'!AF47&gt;=241,'(橫掃)RX Mapping'!AF47&lt;=360), ('(橫掃)RX Mapping'!AF47-241),IF(AND('(橫掃)RX Mapping'!AF47&gt;=361,'(橫掃)RX Mapping'!AF47&lt;=480), (-1)*('(橫掃)RX Mapping'!AF47-480),IF(AND('(橫掃)RX Mapping'!AF47&gt;=481,'(橫掃)RX Mapping'!AF47&lt;=600), ('(橫掃)RX Mapping'!AF47-361),IF(AND('(橫掃)RX Mapping'!AF47&gt;=601,'(橫掃)RX Mapping'!AF47&lt;=720), (-1)*('(橫掃)RX Mapping'!AF47-720)+120,IF(AND('(橫掃)RX Mapping'!AF47&gt;=721,'(橫掃)RX Mapping'!AF47&lt;=840), ('(橫掃)RX Mapping'!AF47-601),IF(AND('(橫掃)RX Mapping'!AF47&gt;=841,'(橫掃)RX Mapping'!AF47&lt;=960), (-1)*('(橫掃)RX Mapping'!AF47-960)+120,9999))))))))</f>
        <v>9999</v>
      </c>
      <c r="AG47">
        <f>IF(AND('(橫掃)RX Mapping'!AG47&gt;=1,'(橫掃)RX Mapping'!AG47&lt;=120), ('(橫掃)RX Mapping'!AG47-1),IF(AND('(橫掃)RX Mapping'!AG47&gt;=121,'(橫掃)RX Mapping'!AG47&lt;=240), (-1)*('(橫掃)RX Mapping'!AG47-240),IF(AND('(橫掃)RX Mapping'!AG47&gt;=241,'(橫掃)RX Mapping'!AG47&lt;=360), ('(橫掃)RX Mapping'!AG47-241),IF(AND('(橫掃)RX Mapping'!AG47&gt;=361,'(橫掃)RX Mapping'!AG47&lt;=480), (-1)*('(橫掃)RX Mapping'!AG47-480),IF(AND('(橫掃)RX Mapping'!AG47&gt;=481,'(橫掃)RX Mapping'!AG47&lt;=600), ('(橫掃)RX Mapping'!AG47-361),IF(AND('(橫掃)RX Mapping'!AG47&gt;=601,'(橫掃)RX Mapping'!AG47&lt;=720), (-1)*('(橫掃)RX Mapping'!AG47-720)+120,IF(AND('(橫掃)RX Mapping'!AG47&gt;=721,'(橫掃)RX Mapping'!AG47&lt;=840), ('(橫掃)RX Mapping'!AG47-601),IF(AND('(橫掃)RX Mapping'!AG47&gt;=841,'(橫掃)RX Mapping'!AG47&lt;=960), (-1)*('(橫掃)RX Mapping'!AG47-960)+120,9999))))))))</f>
        <v>9999</v>
      </c>
      <c r="AH47">
        <f>IF(AND('(橫掃)RX Mapping'!AH47&gt;=1,'(橫掃)RX Mapping'!AH47&lt;=120), ('(橫掃)RX Mapping'!AH47-1),IF(AND('(橫掃)RX Mapping'!AH47&gt;=121,'(橫掃)RX Mapping'!AH47&lt;=240), (-1)*('(橫掃)RX Mapping'!AH47-240),IF(AND('(橫掃)RX Mapping'!AH47&gt;=241,'(橫掃)RX Mapping'!AH47&lt;=360), ('(橫掃)RX Mapping'!AH47-241),IF(AND('(橫掃)RX Mapping'!AH47&gt;=361,'(橫掃)RX Mapping'!AH47&lt;=480), (-1)*('(橫掃)RX Mapping'!AH47-480),IF(AND('(橫掃)RX Mapping'!AH47&gt;=481,'(橫掃)RX Mapping'!AH47&lt;=600), ('(橫掃)RX Mapping'!AH47-361),IF(AND('(橫掃)RX Mapping'!AH47&gt;=601,'(橫掃)RX Mapping'!AH47&lt;=720), (-1)*('(橫掃)RX Mapping'!AH47-720)+120,IF(AND('(橫掃)RX Mapping'!AH47&gt;=721,'(橫掃)RX Mapping'!AH47&lt;=840), ('(橫掃)RX Mapping'!AH47-601),IF(AND('(橫掃)RX Mapping'!AH47&gt;=841,'(橫掃)RX Mapping'!AH47&lt;=960), (-1)*('(橫掃)RX Mapping'!AH47-960)+120,9999))))))))</f>
        <v>9999</v>
      </c>
      <c r="AI47">
        <f>IF(AND('(橫掃)RX Mapping'!AI47&gt;=1,'(橫掃)RX Mapping'!AI47&lt;=120), ('(橫掃)RX Mapping'!AI47-1),IF(AND('(橫掃)RX Mapping'!AI47&gt;=121,'(橫掃)RX Mapping'!AI47&lt;=240), (-1)*('(橫掃)RX Mapping'!AI47-240),IF(AND('(橫掃)RX Mapping'!AI47&gt;=241,'(橫掃)RX Mapping'!AI47&lt;=360), ('(橫掃)RX Mapping'!AI47-241),IF(AND('(橫掃)RX Mapping'!AI47&gt;=361,'(橫掃)RX Mapping'!AI47&lt;=480), (-1)*('(橫掃)RX Mapping'!AI47-480),IF(AND('(橫掃)RX Mapping'!AI47&gt;=481,'(橫掃)RX Mapping'!AI47&lt;=600), ('(橫掃)RX Mapping'!AI47-361),IF(AND('(橫掃)RX Mapping'!AI47&gt;=601,'(橫掃)RX Mapping'!AI47&lt;=720), (-1)*('(橫掃)RX Mapping'!AI47-720)+120,IF(AND('(橫掃)RX Mapping'!AI47&gt;=721,'(橫掃)RX Mapping'!AI47&lt;=840), ('(橫掃)RX Mapping'!AI47-601),IF(AND('(橫掃)RX Mapping'!AI47&gt;=841,'(橫掃)RX Mapping'!AI47&lt;=960), (-1)*('(橫掃)RX Mapping'!AI47-960)+120,9999))))))))</f>
        <v>9999</v>
      </c>
      <c r="AJ47">
        <f>IF(AND('(橫掃)RX Mapping'!AJ47&gt;=1,'(橫掃)RX Mapping'!AJ47&lt;=120), ('(橫掃)RX Mapping'!AJ47-1),IF(AND('(橫掃)RX Mapping'!AJ47&gt;=121,'(橫掃)RX Mapping'!AJ47&lt;=240), (-1)*('(橫掃)RX Mapping'!AJ47-240),IF(AND('(橫掃)RX Mapping'!AJ47&gt;=241,'(橫掃)RX Mapping'!AJ47&lt;=360), ('(橫掃)RX Mapping'!AJ47-241),IF(AND('(橫掃)RX Mapping'!AJ47&gt;=361,'(橫掃)RX Mapping'!AJ47&lt;=480), (-1)*('(橫掃)RX Mapping'!AJ47-480),IF(AND('(橫掃)RX Mapping'!AJ47&gt;=481,'(橫掃)RX Mapping'!AJ47&lt;=600), ('(橫掃)RX Mapping'!AJ47-361),IF(AND('(橫掃)RX Mapping'!AJ47&gt;=601,'(橫掃)RX Mapping'!AJ47&lt;=720), (-1)*('(橫掃)RX Mapping'!AJ47-720)+120,IF(AND('(橫掃)RX Mapping'!AJ47&gt;=721,'(橫掃)RX Mapping'!AJ47&lt;=840), ('(橫掃)RX Mapping'!AJ47-601),IF(AND('(橫掃)RX Mapping'!AJ47&gt;=841,'(橫掃)RX Mapping'!AJ47&lt;=960), (-1)*('(橫掃)RX Mapping'!AJ47-960)+120,9999))))))))</f>
        <v>9999</v>
      </c>
      <c r="AK47">
        <f>IF(AND('(橫掃)RX Mapping'!AK47&gt;=1,'(橫掃)RX Mapping'!AK47&lt;=120), ('(橫掃)RX Mapping'!AK47-1),IF(AND('(橫掃)RX Mapping'!AK47&gt;=121,'(橫掃)RX Mapping'!AK47&lt;=240), (-1)*('(橫掃)RX Mapping'!AK47-240),IF(AND('(橫掃)RX Mapping'!AK47&gt;=241,'(橫掃)RX Mapping'!AK47&lt;=360), ('(橫掃)RX Mapping'!AK47-241),IF(AND('(橫掃)RX Mapping'!AK47&gt;=361,'(橫掃)RX Mapping'!AK47&lt;=480), (-1)*('(橫掃)RX Mapping'!AK47-480),IF(AND('(橫掃)RX Mapping'!AK47&gt;=481,'(橫掃)RX Mapping'!AK47&lt;=600), ('(橫掃)RX Mapping'!AK47-361),IF(AND('(橫掃)RX Mapping'!AK47&gt;=601,'(橫掃)RX Mapping'!AK47&lt;=720), (-1)*('(橫掃)RX Mapping'!AK47-720)+120,IF(AND('(橫掃)RX Mapping'!AK47&gt;=721,'(橫掃)RX Mapping'!AK47&lt;=840), ('(橫掃)RX Mapping'!AK47-601),IF(AND('(橫掃)RX Mapping'!AK47&gt;=841,'(橫掃)RX Mapping'!AK47&lt;=960), (-1)*('(橫掃)RX Mapping'!AK47-960)+120,9999))))))))</f>
        <v>9999</v>
      </c>
      <c r="AL47">
        <f>IF(AND('(橫掃)RX Mapping'!AL47&gt;=1,'(橫掃)RX Mapping'!AL47&lt;=120), ('(橫掃)RX Mapping'!AL47-1),IF(AND('(橫掃)RX Mapping'!AL47&gt;=121,'(橫掃)RX Mapping'!AL47&lt;=240), (-1)*('(橫掃)RX Mapping'!AL47-240),IF(AND('(橫掃)RX Mapping'!AL47&gt;=241,'(橫掃)RX Mapping'!AL47&lt;=360), ('(橫掃)RX Mapping'!AL47-241),IF(AND('(橫掃)RX Mapping'!AL47&gt;=361,'(橫掃)RX Mapping'!AL47&lt;=480), (-1)*('(橫掃)RX Mapping'!AL47-480),IF(AND('(橫掃)RX Mapping'!AL47&gt;=481,'(橫掃)RX Mapping'!AL47&lt;=600), ('(橫掃)RX Mapping'!AL47-361),IF(AND('(橫掃)RX Mapping'!AL47&gt;=601,'(橫掃)RX Mapping'!AL47&lt;=720), (-1)*('(橫掃)RX Mapping'!AL47-720)+120,IF(AND('(橫掃)RX Mapping'!AL47&gt;=721,'(橫掃)RX Mapping'!AL47&lt;=840), ('(橫掃)RX Mapping'!AL47-601),IF(AND('(橫掃)RX Mapping'!AL47&gt;=841,'(橫掃)RX Mapping'!AL47&lt;=960), (-1)*('(橫掃)RX Mapping'!AL47-960)+120,9999))))))))</f>
        <v>9999</v>
      </c>
      <c r="AM47">
        <f>IF(AND('(橫掃)RX Mapping'!AM47&gt;=1,'(橫掃)RX Mapping'!AM47&lt;=120), ('(橫掃)RX Mapping'!AM47-1),IF(AND('(橫掃)RX Mapping'!AM47&gt;=121,'(橫掃)RX Mapping'!AM47&lt;=240), (-1)*('(橫掃)RX Mapping'!AM47-240),IF(AND('(橫掃)RX Mapping'!AM47&gt;=241,'(橫掃)RX Mapping'!AM47&lt;=360), ('(橫掃)RX Mapping'!AM47-241),IF(AND('(橫掃)RX Mapping'!AM47&gt;=361,'(橫掃)RX Mapping'!AM47&lt;=480), (-1)*('(橫掃)RX Mapping'!AM47-480),IF(AND('(橫掃)RX Mapping'!AM47&gt;=481,'(橫掃)RX Mapping'!AM47&lt;=600), ('(橫掃)RX Mapping'!AM47-361),IF(AND('(橫掃)RX Mapping'!AM47&gt;=601,'(橫掃)RX Mapping'!AM47&lt;=720), (-1)*('(橫掃)RX Mapping'!AM47-720)+120,IF(AND('(橫掃)RX Mapping'!AM47&gt;=721,'(橫掃)RX Mapping'!AM47&lt;=840), ('(橫掃)RX Mapping'!AM47-601),IF(AND('(橫掃)RX Mapping'!AM47&gt;=841,'(橫掃)RX Mapping'!AM47&lt;=960), (-1)*('(橫掃)RX Mapping'!AM47-960)+120,9999))))))))</f>
        <v>9999</v>
      </c>
      <c r="AN47">
        <f>IF(AND('(橫掃)RX Mapping'!AN47&gt;=1,'(橫掃)RX Mapping'!AN47&lt;=120), ('(橫掃)RX Mapping'!AN47-1),IF(AND('(橫掃)RX Mapping'!AN47&gt;=121,'(橫掃)RX Mapping'!AN47&lt;=240), (-1)*('(橫掃)RX Mapping'!AN47-240),IF(AND('(橫掃)RX Mapping'!AN47&gt;=241,'(橫掃)RX Mapping'!AN47&lt;=360), ('(橫掃)RX Mapping'!AN47-241),IF(AND('(橫掃)RX Mapping'!AN47&gt;=361,'(橫掃)RX Mapping'!AN47&lt;=480), (-1)*('(橫掃)RX Mapping'!AN47-480),IF(AND('(橫掃)RX Mapping'!AN47&gt;=481,'(橫掃)RX Mapping'!AN47&lt;=600), ('(橫掃)RX Mapping'!AN47-361),IF(AND('(橫掃)RX Mapping'!AN47&gt;=601,'(橫掃)RX Mapping'!AN47&lt;=720), (-1)*('(橫掃)RX Mapping'!AN47-720)+120,IF(AND('(橫掃)RX Mapping'!AN47&gt;=721,'(橫掃)RX Mapping'!AN47&lt;=840), ('(橫掃)RX Mapping'!AN47-601),IF(AND('(橫掃)RX Mapping'!AN47&gt;=841,'(橫掃)RX Mapping'!AN47&lt;=960), (-1)*('(橫掃)RX Mapping'!AN47-960)+120,9999))))))))</f>
        <v>9999</v>
      </c>
      <c r="AO47">
        <f>IF(AND('(橫掃)RX Mapping'!AO47&gt;=1,'(橫掃)RX Mapping'!AO47&lt;=120), ('(橫掃)RX Mapping'!AO47-1),IF(AND('(橫掃)RX Mapping'!AO47&gt;=121,'(橫掃)RX Mapping'!AO47&lt;=240), (-1)*('(橫掃)RX Mapping'!AO47-240),IF(AND('(橫掃)RX Mapping'!AO47&gt;=241,'(橫掃)RX Mapping'!AO47&lt;=360), ('(橫掃)RX Mapping'!AO47-241),IF(AND('(橫掃)RX Mapping'!AO47&gt;=361,'(橫掃)RX Mapping'!AO47&lt;=480), (-1)*('(橫掃)RX Mapping'!AO47-480),IF(AND('(橫掃)RX Mapping'!AO47&gt;=481,'(橫掃)RX Mapping'!AO47&lt;=600), ('(橫掃)RX Mapping'!AO47-361),IF(AND('(橫掃)RX Mapping'!AO47&gt;=601,'(橫掃)RX Mapping'!AO47&lt;=720), (-1)*('(橫掃)RX Mapping'!AO47-720)+120,IF(AND('(橫掃)RX Mapping'!AO47&gt;=721,'(橫掃)RX Mapping'!AO47&lt;=840), ('(橫掃)RX Mapping'!AO47-601),IF(AND('(橫掃)RX Mapping'!AO47&gt;=841,'(橫掃)RX Mapping'!AO47&lt;=960), (-1)*('(橫掃)RX Mapping'!AO47-960)+120,9999))))))))</f>
        <v>9999</v>
      </c>
      <c r="AP47">
        <f>IF(AND('(橫掃)RX Mapping'!AP47&gt;=1,'(橫掃)RX Mapping'!AP47&lt;=120), ('(橫掃)RX Mapping'!AP47-1),IF(AND('(橫掃)RX Mapping'!AP47&gt;=121,'(橫掃)RX Mapping'!AP47&lt;=240), (-1)*('(橫掃)RX Mapping'!AP47-240),IF(AND('(橫掃)RX Mapping'!AP47&gt;=241,'(橫掃)RX Mapping'!AP47&lt;=360), ('(橫掃)RX Mapping'!AP47-241),IF(AND('(橫掃)RX Mapping'!AP47&gt;=361,'(橫掃)RX Mapping'!AP47&lt;=480), (-1)*('(橫掃)RX Mapping'!AP47-480),IF(AND('(橫掃)RX Mapping'!AP47&gt;=481,'(橫掃)RX Mapping'!AP47&lt;=600), ('(橫掃)RX Mapping'!AP47-361),IF(AND('(橫掃)RX Mapping'!AP47&gt;=601,'(橫掃)RX Mapping'!AP47&lt;=720), (-1)*('(橫掃)RX Mapping'!AP47-720)+120,IF(AND('(橫掃)RX Mapping'!AP47&gt;=721,'(橫掃)RX Mapping'!AP47&lt;=840), ('(橫掃)RX Mapping'!AP47-601),IF(AND('(橫掃)RX Mapping'!AP47&gt;=841,'(橫掃)RX Mapping'!AP47&lt;=960), (-1)*('(橫掃)RX Mapping'!AP47-960)+120,9999))))))))</f>
        <v>9999</v>
      </c>
      <c r="AQ47">
        <f>IF(AND('(橫掃)RX Mapping'!AQ47&gt;=1,'(橫掃)RX Mapping'!AQ47&lt;=120), ('(橫掃)RX Mapping'!AQ47-1),IF(AND('(橫掃)RX Mapping'!AQ47&gt;=121,'(橫掃)RX Mapping'!AQ47&lt;=240), (-1)*('(橫掃)RX Mapping'!AQ47-240),IF(AND('(橫掃)RX Mapping'!AQ47&gt;=241,'(橫掃)RX Mapping'!AQ47&lt;=360), ('(橫掃)RX Mapping'!AQ47-241),IF(AND('(橫掃)RX Mapping'!AQ47&gt;=361,'(橫掃)RX Mapping'!AQ47&lt;=480), (-1)*('(橫掃)RX Mapping'!AQ47-480),IF(AND('(橫掃)RX Mapping'!AQ47&gt;=481,'(橫掃)RX Mapping'!AQ47&lt;=600), ('(橫掃)RX Mapping'!AQ47-361),IF(AND('(橫掃)RX Mapping'!AQ47&gt;=601,'(橫掃)RX Mapping'!AQ47&lt;=720), (-1)*('(橫掃)RX Mapping'!AQ47-720)+120,IF(AND('(橫掃)RX Mapping'!AQ47&gt;=721,'(橫掃)RX Mapping'!AQ47&lt;=840), ('(橫掃)RX Mapping'!AQ47-601),IF(AND('(橫掃)RX Mapping'!AQ47&gt;=841,'(橫掃)RX Mapping'!AQ47&lt;=960), (-1)*('(橫掃)RX Mapping'!AQ47-960)+120,9999))))))))</f>
        <v>9999</v>
      </c>
      <c r="AR47">
        <f>IF(AND('(橫掃)RX Mapping'!AR47&gt;=1,'(橫掃)RX Mapping'!AR47&lt;=120), ('(橫掃)RX Mapping'!AR47-1),IF(AND('(橫掃)RX Mapping'!AR47&gt;=121,'(橫掃)RX Mapping'!AR47&lt;=240), (-1)*('(橫掃)RX Mapping'!AR47-240),IF(AND('(橫掃)RX Mapping'!AR47&gt;=241,'(橫掃)RX Mapping'!AR47&lt;=360), ('(橫掃)RX Mapping'!AR47-241),IF(AND('(橫掃)RX Mapping'!AR47&gt;=361,'(橫掃)RX Mapping'!AR47&lt;=480), (-1)*('(橫掃)RX Mapping'!AR47-480),IF(AND('(橫掃)RX Mapping'!AR47&gt;=481,'(橫掃)RX Mapping'!AR47&lt;=600), ('(橫掃)RX Mapping'!AR47-361),IF(AND('(橫掃)RX Mapping'!AR47&gt;=601,'(橫掃)RX Mapping'!AR47&lt;=720), (-1)*('(橫掃)RX Mapping'!AR47-720)+120,IF(AND('(橫掃)RX Mapping'!AR47&gt;=721,'(橫掃)RX Mapping'!AR47&lt;=840), ('(橫掃)RX Mapping'!AR47-601),IF(AND('(橫掃)RX Mapping'!AR47&gt;=841,'(橫掃)RX Mapping'!AR47&lt;=960), (-1)*('(橫掃)RX Mapping'!AR47-960)+120,9999))))))))</f>
        <v>9999</v>
      </c>
      <c r="AS47">
        <f>IF(AND('(橫掃)RX Mapping'!AS47&gt;=1,'(橫掃)RX Mapping'!AS47&lt;=120), ('(橫掃)RX Mapping'!AS47-1),IF(AND('(橫掃)RX Mapping'!AS47&gt;=121,'(橫掃)RX Mapping'!AS47&lt;=240), (-1)*('(橫掃)RX Mapping'!AS47-240),IF(AND('(橫掃)RX Mapping'!AS47&gt;=241,'(橫掃)RX Mapping'!AS47&lt;=360), ('(橫掃)RX Mapping'!AS47-241),IF(AND('(橫掃)RX Mapping'!AS47&gt;=361,'(橫掃)RX Mapping'!AS47&lt;=480), (-1)*('(橫掃)RX Mapping'!AS47-480),IF(AND('(橫掃)RX Mapping'!AS47&gt;=481,'(橫掃)RX Mapping'!AS47&lt;=600), ('(橫掃)RX Mapping'!AS47-361),IF(AND('(橫掃)RX Mapping'!AS47&gt;=601,'(橫掃)RX Mapping'!AS47&lt;=720), (-1)*('(橫掃)RX Mapping'!AS47-720)+120,IF(AND('(橫掃)RX Mapping'!AS47&gt;=721,'(橫掃)RX Mapping'!AS47&lt;=840), ('(橫掃)RX Mapping'!AS47-601),IF(AND('(橫掃)RX Mapping'!AS47&gt;=841,'(橫掃)RX Mapping'!AS47&lt;=960), (-1)*('(橫掃)RX Mapping'!AS47-960)+120,9999))))))))</f>
        <v>9999</v>
      </c>
      <c r="AT47">
        <f>IF(AND('(橫掃)RX Mapping'!AT47&gt;=1,'(橫掃)RX Mapping'!AT47&lt;=120), ('(橫掃)RX Mapping'!AT47-1),IF(AND('(橫掃)RX Mapping'!AT47&gt;=121,'(橫掃)RX Mapping'!AT47&lt;=240), (-1)*('(橫掃)RX Mapping'!AT47-240),IF(AND('(橫掃)RX Mapping'!AT47&gt;=241,'(橫掃)RX Mapping'!AT47&lt;=360), ('(橫掃)RX Mapping'!AT47-241),IF(AND('(橫掃)RX Mapping'!AT47&gt;=361,'(橫掃)RX Mapping'!AT47&lt;=480), (-1)*('(橫掃)RX Mapping'!AT47-480),IF(AND('(橫掃)RX Mapping'!AT47&gt;=481,'(橫掃)RX Mapping'!AT47&lt;=600), ('(橫掃)RX Mapping'!AT47-361),IF(AND('(橫掃)RX Mapping'!AT47&gt;=601,'(橫掃)RX Mapping'!AT47&lt;=720), (-1)*('(橫掃)RX Mapping'!AT47-720)+120,IF(AND('(橫掃)RX Mapping'!AT47&gt;=721,'(橫掃)RX Mapping'!AT47&lt;=840), ('(橫掃)RX Mapping'!AT47-601),IF(AND('(橫掃)RX Mapping'!AT47&gt;=841,'(橫掃)RX Mapping'!AT47&lt;=960), (-1)*('(橫掃)RX Mapping'!AT47-960)+120,9999))))))))</f>
        <v>9999</v>
      </c>
      <c r="AU47">
        <f>IF(AND('(橫掃)RX Mapping'!AU47&gt;=1,'(橫掃)RX Mapping'!AU47&lt;=120), ('(橫掃)RX Mapping'!AU47-1),IF(AND('(橫掃)RX Mapping'!AU47&gt;=121,'(橫掃)RX Mapping'!AU47&lt;=240), (-1)*('(橫掃)RX Mapping'!AU47-240),IF(AND('(橫掃)RX Mapping'!AU47&gt;=241,'(橫掃)RX Mapping'!AU47&lt;=360), ('(橫掃)RX Mapping'!AU47-241),IF(AND('(橫掃)RX Mapping'!AU47&gt;=361,'(橫掃)RX Mapping'!AU47&lt;=480), (-1)*('(橫掃)RX Mapping'!AU47-480),IF(AND('(橫掃)RX Mapping'!AU47&gt;=481,'(橫掃)RX Mapping'!AU47&lt;=600), ('(橫掃)RX Mapping'!AU47-361),IF(AND('(橫掃)RX Mapping'!AU47&gt;=601,'(橫掃)RX Mapping'!AU47&lt;=720), (-1)*('(橫掃)RX Mapping'!AU47-720)+120,IF(AND('(橫掃)RX Mapping'!AU47&gt;=721,'(橫掃)RX Mapping'!AU47&lt;=840), ('(橫掃)RX Mapping'!AU47-601),IF(AND('(橫掃)RX Mapping'!AU47&gt;=841,'(橫掃)RX Mapping'!AU47&lt;=960), (-1)*('(橫掃)RX Mapping'!AU47-960)+120,9999))))))))</f>
        <v>9999</v>
      </c>
      <c r="AV47">
        <f>IF(AND('(橫掃)RX Mapping'!AV47&gt;=1,'(橫掃)RX Mapping'!AV47&lt;=120), ('(橫掃)RX Mapping'!AV47-1),IF(AND('(橫掃)RX Mapping'!AV47&gt;=121,'(橫掃)RX Mapping'!AV47&lt;=240), (-1)*('(橫掃)RX Mapping'!AV47-240),IF(AND('(橫掃)RX Mapping'!AV47&gt;=241,'(橫掃)RX Mapping'!AV47&lt;=360), ('(橫掃)RX Mapping'!AV47-241),IF(AND('(橫掃)RX Mapping'!AV47&gt;=361,'(橫掃)RX Mapping'!AV47&lt;=480), (-1)*('(橫掃)RX Mapping'!AV47-480),IF(AND('(橫掃)RX Mapping'!AV47&gt;=481,'(橫掃)RX Mapping'!AV47&lt;=600), ('(橫掃)RX Mapping'!AV47-361),IF(AND('(橫掃)RX Mapping'!AV47&gt;=601,'(橫掃)RX Mapping'!AV47&lt;=720), (-1)*('(橫掃)RX Mapping'!AV47-720)+120,IF(AND('(橫掃)RX Mapping'!AV47&gt;=721,'(橫掃)RX Mapping'!AV47&lt;=840), ('(橫掃)RX Mapping'!AV47-601),IF(AND('(橫掃)RX Mapping'!AV47&gt;=841,'(橫掃)RX Mapping'!AV47&lt;=960), (-1)*('(橫掃)RX Mapping'!AV47-960)+120,9999))))))))</f>
        <v>9999</v>
      </c>
      <c r="AW47">
        <f>IF(AND('(橫掃)RX Mapping'!AW47&gt;=1,'(橫掃)RX Mapping'!AW47&lt;=120), ('(橫掃)RX Mapping'!AW47-1),IF(AND('(橫掃)RX Mapping'!AW47&gt;=121,'(橫掃)RX Mapping'!AW47&lt;=240), (-1)*('(橫掃)RX Mapping'!AW47-240),IF(AND('(橫掃)RX Mapping'!AW47&gt;=241,'(橫掃)RX Mapping'!AW47&lt;=360), ('(橫掃)RX Mapping'!AW47-241),IF(AND('(橫掃)RX Mapping'!AW47&gt;=361,'(橫掃)RX Mapping'!AW47&lt;=480), (-1)*('(橫掃)RX Mapping'!AW47-480),IF(AND('(橫掃)RX Mapping'!AW47&gt;=481,'(橫掃)RX Mapping'!AW47&lt;=600), ('(橫掃)RX Mapping'!AW47-361),IF(AND('(橫掃)RX Mapping'!AW47&gt;=601,'(橫掃)RX Mapping'!AW47&lt;=720), (-1)*('(橫掃)RX Mapping'!AW47-720)+120,IF(AND('(橫掃)RX Mapping'!AW47&gt;=721,'(橫掃)RX Mapping'!AW47&lt;=840), ('(橫掃)RX Mapping'!AW47-601),IF(AND('(橫掃)RX Mapping'!AW47&gt;=841,'(橫掃)RX Mapping'!AW47&lt;=960), (-1)*('(橫掃)RX Mapping'!AW47-960)+120,9999))))))))</f>
        <v>9999</v>
      </c>
      <c r="AX47">
        <f>IF(AND('(橫掃)RX Mapping'!AX47&gt;=1,'(橫掃)RX Mapping'!AX47&lt;=120), ('(橫掃)RX Mapping'!AX47-1),IF(AND('(橫掃)RX Mapping'!AX47&gt;=121,'(橫掃)RX Mapping'!AX47&lt;=240), (-1)*('(橫掃)RX Mapping'!AX47-240),IF(AND('(橫掃)RX Mapping'!AX47&gt;=241,'(橫掃)RX Mapping'!AX47&lt;=360), ('(橫掃)RX Mapping'!AX47-241),IF(AND('(橫掃)RX Mapping'!AX47&gt;=361,'(橫掃)RX Mapping'!AX47&lt;=480), (-1)*('(橫掃)RX Mapping'!AX47-480),IF(AND('(橫掃)RX Mapping'!AX47&gt;=481,'(橫掃)RX Mapping'!AX47&lt;=600), ('(橫掃)RX Mapping'!AX47-361),IF(AND('(橫掃)RX Mapping'!AX47&gt;=601,'(橫掃)RX Mapping'!AX47&lt;=720), (-1)*('(橫掃)RX Mapping'!AX47-720)+120,IF(AND('(橫掃)RX Mapping'!AX47&gt;=721,'(橫掃)RX Mapping'!AX47&lt;=840), ('(橫掃)RX Mapping'!AX47-601),IF(AND('(橫掃)RX Mapping'!AX47&gt;=841,'(橫掃)RX Mapping'!AX47&lt;=960), (-1)*('(橫掃)RX Mapping'!AX47-960)+120,9999))))))))</f>
        <v>9999</v>
      </c>
      <c r="AY47">
        <f>IF(AND('(橫掃)RX Mapping'!AY47&gt;=1,'(橫掃)RX Mapping'!AY47&lt;=120), ('(橫掃)RX Mapping'!AY47-1),IF(AND('(橫掃)RX Mapping'!AY47&gt;=121,'(橫掃)RX Mapping'!AY47&lt;=240), (-1)*('(橫掃)RX Mapping'!AY47-240),IF(AND('(橫掃)RX Mapping'!AY47&gt;=241,'(橫掃)RX Mapping'!AY47&lt;=360), ('(橫掃)RX Mapping'!AY47-241),IF(AND('(橫掃)RX Mapping'!AY47&gt;=361,'(橫掃)RX Mapping'!AY47&lt;=480), (-1)*('(橫掃)RX Mapping'!AY47-480),IF(AND('(橫掃)RX Mapping'!AY47&gt;=481,'(橫掃)RX Mapping'!AY47&lt;=600), ('(橫掃)RX Mapping'!AY47-361),IF(AND('(橫掃)RX Mapping'!AY47&gt;=601,'(橫掃)RX Mapping'!AY47&lt;=720), (-1)*('(橫掃)RX Mapping'!AY47-720)+120,IF(AND('(橫掃)RX Mapping'!AY47&gt;=721,'(橫掃)RX Mapping'!AY47&lt;=840), ('(橫掃)RX Mapping'!AY47-601),IF(AND('(橫掃)RX Mapping'!AY47&gt;=841,'(橫掃)RX Mapping'!AY47&lt;=960), (-1)*('(橫掃)RX Mapping'!AY47-960)+120,9999))))))))</f>
        <v>9999</v>
      </c>
      <c r="AZ47">
        <f>IF(AND('(橫掃)RX Mapping'!AZ47&gt;=1,'(橫掃)RX Mapping'!AZ47&lt;=120), ('(橫掃)RX Mapping'!AZ47-1),IF(AND('(橫掃)RX Mapping'!AZ47&gt;=121,'(橫掃)RX Mapping'!AZ47&lt;=240), (-1)*('(橫掃)RX Mapping'!AZ47-240),IF(AND('(橫掃)RX Mapping'!AZ47&gt;=241,'(橫掃)RX Mapping'!AZ47&lt;=360), ('(橫掃)RX Mapping'!AZ47-241),IF(AND('(橫掃)RX Mapping'!AZ47&gt;=361,'(橫掃)RX Mapping'!AZ47&lt;=480), (-1)*('(橫掃)RX Mapping'!AZ47-480),IF(AND('(橫掃)RX Mapping'!AZ47&gt;=481,'(橫掃)RX Mapping'!AZ47&lt;=600), ('(橫掃)RX Mapping'!AZ47-361),IF(AND('(橫掃)RX Mapping'!AZ47&gt;=601,'(橫掃)RX Mapping'!AZ47&lt;=720), (-1)*('(橫掃)RX Mapping'!AZ47-720)+120,IF(AND('(橫掃)RX Mapping'!AZ47&gt;=721,'(橫掃)RX Mapping'!AZ47&lt;=840), ('(橫掃)RX Mapping'!AZ47-601),IF(AND('(橫掃)RX Mapping'!AZ47&gt;=841,'(橫掃)RX Mapping'!AZ47&lt;=960), (-1)*('(橫掃)RX Mapping'!AZ47-960)+120,9999))))))))</f>
        <v>9999</v>
      </c>
      <c r="BA47">
        <f>IF(AND('(橫掃)RX Mapping'!BA47&gt;=1,'(橫掃)RX Mapping'!BA47&lt;=120), ('(橫掃)RX Mapping'!BA47-1),IF(AND('(橫掃)RX Mapping'!BA47&gt;=121,'(橫掃)RX Mapping'!BA47&lt;=240), (-1)*('(橫掃)RX Mapping'!BA47-240),IF(AND('(橫掃)RX Mapping'!BA47&gt;=241,'(橫掃)RX Mapping'!BA47&lt;=360), ('(橫掃)RX Mapping'!BA47-241),IF(AND('(橫掃)RX Mapping'!BA47&gt;=361,'(橫掃)RX Mapping'!BA47&lt;=480), (-1)*('(橫掃)RX Mapping'!BA47-480),IF(AND('(橫掃)RX Mapping'!BA47&gt;=481,'(橫掃)RX Mapping'!BA47&lt;=600), ('(橫掃)RX Mapping'!BA47-361),IF(AND('(橫掃)RX Mapping'!BA47&gt;=601,'(橫掃)RX Mapping'!BA47&lt;=720), (-1)*('(橫掃)RX Mapping'!BA47-720)+120,IF(AND('(橫掃)RX Mapping'!BA47&gt;=721,'(橫掃)RX Mapping'!BA47&lt;=840), ('(橫掃)RX Mapping'!BA47-601),IF(AND('(橫掃)RX Mapping'!BA47&gt;=841,'(橫掃)RX Mapping'!BA47&lt;=960), (-1)*('(橫掃)RX Mapping'!BA47-960)+120,9999))))))))</f>
        <v>9999</v>
      </c>
      <c r="BB47">
        <f>IF(AND('(橫掃)RX Mapping'!BB47&gt;=1,'(橫掃)RX Mapping'!BB47&lt;=120), ('(橫掃)RX Mapping'!BB47-1),IF(AND('(橫掃)RX Mapping'!BB47&gt;=121,'(橫掃)RX Mapping'!BB47&lt;=240), (-1)*('(橫掃)RX Mapping'!BB47-240),IF(AND('(橫掃)RX Mapping'!BB47&gt;=241,'(橫掃)RX Mapping'!BB47&lt;=360), ('(橫掃)RX Mapping'!BB47-241),IF(AND('(橫掃)RX Mapping'!BB47&gt;=361,'(橫掃)RX Mapping'!BB47&lt;=480), (-1)*('(橫掃)RX Mapping'!BB47-480),IF(AND('(橫掃)RX Mapping'!BB47&gt;=481,'(橫掃)RX Mapping'!BB47&lt;=600), ('(橫掃)RX Mapping'!BB47-361),IF(AND('(橫掃)RX Mapping'!BB47&gt;=601,'(橫掃)RX Mapping'!BB47&lt;=720), (-1)*('(橫掃)RX Mapping'!BB47-720)+120,IF(AND('(橫掃)RX Mapping'!BB47&gt;=721,'(橫掃)RX Mapping'!BB47&lt;=840), ('(橫掃)RX Mapping'!BB47-601),IF(AND('(橫掃)RX Mapping'!BB47&gt;=841,'(橫掃)RX Mapping'!BB47&lt;=960), (-1)*('(橫掃)RX Mapping'!BB47-960)+120,9999))))))))</f>
        <v>9999</v>
      </c>
      <c r="BC47">
        <f>IF(AND('(橫掃)RX Mapping'!BC47&gt;=1,'(橫掃)RX Mapping'!BC47&lt;=120), ('(橫掃)RX Mapping'!BC47-1),IF(AND('(橫掃)RX Mapping'!BC47&gt;=121,'(橫掃)RX Mapping'!BC47&lt;=240), (-1)*('(橫掃)RX Mapping'!BC47-240),IF(AND('(橫掃)RX Mapping'!BC47&gt;=241,'(橫掃)RX Mapping'!BC47&lt;=360), ('(橫掃)RX Mapping'!BC47-241),IF(AND('(橫掃)RX Mapping'!BC47&gt;=361,'(橫掃)RX Mapping'!BC47&lt;=480), (-1)*('(橫掃)RX Mapping'!BC47-480),IF(AND('(橫掃)RX Mapping'!BC47&gt;=481,'(橫掃)RX Mapping'!BC47&lt;=600), ('(橫掃)RX Mapping'!BC47-361),IF(AND('(橫掃)RX Mapping'!BC47&gt;=601,'(橫掃)RX Mapping'!BC47&lt;=720), (-1)*('(橫掃)RX Mapping'!BC47-720)+120,IF(AND('(橫掃)RX Mapping'!BC47&gt;=721,'(橫掃)RX Mapping'!BC47&lt;=840), ('(橫掃)RX Mapping'!BC47-601),IF(AND('(橫掃)RX Mapping'!BC47&gt;=841,'(橫掃)RX Mapping'!BC47&lt;=960), (-1)*('(橫掃)RX Mapping'!BC47-960)+120,9999))))))))</f>
        <v>9999</v>
      </c>
      <c r="BD47">
        <f>IF(AND('(橫掃)RX Mapping'!BD47&gt;=1,'(橫掃)RX Mapping'!BD47&lt;=120), ('(橫掃)RX Mapping'!BD47-1),IF(AND('(橫掃)RX Mapping'!BD47&gt;=121,'(橫掃)RX Mapping'!BD47&lt;=240), (-1)*('(橫掃)RX Mapping'!BD47-240),IF(AND('(橫掃)RX Mapping'!BD47&gt;=241,'(橫掃)RX Mapping'!BD47&lt;=360), ('(橫掃)RX Mapping'!BD47-241),IF(AND('(橫掃)RX Mapping'!BD47&gt;=361,'(橫掃)RX Mapping'!BD47&lt;=480), (-1)*('(橫掃)RX Mapping'!BD47-480),IF(AND('(橫掃)RX Mapping'!BD47&gt;=481,'(橫掃)RX Mapping'!BD47&lt;=600), ('(橫掃)RX Mapping'!BD47-361),IF(AND('(橫掃)RX Mapping'!BD47&gt;=601,'(橫掃)RX Mapping'!BD47&lt;=720), (-1)*('(橫掃)RX Mapping'!BD47-720)+120,IF(AND('(橫掃)RX Mapping'!BD47&gt;=721,'(橫掃)RX Mapping'!BD47&lt;=840), ('(橫掃)RX Mapping'!BD47-601),IF(AND('(橫掃)RX Mapping'!BD47&gt;=841,'(橫掃)RX Mapping'!BD47&lt;=960), (-1)*('(橫掃)RX Mapping'!BD47-960)+120,9999))))))))</f>
        <v>9999</v>
      </c>
      <c r="BE47">
        <f>IF(AND('(橫掃)RX Mapping'!BE47&gt;=1,'(橫掃)RX Mapping'!BE47&lt;=120), ('(橫掃)RX Mapping'!BE47-1),IF(AND('(橫掃)RX Mapping'!BE47&gt;=121,'(橫掃)RX Mapping'!BE47&lt;=240), (-1)*('(橫掃)RX Mapping'!BE47-240),IF(AND('(橫掃)RX Mapping'!BE47&gt;=241,'(橫掃)RX Mapping'!BE47&lt;=360), ('(橫掃)RX Mapping'!BE47-241),IF(AND('(橫掃)RX Mapping'!BE47&gt;=361,'(橫掃)RX Mapping'!BE47&lt;=480), (-1)*('(橫掃)RX Mapping'!BE47-480),IF(AND('(橫掃)RX Mapping'!BE47&gt;=481,'(橫掃)RX Mapping'!BE47&lt;=600), ('(橫掃)RX Mapping'!BE47-361),IF(AND('(橫掃)RX Mapping'!BE47&gt;=601,'(橫掃)RX Mapping'!BE47&lt;=720), (-1)*('(橫掃)RX Mapping'!BE47-720)+120,IF(AND('(橫掃)RX Mapping'!BE47&gt;=721,'(橫掃)RX Mapping'!BE47&lt;=840), ('(橫掃)RX Mapping'!BE47-601),IF(AND('(橫掃)RX Mapping'!BE47&gt;=841,'(橫掃)RX Mapping'!BE47&lt;=960), (-1)*('(橫掃)RX Mapping'!BE47-960)+120,9999))))))))</f>
        <v>9999</v>
      </c>
      <c r="BF47">
        <f>IF(AND('(橫掃)RX Mapping'!BF47&gt;=1,'(橫掃)RX Mapping'!BF47&lt;=120), ('(橫掃)RX Mapping'!BF47-1),IF(AND('(橫掃)RX Mapping'!BF47&gt;=121,'(橫掃)RX Mapping'!BF47&lt;=240), (-1)*('(橫掃)RX Mapping'!BF47-240),IF(AND('(橫掃)RX Mapping'!BF47&gt;=241,'(橫掃)RX Mapping'!BF47&lt;=360), ('(橫掃)RX Mapping'!BF47-241),IF(AND('(橫掃)RX Mapping'!BF47&gt;=361,'(橫掃)RX Mapping'!BF47&lt;=480), (-1)*('(橫掃)RX Mapping'!BF47-480),IF(AND('(橫掃)RX Mapping'!BF47&gt;=481,'(橫掃)RX Mapping'!BF47&lt;=600), ('(橫掃)RX Mapping'!BF47-361),IF(AND('(橫掃)RX Mapping'!BF47&gt;=601,'(橫掃)RX Mapping'!BF47&lt;=720), (-1)*('(橫掃)RX Mapping'!BF47-720)+120,IF(AND('(橫掃)RX Mapping'!BF47&gt;=721,'(橫掃)RX Mapping'!BF47&lt;=840), ('(橫掃)RX Mapping'!BF47-601),IF(AND('(橫掃)RX Mapping'!BF47&gt;=841,'(橫掃)RX Mapping'!BF47&lt;=960), (-1)*('(橫掃)RX Mapping'!BF47-960)+120,9999))))))))</f>
        <v>9999</v>
      </c>
      <c r="BG47">
        <f>IF(AND('(橫掃)RX Mapping'!BG47&gt;=1,'(橫掃)RX Mapping'!BG47&lt;=120), ('(橫掃)RX Mapping'!BG47-1),IF(AND('(橫掃)RX Mapping'!BG47&gt;=121,'(橫掃)RX Mapping'!BG47&lt;=240), (-1)*('(橫掃)RX Mapping'!BG47-240),IF(AND('(橫掃)RX Mapping'!BG47&gt;=241,'(橫掃)RX Mapping'!BG47&lt;=360), ('(橫掃)RX Mapping'!BG47-241),IF(AND('(橫掃)RX Mapping'!BG47&gt;=361,'(橫掃)RX Mapping'!BG47&lt;=480), (-1)*('(橫掃)RX Mapping'!BG47-480),IF(AND('(橫掃)RX Mapping'!BG47&gt;=481,'(橫掃)RX Mapping'!BG47&lt;=600), ('(橫掃)RX Mapping'!BG47-361),IF(AND('(橫掃)RX Mapping'!BG47&gt;=601,'(橫掃)RX Mapping'!BG47&lt;=720), (-1)*('(橫掃)RX Mapping'!BG47-720)+120,IF(AND('(橫掃)RX Mapping'!BG47&gt;=721,'(橫掃)RX Mapping'!BG47&lt;=840), ('(橫掃)RX Mapping'!BG47-601),IF(AND('(橫掃)RX Mapping'!BG47&gt;=841,'(橫掃)RX Mapping'!BG47&lt;=960), (-1)*('(橫掃)RX Mapping'!BG47-960)+120,9999))))))))</f>
        <v>9999</v>
      </c>
      <c r="BH47">
        <f>IF(AND('(橫掃)RX Mapping'!BH47&gt;=1,'(橫掃)RX Mapping'!BH47&lt;=120), ('(橫掃)RX Mapping'!BH47-1),IF(AND('(橫掃)RX Mapping'!BH47&gt;=121,'(橫掃)RX Mapping'!BH47&lt;=240), (-1)*('(橫掃)RX Mapping'!BH47-240),IF(AND('(橫掃)RX Mapping'!BH47&gt;=241,'(橫掃)RX Mapping'!BH47&lt;=360), ('(橫掃)RX Mapping'!BH47-241),IF(AND('(橫掃)RX Mapping'!BH47&gt;=361,'(橫掃)RX Mapping'!BH47&lt;=480), (-1)*('(橫掃)RX Mapping'!BH47-480),IF(AND('(橫掃)RX Mapping'!BH47&gt;=481,'(橫掃)RX Mapping'!BH47&lt;=600), ('(橫掃)RX Mapping'!BH47-361),IF(AND('(橫掃)RX Mapping'!BH47&gt;=601,'(橫掃)RX Mapping'!BH47&lt;=720), (-1)*('(橫掃)RX Mapping'!BH47-720)+120,IF(AND('(橫掃)RX Mapping'!BH47&gt;=721,'(橫掃)RX Mapping'!BH47&lt;=840), ('(橫掃)RX Mapping'!BH47-601),IF(AND('(橫掃)RX Mapping'!BH47&gt;=841,'(橫掃)RX Mapping'!BH47&lt;=960), (-1)*('(橫掃)RX Mapping'!BH47-960)+120,9999))))))))</f>
        <v>9999</v>
      </c>
      <c r="BI47">
        <f>IF(AND('(橫掃)RX Mapping'!BI47&gt;=1,'(橫掃)RX Mapping'!BI47&lt;=120), ('(橫掃)RX Mapping'!BI47-1),IF(AND('(橫掃)RX Mapping'!BI47&gt;=121,'(橫掃)RX Mapping'!BI47&lt;=240), (-1)*('(橫掃)RX Mapping'!BI47-240),IF(AND('(橫掃)RX Mapping'!BI47&gt;=241,'(橫掃)RX Mapping'!BI47&lt;=360), ('(橫掃)RX Mapping'!BI47-241),IF(AND('(橫掃)RX Mapping'!BI47&gt;=361,'(橫掃)RX Mapping'!BI47&lt;=480), (-1)*('(橫掃)RX Mapping'!BI47-480),IF(AND('(橫掃)RX Mapping'!BI47&gt;=481,'(橫掃)RX Mapping'!BI47&lt;=600), ('(橫掃)RX Mapping'!BI47-361),IF(AND('(橫掃)RX Mapping'!BI47&gt;=601,'(橫掃)RX Mapping'!BI47&lt;=720), (-1)*('(橫掃)RX Mapping'!BI47-720)+120,IF(AND('(橫掃)RX Mapping'!BI47&gt;=721,'(橫掃)RX Mapping'!BI47&lt;=840), ('(橫掃)RX Mapping'!BI47-601),IF(AND('(橫掃)RX Mapping'!BI47&gt;=841,'(橫掃)RX Mapping'!BI47&lt;=960), (-1)*('(橫掃)RX Mapping'!BI47-960)+120,9999))))))))</f>
        <v>9999</v>
      </c>
    </row>
    <row r="48" spans="1:61" x14ac:dyDescent="0.25">
      <c r="A48" s="20">
        <v>47</v>
      </c>
      <c r="B48">
        <f>IF(AND('(橫掃)RX Mapping'!B48&gt;=1,'(橫掃)RX Mapping'!B48&lt;=120), ('(橫掃)RX Mapping'!B48-1),IF(AND('(橫掃)RX Mapping'!B48&gt;=121,'(橫掃)RX Mapping'!B48&lt;=240), (-1)*('(橫掃)RX Mapping'!B48-240),IF(AND('(橫掃)RX Mapping'!B48&gt;=241,'(橫掃)RX Mapping'!B48&lt;=360), ('(橫掃)RX Mapping'!B48-241),IF(AND('(橫掃)RX Mapping'!B48&gt;=361,'(橫掃)RX Mapping'!B48&lt;=480), (-1)*('(橫掃)RX Mapping'!B48-480),IF(AND('(橫掃)RX Mapping'!B48&gt;=481,'(橫掃)RX Mapping'!B48&lt;=600), ('(橫掃)RX Mapping'!B48-361),IF(AND('(橫掃)RX Mapping'!B48&gt;=601,'(橫掃)RX Mapping'!B48&lt;=720), (-1)*('(橫掃)RX Mapping'!B48-720)+120,IF(AND('(橫掃)RX Mapping'!B48&gt;=721,'(橫掃)RX Mapping'!B48&lt;=840), ('(橫掃)RX Mapping'!B48-601),IF(AND('(橫掃)RX Mapping'!B48&gt;=841,'(橫掃)RX Mapping'!B48&lt;=960), (-1)*('(橫掃)RX Mapping'!B48-960)+120,9999))))))))</f>
        <v>9999</v>
      </c>
      <c r="C48">
        <f>IF(AND('(橫掃)RX Mapping'!C48&gt;=1,'(橫掃)RX Mapping'!C48&lt;=120), ('(橫掃)RX Mapping'!C48-1),IF(AND('(橫掃)RX Mapping'!C48&gt;=121,'(橫掃)RX Mapping'!C48&lt;=240), (-1)*('(橫掃)RX Mapping'!C48-240),IF(AND('(橫掃)RX Mapping'!C48&gt;=241,'(橫掃)RX Mapping'!C48&lt;=360), ('(橫掃)RX Mapping'!C48-241),IF(AND('(橫掃)RX Mapping'!C48&gt;=361,'(橫掃)RX Mapping'!C48&lt;=480), (-1)*('(橫掃)RX Mapping'!C48-480),IF(AND('(橫掃)RX Mapping'!C48&gt;=481,'(橫掃)RX Mapping'!C48&lt;=600), ('(橫掃)RX Mapping'!C48-361),IF(AND('(橫掃)RX Mapping'!C48&gt;=601,'(橫掃)RX Mapping'!C48&lt;=720), (-1)*('(橫掃)RX Mapping'!C48-720)+120,IF(AND('(橫掃)RX Mapping'!C48&gt;=721,'(橫掃)RX Mapping'!C48&lt;=840), ('(橫掃)RX Mapping'!C48-601),IF(AND('(橫掃)RX Mapping'!C48&gt;=841,'(橫掃)RX Mapping'!C48&lt;=960), (-1)*('(橫掃)RX Mapping'!C48-960)+120,9999))))))))</f>
        <v>9999</v>
      </c>
      <c r="D48">
        <f>IF(AND('(橫掃)RX Mapping'!D48&gt;=1,'(橫掃)RX Mapping'!D48&lt;=120), ('(橫掃)RX Mapping'!D48-1),IF(AND('(橫掃)RX Mapping'!D48&gt;=121,'(橫掃)RX Mapping'!D48&lt;=240), (-1)*('(橫掃)RX Mapping'!D48-240),IF(AND('(橫掃)RX Mapping'!D48&gt;=241,'(橫掃)RX Mapping'!D48&lt;=360), ('(橫掃)RX Mapping'!D48-241),IF(AND('(橫掃)RX Mapping'!D48&gt;=361,'(橫掃)RX Mapping'!D48&lt;=480), (-1)*('(橫掃)RX Mapping'!D48-480),IF(AND('(橫掃)RX Mapping'!D48&gt;=481,'(橫掃)RX Mapping'!D48&lt;=600), ('(橫掃)RX Mapping'!D48-361),IF(AND('(橫掃)RX Mapping'!D48&gt;=601,'(橫掃)RX Mapping'!D48&lt;=720), (-1)*('(橫掃)RX Mapping'!D48-720)+120,IF(AND('(橫掃)RX Mapping'!D48&gt;=721,'(橫掃)RX Mapping'!D48&lt;=840), ('(橫掃)RX Mapping'!D48-601),IF(AND('(橫掃)RX Mapping'!D48&gt;=841,'(橫掃)RX Mapping'!D48&lt;=960), (-1)*('(橫掃)RX Mapping'!D48-960)+120,9999))))))))</f>
        <v>9999</v>
      </c>
      <c r="E48">
        <f>IF(AND('(橫掃)RX Mapping'!E48&gt;=1,'(橫掃)RX Mapping'!E48&lt;=120), ('(橫掃)RX Mapping'!E48-1),IF(AND('(橫掃)RX Mapping'!E48&gt;=121,'(橫掃)RX Mapping'!E48&lt;=240), (-1)*('(橫掃)RX Mapping'!E48-240),IF(AND('(橫掃)RX Mapping'!E48&gt;=241,'(橫掃)RX Mapping'!E48&lt;=360), ('(橫掃)RX Mapping'!E48-241),IF(AND('(橫掃)RX Mapping'!E48&gt;=361,'(橫掃)RX Mapping'!E48&lt;=480), (-1)*('(橫掃)RX Mapping'!E48-480),IF(AND('(橫掃)RX Mapping'!E48&gt;=481,'(橫掃)RX Mapping'!E48&lt;=600), ('(橫掃)RX Mapping'!E48-361),IF(AND('(橫掃)RX Mapping'!E48&gt;=601,'(橫掃)RX Mapping'!E48&lt;=720), (-1)*('(橫掃)RX Mapping'!E48-720)+120,IF(AND('(橫掃)RX Mapping'!E48&gt;=721,'(橫掃)RX Mapping'!E48&lt;=840), ('(橫掃)RX Mapping'!E48-601),IF(AND('(橫掃)RX Mapping'!E48&gt;=841,'(橫掃)RX Mapping'!E48&lt;=960), (-1)*('(橫掃)RX Mapping'!E48-960)+120,9999))))))))</f>
        <v>9999</v>
      </c>
      <c r="F48">
        <f>IF(AND('(橫掃)RX Mapping'!F48&gt;=1,'(橫掃)RX Mapping'!F48&lt;=120), ('(橫掃)RX Mapping'!F48-1),IF(AND('(橫掃)RX Mapping'!F48&gt;=121,'(橫掃)RX Mapping'!F48&lt;=240), (-1)*('(橫掃)RX Mapping'!F48-240),IF(AND('(橫掃)RX Mapping'!F48&gt;=241,'(橫掃)RX Mapping'!F48&lt;=360), ('(橫掃)RX Mapping'!F48-241),IF(AND('(橫掃)RX Mapping'!F48&gt;=361,'(橫掃)RX Mapping'!F48&lt;=480), (-1)*('(橫掃)RX Mapping'!F48-480),IF(AND('(橫掃)RX Mapping'!F48&gt;=481,'(橫掃)RX Mapping'!F48&lt;=600), ('(橫掃)RX Mapping'!F48-361),IF(AND('(橫掃)RX Mapping'!F48&gt;=601,'(橫掃)RX Mapping'!F48&lt;=720), (-1)*('(橫掃)RX Mapping'!F48-720)+120,IF(AND('(橫掃)RX Mapping'!F48&gt;=721,'(橫掃)RX Mapping'!F48&lt;=840), ('(橫掃)RX Mapping'!F48-601),IF(AND('(橫掃)RX Mapping'!F48&gt;=841,'(橫掃)RX Mapping'!F48&lt;=960), (-1)*('(橫掃)RX Mapping'!F48-960)+120,9999))))))))</f>
        <v>9999</v>
      </c>
      <c r="G48">
        <f>IF(AND('(橫掃)RX Mapping'!G48&gt;=1,'(橫掃)RX Mapping'!G48&lt;=120), ('(橫掃)RX Mapping'!G48-1),IF(AND('(橫掃)RX Mapping'!G48&gt;=121,'(橫掃)RX Mapping'!G48&lt;=240), (-1)*('(橫掃)RX Mapping'!G48-240),IF(AND('(橫掃)RX Mapping'!G48&gt;=241,'(橫掃)RX Mapping'!G48&lt;=360), ('(橫掃)RX Mapping'!G48-241),IF(AND('(橫掃)RX Mapping'!G48&gt;=361,'(橫掃)RX Mapping'!G48&lt;=480), (-1)*('(橫掃)RX Mapping'!G48-480),IF(AND('(橫掃)RX Mapping'!G48&gt;=481,'(橫掃)RX Mapping'!G48&lt;=600), ('(橫掃)RX Mapping'!G48-361),IF(AND('(橫掃)RX Mapping'!G48&gt;=601,'(橫掃)RX Mapping'!G48&lt;=720), (-1)*('(橫掃)RX Mapping'!G48-720)+120,IF(AND('(橫掃)RX Mapping'!G48&gt;=721,'(橫掃)RX Mapping'!G48&lt;=840), ('(橫掃)RX Mapping'!G48-601),IF(AND('(橫掃)RX Mapping'!G48&gt;=841,'(橫掃)RX Mapping'!G48&lt;=960), (-1)*('(橫掃)RX Mapping'!G48-960)+120,9999))))))))</f>
        <v>9999</v>
      </c>
      <c r="H48">
        <f>IF(AND('(橫掃)RX Mapping'!H48&gt;=1,'(橫掃)RX Mapping'!H48&lt;=120), ('(橫掃)RX Mapping'!H48-1),IF(AND('(橫掃)RX Mapping'!H48&gt;=121,'(橫掃)RX Mapping'!H48&lt;=240), (-1)*('(橫掃)RX Mapping'!H48-240),IF(AND('(橫掃)RX Mapping'!H48&gt;=241,'(橫掃)RX Mapping'!H48&lt;=360), ('(橫掃)RX Mapping'!H48-241),IF(AND('(橫掃)RX Mapping'!H48&gt;=361,'(橫掃)RX Mapping'!H48&lt;=480), (-1)*('(橫掃)RX Mapping'!H48-480),IF(AND('(橫掃)RX Mapping'!H48&gt;=481,'(橫掃)RX Mapping'!H48&lt;=600), ('(橫掃)RX Mapping'!H48-361),IF(AND('(橫掃)RX Mapping'!H48&gt;=601,'(橫掃)RX Mapping'!H48&lt;=720), (-1)*('(橫掃)RX Mapping'!H48-720)+120,IF(AND('(橫掃)RX Mapping'!H48&gt;=721,'(橫掃)RX Mapping'!H48&lt;=840), ('(橫掃)RX Mapping'!H48-601),IF(AND('(橫掃)RX Mapping'!H48&gt;=841,'(橫掃)RX Mapping'!H48&lt;=960), (-1)*('(橫掃)RX Mapping'!H48-960)+120,9999))))))))</f>
        <v>9999</v>
      </c>
      <c r="I48">
        <f>IF(AND('(橫掃)RX Mapping'!I48&gt;=1,'(橫掃)RX Mapping'!I48&lt;=120), ('(橫掃)RX Mapping'!I48-1),IF(AND('(橫掃)RX Mapping'!I48&gt;=121,'(橫掃)RX Mapping'!I48&lt;=240), (-1)*('(橫掃)RX Mapping'!I48-240),IF(AND('(橫掃)RX Mapping'!I48&gt;=241,'(橫掃)RX Mapping'!I48&lt;=360), ('(橫掃)RX Mapping'!I48-241),IF(AND('(橫掃)RX Mapping'!I48&gt;=361,'(橫掃)RX Mapping'!I48&lt;=480), (-1)*('(橫掃)RX Mapping'!I48-480),IF(AND('(橫掃)RX Mapping'!I48&gt;=481,'(橫掃)RX Mapping'!I48&lt;=600), ('(橫掃)RX Mapping'!I48-361),IF(AND('(橫掃)RX Mapping'!I48&gt;=601,'(橫掃)RX Mapping'!I48&lt;=720), (-1)*('(橫掃)RX Mapping'!I48-720)+120,IF(AND('(橫掃)RX Mapping'!I48&gt;=721,'(橫掃)RX Mapping'!I48&lt;=840), ('(橫掃)RX Mapping'!I48-601),IF(AND('(橫掃)RX Mapping'!I48&gt;=841,'(橫掃)RX Mapping'!I48&lt;=960), (-1)*('(橫掃)RX Mapping'!I48-960)+120,9999))))))))</f>
        <v>9999</v>
      </c>
      <c r="J48">
        <f>IF(AND('(橫掃)RX Mapping'!J48&gt;=1,'(橫掃)RX Mapping'!J48&lt;=120), ('(橫掃)RX Mapping'!J48-1),IF(AND('(橫掃)RX Mapping'!J48&gt;=121,'(橫掃)RX Mapping'!J48&lt;=240), (-1)*('(橫掃)RX Mapping'!J48-240),IF(AND('(橫掃)RX Mapping'!J48&gt;=241,'(橫掃)RX Mapping'!J48&lt;=360), ('(橫掃)RX Mapping'!J48-241),IF(AND('(橫掃)RX Mapping'!J48&gt;=361,'(橫掃)RX Mapping'!J48&lt;=480), (-1)*('(橫掃)RX Mapping'!J48-480),IF(AND('(橫掃)RX Mapping'!J48&gt;=481,'(橫掃)RX Mapping'!J48&lt;=600), ('(橫掃)RX Mapping'!J48-361),IF(AND('(橫掃)RX Mapping'!J48&gt;=601,'(橫掃)RX Mapping'!J48&lt;=720), (-1)*('(橫掃)RX Mapping'!J48-720)+120,IF(AND('(橫掃)RX Mapping'!J48&gt;=721,'(橫掃)RX Mapping'!J48&lt;=840), ('(橫掃)RX Mapping'!J48-601),IF(AND('(橫掃)RX Mapping'!J48&gt;=841,'(橫掃)RX Mapping'!J48&lt;=960), (-1)*('(橫掃)RX Mapping'!J48-960)+120,9999))))))))</f>
        <v>9999</v>
      </c>
      <c r="K48">
        <f>IF(AND('(橫掃)RX Mapping'!K48&gt;=1,'(橫掃)RX Mapping'!K48&lt;=120), ('(橫掃)RX Mapping'!K48-1),IF(AND('(橫掃)RX Mapping'!K48&gt;=121,'(橫掃)RX Mapping'!K48&lt;=240), (-1)*('(橫掃)RX Mapping'!K48-240),IF(AND('(橫掃)RX Mapping'!K48&gt;=241,'(橫掃)RX Mapping'!K48&lt;=360), ('(橫掃)RX Mapping'!K48-241),IF(AND('(橫掃)RX Mapping'!K48&gt;=361,'(橫掃)RX Mapping'!K48&lt;=480), (-1)*('(橫掃)RX Mapping'!K48-480),IF(AND('(橫掃)RX Mapping'!K48&gt;=481,'(橫掃)RX Mapping'!K48&lt;=600), ('(橫掃)RX Mapping'!K48-361),IF(AND('(橫掃)RX Mapping'!K48&gt;=601,'(橫掃)RX Mapping'!K48&lt;=720), (-1)*('(橫掃)RX Mapping'!K48-720)+120,IF(AND('(橫掃)RX Mapping'!K48&gt;=721,'(橫掃)RX Mapping'!K48&lt;=840), ('(橫掃)RX Mapping'!K48-601),IF(AND('(橫掃)RX Mapping'!K48&gt;=841,'(橫掃)RX Mapping'!K48&lt;=960), (-1)*('(橫掃)RX Mapping'!K48-960)+120,9999))))))))</f>
        <v>9999</v>
      </c>
      <c r="L48">
        <f>IF(AND('(橫掃)RX Mapping'!L48&gt;=1,'(橫掃)RX Mapping'!L48&lt;=120), ('(橫掃)RX Mapping'!L48-1),IF(AND('(橫掃)RX Mapping'!L48&gt;=121,'(橫掃)RX Mapping'!L48&lt;=240), (-1)*('(橫掃)RX Mapping'!L48-240),IF(AND('(橫掃)RX Mapping'!L48&gt;=241,'(橫掃)RX Mapping'!L48&lt;=360), ('(橫掃)RX Mapping'!L48-241),IF(AND('(橫掃)RX Mapping'!L48&gt;=361,'(橫掃)RX Mapping'!L48&lt;=480), (-1)*('(橫掃)RX Mapping'!L48-480),IF(AND('(橫掃)RX Mapping'!L48&gt;=481,'(橫掃)RX Mapping'!L48&lt;=600), ('(橫掃)RX Mapping'!L48-361),IF(AND('(橫掃)RX Mapping'!L48&gt;=601,'(橫掃)RX Mapping'!L48&lt;=720), (-1)*('(橫掃)RX Mapping'!L48-720)+120,IF(AND('(橫掃)RX Mapping'!L48&gt;=721,'(橫掃)RX Mapping'!L48&lt;=840), ('(橫掃)RX Mapping'!L48-601),IF(AND('(橫掃)RX Mapping'!L48&gt;=841,'(橫掃)RX Mapping'!L48&lt;=960), (-1)*('(橫掃)RX Mapping'!L48-960)+120,9999))))))))</f>
        <v>9999</v>
      </c>
      <c r="M48">
        <f>IF(AND('(橫掃)RX Mapping'!M48&gt;=1,'(橫掃)RX Mapping'!M48&lt;=120), ('(橫掃)RX Mapping'!M48-1),IF(AND('(橫掃)RX Mapping'!M48&gt;=121,'(橫掃)RX Mapping'!M48&lt;=240), (-1)*('(橫掃)RX Mapping'!M48-240),IF(AND('(橫掃)RX Mapping'!M48&gt;=241,'(橫掃)RX Mapping'!M48&lt;=360), ('(橫掃)RX Mapping'!M48-241),IF(AND('(橫掃)RX Mapping'!M48&gt;=361,'(橫掃)RX Mapping'!M48&lt;=480), (-1)*('(橫掃)RX Mapping'!M48-480),IF(AND('(橫掃)RX Mapping'!M48&gt;=481,'(橫掃)RX Mapping'!M48&lt;=600), ('(橫掃)RX Mapping'!M48-361),IF(AND('(橫掃)RX Mapping'!M48&gt;=601,'(橫掃)RX Mapping'!M48&lt;=720), (-1)*('(橫掃)RX Mapping'!M48-720)+120,IF(AND('(橫掃)RX Mapping'!M48&gt;=721,'(橫掃)RX Mapping'!M48&lt;=840), ('(橫掃)RX Mapping'!M48-601),IF(AND('(橫掃)RX Mapping'!M48&gt;=841,'(橫掃)RX Mapping'!M48&lt;=960), (-1)*('(橫掃)RX Mapping'!M48-960)+120,9999))))))))</f>
        <v>9999</v>
      </c>
      <c r="N48">
        <f>IF(AND('(橫掃)RX Mapping'!N48&gt;=1,'(橫掃)RX Mapping'!N48&lt;=120), ('(橫掃)RX Mapping'!N48-1),IF(AND('(橫掃)RX Mapping'!N48&gt;=121,'(橫掃)RX Mapping'!N48&lt;=240), (-1)*('(橫掃)RX Mapping'!N48-240),IF(AND('(橫掃)RX Mapping'!N48&gt;=241,'(橫掃)RX Mapping'!N48&lt;=360), ('(橫掃)RX Mapping'!N48-241),IF(AND('(橫掃)RX Mapping'!N48&gt;=361,'(橫掃)RX Mapping'!N48&lt;=480), (-1)*('(橫掃)RX Mapping'!N48-480),IF(AND('(橫掃)RX Mapping'!N48&gt;=481,'(橫掃)RX Mapping'!N48&lt;=600), ('(橫掃)RX Mapping'!N48-361),IF(AND('(橫掃)RX Mapping'!N48&gt;=601,'(橫掃)RX Mapping'!N48&lt;=720), (-1)*('(橫掃)RX Mapping'!N48-720)+120,IF(AND('(橫掃)RX Mapping'!N48&gt;=721,'(橫掃)RX Mapping'!N48&lt;=840), ('(橫掃)RX Mapping'!N48-601),IF(AND('(橫掃)RX Mapping'!N48&gt;=841,'(橫掃)RX Mapping'!N48&lt;=960), (-1)*('(橫掃)RX Mapping'!N48-960)+120,9999))))))))</f>
        <v>9999</v>
      </c>
      <c r="O48">
        <f>IF(AND('(橫掃)RX Mapping'!O48&gt;=1,'(橫掃)RX Mapping'!O48&lt;=120), ('(橫掃)RX Mapping'!O48-1),IF(AND('(橫掃)RX Mapping'!O48&gt;=121,'(橫掃)RX Mapping'!O48&lt;=240), (-1)*('(橫掃)RX Mapping'!O48-240),IF(AND('(橫掃)RX Mapping'!O48&gt;=241,'(橫掃)RX Mapping'!O48&lt;=360), ('(橫掃)RX Mapping'!O48-241),IF(AND('(橫掃)RX Mapping'!O48&gt;=361,'(橫掃)RX Mapping'!O48&lt;=480), (-1)*('(橫掃)RX Mapping'!O48-480),IF(AND('(橫掃)RX Mapping'!O48&gt;=481,'(橫掃)RX Mapping'!O48&lt;=600), ('(橫掃)RX Mapping'!O48-361),IF(AND('(橫掃)RX Mapping'!O48&gt;=601,'(橫掃)RX Mapping'!O48&lt;=720), (-1)*('(橫掃)RX Mapping'!O48-720)+120,IF(AND('(橫掃)RX Mapping'!O48&gt;=721,'(橫掃)RX Mapping'!O48&lt;=840), ('(橫掃)RX Mapping'!O48-601),IF(AND('(橫掃)RX Mapping'!O48&gt;=841,'(橫掃)RX Mapping'!O48&lt;=960), (-1)*('(橫掃)RX Mapping'!O48-960)+120,9999))))))))</f>
        <v>9999</v>
      </c>
      <c r="P48">
        <f>IF(AND('(橫掃)RX Mapping'!P48&gt;=1,'(橫掃)RX Mapping'!P48&lt;=120), ('(橫掃)RX Mapping'!P48-1),IF(AND('(橫掃)RX Mapping'!P48&gt;=121,'(橫掃)RX Mapping'!P48&lt;=240), (-1)*('(橫掃)RX Mapping'!P48-240),IF(AND('(橫掃)RX Mapping'!P48&gt;=241,'(橫掃)RX Mapping'!P48&lt;=360), ('(橫掃)RX Mapping'!P48-241),IF(AND('(橫掃)RX Mapping'!P48&gt;=361,'(橫掃)RX Mapping'!P48&lt;=480), (-1)*('(橫掃)RX Mapping'!P48-480),IF(AND('(橫掃)RX Mapping'!P48&gt;=481,'(橫掃)RX Mapping'!P48&lt;=600), ('(橫掃)RX Mapping'!P48-361),IF(AND('(橫掃)RX Mapping'!P48&gt;=601,'(橫掃)RX Mapping'!P48&lt;=720), (-1)*('(橫掃)RX Mapping'!P48-720)+120,IF(AND('(橫掃)RX Mapping'!P48&gt;=721,'(橫掃)RX Mapping'!P48&lt;=840), ('(橫掃)RX Mapping'!P48-601),IF(AND('(橫掃)RX Mapping'!P48&gt;=841,'(橫掃)RX Mapping'!P48&lt;=960), (-1)*('(橫掃)RX Mapping'!P48-960)+120,9999))))))))</f>
        <v>9999</v>
      </c>
      <c r="Q48">
        <f>IF(AND('(橫掃)RX Mapping'!Q48&gt;=1,'(橫掃)RX Mapping'!Q48&lt;=120), ('(橫掃)RX Mapping'!Q48-1),IF(AND('(橫掃)RX Mapping'!Q48&gt;=121,'(橫掃)RX Mapping'!Q48&lt;=240), (-1)*('(橫掃)RX Mapping'!Q48-240),IF(AND('(橫掃)RX Mapping'!Q48&gt;=241,'(橫掃)RX Mapping'!Q48&lt;=360), ('(橫掃)RX Mapping'!Q48-241),IF(AND('(橫掃)RX Mapping'!Q48&gt;=361,'(橫掃)RX Mapping'!Q48&lt;=480), (-1)*('(橫掃)RX Mapping'!Q48-480),IF(AND('(橫掃)RX Mapping'!Q48&gt;=481,'(橫掃)RX Mapping'!Q48&lt;=600), ('(橫掃)RX Mapping'!Q48-361),IF(AND('(橫掃)RX Mapping'!Q48&gt;=601,'(橫掃)RX Mapping'!Q48&lt;=720), (-1)*('(橫掃)RX Mapping'!Q48-720)+120,IF(AND('(橫掃)RX Mapping'!Q48&gt;=721,'(橫掃)RX Mapping'!Q48&lt;=840), ('(橫掃)RX Mapping'!Q48-601),IF(AND('(橫掃)RX Mapping'!Q48&gt;=841,'(橫掃)RX Mapping'!Q48&lt;=960), (-1)*('(橫掃)RX Mapping'!Q48-960)+120,9999))))))))</f>
        <v>9999</v>
      </c>
      <c r="R48">
        <f>IF(AND('(橫掃)RX Mapping'!R48&gt;=1,'(橫掃)RX Mapping'!R48&lt;=120), ('(橫掃)RX Mapping'!R48-1),IF(AND('(橫掃)RX Mapping'!R48&gt;=121,'(橫掃)RX Mapping'!R48&lt;=240), (-1)*('(橫掃)RX Mapping'!R48-240),IF(AND('(橫掃)RX Mapping'!R48&gt;=241,'(橫掃)RX Mapping'!R48&lt;=360), ('(橫掃)RX Mapping'!R48-241),IF(AND('(橫掃)RX Mapping'!R48&gt;=361,'(橫掃)RX Mapping'!R48&lt;=480), (-1)*('(橫掃)RX Mapping'!R48-480),IF(AND('(橫掃)RX Mapping'!R48&gt;=481,'(橫掃)RX Mapping'!R48&lt;=600), ('(橫掃)RX Mapping'!R48-361),IF(AND('(橫掃)RX Mapping'!R48&gt;=601,'(橫掃)RX Mapping'!R48&lt;=720), (-1)*('(橫掃)RX Mapping'!R48-720)+120,IF(AND('(橫掃)RX Mapping'!R48&gt;=721,'(橫掃)RX Mapping'!R48&lt;=840), ('(橫掃)RX Mapping'!R48-601),IF(AND('(橫掃)RX Mapping'!R48&gt;=841,'(橫掃)RX Mapping'!R48&lt;=960), (-1)*('(橫掃)RX Mapping'!R48-960)+120,9999))))))))</f>
        <v>9999</v>
      </c>
      <c r="S48">
        <f>IF(AND('(橫掃)RX Mapping'!S48&gt;=1,'(橫掃)RX Mapping'!S48&lt;=120), ('(橫掃)RX Mapping'!S48-1),IF(AND('(橫掃)RX Mapping'!S48&gt;=121,'(橫掃)RX Mapping'!S48&lt;=240), (-1)*('(橫掃)RX Mapping'!S48-240),IF(AND('(橫掃)RX Mapping'!S48&gt;=241,'(橫掃)RX Mapping'!S48&lt;=360), ('(橫掃)RX Mapping'!S48-241),IF(AND('(橫掃)RX Mapping'!S48&gt;=361,'(橫掃)RX Mapping'!S48&lt;=480), (-1)*('(橫掃)RX Mapping'!S48-480),IF(AND('(橫掃)RX Mapping'!S48&gt;=481,'(橫掃)RX Mapping'!S48&lt;=600), ('(橫掃)RX Mapping'!S48-361),IF(AND('(橫掃)RX Mapping'!S48&gt;=601,'(橫掃)RX Mapping'!S48&lt;=720), (-1)*('(橫掃)RX Mapping'!S48-720)+120,IF(AND('(橫掃)RX Mapping'!S48&gt;=721,'(橫掃)RX Mapping'!S48&lt;=840), ('(橫掃)RX Mapping'!S48-601),IF(AND('(橫掃)RX Mapping'!S48&gt;=841,'(橫掃)RX Mapping'!S48&lt;=960), (-1)*('(橫掃)RX Mapping'!S48-960)+120,9999))))))))</f>
        <v>9999</v>
      </c>
      <c r="T48">
        <f>IF(AND('(橫掃)RX Mapping'!T48&gt;=1,'(橫掃)RX Mapping'!T48&lt;=120), ('(橫掃)RX Mapping'!T48-1),IF(AND('(橫掃)RX Mapping'!T48&gt;=121,'(橫掃)RX Mapping'!T48&lt;=240), (-1)*('(橫掃)RX Mapping'!T48-240),IF(AND('(橫掃)RX Mapping'!T48&gt;=241,'(橫掃)RX Mapping'!T48&lt;=360), ('(橫掃)RX Mapping'!T48-241),IF(AND('(橫掃)RX Mapping'!T48&gt;=361,'(橫掃)RX Mapping'!T48&lt;=480), (-1)*('(橫掃)RX Mapping'!T48-480),IF(AND('(橫掃)RX Mapping'!T48&gt;=481,'(橫掃)RX Mapping'!T48&lt;=600), ('(橫掃)RX Mapping'!T48-361),IF(AND('(橫掃)RX Mapping'!T48&gt;=601,'(橫掃)RX Mapping'!T48&lt;=720), (-1)*('(橫掃)RX Mapping'!T48-720)+120,IF(AND('(橫掃)RX Mapping'!T48&gt;=721,'(橫掃)RX Mapping'!T48&lt;=840), ('(橫掃)RX Mapping'!T48-601),IF(AND('(橫掃)RX Mapping'!T48&gt;=841,'(橫掃)RX Mapping'!T48&lt;=960), (-1)*('(橫掃)RX Mapping'!T48-960)+120,9999))))))))</f>
        <v>9999</v>
      </c>
      <c r="U48">
        <f>IF(AND('(橫掃)RX Mapping'!U48&gt;=1,'(橫掃)RX Mapping'!U48&lt;=120), ('(橫掃)RX Mapping'!U48-1),IF(AND('(橫掃)RX Mapping'!U48&gt;=121,'(橫掃)RX Mapping'!U48&lt;=240), (-1)*('(橫掃)RX Mapping'!U48-240),IF(AND('(橫掃)RX Mapping'!U48&gt;=241,'(橫掃)RX Mapping'!U48&lt;=360), ('(橫掃)RX Mapping'!U48-241),IF(AND('(橫掃)RX Mapping'!U48&gt;=361,'(橫掃)RX Mapping'!U48&lt;=480), (-1)*('(橫掃)RX Mapping'!U48-480),IF(AND('(橫掃)RX Mapping'!U48&gt;=481,'(橫掃)RX Mapping'!U48&lt;=600), ('(橫掃)RX Mapping'!U48-361),IF(AND('(橫掃)RX Mapping'!U48&gt;=601,'(橫掃)RX Mapping'!U48&lt;=720), (-1)*('(橫掃)RX Mapping'!U48-720)+120,IF(AND('(橫掃)RX Mapping'!U48&gt;=721,'(橫掃)RX Mapping'!U48&lt;=840), ('(橫掃)RX Mapping'!U48-601),IF(AND('(橫掃)RX Mapping'!U48&gt;=841,'(橫掃)RX Mapping'!U48&lt;=960), (-1)*('(橫掃)RX Mapping'!U48-960)+120,9999))))))))</f>
        <v>9999</v>
      </c>
      <c r="V48">
        <f>IF(AND('(橫掃)RX Mapping'!V48&gt;=1,'(橫掃)RX Mapping'!V48&lt;=120), ('(橫掃)RX Mapping'!V48-1),IF(AND('(橫掃)RX Mapping'!V48&gt;=121,'(橫掃)RX Mapping'!V48&lt;=240), (-1)*('(橫掃)RX Mapping'!V48-240),IF(AND('(橫掃)RX Mapping'!V48&gt;=241,'(橫掃)RX Mapping'!V48&lt;=360), ('(橫掃)RX Mapping'!V48-241),IF(AND('(橫掃)RX Mapping'!V48&gt;=361,'(橫掃)RX Mapping'!V48&lt;=480), (-1)*('(橫掃)RX Mapping'!V48-480),IF(AND('(橫掃)RX Mapping'!V48&gt;=481,'(橫掃)RX Mapping'!V48&lt;=600), ('(橫掃)RX Mapping'!V48-361),IF(AND('(橫掃)RX Mapping'!V48&gt;=601,'(橫掃)RX Mapping'!V48&lt;=720), (-1)*('(橫掃)RX Mapping'!V48-720)+120,IF(AND('(橫掃)RX Mapping'!V48&gt;=721,'(橫掃)RX Mapping'!V48&lt;=840), ('(橫掃)RX Mapping'!V48-601),IF(AND('(橫掃)RX Mapping'!V48&gt;=841,'(橫掃)RX Mapping'!V48&lt;=960), (-1)*('(橫掃)RX Mapping'!V48-960)+120,9999))))))))</f>
        <v>9999</v>
      </c>
      <c r="W48">
        <f>IF(AND('(橫掃)RX Mapping'!W48&gt;=1,'(橫掃)RX Mapping'!W48&lt;=120), ('(橫掃)RX Mapping'!W48-1),IF(AND('(橫掃)RX Mapping'!W48&gt;=121,'(橫掃)RX Mapping'!W48&lt;=240), (-1)*('(橫掃)RX Mapping'!W48-240),IF(AND('(橫掃)RX Mapping'!W48&gt;=241,'(橫掃)RX Mapping'!W48&lt;=360), ('(橫掃)RX Mapping'!W48-241),IF(AND('(橫掃)RX Mapping'!W48&gt;=361,'(橫掃)RX Mapping'!W48&lt;=480), (-1)*('(橫掃)RX Mapping'!W48-480),IF(AND('(橫掃)RX Mapping'!W48&gt;=481,'(橫掃)RX Mapping'!W48&lt;=600), ('(橫掃)RX Mapping'!W48-361),IF(AND('(橫掃)RX Mapping'!W48&gt;=601,'(橫掃)RX Mapping'!W48&lt;=720), (-1)*('(橫掃)RX Mapping'!W48-720)+120,IF(AND('(橫掃)RX Mapping'!W48&gt;=721,'(橫掃)RX Mapping'!W48&lt;=840), ('(橫掃)RX Mapping'!W48-601),IF(AND('(橫掃)RX Mapping'!W48&gt;=841,'(橫掃)RX Mapping'!W48&lt;=960), (-1)*('(橫掃)RX Mapping'!W48-960)+120,9999))))))))</f>
        <v>9999</v>
      </c>
      <c r="X48">
        <f>IF(AND('(橫掃)RX Mapping'!X48&gt;=1,'(橫掃)RX Mapping'!X48&lt;=120), ('(橫掃)RX Mapping'!X48-1),IF(AND('(橫掃)RX Mapping'!X48&gt;=121,'(橫掃)RX Mapping'!X48&lt;=240), (-1)*('(橫掃)RX Mapping'!X48-240),IF(AND('(橫掃)RX Mapping'!X48&gt;=241,'(橫掃)RX Mapping'!X48&lt;=360), ('(橫掃)RX Mapping'!X48-241),IF(AND('(橫掃)RX Mapping'!X48&gt;=361,'(橫掃)RX Mapping'!X48&lt;=480), (-1)*('(橫掃)RX Mapping'!X48-480),IF(AND('(橫掃)RX Mapping'!X48&gt;=481,'(橫掃)RX Mapping'!X48&lt;=600), ('(橫掃)RX Mapping'!X48-361),IF(AND('(橫掃)RX Mapping'!X48&gt;=601,'(橫掃)RX Mapping'!X48&lt;=720), (-1)*('(橫掃)RX Mapping'!X48-720)+120,IF(AND('(橫掃)RX Mapping'!X48&gt;=721,'(橫掃)RX Mapping'!X48&lt;=840), ('(橫掃)RX Mapping'!X48-601),IF(AND('(橫掃)RX Mapping'!X48&gt;=841,'(橫掃)RX Mapping'!X48&lt;=960), (-1)*('(橫掃)RX Mapping'!X48-960)+120,9999))))))))</f>
        <v>9999</v>
      </c>
      <c r="Y48">
        <f>IF(AND('(橫掃)RX Mapping'!Y48&gt;=1,'(橫掃)RX Mapping'!Y48&lt;=120), ('(橫掃)RX Mapping'!Y48-1),IF(AND('(橫掃)RX Mapping'!Y48&gt;=121,'(橫掃)RX Mapping'!Y48&lt;=240), (-1)*('(橫掃)RX Mapping'!Y48-240),IF(AND('(橫掃)RX Mapping'!Y48&gt;=241,'(橫掃)RX Mapping'!Y48&lt;=360), ('(橫掃)RX Mapping'!Y48-241),IF(AND('(橫掃)RX Mapping'!Y48&gt;=361,'(橫掃)RX Mapping'!Y48&lt;=480), (-1)*('(橫掃)RX Mapping'!Y48-480),IF(AND('(橫掃)RX Mapping'!Y48&gt;=481,'(橫掃)RX Mapping'!Y48&lt;=600), ('(橫掃)RX Mapping'!Y48-361),IF(AND('(橫掃)RX Mapping'!Y48&gt;=601,'(橫掃)RX Mapping'!Y48&lt;=720), (-1)*('(橫掃)RX Mapping'!Y48-720)+120,IF(AND('(橫掃)RX Mapping'!Y48&gt;=721,'(橫掃)RX Mapping'!Y48&lt;=840), ('(橫掃)RX Mapping'!Y48-601),IF(AND('(橫掃)RX Mapping'!Y48&gt;=841,'(橫掃)RX Mapping'!Y48&lt;=960), (-1)*('(橫掃)RX Mapping'!Y48-960)+120,9999))))))))</f>
        <v>9999</v>
      </c>
      <c r="Z48">
        <f>IF(AND('(橫掃)RX Mapping'!Z48&gt;=1,'(橫掃)RX Mapping'!Z48&lt;=120), ('(橫掃)RX Mapping'!Z48-1),IF(AND('(橫掃)RX Mapping'!Z48&gt;=121,'(橫掃)RX Mapping'!Z48&lt;=240), (-1)*('(橫掃)RX Mapping'!Z48-240),IF(AND('(橫掃)RX Mapping'!Z48&gt;=241,'(橫掃)RX Mapping'!Z48&lt;=360), ('(橫掃)RX Mapping'!Z48-241),IF(AND('(橫掃)RX Mapping'!Z48&gt;=361,'(橫掃)RX Mapping'!Z48&lt;=480), (-1)*('(橫掃)RX Mapping'!Z48-480),IF(AND('(橫掃)RX Mapping'!Z48&gt;=481,'(橫掃)RX Mapping'!Z48&lt;=600), ('(橫掃)RX Mapping'!Z48-361),IF(AND('(橫掃)RX Mapping'!Z48&gt;=601,'(橫掃)RX Mapping'!Z48&lt;=720), (-1)*('(橫掃)RX Mapping'!Z48-720)+120,IF(AND('(橫掃)RX Mapping'!Z48&gt;=721,'(橫掃)RX Mapping'!Z48&lt;=840), ('(橫掃)RX Mapping'!Z48-601),IF(AND('(橫掃)RX Mapping'!Z48&gt;=841,'(橫掃)RX Mapping'!Z48&lt;=960), (-1)*('(橫掃)RX Mapping'!Z48-960)+120,9999))))))))</f>
        <v>9999</v>
      </c>
      <c r="AA48">
        <f>IF(AND('(橫掃)RX Mapping'!AA48&gt;=1,'(橫掃)RX Mapping'!AA48&lt;=120), ('(橫掃)RX Mapping'!AA48-1),IF(AND('(橫掃)RX Mapping'!AA48&gt;=121,'(橫掃)RX Mapping'!AA48&lt;=240), (-1)*('(橫掃)RX Mapping'!AA48-240),IF(AND('(橫掃)RX Mapping'!AA48&gt;=241,'(橫掃)RX Mapping'!AA48&lt;=360), ('(橫掃)RX Mapping'!AA48-241),IF(AND('(橫掃)RX Mapping'!AA48&gt;=361,'(橫掃)RX Mapping'!AA48&lt;=480), (-1)*('(橫掃)RX Mapping'!AA48-480),IF(AND('(橫掃)RX Mapping'!AA48&gt;=481,'(橫掃)RX Mapping'!AA48&lt;=600), ('(橫掃)RX Mapping'!AA48-361),IF(AND('(橫掃)RX Mapping'!AA48&gt;=601,'(橫掃)RX Mapping'!AA48&lt;=720), (-1)*('(橫掃)RX Mapping'!AA48-720)+120,IF(AND('(橫掃)RX Mapping'!AA48&gt;=721,'(橫掃)RX Mapping'!AA48&lt;=840), ('(橫掃)RX Mapping'!AA48-601),IF(AND('(橫掃)RX Mapping'!AA48&gt;=841,'(橫掃)RX Mapping'!AA48&lt;=960), (-1)*('(橫掃)RX Mapping'!AA48-960)+120,9999))))))))</f>
        <v>9999</v>
      </c>
      <c r="AB48">
        <f>IF(AND('(橫掃)RX Mapping'!AB48&gt;=1,'(橫掃)RX Mapping'!AB48&lt;=120), ('(橫掃)RX Mapping'!AB48-1),IF(AND('(橫掃)RX Mapping'!AB48&gt;=121,'(橫掃)RX Mapping'!AB48&lt;=240), (-1)*('(橫掃)RX Mapping'!AB48-240),IF(AND('(橫掃)RX Mapping'!AB48&gt;=241,'(橫掃)RX Mapping'!AB48&lt;=360), ('(橫掃)RX Mapping'!AB48-241),IF(AND('(橫掃)RX Mapping'!AB48&gt;=361,'(橫掃)RX Mapping'!AB48&lt;=480), (-1)*('(橫掃)RX Mapping'!AB48-480),IF(AND('(橫掃)RX Mapping'!AB48&gt;=481,'(橫掃)RX Mapping'!AB48&lt;=600), ('(橫掃)RX Mapping'!AB48-361),IF(AND('(橫掃)RX Mapping'!AB48&gt;=601,'(橫掃)RX Mapping'!AB48&lt;=720), (-1)*('(橫掃)RX Mapping'!AB48-720)+120,IF(AND('(橫掃)RX Mapping'!AB48&gt;=721,'(橫掃)RX Mapping'!AB48&lt;=840), ('(橫掃)RX Mapping'!AB48-601),IF(AND('(橫掃)RX Mapping'!AB48&gt;=841,'(橫掃)RX Mapping'!AB48&lt;=960), (-1)*('(橫掃)RX Mapping'!AB48-960)+120,9999))))))))</f>
        <v>9999</v>
      </c>
      <c r="AC48">
        <f>IF(AND('(橫掃)RX Mapping'!AC48&gt;=1,'(橫掃)RX Mapping'!AC48&lt;=120), ('(橫掃)RX Mapping'!AC48-1),IF(AND('(橫掃)RX Mapping'!AC48&gt;=121,'(橫掃)RX Mapping'!AC48&lt;=240), (-1)*('(橫掃)RX Mapping'!AC48-240),IF(AND('(橫掃)RX Mapping'!AC48&gt;=241,'(橫掃)RX Mapping'!AC48&lt;=360), ('(橫掃)RX Mapping'!AC48-241),IF(AND('(橫掃)RX Mapping'!AC48&gt;=361,'(橫掃)RX Mapping'!AC48&lt;=480), (-1)*('(橫掃)RX Mapping'!AC48-480),IF(AND('(橫掃)RX Mapping'!AC48&gt;=481,'(橫掃)RX Mapping'!AC48&lt;=600), ('(橫掃)RX Mapping'!AC48-361),IF(AND('(橫掃)RX Mapping'!AC48&gt;=601,'(橫掃)RX Mapping'!AC48&lt;=720), (-1)*('(橫掃)RX Mapping'!AC48-720)+120,IF(AND('(橫掃)RX Mapping'!AC48&gt;=721,'(橫掃)RX Mapping'!AC48&lt;=840), ('(橫掃)RX Mapping'!AC48-601),IF(AND('(橫掃)RX Mapping'!AC48&gt;=841,'(橫掃)RX Mapping'!AC48&lt;=960), (-1)*('(橫掃)RX Mapping'!AC48-960)+120,9999))))))))</f>
        <v>9999</v>
      </c>
      <c r="AD48">
        <f>IF(AND('(橫掃)RX Mapping'!AD48&gt;=1,'(橫掃)RX Mapping'!AD48&lt;=120), ('(橫掃)RX Mapping'!AD48-1),IF(AND('(橫掃)RX Mapping'!AD48&gt;=121,'(橫掃)RX Mapping'!AD48&lt;=240), (-1)*('(橫掃)RX Mapping'!AD48-240),IF(AND('(橫掃)RX Mapping'!AD48&gt;=241,'(橫掃)RX Mapping'!AD48&lt;=360), ('(橫掃)RX Mapping'!AD48-241),IF(AND('(橫掃)RX Mapping'!AD48&gt;=361,'(橫掃)RX Mapping'!AD48&lt;=480), (-1)*('(橫掃)RX Mapping'!AD48-480),IF(AND('(橫掃)RX Mapping'!AD48&gt;=481,'(橫掃)RX Mapping'!AD48&lt;=600), ('(橫掃)RX Mapping'!AD48-361),IF(AND('(橫掃)RX Mapping'!AD48&gt;=601,'(橫掃)RX Mapping'!AD48&lt;=720), (-1)*('(橫掃)RX Mapping'!AD48-720)+120,IF(AND('(橫掃)RX Mapping'!AD48&gt;=721,'(橫掃)RX Mapping'!AD48&lt;=840), ('(橫掃)RX Mapping'!AD48-601),IF(AND('(橫掃)RX Mapping'!AD48&gt;=841,'(橫掃)RX Mapping'!AD48&lt;=960), (-1)*('(橫掃)RX Mapping'!AD48-960)+120,9999))))))))</f>
        <v>9999</v>
      </c>
      <c r="AE48">
        <f>IF(AND('(橫掃)RX Mapping'!AE48&gt;=1,'(橫掃)RX Mapping'!AE48&lt;=120), ('(橫掃)RX Mapping'!AE48-1),IF(AND('(橫掃)RX Mapping'!AE48&gt;=121,'(橫掃)RX Mapping'!AE48&lt;=240), (-1)*('(橫掃)RX Mapping'!AE48-240),IF(AND('(橫掃)RX Mapping'!AE48&gt;=241,'(橫掃)RX Mapping'!AE48&lt;=360), ('(橫掃)RX Mapping'!AE48-241),IF(AND('(橫掃)RX Mapping'!AE48&gt;=361,'(橫掃)RX Mapping'!AE48&lt;=480), (-1)*('(橫掃)RX Mapping'!AE48-480),IF(AND('(橫掃)RX Mapping'!AE48&gt;=481,'(橫掃)RX Mapping'!AE48&lt;=600), ('(橫掃)RX Mapping'!AE48-361),IF(AND('(橫掃)RX Mapping'!AE48&gt;=601,'(橫掃)RX Mapping'!AE48&lt;=720), (-1)*('(橫掃)RX Mapping'!AE48-720)+120,IF(AND('(橫掃)RX Mapping'!AE48&gt;=721,'(橫掃)RX Mapping'!AE48&lt;=840), ('(橫掃)RX Mapping'!AE48-601),IF(AND('(橫掃)RX Mapping'!AE48&gt;=841,'(橫掃)RX Mapping'!AE48&lt;=960), (-1)*('(橫掃)RX Mapping'!AE48-960)+120,9999))))))))</f>
        <v>9999</v>
      </c>
      <c r="AF48">
        <f>IF(AND('(橫掃)RX Mapping'!AF48&gt;=1,'(橫掃)RX Mapping'!AF48&lt;=120), ('(橫掃)RX Mapping'!AF48-1),IF(AND('(橫掃)RX Mapping'!AF48&gt;=121,'(橫掃)RX Mapping'!AF48&lt;=240), (-1)*('(橫掃)RX Mapping'!AF48-240),IF(AND('(橫掃)RX Mapping'!AF48&gt;=241,'(橫掃)RX Mapping'!AF48&lt;=360), ('(橫掃)RX Mapping'!AF48-241),IF(AND('(橫掃)RX Mapping'!AF48&gt;=361,'(橫掃)RX Mapping'!AF48&lt;=480), (-1)*('(橫掃)RX Mapping'!AF48-480),IF(AND('(橫掃)RX Mapping'!AF48&gt;=481,'(橫掃)RX Mapping'!AF48&lt;=600), ('(橫掃)RX Mapping'!AF48-361),IF(AND('(橫掃)RX Mapping'!AF48&gt;=601,'(橫掃)RX Mapping'!AF48&lt;=720), (-1)*('(橫掃)RX Mapping'!AF48-720)+120,IF(AND('(橫掃)RX Mapping'!AF48&gt;=721,'(橫掃)RX Mapping'!AF48&lt;=840), ('(橫掃)RX Mapping'!AF48-601),IF(AND('(橫掃)RX Mapping'!AF48&gt;=841,'(橫掃)RX Mapping'!AF48&lt;=960), (-1)*('(橫掃)RX Mapping'!AF48-960)+120,9999))))))))</f>
        <v>9999</v>
      </c>
      <c r="AG48">
        <f>IF(AND('(橫掃)RX Mapping'!AG48&gt;=1,'(橫掃)RX Mapping'!AG48&lt;=120), ('(橫掃)RX Mapping'!AG48-1),IF(AND('(橫掃)RX Mapping'!AG48&gt;=121,'(橫掃)RX Mapping'!AG48&lt;=240), (-1)*('(橫掃)RX Mapping'!AG48-240),IF(AND('(橫掃)RX Mapping'!AG48&gt;=241,'(橫掃)RX Mapping'!AG48&lt;=360), ('(橫掃)RX Mapping'!AG48-241),IF(AND('(橫掃)RX Mapping'!AG48&gt;=361,'(橫掃)RX Mapping'!AG48&lt;=480), (-1)*('(橫掃)RX Mapping'!AG48-480),IF(AND('(橫掃)RX Mapping'!AG48&gt;=481,'(橫掃)RX Mapping'!AG48&lt;=600), ('(橫掃)RX Mapping'!AG48-361),IF(AND('(橫掃)RX Mapping'!AG48&gt;=601,'(橫掃)RX Mapping'!AG48&lt;=720), (-1)*('(橫掃)RX Mapping'!AG48-720)+120,IF(AND('(橫掃)RX Mapping'!AG48&gt;=721,'(橫掃)RX Mapping'!AG48&lt;=840), ('(橫掃)RX Mapping'!AG48-601),IF(AND('(橫掃)RX Mapping'!AG48&gt;=841,'(橫掃)RX Mapping'!AG48&lt;=960), (-1)*('(橫掃)RX Mapping'!AG48-960)+120,9999))))))))</f>
        <v>9999</v>
      </c>
      <c r="AH48">
        <f>IF(AND('(橫掃)RX Mapping'!AH48&gt;=1,'(橫掃)RX Mapping'!AH48&lt;=120), ('(橫掃)RX Mapping'!AH48-1),IF(AND('(橫掃)RX Mapping'!AH48&gt;=121,'(橫掃)RX Mapping'!AH48&lt;=240), (-1)*('(橫掃)RX Mapping'!AH48-240),IF(AND('(橫掃)RX Mapping'!AH48&gt;=241,'(橫掃)RX Mapping'!AH48&lt;=360), ('(橫掃)RX Mapping'!AH48-241),IF(AND('(橫掃)RX Mapping'!AH48&gt;=361,'(橫掃)RX Mapping'!AH48&lt;=480), (-1)*('(橫掃)RX Mapping'!AH48-480),IF(AND('(橫掃)RX Mapping'!AH48&gt;=481,'(橫掃)RX Mapping'!AH48&lt;=600), ('(橫掃)RX Mapping'!AH48-361),IF(AND('(橫掃)RX Mapping'!AH48&gt;=601,'(橫掃)RX Mapping'!AH48&lt;=720), (-1)*('(橫掃)RX Mapping'!AH48-720)+120,IF(AND('(橫掃)RX Mapping'!AH48&gt;=721,'(橫掃)RX Mapping'!AH48&lt;=840), ('(橫掃)RX Mapping'!AH48-601),IF(AND('(橫掃)RX Mapping'!AH48&gt;=841,'(橫掃)RX Mapping'!AH48&lt;=960), (-1)*('(橫掃)RX Mapping'!AH48-960)+120,9999))))))))</f>
        <v>9999</v>
      </c>
      <c r="AI48">
        <f>IF(AND('(橫掃)RX Mapping'!AI48&gt;=1,'(橫掃)RX Mapping'!AI48&lt;=120), ('(橫掃)RX Mapping'!AI48-1),IF(AND('(橫掃)RX Mapping'!AI48&gt;=121,'(橫掃)RX Mapping'!AI48&lt;=240), (-1)*('(橫掃)RX Mapping'!AI48-240),IF(AND('(橫掃)RX Mapping'!AI48&gt;=241,'(橫掃)RX Mapping'!AI48&lt;=360), ('(橫掃)RX Mapping'!AI48-241),IF(AND('(橫掃)RX Mapping'!AI48&gt;=361,'(橫掃)RX Mapping'!AI48&lt;=480), (-1)*('(橫掃)RX Mapping'!AI48-480),IF(AND('(橫掃)RX Mapping'!AI48&gt;=481,'(橫掃)RX Mapping'!AI48&lt;=600), ('(橫掃)RX Mapping'!AI48-361),IF(AND('(橫掃)RX Mapping'!AI48&gt;=601,'(橫掃)RX Mapping'!AI48&lt;=720), (-1)*('(橫掃)RX Mapping'!AI48-720)+120,IF(AND('(橫掃)RX Mapping'!AI48&gt;=721,'(橫掃)RX Mapping'!AI48&lt;=840), ('(橫掃)RX Mapping'!AI48-601),IF(AND('(橫掃)RX Mapping'!AI48&gt;=841,'(橫掃)RX Mapping'!AI48&lt;=960), (-1)*('(橫掃)RX Mapping'!AI48-960)+120,9999))))))))</f>
        <v>9999</v>
      </c>
      <c r="AJ48">
        <f>IF(AND('(橫掃)RX Mapping'!AJ48&gt;=1,'(橫掃)RX Mapping'!AJ48&lt;=120), ('(橫掃)RX Mapping'!AJ48-1),IF(AND('(橫掃)RX Mapping'!AJ48&gt;=121,'(橫掃)RX Mapping'!AJ48&lt;=240), (-1)*('(橫掃)RX Mapping'!AJ48-240),IF(AND('(橫掃)RX Mapping'!AJ48&gt;=241,'(橫掃)RX Mapping'!AJ48&lt;=360), ('(橫掃)RX Mapping'!AJ48-241),IF(AND('(橫掃)RX Mapping'!AJ48&gt;=361,'(橫掃)RX Mapping'!AJ48&lt;=480), (-1)*('(橫掃)RX Mapping'!AJ48-480),IF(AND('(橫掃)RX Mapping'!AJ48&gt;=481,'(橫掃)RX Mapping'!AJ48&lt;=600), ('(橫掃)RX Mapping'!AJ48-361),IF(AND('(橫掃)RX Mapping'!AJ48&gt;=601,'(橫掃)RX Mapping'!AJ48&lt;=720), (-1)*('(橫掃)RX Mapping'!AJ48-720)+120,IF(AND('(橫掃)RX Mapping'!AJ48&gt;=721,'(橫掃)RX Mapping'!AJ48&lt;=840), ('(橫掃)RX Mapping'!AJ48-601),IF(AND('(橫掃)RX Mapping'!AJ48&gt;=841,'(橫掃)RX Mapping'!AJ48&lt;=960), (-1)*('(橫掃)RX Mapping'!AJ48-960)+120,9999))))))))</f>
        <v>9999</v>
      </c>
      <c r="AK48">
        <f>IF(AND('(橫掃)RX Mapping'!AK48&gt;=1,'(橫掃)RX Mapping'!AK48&lt;=120), ('(橫掃)RX Mapping'!AK48-1),IF(AND('(橫掃)RX Mapping'!AK48&gt;=121,'(橫掃)RX Mapping'!AK48&lt;=240), (-1)*('(橫掃)RX Mapping'!AK48-240),IF(AND('(橫掃)RX Mapping'!AK48&gt;=241,'(橫掃)RX Mapping'!AK48&lt;=360), ('(橫掃)RX Mapping'!AK48-241),IF(AND('(橫掃)RX Mapping'!AK48&gt;=361,'(橫掃)RX Mapping'!AK48&lt;=480), (-1)*('(橫掃)RX Mapping'!AK48-480),IF(AND('(橫掃)RX Mapping'!AK48&gt;=481,'(橫掃)RX Mapping'!AK48&lt;=600), ('(橫掃)RX Mapping'!AK48-361),IF(AND('(橫掃)RX Mapping'!AK48&gt;=601,'(橫掃)RX Mapping'!AK48&lt;=720), (-1)*('(橫掃)RX Mapping'!AK48-720)+120,IF(AND('(橫掃)RX Mapping'!AK48&gt;=721,'(橫掃)RX Mapping'!AK48&lt;=840), ('(橫掃)RX Mapping'!AK48-601),IF(AND('(橫掃)RX Mapping'!AK48&gt;=841,'(橫掃)RX Mapping'!AK48&lt;=960), (-1)*('(橫掃)RX Mapping'!AK48-960)+120,9999))))))))</f>
        <v>9999</v>
      </c>
      <c r="AL48">
        <f>IF(AND('(橫掃)RX Mapping'!AL48&gt;=1,'(橫掃)RX Mapping'!AL48&lt;=120), ('(橫掃)RX Mapping'!AL48-1),IF(AND('(橫掃)RX Mapping'!AL48&gt;=121,'(橫掃)RX Mapping'!AL48&lt;=240), (-1)*('(橫掃)RX Mapping'!AL48-240),IF(AND('(橫掃)RX Mapping'!AL48&gt;=241,'(橫掃)RX Mapping'!AL48&lt;=360), ('(橫掃)RX Mapping'!AL48-241),IF(AND('(橫掃)RX Mapping'!AL48&gt;=361,'(橫掃)RX Mapping'!AL48&lt;=480), (-1)*('(橫掃)RX Mapping'!AL48-480),IF(AND('(橫掃)RX Mapping'!AL48&gt;=481,'(橫掃)RX Mapping'!AL48&lt;=600), ('(橫掃)RX Mapping'!AL48-361),IF(AND('(橫掃)RX Mapping'!AL48&gt;=601,'(橫掃)RX Mapping'!AL48&lt;=720), (-1)*('(橫掃)RX Mapping'!AL48-720)+120,IF(AND('(橫掃)RX Mapping'!AL48&gt;=721,'(橫掃)RX Mapping'!AL48&lt;=840), ('(橫掃)RX Mapping'!AL48-601),IF(AND('(橫掃)RX Mapping'!AL48&gt;=841,'(橫掃)RX Mapping'!AL48&lt;=960), (-1)*('(橫掃)RX Mapping'!AL48-960)+120,9999))))))))</f>
        <v>9999</v>
      </c>
      <c r="AM48">
        <f>IF(AND('(橫掃)RX Mapping'!AM48&gt;=1,'(橫掃)RX Mapping'!AM48&lt;=120), ('(橫掃)RX Mapping'!AM48-1),IF(AND('(橫掃)RX Mapping'!AM48&gt;=121,'(橫掃)RX Mapping'!AM48&lt;=240), (-1)*('(橫掃)RX Mapping'!AM48-240),IF(AND('(橫掃)RX Mapping'!AM48&gt;=241,'(橫掃)RX Mapping'!AM48&lt;=360), ('(橫掃)RX Mapping'!AM48-241),IF(AND('(橫掃)RX Mapping'!AM48&gt;=361,'(橫掃)RX Mapping'!AM48&lt;=480), (-1)*('(橫掃)RX Mapping'!AM48-480),IF(AND('(橫掃)RX Mapping'!AM48&gt;=481,'(橫掃)RX Mapping'!AM48&lt;=600), ('(橫掃)RX Mapping'!AM48-361),IF(AND('(橫掃)RX Mapping'!AM48&gt;=601,'(橫掃)RX Mapping'!AM48&lt;=720), (-1)*('(橫掃)RX Mapping'!AM48-720)+120,IF(AND('(橫掃)RX Mapping'!AM48&gt;=721,'(橫掃)RX Mapping'!AM48&lt;=840), ('(橫掃)RX Mapping'!AM48-601),IF(AND('(橫掃)RX Mapping'!AM48&gt;=841,'(橫掃)RX Mapping'!AM48&lt;=960), (-1)*('(橫掃)RX Mapping'!AM48-960)+120,9999))))))))</f>
        <v>9999</v>
      </c>
      <c r="AN48">
        <f>IF(AND('(橫掃)RX Mapping'!AN48&gt;=1,'(橫掃)RX Mapping'!AN48&lt;=120), ('(橫掃)RX Mapping'!AN48-1),IF(AND('(橫掃)RX Mapping'!AN48&gt;=121,'(橫掃)RX Mapping'!AN48&lt;=240), (-1)*('(橫掃)RX Mapping'!AN48-240),IF(AND('(橫掃)RX Mapping'!AN48&gt;=241,'(橫掃)RX Mapping'!AN48&lt;=360), ('(橫掃)RX Mapping'!AN48-241),IF(AND('(橫掃)RX Mapping'!AN48&gt;=361,'(橫掃)RX Mapping'!AN48&lt;=480), (-1)*('(橫掃)RX Mapping'!AN48-480),IF(AND('(橫掃)RX Mapping'!AN48&gt;=481,'(橫掃)RX Mapping'!AN48&lt;=600), ('(橫掃)RX Mapping'!AN48-361),IF(AND('(橫掃)RX Mapping'!AN48&gt;=601,'(橫掃)RX Mapping'!AN48&lt;=720), (-1)*('(橫掃)RX Mapping'!AN48-720)+120,IF(AND('(橫掃)RX Mapping'!AN48&gt;=721,'(橫掃)RX Mapping'!AN48&lt;=840), ('(橫掃)RX Mapping'!AN48-601),IF(AND('(橫掃)RX Mapping'!AN48&gt;=841,'(橫掃)RX Mapping'!AN48&lt;=960), (-1)*('(橫掃)RX Mapping'!AN48-960)+120,9999))))))))</f>
        <v>9999</v>
      </c>
      <c r="AO48">
        <f>IF(AND('(橫掃)RX Mapping'!AO48&gt;=1,'(橫掃)RX Mapping'!AO48&lt;=120), ('(橫掃)RX Mapping'!AO48-1),IF(AND('(橫掃)RX Mapping'!AO48&gt;=121,'(橫掃)RX Mapping'!AO48&lt;=240), (-1)*('(橫掃)RX Mapping'!AO48-240),IF(AND('(橫掃)RX Mapping'!AO48&gt;=241,'(橫掃)RX Mapping'!AO48&lt;=360), ('(橫掃)RX Mapping'!AO48-241),IF(AND('(橫掃)RX Mapping'!AO48&gt;=361,'(橫掃)RX Mapping'!AO48&lt;=480), (-1)*('(橫掃)RX Mapping'!AO48-480),IF(AND('(橫掃)RX Mapping'!AO48&gt;=481,'(橫掃)RX Mapping'!AO48&lt;=600), ('(橫掃)RX Mapping'!AO48-361),IF(AND('(橫掃)RX Mapping'!AO48&gt;=601,'(橫掃)RX Mapping'!AO48&lt;=720), (-1)*('(橫掃)RX Mapping'!AO48-720)+120,IF(AND('(橫掃)RX Mapping'!AO48&gt;=721,'(橫掃)RX Mapping'!AO48&lt;=840), ('(橫掃)RX Mapping'!AO48-601),IF(AND('(橫掃)RX Mapping'!AO48&gt;=841,'(橫掃)RX Mapping'!AO48&lt;=960), (-1)*('(橫掃)RX Mapping'!AO48-960)+120,9999))))))))</f>
        <v>9999</v>
      </c>
      <c r="AP48">
        <f>IF(AND('(橫掃)RX Mapping'!AP48&gt;=1,'(橫掃)RX Mapping'!AP48&lt;=120), ('(橫掃)RX Mapping'!AP48-1),IF(AND('(橫掃)RX Mapping'!AP48&gt;=121,'(橫掃)RX Mapping'!AP48&lt;=240), (-1)*('(橫掃)RX Mapping'!AP48-240),IF(AND('(橫掃)RX Mapping'!AP48&gt;=241,'(橫掃)RX Mapping'!AP48&lt;=360), ('(橫掃)RX Mapping'!AP48-241),IF(AND('(橫掃)RX Mapping'!AP48&gt;=361,'(橫掃)RX Mapping'!AP48&lt;=480), (-1)*('(橫掃)RX Mapping'!AP48-480),IF(AND('(橫掃)RX Mapping'!AP48&gt;=481,'(橫掃)RX Mapping'!AP48&lt;=600), ('(橫掃)RX Mapping'!AP48-361),IF(AND('(橫掃)RX Mapping'!AP48&gt;=601,'(橫掃)RX Mapping'!AP48&lt;=720), (-1)*('(橫掃)RX Mapping'!AP48-720)+120,IF(AND('(橫掃)RX Mapping'!AP48&gt;=721,'(橫掃)RX Mapping'!AP48&lt;=840), ('(橫掃)RX Mapping'!AP48-601),IF(AND('(橫掃)RX Mapping'!AP48&gt;=841,'(橫掃)RX Mapping'!AP48&lt;=960), (-1)*('(橫掃)RX Mapping'!AP48-960)+120,9999))))))))</f>
        <v>9999</v>
      </c>
      <c r="AQ48">
        <f>IF(AND('(橫掃)RX Mapping'!AQ48&gt;=1,'(橫掃)RX Mapping'!AQ48&lt;=120), ('(橫掃)RX Mapping'!AQ48-1),IF(AND('(橫掃)RX Mapping'!AQ48&gt;=121,'(橫掃)RX Mapping'!AQ48&lt;=240), (-1)*('(橫掃)RX Mapping'!AQ48-240),IF(AND('(橫掃)RX Mapping'!AQ48&gt;=241,'(橫掃)RX Mapping'!AQ48&lt;=360), ('(橫掃)RX Mapping'!AQ48-241),IF(AND('(橫掃)RX Mapping'!AQ48&gt;=361,'(橫掃)RX Mapping'!AQ48&lt;=480), (-1)*('(橫掃)RX Mapping'!AQ48-480),IF(AND('(橫掃)RX Mapping'!AQ48&gt;=481,'(橫掃)RX Mapping'!AQ48&lt;=600), ('(橫掃)RX Mapping'!AQ48-361),IF(AND('(橫掃)RX Mapping'!AQ48&gt;=601,'(橫掃)RX Mapping'!AQ48&lt;=720), (-1)*('(橫掃)RX Mapping'!AQ48-720)+120,IF(AND('(橫掃)RX Mapping'!AQ48&gt;=721,'(橫掃)RX Mapping'!AQ48&lt;=840), ('(橫掃)RX Mapping'!AQ48-601),IF(AND('(橫掃)RX Mapping'!AQ48&gt;=841,'(橫掃)RX Mapping'!AQ48&lt;=960), (-1)*('(橫掃)RX Mapping'!AQ48-960)+120,9999))))))))</f>
        <v>9999</v>
      </c>
      <c r="AR48">
        <f>IF(AND('(橫掃)RX Mapping'!AR48&gt;=1,'(橫掃)RX Mapping'!AR48&lt;=120), ('(橫掃)RX Mapping'!AR48-1),IF(AND('(橫掃)RX Mapping'!AR48&gt;=121,'(橫掃)RX Mapping'!AR48&lt;=240), (-1)*('(橫掃)RX Mapping'!AR48-240),IF(AND('(橫掃)RX Mapping'!AR48&gt;=241,'(橫掃)RX Mapping'!AR48&lt;=360), ('(橫掃)RX Mapping'!AR48-241),IF(AND('(橫掃)RX Mapping'!AR48&gt;=361,'(橫掃)RX Mapping'!AR48&lt;=480), (-1)*('(橫掃)RX Mapping'!AR48-480),IF(AND('(橫掃)RX Mapping'!AR48&gt;=481,'(橫掃)RX Mapping'!AR48&lt;=600), ('(橫掃)RX Mapping'!AR48-361),IF(AND('(橫掃)RX Mapping'!AR48&gt;=601,'(橫掃)RX Mapping'!AR48&lt;=720), (-1)*('(橫掃)RX Mapping'!AR48-720)+120,IF(AND('(橫掃)RX Mapping'!AR48&gt;=721,'(橫掃)RX Mapping'!AR48&lt;=840), ('(橫掃)RX Mapping'!AR48-601),IF(AND('(橫掃)RX Mapping'!AR48&gt;=841,'(橫掃)RX Mapping'!AR48&lt;=960), (-1)*('(橫掃)RX Mapping'!AR48-960)+120,9999))))))))</f>
        <v>9999</v>
      </c>
      <c r="AS48">
        <f>IF(AND('(橫掃)RX Mapping'!AS48&gt;=1,'(橫掃)RX Mapping'!AS48&lt;=120), ('(橫掃)RX Mapping'!AS48-1),IF(AND('(橫掃)RX Mapping'!AS48&gt;=121,'(橫掃)RX Mapping'!AS48&lt;=240), (-1)*('(橫掃)RX Mapping'!AS48-240),IF(AND('(橫掃)RX Mapping'!AS48&gt;=241,'(橫掃)RX Mapping'!AS48&lt;=360), ('(橫掃)RX Mapping'!AS48-241),IF(AND('(橫掃)RX Mapping'!AS48&gt;=361,'(橫掃)RX Mapping'!AS48&lt;=480), (-1)*('(橫掃)RX Mapping'!AS48-480),IF(AND('(橫掃)RX Mapping'!AS48&gt;=481,'(橫掃)RX Mapping'!AS48&lt;=600), ('(橫掃)RX Mapping'!AS48-361),IF(AND('(橫掃)RX Mapping'!AS48&gt;=601,'(橫掃)RX Mapping'!AS48&lt;=720), (-1)*('(橫掃)RX Mapping'!AS48-720)+120,IF(AND('(橫掃)RX Mapping'!AS48&gt;=721,'(橫掃)RX Mapping'!AS48&lt;=840), ('(橫掃)RX Mapping'!AS48-601),IF(AND('(橫掃)RX Mapping'!AS48&gt;=841,'(橫掃)RX Mapping'!AS48&lt;=960), (-1)*('(橫掃)RX Mapping'!AS48-960)+120,9999))))))))</f>
        <v>9999</v>
      </c>
      <c r="AT48">
        <f>IF(AND('(橫掃)RX Mapping'!AT48&gt;=1,'(橫掃)RX Mapping'!AT48&lt;=120), ('(橫掃)RX Mapping'!AT48-1),IF(AND('(橫掃)RX Mapping'!AT48&gt;=121,'(橫掃)RX Mapping'!AT48&lt;=240), (-1)*('(橫掃)RX Mapping'!AT48-240),IF(AND('(橫掃)RX Mapping'!AT48&gt;=241,'(橫掃)RX Mapping'!AT48&lt;=360), ('(橫掃)RX Mapping'!AT48-241),IF(AND('(橫掃)RX Mapping'!AT48&gt;=361,'(橫掃)RX Mapping'!AT48&lt;=480), (-1)*('(橫掃)RX Mapping'!AT48-480),IF(AND('(橫掃)RX Mapping'!AT48&gt;=481,'(橫掃)RX Mapping'!AT48&lt;=600), ('(橫掃)RX Mapping'!AT48-361),IF(AND('(橫掃)RX Mapping'!AT48&gt;=601,'(橫掃)RX Mapping'!AT48&lt;=720), (-1)*('(橫掃)RX Mapping'!AT48-720)+120,IF(AND('(橫掃)RX Mapping'!AT48&gt;=721,'(橫掃)RX Mapping'!AT48&lt;=840), ('(橫掃)RX Mapping'!AT48-601),IF(AND('(橫掃)RX Mapping'!AT48&gt;=841,'(橫掃)RX Mapping'!AT48&lt;=960), (-1)*('(橫掃)RX Mapping'!AT48-960)+120,9999))))))))</f>
        <v>9999</v>
      </c>
      <c r="AU48">
        <f>IF(AND('(橫掃)RX Mapping'!AU48&gt;=1,'(橫掃)RX Mapping'!AU48&lt;=120), ('(橫掃)RX Mapping'!AU48-1),IF(AND('(橫掃)RX Mapping'!AU48&gt;=121,'(橫掃)RX Mapping'!AU48&lt;=240), (-1)*('(橫掃)RX Mapping'!AU48-240),IF(AND('(橫掃)RX Mapping'!AU48&gt;=241,'(橫掃)RX Mapping'!AU48&lt;=360), ('(橫掃)RX Mapping'!AU48-241),IF(AND('(橫掃)RX Mapping'!AU48&gt;=361,'(橫掃)RX Mapping'!AU48&lt;=480), (-1)*('(橫掃)RX Mapping'!AU48-480),IF(AND('(橫掃)RX Mapping'!AU48&gt;=481,'(橫掃)RX Mapping'!AU48&lt;=600), ('(橫掃)RX Mapping'!AU48-361),IF(AND('(橫掃)RX Mapping'!AU48&gt;=601,'(橫掃)RX Mapping'!AU48&lt;=720), (-1)*('(橫掃)RX Mapping'!AU48-720)+120,IF(AND('(橫掃)RX Mapping'!AU48&gt;=721,'(橫掃)RX Mapping'!AU48&lt;=840), ('(橫掃)RX Mapping'!AU48-601),IF(AND('(橫掃)RX Mapping'!AU48&gt;=841,'(橫掃)RX Mapping'!AU48&lt;=960), (-1)*('(橫掃)RX Mapping'!AU48-960)+120,9999))))))))</f>
        <v>9999</v>
      </c>
      <c r="AV48">
        <f>IF(AND('(橫掃)RX Mapping'!AV48&gt;=1,'(橫掃)RX Mapping'!AV48&lt;=120), ('(橫掃)RX Mapping'!AV48-1),IF(AND('(橫掃)RX Mapping'!AV48&gt;=121,'(橫掃)RX Mapping'!AV48&lt;=240), (-1)*('(橫掃)RX Mapping'!AV48-240),IF(AND('(橫掃)RX Mapping'!AV48&gt;=241,'(橫掃)RX Mapping'!AV48&lt;=360), ('(橫掃)RX Mapping'!AV48-241),IF(AND('(橫掃)RX Mapping'!AV48&gt;=361,'(橫掃)RX Mapping'!AV48&lt;=480), (-1)*('(橫掃)RX Mapping'!AV48-480),IF(AND('(橫掃)RX Mapping'!AV48&gt;=481,'(橫掃)RX Mapping'!AV48&lt;=600), ('(橫掃)RX Mapping'!AV48-361),IF(AND('(橫掃)RX Mapping'!AV48&gt;=601,'(橫掃)RX Mapping'!AV48&lt;=720), (-1)*('(橫掃)RX Mapping'!AV48-720)+120,IF(AND('(橫掃)RX Mapping'!AV48&gt;=721,'(橫掃)RX Mapping'!AV48&lt;=840), ('(橫掃)RX Mapping'!AV48-601),IF(AND('(橫掃)RX Mapping'!AV48&gt;=841,'(橫掃)RX Mapping'!AV48&lt;=960), (-1)*('(橫掃)RX Mapping'!AV48-960)+120,9999))))))))</f>
        <v>9999</v>
      </c>
      <c r="AW48">
        <f>IF(AND('(橫掃)RX Mapping'!AW48&gt;=1,'(橫掃)RX Mapping'!AW48&lt;=120), ('(橫掃)RX Mapping'!AW48-1),IF(AND('(橫掃)RX Mapping'!AW48&gt;=121,'(橫掃)RX Mapping'!AW48&lt;=240), (-1)*('(橫掃)RX Mapping'!AW48-240),IF(AND('(橫掃)RX Mapping'!AW48&gt;=241,'(橫掃)RX Mapping'!AW48&lt;=360), ('(橫掃)RX Mapping'!AW48-241),IF(AND('(橫掃)RX Mapping'!AW48&gt;=361,'(橫掃)RX Mapping'!AW48&lt;=480), (-1)*('(橫掃)RX Mapping'!AW48-480),IF(AND('(橫掃)RX Mapping'!AW48&gt;=481,'(橫掃)RX Mapping'!AW48&lt;=600), ('(橫掃)RX Mapping'!AW48-361),IF(AND('(橫掃)RX Mapping'!AW48&gt;=601,'(橫掃)RX Mapping'!AW48&lt;=720), (-1)*('(橫掃)RX Mapping'!AW48-720)+120,IF(AND('(橫掃)RX Mapping'!AW48&gt;=721,'(橫掃)RX Mapping'!AW48&lt;=840), ('(橫掃)RX Mapping'!AW48-601),IF(AND('(橫掃)RX Mapping'!AW48&gt;=841,'(橫掃)RX Mapping'!AW48&lt;=960), (-1)*('(橫掃)RX Mapping'!AW48-960)+120,9999))))))))</f>
        <v>9999</v>
      </c>
      <c r="AX48">
        <f>IF(AND('(橫掃)RX Mapping'!AX48&gt;=1,'(橫掃)RX Mapping'!AX48&lt;=120), ('(橫掃)RX Mapping'!AX48-1),IF(AND('(橫掃)RX Mapping'!AX48&gt;=121,'(橫掃)RX Mapping'!AX48&lt;=240), (-1)*('(橫掃)RX Mapping'!AX48-240),IF(AND('(橫掃)RX Mapping'!AX48&gt;=241,'(橫掃)RX Mapping'!AX48&lt;=360), ('(橫掃)RX Mapping'!AX48-241),IF(AND('(橫掃)RX Mapping'!AX48&gt;=361,'(橫掃)RX Mapping'!AX48&lt;=480), (-1)*('(橫掃)RX Mapping'!AX48-480),IF(AND('(橫掃)RX Mapping'!AX48&gt;=481,'(橫掃)RX Mapping'!AX48&lt;=600), ('(橫掃)RX Mapping'!AX48-361),IF(AND('(橫掃)RX Mapping'!AX48&gt;=601,'(橫掃)RX Mapping'!AX48&lt;=720), (-1)*('(橫掃)RX Mapping'!AX48-720)+120,IF(AND('(橫掃)RX Mapping'!AX48&gt;=721,'(橫掃)RX Mapping'!AX48&lt;=840), ('(橫掃)RX Mapping'!AX48-601),IF(AND('(橫掃)RX Mapping'!AX48&gt;=841,'(橫掃)RX Mapping'!AX48&lt;=960), (-1)*('(橫掃)RX Mapping'!AX48-960)+120,9999))))))))</f>
        <v>9999</v>
      </c>
      <c r="AY48">
        <f>IF(AND('(橫掃)RX Mapping'!AY48&gt;=1,'(橫掃)RX Mapping'!AY48&lt;=120), ('(橫掃)RX Mapping'!AY48-1),IF(AND('(橫掃)RX Mapping'!AY48&gt;=121,'(橫掃)RX Mapping'!AY48&lt;=240), (-1)*('(橫掃)RX Mapping'!AY48-240),IF(AND('(橫掃)RX Mapping'!AY48&gt;=241,'(橫掃)RX Mapping'!AY48&lt;=360), ('(橫掃)RX Mapping'!AY48-241),IF(AND('(橫掃)RX Mapping'!AY48&gt;=361,'(橫掃)RX Mapping'!AY48&lt;=480), (-1)*('(橫掃)RX Mapping'!AY48-480),IF(AND('(橫掃)RX Mapping'!AY48&gt;=481,'(橫掃)RX Mapping'!AY48&lt;=600), ('(橫掃)RX Mapping'!AY48-361),IF(AND('(橫掃)RX Mapping'!AY48&gt;=601,'(橫掃)RX Mapping'!AY48&lt;=720), (-1)*('(橫掃)RX Mapping'!AY48-720)+120,IF(AND('(橫掃)RX Mapping'!AY48&gt;=721,'(橫掃)RX Mapping'!AY48&lt;=840), ('(橫掃)RX Mapping'!AY48-601),IF(AND('(橫掃)RX Mapping'!AY48&gt;=841,'(橫掃)RX Mapping'!AY48&lt;=960), (-1)*('(橫掃)RX Mapping'!AY48-960)+120,9999))))))))</f>
        <v>9999</v>
      </c>
      <c r="AZ48">
        <f>IF(AND('(橫掃)RX Mapping'!AZ48&gt;=1,'(橫掃)RX Mapping'!AZ48&lt;=120), ('(橫掃)RX Mapping'!AZ48-1),IF(AND('(橫掃)RX Mapping'!AZ48&gt;=121,'(橫掃)RX Mapping'!AZ48&lt;=240), (-1)*('(橫掃)RX Mapping'!AZ48-240),IF(AND('(橫掃)RX Mapping'!AZ48&gt;=241,'(橫掃)RX Mapping'!AZ48&lt;=360), ('(橫掃)RX Mapping'!AZ48-241),IF(AND('(橫掃)RX Mapping'!AZ48&gt;=361,'(橫掃)RX Mapping'!AZ48&lt;=480), (-1)*('(橫掃)RX Mapping'!AZ48-480),IF(AND('(橫掃)RX Mapping'!AZ48&gt;=481,'(橫掃)RX Mapping'!AZ48&lt;=600), ('(橫掃)RX Mapping'!AZ48-361),IF(AND('(橫掃)RX Mapping'!AZ48&gt;=601,'(橫掃)RX Mapping'!AZ48&lt;=720), (-1)*('(橫掃)RX Mapping'!AZ48-720)+120,IF(AND('(橫掃)RX Mapping'!AZ48&gt;=721,'(橫掃)RX Mapping'!AZ48&lt;=840), ('(橫掃)RX Mapping'!AZ48-601),IF(AND('(橫掃)RX Mapping'!AZ48&gt;=841,'(橫掃)RX Mapping'!AZ48&lt;=960), (-1)*('(橫掃)RX Mapping'!AZ48-960)+120,9999))))))))</f>
        <v>9999</v>
      </c>
      <c r="BA48">
        <f>IF(AND('(橫掃)RX Mapping'!BA48&gt;=1,'(橫掃)RX Mapping'!BA48&lt;=120), ('(橫掃)RX Mapping'!BA48-1),IF(AND('(橫掃)RX Mapping'!BA48&gt;=121,'(橫掃)RX Mapping'!BA48&lt;=240), (-1)*('(橫掃)RX Mapping'!BA48-240),IF(AND('(橫掃)RX Mapping'!BA48&gt;=241,'(橫掃)RX Mapping'!BA48&lt;=360), ('(橫掃)RX Mapping'!BA48-241),IF(AND('(橫掃)RX Mapping'!BA48&gt;=361,'(橫掃)RX Mapping'!BA48&lt;=480), (-1)*('(橫掃)RX Mapping'!BA48-480),IF(AND('(橫掃)RX Mapping'!BA48&gt;=481,'(橫掃)RX Mapping'!BA48&lt;=600), ('(橫掃)RX Mapping'!BA48-361),IF(AND('(橫掃)RX Mapping'!BA48&gt;=601,'(橫掃)RX Mapping'!BA48&lt;=720), (-1)*('(橫掃)RX Mapping'!BA48-720)+120,IF(AND('(橫掃)RX Mapping'!BA48&gt;=721,'(橫掃)RX Mapping'!BA48&lt;=840), ('(橫掃)RX Mapping'!BA48-601),IF(AND('(橫掃)RX Mapping'!BA48&gt;=841,'(橫掃)RX Mapping'!BA48&lt;=960), (-1)*('(橫掃)RX Mapping'!BA48-960)+120,9999))))))))</f>
        <v>9999</v>
      </c>
      <c r="BB48">
        <f>IF(AND('(橫掃)RX Mapping'!BB48&gt;=1,'(橫掃)RX Mapping'!BB48&lt;=120), ('(橫掃)RX Mapping'!BB48-1),IF(AND('(橫掃)RX Mapping'!BB48&gt;=121,'(橫掃)RX Mapping'!BB48&lt;=240), (-1)*('(橫掃)RX Mapping'!BB48-240),IF(AND('(橫掃)RX Mapping'!BB48&gt;=241,'(橫掃)RX Mapping'!BB48&lt;=360), ('(橫掃)RX Mapping'!BB48-241),IF(AND('(橫掃)RX Mapping'!BB48&gt;=361,'(橫掃)RX Mapping'!BB48&lt;=480), (-1)*('(橫掃)RX Mapping'!BB48-480),IF(AND('(橫掃)RX Mapping'!BB48&gt;=481,'(橫掃)RX Mapping'!BB48&lt;=600), ('(橫掃)RX Mapping'!BB48-361),IF(AND('(橫掃)RX Mapping'!BB48&gt;=601,'(橫掃)RX Mapping'!BB48&lt;=720), (-1)*('(橫掃)RX Mapping'!BB48-720)+120,IF(AND('(橫掃)RX Mapping'!BB48&gt;=721,'(橫掃)RX Mapping'!BB48&lt;=840), ('(橫掃)RX Mapping'!BB48-601),IF(AND('(橫掃)RX Mapping'!BB48&gt;=841,'(橫掃)RX Mapping'!BB48&lt;=960), (-1)*('(橫掃)RX Mapping'!BB48-960)+120,9999))))))))</f>
        <v>9999</v>
      </c>
      <c r="BC48">
        <f>IF(AND('(橫掃)RX Mapping'!BC48&gt;=1,'(橫掃)RX Mapping'!BC48&lt;=120), ('(橫掃)RX Mapping'!BC48-1),IF(AND('(橫掃)RX Mapping'!BC48&gt;=121,'(橫掃)RX Mapping'!BC48&lt;=240), (-1)*('(橫掃)RX Mapping'!BC48-240),IF(AND('(橫掃)RX Mapping'!BC48&gt;=241,'(橫掃)RX Mapping'!BC48&lt;=360), ('(橫掃)RX Mapping'!BC48-241),IF(AND('(橫掃)RX Mapping'!BC48&gt;=361,'(橫掃)RX Mapping'!BC48&lt;=480), (-1)*('(橫掃)RX Mapping'!BC48-480),IF(AND('(橫掃)RX Mapping'!BC48&gt;=481,'(橫掃)RX Mapping'!BC48&lt;=600), ('(橫掃)RX Mapping'!BC48-361),IF(AND('(橫掃)RX Mapping'!BC48&gt;=601,'(橫掃)RX Mapping'!BC48&lt;=720), (-1)*('(橫掃)RX Mapping'!BC48-720)+120,IF(AND('(橫掃)RX Mapping'!BC48&gt;=721,'(橫掃)RX Mapping'!BC48&lt;=840), ('(橫掃)RX Mapping'!BC48-601),IF(AND('(橫掃)RX Mapping'!BC48&gt;=841,'(橫掃)RX Mapping'!BC48&lt;=960), (-1)*('(橫掃)RX Mapping'!BC48-960)+120,9999))))))))</f>
        <v>9999</v>
      </c>
      <c r="BD48">
        <f>IF(AND('(橫掃)RX Mapping'!BD48&gt;=1,'(橫掃)RX Mapping'!BD48&lt;=120), ('(橫掃)RX Mapping'!BD48-1),IF(AND('(橫掃)RX Mapping'!BD48&gt;=121,'(橫掃)RX Mapping'!BD48&lt;=240), (-1)*('(橫掃)RX Mapping'!BD48-240),IF(AND('(橫掃)RX Mapping'!BD48&gt;=241,'(橫掃)RX Mapping'!BD48&lt;=360), ('(橫掃)RX Mapping'!BD48-241),IF(AND('(橫掃)RX Mapping'!BD48&gt;=361,'(橫掃)RX Mapping'!BD48&lt;=480), (-1)*('(橫掃)RX Mapping'!BD48-480),IF(AND('(橫掃)RX Mapping'!BD48&gt;=481,'(橫掃)RX Mapping'!BD48&lt;=600), ('(橫掃)RX Mapping'!BD48-361),IF(AND('(橫掃)RX Mapping'!BD48&gt;=601,'(橫掃)RX Mapping'!BD48&lt;=720), (-1)*('(橫掃)RX Mapping'!BD48-720)+120,IF(AND('(橫掃)RX Mapping'!BD48&gt;=721,'(橫掃)RX Mapping'!BD48&lt;=840), ('(橫掃)RX Mapping'!BD48-601),IF(AND('(橫掃)RX Mapping'!BD48&gt;=841,'(橫掃)RX Mapping'!BD48&lt;=960), (-1)*('(橫掃)RX Mapping'!BD48-960)+120,9999))))))))</f>
        <v>9999</v>
      </c>
      <c r="BE48">
        <f>IF(AND('(橫掃)RX Mapping'!BE48&gt;=1,'(橫掃)RX Mapping'!BE48&lt;=120), ('(橫掃)RX Mapping'!BE48-1),IF(AND('(橫掃)RX Mapping'!BE48&gt;=121,'(橫掃)RX Mapping'!BE48&lt;=240), (-1)*('(橫掃)RX Mapping'!BE48-240),IF(AND('(橫掃)RX Mapping'!BE48&gt;=241,'(橫掃)RX Mapping'!BE48&lt;=360), ('(橫掃)RX Mapping'!BE48-241),IF(AND('(橫掃)RX Mapping'!BE48&gt;=361,'(橫掃)RX Mapping'!BE48&lt;=480), (-1)*('(橫掃)RX Mapping'!BE48-480),IF(AND('(橫掃)RX Mapping'!BE48&gt;=481,'(橫掃)RX Mapping'!BE48&lt;=600), ('(橫掃)RX Mapping'!BE48-361),IF(AND('(橫掃)RX Mapping'!BE48&gt;=601,'(橫掃)RX Mapping'!BE48&lt;=720), (-1)*('(橫掃)RX Mapping'!BE48-720)+120,IF(AND('(橫掃)RX Mapping'!BE48&gt;=721,'(橫掃)RX Mapping'!BE48&lt;=840), ('(橫掃)RX Mapping'!BE48-601),IF(AND('(橫掃)RX Mapping'!BE48&gt;=841,'(橫掃)RX Mapping'!BE48&lt;=960), (-1)*('(橫掃)RX Mapping'!BE48-960)+120,9999))))))))</f>
        <v>9999</v>
      </c>
      <c r="BF48">
        <f>IF(AND('(橫掃)RX Mapping'!BF48&gt;=1,'(橫掃)RX Mapping'!BF48&lt;=120), ('(橫掃)RX Mapping'!BF48-1),IF(AND('(橫掃)RX Mapping'!BF48&gt;=121,'(橫掃)RX Mapping'!BF48&lt;=240), (-1)*('(橫掃)RX Mapping'!BF48-240),IF(AND('(橫掃)RX Mapping'!BF48&gt;=241,'(橫掃)RX Mapping'!BF48&lt;=360), ('(橫掃)RX Mapping'!BF48-241),IF(AND('(橫掃)RX Mapping'!BF48&gt;=361,'(橫掃)RX Mapping'!BF48&lt;=480), (-1)*('(橫掃)RX Mapping'!BF48-480),IF(AND('(橫掃)RX Mapping'!BF48&gt;=481,'(橫掃)RX Mapping'!BF48&lt;=600), ('(橫掃)RX Mapping'!BF48-361),IF(AND('(橫掃)RX Mapping'!BF48&gt;=601,'(橫掃)RX Mapping'!BF48&lt;=720), (-1)*('(橫掃)RX Mapping'!BF48-720)+120,IF(AND('(橫掃)RX Mapping'!BF48&gt;=721,'(橫掃)RX Mapping'!BF48&lt;=840), ('(橫掃)RX Mapping'!BF48-601),IF(AND('(橫掃)RX Mapping'!BF48&gt;=841,'(橫掃)RX Mapping'!BF48&lt;=960), (-1)*('(橫掃)RX Mapping'!BF48-960)+120,9999))))))))</f>
        <v>9999</v>
      </c>
      <c r="BG48">
        <f>IF(AND('(橫掃)RX Mapping'!BG48&gt;=1,'(橫掃)RX Mapping'!BG48&lt;=120), ('(橫掃)RX Mapping'!BG48-1),IF(AND('(橫掃)RX Mapping'!BG48&gt;=121,'(橫掃)RX Mapping'!BG48&lt;=240), (-1)*('(橫掃)RX Mapping'!BG48-240),IF(AND('(橫掃)RX Mapping'!BG48&gt;=241,'(橫掃)RX Mapping'!BG48&lt;=360), ('(橫掃)RX Mapping'!BG48-241),IF(AND('(橫掃)RX Mapping'!BG48&gt;=361,'(橫掃)RX Mapping'!BG48&lt;=480), (-1)*('(橫掃)RX Mapping'!BG48-480),IF(AND('(橫掃)RX Mapping'!BG48&gt;=481,'(橫掃)RX Mapping'!BG48&lt;=600), ('(橫掃)RX Mapping'!BG48-361),IF(AND('(橫掃)RX Mapping'!BG48&gt;=601,'(橫掃)RX Mapping'!BG48&lt;=720), (-1)*('(橫掃)RX Mapping'!BG48-720)+120,IF(AND('(橫掃)RX Mapping'!BG48&gt;=721,'(橫掃)RX Mapping'!BG48&lt;=840), ('(橫掃)RX Mapping'!BG48-601),IF(AND('(橫掃)RX Mapping'!BG48&gt;=841,'(橫掃)RX Mapping'!BG48&lt;=960), (-1)*('(橫掃)RX Mapping'!BG48-960)+120,9999))))))))</f>
        <v>9999</v>
      </c>
      <c r="BH48">
        <f>IF(AND('(橫掃)RX Mapping'!BH48&gt;=1,'(橫掃)RX Mapping'!BH48&lt;=120), ('(橫掃)RX Mapping'!BH48-1),IF(AND('(橫掃)RX Mapping'!BH48&gt;=121,'(橫掃)RX Mapping'!BH48&lt;=240), (-1)*('(橫掃)RX Mapping'!BH48-240),IF(AND('(橫掃)RX Mapping'!BH48&gt;=241,'(橫掃)RX Mapping'!BH48&lt;=360), ('(橫掃)RX Mapping'!BH48-241),IF(AND('(橫掃)RX Mapping'!BH48&gt;=361,'(橫掃)RX Mapping'!BH48&lt;=480), (-1)*('(橫掃)RX Mapping'!BH48-480),IF(AND('(橫掃)RX Mapping'!BH48&gt;=481,'(橫掃)RX Mapping'!BH48&lt;=600), ('(橫掃)RX Mapping'!BH48-361),IF(AND('(橫掃)RX Mapping'!BH48&gt;=601,'(橫掃)RX Mapping'!BH48&lt;=720), (-1)*('(橫掃)RX Mapping'!BH48-720)+120,IF(AND('(橫掃)RX Mapping'!BH48&gt;=721,'(橫掃)RX Mapping'!BH48&lt;=840), ('(橫掃)RX Mapping'!BH48-601),IF(AND('(橫掃)RX Mapping'!BH48&gt;=841,'(橫掃)RX Mapping'!BH48&lt;=960), (-1)*('(橫掃)RX Mapping'!BH48-960)+120,9999))))))))</f>
        <v>9999</v>
      </c>
      <c r="BI48">
        <f>IF(AND('(橫掃)RX Mapping'!BI48&gt;=1,'(橫掃)RX Mapping'!BI48&lt;=120), ('(橫掃)RX Mapping'!BI48-1),IF(AND('(橫掃)RX Mapping'!BI48&gt;=121,'(橫掃)RX Mapping'!BI48&lt;=240), (-1)*('(橫掃)RX Mapping'!BI48-240),IF(AND('(橫掃)RX Mapping'!BI48&gt;=241,'(橫掃)RX Mapping'!BI48&lt;=360), ('(橫掃)RX Mapping'!BI48-241),IF(AND('(橫掃)RX Mapping'!BI48&gt;=361,'(橫掃)RX Mapping'!BI48&lt;=480), (-1)*('(橫掃)RX Mapping'!BI48-480),IF(AND('(橫掃)RX Mapping'!BI48&gt;=481,'(橫掃)RX Mapping'!BI48&lt;=600), ('(橫掃)RX Mapping'!BI48-361),IF(AND('(橫掃)RX Mapping'!BI48&gt;=601,'(橫掃)RX Mapping'!BI48&lt;=720), (-1)*('(橫掃)RX Mapping'!BI48-720)+120,IF(AND('(橫掃)RX Mapping'!BI48&gt;=721,'(橫掃)RX Mapping'!BI48&lt;=840), ('(橫掃)RX Mapping'!BI48-601),IF(AND('(橫掃)RX Mapping'!BI48&gt;=841,'(橫掃)RX Mapping'!BI48&lt;=960), (-1)*('(橫掃)RX Mapping'!BI48-960)+120,9999))))))))</f>
        <v>9999</v>
      </c>
    </row>
    <row r="49" spans="1:61" x14ac:dyDescent="0.25">
      <c r="A49" s="20">
        <v>48</v>
      </c>
      <c r="B49">
        <f>IF(AND('(橫掃)RX Mapping'!B49&gt;=1,'(橫掃)RX Mapping'!B49&lt;=120), ('(橫掃)RX Mapping'!B49-1),IF(AND('(橫掃)RX Mapping'!B49&gt;=121,'(橫掃)RX Mapping'!B49&lt;=240), (-1)*('(橫掃)RX Mapping'!B49-240),IF(AND('(橫掃)RX Mapping'!B49&gt;=241,'(橫掃)RX Mapping'!B49&lt;=360), ('(橫掃)RX Mapping'!B49-241),IF(AND('(橫掃)RX Mapping'!B49&gt;=361,'(橫掃)RX Mapping'!B49&lt;=480), (-1)*('(橫掃)RX Mapping'!B49-480),IF(AND('(橫掃)RX Mapping'!B49&gt;=481,'(橫掃)RX Mapping'!B49&lt;=600), ('(橫掃)RX Mapping'!B49-361),IF(AND('(橫掃)RX Mapping'!B49&gt;=601,'(橫掃)RX Mapping'!B49&lt;=720), (-1)*('(橫掃)RX Mapping'!B49-720)+120,IF(AND('(橫掃)RX Mapping'!B49&gt;=721,'(橫掃)RX Mapping'!B49&lt;=840), ('(橫掃)RX Mapping'!B49-601),IF(AND('(橫掃)RX Mapping'!B49&gt;=841,'(橫掃)RX Mapping'!B49&lt;=960), (-1)*('(橫掃)RX Mapping'!B49-960)+120,9999))))))))</f>
        <v>9999</v>
      </c>
      <c r="C49">
        <f>IF(AND('(橫掃)RX Mapping'!C49&gt;=1,'(橫掃)RX Mapping'!C49&lt;=120), ('(橫掃)RX Mapping'!C49-1),IF(AND('(橫掃)RX Mapping'!C49&gt;=121,'(橫掃)RX Mapping'!C49&lt;=240), (-1)*('(橫掃)RX Mapping'!C49-240),IF(AND('(橫掃)RX Mapping'!C49&gt;=241,'(橫掃)RX Mapping'!C49&lt;=360), ('(橫掃)RX Mapping'!C49-241),IF(AND('(橫掃)RX Mapping'!C49&gt;=361,'(橫掃)RX Mapping'!C49&lt;=480), (-1)*('(橫掃)RX Mapping'!C49-480),IF(AND('(橫掃)RX Mapping'!C49&gt;=481,'(橫掃)RX Mapping'!C49&lt;=600), ('(橫掃)RX Mapping'!C49-361),IF(AND('(橫掃)RX Mapping'!C49&gt;=601,'(橫掃)RX Mapping'!C49&lt;=720), (-1)*('(橫掃)RX Mapping'!C49-720)+120,IF(AND('(橫掃)RX Mapping'!C49&gt;=721,'(橫掃)RX Mapping'!C49&lt;=840), ('(橫掃)RX Mapping'!C49-601),IF(AND('(橫掃)RX Mapping'!C49&gt;=841,'(橫掃)RX Mapping'!C49&lt;=960), (-1)*('(橫掃)RX Mapping'!C49-960)+120,9999))))))))</f>
        <v>9999</v>
      </c>
      <c r="D49">
        <f>IF(AND('(橫掃)RX Mapping'!D49&gt;=1,'(橫掃)RX Mapping'!D49&lt;=120), ('(橫掃)RX Mapping'!D49-1),IF(AND('(橫掃)RX Mapping'!D49&gt;=121,'(橫掃)RX Mapping'!D49&lt;=240), (-1)*('(橫掃)RX Mapping'!D49-240),IF(AND('(橫掃)RX Mapping'!D49&gt;=241,'(橫掃)RX Mapping'!D49&lt;=360), ('(橫掃)RX Mapping'!D49-241),IF(AND('(橫掃)RX Mapping'!D49&gt;=361,'(橫掃)RX Mapping'!D49&lt;=480), (-1)*('(橫掃)RX Mapping'!D49-480),IF(AND('(橫掃)RX Mapping'!D49&gt;=481,'(橫掃)RX Mapping'!D49&lt;=600), ('(橫掃)RX Mapping'!D49-361),IF(AND('(橫掃)RX Mapping'!D49&gt;=601,'(橫掃)RX Mapping'!D49&lt;=720), (-1)*('(橫掃)RX Mapping'!D49-720)+120,IF(AND('(橫掃)RX Mapping'!D49&gt;=721,'(橫掃)RX Mapping'!D49&lt;=840), ('(橫掃)RX Mapping'!D49-601),IF(AND('(橫掃)RX Mapping'!D49&gt;=841,'(橫掃)RX Mapping'!D49&lt;=960), (-1)*('(橫掃)RX Mapping'!D49-960)+120,9999))))))))</f>
        <v>9999</v>
      </c>
      <c r="E49">
        <f>IF(AND('(橫掃)RX Mapping'!E49&gt;=1,'(橫掃)RX Mapping'!E49&lt;=120), ('(橫掃)RX Mapping'!E49-1),IF(AND('(橫掃)RX Mapping'!E49&gt;=121,'(橫掃)RX Mapping'!E49&lt;=240), (-1)*('(橫掃)RX Mapping'!E49-240),IF(AND('(橫掃)RX Mapping'!E49&gt;=241,'(橫掃)RX Mapping'!E49&lt;=360), ('(橫掃)RX Mapping'!E49-241),IF(AND('(橫掃)RX Mapping'!E49&gt;=361,'(橫掃)RX Mapping'!E49&lt;=480), (-1)*('(橫掃)RX Mapping'!E49-480),IF(AND('(橫掃)RX Mapping'!E49&gt;=481,'(橫掃)RX Mapping'!E49&lt;=600), ('(橫掃)RX Mapping'!E49-361),IF(AND('(橫掃)RX Mapping'!E49&gt;=601,'(橫掃)RX Mapping'!E49&lt;=720), (-1)*('(橫掃)RX Mapping'!E49-720)+120,IF(AND('(橫掃)RX Mapping'!E49&gt;=721,'(橫掃)RX Mapping'!E49&lt;=840), ('(橫掃)RX Mapping'!E49-601),IF(AND('(橫掃)RX Mapping'!E49&gt;=841,'(橫掃)RX Mapping'!E49&lt;=960), (-1)*('(橫掃)RX Mapping'!E49-960)+120,9999))))))))</f>
        <v>9999</v>
      </c>
      <c r="F49">
        <f>IF(AND('(橫掃)RX Mapping'!F49&gt;=1,'(橫掃)RX Mapping'!F49&lt;=120), ('(橫掃)RX Mapping'!F49-1),IF(AND('(橫掃)RX Mapping'!F49&gt;=121,'(橫掃)RX Mapping'!F49&lt;=240), (-1)*('(橫掃)RX Mapping'!F49-240),IF(AND('(橫掃)RX Mapping'!F49&gt;=241,'(橫掃)RX Mapping'!F49&lt;=360), ('(橫掃)RX Mapping'!F49-241),IF(AND('(橫掃)RX Mapping'!F49&gt;=361,'(橫掃)RX Mapping'!F49&lt;=480), (-1)*('(橫掃)RX Mapping'!F49-480),IF(AND('(橫掃)RX Mapping'!F49&gt;=481,'(橫掃)RX Mapping'!F49&lt;=600), ('(橫掃)RX Mapping'!F49-361),IF(AND('(橫掃)RX Mapping'!F49&gt;=601,'(橫掃)RX Mapping'!F49&lt;=720), (-1)*('(橫掃)RX Mapping'!F49-720)+120,IF(AND('(橫掃)RX Mapping'!F49&gt;=721,'(橫掃)RX Mapping'!F49&lt;=840), ('(橫掃)RX Mapping'!F49-601),IF(AND('(橫掃)RX Mapping'!F49&gt;=841,'(橫掃)RX Mapping'!F49&lt;=960), (-1)*('(橫掃)RX Mapping'!F49-960)+120,9999))))))))</f>
        <v>9999</v>
      </c>
      <c r="G49">
        <f>IF(AND('(橫掃)RX Mapping'!G49&gt;=1,'(橫掃)RX Mapping'!G49&lt;=120), ('(橫掃)RX Mapping'!G49-1),IF(AND('(橫掃)RX Mapping'!G49&gt;=121,'(橫掃)RX Mapping'!G49&lt;=240), (-1)*('(橫掃)RX Mapping'!G49-240),IF(AND('(橫掃)RX Mapping'!G49&gt;=241,'(橫掃)RX Mapping'!G49&lt;=360), ('(橫掃)RX Mapping'!G49-241),IF(AND('(橫掃)RX Mapping'!G49&gt;=361,'(橫掃)RX Mapping'!G49&lt;=480), (-1)*('(橫掃)RX Mapping'!G49-480),IF(AND('(橫掃)RX Mapping'!G49&gt;=481,'(橫掃)RX Mapping'!G49&lt;=600), ('(橫掃)RX Mapping'!G49-361),IF(AND('(橫掃)RX Mapping'!G49&gt;=601,'(橫掃)RX Mapping'!G49&lt;=720), (-1)*('(橫掃)RX Mapping'!G49-720)+120,IF(AND('(橫掃)RX Mapping'!G49&gt;=721,'(橫掃)RX Mapping'!G49&lt;=840), ('(橫掃)RX Mapping'!G49-601),IF(AND('(橫掃)RX Mapping'!G49&gt;=841,'(橫掃)RX Mapping'!G49&lt;=960), (-1)*('(橫掃)RX Mapping'!G49-960)+120,9999))))))))</f>
        <v>9999</v>
      </c>
      <c r="H49">
        <f>IF(AND('(橫掃)RX Mapping'!H49&gt;=1,'(橫掃)RX Mapping'!H49&lt;=120), ('(橫掃)RX Mapping'!H49-1),IF(AND('(橫掃)RX Mapping'!H49&gt;=121,'(橫掃)RX Mapping'!H49&lt;=240), (-1)*('(橫掃)RX Mapping'!H49-240),IF(AND('(橫掃)RX Mapping'!H49&gt;=241,'(橫掃)RX Mapping'!H49&lt;=360), ('(橫掃)RX Mapping'!H49-241),IF(AND('(橫掃)RX Mapping'!H49&gt;=361,'(橫掃)RX Mapping'!H49&lt;=480), (-1)*('(橫掃)RX Mapping'!H49-480),IF(AND('(橫掃)RX Mapping'!H49&gt;=481,'(橫掃)RX Mapping'!H49&lt;=600), ('(橫掃)RX Mapping'!H49-361),IF(AND('(橫掃)RX Mapping'!H49&gt;=601,'(橫掃)RX Mapping'!H49&lt;=720), (-1)*('(橫掃)RX Mapping'!H49-720)+120,IF(AND('(橫掃)RX Mapping'!H49&gt;=721,'(橫掃)RX Mapping'!H49&lt;=840), ('(橫掃)RX Mapping'!H49-601),IF(AND('(橫掃)RX Mapping'!H49&gt;=841,'(橫掃)RX Mapping'!H49&lt;=960), (-1)*('(橫掃)RX Mapping'!H49-960)+120,9999))))))))</f>
        <v>9999</v>
      </c>
      <c r="I49">
        <f>IF(AND('(橫掃)RX Mapping'!I49&gt;=1,'(橫掃)RX Mapping'!I49&lt;=120), ('(橫掃)RX Mapping'!I49-1),IF(AND('(橫掃)RX Mapping'!I49&gt;=121,'(橫掃)RX Mapping'!I49&lt;=240), (-1)*('(橫掃)RX Mapping'!I49-240),IF(AND('(橫掃)RX Mapping'!I49&gt;=241,'(橫掃)RX Mapping'!I49&lt;=360), ('(橫掃)RX Mapping'!I49-241),IF(AND('(橫掃)RX Mapping'!I49&gt;=361,'(橫掃)RX Mapping'!I49&lt;=480), (-1)*('(橫掃)RX Mapping'!I49-480),IF(AND('(橫掃)RX Mapping'!I49&gt;=481,'(橫掃)RX Mapping'!I49&lt;=600), ('(橫掃)RX Mapping'!I49-361),IF(AND('(橫掃)RX Mapping'!I49&gt;=601,'(橫掃)RX Mapping'!I49&lt;=720), (-1)*('(橫掃)RX Mapping'!I49-720)+120,IF(AND('(橫掃)RX Mapping'!I49&gt;=721,'(橫掃)RX Mapping'!I49&lt;=840), ('(橫掃)RX Mapping'!I49-601),IF(AND('(橫掃)RX Mapping'!I49&gt;=841,'(橫掃)RX Mapping'!I49&lt;=960), (-1)*('(橫掃)RX Mapping'!I49-960)+120,9999))))))))</f>
        <v>9999</v>
      </c>
      <c r="J49">
        <f>IF(AND('(橫掃)RX Mapping'!J49&gt;=1,'(橫掃)RX Mapping'!J49&lt;=120), ('(橫掃)RX Mapping'!J49-1),IF(AND('(橫掃)RX Mapping'!J49&gt;=121,'(橫掃)RX Mapping'!J49&lt;=240), (-1)*('(橫掃)RX Mapping'!J49-240),IF(AND('(橫掃)RX Mapping'!J49&gt;=241,'(橫掃)RX Mapping'!J49&lt;=360), ('(橫掃)RX Mapping'!J49-241),IF(AND('(橫掃)RX Mapping'!J49&gt;=361,'(橫掃)RX Mapping'!J49&lt;=480), (-1)*('(橫掃)RX Mapping'!J49-480),IF(AND('(橫掃)RX Mapping'!J49&gt;=481,'(橫掃)RX Mapping'!J49&lt;=600), ('(橫掃)RX Mapping'!J49-361),IF(AND('(橫掃)RX Mapping'!J49&gt;=601,'(橫掃)RX Mapping'!J49&lt;=720), (-1)*('(橫掃)RX Mapping'!J49-720)+120,IF(AND('(橫掃)RX Mapping'!J49&gt;=721,'(橫掃)RX Mapping'!J49&lt;=840), ('(橫掃)RX Mapping'!J49-601),IF(AND('(橫掃)RX Mapping'!J49&gt;=841,'(橫掃)RX Mapping'!J49&lt;=960), (-1)*('(橫掃)RX Mapping'!J49-960)+120,9999))))))))</f>
        <v>9999</v>
      </c>
      <c r="K49">
        <f>IF(AND('(橫掃)RX Mapping'!K49&gt;=1,'(橫掃)RX Mapping'!K49&lt;=120), ('(橫掃)RX Mapping'!K49-1),IF(AND('(橫掃)RX Mapping'!K49&gt;=121,'(橫掃)RX Mapping'!K49&lt;=240), (-1)*('(橫掃)RX Mapping'!K49-240),IF(AND('(橫掃)RX Mapping'!K49&gt;=241,'(橫掃)RX Mapping'!K49&lt;=360), ('(橫掃)RX Mapping'!K49-241),IF(AND('(橫掃)RX Mapping'!K49&gt;=361,'(橫掃)RX Mapping'!K49&lt;=480), (-1)*('(橫掃)RX Mapping'!K49-480),IF(AND('(橫掃)RX Mapping'!K49&gt;=481,'(橫掃)RX Mapping'!K49&lt;=600), ('(橫掃)RX Mapping'!K49-361),IF(AND('(橫掃)RX Mapping'!K49&gt;=601,'(橫掃)RX Mapping'!K49&lt;=720), (-1)*('(橫掃)RX Mapping'!K49-720)+120,IF(AND('(橫掃)RX Mapping'!K49&gt;=721,'(橫掃)RX Mapping'!K49&lt;=840), ('(橫掃)RX Mapping'!K49-601),IF(AND('(橫掃)RX Mapping'!K49&gt;=841,'(橫掃)RX Mapping'!K49&lt;=960), (-1)*('(橫掃)RX Mapping'!K49-960)+120,9999))))))))</f>
        <v>9999</v>
      </c>
      <c r="L49">
        <f>IF(AND('(橫掃)RX Mapping'!L49&gt;=1,'(橫掃)RX Mapping'!L49&lt;=120), ('(橫掃)RX Mapping'!L49-1),IF(AND('(橫掃)RX Mapping'!L49&gt;=121,'(橫掃)RX Mapping'!L49&lt;=240), (-1)*('(橫掃)RX Mapping'!L49-240),IF(AND('(橫掃)RX Mapping'!L49&gt;=241,'(橫掃)RX Mapping'!L49&lt;=360), ('(橫掃)RX Mapping'!L49-241),IF(AND('(橫掃)RX Mapping'!L49&gt;=361,'(橫掃)RX Mapping'!L49&lt;=480), (-1)*('(橫掃)RX Mapping'!L49-480),IF(AND('(橫掃)RX Mapping'!L49&gt;=481,'(橫掃)RX Mapping'!L49&lt;=600), ('(橫掃)RX Mapping'!L49-361),IF(AND('(橫掃)RX Mapping'!L49&gt;=601,'(橫掃)RX Mapping'!L49&lt;=720), (-1)*('(橫掃)RX Mapping'!L49-720)+120,IF(AND('(橫掃)RX Mapping'!L49&gt;=721,'(橫掃)RX Mapping'!L49&lt;=840), ('(橫掃)RX Mapping'!L49-601),IF(AND('(橫掃)RX Mapping'!L49&gt;=841,'(橫掃)RX Mapping'!L49&lt;=960), (-1)*('(橫掃)RX Mapping'!L49-960)+120,9999))))))))</f>
        <v>9999</v>
      </c>
      <c r="M49">
        <f>IF(AND('(橫掃)RX Mapping'!M49&gt;=1,'(橫掃)RX Mapping'!M49&lt;=120), ('(橫掃)RX Mapping'!M49-1),IF(AND('(橫掃)RX Mapping'!M49&gt;=121,'(橫掃)RX Mapping'!M49&lt;=240), (-1)*('(橫掃)RX Mapping'!M49-240),IF(AND('(橫掃)RX Mapping'!M49&gt;=241,'(橫掃)RX Mapping'!M49&lt;=360), ('(橫掃)RX Mapping'!M49-241),IF(AND('(橫掃)RX Mapping'!M49&gt;=361,'(橫掃)RX Mapping'!M49&lt;=480), (-1)*('(橫掃)RX Mapping'!M49-480),IF(AND('(橫掃)RX Mapping'!M49&gt;=481,'(橫掃)RX Mapping'!M49&lt;=600), ('(橫掃)RX Mapping'!M49-361),IF(AND('(橫掃)RX Mapping'!M49&gt;=601,'(橫掃)RX Mapping'!M49&lt;=720), (-1)*('(橫掃)RX Mapping'!M49-720)+120,IF(AND('(橫掃)RX Mapping'!M49&gt;=721,'(橫掃)RX Mapping'!M49&lt;=840), ('(橫掃)RX Mapping'!M49-601),IF(AND('(橫掃)RX Mapping'!M49&gt;=841,'(橫掃)RX Mapping'!M49&lt;=960), (-1)*('(橫掃)RX Mapping'!M49-960)+120,9999))))))))</f>
        <v>9999</v>
      </c>
      <c r="N49">
        <f>IF(AND('(橫掃)RX Mapping'!N49&gt;=1,'(橫掃)RX Mapping'!N49&lt;=120), ('(橫掃)RX Mapping'!N49-1),IF(AND('(橫掃)RX Mapping'!N49&gt;=121,'(橫掃)RX Mapping'!N49&lt;=240), (-1)*('(橫掃)RX Mapping'!N49-240),IF(AND('(橫掃)RX Mapping'!N49&gt;=241,'(橫掃)RX Mapping'!N49&lt;=360), ('(橫掃)RX Mapping'!N49-241),IF(AND('(橫掃)RX Mapping'!N49&gt;=361,'(橫掃)RX Mapping'!N49&lt;=480), (-1)*('(橫掃)RX Mapping'!N49-480),IF(AND('(橫掃)RX Mapping'!N49&gt;=481,'(橫掃)RX Mapping'!N49&lt;=600), ('(橫掃)RX Mapping'!N49-361),IF(AND('(橫掃)RX Mapping'!N49&gt;=601,'(橫掃)RX Mapping'!N49&lt;=720), (-1)*('(橫掃)RX Mapping'!N49-720)+120,IF(AND('(橫掃)RX Mapping'!N49&gt;=721,'(橫掃)RX Mapping'!N49&lt;=840), ('(橫掃)RX Mapping'!N49-601),IF(AND('(橫掃)RX Mapping'!N49&gt;=841,'(橫掃)RX Mapping'!N49&lt;=960), (-1)*('(橫掃)RX Mapping'!N49-960)+120,9999))))))))</f>
        <v>9999</v>
      </c>
      <c r="O49">
        <f>IF(AND('(橫掃)RX Mapping'!O49&gt;=1,'(橫掃)RX Mapping'!O49&lt;=120), ('(橫掃)RX Mapping'!O49-1),IF(AND('(橫掃)RX Mapping'!O49&gt;=121,'(橫掃)RX Mapping'!O49&lt;=240), (-1)*('(橫掃)RX Mapping'!O49-240),IF(AND('(橫掃)RX Mapping'!O49&gt;=241,'(橫掃)RX Mapping'!O49&lt;=360), ('(橫掃)RX Mapping'!O49-241),IF(AND('(橫掃)RX Mapping'!O49&gt;=361,'(橫掃)RX Mapping'!O49&lt;=480), (-1)*('(橫掃)RX Mapping'!O49-480),IF(AND('(橫掃)RX Mapping'!O49&gt;=481,'(橫掃)RX Mapping'!O49&lt;=600), ('(橫掃)RX Mapping'!O49-361),IF(AND('(橫掃)RX Mapping'!O49&gt;=601,'(橫掃)RX Mapping'!O49&lt;=720), (-1)*('(橫掃)RX Mapping'!O49-720)+120,IF(AND('(橫掃)RX Mapping'!O49&gt;=721,'(橫掃)RX Mapping'!O49&lt;=840), ('(橫掃)RX Mapping'!O49-601),IF(AND('(橫掃)RX Mapping'!O49&gt;=841,'(橫掃)RX Mapping'!O49&lt;=960), (-1)*('(橫掃)RX Mapping'!O49-960)+120,9999))))))))</f>
        <v>9999</v>
      </c>
      <c r="P49">
        <f>IF(AND('(橫掃)RX Mapping'!P49&gt;=1,'(橫掃)RX Mapping'!P49&lt;=120), ('(橫掃)RX Mapping'!P49-1),IF(AND('(橫掃)RX Mapping'!P49&gt;=121,'(橫掃)RX Mapping'!P49&lt;=240), (-1)*('(橫掃)RX Mapping'!P49-240),IF(AND('(橫掃)RX Mapping'!P49&gt;=241,'(橫掃)RX Mapping'!P49&lt;=360), ('(橫掃)RX Mapping'!P49-241),IF(AND('(橫掃)RX Mapping'!P49&gt;=361,'(橫掃)RX Mapping'!P49&lt;=480), (-1)*('(橫掃)RX Mapping'!P49-480),IF(AND('(橫掃)RX Mapping'!P49&gt;=481,'(橫掃)RX Mapping'!P49&lt;=600), ('(橫掃)RX Mapping'!P49-361),IF(AND('(橫掃)RX Mapping'!P49&gt;=601,'(橫掃)RX Mapping'!P49&lt;=720), (-1)*('(橫掃)RX Mapping'!P49-720)+120,IF(AND('(橫掃)RX Mapping'!P49&gt;=721,'(橫掃)RX Mapping'!P49&lt;=840), ('(橫掃)RX Mapping'!P49-601),IF(AND('(橫掃)RX Mapping'!P49&gt;=841,'(橫掃)RX Mapping'!P49&lt;=960), (-1)*('(橫掃)RX Mapping'!P49-960)+120,9999))))))))</f>
        <v>9999</v>
      </c>
      <c r="Q49">
        <f>IF(AND('(橫掃)RX Mapping'!Q49&gt;=1,'(橫掃)RX Mapping'!Q49&lt;=120), ('(橫掃)RX Mapping'!Q49-1),IF(AND('(橫掃)RX Mapping'!Q49&gt;=121,'(橫掃)RX Mapping'!Q49&lt;=240), (-1)*('(橫掃)RX Mapping'!Q49-240),IF(AND('(橫掃)RX Mapping'!Q49&gt;=241,'(橫掃)RX Mapping'!Q49&lt;=360), ('(橫掃)RX Mapping'!Q49-241),IF(AND('(橫掃)RX Mapping'!Q49&gt;=361,'(橫掃)RX Mapping'!Q49&lt;=480), (-1)*('(橫掃)RX Mapping'!Q49-480),IF(AND('(橫掃)RX Mapping'!Q49&gt;=481,'(橫掃)RX Mapping'!Q49&lt;=600), ('(橫掃)RX Mapping'!Q49-361),IF(AND('(橫掃)RX Mapping'!Q49&gt;=601,'(橫掃)RX Mapping'!Q49&lt;=720), (-1)*('(橫掃)RX Mapping'!Q49-720)+120,IF(AND('(橫掃)RX Mapping'!Q49&gt;=721,'(橫掃)RX Mapping'!Q49&lt;=840), ('(橫掃)RX Mapping'!Q49-601),IF(AND('(橫掃)RX Mapping'!Q49&gt;=841,'(橫掃)RX Mapping'!Q49&lt;=960), (-1)*('(橫掃)RX Mapping'!Q49-960)+120,9999))))))))</f>
        <v>9999</v>
      </c>
      <c r="R49">
        <f>IF(AND('(橫掃)RX Mapping'!R49&gt;=1,'(橫掃)RX Mapping'!R49&lt;=120), ('(橫掃)RX Mapping'!R49-1),IF(AND('(橫掃)RX Mapping'!R49&gt;=121,'(橫掃)RX Mapping'!R49&lt;=240), (-1)*('(橫掃)RX Mapping'!R49-240),IF(AND('(橫掃)RX Mapping'!R49&gt;=241,'(橫掃)RX Mapping'!R49&lt;=360), ('(橫掃)RX Mapping'!R49-241),IF(AND('(橫掃)RX Mapping'!R49&gt;=361,'(橫掃)RX Mapping'!R49&lt;=480), (-1)*('(橫掃)RX Mapping'!R49-480),IF(AND('(橫掃)RX Mapping'!R49&gt;=481,'(橫掃)RX Mapping'!R49&lt;=600), ('(橫掃)RX Mapping'!R49-361),IF(AND('(橫掃)RX Mapping'!R49&gt;=601,'(橫掃)RX Mapping'!R49&lt;=720), (-1)*('(橫掃)RX Mapping'!R49-720)+120,IF(AND('(橫掃)RX Mapping'!R49&gt;=721,'(橫掃)RX Mapping'!R49&lt;=840), ('(橫掃)RX Mapping'!R49-601),IF(AND('(橫掃)RX Mapping'!R49&gt;=841,'(橫掃)RX Mapping'!R49&lt;=960), (-1)*('(橫掃)RX Mapping'!R49-960)+120,9999))))))))</f>
        <v>9999</v>
      </c>
      <c r="S49">
        <f>IF(AND('(橫掃)RX Mapping'!S49&gt;=1,'(橫掃)RX Mapping'!S49&lt;=120), ('(橫掃)RX Mapping'!S49-1),IF(AND('(橫掃)RX Mapping'!S49&gt;=121,'(橫掃)RX Mapping'!S49&lt;=240), (-1)*('(橫掃)RX Mapping'!S49-240),IF(AND('(橫掃)RX Mapping'!S49&gt;=241,'(橫掃)RX Mapping'!S49&lt;=360), ('(橫掃)RX Mapping'!S49-241),IF(AND('(橫掃)RX Mapping'!S49&gt;=361,'(橫掃)RX Mapping'!S49&lt;=480), (-1)*('(橫掃)RX Mapping'!S49-480),IF(AND('(橫掃)RX Mapping'!S49&gt;=481,'(橫掃)RX Mapping'!S49&lt;=600), ('(橫掃)RX Mapping'!S49-361),IF(AND('(橫掃)RX Mapping'!S49&gt;=601,'(橫掃)RX Mapping'!S49&lt;=720), (-1)*('(橫掃)RX Mapping'!S49-720)+120,IF(AND('(橫掃)RX Mapping'!S49&gt;=721,'(橫掃)RX Mapping'!S49&lt;=840), ('(橫掃)RX Mapping'!S49-601),IF(AND('(橫掃)RX Mapping'!S49&gt;=841,'(橫掃)RX Mapping'!S49&lt;=960), (-1)*('(橫掃)RX Mapping'!S49-960)+120,9999))))))))</f>
        <v>9999</v>
      </c>
      <c r="T49">
        <f>IF(AND('(橫掃)RX Mapping'!T49&gt;=1,'(橫掃)RX Mapping'!T49&lt;=120), ('(橫掃)RX Mapping'!T49-1),IF(AND('(橫掃)RX Mapping'!T49&gt;=121,'(橫掃)RX Mapping'!T49&lt;=240), (-1)*('(橫掃)RX Mapping'!T49-240),IF(AND('(橫掃)RX Mapping'!T49&gt;=241,'(橫掃)RX Mapping'!T49&lt;=360), ('(橫掃)RX Mapping'!T49-241),IF(AND('(橫掃)RX Mapping'!T49&gt;=361,'(橫掃)RX Mapping'!T49&lt;=480), (-1)*('(橫掃)RX Mapping'!T49-480),IF(AND('(橫掃)RX Mapping'!T49&gt;=481,'(橫掃)RX Mapping'!T49&lt;=600), ('(橫掃)RX Mapping'!T49-361),IF(AND('(橫掃)RX Mapping'!T49&gt;=601,'(橫掃)RX Mapping'!T49&lt;=720), (-1)*('(橫掃)RX Mapping'!T49-720)+120,IF(AND('(橫掃)RX Mapping'!T49&gt;=721,'(橫掃)RX Mapping'!T49&lt;=840), ('(橫掃)RX Mapping'!T49-601),IF(AND('(橫掃)RX Mapping'!T49&gt;=841,'(橫掃)RX Mapping'!T49&lt;=960), (-1)*('(橫掃)RX Mapping'!T49-960)+120,9999))))))))</f>
        <v>9999</v>
      </c>
      <c r="U49">
        <f>IF(AND('(橫掃)RX Mapping'!U49&gt;=1,'(橫掃)RX Mapping'!U49&lt;=120), ('(橫掃)RX Mapping'!U49-1),IF(AND('(橫掃)RX Mapping'!U49&gt;=121,'(橫掃)RX Mapping'!U49&lt;=240), (-1)*('(橫掃)RX Mapping'!U49-240),IF(AND('(橫掃)RX Mapping'!U49&gt;=241,'(橫掃)RX Mapping'!U49&lt;=360), ('(橫掃)RX Mapping'!U49-241),IF(AND('(橫掃)RX Mapping'!U49&gt;=361,'(橫掃)RX Mapping'!U49&lt;=480), (-1)*('(橫掃)RX Mapping'!U49-480),IF(AND('(橫掃)RX Mapping'!U49&gt;=481,'(橫掃)RX Mapping'!U49&lt;=600), ('(橫掃)RX Mapping'!U49-361),IF(AND('(橫掃)RX Mapping'!U49&gt;=601,'(橫掃)RX Mapping'!U49&lt;=720), (-1)*('(橫掃)RX Mapping'!U49-720)+120,IF(AND('(橫掃)RX Mapping'!U49&gt;=721,'(橫掃)RX Mapping'!U49&lt;=840), ('(橫掃)RX Mapping'!U49-601),IF(AND('(橫掃)RX Mapping'!U49&gt;=841,'(橫掃)RX Mapping'!U49&lt;=960), (-1)*('(橫掃)RX Mapping'!U49-960)+120,9999))))))))</f>
        <v>9999</v>
      </c>
      <c r="V49">
        <f>IF(AND('(橫掃)RX Mapping'!V49&gt;=1,'(橫掃)RX Mapping'!V49&lt;=120), ('(橫掃)RX Mapping'!V49-1),IF(AND('(橫掃)RX Mapping'!V49&gt;=121,'(橫掃)RX Mapping'!V49&lt;=240), (-1)*('(橫掃)RX Mapping'!V49-240),IF(AND('(橫掃)RX Mapping'!V49&gt;=241,'(橫掃)RX Mapping'!V49&lt;=360), ('(橫掃)RX Mapping'!V49-241),IF(AND('(橫掃)RX Mapping'!V49&gt;=361,'(橫掃)RX Mapping'!V49&lt;=480), (-1)*('(橫掃)RX Mapping'!V49-480),IF(AND('(橫掃)RX Mapping'!V49&gt;=481,'(橫掃)RX Mapping'!V49&lt;=600), ('(橫掃)RX Mapping'!V49-361),IF(AND('(橫掃)RX Mapping'!V49&gt;=601,'(橫掃)RX Mapping'!V49&lt;=720), (-1)*('(橫掃)RX Mapping'!V49-720)+120,IF(AND('(橫掃)RX Mapping'!V49&gt;=721,'(橫掃)RX Mapping'!V49&lt;=840), ('(橫掃)RX Mapping'!V49-601),IF(AND('(橫掃)RX Mapping'!V49&gt;=841,'(橫掃)RX Mapping'!V49&lt;=960), (-1)*('(橫掃)RX Mapping'!V49-960)+120,9999))))))))</f>
        <v>9999</v>
      </c>
      <c r="W49">
        <f>IF(AND('(橫掃)RX Mapping'!W49&gt;=1,'(橫掃)RX Mapping'!W49&lt;=120), ('(橫掃)RX Mapping'!W49-1),IF(AND('(橫掃)RX Mapping'!W49&gt;=121,'(橫掃)RX Mapping'!W49&lt;=240), (-1)*('(橫掃)RX Mapping'!W49-240),IF(AND('(橫掃)RX Mapping'!W49&gt;=241,'(橫掃)RX Mapping'!W49&lt;=360), ('(橫掃)RX Mapping'!W49-241),IF(AND('(橫掃)RX Mapping'!W49&gt;=361,'(橫掃)RX Mapping'!W49&lt;=480), (-1)*('(橫掃)RX Mapping'!W49-480),IF(AND('(橫掃)RX Mapping'!W49&gt;=481,'(橫掃)RX Mapping'!W49&lt;=600), ('(橫掃)RX Mapping'!W49-361),IF(AND('(橫掃)RX Mapping'!W49&gt;=601,'(橫掃)RX Mapping'!W49&lt;=720), (-1)*('(橫掃)RX Mapping'!W49-720)+120,IF(AND('(橫掃)RX Mapping'!W49&gt;=721,'(橫掃)RX Mapping'!W49&lt;=840), ('(橫掃)RX Mapping'!W49-601),IF(AND('(橫掃)RX Mapping'!W49&gt;=841,'(橫掃)RX Mapping'!W49&lt;=960), (-1)*('(橫掃)RX Mapping'!W49-960)+120,9999))))))))</f>
        <v>9999</v>
      </c>
      <c r="X49">
        <f>IF(AND('(橫掃)RX Mapping'!X49&gt;=1,'(橫掃)RX Mapping'!X49&lt;=120), ('(橫掃)RX Mapping'!X49-1),IF(AND('(橫掃)RX Mapping'!X49&gt;=121,'(橫掃)RX Mapping'!X49&lt;=240), (-1)*('(橫掃)RX Mapping'!X49-240),IF(AND('(橫掃)RX Mapping'!X49&gt;=241,'(橫掃)RX Mapping'!X49&lt;=360), ('(橫掃)RX Mapping'!X49-241),IF(AND('(橫掃)RX Mapping'!X49&gt;=361,'(橫掃)RX Mapping'!X49&lt;=480), (-1)*('(橫掃)RX Mapping'!X49-480),IF(AND('(橫掃)RX Mapping'!X49&gt;=481,'(橫掃)RX Mapping'!X49&lt;=600), ('(橫掃)RX Mapping'!X49-361),IF(AND('(橫掃)RX Mapping'!X49&gt;=601,'(橫掃)RX Mapping'!X49&lt;=720), (-1)*('(橫掃)RX Mapping'!X49-720)+120,IF(AND('(橫掃)RX Mapping'!X49&gt;=721,'(橫掃)RX Mapping'!X49&lt;=840), ('(橫掃)RX Mapping'!X49-601),IF(AND('(橫掃)RX Mapping'!X49&gt;=841,'(橫掃)RX Mapping'!X49&lt;=960), (-1)*('(橫掃)RX Mapping'!X49-960)+120,9999))))))))</f>
        <v>9999</v>
      </c>
      <c r="Y49">
        <f>IF(AND('(橫掃)RX Mapping'!Y49&gt;=1,'(橫掃)RX Mapping'!Y49&lt;=120), ('(橫掃)RX Mapping'!Y49-1),IF(AND('(橫掃)RX Mapping'!Y49&gt;=121,'(橫掃)RX Mapping'!Y49&lt;=240), (-1)*('(橫掃)RX Mapping'!Y49-240),IF(AND('(橫掃)RX Mapping'!Y49&gt;=241,'(橫掃)RX Mapping'!Y49&lt;=360), ('(橫掃)RX Mapping'!Y49-241),IF(AND('(橫掃)RX Mapping'!Y49&gt;=361,'(橫掃)RX Mapping'!Y49&lt;=480), (-1)*('(橫掃)RX Mapping'!Y49-480),IF(AND('(橫掃)RX Mapping'!Y49&gt;=481,'(橫掃)RX Mapping'!Y49&lt;=600), ('(橫掃)RX Mapping'!Y49-361),IF(AND('(橫掃)RX Mapping'!Y49&gt;=601,'(橫掃)RX Mapping'!Y49&lt;=720), (-1)*('(橫掃)RX Mapping'!Y49-720)+120,IF(AND('(橫掃)RX Mapping'!Y49&gt;=721,'(橫掃)RX Mapping'!Y49&lt;=840), ('(橫掃)RX Mapping'!Y49-601),IF(AND('(橫掃)RX Mapping'!Y49&gt;=841,'(橫掃)RX Mapping'!Y49&lt;=960), (-1)*('(橫掃)RX Mapping'!Y49-960)+120,9999))))))))</f>
        <v>9999</v>
      </c>
      <c r="Z49">
        <f>IF(AND('(橫掃)RX Mapping'!Z49&gt;=1,'(橫掃)RX Mapping'!Z49&lt;=120), ('(橫掃)RX Mapping'!Z49-1),IF(AND('(橫掃)RX Mapping'!Z49&gt;=121,'(橫掃)RX Mapping'!Z49&lt;=240), (-1)*('(橫掃)RX Mapping'!Z49-240),IF(AND('(橫掃)RX Mapping'!Z49&gt;=241,'(橫掃)RX Mapping'!Z49&lt;=360), ('(橫掃)RX Mapping'!Z49-241),IF(AND('(橫掃)RX Mapping'!Z49&gt;=361,'(橫掃)RX Mapping'!Z49&lt;=480), (-1)*('(橫掃)RX Mapping'!Z49-480),IF(AND('(橫掃)RX Mapping'!Z49&gt;=481,'(橫掃)RX Mapping'!Z49&lt;=600), ('(橫掃)RX Mapping'!Z49-361),IF(AND('(橫掃)RX Mapping'!Z49&gt;=601,'(橫掃)RX Mapping'!Z49&lt;=720), (-1)*('(橫掃)RX Mapping'!Z49-720)+120,IF(AND('(橫掃)RX Mapping'!Z49&gt;=721,'(橫掃)RX Mapping'!Z49&lt;=840), ('(橫掃)RX Mapping'!Z49-601),IF(AND('(橫掃)RX Mapping'!Z49&gt;=841,'(橫掃)RX Mapping'!Z49&lt;=960), (-1)*('(橫掃)RX Mapping'!Z49-960)+120,9999))))))))</f>
        <v>9999</v>
      </c>
      <c r="AA49">
        <f>IF(AND('(橫掃)RX Mapping'!AA49&gt;=1,'(橫掃)RX Mapping'!AA49&lt;=120), ('(橫掃)RX Mapping'!AA49-1),IF(AND('(橫掃)RX Mapping'!AA49&gt;=121,'(橫掃)RX Mapping'!AA49&lt;=240), (-1)*('(橫掃)RX Mapping'!AA49-240),IF(AND('(橫掃)RX Mapping'!AA49&gt;=241,'(橫掃)RX Mapping'!AA49&lt;=360), ('(橫掃)RX Mapping'!AA49-241),IF(AND('(橫掃)RX Mapping'!AA49&gt;=361,'(橫掃)RX Mapping'!AA49&lt;=480), (-1)*('(橫掃)RX Mapping'!AA49-480),IF(AND('(橫掃)RX Mapping'!AA49&gt;=481,'(橫掃)RX Mapping'!AA49&lt;=600), ('(橫掃)RX Mapping'!AA49-361),IF(AND('(橫掃)RX Mapping'!AA49&gt;=601,'(橫掃)RX Mapping'!AA49&lt;=720), (-1)*('(橫掃)RX Mapping'!AA49-720)+120,IF(AND('(橫掃)RX Mapping'!AA49&gt;=721,'(橫掃)RX Mapping'!AA49&lt;=840), ('(橫掃)RX Mapping'!AA49-601),IF(AND('(橫掃)RX Mapping'!AA49&gt;=841,'(橫掃)RX Mapping'!AA49&lt;=960), (-1)*('(橫掃)RX Mapping'!AA49-960)+120,9999))))))))</f>
        <v>9999</v>
      </c>
      <c r="AB49">
        <f>IF(AND('(橫掃)RX Mapping'!AB49&gt;=1,'(橫掃)RX Mapping'!AB49&lt;=120), ('(橫掃)RX Mapping'!AB49-1),IF(AND('(橫掃)RX Mapping'!AB49&gt;=121,'(橫掃)RX Mapping'!AB49&lt;=240), (-1)*('(橫掃)RX Mapping'!AB49-240),IF(AND('(橫掃)RX Mapping'!AB49&gt;=241,'(橫掃)RX Mapping'!AB49&lt;=360), ('(橫掃)RX Mapping'!AB49-241),IF(AND('(橫掃)RX Mapping'!AB49&gt;=361,'(橫掃)RX Mapping'!AB49&lt;=480), (-1)*('(橫掃)RX Mapping'!AB49-480),IF(AND('(橫掃)RX Mapping'!AB49&gt;=481,'(橫掃)RX Mapping'!AB49&lt;=600), ('(橫掃)RX Mapping'!AB49-361),IF(AND('(橫掃)RX Mapping'!AB49&gt;=601,'(橫掃)RX Mapping'!AB49&lt;=720), (-1)*('(橫掃)RX Mapping'!AB49-720)+120,IF(AND('(橫掃)RX Mapping'!AB49&gt;=721,'(橫掃)RX Mapping'!AB49&lt;=840), ('(橫掃)RX Mapping'!AB49-601),IF(AND('(橫掃)RX Mapping'!AB49&gt;=841,'(橫掃)RX Mapping'!AB49&lt;=960), (-1)*('(橫掃)RX Mapping'!AB49-960)+120,9999))))))))</f>
        <v>9999</v>
      </c>
      <c r="AC49">
        <f>IF(AND('(橫掃)RX Mapping'!AC49&gt;=1,'(橫掃)RX Mapping'!AC49&lt;=120), ('(橫掃)RX Mapping'!AC49-1),IF(AND('(橫掃)RX Mapping'!AC49&gt;=121,'(橫掃)RX Mapping'!AC49&lt;=240), (-1)*('(橫掃)RX Mapping'!AC49-240),IF(AND('(橫掃)RX Mapping'!AC49&gt;=241,'(橫掃)RX Mapping'!AC49&lt;=360), ('(橫掃)RX Mapping'!AC49-241),IF(AND('(橫掃)RX Mapping'!AC49&gt;=361,'(橫掃)RX Mapping'!AC49&lt;=480), (-1)*('(橫掃)RX Mapping'!AC49-480),IF(AND('(橫掃)RX Mapping'!AC49&gt;=481,'(橫掃)RX Mapping'!AC49&lt;=600), ('(橫掃)RX Mapping'!AC49-361),IF(AND('(橫掃)RX Mapping'!AC49&gt;=601,'(橫掃)RX Mapping'!AC49&lt;=720), (-1)*('(橫掃)RX Mapping'!AC49-720)+120,IF(AND('(橫掃)RX Mapping'!AC49&gt;=721,'(橫掃)RX Mapping'!AC49&lt;=840), ('(橫掃)RX Mapping'!AC49-601),IF(AND('(橫掃)RX Mapping'!AC49&gt;=841,'(橫掃)RX Mapping'!AC49&lt;=960), (-1)*('(橫掃)RX Mapping'!AC49-960)+120,9999))))))))</f>
        <v>9999</v>
      </c>
      <c r="AD49">
        <f>IF(AND('(橫掃)RX Mapping'!AD49&gt;=1,'(橫掃)RX Mapping'!AD49&lt;=120), ('(橫掃)RX Mapping'!AD49-1),IF(AND('(橫掃)RX Mapping'!AD49&gt;=121,'(橫掃)RX Mapping'!AD49&lt;=240), (-1)*('(橫掃)RX Mapping'!AD49-240),IF(AND('(橫掃)RX Mapping'!AD49&gt;=241,'(橫掃)RX Mapping'!AD49&lt;=360), ('(橫掃)RX Mapping'!AD49-241),IF(AND('(橫掃)RX Mapping'!AD49&gt;=361,'(橫掃)RX Mapping'!AD49&lt;=480), (-1)*('(橫掃)RX Mapping'!AD49-480),IF(AND('(橫掃)RX Mapping'!AD49&gt;=481,'(橫掃)RX Mapping'!AD49&lt;=600), ('(橫掃)RX Mapping'!AD49-361),IF(AND('(橫掃)RX Mapping'!AD49&gt;=601,'(橫掃)RX Mapping'!AD49&lt;=720), (-1)*('(橫掃)RX Mapping'!AD49-720)+120,IF(AND('(橫掃)RX Mapping'!AD49&gt;=721,'(橫掃)RX Mapping'!AD49&lt;=840), ('(橫掃)RX Mapping'!AD49-601),IF(AND('(橫掃)RX Mapping'!AD49&gt;=841,'(橫掃)RX Mapping'!AD49&lt;=960), (-1)*('(橫掃)RX Mapping'!AD49-960)+120,9999))))))))</f>
        <v>9999</v>
      </c>
      <c r="AE49">
        <f>IF(AND('(橫掃)RX Mapping'!AE49&gt;=1,'(橫掃)RX Mapping'!AE49&lt;=120), ('(橫掃)RX Mapping'!AE49-1),IF(AND('(橫掃)RX Mapping'!AE49&gt;=121,'(橫掃)RX Mapping'!AE49&lt;=240), (-1)*('(橫掃)RX Mapping'!AE49-240),IF(AND('(橫掃)RX Mapping'!AE49&gt;=241,'(橫掃)RX Mapping'!AE49&lt;=360), ('(橫掃)RX Mapping'!AE49-241),IF(AND('(橫掃)RX Mapping'!AE49&gt;=361,'(橫掃)RX Mapping'!AE49&lt;=480), (-1)*('(橫掃)RX Mapping'!AE49-480),IF(AND('(橫掃)RX Mapping'!AE49&gt;=481,'(橫掃)RX Mapping'!AE49&lt;=600), ('(橫掃)RX Mapping'!AE49-361),IF(AND('(橫掃)RX Mapping'!AE49&gt;=601,'(橫掃)RX Mapping'!AE49&lt;=720), (-1)*('(橫掃)RX Mapping'!AE49-720)+120,IF(AND('(橫掃)RX Mapping'!AE49&gt;=721,'(橫掃)RX Mapping'!AE49&lt;=840), ('(橫掃)RX Mapping'!AE49-601),IF(AND('(橫掃)RX Mapping'!AE49&gt;=841,'(橫掃)RX Mapping'!AE49&lt;=960), (-1)*('(橫掃)RX Mapping'!AE49-960)+120,9999))))))))</f>
        <v>9999</v>
      </c>
      <c r="AF49">
        <f>IF(AND('(橫掃)RX Mapping'!AF49&gt;=1,'(橫掃)RX Mapping'!AF49&lt;=120), ('(橫掃)RX Mapping'!AF49-1),IF(AND('(橫掃)RX Mapping'!AF49&gt;=121,'(橫掃)RX Mapping'!AF49&lt;=240), (-1)*('(橫掃)RX Mapping'!AF49-240),IF(AND('(橫掃)RX Mapping'!AF49&gt;=241,'(橫掃)RX Mapping'!AF49&lt;=360), ('(橫掃)RX Mapping'!AF49-241),IF(AND('(橫掃)RX Mapping'!AF49&gt;=361,'(橫掃)RX Mapping'!AF49&lt;=480), (-1)*('(橫掃)RX Mapping'!AF49-480),IF(AND('(橫掃)RX Mapping'!AF49&gt;=481,'(橫掃)RX Mapping'!AF49&lt;=600), ('(橫掃)RX Mapping'!AF49-361),IF(AND('(橫掃)RX Mapping'!AF49&gt;=601,'(橫掃)RX Mapping'!AF49&lt;=720), (-1)*('(橫掃)RX Mapping'!AF49-720)+120,IF(AND('(橫掃)RX Mapping'!AF49&gt;=721,'(橫掃)RX Mapping'!AF49&lt;=840), ('(橫掃)RX Mapping'!AF49-601),IF(AND('(橫掃)RX Mapping'!AF49&gt;=841,'(橫掃)RX Mapping'!AF49&lt;=960), (-1)*('(橫掃)RX Mapping'!AF49-960)+120,9999))))))))</f>
        <v>9999</v>
      </c>
      <c r="AG49">
        <f>IF(AND('(橫掃)RX Mapping'!AG49&gt;=1,'(橫掃)RX Mapping'!AG49&lt;=120), ('(橫掃)RX Mapping'!AG49-1),IF(AND('(橫掃)RX Mapping'!AG49&gt;=121,'(橫掃)RX Mapping'!AG49&lt;=240), (-1)*('(橫掃)RX Mapping'!AG49-240),IF(AND('(橫掃)RX Mapping'!AG49&gt;=241,'(橫掃)RX Mapping'!AG49&lt;=360), ('(橫掃)RX Mapping'!AG49-241),IF(AND('(橫掃)RX Mapping'!AG49&gt;=361,'(橫掃)RX Mapping'!AG49&lt;=480), (-1)*('(橫掃)RX Mapping'!AG49-480),IF(AND('(橫掃)RX Mapping'!AG49&gt;=481,'(橫掃)RX Mapping'!AG49&lt;=600), ('(橫掃)RX Mapping'!AG49-361),IF(AND('(橫掃)RX Mapping'!AG49&gt;=601,'(橫掃)RX Mapping'!AG49&lt;=720), (-1)*('(橫掃)RX Mapping'!AG49-720)+120,IF(AND('(橫掃)RX Mapping'!AG49&gt;=721,'(橫掃)RX Mapping'!AG49&lt;=840), ('(橫掃)RX Mapping'!AG49-601),IF(AND('(橫掃)RX Mapping'!AG49&gt;=841,'(橫掃)RX Mapping'!AG49&lt;=960), (-1)*('(橫掃)RX Mapping'!AG49-960)+120,9999))))))))</f>
        <v>9999</v>
      </c>
      <c r="AH49">
        <f>IF(AND('(橫掃)RX Mapping'!AH49&gt;=1,'(橫掃)RX Mapping'!AH49&lt;=120), ('(橫掃)RX Mapping'!AH49-1),IF(AND('(橫掃)RX Mapping'!AH49&gt;=121,'(橫掃)RX Mapping'!AH49&lt;=240), (-1)*('(橫掃)RX Mapping'!AH49-240),IF(AND('(橫掃)RX Mapping'!AH49&gt;=241,'(橫掃)RX Mapping'!AH49&lt;=360), ('(橫掃)RX Mapping'!AH49-241),IF(AND('(橫掃)RX Mapping'!AH49&gt;=361,'(橫掃)RX Mapping'!AH49&lt;=480), (-1)*('(橫掃)RX Mapping'!AH49-480),IF(AND('(橫掃)RX Mapping'!AH49&gt;=481,'(橫掃)RX Mapping'!AH49&lt;=600), ('(橫掃)RX Mapping'!AH49-361),IF(AND('(橫掃)RX Mapping'!AH49&gt;=601,'(橫掃)RX Mapping'!AH49&lt;=720), (-1)*('(橫掃)RX Mapping'!AH49-720)+120,IF(AND('(橫掃)RX Mapping'!AH49&gt;=721,'(橫掃)RX Mapping'!AH49&lt;=840), ('(橫掃)RX Mapping'!AH49-601),IF(AND('(橫掃)RX Mapping'!AH49&gt;=841,'(橫掃)RX Mapping'!AH49&lt;=960), (-1)*('(橫掃)RX Mapping'!AH49-960)+120,9999))))))))</f>
        <v>9999</v>
      </c>
      <c r="AI49">
        <f>IF(AND('(橫掃)RX Mapping'!AI49&gt;=1,'(橫掃)RX Mapping'!AI49&lt;=120), ('(橫掃)RX Mapping'!AI49-1),IF(AND('(橫掃)RX Mapping'!AI49&gt;=121,'(橫掃)RX Mapping'!AI49&lt;=240), (-1)*('(橫掃)RX Mapping'!AI49-240),IF(AND('(橫掃)RX Mapping'!AI49&gt;=241,'(橫掃)RX Mapping'!AI49&lt;=360), ('(橫掃)RX Mapping'!AI49-241),IF(AND('(橫掃)RX Mapping'!AI49&gt;=361,'(橫掃)RX Mapping'!AI49&lt;=480), (-1)*('(橫掃)RX Mapping'!AI49-480),IF(AND('(橫掃)RX Mapping'!AI49&gt;=481,'(橫掃)RX Mapping'!AI49&lt;=600), ('(橫掃)RX Mapping'!AI49-361),IF(AND('(橫掃)RX Mapping'!AI49&gt;=601,'(橫掃)RX Mapping'!AI49&lt;=720), (-1)*('(橫掃)RX Mapping'!AI49-720)+120,IF(AND('(橫掃)RX Mapping'!AI49&gt;=721,'(橫掃)RX Mapping'!AI49&lt;=840), ('(橫掃)RX Mapping'!AI49-601),IF(AND('(橫掃)RX Mapping'!AI49&gt;=841,'(橫掃)RX Mapping'!AI49&lt;=960), (-1)*('(橫掃)RX Mapping'!AI49-960)+120,9999))))))))</f>
        <v>9999</v>
      </c>
      <c r="AJ49">
        <f>IF(AND('(橫掃)RX Mapping'!AJ49&gt;=1,'(橫掃)RX Mapping'!AJ49&lt;=120), ('(橫掃)RX Mapping'!AJ49-1),IF(AND('(橫掃)RX Mapping'!AJ49&gt;=121,'(橫掃)RX Mapping'!AJ49&lt;=240), (-1)*('(橫掃)RX Mapping'!AJ49-240),IF(AND('(橫掃)RX Mapping'!AJ49&gt;=241,'(橫掃)RX Mapping'!AJ49&lt;=360), ('(橫掃)RX Mapping'!AJ49-241),IF(AND('(橫掃)RX Mapping'!AJ49&gt;=361,'(橫掃)RX Mapping'!AJ49&lt;=480), (-1)*('(橫掃)RX Mapping'!AJ49-480),IF(AND('(橫掃)RX Mapping'!AJ49&gt;=481,'(橫掃)RX Mapping'!AJ49&lt;=600), ('(橫掃)RX Mapping'!AJ49-361),IF(AND('(橫掃)RX Mapping'!AJ49&gt;=601,'(橫掃)RX Mapping'!AJ49&lt;=720), (-1)*('(橫掃)RX Mapping'!AJ49-720)+120,IF(AND('(橫掃)RX Mapping'!AJ49&gt;=721,'(橫掃)RX Mapping'!AJ49&lt;=840), ('(橫掃)RX Mapping'!AJ49-601),IF(AND('(橫掃)RX Mapping'!AJ49&gt;=841,'(橫掃)RX Mapping'!AJ49&lt;=960), (-1)*('(橫掃)RX Mapping'!AJ49-960)+120,9999))))))))</f>
        <v>9999</v>
      </c>
      <c r="AK49">
        <f>IF(AND('(橫掃)RX Mapping'!AK49&gt;=1,'(橫掃)RX Mapping'!AK49&lt;=120), ('(橫掃)RX Mapping'!AK49-1),IF(AND('(橫掃)RX Mapping'!AK49&gt;=121,'(橫掃)RX Mapping'!AK49&lt;=240), (-1)*('(橫掃)RX Mapping'!AK49-240),IF(AND('(橫掃)RX Mapping'!AK49&gt;=241,'(橫掃)RX Mapping'!AK49&lt;=360), ('(橫掃)RX Mapping'!AK49-241),IF(AND('(橫掃)RX Mapping'!AK49&gt;=361,'(橫掃)RX Mapping'!AK49&lt;=480), (-1)*('(橫掃)RX Mapping'!AK49-480),IF(AND('(橫掃)RX Mapping'!AK49&gt;=481,'(橫掃)RX Mapping'!AK49&lt;=600), ('(橫掃)RX Mapping'!AK49-361),IF(AND('(橫掃)RX Mapping'!AK49&gt;=601,'(橫掃)RX Mapping'!AK49&lt;=720), (-1)*('(橫掃)RX Mapping'!AK49-720)+120,IF(AND('(橫掃)RX Mapping'!AK49&gt;=721,'(橫掃)RX Mapping'!AK49&lt;=840), ('(橫掃)RX Mapping'!AK49-601),IF(AND('(橫掃)RX Mapping'!AK49&gt;=841,'(橫掃)RX Mapping'!AK49&lt;=960), (-1)*('(橫掃)RX Mapping'!AK49-960)+120,9999))))))))</f>
        <v>9999</v>
      </c>
      <c r="AL49">
        <f>IF(AND('(橫掃)RX Mapping'!AL49&gt;=1,'(橫掃)RX Mapping'!AL49&lt;=120), ('(橫掃)RX Mapping'!AL49-1),IF(AND('(橫掃)RX Mapping'!AL49&gt;=121,'(橫掃)RX Mapping'!AL49&lt;=240), (-1)*('(橫掃)RX Mapping'!AL49-240),IF(AND('(橫掃)RX Mapping'!AL49&gt;=241,'(橫掃)RX Mapping'!AL49&lt;=360), ('(橫掃)RX Mapping'!AL49-241),IF(AND('(橫掃)RX Mapping'!AL49&gt;=361,'(橫掃)RX Mapping'!AL49&lt;=480), (-1)*('(橫掃)RX Mapping'!AL49-480),IF(AND('(橫掃)RX Mapping'!AL49&gt;=481,'(橫掃)RX Mapping'!AL49&lt;=600), ('(橫掃)RX Mapping'!AL49-361),IF(AND('(橫掃)RX Mapping'!AL49&gt;=601,'(橫掃)RX Mapping'!AL49&lt;=720), (-1)*('(橫掃)RX Mapping'!AL49-720)+120,IF(AND('(橫掃)RX Mapping'!AL49&gt;=721,'(橫掃)RX Mapping'!AL49&lt;=840), ('(橫掃)RX Mapping'!AL49-601),IF(AND('(橫掃)RX Mapping'!AL49&gt;=841,'(橫掃)RX Mapping'!AL49&lt;=960), (-1)*('(橫掃)RX Mapping'!AL49-960)+120,9999))))))))</f>
        <v>9999</v>
      </c>
      <c r="AM49">
        <f>IF(AND('(橫掃)RX Mapping'!AM49&gt;=1,'(橫掃)RX Mapping'!AM49&lt;=120), ('(橫掃)RX Mapping'!AM49-1),IF(AND('(橫掃)RX Mapping'!AM49&gt;=121,'(橫掃)RX Mapping'!AM49&lt;=240), (-1)*('(橫掃)RX Mapping'!AM49-240),IF(AND('(橫掃)RX Mapping'!AM49&gt;=241,'(橫掃)RX Mapping'!AM49&lt;=360), ('(橫掃)RX Mapping'!AM49-241),IF(AND('(橫掃)RX Mapping'!AM49&gt;=361,'(橫掃)RX Mapping'!AM49&lt;=480), (-1)*('(橫掃)RX Mapping'!AM49-480),IF(AND('(橫掃)RX Mapping'!AM49&gt;=481,'(橫掃)RX Mapping'!AM49&lt;=600), ('(橫掃)RX Mapping'!AM49-361),IF(AND('(橫掃)RX Mapping'!AM49&gt;=601,'(橫掃)RX Mapping'!AM49&lt;=720), (-1)*('(橫掃)RX Mapping'!AM49-720)+120,IF(AND('(橫掃)RX Mapping'!AM49&gt;=721,'(橫掃)RX Mapping'!AM49&lt;=840), ('(橫掃)RX Mapping'!AM49-601),IF(AND('(橫掃)RX Mapping'!AM49&gt;=841,'(橫掃)RX Mapping'!AM49&lt;=960), (-1)*('(橫掃)RX Mapping'!AM49-960)+120,9999))))))))</f>
        <v>9999</v>
      </c>
      <c r="AN49">
        <f>IF(AND('(橫掃)RX Mapping'!AN49&gt;=1,'(橫掃)RX Mapping'!AN49&lt;=120), ('(橫掃)RX Mapping'!AN49-1),IF(AND('(橫掃)RX Mapping'!AN49&gt;=121,'(橫掃)RX Mapping'!AN49&lt;=240), (-1)*('(橫掃)RX Mapping'!AN49-240),IF(AND('(橫掃)RX Mapping'!AN49&gt;=241,'(橫掃)RX Mapping'!AN49&lt;=360), ('(橫掃)RX Mapping'!AN49-241),IF(AND('(橫掃)RX Mapping'!AN49&gt;=361,'(橫掃)RX Mapping'!AN49&lt;=480), (-1)*('(橫掃)RX Mapping'!AN49-480),IF(AND('(橫掃)RX Mapping'!AN49&gt;=481,'(橫掃)RX Mapping'!AN49&lt;=600), ('(橫掃)RX Mapping'!AN49-361),IF(AND('(橫掃)RX Mapping'!AN49&gt;=601,'(橫掃)RX Mapping'!AN49&lt;=720), (-1)*('(橫掃)RX Mapping'!AN49-720)+120,IF(AND('(橫掃)RX Mapping'!AN49&gt;=721,'(橫掃)RX Mapping'!AN49&lt;=840), ('(橫掃)RX Mapping'!AN49-601),IF(AND('(橫掃)RX Mapping'!AN49&gt;=841,'(橫掃)RX Mapping'!AN49&lt;=960), (-1)*('(橫掃)RX Mapping'!AN49-960)+120,9999))))))))</f>
        <v>9999</v>
      </c>
      <c r="AO49">
        <f>IF(AND('(橫掃)RX Mapping'!AO49&gt;=1,'(橫掃)RX Mapping'!AO49&lt;=120), ('(橫掃)RX Mapping'!AO49-1),IF(AND('(橫掃)RX Mapping'!AO49&gt;=121,'(橫掃)RX Mapping'!AO49&lt;=240), (-1)*('(橫掃)RX Mapping'!AO49-240),IF(AND('(橫掃)RX Mapping'!AO49&gt;=241,'(橫掃)RX Mapping'!AO49&lt;=360), ('(橫掃)RX Mapping'!AO49-241),IF(AND('(橫掃)RX Mapping'!AO49&gt;=361,'(橫掃)RX Mapping'!AO49&lt;=480), (-1)*('(橫掃)RX Mapping'!AO49-480),IF(AND('(橫掃)RX Mapping'!AO49&gt;=481,'(橫掃)RX Mapping'!AO49&lt;=600), ('(橫掃)RX Mapping'!AO49-361),IF(AND('(橫掃)RX Mapping'!AO49&gt;=601,'(橫掃)RX Mapping'!AO49&lt;=720), (-1)*('(橫掃)RX Mapping'!AO49-720)+120,IF(AND('(橫掃)RX Mapping'!AO49&gt;=721,'(橫掃)RX Mapping'!AO49&lt;=840), ('(橫掃)RX Mapping'!AO49-601),IF(AND('(橫掃)RX Mapping'!AO49&gt;=841,'(橫掃)RX Mapping'!AO49&lt;=960), (-1)*('(橫掃)RX Mapping'!AO49-960)+120,9999))))))))</f>
        <v>9999</v>
      </c>
      <c r="AP49">
        <f>IF(AND('(橫掃)RX Mapping'!AP49&gt;=1,'(橫掃)RX Mapping'!AP49&lt;=120), ('(橫掃)RX Mapping'!AP49-1),IF(AND('(橫掃)RX Mapping'!AP49&gt;=121,'(橫掃)RX Mapping'!AP49&lt;=240), (-1)*('(橫掃)RX Mapping'!AP49-240),IF(AND('(橫掃)RX Mapping'!AP49&gt;=241,'(橫掃)RX Mapping'!AP49&lt;=360), ('(橫掃)RX Mapping'!AP49-241),IF(AND('(橫掃)RX Mapping'!AP49&gt;=361,'(橫掃)RX Mapping'!AP49&lt;=480), (-1)*('(橫掃)RX Mapping'!AP49-480),IF(AND('(橫掃)RX Mapping'!AP49&gt;=481,'(橫掃)RX Mapping'!AP49&lt;=600), ('(橫掃)RX Mapping'!AP49-361),IF(AND('(橫掃)RX Mapping'!AP49&gt;=601,'(橫掃)RX Mapping'!AP49&lt;=720), (-1)*('(橫掃)RX Mapping'!AP49-720)+120,IF(AND('(橫掃)RX Mapping'!AP49&gt;=721,'(橫掃)RX Mapping'!AP49&lt;=840), ('(橫掃)RX Mapping'!AP49-601),IF(AND('(橫掃)RX Mapping'!AP49&gt;=841,'(橫掃)RX Mapping'!AP49&lt;=960), (-1)*('(橫掃)RX Mapping'!AP49-960)+120,9999))))))))</f>
        <v>9999</v>
      </c>
      <c r="AQ49">
        <f>IF(AND('(橫掃)RX Mapping'!AQ49&gt;=1,'(橫掃)RX Mapping'!AQ49&lt;=120), ('(橫掃)RX Mapping'!AQ49-1),IF(AND('(橫掃)RX Mapping'!AQ49&gt;=121,'(橫掃)RX Mapping'!AQ49&lt;=240), (-1)*('(橫掃)RX Mapping'!AQ49-240),IF(AND('(橫掃)RX Mapping'!AQ49&gt;=241,'(橫掃)RX Mapping'!AQ49&lt;=360), ('(橫掃)RX Mapping'!AQ49-241),IF(AND('(橫掃)RX Mapping'!AQ49&gt;=361,'(橫掃)RX Mapping'!AQ49&lt;=480), (-1)*('(橫掃)RX Mapping'!AQ49-480),IF(AND('(橫掃)RX Mapping'!AQ49&gt;=481,'(橫掃)RX Mapping'!AQ49&lt;=600), ('(橫掃)RX Mapping'!AQ49-361),IF(AND('(橫掃)RX Mapping'!AQ49&gt;=601,'(橫掃)RX Mapping'!AQ49&lt;=720), (-1)*('(橫掃)RX Mapping'!AQ49-720)+120,IF(AND('(橫掃)RX Mapping'!AQ49&gt;=721,'(橫掃)RX Mapping'!AQ49&lt;=840), ('(橫掃)RX Mapping'!AQ49-601),IF(AND('(橫掃)RX Mapping'!AQ49&gt;=841,'(橫掃)RX Mapping'!AQ49&lt;=960), (-1)*('(橫掃)RX Mapping'!AQ49-960)+120,9999))))))))</f>
        <v>9999</v>
      </c>
      <c r="AR49">
        <f>IF(AND('(橫掃)RX Mapping'!AR49&gt;=1,'(橫掃)RX Mapping'!AR49&lt;=120), ('(橫掃)RX Mapping'!AR49-1),IF(AND('(橫掃)RX Mapping'!AR49&gt;=121,'(橫掃)RX Mapping'!AR49&lt;=240), (-1)*('(橫掃)RX Mapping'!AR49-240),IF(AND('(橫掃)RX Mapping'!AR49&gt;=241,'(橫掃)RX Mapping'!AR49&lt;=360), ('(橫掃)RX Mapping'!AR49-241),IF(AND('(橫掃)RX Mapping'!AR49&gt;=361,'(橫掃)RX Mapping'!AR49&lt;=480), (-1)*('(橫掃)RX Mapping'!AR49-480),IF(AND('(橫掃)RX Mapping'!AR49&gt;=481,'(橫掃)RX Mapping'!AR49&lt;=600), ('(橫掃)RX Mapping'!AR49-361),IF(AND('(橫掃)RX Mapping'!AR49&gt;=601,'(橫掃)RX Mapping'!AR49&lt;=720), (-1)*('(橫掃)RX Mapping'!AR49-720)+120,IF(AND('(橫掃)RX Mapping'!AR49&gt;=721,'(橫掃)RX Mapping'!AR49&lt;=840), ('(橫掃)RX Mapping'!AR49-601),IF(AND('(橫掃)RX Mapping'!AR49&gt;=841,'(橫掃)RX Mapping'!AR49&lt;=960), (-1)*('(橫掃)RX Mapping'!AR49-960)+120,9999))))))))</f>
        <v>9999</v>
      </c>
      <c r="AS49">
        <f>IF(AND('(橫掃)RX Mapping'!AS49&gt;=1,'(橫掃)RX Mapping'!AS49&lt;=120), ('(橫掃)RX Mapping'!AS49-1),IF(AND('(橫掃)RX Mapping'!AS49&gt;=121,'(橫掃)RX Mapping'!AS49&lt;=240), (-1)*('(橫掃)RX Mapping'!AS49-240),IF(AND('(橫掃)RX Mapping'!AS49&gt;=241,'(橫掃)RX Mapping'!AS49&lt;=360), ('(橫掃)RX Mapping'!AS49-241),IF(AND('(橫掃)RX Mapping'!AS49&gt;=361,'(橫掃)RX Mapping'!AS49&lt;=480), (-1)*('(橫掃)RX Mapping'!AS49-480),IF(AND('(橫掃)RX Mapping'!AS49&gt;=481,'(橫掃)RX Mapping'!AS49&lt;=600), ('(橫掃)RX Mapping'!AS49-361),IF(AND('(橫掃)RX Mapping'!AS49&gt;=601,'(橫掃)RX Mapping'!AS49&lt;=720), (-1)*('(橫掃)RX Mapping'!AS49-720)+120,IF(AND('(橫掃)RX Mapping'!AS49&gt;=721,'(橫掃)RX Mapping'!AS49&lt;=840), ('(橫掃)RX Mapping'!AS49-601),IF(AND('(橫掃)RX Mapping'!AS49&gt;=841,'(橫掃)RX Mapping'!AS49&lt;=960), (-1)*('(橫掃)RX Mapping'!AS49-960)+120,9999))))))))</f>
        <v>9999</v>
      </c>
      <c r="AT49">
        <f>IF(AND('(橫掃)RX Mapping'!AT49&gt;=1,'(橫掃)RX Mapping'!AT49&lt;=120), ('(橫掃)RX Mapping'!AT49-1),IF(AND('(橫掃)RX Mapping'!AT49&gt;=121,'(橫掃)RX Mapping'!AT49&lt;=240), (-1)*('(橫掃)RX Mapping'!AT49-240),IF(AND('(橫掃)RX Mapping'!AT49&gt;=241,'(橫掃)RX Mapping'!AT49&lt;=360), ('(橫掃)RX Mapping'!AT49-241),IF(AND('(橫掃)RX Mapping'!AT49&gt;=361,'(橫掃)RX Mapping'!AT49&lt;=480), (-1)*('(橫掃)RX Mapping'!AT49-480),IF(AND('(橫掃)RX Mapping'!AT49&gt;=481,'(橫掃)RX Mapping'!AT49&lt;=600), ('(橫掃)RX Mapping'!AT49-361),IF(AND('(橫掃)RX Mapping'!AT49&gt;=601,'(橫掃)RX Mapping'!AT49&lt;=720), (-1)*('(橫掃)RX Mapping'!AT49-720)+120,IF(AND('(橫掃)RX Mapping'!AT49&gt;=721,'(橫掃)RX Mapping'!AT49&lt;=840), ('(橫掃)RX Mapping'!AT49-601),IF(AND('(橫掃)RX Mapping'!AT49&gt;=841,'(橫掃)RX Mapping'!AT49&lt;=960), (-1)*('(橫掃)RX Mapping'!AT49-960)+120,9999))))))))</f>
        <v>9999</v>
      </c>
      <c r="AU49">
        <f>IF(AND('(橫掃)RX Mapping'!AU49&gt;=1,'(橫掃)RX Mapping'!AU49&lt;=120), ('(橫掃)RX Mapping'!AU49-1),IF(AND('(橫掃)RX Mapping'!AU49&gt;=121,'(橫掃)RX Mapping'!AU49&lt;=240), (-1)*('(橫掃)RX Mapping'!AU49-240),IF(AND('(橫掃)RX Mapping'!AU49&gt;=241,'(橫掃)RX Mapping'!AU49&lt;=360), ('(橫掃)RX Mapping'!AU49-241),IF(AND('(橫掃)RX Mapping'!AU49&gt;=361,'(橫掃)RX Mapping'!AU49&lt;=480), (-1)*('(橫掃)RX Mapping'!AU49-480),IF(AND('(橫掃)RX Mapping'!AU49&gt;=481,'(橫掃)RX Mapping'!AU49&lt;=600), ('(橫掃)RX Mapping'!AU49-361),IF(AND('(橫掃)RX Mapping'!AU49&gt;=601,'(橫掃)RX Mapping'!AU49&lt;=720), (-1)*('(橫掃)RX Mapping'!AU49-720)+120,IF(AND('(橫掃)RX Mapping'!AU49&gt;=721,'(橫掃)RX Mapping'!AU49&lt;=840), ('(橫掃)RX Mapping'!AU49-601),IF(AND('(橫掃)RX Mapping'!AU49&gt;=841,'(橫掃)RX Mapping'!AU49&lt;=960), (-1)*('(橫掃)RX Mapping'!AU49-960)+120,9999))))))))</f>
        <v>9999</v>
      </c>
      <c r="AV49">
        <f>IF(AND('(橫掃)RX Mapping'!AV49&gt;=1,'(橫掃)RX Mapping'!AV49&lt;=120), ('(橫掃)RX Mapping'!AV49-1),IF(AND('(橫掃)RX Mapping'!AV49&gt;=121,'(橫掃)RX Mapping'!AV49&lt;=240), (-1)*('(橫掃)RX Mapping'!AV49-240),IF(AND('(橫掃)RX Mapping'!AV49&gt;=241,'(橫掃)RX Mapping'!AV49&lt;=360), ('(橫掃)RX Mapping'!AV49-241),IF(AND('(橫掃)RX Mapping'!AV49&gt;=361,'(橫掃)RX Mapping'!AV49&lt;=480), (-1)*('(橫掃)RX Mapping'!AV49-480),IF(AND('(橫掃)RX Mapping'!AV49&gt;=481,'(橫掃)RX Mapping'!AV49&lt;=600), ('(橫掃)RX Mapping'!AV49-361),IF(AND('(橫掃)RX Mapping'!AV49&gt;=601,'(橫掃)RX Mapping'!AV49&lt;=720), (-1)*('(橫掃)RX Mapping'!AV49-720)+120,IF(AND('(橫掃)RX Mapping'!AV49&gt;=721,'(橫掃)RX Mapping'!AV49&lt;=840), ('(橫掃)RX Mapping'!AV49-601),IF(AND('(橫掃)RX Mapping'!AV49&gt;=841,'(橫掃)RX Mapping'!AV49&lt;=960), (-1)*('(橫掃)RX Mapping'!AV49-960)+120,9999))))))))</f>
        <v>9999</v>
      </c>
      <c r="AW49">
        <f>IF(AND('(橫掃)RX Mapping'!AW49&gt;=1,'(橫掃)RX Mapping'!AW49&lt;=120), ('(橫掃)RX Mapping'!AW49-1),IF(AND('(橫掃)RX Mapping'!AW49&gt;=121,'(橫掃)RX Mapping'!AW49&lt;=240), (-1)*('(橫掃)RX Mapping'!AW49-240),IF(AND('(橫掃)RX Mapping'!AW49&gt;=241,'(橫掃)RX Mapping'!AW49&lt;=360), ('(橫掃)RX Mapping'!AW49-241),IF(AND('(橫掃)RX Mapping'!AW49&gt;=361,'(橫掃)RX Mapping'!AW49&lt;=480), (-1)*('(橫掃)RX Mapping'!AW49-480),IF(AND('(橫掃)RX Mapping'!AW49&gt;=481,'(橫掃)RX Mapping'!AW49&lt;=600), ('(橫掃)RX Mapping'!AW49-361),IF(AND('(橫掃)RX Mapping'!AW49&gt;=601,'(橫掃)RX Mapping'!AW49&lt;=720), (-1)*('(橫掃)RX Mapping'!AW49-720)+120,IF(AND('(橫掃)RX Mapping'!AW49&gt;=721,'(橫掃)RX Mapping'!AW49&lt;=840), ('(橫掃)RX Mapping'!AW49-601),IF(AND('(橫掃)RX Mapping'!AW49&gt;=841,'(橫掃)RX Mapping'!AW49&lt;=960), (-1)*('(橫掃)RX Mapping'!AW49-960)+120,9999))))))))</f>
        <v>9999</v>
      </c>
      <c r="AX49">
        <f>IF(AND('(橫掃)RX Mapping'!AX49&gt;=1,'(橫掃)RX Mapping'!AX49&lt;=120), ('(橫掃)RX Mapping'!AX49-1),IF(AND('(橫掃)RX Mapping'!AX49&gt;=121,'(橫掃)RX Mapping'!AX49&lt;=240), (-1)*('(橫掃)RX Mapping'!AX49-240),IF(AND('(橫掃)RX Mapping'!AX49&gt;=241,'(橫掃)RX Mapping'!AX49&lt;=360), ('(橫掃)RX Mapping'!AX49-241),IF(AND('(橫掃)RX Mapping'!AX49&gt;=361,'(橫掃)RX Mapping'!AX49&lt;=480), (-1)*('(橫掃)RX Mapping'!AX49-480),IF(AND('(橫掃)RX Mapping'!AX49&gt;=481,'(橫掃)RX Mapping'!AX49&lt;=600), ('(橫掃)RX Mapping'!AX49-361),IF(AND('(橫掃)RX Mapping'!AX49&gt;=601,'(橫掃)RX Mapping'!AX49&lt;=720), (-1)*('(橫掃)RX Mapping'!AX49-720)+120,IF(AND('(橫掃)RX Mapping'!AX49&gt;=721,'(橫掃)RX Mapping'!AX49&lt;=840), ('(橫掃)RX Mapping'!AX49-601),IF(AND('(橫掃)RX Mapping'!AX49&gt;=841,'(橫掃)RX Mapping'!AX49&lt;=960), (-1)*('(橫掃)RX Mapping'!AX49-960)+120,9999))))))))</f>
        <v>9999</v>
      </c>
      <c r="AY49">
        <f>IF(AND('(橫掃)RX Mapping'!AY49&gt;=1,'(橫掃)RX Mapping'!AY49&lt;=120), ('(橫掃)RX Mapping'!AY49-1),IF(AND('(橫掃)RX Mapping'!AY49&gt;=121,'(橫掃)RX Mapping'!AY49&lt;=240), (-1)*('(橫掃)RX Mapping'!AY49-240),IF(AND('(橫掃)RX Mapping'!AY49&gt;=241,'(橫掃)RX Mapping'!AY49&lt;=360), ('(橫掃)RX Mapping'!AY49-241),IF(AND('(橫掃)RX Mapping'!AY49&gt;=361,'(橫掃)RX Mapping'!AY49&lt;=480), (-1)*('(橫掃)RX Mapping'!AY49-480),IF(AND('(橫掃)RX Mapping'!AY49&gt;=481,'(橫掃)RX Mapping'!AY49&lt;=600), ('(橫掃)RX Mapping'!AY49-361),IF(AND('(橫掃)RX Mapping'!AY49&gt;=601,'(橫掃)RX Mapping'!AY49&lt;=720), (-1)*('(橫掃)RX Mapping'!AY49-720)+120,IF(AND('(橫掃)RX Mapping'!AY49&gt;=721,'(橫掃)RX Mapping'!AY49&lt;=840), ('(橫掃)RX Mapping'!AY49-601),IF(AND('(橫掃)RX Mapping'!AY49&gt;=841,'(橫掃)RX Mapping'!AY49&lt;=960), (-1)*('(橫掃)RX Mapping'!AY49-960)+120,9999))))))))</f>
        <v>9999</v>
      </c>
      <c r="AZ49">
        <f>IF(AND('(橫掃)RX Mapping'!AZ49&gt;=1,'(橫掃)RX Mapping'!AZ49&lt;=120), ('(橫掃)RX Mapping'!AZ49-1),IF(AND('(橫掃)RX Mapping'!AZ49&gt;=121,'(橫掃)RX Mapping'!AZ49&lt;=240), (-1)*('(橫掃)RX Mapping'!AZ49-240),IF(AND('(橫掃)RX Mapping'!AZ49&gt;=241,'(橫掃)RX Mapping'!AZ49&lt;=360), ('(橫掃)RX Mapping'!AZ49-241),IF(AND('(橫掃)RX Mapping'!AZ49&gt;=361,'(橫掃)RX Mapping'!AZ49&lt;=480), (-1)*('(橫掃)RX Mapping'!AZ49-480),IF(AND('(橫掃)RX Mapping'!AZ49&gt;=481,'(橫掃)RX Mapping'!AZ49&lt;=600), ('(橫掃)RX Mapping'!AZ49-361),IF(AND('(橫掃)RX Mapping'!AZ49&gt;=601,'(橫掃)RX Mapping'!AZ49&lt;=720), (-1)*('(橫掃)RX Mapping'!AZ49-720)+120,IF(AND('(橫掃)RX Mapping'!AZ49&gt;=721,'(橫掃)RX Mapping'!AZ49&lt;=840), ('(橫掃)RX Mapping'!AZ49-601),IF(AND('(橫掃)RX Mapping'!AZ49&gt;=841,'(橫掃)RX Mapping'!AZ49&lt;=960), (-1)*('(橫掃)RX Mapping'!AZ49-960)+120,9999))))))))</f>
        <v>9999</v>
      </c>
      <c r="BA49">
        <f>IF(AND('(橫掃)RX Mapping'!BA49&gt;=1,'(橫掃)RX Mapping'!BA49&lt;=120), ('(橫掃)RX Mapping'!BA49-1),IF(AND('(橫掃)RX Mapping'!BA49&gt;=121,'(橫掃)RX Mapping'!BA49&lt;=240), (-1)*('(橫掃)RX Mapping'!BA49-240),IF(AND('(橫掃)RX Mapping'!BA49&gt;=241,'(橫掃)RX Mapping'!BA49&lt;=360), ('(橫掃)RX Mapping'!BA49-241),IF(AND('(橫掃)RX Mapping'!BA49&gt;=361,'(橫掃)RX Mapping'!BA49&lt;=480), (-1)*('(橫掃)RX Mapping'!BA49-480),IF(AND('(橫掃)RX Mapping'!BA49&gt;=481,'(橫掃)RX Mapping'!BA49&lt;=600), ('(橫掃)RX Mapping'!BA49-361),IF(AND('(橫掃)RX Mapping'!BA49&gt;=601,'(橫掃)RX Mapping'!BA49&lt;=720), (-1)*('(橫掃)RX Mapping'!BA49-720)+120,IF(AND('(橫掃)RX Mapping'!BA49&gt;=721,'(橫掃)RX Mapping'!BA49&lt;=840), ('(橫掃)RX Mapping'!BA49-601),IF(AND('(橫掃)RX Mapping'!BA49&gt;=841,'(橫掃)RX Mapping'!BA49&lt;=960), (-1)*('(橫掃)RX Mapping'!BA49-960)+120,9999))))))))</f>
        <v>9999</v>
      </c>
      <c r="BB49">
        <f>IF(AND('(橫掃)RX Mapping'!BB49&gt;=1,'(橫掃)RX Mapping'!BB49&lt;=120), ('(橫掃)RX Mapping'!BB49-1),IF(AND('(橫掃)RX Mapping'!BB49&gt;=121,'(橫掃)RX Mapping'!BB49&lt;=240), (-1)*('(橫掃)RX Mapping'!BB49-240),IF(AND('(橫掃)RX Mapping'!BB49&gt;=241,'(橫掃)RX Mapping'!BB49&lt;=360), ('(橫掃)RX Mapping'!BB49-241),IF(AND('(橫掃)RX Mapping'!BB49&gt;=361,'(橫掃)RX Mapping'!BB49&lt;=480), (-1)*('(橫掃)RX Mapping'!BB49-480),IF(AND('(橫掃)RX Mapping'!BB49&gt;=481,'(橫掃)RX Mapping'!BB49&lt;=600), ('(橫掃)RX Mapping'!BB49-361),IF(AND('(橫掃)RX Mapping'!BB49&gt;=601,'(橫掃)RX Mapping'!BB49&lt;=720), (-1)*('(橫掃)RX Mapping'!BB49-720)+120,IF(AND('(橫掃)RX Mapping'!BB49&gt;=721,'(橫掃)RX Mapping'!BB49&lt;=840), ('(橫掃)RX Mapping'!BB49-601),IF(AND('(橫掃)RX Mapping'!BB49&gt;=841,'(橫掃)RX Mapping'!BB49&lt;=960), (-1)*('(橫掃)RX Mapping'!BB49-960)+120,9999))))))))</f>
        <v>9999</v>
      </c>
      <c r="BC49">
        <f>IF(AND('(橫掃)RX Mapping'!BC49&gt;=1,'(橫掃)RX Mapping'!BC49&lt;=120), ('(橫掃)RX Mapping'!BC49-1),IF(AND('(橫掃)RX Mapping'!BC49&gt;=121,'(橫掃)RX Mapping'!BC49&lt;=240), (-1)*('(橫掃)RX Mapping'!BC49-240),IF(AND('(橫掃)RX Mapping'!BC49&gt;=241,'(橫掃)RX Mapping'!BC49&lt;=360), ('(橫掃)RX Mapping'!BC49-241),IF(AND('(橫掃)RX Mapping'!BC49&gt;=361,'(橫掃)RX Mapping'!BC49&lt;=480), (-1)*('(橫掃)RX Mapping'!BC49-480),IF(AND('(橫掃)RX Mapping'!BC49&gt;=481,'(橫掃)RX Mapping'!BC49&lt;=600), ('(橫掃)RX Mapping'!BC49-361),IF(AND('(橫掃)RX Mapping'!BC49&gt;=601,'(橫掃)RX Mapping'!BC49&lt;=720), (-1)*('(橫掃)RX Mapping'!BC49-720)+120,IF(AND('(橫掃)RX Mapping'!BC49&gt;=721,'(橫掃)RX Mapping'!BC49&lt;=840), ('(橫掃)RX Mapping'!BC49-601),IF(AND('(橫掃)RX Mapping'!BC49&gt;=841,'(橫掃)RX Mapping'!BC49&lt;=960), (-1)*('(橫掃)RX Mapping'!BC49-960)+120,9999))))))))</f>
        <v>9999</v>
      </c>
      <c r="BD49">
        <f>IF(AND('(橫掃)RX Mapping'!BD49&gt;=1,'(橫掃)RX Mapping'!BD49&lt;=120), ('(橫掃)RX Mapping'!BD49-1),IF(AND('(橫掃)RX Mapping'!BD49&gt;=121,'(橫掃)RX Mapping'!BD49&lt;=240), (-1)*('(橫掃)RX Mapping'!BD49-240),IF(AND('(橫掃)RX Mapping'!BD49&gt;=241,'(橫掃)RX Mapping'!BD49&lt;=360), ('(橫掃)RX Mapping'!BD49-241),IF(AND('(橫掃)RX Mapping'!BD49&gt;=361,'(橫掃)RX Mapping'!BD49&lt;=480), (-1)*('(橫掃)RX Mapping'!BD49-480),IF(AND('(橫掃)RX Mapping'!BD49&gt;=481,'(橫掃)RX Mapping'!BD49&lt;=600), ('(橫掃)RX Mapping'!BD49-361),IF(AND('(橫掃)RX Mapping'!BD49&gt;=601,'(橫掃)RX Mapping'!BD49&lt;=720), (-1)*('(橫掃)RX Mapping'!BD49-720)+120,IF(AND('(橫掃)RX Mapping'!BD49&gt;=721,'(橫掃)RX Mapping'!BD49&lt;=840), ('(橫掃)RX Mapping'!BD49-601),IF(AND('(橫掃)RX Mapping'!BD49&gt;=841,'(橫掃)RX Mapping'!BD49&lt;=960), (-1)*('(橫掃)RX Mapping'!BD49-960)+120,9999))))))))</f>
        <v>9999</v>
      </c>
      <c r="BE49">
        <f>IF(AND('(橫掃)RX Mapping'!BE49&gt;=1,'(橫掃)RX Mapping'!BE49&lt;=120), ('(橫掃)RX Mapping'!BE49-1),IF(AND('(橫掃)RX Mapping'!BE49&gt;=121,'(橫掃)RX Mapping'!BE49&lt;=240), (-1)*('(橫掃)RX Mapping'!BE49-240),IF(AND('(橫掃)RX Mapping'!BE49&gt;=241,'(橫掃)RX Mapping'!BE49&lt;=360), ('(橫掃)RX Mapping'!BE49-241),IF(AND('(橫掃)RX Mapping'!BE49&gt;=361,'(橫掃)RX Mapping'!BE49&lt;=480), (-1)*('(橫掃)RX Mapping'!BE49-480),IF(AND('(橫掃)RX Mapping'!BE49&gt;=481,'(橫掃)RX Mapping'!BE49&lt;=600), ('(橫掃)RX Mapping'!BE49-361),IF(AND('(橫掃)RX Mapping'!BE49&gt;=601,'(橫掃)RX Mapping'!BE49&lt;=720), (-1)*('(橫掃)RX Mapping'!BE49-720)+120,IF(AND('(橫掃)RX Mapping'!BE49&gt;=721,'(橫掃)RX Mapping'!BE49&lt;=840), ('(橫掃)RX Mapping'!BE49-601),IF(AND('(橫掃)RX Mapping'!BE49&gt;=841,'(橫掃)RX Mapping'!BE49&lt;=960), (-1)*('(橫掃)RX Mapping'!BE49-960)+120,9999))))))))</f>
        <v>9999</v>
      </c>
      <c r="BF49">
        <f>IF(AND('(橫掃)RX Mapping'!BF49&gt;=1,'(橫掃)RX Mapping'!BF49&lt;=120), ('(橫掃)RX Mapping'!BF49-1),IF(AND('(橫掃)RX Mapping'!BF49&gt;=121,'(橫掃)RX Mapping'!BF49&lt;=240), (-1)*('(橫掃)RX Mapping'!BF49-240),IF(AND('(橫掃)RX Mapping'!BF49&gt;=241,'(橫掃)RX Mapping'!BF49&lt;=360), ('(橫掃)RX Mapping'!BF49-241),IF(AND('(橫掃)RX Mapping'!BF49&gt;=361,'(橫掃)RX Mapping'!BF49&lt;=480), (-1)*('(橫掃)RX Mapping'!BF49-480),IF(AND('(橫掃)RX Mapping'!BF49&gt;=481,'(橫掃)RX Mapping'!BF49&lt;=600), ('(橫掃)RX Mapping'!BF49-361),IF(AND('(橫掃)RX Mapping'!BF49&gt;=601,'(橫掃)RX Mapping'!BF49&lt;=720), (-1)*('(橫掃)RX Mapping'!BF49-720)+120,IF(AND('(橫掃)RX Mapping'!BF49&gt;=721,'(橫掃)RX Mapping'!BF49&lt;=840), ('(橫掃)RX Mapping'!BF49-601),IF(AND('(橫掃)RX Mapping'!BF49&gt;=841,'(橫掃)RX Mapping'!BF49&lt;=960), (-1)*('(橫掃)RX Mapping'!BF49-960)+120,9999))))))))</f>
        <v>9999</v>
      </c>
      <c r="BG49">
        <f>IF(AND('(橫掃)RX Mapping'!BG49&gt;=1,'(橫掃)RX Mapping'!BG49&lt;=120), ('(橫掃)RX Mapping'!BG49-1),IF(AND('(橫掃)RX Mapping'!BG49&gt;=121,'(橫掃)RX Mapping'!BG49&lt;=240), (-1)*('(橫掃)RX Mapping'!BG49-240),IF(AND('(橫掃)RX Mapping'!BG49&gt;=241,'(橫掃)RX Mapping'!BG49&lt;=360), ('(橫掃)RX Mapping'!BG49-241),IF(AND('(橫掃)RX Mapping'!BG49&gt;=361,'(橫掃)RX Mapping'!BG49&lt;=480), (-1)*('(橫掃)RX Mapping'!BG49-480),IF(AND('(橫掃)RX Mapping'!BG49&gt;=481,'(橫掃)RX Mapping'!BG49&lt;=600), ('(橫掃)RX Mapping'!BG49-361),IF(AND('(橫掃)RX Mapping'!BG49&gt;=601,'(橫掃)RX Mapping'!BG49&lt;=720), (-1)*('(橫掃)RX Mapping'!BG49-720)+120,IF(AND('(橫掃)RX Mapping'!BG49&gt;=721,'(橫掃)RX Mapping'!BG49&lt;=840), ('(橫掃)RX Mapping'!BG49-601),IF(AND('(橫掃)RX Mapping'!BG49&gt;=841,'(橫掃)RX Mapping'!BG49&lt;=960), (-1)*('(橫掃)RX Mapping'!BG49-960)+120,9999))))))))</f>
        <v>9999</v>
      </c>
      <c r="BH49">
        <f>IF(AND('(橫掃)RX Mapping'!BH49&gt;=1,'(橫掃)RX Mapping'!BH49&lt;=120), ('(橫掃)RX Mapping'!BH49-1),IF(AND('(橫掃)RX Mapping'!BH49&gt;=121,'(橫掃)RX Mapping'!BH49&lt;=240), (-1)*('(橫掃)RX Mapping'!BH49-240),IF(AND('(橫掃)RX Mapping'!BH49&gt;=241,'(橫掃)RX Mapping'!BH49&lt;=360), ('(橫掃)RX Mapping'!BH49-241),IF(AND('(橫掃)RX Mapping'!BH49&gt;=361,'(橫掃)RX Mapping'!BH49&lt;=480), (-1)*('(橫掃)RX Mapping'!BH49-480),IF(AND('(橫掃)RX Mapping'!BH49&gt;=481,'(橫掃)RX Mapping'!BH49&lt;=600), ('(橫掃)RX Mapping'!BH49-361),IF(AND('(橫掃)RX Mapping'!BH49&gt;=601,'(橫掃)RX Mapping'!BH49&lt;=720), (-1)*('(橫掃)RX Mapping'!BH49-720)+120,IF(AND('(橫掃)RX Mapping'!BH49&gt;=721,'(橫掃)RX Mapping'!BH49&lt;=840), ('(橫掃)RX Mapping'!BH49-601),IF(AND('(橫掃)RX Mapping'!BH49&gt;=841,'(橫掃)RX Mapping'!BH49&lt;=960), (-1)*('(橫掃)RX Mapping'!BH49-960)+120,9999))))))))</f>
        <v>9999</v>
      </c>
      <c r="BI49">
        <f>IF(AND('(橫掃)RX Mapping'!BI49&gt;=1,'(橫掃)RX Mapping'!BI49&lt;=120), ('(橫掃)RX Mapping'!BI49-1),IF(AND('(橫掃)RX Mapping'!BI49&gt;=121,'(橫掃)RX Mapping'!BI49&lt;=240), (-1)*('(橫掃)RX Mapping'!BI49-240),IF(AND('(橫掃)RX Mapping'!BI49&gt;=241,'(橫掃)RX Mapping'!BI49&lt;=360), ('(橫掃)RX Mapping'!BI49-241),IF(AND('(橫掃)RX Mapping'!BI49&gt;=361,'(橫掃)RX Mapping'!BI49&lt;=480), (-1)*('(橫掃)RX Mapping'!BI49-480),IF(AND('(橫掃)RX Mapping'!BI49&gt;=481,'(橫掃)RX Mapping'!BI49&lt;=600), ('(橫掃)RX Mapping'!BI49-361),IF(AND('(橫掃)RX Mapping'!BI49&gt;=601,'(橫掃)RX Mapping'!BI49&lt;=720), (-1)*('(橫掃)RX Mapping'!BI49-720)+120,IF(AND('(橫掃)RX Mapping'!BI49&gt;=721,'(橫掃)RX Mapping'!BI49&lt;=840), ('(橫掃)RX Mapping'!BI49-601),IF(AND('(橫掃)RX Mapping'!BI49&gt;=841,'(橫掃)RX Mapping'!BI49&lt;=960), (-1)*('(橫掃)RX Mapping'!BI49-960)+120,9999))))))))</f>
        <v>9999</v>
      </c>
    </row>
    <row r="50" spans="1:61" x14ac:dyDescent="0.25">
      <c r="A50" s="20">
        <v>49</v>
      </c>
      <c r="B50">
        <f>IF(AND('(橫掃)RX Mapping'!B50&gt;=1,'(橫掃)RX Mapping'!B50&lt;=120), ('(橫掃)RX Mapping'!B50-1),IF(AND('(橫掃)RX Mapping'!B50&gt;=121,'(橫掃)RX Mapping'!B50&lt;=240), (-1)*('(橫掃)RX Mapping'!B50-240),IF(AND('(橫掃)RX Mapping'!B50&gt;=241,'(橫掃)RX Mapping'!B50&lt;=360), ('(橫掃)RX Mapping'!B50-241),IF(AND('(橫掃)RX Mapping'!B50&gt;=361,'(橫掃)RX Mapping'!B50&lt;=480), (-1)*('(橫掃)RX Mapping'!B50-480),IF(AND('(橫掃)RX Mapping'!B50&gt;=481,'(橫掃)RX Mapping'!B50&lt;=600), ('(橫掃)RX Mapping'!B50-361),IF(AND('(橫掃)RX Mapping'!B50&gt;=601,'(橫掃)RX Mapping'!B50&lt;=720), (-1)*('(橫掃)RX Mapping'!B50-720)+120,IF(AND('(橫掃)RX Mapping'!B50&gt;=721,'(橫掃)RX Mapping'!B50&lt;=840), ('(橫掃)RX Mapping'!B50-601),IF(AND('(橫掃)RX Mapping'!B50&gt;=841,'(橫掃)RX Mapping'!B50&lt;=960), (-1)*('(橫掃)RX Mapping'!B50-960)+120,9999))))))))</f>
        <v>9999</v>
      </c>
      <c r="C50">
        <f>IF(AND('(橫掃)RX Mapping'!C50&gt;=1,'(橫掃)RX Mapping'!C50&lt;=120), ('(橫掃)RX Mapping'!C50-1),IF(AND('(橫掃)RX Mapping'!C50&gt;=121,'(橫掃)RX Mapping'!C50&lt;=240), (-1)*('(橫掃)RX Mapping'!C50-240),IF(AND('(橫掃)RX Mapping'!C50&gt;=241,'(橫掃)RX Mapping'!C50&lt;=360), ('(橫掃)RX Mapping'!C50-241),IF(AND('(橫掃)RX Mapping'!C50&gt;=361,'(橫掃)RX Mapping'!C50&lt;=480), (-1)*('(橫掃)RX Mapping'!C50-480),IF(AND('(橫掃)RX Mapping'!C50&gt;=481,'(橫掃)RX Mapping'!C50&lt;=600), ('(橫掃)RX Mapping'!C50-361),IF(AND('(橫掃)RX Mapping'!C50&gt;=601,'(橫掃)RX Mapping'!C50&lt;=720), (-1)*('(橫掃)RX Mapping'!C50-720)+120,IF(AND('(橫掃)RX Mapping'!C50&gt;=721,'(橫掃)RX Mapping'!C50&lt;=840), ('(橫掃)RX Mapping'!C50-601),IF(AND('(橫掃)RX Mapping'!C50&gt;=841,'(橫掃)RX Mapping'!C50&lt;=960), (-1)*('(橫掃)RX Mapping'!C50-960)+120,9999))))))))</f>
        <v>9999</v>
      </c>
      <c r="D50">
        <f>IF(AND('(橫掃)RX Mapping'!D50&gt;=1,'(橫掃)RX Mapping'!D50&lt;=120), ('(橫掃)RX Mapping'!D50-1),IF(AND('(橫掃)RX Mapping'!D50&gt;=121,'(橫掃)RX Mapping'!D50&lt;=240), (-1)*('(橫掃)RX Mapping'!D50-240),IF(AND('(橫掃)RX Mapping'!D50&gt;=241,'(橫掃)RX Mapping'!D50&lt;=360), ('(橫掃)RX Mapping'!D50-241),IF(AND('(橫掃)RX Mapping'!D50&gt;=361,'(橫掃)RX Mapping'!D50&lt;=480), (-1)*('(橫掃)RX Mapping'!D50-480),IF(AND('(橫掃)RX Mapping'!D50&gt;=481,'(橫掃)RX Mapping'!D50&lt;=600), ('(橫掃)RX Mapping'!D50-361),IF(AND('(橫掃)RX Mapping'!D50&gt;=601,'(橫掃)RX Mapping'!D50&lt;=720), (-1)*('(橫掃)RX Mapping'!D50-720)+120,IF(AND('(橫掃)RX Mapping'!D50&gt;=721,'(橫掃)RX Mapping'!D50&lt;=840), ('(橫掃)RX Mapping'!D50-601),IF(AND('(橫掃)RX Mapping'!D50&gt;=841,'(橫掃)RX Mapping'!D50&lt;=960), (-1)*('(橫掃)RX Mapping'!D50-960)+120,9999))))))))</f>
        <v>9999</v>
      </c>
      <c r="E50">
        <f>IF(AND('(橫掃)RX Mapping'!E50&gt;=1,'(橫掃)RX Mapping'!E50&lt;=120), ('(橫掃)RX Mapping'!E50-1),IF(AND('(橫掃)RX Mapping'!E50&gt;=121,'(橫掃)RX Mapping'!E50&lt;=240), (-1)*('(橫掃)RX Mapping'!E50-240),IF(AND('(橫掃)RX Mapping'!E50&gt;=241,'(橫掃)RX Mapping'!E50&lt;=360), ('(橫掃)RX Mapping'!E50-241),IF(AND('(橫掃)RX Mapping'!E50&gt;=361,'(橫掃)RX Mapping'!E50&lt;=480), (-1)*('(橫掃)RX Mapping'!E50-480),IF(AND('(橫掃)RX Mapping'!E50&gt;=481,'(橫掃)RX Mapping'!E50&lt;=600), ('(橫掃)RX Mapping'!E50-361),IF(AND('(橫掃)RX Mapping'!E50&gt;=601,'(橫掃)RX Mapping'!E50&lt;=720), (-1)*('(橫掃)RX Mapping'!E50-720)+120,IF(AND('(橫掃)RX Mapping'!E50&gt;=721,'(橫掃)RX Mapping'!E50&lt;=840), ('(橫掃)RX Mapping'!E50-601),IF(AND('(橫掃)RX Mapping'!E50&gt;=841,'(橫掃)RX Mapping'!E50&lt;=960), (-1)*('(橫掃)RX Mapping'!E50-960)+120,9999))))))))</f>
        <v>9999</v>
      </c>
      <c r="F50">
        <f>IF(AND('(橫掃)RX Mapping'!F50&gt;=1,'(橫掃)RX Mapping'!F50&lt;=120), ('(橫掃)RX Mapping'!F50-1),IF(AND('(橫掃)RX Mapping'!F50&gt;=121,'(橫掃)RX Mapping'!F50&lt;=240), (-1)*('(橫掃)RX Mapping'!F50-240),IF(AND('(橫掃)RX Mapping'!F50&gt;=241,'(橫掃)RX Mapping'!F50&lt;=360), ('(橫掃)RX Mapping'!F50-241),IF(AND('(橫掃)RX Mapping'!F50&gt;=361,'(橫掃)RX Mapping'!F50&lt;=480), (-1)*('(橫掃)RX Mapping'!F50-480),IF(AND('(橫掃)RX Mapping'!F50&gt;=481,'(橫掃)RX Mapping'!F50&lt;=600), ('(橫掃)RX Mapping'!F50-361),IF(AND('(橫掃)RX Mapping'!F50&gt;=601,'(橫掃)RX Mapping'!F50&lt;=720), (-1)*('(橫掃)RX Mapping'!F50-720)+120,IF(AND('(橫掃)RX Mapping'!F50&gt;=721,'(橫掃)RX Mapping'!F50&lt;=840), ('(橫掃)RX Mapping'!F50-601),IF(AND('(橫掃)RX Mapping'!F50&gt;=841,'(橫掃)RX Mapping'!F50&lt;=960), (-1)*('(橫掃)RX Mapping'!F50-960)+120,9999))))))))</f>
        <v>9999</v>
      </c>
      <c r="G50">
        <f>IF(AND('(橫掃)RX Mapping'!G50&gt;=1,'(橫掃)RX Mapping'!G50&lt;=120), ('(橫掃)RX Mapping'!G50-1),IF(AND('(橫掃)RX Mapping'!G50&gt;=121,'(橫掃)RX Mapping'!G50&lt;=240), (-1)*('(橫掃)RX Mapping'!G50-240),IF(AND('(橫掃)RX Mapping'!G50&gt;=241,'(橫掃)RX Mapping'!G50&lt;=360), ('(橫掃)RX Mapping'!G50-241),IF(AND('(橫掃)RX Mapping'!G50&gt;=361,'(橫掃)RX Mapping'!G50&lt;=480), (-1)*('(橫掃)RX Mapping'!G50-480),IF(AND('(橫掃)RX Mapping'!G50&gt;=481,'(橫掃)RX Mapping'!G50&lt;=600), ('(橫掃)RX Mapping'!G50-361),IF(AND('(橫掃)RX Mapping'!G50&gt;=601,'(橫掃)RX Mapping'!G50&lt;=720), (-1)*('(橫掃)RX Mapping'!G50-720)+120,IF(AND('(橫掃)RX Mapping'!G50&gt;=721,'(橫掃)RX Mapping'!G50&lt;=840), ('(橫掃)RX Mapping'!G50-601),IF(AND('(橫掃)RX Mapping'!G50&gt;=841,'(橫掃)RX Mapping'!G50&lt;=960), (-1)*('(橫掃)RX Mapping'!G50-960)+120,9999))))))))</f>
        <v>9999</v>
      </c>
      <c r="H50">
        <f>IF(AND('(橫掃)RX Mapping'!H50&gt;=1,'(橫掃)RX Mapping'!H50&lt;=120), ('(橫掃)RX Mapping'!H50-1),IF(AND('(橫掃)RX Mapping'!H50&gt;=121,'(橫掃)RX Mapping'!H50&lt;=240), (-1)*('(橫掃)RX Mapping'!H50-240),IF(AND('(橫掃)RX Mapping'!H50&gt;=241,'(橫掃)RX Mapping'!H50&lt;=360), ('(橫掃)RX Mapping'!H50-241),IF(AND('(橫掃)RX Mapping'!H50&gt;=361,'(橫掃)RX Mapping'!H50&lt;=480), (-1)*('(橫掃)RX Mapping'!H50-480),IF(AND('(橫掃)RX Mapping'!H50&gt;=481,'(橫掃)RX Mapping'!H50&lt;=600), ('(橫掃)RX Mapping'!H50-361),IF(AND('(橫掃)RX Mapping'!H50&gt;=601,'(橫掃)RX Mapping'!H50&lt;=720), (-1)*('(橫掃)RX Mapping'!H50-720)+120,IF(AND('(橫掃)RX Mapping'!H50&gt;=721,'(橫掃)RX Mapping'!H50&lt;=840), ('(橫掃)RX Mapping'!H50-601),IF(AND('(橫掃)RX Mapping'!H50&gt;=841,'(橫掃)RX Mapping'!H50&lt;=960), (-1)*('(橫掃)RX Mapping'!H50-960)+120,9999))))))))</f>
        <v>9999</v>
      </c>
      <c r="I50">
        <f>IF(AND('(橫掃)RX Mapping'!I50&gt;=1,'(橫掃)RX Mapping'!I50&lt;=120), ('(橫掃)RX Mapping'!I50-1),IF(AND('(橫掃)RX Mapping'!I50&gt;=121,'(橫掃)RX Mapping'!I50&lt;=240), (-1)*('(橫掃)RX Mapping'!I50-240),IF(AND('(橫掃)RX Mapping'!I50&gt;=241,'(橫掃)RX Mapping'!I50&lt;=360), ('(橫掃)RX Mapping'!I50-241),IF(AND('(橫掃)RX Mapping'!I50&gt;=361,'(橫掃)RX Mapping'!I50&lt;=480), (-1)*('(橫掃)RX Mapping'!I50-480),IF(AND('(橫掃)RX Mapping'!I50&gt;=481,'(橫掃)RX Mapping'!I50&lt;=600), ('(橫掃)RX Mapping'!I50-361),IF(AND('(橫掃)RX Mapping'!I50&gt;=601,'(橫掃)RX Mapping'!I50&lt;=720), (-1)*('(橫掃)RX Mapping'!I50-720)+120,IF(AND('(橫掃)RX Mapping'!I50&gt;=721,'(橫掃)RX Mapping'!I50&lt;=840), ('(橫掃)RX Mapping'!I50-601),IF(AND('(橫掃)RX Mapping'!I50&gt;=841,'(橫掃)RX Mapping'!I50&lt;=960), (-1)*('(橫掃)RX Mapping'!I50-960)+120,9999))))))))</f>
        <v>9999</v>
      </c>
      <c r="J50">
        <f>IF(AND('(橫掃)RX Mapping'!J50&gt;=1,'(橫掃)RX Mapping'!J50&lt;=120), ('(橫掃)RX Mapping'!J50-1),IF(AND('(橫掃)RX Mapping'!J50&gt;=121,'(橫掃)RX Mapping'!J50&lt;=240), (-1)*('(橫掃)RX Mapping'!J50-240),IF(AND('(橫掃)RX Mapping'!J50&gt;=241,'(橫掃)RX Mapping'!J50&lt;=360), ('(橫掃)RX Mapping'!J50-241),IF(AND('(橫掃)RX Mapping'!J50&gt;=361,'(橫掃)RX Mapping'!J50&lt;=480), (-1)*('(橫掃)RX Mapping'!J50-480),IF(AND('(橫掃)RX Mapping'!J50&gt;=481,'(橫掃)RX Mapping'!J50&lt;=600), ('(橫掃)RX Mapping'!J50-361),IF(AND('(橫掃)RX Mapping'!J50&gt;=601,'(橫掃)RX Mapping'!J50&lt;=720), (-1)*('(橫掃)RX Mapping'!J50-720)+120,IF(AND('(橫掃)RX Mapping'!J50&gt;=721,'(橫掃)RX Mapping'!J50&lt;=840), ('(橫掃)RX Mapping'!J50-601),IF(AND('(橫掃)RX Mapping'!J50&gt;=841,'(橫掃)RX Mapping'!J50&lt;=960), (-1)*('(橫掃)RX Mapping'!J50-960)+120,9999))))))))</f>
        <v>9999</v>
      </c>
      <c r="K50">
        <f>IF(AND('(橫掃)RX Mapping'!K50&gt;=1,'(橫掃)RX Mapping'!K50&lt;=120), ('(橫掃)RX Mapping'!K50-1),IF(AND('(橫掃)RX Mapping'!K50&gt;=121,'(橫掃)RX Mapping'!K50&lt;=240), (-1)*('(橫掃)RX Mapping'!K50-240),IF(AND('(橫掃)RX Mapping'!K50&gt;=241,'(橫掃)RX Mapping'!K50&lt;=360), ('(橫掃)RX Mapping'!K50-241),IF(AND('(橫掃)RX Mapping'!K50&gt;=361,'(橫掃)RX Mapping'!K50&lt;=480), (-1)*('(橫掃)RX Mapping'!K50-480),IF(AND('(橫掃)RX Mapping'!K50&gt;=481,'(橫掃)RX Mapping'!K50&lt;=600), ('(橫掃)RX Mapping'!K50-361),IF(AND('(橫掃)RX Mapping'!K50&gt;=601,'(橫掃)RX Mapping'!K50&lt;=720), (-1)*('(橫掃)RX Mapping'!K50-720)+120,IF(AND('(橫掃)RX Mapping'!K50&gt;=721,'(橫掃)RX Mapping'!K50&lt;=840), ('(橫掃)RX Mapping'!K50-601),IF(AND('(橫掃)RX Mapping'!K50&gt;=841,'(橫掃)RX Mapping'!K50&lt;=960), (-1)*('(橫掃)RX Mapping'!K50-960)+120,9999))))))))</f>
        <v>9999</v>
      </c>
      <c r="L50">
        <f>IF(AND('(橫掃)RX Mapping'!L50&gt;=1,'(橫掃)RX Mapping'!L50&lt;=120), ('(橫掃)RX Mapping'!L50-1),IF(AND('(橫掃)RX Mapping'!L50&gt;=121,'(橫掃)RX Mapping'!L50&lt;=240), (-1)*('(橫掃)RX Mapping'!L50-240),IF(AND('(橫掃)RX Mapping'!L50&gt;=241,'(橫掃)RX Mapping'!L50&lt;=360), ('(橫掃)RX Mapping'!L50-241),IF(AND('(橫掃)RX Mapping'!L50&gt;=361,'(橫掃)RX Mapping'!L50&lt;=480), (-1)*('(橫掃)RX Mapping'!L50-480),IF(AND('(橫掃)RX Mapping'!L50&gt;=481,'(橫掃)RX Mapping'!L50&lt;=600), ('(橫掃)RX Mapping'!L50-361),IF(AND('(橫掃)RX Mapping'!L50&gt;=601,'(橫掃)RX Mapping'!L50&lt;=720), (-1)*('(橫掃)RX Mapping'!L50-720)+120,IF(AND('(橫掃)RX Mapping'!L50&gt;=721,'(橫掃)RX Mapping'!L50&lt;=840), ('(橫掃)RX Mapping'!L50-601),IF(AND('(橫掃)RX Mapping'!L50&gt;=841,'(橫掃)RX Mapping'!L50&lt;=960), (-1)*('(橫掃)RX Mapping'!L50-960)+120,9999))))))))</f>
        <v>9999</v>
      </c>
      <c r="M50">
        <f>IF(AND('(橫掃)RX Mapping'!M50&gt;=1,'(橫掃)RX Mapping'!M50&lt;=120), ('(橫掃)RX Mapping'!M50-1),IF(AND('(橫掃)RX Mapping'!M50&gt;=121,'(橫掃)RX Mapping'!M50&lt;=240), (-1)*('(橫掃)RX Mapping'!M50-240),IF(AND('(橫掃)RX Mapping'!M50&gt;=241,'(橫掃)RX Mapping'!M50&lt;=360), ('(橫掃)RX Mapping'!M50-241),IF(AND('(橫掃)RX Mapping'!M50&gt;=361,'(橫掃)RX Mapping'!M50&lt;=480), (-1)*('(橫掃)RX Mapping'!M50-480),IF(AND('(橫掃)RX Mapping'!M50&gt;=481,'(橫掃)RX Mapping'!M50&lt;=600), ('(橫掃)RX Mapping'!M50-361),IF(AND('(橫掃)RX Mapping'!M50&gt;=601,'(橫掃)RX Mapping'!M50&lt;=720), (-1)*('(橫掃)RX Mapping'!M50-720)+120,IF(AND('(橫掃)RX Mapping'!M50&gt;=721,'(橫掃)RX Mapping'!M50&lt;=840), ('(橫掃)RX Mapping'!M50-601),IF(AND('(橫掃)RX Mapping'!M50&gt;=841,'(橫掃)RX Mapping'!M50&lt;=960), (-1)*('(橫掃)RX Mapping'!M50-960)+120,9999))))))))</f>
        <v>9999</v>
      </c>
      <c r="N50">
        <f>IF(AND('(橫掃)RX Mapping'!N50&gt;=1,'(橫掃)RX Mapping'!N50&lt;=120), ('(橫掃)RX Mapping'!N50-1),IF(AND('(橫掃)RX Mapping'!N50&gt;=121,'(橫掃)RX Mapping'!N50&lt;=240), (-1)*('(橫掃)RX Mapping'!N50-240),IF(AND('(橫掃)RX Mapping'!N50&gt;=241,'(橫掃)RX Mapping'!N50&lt;=360), ('(橫掃)RX Mapping'!N50-241),IF(AND('(橫掃)RX Mapping'!N50&gt;=361,'(橫掃)RX Mapping'!N50&lt;=480), (-1)*('(橫掃)RX Mapping'!N50-480),IF(AND('(橫掃)RX Mapping'!N50&gt;=481,'(橫掃)RX Mapping'!N50&lt;=600), ('(橫掃)RX Mapping'!N50-361),IF(AND('(橫掃)RX Mapping'!N50&gt;=601,'(橫掃)RX Mapping'!N50&lt;=720), (-1)*('(橫掃)RX Mapping'!N50-720)+120,IF(AND('(橫掃)RX Mapping'!N50&gt;=721,'(橫掃)RX Mapping'!N50&lt;=840), ('(橫掃)RX Mapping'!N50-601),IF(AND('(橫掃)RX Mapping'!N50&gt;=841,'(橫掃)RX Mapping'!N50&lt;=960), (-1)*('(橫掃)RX Mapping'!N50-960)+120,9999))))))))</f>
        <v>9999</v>
      </c>
      <c r="O50">
        <f>IF(AND('(橫掃)RX Mapping'!O50&gt;=1,'(橫掃)RX Mapping'!O50&lt;=120), ('(橫掃)RX Mapping'!O50-1),IF(AND('(橫掃)RX Mapping'!O50&gt;=121,'(橫掃)RX Mapping'!O50&lt;=240), (-1)*('(橫掃)RX Mapping'!O50-240),IF(AND('(橫掃)RX Mapping'!O50&gt;=241,'(橫掃)RX Mapping'!O50&lt;=360), ('(橫掃)RX Mapping'!O50-241),IF(AND('(橫掃)RX Mapping'!O50&gt;=361,'(橫掃)RX Mapping'!O50&lt;=480), (-1)*('(橫掃)RX Mapping'!O50-480),IF(AND('(橫掃)RX Mapping'!O50&gt;=481,'(橫掃)RX Mapping'!O50&lt;=600), ('(橫掃)RX Mapping'!O50-361),IF(AND('(橫掃)RX Mapping'!O50&gt;=601,'(橫掃)RX Mapping'!O50&lt;=720), (-1)*('(橫掃)RX Mapping'!O50-720)+120,IF(AND('(橫掃)RX Mapping'!O50&gt;=721,'(橫掃)RX Mapping'!O50&lt;=840), ('(橫掃)RX Mapping'!O50-601),IF(AND('(橫掃)RX Mapping'!O50&gt;=841,'(橫掃)RX Mapping'!O50&lt;=960), (-1)*('(橫掃)RX Mapping'!O50-960)+120,9999))))))))</f>
        <v>9999</v>
      </c>
      <c r="P50">
        <f>IF(AND('(橫掃)RX Mapping'!P50&gt;=1,'(橫掃)RX Mapping'!P50&lt;=120), ('(橫掃)RX Mapping'!P50-1),IF(AND('(橫掃)RX Mapping'!P50&gt;=121,'(橫掃)RX Mapping'!P50&lt;=240), (-1)*('(橫掃)RX Mapping'!P50-240),IF(AND('(橫掃)RX Mapping'!P50&gt;=241,'(橫掃)RX Mapping'!P50&lt;=360), ('(橫掃)RX Mapping'!P50-241),IF(AND('(橫掃)RX Mapping'!P50&gt;=361,'(橫掃)RX Mapping'!P50&lt;=480), (-1)*('(橫掃)RX Mapping'!P50-480),IF(AND('(橫掃)RX Mapping'!P50&gt;=481,'(橫掃)RX Mapping'!P50&lt;=600), ('(橫掃)RX Mapping'!P50-361),IF(AND('(橫掃)RX Mapping'!P50&gt;=601,'(橫掃)RX Mapping'!P50&lt;=720), (-1)*('(橫掃)RX Mapping'!P50-720)+120,IF(AND('(橫掃)RX Mapping'!P50&gt;=721,'(橫掃)RX Mapping'!P50&lt;=840), ('(橫掃)RX Mapping'!P50-601),IF(AND('(橫掃)RX Mapping'!P50&gt;=841,'(橫掃)RX Mapping'!P50&lt;=960), (-1)*('(橫掃)RX Mapping'!P50-960)+120,9999))))))))</f>
        <v>9999</v>
      </c>
      <c r="Q50">
        <f>IF(AND('(橫掃)RX Mapping'!Q50&gt;=1,'(橫掃)RX Mapping'!Q50&lt;=120), ('(橫掃)RX Mapping'!Q50-1),IF(AND('(橫掃)RX Mapping'!Q50&gt;=121,'(橫掃)RX Mapping'!Q50&lt;=240), (-1)*('(橫掃)RX Mapping'!Q50-240),IF(AND('(橫掃)RX Mapping'!Q50&gt;=241,'(橫掃)RX Mapping'!Q50&lt;=360), ('(橫掃)RX Mapping'!Q50-241),IF(AND('(橫掃)RX Mapping'!Q50&gt;=361,'(橫掃)RX Mapping'!Q50&lt;=480), (-1)*('(橫掃)RX Mapping'!Q50-480),IF(AND('(橫掃)RX Mapping'!Q50&gt;=481,'(橫掃)RX Mapping'!Q50&lt;=600), ('(橫掃)RX Mapping'!Q50-361),IF(AND('(橫掃)RX Mapping'!Q50&gt;=601,'(橫掃)RX Mapping'!Q50&lt;=720), (-1)*('(橫掃)RX Mapping'!Q50-720)+120,IF(AND('(橫掃)RX Mapping'!Q50&gt;=721,'(橫掃)RX Mapping'!Q50&lt;=840), ('(橫掃)RX Mapping'!Q50-601),IF(AND('(橫掃)RX Mapping'!Q50&gt;=841,'(橫掃)RX Mapping'!Q50&lt;=960), (-1)*('(橫掃)RX Mapping'!Q50-960)+120,9999))))))))</f>
        <v>9999</v>
      </c>
      <c r="R50">
        <f>IF(AND('(橫掃)RX Mapping'!R50&gt;=1,'(橫掃)RX Mapping'!R50&lt;=120), ('(橫掃)RX Mapping'!R50-1),IF(AND('(橫掃)RX Mapping'!R50&gt;=121,'(橫掃)RX Mapping'!R50&lt;=240), (-1)*('(橫掃)RX Mapping'!R50-240),IF(AND('(橫掃)RX Mapping'!R50&gt;=241,'(橫掃)RX Mapping'!R50&lt;=360), ('(橫掃)RX Mapping'!R50-241),IF(AND('(橫掃)RX Mapping'!R50&gt;=361,'(橫掃)RX Mapping'!R50&lt;=480), (-1)*('(橫掃)RX Mapping'!R50-480),IF(AND('(橫掃)RX Mapping'!R50&gt;=481,'(橫掃)RX Mapping'!R50&lt;=600), ('(橫掃)RX Mapping'!R50-361),IF(AND('(橫掃)RX Mapping'!R50&gt;=601,'(橫掃)RX Mapping'!R50&lt;=720), (-1)*('(橫掃)RX Mapping'!R50-720)+120,IF(AND('(橫掃)RX Mapping'!R50&gt;=721,'(橫掃)RX Mapping'!R50&lt;=840), ('(橫掃)RX Mapping'!R50-601),IF(AND('(橫掃)RX Mapping'!R50&gt;=841,'(橫掃)RX Mapping'!R50&lt;=960), (-1)*('(橫掃)RX Mapping'!R50-960)+120,9999))))))))</f>
        <v>9999</v>
      </c>
      <c r="S50">
        <f>IF(AND('(橫掃)RX Mapping'!S50&gt;=1,'(橫掃)RX Mapping'!S50&lt;=120), ('(橫掃)RX Mapping'!S50-1),IF(AND('(橫掃)RX Mapping'!S50&gt;=121,'(橫掃)RX Mapping'!S50&lt;=240), (-1)*('(橫掃)RX Mapping'!S50-240),IF(AND('(橫掃)RX Mapping'!S50&gt;=241,'(橫掃)RX Mapping'!S50&lt;=360), ('(橫掃)RX Mapping'!S50-241),IF(AND('(橫掃)RX Mapping'!S50&gt;=361,'(橫掃)RX Mapping'!S50&lt;=480), (-1)*('(橫掃)RX Mapping'!S50-480),IF(AND('(橫掃)RX Mapping'!S50&gt;=481,'(橫掃)RX Mapping'!S50&lt;=600), ('(橫掃)RX Mapping'!S50-361),IF(AND('(橫掃)RX Mapping'!S50&gt;=601,'(橫掃)RX Mapping'!S50&lt;=720), (-1)*('(橫掃)RX Mapping'!S50-720)+120,IF(AND('(橫掃)RX Mapping'!S50&gt;=721,'(橫掃)RX Mapping'!S50&lt;=840), ('(橫掃)RX Mapping'!S50-601),IF(AND('(橫掃)RX Mapping'!S50&gt;=841,'(橫掃)RX Mapping'!S50&lt;=960), (-1)*('(橫掃)RX Mapping'!S50-960)+120,9999))))))))</f>
        <v>9999</v>
      </c>
      <c r="T50">
        <f>IF(AND('(橫掃)RX Mapping'!T50&gt;=1,'(橫掃)RX Mapping'!T50&lt;=120), ('(橫掃)RX Mapping'!T50-1),IF(AND('(橫掃)RX Mapping'!T50&gt;=121,'(橫掃)RX Mapping'!T50&lt;=240), (-1)*('(橫掃)RX Mapping'!T50-240),IF(AND('(橫掃)RX Mapping'!T50&gt;=241,'(橫掃)RX Mapping'!T50&lt;=360), ('(橫掃)RX Mapping'!T50-241),IF(AND('(橫掃)RX Mapping'!T50&gt;=361,'(橫掃)RX Mapping'!T50&lt;=480), (-1)*('(橫掃)RX Mapping'!T50-480),IF(AND('(橫掃)RX Mapping'!T50&gt;=481,'(橫掃)RX Mapping'!T50&lt;=600), ('(橫掃)RX Mapping'!T50-361),IF(AND('(橫掃)RX Mapping'!T50&gt;=601,'(橫掃)RX Mapping'!T50&lt;=720), (-1)*('(橫掃)RX Mapping'!T50-720)+120,IF(AND('(橫掃)RX Mapping'!T50&gt;=721,'(橫掃)RX Mapping'!T50&lt;=840), ('(橫掃)RX Mapping'!T50-601),IF(AND('(橫掃)RX Mapping'!T50&gt;=841,'(橫掃)RX Mapping'!T50&lt;=960), (-1)*('(橫掃)RX Mapping'!T50-960)+120,9999))))))))</f>
        <v>9999</v>
      </c>
      <c r="U50">
        <f>IF(AND('(橫掃)RX Mapping'!U50&gt;=1,'(橫掃)RX Mapping'!U50&lt;=120), ('(橫掃)RX Mapping'!U50-1),IF(AND('(橫掃)RX Mapping'!U50&gt;=121,'(橫掃)RX Mapping'!U50&lt;=240), (-1)*('(橫掃)RX Mapping'!U50-240),IF(AND('(橫掃)RX Mapping'!U50&gt;=241,'(橫掃)RX Mapping'!U50&lt;=360), ('(橫掃)RX Mapping'!U50-241),IF(AND('(橫掃)RX Mapping'!U50&gt;=361,'(橫掃)RX Mapping'!U50&lt;=480), (-1)*('(橫掃)RX Mapping'!U50-480),IF(AND('(橫掃)RX Mapping'!U50&gt;=481,'(橫掃)RX Mapping'!U50&lt;=600), ('(橫掃)RX Mapping'!U50-361),IF(AND('(橫掃)RX Mapping'!U50&gt;=601,'(橫掃)RX Mapping'!U50&lt;=720), (-1)*('(橫掃)RX Mapping'!U50-720)+120,IF(AND('(橫掃)RX Mapping'!U50&gt;=721,'(橫掃)RX Mapping'!U50&lt;=840), ('(橫掃)RX Mapping'!U50-601),IF(AND('(橫掃)RX Mapping'!U50&gt;=841,'(橫掃)RX Mapping'!U50&lt;=960), (-1)*('(橫掃)RX Mapping'!U50-960)+120,9999))))))))</f>
        <v>9999</v>
      </c>
      <c r="V50">
        <f>IF(AND('(橫掃)RX Mapping'!V50&gt;=1,'(橫掃)RX Mapping'!V50&lt;=120), ('(橫掃)RX Mapping'!V50-1),IF(AND('(橫掃)RX Mapping'!V50&gt;=121,'(橫掃)RX Mapping'!V50&lt;=240), (-1)*('(橫掃)RX Mapping'!V50-240),IF(AND('(橫掃)RX Mapping'!V50&gt;=241,'(橫掃)RX Mapping'!V50&lt;=360), ('(橫掃)RX Mapping'!V50-241),IF(AND('(橫掃)RX Mapping'!V50&gt;=361,'(橫掃)RX Mapping'!V50&lt;=480), (-1)*('(橫掃)RX Mapping'!V50-480),IF(AND('(橫掃)RX Mapping'!V50&gt;=481,'(橫掃)RX Mapping'!V50&lt;=600), ('(橫掃)RX Mapping'!V50-361),IF(AND('(橫掃)RX Mapping'!V50&gt;=601,'(橫掃)RX Mapping'!V50&lt;=720), (-1)*('(橫掃)RX Mapping'!V50-720)+120,IF(AND('(橫掃)RX Mapping'!V50&gt;=721,'(橫掃)RX Mapping'!V50&lt;=840), ('(橫掃)RX Mapping'!V50-601),IF(AND('(橫掃)RX Mapping'!V50&gt;=841,'(橫掃)RX Mapping'!V50&lt;=960), (-1)*('(橫掃)RX Mapping'!V50-960)+120,9999))))))))</f>
        <v>9999</v>
      </c>
      <c r="W50">
        <f>IF(AND('(橫掃)RX Mapping'!W50&gt;=1,'(橫掃)RX Mapping'!W50&lt;=120), ('(橫掃)RX Mapping'!W50-1),IF(AND('(橫掃)RX Mapping'!W50&gt;=121,'(橫掃)RX Mapping'!W50&lt;=240), (-1)*('(橫掃)RX Mapping'!W50-240),IF(AND('(橫掃)RX Mapping'!W50&gt;=241,'(橫掃)RX Mapping'!W50&lt;=360), ('(橫掃)RX Mapping'!W50-241),IF(AND('(橫掃)RX Mapping'!W50&gt;=361,'(橫掃)RX Mapping'!W50&lt;=480), (-1)*('(橫掃)RX Mapping'!W50-480),IF(AND('(橫掃)RX Mapping'!W50&gt;=481,'(橫掃)RX Mapping'!W50&lt;=600), ('(橫掃)RX Mapping'!W50-361),IF(AND('(橫掃)RX Mapping'!W50&gt;=601,'(橫掃)RX Mapping'!W50&lt;=720), (-1)*('(橫掃)RX Mapping'!W50-720)+120,IF(AND('(橫掃)RX Mapping'!W50&gt;=721,'(橫掃)RX Mapping'!W50&lt;=840), ('(橫掃)RX Mapping'!W50-601),IF(AND('(橫掃)RX Mapping'!W50&gt;=841,'(橫掃)RX Mapping'!W50&lt;=960), (-1)*('(橫掃)RX Mapping'!W50-960)+120,9999))))))))</f>
        <v>9999</v>
      </c>
      <c r="X50">
        <f>IF(AND('(橫掃)RX Mapping'!X50&gt;=1,'(橫掃)RX Mapping'!X50&lt;=120), ('(橫掃)RX Mapping'!X50-1),IF(AND('(橫掃)RX Mapping'!X50&gt;=121,'(橫掃)RX Mapping'!X50&lt;=240), (-1)*('(橫掃)RX Mapping'!X50-240),IF(AND('(橫掃)RX Mapping'!X50&gt;=241,'(橫掃)RX Mapping'!X50&lt;=360), ('(橫掃)RX Mapping'!X50-241),IF(AND('(橫掃)RX Mapping'!X50&gt;=361,'(橫掃)RX Mapping'!X50&lt;=480), (-1)*('(橫掃)RX Mapping'!X50-480),IF(AND('(橫掃)RX Mapping'!X50&gt;=481,'(橫掃)RX Mapping'!X50&lt;=600), ('(橫掃)RX Mapping'!X50-361),IF(AND('(橫掃)RX Mapping'!X50&gt;=601,'(橫掃)RX Mapping'!X50&lt;=720), (-1)*('(橫掃)RX Mapping'!X50-720)+120,IF(AND('(橫掃)RX Mapping'!X50&gt;=721,'(橫掃)RX Mapping'!X50&lt;=840), ('(橫掃)RX Mapping'!X50-601),IF(AND('(橫掃)RX Mapping'!X50&gt;=841,'(橫掃)RX Mapping'!X50&lt;=960), (-1)*('(橫掃)RX Mapping'!X50-960)+120,9999))))))))</f>
        <v>9999</v>
      </c>
      <c r="Y50">
        <f>IF(AND('(橫掃)RX Mapping'!Y50&gt;=1,'(橫掃)RX Mapping'!Y50&lt;=120), ('(橫掃)RX Mapping'!Y50-1),IF(AND('(橫掃)RX Mapping'!Y50&gt;=121,'(橫掃)RX Mapping'!Y50&lt;=240), (-1)*('(橫掃)RX Mapping'!Y50-240),IF(AND('(橫掃)RX Mapping'!Y50&gt;=241,'(橫掃)RX Mapping'!Y50&lt;=360), ('(橫掃)RX Mapping'!Y50-241),IF(AND('(橫掃)RX Mapping'!Y50&gt;=361,'(橫掃)RX Mapping'!Y50&lt;=480), (-1)*('(橫掃)RX Mapping'!Y50-480),IF(AND('(橫掃)RX Mapping'!Y50&gt;=481,'(橫掃)RX Mapping'!Y50&lt;=600), ('(橫掃)RX Mapping'!Y50-361),IF(AND('(橫掃)RX Mapping'!Y50&gt;=601,'(橫掃)RX Mapping'!Y50&lt;=720), (-1)*('(橫掃)RX Mapping'!Y50-720)+120,IF(AND('(橫掃)RX Mapping'!Y50&gt;=721,'(橫掃)RX Mapping'!Y50&lt;=840), ('(橫掃)RX Mapping'!Y50-601),IF(AND('(橫掃)RX Mapping'!Y50&gt;=841,'(橫掃)RX Mapping'!Y50&lt;=960), (-1)*('(橫掃)RX Mapping'!Y50-960)+120,9999))))))))</f>
        <v>9999</v>
      </c>
      <c r="Z50">
        <f>IF(AND('(橫掃)RX Mapping'!Z50&gt;=1,'(橫掃)RX Mapping'!Z50&lt;=120), ('(橫掃)RX Mapping'!Z50-1),IF(AND('(橫掃)RX Mapping'!Z50&gt;=121,'(橫掃)RX Mapping'!Z50&lt;=240), (-1)*('(橫掃)RX Mapping'!Z50-240),IF(AND('(橫掃)RX Mapping'!Z50&gt;=241,'(橫掃)RX Mapping'!Z50&lt;=360), ('(橫掃)RX Mapping'!Z50-241),IF(AND('(橫掃)RX Mapping'!Z50&gt;=361,'(橫掃)RX Mapping'!Z50&lt;=480), (-1)*('(橫掃)RX Mapping'!Z50-480),IF(AND('(橫掃)RX Mapping'!Z50&gt;=481,'(橫掃)RX Mapping'!Z50&lt;=600), ('(橫掃)RX Mapping'!Z50-361),IF(AND('(橫掃)RX Mapping'!Z50&gt;=601,'(橫掃)RX Mapping'!Z50&lt;=720), (-1)*('(橫掃)RX Mapping'!Z50-720)+120,IF(AND('(橫掃)RX Mapping'!Z50&gt;=721,'(橫掃)RX Mapping'!Z50&lt;=840), ('(橫掃)RX Mapping'!Z50-601),IF(AND('(橫掃)RX Mapping'!Z50&gt;=841,'(橫掃)RX Mapping'!Z50&lt;=960), (-1)*('(橫掃)RX Mapping'!Z50-960)+120,9999))))))))</f>
        <v>9999</v>
      </c>
      <c r="AA50">
        <f>IF(AND('(橫掃)RX Mapping'!AA50&gt;=1,'(橫掃)RX Mapping'!AA50&lt;=120), ('(橫掃)RX Mapping'!AA50-1),IF(AND('(橫掃)RX Mapping'!AA50&gt;=121,'(橫掃)RX Mapping'!AA50&lt;=240), (-1)*('(橫掃)RX Mapping'!AA50-240),IF(AND('(橫掃)RX Mapping'!AA50&gt;=241,'(橫掃)RX Mapping'!AA50&lt;=360), ('(橫掃)RX Mapping'!AA50-241),IF(AND('(橫掃)RX Mapping'!AA50&gt;=361,'(橫掃)RX Mapping'!AA50&lt;=480), (-1)*('(橫掃)RX Mapping'!AA50-480),IF(AND('(橫掃)RX Mapping'!AA50&gt;=481,'(橫掃)RX Mapping'!AA50&lt;=600), ('(橫掃)RX Mapping'!AA50-361),IF(AND('(橫掃)RX Mapping'!AA50&gt;=601,'(橫掃)RX Mapping'!AA50&lt;=720), (-1)*('(橫掃)RX Mapping'!AA50-720)+120,IF(AND('(橫掃)RX Mapping'!AA50&gt;=721,'(橫掃)RX Mapping'!AA50&lt;=840), ('(橫掃)RX Mapping'!AA50-601),IF(AND('(橫掃)RX Mapping'!AA50&gt;=841,'(橫掃)RX Mapping'!AA50&lt;=960), (-1)*('(橫掃)RX Mapping'!AA50-960)+120,9999))))))))</f>
        <v>9999</v>
      </c>
      <c r="AB50">
        <f>IF(AND('(橫掃)RX Mapping'!AB50&gt;=1,'(橫掃)RX Mapping'!AB50&lt;=120), ('(橫掃)RX Mapping'!AB50-1),IF(AND('(橫掃)RX Mapping'!AB50&gt;=121,'(橫掃)RX Mapping'!AB50&lt;=240), (-1)*('(橫掃)RX Mapping'!AB50-240),IF(AND('(橫掃)RX Mapping'!AB50&gt;=241,'(橫掃)RX Mapping'!AB50&lt;=360), ('(橫掃)RX Mapping'!AB50-241),IF(AND('(橫掃)RX Mapping'!AB50&gt;=361,'(橫掃)RX Mapping'!AB50&lt;=480), (-1)*('(橫掃)RX Mapping'!AB50-480),IF(AND('(橫掃)RX Mapping'!AB50&gt;=481,'(橫掃)RX Mapping'!AB50&lt;=600), ('(橫掃)RX Mapping'!AB50-361),IF(AND('(橫掃)RX Mapping'!AB50&gt;=601,'(橫掃)RX Mapping'!AB50&lt;=720), (-1)*('(橫掃)RX Mapping'!AB50-720)+120,IF(AND('(橫掃)RX Mapping'!AB50&gt;=721,'(橫掃)RX Mapping'!AB50&lt;=840), ('(橫掃)RX Mapping'!AB50-601),IF(AND('(橫掃)RX Mapping'!AB50&gt;=841,'(橫掃)RX Mapping'!AB50&lt;=960), (-1)*('(橫掃)RX Mapping'!AB50-960)+120,9999))))))))</f>
        <v>9999</v>
      </c>
      <c r="AC50">
        <f>IF(AND('(橫掃)RX Mapping'!AC50&gt;=1,'(橫掃)RX Mapping'!AC50&lt;=120), ('(橫掃)RX Mapping'!AC50-1),IF(AND('(橫掃)RX Mapping'!AC50&gt;=121,'(橫掃)RX Mapping'!AC50&lt;=240), (-1)*('(橫掃)RX Mapping'!AC50-240),IF(AND('(橫掃)RX Mapping'!AC50&gt;=241,'(橫掃)RX Mapping'!AC50&lt;=360), ('(橫掃)RX Mapping'!AC50-241),IF(AND('(橫掃)RX Mapping'!AC50&gt;=361,'(橫掃)RX Mapping'!AC50&lt;=480), (-1)*('(橫掃)RX Mapping'!AC50-480),IF(AND('(橫掃)RX Mapping'!AC50&gt;=481,'(橫掃)RX Mapping'!AC50&lt;=600), ('(橫掃)RX Mapping'!AC50-361),IF(AND('(橫掃)RX Mapping'!AC50&gt;=601,'(橫掃)RX Mapping'!AC50&lt;=720), (-1)*('(橫掃)RX Mapping'!AC50-720)+120,IF(AND('(橫掃)RX Mapping'!AC50&gt;=721,'(橫掃)RX Mapping'!AC50&lt;=840), ('(橫掃)RX Mapping'!AC50-601),IF(AND('(橫掃)RX Mapping'!AC50&gt;=841,'(橫掃)RX Mapping'!AC50&lt;=960), (-1)*('(橫掃)RX Mapping'!AC50-960)+120,9999))))))))</f>
        <v>9999</v>
      </c>
      <c r="AD50">
        <f>IF(AND('(橫掃)RX Mapping'!AD50&gt;=1,'(橫掃)RX Mapping'!AD50&lt;=120), ('(橫掃)RX Mapping'!AD50-1),IF(AND('(橫掃)RX Mapping'!AD50&gt;=121,'(橫掃)RX Mapping'!AD50&lt;=240), (-1)*('(橫掃)RX Mapping'!AD50-240),IF(AND('(橫掃)RX Mapping'!AD50&gt;=241,'(橫掃)RX Mapping'!AD50&lt;=360), ('(橫掃)RX Mapping'!AD50-241),IF(AND('(橫掃)RX Mapping'!AD50&gt;=361,'(橫掃)RX Mapping'!AD50&lt;=480), (-1)*('(橫掃)RX Mapping'!AD50-480),IF(AND('(橫掃)RX Mapping'!AD50&gt;=481,'(橫掃)RX Mapping'!AD50&lt;=600), ('(橫掃)RX Mapping'!AD50-361),IF(AND('(橫掃)RX Mapping'!AD50&gt;=601,'(橫掃)RX Mapping'!AD50&lt;=720), (-1)*('(橫掃)RX Mapping'!AD50-720)+120,IF(AND('(橫掃)RX Mapping'!AD50&gt;=721,'(橫掃)RX Mapping'!AD50&lt;=840), ('(橫掃)RX Mapping'!AD50-601),IF(AND('(橫掃)RX Mapping'!AD50&gt;=841,'(橫掃)RX Mapping'!AD50&lt;=960), (-1)*('(橫掃)RX Mapping'!AD50-960)+120,9999))))))))</f>
        <v>9999</v>
      </c>
      <c r="AE50">
        <f>IF(AND('(橫掃)RX Mapping'!AE50&gt;=1,'(橫掃)RX Mapping'!AE50&lt;=120), ('(橫掃)RX Mapping'!AE50-1),IF(AND('(橫掃)RX Mapping'!AE50&gt;=121,'(橫掃)RX Mapping'!AE50&lt;=240), (-1)*('(橫掃)RX Mapping'!AE50-240),IF(AND('(橫掃)RX Mapping'!AE50&gt;=241,'(橫掃)RX Mapping'!AE50&lt;=360), ('(橫掃)RX Mapping'!AE50-241),IF(AND('(橫掃)RX Mapping'!AE50&gt;=361,'(橫掃)RX Mapping'!AE50&lt;=480), (-1)*('(橫掃)RX Mapping'!AE50-480),IF(AND('(橫掃)RX Mapping'!AE50&gt;=481,'(橫掃)RX Mapping'!AE50&lt;=600), ('(橫掃)RX Mapping'!AE50-361),IF(AND('(橫掃)RX Mapping'!AE50&gt;=601,'(橫掃)RX Mapping'!AE50&lt;=720), (-1)*('(橫掃)RX Mapping'!AE50-720)+120,IF(AND('(橫掃)RX Mapping'!AE50&gt;=721,'(橫掃)RX Mapping'!AE50&lt;=840), ('(橫掃)RX Mapping'!AE50-601),IF(AND('(橫掃)RX Mapping'!AE50&gt;=841,'(橫掃)RX Mapping'!AE50&lt;=960), (-1)*('(橫掃)RX Mapping'!AE50-960)+120,9999))))))))</f>
        <v>9999</v>
      </c>
      <c r="AF50">
        <f>IF(AND('(橫掃)RX Mapping'!AF50&gt;=1,'(橫掃)RX Mapping'!AF50&lt;=120), ('(橫掃)RX Mapping'!AF50-1),IF(AND('(橫掃)RX Mapping'!AF50&gt;=121,'(橫掃)RX Mapping'!AF50&lt;=240), (-1)*('(橫掃)RX Mapping'!AF50-240),IF(AND('(橫掃)RX Mapping'!AF50&gt;=241,'(橫掃)RX Mapping'!AF50&lt;=360), ('(橫掃)RX Mapping'!AF50-241),IF(AND('(橫掃)RX Mapping'!AF50&gt;=361,'(橫掃)RX Mapping'!AF50&lt;=480), (-1)*('(橫掃)RX Mapping'!AF50-480),IF(AND('(橫掃)RX Mapping'!AF50&gt;=481,'(橫掃)RX Mapping'!AF50&lt;=600), ('(橫掃)RX Mapping'!AF50-361),IF(AND('(橫掃)RX Mapping'!AF50&gt;=601,'(橫掃)RX Mapping'!AF50&lt;=720), (-1)*('(橫掃)RX Mapping'!AF50-720)+120,IF(AND('(橫掃)RX Mapping'!AF50&gt;=721,'(橫掃)RX Mapping'!AF50&lt;=840), ('(橫掃)RX Mapping'!AF50-601),IF(AND('(橫掃)RX Mapping'!AF50&gt;=841,'(橫掃)RX Mapping'!AF50&lt;=960), (-1)*('(橫掃)RX Mapping'!AF50-960)+120,9999))))))))</f>
        <v>9999</v>
      </c>
      <c r="AG50">
        <f>IF(AND('(橫掃)RX Mapping'!AG50&gt;=1,'(橫掃)RX Mapping'!AG50&lt;=120), ('(橫掃)RX Mapping'!AG50-1),IF(AND('(橫掃)RX Mapping'!AG50&gt;=121,'(橫掃)RX Mapping'!AG50&lt;=240), (-1)*('(橫掃)RX Mapping'!AG50-240),IF(AND('(橫掃)RX Mapping'!AG50&gt;=241,'(橫掃)RX Mapping'!AG50&lt;=360), ('(橫掃)RX Mapping'!AG50-241),IF(AND('(橫掃)RX Mapping'!AG50&gt;=361,'(橫掃)RX Mapping'!AG50&lt;=480), (-1)*('(橫掃)RX Mapping'!AG50-480),IF(AND('(橫掃)RX Mapping'!AG50&gt;=481,'(橫掃)RX Mapping'!AG50&lt;=600), ('(橫掃)RX Mapping'!AG50-361),IF(AND('(橫掃)RX Mapping'!AG50&gt;=601,'(橫掃)RX Mapping'!AG50&lt;=720), (-1)*('(橫掃)RX Mapping'!AG50-720)+120,IF(AND('(橫掃)RX Mapping'!AG50&gt;=721,'(橫掃)RX Mapping'!AG50&lt;=840), ('(橫掃)RX Mapping'!AG50-601),IF(AND('(橫掃)RX Mapping'!AG50&gt;=841,'(橫掃)RX Mapping'!AG50&lt;=960), (-1)*('(橫掃)RX Mapping'!AG50-960)+120,9999))))))))</f>
        <v>9999</v>
      </c>
      <c r="AH50">
        <f>IF(AND('(橫掃)RX Mapping'!AH50&gt;=1,'(橫掃)RX Mapping'!AH50&lt;=120), ('(橫掃)RX Mapping'!AH50-1),IF(AND('(橫掃)RX Mapping'!AH50&gt;=121,'(橫掃)RX Mapping'!AH50&lt;=240), (-1)*('(橫掃)RX Mapping'!AH50-240),IF(AND('(橫掃)RX Mapping'!AH50&gt;=241,'(橫掃)RX Mapping'!AH50&lt;=360), ('(橫掃)RX Mapping'!AH50-241),IF(AND('(橫掃)RX Mapping'!AH50&gt;=361,'(橫掃)RX Mapping'!AH50&lt;=480), (-1)*('(橫掃)RX Mapping'!AH50-480),IF(AND('(橫掃)RX Mapping'!AH50&gt;=481,'(橫掃)RX Mapping'!AH50&lt;=600), ('(橫掃)RX Mapping'!AH50-361),IF(AND('(橫掃)RX Mapping'!AH50&gt;=601,'(橫掃)RX Mapping'!AH50&lt;=720), (-1)*('(橫掃)RX Mapping'!AH50-720)+120,IF(AND('(橫掃)RX Mapping'!AH50&gt;=721,'(橫掃)RX Mapping'!AH50&lt;=840), ('(橫掃)RX Mapping'!AH50-601),IF(AND('(橫掃)RX Mapping'!AH50&gt;=841,'(橫掃)RX Mapping'!AH50&lt;=960), (-1)*('(橫掃)RX Mapping'!AH50-960)+120,9999))))))))</f>
        <v>9999</v>
      </c>
      <c r="AI50">
        <f>IF(AND('(橫掃)RX Mapping'!AI50&gt;=1,'(橫掃)RX Mapping'!AI50&lt;=120), ('(橫掃)RX Mapping'!AI50-1),IF(AND('(橫掃)RX Mapping'!AI50&gt;=121,'(橫掃)RX Mapping'!AI50&lt;=240), (-1)*('(橫掃)RX Mapping'!AI50-240),IF(AND('(橫掃)RX Mapping'!AI50&gt;=241,'(橫掃)RX Mapping'!AI50&lt;=360), ('(橫掃)RX Mapping'!AI50-241),IF(AND('(橫掃)RX Mapping'!AI50&gt;=361,'(橫掃)RX Mapping'!AI50&lt;=480), (-1)*('(橫掃)RX Mapping'!AI50-480),IF(AND('(橫掃)RX Mapping'!AI50&gt;=481,'(橫掃)RX Mapping'!AI50&lt;=600), ('(橫掃)RX Mapping'!AI50-361),IF(AND('(橫掃)RX Mapping'!AI50&gt;=601,'(橫掃)RX Mapping'!AI50&lt;=720), (-1)*('(橫掃)RX Mapping'!AI50-720)+120,IF(AND('(橫掃)RX Mapping'!AI50&gt;=721,'(橫掃)RX Mapping'!AI50&lt;=840), ('(橫掃)RX Mapping'!AI50-601),IF(AND('(橫掃)RX Mapping'!AI50&gt;=841,'(橫掃)RX Mapping'!AI50&lt;=960), (-1)*('(橫掃)RX Mapping'!AI50-960)+120,9999))))))))</f>
        <v>9999</v>
      </c>
      <c r="AJ50">
        <f>IF(AND('(橫掃)RX Mapping'!AJ50&gt;=1,'(橫掃)RX Mapping'!AJ50&lt;=120), ('(橫掃)RX Mapping'!AJ50-1),IF(AND('(橫掃)RX Mapping'!AJ50&gt;=121,'(橫掃)RX Mapping'!AJ50&lt;=240), (-1)*('(橫掃)RX Mapping'!AJ50-240),IF(AND('(橫掃)RX Mapping'!AJ50&gt;=241,'(橫掃)RX Mapping'!AJ50&lt;=360), ('(橫掃)RX Mapping'!AJ50-241),IF(AND('(橫掃)RX Mapping'!AJ50&gt;=361,'(橫掃)RX Mapping'!AJ50&lt;=480), (-1)*('(橫掃)RX Mapping'!AJ50-480),IF(AND('(橫掃)RX Mapping'!AJ50&gt;=481,'(橫掃)RX Mapping'!AJ50&lt;=600), ('(橫掃)RX Mapping'!AJ50-361),IF(AND('(橫掃)RX Mapping'!AJ50&gt;=601,'(橫掃)RX Mapping'!AJ50&lt;=720), (-1)*('(橫掃)RX Mapping'!AJ50-720)+120,IF(AND('(橫掃)RX Mapping'!AJ50&gt;=721,'(橫掃)RX Mapping'!AJ50&lt;=840), ('(橫掃)RX Mapping'!AJ50-601),IF(AND('(橫掃)RX Mapping'!AJ50&gt;=841,'(橫掃)RX Mapping'!AJ50&lt;=960), (-1)*('(橫掃)RX Mapping'!AJ50-960)+120,9999))))))))</f>
        <v>9999</v>
      </c>
      <c r="AK50">
        <f>IF(AND('(橫掃)RX Mapping'!AK50&gt;=1,'(橫掃)RX Mapping'!AK50&lt;=120), ('(橫掃)RX Mapping'!AK50-1),IF(AND('(橫掃)RX Mapping'!AK50&gt;=121,'(橫掃)RX Mapping'!AK50&lt;=240), (-1)*('(橫掃)RX Mapping'!AK50-240),IF(AND('(橫掃)RX Mapping'!AK50&gt;=241,'(橫掃)RX Mapping'!AK50&lt;=360), ('(橫掃)RX Mapping'!AK50-241),IF(AND('(橫掃)RX Mapping'!AK50&gt;=361,'(橫掃)RX Mapping'!AK50&lt;=480), (-1)*('(橫掃)RX Mapping'!AK50-480),IF(AND('(橫掃)RX Mapping'!AK50&gt;=481,'(橫掃)RX Mapping'!AK50&lt;=600), ('(橫掃)RX Mapping'!AK50-361),IF(AND('(橫掃)RX Mapping'!AK50&gt;=601,'(橫掃)RX Mapping'!AK50&lt;=720), (-1)*('(橫掃)RX Mapping'!AK50-720)+120,IF(AND('(橫掃)RX Mapping'!AK50&gt;=721,'(橫掃)RX Mapping'!AK50&lt;=840), ('(橫掃)RX Mapping'!AK50-601),IF(AND('(橫掃)RX Mapping'!AK50&gt;=841,'(橫掃)RX Mapping'!AK50&lt;=960), (-1)*('(橫掃)RX Mapping'!AK50-960)+120,9999))))))))</f>
        <v>9999</v>
      </c>
      <c r="AL50">
        <f>IF(AND('(橫掃)RX Mapping'!AL50&gt;=1,'(橫掃)RX Mapping'!AL50&lt;=120), ('(橫掃)RX Mapping'!AL50-1),IF(AND('(橫掃)RX Mapping'!AL50&gt;=121,'(橫掃)RX Mapping'!AL50&lt;=240), (-1)*('(橫掃)RX Mapping'!AL50-240),IF(AND('(橫掃)RX Mapping'!AL50&gt;=241,'(橫掃)RX Mapping'!AL50&lt;=360), ('(橫掃)RX Mapping'!AL50-241),IF(AND('(橫掃)RX Mapping'!AL50&gt;=361,'(橫掃)RX Mapping'!AL50&lt;=480), (-1)*('(橫掃)RX Mapping'!AL50-480),IF(AND('(橫掃)RX Mapping'!AL50&gt;=481,'(橫掃)RX Mapping'!AL50&lt;=600), ('(橫掃)RX Mapping'!AL50-361),IF(AND('(橫掃)RX Mapping'!AL50&gt;=601,'(橫掃)RX Mapping'!AL50&lt;=720), (-1)*('(橫掃)RX Mapping'!AL50-720)+120,IF(AND('(橫掃)RX Mapping'!AL50&gt;=721,'(橫掃)RX Mapping'!AL50&lt;=840), ('(橫掃)RX Mapping'!AL50-601),IF(AND('(橫掃)RX Mapping'!AL50&gt;=841,'(橫掃)RX Mapping'!AL50&lt;=960), (-1)*('(橫掃)RX Mapping'!AL50-960)+120,9999))))))))</f>
        <v>9999</v>
      </c>
      <c r="AM50">
        <f>IF(AND('(橫掃)RX Mapping'!AM50&gt;=1,'(橫掃)RX Mapping'!AM50&lt;=120), ('(橫掃)RX Mapping'!AM50-1),IF(AND('(橫掃)RX Mapping'!AM50&gt;=121,'(橫掃)RX Mapping'!AM50&lt;=240), (-1)*('(橫掃)RX Mapping'!AM50-240),IF(AND('(橫掃)RX Mapping'!AM50&gt;=241,'(橫掃)RX Mapping'!AM50&lt;=360), ('(橫掃)RX Mapping'!AM50-241),IF(AND('(橫掃)RX Mapping'!AM50&gt;=361,'(橫掃)RX Mapping'!AM50&lt;=480), (-1)*('(橫掃)RX Mapping'!AM50-480),IF(AND('(橫掃)RX Mapping'!AM50&gt;=481,'(橫掃)RX Mapping'!AM50&lt;=600), ('(橫掃)RX Mapping'!AM50-361),IF(AND('(橫掃)RX Mapping'!AM50&gt;=601,'(橫掃)RX Mapping'!AM50&lt;=720), (-1)*('(橫掃)RX Mapping'!AM50-720)+120,IF(AND('(橫掃)RX Mapping'!AM50&gt;=721,'(橫掃)RX Mapping'!AM50&lt;=840), ('(橫掃)RX Mapping'!AM50-601),IF(AND('(橫掃)RX Mapping'!AM50&gt;=841,'(橫掃)RX Mapping'!AM50&lt;=960), (-1)*('(橫掃)RX Mapping'!AM50-960)+120,9999))))))))</f>
        <v>9999</v>
      </c>
      <c r="AN50">
        <f>IF(AND('(橫掃)RX Mapping'!AN50&gt;=1,'(橫掃)RX Mapping'!AN50&lt;=120), ('(橫掃)RX Mapping'!AN50-1),IF(AND('(橫掃)RX Mapping'!AN50&gt;=121,'(橫掃)RX Mapping'!AN50&lt;=240), (-1)*('(橫掃)RX Mapping'!AN50-240),IF(AND('(橫掃)RX Mapping'!AN50&gt;=241,'(橫掃)RX Mapping'!AN50&lt;=360), ('(橫掃)RX Mapping'!AN50-241),IF(AND('(橫掃)RX Mapping'!AN50&gt;=361,'(橫掃)RX Mapping'!AN50&lt;=480), (-1)*('(橫掃)RX Mapping'!AN50-480),IF(AND('(橫掃)RX Mapping'!AN50&gt;=481,'(橫掃)RX Mapping'!AN50&lt;=600), ('(橫掃)RX Mapping'!AN50-361),IF(AND('(橫掃)RX Mapping'!AN50&gt;=601,'(橫掃)RX Mapping'!AN50&lt;=720), (-1)*('(橫掃)RX Mapping'!AN50-720)+120,IF(AND('(橫掃)RX Mapping'!AN50&gt;=721,'(橫掃)RX Mapping'!AN50&lt;=840), ('(橫掃)RX Mapping'!AN50-601),IF(AND('(橫掃)RX Mapping'!AN50&gt;=841,'(橫掃)RX Mapping'!AN50&lt;=960), (-1)*('(橫掃)RX Mapping'!AN50-960)+120,9999))))))))</f>
        <v>9999</v>
      </c>
      <c r="AO50">
        <f>IF(AND('(橫掃)RX Mapping'!AO50&gt;=1,'(橫掃)RX Mapping'!AO50&lt;=120), ('(橫掃)RX Mapping'!AO50-1),IF(AND('(橫掃)RX Mapping'!AO50&gt;=121,'(橫掃)RX Mapping'!AO50&lt;=240), (-1)*('(橫掃)RX Mapping'!AO50-240),IF(AND('(橫掃)RX Mapping'!AO50&gt;=241,'(橫掃)RX Mapping'!AO50&lt;=360), ('(橫掃)RX Mapping'!AO50-241),IF(AND('(橫掃)RX Mapping'!AO50&gt;=361,'(橫掃)RX Mapping'!AO50&lt;=480), (-1)*('(橫掃)RX Mapping'!AO50-480),IF(AND('(橫掃)RX Mapping'!AO50&gt;=481,'(橫掃)RX Mapping'!AO50&lt;=600), ('(橫掃)RX Mapping'!AO50-361),IF(AND('(橫掃)RX Mapping'!AO50&gt;=601,'(橫掃)RX Mapping'!AO50&lt;=720), (-1)*('(橫掃)RX Mapping'!AO50-720)+120,IF(AND('(橫掃)RX Mapping'!AO50&gt;=721,'(橫掃)RX Mapping'!AO50&lt;=840), ('(橫掃)RX Mapping'!AO50-601),IF(AND('(橫掃)RX Mapping'!AO50&gt;=841,'(橫掃)RX Mapping'!AO50&lt;=960), (-1)*('(橫掃)RX Mapping'!AO50-960)+120,9999))))))))</f>
        <v>9999</v>
      </c>
      <c r="AP50">
        <f>IF(AND('(橫掃)RX Mapping'!AP50&gt;=1,'(橫掃)RX Mapping'!AP50&lt;=120), ('(橫掃)RX Mapping'!AP50-1),IF(AND('(橫掃)RX Mapping'!AP50&gt;=121,'(橫掃)RX Mapping'!AP50&lt;=240), (-1)*('(橫掃)RX Mapping'!AP50-240),IF(AND('(橫掃)RX Mapping'!AP50&gt;=241,'(橫掃)RX Mapping'!AP50&lt;=360), ('(橫掃)RX Mapping'!AP50-241),IF(AND('(橫掃)RX Mapping'!AP50&gt;=361,'(橫掃)RX Mapping'!AP50&lt;=480), (-1)*('(橫掃)RX Mapping'!AP50-480),IF(AND('(橫掃)RX Mapping'!AP50&gt;=481,'(橫掃)RX Mapping'!AP50&lt;=600), ('(橫掃)RX Mapping'!AP50-361),IF(AND('(橫掃)RX Mapping'!AP50&gt;=601,'(橫掃)RX Mapping'!AP50&lt;=720), (-1)*('(橫掃)RX Mapping'!AP50-720)+120,IF(AND('(橫掃)RX Mapping'!AP50&gt;=721,'(橫掃)RX Mapping'!AP50&lt;=840), ('(橫掃)RX Mapping'!AP50-601),IF(AND('(橫掃)RX Mapping'!AP50&gt;=841,'(橫掃)RX Mapping'!AP50&lt;=960), (-1)*('(橫掃)RX Mapping'!AP50-960)+120,9999))))))))</f>
        <v>9999</v>
      </c>
      <c r="AQ50">
        <f>IF(AND('(橫掃)RX Mapping'!AQ50&gt;=1,'(橫掃)RX Mapping'!AQ50&lt;=120), ('(橫掃)RX Mapping'!AQ50-1),IF(AND('(橫掃)RX Mapping'!AQ50&gt;=121,'(橫掃)RX Mapping'!AQ50&lt;=240), (-1)*('(橫掃)RX Mapping'!AQ50-240),IF(AND('(橫掃)RX Mapping'!AQ50&gt;=241,'(橫掃)RX Mapping'!AQ50&lt;=360), ('(橫掃)RX Mapping'!AQ50-241),IF(AND('(橫掃)RX Mapping'!AQ50&gt;=361,'(橫掃)RX Mapping'!AQ50&lt;=480), (-1)*('(橫掃)RX Mapping'!AQ50-480),IF(AND('(橫掃)RX Mapping'!AQ50&gt;=481,'(橫掃)RX Mapping'!AQ50&lt;=600), ('(橫掃)RX Mapping'!AQ50-361),IF(AND('(橫掃)RX Mapping'!AQ50&gt;=601,'(橫掃)RX Mapping'!AQ50&lt;=720), (-1)*('(橫掃)RX Mapping'!AQ50-720)+120,IF(AND('(橫掃)RX Mapping'!AQ50&gt;=721,'(橫掃)RX Mapping'!AQ50&lt;=840), ('(橫掃)RX Mapping'!AQ50-601),IF(AND('(橫掃)RX Mapping'!AQ50&gt;=841,'(橫掃)RX Mapping'!AQ50&lt;=960), (-1)*('(橫掃)RX Mapping'!AQ50-960)+120,9999))))))))</f>
        <v>9999</v>
      </c>
      <c r="AR50">
        <f>IF(AND('(橫掃)RX Mapping'!AR50&gt;=1,'(橫掃)RX Mapping'!AR50&lt;=120), ('(橫掃)RX Mapping'!AR50-1),IF(AND('(橫掃)RX Mapping'!AR50&gt;=121,'(橫掃)RX Mapping'!AR50&lt;=240), (-1)*('(橫掃)RX Mapping'!AR50-240),IF(AND('(橫掃)RX Mapping'!AR50&gt;=241,'(橫掃)RX Mapping'!AR50&lt;=360), ('(橫掃)RX Mapping'!AR50-241),IF(AND('(橫掃)RX Mapping'!AR50&gt;=361,'(橫掃)RX Mapping'!AR50&lt;=480), (-1)*('(橫掃)RX Mapping'!AR50-480),IF(AND('(橫掃)RX Mapping'!AR50&gt;=481,'(橫掃)RX Mapping'!AR50&lt;=600), ('(橫掃)RX Mapping'!AR50-361),IF(AND('(橫掃)RX Mapping'!AR50&gt;=601,'(橫掃)RX Mapping'!AR50&lt;=720), (-1)*('(橫掃)RX Mapping'!AR50-720)+120,IF(AND('(橫掃)RX Mapping'!AR50&gt;=721,'(橫掃)RX Mapping'!AR50&lt;=840), ('(橫掃)RX Mapping'!AR50-601),IF(AND('(橫掃)RX Mapping'!AR50&gt;=841,'(橫掃)RX Mapping'!AR50&lt;=960), (-1)*('(橫掃)RX Mapping'!AR50-960)+120,9999))))))))</f>
        <v>9999</v>
      </c>
      <c r="AS50">
        <f>IF(AND('(橫掃)RX Mapping'!AS50&gt;=1,'(橫掃)RX Mapping'!AS50&lt;=120), ('(橫掃)RX Mapping'!AS50-1),IF(AND('(橫掃)RX Mapping'!AS50&gt;=121,'(橫掃)RX Mapping'!AS50&lt;=240), (-1)*('(橫掃)RX Mapping'!AS50-240),IF(AND('(橫掃)RX Mapping'!AS50&gt;=241,'(橫掃)RX Mapping'!AS50&lt;=360), ('(橫掃)RX Mapping'!AS50-241),IF(AND('(橫掃)RX Mapping'!AS50&gt;=361,'(橫掃)RX Mapping'!AS50&lt;=480), (-1)*('(橫掃)RX Mapping'!AS50-480),IF(AND('(橫掃)RX Mapping'!AS50&gt;=481,'(橫掃)RX Mapping'!AS50&lt;=600), ('(橫掃)RX Mapping'!AS50-361),IF(AND('(橫掃)RX Mapping'!AS50&gt;=601,'(橫掃)RX Mapping'!AS50&lt;=720), (-1)*('(橫掃)RX Mapping'!AS50-720)+120,IF(AND('(橫掃)RX Mapping'!AS50&gt;=721,'(橫掃)RX Mapping'!AS50&lt;=840), ('(橫掃)RX Mapping'!AS50-601),IF(AND('(橫掃)RX Mapping'!AS50&gt;=841,'(橫掃)RX Mapping'!AS50&lt;=960), (-1)*('(橫掃)RX Mapping'!AS50-960)+120,9999))))))))</f>
        <v>9999</v>
      </c>
      <c r="AT50">
        <f>IF(AND('(橫掃)RX Mapping'!AT50&gt;=1,'(橫掃)RX Mapping'!AT50&lt;=120), ('(橫掃)RX Mapping'!AT50-1),IF(AND('(橫掃)RX Mapping'!AT50&gt;=121,'(橫掃)RX Mapping'!AT50&lt;=240), (-1)*('(橫掃)RX Mapping'!AT50-240),IF(AND('(橫掃)RX Mapping'!AT50&gt;=241,'(橫掃)RX Mapping'!AT50&lt;=360), ('(橫掃)RX Mapping'!AT50-241),IF(AND('(橫掃)RX Mapping'!AT50&gt;=361,'(橫掃)RX Mapping'!AT50&lt;=480), (-1)*('(橫掃)RX Mapping'!AT50-480),IF(AND('(橫掃)RX Mapping'!AT50&gt;=481,'(橫掃)RX Mapping'!AT50&lt;=600), ('(橫掃)RX Mapping'!AT50-361),IF(AND('(橫掃)RX Mapping'!AT50&gt;=601,'(橫掃)RX Mapping'!AT50&lt;=720), (-1)*('(橫掃)RX Mapping'!AT50-720)+120,IF(AND('(橫掃)RX Mapping'!AT50&gt;=721,'(橫掃)RX Mapping'!AT50&lt;=840), ('(橫掃)RX Mapping'!AT50-601),IF(AND('(橫掃)RX Mapping'!AT50&gt;=841,'(橫掃)RX Mapping'!AT50&lt;=960), (-1)*('(橫掃)RX Mapping'!AT50-960)+120,9999))))))))</f>
        <v>9999</v>
      </c>
      <c r="AU50">
        <f>IF(AND('(橫掃)RX Mapping'!AU50&gt;=1,'(橫掃)RX Mapping'!AU50&lt;=120), ('(橫掃)RX Mapping'!AU50-1),IF(AND('(橫掃)RX Mapping'!AU50&gt;=121,'(橫掃)RX Mapping'!AU50&lt;=240), (-1)*('(橫掃)RX Mapping'!AU50-240),IF(AND('(橫掃)RX Mapping'!AU50&gt;=241,'(橫掃)RX Mapping'!AU50&lt;=360), ('(橫掃)RX Mapping'!AU50-241),IF(AND('(橫掃)RX Mapping'!AU50&gt;=361,'(橫掃)RX Mapping'!AU50&lt;=480), (-1)*('(橫掃)RX Mapping'!AU50-480),IF(AND('(橫掃)RX Mapping'!AU50&gt;=481,'(橫掃)RX Mapping'!AU50&lt;=600), ('(橫掃)RX Mapping'!AU50-361),IF(AND('(橫掃)RX Mapping'!AU50&gt;=601,'(橫掃)RX Mapping'!AU50&lt;=720), (-1)*('(橫掃)RX Mapping'!AU50-720)+120,IF(AND('(橫掃)RX Mapping'!AU50&gt;=721,'(橫掃)RX Mapping'!AU50&lt;=840), ('(橫掃)RX Mapping'!AU50-601),IF(AND('(橫掃)RX Mapping'!AU50&gt;=841,'(橫掃)RX Mapping'!AU50&lt;=960), (-1)*('(橫掃)RX Mapping'!AU50-960)+120,9999))))))))</f>
        <v>9999</v>
      </c>
      <c r="AV50">
        <f>IF(AND('(橫掃)RX Mapping'!AV50&gt;=1,'(橫掃)RX Mapping'!AV50&lt;=120), ('(橫掃)RX Mapping'!AV50-1),IF(AND('(橫掃)RX Mapping'!AV50&gt;=121,'(橫掃)RX Mapping'!AV50&lt;=240), (-1)*('(橫掃)RX Mapping'!AV50-240),IF(AND('(橫掃)RX Mapping'!AV50&gt;=241,'(橫掃)RX Mapping'!AV50&lt;=360), ('(橫掃)RX Mapping'!AV50-241),IF(AND('(橫掃)RX Mapping'!AV50&gt;=361,'(橫掃)RX Mapping'!AV50&lt;=480), (-1)*('(橫掃)RX Mapping'!AV50-480),IF(AND('(橫掃)RX Mapping'!AV50&gt;=481,'(橫掃)RX Mapping'!AV50&lt;=600), ('(橫掃)RX Mapping'!AV50-361),IF(AND('(橫掃)RX Mapping'!AV50&gt;=601,'(橫掃)RX Mapping'!AV50&lt;=720), (-1)*('(橫掃)RX Mapping'!AV50-720)+120,IF(AND('(橫掃)RX Mapping'!AV50&gt;=721,'(橫掃)RX Mapping'!AV50&lt;=840), ('(橫掃)RX Mapping'!AV50-601),IF(AND('(橫掃)RX Mapping'!AV50&gt;=841,'(橫掃)RX Mapping'!AV50&lt;=960), (-1)*('(橫掃)RX Mapping'!AV50-960)+120,9999))))))))</f>
        <v>9999</v>
      </c>
      <c r="AW50">
        <f>IF(AND('(橫掃)RX Mapping'!AW50&gt;=1,'(橫掃)RX Mapping'!AW50&lt;=120), ('(橫掃)RX Mapping'!AW50-1),IF(AND('(橫掃)RX Mapping'!AW50&gt;=121,'(橫掃)RX Mapping'!AW50&lt;=240), (-1)*('(橫掃)RX Mapping'!AW50-240),IF(AND('(橫掃)RX Mapping'!AW50&gt;=241,'(橫掃)RX Mapping'!AW50&lt;=360), ('(橫掃)RX Mapping'!AW50-241),IF(AND('(橫掃)RX Mapping'!AW50&gt;=361,'(橫掃)RX Mapping'!AW50&lt;=480), (-1)*('(橫掃)RX Mapping'!AW50-480),IF(AND('(橫掃)RX Mapping'!AW50&gt;=481,'(橫掃)RX Mapping'!AW50&lt;=600), ('(橫掃)RX Mapping'!AW50-361),IF(AND('(橫掃)RX Mapping'!AW50&gt;=601,'(橫掃)RX Mapping'!AW50&lt;=720), (-1)*('(橫掃)RX Mapping'!AW50-720)+120,IF(AND('(橫掃)RX Mapping'!AW50&gt;=721,'(橫掃)RX Mapping'!AW50&lt;=840), ('(橫掃)RX Mapping'!AW50-601),IF(AND('(橫掃)RX Mapping'!AW50&gt;=841,'(橫掃)RX Mapping'!AW50&lt;=960), (-1)*('(橫掃)RX Mapping'!AW50-960)+120,9999))))))))</f>
        <v>9999</v>
      </c>
      <c r="AX50">
        <f>IF(AND('(橫掃)RX Mapping'!AX50&gt;=1,'(橫掃)RX Mapping'!AX50&lt;=120), ('(橫掃)RX Mapping'!AX50-1),IF(AND('(橫掃)RX Mapping'!AX50&gt;=121,'(橫掃)RX Mapping'!AX50&lt;=240), (-1)*('(橫掃)RX Mapping'!AX50-240),IF(AND('(橫掃)RX Mapping'!AX50&gt;=241,'(橫掃)RX Mapping'!AX50&lt;=360), ('(橫掃)RX Mapping'!AX50-241),IF(AND('(橫掃)RX Mapping'!AX50&gt;=361,'(橫掃)RX Mapping'!AX50&lt;=480), (-1)*('(橫掃)RX Mapping'!AX50-480),IF(AND('(橫掃)RX Mapping'!AX50&gt;=481,'(橫掃)RX Mapping'!AX50&lt;=600), ('(橫掃)RX Mapping'!AX50-361),IF(AND('(橫掃)RX Mapping'!AX50&gt;=601,'(橫掃)RX Mapping'!AX50&lt;=720), (-1)*('(橫掃)RX Mapping'!AX50-720)+120,IF(AND('(橫掃)RX Mapping'!AX50&gt;=721,'(橫掃)RX Mapping'!AX50&lt;=840), ('(橫掃)RX Mapping'!AX50-601),IF(AND('(橫掃)RX Mapping'!AX50&gt;=841,'(橫掃)RX Mapping'!AX50&lt;=960), (-1)*('(橫掃)RX Mapping'!AX50-960)+120,9999))))))))</f>
        <v>9999</v>
      </c>
      <c r="AY50">
        <f>IF(AND('(橫掃)RX Mapping'!AY50&gt;=1,'(橫掃)RX Mapping'!AY50&lt;=120), ('(橫掃)RX Mapping'!AY50-1),IF(AND('(橫掃)RX Mapping'!AY50&gt;=121,'(橫掃)RX Mapping'!AY50&lt;=240), (-1)*('(橫掃)RX Mapping'!AY50-240),IF(AND('(橫掃)RX Mapping'!AY50&gt;=241,'(橫掃)RX Mapping'!AY50&lt;=360), ('(橫掃)RX Mapping'!AY50-241),IF(AND('(橫掃)RX Mapping'!AY50&gt;=361,'(橫掃)RX Mapping'!AY50&lt;=480), (-1)*('(橫掃)RX Mapping'!AY50-480),IF(AND('(橫掃)RX Mapping'!AY50&gt;=481,'(橫掃)RX Mapping'!AY50&lt;=600), ('(橫掃)RX Mapping'!AY50-361),IF(AND('(橫掃)RX Mapping'!AY50&gt;=601,'(橫掃)RX Mapping'!AY50&lt;=720), (-1)*('(橫掃)RX Mapping'!AY50-720)+120,IF(AND('(橫掃)RX Mapping'!AY50&gt;=721,'(橫掃)RX Mapping'!AY50&lt;=840), ('(橫掃)RX Mapping'!AY50-601),IF(AND('(橫掃)RX Mapping'!AY50&gt;=841,'(橫掃)RX Mapping'!AY50&lt;=960), (-1)*('(橫掃)RX Mapping'!AY50-960)+120,9999))))))))</f>
        <v>9999</v>
      </c>
      <c r="AZ50">
        <f>IF(AND('(橫掃)RX Mapping'!AZ50&gt;=1,'(橫掃)RX Mapping'!AZ50&lt;=120), ('(橫掃)RX Mapping'!AZ50-1),IF(AND('(橫掃)RX Mapping'!AZ50&gt;=121,'(橫掃)RX Mapping'!AZ50&lt;=240), (-1)*('(橫掃)RX Mapping'!AZ50-240),IF(AND('(橫掃)RX Mapping'!AZ50&gt;=241,'(橫掃)RX Mapping'!AZ50&lt;=360), ('(橫掃)RX Mapping'!AZ50-241),IF(AND('(橫掃)RX Mapping'!AZ50&gt;=361,'(橫掃)RX Mapping'!AZ50&lt;=480), (-1)*('(橫掃)RX Mapping'!AZ50-480),IF(AND('(橫掃)RX Mapping'!AZ50&gt;=481,'(橫掃)RX Mapping'!AZ50&lt;=600), ('(橫掃)RX Mapping'!AZ50-361),IF(AND('(橫掃)RX Mapping'!AZ50&gt;=601,'(橫掃)RX Mapping'!AZ50&lt;=720), (-1)*('(橫掃)RX Mapping'!AZ50-720)+120,IF(AND('(橫掃)RX Mapping'!AZ50&gt;=721,'(橫掃)RX Mapping'!AZ50&lt;=840), ('(橫掃)RX Mapping'!AZ50-601),IF(AND('(橫掃)RX Mapping'!AZ50&gt;=841,'(橫掃)RX Mapping'!AZ50&lt;=960), (-1)*('(橫掃)RX Mapping'!AZ50-960)+120,9999))))))))</f>
        <v>9999</v>
      </c>
      <c r="BA50">
        <f>IF(AND('(橫掃)RX Mapping'!BA50&gt;=1,'(橫掃)RX Mapping'!BA50&lt;=120), ('(橫掃)RX Mapping'!BA50-1),IF(AND('(橫掃)RX Mapping'!BA50&gt;=121,'(橫掃)RX Mapping'!BA50&lt;=240), (-1)*('(橫掃)RX Mapping'!BA50-240),IF(AND('(橫掃)RX Mapping'!BA50&gt;=241,'(橫掃)RX Mapping'!BA50&lt;=360), ('(橫掃)RX Mapping'!BA50-241),IF(AND('(橫掃)RX Mapping'!BA50&gt;=361,'(橫掃)RX Mapping'!BA50&lt;=480), (-1)*('(橫掃)RX Mapping'!BA50-480),IF(AND('(橫掃)RX Mapping'!BA50&gt;=481,'(橫掃)RX Mapping'!BA50&lt;=600), ('(橫掃)RX Mapping'!BA50-361),IF(AND('(橫掃)RX Mapping'!BA50&gt;=601,'(橫掃)RX Mapping'!BA50&lt;=720), (-1)*('(橫掃)RX Mapping'!BA50-720)+120,IF(AND('(橫掃)RX Mapping'!BA50&gt;=721,'(橫掃)RX Mapping'!BA50&lt;=840), ('(橫掃)RX Mapping'!BA50-601),IF(AND('(橫掃)RX Mapping'!BA50&gt;=841,'(橫掃)RX Mapping'!BA50&lt;=960), (-1)*('(橫掃)RX Mapping'!BA50-960)+120,9999))))))))</f>
        <v>9999</v>
      </c>
      <c r="BB50">
        <f>IF(AND('(橫掃)RX Mapping'!BB50&gt;=1,'(橫掃)RX Mapping'!BB50&lt;=120), ('(橫掃)RX Mapping'!BB50-1),IF(AND('(橫掃)RX Mapping'!BB50&gt;=121,'(橫掃)RX Mapping'!BB50&lt;=240), (-1)*('(橫掃)RX Mapping'!BB50-240),IF(AND('(橫掃)RX Mapping'!BB50&gt;=241,'(橫掃)RX Mapping'!BB50&lt;=360), ('(橫掃)RX Mapping'!BB50-241),IF(AND('(橫掃)RX Mapping'!BB50&gt;=361,'(橫掃)RX Mapping'!BB50&lt;=480), (-1)*('(橫掃)RX Mapping'!BB50-480),IF(AND('(橫掃)RX Mapping'!BB50&gt;=481,'(橫掃)RX Mapping'!BB50&lt;=600), ('(橫掃)RX Mapping'!BB50-361),IF(AND('(橫掃)RX Mapping'!BB50&gt;=601,'(橫掃)RX Mapping'!BB50&lt;=720), (-1)*('(橫掃)RX Mapping'!BB50-720)+120,IF(AND('(橫掃)RX Mapping'!BB50&gt;=721,'(橫掃)RX Mapping'!BB50&lt;=840), ('(橫掃)RX Mapping'!BB50-601),IF(AND('(橫掃)RX Mapping'!BB50&gt;=841,'(橫掃)RX Mapping'!BB50&lt;=960), (-1)*('(橫掃)RX Mapping'!BB50-960)+120,9999))))))))</f>
        <v>9999</v>
      </c>
      <c r="BC50">
        <f>IF(AND('(橫掃)RX Mapping'!BC50&gt;=1,'(橫掃)RX Mapping'!BC50&lt;=120), ('(橫掃)RX Mapping'!BC50-1),IF(AND('(橫掃)RX Mapping'!BC50&gt;=121,'(橫掃)RX Mapping'!BC50&lt;=240), (-1)*('(橫掃)RX Mapping'!BC50-240),IF(AND('(橫掃)RX Mapping'!BC50&gt;=241,'(橫掃)RX Mapping'!BC50&lt;=360), ('(橫掃)RX Mapping'!BC50-241),IF(AND('(橫掃)RX Mapping'!BC50&gt;=361,'(橫掃)RX Mapping'!BC50&lt;=480), (-1)*('(橫掃)RX Mapping'!BC50-480),IF(AND('(橫掃)RX Mapping'!BC50&gt;=481,'(橫掃)RX Mapping'!BC50&lt;=600), ('(橫掃)RX Mapping'!BC50-361),IF(AND('(橫掃)RX Mapping'!BC50&gt;=601,'(橫掃)RX Mapping'!BC50&lt;=720), (-1)*('(橫掃)RX Mapping'!BC50-720)+120,IF(AND('(橫掃)RX Mapping'!BC50&gt;=721,'(橫掃)RX Mapping'!BC50&lt;=840), ('(橫掃)RX Mapping'!BC50-601),IF(AND('(橫掃)RX Mapping'!BC50&gt;=841,'(橫掃)RX Mapping'!BC50&lt;=960), (-1)*('(橫掃)RX Mapping'!BC50-960)+120,9999))))))))</f>
        <v>9999</v>
      </c>
      <c r="BD50">
        <f>IF(AND('(橫掃)RX Mapping'!BD50&gt;=1,'(橫掃)RX Mapping'!BD50&lt;=120), ('(橫掃)RX Mapping'!BD50-1),IF(AND('(橫掃)RX Mapping'!BD50&gt;=121,'(橫掃)RX Mapping'!BD50&lt;=240), (-1)*('(橫掃)RX Mapping'!BD50-240),IF(AND('(橫掃)RX Mapping'!BD50&gt;=241,'(橫掃)RX Mapping'!BD50&lt;=360), ('(橫掃)RX Mapping'!BD50-241),IF(AND('(橫掃)RX Mapping'!BD50&gt;=361,'(橫掃)RX Mapping'!BD50&lt;=480), (-1)*('(橫掃)RX Mapping'!BD50-480),IF(AND('(橫掃)RX Mapping'!BD50&gt;=481,'(橫掃)RX Mapping'!BD50&lt;=600), ('(橫掃)RX Mapping'!BD50-361),IF(AND('(橫掃)RX Mapping'!BD50&gt;=601,'(橫掃)RX Mapping'!BD50&lt;=720), (-1)*('(橫掃)RX Mapping'!BD50-720)+120,IF(AND('(橫掃)RX Mapping'!BD50&gt;=721,'(橫掃)RX Mapping'!BD50&lt;=840), ('(橫掃)RX Mapping'!BD50-601),IF(AND('(橫掃)RX Mapping'!BD50&gt;=841,'(橫掃)RX Mapping'!BD50&lt;=960), (-1)*('(橫掃)RX Mapping'!BD50-960)+120,9999))))))))</f>
        <v>9999</v>
      </c>
      <c r="BE50">
        <f>IF(AND('(橫掃)RX Mapping'!BE50&gt;=1,'(橫掃)RX Mapping'!BE50&lt;=120), ('(橫掃)RX Mapping'!BE50-1),IF(AND('(橫掃)RX Mapping'!BE50&gt;=121,'(橫掃)RX Mapping'!BE50&lt;=240), (-1)*('(橫掃)RX Mapping'!BE50-240),IF(AND('(橫掃)RX Mapping'!BE50&gt;=241,'(橫掃)RX Mapping'!BE50&lt;=360), ('(橫掃)RX Mapping'!BE50-241),IF(AND('(橫掃)RX Mapping'!BE50&gt;=361,'(橫掃)RX Mapping'!BE50&lt;=480), (-1)*('(橫掃)RX Mapping'!BE50-480),IF(AND('(橫掃)RX Mapping'!BE50&gt;=481,'(橫掃)RX Mapping'!BE50&lt;=600), ('(橫掃)RX Mapping'!BE50-361),IF(AND('(橫掃)RX Mapping'!BE50&gt;=601,'(橫掃)RX Mapping'!BE50&lt;=720), (-1)*('(橫掃)RX Mapping'!BE50-720)+120,IF(AND('(橫掃)RX Mapping'!BE50&gt;=721,'(橫掃)RX Mapping'!BE50&lt;=840), ('(橫掃)RX Mapping'!BE50-601),IF(AND('(橫掃)RX Mapping'!BE50&gt;=841,'(橫掃)RX Mapping'!BE50&lt;=960), (-1)*('(橫掃)RX Mapping'!BE50-960)+120,9999))))))))</f>
        <v>9999</v>
      </c>
      <c r="BF50">
        <f>IF(AND('(橫掃)RX Mapping'!BF50&gt;=1,'(橫掃)RX Mapping'!BF50&lt;=120), ('(橫掃)RX Mapping'!BF50-1),IF(AND('(橫掃)RX Mapping'!BF50&gt;=121,'(橫掃)RX Mapping'!BF50&lt;=240), (-1)*('(橫掃)RX Mapping'!BF50-240),IF(AND('(橫掃)RX Mapping'!BF50&gt;=241,'(橫掃)RX Mapping'!BF50&lt;=360), ('(橫掃)RX Mapping'!BF50-241),IF(AND('(橫掃)RX Mapping'!BF50&gt;=361,'(橫掃)RX Mapping'!BF50&lt;=480), (-1)*('(橫掃)RX Mapping'!BF50-480),IF(AND('(橫掃)RX Mapping'!BF50&gt;=481,'(橫掃)RX Mapping'!BF50&lt;=600), ('(橫掃)RX Mapping'!BF50-361),IF(AND('(橫掃)RX Mapping'!BF50&gt;=601,'(橫掃)RX Mapping'!BF50&lt;=720), (-1)*('(橫掃)RX Mapping'!BF50-720)+120,IF(AND('(橫掃)RX Mapping'!BF50&gt;=721,'(橫掃)RX Mapping'!BF50&lt;=840), ('(橫掃)RX Mapping'!BF50-601),IF(AND('(橫掃)RX Mapping'!BF50&gt;=841,'(橫掃)RX Mapping'!BF50&lt;=960), (-1)*('(橫掃)RX Mapping'!BF50-960)+120,9999))))))))</f>
        <v>9999</v>
      </c>
      <c r="BG50">
        <f>IF(AND('(橫掃)RX Mapping'!BG50&gt;=1,'(橫掃)RX Mapping'!BG50&lt;=120), ('(橫掃)RX Mapping'!BG50-1),IF(AND('(橫掃)RX Mapping'!BG50&gt;=121,'(橫掃)RX Mapping'!BG50&lt;=240), (-1)*('(橫掃)RX Mapping'!BG50-240),IF(AND('(橫掃)RX Mapping'!BG50&gt;=241,'(橫掃)RX Mapping'!BG50&lt;=360), ('(橫掃)RX Mapping'!BG50-241),IF(AND('(橫掃)RX Mapping'!BG50&gt;=361,'(橫掃)RX Mapping'!BG50&lt;=480), (-1)*('(橫掃)RX Mapping'!BG50-480),IF(AND('(橫掃)RX Mapping'!BG50&gt;=481,'(橫掃)RX Mapping'!BG50&lt;=600), ('(橫掃)RX Mapping'!BG50-361),IF(AND('(橫掃)RX Mapping'!BG50&gt;=601,'(橫掃)RX Mapping'!BG50&lt;=720), (-1)*('(橫掃)RX Mapping'!BG50-720)+120,IF(AND('(橫掃)RX Mapping'!BG50&gt;=721,'(橫掃)RX Mapping'!BG50&lt;=840), ('(橫掃)RX Mapping'!BG50-601),IF(AND('(橫掃)RX Mapping'!BG50&gt;=841,'(橫掃)RX Mapping'!BG50&lt;=960), (-1)*('(橫掃)RX Mapping'!BG50-960)+120,9999))))))))</f>
        <v>9999</v>
      </c>
      <c r="BH50">
        <f>IF(AND('(橫掃)RX Mapping'!BH50&gt;=1,'(橫掃)RX Mapping'!BH50&lt;=120), ('(橫掃)RX Mapping'!BH50-1),IF(AND('(橫掃)RX Mapping'!BH50&gt;=121,'(橫掃)RX Mapping'!BH50&lt;=240), (-1)*('(橫掃)RX Mapping'!BH50-240),IF(AND('(橫掃)RX Mapping'!BH50&gt;=241,'(橫掃)RX Mapping'!BH50&lt;=360), ('(橫掃)RX Mapping'!BH50-241),IF(AND('(橫掃)RX Mapping'!BH50&gt;=361,'(橫掃)RX Mapping'!BH50&lt;=480), (-1)*('(橫掃)RX Mapping'!BH50-480),IF(AND('(橫掃)RX Mapping'!BH50&gt;=481,'(橫掃)RX Mapping'!BH50&lt;=600), ('(橫掃)RX Mapping'!BH50-361),IF(AND('(橫掃)RX Mapping'!BH50&gt;=601,'(橫掃)RX Mapping'!BH50&lt;=720), (-1)*('(橫掃)RX Mapping'!BH50-720)+120,IF(AND('(橫掃)RX Mapping'!BH50&gt;=721,'(橫掃)RX Mapping'!BH50&lt;=840), ('(橫掃)RX Mapping'!BH50-601),IF(AND('(橫掃)RX Mapping'!BH50&gt;=841,'(橫掃)RX Mapping'!BH50&lt;=960), (-1)*('(橫掃)RX Mapping'!BH50-960)+120,9999))))))))</f>
        <v>9999</v>
      </c>
      <c r="BI50">
        <f>IF(AND('(橫掃)RX Mapping'!BI50&gt;=1,'(橫掃)RX Mapping'!BI50&lt;=120), ('(橫掃)RX Mapping'!BI50-1),IF(AND('(橫掃)RX Mapping'!BI50&gt;=121,'(橫掃)RX Mapping'!BI50&lt;=240), (-1)*('(橫掃)RX Mapping'!BI50-240),IF(AND('(橫掃)RX Mapping'!BI50&gt;=241,'(橫掃)RX Mapping'!BI50&lt;=360), ('(橫掃)RX Mapping'!BI50-241),IF(AND('(橫掃)RX Mapping'!BI50&gt;=361,'(橫掃)RX Mapping'!BI50&lt;=480), (-1)*('(橫掃)RX Mapping'!BI50-480),IF(AND('(橫掃)RX Mapping'!BI50&gt;=481,'(橫掃)RX Mapping'!BI50&lt;=600), ('(橫掃)RX Mapping'!BI50-361),IF(AND('(橫掃)RX Mapping'!BI50&gt;=601,'(橫掃)RX Mapping'!BI50&lt;=720), (-1)*('(橫掃)RX Mapping'!BI50-720)+120,IF(AND('(橫掃)RX Mapping'!BI50&gt;=721,'(橫掃)RX Mapping'!BI50&lt;=840), ('(橫掃)RX Mapping'!BI50-601),IF(AND('(橫掃)RX Mapping'!BI50&gt;=841,'(橫掃)RX Mapping'!BI50&lt;=960), (-1)*('(橫掃)RX Mapping'!BI50-960)+120,9999))))))))</f>
        <v>9999</v>
      </c>
    </row>
    <row r="51" spans="1:61" x14ac:dyDescent="0.25">
      <c r="A51" s="20">
        <v>50</v>
      </c>
      <c r="B51">
        <f>IF(AND('(橫掃)RX Mapping'!B51&gt;=1,'(橫掃)RX Mapping'!B51&lt;=120), ('(橫掃)RX Mapping'!B51-1),IF(AND('(橫掃)RX Mapping'!B51&gt;=121,'(橫掃)RX Mapping'!B51&lt;=240), (-1)*('(橫掃)RX Mapping'!B51-240),IF(AND('(橫掃)RX Mapping'!B51&gt;=241,'(橫掃)RX Mapping'!B51&lt;=360), ('(橫掃)RX Mapping'!B51-241),IF(AND('(橫掃)RX Mapping'!B51&gt;=361,'(橫掃)RX Mapping'!B51&lt;=480), (-1)*('(橫掃)RX Mapping'!B51-480),IF(AND('(橫掃)RX Mapping'!B51&gt;=481,'(橫掃)RX Mapping'!B51&lt;=600), ('(橫掃)RX Mapping'!B51-361),IF(AND('(橫掃)RX Mapping'!B51&gt;=601,'(橫掃)RX Mapping'!B51&lt;=720), (-1)*('(橫掃)RX Mapping'!B51-720)+120,IF(AND('(橫掃)RX Mapping'!B51&gt;=721,'(橫掃)RX Mapping'!B51&lt;=840), ('(橫掃)RX Mapping'!B51-601),IF(AND('(橫掃)RX Mapping'!B51&gt;=841,'(橫掃)RX Mapping'!B51&lt;=960), (-1)*('(橫掃)RX Mapping'!B51-960)+120,9999))))))))</f>
        <v>9999</v>
      </c>
      <c r="C51">
        <f>IF(AND('(橫掃)RX Mapping'!C51&gt;=1,'(橫掃)RX Mapping'!C51&lt;=120), ('(橫掃)RX Mapping'!C51-1),IF(AND('(橫掃)RX Mapping'!C51&gt;=121,'(橫掃)RX Mapping'!C51&lt;=240), (-1)*('(橫掃)RX Mapping'!C51-240),IF(AND('(橫掃)RX Mapping'!C51&gt;=241,'(橫掃)RX Mapping'!C51&lt;=360), ('(橫掃)RX Mapping'!C51-241),IF(AND('(橫掃)RX Mapping'!C51&gt;=361,'(橫掃)RX Mapping'!C51&lt;=480), (-1)*('(橫掃)RX Mapping'!C51-480),IF(AND('(橫掃)RX Mapping'!C51&gt;=481,'(橫掃)RX Mapping'!C51&lt;=600), ('(橫掃)RX Mapping'!C51-361),IF(AND('(橫掃)RX Mapping'!C51&gt;=601,'(橫掃)RX Mapping'!C51&lt;=720), (-1)*('(橫掃)RX Mapping'!C51-720)+120,IF(AND('(橫掃)RX Mapping'!C51&gt;=721,'(橫掃)RX Mapping'!C51&lt;=840), ('(橫掃)RX Mapping'!C51-601),IF(AND('(橫掃)RX Mapping'!C51&gt;=841,'(橫掃)RX Mapping'!C51&lt;=960), (-1)*('(橫掃)RX Mapping'!C51-960)+120,9999))))))))</f>
        <v>9999</v>
      </c>
      <c r="D51">
        <f>IF(AND('(橫掃)RX Mapping'!D51&gt;=1,'(橫掃)RX Mapping'!D51&lt;=120), ('(橫掃)RX Mapping'!D51-1),IF(AND('(橫掃)RX Mapping'!D51&gt;=121,'(橫掃)RX Mapping'!D51&lt;=240), (-1)*('(橫掃)RX Mapping'!D51-240),IF(AND('(橫掃)RX Mapping'!D51&gt;=241,'(橫掃)RX Mapping'!D51&lt;=360), ('(橫掃)RX Mapping'!D51-241),IF(AND('(橫掃)RX Mapping'!D51&gt;=361,'(橫掃)RX Mapping'!D51&lt;=480), (-1)*('(橫掃)RX Mapping'!D51-480),IF(AND('(橫掃)RX Mapping'!D51&gt;=481,'(橫掃)RX Mapping'!D51&lt;=600), ('(橫掃)RX Mapping'!D51-361),IF(AND('(橫掃)RX Mapping'!D51&gt;=601,'(橫掃)RX Mapping'!D51&lt;=720), (-1)*('(橫掃)RX Mapping'!D51-720)+120,IF(AND('(橫掃)RX Mapping'!D51&gt;=721,'(橫掃)RX Mapping'!D51&lt;=840), ('(橫掃)RX Mapping'!D51-601),IF(AND('(橫掃)RX Mapping'!D51&gt;=841,'(橫掃)RX Mapping'!D51&lt;=960), (-1)*('(橫掃)RX Mapping'!D51-960)+120,9999))))))))</f>
        <v>9999</v>
      </c>
      <c r="E51">
        <f>IF(AND('(橫掃)RX Mapping'!E51&gt;=1,'(橫掃)RX Mapping'!E51&lt;=120), ('(橫掃)RX Mapping'!E51-1),IF(AND('(橫掃)RX Mapping'!E51&gt;=121,'(橫掃)RX Mapping'!E51&lt;=240), (-1)*('(橫掃)RX Mapping'!E51-240),IF(AND('(橫掃)RX Mapping'!E51&gt;=241,'(橫掃)RX Mapping'!E51&lt;=360), ('(橫掃)RX Mapping'!E51-241),IF(AND('(橫掃)RX Mapping'!E51&gt;=361,'(橫掃)RX Mapping'!E51&lt;=480), (-1)*('(橫掃)RX Mapping'!E51-480),IF(AND('(橫掃)RX Mapping'!E51&gt;=481,'(橫掃)RX Mapping'!E51&lt;=600), ('(橫掃)RX Mapping'!E51-361),IF(AND('(橫掃)RX Mapping'!E51&gt;=601,'(橫掃)RX Mapping'!E51&lt;=720), (-1)*('(橫掃)RX Mapping'!E51-720)+120,IF(AND('(橫掃)RX Mapping'!E51&gt;=721,'(橫掃)RX Mapping'!E51&lt;=840), ('(橫掃)RX Mapping'!E51-601),IF(AND('(橫掃)RX Mapping'!E51&gt;=841,'(橫掃)RX Mapping'!E51&lt;=960), (-1)*('(橫掃)RX Mapping'!E51-960)+120,9999))))))))</f>
        <v>9999</v>
      </c>
      <c r="F51">
        <f>IF(AND('(橫掃)RX Mapping'!F51&gt;=1,'(橫掃)RX Mapping'!F51&lt;=120), ('(橫掃)RX Mapping'!F51-1),IF(AND('(橫掃)RX Mapping'!F51&gt;=121,'(橫掃)RX Mapping'!F51&lt;=240), (-1)*('(橫掃)RX Mapping'!F51-240),IF(AND('(橫掃)RX Mapping'!F51&gt;=241,'(橫掃)RX Mapping'!F51&lt;=360), ('(橫掃)RX Mapping'!F51-241),IF(AND('(橫掃)RX Mapping'!F51&gt;=361,'(橫掃)RX Mapping'!F51&lt;=480), (-1)*('(橫掃)RX Mapping'!F51-480),IF(AND('(橫掃)RX Mapping'!F51&gt;=481,'(橫掃)RX Mapping'!F51&lt;=600), ('(橫掃)RX Mapping'!F51-361),IF(AND('(橫掃)RX Mapping'!F51&gt;=601,'(橫掃)RX Mapping'!F51&lt;=720), (-1)*('(橫掃)RX Mapping'!F51-720)+120,IF(AND('(橫掃)RX Mapping'!F51&gt;=721,'(橫掃)RX Mapping'!F51&lt;=840), ('(橫掃)RX Mapping'!F51-601),IF(AND('(橫掃)RX Mapping'!F51&gt;=841,'(橫掃)RX Mapping'!F51&lt;=960), (-1)*('(橫掃)RX Mapping'!F51-960)+120,9999))))))))</f>
        <v>9999</v>
      </c>
      <c r="G51">
        <f>IF(AND('(橫掃)RX Mapping'!G51&gt;=1,'(橫掃)RX Mapping'!G51&lt;=120), ('(橫掃)RX Mapping'!G51-1),IF(AND('(橫掃)RX Mapping'!G51&gt;=121,'(橫掃)RX Mapping'!G51&lt;=240), (-1)*('(橫掃)RX Mapping'!G51-240),IF(AND('(橫掃)RX Mapping'!G51&gt;=241,'(橫掃)RX Mapping'!G51&lt;=360), ('(橫掃)RX Mapping'!G51-241),IF(AND('(橫掃)RX Mapping'!G51&gt;=361,'(橫掃)RX Mapping'!G51&lt;=480), (-1)*('(橫掃)RX Mapping'!G51-480),IF(AND('(橫掃)RX Mapping'!G51&gt;=481,'(橫掃)RX Mapping'!G51&lt;=600), ('(橫掃)RX Mapping'!G51-361),IF(AND('(橫掃)RX Mapping'!G51&gt;=601,'(橫掃)RX Mapping'!G51&lt;=720), (-1)*('(橫掃)RX Mapping'!G51-720)+120,IF(AND('(橫掃)RX Mapping'!G51&gt;=721,'(橫掃)RX Mapping'!G51&lt;=840), ('(橫掃)RX Mapping'!G51-601),IF(AND('(橫掃)RX Mapping'!G51&gt;=841,'(橫掃)RX Mapping'!G51&lt;=960), (-1)*('(橫掃)RX Mapping'!G51-960)+120,9999))))))))</f>
        <v>9999</v>
      </c>
      <c r="H51">
        <f>IF(AND('(橫掃)RX Mapping'!H51&gt;=1,'(橫掃)RX Mapping'!H51&lt;=120), ('(橫掃)RX Mapping'!H51-1),IF(AND('(橫掃)RX Mapping'!H51&gt;=121,'(橫掃)RX Mapping'!H51&lt;=240), (-1)*('(橫掃)RX Mapping'!H51-240),IF(AND('(橫掃)RX Mapping'!H51&gt;=241,'(橫掃)RX Mapping'!H51&lt;=360), ('(橫掃)RX Mapping'!H51-241),IF(AND('(橫掃)RX Mapping'!H51&gt;=361,'(橫掃)RX Mapping'!H51&lt;=480), (-1)*('(橫掃)RX Mapping'!H51-480),IF(AND('(橫掃)RX Mapping'!H51&gt;=481,'(橫掃)RX Mapping'!H51&lt;=600), ('(橫掃)RX Mapping'!H51-361),IF(AND('(橫掃)RX Mapping'!H51&gt;=601,'(橫掃)RX Mapping'!H51&lt;=720), (-1)*('(橫掃)RX Mapping'!H51-720)+120,IF(AND('(橫掃)RX Mapping'!H51&gt;=721,'(橫掃)RX Mapping'!H51&lt;=840), ('(橫掃)RX Mapping'!H51-601),IF(AND('(橫掃)RX Mapping'!H51&gt;=841,'(橫掃)RX Mapping'!H51&lt;=960), (-1)*('(橫掃)RX Mapping'!H51-960)+120,9999))))))))</f>
        <v>9999</v>
      </c>
      <c r="I51">
        <f>IF(AND('(橫掃)RX Mapping'!I51&gt;=1,'(橫掃)RX Mapping'!I51&lt;=120), ('(橫掃)RX Mapping'!I51-1),IF(AND('(橫掃)RX Mapping'!I51&gt;=121,'(橫掃)RX Mapping'!I51&lt;=240), (-1)*('(橫掃)RX Mapping'!I51-240),IF(AND('(橫掃)RX Mapping'!I51&gt;=241,'(橫掃)RX Mapping'!I51&lt;=360), ('(橫掃)RX Mapping'!I51-241),IF(AND('(橫掃)RX Mapping'!I51&gt;=361,'(橫掃)RX Mapping'!I51&lt;=480), (-1)*('(橫掃)RX Mapping'!I51-480),IF(AND('(橫掃)RX Mapping'!I51&gt;=481,'(橫掃)RX Mapping'!I51&lt;=600), ('(橫掃)RX Mapping'!I51-361),IF(AND('(橫掃)RX Mapping'!I51&gt;=601,'(橫掃)RX Mapping'!I51&lt;=720), (-1)*('(橫掃)RX Mapping'!I51-720)+120,IF(AND('(橫掃)RX Mapping'!I51&gt;=721,'(橫掃)RX Mapping'!I51&lt;=840), ('(橫掃)RX Mapping'!I51-601),IF(AND('(橫掃)RX Mapping'!I51&gt;=841,'(橫掃)RX Mapping'!I51&lt;=960), (-1)*('(橫掃)RX Mapping'!I51-960)+120,9999))))))))</f>
        <v>9999</v>
      </c>
      <c r="J51">
        <f>IF(AND('(橫掃)RX Mapping'!J51&gt;=1,'(橫掃)RX Mapping'!J51&lt;=120), ('(橫掃)RX Mapping'!J51-1),IF(AND('(橫掃)RX Mapping'!J51&gt;=121,'(橫掃)RX Mapping'!J51&lt;=240), (-1)*('(橫掃)RX Mapping'!J51-240),IF(AND('(橫掃)RX Mapping'!J51&gt;=241,'(橫掃)RX Mapping'!J51&lt;=360), ('(橫掃)RX Mapping'!J51-241),IF(AND('(橫掃)RX Mapping'!J51&gt;=361,'(橫掃)RX Mapping'!J51&lt;=480), (-1)*('(橫掃)RX Mapping'!J51-480),IF(AND('(橫掃)RX Mapping'!J51&gt;=481,'(橫掃)RX Mapping'!J51&lt;=600), ('(橫掃)RX Mapping'!J51-361),IF(AND('(橫掃)RX Mapping'!J51&gt;=601,'(橫掃)RX Mapping'!J51&lt;=720), (-1)*('(橫掃)RX Mapping'!J51-720)+120,IF(AND('(橫掃)RX Mapping'!J51&gt;=721,'(橫掃)RX Mapping'!J51&lt;=840), ('(橫掃)RX Mapping'!J51-601),IF(AND('(橫掃)RX Mapping'!J51&gt;=841,'(橫掃)RX Mapping'!J51&lt;=960), (-1)*('(橫掃)RX Mapping'!J51-960)+120,9999))))))))</f>
        <v>9999</v>
      </c>
      <c r="K51">
        <f>IF(AND('(橫掃)RX Mapping'!K51&gt;=1,'(橫掃)RX Mapping'!K51&lt;=120), ('(橫掃)RX Mapping'!K51-1),IF(AND('(橫掃)RX Mapping'!K51&gt;=121,'(橫掃)RX Mapping'!K51&lt;=240), (-1)*('(橫掃)RX Mapping'!K51-240),IF(AND('(橫掃)RX Mapping'!K51&gt;=241,'(橫掃)RX Mapping'!K51&lt;=360), ('(橫掃)RX Mapping'!K51-241),IF(AND('(橫掃)RX Mapping'!K51&gt;=361,'(橫掃)RX Mapping'!K51&lt;=480), (-1)*('(橫掃)RX Mapping'!K51-480),IF(AND('(橫掃)RX Mapping'!K51&gt;=481,'(橫掃)RX Mapping'!K51&lt;=600), ('(橫掃)RX Mapping'!K51-361),IF(AND('(橫掃)RX Mapping'!K51&gt;=601,'(橫掃)RX Mapping'!K51&lt;=720), (-1)*('(橫掃)RX Mapping'!K51-720)+120,IF(AND('(橫掃)RX Mapping'!K51&gt;=721,'(橫掃)RX Mapping'!K51&lt;=840), ('(橫掃)RX Mapping'!K51-601),IF(AND('(橫掃)RX Mapping'!K51&gt;=841,'(橫掃)RX Mapping'!K51&lt;=960), (-1)*('(橫掃)RX Mapping'!K51-960)+120,9999))))))))</f>
        <v>9999</v>
      </c>
      <c r="L51">
        <f>IF(AND('(橫掃)RX Mapping'!L51&gt;=1,'(橫掃)RX Mapping'!L51&lt;=120), ('(橫掃)RX Mapping'!L51-1),IF(AND('(橫掃)RX Mapping'!L51&gt;=121,'(橫掃)RX Mapping'!L51&lt;=240), (-1)*('(橫掃)RX Mapping'!L51-240),IF(AND('(橫掃)RX Mapping'!L51&gt;=241,'(橫掃)RX Mapping'!L51&lt;=360), ('(橫掃)RX Mapping'!L51-241),IF(AND('(橫掃)RX Mapping'!L51&gt;=361,'(橫掃)RX Mapping'!L51&lt;=480), (-1)*('(橫掃)RX Mapping'!L51-480),IF(AND('(橫掃)RX Mapping'!L51&gt;=481,'(橫掃)RX Mapping'!L51&lt;=600), ('(橫掃)RX Mapping'!L51-361),IF(AND('(橫掃)RX Mapping'!L51&gt;=601,'(橫掃)RX Mapping'!L51&lt;=720), (-1)*('(橫掃)RX Mapping'!L51-720)+120,IF(AND('(橫掃)RX Mapping'!L51&gt;=721,'(橫掃)RX Mapping'!L51&lt;=840), ('(橫掃)RX Mapping'!L51-601),IF(AND('(橫掃)RX Mapping'!L51&gt;=841,'(橫掃)RX Mapping'!L51&lt;=960), (-1)*('(橫掃)RX Mapping'!L51-960)+120,9999))))))))</f>
        <v>9999</v>
      </c>
      <c r="M51">
        <f>IF(AND('(橫掃)RX Mapping'!M51&gt;=1,'(橫掃)RX Mapping'!M51&lt;=120), ('(橫掃)RX Mapping'!M51-1),IF(AND('(橫掃)RX Mapping'!M51&gt;=121,'(橫掃)RX Mapping'!M51&lt;=240), (-1)*('(橫掃)RX Mapping'!M51-240),IF(AND('(橫掃)RX Mapping'!M51&gt;=241,'(橫掃)RX Mapping'!M51&lt;=360), ('(橫掃)RX Mapping'!M51-241),IF(AND('(橫掃)RX Mapping'!M51&gt;=361,'(橫掃)RX Mapping'!M51&lt;=480), (-1)*('(橫掃)RX Mapping'!M51-480),IF(AND('(橫掃)RX Mapping'!M51&gt;=481,'(橫掃)RX Mapping'!M51&lt;=600), ('(橫掃)RX Mapping'!M51-361),IF(AND('(橫掃)RX Mapping'!M51&gt;=601,'(橫掃)RX Mapping'!M51&lt;=720), (-1)*('(橫掃)RX Mapping'!M51-720)+120,IF(AND('(橫掃)RX Mapping'!M51&gt;=721,'(橫掃)RX Mapping'!M51&lt;=840), ('(橫掃)RX Mapping'!M51-601),IF(AND('(橫掃)RX Mapping'!M51&gt;=841,'(橫掃)RX Mapping'!M51&lt;=960), (-1)*('(橫掃)RX Mapping'!M51-960)+120,9999))))))))</f>
        <v>9999</v>
      </c>
      <c r="N51">
        <f>IF(AND('(橫掃)RX Mapping'!N51&gt;=1,'(橫掃)RX Mapping'!N51&lt;=120), ('(橫掃)RX Mapping'!N51-1),IF(AND('(橫掃)RX Mapping'!N51&gt;=121,'(橫掃)RX Mapping'!N51&lt;=240), (-1)*('(橫掃)RX Mapping'!N51-240),IF(AND('(橫掃)RX Mapping'!N51&gt;=241,'(橫掃)RX Mapping'!N51&lt;=360), ('(橫掃)RX Mapping'!N51-241),IF(AND('(橫掃)RX Mapping'!N51&gt;=361,'(橫掃)RX Mapping'!N51&lt;=480), (-1)*('(橫掃)RX Mapping'!N51-480),IF(AND('(橫掃)RX Mapping'!N51&gt;=481,'(橫掃)RX Mapping'!N51&lt;=600), ('(橫掃)RX Mapping'!N51-361),IF(AND('(橫掃)RX Mapping'!N51&gt;=601,'(橫掃)RX Mapping'!N51&lt;=720), (-1)*('(橫掃)RX Mapping'!N51-720)+120,IF(AND('(橫掃)RX Mapping'!N51&gt;=721,'(橫掃)RX Mapping'!N51&lt;=840), ('(橫掃)RX Mapping'!N51-601),IF(AND('(橫掃)RX Mapping'!N51&gt;=841,'(橫掃)RX Mapping'!N51&lt;=960), (-1)*('(橫掃)RX Mapping'!N51-960)+120,9999))))))))</f>
        <v>9999</v>
      </c>
      <c r="O51">
        <f>IF(AND('(橫掃)RX Mapping'!O51&gt;=1,'(橫掃)RX Mapping'!O51&lt;=120), ('(橫掃)RX Mapping'!O51-1),IF(AND('(橫掃)RX Mapping'!O51&gt;=121,'(橫掃)RX Mapping'!O51&lt;=240), (-1)*('(橫掃)RX Mapping'!O51-240),IF(AND('(橫掃)RX Mapping'!O51&gt;=241,'(橫掃)RX Mapping'!O51&lt;=360), ('(橫掃)RX Mapping'!O51-241),IF(AND('(橫掃)RX Mapping'!O51&gt;=361,'(橫掃)RX Mapping'!O51&lt;=480), (-1)*('(橫掃)RX Mapping'!O51-480),IF(AND('(橫掃)RX Mapping'!O51&gt;=481,'(橫掃)RX Mapping'!O51&lt;=600), ('(橫掃)RX Mapping'!O51-361),IF(AND('(橫掃)RX Mapping'!O51&gt;=601,'(橫掃)RX Mapping'!O51&lt;=720), (-1)*('(橫掃)RX Mapping'!O51-720)+120,IF(AND('(橫掃)RX Mapping'!O51&gt;=721,'(橫掃)RX Mapping'!O51&lt;=840), ('(橫掃)RX Mapping'!O51-601),IF(AND('(橫掃)RX Mapping'!O51&gt;=841,'(橫掃)RX Mapping'!O51&lt;=960), (-1)*('(橫掃)RX Mapping'!O51-960)+120,9999))))))))</f>
        <v>9999</v>
      </c>
      <c r="P51">
        <f>IF(AND('(橫掃)RX Mapping'!P51&gt;=1,'(橫掃)RX Mapping'!P51&lt;=120), ('(橫掃)RX Mapping'!P51-1),IF(AND('(橫掃)RX Mapping'!P51&gt;=121,'(橫掃)RX Mapping'!P51&lt;=240), (-1)*('(橫掃)RX Mapping'!P51-240),IF(AND('(橫掃)RX Mapping'!P51&gt;=241,'(橫掃)RX Mapping'!P51&lt;=360), ('(橫掃)RX Mapping'!P51-241),IF(AND('(橫掃)RX Mapping'!P51&gt;=361,'(橫掃)RX Mapping'!P51&lt;=480), (-1)*('(橫掃)RX Mapping'!P51-480),IF(AND('(橫掃)RX Mapping'!P51&gt;=481,'(橫掃)RX Mapping'!P51&lt;=600), ('(橫掃)RX Mapping'!P51-361),IF(AND('(橫掃)RX Mapping'!P51&gt;=601,'(橫掃)RX Mapping'!P51&lt;=720), (-1)*('(橫掃)RX Mapping'!P51-720)+120,IF(AND('(橫掃)RX Mapping'!P51&gt;=721,'(橫掃)RX Mapping'!P51&lt;=840), ('(橫掃)RX Mapping'!P51-601),IF(AND('(橫掃)RX Mapping'!P51&gt;=841,'(橫掃)RX Mapping'!P51&lt;=960), (-1)*('(橫掃)RX Mapping'!P51-960)+120,9999))))))))</f>
        <v>9999</v>
      </c>
      <c r="Q51">
        <f>IF(AND('(橫掃)RX Mapping'!Q51&gt;=1,'(橫掃)RX Mapping'!Q51&lt;=120), ('(橫掃)RX Mapping'!Q51-1),IF(AND('(橫掃)RX Mapping'!Q51&gt;=121,'(橫掃)RX Mapping'!Q51&lt;=240), (-1)*('(橫掃)RX Mapping'!Q51-240),IF(AND('(橫掃)RX Mapping'!Q51&gt;=241,'(橫掃)RX Mapping'!Q51&lt;=360), ('(橫掃)RX Mapping'!Q51-241),IF(AND('(橫掃)RX Mapping'!Q51&gt;=361,'(橫掃)RX Mapping'!Q51&lt;=480), (-1)*('(橫掃)RX Mapping'!Q51-480),IF(AND('(橫掃)RX Mapping'!Q51&gt;=481,'(橫掃)RX Mapping'!Q51&lt;=600), ('(橫掃)RX Mapping'!Q51-361),IF(AND('(橫掃)RX Mapping'!Q51&gt;=601,'(橫掃)RX Mapping'!Q51&lt;=720), (-1)*('(橫掃)RX Mapping'!Q51-720)+120,IF(AND('(橫掃)RX Mapping'!Q51&gt;=721,'(橫掃)RX Mapping'!Q51&lt;=840), ('(橫掃)RX Mapping'!Q51-601),IF(AND('(橫掃)RX Mapping'!Q51&gt;=841,'(橫掃)RX Mapping'!Q51&lt;=960), (-1)*('(橫掃)RX Mapping'!Q51-960)+120,9999))))))))</f>
        <v>9999</v>
      </c>
      <c r="R51">
        <f>IF(AND('(橫掃)RX Mapping'!R51&gt;=1,'(橫掃)RX Mapping'!R51&lt;=120), ('(橫掃)RX Mapping'!R51-1),IF(AND('(橫掃)RX Mapping'!R51&gt;=121,'(橫掃)RX Mapping'!R51&lt;=240), (-1)*('(橫掃)RX Mapping'!R51-240),IF(AND('(橫掃)RX Mapping'!R51&gt;=241,'(橫掃)RX Mapping'!R51&lt;=360), ('(橫掃)RX Mapping'!R51-241),IF(AND('(橫掃)RX Mapping'!R51&gt;=361,'(橫掃)RX Mapping'!R51&lt;=480), (-1)*('(橫掃)RX Mapping'!R51-480),IF(AND('(橫掃)RX Mapping'!R51&gt;=481,'(橫掃)RX Mapping'!R51&lt;=600), ('(橫掃)RX Mapping'!R51-361),IF(AND('(橫掃)RX Mapping'!R51&gt;=601,'(橫掃)RX Mapping'!R51&lt;=720), (-1)*('(橫掃)RX Mapping'!R51-720)+120,IF(AND('(橫掃)RX Mapping'!R51&gt;=721,'(橫掃)RX Mapping'!R51&lt;=840), ('(橫掃)RX Mapping'!R51-601),IF(AND('(橫掃)RX Mapping'!R51&gt;=841,'(橫掃)RX Mapping'!R51&lt;=960), (-1)*('(橫掃)RX Mapping'!R51-960)+120,9999))))))))</f>
        <v>9999</v>
      </c>
      <c r="S51">
        <f>IF(AND('(橫掃)RX Mapping'!S51&gt;=1,'(橫掃)RX Mapping'!S51&lt;=120), ('(橫掃)RX Mapping'!S51-1),IF(AND('(橫掃)RX Mapping'!S51&gt;=121,'(橫掃)RX Mapping'!S51&lt;=240), (-1)*('(橫掃)RX Mapping'!S51-240),IF(AND('(橫掃)RX Mapping'!S51&gt;=241,'(橫掃)RX Mapping'!S51&lt;=360), ('(橫掃)RX Mapping'!S51-241),IF(AND('(橫掃)RX Mapping'!S51&gt;=361,'(橫掃)RX Mapping'!S51&lt;=480), (-1)*('(橫掃)RX Mapping'!S51-480),IF(AND('(橫掃)RX Mapping'!S51&gt;=481,'(橫掃)RX Mapping'!S51&lt;=600), ('(橫掃)RX Mapping'!S51-361),IF(AND('(橫掃)RX Mapping'!S51&gt;=601,'(橫掃)RX Mapping'!S51&lt;=720), (-1)*('(橫掃)RX Mapping'!S51-720)+120,IF(AND('(橫掃)RX Mapping'!S51&gt;=721,'(橫掃)RX Mapping'!S51&lt;=840), ('(橫掃)RX Mapping'!S51-601),IF(AND('(橫掃)RX Mapping'!S51&gt;=841,'(橫掃)RX Mapping'!S51&lt;=960), (-1)*('(橫掃)RX Mapping'!S51-960)+120,9999))))))))</f>
        <v>9999</v>
      </c>
      <c r="T51">
        <f>IF(AND('(橫掃)RX Mapping'!T51&gt;=1,'(橫掃)RX Mapping'!T51&lt;=120), ('(橫掃)RX Mapping'!T51-1),IF(AND('(橫掃)RX Mapping'!T51&gt;=121,'(橫掃)RX Mapping'!T51&lt;=240), (-1)*('(橫掃)RX Mapping'!T51-240),IF(AND('(橫掃)RX Mapping'!T51&gt;=241,'(橫掃)RX Mapping'!T51&lt;=360), ('(橫掃)RX Mapping'!T51-241),IF(AND('(橫掃)RX Mapping'!T51&gt;=361,'(橫掃)RX Mapping'!T51&lt;=480), (-1)*('(橫掃)RX Mapping'!T51-480),IF(AND('(橫掃)RX Mapping'!T51&gt;=481,'(橫掃)RX Mapping'!T51&lt;=600), ('(橫掃)RX Mapping'!T51-361),IF(AND('(橫掃)RX Mapping'!T51&gt;=601,'(橫掃)RX Mapping'!T51&lt;=720), (-1)*('(橫掃)RX Mapping'!T51-720)+120,IF(AND('(橫掃)RX Mapping'!T51&gt;=721,'(橫掃)RX Mapping'!T51&lt;=840), ('(橫掃)RX Mapping'!T51-601),IF(AND('(橫掃)RX Mapping'!T51&gt;=841,'(橫掃)RX Mapping'!T51&lt;=960), (-1)*('(橫掃)RX Mapping'!T51-960)+120,9999))))))))</f>
        <v>9999</v>
      </c>
      <c r="U51">
        <f>IF(AND('(橫掃)RX Mapping'!U51&gt;=1,'(橫掃)RX Mapping'!U51&lt;=120), ('(橫掃)RX Mapping'!U51-1),IF(AND('(橫掃)RX Mapping'!U51&gt;=121,'(橫掃)RX Mapping'!U51&lt;=240), (-1)*('(橫掃)RX Mapping'!U51-240),IF(AND('(橫掃)RX Mapping'!U51&gt;=241,'(橫掃)RX Mapping'!U51&lt;=360), ('(橫掃)RX Mapping'!U51-241),IF(AND('(橫掃)RX Mapping'!U51&gt;=361,'(橫掃)RX Mapping'!U51&lt;=480), (-1)*('(橫掃)RX Mapping'!U51-480),IF(AND('(橫掃)RX Mapping'!U51&gt;=481,'(橫掃)RX Mapping'!U51&lt;=600), ('(橫掃)RX Mapping'!U51-361),IF(AND('(橫掃)RX Mapping'!U51&gt;=601,'(橫掃)RX Mapping'!U51&lt;=720), (-1)*('(橫掃)RX Mapping'!U51-720)+120,IF(AND('(橫掃)RX Mapping'!U51&gt;=721,'(橫掃)RX Mapping'!U51&lt;=840), ('(橫掃)RX Mapping'!U51-601),IF(AND('(橫掃)RX Mapping'!U51&gt;=841,'(橫掃)RX Mapping'!U51&lt;=960), (-1)*('(橫掃)RX Mapping'!U51-960)+120,9999))))))))</f>
        <v>9999</v>
      </c>
      <c r="V51">
        <f>IF(AND('(橫掃)RX Mapping'!V51&gt;=1,'(橫掃)RX Mapping'!V51&lt;=120), ('(橫掃)RX Mapping'!V51-1),IF(AND('(橫掃)RX Mapping'!V51&gt;=121,'(橫掃)RX Mapping'!V51&lt;=240), (-1)*('(橫掃)RX Mapping'!V51-240),IF(AND('(橫掃)RX Mapping'!V51&gt;=241,'(橫掃)RX Mapping'!V51&lt;=360), ('(橫掃)RX Mapping'!V51-241),IF(AND('(橫掃)RX Mapping'!V51&gt;=361,'(橫掃)RX Mapping'!V51&lt;=480), (-1)*('(橫掃)RX Mapping'!V51-480),IF(AND('(橫掃)RX Mapping'!V51&gt;=481,'(橫掃)RX Mapping'!V51&lt;=600), ('(橫掃)RX Mapping'!V51-361),IF(AND('(橫掃)RX Mapping'!V51&gt;=601,'(橫掃)RX Mapping'!V51&lt;=720), (-1)*('(橫掃)RX Mapping'!V51-720)+120,IF(AND('(橫掃)RX Mapping'!V51&gt;=721,'(橫掃)RX Mapping'!V51&lt;=840), ('(橫掃)RX Mapping'!V51-601),IF(AND('(橫掃)RX Mapping'!V51&gt;=841,'(橫掃)RX Mapping'!V51&lt;=960), (-1)*('(橫掃)RX Mapping'!V51-960)+120,9999))))))))</f>
        <v>9999</v>
      </c>
      <c r="W51">
        <f>IF(AND('(橫掃)RX Mapping'!W51&gt;=1,'(橫掃)RX Mapping'!W51&lt;=120), ('(橫掃)RX Mapping'!W51-1),IF(AND('(橫掃)RX Mapping'!W51&gt;=121,'(橫掃)RX Mapping'!W51&lt;=240), (-1)*('(橫掃)RX Mapping'!W51-240),IF(AND('(橫掃)RX Mapping'!W51&gt;=241,'(橫掃)RX Mapping'!W51&lt;=360), ('(橫掃)RX Mapping'!W51-241),IF(AND('(橫掃)RX Mapping'!W51&gt;=361,'(橫掃)RX Mapping'!W51&lt;=480), (-1)*('(橫掃)RX Mapping'!W51-480),IF(AND('(橫掃)RX Mapping'!W51&gt;=481,'(橫掃)RX Mapping'!W51&lt;=600), ('(橫掃)RX Mapping'!W51-361),IF(AND('(橫掃)RX Mapping'!W51&gt;=601,'(橫掃)RX Mapping'!W51&lt;=720), (-1)*('(橫掃)RX Mapping'!W51-720)+120,IF(AND('(橫掃)RX Mapping'!W51&gt;=721,'(橫掃)RX Mapping'!W51&lt;=840), ('(橫掃)RX Mapping'!W51-601),IF(AND('(橫掃)RX Mapping'!W51&gt;=841,'(橫掃)RX Mapping'!W51&lt;=960), (-1)*('(橫掃)RX Mapping'!W51-960)+120,9999))))))))</f>
        <v>9999</v>
      </c>
      <c r="X51">
        <f>IF(AND('(橫掃)RX Mapping'!X51&gt;=1,'(橫掃)RX Mapping'!X51&lt;=120), ('(橫掃)RX Mapping'!X51-1),IF(AND('(橫掃)RX Mapping'!X51&gt;=121,'(橫掃)RX Mapping'!X51&lt;=240), (-1)*('(橫掃)RX Mapping'!X51-240),IF(AND('(橫掃)RX Mapping'!X51&gt;=241,'(橫掃)RX Mapping'!X51&lt;=360), ('(橫掃)RX Mapping'!X51-241),IF(AND('(橫掃)RX Mapping'!X51&gt;=361,'(橫掃)RX Mapping'!X51&lt;=480), (-1)*('(橫掃)RX Mapping'!X51-480),IF(AND('(橫掃)RX Mapping'!X51&gt;=481,'(橫掃)RX Mapping'!X51&lt;=600), ('(橫掃)RX Mapping'!X51-361),IF(AND('(橫掃)RX Mapping'!X51&gt;=601,'(橫掃)RX Mapping'!X51&lt;=720), (-1)*('(橫掃)RX Mapping'!X51-720)+120,IF(AND('(橫掃)RX Mapping'!X51&gt;=721,'(橫掃)RX Mapping'!X51&lt;=840), ('(橫掃)RX Mapping'!X51-601),IF(AND('(橫掃)RX Mapping'!X51&gt;=841,'(橫掃)RX Mapping'!X51&lt;=960), (-1)*('(橫掃)RX Mapping'!X51-960)+120,9999))))))))</f>
        <v>9999</v>
      </c>
      <c r="Y51">
        <f>IF(AND('(橫掃)RX Mapping'!Y51&gt;=1,'(橫掃)RX Mapping'!Y51&lt;=120), ('(橫掃)RX Mapping'!Y51-1),IF(AND('(橫掃)RX Mapping'!Y51&gt;=121,'(橫掃)RX Mapping'!Y51&lt;=240), (-1)*('(橫掃)RX Mapping'!Y51-240),IF(AND('(橫掃)RX Mapping'!Y51&gt;=241,'(橫掃)RX Mapping'!Y51&lt;=360), ('(橫掃)RX Mapping'!Y51-241),IF(AND('(橫掃)RX Mapping'!Y51&gt;=361,'(橫掃)RX Mapping'!Y51&lt;=480), (-1)*('(橫掃)RX Mapping'!Y51-480),IF(AND('(橫掃)RX Mapping'!Y51&gt;=481,'(橫掃)RX Mapping'!Y51&lt;=600), ('(橫掃)RX Mapping'!Y51-361),IF(AND('(橫掃)RX Mapping'!Y51&gt;=601,'(橫掃)RX Mapping'!Y51&lt;=720), (-1)*('(橫掃)RX Mapping'!Y51-720)+120,IF(AND('(橫掃)RX Mapping'!Y51&gt;=721,'(橫掃)RX Mapping'!Y51&lt;=840), ('(橫掃)RX Mapping'!Y51-601),IF(AND('(橫掃)RX Mapping'!Y51&gt;=841,'(橫掃)RX Mapping'!Y51&lt;=960), (-1)*('(橫掃)RX Mapping'!Y51-960)+120,9999))))))))</f>
        <v>9999</v>
      </c>
      <c r="Z51">
        <f>IF(AND('(橫掃)RX Mapping'!Z51&gt;=1,'(橫掃)RX Mapping'!Z51&lt;=120), ('(橫掃)RX Mapping'!Z51-1),IF(AND('(橫掃)RX Mapping'!Z51&gt;=121,'(橫掃)RX Mapping'!Z51&lt;=240), (-1)*('(橫掃)RX Mapping'!Z51-240),IF(AND('(橫掃)RX Mapping'!Z51&gt;=241,'(橫掃)RX Mapping'!Z51&lt;=360), ('(橫掃)RX Mapping'!Z51-241),IF(AND('(橫掃)RX Mapping'!Z51&gt;=361,'(橫掃)RX Mapping'!Z51&lt;=480), (-1)*('(橫掃)RX Mapping'!Z51-480),IF(AND('(橫掃)RX Mapping'!Z51&gt;=481,'(橫掃)RX Mapping'!Z51&lt;=600), ('(橫掃)RX Mapping'!Z51-361),IF(AND('(橫掃)RX Mapping'!Z51&gt;=601,'(橫掃)RX Mapping'!Z51&lt;=720), (-1)*('(橫掃)RX Mapping'!Z51-720)+120,IF(AND('(橫掃)RX Mapping'!Z51&gt;=721,'(橫掃)RX Mapping'!Z51&lt;=840), ('(橫掃)RX Mapping'!Z51-601),IF(AND('(橫掃)RX Mapping'!Z51&gt;=841,'(橫掃)RX Mapping'!Z51&lt;=960), (-1)*('(橫掃)RX Mapping'!Z51-960)+120,9999))))))))</f>
        <v>9999</v>
      </c>
      <c r="AA51">
        <f>IF(AND('(橫掃)RX Mapping'!AA51&gt;=1,'(橫掃)RX Mapping'!AA51&lt;=120), ('(橫掃)RX Mapping'!AA51-1),IF(AND('(橫掃)RX Mapping'!AA51&gt;=121,'(橫掃)RX Mapping'!AA51&lt;=240), (-1)*('(橫掃)RX Mapping'!AA51-240),IF(AND('(橫掃)RX Mapping'!AA51&gt;=241,'(橫掃)RX Mapping'!AA51&lt;=360), ('(橫掃)RX Mapping'!AA51-241),IF(AND('(橫掃)RX Mapping'!AA51&gt;=361,'(橫掃)RX Mapping'!AA51&lt;=480), (-1)*('(橫掃)RX Mapping'!AA51-480),IF(AND('(橫掃)RX Mapping'!AA51&gt;=481,'(橫掃)RX Mapping'!AA51&lt;=600), ('(橫掃)RX Mapping'!AA51-361),IF(AND('(橫掃)RX Mapping'!AA51&gt;=601,'(橫掃)RX Mapping'!AA51&lt;=720), (-1)*('(橫掃)RX Mapping'!AA51-720)+120,IF(AND('(橫掃)RX Mapping'!AA51&gt;=721,'(橫掃)RX Mapping'!AA51&lt;=840), ('(橫掃)RX Mapping'!AA51-601),IF(AND('(橫掃)RX Mapping'!AA51&gt;=841,'(橫掃)RX Mapping'!AA51&lt;=960), (-1)*('(橫掃)RX Mapping'!AA51-960)+120,9999))))))))</f>
        <v>9999</v>
      </c>
      <c r="AB51">
        <f>IF(AND('(橫掃)RX Mapping'!AB51&gt;=1,'(橫掃)RX Mapping'!AB51&lt;=120), ('(橫掃)RX Mapping'!AB51-1),IF(AND('(橫掃)RX Mapping'!AB51&gt;=121,'(橫掃)RX Mapping'!AB51&lt;=240), (-1)*('(橫掃)RX Mapping'!AB51-240),IF(AND('(橫掃)RX Mapping'!AB51&gt;=241,'(橫掃)RX Mapping'!AB51&lt;=360), ('(橫掃)RX Mapping'!AB51-241),IF(AND('(橫掃)RX Mapping'!AB51&gt;=361,'(橫掃)RX Mapping'!AB51&lt;=480), (-1)*('(橫掃)RX Mapping'!AB51-480),IF(AND('(橫掃)RX Mapping'!AB51&gt;=481,'(橫掃)RX Mapping'!AB51&lt;=600), ('(橫掃)RX Mapping'!AB51-361),IF(AND('(橫掃)RX Mapping'!AB51&gt;=601,'(橫掃)RX Mapping'!AB51&lt;=720), (-1)*('(橫掃)RX Mapping'!AB51-720)+120,IF(AND('(橫掃)RX Mapping'!AB51&gt;=721,'(橫掃)RX Mapping'!AB51&lt;=840), ('(橫掃)RX Mapping'!AB51-601),IF(AND('(橫掃)RX Mapping'!AB51&gt;=841,'(橫掃)RX Mapping'!AB51&lt;=960), (-1)*('(橫掃)RX Mapping'!AB51-960)+120,9999))))))))</f>
        <v>9999</v>
      </c>
      <c r="AC51">
        <f>IF(AND('(橫掃)RX Mapping'!AC51&gt;=1,'(橫掃)RX Mapping'!AC51&lt;=120), ('(橫掃)RX Mapping'!AC51-1),IF(AND('(橫掃)RX Mapping'!AC51&gt;=121,'(橫掃)RX Mapping'!AC51&lt;=240), (-1)*('(橫掃)RX Mapping'!AC51-240),IF(AND('(橫掃)RX Mapping'!AC51&gt;=241,'(橫掃)RX Mapping'!AC51&lt;=360), ('(橫掃)RX Mapping'!AC51-241),IF(AND('(橫掃)RX Mapping'!AC51&gt;=361,'(橫掃)RX Mapping'!AC51&lt;=480), (-1)*('(橫掃)RX Mapping'!AC51-480),IF(AND('(橫掃)RX Mapping'!AC51&gt;=481,'(橫掃)RX Mapping'!AC51&lt;=600), ('(橫掃)RX Mapping'!AC51-361),IF(AND('(橫掃)RX Mapping'!AC51&gt;=601,'(橫掃)RX Mapping'!AC51&lt;=720), (-1)*('(橫掃)RX Mapping'!AC51-720)+120,IF(AND('(橫掃)RX Mapping'!AC51&gt;=721,'(橫掃)RX Mapping'!AC51&lt;=840), ('(橫掃)RX Mapping'!AC51-601),IF(AND('(橫掃)RX Mapping'!AC51&gt;=841,'(橫掃)RX Mapping'!AC51&lt;=960), (-1)*('(橫掃)RX Mapping'!AC51-960)+120,9999))))))))</f>
        <v>9999</v>
      </c>
      <c r="AD51">
        <f>IF(AND('(橫掃)RX Mapping'!AD51&gt;=1,'(橫掃)RX Mapping'!AD51&lt;=120), ('(橫掃)RX Mapping'!AD51-1),IF(AND('(橫掃)RX Mapping'!AD51&gt;=121,'(橫掃)RX Mapping'!AD51&lt;=240), (-1)*('(橫掃)RX Mapping'!AD51-240),IF(AND('(橫掃)RX Mapping'!AD51&gt;=241,'(橫掃)RX Mapping'!AD51&lt;=360), ('(橫掃)RX Mapping'!AD51-241),IF(AND('(橫掃)RX Mapping'!AD51&gt;=361,'(橫掃)RX Mapping'!AD51&lt;=480), (-1)*('(橫掃)RX Mapping'!AD51-480),IF(AND('(橫掃)RX Mapping'!AD51&gt;=481,'(橫掃)RX Mapping'!AD51&lt;=600), ('(橫掃)RX Mapping'!AD51-361),IF(AND('(橫掃)RX Mapping'!AD51&gt;=601,'(橫掃)RX Mapping'!AD51&lt;=720), (-1)*('(橫掃)RX Mapping'!AD51-720)+120,IF(AND('(橫掃)RX Mapping'!AD51&gt;=721,'(橫掃)RX Mapping'!AD51&lt;=840), ('(橫掃)RX Mapping'!AD51-601),IF(AND('(橫掃)RX Mapping'!AD51&gt;=841,'(橫掃)RX Mapping'!AD51&lt;=960), (-1)*('(橫掃)RX Mapping'!AD51-960)+120,9999))))))))</f>
        <v>9999</v>
      </c>
      <c r="AE51">
        <f>IF(AND('(橫掃)RX Mapping'!AE51&gt;=1,'(橫掃)RX Mapping'!AE51&lt;=120), ('(橫掃)RX Mapping'!AE51-1),IF(AND('(橫掃)RX Mapping'!AE51&gt;=121,'(橫掃)RX Mapping'!AE51&lt;=240), (-1)*('(橫掃)RX Mapping'!AE51-240),IF(AND('(橫掃)RX Mapping'!AE51&gt;=241,'(橫掃)RX Mapping'!AE51&lt;=360), ('(橫掃)RX Mapping'!AE51-241),IF(AND('(橫掃)RX Mapping'!AE51&gt;=361,'(橫掃)RX Mapping'!AE51&lt;=480), (-1)*('(橫掃)RX Mapping'!AE51-480),IF(AND('(橫掃)RX Mapping'!AE51&gt;=481,'(橫掃)RX Mapping'!AE51&lt;=600), ('(橫掃)RX Mapping'!AE51-361),IF(AND('(橫掃)RX Mapping'!AE51&gt;=601,'(橫掃)RX Mapping'!AE51&lt;=720), (-1)*('(橫掃)RX Mapping'!AE51-720)+120,IF(AND('(橫掃)RX Mapping'!AE51&gt;=721,'(橫掃)RX Mapping'!AE51&lt;=840), ('(橫掃)RX Mapping'!AE51-601),IF(AND('(橫掃)RX Mapping'!AE51&gt;=841,'(橫掃)RX Mapping'!AE51&lt;=960), (-1)*('(橫掃)RX Mapping'!AE51-960)+120,9999))))))))</f>
        <v>9999</v>
      </c>
      <c r="AF51">
        <f>IF(AND('(橫掃)RX Mapping'!AF51&gt;=1,'(橫掃)RX Mapping'!AF51&lt;=120), ('(橫掃)RX Mapping'!AF51-1),IF(AND('(橫掃)RX Mapping'!AF51&gt;=121,'(橫掃)RX Mapping'!AF51&lt;=240), (-1)*('(橫掃)RX Mapping'!AF51-240),IF(AND('(橫掃)RX Mapping'!AF51&gt;=241,'(橫掃)RX Mapping'!AF51&lt;=360), ('(橫掃)RX Mapping'!AF51-241),IF(AND('(橫掃)RX Mapping'!AF51&gt;=361,'(橫掃)RX Mapping'!AF51&lt;=480), (-1)*('(橫掃)RX Mapping'!AF51-480),IF(AND('(橫掃)RX Mapping'!AF51&gt;=481,'(橫掃)RX Mapping'!AF51&lt;=600), ('(橫掃)RX Mapping'!AF51-361),IF(AND('(橫掃)RX Mapping'!AF51&gt;=601,'(橫掃)RX Mapping'!AF51&lt;=720), (-1)*('(橫掃)RX Mapping'!AF51-720)+120,IF(AND('(橫掃)RX Mapping'!AF51&gt;=721,'(橫掃)RX Mapping'!AF51&lt;=840), ('(橫掃)RX Mapping'!AF51-601),IF(AND('(橫掃)RX Mapping'!AF51&gt;=841,'(橫掃)RX Mapping'!AF51&lt;=960), (-1)*('(橫掃)RX Mapping'!AF51-960)+120,9999))))))))</f>
        <v>9999</v>
      </c>
      <c r="AG51">
        <f>IF(AND('(橫掃)RX Mapping'!AG51&gt;=1,'(橫掃)RX Mapping'!AG51&lt;=120), ('(橫掃)RX Mapping'!AG51-1),IF(AND('(橫掃)RX Mapping'!AG51&gt;=121,'(橫掃)RX Mapping'!AG51&lt;=240), (-1)*('(橫掃)RX Mapping'!AG51-240),IF(AND('(橫掃)RX Mapping'!AG51&gt;=241,'(橫掃)RX Mapping'!AG51&lt;=360), ('(橫掃)RX Mapping'!AG51-241),IF(AND('(橫掃)RX Mapping'!AG51&gt;=361,'(橫掃)RX Mapping'!AG51&lt;=480), (-1)*('(橫掃)RX Mapping'!AG51-480),IF(AND('(橫掃)RX Mapping'!AG51&gt;=481,'(橫掃)RX Mapping'!AG51&lt;=600), ('(橫掃)RX Mapping'!AG51-361),IF(AND('(橫掃)RX Mapping'!AG51&gt;=601,'(橫掃)RX Mapping'!AG51&lt;=720), (-1)*('(橫掃)RX Mapping'!AG51-720)+120,IF(AND('(橫掃)RX Mapping'!AG51&gt;=721,'(橫掃)RX Mapping'!AG51&lt;=840), ('(橫掃)RX Mapping'!AG51-601),IF(AND('(橫掃)RX Mapping'!AG51&gt;=841,'(橫掃)RX Mapping'!AG51&lt;=960), (-1)*('(橫掃)RX Mapping'!AG51-960)+120,9999))))))))</f>
        <v>9999</v>
      </c>
      <c r="AH51">
        <f>IF(AND('(橫掃)RX Mapping'!AH51&gt;=1,'(橫掃)RX Mapping'!AH51&lt;=120), ('(橫掃)RX Mapping'!AH51-1),IF(AND('(橫掃)RX Mapping'!AH51&gt;=121,'(橫掃)RX Mapping'!AH51&lt;=240), (-1)*('(橫掃)RX Mapping'!AH51-240),IF(AND('(橫掃)RX Mapping'!AH51&gt;=241,'(橫掃)RX Mapping'!AH51&lt;=360), ('(橫掃)RX Mapping'!AH51-241),IF(AND('(橫掃)RX Mapping'!AH51&gt;=361,'(橫掃)RX Mapping'!AH51&lt;=480), (-1)*('(橫掃)RX Mapping'!AH51-480),IF(AND('(橫掃)RX Mapping'!AH51&gt;=481,'(橫掃)RX Mapping'!AH51&lt;=600), ('(橫掃)RX Mapping'!AH51-361),IF(AND('(橫掃)RX Mapping'!AH51&gt;=601,'(橫掃)RX Mapping'!AH51&lt;=720), (-1)*('(橫掃)RX Mapping'!AH51-720)+120,IF(AND('(橫掃)RX Mapping'!AH51&gt;=721,'(橫掃)RX Mapping'!AH51&lt;=840), ('(橫掃)RX Mapping'!AH51-601),IF(AND('(橫掃)RX Mapping'!AH51&gt;=841,'(橫掃)RX Mapping'!AH51&lt;=960), (-1)*('(橫掃)RX Mapping'!AH51-960)+120,9999))))))))</f>
        <v>9999</v>
      </c>
      <c r="AI51">
        <f>IF(AND('(橫掃)RX Mapping'!AI51&gt;=1,'(橫掃)RX Mapping'!AI51&lt;=120), ('(橫掃)RX Mapping'!AI51-1),IF(AND('(橫掃)RX Mapping'!AI51&gt;=121,'(橫掃)RX Mapping'!AI51&lt;=240), (-1)*('(橫掃)RX Mapping'!AI51-240),IF(AND('(橫掃)RX Mapping'!AI51&gt;=241,'(橫掃)RX Mapping'!AI51&lt;=360), ('(橫掃)RX Mapping'!AI51-241),IF(AND('(橫掃)RX Mapping'!AI51&gt;=361,'(橫掃)RX Mapping'!AI51&lt;=480), (-1)*('(橫掃)RX Mapping'!AI51-480),IF(AND('(橫掃)RX Mapping'!AI51&gt;=481,'(橫掃)RX Mapping'!AI51&lt;=600), ('(橫掃)RX Mapping'!AI51-361),IF(AND('(橫掃)RX Mapping'!AI51&gt;=601,'(橫掃)RX Mapping'!AI51&lt;=720), (-1)*('(橫掃)RX Mapping'!AI51-720)+120,IF(AND('(橫掃)RX Mapping'!AI51&gt;=721,'(橫掃)RX Mapping'!AI51&lt;=840), ('(橫掃)RX Mapping'!AI51-601),IF(AND('(橫掃)RX Mapping'!AI51&gt;=841,'(橫掃)RX Mapping'!AI51&lt;=960), (-1)*('(橫掃)RX Mapping'!AI51-960)+120,9999))))))))</f>
        <v>9999</v>
      </c>
      <c r="AJ51">
        <f>IF(AND('(橫掃)RX Mapping'!AJ51&gt;=1,'(橫掃)RX Mapping'!AJ51&lt;=120), ('(橫掃)RX Mapping'!AJ51-1),IF(AND('(橫掃)RX Mapping'!AJ51&gt;=121,'(橫掃)RX Mapping'!AJ51&lt;=240), (-1)*('(橫掃)RX Mapping'!AJ51-240),IF(AND('(橫掃)RX Mapping'!AJ51&gt;=241,'(橫掃)RX Mapping'!AJ51&lt;=360), ('(橫掃)RX Mapping'!AJ51-241),IF(AND('(橫掃)RX Mapping'!AJ51&gt;=361,'(橫掃)RX Mapping'!AJ51&lt;=480), (-1)*('(橫掃)RX Mapping'!AJ51-480),IF(AND('(橫掃)RX Mapping'!AJ51&gt;=481,'(橫掃)RX Mapping'!AJ51&lt;=600), ('(橫掃)RX Mapping'!AJ51-361),IF(AND('(橫掃)RX Mapping'!AJ51&gt;=601,'(橫掃)RX Mapping'!AJ51&lt;=720), (-1)*('(橫掃)RX Mapping'!AJ51-720)+120,IF(AND('(橫掃)RX Mapping'!AJ51&gt;=721,'(橫掃)RX Mapping'!AJ51&lt;=840), ('(橫掃)RX Mapping'!AJ51-601),IF(AND('(橫掃)RX Mapping'!AJ51&gt;=841,'(橫掃)RX Mapping'!AJ51&lt;=960), (-1)*('(橫掃)RX Mapping'!AJ51-960)+120,9999))))))))</f>
        <v>9999</v>
      </c>
      <c r="AK51">
        <f>IF(AND('(橫掃)RX Mapping'!AK51&gt;=1,'(橫掃)RX Mapping'!AK51&lt;=120), ('(橫掃)RX Mapping'!AK51-1),IF(AND('(橫掃)RX Mapping'!AK51&gt;=121,'(橫掃)RX Mapping'!AK51&lt;=240), (-1)*('(橫掃)RX Mapping'!AK51-240),IF(AND('(橫掃)RX Mapping'!AK51&gt;=241,'(橫掃)RX Mapping'!AK51&lt;=360), ('(橫掃)RX Mapping'!AK51-241),IF(AND('(橫掃)RX Mapping'!AK51&gt;=361,'(橫掃)RX Mapping'!AK51&lt;=480), (-1)*('(橫掃)RX Mapping'!AK51-480),IF(AND('(橫掃)RX Mapping'!AK51&gt;=481,'(橫掃)RX Mapping'!AK51&lt;=600), ('(橫掃)RX Mapping'!AK51-361),IF(AND('(橫掃)RX Mapping'!AK51&gt;=601,'(橫掃)RX Mapping'!AK51&lt;=720), (-1)*('(橫掃)RX Mapping'!AK51-720)+120,IF(AND('(橫掃)RX Mapping'!AK51&gt;=721,'(橫掃)RX Mapping'!AK51&lt;=840), ('(橫掃)RX Mapping'!AK51-601),IF(AND('(橫掃)RX Mapping'!AK51&gt;=841,'(橫掃)RX Mapping'!AK51&lt;=960), (-1)*('(橫掃)RX Mapping'!AK51-960)+120,9999))))))))</f>
        <v>9999</v>
      </c>
      <c r="AL51">
        <f>IF(AND('(橫掃)RX Mapping'!AL51&gt;=1,'(橫掃)RX Mapping'!AL51&lt;=120), ('(橫掃)RX Mapping'!AL51-1),IF(AND('(橫掃)RX Mapping'!AL51&gt;=121,'(橫掃)RX Mapping'!AL51&lt;=240), (-1)*('(橫掃)RX Mapping'!AL51-240),IF(AND('(橫掃)RX Mapping'!AL51&gt;=241,'(橫掃)RX Mapping'!AL51&lt;=360), ('(橫掃)RX Mapping'!AL51-241),IF(AND('(橫掃)RX Mapping'!AL51&gt;=361,'(橫掃)RX Mapping'!AL51&lt;=480), (-1)*('(橫掃)RX Mapping'!AL51-480),IF(AND('(橫掃)RX Mapping'!AL51&gt;=481,'(橫掃)RX Mapping'!AL51&lt;=600), ('(橫掃)RX Mapping'!AL51-361),IF(AND('(橫掃)RX Mapping'!AL51&gt;=601,'(橫掃)RX Mapping'!AL51&lt;=720), (-1)*('(橫掃)RX Mapping'!AL51-720)+120,IF(AND('(橫掃)RX Mapping'!AL51&gt;=721,'(橫掃)RX Mapping'!AL51&lt;=840), ('(橫掃)RX Mapping'!AL51-601),IF(AND('(橫掃)RX Mapping'!AL51&gt;=841,'(橫掃)RX Mapping'!AL51&lt;=960), (-1)*('(橫掃)RX Mapping'!AL51-960)+120,9999))))))))</f>
        <v>9999</v>
      </c>
      <c r="AM51">
        <f>IF(AND('(橫掃)RX Mapping'!AM51&gt;=1,'(橫掃)RX Mapping'!AM51&lt;=120), ('(橫掃)RX Mapping'!AM51-1),IF(AND('(橫掃)RX Mapping'!AM51&gt;=121,'(橫掃)RX Mapping'!AM51&lt;=240), (-1)*('(橫掃)RX Mapping'!AM51-240),IF(AND('(橫掃)RX Mapping'!AM51&gt;=241,'(橫掃)RX Mapping'!AM51&lt;=360), ('(橫掃)RX Mapping'!AM51-241),IF(AND('(橫掃)RX Mapping'!AM51&gt;=361,'(橫掃)RX Mapping'!AM51&lt;=480), (-1)*('(橫掃)RX Mapping'!AM51-480),IF(AND('(橫掃)RX Mapping'!AM51&gt;=481,'(橫掃)RX Mapping'!AM51&lt;=600), ('(橫掃)RX Mapping'!AM51-361),IF(AND('(橫掃)RX Mapping'!AM51&gt;=601,'(橫掃)RX Mapping'!AM51&lt;=720), (-1)*('(橫掃)RX Mapping'!AM51-720)+120,IF(AND('(橫掃)RX Mapping'!AM51&gt;=721,'(橫掃)RX Mapping'!AM51&lt;=840), ('(橫掃)RX Mapping'!AM51-601),IF(AND('(橫掃)RX Mapping'!AM51&gt;=841,'(橫掃)RX Mapping'!AM51&lt;=960), (-1)*('(橫掃)RX Mapping'!AM51-960)+120,9999))))))))</f>
        <v>9999</v>
      </c>
      <c r="AN51">
        <f>IF(AND('(橫掃)RX Mapping'!AN51&gt;=1,'(橫掃)RX Mapping'!AN51&lt;=120), ('(橫掃)RX Mapping'!AN51-1),IF(AND('(橫掃)RX Mapping'!AN51&gt;=121,'(橫掃)RX Mapping'!AN51&lt;=240), (-1)*('(橫掃)RX Mapping'!AN51-240),IF(AND('(橫掃)RX Mapping'!AN51&gt;=241,'(橫掃)RX Mapping'!AN51&lt;=360), ('(橫掃)RX Mapping'!AN51-241),IF(AND('(橫掃)RX Mapping'!AN51&gt;=361,'(橫掃)RX Mapping'!AN51&lt;=480), (-1)*('(橫掃)RX Mapping'!AN51-480),IF(AND('(橫掃)RX Mapping'!AN51&gt;=481,'(橫掃)RX Mapping'!AN51&lt;=600), ('(橫掃)RX Mapping'!AN51-361),IF(AND('(橫掃)RX Mapping'!AN51&gt;=601,'(橫掃)RX Mapping'!AN51&lt;=720), (-1)*('(橫掃)RX Mapping'!AN51-720)+120,IF(AND('(橫掃)RX Mapping'!AN51&gt;=721,'(橫掃)RX Mapping'!AN51&lt;=840), ('(橫掃)RX Mapping'!AN51-601),IF(AND('(橫掃)RX Mapping'!AN51&gt;=841,'(橫掃)RX Mapping'!AN51&lt;=960), (-1)*('(橫掃)RX Mapping'!AN51-960)+120,9999))))))))</f>
        <v>9999</v>
      </c>
      <c r="AO51">
        <f>IF(AND('(橫掃)RX Mapping'!AO51&gt;=1,'(橫掃)RX Mapping'!AO51&lt;=120), ('(橫掃)RX Mapping'!AO51-1),IF(AND('(橫掃)RX Mapping'!AO51&gt;=121,'(橫掃)RX Mapping'!AO51&lt;=240), (-1)*('(橫掃)RX Mapping'!AO51-240),IF(AND('(橫掃)RX Mapping'!AO51&gt;=241,'(橫掃)RX Mapping'!AO51&lt;=360), ('(橫掃)RX Mapping'!AO51-241),IF(AND('(橫掃)RX Mapping'!AO51&gt;=361,'(橫掃)RX Mapping'!AO51&lt;=480), (-1)*('(橫掃)RX Mapping'!AO51-480),IF(AND('(橫掃)RX Mapping'!AO51&gt;=481,'(橫掃)RX Mapping'!AO51&lt;=600), ('(橫掃)RX Mapping'!AO51-361),IF(AND('(橫掃)RX Mapping'!AO51&gt;=601,'(橫掃)RX Mapping'!AO51&lt;=720), (-1)*('(橫掃)RX Mapping'!AO51-720)+120,IF(AND('(橫掃)RX Mapping'!AO51&gt;=721,'(橫掃)RX Mapping'!AO51&lt;=840), ('(橫掃)RX Mapping'!AO51-601),IF(AND('(橫掃)RX Mapping'!AO51&gt;=841,'(橫掃)RX Mapping'!AO51&lt;=960), (-1)*('(橫掃)RX Mapping'!AO51-960)+120,9999))))))))</f>
        <v>9999</v>
      </c>
      <c r="AP51">
        <f>IF(AND('(橫掃)RX Mapping'!AP51&gt;=1,'(橫掃)RX Mapping'!AP51&lt;=120), ('(橫掃)RX Mapping'!AP51-1),IF(AND('(橫掃)RX Mapping'!AP51&gt;=121,'(橫掃)RX Mapping'!AP51&lt;=240), (-1)*('(橫掃)RX Mapping'!AP51-240),IF(AND('(橫掃)RX Mapping'!AP51&gt;=241,'(橫掃)RX Mapping'!AP51&lt;=360), ('(橫掃)RX Mapping'!AP51-241),IF(AND('(橫掃)RX Mapping'!AP51&gt;=361,'(橫掃)RX Mapping'!AP51&lt;=480), (-1)*('(橫掃)RX Mapping'!AP51-480),IF(AND('(橫掃)RX Mapping'!AP51&gt;=481,'(橫掃)RX Mapping'!AP51&lt;=600), ('(橫掃)RX Mapping'!AP51-361),IF(AND('(橫掃)RX Mapping'!AP51&gt;=601,'(橫掃)RX Mapping'!AP51&lt;=720), (-1)*('(橫掃)RX Mapping'!AP51-720)+120,IF(AND('(橫掃)RX Mapping'!AP51&gt;=721,'(橫掃)RX Mapping'!AP51&lt;=840), ('(橫掃)RX Mapping'!AP51-601),IF(AND('(橫掃)RX Mapping'!AP51&gt;=841,'(橫掃)RX Mapping'!AP51&lt;=960), (-1)*('(橫掃)RX Mapping'!AP51-960)+120,9999))))))))</f>
        <v>9999</v>
      </c>
      <c r="AQ51">
        <f>IF(AND('(橫掃)RX Mapping'!AQ51&gt;=1,'(橫掃)RX Mapping'!AQ51&lt;=120), ('(橫掃)RX Mapping'!AQ51-1),IF(AND('(橫掃)RX Mapping'!AQ51&gt;=121,'(橫掃)RX Mapping'!AQ51&lt;=240), (-1)*('(橫掃)RX Mapping'!AQ51-240),IF(AND('(橫掃)RX Mapping'!AQ51&gt;=241,'(橫掃)RX Mapping'!AQ51&lt;=360), ('(橫掃)RX Mapping'!AQ51-241),IF(AND('(橫掃)RX Mapping'!AQ51&gt;=361,'(橫掃)RX Mapping'!AQ51&lt;=480), (-1)*('(橫掃)RX Mapping'!AQ51-480),IF(AND('(橫掃)RX Mapping'!AQ51&gt;=481,'(橫掃)RX Mapping'!AQ51&lt;=600), ('(橫掃)RX Mapping'!AQ51-361),IF(AND('(橫掃)RX Mapping'!AQ51&gt;=601,'(橫掃)RX Mapping'!AQ51&lt;=720), (-1)*('(橫掃)RX Mapping'!AQ51-720)+120,IF(AND('(橫掃)RX Mapping'!AQ51&gt;=721,'(橫掃)RX Mapping'!AQ51&lt;=840), ('(橫掃)RX Mapping'!AQ51-601),IF(AND('(橫掃)RX Mapping'!AQ51&gt;=841,'(橫掃)RX Mapping'!AQ51&lt;=960), (-1)*('(橫掃)RX Mapping'!AQ51-960)+120,9999))))))))</f>
        <v>9999</v>
      </c>
      <c r="AR51">
        <f>IF(AND('(橫掃)RX Mapping'!AR51&gt;=1,'(橫掃)RX Mapping'!AR51&lt;=120), ('(橫掃)RX Mapping'!AR51-1),IF(AND('(橫掃)RX Mapping'!AR51&gt;=121,'(橫掃)RX Mapping'!AR51&lt;=240), (-1)*('(橫掃)RX Mapping'!AR51-240),IF(AND('(橫掃)RX Mapping'!AR51&gt;=241,'(橫掃)RX Mapping'!AR51&lt;=360), ('(橫掃)RX Mapping'!AR51-241),IF(AND('(橫掃)RX Mapping'!AR51&gt;=361,'(橫掃)RX Mapping'!AR51&lt;=480), (-1)*('(橫掃)RX Mapping'!AR51-480),IF(AND('(橫掃)RX Mapping'!AR51&gt;=481,'(橫掃)RX Mapping'!AR51&lt;=600), ('(橫掃)RX Mapping'!AR51-361),IF(AND('(橫掃)RX Mapping'!AR51&gt;=601,'(橫掃)RX Mapping'!AR51&lt;=720), (-1)*('(橫掃)RX Mapping'!AR51-720)+120,IF(AND('(橫掃)RX Mapping'!AR51&gt;=721,'(橫掃)RX Mapping'!AR51&lt;=840), ('(橫掃)RX Mapping'!AR51-601),IF(AND('(橫掃)RX Mapping'!AR51&gt;=841,'(橫掃)RX Mapping'!AR51&lt;=960), (-1)*('(橫掃)RX Mapping'!AR51-960)+120,9999))))))))</f>
        <v>9999</v>
      </c>
      <c r="AS51">
        <f>IF(AND('(橫掃)RX Mapping'!AS51&gt;=1,'(橫掃)RX Mapping'!AS51&lt;=120), ('(橫掃)RX Mapping'!AS51-1),IF(AND('(橫掃)RX Mapping'!AS51&gt;=121,'(橫掃)RX Mapping'!AS51&lt;=240), (-1)*('(橫掃)RX Mapping'!AS51-240),IF(AND('(橫掃)RX Mapping'!AS51&gt;=241,'(橫掃)RX Mapping'!AS51&lt;=360), ('(橫掃)RX Mapping'!AS51-241),IF(AND('(橫掃)RX Mapping'!AS51&gt;=361,'(橫掃)RX Mapping'!AS51&lt;=480), (-1)*('(橫掃)RX Mapping'!AS51-480),IF(AND('(橫掃)RX Mapping'!AS51&gt;=481,'(橫掃)RX Mapping'!AS51&lt;=600), ('(橫掃)RX Mapping'!AS51-361),IF(AND('(橫掃)RX Mapping'!AS51&gt;=601,'(橫掃)RX Mapping'!AS51&lt;=720), (-1)*('(橫掃)RX Mapping'!AS51-720)+120,IF(AND('(橫掃)RX Mapping'!AS51&gt;=721,'(橫掃)RX Mapping'!AS51&lt;=840), ('(橫掃)RX Mapping'!AS51-601),IF(AND('(橫掃)RX Mapping'!AS51&gt;=841,'(橫掃)RX Mapping'!AS51&lt;=960), (-1)*('(橫掃)RX Mapping'!AS51-960)+120,9999))))))))</f>
        <v>9999</v>
      </c>
      <c r="AT51">
        <f>IF(AND('(橫掃)RX Mapping'!AT51&gt;=1,'(橫掃)RX Mapping'!AT51&lt;=120), ('(橫掃)RX Mapping'!AT51-1),IF(AND('(橫掃)RX Mapping'!AT51&gt;=121,'(橫掃)RX Mapping'!AT51&lt;=240), (-1)*('(橫掃)RX Mapping'!AT51-240),IF(AND('(橫掃)RX Mapping'!AT51&gt;=241,'(橫掃)RX Mapping'!AT51&lt;=360), ('(橫掃)RX Mapping'!AT51-241),IF(AND('(橫掃)RX Mapping'!AT51&gt;=361,'(橫掃)RX Mapping'!AT51&lt;=480), (-1)*('(橫掃)RX Mapping'!AT51-480),IF(AND('(橫掃)RX Mapping'!AT51&gt;=481,'(橫掃)RX Mapping'!AT51&lt;=600), ('(橫掃)RX Mapping'!AT51-361),IF(AND('(橫掃)RX Mapping'!AT51&gt;=601,'(橫掃)RX Mapping'!AT51&lt;=720), (-1)*('(橫掃)RX Mapping'!AT51-720)+120,IF(AND('(橫掃)RX Mapping'!AT51&gt;=721,'(橫掃)RX Mapping'!AT51&lt;=840), ('(橫掃)RX Mapping'!AT51-601),IF(AND('(橫掃)RX Mapping'!AT51&gt;=841,'(橫掃)RX Mapping'!AT51&lt;=960), (-1)*('(橫掃)RX Mapping'!AT51-960)+120,9999))))))))</f>
        <v>9999</v>
      </c>
      <c r="AU51">
        <f>IF(AND('(橫掃)RX Mapping'!AU51&gt;=1,'(橫掃)RX Mapping'!AU51&lt;=120), ('(橫掃)RX Mapping'!AU51-1),IF(AND('(橫掃)RX Mapping'!AU51&gt;=121,'(橫掃)RX Mapping'!AU51&lt;=240), (-1)*('(橫掃)RX Mapping'!AU51-240),IF(AND('(橫掃)RX Mapping'!AU51&gt;=241,'(橫掃)RX Mapping'!AU51&lt;=360), ('(橫掃)RX Mapping'!AU51-241),IF(AND('(橫掃)RX Mapping'!AU51&gt;=361,'(橫掃)RX Mapping'!AU51&lt;=480), (-1)*('(橫掃)RX Mapping'!AU51-480),IF(AND('(橫掃)RX Mapping'!AU51&gt;=481,'(橫掃)RX Mapping'!AU51&lt;=600), ('(橫掃)RX Mapping'!AU51-361),IF(AND('(橫掃)RX Mapping'!AU51&gt;=601,'(橫掃)RX Mapping'!AU51&lt;=720), (-1)*('(橫掃)RX Mapping'!AU51-720)+120,IF(AND('(橫掃)RX Mapping'!AU51&gt;=721,'(橫掃)RX Mapping'!AU51&lt;=840), ('(橫掃)RX Mapping'!AU51-601),IF(AND('(橫掃)RX Mapping'!AU51&gt;=841,'(橫掃)RX Mapping'!AU51&lt;=960), (-1)*('(橫掃)RX Mapping'!AU51-960)+120,9999))))))))</f>
        <v>9999</v>
      </c>
      <c r="AV51">
        <f>IF(AND('(橫掃)RX Mapping'!AV51&gt;=1,'(橫掃)RX Mapping'!AV51&lt;=120), ('(橫掃)RX Mapping'!AV51-1),IF(AND('(橫掃)RX Mapping'!AV51&gt;=121,'(橫掃)RX Mapping'!AV51&lt;=240), (-1)*('(橫掃)RX Mapping'!AV51-240),IF(AND('(橫掃)RX Mapping'!AV51&gt;=241,'(橫掃)RX Mapping'!AV51&lt;=360), ('(橫掃)RX Mapping'!AV51-241),IF(AND('(橫掃)RX Mapping'!AV51&gt;=361,'(橫掃)RX Mapping'!AV51&lt;=480), (-1)*('(橫掃)RX Mapping'!AV51-480),IF(AND('(橫掃)RX Mapping'!AV51&gt;=481,'(橫掃)RX Mapping'!AV51&lt;=600), ('(橫掃)RX Mapping'!AV51-361),IF(AND('(橫掃)RX Mapping'!AV51&gt;=601,'(橫掃)RX Mapping'!AV51&lt;=720), (-1)*('(橫掃)RX Mapping'!AV51-720)+120,IF(AND('(橫掃)RX Mapping'!AV51&gt;=721,'(橫掃)RX Mapping'!AV51&lt;=840), ('(橫掃)RX Mapping'!AV51-601),IF(AND('(橫掃)RX Mapping'!AV51&gt;=841,'(橫掃)RX Mapping'!AV51&lt;=960), (-1)*('(橫掃)RX Mapping'!AV51-960)+120,9999))))))))</f>
        <v>9999</v>
      </c>
      <c r="AW51">
        <f>IF(AND('(橫掃)RX Mapping'!AW51&gt;=1,'(橫掃)RX Mapping'!AW51&lt;=120), ('(橫掃)RX Mapping'!AW51-1),IF(AND('(橫掃)RX Mapping'!AW51&gt;=121,'(橫掃)RX Mapping'!AW51&lt;=240), (-1)*('(橫掃)RX Mapping'!AW51-240),IF(AND('(橫掃)RX Mapping'!AW51&gt;=241,'(橫掃)RX Mapping'!AW51&lt;=360), ('(橫掃)RX Mapping'!AW51-241),IF(AND('(橫掃)RX Mapping'!AW51&gt;=361,'(橫掃)RX Mapping'!AW51&lt;=480), (-1)*('(橫掃)RX Mapping'!AW51-480),IF(AND('(橫掃)RX Mapping'!AW51&gt;=481,'(橫掃)RX Mapping'!AW51&lt;=600), ('(橫掃)RX Mapping'!AW51-361),IF(AND('(橫掃)RX Mapping'!AW51&gt;=601,'(橫掃)RX Mapping'!AW51&lt;=720), (-1)*('(橫掃)RX Mapping'!AW51-720)+120,IF(AND('(橫掃)RX Mapping'!AW51&gt;=721,'(橫掃)RX Mapping'!AW51&lt;=840), ('(橫掃)RX Mapping'!AW51-601),IF(AND('(橫掃)RX Mapping'!AW51&gt;=841,'(橫掃)RX Mapping'!AW51&lt;=960), (-1)*('(橫掃)RX Mapping'!AW51-960)+120,9999))))))))</f>
        <v>9999</v>
      </c>
      <c r="AX51">
        <f>IF(AND('(橫掃)RX Mapping'!AX51&gt;=1,'(橫掃)RX Mapping'!AX51&lt;=120), ('(橫掃)RX Mapping'!AX51-1),IF(AND('(橫掃)RX Mapping'!AX51&gt;=121,'(橫掃)RX Mapping'!AX51&lt;=240), (-1)*('(橫掃)RX Mapping'!AX51-240),IF(AND('(橫掃)RX Mapping'!AX51&gt;=241,'(橫掃)RX Mapping'!AX51&lt;=360), ('(橫掃)RX Mapping'!AX51-241),IF(AND('(橫掃)RX Mapping'!AX51&gt;=361,'(橫掃)RX Mapping'!AX51&lt;=480), (-1)*('(橫掃)RX Mapping'!AX51-480),IF(AND('(橫掃)RX Mapping'!AX51&gt;=481,'(橫掃)RX Mapping'!AX51&lt;=600), ('(橫掃)RX Mapping'!AX51-361),IF(AND('(橫掃)RX Mapping'!AX51&gt;=601,'(橫掃)RX Mapping'!AX51&lt;=720), (-1)*('(橫掃)RX Mapping'!AX51-720)+120,IF(AND('(橫掃)RX Mapping'!AX51&gt;=721,'(橫掃)RX Mapping'!AX51&lt;=840), ('(橫掃)RX Mapping'!AX51-601),IF(AND('(橫掃)RX Mapping'!AX51&gt;=841,'(橫掃)RX Mapping'!AX51&lt;=960), (-1)*('(橫掃)RX Mapping'!AX51-960)+120,9999))))))))</f>
        <v>9999</v>
      </c>
      <c r="AY51">
        <f>IF(AND('(橫掃)RX Mapping'!AY51&gt;=1,'(橫掃)RX Mapping'!AY51&lt;=120), ('(橫掃)RX Mapping'!AY51-1),IF(AND('(橫掃)RX Mapping'!AY51&gt;=121,'(橫掃)RX Mapping'!AY51&lt;=240), (-1)*('(橫掃)RX Mapping'!AY51-240),IF(AND('(橫掃)RX Mapping'!AY51&gt;=241,'(橫掃)RX Mapping'!AY51&lt;=360), ('(橫掃)RX Mapping'!AY51-241),IF(AND('(橫掃)RX Mapping'!AY51&gt;=361,'(橫掃)RX Mapping'!AY51&lt;=480), (-1)*('(橫掃)RX Mapping'!AY51-480),IF(AND('(橫掃)RX Mapping'!AY51&gt;=481,'(橫掃)RX Mapping'!AY51&lt;=600), ('(橫掃)RX Mapping'!AY51-361),IF(AND('(橫掃)RX Mapping'!AY51&gt;=601,'(橫掃)RX Mapping'!AY51&lt;=720), (-1)*('(橫掃)RX Mapping'!AY51-720)+120,IF(AND('(橫掃)RX Mapping'!AY51&gt;=721,'(橫掃)RX Mapping'!AY51&lt;=840), ('(橫掃)RX Mapping'!AY51-601),IF(AND('(橫掃)RX Mapping'!AY51&gt;=841,'(橫掃)RX Mapping'!AY51&lt;=960), (-1)*('(橫掃)RX Mapping'!AY51-960)+120,9999))))))))</f>
        <v>9999</v>
      </c>
      <c r="AZ51">
        <f>IF(AND('(橫掃)RX Mapping'!AZ51&gt;=1,'(橫掃)RX Mapping'!AZ51&lt;=120), ('(橫掃)RX Mapping'!AZ51-1),IF(AND('(橫掃)RX Mapping'!AZ51&gt;=121,'(橫掃)RX Mapping'!AZ51&lt;=240), (-1)*('(橫掃)RX Mapping'!AZ51-240),IF(AND('(橫掃)RX Mapping'!AZ51&gt;=241,'(橫掃)RX Mapping'!AZ51&lt;=360), ('(橫掃)RX Mapping'!AZ51-241),IF(AND('(橫掃)RX Mapping'!AZ51&gt;=361,'(橫掃)RX Mapping'!AZ51&lt;=480), (-1)*('(橫掃)RX Mapping'!AZ51-480),IF(AND('(橫掃)RX Mapping'!AZ51&gt;=481,'(橫掃)RX Mapping'!AZ51&lt;=600), ('(橫掃)RX Mapping'!AZ51-361),IF(AND('(橫掃)RX Mapping'!AZ51&gt;=601,'(橫掃)RX Mapping'!AZ51&lt;=720), (-1)*('(橫掃)RX Mapping'!AZ51-720)+120,IF(AND('(橫掃)RX Mapping'!AZ51&gt;=721,'(橫掃)RX Mapping'!AZ51&lt;=840), ('(橫掃)RX Mapping'!AZ51-601),IF(AND('(橫掃)RX Mapping'!AZ51&gt;=841,'(橫掃)RX Mapping'!AZ51&lt;=960), (-1)*('(橫掃)RX Mapping'!AZ51-960)+120,9999))))))))</f>
        <v>9999</v>
      </c>
      <c r="BA51">
        <f>IF(AND('(橫掃)RX Mapping'!BA51&gt;=1,'(橫掃)RX Mapping'!BA51&lt;=120), ('(橫掃)RX Mapping'!BA51-1),IF(AND('(橫掃)RX Mapping'!BA51&gt;=121,'(橫掃)RX Mapping'!BA51&lt;=240), (-1)*('(橫掃)RX Mapping'!BA51-240),IF(AND('(橫掃)RX Mapping'!BA51&gt;=241,'(橫掃)RX Mapping'!BA51&lt;=360), ('(橫掃)RX Mapping'!BA51-241),IF(AND('(橫掃)RX Mapping'!BA51&gt;=361,'(橫掃)RX Mapping'!BA51&lt;=480), (-1)*('(橫掃)RX Mapping'!BA51-480),IF(AND('(橫掃)RX Mapping'!BA51&gt;=481,'(橫掃)RX Mapping'!BA51&lt;=600), ('(橫掃)RX Mapping'!BA51-361),IF(AND('(橫掃)RX Mapping'!BA51&gt;=601,'(橫掃)RX Mapping'!BA51&lt;=720), (-1)*('(橫掃)RX Mapping'!BA51-720)+120,IF(AND('(橫掃)RX Mapping'!BA51&gt;=721,'(橫掃)RX Mapping'!BA51&lt;=840), ('(橫掃)RX Mapping'!BA51-601),IF(AND('(橫掃)RX Mapping'!BA51&gt;=841,'(橫掃)RX Mapping'!BA51&lt;=960), (-1)*('(橫掃)RX Mapping'!BA51-960)+120,9999))))))))</f>
        <v>9999</v>
      </c>
      <c r="BB51">
        <f>IF(AND('(橫掃)RX Mapping'!BB51&gt;=1,'(橫掃)RX Mapping'!BB51&lt;=120), ('(橫掃)RX Mapping'!BB51-1),IF(AND('(橫掃)RX Mapping'!BB51&gt;=121,'(橫掃)RX Mapping'!BB51&lt;=240), (-1)*('(橫掃)RX Mapping'!BB51-240),IF(AND('(橫掃)RX Mapping'!BB51&gt;=241,'(橫掃)RX Mapping'!BB51&lt;=360), ('(橫掃)RX Mapping'!BB51-241),IF(AND('(橫掃)RX Mapping'!BB51&gt;=361,'(橫掃)RX Mapping'!BB51&lt;=480), (-1)*('(橫掃)RX Mapping'!BB51-480),IF(AND('(橫掃)RX Mapping'!BB51&gt;=481,'(橫掃)RX Mapping'!BB51&lt;=600), ('(橫掃)RX Mapping'!BB51-361),IF(AND('(橫掃)RX Mapping'!BB51&gt;=601,'(橫掃)RX Mapping'!BB51&lt;=720), (-1)*('(橫掃)RX Mapping'!BB51-720)+120,IF(AND('(橫掃)RX Mapping'!BB51&gt;=721,'(橫掃)RX Mapping'!BB51&lt;=840), ('(橫掃)RX Mapping'!BB51-601),IF(AND('(橫掃)RX Mapping'!BB51&gt;=841,'(橫掃)RX Mapping'!BB51&lt;=960), (-1)*('(橫掃)RX Mapping'!BB51-960)+120,9999))))))))</f>
        <v>9999</v>
      </c>
      <c r="BC51">
        <f>IF(AND('(橫掃)RX Mapping'!BC51&gt;=1,'(橫掃)RX Mapping'!BC51&lt;=120), ('(橫掃)RX Mapping'!BC51-1),IF(AND('(橫掃)RX Mapping'!BC51&gt;=121,'(橫掃)RX Mapping'!BC51&lt;=240), (-1)*('(橫掃)RX Mapping'!BC51-240),IF(AND('(橫掃)RX Mapping'!BC51&gt;=241,'(橫掃)RX Mapping'!BC51&lt;=360), ('(橫掃)RX Mapping'!BC51-241),IF(AND('(橫掃)RX Mapping'!BC51&gt;=361,'(橫掃)RX Mapping'!BC51&lt;=480), (-1)*('(橫掃)RX Mapping'!BC51-480),IF(AND('(橫掃)RX Mapping'!BC51&gt;=481,'(橫掃)RX Mapping'!BC51&lt;=600), ('(橫掃)RX Mapping'!BC51-361),IF(AND('(橫掃)RX Mapping'!BC51&gt;=601,'(橫掃)RX Mapping'!BC51&lt;=720), (-1)*('(橫掃)RX Mapping'!BC51-720)+120,IF(AND('(橫掃)RX Mapping'!BC51&gt;=721,'(橫掃)RX Mapping'!BC51&lt;=840), ('(橫掃)RX Mapping'!BC51-601),IF(AND('(橫掃)RX Mapping'!BC51&gt;=841,'(橫掃)RX Mapping'!BC51&lt;=960), (-1)*('(橫掃)RX Mapping'!BC51-960)+120,9999))))))))</f>
        <v>9999</v>
      </c>
      <c r="BD51">
        <f>IF(AND('(橫掃)RX Mapping'!BD51&gt;=1,'(橫掃)RX Mapping'!BD51&lt;=120), ('(橫掃)RX Mapping'!BD51-1),IF(AND('(橫掃)RX Mapping'!BD51&gt;=121,'(橫掃)RX Mapping'!BD51&lt;=240), (-1)*('(橫掃)RX Mapping'!BD51-240),IF(AND('(橫掃)RX Mapping'!BD51&gt;=241,'(橫掃)RX Mapping'!BD51&lt;=360), ('(橫掃)RX Mapping'!BD51-241),IF(AND('(橫掃)RX Mapping'!BD51&gt;=361,'(橫掃)RX Mapping'!BD51&lt;=480), (-1)*('(橫掃)RX Mapping'!BD51-480),IF(AND('(橫掃)RX Mapping'!BD51&gt;=481,'(橫掃)RX Mapping'!BD51&lt;=600), ('(橫掃)RX Mapping'!BD51-361),IF(AND('(橫掃)RX Mapping'!BD51&gt;=601,'(橫掃)RX Mapping'!BD51&lt;=720), (-1)*('(橫掃)RX Mapping'!BD51-720)+120,IF(AND('(橫掃)RX Mapping'!BD51&gt;=721,'(橫掃)RX Mapping'!BD51&lt;=840), ('(橫掃)RX Mapping'!BD51-601),IF(AND('(橫掃)RX Mapping'!BD51&gt;=841,'(橫掃)RX Mapping'!BD51&lt;=960), (-1)*('(橫掃)RX Mapping'!BD51-960)+120,9999))))))))</f>
        <v>9999</v>
      </c>
      <c r="BE51">
        <f>IF(AND('(橫掃)RX Mapping'!BE51&gt;=1,'(橫掃)RX Mapping'!BE51&lt;=120), ('(橫掃)RX Mapping'!BE51-1),IF(AND('(橫掃)RX Mapping'!BE51&gt;=121,'(橫掃)RX Mapping'!BE51&lt;=240), (-1)*('(橫掃)RX Mapping'!BE51-240),IF(AND('(橫掃)RX Mapping'!BE51&gt;=241,'(橫掃)RX Mapping'!BE51&lt;=360), ('(橫掃)RX Mapping'!BE51-241),IF(AND('(橫掃)RX Mapping'!BE51&gt;=361,'(橫掃)RX Mapping'!BE51&lt;=480), (-1)*('(橫掃)RX Mapping'!BE51-480),IF(AND('(橫掃)RX Mapping'!BE51&gt;=481,'(橫掃)RX Mapping'!BE51&lt;=600), ('(橫掃)RX Mapping'!BE51-361),IF(AND('(橫掃)RX Mapping'!BE51&gt;=601,'(橫掃)RX Mapping'!BE51&lt;=720), (-1)*('(橫掃)RX Mapping'!BE51-720)+120,IF(AND('(橫掃)RX Mapping'!BE51&gt;=721,'(橫掃)RX Mapping'!BE51&lt;=840), ('(橫掃)RX Mapping'!BE51-601),IF(AND('(橫掃)RX Mapping'!BE51&gt;=841,'(橫掃)RX Mapping'!BE51&lt;=960), (-1)*('(橫掃)RX Mapping'!BE51-960)+120,9999))))))))</f>
        <v>9999</v>
      </c>
      <c r="BF51">
        <f>IF(AND('(橫掃)RX Mapping'!BF51&gt;=1,'(橫掃)RX Mapping'!BF51&lt;=120), ('(橫掃)RX Mapping'!BF51-1),IF(AND('(橫掃)RX Mapping'!BF51&gt;=121,'(橫掃)RX Mapping'!BF51&lt;=240), (-1)*('(橫掃)RX Mapping'!BF51-240),IF(AND('(橫掃)RX Mapping'!BF51&gt;=241,'(橫掃)RX Mapping'!BF51&lt;=360), ('(橫掃)RX Mapping'!BF51-241),IF(AND('(橫掃)RX Mapping'!BF51&gt;=361,'(橫掃)RX Mapping'!BF51&lt;=480), (-1)*('(橫掃)RX Mapping'!BF51-480),IF(AND('(橫掃)RX Mapping'!BF51&gt;=481,'(橫掃)RX Mapping'!BF51&lt;=600), ('(橫掃)RX Mapping'!BF51-361),IF(AND('(橫掃)RX Mapping'!BF51&gt;=601,'(橫掃)RX Mapping'!BF51&lt;=720), (-1)*('(橫掃)RX Mapping'!BF51-720)+120,IF(AND('(橫掃)RX Mapping'!BF51&gt;=721,'(橫掃)RX Mapping'!BF51&lt;=840), ('(橫掃)RX Mapping'!BF51-601),IF(AND('(橫掃)RX Mapping'!BF51&gt;=841,'(橫掃)RX Mapping'!BF51&lt;=960), (-1)*('(橫掃)RX Mapping'!BF51-960)+120,9999))))))))</f>
        <v>9999</v>
      </c>
      <c r="BG51">
        <f>IF(AND('(橫掃)RX Mapping'!BG51&gt;=1,'(橫掃)RX Mapping'!BG51&lt;=120), ('(橫掃)RX Mapping'!BG51-1),IF(AND('(橫掃)RX Mapping'!BG51&gt;=121,'(橫掃)RX Mapping'!BG51&lt;=240), (-1)*('(橫掃)RX Mapping'!BG51-240),IF(AND('(橫掃)RX Mapping'!BG51&gt;=241,'(橫掃)RX Mapping'!BG51&lt;=360), ('(橫掃)RX Mapping'!BG51-241),IF(AND('(橫掃)RX Mapping'!BG51&gt;=361,'(橫掃)RX Mapping'!BG51&lt;=480), (-1)*('(橫掃)RX Mapping'!BG51-480),IF(AND('(橫掃)RX Mapping'!BG51&gt;=481,'(橫掃)RX Mapping'!BG51&lt;=600), ('(橫掃)RX Mapping'!BG51-361),IF(AND('(橫掃)RX Mapping'!BG51&gt;=601,'(橫掃)RX Mapping'!BG51&lt;=720), (-1)*('(橫掃)RX Mapping'!BG51-720)+120,IF(AND('(橫掃)RX Mapping'!BG51&gt;=721,'(橫掃)RX Mapping'!BG51&lt;=840), ('(橫掃)RX Mapping'!BG51-601),IF(AND('(橫掃)RX Mapping'!BG51&gt;=841,'(橫掃)RX Mapping'!BG51&lt;=960), (-1)*('(橫掃)RX Mapping'!BG51-960)+120,9999))))))))</f>
        <v>9999</v>
      </c>
      <c r="BH51">
        <f>IF(AND('(橫掃)RX Mapping'!BH51&gt;=1,'(橫掃)RX Mapping'!BH51&lt;=120), ('(橫掃)RX Mapping'!BH51-1),IF(AND('(橫掃)RX Mapping'!BH51&gt;=121,'(橫掃)RX Mapping'!BH51&lt;=240), (-1)*('(橫掃)RX Mapping'!BH51-240),IF(AND('(橫掃)RX Mapping'!BH51&gt;=241,'(橫掃)RX Mapping'!BH51&lt;=360), ('(橫掃)RX Mapping'!BH51-241),IF(AND('(橫掃)RX Mapping'!BH51&gt;=361,'(橫掃)RX Mapping'!BH51&lt;=480), (-1)*('(橫掃)RX Mapping'!BH51-480),IF(AND('(橫掃)RX Mapping'!BH51&gt;=481,'(橫掃)RX Mapping'!BH51&lt;=600), ('(橫掃)RX Mapping'!BH51-361),IF(AND('(橫掃)RX Mapping'!BH51&gt;=601,'(橫掃)RX Mapping'!BH51&lt;=720), (-1)*('(橫掃)RX Mapping'!BH51-720)+120,IF(AND('(橫掃)RX Mapping'!BH51&gt;=721,'(橫掃)RX Mapping'!BH51&lt;=840), ('(橫掃)RX Mapping'!BH51-601),IF(AND('(橫掃)RX Mapping'!BH51&gt;=841,'(橫掃)RX Mapping'!BH51&lt;=960), (-1)*('(橫掃)RX Mapping'!BH51-960)+120,9999))))))))</f>
        <v>9999</v>
      </c>
      <c r="BI51">
        <f>IF(AND('(橫掃)RX Mapping'!BI51&gt;=1,'(橫掃)RX Mapping'!BI51&lt;=120), ('(橫掃)RX Mapping'!BI51-1),IF(AND('(橫掃)RX Mapping'!BI51&gt;=121,'(橫掃)RX Mapping'!BI51&lt;=240), (-1)*('(橫掃)RX Mapping'!BI51-240),IF(AND('(橫掃)RX Mapping'!BI51&gt;=241,'(橫掃)RX Mapping'!BI51&lt;=360), ('(橫掃)RX Mapping'!BI51-241),IF(AND('(橫掃)RX Mapping'!BI51&gt;=361,'(橫掃)RX Mapping'!BI51&lt;=480), (-1)*('(橫掃)RX Mapping'!BI51-480),IF(AND('(橫掃)RX Mapping'!BI51&gt;=481,'(橫掃)RX Mapping'!BI51&lt;=600), ('(橫掃)RX Mapping'!BI51-361),IF(AND('(橫掃)RX Mapping'!BI51&gt;=601,'(橫掃)RX Mapping'!BI51&lt;=720), (-1)*('(橫掃)RX Mapping'!BI51-720)+120,IF(AND('(橫掃)RX Mapping'!BI51&gt;=721,'(橫掃)RX Mapping'!BI51&lt;=840), ('(橫掃)RX Mapping'!BI51-601),IF(AND('(橫掃)RX Mapping'!BI51&gt;=841,'(橫掃)RX Mapping'!BI51&lt;=960), (-1)*('(橫掃)RX Mapping'!BI51-960)+120,9999))))))))</f>
        <v>9999</v>
      </c>
    </row>
    <row r="52" spans="1:61" x14ac:dyDescent="0.25">
      <c r="A52" s="20">
        <v>51</v>
      </c>
      <c r="B52">
        <f>IF(AND('(橫掃)RX Mapping'!B52&gt;=1,'(橫掃)RX Mapping'!B52&lt;=120), ('(橫掃)RX Mapping'!B52-1),IF(AND('(橫掃)RX Mapping'!B52&gt;=121,'(橫掃)RX Mapping'!B52&lt;=240), (-1)*('(橫掃)RX Mapping'!B52-240),IF(AND('(橫掃)RX Mapping'!B52&gt;=241,'(橫掃)RX Mapping'!B52&lt;=360), ('(橫掃)RX Mapping'!B52-241),IF(AND('(橫掃)RX Mapping'!B52&gt;=361,'(橫掃)RX Mapping'!B52&lt;=480), (-1)*('(橫掃)RX Mapping'!B52-480),IF(AND('(橫掃)RX Mapping'!B52&gt;=481,'(橫掃)RX Mapping'!B52&lt;=600), ('(橫掃)RX Mapping'!B52-361),IF(AND('(橫掃)RX Mapping'!B52&gt;=601,'(橫掃)RX Mapping'!B52&lt;=720), (-1)*('(橫掃)RX Mapping'!B52-720)+120,IF(AND('(橫掃)RX Mapping'!B52&gt;=721,'(橫掃)RX Mapping'!B52&lt;=840), ('(橫掃)RX Mapping'!B52-601),IF(AND('(橫掃)RX Mapping'!B52&gt;=841,'(橫掃)RX Mapping'!B52&lt;=960), (-1)*('(橫掃)RX Mapping'!B52-960)+120,9999))))))))</f>
        <v>9999</v>
      </c>
      <c r="C52">
        <f>IF(AND('(橫掃)RX Mapping'!C52&gt;=1,'(橫掃)RX Mapping'!C52&lt;=120), ('(橫掃)RX Mapping'!C52-1),IF(AND('(橫掃)RX Mapping'!C52&gt;=121,'(橫掃)RX Mapping'!C52&lt;=240), (-1)*('(橫掃)RX Mapping'!C52-240),IF(AND('(橫掃)RX Mapping'!C52&gt;=241,'(橫掃)RX Mapping'!C52&lt;=360), ('(橫掃)RX Mapping'!C52-241),IF(AND('(橫掃)RX Mapping'!C52&gt;=361,'(橫掃)RX Mapping'!C52&lt;=480), (-1)*('(橫掃)RX Mapping'!C52-480),IF(AND('(橫掃)RX Mapping'!C52&gt;=481,'(橫掃)RX Mapping'!C52&lt;=600), ('(橫掃)RX Mapping'!C52-361),IF(AND('(橫掃)RX Mapping'!C52&gt;=601,'(橫掃)RX Mapping'!C52&lt;=720), (-1)*('(橫掃)RX Mapping'!C52-720)+120,IF(AND('(橫掃)RX Mapping'!C52&gt;=721,'(橫掃)RX Mapping'!C52&lt;=840), ('(橫掃)RX Mapping'!C52-601),IF(AND('(橫掃)RX Mapping'!C52&gt;=841,'(橫掃)RX Mapping'!C52&lt;=960), (-1)*('(橫掃)RX Mapping'!C52-960)+120,9999))))))))</f>
        <v>9999</v>
      </c>
      <c r="D52">
        <f>IF(AND('(橫掃)RX Mapping'!D52&gt;=1,'(橫掃)RX Mapping'!D52&lt;=120), ('(橫掃)RX Mapping'!D52-1),IF(AND('(橫掃)RX Mapping'!D52&gt;=121,'(橫掃)RX Mapping'!D52&lt;=240), (-1)*('(橫掃)RX Mapping'!D52-240),IF(AND('(橫掃)RX Mapping'!D52&gt;=241,'(橫掃)RX Mapping'!D52&lt;=360), ('(橫掃)RX Mapping'!D52-241),IF(AND('(橫掃)RX Mapping'!D52&gt;=361,'(橫掃)RX Mapping'!D52&lt;=480), (-1)*('(橫掃)RX Mapping'!D52-480),IF(AND('(橫掃)RX Mapping'!D52&gt;=481,'(橫掃)RX Mapping'!D52&lt;=600), ('(橫掃)RX Mapping'!D52-361),IF(AND('(橫掃)RX Mapping'!D52&gt;=601,'(橫掃)RX Mapping'!D52&lt;=720), (-1)*('(橫掃)RX Mapping'!D52-720)+120,IF(AND('(橫掃)RX Mapping'!D52&gt;=721,'(橫掃)RX Mapping'!D52&lt;=840), ('(橫掃)RX Mapping'!D52-601),IF(AND('(橫掃)RX Mapping'!D52&gt;=841,'(橫掃)RX Mapping'!D52&lt;=960), (-1)*('(橫掃)RX Mapping'!D52-960)+120,9999))))))))</f>
        <v>9999</v>
      </c>
      <c r="E52">
        <f>IF(AND('(橫掃)RX Mapping'!E52&gt;=1,'(橫掃)RX Mapping'!E52&lt;=120), ('(橫掃)RX Mapping'!E52-1),IF(AND('(橫掃)RX Mapping'!E52&gt;=121,'(橫掃)RX Mapping'!E52&lt;=240), (-1)*('(橫掃)RX Mapping'!E52-240),IF(AND('(橫掃)RX Mapping'!E52&gt;=241,'(橫掃)RX Mapping'!E52&lt;=360), ('(橫掃)RX Mapping'!E52-241),IF(AND('(橫掃)RX Mapping'!E52&gt;=361,'(橫掃)RX Mapping'!E52&lt;=480), (-1)*('(橫掃)RX Mapping'!E52-480),IF(AND('(橫掃)RX Mapping'!E52&gt;=481,'(橫掃)RX Mapping'!E52&lt;=600), ('(橫掃)RX Mapping'!E52-361),IF(AND('(橫掃)RX Mapping'!E52&gt;=601,'(橫掃)RX Mapping'!E52&lt;=720), (-1)*('(橫掃)RX Mapping'!E52-720)+120,IF(AND('(橫掃)RX Mapping'!E52&gt;=721,'(橫掃)RX Mapping'!E52&lt;=840), ('(橫掃)RX Mapping'!E52-601),IF(AND('(橫掃)RX Mapping'!E52&gt;=841,'(橫掃)RX Mapping'!E52&lt;=960), (-1)*('(橫掃)RX Mapping'!E52-960)+120,9999))))))))</f>
        <v>9999</v>
      </c>
      <c r="F52">
        <f>IF(AND('(橫掃)RX Mapping'!F52&gt;=1,'(橫掃)RX Mapping'!F52&lt;=120), ('(橫掃)RX Mapping'!F52-1),IF(AND('(橫掃)RX Mapping'!F52&gt;=121,'(橫掃)RX Mapping'!F52&lt;=240), (-1)*('(橫掃)RX Mapping'!F52-240),IF(AND('(橫掃)RX Mapping'!F52&gt;=241,'(橫掃)RX Mapping'!F52&lt;=360), ('(橫掃)RX Mapping'!F52-241),IF(AND('(橫掃)RX Mapping'!F52&gt;=361,'(橫掃)RX Mapping'!F52&lt;=480), (-1)*('(橫掃)RX Mapping'!F52-480),IF(AND('(橫掃)RX Mapping'!F52&gt;=481,'(橫掃)RX Mapping'!F52&lt;=600), ('(橫掃)RX Mapping'!F52-361),IF(AND('(橫掃)RX Mapping'!F52&gt;=601,'(橫掃)RX Mapping'!F52&lt;=720), (-1)*('(橫掃)RX Mapping'!F52-720)+120,IF(AND('(橫掃)RX Mapping'!F52&gt;=721,'(橫掃)RX Mapping'!F52&lt;=840), ('(橫掃)RX Mapping'!F52-601),IF(AND('(橫掃)RX Mapping'!F52&gt;=841,'(橫掃)RX Mapping'!F52&lt;=960), (-1)*('(橫掃)RX Mapping'!F52-960)+120,9999))))))))</f>
        <v>9999</v>
      </c>
      <c r="G52">
        <f>IF(AND('(橫掃)RX Mapping'!G52&gt;=1,'(橫掃)RX Mapping'!G52&lt;=120), ('(橫掃)RX Mapping'!G52-1),IF(AND('(橫掃)RX Mapping'!G52&gt;=121,'(橫掃)RX Mapping'!G52&lt;=240), (-1)*('(橫掃)RX Mapping'!G52-240),IF(AND('(橫掃)RX Mapping'!G52&gt;=241,'(橫掃)RX Mapping'!G52&lt;=360), ('(橫掃)RX Mapping'!G52-241),IF(AND('(橫掃)RX Mapping'!G52&gt;=361,'(橫掃)RX Mapping'!G52&lt;=480), (-1)*('(橫掃)RX Mapping'!G52-480),IF(AND('(橫掃)RX Mapping'!G52&gt;=481,'(橫掃)RX Mapping'!G52&lt;=600), ('(橫掃)RX Mapping'!G52-361),IF(AND('(橫掃)RX Mapping'!G52&gt;=601,'(橫掃)RX Mapping'!G52&lt;=720), (-1)*('(橫掃)RX Mapping'!G52-720)+120,IF(AND('(橫掃)RX Mapping'!G52&gt;=721,'(橫掃)RX Mapping'!G52&lt;=840), ('(橫掃)RX Mapping'!G52-601),IF(AND('(橫掃)RX Mapping'!G52&gt;=841,'(橫掃)RX Mapping'!G52&lt;=960), (-1)*('(橫掃)RX Mapping'!G52-960)+120,9999))))))))</f>
        <v>9999</v>
      </c>
      <c r="H52">
        <f>IF(AND('(橫掃)RX Mapping'!H52&gt;=1,'(橫掃)RX Mapping'!H52&lt;=120), ('(橫掃)RX Mapping'!H52-1),IF(AND('(橫掃)RX Mapping'!H52&gt;=121,'(橫掃)RX Mapping'!H52&lt;=240), (-1)*('(橫掃)RX Mapping'!H52-240),IF(AND('(橫掃)RX Mapping'!H52&gt;=241,'(橫掃)RX Mapping'!H52&lt;=360), ('(橫掃)RX Mapping'!H52-241),IF(AND('(橫掃)RX Mapping'!H52&gt;=361,'(橫掃)RX Mapping'!H52&lt;=480), (-1)*('(橫掃)RX Mapping'!H52-480),IF(AND('(橫掃)RX Mapping'!H52&gt;=481,'(橫掃)RX Mapping'!H52&lt;=600), ('(橫掃)RX Mapping'!H52-361),IF(AND('(橫掃)RX Mapping'!H52&gt;=601,'(橫掃)RX Mapping'!H52&lt;=720), (-1)*('(橫掃)RX Mapping'!H52-720)+120,IF(AND('(橫掃)RX Mapping'!H52&gt;=721,'(橫掃)RX Mapping'!H52&lt;=840), ('(橫掃)RX Mapping'!H52-601),IF(AND('(橫掃)RX Mapping'!H52&gt;=841,'(橫掃)RX Mapping'!H52&lt;=960), (-1)*('(橫掃)RX Mapping'!H52-960)+120,9999))))))))</f>
        <v>9999</v>
      </c>
      <c r="I52">
        <f>IF(AND('(橫掃)RX Mapping'!I52&gt;=1,'(橫掃)RX Mapping'!I52&lt;=120), ('(橫掃)RX Mapping'!I52-1),IF(AND('(橫掃)RX Mapping'!I52&gt;=121,'(橫掃)RX Mapping'!I52&lt;=240), (-1)*('(橫掃)RX Mapping'!I52-240),IF(AND('(橫掃)RX Mapping'!I52&gt;=241,'(橫掃)RX Mapping'!I52&lt;=360), ('(橫掃)RX Mapping'!I52-241),IF(AND('(橫掃)RX Mapping'!I52&gt;=361,'(橫掃)RX Mapping'!I52&lt;=480), (-1)*('(橫掃)RX Mapping'!I52-480),IF(AND('(橫掃)RX Mapping'!I52&gt;=481,'(橫掃)RX Mapping'!I52&lt;=600), ('(橫掃)RX Mapping'!I52-361),IF(AND('(橫掃)RX Mapping'!I52&gt;=601,'(橫掃)RX Mapping'!I52&lt;=720), (-1)*('(橫掃)RX Mapping'!I52-720)+120,IF(AND('(橫掃)RX Mapping'!I52&gt;=721,'(橫掃)RX Mapping'!I52&lt;=840), ('(橫掃)RX Mapping'!I52-601),IF(AND('(橫掃)RX Mapping'!I52&gt;=841,'(橫掃)RX Mapping'!I52&lt;=960), (-1)*('(橫掃)RX Mapping'!I52-960)+120,9999))))))))</f>
        <v>9999</v>
      </c>
      <c r="J52">
        <f>IF(AND('(橫掃)RX Mapping'!J52&gt;=1,'(橫掃)RX Mapping'!J52&lt;=120), ('(橫掃)RX Mapping'!J52-1),IF(AND('(橫掃)RX Mapping'!J52&gt;=121,'(橫掃)RX Mapping'!J52&lt;=240), (-1)*('(橫掃)RX Mapping'!J52-240),IF(AND('(橫掃)RX Mapping'!J52&gt;=241,'(橫掃)RX Mapping'!J52&lt;=360), ('(橫掃)RX Mapping'!J52-241),IF(AND('(橫掃)RX Mapping'!J52&gt;=361,'(橫掃)RX Mapping'!J52&lt;=480), (-1)*('(橫掃)RX Mapping'!J52-480),IF(AND('(橫掃)RX Mapping'!J52&gt;=481,'(橫掃)RX Mapping'!J52&lt;=600), ('(橫掃)RX Mapping'!J52-361),IF(AND('(橫掃)RX Mapping'!J52&gt;=601,'(橫掃)RX Mapping'!J52&lt;=720), (-1)*('(橫掃)RX Mapping'!J52-720)+120,IF(AND('(橫掃)RX Mapping'!J52&gt;=721,'(橫掃)RX Mapping'!J52&lt;=840), ('(橫掃)RX Mapping'!J52-601),IF(AND('(橫掃)RX Mapping'!J52&gt;=841,'(橫掃)RX Mapping'!J52&lt;=960), (-1)*('(橫掃)RX Mapping'!J52-960)+120,9999))))))))</f>
        <v>9999</v>
      </c>
      <c r="K52">
        <f>IF(AND('(橫掃)RX Mapping'!K52&gt;=1,'(橫掃)RX Mapping'!K52&lt;=120), ('(橫掃)RX Mapping'!K52-1),IF(AND('(橫掃)RX Mapping'!K52&gt;=121,'(橫掃)RX Mapping'!K52&lt;=240), (-1)*('(橫掃)RX Mapping'!K52-240),IF(AND('(橫掃)RX Mapping'!K52&gt;=241,'(橫掃)RX Mapping'!K52&lt;=360), ('(橫掃)RX Mapping'!K52-241),IF(AND('(橫掃)RX Mapping'!K52&gt;=361,'(橫掃)RX Mapping'!K52&lt;=480), (-1)*('(橫掃)RX Mapping'!K52-480),IF(AND('(橫掃)RX Mapping'!K52&gt;=481,'(橫掃)RX Mapping'!K52&lt;=600), ('(橫掃)RX Mapping'!K52-361),IF(AND('(橫掃)RX Mapping'!K52&gt;=601,'(橫掃)RX Mapping'!K52&lt;=720), (-1)*('(橫掃)RX Mapping'!K52-720)+120,IF(AND('(橫掃)RX Mapping'!K52&gt;=721,'(橫掃)RX Mapping'!K52&lt;=840), ('(橫掃)RX Mapping'!K52-601),IF(AND('(橫掃)RX Mapping'!K52&gt;=841,'(橫掃)RX Mapping'!K52&lt;=960), (-1)*('(橫掃)RX Mapping'!K52-960)+120,9999))))))))</f>
        <v>9999</v>
      </c>
      <c r="L52">
        <f>IF(AND('(橫掃)RX Mapping'!L52&gt;=1,'(橫掃)RX Mapping'!L52&lt;=120), ('(橫掃)RX Mapping'!L52-1),IF(AND('(橫掃)RX Mapping'!L52&gt;=121,'(橫掃)RX Mapping'!L52&lt;=240), (-1)*('(橫掃)RX Mapping'!L52-240),IF(AND('(橫掃)RX Mapping'!L52&gt;=241,'(橫掃)RX Mapping'!L52&lt;=360), ('(橫掃)RX Mapping'!L52-241),IF(AND('(橫掃)RX Mapping'!L52&gt;=361,'(橫掃)RX Mapping'!L52&lt;=480), (-1)*('(橫掃)RX Mapping'!L52-480),IF(AND('(橫掃)RX Mapping'!L52&gt;=481,'(橫掃)RX Mapping'!L52&lt;=600), ('(橫掃)RX Mapping'!L52-361),IF(AND('(橫掃)RX Mapping'!L52&gt;=601,'(橫掃)RX Mapping'!L52&lt;=720), (-1)*('(橫掃)RX Mapping'!L52-720)+120,IF(AND('(橫掃)RX Mapping'!L52&gt;=721,'(橫掃)RX Mapping'!L52&lt;=840), ('(橫掃)RX Mapping'!L52-601),IF(AND('(橫掃)RX Mapping'!L52&gt;=841,'(橫掃)RX Mapping'!L52&lt;=960), (-1)*('(橫掃)RX Mapping'!L52-960)+120,9999))))))))</f>
        <v>9999</v>
      </c>
      <c r="M52">
        <f>IF(AND('(橫掃)RX Mapping'!M52&gt;=1,'(橫掃)RX Mapping'!M52&lt;=120), ('(橫掃)RX Mapping'!M52-1),IF(AND('(橫掃)RX Mapping'!M52&gt;=121,'(橫掃)RX Mapping'!M52&lt;=240), (-1)*('(橫掃)RX Mapping'!M52-240),IF(AND('(橫掃)RX Mapping'!M52&gt;=241,'(橫掃)RX Mapping'!M52&lt;=360), ('(橫掃)RX Mapping'!M52-241),IF(AND('(橫掃)RX Mapping'!M52&gt;=361,'(橫掃)RX Mapping'!M52&lt;=480), (-1)*('(橫掃)RX Mapping'!M52-480),IF(AND('(橫掃)RX Mapping'!M52&gt;=481,'(橫掃)RX Mapping'!M52&lt;=600), ('(橫掃)RX Mapping'!M52-361),IF(AND('(橫掃)RX Mapping'!M52&gt;=601,'(橫掃)RX Mapping'!M52&lt;=720), (-1)*('(橫掃)RX Mapping'!M52-720)+120,IF(AND('(橫掃)RX Mapping'!M52&gt;=721,'(橫掃)RX Mapping'!M52&lt;=840), ('(橫掃)RX Mapping'!M52-601),IF(AND('(橫掃)RX Mapping'!M52&gt;=841,'(橫掃)RX Mapping'!M52&lt;=960), (-1)*('(橫掃)RX Mapping'!M52-960)+120,9999))))))))</f>
        <v>9999</v>
      </c>
      <c r="N52">
        <f>IF(AND('(橫掃)RX Mapping'!N52&gt;=1,'(橫掃)RX Mapping'!N52&lt;=120), ('(橫掃)RX Mapping'!N52-1),IF(AND('(橫掃)RX Mapping'!N52&gt;=121,'(橫掃)RX Mapping'!N52&lt;=240), (-1)*('(橫掃)RX Mapping'!N52-240),IF(AND('(橫掃)RX Mapping'!N52&gt;=241,'(橫掃)RX Mapping'!N52&lt;=360), ('(橫掃)RX Mapping'!N52-241),IF(AND('(橫掃)RX Mapping'!N52&gt;=361,'(橫掃)RX Mapping'!N52&lt;=480), (-1)*('(橫掃)RX Mapping'!N52-480),IF(AND('(橫掃)RX Mapping'!N52&gt;=481,'(橫掃)RX Mapping'!N52&lt;=600), ('(橫掃)RX Mapping'!N52-361),IF(AND('(橫掃)RX Mapping'!N52&gt;=601,'(橫掃)RX Mapping'!N52&lt;=720), (-1)*('(橫掃)RX Mapping'!N52-720)+120,IF(AND('(橫掃)RX Mapping'!N52&gt;=721,'(橫掃)RX Mapping'!N52&lt;=840), ('(橫掃)RX Mapping'!N52-601),IF(AND('(橫掃)RX Mapping'!N52&gt;=841,'(橫掃)RX Mapping'!N52&lt;=960), (-1)*('(橫掃)RX Mapping'!N52-960)+120,9999))))))))</f>
        <v>9999</v>
      </c>
      <c r="O52">
        <f>IF(AND('(橫掃)RX Mapping'!O52&gt;=1,'(橫掃)RX Mapping'!O52&lt;=120), ('(橫掃)RX Mapping'!O52-1),IF(AND('(橫掃)RX Mapping'!O52&gt;=121,'(橫掃)RX Mapping'!O52&lt;=240), (-1)*('(橫掃)RX Mapping'!O52-240),IF(AND('(橫掃)RX Mapping'!O52&gt;=241,'(橫掃)RX Mapping'!O52&lt;=360), ('(橫掃)RX Mapping'!O52-241),IF(AND('(橫掃)RX Mapping'!O52&gt;=361,'(橫掃)RX Mapping'!O52&lt;=480), (-1)*('(橫掃)RX Mapping'!O52-480),IF(AND('(橫掃)RX Mapping'!O52&gt;=481,'(橫掃)RX Mapping'!O52&lt;=600), ('(橫掃)RX Mapping'!O52-361),IF(AND('(橫掃)RX Mapping'!O52&gt;=601,'(橫掃)RX Mapping'!O52&lt;=720), (-1)*('(橫掃)RX Mapping'!O52-720)+120,IF(AND('(橫掃)RX Mapping'!O52&gt;=721,'(橫掃)RX Mapping'!O52&lt;=840), ('(橫掃)RX Mapping'!O52-601),IF(AND('(橫掃)RX Mapping'!O52&gt;=841,'(橫掃)RX Mapping'!O52&lt;=960), (-1)*('(橫掃)RX Mapping'!O52-960)+120,9999))))))))</f>
        <v>9999</v>
      </c>
      <c r="P52">
        <f>IF(AND('(橫掃)RX Mapping'!P52&gt;=1,'(橫掃)RX Mapping'!P52&lt;=120), ('(橫掃)RX Mapping'!P52-1),IF(AND('(橫掃)RX Mapping'!P52&gt;=121,'(橫掃)RX Mapping'!P52&lt;=240), (-1)*('(橫掃)RX Mapping'!P52-240),IF(AND('(橫掃)RX Mapping'!P52&gt;=241,'(橫掃)RX Mapping'!P52&lt;=360), ('(橫掃)RX Mapping'!P52-241),IF(AND('(橫掃)RX Mapping'!P52&gt;=361,'(橫掃)RX Mapping'!P52&lt;=480), (-1)*('(橫掃)RX Mapping'!P52-480),IF(AND('(橫掃)RX Mapping'!P52&gt;=481,'(橫掃)RX Mapping'!P52&lt;=600), ('(橫掃)RX Mapping'!P52-361),IF(AND('(橫掃)RX Mapping'!P52&gt;=601,'(橫掃)RX Mapping'!P52&lt;=720), (-1)*('(橫掃)RX Mapping'!P52-720)+120,IF(AND('(橫掃)RX Mapping'!P52&gt;=721,'(橫掃)RX Mapping'!P52&lt;=840), ('(橫掃)RX Mapping'!P52-601),IF(AND('(橫掃)RX Mapping'!P52&gt;=841,'(橫掃)RX Mapping'!P52&lt;=960), (-1)*('(橫掃)RX Mapping'!P52-960)+120,9999))))))))</f>
        <v>9999</v>
      </c>
      <c r="Q52">
        <f>IF(AND('(橫掃)RX Mapping'!Q52&gt;=1,'(橫掃)RX Mapping'!Q52&lt;=120), ('(橫掃)RX Mapping'!Q52-1),IF(AND('(橫掃)RX Mapping'!Q52&gt;=121,'(橫掃)RX Mapping'!Q52&lt;=240), (-1)*('(橫掃)RX Mapping'!Q52-240),IF(AND('(橫掃)RX Mapping'!Q52&gt;=241,'(橫掃)RX Mapping'!Q52&lt;=360), ('(橫掃)RX Mapping'!Q52-241),IF(AND('(橫掃)RX Mapping'!Q52&gt;=361,'(橫掃)RX Mapping'!Q52&lt;=480), (-1)*('(橫掃)RX Mapping'!Q52-480),IF(AND('(橫掃)RX Mapping'!Q52&gt;=481,'(橫掃)RX Mapping'!Q52&lt;=600), ('(橫掃)RX Mapping'!Q52-361),IF(AND('(橫掃)RX Mapping'!Q52&gt;=601,'(橫掃)RX Mapping'!Q52&lt;=720), (-1)*('(橫掃)RX Mapping'!Q52-720)+120,IF(AND('(橫掃)RX Mapping'!Q52&gt;=721,'(橫掃)RX Mapping'!Q52&lt;=840), ('(橫掃)RX Mapping'!Q52-601),IF(AND('(橫掃)RX Mapping'!Q52&gt;=841,'(橫掃)RX Mapping'!Q52&lt;=960), (-1)*('(橫掃)RX Mapping'!Q52-960)+120,9999))))))))</f>
        <v>9999</v>
      </c>
      <c r="R52">
        <f>IF(AND('(橫掃)RX Mapping'!R52&gt;=1,'(橫掃)RX Mapping'!R52&lt;=120), ('(橫掃)RX Mapping'!R52-1),IF(AND('(橫掃)RX Mapping'!R52&gt;=121,'(橫掃)RX Mapping'!R52&lt;=240), (-1)*('(橫掃)RX Mapping'!R52-240),IF(AND('(橫掃)RX Mapping'!R52&gt;=241,'(橫掃)RX Mapping'!R52&lt;=360), ('(橫掃)RX Mapping'!R52-241),IF(AND('(橫掃)RX Mapping'!R52&gt;=361,'(橫掃)RX Mapping'!R52&lt;=480), (-1)*('(橫掃)RX Mapping'!R52-480),IF(AND('(橫掃)RX Mapping'!R52&gt;=481,'(橫掃)RX Mapping'!R52&lt;=600), ('(橫掃)RX Mapping'!R52-361),IF(AND('(橫掃)RX Mapping'!R52&gt;=601,'(橫掃)RX Mapping'!R52&lt;=720), (-1)*('(橫掃)RX Mapping'!R52-720)+120,IF(AND('(橫掃)RX Mapping'!R52&gt;=721,'(橫掃)RX Mapping'!R52&lt;=840), ('(橫掃)RX Mapping'!R52-601),IF(AND('(橫掃)RX Mapping'!R52&gt;=841,'(橫掃)RX Mapping'!R52&lt;=960), (-1)*('(橫掃)RX Mapping'!R52-960)+120,9999))))))))</f>
        <v>9999</v>
      </c>
      <c r="S52">
        <f>IF(AND('(橫掃)RX Mapping'!S52&gt;=1,'(橫掃)RX Mapping'!S52&lt;=120), ('(橫掃)RX Mapping'!S52-1),IF(AND('(橫掃)RX Mapping'!S52&gt;=121,'(橫掃)RX Mapping'!S52&lt;=240), (-1)*('(橫掃)RX Mapping'!S52-240),IF(AND('(橫掃)RX Mapping'!S52&gt;=241,'(橫掃)RX Mapping'!S52&lt;=360), ('(橫掃)RX Mapping'!S52-241),IF(AND('(橫掃)RX Mapping'!S52&gt;=361,'(橫掃)RX Mapping'!S52&lt;=480), (-1)*('(橫掃)RX Mapping'!S52-480),IF(AND('(橫掃)RX Mapping'!S52&gt;=481,'(橫掃)RX Mapping'!S52&lt;=600), ('(橫掃)RX Mapping'!S52-361),IF(AND('(橫掃)RX Mapping'!S52&gt;=601,'(橫掃)RX Mapping'!S52&lt;=720), (-1)*('(橫掃)RX Mapping'!S52-720)+120,IF(AND('(橫掃)RX Mapping'!S52&gt;=721,'(橫掃)RX Mapping'!S52&lt;=840), ('(橫掃)RX Mapping'!S52-601),IF(AND('(橫掃)RX Mapping'!S52&gt;=841,'(橫掃)RX Mapping'!S52&lt;=960), (-1)*('(橫掃)RX Mapping'!S52-960)+120,9999))))))))</f>
        <v>9999</v>
      </c>
      <c r="T52">
        <f>IF(AND('(橫掃)RX Mapping'!T52&gt;=1,'(橫掃)RX Mapping'!T52&lt;=120), ('(橫掃)RX Mapping'!T52-1),IF(AND('(橫掃)RX Mapping'!T52&gt;=121,'(橫掃)RX Mapping'!T52&lt;=240), (-1)*('(橫掃)RX Mapping'!T52-240),IF(AND('(橫掃)RX Mapping'!T52&gt;=241,'(橫掃)RX Mapping'!T52&lt;=360), ('(橫掃)RX Mapping'!T52-241),IF(AND('(橫掃)RX Mapping'!T52&gt;=361,'(橫掃)RX Mapping'!T52&lt;=480), (-1)*('(橫掃)RX Mapping'!T52-480),IF(AND('(橫掃)RX Mapping'!T52&gt;=481,'(橫掃)RX Mapping'!T52&lt;=600), ('(橫掃)RX Mapping'!T52-361),IF(AND('(橫掃)RX Mapping'!T52&gt;=601,'(橫掃)RX Mapping'!T52&lt;=720), (-1)*('(橫掃)RX Mapping'!T52-720)+120,IF(AND('(橫掃)RX Mapping'!T52&gt;=721,'(橫掃)RX Mapping'!T52&lt;=840), ('(橫掃)RX Mapping'!T52-601),IF(AND('(橫掃)RX Mapping'!T52&gt;=841,'(橫掃)RX Mapping'!T52&lt;=960), (-1)*('(橫掃)RX Mapping'!T52-960)+120,9999))))))))</f>
        <v>9999</v>
      </c>
      <c r="U52">
        <f>IF(AND('(橫掃)RX Mapping'!U52&gt;=1,'(橫掃)RX Mapping'!U52&lt;=120), ('(橫掃)RX Mapping'!U52-1),IF(AND('(橫掃)RX Mapping'!U52&gt;=121,'(橫掃)RX Mapping'!U52&lt;=240), (-1)*('(橫掃)RX Mapping'!U52-240),IF(AND('(橫掃)RX Mapping'!U52&gt;=241,'(橫掃)RX Mapping'!U52&lt;=360), ('(橫掃)RX Mapping'!U52-241),IF(AND('(橫掃)RX Mapping'!U52&gt;=361,'(橫掃)RX Mapping'!U52&lt;=480), (-1)*('(橫掃)RX Mapping'!U52-480),IF(AND('(橫掃)RX Mapping'!U52&gt;=481,'(橫掃)RX Mapping'!U52&lt;=600), ('(橫掃)RX Mapping'!U52-361),IF(AND('(橫掃)RX Mapping'!U52&gt;=601,'(橫掃)RX Mapping'!U52&lt;=720), (-1)*('(橫掃)RX Mapping'!U52-720)+120,IF(AND('(橫掃)RX Mapping'!U52&gt;=721,'(橫掃)RX Mapping'!U52&lt;=840), ('(橫掃)RX Mapping'!U52-601),IF(AND('(橫掃)RX Mapping'!U52&gt;=841,'(橫掃)RX Mapping'!U52&lt;=960), (-1)*('(橫掃)RX Mapping'!U52-960)+120,9999))))))))</f>
        <v>9999</v>
      </c>
      <c r="V52">
        <f>IF(AND('(橫掃)RX Mapping'!V52&gt;=1,'(橫掃)RX Mapping'!V52&lt;=120), ('(橫掃)RX Mapping'!V52-1),IF(AND('(橫掃)RX Mapping'!V52&gt;=121,'(橫掃)RX Mapping'!V52&lt;=240), (-1)*('(橫掃)RX Mapping'!V52-240),IF(AND('(橫掃)RX Mapping'!V52&gt;=241,'(橫掃)RX Mapping'!V52&lt;=360), ('(橫掃)RX Mapping'!V52-241),IF(AND('(橫掃)RX Mapping'!V52&gt;=361,'(橫掃)RX Mapping'!V52&lt;=480), (-1)*('(橫掃)RX Mapping'!V52-480),IF(AND('(橫掃)RX Mapping'!V52&gt;=481,'(橫掃)RX Mapping'!V52&lt;=600), ('(橫掃)RX Mapping'!V52-361),IF(AND('(橫掃)RX Mapping'!V52&gt;=601,'(橫掃)RX Mapping'!V52&lt;=720), (-1)*('(橫掃)RX Mapping'!V52-720)+120,IF(AND('(橫掃)RX Mapping'!V52&gt;=721,'(橫掃)RX Mapping'!V52&lt;=840), ('(橫掃)RX Mapping'!V52-601),IF(AND('(橫掃)RX Mapping'!V52&gt;=841,'(橫掃)RX Mapping'!V52&lt;=960), (-1)*('(橫掃)RX Mapping'!V52-960)+120,9999))))))))</f>
        <v>9999</v>
      </c>
      <c r="W52">
        <f>IF(AND('(橫掃)RX Mapping'!W52&gt;=1,'(橫掃)RX Mapping'!W52&lt;=120), ('(橫掃)RX Mapping'!W52-1),IF(AND('(橫掃)RX Mapping'!W52&gt;=121,'(橫掃)RX Mapping'!W52&lt;=240), (-1)*('(橫掃)RX Mapping'!W52-240),IF(AND('(橫掃)RX Mapping'!W52&gt;=241,'(橫掃)RX Mapping'!W52&lt;=360), ('(橫掃)RX Mapping'!W52-241),IF(AND('(橫掃)RX Mapping'!W52&gt;=361,'(橫掃)RX Mapping'!W52&lt;=480), (-1)*('(橫掃)RX Mapping'!W52-480),IF(AND('(橫掃)RX Mapping'!W52&gt;=481,'(橫掃)RX Mapping'!W52&lt;=600), ('(橫掃)RX Mapping'!W52-361),IF(AND('(橫掃)RX Mapping'!W52&gt;=601,'(橫掃)RX Mapping'!W52&lt;=720), (-1)*('(橫掃)RX Mapping'!W52-720)+120,IF(AND('(橫掃)RX Mapping'!W52&gt;=721,'(橫掃)RX Mapping'!W52&lt;=840), ('(橫掃)RX Mapping'!W52-601),IF(AND('(橫掃)RX Mapping'!W52&gt;=841,'(橫掃)RX Mapping'!W52&lt;=960), (-1)*('(橫掃)RX Mapping'!W52-960)+120,9999))))))))</f>
        <v>9999</v>
      </c>
      <c r="X52">
        <f>IF(AND('(橫掃)RX Mapping'!X52&gt;=1,'(橫掃)RX Mapping'!X52&lt;=120), ('(橫掃)RX Mapping'!X52-1),IF(AND('(橫掃)RX Mapping'!X52&gt;=121,'(橫掃)RX Mapping'!X52&lt;=240), (-1)*('(橫掃)RX Mapping'!X52-240),IF(AND('(橫掃)RX Mapping'!X52&gt;=241,'(橫掃)RX Mapping'!X52&lt;=360), ('(橫掃)RX Mapping'!X52-241),IF(AND('(橫掃)RX Mapping'!X52&gt;=361,'(橫掃)RX Mapping'!X52&lt;=480), (-1)*('(橫掃)RX Mapping'!X52-480),IF(AND('(橫掃)RX Mapping'!X52&gt;=481,'(橫掃)RX Mapping'!X52&lt;=600), ('(橫掃)RX Mapping'!X52-361),IF(AND('(橫掃)RX Mapping'!X52&gt;=601,'(橫掃)RX Mapping'!X52&lt;=720), (-1)*('(橫掃)RX Mapping'!X52-720)+120,IF(AND('(橫掃)RX Mapping'!X52&gt;=721,'(橫掃)RX Mapping'!X52&lt;=840), ('(橫掃)RX Mapping'!X52-601),IF(AND('(橫掃)RX Mapping'!X52&gt;=841,'(橫掃)RX Mapping'!X52&lt;=960), (-1)*('(橫掃)RX Mapping'!X52-960)+120,9999))))))))</f>
        <v>9999</v>
      </c>
      <c r="Y52">
        <f>IF(AND('(橫掃)RX Mapping'!Y52&gt;=1,'(橫掃)RX Mapping'!Y52&lt;=120), ('(橫掃)RX Mapping'!Y52-1),IF(AND('(橫掃)RX Mapping'!Y52&gt;=121,'(橫掃)RX Mapping'!Y52&lt;=240), (-1)*('(橫掃)RX Mapping'!Y52-240),IF(AND('(橫掃)RX Mapping'!Y52&gt;=241,'(橫掃)RX Mapping'!Y52&lt;=360), ('(橫掃)RX Mapping'!Y52-241),IF(AND('(橫掃)RX Mapping'!Y52&gt;=361,'(橫掃)RX Mapping'!Y52&lt;=480), (-1)*('(橫掃)RX Mapping'!Y52-480),IF(AND('(橫掃)RX Mapping'!Y52&gt;=481,'(橫掃)RX Mapping'!Y52&lt;=600), ('(橫掃)RX Mapping'!Y52-361),IF(AND('(橫掃)RX Mapping'!Y52&gt;=601,'(橫掃)RX Mapping'!Y52&lt;=720), (-1)*('(橫掃)RX Mapping'!Y52-720)+120,IF(AND('(橫掃)RX Mapping'!Y52&gt;=721,'(橫掃)RX Mapping'!Y52&lt;=840), ('(橫掃)RX Mapping'!Y52-601),IF(AND('(橫掃)RX Mapping'!Y52&gt;=841,'(橫掃)RX Mapping'!Y52&lt;=960), (-1)*('(橫掃)RX Mapping'!Y52-960)+120,9999))))))))</f>
        <v>9999</v>
      </c>
      <c r="Z52">
        <f>IF(AND('(橫掃)RX Mapping'!Z52&gt;=1,'(橫掃)RX Mapping'!Z52&lt;=120), ('(橫掃)RX Mapping'!Z52-1),IF(AND('(橫掃)RX Mapping'!Z52&gt;=121,'(橫掃)RX Mapping'!Z52&lt;=240), (-1)*('(橫掃)RX Mapping'!Z52-240),IF(AND('(橫掃)RX Mapping'!Z52&gt;=241,'(橫掃)RX Mapping'!Z52&lt;=360), ('(橫掃)RX Mapping'!Z52-241),IF(AND('(橫掃)RX Mapping'!Z52&gt;=361,'(橫掃)RX Mapping'!Z52&lt;=480), (-1)*('(橫掃)RX Mapping'!Z52-480),IF(AND('(橫掃)RX Mapping'!Z52&gt;=481,'(橫掃)RX Mapping'!Z52&lt;=600), ('(橫掃)RX Mapping'!Z52-361),IF(AND('(橫掃)RX Mapping'!Z52&gt;=601,'(橫掃)RX Mapping'!Z52&lt;=720), (-1)*('(橫掃)RX Mapping'!Z52-720)+120,IF(AND('(橫掃)RX Mapping'!Z52&gt;=721,'(橫掃)RX Mapping'!Z52&lt;=840), ('(橫掃)RX Mapping'!Z52-601),IF(AND('(橫掃)RX Mapping'!Z52&gt;=841,'(橫掃)RX Mapping'!Z52&lt;=960), (-1)*('(橫掃)RX Mapping'!Z52-960)+120,9999))))))))</f>
        <v>9999</v>
      </c>
      <c r="AA52">
        <f>IF(AND('(橫掃)RX Mapping'!AA52&gt;=1,'(橫掃)RX Mapping'!AA52&lt;=120), ('(橫掃)RX Mapping'!AA52-1),IF(AND('(橫掃)RX Mapping'!AA52&gt;=121,'(橫掃)RX Mapping'!AA52&lt;=240), (-1)*('(橫掃)RX Mapping'!AA52-240),IF(AND('(橫掃)RX Mapping'!AA52&gt;=241,'(橫掃)RX Mapping'!AA52&lt;=360), ('(橫掃)RX Mapping'!AA52-241),IF(AND('(橫掃)RX Mapping'!AA52&gt;=361,'(橫掃)RX Mapping'!AA52&lt;=480), (-1)*('(橫掃)RX Mapping'!AA52-480),IF(AND('(橫掃)RX Mapping'!AA52&gt;=481,'(橫掃)RX Mapping'!AA52&lt;=600), ('(橫掃)RX Mapping'!AA52-361),IF(AND('(橫掃)RX Mapping'!AA52&gt;=601,'(橫掃)RX Mapping'!AA52&lt;=720), (-1)*('(橫掃)RX Mapping'!AA52-720)+120,IF(AND('(橫掃)RX Mapping'!AA52&gt;=721,'(橫掃)RX Mapping'!AA52&lt;=840), ('(橫掃)RX Mapping'!AA52-601),IF(AND('(橫掃)RX Mapping'!AA52&gt;=841,'(橫掃)RX Mapping'!AA52&lt;=960), (-1)*('(橫掃)RX Mapping'!AA52-960)+120,9999))))))))</f>
        <v>9999</v>
      </c>
      <c r="AB52">
        <f>IF(AND('(橫掃)RX Mapping'!AB52&gt;=1,'(橫掃)RX Mapping'!AB52&lt;=120), ('(橫掃)RX Mapping'!AB52-1),IF(AND('(橫掃)RX Mapping'!AB52&gt;=121,'(橫掃)RX Mapping'!AB52&lt;=240), (-1)*('(橫掃)RX Mapping'!AB52-240),IF(AND('(橫掃)RX Mapping'!AB52&gt;=241,'(橫掃)RX Mapping'!AB52&lt;=360), ('(橫掃)RX Mapping'!AB52-241),IF(AND('(橫掃)RX Mapping'!AB52&gt;=361,'(橫掃)RX Mapping'!AB52&lt;=480), (-1)*('(橫掃)RX Mapping'!AB52-480),IF(AND('(橫掃)RX Mapping'!AB52&gt;=481,'(橫掃)RX Mapping'!AB52&lt;=600), ('(橫掃)RX Mapping'!AB52-361),IF(AND('(橫掃)RX Mapping'!AB52&gt;=601,'(橫掃)RX Mapping'!AB52&lt;=720), (-1)*('(橫掃)RX Mapping'!AB52-720)+120,IF(AND('(橫掃)RX Mapping'!AB52&gt;=721,'(橫掃)RX Mapping'!AB52&lt;=840), ('(橫掃)RX Mapping'!AB52-601),IF(AND('(橫掃)RX Mapping'!AB52&gt;=841,'(橫掃)RX Mapping'!AB52&lt;=960), (-1)*('(橫掃)RX Mapping'!AB52-960)+120,9999))))))))</f>
        <v>9999</v>
      </c>
      <c r="AC52">
        <f>IF(AND('(橫掃)RX Mapping'!AC52&gt;=1,'(橫掃)RX Mapping'!AC52&lt;=120), ('(橫掃)RX Mapping'!AC52-1),IF(AND('(橫掃)RX Mapping'!AC52&gt;=121,'(橫掃)RX Mapping'!AC52&lt;=240), (-1)*('(橫掃)RX Mapping'!AC52-240),IF(AND('(橫掃)RX Mapping'!AC52&gt;=241,'(橫掃)RX Mapping'!AC52&lt;=360), ('(橫掃)RX Mapping'!AC52-241),IF(AND('(橫掃)RX Mapping'!AC52&gt;=361,'(橫掃)RX Mapping'!AC52&lt;=480), (-1)*('(橫掃)RX Mapping'!AC52-480),IF(AND('(橫掃)RX Mapping'!AC52&gt;=481,'(橫掃)RX Mapping'!AC52&lt;=600), ('(橫掃)RX Mapping'!AC52-361),IF(AND('(橫掃)RX Mapping'!AC52&gt;=601,'(橫掃)RX Mapping'!AC52&lt;=720), (-1)*('(橫掃)RX Mapping'!AC52-720)+120,IF(AND('(橫掃)RX Mapping'!AC52&gt;=721,'(橫掃)RX Mapping'!AC52&lt;=840), ('(橫掃)RX Mapping'!AC52-601),IF(AND('(橫掃)RX Mapping'!AC52&gt;=841,'(橫掃)RX Mapping'!AC52&lt;=960), (-1)*('(橫掃)RX Mapping'!AC52-960)+120,9999))))))))</f>
        <v>9999</v>
      </c>
      <c r="AD52">
        <f>IF(AND('(橫掃)RX Mapping'!AD52&gt;=1,'(橫掃)RX Mapping'!AD52&lt;=120), ('(橫掃)RX Mapping'!AD52-1),IF(AND('(橫掃)RX Mapping'!AD52&gt;=121,'(橫掃)RX Mapping'!AD52&lt;=240), (-1)*('(橫掃)RX Mapping'!AD52-240),IF(AND('(橫掃)RX Mapping'!AD52&gt;=241,'(橫掃)RX Mapping'!AD52&lt;=360), ('(橫掃)RX Mapping'!AD52-241),IF(AND('(橫掃)RX Mapping'!AD52&gt;=361,'(橫掃)RX Mapping'!AD52&lt;=480), (-1)*('(橫掃)RX Mapping'!AD52-480),IF(AND('(橫掃)RX Mapping'!AD52&gt;=481,'(橫掃)RX Mapping'!AD52&lt;=600), ('(橫掃)RX Mapping'!AD52-361),IF(AND('(橫掃)RX Mapping'!AD52&gt;=601,'(橫掃)RX Mapping'!AD52&lt;=720), (-1)*('(橫掃)RX Mapping'!AD52-720)+120,IF(AND('(橫掃)RX Mapping'!AD52&gt;=721,'(橫掃)RX Mapping'!AD52&lt;=840), ('(橫掃)RX Mapping'!AD52-601),IF(AND('(橫掃)RX Mapping'!AD52&gt;=841,'(橫掃)RX Mapping'!AD52&lt;=960), (-1)*('(橫掃)RX Mapping'!AD52-960)+120,9999))))))))</f>
        <v>9999</v>
      </c>
      <c r="AE52">
        <f>IF(AND('(橫掃)RX Mapping'!AE52&gt;=1,'(橫掃)RX Mapping'!AE52&lt;=120), ('(橫掃)RX Mapping'!AE52-1),IF(AND('(橫掃)RX Mapping'!AE52&gt;=121,'(橫掃)RX Mapping'!AE52&lt;=240), (-1)*('(橫掃)RX Mapping'!AE52-240),IF(AND('(橫掃)RX Mapping'!AE52&gt;=241,'(橫掃)RX Mapping'!AE52&lt;=360), ('(橫掃)RX Mapping'!AE52-241),IF(AND('(橫掃)RX Mapping'!AE52&gt;=361,'(橫掃)RX Mapping'!AE52&lt;=480), (-1)*('(橫掃)RX Mapping'!AE52-480),IF(AND('(橫掃)RX Mapping'!AE52&gt;=481,'(橫掃)RX Mapping'!AE52&lt;=600), ('(橫掃)RX Mapping'!AE52-361),IF(AND('(橫掃)RX Mapping'!AE52&gt;=601,'(橫掃)RX Mapping'!AE52&lt;=720), (-1)*('(橫掃)RX Mapping'!AE52-720)+120,IF(AND('(橫掃)RX Mapping'!AE52&gt;=721,'(橫掃)RX Mapping'!AE52&lt;=840), ('(橫掃)RX Mapping'!AE52-601),IF(AND('(橫掃)RX Mapping'!AE52&gt;=841,'(橫掃)RX Mapping'!AE52&lt;=960), (-1)*('(橫掃)RX Mapping'!AE52-960)+120,9999))))))))</f>
        <v>9999</v>
      </c>
      <c r="AF52">
        <f>IF(AND('(橫掃)RX Mapping'!AF52&gt;=1,'(橫掃)RX Mapping'!AF52&lt;=120), ('(橫掃)RX Mapping'!AF52-1),IF(AND('(橫掃)RX Mapping'!AF52&gt;=121,'(橫掃)RX Mapping'!AF52&lt;=240), (-1)*('(橫掃)RX Mapping'!AF52-240),IF(AND('(橫掃)RX Mapping'!AF52&gt;=241,'(橫掃)RX Mapping'!AF52&lt;=360), ('(橫掃)RX Mapping'!AF52-241),IF(AND('(橫掃)RX Mapping'!AF52&gt;=361,'(橫掃)RX Mapping'!AF52&lt;=480), (-1)*('(橫掃)RX Mapping'!AF52-480),IF(AND('(橫掃)RX Mapping'!AF52&gt;=481,'(橫掃)RX Mapping'!AF52&lt;=600), ('(橫掃)RX Mapping'!AF52-361),IF(AND('(橫掃)RX Mapping'!AF52&gt;=601,'(橫掃)RX Mapping'!AF52&lt;=720), (-1)*('(橫掃)RX Mapping'!AF52-720)+120,IF(AND('(橫掃)RX Mapping'!AF52&gt;=721,'(橫掃)RX Mapping'!AF52&lt;=840), ('(橫掃)RX Mapping'!AF52-601),IF(AND('(橫掃)RX Mapping'!AF52&gt;=841,'(橫掃)RX Mapping'!AF52&lt;=960), (-1)*('(橫掃)RX Mapping'!AF52-960)+120,9999))))))))</f>
        <v>9999</v>
      </c>
      <c r="AG52">
        <f>IF(AND('(橫掃)RX Mapping'!AG52&gt;=1,'(橫掃)RX Mapping'!AG52&lt;=120), ('(橫掃)RX Mapping'!AG52-1),IF(AND('(橫掃)RX Mapping'!AG52&gt;=121,'(橫掃)RX Mapping'!AG52&lt;=240), (-1)*('(橫掃)RX Mapping'!AG52-240),IF(AND('(橫掃)RX Mapping'!AG52&gt;=241,'(橫掃)RX Mapping'!AG52&lt;=360), ('(橫掃)RX Mapping'!AG52-241),IF(AND('(橫掃)RX Mapping'!AG52&gt;=361,'(橫掃)RX Mapping'!AG52&lt;=480), (-1)*('(橫掃)RX Mapping'!AG52-480),IF(AND('(橫掃)RX Mapping'!AG52&gt;=481,'(橫掃)RX Mapping'!AG52&lt;=600), ('(橫掃)RX Mapping'!AG52-361),IF(AND('(橫掃)RX Mapping'!AG52&gt;=601,'(橫掃)RX Mapping'!AG52&lt;=720), (-1)*('(橫掃)RX Mapping'!AG52-720)+120,IF(AND('(橫掃)RX Mapping'!AG52&gt;=721,'(橫掃)RX Mapping'!AG52&lt;=840), ('(橫掃)RX Mapping'!AG52-601),IF(AND('(橫掃)RX Mapping'!AG52&gt;=841,'(橫掃)RX Mapping'!AG52&lt;=960), (-1)*('(橫掃)RX Mapping'!AG52-960)+120,9999))))))))</f>
        <v>9999</v>
      </c>
      <c r="AH52">
        <f>IF(AND('(橫掃)RX Mapping'!AH52&gt;=1,'(橫掃)RX Mapping'!AH52&lt;=120), ('(橫掃)RX Mapping'!AH52-1),IF(AND('(橫掃)RX Mapping'!AH52&gt;=121,'(橫掃)RX Mapping'!AH52&lt;=240), (-1)*('(橫掃)RX Mapping'!AH52-240),IF(AND('(橫掃)RX Mapping'!AH52&gt;=241,'(橫掃)RX Mapping'!AH52&lt;=360), ('(橫掃)RX Mapping'!AH52-241),IF(AND('(橫掃)RX Mapping'!AH52&gt;=361,'(橫掃)RX Mapping'!AH52&lt;=480), (-1)*('(橫掃)RX Mapping'!AH52-480),IF(AND('(橫掃)RX Mapping'!AH52&gt;=481,'(橫掃)RX Mapping'!AH52&lt;=600), ('(橫掃)RX Mapping'!AH52-361),IF(AND('(橫掃)RX Mapping'!AH52&gt;=601,'(橫掃)RX Mapping'!AH52&lt;=720), (-1)*('(橫掃)RX Mapping'!AH52-720)+120,IF(AND('(橫掃)RX Mapping'!AH52&gt;=721,'(橫掃)RX Mapping'!AH52&lt;=840), ('(橫掃)RX Mapping'!AH52-601),IF(AND('(橫掃)RX Mapping'!AH52&gt;=841,'(橫掃)RX Mapping'!AH52&lt;=960), (-1)*('(橫掃)RX Mapping'!AH52-960)+120,9999))))))))</f>
        <v>9999</v>
      </c>
      <c r="AI52">
        <f>IF(AND('(橫掃)RX Mapping'!AI52&gt;=1,'(橫掃)RX Mapping'!AI52&lt;=120), ('(橫掃)RX Mapping'!AI52-1),IF(AND('(橫掃)RX Mapping'!AI52&gt;=121,'(橫掃)RX Mapping'!AI52&lt;=240), (-1)*('(橫掃)RX Mapping'!AI52-240),IF(AND('(橫掃)RX Mapping'!AI52&gt;=241,'(橫掃)RX Mapping'!AI52&lt;=360), ('(橫掃)RX Mapping'!AI52-241),IF(AND('(橫掃)RX Mapping'!AI52&gt;=361,'(橫掃)RX Mapping'!AI52&lt;=480), (-1)*('(橫掃)RX Mapping'!AI52-480),IF(AND('(橫掃)RX Mapping'!AI52&gt;=481,'(橫掃)RX Mapping'!AI52&lt;=600), ('(橫掃)RX Mapping'!AI52-361),IF(AND('(橫掃)RX Mapping'!AI52&gt;=601,'(橫掃)RX Mapping'!AI52&lt;=720), (-1)*('(橫掃)RX Mapping'!AI52-720)+120,IF(AND('(橫掃)RX Mapping'!AI52&gt;=721,'(橫掃)RX Mapping'!AI52&lt;=840), ('(橫掃)RX Mapping'!AI52-601),IF(AND('(橫掃)RX Mapping'!AI52&gt;=841,'(橫掃)RX Mapping'!AI52&lt;=960), (-1)*('(橫掃)RX Mapping'!AI52-960)+120,9999))))))))</f>
        <v>9999</v>
      </c>
      <c r="AJ52">
        <f>IF(AND('(橫掃)RX Mapping'!AJ52&gt;=1,'(橫掃)RX Mapping'!AJ52&lt;=120), ('(橫掃)RX Mapping'!AJ52-1),IF(AND('(橫掃)RX Mapping'!AJ52&gt;=121,'(橫掃)RX Mapping'!AJ52&lt;=240), (-1)*('(橫掃)RX Mapping'!AJ52-240),IF(AND('(橫掃)RX Mapping'!AJ52&gt;=241,'(橫掃)RX Mapping'!AJ52&lt;=360), ('(橫掃)RX Mapping'!AJ52-241),IF(AND('(橫掃)RX Mapping'!AJ52&gt;=361,'(橫掃)RX Mapping'!AJ52&lt;=480), (-1)*('(橫掃)RX Mapping'!AJ52-480),IF(AND('(橫掃)RX Mapping'!AJ52&gt;=481,'(橫掃)RX Mapping'!AJ52&lt;=600), ('(橫掃)RX Mapping'!AJ52-361),IF(AND('(橫掃)RX Mapping'!AJ52&gt;=601,'(橫掃)RX Mapping'!AJ52&lt;=720), (-1)*('(橫掃)RX Mapping'!AJ52-720)+120,IF(AND('(橫掃)RX Mapping'!AJ52&gt;=721,'(橫掃)RX Mapping'!AJ52&lt;=840), ('(橫掃)RX Mapping'!AJ52-601),IF(AND('(橫掃)RX Mapping'!AJ52&gt;=841,'(橫掃)RX Mapping'!AJ52&lt;=960), (-1)*('(橫掃)RX Mapping'!AJ52-960)+120,9999))))))))</f>
        <v>9999</v>
      </c>
      <c r="AK52">
        <f>IF(AND('(橫掃)RX Mapping'!AK52&gt;=1,'(橫掃)RX Mapping'!AK52&lt;=120), ('(橫掃)RX Mapping'!AK52-1),IF(AND('(橫掃)RX Mapping'!AK52&gt;=121,'(橫掃)RX Mapping'!AK52&lt;=240), (-1)*('(橫掃)RX Mapping'!AK52-240),IF(AND('(橫掃)RX Mapping'!AK52&gt;=241,'(橫掃)RX Mapping'!AK52&lt;=360), ('(橫掃)RX Mapping'!AK52-241),IF(AND('(橫掃)RX Mapping'!AK52&gt;=361,'(橫掃)RX Mapping'!AK52&lt;=480), (-1)*('(橫掃)RX Mapping'!AK52-480),IF(AND('(橫掃)RX Mapping'!AK52&gt;=481,'(橫掃)RX Mapping'!AK52&lt;=600), ('(橫掃)RX Mapping'!AK52-361),IF(AND('(橫掃)RX Mapping'!AK52&gt;=601,'(橫掃)RX Mapping'!AK52&lt;=720), (-1)*('(橫掃)RX Mapping'!AK52-720)+120,IF(AND('(橫掃)RX Mapping'!AK52&gt;=721,'(橫掃)RX Mapping'!AK52&lt;=840), ('(橫掃)RX Mapping'!AK52-601),IF(AND('(橫掃)RX Mapping'!AK52&gt;=841,'(橫掃)RX Mapping'!AK52&lt;=960), (-1)*('(橫掃)RX Mapping'!AK52-960)+120,9999))))))))</f>
        <v>9999</v>
      </c>
      <c r="AL52">
        <f>IF(AND('(橫掃)RX Mapping'!AL52&gt;=1,'(橫掃)RX Mapping'!AL52&lt;=120), ('(橫掃)RX Mapping'!AL52-1),IF(AND('(橫掃)RX Mapping'!AL52&gt;=121,'(橫掃)RX Mapping'!AL52&lt;=240), (-1)*('(橫掃)RX Mapping'!AL52-240),IF(AND('(橫掃)RX Mapping'!AL52&gt;=241,'(橫掃)RX Mapping'!AL52&lt;=360), ('(橫掃)RX Mapping'!AL52-241),IF(AND('(橫掃)RX Mapping'!AL52&gt;=361,'(橫掃)RX Mapping'!AL52&lt;=480), (-1)*('(橫掃)RX Mapping'!AL52-480),IF(AND('(橫掃)RX Mapping'!AL52&gt;=481,'(橫掃)RX Mapping'!AL52&lt;=600), ('(橫掃)RX Mapping'!AL52-361),IF(AND('(橫掃)RX Mapping'!AL52&gt;=601,'(橫掃)RX Mapping'!AL52&lt;=720), (-1)*('(橫掃)RX Mapping'!AL52-720)+120,IF(AND('(橫掃)RX Mapping'!AL52&gt;=721,'(橫掃)RX Mapping'!AL52&lt;=840), ('(橫掃)RX Mapping'!AL52-601),IF(AND('(橫掃)RX Mapping'!AL52&gt;=841,'(橫掃)RX Mapping'!AL52&lt;=960), (-1)*('(橫掃)RX Mapping'!AL52-960)+120,9999))))))))</f>
        <v>9999</v>
      </c>
      <c r="AM52">
        <f>IF(AND('(橫掃)RX Mapping'!AM52&gt;=1,'(橫掃)RX Mapping'!AM52&lt;=120), ('(橫掃)RX Mapping'!AM52-1),IF(AND('(橫掃)RX Mapping'!AM52&gt;=121,'(橫掃)RX Mapping'!AM52&lt;=240), (-1)*('(橫掃)RX Mapping'!AM52-240),IF(AND('(橫掃)RX Mapping'!AM52&gt;=241,'(橫掃)RX Mapping'!AM52&lt;=360), ('(橫掃)RX Mapping'!AM52-241),IF(AND('(橫掃)RX Mapping'!AM52&gt;=361,'(橫掃)RX Mapping'!AM52&lt;=480), (-1)*('(橫掃)RX Mapping'!AM52-480),IF(AND('(橫掃)RX Mapping'!AM52&gt;=481,'(橫掃)RX Mapping'!AM52&lt;=600), ('(橫掃)RX Mapping'!AM52-361),IF(AND('(橫掃)RX Mapping'!AM52&gt;=601,'(橫掃)RX Mapping'!AM52&lt;=720), (-1)*('(橫掃)RX Mapping'!AM52-720)+120,IF(AND('(橫掃)RX Mapping'!AM52&gt;=721,'(橫掃)RX Mapping'!AM52&lt;=840), ('(橫掃)RX Mapping'!AM52-601),IF(AND('(橫掃)RX Mapping'!AM52&gt;=841,'(橫掃)RX Mapping'!AM52&lt;=960), (-1)*('(橫掃)RX Mapping'!AM52-960)+120,9999))))))))</f>
        <v>9999</v>
      </c>
      <c r="AN52">
        <f>IF(AND('(橫掃)RX Mapping'!AN52&gt;=1,'(橫掃)RX Mapping'!AN52&lt;=120), ('(橫掃)RX Mapping'!AN52-1),IF(AND('(橫掃)RX Mapping'!AN52&gt;=121,'(橫掃)RX Mapping'!AN52&lt;=240), (-1)*('(橫掃)RX Mapping'!AN52-240),IF(AND('(橫掃)RX Mapping'!AN52&gt;=241,'(橫掃)RX Mapping'!AN52&lt;=360), ('(橫掃)RX Mapping'!AN52-241),IF(AND('(橫掃)RX Mapping'!AN52&gt;=361,'(橫掃)RX Mapping'!AN52&lt;=480), (-1)*('(橫掃)RX Mapping'!AN52-480),IF(AND('(橫掃)RX Mapping'!AN52&gt;=481,'(橫掃)RX Mapping'!AN52&lt;=600), ('(橫掃)RX Mapping'!AN52-361),IF(AND('(橫掃)RX Mapping'!AN52&gt;=601,'(橫掃)RX Mapping'!AN52&lt;=720), (-1)*('(橫掃)RX Mapping'!AN52-720)+120,IF(AND('(橫掃)RX Mapping'!AN52&gt;=721,'(橫掃)RX Mapping'!AN52&lt;=840), ('(橫掃)RX Mapping'!AN52-601),IF(AND('(橫掃)RX Mapping'!AN52&gt;=841,'(橫掃)RX Mapping'!AN52&lt;=960), (-1)*('(橫掃)RX Mapping'!AN52-960)+120,9999))))))))</f>
        <v>9999</v>
      </c>
      <c r="AO52">
        <f>IF(AND('(橫掃)RX Mapping'!AO52&gt;=1,'(橫掃)RX Mapping'!AO52&lt;=120), ('(橫掃)RX Mapping'!AO52-1),IF(AND('(橫掃)RX Mapping'!AO52&gt;=121,'(橫掃)RX Mapping'!AO52&lt;=240), (-1)*('(橫掃)RX Mapping'!AO52-240),IF(AND('(橫掃)RX Mapping'!AO52&gt;=241,'(橫掃)RX Mapping'!AO52&lt;=360), ('(橫掃)RX Mapping'!AO52-241),IF(AND('(橫掃)RX Mapping'!AO52&gt;=361,'(橫掃)RX Mapping'!AO52&lt;=480), (-1)*('(橫掃)RX Mapping'!AO52-480),IF(AND('(橫掃)RX Mapping'!AO52&gt;=481,'(橫掃)RX Mapping'!AO52&lt;=600), ('(橫掃)RX Mapping'!AO52-361),IF(AND('(橫掃)RX Mapping'!AO52&gt;=601,'(橫掃)RX Mapping'!AO52&lt;=720), (-1)*('(橫掃)RX Mapping'!AO52-720)+120,IF(AND('(橫掃)RX Mapping'!AO52&gt;=721,'(橫掃)RX Mapping'!AO52&lt;=840), ('(橫掃)RX Mapping'!AO52-601),IF(AND('(橫掃)RX Mapping'!AO52&gt;=841,'(橫掃)RX Mapping'!AO52&lt;=960), (-1)*('(橫掃)RX Mapping'!AO52-960)+120,9999))))))))</f>
        <v>9999</v>
      </c>
      <c r="AP52">
        <f>IF(AND('(橫掃)RX Mapping'!AP52&gt;=1,'(橫掃)RX Mapping'!AP52&lt;=120), ('(橫掃)RX Mapping'!AP52-1),IF(AND('(橫掃)RX Mapping'!AP52&gt;=121,'(橫掃)RX Mapping'!AP52&lt;=240), (-1)*('(橫掃)RX Mapping'!AP52-240),IF(AND('(橫掃)RX Mapping'!AP52&gt;=241,'(橫掃)RX Mapping'!AP52&lt;=360), ('(橫掃)RX Mapping'!AP52-241),IF(AND('(橫掃)RX Mapping'!AP52&gt;=361,'(橫掃)RX Mapping'!AP52&lt;=480), (-1)*('(橫掃)RX Mapping'!AP52-480),IF(AND('(橫掃)RX Mapping'!AP52&gt;=481,'(橫掃)RX Mapping'!AP52&lt;=600), ('(橫掃)RX Mapping'!AP52-361),IF(AND('(橫掃)RX Mapping'!AP52&gt;=601,'(橫掃)RX Mapping'!AP52&lt;=720), (-1)*('(橫掃)RX Mapping'!AP52-720)+120,IF(AND('(橫掃)RX Mapping'!AP52&gt;=721,'(橫掃)RX Mapping'!AP52&lt;=840), ('(橫掃)RX Mapping'!AP52-601),IF(AND('(橫掃)RX Mapping'!AP52&gt;=841,'(橫掃)RX Mapping'!AP52&lt;=960), (-1)*('(橫掃)RX Mapping'!AP52-960)+120,9999))))))))</f>
        <v>9999</v>
      </c>
      <c r="AQ52">
        <f>IF(AND('(橫掃)RX Mapping'!AQ52&gt;=1,'(橫掃)RX Mapping'!AQ52&lt;=120), ('(橫掃)RX Mapping'!AQ52-1),IF(AND('(橫掃)RX Mapping'!AQ52&gt;=121,'(橫掃)RX Mapping'!AQ52&lt;=240), (-1)*('(橫掃)RX Mapping'!AQ52-240),IF(AND('(橫掃)RX Mapping'!AQ52&gt;=241,'(橫掃)RX Mapping'!AQ52&lt;=360), ('(橫掃)RX Mapping'!AQ52-241),IF(AND('(橫掃)RX Mapping'!AQ52&gt;=361,'(橫掃)RX Mapping'!AQ52&lt;=480), (-1)*('(橫掃)RX Mapping'!AQ52-480),IF(AND('(橫掃)RX Mapping'!AQ52&gt;=481,'(橫掃)RX Mapping'!AQ52&lt;=600), ('(橫掃)RX Mapping'!AQ52-361),IF(AND('(橫掃)RX Mapping'!AQ52&gt;=601,'(橫掃)RX Mapping'!AQ52&lt;=720), (-1)*('(橫掃)RX Mapping'!AQ52-720)+120,IF(AND('(橫掃)RX Mapping'!AQ52&gt;=721,'(橫掃)RX Mapping'!AQ52&lt;=840), ('(橫掃)RX Mapping'!AQ52-601),IF(AND('(橫掃)RX Mapping'!AQ52&gt;=841,'(橫掃)RX Mapping'!AQ52&lt;=960), (-1)*('(橫掃)RX Mapping'!AQ52-960)+120,9999))))))))</f>
        <v>9999</v>
      </c>
      <c r="AR52">
        <f>IF(AND('(橫掃)RX Mapping'!AR52&gt;=1,'(橫掃)RX Mapping'!AR52&lt;=120), ('(橫掃)RX Mapping'!AR52-1),IF(AND('(橫掃)RX Mapping'!AR52&gt;=121,'(橫掃)RX Mapping'!AR52&lt;=240), (-1)*('(橫掃)RX Mapping'!AR52-240),IF(AND('(橫掃)RX Mapping'!AR52&gt;=241,'(橫掃)RX Mapping'!AR52&lt;=360), ('(橫掃)RX Mapping'!AR52-241),IF(AND('(橫掃)RX Mapping'!AR52&gt;=361,'(橫掃)RX Mapping'!AR52&lt;=480), (-1)*('(橫掃)RX Mapping'!AR52-480),IF(AND('(橫掃)RX Mapping'!AR52&gt;=481,'(橫掃)RX Mapping'!AR52&lt;=600), ('(橫掃)RX Mapping'!AR52-361),IF(AND('(橫掃)RX Mapping'!AR52&gt;=601,'(橫掃)RX Mapping'!AR52&lt;=720), (-1)*('(橫掃)RX Mapping'!AR52-720)+120,IF(AND('(橫掃)RX Mapping'!AR52&gt;=721,'(橫掃)RX Mapping'!AR52&lt;=840), ('(橫掃)RX Mapping'!AR52-601),IF(AND('(橫掃)RX Mapping'!AR52&gt;=841,'(橫掃)RX Mapping'!AR52&lt;=960), (-1)*('(橫掃)RX Mapping'!AR52-960)+120,9999))))))))</f>
        <v>9999</v>
      </c>
      <c r="AS52">
        <f>IF(AND('(橫掃)RX Mapping'!AS52&gt;=1,'(橫掃)RX Mapping'!AS52&lt;=120), ('(橫掃)RX Mapping'!AS52-1),IF(AND('(橫掃)RX Mapping'!AS52&gt;=121,'(橫掃)RX Mapping'!AS52&lt;=240), (-1)*('(橫掃)RX Mapping'!AS52-240),IF(AND('(橫掃)RX Mapping'!AS52&gt;=241,'(橫掃)RX Mapping'!AS52&lt;=360), ('(橫掃)RX Mapping'!AS52-241),IF(AND('(橫掃)RX Mapping'!AS52&gt;=361,'(橫掃)RX Mapping'!AS52&lt;=480), (-1)*('(橫掃)RX Mapping'!AS52-480),IF(AND('(橫掃)RX Mapping'!AS52&gt;=481,'(橫掃)RX Mapping'!AS52&lt;=600), ('(橫掃)RX Mapping'!AS52-361),IF(AND('(橫掃)RX Mapping'!AS52&gt;=601,'(橫掃)RX Mapping'!AS52&lt;=720), (-1)*('(橫掃)RX Mapping'!AS52-720)+120,IF(AND('(橫掃)RX Mapping'!AS52&gt;=721,'(橫掃)RX Mapping'!AS52&lt;=840), ('(橫掃)RX Mapping'!AS52-601),IF(AND('(橫掃)RX Mapping'!AS52&gt;=841,'(橫掃)RX Mapping'!AS52&lt;=960), (-1)*('(橫掃)RX Mapping'!AS52-960)+120,9999))))))))</f>
        <v>9999</v>
      </c>
      <c r="AT52">
        <f>IF(AND('(橫掃)RX Mapping'!AT52&gt;=1,'(橫掃)RX Mapping'!AT52&lt;=120), ('(橫掃)RX Mapping'!AT52-1),IF(AND('(橫掃)RX Mapping'!AT52&gt;=121,'(橫掃)RX Mapping'!AT52&lt;=240), (-1)*('(橫掃)RX Mapping'!AT52-240),IF(AND('(橫掃)RX Mapping'!AT52&gt;=241,'(橫掃)RX Mapping'!AT52&lt;=360), ('(橫掃)RX Mapping'!AT52-241),IF(AND('(橫掃)RX Mapping'!AT52&gt;=361,'(橫掃)RX Mapping'!AT52&lt;=480), (-1)*('(橫掃)RX Mapping'!AT52-480),IF(AND('(橫掃)RX Mapping'!AT52&gt;=481,'(橫掃)RX Mapping'!AT52&lt;=600), ('(橫掃)RX Mapping'!AT52-361),IF(AND('(橫掃)RX Mapping'!AT52&gt;=601,'(橫掃)RX Mapping'!AT52&lt;=720), (-1)*('(橫掃)RX Mapping'!AT52-720)+120,IF(AND('(橫掃)RX Mapping'!AT52&gt;=721,'(橫掃)RX Mapping'!AT52&lt;=840), ('(橫掃)RX Mapping'!AT52-601),IF(AND('(橫掃)RX Mapping'!AT52&gt;=841,'(橫掃)RX Mapping'!AT52&lt;=960), (-1)*('(橫掃)RX Mapping'!AT52-960)+120,9999))))))))</f>
        <v>9999</v>
      </c>
      <c r="AU52">
        <f>IF(AND('(橫掃)RX Mapping'!AU52&gt;=1,'(橫掃)RX Mapping'!AU52&lt;=120), ('(橫掃)RX Mapping'!AU52-1),IF(AND('(橫掃)RX Mapping'!AU52&gt;=121,'(橫掃)RX Mapping'!AU52&lt;=240), (-1)*('(橫掃)RX Mapping'!AU52-240),IF(AND('(橫掃)RX Mapping'!AU52&gt;=241,'(橫掃)RX Mapping'!AU52&lt;=360), ('(橫掃)RX Mapping'!AU52-241),IF(AND('(橫掃)RX Mapping'!AU52&gt;=361,'(橫掃)RX Mapping'!AU52&lt;=480), (-1)*('(橫掃)RX Mapping'!AU52-480),IF(AND('(橫掃)RX Mapping'!AU52&gt;=481,'(橫掃)RX Mapping'!AU52&lt;=600), ('(橫掃)RX Mapping'!AU52-361),IF(AND('(橫掃)RX Mapping'!AU52&gt;=601,'(橫掃)RX Mapping'!AU52&lt;=720), (-1)*('(橫掃)RX Mapping'!AU52-720)+120,IF(AND('(橫掃)RX Mapping'!AU52&gt;=721,'(橫掃)RX Mapping'!AU52&lt;=840), ('(橫掃)RX Mapping'!AU52-601),IF(AND('(橫掃)RX Mapping'!AU52&gt;=841,'(橫掃)RX Mapping'!AU52&lt;=960), (-1)*('(橫掃)RX Mapping'!AU52-960)+120,9999))))))))</f>
        <v>9999</v>
      </c>
      <c r="AV52">
        <f>IF(AND('(橫掃)RX Mapping'!AV52&gt;=1,'(橫掃)RX Mapping'!AV52&lt;=120), ('(橫掃)RX Mapping'!AV52-1),IF(AND('(橫掃)RX Mapping'!AV52&gt;=121,'(橫掃)RX Mapping'!AV52&lt;=240), (-1)*('(橫掃)RX Mapping'!AV52-240),IF(AND('(橫掃)RX Mapping'!AV52&gt;=241,'(橫掃)RX Mapping'!AV52&lt;=360), ('(橫掃)RX Mapping'!AV52-241),IF(AND('(橫掃)RX Mapping'!AV52&gt;=361,'(橫掃)RX Mapping'!AV52&lt;=480), (-1)*('(橫掃)RX Mapping'!AV52-480),IF(AND('(橫掃)RX Mapping'!AV52&gt;=481,'(橫掃)RX Mapping'!AV52&lt;=600), ('(橫掃)RX Mapping'!AV52-361),IF(AND('(橫掃)RX Mapping'!AV52&gt;=601,'(橫掃)RX Mapping'!AV52&lt;=720), (-1)*('(橫掃)RX Mapping'!AV52-720)+120,IF(AND('(橫掃)RX Mapping'!AV52&gt;=721,'(橫掃)RX Mapping'!AV52&lt;=840), ('(橫掃)RX Mapping'!AV52-601),IF(AND('(橫掃)RX Mapping'!AV52&gt;=841,'(橫掃)RX Mapping'!AV52&lt;=960), (-1)*('(橫掃)RX Mapping'!AV52-960)+120,9999))))))))</f>
        <v>9999</v>
      </c>
      <c r="AW52">
        <f>IF(AND('(橫掃)RX Mapping'!AW52&gt;=1,'(橫掃)RX Mapping'!AW52&lt;=120), ('(橫掃)RX Mapping'!AW52-1),IF(AND('(橫掃)RX Mapping'!AW52&gt;=121,'(橫掃)RX Mapping'!AW52&lt;=240), (-1)*('(橫掃)RX Mapping'!AW52-240),IF(AND('(橫掃)RX Mapping'!AW52&gt;=241,'(橫掃)RX Mapping'!AW52&lt;=360), ('(橫掃)RX Mapping'!AW52-241),IF(AND('(橫掃)RX Mapping'!AW52&gt;=361,'(橫掃)RX Mapping'!AW52&lt;=480), (-1)*('(橫掃)RX Mapping'!AW52-480),IF(AND('(橫掃)RX Mapping'!AW52&gt;=481,'(橫掃)RX Mapping'!AW52&lt;=600), ('(橫掃)RX Mapping'!AW52-361),IF(AND('(橫掃)RX Mapping'!AW52&gt;=601,'(橫掃)RX Mapping'!AW52&lt;=720), (-1)*('(橫掃)RX Mapping'!AW52-720)+120,IF(AND('(橫掃)RX Mapping'!AW52&gt;=721,'(橫掃)RX Mapping'!AW52&lt;=840), ('(橫掃)RX Mapping'!AW52-601),IF(AND('(橫掃)RX Mapping'!AW52&gt;=841,'(橫掃)RX Mapping'!AW52&lt;=960), (-1)*('(橫掃)RX Mapping'!AW52-960)+120,9999))))))))</f>
        <v>9999</v>
      </c>
      <c r="AX52">
        <f>IF(AND('(橫掃)RX Mapping'!AX52&gt;=1,'(橫掃)RX Mapping'!AX52&lt;=120), ('(橫掃)RX Mapping'!AX52-1),IF(AND('(橫掃)RX Mapping'!AX52&gt;=121,'(橫掃)RX Mapping'!AX52&lt;=240), (-1)*('(橫掃)RX Mapping'!AX52-240),IF(AND('(橫掃)RX Mapping'!AX52&gt;=241,'(橫掃)RX Mapping'!AX52&lt;=360), ('(橫掃)RX Mapping'!AX52-241),IF(AND('(橫掃)RX Mapping'!AX52&gt;=361,'(橫掃)RX Mapping'!AX52&lt;=480), (-1)*('(橫掃)RX Mapping'!AX52-480),IF(AND('(橫掃)RX Mapping'!AX52&gt;=481,'(橫掃)RX Mapping'!AX52&lt;=600), ('(橫掃)RX Mapping'!AX52-361),IF(AND('(橫掃)RX Mapping'!AX52&gt;=601,'(橫掃)RX Mapping'!AX52&lt;=720), (-1)*('(橫掃)RX Mapping'!AX52-720)+120,IF(AND('(橫掃)RX Mapping'!AX52&gt;=721,'(橫掃)RX Mapping'!AX52&lt;=840), ('(橫掃)RX Mapping'!AX52-601),IF(AND('(橫掃)RX Mapping'!AX52&gt;=841,'(橫掃)RX Mapping'!AX52&lt;=960), (-1)*('(橫掃)RX Mapping'!AX52-960)+120,9999))))))))</f>
        <v>9999</v>
      </c>
      <c r="AY52">
        <f>IF(AND('(橫掃)RX Mapping'!AY52&gt;=1,'(橫掃)RX Mapping'!AY52&lt;=120), ('(橫掃)RX Mapping'!AY52-1),IF(AND('(橫掃)RX Mapping'!AY52&gt;=121,'(橫掃)RX Mapping'!AY52&lt;=240), (-1)*('(橫掃)RX Mapping'!AY52-240),IF(AND('(橫掃)RX Mapping'!AY52&gt;=241,'(橫掃)RX Mapping'!AY52&lt;=360), ('(橫掃)RX Mapping'!AY52-241),IF(AND('(橫掃)RX Mapping'!AY52&gt;=361,'(橫掃)RX Mapping'!AY52&lt;=480), (-1)*('(橫掃)RX Mapping'!AY52-480),IF(AND('(橫掃)RX Mapping'!AY52&gt;=481,'(橫掃)RX Mapping'!AY52&lt;=600), ('(橫掃)RX Mapping'!AY52-361),IF(AND('(橫掃)RX Mapping'!AY52&gt;=601,'(橫掃)RX Mapping'!AY52&lt;=720), (-1)*('(橫掃)RX Mapping'!AY52-720)+120,IF(AND('(橫掃)RX Mapping'!AY52&gt;=721,'(橫掃)RX Mapping'!AY52&lt;=840), ('(橫掃)RX Mapping'!AY52-601),IF(AND('(橫掃)RX Mapping'!AY52&gt;=841,'(橫掃)RX Mapping'!AY52&lt;=960), (-1)*('(橫掃)RX Mapping'!AY52-960)+120,9999))))))))</f>
        <v>9999</v>
      </c>
      <c r="AZ52">
        <f>IF(AND('(橫掃)RX Mapping'!AZ52&gt;=1,'(橫掃)RX Mapping'!AZ52&lt;=120), ('(橫掃)RX Mapping'!AZ52-1),IF(AND('(橫掃)RX Mapping'!AZ52&gt;=121,'(橫掃)RX Mapping'!AZ52&lt;=240), (-1)*('(橫掃)RX Mapping'!AZ52-240),IF(AND('(橫掃)RX Mapping'!AZ52&gt;=241,'(橫掃)RX Mapping'!AZ52&lt;=360), ('(橫掃)RX Mapping'!AZ52-241),IF(AND('(橫掃)RX Mapping'!AZ52&gt;=361,'(橫掃)RX Mapping'!AZ52&lt;=480), (-1)*('(橫掃)RX Mapping'!AZ52-480),IF(AND('(橫掃)RX Mapping'!AZ52&gt;=481,'(橫掃)RX Mapping'!AZ52&lt;=600), ('(橫掃)RX Mapping'!AZ52-361),IF(AND('(橫掃)RX Mapping'!AZ52&gt;=601,'(橫掃)RX Mapping'!AZ52&lt;=720), (-1)*('(橫掃)RX Mapping'!AZ52-720)+120,IF(AND('(橫掃)RX Mapping'!AZ52&gt;=721,'(橫掃)RX Mapping'!AZ52&lt;=840), ('(橫掃)RX Mapping'!AZ52-601),IF(AND('(橫掃)RX Mapping'!AZ52&gt;=841,'(橫掃)RX Mapping'!AZ52&lt;=960), (-1)*('(橫掃)RX Mapping'!AZ52-960)+120,9999))))))))</f>
        <v>9999</v>
      </c>
      <c r="BA52">
        <f>IF(AND('(橫掃)RX Mapping'!BA52&gt;=1,'(橫掃)RX Mapping'!BA52&lt;=120), ('(橫掃)RX Mapping'!BA52-1),IF(AND('(橫掃)RX Mapping'!BA52&gt;=121,'(橫掃)RX Mapping'!BA52&lt;=240), (-1)*('(橫掃)RX Mapping'!BA52-240),IF(AND('(橫掃)RX Mapping'!BA52&gt;=241,'(橫掃)RX Mapping'!BA52&lt;=360), ('(橫掃)RX Mapping'!BA52-241),IF(AND('(橫掃)RX Mapping'!BA52&gt;=361,'(橫掃)RX Mapping'!BA52&lt;=480), (-1)*('(橫掃)RX Mapping'!BA52-480),IF(AND('(橫掃)RX Mapping'!BA52&gt;=481,'(橫掃)RX Mapping'!BA52&lt;=600), ('(橫掃)RX Mapping'!BA52-361),IF(AND('(橫掃)RX Mapping'!BA52&gt;=601,'(橫掃)RX Mapping'!BA52&lt;=720), (-1)*('(橫掃)RX Mapping'!BA52-720)+120,IF(AND('(橫掃)RX Mapping'!BA52&gt;=721,'(橫掃)RX Mapping'!BA52&lt;=840), ('(橫掃)RX Mapping'!BA52-601),IF(AND('(橫掃)RX Mapping'!BA52&gt;=841,'(橫掃)RX Mapping'!BA52&lt;=960), (-1)*('(橫掃)RX Mapping'!BA52-960)+120,9999))))))))</f>
        <v>9999</v>
      </c>
      <c r="BB52">
        <f>IF(AND('(橫掃)RX Mapping'!BB52&gt;=1,'(橫掃)RX Mapping'!BB52&lt;=120), ('(橫掃)RX Mapping'!BB52-1),IF(AND('(橫掃)RX Mapping'!BB52&gt;=121,'(橫掃)RX Mapping'!BB52&lt;=240), (-1)*('(橫掃)RX Mapping'!BB52-240),IF(AND('(橫掃)RX Mapping'!BB52&gt;=241,'(橫掃)RX Mapping'!BB52&lt;=360), ('(橫掃)RX Mapping'!BB52-241),IF(AND('(橫掃)RX Mapping'!BB52&gt;=361,'(橫掃)RX Mapping'!BB52&lt;=480), (-1)*('(橫掃)RX Mapping'!BB52-480),IF(AND('(橫掃)RX Mapping'!BB52&gt;=481,'(橫掃)RX Mapping'!BB52&lt;=600), ('(橫掃)RX Mapping'!BB52-361),IF(AND('(橫掃)RX Mapping'!BB52&gt;=601,'(橫掃)RX Mapping'!BB52&lt;=720), (-1)*('(橫掃)RX Mapping'!BB52-720)+120,IF(AND('(橫掃)RX Mapping'!BB52&gt;=721,'(橫掃)RX Mapping'!BB52&lt;=840), ('(橫掃)RX Mapping'!BB52-601),IF(AND('(橫掃)RX Mapping'!BB52&gt;=841,'(橫掃)RX Mapping'!BB52&lt;=960), (-1)*('(橫掃)RX Mapping'!BB52-960)+120,9999))))))))</f>
        <v>9999</v>
      </c>
      <c r="BC52">
        <f>IF(AND('(橫掃)RX Mapping'!BC52&gt;=1,'(橫掃)RX Mapping'!BC52&lt;=120), ('(橫掃)RX Mapping'!BC52-1),IF(AND('(橫掃)RX Mapping'!BC52&gt;=121,'(橫掃)RX Mapping'!BC52&lt;=240), (-1)*('(橫掃)RX Mapping'!BC52-240),IF(AND('(橫掃)RX Mapping'!BC52&gt;=241,'(橫掃)RX Mapping'!BC52&lt;=360), ('(橫掃)RX Mapping'!BC52-241),IF(AND('(橫掃)RX Mapping'!BC52&gt;=361,'(橫掃)RX Mapping'!BC52&lt;=480), (-1)*('(橫掃)RX Mapping'!BC52-480),IF(AND('(橫掃)RX Mapping'!BC52&gt;=481,'(橫掃)RX Mapping'!BC52&lt;=600), ('(橫掃)RX Mapping'!BC52-361),IF(AND('(橫掃)RX Mapping'!BC52&gt;=601,'(橫掃)RX Mapping'!BC52&lt;=720), (-1)*('(橫掃)RX Mapping'!BC52-720)+120,IF(AND('(橫掃)RX Mapping'!BC52&gt;=721,'(橫掃)RX Mapping'!BC52&lt;=840), ('(橫掃)RX Mapping'!BC52-601),IF(AND('(橫掃)RX Mapping'!BC52&gt;=841,'(橫掃)RX Mapping'!BC52&lt;=960), (-1)*('(橫掃)RX Mapping'!BC52-960)+120,9999))))))))</f>
        <v>9999</v>
      </c>
      <c r="BD52">
        <f>IF(AND('(橫掃)RX Mapping'!BD52&gt;=1,'(橫掃)RX Mapping'!BD52&lt;=120), ('(橫掃)RX Mapping'!BD52-1),IF(AND('(橫掃)RX Mapping'!BD52&gt;=121,'(橫掃)RX Mapping'!BD52&lt;=240), (-1)*('(橫掃)RX Mapping'!BD52-240),IF(AND('(橫掃)RX Mapping'!BD52&gt;=241,'(橫掃)RX Mapping'!BD52&lt;=360), ('(橫掃)RX Mapping'!BD52-241),IF(AND('(橫掃)RX Mapping'!BD52&gt;=361,'(橫掃)RX Mapping'!BD52&lt;=480), (-1)*('(橫掃)RX Mapping'!BD52-480),IF(AND('(橫掃)RX Mapping'!BD52&gt;=481,'(橫掃)RX Mapping'!BD52&lt;=600), ('(橫掃)RX Mapping'!BD52-361),IF(AND('(橫掃)RX Mapping'!BD52&gt;=601,'(橫掃)RX Mapping'!BD52&lt;=720), (-1)*('(橫掃)RX Mapping'!BD52-720)+120,IF(AND('(橫掃)RX Mapping'!BD52&gt;=721,'(橫掃)RX Mapping'!BD52&lt;=840), ('(橫掃)RX Mapping'!BD52-601),IF(AND('(橫掃)RX Mapping'!BD52&gt;=841,'(橫掃)RX Mapping'!BD52&lt;=960), (-1)*('(橫掃)RX Mapping'!BD52-960)+120,9999))))))))</f>
        <v>9999</v>
      </c>
      <c r="BE52">
        <f>IF(AND('(橫掃)RX Mapping'!BE52&gt;=1,'(橫掃)RX Mapping'!BE52&lt;=120), ('(橫掃)RX Mapping'!BE52-1),IF(AND('(橫掃)RX Mapping'!BE52&gt;=121,'(橫掃)RX Mapping'!BE52&lt;=240), (-1)*('(橫掃)RX Mapping'!BE52-240),IF(AND('(橫掃)RX Mapping'!BE52&gt;=241,'(橫掃)RX Mapping'!BE52&lt;=360), ('(橫掃)RX Mapping'!BE52-241),IF(AND('(橫掃)RX Mapping'!BE52&gt;=361,'(橫掃)RX Mapping'!BE52&lt;=480), (-1)*('(橫掃)RX Mapping'!BE52-480),IF(AND('(橫掃)RX Mapping'!BE52&gt;=481,'(橫掃)RX Mapping'!BE52&lt;=600), ('(橫掃)RX Mapping'!BE52-361),IF(AND('(橫掃)RX Mapping'!BE52&gt;=601,'(橫掃)RX Mapping'!BE52&lt;=720), (-1)*('(橫掃)RX Mapping'!BE52-720)+120,IF(AND('(橫掃)RX Mapping'!BE52&gt;=721,'(橫掃)RX Mapping'!BE52&lt;=840), ('(橫掃)RX Mapping'!BE52-601),IF(AND('(橫掃)RX Mapping'!BE52&gt;=841,'(橫掃)RX Mapping'!BE52&lt;=960), (-1)*('(橫掃)RX Mapping'!BE52-960)+120,9999))))))))</f>
        <v>9999</v>
      </c>
      <c r="BF52">
        <f>IF(AND('(橫掃)RX Mapping'!BF52&gt;=1,'(橫掃)RX Mapping'!BF52&lt;=120), ('(橫掃)RX Mapping'!BF52-1),IF(AND('(橫掃)RX Mapping'!BF52&gt;=121,'(橫掃)RX Mapping'!BF52&lt;=240), (-1)*('(橫掃)RX Mapping'!BF52-240),IF(AND('(橫掃)RX Mapping'!BF52&gt;=241,'(橫掃)RX Mapping'!BF52&lt;=360), ('(橫掃)RX Mapping'!BF52-241),IF(AND('(橫掃)RX Mapping'!BF52&gt;=361,'(橫掃)RX Mapping'!BF52&lt;=480), (-1)*('(橫掃)RX Mapping'!BF52-480),IF(AND('(橫掃)RX Mapping'!BF52&gt;=481,'(橫掃)RX Mapping'!BF52&lt;=600), ('(橫掃)RX Mapping'!BF52-361),IF(AND('(橫掃)RX Mapping'!BF52&gt;=601,'(橫掃)RX Mapping'!BF52&lt;=720), (-1)*('(橫掃)RX Mapping'!BF52-720)+120,IF(AND('(橫掃)RX Mapping'!BF52&gt;=721,'(橫掃)RX Mapping'!BF52&lt;=840), ('(橫掃)RX Mapping'!BF52-601),IF(AND('(橫掃)RX Mapping'!BF52&gt;=841,'(橫掃)RX Mapping'!BF52&lt;=960), (-1)*('(橫掃)RX Mapping'!BF52-960)+120,9999))))))))</f>
        <v>9999</v>
      </c>
      <c r="BG52">
        <f>IF(AND('(橫掃)RX Mapping'!BG52&gt;=1,'(橫掃)RX Mapping'!BG52&lt;=120), ('(橫掃)RX Mapping'!BG52-1),IF(AND('(橫掃)RX Mapping'!BG52&gt;=121,'(橫掃)RX Mapping'!BG52&lt;=240), (-1)*('(橫掃)RX Mapping'!BG52-240),IF(AND('(橫掃)RX Mapping'!BG52&gt;=241,'(橫掃)RX Mapping'!BG52&lt;=360), ('(橫掃)RX Mapping'!BG52-241),IF(AND('(橫掃)RX Mapping'!BG52&gt;=361,'(橫掃)RX Mapping'!BG52&lt;=480), (-1)*('(橫掃)RX Mapping'!BG52-480),IF(AND('(橫掃)RX Mapping'!BG52&gt;=481,'(橫掃)RX Mapping'!BG52&lt;=600), ('(橫掃)RX Mapping'!BG52-361),IF(AND('(橫掃)RX Mapping'!BG52&gt;=601,'(橫掃)RX Mapping'!BG52&lt;=720), (-1)*('(橫掃)RX Mapping'!BG52-720)+120,IF(AND('(橫掃)RX Mapping'!BG52&gt;=721,'(橫掃)RX Mapping'!BG52&lt;=840), ('(橫掃)RX Mapping'!BG52-601),IF(AND('(橫掃)RX Mapping'!BG52&gt;=841,'(橫掃)RX Mapping'!BG52&lt;=960), (-1)*('(橫掃)RX Mapping'!BG52-960)+120,9999))))))))</f>
        <v>9999</v>
      </c>
      <c r="BH52">
        <f>IF(AND('(橫掃)RX Mapping'!BH52&gt;=1,'(橫掃)RX Mapping'!BH52&lt;=120), ('(橫掃)RX Mapping'!BH52-1),IF(AND('(橫掃)RX Mapping'!BH52&gt;=121,'(橫掃)RX Mapping'!BH52&lt;=240), (-1)*('(橫掃)RX Mapping'!BH52-240),IF(AND('(橫掃)RX Mapping'!BH52&gt;=241,'(橫掃)RX Mapping'!BH52&lt;=360), ('(橫掃)RX Mapping'!BH52-241),IF(AND('(橫掃)RX Mapping'!BH52&gt;=361,'(橫掃)RX Mapping'!BH52&lt;=480), (-1)*('(橫掃)RX Mapping'!BH52-480),IF(AND('(橫掃)RX Mapping'!BH52&gt;=481,'(橫掃)RX Mapping'!BH52&lt;=600), ('(橫掃)RX Mapping'!BH52-361),IF(AND('(橫掃)RX Mapping'!BH52&gt;=601,'(橫掃)RX Mapping'!BH52&lt;=720), (-1)*('(橫掃)RX Mapping'!BH52-720)+120,IF(AND('(橫掃)RX Mapping'!BH52&gt;=721,'(橫掃)RX Mapping'!BH52&lt;=840), ('(橫掃)RX Mapping'!BH52-601),IF(AND('(橫掃)RX Mapping'!BH52&gt;=841,'(橫掃)RX Mapping'!BH52&lt;=960), (-1)*('(橫掃)RX Mapping'!BH52-960)+120,9999))))))))</f>
        <v>9999</v>
      </c>
      <c r="BI52">
        <f>IF(AND('(橫掃)RX Mapping'!BI52&gt;=1,'(橫掃)RX Mapping'!BI52&lt;=120), ('(橫掃)RX Mapping'!BI52-1),IF(AND('(橫掃)RX Mapping'!BI52&gt;=121,'(橫掃)RX Mapping'!BI52&lt;=240), (-1)*('(橫掃)RX Mapping'!BI52-240),IF(AND('(橫掃)RX Mapping'!BI52&gt;=241,'(橫掃)RX Mapping'!BI52&lt;=360), ('(橫掃)RX Mapping'!BI52-241),IF(AND('(橫掃)RX Mapping'!BI52&gt;=361,'(橫掃)RX Mapping'!BI52&lt;=480), (-1)*('(橫掃)RX Mapping'!BI52-480),IF(AND('(橫掃)RX Mapping'!BI52&gt;=481,'(橫掃)RX Mapping'!BI52&lt;=600), ('(橫掃)RX Mapping'!BI52-361),IF(AND('(橫掃)RX Mapping'!BI52&gt;=601,'(橫掃)RX Mapping'!BI52&lt;=720), (-1)*('(橫掃)RX Mapping'!BI52-720)+120,IF(AND('(橫掃)RX Mapping'!BI52&gt;=721,'(橫掃)RX Mapping'!BI52&lt;=840), ('(橫掃)RX Mapping'!BI52-601),IF(AND('(橫掃)RX Mapping'!BI52&gt;=841,'(橫掃)RX Mapping'!BI52&lt;=960), (-1)*('(橫掃)RX Mapping'!BI52-960)+120,9999))))))))</f>
        <v>9999</v>
      </c>
    </row>
    <row r="53" spans="1:61" x14ac:dyDescent="0.25">
      <c r="A53" s="20">
        <v>52</v>
      </c>
      <c r="B53">
        <f>IF(AND('(橫掃)RX Mapping'!B53&gt;=1,'(橫掃)RX Mapping'!B53&lt;=120), ('(橫掃)RX Mapping'!B53-1),IF(AND('(橫掃)RX Mapping'!B53&gt;=121,'(橫掃)RX Mapping'!B53&lt;=240), (-1)*('(橫掃)RX Mapping'!B53-240),IF(AND('(橫掃)RX Mapping'!B53&gt;=241,'(橫掃)RX Mapping'!B53&lt;=360), ('(橫掃)RX Mapping'!B53-241),IF(AND('(橫掃)RX Mapping'!B53&gt;=361,'(橫掃)RX Mapping'!B53&lt;=480), (-1)*('(橫掃)RX Mapping'!B53-480),IF(AND('(橫掃)RX Mapping'!B53&gt;=481,'(橫掃)RX Mapping'!B53&lt;=600), ('(橫掃)RX Mapping'!B53-361),IF(AND('(橫掃)RX Mapping'!B53&gt;=601,'(橫掃)RX Mapping'!B53&lt;=720), (-1)*('(橫掃)RX Mapping'!B53-720)+120,IF(AND('(橫掃)RX Mapping'!B53&gt;=721,'(橫掃)RX Mapping'!B53&lt;=840), ('(橫掃)RX Mapping'!B53-601),IF(AND('(橫掃)RX Mapping'!B53&gt;=841,'(橫掃)RX Mapping'!B53&lt;=960), (-1)*('(橫掃)RX Mapping'!B53-960)+120,9999))))))))</f>
        <v>9999</v>
      </c>
      <c r="C53">
        <f>IF(AND('(橫掃)RX Mapping'!C53&gt;=1,'(橫掃)RX Mapping'!C53&lt;=120), ('(橫掃)RX Mapping'!C53-1),IF(AND('(橫掃)RX Mapping'!C53&gt;=121,'(橫掃)RX Mapping'!C53&lt;=240), (-1)*('(橫掃)RX Mapping'!C53-240),IF(AND('(橫掃)RX Mapping'!C53&gt;=241,'(橫掃)RX Mapping'!C53&lt;=360), ('(橫掃)RX Mapping'!C53-241),IF(AND('(橫掃)RX Mapping'!C53&gt;=361,'(橫掃)RX Mapping'!C53&lt;=480), (-1)*('(橫掃)RX Mapping'!C53-480),IF(AND('(橫掃)RX Mapping'!C53&gt;=481,'(橫掃)RX Mapping'!C53&lt;=600), ('(橫掃)RX Mapping'!C53-361),IF(AND('(橫掃)RX Mapping'!C53&gt;=601,'(橫掃)RX Mapping'!C53&lt;=720), (-1)*('(橫掃)RX Mapping'!C53-720)+120,IF(AND('(橫掃)RX Mapping'!C53&gt;=721,'(橫掃)RX Mapping'!C53&lt;=840), ('(橫掃)RX Mapping'!C53-601),IF(AND('(橫掃)RX Mapping'!C53&gt;=841,'(橫掃)RX Mapping'!C53&lt;=960), (-1)*('(橫掃)RX Mapping'!C53-960)+120,9999))))))))</f>
        <v>9999</v>
      </c>
      <c r="D53">
        <f>IF(AND('(橫掃)RX Mapping'!D53&gt;=1,'(橫掃)RX Mapping'!D53&lt;=120), ('(橫掃)RX Mapping'!D53-1),IF(AND('(橫掃)RX Mapping'!D53&gt;=121,'(橫掃)RX Mapping'!D53&lt;=240), (-1)*('(橫掃)RX Mapping'!D53-240),IF(AND('(橫掃)RX Mapping'!D53&gt;=241,'(橫掃)RX Mapping'!D53&lt;=360), ('(橫掃)RX Mapping'!D53-241),IF(AND('(橫掃)RX Mapping'!D53&gt;=361,'(橫掃)RX Mapping'!D53&lt;=480), (-1)*('(橫掃)RX Mapping'!D53-480),IF(AND('(橫掃)RX Mapping'!D53&gt;=481,'(橫掃)RX Mapping'!D53&lt;=600), ('(橫掃)RX Mapping'!D53-361),IF(AND('(橫掃)RX Mapping'!D53&gt;=601,'(橫掃)RX Mapping'!D53&lt;=720), (-1)*('(橫掃)RX Mapping'!D53-720)+120,IF(AND('(橫掃)RX Mapping'!D53&gt;=721,'(橫掃)RX Mapping'!D53&lt;=840), ('(橫掃)RX Mapping'!D53-601),IF(AND('(橫掃)RX Mapping'!D53&gt;=841,'(橫掃)RX Mapping'!D53&lt;=960), (-1)*('(橫掃)RX Mapping'!D53-960)+120,9999))))))))</f>
        <v>9999</v>
      </c>
      <c r="E53">
        <f>IF(AND('(橫掃)RX Mapping'!E53&gt;=1,'(橫掃)RX Mapping'!E53&lt;=120), ('(橫掃)RX Mapping'!E53-1),IF(AND('(橫掃)RX Mapping'!E53&gt;=121,'(橫掃)RX Mapping'!E53&lt;=240), (-1)*('(橫掃)RX Mapping'!E53-240),IF(AND('(橫掃)RX Mapping'!E53&gt;=241,'(橫掃)RX Mapping'!E53&lt;=360), ('(橫掃)RX Mapping'!E53-241),IF(AND('(橫掃)RX Mapping'!E53&gt;=361,'(橫掃)RX Mapping'!E53&lt;=480), (-1)*('(橫掃)RX Mapping'!E53-480),IF(AND('(橫掃)RX Mapping'!E53&gt;=481,'(橫掃)RX Mapping'!E53&lt;=600), ('(橫掃)RX Mapping'!E53-361),IF(AND('(橫掃)RX Mapping'!E53&gt;=601,'(橫掃)RX Mapping'!E53&lt;=720), (-1)*('(橫掃)RX Mapping'!E53-720)+120,IF(AND('(橫掃)RX Mapping'!E53&gt;=721,'(橫掃)RX Mapping'!E53&lt;=840), ('(橫掃)RX Mapping'!E53-601),IF(AND('(橫掃)RX Mapping'!E53&gt;=841,'(橫掃)RX Mapping'!E53&lt;=960), (-1)*('(橫掃)RX Mapping'!E53-960)+120,9999))))))))</f>
        <v>9999</v>
      </c>
      <c r="F53">
        <f>IF(AND('(橫掃)RX Mapping'!F53&gt;=1,'(橫掃)RX Mapping'!F53&lt;=120), ('(橫掃)RX Mapping'!F53-1),IF(AND('(橫掃)RX Mapping'!F53&gt;=121,'(橫掃)RX Mapping'!F53&lt;=240), (-1)*('(橫掃)RX Mapping'!F53-240),IF(AND('(橫掃)RX Mapping'!F53&gt;=241,'(橫掃)RX Mapping'!F53&lt;=360), ('(橫掃)RX Mapping'!F53-241),IF(AND('(橫掃)RX Mapping'!F53&gt;=361,'(橫掃)RX Mapping'!F53&lt;=480), (-1)*('(橫掃)RX Mapping'!F53-480),IF(AND('(橫掃)RX Mapping'!F53&gt;=481,'(橫掃)RX Mapping'!F53&lt;=600), ('(橫掃)RX Mapping'!F53-361),IF(AND('(橫掃)RX Mapping'!F53&gt;=601,'(橫掃)RX Mapping'!F53&lt;=720), (-1)*('(橫掃)RX Mapping'!F53-720)+120,IF(AND('(橫掃)RX Mapping'!F53&gt;=721,'(橫掃)RX Mapping'!F53&lt;=840), ('(橫掃)RX Mapping'!F53-601),IF(AND('(橫掃)RX Mapping'!F53&gt;=841,'(橫掃)RX Mapping'!F53&lt;=960), (-1)*('(橫掃)RX Mapping'!F53-960)+120,9999))))))))</f>
        <v>9999</v>
      </c>
      <c r="G53">
        <f>IF(AND('(橫掃)RX Mapping'!G53&gt;=1,'(橫掃)RX Mapping'!G53&lt;=120), ('(橫掃)RX Mapping'!G53-1),IF(AND('(橫掃)RX Mapping'!G53&gt;=121,'(橫掃)RX Mapping'!G53&lt;=240), (-1)*('(橫掃)RX Mapping'!G53-240),IF(AND('(橫掃)RX Mapping'!G53&gt;=241,'(橫掃)RX Mapping'!G53&lt;=360), ('(橫掃)RX Mapping'!G53-241),IF(AND('(橫掃)RX Mapping'!G53&gt;=361,'(橫掃)RX Mapping'!G53&lt;=480), (-1)*('(橫掃)RX Mapping'!G53-480),IF(AND('(橫掃)RX Mapping'!G53&gt;=481,'(橫掃)RX Mapping'!G53&lt;=600), ('(橫掃)RX Mapping'!G53-361),IF(AND('(橫掃)RX Mapping'!G53&gt;=601,'(橫掃)RX Mapping'!G53&lt;=720), (-1)*('(橫掃)RX Mapping'!G53-720)+120,IF(AND('(橫掃)RX Mapping'!G53&gt;=721,'(橫掃)RX Mapping'!G53&lt;=840), ('(橫掃)RX Mapping'!G53-601),IF(AND('(橫掃)RX Mapping'!G53&gt;=841,'(橫掃)RX Mapping'!G53&lt;=960), (-1)*('(橫掃)RX Mapping'!G53-960)+120,9999))))))))</f>
        <v>9999</v>
      </c>
      <c r="H53">
        <f>IF(AND('(橫掃)RX Mapping'!H53&gt;=1,'(橫掃)RX Mapping'!H53&lt;=120), ('(橫掃)RX Mapping'!H53-1),IF(AND('(橫掃)RX Mapping'!H53&gt;=121,'(橫掃)RX Mapping'!H53&lt;=240), (-1)*('(橫掃)RX Mapping'!H53-240),IF(AND('(橫掃)RX Mapping'!H53&gt;=241,'(橫掃)RX Mapping'!H53&lt;=360), ('(橫掃)RX Mapping'!H53-241),IF(AND('(橫掃)RX Mapping'!H53&gt;=361,'(橫掃)RX Mapping'!H53&lt;=480), (-1)*('(橫掃)RX Mapping'!H53-480),IF(AND('(橫掃)RX Mapping'!H53&gt;=481,'(橫掃)RX Mapping'!H53&lt;=600), ('(橫掃)RX Mapping'!H53-361),IF(AND('(橫掃)RX Mapping'!H53&gt;=601,'(橫掃)RX Mapping'!H53&lt;=720), (-1)*('(橫掃)RX Mapping'!H53-720)+120,IF(AND('(橫掃)RX Mapping'!H53&gt;=721,'(橫掃)RX Mapping'!H53&lt;=840), ('(橫掃)RX Mapping'!H53-601),IF(AND('(橫掃)RX Mapping'!H53&gt;=841,'(橫掃)RX Mapping'!H53&lt;=960), (-1)*('(橫掃)RX Mapping'!H53-960)+120,9999))))))))</f>
        <v>9999</v>
      </c>
      <c r="I53">
        <f>IF(AND('(橫掃)RX Mapping'!I53&gt;=1,'(橫掃)RX Mapping'!I53&lt;=120), ('(橫掃)RX Mapping'!I53-1),IF(AND('(橫掃)RX Mapping'!I53&gt;=121,'(橫掃)RX Mapping'!I53&lt;=240), (-1)*('(橫掃)RX Mapping'!I53-240),IF(AND('(橫掃)RX Mapping'!I53&gt;=241,'(橫掃)RX Mapping'!I53&lt;=360), ('(橫掃)RX Mapping'!I53-241),IF(AND('(橫掃)RX Mapping'!I53&gt;=361,'(橫掃)RX Mapping'!I53&lt;=480), (-1)*('(橫掃)RX Mapping'!I53-480),IF(AND('(橫掃)RX Mapping'!I53&gt;=481,'(橫掃)RX Mapping'!I53&lt;=600), ('(橫掃)RX Mapping'!I53-361),IF(AND('(橫掃)RX Mapping'!I53&gt;=601,'(橫掃)RX Mapping'!I53&lt;=720), (-1)*('(橫掃)RX Mapping'!I53-720)+120,IF(AND('(橫掃)RX Mapping'!I53&gt;=721,'(橫掃)RX Mapping'!I53&lt;=840), ('(橫掃)RX Mapping'!I53-601),IF(AND('(橫掃)RX Mapping'!I53&gt;=841,'(橫掃)RX Mapping'!I53&lt;=960), (-1)*('(橫掃)RX Mapping'!I53-960)+120,9999))))))))</f>
        <v>9999</v>
      </c>
      <c r="J53">
        <f>IF(AND('(橫掃)RX Mapping'!J53&gt;=1,'(橫掃)RX Mapping'!J53&lt;=120), ('(橫掃)RX Mapping'!J53-1),IF(AND('(橫掃)RX Mapping'!J53&gt;=121,'(橫掃)RX Mapping'!J53&lt;=240), (-1)*('(橫掃)RX Mapping'!J53-240),IF(AND('(橫掃)RX Mapping'!J53&gt;=241,'(橫掃)RX Mapping'!J53&lt;=360), ('(橫掃)RX Mapping'!J53-241),IF(AND('(橫掃)RX Mapping'!J53&gt;=361,'(橫掃)RX Mapping'!J53&lt;=480), (-1)*('(橫掃)RX Mapping'!J53-480),IF(AND('(橫掃)RX Mapping'!J53&gt;=481,'(橫掃)RX Mapping'!J53&lt;=600), ('(橫掃)RX Mapping'!J53-361),IF(AND('(橫掃)RX Mapping'!J53&gt;=601,'(橫掃)RX Mapping'!J53&lt;=720), (-1)*('(橫掃)RX Mapping'!J53-720)+120,IF(AND('(橫掃)RX Mapping'!J53&gt;=721,'(橫掃)RX Mapping'!J53&lt;=840), ('(橫掃)RX Mapping'!J53-601),IF(AND('(橫掃)RX Mapping'!J53&gt;=841,'(橫掃)RX Mapping'!J53&lt;=960), (-1)*('(橫掃)RX Mapping'!J53-960)+120,9999))))))))</f>
        <v>9999</v>
      </c>
      <c r="K53">
        <f>IF(AND('(橫掃)RX Mapping'!K53&gt;=1,'(橫掃)RX Mapping'!K53&lt;=120), ('(橫掃)RX Mapping'!K53-1),IF(AND('(橫掃)RX Mapping'!K53&gt;=121,'(橫掃)RX Mapping'!K53&lt;=240), (-1)*('(橫掃)RX Mapping'!K53-240),IF(AND('(橫掃)RX Mapping'!K53&gt;=241,'(橫掃)RX Mapping'!K53&lt;=360), ('(橫掃)RX Mapping'!K53-241),IF(AND('(橫掃)RX Mapping'!K53&gt;=361,'(橫掃)RX Mapping'!K53&lt;=480), (-1)*('(橫掃)RX Mapping'!K53-480),IF(AND('(橫掃)RX Mapping'!K53&gt;=481,'(橫掃)RX Mapping'!K53&lt;=600), ('(橫掃)RX Mapping'!K53-361),IF(AND('(橫掃)RX Mapping'!K53&gt;=601,'(橫掃)RX Mapping'!K53&lt;=720), (-1)*('(橫掃)RX Mapping'!K53-720)+120,IF(AND('(橫掃)RX Mapping'!K53&gt;=721,'(橫掃)RX Mapping'!K53&lt;=840), ('(橫掃)RX Mapping'!K53-601),IF(AND('(橫掃)RX Mapping'!K53&gt;=841,'(橫掃)RX Mapping'!K53&lt;=960), (-1)*('(橫掃)RX Mapping'!K53-960)+120,9999))))))))</f>
        <v>9999</v>
      </c>
      <c r="L53">
        <f>IF(AND('(橫掃)RX Mapping'!L53&gt;=1,'(橫掃)RX Mapping'!L53&lt;=120), ('(橫掃)RX Mapping'!L53-1),IF(AND('(橫掃)RX Mapping'!L53&gt;=121,'(橫掃)RX Mapping'!L53&lt;=240), (-1)*('(橫掃)RX Mapping'!L53-240),IF(AND('(橫掃)RX Mapping'!L53&gt;=241,'(橫掃)RX Mapping'!L53&lt;=360), ('(橫掃)RX Mapping'!L53-241),IF(AND('(橫掃)RX Mapping'!L53&gt;=361,'(橫掃)RX Mapping'!L53&lt;=480), (-1)*('(橫掃)RX Mapping'!L53-480),IF(AND('(橫掃)RX Mapping'!L53&gt;=481,'(橫掃)RX Mapping'!L53&lt;=600), ('(橫掃)RX Mapping'!L53-361),IF(AND('(橫掃)RX Mapping'!L53&gt;=601,'(橫掃)RX Mapping'!L53&lt;=720), (-1)*('(橫掃)RX Mapping'!L53-720)+120,IF(AND('(橫掃)RX Mapping'!L53&gt;=721,'(橫掃)RX Mapping'!L53&lt;=840), ('(橫掃)RX Mapping'!L53-601),IF(AND('(橫掃)RX Mapping'!L53&gt;=841,'(橫掃)RX Mapping'!L53&lt;=960), (-1)*('(橫掃)RX Mapping'!L53-960)+120,9999))))))))</f>
        <v>9999</v>
      </c>
      <c r="M53">
        <f>IF(AND('(橫掃)RX Mapping'!M53&gt;=1,'(橫掃)RX Mapping'!M53&lt;=120), ('(橫掃)RX Mapping'!M53-1),IF(AND('(橫掃)RX Mapping'!M53&gt;=121,'(橫掃)RX Mapping'!M53&lt;=240), (-1)*('(橫掃)RX Mapping'!M53-240),IF(AND('(橫掃)RX Mapping'!M53&gt;=241,'(橫掃)RX Mapping'!M53&lt;=360), ('(橫掃)RX Mapping'!M53-241),IF(AND('(橫掃)RX Mapping'!M53&gt;=361,'(橫掃)RX Mapping'!M53&lt;=480), (-1)*('(橫掃)RX Mapping'!M53-480),IF(AND('(橫掃)RX Mapping'!M53&gt;=481,'(橫掃)RX Mapping'!M53&lt;=600), ('(橫掃)RX Mapping'!M53-361),IF(AND('(橫掃)RX Mapping'!M53&gt;=601,'(橫掃)RX Mapping'!M53&lt;=720), (-1)*('(橫掃)RX Mapping'!M53-720)+120,IF(AND('(橫掃)RX Mapping'!M53&gt;=721,'(橫掃)RX Mapping'!M53&lt;=840), ('(橫掃)RX Mapping'!M53-601),IF(AND('(橫掃)RX Mapping'!M53&gt;=841,'(橫掃)RX Mapping'!M53&lt;=960), (-1)*('(橫掃)RX Mapping'!M53-960)+120,9999))))))))</f>
        <v>9999</v>
      </c>
      <c r="N53">
        <f>IF(AND('(橫掃)RX Mapping'!N53&gt;=1,'(橫掃)RX Mapping'!N53&lt;=120), ('(橫掃)RX Mapping'!N53-1),IF(AND('(橫掃)RX Mapping'!N53&gt;=121,'(橫掃)RX Mapping'!N53&lt;=240), (-1)*('(橫掃)RX Mapping'!N53-240),IF(AND('(橫掃)RX Mapping'!N53&gt;=241,'(橫掃)RX Mapping'!N53&lt;=360), ('(橫掃)RX Mapping'!N53-241),IF(AND('(橫掃)RX Mapping'!N53&gt;=361,'(橫掃)RX Mapping'!N53&lt;=480), (-1)*('(橫掃)RX Mapping'!N53-480),IF(AND('(橫掃)RX Mapping'!N53&gt;=481,'(橫掃)RX Mapping'!N53&lt;=600), ('(橫掃)RX Mapping'!N53-361),IF(AND('(橫掃)RX Mapping'!N53&gt;=601,'(橫掃)RX Mapping'!N53&lt;=720), (-1)*('(橫掃)RX Mapping'!N53-720)+120,IF(AND('(橫掃)RX Mapping'!N53&gt;=721,'(橫掃)RX Mapping'!N53&lt;=840), ('(橫掃)RX Mapping'!N53-601),IF(AND('(橫掃)RX Mapping'!N53&gt;=841,'(橫掃)RX Mapping'!N53&lt;=960), (-1)*('(橫掃)RX Mapping'!N53-960)+120,9999))))))))</f>
        <v>9999</v>
      </c>
      <c r="O53">
        <f>IF(AND('(橫掃)RX Mapping'!O53&gt;=1,'(橫掃)RX Mapping'!O53&lt;=120), ('(橫掃)RX Mapping'!O53-1),IF(AND('(橫掃)RX Mapping'!O53&gt;=121,'(橫掃)RX Mapping'!O53&lt;=240), (-1)*('(橫掃)RX Mapping'!O53-240),IF(AND('(橫掃)RX Mapping'!O53&gt;=241,'(橫掃)RX Mapping'!O53&lt;=360), ('(橫掃)RX Mapping'!O53-241),IF(AND('(橫掃)RX Mapping'!O53&gt;=361,'(橫掃)RX Mapping'!O53&lt;=480), (-1)*('(橫掃)RX Mapping'!O53-480),IF(AND('(橫掃)RX Mapping'!O53&gt;=481,'(橫掃)RX Mapping'!O53&lt;=600), ('(橫掃)RX Mapping'!O53-361),IF(AND('(橫掃)RX Mapping'!O53&gt;=601,'(橫掃)RX Mapping'!O53&lt;=720), (-1)*('(橫掃)RX Mapping'!O53-720)+120,IF(AND('(橫掃)RX Mapping'!O53&gt;=721,'(橫掃)RX Mapping'!O53&lt;=840), ('(橫掃)RX Mapping'!O53-601),IF(AND('(橫掃)RX Mapping'!O53&gt;=841,'(橫掃)RX Mapping'!O53&lt;=960), (-1)*('(橫掃)RX Mapping'!O53-960)+120,9999))))))))</f>
        <v>9999</v>
      </c>
      <c r="P53">
        <f>IF(AND('(橫掃)RX Mapping'!P53&gt;=1,'(橫掃)RX Mapping'!P53&lt;=120), ('(橫掃)RX Mapping'!P53-1),IF(AND('(橫掃)RX Mapping'!P53&gt;=121,'(橫掃)RX Mapping'!P53&lt;=240), (-1)*('(橫掃)RX Mapping'!P53-240),IF(AND('(橫掃)RX Mapping'!P53&gt;=241,'(橫掃)RX Mapping'!P53&lt;=360), ('(橫掃)RX Mapping'!P53-241),IF(AND('(橫掃)RX Mapping'!P53&gt;=361,'(橫掃)RX Mapping'!P53&lt;=480), (-1)*('(橫掃)RX Mapping'!P53-480),IF(AND('(橫掃)RX Mapping'!P53&gt;=481,'(橫掃)RX Mapping'!P53&lt;=600), ('(橫掃)RX Mapping'!P53-361),IF(AND('(橫掃)RX Mapping'!P53&gt;=601,'(橫掃)RX Mapping'!P53&lt;=720), (-1)*('(橫掃)RX Mapping'!P53-720)+120,IF(AND('(橫掃)RX Mapping'!P53&gt;=721,'(橫掃)RX Mapping'!P53&lt;=840), ('(橫掃)RX Mapping'!P53-601),IF(AND('(橫掃)RX Mapping'!P53&gt;=841,'(橫掃)RX Mapping'!P53&lt;=960), (-1)*('(橫掃)RX Mapping'!P53-960)+120,9999))))))))</f>
        <v>9999</v>
      </c>
      <c r="Q53">
        <f>IF(AND('(橫掃)RX Mapping'!Q53&gt;=1,'(橫掃)RX Mapping'!Q53&lt;=120), ('(橫掃)RX Mapping'!Q53-1),IF(AND('(橫掃)RX Mapping'!Q53&gt;=121,'(橫掃)RX Mapping'!Q53&lt;=240), (-1)*('(橫掃)RX Mapping'!Q53-240),IF(AND('(橫掃)RX Mapping'!Q53&gt;=241,'(橫掃)RX Mapping'!Q53&lt;=360), ('(橫掃)RX Mapping'!Q53-241),IF(AND('(橫掃)RX Mapping'!Q53&gt;=361,'(橫掃)RX Mapping'!Q53&lt;=480), (-1)*('(橫掃)RX Mapping'!Q53-480),IF(AND('(橫掃)RX Mapping'!Q53&gt;=481,'(橫掃)RX Mapping'!Q53&lt;=600), ('(橫掃)RX Mapping'!Q53-361),IF(AND('(橫掃)RX Mapping'!Q53&gt;=601,'(橫掃)RX Mapping'!Q53&lt;=720), (-1)*('(橫掃)RX Mapping'!Q53-720)+120,IF(AND('(橫掃)RX Mapping'!Q53&gt;=721,'(橫掃)RX Mapping'!Q53&lt;=840), ('(橫掃)RX Mapping'!Q53-601),IF(AND('(橫掃)RX Mapping'!Q53&gt;=841,'(橫掃)RX Mapping'!Q53&lt;=960), (-1)*('(橫掃)RX Mapping'!Q53-960)+120,9999))))))))</f>
        <v>9999</v>
      </c>
      <c r="R53">
        <f>IF(AND('(橫掃)RX Mapping'!R53&gt;=1,'(橫掃)RX Mapping'!R53&lt;=120), ('(橫掃)RX Mapping'!R53-1),IF(AND('(橫掃)RX Mapping'!R53&gt;=121,'(橫掃)RX Mapping'!R53&lt;=240), (-1)*('(橫掃)RX Mapping'!R53-240),IF(AND('(橫掃)RX Mapping'!R53&gt;=241,'(橫掃)RX Mapping'!R53&lt;=360), ('(橫掃)RX Mapping'!R53-241),IF(AND('(橫掃)RX Mapping'!R53&gt;=361,'(橫掃)RX Mapping'!R53&lt;=480), (-1)*('(橫掃)RX Mapping'!R53-480),IF(AND('(橫掃)RX Mapping'!R53&gt;=481,'(橫掃)RX Mapping'!R53&lt;=600), ('(橫掃)RX Mapping'!R53-361),IF(AND('(橫掃)RX Mapping'!R53&gt;=601,'(橫掃)RX Mapping'!R53&lt;=720), (-1)*('(橫掃)RX Mapping'!R53-720)+120,IF(AND('(橫掃)RX Mapping'!R53&gt;=721,'(橫掃)RX Mapping'!R53&lt;=840), ('(橫掃)RX Mapping'!R53-601),IF(AND('(橫掃)RX Mapping'!R53&gt;=841,'(橫掃)RX Mapping'!R53&lt;=960), (-1)*('(橫掃)RX Mapping'!R53-960)+120,9999))))))))</f>
        <v>9999</v>
      </c>
      <c r="S53">
        <f>IF(AND('(橫掃)RX Mapping'!S53&gt;=1,'(橫掃)RX Mapping'!S53&lt;=120), ('(橫掃)RX Mapping'!S53-1),IF(AND('(橫掃)RX Mapping'!S53&gt;=121,'(橫掃)RX Mapping'!S53&lt;=240), (-1)*('(橫掃)RX Mapping'!S53-240),IF(AND('(橫掃)RX Mapping'!S53&gt;=241,'(橫掃)RX Mapping'!S53&lt;=360), ('(橫掃)RX Mapping'!S53-241),IF(AND('(橫掃)RX Mapping'!S53&gt;=361,'(橫掃)RX Mapping'!S53&lt;=480), (-1)*('(橫掃)RX Mapping'!S53-480),IF(AND('(橫掃)RX Mapping'!S53&gt;=481,'(橫掃)RX Mapping'!S53&lt;=600), ('(橫掃)RX Mapping'!S53-361),IF(AND('(橫掃)RX Mapping'!S53&gt;=601,'(橫掃)RX Mapping'!S53&lt;=720), (-1)*('(橫掃)RX Mapping'!S53-720)+120,IF(AND('(橫掃)RX Mapping'!S53&gt;=721,'(橫掃)RX Mapping'!S53&lt;=840), ('(橫掃)RX Mapping'!S53-601),IF(AND('(橫掃)RX Mapping'!S53&gt;=841,'(橫掃)RX Mapping'!S53&lt;=960), (-1)*('(橫掃)RX Mapping'!S53-960)+120,9999))))))))</f>
        <v>9999</v>
      </c>
      <c r="T53">
        <f>IF(AND('(橫掃)RX Mapping'!T53&gt;=1,'(橫掃)RX Mapping'!T53&lt;=120), ('(橫掃)RX Mapping'!T53-1),IF(AND('(橫掃)RX Mapping'!T53&gt;=121,'(橫掃)RX Mapping'!T53&lt;=240), (-1)*('(橫掃)RX Mapping'!T53-240),IF(AND('(橫掃)RX Mapping'!T53&gt;=241,'(橫掃)RX Mapping'!T53&lt;=360), ('(橫掃)RX Mapping'!T53-241),IF(AND('(橫掃)RX Mapping'!T53&gt;=361,'(橫掃)RX Mapping'!T53&lt;=480), (-1)*('(橫掃)RX Mapping'!T53-480),IF(AND('(橫掃)RX Mapping'!T53&gt;=481,'(橫掃)RX Mapping'!T53&lt;=600), ('(橫掃)RX Mapping'!T53-361),IF(AND('(橫掃)RX Mapping'!T53&gt;=601,'(橫掃)RX Mapping'!T53&lt;=720), (-1)*('(橫掃)RX Mapping'!T53-720)+120,IF(AND('(橫掃)RX Mapping'!T53&gt;=721,'(橫掃)RX Mapping'!T53&lt;=840), ('(橫掃)RX Mapping'!T53-601),IF(AND('(橫掃)RX Mapping'!T53&gt;=841,'(橫掃)RX Mapping'!T53&lt;=960), (-1)*('(橫掃)RX Mapping'!T53-960)+120,9999))))))))</f>
        <v>9999</v>
      </c>
      <c r="U53">
        <f>IF(AND('(橫掃)RX Mapping'!U53&gt;=1,'(橫掃)RX Mapping'!U53&lt;=120), ('(橫掃)RX Mapping'!U53-1),IF(AND('(橫掃)RX Mapping'!U53&gt;=121,'(橫掃)RX Mapping'!U53&lt;=240), (-1)*('(橫掃)RX Mapping'!U53-240),IF(AND('(橫掃)RX Mapping'!U53&gt;=241,'(橫掃)RX Mapping'!U53&lt;=360), ('(橫掃)RX Mapping'!U53-241),IF(AND('(橫掃)RX Mapping'!U53&gt;=361,'(橫掃)RX Mapping'!U53&lt;=480), (-1)*('(橫掃)RX Mapping'!U53-480),IF(AND('(橫掃)RX Mapping'!U53&gt;=481,'(橫掃)RX Mapping'!U53&lt;=600), ('(橫掃)RX Mapping'!U53-361),IF(AND('(橫掃)RX Mapping'!U53&gt;=601,'(橫掃)RX Mapping'!U53&lt;=720), (-1)*('(橫掃)RX Mapping'!U53-720)+120,IF(AND('(橫掃)RX Mapping'!U53&gt;=721,'(橫掃)RX Mapping'!U53&lt;=840), ('(橫掃)RX Mapping'!U53-601),IF(AND('(橫掃)RX Mapping'!U53&gt;=841,'(橫掃)RX Mapping'!U53&lt;=960), (-1)*('(橫掃)RX Mapping'!U53-960)+120,9999))))))))</f>
        <v>9999</v>
      </c>
      <c r="V53">
        <f>IF(AND('(橫掃)RX Mapping'!V53&gt;=1,'(橫掃)RX Mapping'!V53&lt;=120), ('(橫掃)RX Mapping'!V53-1),IF(AND('(橫掃)RX Mapping'!V53&gt;=121,'(橫掃)RX Mapping'!V53&lt;=240), (-1)*('(橫掃)RX Mapping'!V53-240),IF(AND('(橫掃)RX Mapping'!V53&gt;=241,'(橫掃)RX Mapping'!V53&lt;=360), ('(橫掃)RX Mapping'!V53-241),IF(AND('(橫掃)RX Mapping'!V53&gt;=361,'(橫掃)RX Mapping'!V53&lt;=480), (-1)*('(橫掃)RX Mapping'!V53-480),IF(AND('(橫掃)RX Mapping'!V53&gt;=481,'(橫掃)RX Mapping'!V53&lt;=600), ('(橫掃)RX Mapping'!V53-361),IF(AND('(橫掃)RX Mapping'!V53&gt;=601,'(橫掃)RX Mapping'!V53&lt;=720), (-1)*('(橫掃)RX Mapping'!V53-720)+120,IF(AND('(橫掃)RX Mapping'!V53&gt;=721,'(橫掃)RX Mapping'!V53&lt;=840), ('(橫掃)RX Mapping'!V53-601),IF(AND('(橫掃)RX Mapping'!V53&gt;=841,'(橫掃)RX Mapping'!V53&lt;=960), (-1)*('(橫掃)RX Mapping'!V53-960)+120,9999))))))))</f>
        <v>9999</v>
      </c>
      <c r="W53">
        <f>IF(AND('(橫掃)RX Mapping'!W53&gt;=1,'(橫掃)RX Mapping'!W53&lt;=120), ('(橫掃)RX Mapping'!W53-1),IF(AND('(橫掃)RX Mapping'!W53&gt;=121,'(橫掃)RX Mapping'!W53&lt;=240), (-1)*('(橫掃)RX Mapping'!W53-240),IF(AND('(橫掃)RX Mapping'!W53&gt;=241,'(橫掃)RX Mapping'!W53&lt;=360), ('(橫掃)RX Mapping'!W53-241),IF(AND('(橫掃)RX Mapping'!W53&gt;=361,'(橫掃)RX Mapping'!W53&lt;=480), (-1)*('(橫掃)RX Mapping'!W53-480),IF(AND('(橫掃)RX Mapping'!W53&gt;=481,'(橫掃)RX Mapping'!W53&lt;=600), ('(橫掃)RX Mapping'!W53-361),IF(AND('(橫掃)RX Mapping'!W53&gt;=601,'(橫掃)RX Mapping'!W53&lt;=720), (-1)*('(橫掃)RX Mapping'!W53-720)+120,IF(AND('(橫掃)RX Mapping'!W53&gt;=721,'(橫掃)RX Mapping'!W53&lt;=840), ('(橫掃)RX Mapping'!W53-601),IF(AND('(橫掃)RX Mapping'!W53&gt;=841,'(橫掃)RX Mapping'!W53&lt;=960), (-1)*('(橫掃)RX Mapping'!W53-960)+120,9999))))))))</f>
        <v>9999</v>
      </c>
      <c r="X53">
        <f>IF(AND('(橫掃)RX Mapping'!X53&gt;=1,'(橫掃)RX Mapping'!X53&lt;=120), ('(橫掃)RX Mapping'!X53-1),IF(AND('(橫掃)RX Mapping'!X53&gt;=121,'(橫掃)RX Mapping'!X53&lt;=240), (-1)*('(橫掃)RX Mapping'!X53-240),IF(AND('(橫掃)RX Mapping'!X53&gt;=241,'(橫掃)RX Mapping'!X53&lt;=360), ('(橫掃)RX Mapping'!X53-241),IF(AND('(橫掃)RX Mapping'!X53&gt;=361,'(橫掃)RX Mapping'!X53&lt;=480), (-1)*('(橫掃)RX Mapping'!X53-480),IF(AND('(橫掃)RX Mapping'!X53&gt;=481,'(橫掃)RX Mapping'!X53&lt;=600), ('(橫掃)RX Mapping'!X53-361),IF(AND('(橫掃)RX Mapping'!X53&gt;=601,'(橫掃)RX Mapping'!X53&lt;=720), (-1)*('(橫掃)RX Mapping'!X53-720)+120,IF(AND('(橫掃)RX Mapping'!X53&gt;=721,'(橫掃)RX Mapping'!X53&lt;=840), ('(橫掃)RX Mapping'!X53-601),IF(AND('(橫掃)RX Mapping'!X53&gt;=841,'(橫掃)RX Mapping'!X53&lt;=960), (-1)*('(橫掃)RX Mapping'!X53-960)+120,9999))))))))</f>
        <v>9999</v>
      </c>
      <c r="Y53">
        <f>IF(AND('(橫掃)RX Mapping'!Y53&gt;=1,'(橫掃)RX Mapping'!Y53&lt;=120), ('(橫掃)RX Mapping'!Y53-1),IF(AND('(橫掃)RX Mapping'!Y53&gt;=121,'(橫掃)RX Mapping'!Y53&lt;=240), (-1)*('(橫掃)RX Mapping'!Y53-240),IF(AND('(橫掃)RX Mapping'!Y53&gt;=241,'(橫掃)RX Mapping'!Y53&lt;=360), ('(橫掃)RX Mapping'!Y53-241),IF(AND('(橫掃)RX Mapping'!Y53&gt;=361,'(橫掃)RX Mapping'!Y53&lt;=480), (-1)*('(橫掃)RX Mapping'!Y53-480),IF(AND('(橫掃)RX Mapping'!Y53&gt;=481,'(橫掃)RX Mapping'!Y53&lt;=600), ('(橫掃)RX Mapping'!Y53-361),IF(AND('(橫掃)RX Mapping'!Y53&gt;=601,'(橫掃)RX Mapping'!Y53&lt;=720), (-1)*('(橫掃)RX Mapping'!Y53-720)+120,IF(AND('(橫掃)RX Mapping'!Y53&gt;=721,'(橫掃)RX Mapping'!Y53&lt;=840), ('(橫掃)RX Mapping'!Y53-601),IF(AND('(橫掃)RX Mapping'!Y53&gt;=841,'(橫掃)RX Mapping'!Y53&lt;=960), (-1)*('(橫掃)RX Mapping'!Y53-960)+120,9999))))))))</f>
        <v>9999</v>
      </c>
      <c r="Z53">
        <f>IF(AND('(橫掃)RX Mapping'!Z53&gt;=1,'(橫掃)RX Mapping'!Z53&lt;=120), ('(橫掃)RX Mapping'!Z53-1),IF(AND('(橫掃)RX Mapping'!Z53&gt;=121,'(橫掃)RX Mapping'!Z53&lt;=240), (-1)*('(橫掃)RX Mapping'!Z53-240),IF(AND('(橫掃)RX Mapping'!Z53&gt;=241,'(橫掃)RX Mapping'!Z53&lt;=360), ('(橫掃)RX Mapping'!Z53-241),IF(AND('(橫掃)RX Mapping'!Z53&gt;=361,'(橫掃)RX Mapping'!Z53&lt;=480), (-1)*('(橫掃)RX Mapping'!Z53-480),IF(AND('(橫掃)RX Mapping'!Z53&gt;=481,'(橫掃)RX Mapping'!Z53&lt;=600), ('(橫掃)RX Mapping'!Z53-361),IF(AND('(橫掃)RX Mapping'!Z53&gt;=601,'(橫掃)RX Mapping'!Z53&lt;=720), (-1)*('(橫掃)RX Mapping'!Z53-720)+120,IF(AND('(橫掃)RX Mapping'!Z53&gt;=721,'(橫掃)RX Mapping'!Z53&lt;=840), ('(橫掃)RX Mapping'!Z53-601),IF(AND('(橫掃)RX Mapping'!Z53&gt;=841,'(橫掃)RX Mapping'!Z53&lt;=960), (-1)*('(橫掃)RX Mapping'!Z53-960)+120,9999))))))))</f>
        <v>9999</v>
      </c>
      <c r="AA53">
        <f>IF(AND('(橫掃)RX Mapping'!AA53&gt;=1,'(橫掃)RX Mapping'!AA53&lt;=120), ('(橫掃)RX Mapping'!AA53-1),IF(AND('(橫掃)RX Mapping'!AA53&gt;=121,'(橫掃)RX Mapping'!AA53&lt;=240), (-1)*('(橫掃)RX Mapping'!AA53-240),IF(AND('(橫掃)RX Mapping'!AA53&gt;=241,'(橫掃)RX Mapping'!AA53&lt;=360), ('(橫掃)RX Mapping'!AA53-241),IF(AND('(橫掃)RX Mapping'!AA53&gt;=361,'(橫掃)RX Mapping'!AA53&lt;=480), (-1)*('(橫掃)RX Mapping'!AA53-480),IF(AND('(橫掃)RX Mapping'!AA53&gt;=481,'(橫掃)RX Mapping'!AA53&lt;=600), ('(橫掃)RX Mapping'!AA53-361),IF(AND('(橫掃)RX Mapping'!AA53&gt;=601,'(橫掃)RX Mapping'!AA53&lt;=720), (-1)*('(橫掃)RX Mapping'!AA53-720)+120,IF(AND('(橫掃)RX Mapping'!AA53&gt;=721,'(橫掃)RX Mapping'!AA53&lt;=840), ('(橫掃)RX Mapping'!AA53-601),IF(AND('(橫掃)RX Mapping'!AA53&gt;=841,'(橫掃)RX Mapping'!AA53&lt;=960), (-1)*('(橫掃)RX Mapping'!AA53-960)+120,9999))))))))</f>
        <v>9999</v>
      </c>
      <c r="AB53">
        <f>IF(AND('(橫掃)RX Mapping'!AB53&gt;=1,'(橫掃)RX Mapping'!AB53&lt;=120), ('(橫掃)RX Mapping'!AB53-1),IF(AND('(橫掃)RX Mapping'!AB53&gt;=121,'(橫掃)RX Mapping'!AB53&lt;=240), (-1)*('(橫掃)RX Mapping'!AB53-240),IF(AND('(橫掃)RX Mapping'!AB53&gt;=241,'(橫掃)RX Mapping'!AB53&lt;=360), ('(橫掃)RX Mapping'!AB53-241),IF(AND('(橫掃)RX Mapping'!AB53&gt;=361,'(橫掃)RX Mapping'!AB53&lt;=480), (-1)*('(橫掃)RX Mapping'!AB53-480),IF(AND('(橫掃)RX Mapping'!AB53&gt;=481,'(橫掃)RX Mapping'!AB53&lt;=600), ('(橫掃)RX Mapping'!AB53-361),IF(AND('(橫掃)RX Mapping'!AB53&gt;=601,'(橫掃)RX Mapping'!AB53&lt;=720), (-1)*('(橫掃)RX Mapping'!AB53-720)+120,IF(AND('(橫掃)RX Mapping'!AB53&gt;=721,'(橫掃)RX Mapping'!AB53&lt;=840), ('(橫掃)RX Mapping'!AB53-601),IF(AND('(橫掃)RX Mapping'!AB53&gt;=841,'(橫掃)RX Mapping'!AB53&lt;=960), (-1)*('(橫掃)RX Mapping'!AB53-960)+120,9999))))))))</f>
        <v>9999</v>
      </c>
      <c r="AC53">
        <f>IF(AND('(橫掃)RX Mapping'!AC53&gt;=1,'(橫掃)RX Mapping'!AC53&lt;=120), ('(橫掃)RX Mapping'!AC53-1),IF(AND('(橫掃)RX Mapping'!AC53&gt;=121,'(橫掃)RX Mapping'!AC53&lt;=240), (-1)*('(橫掃)RX Mapping'!AC53-240),IF(AND('(橫掃)RX Mapping'!AC53&gt;=241,'(橫掃)RX Mapping'!AC53&lt;=360), ('(橫掃)RX Mapping'!AC53-241),IF(AND('(橫掃)RX Mapping'!AC53&gt;=361,'(橫掃)RX Mapping'!AC53&lt;=480), (-1)*('(橫掃)RX Mapping'!AC53-480),IF(AND('(橫掃)RX Mapping'!AC53&gt;=481,'(橫掃)RX Mapping'!AC53&lt;=600), ('(橫掃)RX Mapping'!AC53-361),IF(AND('(橫掃)RX Mapping'!AC53&gt;=601,'(橫掃)RX Mapping'!AC53&lt;=720), (-1)*('(橫掃)RX Mapping'!AC53-720)+120,IF(AND('(橫掃)RX Mapping'!AC53&gt;=721,'(橫掃)RX Mapping'!AC53&lt;=840), ('(橫掃)RX Mapping'!AC53-601),IF(AND('(橫掃)RX Mapping'!AC53&gt;=841,'(橫掃)RX Mapping'!AC53&lt;=960), (-1)*('(橫掃)RX Mapping'!AC53-960)+120,9999))))))))</f>
        <v>9999</v>
      </c>
      <c r="AD53">
        <f>IF(AND('(橫掃)RX Mapping'!AD53&gt;=1,'(橫掃)RX Mapping'!AD53&lt;=120), ('(橫掃)RX Mapping'!AD53-1),IF(AND('(橫掃)RX Mapping'!AD53&gt;=121,'(橫掃)RX Mapping'!AD53&lt;=240), (-1)*('(橫掃)RX Mapping'!AD53-240),IF(AND('(橫掃)RX Mapping'!AD53&gt;=241,'(橫掃)RX Mapping'!AD53&lt;=360), ('(橫掃)RX Mapping'!AD53-241),IF(AND('(橫掃)RX Mapping'!AD53&gt;=361,'(橫掃)RX Mapping'!AD53&lt;=480), (-1)*('(橫掃)RX Mapping'!AD53-480),IF(AND('(橫掃)RX Mapping'!AD53&gt;=481,'(橫掃)RX Mapping'!AD53&lt;=600), ('(橫掃)RX Mapping'!AD53-361),IF(AND('(橫掃)RX Mapping'!AD53&gt;=601,'(橫掃)RX Mapping'!AD53&lt;=720), (-1)*('(橫掃)RX Mapping'!AD53-720)+120,IF(AND('(橫掃)RX Mapping'!AD53&gt;=721,'(橫掃)RX Mapping'!AD53&lt;=840), ('(橫掃)RX Mapping'!AD53-601),IF(AND('(橫掃)RX Mapping'!AD53&gt;=841,'(橫掃)RX Mapping'!AD53&lt;=960), (-1)*('(橫掃)RX Mapping'!AD53-960)+120,9999))))))))</f>
        <v>9999</v>
      </c>
      <c r="AE53">
        <f>IF(AND('(橫掃)RX Mapping'!AE53&gt;=1,'(橫掃)RX Mapping'!AE53&lt;=120), ('(橫掃)RX Mapping'!AE53-1),IF(AND('(橫掃)RX Mapping'!AE53&gt;=121,'(橫掃)RX Mapping'!AE53&lt;=240), (-1)*('(橫掃)RX Mapping'!AE53-240),IF(AND('(橫掃)RX Mapping'!AE53&gt;=241,'(橫掃)RX Mapping'!AE53&lt;=360), ('(橫掃)RX Mapping'!AE53-241),IF(AND('(橫掃)RX Mapping'!AE53&gt;=361,'(橫掃)RX Mapping'!AE53&lt;=480), (-1)*('(橫掃)RX Mapping'!AE53-480),IF(AND('(橫掃)RX Mapping'!AE53&gt;=481,'(橫掃)RX Mapping'!AE53&lt;=600), ('(橫掃)RX Mapping'!AE53-361),IF(AND('(橫掃)RX Mapping'!AE53&gt;=601,'(橫掃)RX Mapping'!AE53&lt;=720), (-1)*('(橫掃)RX Mapping'!AE53-720)+120,IF(AND('(橫掃)RX Mapping'!AE53&gt;=721,'(橫掃)RX Mapping'!AE53&lt;=840), ('(橫掃)RX Mapping'!AE53-601),IF(AND('(橫掃)RX Mapping'!AE53&gt;=841,'(橫掃)RX Mapping'!AE53&lt;=960), (-1)*('(橫掃)RX Mapping'!AE53-960)+120,9999))))))))</f>
        <v>9999</v>
      </c>
      <c r="AF53">
        <f>IF(AND('(橫掃)RX Mapping'!AF53&gt;=1,'(橫掃)RX Mapping'!AF53&lt;=120), ('(橫掃)RX Mapping'!AF53-1),IF(AND('(橫掃)RX Mapping'!AF53&gt;=121,'(橫掃)RX Mapping'!AF53&lt;=240), (-1)*('(橫掃)RX Mapping'!AF53-240),IF(AND('(橫掃)RX Mapping'!AF53&gt;=241,'(橫掃)RX Mapping'!AF53&lt;=360), ('(橫掃)RX Mapping'!AF53-241),IF(AND('(橫掃)RX Mapping'!AF53&gt;=361,'(橫掃)RX Mapping'!AF53&lt;=480), (-1)*('(橫掃)RX Mapping'!AF53-480),IF(AND('(橫掃)RX Mapping'!AF53&gt;=481,'(橫掃)RX Mapping'!AF53&lt;=600), ('(橫掃)RX Mapping'!AF53-361),IF(AND('(橫掃)RX Mapping'!AF53&gt;=601,'(橫掃)RX Mapping'!AF53&lt;=720), (-1)*('(橫掃)RX Mapping'!AF53-720)+120,IF(AND('(橫掃)RX Mapping'!AF53&gt;=721,'(橫掃)RX Mapping'!AF53&lt;=840), ('(橫掃)RX Mapping'!AF53-601),IF(AND('(橫掃)RX Mapping'!AF53&gt;=841,'(橫掃)RX Mapping'!AF53&lt;=960), (-1)*('(橫掃)RX Mapping'!AF53-960)+120,9999))))))))</f>
        <v>9999</v>
      </c>
      <c r="AG53">
        <f>IF(AND('(橫掃)RX Mapping'!AG53&gt;=1,'(橫掃)RX Mapping'!AG53&lt;=120), ('(橫掃)RX Mapping'!AG53-1),IF(AND('(橫掃)RX Mapping'!AG53&gt;=121,'(橫掃)RX Mapping'!AG53&lt;=240), (-1)*('(橫掃)RX Mapping'!AG53-240),IF(AND('(橫掃)RX Mapping'!AG53&gt;=241,'(橫掃)RX Mapping'!AG53&lt;=360), ('(橫掃)RX Mapping'!AG53-241),IF(AND('(橫掃)RX Mapping'!AG53&gt;=361,'(橫掃)RX Mapping'!AG53&lt;=480), (-1)*('(橫掃)RX Mapping'!AG53-480),IF(AND('(橫掃)RX Mapping'!AG53&gt;=481,'(橫掃)RX Mapping'!AG53&lt;=600), ('(橫掃)RX Mapping'!AG53-361),IF(AND('(橫掃)RX Mapping'!AG53&gt;=601,'(橫掃)RX Mapping'!AG53&lt;=720), (-1)*('(橫掃)RX Mapping'!AG53-720)+120,IF(AND('(橫掃)RX Mapping'!AG53&gt;=721,'(橫掃)RX Mapping'!AG53&lt;=840), ('(橫掃)RX Mapping'!AG53-601),IF(AND('(橫掃)RX Mapping'!AG53&gt;=841,'(橫掃)RX Mapping'!AG53&lt;=960), (-1)*('(橫掃)RX Mapping'!AG53-960)+120,9999))))))))</f>
        <v>9999</v>
      </c>
      <c r="AH53">
        <f>IF(AND('(橫掃)RX Mapping'!AH53&gt;=1,'(橫掃)RX Mapping'!AH53&lt;=120), ('(橫掃)RX Mapping'!AH53-1),IF(AND('(橫掃)RX Mapping'!AH53&gt;=121,'(橫掃)RX Mapping'!AH53&lt;=240), (-1)*('(橫掃)RX Mapping'!AH53-240),IF(AND('(橫掃)RX Mapping'!AH53&gt;=241,'(橫掃)RX Mapping'!AH53&lt;=360), ('(橫掃)RX Mapping'!AH53-241),IF(AND('(橫掃)RX Mapping'!AH53&gt;=361,'(橫掃)RX Mapping'!AH53&lt;=480), (-1)*('(橫掃)RX Mapping'!AH53-480),IF(AND('(橫掃)RX Mapping'!AH53&gt;=481,'(橫掃)RX Mapping'!AH53&lt;=600), ('(橫掃)RX Mapping'!AH53-361),IF(AND('(橫掃)RX Mapping'!AH53&gt;=601,'(橫掃)RX Mapping'!AH53&lt;=720), (-1)*('(橫掃)RX Mapping'!AH53-720)+120,IF(AND('(橫掃)RX Mapping'!AH53&gt;=721,'(橫掃)RX Mapping'!AH53&lt;=840), ('(橫掃)RX Mapping'!AH53-601),IF(AND('(橫掃)RX Mapping'!AH53&gt;=841,'(橫掃)RX Mapping'!AH53&lt;=960), (-1)*('(橫掃)RX Mapping'!AH53-960)+120,9999))))))))</f>
        <v>9999</v>
      </c>
      <c r="AI53">
        <f>IF(AND('(橫掃)RX Mapping'!AI53&gt;=1,'(橫掃)RX Mapping'!AI53&lt;=120), ('(橫掃)RX Mapping'!AI53-1),IF(AND('(橫掃)RX Mapping'!AI53&gt;=121,'(橫掃)RX Mapping'!AI53&lt;=240), (-1)*('(橫掃)RX Mapping'!AI53-240),IF(AND('(橫掃)RX Mapping'!AI53&gt;=241,'(橫掃)RX Mapping'!AI53&lt;=360), ('(橫掃)RX Mapping'!AI53-241),IF(AND('(橫掃)RX Mapping'!AI53&gt;=361,'(橫掃)RX Mapping'!AI53&lt;=480), (-1)*('(橫掃)RX Mapping'!AI53-480),IF(AND('(橫掃)RX Mapping'!AI53&gt;=481,'(橫掃)RX Mapping'!AI53&lt;=600), ('(橫掃)RX Mapping'!AI53-361),IF(AND('(橫掃)RX Mapping'!AI53&gt;=601,'(橫掃)RX Mapping'!AI53&lt;=720), (-1)*('(橫掃)RX Mapping'!AI53-720)+120,IF(AND('(橫掃)RX Mapping'!AI53&gt;=721,'(橫掃)RX Mapping'!AI53&lt;=840), ('(橫掃)RX Mapping'!AI53-601),IF(AND('(橫掃)RX Mapping'!AI53&gt;=841,'(橫掃)RX Mapping'!AI53&lt;=960), (-1)*('(橫掃)RX Mapping'!AI53-960)+120,9999))))))))</f>
        <v>9999</v>
      </c>
      <c r="AJ53">
        <f>IF(AND('(橫掃)RX Mapping'!AJ53&gt;=1,'(橫掃)RX Mapping'!AJ53&lt;=120), ('(橫掃)RX Mapping'!AJ53-1),IF(AND('(橫掃)RX Mapping'!AJ53&gt;=121,'(橫掃)RX Mapping'!AJ53&lt;=240), (-1)*('(橫掃)RX Mapping'!AJ53-240),IF(AND('(橫掃)RX Mapping'!AJ53&gt;=241,'(橫掃)RX Mapping'!AJ53&lt;=360), ('(橫掃)RX Mapping'!AJ53-241),IF(AND('(橫掃)RX Mapping'!AJ53&gt;=361,'(橫掃)RX Mapping'!AJ53&lt;=480), (-1)*('(橫掃)RX Mapping'!AJ53-480),IF(AND('(橫掃)RX Mapping'!AJ53&gt;=481,'(橫掃)RX Mapping'!AJ53&lt;=600), ('(橫掃)RX Mapping'!AJ53-361),IF(AND('(橫掃)RX Mapping'!AJ53&gt;=601,'(橫掃)RX Mapping'!AJ53&lt;=720), (-1)*('(橫掃)RX Mapping'!AJ53-720)+120,IF(AND('(橫掃)RX Mapping'!AJ53&gt;=721,'(橫掃)RX Mapping'!AJ53&lt;=840), ('(橫掃)RX Mapping'!AJ53-601),IF(AND('(橫掃)RX Mapping'!AJ53&gt;=841,'(橫掃)RX Mapping'!AJ53&lt;=960), (-1)*('(橫掃)RX Mapping'!AJ53-960)+120,9999))))))))</f>
        <v>9999</v>
      </c>
      <c r="AK53">
        <f>IF(AND('(橫掃)RX Mapping'!AK53&gt;=1,'(橫掃)RX Mapping'!AK53&lt;=120), ('(橫掃)RX Mapping'!AK53-1),IF(AND('(橫掃)RX Mapping'!AK53&gt;=121,'(橫掃)RX Mapping'!AK53&lt;=240), (-1)*('(橫掃)RX Mapping'!AK53-240),IF(AND('(橫掃)RX Mapping'!AK53&gt;=241,'(橫掃)RX Mapping'!AK53&lt;=360), ('(橫掃)RX Mapping'!AK53-241),IF(AND('(橫掃)RX Mapping'!AK53&gt;=361,'(橫掃)RX Mapping'!AK53&lt;=480), (-1)*('(橫掃)RX Mapping'!AK53-480),IF(AND('(橫掃)RX Mapping'!AK53&gt;=481,'(橫掃)RX Mapping'!AK53&lt;=600), ('(橫掃)RX Mapping'!AK53-361),IF(AND('(橫掃)RX Mapping'!AK53&gt;=601,'(橫掃)RX Mapping'!AK53&lt;=720), (-1)*('(橫掃)RX Mapping'!AK53-720)+120,IF(AND('(橫掃)RX Mapping'!AK53&gt;=721,'(橫掃)RX Mapping'!AK53&lt;=840), ('(橫掃)RX Mapping'!AK53-601),IF(AND('(橫掃)RX Mapping'!AK53&gt;=841,'(橫掃)RX Mapping'!AK53&lt;=960), (-1)*('(橫掃)RX Mapping'!AK53-960)+120,9999))))))))</f>
        <v>9999</v>
      </c>
      <c r="AL53">
        <f>IF(AND('(橫掃)RX Mapping'!AL53&gt;=1,'(橫掃)RX Mapping'!AL53&lt;=120), ('(橫掃)RX Mapping'!AL53-1),IF(AND('(橫掃)RX Mapping'!AL53&gt;=121,'(橫掃)RX Mapping'!AL53&lt;=240), (-1)*('(橫掃)RX Mapping'!AL53-240),IF(AND('(橫掃)RX Mapping'!AL53&gt;=241,'(橫掃)RX Mapping'!AL53&lt;=360), ('(橫掃)RX Mapping'!AL53-241),IF(AND('(橫掃)RX Mapping'!AL53&gt;=361,'(橫掃)RX Mapping'!AL53&lt;=480), (-1)*('(橫掃)RX Mapping'!AL53-480),IF(AND('(橫掃)RX Mapping'!AL53&gt;=481,'(橫掃)RX Mapping'!AL53&lt;=600), ('(橫掃)RX Mapping'!AL53-361),IF(AND('(橫掃)RX Mapping'!AL53&gt;=601,'(橫掃)RX Mapping'!AL53&lt;=720), (-1)*('(橫掃)RX Mapping'!AL53-720)+120,IF(AND('(橫掃)RX Mapping'!AL53&gt;=721,'(橫掃)RX Mapping'!AL53&lt;=840), ('(橫掃)RX Mapping'!AL53-601),IF(AND('(橫掃)RX Mapping'!AL53&gt;=841,'(橫掃)RX Mapping'!AL53&lt;=960), (-1)*('(橫掃)RX Mapping'!AL53-960)+120,9999))))))))</f>
        <v>9999</v>
      </c>
      <c r="AM53">
        <f>IF(AND('(橫掃)RX Mapping'!AM53&gt;=1,'(橫掃)RX Mapping'!AM53&lt;=120), ('(橫掃)RX Mapping'!AM53-1),IF(AND('(橫掃)RX Mapping'!AM53&gt;=121,'(橫掃)RX Mapping'!AM53&lt;=240), (-1)*('(橫掃)RX Mapping'!AM53-240),IF(AND('(橫掃)RX Mapping'!AM53&gt;=241,'(橫掃)RX Mapping'!AM53&lt;=360), ('(橫掃)RX Mapping'!AM53-241),IF(AND('(橫掃)RX Mapping'!AM53&gt;=361,'(橫掃)RX Mapping'!AM53&lt;=480), (-1)*('(橫掃)RX Mapping'!AM53-480),IF(AND('(橫掃)RX Mapping'!AM53&gt;=481,'(橫掃)RX Mapping'!AM53&lt;=600), ('(橫掃)RX Mapping'!AM53-361),IF(AND('(橫掃)RX Mapping'!AM53&gt;=601,'(橫掃)RX Mapping'!AM53&lt;=720), (-1)*('(橫掃)RX Mapping'!AM53-720)+120,IF(AND('(橫掃)RX Mapping'!AM53&gt;=721,'(橫掃)RX Mapping'!AM53&lt;=840), ('(橫掃)RX Mapping'!AM53-601),IF(AND('(橫掃)RX Mapping'!AM53&gt;=841,'(橫掃)RX Mapping'!AM53&lt;=960), (-1)*('(橫掃)RX Mapping'!AM53-960)+120,9999))))))))</f>
        <v>9999</v>
      </c>
      <c r="AN53">
        <f>IF(AND('(橫掃)RX Mapping'!AN53&gt;=1,'(橫掃)RX Mapping'!AN53&lt;=120), ('(橫掃)RX Mapping'!AN53-1),IF(AND('(橫掃)RX Mapping'!AN53&gt;=121,'(橫掃)RX Mapping'!AN53&lt;=240), (-1)*('(橫掃)RX Mapping'!AN53-240),IF(AND('(橫掃)RX Mapping'!AN53&gt;=241,'(橫掃)RX Mapping'!AN53&lt;=360), ('(橫掃)RX Mapping'!AN53-241),IF(AND('(橫掃)RX Mapping'!AN53&gt;=361,'(橫掃)RX Mapping'!AN53&lt;=480), (-1)*('(橫掃)RX Mapping'!AN53-480),IF(AND('(橫掃)RX Mapping'!AN53&gt;=481,'(橫掃)RX Mapping'!AN53&lt;=600), ('(橫掃)RX Mapping'!AN53-361),IF(AND('(橫掃)RX Mapping'!AN53&gt;=601,'(橫掃)RX Mapping'!AN53&lt;=720), (-1)*('(橫掃)RX Mapping'!AN53-720)+120,IF(AND('(橫掃)RX Mapping'!AN53&gt;=721,'(橫掃)RX Mapping'!AN53&lt;=840), ('(橫掃)RX Mapping'!AN53-601),IF(AND('(橫掃)RX Mapping'!AN53&gt;=841,'(橫掃)RX Mapping'!AN53&lt;=960), (-1)*('(橫掃)RX Mapping'!AN53-960)+120,9999))))))))</f>
        <v>9999</v>
      </c>
      <c r="AO53">
        <f>IF(AND('(橫掃)RX Mapping'!AO53&gt;=1,'(橫掃)RX Mapping'!AO53&lt;=120), ('(橫掃)RX Mapping'!AO53-1),IF(AND('(橫掃)RX Mapping'!AO53&gt;=121,'(橫掃)RX Mapping'!AO53&lt;=240), (-1)*('(橫掃)RX Mapping'!AO53-240),IF(AND('(橫掃)RX Mapping'!AO53&gt;=241,'(橫掃)RX Mapping'!AO53&lt;=360), ('(橫掃)RX Mapping'!AO53-241),IF(AND('(橫掃)RX Mapping'!AO53&gt;=361,'(橫掃)RX Mapping'!AO53&lt;=480), (-1)*('(橫掃)RX Mapping'!AO53-480),IF(AND('(橫掃)RX Mapping'!AO53&gt;=481,'(橫掃)RX Mapping'!AO53&lt;=600), ('(橫掃)RX Mapping'!AO53-361),IF(AND('(橫掃)RX Mapping'!AO53&gt;=601,'(橫掃)RX Mapping'!AO53&lt;=720), (-1)*('(橫掃)RX Mapping'!AO53-720)+120,IF(AND('(橫掃)RX Mapping'!AO53&gt;=721,'(橫掃)RX Mapping'!AO53&lt;=840), ('(橫掃)RX Mapping'!AO53-601),IF(AND('(橫掃)RX Mapping'!AO53&gt;=841,'(橫掃)RX Mapping'!AO53&lt;=960), (-1)*('(橫掃)RX Mapping'!AO53-960)+120,9999))))))))</f>
        <v>9999</v>
      </c>
      <c r="AP53">
        <f>IF(AND('(橫掃)RX Mapping'!AP53&gt;=1,'(橫掃)RX Mapping'!AP53&lt;=120), ('(橫掃)RX Mapping'!AP53-1),IF(AND('(橫掃)RX Mapping'!AP53&gt;=121,'(橫掃)RX Mapping'!AP53&lt;=240), (-1)*('(橫掃)RX Mapping'!AP53-240),IF(AND('(橫掃)RX Mapping'!AP53&gt;=241,'(橫掃)RX Mapping'!AP53&lt;=360), ('(橫掃)RX Mapping'!AP53-241),IF(AND('(橫掃)RX Mapping'!AP53&gt;=361,'(橫掃)RX Mapping'!AP53&lt;=480), (-1)*('(橫掃)RX Mapping'!AP53-480),IF(AND('(橫掃)RX Mapping'!AP53&gt;=481,'(橫掃)RX Mapping'!AP53&lt;=600), ('(橫掃)RX Mapping'!AP53-361),IF(AND('(橫掃)RX Mapping'!AP53&gt;=601,'(橫掃)RX Mapping'!AP53&lt;=720), (-1)*('(橫掃)RX Mapping'!AP53-720)+120,IF(AND('(橫掃)RX Mapping'!AP53&gt;=721,'(橫掃)RX Mapping'!AP53&lt;=840), ('(橫掃)RX Mapping'!AP53-601),IF(AND('(橫掃)RX Mapping'!AP53&gt;=841,'(橫掃)RX Mapping'!AP53&lt;=960), (-1)*('(橫掃)RX Mapping'!AP53-960)+120,9999))))))))</f>
        <v>9999</v>
      </c>
      <c r="AQ53">
        <f>IF(AND('(橫掃)RX Mapping'!AQ53&gt;=1,'(橫掃)RX Mapping'!AQ53&lt;=120), ('(橫掃)RX Mapping'!AQ53-1),IF(AND('(橫掃)RX Mapping'!AQ53&gt;=121,'(橫掃)RX Mapping'!AQ53&lt;=240), (-1)*('(橫掃)RX Mapping'!AQ53-240),IF(AND('(橫掃)RX Mapping'!AQ53&gt;=241,'(橫掃)RX Mapping'!AQ53&lt;=360), ('(橫掃)RX Mapping'!AQ53-241),IF(AND('(橫掃)RX Mapping'!AQ53&gt;=361,'(橫掃)RX Mapping'!AQ53&lt;=480), (-1)*('(橫掃)RX Mapping'!AQ53-480),IF(AND('(橫掃)RX Mapping'!AQ53&gt;=481,'(橫掃)RX Mapping'!AQ53&lt;=600), ('(橫掃)RX Mapping'!AQ53-361),IF(AND('(橫掃)RX Mapping'!AQ53&gt;=601,'(橫掃)RX Mapping'!AQ53&lt;=720), (-1)*('(橫掃)RX Mapping'!AQ53-720)+120,IF(AND('(橫掃)RX Mapping'!AQ53&gt;=721,'(橫掃)RX Mapping'!AQ53&lt;=840), ('(橫掃)RX Mapping'!AQ53-601),IF(AND('(橫掃)RX Mapping'!AQ53&gt;=841,'(橫掃)RX Mapping'!AQ53&lt;=960), (-1)*('(橫掃)RX Mapping'!AQ53-960)+120,9999))))))))</f>
        <v>9999</v>
      </c>
      <c r="AR53">
        <f>IF(AND('(橫掃)RX Mapping'!AR53&gt;=1,'(橫掃)RX Mapping'!AR53&lt;=120), ('(橫掃)RX Mapping'!AR53-1),IF(AND('(橫掃)RX Mapping'!AR53&gt;=121,'(橫掃)RX Mapping'!AR53&lt;=240), (-1)*('(橫掃)RX Mapping'!AR53-240),IF(AND('(橫掃)RX Mapping'!AR53&gt;=241,'(橫掃)RX Mapping'!AR53&lt;=360), ('(橫掃)RX Mapping'!AR53-241),IF(AND('(橫掃)RX Mapping'!AR53&gt;=361,'(橫掃)RX Mapping'!AR53&lt;=480), (-1)*('(橫掃)RX Mapping'!AR53-480),IF(AND('(橫掃)RX Mapping'!AR53&gt;=481,'(橫掃)RX Mapping'!AR53&lt;=600), ('(橫掃)RX Mapping'!AR53-361),IF(AND('(橫掃)RX Mapping'!AR53&gt;=601,'(橫掃)RX Mapping'!AR53&lt;=720), (-1)*('(橫掃)RX Mapping'!AR53-720)+120,IF(AND('(橫掃)RX Mapping'!AR53&gt;=721,'(橫掃)RX Mapping'!AR53&lt;=840), ('(橫掃)RX Mapping'!AR53-601),IF(AND('(橫掃)RX Mapping'!AR53&gt;=841,'(橫掃)RX Mapping'!AR53&lt;=960), (-1)*('(橫掃)RX Mapping'!AR53-960)+120,9999))))))))</f>
        <v>9999</v>
      </c>
      <c r="AS53">
        <f>IF(AND('(橫掃)RX Mapping'!AS53&gt;=1,'(橫掃)RX Mapping'!AS53&lt;=120), ('(橫掃)RX Mapping'!AS53-1),IF(AND('(橫掃)RX Mapping'!AS53&gt;=121,'(橫掃)RX Mapping'!AS53&lt;=240), (-1)*('(橫掃)RX Mapping'!AS53-240),IF(AND('(橫掃)RX Mapping'!AS53&gt;=241,'(橫掃)RX Mapping'!AS53&lt;=360), ('(橫掃)RX Mapping'!AS53-241),IF(AND('(橫掃)RX Mapping'!AS53&gt;=361,'(橫掃)RX Mapping'!AS53&lt;=480), (-1)*('(橫掃)RX Mapping'!AS53-480),IF(AND('(橫掃)RX Mapping'!AS53&gt;=481,'(橫掃)RX Mapping'!AS53&lt;=600), ('(橫掃)RX Mapping'!AS53-361),IF(AND('(橫掃)RX Mapping'!AS53&gt;=601,'(橫掃)RX Mapping'!AS53&lt;=720), (-1)*('(橫掃)RX Mapping'!AS53-720)+120,IF(AND('(橫掃)RX Mapping'!AS53&gt;=721,'(橫掃)RX Mapping'!AS53&lt;=840), ('(橫掃)RX Mapping'!AS53-601),IF(AND('(橫掃)RX Mapping'!AS53&gt;=841,'(橫掃)RX Mapping'!AS53&lt;=960), (-1)*('(橫掃)RX Mapping'!AS53-960)+120,9999))))))))</f>
        <v>9999</v>
      </c>
      <c r="AT53">
        <f>IF(AND('(橫掃)RX Mapping'!AT53&gt;=1,'(橫掃)RX Mapping'!AT53&lt;=120), ('(橫掃)RX Mapping'!AT53-1),IF(AND('(橫掃)RX Mapping'!AT53&gt;=121,'(橫掃)RX Mapping'!AT53&lt;=240), (-1)*('(橫掃)RX Mapping'!AT53-240),IF(AND('(橫掃)RX Mapping'!AT53&gt;=241,'(橫掃)RX Mapping'!AT53&lt;=360), ('(橫掃)RX Mapping'!AT53-241),IF(AND('(橫掃)RX Mapping'!AT53&gt;=361,'(橫掃)RX Mapping'!AT53&lt;=480), (-1)*('(橫掃)RX Mapping'!AT53-480),IF(AND('(橫掃)RX Mapping'!AT53&gt;=481,'(橫掃)RX Mapping'!AT53&lt;=600), ('(橫掃)RX Mapping'!AT53-361),IF(AND('(橫掃)RX Mapping'!AT53&gt;=601,'(橫掃)RX Mapping'!AT53&lt;=720), (-1)*('(橫掃)RX Mapping'!AT53-720)+120,IF(AND('(橫掃)RX Mapping'!AT53&gt;=721,'(橫掃)RX Mapping'!AT53&lt;=840), ('(橫掃)RX Mapping'!AT53-601),IF(AND('(橫掃)RX Mapping'!AT53&gt;=841,'(橫掃)RX Mapping'!AT53&lt;=960), (-1)*('(橫掃)RX Mapping'!AT53-960)+120,9999))))))))</f>
        <v>9999</v>
      </c>
      <c r="AU53">
        <f>IF(AND('(橫掃)RX Mapping'!AU53&gt;=1,'(橫掃)RX Mapping'!AU53&lt;=120), ('(橫掃)RX Mapping'!AU53-1),IF(AND('(橫掃)RX Mapping'!AU53&gt;=121,'(橫掃)RX Mapping'!AU53&lt;=240), (-1)*('(橫掃)RX Mapping'!AU53-240),IF(AND('(橫掃)RX Mapping'!AU53&gt;=241,'(橫掃)RX Mapping'!AU53&lt;=360), ('(橫掃)RX Mapping'!AU53-241),IF(AND('(橫掃)RX Mapping'!AU53&gt;=361,'(橫掃)RX Mapping'!AU53&lt;=480), (-1)*('(橫掃)RX Mapping'!AU53-480),IF(AND('(橫掃)RX Mapping'!AU53&gt;=481,'(橫掃)RX Mapping'!AU53&lt;=600), ('(橫掃)RX Mapping'!AU53-361),IF(AND('(橫掃)RX Mapping'!AU53&gt;=601,'(橫掃)RX Mapping'!AU53&lt;=720), (-1)*('(橫掃)RX Mapping'!AU53-720)+120,IF(AND('(橫掃)RX Mapping'!AU53&gt;=721,'(橫掃)RX Mapping'!AU53&lt;=840), ('(橫掃)RX Mapping'!AU53-601),IF(AND('(橫掃)RX Mapping'!AU53&gt;=841,'(橫掃)RX Mapping'!AU53&lt;=960), (-1)*('(橫掃)RX Mapping'!AU53-960)+120,9999))))))))</f>
        <v>9999</v>
      </c>
      <c r="AV53">
        <f>IF(AND('(橫掃)RX Mapping'!AV53&gt;=1,'(橫掃)RX Mapping'!AV53&lt;=120), ('(橫掃)RX Mapping'!AV53-1),IF(AND('(橫掃)RX Mapping'!AV53&gt;=121,'(橫掃)RX Mapping'!AV53&lt;=240), (-1)*('(橫掃)RX Mapping'!AV53-240),IF(AND('(橫掃)RX Mapping'!AV53&gt;=241,'(橫掃)RX Mapping'!AV53&lt;=360), ('(橫掃)RX Mapping'!AV53-241),IF(AND('(橫掃)RX Mapping'!AV53&gt;=361,'(橫掃)RX Mapping'!AV53&lt;=480), (-1)*('(橫掃)RX Mapping'!AV53-480),IF(AND('(橫掃)RX Mapping'!AV53&gt;=481,'(橫掃)RX Mapping'!AV53&lt;=600), ('(橫掃)RX Mapping'!AV53-361),IF(AND('(橫掃)RX Mapping'!AV53&gt;=601,'(橫掃)RX Mapping'!AV53&lt;=720), (-1)*('(橫掃)RX Mapping'!AV53-720)+120,IF(AND('(橫掃)RX Mapping'!AV53&gt;=721,'(橫掃)RX Mapping'!AV53&lt;=840), ('(橫掃)RX Mapping'!AV53-601),IF(AND('(橫掃)RX Mapping'!AV53&gt;=841,'(橫掃)RX Mapping'!AV53&lt;=960), (-1)*('(橫掃)RX Mapping'!AV53-960)+120,9999))))))))</f>
        <v>9999</v>
      </c>
      <c r="AW53">
        <f>IF(AND('(橫掃)RX Mapping'!AW53&gt;=1,'(橫掃)RX Mapping'!AW53&lt;=120), ('(橫掃)RX Mapping'!AW53-1),IF(AND('(橫掃)RX Mapping'!AW53&gt;=121,'(橫掃)RX Mapping'!AW53&lt;=240), (-1)*('(橫掃)RX Mapping'!AW53-240),IF(AND('(橫掃)RX Mapping'!AW53&gt;=241,'(橫掃)RX Mapping'!AW53&lt;=360), ('(橫掃)RX Mapping'!AW53-241),IF(AND('(橫掃)RX Mapping'!AW53&gt;=361,'(橫掃)RX Mapping'!AW53&lt;=480), (-1)*('(橫掃)RX Mapping'!AW53-480),IF(AND('(橫掃)RX Mapping'!AW53&gt;=481,'(橫掃)RX Mapping'!AW53&lt;=600), ('(橫掃)RX Mapping'!AW53-361),IF(AND('(橫掃)RX Mapping'!AW53&gt;=601,'(橫掃)RX Mapping'!AW53&lt;=720), (-1)*('(橫掃)RX Mapping'!AW53-720)+120,IF(AND('(橫掃)RX Mapping'!AW53&gt;=721,'(橫掃)RX Mapping'!AW53&lt;=840), ('(橫掃)RX Mapping'!AW53-601),IF(AND('(橫掃)RX Mapping'!AW53&gt;=841,'(橫掃)RX Mapping'!AW53&lt;=960), (-1)*('(橫掃)RX Mapping'!AW53-960)+120,9999))))))))</f>
        <v>9999</v>
      </c>
      <c r="AX53">
        <f>IF(AND('(橫掃)RX Mapping'!AX53&gt;=1,'(橫掃)RX Mapping'!AX53&lt;=120), ('(橫掃)RX Mapping'!AX53-1),IF(AND('(橫掃)RX Mapping'!AX53&gt;=121,'(橫掃)RX Mapping'!AX53&lt;=240), (-1)*('(橫掃)RX Mapping'!AX53-240),IF(AND('(橫掃)RX Mapping'!AX53&gt;=241,'(橫掃)RX Mapping'!AX53&lt;=360), ('(橫掃)RX Mapping'!AX53-241),IF(AND('(橫掃)RX Mapping'!AX53&gt;=361,'(橫掃)RX Mapping'!AX53&lt;=480), (-1)*('(橫掃)RX Mapping'!AX53-480),IF(AND('(橫掃)RX Mapping'!AX53&gt;=481,'(橫掃)RX Mapping'!AX53&lt;=600), ('(橫掃)RX Mapping'!AX53-361),IF(AND('(橫掃)RX Mapping'!AX53&gt;=601,'(橫掃)RX Mapping'!AX53&lt;=720), (-1)*('(橫掃)RX Mapping'!AX53-720)+120,IF(AND('(橫掃)RX Mapping'!AX53&gt;=721,'(橫掃)RX Mapping'!AX53&lt;=840), ('(橫掃)RX Mapping'!AX53-601),IF(AND('(橫掃)RX Mapping'!AX53&gt;=841,'(橫掃)RX Mapping'!AX53&lt;=960), (-1)*('(橫掃)RX Mapping'!AX53-960)+120,9999))))))))</f>
        <v>9999</v>
      </c>
      <c r="AY53">
        <f>IF(AND('(橫掃)RX Mapping'!AY53&gt;=1,'(橫掃)RX Mapping'!AY53&lt;=120), ('(橫掃)RX Mapping'!AY53-1),IF(AND('(橫掃)RX Mapping'!AY53&gt;=121,'(橫掃)RX Mapping'!AY53&lt;=240), (-1)*('(橫掃)RX Mapping'!AY53-240),IF(AND('(橫掃)RX Mapping'!AY53&gt;=241,'(橫掃)RX Mapping'!AY53&lt;=360), ('(橫掃)RX Mapping'!AY53-241),IF(AND('(橫掃)RX Mapping'!AY53&gt;=361,'(橫掃)RX Mapping'!AY53&lt;=480), (-1)*('(橫掃)RX Mapping'!AY53-480),IF(AND('(橫掃)RX Mapping'!AY53&gt;=481,'(橫掃)RX Mapping'!AY53&lt;=600), ('(橫掃)RX Mapping'!AY53-361),IF(AND('(橫掃)RX Mapping'!AY53&gt;=601,'(橫掃)RX Mapping'!AY53&lt;=720), (-1)*('(橫掃)RX Mapping'!AY53-720)+120,IF(AND('(橫掃)RX Mapping'!AY53&gt;=721,'(橫掃)RX Mapping'!AY53&lt;=840), ('(橫掃)RX Mapping'!AY53-601),IF(AND('(橫掃)RX Mapping'!AY53&gt;=841,'(橫掃)RX Mapping'!AY53&lt;=960), (-1)*('(橫掃)RX Mapping'!AY53-960)+120,9999))))))))</f>
        <v>9999</v>
      </c>
      <c r="AZ53">
        <f>IF(AND('(橫掃)RX Mapping'!AZ53&gt;=1,'(橫掃)RX Mapping'!AZ53&lt;=120), ('(橫掃)RX Mapping'!AZ53-1),IF(AND('(橫掃)RX Mapping'!AZ53&gt;=121,'(橫掃)RX Mapping'!AZ53&lt;=240), (-1)*('(橫掃)RX Mapping'!AZ53-240),IF(AND('(橫掃)RX Mapping'!AZ53&gt;=241,'(橫掃)RX Mapping'!AZ53&lt;=360), ('(橫掃)RX Mapping'!AZ53-241),IF(AND('(橫掃)RX Mapping'!AZ53&gt;=361,'(橫掃)RX Mapping'!AZ53&lt;=480), (-1)*('(橫掃)RX Mapping'!AZ53-480),IF(AND('(橫掃)RX Mapping'!AZ53&gt;=481,'(橫掃)RX Mapping'!AZ53&lt;=600), ('(橫掃)RX Mapping'!AZ53-361),IF(AND('(橫掃)RX Mapping'!AZ53&gt;=601,'(橫掃)RX Mapping'!AZ53&lt;=720), (-1)*('(橫掃)RX Mapping'!AZ53-720)+120,IF(AND('(橫掃)RX Mapping'!AZ53&gt;=721,'(橫掃)RX Mapping'!AZ53&lt;=840), ('(橫掃)RX Mapping'!AZ53-601),IF(AND('(橫掃)RX Mapping'!AZ53&gt;=841,'(橫掃)RX Mapping'!AZ53&lt;=960), (-1)*('(橫掃)RX Mapping'!AZ53-960)+120,9999))))))))</f>
        <v>9999</v>
      </c>
      <c r="BA53">
        <f>IF(AND('(橫掃)RX Mapping'!BA53&gt;=1,'(橫掃)RX Mapping'!BA53&lt;=120), ('(橫掃)RX Mapping'!BA53-1),IF(AND('(橫掃)RX Mapping'!BA53&gt;=121,'(橫掃)RX Mapping'!BA53&lt;=240), (-1)*('(橫掃)RX Mapping'!BA53-240),IF(AND('(橫掃)RX Mapping'!BA53&gt;=241,'(橫掃)RX Mapping'!BA53&lt;=360), ('(橫掃)RX Mapping'!BA53-241),IF(AND('(橫掃)RX Mapping'!BA53&gt;=361,'(橫掃)RX Mapping'!BA53&lt;=480), (-1)*('(橫掃)RX Mapping'!BA53-480),IF(AND('(橫掃)RX Mapping'!BA53&gt;=481,'(橫掃)RX Mapping'!BA53&lt;=600), ('(橫掃)RX Mapping'!BA53-361),IF(AND('(橫掃)RX Mapping'!BA53&gt;=601,'(橫掃)RX Mapping'!BA53&lt;=720), (-1)*('(橫掃)RX Mapping'!BA53-720)+120,IF(AND('(橫掃)RX Mapping'!BA53&gt;=721,'(橫掃)RX Mapping'!BA53&lt;=840), ('(橫掃)RX Mapping'!BA53-601),IF(AND('(橫掃)RX Mapping'!BA53&gt;=841,'(橫掃)RX Mapping'!BA53&lt;=960), (-1)*('(橫掃)RX Mapping'!BA53-960)+120,9999))))))))</f>
        <v>9999</v>
      </c>
      <c r="BB53">
        <f>IF(AND('(橫掃)RX Mapping'!BB53&gt;=1,'(橫掃)RX Mapping'!BB53&lt;=120), ('(橫掃)RX Mapping'!BB53-1),IF(AND('(橫掃)RX Mapping'!BB53&gt;=121,'(橫掃)RX Mapping'!BB53&lt;=240), (-1)*('(橫掃)RX Mapping'!BB53-240),IF(AND('(橫掃)RX Mapping'!BB53&gt;=241,'(橫掃)RX Mapping'!BB53&lt;=360), ('(橫掃)RX Mapping'!BB53-241),IF(AND('(橫掃)RX Mapping'!BB53&gt;=361,'(橫掃)RX Mapping'!BB53&lt;=480), (-1)*('(橫掃)RX Mapping'!BB53-480),IF(AND('(橫掃)RX Mapping'!BB53&gt;=481,'(橫掃)RX Mapping'!BB53&lt;=600), ('(橫掃)RX Mapping'!BB53-361),IF(AND('(橫掃)RX Mapping'!BB53&gt;=601,'(橫掃)RX Mapping'!BB53&lt;=720), (-1)*('(橫掃)RX Mapping'!BB53-720)+120,IF(AND('(橫掃)RX Mapping'!BB53&gt;=721,'(橫掃)RX Mapping'!BB53&lt;=840), ('(橫掃)RX Mapping'!BB53-601),IF(AND('(橫掃)RX Mapping'!BB53&gt;=841,'(橫掃)RX Mapping'!BB53&lt;=960), (-1)*('(橫掃)RX Mapping'!BB53-960)+120,9999))))))))</f>
        <v>9999</v>
      </c>
      <c r="BC53">
        <f>IF(AND('(橫掃)RX Mapping'!BC53&gt;=1,'(橫掃)RX Mapping'!BC53&lt;=120), ('(橫掃)RX Mapping'!BC53-1),IF(AND('(橫掃)RX Mapping'!BC53&gt;=121,'(橫掃)RX Mapping'!BC53&lt;=240), (-1)*('(橫掃)RX Mapping'!BC53-240),IF(AND('(橫掃)RX Mapping'!BC53&gt;=241,'(橫掃)RX Mapping'!BC53&lt;=360), ('(橫掃)RX Mapping'!BC53-241),IF(AND('(橫掃)RX Mapping'!BC53&gt;=361,'(橫掃)RX Mapping'!BC53&lt;=480), (-1)*('(橫掃)RX Mapping'!BC53-480),IF(AND('(橫掃)RX Mapping'!BC53&gt;=481,'(橫掃)RX Mapping'!BC53&lt;=600), ('(橫掃)RX Mapping'!BC53-361),IF(AND('(橫掃)RX Mapping'!BC53&gt;=601,'(橫掃)RX Mapping'!BC53&lt;=720), (-1)*('(橫掃)RX Mapping'!BC53-720)+120,IF(AND('(橫掃)RX Mapping'!BC53&gt;=721,'(橫掃)RX Mapping'!BC53&lt;=840), ('(橫掃)RX Mapping'!BC53-601),IF(AND('(橫掃)RX Mapping'!BC53&gt;=841,'(橫掃)RX Mapping'!BC53&lt;=960), (-1)*('(橫掃)RX Mapping'!BC53-960)+120,9999))))))))</f>
        <v>9999</v>
      </c>
      <c r="BD53">
        <f>IF(AND('(橫掃)RX Mapping'!BD53&gt;=1,'(橫掃)RX Mapping'!BD53&lt;=120), ('(橫掃)RX Mapping'!BD53-1),IF(AND('(橫掃)RX Mapping'!BD53&gt;=121,'(橫掃)RX Mapping'!BD53&lt;=240), (-1)*('(橫掃)RX Mapping'!BD53-240),IF(AND('(橫掃)RX Mapping'!BD53&gt;=241,'(橫掃)RX Mapping'!BD53&lt;=360), ('(橫掃)RX Mapping'!BD53-241),IF(AND('(橫掃)RX Mapping'!BD53&gt;=361,'(橫掃)RX Mapping'!BD53&lt;=480), (-1)*('(橫掃)RX Mapping'!BD53-480),IF(AND('(橫掃)RX Mapping'!BD53&gt;=481,'(橫掃)RX Mapping'!BD53&lt;=600), ('(橫掃)RX Mapping'!BD53-361),IF(AND('(橫掃)RX Mapping'!BD53&gt;=601,'(橫掃)RX Mapping'!BD53&lt;=720), (-1)*('(橫掃)RX Mapping'!BD53-720)+120,IF(AND('(橫掃)RX Mapping'!BD53&gt;=721,'(橫掃)RX Mapping'!BD53&lt;=840), ('(橫掃)RX Mapping'!BD53-601),IF(AND('(橫掃)RX Mapping'!BD53&gt;=841,'(橫掃)RX Mapping'!BD53&lt;=960), (-1)*('(橫掃)RX Mapping'!BD53-960)+120,9999))))))))</f>
        <v>9999</v>
      </c>
      <c r="BE53">
        <f>IF(AND('(橫掃)RX Mapping'!BE53&gt;=1,'(橫掃)RX Mapping'!BE53&lt;=120), ('(橫掃)RX Mapping'!BE53-1),IF(AND('(橫掃)RX Mapping'!BE53&gt;=121,'(橫掃)RX Mapping'!BE53&lt;=240), (-1)*('(橫掃)RX Mapping'!BE53-240),IF(AND('(橫掃)RX Mapping'!BE53&gt;=241,'(橫掃)RX Mapping'!BE53&lt;=360), ('(橫掃)RX Mapping'!BE53-241),IF(AND('(橫掃)RX Mapping'!BE53&gt;=361,'(橫掃)RX Mapping'!BE53&lt;=480), (-1)*('(橫掃)RX Mapping'!BE53-480),IF(AND('(橫掃)RX Mapping'!BE53&gt;=481,'(橫掃)RX Mapping'!BE53&lt;=600), ('(橫掃)RX Mapping'!BE53-361),IF(AND('(橫掃)RX Mapping'!BE53&gt;=601,'(橫掃)RX Mapping'!BE53&lt;=720), (-1)*('(橫掃)RX Mapping'!BE53-720)+120,IF(AND('(橫掃)RX Mapping'!BE53&gt;=721,'(橫掃)RX Mapping'!BE53&lt;=840), ('(橫掃)RX Mapping'!BE53-601),IF(AND('(橫掃)RX Mapping'!BE53&gt;=841,'(橫掃)RX Mapping'!BE53&lt;=960), (-1)*('(橫掃)RX Mapping'!BE53-960)+120,9999))))))))</f>
        <v>9999</v>
      </c>
      <c r="BF53">
        <f>IF(AND('(橫掃)RX Mapping'!BF53&gt;=1,'(橫掃)RX Mapping'!BF53&lt;=120), ('(橫掃)RX Mapping'!BF53-1),IF(AND('(橫掃)RX Mapping'!BF53&gt;=121,'(橫掃)RX Mapping'!BF53&lt;=240), (-1)*('(橫掃)RX Mapping'!BF53-240),IF(AND('(橫掃)RX Mapping'!BF53&gt;=241,'(橫掃)RX Mapping'!BF53&lt;=360), ('(橫掃)RX Mapping'!BF53-241),IF(AND('(橫掃)RX Mapping'!BF53&gt;=361,'(橫掃)RX Mapping'!BF53&lt;=480), (-1)*('(橫掃)RX Mapping'!BF53-480),IF(AND('(橫掃)RX Mapping'!BF53&gt;=481,'(橫掃)RX Mapping'!BF53&lt;=600), ('(橫掃)RX Mapping'!BF53-361),IF(AND('(橫掃)RX Mapping'!BF53&gt;=601,'(橫掃)RX Mapping'!BF53&lt;=720), (-1)*('(橫掃)RX Mapping'!BF53-720)+120,IF(AND('(橫掃)RX Mapping'!BF53&gt;=721,'(橫掃)RX Mapping'!BF53&lt;=840), ('(橫掃)RX Mapping'!BF53-601),IF(AND('(橫掃)RX Mapping'!BF53&gt;=841,'(橫掃)RX Mapping'!BF53&lt;=960), (-1)*('(橫掃)RX Mapping'!BF53-960)+120,9999))))))))</f>
        <v>9999</v>
      </c>
      <c r="BG53">
        <f>IF(AND('(橫掃)RX Mapping'!BG53&gt;=1,'(橫掃)RX Mapping'!BG53&lt;=120), ('(橫掃)RX Mapping'!BG53-1),IF(AND('(橫掃)RX Mapping'!BG53&gt;=121,'(橫掃)RX Mapping'!BG53&lt;=240), (-1)*('(橫掃)RX Mapping'!BG53-240),IF(AND('(橫掃)RX Mapping'!BG53&gt;=241,'(橫掃)RX Mapping'!BG53&lt;=360), ('(橫掃)RX Mapping'!BG53-241),IF(AND('(橫掃)RX Mapping'!BG53&gt;=361,'(橫掃)RX Mapping'!BG53&lt;=480), (-1)*('(橫掃)RX Mapping'!BG53-480),IF(AND('(橫掃)RX Mapping'!BG53&gt;=481,'(橫掃)RX Mapping'!BG53&lt;=600), ('(橫掃)RX Mapping'!BG53-361),IF(AND('(橫掃)RX Mapping'!BG53&gt;=601,'(橫掃)RX Mapping'!BG53&lt;=720), (-1)*('(橫掃)RX Mapping'!BG53-720)+120,IF(AND('(橫掃)RX Mapping'!BG53&gt;=721,'(橫掃)RX Mapping'!BG53&lt;=840), ('(橫掃)RX Mapping'!BG53-601),IF(AND('(橫掃)RX Mapping'!BG53&gt;=841,'(橫掃)RX Mapping'!BG53&lt;=960), (-1)*('(橫掃)RX Mapping'!BG53-960)+120,9999))))))))</f>
        <v>9999</v>
      </c>
      <c r="BH53">
        <f>IF(AND('(橫掃)RX Mapping'!BH53&gt;=1,'(橫掃)RX Mapping'!BH53&lt;=120), ('(橫掃)RX Mapping'!BH53-1),IF(AND('(橫掃)RX Mapping'!BH53&gt;=121,'(橫掃)RX Mapping'!BH53&lt;=240), (-1)*('(橫掃)RX Mapping'!BH53-240),IF(AND('(橫掃)RX Mapping'!BH53&gt;=241,'(橫掃)RX Mapping'!BH53&lt;=360), ('(橫掃)RX Mapping'!BH53-241),IF(AND('(橫掃)RX Mapping'!BH53&gt;=361,'(橫掃)RX Mapping'!BH53&lt;=480), (-1)*('(橫掃)RX Mapping'!BH53-480),IF(AND('(橫掃)RX Mapping'!BH53&gt;=481,'(橫掃)RX Mapping'!BH53&lt;=600), ('(橫掃)RX Mapping'!BH53-361),IF(AND('(橫掃)RX Mapping'!BH53&gt;=601,'(橫掃)RX Mapping'!BH53&lt;=720), (-1)*('(橫掃)RX Mapping'!BH53-720)+120,IF(AND('(橫掃)RX Mapping'!BH53&gt;=721,'(橫掃)RX Mapping'!BH53&lt;=840), ('(橫掃)RX Mapping'!BH53-601),IF(AND('(橫掃)RX Mapping'!BH53&gt;=841,'(橫掃)RX Mapping'!BH53&lt;=960), (-1)*('(橫掃)RX Mapping'!BH53-960)+120,9999))))))))</f>
        <v>9999</v>
      </c>
      <c r="BI53">
        <f>IF(AND('(橫掃)RX Mapping'!BI53&gt;=1,'(橫掃)RX Mapping'!BI53&lt;=120), ('(橫掃)RX Mapping'!BI53-1),IF(AND('(橫掃)RX Mapping'!BI53&gt;=121,'(橫掃)RX Mapping'!BI53&lt;=240), (-1)*('(橫掃)RX Mapping'!BI53-240),IF(AND('(橫掃)RX Mapping'!BI53&gt;=241,'(橫掃)RX Mapping'!BI53&lt;=360), ('(橫掃)RX Mapping'!BI53-241),IF(AND('(橫掃)RX Mapping'!BI53&gt;=361,'(橫掃)RX Mapping'!BI53&lt;=480), (-1)*('(橫掃)RX Mapping'!BI53-480),IF(AND('(橫掃)RX Mapping'!BI53&gt;=481,'(橫掃)RX Mapping'!BI53&lt;=600), ('(橫掃)RX Mapping'!BI53-361),IF(AND('(橫掃)RX Mapping'!BI53&gt;=601,'(橫掃)RX Mapping'!BI53&lt;=720), (-1)*('(橫掃)RX Mapping'!BI53-720)+120,IF(AND('(橫掃)RX Mapping'!BI53&gt;=721,'(橫掃)RX Mapping'!BI53&lt;=840), ('(橫掃)RX Mapping'!BI53-601),IF(AND('(橫掃)RX Mapping'!BI53&gt;=841,'(橫掃)RX Mapping'!BI53&lt;=960), (-1)*('(橫掃)RX Mapping'!BI53-960)+120,9999))))))))</f>
        <v>9999</v>
      </c>
    </row>
    <row r="54" spans="1:61" x14ac:dyDescent="0.25">
      <c r="A54" s="20">
        <v>53</v>
      </c>
      <c r="B54">
        <f>IF(AND('(橫掃)RX Mapping'!B54&gt;=1,'(橫掃)RX Mapping'!B54&lt;=120), ('(橫掃)RX Mapping'!B54-1),IF(AND('(橫掃)RX Mapping'!B54&gt;=121,'(橫掃)RX Mapping'!B54&lt;=240), (-1)*('(橫掃)RX Mapping'!B54-240),IF(AND('(橫掃)RX Mapping'!B54&gt;=241,'(橫掃)RX Mapping'!B54&lt;=360), ('(橫掃)RX Mapping'!B54-241),IF(AND('(橫掃)RX Mapping'!B54&gt;=361,'(橫掃)RX Mapping'!B54&lt;=480), (-1)*('(橫掃)RX Mapping'!B54-480),IF(AND('(橫掃)RX Mapping'!B54&gt;=481,'(橫掃)RX Mapping'!B54&lt;=600), ('(橫掃)RX Mapping'!B54-361),IF(AND('(橫掃)RX Mapping'!B54&gt;=601,'(橫掃)RX Mapping'!B54&lt;=720), (-1)*('(橫掃)RX Mapping'!B54-720)+120,IF(AND('(橫掃)RX Mapping'!B54&gt;=721,'(橫掃)RX Mapping'!B54&lt;=840), ('(橫掃)RX Mapping'!B54-601),IF(AND('(橫掃)RX Mapping'!B54&gt;=841,'(橫掃)RX Mapping'!B54&lt;=960), (-1)*('(橫掃)RX Mapping'!B54-960)+120,9999))))))))</f>
        <v>9999</v>
      </c>
      <c r="C54">
        <f>IF(AND('(橫掃)RX Mapping'!C54&gt;=1,'(橫掃)RX Mapping'!C54&lt;=120), ('(橫掃)RX Mapping'!C54-1),IF(AND('(橫掃)RX Mapping'!C54&gt;=121,'(橫掃)RX Mapping'!C54&lt;=240), (-1)*('(橫掃)RX Mapping'!C54-240),IF(AND('(橫掃)RX Mapping'!C54&gt;=241,'(橫掃)RX Mapping'!C54&lt;=360), ('(橫掃)RX Mapping'!C54-241),IF(AND('(橫掃)RX Mapping'!C54&gt;=361,'(橫掃)RX Mapping'!C54&lt;=480), (-1)*('(橫掃)RX Mapping'!C54-480),IF(AND('(橫掃)RX Mapping'!C54&gt;=481,'(橫掃)RX Mapping'!C54&lt;=600), ('(橫掃)RX Mapping'!C54-361),IF(AND('(橫掃)RX Mapping'!C54&gt;=601,'(橫掃)RX Mapping'!C54&lt;=720), (-1)*('(橫掃)RX Mapping'!C54-720)+120,IF(AND('(橫掃)RX Mapping'!C54&gt;=721,'(橫掃)RX Mapping'!C54&lt;=840), ('(橫掃)RX Mapping'!C54-601),IF(AND('(橫掃)RX Mapping'!C54&gt;=841,'(橫掃)RX Mapping'!C54&lt;=960), (-1)*('(橫掃)RX Mapping'!C54-960)+120,9999))))))))</f>
        <v>9999</v>
      </c>
      <c r="D54">
        <f>IF(AND('(橫掃)RX Mapping'!D54&gt;=1,'(橫掃)RX Mapping'!D54&lt;=120), ('(橫掃)RX Mapping'!D54-1),IF(AND('(橫掃)RX Mapping'!D54&gt;=121,'(橫掃)RX Mapping'!D54&lt;=240), (-1)*('(橫掃)RX Mapping'!D54-240),IF(AND('(橫掃)RX Mapping'!D54&gt;=241,'(橫掃)RX Mapping'!D54&lt;=360), ('(橫掃)RX Mapping'!D54-241),IF(AND('(橫掃)RX Mapping'!D54&gt;=361,'(橫掃)RX Mapping'!D54&lt;=480), (-1)*('(橫掃)RX Mapping'!D54-480),IF(AND('(橫掃)RX Mapping'!D54&gt;=481,'(橫掃)RX Mapping'!D54&lt;=600), ('(橫掃)RX Mapping'!D54-361),IF(AND('(橫掃)RX Mapping'!D54&gt;=601,'(橫掃)RX Mapping'!D54&lt;=720), (-1)*('(橫掃)RX Mapping'!D54-720)+120,IF(AND('(橫掃)RX Mapping'!D54&gt;=721,'(橫掃)RX Mapping'!D54&lt;=840), ('(橫掃)RX Mapping'!D54-601),IF(AND('(橫掃)RX Mapping'!D54&gt;=841,'(橫掃)RX Mapping'!D54&lt;=960), (-1)*('(橫掃)RX Mapping'!D54-960)+120,9999))))))))</f>
        <v>9999</v>
      </c>
      <c r="E54">
        <f>IF(AND('(橫掃)RX Mapping'!E54&gt;=1,'(橫掃)RX Mapping'!E54&lt;=120), ('(橫掃)RX Mapping'!E54-1),IF(AND('(橫掃)RX Mapping'!E54&gt;=121,'(橫掃)RX Mapping'!E54&lt;=240), (-1)*('(橫掃)RX Mapping'!E54-240),IF(AND('(橫掃)RX Mapping'!E54&gt;=241,'(橫掃)RX Mapping'!E54&lt;=360), ('(橫掃)RX Mapping'!E54-241),IF(AND('(橫掃)RX Mapping'!E54&gt;=361,'(橫掃)RX Mapping'!E54&lt;=480), (-1)*('(橫掃)RX Mapping'!E54-480),IF(AND('(橫掃)RX Mapping'!E54&gt;=481,'(橫掃)RX Mapping'!E54&lt;=600), ('(橫掃)RX Mapping'!E54-361),IF(AND('(橫掃)RX Mapping'!E54&gt;=601,'(橫掃)RX Mapping'!E54&lt;=720), (-1)*('(橫掃)RX Mapping'!E54-720)+120,IF(AND('(橫掃)RX Mapping'!E54&gt;=721,'(橫掃)RX Mapping'!E54&lt;=840), ('(橫掃)RX Mapping'!E54-601),IF(AND('(橫掃)RX Mapping'!E54&gt;=841,'(橫掃)RX Mapping'!E54&lt;=960), (-1)*('(橫掃)RX Mapping'!E54-960)+120,9999))))))))</f>
        <v>9999</v>
      </c>
      <c r="F54">
        <f>IF(AND('(橫掃)RX Mapping'!F54&gt;=1,'(橫掃)RX Mapping'!F54&lt;=120), ('(橫掃)RX Mapping'!F54-1),IF(AND('(橫掃)RX Mapping'!F54&gt;=121,'(橫掃)RX Mapping'!F54&lt;=240), (-1)*('(橫掃)RX Mapping'!F54-240),IF(AND('(橫掃)RX Mapping'!F54&gt;=241,'(橫掃)RX Mapping'!F54&lt;=360), ('(橫掃)RX Mapping'!F54-241),IF(AND('(橫掃)RX Mapping'!F54&gt;=361,'(橫掃)RX Mapping'!F54&lt;=480), (-1)*('(橫掃)RX Mapping'!F54-480),IF(AND('(橫掃)RX Mapping'!F54&gt;=481,'(橫掃)RX Mapping'!F54&lt;=600), ('(橫掃)RX Mapping'!F54-361),IF(AND('(橫掃)RX Mapping'!F54&gt;=601,'(橫掃)RX Mapping'!F54&lt;=720), (-1)*('(橫掃)RX Mapping'!F54-720)+120,IF(AND('(橫掃)RX Mapping'!F54&gt;=721,'(橫掃)RX Mapping'!F54&lt;=840), ('(橫掃)RX Mapping'!F54-601),IF(AND('(橫掃)RX Mapping'!F54&gt;=841,'(橫掃)RX Mapping'!F54&lt;=960), (-1)*('(橫掃)RX Mapping'!F54-960)+120,9999))))))))</f>
        <v>9999</v>
      </c>
      <c r="G54">
        <f>IF(AND('(橫掃)RX Mapping'!G54&gt;=1,'(橫掃)RX Mapping'!G54&lt;=120), ('(橫掃)RX Mapping'!G54-1),IF(AND('(橫掃)RX Mapping'!G54&gt;=121,'(橫掃)RX Mapping'!G54&lt;=240), (-1)*('(橫掃)RX Mapping'!G54-240),IF(AND('(橫掃)RX Mapping'!G54&gt;=241,'(橫掃)RX Mapping'!G54&lt;=360), ('(橫掃)RX Mapping'!G54-241),IF(AND('(橫掃)RX Mapping'!G54&gt;=361,'(橫掃)RX Mapping'!G54&lt;=480), (-1)*('(橫掃)RX Mapping'!G54-480),IF(AND('(橫掃)RX Mapping'!G54&gt;=481,'(橫掃)RX Mapping'!G54&lt;=600), ('(橫掃)RX Mapping'!G54-361),IF(AND('(橫掃)RX Mapping'!G54&gt;=601,'(橫掃)RX Mapping'!G54&lt;=720), (-1)*('(橫掃)RX Mapping'!G54-720)+120,IF(AND('(橫掃)RX Mapping'!G54&gt;=721,'(橫掃)RX Mapping'!G54&lt;=840), ('(橫掃)RX Mapping'!G54-601),IF(AND('(橫掃)RX Mapping'!G54&gt;=841,'(橫掃)RX Mapping'!G54&lt;=960), (-1)*('(橫掃)RX Mapping'!G54-960)+120,9999))))))))</f>
        <v>9999</v>
      </c>
      <c r="H54">
        <f>IF(AND('(橫掃)RX Mapping'!H54&gt;=1,'(橫掃)RX Mapping'!H54&lt;=120), ('(橫掃)RX Mapping'!H54-1),IF(AND('(橫掃)RX Mapping'!H54&gt;=121,'(橫掃)RX Mapping'!H54&lt;=240), (-1)*('(橫掃)RX Mapping'!H54-240),IF(AND('(橫掃)RX Mapping'!H54&gt;=241,'(橫掃)RX Mapping'!H54&lt;=360), ('(橫掃)RX Mapping'!H54-241),IF(AND('(橫掃)RX Mapping'!H54&gt;=361,'(橫掃)RX Mapping'!H54&lt;=480), (-1)*('(橫掃)RX Mapping'!H54-480),IF(AND('(橫掃)RX Mapping'!H54&gt;=481,'(橫掃)RX Mapping'!H54&lt;=600), ('(橫掃)RX Mapping'!H54-361),IF(AND('(橫掃)RX Mapping'!H54&gt;=601,'(橫掃)RX Mapping'!H54&lt;=720), (-1)*('(橫掃)RX Mapping'!H54-720)+120,IF(AND('(橫掃)RX Mapping'!H54&gt;=721,'(橫掃)RX Mapping'!H54&lt;=840), ('(橫掃)RX Mapping'!H54-601),IF(AND('(橫掃)RX Mapping'!H54&gt;=841,'(橫掃)RX Mapping'!H54&lt;=960), (-1)*('(橫掃)RX Mapping'!H54-960)+120,9999))))))))</f>
        <v>9999</v>
      </c>
      <c r="I54">
        <f>IF(AND('(橫掃)RX Mapping'!I54&gt;=1,'(橫掃)RX Mapping'!I54&lt;=120), ('(橫掃)RX Mapping'!I54-1),IF(AND('(橫掃)RX Mapping'!I54&gt;=121,'(橫掃)RX Mapping'!I54&lt;=240), (-1)*('(橫掃)RX Mapping'!I54-240),IF(AND('(橫掃)RX Mapping'!I54&gt;=241,'(橫掃)RX Mapping'!I54&lt;=360), ('(橫掃)RX Mapping'!I54-241),IF(AND('(橫掃)RX Mapping'!I54&gt;=361,'(橫掃)RX Mapping'!I54&lt;=480), (-1)*('(橫掃)RX Mapping'!I54-480),IF(AND('(橫掃)RX Mapping'!I54&gt;=481,'(橫掃)RX Mapping'!I54&lt;=600), ('(橫掃)RX Mapping'!I54-361),IF(AND('(橫掃)RX Mapping'!I54&gt;=601,'(橫掃)RX Mapping'!I54&lt;=720), (-1)*('(橫掃)RX Mapping'!I54-720)+120,IF(AND('(橫掃)RX Mapping'!I54&gt;=721,'(橫掃)RX Mapping'!I54&lt;=840), ('(橫掃)RX Mapping'!I54-601),IF(AND('(橫掃)RX Mapping'!I54&gt;=841,'(橫掃)RX Mapping'!I54&lt;=960), (-1)*('(橫掃)RX Mapping'!I54-960)+120,9999))))))))</f>
        <v>9999</v>
      </c>
      <c r="J54">
        <f>IF(AND('(橫掃)RX Mapping'!J54&gt;=1,'(橫掃)RX Mapping'!J54&lt;=120), ('(橫掃)RX Mapping'!J54-1),IF(AND('(橫掃)RX Mapping'!J54&gt;=121,'(橫掃)RX Mapping'!J54&lt;=240), (-1)*('(橫掃)RX Mapping'!J54-240),IF(AND('(橫掃)RX Mapping'!J54&gt;=241,'(橫掃)RX Mapping'!J54&lt;=360), ('(橫掃)RX Mapping'!J54-241),IF(AND('(橫掃)RX Mapping'!J54&gt;=361,'(橫掃)RX Mapping'!J54&lt;=480), (-1)*('(橫掃)RX Mapping'!J54-480),IF(AND('(橫掃)RX Mapping'!J54&gt;=481,'(橫掃)RX Mapping'!J54&lt;=600), ('(橫掃)RX Mapping'!J54-361),IF(AND('(橫掃)RX Mapping'!J54&gt;=601,'(橫掃)RX Mapping'!J54&lt;=720), (-1)*('(橫掃)RX Mapping'!J54-720)+120,IF(AND('(橫掃)RX Mapping'!J54&gt;=721,'(橫掃)RX Mapping'!J54&lt;=840), ('(橫掃)RX Mapping'!J54-601),IF(AND('(橫掃)RX Mapping'!J54&gt;=841,'(橫掃)RX Mapping'!J54&lt;=960), (-1)*('(橫掃)RX Mapping'!J54-960)+120,9999))))))))</f>
        <v>9999</v>
      </c>
      <c r="K54">
        <f>IF(AND('(橫掃)RX Mapping'!K54&gt;=1,'(橫掃)RX Mapping'!K54&lt;=120), ('(橫掃)RX Mapping'!K54-1),IF(AND('(橫掃)RX Mapping'!K54&gt;=121,'(橫掃)RX Mapping'!K54&lt;=240), (-1)*('(橫掃)RX Mapping'!K54-240),IF(AND('(橫掃)RX Mapping'!K54&gt;=241,'(橫掃)RX Mapping'!K54&lt;=360), ('(橫掃)RX Mapping'!K54-241),IF(AND('(橫掃)RX Mapping'!K54&gt;=361,'(橫掃)RX Mapping'!K54&lt;=480), (-1)*('(橫掃)RX Mapping'!K54-480),IF(AND('(橫掃)RX Mapping'!K54&gt;=481,'(橫掃)RX Mapping'!K54&lt;=600), ('(橫掃)RX Mapping'!K54-361),IF(AND('(橫掃)RX Mapping'!K54&gt;=601,'(橫掃)RX Mapping'!K54&lt;=720), (-1)*('(橫掃)RX Mapping'!K54-720)+120,IF(AND('(橫掃)RX Mapping'!K54&gt;=721,'(橫掃)RX Mapping'!K54&lt;=840), ('(橫掃)RX Mapping'!K54-601),IF(AND('(橫掃)RX Mapping'!K54&gt;=841,'(橫掃)RX Mapping'!K54&lt;=960), (-1)*('(橫掃)RX Mapping'!K54-960)+120,9999))))))))</f>
        <v>9999</v>
      </c>
      <c r="L54">
        <f>IF(AND('(橫掃)RX Mapping'!L54&gt;=1,'(橫掃)RX Mapping'!L54&lt;=120), ('(橫掃)RX Mapping'!L54-1),IF(AND('(橫掃)RX Mapping'!L54&gt;=121,'(橫掃)RX Mapping'!L54&lt;=240), (-1)*('(橫掃)RX Mapping'!L54-240),IF(AND('(橫掃)RX Mapping'!L54&gt;=241,'(橫掃)RX Mapping'!L54&lt;=360), ('(橫掃)RX Mapping'!L54-241),IF(AND('(橫掃)RX Mapping'!L54&gt;=361,'(橫掃)RX Mapping'!L54&lt;=480), (-1)*('(橫掃)RX Mapping'!L54-480),IF(AND('(橫掃)RX Mapping'!L54&gt;=481,'(橫掃)RX Mapping'!L54&lt;=600), ('(橫掃)RX Mapping'!L54-361),IF(AND('(橫掃)RX Mapping'!L54&gt;=601,'(橫掃)RX Mapping'!L54&lt;=720), (-1)*('(橫掃)RX Mapping'!L54-720)+120,IF(AND('(橫掃)RX Mapping'!L54&gt;=721,'(橫掃)RX Mapping'!L54&lt;=840), ('(橫掃)RX Mapping'!L54-601),IF(AND('(橫掃)RX Mapping'!L54&gt;=841,'(橫掃)RX Mapping'!L54&lt;=960), (-1)*('(橫掃)RX Mapping'!L54-960)+120,9999))))))))</f>
        <v>9999</v>
      </c>
      <c r="M54">
        <f>IF(AND('(橫掃)RX Mapping'!M54&gt;=1,'(橫掃)RX Mapping'!M54&lt;=120), ('(橫掃)RX Mapping'!M54-1),IF(AND('(橫掃)RX Mapping'!M54&gt;=121,'(橫掃)RX Mapping'!M54&lt;=240), (-1)*('(橫掃)RX Mapping'!M54-240),IF(AND('(橫掃)RX Mapping'!M54&gt;=241,'(橫掃)RX Mapping'!M54&lt;=360), ('(橫掃)RX Mapping'!M54-241),IF(AND('(橫掃)RX Mapping'!M54&gt;=361,'(橫掃)RX Mapping'!M54&lt;=480), (-1)*('(橫掃)RX Mapping'!M54-480),IF(AND('(橫掃)RX Mapping'!M54&gt;=481,'(橫掃)RX Mapping'!M54&lt;=600), ('(橫掃)RX Mapping'!M54-361),IF(AND('(橫掃)RX Mapping'!M54&gt;=601,'(橫掃)RX Mapping'!M54&lt;=720), (-1)*('(橫掃)RX Mapping'!M54-720)+120,IF(AND('(橫掃)RX Mapping'!M54&gt;=721,'(橫掃)RX Mapping'!M54&lt;=840), ('(橫掃)RX Mapping'!M54-601),IF(AND('(橫掃)RX Mapping'!M54&gt;=841,'(橫掃)RX Mapping'!M54&lt;=960), (-1)*('(橫掃)RX Mapping'!M54-960)+120,9999))))))))</f>
        <v>9999</v>
      </c>
      <c r="N54">
        <f>IF(AND('(橫掃)RX Mapping'!N54&gt;=1,'(橫掃)RX Mapping'!N54&lt;=120), ('(橫掃)RX Mapping'!N54-1),IF(AND('(橫掃)RX Mapping'!N54&gt;=121,'(橫掃)RX Mapping'!N54&lt;=240), (-1)*('(橫掃)RX Mapping'!N54-240),IF(AND('(橫掃)RX Mapping'!N54&gt;=241,'(橫掃)RX Mapping'!N54&lt;=360), ('(橫掃)RX Mapping'!N54-241),IF(AND('(橫掃)RX Mapping'!N54&gt;=361,'(橫掃)RX Mapping'!N54&lt;=480), (-1)*('(橫掃)RX Mapping'!N54-480),IF(AND('(橫掃)RX Mapping'!N54&gt;=481,'(橫掃)RX Mapping'!N54&lt;=600), ('(橫掃)RX Mapping'!N54-361),IF(AND('(橫掃)RX Mapping'!N54&gt;=601,'(橫掃)RX Mapping'!N54&lt;=720), (-1)*('(橫掃)RX Mapping'!N54-720)+120,IF(AND('(橫掃)RX Mapping'!N54&gt;=721,'(橫掃)RX Mapping'!N54&lt;=840), ('(橫掃)RX Mapping'!N54-601),IF(AND('(橫掃)RX Mapping'!N54&gt;=841,'(橫掃)RX Mapping'!N54&lt;=960), (-1)*('(橫掃)RX Mapping'!N54-960)+120,9999))))))))</f>
        <v>9999</v>
      </c>
      <c r="O54">
        <f>IF(AND('(橫掃)RX Mapping'!O54&gt;=1,'(橫掃)RX Mapping'!O54&lt;=120), ('(橫掃)RX Mapping'!O54-1),IF(AND('(橫掃)RX Mapping'!O54&gt;=121,'(橫掃)RX Mapping'!O54&lt;=240), (-1)*('(橫掃)RX Mapping'!O54-240),IF(AND('(橫掃)RX Mapping'!O54&gt;=241,'(橫掃)RX Mapping'!O54&lt;=360), ('(橫掃)RX Mapping'!O54-241),IF(AND('(橫掃)RX Mapping'!O54&gt;=361,'(橫掃)RX Mapping'!O54&lt;=480), (-1)*('(橫掃)RX Mapping'!O54-480),IF(AND('(橫掃)RX Mapping'!O54&gt;=481,'(橫掃)RX Mapping'!O54&lt;=600), ('(橫掃)RX Mapping'!O54-361),IF(AND('(橫掃)RX Mapping'!O54&gt;=601,'(橫掃)RX Mapping'!O54&lt;=720), (-1)*('(橫掃)RX Mapping'!O54-720)+120,IF(AND('(橫掃)RX Mapping'!O54&gt;=721,'(橫掃)RX Mapping'!O54&lt;=840), ('(橫掃)RX Mapping'!O54-601),IF(AND('(橫掃)RX Mapping'!O54&gt;=841,'(橫掃)RX Mapping'!O54&lt;=960), (-1)*('(橫掃)RX Mapping'!O54-960)+120,9999))))))))</f>
        <v>9999</v>
      </c>
      <c r="P54">
        <f>IF(AND('(橫掃)RX Mapping'!P54&gt;=1,'(橫掃)RX Mapping'!P54&lt;=120), ('(橫掃)RX Mapping'!P54-1),IF(AND('(橫掃)RX Mapping'!P54&gt;=121,'(橫掃)RX Mapping'!P54&lt;=240), (-1)*('(橫掃)RX Mapping'!P54-240),IF(AND('(橫掃)RX Mapping'!P54&gt;=241,'(橫掃)RX Mapping'!P54&lt;=360), ('(橫掃)RX Mapping'!P54-241),IF(AND('(橫掃)RX Mapping'!P54&gt;=361,'(橫掃)RX Mapping'!P54&lt;=480), (-1)*('(橫掃)RX Mapping'!P54-480),IF(AND('(橫掃)RX Mapping'!P54&gt;=481,'(橫掃)RX Mapping'!P54&lt;=600), ('(橫掃)RX Mapping'!P54-361),IF(AND('(橫掃)RX Mapping'!P54&gt;=601,'(橫掃)RX Mapping'!P54&lt;=720), (-1)*('(橫掃)RX Mapping'!P54-720)+120,IF(AND('(橫掃)RX Mapping'!P54&gt;=721,'(橫掃)RX Mapping'!P54&lt;=840), ('(橫掃)RX Mapping'!P54-601),IF(AND('(橫掃)RX Mapping'!P54&gt;=841,'(橫掃)RX Mapping'!P54&lt;=960), (-1)*('(橫掃)RX Mapping'!P54-960)+120,9999))))))))</f>
        <v>9999</v>
      </c>
      <c r="Q54">
        <f>IF(AND('(橫掃)RX Mapping'!Q54&gt;=1,'(橫掃)RX Mapping'!Q54&lt;=120), ('(橫掃)RX Mapping'!Q54-1),IF(AND('(橫掃)RX Mapping'!Q54&gt;=121,'(橫掃)RX Mapping'!Q54&lt;=240), (-1)*('(橫掃)RX Mapping'!Q54-240),IF(AND('(橫掃)RX Mapping'!Q54&gt;=241,'(橫掃)RX Mapping'!Q54&lt;=360), ('(橫掃)RX Mapping'!Q54-241),IF(AND('(橫掃)RX Mapping'!Q54&gt;=361,'(橫掃)RX Mapping'!Q54&lt;=480), (-1)*('(橫掃)RX Mapping'!Q54-480),IF(AND('(橫掃)RX Mapping'!Q54&gt;=481,'(橫掃)RX Mapping'!Q54&lt;=600), ('(橫掃)RX Mapping'!Q54-361),IF(AND('(橫掃)RX Mapping'!Q54&gt;=601,'(橫掃)RX Mapping'!Q54&lt;=720), (-1)*('(橫掃)RX Mapping'!Q54-720)+120,IF(AND('(橫掃)RX Mapping'!Q54&gt;=721,'(橫掃)RX Mapping'!Q54&lt;=840), ('(橫掃)RX Mapping'!Q54-601),IF(AND('(橫掃)RX Mapping'!Q54&gt;=841,'(橫掃)RX Mapping'!Q54&lt;=960), (-1)*('(橫掃)RX Mapping'!Q54-960)+120,9999))))))))</f>
        <v>9999</v>
      </c>
      <c r="R54">
        <f>IF(AND('(橫掃)RX Mapping'!R54&gt;=1,'(橫掃)RX Mapping'!R54&lt;=120), ('(橫掃)RX Mapping'!R54-1),IF(AND('(橫掃)RX Mapping'!R54&gt;=121,'(橫掃)RX Mapping'!R54&lt;=240), (-1)*('(橫掃)RX Mapping'!R54-240),IF(AND('(橫掃)RX Mapping'!R54&gt;=241,'(橫掃)RX Mapping'!R54&lt;=360), ('(橫掃)RX Mapping'!R54-241),IF(AND('(橫掃)RX Mapping'!R54&gt;=361,'(橫掃)RX Mapping'!R54&lt;=480), (-1)*('(橫掃)RX Mapping'!R54-480),IF(AND('(橫掃)RX Mapping'!R54&gt;=481,'(橫掃)RX Mapping'!R54&lt;=600), ('(橫掃)RX Mapping'!R54-361),IF(AND('(橫掃)RX Mapping'!R54&gt;=601,'(橫掃)RX Mapping'!R54&lt;=720), (-1)*('(橫掃)RX Mapping'!R54-720)+120,IF(AND('(橫掃)RX Mapping'!R54&gt;=721,'(橫掃)RX Mapping'!R54&lt;=840), ('(橫掃)RX Mapping'!R54-601),IF(AND('(橫掃)RX Mapping'!R54&gt;=841,'(橫掃)RX Mapping'!R54&lt;=960), (-1)*('(橫掃)RX Mapping'!R54-960)+120,9999))))))))</f>
        <v>9999</v>
      </c>
      <c r="S54">
        <f>IF(AND('(橫掃)RX Mapping'!S54&gt;=1,'(橫掃)RX Mapping'!S54&lt;=120), ('(橫掃)RX Mapping'!S54-1),IF(AND('(橫掃)RX Mapping'!S54&gt;=121,'(橫掃)RX Mapping'!S54&lt;=240), (-1)*('(橫掃)RX Mapping'!S54-240),IF(AND('(橫掃)RX Mapping'!S54&gt;=241,'(橫掃)RX Mapping'!S54&lt;=360), ('(橫掃)RX Mapping'!S54-241),IF(AND('(橫掃)RX Mapping'!S54&gt;=361,'(橫掃)RX Mapping'!S54&lt;=480), (-1)*('(橫掃)RX Mapping'!S54-480),IF(AND('(橫掃)RX Mapping'!S54&gt;=481,'(橫掃)RX Mapping'!S54&lt;=600), ('(橫掃)RX Mapping'!S54-361),IF(AND('(橫掃)RX Mapping'!S54&gt;=601,'(橫掃)RX Mapping'!S54&lt;=720), (-1)*('(橫掃)RX Mapping'!S54-720)+120,IF(AND('(橫掃)RX Mapping'!S54&gt;=721,'(橫掃)RX Mapping'!S54&lt;=840), ('(橫掃)RX Mapping'!S54-601),IF(AND('(橫掃)RX Mapping'!S54&gt;=841,'(橫掃)RX Mapping'!S54&lt;=960), (-1)*('(橫掃)RX Mapping'!S54-960)+120,9999))))))))</f>
        <v>9999</v>
      </c>
      <c r="T54">
        <f>IF(AND('(橫掃)RX Mapping'!T54&gt;=1,'(橫掃)RX Mapping'!T54&lt;=120), ('(橫掃)RX Mapping'!T54-1),IF(AND('(橫掃)RX Mapping'!T54&gt;=121,'(橫掃)RX Mapping'!T54&lt;=240), (-1)*('(橫掃)RX Mapping'!T54-240),IF(AND('(橫掃)RX Mapping'!T54&gt;=241,'(橫掃)RX Mapping'!T54&lt;=360), ('(橫掃)RX Mapping'!T54-241),IF(AND('(橫掃)RX Mapping'!T54&gt;=361,'(橫掃)RX Mapping'!T54&lt;=480), (-1)*('(橫掃)RX Mapping'!T54-480),IF(AND('(橫掃)RX Mapping'!T54&gt;=481,'(橫掃)RX Mapping'!T54&lt;=600), ('(橫掃)RX Mapping'!T54-361),IF(AND('(橫掃)RX Mapping'!T54&gt;=601,'(橫掃)RX Mapping'!T54&lt;=720), (-1)*('(橫掃)RX Mapping'!T54-720)+120,IF(AND('(橫掃)RX Mapping'!T54&gt;=721,'(橫掃)RX Mapping'!T54&lt;=840), ('(橫掃)RX Mapping'!T54-601),IF(AND('(橫掃)RX Mapping'!T54&gt;=841,'(橫掃)RX Mapping'!T54&lt;=960), (-1)*('(橫掃)RX Mapping'!T54-960)+120,9999))))))))</f>
        <v>9999</v>
      </c>
      <c r="U54">
        <f>IF(AND('(橫掃)RX Mapping'!U54&gt;=1,'(橫掃)RX Mapping'!U54&lt;=120), ('(橫掃)RX Mapping'!U54-1),IF(AND('(橫掃)RX Mapping'!U54&gt;=121,'(橫掃)RX Mapping'!U54&lt;=240), (-1)*('(橫掃)RX Mapping'!U54-240),IF(AND('(橫掃)RX Mapping'!U54&gt;=241,'(橫掃)RX Mapping'!U54&lt;=360), ('(橫掃)RX Mapping'!U54-241),IF(AND('(橫掃)RX Mapping'!U54&gt;=361,'(橫掃)RX Mapping'!U54&lt;=480), (-1)*('(橫掃)RX Mapping'!U54-480),IF(AND('(橫掃)RX Mapping'!U54&gt;=481,'(橫掃)RX Mapping'!U54&lt;=600), ('(橫掃)RX Mapping'!U54-361),IF(AND('(橫掃)RX Mapping'!U54&gt;=601,'(橫掃)RX Mapping'!U54&lt;=720), (-1)*('(橫掃)RX Mapping'!U54-720)+120,IF(AND('(橫掃)RX Mapping'!U54&gt;=721,'(橫掃)RX Mapping'!U54&lt;=840), ('(橫掃)RX Mapping'!U54-601),IF(AND('(橫掃)RX Mapping'!U54&gt;=841,'(橫掃)RX Mapping'!U54&lt;=960), (-1)*('(橫掃)RX Mapping'!U54-960)+120,9999))))))))</f>
        <v>9999</v>
      </c>
      <c r="V54">
        <f>IF(AND('(橫掃)RX Mapping'!V54&gt;=1,'(橫掃)RX Mapping'!V54&lt;=120), ('(橫掃)RX Mapping'!V54-1),IF(AND('(橫掃)RX Mapping'!V54&gt;=121,'(橫掃)RX Mapping'!V54&lt;=240), (-1)*('(橫掃)RX Mapping'!V54-240),IF(AND('(橫掃)RX Mapping'!V54&gt;=241,'(橫掃)RX Mapping'!V54&lt;=360), ('(橫掃)RX Mapping'!V54-241),IF(AND('(橫掃)RX Mapping'!V54&gt;=361,'(橫掃)RX Mapping'!V54&lt;=480), (-1)*('(橫掃)RX Mapping'!V54-480),IF(AND('(橫掃)RX Mapping'!V54&gt;=481,'(橫掃)RX Mapping'!V54&lt;=600), ('(橫掃)RX Mapping'!V54-361),IF(AND('(橫掃)RX Mapping'!V54&gt;=601,'(橫掃)RX Mapping'!V54&lt;=720), (-1)*('(橫掃)RX Mapping'!V54-720)+120,IF(AND('(橫掃)RX Mapping'!V54&gt;=721,'(橫掃)RX Mapping'!V54&lt;=840), ('(橫掃)RX Mapping'!V54-601),IF(AND('(橫掃)RX Mapping'!V54&gt;=841,'(橫掃)RX Mapping'!V54&lt;=960), (-1)*('(橫掃)RX Mapping'!V54-960)+120,9999))))))))</f>
        <v>9999</v>
      </c>
      <c r="W54">
        <f>IF(AND('(橫掃)RX Mapping'!W54&gt;=1,'(橫掃)RX Mapping'!W54&lt;=120), ('(橫掃)RX Mapping'!W54-1),IF(AND('(橫掃)RX Mapping'!W54&gt;=121,'(橫掃)RX Mapping'!W54&lt;=240), (-1)*('(橫掃)RX Mapping'!W54-240),IF(AND('(橫掃)RX Mapping'!W54&gt;=241,'(橫掃)RX Mapping'!W54&lt;=360), ('(橫掃)RX Mapping'!W54-241),IF(AND('(橫掃)RX Mapping'!W54&gt;=361,'(橫掃)RX Mapping'!W54&lt;=480), (-1)*('(橫掃)RX Mapping'!W54-480),IF(AND('(橫掃)RX Mapping'!W54&gt;=481,'(橫掃)RX Mapping'!W54&lt;=600), ('(橫掃)RX Mapping'!W54-361),IF(AND('(橫掃)RX Mapping'!W54&gt;=601,'(橫掃)RX Mapping'!W54&lt;=720), (-1)*('(橫掃)RX Mapping'!W54-720)+120,IF(AND('(橫掃)RX Mapping'!W54&gt;=721,'(橫掃)RX Mapping'!W54&lt;=840), ('(橫掃)RX Mapping'!W54-601),IF(AND('(橫掃)RX Mapping'!W54&gt;=841,'(橫掃)RX Mapping'!W54&lt;=960), (-1)*('(橫掃)RX Mapping'!W54-960)+120,9999))))))))</f>
        <v>9999</v>
      </c>
      <c r="X54">
        <f>IF(AND('(橫掃)RX Mapping'!X54&gt;=1,'(橫掃)RX Mapping'!X54&lt;=120), ('(橫掃)RX Mapping'!X54-1),IF(AND('(橫掃)RX Mapping'!X54&gt;=121,'(橫掃)RX Mapping'!X54&lt;=240), (-1)*('(橫掃)RX Mapping'!X54-240),IF(AND('(橫掃)RX Mapping'!X54&gt;=241,'(橫掃)RX Mapping'!X54&lt;=360), ('(橫掃)RX Mapping'!X54-241),IF(AND('(橫掃)RX Mapping'!X54&gt;=361,'(橫掃)RX Mapping'!X54&lt;=480), (-1)*('(橫掃)RX Mapping'!X54-480),IF(AND('(橫掃)RX Mapping'!X54&gt;=481,'(橫掃)RX Mapping'!X54&lt;=600), ('(橫掃)RX Mapping'!X54-361),IF(AND('(橫掃)RX Mapping'!X54&gt;=601,'(橫掃)RX Mapping'!X54&lt;=720), (-1)*('(橫掃)RX Mapping'!X54-720)+120,IF(AND('(橫掃)RX Mapping'!X54&gt;=721,'(橫掃)RX Mapping'!X54&lt;=840), ('(橫掃)RX Mapping'!X54-601),IF(AND('(橫掃)RX Mapping'!X54&gt;=841,'(橫掃)RX Mapping'!X54&lt;=960), (-1)*('(橫掃)RX Mapping'!X54-960)+120,9999))))))))</f>
        <v>9999</v>
      </c>
      <c r="Y54">
        <f>IF(AND('(橫掃)RX Mapping'!Y54&gt;=1,'(橫掃)RX Mapping'!Y54&lt;=120), ('(橫掃)RX Mapping'!Y54-1),IF(AND('(橫掃)RX Mapping'!Y54&gt;=121,'(橫掃)RX Mapping'!Y54&lt;=240), (-1)*('(橫掃)RX Mapping'!Y54-240),IF(AND('(橫掃)RX Mapping'!Y54&gt;=241,'(橫掃)RX Mapping'!Y54&lt;=360), ('(橫掃)RX Mapping'!Y54-241),IF(AND('(橫掃)RX Mapping'!Y54&gt;=361,'(橫掃)RX Mapping'!Y54&lt;=480), (-1)*('(橫掃)RX Mapping'!Y54-480),IF(AND('(橫掃)RX Mapping'!Y54&gt;=481,'(橫掃)RX Mapping'!Y54&lt;=600), ('(橫掃)RX Mapping'!Y54-361),IF(AND('(橫掃)RX Mapping'!Y54&gt;=601,'(橫掃)RX Mapping'!Y54&lt;=720), (-1)*('(橫掃)RX Mapping'!Y54-720)+120,IF(AND('(橫掃)RX Mapping'!Y54&gt;=721,'(橫掃)RX Mapping'!Y54&lt;=840), ('(橫掃)RX Mapping'!Y54-601),IF(AND('(橫掃)RX Mapping'!Y54&gt;=841,'(橫掃)RX Mapping'!Y54&lt;=960), (-1)*('(橫掃)RX Mapping'!Y54-960)+120,9999))))))))</f>
        <v>9999</v>
      </c>
      <c r="Z54">
        <f>IF(AND('(橫掃)RX Mapping'!Z54&gt;=1,'(橫掃)RX Mapping'!Z54&lt;=120), ('(橫掃)RX Mapping'!Z54-1),IF(AND('(橫掃)RX Mapping'!Z54&gt;=121,'(橫掃)RX Mapping'!Z54&lt;=240), (-1)*('(橫掃)RX Mapping'!Z54-240),IF(AND('(橫掃)RX Mapping'!Z54&gt;=241,'(橫掃)RX Mapping'!Z54&lt;=360), ('(橫掃)RX Mapping'!Z54-241),IF(AND('(橫掃)RX Mapping'!Z54&gt;=361,'(橫掃)RX Mapping'!Z54&lt;=480), (-1)*('(橫掃)RX Mapping'!Z54-480),IF(AND('(橫掃)RX Mapping'!Z54&gt;=481,'(橫掃)RX Mapping'!Z54&lt;=600), ('(橫掃)RX Mapping'!Z54-361),IF(AND('(橫掃)RX Mapping'!Z54&gt;=601,'(橫掃)RX Mapping'!Z54&lt;=720), (-1)*('(橫掃)RX Mapping'!Z54-720)+120,IF(AND('(橫掃)RX Mapping'!Z54&gt;=721,'(橫掃)RX Mapping'!Z54&lt;=840), ('(橫掃)RX Mapping'!Z54-601),IF(AND('(橫掃)RX Mapping'!Z54&gt;=841,'(橫掃)RX Mapping'!Z54&lt;=960), (-1)*('(橫掃)RX Mapping'!Z54-960)+120,9999))))))))</f>
        <v>9999</v>
      </c>
      <c r="AA54">
        <f>IF(AND('(橫掃)RX Mapping'!AA54&gt;=1,'(橫掃)RX Mapping'!AA54&lt;=120), ('(橫掃)RX Mapping'!AA54-1),IF(AND('(橫掃)RX Mapping'!AA54&gt;=121,'(橫掃)RX Mapping'!AA54&lt;=240), (-1)*('(橫掃)RX Mapping'!AA54-240),IF(AND('(橫掃)RX Mapping'!AA54&gt;=241,'(橫掃)RX Mapping'!AA54&lt;=360), ('(橫掃)RX Mapping'!AA54-241),IF(AND('(橫掃)RX Mapping'!AA54&gt;=361,'(橫掃)RX Mapping'!AA54&lt;=480), (-1)*('(橫掃)RX Mapping'!AA54-480),IF(AND('(橫掃)RX Mapping'!AA54&gt;=481,'(橫掃)RX Mapping'!AA54&lt;=600), ('(橫掃)RX Mapping'!AA54-361),IF(AND('(橫掃)RX Mapping'!AA54&gt;=601,'(橫掃)RX Mapping'!AA54&lt;=720), (-1)*('(橫掃)RX Mapping'!AA54-720)+120,IF(AND('(橫掃)RX Mapping'!AA54&gt;=721,'(橫掃)RX Mapping'!AA54&lt;=840), ('(橫掃)RX Mapping'!AA54-601),IF(AND('(橫掃)RX Mapping'!AA54&gt;=841,'(橫掃)RX Mapping'!AA54&lt;=960), (-1)*('(橫掃)RX Mapping'!AA54-960)+120,9999))))))))</f>
        <v>9999</v>
      </c>
      <c r="AB54">
        <f>IF(AND('(橫掃)RX Mapping'!AB54&gt;=1,'(橫掃)RX Mapping'!AB54&lt;=120), ('(橫掃)RX Mapping'!AB54-1),IF(AND('(橫掃)RX Mapping'!AB54&gt;=121,'(橫掃)RX Mapping'!AB54&lt;=240), (-1)*('(橫掃)RX Mapping'!AB54-240),IF(AND('(橫掃)RX Mapping'!AB54&gt;=241,'(橫掃)RX Mapping'!AB54&lt;=360), ('(橫掃)RX Mapping'!AB54-241),IF(AND('(橫掃)RX Mapping'!AB54&gt;=361,'(橫掃)RX Mapping'!AB54&lt;=480), (-1)*('(橫掃)RX Mapping'!AB54-480),IF(AND('(橫掃)RX Mapping'!AB54&gt;=481,'(橫掃)RX Mapping'!AB54&lt;=600), ('(橫掃)RX Mapping'!AB54-361),IF(AND('(橫掃)RX Mapping'!AB54&gt;=601,'(橫掃)RX Mapping'!AB54&lt;=720), (-1)*('(橫掃)RX Mapping'!AB54-720)+120,IF(AND('(橫掃)RX Mapping'!AB54&gt;=721,'(橫掃)RX Mapping'!AB54&lt;=840), ('(橫掃)RX Mapping'!AB54-601),IF(AND('(橫掃)RX Mapping'!AB54&gt;=841,'(橫掃)RX Mapping'!AB54&lt;=960), (-1)*('(橫掃)RX Mapping'!AB54-960)+120,9999))))))))</f>
        <v>9999</v>
      </c>
      <c r="AC54">
        <f>IF(AND('(橫掃)RX Mapping'!AC54&gt;=1,'(橫掃)RX Mapping'!AC54&lt;=120), ('(橫掃)RX Mapping'!AC54-1),IF(AND('(橫掃)RX Mapping'!AC54&gt;=121,'(橫掃)RX Mapping'!AC54&lt;=240), (-1)*('(橫掃)RX Mapping'!AC54-240),IF(AND('(橫掃)RX Mapping'!AC54&gt;=241,'(橫掃)RX Mapping'!AC54&lt;=360), ('(橫掃)RX Mapping'!AC54-241),IF(AND('(橫掃)RX Mapping'!AC54&gt;=361,'(橫掃)RX Mapping'!AC54&lt;=480), (-1)*('(橫掃)RX Mapping'!AC54-480),IF(AND('(橫掃)RX Mapping'!AC54&gt;=481,'(橫掃)RX Mapping'!AC54&lt;=600), ('(橫掃)RX Mapping'!AC54-361),IF(AND('(橫掃)RX Mapping'!AC54&gt;=601,'(橫掃)RX Mapping'!AC54&lt;=720), (-1)*('(橫掃)RX Mapping'!AC54-720)+120,IF(AND('(橫掃)RX Mapping'!AC54&gt;=721,'(橫掃)RX Mapping'!AC54&lt;=840), ('(橫掃)RX Mapping'!AC54-601),IF(AND('(橫掃)RX Mapping'!AC54&gt;=841,'(橫掃)RX Mapping'!AC54&lt;=960), (-1)*('(橫掃)RX Mapping'!AC54-960)+120,9999))))))))</f>
        <v>9999</v>
      </c>
      <c r="AD54">
        <f>IF(AND('(橫掃)RX Mapping'!AD54&gt;=1,'(橫掃)RX Mapping'!AD54&lt;=120), ('(橫掃)RX Mapping'!AD54-1),IF(AND('(橫掃)RX Mapping'!AD54&gt;=121,'(橫掃)RX Mapping'!AD54&lt;=240), (-1)*('(橫掃)RX Mapping'!AD54-240),IF(AND('(橫掃)RX Mapping'!AD54&gt;=241,'(橫掃)RX Mapping'!AD54&lt;=360), ('(橫掃)RX Mapping'!AD54-241),IF(AND('(橫掃)RX Mapping'!AD54&gt;=361,'(橫掃)RX Mapping'!AD54&lt;=480), (-1)*('(橫掃)RX Mapping'!AD54-480),IF(AND('(橫掃)RX Mapping'!AD54&gt;=481,'(橫掃)RX Mapping'!AD54&lt;=600), ('(橫掃)RX Mapping'!AD54-361),IF(AND('(橫掃)RX Mapping'!AD54&gt;=601,'(橫掃)RX Mapping'!AD54&lt;=720), (-1)*('(橫掃)RX Mapping'!AD54-720)+120,IF(AND('(橫掃)RX Mapping'!AD54&gt;=721,'(橫掃)RX Mapping'!AD54&lt;=840), ('(橫掃)RX Mapping'!AD54-601),IF(AND('(橫掃)RX Mapping'!AD54&gt;=841,'(橫掃)RX Mapping'!AD54&lt;=960), (-1)*('(橫掃)RX Mapping'!AD54-960)+120,9999))))))))</f>
        <v>9999</v>
      </c>
      <c r="AE54">
        <f>IF(AND('(橫掃)RX Mapping'!AE54&gt;=1,'(橫掃)RX Mapping'!AE54&lt;=120), ('(橫掃)RX Mapping'!AE54-1),IF(AND('(橫掃)RX Mapping'!AE54&gt;=121,'(橫掃)RX Mapping'!AE54&lt;=240), (-1)*('(橫掃)RX Mapping'!AE54-240),IF(AND('(橫掃)RX Mapping'!AE54&gt;=241,'(橫掃)RX Mapping'!AE54&lt;=360), ('(橫掃)RX Mapping'!AE54-241),IF(AND('(橫掃)RX Mapping'!AE54&gt;=361,'(橫掃)RX Mapping'!AE54&lt;=480), (-1)*('(橫掃)RX Mapping'!AE54-480),IF(AND('(橫掃)RX Mapping'!AE54&gt;=481,'(橫掃)RX Mapping'!AE54&lt;=600), ('(橫掃)RX Mapping'!AE54-361),IF(AND('(橫掃)RX Mapping'!AE54&gt;=601,'(橫掃)RX Mapping'!AE54&lt;=720), (-1)*('(橫掃)RX Mapping'!AE54-720)+120,IF(AND('(橫掃)RX Mapping'!AE54&gt;=721,'(橫掃)RX Mapping'!AE54&lt;=840), ('(橫掃)RX Mapping'!AE54-601),IF(AND('(橫掃)RX Mapping'!AE54&gt;=841,'(橫掃)RX Mapping'!AE54&lt;=960), (-1)*('(橫掃)RX Mapping'!AE54-960)+120,9999))))))))</f>
        <v>9999</v>
      </c>
      <c r="AF54">
        <f>IF(AND('(橫掃)RX Mapping'!AF54&gt;=1,'(橫掃)RX Mapping'!AF54&lt;=120), ('(橫掃)RX Mapping'!AF54-1),IF(AND('(橫掃)RX Mapping'!AF54&gt;=121,'(橫掃)RX Mapping'!AF54&lt;=240), (-1)*('(橫掃)RX Mapping'!AF54-240),IF(AND('(橫掃)RX Mapping'!AF54&gt;=241,'(橫掃)RX Mapping'!AF54&lt;=360), ('(橫掃)RX Mapping'!AF54-241),IF(AND('(橫掃)RX Mapping'!AF54&gt;=361,'(橫掃)RX Mapping'!AF54&lt;=480), (-1)*('(橫掃)RX Mapping'!AF54-480),IF(AND('(橫掃)RX Mapping'!AF54&gt;=481,'(橫掃)RX Mapping'!AF54&lt;=600), ('(橫掃)RX Mapping'!AF54-361),IF(AND('(橫掃)RX Mapping'!AF54&gt;=601,'(橫掃)RX Mapping'!AF54&lt;=720), (-1)*('(橫掃)RX Mapping'!AF54-720)+120,IF(AND('(橫掃)RX Mapping'!AF54&gt;=721,'(橫掃)RX Mapping'!AF54&lt;=840), ('(橫掃)RX Mapping'!AF54-601),IF(AND('(橫掃)RX Mapping'!AF54&gt;=841,'(橫掃)RX Mapping'!AF54&lt;=960), (-1)*('(橫掃)RX Mapping'!AF54-960)+120,9999))))))))</f>
        <v>9999</v>
      </c>
      <c r="AG54">
        <f>IF(AND('(橫掃)RX Mapping'!AG54&gt;=1,'(橫掃)RX Mapping'!AG54&lt;=120), ('(橫掃)RX Mapping'!AG54-1),IF(AND('(橫掃)RX Mapping'!AG54&gt;=121,'(橫掃)RX Mapping'!AG54&lt;=240), (-1)*('(橫掃)RX Mapping'!AG54-240),IF(AND('(橫掃)RX Mapping'!AG54&gt;=241,'(橫掃)RX Mapping'!AG54&lt;=360), ('(橫掃)RX Mapping'!AG54-241),IF(AND('(橫掃)RX Mapping'!AG54&gt;=361,'(橫掃)RX Mapping'!AG54&lt;=480), (-1)*('(橫掃)RX Mapping'!AG54-480),IF(AND('(橫掃)RX Mapping'!AG54&gt;=481,'(橫掃)RX Mapping'!AG54&lt;=600), ('(橫掃)RX Mapping'!AG54-361),IF(AND('(橫掃)RX Mapping'!AG54&gt;=601,'(橫掃)RX Mapping'!AG54&lt;=720), (-1)*('(橫掃)RX Mapping'!AG54-720)+120,IF(AND('(橫掃)RX Mapping'!AG54&gt;=721,'(橫掃)RX Mapping'!AG54&lt;=840), ('(橫掃)RX Mapping'!AG54-601),IF(AND('(橫掃)RX Mapping'!AG54&gt;=841,'(橫掃)RX Mapping'!AG54&lt;=960), (-1)*('(橫掃)RX Mapping'!AG54-960)+120,9999))))))))</f>
        <v>9999</v>
      </c>
      <c r="AH54">
        <f>IF(AND('(橫掃)RX Mapping'!AH54&gt;=1,'(橫掃)RX Mapping'!AH54&lt;=120), ('(橫掃)RX Mapping'!AH54-1),IF(AND('(橫掃)RX Mapping'!AH54&gt;=121,'(橫掃)RX Mapping'!AH54&lt;=240), (-1)*('(橫掃)RX Mapping'!AH54-240),IF(AND('(橫掃)RX Mapping'!AH54&gt;=241,'(橫掃)RX Mapping'!AH54&lt;=360), ('(橫掃)RX Mapping'!AH54-241),IF(AND('(橫掃)RX Mapping'!AH54&gt;=361,'(橫掃)RX Mapping'!AH54&lt;=480), (-1)*('(橫掃)RX Mapping'!AH54-480),IF(AND('(橫掃)RX Mapping'!AH54&gt;=481,'(橫掃)RX Mapping'!AH54&lt;=600), ('(橫掃)RX Mapping'!AH54-361),IF(AND('(橫掃)RX Mapping'!AH54&gt;=601,'(橫掃)RX Mapping'!AH54&lt;=720), (-1)*('(橫掃)RX Mapping'!AH54-720)+120,IF(AND('(橫掃)RX Mapping'!AH54&gt;=721,'(橫掃)RX Mapping'!AH54&lt;=840), ('(橫掃)RX Mapping'!AH54-601),IF(AND('(橫掃)RX Mapping'!AH54&gt;=841,'(橫掃)RX Mapping'!AH54&lt;=960), (-1)*('(橫掃)RX Mapping'!AH54-960)+120,9999))))))))</f>
        <v>9999</v>
      </c>
      <c r="AI54">
        <f>IF(AND('(橫掃)RX Mapping'!AI54&gt;=1,'(橫掃)RX Mapping'!AI54&lt;=120), ('(橫掃)RX Mapping'!AI54-1),IF(AND('(橫掃)RX Mapping'!AI54&gt;=121,'(橫掃)RX Mapping'!AI54&lt;=240), (-1)*('(橫掃)RX Mapping'!AI54-240),IF(AND('(橫掃)RX Mapping'!AI54&gt;=241,'(橫掃)RX Mapping'!AI54&lt;=360), ('(橫掃)RX Mapping'!AI54-241),IF(AND('(橫掃)RX Mapping'!AI54&gt;=361,'(橫掃)RX Mapping'!AI54&lt;=480), (-1)*('(橫掃)RX Mapping'!AI54-480),IF(AND('(橫掃)RX Mapping'!AI54&gt;=481,'(橫掃)RX Mapping'!AI54&lt;=600), ('(橫掃)RX Mapping'!AI54-361),IF(AND('(橫掃)RX Mapping'!AI54&gt;=601,'(橫掃)RX Mapping'!AI54&lt;=720), (-1)*('(橫掃)RX Mapping'!AI54-720)+120,IF(AND('(橫掃)RX Mapping'!AI54&gt;=721,'(橫掃)RX Mapping'!AI54&lt;=840), ('(橫掃)RX Mapping'!AI54-601),IF(AND('(橫掃)RX Mapping'!AI54&gt;=841,'(橫掃)RX Mapping'!AI54&lt;=960), (-1)*('(橫掃)RX Mapping'!AI54-960)+120,9999))))))))</f>
        <v>9999</v>
      </c>
      <c r="AJ54">
        <f>IF(AND('(橫掃)RX Mapping'!AJ54&gt;=1,'(橫掃)RX Mapping'!AJ54&lt;=120), ('(橫掃)RX Mapping'!AJ54-1),IF(AND('(橫掃)RX Mapping'!AJ54&gt;=121,'(橫掃)RX Mapping'!AJ54&lt;=240), (-1)*('(橫掃)RX Mapping'!AJ54-240),IF(AND('(橫掃)RX Mapping'!AJ54&gt;=241,'(橫掃)RX Mapping'!AJ54&lt;=360), ('(橫掃)RX Mapping'!AJ54-241),IF(AND('(橫掃)RX Mapping'!AJ54&gt;=361,'(橫掃)RX Mapping'!AJ54&lt;=480), (-1)*('(橫掃)RX Mapping'!AJ54-480),IF(AND('(橫掃)RX Mapping'!AJ54&gt;=481,'(橫掃)RX Mapping'!AJ54&lt;=600), ('(橫掃)RX Mapping'!AJ54-361),IF(AND('(橫掃)RX Mapping'!AJ54&gt;=601,'(橫掃)RX Mapping'!AJ54&lt;=720), (-1)*('(橫掃)RX Mapping'!AJ54-720)+120,IF(AND('(橫掃)RX Mapping'!AJ54&gt;=721,'(橫掃)RX Mapping'!AJ54&lt;=840), ('(橫掃)RX Mapping'!AJ54-601),IF(AND('(橫掃)RX Mapping'!AJ54&gt;=841,'(橫掃)RX Mapping'!AJ54&lt;=960), (-1)*('(橫掃)RX Mapping'!AJ54-960)+120,9999))))))))</f>
        <v>9999</v>
      </c>
      <c r="AK54">
        <f>IF(AND('(橫掃)RX Mapping'!AK54&gt;=1,'(橫掃)RX Mapping'!AK54&lt;=120), ('(橫掃)RX Mapping'!AK54-1),IF(AND('(橫掃)RX Mapping'!AK54&gt;=121,'(橫掃)RX Mapping'!AK54&lt;=240), (-1)*('(橫掃)RX Mapping'!AK54-240),IF(AND('(橫掃)RX Mapping'!AK54&gt;=241,'(橫掃)RX Mapping'!AK54&lt;=360), ('(橫掃)RX Mapping'!AK54-241),IF(AND('(橫掃)RX Mapping'!AK54&gt;=361,'(橫掃)RX Mapping'!AK54&lt;=480), (-1)*('(橫掃)RX Mapping'!AK54-480),IF(AND('(橫掃)RX Mapping'!AK54&gt;=481,'(橫掃)RX Mapping'!AK54&lt;=600), ('(橫掃)RX Mapping'!AK54-361),IF(AND('(橫掃)RX Mapping'!AK54&gt;=601,'(橫掃)RX Mapping'!AK54&lt;=720), (-1)*('(橫掃)RX Mapping'!AK54-720)+120,IF(AND('(橫掃)RX Mapping'!AK54&gt;=721,'(橫掃)RX Mapping'!AK54&lt;=840), ('(橫掃)RX Mapping'!AK54-601),IF(AND('(橫掃)RX Mapping'!AK54&gt;=841,'(橫掃)RX Mapping'!AK54&lt;=960), (-1)*('(橫掃)RX Mapping'!AK54-960)+120,9999))))))))</f>
        <v>9999</v>
      </c>
      <c r="AL54">
        <f>IF(AND('(橫掃)RX Mapping'!AL54&gt;=1,'(橫掃)RX Mapping'!AL54&lt;=120), ('(橫掃)RX Mapping'!AL54-1),IF(AND('(橫掃)RX Mapping'!AL54&gt;=121,'(橫掃)RX Mapping'!AL54&lt;=240), (-1)*('(橫掃)RX Mapping'!AL54-240),IF(AND('(橫掃)RX Mapping'!AL54&gt;=241,'(橫掃)RX Mapping'!AL54&lt;=360), ('(橫掃)RX Mapping'!AL54-241),IF(AND('(橫掃)RX Mapping'!AL54&gt;=361,'(橫掃)RX Mapping'!AL54&lt;=480), (-1)*('(橫掃)RX Mapping'!AL54-480),IF(AND('(橫掃)RX Mapping'!AL54&gt;=481,'(橫掃)RX Mapping'!AL54&lt;=600), ('(橫掃)RX Mapping'!AL54-361),IF(AND('(橫掃)RX Mapping'!AL54&gt;=601,'(橫掃)RX Mapping'!AL54&lt;=720), (-1)*('(橫掃)RX Mapping'!AL54-720)+120,IF(AND('(橫掃)RX Mapping'!AL54&gt;=721,'(橫掃)RX Mapping'!AL54&lt;=840), ('(橫掃)RX Mapping'!AL54-601),IF(AND('(橫掃)RX Mapping'!AL54&gt;=841,'(橫掃)RX Mapping'!AL54&lt;=960), (-1)*('(橫掃)RX Mapping'!AL54-960)+120,9999))))))))</f>
        <v>9999</v>
      </c>
      <c r="AM54">
        <f>IF(AND('(橫掃)RX Mapping'!AM54&gt;=1,'(橫掃)RX Mapping'!AM54&lt;=120), ('(橫掃)RX Mapping'!AM54-1),IF(AND('(橫掃)RX Mapping'!AM54&gt;=121,'(橫掃)RX Mapping'!AM54&lt;=240), (-1)*('(橫掃)RX Mapping'!AM54-240),IF(AND('(橫掃)RX Mapping'!AM54&gt;=241,'(橫掃)RX Mapping'!AM54&lt;=360), ('(橫掃)RX Mapping'!AM54-241),IF(AND('(橫掃)RX Mapping'!AM54&gt;=361,'(橫掃)RX Mapping'!AM54&lt;=480), (-1)*('(橫掃)RX Mapping'!AM54-480),IF(AND('(橫掃)RX Mapping'!AM54&gt;=481,'(橫掃)RX Mapping'!AM54&lt;=600), ('(橫掃)RX Mapping'!AM54-361),IF(AND('(橫掃)RX Mapping'!AM54&gt;=601,'(橫掃)RX Mapping'!AM54&lt;=720), (-1)*('(橫掃)RX Mapping'!AM54-720)+120,IF(AND('(橫掃)RX Mapping'!AM54&gt;=721,'(橫掃)RX Mapping'!AM54&lt;=840), ('(橫掃)RX Mapping'!AM54-601),IF(AND('(橫掃)RX Mapping'!AM54&gt;=841,'(橫掃)RX Mapping'!AM54&lt;=960), (-1)*('(橫掃)RX Mapping'!AM54-960)+120,9999))))))))</f>
        <v>9999</v>
      </c>
      <c r="AN54">
        <f>IF(AND('(橫掃)RX Mapping'!AN54&gt;=1,'(橫掃)RX Mapping'!AN54&lt;=120), ('(橫掃)RX Mapping'!AN54-1),IF(AND('(橫掃)RX Mapping'!AN54&gt;=121,'(橫掃)RX Mapping'!AN54&lt;=240), (-1)*('(橫掃)RX Mapping'!AN54-240),IF(AND('(橫掃)RX Mapping'!AN54&gt;=241,'(橫掃)RX Mapping'!AN54&lt;=360), ('(橫掃)RX Mapping'!AN54-241),IF(AND('(橫掃)RX Mapping'!AN54&gt;=361,'(橫掃)RX Mapping'!AN54&lt;=480), (-1)*('(橫掃)RX Mapping'!AN54-480),IF(AND('(橫掃)RX Mapping'!AN54&gt;=481,'(橫掃)RX Mapping'!AN54&lt;=600), ('(橫掃)RX Mapping'!AN54-361),IF(AND('(橫掃)RX Mapping'!AN54&gt;=601,'(橫掃)RX Mapping'!AN54&lt;=720), (-1)*('(橫掃)RX Mapping'!AN54-720)+120,IF(AND('(橫掃)RX Mapping'!AN54&gt;=721,'(橫掃)RX Mapping'!AN54&lt;=840), ('(橫掃)RX Mapping'!AN54-601),IF(AND('(橫掃)RX Mapping'!AN54&gt;=841,'(橫掃)RX Mapping'!AN54&lt;=960), (-1)*('(橫掃)RX Mapping'!AN54-960)+120,9999))))))))</f>
        <v>9999</v>
      </c>
      <c r="AO54">
        <f>IF(AND('(橫掃)RX Mapping'!AO54&gt;=1,'(橫掃)RX Mapping'!AO54&lt;=120), ('(橫掃)RX Mapping'!AO54-1),IF(AND('(橫掃)RX Mapping'!AO54&gt;=121,'(橫掃)RX Mapping'!AO54&lt;=240), (-1)*('(橫掃)RX Mapping'!AO54-240),IF(AND('(橫掃)RX Mapping'!AO54&gt;=241,'(橫掃)RX Mapping'!AO54&lt;=360), ('(橫掃)RX Mapping'!AO54-241),IF(AND('(橫掃)RX Mapping'!AO54&gt;=361,'(橫掃)RX Mapping'!AO54&lt;=480), (-1)*('(橫掃)RX Mapping'!AO54-480),IF(AND('(橫掃)RX Mapping'!AO54&gt;=481,'(橫掃)RX Mapping'!AO54&lt;=600), ('(橫掃)RX Mapping'!AO54-361),IF(AND('(橫掃)RX Mapping'!AO54&gt;=601,'(橫掃)RX Mapping'!AO54&lt;=720), (-1)*('(橫掃)RX Mapping'!AO54-720)+120,IF(AND('(橫掃)RX Mapping'!AO54&gt;=721,'(橫掃)RX Mapping'!AO54&lt;=840), ('(橫掃)RX Mapping'!AO54-601),IF(AND('(橫掃)RX Mapping'!AO54&gt;=841,'(橫掃)RX Mapping'!AO54&lt;=960), (-1)*('(橫掃)RX Mapping'!AO54-960)+120,9999))))))))</f>
        <v>9999</v>
      </c>
      <c r="AP54">
        <f>IF(AND('(橫掃)RX Mapping'!AP54&gt;=1,'(橫掃)RX Mapping'!AP54&lt;=120), ('(橫掃)RX Mapping'!AP54-1),IF(AND('(橫掃)RX Mapping'!AP54&gt;=121,'(橫掃)RX Mapping'!AP54&lt;=240), (-1)*('(橫掃)RX Mapping'!AP54-240),IF(AND('(橫掃)RX Mapping'!AP54&gt;=241,'(橫掃)RX Mapping'!AP54&lt;=360), ('(橫掃)RX Mapping'!AP54-241),IF(AND('(橫掃)RX Mapping'!AP54&gt;=361,'(橫掃)RX Mapping'!AP54&lt;=480), (-1)*('(橫掃)RX Mapping'!AP54-480),IF(AND('(橫掃)RX Mapping'!AP54&gt;=481,'(橫掃)RX Mapping'!AP54&lt;=600), ('(橫掃)RX Mapping'!AP54-361),IF(AND('(橫掃)RX Mapping'!AP54&gt;=601,'(橫掃)RX Mapping'!AP54&lt;=720), (-1)*('(橫掃)RX Mapping'!AP54-720)+120,IF(AND('(橫掃)RX Mapping'!AP54&gt;=721,'(橫掃)RX Mapping'!AP54&lt;=840), ('(橫掃)RX Mapping'!AP54-601),IF(AND('(橫掃)RX Mapping'!AP54&gt;=841,'(橫掃)RX Mapping'!AP54&lt;=960), (-1)*('(橫掃)RX Mapping'!AP54-960)+120,9999))))))))</f>
        <v>9999</v>
      </c>
      <c r="AQ54">
        <f>IF(AND('(橫掃)RX Mapping'!AQ54&gt;=1,'(橫掃)RX Mapping'!AQ54&lt;=120), ('(橫掃)RX Mapping'!AQ54-1),IF(AND('(橫掃)RX Mapping'!AQ54&gt;=121,'(橫掃)RX Mapping'!AQ54&lt;=240), (-1)*('(橫掃)RX Mapping'!AQ54-240),IF(AND('(橫掃)RX Mapping'!AQ54&gt;=241,'(橫掃)RX Mapping'!AQ54&lt;=360), ('(橫掃)RX Mapping'!AQ54-241),IF(AND('(橫掃)RX Mapping'!AQ54&gt;=361,'(橫掃)RX Mapping'!AQ54&lt;=480), (-1)*('(橫掃)RX Mapping'!AQ54-480),IF(AND('(橫掃)RX Mapping'!AQ54&gt;=481,'(橫掃)RX Mapping'!AQ54&lt;=600), ('(橫掃)RX Mapping'!AQ54-361),IF(AND('(橫掃)RX Mapping'!AQ54&gt;=601,'(橫掃)RX Mapping'!AQ54&lt;=720), (-1)*('(橫掃)RX Mapping'!AQ54-720)+120,IF(AND('(橫掃)RX Mapping'!AQ54&gt;=721,'(橫掃)RX Mapping'!AQ54&lt;=840), ('(橫掃)RX Mapping'!AQ54-601),IF(AND('(橫掃)RX Mapping'!AQ54&gt;=841,'(橫掃)RX Mapping'!AQ54&lt;=960), (-1)*('(橫掃)RX Mapping'!AQ54-960)+120,9999))))))))</f>
        <v>9999</v>
      </c>
      <c r="AR54">
        <f>IF(AND('(橫掃)RX Mapping'!AR54&gt;=1,'(橫掃)RX Mapping'!AR54&lt;=120), ('(橫掃)RX Mapping'!AR54-1),IF(AND('(橫掃)RX Mapping'!AR54&gt;=121,'(橫掃)RX Mapping'!AR54&lt;=240), (-1)*('(橫掃)RX Mapping'!AR54-240),IF(AND('(橫掃)RX Mapping'!AR54&gt;=241,'(橫掃)RX Mapping'!AR54&lt;=360), ('(橫掃)RX Mapping'!AR54-241),IF(AND('(橫掃)RX Mapping'!AR54&gt;=361,'(橫掃)RX Mapping'!AR54&lt;=480), (-1)*('(橫掃)RX Mapping'!AR54-480),IF(AND('(橫掃)RX Mapping'!AR54&gt;=481,'(橫掃)RX Mapping'!AR54&lt;=600), ('(橫掃)RX Mapping'!AR54-361),IF(AND('(橫掃)RX Mapping'!AR54&gt;=601,'(橫掃)RX Mapping'!AR54&lt;=720), (-1)*('(橫掃)RX Mapping'!AR54-720)+120,IF(AND('(橫掃)RX Mapping'!AR54&gt;=721,'(橫掃)RX Mapping'!AR54&lt;=840), ('(橫掃)RX Mapping'!AR54-601),IF(AND('(橫掃)RX Mapping'!AR54&gt;=841,'(橫掃)RX Mapping'!AR54&lt;=960), (-1)*('(橫掃)RX Mapping'!AR54-960)+120,9999))))))))</f>
        <v>9999</v>
      </c>
      <c r="AS54">
        <f>IF(AND('(橫掃)RX Mapping'!AS54&gt;=1,'(橫掃)RX Mapping'!AS54&lt;=120), ('(橫掃)RX Mapping'!AS54-1),IF(AND('(橫掃)RX Mapping'!AS54&gt;=121,'(橫掃)RX Mapping'!AS54&lt;=240), (-1)*('(橫掃)RX Mapping'!AS54-240),IF(AND('(橫掃)RX Mapping'!AS54&gt;=241,'(橫掃)RX Mapping'!AS54&lt;=360), ('(橫掃)RX Mapping'!AS54-241),IF(AND('(橫掃)RX Mapping'!AS54&gt;=361,'(橫掃)RX Mapping'!AS54&lt;=480), (-1)*('(橫掃)RX Mapping'!AS54-480),IF(AND('(橫掃)RX Mapping'!AS54&gt;=481,'(橫掃)RX Mapping'!AS54&lt;=600), ('(橫掃)RX Mapping'!AS54-361),IF(AND('(橫掃)RX Mapping'!AS54&gt;=601,'(橫掃)RX Mapping'!AS54&lt;=720), (-1)*('(橫掃)RX Mapping'!AS54-720)+120,IF(AND('(橫掃)RX Mapping'!AS54&gt;=721,'(橫掃)RX Mapping'!AS54&lt;=840), ('(橫掃)RX Mapping'!AS54-601),IF(AND('(橫掃)RX Mapping'!AS54&gt;=841,'(橫掃)RX Mapping'!AS54&lt;=960), (-1)*('(橫掃)RX Mapping'!AS54-960)+120,9999))))))))</f>
        <v>9999</v>
      </c>
      <c r="AT54">
        <f>IF(AND('(橫掃)RX Mapping'!AT54&gt;=1,'(橫掃)RX Mapping'!AT54&lt;=120), ('(橫掃)RX Mapping'!AT54-1),IF(AND('(橫掃)RX Mapping'!AT54&gt;=121,'(橫掃)RX Mapping'!AT54&lt;=240), (-1)*('(橫掃)RX Mapping'!AT54-240),IF(AND('(橫掃)RX Mapping'!AT54&gt;=241,'(橫掃)RX Mapping'!AT54&lt;=360), ('(橫掃)RX Mapping'!AT54-241),IF(AND('(橫掃)RX Mapping'!AT54&gt;=361,'(橫掃)RX Mapping'!AT54&lt;=480), (-1)*('(橫掃)RX Mapping'!AT54-480),IF(AND('(橫掃)RX Mapping'!AT54&gt;=481,'(橫掃)RX Mapping'!AT54&lt;=600), ('(橫掃)RX Mapping'!AT54-361),IF(AND('(橫掃)RX Mapping'!AT54&gt;=601,'(橫掃)RX Mapping'!AT54&lt;=720), (-1)*('(橫掃)RX Mapping'!AT54-720)+120,IF(AND('(橫掃)RX Mapping'!AT54&gt;=721,'(橫掃)RX Mapping'!AT54&lt;=840), ('(橫掃)RX Mapping'!AT54-601),IF(AND('(橫掃)RX Mapping'!AT54&gt;=841,'(橫掃)RX Mapping'!AT54&lt;=960), (-1)*('(橫掃)RX Mapping'!AT54-960)+120,9999))))))))</f>
        <v>9999</v>
      </c>
      <c r="AU54">
        <f>IF(AND('(橫掃)RX Mapping'!AU54&gt;=1,'(橫掃)RX Mapping'!AU54&lt;=120), ('(橫掃)RX Mapping'!AU54-1),IF(AND('(橫掃)RX Mapping'!AU54&gt;=121,'(橫掃)RX Mapping'!AU54&lt;=240), (-1)*('(橫掃)RX Mapping'!AU54-240),IF(AND('(橫掃)RX Mapping'!AU54&gt;=241,'(橫掃)RX Mapping'!AU54&lt;=360), ('(橫掃)RX Mapping'!AU54-241),IF(AND('(橫掃)RX Mapping'!AU54&gt;=361,'(橫掃)RX Mapping'!AU54&lt;=480), (-1)*('(橫掃)RX Mapping'!AU54-480),IF(AND('(橫掃)RX Mapping'!AU54&gt;=481,'(橫掃)RX Mapping'!AU54&lt;=600), ('(橫掃)RX Mapping'!AU54-361),IF(AND('(橫掃)RX Mapping'!AU54&gt;=601,'(橫掃)RX Mapping'!AU54&lt;=720), (-1)*('(橫掃)RX Mapping'!AU54-720)+120,IF(AND('(橫掃)RX Mapping'!AU54&gt;=721,'(橫掃)RX Mapping'!AU54&lt;=840), ('(橫掃)RX Mapping'!AU54-601),IF(AND('(橫掃)RX Mapping'!AU54&gt;=841,'(橫掃)RX Mapping'!AU54&lt;=960), (-1)*('(橫掃)RX Mapping'!AU54-960)+120,9999))))))))</f>
        <v>9999</v>
      </c>
      <c r="AV54">
        <f>IF(AND('(橫掃)RX Mapping'!AV54&gt;=1,'(橫掃)RX Mapping'!AV54&lt;=120), ('(橫掃)RX Mapping'!AV54-1),IF(AND('(橫掃)RX Mapping'!AV54&gt;=121,'(橫掃)RX Mapping'!AV54&lt;=240), (-1)*('(橫掃)RX Mapping'!AV54-240),IF(AND('(橫掃)RX Mapping'!AV54&gt;=241,'(橫掃)RX Mapping'!AV54&lt;=360), ('(橫掃)RX Mapping'!AV54-241),IF(AND('(橫掃)RX Mapping'!AV54&gt;=361,'(橫掃)RX Mapping'!AV54&lt;=480), (-1)*('(橫掃)RX Mapping'!AV54-480),IF(AND('(橫掃)RX Mapping'!AV54&gt;=481,'(橫掃)RX Mapping'!AV54&lt;=600), ('(橫掃)RX Mapping'!AV54-361),IF(AND('(橫掃)RX Mapping'!AV54&gt;=601,'(橫掃)RX Mapping'!AV54&lt;=720), (-1)*('(橫掃)RX Mapping'!AV54-720)+120,IF(AND('(橫掃)RX Mapping'!AV54&gt;=721,'(橫掃)RX Mapping'!AV54&lt;=840), ('(橫掃)RX Mapping'!AV54-601),IF(AND('(橫掃)RX Mapping'!AV54&gt;=841,'(橫掃)RX Mapping'!AV54&lt;=960), (-1)*('(橫掃)RX Mapping'!AV54-960)+120,9999))))))))</f>
        <v>9999</v>
      </c>
      <c r="AW54">
        <f>IF(AND('(橫掃)RX Mapping'!AW54&gt;=1,'(橫掃)RX Mapping'!AW54&lt;=120), ('(橫掃)RX Mapping'!AW54-1),IF(AND('(橫掃)RX Mapping'!AW54&gt;=121,'(橫掃)RX Mapping'!AW54&lt;=240), (-1)*('(橫掃)RX Mapping'!AW54-240),IF(AND('(橫掃)RX Mapping'!AW54&gt;=241,'(橫掃)RX Mapping'!AW54&lt;=360), ('(橫掃)RX Mapping'!AW54-241),IF(AND('(橫掃)RX Mapping'!AW54&gt;=361,'(橫掃)RX Mapping'!AW54&lt;=480), (-1)*('(橫掃)RX Mapping'!AW54-480),IF(AND('(橫掃)RX Mapping'!AW54&gt;=481,'(橫掃)RX Mapping'!AW54&lt;=600), ('(橫掃)RX Mapping'!AW54-361),IF(AND('(橫掃)RX Mapping'!AW54&gt;=601,'(橫掃)RX Mapping'!AW54&lt;=720), (-1)*('(橫掃)RX Mapping'!AW54-720)+120,IF(AND('(橫掃)RX Mapping'!AW54&gt;=721,'(橫掃)RX Mapping'!AW54&lt;=840), ('(橫掃)RX Mapping'!AW54-601),IF(AND('(橫掃)RX Mapping'!AW54&gt;=841,'(橫掃)RX Mapping'!AW54&lt;=960), (-1)*('(橫掃)RX Mapping'!AW54-960)+120,9999))))))))</f>
        <v>9999</v>
      </c>
      <c r="AX54">
        <f>IF(AND('(橫掃)RX Mapping'!AX54&gt;=1,'(橫掃)RX Mapping'!AX54&lt;=120), ('(橫掃)RX Mapping'!AX54-1),IF(AND('(橫掃)RX Mapping'!AX54&gt;=121,'(橫掃)RX Mapping'!AX54&lt;=240), (-1)*('(橫掃)RX Mapping'!AX54-240),IF(AND('(橫掃)RX Mapping'!AX54&gt;=241,'(橫掃)RX Mapping'!AX54&lt;=360), ('(橫掃)RX Mapping'!AX54-241),IF(AND('(橫掃)RX Mapping'!AX54&gt;=361,'(橫掃)RX Mapping'!AX54&lt;=480), (-1)*('(橫掃)RX Mapping'!AX54-480),IF(AND('(橫掃)RX Mapping'!AX54&gt;=481,'(橫掃)RX Mapping'!AX54&lt;=600), ('(橫掃)RX Mapping'!AX54-361),IF(AND('(橫掃)RX Mapping'!AX54&gt;=601,'(橫掃)RX Mapping'!AX54&lt;=720), (-1)*('(橫掃)RX Mapping'!AX54-720)+120,IF(AND('(橫掃)RX Mapping'!AX54&gt;=721,'(橫掃)RX Mapping'!AX54&lt;=840), ('(橫掃)RX Mapping'!AX54-601),IF(AND('(橫掃)RX Mapping'!AX54&gt;=841,'(橫掃)RX Mapping'!AX54&lt;=960), (-1)*('(橫掃)RX Mapping'!AX54-960)+120,9999))))))))</f>
        <v>9999</v>
      </c>
      <c r="AY54">
        <f>IF(AND('(橫掃)RX Mapping'!AY54&gt;=1,'(橫掃)RX Mapping'!AY54&lt;=120), ('(橫掃)RX Mapping'!AY54-1),IF(AND('(橫掃)RX Mapping'!AY54&gt;=121,'(橫掃)RX Mapping'!AY54&lt;=240), (-1)*('(橫掃)RX Mapping'!AY54-240),IF(AND('(橫掃)RX Mapping'!AY54&gt;=241,'(橫掃)RX Mapping'!AY54&lt;=360), ('(橫掃)RX Mapping'!AY54-241),IF(AND('(橫掃)RX Mapping'!AY54&gt;=361,'(橫掃)RX Mapping'!AY54&lt;=480), (-1)*('(橫掃)RX Mapping'!AY54-480),IF(AND('(橫掃)RX Mapping'!AY54&gt;=481,'(橫掃)RX Mapping'!AY54&lt;=600), ('(橫掃)RX Mapping'!AY54-361),IF(AND('(橫掃)RX Mapping'!AY54&gt;=601,'(橫掃)RX Mapping'!AY54&lt;=720), (-1)*('(橫掃)RX Mapping'!AY54-720)+120,IF(AND('(橫掃)RX Mapping'!AY54&gt;=721,'(橫掃)RX Mapping'!AY54&lt;=840), ('(橫掃)RX Mapping'!AY54-601),IF(AND('(橫掃)RX Mapping'!AY54&gt;=841,'(橫掃)RX Mapping'!AY54&lt;=960), (-1)*('(橫掃)RX Mapping'!AY54-960)+120,9999))))))))</f>
        <v>9999</v>
      </c>
      <c r="AZ54">
        <f>IF(AND('(橫掃)RX Mapping'!AZ54&gt;=1,'(橫掃)RX Mapping'!AZ54&lt;=120), ('(橫掃)RX Mapping'!AZ54-1),IF(AND('(橫掃)RX Mapping'!AZ54&gt;=121,'(橫掃)RX Mapping'!AZ54&lt;=240), (-1)*('(橫掃)RX Mapping'!AZ54-240),IF(AND('(橫掃)RX Mapping'!AZ54&gt;=241,'(橫掃)RX Mapping'!AZ54&lt;=360), ('(橫掃)RX Mapping'!AZ54-241),IF(AND('(橫掃)RX Mapping'!AZ54&gt;=361,'(橫掃)RX Mapping'!AZ54&lt;=480), (-1)*('(橫掃)RX Mapping'!AZ54-480),IF(AND('(橫掃)RX Mapping'!AZ54&gt;=481,'(橫掃)RX Mapping'!AZ54&lt;=600), ('(橫掃)RX Mapping'!AZ54-361),IF(AND('(橫掃)RX Mapping'!AZ54&gt;=601,'(橫掃)RX Mapping'!AZ54&lt;=720), (-1)*('(橫掃)RX Mapping'!AZ54-720)+120,IF(AND('(橫掃)RX Mapping'!AZ54&gt;=721,'(橫掃)RX Mapping'!AZ54&lt;=840), ('(橫掃)RX Mapping'!AZ54-601),IF(AND('(橫掃)RX Mapping'!AZ54&gt;=841,'(橫掃)RX Mapping'!AZ54&lt;=960), (-1)*('(橫掃)RX Mapping'!AZ54-960)+120,9999))))))))</f>
        <v>9999</v>
      </c>
      <c r="BA54">
        <f>IF(AND('(橫掃)RX Mapping'!BA54&gt;=1,'(橫掃)RX Mapping'!BA54&lt;=120), ('(橫掃)RX Mapping'!BA54-1),IF(AND('(橫掃)RX Mapping'!BA54&gt;=121,'(橫掃)RX Mapping'!BA54&lt;=240), (-1)*('(橫掃)RX Mapping'!BA54-240),IF(AND('(橫掃)RX Mapping'!BA54&gt;=241,'(橫掃)RX Mapping'!BA54&lt;=360), ('(橫掃)RX Mapping'!BA54-241),IF(AND('(橫掃)RX Mapping'!BA54&gt;=361,'(橫掃)RX Mapping'!BA54&lt;=480), (-1)*('(橫掃)RX Mapping'!BA54-480),IF(AND('(橫掃)RX Mapping'!BA54&gt;=481,'(橫掃)RX Mapping'!BA54&lt;=600), ('(橫掃)RX Mapping'!BA54-361),IF(AND('(橫掃)RX Mapping'!BA54&gt;=601,'(橫掃)RX Mapping'!BA54&lt;=720), (-1)*('(橫掃)RX Mapping'!BA54-720)+120,IF(AND('(橫掃)RX Mapping'!BA54&gt;=721,'(橫掃)RX Mapping'!BA54&lt;=840), ('(橫掃)RX Mapping'!BA54-601),IF(AND('(橫掃)RX Mapping'!BA54&gt;=841,'(橫掃)RX Mapping'!BA54&lt;=960), (-1)*('(橫掃)RX Mapping'!BA54-960)+120,9999))))))))</f>
        <v>9999</v>
      </c>
      <c r="BB54">
        <f>IF(AND('(橫掃)RX Mapping'!BB54&gt;=1,'(橫掃)RX Mapping'!BB54&lt;=120), ('(橫掃)RX Mapping'!BB54-1),IF(AND('(橫掃)RX Mapping'!BB54&gt;=121,'(橫掃)RX Mapping'!BB54&lt;=240), (-1)*('(橫掃)RX Mapping'!BB54-240),IF(AND('(橫掃)RX Mapping'!BB54&gt;=241,'(橫掃)RX Mapping'!BB54&lt;=360), ('(橫掃)RX Mapping'!BB54-241),IF(AND('(橫掃)RX Mapping'!BB54&gt;=361,'(橫掃)RX Mapping'!BB54&lt;=480), (-1)*('(橫掃)RX Mapping'!BB54-480),IF(AND('(橫掃)RX Mapping'!BB54&gt;=481,'(橫掃)RX Mapping'!BB54&lt;=600), ('(橫掃)RX Mapping'!BB54-361),IF(AND('(橫掃)RX Mapping'!BB54&gt;=601,'(橫掃)RX Mapping'!BB54&lt;=720), (-1)*('(橫掃)RX Mapping'!BB54-720)+120,IF(AND('(橫掃)RX Mapping'!BB54&gt;=721,'(橫掃)RX Mapping'!BB54&lt;=840), ('(橫掃)RX Mapping'!BB54-601),IF(AND('(橫掃)RX Mapping'!BB54&gt;=841,'(橫掃)RX Mapping'!BB54&lt;=960), (-1)*('(橫掃)RX Mapping'!BB54-960)+120,9999))))))))</f>
        <v>9999</v>
      </c>
      <c r="BC54">
        <f>IF(AND('(橫掃)RX Mapping'!BC54&gt;=1,'(橫掃)RX Mapping'!BC54&lt;=120), ('(橫掃)RX Mapping'!BC54-1),IF(AND('(橫掃)RX Mapping'!BC54&gt;=121,'(橫掃)RX Mapping'!BC54&lt;=240), (-1)*('(橫掃)RX Mapping'!BC54-240),IF(AND('(橫掃)RX Mapping'!BC54&gt;=241,'(橫掃)RX Mapping'!BC54&lt;=360), ('(橫掃)RX Mapping'!BC54-241),IF(AND('(橫掃)RX Mapping'!BC54&gt;=361,'(橫掃)RX Mapping'!BC54&lt;=480), (-1)*('(橫掃)RX Mapping'!BC54-480),IF(AND('(橫掃)RX Mapping'!BC54&gt;=481,'(橫掃)RX Mapping'!BC54&lt;=600), ('(橫掃)RX Mapping'!BC54-361),IF(AND('(橫掃)RX Mapping'!BC54&gt;=601,'(橫掃)RX Mapping'!BC54&lt;=720), (-1)*('(橫掃)RX Mapping'!BC54-720)+120,IF(AND('(橫掃)RX Mapping'!BC54&gt;=721,'(橫掃)RX Mapping'!BC54&lt;=840), ('(橫掃)RX Mapping'!BC54-601),IF(AND('(橫掃)RX Mapping'!BC54&gt;=841,'(橫掃)RX Mapping'!BC54&lt;=960), (-1)*('(橫掃)RX Mapping'!BC54-960)+120,9999))))))))</f>
        <v>9999</v>
      </c>
      <c r="BD54">
        <f>IF(AND('(橫掃)RX Mapping'!BD54&gt;=1,'(橫掃)RX Mapping'!BD54&lt;=120), ('(橫掃)RX Mapping'!BD54-1),IF(AND('(橫掃)RX Mapping'!BD54&gt;=121,'(橫掃)RX Mapping'!BD54&lt;=240), (-1)*('(橫掃)RX Mapping'!BD54-240),IF(AND('(橫掃)RX Mapping'!BD54&gt;=241,'(橫掃)RX Mapping'!BD54&lt;=360), ('(橫掃)RX Mapping'!BD54-241),IF(AND('(橫掃)RX Mapping'!BD54&gt;=361,'(橫掃)RX Mapping'!BD54&lt;=480), (-1)*('(橫掃)RX Mapping'!BD54-480),IF(AND('(橫掃)RX Mapping'!BD54&gt;=481,'(橫掃)RX Mapping'!BD54&lt;=600), ('(橫掃)RX Mapping'!BD54-361),IF(AND('(橫掃)RX Mapping'!BD54&gt;=601,'(橫掃)RX Mapping'!BD54&lt;=720), (-1)*('(橫掃)RX Mapping'!BD54-720)+120,IF(AND('(橫掃)RX Mapping'!BD54&gt;=721,'(橫掃)RX Mapping'!BD54&lt;=840), ('(橫掃)RX Mapping'!BD54-601),IF(AND('(橫掃)RX Mapping'!BD54&gt;=841,'(橫掃)RX Mapping'!BD54&lt;=960), (-1)*('(橫掃)RX Mapping'!BD54-960)+120,9999))))))))</f>
        <v>9999</v>
      </c>
      <c r="BE54">
        <f>IF(AND('(橫掃)RX Mapping'!BE54&gt;=1,'(橫掃)RX Mapping'!BE54&lt;=120), ('(橫掃)RX Mapping'!BE54-1),IF(AND('(橫掃)RX Mapping'!BE54&gt;=121,'(橫掃)RX Mapping'!BE54&lt;=240), (-1)*('(橫掃)RX Mapping'!BE54-240),IF(AND('(橫掃)RX Mapping'!BE54&gt;=241,'(橫掃)RX Mapping'!BE54&lt;=360), ('(橫掃)RX Mapping'!BE54-241),IF(AND('(橫掃)RX Mapping'!BE54&gt;=361,'(橫掃)RX Mapping'!BE54&lt;=480), (-1)*('(橫掃)RX Mapping'!BE54-480),IF(AND('(橫掃)RX Mapping'!BE54&gt;=481,'(橫掃)RX Mapping'!BE54&lt;=600), ('(橫掃)RX Mapping'!BE54-361),IF(AND('(橫掃)RX Mapping'!BE54&gt;=601,'(橫掃)RX Mapping'!BE54&lt;=720), (-1)*('(橫掃)RX Mapping'!BE54-720)+120,IF(AND('(橫掃)RX Mapping'!BE54&gt;=721,'(橫掃)RX Mapping'!BE54&lt;=840), ('(橫掃)RX Mapping'!BE54-601),IF(AND('(橫掃)RX Mapping'!BE54&gt;=841,'(橫掃)RX Mapping'!BE54&lt;=960), (-1)*('(橫掃)RX Mapping'!BE54-960)+120,9999))))))))</f>
        <v>9999</v>
      </c>
      <c r="BF54">
        <f>IF(AND('(橫掃)RX Mapping'!BF54&gt;=1,'(橫掃)RX Mapping'!BF54&lt;=120), ('(橫掃)RX Mapping'!BF54-1),IF(AND('(橫掃)RX Mapping'!BF54&gt;=121,'(橫掃)RX Mapping'!BF54&lt;=240), (-1)*('(橫掃)RX Mapping'!BF54-240),IF(AND('(橫掃)RX Mapping'!BF54&gt;=241,'(橫掃)RX Mapping'!BF54&lt;=360), ('(橫掃)RX Mapping'!BF54-241),IF(AND('(橫掃)RX Mapping'!BF54&gt;=361,'(橫掃)RX Mapping'!BF54&lt;=480), (-1)*('(橫掃)RX Mapping'!BF54-480),IF(AND('(橫掃)RX Mapping'!BF54&gt;=481,'(橫掃)RX Mapping'!BF54&lt;=600), ('(橫掃)RX Mapping'!BF54-361),IF(AND('(橫掃)RX Mapping'!BF54&gt;=601,'(橫掃)RX Mapping'!BF54&lt;=720), (-1)*('(橫掃)RX Mapping'!BF54-720)+120,IF(AND('(橫掃)RX Mapping'!BF54&gt;=721,'(橫掃)RX Mapping'!BF54&lt;=840), ('(橫掃)RX Mapping'!BF54-601),IF(AND('(橫掃)RX Mapping'!BF54&gt;=841,'(橫掃)RX Mapping'!BF54&lt;=960), (-1)*('(橫掃)RX Mapping'!BF54-960)+120,9999))))))))</f>
        <v>9999</v>
      </c>
      <c r="BG54">
        <f>IF(AND('(橫掃)RX Mapping'!BG54&gt;=1,'(橫掃)RX Mapping'!BG54&lt;=120), ('(橫掃)RX Mapping'!BG54-1),IF(AND('(橫掃)RX Mapping'!BG54&gt;=121,'(橫掃)RX Mapping'!BG54&lt;=240), (-1)*('(橫掃)RX Mapping'!BG54-240),IF(AND('(橫掃)RX Mapping'!BG54&gt;=241,'(橫掃)RX Mapping'!BG54&lt;=360), ('(橫掃)RX Mapping'!BG54-241),IF(AND('(橫掃)RX Mapping'!BG54&gt;=361,'(橫掃)RX Mapping'!BG54&lt;=480), (-1)*('(橫掃)RX Mapping'!BG54-480),IF(AND('(橫掃)RX Mapping'!BG54&gt;=481,'(橫掃)RX Mapping'!BG54&lt;=600), ('(橫掃)RX Mapping'!BG54-361),IF(AND('(橫掃)RX Mapping'!BG54&gt;=601,'(橫掃)RX Mapping'!BG54&lt;=720), (-1)*('(橫掃)RX Mapping'!BG54-720)+120,IF(AND('(橫掃)RX Mapping'!BG54&gt;=721,'(橫掃)RX Mapping'!BG54&lt;=840), ('(橫掃)RX Mapping'!BG54-601),IF(AND('(橫掃)RX Mapping'!BG54&gt;=841,'(橫掃)RX Mapping'!BG54&lt;=960), (-1)*('(橫掃)RX Mapping'!BG54-960)+120,9999))))))))</f>
        <v>9999</v>
      </c>
      <c r="BH54">
        <f>IF(AND('(橫掃)RX Mapping'!BH54&gt;=1,'(橫掃)RX Mapping'!BH54&lt;=120), ('(橫掃)RX Mapping'!BH54-1),IF(AND('(橫掃)RX Mapping'!BH54&gt;=121,'(橫掃)RX Mapping'!BH54&lt;=240), (-1)*('(橫掃)RX Mapping'!BH54-240),IF(AND('(橫掃)RX Mapping'!BH54&gt;=241,'(橫掃)RX Mapping'!BH54&lt;=360), ('(橫掃)RX Mapping'!BH54-241),IF(AND('(橫掃)RX Mapping'!BH54&gt;=361,'(橫掃)RX Mapping'!BH54&lt;=480), (-1)*('(橫掃)RX Mapping'!BH54-480),IF(AND('(橫掃)RX Mapping'!BH54&gt;=481,'(橫掃)RX Mapping'!BH54&lt;=600), ('(橫掃)RX Mapping'!BH54-361),IF(AND('(橫掃)RX Mapping'!BH54&gt;=601,'(橫掃)RX Mapping'!BH54&lt;=720), (-1)*('(橫掃)RX Mapping'!BH54-720)+120,IF(AND('(橫掃)RX Mapping'!BH54&gt;=721,'(橫掃)RX Mapping'!BH54&lt;=840), ('(橫掃)RX Mapping'!BH54-601),IF(AND('(橫掃)RX Mapping'!BH54&gt;=841,'(橫掃)RX Mapping'!BH54&lt;=960), (-1)*('(橫掃)RX Mapping'!BH54-960)+120,9999))))))))</f>
        <v>9999</v>
      </c>
      <c r="BI54">
        <f>IF(AND('(橫掃)RX Mapping'!BI54&gt;=1,'(橫掃)RX Mapping'!BI54&lt;=120), ('(橫掃)RX Mapping'!BI54-1),IF(AND('(橫掃)RX Mapping'!BI54&gt;=121,'(橫掃)RX Mapping'!BI54&lt;=240), (-1)*('(橫掃)RX Mapping'!BI54-240),IF(AND('(橫掃)RX Mapping'!BI54&gt;=241,'(橫掃)RX Mapping'!BI54&lt;=360), ('(橫掃)RX Mapping'!BI54-241),IF(AND('(橫掃)RX Mapping'!BI54&gt;=361,'(橫掃)RX Mapping'!BI54&lt;=480), (-1)*('(橫掃)RX Mapping'!BI54-480),IF(AND('(橫掃)RX Mapping'!BI54&gt;=481,'(橫掃)RX Mapping'!BI54&lt;=600), ('(橫掃)RX Mapping'!BI54-361),IF(AND('(橫掃)RX Mapping'!BI54&gt;=601,'(橫掃)RX Mapping'!BI54&lt;=720), (-1)*('(橫掃)RX Mapping'!BI54-720)+120,IF(AND('(橫掃)RX Mapping'!BI54&gt;=721,'(橫掃)RX Mapping'!BI54&lt;=840), ('(橫掃)RX Mapping'!BI54-601),IF(AND('(橫掃)RX Mapping'!BI54&gt;=841,'(橫掃)RX Mapping'!BI54&lt;=960), (-1)*('(橫掃)RX Mapping'!BI54-960)+120,9999))))))))</f>
        <v>9999</v>
      </c>
    </row>
    <row r="55" spans="1:61" x14ac:dyDescent="0.25">
      <c r="A55" s="20">
        <v>54</v>
      </c>
      <c r="B55">
        <f>IF(AND('(橫掃)RX Mapping'!B55&gt;=1,'(橫掃)RX Mapping'!B55&lt;=120), ('(橫掃)RX Mapping'!B55-1),IF(AND('(橫掃)RX Mapping'!B55&gt;=121,'(橫掃)RX Mapping'!B55&lt;=240), (-1)*('(橫掃)RX Mapping'!B55-240),IF(AND('(橫掃)RX Mapping'!B55&gt;=241,'(橫掃)RX Mapping'!B55&lt;=360), ('(橫掃)RX Mapping'!B55-241),IF(AND('(橫掃)RX Mapping'!B55&gt;=361,'(橫掃)RX Mapping'!B55&lt;=480), (-1)*('(橫掃)RX Mapping'!B55-480),IF(AND('(橫掃)RX Mapping'!B55&gt;=481,'(橫掃)RX Mapping'!B55&lt;=600), ('(橫掃)RX Mapping'!B55-361),IF(AND('(橫掃)RX Mapping'!B55&gt;=601,'(橫掃)RX Mapping'!B55&lt;=720), (-1)*('(橫掃)RX Mapping'!B55-720)+120,IF(AND('(橫掃)RX Mapping'!B55&gt;=721,'(橫掃)RX Mapping'!B55&lt;=840), ('(橫掃)RX Mapping'!B55-601),IF(AND('(橫掃)RX Mapping'!B55&gt;=841,'(橫掃)RX Mapping'!B55&lt;=960), (-1)*('(橫掃)RX Mapping'!B55-960)+120,9999))))))))</f>
        <v>9999</v>
      </c>
      <c r="C55">
        <f>IF(AND('(橫掃)RX Mapping'!C55&gt;=1,'(橫掃)RX Mapping'!C55&lt;=120), ('(橫掃)RX Mapping'!C55-1),IF(AND('(橫掃)RX Mapping'!C55&gt;=121,'(橫掃)RX Mapping'!C55&lt;=240), (-1)*('(橫掃)RX Mapping'!C55-240),IF(AND('(橫掃)RX Mapping'!C55&gt;=241,'(橫掃)RX Mapping'!C55&lt;=360), ('(橫掃)RX Mapping'!C55-241),IF(AND('(橫掃)RX Mapping'!C55&gt;=361,'(橫掃)RX Mapping'!C55&lt;=480), (-1)*('(橫掃)RX Mapping'!C55-480),IF(AND('(橫掃)RX Mapping'!C55&gt;=481,'(橫掃)RX Mapping'!C55&lt;=600), ('(橫掃)RX Mapping'!C55-361),IF(AND('(橫掃)RX Mapping'!C55&gt;=601,'(橫掃)RX Mapping'!C55&lt;=720), (-1)*('(橫掃)RX Mapping'!C55-720)+120,IF(AND('(橫掃)RX Mapping'!C55&gt;=721,'(橫掃)RX Mapping'!C55&lt;=840), ('(橫掃)RX Mapping'!C55-601),IF(AND('(橫掃)RX Mapping'!C55&gt;=841,'(橫掃)RX Mapping'!C55&lt;=960), (-1)*('(橫掃)RX Mapping'!C55-960)+120,9999))))))))</f>
        <v>9999</v>
      </c>
      <c r="D55">
        <f>IF(AND('(橫掃)RX Mapping'!D55&gt;=1,'(橫掃)RX Mapping'!D55&lt;=120), ('(橫掃)RX Mapping'!D55-1),IF(AND('(橫掃)RX Mapping'!D55&gt;=121,'(橫掃)RX Mapping'!D55&lt;=240), (-1)*('(橫掃)RX Mapping'!D55-240),IF(AND('(橫掃)RX Mapping'!D55&gt;=241,'(橫掃)RX Mapping'!D55&lt;=360), ('(橫掃)RX Mapping'!D55-241),IF(AND('(橫掃)RX Mapping'!D55&gt;=361,'(橫掃)RX Mapping'!D55&lt;=480), (-1)*('(橫掃)RX Mapping'!D55-480),IF(AND('(橫掃)RX Mapping'!D55&gt;=481,'(橫掃)RX Mapping'!D55&lt;=600), ('(橫掃)RX Mapping'!D55-361),IF(AND('(橫掃)RX Mapping'!D55&gt;=601,'(橫掃)RX Mapping'!D55&lt;=720), (-1)*('(橫掃)RX Mapping'!D55-720)+120,IF(AND('(橫掃)RX Mapping'!D55&gt;=721,'(橫掃)RX Mapping'!D55&lt;=840), ('(橫掃)RX Mapping'!D55-601),IF(AND('(橫掃)RX Mapping'!D55&gt;=841,'(橫掃)RX Mapping'!D55&lt;=960), (-1)*('(橫掃)RX Mapping'!D55-960)+120,9999))))))))</f>
        <v>9999</v>
      </c>
      <c r="E55">
        <f>IF(AND('(橫掃)RX Mapping'!E55&gt;=1,'(橫掃)RX Mapping'!E55&lt;=120), ('(橫掃)RX Mapping'!E55-1),IF(AND('(橫掃)RX Mapping'!E55&gt;=121,'(橫掃)RX Mapping'!E55&lt;=240), (-1)*('(橫掃)RX Mapping'!E55-240),IF(AND('(橫掃)RX Mapping'!E55&gt;=241,'(橫掃)RX Mapping'!E55&lt;=360), ('(橫掃)RX Mapping'!E55-241),IF(AND('(橫掃)RX Mapping'!E55&gt;=361,'(橫掃)RX Mapping'!E55&lt;=480), (-1)*('(橫掃)RX Mapping'!E55-480),IF(AND('(橫掃)RX Mapping'!E55&gt;=481,'(橫掃)RX Mapping'!E55&lt;=600), ('(橫掃)RX Mapping'!E55-361),IF(AND('(橫掃)RX Mapping'!E55&gt;=601,'(橫掃)RX Mapping'!E55&lt;=720), (-1)*('(橫掃)RX Mapping'!E55-720)+120,IF(AND('(橫掃)RX Mapping'!E55&gt;=721,'(橫掃)RX Mapping'!E55&lt;=840), ('(橫掃)RX Mapping'!E55-601),IF(AND('(橫掃)RX Mapping'!E55&gt;=841,'(橫掃)RX Mapping'!E55&lt;=960), (-1)*('(橫掃)RX Mapping'!E55-960)+120,9999))))))))</f>
        <v>9999</v>
      </c>
      <c r="F55">
        <f>IF(AND('(橫掃)RX Mapping'!F55&gt;=1,'(橫掃)RX Mapping'!F55&lt;=120), ('(橫掃)RX Mapping'!F55-1),IF(AND('(橫掃)RX Mapping'!F55&gt;=121,'(橫掃)RX Mapping'!F55&lt;=240), (-1)*('(橫掃)RX Mapping'!F55-240),IF(AND('(橫掃)RX Mapping'!F55&gt;=241,'(橫掃)RX Mapping'!F55&lt;=360), ('(橫掃)RX Mapping'!F55-241),IF(AND('(橫掃)RX Mapping'!F55&gt;=361,'(橫掃)RX Mapping'!F55&lt;=480), (-1)*('(橫掃)RX Mapping'!F55-480),IF(AND('(橫掃)RX Mapping'!F55&gt;=481,'(橫掃)RX Mapping'!F55&lt;=600), ('(橫掃)RX Mapping'!F55-361),IF(AND('(橫掃)RX Mapping'!F55&gt;=601,'(橫掃)RX Mapping'!F55&lt;=720), (-1)*('(橫掃)RX Mapping'!F55-720)+120,IF(AND('(橫掃)RX Mapping'!F55&gt;=721,'(橫掃)RX Mapping'!F55&lt;=840), ('(橫掃)RX Mapping'!F55-601),IF(AND('(橫掃)RX Mapping'!F55&gt;=841,'(橫掃)RX Mapping'!F55&lt;=960), (-1)*('(橫掃)RX Mapping'!F55-960)+120,9999))))))))</f>
        <v>9999</v>
      </c>
      <c r="G55">
        <f>IF(AND('(橫掃)RX Mapping'!G55&gt;=1,'(橫掃)RX Mapping'!G55&lt;=120), ('(橫掃)RX Mapping'!G55-1),IF(AND('(橫掃)RX Mapping'!G55&gt;=121,'(橫掃)RX Mapping'!G55&lt;=240), (-1)*('(橫掃)RX Mapping'!G55-240),IF(AND('(橫掃)RX Mapping'!G55&gt;=241,'(橫掃)RX Mapping'!G55&lt;=360), ('(橫掃)RX Mapping'!G55-241),IF(AND('(橫掃)RX Mapping'!G55&gt;=361,'(橫掃)RX Mapping'!G55&lt;=480), (-1)*('(橫掃)RX Mapping'!G55-480),IF(AND('(橫掃)RX Mapping'!G55&gt;=481,'(橫掃)RX Mapping'!G55&lt;=600), ('(橫掃)RX Mapping'!G55-361),IF(AND('(橫掃)RX Mapping'!G55&gt;=601,'(橫掃)RX Mapping'!G55&lt;=720), (-1)*('(橫掃)RX Mapping'!G55-720)+120,IF(AND('(橫掃)RX Mapping'!G55&gt;=721,'(橫掃)RX Mapping'!G55&lt;=840), ('(橫掃)RX Mapping'!G55-601),IF(AND('(橫掃)RX Mapping'!G55&gt;=841,'(橫掃)RX Mapping'!G55&lt;=960), (-1)*('(橫掃)RX Mapping'!G55-960)+120,9999))))))))</f>
        <v>9999</v>
      </c>
      <c r="H55">
        <f>IF(AND('(橫掃)RX Mapping'!H55&gt;=1,'(橫掃)RX Mapping'!H55&lt;=120), ('(橫掃)RX Mapping'!H55-1),IF(AND('(橫掃)RX Mapping'!H55&gt;=121,'(橫掃)RX Mapping'!H55&lt;=240), (-1)*('(橫掃)RX Mapping'!H55-240),IF(AND('(橫掃)RX Mapping'!H55&gt;=241,'(橫掃)RX Mapping'!H55&lt;=360), ('(橫掃)RX Mapping'!H55-241),IF(AND('(橫掃)RX Mapping'!H55&gt;=361,'(橫掃)RX Mapping'!H55&lt;=480), (-1)*('(橫掃)RX Mapping'!H55-480),IF(AND('(橫掃)RX Mapping'!H55&gt;=481,'(橫掃)RX Mapping'!H55&lt;=600), ('(橫掃)RX Mapping'!H55-361),IF(AND('(橫掃)RX Mapping'!H55&gt;=601,'(橫掃)RX Mapping'!H55&lt;=720), (-1)*('(橫掃)RX Mapping'!H55-720)+120,IF(AND('(橫掃)RX Mapping'!H55&gt;=721,'(橫掃)RX Mapping'!H55&lt;=840), ('(橫掃)RX Mapping'!H55-601),IF(AND('(橫掃)RX Mapping'!H55&gt;=841,'(橫掃)RX Mapping'!H55&lt;=960), (-1)*('(橫掃)RX Mapping'!H55-960)+120,9999))))))))</f>
        <v>9999</v>
      </c>
      <c r="I55">
        <f>IF(AND('(橫掃)RX Mapping'!I55&gt;=1,'(橫掃)RX Mapping'!I55&lt;=120), ('(橫掃)RX Mapping'!I55-1),IF(AND('(橫掃)RX Mapping'!I55&gt;=121,'(橫掃)RX Mapping'!I55&lt;=240), (-1)*('(橫掃)RX Mapping'!I55-240),IF(AND('(橫掃)RX Mapping'!I55&gt;=241,'(橫掃)RX Mapping'!I55&lt;=360), ('(橫掃)RX Mapping'!I55-241),IF(AND('(橫掃)RX Mapping'!I55&gt;=361,'(橫掃)RX Mapping'!I55&lt;=480), (-1)*('(橫掃)RX Mapping'!I55-480),IF(AND('(橫掃)RX Mapping'!I55&gt;=481,'(橫掃)RX Mapping'!I55&lt;=600), ('(橫掃)RX Mapping'!I55-361),IF(AND('(橫掃)RX Mapping'!I55&gt;=601,'(橫掃)RX Mapping'!I55&lt;=720), (-1)*('(橫掃)RX Mapping'!I55-720)+120,IF(AND('(橫掃)RX Mapping'!I55&gt;=721,'(橫掃)RX Mapping'!I55&lt;=840), ('(橫掃)RX Mapping'!I55-601),IF(AND('(橫掃)RX Mapping'!I55&gt;=841,'(橫掃)RX Mapping'!I55&lt;=960), (-1)*('(橫掃)RX Mapping'!I55-960)+120,9999))))))))</f>
        <v>9999</v>
      </c>
      <c r="J55">
        <f>IF(AND('(橫掃)RX Mapping'!J55&gt;=1,'(橫掃)RX Mapping'!J55&lt;=120), ('(橫掃)RX Mapping'!J55-1),IF(AND('(橫掃)RX Mapping'!J55&gt;=121,'(橫掃)RX Mapping'!J55&lt;=240), (-1)*('(橫掃)RX Mapping'!J55-240),IF(AND('(橫掃)RX Mapping'!J55&gt;=241,'(橫掃)RX Mapping'!J55&lt;=360), ('(橫掃)RX Mapping'!J55-241),IF(AND('(橫掃)RX Mapping'!J55&gt;=361,'(橫掃)RX Mapping'!J55&lt;=480), (-1)*('(橫掃)RX Mapping'!J55-480),IF(AND('(橫掃)RX Mapping'!J55&gt;=481,'(橫掃)RX Mapping'!J55&lt;=600), ('(橫掃)RX Mapping'!J55-361),IF(AND('(橫掃)RX Mapping'!J55&gt;=601,'(橫掃)RX Mapping'!J55&lt;=720), (-1)*('(橫掃)RX Mapping'!J55-720)+120,IF(AND('(橫掃)RX Mapping'!J55&gt;=721,'(橫掃)RX Mapping'!J55&lt;=840), ('(橫掃)RX Mapping'!J55-601),IF(AND('(橫掃)RX Mapping'!J55&gt;=841,'(橫掃)RX Mapping'!J55&lt;=960), (-1)*('(橫掃)RX Mapping'!J55-960)+120,9999))))))))</f>
        <v>9999</v>
      </c>
      <c r="K55">
        <f>IF(AND('(橫掃)RX Mapping'!K55&gt;=1,'(橫掃)RX Mapping'!K55&lt;=120), ('(橫掃)RX Mapping'!K55-1),IF(AND('(橫掃)RX Mapping'!K55&gt;=121,'(橫掃)RX Mapping'!K55&lt;=240), (-1)*('(橫掃)RX Mapping'!K55-240),IF(AND('(橫掃)RX Mapping'!K55&gt;=241,'(橫掃)RX Mapping'!K55&lt;=360), ('(橫掃)RX Mapping'!K55-241),IF(AND('(橫掃)RX Mapping'!K55&gt;=361,'(橫掃)RX Mapping'!K55&lt;=480), (-1)*('(橫掃)RX Mapping'!K55-480),IF(AND('(橫掃)RX Mapping'!K55&gt;=481,'(橫掃)RX Mapping'!K55&lt;=600), ('(橫掃)RX Mapping'!K55-361),IF(AND('(橫掃)RX Mapping'!K55&gt;=601,'(橫掃)RX Mapping'!K55&lt;=720), (-1)*('(橫掃)RX Mapping'!K55-720)+120,IF(AND('(橫掃)RX Mapping'!K55&gt;=721,'(橫掃)RX Mapping'!K55&lt;=840), ('(橫掃)RX Mapping'!K55-601),IF(AND('(橫掃)RX Mapping'!K55&gt;=841,'(橫掃)RX Mapping'!K55&lt;=960), (-1)*('(橫掃)RX Mapping'!K55-960)+120,9999))))))))</f>
        <v>9999</v>
      </c>
      <c r="L55">
        <f>IF(AND('(橫掃)RX Mapping'!L55&gt;=1,'(橫掃)RX Mapping'!L55&lt;=120), ('(橫掃)RX Mapping'!L55-1),IF(AND('(橫掃)RX Mapping'!L55&gt;=121,'(橫掃)RX Mapping'!L55&lt;=240), (-1)*('(橫掃)RX Mapping'!L55-240),IF(AND('(橫掃)RX Mapping'!L55&gt;=241,'(橫掃)RX Mapping'!L55&lt;=360), ('(橫掃)RX Mapping'!L55-241),IF(AND('(橫掃)RX Mapping'!L55&gt;=361,'(橫掃)RX Mapping'!L55&lt;=480), (-1)*('(橫掃)RX Mapping'!L55-480),IF(AND('(橫掃)RX Mapping'!L55&gt;=481,'(橫掃)RX Mapping'!L55&lt;=600), ('(橫掃)RX Mapping'!L55-361),IF(AND('(橫掃)RX Mapping'!L55&gt;=601,'(橫掃)RX Mapping'!L55&lt;=720), (-1)*('(橫掃)RX Mapping'!L55-720)+120,IF(AND('(橫掃)RX Mapping'!L55&gt;=721,'(橫掃)RX Mapping'!L55&lt;=840), ('(橫掃)RX Mapping'!L55-601),IF(AND('(橫掃)RX Mapping'!L55&gt;=841,'(橫掃)RX Mapping'!L55&lt;=960), (-1)*('(橫掃)RX Mapping'!L55-960)+120,9999))))))))</f>
        <v>9999</v>
      </c>
      <c r="M55">
        <f>IF(AND('(橫掃)RX Mapping'!M55&gt;=1,'(橫掃)RX Mapping'!M55&lt;=120), ('(橫掃)RX Mapping'!M55-1),IF(AND('(橫掃)RX Mapping'!M55&gt;=121,'(橫掃)RX Mapping'!M55&lt;=240), (-1)*('(橫掃)RX Mapping'!M55-240),IF(AND('(橫掃)RX Mapping'!M55&gt;=241,'(橫掃)RX Mapping'!M55&lt;=360), ('(橫掃)RX Mapping'!M55-241),IF(AND('(橫掃)RX Mapping'!M55&gt;=361,'(橫掃)RX Mapping'!M55&lt;=480), (-1)*('(橫掃)RX Mapping'!M55-480),IF(AND('(橫掃)RX Mapping'!M55&gt;=481,'(橫掃)RX Mapping'!M55&lt;=600), ('(橫掃)RX Mapping'!M55-361),IF(AND('(橫掃)RX Mapping'!M55&gt;=601,'(橫掃)RX Mapping'!M55&lt;=720), (-1)*('(橫掃)RX Mapping'!M55-720)+120,IF(AND('(橫掃)RX Mapping'!M55&gt;=721,'(橫掃)RX Mapping'!M55&lt;=840), ('(橫掃)RX Mapping'!M55-601),IF(AND('(橫掃)RX Mapping'!M55&gt;=841,'(橫掃)RX Mapping'!M55&lt;=960), (-1)*('(橫掃)RX Mapping'!M55-960)+120,9999))))))))</f>
        <v>9999</v>
      </c>
      <c r="N55">
        <f>IF(AND('(橫掃)RX Mapping'!N55&gt;=1,'(橫掃)RX Mapping'!N55&lt;=120), ('(橫掃)RX Mapping'!N55-1),IF(AND('(橫掃)RX Mapping'!N55&gt;=121,'(橫掃)RX Mapping'!N55&lt;=240), (-1)*('(橫掃)RX Mapping'!N55-240),IF(AND('(橫掃)RX Mapping'!N55&gt;=241,'(橫掃)RX Mapping'!N55&lt;=360), ('(橫掃)RX Mapping'!N55-241),IF(AND('(橫掃)RX Mapping'!N55&gt;=361,'(橫掃)RX Mapping'!N55&lt;=480), (-1)*('(橫掃)RX Mapping'!N55-480),IF(AND('(橫掃)RX Mapping'!N55&gt;=481,'(橫掃)RX Mapping'!N55&lt;=600), ('(橫掃)RX Mapping'!N55-361),IF(AND('(橫掃)RX Mapping'!N55&gt;=601,'(橫掃)RX Mapping'!N55&lt;=720), (-1)*('(橫掃)RX Mapping'!N55-720)+120,IF(AND('(橫掃)RX Mapping'!N55&gt;=721,'(橫掃)RX Mapping'!N55&lt;=840), ('(橫掃)RX Mapping'!N55-601),IF(AND('(橫掃)RX Mapping'!N55&gt;=841,'(橫掃)RX Mapping'!N55&lt;=960), (-1)*('(橫掃)RX Mapping'!N55-960)+120,9999))))))))</f>
        <v>9999</v>
      </c>
      <c r="O55">
        <f>IF(AND('(橫掃)RX Mapping'!O55&gt;=1,'(橫掃)RX Mapping'!O55&lt;=120), ('(橫掃)RX Mapping'!O55-1),IF(AND('(橫掃)RX Mapping'!O55&gt;=121,'(橫掃)RX Mapping'!O55&lt;=240), (-1)*('(橫掃)RX Mapping'!O55-240),IF(AND('(橫掃)RX Mapping'!O55&gt;=241,'(橫掃)RX Mapping'!O55&lt;=360), ('(橫掃)RX Mapping'!O55-241),IF(AND('(橫掃)RX Mapping'!O55&gt;=361,'(橫掃)RX Mapping'!O55&lt;=480), (-1)*('(橫掃)RX Mapping'!O55-480),IF(AND('(橫掃)RX Mapping'!O55&gt;=481,'(橫掃)RX Mapping'!O55&lt;=600), ('(橫掃)RX Mapping'!O55-361),IF(AND('(橫掃)RX Mapping'!O55&gt;=601,'(橫掃)RX Mapping'!O55&lt;=720), (-1)*('(橫掃)RX Mapping'!O55-720)+120,IF(AND('(橫掃)RX Mapping'!O55&gt;=721,'(橫掃)RX Mapping'!O55&lt;=840), ('(橫掃)RX Mapping'!O55-601),IF(AND('(橫掃)RX Mapping'!O55&gt;=841,'(橫掃)RX Mapping'!O55&lt;=960), (-1)*('(橫掃)RX Mapping'!O55-960)+120,9999))))))))</f>
        <v>9999</v>
      </c>
      <c r="P55">
        <f>IF(AND('(橫掃)RX Mapping'!P55&gt;=1,'(橫掃)RX Mapping'!P55&lt;=120), ('(橫掃)RX Mapping'!P55-1),IF(AND('(橫掃)RX Mapping'!P55&gt;=121,'(橫掃)RX Mapping'!P55&lt;=240), (-1)*('(橫掃)RX Mapping'!P55-240),IF(AND('(橫掃)RX Mapping'!P55&gt;=241,'(橫掃)RX Mapping'!P55&lt;=360), ('(橫掃)RX Mapping'!P55-241),IF(AND('(橫掃)RX Mapping'!P55&gt;=361,'(橫掃)RX Mapping'!P55&lt;=480), (-1)*('(橫掃)RX Mapping'!P55-480),IF(AND('(橫掃)RX Mapping'!P55&gt;=481,'(橫掃)RX Mapping'!P55&lt;=600), ('(橫掃)RX Mapping'!P55-361),IF(AND('(橫掃)RX Mapping'!P55&gt;=601,'(橫掃)RX Mapping'!P55&lt;=720), (-1)*('(橫掃)RX Mapping'!P55-720)+120,IF(AND('(橫掃)RX Mapping'!P55&gt;=721,'(橫掃)RX Mapping'!P55&lt;=840), ('(橫掃)RX Mapping'!P55-601),IF(AND('(橫掃)RX Mapping'!P55&gt;=841,'(橫掃)RX Mapping'!P55&lt;=960), (-1)*('(橫掃)RX Mapping'!P55-960)+120,9999))))))))</f>
        <v>9999</v>
      </c>
      <c r="Q55">
        <f>IF(AND('(橫掃)RX Mapping'!Q55&gt;=1,'(橫掃)RX Mapping'!Q55&lt;=120), ('(橫掃)RX Mapping'!Q55-1),IF(AND('(橫掃)RX Mapping'!Q55&gt;=121,'(橫掃)RX Mapping'!Q55&lt;=240), (-1)*('(橫掃)RX Mapping'!Q55-240),IF(AND('(橫掃)RX Mapping'!Q55&gt;=241,'(橫掃)RX Mapping'!Q55&lt;=360), ('(橫掃)RX Mapping'!Q55-241),IF(AND('(橫掃)RX Mapping'!Q55&gt;=361,'(橫掃)RX Mapping'!Q55&lt;=480), (-1)*('(橫掃)RX Mapping'!Q55-480),IF(AND('(橫掃)RX Mapping'!Q55&gt;=481,'(橫掃)RX Mapping'!Q55&lt;=600), ('(橫掃)RX Mapping'!Q55-361),IF(AND('(橫掃)RX Mapping'!Q55&gt;=601,'(橫掃)RX Mapping'!Q55&lt;=720), (-1)*('(橫掃)RX Mapping'!Q55-720)+120,IF(AND('(橫掃)RX Mapping'!Q55&gt;=721,'(橫掃)RX Mapping'!Q55&lt;=840), ('(橫掃)RX Mapping'!Q55-601),IF(AND('(橫掃)RX Mapping'!Q55&gt;=841,'(橫掃)RX Mapping'!Q55&lt;=960), (-1)*('(橫掃)RX Mapping'!Q55-960)+120,9999))))))))</f>
        <v>9999</v>
      </c>
      <c r="R55">
        <f>IF(AND('(橫掃)RX Mapping'!R55&gt;=1,'(橫掃)RX Mapping'!R55&lt;=120), ('(橫掃)RX Mapping'!R55-1),IF(AND('(橫掃)RX Mapping'!R55&gt;=121,'(橫掃)RX Mapping'!R55&lt;=240), (-1)*('(橫掃)RX Mapping'!R55-240),IF(AND('(橫掃)RX Mapping'!R55&gt;=241,'(橫掃)RX Mapping'!R55&lt;=360), ('(橫掃)RX Mapping'!R55-241),IF(AND('(橫掃)RX Mapping'!R55&gt;=361,'(橫掃)RX Mapping'!R55&lt;=480), (-1)*('(橫掃)RX Mapping'!R55-480),IF(AND('(橫掃)RX Mapping'!R55&gt;=481,'(橫掃)RX Mapping'!R55&lt;=600), ('(橫掃)RX Mapping'!R55-361),IF(AND('(橫掃)RX Mapping'!R55&gt;=601,'(橫掃)RX Mapping'!R55&lt;=720), (-1)*('(橫掃)RX Mapping'!R55-720)+120,IF(AND('(橫掃)RX Mapping'!R55&gt;=721,'(橫掃)RX Mapping'!R55&lt;=840), ('(橫掃)RX Mapping'!R55-601),IF(AND('(橫掃)RX Mapping'!R55&gt;=841,'(橫掃)RX Mapping'!R55&lt;=960), (-1)*('(橫掃)RX Mapping'!R55-960)+120,9999))))))))</f>
        <v>9999</v>
      </c>
      <c r="S55">
        <f>IF(AND('(橫掃)RX Mapping'!S55&gt;=1,'(橫掃)RX Mapping'!S55&lt;=120), ('(橫掃)RX Mapping'!S55-1),IF(AND('(橫掃)RX Mapping'!S55&gt;=121,'(橫掃)RX Mapping'!S55&lt;=240), (-1)*('(橫掃)RX Mapping'!S55-240),IF(AND('(橫掃)RX Mapping'!S55&gt;=241,'(橫掃)RX Mapping'!S55&lt;=360), ('(橫掃)RX Mapping'!S55-241),IF(AND('(橫掃)RX Mapping'!S55&gt;=361,'(橫掃)RX Mapping'!S55&lt;=480), (-1)*('(橫掃)RX Mapping'!S55-480),IF(AND('(橫掃)RX Mapping'!S55&gt;=481,'(橫掃)RX Mapping'!S55&lt;=600), ('(橫掃)RX Mapping'!S55-361),IF(AND('(橫掃)RX Mapping'!S55&gt;=601,'(橫掃)RX Mapping'!S55&lt;=720), (-1)*('(橫掃)RX Mapping'!S55-720)+120,IF(AND('(橫掃)RX Mapping'!S55&gt;=721,'(橫掃)RX Mapping'!S55&lt;=840), ('(橫掃)RX Mapping'!S55-601),IF(AND('(橫掃)RX Mapping'!S55&gt;=841,'(橫掃)RX Mapping'!S55&lt;=960), (-1)*('(橫掃)RX Mapping'!S55-960)+120,9999))))))))</f>
        <v>9999</v>
      </c>
      <c r="T55">
        <f>IF(AND('(橫掃)RX Mapping'!T55&gt;=1,'(橫掃)RX Mapping'!T55&lt;=120), ('(橫掃)RX Mapping'!T55-1),IF(AND('(橫掃)RX Mapping'!T55&gt;=121,'(橫掃)RX Mapping'!T55&lt;=240), (-1)*('(橫掃)RX Mapping'!T55-240),IF(AND('(橫掃)RX Mapping'!T55&gt;=241,'(橫掃)RX Mapping'!T55&lt;=360), ('(橫掃)RX Mapping'!T55-241),IF(AND('(橫掃)RX Mapping'!T55&gt;=361,'(橫掃)RX Mapping'!T55&lt;=480), (-1)*('(橫掃)RX Mapping'!T55-480),IF(AND('(橫掃)RX Mapping'!T55&gt;=481,'(橫掃)RX Mapping'!T55&lt;=600), ('(橫掃)RX Mapping'!T55-361),IF(AND('(橫掃)RX Mapping'!T55&gt;=601,'(橫掃)RX Mapping'!T55&lt;=720), (-1)*('(橫掃)RX Mapping'!T55-720)+120,IF(AND('(橫掃)RX Mapping'!T55&gt;=721,'(橫掃)RX Mapping'!T55&lt;=840), ('(橫掃)RX Mapping'!T55-601),IF(AND('(橫掃)RX Mapping'!T55&gt;=841,'(橫掃)RX Mapping'!T55&lt;=960), (-1)*('(橫掃)RX Mapping'!T55-960)+120,9999))))))))</f>
        <v>9999</v>
      </c>
      <c r="U55">
        <f>IF(AND('(橫掃)RX Mapping'!U55&gt;=1,'(橫掃)RX Mapping'!U55&lt;=120), ('(橫掃)RX Mapping'!U55-1),IF(AND('(橫掃)RX Mapping'!U55&gt;=121,'(橫掃)RX Mapping'!U55&lt;=240), (-1)*('(橫掃)RX Mapping'!U55-240),IF(AND('(橫掃)RX Mapping'!U55&gt;=241,'(橫掃)RX Mapping'!U55&lt;=360), ('(橫掃)RX Mapping'!U55-241),IF(AND('(橫掃)RX Mapping'!U55&gt;=361,'(橫掃)RX Mapping'!U55&lt;=480), (-1)*('(橫掃)RX Mapping'!U55-480),IF(AND('(橫掃)RX Mapping'!U55&gt;=481,'(橫掃)RX Mapping'!U55&lt;=600), ('(橫掃)RX Mapping'!U55-361),IF(AND('(橫掃)RX Mapping'!U55&gt;=601,'(橫掃)RX Mapping'!U55&lt;=720), (-1)*('(橫掃)RX Mapping'!U55-720)+120,IF(AND('(橫掃)RX Mapping'!U55&gt;=721,'(橫掃)RX Mapping'!U55&lt;=840), ('(橫掃)RX Mapping'!U55-601),IF(AND('(橫掃)RX Mapping'!U55&gt;=841,'(橫掃)RX Mapping'!U55&lt;=960), (-1)*('(橫掃)RX Mapping'!U55-960)+120,9999))))))))</f>
        <v>9999</v>
      </c>
      <c r="V55">
        <f>IF(AND('(橫掃)RX Mapping'!V55&gt;=1,'(橫掃)RX Mapping'!V55&lt;=120), ('(橫掃)RX Mapping'!V55-1),IF(AND('(橫掃)RX Mapping'!V55&gt;=121,'(橫掃)RX Mapping'!V55&lt;=240), (-1)*('(橫掃)RX Mapping'!V55-240),IF(AND('(橫掃)RX Mapping'!V55&gt;=241,'(橫掃)RX Mapping'!V55&lt;=360), ('(橫掃)RX Mapping'!V55-241),IF(AND('(橫掃)RX Mapping'!V55&gt;=361,'(橫掃)RX Mapping'!V55&lt;=480), (-1)*('(橫掃)RX Mapping'!V55-480),IF(AND('(橫掃)RX Mapping'!V55&gt;=481,'(橫掃)RX Mapping'!V55&lt;=600), ('(橫掃)RX Mapping'!V55-361),IF(AND('(橫掃)RX Mapping'!V55&gt;=601,'(橫掃)RX Mapping'!V55&lt;=720), (-1)*('(橫掃)RX Mapping'!V55-720)+120,IF(AND('(橫掃)RX Mapping'!V55&gt;=721,'(橫掃)RX Mapping'!V55&lt;=840), ('(橫掃)RX Mapping'!V55-601),IF(AND('(橫掃)RX Mapping'!V55&gt;=841,'(橫掃)RX Mapping'!V55&lt;=960), (-1)*('(橫掃)RX Mapping'!V55-960)+120,9999))))))))</f>
        <v>9999</v>
      </c>
      <c r="W55">
        <f>IF(AND('(橫掃)RX Mapping'!W55&gt;=1,'(橫掃)RX Mapping'!W55&lt;=120), ('(橫掃)RX Mapping'!W55-1),IF(AND('(橫掃)RX Mapping'!W55&gt;=121,'(橫掃)RX Mapping'!W55&lt;=240), (-1)*('(橫掃)RX Mapping'!W55-240),IF(AND('(橫掃)RX Mapping'!W55&gt;=241,'(橫掃)RX Mapping'!W55&lt;=360), ('(橫掃)RX Mapping'!W55-241),IF(AND('(橫掃)RX Mapping'!W55&gt;=361,'(橫掃)RX Mapping'!W55&lt;=480), (-1)*('(橫掃)RX Mapping'!W55-480),IF(AND('(橫掃)RX Mapping'!W55&gt;=481,'(橫掃)RX Mapping'!W55&lt;=600), ('(橫掃)RX Mapping'!W55-361),IF(AND('(橫掃)RX Mapping'!W55&gt;=601,'(橫掃)RX Mapping'!W55&lt;=720), (-1)*('(橫掃)RX Mapping'!W55-720)+120,IF(AND('(橫掃)RX Mapping'!W55&gt;=721,'(橫掃)RX Mapping'!W55&lt;=840), ('(橫掃)RX Mapping'!W55-601),IF(AND('(橫掃)RX Mapping'!W55&gt;=841,'(橫掃)RX Mapping'!W55&lt;=960), (-1)*('(橫掃)RX Mapping'!W55-960)+120,9999))))))))</f>
        <v>9999</v>
      </c>
      <c r="X55">
        <f>IF(AND('(橫掃)RX Mapping'!X55&gt;=1,'(橫掃)RX Mapping'!X55&lt;=120), ('(橫掃)RX Mapping'!X55-1),IF(AND('(橫掃)RX Mapping'!X55&gt;=121,'(橫掃)RX Mapping'!X55&lt;=240), (-1)*('(橫掃)RX Mapping'!X55-240),IF(AND('(橫掃)RX Mapping'!X55&gt;=241,'(橫掃)RX Mapping'!X55&lt;=360), ('(橫掃)RX Mapping'!X55-241),IF(AND('(橫掃)RX Mapping'!X55&gt;=361,'(橫掃)RX Mapping'!X55&lt;=480), (-1)*('(橫掃)RX Mapping'!X55-480),IF(AND('(橫掃)RX Mapping'!X55&gt;=481,'(橫掃)RX Mapping'!X55&lt;=600), ('(橫掃)RX Mapping'!X55-361),IF(AND('(橫掃)RX Mapping'!X55&gt;=601,'(橫掃)RX Mapping'!X55&lt;=720), (-1)*('(橫掃)RX Mapping'!X55-720)+120,IF(AND('(橫掃)RX Mapping'!X55&gt;=721,'(橫掃)RX Mapping'!X55&lt;=840), ('(橫掃)RX Mapping'!X55-601),IF(AND('(橫掃)RX Mapping'!X55&gt;=841,'(橫掃)RX Mapping'!X55&lt;=960), (-1)*('(橫掃)RX Mapping'!X55-960)+120,9999))))))))</f>
        <v>9999</v>
      </c>
      <c r="Y55">
        <f>IF(AND('(橫掃)RX Mapping'!Y55&gt;=1,'(橫掃)RX Mapping'!Y55&lt;=120), ('(橫掃)RX Mapping'!Y55-1),IF(AND('(橫掃)RX Mapping'!Y55&gt;=121,'(橫掃)RX Mapping'!Y55&lt;=240), (-1)*('(橫掃)RX Mapping'!Y55-240),IF(AND('(橫掃)RX Mapping'!Y55&gt;=241,'(橫掃)RX Mapping'!Y55&lt;=360), ('(橫掃)RX Mapping'!Y55-241),IF(AND('(橫掃)RX Mapping'!Y55&gt;=361,'(橫掃)RX Mapping'!Y55&lt;=480), (-1)*('(橫掃)RX Mapping'!Y55-480),IF(AND('(橫掃)RX Mapping'!Y55&gt;=481,'(橫掃)RX Mapping'!Y55&lt;=600), ('(橫掃)RX Mapping'!Y55-361),IF(AND('(橫掃)RX Mapping'!Y55&gt;=601,'(橫掃)RX Mapping'!Y55&lt;=720), (-1)*('(橫掃)RX Mapping'!Y55-720)+120,IF(AND('(橫掃)RX Mapping'!Y55&gt;=721,'(橫掃)RX Mapping'!Y55&lt;=840), ('(橫掃)RX Mapping'!Y55-601),IF(AND('(橫掃)RX Mapping'!Y55&gt;=841,'(橫掃)RX Mapping'!Y55&lt;=960), (-1)*('(橫掃)RX Mapping'!Y55-960)+120,9999))))))))</f>
        <v>9999</v>
      </c>
      <c r="Z55">
        <f>IF(AND('(橫掃)RX Mapping'!Z55&gt;=1,'(橫掃)RX Mapping'!Z55&lt;=120), ('(橫掃)RX Mapping'!Z55-1),IF(AND('(橫掃)RX Mapping'!Z55&gt;=121,'(橫掃)RX Mapping'!Z55&lt;=240), (-1)*('(橫掃)RX Mapping'!Z55-240),IF(AND('(橫掃)RX Mapping'!Z55&gt;=241,'(橫掃)RX Mapping'!Z55&lt;=360), ('(橫掃)RX Mapping'!Z55-241),IF(AND('(橫掃)RX Mapping'!Z55&gt;=361,'(橫掃)RX Mapping'!Z55&lt;=480), (-1)*('(橫掃)RX Mapping'!Z55-480),IF(AND('(橫掃)RX Mapping'!Z55&gt;=481,'(橫掃)RX Mapping'!Z55&lt;=600), ('(橫掃)RX Mapping'!Z55-361),IF(AND('(橫掃)RX Mapping'!Z55&gt;=601,'(橫掃)RX Mapping'!Z55&lt;=720), (-1)*('(橫掃)RX Mapping'!Z55-720)+120,IF(AND('(橫掃)RX Mapping'!Z55&gt;=721,'(橫掃)RX Mapping'!Z55&lt;=840), ('(橫掃)RX Mapping'!Z55-601),IF(AND('(橫掃)RX Mapping'!Z55&gt;=841,'(橫掃)RX Mapping'!Z55&lt;=960), (-1)*('(橫掃)RX Mapping'!Z55-960)+120,9999))))))))</f>
        <v>9999</v>
      </c>
      <c r="AA55">
        <f>IF(AND('(橫掃)RX Mapping'!AA55&gt;=1,'(橫掃)RX Mapping'!AA55&lt;=120), ('(橫掃)RX Mapping'!AA55-1),IF(AND('(橫掃)RX Mapping'!AA55&gt;=121,'(橫掃)RX Mapping'!AA55&lt;=240), (-1)*('(橫掃)RX Mapping'!AA55-240),IF(AND('(橫掃)RX Mapping'!AA55&gt;=241,'(橫掃)RX Mapping'!AA55&lt;=360), ('(橫掃)RX Mapping'!AA55-241),IF(AND('(橫掃)RX Mapping'!AA55&gt;=361,'(橫掃)RX Mapping'!AA55&lt;=480), (-1)*('(橫掃)RX Mapping'!AA55-480),IF(AND('(橫掃)RX Mapping'!AA55&gt;=481,'(橫掃)RX Mapping'!AA55&lt;=600), ('(橫掃)RX Mapping'!AA55-361),IF(AND('(橫掃)RX Mapping'!AA55&gt;=601,'(橫掃)RX Mapping'!AA55&lt;=720), (-1)*('(橫掃)RX Mapping'!AA55-720)+120,IF(AND('(橫掃)RX Mapping'!AA55&gt;=721,'(橫掃)RX Mapping'!AA55&lt;=840), ('(橫掃)RX Mapping'!AA55-601),IF(AND('(橫掃)RX Mapping'!AA55&gt;=841,'(橫掃)RX Mapping'!AA55&lt;=960), (-1)*('(橫掃)RX Mapping'!AA55-960)+120,9999))))))))</f>
        <v>9999</v>
      </c>
      <c r="AB55">
        <f>IF(AND('(橫掃)RX Mapping'!AB55&gt;=1,'(橫掃)RX Mapping'!AB55&lt;=120), ('(橫掃)RX Mapping'!AB55-1),IF(AND('(橫掃)RX Mapping'!AB55&gt;=121,'(橫掃)RX Mapping'!AB55&lt;=240), (-1)*('(橫掃)RX Mapping'!AB55-240),IF(AND('(橫掃)RX Mapping'!AB55&gt;=241,'(橫掃)RX Mapping'!AB55&lt;=360), ('(橫掃)RX Mapping'!AB55-241),IF(AND('(橫掃)RX Mapping'!AB55&gt;=361,'(橫掃)RX Mapping'!AB55&lt;=480), (-1)*('(橫掃)RX Mapping'!AB55-480),IF(AND('(橫掃)RX Mapping'!AB55&gt;=481,'(橫掃)RX Mapping'!AB55&lt;=600), ('(橫掃)RX Mapping'!AB55-361),IF(AND('(橫掃)RX Mapping'!AB55&gt;=601,'(橫掃)RX Mapping'!AB55&lt;=720), (-1)*('(橫掃)RX Mapping'!AB55-720)+120,IF(AND('(橫掃)RX Mapping'!AB55&gt;=721,'(橫掃)RX Mapping'!AB55&lt;=840), ('(橫掃)RX Mapping'!AB55-601),IF(AND('(橫掃)RX Mapping'!AB55&gt;=841,'(橫掃)RX Mapping'!AB55&lt;=960), (-1)*('(橫掃)RX Mapping'!AB55-960)+120,9999))))))))</f>
        <v>9999</v>
      </c>
      <c r="AC55">
        <f>IF(AND('(橫掃)RX Mapping'!AC55&gt;=1,'(橫掃)RX Mapping'!AC55&lt;=120), ('(橫掃)RX Mapping'!AC55-1),IF(AND('(橫掃)RX Mapping'!AC55&gt;=121,'(橫掃)RX Mapping'!AC55&lt;=240), (-1)*('(橫掃)RX Mapping'!AC55-240),IF(AND('(橫掃)RX Mapping'!AC55&gt;=241,'(橫掃)RX Mapping'!AC55&lt;=360), ('(橫掃)RX Mapping'!AC55-241),IF(AND('(橫掃)RX Mapping'!AC55&gt;=361,'(橫掃)RX Mapping'!AC55&lt;=480), (-1)*('(橫掃)RX Mapping'!AC55-480),IF(AND('(橫掃)RX Mapping'!AC55&gt;=481,'(橫掃)RX Mapping'!AC55&lt;=600), ('(橫掃)RX Mapping'!AC55-361),IF(AND('(橫掃)RX Mapping'!AC55&gt;=601,'(橫掃)RX Mapping'!AC55&lt;=720), (-1)*('(橫掃)RX Mapping'!AC55-720)+120,IF(AND('(橫掃)RX Mapping'!AC55&gt;=721,'(橫掃)RX Mapping'!AC55&lt;=840), ('(橫掃)RX Mapping'!AC55-601),IF(AND('(橫掃)RX Mapping'!AC55&gt;=841,'(橫掃)RX Mapping'!AC55&lt;=960), (-1)*('(橫掃)RX Mapping'!AC55-960)+120,9999))))))))</f>
        <v>9999</v>
      </c>
      <c r="AD55">
        <f>IF(AND('(橫掃)RX Mapping'!AD55&gt;=1,'(橫掃)RX Mapping'!AD55&lt;=120), ('(橫掃)RX Mapping'!AD55-1),IF(AND('(橫掃)RX Mapping'!AD55&gt;=121,'(橫掃)RX Mapping'!AD55&lt;=240), (-1)*('(橫掃)RX Mapping'!AD55-240),IF(AND('(橫掃)RX Mapping'!AD55&gt;=241,'(橫掃)RX Mapping'!AD55&lt;=360), ('(橫掃)RX Mapping'!AD55-241),IF(AND('(橫掃)RX Mapping'!AD55&gt;=361,'(橫掃)RX Mapping'!AD55&lt;=480), (-1)*('(橫掃)RX Mapping'!AD55-480),IF(AND('(橫掃)RX Mapping'!AD55&gt;=481,'(橫掃)RX Mapping'!AD55&lt;=600), ('(橫掃)RX Mapping'!AD55-361),IF(AND('(橫掃)RX Mapping'!AD55&gt;=601,'(橫掃)RX Mapping'!AD55&lt;=720), (-1)*('(橫掃)RX Mapping'!AD55-720)+120,IF(AND('(橫掃)RX Mapping'!AD55&gt;=721,'(橫掃)RX Mapping'!AD55&lt;=840), ('(橫掃)RX Mapping'!AD55-601),IF(AND('(橫掃)RX Mapping'!AD55&gt;=841,'(橫掃)RX Mapping'!AD55&lt;=960), (-1)*('(橫掃)RX Mapping'!AD55-960)+120,9999))))))))</f>
        <v>9999</v>
      </c>
      <c r="AE55">
        <f>IF(AND('(橫掃)RX Mapping'!AE55&gt;=1,'(橫掃)RX Mapping'!AE55&lt;=120), ('(橫掃)RX Mapping'!AE55-1),IF(AND('(橫掃)RX Mapping'!AE55&gt;=121,'(橫掃)RX Mapping'!AE55&lt;=240), (-1)*('(橫掃)RX Mapping'!AE55-240),IF(AND('(橫掃)RX Mapping'!AE55&gt;=241,'(橫掃)RX Mapping'!AE55&lt;=360), ('(橫掃)RX Mapping'!AE55-241),IF(AND('(橫掃)RX Mapping'!AE55&gt;=361,'(橫掃)RX Mapping'!AE55&lt;=480), (-1)*('(橫掃)RX Mapping'!AE55-480),IF(AND('(橫掃)RX Mapping'!AE55&gt;=481,'(橫掃)RX Mapping'!AE55&lt;=600), ('(橫掃)RX Mapping'!AE55-361),IF(AND('(橫掃)RX Mapping'!AE55&gt;=601,'(橫掃)RX Mapping'!AE55&lt;=720), (-1)*('(橫掃)RX Mapping'!AE55-720)+120,IF(AND('(橫掃)RX Mapping'!AE55&gt;=721,'(橫掃)RX Mapping'!AE55&lt;=840), ('(橫掃)RX Mapping'!AE55-601),IF(AND('(橫掃)RX Mapping'!AE55&gt;=841,'(橫掃)RX Mapping'!AE55&lt;=960), (-1)*('(橫掃)RX Mapping'!AE55-960)+120,9999))))))))</f>
        <v>9999</v>
      </c>
      <c r="AF55">
        <f>IF(AND('(橫掃)RX Mapping'!AF55&gt;=1,'(橫掃)RX Mapping'!AF55&lt;=120), ('(橫掃)RX Mapping'!AF55-1),IF(AND('(橫掃)RX Mapping'!AF55&gt;=121,'(橫掃)RX Mapping'!AF55&lt;=240), (-1)*('(橫掃)RX Mapping'!AF55-240),IF(AND('(橫掃)RX Mapping'!AF55&gt;=241,'(橫掃)RX Mapping'!AF55&lt;=360), ('(橫掃)RX Mapping'!AF55-241),IF(AND('(橫掃)RX Mapping'!AF55&gt;=361,'(橫掃)RX Mapping'!AF55&lt;=480), (-1)*('(橫掃)RX Mapping'!AF55-480),IF(AND('(橫掃)RX Mapping'!AF55&gt;=481,'(橫掃)RX Mapping'!AF55&lt;=600), ('(橫掃)RX Mapping'!AF55-361),IF(AND('(橫掃)RX Mapping'!AF55&gt;=601,'(橫掃)RX Mapping'!AF55&lt;=720), (-1)*('(橫掃)RX Mapping'!AF55-720)+120,IF(AND('(橫掃)RX Mapping'!AF55&gt;=721,'(橫掃)RX Mapping'!AF55&lt;=840), ('(橫掃)RX Mapping'!AF55-601),IF(AND('(橫掃)RX Mapping'!AF55&gt;=841,'(橫掃)RX Mapping'!AF55&lt;=960), (-1)*('(橫掃)RX Mapping'!AF55-960)+120,9999))))))))</f>
        <v>9999</v>
      </c>
      <c r="AG55">
        <f>IF(AND('(橫掃)RX Mapping'!AG55&gt;=1,'(橫掃)RX Mapping'!AG55&lt;=120), ('(橫掃)RX Mapping'!AG55-1),IF(AND('(橫掃)RX Mapping'!AG55&gt;=121,'(橫掃)RX Mapping'!AG55&lt;=240), (-1)*('(橫掃)RX Mapping'!AG55-240),IF(AND('(橫掃)RX Mapping'!AG55&gt;=241,'(橫掃)RX Mapping'!AG55&lt;=360), ('(橫掃)RX Mapping'!AG55-241),IF(AND('(橫掃)RX Mapping'!AG55&gt;=361,'(橫掃)RX Mapping'!AG55&lt;=480), (-1)*('(橫掃)RX Mapping'!AG55-480),IF(AND('(橫掃)RX Mapping'!AG55&gt;=481,'(橫掃)RX Mapping'!AG55&lt;=600), ('(橫掃)RX Mapping'!AG55-361),IF(AND('(橫掃)RX Mapping'!AG55&gt;=601,'(橫掃)RX Mapping'!AG55&lt;=720), (-1)*('(橫掃)RX Mapping'!AG55-720)+120,IF(AND('(橫掃)RX Mapping'!AG55&gt;=721,'(橫掃)RX Mapping'!AG55&lt;=840), ('(橫掃)RX Mapping'!AG55-601),IF(AND('(橫掃)RX Mapping'!AG55&gt;=841,'(橫掃)RX Mapping'!AG55&lt;=960), (-1)*('(橫掃)RX Mapping'!AG55-960)+120,9999))))))))</f>
        <v>9999</v>
      </c>
      <c r="AH55">
        <f>IF(AND('(橫掃)RX Mapping'!AH55&gt;=1,'(橫掃)RX Mapping'!AH55&lt;=120), ('(橫掃)RX Mapping'!AH55-1),IF(AND('(橫掃)RX Mapping'!AH55&gt;=121,'(橫掃)RX Mapping'!AH55&lt;=240), (-1)*('(橫掃)RX Mapping'!AH55-240),IF(AND('(橫掃)RX Mapping'!AH55&gt;=241,'(橫掃)RX Mapping'!AH55&lt;=360), ('(橫掃)RX Mapping'!AH55-241),IF(AND('(橫掃)RX Mapping'!AH55&gt;=361,'(橫掃)RX Mapping'!AH55&lt;=480), (-1)*('(橫掃)RX Mapping'!AH55-480),IF(AND('(橫掃)RX Mapping'!AH55&gt;=481,'(橫掃)RX Mapping'!AH55&lt;=600), ('(橫掃)RX Mapping'!AH55-361),IF(AND('(橫掃)RX Mapping'!AH55&gt;=601,'(橫掃)RX Mapping'!AH55&lt;=720), (-1)*('(橫掃)RX Mapping'!AH55-720)+120,IF(AND('(橫掃)RX Mapping'!AH55&gt;=721,'(橫掃)RX Mapping'!AH55&lt;=840), ('(橫掃)RX Mapping'!AH55-601),IF(AND('(橫掃)RX Mapping'!AH55&gt;=841,'(橫掃)RX Mapping'!AH55&lt;=960), (-1)*('(橫掃)RX Mapping'!AH55-960)+120,9999))))))))</f>
        <v>9999</v>
      </c>
      <c r="AI55">
        <f>IF(AND('(橫掃)RX Mapping'!AI55&gt;=1,'(橫掃)RX Mapping'!AI55&lt;=120), ('(橫掃)RX Mapping'!AI55-1),IF(AND('(橫掃)RX Mapping'!AI55&gt;=121,'(橫掃)RX Mapping'!AI55&lt;=240), (-1)*('(橫掃)RX Mapping'!AI55-240),IF(AND('(橫掃)RX Mapping'!AI55&gt;=241,'(橫掃)RX Mapping'!AI55&lt;=360), ('(橫掃)RX Mapping'!AI55-241),IF(AND('(橫掃)RX Mapping'!AI55&gt;=361,'(橫掃)RX Mapping'!AI55&lt;=480), (-1)*('(橫掃)RX Mapping'!AI55-480),IF(AND('(橫掃)RX Mapping'!AI55&gt;=481,'(橫掃)RX Mapping'!AI55&lt;=600), ('(橫掃)RX Mapping'!AI55-361),IF(AND('(橫掃)RX Mapping'!AI55&gt;=601,'(橫掃)RX Mapping'!AI55&lt;=720), (-1)*('(橫掃)RX Mapping'!AI55-720)+120,IF(AND('(橫掃)RX Mapping'!AI55&gt;=721,'(橫掃)RX Mapping'!AI55&lt;=840), ('(橫掃)RX Mapping'!AI55-601),IF(AND('(橫掃)RX Mapping'!AI55&gt;=841,'(橫掃)RX Mapping'!AI55&lt;=960), (-1)*('(橫掃)RX Mapping'!AI55-960)+120,9999))))))))</f>
        <v>9999</v>
      </c>
      <c r="AJ55">
        <f>IF(AND('(橫掃)RX Mapping'!AJ55&gt;=1,'(橫掃)RX Mapping'!AJ55&lt;=120), ('(橫掃)RX Mapping'!AJ55-1),IF(AND('(橫掃)RX Mapping'!AJ55&gt;=121,'(橫掃)RX Mapping'!AJ55&lt;=240), (-1)*('(橫掃)RX Mapping'!AJ55-240),IF(AND('(橫掃)RX Mapping'!AJ55&gt;=241,'(橫掃)RX Mapping'!AJ55&lt;=360), ('(橫掃)RX Mapping'!AJ55-241),IF(AND('(橫掃)RX Mapping'!AJ55&gt;=361,'(橫掃)RX Mapping'!AJ55&lt;=480), (-1)*('(橫掃)RX Mapping'!AJ55-480),IF(AND('(橫掃)RX Mapping'!AJ55&gt;=481,'(橫掃)RX Mapping'!AJ55&lt;=600), ('(橫掃)RX Mapping'!AJ55-361),IF(AND('(橫掃)RX Mapping'!AJ55&gt;=601,'(橫掃)RX Mapping'!AJ55&lt;=720), (-1)*('(橫掃)RX Mapping'!AJ55-720)+120,IF(AND('(橫掃)RX Mapping'!AJ55&gt;=721,'(橫掃)RX Mapping'!AJ55&lt;=840), ('(橫掃)RX Mapping'!AJ55-601),IF(AND('(橫掃)RX Mapping'!AJ55&gt;=841,'(橫掃)RX Mapping'!AJ55&lt;=960), (-1)*('(橫掃)RX Mapping'!AJ55-960)+120,9999))))))))</f>
        <v>9999</v>
      </c>
      <c r="AK55">
        <f>IF(AND('(橫掃)RX Mapping'!AK55&gt;=1,'(橫掃)RX Mapping'!AK55&lt;=120), ('(橫掃)RX Mapping'!AK55-1),IF(AND('(橫掃)RX Mapping'!AK55&gt;=121,'(橫掃)RX Mapping'!AK55&lt;=240), (-1)*('(橫掃)RX Mapping'!AK55-240),IF(AND('(橫掃)RX Mapping'!AK55&gt;=241,'(橫掃)RX Mapping'!AK55&lt;=360), ('(橫掃)RX Mapping'!AK55-241),IF(AND('(橫掃)RX Mapping'!AK55&gt;=361,'(橫掃)RX Mapping'!AK55&lt;=480), (-1)*('(橫掃)RX Mapping'!AK55-480),IF(AND('(橫掃)RX Mapping'!AK55&gt;=481,'(橫掃)RX Mapping'!AK55&lt;=600), ('(橫掃)RX Mapping'!AK55-361),IF(AND('(橫掃)RX Mapping'!AK55&gt;=601,'(橫掃)RX Mapping'!AK55&lt;=720), (-1)*('(橫掃)RX Mapping'!AK55-720)+120,IF(AND('(橫掃)RX Mapping'!AK55&gt;=721,'(橫掃)RX Mapping'!AK55&lt;=840), ('(橫掃)RX Mapping'!AK55-601),IF(AND('(橫掃)RX Mapping'!AK55&gt;=841,'(橫掃)RX Mapping'!AK55&lt;=960), (-1)*('(橫掃)RX Mapping'!AK55-960)+120,9999))))))))</f>
        <v>9999</v>
      </c>
      <c r="AL55">
        <f>IF(AND('(橫掃)RX Mapping'!AL55&gt;=1,'(橫掃)RX Mapping'!AL55&lt;=120), ('(橫掃)RX Mapping'!AL55-1),IF(AND('(橫掃)RX Mapping'!AL55&gt;=121,'(橫掃)RX Mapping'!AL55&lt;=240), (-1)*('(橫掃)RX Mapping'!AL55-240),IF(AND('(橫掃)RX Mapping'!AL55&gt;=241,'(橫掃)RX Mapping'!AL55&lt;=360), ('(橫掃)RX Mapping'!AL55-241),IF(AND('(橫掃)RX Mapping'!AL55&gt;=361,'(橫掃)RX Mapping'!AL55&lt;=480), (-1)*('(橫掃)RX Mapping'!AL55-480),IF(AND('(橫掃)RX Mapping'!AL55&gt;=481,'(橫掃)RX Mapping'!AL55&lt;=600), ('(橫掃)RX Mapping'!AL55-361),IF(AND('(橫掃)RX Mapping'!AL55&gt;=601,'(橫掃)RX Mapping'!AL55&lt;=720), (-1)*('(橫掃)RX Mapping'!AL55-720)+120,IF(AND('(橫掃)RX Mapping'!AL55&gt;=721,'(橫掃)RX Mapping'!AL55&lt;=840), ('(橫掃)RX Mapping'!AL55-601),IF(AND('(橫掃)RX Mapping'!AL55&gt;=841,'(橫掃)RX Mapping'!AL55&lt;=960), (-1)*('(橫掃)RX Mapping'!AL55-960)+120,9999))))))))</f>
        <v>9999</v>
      </c>
      <c r="AM55">
        <f>IF(AND('(橫掃)RX Mapping'!AM55&gt;=1,'(橫掃)RX Mapping'!AM55&lt;=120), ('(橫掃)RX Mapping'!AM55-1),IF(AND('(橫掃)RX Mapping'!AM55&gt;=121,'(橫掃)RX Mapping'!AM55&lt;=240), (-1)*('(橫掃)RX Mapping'!AM55-240),IF(AND('(橫掃)RX Mapping'!AM55&gt;=241,'(橫掃)RX Mapping'!AM55&lt;=360), ('(橫掃)RX Mapping'!AM55-241),IF(AND('(橫掃)RX Mapping'!AM55&gt;=361,'(橫掃)RX Mapping'!AM55&lt;=480), (-1)*('(橫掃)RX Mapping'!AM55-480),IF(AND('(橫掃)RX Mapping'!AM55&gt;=481,'(橫掃)RX Mapping'!AM55&lt;=600), ('(橫掃)RX Mapping'!AM55-361),IF(AND('(橫掃)RX Mapping'!AM55&gt;=601,'(橫掃)RX Mapping'!AM55&lt;=720), (-1)*('(橫掃)RX Mapping'!AM55-720)+120,IF(AND('(橫掃)RX Mapping'!AM55&gt;=721,'(橫掃)RX Mapping'!AM55&lt;=840), ('(橫掃)RX Mapping'!AM55-601),IF(AND('(橫掃)RX Mapping'!AM55&gt;=841,'(橫掃)RX Mapping'!AM55&lt;=960), (-1)*('(橫掃)RX Mapping'!AM55-960)+120,9999))))))))</f>
        <v>9999</v>
      </c>
      <c r="AN55">
        <f>IF(AND('(橫掃)RX Mapping'!AN55&gt;=1,'(橫掃)RX Mapping'!AN55&lt;=120), ('(橫掃)RX Mapping'!AN55-1),IF(AND('(橫掃)RX Mapping'!AN55&gt;=121,'(橫掃)RX Mapping'!AN55&lt;=240), (-1)*('(橫掃)RX Mapping'!AN55-240),IF(AND('(橫掃)RX Mapping'!AN55&gt;=241,'(橫掃)RX Mapping'!AN55&lt;=360), ('(橫掃)RX Mapping'!AN55-241),IF(AND('(橫掃)RX Mapping'!AN55&gt;=361,'(橫掃)RX Mapping'!AN55&lt;=480), (-1)*('(橫掃)RX Mapping'!AN55-480),IF(AND('(橫掃)RX Mapping'!AN55&gt;=481,'(橫掃)RX Mapping'!AN55&lt;=600), ('(橫掃)RX Mapping'!AN55-361),IF(AND('(橫掃)RX Mapping'!AN55&gt;=601,'(橫掃)RX Mapping'!AN55&lt;=720), (-1)*('(橫掃)RX Mapping'!AN55-720)+120,IF(AND('(橫掃)RX Mapping'!AN55&gt;=721,'(橫掃)RX Mapping'!AN55&lt;=840), ('(橫掃)RX Mapping'!AN55-601),IF(AND('(橫掃)RX Mapping'!AN55&gt;=841,'(橫掃)RX Mapping'!AN55&lt;=960), (-1)*('(橫掃)RX Mapping'!AN55-960)+120,9999))))))))</f>
        <v>9999</v>
      </c>
      <c r="AO55">
        <f>IF(AND('(橫掃)RX Mapping'!AO55&gt;=1,'(橫掃)RX Mapping'!AO55&lt;=120), ('(橫掃)RX Mapping'!AO55-1),IF(AND('(橫掃)RX Mapping'!AO55&gt;=121,'(橫掃)RX Mapping'!AO55&lt;=240), (-1)*('(橫掃)RX Mapping'!AO55-240),IF(AND('(橫掃)RX Mapping'!AO55&gt;=241,'(橫掃)RX Mapping'!AO55&lt;=360), ('(橫掃)RX Mapping'!AO55-241),IF(AND('(橫掃)RX Mapping'!AO55&gt;=361,'(橫掃)RX Mapping'!AO55&lt;=480), (-1)*('(橫掃)RX Mapping'!AO55-480),IF(AND('(橫掃)RX Mapping'!AO55&gt;=481,'(橫掃)RX Mapping'!AO55&lt;=600), ('(橫掃)RX Mapping'!AO55-361),IF(AND('(橫掃)RX Mapping'!AO55&gt;=601,'(橫掃)RX Mapping'!AO55&lt;=720), (-1)*('(橫掃)RX Mapping'!AO55-720)+120,IF(AND('(橫掃)RX Mapping'!AO55&gt;=721,'(橫掃)RX Mapping'!AO55&lt;=840), ('(橫掃)RX Mapping'!AO55-601),IF(AND('(橫掃)RX Mapping'!AO55&gt;=841,'(橫掃)RX Mapping'!AO55&lt;=960), (-1)*('(橫掃)RX Mapping'!AO55-960)+120,9999))))))))</f>
        <v>9999</v>
      </c>
      <c r="AP55">
        <f>IF(AND('(橫掃)RX Mapping'!AP55&gt;=1,'(橫掃)RX Mapping'!AP55&lt;=120), ('(橫掃)RX Mapping'!AP55-1),IF(AND('(橫掃)RX Mapping'!AP55&gt;=121,'(橫掃)RX Mapping'!AP55&lt;=240), (-1)*('(橫掃)RX Mapping'!AP55-240),IF(AND('(橫掃)RX Mapping'!AP55&gt;=241,'(橫掃)RX Mapping'!AP55&lt;=360), ('(橫掃)RX Mapping'!AP55-241),IF(AND('(橫掃)RX Mapping'!AP55&gt;=361,'(橫掃)RX Mapping'!AP55&lt;=480), (-1)*('(橫掃)RX Mapping'!AP55-480),IF(AND('(橫掃)RX Mapping'!AP55&gt;=481,'(橫掃)RX Mapping'!AP55&lt;=600), ('(橫掃)RX Mapping'!AP55-361),IF(AND('(橫掃)RX Mapping'!AP55&gt;=601,'(橫掃)RX Mapping'!AP55&lt;=720), (-1)*('(橫掃)RX Mapping'!AP55-720)+120,IF(AND('(橫掃)RX Mapping'!AP55&gt;=721,'(橫掃)RX Mapping'!AP55&lt;=840), ('(橫掃)RX Mapping'!AP55-601),IF(AND('(橫掃)RX Mapping'!AP55&gt;=841,'(橫掃)RX Mapping'!AP55&lt;=960), (-1)*('(橫掃)RX Mapping'!AP55-960)+120,9999))))))))</f>
        <v>9999</v>
      </c>
      <c r="AQ55">
        <f>IF(AND('(橫掃)RX Mapping'!AQ55&gt;=1,'(橫掃)RX Mapping'!AQ55&lt;=120), ('(橫掃)RX Mapping'!AQ55-1),IF(AND('(橫掃)RX Mapping'!AQ55&gt;=121,'(橫掃)RX Mapping'!AQ55&lt;=240), (-1)*('(橫掃)RX Mapping'!AQ55-240),IF(AND('(橫掃)RX Mapping'!AQ55&gt;=241,'(橫掃)RX Mapping'!AQ55&lt;=360), ('(橫掃)RX Mapping'!AQ55-241),IF(AND('(橫掃)RX Mapping'!AQ55&gt;=361,'(橫掃)RX Mapping'!AQ55&lt;=480), (-1)*('(橫掃)RX Mapping'!AQ55-480),IF(AND('(橫掃)RX Mapping'!AQ55&gt;=481,'(橫掃)RX Mapping'!AQ55&lt;=600), ('(橫掃)RX Mapping'!AQ55-361),IF(AND('(橫掃)RX Mapping'!AQ55&gt;=601,'(橫掃)RX Mapping'!AQ55&lt;=720), (-1)*('(橫掃)RX Mapping'!AQ55-720)+120,IF(AND('(橫掃)RX Mapping'!AQ55&gt;=721,'(橫掃)RX Mapping'!AQ55&lt;=840), ('(橫掃)RX Mapping'!AQ55-601),IF(AND('(橫掃)RX Mapping'!AQ55&gt;=841,'(橫掃)RX Mapping'!AQ55&lt;=960), (-1)*('(橫掃)RX Mapping'!AQ55-960)+120,9999))))))))</f>
        <v>9999</v>
      </c>
      <c r="AR55">
        <f>IF(AND('(橫掃)RX Mapping'!AR55&gt;=1,'(橫掃)RX Mapping'!AR55&lt;=120), ('(橫掃)RX Mapping'!AR55-1),IF(AND('(橫掃)RX Mapping'!AR55&gt;=121,'(橫掃)RX Mapping'!AR55&lt;=240), (-1)*('(橫掃)RX Mapping'!AR55-240),IF(AND('(橫掃)RX Mapping'!AR55&gt;=241,'(橫掃)RX Mapping'!AR55&lt;=360), ('(橫掃)RX Mapping'!AR55-241),IF(AND('(橫掃)RX Mapping'!AR55&gt;=361,'(橫掃)RX Mapping'!AR55&lt;=480), (-1)*('(橫掃)RX Mapping'!AR55-480),IF(AND('(橫掃)RX Mapping'!AR55&gt;=481,'(橫掃)RX Mapping'!AR55&lt;=600), ('(橫掃)RX Mapping'!AR55-361),IF(AND('(橫掃)RX Mapping'!AR55&gt;=601,'(橫掃)RX Mapping'!AR55&lt;=720), (-1)*('(橫掃)RX Mapping'!AR55-720)+120,IF(AND('(橫掃)RX Mapping'!AR55&gt;=721,'(橫掃)RX Mapping'!AR55&lt;=840), ('(橫掃)RX Mapping'!AR55-601),IF(AND('(橫掃)RX Mapping'!AR55&gt;=841,'(橫掃)RX Mapping'!AR55&lt;=960), (-1)*('(橫掃)RX Mapping'!AR55-960)+120,9999))))))))</f>
        <v>9999</v>
      </c>
      <c r="AS55">
        <f>IF(AND('(橫掃)RX Mapping'!AS55&gt;=1,'(橫掃)RX Mapping'!AS55&lt;=120), ('(橫掃)RX Mapping'!AS55-1),IF(AND('(橫掃)RX Mapping'!AS55&gt;=121,'(橫掃)RX Mapping'!AS55&lt;=240), (-1)*('(橫掃)RX Mapping'!AS55-240),IF(AND('(橫掃)RX Mapping'!AS55&gt;=241,'(橫掃)RX Mapping'!AS55&lt;=360), ('(橫掃)RX Mapping'!AS55-241),IF(AND('(橫掃)RX Mapping'!AS55&gt;=361,'(橫掃)RX Mapping'!AS55&lt;=480), (-1)*('(橫掃)RX Mapping'!AS55-480),IF(AND('(橫掃)RX Mapping'!AS55&gt;=481,'(橫掃)RX Mapping'!AS55&lt;=600), ('(橫掃)RX Mapping'!AS55-361),IF(AND('(橫掃)RX Mapping'!AS55&gt;=601,'(橫掃)RX Mapping'!AS55&lt;=720), (-1)*('(橫掃)RX Mapping'!AS55-720)+120,IF(AND('(橫掃)RX Mapping'!AS55&gt;=721,'(橫掃)RX Mapping'!AS55&lt;=840), ('(橫掃)RX Mapping'!AS55-601),IF(AND('(橫掃)RX Mapping'!AS55&gt;=841,'(橫掃)RX Mapping'!AS55&lt;=960), (-1)*('(橫掃)RX Mapping'!AS55-960)+120,9999))))))))</f>
        <v>9999</v>
      </c>
      <c r="AT55">
        <f>IF(AND('(橫掃)RX Mapping'!AT55&gt;=1,'(橫掃)RX Mapping'!AT55&lt;=120), ('(橫掃)RX Mapping'!AT55-1),IF(AND('(橫掃)RX Mapping'!AT55&gt;=121,'(橫掃)RX Mapping'!AT55&lt;=240), (-1)*('(橫掃)RX Mapping'!AT55-240),IF(AND('(橫掃)RX Mapping'!AT55&gt;=241,'(橫掃)RX Mapping'!AT55&lt;=360), ('(橫掃)RX Mapping'!AT55-241),IF(AND('(橫掃)RX Mapping'!AT55&gt;=361,'(橫掃)RX Mapping'!AT55&lt;=480), (-1)*('(橫掃)RX Mapping'!AT55-480),IF(AND('(橫掃)RX Mapping'!AT55&gt;=481,'(橫掃)RX Mapping'!AT55&lt;=600), ('(橫掃)RX Mapping'!AT55-361),IF(AND('(橫掃)RX Mapping'!AT55&gt;=601,'(橫掃)RX Mapping'!AT55&lt;=720), (-1)*('(橫掃)RX Mapping'!AT55-720)+120,IF(AND('(橫掃)RX Mapping'!AT55&gt;=721,'(橫掃)RX Mapping'!AT55&lt;=840), ('(橫掃)RX Mapping'!AT55-601),IF(AND('(橫掃)RX Mapping'!AT55&gt;=841,'(橫掃)RX Mapping'!AT55&lt;=960), (-1)*('(橫掃)RX Mapping'!AT55-960)+120,9999))))))))</f>
        <v>9999</v>
      </c>
      <c r="AU55">
        <f>IF(AND('(橫掃)RX Mapping'!AU55&gt;=1,'(橫掃)RX Mapping'!AU55&lt;=120), ('(橫掃)RX Mapping'!AU55-1),IF(AND('(橫掃)RX Mapping'!AU55&gt;=121,'(橫掃)RX Mapping'!AU55&lt;=240), (-1)*('(橫掃)RX Mapping'!AU55-240),IF(AND('(橫掃)RX Mapping'!AU55&gt;=241,'(橫掃)RX Mapping'!AU55&lt;=360), ('(橫掃)RX Mapping'!AU55-241),IF(AND('(橫掃)RX Mapping'!AU55&gt;=361,'(橫掃)RX Mapping'!AU55&lt;=480), (-1)*('(橫掃)RX Mapping'!AU55-480),IF(AND('(橫掃)RX Mapping'!AU55&gt;=481,'(橫掃)RX Mapping'!AU55&lt;=600), ('(橫掃)RX Mapping'!AU55-361),IF(AND('(橫掃)RX Mapping'!AU55&gt;=601,'(橫掃)RX Mapping'!AU55&lt;=720), (-1)*('(橫掃)RX Mapping'!AU55-720)+120,IF(AND('(橫掃)RX Mapping'!AU55&gt;=721,'(橫掃)RX Mapping'!AU55&lt;=840), ('(橫掃)RX Mapping'!AU55-601),IF(AND('(橫掃)RX Mapping'!AU55&gt;=841,'(橫掃)RX Mapping'!AU55&lt;=960), (-1)*('(橫掃)RX Mapping'!AU55-960)+120,9999))))))))</f>
        <v>9999</v>
      </c>
      <c r="AV55">
        <f>IF(AND('(橫掃)RX Mapping'!AV55&gt;=1,'(橫掃)RX Mapping'!AV55&lt;=120), ('(橫掃)RX Mapping'!AV55-1),IF(AND('(橫掃)RX Mapping'!AV55&gt;=121,'(橫掃)RX Mapping'!AV55&lt;=240), (-1)*('(橫掃)RX Mapping'!AV55-240),IF(AND('(橫掃)RX Mapping'!AV55&gt;=241,'(橫掃)RX Mapping'!AV55&lt;=360), ('(橫掃)RX Mapping'!AV55-241),IF(AND('(橫掃)RX Mapping'!AV55&gt;=361,'(橫掃)RX Mapping'!AV55&lt;=480), (-1)*('(橫掃)RX Mapping'!AV55-480),IF(AND('(橫掃)RX Mapping'!AV55&gt;=481,'(橫掃)RX Mapping'!AV55&lt;=600), ('(橫掃)RX Mapping'!AV55-361),IF(AND('(橫掃)RX Mapping'!AV55&gt;=601,'(橫掃)RX Mapping'!AV55&lt;=720), (-1)*('(橫掃)RX Mapping'!AV55-720)+120,IF(AND('(橫掃)RX Mapping'!AV55&gt;=721,'(橫掃)RX Mapping'!AV55&lt;=840), ('(橫掃)RX Mapping'!AV55-601),IF(AND('(橫掃)RX Mapping'!AV55&gt;=841,'(橫掃)RX Mapping'!AV55&lt;=960), (-1)*('(橫掃)RX Mapping'!AV55-960)+120,9999))))))))</f>
        <v>9999</v>
      </c>
      <c r="AW55">
        <f>IF(AND('(橫掃)RX Mapping'!AW55&gt;=1,'(橫掃)RX Mapping'!AW55&lt;=120), ('(橫掃)RX Mapping'!AW55-1),IF(AND('(橫掃)RX Mapping'!AW55&gt;=121,'(橫掃)RX Mapping'!AW55&lt;=240), (-1)*('(橫掃)RX Mapping'!AW55-240),IF(AND('(橫掃)RX Mapping'!AW55&gt;=241,'(橫掃)RX Mapping'!AW55&lt;=360), ('(橫掃)RX Mapping'!AW55-241),IF(AND('(橫掃)RX Mapping'!AW55&gt;=361,'(橫掃)RX Mapping'!AW55&lt;=480), (-1)*('(橫掃)RX Mapping'!AW55-480),IF(AND('(橫掃)RX Mapping'!AW55&gt;=481,'(橫掃)RX Mapping'!AW55&lt;=600), ('(橫掃)RX Mapping'!AW55-361),IF(AND('(橫掃)RX Mapping'!AW55&gt;=601,'(橫掃)RX Mapping'!AW55&lt;=720), (-1)*('(橫掃)RX Mapping'!AW55-720)+120,IF(AND('(橫掃)RX Mapping'!AW55&gt;=721,'(橫掃)RX Mapping'!AW55&lt;=840), ('(橫掃)RX Mapping'!AW55-601),IF(AND('(橫掃)RX Mapping'!AW55&gt;=841,'(橫掃)RX Mapping'!AW55&lt;=960), (-1)*('(橫掃)RX Mapping'!AW55-960)+120,9999))))))))</f>
        <v>9999</v>
      </c>
      <c r="AX55">
        <f>IF(AND('(橫掃)RX Mapping'!AX55&gt;=1,'(橫掃)RX Mapping'!AX55&lt;=120), ('(橫掃)RX Mapping'!AX55-1),IF(AND('(橫掃)RX Mapping'!AX55&gt;=121,'(橫掃)RX Mapping'!AX55&lt;=240), (-1)*('(橫掃)RX Mapping'!AX55-240),IF(AND('(橫掃)RX Mapping'!AX55&gt;=241,'(橫掃)RX Mapping'!AX55&lt;=360), ('(橫掃)RX Mapping'!AX55-241),IF(AND('(橫掃)RX Mapping'!AX55&gt;=361,'(橫掃)RX Mapping'!AX55&lt;=480), (-1)*('(橫掃)RX Mapping'!AX55-480),IF(AND('(橫掃)RX Mapping'!AX55&gt;=481,'(橫掃)RX Mapping'!AX55&lt;=600), ('(橫掃)RX Mapping'!AX55-361),IF(AND('(橫掃)RX Mapping'!AX55&gt;=601,'(橫掃)RX Mapping'!AX55&lt;=720), (-1)*('(橫掃)RX Mapping'!AX55-720)+120,IF(AND('(橫掃)RX Mapping'!AX55&gt;=721,'(橫掃)RX Mapping'!AX55&lt;=840), ('(橫掃)RX Mapping'!AX55-601),IF(AND('(橫掃)RX Mapping'!AX55&gt;=841,'(橫掃)RX Mapping'!AX55&lt;=960), (-1)*('(橫掃)RX Mapping'!AX55-960)+120,9999))))))))</f>
        <v>9999</v>
      </c>
      <c r="AY55">
        <f>IF(AND('(橫掃)RX Mapping'!AY55&gt;=1,'(橫掃)RX Mapping'!AY55&lt;=120), ('(橫掃)RX Mapping'!AY55-1),IF(AND('(橫掃)RX Mapping'!AY55&gt;=121,'(橫掃)RX Mapping'!AY55&lt;=240), (-1)*('(橫掃)RX Mapping'!AY55-240),IF(AND('(橫掃)RX Mapping'!AY55&gt;=241,'(橫掃)RX Mapping'!AY55&lt;=360), ('(橫掃)RX Mapping'!AY55-241),IF(AND('(橫掃)RX Mapping'!AY55&gt;=361,'(橫掃)RX Mapping'!AY55&lt;=480), (-1)*('(橫掃)RX Mapping'!AY55-480),IF(AND('(橫掃)RX Mapping'!AY55&gt;=481,'(橫掃)RX Mapping'!AY55&lt;=600), ('(橫掃)RX Mapping'!AY55-361),IF(AND('(橫掃)RX Mapping'!AY55&gt;=601,'(橫掃)RX Mapping'!AY55&lt;=720), (-1)*('(橫掃)RX Mapping'!AY55-720)+120,IF(AND('(橫掃)RX Mapping'!AY55&gt;=721,'(橫掃)RX Mapping'!AY55&lt;=840), ('(橫掃)RX Mapping'!AY55-601),IF(AND('(橫掃)RX Mapping'!AY55&gt;=841,'(橫掃)RX Mapping'!AY55&lt;=960), (-1)*('(橫掃)RX Mapping'!AY55-960)+120,9999))))))))</f>
        <v>9999</v>
      </c>
      <c r="AZ55">
        <f>IF(AND('(橫掃)RX Mapping'!AZ55&gt;=1,'(橫掃)RX Mapping'!AZ55&lt;=120), ('(橫掃)RX Mapping'!AZ55-1),IF(AND('(橫掃)RX Mapping'!AZ55&gt;=121,'(橫掃)RX Mapping'!AZ55&lt;=240), (-1)*('(橫掃)RX Mapping'!AZ55-240),IF(AND('(橫掃)RX Mapping'!AZ55&gt;=241,'(橫掃)RX Mapping'!AZ55&lt;=360), ('(橫掃)RX Mapping'!AZ55-241),IF(AND('(橫掃)RX Mapping'!AZ55&gt;=361,'(橫掃)RX Mapping'!AZ55&lt;=480), (-1)*('(橫掃)RX Mapping'!AZ55-480),IF(AND('(橫掃)RX Mapping'!AZ55&gt;=481,'(橫掃)RX Mapping'!AZ55&lt;=600), ('(橫掃)RX Mapping'!AZ55-361),IF(AND('(橫掃)RX Mapping'!AZ55&gt;=601,'(橫掃)RX Mapping'!AZ55&lt;=720), (-1)*('(橫掃)RX Mapping'!AZ55-720)+120,IF(AND('(橫掃)RX Mapping'!AZ55&gt;=721,'(橫掃)RX Mapping'!AZ55&lt;=840), ('(橫掃)RX Mapping'!AZ55-601),IF(AND('(橫掃)RX Mapping'!AZ55&gt;=841,'(橫掃)RX Mapping'!AZ55&lt;=960), (-1)*('(橫掃)RX Mapping'!AZ55-960)+120,9999))))))))</f>
        <v>9999</v>
      </c>
      <c r="BA55">
        <f>IF(AND('(橫掃)RX Mapping'!BA55&gt;=1,'(橫掃)RX Mapping'!BA55&lt;=120), ('(橫掃)RX Mapping'!BA55-1),IF(AND('(橫掃)RX Mapping'!BA55&gt;=121,'(橫掃)RX Mapping'!BA55&lt;=240), (-1)*('(橫掃)RX Mapping'!BA55-240),IF(AND('(橫掃)RX Mapping'!BA55&gt;=241,'(橫掃)RX Mapping'!BA55&lt;=360), ('(橫掃)RX Mapping'!BA55-241),IF(AND('(橫掃)RX Mapping'!BA55&gt;=361,'(橫掃)RX Mapping'!BA55&lt;=480), (-1)*('(橫掃)RX Mapping'!BA55-480),IF(AND('(橫掃)RX Mapping'!BA55&gt;=481,'(橫掃)RX Mapping'!BA55&lt;=600), ('(橫掃)RX Mapping'!BA55-361),IF(AND('(橫掃)RX Mapping'!BA55&gt;=601,'(橫掃)RX Mapping'!BA55&lt;=720), (-1)*('(橫掃)RX Mapping'!BA55-720)+120,IF(AND('(橫掃)RX Mapping'!BA55&gt;=721,'(橫掃)RX Mapping'!BA55&lt;=840), ('(橫掃)RX Mapping'!BA55-601),IF(AND('(橫掃)RX Mapping'!BA55&gt;=841,'(橫掃)RX Mapping'!BA55&lt;=960), (-1)*('(橫掃)RX Mapping'!BA55-960)+120,9999))))))))</f>
        <v>9999</v>
      </c>
      <c r="BB55">
        <f>IF(AND('(橫掃)RX Mapping'!BB55&gt;=1,'(橫掃)RX Mapping'!BB55&lt;=120), ('(橫掃)RX Mapping'!BB55-1),IF(AND('(橫掃)RX Mapping'!BB55&gt;=121,'(橫掃)RX Mapping'!BB55&lt;=240), (-1)*('(橫掃)RX Mapping'!BB55-240),IF(AND('(橫掃)RX Mapping'!BB55&gt;=241,'(橫掃)RX Mapping'!BB55&lt;=360), ('(橫掃)RX Mapping'!BB55-241),IF(AND('(橫掃)RX Mapping'!BB55&gt;=361,'(橫掃)RX Mapping'!BB55&lt;=480), (-1)*('(橫掃)RX Mapping'!BB55-480),IF(AND('(橫掃)RX Mapping'!BB55&gt;=481,'(橫掃)RX Mapping'!BB55&lt;=600), ('(橫掃)RX Mapping'!BB55-361),IF(AND('(橫掃)RX Mapping'!BB55&gt;=601,'(橫掃)RX Mapping'!BB55&lt;=720), (-1)*('(橫掃)RX Mapping'!BB55-720)+120,IF(AND('(橫掃)RX Mapping'!BB55&gt;=721,'(橫掃)RX Mapping'!BB55&lt;=840), ('(橫掃)RX Mapping'!BB55-601),IF(AND('(橫掃)RX Mapping'!BB55&gt;=841,'(橫掃)RX Mapping'!BB55&lt;=960), (-1)*('(橫掃)RX Mapping'!BB55-960)+120,9999))))))))</f>
        <v>9999</v>
      </c>
      <c r="BC55">
        <f>IF(AND('(橫掃)RX Mapping'!BC55&gt;=1,'(橫掃)RX Mapping'!BC55&lt;=120), ('(橫掃)RX Mapping'!BC55-1),IF(AND('(橫掃)RX Mapping'!BC55&gt;=121,'(橫掃)RX Mapping'!BC55&lt;=240), (-1)*('(橫掃)RX Mapping'!BC55-240),IF(AND('(橫掃)RX Mapping'!BC55&gt;=241,'(橫掃)RX Mapping'!BC55&lt;=360), ('(橫掃)RX Mapping'!BC55-241),IF(AND('(橫掃)RX Mapping'!BC55&gt;=361,'(橫掃)RX Mapping'!BC55&lt;=480), (-1)*('(橫掃)RX Mapping'!BC55-480),IF(AND('(橫掃)RX Mapping'!BC55&gt;=481,'(橫掃)RX Mapping'!BC55&lt;=600), ('(橫掃)RX Mapping'!BC55-361),IF(AND('(橫掃)RX Mapping'!BC55&gt;=601,'(橫掃)RX Mapping'!BC55&lt;=720), (-1)*('(橫掃)RX Mapping'!BC55-720)+120,IF(AND('(橫掃)RX Mapping'!BC55&gt;=721,'(橫掃)RX Mapping'!BC55&lt;=840), ('(橫掃)RX Mapping'!BC55-601),IF(AND('(橫掃)RX Mapping'!BC55&gt;=841,'(橫掃)RX Mapping'!BC55&lt;=960), (-1)*('(橫掃)RX Mapping'!BC55-960)+120,9999))))))))</f>
        <v>9999</v>
      </c>
      <c r="BD55">
        <f>IF(AND('(橫掃)RX Mapping'!BD55&gt;=1,'(橫掃)RX Mapping'!BD55&lt;=120), ('(橫掃)RX Mapping'!BD55-1),IF(AND('(橫掃)RX Mapping'!BD55&gt;=121,'(橫掃)RX Mapping'!BD55&lt;=240), (-1)*('(橫掃)RX Mapping'!BD55-240),IF(AND('(橫掃)RX Mapping'!BD55&gt;=241,'(橫掃)RX Mapping'!BD55&lt;=360), ('(橫掃)RX Mapping'!BD55-241),IF(AND('(橫掃)RX Mapping'!BD55&gt;=361,'(橫掃)RX Mapping'!BD55&lt;=480), (-1)*('(橫掃)RX Mapping'!BD55-480),IF(AND('(橫掃)RX Mapping'!BD55&gt;=481,'(橫掃)RX Mapping'!BD55&lt;=600), ('(橫掃)RX Mapping'!BD55-361),IF(AND('(橫掃)RX Mapping'!BD55&gt;=601,'(橫掃)RX Mapping'!BD55&lt;=720), (-1)*('(橫掃)RX Mapping'!BD55-720)+120,IF(AND('(橫掃)RX Mapping'!BD55&gt;=721,'(橫掃)RX Mapping'!BD55&lt;=840), ('(橫掃)RX Mapping'!BD55-601),IF(AND('(橫掃)RX Mapping'!BD55&gt;=841,'(橫掃)RX Mapping'!BD55&lt;=960), (-1)*('(橫掃)RX Mapping'!BD55-960)+120,9999))))))))</f>
        <v>9999</v>
      </c>
      <c r="BE55">
        <f>IF(AND('(橫掃)RX Mapping'!BE55&gt;=1,'(橫掃)RX Mapping'!BE55&lt;=120), ('(橫掃)RX Mapping'!BE55-1),IF(AND('(橫掃)RX Mapping'!BE55&gt;=121,'(橫掃)RX Mapping'!BE55&lt;=240), (-1)*('(橫掃)RX Mapping'!BE55-240),IF(AND('(橫掃)RX Mapping'!BE55&gt;=241,'(橫掃)RX Mapping'!BE55&lt;=360), ('(橫掃)RX Mapping'!BE55-241),IF(AND('(橫掃)RX Mapping'!BE55&gt;=361,'(橫掃)RX Mapping'!BE55&lt;=480), (-1)*('(橫掃)RX Mapping'!BE55-480),IF(AND('(橫掃)RX Mapping'!BE55&gt;=481,'(橫掃)RX Mapping'!BE55&lt;=600), ('(橫掃)RX Mapping'!BE55-361),IF(AND('(橫掃)RX Mapping'!BE55&gt;=601,'(橫掃)RX Mapping'!BE55&lt;=720), (-1)*('(橫掃)RX Mapping'!BE55-720)+120,IF(AND('(橫掃)RX Mapping'!BE55&gt;=721,'(橫掃)RX Mapping'!BE55&lt;=840), ('(橫掃)RX Mapping'!BE55-601),IF(AND('(橫掃)RX Mapping'!BE55&gt;=841,'(橫掃)RX Mapping'!BE55&lt;=960), (-1)*('(橫掃)RX Mapping'!BE55-960)+120,9999))))))))</f>
        <v>9999</v>
      </c>
      <c r="BF55">
        <f>IF(AND('(橫掃)RX Mapping'!BF55&gt;=1,'(橫掃)RX Mapping'!BF55&lt;=120), ('(橫掃)RX Mapping'!BF55-1),IF(AND('(橫掃)RX Mapping'!BF55&gt;=121,'(橫掃)RX Mapping'!BF55&lt;=240), (-1)*('(橫掃)RX Mapping'!BF55-240),IF(AND('(橫掃)RX Mapping'!BF55&gt;=241,'(橫掃)RX Mapping'!BF55&lt;=360), ('(橫掃)RX Mapping'!BF55-241),IF(AND('(橫掃)RX Mapping'!BF55&gt;=361,'(橫掃)RX Mapping'!BF55&lt;=480), (-1)*('(橫掃)RX Mapping'!BF55-480),IF(AND('(橫掃)RX Mapping'!BF55&gt;=481,'(橫掃)RX Mapping'!BF55&lt;=600), ('(橫掃)RX Mapping'!BF55-361),IF(AND('(橫掃)RX Mapping'!BF55&gt;=601,'(橫掃)RX Mapping'!BF55&lt;=720), (-1)*('(橫掃)RX Mapping'!BF55-720)+120,IF(AND('(橫掃)RX Mapping'!BF55&gt;=721,'(橫掃)RX Mapping'!BF55&lt;=840), ('(橫掃)RX Mapping'!BF55-601),IF(AND('(橫掃)RX Mapping'!BF55&gt;=841,'(橫掃)RX Mapping'!BF55&lt;=960), (-1)*('(橫掃)RX Mapping'!BF55-960)+120,9999))))))))</f>
        <v>9999</v>
      </c>
      <c r="BG55">
        <f>IF(AND('(橫掃)RX Mapping'!BG55&gt;=1,'(橫掃)RX Mapping'!BG55&lt;=120), ('(橫掃)RX Mapping'!BG55-1),IF(AND('(橫掃)RX Mapping'!BG55&gt;=121,'(橫掃)RX Mapping'!BG55&lt;=240), (-1)*('(橫掃)RX Mapping'!BG55-240),IF(AND('(橫掃)RX Mapping'!BG55&gt;=241,'(橫掃)RX Mapping'!BG55&lt;=360), ('(橫掃)RX Mapping'!BG55-241),IF(AND('(橫掃)RX Mapping'!BG55&gt;=361,'(橫掃)RX Mapping'!BG55&lt;=480), (-1)*('(橫掃)RX Mapping'!BG55-480),IF(AND('(橫掃)RX Mapping'!BG55&gt;=481,'(橫掃)RX Mapping'!BG55&lt;=600), ('(橫掃)RX Mapping'!BG55-361),IF(AND('(橫掃)RX Mapping'!BG55&gt;=601,'(橫掃)RX Mapping'!BG55&lt;=720), (-1)*('(橫掃)RX Mapping'!BG55-720)+120,IF(AND('(橫掃)RX Mapping'!BG55&gt;=721,'(橫掃)RX Mapping'!BG55&lt;=840), ('(橫掃)RX Mapping'!BG55-601),IF(AND('(橫掃)RX Mapping'!BG55&gt;=841,'(橫掃)RX Mapping'!BG55&lt;=960), (-1)*('(橫掃)RX Mapping'!BG55-960)+120,9999))))))))</f>
        <v>9999</v>
      </c>
      <c r="BH55">
        <f>IF(AND('(橫掃)RX Mapping'!BH55&gt;=1,'(橫掃)RX Mapping'!BH55&lt;=120), ('(橫掃)RX Mapping'!BH55-1),IF(AND('(橫掃)RX Mapping'!BH55&gt;=121,'(橫掃)RX Mapping'!BH55&lt;=240), (-1)*('(橫掃)RX Mapping'!BH55-240),IF(AND('(橫掃)RX Mapping'!BH55&gt;=241,'(橫掃)RX Mapping'!BH55&lt;=360), ('(橫掃)RX Mapping'!BH55-241),IF(AND('(橫掃)RX Mapping'!BH55&gt;=361,'(橫掃)RX Mapping'!BH55&lt;=480), (-1)*('(橫掃)RX Mapping'!BH55-480),IF(AND('(橫掃)RX Mapping'!BH55&gt;=481,'(橫掃)RX Mapping'!BH55&lt;=600), ('(橫掃)RX Mapping'!BH55-361),IF(AND('(橫掃)RX Mapping'!BH55&gt;=601,'(橫掃)RX Mapping'!BH55&lt;=720), (-1)*('(橫掃)RX Mapping'!BH55-720)+120,IF(AND('(橫掃)RX Mapping'!BH55&gt;=721,'(橫掃)RX Mapping'!BH55&lt;=840), ('(橫掃)RX Mapping'!BH55-601),IF(AND('(橫掃)RX Mapping'!BH55&gt;=841,'(橫掃)RX Mapping'!BH55&lt;=960), (-1)*('(橫掃)RX Mapping'!BH55-960)+120,9999))))))))</f>
        <v>9999</v>
      </c>
      <c r="BI55">
        <f>IF(AND('(橫掃)RX Mapping'!BI55&gt;=1,'(橫掃)RX Mapping'!BI55&lt;=120), ('(橫掃)RX Mapping'!BI55-1),IF(AND('(橫掃)RX Mapping'!BI55&gt;=121,'(橫掃)RX Mapping'!BI55&lt;=240), (-1)*('(橫掃)RX Mapping'!BI55-240),IF(AND('(橫掃)RX Mapping'!BI55&gt;=241,'(橫掃)RX Mapping'!BI55&lt;=360), ('(橫掃)RX Mapping'!BI55-241),IF(AND('(橫掃)RX Mapping'!BI55&gt;=361,'(橫掃)RX Mapping'!BI55&lt;=480), (-1)*('(橫掃)RX Mapping'!BI55-480),IF(AND('(橫掃)RX Mapping'!BI55&gt;=481,'(橫掃)RX Mapping'!BI55&lt;=600), ('(橫掃)RX Mapping'!BI55-361),IF(AND('(橫掃)RX Mapping'!BI55&gt;=601,'(橫掃)RX Mapping'!BI55&lt;=720), (-1)*('(橫掃)RX Mapping'!BI55-720)+120,IF(AND('(橫掃)RX Mapping'!BI55&gt;=721,'(橫掃)RX Mapping'!BI55&lt;=840), ('(橫掃)RX Mapping'!BI55-601),IF(AND('(橫掃)RX Mapping'!BI55&gt;=841,'(橫掃)RX Mapping'!BI55&lt;=960), (-1)*('(橫掃)RX Mapping'!BI55-960)+120,9999))))))))</f>
        <v>9999</v>
      </c>
    </row>
    <row r="56" spans="1:61" x14ac:dyDescent="0.25">
      <c r="A56" s="20">
        <v>55</v>
      </c>
      <c r="B56">
        <f>IF(AND('(橫掃)RX Mapping'!B56&gt;=1,'(橫掃)RX Mapping'!B56&lt;=120), ('(橫掃)RX Mapping'!B56-1),IF(AND('(橫掃)RX Mapping'!B56&gt;=121,'(橫掃)RX Mapping'!B56&lt;=240), (-1)*('(橫掃)RX Mapping'!B56-240),IF(AND('(橫掃)RX Mapping'!B56&gt;=241,'(橫掃)RX Mapping'!B56&lt;=360), ('(橫掃)RX Mapping'!B56-241),IF(AND('(橫掃)RX Mapping'!B56&gt;=361,'(橫掃)RX Mapping'!B56&lt;=480), (-1)*('(橫掃)RX Mapping'!B56-480),IF(AND('(橫掃)RX Mapping'!B56&gt;=481,'(橫掃)RX Mapping'!B56&lt;=600), ('(橫掃)RX Mapping'!B56-361),IF(AND('(橫掃)RX Mapping'!B56&gt;=601,'(橫掃)RX Mapping'!B56&lt;=720), (-1)*('(橫掃)RX Mapping'!B56-720)+120,IF(AND('(橫掃)RX Mapping'!B56&gt;=721,'(橫掃)RX Mapping'!B56&lt;=840), ('(橫掃)RX Mapping'!B56-601),IF(AND('(橫掃)RX Mapping'!B56&gt;=841,'(橫掃)RX Mapping'!B56&lt;=960), (-1)*('(橫掃)RX Mapping'!B56-960)+120,9999))))))))</f>
        <v>9999</v>
      </c>
      <c r="C56">
        <f>IF(AND('(橫掃)RX Mapping'!C56&gt;=1,'(橫掃)RX Mapping'!C56&lt;=120), ('(橫掃)RX Mapping'!C56-1),IF(AND('(橫掃)RX Mapping'!C56&gt;=121,'(橫掃)RX Mapping'!C56&lt;=240), (-1)*('(橫掃)RX Mapping'!C56-240),IF(AND('(橫掃)RX Mapping'!C56&gt;=241,'(橫掃)RX Mapping'!C56&lt;=360), ('(橫掃)RX Mapping'!C56-241),IF(AND('(橫掃)RX Mapping'!C56&gt;=361,'(橫掃)RX Mapping'!C56&lt;=480), (-1)*('(橫掃)RX Mapping'!C56-480),IF(AND('(橫掃)RX Mapping'!C56&gt;=481,'(橫掃)RX Mapping'!C56&lt;=600), ('(橫掃)RX Mapping'!C56-361),IF(AND('(橫掃)RX Mapping'!C56&gt;=601,'(橫掃)RX Mapping'!C56&lt;=720), (-1)*('(橫掃)RX Mapping'!C56-720)+120,IF(AND('(橫掃)RX Mapping'!C56&gt;=721,'(橫掃)RX Mapping'!C56&lt;=840), ('(橫掃)RX Mapping'!C56-601),IF(AND('(橫掃)RX Mapping'!C56&gt;=841,'(橫掃)RX Mapping'!C56&lt;=960), (-1)*('(橫掃)RX Mapping'!C56-960)+120,9999))))))))</f>
        <v>9999</v>
      </c>
      <c r="D56">
        <f>IF(AND('(橫掃)RX Mapping'!D56&gt;=1,'(橫掃)RX Mapping'!D56&lt;=120), ('(橫掃)RX Mapping'!D56-1),IF(AND('(橫掃)RX Mapping'!D56&gt;=121,'(橫掃)RX Mapping'!D56&lt;=240), (-1)*('(橫掃)RX Mapping'!D56-240),IF(AND('(橫掃)RX Mapping'!D56&gt;=241,'(橫掃)RX Mapping'!D56&lt;=360), ('(橫掃)RX Mapping'!D56-241),IF(AND('(橫掃)RX Mapping'!D56&gt;=361,'(橫掃)RX Mapping'!D56&lt;=480), (-1)*('(橫掃)RX Mapping'!D56-480),IF(AND('(橫掃)RX Mapping'!D56&gt;=481,'(橫掃)RX Mapping'!D56&lt;=600), ('(橫掃)RX Mapping'!D56-361),IF(AND('(橫掃)RX Mapping'!D56&gt;=601,'(橫掃)RX Mapping'!D56&lt;=720), (-1)*('(橫掃)RX Mapping'!D56-720)+120,IF(AND('(橫掃)RX Mapping'!D56&gt;=721,'(橫掃)RX Mapping'!D56&lt;=840), ('(橫掃)RX Mapping'!D56-601),IF(AND('(橫掃)RX Mapping'!D56&gt;=841,'(橫掃)RX Mapping'!D56&lt;=960), (-1)*('(橫掃)RX Mapping'!D56-960)+120,9999))))))))</f>
        <v>9999</v>
      </c>
      <c r="E56">
        <f>IF(AND('(橫掃)RX Mapping'!E56&gt;=1,'(橫掃)RX Mapping'!E56&lt;=120), ('(橫掃)RX Mapping'!E56-1),IF(AND('(橫掃)RX Mapping'!E56&gt;=121,'(橫掃)RX Mapping'!E56&lt;=240), (-1)*('(橫掃)RX Mapping'!E56-240),IF(AND('(橫掃)RX Mapping'!E56&gt;=241,'(橫掃)RX Mapping'!E56&lt;=360), ('(橫掃)RX Mapping'!E56-241),IF(AND('(橫掃)RX Mapping'!E56&gt;=361,'(橫掃)RX Mapping'!E56&lt;=480), (-1)*('(橫掃)RX Mapping'!E56-480),IF(AND('(橫掃)RX Mapping'!E56&gt;=481,'(橫掃)RX Mapping'!E56&lt;=600), ('(橫掃)RX Mapping'!E56-361),IF(AND('(橫掃)RX Mapping'!E56&gt;=601,'(橫掃)RX Mapping'!E56&lt;=720), (-1)*('(橫掃)RX Mapping'!E56-720)+120,IF(AND('(橫掃)RX Mapping'!E56&gt;=721,'(橫掃)RX Mapping'!E56&lt;=840), ('(橫掃)RX Mapping'!E56-601),IF(AND('(橫掃)RX Mapping'!E56&gt;=841,'(橫掃)RX Mapping'!E56&lt;=960), (-1)*('(橫掃)RX Mapping'!E56-960)+120,9999))))))))</f>
        <v>9999</v>
      </c>
      <c r="F56">
        <f>IF(AND('(橫掃)RX Mapping'!F56&gt;=1,'(橫掃)RX Mapping'!F56&lt;=120), ('(橫掃)RX Mapping'!F56-1),IF(AND('(橫掃)RX Mapping'!F56&gt;=121,'(橫掃)RX Mapping'!F56&lt;=240), (-1)*('(橫掃)RX Mapping'!F56-240),IF(AND('(橫掃)RX Mapping'!F56&gt;=241,'(橫掃)RX Mapping'!F56&lt;=360), ('(橫掃)RX Mapping'!F56-241),IF(AND('(橫掃)RX Mapping'!F56&gt;=361,'(橫掃)RX Mapping'!F56&lt;=480), (-1)*('(橫掃)RX Mapping'!F56-480),IF(AND('(橫掃)RX Mapping'!F56&gt;=481,'(橫掃)RX Mapping'!F56&lt;=600), ('(橫掃)RX Mapping'!F56-361),IF(AND('(橫掃)RX Mapping'!F56&gt;=601,'(橫掃)RX Mapping'!F56&lt;=720), (-1)*('(橫掃)RX Mapping'!F56-720)+120,IF(AND('(橫掃)RX Mapping'!F56&gt;=721,'(橫掃)RX Mapping'!F56&lt;=840), ('(橫掃)RX Mapping'!F56-601),IF(AND('(橫掃)RX Mapping'!F56&gt;=841,'(橫掃)RX Mapping'!F56&lt;=960), (-1)*('(橫掃)RX Mapping'!F56-960)+120,9999))))))))</f>
        <v>9999</v>
      </c>
      <c r="G56">
        <f>IF(AND('(橫掃)RX Mapping'!G56&gt;=1,'(橫掃)RX Mapping'!G56&lt;=120), ('(橫掃)RX Mapping'!G56-1),IF(AND('(橫掃)RX Mapping'!G56&gt;=121,'(橫掃)RX Mapping'!G56&lt;=240), (-1)*('(橫掃)RX Mapping'!G56-240),IF(AND('(橫掃)RX Mapping'!G56&gt;=241,'(橫掃)RX Mapping'!G56&lt;=360), ('(橫掃)RX Mapping'!G56-241),IF(AND('(橫掃)RX Mapping'!G56&gt;=361,'(橫掃)RX Mapping'!G56&lt;=480), (-1)*('(橫掃)RX Mapping'!G56-480),IF(AND('(橫掃)RX Mapping'!G56&gt;=481,'(橫掃)RX Mapping'!G56&lt;=600), ('(橫掃)RX Mapping'!G56-361),IF(AND('(橫掃)RX Mapping'!G56&gt;=601,'(橫掃)RX Mapping'!G56&lt;=720), (-1)*('(橫掃)RX Mapping'!G56-720)+120,IF(AND('(橫掃)RX Mapping'!G56&gt;=721,'(橫掃)RX Mapping'!G56&lt;=840), ('(橫掃)RX Mapping'!G56-601),IF(AND('(橫掃)RX Mapping'!G56&gt;=841,'(橫掃)RX Mapping'!G56&lt;=960), (-1)*('(橫掃)RX Mapping'!G56-960)+120,9999))))))))</f>
        <v>9999</v>
      </c>
      <c r="H56">
        <f>IF(AND('(橫掃)RX Mapping'!H56&gt;=1,'(橫掃)RX Mapping'!H56&lt;=120), ('(橫掃)RX Mapping'!H56-1),IF(AND('(橫掃)RX Mapping'!H56&gt;=121,'(橫掃)RX Mapping'!H56&lt;=240), (-1)*('(橫掃)RX Mapping'!H56-240),IF(AND('(橫掃)RX Mapping'!H56&gt;=241,'(橫掃)RX Mapping'!H56&lt;=360), ('(橫掃)RX Mapping'!H56-241),IF(AND('(橫掃)RX Mapping'!H56&gt;=361,'(橫掃)RX Mapping'!H56&lt;=480), (-1)*('(橫掃)RX Mapping'!H56-480),IF(AND('(橫掃)RX Mapping'!H56&gt;=481,'(橫掃)RX Mapping'!H56&lt;=600), ('(橫掃)RX Mapping'!H56-361),IF(AND('(橫掃)RX Mapping'!H56&gt;=601,'(橫掃)RX Mapping'!H56&lt;=720), (-1)*('(橫掃)RX Mapping'!H56-720)+120,IF(AND('(橫掃)RX Mapping'!H56&gt;=721,'(橫掃)RX Mapping'!H56&lt;=840), ('(橫掃)RX Mapping'!H56-601),IF(AND('(橫掃)RX Mapping'!H56&gt;=841,'(橫掃)RX Mapping'!H56&lt;=960), (-1)*('(橫掃)RX Mapping'!H56-960)+120,9999))))))))</f>
        <v>9999</v>
      </c>
      <c r="I56">
        <f>IF(AND('(橫掃)RX Mapping'!I56&gt;=1,'(橫掃)RX Mapping'!I56&lt;=120), ('(橫掃)RX Mapping'!I56-1),IF(AND('(橫掃)RX Mapping'!I56&gt;=121,'(橫掃)RX Mapping'!I56&lt;=240), (-1)*('(橫掃)RX Mapping'!I56-240),IF(AND('(橫掃)RX Mapping'!I56&gt;=241,'(橫掃)RX Mapping'!I56&lt;=360), ('(橫掃)RX Mapping'!I56-241),IF(AND('(橫掃)RX Mapping'!I56&gt;=361,'(橫掃)RX Mapping'!I56&lt;=480), (-1)*('(橫掃)RX Mapping'!I56-480),IF(AND('(橫掃)RX Mapping'!I56&gt;=481,'(橫掃)RX Mapping'!I56&lt;=600), ('(橫掃)RX Mapping'!I56-361),IF(AND('(橫掃)RX Mapping'!I56&gt;=601,'(橫掃)RX Mapping'!I56&lt;=720), (-1)*('(橫掃)RX Mapping'!I56-720)+120,IF(AND('(橫掃)RX Mapping'!I56&gt;=721,'(橫掃)RX Mapping'!I56&lt;=840), ('(橫掃)RX Mapping'!I56-601),IF(AND('(橫掃)RX Mapping'!I56&gt;=841,'(橫掃)RX Mapping'!I56&lt;=960), (-1)*('(橫掃)RX Mapping'!I56-960)+120,9999))))))))</f>
        <v>9999</v>
      </c>
      <c r="J56">
        <f>IF(AND('(橫掃)RX Mapping'!J56&gt;=1,'(橫掃)RX Mapping'!J56&lt;=120), ('(橫掃)RX Mapping'!J56-1),IF(AND('(橫掃)RX Mapping'!J56&gt;=121,'(橫掃)RX Mapping'!J56&lt;=240), (-1)*('(橫掃)RX Mapping'!J56-240),IF(AND('(橫掃)RX Mapping'!J56&gt;=241,'(橫掃)RX Mapping'!J56&lt;=360), ('(橫掃)RX Mapping'!J56-241),IF(AND('(橫掃)RX Mapping'!J56&gt;=361,'(橫掃)RX Mapping'!J56&lt;=480), (-1)*('(橫掃)RX Mapping'!J56-480),IF(AND('(橫掃)RX Mapping'!J56&gt;=481,'(橫掃)RX Mapping'!J56&lt;=600), ('(橫掃)RX Mapping'!J56-361),IF(AND('(橫掃)RX Mapping'!J56&gt;=601,'(橫掃)RX Mapping'!J56&lt;=720), (-1)*('(橫掃)RX Mapping'!J56-720)+120,IF(AND('(橫掃)RX Mapping'!J56&gt;=721,'(橫掃)RX Mapping'!J56&lt;=840), ('(橫掃)RX Mapping'!J56-601),IF(AND('(橫掃)RX Mapping'!J56&gt;=841,'(橫掃)RX Mapping'!J56&lt;=960), (-1)*('(橫掃)RX Mapping'!J56-960)+120,9999))))))))</f>
        <v>9999</v>
      </c>
      <c r="K56">
        <f>IF(AND('(橫掃)RX Mapping'!K56&gt;=1,'(橫掃)RX Mapping'!K56&lt;=120), ('(橫掃)RX Mapping'!K56-1),IF(AND('(橫掃)RX Mapping'!K56&gt;=121,'(橫掃)RX Mapping'!K56&lt;=240), (-1)*('(橫掃)RX Mapping'!K56-240),IF(AND('(橫掃)RX Mapping'!K56&gt;=241,'(橫掃)RX Mapping'!K56&lt;=360), ('(橫掃)RX Mapping'!K56-241),IF(AND('(橫掃)RX Mapping'!K56&gt;=361,'(橫掃)RX Mapping'!K56&lt;=480), (-1)*('(橫掃)RX Mapping'!K56-480),IF(AND('(橫掃)RX Mapping'!K56&gt;=481,'(橫掃)RX Mapping'!K56&lt;=600), ('(橫掃)RX Mapping'!K56-361),IF(AND('(橫掃)RX Mapping'!K56&gt;=601,'(橫掃)RX Mapping'!K56&lt;=720), (-1)*('(橫掃)RX Mapping'!K56-720)+120,IF(AND('(橫掃)RX Mapping'!K56&gt;=721,'(橫掃)RX Mapping'!K56&lt;=840), ('(橫掃)RX Mapping'!K56-601),IF(AND('(橫掃)RX Mapping'!K56&gt;=841,'(橫掃)RX Mapping'!K56&lt;=960), (-1)*('(橫掃)RX Mapping'!K56-960)+120,9999))))))))</f>
        <v>9999</v>
      </c>
      <c r="L56">
        <f>IF(AND('(橫掃)RX Mapping'!L56&gt;=1,'(橫掃)RX Mapping'!L56&lt;=120), ('(橫掃)RX Mapping'!L56-1),IF(AND('(橫掃)RX Mapping'!L56&gt;=121,'(橫掃)RX Mapping'!L56&lt;=240), (-1)*('(橫掃)RX Mapping'!L56-240),IF(AND('(橫掃)RX Mapping'!L56&gt;=241,'(橫掃)RX Mapping'!L56&lt;=360), ('(橫掃)RX Mapping'!L56-241),IF(AND('(橫掃)RX Mapping'!L56&gt;=361,'(橫掃)RX Mapping'!L56&lt;=480), (-1)*('(橫掃)RX Mapping'!L56-480),IF(AND('(橫掃)RX Mapping'!L56&gt;=481,'(橫掃)RX Mapping'!L56&lt;=600), ('(橫掃)RX Mapping'!L56-361),IF(AND('(橫掃)RX Mapping'!L56&gt;=601,'(橫掃)RX Mapping'!L56&lt;=720), (-1)*('(橫掃)RX Mapping'!L56-720)+120,IF(AND('(橫掃)RX Mapping'!L56&gt;=721,'(橫掃)RX Mapping'!L56&lt;=840), ('(橫掃)RX Mapping'!L56-601),IF(AND('(橫掃)RX Mapping'!L56&gt;=841,'(橫掃)RX Mapping'!L56&lt;=960), (-1)*('(橫掃)RX Mapping'!L56-960)+120,9999))))))))</f>
        <v>9999</v>
      </c>
      <c r="M56">
        <f>IF(AND('(橫掃)RX Mapping'!M56&gt;=1,'(橫掃)RX Mapping'!M56&lt;=120), ('(橫掃)RX Mapping'!M56-1),IF(AND('(橫掃)RX Mapping'!M56&gt;=121,'(橫掃)RX Mapping'!M56&lt;=240), (-1)*('(橫掃)RX Mapping'!M56-240),IF(AND('(橫掃)RX Mapping'!M56&gt;=241,'(橫掃)RX Mapping'!M56&lt;=360), ('(橫掃)RX Mapping'!M56-241),IF(AND('(橫掃)RX Mapping'!M56&gt;=361,'(橫掃)RX Mapping'!M56&lt;=480), (-1)*('(橫掃)RX Mapping'!M56-480),IF(AND('(橫掃)RX Mapping'!M56&gt;=481,'(橫掃)RX Mapping'!M56&lt;=600), ('(橫掃)RX Mapping'!M56-361),IF(AND('(橫掃)RX Mapping'!M56&gt;=601,'(橫掃)RX Mapping'!M56&lt;=720), (-1)*('(橫掃)RX Mapping'!M56-720)+120,IF(AND('(橫掃)RX Mapping'!M56&gt;=721,'(橫掃)RX Mapping'!M56&lt;=840), ('(橫掃)RX Mapping'!M56-601),IF(AND('(橫掃)RX Mapping'!M56&gt;=841,'(橫掃)RX Mapping'!M56&lt;=960), (-1)*('(橫掃)RX Mapping'!M56-960)+120,9999))))))))</f>
        <v>9999</v>
      </c>
      <c r="N56">
        <f>IF(AND('(橫掃)RX Mapping'!N56&gt;=1,'(橫掃)RX Mapping'!N56&lt;=120), ('(橫掃)RX Mapping'!N56-1),IF(AND('(橫掃)RX Mapping'!N56&gt;=121,'(橫掃)RX Mapping'!N56&lt;=240), (-1)*('(橫掃)RX Mapping'!N56-240),IF(AND('(橫掃)RX Mapping'!N56&gt;=241,'(橫掃)RX Mapping'!N56&lt;=360), ('(橫掃)RX Mapping'!N56-241),IF(AND('(橫掃)RX Mapping'!N56&gt;=361,'(橫掃)RX Mapping'!N56&lt;=480), (-1)*('(橫掃)RX Mapping'!N56-480),IF(AND('(橫掃)RX Mapping'!N56&gt;=481,'(橫掃)RX Mapping'!N56&lt;=600), ('(橫掃)RX Mapping'!N56-361),IF(AND('(橫掃)RX Mapping'!N56&gt;=601,'(橫掃)RX Mapping'!N56&lt;=720), (-1)*('(橫掃)RX Mapping'!N56-720)+120,IF(AND('(橫掃)RX Mapping'!N56&gt;=721,'(橫掃)RX Mapping'!N56&lt;=840), ('(橫掃)RX Mapping'!N56-601),IF(AND('(橫掃)RX Mapping'!N56&gt;=841,'(橫掃)RX Mapping'!N56&lt;=960), (-1)*('(橫掃)RX Mapping'!N56-960)+120,9999))))))))</f>
        <v>9999</v>
      </c>
      <c r="O56">
        <f>IF(AND('(橫掃)RX Mapping'!O56&gt;=1,'(橫掃)RX Mapping'!O56&lt;=120), ('(橫掃)RX Mapping'!O56-1),IF(AND('(橫掃)RX Mapping'!O56&gt;=121,'(橫掃)RX Mapping'!O56&lt;=240), (-1)*('(橫掃)RX Mapping'!O56-240),IF(AND('(橫掃)RX Mapping'!O56&gt;=241,'(橫掃)RX Mapping'!O56&lt;=360), ('(橫掃)RX Mapping'!O56-241),IF(AND('(橫掃)RX Mapping'!O56&gt;=361,'(橫掃)RX Mapping'!O56&lt;=480), (-1)*('(橫掃)RX Mapping'!O56-480),IF(AND('(橫掃)RX Mapping'!O56&gt;=481,'(橫掃)RX Mapping'!O56&lt;=600), ('(橫掃)RX Mapping'!O56-361),IF(AND('(橫掃)RX Mapping'!O56&gt;=601,'(橫掃)RX Mapping'!O56&lt;=720), (-1)*('(橫掃)RX Mapping'!O56-720)+120,IF(AND('(橫掃)RX Mapping'!O56&gt;=721,'(橫掃)RX Mapping'!O56&lt;=840), ('(橫掃)RX Mapping'!O56-601),IF(AND('(橫掃)RX Mapping'!O56&gt;=841,'(橫掃)RX Mapping'!O56&lt;=960), (-1)*('(橫掃)RX Mapping'!O56-960)+120,9999))))))))</f>
        <v>9999</v>
      </c>
      <c r="P56">
        <f>IF(AND('(橫掃)RX Mapping'!P56&gt;=1,'(橫掃)RX Mapping'!P56&lt;=120), ('(橫掃)RX Mapping'!P56-1),IF(AND('(橫掃)RX Mapping'!P56&gt;=121,'(橫掃)RX Mapping'!P56&lt;=240), (-1)*('(橫掃)RX Mapping'!P56-240),IF(AND('(橫掃)RX Mapping'!P56&gt;=241,'(橫掃)RX Mapping'!P56&lt;=360), ('(橫掃)RX Mapping'!P56-241),IF(AND('(橫掃)RX Mapping'!P56&gt;=361,'(橫掃)RX Mapping'!P56&lt;=480), (-1)*('(橫掃)RX Mapping'!P56-480),IF(AND('(橫掃)RX Mapping'!P56&gt;=481,'(橫掃)RX Mapping'!P56&lt;=600), ('(橫掃)RX Mapping'!P56-361),IF(AND('(橫掃)RX Mapping'!P56&gt;=601,'(橫掃)RX Mapping'!P56&lt;=720), (-1)*('(橫掃)RX Mapping'!P56-720)+120,IF(AND('(橫掃)RX Mapping'!P56&gt;=721,'(橫掃)RX Mapping'!P56&lt;=840), ('(橫掃)RX Mapping'!P56-601),IF(AND('(橫掃)RX Mapping'!P56&gt;=841,'(橫掃)RX Mapping'!P56&lt;=960), (-1)*('(橫掃)RX Mapping'!P56-960)+120,9999))))))))</f>
        <v>9999</v>
      </c>
      <c r="Q56">
        <f>IF(AND('(橫掃)RX Mapping'!Q56&gt;=1,'(橫掃)RX Mapping'!Q56&lt;=120), ('(橫掃)RX Mapping'!Q56-1),IF(AND('(橫掃)RX Mapping'!Q56&gt;=121,'(橫掃)RX Mapping'!Q56&lt;=240), (-1)*('(橫掃)RX Mapping'!Q56-240),IF(AND('(橫掃)RX Mapping'!Q56&gt;=241,'(橫掃)RX Mapping'!Q56&lt;=360), ('(橫掃)RX Mapping'!Q56-241),IF(AND('(橫掃)RX Mapping'!Q56&gt;=361,'(橫掃)RX Mapping'!Q56&lt;=480), (-1)*('(橫掃)RX Mapping'!Q56-480),IF(AND('(橫掃)RX Mapping'!Q56&gt;=481,'(橫掃)RX Mapping'!Q56&lt;=600), ('(橫掃)RX Mapping'!Q56-361),IF(AND('(橫掃)RX Mapping'!Q56&gt;=601,'(橫掃)RX Mapping'!Q56&lt;=720), (-1)*('(橫掃)RX Mapping'!Q56-720)+120,IF(AND('(橫掃)RX Mapping'!Q56&gt;=721,'(橫掃)RX Mapping'!Q56&lt;=840), ('(橫掃)RX Mapping'!Q56-601),IF(AND('(橫掃)RX Mapping'!Q56&gt;=841,'(橫掃)RX Mapping'!Q56&lt;=960), (-1)*('(橫掃)RX Mapping'!Q56-960)+120,9999))))))))</f>
        <v>9999</v>
      </c>
      <c r="R56">
        <f>IF(AND('(橫掃)RX Mapping'!R56&gt;=1,'(橫掃)RX Mapping'!R56&lt;=120), ('(橫掃)RX Mapping'!R56-1),IF(AND('(橫掃)RX Mapping'!R56&gt;=121,'(橫掃)RX Mapping'!R56&lt;=240), (-1)*('(橫掃)RX Mapping'!R56-240),IF(AND('(橫掃)RX Mapping'!R56&gt;=241,'(橫掃)RX Mapping'!R56&lt;=360), ('(橫掃)RX Mapping'!R56-241),IF(AND('(橫掃)RX Mapping'!R56&gt;=361,'(橫掃)RX Mapping'!R56&lt;=480), (-1)*('(橫掃)RX Mapping'!R56-480),IF(AND('(橫掃)RX Mapping'!R56&gt;=481,'(橫掃)RX Mapping'!R56&lt;=600), ('(橫掃)RX Mapping'!R56-361),IF(AND('(橫掃)RX Mapping'!R56&gt;=601,'(橫掃)RX Mapping'!R56&lt;=720), (-1)*('(橫掃)RX Mapping'!R56-720)+120,IF(AND('(橫掃)RX Mapping'!R56&gt;=721,'(橫掃)RX Mapping'!R56&lt;=840), ('(橫掃)RX Mapping'!R56-601),IF(AND('(橫掃)RX Mapping'!R56&gt;=841,'(橫掃)RX Mapping'!R56&lt;=960), (-1)*('(橫掃)RX Mapping'!R56-960)+120,9999))))))))</f>
        <v>9999</v>
      </c>
      <c r="S56">
        <f>IF(AND('(橫掃)RX Mapping'!S56&gt;=1,'(橫掃)RX Mapping'!S56&lt;=120), ('(橫掃)RX Mapping'!S56-1),IF(AND('(橫掃)RX Mapping'!S56&gt;=121,'(橫掃)RX Mapping'!S56&lt;=240), (-1)*('(橫掃)RX Mapping'!S56-240),IF(AND('(橫掃)RX Mapping'!S56&gt;=241,'(橫掃)RX Mapping'!S56&lt;=360), ('(橫掃)RX Mapping'!S56-241),IF(AND('(橫掃)RX Mapping'!S56&gt;=361,'(橫掃)RX Mapping'!S56&lt;=480), (-1)*('(橫掃)RX Mapping'!S56-480),IF(AND('(橫掃)RX Mapping'!S56&gt;=481,'(橫掃)RX Mapping'!S56&lt;=600), ('(橫掃)RX Mapping'!S56-361),IF(AND('(橫掃)RX Mapping'!S56&gt;=601,'(橫掃)RX Mapping'!S56&lt;=720), (-1)*('(橫掃)RX Mapping'!S56-720)+120,IF(AND('(橫掃)RX Mapping'!S56&gt;=721,'(橫掃)RX Mapping'!S56&lt;=840), ('(橫掃)RX Mapping'!S56-601),IF(AND('(橫掃)RX Mapping'!S56&gt;=841,'(橫掃)RX Mapping'!S56&lt;=960), (-1)*('(橫掃)RX Mapping'!S56-960)+120,9999))))))))</f>
        <v>9999</v>
      </c>
      <c r="T56">
        <f>IF(AND('(橫掃)RX Mapping'!T56&gt;=1,'(橫掃)RX Mapping'!T56&lt;=120), ('(橫掃)RX Mapping'!T56-1),IF(AND('(橫掃)RX Mapping'!T56&gt;=121,'(橫掃)RX Mapping'!T56&lt;=240), (-1)*('(橫掃)RX Mapping'!T56-240),IF(AND('(橫掃)RX Mapping'!T56&gt;=241,'(橫掃)RX Mapping'!T56&lt;=360), ('(橫掃)RX Mapping'!T56-241),IF(AND('(橫掃)RX Mapping'!T56&gt;=361,'(橫掃)RX Mapping'!T56&lt;=480), (-1)*('(橫掃)RX Mapping'!T56-480),IF(AND('(橫掃)RX Mapping'!T56&gt;=481,'(橫掃)RX Mapping'!T56&lt;=600), ('(橫掃)RX Mapping'!T56-361),IF(AND('(橫掃)RX Mapping'!T56&gt;=601,'(橫掃)RX Mapping'!T56&lt;=720), (-1)*('(橫掃)RX Mapping'!T56-720)+120,IF(AND('(橫掃)RX Mapping'!T56&gt;=721,'(橫掃)RX Mapping'!T56&lt;=840), ('(橫掃)RX Mapping'!T56-601),IF(AND('(橫掃)RX Mapping'!T56&gt;=841,'(橫掃)RX Mapping'!T56&lt;=960), (-1)*('(橫掃)RX Mapping'!T56-960)+120,9999))))))))</f>
        <v>9999</v>
      </c>
      <c r="U56">
        <f>IF(AND('(橫掃)RX Mapping'!U56&gt;=1,'(橫掃)RX Mapping'!U56&lt;=120), ('(橫掃)RX Mapping'!U56-1),IF(AND('(橫掃)RX Mapping'!U56&gt;=121,'(橫掃)RX Mapping'!U56&lt;=240), (-1)*('(橫掃)RX Mapping'!U56-240),IF(AND('(橫掃)RX Mapping'!U56&gt;=241,'(橫掃)RX Mapping'!U56&lt;=360), ('(橫掃)RX Mapping'!U56-241),IF(AND('(橫掃)RX Mapping'!U56&gt;=361,'(橫掃)RX Mapping'!U56&lt;=480), (-1)*('(橫掃)RX Mapping'!U56-480),IF(AND('(橫掃)RX Mapping'!U56&gt;=481,'(橫掃)RX Mapping'!U56&lt;=600), ('(橫掃)RX Mapping'!U56-361),IF(AND('(橫掃)RX Mapping'!U56&gt;=601,'(橫掃)RX Mapping'!U56&lt;=720), (-1)*('(橫掃)RX Mapping'!U56-720)+120,IF(AND('(橫掃)RX Mapping'!U56&gt;=721,'(橫掃)RX Mapping'!U56&lt;=840), ('(橫掃)RX Mapping'!U56-601),IF(AND('(橫掃)RX Mapping'!U56&gt;=841,'(橫掃)RX Mapping'!U56&lt;=960), (-1)*('(橫掃)RX Mapping'!U56-960)+120,9999))))))))</f>
        <v>9999</v>
      </c>
      <c r="V56">
        <f>IF(AND('(橫掃)RX Mapping'!V56&gt;=1,'(橫掃)RX Mapping'!V56&lt;=120), ('(橫掃)RX Mapping'!V56-1),IF(AND('(橫掃)RX Mapping'!V56&gt;=121,'(橫掃)RX Mapping'!V56&lt;=240), (-1)*('(橫掃)RX Mapping'!V56-240),IF(AND('(橫掃)RX Mapping'!V56&gt;=241,'(橫掃)RX Mapping'!V56&lt;=360), ('(橫掃)RX Mapping'!V56-241),IF(AND('(橫掃)RX Mapping'!V56&gt;=361,'(橫掃)RX Mapping'!V56&lt;=480), (-1)*('(橫掃)RX Mapping'!V56-480),IF(AND('(橫掃)RX Mapping'!V56&gt;=481,'(橫掃)RX Mapping'!V56&lt;=600), ('(橫掃)RX Mapping'!V56-361),IF(AND('(橫掃)RX Mapping'!V56&gt;=601,'(橫掃)RX Mapping'!V56&lt;=720), (-1)*('(橫掃)RX Mapping'!V56-720)+120,IF(AND('(橫掃)RX Mapping'!V56&gt;=721,'(橫掃)RX Mapping'!V56&lt;=840), ('(橫掃)RX Mapping'!V56-601),IF(AND('(橫掃)RX Mapping'!V56&gt;=841,'(橫掃)RX Mapping'!V56&lt;=960), (-1)*('(橫掃)RX Mapping'!V56-960)+120,9999))))))))</f>
        <v>9999</v>
      </c>
      <c r="W56">
        <f>IF(AND('(橫掃)RX Mapping'!W56&gt;=1,'(橫掃)RX Mapping'!W56&lt;=120), ('(橫掃)RX Mapping'!W56-1),IF(AND('(橫掃)RX Mapping'!W56&gt;=121,'(橫掃)RX Mapping'!W56&lt;=240), (-1)*('(橫掃)RX Mapping'!W56-240),IF(AND('(橫掃)RX Mapping'!W56&gt;=241,'(橫掃)RX Mapping'!W56&lt;=360), ('(橫掃)RX Mapping'!W56-241),IF(AND('(橫掃)RX Mapping'!W56&gt;=361,'(橫掃)RX Mapping'!W56&lt;=480), (-1)*('(橫掃)RX Mapping'!W56-480),IF(AND('(橫掃)RX Mapping'!W56&gt;=481,'(橫掃)RX Mapping'!W56&lt;=600), ('(橫掃)RX Mapping'!W56-361),IF(AND('(橫掃)RX Mapping'!W56&gt;=601,'(橫掃)RX Mapping'!W56&lt;=720), (-1)*('(橫掃)RX Mapping'!W56-720)+120,IF(AND('(橫掃)RX Mapping'!W56&gt;=721,'(橫掃)RX Mapping'!W56&lt;=840), ('(橫掃)RX Mapping'!W56-601),IF(AND('(橫掃)RX Mapping'!W56&gt;=841,'(橫掃)RX Mapping'!W56&lt;=960), (-1)*('(橫掃)RX Mapping'!W56-960)+120,9999))))))))</f>
        <v>9999</v>
      </c>
      <c r="X56">
        <f>IF(AND('(橫掃)RX Mapping'!X56&gt;=1,'(橫掃)RX Mapping'!X56&lt;=120), ('(橫掃)RX Mapping'!X56-1),IF(AND('(橫掃)RX Mapping'!X56&gt;=121,'(橫掃)RX Mapping'!X56&lt;=240), (-1)*('(橫掃)RX Mapping'!X56-240),IF(AND('(橫掃)RX Mapping'!X56&gt;=241,'(橫掃)RX Mapping'!X56&lt;=360), ('(橫掃)RX Mapping'!X56-241),IF(AND('(橫掃)RX Mapping'!X56&gt;=361,'(橫掃)RX Mapping'!X56&lt;=480), (-1)*('(橫掃)RX Mapping'!X56-480),IF(AND('(橫掃)RX Mapping'!X56&gt;=481,'(橫掃)RX Mapping'!X56&lt;=600), ('(橫掃)RX Mapping'!X56-361),IF(AND('(橫掃)RX Mapping'!X56&gt;=601,'(橫掃)RX Mapping'!X56&lt;=720), (-1)*('(橫掃)RX Mapping'!X56-720)+120,IF(AND('(橫掃)RX Mapping'!X56&gt;=721,'(橫掃)RX Mapping'!X56&lt;=840), ('(橫掃)RX Mapping'!X56-601),IF(AND('(橫掃)RX Mapping'!X56&gt;=841,'(橫掃)RX Mapping'!X56&lt;=960), (-1)*('(橫掃)RX Mapping'!X56-960)+120,9999))))))))</f>
        <v>9999</v>
      </c>
      <c r="Y56">
        <f>IF(AND('(橫掃)RX Mapping'!Y56&gt;=1,'(橫掃)RX Mapping'!Y56&lt;=120), ('(橫掃)RX Mapping'!Y56-1),IF(AND('(橫掃)RX Mapping'!Y56&gt;=121,'(橫掃)RX Mapping'!Y56&lt;=240), (-1)*('(橫掃)RX Mapping'!Y56-240),IF(AND('(橫掃)RX Mapping'!Y56&gt;=241,'(橫掃)RX Mapping'!Y56&lt;=360), ('(橫掃)RX Mapping'!Y56-241),IF(AND('(橫掃)RX Mapping'!Y56&gt;=361,'(橫掃)RX Mapping'!Y56&lt;=480), (-1)*('(橫掃)RX Mapping'!Y56-480),IF(AND('(橫掃)RX Mapping'!Y56&gt;=481,'(橫掃)RX Mapping'!Y56&lt;=600), ('(橫掃)RX Mapping'!Y56-361),IF(AND('(橫掃)RX Mapping'!Y56&gt;=601,'(橫掃)RX Mapping'!Y56&lt;=720), (-1)*('(橫掃)RX Mapping'!Y56-720)+120,IF(AND('(橫掃)RX Mapping'!Y56&gt;=721,'(橫掃)RX Mapping'!Y56&lt;=840), ('(橫掃)RX Mapping'!Y56-601),IF(AND('(橫掃)RX Mapping'!Y56&gt;=841,'(橫掃)RX Mapping'!Y56&lt;=960), (-1)*('(橫掃)RX Mapping'!Y56-960)+120,9999))))))))</f>
        <v>9999</v>
      </c>
      <c r="Z56">
        <f>IF(AND('(橫掃)RX Mapping'!Z56&gt;=1,'(橫掃)RX Mapping'!Z56&lt;=120), ('(橫掃)RX Mapping'!Z56-1),IF(AND('(橫掃)RX Mapping'!Z56&gt;=121,'(橫掃)RX Mapping'!Z56&lt;=240), (-1)*('(橫掃)RX Mapping'!Z56-240),IF(AND('(橫掃)RX Mapping'!Z56&gt;=241,'(橫掃)RX Mapping'!Z56&lt;=360), ('(橫掃)RX Mapping'!Z56-241),IF(AND('(橫掃)RX Mapping'!Z56&gt;=361,'(橫掃)RX Mapping'!Z56&lt;=480), (-1)*('(橫掃)RX Mapping'!Z56-480),IF(AND('(橫掃)RX Mapping'!Z56&gt;=481,'(橫掃)RX Mapping'!Z56&lt;=600), ('(橫掃)RX Mapping'!Z56-361),IF(AND('(橫掃)RX Mapping'!Z56&gt;=601,'(橫掃)RX Mapping'!Z56&lt;=720), (-1)*('(橫掃)RX Mapping'!Z56-720)+120,IF(AND('(橫掃)RX Mapping'!Z56&gt;=721,'(橫掃)RX Mapping'!Z56&lt;=840), ('(橫掃)RX Mapping'!Z56-601),IF(AND('(橫掃)RX Mapping'!Z56&gt;=841,'(橫掃)RX Mapping'!Z56&lt;=960), (-1)*('(橫掃)RX Mapping'!Z56-960)+120,9999))))))))</f>
        <v>9999</v>
      </c>
      <c r="AA56">
        <f>IF(AND('(橫掃)RX Mapping'!AA56&gt;=1,'(橫掃)RX Mapping'!AA56&lt;=120), ('(橫掃)RX Mapping'!AA56-1),IF(AND('(橫掃)RX Mapping'!AA56&gt;=121,'(橫掃)RX Mapping'!AA56&lt;=240), (-1)*('(橫掃)RX Mapping'!AA56-240),IF(AND('(橫掃)RX Mapping'!AA56&gt;=241,'(橫掃)RX Mapping'!AA56&lt;=360), ('(橫掃)RX Mapping'!AA56-241),IF(AND('(橫掃)RX Mapping'!AA56&gt;=361,'(橫掃)RX Mapping'!AA56&lt;=480), (-1)*('(橫掃)RX Mapping'!AA56-480),IF(AND('(橫掃)RX Mapping'!AA56&gt;=481,'(橫掃)RX Mapping'!AA56&lt;=600), ('(橫掃)RX Mapping'!AA56-361),IF(AND('(橫掃)RX Mapping'!AA56&gt;=601,'(橫掃)RX Mapping'!AA56&lt;=720), (-1)*('(橫掃)RX Mapping'!AA56-720)+120,IF(AND('(橫掃)RX Mapping'!AA56&gt;=721,'(橫掃)RX Mapping'!AA56&lt;=840), ('(橫掃)RX Mapping'!AA56-601),IF(AND('(橫掃)RX Mapping'!AA56&gt;=841,'(橫掃)RX Mapping'!AA56&lt;=960), (-1)*('(橫掃)RX Mapping'!AA56-960)+120,9999))))))))</f>
        <v>9999</v>
      </c>
      <c r="AB56">
        <f>IF(AND('(橫掃)RX Mapping'!AB56&gt;=1,'(橫掃)RX Mapping'!AB56&lt;=120), ('(橫掃)RX Mapping'!AB56-1),IF(AND('(橫掃)RX Mapping'!AB56&gt;=121,'(橫掃)RX Mapping'!AB56&lt;=240), (-1)*('(橫掃)RX Mapping'!AB56-240),IF(AND('(橫掃)RX Mapping'!AB56&gt;=241,'(橫掃)RX Mapping'!AB56&lt;=360), ('(橫掃)RX Mapping'!AB56-241),IF(AND('(橫掃)RX Mapping'!AB56&gt;=361,'(橫掃)RX Mapping'!AB56&lt;=480), (-1)*('(橫掃)RX Mapping'!AB56-480),IF(AND('(橫掃)RX Mapping'!AB56&gt;=481,'(橫掃)RX Mapping'!AB56&lt;=600), ('(橫掃)RX Mapping'!AB56-361),IF(AND('(橫掃)RX Mapping'!AB56&gt;=601,'(橫掃)RX Mapping'!AB56&lt;=720), (-1)*('(橫掃)RX Mapping'!AB56-720)+120,IF(AND('(橫掃)RX Mapping'!AB56&gt;=721,'(橫掃)RX Mapping'!AB56&lt;=840), ('(橫掃)RX Mapping'!AB56-601),IF(AND('(橫掃)RX Mapping'!AB56&gt;=841,'(橫掃)RX Mapping'!AB56&lt;=960), (-1)*('(橫掃)RX Mapping'!AB56-960)+120,9999))))))))</f>
        <v>9999</v>
      </c>
      <c r="AC56">
        <f>IF(AND('(橫掃)RX Mapping'!AC56&gt;=1,'(橫掃)RX Mapping'!AC56&lt;=120), ('(橫掃)RX Mapping'!AC56-1),IF(AND('(橫掃)RX Mapping'!AC56&gt;=121,'(橫掃)RX Mapping'!AC56&lt;=240), (-1)*('(橫掃)RX Mapping'!AC56-240),IF(AND('(橫掃)RX Mapping'!AC56&gt;=241,'(橫掃)RX Mapping'!AC56&lt;=360), ('(橫掃)RX Mapping'!AC56-241),IF(AND('(橫掃)RX Mapping'!AC56&gt;=361,'(橫掃)RX Mapping'!AC56&lt;=480), (-1)*('(橫掃)RX Mapping'!AC56-480),IF(AND('(橫掃)RX Mapping'!AC56&gt;=481,'(橫掃)RX Mapping'!AC56&lt;=600), ('(橫掃)RX Mapping'!AC56-361),IF(AND('(橫掃)RX Mapping'!AC56&gt;=601,'(橫掃)RX Mapping'!AC56&lt;=720), (-1)*('(橫掃)RX Mapping'!AC56-720)+120,IF(AND('(橫掃)RX Mapping'!AC56&gt;=721,'(橫掃)RX Mapping'!AC56&lt;=840), ('(橫掃)RX Mapping'!AC56-601),IF(AND('(橫掃)RX Mapping'!AC56&gt;=841,'(橫掃)RX Mapping'!AC56&lt;=960), (-1)*('(橫掃)RX Mapping'!AC56-960)+120,9999))))))))</f>
        <v>9999</v>
      </c>
      <c r="AD56">
        <f>IF(AND('(橫掃)RX Mapping'!AD56&gt;=1,'(橫掃)RX Mapping'!AD56&lt;=120), ('(橫掃)RX Mapping'!AD56-1),IF(AND('(橫掃)RX Mapping'!AD56&gt;=121,'(橫掃)RX Mapping'!AD56&lt;=240), (-1)*('(橫掃)RX Mapping'!AD56-240),IF(AND('(橫掃)RX Mapping'!AD56&gt;=241,'(橫掃)RX Mapping'!AD56&lt;=360), ('(橫掃)RX Mapping'!AD56-241),IF(AND('(橫掃)RX Mapping'!AD56&gt;=361,'(橫掃)RX Mapping'!AD56&lt;=480), (-1)*('(橫掃)RX Mapping'!AD56-480),IF(AND('(橫掃)RX Mapping'!AD56&gt;=481,'(橫掃)RX Mapping'!AD56&lt;=600), ('(橫掃)RX Mapping'!AD56-361),IF(AND('(橫掃)RX Mapping'!AD56&gt;=601,'(橫掃)RX Mapping'!AD56&lt;=720), (-1)*('(橫掃)RX Mapping'!AD56-720)+120,IF(AND('(橫掃)RX Mapping'!AD56&gt;=721,'(橫掃)RX Mapping'!AD56&lt;=840), ('(橫掃)RX Mapping'!AD56-601),IF(AND('(橫掃)RX Mapping'!AD56&gt;=841,'(橫掃)RX Mapping'!AD56&lt;=960), (-1)*('(橫掃)RX Mapping'!AD56-960)+120,9999))))))))</f>
        <v>9999</v>
      </c>
      <c r="AE56">
        <f>IF(AND('(橫掃)RX Mapping'!AE56&gt;=1,'(橫掃)RX Mapping'!AE56&lt;=120), ('(橫掃)RX Mapping'!AE56-1),IF(AND('(橫掃)RX Mapping'!AE56&gt;=121,'(橫掃)RX Mapping'!AE56&lt;=240), (-1)*('(橫掃)RX Mapping'!AE56-240),IF(AND('(橫掃)RX Mapping'!AE56&gt;=241,'(橫掃)RX Mapping'!AE56&lt;=360), ('(橫掃)RX Mapping'!AE56-241),IF(AND('(橫掃)RX Mapping'!AE56&gt;=361,'(橫掃)RX Mapping'!AE56&lt;=480), (-1)*('(橫掃)RX Mapping'!AE56-480),IF(AND('(橫掃)RX Mapping'!AE56&gt;=481,'(橫掃)RX Mapping'!AE56&lt;=600), ('(橫掃)RX Mapping'!AE56-361),IF(AND('(橫掃)RX Mapping'!AE56&gt;=601,'(橫掃)RX Mapping'!AE56&lt;=720), (-1)*('(橫掃)RX Mapping'!AE56-720)+120,IF(AND('(橫掃)RX Mapping'!AE56&gt;=721,'(橫掃)RX Mapping'!AE56&lt;=840), ('(橫掃)RX Mapping'!AE56-601),IF(AND('(橫掃)RX Mapping'!AE56&gt;=841,'(橫掃)RX Mapping'!AE56&lt;=960), (-1)*('(橫掃)RX Mapping'!AE56-960)+120,9999))))))))</f>
        <v>9999</v>
      </c>
      <c r="AF56">
        <f>IF(AND('(橫掃)RX Mapping'!AF56&gt;=1,'(橫掃)RX Mapping'!AF56&lt;=120), ('(橫掃)RX Mapping'!AF56-1),IF(AND('(橫掃)RX Mapping'!AF56&gt;=121,'(橫掃)RX Mapping'!AF56&lt;=240), (-1)*('(橫掃)RX Mapping'!AF56-240),IF(AND('(橫掃)RX Mapping'!AF56&gt;=241,'(橫掃)RX Mapping'!AF56&lt;=360), ('(橫掃)RX Mapping'!AF56-241),IF(AND('(橫掃)RX Mapping'!AF56&gt;=361,'(橫掃)RX Mapping'!AF56&lt;=480), (-1)*('(橫掃)RX Mapping'!AF56-480),IF(AND('(橫掃)RX Mapping'!AF56&gt;=481,'(橫掃)RX Mapping'!AF56&lt;=600), ('(橫掃)RX Mapping'!AF56-361),IF(AND('(橫掃)RX Mapping'!AF56&gt;=601,'(橫掃)RX Mapping'!AF56&lt;=720), (-1)*('(橫掃)RX Mapping'!AF56-720)+120,IF(AND('(橫掃)RX Mapping'!AF56&gt;=721,'(橫掃)RX Mapping'!AF56&lt;=840), ('(橫掃)RX Mapping'!AF56-601),IF(AND('(橫掃)RX Mapping'!AF56&gt;=841,'(橫掃)RX Mapping'!AF56&lt;=960), (-1)*('(橫掃)RX Mapping'!AF56-960)+120,9999))))))))</f>
        <v>9999</v>
      </c>
      <c r="AG56">
        <f>IF(AND('(橫掃)RX Mapping'!AG56&gt;=1,'(橫掃)RX Mapping'!AG56&lt;=120), ('(橫掃)RX Mapping'!AG56-1),IF(AND('(橫掃)RX Mapping'!AG56&gt;=121,'(橫掃)RX Mapping'!AG56&lt;=240), (-1)*('(橫掃)RX Mapping'!AG56-240),IF(AND('(橫掃)RX Mapping'!AG56&gt;=241,'(橫掃)RX Mapping'!AG56&lt;=360), ('(橫掃)RX Mapping'!AG56-241),IF(AND('(橫掃)RX Mapping'!AG56&gt;=361,'(橫掃)RX Mapping'!AG56&lt;=480), (-1)*('(橫掃)RX Mapping'!AG56-480),IF(AND('(橫掃)RX Mapping'!AG56&gt;=481,'(橫掃)RX Mapping'!AG56&lt;=600), ('(橫掃)RX Mapping'!AG56-361),IF(AND('(橫掃)RX Mapping'!AG56&gt;=601,'(橫掃)RX Mapping'!AG56&lt;=720), (-1)*('(橫掃)RX Mapping'!AG56-720)+120,IF(AND('(橫掃)RX Mapping'!AG56&gt;=721,'(橫掃)RX Mapping'!AG56&lt;=840), ('(橫掃)RX Mapping'!AG56-601),IF(AND('(橫掃)RX Mapping'!AG56&gt;=841,'(橫掃)RX Mapping'!AG56&lt;=960), (-1)*('(橫掃)RX Mapping'!AG56-960)+120,9999))))))))</f>
        <v>9999</v>
      </c>
      <c r="AH56">
        <f>IF(AND('(橫掃)RX Mapping'!AH56&gt;=1,'(橫掃)RX Mapping'!AH56&lt;=120), ('(橫掃)RX Mapping'!AH56-1),IF(AND('(橫掃)RX Mapping'!AH56&gt;=121,'(橫掃)RX Mapping'!AH56&lt;=240), (-1)*('(橫掃)RX Mapping'!AH56-240),IF(AND('(橫掃)RX Mapping'!AH56&gt;=241,'(橫掃)RX Mapping'!AH56&lt;=360), ('(橫掃)RX Mapping'!AH56-241),IF(AND('(橫掃)RX Mapping'!AH56&gt;=361,'(橫掃)RX Mapping'!AH56&lt;=480), (-1)*('(橫掃)RX Mapping'!AH56-480),IF(AND('(橫掃)RX Mapping'!AH56&gt;=481,'(橫掃)RX Mapping'!AH56&lt;=600), ('(橫掃)RX Mapping'!AH56-361),IF(AND('(橫掃)RX Mapping'!AH56&gt;=601,'(橫掃)RX Mapping'!AH56&lt;=720), (-1)*('(橫掃)RX Mapping'!AH56-720)+120,IF(AND('(橫掃)RX Mapping'!AH56&gt;=721,'(橫掃)RX Mapping'!AH56&lt;=840), ('(橫掃)RX Mapping'!AH56-601),IF(AND('(橫掃)RX Mapping'!AH56&gt;=841,'(橫掃)RX Mapping'!AH56&lt;=960), (-1)*('(橫掃)RX Mapping'!AH56-960)+120,9999))))))))</f>
        <v>9999</v>
      </c>
      <c r="AI56">
        <f>IF(AND('(橫掃)RX Mapping'!AI56&gt;=1,'(橫掃)RX Mapping'!AI56&lt;=120), ('(橫掃)RX Mapping'!AI56-1),IF(AND('(橫掃)RX Mapping'!AI56&gt;=121,'(橫掃)RX Mapping'!AI56&lt;=240), (-1)*('(橫掃)RX Mapping'!AI56-240),IF(AND('(橫掃)RX Mapping'!AI56&gt;=241,'(橫掃)RX Mapping'!AI56&lt;=360), ('(橫掃)RX Mapping'!AI56-241),IF(AND('(橫掃)RX Mapping'!AI56&gt;=361,'(橫掃)RX Mapping'!AI56&lt;=480), (-1)*('(橫掃)RX Mapping'!AI56-480),IF(AND('(橫掃)RX Mapping'!AI56&gt;=481,'(橫掃)RX Mapping'!AI56&lt;=600), ('(橫掃)RX Mapping'!AI56-361),IF(AND('(橫掃)RX Mapping'!AI56&gt;=601,'(橫掃)RX Mapping'!AI56&lt;=720), (-1)*('(橫掃)RX Mapping'!AI56-720)+120,IF(AND('(橫掃)RX Mapping'!AI56&gt;=721,'(橫掃)RX Mapping'!AI56&lt;=840), ('(橫掃)RX Mapping'!AI56-601),IF(AND('(橫掃)RX Mapping'!AI56&gt;=841,'(橫掃)RX Mapping'!AI56&lt;=960), (-1)*('(橫掃)RX Mapping'!AI56-960)+120,9999))))))))</f>
        <v>9999</v>
      </c>
      <c r="AJ56">
        <f>IF(AND('(橫掃)RX Mapping'!AJ56&gt;=1,'(橫掃)RX Mapping'!AJ56&lt;=120), ('(橫掃)RX Mapping'!AJ56-1),IF(AND('(橫掃)RX Mapping'!AJ56&gt;=121,'(橫掃)RX Mapping'!AJ56&lt;=240), (-1)*('(橫掃)RX Mapping'!AJ56-240),IF(AND('(橫掃)RX Mapping'!AJ56&gt;=241,'(橫掃)RX Mapping'!AJ56&lt;=360), ('(橫掃)RX Mapping'!AJ56-241),IF(AND('(橫掃)RX Mapping'!AJ56&gt;=361,'(橫掃)RX Mapping'!AJ56&lt;=480), (-1)*('(橫掃)RX Mapping'!AJ56-480),IF(AND('(橫掃)RX Mapping'!AJ56&gt;=481,'(橫掃)RX Mapping'!AJ56&lt;=600), ('(橫掃)RX Mapping'!AJ56-361),IF(AND('(橫掃)RX Mapping'!AJ56&gt;=601,'(橫掃)RX Mapping'!AJ56&lt;=720), (-1)*('(橫掃)RX Mapping'!AJ56-720)+120,IF(AND('(橫掃)RX Mapping'!AJ56&gt;=721,'(橫掃)RX Mapping'!AJ56&lt;=840), ('(橫掃)RX Mapping'!AJ56-601),IF(AND('(橫掃)RX Mapping'!AJ56&gt;=841,'(橫掃)RX Mapping'!AJ56&lt;=960), (-1)*('(橫掃)RX Mapping'!AJ56-960)+120,9999))))))))</f>
        <v>9999</v>
      </c>
      <c r="AK56">
        <f>IF(AND('(橫掃)RX Mapping'!AK56&gt;=1,'(橫掃)RX Mapping'!AK56&lt;=120), ('(橫掃)RX Mapping'!AK56-1),IF(AND('(橫掃)RX Mapping'!AK56&gt;=121,'(橫掃)RX Mapping'!AK56&lt;=240), (-1)*('(橫掃)RX Mapping'!AK56-240),IF(AND('(橫掃)RX Mapping'!AK56&gt;=241,'(橫掃)RX Mapping'!AK56&lt;=360), ('(橫掃)RX Mapping'!AK56-241),IF(AND('(橫掃)RX Mapping'!AK56&gt;=361,'(橫掃)RX Mapping'!AK56&lt;=480), (-1)*('(橫掃)RX Mapping'!AK56-480),IF(AND('(橫掃)RX Mapping'!AK56&gt;=481,'(橫掃)RX Mapping'!AK56&lt;=600), ('(橫掃)RX Mapping'!AK56-361),IF(AND('(橫掃)RX Mapping'!AK56&gt;=601,'(橫掃)RX Mapping'!AK56&lt;=720), (-1)*('(橫掃)RX Mapping'!AK56-720)+120,IF(AND('(橫掃)RX Mapping'!AK56&gt;=721,'(橫掃)RX Mapping'!AK56&lt;=840), ('(橫掃)RX Mapping'!AK56-601),IF(AND('(橫掃)RX Mapping'!AK56&gt;=841,'(橫掃)RX Mapping'!AK56&lt;=960), (-1)*('(橫掃)RX Mapping'!AK56-960)+120,9999))))))))</f>
        <v>9999</v>
      </c>
      <c r="AL56">
        <f>IF(AND('(橫掃)RX Mapping'!AL56&gt;=1,'(橫掃)RX Mapping'!AL56&lt;=120), ('(橫掃)RX Mapping'!AL56-1),IF(AND('(橫掃)RX Mapping'!AL56&gt;=121,'(橫掃)RX Mapping'!AL56&lt;=240), (-1)*('(橫掃)RX Mapping'!AL56-240),IF(AND('(橫掃)RX Mapping'!AL56&gt;=241,'(橫掃)RX Mapping'!AL56&lt;=360), ('(橫掃)RX Mapping'!AL56-241),IF(AND('(橫掃)RX Mapping'!AL56&gt;=361,'(橫掃)RX Mapping'!AL56&lt;=480), (-1)*('(橫掃)RX Mapping'!AL56-480),IF(AND('(橫掃)RX Mapping'!AL56&gt;=481,'(橫掃)RX Mapping'!AL56&lt;=600), ('(橫掃)RX Mapping'!AL56-361),IF(AND('(橫掃)RX Mapping'!AL56&gt;=601,'(橫掃)RX Mapping'!AL56&lt;=720), (-1)*('(橫掃)RX Mapping'!AL56-720)+120,IF(AND('(橫掃)RX Mapping'!AL56&gt;=721,'(橫掃)RX Mapping'!AL56&lt;=840), ('(橫掃)RX Mapping'!AL56-601),IF(AND('(橫掃)RX Mapping'!AL56&gt;=841,'(橫掃)RX Mapping'!AL56&lt;=960), (-1)*('(橫掃)RX Mapping'!AL56-960)+120,9999))))))))</f>
        <v>9999</v>
      </c>
      <c r="AM56">
        <f>IF(AND('(橫掃)RX Mapping'!AM56&gt;=1,'(橫掃)RX Mapping'!AM56&lt;=120), ('(橫掃)RX Mapping'!AM56-1),IF(AND('(橫掃)RX Mapping'!AM56&gt;=121,'(橫掃)RX Mapping'!AM56&lt;=240), (-1)*('(橫掃)RX Mapping'!AM56-240),IF(AND('(橫掃)RX Mapping'!AM56&gt;=241,'(橫掃)RX Mapping'!AM56&lt;=360), ('(橫掃)RX Mapping'!AM56-241),IF(AND('(橫掃)RX Mapping'!AM56&gt;=361,'(橫掃)RX Mapping'!AM56&lt;=480), (-1)*('(橫掃)RX Mapping'!AM56-480),IF(AND('(橫掃)RX Mapping'!AM56&gt;=481,'(橫掃)RX Mapping'!AM56&lt;=600), ('(橫掃)RX Mapping'!AM56-361),IF(AND('(橫掃)RX Mapping'!AM56&gt;=601,'(橫掃)RX Mapping'!AM56&lt;=720), (-1)*('(橫掃)RX Mapping'!AM56-720)+120,IF(AND('(橫掃)RX Mapping'!AM56&gt;=721,'(橫掃)RX Mapping'!AM56&lt;=840), ('(橫掃)RX Mapping'!AM56-601),IF(AND('(橫掃)RX Mapping'!AM56&gt;=841,'(橫掃)RX Mapping'!AM56&lt;=960), (-1)*('(橫掃)RX Mapping'!AM56-960)+120,9999))))))))</f>
        <v>9999</v>
      </c>
      <c r="AN56">
        <f>IF(AND('(橫掃)RX Mapping'!AN56&gt;=1,'(橫掃)RX Mapping'!AN56&lt;=120), ('(橫掃)RX Mapping'!AN56-1),IF(AND('(橫掃)RX Mapping'!AN56&gt;=121,'(橫掃)RX Mapping'!AN56&lt;=240), (-1)*('(橫掃)RX Mapping'!AN56-240),IF(AND('(橫掃)RX Mapping'!AN56&gt;=241,'(橫掃)RX Mapping'!AN56&lt;=360), ('(橫掃)RX Mapping'!AN56-241),IF(AND('(橫掃)RX Mapping'!AN56&gt;=361,'(橫掃)RX Mapping'!AN56&lt;=480), (-1)*('(橫掃)RX Mapping'!AN56-480),IF(AND('(橫掃)RX Mapping'!AN56&gt;=481,'(橫掃)RX Mapping'!AN56&lt;=600), ('(橫掃)RX Mapping'!AN56-361),IF(AND('(橫掃)RX Mapping'!AN56&gt;=601,'(橫掃)RX Mapping'!AN56&lt;=720), (-1)*('(橫掃)RX Mapping'!AN56-720)+120,IF(AND('(橫掃)RX Mapping'!AN56&gt;=721,'(橫掃)RX Mapping'!AN56&lt;=840), ('(橫掃)RX Mapping'!AN56-601),IF(AND('(橫掃)RX Mapping'!AN56&gt;=841,'(橫掃)RX Mapping'!AN56&lt;=960), (-1)*('(橫掃)RX Mapping'!AN56-960)+120,9999))))))))</f>
        <v>9999</v>
      </c>
      <c r="AO56">
        <f>IF(AND('(橫掃)RX Mapping'!AO56&gt;=1,'(橫掃)RX Mapping'!AO56&lt;=120), ('(橫掃)RX Mapping'!AO56-1),IF(AND('(橫掃)RX Mapping'!AO56&gt;=121,'(橫掃)RX Mapping'!AO56&lt;=240), (-1)*('(橫掃)RX Mapping'!AO56-240),IF(AND('(橫掃)RX Mapping'!AO56&gt;=241,'(橫掃)RX Mapping'!AO56&lt;=360), ('(橫掃)RX Mapping'!AO56-241),IF(AND('(橫掃)RX Mapping'!AO56&gt;=361,'(橫掃)RX Mapping'!AO56&lt;=480), (-1)*('(橫掃)RX Mapping'!AO56-480),IF(AND('(橫掃)RX Mapping'!AO56&gt;=481,'(橫掃)RX Mapping'!AO56&lt;=600), ('(橫掃)RX Mapping'!AO56-361),IF(AND('(橫掃)RX Mapping'!AO56&gt;=601,'(橫掃)RX Mapping'!AO56&lt;=720), (-1)*('(橫掃)RX Mapping'!AO56-720)+120,IF(AND('(橫掃)RX Mapping'!AO56&gt;=721,'(橫掃)RX Mapping'!AO56&lt;=840), ('(橫掃)RX Mapping'!AO56-601),IF(AND('(橫掃)RX Mapping'!AO56&gt;=841,'(橫掃)RX Mapping'!AO56&lt;=960), (-1)*('(橫掃)RX Mapping'!AO56-960)+120,9999))))))))</f>
        <v>9999</v>
      </c>
      <c r="AP56">
        <f>IF(AND('(橫掃)RX Mapping'!AP56&gt;=1,'(橫掃)RX Mapping'!AP56&lt;=120), ('(橫掃)RX Mapping'!AP56-1),IF(AND('(橫掃)RX Mapping'!AP56&gt;=121,'(橫掃)RX Mapping'!AP56&lt;=240), (-1)*('(橫掃)RX Mapping'!AP56-240),IF(AND('(橫掃)RX Mapping'!AP56&gt;=241,'(橫掃)RX Mapping'!AP56&lt;=360), ('(橫掃)RX Mapping'!AP56-241),IF(AND('(橫掃)RX Mapping'!AP56&gt;=361,'(橫掃)RX Mapping'!AP56&lt;=480), (-1)*('(橫掃)RX Mapping'!AP56-480),IF(AND('(橫掃)RX Mapping'!AP56&gt;=481,'(橫掃)RX Mapping'!AP56&lt;=600), ('(橫掃)RX Mapping'!AP56-361),IF(AND('(橫掃)RX Mapping'!AP56&gt;=601,'(橫掃)RX Mapping'!AP56&lt;=720), (-1)*('(橫掃)RX Mapping'!AP56-720)+120,IF(AND('(橫掃)RX Mapping'!AP56&gt;=721,'(橫掃)RX Mapping'!AP56&lt;=840), ('(橫掃)RX Mapping'!AP56-601),IF(AND('(橫掃)RX Mapping'!AP56&gt;=841,'(橫掃)RX Mapping'!AP56&lt;=960), (-1)*('(橫掃)RX Mapping'!AP56-960)+120,9999))))))))</f>
        <v>9999</v>
      </c>
      <c r="AQ56">
        <f>IF(AND('(橫掃)RX Mapping'!AQ56&gt;=1,'(橫掃)RX Mapping'!AQ56&lt;=120), ('(橫掃)RX Mapping'!AQ56-1),IF(AND('(橫掃)RX Mapping'!AQ56&gt;=121,'(橫掃)RX Mapping'!AQ56&lt;=240), (-1)*('(橫掃)RX Mapping'!AQ56-240),IF(AND('(橫掃)RX Mapping'!AQ56&gt;=241,'(橫掃)RX Mapping'!AQ56&lt;=360), ('(橫掃)RX Mapping'!AQ56-241),IF(AND('(橫掃)RX Mapping'!AQ56&gt;=361,'(橫掃)RX Mapping'!AQ56&lt;=480), (-1)*('(橫掃)RX Mapping'!AQ56-480),IF(AND('(橫掃)RX Mapping'!AQ56&gt;=481,'(橫掃)RX Mapping'!AQ56&lt;=600), ('(橫掃)RX Mapping'!AQ56-361),IF(AND('(橫掃)RX Mapping'!AQ56&gt;=601,'(橫掃)RX Mapping'!AQ56&lt;=720), (-1)*('(橫掃)RX Mapping'!AQ56-720)+120,IF(AND('(橫掃)RX Mapping'!AQ56&gt;=721,'(橫掃)RX Mapping'!AQ56&lt;=840), ('(橫掃)RX Mapping'!AQ56-601),IF(AND('(橫掃)RX Mapping'!AQ56&gt;=841,'(橫掃)RX Mapping'!AQ56&lt;=960), (-1)*('(橫掃)RX Mapping'!AQ56-960)+120,9999))))))))</f>
        <v>9999</v>
      </c>
      <c r="AR56">
        <f>IF(AND('(橫掃)RX Mapping'!AR56&gt;=1,'(橫掃)RX Mapping'!AR56&lt;=120), ('(橫掃)RX Mapping'!AR56-1),IF(AND('(橫掃)RX Mapping'!AR56&gt;=121,'(橫掃)RX Mapping'!AR56&lt;=240), (-1)*('(橫掃)RX Mapping'!AR56-240),IF(AND('(橫掃)RX Mapping'!AR56&gt;=241,'(橫掃)RX Mapping'!AR56&lt;=360), ('(橫掃)RX Mapping'!AR56-241),IF(AND('(橫掃)RX Mapping'!AR56&gt;=361,'(橫掃)RX Mapping'!AR56&lt;=480), (-1)*('(橫掃)RX Mapping'!AR56-480),IF(AND('(橫掃)RX Mapping'!AR56&gt;=481,'(橫掃)RX Mapping'!AR56&lt;=600), ('(橫掃)RX Mapping'!AR56-361),IF(AND('(橫掃)RX Mapping'!AR56&gt;=601,'(橫掃)RX Mapping'!AR56&lt;=720), (-1)*('(橫掃)RX Mapping'!AR56-720)+120,IF(AND('(橫掃)RX Mapping'!AR56&gt;=721,'(橫掃)RX Mapping'!AR56&lt;=840), ('(橫掃)RX Mapping'!AR56-601),IF(AND('(橫掃)RX Mapping'!AR56&gt;=841,'(橫掃)RX Mapping'!AR56&lt;=960), (-1)*('(橫掃)RX Mapping'!AR56-960)+120,9999))))))))</f>
        <v>9999</v>
      </c>
      <c r="AS56">
        <f>IF(AND('(橫掃)RX Mapping'!AS56&gt;=1,'(橫掃)RX Mapping'!AS56&lt;=120), ('(橫掃)RX Mapping'!AS56-1),IF(AND('(橫掃)RX Mapping'!AS56&gt;=121,'(橫掃)RX Mapping'!AS56&lt;=240), (-1)*('(橫掃)RX Mapping'!AS56-240),IF(AND('(橫掃)RX Mapping'!AS56&gt;=241,'(橫掃)RX Mapping'!AS56&lt;=360), ('(橫掃)RX Mapping'!AS56-241),IF(AND('(橫掃)RX Mapping'!AS56&gt;=361,'(橫掃)RX Mapping'!AS56&lt;=480), (-1)*('(橫掃)RX Mapping'!AS56-480),IF(AND('(橫掃)RX Mapping'!AS56&gt;=481,'(橫掃)RX Mapping'!AS56&lt;=600), ('(橫掃)RX Mapping'!AS56-361),IF(AND('(橫掃)RX Mapping'!AS56&gt;=601,'(橫掃)RX Mapping'!AS56&lt;=720), (-1)*('(橫掃)RX Mapping'!AS56-720)+120,IF(AND('(橫掃)RX Mapping'!AS56&gt;=721,'(橫掃)RX Mapping'!AS56&lt;=840), ('(橫掃)RX Mapping'!AS56-601),IF(AND('(橫掃)RX Mapping'!AS56&gt;=841,'(橫掃)RX Mapping'!AS56&lt;=960), (-1)*('(橫掃)RX Mapping'!AS56-960)+120,9999))))))))</f>
        <v>9999</v>
      </c>
      <c r="AT56">
        <f>IF(AND('(橫掃)RX Mapping'!AT56&gt;=1,'(橫掃)RX Mapping'!AT56&lt;=120), ('(橫掃)RX Mapping'!AT56-1),IF(AND('(橫掃)RX Mapping'!AT56&gt;=121,'(橫掃)RX Mapping'!AT56&lt;=240), (-1)*('(橫掃)RX Mapping'!AT56-240),IF(AND('(橫掃)RX Mapping'!AT56&gt;=241,'(橫掃)RX Mapping'!AT56&lt;=360), ('(橫掃)RX Mapping'!AT56-241),IF(AND('(橫掃)RX Mapping'!AT56&gt;=361,'(橫掃)RX Mapping'!AT56&lt;=480), (-1)*('(橫掃)RX Mapping'!AT56-480),IF(AND('(橫掃)RX Mapping'!AT56&gt;=481,'(橫掃)RX Mapping'!AT56&lt;=600), ('(橫掃)RX Mapping'!AT56-361),IF(AND('(橫掃)RX Mapping'!AT56&gt;=601,'(橫掃)RX Mapping'!AT56&lt;=720), (-1)*('(橫掃)RX Mapping'!AT56-720)+120,IF(AND('(橫掃)RX Mapping'!AT56&gt;=721,'(橫掃)RX Mapping'!AT56&lt;=840), ('(橫掃)RX Mapping'!AT56-601),IF(AND('(橫掃)RX Mapping'!AT56&gt;=841,'(橫掃)RX Mapping'!AT56&lt;=960), (-1)*('(橫掃)RX Mapping'!AT56-960)+120,9999))))))))</f>
        <v>9999</v>
      </c>
      <c r="AU56">
        <f>IF(AND('(橫掃)RX Mapping'!AU56&gt;=1,'(橫掃)RX Mapping'!AU56&lt;=120), ('(橫掃)RX Mapping'!AU56-1),IF(AND('(橫掃)RX Mapping'!AU56&gt;=121,'(橫掃)RX Mapping'!AU56&lt;=240), (-1)*('(橫掃)RX Mapping'!AU56-240),IF(AND('(橫掃)RX Mapping'!AU56&gt;=241,'(橫掃)RX Mapping'!AU56&lt;=360), ('(橫掃)RX Mapping'!AU56-241),IF(AND('(橫掃)RX Mapping'!AU56&gt;=361,'(橫掃)RX Mapping'!AU56&lt;=480), (-1)*('(橫掃)RX Mapping'!AU56-480),IF(AND('(橫掃)RX Mapping'!AU56&gt;=481,'(橫掃)RX Mapping'!AU56&lt;=600), ('(橫掃)RX Mapping'!AU56-361),IF(AND('(橫掃)RX Mapping'!AU56&gt;=601,'(橫掃)RX Mapping'!AU56&lt;=720), (-1)*('(橫掃)RX Mapping'!AU56-720)+120,IF(AND('(橫掃)RX Mapping'!AU56&gt;=721,'(橫掃)RX Mapping'!AU56&lt;=840), ('(橫掃)RX Mapping'!AU56-601),IF(AND('(橫掃)RX Mapping'!AU56&gt;=841,'(橫掃)RX Mapping'!AU56&lt;=960), (-1)*('(橫掃)RX Mapping'!AU56-960)+120,9999))))))))</f>
        <v>9999</v>
      </c>
      <c r="AV56">
        <f>IF(AND('(橫掃)RX Mapping'!AV56&gt;=1,'(橫掃)RX Mapping'!AV56&lt;=120), ('(橫掃)RX Mapping'!AV56-1),IF(AND('(橫掃)RX Mapping'!AV56&gt;=121,'(橫掃)RX Mapping'!AV56&lt;=240), (-1)*('(橫掃)RX Mapping'!AV56-240),IF(AND('(橫掃)RX Mapping'!AV56&gt;=241,'(橫掃)RX Mapping'!AV56&lt;=360), ('(橫掃)RX Mapping'!AV56-241),IF(AND('(橫掃)RX Mapping'!AV56&gt;=361,'(橫掃)RX Mapping'!AV56&lt;=480), (-1)*('(橫掃)RX Mapping'!AV56-480),IF(AND('(橫掃)RX Mapping'!AV56&gt;=481,'(橫掃)RX Mapping'!AV56&lt;=600), ('(橫掃)RX Mapping'!AV56-361),IF(AND('(橫掃)RX Mapping'!AV56&gt;=601,'(橫掃)RX Mapping'!AV56&lt;=720), (-1)*('(橫掃)RX Mapping'!AV56-720)+120,IF(AND('(橫掃)RX Mapping'!AV56&gt;=721,'(橫掃)RX Mapping'!AV56&lt;=840), ('(橫掃)RX Mapping'!AV56-601),IF(AND('(橫掃)RX Mapping'!AV56&gt;=841,'(橫掃)RX Mapping'!AV56&lt;=960), (-1)*('(橫掃)RX Mapping'!AV56-960)+120,9999))))))))</f>
        <v>9999</v>
      </c>
      <c r="AW56">
        <f>IF(AND('(橫掃)RX Mapping'!AW56&gt;=1,'(橫掃)RX Mapping'!AW56&lt;=120), ('(橫掃)RX Mapping'!AW56-1),IF(AND('(橫掃)RX Mapping'!AW56&gt;=121,'(橫掃)RX Mapping'!AW56&lt;=240), (-1)*('(橫掃)RX Mapping'!AW56-240),IF(AND('(橫掃)RX Mapping'!AW56&gt;=241,'(橫掃)RX Mapping'!AW56&lt;=360), ('(橫掃)RX Mapping'!AW56-241),IF(AND('(橫掃)RX Mapping'!AW56&gt;=361,'(橫掃)RX Mapping'!AW56&lt;=480), (-1)*('(橫掃)RX Mapping'!AW56-480),IF(AND('(橫掃)RX Mapping'!AW56&gt;=481,'(橫掃)RX Mapping'!AW56&lt;=600), ('(橫掃)RX Mapping'!AW56-361),IF(AND('(橫掃)RX Mapping'!AW56&gt;=601,'(橫掃)RX Mapping'!AW56&lt;=720), (-1)*('(橫掃)RX Mapping'!AW56-720)+120,IF(AND('(橫掃)RX Mapping'!AW56&gt;=721,'(橫掃)RX Mapping'!AW56&lt;=840), ('(橫掃)RX Mapping'!AW56-601),IF(AND('(橫掃)RX Mapping'!AW56&gt;=841,'(橫掃)RX Mapping'!AW56&lt;=960), (-1)*('(橫掃)RX Mapping'!AW56-960)+120,9999))))))))</f>
        <v>9999</v>
      </c>
      <c r="AX56">
        <f>IF(AND('(橫掃)RX Mapping'!AX56&gt;=1,'(橫掃)RX Mapping'!AX56&lt;=120), ('(橫掃)RX Mapping'!AX56-1),IF(AND('(橫掃)RX Mapping'!AX56&gt;=121,'(橫掃)RX Mapping'!AX56&lt;=240), (-1)*('(橫掃)RX Mapping'!AX56-240),IF(AND('(橫掃)RX Mapping'!AX56&gt;=241,'(橫掃)RX Mapping'!AX56&lt;=360), ('(橫掃)RX Mapping'!AX56-241),IF(AND('(橫掃)RX Mapping'!AX56&gt;=361,'(橫掃)RX Mapping'!AX56&lt;=480), (-1)*('(橫掃)RX Mapping'!AX56-480),IF(AND('(橫掃)RX Mapping'!AX56&gt;=481,'(橫掃)RX Mapping'!AX56&lt;=600), ('(橫掃)RX Mapping'!AX56-361),IF(AND('(橫掃)RX Mapping'!AX56&gt;=601,'(橫掃)RX Mapping'!AX56&lt;=720), (-1)*('(橫掃)RX Mapping'!AX56-720)+120,IF(AND('(橫掃)RX Mapping'!AX56&gt;=721,'(橫掃)RX Mapping'!AX56&lt;=840), ('(橫掃)RX Mapping'!AX56-601),IF(AND('(橫掃)RX Mapping'!AX56&gt;=841,'(橫掃)RX Mapping'!AX56&lt;=960), (-1)*('(橫掃)RX Mapping'!AX56-960)+120,9999))))))))</f>
        <v>9999</v>
      </c>
      <c r="AY56">
        <f>IF(AND('(橫掃)RX Mapping'!AY56&gt;=1,'(橫掃)RX Mapping'!AY56&lt;=120), ('(橫掃)RX Mapping'!AY56-1),IF(AND('(橫掃)RX Mapping'!AY56&gt;=121,'(橫掃)RX Mapping'!AY56&lt;=240), (-1)*('(橫掃)RX Mapping'!AY56-240),IF(AND('(橫掃)RX Mapping'!AY56&gt;=241,'(橫掃)RX Mapping'!AY56&lt;=360), ('(橫掃)RX Mapping'!AY56-241),IF(AND('(橫掃)RX Mapping'!AY56&gt;=361,'(橫掃)RX Mapping'!AY56&lt;=480), (-1)*('(橫掃)RX Mapping'!AY56-480),IF(AND('(橫掃)RX Mapping'!AY56&gt;=481,'(橫掃)RX Mapping'!AY56&lt;=600), ('(橫掃)RX Mapping'!AY56-361),IF(AND('(橫掃)RX Mapping'!AY56&gt;=601,'(橫掃)RX Mapping'!AY56&lt;=720), (-1)*('(橫掃)RX Mapping'!AY56-720)+120,IF(AND('(橫掃)RX Mapping'!AY56&gt;=721,'(橫掃)RX Mapping'!AY56&lt;=840), ('(橫掃)RX Mapping'!AY56-601),IF(AND('(橫掃)RX Mapping'!AY56&gt;=841,'(橫掃)RX Mapping'!AY56&lt;=960), (-1)*('(橫掃)RX Mapping'!AY56-960)+120,9999))))))))</f>
        <v>9999</v>
      </c>
      <c r="AZ56">
        <f>IF(AND('(橫掃)RX Mapping'!AZ56&gt;=1,'(橫掃)RX Mapping'!AZ56&lt;=120), ('(橫掃)RX Mapping'!AZ56-1),IF(AND('(橫掃)RX Mapping'!AZ56&gt;=121,'(橫掃)RX Mapping'!AZ56&lt;=240), (-1)*('(橫掃)RX Mapping'!AZ56-240),IF(AND('(橫掃)RX Mapping'!AZ56&gt;=241,'(橫掃)RX Mapping'!AZ56&lt;=360), ('(橫掃)RX Mapping'!AZ56-241),IF(AND('(橫掃)RX Mapping'!AZ56&gt;=361,'(橫掃)RX Mapping'!AZ56&lt;=480), (-1)*('(橫掃)RX Mapping'!AZ56-480),IF(AND('(橫掃)RX Mapping'!AZ56&gt;=481,'(橫掃)RX Mapping'!AZ56&lt;=600), ('(橫掃)RX Mapping'!AZ56-361),IF(AND('(橫掃)RX Mapping'!AZ56&gt;=601,'(橫掃)RX Mapping'!AZ56&lt;=720), (-1)*('(橫掃)RX Mapping'!AZ56-720)+120,IF(AND('(橫掃)RX Mapping'!AZ56&gt;=721,'(橫掃)RX Mapping'!AZ56&lt;=840), ('(橫掃)RX Mapping'!AZ56-601),IF(AND('(橫掃)RX Mapping'!AZ56&gt;=841,'(橫掃)RX Mapping'!AZ56&lt;=960), (-1)*('(橫掃)RX Mapping'!AZ56-960)+120,9999))))))))</f>
        <v>9999</v>
      </c>
      <c r="BA56">
        <f>IF(AND('(橫掃)RX Mapping'!BA56&gt;=1,'(橫掃)RX Mapping'!BA56&lt;=120), ('(橫掃)RX Mapping'!BA56-1),IF(AND('(橫掃)RX Mapping'!BA56&gt;=121,'(橫掃)RX Mapping'!BA56&lt;=240), (-1)*('(橫掃)RX Mapping'!BA56-240),IF(AND('(橫掃)RX Mapping'!BA56&gt;=241,'(橫掃)RX Mapping'!BA56&lt;=360), ('(橫掃)RX Mapping'!BA56-241),IF(AND('(橫掃)RX Mapping'!BA56&gt;=361,'(橫掃)RX Mapping'!BA56&lt;=480), (-1)*('(橫掃)RX Mapping'!BA56-480),IF(AND('(橫掃)RX Mapping'!BA56&gt;=481,'(橫掃)RX Mapping'!BA56&lt;=600), ('(橫掃)RX Mapping'!BA56-361),IF(AND('(橫掃)RX Mapping'!BA56&gt;=601,'(橫掃)RX Mapping'!BA56&lt;=720), (-1)*('(橫掃)RX Mapping'!BA56-720)+120,IF(AND('(橫掃)RX Mapping'!BA56&gt;=721,'(橫掃)RX Mapping'!BA56&lt;=840), ('(橫掃)RX Mapping'!BA56-601),IF(AND('(橫掃)RX Mapping'!BA56&gt;=841,'(橫掃)RX Mapping'!BA56&lt;=960), (-1)*('(橫掃)RX Mapping'!BA56-960)+120,9999))))))))</f>
        <v>9999</v>
      </c>
      <c r="BB56">
        <f>IF(AND('(橫掃)RX Mapping'!BB56&gt;=1,'(橫掃)RX Mapping'!BB56&lt;=120), ('(橫掃)RX Mapping'!BB56-1),IF(AND('(橫掃)RX Mapping'!BB56&gt;=121,'(橫掃)RX Mapping'!BB56&lt;=240), (-1)*('(橫掃)RX Mapping'!BB56-240),IF(AND('(橫掃)RX Mapping'!BB56&gt;=241,'(橫掃)RX Mapping'!BB56&lt;=360), ('(橫掃)RX Mapping'!BB56-241),IF(AND('(橫掃)RX Mapping'!BB56&gt;=361,'(橫掃)RX Mapping'!BB56&lt;=480), (-1)*('(橫掃)RX Mapping'!BB56-480),IF(AND('(橫掃)RX Mapping'!BB56&gt;=481,'(橫掃)RX Mapping'!BB56&lt;=600), ('(橫掃)RX Mapping'!BB56-361),IF(AND('(橫掃)RX Mapping'!BB56&gt;=601,'(橫掃)RX Mapping'!BB56&lt;=720), (-1)*('(橫掃)RX Mapping'!BB56-720)+120,IF(AND('(橫掃)RX Mapping'!BB56&gt;=721,'(橫掃)RX Mapping'!BB56&lt;=840), ('(橫掃)RX Mapping'!BB56-601),IF(AND('(橫掃)RX Mapping'!BB56&gt;=841,'(橫掃)RX Mapping'!BB56&lt;=960), (-1)*('(橫掃)RX Mapping'!BB56-960)+120,9999))))))))</f>
        <v>9999</v>
      </c>
      <c r="BC56">
        <f>IF(AND('(橫掃)RX Mapping'!BC56&gt;=1,'(橫掃)RX Mapping'!BC56&lt;=120), ('(橫掃)RX Mapping'!BC56-1),IF(AND('(橫掃)RX Mapping'!BC56&gt;=121,'(橫掃)RX Mapping'!BC56&lt;=240), (-1)*('(橫掃)RX Mapping'!BC56-240),IF(AND('(橫掃)RX Mapping'!BC56&gt;=241,'(橫掃)RX Mapping'!BC56&lt;=360), ('(橫掃)RX Mapping'!BC56-241),IF(AND('(橫掃)RX Mapping'!BC56&gt;=361,'(橫掃)RX Mapping'!BC56&lt;=480), (-1)*('(橫掃)RX Mapping'!BC56-480),IF(AND('(橫掃)RX Mapping'!BC56&gt;=481,'(橫掃)RX Mapping'!BC56&lt;=600), ('(橫掃)RX Mapping'!BC56-361),IF(AND('(橫掃)RX Mapping'!BC56&gt;=601,'(橫掃)RX Mapping'!BC56&lt;=720), (-1)*('(橫掃)RX Mapping'!BC56-720)+120,IF(AND('(橫掃)RX Mapping'!BC56&gt;=721,'(橫掃)RX Mapping'!BC56&lt;=840), ('(橫掃)RX Mapping'!BC56-601),IF(AND('(橫掃)RX Mapping'!BC56&gt;=841,'(橫掃)RX Mapping'!BC56&lt;=960), (-1)*('(橫掃)RX Mapping'!BC56-960)+120,9999))))))))</f>
        <v>9999</v>
      </c>
      <c r="BD56">
        <f>IF(AND('(橫掃)RX Mapping'!BD56&gt;=1,'(橫掃)RX Mapping'!BD56&lt;=120), ('(橫掃)RX Mapping'!BD56-1),IF(AND('(橫掃)RX Mapping'!BD56&gt;=121,'(橫掃)RX Mapping'!BD56&lt;=240), (-1)*('(橫掃)RX Mapping'!BD56-240),IF(AND('(橫掃)RX Mapping'!BD56&gt;=241,'(橫掃)RX Mapping'!BD56&lt;=360), ('(橫掃)RX Mapping'!BD56-241),IF(AND('(橫掃)RX Mapping'!BD56&gt;=361,'(橫掃)RX Mapping'!BD56&lt;=480), (-1)*('(橫掃)RX Mapping'!BD56-480),IF(AND('(橫掃)RX Mapping'!BD56&gt;=481,'(橫掃)RX Mapping'!BD56&lt;=600), ('(橫掃)RX Mapping'!BD56-361),IF(AND('(橫掃)RX Mapping'!BD56&gt;=601,'(橫掃)RX Mapping'!BD56&lt;=720), (-1)*('(橫掃)RX Mapping'!BD56-720)+120,IF(AND('(橫掃)RX Mapping'!BD56&gt;=721,'(橫掃)RX Mapping'!BD56&lt;=840), ('(橫掃)RX Mapping'!BD56-601),IF(AND('(橫掃)RX Mapping'!BD56&gt;=841,'(橫掃)RX Mapping'!BD56&lt;=960), (-1)*('(橫掃)RX Mapping'!BD56-960)+120,9999))))))))</f>
        <v>9999</v>
      </c>
      <c r="BE56">
        <f>IF(AND('(橫掃)RX Mapping'!BE56&gt;=1,'(橫掃)RX Mapping'!BE56&lt;=120), ('(橫掃)RX Mapping'!BE56-1),IF(AND('(橫掃)RX Mapping'!BE56&gt;=121,'(橫掃)RX Mapping'!BE56&lt;=240), (-1)*('(橫掃)RX Mapping'!BE56-240),IF(AND('(橫掃)RX Mapping'!BE56&gt;=241,'(橫掃)RX Mapping'!BE56&lt;=360), ('(橫掃)RX Mapping'!BE56-241),IF(AND('(橫掃)RX Mapping'!BE56&gt;=361,'(橫掃)RX Mapping'!BE56&lt;=480), (-1)*('(橫掃)RX Mapping'!BE56-480),IF(AND('(橫掃)RX Mapping'!BE56&gt;=481,'(橫掃)RX Mapping'!BE56&lt;=600), ('(橫掃)RX Mapping'!BE56-361),IF(AND('(橫掃)RX Mapping'!BE56&gt;=601,'(橫掃)RX Mapping'!BE56&lt;=720), (-1)*('(橫掃)RX Mapping'!BE56-720)+120,IF(AND('(橫掃)RX Mapping'!BE56&gt;=721,'(橫掃)RX Mapping'!BE56&lt;=840), ('(橫掃)RX Mapping'!BE56-601),IF(AND('(橫掃)RX Mapping'!BE56&gt;=841,'(橫掃)RX Mapping'!BE56&lt;=960), (-1)*('(橫掃)RX Mapping'!BE56-960)+120,9999))))))))</f>
        <v>9999</v>
      </c>
      <c r="BF56">
        <f>IF(AND('(橫掃)RX Mapping'!BF56&gt;=1,'(橫掃)RX Mapping'!BF56&lt;=120), ('(橫掃)RX Mapping'!BF56-1),IF(AND('(橫掃)RX Mapping'!BF56&gt;=121,'(橫掃)RX Mapping'!BF56&lt;=240), (-1)*('(橫掃)RX Mapping'!BF56-240),IF(AND('(橫掃)RX Mapping'!BF56&gt;=241,'(橫掃)RX Mapping'!BF56&lt;=360), ('(橫掃)RX Mapping'!BF56-241),IF(AND('(橫掃)RX Mapping'!BF56&gt;=361,'(橫掃)RX Mapping'!BF56&lt;=480), (-1)*('(橫掃)RX Mapping'!BF56-480),IF(AND('(橫掃)RX Mapping'!BF56&gt;=481,'(橫掃)RX Mapping'!BF56&lt;=600), ('(橫掃)RX Mapping'!BF56-361),IF(AND('(橫掃)RX Mapping'!BF56&gt;=601,'(橫掃)RX Mapping'!BF56&lt;=720), (-1)*('(橫掃)RX Mapping'!BF56-720)+120,IF(AND('(橫掃)RX Mapping'!BF56&gt;=721,'(橫掃)RX Mapping'!BF56&lt;=840), ('(橫掃)RX Mapping'!BF56-601),IF(AND('(橫掃)RX Mapping'!BF56&gt;=841,'(橫掃)RX Mapping'!BF56&lt;=960), (-1)*('(橫掃)RX Mapping'!BF56-960)+120,9999))))))))</f>
        <v>9999</v>
      </c>
      <c r="BG56">
        <f>IF(AND('(橫掃)RX Mapping'!BG56&gt;=1,'(橫掃)RX Mapping'!BG56&lt;=120), ('(橫掃)RX Mapping'!BG56-1),IF(AND('(橫掃)RX Mapping'!BG56&gt;=121,'(橫掃)RX Mapping'!BG56&lt;=240), (-1)*('(橫掃)RX Mapping'!BG56-240),IF(AND('(橫掃)RX Mapping'!BG56&gt;=241,'(橫掃)RX Mapping'!BG56&lt;=360), ('(橫掃)RX Mapping'!BG56-241),IF(AND('(橫掃)RX Mapping'!BG56&gt;=361,'(橫掃)RX Mapping'!BG56&lt;=480), (-1)*('(橫掃)RX Mapping'!BG56-480),IF(AND('(橫掃)RX Mapping'!BG56&gt;=481,'(橫掃)RX Mapping'!BG56&lt;=600), ('(橫掃)RX Mapping'!BG56-361),IF(AND('(橫掃)RX Mapping'!BG56&gt;=601,'(橫掃)RX Mapping'!BG56&lt;=720), (-1)*('(橫掃)RX Mapping'!BG56-720)+120,IF(AND('(橫掃)RX Mapping'!BG56&gt;=721,'(橫掃)RX Mapping'!BG56&lt;=840), ('(橫掃)RX Mapping'!BG56-601),IF(AND('(橫掃)RX Mapping'!BG56&gt;=841,'(橫掃)RX Mapping'!BG56&lt;=960), (-1)*('(橫掃)RX Mapping'!BG56-960)+120,9999))))))))</f>
        <v>9999</v>
      </c>
      <c r="BH56">
        <f>IF(AND('(橫掃)RX Mapping'!BH56&gt;=1,'(橫掃)RX Mapping'!BH56&lt;=120), ('(橫掃)RX Mapping'!BH56-1),IF(AND('(橫掃)RX Mapping'!BH56&gt;=121,'(橫掃)RX Mapping'!BH56&lt;=240), (-1)*('(橫掃)RX Mapping'!BH56-240),IF(AND('(橫掃)RX Mapping'!BH56&gt;=241,'(橫掃)RX Mapping'!BH56&lt;=360), ('(橫掃)RX Mapping'!BH56-241),IF(AND('(橫掃)RX Mapping'!BH56&gt;=361,'(橫掃)RX Mapping'!BH56&lt;=480), (-1)*('(橫掃)RX Mapping'!BH56-480),IF(AND('(橫掃)RX Mapping'!BH56&gt;=481,'(橫掃)RX Mapping'!BH56&lt;=600), ('(橫掃)RX Mapping'!BH56-361),IF(AND('(橫掃)RX Mapping'!BH56&gt;=601,'(橫掃)RX Mapping'!BH56&lt;=720), (-1)*('(橫掃)RX Mapping'!BH56-720)+120,IF(AND('(橫掃)RX Mapping'!BH56&gt;=721,'(橫掃)RX Mapping'!BH56&lt;=840), ('(橫掃)RX Mapping'!BH56-601),IF(AND('(橫掃)RX Mapping'!BH56&gt;=841,'(橫掃)RX Mapping'!BH56&lt;=960), (-1)*('(橫掃)RX Mapping'!BH56-960)+120,9999))))))))</f>
        <v>9999</v>
      </c>
      <c r="BI56">
        <f>IF(AND('(橫掃)RX Mapping'!BI56&gt;=1,'(橫掃)RX Mapping'!BI56&lt;=120), ('(橫掃)RX Mapping'!BI56-1),IF(AND('(橫掃)RX Mapping'!BI56&gt;=121,'(橫掃)RX Mapping'!BI56&lt;=240), (-1)*('(橫掃)RX Mapping'!BI56-240),IF(AND('(橫掃)RX Mapping'!BI56&gt;=241,'(橫掃)RX Mapping'!BI56&lt;=360), ('(橫掃)RX Mapping'!BI56-241),IF(AND('(橫掃)RX Mapping'!BI56&gt;=361,'(橫掃)RX Mapping'!BI56&lt;=480), (-1)*('(橫掃)RX Mapping'!BI56-480),IF(AND('(橫掃)RX Mapping'!BI56&gt;=481,'(橫掃)RX Mapping'!BI56&lt;=600), ('(橫掃)RX Mapping'!BI56-361),IF(AND('(橫掃)RX Mapping'!BI56&gt;=601,'(橫掃)RX Mapping'!BI56&lt;=720), (-1)*('(橫掃)RX Mapping'!BI56-720)+120,IF(AND('(橫掃)RX Mapping'!BI56&gt;=721,'(橫掃)RX Mapping'!BI56&lt;=840), ('(橫掃)RX Mapping'!BI56-601),IF(AND('(橫掃)RX Mapping'!BI56&gt;=841,'(橫掃)RX Mapping'!BI56&lt;=960), (-1)*('(橫掃)RX Mapping'!BI56-960)+120,9999))))))))</f>
        <v>9999</v>
      </c>
    </row>
    <row r="57" spans="1:61" x14ac:dyDescent="0.25">
      <c r="A57" s="20">
        <v>56</v>
      </c>
      <c r="B57">
        <f>IF(AND('(橫掃)RX Mapping'!B57&gt;=1,'(橫掃)RX Mapping'!B57&lt;=120), ('(橫掃)RX Mapping'!B57-1),IF(AND('(橫掃)RX Mapping'!B57&gt;=121,'(橫掃)RX Mapping'!B57&lt;=240), (-1)*('(橫掃)RX Mapping'!B57-240),IF(AND('(橫掃)RX Mapping'!B57&gt;=241,'(橫掃)RX Mapping'!B57&lt;=360), ('(橫掃)RX Mapping'!B57-241),IF(AND('(橫掃)RX Mapping'!B57&gt;=361,'(橫掃)RX Mapping'!B57&lt;=480), (-1)*('(橫掃)RX Mapping'!B57-480),IF(AND('(橫掃)RX Mapping'!B57&gt;=481,'(橫掃)RX Mapping'!B57&lt;=600), ('(橫掃)RX Mapping'!B57-361),IF(AND('(橫掃)RX Mapping'!B57&gt;=601,'(橫掃)RX Mapping'!B57&lt;=720), (-1)*('(橫掃)RX Mapping'!B57-720)+120,IF(AND('(橫掃)RX Mapping'!B57&gt;=721,'(橫掃)RX Mapping'!B57&lt;=840), ('(橫掃)RX Mapping'!B57-601),IF(AND('(橫掃)RX Mapping'!B57&gt;=841,'(橫掃)RX Mapping'!B57&lt;=960), (-1)*('(橫掃)RX Mapping'!B57-960)+120,9999))))))))</f>
        <v>9999</v>
      </c>
      <c r="C57">
        <f>IF(AND('(橫掃)RX Mapping'!C57&gt;=1,'(橫掃)RX Mapping'!C57&lt;=120), ('(橫掃)RX Mapping'!C57-1),IF(AND('(橫掃)RX Mapping'!C57&gt;=121,'(橫掃)RX Mapping'!C57&lt;=240), (-1)*('(橫掃)RX Mapping'!C57-240),IF(AND('(橫掃)RX Mapping'!C57&gt;=241,'(橫掃)RX Mapping'!C57&lt;=360), ('(橫掃)RX Mapping'!C57-241),IF(AND('(橫掃)RX Mapping'!C57&gt;=361,'(橫掃)RX Mapping'!C57&lt;=480), (-1)*('(橫掃)RX Mapping'!C57-480),IF(AND('(橫掃)RX Mapping'!C57&gt;=481,'(橫掃)RX Mapping'!C57&lt;=600), ('(橫掃)RX Mapping'!C57-361),IF(AND('(橫掃)RX Mapping'!C57&gt;=601,'(橫掃)RX Mapping'!C57&lt;=720), (-1)*('(橫掃)RX Mapping'!C57-720)+120,IF(AND('(橫掃)RX Mapping'!C57&gt;=721,'(橫掃)RX Mapping'!C57&lt;=840), ('(橫掃)RX Mapping'!C57-601),IF(AND('(橫掃)RX Mapping'!C57&gt;=841,'(橫掃)RX Mapping'!C57&lt;=960), (-1)*('(橫掃)RX Mapping'!C57-960)+120,9999))))))))</f>
        <v>9999</v>
      </c>
      <c r="D57">
        <f>IF(AND('(橫掃)RX Mapping'!D57&gt;=1,'(橫掃)RX Mapping'!D57&lt;=120), ('(橫掃)RX Mapping'!D57-1),IF(AND('(橫掃)RX Mapping'!D57&gt;=121,'(橫掃)RX Mapping'!D57&lt;=240), (-1)*('(橫掃)RX Mapping'!D57-240),IF(AND('(橫掃)RX Mapping'!D57&gt;=241,'(橫掃)RX Mapping'!D57&lt;=360), ('(橫掃)RX Mapping'!D57-241),IF(AND('(橫掃)RX Mapping'!D57&gt;=361,'(橫掃)RX Mapping'!D57&lt;=480), (-1)*('(橫掃)RX Mapping'!D57-480),IF(AND('(橫掃)RX Mapping'!D57&gt;=481,'(橫掃)RX Mapping'!D57&lt;=600), ('(橫掃)RX Mapping'!D57-361),IF(AND('(橫掃)RX Mapping'!D57&gt;=601,'(橫掃)RX Mapping'!D57&lt;=720), (-1)*('(橫掃)RX Mapping'!D57-720)+120,IF(AND('(橫掃)RX Mapping'!D57&gt;=721,'(橫掃)RX Mapping'!D57&lt;=840), ('(橫掃)RX Mapping'!D57-601),IF(AND('(橫掃)RX Mapping'!D57&gt;=841,'(橫掃)RX Mapping'!D57&lt;=960), (-1)*('(橫掃)RX Mapping'!D57-960)+120,9999))))))))</f>
        <v>9999</v>
      </c>
      <c r="E57">
        <f>IF(AND('(橫掃)RX Mapping'!E57&gt;=1,'(橫掃)RX Mapping'!E57&lt;=120), ('(橫掃)RX Mapping'!E57-1),IF(AND('(橫掃)RX Mapping'!E57&gt;=121,'(橫掃)RX Mapping'!E57&lt;=240), (-1)*('(橫掃)RX Mapping'!E57-240),IF(AND('(橫掃)RX Mapping'!E57&gt;=241,'(橫掃)RX Mapping'!E57&lt;=360), ('(橫掃)RX Mapping'!E57-241),IF(AND('(橫掃)RX Mapping'!E57&gt;=361,'(橫掃)RX Mapping'!E57&lt;=480), (-1)*('(橫掃)RX Mapping'!E57-480),IF(AND('(橫掃)RX Mapping'!E57&gt;=481,'(橫掃)RX Mapping'!E57&lt;=600), ('(橫掃)RX Mapping'!E57-361),IF(AND('(橫掃)RX Mapping'!E57&gt;=601,'(橫掃)RX Mapping'!E57&lt;=720), (-1)*('(橫掃)RX Mapping'!E57-720)+120,IF(AND('(橫掃)RX Mapping'!E57&gt;=721,'(橫掃)RX Mapping'!E57&lt;=840), ('(橫掃)RX Mapping'!E57-601),IF(AND('(橫掃)RX Mapping'!E57&gt;=841,'(橫掃)RX Mapping'!E57&lt;=960), (-1)*('(橫掃)RX Mapping'!E57-960)+120,9999))))))))</f>
        <v>9999</v>
      </c>
      <c r="F57">
        <f>IF(AND('(橫掃)RX Mapping'!F57&gt;=1,'(橫掃)RX Mapping'!F57&lt;=120), ('(橫掃)RX Mapping'!F57-1),IF(AND('(橫掃)RX Mapping'!F57&gt;=121,'(橫掃)RX Mapping'!F57&lt;=240), (-1)*('(橫掃)RX Mapping'!F57-240),IF(AND('(橫掃)RX Mapping'!F57&gt;=241,'(橫掃)RX Mapping'!F57&lt;=360), ('(橫掃)RX Mapping'!F57-241),IF(AND('(橫掃)RX Mapping'!F57&gt;=361,'(橫掃)RX Mapping'!F57&lt;=480), (-1)*('(橫掃)RX Mapping'!F57-480),IF(AND('(橫掃)RX Mapping'!F57&gt;=481,'(橫掃)RX Mapping'!F57&lt;=600), ('(橫掃)RX Mapping'!F57-361),IF(AND('(橫掃)RX Mapping'!F57&gt;=601,'(橫掃)RX Mapping'!F57&lt;=720), (-1)*('(橫掃)RX Mapping'!F57-720)+120,IF(AND('(橫掃)RX Mapping'!F57&gt;=721,'(橫掃)RX Mapping'!F57&lt;=840), ('(橫掃)RX Mapping'!F57-601),IF(AND('(橫掃)RX Mapping'!F57&gt;=841,'(橫掃)RX Mapping'!F57&lt;=960), (-1)*('(橫掃)RX Mapping'!F57-960)+120,9999))))))))</f>
        <v>9999</v>
      </c>
      <c r="G57">
        <f>IF(AND('(橫掃)RX Mapping'!G57&gt;=1,'(橫掃)RX Mapping'!G57&lt;=120), ('(橫掃)RX Mapping'!G57-1),IF(AND('(橫掃)RX Mapping'!G57&gt;=121,'(橫掃)RX Mapping'!G57&lt;=240), (-1)*('(橫掃)RX Mapping'!G57-240),IF(AND('(橫掃)RX Mapping'!G57&gt;=241,'(橫掃)RX Mapping'!G57&lt;=360), ('(橫掃)RX Mapping'!G57-241),IF(AND('(橫掃)RX Mapping'!G57&gt;=361,'(橫掃)RX Mapping'!G57&lt;=480), (-1)*('(橫掃)RX Mapping'!G57-480),IF(AND('(橫掃)RX Mapping'!G57&gt;=481,'(橫掃)RX Mapping'!G57&lt;=600), ('(橫掃)RX Mapping'!G57-361),IF(AND('(橫掃)RX Mapping'!G57&gt;=601,'(橫掃)RX Mapping'!G57&lt;=720), (-1)*('(橫掃)RX Mapping'!G57-720)+120,IF(AND('(橫掃)RX Mapping'!G57&gt;=721,'(橫掃)RX Mapping'!G57&lt;=840), ('(橫掃)RX Mapping'!G57-601),IF(AND('(橫掃)RX Mapping'!G57&gt;=841,'(橫掃)RX Mapping'!G57&lt;=960), (-1)*('(橫掃)RX Mapping'!G57-960)+120,9999))))))))</f>
        <v>9999</v>
      </c>
      <c r="H57">
        <f>IF(AND('(橫掃)RX Mapping'!H57&gt;=1,'(橫掃)RX Mapping'!H57&lt;=120), ('(橫掃)RX Mapping'!H57-1),IF(AND('(橫掃)RX Mapping'!H57&gt;=121,'(橫掃)RX Mapping'!H57&lt;=240), (-1)*('(橫掃)RX Mapping'!H57-240),IF(AND('(橫掃)RX Mapping'!H57&gt;=241,'(橫掃)RX Mapping'!H57&lt;=360), ('(橫掃)RX Mapping'!H57-241),IF(AND('(橫掃)RX Mapping'!H57&gt;=361,'(橫掃)RX Mapping'!H57&lt;=480), (-1)*('(橫掃)RX Mapping'!H57-480),IF(AND('(橫掃)RX Mapping'!H57&gt;=481,'(橫掃)RX Mapping'!H57&lt;=600), ('(橫掃)RX Mapping'!H57-361),IF(AND('(橫掃)RX Mapping'!H57&gt;=601,'(橫掃)RX Mapping'!H57&lt;=720), (-1)*('(橫掃)RX Mapping'!H57-720)+120,IF(AND('(橫掃)RX Mapping'!H57&gt;=721,'(橫掃)RX Mapping'!H57&lt;=840), ('(橫掃)RX Mapping'!H57-601),IF(AND('(橫掃)RX Mapping'!H57&gt;=841,'(橫掃)RX Mapping'!H57&lt;=960), (-1)*('(橫掃)RX Mapping'!H57-960)+120,9999))))))))</f>
        <v>9999</v>
      </c>
      <c r="I57">
        <f>IF(AND('(橫掃)RX Mapping'!I57&gt;=1,'(橫掃)RX Mapping'!I57&lt;=120), ('(橫掃)RX Mapping'!I57-1),IF(AND('(橫掃)RX Mapping'!I57&gt;=121,'(橫掃)RX Mapping'!I57&lt;=240), (-1)*('(橫掃)RX Mapping'!I57-240),IF(AND('(橫掃)RX Mapping'!I57&gt;=241,'(橫掃)RX Mapping'!I57&lt;=360), ('(橫掃)RX Mapping'!I57-241),IF(AND('(橫掃)RX Mapping'!I57&gt;=361,'(橫掃)RX Mapping'!I57&lt;=480), (-1)*('(橫掃)RX Mapping'!I57-480),IF(AND('(橫掃)RX Mapping'!I57&gt;=481,'(橫掃)RX Mapping'!I57&lt;=600), ('(橫掃)RX Mapping'!I57-361),IF(AND('(橫掃)RX Mapping'!I57&gt;=601,'(橫掃)RX Mapping'!I57&lt;=720), (-1)*('(橫掃)RX Mapping'!I57-720)+120,IF(AND('(橫掃)RX Mapping'!I57&gt;=721,'(橫掃)RX Mapping'!I57&lt;=840), ('(橫掃)RX Mapping'!I57-601),IF(AND('(橫掃)RX Mapping'!I57&gt;=841,'(橫掃)RX Mapping'!I57&lt;=960), (-1)*('(橫掃)RX Mapping'!I57-960)+120,9999))))))))</f>
        <v>9999</v>
      </c>
      <c r="J57">
        <f>IF(AND('(橫掃)RX Mapping'!J57&gt;=1,'(橫掃)RX Mapping'!J57&lt;=120), ('(橫掃)RX Mapping'!J57-1),IF(AND('(橫掃)RX Mapping'!J57&gt;=121,'(橫掃)RX Mapping'!J57&lt;=240), (-1)*('(橫掃)RX Mapping'!J57-240),IF(AND('(橫掃)RX Mapping'!J57&gt;=241,'(橫掃)RX Mapping'!J57&lt;=360), ('(橫掃)RX Mapping'!J57-241),IF(AND('(橫掃)RX Mapping'!J57&gt;=361,'(橫掃)RX Mapping'!J57&lt;=480), (-1)*('(橫掃)RX Mapping'!J57-480),IF(AND('(橫掃)RX Mapping'!J57&gt;=481,'(橫掃)RX Mapping'!J57&lt;=600), ('(橫掃)RX Mapping'!J57-361),IF(AND('(橫掃)RX Mapping'!J57&gt;=601,'(橫掃)RX Mapping'!J57&lt;=720), (-1)*('(橫掃)RX Mapping'!J57-720)+120,IF(AND('(橫掃)RX Mapping'!J57&gt;=721,'(橫掃)RX Mapping'!J57&lt;=840), ('(橫掃)RX Mapping'!J57-601),IF(AND('(橫掃)RX Mapping'!J57&gt;=841,'(橫掃)RX Mapping'!J57&lt;=960), (-1)*('(橫掃)RX Mapping'!J57-960)+120,9999))))))))</f>
        <v>9999</v>
      </c>
      <c r="K57">
        <f>IF(AND('(橫掃)RX Mapping'!K57&gt;=1,'(橫掃)RX Mapping'!K57&lt;=120), ('(橫掃)RX Mapping'!K57-1),IF(AND('(橫掃)RX Mapping'!K57&gt;=121,'(橫掃)RX Mapping'!K57&lt;=240), (-1)*('(橫掃)RX Mapping'!K57-240),IF(AND('(橫掃)RX Mapping'!K57&gt;=241,'(橫掃)RX Mapping'!K57&lt;=360), ('(橫掃)RX Mapping'!K57-241),IF(AND('(橫掃)RX Mapping'!K57&gt;=361,'(橫掃)RX Mapping'!K57&lt;=480), (-1)*('(橫掃)RX Mapping'!K57-480),IF(AND('(橫掃)RX Mapping'!K57&gt;=481,'(橫掃)RX Mapping'!K57&lt;=600), ('(橫掃)RX Mapping'!K57-361),IF(AND('(橫掃)RX Mapping'!K57&gt;=601,'(橫掃)RX Mapping'!K57&lt;=720), (-1)*('(橫掃)RX Mapping'!K57-720)+120,IF(AND('(橫掃)RX Mapping'!K57&gt;=721,'(橫掃)RX Mapping'!K57&lt;=840), ('(橫掃)RX Mapping'!K57-601),IF(AND('(橫掃)RX Mapping'!K57&gt;=841,'(橫掃)RX Mapping'!K57&lt;=960), (-1)*('(橫掃)RX Mapping'!K57-960)+120,9999))))))))</f>
        <v>9999</v>
      </c>
      <c r="L57">
        <f>IF(AND('(橫掃)RX Mapping'!L57&gt;=1,'(橫掃)RX Mapping'!L57&lt;=120), ('(橫掃)RX Mapping'!L57-1),IF(AND('(橫掃)RX Mapping'!L57&gt;=121,'(橫掃)RX Mapping'!L57&lt;=240), (-1)*('(橫掃)RX Mapping'!L57-240),IF(AND('(橫掃)RX Mapping'!L57&gt;=241,'(橫掃)RX Mapping'!L57&lt;=360), ('(橫掃)RX Mapping'!L57-241),IF(AND('(橫掃)RX Mapping'!L57&gt;=361,'(橫掃)RX Mapping'!L57&lt;=480), (-1)*('(橫掃)RX Mapping'!L57-480),IF(AND('(橫掃)RX Mapping'!L57&gt;=481,'(橫掃)RX Mapping'!L57&lt;=600), ('(橫掃)RX Mapping'!L57-361),IF(AND('(橫掃)RX Mapping'!L57&gt;=601,'(橫掃)RX Mapping'!L57&lt;=720), (-1)*('(橫掃)RX Mapping'!L57-720)+120,IF(AND('(橫掃)RX Mapping'!L57&gt;=721,'(橫掃)RX Mapping'!L57&lt;=840), ('(橫掃)RX Mapping'!L57-601),IF(AND('(橫掃)RX Mapping'!L57&gt;=841,'(橫掃)RX Mapping'!L57&lt;=960), (-1)*('(橫掃)RX Mapping'!L57-960)+120,9999))))))))</f>
        <v>9999</v>
      </c>
      <c r="M57">
        <f>IF(AND('(橫掃)RX Mapping'!M57&gt;=1,'(橫掃)RX Mapping'!M57&lt;=120), ('(橫掃)RX Mapping'!M57-1),IF(AND('(橫掃)RX Mapping'!M57&gt;=121,'(橫掃)RX Mapping'!M57&lt;=240), (-1)*('(橫掃)RX Mapping'!M57-240),IF(AND('(橫掃)RX Mapping'!M57&gt;=241,'(橫掃)RX Mapping'!M57&lt;=360), ('(橫掃)RX Mapping'!M57-241),IF(AND('(橫掃)RX Mapping'!M57&gt;=361,'(橫掃)RX Mapping'!M57&lt;=480), (-1)*('(橫掃)RX Mapping'!M57-480),IF(AND('(橫掃)RX Mapping'!M57&gt;=481,'(橫掃)RX Mapping'!M57&lt;=600), ('(橫掃)RX Mapping'!M57-361),IF(AND('(橫掃)RX Mapping'!M57&gt;=601,'(橫掃)RX Mapping'!M57&lt;=720), (-1)*('(橫掃)RX Mapping'!M57-720)+120,IF(AND('(橫掃)RX Mapping'!M57&gt;=721,'(橫掃)RX Mapping'!M57&lt;=840), ('(橫掃)RX Mapping'!M57-601),IF(AND('(橫掃)RX Mapping'!M57&gt;=841,'(橫掃)RX Mapping'!M57&lt;=960), (-1)*('(橫掃)RX Mapping'!M57-960)+120,9999))))))))</f>
        <v>9999</v>
      </c>
      <c r="N57">
        <f>IF(AND('(橫掃)RX Mapping'!N57&gt;=1,'(橫掃)RX Mapping'!N57&lt;=120), ('(橫掃)RX Mapping'!N57-1),IF(AND('(橫掃)RX Mapping'!N57&gt;=121,'(橫掃)RX Mapping'!N57&lt;=240), (-1)*('(橫掃)RX Mapping'!N57-240),IF(AND('(橫掃)RX Mapping'!N57&gt;=241,'(橫掃)RX Mapping'!N57&lt;=360), ('(橫掃)RX Mapping'!N57-241),IF(AND('(橫掃)RX Mapping'!N57&gt;=361,'(橫掃)RX Mapping'!N57&lt;=480), (-1)*('(橫掃)RX Mapping'!N57-480),IF(AND('(橫掃)RX Mapping'!N57&gt;=481,'(橫掃)RX Mapping'!N57&lt;=600), ('(橫掃)RX Mapping'!N57-361),IF(AND('(橫掃)RX Mapping'!N57&gt;=601,'(橫掃)RX Mapping'!N57&lt;=720), (-1)*('(橫掃)RX Mapping'!N57-720)+120,IF(AND('(橫掃)RX Mapping'!N57&gt;=721,'(橫掃)RX Mapping'!N57&lt;=840), ('(橫掃)RX Mapping'!N57-601),IF(AND('(橫掃)RX Mapping'!N57&gt;=841,'(橫掃)RX Mapping'!N57&lt;=960), (-1)*('(橫掃)RX Mapping'!N57-960)+120,9999))))))))</f>
        <v>9999</v>
      </c>
      <c r="O57">
        <f>IF(AND('(橫掃)RX Mapping'!O57&gt;=1,'(橫掃)RX Mapping'!O57&lt;=120), ('(橫掃)RX Mapping'!O57-1),IF(AND('(橫掃)RX Mapping'!O57&gt;=121,'(橫掃)RX Mapping'!O57&lt;=240), (-1)*('(橫掃)RX Mapping'!O57-240),IF(AND('(橫掃)RX Mapping'!O57&gt;=241,'(橫掃)RX Mapping'!O57&lt;=360), ('(橫掃)RX Mapping'!O57-241),IF(AND('(橫掃)RX Mapping'!O57&gt;=361,'(橫掃)RX Mapping'!O57&lt;=480), (-1)*('(橫掃)RX Mapping'!O57-480),IF(AND('(橫掃)RX Mapping'!O57&gt;=481,'(橫掃)RX Mapping'!O57&lt;=600), ('(橫掃)RX Mapping'!O57-361),IF(AND('(橫掃)RX Mapping'!O57&gt;=601,'(橫掃)RX Mapping'!O57&lt;=720), (-1)*('(橫掃)RX Mapping'!O57-720)+120,IF(AND('(橫掃)RX Mapping'!O57&gt;=721,'(橫掃)RX Mapping'!O57&lt;=840), ('(橫掃)RX Mapping'!O57-601),IF(AND('(橫掃)RX Mapping'!O57&gt;=841,'(橫掃)RX Mapping'!O57&lt;=960), (-1)*('(橫掃)RX Mapping'!O57-960)+120,9999))))))))</f>
        <v>9999</v>
      </c>
      <c r="P57">
        <f>IF(AND('(橫掃)RX Mapping'!P57&gt;=1,'(橫掃)RX Mapping'!P57&lt;=120), ('(橫掃)RX Mapping'!P57-1),IF(AND('(橫掃)RX Mapping'!P57&gt;=121,'(橫掃)RX Mapping'!P57&lt;=240), (-1)*('(橫掃)RX Mapping'!P57-240),IF(AND('(橫掃)RX Mapping'!P57&gt;=241,'(橫掃)RX Mapping'!P57&lt;=360), ('(橫掃)RX Mapping'!P57-241),IF(AND('(橫掃)RX Mapping'!P57&gt;=361,'(橫掃)RX Mapping'!P57&lt;=480), (-1)*('(橫掃)RX Mapping'!P57-480),IF(AND('(橫掃)RX Mapping'!P57&gt;=481,'(橫掃)RX Mapping'!P57&lt;=600), ('(橫掃)RX Mapping'!P57-361),IF(AND('(橫掃)RX Mapping'!P57&gt;=601,'(橫掃)RX Mapping'!P57&lt;=720), (-1)*('(橫掃)RX Mapping'!P57-720)+120,IF(AND('(橫掃)RX Mapping'!P57&gt;=721,'(橫掃)RX Mapping'!P57&lt;=840), ('(橫掃)RX Mapping'!P57-601),IF(AND('(橫掃)RX Mapping'!P57&gt;=841,'(橫掃)RX Mapping'!P57&lt;=960), (-1)*('(橫掃)RX Mapping'!P57-960)+120,9999))))))))</f>
        <v>9999</v>
      </c>
      <c r="Q57">
        <f>IF(AND('(橫掃)RX Mapping'!Q57&gt;=1,'(橫掃)RX Mapping'!Q57&lt;=120), ('(橫掃)RX Mapping'!Q57-1),IF(AND('(橫掃)RX Mapping'!Q57&gt;=121,'(橫掃)RX Mapping'!Q57&lt;=240), (-1)*('(橫掃)RX Mapping'!Q57-240),IF(AND('(橫掃)RX Mapping'!Q57&gt;=241,'(橫掃)RX Mapping'!Q57&lt;=360), ('(橫掃)RX Mapping'!Q57-241),IF(AND('(橫掃)RX Mapping'!Q57&gt;=361,'(橫掃)RX Mapping'!Q57&lt;=480), (-1)*('(橫掃)RX Mapping'!Q57-480),IF(AND('(橫掃)RX Mapping'!Q57&gt;=481,'(橫掃)RX Mapping'!Q57&lt;=600), ('(橫掃)RX Mapping'!Q57-361),IF(AND('(橫掃)RX Mapping'!Q57&gt;=601,'(橫掃)RX Mapping'!Q57&lt;=720), (-1)*('(橫掃)RX Mapping'!Q57-720)+120,IF(AND('(橫掃)RX Mapping'!Q57&gt;=721,'(橫掃)RX Mapping'!Q57&lt;=840), ('(橫掃)RX Mapping'!Q57-601),IF(AND('(橫掃)RX Mapping'!Q57&gt;=841,'(橫掃)RX Mapping'!Q57&lt;=960), (-1)*('(橫掃)RX Mapping'!Q57-960)+120,9999))))))))</f>
        <v>9999</v>
      </c>
      <c r="R57">
        <f>IF(AND('(橫掃)RX Mapping'!R57&gt;=1,'(橫掃)RX Mapping'!R57&lt;=120), ('(橫掃)RX Mapping'!R57-1),IF(AND('(橫掃)RX Mapping'!R57&gt;=121,'(橫掃)RX Mapping'!R57&lt;=240), (-1)*('(橫掃)RX Mapping'!R57-240),IF(AND('(橫掃)RX Mapping'!R57&gt;=241,'(橫掃)RX Mapping'!R57&lt;=360), ('(橫掃)RX Mapping'!R57-241),IF(AND('(橫掃)RX Mapping'!R57&gt;=361,'(橫掃)RX Mapping'!R57&lt;=480), (-1)*('(橫掃)RX Mapping'!R57-480),IF(AND('(橫掃)RX Mapping'!R57&gt;=481,'(橫掃)RX Mapping'!R57&lt;=600), ('(橫掃)RX Mapping'!R57-361),IF(AND('(橫掃)RX Mapping'!R57&gt;=601,'(橫掃)RX Mapping'!R57&lt;=720), (-1)*('(橫掃)RX Mapping'!R57-720)+120,IF(AND('(橫掃)RX Mapping'!R57&gt;=721,'(橫掃)RX Mapping'!R57&lt;=840), ('(橫掃)RX Mapping'!R57-601),IF(AND('(橫掃)RX Mapping'!R57&gt;=841,'(橫掃)RX Mapping'!R57&lt;=960), (-1)*('(橫掃)RX Mapping'!R57-960)+120,9999))))))))</f>
        <v>9999</v>
      </c>
      <c r="S57">
        <f>IF(AND('(橫掃)RX Mapping'!S57&gt;=1,'(橫掃)RX Mapping'!S57&lt;=120), ('(橫掃)RX Mapping'!S57-1),IF(AND('(橫掃)RX Mapping'!S57&gt;=121,'(橫掃)RX Mapping'!S57&lt;=240), (-1)*('(橫掃)RX Mapping'!S57-240),IF(AND('(橫掃)RX Mapping'!S57&gt;=241,'(橫掃)RX Mapping'!S57&lt;=360), ('(橫掃)RX Mapping'!S57-241),IF(AND('(橫掃)RX Mapping'!S57&gt;=361,'(橫掃)RX Mapping'!S57&lt;=480), (-1)*('(橫掃)RX Mapping'!S57-480),IF(AND('(橫掃)RX Mapping'!S57&gt;=481,'(橫掃)RX Mapping'!S57&lt;=600), ('(橫掃)RX Mapping'!S57-361),IF(AND('(橫掃)RX Mapping'!S57&gt;=601,'(橫掃)RX Mapping'!S57&lt;=720), (-1)*('(橫掃)RX Mapping'!S57-720)+120,IF(AND('(橫掃)RX Mapping'!S57&gt;=721,'(橫掃)RX Mapping'!S57&lt;=840), ('(橫掃)RX Mapping'!S57-601),IF(AND('(橫掃)RX Mapping'!S57&gt;=841,'(橫掃)RX Mapping'!S57&lt;=960), (-1)*('(橫掃)RX Mapping'!S57-960)+120,9999))))))))</f>
        <v>9999</v>
      </c>
      <c r="T57">
        <f>IF(AND('(橫掃)RX Mapping'!T57&gt;=1,'(橫掃)RX Mapping'!T57&lt;=120), ('(橫掃)RX Mapping'!T57-1),IF(AND('(橫掃)RX Mapping'!T57&gt;=121,'(橫掃)RX Mapping'!T57&lt;=240), (-1)*('(橫掃)RX Mapping'!T57-240),IF(AND('(橫掃)RX Mapping'!T57&gt;=241,'(橫掃)RX Mapping'!T57&lt;=360), ('(橫掃)RX Mapping'!T57-241),IF(AND('(橫掃)RX Mapping'!T57&gt;=361,'(橫掃)RX Mapping'!T57&lt;=480), (-1)*('(橫掃)RX Mapping'!T57-480),IF(AND('(橫掃)RX Mapping'!T57&gt;=481,'(橫掃)RX Mapping'!T57&lt;=600), ('(橫掃)RX Mapping'!T57-361),IF(AND('(橫掃)RX Mapping'!T57&gt;=601,'(橫掃)RX Mapping'!T57&lt;=720), (-1)*('(橫掃)RX Mapping'!T57-720)+120,IF(AND('(橫掃)RX Mapping'!T57&gt;=721,'(橫掃)RX Mapping'!T57&lt;=840), ('(橫掃)RX Mapping'!T57-601),IF(AND('(橫掃)RX Mapping'!T57&gt;=841,'(橫掃)RX Mapping'!T57&lt;=960), (-1)*('(橫掃)RX Mapping'!T57-960)+120,9999))))))))</f>
        <v>9999</v>
      </c>
      <c r="U57">
        <f>IF(AND('(橫掃)RX Mapping'!U57&gt;=1,'(橫掃)RX Mapping'!U57&lt;=120), ('(橫掃)RX Mapping'!U57-1),IF(AND('(橫掃)RX Mapping'!U57&gt;=121,'(橫掃)RX Mapping'!U57&lt;=240), (-1)*('(橫掃)RX Mapping'!U57-240),IF(AND('(橫掃)RX Mapping'!U57&gt;=241,'(橫掃)RX Mapping'!U57&lt;=360), ('(橫掃)RX Mapping'!U57-241),IF(AND('(橫掃)RX Mapping'!U57&gt;=361,'(橫掃)RX Mapping'!U57&lt;=480), (-1)*('(橫掃)RX Mapping'!U57-480),IF(AND('(橫掃)RX Mapping'!U57&gt;=481,'(橫掃)RX Mapping'!U57&lt;=600), ('(橫掃)RX Mapping'!U57-361),IF(AND('(橫掃)RX Mapping'!U57&gt;=601,'(橫掃)RX Mapping'!U57&lt;=720), (-1)*('(橫掃)RX Mapping'!U57-720)+120,IF(AND('(橫掃)RX Mapping'!U57&gt;=721,'(橫掃)RX Mapping'!U57&lt;=840), ('(橫掃)RX Mapping'!U57-601),IF(AND('(橫掃)RX Mapping'!U57&gt;=841,'(橫掃)RX Mapping'!U57&lt;=960), (-1)*('(橫掃)RX Mapping'!U57-960)+120,9999))))))))</f>
        <v>9999</v>
      </c>
      <c r="V57">
        <f>IF(AND('(橫掃)RX Mapping'!V57&gt;=1,'(橫掃)RX Mapping'!V57&lt;=120), ('(橫掃)RX Mapping'!V57-1),IF(AND('(橫掃)RX Mapping'!V57&gt;=121,'(橫掃)RX Mapping'!V57&lt;=240), (-1)*('(橫掃)RX Mapping'!V57-240),IF(AND('(橫掃)RX Mapping'!V57&gt;=241,'(橫掃)RX Mapping'!V57&lt;=360), ('(橫掃)RX Mapping'!V57-241),IF(AND('(橫掃)RX Mapping'!V57&gt;=361,'(橫掃)RX Mapping'!V57&lt;=480), (-1)*('(橫掃)RX Mapping'!V57-480),IF(AND('(橫掃)RX Mapping'!V57&gt;=481,'(橫掃)RX Mapping'!V57&lt;=600), ('(橫掃)RX Mapping'!V57-361),IF(AND('(橫掃)RX Mapping'!V57&gt;=601,'(橫掃)RX Mapping'!V57&lt;=720), (-1)*('(橫掃)RX Mapping'!V57-720)+120,IF(AND('(橫掃)RX Mapping'!V57&gt;=721,'(橫掃)RX Mapping'!V57&lt;=840), ('(橫掃)RX Mapping'!V57-601),IF(AND('(橫掃)RX Mapping'!V57&gt;=841,'(橫掃)RX Mapping'!V57&lt;=960), (-1)*('(橫掃)RX Mapping'!V57-960)+120,9999))))))))</f>
        <v>9999</v>
      </c>
      <c r="W57">
        <f>IF(AND('(橫掃)RX Mapping'!W57&gt;=1,'(橫掃)RX Mapping'!W57&lt;=120), ('(橫掃)RX Mapping'!W57-1),IF(AND('(橫掃)RX Mapping'!W57&gt;=121,'(橫掃)RX Mapping'!W57&lt;=240), (-1)*('(橫掃)RX Mapping'!W57-240),IF(AND('(橫掃)RX Mapping'!W57&gt;=241,'(橫掃)RX Mapping'!W57&lt;=360), ('(橫掃)RX Mapping'!W57-241),IF(AND('(橫掃)RX Mapping'!W57&gt;=361,'(橫掃)RX Mapping'!W57&lt;=480), (-1)*('(橫掃)RX Mapping'!W57-480),IF(AND('(橫掃)RX Mapping'!W57&gt;=481,'(橫掃)RX Mapping'!W57&lt;=600), ('(橫掃)RX Mapping'!W57-361),IF(AND('(橫掃)RX Mapping'!W57&gt;=601,'(橫掃)RX Mapping'!W57&lt;=720), (-1)*('(橫掃)RX Mapping'!W57-720)+120,IF(AND('(橫掃)RX Mapping'!W57&gt;=721,'(橫掃)RX Mapping'!W57&lt;=840), ('(橫掃)RX Mapping'!W57-601),IF(AND('(橫掃)RX Mapping'!W57&gt;=841,'(橫掃)RX Mapping'!W57&lt;=960), (-1)*('(橫掃)RX Mapping'!W57-960)+120,9999))))))))</f>
        <v>9999</v>
      </c>
      <c r="X57">
        <f>IF(AND('(橫掃)RX Mapping'!X57&gt;=1,'(橫掃)RX Mapping'!X57&lt;=120), ('(橫掃)RX Mapping'!X57-1),IF(AND('(橫掃)RX Mapping'!X57&gt;=121,'(橫掃)RX Mapping'!X57&lt;=240), (-1)*('(橫掃)RX Mapping'!X57-240),IF(AND('(橫掃)RX Mapping'!X57&gt;=241,'(橫掃)RX Mapping'!X57&lt;=360), ('(橫掃)RX Mapping'!X57-241),IF(AND('(橫掃)RX Mapping'!X57&gt;=361,'(橫掃)RX Mapping'!X57&lt;=480), (-1)*('(橫掃)RX Mapping'!X57-480),IF(AND('(橫掃)RX Mapping'!X57&gt;=481,'(橫掃)RX Mapping'!X57&lt;=600), ('(橫掃)RX Mapping'!X57-361),IF(AND('(橫掃)RX Mapping'!X57&gt;=601,'(橫掃)RX Mapping'!X57&lt;=720), (-1)*('(橫掃)RX Mapping'!X57-720)+120,IF(AND('(橫掃)RX Mapping'!X57&gt;=721,'(橫掃)RX Mapping'!X57&lt;=840), ('(橫掃)RX Mapping'!X57-601),IF(AND('(橫掃)RX Mapping'!X57&gt;=841,'(橫掃)RX Mapping'!X57&lt;=960), (-1)*('(橫掃)RX Mapping'!X57-960)+120,9999))))))))</f>
        <v>9999</v>
      </c>
      <c r="Y57">
        <f>IF(AND('(橫掃)RX Mapping'!Y57&gt;=1,'(橫掃)RX Mapping'!Y57&lt;=120), ('(橫掃)RX Mapping'!Y57-1),IF(AND('(橫掃)RX Mapping'!Y57&gt;=121,'(橫掃)RX Mapping'!Y57&lt;=240), (-1)*('(橫掃)RX Mapping'!Y57-240),IF(AND('(橫掃)RX Mapping'!Y57&gt;=241,'(橫掃)RX Mapping'!Y57&lt;=360), ('(橫掃)RX Mapping'!Y57-241),IF(AND('(橫掃)RX Mapping'!Y57&gt;=361,'(橫掃)RX Mapping'!Y57&lt;=480), (-1)*('(橫掃)RX Mapping'!Y57-480),IF(AND('(橫掃)RX Mapping'!Y57&gt;=481,'(橫掃)RX Mapping'!Y57&lt;=600), ('(橫掃)RX Mapping'!Y57-361),IF(AND('(橫掃)RX Mapping'!Y57&gt;=601,'(橫掃)RX Mapping'!Y57&lt;=720), (-1)*('(橫掃)RX Mapping'!Y57-720)+120,IF(AND('(橫掃)RX Mapping'!Y57&gt;=721,'(橫掃)RX Mapping'!Y57&lt;=840), ('(橫掃)RX Mapping'!Y57-601),IF(AND('(橫掃)RX Mapping'!Y57&gt;=841,'(橫掃)RX Mapping'!Y57&lt;=960), (-1)*('(橫掃)RX Mapping'!Y57-960)+120,9999))))))))</f>
        <v>9999</v>
      </c>
      <c r="Z57">
        <f>IF(AND('(橫掃)RX Mapping'!Z57&gt;=1,'(橫掃)RX Mapping'!Z57&lt;=120), ('(橫掃)RX Mapping'!Z57-1),IF(AND('(橫掃)RX Mapping'!Z57&gt;=121,'(橫掃)RX Mapping'!Z57&lt;=240), (-1)*('(橫掃)RX Mapping'!Z57-240),IF(AND('(橫掃)RX Mapping'!Z57&gt;=241,'(橫掃)RX Mapping'!Z57&lt;=360), ('(橫掃)RX Mapping'!Z57-241),IF(AND('(橫掃)RX Mapping'!Z57&gt;=361,'(橫掃)RX Mapping'!Z57&lt;=480), (-1)*('(橫掃)RX Mapping'!Z57-480),IF(AND('(橫掃)RX Mapping'!Z57&gt;=481,'(橫掃)RX Mapping'!Z57&lt;=600), ('(橫掃)RX Mapping'!Z57-361),IF(AND('(橫掃)RX Mapping'!Z57&gt;=601,'(橫掃)RX Mapping'!Z57&lt;=720), (-1)*('(橫掃)RX Mapping'!Z57-720)+120,IF(AND('(橫掃)RX Mapping'!Z57&gt;=721,'(橫掃)RX Mapping'!Z57&lt;=840), ('(橫掃)RX Mapping'!Z57-601),IF(AND('(橫掃)RX Mapping'!Z57&gt;=841,'(橫掃)RX Mapping'!Z57&lt;=960), (-1)*('(橫掃)RX Mapping'!Z57-960)+120,9999))))))))</f>
        <v>9999</v>
      </c>
      <c r="AA57">
        <f>IF(AND('(橫掃)RX Mapping'!AA57&gt;=1,'(橫掃)RX Mapping'!AA57&lt;=120), ('(橫掃)RX Mapping'!AA57-1),IF(AND('(橫掃)RX Mapping'!AA57&gt;=121,'(橫掃)RX Mapping'!AA57&lt;=240), (-1)*('(橫掃)RX Mapping'!AA57-240),IF(AND('(橫掃)RX Mapping'!AA57&gt;=241,'(橫掃)RX Mapping'!AA57&lt;=360), ('(橫掃)RX Mapping'!AA57-241),IF(AND('(橫掃)RX Mapping'!AA57&gt;=361,'(橫掃)RX Mapping'!AA57&lt;=480), (-1)*('(橫掃)RX Mapping'!AA57-480),IF(AND('(橫掃)RX Mapping'!AA57&gt;=481,'(橫掃)RX Mapping'!AA57&lt;=600), ('(橫掃)RX Mapping'!AA57-361),IF(AND('(橫掃)RX Mapping'!AA57&gt;=601,'(橫掃)RX Mapping'!AA57&lt;=720), (-1)*('(橫掃)RX Mapping'!AA57-720)+120,IF(AND('(橫掃)RX Mapping'!AA57&gt;=721,'(橫掃)RX Mapping'!AA57&lt;=840), ('(橫掃)RX Mapping'!AA57-601),IF(AND('(橫掃)RX Mapping'!AA57&gt;=841,'(橫掃)RX Mapping'!AA57&lt;=960), (-1)*('(橫掃)RX Mapping'!AA57-960)+120,9999))))))))</f>
        <v>9999</v>
      </c>
      <c r="AB57">
        <f>IF(AND('(橫掃)RX Mapping'!AB57&gt;=1,'(橫掃)RX Mapping'!AB57&lt;=120), ('(橫掃)RX Mapping'!AB57-1),IF(AND('(橫掃)RX Mapping'!AB57&gt;=121,'(橫掃)RX Mapping'!AB57&lt;=240), (-1)*('(橫掃)RX Mapping'!AB57-240),IF(AND('(橫掃)RX Mapping'!AB57&gt;=241,'(橫掃)RX Mapping'!AB57&lt;=360), ('(橫掃)RX Mapping'!AB57-241),IF(AND('(橫掃)RX Mapping'!AB57&gt;=361,'(橫掃)RX Mapping'!AB57&lt;=480), (-1)*('(橫掃)RX Mapping'!AB57-480),IF(AND('(橫掃)RX Mapping'!AB57&gt;=481,'(橫掃)RX Mapping'!AB57&lt;=600), ('(橫掃)RX Mapping'!AB57-361),IF(AND('(橫掃)RX Mapping'!AB57&gt;=601,'(橫掃)RX Mapping'!AB57&lt;=720), (-1)*('(橫掃)RX Mapping'!AB57-720)+120,IF(AND('(橫掃)RX Mapping'!AB57&gt;=721,'(橫掃)RX Mapping'!AB57&lt;=840), ('(橫掃)RX Mapping'!AB57-601),IF(AND('(橫掃)RX Mapping'!AB57&gt;=841,'(橫掃)RX Mapping'!AB57&lt;=960), (-1)*('(橫掃)RX Mapping'!AB57-960)+120,9999))))))))</f>
        <v>9999</v>
      </c>
      <c r="AC57">
        <f>IF(AND('(橫掃)RX Mapping'!AC57&gt;=1,'(橫掃)RX Mapping'!AC57&lt;=120), ('(橫掃)RX Mapping'!AC57-1),IF(AND('(橫掃)RX Mapping'!AC57&gt;=121,'(橫掃)RX Mapping'!AC57&lt;=240), (-1)*('(橫掃)RX Mapping'!AC57-240),IF(AND('(橫掃)RX Mapping'!AC57&gt;=241,'(橫掃)RX Mapping'!AC57&lt;=360), ('(橫掃)RX Mapping'!AC57-241),IF(AND('(橫掃)RX Mapping'!AC57&gt;=361,'(橫掃)RX Mapping'!AC57&lt;=480), (-1)*('(橫掃)RX Mapping'!AC57-480),IF(AND('(橫掃)RX Mapping'!AC57&gt;=481,'(橫掃)RX Mapping'!AC57&lt;=600), ('(橫掃)RX Mapping'!AC57-361),IF(AND('(橫掃)RX Mapping'!AC57&gt;=601,'(橫掃)RX Mapping'!AC57&lt;=720), (-1)*('(橫掃)RX Mapping'!AC57-720)+120,IF(AND('(橫掃)RX Mapping'!AC57&gt;=721,'(橫掃)RX Mapping'!AC57&lt;=840), ('(橫掃)RX Mapping'!AC57-601),IF(AND('(橫掃)RX Mapping'!AC57&gt;=841,'(橫掃)RX Mapping'!AC57&lt;=960), (-1)*('(橫掃)RX Mapping'!AC57-960)+120,9999))))))))</f>
        <v>9999</v>
      </c>
      <c r="AD57">
        <f>IF(AND('(橫掃)RX Mapping'!AD57&gt;=1,'(橫掃)RX Mapping'!AD57&lt;=120), ('(橫掃)RX Mapping'!AD57-1),IF(AND('(橫掃)RX Mapping'!AD57&gt;=121,'(橫掃)RX Mapping'!AD57&lt;=240), (-1)*('(橫掃)RX Mapping'!AD57-240),IF(AND('(橫掃)RX Mapping'!AD57&gt;=241,'(橫掃)RX Mapping'!AD57&lt;=360), ('(橫掃)RX Mapping'!AD57-241),IF(AND('(橫掃)RX Mapping'!AD57&gt;=361,'(橫掃)RX Mapping'!AD57&lt;=480), (-1)*('(橫掃)RX Mapping'!AD57-480),IF(AND('(橫掃)RX Mapping'!AD57&gt;=481,'(橫掃)RX Mapping'!AD57&lt;=600), ('(橫掃)RX Mapping'!AD57-361),IF(AND('(橫掃)RX Mapping'!AD57&gt;=601,'(橫掃)RX Mapping'!AD57&lt;=720), (-1)*('(橫掃)RX Mapping'!AD57-720)+120,IF(AND('(橫掃)RX Mapping'!AD57&gt;=721,'(橫掃)RX Mapping'!AD57&lt;=840), ('(橫掃)RX Mapping'!AD57-601),IF(AND('(橫掃)RX Mapping'!AD57&gt;=841,'(橫掃)RX Mapping'!AD57&lt;=960), (-1)*('(橫掃)RX Mapping'!AD57-960)+120,9999))))))))</f>
        <v>9999</v>
      </c>
      <c r="AE57">
        <f>IF(AND('(橫掃)RX Mapping'!AE57&gt;=1,'(橫掃)RX Mapping'!AE57&lt;=120), ('(橫掃)RX Mapping'!AE57-1),IF(AND('(橫掃)RX Mapping'!AE57&gt;=121,'(橫掃)RX Mapping'!AE57&lt;=240), (-1)*('(橫掃)RX Mapping'!AE57-240),IF(AND('(橫掃)RX Mapping'!AE57&gt;=241,'(橫掃)RX Mapping'!AE57&lt;=360), ('(橫掃)RX Mapping'!AE57-241),IF(AND('(橫掃)RX Mapping'!AE57&gt;=361,'(橫掃)RX Mapping'!AE57&lt;=480), (-1)*('(橫掃)RX Mapping'!AE57-480),IF(AND('(橫掃)RX Mapping'!AE57&gt;=481,'(橫掃)RX Mapping'!AE57&lt;=600), ('(橫掃)RX Mapping'!AE57-361),IF(AND('(橫掃)RX Mapping'!AE57&gt;=601,'(橫掃)RX Mapping'!AE57&lt;=720), (-1)*('(橫掃)RX Mapping'!AE57-720)+120,IF(AND('(橫掃)RX Mapping'!AE57&gt;=721,'(橫掃)RX Mapping'!AE57&lt;=840), ('(橫掃)RX Mapping'!AE57-601),IF(AND('(橫掃)RX Mapping'!AE57&gt;=841,'(橫掃)RX Mapping'!AE57&lt;=960), (-1)*('(橫掃)RX Mapping'!AE57-960)+120,9999))))))))</f>
        <v>9999</v>
      </c>
      <c r="AF57">
        <f>IF(AND('(橫掃)RX Mapping'!AF57&gt;=1,'(橫掃)RX Mapping'!AF57&lt;=120), ('(橫掃)RX Mapping'!AF57-1),IF(AND('(橫掃)RX Mapping'!AF57&gt;=121,'(橫掃)RX Mapping'!AF57&lt;=240), (-1)*('(橫掃)RX Mapping'!AF57-240),IF(AND('(橫掃)RX Mapping'!AF57&gt;=241,'(橫掃)RX Mapping'!AF57&lt;=360), ('(橫掃)RX Mapping'!AF57-241),IF(AND('(橫掃)RX Mapping'!AF57&gt;=361,'(橫掃)RX Mapping'!AF57&lt;=480), (-1)*('(橫掃)RX Mapping'!AF57-480),IF(AND('(橫掃)RX Mapping'!AF57&gt;=481,'(橫掃)RX Mapping'!AF57&lt;=600), ('(橫掃)RX Mapping'!AF57-361),IF(AND('(橫掃)RX Mapping'!AF57&gt;=601,'(橫掃)RX Mapping'!AF57&lt;=720), (-1)*('(橫掃)RX Mapping'!AF57-720)+120,IF(AND('(橫掃)RX Mapping'!AF57&gt;=721,'(橫掃)RX Mapping'!AF57&lt;=840), ('(橫掃)RX Mapping'!AF57-601),IF(AND('(橫掃)RX Mapping'!AF57&gt;=841,'(橫掃)RX Mapping'!AF57&lt;=960), (-1)*('(橫掃)RX Mapping'!AF57-960)+120,9999))))))))</f>
        <v>9999</v>
      </c>
      <c r="AG57">
        <f>IF(AND('(橫掃)RX Mapping'!AG57&gt;=1,'(橫掃)RX Mapping'!AG57&lt;=120), ('(橫掃)RX Mapping'!AG57-1),IF(AND('(橫掃)RX Mapping'!AG57&gt;=121,'(橫掃)RX Mapping'!AG57&lt;=240), (-1)*('(橫掃)RX Mapping'!AG57-240),IF(AND('(橫掃)RX Mapping'!AG57&gt;=241,'(橫掃)RX Mapping'!AG57&lt;=360), ('(橫掃)RX Mapping'!AG57-241),IF(AND('(橫掃)RX Mapping'!AG57&gt;=361,'(橫掃)RX Mapping'!AG57&lt;=480), (-1)*('(橫掃)RX Mapping'!AG57-480),IF(AND('(橫掃)RX Mapping'!AG57&gt;=481,'(橫掃)RX Mapping'!AG57&lt;=600), ('(橫掃)RX Mapping'!AG57-361),IF(AND('(橫掃)RX Mapping'!AG57&gt;=601,'(橫掃)RX Mapping'!AG57&lt;=720), (-1)*('(橫掃)RX Mapping'!AG57-720)+120,IF(AND('(橫掃)RX Mapping'!AG57&gt;=721,'(橫掃)RX Mapping'!AG57&lt;=840), ('(橫掃)RX Mapping'!AG57-601),IF(AND('(橫掃)RX Mapping'!AG57&gt;=841,'(橫掃)RX Mapping'!AG57&lt;=960), (-1)*('(橫掃)RX Mapping'!AG57-960)+120,9999))))))))</f>
        <v>9999</v>
      </c>
      <c r="AH57">
        <f>IF(AND('(橫掃)RX Mapping'!AH57&gt;=1,'(橫掃)RX Mapping'!AH57&lt;=120), ('(橫掃)RX Mapping'!AH57-1),IF(AND('(橫掃)RX Mapping'!AH57&gt;=121,'(橫掃)RX Mapping'!AH57&lt;=240), (-1)*('(橫掃)RX Mapping'!AH57-240),IF(AND('(橫掃)RX Mapping'!AH57&gt;=241,'(橫掃)RX Mapping'!AH57&lt;=360), ('(橫掃)RX Mapping'!AH57-241),IF(AND('(橫掃)RX Mapping'!AH57&gt;=361,'(橫掃)RX Mapping'!AH57&lt;=480), (-1)*('(橫掃)RX Mapping'!AH57-480),IF(AND('(橫掃)RX Mapping'!AH57&gt;=481,'(橫掃)RX Mapping'!AH57&lt;=600), ('(橫掃)RX Mapping'!AH57-361),IF(AND('(橫掃)RX Mapping'!AH57&gt;=601,'(橫掃)RX Mapping'!AH57&lt;=720), (-1)*('(橫掃)RX Mapping'!AH57-720)+120,IF(AND('(橫掃)RX Mapping'!AH57&gt;=721,'(橫掃)RX Mapping'!AH57&lt;=840), ('(橫掃)RX Mapping'!AH57-601),IF(AND('(橫掃)RX Mapping'!AH57&gt;=841,'(橫掃)RX Mapping'!AH57&lt;=960), (-1)*('(橫掃)RX Mapping'!AH57-960)+120,9999))))))))</f>
        <v>9999</v>
      </c>
      <c r="AI57">
        <f>IF(AND('(橫掃)RX Mapping'!AI57&gt;=1,'(橫掃)RX Mapping'!AI57&lt;=120), ('(橫掃)RX Mapping'!AI57-1),IF(AND('(橫掃)RX Mapping'!AI57&gt;=121,'(橫掃)RX Mapping'!AI57&lt;=240), (-1)*('(橫掃)RX Mapping'!AI57-240),IF(AND('(橫掃)RX Mapping'!AI57&gt;=241,'(橫掃)RX Mapping'!AI57&lt;=360), ('(橫掃)RX Mapping'!AI57-241),IF(AND('(橫掃)RX Mapping'!AI57&gt;=361,'(橫掃)RX Mapping'!AI57&lt;=480), (-1)*('(橫掃)RX Mapping'!AI57-480),IF(AND('(橫掃)RX Mapping'!AI57&gt;=481,'(橫掃)RX Mapping'!AI57&lt;=600), ('(橫掃)RX Mapping'!AI57-361),IF(AND('(橫掃)RX Mapping'!AI57&gt;=601,'(橫掃)RX Mapping'!AI57&lt;=720), (-1)*('(橫掃)RX Mapping'!AI57-720)+120,IF(AND('(橫掃)RX Mapping'!AI57&gt;=721,'(橫掃)RX Mapping'!AI57&lt;=840), ('(橫掃)RX Mapping'!AI57-601),IF(AND('(橫掃)RX Mapping'!AI57&gt;=841,'(橫掃)RX Mapping'!AI57&lt;=960), (-1)*('(橫掃)RX Mapping'!AI57-960)+120,9999))))))))</f>
        <v>9999</v>
      </c>
      <c r="AJ57">
        <f>IF(AND('(橫掃)RX Mapping'!AJ57&gt;=1,'(橫掃)RX Mapping'!AJ57&lt;=120), ('(橫掃)RX Mapping'!AJ57-1),IF(AND('(橫掃)RX Mapping'!AJ57&gt;=121,'(橫掃)RX Mapping'!AJ57&lt;=240), (-1)*('(橫掃)RX Mapping'!AJ57-240),IF(AND('(橫掃)RX Mapping'!AJ57&gt;=241,'(橫掃)RX Mapping'!AJ57&lt;=360), ('(橫掃)RX Mapping'!AJ57-241),IF(AND('(橫掃)RX Mapping'!AJ57&gt;=361,'(橫掃)RX Mapping'!AJ57&lt;=480), (-1)*('(橫掃)RX Mapping'!AJ57-480),IF(AND('(橫掃)RX Mapping'!AJ57&gt;=481,'(橫掃)RX Mapping'!AJ57&lt;=600), ('(橫掃)RX Mapping'!AJ57-361),IF(AND('(橫掃)RX Mapping'!AJ57&gt;=601,'(橫掃)RX Mapping'!AJ57&lt;=720), (-1)*('(橫掃)RX Mapping'!AJ57-720)+120,IF(AND('(橫掃)RX Mapping'!AJ57&gt;=721,'(橫掃)RX Mapping'!AJ57&lt;=840), ('(橫掃)RX Mapping'!AJ57-601),IF(AND('(橫掃)RX Mapping'!AJ57&gt;=841,'(橫掃)RX Mapping'!AJ57&lt;=960), (-1)*('(橫掃)RX Mapping'!AJ57-960)+120,9999))))))))</f>
        <v>9999</v>
      </c>
      <c r="AK57">
        <f>IF(AND('(橫掃)RX Mapping'!AK57&gt;=1,'(橫掃)RX Mapping'!AK57&lt;=120), ('(橫掃)RX Mapping'!AK57-1),IF(AND('(橫掃)RX Mapping'!AK57&gt;=121,'(橫掃)RX Mapping'!AK57&lt;=240), (-1)*('(橫掃)RX Mapping'!AK57-240),IF(AND('(橫掃)RX Mapping'!AK57&gt;=241,'(橫掃)RX Mapping'!AK57&lt;=360), ('(橫掃)RX Mapping'!AK57-241),IF(AND('(橫掃)RX Mapping'!AK57&gt;=361,'(橫掃)RX Mapping'!AK57&lt;=480), (-1)*('(橫掃)RX Mapping'!AK57-480),IF(AND('(橫掃)RX Mapping'!AK57&gt;=481,'(橫掃)RX Mapping'!AK57&lt;=600), ('(橫掃)RX Mapping'!AK57-361),IF(AND('(橫掃)RX Mapping'!AK57&gt;=601,'(橫掃)RX Mapping'!AK57&lt;=720), (-1)*('(橫掃)RX Mapping'!AK57-720)+120,IF(AND('(橫掃)RX Mapping'!AK57&gt;=721,'(橫掃)RX Mapping'!AK57&lt;=840), ('(橫掃)RX Mapping'!AK57-601),IF(AND('(橫掃)RX Mapping'!AK57&gt;=841,'(橫掃)RX Mapping'!AK57&lt;=960), (-1)*('(橫掃)RX Mapping'!AK57-960)+120,9999))))))))</f>
        <v>9999</v>
      </c>
      <c r="AL57">
        <f>IF(AND('(橫掃)RX Mapping'!AL57&gt;=1,'(橫掃)RX Mapping'!AL57&lt;=120), ('(橫掃)RX Mapping'!AL57-1),IF(AND('(橫掃)RX Mapping'!AL57&gt;=121,'(橫掃)RX Mapping'!AL57&lt;=240), (-1)*('(橫掃)RX Mapping'!AL57-240),IF(AND('(橫掃)RX Mapping'!AL57&gt;=241,'(橫掃)RX Mapping'!AL57&lt;=360), ('(橫掃)RX Mapping'!AL57-241),IF(AND('(橫掃)RX Mapping'!AL57&gt;=361,'(橫掃)RX Mapping'!AL57&lt;=480), (-1)*('(橫掃)RX Mapping'!AL57-480),IF(AND('(橫掃)RX Mapping'!AL57&gt;=481,'(橫掃)RX Mapping'!AL57&lt;=600), ('(橫掃)RX Mapping'!AL57-361),IF(AND('(橫掃)RX Mapping'!AL57&gt;=601,'(橫掃)RX Mapping'!AL57&lt;=720), (-1)*('(橫掃)RX Mapping'!AL57-720)+120,IF(AND('(橫掃)RX Mapping'!AL57&gt;=721,'(橫掃)RX Mapping'!AL57&lt;=840), ('(橫掃)RX Mapping'!AL57-601),IF(AND('(橫掃)RX Mapping'!AL57&gt;=841,'(橫掃)RX Mapping'!AL57&lt;=960), (-1)*('(橫掃)RX Mapping'!AL57-960)+120,9999))))))))</f>
        <v>9999</v>
      </c>
      <c r="AM57">
        <f>IF(AND('(橫掃)RX Mapping'!AM57&gt;=1,'(橫掃)RX Mapping'!AM57&lt;=120), ('(橫掃)RX Mapping'!AM57-1),IF(AND('(橫掃)RX Mapping'!AM57&gt;=121,'(橫掃)RX Mapping'!AM57&lt;=240), (-1)*('(橫掃)RX Mapping'!AM57-240),IF(AND('(橫掃)RX Mapping'!AM57&gt;=241,'(橫掃)RX Mapping'!AM57&lt;=360), ('(橫掃)RX Mapping'!AM57-241),IF(AND('(橫掃)RX Mapping'!AM57&gt;=361,'(橫掃)RX Mapping'!AM57&lt;=480), (-1)*('(橫掃)RX Mapping'!AM57-480),IF(AND('(橫掃)RX Mapping'!AM57&gt;=481,'(橫掃)RX Mapping'!AM57&lt;=600), ('(橫掃)RX Mapping'!AM57-361),IF(AND('(橫掃)RX Mapping'!AM57&gt;=601,'(橫掃)RX Mapping'!AM57&lt;=720), (-1)*('(橫掃)RX Mapping'!AM57-720)+120,IF(AND('(橫掃)RX Mapping'!AM57&gt;=721,'(橫掃)RX Mapping'!AM57&lt;=840), ('(橫掃)RX Mapping'!AM57-601),IF(AND('(橫掃)RX Mapping'!AM57&gt;=841,'(橫掃)RX Mapping'!AM57&lt;=960), (-1)*('(橫掃)RX Mapping'!AM57-960)+120,9999))))))))</f>
        <v>9999</v>
      </c>
      <c r="AN57">
        <f>IF(AND('(橫掃)RX Mapping'!AN57&gt;=1,'(橫掃)RX Mapping'!AN57&lt;=120), ('(橫掃)RX Mapping'!AN57-1),IF(AND('(橫掃)RX Mapping'!AN57&gt;=121,'(橫掃)RX Mapping'!AN57&lt;=240), (-1)*('(橫掃)RX Mapping'!AN57-240),IF(AND('(橫掃)RX Mapping'!AN57&gt;=241,'(橫掃)RX Mapping'!AN57&lt;=360), ('(橫掃)RX Mapping'!AN57-241),IF(AND('(橫掃)RX Mapping'!AN57&gt;=361,'(橫掃)RX Mapping'!AN57&lt;=480), (-1)*('(橫掃)RX Mapping'!AN57-480),IF(AND('(橫掃)RX Mapping'!AN57&gt;=481,'(橫掃)RX Mapping'!AN57&lt;=600), ('(橫掃)RX Mapping'!AN57-361),IF(AND('(橫掃)RX Mapping'!AN57&gt;=601,'(橫掃)RX Mapping'!AN57&lt;=720), (-1)*('(橫掃)RX Mapping'!AN57-720)+120,IF(AND('(橫掃)RX Mapping'!AN57&gt;=721,'(橫掃)RX Mapping'!AN57&lt;=840), ('(橫掃)RX Mapping'!AN57-601),IF(AND('(橫掃)RX Mapping'!AN57&gt;=841,'(橫掃)RX Mapping'!AN57&lt;=960), (-1)*('(橫掃)RX Mapping'!AN57-960)+120,9999))))))))</f>
        <v>9999</v>
      </c>
      <c r="AO57">
        <f>IF(AND('(橫掃)RX Mapping'!AO57&gt;=1,'(橫掃)RX Mapping'!AO57&lt;=120), ('(橫掃)RX Mapping'!AO57-1),IF(AND('(橫掃)RX Mapping'!AO57&gt;=121,'(橫掃)RX Mapping'!AO57&lt;=240), (-1)*('(橫掃)RX Mapping'!AO57-240),IF(AND('(橫掃)RX Mapping'!AO57&gt;=241,'(橫掃)RX Mapping'!AO57&lt;=360), ('(橫掃)RX Mapping'!AO57-241),IF(AND('(橫掃)RX Mapping'!AO57&gt;=361,'(橫掃)RX Mapping'!AO57&lt;=480), (-1)*('(橫掃)RX Mapping'!AO57-480),IF(AND('(橫掃)RX Mapping'!AO57&gt;=481,'(橫掃)RX Mapping'!AO57&lt;=600), ('(橫掃)RX Mapping'!AO57-361),IF(AND('(橫掃)RX Mapping'!AO57&gt;=601,'(橫掃)RX Mapping'!AO57&lt;=720), (-1)*('(橫掃)RX Mapping'!AO57-720)+120,IF(AND('(橫掃)RX Mapping'!AO57&gt;=721,'(橫掃)RX Mapping'!AO57&lt;=840), ('(橫掃)RX Mapping'!AO57-601),IF(AND('(橫掃)RX Mapping'!AO57&gt;=841,'(橫掃)RX Mapping'!AO57&lt;=960), (-1)*('(橫掃)RX Mapping'!AO57-960)+120,9999))))))))</f>
        <v>9999</v>
      </c>
      <c r="AP57">
        <f>IF(AND('(橫掃)RX Mapping'!AP57&gt;=1,'(橫掃)RX Mapping'!AP57&lt;=120), ('(橫掃)RX Mapping'!AP57-1),IF(AND('(橫掃)RX Mapping'!AP57&gt;=121,'(橫掃)RX Mapping'!AP57&lt;=240), (-1)*('(橫掃)RX Mapping'!AP57-240),IF(AND('(橫掃)RX Mapping'!AP57&gt;=241,'(橫掃)RX Mapping'!AP57&lt;=360), ('(橫掃)RX Mapping'!AP57-241),IF(AND('(橫掃)RX Mapping'!AP57&gt;=361,'(橫掃)RX Mapping'!AP57&lt;=480), (-1)*('(橫掃)RX Mapping'!AP57-480),IF(AND('(橫掃)RX Mapping'!AP57&gt;=481,'(橫掃)RX Mapping'!AP57&lt;=600), ('(橫掃)RX Mapping'!AP57-361),IF(AND('(橫掃)RX Mapping'!AP57&gt;=601,'(橫掃)RX Mapping'!AP57&lt;=720), (-1)*('(橫掃)RX Mapping'!AP57-720)+120,IF(AND('(橫掃)RX Mapping'!AP57&gt;=721,'(橫掃)RX Mapping'!AP57&lt;=840), ('(橫掃)RX Mapping'!AP57-601),IF(AND('(橫掃)RX Mapping'!AP57&gt;=841,'(橫掃)RX Mapping'!AP57&lt;=960), (-1)*('(橫掃)RX Mapping'!AP57-960)+120,9999))))))))</f>
        <v>9999</v>
      </c>
      <c r="AQ57">
        <f>IF(AND('(橫掃)RX Mapping'!AQ57&gt;=1,'(橫掃)RX Mapping'!AQ57&lt;=120), ('(橫掃)RX Mapping'!AQ57-1),IF(AND('(橫掃)RX Mapping'!AQ57&gt;=121,'(橫掃)RX Mapping'!AQ57&lt;=240), (-1)*('(橫掃)RX Mapping'!AQ57-240),IF(AND('(橫掃)RX Mapping'!AQ57&gt;=241,'(橫掃)RX Mapping'!AQ57&lt;=360), ('(橫掃)RX Mapping'!AQ57-241),IF(AND('(橫掃)RX Mapping'!AQ57&gt;=361,'(橫掃)RX Mapping'!AQ57&lt;=480), (-1)*('(橫掃)RX Mapping'!AQ57-480),IF(AND('(橫掃)RX Mapping'!AQ57&gt;=481,'(橫掃)RX Mapping'!AQ57&lt;=600), ('(橫掃)RX Mapping'!AQ57-361),IF(AND('(橫掃)RX Mapping'!AQ57&gt;=601,'(橫掃)RX Mapping'!AQ57&lt;=720), (-1)*('(橫掃)RX Mapping'!AQ57-720)+120,IF(AND('(橫掃)RX Mapping'!AQ57&gt;=721,'(橫掃)RX Mapping'!AQ57&lt;=840), ('(橫掃)RX Mapping'!AQ57-601),IF(AND('(橫掃)RX Mapping'!AQ57&gt;=841,'(橫掃)RX Mapping'!AQ57&lt;=960), (-1)*('(橫掃)RX Mapping'!AQ57-960)+120,9999))))))))</f>
        <v>9999</v>
      </c>
      <c r="AR57">
        <f>IF(AND('(橫掃)RX Mapping'!AR57&gt;=1,'(橫掃)RX Mapping'!AR57&lt;=120), ('(橫掃)RX Mapping'!AR57-1),IF(AND('(橫掃)RX Mapping'!AR57&gt;=121,'(橫掃)RX Mapping'!AR57&lt;=240), (-1)*('(橫掃)RX Mapping'!AR57-240),IF(AND('(橫掃)RX Mapping'!AR57&gt;=241,'(橫掃)RX Mapping'!AR57&lt;=360), ('(橫掃)RX Mapping'!AR57-241),IF(AND('(橫掃)RX Mapping'!AR57&gt;=361,'(橫掃)RX Mapping'!AR57&lt;=480), (-1)*('(橫掃)RX Mapping'!AR57-480),IF(AND('(橫掃)RX Mapping'!AR57&gt;=481,'(橫掃)RX Mapping'!AR57&lt;=600), ('(橫掃)RX Mapping'!AR57-361),IF(AND('(橫掃)RX Mapping'!AR57&gt;=601,'(橫掃)RX Mapping'!AR57&lt;=720), (-1)*('(橫掃)RX Mapping'!AR57-720)+120,IF(AND('(橫掃)RX Mapping'!AR57&gt;=721,'(橫掃)RX Mapping'!AR57&lt;=840), ('(橫掃)RX Mapping'!AR57-601),IF(AND('(橫掃)RX Mapping'!AR57&gt;=841,'(橫掃)RX Mapping'!AR57&lt;=960), (-1)*('(橫掃)RX Mapping'!AR57-960)+120,9999))))))))</f>
        <v>9999</v>
      </c>
      <c r="AS57">
        <f>IF(AND('(橫掃)RX Mapping'!AS57&gt;=1,'(橫掃)RX Mapping'!AS57&lt;=120), ('(橫掃)RX Mapping'!AS57-1),IF(AND('(橫掃)RX Mapping'!AS57&gt;=121,'(橫掃)RX Mapping'!AS57&lt;=240), (-1)*('(橫掃)RX Mapping'!AS57-240),IF(AND('(橫掃)RX Mapping'!AS57&gt;=241,'(橫掃)RX Mapping'!AS57&lt;=360), ('(橫掃)RX Mapping'!AS57-241),IF(AND('(橫掃)RX Mapping'!AS57&gt;=361,'(橫掃)RX Mapping'!AS57&lt;=480), (-1)*('(橫掃)RX Mapping'!AS57-480),IF(AND('(橫掃)RX Mapping'!AS57&gt;=481,'(橫掃)RX Mapping'!AS57&lt;=600), ('(橫掃)RX Mapping'!AS57-361),IF(AND('(橫掃)RX Mapping'!AS57&gt;=601,'(橫掃)RX Mapping'!AS57&lt;=720), (-1)*('(橫掃)RX Mapping'!AS57-720)+120,IF(AND('(橫掃)RX Mapping'!AS57&gt;=721,'(橫掃)RX Mapping'!AS57&lt;=840), ('(橫掃)RX Mapping'!AS57-601),IF(AND('(橫掃)RX Mapping'!AS57&gt;=841,'(橫掃)RX Mapping'!AS57&lt;=960), (-1)*('(橫掃)RX Mapping'!AS57-960)+120,9999))))))))</f>
        <v>9999</v>
      </c>
      <c r="AT57">
        <f>IF(AND('(橫掃)RX Mapping'!AT57&gt;=1,'(橫掃)RX Mapping'!AT57&lt;=120), ('(橫掃)RX Mapping'!AT57-1),IF(AND('(橫掃)RX Mapping'!AT57&gt;=121,'(橫掃)RX Mapping'!AT57&lt;=240), (-1)*('(橫掃)RX Mapping'!AT57-240),IF(AND('(橫掃)RX Mapping'!AT57&gt;=241,'(橫掃)RX Mapping'!AT57&lt;=360), ('(橫掃)RX Mapping'!AT57-241),IF(AND('(橫掃)RX Mapping'!AT57&gt;=361,'(橫掃)RX Mapping'!AT57&lt;=480), (-1)*('(橫掃)RX Mapping'!AT57-480),IF(AND('(橫掃)RX Mapping'!AT57&gt;=481,'(橫掃)RX Mapping'!AT57&lt;=600), ('(橫掃)RX Mapping'!AT57-361),IF(AND('(橫掃)RX Mapping'!AT57&gt;=601,'(橫掃)RX Mapping'!AT57&lt;=720), (-1)*('(橫掃)RX Mapping'!AT57-720)+120,IF(AND('(橫掃)RX Mapping'!AT57&gt;=721,'(橫掃)RX Mapping'!AT57&lt;=840), ('(橫掃)RX Mapping'!AT57-601),IF(AND('(橫掃)RX Mapping'!AT57&gt;=841,'(橫掃)RX Mapping'!AT57&lt;=960), (-1)*('(橫掃)RX Mapping'!AT57-960)+120,9999))))))))</f>
        <v>9999</v>
      </c>
      <c r="AU57">
        <f>IF(AND('(橫掃)RX Mapping'!AU57&gt;=1,'(橫掃)RX Mapping'!AU57&lt;=120), ('(橫掃)RX Mapping'!AU57-1),IF(AND('(橫掃)RX Mapping'!AU57&gt;=121,'(橫掃)RX Mapping'!AU57&lt;=240), (-1)*('(橫掃)RX Mapping'!AU57-240),IF(AND('(橫掃)RX Mapping'!AU57&gt;=241,'(橫掃)RX Mapping'!AU57&lt;=360), ('(橫掃)RX Mapping'!AU57-241),IF(AND('(橫掃)RX Mapping'!AU57&gt;=361,'(橫掃)RX Mapping'!AU57&lt;=480), (-1)*('(橫掃)RX Mapping'!AU57-480),IF(AND('(橫掃)RX Mapping'!AU57&gt;=481,'(橫掃)RX Mapping'!AU57&lt;=600), ('(橫掃)RX Mapping'!AU57-361),IF(AND('(橫掃)RX Mapping'!AU57&gt;=601,'(橫掃)RX Mapping'!AU57&lt;=720), (-1)*('(橫掃)RX Mapping'!AU57-720)+120,IF(AND('(橫掃)RX Mapping'!AU57&gt;=721,'(橫掃)RX Mapping'!AU57&lt;=840), ('(橫掃)RX Mapping'!AU57-601),IF(AND('(橫掃)RX Mapping'!AU57&gt;=841,'(橫掃)RX Mapping'!AU57&lt;=960), (-1)*('(橫掃)RX Mapping'!AU57-960)+120,9999))))))))</f>
        <v>9999</v>
      </c>
      <c r="AV57">
        <f>IF(AND('(橫掃)RX Mapping'!AV57&gt;=1,'(橫掃)RX Mapping'!AV57&lt;=120), ('(橫掃)RX Mapping'!AV57-1),IF(AND('(橫掃)RX Mapping'!AV57&gt;=121,'(橫掃)RX Mapping'!AV57&lt;=240), (-1)*('(橫掃)RX Mapping'!AV57-240),IF(AND('(橫掃)RX Mapping'!AV57&gt;=241,'(橫掃)RX Mapping'!AV57&lt;=360), ('(橫掃)RX Mapping'!AV57-241),IF(AND('(橫掃)RX Mapping'!AV57&gt;=361,'(橫掃)RX Mapping'!AV57&lt;=480), (-1)*('(橫掃)RX Mapping'!AV57-480),IF(AND('(橫掃)RX Mapping'!AV57&gt;=481,'(橫掃)RX Mapping'!AV57&lt;=600), ('(橫掃)RX Mapping'!AV57-361),IF(AND('(橫掃)RX Mapping'!AV57&gt;=601,'(橫掃)RX Mapping'!AV57&lt;=720), (-1)*('(橫掃)RX Mapping'!AV57-720)+120,IF(AND('(橫掃)RX Mapping'!AV57&gt;=721,'(橫掃)RX Mapping'!AV57&lt;=840), ('(橫掃)RX Mapping'!AV57-601),IF(AND('(橫掃)RX Mapping'!AV57&gt;=841,'(橫掃)RX Mapping'!AV57&lt;=960), (-1)*('(橫掃)RX Mapping'!AV57-960)+120,9999))))))))</f>
        <v>9999</v>
      </c>
      <c r="AW57">
        <f>IF(AND('(橫掃)RX Mapping'!AW57&gt;=1,'(橫掃)RX Mapping'!AW57&lt;=120), ('(橫掃)RX Mapping'!AW57-1),IF(AND('(橫掃)RX Mapping'!AW57&gt;=121,'(橫掃)RX Mapping'!AW57&lt;=240), (-1)*('(橫掃)RX Mapping'!AW57-240),IF(AND('(橫掃)RX Mapping'!AW57&gt;=241,'(橫掃)RX Mapping'!AW57&lt;=360), ('(橫掃)RX Mapping'!AW57-241),IF(AND('(橫掃)RX Mapping'!AW57&gt;=361,'(橫掃)RX Mapping'!AW57&lt;=480), (-1)*('(橫掃)RX Mapping'!AW57-480),IF(AND('(橫掃)RX Mapping'!AW57&gt;=481,'(橫掃)RX Mapping'!AW57&lt;=600), ('(橫掃)RX Mapping'!AW57-361),IF(AND('(橫掃)RX Mapping'!AW57&gt;=601,'(橫掃)RX Mapping'!AW57&lt;=720), (-1)*('(橫掃)RX Mapping'!AW57-720)+120,IF(AND('(橫掃)RX Mapping'!AW57&gt;=721,'(橫掃)RX Mapping'!AW57&lt;=840), ('(橫掃)RX Mapping'!AW57-601),IF(AND('(橫掃)RX Mapping'!AW57&gt;=841,'(橫掃)RX Mapping'!AW57&lt;=960), (-1)*('(橫掃)RX Mapping'!AW57-960)+120,9999))))))))</f>
        <v>9999</v>
      </c>
      <c r="AX57">
        <f>IF(AND('(橫掃)RX Mapping'!AX57&gt;=1,'(橫掃)RX Mapping'!AX57&lt;=120), ('(橫掃)RX Mapping'!AX57-1),IF(AND('(橫掃)RX Mapping'!AX57&gt;=121,'(橫掃)RX Mapping'!AX57&lt;=240), (-1)*('(橫掃)RX Mapping'!AX57-240),IF(AND('(橫掃)RX Mapping'!AX57&gt;=241,'(橫掃)RX Mapping'!AX57&lt;=360), ('(橫掃)RX Mapping'!AX57-241),IF(AND('(橫掃)RX Mapping'!AX57&gt;=361,'(橫掃)RX Mapping'!AX57&lt;=480), (-1)*('(橫掃)RX Mapping'!AX57-480),IF(AND('(橫掃)RX Mapping'!AX57&gt;=481,'(橫掃)RX Mapping'!AX57&lt;=600), ('(橫掃)RX Mapping'!AX57-361),IF(AND('(橫掃)RX Mapping'!AX57&gt;=601,'(橫掃)RX Mapping'!AX57&lt;=720), (-1)*('(橫掃)RX Mapping'!AX57-720)+120,IF(AND('(橫掃)RX Mapping'!AX57&gt;=721,'(橫掃)RX Mapping'!AX57&lt;=840), ('(橫掃)RX Mapping'!AX57-601),IF(AND('(橫掃)RX Mapping'!AX57&gt;=841,'(橫掃)RX Mapping'!AX57&lt;=960), (-1)*('(橫掃)RX Mapping'!AX57-960)+120,9999))))))))</f>
        <v>9999</v>
      </c>
      <c r="AY57">
        <f>IF(AND('(橫掃)RX Mapping'!AY57&gt;=1,'(橫掃)RX Mapping'!AY57&lt;=120), ('(橫掃)RX Mapping'!AY57-1),IF(AND('(橫掃)RX Mapping'!AY57&gt;=121,'(橫掃)RX Mapping'!AY57&lt;=240), (-1)*('(橫掃)RX Mapping'!AY57-240),IF(AND('(橫掃)RX Mapping'!AY57&gt;=241,'(橫掃)RX Mapping'!AY57&lt;=360), ('(橫掃)RX Mapping'!AY57-241),IF(AND('(橫掃)RX Mapping'!AY57&gt;=361,'(橫掃)RX Mapping'!AY57&lt;=480), (-1)*('(橫掃)RX Mapping'!AY57-480),IF(AND('(橫掃)RX Mapping'!AY57&gt;=481,'(橫掃)RX Mapping'!AY57&lt;=600), ('(橫掃)RX Mapping'!AY57-361),IF(AND('(橫掃)RX Mapping'!AY57&gt;=601,'(橫掃)RX Mapping'!AY57&lt;=720), (-1)*('(橫掃)RX Mapping'!AY57-720)+120,IF(AND('(橫掃)RX Mapping'!AY57&gt;=721,'(橫掃)RX Mapping'!AY57&lt;=840), ('(橫掃)RX Mapping'!AY57-601),IF(AND('(橫掃)RX Mapping'!AY57&gt;=841,'(橫掃)RX Mapping'!AY57&lt;=960), (-1)*('(橫掃)RX Mapping'!AY57-960)+120,9999))))))))</f>
        <v>9999</v>
      </c>
      <c r="AZ57">
        <f>IF(AND('(橫掃)RX Mapping'!AZ57&gt;=1,'(橫掃)RX Mapping'!AZ57&lt;=120), ('(橫掃)RX Mapping'!AZ57-1),IF(AND('(橫掃)RX Mapping'!AZ57&gt;=121,'(橫掃)RX Mapping'!AZ57&lt;=240), (-1)*('(橫掃)RX Mapping'!AZ57-240),IF(AND('(橫掃)RX Mapping'!AZ57&gt;=241,'(橫掃)RX Mapping'!AZ57&lt;=360), ('(橫掃)RX Mapping'!AZ57-241),IF(AND('(橫掃)RX Mapping'!AZ57&gt;=361,'(橫掃)RX Mapping'!AZ57&lt;=480), (-1)*('(橫掃)RX Mapping'!AZ57-480),IF(AND('(橫掃)RX Mapping'!AZ57&gt;=481,'(橫掃)RX Mapping'!AZ57&lt;=600), ('(橫掃)RX Mapping'!AZ57-361),IF(AND('(橫掃)RX Mapping'!AZ57&gt;=601,'(橫掃)RX Mapping'!AZ57&lt;=720), (-1)*('(橫掃)RX Mapping'!AZ57-720)+120,IF(AND('(橫掃)RX Mapping'!AZ57&gt;=721,'(橫掃)RX Mapping'!AZ57&lt;=840), ('(橫掃)RX Mapping'!AZ57-601),IF(AND('(橫掃)RX Mapping'!AZ57&gt;=841,'(橫掃)RX Mapping'!AZ57&lt;=960), (-1)*('(橫掃)RX Mapping'!AZ57-960)+120,9999))))))))</f>
        <v>9999</v>
      </c>
      <c r="BA57">
        <f>IF(AND('(橫掃)RX Mapping'!BA57&gt;=1,'(橫掃)RX Mapping'!BA57&lt;=120), ('(橫掃)RX Mapping'!BA57-1),IF(AND('(橫掃)RX Mapping'!BA57&gt;=121,'(橫掃)RX Mapping'!BA57&lt;=240), (-1)*('(橫掃)RX Mapping'!BA57-240),IF(AND('(橫掃)RX Mapping'!BA57&gt;=241,'(橫掃)RX Mapping'!BA57&lt;=360), ('(橫掃)RX Mapping'!BA57-241),IF(AND('(橫掃)RX Mapping'!BA57&gt;=361,'(橫掃)RX Mapping'!BA57&lt;=480), (-1)*('(橫掃)RX Mapping'!BA57-480),IF(AND('(橫掃)RX Mapping'!BA57&gt;=481,'(橫掃)RX Mapping'!BA57&lt;=600), ('(橫掃)RX Mapping'!BA57-361),IF(AND('(橫掃)RX Mapping'!BA57&gt;=601,'(橫掃)RX Mapping'!BA57&lt;=720), (-1)*('(橫掃)RX Mapping'!BA57-720)+120,IF(AND('(橫掃)RX Mapping'!BA57&gt;=721,'(橫掃)RX Mapping'!BA57&lt;=840), ('(橫掃)RX Mapping'!BA57-601),IF(AND('(橫掃)RX Mapping'!BA57&gt;=841,'(橫掃)RX Mapping'!BA57&lt;=960), (-1)*('(橫掃)RX Mapping'!BA57-960)+120,9999))))))))</f>
        <v>9999</v>
      </c>
      <c r="BB57">
        <f>IF(AND('(橫掃)RX Mapping'!BB57&gt;=1,'(橫掃)RX Mapping'!BB57&lt;=120), ('(橫掃)RX Mapping'!BB57-1),IF(AND('(橫掃)RX Mapping'!BB57&gt;=121,'(橫掃)RX Mapping'!BB57&lt;=240), (-1)*('(橫掃)RX Mapping'!BB57-240),IF(AND('(橫掃)RX Mapping'!BB57&gt;=241,'(橫掃)RX Mapping'!BB57&lt;=360), ('(橫掃)RX Mapping'!BB57-241),IF(AND('(橫掃)RX Mapping'!BB57&gt;=361,'(橫掃)RX Mapping'!BB57&lt;=480), (-1)*('(橫掃)RX Mapping'!BB57-480),IF(AND('(橫掃)RX Mapping'!BB57&gt;=481,'(橫掃)RX Mapping'!BB57&lt;=600), ('(橫掃)RX Mapping'!BB57-361),IF(AND('(橫掃)RX Mapping'!BB57&gt;=601,'(橫掃)RX Mapping'!BB57&lt;=720), (-1)*('(橫掃)RX Mapping'!BB57-720)+120,IF(AND('(橫掃)RX Mapping'!BB57&gt;=721,'(橫掃)RX Mapping'!BB57&lt;=840), ('(橫掃)RX Mapping'!BB57-601),IF(AND('(橫掃)RX Mapping'!BB57&gt;=841,'(橫掃)RX Mapping'!BB57&lt;=960), (-1)*('(橫掃)RX Mapping'!BB57-960)+120,9999))))))))</f>
        <v>9999</v>
      </c>
      <c r="BC57">
        <f>IF(AND('(橫掃)RX Mapping'!BC57&gt;=1,'(橫掃)RX Mapping'!BC57&lt;=120), ('(橫掃)RX Mapping'!BC57-1),IF(AND('(橫掃)RX Mapping'!BC57&gt;=121,'(橫掃)RX Mapping'!BC57&lt;=240), (-1)*('(橫掃)RX Mapping'!BC57-240),IF(AND('(橫掃)RX Mapping'!BC57&gt;=241,'(橫掃)RX Mapping'!BC57&lt;=360), ('(橫掃)RX Mapping'!BC57-241),IF(AND('(橫掃)RX Mapping'!BC57&gt;=361,'(橫掃)RX Mapping'!BC57&lt;=480), (-1)*('(橫掃)RX Mapping'!BC57-480),IF(AND('(橫掃)RX Mapping'!BC57&gt;=481,'(橫掃)RX Mapping'!BC57&lt;=600), ('(橫掃)RX Mapping'!BC57-361),IF(AND('(橫掃)RX Mapping'!BC57&gt;=601,'(橫掃)RX Mapping'!BC57&lt;=720), (-1)*('(橫掃)RX Mapping'!BC57-720)+120,IF(AND('(橫掃)RX Mapping'!BC57&gt;=721,'(橫掃)RX Mapping'!BC57&lt;=840), ('(橫掃)RX Mapping'!BC57-601),IF(AND('(橫掃)RX Mapping'!BC57&gt;=841,'(橫掃)RX Mapping'!BC57&lt;=960), (-1)*('(橫掃)RX Mapping'!BC57-960)+120,9999))))))))</f>
        <v>9999</v>
      </c>
      <c r="BD57">
        <f>IF(AND('(橫掃)RX Mapping'!BD57&gt;=1,'(橫掃)RX Mapping'!BD57&lt;=120), ('(橫掃)RX Mapping'!BD57-1),IF(AND('(橫掃)RX Mapping'!BD57&gt;=121,'(橫掃)RX Mapping'!BD57&lt;=240), (-1)*('(橫掃)RX Mapping'!BD57-240),IF(AND('(橫掃)RX Mapping'!BD57&gt;=241,'(橫掃)RX Mapping'!BD57&lt;=360), ('(橫掃)RX Mapping'!BD57-241),IF(AND('(橫掃)RX Mapping'!BD57&gt;=361,'(橫掃)RX Mapping'!BD57&lt;=480), (-1)*('(橫掃)RX Mapping'!BD57-480),IF(AND('(橫掃)RX Mapping'!BD57&gt;=481,'(橫掃)RX Mapping'!BD57&lt;=600), ('(橫掃)RX Mapping'!BD57-361),IF(AND('(橫掃)RX Mapping'!BD57&gt;=601,'(橫掃)RX Mapping'!BD57&lt;=720), (-1)*('(橫掃)RX Mapping'!BD57-720)+120,IF(AND('(橫掃)RX Mapping'!BD57&gt;=721,'(橫掃)RX Mapping'!BD57&lt;=840), ('(橫掃)RX Mapping'!BD57-601),IF(AND('(橫掃)RX Mapping'!BD57&gt;=841,'(橫掃)RX Mapping'!BD57&lt;=960), (-1)*('(橫掃)RX Mapping'!BD57-960)+120,9999))))))))</f>
        <v>9999</v>
      </c>
      <c r="BE57">
        <f>IF(AND('(橫掃)RX Mapping'!BE57&gt;=1,'(橫掃)RX Mapping'!BE57&lt;=120), ('(橫掃)RX Mapping'!BE57-1),IF(AND('(橫掃)RX Mapping'!BE57&gt;=121,'(橫掃)RX Mapping'!BE57&lt;=240), (-1)*('(橫掃)RX Mapping'!BE57-240),IF(AND('(橫掃)RX Mapping'!BE57&gt;=241,'(橫掃)RX Mapping'!BE57&lt;=360), ('(橫掃)RX Mapping'!BE57-241),IF(AND('(橫掃)RX Mapping'!BE57&gt;=361,'(橫掃)RX Mapping'!BE57&lt;=480), (-1)*('(橫掃)RX Mapping'!BE57-480),IF(AND('(橫掃)RX Mapping'!BE57&gt;=481,'(橫掃)RX Mapping'!BE57&lt;=600), ('(橫掃)RX Mapping'!BE57-361),IF(AND('(橫掃)RX Mapping'!BE57&gt;=601,'(橫掃)RX Mapping'!BE57&lt;=720), (-1)*('(橫掃)RX Mapping'!BE57-720)+120,IF(AND('(橫掃)RX Mapping'!BE57&gt;=721,'(橫掃)RX Mapping'!BE57&lt;=840), ('(橫掃)RX Mapping'!BE57-601),IF(AND('(橫掃)RX Mapping'!BE57&gt;=841,'(橫掃)RX Mapping'!BE57&lt;=960), (-1)*('(橫掃)RX Mapping'!BE57-960)+120,9999))))))))</f>
        <v>9999</v>
      </c>
      <c r="BF57">
        <f>IF(AND('(橫掃)RX Mapping'!BF57&gt;=1,'(橫掃)RX Mapping'!BF57&lt;=120), ('(橫掃)RX Mapping'!BF57-1),IF(AND('(橫掃)RX Mapping'!BF57&gt;=121,'(橫掃)RX Mapping'!BF57&lt;=240), (-1)*('(橫掃)RX Mapping'!BF57-240),IF(AND('(橫掃)RX Mapping'!BF57&gt;=241,'(橫掃)RX Mapping'!BF57&lt;=360), ('(橫掃)RX Mapping'!BF57-241),IF(AND('(橫掃)RX Mapping'!BF57&gt;=361,'(橫掃)RX Mapping'!BF57&lt;=480), (-1)*('(橫掃)RX Mapping'!BF57-480),IF(AND('(橫掃)RX Mapping'!BF57&gt;=481,'(橫掃)RX Mapping'!BF57&lt;=600), ('(橫掃)RX Mapping'!BF57-361),IF(AND('(橫掃)RX Mapping'!BF57&gt;=601,'(橫掃)RX Mapping'!BF57&lt;=720), (-1)*('(橫掃)RX Mapping'!BF57-720)+120,IF(AND('(橫掃)RX Mapping'!BF57&gt;=721,'(橫掃)RX Mapping'!BF57&lt;=840), ('(橫掃)RX Mapping'!BF57-601),IF(AND('(橫掃)RX Mapping'!BF57&gt;=841,'(橫掃)RX Mapping'!BF57&lt;=960), (-1)*('(橫掃)RX Mapping'!BF57-960)+120,9999))))))))</f>
        <v>9999</v>
      </c>
      <c r="BG57">
        <f>IF(AND('(橫掃)RX Mapping'!BG57&gt;=1,'(橫掃)RX Mapping'!BG57&lt;=120), ('(橫掃)RX Mapping'!BG57-1),IF(AND('(橫掃)RX Mapping'!BG57&gt;=121,'(橫掃)RX Mapping'!BG57&lt;=240), (-1)*('(橫掃)RX Mapping'!BG57-240),IF(AND('(橫掃)RX Mapping'!BG57&gt;=241,'(橫掃)RX Mapping'!BG57&lt;=360), ('(橫掃)RX Mapping'!BG57-241),IF(AND('(橫掃)RX Mapping'!BG57&gt;=361,'(橫掃)RX Mapping'!BG57&lt;=480), (-1)*('(橫掃)RX Mapping'!BG57-480),IF(AND('(橫掃)RX Mapping'!BG57&gt;=481,'(橫掃)RX Mapping'!BG57&lt;=600), ('(橫掃)RX Mapping'!BG57-361),IF(AND('(橫掃)RX Mapping'!BG57&gt;=601,'(橫掃)RX Mapping'!BG57&lt;=720), (-1)*('(橫掃)RX Mapping'!BG57-720)+120,IF(AND('(橫掃)RX Mapping'!BG57&gt;=721,'(橫掃)RX Mapping'!BG57&lt;=840), ('(橫掃)RX Mapping'!BG57-601),IF(AND('(橫掃)RX Mapping'!BG57&gt;=841,'(橫掃)RX Mapping'!BG57&lt;=960), (-1)*('(橫掃)RX Mapping'!BG57-960)+120,9999))))))))</f>
        <v>9999</v>
      </c>
      <c r="BH57">
        <f>IF(AND('(橫掃)RX Mapping'!BH57&gt;=1,'(橫掃)RX Mapping'!BH57&lt;=120), ('(橫掃)RX Mapping'!BH57-1),IF(AND('(橫掃)RX Mapping'!BH57&gt;=121,'(橫掃)RX Mapping'!BH57&lt;=240), (-1)*('(橫掃)RX Mapping'!BH57-240),IF(AND('(橫掃)RX Mapping'!BH57&gt;=241,'(橫掃)RX Mapping'!BH57&lt;=360), ('(橫掃)RX Mapping'!BH57-241),IF(AND('(橫掃)RX Mapping'!BH57&gt;=361,'(橫掃)RX Mapping'!BH57&lt;=480), (-1)*('(橫掃)RX Mapping'!BH57-480),IF(AND('(橫掃)RX Mapping'!BH57&gt;=481,'(橫掃)RX Mapping'!BH57&lt;=600), ('(橫掃)RX Mapping'!BH57-361),IF(AND('(橫掃)RX Mapping'!BH57&gt;=601,'(橫掃)RX Mapping'!BH57&lt;=720), (-1)*('(橫掃)RX Mapping'!BH57-720)+120,IF(AND('(橫掃)RX Mapping'!BH57&gt;=721,'(橫掃)RX Mapping'!BH57&lt;=840), ('(橫掃)RX Mapping'!BH57-601),IF(AND('(橫掃)RX Mapping'!BH57&gt;=841,'(橫掃)RX Mapping'!BH57&lt;=960), (-1)*('(橫掃)RX Mapping'!BH57-960)+120,9999))))))))</f>
        <v>9999</v>
      </c>
      <c r="BI57">
        <f>IF(AND('(橫掃)RX Mapping'!BI57&gt;=1,'(橫掃)RX Mapping'!BI57&lt;=120), ('(橫掃)RX Mapping'!BI57-1),IF(AND('(橫掃)RX Mapping'!BI57&gt;=121,'(橫掃)RX Mapping'!BI57&lt;=240), (-1)*('(橫掃)RX Mapping'!BI57-240),IF(AND('(橫掃)RX Mapping'!BI57&gt;=241,'(橫掃)RX Mapping'!BI57&lt;=360), ('(橫掃)RX Mapping'!BI57-241),IF(AND('(橫掃)RX Mapping'!BI57&gt;=361,'(橫掃)RX Mapping'!BI57&lt;=480), (-1)*('(橫掃)RX Mapping'!BI57-480),IF(AND('(橫掃)RX Mapping'!BI57&gt;=481,'(橫掃)RX Mapping'!BI57&lt;=600), ('(橫掃)RX Mapping'!BI57-361),IF(AND('(橫掃)RX Mapping'!BI57&gt;=601,'(橫掃)RX Mapping'!BI57&lt;=720), (-1)*('(橫掃)RX Mapping'!BI57-720)+120,IF(AND('(橫掃)RX Mapping'!BI57&gt;=721,'(橫掃)RX Mapping'!BI57&lt;=840), ('(橫掃)RX Mapping'!BI57-601),IF(AND('(橫掃)RX Mapping'!BI57&gt;=841,'(橫掃)RX Mapping'!BI57&lt;=960), (-1)*('(橫掃)RX Mapping'!BI57-960)+120,9999))))))))</f>
        <v>9999</v>
      </c>
    </row>
    <row r="58" spans="1:61" x14ac:dyDescent="0.25">
      <c r="A58" s="20">
        <v>57</v>
      </c>
      <c r="B58">
        <f>IF(AND('(橫掃)RX Mapping'!B58&gt;=1,'(橫掃)RX Mapping'!B58&lt;=120), ('(橫掃)RX Mapping'!B58-1),IF(AND('(橫掃)RX Mapping'!B58&gt;=121,'(橫掃)RX Mapping'!B58&lt;=240), (-1)*('(橫掃)RX Mapping'!B58-240),IF(AND('(橫掃)RX Mapping'!B58&gt;=241,'(橫掃)RX Mapping'!B58&lt;=360), ('(橫掃)RX Mapping'!B58-241),IF(AND('(橫掃)RX Mapping'!B58&gt;=361,'(橫掃)RX Mapping'!B58&lt;=480), (-1)*('(橫掃)RX Mapping'!B58-480),IF(AND('(橫掃)RX Mapping'!B58&gt;=481,'(橫掃)RX Mapping'!B58&lt;=600), ('(橫掃)RX Mapping'!B58-361),IF(AND('(橫掃)RX Mapping'!B58&gt;=601,'(橫掃)RX Mapping'!B58&lt;=720), (-1)*('(橫掃)RX Mapping'!B58-720)+120,IF(AND('(橫掃)RX Mapping'!B58&gt;=721,'(橫掃)RX Mapping'!B58&lt;=840), ('(橫掃)RX Mapping'!B58-601),IF(AND('(橫掃)RX Mapping'!B58&gt;=841,'(橫掃)RX Mapping'!B58&lt;=960), (-1)*('(橫掃)RX Mapping'!B58-960)+120,9999))))))))</f>
        <v>9999</v>
      </c>
      <c r="C58">
        <f>IF(AND('(橫掃)RX Mapping'!C58&gt;=1,'(橫掃)RX Mapping'!C58&lt;=120), ('(橫掃)RX Mapping'!C58-1),IF(AND('(橫掃)RX Mapping'!C58&gt;=121,'(橫掃)RX Mapping'!C58&lt;=240), (-1)*('(橫掃)RX Mapping'!C58-240),IF(AND('(橫掃)RX Mapping'!C58&gt;=241,'(橫掃)RX Mapping'!C58&lt;=360), ('(橫掃)RX Mapping'!C58-241),IF(AND('(橫掃)RX Mapping'!C58&gt;=361,'(橫掃)RX Mapping'!C58&lt;=480), (-1)*('(橫掃)RX Mapping'!C58-480),IF(AND('(橫掃)RX Mapping'!C58&gt;=481,'(橫掃)RX Mapping'!C58&lt;=600), ('(橫掃)RX Mapping'!C58-361),IF(AND('(橫掃)RX Mapping'!C58&gt;=601,'(橫掃)RX Mapping'!C58&lt;=720), (-1)*('(橫掃)RX Mapping'!C58-720)+120,IF(AND('(橫掃)RX Mapping'!C58&gt;=721,'(橫掃)RX Mapping'!C58&lt;=840), ('(橫掃)RX Mapping'!C58-601),IF(AND('(橫掃)RX Mapping'!C58&gt;=841,'(橫掃)RX Mapping'!C58&lt;=960), (-1)*('(橫掃)RX Mapping'!C58-960)+120,9999))))))))</f>
        <v>9999</v>
      </c>
      <c r="D58">
        <f>IF(AND('(橫掃)RX Mapping'!D58&gt;=1,'(橫掃)RX Mapping'!D58&lt;=120), ('(橫掃)RX Mapping'!D58-1),IF(AND('(橫掃)RX Mapping'!D58&gt;=121,'(橫掃)RX Mapping'!D58&lt;=240), (-1)*('(橫掃)RX Mapping'!D58-240),IF(AND('(橫掃)RX Mapping'!D58&gt;=241,'(橫掃)RX Mapping'!D58&lt;=360), ('(橫掃)RX Mapping'!D58-241),IF(AND('(橫掃)RX Mapping'!D58&gt;=361,'(橫掃)RX Mapping'!D58&lt;=480), (-1)*('(橫掃)RX Mapping'!D58-480),IF(AND('(橫掃)RX Mapping'!D58&gt;=481,'(橫掃)RX Mapping'!D58&lt;=600), ('(橫掃)RX Mapping'!D58-361),IF(AND('(橫掃)RX Mapping'!D58&gt;=601,'(橫掃)RX Mapping'!D58&lt;=720), (-1)*('(橫掃)RX Mapping'!D58-720)+120,IF(AND('(橫掃)RX Mapping'!D58&gt;=721,'(橫掃)RX Mapping'!D58&lt;=840), ('(橫掃)RX Mapping'!D58-601),IF(AND('(橫掃)RX Mapping'!D58&gt;=841,'(橫掃)RX Mapping'!D58&lt;=960), (-1)*('(橫掃)RX Mapping'!D58-960)+120,9999))))))))</f>
        <v>9999</v>
      </c>
      <c r="E58">
        <f>IF(AND('(橫掃)RX Mapping'!E58&gt;=1,'(橫掃)RX Mapping'!E58&lt;=120), ('(橫掃)RX Mapping'!E58-1),IF(AND('(橫掃)RX Mapping'!E58&gt;=121,'(橫掃)RX Mapping'!E58&lt;=240), (-1)*('(橫掃)RX Mapping'!E58-240),IF(AND('(橫掃)RX Mapping'!E58&gt;=241,'(橫掃)RX Mapping'!E58&lt;=360), ('(橫掃)RX Mapping'!E58-241),IF(AND('(橫掃)RX Mapping'!E58&gt;=361,'(橫掃)RX Mapping'!E58&lt;=480), (-1)*('(橫掃)RX Mapping'!E58-480),IF(AND('(橫掃)RX Mapping'!E58&gt;=481,'(橫掃)RX Mapping'!E58&lt;=600), ('(橫掃)RX Mapping'!E58-361),IF(AND('(橫掃)RX Mapping'!E58&gt;=601,'(橫掃)RX Mapping'!E58&lt;=720), (-1)*('(橫掃)RX Mapping'!E58-720)+120,IF(AND('(橫掃)RX Mapping'!E58&gt;=721,'(橫掃)RX Mapping'!E58&lt;=840), ('(橫掃)RX Mapping'!E58-601),IF(AND('(橫掃)RX Mapping'!E58&gt;=841,'(橫掃)RX Mapping'!E58&lt;=960), (-1)*('(橫掃)RX Mapping'!E58-960)+120,9999))))))))</f>
        <v>9999</v>
      </c>
      <c r="F58">
        <f>IF(AND('(橫掃)RX Mapping'!F58&gt;=1,'(橫掃)RX Mapping'!F58&lt;=120), ('(橫掃)RX Mapping'!F58-1),IF(AND('(橫掃)RX Mapping'!F58&gt;=121,'(橫掃)RX Mapping'!F58&lt;=240), (-1)*('(橫掃)RX Mapping'!F58-240),IF(AND('(橫掃)RX Mapping'!F58&gt;=241,'(橫掃)RX Mapping'!F58&lt;=360), ('(橫掃)RX Mapping'!F58-241),IF(AND('(橫掃)RX Mapping'!F58&gt;=361,'(橫掃)RX Mapping'!F58&lt;=480), (-1)*('(橫掃)RX Mapping'!F58-480),IF(AND('(橫掃)RX Mapping'!F58&gt;=481,'(橫掃)RX Mapping'!F58&lt;=600), ('(橫掃)RX Mapping'!F58-361),IF(AND('(橫掃)RX Mapping'!F58&gt;=601,'(橫掃)RX Mapping'!F58&lt;=720), (-1)*('(橫掃)RX Mapping'!F58-720)+120,IF(AND('(橫掃)RX Mapping'!F58&gt;=721,'(橫掃)RX Mapping'!F58&lt;=840), ('(橫掃)RX Mapping'!F58-601),IF(AND('(橫掃)RX Mapping'!F58&gt;=841,'(橫掃)RX Mapping'!F58&lt;=960), (-1)*('(橫掃)RX Mapping'!F58-960)+120,9999))))))))</f>
        <v>9999</v>
      </c>
      <c r="G58">
        <f>IF(AND('(橫掃)RX Mapping'!G58&gt;=1,'(橫掃)RX Mapping'!G58&lt;=120), ('(橫掃)RX Mapping'!G58-1),IF(AND('(橫掃)RX Mapping'!G58&gt;=121,'(橫掃)RX Mapping'!G58&lt;=240), (-1)*('(橫掃)RX Mapping'!G58-240),IF(AND('(橫掃)RX Mapping'!G58&gt;=241,'(橫掃)RX Mapping'!G58&lt;=360), ('(橫掃)RX Mapping'!G58-241),IF(AND('(橫掃)RX Mapping'!G58&gt;=361,'(橫掃)RX Mapping'!G58&lt;=480), (-1)*('(橫掃)RX Mapping'!G58-480),IF(AND('(橫掃)RX Mapping'!G58&gt;=481,'(橫掃)RX Mapping'!G58&lt;=600), ('(橫掃)RX Mapping'!G58-361),IF(AND('(橫掃)RX Mapping'!G58&gt;=601,'(橫掃)RX Mapping'!G58&lt;=720), (-1)*('(橫掃)RX Mapping'!G58-720)+120,IF(AND('(橫掃)RX Mapping'!G58&gt;=721,'(橫掃)RX Mapping'!G58&lt;=840), ('(橫掃)RX Mapping'!G58-601),IF(AND('(橫掃)RX Mapping'!G58&gt;=841,'(橫掃)RX Mapping'!G58&lt;=960), (-1)*('(橫掃)RX Mapping'!G58-960)+120,9999))))))))</f>
        <v>9999</v>
      </c>
      <c r="H58">
        <f>IF(AND('(橫掃)RX Mapping'!H58&gt;=1,'(橫掃)RX Mapping'!H58&lt;=120), ('(橫掃)RX Mapping'!H58-1),IF(AND('(橫掃)RX Mapping'!H58&gt;=121,'(橫掃)RX Mapping'!H58&lt;=240), (-1)*('(橫掃)RX Mapping'!H58-240),IF(AND('(橫掃)RX Mapping'!H58&gt;=241,'(橫掃)RX Mapping'!H58&lt;=360), ('(橫掃)RX Mapping'!H58-241),IF(AND('(橫掃)RX Mapping'!H58&gt;=361,'(橫掃)RX Mapping'!H58&lt;=480), (-1)*('(橫掃)RX Mapping'!H58-480),IF(AND('(橫掃)RX Mapping'!H58&gt;=481,'(橫掃)RX Mapping'!H58&lt;=600), ('(橫掃)RX Mapping'!H58-361),IF(AND('(橫掃)RX Mapping'!H58&gt;=601,'(橫掃)RX Mapping'!H58&lt;=720), (-1)*('(橫掃)RX Mapping'!H58-720)+120,IF(AND('(橫掃)RX Mapping'!H58&gt;=721,'(橫掃)RX Mapping'!H58&lt;=840), ('(橫掃)RX Mapping'!H58-601),IF(AND('(橫掃)RX Mapping'!H58&gt;=841,'(橫掃)RX Mapping'!H58&lt;=960), (-1)*('(橫掃)RX Mapping'!H58-960)+120,9999))))))))</f>
        <v>9999</v>
      </c>
      <c r="I58">
        <f>IF(AND('(橫掃)RX Mapping'!I58&gt;=1,'(橫掃)RX Mapping'!I58&lt;=120), ('(橫掃)RX Mapping'!I58-1),IF(AND('(橫掃)RX Mapping'!I58&gt;=121,'(橫掃)RX Mapping'!I58&lt;=240), (-1)*('(橫掃)RX Mapping'!I58-240),IF(AND('(橫掃)RX Mapping'!I58&gt;=241,'(橫掃)RX Mapping'!I58&lt;=360), ('(橫掃)RX Mapping'!I58-241),IF(AND('(橫掃)RX Mapping'!I58&gt;=361,'(橫掃)RX Mapping'!I58&lt;=480), (-1)*('(橫掃)RX Mapping'!I58-480),IF(AND('(橫掃)RX Mapping'!I58&gt;=481,'(橫掃)RX Mapping'!I58&lt;=600), ('(橫掃)RX Mapping'!I58-361),IF(AND('(橫掃)RX Mapping'!I58&gt;=601,'(橫掃)RX Mapping'!I58&lt;=720), (-1)*('(橫掃)RX Mapping'!I58-720)+120,IF(AND('(橫掃)RX Mapping'!I58&gt;=721,'(橫掃)RX Mapping'!I58&lt;=840), ('(橫掃)RX Mapping'!I58-601),IF(AND('(橫掃)RX Mapping'!I58&gt;=841,'(橫掃)RX Mapping'!I58&lt;=960), (-1)*('(橫掃)RX Mapping'!I58-960)+120,9999))))))))</f>
        <v>9999</v>
      </c>
      <c r="J58">
        <f>IF(AND('(橫掃)RX Mapping'!J58&gt;=1,'(橫掃)RX Mapping'!J58&lt;=120), ('(橫掃)RX Mapping'!J58-1),IF(AND('(橫掃)RX Mapping'!J58&gt;=121,'(橫掃)RX Mapping'!J58&lt;=240), (-1)*('(橫掃)RX Mapping'!J58-240),IF(AND('(橫掃)RX Mapping'!J58&gt;=241,'(橫掃)RX Mapping'!J58&lt;=360), ('(橫掃)RX Mapping'!J58-241),IF(AND('(橫掃)RX Mapping'!J58&gt;=361,'(橫掃)RX Mapping'!J58&lt;=480), (-1)*('(橫掃)RX Mapping'!J58-480),IF(AND('(橫掃)RX Mapping'!J58&gt;=481,'(橫掃)RX Mapping'!J58&lt;=600), ('(橫掃)RX Mapping'!J58-361),IF(AND('(橫掃)RX Mapping'!J58&gt;=601,'(橫掃)RX Mapping'!J58&lt;=720), (-1)*('(橫掃)RX Mapping'!J58-720)+120,IF(AND('(橫掃)RX Mapping'!J58&gt;=721,'(橫掃)RX Mapping'!J58&lt;=840), ('(橫掃)RX Mapping'!J58-601),IF(AND('(橫掃)RX Mapping'!J58&gt;=841,'(橫掃)RX Mapping'!J58&lt;=960), (-1)*('(橫掃)RX Mapping'!J58-960)+120,9999))))))))</f>
        <v>9999</v>
      </c>
      <c r="K58">
        <f>IF(AND('(橫掃)RX Mapping'!K58&gt;=1,'(橫掃)RX Mapping'!K58&lt;=120), ('(橫掃)RX Mapping'!K58-1),IF(AND('(橫掃)RX Mapping'!K58&gt;=121,'(橫掃)RX Mapping'!K58&lt;=240), (-1)*('(橫掃)RX Mapping'!K58-240),IF(AND('(橫掃)RX Mapping'!K58&gt;=241,'(橫掃)RX Mapping'!K58&lt;=360), ('(橫掃)RX Mapping'!K58-241),IF(AND('(橫掃)RX Mapping'!K58&gt;=361,'(橫掃)RX Mapping'!K58&lt;=480), (-1)*('(橫掃)RX Mapping'!K58-480),IF(AND('(橫掃)RX Mapping'!K58&gt;=481,'(橫掃)RX Mapping'!K58&lt;=600), ('(橫掃)RX Mapping'!K58-361),IF(AND('(橫掃)RX Mapping'!K58&gt;=601,'(橫掃)RX Mapping'!K58&lt;=720), (-1)*('(橫掃)RX Mapping'!K58-720)+120,IF(AND('(橫掃)RX Mapping'!K58&gt;=721,'(橫掃)RX Mapping'!K58&lt;=840), ('(橫掃)RX Mapping'!K58-601),IF(AND('(橫掃)RX Mapping'!K58&gt;=841,'(橫掃)RX Mapping'!K58&lt;=960), (-1)*('(橫掃)RX Mapping'!K58-960)+120,9999))))))))</f>
        <v>9999</v>
      </c>
      <c r="L58">
        <f>IF(AND('(橫掃)RX Mapping'!L58&gt;=1,'(橫掃)RX Mapping'!L58&lt;=120), ('(橫掃)RX Mapping'!L58-1),IF(AND('(橫掃)RX Mapping'!L58&gt;=121,'(橫掃)RX Mapping'!L58&lt;=240), (-1)*('(橫掃)RX Mapping'!L58-240),IF(AND('(橫掃)RX Mapping'!L58&gt;=241,'(橫掃)RX Mapping'!L58&lt;=360), ('(橫掃)RX Mapping'!L58-241),IF(AND('(橫掃)RX Mapping'!L58&gt;=361,'(橫掃)RX Mapping'!L58&lt;=480), (-1)*('(橫掃)RX Mapping'!L58-480),IF(AND('(橫掃)RX Mapping'!L58&gt;=481,'(橫掃)RX Mapping'!L58&lt;=600), ('(橫掃)RX Mapping'!L58-361),IF(AND('(橫掃)RX Mapping'!L58&gt;=601,'(橫掃)RX Mapping'!L58&lt;=720), (-1)*('(橫掃)RX Mapping'!L58-720)+120,IF(AND('(橫掃)RX Mapping'!L58&gt;=721,'(橫掃)RX Mapping'!L58&lt;=840), ('(橫掃)RX Mapping'!L58-601),IF(AND('(橫掃)RX Mapping'!L58&gt;=841,'(橫掃)RX Mapping'!L58&lt;=960), (-1)*('(橫掃)RX Mapping'!L58-960)+120,9999))))))))</f>
        <v>9999</v>
      </c>
      <c r="M58">
        <f>IF(AND('(橫掃)RX Mapping'!M58&gt;=1,'(橫掃)RX Mapping'!M58&lt;=120), ('(橫掃)RX Mapping'!M58-1),IF(AND('(橫掃)RX Mapping'!M58&gt;=121,'(橫掃)RX Mapping'!M58&lt;=240), (-1)*('(橫掃)RX Mapping'!M58-240),IF(AND('(橫掃)RX Mapping'!M58&gt;=241,'(橫掃)RX Mapping'!M58&lt;=360), ('(橫掃)RX Mapping'!M58-241),IF(AND('(橫掃)RX Mapping'!M58&gt;=361,'(橫掃)RX Mapping'!M58&lt;=480), (-1)*('(橫掃)RX Mapping'!M58-480),IF(AND('(橫掃)RX Mapping'!M58&gt;=481,'(橫掃)RX Mapping'!M58&lt;=600), ('(橫掃)RX Mapping'!M58-361),IF(AND('(橫掃)RX Mapping'!M58&gt;=601,'(橫掃)RX Mapping'!M58&lt;=720), (-1)*('(橫掃)RX Mapping'!M58-720)+120,IF(AND('(橫掃)RX Mapping'!M58&gt;=721,'(橫掃)RX Mapping'!M58&lt;=840), ('(橫掃)RX Mapping'!M58-601),IF(AND('(橫掃)RX Mapping'!M58&gt;=841,'(橫掃)RX Mapping'!M58&lt;=960), (-1)*('(橫掃)RX Mapping'!M58-960)+120,9999))))))))</f>
        <v>9999</v>
      </c>
      <c r="N58">
        <f>IF(AND('(橫掃)RX Mapping'!N58&gt;=1,'(橫掃)RX Mapping'!N58&lt;=120), ('(橫掃)RX Mapping'!N58-1),IF(AND('(橫掃)RX Mapping'!N58&gt;=121,'(橫掃)RX Mapping'!N58&lt;=240), (-1)*('(橫掃)RX Mapping'!N58-240),IF(AND('(橫掃)RX Mapping'!N58&gt;=241,'(橫掃)RX Mapping'!N58&lt;=360), ('(橫掃)RX Mapping'!N58-241),IF(AND('(橫掃)RX Mapping'!N58&gt;=361,'(橫掃)RX Mapping'!N58&lt;=480), (-1)*('(橫掃)RX Mapping'!N58-480),IF(AND('(橫掃)RX Mapping'!N58&gt;=481,'(橫掃)RX Mapping'!N58&lt;=600), ('(橫掃)RX Mapping'!N58-361),IF(AND('(橫掃)RX Mapping'!N58&gt;=601,'(橫掃)RX Mapping'!N58&lt;=720), (-1)*('(橫掃)RX Mapping'!N58-720)+120,IF(AND('(橫掃)RX Mapping'!N58&gt;=721,'(橫掃)RX Mapping'!N58&lt;=840), ('(橫掃)RX Mapping'!N58-601),IF(AND('(橫掃)RX Mapping'!N58&gt;=841,'(橫掃)RX Mapping'!N58&lt;=960), (-1)*('(橫掃)RX Mapping'!N58-960)+120,9999))))))))</f>
        <v>9999</v>
      </c>
      <c r="O58">
        <f>IF(AND('(橫掃)RX Mapping'!O58&gt;=1,'(橫掃)RX Mapping'!O58&lt;=120), ('(橫掃)RX Mapping'!O58-1),IF(AND('(橫掃)RX Mapping'!O58&gt;=121,'(橫掃)RX Mapping'!O58&lt;=240), (-1)*('(橫掃)RX Mapping'!O58-240),IF(AND('(橫掃)RX Mapping'!O58&gt;=241,'(橫掃)RX Mapping'!O58&lt;=360), ('(橫掃)RX Mapping'!O58-241),IF(AND('(橫掃)RX Mapping'!O58&gt;=361,'(橫掃)RX Mapping'!O58&lt;=480), (-1)*('(橫掃)RX Mapping'!O58-480),IF(AND('(橫掃)RX Mapping'!O58&gt;=481,'(橫掃)RX Mapping'!O58&lt;=600), ('(橫掃)RX Mapping'!O58-361),IF(AND('(橫掃)RX Mapping'!O58&gt;=601,'(橫掃)RX Mapping'!O58&lt;=720), (-1)*('(橫掃)RX Mapping'!O58-720)+120,IF(AND('(橫掃)RX Mapping'!O58&gt;=721,'(橫掃)RX Mapping'!O58&lt;=840), ('(橫掃)RX Mapping'!O58-601),IF(AND('(橫掃)RX Mapping'!O58&gt;=841,'(橫掃)RX Mapping'!O58&lt;=960), (-1)*('(橫掃)RX Mapping'!O58-960)+120,9999))))))))</f>
        <v>9999</v>
      </c>
      <c r="P58">
        <f>IF(AND('(橫掃)RX Mapping'!P58&gt;=1,'(橫掃)RX Mapping'!P58&lt;=120), ('(橫掃)RX Mapping'!P58-1),IF(AND('(橫掃)RX Mapping'!P58&gt;=121,'(橫掃)RX Mapping'!P58&lt;=240), (-1)*('(橫掃)RX Mapping'!P58-240),IF(AND('(橫掃)RX Mapping'!P58&gt;=241,'(橫掃)RX Mapping'!P58&lt;=360), ('(橫掃)RX Mapping'!P58-241),IF(AND('(橫掃)RX Mapping'!P58&gt;=361,'(橫掃)RX Mapping'!P58&lt;=480), (-1)*('(橫掃)RX Mapping'!P58-480),IF(AND('(橫掃)RX Mapping'!P58&gt;=481,'(橫掃)RX Mapping'!P58&lt;=600), ('(橫掃)RX Mapping'!P58-361),IF(AND('(橫掃)RX Mapping'!P58&gt;=601,'(橫掃)RX Mapping'!P58&lt;=720), (-1)*('(橫掃)RX Mapping'!P58-720)+120,IF(AND('(橫掃)RX Mapping'!P58&gt;=721,'(橫掃)RX Mapping'!P58&lt;=840), ('(橫掃)RX Mapping'!P58-601),IF(AND('(橫掃)RX Mapping'!P58&gt;=841,'(橫掃)RX Mapping'!P58&lt;=960), (-1)*('(橫掃)RX Mapping'!P58-960)+120,9999))))))))</f>
        <v>9999</v>
      </c>
      <c r="Q58">
        <f>IF(AND('(橫掃)RX Mapping'!Q58&gt;=1,'(橫掃)RX Mapping'!Q58&lt;=120), ('(橫掃)RX Mapping'!Q58-1),IF(AND('(橫掃)RX Mapping'!Q58&gt;=121,'(橫掃)RX Mapping'!Q58&lt;=240), (-1)*('(橫掃)RX Mapping'!Q58-240),IF(AND('(橫掃)RX Mapping'!Q58&gt;=241,'(橫掃)RX Mapping'!Q58&lt;=360), ('(橫掃)RX Mapping'!Q58-241),IF(AND('(橫掃)RX Mapping'!Q58&gt;=361,'(橫掃)RX Mapping'!Q58&lt;=480), (-1)*('(橫掃)RX Mapping'!Q58-480),IF(AND('(橫掃)RX Mapping'!Q58&gt;=481,'(橫掃)RX Mapping'!Q58&lt;=600), ('(橫掃)RX Mapping'!Q58-361),IF(AND('(橫掃)RX Mapping'!Q58&gt;=601,'(橫掃)RX Mapping'!Q58&lt;=720), (-1)*('(橫掃)RX Mapping'!Q58-720)+120,IF(AND('(橫掃)RX Mapping'!Q58&gt;=721,'(橫掃)RX Mapping'!Q58&lt;=840), ('(橫掃)RX Mapping'!Q58-601),IF(AND('(橫掃)RX Mapping'!Q58&gt;=841,'(橫掃)RX Mapping'!Q58&lt;=960), (-1)*('(橫掃)RX Mapping'!Q58-960)+120,9999))))))))</f>
        <v>9999</v>
      </c>
      <c r="R58">
        <f>IF(AND('(橫掃)RX Mapping'!R58&gt;=1,'(橫掃)RX Mapping'!R58&lt;=120), ('(橫掃)RX Mapping'!R58-1),IF(AND('(橫掃)RX Mapping'!R58&gt;=121,'(橫掃)RX Mapping'!R58&lt;=240), (-1)*('(橫掃)RX Mapping'!R58-240),IF(AND('(橫掃)RX Mapping'!R58&gt;=241,'(橫掃)RX Mapping'!R58&lt;=360), ('(橫掃)RX Mapping'!R58-241),IF(AND('(橫掃)RX Mapping'!R58&gt;=361,'(橫掃)RX Mapping'!R58&lt;=480), (-1)*('(橫掃)RX Mapping'!R58-480),IF(AND('(橫掃)RX Mapping'!R58&gt;=481,'(橫掃)RX Mapping'!R58&lt;=600), ('(橫掃)RX Mapping'!R58-361),IF(AND('(橫掃)RX Mapping'!R58&gt;=601,'(橫掃)RX Mapping'!R58&lt;=720), (-1)*('(橫掃)RX Mapping'!R58-720)+120,IF(AND('(橫掃)RX Mapping'!R58&gt;=721,'(橫掃)RX Mapping'!R58&lt;=840), ('(橫掃)RX Mapping'!R58-601),IF(AND('(橫掃)RX Mapping'!R58&gt;=841,'(橫掃)RX Mapping'!R58&lt;=960), (-1)*('(橫掃)RX Mapping'!R58-960)+120,9999))))))))</f>
        <v>9999</v>
      </c>
      <c r="S58">
        <f>IF(AND('(橫掃)RX Mapping'!S58&gt;=1,'(橫掃)RX Mapping'!S58&lt;=120), ('(橫掃)RX Mapping'!S58-1),IF(AND('(橫掃)RX Mapping'!S58&gt;=121,'(橫掃)RX Mapping'!S58&lt;=240), (-1)*('(橫掃)RX Mapping'!S58-240),IF(AND('(橫掃)RX Mapping'!S58&gt;=241,'(橫掃)RX Mapping'!S58&lt;=360), ('(橫掃)RX Mapping'!S58-241),IF(AND('(橫掃)RX Mapping'!S58&gt;=361,'(橫掃)RX Mapping'!S58&lt;=480), (-1)*('(橫掃)RX Mapping'!S58-480),IF(AND('(橫掃)RX Mapping'!S58&gt;=481,'(橫掃)RX Mapping'!S58&lt;=600), ('(橫掃)RX Mapping'!S58-361),IF(AND('(橫掃)RX Mapping'!S58&gt;=601,'(橫掃)RX Mapping'!S58&lt;=720), (-1)*('(橫掃)RX Mapping'!S58-720)+120,IF(AND('(橫掃)RX Mapping'!S58&gt;=721,'(橫掃)RX Mapping'!S58&lt;=840), ('(橫掃)RX Mapping'!S58-601),IF(AND('(橫掃)RX Mapping'!S58&gt;=841,'(橫掃)RX Mapping'!S58&lt;=960), (-1)*('(橫掃)RX Mapping'!S58-960)+120,9999))))))))</f>
        <v>9999</v>
      </c>
      <c r="T58">
        <f>IF(AND('(橫掃)RX Mapping'!T58&gt;=1,'(橫掃)RX Mapping'!T58&lt;=120), ('(橫掃)RX Mapping'!T58-1),IF(AND('(橫掃)RX Mapping'!T58&gt;=121,'(橫掃)RX Mapping'!T58&lt;=240), (-1)*('(橫掃)RX Mapping'!T58-240),IF(AND('(橫掃)RX Mapping'!T58&gt;=241,'(橫掃)RX Mapping'!T58&lt;=360), ('(橫掃)RX Mapping'!T58-241),IF(AND('(橫掃)RX Mapping'!T58&gt;=361,'(橫掃)RX Mapping'!T58&lt;=480), (-1)*('(橫掃)RX Mapping'!T58-480),IF(AND('(橫掃)RX Mapping'!T58&gt;=481,'(橫掃)RX Mapping'!T58&lt;=600), ('(橫掃)RX Mapping'!T58-361),IF(AND('(橫掃)RX Mapping'!T58&gt;=601,'(橫掃)RX Mapping'!T58&lt;=720), (-1)*('(橫掃)RX Mapping'!T58-720)+120,IF(AND('(橫掃)RX Mapping'!T58&gt;=721,'(橫掃)RX Mapping'!T58&lt;=840), ('(橫掃)RX Mapping'!T58-601),IF(AND('(橫掃)RX Mapping'!T58&gt;=841,'(橫掃)RX Mapping'!T58&lt;=960), (-1)*('(橫掃)RX Mapping'!T58-960)+120,9999))))))))</f>
        <v>9999</v>
      </c>
      <c r="U58">
        <f>IF(AND('(橫掃)RX Mapping'!U58&gt;=1,'(橫掃)RX Mapping'!U58&lt;=120), ('(橫掃)RX Mapping'!U58-1),IF(AND('(橫掃)RX Mapping'!U58&gt;=121,'(橫掃)RX Mapping'!U58&lt;=240), (-1)*('(橫掃)RX Mapping'!U58-240),IF(AND('(橫掃)RX Mapping'!U58&gt;=241,'(橫掃)RX Mapping'!U58&lt;=360), ('(橫掃)RX Mapping'!U58-241),IF(AND('(橫掃)RX Mapping'!U58&gt;=361,'(橫掃)RX Mapping'!U58&lt;=480), (-1)*('(橫掃)RX Mapping'!U58-480),IF(AND('(橫掃)RX Mapping'!U58&gt;=481,'(橫掃)RX Mapping'!U58&lt;=600), ('(橫掃)RX Mapping'!U58-361),IF(AND('(橫掃)RX Mapping'!U58&gt;=601,'(橫掃)RX Mapping'!U58&lt;=720), (-1)*('(橫掃)RX Mapping'!U58-720)+120,IF(AND('(橫掃)RX Mapping'!U58&gt;=721,'(橫掃)RX Mapping'!U58&lt;=840), ('(橫掃)RX Mapping'!U58-601),IF(AND('(橫掃)RX Mapping'!U58&gt;=841,'(橫掃)RX Mapping'!U58&lt;=960), (-1)*('(橫掃)RX Mapping'!U58-960)+120,9999))))))))</f>
        <v>9999</v>
      </c>
      <c r="V58">
        <f>IF(AND('(橫掃)RX Mapping'!V58&gt;=1,'(橫掃)RX Mapping'!V58&lt;=120), ('(橫掃)RX Mapping'!V58-1),IF(AND('(橫掃)RX Mapping'!V58&gt;=121,'(橫掃)RX Mapping'!V58&lt;=240), (-1)*('(橫掃)RX Mapping'!V58-240),IF(AND('(橫掃)RX Mapping'!V58&gt;=241,'(橫掃)RX Mapping'!V58&lt;=360), ('(橫掃)RX Mapping'!V58-241),IF(AND('(橫掃)RX Mapping'!V58&gt;=361,'(橫掃)RX Mapping'!V58&lt;=480), (-1)*('(橫掃)RX Mapping'!V58-480),IF(AND('(橫掃)RX Mapping'!V58&gt;=481,'(橫掃)RX Mapping'!V58&lt;=600), ('(橫掃)RX Mapping'!V58-361),IF(AND('(橫掃)RX Mapping'!V58&gt;=601,'(橫掃)RX Mapping'!V58&lt;=720), (-1)*('(橫掃)RX Mapping'!V58-720)+120,IF(AND('(橫掃)RX Mapping'!V58&gt;=721,'(橫掃)RX Mapping'!V58&lt;=840), ('(橫掃)RX Mapping'!V58-601),IF(AND('(橫掃)RX Mapping'!V58&gt;=841,'(橫掃)RX Mapping'!V58&lt;=960), (-1)*('(橫掃)RX Mapping'!V58-960)+120,9999))))))))</f>
        <v>9999</v>
      </c>
      <c r="W58">
        <f>IF(AND('(橫掃)RX Mapping'!W58&gt;=1,'(橫掃)RX Mapping'!W58&lt;=120), ('(橫掃)RX Mapping'!W58-1),IF(AND('(橫掃)RX Mapping'!W58&gt;=121,'(橫掃)RX Mapping'!W58&lt;=240), (-1)*('(橫掃)RX Mapping'!W58-240),IF(AND('(橫掃)RX Mapping'!W58&gt;=241,'(橫掃)RX Mapping'!W58&lt;=360), ('(橫掃)RX Mapping'!W58-241),IF(AND('(橫掃)RX Mapping'!W58&gt;=361,'(橫掃)RX Mapping'!W58&lt;=480), (-1)*('(橫掃)RX Mapping'!W58-480),IF(AND('(橫掃)RX Mapping'!W58&gt;=481,'(橫掃)RX Mapping'!W58&lt;=600), ('(橫掃)RX Mapping'!W58-361),IF(AND('(橫掃)RX Mapping'!W58&gt;=601,'(橫掃)RX Mapping'!W58&lt;=720), (-1)*('(橫掃)RX Mapping'!W58-720)+120,IF(AND('(橫掃)RX Mapping'!W58&gt;=721,'(橫掃)RX Mapping'!W58&lt;=840), ('(橫掃)RX Mapping'!W58-601),IF(AND('(橫掃)RX Mapping'!W58&gt;=841,'(橫掃)RX Mapping'!W58&lt;=960), (-1)*('(橫掃)RX Mapping'!W58-960)+120,9999))))))))</f>
        <v>9999</v>
      </c>
      <c r="X58">
        <f>IF(AND('(橫掃)RX Mapping'!X58&gt;=1,'(橫掃)RX Mapping'!X58&lt;=120), ('(橫掃)RX Mapping'!X58-1),IF(AND('(橫掃)RX Mapping'!X58&gt;=121,'(橫掃)RX Mapping'!X58&lt;=240), (-1)*('(橫掃)RX Mapping'!X58-240),IF(AND('(橫掃)RX Mapping'!X58&gt;=241,'(橫掃)RX Mapping'!X58&lt;=360), ('(橫掃)RX Mapping'!X58-241),IF(AND('(橫掃)RX Mapping'!X58&gt;=361,'(橫掃)RX Mapping'!X58&lt;=480), (-1)*('(橫掃)RX Mapping'!X58-480),IF(AND('(橫掃)RX Mapping'!X58&gt;=481,'(橫掃)RX Mapping'!X58&lt;=600), ('(橫掃)RX Mapping'!X58-361),IF(AND('(橫掃)RX Mapping'!X58&gt;=601,'(橫掃)RX Mapping'!X58&lt;=720), (-1)*('(橫掃)RX Mapping'!X58-720)+120,IF(AND('(橫掃)RX Mapping'!X58&gt;=721,'(橫掃)RX Mapping'!X58&lt;=840), ('(橫掃)RX Mapping'!X58-601),IF(AND('(橫掃)RX Mapping'!X58&gt;=841,'(橫掃)RX Mapping'!X58&lt;=960), (-1)*('(橫掃)RX Mapping'!X58-960)+120,9999))))))))</f>
        <v>9999</v>
      </c>
      <c r="Y58">
        <f>IF(AND('(橫掃)RX Mapping'!Y58&gt;=1,'(橫掃)RX Mapping'!Y58&lt;=120), ('(橫掃)RX Mapping'!Y58-1),IF(AND('(橫掃)RX Mapping'!Y58&gt;=121,'(橫掃)RX Mapping'!Y58&lt;=240), (-1)*('(橫掃)RX Mapping'!Y58-240),IF(AND('(橫掃)RX Mapping'!Y58&gt;=241,'(橫掃)RX Mapping'!Y58&lt;=360), ('(橫掃)RX Mapping'!Y58-241),IF(AND('(橫掃)RX Mapping'!Y58&gt;=361,'(橫掃)RX Mapping'!Y58&lt;=480), (-1)*('(橫掃)RX Mapping'!Y58-480),IF(AND('(橫掃)RX Mapping'!Y58&gt;=481,'(橫掃)RX Mapping'!Y58&lt;=600), ('(橫掃)RX Mapping'!Y58-361),IF(AND('(橫掃)RX Mapping'!Y58&gt;=601,'(橫掃)RX Mapping'!Y58&lt;=720), (-1)*('(橫掃)RX Mapping'!Y58-720)+120,IF(AND('(橫掃)RX Mapping'!Y58&gt;=721,'(橫掃)RX Mapping'!Y58&lt;=840), ('(橫掃)RX Mapping'!Y58-601),IF(AND('(橫掃)RX Mapping'!Y58&gt;=841,'(橫掃)RX Mapping'!Y58&lt;=960), (-1)*('(橫掃)RX Mapping'!Y58-960)+120,9999))))))))</f>
        <v>9999</v>
      </c>
      <c r="Z58">
        <f>IF(AND('(橫掃)RX Mapping'!Z58&gt;=1,'(橫掃)RX Mapping'!Z58&lt;=120), ('(橫掃)RX Mapping'!Z58-1),IF(AND('(橫掃)RX Mapping'!Z58&gt;=121,'(橫掃)RX Mapping'!Z58&lt;=240), (-1)*('(橫掃)RX Mapping'!Z58-240),IF(AND('(橫掃)RX Mapping'!Z58&gt;=241,'(橫掃)RX Mapping'!Z58&lt;=360), ('(橫掃)RX Mapping'!Z58-241),IF(AND('(橫掃)RX Mapping'!Z58&gt;=361,'(橫掃)RX Mapping'!Z58&lt;=480), (-1)*('(橫掃)RX Mapping'!Z58-480),IF(AND('(橫掃)RX Mapping'!Z58&gt;=481,'(橫掃)RX Mapping'!Z58&lt;=600), ('(橫掃)RX Mapping'!Z58-361),IF(AND('(橫掃)RX Mapping'!Z58&gt;=601,'(橫掃)RX Mapping'!Z58&lt;=720), (-1)*('(橫掃)RX Mapping'!Z58-720)+120,IF(AND('(橫掃)RX Mapping'!Z58&gt;=721,'(橫掃)RX Mapping'!Z58&lt;=840), ('(橫掃)RX Mapping'!Z58-601),IF(AND('(橫掃)RX Mapping'!Z58&gt;=841,'(橫掃)RX Mapping'!Z58&lt;=960), (-1)*('(橫掃)RX Mapping'!Z58-960)+120,9999))))))))</f>
        <v>9999</v>
      </c>
      <c r="AA58">
        <f>IF(AND('(橫掃)RX Mapping'!AA58&gt;=1,'(橫掃)RX Mapping'!AA58&lt;=120), ('(橫掃)RX Mapping'!AA58-1),IF(AND('(橫掃)RX Mapping'!AA58&gt;=121,'(橫掃)RX Mapping'!AA58&lt;=240), (-1)*('(橫掃)RX Mapping'!AA58-240),IF(AND('(橫掃)RX Mapping'!AA58&gt;=241,'(橫掃)RX Mapping'!AA58&lt;=360), ('(橫掃)RX Mapping'!AA58-241),IF(AND('(橫掃)RX Mapping'!AA58&gt;=361,'(橫掃)RX Mapping'!AA58&lt;=480), (-1)*('(橫掃)RX Mapping'!AA58-480),IF(AND('(橫掃)RX Mapping'!AA58&gt;=481,'(橫掃)RX Mapping'!AA58&lt;=600), ('(橫掃)RX Mapping'!AA58-361),IF(AND('(橫掃)RX Mapping'!AA58&gt;=601,'(橫掃)RX Mapping'!AA58&lt;=720), (-1)*('(橫掃)RX Mapping'!AA58-720)+120,IF(AND('(橫掃)RX Mapping'!AA58&gt;=721,'(橫掃)RX Mapping'!AA58&lt;=840), ('(橫掃)RX Mapping'!AA58-601),IF(AND('(橫掃)RX Mapping'!AA58&gt;=841,'(橫掃)RX Mapping'!AA58&lt;=960), (-1)*('(橫掃)RX Mapping'!AA58-960)+120,9999))))))))</f>
        <v>9999</v>
      </c>
      <c r="AB58">
        <f>IF(AND('(橫掃)RX Mapping'!AB58&gt;=1,'(橫掃)RX Mapping'!AB58&lt;=120), ('(橫掃)RX Mapping'!AB58-1),IF(AND('(橫掃)RX Mapping'!AB58&gt;=121,'(橫掃)RX Mapping'!AB58&lt;=240), (-1)*('(橫掃)RX Mapping'!AB58-240),IF(AND('(橫掃)RX Mapping'!AB58&gt;=241,'(橫掃)RX Mapping'!AB58&lt;=360), ('(橫掃)RX Mapping'!AB58-241),IF(AND('(橫掃)RX Mapping'!AB58&gt;=361,'(橫掃)RX Mapping'!AB58&lt;=480), (-1)*('(橫掃)RX Mapping'!AB58-480),IF(AND('(橫掃)RX Mapping'!AB58&gt;=481,'(橫掃)RX Mapping'!AB58&lt;=600), ('(橫掃)RX Mapping'!AB58-361),IF(AND('(橫掃)RX Mapping'!AB58&gt;=601,'(橫掃)RX Mapping'!AB58&lt;=720), (-1)*('(橫掃)RX Mapping'!AB58-720)+120,IF(AND('(橫掃)RX Mapping'!AB58&gt;=721,'(橫掃)RX Mapping'!AB58&lt;=840), ('(橫掃)RX Mapping'!AB58-601),IF(AND('(橫掃)RX Mapping'!AB58&gt;=841,'(橫掃)RX Mapping'!AB58&lt;=960), (-1)*('(橫掃)RX Mapping'!AB58-960)+120,9999))))))))</f>
        <v>9999</v>
      </c>
      <c r="AC58">
        <f>IF(AND('(橫掃)RX Mapping'!AC58&gt;=1,'(橫掃)RX Mapping'!AC58&lt;=120), ('(橫掃)RX Mapping'!AC58-1),IF(AND('(橫掃)RX Mapping'!AC58&gt;=121,'(橫掃)RX Mapping'!AC58&lt;=240), (-1)*('(橫掃)RX Mapping'!AC58-240),IF(AND('(橫掃)RX Mapping'!AC58&gt;=241,'(橫掃)RX Mapping'!AC58&lt;=360), ('(橫掃)RX Mapping'!AC58-241),IF(AND('(橫掃)RX Mapping'!AC58&gt;=361,'(橫掃)RX Mapping'!AC58&lt;=480), (-1)*('(橫掃)RX Mapping'!AC58-480),IF(AND('(橫掃)RX Mapping'!AC58&gt;=481,'(橫掃)RX Mapping'!AC58&lt;=600), ('(橫掃)RX Mapping'!AC58-361),IF(AND('(橫掃)RX Mapping'!AC58&gt;=601,'(橫掃)RX Mapping'!AC58&lt;=720), (-1)*('(橫掃)RX Mapping'!AC58-720)+120,IF(AND('(橫掃)RX Mapping'!AC58&gt;=721,'(橫掃)RX Mapping'!AC58&lt;=840), ('(橫掃)RX Mapping'!AC58-601),IF(AND('(橫掃)RX Mapping'!AC58&gt;=841,'(橫掃)RX Mapping'!AC58&lt;=960), (-1)*('(橫掃)RX Mapping'!AC58-960)+120,9999))))))))</f>
        <v>9999</v>
      </c>
      <c r="AD58">
        <f>IF(AND('(橫掃)RX Mapping'!AD58&gt;=1,'(橫掃)RX Mapping'!AD58&lt;=120), ('(橫掃)RX Mapping'!AD58-1),IF(AND('(橫掃)RX Mapping'!AD58&gt;=121,'(橫掃)RX Mapping'!AD58&lt;=240), (-1)*('(橫掃)RX Mapping'!AD58-240),IF(AND('(橫掃)RX Mapping'!AD58&gt;=241,'(橫掃)RX Mapping'!AD58&lt;=360), ('(橫掃)RX Mapping'!AD58-241),IF(AND('(橫掃)RX Mapping'!AD58&gt;=361,'(橫掃)RX Mapping'!AD58&lt;=480), (-1)*('(橫掃)RX Mapping'!AD58-480),IF(AND('(橫掃)RX Mapping'!AD58&gt;=481,'(橫掃)RX Mapping'!AD58&lt;=600), ('(橫掃)RX Mapping'!AD58-361),IF(AND('(橫掃)RX Mapping'!AD58&gt;=601,'(橫掃)RX Mapping'!AD58&lt;=720), (-1)*('(橫掃)RX Mapping'!AD58-720)+120,IF(AND('(橫掃)RX Mapping'!AD58&gt;=721,'(橫掃)RX Mapping'!AD58&lt;=840), ('(橫掃)RX Mapping'!AD58-601),IF(AND('(橫掃)RX Mapping'!AD58&gt;=841,'(橫掃)RX Mapping'!AD58&lt;=960), (-1)*('(橫掃)RX Mapping'!AD58-960)+120,9999))))))))</f>
        <v>9999</v>
      </c>
      <c r="AE58">
        <f>IF(AND('(橫掃)RX Mapping'!AE58&gt;=1,'(橫掃)RX Mapping'!AE58&lt;=120), ('(橫掃)RX Mapping'!AE58-1),IF(AND('(橫掃)RX Mapping'!AE58&gt;=121,'(橫掃)RX Mapping'!AE58&lt;=240), (-1)*('(橫掃)RX Mapping'!AE58-240),IF(AND('(橫掃)RX Mapping'!AE58&gt;=241,'(橫掃)RX Mapping'!AE58&lt;=360), ('(橫掃)RX Mapping'!AE58-241),IF(AND('(橫掃)RX Mapping'!AE58&gt;=361,'(橫掃)RX Mapping'!AE58&lt;=480), (-1)*('(橫掃)RX Mapping'!AE58-480),IF(AND('(橫掃)RX Mapping'!AE58&gt;=481,'(橫掃)RX Mapping'!AE58&lt;=600), ('(橫掃)RX Mapping'!AE58-361),IF(AND('(橫掃)RX Mapping'!AE58&gt;=601,'(橫掃)RX Mapping'!AE58&lt;=720), (-1)*('(橫掃)RX Mapping'!AE58-720)+120,IF(AND('(橫掃)RX Mapping'!AE58&gt;=721,'(橫掃)RX Mapping'!AE58&lt;=840), ('(橫掃)RX Mapping'!AE58-601),IF(AND('(橫掃)RX Mapping'!AE58&gt;=841,'(橫掃)RX Mapping'!AE58&lt;=960), (-1)*('(橫掃)RX Mapping'!AE58-960)+120,9999))))))))</f>
        <v>9999</v>
      </c>
      <c r="AF58">
        <f>IF(AND('(橫掃)RX Mapping'!AF58&gt;=1,'(橫掃)RX Mapping'!AF58&lt;=120), ('(橫掃)RX Mapping'!AF58-1),IF(AND('(橫掃)RX Mapping'!AF58&gt;=121,'(橫掃)RX Mapping'!AF58&lt;=240), (-1)*('(橫掃)RX Mapping'!AF58-240),IF(AND('(橫掃)RX Mapping'!AF58&gt;=241,'(橫掃)RX Mapping'!AF58&lt;=360), ('(橫掃)RX Mapping'!AF58-241),IF(AND('(橫掃)RX Mapping'!AF58&gt;=361,'(橫掃)RX Mapping'!AF58&lt;=480), (-1)*('(橫掃)RX Mapping'!AF58-480),IF(AND('(橫掃)RX Mapping'!AF58&gt;=481,'(橫掃)RX Mapping'!AF58&lt;=600), ('(橫掃)RX Mapping'!AF58-361),IF(AND('(橫掃)RX Mapping'!AF58&gt;=601,'(橫掃)RX Mapping'!AF58&lt;=720), (-1)*('(橫掃)RX Mapping'!AF58-720)+120,IF(AND('(橫掃)RX Mapping'!AF58&gt;=721,'(橫掃)RX Mapping'!AF58&lt;=840), ('(橫掃)RX Mapping'!AF58-601),IF(AND('(橫掃)RX Mapping'!AF58&gt;=841,'(橫掃)RX Mapping'!AF58&lt;=960), (-1)*('(橫掃)RX Mapping'!AF58-960)+120,9999))))))))</f>
        <v>9999</v>
      </c>
      <c r="AG58">
        <f>IF(AND('(橫掃)RX Mapping'!AG58&gt;=1,'(橫掃)RX Mapping'!AG58&lt;=120), ('(橫掃)RX Mapping'!AG58-1),IF(AND('(橫掃)RX Mapping'!AG58&gt;=121,'(橫掃)RX Mapping'!AG58&lt;=240), (-1)*('(橫掃)RX Mapping'!AG58-240),IF(AND('(橫掃)RX Mapping'!AG58&gt;=241,'(橫掃)RX Mapping'!AG58&lt;=360), ('(橫掃)RX Mapping'!AG58-241),IF(AND('(橫掃)RX Mapping'!AG58&gt;=361,'(橫掃)RX Mapping'!AG58&lt;=480), (-1)*('(橫掃)RX Mapping'!AG58-480),IF(AND('(橫掃)RX Mapping'!AG58&gt;=481,'(橫掃)RX Mapping'!AG58&lt;=600), ('(橫掃)RX Mapping'!AG58-361),IF(AND('(橫掃)RX Mapping'!AG58&gt;=601,'(橫掃)RX Mapping'!AG58&lt;=720), (-1)*('(橫掃)RX Mapping'!AG58-720)+120,IF(AND('(橫掃)RX Mapping'!AG58&gt;=721,'(橫掃)RX Mapping'!AG58&lt;=840), ('(橫掃)RX Mapping'!AG58-601),IF(AND('(橫掃)RX Mapping'!AG58&gt;=841,'(橫掃)RX Mapping'!AG58&lt;=960), (-1)*('(橫掃)RX Mapping'!AG58-960)+120,9999))))))))</f>
        <v>9999</v>
      </c>
      <c r="AH58">
        <f>IF(AND('(橫掃)RX Mapping'!AH58&gt;=1,'(橫掃)RX Mapping'!AH58&lt;=120), ('(橫掃)RX Mapping'!AH58-1),IF(AND('(橫掃)RX Mapping'!AH58&gt;=121,'(橫掃)RX Mapping'!AH58&lt;=240), (-1)*('(橫掃)RX Mapping'!AH58-240),IF(AND('(橫掃)RX Mapping'!AH58&gt;=241,'(橫掃)RX Mapping'!AH58&lt;=360), ('(橫掃)RX Mapping'!AH58-241),IF(AND('(橫掃)RX Mapping'!AH58&gt;=361,'(橫掃)RX Mapping'!AH58&lt;=480), (-1)*('(橫掃)RX Mapping'!AH58-480),IF(AND('(橫掃)RX Mapping'!AH58&gt;=481,'(橫掃)RX Mapping'!AH58&lt;=600), ('(橫掃)RX Mapping'!AH58-361),IF(AND('(橫掃)RX Mapping'!AH58&gt;=601,'(橫掃)RX Mapping'!AH58&lt;=720), (-1)*('(橫掃)RX Mapping'!AH58-720)+120,IF(AND('(橫掃)RX Mapping'!AH58&gt;=721,'(橫掃)RX Mapping'!AH58&lt;=840), ('(橫掃)RX Mapping'!AH58-601),IF(AND('(橫掃)RX Mapping'!AH58&gt;=841,'(橫掃)RX Mapping'!AH58&lt;=960), (-1)*('(橫掃)RX Mapping'!AH58-960)+120,9999))))))))</f>
        <v>9999</v>
      </c>
      <c r="AI58">
        <f>IF(AND('(橫掃)RX Mapping'!AI58&gt;=1,'(橫掃)RX Mapping'!AI58&lt;=120), ('(橫掃)RX Mapping'!AI58-1),IF(AND('(橫掃)RX Mapping'!AI58&gt;=121,'(橫掃)RX Mapping'!AI58&lt;=240), (-1)*('(橫掃)RX Mapping'!AI58-240),IF(AND('(橫掃)RX Mapping'!AI58&gt;=241,'(橫掃)RX Mapping'!AI58&lt;=360), ('(橫掃)RX Mapping'!AI58-241),IF(AND('(橫掃)RX Mapping'!AI58&gt;=361,'(橫掃)RX Mapping'!AI58&lt;=480), (-1)*('(橫掃)RX Mapping'!AI58-480),IF(AND('(橫掃)RX Mapping'!AI58&gt;=481,'(橫掃)RX Mapping'!AI58&lt;=600), ('(橫掃)RX Mapping'!AI58-361),IF(AND('(橫掃)RX Mapping'!AI58&gt;=601,'(橫掃)RX Mapping'!AI58&lt;=720), (-1)*('(橫掃)RX Mapping'!AI58-720)+120,IF(AND('(橫掃)RX Mapping'!AI58&gt;=721,'(橫掃)RX Mapping'!AI58&lt;=840), ('(橫掃)RX Mapping'!AI58-601),IF(AND('(橫掃)RX Mapping'!AI58&gt;=841,'(橫掃)RX Mapping'!AI58&lt;=960), (-1)*('(橫掃)RX Mapping'!AI58-960)+120,9999))))))))</f>
        <v>9999</v>
      </c>
      <c r="AJ58">
        <f>IF(AND('(橫掃)RX Mapping'!AJ58&gt;=1,'(橫掃)RX Mapping'!AJ58&lt;=120), ('(橫掃)RX Mapping'!AJ58-1),IF(AND('(橫掃)RX Mapping'!AJ58&gt;=121,'(橫掃)RX Mapping'!AJ58&lt;=240), (-1)*('(橫掃)RX Mapping'!AJ58-240),IF(AND('(橫掃)RX Mapping'!AJ58&gt;=241,'(橫掃)RX Mapping'!AJ58&lt;=360), ('(橫掃)RX Mapping'!AJ58-241),IF(AND('(橫掃)RX Mapping'!AJ58&gt;=361,'(橫掃)RX Mapping'!AJ58&lt;=480), (-1)*('(橫掃)RX Mapping'!AJ58-480),IF(AND('(橫掃)RX Mapping'!AJ58&gt;=481,'(橫掃)RX Mapping'!AJ58&lt;=600), ('(橫掃)RX Mapping'!AJ58-361),IF(AND('(橫掃)RX Mapping'!AJ58&gt;=601,'(橫掃)RX Mapping'!AJ58&lt;=720), (-1)*('(橫掃)RX Mapping'!AJ58-720)+120,IF(AND('(橫掃)RX Mapping'!AJ58&gt;=721,'(橫掃)RX Mapping'!AJ58&lt;=840), ('(橫掃)RX Mapping'!AJ58-601),IF(AND('(橫掃)RX Mapping'!AJ58&gt;=841,'(橫掃)RX Mapping'!AJ58&lt;=960), (-1)*('(橫掃)RX Mapping'!AJ58-960)+120,9999))))))))</f>
        <v>9999</v>
      </c>
      <c r="AK58">
        <f>IF(AND('(橫掃)RX Mapping'!AK58&gt;=1,'(橫掃)RX Mapping'!AK58&lt;=120), ('(橫掃)RX Mapping'!AK58-1),IF(AND('(橫掃)RX Mapping'!AK58&gt;=121,'(橫掃)RX Mapping'!AK58&lt;=240), (-1)*('(橫掃)RX Mapping'!AK58-240),IF(AND('(橫掃)RX Mapping'!AK58&gt;=241,'(橫掃)RX Mapping'!AK58&lt;=360), ('(橫掃)RX Mapping'!AK58-241),IF(AND('(橫掃)RX Mapping'!AK58&gt;=361,'(橫掃)RX Mapping'!AK58&lt;=480), (-1)*('(橫掃)RX Mapping'!AK58-480),IF(AND('(橫掃)RX Mapping'!AK58&gt;=481,'(橫掃)RX Mapping'!AK58&lt;=600), ('(橫掃)RX Mapping'!AK58-361),IF(AND('(橫掃)RX Mapping'!AK58&gt;=601,'(橫掃)RX Mapping'!AK58&lt;=720), (-1)*('(橫掃)RX Mapping'!AK58-720)+120,IF(AND('(橫掃)RX Mapping'!AK58&gt;=721,'(橫掃)RX Mapping'!AK58&lt;=840), ('(橫掃)RX Mapping'!AK58-601),IF(AND('(橫掃)RX Mapping'!AK58&gt;=841,'(橫掃)RX Mapping'!AK58&lt;=960), (-1)*('(橫掃)RX Mapping'!AK58-960)+120,9999))))))))</f>
        <v>9999</v>
      </c>
      <c r="AL58">
        <f>IF(AND('(橫掃)RX Mapping'!AL58&gt;=1,'(橫掃)RX Mapping'!AL58&lt;=120), ('(橫掃)RX Mapping'!AL58-1),IF(AND('(橫掃)RX Mapping'!AL58&gt;=121,'(橫掃)RX Mapping'!AL58&lt;=240), (-1)*('(橫掃)RX Mapping'!AL58-240),IF(AND('(橫掃)RX Mapping'!AL58&gt;=241,'(橫掃)RX Mapping'!AL58&lt;=360), ('(橫掃)RX Mapping'!AL58-241),IF(AND('(橫掃)RX Mapping'!AL58&gt;=361,'(橫掃)RX Mapping'!AL58&lt;=480), (-1)*('(橫掃)RX Mapping'!AL58-480),IF(AND('(橫掃)RX Mapping'!AL58&gt;=481,'(橫掃)RX Mapping'!AL58&lt;=600), ('(橫掃)RX Mapping'!AL58-361),IF(AND('(橫掃)RX Mapping'!AL58&gt;=601,'(橫掃)RX Mapping'!AL58&lt;=720), (-1)*('(橫掃)RX Mapping'!AL58-720)+120,IF(AND('(橫掃)RX Mapping'!AL58&gt;=721,'(橫掃)RX Mapping'!AL58&lt;=840), ('(橫掃)RX Mapping'!AL58-601),IF(AND('(橫掃)RX Mapping'!AL58&gt;=841,'(橫掃)RX Mapping'!AL58&lt;=960), (-1)*('(橫掃)RX Mapping'!AL58-960)+120,9999))))))))</f>
        <v>9999</v>
      </c>
      <c r="AM58">
        <f>IF(AND('(橫掃)RX Mapping'!AM58&gt;=1,'(橫掃)RX Mapping'!AM58&lt;=120), ('(橫掃)RX Mapping'!AM58-1),IF(AND('(橫掃)RX Mapping'!AM58&gt;=121,'(橫掃)RX Mapping'!AM58&lt;=240), (-1)*('(橫掃)RX Mapping'!AM58-240),IF(AND('(橫掃)RX Mapping'!AM58&gt;=241,'(橫掃)RX Mapping'!AM58&lt;=360), ('(橫掃)RX Mapping'!AM58-241),IF(AND('(橫掃)RX Mapping'!AM58&gt;=361,'(橫掃)RX Mapping'!AM58&lt;=480), (-1)*('(橫掃)RX Mapping'!AM58-480),IF(AND('(橫掃)RX Mapping'!AM58&gt;=481,'(橫掃)RX Mapping'!AM58&lt;=600), ('(橫掃)RX Mapping'!AM58-361),IF(AND('(橫掃)RX Mapping'!AM58&gt;=601,'(橫掃)RX Mapping'!AM58&lt;=720), (-1)*('(橫掃)RX Mapping'!AM58-720)+120,IF(AND('(橫掃)RX Mapping'!AM58&gt;=721,'(橫掃)RX Mapping'!AM58&lt;=840), ('(橫掃)RX Mapping'!AM58-601),IF(AND('(橫掃)RX Mapping'!AM58&gt;=841,'(橫掃)RX Mapping'!AM58&lt;=960), (-1)*('(橫掃)RX Mapping'!AM58-960)+120,9999))))))))</f>
        <v>9999</v>
      </c>
      <c r="AN58">
        <f>IF(AND('(橫掃)RX Mapping'!AN58&gt;=1,'(橫掃)RX Mapping'!AN58&lt;=120), ('(橫掃)RX Mapping'!AN58-1),IF(AND('(橫掃)RX Mapping'!AN58&gt;=121,'(橫掃)RX Mapping'!AN58&lt;=240), (-1)*('(橫掃)RX Mapping'!AN58-240),IF(AND('(橫掃)RX Mapping'!AN58&gt;=241,'(橫掃)RX Mapping'!AN58&lt;=360), ('(橫掃)RX Mapping'!AN58-241),IF(AND('(橫掃)RX Mapping'!AN58&gt;=361,'(橫掃)RX Mapping'!AN58&lt;=480), (-1)*('(橫掃)RX Mapping'!AN58-480),IF(AND('(橫掃)RX Mapping'!AN58&gt;=481,'(橫掃)RX Mapping'!AN58&lt;=600), ('(橫掃)RX Mapping'!AN58-361),IF(AND('(橫掃)RX Mapping'!AN58&gt;=601,'(橫掃)RX Mapping'!AN58&lt;=720), (-1)*('(橫掃)RX Mapping'!AN58-720)+120,IF(AND('(橫掃)RX Mapping'!AN58&gt;=721,'(橫掃)RX Mapping'!AN58&lt;=840), ('(橫掃)RX Mapping'!AN58-601),IF(AND('(橫掃)RX Mapping'!AN58&gt;=841,'(橫掃)RX Mapping'!AN58&lt;=960), (-1)*('(橫掃)RX Mapping'!AN58-960)+120,9999))))))))</f>
        <v>9999</v>
      </c>
      <c r="AO58">
        <f>IF(AND('(橫掃)RX Mapping'!AO58&gt;=1,'(橫掃)RX Mapping'!AO58&lt;=120), ('(橫掃)RX Mapping'!AO58-1),IF(AND('(橫掃)RX Mapping'!AO58&gt;=121,'(橫掃)RX Mapping'!AO58&lt;=240), (-1)*('(橫掃)RX Mapping'!AO58-240),IF(AND('(橫掃)RX Mapping'!AO58&gt;=241,'(橫掃)RX Mapping'!AO58&lt;=360), ('(橫掃)RX Mapping'!AO58-241),IF(AND('(橫掃)RX Mapping'!AO58&gt;=361,'(橫掃)RX Mapping'!AO58&lt;=480), (-1)*('(橫掃)RX Mapping'!AO58-480),IF(AND('(橫掃)RX Mapping'!AO58&gt;=481,'(橫掃)RX Mapping'!AO58&lt;=600), ('(橫掃)RX Mapping'!AO58-361),IF(AND('(橫掃)RX Mapping'!AO58&gt;=601,'(橫掃)RX Mapping'!AO58&lt;=720), (-1)*('(橫掃)RX Mapping'!AO58-720)+120,IF(AND('(橫掃)RX Mapping'!AO58&gt;=721,'(橫掃)RX Mapping'!AO58&lt;=840), ('(橫掃)RX Mapping'!AO58-601),IF(AND('(橫掃)RX Mapping'!AO58&gt;=841,'(橫掃)RX Mapping'!AO58&lt;=960), (-1)*('(橫掃)RX Mapping'!AO58-960)+120,9999))))))))</f>
        <v>9999</v>
      </c>
      <c r="AP58">
        <f>IF(AND('(橫掃)RX Mapping'!AP58&gt;=1,'(橫掃)RX Mapping'!AP58&lt;=120), ('(橫掃)RX Mapping'!AP58-1),IF(AND('(橫掃)RX Mapping'!AP58&gt;=121,'(橫掃)RX Mapping'!AP58&lt;=240), (-1)*('(橫掃)RX Mapping'!AP58-240),IF(AND('(橫掃)RX Mapping'!AP58&gt;=241,'(橫掃)RX Mapping'!AP58&lt;=360), ('(橫掃)RX Mapping'!AP58-241),IF(AND('(橫掃)RX Mapping'!AP58&gt;=361,'(橫掃)RX Mapping'!AP58&lt;=480), (-1)*('(橫掃)RX Mapping'!AP58-480),IF(AND('(橫掃)RX Mapping'!AP58&gt;=481,'(橫掃)RX Mapping'!AP58&lt;=600), ('(橫掃)RX Mapping'!AP58-361),IF(AND('(橫掃)RX Mapping'!AP58&gt;=601,'(橫掃)RX Mapping'!AP58&lt;=720), (-1)*('(橫掃)RX Mapping'!AP58-720)+120,IF(AND('(橫掃)RX Mapping'!AP58&gt;=721,'(橫掃)RX Mapping'!AP58&lt;=840), ('(橫掃)RX Mapping'!AP58-601),IF(AND('(橫掃)RX Mapping'!AP58&gt;=841,'(橫掃)RX Mapping'!AP58&lt;=960), (-1)*('(橫掃)RX Mapping'!AP58-960)+120,9999))))))))</f>
        <v>9999</v>
      </c>
      <c r="AQ58">
        <f>IF(AND('(橫掃)RX Mapping'!AQ58&gt;=1,'(橫掃)RX Mapping'!AQ58&lt;=120), ('(橫掃)RX Mapping'!AQ58-1),IF(AND('(橫掃)RX Mapping'!AQ58&gt;=121,'(橫掃)RX Mapping'!AQ58&lt;=240), (-1)*('(橫掃)RX Mapping'!AQ58-240),IF(AND('(橫掃)RX Mapping'!AQ58&gt;=241,'(橫掃)RX Mapping'!AQ58&lt;=360), ('(橫掃)RX Mapping'!AQ58-241),IF(AND('(橫掃)RX Mapping'!AQ58&gt;=361,'(橫掃)RX Mapping'!AQ58&lt;=480), (-1)*('(橫掃)RX Mapping'!AQ58-480),IF(AND('(橫掃)RX Mapping'!AQ58&gt;=481,'(橫掃)RX Mapping'!AQ58&lt;=600), ('(橫掃)RX Mapping'!AQ58-361),IF(AND('(橫掃)RX Mapping'!AQ58&gt;=601,'(橫掃)RX Mapping'!AQ58&lt;=720), (-1)*('(橫掃)RX Mapping'!AQ58-720)+120,IF(AND('(橫掃)RX Mapping'!AQ58&gt;=721,'(橫掃)RX Mapping'!AQ58&lt;=840), ('(橫掃)RX Mapping'!AQ58-601),IF(AND('(橫掃)RX Mapping'!AQ58&gt;=841,'(橫掃)RX Mapping'!AQ58&lt;=960), (-1)*('(橫掃)RX Mapping'!AQ58-960)+120,9999))))))))</f>
        <v>9999</v>
      </c>
      <c r="AR58">
        <f>IF(AND('(橫掃)RX Mapping'!AR58&gt;=1,'(橫掃)RX Mapping'!AR58&lt;=120), ('(橫掃)RX Mapping'!AR58-1),IF(AND('(橫掃)RX Mapping'!AR58&gt;=121,'(橫掃)RX Mapping'!AR58&lt;=240), (-1)*('(橫掃)RX Mapping'!AR58-240),IF(AND('(橫掃)RX Mapping'!AR58&gt;=241,'(橫掃)RX Mapping'!AR58&lt;=360), ('(橫掃)RX Mapping'!AR58-241),IF(AND('(橫掃)RX Mapping'!AR58&gt;=361,'(橫掃)RX Mapping'!AR58&lt;=480), (-1)*('(橫掃)RX Mapping'!AR58-480),IF(AND('(橫掃)RX Mapping'!AR58&gt;=481,'(橫掃)RX Mapping'!AR58&lt;=600), ('(橫掃)RX Mapping'!AR58-361),IF(AND('(橫掃)RX Mapping'!AR58&gt;=601,'(橫掃)RX Mapping'!AR58&lt;=720), (-1)*('(橫掃)RX Mapping'!AR58-720)+120,IF(AND('(橫掃)RX Mapping'!AR58&gt;=721,'(橫掃)RX Mapping'!AR58&lt;=840), ('(橫掃)RX Mapping'!AR58-601),IF(AND('(橫掃)RX Mapping'!AR58&gt;=841,'(橫掃)RX Mapping'!AR58&lt;=960), (-1)*('(橫掃)RX Mapping'!AR58-960)+120,9999))))))))</f>
        <v>9999</v>
      </c>
      <c r="AS58">
        <f>IF(AND('(橫掃)RX Mapping'!AS58&gt;=1,'(橫掃)RX Mapping'!AS58&lt;=120), ('(橫掃)RX Mapping'!AS58-1),IF(AND('(橫掃)RX Mapping'!AS58&gt;=121,'(橫掃)RX Mapping'!AS58&lt;=240), (-1)*('(橫掃)RX Mapping'!AS58-240),IF(AND('(橫掃)RX Mapping'!AS58&gt;=241,'(橫掃)RX Mapping'!AS58&lt;=360), ('(橫掃)RX Mapping'!AS58-241),IF(AND('(橫掃)RX Mapping'!AS58&gt;=361,'(橫掃)RX Mapping'!AS58&lt;=480), (-1)*('(橫掃)RX Mapping'!AS58-480),IF(AND('(橫掃)RX Mapping'!AS58&gt;=481,'(橫掃)RX Mapping'!AS58&lt;=600), ('(橫掃)RX Mapping'!AS58-361),IF(AND('(橫掃)RX Mapping'!AS58&gt;=601,'(橫掃)RX Mapping'!AS58&lt;=720), (-1)*('(橫掃)RX Mapping'!AS58-720)+120,IF(AND('(橫掃)RX Mapping'!AS58&gt;=721,'(橫掃)RX Mapping'!AS58&lt;=840), ('(橫掃)RX Mapping'!AS58-601),IF(AND('(橫掃)RX Mapping'!AS58&gt;=841,'(橫掃)RX Mapping'!AS58&lt;=960), (-1)*('(橫掃)RX Mapping'!AS58-960)+120,9999))))))))</f>
        <v>9999</v>
      </c>
      <c r="AT58">
        <f>IF(AND('(橫掃)RX Mapping'!AT58&gt;=1,'(橫掃)RX Mapping'!AT58&lt;=120), ('(橫掃)RX Mapping'!AT58-1),IF(AND('(橫掃)RX Mapping'!AT58&gt;=121,'(橫掃)RX Mapping'!AT58&lt;=240), (-1)*('(橫掃)RX Mapping'!AT58-240),IF(AND('(橫掃)RX Mapping'!AT58&gt;=241,'(橫掃)RX Mapping'!AT58&lt;=360), ('(橫掃)RX Mapping'!AT58-241),IF(AND('(橫掃)RX Mapping'!AT58&gt;=361,'(橫掃)RX Mapping'!AT58&lt;=480), (-1)*('(橫掃)RX Mapping'!AT58-480),IF(AND('(橫掃)RX Mapping'!AT58&gt;=481,'(橫掃)RX Mapping'!AT58&lt;=600), ('(橫掃)RX Mapping'!AT58-361),IF(AND('(橫掃)RX Mapping'!AT58&gt;=601,'(橫掃)RX Mapping'!AT58&lt;=720), (-1)*('(橫掃)RX Mapping'!AT58-720)+120,IF(AND('(橫掃)RX Mapping'!AT58&gt;=721,'(橫掃)RX Mapping'!AT58&lt;=840), ('(橫掃)RX Mapping'!AT58-601),IF(AND('(橫掃)RX Mapping'!AT58&gt;=841,'(橫掃)RX Mapping'!AT58&lt;=960), (-1)*('(橫掃)RX Mapping'!AT58-960)+120,9999))))))))</f>
        <v>9999</v>
      </c>
      <c r="AU58">
        <f>IF(AND('(橫掃)RX Mapping'!AU58&gt;=1,'(橫掃)RX Mapping'!AU58&lt;=120), ('(橫掃)RX Mapping'!AU58-1),IF(AND('(橫掃)RX Mapping'!AU58&gt;=121,'(橫掃)RX Mapping'!AU58&lt;=240), (-1)*('(橫掃)RX Mapping'!AU58-240),IF(AND('(橫掃)RX Mapping'!AU58&gt;=241,'(橫掃)RX Mapping'!AU58&lt;=360), ('(橫掃)RX Mapping'!AU58-241),IF(AND('(橫掃)RX Mapping'!AU58&gt;=361,'(橫掃)RX Mapping'!AU58&lt;=480), (-1)*('(橫掃)RX Mapping'!AU58-480),IF(AND('(橫掃)RX Mapping'!AU58&gt;=481,'(橫掃)RX Mapping'!AU58&lt;=600), ('(橫掃)RX Mapping'!AU58-361),IF(AND('(橫掃)RX Mapping'!AU58&gt;=601,'(橫掃)RX Mapping'!AU58&lt;=720), (-1)*('(橫掃)RX Mapping'!AU58-720)+120,IF(AND('(橫掃)RX Mapping'!AU58&gt;=721,'(橫掃)RX Mapping'!AU58&lt;=840), ('(橫掃)RX Mapping'!AU58-601),IF(AND('(橫掃)RX Mapping'!AU58&gt;=841,'(橫掃)RX Mapping'!AU58&lt;=960), (-1)*('(橫掃)RX Mapping'!AU58-960)+120,9999))))))))</f>
        <v>9999</v>
      </c>
      <c r="AV58">
        <f>IF(AND('(橫掃)RX Mapping'!AV58&gt;=1,'(橫掃)RX Mapping'!AV58&lt;=120), ('(橫掃)RX Mapping'!AV58-1),IF(AND('(橫掃)RX Mapping'!AV58&gt;=121,'(橫掃)RX Mapping'!AV58&lt;=240), (-1)*('(橫掃)RX Mapping'!AV58-240),IF(AND('(橫掃)RX Mapping'!AV58&gt;=241,'(橫掃)RX Mapping'!AV58&lt;=360), ('(橫掃)RX Mapping'!AV58-241),IF(AND('(橫掃)RX Mapping'!AV58&gt;=361,'(橫掃)RX Mapping'!AV58&lt;=480), (-1)*('(橫掃)RX Mapping'!AV58-480),IF(AND('(橫掃)RX Mapping'!AV58&gt;=481,'(橫掃)RX Mapping'!AV58&lt;=600), ('(橫掃)RX Mapping'!AV58-361),IF(AND('(橫掃)RX Mapping'!AV58&gt;=601,'(橫掃)RX Mapping'!AV58&lt;=720), (-1)*('(橫掃)RX Mapping'!AV58-720)+120,IF(AND('(橫掃)RX Mapping'!AV58&gt;=721,'(橫掃)RX Mapping'!AV58&lt;=840), ('(橫掃)RX Mapping'!AV58-601),IF(AND('(橫掃)RX Mapping'!AV58&gt;=841,'(橫掃)RX Mapping'!AV58&lt;=960), (-1)*('(橫掃)RX Mapping'!AV58-960)+120,9999))))))))</f>
        <v>9999</v>
      </c>
      <c r="AW58">
        <f>IF(AND('(橫掃)RX Mapping'!AW58&gt;=1,'(橫掃)RX Mapping'!AW58&lt;=120), ('(橫掃)RX Mapping'!AW58-1),IF(AND('(橫掃)RX Mapping'!AW58&gt;=121,'(橫掃)RX Mapping'!AW58&lt;=240), (-1)*('(橫掃)RX Mapping'!AW58-240),IF(AND('(橫掃)RX Mapping'!AW58&gt;=241,'(橫掃)RX Mapping'!AW58&lt;=360), ('(橫掃)RX Mapping'!AW58-241),IF(AND('(橫掃)RX Mapping'!AW58&gt;=361,'(橫掃)RX Mapping'!AW58&lt;=480), (-1)*('(橫掃)RX Mapping'!AW58-480),IF(AND('(橫掃)RX Mapping'!AW58&gt;=481,'(橫掃)RX Mapping'!AW58&lt;=600), ('(橫掃)RX Mapping'!AW58-361),IF(AND('(橫掃)RX Mapping'!AW58&gt;=601,'(橫掃)RX Mapping'!AW58&lt;=720), (-1)*('(橫掃)RX Mapping'!AW58-720)+120,IF(AND('(橫掃)RX Mapping'!AW58&gt;=721,'(橫掃)RX Mapping'!AW58&lt;=840), ('(橫掃)RX Mapping'!AW58-601),IF(AND('(橫掃)RX Mapping'!AW58&gt;=841,'(橫掃)RX Mapping'!AW58&lt;=960), (-1)*('(橫掃)RX Mapping'!AW58-960)+120,9999))))))))</f>
        <v>9999</v>
      </c>
      <c r="AX58">
        <f>IF(AND('(橫掃)RX Mapping'!AX58&gt;=1,'(橫掃)RX Mapping'!AX58&lt;=120), ('(橫掃)RX Mapping'!AX58-1),IF(AND('(橫掃)RX Mapping'!AX58&gt;=121,'(橫掃)RX Mapping'!AX58&lt;=240), (-1)*('(橫掃)RX Mapping'!AX58-240),IF(AND('(橫掃)RX Mapping'!AX58&gt;=241,'(橫掃)RX Mapping'!AX58&lt;=360), ('(橫掃)RX Mapping'!AX58-241),IF(AND('(橫掃)RX Mapping'!AX58&gt;=361,'(橫掃)RX Mapping'!AX58&lt;=480), (-1)*('(橫掃)RX Mapping'!AX58-480),IF(AND('(橫掃)RX Mapping'!AX58&gt;=481,'(橫掃)RX Mapping'!AX58&lt;=600), ('(橫掃)RX Mapping'!AX58-361),IF(AND('(橫掃)RX Mapping'!AX58&gt;=601,'(橫掃)RX Mapping'!AX58&lt;=720), (-1)*('(橫掃)RX Mapping'!AX58-720)+120,IF(AND('(橫掃)RX Mapping'!AX58&gt;=721,'(橫掃)RX Mapping'!AX58&lt;=840), ('(橫掃)RX Mapping'!AX58-601),IF(AND('(橫掃)RX Mapping'!AX58&gt;=841,'(橫掃)RX Mapping'!AX58&lt;=960), (-1)*('(橫掃)RX Mapping'!AX58-960)+120,9999))))))))</f>
        <v>9999</v>
      </c>
      <c r="AY58">
        <f>IF(AND('(橫掃)RX Mapping'!AY58&gt;=1,'(橫掃)RX Mapping'!AY58&lt;=120), ('(橫掃)RX Mapping'!AY58-1),IF(AND('(橫掃)RX Mapping'!AY58&gt;=121,'(橫掃)RX Mapping'!AY58&lt;=240), (-1)*('(橫掃)RX Mapping'!AY58-240),IF(AND('(橫掃)RX Mapping'!AY58&gt;=241,'(橫掃)RX Mapping'!AY58&lt;=360), ('(橫掃)RX Mapping'!AY58-241),IF(AND('(橫掃)RX Mapping'!AY58&gt;=361,'(橫掃)RX Mapping'!AY58&lt;=480), (-1)*('(橫掃)RX Mapping'!AY58-480),IF(AND('(橫掃)RX Mapping'!AY58&gt;=481,'(橫掃)RX Mapping'!AY58&lt;=600), ('(橫掃)RX Mapping'!AY58-361),IF(AND('(橫掃)RX Mapping'!AY58&gt;=601,'(橫掃)RX Mapping'!AY58&lt;=720), (-1)*('(橫掃)RX Mapping'!AY58-720)+120,IF(AND('(橫掃)RX Mapping'!AY58&gt;=721,'(橫掃)RX Mapping'!AY58&lt;=840), ('(橫掃)RX Mapping'!AY58-601),IF(AND('(橫掃)RX Mapping'!AY58&gt;=841,'(橫掃)RX Mapping'!AY58&lt;=960), (-1)*('(橫掃)RX Mapping'!AY58-960)+120,9999))))))))</f>
        <v>9999</v>
      </c>
      <c r="AZ58">
        <f>IF(AND('(橫掃)RX Mapping'!AZ58&gt;=1,'(橫掃)RX Mapping'!AZ58&lt;=120), ('(橫掃)RX Mapping'!AZ58-1),IF(AND('(橫掃)RX Mapping'!AZ58&gt;=121,'(橫掃)RX Mapping'!AZ58&lt;=240), (-1)*('(橫掃)RX Mapping'!AZ58-240),IF(AND('(橫掃)RX Mapping'!AZ58&gt;=241,'(橫掃)RX Mapping'!AZ58&lt;=360), ('(橫掃)RX Mapping'!AZ58-241),IF(AND('(橫掃)RX Mapping'!AZ58&gt;=361,'(橫掃)RX Mapping'!AZ58&lt;=480), (-1)*('(橫掃)RX Mapping'!AZ58-480),IF(AND('(橫掃)RX Mapping'!AZ58&gt;=481,'(橫掃)RX Mapping'!AZ58&lt;=600), ('(橫掃)RX Mapping'!AZ58-361),IF(AND('(橫掃)RX Mapping'!AZ58&gt;=601,'(橫掃)RX Mapping'!AZ58&lt;=720), (-1)*('(橫掃)RX Mapping'!AZ58-720)+120,IF(AND('(橫掃)RX Mapping'!AZ58&gt;=721,'(橫掃)RX Mapping'!AZ58&lt;=840), ('(橫掃)RX Mapping'!AZ58-601),IF(AND('(橫掃)RX Mapping'!AZ58&gt;=841,'(橫掃)RX Mapping'!AZ58&lt;=960), (-1)*('(橫掃)RX Mapping'!AZ58-960)+120,9999))))))))</f>
        <v>9999</v>
      </c>
      <c r="BA58">
        <f>IF(AND('(橫掃)RX Mapping'!BA58&gt;=1,'(橫掃)RX Mapping'!BA58&lt;=120), ('(橫掃)RX Mapping'!BA58-1),IF(AND('(橫掃)RX Mapping'!BA58&gt;=121,'(橫掃)RX Mapping'!BA58&lt;=240), (-1)*('(橫掃)RX Mapping'!BA58-240),IF(AND('(橫掃)RX Mapping'!BA58&gt;=241,'(橫掃)RX Mapping'!BA58&lt;=360), ('(橫掃)RX Mapping'!BA58-241),IF(AND('(橫掃)RX Mapping'!BA58&gt;=361,'(橫掃)RX Mapping'!BA58&lt;=480), (-1)*('(橫掃)RX Mapping'!BA58-480),IF(AND('(橫掃)RX Mapping'!BA58&gt;=481,'(橫掃)RX Mapping'!BA58&lt;=600), ('(橫掃)RX Mapping'!BA58-361),IF(AND('(橫掃)RX Mapping'!BA58&gt;=601,'(橫掃)RX Mapping'!BA58&lt;=720), (-1)*('(橫掃)RX Mapping'!BA58-720)+120,IF(AND('(橫掃)RX Mapping'!BA58&gt;=721,'(橫掃)RX Mapping'!BA58&lt;=840), ('(橫掃)RX Mapping'!BA58-601),IF(AND('(橫掃)RX Mapping'!BA58&gt;=841,'(橫掃)RX Mapping'!BA58&lt;=960), (-1)*('(橫掃)RX Mapping'!BA58-960)+120,9999))))))))</f>
        <v>9999</v>
      </c>
      <c r="BB58">
        <f>IF(AND('(橫掃)RX Mapping'!BB58&gt;=1,'(橫掃)RX Mapping'!BB58&lt;=120), ('(橫掃)RX Mapping'!BB58-1),IF(AND('(橫掃)RX Mapping'!BB58&gt;=121,'(橫掃)RX Mapping'!BB58&lt;=240), (-1)*('(橫掃)RX Mapping'!BB58-240),IF(AND('(橫掃)RX Mapping'!BB58&gt;=241,'(橫掃)RX Mapping'!BB58&lt;=360), ('(橫掃)RX Mapping'!BB58-241),IF(AND('(橫掃)RX Mapping'!BB58&gt;=361,'(橫掃)RX Mapping'!BB58&lt;=480), (-1)*('(橫掃)RX Mapping'!BB58-480),IF(AND('(橫掃)RX Mapping'!BB58&gt;=481,'(橫掃)RX Mapping'!BB58&lt;=600), ('(橫掃)RX Mapping'!BB58-361),IF(AND('(橫掃)RX Mapping'!BB58&gt;=601,'(橫掃)RX Mapping'!BB58&lt;=720), (-1)*('(橫掃)RX Mapping'!BB58-720)+120,IF(AND('(橫掃)RX Mapping'!BB58&gt;=721,'(橫掃)RX Mapping'!BB58&lt;=840), ('(橫掃)RX Mapping'!BB58-601),IF(AND('(橫掃)RX Mapping'!BB58&gt;=841,'(橫掃)RX Mapping'!BB58&lt;=960), (-1)*('(橫掃)RX Mapping'!BB58-960)+120,9999))))))))</f>
        <v>9999</v>
      </c>
      <c r="BC58">
        <f>IF(AND('(橫掃)RX Mapping'!BC58&gt;=1,'(橫掃)RX Mapping'!BC58&lt;=120), ('(橫掃)RX Mapping'!BC58-1),IF(AND('(橫掃)RX Mapping'!BC58&gt;=121,'(橫掃)RX Mapping'!BC58&lt;=240), (-1)*('(橫掃)RX Mapping'!BC58-240),IF(AND('(橫掃)RX Mapping'!BC58&gt;=241,'(橫掃)RX Mapping'!BC58&lt;=360), ('(橫掃)RX Mapping'!BC58-241),IF(AND('(橫掃)RX Mapping'!BC58&gt;=361,'(橫掃)RX Mapping'!BC58&lt;=480), (-1)*('(橫掃)RX Mapping'!BC58-480),IF(AND('(橫掃)RX Mapping'!BC58&gt;=481,'(橫掃)RX Mapping'!BC58&lt;=600), ('(橫掃)RX Mapping'!BC58-361),IF(AND('(橫掃)RX Mapping'!BC58&gt;=601,'(橫掃)RX Mapping'!BC58&lt;=720), (-1)*('(橫掃)RX Mapping'!BC58-720)+120,IF(AND('(橫掃)RX Mapping'!BC58&gt;=721,'(橫掃)RX Mapping'!BC58&lt;=840), ('(橫掃)RX Mapping'!BC58-601),IF(AND('(橫掃)RX Mapping'!BC58&gt;=841,'(橫掃)RX Mapping'!BC58&lt;=960), (-1)*('(橫掃)RX Mapping'!BC58-960)+120,9999))))))))</f>
        <v>9999</v>
      </c>
      <c r="BD58">
        <f>IF(AND('(橫掃)RX Mapping'!BD58&gt;=1,'(橫掃)RX Mapping'!BD58&lt;=120), ('(橫掃)RX Mapping'!BD58-1),IF(AND('(橫掃)RX Mapping'!BD58&gt;=121,'(橫掃)RX Mapping'!BD58&lt;=240), (-1)*('(橫掃)RX Mapping'!BD58-240),IF(AND('(橫掃)RX Mapping'!BD58&gt;=241,'(橫掃)RX Mapping'!BD58&lt;=360), ('(橫掃)RX Mapping'!BD58-241),IF(AND('(橫掃)RX Mapping'!BD58&gt;=361,'(橫掃)RX Mapping'!BD58&lt;=480), (-1)*('(橫掃)RX Mapping'!BD58-480),IF(AND('(橫掃)RX Mapping'!BD58&gt;=481,'(橫掃)RX Mapping'!BD58&lt;=600), ('(橫掃)RX Mapping'!BD58-361),IF(AND('(橫掃)RX Mapping'!BD58&gt;=601,'(橫掃)RX Mapping'!BD58&lt;=720), (-1)*('(橫掃)RX Mapping'!BD58-720)+120,IF(AND('(橫掃)RX Mapping'!BD58&gt;=721,'(橫掃)RX Mapping'!BD58&lt;=840), ('(橫掃)RX Mapping'!BD58-601),IF(AND('(橫掃)RX Mapping'!BD58&gt;=841,'(橫掃)RX Mapping'!BD58&lt;=960), (-1)*('(橫掃)RX Mapping'!BD58-960)+120,9999))))))))</f>
        <v>9999</v>
      </c>
      <c r="BE58">
        <f>IF(AND('(橫掃)RX Mapping'!BE58&gt;=1,'(橫掃)RX Mapping'!BE58&lt;=120), ('(橫掃)RX Mapping'!BE58-1),IF(AND('(橫掃)RX Mapping'!BE58&gt;=121,'(橫掃)RX Mapping'!BE58&lt;=240), (-1)*('(橫掃)RX Mapping'!BE58-240),IF(AND('(橫掃)RX Mapping'!BE58&gt;=241,'(橫掃)RX Mapping'!BE58&lt;=360), ('(橫掃)RX Mapping'!BE58-241),IF(AND('(橫掃)RX Mapping'!BE58&gt;=361,'(橫掃)RX Mapping'!BE58&lt;=480), (-1)*('(橫掃)RX Mapping'!BE58-480),IF(AND('(橫掃)RX Mapping'!BE58&gt;=481,'(橫掃)RX Mapping'!BE58&lt;=600), ('(橫掃)RX Mapping'!BE58-361),IF(AND('(橫掃)RX Mapping'!BE58&gt;=601,'(橫掃)RX Mapping'!BE58&lt;=720), (-1)*('(橫掃)RX Mapping'!BE58-720)+120,IF(AND('(橫掃)RX Mapping'!BE58&gt;=721,'(橫掃)RX Mapping'!BE58&lt;=840), ('(橫掃)RX Mapping'!BE58-601),IF(AND('(橫掃)RX Mapping'!BE58&gt;=841,'(橫掃)RX Mapping'!BE58&lt;=960), (-1)*('(橫掃)RX Mapping'!BE58-960)+120,9999))))))))</f>
        <v>9999</v>
      </c>
      <c r="BF58">
        <f>IF(AND('(橫掃)RX Mapping'!BF58&gt;=1,'(橫掃)RX Mapping'!BF58&lt;=120), ('(橫掃)RX Mapping'!BF58-1),IF(AND('(橫掃)RX Mapping'!BF58&gt;=121,'(橫掃)RX Mapping'!BF58&lt;=240), (-1)*('(橫掃)RX Mapping'!BF58-240),IF(AND('(橫掃)RX Mapping'!BF58&gt;=241,'(橫掃)RX Mapping'!BF58&lt;=360), ('(橫掃)RX Mapping'!BF58-241),IF(AND('(橫掃)RX Mapping'!BF58&gt;=361,'(橫掃)RX Mapping'!BF58&lt;=480), (-1)*('(橫掃)RX Mapping'!BF58-480),IF(AND('(橫掃)RX Mapping'!BF58&gt;=481,'(橫掃)RX Mapping'!BF58&lt;=600), ('(橫掃)RX Mapping'!BF58-361),IF(AND('(橫掃)RX Mapping'!BF58&gt;=601,'(橫掃)RX Mapping'!BF58&lt;=720), (-1)*('(橫掃)RX Mapping'!BF58-720)+120,IF(AND('(橫掃)RX Mapping'!BF58&gt;=721,'(橫掃)RX Mapping'!BF58&lt;=840), ('(橫掃)RX Mapping'!BF58-601),IF(AND('(橫掃)RX Mapping'!BF58&gt;=841,'(橫掃)RX Mapping'!BF58&lt;=960), (-1)*('(橫掃)RX Mapping'!BF58-960)+120,9999))))))))</f>
        <v>9999</v>
      </c>
      <c r="BG58">
        <f>IF(AND('(橫掃)RX Mapping'!BG58&gt;=1,'(橫掃)RX Mapping'!BG58&lt;=120), ('(橫掃)RX Mapping'!BG58-1),IF(AND('(橫掃)RX Mapping'!BG58&gt;=121,'(橫掃)RX Mapping'!BG58&lt;=240), (-1)*('(橫掃)RX Mapping'!BG58-240),IF(AND('(橫掃)RX Mapping'!BG58&gt;=241,'(橫掃)RX Mapping'!BG58&lt;=360), ('(橫掃)RX Mapping'!BG58-241),IF(AND('(橫掃)RX Mapping'!BG58&gt;=361,'(橫掃)RX Mapping'!BG58&lt;=480), (-1)*('(橫掃)RX Mapping'!BG58-480),IF(AND('(橫掃)RX Mapping'!BG58&gt;=481,'(橫掃)RX Mapping'!BG58&lt;=600), ('(橫掃)RX Mapping'!BG58-361),IF(AND('(橫掃)RX Mapping'!BG58&gt;=601,'(橫掃)RX Mapping'!BG58&lt;=720), (-1)*('(橫掃)RX Mapping'!BG58-720)+120,IF(AND('(橫掃)RX Mapping'!BG58&gt;=721,'(橫掃)RX Mapping'!BG58&lt;=840), ('(橫掃)RX Mapping'!BG58-601),IF(AND('(橫掃)RX Mapping'!BG58&gt;=841,'(橫掃)RX Mapping'!BG58&lt;=960), (-1)*('(橫掃)RX Mapping'!BG58-960)+120,9999))))))))</f>
        <v>9999</v>
      </c>
      <c r="BH58">
        <f>IF(AND('(橫掃)RX Mapping'!BH58&gt;=1,'(橫掃)RX Mapping'!BH58&lt;=120), ('(橫掃)RX Mapping'!BH58-1),IF(AND('(橫掃)RX Mapping'!BH58&gt;=121,'(橫掃)RX Mapping'!BH58&lt;=240), (-1)*('(橫掃)RX Mapping'!BH58-240),IF(AND('(橫掃)RX Mapping'!BH58&gt;=241,'(橫掃)RX Mapping'!BH58&lt;=360), ('(橫掃)RX Mapping'!BH58-241),IF(AND('(橫掃)RX Mapping'!BH58&gt;=361,'(橫掃)RX Mapping'!BH58&lt;=480), (-1)*('(橫掃)RX Mapping'!BH58-480),IF(AND('(橫掃)RX Mapping'!BH58&gt;=481,'(橫掃)RX Mapping'!BH58&lt;=600), ('(橫掃)RX Mapping'!BH58-361),IF(AND('(橫掃)RX Mapping'!BH58&gt;=601,'(橫掃)RX Mapping'!BH58&lt;=720), (-1)*('(橫掃)RX Mapping'!BH58-720)+120,IF(AND('(橫掃)RX Mapping'!BH58&gt;=721,'(橫掃)RX Mapping'!BH58&lt;=840), ('(橫掃)RX Mapping'!BH58-601),IF(AND('(橫掃)RX Mapping'!BH58&gt;=841,'(橫掃)RX Mapping'!BH58&lt;=960), (-1)*('(橫掃)RX Mapping'!BH58-960)+120,9999))))))))</f>
        <v>9999</v>
      </c>
      <c r="BI58">
        <f>IF(AND('(橫掃)RX Mapping'!BI58&gt;=1,'(橫掃)RX Mapping'!BI58&lt;=120), ('(橫掃)RX Mapping'!BI58-1),IF(AND('(橫掃)RX Mapping'!BI58&gt;=121,'(橫掃)RX Mapping'!BI58&lt;=240), (-1)*('(橫掃)RX Mapping'!BI58-240),IF(AND('(橫掃)RX Mapping'!BI58&gt;=241,'(橫掃)RX Mapping'!BI58&lt;=360), ('(橫掃)RX Mapping'!BI58-241),IF(AND('(橫掃)RX Mapping'!BI58&gt;=361,'(橫掃)RX Mapping'!BI58&lt;=480), (-1)*('(橫掃)RX Mapping'!BI58-480),IF(AND('(橫掃)RX Mapping'!BI58&gt;=481,'(橫掃)RX Mapping'!BI58&lt;=600), ('(橫掃)RX Mapping'!BI58-361),IF(AND('(橫掃)RX Mapping'!BI58&gt;=601,'(橫掃)RX Mapping'!BI58&lt;=720), (-1)*('(橫掃)RX Mapping'!BI58-720)+120,IF(AND('(橫掃)RX Mapping'!BI58&gt;=721,'(橫掃)RX Mapping'!BI58&lt;=840), ('(橫掃)RX Mapping'!BI58-601),IF(AND('(橫掃)RX Mapping'!BI58&gt;=841,'(橫掃)RX Mapping'!BI58&lt;=960), (-1)*('(橫掃)RX Mapping'!BI58-960)+120,9999))))))))</f>
        <v>9999</v>
      </c>
    </row>
    <row r="59" spans="1:61" x14ac:dyDescent="0.25">
      <c r="A59" s="20">
        <v>58</v>
      </c>
      <c r="B59">
        <f>IF(AND('(橫掃)RX Mapping'!B59&gt;=1,'(橫掃)RX Mapping'!B59&lt;=120), ('(橫掃)RX Mapping'!B59-1),IF(AND('(橫掃)RX Mapping'!B59&gt;=121,'(橫掃)RX Mapping'!B59&lt;=240), (-1)*('(橫掃)RX Mapping'!B59-240),IF(AND('(橫掃)RX Mapping'!B59&gt;=241,'(橫掃)RX Mapping'!B59&lt;=360), ('(橫掃)RX Mapping'!B59-241),IF(AND('(橫掃)RX Mapping'!B59&gt;=361,'(橫掃)RX Mapping'!B59&lt;=480), (-1)*('(橫掃)RX Mapping'!B59-480),IF(AND('(橫掃)RX Mapping'!B59&gt;=481,'(橫掃)RX Mapping'!B59&lt;=600), ('(橫掃)RX Mapping'!B59-361),IF(AND('(橫掃)RX Mapping'!B59&gt;=601,'(橫掃)RX Mapping'!B59&lt;=720), (-1)*('(橫掃)RX Mapping'!B59-720)+120,IF(AND('(橫掃)RX Mapping'!B59&gt;=721,'(橫掃)RX Mapping'!B59&lt;=840), ('(橫掃)RX Mapping'!B59-601),IF(AND('(橫掃)RX Mapping'!B59&gt;=841,'(橫掃)RX Mapping'!B59&lt;=960), (-1)*('(橫掃)RX Mapping'!B59-960)+120,9999))))))))</f>
        <v>9999</v>
      </c>
      <c r="C59">
        <f>IF(AND('(橫掃)RX Mapping'!C59&gt;=1,'(橫掃)RX Mapping'!C59&lt;=120), ('(橫掃)RX Mapping'!C59-1),IF(AND('(橫掃)RX Mapping'!C59&gt;=121,'(橫掃)RX Mapping'!C59&lt;=240), (-1)*('(橫掃)RX Mapping'!C59-240),IF(AND('(橫掃)RX Mapping'!C59&gt;=241,'(橫掃)RX Mapping'!C59&lt;=360), ('(橫掃)RX Mapping'!C59-241),IF(AND('(橫掃)RX Mapping'!C59&gt;=361,'(橫掃)RX Mapping'!C59&lt;=480), (-1)*('(橫掃)RX Mapping'!C59-480),IF(AND('(橫掃)RX Mapping'!C59&gt;=481,'(橫掃)RX Mapping'!C59&lt;=600), ('(橫掃)RX Mapping'!C59-361),IF(AND('(橫掃)RX Mapping'!C59&gt;=601,'(橫掃)RX Mapping'!C59&lt;=720), (-1)*('(橫掃)RX Mapping'!C59-720)+120,IF(AND('(橫掃)RX Mapping'!C59&gt;=721,'(橫掃)RX Mapping'!C59&lt;=840), ('(橫掃)RX Mapping'!C59-601),IF(AND('(橫掃)RX Mapping'!C59&gt;=841,'(橫掃)RX Mapping'!C59&lt;=960), (-1)*('(橫掃)RX Mapping'!C59-960)+120,9999))))))))</f>
        <v>9999</v>
      </c>
      <c r="D59">
        <f>IF(AND('(橫掃)RX Mapping'!D59&gt;=1,'(橫掃)RX Mapping'!D59&lt;=120), ('(橫掃)RX Mapping'!D59-1),IF(AND('(橫掃)RX Mapping'!D59&gt;=121,'(橫掃)RX Mapping'!D59&lt;=240), (-1)*('(橫掃)RX Mapping'!D59-240),IF(AND('(橫掃)RX Mapping'!D59&gt;=241,'(橫掃)RX Mapping'!D59&lt;=360), ('(橫掃)RX Mapping'!D59-241),IF(AND('(橫掃)RX Mapping'!D59&gt;=361,'(橫掃)RX Mapping'!D59&lt;=480), (-1)*('(橫掃)RX Mapping'!D59-480),IF(AND('(橫掃)RX Mapping'!D59&gt;=481,'(橫掃)RX Mapping'!D59&lt;=600), ('(橫掃)RX Mapping'!D59-361),IF(AND('(橫掃)RX Mapping'!D59&gt;=601,'(橫掃)RX Mapping'!D59&lt;=720), (-1)*('(橫掃)RX Mapping'!D59-720)+120,IF(AND('(橫掃)RX Mapping'!D59&gt;=721,'(橫掃)RX Mapping'!D59&lt;=840), ('(橫掃)RX Mapping'!D59-601),IF(AND('(橫掃)RX Mapping'!D59&gt;=841,'(橫掃)RX Mapping'!D59&lt;=960), (-1)*('(橫掃)RX Mapping'!D59-960)+120,9999))))))))</f>
        <v>9999</v>
      </c>
      <c r="E59">
        <f>IF(AND('(橫掃)RX Mapping'!E59&gt;=1,'(橫掃)RX Mapping'!E59&lt;=120), ('(橫掃)RX Mapping'!E59-1),IF(AND('(橫掃)RX Mapping'!E59&gt;=121,'(橫掃)RX Mapping'!E59&lt;=240), (-1)*('(橫掃)RX Mapping'!E59-240),IF(AND('(橫掃)RX Mapping'!E59&gt;=241,'(橫掃)RX Mapping'!E59&lt;=360), ('(橫掃)RX Mapping'!E59-241),IF(AND('(橫掃)RX Mapping'!E59&gt;=361,'(橫掃)RX Mapping'!E59&lt;=480), (-1)*('(橫掃)RX Mapping'!E59-480),IF(AND('(橫掃)RX Mapping'!E59&gt;=481,'(橫掃)RX Mapping'!E59&lt;=600), ('(橫掃)RX Mapping'!E59-361),IF(AND('(橫掃)RX Mapping'!E59&gt;=601,'(橫掃)RX Mapping'!E59&lt;=720), (-1)*('(橫掃)RX Mapping'!E59-720)+120,IF(AND('(橫掃)RX Mapping'!E59&gt;=721,'(橫掃)RX Mapping'!E59&lt;=840), ('(橫掃)RX Mapping'!E59-601),IF(AND('(橫掃)RX Mapping'!E59&gt;=841,'(橫掃)RX Mapping'!E59&lt;=960), (-1)*('(橫掃)RX Mapping'!E59-960)+120,9999))))))))</f>
        <v>9999</v>
      </c>
      <c r="F59">
        <f>IF(AND('(橫掃)RX Mapping'!F59&gt;=1,'(橫掃)RX Mapping'!F59&lt;=120), ('(橫掃)RX Mapping'!F59-1),IF(AND('(橫掃)RX Mapping'!F59&gt;=121,'(橫掃)RX Mapping'!F59&lt;=240), (-1)*('(橫掃)RX Mapping'!F59-240),IF(AND('(橫掃)RX Mapping'!F59&gt;=241,'(橫掃)RX Mapping'!F59&lt;=360), ('(橫掃)RX Mapping'!F59-241),IF(AND('(橫掃)RX Mapping'!F59&gt;=361,'(橫掃)RX Mapping'!F59&lt;=480), (-1)*('(橫掃)RX Mapping'!F59-480),IF(AND('(橫掃)RX Mapping'!F59&gt;=481,'(橫掃)RX Mapping'!F59&lt;=600), ('(橫掃)RX Mapping'!F59-361),IF(AND('(橫掃)RX Mapping'!F59&gt;=601,'(橫掃)RX Mapping'!F59&lt;=720), (-1)*('(橫掃)RX Mapping'!F59-720)+120,IF(AND('(橫掃)RX Mapping'!F59&gt;=721,'(橫掃)RX Mapping'!F59&lt;=840), ('(橫掃)RX Mapping'!F59-601),IF(AND('(橫掃)RX Mapping'!F59&gt;=841,'(橫掃)RX Mapping'!F59&lt;=960), (-1)*('(橫掃)RX Mapping'!F59-960)+120,9999))))))))</f>
        <v>9999</v>
      </c>
      <c r="G59">
        <f>IF(AND('(橫掃)RX Mapping'!G59&gt;=1,'(橫掃)RX Mapping'!G59&lt;=120), ('(橫掃)RX Mapping'!G59-1),IF(AND('(橫掃)RX Mapping'!G59&gt;=121,'(橫掃)RX Mapping'!G59&lt;=240), (-1)*('(橫掃)RX Mapping'!G59-240),IF(AND('(橫掃)RX Mapping'!G59&gt;=241,'(橫掃)RX Mapping'!G59&lt;=360), ('(橫掃)RX Mapping'!G59-241),IF(AND('(橫掃)RX Mapping'!G59&gt;=361,'(橫掃)RX Mapping'!G59&lt;=480), (-1)*('(橫掃)RX Mapping'!G59-480),IF(AND('(橫掃)RX Mapping'!G59&gt;=481,'(橫掃)RX Mapping'!G59&lt;=600), ('(橫掃)RX Mapping'!G59-361),IF(AND('(橫掃)RX Mapping'!G59&gt;=601,'(橫掃)RX Mapping'!G59&lt;=720), (-1)*('(橫掃)RX Mapping'!G59-720)+120,IF(AND('(橫掃)RX Mapping'!G59&gt;=721,'(橫掃)RX Mapping'!G59&lt;=840), ('(橫掃)RX Mapping'!G59-601),IF(AND('(橫掃)RX Mapping'!G59&gt;=841,'(橫掃)RX Mapping'!G59&lt;=960), (-1)*('(橫掃)RX Mapping'!G59-960)+120,9999))))))))</f>
        <v>9999</v>
      </c>
      <c r="H59">
        <f>IF(AND('(橫掃)RX Mapping'!H59&gt;=1,'(橫掃)RX Mapping'!H59&lt;=120), ('(橫掃)RX Mapping'!H59-1),IF(AND('(橫掃)RX Mapping'!H59&gt;=121,'(橫掃)RX Mapping'!H59&lt;=240), (-1)*('(橫掃)RX Mapping'!H59-240),IF(AND('(橫掃)RX Mapping'!H59&gt;=241,'(橫掃)RX Mapping'!H59&lt;=360), ('(橫掃)RX Mapping'!H59-241),IF(AND('(橫掃)RX Mapping'!H59&gt;=361,'(橫掃)RX Mapping'!H59&lt;=480), (-1)*('(橫掃)RX Mapping'!H59-480),IF(AND('(橫掃)RX Mapping'!H59&gt;=481,'(橫掃)RX Mapping'!H59&lt;=600), ('(橫掃)RX Mapping'!H59-361),IF(AND('(橫掃)RX Mapping'!H59&gt;=601,'(橫掃)RX Mapping'!H59&lt;=720), (-1)*('(橫掃)RX Mapping'!H59-720)+120,IF(AND('(橫掃)RX Mapping'!H59&gt;=721,'(橫掃)RX Mapping'!H59&lt;=840), ('(橫掃)RX Mapping'!H59-601),IF(AND('(橫掃)RX Mapping'!H59&gt;=841,'(橫掃)RX Mapping'!H59&lt;=960), (-1)*('(橫掃)RX Mapping'!H59-960)+120,9999))))))))</f>
        <v>9999</v>
      </c>
      <c r="I59">
        <f>IF(AND('(橫掃)RX Mapping'!I59&gt;=1,'(橫掃)RX Mapping'!I59&lt;=120), ('(橫掃)RX Mapping'!I59-1),IF(AND('(橫掃)RX Mapping'!I59&gt;=121,'(橫掃)RX Mapping'!I59&lt;=240), (-1)*('(橫掃)RX Mapping'!I59-240),IF(AND('(橫掃)RX Mapping'!I59&gt;=241,'(橫掃)RX Mapping'!I59&lt;=360), ('(橫掃)RX Mapping'!I59-241),IF(AND('(橫掃)RX Mapping'!I59&gt;=361,'(橫掃)RX Mapping'!I59&lt;=480), (-1)*('(橫掃)RX Mapping'!I59-480),IF(AND('(橫掃)RX Mapping'!I59&gt;=481,'(橫掃)RX Mapping'!I59&lt;=600), ('(橫掃)RX Mapping'!I59-361),IF(AND('(橫掃)RX Mapping'!I59&gt;=601,'(橫掃)RX Mapping'!I59&lt;=720), (-1)*('(橫掃)RX Mapping'!I59-720)+120,IF(AND('(橫掃)RX Mapping'!I59&gt;=721,'(橫掃)RX Mapping'!I59&lt;=840), ('(橫掃)RX Mapping'!I59-601),IF(AND('(橫掃)RX Mapping'!I59&gt;=841,'(橫掃)RX Mapping'!I59&lt;=960), (-1)*('(橫掃)RX Mapping'!I59-960)+120,9999))))))))</f>
        <v>9999</v>
      </c>
      <c r="J59">
        <f>IF(AND('(橫掃)RX Mapping'!J59&gt;=1,'(橫掃)RX Mapping'!J59&lt;=120), ('(橫掃)RX Mapping'!J59-1),IF(AND('(橫掃)RX Mapping'!J59&gt;=121,'(橫掃)RX Mapping'!J59&lt;=240), (-1)*('(橫掃)RX Mapping'!J59-240),IF(AND('(橫掃)RX Mapping'!J59&gt;=241,'(橫掃)RX Mapping'!J59&lt;=360), ('(橫掃)RX Mapping'!J59-241),IF(AND('(橫掃)RX Mapping'!J59&gt;=361,'(橫掃)RX Mapping'!J59&lt;=480), (-1)*('(橫掃)RX Mapping'!J59-480),IF(AND('(橫掃)RX Mapping'!J59&gt;=481,'(橫掃)RX Mapping'!J59&lt;=600), ('(橫掃)RX Mapping'!J59-361),IF(AND('(橫掃)RX Mapping'!J59&gt;=601,'(橫掃)RX Mapping'!J59&lt;=720), (-1)*('(橫掃)RX Mapping'!J59-720)+120,IF(AND('(橫掃)RX Mapping'!J59&gt;=721,'(橫掃)RX Mapping'!J59&lt;=840), ('(橫掃)RX Mapping'!J59-601),IF(AND('(橫掃)RX Mapping'!J59&gt;=841,'(橫掃)RX Mapping'!J59&lt;=960), (-1)*('(橫掃)RX Mapping'!J59-960)+120,9999))))))))</f>
        <v>9999</v>
      </c>
      <c r="K59">
        <f>IF(AND('(橫掃)RX Mapping'!K59&gt;=1,'(橫掃)RX Mapping'!K59&lt;=120), ('(橫掃)RX Mapping'!K59-1),IF(AND('(橫掃)RX Mapping'!K59&gt;=121,'(橫掃)RX Mapping'!K59&lt;=240), (-1)*('(橫掃)RX Mapping'!K59-240),IF(AND('(橫掃)RX Mapping'!K59&gt;=241,'(橫掃)RX Mapping'!K59&lt;=360), ('(橫掃)RX Mapping'!K59-241),IF(AND('(橫掃)RX Mapping'!K59&gt;=361,'(橫掃)RX Mapping'!K59&lt;=480), (-1)*('(橫掃)RX Mapping'!K59-480),IF(AND('(橫掃)RX Mapping'!K59&gt;=481,'(橫掃)RX Mapping'!K59&lt;=600), ('(橫掃)RX Mapping'!K59-361),IF(AND('(橫掃)RX Mapping'!K59&gt;=601,'(橫掃)RX Mapping'!K59&lt;=720), (-1)*('(橫掃)RX Mapping'!K59-720)+120,IF(AND('(橫掃)RX Mapping'!K59&gt;=721,'(橫掃)RX Mapping'!K59&lt;=840), ('(橫掃)RX Mapping'!K59-601),IF(AND('(橫掃)RX Mapping'!K59&gt;=841,'(橫掃)RX Mapping'!K59&lt;=960), (-1)*('(橫掃)RX Mapping'!K59-960)+120,9999))))))))</f>
        <v>9999</v>
      </c>
      <c r="L59">
        <f>IF(AND('(橫掃)RX Mapping'!L59&gt;=1,'(橫掃)RX Mapping'!L59&lt;=120), ('(橫掃)RX Mapping'!L59-1),IF(AND('(橫掃)RX Mapping'!L59&gt;=121,'(橫掃)RX Mapping'!L59&lt;=240), (-1)*('(橫掃)RX Mapping'!L59-240),IF(AND('(橫掃)RX Mapping'!L59&gt;=241,'(橫掃)RX Mapping'!L59&lt;=360), ('(橫掃)RX Mapping'!L59-241),IF(AND('(橫掃)RX Mapping'!L59&gt;=361,'(橫掃)RX Mapping'!L59&lt;=480), (-1)*('(橫掃)RX Mapping'!L59-480),IF(AND('(橫掃)RX Mapping'!L59&gt;=481,'(橫掃)RX Mapping'!L59&lt;=600), ('(橫掃)RX Mapping'!L59-361),IF(AND('(橫掃)RX Mapping'!L59&gt;=601,'(橫掃)RX Mapping'!L59&lt;=720), (-1)*('(橫掃)RX Mapping'!L59-720)+120,IF(AND('(橫掃)RX Mapping'!L59&gt;=721,'(橫掃)RX Mapping'!L59&lt;=840), ('(橫掃)RX Mapping'!L59-601),IF(AND('(橫掃)RX Mapping'!L59&gt;=841,'(橫掃)RX Mapping'!L59&lt;=960), (-1)*('(橫掃)RX Mapping'!L59-960)+120,9999))))))))</f>
        <v>9999</v>
      </c>
      <c r="M59">
        <f>IF(AND('(橫掃)RX Mapping'!M59&gt;=1,'(橫掃)RX Mapping'!M59&lt;=120), ('(橫掃)RX Mapping'!M59-1),IF(AND('(橫掃)RX Mapping'!M59&gt;=121,'(橫掃)RX Mapping'!M59&lt;=240), (-1)*('(橫掃)RX Mapping'!M59-240),IF(AND('(橫掃)RX Mapping'!M59&gt;=241,'(橫掃)RX Mapping'!M59&lt;=360), ('(橫掃)RX Mapping'!M59-241),IF(AND('(橫掃)RX Mapping'!M59&gt;=361,'(橫掃)RX Mapping'!M59&lt;=480), (-1)*('(橫掃)RX Mapping'!M59-480),IF(AND('(橫掃)RX Mapping'!M59&gt;=481,'(橫掃)RX Mapping'!M59&lt;=600), ('(橫掃)RX Mapping'!M59-361),IF(AND('(橫掃)RX Mapping'!M59&gt;=601,'(橫掃)RX Mapping'!M59&lt;=720), (-1)*('(橫掃)RX Mapping'!M59-720)+120,IF(AND('(橫掃)RX Mapping'!M59&gt;=721,'(橫掃)RX Mapping'!M59&lt;=840), ('(橫掃)RX Mapping'!M59-601),IF(AND('(橫掃)RX Mapping'!M59&gt;=841,'(橫掃)RX Mapping'!M59&lt;=960), (-1)*('(橫掃)RX Mapping'!M59-960)+120,9999))))))))</f>
        <v>9999</v>
      </c>
      <c r="N59">
        <f>IF(AND('(橫掃)RX Mapping'!N59&gt;=1,'(橫掃)RX Mapping'!N59&lt;=120), ('(橫掃)RX Mapping'!N59-1),IF(AND('(橫掃)RX Mapping'!N59&gt;=121,'(橫掃)RX Mapping'!N59&lt;=240), (-1)*('(橫掃)RX Mapping'!N59-240),IF(AND('(橫掃)RX Mapping'!N59&gt;=241,'(橫掃)RX Mapping'!N59&lt;=360), ('(橫掃)RX Mapping'!N59-241),IF(AND('(橫掃)RX Mapping'!N59&gt;=361,'(橫掃)RX Mapping'!N59&lt;=480), (-1)*('(橫掃)RX Mapping'!N59-480),IF(AND('(橫掃)RX Mapping'!N59&gt;=481,'(橫掃)RX Mapping'!N59&lt;=600), ('(橫掃)RX Mapping'!N59-361),IF(AND('(橫掃)RX Mapping'!N59&gt;=601,'(橫掃)RX Mapping'!N59&lt;=720), (-1)*('(橫掃)RX Mapping'!N59-720)+120,IF(AND('(橫掃)RX Mapping'!N59&gt;=721,'(橫掃)RX Mapping'!N59&lt;=840), ('(橫掃)RX Mapping'!N59-601),IF(AND('(橫掃)RX Mapping'!N59&gt;=841,'(橫掃)RX Mapping'!N59&lt;=960), (-1)*('(橫掃)RX Mapping'!N59-960)+120,9999))))))))</f>
        <v>9999</v>
      </c>
      <c r="O59">
        <f>IF(AND('(橫掃)RX Mapping'!O59&gt;=1,'(橫掃)RX Mapping'!O59&lt;=120), ('(橫掃)RX Mapping'!O59-1),IF(AND('(橫掃)RX Mapping'!O59&gt;=121,'(橫掃)RX Mapping'!O59&lt;=240), (-1)*('(橫掃)RX Mapping'!O59-240),IF(AND('(橫掃)RX Mapping'!O59&gt;=241,'(橫掃)RX Mapping'!O59&lt;=360), ('(橫掃)RX Mapping'!O59-241),IF(AND('(橫掃)RX Mapping'!O59&gt;=361,'(橫掃)RX Mapping'!O59&lt;=480), (-1)*('(橫掃)RX Mapping'!O59-480),IF(AND('(橫掃)RX Mapping'!O59&gt;=481,'(橫掃)RX Mapping'!O59&lt;=600), ('(橫掃)RX Mapping'!O59-361),IF(AND('(橫掃)RX Mapping'!O59&gt;=601,'(橫掃)RX Mapping'!O59&lt;=720), (-1)*('(橫掃)RX Mapping'!O59-720)+120,IF(AND('(橫掃)RX Mapping'!O59&gt;=721,'(橫掃)RX Mapping'!O59&lt;=840), ('(橫掃)RX Mapping'!O59-601),IF(AND('(橫掃)RX Mapping'!O59&gt;=841,'(橫掃)RX Mapping'!O59&lt;=960), (-1)*('(橫掃)RX Mapping'!O59-960)+120,9999))))))))</f>
        <v>9999</v>
      </c>
      <c r="P59">
        <f>IF(AND('(橫掃)RX Mapping'!P59&gt;=1,'(橫掃)RX Mapping'!P59&lt;=120), ('(橫掃)RX Mapping'!P59-1),IF(AND('(橫掃)RX Mapping'!P59&gt;=121,'(橫掃)RX Mapping'!P59&lt;=240), (-1)*('(橫掃)RX Mapping'!P59-240),IF(AND('(橫掃)RX Mapping'!P59&gt;=241,'(橫掃)RX Mapping'!P59&lt;=360), ('(橫掃)RX Mapping'!P59-241),IF(AND('(橫掃)RX Mapping'!P59&gt;=361,'(橫掃)RX Mapping'!P59&lt;=480), (-1)*('(橫掃)RX Mapping'!P59-480),IF(AND('(橫掃)RX Mapping'!P59&gt;=481,'(橫掃)RX Mapping'!P59&lt;=600), ('(橫掃)RX Mapping'!P59-361),IF(AND('(橫掃)RX Mapping'!P59&gt;=601,'(橫掃)RX Mapping'!P59&lt;=720), (-1)*('(橫掃)RX Mapping'!P59-720)+120,IF(AND('(橫掃)RX Mapping'!P59&gt;=721,'(橫掃)RX Mapping'!P59&lt;=840), ('(橫掃)RX Mapping'!P59-601),IF(AND('(橫掃)RX Mapping'!P59&gt;=841,'(橫掃)RX Mapping'!P59&lt;=960), (-1)*('(橫掃)RX Mapping'!P59-960)+120,9999))))))))</f>
        <v>9999</v>
      </c>
      <c r="Q59">
        <f>IF(AND('(橫掃)RX Mapping'!Q59&gt;=1,'(橫掃)RX Mapping'!Q59&lt;=120), ('(橫掃)RX Mapping'!Q59-1),IF(AND('(橫掃)RX Mapping'!Q59&gt;=121,'(橫掃)RX Mapping'!Q59&lt;=240), (-1)*('(橫掃)RX Mapping'!Q59-240),IF(AND('(橫掃)RX Mapping'!Q59&gt;=241,'(橫掃)RX Mapping'!Q59&lt;=360), ('(橫掃)RX Mapping'!Q59-241),IF(AND('(橫掃)RX Mapping'!Q59&gt;=361,'(橫掃)RX Mapping'!Q59&lt;=480), (-1)*('(橫掃)RX Mapping'!Q59-480),IF(AND('(橫掃)RX Mapping'!Q59&gt;=481,'(橫掃)RX Mapping'!Q59&lt;=600), ('(橫掃)RX Mapping'!Q59-361),IF(AND('(橫掃)RX Mapping'!Q59&gt;=601,'(橫掃)RX Mapping'!Q59&lt;=720), (-1)*('(橫掃)RX Mapping'!Q59-720)+120,IF(AND('(橫掃)RX Mapping'!Q59&gt;=721,'(橫掃)RX Mapping'!Q59&lt;=840), ('(橫掃)RX Mapping'!Q59-601),IF(AND('(橫掃)RX Mapping'!Q59&gt;=841,'(橫掃)RX Mapping'!Q59&lt;=960), (-1)*('(橫掃)RX Mapping'!Q59-960)+120,9999))))))))</f>
        <v>9999</v>
      </c>
      <c r="R59">
        <f>IF(AND('(橫掃)RX Mapping'!R59&gt;=1,'(橫掃)RX Mapping'!R59&lt;=120), ('(橫掃)RX Mapping'!R59-1),IF(AND('(橫掃)RX Mapping'!R59&gt;=121,'(橫掃)RX Mapping'!R59&lt;=240), (-1)*('(橫掃)RX Mapping'!R59-240),IF(AND('(橫掃)RX Mapping'!R59&gt;=241,'(橫掃)RX Mapping'!R59&lt;=360), ('(橫掃)RX Mapping'!R59-241),IF(AND('(橫掃)RX Mapping'!R59&gt;=361,'(橫掃)RX Mapping'!R59&lt;=480), (-1)*('(橫掃)RX Mapping'!R59-480),IF(AND('(橫掃)RX Mapping'!R59&gt;=481,'(橫掃)RX Mapping'!R59&lt;=600), ('(橫掃)RX Mapping'!R59-361),IF(AND('(橫掃)RX Mapping'!R59&gt;=601,'(橫掃)RX Mapping'!R59&lt;=720), (-1)*('(橫掃)RX Mapping'!R59-720)+120,IF(AND('(橫掃)RX Mapping'!R59&gt;=721,'(橫掃)RX Mapping'!R59&lt;=840), ('(橫掃)RX Mapping'!R59-601),IF(AND('(橫掃)RX Mapping'!R59&gt;=841,'(橫掃)RX Mapping'!R59&lt;=960), (-1)*('(橫掃)RX Mapping'!R59-960)+120,9999))))))))</f>
        <v>9999</v>
      </c>
      <c r="S59">
        <f>IF(AND('(橫掃)RX Mapping'!S59&gt;=1,'(橫掃)RX Mapping'!S59&lt;=120), ('(橫掃)RX Mapping'!S59-1),IF(AND('(橫掃)RX Mapping'!S59&gt;=121,'(橫掃)RX Mapping'!S59&lt;=240), (-1)*('(橫掃)RX Mapping'!S59-240),IF(AND('(橫掃)RX Mapping'!S59&gt;=241,'(橫掃)RX Mapping'!S59&lt;=360), ('(橫掃)RX Mapping'!S59-241),IF(AND('(橫掃)RX Mapping'!S59&gt;=361,'(橫掃)RX Mapping'!S59&lt;=480), (-1)*('(橫掃)RX Mapping'!S59-480),IF(AND('(橫掃)RX Mapping'!S59&gt;=481,'(橫掃)RX Mapping'!S59&lt;=600), ('(橫掃)RX Mapping'!S59-361),IF(AND('(橫掃)RX Mapping'!S59&gt;=601,'(橫掃)RX Mapping'!S59&lt;=720), (-1)*('(橫掃)RX Mapping'!S59-720)+120,IF(AND('(橫掃)RX Mapping'!S59&gt;=721,'(橫掃)RX Mapping'!S59&lt;=840), ('(橫掃)RX Mapping'!S59-601),IF(AND('(橫掃)RX Mapping'!S59&gt;=841,'(橫掃)RX Mapping'!S59&lt;=960), (-1)*('(橫掃)RX Mapping'!S59-960)+120,9999))))))))</f>
        <v>9999</v>
      </c>
      <c r="T59">
        <f>IF(AND('(橫掃)RX Mapping'!T59&gt;=1,'(橫掃)RX Mapping'!T59&lt;=120), ('(橫掃)RX Mapping'!T59-1),IF(AND('(橫掃)RX Mapping'!T59&gt;=121,'(橫掃)RX Mapping'!T59&lt;=240), (-1)*('(橫掃)RX Mapping'!T59-240),IF(AND('(橫掃)RX Mapping'!T59&gt;=241,'(橫掃)RX Mapping'!T59&lt;=360), ('(橫掃)RX Mapping'!T59-241),IF(AND('(橫掃)RX Mapping'!T59&gt;=361,'(橫掃)RX Mapping'!T59&lt;=480), (-1)*('(橫掃)RX Mapping'!T59-480),IF(AND('(橫掃)RX Mapping'!T59&gt;=481,'(橫掃)RX Mapping'!T59&lt;=600), ('(橫掃)RX Mapping'!T59-361),IF(AND('(橫掃)RX Mapping'!T59&gt;=601,'(橫掃)RX Mapping'!T59&lt;=720), (-1)*('(橫掃)RX Mapping'!T59-720)+120,IF(AND('(橫掃)RX Mapping'!T59&gt;=721,'(橫掃)RX Mapping'!T59&lt;=840), ('(橫掃)RX Mapping'!T59-601),IF(AND('(橫掃)RX Mapping'!T59&gt;=841,'(橫掃)RX Mapping'!T59&lt;=960), (-1)*('(橫掃)RX Mapping'!T59-960)+120,9999))))))))</f>
        <v>9999</v>
      </c>
      <c r="U59">
        <f>IF(AND('(橫掃)RX Mapping'!U59&gt;=1,'(橫掃)RX Mapping'!U59&lt;=120), ('(橫掃)RX Mapping'!U59-1),IF(AND('(橫掃)RX Mapping'!U59&gt;=121,'(橫掃)RX Mapping'!U59&lt;=240), (-1)*('(橫掃)RX Mapping'!U59-240),IF(AND('(橫掃)RX Mapping'!U59&gt;=241,'(橫掃)RX Mapping'!U59&lt;=360), ('(橫掃)RX Mapping'!U59-241),IF(AND('(橫掃)RX Mapping'!U59&gt;=361,'(橫掃)RX Mapping'!U59&lt;=480), (-1)*('(橫掃)RX Mapping'!U59-480),IF(AND('(橫掃)RX Mapping'!U59&gt;=481,'(橫掃)RX Mapping'!U59&lt;=600), ('(橫掃)RX Mapping'!U59-361),IF(AND('(橫掃)RX Mapping'!U59&gt;=601,'(橫掃)RX Mapping'!U59&lt;=720), (-1)*('(橫掃)RX Mapping'!U59-720)+120,IF(AND('(橫掃)RX Mapping'!U59&gt;=721,'(橫掃)RX Mapping'!U59&lt;=840), ('(橫掃)RX Mapping'!U59-601),IF(AND('(橫掃)RX Mapping'!U59&gt;=841,'(橫掃)RX Mapping'!U59&lt;=960), (-1)*('(橫掃)RX Mapping'!U59-960)+120,9999))))))))</f>
        <v>9999</v>
      </c>
      <c r="V59">
        <f>IF(AND('(橫掃)RX Mapping'!V59&gt;=1,'(橫掃)RX Mapping'!V59&lt;=120), ('(橫掃)RX Mapping'!V59-1),IF(AND('(橫掃)RX Mapping'!V59&gt;=121,'(橫掃)RX Mapping'!V59&lt;=240), (-1)*('(橫掃)RX Mapping'!V59-240),IF(AND('(橫掃)RX Mapping'!V59&gt;=241,'(橫掃)RX Mapping'!V59&lt;=360), ('(橫掃)RX Mapping'!V59-241),IF(AND('(橫掃)RX Mapping'!V59&gt;=361,'(橫掃)RX Mapping'!V59&lt;=480), (-1)*('(橫掃)RX Mapping'!V59-480),IF(AND('(橫掃)RX Mapping'!V59&gt;=481,'(橫掃)RX Mapping'!V59&lt;=600), ('(橫掃)RX Mapping'!V59-361),IF(AND('(橫掃)RX Mapping'!V59&gt;=601,'(橫掃)RX Mapping'!V59&lt;=720), (-1)*('(橫掃)RX Mapping'!V59-720)+120,IF(AND('(橫掃)RX Mapping'!V59&gt;=721,'(橫掃)RX Mapping'!V59&lt;=840), ('(橫掃)RX Mapping'!V59-601),IF(AND('(橫掃)RX Mapping'!V59&gt;=841,'(橫掃)RX Mapping'!V59&lt;=960), (-1)*('(橫掃)RX Mapping'!V59-960)+120,9999))))))))</f>
        <v>9999</v>
      </c>
      <c r="W59">
        <f>IF(AND('(橫掃)RX Mapping'!W59&gt;=1,'(橫掃)RX Mapping'!W59&lt;=120), ('(橫掃)RX Mapping'!W59-1),IF(AND('(橫掃)RX Mapping'!W59&gt;=121,'(橫掃)RX Mapping'!W59&lt;=240), (-1)*('(橫掃)RX Mapping'!W59-240),IF(AND('(橫掃)RX Mapping'!W59&gt;=241,'(橫掃)RX Mapping'!W59&lt;=360), ('(橫掃)RX Mapping'!W59-241),IF(AND('(橫掃)RX Mapping'!W59&gt;=361,'(橫掃)RX Mapping'!W59&lt;=480), (-1)*('(橫掃)RX Mapping'!W59-480),IF(AND('(橫掃)RX Mapping'!W59&gt;=481,'(橫掃)RX Mapping'!W59&lt;=600), ('(橫掃)RX Mapping'!W59-361),IF(AND('(橫掃)RX Mapping'!W59&gt;=601,'(橫掃)RX Mapping'!W59&lt;=720), (-1)*('(橫掃)RX Mapping'!W59-720)+120,IF(AND('(橫掃)RX Mapping'!W59&gt;=721,'(橫掃)RX Mapping'!W59&lt;=840), ('(橫掃)RX Mapping'!W59-601),IF(AND('(橫掃)RX Mapping'!W59&gt;=841,'(橫掃)RX Mapping'!W59&lt;=960), (-1)*('(橫掃)RX Mapping'!W59-960)+120,9999))))))))</f>
        <v>9999</v>
      </c>
      <c r="X59">
        <f>IF(AND('(橫掃)RX Mapping'!X59&gt;=1,'(橫掃)RX Mapping'!X59&lt;=120), ('(橫掃)RX Mapping'!X59-1),IF(AND('(橫掃)RX Mapping'!X59&gt;=121,'(橫掃)RX Mapping'!X59&lt;=240), (-1)*('(橫掃)RX Mapping'!X59-240),IF(AND('(橫掃)RX Mapping'!X59&gt;=241,'(橫掃)RX Mapping'!X59&lt;=360), ('(橫掃)RX Mapping'!X59-241),IF(AND('(橫掃)RX Mapping'!X59&gt;=361,'(橫掃)RX Mapping'!X59&lt;=480), (-1)*('(橫掃)RX Mapping'!X59-480),IF(AND('(橫掃)RX Mapping'!X59&gt;=481,'(橫掃)RX Mapping'!X59&lt;=600), ('(橫掃)RX Mapping'!X59-361),IF(AND('(橫掃)RX Mapping'!X59&gt;=601,'(橫掃)RX Mapping'!X59&lt;=720), (-1)*('(橫掃)RX Mapping'!X59-720)+120,IF(AND('(橫掃)RX Mapping'!X59&gt;=721,'(橫掃)RX Mapping'!X59&lt;=840), ('(橫掃)RX Mapping'!X59-601),IF(AND('(橫掃)RX Mapping'!X59&gt;=841,'(橫掃)RX Mapping'!X59&lt;=960), (-1)*('(橫掃)RX Mapping'!X59-960)+120,9999))))))))</f>
        <v>9999</v>
      </c>
      <c r="Y59">
        <f>IF(AND('(橫掃)RX Mapping'!Y59&gt;=1,'(橫掃)RX Mapping'!Y59&lt;=120), ('(橫掃)RX Mapping'!Y59-1),IF(AND('(橫掃)RX Mapping'!Y59&gt;=121,'(橫掃)RX Mapping'!Y59&lt;=240), (-1)*('(橫掃)RX Mapping'!Y59-240),IF(AND('(橫掃)RX Mapping'!Y59&gt;=241,'(橫掃)RX Mapping'!Y59&lt;=360), ('(橫掃)RX Mapping'!Y59-241),IF(AND('(橫掃)RX Mapping'!Y59&gt;=361,'(橫掃)RX Mapping'!Y59&lt;=480), (-1)*('(橫掃)RX Mapping'!Y59-480),IF(AND('(橫掃)RX Mapping'!Y59&gt;=481,'(橫掃)RX Mapping'!Y59&lt;=600), ('(橫掃)RX Mapping'!Y59-361),IF(AND('(橫掃)RX Mapping'!Y59&gt;=601,'(橫掃)RX Mapping'!Y59&lt;=720), (-1)*('(橫掃)RX Mapping'!Y59-720)+120,IF(AND('(橫掃)RX Mapping'!Y59&gt;=721,'(橫掃)RX Mapping'!Y59&lt;=840), ('(橫掃)RX Mapping'!Y59-601),IF(AND('(橫掃)RX Mapping'!Y59&gt;=841,'(橫掃)RX Mapping'!Y59&lt;=960), (-1)*('(橫掃)RX Mapping'!Y59-960)+120,9999))))))))</f>
        <v>9999</v>
      </c>
      <c r="Z59">
        <f>IF(AND('(橫掃)RX Mapping'!Z59&gt;=1,'(橫掃)RX Mapping'!Z59&lt;=120), ('(橫掃)RX Mapping'!Z59-1),IF(AND('(橫掃)RX Mapping'!Z59&gt;=121,'(橫掃)RX Mapping'!Z59&lt;=240), (-1)*('(橫掃)RX Mapping'!Z59-240),IF(AND('(橫掃)RX Mapping'!Z59&gt;=241,'(橫掃)RX Mapping'!Z59&lt;=360), ('(橫掃)RX Mapping'!Z59-241),IF(AND('(橫掃)RX Mapping'!Z59&gt;=361,'(橫掃)RX Mapping'!Z59&lt;=480), (-1)*('(橫掃)RX Mapping'!Z59-480),IF(AND('(橫掃)RX Mapping'!Z59&gt;=481,'(橫掃)RX Mapping'!Z59&lt;=600), ('(橫掃)RX Mapping'!Z59-361),IF(AND('(橫掃)RX Mapping'!Z59&gt;=601,'(橫掃)RX Mapping'!Z59&lt;=720), (-1)*('(橫掃)RX Mapping'!Z59-720)+120,IF(AND('(橫掃)RX Mapping'!Z59&gt;=721,'(橫掃)RX Mapping'!Z59&lt;=840), ('(橫掃)RX Mapping'!Z59-601),IF(AND('(橫掃)RX Mapping'!Z59&gt;=841,'(橫掃)RX Mapping'!Z59&lt;=960), (-1)*('(橫掃)RX Mapping'!Z59-960)+120,9999))))))))</f>
        <v>9999</v>
      </c>
      <c r="AA59">
        <f>IF(AND('(橫掃)RX Mapping'!AA59&gt;=1,'(橫掃)RX Mapping'!AA59&lt;=120), ('(橫掃)RX Mapping'!AA59-1),IF(AND('(橫掃)RX Mapping'!AA59&gt;=121,'(橫掃)RX Mapping'!AA59&lt;=240), (-1)*('(橫掃)RX Mapping'!AA59-240),IF(AND('(橫掃)RX Mapping'!AA59&gt;=241,'(橫掃)RX Mapping'!AA59&lt;=360), ('(橫掃)RX Mapping'!AA59-241),IF(AND('(橫掃)RX Mapping'!AA59&gt;=361,'(橫掃)RX Mapping'!AA59&lt;=480), (-1)*('(橫掃)RX Mapping'!AA59-480),IF(AND('(橫掃)RX Mapping'!AA59&gt;=481,'(橫掃)RX Mapping'!AA59&lt;=600), ('(橫掃)RX Mapping'!AA59-361),IF(AND('(橫掃)RX Mapping'!AA59&gt;=601,'(橫掃)RX Mapping'!AA59&lt;=720), (-1)*('(橫掃)RX Mapping'!AA59-720)+120,IF(AND('(橫掃)RX Mapping'!AA59&gt;=721,'(橫掃)RX Mapping'!AA59&lt;=840), ('(橫掃)RX Mapping'!AA59-601),IF(AND('(橫掃)RX Mapping'!AA59&gt;=841,'(橫掃)RX Mapping'!AA59&lt;=960), (-1)*('(橫掃)RX Mapping'!AA59-960)+120,9999))))))))</f>
        <v>9999</v>
      </c>
      <c r="AB59">
        <f>IF(AND('(橫掃)RX Mapping'!AB59&gt;=1,'(橫掃)RX Mapping'!AB59&lt;=120), ('(橫掃)RX Mapping'!AB59-1),IF(AND('(橫掃)RX Mapping'!AB59&gt;=121,'(橫掃)RX Mapping'!AB59&lt;=240), (-1)*('(橫掃)RX Mapping'!AB59-240),IF(AND('(橫掃)RX Mapping'!AB59&gt;=241,'(橫掃)RX Mapping'!AB59&lt;=360), ('(橫掃)RX Mapping'!AB59-241),IF(AND('(橫掃)RX Mapping'!AB59&gt;=361,'(橫掃)RX Mapping'!AB59&lt;=480), (-1)*('(橫掃)RX Mapping'!AB59-480),IF(AND('(橫掃)RX Mapping'!AB59&gt;=481,'(橫掃)RX Mapping'!AB59&lt;=600), ('(橫掃)RX Mapping'!AB59-361),IF(AND('(橫掃)RX Mapping'!AB59&gt;=601,'(橫掃)RX Mapping'!AB59&lt;=720), (-1)*('(橫掃)RX Mapping'!AB59-720)+120,IF(AND('(橫掃)RX Mapping'!AB59&gt;=721,'(橫掃)RX Mapping'!AB59&lt;=840), ('(橫掃)RX Mapping'!AB59-601),IF(AND('(橫掃)RX Mapping'!AB59&gt;=841,'(橫掃)RX Mapping'!AB59&lt;=960), (-1)*('(橫掃)RX Mapping'!AB59-960)+120,9999))))))))</f>
        <v>9999</v>
      </c>
      <c r="AC59">
        <f>IF(AND('(橫掃)RX Mapping'!AC59&gt;=1,'(橫掃)RX Mapping'!AC59&lt;=120), ('(橫掃)RX Mapping'!AC59-1),IF(AND('(橫掃)RX Mapping'!AC59&gt;=121,'(橫掃)RX Mapping'!AC59&lt;=240), (-1)*('(橫掃)RX Mapping'!AC59-240),IF(AND('(橫掃)RX Mapping'!AC59&gt;=241,'(橫掃)RX Mapping'!AC59&lt;=360), ('(橫掃)RX Mapping'!AC59-241),IF(AND('(橫掃)RX Mapping'!AC59&gt;=361,'(橫掃)RX Mapping'!AC59&lt;=480), (-1)*('(橫掃)RX Mapping'!AC59-480),IF(AND('(橫掃)RX Mapping'!AC59&gt;=481,'(橫掃)RX Mapping'!AC59&lt;=600), ('(橫掃)RX Mapping'!AC59-361),IF(AND('(橫掃)RX Mapping'!AC59&gt;=601,'(橫掃)RX Mapping'!AC59&lt;=720), (-1)*('(橫掃)RX Mapping'!AC59-720)+120,IF(AND('(橫掃)RX Mapping'!AC59&gt;=721,'(橫掃)RX Mapping'!AC59&lt;=840), ('(橫掃)RX Mapping'!AC59-601),IF(AND('(橫掃)RX Mapping'!AC59&gt;=841,'(橫掃)RX Mapping'!AC59&lt;=960), (-1)*('(橫掃)RX Mapping'!AC59-960)+120,9999))))))))</f>
        <v>9999</v>
      </c>
      <c r="AD59">
        <f>IF(AND('(橫掃)RX Mapping'!AD59&gt;=1,'(橫掃)RX Mapping'!AD59&lt;=120), ('(橫掃)RX Mapping'!AD59-1),IF(AND('(橫掃)RX Mapping'!AD59&gt;=121,'(橫掃)RX Mapping'!AD59&lt;=240), (-1)*('(橫掃)RX Mapping'!AD59-240),IF(AND('(橫掃)RX Mapping'!AD59&gt;=241,'(橫掃)RX Mapping'!AD59&lt;=360), ('(橫掃)RX Mapping'!AD59-241),IF(AND('(橫掃)RX Mapping'!AD59&gt;=361,'(橫掃)RX Mapping'!AD59&lt;=480), (-1)*('(橫掃)RX Mapping'!AD59-480),IF(AND('(橫掃)RX Mapping'!AD59&gt;=481,'(橫掃)RX Mapping'!AD59&lt;=600), ('(橫掃)RX Mapping'!AD59-361),IF(AND('(橫掃)RX Mapping'!AD59&gt;=601,'(橫掃)RX Mapping'!AD59&lt;=720), (-1)*('(橫掃)RX Mapping'!AD59-720)+120,IF(AND('(橫掃)RX Mapping'!AD59&gt;=721,'(橫掃)RX Mapping'!AD59&lt;=840), ('(橫掃)RX Mapping'!AD59-601),IF(AND('(橫掃)RX Mapping'!AD59&gt;=841,'(橫掃)RX Mapping'!AD59&lt;=960), (-1)*('(橫掃)RX Mapping'!AD59-960)+120,9999))))))))</f>
        <v>9999</v>
      </c>
      <c r="AE59">
        <f>IF(AND('(橫掃)RX Mapping'!AE59&gt;=1,'(橫掃)RX Mapping'!AE59&lt;=120), ('(橫掃)RX Mapping'!AE59-1),IF(AND('(橫掃)RX Mapping'!AE59&gt;=121,'(橫掃)RX Mapping'!AE59&lt;=240), (-1)*('(橫掃)RX Mapping'!AE59-240),IF(AND('(橫掃)RX Mapping'!AE59&gt;=241,'(橫掃)RX Mapping'!AE59&lt;=360), ('(橫掃)RX Mapping'!AE59-241),IF(AND('(橫掃)RX Mapping'!AE59&gt;=361,'(橫掃)RX Mapping'!AE59&lt;=480), (-1)*('(橫掃)RX Mapping'!AE59-480),IF(AND('(橫掃)RX Mapping'!AE59&gt;=481,'(橫掃)RX Mapping'!AE59&lt;=600), ('(橫掃)RX Mapping'!AE59-361),IF(AND('(橫掃)RX Mapping'!AE59&gt;=601,'(橫掃)RX Mapping'!AE59&lt;=720), (-1)*('(橫掃)RX Mapping'!AE59-720)+120,IF(AND('(橫掃)RX Mapping'!AE59&gt;=721,'(橫掃)RX Mapping'!AE59&lt;=840), ('(橫掃)RX Mapping'!AE59-601),IF(AND('(橫掃)RX Mapping'!AE59&gt;=841,'(橫掃)RX Mapping'!AE59&lt;=960), (-1)*('(橫掃)RX Mapping'!AE59-960)+120,9999))))))))</f>
        <v>9999</v>
      </c>
      <c r="AF59">
        <f>IF(AND('(橫掃)RX Mapping'!AF59&gt;=1,'(橫掃)RX Mapping'!AF59&lt;=120), ('(橫掃)RX Mapping'!AF59-1),IF(AND('(橫掃)RX Mapping'!AF59&gt;=121,'(橫掃)RX Mapping'!AF59&lt;=240), (-1)*('(橫掃)RX Mapping'!AF59-240),IF(AND('(橫掃)RX Mapping'!AF59&gt;=241,'(橫掃)RX Mapping'!AF59&lt;=360), ('(橫掃)RX Mapping'!AF59-241),IF(AND('(橫掃)RX Mapping'!AF59&gt;=361,'(橫掃)RX Mapping'!AF59&lt;=480), (-1)*('(橫掃)RX Mapping'!AF59-480),IF(AND('(橫掃)RX Mapping'!AF59&gt;=481,'(橫掃)RX Mapping'!AF59&lt;=600), ('(橫掃)RX Mapping'!AF59-361),IF(AND('(橫掃)RX Mapping'!AF59&gt;=601,'(橫掃)RX Mapping'!AF59&lt;=720), (-1)*('(橫掃)RX Mapping'!AF59-720)+120,IF(AND('(橫掃)RX Mapping'!AF59&gt;=721,'(橫掃)RX Mapping'!AF59&lt;=840), ('(橫掃)RX Mapping'!AF59-601),IF(AND('(橫掃)RX Mapping'!AF59&gt;=841,'(橫掃)RX Mapping'!AF59&lt;=960), (-1)*('(橫掃)RX Mapping'!AF59-960)+120,9999))))))))</f>
        <v>9999</v>
      </c>
      <c r="AG59">
        <f>IF(AND('(橫掃)RX Mapping'!AG59&gt;=1,'(橫掃)RX Mapping'!AG59&lt;=120), ('(橫掃)RX Mapping'!AG59-1),IF(AND('(橫掃)RX Mapping'!AG59&gt;=121,'(橫掃)RX Mapping'!AG59&lt;=240), (-1)*('(橫掃)RX Mapping'!AG59-240),IF(AND('(橫掃)RX Mapping'!AG59&gt;=241,'(橫掃)RX Mapping'!AG59&lt;=360), ('(橫掃)RX Mapping'!AG59-241),IF(AND('(橫掃)RX Mapping'!AG59&gt;=361,'(橫掃)RX Mapping'!AG59&lt;=480), (-1)*('(橫掃)RX Mapping'!AG59-480),IF(AND('(橫掃)RX Mapping'!AG59&gt;=481,'(橫掃)RX Mapping'!AG59&lt;=600), ('(橫掃)RX Mapping'!AG59-361),IF(AND('(橫掃)RX Mapping'!AG59&gt;=601,'(橫掃)RX Mapping'!AG59&lt;=720), (-1)*('(橫掃)RX Mapping'!AG59-720)+120,IF(AND('(橫掃)RX Mapping'!AG59&gt;=721,'(橫掃)RX Mapping'!AG59&lt;=840), ('(橫掃)RX Mapping'!AG59-601),IF(AND('(橫掃)RX Mapping'!AG59&gt;=841,'(橫掃)RX Mapping'!AG59&lt;=960), (-1)*('(橫掃)RX Mapping'!AG59-960)+120,9999))))))))</f>
        <v>9999</v>
      </c>
      <c r="AH59">
        <f>IF(AND('(橫掃)RX Mapping'!AH59&gt;=1,'(橫掃)RX Mapping'!AH59&lt;=120), ('(橫掃)RX Mapping'!AH59-1),IF(AND('(橫掃)RX Mapping'!AH59&gt;=121,'(橫掃)RX Mapping'!AH59&lt;=240), (-1)*('(橫掃)RX Mapping'!AH59-240),IF(AND('(橫掃)RX Mapping'!AH59&gt;=241,'(橫掃)RX Mapping'!AH59&lt;=360), ('(橫掃)RX Mapping'!AH59-241),IF(AND('(橫掃)RX Mapping'!AH59&gt;=361,'(橫掃)RX Mapping'!AH59&lt;=480), (-1)*('(橫掃)RX Mapping'!AH59-480),IF(AND('(橫掃)RX Mapping'!AH59&gt;=481,'(橫掃)RX Mapping'!AH59&lt;=600), ('(橫掃)RX Mapping'!AH59-361),IF(AND('(橫掃)RX Mapping'!AH59&gt;=601,'(橫掃)RX Mapping'!AH59&lt;=720), (-1)*('(橫掃)RX Mapping'!AH59-720)+120,IF(AND('(橫掃)RX Mapping'!AH59&gt;=721,'(橫掃)RX Mapping'!AH59&lt;=840), ('(橫掃)RX Mapping'!AH59-601),IF(AND('(橫掃)RX Mapping'!AH59&gt;=841,'(橫掃)RX Mapping'!AH59&lt;=960), (-1)*('(橫掃)RX Mapping'!AH59-960)+120,9999))))))))</f>
        <v>9999</v>
      </c>
      <c r="AI59">
        <f>IF(AND('(橫掃)RX Mapping'!AI59&gt;=1,'(橫掃)RX Mapping'!AI59&lt;=120), ('(橫掃)RX Mapping'!AI59-1),IF(AND('(橫掃)RX Mapping'!AI59&gt;=121,'(橫掃)RX Mapping'!AI59&lt;=240), (-1)*('(橫掃)RX Mapping'!AI59-240),IF(AND('(橫掃)RX Mapping'!AI59&gt;=241,'(橫掃)RX Mapping'!AI59&lt;=360), ('(橫掃)RX Mapping'!AI59-241),IF(AND('(橫掃)RX Mapping'!AI59&gt;=361,'(橫掃)RX Mapping'!AI59&lt;=480), (-1)*('(橫掃)RX Mapping'!AI59-480),IF(AND('(橫掃)RX Mapping'!AI59&gt;=481,'(橫掃)RX Mapping'!AI59&lt;=600), ('(橫掃)RX Mapping'!AI59-361),IF(AND('(橫掃)RX Mapping'!AI59&gt;=601,'(橫掃)RX Mapping'!AI59&lt;=720), (-1)*('(橫掃)RX Mapping'!AI59-720)+120,IF(AND('(橫掃)RX Mapping'!AI59&gt;=721,'(橫掃)RX Mapping'!AI59&lt;=840), ('(橫掃)RX Mapping'!AI59-601),IF(AND('(橫掃)RX Mapping'!AI59&gt;=841,'(橫掃)RX Mapping'!AI59&lt;=960), (-1)*('(橫掃)RX Mapping'!AI59-960)+120,9999))))))))</f>
        <v>9999</v>
      </c>
      <c r="AJ59">
        <f>IF(AND('(橫掃)RX Mapping'!AJ59&gt;=1,'(橫掃)RX Mapping'!AJ59&lt;=120), ('(橫掃)RX Mapping'!AJ59-1),IF(AND('(橫掃)RX Mapping'!AJ59&gt;=121,'(橫掃)RX Mapping'!AJ59&lt;=240), (-1)*('(橫掃)RX Mapping'!AJ59-240),IF(AND('(橫掃)RX Mapping'!AJ59&gt;=241,'(橫掃)RX Mapping'!AJ59&lt;=360), ('(橫掃)RX Mapping'!AJ59-241),IF(AND('(橫掃)RX Mapping'!AJ59&gt;=361,'(橫掃)RX Mapping'!AJ59&lt;=480), (-1)*('(橫掃)RX Mapping'!AJ59-480),IF(AND('(橫掃)RX Mapping'!AJ59&gt;=481,'(橫掃)RX Mapping'!AJ59&lt;=600), ('(橫掃)RX Mapping'!AJ59-361),IF(AND('(橫掃)RX Mapping'!AJ59&gt;=601,'(橫掃)RX Mapping'!AJ59&lt;=720), (-1)*('(橫掃)RX Mapping'!AJ59-720)+120,IF(AND('(橫掃)RX Mapping'!AJ59&gt;=721,'(橫掃)RX Mapping'!AJ59&lt;=840), ('(橫掃)RX Mapping'!AJ59-601),IF(AND('(橫掃)RX Mapping'!AJ59&gt;=841,'(橫掃)RX Mapping'!AJ59&lt;=960), (-1)*('(橫掃)RX Mapping'!AJ59-960)+120,9999))))))))</f>
        <v>9999</v>
      </c>
      <c r="AK59">
        <f>IF(AND('(橫掃)RX Mapping'!AK59&gt;=1,'(橫掃)RX Mapping'!AK59&lt;=120), ('(橫掃)RX Mapping'!AK59-1),IF(AND('(橫掃)RX Mapping'!AK59&gt;=121,'(橫掃)RX Mapping'!AK59&lt;=240), (-1)*('(橫掃)RX Mapping'!AK59-240),IF(AND('(橫掃)RX Mapping'!AK59&gt;=241,'(橫掃)RX Mapping'!AK59&lt;=360), ('(橫掃)RX Mapping'!AK59-241),IF(AND('(橫掃)RX Mapping'!AK59&gt;=361,'(橫掃)RX Mapping'!AK59&lt;=480), (-1)*('(橫掃)RX Mapping'!AK59-480),IF(AND('(橫掃)RX Mapping'!AK59&gt;=481,'(橫掃)RX Mapping'!AK59&lt;=600), ('(橫掃)RX Mapping'!AK59-361),IF(AND('(橫掃)RX Mapping'!AK59&gt;=601,'(橫掃)RX Mapping'!AK59&lt;=720), (-1)*('(橫掃)RX Mapping'!AK59-720)+120,IF(AND('(橫掃)RX Mapping'!AK59&gt;=721,'(橫掃)RX Mapping'!AK59&lt;=840), ('(橫掃)RX Mapping'!AK59-601),IF(AND('(橫掃)RX Mapping'!AK59&gt;=841,'(橫掃)RX Mapping'!AK59&lt;=960), (-1)*('(橫掃)RX Mapping'!AK59-960)+120,9999))))))))</f>
        <v>9999</v>
      </c>
      <c r="AL59">
        <f>IF(AND('(橫掃)RX Mapping'!AL59&gt;=1,'(橫掃)RX Mapping'!AL59&lt;=120), ('(橫掃)RX Mapping'!AL59-1),IF(AND('(橫掃)RX Mapping'!AL59&gt;=121,'(橫掃)RX Mapping'!AL59&lt;=240), (-1)*('(橫掃)RX Mapping'!AL59-240),IF(AND('(橫掃)RX Mapping'!AL59&gt;=241,'(橫掃)RX Mapping'!AL59&lt;=360), ('(橫掃)RX Mapping'!AL59-241),IF(AND('(橫掃)RX Mapping'!AL59&gt;=361,'(橫掃)RX Mapping'!AL59&lt;=480), (-1)*('(橫掃)RX Mapping'!AL59-480),IF(AND('(橫掃)RX Mapping'!AL59&gt;=481,'(橫掃)RX Mapping'!AL59&lt;=600), ('(橫掃)RX Mapping'!AL59-361),IF(AND('(橫掃)RX Mapping'!AL59&gt;=601,'(橫掃)RX Mapping'!AL59&lt;=720), (-1)*('(橫掃)RX Mapping'!AL59-720)+120,IF(AND('(橫掃)RX Mapping'!AL59&gt;=721,'(橫掃)RX Mapping'!AL59&lt;=840), ('(橫掃)RX Mapping'!AL59-601),IF(AND('(橫掃)RX Mapping'!AL59&gt;=841,'(橫掃)RX Mapping'!AL59&lt;=960), (-1)*('(橫掃)RX Mapping'!AL59-960)+120,9999))))))))</f>
        <v>9999</v>
      </c>
      <c r="AM59">
        <f>IF(AND('(橫掃)RX Mapping'!AM59&gt;=1,'(橫掃)RX Mapping'!AM59&lt;=120), ('(橫掃)RX Mapping'!AM59-1),IF(AND('(橫掃)RX Mapping'!AM59&gt;=121,'(橫掃)RX Mapping'!AM59&lt;=240), (-1)*('(橫掃)RX Mapping'!AM59-240),IF(AND('(橫掃)RX Mapping'!AM59&gt;=241,'(橫掃)RX Mapping'!AM59&lt;=360), ('(橫掃)RX Mapping'!AM59-241),IF(AND('(橫掃)RX Mapping'!AM59&gt;=361,'(橫掃)RX Mapping'!AM59&lt;=480), (-1)*('(橫掃)RX Mapping'!AM59-480),IF(AND('(橫掃)RX Mapping'!AM59&gt;=481,'(橫掃)RX Mapping'!AM59&lt;=600), ('(橫掃)RX Mapping'!AM59-361),IF(AND('(橫掃)RX Mapping'!AM59&gt;=601,'(橫掃)RX Mapping'!AM59&lt;=720), (-1)*('(橫掃)RX Mapping'!AM59-720)+120,IF(AND('(橫掃)RX Mapping'!AM59&gt;=721,'(橫掃)RX Mapping'!AM59&lt;=840), ('(橫掃)RX Mapping'!AM59-601),IF(AND('(橫掃)RX Mapping'!AM59&gt;=841,'(橫掃)RX Mapping'!AM59&lt;=960), (-1)*('(橫掃)RX Mapping'!AM59-960)+120,9999))))))))</f>
        <v>9999</v>
      </c>
      <c r="AN59">
        <f>IF(AND('(橫掃)RX Mapping'!AN59&gt;=1,'(橫掃)RX Mapping'!AN59&lt;=120), ('(橫掃)RX Mapping'!AN59-1),IF(AND('(橫掃)RX Mapping'!AN59&gt;=121,'(橫掃)RX Mapping'!AN59&lt;=240), (-1)*('(橫掃)RX Mapping'!AN59-240),IF(AND('(橫掃)RX Mapping'!AN59&gt;=241,'(橫掃)RX Mapping'!AN59&lt;=360), ('(橫掃)RX Mapping'!AN59-241),IF(AND('(橫掃)RX Mapping'!AN59&gt;=361,'(橫掃)RX Mapping'!AN59&lt;=480), (-1)*('(橫掃)RX Mapping'!AN59-480),IF(AND('(橫掃)RX Mapping'!AN59&gt;=481,'(橫掃)RX Mapping'!AN59&lt;=600), ('(橫掃)RX Mapping'!AN59-361),IF(AND('(橫掃)RX Mapping'!AN59&gt;=601,'(橫掃)RX Mapping'!AN59&lt;=720), (-1)*('(橫掃)RX Mapping'!AN59-720)+120,IF(AND('(橫掃)RX Mapping'!AN59&gt;=721,'(橫掃)RX Mapping'!AN59&lt;=840), ('(橫掃)RX Mapping'!AN59-601),IF(AND('(橫掃)RX Mapping'!AN59&gt;=841,'(橫掃)RX Mapping'!AN59&lt;=960), (-1)*('(橫掃)RX Mapping'!AN59-960)+120,9999))))))))</f>
        <v>9999</v>
      </c>
      <c r="AO59">
        <f>IF(AND('(橫掃)RX Mapping'!AO59&gt;=1,'(橫掃)RX Mapping'!AO59&lt;=120), ('(橫掃)RX Mapping'!AO59-1),IF(AND('(橫掃)RX Mapping'!AO59&gt;=121,'(橫掃)RX Mapping'!AO59&lt;=240), (-1)*('(橫掃)RX Mapping'!AO59-240),IF(AND('(橫掃)RX Mapping'!AO59&gt;=241,'(橫掃)RX Mapping'!AO59&lt;=360), ('(橫掃)RX Mapping'!AO59-241),IF(AND('(橫掃)RX Mapping'!AO59&gt;=361,'(橫掃)RX Mapping'!AO59&lt;=480), (-1)*('(橫掃)RX Mapping'!AO59-480),IF(AND('(橫掃)RX Mapping'!AO59&gt;=481,'(橫掃)RX Mapping'!AO59&lt;=600), ('(橫掃)RX Mapping'!AO59-361),IF(AND('(橫掃)RX Mapping'!AO59&gt;=601,'(橫掃)RX Mapping'!AO59&lt;=720), (-1)*('(橫掃)RX Mapping'!AO59-720)+120,IF(AND('(橫掃)RX Mapping'!AO59&gt;=721,'(橫掃)RX Mapping'!AO59&lt;=840), ('(橫掃)RX Mapping'!AO59-601),IF(AND('(橫掃)RX Mapping'!AO59&gt;=841,'(橫掃)RX Mapping'!AO59&lt;=960), (-1)*('(橫掃)RX Mapping'!AO59-960)+120,9999))))))))</f>
        <v>9999</v>
      </c>
      <c r="AP59">
        <f>IF(AND('(橫掃)RX Mapping'!AP59&gt;=1,'(橫掃)RX Mapping'!AP59&lt;=120), ('(橫掃)RX Mapping'!AP59-1),IF(AND('(橫掃)RX Mapping'!AP59&gt;=121,'(橫掃)RX Mapping'!AP59&lt;=240), (-1)*('(橫掃)RX Mapping'!AP59-240),IF(AND('(橫掃)RX Mapping'!AP59&gt;=241,'(橫掃)RX Mapping'!AP59&lt;=360), ('(橫掃)RX Mapping'!AP59-241),IF(AND('(橫掃)RX Mapping'!AP59&gt;=361,'(橫掃)RX Mapping'!AP59&lt;=480), (-1)*('(橫掃)RX Mapping'!AP59-480),IF(AND('(橫掃)RX Mapping'!AP59&gt;=481,'(橫掃)RX Mapping'!AP59&lt;=600), ('(橫掃)RX Mapping'!AP59-361),IF(AND('(橫掃)RX Mapping'!AP59&gt;=601,'(橫掃)RX Mapping'!AP59&lt;=720), (-1)*('(橫掃)RX Mapping'!AP59-720)+120,IF(AND('(橫掃)RX Mapping'!AP59&gt;=721,'(橫掃)RX Mapping'!AP59&lt;=840), ('(橫掃)RX Mapping'!AP59-601),IF(AND('(橫掃)RX Mapping'!AP59&gt;=841,'(橫掃)RX Mapping'!AP59&lt;=960), (-1)*('(橫掃)RX Mapping'!AP59-960)+120,9999))))))))</f>
        <v>9999</v>
      </c>
      <c r="AQ59">
        <f>IF(AND('(橫掃)RX Mapping'!AQ59&gt;=1,'(橫掃)RX Mapping'!AQ59&lt;=120), ('(橫掃)RX Mapping'!AQ59-1),IF(AND('(橫掃)RX Mapping'!AQ59&gt;=121,'(橫掃)RX Mapping'!AQ59&lt;=240), (-1)*('(橫掃)RX Mapping'!AQ59-240),IF(AND('(橫掃)RX Mapping'!AQ59&gt;=241,'(橫掃)RX Mapping'!AQ59&lt;=360), ('(橫掃)RX Mapping'!AQ59-241),IF(AND('(橫掃)RX Mapping'!AQ59&gt;=361,'(橫掃)RX Mapping'!AQ59&lt;=480), (-1)*('(橫掃)RX Mapping'!AQ59-480),IF(AND('(橫掃)RX Mapping'!AQ59&gt;=481,'(橫掃)RX Mapping'!AQ59&lt;=600), ('(橫掃)RX Mapping'!AQ59-361),IF(AND('(橫掃)RX Mapping'!AQ59&gt;=601,'(橫掃)RX Mapping'!AQ59&lt;=720), (-1)*('(橫掃)RX Mapping'!AQ59-720)+120,IF(AND('(橫掃)RX Mapping'!AQ59&gt;=721,'(橫掃)RX Mapping'!AQ59&lt;=840), ('(橫掃)RX Mapping'!AQ59-601),IF(AND('(橫掃)RX Mapping'!AQ59&gt;=841,'(橫掃)RX Mapping'!AQ59&lt;=960), (-1)*('(橫掃)RX Mapping'!AQ59-960)+120,9999))))))))</f>
        <v>9999</v>
      </c>
      <c r="AR59">
        <f>IF(AND('(橫掃)RX Mapping'!AR59&gt;=1,'(橫掃)RX Mapping'!AR59&lt;=120), ('(橫掃)RX Mapping'!AR59-1),IF(AND('(橫掃)RX Mapping'!AR59&gt;=121,'(橫掃)RX Mapping'!AR59&lt;=240), (-1)*('(橫掃)RX Mapping'!AR59-240),IF(AND('(橫掃)RX Mapping'!AR59&gt;=241,'(橫掃)RX Mapping'!AR59&lt;=360), ('(橫掃)RX Mapping'!AR59-241),IF(AND('(橫掃)RX Mapping'!AR59&gt;=361,'(橫掃)RX Mapping'!AR59&lt;=480), (-1)*('(橫掃)RX Mapping'!AR59-480),IF(AND('(橫掃)RX Mapping'!AR59&gt;=481,'(橫掃)RX Mapping'!AR59&lt;=600), ('(橫掃)RX Mapping'!AR59-361),IF(AND('(橫掃)RX Mapping'!AR59&gt;=601,'(橫掃)RX Mapping'!AR59&lt;=720), (-1)*('(橫掃)RX Mapping'!AR59-720)+120,IF(AND('(橫掃)RX Mapping'!AR59&gt;=721,'(橫掃)RX Mapping'!AR59&lt;=840), ('(橫掃)RX Mapping'!AR59-601),IF(AND('(橫掃)RX Mapping'!AR59&gt;=841,'(橫掃)RX Mapping'!AR59&lt;=960), (-1)*('(橫掃)RX Mapping'!AR59-960)+120,9999))))))))</f>
        <v>9999</v>
      </c>
      <c r="AS59">
        <f>IF(AND('(橫掃)RX Mapping'!AS59&gt;=1,'(橫掃)RX Mapping'!AS59&lt;=120), ('(橫掃)RX Mapping'!AS59-1),IF(AND('(橫掃)RX Mapping'!AS59&gt;=121,'(橫掃)RX Mapping'!AS59&lt;=240), (-1)*('(橫掃)RX Mapping'!AS59-240),IF(AND('(橫掃)RX Mapping'!AS59&gt;=241,'(橫掃)RX Mapping'!AS59&lt;=360), ('(橫掃)RX Mapping'!AS59-241),IF(AND('(橫掃)RX Mapping'!AS59&gt;=361,'(橫掃)RX Mapping'!AS59&lt;=480), (-1)*('(橫掃)RX Mapping'!AS59-480),IF(AND('(橫掃)RX Mapping'!AS59&gt;=481,'(橫掃)RX Mapping'!AS59&lt;=600), ('(橫掃)RX Mapping'!AS59-361),IF(AND('(橫掃)RX Mapping'!AS59&gt;=601,'(橫掃)RX Mapping'!AS59&lt;=720), (-1)*('(橫掃)RX Mapping'!AS59-720)+120,IF(AND('(橫掃)RX Mapping'!AS59&gt;=721,'(橫掃)RX Mapping'!AS59&lt;=840), ('(橫掃)RX Mapping'!AS59-601),IF(AND('(橫掃)RX Mapping'!AS59&gt;=841,'(橫掃)RX Mapping'!AS59&lt;=960), (-1)*('(橫掃)RX Mapping'!AS59-960)+120,9999))))))))</f>
        <v>9999</v>
      </c>
      <c r="AT59">
        <f>IF(AND('(橫掃)RX Mapping'!AT59&gt;=1,'(橫掃)RX Mapping'!AT59&lt;=120), ('(橫掃)RX Mapping'!AT59-1),IF(AND('(橫掃)RX Mapping'!AT59&gt;=121,'(橫掃)RX Mapping'!AT59&lt;=240), (-1)*('(橫掃)RX Mapping'!AT59-240),IF(AND('(橫掃)RX Mapping'!AT59&gt;=241,'(橫掃)RX Mapping'!AT59&lt;=360), ('(橫掃)RX Mapping'!AT59-241),IF(AND('(橫掃)RX Mapping'!AT59&gt;=361,'(橫掃)RX Mapping'!AT59&lt;=480), (-1)*('(橫掃)RX Mapping'!AT59-480),IF(AND('(橫掃)RX Mapping'!AT59&gt;=481,'(橫掃)RX Mapping'!AT59&lt;=600), ('(橫掃)RX Mapping'!AT59-361),IF(AND('(橫掃)RX Mapping'!AT59&gt;=601,'(橫掃)RX Mapping'!AT59&lt;=720), (-1)*('(橫掃)RX Mapping'!AT59-720)+120,IF(AND('(橫掃)RX Mapping'!AT59&gt;=721,'(橫掃)RX Mapping'!AT59&lt;=840), ('(橫掃)RX Mapping'!AT59-601),IF(AND('(橫掃)RX Mapping'!AT59&gt;=841,'(橫掃)RX Mapping'!AT59&lt;=960), (-1)*('(橫掃)RX Mapping'!AT59-960)+120,9999))))))))</f>
        <v>9999</v>
      </c>
      <c r="AU59">
        <f>IF(AND('(橫掃)RX Mapping'!AU59&gt;=1,'(橫掃)RX Mapping'!AU59&lt;=120), ('(橫掃)RX Mapping'!AU59-1),IF(AND('(橫掃)RX Mapping'!AU59&gt;=121,'(橫掃)RX Mapping'!AU59&lt;=240), (-1)*('(橫掃)RX Mapping'!AU59-240),IF(AND('(橫掃)RX Mapping'!AU59&gt;=241,'(橫掃)RX Mapping'!AU59&lt;=360), ('(橫掃)RX Mapping'!AU59-241),IF(AND('(橫掃)RX Mapping'!AU59&gt;=361,'(橫掃)RX Mapping'!AU59&lt;=480), (-1)*('(橫掃)RX Mapping'!AU59-480),IF(AND('(橫掃)RX Mapping'!AU59&gt;=481,'(橫掃)RX Mapping'!AU59&lt;=600), ('(橫掃)RX Mapping'!AU59-361),IF(AND('(橫掃)RX Mapping'!AU59&gt;=601,'(橫掃)RX Mapping'!AU59&lt;=720), (-1)*('(橫掃)RX Mapping'!AU59-720)+120,IF(AND('(橫掃)RX Mapping'!AU59&gt;=721,'(橫掃)RX Mapping'!AU59&lt;=840), ('(橫掃)RX Mapping'!AU59-601),IF(AND('(橫掃)RX Mapping'!AU59&gt;=841,'(橫掃)RX Mapping'!AU59&lt;=960), (-1)*('(橫掃)RX Mapping'!AU59-960)+120,9999))))))))</f>
        <v>9999</v>
      </c>
      <c r="AV59">
        <f>IF(AND('(橫掃)RX Mapping'!AV59&gt;=1,'(橫掃)RX Mapping'!AV59&lt;=120), ('(橫掃)RX Mapping'!AV59-1),IF(AND('(橫掃)RX Mapping'!AV59&gt;=121,'(橫掃)RX Mapping'!AV59&lt;=240), (-1)*('(橫掃)RX Mapping'!AV59-240),IF(AND('(橫掃)RX Mapping'!AV59&gt;=241,'(橫掃)RX Mapping'!AV59&lt;=360), ('(橫掃)RX Mapping'!AV59-241),IF(AND('(橫掃)RX Mapping'!AV59&gt;=361,'(橫掃)RX Mapping'!AV59&lt;=480), (-1)*('(橫掃)RX Mapping'!AV59-480),IF(AND('(橫掃)RX Mapping'!AV59&gt;=481,'(橫掃)RX Mapping'!AV59&lt;=600), ('(橫掃)RX Mapping'!AV59-361),IF(AND('(橫掃)RX Mapping'!AV59&gt;=601,'(橫掃)RX Mapping'!AV59&lt;=720), (-1)*('(橫掃)RX Mapping'!AV59-720)+120,IF(AND('(橫掃)RX Mapping'!AV59&gt;=721,'(橫掃)RX Mapping'!AV59&lt;=840), ('(橫掃)RX Mapping'!AV59-601),IF(AND('(橫掃)RX Mapping'!AV59&gt;=841,'(橫掃)RX Mapping'!AV59&lt;=960), (-1)*('(橫掃)RX Mapping'!AV59-960)+120,9999))))))))</f>
        <v>9999</v>
      </c>
      <c r="AW59">
        <f>IF(AND('(橫掃)RX Mapping'!AW59&gt;=1,'(橫掃)RX Mapping'!AW59&lt;=120), ('(橫掃)RX Mapping'!AW59-1),IF(AND('(橫掃)RX Mapping'!AW59&gt;=121,'(橫掃)RX Mapping'!AW59&lt;=240), (-1)*('(橫掃)RX Mapping'!AW59-240),IF(AND('(橫掃)RX Mapping'!AW59&gt;=241,'(橫掃)RX Mapping'!AW59&lt;=360), ('(橫掃)RX Mapping'!AW59-241),IF(AND('(橫掃)RX Mapping'!AW59&gt;=361,'(橫掃)RX Mapping'!AW59&lt;=480), (-1)*('(橫掃)RX Mapping'!AW59-480),IF(AND('(橫掃)RX Mapping'!AW59&gt;=481,'(橫掃)RX Mapping'!AW59&lt;=600), ('(橫掃)RX Mapping'!AW59-361),IF(AND('(橫掃)RX Mapping'!AW59&gt;=601,'(橫掃)RX Mapping'!AW59&lt;=720), (-1)*('(橫掃)RX Mapping'!AW59-720)+120,IF(AND('(橫掃)RX Mapping'!AW59&gt;=721,'(橫掃)RX Mapping'!AW59&lt;=840), ('(橫掃)RX Mapping'!AW59-601),IF(AND('(橫掃)RX Mapping'!AW59&gt;=841,'(橫掃)RX Mapping'!AW59&lt;=960), (-1)*('(橫掃)RX Mapping'!AW59-960)+120,9999))))))))</f>
        <v>9999</v>
      </c>
      <c r="AX59">
        <f>IF(AND('(橫掃)RX Mapping'!AX59&gt;=1,'(橫掃)RX Mapping'!AX59&lt;=120), ('(橫掃)RX Mapping'!AX59-1),IF(AND('(橫掃)RX Mapping'!AX59&gt;=121,'(橫掃)RX Mapping'!AX59&lt;=240), (-1)*('(橫掃)RX Mapping'!AX59-240),IF(AND('(橫掃)RX Mapping'!AX59&gt;=241,'(橫掃)RX Mapping'!AX59&lt;=360), ('(橫掃)RX Mapping'!AX59-241),IF(AND('(橫掃)RX Mapping'!AX59&gt;=361,'(橫掃)RX Mapping'!AX59&lt;=480), (-1)*('(橫掃)RX Mapping'!AX59-480),IF(AND('(橫掃)RX Mapping'!AX59&gt;=481,'(橫掃)RX Mapping'!AX59&lt;=600), ('(橫掃)RX Mapping'!AX59-361),IF(AND('(橫掃)RX Mapping'!AX59&gt;=601,'(橫掃)RX Mapping'!AX59&lt;=720), (-1)*('(橫掃)RX Mapping'!AX59-720)+120,IF(AND('(橫掃)RX Mapping'!AX59&gt;=721,'(橫掃)RX Mapping'!AX59&lt;=840), ('(橫掃)RX Mapping'!AX59-601),IF(AND('(橫掃)RX Mapping'!AX59&gt;=841,'(橫掃)RX Mapping'!AX59&lt;=960), (-1)*('(橫掃)RX Mapping'!AX59-960)+120,9999))))))))</f>
        <v>9999</v>
      </c>
      <c r="AY59">
        <f>IF(AND('(橫掃)RX Mapping'!AY59&gt;=1,'(橫掃)RX Mapping'!AY59&lt;=120), ('(橫掃)RX Mapping'!AY59-1),IF(AND('(橫掃)RX Mapping'!AY59&gt;=121,'(橫掃)RX Mapping'!AY59&lt;=240), (-1)*('(橫掃)RX Mapping'!AY59-240),IF(AND('(橫掃)RX Mapping'!AY59&gt;=241,'(橫掃)RX Mapping'!AY59&lt;=360), ('(橫掃)RX Mapping'!AY59-241),IF(AND('(橫掃)RX Mapping'!AY59&gt;=361,'(橫掃)RX Mapping'!AY59&lt;=480), (-1)*('(橫掃)RX Mapping'!AY59-480),IF(AND('(橫掃)RX Mapping'!AY59&gt;=481,'(橫掃)RX Mapping'!AY59&lt;=600), ('(橫掃)RX Mapping'!AY59-361),IF(AND('(橫掃)RX Mapping'!AY59&gt;=601,'(橫掃)RX Mapping'!AY59&lt;=720), (-1)*('(橫掃)RX Mapping'!AY59-720)+120,IF(AND('(橫掃)RX Mapping'!AY59&gt;=721,'(橫掃)RX Mapping'!AY59&lt;=840), ('(橫掃)RX Mapping'!AY59-601),IF(AND('(橫掃)RX Mapping'!AY59&gt;=841,'(橫掃)RX Mapping'!AY59&lt;=960), (-1)*('(橫掃)RX Mapping'!AY59-960)+120,9999))))))))</f>
        <v>9999</v>
      </c>
      <c r="AZ59">
        <f>IF(AND('(橫掃)RX Mapping'!AZ59&gt;=1,'(橫掃)RX Mapping'!AZ59&lt;=120), ('(橫掃)RX Mapping'!AZ59-1),IF(AND('(橫掃)RX Mapping'!AZ59&gt;=121,'(橫掃)RX Mapping'!AZ59&lt;=240), (-1)*('(橫掃)RX Mapping'!AZ59-240),IF(AND('(橫掃)RX Mapping'!AZ59&gt;=241,'(橫掃)RX Mapping'!AZ59&lt;=360), ('(橫掃)RX Mapping'!AZ59-241),IF(AND('(橫掃)RX Mapping'!AZ59&gt;=361,'(橫掃)RX Mapping'!AZ59&lt;=480), (-1)*('(橫掃)RX Mapping'!AZ59-480),IF(AND('(橫掃)RX Mapping'!AZ59&gt;=481,'(橫掃)RX Mapping'!AZ59&lt;=600), ('(橫掃)RX Mapping'!AZ59-361),IF(AND('(橫掃)RX Mapping'!AZ59&gt;=601,'(橫掃)RX Mapping'!AZ59&lt;=720), (-1)*('(橫掃)RX Mapping'!AZ59-720)+120,IF(AND('(橫掃)RX Mapping'!AZ59&gt;=721,'(橫掃)RX Mapping'!AZ59&lt;=840), ('(橫掃)RX Mapping'!AZ59-601),IF(AND('(橫掃)RX Mapping'!AZ59&gt;=841,'(橫掃)RX Mapping'!AZ59&lt;=960), (-1)*('(橫掃)RX Mapping'!AZ59-960)+120,9999))))))))</f>
        <v>9999</v>
      </c>
      <c r="BA59">
        <f>IF(AND('(橫掃)RX Mapping'!BA59&gt;=1,'(橫掃)RX Mapping'!BA59&lt;=120), ('(橫掃)RX Mapping'!BA59-1),IF(AND('(橫掃)RX Mapping'!BA59&gt;=121,'(橫掃)RX Mapping'!BA59&lt;=240), (-1)*('(橫掃)RX Mapping'!BA59-240),IF(AND('(橫掃)RX Mapping'!BA59&gt;=241,'(橫掃)RX Mapping'!BA59&lt;=360), ('(橫掃)RX Mapping'!BA59-241),IF(AND('(橫掃)RX Mapping'!BA59&gt;=361,'(橫掃)RX Mapping'!BA59&lt;=480), (-1)*('(橫掃)RX Mapping'!BA59-480),IF(AND('(橫掃)RX Mapping'!BA59&gt;=481,'(橫掃)RX Mapping'!BA59&lt;=600), ('(橫掃)RX Mapping'!BA59-361),IF(AND('(橫掃)RX Mapping'!BA59&gt;=601,'(橫掃)RX Mapping'!BA59&lt;=720), (-1)*('(橫掃)RX Mapping'!BA59-720)+120,IF(AND('(橫掃)RX Mapping'!BA59&gt;=721,'(橫掃)RX Mapping'!BA59&lt;=840), ('(橫掃)RX Mapping'!BA59-601),IF(AND('(橫掃)RX Mapping'!BA59&gt;=841,'(橫掃)RX Mapping'!BA59&lt;=960), (-1)*('(橫掃)RX Mapping'!BA59-960)+120,9999))))))))</f>
        <v>9999</v>
      </c>
      <c r="BB59">
        <f>IF(AND('(橫掃)RX Mapping'!BB59&gt;=1,'(橫掃)RX Mapping'!BB59&lt;=120), ('(橫掃)RX Mapping'!BB59-1),IF(AND('(橫掃)RX Mapping'!BB59&gt;=121,'(橫掃)RX Mapping'!BB59&lt;=240), (-1)*('(橫掃)RX Mapping'!BB59-240),IF(AND('(橫掃)RX Mapping'!BB59&gt;=241,'(橫掃)RX Mapping'!BB59&lt;=360), ('(橫掃)RX Mapping'!BB59-241),IF(AND('(橫掃)RX Mapping'!BB59&gt;=361,'(橫掃)RX Mapping'!BB59&lt;=480), (-1)*('(橫掃)RX Mapping'!BB59-480),IF(AND('(橫掃)RX Mapping'!BB59&gt;=481,'(橫掃)RX Mapping'!BB59&lt;=600), ('(橫掃)RX Mapping'!BB59-361),IF(AND('(橫掃)RX Mapping'!BB59&gt;=601,'(橫掃)RX Mapping'!BB59&lt;=720), (-1)*('(橫掃)RX Mapping'!BB59-720)+120,IF(AND('(橫掃)RX Mapping'!BB59&gt;=721,'(橫掃)RX Mapping'!BB59&lt;=840), ('(橫掃)RX Mapping'!BB59-601),IF(AND('(橫掃)RX Mapping'!BB59&gt;=841,'(橫掃)RX Mapping'!BB59&lt;=960), (-1)*('(橫掃)RX Mapping'!BB59-960)+120,9999))))))))</f>
        <v>9999</v>
      </c>
      <c r="BC59">
        <f>IF(AND('(橫掃)RX Mapping'!BC59&gt;=1,'(橫掃)RX Mapping'!BC59&lt;=120), ('(橫掃)RX Mapping'!BC59-1),IF(AND('(橫掃)RX Mapping'!BC59&gt;=121,'(橫掃)RX Mapping'!BC59&lt;=240), (-1)*('(橫掃)RX Mapping'!BC59-240),IF(AND('(橫掃)RX Mapping'!BC59&gt;=241,'(橫掃)RX Mapping'!BC59&lt;=360), ('(橫掃)RX Mapping'!BC59-241),IF(AND('(橫掃)RX Mapping'!BC59&gt;=361,'(橫掃)RX Mapping'!BC59&lt;=480), (-1)*('(橫掃)RX Mapping'!BC59-480),IF(AND('(橫掃)RX Mapping'!BC59&gt;=481,'(橫掃)RX Mapping'!BC59&lt;=600), ('(橫掃)RX Mapping'!BC59-361),IF(AND('(橫掃)RX Mapping'!BC59&gt;=601,'(橫掃)RX Mapping'!BC59&lt;=720), (-1)*('(橫掃)RX Mapping'!BC59-720)+120,IF(AND('(橫掃)RX Mapping'!BC59&gt;=721,'(橫掃)RX Mapping'!BC59&lt;=840), ('(橫掃)RX Mapping'!BC59-601),IF(AND('(橫掃)RX Mapping'!BC59&gt;=841,'(橫掃)RX Mapping'!BC59&lt;=960), (-1)*('(橫掃)RX Mapping'!BC59-960)+120,9999))))))))</f>
        <v>9999</v>
      </c>
      <c r="BD59">
        <f>IF(AND('(橫掃)RX Mapping'!BD59&gt;=1,'(橫掃)RX Mapping'!BD59&lt;=120), ('(橫掃)RX Mapping'!BD59-1),IF(AND('(橫掃)RX Mapping'!BD59&gt;=121,'(橫掃)RX Mapping'!BD59&lt;=240), (-1)*('(橫掃)RX Mapping'!BD59-240),IF(AND('(橫掃)RX Mapping'!BD59&gt;=241,'(橫掃)RX Mapping'!BD59&lt;=360), ('(橫掃)RX Mapping'!BD59-241),IF(AND('(橫掃)RX Mapping'!BD59&gt;=361,'(橫掃)RX Mapping'!BD59&lt;=480), (-1)*('(橫掃)RX Mapping'!BD59-480),IF(AND('(橫掃)RX Mapping'!BD59&gt;=481,'(橫掃)RX Mapping'!BD59&lt;=600), ('(橫掃)RX Mapping'!BD59-361),IF(AND('(橫掃)RX Mapping'!BD59&gt;=601,'(橫掃)RX Mapping'!BD59&lt;=720), (-1)*('(橫掃)RX Mapping'!BD59-720)+120,IF(AND('(橫掃)RX Mapping'!BD59&gt;=721,'(橫掃)RX Mapping'!BD59&lt;=840), ('(橫掃)RX Mapping'!BD59-601),IF(AND('(橫掃)RX Mapping'!BD59&gt;=841,'(橫掃)RX Mapping'!BD59&lt;=960), (-1)*('(橫掃)RX Mapping'!BD59-960)+120,9999))))))))</f>
        <v>9999</v>
      </c>
      <c r="BE59">
        <f>IF(AND('(橫掃)RX Mapping'!BE59&gt;=1,'(橫掃)RX Mapping'!BE59&lt;=120), ('(橫掃)RX Mapping'!BE59-1),IF(AND('(橫掃)RX Mapping'!BE59&gt;=121,'(橫掃)RX Mapping'!BE59&lt;=240), (-1)*('(橫掃)RX Mapping'!BE59-240),IF(AND('(橫掃)RX Mapping'!BE59&gt;=241,'(橫掃)RX Mapping'!BE59&lt;=360), ('(橫掃)RX Mapping'!BE59-241),IF(AND('(橫掃)RX Mapping'!BE59&gt;=361,'(橫掃)RX Mapping'!BE59&lt;=480), (-1)*('(橫掃)RX Mapping'!BE59-480),IF(AND('(橫掃)RX Mapping'!BE59&gt;=481,'(橫掃)RX Mapping'!BE59&lt;=600), ('(橫掃)RX Mapping'!BE59-361),IF(AND('(橫掃)RX Mapping'!BE59&gt;=601,'(橫掃)RX Mapping'!BE59&lt;=720), (-1)*('(橫掃)RX Mapping'!BE59-720)+120,IF(AND('(橫掃)RX Mapping'!BE59&gt;=721,'(橫掃)RX Mapping'!BE59&lt;=840), ('(橫掃)RX Mapping'!BE59-601),IF(AND('(橫掃)RX Mapping'!BE59&gt;=841,'(橫掃)RX Mapping'!BE59&lt;=960), (-1)*('(橫掃)RX Mapping'!BE59-960)+120,9999))))))))</f>
        <v>9999</v>
      </c>
      <c r="BF59">
        <f>IF(AND('(橫掃)RX Mapping'!BF59&gt;=1,'(橫掃)RX Mapping'!BF59&lt;=120), ('(橫掃)RX Mapping'!BF59-1),IF(AND('(橫掃)RX Mapping'!BF59&gt;=121,'(橫掃)RX Mapping'!BF59&lt;=240), (-1)*('(橫掃)RX Mapping'!BF59-240),IF(AND('(橫掃)RX Mapping'!BF59&gt;=241,'(橫掃)RX Mapping'!BF59&lt;=360), ('(橫掃)RX Mapping'!BF59-241),IF(AND('(橫掃)RX Mapping'!BF59&gt;=361,'(橫掃)RX Mapping'!BF59&lt;=480), (-1)*('(橫掃)RX Mapping'!BF59-480),IF(AND('(橫掃)RX Mapping'!BF59&gt;=481,'(橫掃)RX Mapping'!BF59&lt;=600), ('(橫掃)RX Mapping'!BF59-361),IF(AND('(橫掃)RX Mapping'!BF59&gt;=601,'(橫掃)RX Mapping'!BF59&lt;=720), (-1)*('(橫掃)RX Mapping'!BF59-720)+120,IF(AND('(橫掃)RX Mapping'!BF59&gt;=721,'(橫掃)RX Mapping'!BF59&lt;=840), ('(橫掃)RX Mapping'!BF59-601),IF(AND('(橫掃)RX Mapping'!BF59&gt;=841,'(橫掃)RX Mapping'!BF59&lt;=960), (-1)*('(橫掃)RX Mapping'!BF59-960)+120,9999))))))))</f>
        <v>9999</v>
      </c>
      <c r="BG59">
        <f>IF(AND('(橫掃)RX Mapping'!BG59&gt;=1,'(橫掃)RX Mapping'!BG59&lt;=120), ('(橫掃)RX Mapping'!BG59-1),IF(AND('(橫掃)RX Mapping'!BG59&gt;=121,'(橫掃)RX Mapping'!BG59&lt;=240), (-1)*('(橫掃)RX Mapping'!BG59-240),IF(AND('(橫掃)RX Mapping'!BG59&gt;=241,'(橫掃)RX Mapping'!BG59&lt;=360), ('(橫掃)RX Mapping'!BG59-241),IF(AND('(橫掃)RX Mapping'!BG59&gt;=361,'(橫掃)RX Mapping'!BG59&lt;=480), (-1)*('(橫掃)RX Mapping'!BG59-480),IF(AND('(橫掃)RX Mapping'!BG59&gt;=481,'(橫掃)RX Mapping'!BG59&lt;=600), ('(橫掃)RX Mapping'!BG59-361),IF(AND('(橫掃)RX Mapping'!BG59&gt;=601,'(橫掃)RX Mapping'!BG59&lt;=720), (-1)*('(橫掃)RX Mapping'!BG59-720)+120,IF(AND('(橫掃)RX Mapping'!BG59&gt;=721,'(橫掃)RX Mapping'!BG59&lt;=840), ('(橫掃)RX Mapping'!BG59-601),IF(AND('(橫掃)RX Mapping'!BG59&gt;=841,'(橫掃)RX Mapping'!BG59&lt;=960), (-1)*('(橫掃)RX Mapping'!BG59-960)+120,9999))))))))</f>
        <v>9999</v>
      </c>
      <c r="BH59">
        <f>IF(AND('(橫掃)RX Mapping'!BH59&gt;=1,'(橫掃)RX Mapping'!BH59&lt;=120), ('(橫掃)RX Mapping'!BH59-1),IF(AND('(橫掃)RX Mapping'!BH59&gt;=121,'(橫掃)RX Mapping'!BH59&lt;=240), (-1)*('(橫掃)RX Mapping'!BH59-240),IF(AND('(橫掃)RX Mapping'!BH59&gt;=241,'(橫掃)RX Mapping'!BH59&lt;=360), ('(橫掃)RX Mapping'!BH59-241),IF(AND('(橫掃)RX Mapping'!BH59&gt;=361,'(橫掃)RX Mapping'!BH59&lt;=480), (-1)*('(橫掃)RX Mapping'!BH59-480),IF(AND('(橫掃)RX Mapping'!BH59&gt;=481,'(橫掃)RX Mapping'!BH59&lt;=600), ('(橫掃)RX Mapping'!BH59-361),IF(AND('(橫掃)RX Mapping'!BH59&gt;=601,'(橫掃)RX Mapping'!BH59&lt;=720), (-1)*('(橫掃)RX Mapping'!BH59-720)+120,IF(AND('(橫掃)RX Mapping'!BH59&gt;=721,'(橫掃)RX Mapping'!BH59&lt;=840), ('(橫掃)RX Mapping'!BH59-601),IF(AND('(橫掃)RX Mapping'!BH59&gt;=841,'(橫掃)RX Mapping'!BH59&lt;=960), (-1)*('(橫掃)RX Mapping'!BH59-960)+120,9999))))))))</f>
        <v>9999</v>
      </c>
      <c r="BI59">
        <f>IF(AND('(橫掃)RX Mapping'!BI59&gt;=1,'(橫掃)RX Mapping'!BI59&lt;=120), ('(橫掃)RX Mapping'!BI59-1),IF(AND('(橫掃)RX Mapping'!BI59&gt;=121,'(橫掃)RX Mapping'!BI59&lt;=240), (-1)*('(橫掃)RX Mapping'!BI59-240),IF(AND('(橫掃)RX Mapping'!BI59&gt;=241,'(橫掃)RX Mapping'!BI59&lt;=360), ('(橫掃)RX Mapping'!BI59-241),IF(AND('(橫掃)RX Mapping'!BI59&gt;=361,'(橫掃)RX Mapping'!BI59&lt;=480), (-1)*('(橫掃)RX Mapping'!BI59-480),IF(AND('(橫掃)RX Mapping'!BI59&gt;=481,'(橫掃)RX Mapping'!BI59&lt;=600), ('(橫掃)RX Mapping'!BI59-361),IF(AND('(橫掃)RX Mapping'!BI59&gt;=601,'(橫掃)RX Mapping'!BI59&lt;=720), (-1)*('(橫掃)RX Mapping'!BI59-720)+120,IF(AND('(橫掃)RX Mapping'!BI59&gt;=721,'(橫掃)RX Mapping'!BI59&lt;=840), ('(橫掃)RX Mapping'!BI59-601),IF(AND('(橫掃)RX Mapping'!BI59&gt;=841,'(橫掃)RX Mapping'!BI59&lt;=960), (-1)*('(橫掃)RX Mapping'!BI59-960)+120,9999))))))))</f>
        <v>9999</v>
      </c>
    </row>
    <row r="60" spans="1:61" x14ac:dyDescent="0.25">
      <c r="A60" s="20">
        <v>59</v>
      </c>
      <c r="B60">
        <f>IF(AND('(橫掃)RX Mapping'!B60&gt;=1,'(橫掃)RX Mapping'!B60&lt;=120), ('(橫掃)RX Mapping'!B60-1),IF(AND('(橫掃)RX Mapping'!B60&gt;=121,'(橫掃)RX Mapping'!B60&lt;=240), (-1)*('(橫掃)RX Mapping'!B60-240),IF(AND('(橫掃)RX Mapping'!B60&gt;=241,'(橫掃)RX Mapping'!B60&lt;=360), ('(橫掃)RX Mapping'!B60-241),IF(AND('(橫掃)RX Mapping'!B60&gt;=361,'(橫掃)RX Mapping'!B60&lt;=480), (-1)*('(橫掃)RX Mapping'!B60-480),IF(AND('(橫掃)RX Mapping'!B60&gt;=481,'(橫掃)RX Mapping'!B60&lt;=600), ('(橫掃)RX Mapping'!B60-361),IF(AND('(橫掃)RX Mapping'!B60&gt;=601,'(橫掃)RX Mapping'!B60&lt;=720), (-1)*('(橫掃)RX Mapping'!B60-720)+120,IF(AND('(橫掃)RX Mapping'!B60&gt;=721,'(橫掃)RX Mapping'!B60&lt;=840), ('(橫掃)RX Mapping'!B60-601),IF(AND('(橫掃)RX Mapping'!B60&gt;=841,'(橫掃)RX Mapping'!B60&lt;=960), (-1)*('(橫掃)RX Mapping'!B60-960)+120,9999))))))))</f>
        <v>9999</v>
      </c>
      <c r="C60">
        <f>IF(AND('(橫掃)RX Mapping'!C60&gt;=1,'(橫掃)RX Mapping'!C60&lt;=120), ('(橫掃)RX Mapping'!C60-1),IF(AND('(橫掃)RX Mapping'!C60&gt;=121,'(橫掃)RX Mapping'!C60&lt;=240), (-1)*('(橫掃)RX Mapping'!C60-240),IF(AND('(橫掃)RX Mapping'!C60&gt;=241,'(橫掃)RX Mapping'!C60&lt;=360), ('(橫掃)RX Mapping'!C60-241),IF(AND('(橫掃)RX Mapping'!C60&gt;=361,'(橫掃)RX Mapping'!C60&lt;=480), (-1)*('(橫掃)RX Mapping'!C60-480),IF(AND('(橫掃)RX Mapping'!C60&gt;=481,'(橫掃)RX Mapping'!C60&lt;=600), ('(橫掃)RX Mapping'!C60-361),IF(AND('(橫掃)RX Mapping'!C60&gt;=601,'(橫掃)RX Mapping'!C60&lt;=720), (-1)*('(橫掃)RX Mapping'!C60-720)+120,IF(AND('(橫掃)RX Mapping'!C60&gt;=721,'(橫掃)RX Mapping'!C60&lt;=840), ('(橫掃)RX Mapping'!C60-601),IF(AND('(橫掃)RX Mapping'!C60&gt;=841,'(橫掃)RX Mapping'!C60&lt;=960), (-1)*('(橫掃)RX Mapping'!C60-960)+120,9999))))))))</f>
        <v>9999</v>
      </c>
      <c r="D60">
        <f>IF(AND('(橫掃)RX Mapping'!D60&gt;=1,'(橫掃)RX Mapping'!D60&lt;=120), ('(橫掃)RX Mapping'!D60-1),IF(AND('(橫掃)RX Mapping'!D60&gt;=121,'(橫掃)RX Mapping'!D60&lt;=240), (-1)*('(橫掃)RX Mapping'!D60-240),IF(AND('(橫掃)RX Mapping'!D60&gt;=241,'(橫掃)RX Mapping'!D60&lt;=360), ('(橫掃)RX Mapping'!D60-241),IF(AND('(橫掃)RX Mapping'!D60&gt;=361,'(橫掃)RX Mapping'!D60&lt;=480), (-1)*('(橫掃)RX Mapping'!D60-480),IF(AND('(橫掃)RX Mapping'!D60&gt;=481,'(橫掃)RX Mapping'!D60&lt;=600), ('(橫掃)RX Mapping'!D60-361),IF(AND('(橫掃)RX Mapping'!D60&gt;=601,'(橫掃)RX Mapping'!D60&lt;=720), (-1)*('(橫掃)RX Mapping'!D60-720)+120,IF(AND('(橫掃)RX Mapping'!D60&gt;=721,'(橫掃)RX Mapping'!D60&lt;=840), ('(橫掃)RX Mapping'!D60-601),IF(AND('(橫掃)RX Mapping'!D60&gt;=841,'(橫掃)RX Mapping'!D60&lt;=960), (-1)*('(橫掃)RX Mapping'!D60-960)+120,9999))))))))</f>
        <v>9999</v>
      </c>
      <c r="E60">
        <f>IF(AND('(橫掃)RX Mapping'!E60&gt;=1,'(橫掃)RX Mapping'!E60&lt;=120), ('(橫掃)RX Mapping'!E60-1),IF(AND('(橫掃)RX Mapping'!E60&gt;=121,'(橫掃)RX Mapping'!E60&lt;=240), (-1)*('(橫掃)RX Mapping'!E60-240),IF(AND('(橫掃)RX Mapping'!E60&gt;=241,'(橫掃)RX Mapping'!E60&lt;=360), ('(橫掃)RX Mapping'!E60-241),IF(AND('(橫掃)RX Mapping'!E60&gt;=361,'(橫掃)RX Mapping'!E60&lt;=480), (-1)*('(橫掃)RX Mapping'!E60-480),IF(AND('(橫掃)RX Mapping'!E60&gt;=481,'(橫掃)RX Mapping'!E60&lt;=600), ('(橫掃)RX Mapping'!E60-361),IF(AND('(橫掃)RX Mapping'!E60&gt;=601,'(橫掃)RX Mapping'!E60&lt;=720), (-1)*('(橫掃)RX Mapping'!E60-720)+120,IF(AND('(橫掃)RX Mapping'!E60&gt;=721,'(橫掃)RX Mapping'!E60&lt;=840), ('(橫掃)RX Mapping'!E60-601),IF(AND('(橫掃)RX Mapping'!E60&gt;=841,'(橫掃)RX Mapping'!E60&lt;=960), (-1)*('(橫掃)RX Mapping'!E60-960)+120,9999))))))))</f>
        <v>9999</v>
      </c>
      <c r="F60">
        <f>IF(AND('(橫掃)RX Mapping'!F60&gt;=1,'(橫掃)RX Mapping'!F60&lt;=120), ('(橫掃)RX Mapping'!F60-1),IF(AND('(橫掃)RX Mapping'!F60&gt;=121,'(橫掃)RX Mapping'!F60&lt;=240), (-1)*('(橫掃)RX Mapping'!F60-240),IF(AND('(橫掃)RX Mapping'!F60&gt;=241,'(橫掃)RX Mapping'!F60&lt;=360), ('(橫掃)RX Mapping'!F60-241),IF(AND('(橫掃)RX Mapping'!F60&gt;=361,'(橫掃)RX Mapping'!F60&lt;=480), (-1)*('(橫掃)RX Mapping'!F60-480),IF(AND('(橫掃)RX Mapping'!F60&gt;=481,'(橫掃)RX Mapping'!F60&lt;=600), ('(橫掃)RX Mapping'!F60-361),IF(AND('(橫掃)RX Mapping'!F60&gt;=601,'(橫掃)RX Mapping'!F60&lt;=720), (-1)*('(橫掃)RX Mapping'!F60-720)+120,IF(AND('(橫掃)RX Mapping'!F60&gt;=721,'(橫掃)RX Mapping'!F60&lt;=840), ('(橫掃)RX Mapping'!F60-601),IF(AND('(橫掃)RX Mapping'!F60&gt;=841,'(橫掃)RX Mapping'!F60&lt;=960), (-1)*('(橫掃)RX Mapping'!F60-960)+120,9999))))))))</f>
        <v>9999</v>
      </c>
      <c r="G60">
        <f>IF(AND('(橫掃)RX Mapping'!G60&gt;=1,'(橫掃)RX Mapping'!G60&lt;=120), ('(橫掃)RX Mapping'!G60-1),IF(AND('(橫掃)RX Mapping'!G60&gt;=121,'(橫掃)RX Mapping'!G60&lt;=240), (-1)*('(橫掃)RX Mapping'!G60-240),IF(AND('(橫掃)RX Mapping'!G60&gt;=241,'(橫掃)RX Mapping'!G60&lt;=360), ('(橫掃)RX Mapping'!G60-241),IF(AND('(橫掃)RX Mapping'!G60&gt;=361,'(橫掃)RX Mapping'!G60&lt;=480), (-1)*('(橫掃)RX Mapping'!G60-480),IF(AND('(橫掃)RX Mapping'!G60&gt;=481,'(橫掃)RX Mapping'!G60&lt;=600), ('(橫掃)RX Mapping'!G60-361),IF(AND('(橫掃)RX Mapping'!G60&gt;=601,'(橫掃)RX Mapping'!G60&lt;=720), (-1)*('(橫掃)RX Mapping'!G60-720)+120,IF(AND('(橫掃)RX Mapping'!G60&gt;=721,'(橫掃)RX Mapping'!G60&lt;=840), ('(橫掃)RX Mapping'!G60-601),IF(AND('(橫掃)RX Mapping'!G60&gt;=841,'(橫掃)RX Mapping'!G60&lt;=960), (-1)*('(橫掃)RX Mapping'!G60-960)+120,9999))))))))</f>
        <v>9999</v>
      </c>
      <c r="H60">
        <f>IF(AND('(橫掃)RX Mapping'!H60&gt;=1,'(橫掃)RX Mapping'!H60&lt;=120), ('(橫掃)RX Mapping'!H60-1),IF(AND('(橫掃)RX Mapping'!H60&gt;=121,'(橫掃)RX Mapping'!H60&lt;=240), (-1)*('(橫掃)RX Mapping'!H60-240),IF(AND('(橫掃)RX Mapping'!H60&gt;=241,'(橫掃)RX Mapping'!H60&lt;=360), ('(橫掃)RX Mapping'!H60-241),IF(AND('(橫掃)RX Mapping'!H60&gt;=361,'(橫掃)RX Mapping'!H60&lt;=480), (-1)*('(橫掃)RX Mapping'!H60-480),IF(AND('(橫掃)RX Mapping'!H60&gt;=481,'(橫掃)RX Mapping'!H60&lt;=600), ('(橫掃)RX Mapping'!H60-361),IF(AND('(橫掃)RX Mapping'!H60&gt;=601,'(橫掃)RX Mapping'!H60&lt;=720), (-1)*('(橫掃)RX Mapping'!H60-720)+120,IF(AND('(橫掃)RX Mapping'!H60&gt;=721,'(橫掃)RX Mapping'!H60&lt;=840), ('(橫掃)RX Mapping'!H60-601),IF(AND('(橫掃)RX Mapping'!H60&gt;=841,'(橫掃)RX Mapping'!H60&lt;=960), (-1)*('(橫掃)RX Mapping'!H60-960)+120,9999))))))))</f>
        <v>9999</v>
      </c>
      <c r="I60">
        <f>IF(AND('(橫掃)RX Mapping'!I60&gt;=1,'(橫掃)RX Mapping'!I60&lt;=120), ('(橫掃)RX Mapping'!I60-1),IF(AND('(橫掃)RX Mapping'!I60&gt;=121,'(橫掃)RX Mapping'!I60&lt;=240), (-1)*('(橫掃)RX Mapping'!I60-240),IF(AND('(橫掃)RX Mapping'!I60&gt;=241,'(橫掃)RX Mapping'!I60&lt;=360), ('(橫掃)RX Mapping'!I60-241),IF(AND('(橫掃)RX Mapping'!I60&gt;=361,'(橫掃)RX Mapping'!I60&lt;=480), (-1)*('(橫掃)RX Mapping'!I60-480),IF(AND('(橫掃)RX Mapping'!I60&gt;=481,'(橫掃)RX Mapping'!I60&lt;=600), ('(橫掃)RX Mapping'!I60-361),IF(AND('(橫掃)RX Mapping'!I60&gt;=601,'(橫掃)RX Mapping'!I60&lt;=720), (-1)*('(橫掃)RX Mapping'!I60-720)+120,IF(AND('(橫掃)RX Mapping'!I60&gt;=721,'(橫掃)RX Mapping'!I60&lt;=840), ('(橫掃)RX Mapping'!I60-601),IF(AND('(橫掃)RX Mapping'!I60&gt;=841,'(橫掃)RX Mapping'!I60&lt;=960), (-1)*('(橫掃)RX Mapping'!I60-960)+120,9999))))))))</f>
        <v>9999</v>
      </c>
      <c r="J60">
        <f>IF(AND('(橫掃)RX Mapping'!J60&gt;=1,'(橫掃)RX Mapping'!J60&lt;=120), ('(橫掃)RX Mapping'!J60-1),IF(AND('(橫掃)RX Mapping'!J60&gt;=121,'(橫掃)RX Mapping'!J60&lt;=240), (-1)*('(橫掃)RX Mapping'!J60-240),IF(AND('(橫掃)RX Mapping'!J60&gt;=241,'(橫掃)RX Mapping'!J60&lt;=360), ('(橫掃)RX Mapping'!J60-241),IF(AND('(橫掃)RX Mapping'!J60&gt;=361,'(橫掃)RX Mapping'!J60&lt;=480), (-1)*('(橫掃)RX Mapping'!J60-480),IF(AND('(橫掃)RX Mapping'!J60&gt;=481,'(橫掃)RX Mapping'!J60&lt;=600), ('(橫掃)RX Mapping'!J60-361),IF(AND('(橫掃)RX Mapping'!J60&gt;=601,'(橫掃)RX Mapping'!J60&lt;=720), (-1)*('(橫掃)RX Mapping'!J60-720)+120,IF(AND('(橫掃)RX Mapping'!J60&gt;=721,'(橫掃)RX Mapping'!J60&lt;=840), ('(橫掃)RX Mapping'!J60-601),IF(AND('(橫掃)RX Mapping'!J60&gt;=841,'(橫掃)RX Mapping'!J60&lt;=960), (-1)*('(橫掃)RX Mapping'!J60-960)+120,9999))))))))</f>
        <v>9999</v>
      </c>
      <c r="K60">
        <f>IF(AND('(橫掃)RX Mapping'!K60&gt;=1,'(橫掃)RX Mapping'!K60&lt;=120), ('(橫掃)RX Mapping'!K60-1),IF(AND('(橫掃)RX Mapping'!K60&gt;=121,'(橫掃)RX Mapping'!K60&lt;=240), (-1)*('(橫掃)RX Mapping'!K60-240),IF(AND('(橫掃)RX Mapping'!K60&gt;=241,'(橫掃)RX Mapping'!K60&lt;=360), ('(橫掃)RX Mapping'!K60-241),IF(AND('(橫掃)RX Mapping'!K60&gt;=361,'(橫掃)RX Mapping'!K60&lt;=480), (-1)*('(橫掃)RX Mapping'!K60-480),IF(AND('(橫掃)RX Mapping'!K60&gt;=481,'(橫掃)RX Mapping'!K60&lt;=600), ('(橫掃)RX Mapping'!K60-361),IF(AND('(橫掃)RX Mapping'!K60&gt;=601,'(橫掃)RX Mapping'!K60&lt;=720), (-1)*('(橫掃)RX Mapping'!K60-720)+120,IF(AND('(橫掃)RX Mapping'!K60&gt;=721,'(橫掃)RX Mapping'!K60&lt;=840), ('(橫掃)RX Mapping'!K60-601),IF(AND('(橫掃)RX Mapping'!K60&gt;=841,'(橫掃)RX Mapping'!K60&lt;=960), (-1)*('(橫掃)RX Mapping'!K60-960)+120,9999))))))))</f>
        <v>9999</v>
      </c>
      <c r="L60">
        <f>IF(AND('(橫掃)RX Mapping'!L60&gt;=1,'(橫掃)RX Mapping'!L60&lt;=120), ('(橫掃)RX Mapping'!L60-1),IF(AND('(橫掃)RX Mapping'!L60&gt;=121,'(橫掃)RX Mapping'!L60&lt;=240), (-1)*('(橫掃)RX Mapping'!L60-240),IF(AND('(橫掃)RX Mapping'!L60&gt;=241,'(橫掃)RX Mapping'!L60&lt;=360), ('(橫掃)RX Mapping'!L60-241),IF(AND('(橫掃)RX Mapping'!L60&gt;=361,'(橫掃)RX Mapping'!L60&lt;=480), (-1)*('(橫掃)RX Mapping'!L60-480),IF(AND('(橫掃)RX Mapping'!L60&gt;=481,'(橫掃)RX Mapping'!L60&lt;=600), ('(橫掃)RX Mapping'!L60-361),IF(AND('(橫掃)RX Mapping'!L60&gt;=601,'(橫掃)RX Mapping'!L60&lt;=720), (-1)*('(橫掃)RX Mapping'!L60-720)+120,IF(AND('(橫掃)RX Mapping'!L60&gt;=721,'(橫掃)RX Mapping'!L60&lt;=840), ('(橫掃)RX Mapping'!L60-601),IF(AND('(橫掃)RX Mapping'!L60&gt;=841,'(橫掃)RX Mapping'!L60&lt;=960), (-1)*('(橫掃)RX Mapping'!L60-960)+120,9999))))))))</f>
        <v>9999</v>
      </c>
      <c r="M60">
        <f>IF(AND('(橫掃)RX Mapping'!M60&gt;=1,'(橫掃)RX Mapping'!M60&lt;=120), ('(橫掃)RX Mapping'!M60-1),IF(AND('(橫掃)RX Mapping'!M60&gt;=121,'(橫掃)RX Mapping'!M60&lt;=240), (-1)*('(橫掃)RX Mapping'!M60-240),IF(AND('(橫掃)RX Mapping'!M60&gt;=241,'(橫掃)RX Mapping'!M60&lt;=360), ('(橫掃)RX Mapping'!M60-241),IF(AND('(橫掃)RX Mapping'!M60&gt;=361,'(橫掃)RX Mapping'!M60&lt;=480), (-1)*('(橫掃)RX Mapping'!M60-480),IF(AND('(橫掃)RX Mapping'!M60&gt;=481,'(橫掃)RX Mapping'!M60&lt;=600), ('(橫掃)RX Mapping'!M60-361),IF(AND('(橫掃)RX Mapping'!M60&gt;=601,'(橫掃)RX Mapping'!M60&lt;=720), (-1)*('(橫掃)RX Mapping'!M60-720)+120,IF(AND('(橫掃)RX Mapping'!M60&gt;=721,'(橫掃)RX Mapping'!M60&lt;=840), ('(橫掃)RX Mapping'!M60-601),IF(AND('(橫掃)RX Mapping'!M60&gt;=841,'(橫掃)RX Mapping'!M60&lt;=960), (-1)*('(橫掃)RX Mapping'!M60-960)+120,9999))))))))</f>
        <v>9999</v>
      </c>
      <c r="N60">
        <f>IF(AND('(橫掃)RX Mapping'!N60&gt;=1,'(橫掃)RX Mapping'!N60&lt;=120), ('(橫掃)RX Mapping'!N60-1),IF(AND('(橫掃)RX Mapping'!N60&gt;=121,'(橫掃)RX Mapping'!N60&lt;=240), (-1)*('(橫掃)RX Mapping'!N60-240),IF(AND('(橫掃)RX Mapping'!N60&gt;=241,'(橫掃)RX Mapping'!N60&lt;=360), ('(橫掃)RX Mapping'!N60-241),IF(AND('(橫掃)RX Mapping'!N60&gt;=361,'(橫掃)RX Mapping'!N60&lt;=480), (-1)*('(橫掃)RX Mapping'!N60-480),IF(AND('(橫掃)RX Mapping'!N60&gt;=481,'(橫掃)RX Mapping'!N60&lt;=600), ('(橫掃)RX Mapping'!N60-361),IF(AND('(橫掃)RX Mapping'!N60&gt;=601,'(橫掃)RX Mapping'!N60&lt;=720), (-1)*('(橫掃)RX Mapping'!N60-720)+120,IF(AND('(橫掃)RX Mapping'!N60&gt;=721,'(橫掃)RX Mapping'!N60&lt;=840), ('(橫掃)RX Mapping'!N60-601),IF(AND('(橫掃)RX Mapping'!N60&gt;=841,'(橫掃)RX Mapping'!N60&lt;=960), (-1)*('(橫掃)RX Mapping'!N60-960)+120,9999))))))))</f>
        <v>9999</v>
      </c>
      <c r="O60">
        <f>IF(AND('(橫掃)RX Mapping'!O60&gt;=1,'(橫掃)RX Mapping'!O60&lt;=120), ('(橫掃)RX Mapping'!O60-1),IF(AND('(橫掃)RX Mapping'!O60&gt;=121,'(橫掃)RX Mapping'!O60&lt;=240), (-1)*('(橫掃)RX Mapping'!O60-240),IF(AND('(橫掃)RX Mapping'!O60&gt;=241,'(橫掃)RX Mapping'!O60&lt;=360), ('(橫掃)RX Mapping'!O60-241),IF(AND('(橫掃)RX Mapping'!O60&gt;=361,'(橫掃)RX Mapping'!O60&lt;=480), (-1)*('(橫掃)RX Mapping'!O60-480),IF(AND('(橫掃)RX Mapping'!O60&gt;=481,'(橫掃)RX Mapping'!O60&lt;=600), ('(橫掃)RX Mapping'!O60-361),IF(AND('(橫掃)RX Mapping'!O60&gt;=601,'(橫掃)RX Mapping'!O60&lt;=720), (-1)*('(橫掃)RX Mapping'!O60-720)+120,IF(AND('(橫掃)RX Mapping'!O60&gt;=721,'(橫掃)RX Mapping'!O60&lt;=840), ('(橫掃)RX Mapping'!O60-601),IF(AND('(橫掃)RX Mapping'!O60&gt;=841,'(橫掃)RX Mapping'!O60&lt;=960), (-1)*('(橫掃)RX Mapping'!O60-960)+120,9999))))))))</f>
        <v>9999</v>
      </c>
      <c r="P60">
        <f>IF(AND('(橫掃)RX Mapping'!P60&gt;=1,'(橫掃)RX Mapping'!P60&lt;=120), ('(橫掃)RX Mapping'!P60-1),IF(AND('(橫掃)RX Mapping'!P60&gt;=121,'(橫掃)RX Mapping'!P60&lt;=240), (-1)*('(橫掃)RX Mapping'!P60-240),IF(AND('(橫掃)RX Mapping'!P60&gt;=241,'(橫掃)RX Mapping'!P60&lt;=360), ('(橫掃)RX Mapping'!P60-241),IF(AND('(橫掃)RX Mapping'!P60&gt;=361,'(橫掃)RX Mapping'!P60&lt;=480), (-1)*('(橫掃)RX Mapping'!P60-480),IF(AND('(橫掃)RX Mapping'!P60&gt;=481,'(橫掃)RX Mapping'!P60&lt;=600), ('(橫掃)RX Mapping'!P60-361),IF(AND('(橫掃)RX Mapping'!P60&gt;=601,'(橫掃)RX Mapping'!P60&lt;=720), (-1)*('(橫掃)RX Mapping'!P60-720)+120,IF(AND('(橫掃)RX Mapping'!P60&gt;=721,'(橫掃)RX Mapping'!P60&lt;=840), ('(橫掃)RX Mapping'!P60-601),IF(AND('(橫掃)RX Mapping'!P60&gt;=841,'(橫掃)RX Mapping'!P60&lt;=960), (-1)*('(橫掃)RX Mapping'!P60-960)+120,9999))))))))</f>
        <v>9999</v>
      </c>
      <c r="Q60">
        <f>IF(AND('(橫掃)RX Mapping'!Q60&gt;=1,'(橫掃)RX Mapping'!Q60&lt;=120), ('(橫掃)RX Mapping'!Q60-1),IF(AND('(橫掃)RX Mapping'!Q60&gt;=121,'(橫掃)RX Mapping'!Q60&lt;=240), (-1)*('(橫掃)RX Mapping'!Q60-240),IF(AND('(橫掃)RX Mapping'!Q60&gt;=241,'(橫掃)RX Mapping'!Q60&lt;=360), ('(橫掃)RX Mapping'!Q60-241),IF(AND('(橫掃)RX Mapping'!Q60&gt;=361,'(橫掃)RX Mapping'!Q60&lt;=480), (-1)*('(橫掃)RX Mapping'!Q60-480),IF(AND('(橫掃)RX Mapping'!Q60&gt;=481,'(橫掃)RX Mapping'!Q60&lt;=600), ('(橫掃)RX Mapping'!Q60-361),IF(AND('(橫掃)RX Mapping'!Q60&gt;=601,'(橫掃)RX Mapping'!Q60&lt;=720), (-1)*('(橫掃)RX Mapping'!Q60-720)+120,IF(AND('(橫掃)RX Mapping'!Q60&gt;=721,'(橫掃)RX Mapping'!Q60&lt;=840), ('(橫掃)RX Mapping'!Q60-601),IF(AND('(橫掃)RX Mapping'!Q60&gt;=841,'(橫掃)RX Mapping'!Q60&lt;=960), (-1)*('(橫掃)RX Mapping'!Q60-960)+120,9999))))))))</f>
        <v>9999</v>
      </c>
      <c r="R60">
        <f>IF(AND('(橫掃)RX Mapping'!R60&gt;=1,'(橫掃)RX Mapping'!R60&lt;=120), ('(橫掃)RX Mapping'!R60-1),IF(AND('(橫掃)RX Mapping'!R60&gt;=121,'(橫掃)RX Mapping'!R60&lt;=240), (-1)*('(橫掃)RX Mapping'!R60-240),IF(AND('(橫掃)RX Mapping'!R60&gt;=241,'(橫掃)RX Mapping'!R60&lt;=360), ('(橫掃)RX Mapping'!R60-241),IF(AND('(橫掃)RX Mapping'!R60&gt;=361,'(橫掃)RX Mapping'!R60&lt;=480), (-1)*('(橫掃)RX Mapping'!R60-480),IF(AND('(橫掃)RX Mapping'!R60&gt;=481,'(橫掃)RX Mapping'!R60&lt;=600), ('(橫掃)RX Mapping'!R60-361),IF(AND('(橫掃)RX Mapping'!R60&gt;=601,'(橫掃)RX Mapping'!R60&lt;=720), (-1)*('(橫掃)RX Mapping'!R60-720)+120,IF(AND('(橫掃)RX Mapping'!R60&gt;=721,'(橫掃)RX Mapping'!R60&lt;=840), ('(橫掃)RX Mapping'!R60-601),IF(AND('(橫掃)RX Mapping'!R60&gt;=841,'(橫掃)RX Mapping'!R60&lt;=960), (-1)*('(橫掃)RX Mapping'!R60-960)+120,9999))))))))</f>
        <v>9999</v>
      </c>
      <c r="S60">
        <f>IF(AND('(橫掃)RX Mapping'!S60&gt;=1,'(橫掃)RX Mapping'!S60&lt;=120), ('(橫掃)RX Mapping'!S60-1),IF(AND('(橫掃)RX Mapping'!S60&gt;=121,'(橫掃)RX Mapping'!S60&lt;=240), (-1)*('(橫掃)RX Mapping'!S60-240),IF(AND('(橫掃)RX Mapping'!S60&gt;=241,'(橫掃)RX Mapping'!S60&lt;=360), ('(橫掃)RX Mapping'!S60-241),IF(AND('(橫掃)RX Mapping'!S60&gt;=361,'(橫掃)RX Mapping'!S60&lt;=480), (-1)*('(橫掃)RX Mapping'!S60-480),IF(AND('(橫掃)RX Mapping'!S60&gt;=481,'(橫掃)RX Mapping'!S60&lt;=600), ('(橫掃)RX Mapping'!S60-361),IF(AND('(橫掃)RX Mapping'!S60&gt;=601,'(橫掃)RX Mapping'!S60&lt;=720), (-1)*('(橫掃)RX Mapping'!S60-720)+120,IF(AND('(橫掃)RX Mapping'!S60&gt;=721,'(橫掃)RX Mapping'!S60&lt;=840), ('(橫掃)RX Mapping'!S60-601),IF(AND('(橫掃)RX Mapping'!S60&gt;=841,'(橫掃)RX Mapping'!S60&lt;=960), (-1)*('(橫掃)RX Mapping'!S60-960)+120,9999))))))))</f>
        <v>9999</v>
      </c>
      <c r="T60">
        <f>IF(AND('(橫掃)RX Mapping'!T60&gt;=1,'(橫掃)RX Mapping'!T60&lt;=120), ('(橫掃)RX Mapping'!T60-1),IF(AND('(橫掃)RX Mapping'!T60&gt;=121,'(橫掃)RX Mapping'!T60&lt;=240), (-1)*('(橫掃)RX Mapping'!T60-240),IF(AND('(橫掃)RX Mapping'!T60&gt;=241,'(橫掃)RX Mapping'!T60&lt;=360), ('(橫掃)RX Mapping'!T60-241),IF(AND('(橫掃)RX Mapping'!T60&gt;=361,'(橫掃)RX Mapping'!T60&lt;=480), (-1)*('(橫掃)RX Mapping'!T60-480),IF(AND('(橫掃)RX Mapping'!T60&gt;=481,'(橫掃)RX Mapping'!T60&lt;=600), ('(橫掃)RX Mapping'!T60-361),IF(AND('(橫掃)RX Mapping'!T60&gt;=601,'(橫掃)RX Mapping'!T60&lt;=720), (-1)*('(橫掃)RX Mapping'!T60-720)+120,IF(AND('(橫掃)RX Mapping'!T60&gt;=721,'(橫掃)RX Mapping'!T60&lt;=840), ('(橫掃)RX Mapping'!T60-601),IF(AND('(橫掃)RX Mapping'!T60&gt;=841,'(橫掃)RX Mapping'!T60&lt;=960), (-1)*('(橫掃)RX Mapping'!T60-960)+120,9999))))))))</f>
        <v>9999</v>
      </c>
      <c r="U60">
        <f>IF(AND('(橫掃)RX Mapping'!U60&gt;=1,'(橫掃)RX Mapping'!U60&lt;=120), ('(橫掃)RX Mapping'!U60-1),IF(AND('(橫掃)RX Mapping'!U60&gt;=121,'(橫掃)RX Mapping'!U60&lt;=240), (-1)*('(橫掃)RX Mapping'!U60-240),IF(AND('(橫掃)RX Mapping'!U60&gt;=241,'(橫掃)RX Mapping'!U60&lt;=360), ('(橫掃)RX Mapping'!U60-241),IF(AND('(橫掃)RX Mapping'!U60&gt;=361,'(橫掃)RX Mapping'!U60&lt;=480), (-1)*('(橫掃)RX Mapping'!U60-480),IF(AND('(橫掃)RX Mapping'!U60&gt;=481,'(橫掃)RX Mapping'!U60&lt;=600), ('(橫掃)RX Mapping'!U60-361),IF(AND('(橫掃)RX Mapping'!U60&gt;=601,'(橫掃)RX Mapping'!U60&lt;=720), (-1)*('(橫掃)RX Mapping'!U60-720)+120,IF(AND('(橫掃)RX Mapping'!U60&gt;=721,'(橫掃)RX Mapping'!U60&lt;=840), ('(橫掃)RX Mapping'!U60-601),IF(AND('(橫掃)RX Mapping'!U60&gt;=841,'(橫掃)RX Mapping'!U60&lt;=960), (-1)*('(橫掃)RX Mapping'!U60-960)+120,9999))))))))</f>
        <v>9999</v>
      </c>
      <c r="V60">
        <f>IF(AND('(橫掃)RX Mapping'!V60&gt;=1,'(橫掃)RX Mapping'!V60&lt;=120), ('(橫掃)RX Mapping'!V60-1),IF(AND('(橫掃)RX Mapping'!V60&gt;=121,'(橫掃)RX Mapping'!V60&lt;=240), (-1)*('(橫掃)RX Mapping'!V60-240),IF(AND('(橫掃)RX Mapping'!V60&gt;=241,'(橫掃)RX Mapping'!V60&lt;=360), ('(橫掃)RX Mapping'!V60-241),IF(AND('(橫掃)RX Mapping'!V60&gt;=361,'(橫掃)RX Mapping'!V60&lt;=480), (-1)*('(橫掃)RX Mapping'!V60-480),IF(AND('(橫掃)RX Mapping'!V60&gt;=481,'(橫掃)RX Mapping'!V60&lt;=600), ('(橫掃)RX Mapping'!V60-361),IF(AND('(橫掃)RX Mapping'!V60&gt;=601,'(橫掃)RX Mapping'!V60&lt;=720), (-1)*('(橫掃)RX Mapping'!V60-720)+120,IF(AND('(橫掃)RX Mapping'!V60&gt;=721,'(橫掃)RX Mapping'!V60&lt;=840), ('(橫掃)RX Mapping'!V60-601),IF(AND('(橫掃)RX Mapping'!V60&gt;=841,'(橫掃)RX Mapping'!V60&lt;=960), (-1)*('(橫掃)RX Mapping'!V60-960)+120,9999))))))))</f>
        <v>9999</v>
      </c>
      <c r="W60">
        <f>IF(AND('(橫掃)RX Mapping'!W60&gt;=1,'(橫掃)RX Mapping'!W60&lt;=120), ('(橫掃)RX Mapping'!W60-1),IF(AND('(橫掃)RX Mapping'!W60&gt;=121,'(橫掃)RX Mapping'!W60&lt;=240), (-1)*('(橫掃)RX Mapping'!W60-240),IF(AND('(橫掃)RX Mapping'!W60&gt;=241,'(橫掃)RX Mapping'!W60&lt;=360), ('(橫掃)RX Mapping'!W60-241),IF(AND('(橫掃)RX Mapping'!W60&gt;=361,'(橫掃)RX Mapping'!W60&lt;=480), (-1)*('(橫掃)RX Mapping'!W60-480),IF(AND('(橫掃)RX Mapping'!W60&gt;=481,'(橫掃)RX Mapping'!W60&lt;=600), ('(橫掃)RX Mapping'!W60-361),IF(AND('(橫掃)RX Mapping'!W60&gt;=601,'(橫掃)RX Mapping'!W60&lt;=720), (-1)*('(橫掃)RX Mapping'!W60-720)+120,IF(AND('(橫掃)RX Mapping'!W60&gt;=721,'(橫掃)RX Mapping'!W60&lt;=840), ('(橫掃)RX Mapping'!W60-601),IF(AND('(橫掃)RX Mapping'!W60&gt;=841,'(橫掃)RX Mapping'!W60&lt;=960), (-1)*('(橫掃)RX Mapping'!W60-960)+120,9999))))))))</f>
        <v>9999</v>
      </c>
      <c r="X60">
        <f>IF(AND('(橫掃)RX Mapping'!X60&gt;=1,'(橫掃)RX Mapping'!X60&lt;=120), ('(橫掃)RX Mapping'!X60-1),IF(AND('(橫掃)RX Mapping'!X60&gt;=121,'(橫掃)RX Mapping'!X60&lt;=240), (-1)*('(橫掃)RX Mapping'!X60-240),IF(AND('(橫掃)RX Mapping'!X60&gt;=241,'(橫掃)RX Mapping'!X60&lt;=360), ('(橫掃)RX Mapping'!X60-241),IF(AND('(橫掃)RX Mapping'!X60&gt;=361,'(橫掃)RX Mapping'!X60&lt;=480), (-1)*('(橫掃)RX Mapping'!X60-480),IF(AND('(橫掃)RX Mapping'!X60&gt;=481,'(橫掃)RX Mapping'!X60&lt;=600), ('(橫掃)RX Mapping'!X60-361),IF(AND('(橫掃)RX Mapping'!X60&gt;=601,'(橫掃)RX Mapping'!X60&lt;=720), (-1)*('(橫掃)RX Mapping'!X60-720)+120,IF(AND('(橫掃)RX Mapping'!X60&gt;=721,'(橫掃)RX Mapping'!X60&lt;=840), ('(橫掃)RX Mapping'!X60-601),IF(AND('(橫掃)RX Mapping'!X60&gt;=841,'(橫掃)RX Mapping'!X60&lt;=960), (-1)*('(橫掃)RX Mapping'!X60-960)+120,9999))))))))</f>
        <v>9999</v>
      </c>
      <c r="Y60">
        <f>IF(AND('(橫掃)RX Mapping'!Y60&gt;=1,'(橫掃)RX Mapping'!Y60&lt;=120), ('(橫掃)RX Mapping'!Y60-1),IF(AND('(橫掃)RX Mapping'!Y60&gt;=121,'(橫掃)RX Mapping'!Y60&lt;=240), (-1)*('(橫掃)RX Mapping'!Y60-240),IF(AND('(橫掃)RX Mapping'!Y60&gt;=241,'(橫掃)RX Mapping'!Y60&lt;=360), ('(橫掃)RX Mapping'!Y60-241),IF(AND('(橫掃)RX Mapping'!Y60&gt;=361,'(橫掃)RX Mapping'!Y60&lt;=480), (-1)*('(橫掃)RX Mapping'!Y60-480),IF(AND('(橫掃)RX Mapping'!Y60&gt;=481,'(橫掃)RX Mapping'!Y60&lt;=600), ('(橫掃)RX Mapping'!Y60-361),IF(AND('(橫掃)RX Mapping'!Y60&gt;=601,'(橫掃)RX Mapping'!Y60&lt;=720), (-1)*('(橫掃)RX Mapping'!Y60-720)+120,IF(AND('(橫掃)RX Mapping'!Y60&gt;=721,'(橫掃)RX Mapping'!Y60&lt;=840), ('(橫掃)RX Mapping'!Y60-601),IF(AND('(橫掃)RX Mapping'!Y60&gt;=841,'(橫掃)RX Mapping'!Y60&lt;=960), (-1)*('(橫掃)RX Mapping'!Y60-960)+120,9999))))))))</f>
        <v>9999</v>
      </c>
      <c r="Z60">
        <f>IF(AND('(橫掃)RX Mapping'!Z60&gt;=1,'(橫掃)RX Mapping'!Z60&lt;=120), ('(橫掃)RX Mapping'!Z60-1),IF(AND('(橫掃)RX Mapping'!Z60&gt;=121,'(橫掃)RX Mapping'!Z60&lt;=240), (-1)*('(橫掃)RX Mapping'!Z60-240),IF(AND('(橫掃)RX Mapping'!Z60&gt;=241,'(橫掃)RX Mapping'!Z60&lt;=360), ('(橫掃)RX Mapping'!Z60-241),IF(AND('(橫掃)RX Mapping'!Z60&gt;=361,'(橫掃)RX Mapping'!Z60&lt;=480), (-1)*('(橫掃)RX Mapping'!Z60-480),IF(AND('(橫掃)RX Mapping'!Z60&gt;=481,'(橫掃)RX Mapping'!Z60&lt;=600), ('(橫掃)RX Mapping'!Z60-361),IF(AND('(橫掃)RX Mapping'!Z60&gt;=601,'(橫掃)RX Mapping'!Z60&lt;=720), (-1)*('(橫掃)RX Mapping'!Z60-720)+120,IF(AND('(橫掃)RX Mapping'!Z60&gt;=721,'(橫掃)RX Mapping'!Z60&lt;=840), ('(橫掃)RX Mapping'!Z60-601),IF(AND('(橫掃)RX Mapping'!Z60&gt;=841,'(橫掃)RX Mapping'!Z60&lt;=960), (-1)*('(橫掃)RX Mapping'!Z60-960)+120,9999))))))))</f>
        <v>9999</v>
      </c>
      <c r="AA60">
        <f>IF(AND('(橫掃)RX Mapping'!AA60&gt;=1,'(橫掃)RX Mapping'!AA60&lt;=120), ('(橫掃)RX Mapping'!AA60-1),IF(AND('(橫掃)RX Mapping'!AA60&gt;=121,'(橫掃)RX Mapping'!AA60&lt;=240), (-1)*('(橫掃)RX Mapping'!AA60-240),IF(AND('(橫掃)RX Mapping'!AA60&gt;=241,'(橫掃)RX Mapping'!AA60&lt;=360), ('(橫掃)RX Mapping'!AA60-241),IF(AND('(橫掃)RX Mapping'!AA60&gt;=361,'(橫掃)RX Mapping'!AA60&lt;=480), (-1)*('(橫掃)RX Mapping'!AA60-480),IF(AND('(橫掃)RX Mapping'!AA60&gt;=481,'(橫掃)RX Mapping'!AA60&lt;=600), ('(橫掃)RX Mapping'!AA60-361),IF(AND('(橫掃)RX Mapping'!AA60&gt;=601,'(橫掃)RX Mapping'!AA60&lt;=720), (-1)*('(橫掃)RX Mapping'!AA60-720)+120,IF(AND('(橫掃)RX Mapping'!AA60&gt;=721,'(橫掃)RX Mapping'!AA60&lt;=840), ('(橫掃)RX Mapping'!AA60-601),IF(AND('(橫掃)RX Mapping'!AA60&gt;=841,'(橫掃)RX Mapping'!AA60&lt;=960), (-1)*('(橫掃)RX Mapping'!AA60-960)+120,9999))))))))</f>
        <v>9999</v>
      </c>
      <c r="AB60">
        <f>IF(AND('(橫掃)RX Mapping'!AB60&gt;=1,'(橫掃)RX Mapping'!AB60&lt;=120), ('(橫掃)RX Mapping'!AB60-1),IF(AND('(橫掃)RX Mapping'!AB60&gt;=121,'(橫掃)RX Mapping'!AB60&lt;=240), (-1)*('(橫掃)RX Mapping'!AB60-240),IF(AND('(橫掃)RX Mapping'!AB60&gt;=241,'(橫掃)RX Mapping'!AB60&lt;=360), ('(橫掃)RX Mapping'!AB60-241),IF(AND('(橫掃)RX Mapping'!AB60&gt;=361,'(橫掃)RX Mapping'!AB60&lt;=480), (-1)*('(橫掃)RX Mapping'!AB60-480),IF(AND('(橫掃)RX Mapping'!AB60&gt;=481,'(橫掃)RX Mapping'!AB60&lt;=600), ('(橫掃)RX Mapping'!AB60-361),IF(AND('(橫掃)RX Mapping'!AB60&gt;=601,'(橫掃)RX Mapping'!AB60&lt;=720), (-1)*('(橫掃)RX Mapping'!AB60-720)+120,IF(AND('(橫掃)RX Mapping'!AB60&gt;=721,'(橫掃)RX Mapping'!AB60&lt;=840), ('(橫掃)RX Mapping'!AB60-601),IF(AND('(橫掃)RX Mapping'!AB60&gt;=841,'(橫掃)RX Mapping'!AB60&lt;=960), (-1)*('(橫掃)RX Mapping'!AB60-960)+120,9999))))))))</f>
        <v>9999</v>
      </c>
      <c r="AC60">
        <f>IF(AND('(橫掃)RX Mapping'!AC60&gt;=1,'(橫掃)RX Mapping'!AC60&lt;=120), ('(橫掃)RX Mapping'!AC60-1),IF(AND('(橫掃)RX Mapping'!AC60&gt;=121,'(橫掃)RX Mapping'!AC60&lt;=240), (-1)*('(橫掃)RX Mapping'!AC60-240),IF(AND('(橫掃)RX Mapping'!AC60&gt;=241,'(橫掃)RX Mapping'!AC60&lt;=360), ('(橫掃)RX Mapping'!AC60-241),IF(AND('(橫掃)RX Mapping'!AC60&gt;=361,'(橫掃)RX Mapping'!AC60&lt;=480), (-1)*('(橫掃)RX Mapping'!AC60-480),IF(AND('(橫掃)RX Mapping'!AC60&gt;=481,'(橫掃)RX Mapping'!AC60&lt;=600), ('(橫掃)RX Mapping'!AC60-361),IF(AND('(橫掃)RX Mapping'!AC60&gt;=601,'(橫掃)RX Mapping'!AC60&lt;=720), (-1)*('(橫掃)RX Mapping'!AC60-720)+120,IF(AND('(橫掃)RX Mapping'!AC60&gt;=721,'(橫掃)RX Mapping'!AC60&lt;=840), ('(橫掃)RX Mapping'!AC60-601),IF(AND('(橫掃)RX Mapping'!AC60&gt;=841,'(橫掃)RX Mapping'!AC60&lt;=960), (-1)*('(橫掃)RX Mapping'!AC60-960)+120,9999))))))))</f>
        <v>9999</v>
      </c>
      <c r="AD60">
        <f>IF(AND('(橫掃)RX Mapping'!AD60&gt;=1,'(橫掃)RX Mapping'!AD60&lt;=120), ('(橫掃)RX Mapping'!AD60-1),IF(AND('(橫掃)RX Mapping'!AD60&gt;=121,'(橫掃)RX Mapping'!AD60&lt;=240), (-1)*('(橫掃)RX Mapping'!AD60-240),IF(AND('(橫掃)RX Mapping'!AD60&gt;=241,'(橫掃)RX Mapping'!AD60&lt;=360), ('(橫掃)RX Mapping'!AD60-241),IF(AND('(橫掃)RX Mapping'!AD60&gt;=361,'(橫掃)RX Mapping'!AD60&lt;=480), (-1)*('(橫掃)RX Mapping'!AD60-480),IF(AND('(橫掃)RX Mapping'!AD60&gt;=481,'(橫掃)RX Mapping'!AD60&lt;=600), ('(橫掃)RX Mapping'!AD60-361),IF(AND('(橫掃)RX Mapping'!AD60&gt;=601,'(橫掃)RX Mapping'!AD60&lt;=720), (-1)*('(橫掃)RX Mapping'!AD60-720)+120,IF(AND('(橫掃)RX Mapping'!AD60&gt;=721,'(橫掃)RX Mapping'!AD60&lt;=840), ('(橫掃)RX Mapping'!AD60-601),IF(AND('(橫掃)RX Mapping'!AD60&gt;=841,'(橫掃)RX Mapping'!AD60&lt;=960), (-1)*('(橫掃)RX Mapping'!AD60-960)+120,9999))))))))</f>
        <v>9999</v>
      </c>
      <c r="AE60">
        <f>IF(AND('(橫掃)RX Mapping'!AE60&gt;=1,'(橫掃)RX Mapping'!AE60&lt;=120), ('(橫掃)RX Mapping'!AE60-1),IF(AND('(橫掃)RX Mapping'!AE60&gt;=121,'(橫掃)RX Mapping'!AE60&lt;=240), (-1)*('(橫掃)RX Mapping'!AE60-240),IF(AND('(橫掃)RX Mapping'!AE60&gt;=241,'(橫掃)RX Mapping'!AE60&lt;=360), ('(橫掃)RX Mapping'!AE60-241),IF(AND('(橫掃)RX Mapping'!AE60&gt;=361,'(橫掃)RX Mapping'!AE60&lt;=480), (-1)*('(橫掃)RX Mapping'!AE60-480),IF(AND('(橫掃)RX Mapping'!AE60&gt;=481,'(橫掃)RX Mapping'!AE60&lt;=600), ('(橫掃)RX Mapping'!AE60-361),IF(AND('(橫掃)RX Mapping'!AE60&gt;=601,'(橫掃)RX Mapping'!AE60&lt;=720), (-1)*('(橫掃)RX Mapping'!AE60-720)+120,IF(AND('(橫掃)RX Mapping'!AE60&gt;=721,'(橫掃)RX Mapping'!AE60&lt;=840), ('(橫掃)RX Mapping'!AE60-601),IF(AND('(橫掃)RX Mapping'!AE60&gt;=841,'(橫掃)RX Mapping'!AE60&lt;=960), (-1)*('(橫掃)RX Mapping'!AE60-960)+120,9999))))))))</f>
        <v>9999</v>
      </c>
      <c r="AF60">
        <f>IF(AND('(橫掃)RX Mapping'!AF60&gt;=1,'(橫掃)RX Mapping'!AF60&lt;=120), ('(橫掃)RX Mapping'!AF60-1),IF(AND('(橫掃)RX Mapping'!AF60&gt;=121,'(橫掃)RX Mapping'!AF60&lt;=240), (-1)*('(橫掃)RX Mapping'!AF60-240),IF(AND('(橫掃)RX Mapping'!AF60&gt;=241,'(橫掃)RX Mapping'!AF60&lt;=360), ('(橫掃)RX Mapping'!AF60-241),IF(AND('(橫掃)RX Mapping'!AF60&gt;=361,'(橫掃)RX Mapping'!AF60&lt;=480), (-1)*('(橫掃)RX Mapping'!AF60-480),IF(AND('(橫掃)RX Mapping'!AF60&gt;=481,'(橫掃)RX Mapping'!AF60&lt;=600), ('(橫掃)RX Mapping'!AF60-361),IF(AND('(橫掃)RX Mapping'!AF60&gt;=601,'(橫掃)RX Mapping'!AF60&lt;=720), (-1)*('(橫掃)RX Mapping'!AF60-720)+120,IF(AND('(橫掃)RX Mapping'!AF60&gt;=721,'(橫掃)RX Mapping'!AF60&lt;=840), ('(橫掃)RX Mapping'!AF60-601),IF(AND('(橫掃)RX Mapping'!AF60&gt;=841,'(橫掃)RX Mapping'!AF60&lt;=960), (-1)*('(橫掃)RX Mapping'!AF60-960)+120,9999))))))))</f>
        <v>9999</v>
      </c>
      <c r="AG60">
        <f>IF(AND('(橫掃)RX Mapping'!AG60&gt;=1,'(橫掃)RX Mapping'!AG60&lt;=120), ('(橫掃)RX Mapping'!AG60-1),IF(AND('(橫掃)RX Mapping'!AG60&gt;=121,'(橫掃)RX Mapping'!AG60&lt;=240), (-1)*('(橫掃)RX Mapping'!AG60-240),IF(AND('(橫掃)RX Mapping'!AG60&gt;=241,'(橫掃)RX Mapping'!AG60&lt;=360), ('(橫掃)RX Mapping'!AG60-241),IF(AND('(橫掃)RX Mapping'!AG60&gt;=361,'(橫掃)RX Mapping'!AG60&lt;=480), (-1)*('(橫掃)RX Mapping'!AG60-480),IF(AND('(橫掃)RX Mapping'!AG60&gt;=481,'(橫掃)RX Mapping'!AG60&lt;=600), ('(橫掃)RX Mapping'!AG60-361),IF(AND('(橫掃)RX Mapping'!AG60&gt;=601,'(橫掃)RX Mapping'!AG60&lt;=720), (-1)*('(橫掃)RX Mapping'!AG60-720)+120,IF(AND('(橫掃)RX Mapping'!AG60&gt;=721,'(橫掃)RX Mapping'!AG60&lt;=840), ('(橫掃)RX Mapping'!AG60-601),IF(AND('(橫掃)RX Mapping'!AG60&gt;=841,'(橫掃)RX Mapping'!AG60&lt;=960), (-1)*('(橫掃)RX Mapping'!AG60-960)+120,9999))))))))</f>
        <v>9999</v>
      </c>
      <c r="AH60">
        <f>IF(AND('(橫掃)RX Mapping'!AH60&gt;=1,'(橫掃)RX Mapping'!AH60&lt;=120), ('(橫掃)RX Mapping'!AH60-1),IF(AND('(橫掃)RX Mapping'!AH60&gt;=121,'(橫掃)RX Mapping'!AH60&lt;=240), (-1)*('(橫掃)RX Mapping'!AH60-240),IF(AND('(橫掃)RX Mapping'!AH60&gt;=241,'(橫掃)RX Mapping'!AH60&lt;=360), ('(橫掃)RX Mapping'!AH60-241),IF(AND('(橫掃)RX Mapping'!AH60&gt;=361,'(橫掃)RX Mapping'!AH60&lt;=480), (-1)*('(橫掃)RX Mapping'!AH60-480),IF(AND('(橫掃)RX Mapping'!AH60&gt;=481,'(橫掃)RX Mapping'!AH60&lt;=600), ('(橫掃)RX Mapping'!AH60-361),IF(AND('(橫掃)RX Mapping'!AH60&gt;=601,'(橫掃)RX Mapping'!AH60&lt;=720), (-1)*('(橫掃)RX Mapping'!AH60-720)+120,IF(AND('(橫掃)RX Mapping'!AH60&gt;=721,'(橫掃)RX Mapping'!AH60&lt;=840), ('(橫掃)RX Mapping'!AH60-601),IF(AND('(橫掃)RX Mapping'!AH60&gt;=841,'(橫掃)RX Mapping'!AH60&lt;=960), (-1)*('(橫掃)RX Mapping'!AH60-960)+120,9999))))))))</f>
        <v>9999</v>
      </c>
      <c r="AI60">
        <f>IF(AND('(橫掃)RX Mapping'!AI60&gt;=1,'(橫掃)RX Mapping'!AI60&lt;=120), ('(橫掃)RX Mapping'!AI60-1),IF(AND('(橫掃)RX Mapping'!AI60&gt;=121,'(橫掃)RX Mapping'!AI60&lt;=240), (-1)*('(橫掃)RX Mapping'!AI60-240),IF(AND('(橫掃)RX Mapping'!AI60&gt;=241,'(橫掃)RX Mapping'!AI60&lt;=360), ('(橫掃)RX Mapping'!AI60-241),IF(AND('(橫掃)RX Mapping'!AI60&gt;=361,'(橫掃)RX Mapping'!AI60&lt;=480), (-1)*('(橫掃)RX Mapping'!AI60-480),IF(AND('(橫掃)RX Mapping'!AI60&gt;=481,'(橫掃)RX Mapping'!AI60&lt;=600), ('(橫掃)RX Mapping'!AI60-361),IF(AND('(橫掃)RX Mapping'!AI60&gt;=601,'(橫掃)RX Mapping'!AI60&lt;=720), (-1)*('(橫掃)RX Mapping'!AI60-720)+120,IF(AND('(橫掃)RX Mapping'!AI60&gt;=721,'(橫掃)RX Mapping'!AI60&lt;=840), ('(橫掃)RX Mapping'!AI60-601),IF(AND('(橫掃)RX Mapping'!AI60&gt;=841,'(橫掃)RX Mapping'!AI60&lt;=960), (-1)*('(橫掃)RX Mapping'!AI60-960)+120,9999))))))))</f>
        <v>9999</v>
      </c>
      <c r="AJ60">
        <f>IF(AND('(橫掃)RX Mapping'!AJ60&gt;=1,'(橫掃)RX Mapping'!AJ60&lt;=120), ('(橫掃)RX Mapping'!AJ60-1),IF(AND('(橫掃)RX Mapping'!AJ60&gt;=121,'(橫掃)RX Mapping'!AJ60&lt;=240), (-1)*('(橫掃)RX Mapping'!AJ60-240),IF(AND('(橫掃)RX Mapping'!AJ60&gt;=241,'(橫掃)RX Mapping'!AJ60&lt;=360), ('(橫掃)RX Mapping'!AJ60-241),IF(AND('(橫掃)RX Mapping'!AJ60&gt;=361,'(橫掃)RX Mapping'!AJ60&lt;=480), (-1)*('(橫掃)RX Mapping'!AJ60-480),IF(AND('(橫掃)RX Mapping'!AJ60&gt;=481,'(橫掃)RX Mapping'!AJ60&lt;=600), ('(橫掃)RX Mapping'!AJ60-361),IF(AND('(橫掃)RX Mapping'!AJ60&gt;=601,'(橫掃)RX Mapping'!AJ60&lt;=720), (-1)*('(橫掃)RX Mapping'!AJ60-720)+120,IF(AND('(橫掃)RX Mapping'!AJ60&gt;=721,'(橫掃)RX Mapping'!AJ60&lt;=840), ('(橫掃)RX Mapping'!AJ60-601),IF(AND('(橫掃)RX Mapping'!AJ60&gt;=841,'(橫掃)RX Mapping'!AJ60&lt;=960), (-1)*('(橫掃)RX Mapping'!AJ60-960)+120,9999))))))))</f>
        <v>9999</v>
      </c>
      <c r="AK60">
        <f>IF(AND('(橫掃)RX Mapping'!AK60&gt;=1,'(橫掃)RX Mapping'!AK60&lt;=120), ('(橫掃)RX Mapping'!AK60-1),IF(AND('(橫掃)RX Mapping'!AK60&gt;=121,'(橫掃)RX Mapping'!AK60&lt;=240), (-1)*('(橫掃)RX Mapping'!AK60-240),IF(AND('(橫掃)RX Mapping'!AK60&gt;=241,'(橫掃)RX Mapping'!AK60&lt;=360), ('(橫掃)RX Mapping'!AK60-241),IF(AND('(橫掃)RX Mapping'!AK60&gt;=361,'(橫掃)RX Mapping'!AK60&lt;=480), (-1)*('(橫掃)RX Mapping'!AK60-480),IF(AND('(橫掃)RX Mapping'!AK60&gt;=481,'(橫掃)RX Mapping'!AK60&lt;=600), ('(橫掃)RX Mapping'!AK60-361),IF(AND('(橫掃)RX Mapping'!AK60&gt;=601,'(橫掃)RX Mapping'!AK60&lt;=720), (-1)*('(橫掃)RX Mapping'!AK60-720)+120,IF(AND('(橫掃)RX Mapping'!AK60&gt;=721,'(橫掃)RX Mapping'!AK60&lt;=840), ('(橫掃)RX Mapping'!AK60-601),IF(AND('(橫掃)RX Mapping'!AK60&gt;=841,'(橫掃)RX Mapping'!AK60&lt;=960), (-1)*('(橫掃)RX Mapping'!AK60-960)+120,9999))))))))</f>
        <v>9999</v>
      </c>
      <c r="AL60">
        <f>IF(AND('(橫掃)RX Mapping'!AL60&gt;=1,'(橫掃)RX Mapping'!AL60&lt;=120), ('(橫掃)RX Mapping'!AL60-1),IF(AND('(橫掃)RX Mapping'!AL60&gt;=121,'(橫掃)RX Mapping'!AL60&lt;=240), (-1)*('(橫掃)RX Mapping'!AL60-240),IF(AND('(橫掃)RX Mapping'!AL60&gt;=241,'(橫掃)RX Mapping'!AL60&lt;=360), ('(橫掃)RX Mapping'!AL60-241),IF(AND('(橫掃)RX Mapping'!AL60&gt;=361,'(橫掃)RX Mapping'!AL60&lt;=480), (-1)*('(橫掃)RX Mapping'!AL60-480),IF(AND('(橫掃)RX Mapping'!AL60&gt;=481,'(橫掃)RX Mapping'!AL60&lt;=600), ('(橫掃)RX Mapping'!AL60-361),IF(AND('(橫掃)RX Mapping'!AL60&gt;=601,'(橫掃)RX Mapping'!AL60&lt;=720), (-1)*('(橫掃)RX Mapping'!AL60-720)+120,IF(AND('(橫掃)RX Mapping'!AL60&gt;=721,'(橫掃)RX Mapping'!AL60&lt;=840), ('(橫掃)RX Mapping'!AL60-601),IF(AND('(橫掃)RX Mapping'!AL60&gt;=841,'(橫掃)RX Mapping'!AL60&lt;=960), (-1)*('(橫掃)RX Mapping'!AL60-960)+120,9999))))))))</f>
        <v>9999</v>
      </c>
      <c r="AM60">
        <f>IF(AND('(橫掃)RX Mapping'!AM60&gt;=1,'(橫掃)RX Mapping'!AM60&lt;=120), ('(橫掃)RX Mapping'!AM60-1),IF(AND('(橫掃)RX Mapping'!AM60&gt;=121,'(橫掃)RX Mapping'!AM60&lt;=240), (-1)*('(橫掃)RX Mapping'!AM60-240),IF(AND('(橫掃)RX Mapping'!AM60&gt;=241,'(橫掃)RX Mapping'!AM60&lt;=360), ('(橫掃)RX Mapping'!AM60-241),IF(AND('(橫掃)RX Mapping'!AM60&gt;=361,'(橫掃)RX Mapping'!AM60&lt;=480), (-1)*('(橫掃)RX Mapping'!AM60-480),IF(AND('(橫掃)RX Mapping'!AM60&gt;=481,'(橫掃)RX Mapping'!AM60&lt;=600), ('(橫掃)RX Mapping'!AM60-361),IF(AND('(橫掃)RX Mapping'!AM60&gt;=601,'(橫掃)RX Mapping'!AM60&lt;=720), (-1)*('(橫掃)RX Mapping'!AM60-720)+120,IF(AND('(橫掃)RX Mapping'!AM60&gt;=721,'(橫掃)RX Mapping'!AM60&lt;=840), ('(橫掃)RX Mapping'!AM60-601),IF(AND('(橫掃)RX Mapping'!AM60&gt;=841,'(橫掃)RX Mapping'!AM60&lt;=960), (-1)*('(橫掃)RX Mapping'!AM60-960)+120,9999))))))))</f>
        <v>9999</v>
      </c>
      <c r="AN60">
        <f>IF(AND('(橫掃)RX Mapping'!AN60&gt;=1,'(橫掃)RX Mapping'!AN60&lt;=120), ('(橫掃)RX Mapping'!AN60-1),IF(AND('(橫掃)RX Mapping'!AN60&gt;=121,'(橫掃)RX Mapping'!AN60&lt;=240), (-1)*('(橫掃)RX Mapping'!AN60-240),IF(AND('(橫掃)RX Mapping'!AN60&gt;=241,'(橫掃)RX Mapping'!AN60&lt;=360), ('(橫掃)RX Mapping'!AN60-241),IF(AND('(橫掃)RX Mapping'!AN60&gt;=361,'(橫掃)RX Mapping'!AN60&lt;=480), (-1)*('(橫掃)RX Mapping'!AN60-480),IF(AND('(橫掃)RX Mapping'!AN60&gt;=481,'(橫掃)RX Mapping'!AN60&lt;=600), ('(橫掃)RX Mapping'!AN60-361),IF(AND('(橫掃)RX Mapping'!AN60&gt;=601,'(橫掃)RX Mapping'!AN60&lt;=720), (-1)*('(橫掃)RX Mapping'!AN60-720)+120,IF(AND('(橫掃)RX Mapping'!AN60&gt;=721,'(橫掃)RX Mapping'!AN60&lt;=840), ('(橫掃)RX Mapping'!AN60-601),IF(AND('(橫掃)RX Mapping'!AN60&gt;=841,'(橫掃)RX Mapping'!AN60&lt;=960), (-1)*('(橫掃)RX Mapping'!AN60-960)+120,9999))))))))</f>
        <v>9999</v>
      </c>
      <c r="AO60">
        <f>IF(AND('(橫掃)RX Mapping'!AO60&gt;=1,'(橫掃)RX Mapping'!AO60&lt;=120), ('(橫掃)RX Mapping'!AO60-1),IF(AND('(橫掃)RX Mapping'!AO60&gt;=121,'(橫掃)RX Mapping'!AO60&lt;=240), (-1)*('(橫掃)RX Mapping'!AO60-240),IF(AND('(橫掃)RX Mapping'!AO60&gt;=241,'(橫掃)RX Mapping'!AO60&lt;=360), ('(橫掃)RX Mapping'!AO60-241),IF(AND('(橫掃)RX Mapping'!AO60&gt;=361,'(橫掃)RX Mapping'!AO60&lt;=480), (-1)*('(橫掃)RX Mapping'!AO60-480),IF(AND('(橫掃)RX Mapping'!AO60&gt;=481,'(橫掃)RX Mapping'!AO60&lt;=600), ('(橫掃)RX Mapping'!AO60-361),IF(AND('(橫掃)RX Mapping'!AO60&gt;=601,'(橫掃)RX Mapping'!AO60&lt;=720), (-1)*('(橫掃)RX Mapping'!AO60-720)+120,IF(AND('(橫掃)RX Mapping'!AO60&gt;=721,'(橫掃)RX Mapping'!AO60&lt;=840), ('(橫掃)RX Mapping'!AO60-601),IF(AND('(橫掃)RX Mapping'!AO60&gt;=841,'(橫掃)RX Mapping'!AO60&lt;=960), (-1)*('(橫掃)RX Mapping'!AO60-960)+120,9999))))))))</f>
        <v>9999</v>
      </c>
      <c r="AP60">
        <f>IF(AND('(橫掃)RX Mapping'!AP60&gt;=1,'(橫掃)RX Mapping'!AP60&lt;=120), ('(橫掃)RX Mapping'!AP60-1),IF(AND('(橫掃)RX Mapping'!AP60&gt;=121,'(橫掃)RX Mapping'!AP60&lt;=240), (-1)*('(橫掃)RX Mapping'!AP60-240),IF(AND('(橫掃)RX Mapping'!AP60&gt;=241,'(橫掃)RX Mapping'!AP60&lt;=360), ('(橫掃)RX Mapping'!AP60-241),IF(AND('(橫掃)RX Mapping'!AP60&gt;=361,'(橫掃)RX Mapping'!AP60&lt;=480), (-1)*('(橫掃)RX Mapping'!AP60-480),IF(AND('(橫掃)RX Mapping'!AP60&gt;=481,'(橫掃)RX Mapping'!AP60&lt;=600), ('(橫掃)RX Mapping'!AP60-361),IF(AND('(橫掃)RX Mapping'!AP60&gt;=601,'(橫掃)RX Mapping'!AP60&lt;=720), (-1)*('(橫掃)RX Mapping'!AP60-720)+120,IF(AND('(橫掃)RX Mapping'!AP60&gt;=721,'(橫掃)RX Mapping'!AP60&lt;=840), ('(橫掃)RX Mapping'!AP60-601),IF(AND('(橫掃)RX Mapping'!AP60&gt;=841,'(橫掃)RX Mapping'!AP60&lt;=960), (-1)*('(橫掃)RX Mapping'!AP60-960)+120,9999))))))))</f>
        <v>9999</v>
      </c>
      <c r="AQ60">
        <f>IF(AND('(橫掃)RX Mapping'!AQ60&gt;=1,'(橫掃)RX Mapping'!AQ60&lt;=120), ('(橫掃)RX Mapping'!AQ60-1),IF(AND('(橫掃)RX Mapping'!AQ60&gt;=121,'(橫掃)RX Mapping'!AQ60&lt;=240), (-1)*('(橫掃)RX Mapping'!AQ60-240),IF(AND('(橫掃)RX Mapping'!AQ60&gt;=241,'(橫掃)RX Mapping'!AQ60&lt;=360), ('(橫掃)RX Mapping'!AQ60-241),IF(AND('(橫掃)RX Mapping'!AQ60&gt;=361,'(橫掃)RX Mapping'!AQ60&lt;=480), (-1)*('(橫掃)RX Mapping'!AQ60-480),IF(AND('(橫掃)RX Mapping'!AQ60&gt;=481,'(橫掃)RX Mapping'!AQ60&lt;=600), ('(橫掃)RX Mapping'!AQ60-361),IF(AND('(橫掃)RX Mapping'!AQ60&gt;=601,'(橫掃)RX Mapping'!AQ60&lt;=720), (-1)*('(橫掃)RX Mapping'!AQ60-720)+120,IF(AND('(橫掃)RX Mapping'!AQ60&gt;=721,'(橫掃)RX Mapping'!AQ60&lt;=840), ('(橫掃)RX Mapping'!AQ60-601),IF(AND('(橫掃)RX Mapping'!AQ60&gt;=841,'(橫掃)RX Mapping'!AQ60&lt;=960), (-1)*('(橫掃)RX Mapping'!AQ60-960)+120,9999))))))))</f>
        <v>9999</v>
      </c>
      <c r="AR60">
        <f>IF(AND('(橫掃)RX Mapping'!AR60&gt;=1,'(橫掃)RX Mapping'!AR60&lt;=120), ('(橫掃)RX Mapping'!AR60-1),IF(AND('(橫掃)RX Mapping'!AR60&gt;=121,'(橫掃)RX Mapping'!AR60&lt;=240), (-1)*('(橫掃)RX Mapping'!AR60-240),IF(AND('(橫掃)RX Mapping'!AR60&gt;=241,'(橫掃)RX Mapping'!AR60&lt;=360), ('(橫掃)RX Mapping'!AR60-241),IF(AND('(橫掃)RX Mapping'!AR60&gt;=361,'(橫掃)RX Mapping'!AR60&lt;=480), (-1)*('(橫掃)RX Mapping'!AR60-480),IF(AND('(橫掃)RX Mapping'!AR60&gt;=481,'(橫掃)RX Mapping'!AR60&lt;=600), ('(橫掃)RX Mapping'!AR60-361),IF(AND('(橫掃)RX Mapping'!AR60&gt;=601,'(橫掃)RX Mapping'!AR60&lt;=720), (-1)*('(橫掃)RX Mapping'!AR60-720)+120,IF(AND('(橫掃)RX Mapping'!AR60&gt;=721,'(橫掃)RX Mapping'!AR60&lt;=840), ('(橫掃)RX Mapping'!AR60-601),IF(AND('(橫掃)RX Mapping'!AR60&gt;=841,'(橫掃)RX Mapping'!AR60&lt;=960), (-1)*('(橫掃)RX Mapping'!AR60-960)+120,9999))))))))</f>
        <v>9999</v>
      </c>
      <c r="AS60">
        <f>IF(AND('(橫掃)RX Mapping'!AS60&gt;=1,'(橫掃)RX Mapping'!AS60&lt;=120), ('(橫掃)RX Mapping'!AS60-1),IF(AND('(橫掃)RX Mapping'!AS60&gt;=121,'(橫掃)RX Mapping'!AS60&lt;=240), (-1)*('(橫掃)RX Mapping'!AS60-240),IF(AND('(橫掃)RX Mapping'!AS60&gt;=241,'(橫掃)RX Mapping'!AS60&lt;=360), ('(橫掃)RX Mapping'!AS60-241),IF(AND('(橫掃)RX Mapping'!AS60&gt;=361,'(橫掃)RX Mapping'!AS60&lt;=480), (-1)*('(橫掃)RX Mapping'!AS60-480),IF(AND('(橫掃)RX Mapping'!AS60&gt;=481,'(橫掃)RX Mapping'!AS60&lt;=600), ('(橫掃)RX Mapping'!AS60-361),IF(AND('(橫掃)RX Mapping'!AS60&gt;=601,'(橫掃)RX Mapping'!AS60&lt;=720), (-1)*('(橫掃)RX Mapping'!AS60-720)+120,IF(AND('(橫掃)RX Mapping'!AS60&gt;=721,'(橫掃)RX Mapping'!AS60&lt;=840), ('(橫掃)RX Mapping'!AS60-601),IF(AND('(橫掃)RX Mapping'!AS60&gt;=841,'(橫掃)RX Mapping'!AS60&lt;=960), (-1)*('(橫掃)RX Mapping'!AS60-960)+120,9999))))))))</f>
        <v>9999</v>
      </c>
      <c r="AT60">
        <f>IF(AND('(橫掃)RX Mapping'!AT60&gt;=1,'(橫掃)RX Mapping'!AT60&lt;=120), ('(橫掃)RX Mapping'!AT60-1),IF(AND('(橫掃)RX Mapping'!AT60&gt;=121,'(橫掃)RX Mapping'!AT60&lt;=240), (-1)*('(橫掃)RX Mapping'!AT60-240),IF(AND('(橫掃)RX Mapping'!AT60&gt;=241,'(橫掃)RX Mapping'!AT60&lt;=360), ('(橫掃)RX Mapping'!AT60-241),IF(AND('(橫掃)RX Mapping'!AT60&gt;=361,'(橫掃)RX Mapping'!AT60&lt;=480), (-1)*('(橫掃)RX Mapping'!AT60-480),IF(AND('(橫掃)RX Mapping'!AT60&gt;=481,'(橫掃)RX Mapping'!AT60&lt;=600), ('(橫掃)RX Mapping'!AT60-361),IF(AND('(橫掃)RX Mapping'!AT60&gt;=601,'(橫掃)RX Mapping'!AT60&lt;=720), (-1)*('(橫掃)RX Mapping'!AT60-720)+120,IF(AND('(橫掃)RX Mapping'!AT60&gt;=721,'(橫掃)RX Mapping'!AT60&lt;=840), ('(橫掃)RX Mapping'!AT60-601),IF(AND('(橫掃)RX Mapping'!AT60&gt;=841,'(橫掃)RX Mapping'!AT60&lt;=960), (-1)*('(橫掃)RX Mapping'!AT60-960)+120,9999))))))))</f>
        <v>9999</v>
      </c>
      <c r="AU60">
        <f>IF(AND('(橫掃)RX Mapping'!AU60&gt;=1,'(橫掃)RX Mapping'!AU60&lt;=120), ('(橫掃)RX Mapping'!AU60-1),IF(AND('(橫掃)RX Mapping'!AU60&gt;=121,'(橫掃)RX Mapping'!AU60&lt;=240), (-1)*('(橫掃)RX Mapping'!AU60-240),IF(AND('(橫掃)RX Mapping'!AU60&gt;=241,'(橫掃)RX Mapping'!AU60&lt;=360), ('(橫掃)RX Mapping'!AU60-241),IF(AND('(橫掃)RX Mapping'!AU60&gt;=361,'(橫掃)RX Mapping'!AU60&lt;=480), (-1)*('(橫掃)RX Mapping'!AU60-480),IF(AND('(橫掃)RX Mapping'!AU60&gt;=481,'(橫掃)RX Mapping'!AU60&lt;=600), ('(橫掃)RX Mapping'!AU60-361),IF(AND('(橫掃)RX Mapping'!AU60&gt;=601,'(橫掃)RX Mapping'!AU60&lt;=720), (-1)*('(橫掃)RX Mapping'!AU60-720)+120,IF(AND('(橫掃)RX Mapping'!AU60&gt;=721,'(橫掃)RX Mapping'!AU60&lt;=840), ('(橫掃)RX Mapping'!AU60-601),IF(AND('(橫掃)RX Mapping'!AU60&gt;=841,'(橫掃)RX Mapping'!AU60&lt;=960), (-1)*('(橫掃)RX Mapping'!AU60-960)+120,9999))))))))</f>
        <v>9999</v>
      </c>
      <c r="AV60">
        <f>IF(AND('(橫掃)RX Mapping'!AV60&gt;=1,'(橫掃)RX Mapping'!AV60&lt;=120), ('(橫掃)RX Mapping'!AV60-1),IF(AND('(橫掃)RX Mapping'!AV60&gt;=121,'(橫掃)RX Mapping'!AV60&lt;=240), (-1)*('(橫掃)RX Mapping'!AV60-240),IF(AND('(橫掃)RX Mapping'!AV60&gt;=241,'(橫掃)RX Mapping'!AV60&lt;=360), ('(橫掃)RX Mapping'!AV60-241),IF(AND('(橫掃)RX Mapping'!AV60&gt;=361,'(橫掃)RX Mapping'!AV60&lt;=480), (-1)*('(橫掃)RX Mapping'!AV60-480),IF(AND('(橫掃)RX Mapping'!AV60&gt;=481,'(橫掃)RX Mapping'!AV60&lt;=600), ('(橫掃)RX Mapping'!AV60-361),IF(AND('(橫掃)RX Mapping'!AV60&gt;=601,'(橫掃)RX Mapping'!AV60&lt;=720), (-1)*('(橫掃)RX Mapping'!AV60-720)+120,IF(AND('(橫掃)RX Mapping'!AV60&gt;=721,'(橫掃)RX Mapping'!AV60&lt;=840), ('(橫掃)RX Mapping'!AV60-601),IF(AND('(橫掃)RX Mapping'!AV60&gt;=841,'(橫掃)RX Mapping'!AV60&lt;=960), (-1)*('(橫掃)RX Mapping'!AV60-960)+120,9999))))))))</f>
        <v>9999</v>
      </c>
      <c r="AW60">
        <f>IF(AND('(橫掃)RX Mapping'!AW60&gt;=1,'(橫掃)RX Mapping'!AW60&lt;=120), ('(橫掃)RX Mapping'!AW60-1),IF(AND('(橫掃)RX Mapping'!AW60&gt;=121,'(橫掃)RX Mapping'!AW60&lt;=240), (-1)*('(橫掃)RX Mapping'!AW60-240),IF(AND('(橫掃)RX Mapping'!AW60&gt;=241,'(橫掃)RX Mapping'!AW60&lt;=360), ('(橫掃)RX Mapping'!AW60-241),IF(AND('(橫掃)RX Mapping'!AW60&gt;=361,'(橫掃)RX Mapping'!AW60&lt;=480), (-1)*('(橫掃)RX Mapping'!AW60-480),IF(AND('(橫掃)RX Mapping'!AW60&gt;=481,'(橫掃)RX Mapping'!AW60&lt;=600), ('(橫掃)RX Mapping'!AW60-361),IF(AND('(橫掃)RX Mapping'!AW60&gt;=601,'(橫掃)RX Mapping'!AW60&lt;=720), (-1)*('(橫掃)RX Mapping'!AW60-720)+120,IF(AND('(橫掃)RX Mapping'!AW60&gt;=721,'(橫掃)RX Mapping'!AW60&lt;=840), ('(橫掃)RX Mapping'!AW60-601),IF(AND('(橫掃)RX Mapping'!AW60&gt;=841,'(橫掃)RX Mapping'!AW60&lt;=960), (-1)*('(橫掃)RX Mapping'!AW60-960)+120,9999))))))))</f>
        <v>9999</v>
      </c>
      <c r="AX60">
        <f>IF(AND('(橫掃)RX Mapping'!AX60&gt;=1,'(橫掃)RX Mapping'!AX60&lt;=120), ('(橫掃)RX Mapping'!AX60-1),IF(AND('(橫掃)RX Mapping'!AX60&gt;=121,'(橫掃)RX Mapping'!AX60&lt;=240), (-1)*('(橫掃)RX Mapping'!AX60-240),IF(AND('(橫掃)RX Mapping'!AX60&gt;=241,'(橫掃)RX Mapping'!AX60&lt;=360), ('(橫掃)RX Mapping'!AX60-241),IF(AND('(橫掃)RX Mapping'!AX60&gt;=361,'(橫掃)RX Mapping'!AX60&lt;=480), (-1)*('(橫掃)RX Mapping'!AX60-480),IF(AND('(橫掃)RX Mapping'!AX60&gt;=481,'(橫掃)RX Mapping'!AX60&lt;=600), ('(橫掃)RX Mapping'!AX60-361),IF(AND('(橫掃)RX Mapping'!AX60&gt;=601,'(橫掃)RX Mapping'!AX60&lt;=720), (-1)*('(橫掃)RX Mapping'!AX60-720)+120,IF(AND('(橫掃)RX Mapping'!AX60&gt;=721,'(橫掃)RX Mapping'!AX60&lt;=840), ('(橫掃)RX Mapping'!AX60-601),IF(AND('(橫掃)RX Mapping'!AX60&gt;=841,'(橫掃)RX Mapping'!AX60&lt;=960), (-1)*('(橫掃)RX Mapping'!AX60-960)+120,9999))))))))</f>
        <v>9999</v>
      </c>
      <c r="AY60">
        <f>IF(AND('(橫掃)RX Mapping'!AY60&gt;=1,'(橫掃)RX Mapping'!AY60&lt;=120), ('(橫掃)RX Mapping'!AY60-1),IF(AND('(橫掃)RX Mapping'!AY60&gt;=121,'(橫掃)RX Mapping'!AY60&lt;=240), (-1)*('(橫掃)RX Mapping'!AY60-240),IF(AND('(橫掃)RX Mapping'!AY60&gt;=241,'(橫掃)RX Mapping'!AY60&lt;=360), ('(橫掃)RX Mapping'!AY60-241),IF(AND('(橫掃)RX Mapping'!AY60&gt;=361,'(橫掃)RX Mapping'!AY60&lt;=480), (-1)*('(橫掃)RX Mapping'!AY60-480),IF(AND('(橫掃)RX Mapping'!AY60&gt;=481,'(橫掃)RX Mapping'!AY60&lt;=600), ('(橫掃)RX Mapping'!AY60-361),IF(AND('(橫掃)RX Mapping'!AY60&gt;=601,'(橫掃)RX Mapping'!AY60&lt;=720), (-1)*('(橫掃)RX Mapping'!AY60-720)+120,IF(AND('(橫掃)RX Mapping'!AY60&gt;=721,'(橫掃)RX Mapping'!AY60&lt;=840), ('(橫掃)RX Mapping'!AY60-601),IF(AND('(橫掃)RX Mapping'!AY60&gt;=841,'(橫掃)RX Mapping'!AY60&lt;=960), (-1)*('(橫掃)RX Mapping'!AY60-960)+120,9999))))))))</f>
        <v>9999</v>
      </c>
      <c r="AZ60">
        <f>IF(AND('(橫掃)RX Mapping'!AZ60&gt;=1,'(橫掃)RX Mapping'!AZ60&lt;=120), ('(橫掃)RX Mapping'!AZ60-1),IF(AND('(橫掃)RX Mapping'!AZ60&gt;=121,'(橫掃)RX Mapping'!AZ60&lt;=240), (-1)*('(橫掃)RX Mapping'!AZ60-240),IF(AND('(橫掃)RX Mapping'!AZ60&gt;=241,'(橫掃)RX Mapping'!AZ60&lt;=360), ('(橫掃)RX Mapping'!AZ60-241),IF(AND('(橫掃)RX Mapping'!AZ60&gt;=361,'(橫掃)RX Mapping'!AZ60&lt;=480), (-1)*('(橫掃)RX Mapping'!AZ60-480),IF(AND('(橫掃)RX Mapping'!AZ60&gt;=481,'(橫掃)RX Mapping'!AZ60&lt;=600), ('(橫掃)RX Mapping'!AZ60-361),IF(AND('(橫掃)RX Mapping'!AZ60&gt;=601,'(橫掃)RX Mapping'!AZ60&lt;=720), (-1)*('(橫掃)RX Mapping'!AZ60-720)+120,IF(AND('(橫掃)RX Mapping'!AZ60&gt;=721,'(橫掃)RX Mapping'!AZ60&lt;=840), ('(橫掃)RX Mapping'!AZ60-601),IF(AND('(橫掃)RX Mapping'!AZ60&gt;=841,'(橫掃)RX Mapping'!AZ60&lt;=960), (-1)*('(橫掃)RX Mapping'!AZ60-960)+120,9999))))))))</f>
        <v>9999</v>
      </c>
      <c r="BA60">
        <f>IF(AND('(橫掃)RX Mapping'!BA60&gt;=1,'(橫掃)RX Mapping'!BA60&lt;=120), ('(橫掃)RX Mapping'!BA60-1),IF(AND('(橫掃)RX Mapping'!BA60&gt;=121,'(橫掃)RX Mapping'!BA60&lt;=240), (-1)*('(橫掃)RX Mapping'!BA60-240),IF(AND('(橫掃)RX Mapping'!BA60&gt;=241,'(橫掃)RX Mapping'!BA60&lt;=360), ('(橫掃)RX Mapping'!BA60-241),IF(AND('(橫掃)RX Mapping'!BA60&gt;=361,'(橫掃)RX Mapping'!BA60&lt;=480), (-1)*('(橫掃)RX Mapping'!BA60-480),IF(AND('(橫掃)RX Mapping'!BA60&gt;=481,'(橫掃)RX Mapping'!BA60&lt;=600), ('(橫掃)RX Mapping'!BA60-361),IF(AND('(橫掃)RX Mapping'!BA60&gt;=601,'(橫掃)RX Mapping'!BA60&lt;=720), (-1)*('(橫掃)RX Mapping'!BA60-720)+120,IF(AND('(橫掃)RX Mapping'!BA60&gt;=721,'(橫掃)RX Mapping'!BA60&lt;=840), ('(橫掃)RX Mapping'!BA60-601),IF(AND('(橫掃)RX Mapping'!BA60&gt;=841,'(橫掃)RX Mapping'!BA60&lt;=960), (-1)*('(橫掃)RX Mapping'!BA60-960)+120,9999))))))))</f>
        <v>9999</v>
      </c>
      <c r="BB60">
        <f>IF(AND('(橫掃)RX Mapping'!BB60&gt;=1,'(橫掃)RX Mapping'!BB60&lt;=120), ('(橫掃)RX Mapping'!BB60-1),IF(AND('(橫掃)RX Mapping'!BB60&gt;=121,'(橫掃)RX Mapping'!BB60&lt;=240), (-1)*('(橫掃)RX Mapping'!BB60-240),IF(AND('(橫掃)RX Mapping'!BB60&gt;=241,'(橫掃)RX Mapping'!BB60&lt;=360), ('(橫掃)RX Mapping'!BB60-241),IF(AND('(橫掃)RX Mapping'!BB60&gt;=361,'(橫掃)RX Mapping'!BB60&lt;=480), (-1)*('(橫掃)RX Mapping'!BB60-480),IF(AND('(橫掃)RX Mapping'!BB60&gt;=481,'(橫掃)RX Mapping'!BB60&lt;=600), ('(橫掃)RX Mapping'!BB60-361),IF(AND('(橫掃)RX Mapping'!BB60&gt;=601,'(橫掃)RX Mapping'!BB60&lt;=720), (-1)*('(橫掃)RX Mapping'!BB60-720)+120,IF(AND('(橫掃)RX Mapping'!BB60&gt;=721,'(橫掃)RX Mapping'!BB60&lt;=840), ('(橫掃)RX Mapping'!BB60-601),IF(AND('(橫掃)RX Mapping'!BB60&gt;=841,'(橫掃)RX Mapping'!BB60&lt;=960), (-1)*('(橫掃)RX Mapping'!BB60-960)+120,9999))))))))</f>
        <v>9999</v>
      </c>
      <c r="BC60">
        <f>IF(AND('(橫掃)RX Mapping'!BC60&gt;=1,'(橫掃)RX Mapping'!BC60&lt;=120), ('(橫掃)RX Mapping'!BC60-1),IF(AND('(橫掃)RX Mapping'!BC60&gt;=121,'(橫掃)RX Mapping'!BC60&lt;=240), (-1)*('(橫掃)RX Mapping'!BC60-240),IF(AND('(橫掃)RX Mapping'!BC60&gt;=241,'(橫掃)RX Mapping'!BC60&lt;=360), ('(橫掃)RX Mapping'!BC60-241),IF(AND('(橫掃)RX Mapping'!BC60&gt;=361,'(橫掃)RX Mapping'!BC60&lt;=480), (-1)*('(橫掃)RX Mapping'!BC60-480),IF(AND('(橫掃)RX Mapping'!BC60&gt;=481,'(橫掃)RX Mapping'!BC60&lt;=600), ('(橫掃)RX Mapping'!BC60-361),IF(AND('(橫掃)RX Mapping'!BC60&gt;=601,'(橫掃)RX Mapping'!BC60&lt;=720), (-1)*('(橫掃)RX Mapping'!BC60-720)+120,IF(AND('(橫掃)RX Mapping'!BC60&gt;=721,'(橫掃)RX Mapping'!BC60&lt;=840), ('(橫掃)RX Mapping'!BC60-601),IF(AND('(橫掃)RX Mapping'!BC60&gt;=841,'(橫掃)RX Mapping'!BC60&lt;=960), (-1)*('(橫掃)RX Mapping'!BC60-960)+120,9999))))))))</f>
        <v>9999</v>
      </c>
      <c r="BD60">
        <f>IF(AND('(橫掃)RX Mapping'!BD60&gt;=1,'(橫掃)RX Mapping'!BD60&lt;=120), ('(橫掃)RX Mapping'!BD60-1),IF(AND('(橫掃)RX Mapping'!BD60&gt;=121,'(橫掃)RX Mapping'!BD60&lt;=240), (-1)*('(橫掃)RX Mapping'!BD60-240),IF(AND('(橫掃)RX Mapping'!BD60&gt;=241,'(橫掃)RX Mapping'!BD60&lt;=360), ('(橫掃)RX Mapping'!BD60-241),IF(AND('(橫掃)RX Mapping'!BD60&gt;=361,'(橫掃)RX Mapping'!BD60&lt;=480), (-1)*('(橫掃)RX Mapping'!BD60-480),IF(AND('(橫掃)RX Mapping'!BD60&gt;=481,'(橫掃)RX Mapping'!BD60&lt;=600), ('(橫掃)RX Mapping'!BD60-361),IF(AND('(橫掃)RX Mapping'!BD60&gt;=601,'(橫掃)RX Mapping'!BD60&lt;=720), (-1)*('(橫掃)RX Mapping'!BD60-720)+120,IF(AND('(橫掃)RX Mapping'!BD60&gt;=721,'(橫掃)RX Mapping'!BD60&lt;=840), ('(橫掃)RX Mapping'!BD60-601),IF(AND('(橫掃)RX Mapping'!BD60&gt;=841,'(橫掃)RX Mapping'!BD60&lt;=960), (-1)*('(橫掃)RX Mapping'!BD60-960)+120,9999))))))))</f>
        <v>9999</v>
      </c>
      <c r="BE60">
        <f>IF(AND('(橫掃)RX Mapping'!BE60&gt;=1,'(橫掃)RX Mapping'!BE60&lt;=120), ('(橫掃)RX Mapping'!BE60-1),IF(AND('(橫掃)RX Mapping'!BE60&gt;=121,'(橫掃)RX Mapping'!BE60&lt;=240), (-1)*('(橫掃)RX Mapping'!BE60-240),IF(AND('(橫掃)RX Mapping'!BE60&gt;=241,'(橫掃)RX Mapping'!BE60&lt;=360), ('(橫掃)RX Mapping'!BE60-241),IF(AND('(橫掃)RX Mapping'!BE60&gt;=361,'(橫掃)RX Mapping'!BE60&lt;=480), (-1)*('(橫掃)RX Mapping'!BE60-480),IF(AND('(橫掃)RX Mapping'!BE60&gt;=481,'(橫掃)RX Mapping'!BE60&lt;=600), ('(橫掃)RX Mapping'!BE60-361),IF(AND('(橫掃)RX Mapping'!BE60&gt;=601,'(橫掃)RX Mapping'!BE60&lt;=720), (-1)*('(橫掃)RX Mapping'!BE60-720)+120,IF(AND('(橫掃)RX Mapping'!BE60&gt;=721,'(橫掃)RX Mapping'!BE60&lt;=840), ('(橫掃)RX Mapping'!BE60-601),IF(AND('(橫掃)RX Mapping'!BE60&gt;=841,'(橫掃)RX Mapping'!BE60&lt;=960), (-1)*('(橫掃)RX Mapping'!BE60-960)+120,9999))))))))</f>
        <v>9999</v>
      </c>
      <c r="BF60">
        <f>IF(AND('(橫掃)RX Mapping'!BF60&gt;=1,'(橫掃)RX Mapping'!BF60&lt;=120), ('(橫掃)RX Mapping'!BF60-1),IF(AND('(橫掃)RX Mapping'!BF60&gt;=121,'(橫掃)RX Mapping'!BF60&lt;=240), (-1)*('(橫掃)RX Mapping'!BF60-240),IF(AND('(橫掃)RX Mapping'!BF60&gt;=241,'(橫掃)RX Mapping'!BF60&lt;=360), ('(橫掃)RX Mapping'!BF60-241),IF(AND('(橫掃)RX Mapping'!BF60&gt;=361,'(橫掃)RX Mapping'!BF60&lt;=480), (-1)*('(橫掃)RX Mapping'!BF60-480),IF(AND('(橫掃)RX Mapping'!BF60&gt;=481,'(橫掃)RX Mapping'!BF60&lt;=600), ('(橫掃)RX Mapping'!BF60-361),IF(AND('(橫掃)RX Mapping'!BF60&gt;=601,'(橫掃)RX Mapping'!BF60&lt;=720), (-1)*('(橫掃)RX Mapping'!BF60-720)+120,IF(AND('(橫掃)RX Mapping'!BF60&gt;=721,'(橫掃)RX Mapping'!BF60&lt;=840), ('(橫掃)RX Mapping'!BF60-601),IF(AND('(橫掃)RX Mapping'!BF60&gt;=841,'(橫掃)RX Mapping'!BF60&lt;=960), (-1)*('(橫掃)RX Mapping'!BF60-960)+120,9999))))))))</f>
        <v>9999</v>
      </c>
      <c r="BG60">
        <f>IF(AND('(橫掃)RX Mapping'!BG60&gt;=1,'(橫掃)RX Mapping'!BG60&lt;=120), ('(橫掃)RX Mapping'!BG60-1),IF(AND('(橫掃)RX Mapping'!BG60&gt;=121,'(橫掃)RX Mapping'!BG60&lt;=240), (-1)*('(橫掃)RX Mapping'!BG60-240),IF(AND('(橫掃)RX Mapping'!BG60&gt;=241,'(橫掃)RX Mapping'!BG60&lt;=360), ('(橫掃)RX Mapping'!BG60-241),IF(AND('(橫掃)RX Mapping'!BG60&gt;=361,'(橫掃)RX Mapping'!BG60&lt;=480), (-1)*('(橫掃)RX Mapping'!BG60-480),IF(AND('(橫掃)RX Mapping'!BG60&gt;=481,'(橫掃)RX Mapping'!BG60&lt;=600), ('(橫掃)RX Mapping'!BG60-361),IF(AND('(橫掃)RX Mapping'!BG60&gt;=601,'(橫掃)RX Mapping'!BG60&lt;=720), (-1)*('(橫掃)RX Mapping'!BG60-720)+120,IF(AND('(橫掃)RX Mapping'!BG60&gt;=721,'(橫掃)RX Mapping'!BG60&lt;=840), ('(橫掃)RX Mapping'!BG60-601),IF(AND('(橫掃)RX Mapping'!BG60&gt;=841,'(橫掃)RX Mapping'!BG60&lt;=960), (-1)*('(橫掃)RX Mapping'!BG60-960)+120,9999))))))))</f>
        <v>9999</v>
      </c>
      <c r="BH60">
        <f>IF(AND('(橫掃)RX Mapping'!BH60&gt;=1,'(橫掃)RX Mapping'!BH60&lt;=120), ('(橫掃)RX Mapping'!BH60-1),IF(AND('(橫掃)RX Mapping'!BH60&gt;=121,'(橫掃)RX Mapping'!BH60&lt;=240), (-1)*('(橫掃)RX Mapping'!BH60-240),IF(AND('(橫掃)RX Mapping'!BH60&gt;=241,'(橫掃)RX Mapping'!BH60&lt;=360), ('(橫掃)RX Mapping'!BH60-241),IF(AND('(橫掃)RX Mapping'!BH60&gt;=361,'(橫掃)RX Mapping'!BH60&lt;=480), (-1)*('(橫掃)RX Mapping'!BH60-480),IF(AND('(橫掃)RX Mapping'!BH60&gt;=481,'(橫掃)RX Mapping'!BH60&lt;=600), ('(橫掃)RX Mapping'!BH60-361),IF(AND('(橫掃)RX Mapping'!BH60&gt;=601,'(橫掃)RX Mapping'!BH60&lt;=720), (-1)*('(橫掃)RX Mapping'!BH60-720)+120,IF(AND('(橫掃)RX Mapping'!BH60&gt;=721,'(橫掃)RX Mapping'!BH60&lt;=840), ('(橫掃)RX Mapping'!BH60-601),IF(AND('(橫掃)RX Mapping'!BH60&gt;=841,'(橫掃)RX Mapping'!BH60&lt;=960), (-1)*('(橫掃)RX Mapping'!BH60-960)+120,9999))))))))</f>
        <v>9999</v>
      </c>
      <c r="BI60">
        <f>IF(AND('(橫掃)RX Mapping'!BI60&gt;=1,'(橫掃)RX Mapping'!BI60&lt;=120), ('(橫掃)RX Mapping'!BI60-1),IF(AND('(橫掃)RX Mapping'!BI60&gt;=121,'(橫掃)RX Mapping'!BI60&lt;=240), (-1)*('(橫掃)RX Mapping'!BI60-240),IF(AND('(橫掃)RX Mapping'!BI60&gt;=241,'(橫掃)RX Mapping'!BI60&lt;=360), ('(橫掃)RX Mapping'!BI60-241),IF(AND('(橫掃)RX Mapping'!BI60&gt;=361,'(橫掃)RX Mapping'!BI60&lt;=480), (-1)*('(橫掃)RX Mapping'!BI60-480),IF(AND('(橫掃)RX Mapping'!BI60&gt;=481,'(橫掃)RX Mapping'!BI60&lt;=600), ('(橫掃)RX Mapping'!BI60-361),IF(AND('(橫掃)RX Mapping'!BI60&gt;=601,'(橫掃)RX Mapping'!BI60&lt;=720), (-1)*('(橫掃)RX Mapping'!BI60-720)+120,IF(AND('(橫掃)RX Mapping'!BI60&gt;=721,'(橫掃)RX Mapping'!BI60&lt;=840), ('(橫掃)RX Mapping'!BI60-601),IF(AND('(橫掃)RX Mapping'!BI60&gt;=841,'(橫掃)RX Mapping'!BI60&lt;=960), (-1)*('(橫掃)RX Mapping'!BI60-960)+120,9999))))))))</f>
        <v>9999</v>
      </c>
    </row>
    <row r="61" spans="1:61" x14ac:dyDescent="0.25">
      <c r="A61" s="20">
        <v>60</v>
      </c>
      <c r="B61">
        <f>IF(AND('(橫掃)RX Mapping'!B61&gt;=1,'(橫掃)RX Mapping'!B61&lt;=120), ('(橫掃)RX Mapping'!B61-1),IF(AND('(橫掃)RX Mapping'!B61&gt;=121,'(橫掃)RX Mapping'!B61&lt;=240), (-1)*('(橫掃)RX Mapping'!B61-240),IF(AND('(橫掃)RX Mapping'!B61&gt;=241,'(橫掃)RX Mapping'!B61&lt;=360), ('(橫掃)RX Mapping'!B61-241),IF(AND('(橫掃)RX Mapping'!B61&gt;=361,'(橫掃)RX Mapping'!B61&lt;=480), (-1)*('(橫掃)RX Mapping'!B61-480),IF(AND('(橫掃)RX Mapping'!B61&gt;=481,'(橫掃)RX Mapping'!B61&lt;=600), ('(橫掃)RX Mapping'!B61-361),IF(AND('(橫掃)RX Mapping'!B61&gt;=601,'(橫掃)RX Mapping'!B61&lt;=720), (-1)*('(橫掃)RX Mapping'!B61-720)+120,IF(AND('(橫掃)RX Mapping'!B61&gt;=721,'(橫掃)RX Mapping'!B61&lt;=840), ('(橫掃)RX Mapping'!B61-601),IF(AND('(橫掃)RX Mapping'!B61&gt;=841,'(橫掃)RX Mapping'!B61&lt;=960), (-1)*('(橫掃)RX Mapping'!B61-960)+120,9999))))))))</f>
        <v>9999</v>
      </c>
      <c r="C61">
        <f>IF(AND('(橫掃)RX Mapping'!C61&gt;=1,'(橫掃)RX Mapping'!C61&lt;=120), ('(橫掃)RX Mapping'!C61-1),IF(AND('(橫掃)RX Mapping'!C61&gt;=121,'(橫掃)RX Mapping'!C61&lt;=240), (-1)*('(橫掃)RX Mapping'!C61-240),IF(AND('(橫掃)RX Mapping'!C61&gt;=241,'(橫掃)RX Mapping'!C61&lt;=360), ('(橫掃)RX Mapping'!C61-241),IF(AND('(橫掃)RX Mapping'!C61&gt;=361,'(橫掃)RX Mapping'!C61&lt;=480), (-1)*('(橫掃)RX Mapping'!C61-480),IF(AND('(橫掃)RX Mapping'!C61&gt;=481,'(橫掃)RX Mapping'!C61&lt;=600), ('(橫掃)RX Mapping'!C61-361),IF(AND('(橫掃)RX Mapping'!C61&gt;=601,'(橫掃)RX Mapping'!C61&lt;=720), (-1)*('(橫掃)RX Mapping'!C61-720)+120,IF(AND('(橫掃)RX Mapping'!C61&gt;=721,'(橫掃)RX Mapping'!C61&lt;=840), ('(橫掃)RX Mapping'!C61-601),IF(AND('(橫掃)RX Mapping'!C61&gt;=841,'(橫掃)RX Mapping'!C61&lt;=960), (-1)*('(橫掃)RX Mapping'!C61-960)+120,9999))))))))</f>
        <v>9999</v>
      </c>
      <c r="D61">
        <f>IF(AND('(橫掃)RX Mapping'!D61&gt;=1,'(橫掃)RX Mapping'!D61&lt;=120), ('(橫掃)RX Mapping'!D61-1),IF(AND('(橫掃)RX Mapping'!D61&gt;=121,'(橫掃)RX Mapping'!D61&lt;=240), (-1)*('(橫掃)RX Mapping'!D61-240),IF(AND('(橫掃)RX Mapping'!D61&gt;=241,'(橫掃)RX Mapping'!D61&lt;=360), ('(橫掃)RX Mapping'!D61-241),IF(AND('(橫掃)RX Mapping'!D61&gt;=361,'(橫掃)RX Mapping'!D61&lt;=480), (-1)*('(橫掃)RX Mapping'!D61-480),IF(AND('(橫掃)RX Mapping'!D61&gt;=481,'(橫掃)RX Mapping'!D61&lt;=600), ('(橫掃)RX Mapping'!D61-361),IF(AND('(橫掃)RX Mapping'!D61&gt;=601,'(橫掃)RX Mapping'!D61&lt;=720), (-1)*('(橫掃)RX Mapping'!D61-720)+120,IF(AND('(橫掃)RX Mapping'!D61&gt;=721,'(橫掃)RX Mapping'!D61&lt;=840), ('(橫掃)RX Mapping'!D61-601),IF(AND('(橫掃)RX Mapping'!D61&gt;=841,'(橫掃)RX Mapping'!D61&lt;=960), (-1)*('(橫掃)RX Mapping'!D61-960)+120,9999))))))))</f>
        <v>9999</v>
      </c>
      <c r="E61">
        <f>IF(AND('(橫掃)RX Mapping'!E61&gt;=1,'(橫掃)RX Mapping'!E61&lt;=120), ('(橫掃)RX Mapping'!E61-1),IF(AND('(橫掃)RX Mapping'!E61&gt;=121,'(橫掃)RX Mapping'!E61&lt;=240), (-1)*('(橫掃)RX Mapping'!E61-240),IF(AND('(橫掃)RX Mapping'!E61&gt;=241,'(橫掃)RX Mapping'!E61&lt;=360), ('(橫掃)RX Mapping'!E61-241),IF(AND('(橫掃)RX Mapping'!E61&gt;=361,'(橫掃)RX Mapping'!E61&lt;=480), (-1)*('(橫掃)RX Mapping'!E61-480),IF(AND('(橫掃)RX Mapping'!E61&gt;=481,'(橫掃)RX Mapping'!E61&lt;=600), ('(橫掃)RX Mapping'!E61-361),IF(AND('(橫掃)RX Mapping'!E61&gt;=601,'(橫掃)RX Mapping'!E61&lt;=720), (-1)*('(橫掃)RX Mapping'!E61-720)+120,IF(AND('(橫掃)RX Mapping'!E61&gt;=721,'(橫掃)RX Mapping'!E61&lt;=840), ('(橫掃)RX Mapping'!E61-601),IF(AND('(橫掃)RX Mapping'!E61&gt;=841,'(橫掃)RX Mapping'!E61&lt;=960), (-1)*('(橫掃)RX Mapping'!E61-960)+120,9999))))))))</f>
        <v>9999</v>
      </c>
      <c r="F61">
        <f>IF(AND('(橫掃)RX Mapping'!F61&gt;=1,'(橫掃)RX Mapping'!F61&lt;=120), ('(橫掃)RX Mapping'!F61-1),IF(AND('(橫掃)RX Mapping'!F61&gt;=121,'(橫掃)RX Mapping'!F61&lt;=240), (-1)*('(橫掃)RX Mapping'!F61-240),IF(AND('(橫掃)RX Mapping'!F61&gt;=241,'(橫掃)RX Mapping'!F61&lt;=360), ('(橫掃)RX Mapping'!F61-241),IF(AND('(橫掃)RX Mapping'!F61&gt;=361,'(橫掃)RX Mapping'!F61&lt;=480), (-1)*('(橫掃)RX Mapping'!F61-480),IF(AND('(橫掃)RX Mapping'!F61&gt;=481,'(橫掃)RX Mapping'!F61&lt;=600), ('(橫掃)RX Mapping'!F61-361),IF(AND('(橫掃)RX Mapping'!F61&gt;=601,'(橫掃)RX Mapping'!F61&lt;=720), (-1)*('(橫掃)RX Mapping'!F61-720)+120,IF(AND('(橫掃)RX Mapping'!F61&gt;=721,'(橫掃)RX Mapping'!F61&lt;=840), ('(橫掃)RX Mapping'!F61-601),IF(AND('(橫掃)RX Mapping'!F61&gt;=841,'(橫掃)RX Mapping'!F61&lt;=960), (-1)*('(橫掃)RX Mapping'!F61-960)+120,9999))))))))</f>
        <v>9999</v>
      </c>
      <c r="G61">
        <f>IF(AND('(橫掃)RX Mapping'!G61&gt;=1,'(橫掃)RX Mapping'!G61&lt;=120), ('(橫掃)RX Mapping'!G61-1),IF(AND('(橫掃)RX Mapping'!G61&gt;=121,'(橫掃)RX Mapping'!G61&lt;=240), (-1)*('(橫掃)RX Mapping'!G61-240),IF(AND('(橫掃)RX Mapping'!G61&gt;=241,'(橫掃)RX Mapping'!G61&lt;=360), ('(橫掃)RX Mapping'!G61-241),IF(AND('(橫掃)RX Mapping'!G61&gt;=361,'(橫掃)RX Mapping'!G61&lt;=480), (-1)*('(橫掃)RX Mapping'!G61-480),IF(AND('(橫掃)RX Mapping'!G61&gt;=481,'(橫掃)RX Mapping'!G61&lt;=600), ('(橫掃)RX Mapping'!G61-361),IF(AND('(橫掃)RX Mapping'!G61&gt;=601,'(橫掃)RX Mapping'!G61&lt;=720), (-1)*('(橫掃)RX Mapping'!G61-720)+120,IF(AND('(橫掃)RX Mapping'!G61&gt;=721,'(橫掃)RX Mapping'!G61&lt;=840), ('(橫掃)RX Mapping'!G61-601),IF(AND('(橫掃)RX Mapping'!G61&gt;=841,'(橫掃)RX Mapping'!G61&lt;=960), (-1)*('(橫掃)RX Mapping'!G61-960)+120,9999))))))))</f>
        <v>9999</v>
      </c>
      <c r="H61">
        <f>IF(AND('(橫掃)RX Mapping'!H61&gt;=1,'(橫掃)RX Mapping'!H61&lt;=120), ('(橫掃)RX Mapping'!H61-1),IF(AND('(橫掃)RX Mapping'!H61&gt;=121,'(橫掃)RX Mapping'!H61&lt;=240), (-1)*('(橫掃)RX Mapping'!H61-240),IF(AND('(橫掃)RX Mapping'!H61&gt;=241,'(橫掃)RX Mapping'!H61&lt;=360), ('(橫掃)RX Mapping'!H61-241),IF(AND('(橫掃)RX Mapping'!H61&gt;=361,'(橫掃)RX Mapping'!H61&lt;=480), (-1)*('(橫掃)RX Mapping'!H61-480),IF(AND('(橫掃)RX Mapping'!H61&gt;=481,'(橫掃)RX Mapping'!H61&lt;=600), ('(橫掃)RX Mapping'!H61-361),IF(AND('(橫掃)RX Mapping'!H61&gt;=601,'(橫掃)RX Mapping'!H61&lt;=720), (-1)*('(橫掃)RX Mapping'!H61-720)+120,IF(AND('(橫掃)RX Mapping'!H61&gt;=721,'(橫掃)RX Mapping'!H61&lt;=840), ('(橫掃)RX Mapping'!H61-601),IF(AND('(橫掃)RX Mapping'!H61&gt;=841,'(橫掃)RX Mapping'!H61&lt;=960), (-1)*('(橫掃)RX Mapping'!H61-960)+120,9999))))))))</f>
        <v>9999</v>
      </c>
      <c r="I61">
        <f>IF(AND('(橫掃)RX Mapping'!I61&gt;=1,'(橫掃)RX Mapping'!I61&lt;=120), ('(橫掃)RX Mapping'!I61-1),IF(AND('(橫掃)RX Mapping'!I61&gt;=121,'(橫掃)RX Mapping'!I61&lt;=240), (-1)*('(橫掃)RX Mapping'!I61-240),IF(AND('(橫掃)RX Mapping'!I61&gt;=241,'(橫掃)RX Mapping'!I61&lt;=360), ('(橫掃)RX Mapping'!I61-241),IF(AND('(橫掃)RX Mapping'!I61&gt;=361,'(橫掃)RX Mapping'!I61&lt;=480), (-1)*('(橫掃)RX Mapping'!I61-480),IF(AND('(橫掃)RX Mapping'!I61&gt;=481,'(橫掃)RX Mapping'!I61&lt;=600), ('(橫掃)RX Mapping'!I61-361),IF(AND('(橫掃)RX Mapping'!I61&gt;=601,'(橫掃)RX Mapping'!I61&lt;=720), (-1)*('(橫掃)RX Mapping'!I61-720)+120,IF(AND('(橫掃)RX Mapping'!I61&gt;=721,'(橫掃)RX Mapping'!I61&lt;=840), ('(橫掃)RX Mapping'!I61-601),IF(AND('(橫掃)RX Mapping'!I61&gt;=841,'(橫掃)RX Mapping'!I61&lt;=960), (-1)*('(橫掃)RX Mapping'!I61-960)+120,9999))))))))</f>
        <v>9999</v>
      </c>
      <c r="J61">
        <f>IF(AND('(橫掃)RX Mapping'!J61&gt;=1,'(橫掃)RX Mapping'!J61&lt;=120), ('(橫掃)RX Mapping'!J61-1),IF(AND('(橫掃)RX Mapping'!J61&gt;=121,'(橫掃)RX Mapping'!J61&lt;=240), (-1)*('(橫掃)RX Mapping'!J61-240),IF(AND('(橫掃)RX Mapping'!J61&gt;=241,'(橫掃)RX Mapping'!J61&lt;=360), ('(橫掃)RX Mapping'!J61-241),IF(AND('(橫掃)RX Mapping'!J61&gt;=361,'(橫掃)RX Mapping'!J61&lt;=480), (-1)*('(橫掃)RX Mapping'!J61-480),IF(AND('(橫掃)RX Mapping'!J61&gt;=481,'(橫掃)RX Mapping'!J61&lt;=600), ('(橫掃)RX Mapping'!J61-361),IF(AND('(橫掃)RX Mapping'!J61&gt;=601,'(橫掃)RX Mapping'!J61&lt;=720), (-1)*('(橫掃)RX Mapping'!J61-720)+120,IF(AND('(橫掃)RX Mapping'!J61&gt;=721,'(橫掃)RX Mapping'!J61&lt;=840), ('(橫掃)RX Mapping'!J61-601),IF(AND('(橫掃)RX Mapping'!J61&gt;=841,'(橫掃)RX Mapping'!J61&lt;=960), (-1)*('(橫掃)RX Mapping'!J61-960)+120,9999))))))))</f>
        <v>9999</v>
      </c>
      <c r="K61">
        <f>IF(AND('(橫掃)RX Mapping'!K61&gt;=1,'(橫掃)RX Mapping'!K61&lt;=120), ('(橫掃)RX Mapping'!K61-1),IF(AND('(橫掃)RX Mapping'!K61&gt;=121,'(橫掃)RX Mapping'!K61&lt;=240), (-1)*('(橫掃)RX Mapping'!K61-240),IF(AND('(橫掃)RX Mapping'!K61&gt;=241,'(橫掃)RX Mapping'!K61&lt;=360), ('(橫掃)RX Mapping'!K61-241),IF(AND('(橫掃)RX Mapping'!K61&gt;=361,'(橫掃)RX Mapping'!K61&lt;=480), (-1)*('(橫掃)RX Mapping'!K61-480),IF(AND('(橫掃)RX Mapping'!K61&gt;=481,'(橫掃)RX Mapping'!K61&lt;=600), ('(橫掃)RX Mapping'!K61-361),IF(AND('(橫掃)RX Mapping'!K61&gt;=601,'(橫掃)RX Mapping'!K61&lt;=720), (-1)*('(橫掃)RX Mapping'!K61-720)+120,IF(AND('(橫掃)RX Mapping'!K61&gt;=721,'(橫掃)RX Mapping'!K61&lt;=840), ('(橫掃)RX Mapping'!K61-601),IF(AND('(橫掃)RX Mapping'!K61&gt;=841,'(橫掃)RX Mapping'!K61&lt;=960), (-1)*('(橫掃)RX Mapping'!K61-960)+120,9999))))))))</f>
        <v>9999</v>
      </c>
      <c r="L61">
        <f>IF(AND('(橫掃)RX Mapping'!L61&gt;=1,'(橫掃)RX Mapping'!L61&lt;=120), ('(橫掃)RX Mapping'!L61-1),IF(AND('(橫掃)RX Mapping'!L61&gt;=121,'(橫掃)RX Mapping'!L61&lt;=240), (-1)*('(橫掃)RX Mapping'!L61-240),IF(AND('(橫掃)RX Mapping'!L61&gt;=241,'(橫掃)RX Mapping'!L61&lt;=360), ('(橫掃)RX Mapping'!L61-241),IF(AND('(橫掃)RX Mapping'!L61&gt;=361,'(橫掃)RX Mapping'!L61&lt;=480), (-1)*('(橫掃)RX Mapping'!L61-480),IF(AND('(橫掃)RX Mapping'!L61&gt;=481,'(橫掃)RX Mapping'!L61&lt;=600), ('(橫掃)RX Mapping'!L61-361),IF(AND('(橫掃)RX Mapping'!L61&gt;=601,'(橫掃)RX Mapping'!L61&lt;=720), (-1)*('(橫掃)RX Mapping'!L61-720)+120,IF(AND('(橫掃)RX Mapping'!L61&gt;=721,'(橫掃)RX Mapping'!L61&lt;=840), ('(橫掃)RX Mapping'!L61-601),IF(AND('(橫掃)RX Mapping'!L61&gt;=841,'(橫掃)RX Mapping'!L61&lt;=960), (-1)*('(橫掃)RX Mapping'!L61-960)+120,9999))))))))</f>
        <v>9999</v>
      </c>
      <c r="M61">
        <f>IF(AND('(橫掃)RX Mapping'!M61&gt;=1,'(橫掃)RX Mapping'!M61&lt;=120), ('(橫掃)RX Mapping'!M61-1),IF(AND('(橫掃)RX Mapping'!M61&gt;=121,'(橫掃)RX Mapping'!M61&lt;=240), (-1)*('(橫掃)RX Mapping'!M61-240),IF(AND('(橫掃)RX Mapping'!M61&gt;=241,'(橫掃)RX Mapping'!M61&lt;=360), ('(橫掃)RX Mapping'!M61-241),IF(AND('(橫掃)RX Mapping'!M61&gt;=361,'(橫掃)RX Mapping'!M61&lt;=480), (-1)*('(橫掃)RX Mapping'!M61-480),IF(AND('(橫掃)RX Mapping'!M61&gt;=481,'(橫掃)RX Mapping'!M61&lt;=600), ('(橫掃)RX Mapping'!M61-361),IF(AND('(橫掃)RX Mapping'!M61&gt;=601,'(橫掃)RX Mapping'!M61&lt;=720), (-1)*('(橫掃)RX Mapping'!M61-720)+120,IF(AND('(橫掃)RX Mapping'!M61&gt;=721,'(橫掃)RX Mapping'!M61&lt;=840), ('(橫掃)RX Mapping'!M61-601),IF(AND('(橫掃)RX Mapping'!M61&gt;=841,'(橫掃)RX Mapping'!M61&lt;=960), (-1)*('(橫掃)RX Mapping'!M61-960)+120,9999))))))))</f>
        <v>9999</v>
      </c>
      <c r="N61">
        <f>IF(AND('(橫掃)RX Mapping'!N61&gt;=1,'(橫掃)RX Mapping'!N61&lt;=120), ('(橫掃)RX Mapping'!N61-1),IF(AND('(橫掃)RX Mapping'!N61&gt;=121,'(橫掃)RX Mapping'!N61&lt;=240), (-1)*('(橫掃)RX Mapping'!N61-240),IF(AND('(橫掃)RX Mapping'!N61&gt;=241,'(橫掃)RX Mapping'!N61&lt;=360), ('(橫掃)RX Mapping'!N61-241),IF(AND('(橫掃)RX Mapping'!N61&gt;=361,'(橫掃)RX Mapping'!N61&lt;=480), (-1)*('(橫掃)RX Mapping'!N61-480),IF(AND('(橫掃)RX Mapping'!N61&gt;=481,'(橫掃)RX Mapping'!N61&lt;=600), ('(橫掃)RX Mapping'!N61-361),IF(AND('(橫掃)RX Mapping'!N61&gt;=601,'(橫掃)RX Mapping'!N61&lt;=720), (-1)*('(橫掃)RX Mapping'!N61-720)+120,IF(AND('(橫掃)RX Mapping'!N61&gt;=721,'(橫掃)RX Mapping'!N61&lt;=840), ('(橫掃)RX Mapping'!N61-601),IF(AND('(橫掃)RX Mapping'!N61&gt;=841,'(橫掃)RX Mapping'!N61&lt;=960), (-1)*('(橫掃)RX Mapping'!N61-960)+120,9999))))))))</f>
        <v>9999</v>
      </c>
      <c r="O61">
        <f>IF(AND('(橫掃)RX Mapping'!O61&gt;=1,'(橫掃)RX Mapping'!O61&lt;=120), ('(橫掃)RX Mapping'!O61-1),IF(AND('(橫掃)RX Mapping'!O61&gt;=121,'(橫掃)RX Mapping'!O61&lt;=240), (-1)*('(橫掃)RX Mapping'!O61-240),IF(AND('(橫掃)RX Mapping'!O61&gt;=241,'(橫掃)RX Mapping'!O61&lt;=360), ('(橫掃)RX Mapping'!O61-241),IF(AND('(橫掃)RX Mapping'!O61&gt;=361,'(橫掃)RX Mapping'!O61&lt;=480), (-1)*('(橫掃)RX Mapping'!O61-480),IF(AND('(橫掃)RX Mapping'!O61&gt;=481,'(橫掃)RX Mapping'!O61&lt;=600), ('(橫掃)RX Mapping'!O61-361),IF(AND('(橫掃)RX Mapping'!O61&gt;=601,'(橫掃)RX Mapping'!O61&lt;=720), (-1)*('(橫掃)RX Mapping'!O61-720)+120,IF(AND('(橫掃)RX Mapping'!O61&gt;=721,'(橫掃)RX Mapping'!O61&lt;=840), ('(橫掃)RX Mapping'!O61-601),IF(AND('(橫掃)RX Mapping'!O61&gt;=841,'(橫掃)RX Mapping'!O61&lt;=960), (-1)*('(橫掃)RX Mapping'!O61-960)+120,9999))))))))</f>
        <v>9999</v>
      </c>
      <c r="P61">
        <f>IF(AND('(橫掃)RX Mapping'!P61&gt;=1,'(橫掃)RX Mapping'!P61&lt;=120), ('(橫掃)RX Mapping'!P61-1),IF(AND('(橫掃)RX Mapping'!P61&gt;=121,'(橫掃)RX Mapping'!P61&lt;=240), (-1)*('(橫掃)RX Mapping'!P61-240),IF(AND('(橫掃)RX Mapping'!P61&gt;=241,'(橫掃)RX Mapping'!P61&lt;=360), ('(橫掃)RX Mapping'!P61-241),IF(AND('(橫掃)RX Mapping'!P61&gt;=361,'(橫掃)RX Mapping'!P61&lt;=480), (-1)*('(橫掃)RX Mapping'!P61-480),IF(AND('(橫掃)RX Mapping'!P61&gt;=481,'(橫掃)RX Mapping'!P61&lt;=600), ('(橫掃)RX Mapping'!P61-361),IF(AND('(橫掃)RX Mapping'!P61&gt;=601,'(橫掃)RX Mapping'!P61&lt;=720), (-1)*('(橫掃)RX Mapping'!P61-720)+120,IF(AND('(橫掃)RX Mapping'!P61&gt;=721,'(橫掃)RX Mapping'!P61&lt;=840), ('(橫掃)RX Mapping'!P61-601),IF(AND('(橫掃)RX Mapping'!P61&gt;=841,'(橫掃)RX Mapping'!P61&lt;=960), (-1)*('(橫掃)RX Mapping'!P61-960)+120,9999))))))))</f>
        <v>9999</v>
      </c>
      <c r="Q61">
        <f>IF(AND('(橫掃)RX Mapping'!Q61&gt;=1,'(橫掃)RX Mapping'!Q61&lt;=120), ('(橫掃)RX Mapping'!Q61-1),IF(AND('(橫掃)RX Mapping'!Q61&gt;=121,'(橫掃)RX Mapping'!Q61&lt;=240), (-1)*('(橫掃)RX Mapping'!Q61-240),IF(AND('(橫掃)RX Mapping'!Q61&gt;=241,'(橫掃)RX Mapping'!Q61&lt;=360), ('(橫掃)RX Mapping'!Q61-241),IF(AND('(橫掃)RX Mapping'!Q61&gt;=361,'(橫掃)RX Mapping'!Q61&lt;=480), (-1)*('(橫掃)RX Mapping'!Q61-480),IF(AND('(橫掃)RX Mapping'!Q61&gt;=481,'(橫掃)RX Mapping'!Q61&lt;=600), ('(橫掃)RX Mapping'!Q61-361),IF(AND('(橫掃)RX Mapping'!Q61&gt;=601,'(橫掃)RX Mapping'!Q61&lt;=720), (-1)*('(橫掃)RX Mapping'!Q61-720)+120,IF(AND('(橫掃)RX Mapping'!Q61&gt;=721,'(橫掃)RX Mapping'!Q61&lt;=840), ('(橫掃)RX Mapping'!Q61-601),IF(AND('(橫掃)RX Mapping'!Q61&gt;=841,'(橫掃)RX Mapping'!Q61&lt;=960), (-1)*('(橫掃)RX Mapping'!Q61-960)+120,9999))))))))</f>
        <v>9999</v>
      </c>
      <c r="R61">
        <f>IF(AND('(橫掃)RX Mapping'!R61&gt;=1,'(橫掃)RX Mapping'!R61&lt;=120), ('(橫掃)RX Mapping'!R61-1),IF(AND('(橫掃)RX Mapping'!R61&gt;=121,'(橫掃)RX Mapping'!R61&lt;=240), (-1)*('(橫掃)RX Mapping'!R61-240),IF(AND('(橫掃)RX Mapping'!R61&gt;=241,'(橫掃)RX Mapping'!R61&lt;=360), ('(橫掃)RX Mapping'!R61-241),IF(AND('(橫掃)RX Mapping'!R61&gt;=361,'(橫掃)RX Mapping'!R61&lt;=480), (-1)*('(橫掃)RX Mapping'!R61-480),IF(AND('(橫掃)RX Mapping'!R61&gt;=481,'(橫掃)RX Mapping'!R61&lt;=600), ('(橫掃)RX Mapping'!R61-361),IF(AND('(橫掃)RX Mapping'!R61&gt;=601,'(橫掃)RX Mapping'!R61&lt;=720), (-1)*('(橫掃)RX Mapping'!R61-720)+120,IF(AND('(橫掃)RX Mapping'!R61&gt;=721,'(橫掃)RX Mapping'!R61&lt;=840), ('(橫掃)RX Mapping'!R61-601),IF(AND('(橫掃)RX Mapping'!R61&gt;=841,'(橫掃)RX Mapping'!R61&lt;=960), (-1)*('(橫掃)RX Mapping'!R61-960)+120,9999))))))))</f>
        <v>9999</v>
      </c>
      <c r="S61">
        <f>IF(AND('(橫掃)RX Mapping'!S61&gt;=1,'(橫掃)RX Mapping'!S61&lt;=120), ('(橫掃)RX Mapping'!S61-1),IF(AND('(橫掃)RX Mapping'!S61&gt;=121,'(橫掃)RX Mapping'!S61&lt;=240), (-1)*('(橫掃)RX Mapping'!S61-240),IF(AND('(橫掃)RX Mapping'!S61&gt;=241,'(橫掃)RX Mapping'!S61&lt;=360), ('(橫掃)RX Mapping'!S61-241),IF(AND('(橫掃)RX Mapping'!S61&gt;=361,'(橫掃)RX Mapping'!S61&lt;=480), (-1)*('(橫掃)RX Mapping'!S61-480),IF(AND('(橫掃)RX Mapping'!S61&gt;=481,'(橫掃)RX Mapping'!S61&lt;=600), ('(橫掃)RX Mapping'!S61-361),IF(AND('(橫掃)RX Mapping'!S61&gt;=601,'(橫掃)RX Mapping'!S61&lt;=720), (-1)*('(橫掃)RX Mapping'!S61-720)+120,IF(AND('(橫掃)RX Mapping'!S61&gt;=721,'(橫掃)RX Mapping'!S61&lt;=840), ('(橫掃)RX Mapping'!S61-601),IF(AND('(橫掃)RX Mapping'!S61&gt;=841,'(橫掃)RX Mapping'!S61&lt;=960), (-1)*('(橫掃)RX Mapping'!S61-960)+120,9999))))))))</f>
        <v>9999</v>
      </c>
      <c r="T61">
        <f>IF(AND('(橫掃)RX Mapping'!T61&gt;=1,'(橫掃)RX Mapping'!T61&lt;=120), ('(橫掃)RX Mapping'!T61-1),IF(AND('(橫掃)RX Mapping'!T61&gt;=121,'(橫掃)RX Mapping'!T61&lt;=240), (-1)*('(橫掃)RX Mapping'!T61-240),IF(AND('(橫掃)RX Mapping'!T61&gt;=241,'(橫掃)RX Mapping'!T61&lt;=360), ('(橫掃)RX Mapping'!T61-241),IF(AND('(橫掃)RX Mapping'!T61&gt;=361,'(橫掃)RX Mapping'!T61&lt;=480), (-1)*('(橫掃)RX Mapping'!T61-480),IF(AND('(橫掃)RX Mapping'!T61&gt;=481,'(橫掃)RX Mapping'!T61&lt;=600), ('(橫掃)RX Mapping'!T61-361),IF(AND('(橫掃)RX Mapping'!T61&gt;=601,'(橫掃)RX Mapping'!T61&lt;=720), (-1)*('(橫掃)RX Mapping'!T61-720)+120,IF(AND('(橫掃)RX Mapping'!T61&gt;=721,'(橫掃)RX Mapping'!T61&lt;=840), ('(橫掃)RX Mapping'!T61-601),IF(AND('(橫掃)RX Mapping'!T61&gt;=841,'(橫掃)RX Mapping'!T61&lt;=960), (-1)*('(橫掃)RX Mapping'!T61-960)+120,9999))))))))</f>
        <v>9999</v>
      </c>
      <c r="U61">
        <f>IF(AND('(橫掃)RX Mapping'!U61&gt;=1,'(橫掃)RX Mapping'!U61&lt;=120), ('(橫掃)RX Mapping'!U61-1),IF(AND('(橫掃)RX Mapping'!U61&gt;=121,'(橫掃)RX Mapping'!U61&lt;=240), (-1)*('(橫掃)RX Mapping'!U61-240),IF(AND('(橫掃)RX Mapping'!U61&gt;=241,'(橫掃)RX Mapping'!U61&lt;=360), ('(橫掃)RX Mapping'!U61-241),IF(AND('(橫掃)RX Mapping'!U61&gt;=361,'(橫掃)RX Mapping'!U61&lt;=480), (-1)*('(橫掃)RX Mapping'!U61-480),IF(AND('(橫掃)RX Mapping'!U61&gt;=481,'(橫掃)RX Mapping'!U61&lt;=600), ('(橫掃)RX Mapping'!U61-361),IF(AND('(橫掃)RX Mapping'!U61&gt;=601,'(橫掃)RX Mapping'!U61&lt;=720), (-1)*('(橫掃)RX Mapping'!U61-720)+120,IF(AND('(橫掃)RX Mapping'!U61&gt;=721,'(橫掃)RX Mapping'!U61&lt;=840), ('(橫掃)RX Mapping'!U61-601),IF(AND('(橫掃)RX Mapping'!U61&gt;=841,'(橫掃)RX Mapping'!U61&lt;=960), (-1)*('(橫掃)RX Mapping'!U61-960)+120,9999))))))))</f>
        <v>9999</v>
      </c>
      <c r="V61">
        <f>IF(AND('(橫掃)RX Mapping'!V61&gt;=1,'(橫掃)RX Mapping'!V61&lt;=120), ('(橫掃)RX Mapping'!V61-1),IF(AND('(橫掃)RX Mapping'!V61&gt;=121,'(橫掃)RX Mapping'!V61&lt;=240), (-1)*('(橫掃)RX Mapping'!V61-240),IF(AND('(橫掃)RX Mapping'!V61&gt;=241,'(橫掃)RX Mapping'!V61&lt;=360), ('(橫掃)RX Mapping'!V61-241),IF(AND('(橫掃)RX Mapping'!V61&gt;=361,'(橫掃)RX Mapping'!V61&lt;=480), (-1)*('(橫掃)RX Mapping'!V61-480),IF(AND('(橫掃)RX Mapping'!V61&gt;=481,'(橫掃)RX Mapping'!V61&lt;=600), ('(橫掃)RX Mapping'!V61-361),IF(AND('(橫掃)RX Mapping'!V61&gt;=601,'(橫掃)RX Mapping'!V61&lt;=720), (-1)*('(橫掃)RX Mapping'!V61-720)+120,IF(AND('(橫掃)RX Mapping'!V61&gt;=721,'(橫掃)RX Mapping'!V61&lt;=840), ('(橫掃)RX Mapping'!V61-601),IF(AND('(橫掃)RX Mapping'!V61&gt;=841,'(橫掃)RX Mapping'!V61&lt;=960), (-1)*('(橫掃)RX Mapping'!V61-960)+120,9999))))))))</f>
        <v>9999</v>
      </c>
      <c r="W61">
        <f>IF(AND('(橫掃)RX Mapping'!W61&gt;=1,'(橫掃)RX Mapping'!W61&lt;=120), ('(橫掃)RX Mapping'!W61-1),IF(AND('(橫掃)RX Mapping'!W61&gt;=121,'(橫掃)RX Mapping'!W61&lt;=240), (-1)*('(橫掃)RX Mapping'!W61-240),IF(AND('(橫掃)RX Mapping'!W61&gt;=241,'(橫掃)RX Mapping'!W61&lt;=360), ('(橫掃)RX Mapping'!W61-241),IF(AND('(橫掃)RX Mapping'!W61&gt;=361,'(橫掃)RX Mapping'!W61&lt;=480), (-1)*('(橫掃)RX Mapping'!W61-480),IF(AND('(橫掃)RX Mapping'!W61&gt;=481,'(橫掃)RX Mapping'!W61&lt;=600), ('(橫掃)RX Mapping'!W61-361),IF(AND('(橫掃)RX Mapping'!W61&gt;=601,'(橫掃)RX Mapping'!W61&lt;=720), (-1)*('(橫掃)RX Mapping'!W61-720)+120,IF(AND('(橫掃)RX Mapping'!W61&gt;=721,'(橫掃)RX Mapping'!W61&lt;=840), ('(橫掃)RX Mapping'!W61-601),IF(AND('(橫掃)RX Mapping'!W61&gt;=841,'(橫掃)RX Mapping'!W61&lt;=960), (-1)*('(橫掃)RX Mapping'!W61-960)+120,9999))))))))</f>
        <v>9999</v>
      </c>
      <c r="X61">
        <f>IF(AND('(橫掃)RX Mapping'!X61&gt;=1,'(橫掃)RX Mapping'!X61&lt;=120), ('(橫掃)RX Mapping'!X61-1),IF(AND('(橫掃)RX Mapping'!X61&gt;=121,'(橫掃)RX Mapping'!X61&lt;=240), (-1)*('(橫掃)RX Mapping'!X61-240),IF(AND('(橫掃)RX Mapping'!X61&gt;=241,'(橫掃)RX Mapping'!X61&lt;=360), ('(橫掃)RX Mapping'!X61-241),IF(AND('(橫掃)RX Mapping'!X61&gt;=361,'(橫掃)RX Mapping'!X61&lt;=480), (-1)*('(橫掃)RX Mapping'!X61-480),IF(AND('(橫掃)RX Mapping'!X61&gt;=481,'(橫掃)RX Mapping'!X61&lt;=600), ('(橫掃)RX Mapping'!X61-361),IF(AND('(橫掃)RX Mapping'!X61&gt;=601,'(橫掃)RX Mapping'!X61&lt;=720), (-1)*('(橫掃)RX Mapping'!X61-720)+120,IF(AND('(橫掃)RX Mapping'!X61&gt;=721,'(橫掃)RX Mapping'!X61&lt;=840), ('(橫掃)RX Mapping'!X61-601),IF(AND('(橫掃)RX Mapping'!X61&gt;=841,'(橫掃)RX Mapping'!X61&lt;=960), (-1)*('(橫掃)RX Mapping'!X61-960)+120,9999))))))))</f>
        <v>9999</v>
      </c>
      <c r="Y61">
        <f>IF(AND('(橫掃)RX Mapping'!Y61&gt;=1,'(橫掃)RX Mapping'!Y61&lt;=120), ('(橫掃)RX Mapping'!Y61-1),IF(AND('(橫掃)RX Mapping'!Y61&gt;=121,'(橫掃)RX Mapping'!Y61&lt;=240), (-1)*('(橫掃)RX Mapping'!Y61-240),IF(AND('(橫掃)RX Mapping'!Y61&gt;=241,'(橫掃)RX Mapping'!Y61&lt;=360), ('(橫掃)RX Mapping'!Y61-241),IF(AND('(橫掃)RX Mapping'!Y61&gt;=361,'(橫掃)RX Mapping'!Y61&lt;=480), (-1)*('(橫掃)RX Mapping'!Y61-480),IF(AND('(橫掃)RX Mapping'!Y61&gt;=481,'(橫掃)RX Mapping'!Y61&lt;=600), ('(橫掃)RX Mapping'!Y61-361),IF(AND('(橫掃)RX Mapping'!Y61&gt;=601,'(橫掃)RX Mapping'!Y61&lt;=720), (-1)*('(橫掃)RX Mapping'!Y61-720)+120,IF(AND('(橫掃)RX Mapping'!Y61&gt;=721,'(橫掃)RX Mapping'!Y61&lt;=840), ('(橫掃)RX Mapping'!Y61-601),IF(AND('(橫掃)RX Mapping'!Y61&gt;=841,'(橫掃)RX Mapping'!Y61&lt;=960), (-1)*('(橫掃)RX Mapping'!Y61-960)+120,9999))))))))</f>
        <v>9999</v>
      </c>
      <c r="Z61">
        <f>IF(AND('(橫掃)RX Mapping'!Z61&gt;=1,'(橫掃)RX Mapping'!Z61&lt;=120), ('(橫掃)RX Mapping'!Z61-1),IF(AND('(橫掃)RX Mapping'!Z61&gt;=121,'(橫掃)RX Mapping'!Z61&lt;=240), (-1)*('(橫掃)RX Mapping'!Z61-240),IF(AND('(橫掃)RX Mapping'!Z61&gt;=241,'(橫掃)RX Mapping'!Z61&lt;=360), ('(橫掃)RX Mapping'!Z61-241),IF(AND('(橫掃)RX Mapping'!Z61&gt;=361,'(橫掃)RX Mapping'!Z61&lt;=480), (-1)*('(橫掃)RX Mapping'!Z61-480),IF(AND('(橫掃)RX Mapping'!Z61&gt;=481,'(橫掃)RX Mapping'!Z61&lt;=600), ('(橫掃)RX Mapping'!Z61-361),IF(AND('(橫掃)RX Mapping'!Z61&gt;=601,'(橫掃)RX Mapping'!Z61&lt;=720), (-1)*('(橫掃)RX Mapping'!Z61-720)+120,IF(AND('(橫掃)RX Mapping'!Z61&gt;=721,'(橫掃)RX Mapping'!Z61&lt;=840), ('(橫掃)RX Mapping'!Z61-601),IF(AND('(橫掃)RX Mapping'!Z61&gt;=841,'(橫掃)RX Mapping'!Z61&lt;=960), (-1)*('(橫掃)RX Mapping'!Z61-960)+120,9999))))))))</f>
        <v>9999</v>
      </c>
      <c r="AA61">
        <f>IF(AND('(橫掃)RX Mapping'!AA61&gt;=1,'(橫掃)RX Mapping'!AA61&lt;=120), ('(橫掃)RX Mapping'!AA61-1),IF(AND('(橫掃)RX Mapping'!AA61&gt;=121,'(橫掃)RX Mapping'!AA61&lt;=240), (-1)*('(橫掃)RX Mapping'!AA61-240),IF(AND('(橫掃)RX Mapping'!AA61&gt;=241,'(橫掃)RX Mapping'!AA61&lt;=360), ('(橫掃)RX Mapping'!AA61-241),IF(AND('(橫掃)RX Mapping'!AA61&gt;=361,'(橫掃)RX Mapping'!AA61&lt;=480), (-1)*('(橫掃)RX Mapping'!AA61-480),IF(AND('(橫掃)RX Mapping'!AA61&gt;=481,'(橫掃)RX Mapping'!AA61&lt;=600), ('(橫掃)RX Mapping'!AA61-361),IF(AND('(橫掃)RX Mapping'!AA61&gt;=601,'(橫掃)RX Mapping'!AA61&lt;=720), (-1)*('(橫掃)RX Mapping'!AA61-720)+120,IF(AND('(橫掃)RX Mapping'!AA61&gt;=721,'(橫掃)RX Mapping'!AA61&lt;=840), ('(橫掃)RX Mapping'!AA61-601),IF(AND('(橫掃)RX Mapping'!AA61&gt;=841,'(橫掃)RX Mapping'!AA61&lt;=960), (-1)*('(橫掃)RX Mapping'!AA61-960)+120,9999))))))))</f>
        <v>9999</v>
      </c>
      <c r="AB61">
        <f>IF(AND('(橫掃)RX Mapping'!AB61&gt;=1,'(橫掃)RX Mapping'!AB61&lt;=120), ('(橫掃)RX Mapping'!AB61-1),IF(AND('(橫掃)RX Mapping'!AB61&gt;=121,'(橫掃)RX Mapping'!AB61&lt;=240), (-1)*('(橫掃)RX Mapping'!AB61-240),IF(AND('(橫掃)RX Mapping'!AB61&gt;=241,'(橫掃)RX Mapping'!AB61&lt;=360), ('(橫掃)RX Mapping'!AB61-241),IF(AND('(橫掃)RX Mapping'!AB61&gt;=361,'(橫掃)RX Mapping'!AB61&lt;=480), (-1)*('(橫掃)RX Mapping'!AB61-480),IF(AND('(橫掃)RX Mapping'!AB61&gt;=481,'(橫掃)RX Mapping'!AB61&lt;=600), ('(橫掃)RX Mapping'!AB61-361),IF(AND('(橫掃)RX Mapping'!AB61&gt;=601,'(橫掃)RX Mapping'!AB61&lt;=720), (-1)*('(橫掃)RX Mapping'!AB61-720)+120,IF(AND('(橫掃)RX Mapping'!AB61&gt;=721,'(橫掃)RX Mapping'!AB61&lt;=840), ('(橫掃)RX Mapping'!AB61-601),IF(AND('(橫掃)RX Mapping'!AB61&gt;=841,'(橫掃)RX Mapping'!AB61&lt;=960), (-1)*('(橫掃)RX Mapping'!AB61-960)+120,9999))))))))</f>
        <v>9999</v>
      </c>
      <c r="AC61">
        <f>IF(AND('(橫掃)RX Mapping'!AC61&gt;=1,'(橫掃)RX Mapping'!AC61&lt;=120), ('(橫掃)RX Mapping'!AC61-1),IF(AND('(橫掃)RX Mapping'!AC61&gt;=121,'(橫掃)RX Mapping'!AC61&lt;=240), (-1)*('(橫掃)RX Mapping'!AC61-240),IF(AND('(橫掃)RX Mapping'!AC61&gt;=241,'(橫掃)RX Mapping'!AC61&lt;=360), ('(橫掃)RX Mapping'!AC61-241),IF(AND('(橫掃)RX Mapping'!AC61&gt;=361,'(橫掃)RX Mapping'!AC61&lt;=480), (-1)*('(橫掃)RX Mapping'!AC61-480),IF(AND('(橫掃)RX Mapping'!AC61&gt;=481,'(橫掃)RX Mapping'!AC61&lt;=600), ('(橫掃)RX Mapping'!AC61-361),IF(AND('(橫掃)RX Mapping'!AC61&gt;=601,'(橫掃)RX Mapping'!AC61&lt;=720), (-1)*('(橫掃)RX Mapping'!AC61-720)+120,IF(AND('(橫掃)RX Mapping'!AC61&gt;=721,'(橫掃)RX Mapping'!AC61&lt;=840), ('(橫掃)RX Mapping'!AC61-601),IF(AND('(橫掃)RX Mapping'!AC61&gt;=841,'(橫掃)RX Mapping'!AC61&lt;=960), (-1)*('(橫掃)RX Mapping'!AC61-960)+120,9999))))))))</f>
        <v>9999</v>
      </c>
      <c r="AD61">
        <f>IF(AND('(橫掃)RX Mapping'!AD61&gt;=1,'(橫掃)RX Mapping'!AD61&lt;=120), ('(橫掃)RX Mapping'!AD61-1),IF(AND('(橫掃)RX Mapping'!AD61&gt;=121,'(橫掃)RX Mapping'!AD61&lt;=240), (-1)*('(橫掃)RX Mapping'!AD61-240),IF(AND('(橫掃)RX Mapping'!AD61&gt;=241,'(橫掃)RX Mapping'!AD61&lt;=360), ('(橫掃)RX Mapping'!AD61-241),IF(AND('(橫掃)RX Mapping'!AD61&gt;=361,'(橫掃)RX Mapping'!AD61&lt;=480), (-1)*('(橫掃)RX Mapping'!AD61-480),IF(AND('(橫掃)RX Mapping'!AD61&gt;=481,'(橫掃)RX Mapping'!AD61&lt;=600), ('(橫掃)RX Mapping'!AD61-361),IF(AND('(橫掃)RX Mapping'!AD61&gt;=601,'(橫掃)RX Mapping'!AD61&lt;=720), (-1)*('(橫掃)RX Mapping'!AD61-720)+120,IF(AND('(橫掃)RX Mapping'!AD61&gt;=721,'(橫掃)RX Mapping'!AD61&lt;=840), ('(橫掃)RX Mapping'!AD61-601),IF(AND('(橫掃)RX Mapping'!AD61&gt;=841,'(橫掃)RX Mapping'!AD61&lt;=960), (-1)*('(橫掃)RX Mapping'!AD61-960)+120,9999))))))))</f>
        <v>9999</v>
      </c>
      <c r="AE61">
        <f>IF(AND('(橫掃)RX Mapping'!AE61&gt;=1,'(橫掃)RX Mapping'!AE61&lt;=120), ('(橫掃)RX Mapping'!AE61-1),IF(AND('(橫掃)RX Mapping'!AE61&gt;=121,'(橫掃)RX Mapping'!AE61&lt;=240), (-1)*('(橫掃)RX Mapping'!AE61-240),IF(AND('(橫掃)RX Mapping'!AE61&gt;=241,'(橫掃)RX Mapping'!AE61&lt;=360), ('(橫掃)RX Mapping'!AE61-241),IF(AND('(橫掃)RX Mapping'!AE61&gt;=361,'(橫掃)RX Mapping'!AE61&lt;=480), (-1)*('(橫掃)RX Mapping'!AE61-480),IF(AND('(橫掃)RX Mapping'!AE61&gt;=481,'(橫掃)RX Mapping'!AE61&lt;=600), ('(橫掃)RX Mapping'!AE61-361),IF(AND('(橫掃)RX Mapping'!AE61&gt;=601,'(橫掃)RX Mapping'!AE61&lt;=720), (-1)*('(橫掃)RX Mapping'!AE61-720)+120,IF(AND('(橫掃)RX Mapping'!AE61&gt;=721,'(橫掃)RX Mapping'!AE61&lt;=840), ('(橫掃)RX Mapping'!AE61-601),IF(AND('(橫掃)RX Mapping'!AE61&gt;=841,'(橫掃)RX Mapping'!AE61&lt;=960), (-1)*('(橫掃)RX Mapping'!AE61-960)+120,9999))))))))</f>
        <v>9999</v>
      </c>
      <c r="AF61">
        <f>IF(AND('(橫掃)RX Mapping'!AF61&gt;=1,'(橫掃)RX Mapping'!AF61&lt;=120), ('(橫掃)RX Mapping'!AF61-1),IF(AND('(橫掃)RX Mapping'!AF61&gt;=121,'(橫掃)RX Mapping'!AF61&lt;=240), (-1)*('(橫掃)RX Mapping'!AF61-240),IF(AND('(橫掃)RX Mapping'!AF61&gt;=241,'(橫掃)RX Mapping'!AF61&lt;=360), ('(橫掃)RX Mapping'!AF61-241),IF(AND('(橫掃)RX Mapping'!AF61&gt;=361,'(橫掃)RX Mapping'!AF61&lt;=480), (-1)*('(橫掃)RX Mapping'!AF61-480),IF(AND('(橫掃)RX Mapping'!AF61&gt;=481,'(橫掃)RX Mapping'!AF61&lt;=600), ('(橫掃)RX Mapping'!AF61-361),IF(AND('(橫掃)RX Mapping'!AF61&gt;=601,'(橫掃)RX Mapping'!AF61&lt;=720), (-1)*('(橫掃)RX Mapping'!AF61-720)+120,IF(AND('(橫掃)RX Mapping'!AF61&gt;=721,'(橫掃)RX Mapping'!AF61&lt;=840), ('(橫掃)RX Mapping'!AF61-601),IF(AND('(橫掃)RX Mapping'!AF61&gt;=841,'(橫掃)RX Mapping'!AF61&lt;=960), (-1)*('(橫掃)RX Mapping'!AF61-960)+120,9999))))))))</f>
        <v>9999</v>
      </c>
      <c r="AG61">
        <f>IF(AND('(橫掃)RX Mapping'!AG61&gt;=1,'(橫掃)RX Mapping'!AG61&lt;=120), ('(橫掃)RX Mapping'!AG61-1),IF(AND('(橫掃)RX Mapping'!AG61&gt;=121,'(橫掃)RX Mapping'!AG61&lt;=240), (-1)*('(橫掃)RX Mapping'!AG61-240),IF(AND('(橫掃)RX Mapping'!AG61&gt;=241,'(橫掃)RX Mapping'!AG61&lt;=360), ('(橫掃)RX Mapping'!AG61-241),IF(AND('(橫掃)RX Mapping'!AG61&gt;=361,'(橫掃)RX Mapping'!AG61&lt;=480), (-1)*('(橫掃)RX Mapping'!AG61-480),IF(AND('(橫掃)RX Mapping'!AG61&gt;=481,'(橫掃)RX Mapping'!AG61&lt;=600), ('(橫掃)RX Mapping'!AG61-361),IF(AND('(橫掃)RX Mapping'!AG61&gt;=601,'(橫掃)RX Mapping'!AG61&lt;=720), (-1)*('(橫掃)RX Mapping'!AG61-720)+120,IF(AND('(橫掃)RX Mapping'!AG61&gt;=721,'(橫掃)RX Mapping'!AG61&lt;=840), ('(橫掃)RX Mapping'!AG61-601),IF(AND('(橫掃)RX Mapping'!AG61&gt;=841,'(橫掃)RX Mapping'!AG61&lt;=960), (-1)*('(橫掃)RX Mapping'!AG61-960)+120,9999))))))))</f>
        <v>9999</v>
      </c>
      <c r="AH61">
        <f>IF(AND('(橫掃)RX Mapping'!AH61&gt;=1,'(橫掃)RX Mapping'!AH61&lt;=120), ('(橫掃)RX Mapping'!AH61-1),IF(AND('(橫掃)RX Mapping'!AH61&gt;=121,'(橫掃)RX Mapping'!AH61&lt;=240), (-1)*('(橫掃)RX Mapping'!AH61-240),IF(AND('(橫掃)RX Mapping'!AH61&gt;=241,'(橫掃)RX Mapping'!AH61&lt;=360), ('(橫掃)RX Mapping'!AH61-241),IF(AND('(橫掃)RX Mapping'!AH61&gt;=361,'(橫掃)RX Mapping'!AH61&lt;=480), (-1)*('(橫掃)RX Mapping'!AH61-480),IF(AND('(橫掃)RX Mapping'!AH61&gt;=481,'(橫掃)RX Mapping'!AH61&lt;=600), ('(橫掃)RX Mapping'!AH61-361),IF(AND('(橫掃)RX Mapping'!AH61&gt;=601,'(橫掃)RX Mapping'!AH61&lt;=720), (-1)*('(橫掃)RX Mapping'!AH61-720)+120,IF(AND('(橫掃)RX Mapping'!AH61&gt;=721,'(橫掃)RX Mapping'!AH61&lt;=840), ('(橫掃)RX Mapping'!AH61-601),IF(AND('(橫掃)RX Mapping'!AH61&gt;=841,'(橫掃)RX Mapping'!AH61&lt;=960), (-1)*('(橫掃)RX Mapping'!AH61-960)+120,9999))))))))</f>
        <v>9999</v>
      </c>
      <c r="AI61">
        <f>IF(AND('(橫掃)RX Mapping'!AI61&gt;=1,'(橫掃)RX Mapping'!AI61&lt;=120), ('(橫掃)RX Mapping'!AI61-1),IF(AND('(橫掃)RX Mapping'!AI61&gt;=121,'(橫掃)RX Mapping'!AI61&lt;=240), (-1)*('(橫掃)RX Mapping'!AI61-240),IF(AND('(橫掃)RX Mapping'!AI61&gt;=241,'(橫掃)RX Mapping'!AI61&lt;=360), ('(橫掃)RX Mapping'!AI61-241),IF(AND('(橫掃)RX Mapping'!AI61&gt;=361,'(橫掃)RX Mapping'!AI61&lt;=480), (-1)*('(橫掃)RX Mapping'!AI61-480),IF(AND('(橫掃)RX Mapping'!AI61&gt;=481,'(橫掃)RX Mapping'!AI61&lt;=600), ('(橫掃)RX Mapping'!AI61-361),IF(AND('(橫掃)RX Mapping'!AI61&gt;=601,'(橫掃)RX Mapping'!AI61&lt;=720), (-1)*('(橫掃)RX Mapping'!AI61-720)+120,IF(AND('(橫掃)RX Mapping'!AI61&gt;=721,'(橫掃)RX Mapping'!AI61&lt;=840), ('(橫掃)RX Mapping'!AI61-601),IF(AND('(橫掃)RX Mapping'!AI61&gt;=841,'(橫掃)RX Mapping'!AI61&lt;=960), (-1)*('(橫掃)RX Mapping'!AI61-960)+120,9999))))))))</f>
        <v>9999</v>
      </c>
      <c r="AJ61">
        <f>IF(AND('(橫掃)RX Mapping'!AJ61&gt;=1,'(橫掃)RX Mapping'!AJ61&lt;=120), ('(橫掃)RX Mapping'!AJ61-1),IF(AND('(橫掃)RX Mapping'!AJ61&gt;=121,'(橫掃)RX Mapping'!AJ61&lt;=240), (-1)*('(橫掃)RX Mapping'!AJ61-240),IF(AND('(橫掃)RX Mapping'!AJ61&gt;=241,'(橫掃)RX Mapping'!AJ61&lt;=360), ('(橫掃)RX Mapping'!AJ61-241),IF(AND('(橫掃)RX Mapping'!AJ61&gt;=361,'(橫掃)RX Mapping'!AJ61&lt;=480), (-1)*('(橫掃)RX Mapping'!AJ61-480),IF(AND('(橫掃)RX Mapping'!AJ61&gt;=481,'(橫掃)RX Mapping'!AJ61&lt;=600), ('(橫掃)RX Mapping'!AJ61-361),IF(AND('(橫掃)RX Mapping'!AJ61&gt;=601,'(橫掃)RX Mapping'!AJ61&lt;=720), (-1)*('(橫掃)RX Mapping'!AJ61-720)+120,IF(AND('(橫掃)RX Mapping'!AJ61&gt;=721,'(橫掃)RX Mapping'!AJ61&lt;=840), ('(橫掃)RX Mapping'!AJ61-601),IF(AND('(橫掃)RX Mapping'!AJ61&gt;=841,'(橫掃)RX Mapping'!AJ61&lt;=960), (-1)*('(橫掃)RX Mapping'!AJ61-960)+120,9999))))))))</f>
        <v>9999</v>
      </c>
      <c r="AK61">
        <f>IF(AND('(橫掃)RX Mapping'!AK61&gt;=1,'(橫掃)RX Mapping'!AK61&lt;=120), ('(橫掃)RX Mapping'!AK61-1),IF(AND('(橫掃)RX Mapping'!AK61&gt;=121,'(橫掃)RX Mapping'!AK61&lt;=240), (-1)*('(橫掃)RX Mapping'!AK61-240),IF(AND('(橫掃)RX Mapping'!AK61&gt;=241,'(橫掃)RX Mapping'!AK61&lt;=360), ('(橫掃)RX Mapping'!AK61-241),IF(AND('(橫掃)RX Mapping'!AK61&gt;=361,'(橫掃)RX Mapping'!AK61&lt;=480), (-1)*('(橫掃)RX Mapping'!AK61-480),IF(AND('(橫掃)RX Mapping'!AK61&gt;=481,'(橫掃)RX Mapping'!AK61&lt;=600), ('(橫掃)RX Mapping'!AK61-361),IF(AND('(橫掃)RX Mapping'!AK61&gt;=601,'(橫掃)RX Mapping'!AK61&lt;=720), (-1)*('(橫掃)RX Mapping'!AK61-720)+120,IF(AND('(橫掃)RX Mapping'!AK61&gt;=721,'(橫掃)RX Mapping'!AK61&lt;=840), ('(橫掃)RX Mapping'!AK61-601),IF(AND('(橫掃)RX Mapping'!AK61&gt;=841,'(橫掃)RX Mapping'!AK61&lt;=960), (-1)*('(橫掃)RX Mapping'!AK61-960)+120,9999))))))))</f>
        <v>9999</v>
      </c>
      <c r="AL61">
        <f>IF(AND('(橫掃)RX Mapping'!AL61&gt;=1,'(橫掃)RX Mapping'!AL61&lt;=120), ('(橫掃)RX Mapping'!AL61-1),IF(AND('(橫掃)RX Mapping'!AL61&gt;=121,'(橫掃)RX Mapping'!AL61&lt;=240), (-1)*('(橫掃)RX Mapping'!AL61-240),IF(AND('(橫掃)RX Mapping'!AL61&gt;=241,'(橫掃)RX Mapping'!AL61&lt;=360), ('(橫掃)RX Mapping'!AL61-241),IF(AND('(橫掃)RX Mapping'!AL61&gt;=361,'(橫掃)RX Mapping'!AL61&lt;=480), (-1)*('(橫掃)RX Mapping'!AL61-480),IF(AND('(橫掃)RX Mapping'!AL61&gt;=481,'(橫掃)RX Mapping'!AL61&lt;=600), ('(橫掃)RX Mapping'!AL61-361),IF(AND('(橫掃)RX Mapping'!AL61&gt;=601,'(橫掃)RX Mapping'!AL61&lt;=720), (-1)*('(橫掃)RX Mapping'!AL61-720)+120,IF(AND('(橫掃)RX Mapping'!AL61&gt;=721,'(橫掃)RX Mapping'!AL61&lt;=840), ('(橫掃)RX Mapping'!AL61-601),IF(AND('(橫掃)RX Mapping'!AL61&gt;=841,'(橫掃)RX Mapping'!AL61&lt;=960), (-1)*('(橫掃)RX Mapping'!AL61-960)+120,9999))))))))</f>
        <v>9999</v>
      </c>
      <c r="AM61">
        <f>IF(AND('(橫掃)RX Mapping'!AM61&gt;=1,'(橫掃)RX Mapping'!AM61&lt;=120), ('(橫掃)RX Mapping'!AM61-1),IF(AND('(橫掃)RX Mapping'!AM61&gt;=121,'(橫掃)RX Mapping'!AM61&lt;=240), (-1)*('(橫掃)RX Mapping'!AM61-240),IF(AND('(橫掃)RX Mapping'!AM61&gt;=241,'(橫掃)RX Mapping'!AM61&lt;=360), ('(橫掃)RX Mapping'!AM61-241),IF(AND('(橫掃)RX Mapping'!AM61&gt;=361,'(橫掃)RX Mapping'!AM61&lt;=480), (-1)*('(橫掃)RX Mapping'!AM61-480),IF(AND('(橫掃)RX Mapping'!AM61&gt;=481,'(橫掃)RX Mapping'!AM61&lt;=600), ('(橫掃)RX Mapping'!AM61-361),IF(AND('(橫掃)RX Mapping'!AM61&gt;=601,'(橫掃)RX Mapping'!AM61&lt;=720), (-1)*('(橫掃)RX Mapping'!AM61-720)+120,IF(AND('(橫掃)RX Mapping'!AM61&gt;=721,'(橫掃)RX Mapping'!AM61&lt;=840), ('(橫掃)RX Mapping'!AM61-601),IF(AND('(橫掃)RX Mapping'!AM61&gt;=841,'(橫掃)RX Mapping'!AM61&lt;=960), (-1)*('(橫掃)RX Mapping'!AM61-960)+120,9999))))))))</f>
        <v>9999</v>
      </c>
      <c r="AN61">
        <f>IF(AND('(橫掃)RX Mapping'!AN61&gt;=1,'(橫掃)RX Mapping'!AN61&lt;=120), ('(橫掃)RX Mapping'!AN61-1),IF(AND('(橫掃)RX Mapping'!AN61&gt;=121,'(橫掃)RX Mapping'!AN61&lt;=240), (-1)*('(橫掃)RX Mapping'!AN61-240),IF(AND('(橫掃)RX Mapping'!AN61&gt;=241,'(橫掃)RX Mapping'!AN61&lt;=360), ('(橫掃)RX Mapping'!AN61-241),IF(AND('(橫掃)RX Mapping'!AN61&gt;=361,'(橫掃)RX Mapping'!AN61&lt;=480), (-1)*('(橫掃)RX Mapping'!AN61-480),IF(AND('(橫掃)RX Mapping'!AN61&gt;=481,'(橫掃)RX Mapping'!AN61&lt;=600), ('(橫掃)RX Mapping'!AN61-361),IF(AND('(橫掃)RX Mapping'!AN61&gt;=601,'(橫掃)RX Mapping'!AN61&lt;=720), (-1)*('(橫掃)RX Mapping'!AN61-720)+120,IF(AND('(橫掃)RX Mapping'!AN61&gt;=721,'(橫掃)RX Mapping'!AN61&lt;=840), ('(橫掃)RX Mapping'!AN61-601),IF(AND('(橫掃)RX Mapping'!AN61&gt;=841,'(橫掃)RX Mapping'!AN61&lt;=960), (-1)*('(橫掃)RX Mapping'!AN61-960)+120,9999))))))))</f>
        <v>9999</v>
      </c>
      <c r="AO61">
        <f>IF(AND('(橫掃)RX Mapping'!AO61&gt;=1,'(橫掃)RX Mapping'!AO61&lt;=120), ('(橫掃)RX Mapping'!AO61-1),IF(AND('(橫掃)RX Mapping'!AO61&gt;=121,'(橫掃)RX Mapping'!AO61&lt;=240), (-1)*('(橫掃)RX Mapping'!AO61-240),IF(AND('(橫掃)RX Mapping'!AO61&gt;=241,'(橫掃)RX Mapping'!AO61&lt;=360), ('(橫掃)RX Mapping'!AO61-241),IF(AND('(橫掃)RX Mapping'!AO61&gt;=361,'(橫掃)RX Mapping'!AO61&lt;=480), (-1)*('(橫掃)RX Mapping'!AO61-480),IF(AND('(橫掃)RX Mapping'!AO61&gt;=481,'(橫掃)RX Mapping'!AO61&lt;=600), ('(橫掃)RX Mapping'!AO61-361),IF(AND('(橫掃)RX Mapping'!AO61&gt;=601,'(橫掃)RX Mapping'!AO61&lt;=720), (-1)*('(橫掃)RX Mapping'!AO61-720)+120,IF(AND('(橫掃)RX Mapping'!AO61&gt;=721,'(橫掃)RX Mapping'!AO61&lt;=840), ('(橫掃)RX Mapping'!AO61-601),IF(AND('(橫掃)RX Mapping'!AO61&gt;=841,'(橫掃)RX Mapping'!AO61&lt;=960), (-1)*('(橫掃)RX Mapping'!AO61-960)+120,9999))))))))</f>
        <v>9999</v>
      </c>
      <c r="AP61">
        <f>IF(AND('(橫掃)RX Mapping'!AP61&gt;=1,'(橫掃)RX Mapping'!AP61&lt;=120), ('(橫掃)RX Mapping'!AP61-1),IF(AND('(橫掃)RX Mapping'!AP61&gt;=121,'(橫掃)RX Mapping'!AP61&lt;=240), (-1)*('(橫掃)RX Mapping'!AP61-240),IF(AND('(橫掃)RX Mapping'!AP61&gt;=241,'(橫掃)RX Mapping'!AP61&lt;=360), ('(橫掃)RX Mapping'!AP61-241),IF(AND('(橫掃)RX Mapping'!AP61&gt;=361,'(橫掃)RX Mapping'!AP61&lt;=480), (-1)*('(橫掃)RX Mapping'!AP61-480),IF(AND('(橫掃)RX Mapping'!AP61&gt;=481,'(橫掃)RX Mapping'!AP61&lt;=600), ('(橫掃)RX Mapping'!AP61-361),IF(AND('(橫掃)RX Mapping'!AP61&gt;=601,'(橫掃)RX Mapping'!AP61&lt;=720), (-1)*('(橫掃)RX Mapping'!AP61-720)+120,IF(AND('(橫掃)RX Mapping'!AP61&gt;=721,'(橫掃)RX Mapping'!AP61&lt;=840), ('(橫掃)RX Mapping'!AP61-601),IF(AND('(橫掃)RX Mapping'!AP61&gt;=841,'(橫掃)RX Mapping'!AP61&lt;=960), (-1)*('(橫掃)RX Mapping'!AP61-960)+120,9999))))))))</f>
        <v>9999</v>
      </c>
      <c r="AQ61">
        <f>IF(AND('(橫掃)RX Mapping'!AQ61&gt;=1,'(橫掃)RX Mapping'!AQ61&lt;=120), ('(橫掃)RX Mapping'!AQ61-1),IF(AND('(橫掃)RX Mapping'!AQ61&gt;=121,'(橫掃)RX Mapping'!AQ61&lt;=240), (-1)*('(橫掃)RX Mapping'!AQ61-240),IF(AND('(橫掃)RX Mapping'!AQ61&gt;=241,'(橫掃)RX Mapping'!AQ61&lt;=360), ('(橫掃)RX Mapping'!AQ61-241),IF(AND('(橫掃)RX Mapping'!AQ61&gt;=361,'(橫掃)RX Mapping'!AQ61&lt;=480), (-1)*('(橫掃)RX Mapping'!AQ61-480),IF(AND('(橫掃)RX Mapping'!AQ61&gt;=481,'(橫掃)RX Mapping'!AQ61&lt;=600), ('(橫掃)RX Mapping'!AQ61-361),IF(AND('(橫掃)RX Mapping'!AQ61&gt;=601,'(橫掃)RX Mapping'!AQ61&lt;=720), (-1)*('(橫掃)RX Mapping'!AQ61-720)+120,IF(AND('(橫掃)RX Mapping'!AQ61&gt;=721,'(橫掃)RX Mapping'!AQ61&lt;=840), ('(橫掃)RX Mapping'!AQ61-601),IF(AND('(橫掃)RX Mapping'!AQ61&gt;=841,'(橫掃)RX Mapping'!AQ61&lt;=960), (-1)*('(橫掃)RX Mapping'!AQ61-960)+120,9999))))))))</f>
        <v>9999</v>
      </c>
      <c r="AR61">
        <f>IF(AND('(橫掃)RX Mapping'!AR61&gt;=1,'(橫掃)RX Mapping'!AR61&lt;=120), ('(橫掃)RX Mapping'!AR61-1),IF(AND('(橫掃)RX Mapping'!AR61&gt;=121,'(橫掃)RX Mapping'!AR61&lt;=240), (-1)*('(橫掃)RX Mapping'!AR61-240),IF(AND('(橫掃)RX Mapping'!AR61&gt;=241,'(橫掃)RX Mapping'!AR61&lt;=360), ('(橫掃)RX Mapping'!AR61-241),IF(AND('(橫掃)RX Mapping'!AR61&gt;=361,'(橫掃)RX Mapping'!AR61&lt;=480), (-1)*('(橫掃)RX Mapping'!AR61-480),IF(AND('(橫掃)RX Mapping'!AR61&gt;=481,'(橫掃)RX Mapping'!AR61&lt;=600), ('(橫掃)RX Mapping'!AR61-361),IF(AND('(橫掃)RX Mapping'!AR61&gt;=601,'(橫掃)RX Mapping'!AR61&lt;=720), (-1)*('(橫掃)RX Mapping'!AR61-720)+120,IF(AND('(橫掃)RX Mapping'!AR61&gt;=721,'(橫掃)RX Mapping'!AR61&lt;=840), ('(橫掃)RX Mapping'!AR61-601),IF(AND('(橫掃)RX Mapping'!AR61&gt;=841,'(橫掃)RX Mapping'!AR61&lt;=960), (-1)*('(橫掃)RX Mapping'!AR61-960)+120,9999))))))))</f>
        <v>9999</v>
      </c>
      <c r="AS61">
        <f>IF(AND('(橫掃)RX Mapping'!AS61&gt;=1,'(橫掃)RX Mapping'!AS61&lt;=120), ('(橫掃)RX Mapping'!AS61-1),IF(AND('(橫掃)RX Mapping'!AS61&gt;=121,'(橫掃)RX Mapping'!AS61&lt;=240), (-1)*('(橫掃)RX Mapping'!AS61-240),IF(AND('(橫掃)RX Mapping'!AS61&gt;=241,'(橫掃)RX Mapping'!AS61&lt;=360), ('(橫掃)RX Mapping'!AS61-241),IF(AND('(橫掃)RX Mapping'!AS61&gt;=361,'(橫掃)RX Mapping'!AS61&lt;=480), (-1)*('(橫掃)RX Mapping'!AS61-480),IF(AND('(橫掃)RX Mapping'!AS61&gt;=481,'(橫掃)RX Mapping'!AS61&lt;=600), ('(橫掃)RX Mapping'!AS61-361),IF(AND('(橫掃)RX Mapping'!AS61&gt;=601,'(橫掃)RX Mapping'!AS61&lt;=720), (-1)*('(橫掃)RX Mapping'!AS61-720)+120,IF(AND('(橫掃)RX Mapping'!AS61&gt;=721,'(橫掃)RX Mapping'!AS61&lt;=840), ('(橫掃)RX Mapping'!AS61-601),IF(AND('(橫掃)RX Mapping'!AS61&gt;=841,'(橫掃)RX Mapping'!AS61&lt;=960), (-1)*('(橫掃)RX Mapping'!AS61-960)+120,9999))))))))</f>
        <v>9999</v>
      </c>
      <c r="AT61">
        <f>IF(AND('(橫掃)RX Mapping'!AT61&gt;=1,'(橫掃)RX Mapping'!AT61&lt;=120), ('(橫掃)RX Mapping'!AT61-1),IF(AND('(橫掃)RX Mapping'!AT61&gt;=121,'(橫掃)RX Mapping'!AT61&lt;=240), (-1)*('(橫掃)RX Mapping'!AT61-240),IF(AND('(橫掃)RX Mapping'!AT61&gt;=241,'(橫掃)RX Mapping'!AT61&lt;=360), ('(橫掃)RX Mapping'!AT61-241),IF(AND('(橫掃)RX Mapping'!AT61&gt;=361,'(橫掃)RX Mapping'!AT61&lt;=480), (-1)*('(橫掃)RX Mapping'!AT61-480),IF(AND('(橫掃)RX Mapping'!AT61&gt;=481,'(橫掃)RX Mapping'!AT61&lt;=600), ('(橫掃)RX Mapping'!AT61-361),IF(AND('(橫掃)RX Mapping'!AT61&gt;=601,'(橫掃)RX Mapping'!AT61&lt;=720), (-1)*('(橫掃)RX Mapping'!AT61-720)+120,IF(AND('(橫掃)RX Mapping'!AT61&gt;=721,'(橫掃)RX Mapping'!AT61&lt;=840), ('(橫掃)RX Mapping'!AT61-601),IF(AND('(橫掃)RX Mapping'!AT61&gt;=841,'(橫掃)RX Mapping'!AT61&lt;=960), (-1)*('(橫掃)RX Mapping'!AT61-960)+120,9999))))))))</f>
        <v>9999</v>
      </c>
      <c r="AU61">
        <f>IF(AND('(橫掃)RX Mapping'!AU61&gt;=1,'(橫掃)RX Mapping'!AU61&lt;=120), ('(橫掃)RX Mapping'!AU61-1),IF(AND('(橫掃)RX Mapping'!AU61&gt;=121,'(橫掃)RX Mapping'!AU61&lt;=240), (-1)*('(橫掃)RX Mapping'!AU61-240),IF(AND('(橫掃)RX Mapping'!AU61&gt;=241,'(橫掃)RX Mapping'!AU61&lt;=360), ('(橫掃)RX Mapping'!AU61-241),IF(AND('(橫掃)RX Mapping'!AU61&gt;=361,'(橫掃)RX Mapping'!AU61&lt;=480), (-1)*('(橫掃)RX Mapping'!AU61-480),IF(AND('(橫掃)RX Mapping'!AU61&gt;=481,'(橫掃)RX Mapping'!AU61&lt;=600), ('(橫掃)RX Mapping'!AU61-361),IF(AND('(橫掃)RX Mapping'!AU61&gt;=601,'(橫掃)RX Mapping'!AU61&lt;=720), (-1)*('(橫掃)RX Mapping'!AU61-720)+120,IF(AND('(橫掃)RX Mapping'!AU61&gt;=721,'(橫掃)RX Mapping'!AU61&lt;=840), ('(橫掃)RX Mapping'!AU61-601),IF(AND('(橫掃)RX Mapping'!AU61&gt;=841,'(橫掃)RX Mapping'!AU61&lt;=960), (-1)*('(橫掃)RX Mapping'!AU61-960)+120,9999))))))))</f>
        <v>9999</v>
      </c>
      <c r="AV61">
        <f>IF(AND('(橫掃)RX Mapping'!AV61&gt;=1,'(橫掃)RX Mapping'!AV61&lt;=120), ('(橫掃)RX Mapping'!AV61-1),IF(AND('(橫掃)RX Mapping'!AV61&gt;=121,'(橫掃)RX Mapping'!AV61&lt;=240), (-1)*('(橫掃)RX Mapping'!AV61-240),IF(AND('(橫掃)RX Mapping'!AV61&gt;=241,'(橫掃)RX Mapping'!AV61&lt;=360), ('(橫掃)RX Mapping'!AV61-241),IF(AND('(橫掃)RX Mapping'!AV61&gt;=361,'(橫掃)RX Mapping'!AV61&lt;=480), (-1)*('(橫掃)RX Mapping'!AV61-480),IF(AND('(橫掃)RX Mapping'!AV61&gt;=481,'(橫掃)RX Mapping'!AV61&lt;=600), ('(橫掃)RX Mapping'!AV61-361),IF(AND('(橫掃)RX Mapping'!AV61&gt;=601,'(橫掃)RX Mapping'!AV61&lt;=720), (-1)*('(橫掃)RX Mapping'!AV61-720)+120,IF(AND('(橫掃)RX Mapping'!AV61&gt;=721,'(橫掃)RX Mapping'!AV61&lt;=840), ('(橫掃)RX Mapping'!AV61-601),IF(AND('(橫掃)RX Mapping'!AV61&gt;=841,'(橫掃)RX Mapping'!AV61&lt;=960), (-1)*('(橫掃)RX Mapping'!AV61-960)+120,9999))))))))</f>
        <v>9999</v>
      </c>
      <c r="AW61">
        <f>IF(AND('(橫掃)RX Mapping'!AW61&gt;=1,'(橫掃)RX Mapping'!AW61&lt;=120), ('(橫掃)RX Mapping'!AW61-1),IF(AND('(橫掃)RX Mapping'!AW61&gt;=121,'(橫掃)RX Mapping'!AW61&lt;=240), (-1)*('(橫掃)RX Mapping'!AW61-240),IF(AND('(橫掃)RX Mapping'!AW61&gt;=241,'(橫掃)RX Mapping'!AW61&lt;=360), ('(橫掃)RX Mapping'!AW61-241),IF(AND('(橫掃)RX Mapping'!AW61&gt;=361,'(橫掃)RX Mapping'!AW61&lt;=480), (-1)*('(橫掃)RX Mapping'!AW61-480),IF(AND('(橫掃)RX Mapping'!AW61&gt;=481,'(橫掃)RX Mapping'!AW61&lt;=600), ('(橫掃)RX Mapping'!AW61-361),IF(AND('(橫掃)RX Mapping'!AW61&gt;=601,'(橫掃)RX Mapping'!AW61&lt;=720), (-1)*('(橫掃)RX Mapping'!AW61-720)+120,IF(AND('(橫掃)RX Mapping'!AW61&gt;=721,'(橫掃)RX Mapping'!AW61&lt;=840), ('(橫掃)RX Mapping'!AW61-601),IF(AND('(橫掃)RX Mapping'!AW61&gt;=841,'(橫掃)RX Mapping'!AW61&lt;=960), (-1)*('(橫掃)RX Mapping'!AW61-960)+120,9999))))))))</f>
        <v>9999</v>
      </c>
      <c r="AX61">
        <f>IF(AND('(橫掃)RX Mapping'!AX61&gt;=1,'(橫掃)RX Mapping'!AX61&lt;=120), ('(橫掃)RX Mapping'!AX61-1),IF(AND('(橫掃)RX Mapping'!AX61&gt;=121,'(橫掃)RX Mapping'!AX61&lt;=240), (-1)*('(橫掃)RX Mapping'!AX61-240),IF(AND('(橫掃)RX Mapping'!AX61&gt;=241,'(橫掃)RX Mapping'!AX61&lt;=360), ('(橫掃)RX Mapping'!AX61-241),IF(AND('(橫掃)RX Mapping'!AX61&gt;=361,'(橫掃)RX Mapping'!AX61&lt;=480), (-1)*('(橫掃)RX Mapping'!AX61-480),IF(AND('(橫掃)RX Mapping'!AX61&gt;=481,'(橫掃)RX Mapping'!AX61&lt;=600), ('(橫掃)RX Mapping'!AX61-361),IF(AND('(橫掃)RX Mapping'!AX61&gt;=601,'(橫掃)RX Mapping'!AX61&lt;=720), (-1)*('(橫掃)RX Mapping'!AX61-720)+120,IF(AND('(橫掃)RX Mapping'!AX61&gt;=721,'(橫掃)RX Mapping'!AX61&lt;=840), ('(橫掃)RX Mapping'!AX61-601),IF(AND('(橫掃)RX Mapping'!AX61&gt;=841,'(橫掃)RX Mapping'!AX61&lt;=960), (-1)*('(橫掃)RX Mapping'!AX61-960)+120,9999))))))))</f>
        <v>9999</v>
      </c>
      <c r="AY61">
        <f>IF(AND('(橫掃)RX Mapping'!AY61&gt;=1,'(橫掃)RX Mapping'!AY61&lt;=120), ('(橫掃)RX Mapping'!AY61-1),IF(AND('(橫掃)RX Mapping'!AY61&gt;=121,'(橫掃)RX Mapping'!AY61&lt;=240), (-1)*('(橫掃)RX Mapping'!AY61-240),IF(AND('(橫掃)RX Mapping'!AY61&gt;=241,'(橫掃)RX Mapping'!AY61&lt;=360), ('(橫掃)RX Mapping'!AY61-241),IF(AND('(橫掃)RX Mapping'!AY61&gt;=361,'(橫掃)RX Mapping'!AY61&lt;=480), (-1)*('(橫掃)RX Mapping'!AY61-480),IF(AND('(橫掃)RX Mapping'!AY61&gt;=481,'(橫掃)RX Mapping'!AY61&lt;=600), ('(橫掃)RX Mapping'!AY61-361),IF(AND('(橫掃)RX Mapping'!AY61&gt;=601,'(橫掃)RX Mapping'!AY61&lt;=720), (-1)*('(橫掃)RX Mapping'!AY61-720)+120,IF(AND('(橫掃)RX Mapping'!AY61&gt;=721,'(橫掃)RX Mapping'!AY61&lt;=840), ('(橫掃)RX Mapping'!AY61-601),IF(AND('(橫掃)RX Mapping'!AY61&gt;=841,'(橫掃)RX Mapping'!AY61&lt;=960), (-1)*('(橫掃)RX Mapping'!AY61-960)+120,9999))))))))</f>
        <v>9999</v>
      </c>
      <c r="AZ61">
        <f>IF(AND('(橫掃)RX Mapping'!AZ61&gt;=1,'(橫掃)RX Mapping'!AZ61&lt;=120), ('(橫掃)RX Mapping'!AZ61-1),IF(AND('(橫掃)RX Mapping'!AZ61&gt;=121,'(橫掃)RX Mapping'!AZ61&lt;=240), (-1)*('(橫掃)RX Mapping'!AZ61-240),IF(AND('(橫掃)RX Mapping'!AZ61&gt;=241,'(橫掃)RX Mapping'!AZ61&lt;=360), ('(橫掃)RX Mapping'!AZ61-241),IF(AND('(橫掃)RX Mapping'!AZ61&gt;=361,'(橫掃)RX Mapping'!AZ61&lt;=480), (-1)*('(橫掃)RX Mapping'!AZ61-480),IF(AND('(橫掃)RX Mapping'!AZ61&gt;=481,'(橫掃)RX Mapping'!AZ61&lt;=600), ('(橫掃)RX Mapping'!AZ61-361),IF(AND('(橫掃)RX Mapping'!AZ61&gt;=601,'(橫掃)RX Mapping'!AZ61&lt;=720), (-1)*('(橫掃)RX Mapping'!AZ61-720)+120,IF(AND('(橫掃)RX Mapping'!AZ61&gt;=721,'(橫掃)RX Mapping'!AZ61&lt;=840), ('(橫掃)RX Mapping'!AZ61-601),IF(AND('(橫掃)RX Mapping'!AZ61&gt;=841,'(橫掃)RX Mapping'!AZ61&lt;=960), (-1)*('(橫掃)RX Mapping'!AZ61-960)+120,9999))))))))</f>
        <v>9999</v>
      </c>
      <c r="BA61">
        <f>IF(AND('(橫掃)RX Mapping'!BA61&gt;=1,'(橫掃)RX Mapping'!BA61&lt;=120), ('(橫掃)RX Mapping'!BA61-1),IF(AND('(橫掃)RX Mapping'!BA61&gt;=121,'(橫掃)RX Mapping'!BA61&lt;=240), (-1)*('(橫掃)RX Mapping'!BA61-240),IF(AND('(橫掃)RX Mapping'!BA61&gt;=241,'(橫掃)RX Mapping'!BA61&lt;=360), ('(橫掃)RX Mapping'!BA61-241),IF(AND('(橫掃)RX Mapping'!BA61&gt;=361,'(橫掃)RX Mapping'!BA61&lt;=480), (-1)*('(橫掃)RX Mapping'!BA61-480),IF(AND('(橫掃)RX Mapping'!BA61&gt;=481,'(橫掃)RX Mapping'!BA61&lt;=600), ('(橫掃)RX Mapping'!BA61-361),IF(AND('(橫掃)RX Mapping'!BA61&gt;=601,'(橫掃)RX Mapping'!BA61&lt;=720), (-1)*('(橫掃)RX Mapping'!BA61-720)+120,IF(AND('(橫掃)RX Mapping'!BA61&gt;=721,'(橫掃)RX Mapping'!BA61&lt;=840), ('(橫掃)RX Mapping'!BA61-601),IF(AND('(橫掃)RX Mapping'!BA61&gt;=841,'(橫掃)RX Mapping'!BA61&lt;=960), (-1)*('(橫掃)RX Mapping'!BA61-960)+120,9999))))))))</f>
        <v>9999</v>
      </c>
      <c r="BB61">
        <f>IF(AND('(橫掃)RX Mapping'!BB61&gt;=1,'(橫掃)RX Mapping'!BB61&lt;=120), ('(橫掃)RX Mapping'!BB61-1),IF(AND('(橫掃)RX Mapping'!BB61&gt;=121,'(橫掃)RX Mapping'!BB61&lt;=240), (-1)*('(橫掃)RX Mapping'!BB61-240),IF(AND('(橫掃)RX Mapping'!BB61&gt;=241,'(橫掃)RX Mapping'!BB61&lt;=360), ('(橫掃)RX Mapping'!BB61-241),IF(AND('(橫掃)RX Mapping'!BB61&gt;=361,'(橫掃)RX Mapping'!BB61&lt;=480), (-1)*('(橫掃)RX Mapping'!BB61-480),IF(AND('(橫掃)RX Mapping'!BB61&gt;=481,'(橫掃)RX Mapping'!BB61&lt;=600), ('(橫掃)RX Mapping'!BB61-361),IF(AND('(橫掃)RX Mapping'!BB61&gt;=601,'(橫掃)RX Mapping'!BB61&lt;=720), (-1)*('(橫掃)RX Mapping'!BB61-720)+120,IF(AND('(橫掃)RX Mapping'!BB61&gt;=721,'(橫掃)RX Mapping'!BB61&lt;=840), ('(橫掃)RX Mapping'!BB61-601),IF(AND('(橫掃)RX Mapping'!BB61&gt;=841,'(橫掃)RX Mapping'!BB61&lt;=960), (-1)*('(橫掃)RX Mapping'!BB61-960)+120,9999))))))))</f>
        <v>9999</v>
      </c>
      <c r="BC61">
        <f>IF(AND('(橫掃)RX Mapping'!BC61&gt;=1,'(橫掃)RX Mapping'!BC61&lt;=120), ('(橫掃)RX Mapping'!BC61-1),IF(AND('(橫掃)RX Mapping'!BC61&gt;=121,'(橫掃)RX Mapping'!BC61&lt;=240), (-1)*('(橫掃)RX Mapping'!BC61-240),IF(AND('(橫掃)RX Mapping'!BC61&gt;=241,'(橫掃)RX Mapping'!BC61&lt;=360), ('(橫掃)RX Mapping'!BC61-241),IF(AND('(橫掃)RX Mapping'!BC61&gt;=361,'(橫掃)RX Mapping'!BC61&lt;=480), (-1)*('(橫掃)RX Mapping'!BC61-480),IF(AND('(橫掃)RX Mapping'!BC61&gt;=481,'(橫掃)RX Mapping'!BC61&lt;=600), ('(橫掃)RX Mapping'!BC61-361),IF(AND('(橫掃)RX Mapping'!BC61&gt;=601,'(橫掃)RX Mapping'!BC61&lt;=720), (-1)*('(橫掃)RX Mapping'!BC61-720)+120,IF(AND('(橫掃)RX Mapping'!BC61&gt;=721,'(橫掃)RX Mapping'!BC61&lt;=840), ('(橫掃)RX Mapping'!BC61-601),IF(AND('(橫掃)RX Mapping'!BC61&gt;=841,'(橫掃)RX Mapping'!BC61&lt;=960), (-1)*('(橫掃)RX Mapping'!BC61-960)+120,9999))))))))</f>
        <v>9999</v>
      </c>
      <c r="BD61">
        <f>IF(AND('(橫掃)RX Mapping'!BD61&gt;=1,'(橫掃)RX Mapping'!BD61&lt;=120), ('(橫掃)RX Mapping'!BD61-1),IF(AND('(橫掃)RX Mapping'!BD61&gt;=121,'(橫掃)RX Mapping'!BD61&lt;=240), (-1)*('(橫掃)RX Mapping'!BD61-240),IF(AND('(橫掃)RX Mapping'!BD61&gt;=241,'(橫掃)RX Mapping'!BD61&lt;=360), ('(橫掃)RX Mapping'!BD61-241),IF(AND('(橫掃)RX Mapping'!BD61&gt;=361,'(橫掃)RX Mapping'!BD61&lt;=480), (-1)*('(橫掃)RX Mapping'!BD61-480),IF(AND('(橫掃)RX Mapping'!BD61&gt;=481,'(橫掃)RX Mapping'!BD61&lt;=600), ('(橫掃)RX Mapping'!BD61-361),IF(AND('(橫掃)RX Mapping'!BD61&gt;=601,'(橫掃)RX Mapping'!BD61&lt;=720), (-1)*('(橫掃)RX Mapping'!BD61-720)+120,IF(AND('(橫掃)RX Mapping'!BD61&gt;=721,'(橫掃)RX Mapping'!BD61&lt;=840), ('(橫掃)RX Mapping'!BD61-601),IF(AND('(橫掃)RX Mapping'!BD61&gt;=841,'(橫掃)RX Mapping'!BD61&lt;=960), (-1)*('(橫掃)RX Mapping'!BD61-960)+120,9999))))))))</f>
        <v>9999</v>
      </c>
      <c r="BE61">
        <f>IF(AND('(橫掃)RX Mapping'!BE61&gt;=1,'(橫掃)RX Mapping'!BE61&lt;=120), ('(橫掃)RX Mapping'!BE61-1),IF(AND('(橫掃)RX Mapping'!BE61&gt;=121,'(橫掃)RX Mapping'!BE61&lt;=240), (-1)*('(橫掃)RX Mapping'!BE61-240),IF(AND('(橫掃)RX Mapping'!BE61&gt;=241,'(橫掃)RX Mapping'!BE61&lt;=360), ('(橫掃)RX Mapping'!BE61-241),IF(AND('(橫掃)RX Mapping'!BE61&gt;=361,'(橫掃)RX Mapping'!BE61&lt;=480), (-1)*('(橫掃)RX Mapping'!BE61-480),IF(AND('(橫掃)RX Mapping'!BE61&gt;=481,'(橫掃)RX Mapping'!BE61&lt;=600), ('(橫掃)RX Mapping'!BE61-361),IF(AND('(橫掃)RX Mapping'!BE61&gt;=601,'(橫掃)RX Mapping'!BE61&lt;=720), (-1)*('(橫掃)RX Mapping'!BE61-720)+120,IF(AND('(橫掃)RX Mapping'!BE61&gt;=721,'(橫掃)RX Mapping'!BE61&lt;=840), ('(橫掃)RX Mapping'!BE61-601),IF(AND('(橫掃)RX Mapping'!BE61&gt;=841,'(橫掃)RX Mapping'!BE61&lt;=960), (-1)*('(橫掃)RX Mapping'!BE61-960)+120,9999))))))))</f>
        <v>9999</v>
      </c>
      <c r="BF61">
        <f>IF(AND('(橫掃)RX Mapping'!BF61&gt;=1,'(橫掃)RX Mapping'!BF61&lt;=120), ('(橫掃)RX Mapping'!BF61-1),IF(AND('(橫掃)RX Mapping'!BF61&gt;=121,'(橫掃)RX Mapping'!BF61&lt;=240), (-1)*('(橫掃)RX Mapping'!BF61-240),IF(AND('(橫掃)RX Mapping'!BF61&gt;=241,'(橫掃)RX Mapping'!BF61&lt;=360), ('(橫掃)RX Mapping'!BF61-241),IF(AND('(橫掃)RX Mapping'!BF61&gt;=361,'(橫掃)RX Mapping'!BF61&lt;=480), (-1)*('(橫掃)RX Mapping'!BF61-480),IF(AND('(橫掃)RX Mapping'!BF61&gt;=481,'(橫掃)RX Mapping'!BF61&lt;=600), ('(橫掃)RX Mapping'!BF61-361),IF(AND('(橫掃)RX Mapping'!BF61&gt;=601,'(橫掃)RX Mapping'!BF61&lt;=720), (-1)*('(橫掃)RX Mapping'!BF61-720)+120,IF(AND('(橫掃)RX Mapping'!BF61&gt;=721,'(橫掃)RX Mapping'!BF61&lt;=840), ('(橫掃)RX Mapping'!BF61-601),IF(AND('(橫掃)RX Mapping'!BF61&gt;=841,'(橫掃)RX Mapping'!BF61&lt;=960), (-1)*('(橫掃)RX Mapping'!BF61-960)+120,9999))))))))</f>
        <v>9999</v>
      </c>
      <c r="BG61">
        <f>IF(AND('(橫掃)RX Mapping'!BG61&gt;=1,'(橫掃)RX Mapping'!BG61&lt;=120), ('(橫掃)RX Mapping'!BG61-1),IF(AND('(橫掃)RX Mapping'!BG61&gt;=121,'(橫掃)RX Mapping'!BG61&lt;=240), (-1)*('(橫掃)RX Mapping'!BG61-240),IF(AND('(橫掃)RX Mapping'!BG61&gt;=241,'(橫掃)RX Mapping'!BG61&lt;=360), ('(橫掃)RX Mapping'!BG61-241),IF(AND('(橫掃)RX Mapping'!BG61&gt;=361,'(橫掃)RX Mapping'!BG61&lt;=480), (-1)*('(橫掃)RX Mapping'!BG61-480),IF(AND('(橫掃)RX Mapping'!BG61&gt;=481,'(橫掃)RX Mapping'!BG61&lt;=600), ('(橫掃)RX Mapping'!BG61-361),IF(AND('(橫掃)RX Mapping'!BG61&gt;=601,'(橫掃)RX Mapping'!BG61&lt;=720), (-1)*('(橫掃)RX Mapping'!BG61-720)+120,IF(AND('(橫掃)RX Mapping'!BG61&gt;=721,'(橫掃)RX Mapping'!BG61&lt;=840), ('(橫掃)RX Mapping'!BG61-601),IF(AND('(橫掃)RX Mapping'!BG61&gt;=841,'(橫掃)RX Mapping'!BG61&lt;=960), (-1)*('(橫掃)RX Mapping'!BG61-960)+120,9999))))))))</f>
        <v>9999</v>
      </c>
      <c r="BH61">
        <f>IF(AND('(橫掃)RX Mapping'!BH61&gt;=1,'(橫掃)RX Mapping'!BH61&lt;=120), ('(橫掃)RX Mapping'!BH61-1),IF(AND('(橫掃)RX Mapping'!BH61&gt;=121,'(橫掃)RX Mapping'!BH61&lt;=240), (-1)*('(橫掃)RX Mapping'!BH61-240),IF(AND('(橫掃)RX Mapping'!BH61&gt;=241,'(橫掃)RX Mapping'!BH61&lt;=360), ('(橫掃)RX Mapping'!BH61-241),IF(AND('(橫掃)RX Mapping'!BH61&gt;=361,'(橫掃)RX Mapping'!BH61&lt;=480), (-1)*('(橫掃)RX Mapping'!BH61-480),IF(AND('(橫掃)RX Mapping'!BH61&gt;=481,'(橫掃)RX Mapping'!BH61&lt;=600), ('(橫掃)RX Mapping'!BH61-361),IF(AND('(橫掃)RX Mapping'!BH61&gt;=601,'(橫掃)RX Mapping'!BH61&lt;=720), (-1)*('(橫掃)RX Mapping'!BH61-720)+120,IF(AND('(橫掃)RX Mapping'!BH61&gt;=721,'(橫掃)RX Mapping'!BH61&lt;=840), ('(橫掃)RX Mapping'!BH61-601),IF(AND('(橫掃)RX Mapping'!BH61&gt;=841,'(橫掃)RX Mapping'!BH61&lt;=960), (-1)*('(橫掃)RX Mapping'!BH61-960)+120,9999))))))))</f>
        <v>9999</v>
      </c>
      <c r="BI61">
        <f>IF(AND('(橫掃)RX Mapping'!BI61&gt;=1,'(橫掃)RX Mapping'!BI61&lt;=120), ('(橫掃)RX Mapping'!BI61-1),IF(AND('(橫掃)RX Mapping'!BI61&gt;=121,'(橫掃)RX Mapping'!BI61&lt;=240), (-1)*('(橫掃)RX Mapping'!BI61-240),IF(AND('(橫掃)RX Mapping'!BI61&gt;=241,'(橫掃)RX Mapping'!BI61&lt;=360), ('(橫掃)RX Mapping'!BI61-241),IF(AND('(橫掃)RX Mapping'!BI61&gt;=361,'(橫掃)RX Mapping'!BI61&lt;=480), (-1)*('(橫掃)RX Mapping'!BI61-480),IF(AND('(橫掃)RX Mapping'!BI61&gt;=481,'(橫掃)RX Mapping'!BI61&lt;=600), ('(橫掃)RX Mapping'!BI61-361),IF(AND('(橫掃)RX Mapping'!BI61&gt;=601,'(橫掃)RX Mapping'!BI61&lt;=720), (-1)*('(橫掃)RX Mapping'!BI61-720)+120,IF(AND('(橫掃)RX Mapping'!BI61&gt;=721,'(橫掃)RX Mapping'!BI61&lt;=840), ('(橫掃)RX Mapping'!BI61-601),IF(AND('(橫掃)RX Mapping'!BI61&gt;=841,'(橫掃)RX Mapping'!BI61&lt;=960), (-1)*('(橫掃)RX Mapping'!BI61-960)+120,9999))))))))</f>
        <v>9999</v>
      </c>
    </row>
    <row r="65" spans="1:61" x14ac:dyDescent="0.25">
      <c r="B65" s="20">
        <v>1</v>
      </c>
      <c r="C65" s="20">
        <v>2</v>
      </c>
      <c r="D65" s="20">
        <v>3</v>
      </c>
      <c r="E65" s="20">
        <v>4</v>
      </c>
      <c r="F65" s="20">
        <v>5</v>
      </c>
      <c r="G65" s="20">
        <v>6</v>
      </c>
      <c r="H65" s="20">
        <v>7</v>
      </c>
      <c r="I65" s="20">
        <v>8</v>
      </c>
      <c r="J65" s="20">
        <v>9</v>
      </c>
      <c r="K65" s="20">
        <v>10</v>
      </c>
      <c r="L65" s="20">
        <v>11</v>
      </c>
      <c r="M65" s="20">
        <v>12</v>
      </c>
      <c r="N65" s="20">
        <v>13</v>
      </c>
      <c r="O65" s="20">
        <v>14</v>
      </c>
      <c r="P65" s="20">
        <v>15</v>
      </c>
      <c r="Q65" s="20">
        <v>16</v>
      </c>
      <c r="R65" s="20">
        <v>17</v>
      </c>
      <c r="S65" s="20">
        <v>18</v>
      </c>
      <c r="T65" s="20">
        <v>19</v>
      </c>
      <c r="U65" s="20">
        <v>20</v>
      </c>
      <c r="V65" s="20">
        <v>21</v>
      </c>
      <c r="W65" s="20">
        <v>22</v>
      </c>
      <c r="X65" s="20">
        <v>23</v>
      </c>
      <c r="Y65" s="20">
        <v>24</v>
      </c>
      <c r="Z65" s="20">
        <v>25</v>
      </c>
      <c r="AA65" s="20">
        <v>26</v>
      </c>
      <c r="AB65" s="20">
        <v>27</v>
      </c>
      <c r="AC65" s="20">
        <v>28</v>
      </c>
      <c r="AD65" s="20">
        <v>29</v>
      </c>
      <c r="AE65" s="20">
        <v>30</v>
      </c>
      <c r="AF65" s="20">
        <v>31</v>
      </c>
      <c r="AG65" s="20">
        <v>32</v>
      </c>
      <c r="AH65" s="20">
        <v>33</v>
      </c>
      <c r="AI65" s="20">
        <v>34</v>
      </c>
      <c r="AJ65" s="20">
        <v>35</v>
      </c>
      <c r="AK65" s="20">
        <v>36</v>
      </c>
      <c r="AL65" s="20">
        <v>37</v>
      </c>
      <c r="AM65" s="20">
        <v>38</v>
      </c>
      <c r="AN65" s="20">
        <v>39</v>
      </c>
      <c r="AO65" s="20">
        <v>40</v>
      </c>
      <c r="AP65" s="20">
        <v>41</v>
      </c>
      <c r="AQ65" s="20">
        <v>42</v>
      </c>
      <c r="AR65" s="20">
        <v>43</v>
      </c>
      <c r="AS65" s="20">
        <v>44</v>
      </c>
      <c r="AT65" s="20">
        <v>45</v>
      </c>
      <c r="AU65" s="20">
        <v>46</v>
      </c>
      <c r="AV65" s="20">
        <v>47</v>
      </c>
      <c r="AW65" s="20">
        <v>48</v>
      </c>
      <c r="AX65" s="20">
        <v>49</v>
      </c>
      <c r="AY65" s="20">
        <v>50</v>
      </c>
      <c r="AZ65" s="20">
        <v>51</v>
      </c>
      <c r="BA65" s="20">
        <v>52</v>
      </c>
      <c r="BB65" s="20">
        <v>53</v>
      </c>
      <c r="BC65" s="20">
        <v>54</v>
      </c>
      <c r="BD65" s="20">
        <v>55</v>
      </c>
      <c r="BE65" s="20">
        <v>56</v>
      </c>
      <c r="BF65" s="20">
        <v>57</v>
      </c>
      <c r="BG65" s="20">
        <v>58</v>
      </c>
      <c r="BH65" s="20">
        <v>59</v>
      </c>
      <c r="BI65" s="20">
        <v>60</v>
      </c>
    </row>
    <row r="66" spans="1:61" x14ac:dyDescent="0.25">
      <c r="A66" s="20">
        <v>1</v>
      </c>
      <c r="B66">
        <f ca="1">OFFSET($B$2,60-B$65,60-$A66)</f>
        <v>9999</v>
      </c>
      <c r="C66">
        <f t="shared" ref="C66:BI70" ca="1" si="0">OFFSET($B$2,60-C$65,60-$A66)</f>
        <v>9999</v>
      </c>
      <c r="D66">
        <f t="shared" ca="1" si="0"/>
        <v>9999</v>
      </c>
      <c r="E66">
        <f t="shared" ca="1" si="0"/>
        <v>9999</v>
      </c>
      <c r="F66">
        <f t="shared" ca="1" si="0"/>
        <v>9999</v>
      </c>
      <c r="G66">
        <f t="shared" ca="1" si="0"/>
        <v>9999</v>
      </c>
      <c r="H66">
        <f t="shared" ca="1" si="0"/>
        <v>9999</v>
      </c>
      <c r="I66">
        <f t="shared" ca="1" si="0"/>
        <v>9999</v>
      </c>
      <c r="J66">
        <f t="shared" ca="1" si="0"/>
        <v>9999</v>
      </c>
      <c r="K66">
        <f t="shared" ca="1" si="0"/>
        <v>9999</v>
      </c>
      <c r="L66">
        <f t="shared" ca="1" si="0"/>
        <v>9999</v>
      </c>
      <c r="M66">
        <f t="shared" ca="1" si="0"/>
        <v>9999</v>
      </c>
      <c r="N66">
        <f t="shared" ca="1" si="0"/>
        <v>9999</v>
      </c>
      <c r="O66">
        <f t="shared" ca="1" si="0"/>
        <v>9999</v>
      </c>
      <c r="P66">
        <f t="shared" ca="1" si="0"/>
        <v>9999</v>
      </c>
      <c r="Q66">
        <f t="shared" ca="1" si="0"/>
        <v>9999</v>
      </c>
      <c r="R66">
        <f t="shared" ca="1" si="0"/>
        <v>9999</v>
      </c>
      <c r="S66">
        <f t="shared" ca="1" si="0"/>
        <v>9999</v>
      </c>
      <c r="T66">
        <f t="shared" ca="1" si="0"/>
        <v>9999</v>
      </c>
      <c r="U66">
        <f t="shared" ca="1" si="0"/>
        <v>9999</v>
      </c>
      <c r="V66">
        <f t="shared" ca="1" si="0"/>
        <v>9999</v>
      </c>
      <c r="W66">
        <f t="shared" ca="1" si="0"/>
        <v>9999</v>
      </c>
      <c r="X66">
        <f t="shared" ca="1" si="0"/>
        <v>9999</v>
      </c>
      <c r="Y66">
        <f t="shared" ca="1" si="0"/>
        <v>9999</v>
      </c>
      <c r="Z66">
        <f t="shared" ca="1" si="0"/>
        <v>9999</v>
      </c>
      <c r="AA66">
        <f t="shared" ca="1" si="0"/>
        <v>9999</v>
      </c>
      <c r="AB66">
        <f t="shared" ca="1" si="0"/>
        <v>9999</v>
      </c>
      <c r="AC66">
        <f t="shared" ca="1" si="0"/>
        <v>9999</v>
      </c>
      <c r="AD66">
        <f t="shared" ca="1" si="0"/>
        <v>9999</v>
      </c>
      <c r="AE66">
        <f t="shared" ca="1" si="0"/>
        <v>9999</v>
      </c>
      <c r="AF66">
        <f t="shared" ca="1" si="0"/>
        <v>9999</v>
      </c>
      <c r="AG66">
        <f t="shared" ca="1" si="0"/>
        <v>9999</v>
      </c>
      <c r="AH66">
        <f t="shared" ca="1" si="0"/>
        <v>9999</v>
      </c>
      <c r="AI66">
        <f t="shared" ca="1" si="0"/>
        <v>9999</v>
      </c>
      <c r="AJ66">
        <f t="shared" ca="1" si="0"/>
        <v>9999</v>
      </c>
      <c r="AK66">
        <f t="shared" ca="1" si="0"/>
        <v>9999</v>
      </c>
      <c r="AL66">
        <f t="shared" ca="1" si="0"/>
        <v>9999</v>
      </c>
      <c r="AM66">
        <f t="shared" ca="1" si="0"/>
        <v>9999</v>
      </c>
      <c r="AN66">
        <f t="shared" ca="1" si="0"/>
        <v>9999</v>
      </c>
      <c r="AO66">
        <f t="shared" ca="1" si="0"/>
        <v>9999</v>
      </c>
      <c r="AP66">
        <f t="shared" ca="1" si="0"/>
        <v>9999</v>
      </c>
      <c r="AQ66">
        <f t="shared" ca="1" si="0"/>
        <v>9999</v>
      </c>
      <c r="AR66">
        <f t="shared" ca="1" si="0"/>
        <v>9999</v>
      </c>
      <c r="AS66">
        <f t="shared" ca="1" si="0"/>
        <v>9999</v>
      </c>
      <c r="AT66">
        <f t="shared" ca="1" si="0"/>
        <v>9999</v>
      </c>
      <c r="AU66">
        <f t="shared" ca="1" si="0"/>
        <v>9999</v>
      </c>
      <c r="AV66">
        <f t="shared" ca="1" si="0"/>
        <v>9999</v>
      </c>
      <c r="AW66">
        <f t="shared" ca="1" si="0"/>
        <v>9999</v>
      </c>
      <c r="AX66">
        <f t="shared" ca="1" si="0"/>
        <v>9999</v>
      </c>
      <c r="AY66">
        <f t="shared" ca="1" si="0"/>
        <v>9999</v>
      </c>
      <c r="AZ66">
        <f t="shared" ca="1" si="0"/>
        <v>9999</v>
      </c>
      <c r="BA66">
        <f t="shared" ca="1" si="0"/>
        <v>9999</v>
      </c>
      <c r="BB66">
        <f t="shared" ca="1" si="0"/>
        <v>9999</v>
      </c>
      <c r="BC66">
        <f t="shared" ca="1" si="0"/>
        <v>9999</v>
      </c>
      <c r="BD66">
        <f t="shared" ca="1" si="0"/>
        <v>9999</v>
      </c>
      <c r="BE66">
        <f t="shared" ca="1" si="0"/>
        <v>9999</v>
      </c>
      <c r="BF66">
        <f t="shared" ca="1" si="0"/>
        <v>9999</v>
      </c>
      <c r="BG66">
        <f t="shared" ca="1" si="0"/>
        <v>9999</v>
      </c>
      <c r="BH66">
        <f t="shared" ca="1" si="0"/>
        <v>9999</v>
      </c>
      <c r="BI66">
        <f t="shared" ca="1" si="0"/>
        <v>9999</v>
      </c>
    </row>
    <row r="67" spans="1:61" x14ac:dyDescent="0.25">
      <c r="A67" s="20">
        <v>2</v>
      </c>
      <c r="B67">
        <f t="shared" ref="B67:Q86" ca="1" si="1">OFFSET($B$2,60-B$65,60-$A67)</f>
        <v>9999</v>
      </c>
      <c r="C67">
        <f t="shared" ca="1" si="0"/>
        <v>9999</v>
      </c>
      <c r="D67">
        <f t="shared" ca="1" si="0"/>
        <v>9999</v>
      </c>
      <c r="E67">
        <f t="shared" ca="1" si="0"/>
        <v>9999</v>
      </c>
      <c r="F67">
        <f t="shared" ca="1" si="0"/>
        <v>9999</v>
      </c>
      <c r="G67">
        <f t="shared" ca="1" si="0"/>
        <v>9999</v>
      </c>
      <c r="H67">
        <f t="shared" ca="1" si="0"/>
        <v>9999</v>
      </c>
      <c r="I67">
        <f t="shared" ca="1" si="0"/>
        <v>9999</v>
      </c>
      <c r="J67">
        <f t="shared" ca="1" si="0"/>
        <v>9999</v>
      </c>
      <c r="K67">
        <f t="shared" ca="1" si="0"/>
        <v>9999</v>
      </c>
      <c r="L67">
        <f t="shared" ca="1" si="0"/>
        <v>9999</v>
      </c>
      <c r="M67">
        <f t="shared" ca="1" si="0"/>
        <v>9999</v>
      </c>
      <c r="N67">
        <f t="shared" ca="1" si="0"/>
        <v>9999</v>
      </c>
      <c r="O67">
        <f t="shared" ca="1" si="0"/>
        <v>9999</v>
      </c>
      <c r="P67">
        <f t="shared" ca="1" si="0"/>
        <v>9999</v>
      </c>
      <c r="Q67">
        <f t="shared" ca="1" si="0"/>
        <v>9999</v>
      </c>
      <c r="R67">
        <f t="shared" ca="1" si="0"/>
        <v>9999</v>
      </c>
      <c r="S67">
        <f t="shared" ca="1" si="0"/>
        <v>9999</v>
      </c>
      <c r="T67">
        <f t="shared" ca="1" si="0"/>
        <v>9999</v>
      </c>
      <c r="U67">
        <f t="shared" ca="1" si="0"/>
        <v>9999</v>
      </c>
      <c r="V67">
        <f t="shared" ca="1" si="0"/>
        <v>9999</v>
      </c>
      <c r="W67">
        <f t="shared" ca="1" si="0"/>
        <v>9999</v>
      </c>
      <c r="X67">
        <f t="shared" ca="1" si="0"/>
        <v>9999</v>
      </c>
      <c r="Y67">
        <f t="shared" ca="1" si="0"/>
        <v>9999</v>
      </c>
      <c r="Z67">
        <f t="shared" ca="1" si="0"/>
        <v>9999</v>
      </c>
      <c r="AA67">
        <f t="shared" ca="1" si="0"/>
        <v>9999</v>
      </c>
      <c r="AB67">
        <f t="shared" ca="1" si="0"/>
        <v>9999</v>
      </c>
      <c r="AC67">
        <f t="shared" ca="1" si="0"/>
        <v>9999</v>
      </c>
      <c r="AD67">
        <f t="shared" ca="1" si="0"/>
        <v>9999</v>
      </c>
      <c r="AE67">
        <f t="shared" ca="1" si="0"/>
        <v>9999</v>
      </c>
      <c r="AF67">
        <f t="shared" ca="1" si="0"/>
        <v>9999</v>
      </c>
      <c r="AG67">
        <f t="shared" ca="1" si="0"/>
        <v>9999</v>
      </c>
      <c r="AH67">
        <f t="shared" ca="1" si="0"/>
        <v>9999</v>
      </c>
      <c r="AI67">
        <f t="shared" ca="1" si="0"/>
        <v>9999</v>
      </c>
      <c r="AJ67">
        <f t="shared" ca="1" si="0"/>
        <v>9999</v>
      </c>
      <c r="AK67">
        <f t="shared" ca="1" si="0"/>
        <v>9999</v>
      </c>
      <c r="AL67">
        <f t="shared" ca="1" si="0"/>
        <v>9999</v>
      </c>
      <c r="AM67">
        <f t="shared" ca="1" si="0"/>
        <v>9999</v>
      </c>
      <c r="AN67">
        <f t="shared" ca="1" si="0"/>
        <v>9999</v>
      </c>
      <c r="AO67">
        <f t="shared" ca="1" si="0"/>
        <v>9999</v>
      </c>
      <c r="AP67">
        <f t="shared" ca="1" si="0"/>
        <v>9999</v>
      </c>
      <c r="AQ67">
        <f t="shared" ca="1" si="0"/>
        <v>9999</v>
      </c>
      <c r="AR67">
        <f t="shared" ca="1" si="0"/>
        <v>9999</v>
      </c>
      <c r="AS67">
        <f t="shared" ca="1" si="0"/>
        <v>9999</v>
      </c>
      <c r="AT67">
        <f t="shared" ca="1" si="0"/>
        <v>9999</v>
      </c>
      <c r="AU67">
        <f t="shared" ca="1" si="0"/>
        <v>9999</v>
      </c>
      <c r="AV67">
        <f t="shared" ca="1" si="0"/>
        <v>9999</v>
      </c>
      <c r="AW67">
        <f t="shared" ca="1" si="0"/>
        <v>9999</v>
      </c>
      <c r="AX67">
        <f t="shared" ca="1" si="0"/>
        <v>9999</v>
      </c>
      <c r="AY67">
        <f t="shared" ca="1" si="0"/>
        <v>9999</v>
      </c>
      <c r="AZ67">
        <f t="shared" ca="1" si="0"/>
        <v>9999</v>
      </c>
      <c r="BA67">
        <f t="shared" ca="1" si="0"/>
        <v>9999</v>
      </c>
      <c r="BB67">
        <f t="shared" ca="1" si="0"/>
        <v>9999</v>
      </c>
      <c r="BC67">
        <f t="shared" ca="1" si="0"/>
        <v>9999</v>
      </c>
      <c r="BD67">
        <f t="shared" ca="1" si="0"/>
        <v>9999</v>
      </c>
      <c r="BE67">
        <f t="shared" ca="1" si="0"/>
        <v>9999</v>
      </c>
      <c r="BF67">
        <f t="shared" ca="1" si="0"/>
        <v>9999</v>
      </c>
      <c r="BG67">
        <f t="shared" ca="1" si="0"/>
        <v>9999</v>
      </c>
      <c r="BH67">
        <f t="shared" ca="1" si="0"/>
        <v>9999</v>
      </c>
      <c r="BI67">
        <f t="shared" ca="1" si="0"/>
        <v>9999</v>
      </c>
    </row>
    <row r="68" spans="1:61" x14ac:dyDescent="0.25">
      <c r="A68" s="20">
        <v>3</v>
      </c>
      <c r="B68">
        <f t="shared" ca="1" si="1"/>
        <v>9999</v>
      </c>
      <c r="C68">
        <f t="shared" ca="1" si="0"/>
        <v>9999</v>
      </c>
      <c r="D68">
        <f t="shared" ca="1" si="0"/>
        <v>9999</v>
      </c>
      <c r="E68">
        <f t="shared" ca="1" si="0"/>
        <v>9999</v>
      </c>
      <c r="F68">
        <f t="shared" ca="1" si="0"/>
        <v>9999</v>
      </c>
      <c r="G68">
        <f t="shared" ca="1" si="0"/>
        <v>9999</v>
      </c>
      <c r="H68">
        <f t="shared" ca="1" si="0"/>
        <v>9999</v>
      </c>
      <c r="I68">
        <f t="shared" ca="1" si="0"/>
        <v>9999</v>
      </c>
      <c r="J68">
        <f t="shared" ca="1" si="0"/>
        <v>9999</v>
      </c>
      <c r="K68">
        <f t="shared" ca="1" si="0"/>
        <v>9999</v>
      </c>
      <c r="L68">
        <f t="shared" ca="1" si="0"/>
        <v>9999</v>
      </c>
      <c r="M68">
        <f t="shared" ca="1" si="0"/>
        <v>9999</v>
      </c>
      <c r="N68">
        <f t="shared" ca="1" si="0"/>
        <v>9999</v>
      </c>
      <c r="O68">
        <f t="shared" ca="1" si="0"/>
        <v>9999</v>
      </c>
      <c r="P68">
        <f t="shared" ca="1" si="0"/>
        <v>9999</v>
      </c>
      <c r="Q68">
        <f t="shared" ca="1" si="0"/>
        <v>9999</v>
      </c>
      <c r="R68">
        <f t="shared" ca="1" si="0"/>
        <v>9999</v>
      </c>
      <c r="S68">
        <f t="shared" ca="1" si="0"/>
        <v>9999</v>
      </c>
      <c r="T68">
        <f t="shared" ca="1" si="0"/>
        <v>9999</v>
      </c>
      <c r="U68">
        <f t="shared" ca="1" si="0"/>
        <v>9999</v>
      </c>
      <c r="V68">
        <f t="shared" ca="1" si="0"/>
        <v>9999</v>
      </c>
      <c r="W68">
        <f t="shared" ca="1" si="0"/>
        <v>9999</v>
      </c>
      <c r="X68">
        <f t="shared" ca="1" si="0"/>
        <v>9999</v>
      </c>
      <c r="Y68">
        <f t="shared" ca="1" si="0"/>
        <v>9999</v>
      </c>
      <c r="Z68">
        <f t="shared" ca="1" si="0"/>
        <v>9999</v>
      </c>
      <c r="AA68">
        <f t="shared" ca="1" si="0"/>
        <v>9999</v>
      </c>
      <c r="AB68">
        <f t="shared" ca="1" si="0"/>
        <v>9999</v>
      </c>
      <c r="AC68">
        <f t="shared" ca="1" si="0"/>
        <v>9999</v>
      </c>
      <c r="AD68">
        <f t="shared" ca="1" si="0"/>
        <v>9999</v>
      </c>
      <c r="AE68">
        <f t="shared" ca="1" si="0"/>
        <v>9999</v>
      </c>
      <c r="AF68">
        <f t="shared" ca="1" si="0"/>
        <v>9999</v>
      </c>
      <c r="AG68">
        <f t="shared" ca="1" si="0"/>
        <v>9999</v>
      </c>
      <c r="AH68">
        <f t="shared" ca="1" si="0"/>
        <v>9999</v>
      </c>
      <c r="AI68">
        <f t="shared" ca="1" si="0"/>
        <v>9999</v>
      </c>
      <c r="AJ68">
        <f t="shared" ca="1" si="0"/>
        <v>9999</v>
      </c>
      <c r="AK68">
        <f t="shared" ca="1" si="0"/>
        <v>9999</v>
      </c>
      <c r="AL68">
        <f t="shared" ca="1" si="0"/>
        <v>9999</v>
      </c>
      <c r="AM68">
        <f t="shared" ca="1" si="0"/>
        <v>9999</v>
      </c>
      <c r="AN68">
        <f t="shared" ca="1" si="0"/>
        <v>9999</v>
      </c>
      <c r="AO68">
        <f t="shared" ca="1" si="0"/>
        <v>9999</v>
      </c>
      <c r="AP68">
        <f t="shared" ca="1" si="0"/>
        <v>9999</v>
      </c>
      <c r="AQ68">
        <f t="shared" ca="1" si="0"/>
        <v>9999</v>
      </c>
      <c r="AR68">
        <f t="shared" ca="1" si="0"/>
        <v>9999</v>
      </c>
      <c r="AS68">
        <f t="shared" ca="1" si="0"/>
        <v>9999</v>
      </c>
      <c r="AT68">
        <f t="shared" ca="1" si="0"/>
        <v>9999</v>
      </c>
      <c r="AU68">
        <f t="shared" ca="1" si="0"/>
        <v>9999</v>
      </c>
      <c r="AV68">
        <f t="shared" ca="1" si="0"/>
        <v>9999</v>
      </c>
      <c r="AW68">
        <f t="shared" ca="1" si="0"/>
        <v>9999</v>
      </c>
      <c r="AX68">
        <f t="shared" ca="1" si="0"/>
        <v>9999</v>
      </c>
      <c r="AY68">
        <f t="shared" ca="1" si="0"/>
        <v>9999</v>
      </c>
      <c r="AZ68">
        <f t="shared" ca="1" si="0"/>
        <v>9999</v>
      </c>
      <c r="BA68">
        <f t="shared" ca="1" si="0"/>
        <v>9999</v>
      </c>
      <c r="BB68">
        <f t="shared" ca="1" si="0"/>
        <v>9999</v>
      </c>
      <c r="BC68">
        <f t="shared" ca="1" si="0"/>
        <v>9999</v>
      </c>
      <c r="BD68">
        <f t="shared" ca="1" si="0"/>
        <v>9999</v>
      </c>
      <c r="BE68">
        <f t="shared" ca="1" si="0"/>
        <v>9999</v>
      </c>
      <c r="BF68">
        <f t="shared" ca="1" si="0"/>
        <v>9999</v>
      </c>
      <c r="BG68">
        <f t="shared" ca="1" si="0"/>
        <v>9999</v>
      </c>
      <c r="BH68">
        <f t="shared" ca="1" si="0"/>
        <v>9999</v>
      </c>
      <c r="BI68">
        <f t="shared" ca="1" si="0"/>
        <v>9999</v>
      </c>
    </row>
    <row r="69" spans="1:61" x14ac:dyDescent="0.25">
      <c r="A69" s="20">
        <v>4</v>
      </c>
      <c r="B69">
        <f t="shared" ca="1" si="1"/>
        <v>9999</v>
      </c>
      <c r="C69">
        <f t="shared" ca="1" si="0"/>
        <v>9999</v>
      </c>
      <c r="D69">
        <f t="shared" ca="1" si="0"/>
        <v>9999</v>
      </c>
      <c r="E69">
        <f t="shared" ca="1" si="0"/>
        <v>9999</v>
      </c>
      <c r="F69">
        <f t="shared" ca="1" si="0"/>
        <v>9999</v>
      </c>
      <c r="G69">
        <f t="shared" ca="1" si="0"/>
        <v>9999</v>
      </c>
      <c r="H69">
        <f t="shared" ca="1" si="0"/>
        <v>9999</v>
      </c>
      <c r="I69">
        <f t="shared" ca="1" si="0"/>
        <v>9999</v>
      </c>
      <c r="J69">
        <f t="shared" ca="1" si="0"/>
        <v>9999</v>
      </c>
      <c r="K69">
        <f t="shared" ca="1" si="0"/>
        <v>9999</v>
      </c>
      <c r="L69">
        <f t="shared" ca="1" si="0"/>
        <v>9999</v>
      </c>
      <c r="M69">
        <f t="shared" ca="1" si="0"/>
        <v>9999</v>
      </c>
      <c r="N69">
        <f t="shared" ca="1" si="0"/>
        <v>9999</v>
      </c>
      <c r="O69">
        <f t="shared" ca="1" si="0"/>
        <v>9999</v>
      </c>
      <c r="P69">
        <f t="shared" ca="1" si="0"/>
        <v>9999</v>
      </c>
      <c r="Q69">
        <f t="shared" ca="1" si="0"/>
        <v>9999</v>
      </c>
      <c r="R69">
        <f t="shared" ca="1" si="0"/>
        <v>9999</v>
      </c>
      <c r="S69">
        <f t="shared" ca="1" si="0"/>
        <v>9999</v>
      </c>
      <c r="T69">
        <f t="shared" ca="1" si="0"/>
        <v>9999</v>
      </c>
      <c r="U69">
        <f t="shared" ca="1" si="0"/>
        <v>9999</v>
      </c>
      <c r="V69">
        <f t="shared" ca="1" si="0"/>
        <v>9999</v>
      </c>
      <c r="W69">
        <f t="shared" ca="1" si="0"/>
        <v>9999</v>
      </c>
      <c r="X69">
        <f t="shared" ca="1" si="0"/>
        <v>9999</v>
      </c>
      <c r="Y69">
        <f t="shared" ca="1" si="0"/>
        <v>9999</v>
      </c>
      <c r="Z69">
        <f t="shared" ca="1" si="0"/>
        <v>9999</v>
      </c>
      <c r="AA69">
        <f t="shared" ca="1" si="0"/>
        <v>9999</v>
      </c>
      <c r="AB69">
        <f t="shared" ca="1" si="0"/>
        <v>9999</v>
      </c>
      <c r="AC69">
        <f t="shared" ca="1" si="0"/>
        <v>9999</v>
      </c>
      <c r="AD69">
        <f t="shared" ca="1" si="0"/>
        <v>9999</v>
      </c>
      <c r="AE69">
        <f t="shared" ca="1" si="0"/>
        <v>9999</v>
      </c>
      <c r="AF69">
        <f t="shared" ca="1" si="0"/>
        <v>9999</v>
      </c>
      <c r="AG69">
        <f t="shared" ca="1" si="0"/>
        <v>9999</v>
      </c>
      <c r="AH69">
        <f t="shared" ca="1" si="0"/>
        <v>9999</v>
      </c>
      <c r="AI69">
        <f t="shared" ca="1" si="0"/>
        <v>9999</v>
      </c>
      <c r="AJ69">
        <f t="shared" ca="1" si="0"/>
        <v>9999</v>
      </c>
      <c r="AK69">
        <f t="shared" ca="1" si="0"/>
        <v>9999</v>
      </c>
      <c r="AL69">
        <f t="shared" ca="1" si="0"/>
        <v>9999</v>
      </c>
      <c r="AM69">
        <f t="shared" ca="1" si="0"/>
        <v>9999</v>
      </c>
      <c r="AN69">
        <f t="shared" ca="1" si="0"/>
        <v>9999</v>
      </c>
      <c r="AO69">
        <f t="shared" ca="1" si="0"/>
        <v>9999</v>
      </c>
      <c r="AP69">
        <f t="shared" ca="1" si="0"/>
        <v>9999</v>
      </c>
      <c r="AQ69">
        <f t="shared" ca="1" si="0"/>
        <v>9999</v>
      </c>
      <c r="AR69">
        <f t="shared" ca="1" si="0"/>
        <v>9999</v>
      </c>
      <c r="AS69">
        <f t="shared" ca="1" si="0"/>
        <v>9999</v>
      </c>
      <c r="AT69">
        <f t="shared" ca="1" si="0"/>
        <v>9999</v>
      </c>
      <c r="AU69">
        <f t="shared" ca="1" si="0"/>
        <v>9999</v>
      </c>
      <c r="AV69">
        <f t="shared" ca="1" si="0"/>
        <v>9999</v>
      </c>
      <c r="AW69">
        <f t="shared" ca="1" si="0"/>
        <v>9999</v>
      </c>
      <c r="AX69">
        <f t="shared" ca="1" si="0"/>
        <v>9999</v>
      </c>
      <c r="AY69">
        <f t="shared" ca="1" si="0"/>
        <v>9999</v>
      </c>
      <c r="AZ69">
        <f t="shared" ca="1" si="0"/>
        <v>9999</v>
      </c>
      <c r="BA69">
        <f t="shared" ca="1" si="0"/>
        <v>9999</v>
      </c>
      <c r="BB69">
        <f t="shared" ca="1" si="0"/>
        <v>9999</v>
      </c>
      <c r="BC69">
        <f t="shared" ca="1" si="0"/>
        <v>9999</v>
      </c>
      <c r="BD69">
        <f t="shared" ca="1" si="0"/>
        <v>9999</v>
      </c>
      <c r="BE69">
        <f t="shared" ca="1" si="0"/>
        <v>9999</v>
      </c>
      <c r="BF69">
        <f t="shared" ca="1" si="0"/>
        <v>9999</v>
      </c>
      <c r="BG69">
        <f t="shared" ca="1" si="0"/>
        <v>9999</v>
      </c>
      <c r="BH69">
        <f t="shared" ca="1" si="0"/>
        <v>9999</v>
      </c>
      <c r="BI69">
        <f t="shared" ca="1" si="0"/>
        <v>9999</v>
      </c>
    </row>
    <row r="70" spans="1:61" x14ac:dyDescent="0.25">
      <c r="A70" s="20">
        <v>5</v>
      </c>
      <c r="B70">
        <f t="shared" ca="1" si="1"/>
        <v>9999</v>
      </c>
      <c r="C70">
        <f t="shared" ca="1" si="0"/>
        <v>9999</v>
      </c>
      <c r="D70">
        <f t="shared" ca="1" si="0"/>
        <v>9999</v>
      </c>
      <c r="E70">
        <f t="shared" ca="1" si="0"/>
        <v>9999</v>
      </c>
      <c r="F70">
        <f t="shared" ca="1" si="0"/>
        <v>9999</v>
      </c>
      <c r="G70">
        <f t="shared" ca="1" si="0"/>
        <v>9999</v>
      </c>
      <c r="H70">
        <f t="shared" ca="1" si="0"/>
        <v>9999</v>
      </c>
      <c r="I70">
        <f t="shared" ca="1" si="0"/>
        <v>9999</v>
      </c>
      <c r="J70">
        <f t="shared" ca="1" si="0"/>
        <v>9999</v>
      </c>
      <c r="K70">
        <f t="shared" ca="1" si="0"/>
        <v>9999</v>
      </c>
      <c r="L70">
        <f t="shared" ca="1" si="0"/>
        <v>9999</v>
      </c>
      <c r="M70">
        <f t="shared" ca="1" si="0"/>
        <v>9999</v>
      </c>
      <c r="N70">
        <f t="shared" ca="1" si="0"/>
        <v>9999</v>
      </c>
      <c r="O70">
        <f t="shared" ca="1" si="0"/>
        <v>9999</v>
      </c>
      <c r="P70">
        <f t="shared" ca="1" si="0"/>
        <v>9999</v>
      </c>
      <c r="Q70">
        <f t="shared" ca="1" si="0"/>
        <v>9999</v>
      </c>
      <c r="R70">
        <f t="shared" ca="1" si="0"/>
        <v>9999</v>
      </c>
      <c r="S70">
        <f t="shared" ca="1" si="0"/>
        <v>9999</v>
      </c>
      <c r="T70">
        <f t="shared" ca="1" si="0"/>
        <v>9999</v>
      </c>
      <c r="U70">
        <f t="shared" ca="1" si="0"/>
        <v>9999</v>
      </c>
      <c r="V70">
        <f t="shared" ref="V70:AK70" ca="1" si="2">OFFSET($B$2,60-V$65,60-$A70)</f>
        <v>9999</v>
      </c>
      <c r="W70">
        <f t="shared" ca="1" si="2"/>
        <v>9999</v>
      </c>
      <c r="X70">
        <f t="shared" ca="1" si="2"/>
        <v>9999</v>
      </c>
      <c r="Y70">
        <f t="shared" ca="1" si="2"/>
        <v>9999</v>
      </c>
      <c r="Z70">
        <f t="shared" ca="1" si="2"/>
        <v>9999</v>
      </c>
      <c r="AA70">
        <f t="shared" ca="1" si="2"/>
        <v>9999</v>
      </c>
      <c r="AB70">
        <f t="shared" ca="1" si="2"/>
        <v>9999</v>
      </c>
      <c r="AC70">
        <f t="shared" ca="1" si="2"/>
        <v>9999</v>
      </c>
      <c r="AD70">
        <f t="shared" ca="1" si="2"/>
        <v>9999</v>
      </c>
      <c r="AE70">
        <f t="shared" ca="1" si="2"/>
        <v>9999</v>
      </c>
      <c r="AF70">
        <f t="shared" ca="1" si="2"/>
        <v>9999</v>
      </c>
      <c r="AG70">
        <f t="shared" ca="1" si="2"/>
        <v>9999</v>
      </c>
      <c r="AH70">
        <f t="shared" ca="1" si="2"/>
        <v>9999</v>
      </c>
      <c r="AI70">
        <f t="shared" ca="1" si="2"/>
        <v>9999</v>
      </c>
      <c r="AJ70">
        <f t="shared" ca="1" si="2"/>
        <v>9999</v>
      </c>
      <c r="AK70">
        <f t="shared" ca="1" si="2"/>
        <v>9999</v>
      </c>
      <c r="AL70">
        <f t="shared" ref="AL70:BA85" ca="1" si="3">OFFSET($B$2,60-AL$65,60-$A70)</f>
        <v>9999</v>
      </c>
      <c r="AM70">
        <f t="shared" ca="1" si="3"/>
        <v>9999</v>
      </c>
      <c r="AN70">
        <f t="shared" ca="1" si="3"/>
        <v>9999</v>
      </c>
      <c r="AO70">
        <f t="shared" ca="1" si="3"/>
        <v>9999</v>
      </c>
      <c r="AP70">
        <f t="shared" ca="1" si="3"/>
        <v>9999</v>
      </c>
      <c r="AQ70">
        <f t="shared" ca="1" si="3"/>
        <v>9999</v>
      </c>
      <c r="AR70">
        <f t="shared" ca="1" si="3"/>
        <v>9999</v>
      </c>
      <c r="AS70">
        <f t="shared" ca="1" si="3"/>
        <v>9999</v>
      </c>
      <c r="AT70">
        <f t="shared" ca="1" si="3"/>
        <v>9999</v>
      </c>
      <c r="AU70">
        <f t="shared" ca="1" si="3"/>
        <v>9999</v>
      </c>
      <c r="AV70">
        <f t="shared" ca="1" si="3"/>
        <v>9999</v>
      </c>
      <c r="AW70">
        <f t="shared" ca="1" si="3"/>
        <v>9999</v>
      </c>
      <c r="AX70">
        <f t="shared" ca="1" si="3"/>
        <v>9999</v>
      </c>
      <c r="AY70">
        <f t="shared" ca="1" si="3"/>
        <v>9999</v>
      </c>
      <c r="AZ70">
        <f t="shared" ca="1" si="3"/>
        <v>9999</v>
      </c>
      <c r="BA70">
        <f t="shared" ca="1" si="3"/>
        <v>9999</v>
      </c>
      <c r="BB70">
        <f t="shared" ref="BB70:BI84" ca="1" si="4">OFFSET($B$2,60-BB$65,60-$A70)</f>
        <v>9999</v>
      </c>
      <c r="BC70">
        <f t="shared" ca="1" si="4"/>
        <v>9999</v>
      </c>
      <c r="BD70">
        <f t="shared" ca="1" si="4"/>
        <v>9999</v>
      </c>
      <c r="BE70">
        <f t="shared" ca="1" si="4"/>
        <v>9999</v>
      </c>
      <c r="BF70">
        <f t="shared" ca="1" si="4"/>
        <v>9999</v>
      </c>
      <c r="BG70">
        <f t="shared" ca="1" si="4"/>
        <v>9999</v>
      </c>
      <c r="BH70">
        <f t="shared" ca="1" si="4"/>
        <v>9999</v>
      </c>
      <c r="BI70">
        <f t="shared" ca="1" si="4"/>
        <v>9999</v>
      </c>
    </row>
    <row r="71" spans="1:61" x14ac:dyDescent="0.25">
      <c r="A71" s="20">
        <v>6</v>
      </c>
      <c r="B71">
        <f t="shared" ca="1" si="1"/>
        <v>9999</v>
      </c>
      <c r="C71">
        <f t="shared" ca="1" si="1"/>
        <v>9999</v>
      </c>
      <c r="D71">
        <f t="shared" ca="1" si="1"/>
        <v>9999</v>
      </c>
      <c r="E71">
        <f t="shared" ca="1" si="1"/>
        <v>9999</v>
      </c>
      <c r="F71">
        <f t="shared" ca="1" si="1"/>
        <v>9999</v>
      </c>
      <c r="G71">
        <f t="shared" ca="1" si="1"/>
        <v>9999</v>
      </c>
      <c r="H71">
        <f t="shared" ca="1" si="1"/>
        <v>9999</v>
      </c>
      <c r="I71">
        <f t="shared" ca="1" si="1"/>
        <v>9999</v>
      </c>
      <c r="J71">
        <f t="shared" ca="1" si="1"/>
        <v>9999</v>
      </c>
      <c r="K71">
        <f t="shared" ca="1" si="1"/>
        <v>9999</v>
      </c>
      <c r="L71">
        <f t="shared" ca="1" si="1"/>
        <v>9999</v>
      </c>
      <c r="M71">
        <f t="shared" ca="1" si="1"/>
        <v>9999</v>
      </c>
      <c r="N71">
        <f t="shared" ca="1" si="1"/>
        <v>9999</v>
      </c>
      <c r="O71">
        <f t="shared" ca="1" si="1"/>
        <v>9999</v>
      </c>
      <c r="P71">
        <f t="shared" ca="1" si="1"/>
        <v>9999</v>
      </c>
      <c r="Q71">
        <f t="shared" ca="1" si="1"/>
        <v>9999</v>
      </c>
      <c r="R71">
        <f t="shared" ref="R71:AG88" ca="1" si="5">OFFSET($B$2,60-R$65,60-$A71)</f>
        <v>9999</v>
      </c>
      <c r="S71">
        <f t="shared" ca="1" si="5"/>
        <v>9999</v>
      </c>
      <c r="T71">
        <f t="shared" ca="1" si="5"/>
        <v>9999</v>
      </c>
      <c r="U71">
        <f t="shared" ca="1" si="5"/>
        <v>9999</v>
      </c>
      <c r="V71">
        <f t="shared" ca="1" si="5"/>
        <v>9999</v>
      </c>
      <c r="W71">
        <f t="shared" ca="1" si="5"/>
        <v>9999</v>
      </c>
      <c r="X71">
        <f t="shared" ca="1" si="5"/>
        <v>9999</v>
      </c>
      <c r="Y71">
        <f t="shared" ca="1" si="5"/>
        <v>9999</v>
      </c>
      <c r="Z71">
        <f t="shared" ca="1" si="5"/>
        <v>9999</v>
      </c>
      <c r="AA71">
        <f t="shared" ca="1" si="5"/>
        <v>9999</v>
      </c>
      <c r="AB71">
        <f t="shared" ca="1" si="5"/>
        <v>9999</v>
      </c>
      <c r="AC71">
        <f t="shared" ca="1" si="5"/>
        <v>9999</v>
      </c>
      <c r="AD71">
        <f t="shared" ca="1" si="5"/>
        <v>9999</v>
      </c>
      <c r="AE71">
        <f t="shared" ca="1" si="5"/>
        <v>9999</v>
      </c>
      <c r="AF71">
        <f t="shared" ca="1" si="5"/>
        <v>9999</v>
      </c>
      <c r="AG71">
        <f t="shared" ca="1" si="5"/>
        <v>9999</v>
      </c>
      <c r="AH71">
        <f t="shared" ref="AH71:AK88" ca="1" si="6">OFFSET($B$2,60-AH$65,60-$A71)</f>
        <v>9999</v>
      </c>
      <c r="AI71">
        <f t="shared" ca="1" si="6"/>
        <v>9999</v>
      </c>
      <c r="AJ71">
        <f t="shared" ca="1" si="6"/>
        <v>9999</v>
      </c>
      <c r="AK71">
        <f t="shared" ca="1" si="6"/>
        <v>9999</v>
      </c>
      <c r="AL71">
        <f t="shared" ca="1" si="3"/>
        <v>9999</v>
      </c>
      <c r="AM71">
        <f t="shared" ca="1" si="3"/>
        <v>9999</v>
      </c>
      <c r="AN71">
        <f t="shared" ca="1" si="3"/>
        <v>9999</v>
      </c>
      <c r="AO71">
        <f t="shared" ca="1" si="3"/>
        <v>9999</v>
      </c>
      <c r="AP71">
        <f t="shared" ca="1" si="3"/>
        <v>9999</v>
      </c>
      <c r="AQ71">
        <f t="shared" ca="1" si="3"/>
        <v>9999</v>
      </c>
      <c r="AR71">
        <f t="shared" ca="1" si="3"/>
        <v>9999</v>
      </c>
      <c r="AS71">
        <f t="shared" ca="1" si="3"/>
        <v>9999</v>
      </c>
      <c r="AT71">
        <f t="shared" ca="1" si="3"/>
        <v>9999</v>
      </c>
      <c r="AU71">
        <f t="shared" ca="1" si="3"/>
        <v>9999</v>
      </c>
      <c r="AV71">
        <f t="shared" ca="1" si="3"/>
        <v>9999</v>
      </c>
      <c r="AW71">
        <f t="shared" ca="1" si="3"/>
        <v>9999</v>
      </c>
      <c r="AX71">
        <f t="shared" ca="1" si="3"/>
        <v>9999</v>
      </c>
      <c r="AY71">
        <f t="shared" ca="1" si="3"/>
        <v>9999</v>
      </c>
      <c r="AZ71">
        <f t="shared" ca="1" si="3"/>
        <v>9999</v>
      </c>
      <c r="BA71">
        <f t="shared" ca="1" si="3"/>
        <v>9999</v>
      </c>
      <c r="BB71">
        <f t="shared" ca="1" si="4"/>
        <v>9999</v>
      </c>
      <c r="BC71">
        <f t="shared" ca="1" si="4"/>
        <v>9999</v>
      </c>
      <c r="BD71">
        <f t="shared" ca="1" si="4"/>
        <v>9999</v>
      </c>
      <c r="BE71">
        <f t="shared" ca="1" si="4"/>
        <v>9999</v>
      </c>
      <c r="BF71">
        <f t="shared" ca="1" si="4"/>
        <v>9999</v>
      </c>
      <c r="BG71">
        <f t="shared" ca="1" si="4"/>
        <v>9999</v>
      </c>
      <c r="BH71">
        <f t="shared" ca="1" si="4"/>
        <v>9999</v>
      </c>
      <c r="BI71">
        <f t="shared" ca="1" si="4"/>
        <v>9999</v>
      </c>
    </row>
    <row r="72" spans="1:61" x14ac:dyDescent="0.25">
      <c r="A72" s="20">
        <v>7</v>
      </c>
      <c r="B72">
        <f t="shared" ca="1" si="1"/>
        <v>9999</v>
      </c>
      <c r="C72">
        <f t="shared" ca="1" si="1"/>
        <v>9999</v>
      </c>
      <c r="D72">
        <f t="shared" ca="1" si="1"/>
        <v>9999</v>
      </c>
      <c r="E72">
        <f t="shared" ca="1" si="1"/>
        <v>9999</v>
      </c>
      <c r="F72">
        <f t="shared" ca="1" si="1"/>
        <v>9999</v>
      </c>
      <c r="G72">
        <f t="shared" ca="1" si="1"/>
        <v>9999</v>
      </c>
      <c r="H72">
        <f t="shared" ca="1" si="1"/>
        <v>9999</v>
      </c>
      <c r="I72">
        <f t="shared" ca="1" si="1"/>
        <v>9999</v>
      </c>
      <c r="J72">
        <f t="shared" ca="1" si="1"/>
        <v>9999</v>
      </c>
      <c r="K72">
        <f t="shared" ca="1" si="1"/>
        <v>9999</v>
      </c>
      <c r="L72">
        <f t="shared" ca="1" si="1"/>
        <v>9999</v>
      </c>
      <c r="M72">
        <f t="shared" ca="1" si="1"/>
        <v>9999</v>
      </c>
      <c r="N72">
        <f t="shared" ca="1" si="1"/>
        <v>9999</v>
      </c>
      <c r="O72">
        <f t="shared" ca="1" si="1"/>
        <v>9999</v>
      </c>
      <c r="P72">
        <f t="shared" ca="1" si="1"/>
        <v>9999</v>
      </c>
      <c r="Q72">
        <f t="shared" ca="1" si="1"/>
        <v>9999</v>
      </c>
      <c r="R72">
        <f t="shared" ca="1" si="5"/>
        <v>9999</v>
      </c>
      <c r="S72">
        <f t="shared" ca="1" si="5"/>
        <v>9999</v>
      </c>
      <c r="T72">
        <f t="shared" ca="1" si="5"/>
        <v>9999</v>
      </c>
      <c r="U72">
        <f t="shared" ca="1" si="5"/>
        <v>9999</v>
      </c>
      <c r="V72">
        <f t="shared" ca="1" si="5"/>
        <v>9999</v>
      </c>
      <c r="W72">
        <f t="shared" ca="1" si="5"/>
        <v>9999</v>
      </c>
      <c r="X72">
        <f t="shared" ca="1" si="5"/>
        <v>9999</v>
      </c>
      <c r="Y72">
        <f t="shared" ca="1" si="5"/>
        <v>9999</v>
      </c>
      <c r="Z72">
        <f t="shared" ca="1" si="5"/>
        <v>9999</v>
      </c>
      <c r="AA72">
        <f t="shared" ca="1" si="5"/>
        <v>9999</v>
      </c>
      <c r="AB72">
        <f t="shared" ca="1" si="5"/>
        <v>9999</v>
      </c>
      <c r="AC72">
        <f t="shared" ca="1" si="5"/>
        <v>9999</v>
      </c>
      <c r="AD72">
        <f t="shared" ca="1" si="5"/>
        <v>9999</v>
      </c>
      <c r="AE72">
        <f t="shared" ca="1" si="5"/>
        <v>9999</v>
      </c>
      <c r="AF72">
        <f t="shared" ca="1" si="5"/>
        <v>9999</v>
      </c>
      <c r="AG72">
        <f t="shared" ca="1" si="5"/>
        <v>9999</v>
      </c>
      <c r="AH72">
        <f t="shared" ca="1" si="6"/>
        <v>9999</v>
      </c>
      <c r="AI72">
        <f t="shared" ca="1" si="6"/>
        <v>9999</v>
      </c>
      <c r="AJ72">
        <f t="shared" ca="1" si="6"/>
        <v>9999</v>
      </c>
      <c r="AK72">
        <f t="shared" ca="1" si="6"/>
        <v>9999</v>
      </c>
      <c r="AL72">
        <f t="shared" ca="1" si="3"/>
        <v>9999</v>
      </c>
      <c r="AM72">
        <f t="shared" ca="1" si="3"/>
        <v>9999</v>
      </c>
      <c r="AN72">
        <f t="shared" ca="1" si="3"/>
        <v>9999</v>
      </c>
      <c r="AO72">
        <f t="shared" ca="1" si="3"/>
        <v>9999</v>
      </c>
      <c r="AP72">
        <f t="shared" ca="1" si="3"/>
        <v>9999</v>
      </c>
      <c r="AQ72">
        <f t="shared" ca="1" si="3"/>
        <v>9999</v>
      </c>
      <c r="AR72">
        <f t="shared" ca="1" si="3"/>
        <v>9999</v>
      </c>
      <c r="AS72">
        <f t="shared" ca="1" si="3"/>
        <v>9999</v>
      </c>
      <c r="AT72">
        <f t="shared" ca="1" si="3"/>
        <v>9999</v>
      </c>
      <c r="AU72">
        <f t="shared" ca="1" si="3"/>
        <v>9999</v>
      </c>
      <c r="AV72">
        <f t="shared" ca="1" si="3"/>
        <v>9999</v>
      </c>
      <c r="AW72">
        <f t="shared" ca="1" si="3"/>
        <v>9999</v>
      </c>
      <c r="AX72">
        <f t="shared" ca="1" si="3"/>
        <v>9999</v>
      </c>
      <c r="AY72">
        <f t="shared" ca="1" si="3"/>
        <v>9999</v>
      </c>
      <c r="AZ72">
        <f t="shared" ca="1" si="3"/>
        <v>9999</v>
      </c>
      <c r="BA72">
        <f t="shared" ca="1" si="3"/>
        <v>9999</v>
      </c>
      <c r="BB72">
        <f t="shared" ca="1" si="4"/>
        <v>9999</v>
      </c>
      <c r="BC72">
        <f t="shared" ca="1" si="4"/>
        <v>9999</v>
      </c>
      <c r="BD72">
        <f t="shared" ca="1" si="4"/>
        <v>9999</v>
      </c>
      <c r="BE72">
        <f t="shared" ca="1" si="4"/>
        <v>9999</v>
      </c>
      <c r="BF72">
        <f t="shared" ca="1" si="4"/>
        <v>9999</v>
      </c>
      <c r="BG72">
        <f t="shared" ca="1" si="4"/>
        <v>9999</v>
      </c>
      <c r="BH72">
        <f t="shared" ca="1" si="4"/>
        <v>9999</v>
      </c>
      <c r="BI72">
        <f t="shared" ca="1" si="4"/>
        <v>9999</v>
      </c>
    </row>
    <row r="73" spans="1:61" x14ac:dyDescent="0.25">
      <c r="A73" s="20">
        <v>8</v>
      </c>
      <c r="B73">
        <f t="shared" ca="1" si="1"/>
        <v>9999</v>
      </c>
      <c r="C73">
        <f t="shared" ca="1" si="1"/>
        <v>9999</v>
      </c>
      <c r="D73">
        <f t="shared" ca="1" si="1"/>
        <v>9999</v>
      </c>
      <c r="E73">
        <f t="shared" ca="1" si="1"/>
        <v>9999</v>
      </c>
      <c r="F73">
        <f t="shared" ca="1" si="1"/>
        <v>9999</v>
      </c>
      <c r="G73">
        <f t="shared" ca="1" si="1"/>
        <v>9999</v>
      </c>
      <c r="H73">
        <f t="shared" ca="1" si="1"/>
        <v>9999</v>
      </c>
      <c r="I73">
        <f t="shared" ca="1" si="1"/>
        <v>9999</v>
      </c>
      <c r="J73">
        <f t="shared" ca="1" si="1"/>
        <v>9999</v>
      </c>
      <c r="K73">
        <f t="shared" ca="1" si="1"/>
        <v>9999</v>
      </c>
      <c r="L73">
        <f t="shared" ca="1" si="1"/>
        <v>9999</v>
      </c>
      <c r="M73">
        <f t="shared" ca="1" si="1"/>
        <v>9999</v>
      </c>
      <c r="N73">
        <f t="shared" ca="1" si="1"/>
        <v>9999</v>
      </c>
      <c r="O73">
        <f t="shared" ca="1" si="1"/>
        <v>9999</v>
      </c>
      <c r="P73">
        <f t="shared" ca="1" si="1"/>
        <v>9999</v>
      </c>
      <c r="Q73">
        <f t="shared" ca="1" si="1"/>
        <v>9999</v>
      </c>
      <c r="R73">
        <f t="shared" ca="1" si="5"/>
        <v>9999</v>
      </c>
      <c r="S73">
        <f t="shared" ca="1" si="5"/>
        <v>9999</v>
      </c>
      <c r="T73">
        <f t="shared" ca="1" si="5"/>
        <v>9999</v>
      </c>
      <c r="U73">
        <f t="shared" ca="1" si="5"/>
        <v>9999</v>
      </c>
      <c r="V73">
        <f t="shared" ca="1" si="5"/>
        <v>9999</v>
      </c>
      <c r="W73">
        <f t="shared" ca="1" si="5"/>
        <v>9999</v>
      </c>
      <c r="X73">
        <f t="shared" ca="1" si="5"/>
        <v>9999</v>
      </c>
      <c r="Y73">
        <f t="shared" ca="1" si="5"/>
        <v>9999</v>
      </c>
      <c r="Z73">
        <f t="shared" ca="1" si="5"/>
        <v>9999</v>
      </c>
      <c r="AA73">
        <f t="shared" ca="1" si="5"/>
        <v>9999</v>
      </c>
      <c r="AB73">
        <f t="shared" ca="1" si="5"/>
        <v>9999</v>
      </c>
      <c r="AC73">
        <f t="shared" ca="1" si="5"/>
        <v>9999</v>
      </c>
      <c r="AD73">
        <f t="shared" ca="1" si="5"/>
        <v>9999</v>
      </c>
      <c r="AE73">
        <f t="shared" ca="1" si="5"/>
        <v>9999</v>
      </c>
      <c r="AF73">
        <f t="shared" ca="1" si="5"/>
        <v>9999</v>
      </c>
      <c r="AG73">
        <f t="shared" ca="1" si="5"/>
        <v>9999</v>
      </c>
      <c r="AH73">
        <f t="shared" ca="1" si="6"/>
        <v>9999</v>
      </c>
      <c r="AI73">
        <f t="shared" ca="1" si="6"/>
        <v>9999</v>
      </c>
      <c r="AJ73">
        <f t="shared" ca="1" si="6"/>
        <v>9999</v>
      </c>
      <c r="AK73">
        <f t="shared" ca="1" si="6"/>
        <v>9999</v>
      </c>
      <c r="AL73">
        <f t="shared" ca="1" si="3"/>
        <v>9999</v>
      </c>
      <c r="AM73">
        <f t="shared" ca="1" si="3"/>
        <v>9999</v>
      </c>
      <c r="AN73">
        <f t="shared" ca="1" si="3"/>
        <v>9999</v>
      </c>
      <c r="AO73">
        <f t="shared" ca="1" si="3"/>
        <v>9999</v>
      </c>
      <c r="AP73">
        <f t="shared" ca="1" si="3"/>
        <v>9999</v>
      </c>
      <c r="AQ73">
        <f t="shared" ca="1" si="3"/>
        <v>9999</v>
      </c>
      <c r="AR73">
        <f t="shared" ca="1" si="3"/>
        <v>9999</v>
      </c>
      <c r="AS73">
        <f t="shared" ca="1" si="3"/>
        <v>9999</v>
      </c>
      <c r="AT73">
        <f t="shared" ca="1" si="3"/>
        <v>9999</v>
      </c>
      <c r="AU73">
        <f t="shared" ca="1" si="3"/>
        <v>9999</v>
      </c>
      <c r="AV73">
        <f t="shared" ca="1" si="3"/>
        <v>9999</v>
      </c>
      <c r="AW73">
        <f t="shared" ca="1" si="3"/>
        <v>9999</v>
      </c>
      <c r="AX73">
        <f t="shared" ca="1" si="3"/>
        <v>9999</v>
      </c>
      <c r="AY73">
        <f t="shared" ca="1" si="3"/>
        <v>9999</v>
      </c>
      <c r="AZ73">
        <f t="shared" ca="1" si="3"/>
        <v>9999</v>
      </c>
      <c r="BA73">
        <f t="shared" ca="1" si="3"/>
        <v>9999</v>
      </c>
      <c r="BB73">
        <f t="shared" ca="1" si="4"/>
        <v>9999</v>
      </c>
      <c r="BC73">
        <f t="shared" ca="1" si="4"/>
        <v>9999</v>
      </c>
      <c r="BD73">
        <f t="shared" ca="1" si="4"/>
        <v>9999</v>
      </c>
      <c r="BE73">
        <f t="shared" ca="1" si="4"/>
        <v>9999</v>
      </c>
      <c r="BF73">
        <f t="shared" ca="1" si="4"/>
        <v>9999</v>
      </c>
      <c r="BG73">
        <f t="shared" ca="1" si="4"/>
        <v>9999</v>
      </c>
      <c r="BH73">
        <f t="shared" ca="1" si="4"/>
        <v>9999</v>
      </c>
      <c r="BI73">
        <f t="shared" ca="1" si="4"/>
        <v>9999</v>
      </c>
    </row>
    <row r="74" spans="1:61" x14ac:dyDescent="0.25">
      <c r="A74" s="20">
        <v>9</v>
      </c>
      <c r="B74">
        <f t="shared" ca="1" si="1"/>
        <v>9999</v>
      </c>
      <c r="C74">
        <f t="shared" ca="1" si="1"/>
        <v>9999</v>
      </c>
      <c r="D74">
        <f t="shared" ca="1" si="1"/>
        <v>9999</v>
      </c>
      <c r="E74">
        <f t="shared" ca="1" si="1"/>
        <v>9999</v>
      </c>
      <c r="F74">
        <f t="shared" ca="1" si="1"/>
        <v>9999</v>
      </c>
      <c r="G74">
        <f t="shared" ca="1" si="1"/>
        <v>9999</v>
      </c>
      <c r="H74">
        <f t="shared" ca="1" si="1"/>
        <v>9999</v>
      </c>
      <c r="I74">
        <f t="shared" ca="1" si="1"/>
        <v>9999</v>
      </c>
      <c r="J74">
        <f t="shared" ca="1" si="1"/>
        <v>9999</v>
      </c>
      <c r="K74">
        <f t="shared" ca="1" si="1"/>
        <v>9999</v>
      </c>
      <c r="L74">
        <f t="shared" ca="1" si="1"/>
        <v>9999</v>
      </c>
      <c r="M74">
        <f t="shared" ca="1" si="1"/>
        <v>9999</v>
      </c>
      <c r="N74">
        <f t="shared" ca="1" si="1"/>
        <v>9999</v>
      </c>
      <c r="O74">
        <f t="shared" ca="1" si="1"/>
        <v>9999</v>
      </c>
      <c r="P74">
        <f t="shared" ca="1" si="1"/>
        <v>9999</v>
      </c>
      <c r="Q74">
        <f t="shared" ca="1" si="1"/>
        <v>9999</v>
      </c>
      <c r="R74">
        <f t="shared" ca="1" si="5"/>
        <v>9999</v>
      </c>
      <c r="S74">
        <f t="shared" ca="1" si="5"/>
        <v>9999</v>
      </c>
      <c r="T74">
        <f t="shared" ca="1" si="5"/>
        <v>9999</v>
      </c>
      <c r="U74">
        <f t="shared" ca="1" si="5"/>
        <v>9999</v>
      </c>
      <c r="V74">
        <f t="shared" ca="1" si="5"/>
        <v>9999</v>
      </c>
      <c r="W74">
        <f t="shared" ca="1" si="5"/>
        <v>9999</v>
      </c>
      <c r="X74">
        <f t="shared" ca="1" si="5"/>
        <v>9999</v>
      </c>
      <c r="Y74">
        <f t="shared" ca="1" si="5"/>
        <v>9999</v>
      </c>
      <c r="Z74">
        <f t="shared" ca="1" si="5"/>
        <v>9999</v>
      </c>
      <c r="AA74">
        <f t="shared" ca="1" si="5"/>
        <v>9999</v>
      </c>
      <c r="AB74">
        <f t="shared" ca="1" si="5"/>
        <v>9999</v>
      </c>
      <c r="AC74">
        <f t="shared" ca="1" si="5"/>
        <v>9999</v>
      </c>
      <c r="AD74">
        <f t="shared" ca="1" si="5"/>
        <v>9999</v>
      </c>
      <c r="AE74">
        <f t="shared" ca="1" si="5"/>
        <v>9999</v>
      </c>
      <c r="AF74">
        <f t="shared" ca="1" si="5"/>
        <v>9999</v>
      </c>
      <c r="AG74">
        <f t="shared" ca="1" si="5"/>
        <v>9999</v>
      </c>
      <c r="AH74">
        <f t="shared" ca="1" si="6"/>
        <v>9999</v>
      </c>
      <c r="AI74">
        <f t="shared" ca="1" si="6"/>
        <v>9999</v>
      </c>
      <c r="AJ74">
        <f t="shared" ca="1" si="6"/>
        <v>9999</v>
      </c>
      <c r="AK74">
        <f t="shared" ca="1" si="6"/>
        <v>9999</v>
      </c>
      <c r="AL74">
        <f t="shared" ca="1" si="3"/>
        <v>9999</v>
      </c>
      <c r="AM74">
        <f t="shared" ca="1" si="3"/>
        <v>9999</v>
      </c>
      <c r="AN74">
        <f t="shared" ca="1" si="3"/>
        <v>9999</v>
      </c>
      <c r="AO74">
        <f t="shared" ca="1" si="3"/>
        <v>9999</v>
      </c>
      <c r="AP74">
        <f t="shared" ca="1" si="3"/>
        <v>9999</v>
      </c>
      <c r="AQ74">
        <f t="shared" ca="1" si="3"/>
        <v>9999</v>
      </c>
      <c r="AR74">
        <f t="shared" ca="1" si="3"/>
        <v>9999</v>
      </c>
      <c r="AS74">
        <f t="shared" ca="1" si="3"/>
        <v>9999</v>
      </c>
      <c r="AT74">
        <f t="shared" ca="1" si="3"/>
        <v>9999</v>
      </c>
      <c r="AU74">
        <f t="shared" ca="1" si="3"/>
        <v>9999</v>
      </c>
      <c r="AV74">
        <f t="shared" ca="1" si="3"/>
        <v>9999</v>
      </c>
      <c r="AW74">
        <f t="shared" ca="1" si="3"/>
        <v>9999</v>
      </c>
      <c r="AX74">
        <f t="shared" ca="1" si="3"/>
        <v>9999</v>
      </c>
      <c r="AY74">
        <f t="shared" ca="1" si="3"/>
        <v>9999</v>
      </c>
      <c r="AZ74">
        <f t="shared" ca="1" si="3"/>
        <v>9999</v>
      </c>
      <c r="BA74">
        <f t="shared" ca="1" si="3"/>
        <v>9999</v>
      </c>
      <c r="BB74">
        <f t="shared" ca="1" si="4"/>
        <v>9999</v>
      </c>
      <c r="BC74">
        <f t="shared" ca="1" si="4"/>
        <v>9999</v>
      </c>
      <c r="BD74">
        <f t="shared" ca="1" si="4"/>
        <v>9999</v>
      </c>
      <c r="BE74">
        <f t="shared" ca="1" si="4"/>
        <v>9999</v>
      </c>
      <c r="BF74">
        <f t="shared" ca="1" si="4"/>
        <v>9999</v>
      </c>
      <c r="BG74">
        <f t="shared" ca="1" si="4"/>
        <v>9999</v>
      </c>
      <c r="BH74">
        <f t="shared" ca="1" si="4"/>
        <v>9999</v>
      </c>
      <c r="BI74">
        <f t="shared" ca="1" si="4"/>
        <v>9999</v>
      </c>
    </row>
    <row r="75" spans="1:61" x14ac:dyDescent="0.25">
      <c r="A75" s="20">
        <v>10</v>
      </c>
      <c r="B75">
        <f t="shared" ca="1" si="1"/>
        <v>9999</v>
      </c>
      <c r="C75">
        <f t="shared" ca="1" si="1"/>
        <v>9999</v>
      </c>
      <c r="D75">
        <f t="shared" ca="1" si="1"/>
        <v>9999</v>
      </c>
      <c r="E75">
        <f t="shared" ca="1" si="1"/>
        <v>9999</v>
      </c>
      <c r="F75">
        <f t="shared" ca="1" si="1"/>
        <v>9999</v>
      </c>
      <c r="G75">
        <f t="shared" ca="1" si="1"/>
        <v>9999</v>
      </c>
      <c r="H75">
        <f t="shared" ca="1" si="1"/>
        <v>9999</v>
      </c>
      <c r="I75">
        <f t="shared" ca="1" si="1"/>
        <v>9999</v>
      </c>
      <c r="J75">
        <f t="shared" ca="1" si="1"/>
        <v>9999</v>
      </c>
      <c r="K75">
        <f t="shared" ca="1" si="1"/>
        <v>9999</v>
      </c>
      <c r="L75">
        <f t="shared" ca="1" si="1"/>
        <v>9999</v>
      </c>
      <c r="M75">
        <f t="shared" ca="1" si="1"/>
        <v>9999</v>
      </c>
      <c r="N75">
        <f t="shared" ca="1" si="1"/>
        <v>9999</v>
      </c>
      <c r="O75">
        <f t="shared" ca="1" si="1"/>
        <v>9999</v>
      </c>
      <c r="P75">
        <f t="shared" ca="1" si="1"/>
        <v>9999</v>
      </c>
      <c r="Q75">
        <f t="shared" ca="1" si="1"/>
        <v>9999</v>
      </c>
      <c r="R75">
        <f t="shared" ca="1" si="5"/>
        <v>9999</v>
      </c>
      <c r="S75">
        <f t="shared" ca="1" si="5"/>
        <v>9999</v>
      </c>
      <c r="T75">
        <f t="shared" ca="1" si="5"/>
        <v>9999</v>
      </c>
      <c r="U75">
        <f t="shared" ca="1" si="5"/>
        <v>9999</v>
      </c>
      <c r="V75">
        <f t="shared" ca="1" si="5"/>
        <v>9999</v>
      </c>
      <c r="W75">
        <f t="shared" ca="1" si="5"/>
        <v>9999</v>
      </c>
      <c r="X75">
        <f t="shared" ca="1" si="5"/>
        <v>9999</v>
      </c>
      <c r="Y75">
        <f t="shared" ca="1" si="5"/>
        <v>9999</v>
      </c>
      <c r="Z75">
        <f t="shared" ca="1" si="5"/>
        <v>9999</v>
      </c>
      <c r="AA75">
        <f t="shared" ca="1" si="5"/>
        <v>9999</v>
      </c>
      <c r="AB75">
        <f t="shared" ca="1" si="5"/>
        <v>9999</v>
      </c>
      <c r="AC75">
        <f t="shared" ca="1" si="5"/>
        <v>9999</v>
      </c>
      <c r="AD75">
        <f t="shared" ca="1" si="5"/>
        <v>9999</v>
      </c>
      <c r="AE75">
        <f t="shared" ca="1" si="5"/>
        <v>9999</v>
      </c>
      <c r="AF75">
        <f t="shared" ca="1" si="5"/>
        <v>9999</v>
      </c>
      <c r="AG75">
        <f t="shared" ca="1" si="5"/>
        <v>9999</v>
      </c>
      <c r="AH75">
        <f t="shared" ca="1" si="6"/>
        <v>9999</v>
      </c>
      <c r="AI75">
        <f t="shared" ca="1" si="6"/>
        <v>9999</v>
      </c>
      <c r="AJ75">
        <f t="shared" ca="1" si="6"/>
        <v>9999</v>
      </c>
      <c r="AK75">
        <f t="shared" ca="1" si="6"/>
        <v>9999</v>
      </c>
      <c r="AL75">
        <f t="shared" ca="1" si="3"/>
        <v>9999</v>
      </c>
      <c r="AM75">
        <f t="shared" ca="1" si="3"/>
        <v>9999</v>
      </c>
      <c r="AN75">
        <f t="shared" ca="1" si="3"/>
        <v>9999</v>
      </c>
      <c r="AO75">
        <f t="shared" ca="1" si="3"/>
        <v>9999</v>
      </c>
      <c r="AP75">
        <f t="shared" ca="1" si="3"/>
        <v>9999</v>
      </c>
      <c r="AQ75">
        <f t="shared" ca="1" si="3"/>
        <v>9999</v>
      </c>
      <c r="AR75">
        <f t="shared" ca="1" si="3"/>
        <v>9999</v>
      </c>
      <c r="AS75">
        <f t="shared" ca="1" si="3"/>
        <v>9999</v>
      </c>
      <c r="AT75">
        <f t="shared" ca="1" si="3"/>
        <v>9999</v>
      </c>
      <c r="AU75">
        <f t="shared" ca="1" si="3"/>
        <v>9999</v>
      </c>
      <c r="AV75">
        <f t="shared" ca="1" si="3"/>
        <v>9999</v>
      </c>
      <c r="AW75">
        <f t="shared" ca="1" si="3"/>
        <v>9999</v>
      </c>
      <c r="AX75">
        <f t="shared" ca="1" si="3"/>
        <v>9999</v>
      </c>
      <c r="AY75">
        <f t="shared" ca="1" si="3"/>
        <v>9999</v>
      </c>
      <c r="AZ75">
        <f t="shared" ca="1" si="3"/>
        <v>9999</v>
      </c>
      <c r="BA75">
        <f t="shared" ca="1" si="3"/>
        <v>9999</v>
      </c>
      <c r="BB75">
        <f t="shared" ca="1" si="4"/>
        <v>9999</v>
      </c>
      <c r="BC75">
        <f t="shared" ca="1" si="4"/>
        <v>9999</v>
      </c>
      <c r="BD75">
        <f t="shared" ca="1" si="4"/>
        <v>9999</v>
      </c>
      <c r="BE75">
        <f t="shared" ca="1" si="4"/>
        <v>9999</v>
      </c>
      <c r="BF75">
        <f t="shared" ca="1" si="4"/>
        <v>9999</v>
      </c>
      <c r="BG75">
        <f t="shared" ca="1" si="4"/>
        <v>9999</v>
      </c>
      <c r="BH75">
        <f t="shared" ca="1" si="4"/>
        <v>9999</v>
      </c>
      <c r="BI75">
        <f t="shared" ca="1" si="4"/>
        <v>9999</v>
      </c>
    </row>
    <row r="76" spans="1:61" x14ac:dyDescent="0.25">
      <c r="A76" s="20">
        <v>11</v>
      </c>
      <c r="B76">
        <f t="shared" ca="1" si="1"/>
        <v>9999</v>
      </c>
      <c r="C76">
        <f t="shared" ca="1" si="1"/>
        <v>9999</v>
      </c>
      <c r="D76">
        <f t="shared" ca="1" si="1"/>
        <v>9999</v>
      </c>
      <c r="E76">
        <f t="shared" ca="1" si="1"/>
        <v>9999</v>
      </c>
      <c r="F76">
        <f t="shared" ca="1" si="1"/>
        <v>9999</v>
      </c>
      <c r="G76">
        <f t="shared" ca="1" si="1"/>
        <v>9999</v>
      </c>
      <c r="H76">
        <f t="shared" ca="1" si="1"/>
        <v>9999</v>
      </c>
      <c r="I76">
        <f t="shared" ca="1" si="1"/>
        <v>9999</v>
      </c>
      <c r="J76">
        <f t="shared" ca="1" si="1"/>
        <v>9999</v>
      </c>
      <c r="K76">
        <f t="shared" ca="1" si="1"/>
        <v>9999</v>
      </c>
      <c r="L76">
        <f t="shared" ca="1" si="1"/>
        <v>9999</v>
      </c>
      <c r="M76">
        <f t="shared" ca="1" si="1"/>
        <v>9999</v>
      </c>
      <c r="N76">
        <f t="shared" ca="1" si="1"/>
        <v>9999</v>
      </c>
      <c r="O76">
        <f t="shared" ca="1" si="1"/>
        <v>9999</v>
      </c>
      <c r="P76">
        <f t="shared" ca="1" si="1"/>
        <v>9999</v>
      </c>
      <c r="Q76">
        <f t="shared" ca="1" si="1"/>
        <v>9999</v>
      </c>
      <c r="R76">
        <f t="shared" ca="1" si="5"/>
        <v>9999</v>
      </c>
      <c r="S76">
        <f t="shared" ca="1" si="5"/>
        <v>9999</v>
      </c>
      <c r="T76">
        <f t="shared" ca="1" si="5"/>
        <v>9999</v>
      </c>
      <c r="U76">
        <f t="shared" ca="1" si="5"/>
        <v>9999</v>
      </c>
      <c r="V76">
        <f t="shared" ca="1" si="5"/>
        <v>9999</v>
      </c>
      <c r="W76">
        <f t="shared" ca="1" si="5"/>
        <v>9999</v>
      </c>
      <c r="X76">
        <f t="shared" ca="1" si="5"/>
        <v>9999</v>
      </c>
      <c r="Y76">
        <f t="shared" ca="1" si="5"/>
        <v>9999</v>
      </c>
      <c r="Z76">
        <f t="shared" ca="1" si="5"/>
        <v>9999</v>
      </c>
      <c r="AA76">
        <f t="shared" ca="1" si="5"/>
        <v>9999</v>
      </c>
      <c r="AB76">
        <f t="shared" ca="1" si="5"/>
        <v>9999</v>
      </c>
      <c r="AC76">
        <f t="shared" ca="1" si="5"/>
        <v>9999</v>
      </c>
      <c r="AD76">
        <f t="shared" ca="1" si="5"/>
        <v>9999</v>
      </c>
      <c r="AE76">
        <f t="shared" ca="1" si="5"/>
        <v>9999</v>
      </c>
      <c r="AF76">
        <f t="shared" ca="1" si="5"/>
        <v>9999</v>
      </c>
      <c r="AG76">
        <f t="shared" ca="1" si="5"/>
        <v>9999</v>
      </c>
      <c r="AH76">
        <f t="shared" ca="1" si="6"/>
        <v>9999</v>
      </c>
      <c r="AI76">
        <f t="shared" ca="1" si="6"/>
        <v>9999</v>
      </c>
      <c r="AJ76">
        <f t="shared" ca="1" si="6"/>
        <v>9999</v>
      </c>
      <c r="AK76">
        <f t="shared" ca="1" si="6"/>
        <v>9999</v>
      </c>
      <c r="AL76">
        <f t="shared" ca="1" si="3"/>
        <v>9999</v>
      </c>
      <c r="AM76">
        <f t="shared" ca="1" si="3"/>
        <v>9999</v>
      </c>
      <c r="AN76">
        <f t="shared" ca="1" si="3"/>
        <v>9999</v>
      </c>
      <c r="AO76">
        <f t="shared" ca="1" si="3"/>
        <v>9999</v>
      </c>
      <c r="AP76">
        <f t="shared" ca="1" si="3"/>
        <v>9999</v>
      </c>
      <c r="AQ76">
        <f t="shared" ca="1" si="3"/>
        <v>9999</v>
      </c>
      <c r="AR76">
        <f t="shared" ca="1" si="3"/>
        <v>9999</v>
      </c>
      <c r="AS76">
        <f t="shared" ca="1" si="3"/>
        <v>9999</v>
      </c>
      <c r="AT76">
        <f t="shared" ca="1" si="3"/>
        <v>9999</v>
      </c>
      <c r="AU76">
        <f t="shared" ca="1" si="3"/>
        <v>9999</v>
      </c>
      <c r="AV76">
        <f t="shared" ca="1" si="3"/>
        <v>9999</v>
      </c>
      <c r="AW76">
        <f t="shared" ca="1" si="3"/>
        <v>9999</v>
      </c>
      <c r="AX76">
        <f t="shared" ca="1" si="3"/>
        <v>9999</v>
      </c>
      <c r="AY76">
        <f t="shared" ca="1" si="3"/>
        <v>9999</v>
      </c>
      <c r="AZ76">
        <f t="shared" ca="1" si="3"/>
        <v>9999</v>
      </c>
      <c r="BA76">
        <f t="shared" ca="1" si="3"/>
        <v>9999</v>
      </c>
      <c r="BB76">
        <f t="shared" ca="1" si="4"/>
        <v>9999</v>
      </c>
      <c r="BC76">
        <f t="shared" ca="1" si="4"/>
        <v>9999</v>
      </c>
      <c r="BD76">
        <f t="shared" ca="1" si="4"/>
        <v>9999</v>
      </c>
      <c r="BE76">
        <f t="shared" ca="1" si="4"/>
        <v>9999</v>
      </c>
      <c r="BF76">
        <f t="shared" ca="1" si="4"/>
        <v>9999</v>
      </c>
      <c r="BG76">
        <f t="shared" ca="1" si="4"/>
        <v>9999</v>
      </c>
      <c r="BH76">
        <f t="shared" ca="1" si="4"/>
        <v>9999</v>
      </c>
      <c r="BI76">
        <f t="shared" ca="1" si="4"/>
        <v>9999</v>
      </c>
    </row>
    <row r="77" spans="1:61" x14ac:dyDescent="0.25">
      <c r="A77" s="20">
        <v>12</v>
      </c>
      <c r="B77">
        <f t="shared" ca="1" si="1"/>
        <v>9999</v>
      </c>
      <c r="C77">
        <f t="shared" ca="1" si="1"/>
        <v>9999</v>
      </c>
      <c r="D77">
        <f t="shared" ca="1" si="1"/>
        <v>9999</v>
      </c>
      <c r="E77">
        <f t="shared" ca="1" si="1"/>
        <v>9999</v>
      </c>
      <c r="F77">
        <f t="shared" ca="1" si="1"/>
        <v>9999</v>
      </c>
      <c r="G77">
        <f t="shared" ca="1" si="1"/>
        <v>9999</v>
      </c>
      <c r="H77">
        <f t="shared" ca="1" si="1"/>
        <v>9999</v>
      </c>
      <c r="I77">
        <f t="shared" ca="1" si="1"/>
        <v>9999</v>
      </c>
      <c r="J77">
        <f t="shared" ca="1" si="1"/>
        <v>9999</v>
      </c>
      <c r="K77">
        <f t="shared" ca="1" si="1"/>
        <v>9999</v>
      </c>
      <c r="L77">
        <f t="shared" ca="1" si="1"/>
        <v>9999</v>
      </c>
      <c r="M77">
        <f t="shared" ca="1" si="1"/>
        <v>9999</v>
      </c>
      <c r="N77">
        <f t="shared" ca="1" si="1"/>
        <v>9999</v>
      </c>
      <c r="O77">
        <f t="shared" ca="1" si="1"/>
        <v>9999</v>
      </c>
      <c r="P77">
        <f t="shared" ca="1" si="1"/>
        <v>9999</v>
      </c>
      <c r="Q77">
        <f t="shared" ca="1" si="1"/>
        <v>9999</v>
      </c>
      <c r="R77">
        <f t="shared" ca="1" si="5"/>
        <v>9999</v>
      </c>
      <c r="S77">
        <f t="shared" ca="1" si="5"/>
        <v>9999</v>
      </c>
      <c r="T77">
        <f t="shared" ca="1" si="5"/>
        <v>9999</v>
      </c>
      <c r="U77">
        <f t="shared" ca="1" si="5"/>
        <v>9999</v>
      </c>
      <c r="V77">
        <f t="shared" ca="1" si="5"/>
        <v>9999</v>
      </c>
      <c r="W77">
        <f t="shared" ca="1" si="5"/>
        <v>9999</v>
      </c>
      <c r="X77">
        <f t="shared" ca="1" si="5"/>
        <v>9999</v>
      </c>
      <c r="Y77">
        <f t="shared" ca="1" si="5"/>
        <v>9999</v>
      </c>
      <c r="Z77">
        <f t="shared" ca="1" si="5"/>
        <v>9999</v>
      </c>
      <c r="AA77">
        <f t="shared" ca="1" si="5"/>
        <v>9999</v>
      </c>
      <c r="AB77">
        <f t="shared" ca="1" si="5"/>
        <v>9999</v>
      </c>
      <c r="AC77">
        <f t="shared" ca="1" si="5"/>
        <v>9999</v>
      </c>
      <c r="AD77">
        <f t="shared" ca="1" si="5"/>
        <v>9999</v>
      </c>
      <c r="AE77">
        <f t="shared" ca="1" si="5"/>
        <v>9999</v>
      </c>
      <c r="AF77">
        <f t="shared" ca="1" si="5"/>
        <v>9999</v>
      </c>
      <c r="AG77">
        <f t="shared" ca="1" si="5"/>
        <v>9999</v>
      </c>
      <c r="AH77">
        <f t="shared" ca="1" si="6"/>
        <v>9999</v>
      </c>
      <c r="AI77">
        <f t="shared" ca="1" si="6"/>
        <v>9999</v>
      </c>
      <c r="AJ77">
        <f t="shared" ca="1" si="6"/>
        <v>9999</v>
      </c>
      <c r="AK77">
        <f t="shared" ca="1" si="6"/>
        <v>9999</v>
      </c>
      <c r="AL77">
        <f t="shared" ca="1" si="3"/>
        <v>9999</v>
      </c>
      <c r="AM77">
        <f t="shared" ca="1" si="3"/>
        <v>9999</v>
      </c>
      <c r="AN77">
        <f t="shared" ca="1" si="3"/>
        <v>9999</v>
      </c>
      <c r="AO77">
        <f t="shared" ca="1" si="3"/>
        <v>9999</v>
      </c>
      <c r="AP77">
        <f t="shared" ca="1" si="3"/>
        <v>9999</v>
      </c>
      <c r="AQ77">
        <f t="shared" ca="1" si="3"/>
        <v>9999</v>
      </c>
      <c r="AR77">
        <f t="shared" ca="1" si="3"/>
        <v>9999</v>
      </c>
      <c r="AS77">
        <f t="shared" ca="1" si="3"/>
        <v>9999</v>
      </c>
      <c r="AT77">
        <f t="shared" ca="1" si="3"/>
        <v>9999</v>
      </c>
      <c r="AU77">
        <f t="shared" ca="1" si="3"/>
        <v>9999</v>
      </c>
      <c r="AV77">
        <f t="shared" ca="1" si="3"/>
        <v>9999</v>
      </c>
      <c r="AW77">
        <f t="shared" ca="1" si="3"/>
        <v>9999</v>
      </c>
      <c r="AX77">
        <f t="shared" ca="1" si="3"/>
        <v>9999</v>
      </c>
      <c r="AY77">
        <f t="shared" ca="1" si="3"/>
        <v>9999</v>
      </c>
      <c r="AZ77">
        <f t="shared" ca="1" si="3"/>
        <v>9999</v>
      </c>
      <c r="BA77">
        <f t="shared" ca="1" si="3"/>
        <v>9999</v>
      </c>
      <c r="BB77">
        <f t="shared" ca="1" si="4"/>
        <v>9999</v>
      </c>
      <c r="BC77">
        <f t="shared" ca="1" si="4"/>
        <v>9999</v>
      </c>
      <c r="BD77">
        <f t="shared" ca="1" si="4"/>
        <v>9999</v>
      </c>
      <c r="BE77">
        <f t="shared" ca="1" si="4"/>
        <v>9999</v>
      </c>
      <c r="BF77">
        <f t="shared" ca="1" si="4"/>
        <v>9999</v>
      </c>
      <c r="BG77">
        <f t="shared" ca="1" si="4"/>
        <v>9999</v>
      </c>
      <c r="BH77">
        <f t="shared" ca="1" si="4"/>
        <v>9999</v>
      </c>
      <c r="BI77">
        <f t="shared" ca="1" si="4"/>
        <v>9999</v>
      </c>
    </row>
    <row r="78" spans="1:61" x14ac:dyDescent="0.25">
      <c r="A78" s="20">
        <v>13</v>
      </c>
      <c r="B78">
        <f t="shared" ca="1" si="1"/>
        <v>9999</v>
      </c>
      <c r="C78">
        <f t="shared" ca="1" si="1"/>
        <v>9999</v>
      </c>
      <c r="D78">
        <f t="shared" ca="1" si="1"/>
        <v>9999</v>
      </c>
      <c r="E78">
        <f t="shared" ca="1" si="1"/>
        <v>9999</v>
      </c>
      <c r="F78">
        <f t="shared" ca="1" si="1"/>
        <v>9999</v>
      </c>
      <c r="G78">
        <f t="shared" ca="1" si="1"/>
        <v>9999</v>
      </c>
      <c r="H78">
        <f t="shared" ca="1" si="1"/>
        <v>9999</v>
      </c>
      <c r="I78">
        <f t="shared" ca="1" si="1"/>
        <v>9999</v>
      </c>
      <c r="J78">
        <f t="shared" ca="1" si="1"/>
        <v>9999</v>
      </c>
      <c r="K78">
        <f t="shared" ca="1" si="1"/>
        <v>9999</v>
      </c>
      <c r="L78">
        <f t="shared" ca="1" si="1"/>
        <v>9999</v>
      </c>
      <c r="M78">
        <f t="shared" ca="1" si="1"/>
        <v>9999</v>
      </c>
      <c r="N78">
        <f t="shared" ca="1" si="1"/>
        <v>9999</v>
      </c>
      <c r="O78">
        <f t="shared" ca="1" si="1"/>
        <v>9999</v>
      </c>
      <c r="P78">
        <f t="shared" ca="1" si="1"/>
        <v>9999</v>
      </c>
      <c r="Q78">
        <f t="shared" ca="1" si="1"/>
        <v>9999</v>
      </c>
      <c r="R78">
        <f t="shared" ca="1" si="5"/>
        <v>9999</v>
      </c>
      <c r="S78">
        <f t="shared" ca="1" si="5"/>
        <v>9999</v>
      </c>
      <c r="T78">
        <f t="shared" ca="1" si="5"/>
        <v>9999</v>
      </c>
      <c r="U78">
        <f t="shared" ca="1" si="5"/>
        <v>9999</v>
      </c>
      <c r="V78">
        <f t="shared" ca="1" si="5"/>
        <v>9999</v>
      </c>
      <c r="W78">
        <f t="shared" ca="1" si="5"/>
        <v>9999</v>
      </c>
      <c r="X78">
        <f t="shared" ca="1" si="5"/>
        <v>9999</v>
      </c>
      <c r="Y78">
        <f t="shared" ca="1" si="5"/>
        <v>9999</v>
      </c>
      <c r="Z78">
        <f t="shared" ca="1" si="5"/>
        <v>9999</v>
      </c>
      <c r="AA78">
        <f t="shared" ca="1" si="5"/>
        <v>9999</v>
      </c>
      <c r="AB78">
        <f t="shared" ca="1" si="5"/>
        <v>9999</v>
      </c>
      <c r="AC78">
        <f t="shared" ca="1" si="5"/>
        <v>9999</v>
      </c>
      <c r="AD78">
        <f t="shared" ca="1" si="5"/>
        <v>9999</v>
      </c>
      <c r="AE78">
        <f t="shared" ca="1" si="5"/>
        <v>9999</v>
      </c>
      <c r="AF78">
        <f t="shared" ca="1" si="5"/>
        <v>9999</v>
      </c>
      <c r="AG78">
        <f t="shared" ca="1" si="5"/>
        <v>9999</v>
      </c>
      <c r="AH78">
        <f t="shared" ca="1" si="6"/>
        <v>9999</v>
      </c>
      <c r="AI78">
        <f t="shared" ca="1" si="6"/>
        <v>9999</v>
      </c>
      <c r="AJ78">
        <f t="shared" ca="1" si="6"/>
        <v>9999</v>
      </c>
      <c r="AK78">
        <f t="shared" ca="1" si="6"/>
        <v>9999</v>
      </c>
      <c r="AL78">
        <f t="shared" ca="1" si="3"/>
        <v>9999</v>
      </c>
      <c r="AM78">
        <f t="shared" ca="1" si="3"/>
        <v>9999</v>
      </c>
      <c r="AN78">
        <f t="shared" ca="1" si="3"/>
        <v>9999</v>
      </c>
      <c r="AO78">
        <f t="shared" ca="1" si="3"/>
        <v>9999</v>
      </c>
      <c r="AP78">
        <f t="shared" ca="1" si="3"/>
        <v>9999</v>
      </c>
      <c r="AQ78">
        <f t="shared" ca="1" si="3"/>
        <v>9999</v>
      </c>
      <c r="AR78">
        <f t="shared" ca="1" si="3"/>
        <v>9999</v>
      </c>
      <c r="AS78">
        <f t="shared" ca="1" si="3"/>
        <v>9999</v>
      </c>
      <c r="AT78">
        <f t="shared" ca="1" si="3"/>
        <v>9999</v>
      </c>
      <c r="AU78">
        <f t="shared" ca="1" si="3"/>
        <v>9999</v>
      </c>
      <c r="AV78">
        <f t="shared" ca="1" si="3"/>
        <v>9999</v>
      </c>
      <c r="AW78">
        <f t="shared" ca="1" si="3"/>
        <v>9999</v>
      </c>
      <c r="AX78">
        <f t="shared" ca="1" si="3"/>
        <v>9999</v>
      </c>
      <c r="AY78">
        <f t="shared" ca="1" si="3"/>
        <v>9999</v>
      </c>
      <c r="AZ78">
        <f t="shared" ca="1" si="3"/>
        <v>9999</v>
      </c>
      <c r="BA78">
        <f t="shared" ca="1" si="3"/>
        <v>9999</v>
      </c>
      <c r="BB78">
        <f t="shared" ca="1" si="4"/>
        <v>9999</v>
      </c>
      <c r="BC78">
        <f t="shared" ca="1" si="4"/>
        <v>9999</v>
      </c>
      <c r="BD78">
        <f t="shared" ca="1" si="4"/>
        <v>9999</v>
      </c>
      <c r="BE78">
        <f t="shared" ca="1" si="4"/>
        <v>9999</v>
      </c>
      <c r="BF78">
        <f t="shared" ca="1" si="4"/>
        <v>9999</v>
      </c>
      <c r="BG78">
        <f t="shared" ca="1" si="4"/>
        <v>9999</v>
      </c>
      <c r="BH78">
        <f t="shared" ca="1" si="4"/>
        <v>9999</v>
      </c>
      <c r="BI78">
        <f t="shared" ca="1" si="4"/>
        <v>9999</v>
      </c>
    </row>
    <row r="79" spans="1:61" x14ac:dyDescent="0.25">
      <c r="A79" s="20">
        <v>14</v>
      </c>
      <c r="B79">
        <f t="shared" ca="1" si="1"/>
        <v>9999</v>
      </c>
      <c r="C79">
        <f t="shared" ca="1" si="1"/>
        <v>9999</v>
      </c>
      <c r="D79">
        <f t="shared" ca="1" si="1"/>
        <v>9999</v>
      </c>
      <c r="E79">
        <f t="shared" ca="1" si="1"/>
        <v>9999</v>
      </c>
      <c r="F79">
        <f t="shared" ca="1" si="1"/>
        <v>9999</v>
      </c>
      <c r="G79">
        <f t="shared" ca="1" si="1"/>
        <v>9999</v>
      </c>
      <c r="H79">
        <f t="shared" ca="1" si="1"/>
        <v>9999</v>
      </c>
      <c r="I79">
        <f t="shared" ca="1" si="1"/>
        <v>9999</v>
      </c>
      <c r="J79">
        <f t="shared" ca="1" si="1"/>
        <v>9999</v>
      </c>
      <c r="K79">
        <f t="shared" ca="1" si="1"/>
        <v>9999</v>
      </c>
      <c r="L79">
        <f t="shared" ca="1" si="1"/>
        <v>9999</v>
      </c>
      <c r="M79">
        <f t="shared" ca="1" si="1"/>
        <v>9999</v>
      </c>
      <c r="N79">
        <f t="shared" ca="1" si="1"/>
        <v>9999</v>
      </c>
      <c r="O79">
        <f t="shared" ca="1" si="1"/>
        <v>9999</v>
      </c>
      <c r="P79">
        <f t="shared" ca="1" si="1"/>
        <v>9999</v>
      </c>
      <c r="Q79">
        <f t="shared" ca="1" si="1"/>
        <v>9999</v>
      </c>
      <c r="R79">
        <f t="shared" ca="1" si="5"/>
        <v>9999</v>
      </c>
      <c r="S79">
        <f t="shared" ca="1" si="5"/>
        <v>9999</v>
      </c>
      <c r="T79">
        <f t="shared" ca="1" si="5"/>
        <v>9999</v>
      </c>
      <c r="U79">
        <f t="shared" ca="1" si="5"/>
        <v>9999</v>
      </c>
      <c r="V79">
        <f t="shared" ca="1" si="5"/>
        <v>9999</v>
      </c>
      <c r="W79">
        <f t="shared" ca="1" si="5"/>
        <v>9999</v>
      </c>
      <c r="X79">
        <f t="shared" ca="1" si="5"/>
        <v>9999</v>
      </c>
      <c r="Y79">
        <f t="shared" ca="1" si="5"/>
        <v>9999</v>
      </c>
      <c r="Z79">
        <f t="shared" ca="1" si="5"/>
        <v>9999</v>
      </c>
      <c r="AA79">
        <f t="shared" ca="1" si="5"/>
        <v>9999</v>
      </c>
      <c r="AB79">
        <f t="shared" ca="1" si="5"/>
        <v>9999</v>
      </c>
      <c r="AC79">
        <f t="shared" ca="1" si="5"/>
        <v>9999</v>
      </c>
      <c r="AD79">
        <f t="shared" ca="1" si="5"/>
        <v>9999</v>
      </c>
      <c r="AE79">
        <f t="shared" ca="1" si="5"/>
        <v>9999</v>
      </c>
      <c r="AF79">
        <f t="shared" ca="1" si="5"/>
        <v>9999</v>
      </c>
      <c r="AG79">
        <f t="shared" ca="1" si="5"/>
        <v>9999</v>
      </c>
      <c r="AH79">
        <f t="shared" ca="1" si="6"/>
        <v>9999</v>
      </c>
      <c r="AI79">
        <f t="shared" ca="1" si="6"/>
        <v>9999</v>
      </c>
      <c r="AJ79">
        <f t="shared" ca="1" si="6"/>
        <v>9999</v>
      </c>
      <c r="AK79">
        <f t="shared" ca="1" si="6"/>
        <v>9999</v>
      </c>
      <c r="AL79">
        <f t="shared" ca="1" si="3"/>
        <v>9999</v>
      </c>
      <c r="AM79">
        <f t="shared" ca="1" si="3"/>
        <v>9999</v>
      </c>
      <c r="AN79">
        <f t="shared" ca="1" si="3"/>
        <v>9999</v>
      </c>
      <c r="AO79">
        <f t="shared" ca="1" si="3"/>
        <v>9999</v>
      </c>
      <c r="AP79">
        <f t="shared" ca="1" si="3"/>
        <v>9999</v>
      </c>
      <c r="AQ79">
        <f t="shared" ca="1" si="3"/>
        <v>9999</v>
      </c>
      <c r="AR79">
        <f t="shared" ca="1" si="3"/>
        <v>9999</v>
      </c>
      <c r="AS79">
        <f t="shared" ca="1" si="3"/>
        <v>9999</v>
      </c>
      <c r="AT79">
        <f t="shared" ca="1" si="3"/>
        <v>9999</v>
      </c>
      <c r="AU79">
        <f t="shared" ca="1" si="3"/>
        <v>9999</v>
      </c>
      <c r="AV79">
        <f t="shared" ca="1" si="3"/>
        <v>9999</v>
      </c>
      <c r="AW79">
        <f t="shared" ca="1" si="3"/>
        <v>9999</v>
      </c>
      <c r="AX79">
        <f t="shared" ca="1" si="3"/>
        <v>9999</v>
      </c>
      <c r="AY79">
        <f t="shared" ca="1" si="3"/>
        <v>9999</v>
      </c>
      <c r="AZ79">
        <f t="shared" ca="1" si="3"/>
        <v>9999</v>
      </c>
      <c r="BA79">
        <f t="shared" ca="1" si="3"/>
        <v>9999</v>
      </c>
      <c r="BB79">
        <f t="shared" ca="1" si="4"/>
        <v>9999</v>
      </c>
      <c r="BC79">
        <f t="shared" ca="1" si="4"/>
        <v>9999</v>
      </c>
      <c r="BD79">
        <f t="shared" ca="1" si="4"/>
        <v>9999</v>
      </c>
      <c r="BE79">
        <f t="shared" ca="1" si="4"/>
        <v>9999</v>
      </c>
      <c r="BF79">
        <f t="shared" ca="1" si="4"/>
        <v>9999</v>
      </c>
      <c r="BG79">
        <f t="shared" ca="1" si="4"/>
        <v>9999</v>
      </c>
      <c r="BH79">
        <f t="shared" ca="1" si="4"/>
        <v>9999</v>
      </c>
      <c r="BI79">
        <f t="shared" ca="1" si="4"/>
        <v>9999</v>
      </c>
    </row>
    <row r="80" spans="1:61" x14ac:dyDescent="0.25">
      <c r="A80" s="20">
        <v>15</v>
      </c>
      <c r="B80">
        <f t="shared" ca="1" si="1"/>
        <v>9999</v>
      </c>
      <c r="C80">
        <f t="shared" ca="1" si="1"/>
        <v>9999</v>
      </c>
      <c r="D80">
        <f t="shared" ca="1" si="1"/>
        <v>9999</v>
      </c>
      <c r="E80">
        <f t="shared" ca="1" si="1"/>
        <v>9999</v>
      </c>
      <c r="F80">
        <f t="shared" ca="1" si="1"/>
        <v>9999</v>
      </c>
      <c r="G80">
        <f t="shared" ca="1" si="1"/>
        <v>9999</v>
      </c>
      <c r="H80">
        <f t="shared" ca="1" si="1"/>
        <v>9999</v>
      </c>
      <c r="I80">
        <f t="shared" ca="1" si="1"/>
        <v>9999</v>
      </c>
      <c r="J80">
        <f t="shared" ca="1" si="1"/>
        <v>9999</v>
      </c>
      <c r="K80">
        <f t="shared" ca="1" si="1"/>
        <v>9999</v>
      </c>
      <c r="L80">
        <f t="shared" ca="1" si="1"/>
        <v>9999</v>
      </c>
      <c r="M80">
        <f t="shared" ca="1" si="1"/>
        <v>9999</v>
      </c>
      <c r="N80">
        <f t="shared" ca="1" si="1"/>
        <v>9999</v>
      </c>
      <c r="O80">
        <f t="shared" ca="1" si="1"/>
        <v>9999</v>
      </c>
      <c r="P80">
        <f t="shared" ca="1" si="1"/>
        <v>9999</v>
      </c>
      <c r="Q80">
        <f t="shared" ca="1" si="1"/>
        <v>9999</v>
      </c>
      <c r="R80">
        <f t="shared" ca="1" si="5"/>
        <v>9999</v>
      </c>
      <c r="S80">
        <f t="shared" ca="1" si="5"/>
        <v>9999</v>
      </c>
      <c r="T80">
        <f t="shared" ca="1" si="5"/>
        <v>9999</v>
      </c>
      <c r="U80">
        <f t="shared" ca="1" si="5"/>
        <v>9999</v>
      </c>
      <c r="V80">
        <f t="shared" ca="1" si="5"/>
        <v>9999</v>
      </c>
      <c r="W80">
        <f t="shared" ca="1" si="5"/>
        <v>9999</v>
      </c>
      <c r="X80">
        <f t="shared" ca="1" si="5"/>
        <v>9999</v>
      </c>
      <c r="Y80">
        <f t="shared" ca="1" si="5"/>
        <v>9999</v>
      </c>
      <c r="Z80">
        <f t="shared" ca="1" si="5"/>
        <v>9999</v>
      </c>
      <c r="AA80">
        <f t="shared" ca="1" si="5"/>
        <v>9999</v>
      </c>
      <c r="AB80">
        <f t="shared" ca="1" si="5"/>
        <v>9999</v>
      </c>
      <c r="AC80">
        <f t="shared" ca="1" si="5"/>
        <v>9999</v>
      </c>
      <c r="AD80">
        <f t="shared" ca="1" si="5"/>
        <v>9999</v>
      </c>
      <c r="AE80">
        <f t="shared" ca="1" si="5"/>
        <v>9999</v>
      </c>
      <c r="AF80">
        <f t="shared" ca="1" si="5"/>
        <v>9999</v>
      </c>
      <c r="AG80">
        <f t="shared" ca="1" si="5"/>
        <v>9999</v>
      </c>
      <c r="AH80">
        <f t="shared" ca="1" si="6"/>
        <v>9999</v>
      </c>
      <c r="AI80">
        <f t="shared" ca="1" si="6"/>
        <v>9999</v>
      </c>
      <c r="AJ80">
        <f t="shared" ca="1" si="6"/>
        <v>9999</v>
      </c>
      <c r="AK80">
        <f t="shared" ca="1" si="6"/>
        <v>9999</v>
      </c>
      <c r="AL80">
        <f t="shared" ca="1" si="3"/>
        <v>9999</v>
      </c>
      <c r="AM80">
        <f t="shared" ca="1" si="3"/>
        <v>9999</v>
      </c>
      <c r="AN80">
        <f t="shared" ca="1" si="3"/>
        <v>9999</v>
      </c>
      <c r="AO80">
        <f t="shared" ca="1" si="3"/>
        <v>9999</v>
      </c>
      <c r="AP80">
        <f t="shared" ca="1" si="3"/>
        <v>9999</v>
      </c>
      <c r="AQ80">
        <f t="shared" ca="1" si="3"/>
        <v>9999</v>
      </c>
      <c r="AR80">
        <f t="shared" ca="1" si="3"/>
        <v>9999</v>
      </c>
      <c r="AS80">
        <f t="shared" ca="1" si="3"/>
        <v>9999</v>
      </c>
      <c r="AT80">
        <f t="shared" ca="1" si="3"/>
        <v>9999</v>
      </c>
      <c r="AU80">
        <f t="shared" ca="1" si="3"/>
        <v>9999</v>
      </c>
      <c r="AV80">
        <f t="shared" ca="1" si="3"/>
        <v>9999</v>
      </c>
      <c r="AW80">
        <f t="shared" ca="1" si="3"/>
        <v>9999</v>
      </c>
      <c r="AX80">
        <f t="shared" ca="1" si="3"/>
        <v>9999</v>
      </c>
      <c r="AY80">
        <f t="shared" ca="1" si="3"/>
        <v>9999</v>
      </c>
      <c r="AZ80">
        <f t="shared" ca="1" si="3"/>
        <v>9999</v>
      </c>
      <c r="BA80">
        <f t="shared" ca="1" si="3"/>
        <v>9999</v>
      </c>
      <c r="BB80">
        <f t="shared" ca="1" si="4"/>
        <v>9999</v>
      </c>
      <c r="BC80">
        <f t="shared" ca="1" si="4"/>
        <v>9999</v>
      </c>
      <c r="BD80">
        <f t="shared" ca="1" si="4"/>
        <v>9999</v>
      </c>
      <c r="BE80">
        <f t="shared" ca="1" si="4"/>
        <v>9999</v>
      </c>
      <c r="BF80">
        <f t="shared" ca="1" si="4"/>
        <v>9999</v>
      </c>
      <c r="BG80">
        <f t="shared" ca="1" si="4"/>
        <v>9999</v>
      </c>
      <c r="BH80">
        <f t="shared" ca="1" si="4"/>
        <v>9999</v>
      </c>
      <c r="BI80">
        <f t="shared" ca="1" si="4"/>
        <v>9999</v>
      </c>
    </row>
    <row r="81" spans="1:61" x14ac:dyDescent="0.25">
      <c r="A81" s="20">
        <v>16</v>
      </c>
      <c r="B81">
        <f t="shared" ca="1" si="1"/>
        <v>9999</v>
      </c>
      <c r="C81">
        <f t="shared" ca="1" si="1"/>
        <v>9999</v>
      </c>
      <c r="D81">
        <f t="shared" ca="1" si="1"/>
        <v>9999</v>
      </c>
      <c r="E81">
        <f t="shared" ca="1" si="1"/>
        <v>9999</v>
      </c>
      <c r="F81">
        <f t="shared" ca="1" si="1"/>
        <v>9999</v>
      </c>
      <c r="G81">
        <f t="shared" ca="1" si="1"/>
        <v>9999</v>
      </c>
      <c r="H81">
        <f t="shared" ca="1" si="1"/>
        <v>9999</v>
      </c>
      <c r="I81">
        <f t="shared" ca="1" si="1"/>
        <v>9999</v>
      </c>
      <c r="J81">
        <f t="shared" ca="1" si="1"/>
        <v>9999</v>
      </c>
      <c r="K81">
        <f t="shared" ca="1" si="1"/>
        <v>9999</v>
      </c>
      <c r="L81">
        <f t="shared" ca="1" si="1"/>
        <v>9999</v>
      </c>
      <c r="M81">
        <f t="shared" ca="1" si="1"/>
        <v>9999</v>
      </c>
      <c r="N81">
        <f t="shared" ca="1" si="1"/>
        <v>9999</v>
      </c>
      <c r="O81">
        <f t="shared" ca="1" si="1"/>
        <v>9999</v>
      </c>
      <c r="P81">
        <f t="shared" ca="1" si="1"/>
        <v>9999</v>
      </c>
      <c r="Q81">
        <f t="shared" ca="1" si="1"/>
        <v>9999</v>
      </c>
      <c r="R81">
        <f t="shared" ca="1" si="5"/>
        <v>9999</v>
      </c>
      <c r="S81">
        <f t="shared" ca="1" si="5"/>
        <v>9999</v>
      </c>
      <c r="T81">
        <f t="shared" ca="1" si="5"/>
        <v>9999</v>
      </c>
      <c r="U81">
        <f t="shared" ca="1" si="5"/>
        <v>9999</v>
      </c>
      <c r="V81">
        <f t="shared" ca="1" si="5"/>
        <v>9999</v>
      </c>
      <c r="W81">
        <f t="shared" ca="1" si="5"/>
        <v>9999</v>
      </c>
      <c r="X81">
        <f t="shared" ca="1" si="5"/>
        <v>9999</v>
      </c>
      <c r="Y81">
        <f t="shared" ca="1" si="5"/>
        <v>9999</v>
      </c>
      <c r="Z81">
        <f t="shared" ca="1" si="5"/>
        <v>9999</v>
      </c>
      <c r="AA81">
        <f t="shared" ca="1" si="5"/>
        <v>9999</v>
      </c>
      <c r="AB81">
        <f t="shared" ca="1" si="5"/>
        <v>9999</v>
      </c>
      <c r="AC81">
        <f t="shared" ca="1" si="5"/>
        <v>9999</v>
      </c>
      <c r="AD81">
        <f t="shared" ca="1" si="5"/>
        <v>9999</v>
      </c>
      <c r="AE81">
        <f t="shared" ca="1" si="5"/>
        <v>9999</v>
      </c>
      <c r="AF81">
        <f t="shared" ca="1" si="5"/>
        <v>9999</v>
      </c>
      <c r="AG81">
        <f t="shared" ca="1" si="5"/>
        <v>9999</v>
      </c>
      <c r="AH81">
        <f t="shared" ca="1" si="6"/>
        <v>9999</v>
      </c>
      <c r="AI81">
        <f t="shared" ca="1" si="6"/>
        <v>9999</v>
      </c>
      <c r="AJ81">
        <f t="shared" ca="1" si="6"/>
        <v>9999</v>
      </c>
      <c r="AK81">
        <f t="shared" ca="1" si="6"/>
        <v>9999</v>
      </c>
      <c r="AL81">
        <f t="shared" ca="1" si="3"/>
        <v>9999</v>
      </c>
      <c r="AM81">
        <f t="shared" ca="1" si="3"/>
        <v>9999</v>
      </c>
      <c r="AN81">
        <f t="shared" ca="1" si="3"/>
        <v>9999</v>
      </c>
      <c r="AO81">
        <f t="shared" ca="1" si="3"/>
        <v>9999</v>
      </c>
      <c r="AP81">
        <f t="shared" ca="1" si="3"/>
        <v>9999</v>
      </c>
      <c r="AQ81">
        <f t="shared" ca="1" si="3"/>
        <v>9999</v>
      </c>
      <c r="AR81">
        <f t="shared" ca="1" si="3"/>
        <v>9999</v>
      </c>
      <c r="AS81">
        <f t="shared" ca="1" si="3"/>
        <v>9999</v>
      </c>
      <c r="AT81">
        <f t="shared" ca="1" si="3"/>
        <v>9999</v>
      </c>
      <c r="AU81">
        <f t="shared" ca="1" si="3"/>
        <v>9999</v>
      </c>
      <c r="AV81">
        <f t="shared" ca="1" si="3"/>
        <v>9999</v>
      </c>
      <c r="AW81">
        <f t="shared" ca="1" si="3"/>
        <v>9999</v>
      </c>
      <c r="AX81">
        <f t="shared" ca="1" si="3"/>
        <v>9999</v>
      </c>
      <c r="AY81">
        <f t="shared" ca="1" si="3"/>
        <v>9999</v>
      </c>
      <c r="AZ81">
        <f t="shared" ca="1" si="3"/>
        <v>9999</v>
      </c>
      <c r="BA81">
        <f t="shared" ca="1" si="3"/>
        <v>9999</v>
      </c>
      <c r="BB81">
        <f t="shared" ca="1" si="4"/>
        <v>9999</v>
      </c>
      <c r="BC81">
        <f t="shared" ca="1" si="4"/>
        <v>9999</v>
      </c>
      <c r="BD81">
        <f t="shared" ca="1" si="4"/>
        <v>9999</v>
      </c>
      <c r="BE81">
        <f t="shared" ca="1" si="4"/>
        <v>9999</v>
      </c>
      <c r="BF81">
        <f t="shared" ca="1" si="4"/>
        <v>9999</v>
      </c>
      <c r="BG81">
        <f t="shared" ca="1" si="4"/>
        <v>9999</v>
      </c>
      <c r="BH81">
        <f t="shared" ca="1" si="4"/>
        <v>9999</v>
      </c>
      <c r="BI81">
        <f t="shared" ca="1" si="4"/>
        <v>9999</v>
      </c>
    </row>
    <row r="82" spans="1:61" x14ac:dyDescent="0.25">
      <c r="A82" s="20">
        <v>17</v>
      </c>
      <c r="B82">
        <f t="shared" ca="1" si="1"/>
        <v>9999</v>
      </c>
      <c r="C82">
        <f t="shared" ca="1" si="1"/>
        <v>9999</v>
      </c>
      <c r="D82">
        <f t="shared" ca="1" si="1"/>
        <v>9999</v>
      </c>
      <c r="E82">
        <f t="shared" ca="1" si="1"/>
        <v>9999</v>
      </c>
      <c r="F82">
        <f t="shared" ca="1" si="1"/>
        <v>9999</v>
      </c>
      <c r="G82">
        <f t="shared" ca="1" si="1"/>
        <v>9999</v>
      </c>
      <c r="H82">
        <f t="shared" ca="1" si="1"/>
        <v>9999</v>
      </c>
      <c r="I82">
        <f t="shared" ca="1" si="1"/>
        <v>9999</v>
      </c>
      <c r="J82">
        <f t="shared" ca="1" si="1"/>
        <v>9999</v>
      </c>
      <c r="K82">
        <f t="shared" ca="1" si="1"/>
        <v>9999</v>
      </c>
      <c r="L82">
        <f t="shared" ca="1" si="1"/>
        <v>9999</v>
      </c>
      <c r="M82">
        <f t="shared" ca="1" si="1"/>
        <v>9999</v>
      </c>
      <c r="N82">
        <f t="shared" ca="1" si="1"/>
        <v>9999</v>
      </c>
      <c r="O82">
        <f t="shared" ca="1" si="1"/>
        <v>9999</v>
      </c>
      <c r="P82">
        <f t="shared" ca="1" si="1"/>
        <v>9999</v>
      </c>
      <c r="Q82">
        <f t="shared" ca="1" si="1"/>
        <v>9999</v>
      </c>
      <c r="R82">
        <f t="shared" ca="1" si="5"/>
        <v>9999</v>
      </c>
      <c r="S82">
        <f t="shared" ca="1" si="5"/>
        <v>9999</v>
      </c>
      <c r="T82">
        <f t="shared" ca="1" si="5"/>
        <v>9999</v>
      </c>
      <c r="U82">
        <f t="shared" ca="1" si="5"/>
        <v>9999</v>
      </c>
      <c r="V82">
        <f t="shared" ca="1" si="5"/>
        <v>9999</v>
      </c>
      <c r="W82">
        <f t="shared" ca="1" si="5"/>
        <v>9999</v>
      </c>
      <c r="X82">
        <f t="shared" ca="1" si="5"/>
        <v>9999</v>
      </c>
      <c r="Y82">
        <f t="shared" ca="1" si="5"/>
        <v>9999</v>
      </c>
      <c r="Z82">
        <f t="shared" ca="1" si="5"/>
        <v>9999</v>
      </c>
      <c r="AA82">
        <f t="shared" ca="1" si="5"/>
        <v>9999</v>
      </c>
      <c r="AB82">
        <f t="shared" ca="1" si="5"/>
        <v>9999</v>
      </c>
      <c r="AC82">
        <f t="shared" ca="1" si="5"/>
        <v>9999</v>
      </c>
      <c r="AD82">
        <f t="shared" ca="1" si="5"/>
        <v>9999</v>
      </c>
      <c r="AE82">
        <f t="shared" ca="1" si="5"/>
        <v>9999</v>
      </c>
      <c r="AF82">
        <f t="shared" ca="1" si="5"/>
        <v>9999</v>
      </c>
      <c r="AG82">
        <f t="shared" ca="1" si="5"/>
        <v>9999</v>
      </c>
      <c r="AH82">
        <f t="shared" ca="1" si="6"/>
        <v>9999</v>
      </c>
      <c r="AI82">
        <f t="shared" ca="1" si="6"/>
        <v>9999</v>
      </c>
      <c r="AJ82">
        <f t="shared" ca="1" si="6"/>
        <v>9999</v>
      </c>
      <c r="AK82">
        <f t="shared" ca="1" si="6"/>
        <v>9999</v>
      </c>
      <c r="AL82">
        <f t="shared" ca="1" si="3"/>
        <v>9999</v>
      </c>
      <c r="AM82">
        <f t="shared" ca="1" si="3"/>
        <v>9999</v>
      </c>
      <c r="AN82">
        <f t="shared" ca="1" si="3"/>
        <v>9999</v>
      </c>
      <c r="AO82">
        <f t="shared" ca="1" si="3"/>
        <v>9999</v>
      </c>
      <c r="AP82">
        <f t="shared" ca="1" si="3"/>
        <v>9999</v>
      </c>
      <c r="AQ82">
        <f t="shared" ca="1" si="3"/>
        <v>9999</v>
      </c>
      <c r="AR82">
        <f t="shared" ca="1" si="3"/>
        <v>9999</v>
      </c>
      <c r="AS82">
        <f t="shared" ca="1" si="3"/>
        <v>9999</v>
      </c>
      <c r="AT82">
        <f t="shared" ca="1" si="3"/>
        <v>9999</v>
      </c>
      <c r="AU82">
        <f t="shared" ca="1" si="3"/>
        <v>9999</v>
      </c>
      <c r="AV82">
        <f t="shared" ca="1" si="3"/>
        <v>9999</v>
      </c>
      <c r="AW82">
        <f t="shared" ca="1" si="3"/>
        <v>9999</v>
      </c>
      <c r="AX82">
        <f t="shared" ca="1" si="3"/>
        <v>9999</v>
      </c>
      <c r="AY82">
        <f t="shared" ca="1" si="3"/>
        <v>9999</v>
      </c>
      <c r="AZ82">
        <f t="shared" ca="1" si="3"/>
        <v>9999</v>
      </c>
      <c r="BA82">
        <f t="shared" ca="1" si="3"/>
        <v>9999</v>
      </c>
      <c r="BB82">
        <f t="shared" ca="1" si="4"/>
        <v>9999</v>
      </c>
      <c r="BC82">
        <f t="shared" ca="1" si="4"/>
        <v>9999</v>
      </c>
      <c r="BD82">
        <f t="shared" ca="1" si="4"/>
        <v>9999</v>
      </c>
      <c r="BE82">
        <f t="shared" ca="1" si="4"/>
        <v>9999</v>
      </c>
      <c r="BF82">
        <f t="shared" ca="1" si="4"/>
        <v>9999</v>
      </c>
      <c r="BG82">
        <f t="shared" ca="1" si="4"/>
        <v>9999</v>
      </c>
      <c r="BH82">
        <f t="shared" ca="1" si="4"/>
        <v>9999</v>
      </c>
      <c r="BI82">
        <f t="shared" ca="1" si="4"/>
        <v>9999</v>
      </c>
    </row>
    <row r="83" spans="1:61" x14ac:dyDescent="0.25">
      <c r="A83" s="20">
        <v>18</v>
      </c>
      <c r="B83">
        <f t="shared" ca="1" si="1"/>
        <v>9999</v>
      </c>
      <c r="C83">
        <f t="shared" ca="1" si="1"/>
        <v>9999</v>
      </c>
      <c r="D83">
        <f t="shared" ca="1" si="1"/>
        <v>9999</v>
      </c>
      <c r="E83">
        <f t="shared" ca="1" si="1"/>
        <v>9999</v>
      </c>
      <c r="F83">
        <f t="shared" ca="1" si="1"/>
        <v>9999</v>
      </c>
      <c r="G83">
        <f t="shared" ca="1" si="1"/>
        <v>9999</v>
      </c>
      <c r="H83">
        <f t="shared" ca="1" si="1"/>
        <v>9999</v>
      </c>
      <c r="I83">
        <f t="shared" ca="1" si="1"/>
        <v>9999</v>
      </c>
      <c r="J83">
        <f t="shared" ca="1" si="1"/>
        <v>9999</v>
      </c>
      <c r="K83">
        <f t="shared" ca="1" si="1"/>
        <v>9999</v>
      </c>
      <c r="L83">
        <f t="shared" ca="1" si="1"/>
        <v>9999</v>
      </c>
      <c r="M83">
        <f t="shared" ca="1" si="1"/>
        <v>9999</v>
      </c>
      <c r="N83">
        <f t="shared" ca="1" si="1"/>
        <v>9999</v>
      </c>
      <c r="O83">
        <f t="shared" ca="1" si="1"/>
        <v>9999</v>
      </c>
      <c r="P83">
        <f t="shared" ca="1" si="1"/>
        <v>9999</v>
      </c>
      <c r="Q83">
        <f t="shared" ca="1" si="1"/>
        <v>9999</v>
      </c>
      <c r="R83">
        <f t="shared" ca="1" si="5"/>
        <v>9999</v>
      </c>
      <c r="S83">
        <f t="shared" ca="1" si="5"/>
        <v>9999</v>
      </c>
      <c r="T83">
        <f t="shared" ca="1" si="5"/>
        <v>9999</v>
      </c>
      <c r="U83">
        <f t="shared" ca="1" si="5"/>
        <v>9999</v>
      </c>
      <c r="V83">
        <f t="shared" ca="1" si="5"/>
        <v>9999</v>
      </c>
      <c r="W83">
        <f t="shared" ca="1" si="5"/>
        <v>9999</v>
      </c>
      <c r="X83">
        <f t="shared" ca="1" si="5"/>
        <v>9999</v>
      </c>
      <c r="Y83">
        <f t="shared" ca="1" si="5"/>
        <v>9999</v>
      </c>
      <c r="Z83">
        <f t="shared" ca="1" si="5"/>
        <v>9999</v>
      </c>
      <c r="AA83">
        <f t="shared" ca="1" si="5"/>
        <v>9999</v>
      </c>
      <c r="AB83">
        <f t="shared" ca="1" si="5"/>
        <v>9999</v>
      </c>
      <c r="AC83">
        <f t="shared" ca="1" si="5"/>
        <v>9999</v>
      </c>
      <c r="AD83">
        <f t="shared" ca="1" si="5"/>
        <v>9999</v>
      </c>
      <c r="AE83">
        <f t="shared" ca="1" si="5"/>
        <v>9999</v>
      </c>
      <c r="AF83">
        <f t="shared" ca="1" si="5"/>
        <v>9999</v>
      </c>
      <c r="AG83">
        <f t="shared" ca="1" si="5"/>
        <v>9999</v>
      </c>
      <c r="AH83">
        <f t="shared" ca="1" si="6"/>
        <v>9999</v>
      </c>
      <c r="AI83">
        <f t="shared" ca="1" si="6"/>
        <v>9999</v>
      </c>
      <c r="AJ83">
        <f t="shared" ca="1" si="6"/>
        <v>9999</v>
      </c>
      <c r="AK83">
        <f t="shared" ca="1" si="6"/>
        <v>9999</v>
      </c>
      <c r="AL83">
        <f t="shared" ca="1" si="3"/>
        <v>9999</v>
      </c>
      <c r="AM83">
        <f t="shared" ca="1" si="3"/>
        <v>9999</v>
      </c>
      <c r="AN83">
        <f t="shared" ca="1" si="3"/>
        <v>9999</v>
      </c>
      <c r="AO83">
        <f t="shared" ca="1" si="3"/>
        <v>9999</v>
      </c>
      <c r="AP83">
        <f t="shared" ca="1" si="3"/>
        <v>9999</v>
      </c>
      <c r="AQ83">
        <f t="shared" ca="1" si="3"/>
        <v>9999</v>
      </c>
      <c r="AR83">
        <f t="shared" ca="1" si="3"/>
        <v>9999</v>
      </c>
      <c r="AS83">
        <f t="shared" ca="1" si="3"/>
        <v>9999</v>
      </c>
      <c r="AT83">
        <f t="shared" ca="1" si="3"/>
        <v>9999</v>
      </c>
      <c r="AU83">
        <f t="shared" ca="1" si="3"/>
        <v>9999</v>
      </c>
      <c r="AV83">
        <f t="shared" ca="1" si="3"/>
        <v>9999</v>
      </c>
      <c r="AW83">
        <f t="shared" ca="1" si="3"/>
        <v>9999</v>
      </c>
      <c r="AX83">
        <f t="shared" ca="1" si="3"/>
        <v>9999</v>
      </c>
      <c r="AY83">
        <f t="shared" ca="1" si="3"/>
        <v>9999</v>
      </c>
      <c r="AZ83">
        <f t="shared" ca="1" si="3"/>
        <v>9999</v>
      </c>
      <c r="BA83">
        <f t="shared" ca="1" si="3"/>
        <v>9999</v>
      </c>
      <c r="BB83">
        <f t="shared" ca="1" si="4"/>
        <v>9999</v>
      </c>
      <c r="BC83">
        <f t="shared" ca="1" si="4"/>
        <v>9999</v>
      </c>
      <c r="BD83">
        <f t="shared" ca="1" si="4"/>
        <v>9999</v>
      </c>
      <c r="BE83">
        <f t="shared" ca="1" si="4"/>
        <v>9999</v>
      </c>
      <c r="BF83">
        <f t="shared" ca="1" si="4"/>
        <v>9999</v>
      </c>
      <c r="BG83">
        <f t="shared" ca="1" si="4"/>
        <v>9999</v>
      </c>
      <c r="BH83">
        <f t="shared" ca="1" si="4"/>
        <v>9999</v>
      </c>
      <c r="BI83">
        <f t="shared" ca="1" si="4"/>
        <v>9999</v>
      </c>
    </row>
    <row r="84" spans="1:61" x14ac:dyDescent="0.25">
      <c r="A84" s="20">
        <v>19</v>
      </c>
      <c r="B84">
        <f t="shared" ca="1" si="1"/>
        <v>9999</v>
      </c>
      <c r="C84">
        <f t="shared" ca="1" si="1"/>
        <v>9999</v>
      </c>
      <c r="D84">
        <f t="shared" ca="1" si="1"/>
        <v>9999</v>
      </c>
      <c r="E84">
        <f t="shared" ca="1" si="1"/>
        <v>9999</v>
      </c>
      <c r="F84">
        <f t="shared" ca="1" si="1"/>
        <v>9999</v>
      </c>
      <c r="G84">
        <f t="shared" ca="1" si="1"/>
        <v>9999</v>
      </c>
      <c r="H84">
        <f t="shared" ca="1" si="1"/>
        <v>9999</v>
      </c>
      <c r="I84">
        <f t="shared" ca="1" si="1"/>
        <v>9999</v>
      </c>
      <c r="J84">
        <f t="shared" ca="1" si="1"/>
        <v>9999</v>
      </c>
      <c r="K84">
        <f t="shared" ca="1" si="1"/>
        <v>9999</v>
      </c>
      <c r="L84">
        <f t="shared" ca="1" si="1"/>
        <v>9999</v>
      </c>
      <c r="M84">
        <f t="shared" ca="1" si="1"/>
        <v>9999</v>
      </c>
      <c r="N84">
        <f t="shared" ca="1" si="1"/>
        <v>9999</v>
      </c>
      <c r="O84">
        <f t="shared" ca="1" si="1"/>
        <v>9999</v>
      </c>
      <c r="P84">
        <f t="shared" ca="1" si="1"/>
        <v>9999</v>
      </c>
      <c r="Q84">
        <f t="shared" ca="1" si="1"/>
        <v>9999</v>
      </c>
      <c r="R84">
        <f t="shared" ca="1" si="5"/>
        <v>9999</v>
      </c>
      <c r="S84">
        <f t="shared" ca="1" si="5"/>
        <v>9999</v>
      </c>
      <c r="T84">
        <f t="shared" ca="1" si="5"/>
        <v>9999</v>
      </c>
      <c r="U84">
        <f t="shared" ca="1" si="5"/>
        <v>9999</v>
      </c>
      <c r="V84">
        <f t="shared" ca="1" si="5"/>
        <v>9999</v>
      </c>
      <c r="W84">
        <f t="shared" ca="1" si="5"/>
        <v>9999</v>
      </c>
      <c r="X84">
        <f t="shared" ca="1" si="5"/>
        <v>9999</v>
      </c>
      <c r="Y84">
        <f t="shared" ca="1" si="5"/>
        <v>9999</v>
      </c>
      <c r="Z84">
        <f t="shared" ca="1" si="5"/>
        <v>9999</v>
      </c>
      <c r="AA84">
        <f t="shared" ca="1" si="5"/>
        <v>9999</v>
      </c>
      <c r="AB84">
        <f t="shared" ca="1" si="5"/>
        <v>9999</v>
      </c>
      <c r="AC84">
        <f t="shared" ca="1" si="5"/>
        <v>9999</v>
      </c>
      <c r="AD84">
        <f t="shared" ca="1" si="5"/>
        <v>9999</v>
      </c>
      <c r="AE84">
        <f t="shared" ca="1" si="5"/>
        <v>9999</v>
      </c>
      <c r="AF84">
        <f t="shared" ca="1" si="5"/>
        <v>9999</v>
      </c>
      <c r="AG84">
        <f t="shared" ca="1" si="5"/>
        <v>9999</v>
      </c>
      <c r="AH84">
        <f t="shared" ca="1" si="6"/>
        <v>9999</v>
      </c>
      <c r="AI84">
        <f t="shared" ca="1" si="6"/>
        <v>9999</v>
      </c>
      <c r="AJ84">
        <f t="shared" ca="1" si="6"/>
        <v>9999</v>
      </c>
      <c r="AK84">
        <f t="shared" ca="1" si="6"/>
        <v>9999</v>
      </c>
      <c r="AL84">
        <f t="shared" ca="1" si="3"/>
        <v>9999</v>
      </c>
      <c r="AM84">
        <f t="shared" ca="1" si="3"/>
        <v>9999</v>
      </c>
      <c r="AN84">
        <f t="shared" ca="1" si="3"/>
        <v>9999</v>
      </c>
      <c r="AO84">
        <f t="shared" ca="1" si="3"/>
        <v>9999</v>
      </c>
      <c r="AP84">
        <f t="shared" ca="1" si="3"/>
        <v>9999</v>
      </c>
      <c r="AQ84">
        <f t="shared" ca="1" si="3"/>
        <v>9999</v>
      </c>
      <c r="AR84">
        <f t="shared" ca="1" si="3"/>
        <v>9999</v>
      </c>
      <c r="AS84">
        <f t="shared" ca="1" si="3"/>
        <v>9999</v>
      </c>
      <c r="AT84">
        <f t="shared" ca="1" si="3"/>
        <v>9999</v>
      </c>
      <c r="AU84">
        <f t="shared" ca="1" si="3"/>
        <v>9999</v>
      </c>
      <c r="AV84">
        <f t="shared" ca="1" si="3"/>
        <v>9999</v>
      </c>
      <c r="AW84">
        <f t="shared" ca="1" si="3"/>
        <v>9999</v>
      </c>
      <c r="AX84">
        <f t="shared" ca="1" si="3"/>
        <v>9999</v>
      </c>
      <c r="AY84">
        <f t="shared" ca="1" si="3"/>
        <v>9999</v>
      </c>
      <c r="AZ84">
        <f t="shared" ca="1" si="3"/>
        <v>9999</v>
      </c>
      <c r="BA84">
        <f t="shared" ca="1" si="3"/>
        <v>9999</v>
      </c>
      <c r="BB84">
        <f t="shared" ca="1" si="4"/>
        <v>9999</v>
      </c>
      <c r="BC84">
        <f t="shared" ca="1" si="4"/>
        <v>9999</v>
      </c>
      <c r="BD84">
        <f t="shared" ca="1" si="4"/>
        <v>9999</v>
      </c>
      <c r="BE84">
        <f t="shared" ca="1" si="4"/>
        <v>9999</v>
      </c>
      <c r="BF84">
        <f t="shared" ca="1" si="4"/>
        <v>9999</v>
      </c>
      <c r="BG84">
        <f t="shared" ca="1" si="4"/>
        <v>9999</v>
      </c>
      <c r="BH84">
        <f t="shared" ca="1" si="4"/>
        <v>9999</v>
      </c>
      <c r="BI84">
        <f t="shared" ca="1" si="4"/>
        <v>9999</v>
      </c>
    </row>
    <row r="85" spans="1:61" x14ac:dyDescent="0.25">
      <c r="A85" s="20">
        <v>20</v>
      </c>
      <c r="B85">
        <f t="shared" ca="1" si="1"/>
        <v>9999</v>
      </c>
      <c r="C85">
        <f t="shared" ca="1" si="1"/>
        <v>9999</v>
      </c>
      <c r="D85">
        <f t="shared" ca="1" si="1"/>
        <v>9999</v>
      </c>
      <c r="E85">
        <f t="shared" ca="1" si="1"/>
        <v>9999</v>
      </c>
      <c r="F85">
        <f t="shared" ca="1" si="1"/>
        <v>9999</v>
      </c>
      <c r="G85">
        <f t="shared" ca="1" si="1"/>
        <v>9999</v>
      </c>
      <c r="H85">
        <f t="shared" ca="1" si="1"/>
        <v>9999</v>
      </c>
      <c r="I85">
        <f t="shared" ca="1" si="1"/>
        <v>9999</v>
      </c>
      <c r="J85">
        <f t="shared" ca="1" si="1"/>
        <v>9999</v>
      </c>
      <c r="K85">
        <f t="shared" ca="1" si="1"/>
        <v>9999</v>
      </c>
      <c r="L85">
        <f t="shared" ca="1" si="1"/>
        <v>9999</v>
      </c>
      <c r="M85">
        <f t="shared" ca="1" si="1"/>
        <v>9999</v>
      </c>
      <c r="N85">
        <f t="shared" ca="1" si="1"/>
        <v>9999</v>
      </c>
      <c r="O85">
        <f t="shared" ca="1" si="1"/>
        <v>9999</v>
      </c>
      <c r="P85">
        <f t="shared" ca="1" si="1"/>
        <v>9999</v>
      </c>
      <c r="Q85">
        <f t="shared" ca="1" si="1"/>
        <v>9999</v>
      </c>
      <c r="R85">
        <f t="shared" ca="1" si="5"/>
        <v>9999</v>
      </c>
      <c r="S85">
        <f t="shared" ca="1" si="5"/>
        <v>9999</v>
      </c>
      <c r="T85">
        <f t="shared" ca="1" si="5"/>
        <v>9999</v>
      </c>
      <c r="U85">
        <f t="shared" ca="1" si="5"/>
        <v>9999</v>
      </c>
      <c r="V85">
        <f t="shared" ca="1" si="5"/>
        <v>9999</v>
      </c>
      <c r="W85">
        <f t="shared" ca="1" si="5"/>
        <v>9999</v>
      </c>
      <c r="X85">
        <f t="shared" ca="1" si="5"/>
        <v>9999</v>
      </c>
      <c r="Y85">
        <f t="shared" ca="1" si="5"/>
        <v>9999</v>
      </c>
      <c r="Z85">
        <f t="shared" ca="1" si="5"/>
        <v>9999</v>
      </c>
      <c r="AA85">
        <f t="shared" ca="1" si="5"/>
        <v>9999</v>
      </c>
      <c r="AB85">
        <f t="shared" ca="1" si="5"/>
        <v>9999</v>
      </c>
      <c r="AC85">
        <f t="shared" ca="1" si="5"/>
        <v>9999</v>
      </c>
      <c r="AD85">
        <f t="shared" ca="1" si="5"/>
        <v>9999</v>
      </c>
      <c r="AE85">
        <f t="shared" ca="1" si="5"/>
        <v>9999</v>
      </c>
      <c r="AF85">
        <f t="shared" ca="1" si="5"/>
        <v>9999</v>
      </c>
      <c r="AG85">
        <f t="shared" ca="1" si="5"/>
        <v>9999</v>
      </c>
      <c r="AH85">
        <f t="shared" ca="1" si="6"/>
        <v>9999</v>
      </c>
      <c r="AI85">
        <f t="shared" ca="1" si="6"/>
        <v>9999</v>
      </c>
      <c r="AJ85">
        <f t="shared" ca="1" si="6"/>
        <v>9999</v>
      </c>
      <c r="AK85">
        <f t="shared" ca="1" si="6"/>
        <v>9999</v>
      </c>
      <c r="AL85">
        <f t="shared" ca="1" si="3"/>
        <v>9999</v>
      </c>
      <c r="AM85">
        <f t="shared" ca="1" si="3"/>
        <v>9999</v>
      </c>
      <c r="AN85">
        <f t="shared" ca="1" si="3"/>
        <v>9999</v>
      </c>
      <c r="AO85">
        <f t="shared" ca="1" si="3"/>
        <v>9999</v>
      </c>
      <c r="AP85">
        <f t="shared" ca="1" si="3"/>
        <v>9999</v>
      </c>
      <c r="AQ85">
        <f t="shared" ca="1" si="3"/>
        <v>9999</v>
      </c>
      <c r="AR85">
        <f t="shared" ca="1" si="3"/>
        <v>9999</v>
      </c>
      <c r="AS85">
        <f t="shared" ca="1" si="3"/>
        <v>9999</v>
      </c>
      <c r="AT85">
        <f t="shared" ca="1" si="3"/>
        <v>9999</v>
      </c>
      <c r="AU85">
        <f t="shared" ca="1" si="3"/>
        <v>9999</v>
      </c>
      <c r="AV85">
        <f t="shared" ca="1" si="3"/>
        <v>9999</v>
      </c>
      <c r="AW85">
        <f t="shared" ca="1" si="3"/>
        <v>9999</v>
      </c>
      <c r="AX85">
        <f t="shared" ca="1" si="3"/>
        <v>9999</v>
      </c>
      <c r="AY85">
        <f t="shared" ca="1" si="3"/>
        <v>9999</v>
      </c>
      <c r="AZ85">
        <f t="shared" ca="1" si="3"/>
        <v>9999</v>
      </c>
      <c r="BA85">
        <f t="shared" ref="BA85:BI120" ca="1" si="7">OFFSET($B$2,60-BA$65,60-$A85)</f>
        <v>9999</v>
      </c>
      <c r="BB85">
        <f t="shared" ca="1" si="7"/>
        <v>9999</v>
      </c>
      <c r="BC85">
        <f t="shared" ca="1" si="7"/>
        <v>9999</v>
      </c>
      <c r="BD85">
        <f t="shared" ca="1" si="7"/>
        <v>9999</v>
      </c>
      <c r="BE85">
        <f t="shared" ca="1" si="7"/>
        <v>9999</v>
      </c>
      <c r="BF85">
        <f t="shared" ca="1" si="7"/>
        <v>9999</v>
      </c>
      <c r="BG85">
        <f t="shared" ca="1" si="7"/>
        <v>9999</v>
      </c>
      <c r="BH85">
        <f t="shared" ca="1" si="7"/>
        <v>9999</v>
      </c>
      <c r="BI85">
        <f t="shared" ca="1" si="7"/>
        <v>9999</v>
      </c>
    </row>
    <row r="86" spans="1:61" x14ac:dyDescent="0.25">
      <c r="A86" s="20">
        <v>21</v>
      </c>
      <c r="B86">
        <f t="shared" ca="1" si="1"/>
        <v>9999</v>
      </c>
      <c r="C86">
        <f t="shared" ca="1" si="1"/>
        <v>9999</v>
      </c>
      <c r="D86">
        <f t="shared" ca="1" si="1"/>
        <v>9999</v>
      </c>
      <c r="E86">
        <f t="shared" ca="1" si="1"/>
        <v>9999</v>
      </c>
      <c r="F86">
        <f t="shared" ca="1" si="1"/>
        <v>9999</v>
      </c>
      <c r="G86">
        <f t="shared" ca="1" si="1"/>
        <v>9999</v>
      </c>
      <c r="H86">
        <f t="shared" ca="1" si="1"/>
        <v>9999</v>
      </c>
      <c r="I86">
        <f t="shared" ca="1" si="1"/>
        <v>9999</v>
      </c>
      <c r="J86">
        <f t="shared" ca="1" si="1"/>
        <v>9999</v>
      </c>
      <c r="K86">
        <f t="shared" ca="1" si="1"/>
        <v>9999</v>
      </c>
      <c r="L86">
        <f t="shared" ca="1" si="1"/>
        <v>9999</v>
      </c>
      <c r="M86">
        <f t="shared" ref="M86:AB101" ca="1" si="8">OFFSET($B$2,60-M$65,60-$A86)</f>
        <v>9999</v>
      </c>
      <c r="N86">
        <f t="shared" ca="1" si="8"/>
        <v>9999</v>
      </c>
      <c r="O86">
        <f t="shared" ca="1" si="8"/>
        <v>9999</v>
      </c>
      <c r="P86">
        <f t="shared" ca="1" si="8"/>
        <v>9999</v>
      </c>
      <c r="Q86">
        <f t="shared" ca="1" si="8"/>
        <v>9999</v>
      </c>
      <c r="R86">
        <f t="shared" ca="1" si="8"/>
        <v>9999</v>
      </c>
      <c r="S86">
        <f t="shared" ca="1" si="8"/>
        <v>9999</v>
      </c>
      <c r="T86">
        <f t="shared" ca="1" si="8"/>
        <v>9999</v>
      </c>
      <c r="U86">
        <f t="shared" ca="1" si="8"/>
        <v>9999</v>
      </c>
      <c r="V86">
        <f t="shared" ca="1" si="8"/>
        <v>9999</v>
      </c>
      <c r="W86">
        <f t="shared" ca="1" si="8"/>
        <v>9999</v>
      </c>
      <c r="X86">
        <f t="shared" ca="1" si="8"/>
        <v>9999</v>
      </c>
      <c r="Y86">
        <f t="shared" ca="1" si="8"/>
        <v>9999</v>
      </c>
      <c r="Z86">
        <f t="shared" ca="1" si="8"/>
        <v>9999</v>
      </c>
      <c r="AA86">
        <f t="shared" ca="1" si="8"/>
        <v>9999</v>
      </c>
      <c r="AB86">
        <f t="shared" ca="1" si="8"/>
        <v>9999</v>
      </c>
      <c r="AC86">
        <f t="shared" ca="1" si="5"/>
        <v>9999</v>
      </c>
      <c r="AD86">
        <f t="shared" ca="1" si="5"/>
        <v>9999</v>
      </c>
      <c r="AE86">
        <f t="shared" ca="1" si="5"/>
        <v>9999</v>
      </c>
      <c r="AF86">
        <f t="shared" ca="1" si="5"/>
        <v>9999</v>
      </c>
      <c r="AG86">
        <f t="shared" ca="1" si="5"/>
        <v>9999</v>
      </c>
      <c r="AH86">
        <f t="shared" ca="1" si="6"/>
        <v>9999</v>
      </c>
      <c r="AI86">
        <f t="shared" ca="1" si="6"/>
        <v>9999</v>
      </c>
      <c r="AJ86">
        <f t="shared" ca="1" si="6"/>
        <v>9999</v>
      </c>
      <c r="AK86">
        <f t="shared" ca="1" si="6"/>
        <v>9999</v>
      </c>
      <c r="AL86">
        <f t="shared" ref="AL86:BA104" ca="1" si="9">OFFSET($B$2,60-AL$65,60-$A86)</f>
        <v>9999</v>
      </c>
      <c r="AM86">
        <f t="shared" ca="1" si="9"/>
        <v>9999</v>
      </c>
      <c r="AN86">
        <f t="shared" ca="1" si="9"/>
        <v>9999</v>
      </c>
      <c r="AO86">
        <f t="shared" ca="1" si="9"/>
        <v>9999</v>
      </c>
      <c r="AP86">
        <f t="shared" ca="1" si="9"/>
        <v>9999</v>
      </c>
      <c r="AQ86">
        <f t="shared" ca="1" si="9"/>
        <v>9999</v>
      </c>
      <c r="AR86">
        <f t="shared" ca="1" si="9"/>
        <v>9999</v>
      </c>
      <c r="AS86">
        <f t="shared" ca="1" si="9"/>
        <v>9999</v>
      </c>
      <c r="AT86">
        <f t="shared" ca="1" si="9"/>
        <v>9999</v>
      </c>
      <c r="AU86">
        <f t="shared" ca="1" si="9"/>
        <v>9999</v>
      </c>
      <c r="AV86">
        <f t="shared" ca="1" si="9"/>
        <v>9999</v>
      </c>
      <c r="AW86">
        <f t="shared" ca="1" si="9"/>
        <v>9999</v>
      </c>
      <c r="AX86">
        <f t="shared" ca="1" si="9"/>
        <v>9999</v>
      </c>
      <c r="AY86">
        <f t="shared" ca="1" si="9"/>
        <v>9999</v>
      </c>
      <c r="AZ86">
        <f t="shared" ca="1" si="9"/>
        <v>9999</v>
      </c>
      <c r="BA86">
        <f t="shared" ca="1" si="9"/>
        <v>9999</v>
      </c>
      <c r="BB86">
        <f t="shared" ca="1" si="7"/>
        <v>9999</v>
      </c>
      <c r="BC86">
        <f t="shared" ca="1" si="7"/>
        <v>9999</v>
      </c>
      <c r="BD86">
        <f t="shared" ca="1" si="7"/>
        <v>9999</v>
      </c>
      <c r="BE86">
        <f t="shared" ca="1" si="7"/>
        <v>9999</v>
      </c>
      <c r="BF86">
        <f t="shared" ca="1" si="7"/>
        <v>9999</v>
      </c>
      <c r="BG86">
        <f t="shared" ca="1" si="7"/>
        <v>9999</v>
      </c>
      <c r="BH86">
        <f t="shared" ca="1" si="7"/>
        <v>9999</v>
      </c>
      <c r="BI86">
        <f t="shared" ca="1" si="7"/>
        <v>9999</v>
      </c>
    </row>
    <row r="87" spans="1:61" x14ac:dyDescent="0.25">
      <c r="A87" s="20">
        <v>22</v>
      </c>
      <c r="B87">
        <f t="shared" ref="B87:Q102" ca="1" si="10">OFFSET($B$2,60-B$65,60-$A87)</f>
        <v>9999</v>
      </c>
      <c r="C87">
        <f t="shared" ca="1" si="10"/>
        <v>9999</v>
      </c>
      <c r="D87">
        <f t="shared" ca="1" si="10"/>
        <v>9999</v>
      </c>
      <c r="E87">
        <f t="shared" ca="1" si="10"/>
        <v>9999</v>
      </c>
      <c r="F87">
        <f t="shared" ca="1" si="10"/>
        <v>9999</v>
      </c>
      <c r="G87">
        <f t="shared" ca="1" si="10"/>
        <v>9999</v>
      </c>
      <c r="H87">
        <f t="shared" ca="1" si="10"/>
        <v>9999</v>
      </c>
      <c r="I87">
        <f t="shared" ca="1" si="10"/>
        <v>9999</v>
      </c>
      <c r="J87">
        <f t="shared" ca="1" si="10"/>
        <v>9999</v>
      </c>
      <c r="K87">
        <f t="shared" ca="1" si="10"/>
        <v>9999</v>
      </c>
      <c r="L87">
        <f t="shared" ca="1" si="10"/>
        <v>9999</v>
      </c>
      <c r="M87">
        <f t="shared" ca="1" si="10"/>
        <v>9999</v>
      </c>
      <c r="N87">
        <f t="shared" ca="1" si="10"/>
        <v>9999</v>
      </c>
      <c r="O87">
        <f t="shared" ca="1" si="10"/>
        <v>9999</v>
      </c>
      <c r="P87">
        <f t="shared" ca="1" si="10"/>
        <v>9999</v>
      </c>
      <c r="Q87">
        <f t="shared" ca="1" si="10"/>
        <v>9999</v>
      </c>
      <c r="R87">
        <f t="shared" ca="1" si="8"/>
        <v>9999</v>
      </c>
      <c r="S87">
        <f t="shared" ca="1" si="8"/>
        <v>9999</v>
      </c>
      <c r="T87">
        <f t="shared" ca="1" si="8"/>
        <v>9999</v>
      </c>
      <c r="U87">
        <f t="shared" ca="1" si="8"/>
        <v>9999</v>
      </c>
      <c r="V87">
        <f t="shared" ca="1" si="8"/>
        <v>9999</v>
      </c>
      <c r="W87">
        <f t="shared" ca="1" si="8"/>
        <v>9999</v>
      </c>
      <c r="X87">
        <f t="shared" ca="1" si="8"/>
        <v>9999</v>
      </c>
      <c r="Y87">
        <f t="shared" ca="1" si="8"/>
        <v>9999</v>
      </c>
      <c r="Z87">
        <f t="shared" ca="1" si="8"/>
        <v>9999</v>
      </c>
      <c r="AA87">
        <f t="shared" ca="1" si="8"/>
        <v>9999</v>
      </c>
      <c r="AB87">
        <f t="shared" ca="1" si="8"/>
        <v>9999</v>
      </c>
      <c r="AC87">
        <f t="shared" ca="1" si="5"/>
        <v>9999</v>
      </c>
      <c r="AD87">
        <f t="shared" ca="1" si="5"/>
        <v>9999</v>
      </c>
      <c r="AE87">
        <f t="shared" ca="1" si="5"/>
        <v>9999</v>
      </c>
      <c r="AF87">
        <f t="shared" ca="1" si="5"/>
        <v>9999</v>
      </c>
      <c r="AG87">
        <f t="shared" ca="1" si="5"/>
        <v>9999</v>
      </c>
      <c r="AH87">
        <f t="shared" ca="1" si="6"/>
        <v>9999</v>
      </c>
      <c r="AI87">
        <f t="shared" ca="1" si="6"/>
        <v>9999</v>
      </c>
      <c r="AJ87">
        <f t="shared" ca="1" si="6"/>
        <v>9999</v>
      </c>
      <c r="AK87">
        <f t="shared" ca="1" si="6"/>
        <v>9999</v>
      </c>
      <c r="AL87">
        <f t="shared" ca="1" si="9"/>
        <v>9999</v>
      </c>
      <c r="AM87">
        <f t="shared" ca="1" si="9"/>
        <v>9999</v>
      </c>
      <c r="AN87">
        <f t="shared" ca="1" si="9"/>
        <v>9999</v>
      </c>
      <c r="AO87">
        <f t="shared" ca="1" si="9"/>
        <v>9999</v>
      </c>
      <c r="AP87">
        <f t="shared" ca="1" si="9"/>
        <v>9999</v>
      </c>
      <c r="AQ87">
        <f t="shared" ca="1" si="9"/>
        <v>9999</v>
      </c>
      <c r="AR87">
        <f t="shared" ca="1" si="9"/>
        <v>9999</v>
      </c>
      <c r="AS87">
        <f t="shared" ca="1" si="9"/>
        <v>9999</v>
      </c>
      <c r="AT87">
        <f t="shared" ca="1" si="9"/>
        <v>9999</v>
      </c>
      <c r="AU87">
        <f t="shared" ca="1" si="9"/>
        <v>9999</v>
      </c>
      <c r="AV87">
        <f t="shared" ca="1" si="9"/>
        <v>9999</v>
      </c>
      <c r="AW87">
        <f t="shared" ca="1" si="9"/>
        <v>9999</v>
      </c>
      <c r="AX87">
        <f t="shared" ca="1" si="9"/>
        <v>9999</v>
      </c>
      <c r="AY87">
        <f t="shared" ca="1" si="9"/>
        <v>9999</v>
      </c>
      <c r="AZ87">
        <f t="shared" ca="1" si="9"/>
        <v>9999</v>
      </c>
      <c r="BA87">
        <f t="shared" ca="1" si="9"/>
        <v>9999</v>
      </c>
      <c r="BB87">
        <f t="shared" ca="1" si="7"/>
        <v>9999</v>
      </c>
      <c r="BC87">
        <f t="shared" ca="1" si="7"/>
        <v>9999</v>
      </c>
      <c r="BD87">
        <f t="shared" ca="1" si="7"/>
        <v>9999</v>
      </c>
      <c r="BE87">
        <f t="shared" ca="1" si="7"/>
        <v>9999</v>
      </c>
      <c r="BF87">
        <f t="shared" ca="1" si="7"/>
        <v>9999</v>
      </c>
      <c r="BG87">
        <f t="shared" ca="1" si="7"/>
        <v>9999</v>
      </c>
      <c r="BH87">
        <f t="shared" ca="1" si="7"/>
        <v>9999</v>
      </c>
      <c r="BI87">
        <f t="shared" ca="1" si="7"/>
        <v>9999</v>
      </c>
    </row>
    <row r="88" spans="1:61" x14ac:dyDescent="0.25">
      <c r="A88" s="20">
        <v>23</v>
      </c>
      <c r="B88">
        <f t="shared" ca="1" si="10"/>
        <v>9999</v>
      </c>
      <c r="C88">
        <f t="shared" ca="1" si="10"/>
        <v>9999</v>
      </c>
      <c r="D88">
        <f t="shared" ca="1" si="10"/>
        <v>9999</v>
      </c>
      <c r="E88">
        <f t="shared" ca="1" si="10"/>
        <v>9999</v>
      </c>
      <c r="F88">
        <f t="shared" ca="1" si="10"/>
        <v>9999</v>
      </c>
      <c r="G88">
        <f t="shared" ca="1" si="10"/>
        <v>9999</v>
      </c>
      <c r="H88">
        <f t="shared" ca="1" si="10"/>
        <v>9999</v>
      </c>
      <c r="I88">
        <f t="shared" ca="1" si="10"/>
        <v>9999</v>
      </c>
      <c r="J88">
        <f t="shared" ca="1" si="10"/>
        <v>9999</v>
      </c>
      <c r="K88">
        <f t="shared" ca="1" si="10"/>
        <v>9999</v>
      </c>
      <c r="L88">
        <f t="shared" ca="1" si="10"/>
        <v>9999</v>
      </c>
      <c r="M88">
        <f t="shared" ca="1" si="10"/>
        <v>9999</v>
      </c>
      <c r="N88">
        <f t="shared" ca="1" si="10"/>
        <v>9999</v>
      </c>
      <c r="O88">
        <f t="shared" ca="1" si="10"/>
        <v>9999</v>
      </c>
      <c r="P88">
        <f t="shared" ca="1" si="10"/>
        <v>9999</v>
      </c>
      <c r="Q88">
        <f t="shared" ca="1" si="10"/>
        <v>9999</v>
      </c>
      <c r="R88">
        <f t="shared" ca="1" si="8"/>
        <v>9999</v>
      </c>
      <c r="S88">
        <f t="shared" ca="1" si="8"/>
        <v>9999</v>
      </c>
      <c r="T88">
        <f t="shared" ca="1" si="8"/>
        <v>9999</v>
      </c>
      <c r="U88">
        <f t="shared" ca="1" si="8"/>
        <v>9999</v>
      </c>
      <c r="V88">
        <f t="shared" ca="1" si="8"/>
        <v>9999</v>
      </c>
      <c r="W88">
        <f t="shared" ca="1" si="8"/>
        <v>9999</v>
      </c>
      <c r="X88">
        <f t="shared" ca="1" si="8"/>
        <v>9999</v>
      </c>
      <c r="Y88">
        <f t="shared" ca="1" si="8"/>
        <v>9999</v>
      </c>
      <c r="Z88">
        <f t="shared" ca="1" si="8"/>
        <v>9999</v>
      </c>
      <c r="AA88">
        <f t="shared" ca="1" si="8"/>
        <v>9999</v>
      </c>
      <c r="AB88">
        <f t="shared" ca="1" si="8"/>
        <v>9999</v>
      </c>
      <c r="AC88">
        <f t="shared" ca="1" si="5"/>
        <v>9999</v>
      </c>
      <c r="AD88">
        <f t="shared" ca="1" si="5"/>
        <v>9999</v>
      </c>
      <c r="AE88">
        <f t="shared" ca="1" si="5"/>
        <v>9999</v>
      </c>
      <c r="AF88">
        <f t="shared" ca="1" si="5"/>
        <v>9999</v>
      </c>
      <c r="AG88">
        <f t="shared" ca="1" si="5"/>
        <v>9999</v>
      </c>
      <c r="AH88">
        <f t="shared" ca="1" si="6"/>
        <v>9999</v>
      </c>
      <c r="AI88">
        <f t="shared" ca="1" si="6"/>
        <v>9999</v>
      </c>
      <c r="AJ88">
        <f t="shared" ca="1" si="6"/>
        <v>9999</v>
      </c>
      <c r="AK88">
        <f t="shared" ca="1" si="6"/>
        <v>9999</v>
      </c>
      <c r="AL88">
        <f t="shared" ca="1" si="9"/>
        <v>9999</v>
      </c>
      <c r="AM88">
        <f t="shared" ca="1" si="9"/>
        <v>9999</v>
      </c>
      <c r="AN88">
        <f t="shared" ca="1" si="9"/>
        <v>9999</v>
      </c>
      <c r="AO88">
        <f t="shared" ca="1" si="9"/>
        <v>9999</v>
      </c>
      <c r="AP88">
        <f t="shared" ca="1" si="9"/>
        <v>9999</v>
      </c>
      <c r="AQ88">
        <f t="shared" ca="1" si="9"/>
        <v>9999</v>
      </c>
      <c r="AR88">
        <f t="shared" ca="1" si="9"/>
        <v>9999</v>
      </c>
      <c r="AS88">
        <f t="shared" ca="1" si="9"/>
        <v>9999</v>
      </c>
      <c r="AT88">
        <f t="shared" ca="1" si="9"/>
        <v>9999</v>
      </c>
      <c r="AU88">
        <f t="shared" ca="1" si="9"/>
        <v>9999</v>
      </c>
      <c r="AV88">
        <f t="shared" ca="1" si="9"/>
        <v>9999</v>
      </c>
      <c r="AW88">
        <f t="shared" ca="1" si="9"/>
        <v>9999</v>
      </c>
      <c r="AX88">
        <f t="shared" ca="1" si="9"/>
        <v>9999</v>
      </c>
      <c r="AY88">
        <f t="shared" ca="1" si="9"/>
        <v>9999</v>
      </c>
      <c r="AZ88">
        <f t="shared" ca="1" si="9"/>
        <v>9999</v>
      </c>
      <c r="BA88">
        <f t="shared" ca="1" si="9"/>
        <v>9999</v>
      </c>
      <c r="BB88">
        <f t="shared" ca="1" si="7"/>
        <v>9999</v>
      </c>
      <c r="BC88">
        <f t="shared" ca="1" si="7"/>
        <v>9999</v>
      </c>
      <c r="BD88">
        <f t="shared" ca="1" si="7"/>
        <v>9999</v>
      </c>
      <c r="BE88">
        <f t="shared" ca="1" si="7"/>
        <v>9999</v>
      </c>
      <c r="BF88">
        <f t="shared" ca="1" si="7"/>
        <v>9999</v>
      </c>
      <c r="BG88">
        <f t="shared" ca="1" si="7"/>
        <v>9999</v>
      </c>
      <c r="BH88">
        <f t="shared" ca="1" si="7"/>
        <v>9999</v>
      </c>
      <c r="BI88">
        <f t="shared" ca="1" si="7"/>
        <v>9999</v>
      </c>
    </row>
    <row r="89" spans="1:61" x14ac:dyDescent="0.25">
      <c r="A89" s="20">
        <v>24</v>
      </c>
      <c r="B89">
        <f t="shared" ca="1" si="10"/>
        <v>9999</v>
      </c>
      <c r="C89">
        <f t="shared" ca="1" si="10"/>
        <v>9999</v>
      </c>
      <c r="D89">
        <f t="shared" ca="1" si="10"/>
        <v>9999</v>
      </c>
      <c r="E89">
        <f t="shared" ca="1" si="10"/>
        <v>9999</v>
      </c>
      <c r="F89">
        <f t="shared" ca="1" si="10"/>
        <v>9999</v>
      </c>
      <c r="G89">
        <f t="shared" ca="1" si="10"/>
        <v>9999</v>
      </c>
      <c r="H89">
        <f t="shared" ca="1" si="10"/>
        <v>9999</v>
      </c>
      <c r="I89">
        <f t="shared" ca="1" si="10"/>
        <v>9999</v>
      </c>
      <c r="J89">
        <f t="shared" ca="1" si="10"/>
        <v>9999</v>
      </c>
      <c r="K89">
        <f t="shared" ca="1" si="10"/>
        <v>9999</v>
      </c>
      <c r="L89">
        <f t="shared" ca="1" si="10"/>
        <v>9999</v>
      </c>
      <c r="M89">
        <f t="shared" ca="1" si="10"/>
        <v>9999</v>
      </c>
      <c r="N89">
        <f t="shared" ca="1" si="10"/>
        <v>9999</v>
      </c>
      <c r="O89">
        <f t="shared" ca="1" si="10"/>
        <v>9999</v>
      </c>
      <c r="P89">
        <f t="shared" ca="1" si="10"/>
        <v>9999</v>
      </c>
      <c r="Q89">
        <f t="shared" ca="1" si="10"/>
        <v>9999</v>
      </c>
      <c r="R89">
        <f t="shared" ca="1" si="8"/>
        <v>9999</v>
      </c>
      <c r="S89">
        <f t="shared" ca="1" si="8"/>
        <v>9999</v>
      </c>
      <c r="T89">
        <f t="shared" ca="1" si="8"/>
        <v>9999</v>
      </c>
      <c r="U89">
        <f t="shared" ca="1" si="8"/>
        <v>9999</v>
      </c>
      <c r="V89">
        <f t="shared" ca="1" si="8"/>
        <v>9999</v>
      </c>
      <c r="W89">
        <f t="shared" ca="1" si="8"/>
        <v>9999</v>
      </c>
      <c r="X89">
        <f t="shared" ca="1" si="8"/>
        <v>9999</v>
      </c>
      <c r="Y89">
        <f t="shared" ca="1" si="8"/>
        <v>9999</v>
      </c>
      <c r="Z89">
        <f t="shared" ca="1" si="8"/>
        <v>9999</v>
      </c>
      <c r="AA89">
        <f t="shared" ca="1" si="8"/>
        <v>9999</v>
      </c>
      <c r="AB89">
        <f t="shared" ca="1" si="8"/>
        <v>9999</v>
      </c>
      <c r="AC89">
        <f t="shared" ref="AC89:AR105" ca="1" si="11">OFFSET($B$2,60-AC$65,60-$A89)</f>
        <v>9999</v>
      </c>
      <c r="AD89">
        <f t="shared" ca="1" si="11"/>
        <v>9999</v>
      </c>
      <c r="AE89">
        <f t="shared" ca="1" si="11"/>
        <v>9999</v>
      </c>
      <c r="AF89">
        <f t="shared" ca="1" si="11"/>
        <v>9999</v>
      </c>
      <c r="AG89">
        <f t="shared" ca="1" si="11"/>
        <v>9999</v>
      </c>
      <c r="AH89">
        <f t="shared" ca="1" si="11"/>
        <v>9999</v>
      </c>
      <c r="AI89">
        <f t="shared" ca="1" si="11"/>
        <v>9999</v>
      </c>
      <c r="AJ89">
        <f t="shared" ca="1" si="11"/>
        <v>9999</v>
      </c>
      <c r="AK89">
        <f t="shared" ca="1" si="11"/>
        <v>9999</v>
      </c>
      <c r="AL89">
        <f t="shared" ca="1" si="11"/>
        <v>9999</v>
      </c>
      <c r="AM89">
        <f t="shared" ca="1" si="11"/>
        <v>9999</v>
      </c>
      <c r="AN89">
        <f t="shared" ca="1" si="11"/>
        <v>9999</v>
      </c>
      <c r="AO89">
        <f t="shared" ca="1" si="11"/>
        <v>9999</v>
      </c>
      <c r="AP89">
        <f t="shared" ca="1" si="11"/>
        <v>9999</v>
      </c>
      <c r="AQ89">
        <f t="shared" ca="1" si="11"/>
        <v>9999</v>
      </c>
      <c r="AR89">
        <f t="shared" ca="1" si="11"/>
        <v>9999</v>
      </c>
      <c r="AS89">
        <f t="shared" ca="1" si="9"/>
        <v>9999</v>
      </c>
      <c r="AT89">
        <f t="shared" ca="1" si="9"/>
        <v>9999</v>
      </c>
      <c r="AU89">
        <f t="shared" ca="1" si="9"/>
        <v>9999</v>
      </c>
      <c r="AV89">
        <f t="shared" ca="1" si="9"/>
        <v>9999</v>
      </c>
      <c r="AW89">
        <f t="shared" ca="1" si="9"/>
        <v>9999</v>
      </c>
      <c r="AX89">
        <f t="shared" ca="1" si="9"/>
        <v>9999</v>
      </c>
      <c r="AY89">
        <f t="shared" ca="1" si="9"/>
        <v>9999</v>
      </c>
      <c r="AZ89">
        <f t="shared" ca="1" si="9"/>
        <v>9999</v>
      </c>
      <c r="BA89">
        <f t="shared" ca="1" si="9"/>
        <v>9999</v>
      </c>
      <c r="BB89">
        <f t="shared" ca="1" si="7"/>
        <v>9999</v>
      </c>
      <c r="BC89">
        <f t="shared" ca="1" si="7"/>
        <v>9999</v>
      </c>
      <c r="BD89">
        <f t="shared" ca="1" si="7"/>
        <v>9999</v>
      </c>
      <c r="BE89">
        <f t="shared" ca="1" si="7"/>
        <v>9999</v>
      </c>
      <c r="BF89">
        <f t="shared" ca="1" si="7"/>
        <v>9999</v>
      </c>
      <c r="BG89">
        <f t="shared" ca="1" si="7"/>
        <v>9999</v>
      </c>
      <c r="BH89">
        <f t="shared" ca="1" si="7"/>
        <v>9999</v>
      </c>
      <c r="BI89">
        <f t="shared" ca="1" si="7"/>
        <v>9999</v>
      </c>
    </row>
    <row r="90" spans="1:61" x14ac:dyDescent="0.25">
      <c r="A90" s="20">
        <v>25</v>
      </c>
      <c r="B90">
        <f t="shared" ca="1" si="10"/>
        <v>9999</v>
      </c>
      <c r="C90">
        <f t="shared" ca="1" si="10"/>
        <v>9999</v>
      </c>
      <c r="D90">
        <f t="shared" ca="1" si="10"/>
        <v>9999</v>
      </c>
      <c r="E90">
        <f t="shared" ca="1" si="10"/>
        <v>9999</v>
      </c>
      <c r="F90">
        <f t="shared" ca="1" si="10"/>
        <v>9999</v>
      </c>
      <c r="G90">
        <f t="shared" ca="1" si="10"/>
        <v>9999</v>
      </c>
      <c r="H90">
        <f t="shared" ca="1" si="10"/>
        <v>9999</v>
      </c>
      <c r="I90">
        <f t="shared" ca="1" si="10"/>
        <v>9999</v>
      </c>
      <c r="J90">
        <f t="shared" ca="1" si="10"/>
        <v>9999</v>
      </c>
      <c r="K90">
        <f t="shared" ca="1" si="10"/>
        <v>9999</v>
      </c>
      <c r="L90">
        <f t="shared" ca="1" si="10"/>
        <v>9999</v>
      </c>
      <c r="M90">
        <f t="shared" ca="1" si="10"/>
        <v>9999</v>
      </c>
      <c r="N90">
        <f t="shared" ca="1" si="10"/>
        <v>9999</v>
      </c>
      <c r="O90">
        <f t="shared" ca="1" si="10"/>
        <v>9999</v>
      </c>
      <c r="P90">
        <f t="shared" ca="1" si="10"/>
        <v>9999</v>
      </c>
      <c r="Q90">
        <f t="shared" ca="1" si="10"/>
        <v>9999</v>
      </c>
      <c r="R90">
        <f t="shared" ca="1" si="8"/>
        <v>9999</v>
      </c>
      <c r="S90">
        <f t="shared" ca="1" si="8"/>
        <v>9999</v>
      </c>
      <c r="T90">
        <f t="shared" ca="1" si="8"/>
        <v>9999</v>
      </c>
      <c r="U90">
        <f t="shared" ca="1" si="8"/>
        <v>9999</v>
      </c>
      <c r="V90">
        <f t="shared" ca="1" si="8"/>
        <v>9999</v>
      </c>
      <c r="W90">
        <f t="shared" ca="1" si="8"/>
        <v>9999</v>
      </c>
      <c r="X90">
        <f t="shared" ca="1" si="8"/>
        <v>9999</v>
      </c>
      <c r="Y90">
        <f t="shared" ca="1" si="8"/>
        <v>9999</v>
      </c>
      <c r="Z90">
        <f t="shared" ca="1" si="8"/>
        <v>9999</v>
      </c>
      <c r="AA90">
        <f t="shared" ca="1" si="8"/>
        <v>9999</v>
      </c>
      <c r="AB90">
        <f t="shared" ca="1" si="8"/>
        <v>9999</v>
      </c>
      <c r="AC90">
        <f t="shared" ca="1" si="11"/>
        <v>9999</v>
      </c>
      <c r="AD90">
        <f t="shared" ca="1" si="11"/>
        <v>9999</v>
      </c>
      <c r="AE90">
        <f t="shared" ca="1" si="11"/>
        <v>9999</v>
      </c>
      <c r="AF90">
        <f t="shared" ca="1" si="11"/>
        <v>9999</v>
      </c>
      <c r="AG90">
        <f t="shared" ca="1" si="11"/>
        <v>9999</v>
      </c>
      <c r="AH90">
        <f t="shared" ca="1" si="11"/>
        <v>9999</v>
      </c>
      <c r="AI90">
        <f t="shared" ca="1" si="11"/>
        <v>9999</v>
      </c>
      <c r="AJ90">
        <f t="shared" ca="1" si="11"/>
        <v>9999</v>
      </c>
      <c r="AK90">
        <f t="shared" ca="1" si="11"/>
        <v>9999</v>
      </c>
      <c r="AL90">
        <f t="shared" ca="1" si="11"/>
        <v>9999</v>
      </c>
      <c r="AM90">
        <f t="shared" ca="1" si="11"/>
        <v>9999</v>
      </c>
      <c r="AN90">
        <f t="shared" ca="1" si="11"/>
        <v>9999</v>
      </c>
      <c r="AO90">
        <f t="shared" ca="1" si="11"/>
        <v>9999</v>
      </c>
      <c r="AP90">
        <f t="shared" ca="1" si="11"/>
        <v>9999</v>
      </c>
      <c r="AQ90">
        <f t="shared" ca="1" si="11"/>
        <v>9999</v>
      </c>
      <c r="AR90">
        <f t="shared" ca="1" si="11"/>
        <v>9999</v>
      </c>
      <c r="AS90">
        <f t="shared" ca="1" si="9"/>
        <v>9999</v>
      </c>
      <c r="AT90">
        <f t="shared" ca="1" si="9"/>
        <v>9999</v>
      </c>
      <c r="AU90">
        <f t="shared" ca="1" si="9"/>
        <v>9999</v>
      </c>
      <c r="AV90">
        <f t="shared" ca="1" si="9"/>
        <v>9999</v>
      </c>
      <c r="AW90">
        <f t="shared" ca="1" si="9"/>
        <v>9999</v>
      </c>
      <c r="AX90">
        <f t="shared" ca="1" si="9"/>
        <v>9999</v>
      </c>
      <c r="AY90">
        <f t="shared" ca="1" si="9"/>
        <v>9999</v>
      </c>
      <c r="AZ90">
        <f t="shared" ca="1" si="9"/>
        <v>9999</v>
      </c>
      <c r="BA90">
        <f t="shared" ca="1" si="9"/>
        <v>9999</v>
      </c>
      <c r="BB90">
        <f t="shared" ca="1" si="7"/>
        <v>9999</v>
      </c>
      <c r="BC90">
        <f t="shared" ca="1" si="7"/>
        <v>9999</v>
      </c>
      <c r="BD90">
        <f t="shared" ca="1" si="7"/>
        <v>9999</v>
      </c>
      <c r="BE90">
        <f t="shared" ca="1" si="7"/>
        <v>9999</v>
      </c>
      <c r="BF90">
        <f t="shared" ca="1" si="7"/>
        <v>9999</v>
      </c>
      <c r="BG90">
        <f t="shared" ca="1" si="7"/>
        <v>9999</v>
      </c>
      <c r="BH90">
        <f t="shared" ca="1" si="7"/>
        <v>9999</v>
      </c>
      <c r="BI90">
        <f t="shared" ca="1" si="7"/>
        <v>9999</v>
      </c>
    </row>
    <row r="91" spans="1:61" x14ac:dyDescent="0.25">
      <c r="A91" s="20">
        <v>26</v>
      </c>
      <c r="B91">
        <f t="shared" ca="1" si="10"/>
        <v>9999</v>
      </c>
      <c r="C91">
        <f t="shared" ca="1" si="10"/>
        <v>9999</v>
      </c>
      <c r="D91">
        <f t="shared" ca="1" si="10"/>
        <v>9999</v>
      </c>
      <c r="E91">
        <f t="shared" ca="1" si="10"/>
        <v>9999</v>
      </c>
      <c r="F91">
        <f t="shared" ca="1" si="10"/>
        <v>9999</v>
      </c>
      <c r="G91">
        <f t="shared" ca="1" si="10"/>
        <v>9999</v>
      </c>
      <c r="H91">
        <f t="shared" ca="1" si="10"/>
        <v>9999</v>
      </c>
      <c r="I91">
        <f t="shared" ca="1" si="10"/>
        <v>9999</v>
      </c>
      <c r="J91">
        <f t="shared" ca="1" si="10"/>
        <v>9999</v>
      </c>
      <c r="K91">
        <f t="shared" ca="1" si="10"/>
        <v>9999</v>
      </c>
      <c r="L91">
        <f t="shared" ca="1" si="10"/>
        <v>9999</v>
      </c>
      <c r="M91">
        <f t="shared" ca="1" si="10"/>
        <v>9999</v>
      </c>
      <c r="N91">
        <f t="shared" ca="1" si="10"/>
        <v>9999</v>
      </c>
      <c r="O91">
        <f t="shared" ca="1" si="10"/>
        <v>9999</v>
      </c>
      <c r="P91">
        <f t="shared" ca="1" si="10"/>
        <v>9999</v>
      </c>
      <c r="Q91">
        <f t="shared" ca="1" si="10"/>
        <v>9999</v>
      </c>
      <c r="R91">
        <f t="shared" ca="1" si="8"/>
        <v>9999</v>
      </c>
      <c r="S91">
        <f t="shared" ca="1" si="8"/>
        <v>9999</v>
      </c>
      <c r="T91">
        <f t="shared" ca="1" si="8"/>
        <v>9999</v>
      </c>
      <c r="U91">
        <f t="shared" ca="1" si="8"/>
        <v>9999</v>
      </c>
      <c r="V91">
        <f t="shared" ca="1" si="8"/>
        <v>9999</v>
      </c>
      <c r="W91">
        <f t="shared" ca="1" si="8"/>
        <v>9999</v>
      </c>
      <c r="X91">
        <f t="shared" ca="1" si="8"/>
        <v>9999</v>
      </c>
      <c r="Y91">
        <f t="shared" ca="1" si="8"/>
        <v>9999</v>
      </c>
      <c r="Z91">
        <f t="shared" ca="1" si="8"/>
        <v>9999</v>
      </c>
      <c r="AA91">
        <f t="shared" ca="1" si="8"/>
        <v>9999</v>
      </c>
      <c r="AB91">
        <f t="shared" ca="1" si="8"/>
        <v>9999</v>
      </c>
      <c r="AC91">
        <f t="shared" ca="1" si="11"/>
        <v>9999</v>
      </c>
      <c r="AD91">
        <f t="shared" ca="1" si="11"/>
        <v>9999</v>
      </c>
      <c r="AE91">
        <f t="shared" ca="1" si="11"/>
        <v>9999</v>
      </c>
      <c r="AF91">
        <f t="shared" ca="1" si="11"/>
        <v>9999</v>
      </c>
      <c r="AG91">
        <f t="shared" ca="1" si="11"/>
        <v>9999</v>
      </c>
      <c r="AH91">
        <f t="shared" ca="1" si="11"/>
        <v>9999</v>
      </c>
      <c r="AI91">
        <f t="shared" ca="1" si="11"/>
        <v>9999</v>
      </c>
      <c r="AJ91">
        <f t="shared" ca="1" si="11"/>
        <v>9999</v>
      </c>
      <c r="AK91">
        <f t="shared" ca="1" si="11"/>
        <v>9999</v>
      </c>
      <c r="AL91">
        <f t="shared" ca="1" si="11"/>
        <v>9999</v>
      </c>
      <c r="AM91">
        <f t="shared" ca="1" si="11"/>
        <v>9999</v>
      </c>
      <c r="AN91">
        <f t="shared" ca="1" si="11"/>
        <v>9999</v>
      </c>
      <c r="AO91">
        <f t="shared" ca="1" si="11"/>
        <v>9999</v>
      </c>
      <c r="AP91">
        <f t="shared" ca="1" si="11"/>
        <v>9999</v>
      </c>
      <c r="AQ91">
        <f t="shared" ca="1" si="11"/>
        <v>9999</v>
      </c>
      <c r="AR91">
        <f t="shared" ca="1" si="11"/>
        <v>9999</v>
      </c>
      <c r="AS91">
        <f t="shared" ca="1" si="9"/>
        <v>9999</v>
      </c>
      <c r="AT91">
        <f t="shared" ca="1" si="9"/>
        <v>9999</v>
      </c>
      <c r="AU91">
        <f t="shared" ca="1" si="9"/>
        <v>9999</v>
      </c>
      <c r="AV91">
        <f t="shared" ca="1" si="9"/>
        <v>9999</v>
      </c>
      <c r="AW91">
        <f t="shared" ca="1" si="9"/>
        <v>9999</v>
      </c>
      <c r="AX91">
        <f t="shared" ca="1" si="9"/>
        <v>9999</v>
      </c>
      <c r="AY91">
        <f t="shared" ca="1" si="9"/>
        <v>9999</v>
      </c>
      <c r="AZ91">
        <f t="shared" ca="1" si="9"/>
        <v>9999</v>
      </c>
      <c r="BA91">
        <f t="shared" ca="1" si="9"/>
        <v>9999</v>
      </c>
      <c r="BB91">
        <f t="shared" ca="1" si="7"/>
        <v>9999</v>
      </c>
      <c r="BC91">
        <f t="shared" ca="1" si="7"/>
        <v>9999</v>
      </c>
      <c r="BD91">
        <f t="shared" ca="1" si="7"/>
        <v>9999</v>
      </c>
      <c r="BE91">
        <f t="shared" ca="1" si="7"/>
        <v>9999</v>
      </c>
      <c r="BF91">
        <f t="shared" ca="1" si="7"/>
        <v>9999</v>
      </c>
      <c r="BG91">
        <f t="shared" ca="1" si="7"/>
        <v>9999</v>
      </c>
      <c r="BH91">
        <f t="shared" ca="1" si="7"/>
        <v>9999</v>
      </c>
      <c r="BI91">
        <f t="shared" ca="1" si="7"/>
        <v>9999</v>
      </c>
    </row>
    <row r="92" spans="1:61" x14ac:dyDescent="0.25">
      <c r="A92" s="20">
        <v>27</v>
      </c>
      <c r="B92">
        <f t="shared" ca="1" si="10"/>
        <v>9999</v>
      </c>
      <c r="C92">
        <f t="shared" ca="1" si="10"/>
        <v>9999</v>
      </c>
      <c r="D92">
        <f t="shared" ca="1" si="10"/>
        <v>9999</v>
      </c>
      <c r="E92">
        <f t="shared" ca="1" si="10"/>
        <v>9999</v>
      </c>
      <c r="F92">
        <f t="shared" ca="1" si="10"/>
        <v>9999</v>
      </c>
      <c r="G92">
        <f t="shared" ca="1" si="10"/>
        <v>9999</v>
      </c>
      <c r="H92">
        <f t="shared" ca="1" si="10"/>
        <v>9999</v>
      </c>
      <c r="I92">
        <f t="shared" ca="1" si="10"/>
        <v>9999</v>
      </c>
      <c r="J92">
        <f t="shared" ca="1" si="10"/>
        <v>9999</v>
      </c>
      <c r="K92">
        <f t="shared" ca="1" si="10"/>
        <v>9999</v>
      </c>
      <c r="L92">
        <f t="shared" ca="1" si="10"/>
        <v>9999</v>
      </c>
      <c r="M92">
        <f t="shared" ca="1" si="10"/>
        <v>9999</v>
      </c>
      <c r="N92">
        <f t="shared" ca="1" si="10"/>
        <v>9999</v>
      </c>
      <c r="O92">
        <f t="shared" ca="1" si="10"/>
        <v>9999</v>
      </c>
      <c r="P92">
        <f t="shared" ca="1" si="10"/>
        <v>9999</v>
      </c>
      <c r="Q92">
        <f t="shared" ca="1" si="10"/>
        <v>9999</v>
      </c>
      <c r="R92">
        <f t="shared" ca="1" si="8"/>
        <v>9999</v>
      </c>
      <c r="S92">
        <f t="shared" ca="1" si="8"/>
        <v>9999</v>
      </c>
      <c r="T92">
        <f t="shared" ca="1" si="8"/>
        <v>9999</v>
      </c>
      <c r="U92">
        <f t="shared" ca="1" si="8"/>
        <v>9999</v>
      </c>
      <c r="V92">
        <f t="shared" ca="1" si="8"/>
        <v>9999</v>
      </c>
      <c r="W92">
        <f t="shared" ca="1" si="8"/>
        <v>9999</v>
      </c>
      <c r="X92">
        <f t="shared" ca="1" si="8"/>
        <v>9999</v>
      </c>
      <c r="Y92">
        <f t="shared" ca="1" si="8"/>
        <v>9999</v>
      </c>
      <c r="Z92">
        <f t="shared" ca="1" si="8"/>
        <v>9999</v>
      </c>
      <c r="AA92">
        <f t="shared" ca="1" si="8"/>
        <v>9999</v>
      </c>
      <c r="AB92">
        <f t="shared" ca="1" si="8"/>
        <v>9999</v>
      </c>
      <c r="AC92">
        <f t="shared" ca="1" si="11"/>
        <v>9999</v>
      </c>
      <c r="AD92">
        <f t="shared" ca="1" si="11"/>
        <v>9999</v>
      </c>
      <c r="AE92">
        <f t="shared" ca="1" si="11"/>
        <v>9999</v>
      </c>
      <c r="AF92">
        <f t="shared" ca="1" si="11"/>
        <v>9999</v>
      </c>
      <c r="AG92">
        <f t="shared" ca="1" si="11"/>
        <v>9999</v>
      </c>
      <c r="AH92">
        <f t="shared" ca="1" si="11"/>
        <v>9999</v>
      </c>
      <c r="AI92">
        <f t="shared" ca="1" si="11"/>
        <v>9999</v>
      </c>
      <c r="AJ92">
        <f t="shared" ca="1" si="11"/>
        <v>9999</v>
      </c>
      <c r="AK92">
        <f t="shared" ca="1" si="11"/>
        <v>9999</v>
      </c>
      <c r="AL92">
        <f t="shared" ca="1" si="11"/>
        <v>9999</v>
      </c>
      <c r="AM92">
        <f t="shared" ca="1" si="11"/>
        <v>9999</v>
      </c>
      <c r="AN92">
        <f t="shared" ca="1" si="11"/>
        <v>9999</v>
      </c>
      <c r="AO92">
        <f t="shared" ca="1" si="11"/>
        <v>9999</v>
      </c>
      <c r="AP92">
        <f t="shared" ca="1" si="11"/>
        <v>9999</v>
      </c>
      <c r="AQ92">
        <f t="shared" ca="1" si="11"/>
        <v>9999</v>
      </c>
      <c r="AR92">
        <f t="shared" ca="1" si="11"/>
        <v>9999</v>
      </c>
      <c r="AS92">
        <f t="shared" ca="1" si="9"/>
        <v>9999</v>
      </c>
      <c r="AT92">
        <f t="shared" ca="1" si="9"/>
        <v>9999</v>
      </c>
      <c r="AU92">
        <f t="shared" ca="1" si="9"/>
        <v>9999</v>
      </c>
      <c r="AV92">
        <f t="shared" ca="1" si="9"/>
        <v>9999</v>
      </c>
      <c r="AW92">
        <f t="shared" ca="1" si="9"/>
        <v>9999</v>
      </c>
      <c r="AX92">
        <f t="shared" ca="1" si="9"/>
        <v>9999</v>
      </c>
      <c r="AY92">
        <f t="shared" ca="1" si="9"/>
        <v>9999</v>
      </c>
      <c r="AZ92">
        <f t="shared" ca="1" si="9"/>
        <v>9999</v>
      </c>
      <c r="BA92">
        <f t="shared" ca="1" si="9"/>
        <v>9999</v>
      </c>
      <c r="BB92">
        <f t="shared" ca="1" si="7"/>
        <v>9999</v>
      </c>
      <c r="BC92">
        <f t="shared" ca="1" si="7"/>
        <v>9999</v>
      </c>
      <c r="BD92">
        <f t="shared" ca="1" si="7"/>
        <v>9999</v>
      </c>
      <c r="BE92">
        <f t="shared" ca="1" si="7"/>
        <v>9999</v>
      </c>
      <c r="BF92">
        <f t="shared" ca="1" si="7"/>
        <v>9999</v>
      </c>
      <c r="BG92">
        <f t="shared" ca="1" si="7"/>
        <v>9999</v>
      </c>
      <c r="BH92">
        <f t="shared" ca="1" si="7"/>
        <v>9999</v>
      </c>
      <c r="BI92">
        <f t="shared" ca="1" si="7"/>
        <v>9999</v>
      </c>
    </row>
    <row r="93" spans="1:61" x14ac:dyDescent="0.25">
      <c r="A93" s="20">
        <v>28</v>
      </c>
      <c r="B93">
        <f t="shared" ca="1" si="10"/>
        <v>9999</v>
      </c>
      <c r="C93">
        <f t="shared" ca="1" si="10"/>
        <v>9999</v>
      </c>
      <c r="D93">
        <f t="shared" ca="1" si="10"/>
        <v>9999</v>
      </c>
      <c r="E93">
        <f t="shared" ca="1" si="10"/>
        <v>9999</v>
      </c>
      <c r="F93">
        <f t="shared" ca="1" si="10"/>
        <v>9999</v>
      </c>
      <c r="G93">
        <f t="shared" ca="1" si="10"/>
        <v>9999</v>
      </c>
      <c r="H93">
        <f t="shared" ca="1" si="10"/>
        <v>9999</v>
      </c>
      <c r="I93">
        <f t="shared" ca="1" si="10"/>
        <v>9999</v>
      </c>
      <c r="J93">
        <f t="shared" ca="1" si="10"/>
        <v>9999</v>
      </c>
      <c r="K93">
        <f t="shared" ca="1" si="10"/>
        <v>9999</v>
      </c>
      <c r="L93">
        <f t="shared" ca="1" si="10"/>
        <v>9999</v>
      </c>
      <c r="M93">
        <f t="shared" ca="1" si="10"/>
        <v>9999</v>
      </c>
      <c r="N93">
        <f t="shared" ca="1" si="10"/>
        <v>9999</v>
      </c>
      <c r="O93">
        <f t="shared" ca="1" si="10"/>
        <v>9999</v>
      </c>
      <c r="P93">
        <f t="shared" ca="1" si="10"/>
        <v>9999</v>
      </c>
      <c r="Q93">
        <f t="shared" ca="1" si="10"/>
        <v>9999</v>
      </c>
      <c r="R93">
        <f t="shared" ca="1" si="8"/>
        <v>9999</v>
      </c>
      <c r="S93">
        <f t="shared" ca="1" si="8"/>
        <v>9999</v>
      </c>
      <c r="T93">
        <f t="shared" ca="1" si="8"/>
        <v>9999</v>
      </c>
      <c r="U93">
        <f t="shared" ca="1" si="8"/>
        <v>9999</v>
      </c>
      <c r="V93">
        <f t="shared" ca="1" si="8"/>
        <v>9999</v>
      </c>
      <c r="W93">
        <f t="shared" ca="1" si="8"/>
        <v>9999</v>
      </c>
      <c r="X93">
        <f t="shared" ca="1" si="8"/>
        <v>9999</v>
      </c>
      <c r="Y93">
        <f t="shared" ca="1" si="8"/>
        <v>9999</v>
      </c>
      <c r="Z93">
        <f t="shared" ca="1" si="8"/>
        <v>9999</v>
      </c>
      <c r="AA93">
        <f t="shared" ca="1" si="8"/>
        <v>9999</v>
      </c>
      <c r="AB93">
        <f t="shared" ca="1" si="8"/>
        <v>9999</v>
      </c>
      <c r="AC93">
        <f t="shared" ca="1" si="11"/>
        <v>9999</v>
      </c>
      <c r="AD93">
        <f t="shared" ca="1" si="11"/>
        <v>9999</v>
      </c>
      <c r="AE93">
        <f t="shared" ca="1" si="11"/>
        <v>9999</v>
      </c>
      <c r="AF93">
        <f t="shared" ca="1" si="11"/>
        <v>9999</v>
      </c>
      <c r="AG93">
        <f t="shared" ca="1" si="11"/>
        <v>9999</v>
      </c>
      <c r="AH93">
        <f t="shared" ca="1" si="11"/>
        <v>9999</v>
      </c>
      <c r="AI93">
        <f t="shared" ca="1" si="11"/>
        <v>9999</v>
      </c>
      <c r="AJ93">
        <f t="shared" ca="1" si="11"/>
        <v>9999</v>
      </c>
      <c r="AK93">
        <f t="shared" ca="1" si="11"/>
        <v>9999</v>
      </c>
      <c r="AL93">
        <f t="shared" ca="1" si="11"/>
        <v>9999</v>
      </c>
      <c r="AM93">
        <f t="shared" ca="1" si="11"/>
        <v>9999</v>
      </c>
      <c r="AN93">
        <f t="shared" ca="1" si="11"/>
        <v>9999</v>
      </c>
      <c r="AO93">
        <f t="shared" ca="1" si="11"/>
        <v>9999</v>
      </c>
      <c r="AP93">
        <f t="shared" ca="1" si="11"/>
        <v>9999</v>
      </c>
      <c r="AQ93">
        <f t="shared" ca="1" si="11"/>
        <v>9999</v>
      </c>
      <c r="AR93">
        <f t="shared" ca="1" si="11"/>
        <v>9999</v>
      </c>
      <c r="AS93">
        <f t="shared" ca="1" si="9"/>
        <v>9999</v>
      </c>
      <c r="AT93">
        <f t="shared" ca="1" si="9"/>
        <v>9999</v>
      </c>
      <c r="AU93">
        <f t="shared" ca="1" si="9"/>
        <v>9999</v>
      </c>
      <c r="AV93">
        <f t="shared" ca="1" si="9"/>
        <v>9999</v>
      </c>
      <c r="AW93">
        <f t="shared" ca="1" si="9"/>
        <v>9999</v>
      </c>
      <c r="AX93">
        <f t="shared" ca="1" si="9"/>
        <v>9999</v>
      </c>
      <c r="AY93">
        <f t="shared" ca="1" si="9"/>
        <v>9999</v>
      </c>
      <c r="AZ93">
        <f t="shared" ca="1" si="9"/>
        <v>9999</v>
      </c>
      <c r="BA93">
        <f t="shared" ca="1" si="9"/>
        <v>9999</v>
      </c>
      <c r="BB93">
        <f t="shared" ca="1" si="7"/>
        <v>9999</v>
      </c>
      <c r="BC93">
        <f t="shared" ca="1" si="7"/>
        <v>9999</v>
      </c>
      <c r="BD93">
        <f t="shared" ca="1" si="7"/>
        <v>9999</v>
      </c>
      <c r="BE93">
        <f t="shared" ca="1" si="7"/>
        <v>9999</v>
      </c>
      <c r="BF93">
        <f t="shared" ca="1" si="7"/>
        <v>9999</v>
      </c>
      <c r="BG93">
        <f t="shared" ca="1" si="7"/>
        <v>9999</v>
      </c>
      <c r="BH93">
        <f t="shared" ca="1" si="7"/>
        <v>9999</v>
      </c>
      <c r="BI93">
        <f t="shared" ca="1" si="7"/>
        <v>9999</v>
      </c>
    </row>
    <row r="94" spans="1:61" x14ac:dyDescent="0.25">
      <c r="A94" s="20">
        <v>29</v>
      </c>
      <c r="B94">
        <f t="shared" ca="1" si="10"/>
        <v>9999</v>
      </c>
      <c r="C94">
        <f t="shared" ca="1" si="10"/>
        <v>9999</v>
      </c>
      <c r="D94">
        <f t="shared" ca="1" si="10"/>
        <v>9999</v>
      </c>
      <c r="E94">
        <f t="shared" ca="1" si="10"/>
        <v>9999</v>
      </c>
      <c r="F94">
        <f t="shared" ca="1" si="10"/>
        <v>9999</v>
      </c>
      <c r="G94">
        <f t="shared" ca="1" si="10"/>
        <v>9999</v>
      </c>
      <c r="H94">
        <f t="shared" ca="1" si="10"/>
        <v>9999</v>
      </c>
      <c r="I94">
        <f t="shared" ca="1" si="10"/>
        <v>9999</v>
      </c>
      <c r="J94">
        <f t="shared" ca="1" si="10"/>
        <v>9999</v>
      </c>
      <c r="K94">
        <f t="shared" ca="1" si="10"/>
        <v>9999</v>
      </c>
      <c r="L94">
        <f t="shared" ca="1" si="10"/>
        <v>9999</v>
      </c>
      <c r="M94">
        <f t="shared" ca="1" si="10"/>
        <v>9999</v>
      </c>
      <c r="N94">
        <f t="shared" ca="1" si="10"/>
        <v>9999</v>
      </c>
      <c r="O94">
        <f t="shared" ca="1" si="10"/>
        <v>9999</v>
      </c>
      <c r="P94">
        <f t="shared" ca="1" si="10"/>
        <v>9999</v>
      </c>
      <c r="Q94">
        <f t="shared" ca="1" si="10"/>
        <v>9999</v>
      </c>
      <c r="R94">
        <f t="shared" ca="1" si="8"/>
        <v>9999</v>
      </c>
      <c r="S94">
        <f t="shared" ca="1" si="8"/>
        <v>9999</v>
      </c>
      <c r="T94">
        <f t="shared" ca="1" si="8"/>
        <v>9999</v>
      </c>
      <c r="U94">
        <f t="shared" ca="1" si="8"/>
        <v>9999</v>
      </c>
      <c r="V94">
        <f t="shared" ca="1" si="8"/>
        <v>9999</v>
      </c>
      <c r="W94">
        <f t="shared" ca="1" si="8"/>
        <v>9999</v>
      </c>
      <c r="X94">
        <f t="shared" ca="1" si="8"/>
        <v>9999</v>
      </c>
      <c r="Y94">
        <f t="shared" ca="1" si="8"/>
        <v>9999</v>
      </c>
      <c r="Z94">
        <f t="shared" ca="1" si="8"/>
        <v>9999</v>
      </c>
      <c r="AA94">
        <f t="shared" ca="1" si="8"/>
        <v>9999</v>
      </c>
      <c r="AB94">
        <f t="shared" ca="1" si="8"/>
        <v>9999</v>
      </c>
      <c r="AC94">
        <f t="shared" ca="1" si="11"/>
        <v>9999</v>
      </c>
      <c r="AD94">
        <f t="shared" ca="1" si="11"/>
        <v>9999</v>
      </c>
      <c r="AE94">
        <f t="shared" ca="1" si="11"/>
        <v>9999</v>
      </c>
      <c r="AF94">
        <f t="shared" ca="1" si="11"/>
        <v>9999</v>
      </c>
      <c r="AG94">
        <f t="shared" ca="1" si="11"/>
        <v>9999</v>
      </c>
      <c r="AH94">
        <f t="shared" ca="1" si="11"/>
        <v>9999</v>
      </c>
      <c r="AI94">
        <f t="shared" ca="1" si="11"/>
        <v>9999</v>
      </c>
      <c r="AJ94">
        <f t="shared" ca="1" si="11"/>
        <v>9999</v>
      </c>
      <c r="AK94">
        <f t="shared" ca="1" si="11"/>
        <v>9999</v>
      </c>
      <c r="AL94">
        <f t="shared" ca="1" si="11"/>
        <v>9999</v>
      </c>
      <c r="AM94">
        <f t="shared" ca="1" si="11"/>
        <v>9999</v>
      </c>
      <c r="AN94">
        <f t="shared" ca="1" si="11"/>
        <v>9999</v>
      </c>
      <c r="AO94">
        <f t="shared" ca="1" si="11"/>
        <v>9999</v>
      </c>
      <c r="AP94">
        <f t="shared" ca="1" si="11"/>
        <v>9999</v>
      </c>
      <c r="AQ94">
        <f t="shared" ca="1" si="11"/>
        <v>9999</v>
      </c>
      <c r="AR94">
        <f t="shared" ca="1" si="11"/>
        <v>9999</v>
      </c>
      <c r="AS94">
        <f t="shared" ca="1" si="9"/>
        <v>9999</v>
      </c>
      <c r="AT94">
        <f t="shared" ca="1" si="9"/>
        <v>9999</v>
      </c>
      <c r="AU94">
        <f t="shared" ca="1" si="9"/>
        <v>9999</v>
      </c>
      <c r="AV94">
        <f t="shared" ca="1" si="9"/>
        <v>9999</v>
      </c>
      <c r="AW94">
        <f t="shared" ca="1" si="9"/>
        <v>9999</v>
      </c>
      <c r="AX94">
        <f t="shared" ca="1" si="9"/>
        <v>9999</v>
      </c>
      <c r="AY94">
        <f t="shared" ca="1" si="9"/>
        <v>9999</v>
      </c>
      <c r="AZ94">
        <f t="shared" ca="1" si="9"/>
        <v>9999</v>
      </c>
      <c r="BA94">
        <f t="shared" ca="1" si="9"/>
        <v>9999</v>
      </c>
      <c r="BB94">
        <f t="shared" ca="1" si="7"/>
        <v>9999</v>
      </c>
      <c r="BC94">
        <f t="shared" ca="1" si="7"/>
        <v>9999</v>
      </c>
      <c r="BD94">
        <f t="shared" ca="1" si="7"/>
        <v>9999</v>
      </c>
      <c r="BE94">
        <f t="shared" ca="1" si="7"/>
        <v>9999</v>
      </c>
      <c r="BF94">
        <f t="shared" ca="1" si="7"/>
        <v>9999</v>
      </c>
      <c r="BG94">
        <f t="shared" ca="1" si="7"/>
        <v>9999</v>
      </c>
      <c r="BH94">
        <f t="shared" ca="1" si="7"/>
        <v>9999</v>
      </c>
      <c r="BI94">
        <f t="shared" ca="1" si="7"/>
        <v>9999</v>
      </c>
    </row>
    <row r="95" spans="1:61" x14ac:dyDescent="0.25">
      <c r="A95" s="20">
        <v>30</v>
      </c>
      <c r="B95">
        <f t="shared" ca="1" si="10"/>
        <v>9999</v>
      </c>
      <c r="C95">
        <f t="shared" ca="1" si="10"/>
        <v>9999</v>
      </c>
      <c r="D95">
        <f t="shared" ca="1" si="10"/>
        <v>9999</v>
      </c>
      <c r="E95">
        <f t="shared" ca="1" si="10"/>
        <v>9999</v>
      </c>
      <c r="F95">
        <f t="shared" ca="1" si="10"/>
        <v>9999</v>
      </c>
      <c r="G95">
        <f t="shared" ca="1" si="10"/>
        <v>9999</v>
      </c>
      <c r="H95">
        <f t="shared" ca="1" si="10"/>
        <v>9999</v>
      </c>
      <c r="I95">
        <f t="shared" ca="1" si="10"/>
        <v>9999</v>
      </c>
      <c r="J95">
        <f t="shared" ca="1" si="10"/>
        <v>9999</v>
      </c>
      <c r="K95">
        <f t="shared" ca="1" si="10"/>
        <v>9999</v>
      </c>
      <c r="L95">
        <f t="shared" ca="1" si="10"/>
        <v>9999</v>
      </c>
      <c r="M95">
        <f t="shared" ca="1" si="10"/>
        <v>9999</v>
      </c>
      <c r="N95">
        <f t="shared" ca="1" si="10"/>
        <v>9999</v>
      </c>
      <c r="O95">
        <f t="shared" ca="1" si="10"/>
        <v>9999</v>
      </c>
      <c r="P95">
        <f t="shared" ca="1" si="10"/>
        <v>9999</v>
      </c>
      <c r="Q95">
        <f t="shared" ca="1" si="10"/>
        <v>9999</v>
      </c>
      <c r="R95">
        <f t="shared" ca="1" si="8"/>
        <v>9999</v>
      </c>
      <c r="S95">
        <f t="shared" ca="1" si="8"/>
        <v>9999</v>
      </c>
      <c r="T95">
        <f t="shared" ca="1" si="8"/>
        <v>9999</v>
      </c>
      <c r="U95">
        <f t="shared" ca="1" si="8"/>
        <v>9999</v>
      </c>
      <c r="V95">
        <f t="shared" ca="1" si="8"/>
        <v>9999</v>
      </c>
      <c r="W95">
        <f t="shared" ca="1" si="8"/>
        <v>9999</v>
      </c>
      <c r="X95">
        <f t="shared" ca="1" si="8"/>
        <v>9999</v>
      </c>
      <c r="Y95">
        <f t="shared" ca="1" si="8"/>
        <v>9999</v>
      </c>
      <c r="Z95">
        <f t="shared" ca="1" si="8"/>
        <v>9999</v>
      </c>
      <c r="AA95">
        <f t="shared" ca="1" si="8"/>
        <v>9999</v>
      </c>
      <c r="AB95">
        <f t="shared" ca="1" si="8"/>
        <v>9999</v>
      </c>
      <c r="AC95">
        <f t="shared" ca="1" si="11"/>
        <v>9999</v>
      </c>
      <c r="AD95">
        <f t="shared" ca="1" si="11"/>
        <v>9999</v>
      </c>
      <c r="AE95">
        <f t="shared" ca="1" si="11"/>
        <v>9999</v>
      </c>
      <c r="AF95">
        <f t="shared" ca="1" si="11"/>
        <v>9999</v>
      </c>
      <c r="AG95">
        <f t="shared" ca="1" si="11"/>
        <v>9999</v>
      </c>
      <c r="AH95">
        <f t="shared" ca="1" si="11"/>
        <v>9999</v>
      </c>
      <c r="AI95">
        <f t="shared" ca="1" si="11"/>
        <v>9999</v>
      </c>
      <c r="AJ95">
        <f t="shared" ca="1" si="11"/>
        <v>9999</v>
      </c>
      <c r="AK95">
        <f t="shared" ca="1" si="11"/>
        <v>9999</v>
      </c>
      <c r="AL95">
        <f t="shared" ca="1" si="11"/>
        <v>9999</v>
      </c>
      <c r="AM95">
        <f t="shared" ca="1" si="11"/>
        <v>9999</v>
      </c>
      <c r="AN95">
        <f t="shared" ca="1" si="11"/>
        <v>9999</v>
      </c>
      <c r="AO95">
        <f t="shared" ca="1" si="11"/>
        <v>9999</v>
      </c>
      <c r="AP95">
        <f t="shared" ca="1" si="11"/>
        <v>9999</v>
      </c>
      <c r="AQ95">
        <f t="shared" ca="1" si="11"/>
        <v>9999</v>
      </c>
      <c r="AR95">
        <f t="shared" ca="1" si="11"/>
        <v>9999</v>
      </c>
      <c r="AS95">
        <f t="shared" ca="1" si="9"/>
        <v>9999</v>
      </c>
      <c r="AT95">
        <f t="shared" ca="1" si="9"/>
        <v>9999</v>
      </c>
      <c r="AU95">
        <f t="shared" ca="1" si="9"/>
        <v>9999</v>
      </c>
      <c r="AV95">
        <f t="shared" ca="1" si="9"/>
        <v>9999</v>
      </c>
      <c r="AW95">
        <f t="shared" ca="1" si="9"/>
        <v>9999</v>
      </c>
      <c r="AX95">
        <f t="shared" ca="1" si="9"/>
        <v>9999</v>
      </c>
      <c r="AY95">
        <f t="shared" ca="1" si="9"/>
        <v>9999</v>
      </c>
      <c r="AZ95">
        <f t="shared" ca="1" si="9"/>
        <v>9999</v>
      </c>
      <c r="BA95">
        <f t="shared" ca="1" si="9"/>
        <v>9999</v>
      </c>
      <c r="BB95">
        <f t="shared" ca="1" si="7"/>
        <v>9999</v>
      </c>
      <c r="BC95">
        <f t="shared" ca="1" si="7"/>
        <v>9999</v>
      </c>
      <c r="BD95">
        <f t="shared" ca="1" si="7"/>
        <v>9999</v>
      </c>
      <c r="BE95">
        <f t="shared" ca="1" si="7"/>
        <v>9999</v>
      </c>
      <c r="BF95">
        <f t="shared" ca="1" si="7"/>
        <v>9999</v>
      </c>
      <c r="BG95">
        <f t="shared" ca="1" si="7"/>
        <v>9999</v>
      </c>
      <c r="BH95">
        <f t="shared" ca="1" si="7"/>
        <v>9999</v>
      </c>
      <c r="BI95">
        <f t="shared" ca="1" si="7"/>
        <v>9999</v>
      </c>
    </row>
    <row r="96" spans="1:61" x14ac:dyDescent="0.25">
      <c r="A96" s="20">
        <v>31</v>
      </c>
      <c r="B96">
        <f t="shared" ca="1" si="10"/>
        <v>9999</v>
      </c>
      <c r="C96">
        <f t="shared" ca="1" si="10"/>
        <v>9999</v>
      </c>
      <c r="D96">
        <f t="shared" ca="1" si="10"/>
        <v>9999</v>
      </c>
      <c r="E96">
        <f t="shared" ca="1" si="10"/>
        <v>9999</v>
      </c>
      <c r="F96">
        <f t="shared" ca="1" si="10"/>
        <v>9999</v>
      </c>
      <c r="G96">
        <f t="shared" ca="1" si="10"/>
        <v>9999</v>
      </c>
      <c r="H96">
        <f t="shared" ca="1" si="10"/>
        <v>9999</v>
      </c>
      <c r="I96">
        <f t="shared" ca="1" si="10"/>
        <v>9999</v>
      </c>
      <c r="J96">
        <f t="shared" ca="1" si="10"/>
        <v>9999</v>
      </c>
      <c r="K96">
        <f t="shared" ca="1" si="10"/>
        <v>9999</v>
      </c>
      <c r="L96">
        <f t="shared" ca="1" si="10"/>
        <v>9999</v>
      </c>
      <c r="M96">
        <f t="shared" ca="1" si="10"/>
        <v>9999</v>
      </c>
      <c r="N96">
        <f t="shared" ca="1" si="10"/>
        <v>9999</v>
      </c>
      <c r="O96">
        <f t="shared" ca="1" si="10"/>
        <v>9999</v>
      </c>
      <c r="P96">
        <f t="shared" ca="1" si="10"/>
        <v>9999</v>
      </c>
      <c r="Q96">
        <f t="shared" ca="1" si="10"/>
        <v>9999</v>
      </c>
      <c r="R96">
        <f t="shared" ca="1" si="8"/>
        <v>9999</v>
      </c>
      <c r="S96">
        <f t="shared" ca="1" si="8"/>
        <v>9999</v>
      </c>
      <c r="T96">
        <f t="shared" ca="1" si="8"/>
        <v>9999</v>
      </c>
      <c r="U96">
        <f t="shared" ca="1" si="8"/>
        <v>9999</v>
      </c>
      <c r="V96">
        <f t="shared" ca="1" si="8"/>
        <v>9999</v>
      </c>
      <c r="W96">
        <f t="shared" ca="1" si="8"/>
        <v>9999</v>
      </c>
      <c r="X96">
        <f t="shared" ca="1" si="8"/>
        <v>9999</v>
      </c>
      <c r="Y96">
        <f t="shared" ca="1" si="8"/>
        <v>9999</v>
      </c>
      <c r="Z96">
        <f t="shared" ca="1" si="8"/>
        <v>9999</v>
      </c>
      <c r="AA96">
        <f t="shared" ca="1" si="8"/>
        <v>9999</v>
      </c>
      <c r="AB96">
        <f t="shared" ca="1" si="8"/>
        <v>9999</v>
      </c>
      <c r="AC96">
        <f t="shared" ca="1" si="11"/>
        <v>9999</v>
      </c>
      <c r="AD96">
        <f t="shared" ca="1" si="11"/>
        <v>9999</v>
      </c>
      <c r="AE96">
        <f t="shared" ca="1" si="11"/>
        <v>9999</v>
      </c>
      <c r="AF96">
        <f t="shared" ca="1" si="11"/>
        <v>9999</v>
      </c>
      <c r="AG96">
        <f t="shared" ca="1" si="11"/>
        <v>9999</v>
      </c>
      <c r="AH96">
        <f t="shared" ca="1" si="11"/>
        <v>9999</v>
      </c>
      <c r="AI96">
        <f t="shared" ca="1" si="11"/>
        <v>9999</v>
      </c>
      <c r="AJ96">
        <f t="shared" ca="1" si="11"/>
        <v>9999</v>
      </c>
      <c r="AK96">
        <f t="shared" ca="1" si="11"/>
        <v>9999</v>
      </c>
      <c r="AL96">
        <f t="shared" ca="1" si="11"/>
        <v>9999</v>
      </c>
      <c r="AM96">
        <f t="shared" ca="1" si="11"/>
        <v>9999</v>
      </c>
      <c r="AN96">
        <f t="shared" ca="1" si="11"/>
        <v>9999</v>
      </c>
      <c r="AO96">
        <f t="shared" ca="1" si="11"/>
        <v>9999</v>
      </c>
      <c r="AP96">
        <f t="shared" ca="1" si="11"/>
        <v>9999</v>
      </c>
      <c r="AQ96">
        <f t="shared" ca="1" si="11"/>
        <v>9999</v>
      </c>
      <c r="AR96">
        <f t="shared" ca="1" si="11"/>
        <v>9999</v>
      </c>
      <c r="AS96">
        <f t="shared" ca="1" si="9"/>
        <v>9999</v>
      </c>
      <c r="AT96">
        <f t="shared" ca="1" si="9"/>
        <v>9999</v>
      </c>
      <c r="AU96">
        <f t="shared" ca="1" si="9"/>
        <v>9999</v>
      </c>
      <c r="AV96">
        <f t="shared" ca="1" si="9"/>
        <v>9999</v>
      </c>
      <c r="AW96">
        <f t="shared" ca="1" si="9"/>
        <v>9999</v>
      </c>
      <c r="AX96">
        <f t="shared" ca="1" si="9"/>
        <v>9999</v>
      </c>
      <c r="AY96">
        <f t="shared" ca="1" si="9"/>
        <v>9999</v>
      </c>
      <c r="AZ96">
        <f t="shared" ca="1" si="9"/>
        <v>9999</v>
      </c>
      <c r="BA96">
        <f t="shared" ca="1" si="9"/>
        <v>9999</v>
      </c>
      <c r="BB96">
        <f t="shared" ca="1" si="7"/>
        <v>9999</v>
      </c>
      <c r="BC96">
        <f t="shared" ca="1" si="7"/>
        <v>9999</v>
      </c>
      <c r="BD96">
        <f t="shared" ca="1" si="7"/>
        <v>9999</v>
      </c>
      <c r="BE96">
        <f t="shared" ca="1" si="7"/>
        <v>9999</v>
      </c>
      <c r="BF96">
        <f t="shared" ca="1" si="7"/>
        <v>9999</v>
      </c>
      <c r="BG96">
        <f t="shared" ca="1" si="7"/>
        <v>9999</v>
      </c>
      <c r="BH96">
        <f t="shared" ca="1" si="7"/>
        <v>9999</v>
      </c>
      <c r="BI96">
        <f t="shared" ca="1" si="7"/>
        <v>9999</v>
      </c>
    </row>
    <row r="97" spans="1:61" x14ac:dyDescent="0.25">
      <c r="A97" s="20">
        <v>32</v>
      </c>
      <c r="B97">
        <f t="shared" ca="1" si="10"/>
        <v>9999</v>
      </c>
      <c r="C97">
        <f t="shared" ca="1" si="10"/>
        <v>9999</v>
      </c>
      <c r="D97">
        <f t="shared" ca="1" si="10"/>
        <v>9999</v>
      </c>
      <c r="E97">
        <f t="shared" ca="1" si="10"/>
        <v>9999</v>
      </c>
      <c r="F97">
        <f t="shared" ca="1" si="10"/>
        <v>9999</v>
      </c>
      <c r="G97">
        <f t="shared" ca="1" si="10"/>
        <v>9999</v>
      </c>
      <c r="H97">
        <f t="shared" ca="1" si="10"/>
        <v>9999</v>
      </c>
      <c r="I97">
        <f t="shared" ca="1" si="10"/>
        <v>9999</v>
      </c>
      <c r="J97">
        <f t="shared" ca="1" si="10"/>
        <v>9999</v>
      </c>
      <c r="K97">
        <f t="shared" ca="1" si="10"/>
        <v>9999</v>
      </c>
      <c r="L97">
        <f t="shared" ca="1" si="10"/>
        <v>9999</v>
      </c>
      <c r="M97">
        <f t="shared" ca="1" si="10"/>
        <v>9999</v>
      </c>
      <c r="N97">
        <f t="shared" ca="1" si="10"/>
        <v>9999</v>
      </c>
      <c r="O97">
        <f t="shared" ca="1" si="10"/>
        <v>9999</v>
      </c>
      <c r="P97">
        <f t="shared" ca="1" si="10"/>
        <v>9999</v>
      </c>
      <c r="Q97">
        <f t="shared" ca="1" si="10"/>
        <v>9999</v>
      </c>
      <c r="R97">
        <f t="shared" ca="1" si="8"/>
        <v>9999</v>
      </c>
      <c r="S97">
        <f t="shared" ca="1" si="8"/>
        <v>9999</v>
      </c>
      <c r="T97">
        <f t="shared" ca="1" si="8"/>
        <v>9999</v>
      </c>
      <c r="U97">
        <f t="shared" ca="1" si="8"/>
        <v>9999</v>
      </c>
      <c r="V97">
        <f t="shared" ca="1" si="8"/>
        <v>9999</v>
      </c>
      <c r="W97">
        <f t="shared" ca="1" si="8"/>
        <v>9999</v>
      </c>
      <c r="X97">
        <f t="shared" ca="1" si="8"/>
        <v>9999</v>
      </c>
      <c r="Y97">
        <f t="shared" ca="1" si="8"/>
        <v>9999</v>
      </c>
      <c r="Z97">
        <f t="shared" ca="1" si="8"/>
        <v>9999</v>
      </c>
      <c r="AA97">
        <f t="shared" ca="1" si="8"/>
        <v>9999</v>
      </c>
      <c r="AB97">
        <f t="shared" ca="1" si="8"/>
        <v>9999</v>
      </c>
      <c r="AC97">
        <f t="shared" ca="1" si="11"/>
        <v>9999</v>
      </c>
      <c r="AD97">
        <f t="shared" ca="1" si="11"/>
        <v>9999</v>
      </c>
      <c r="AE97">
        <f t="shared" ca="1" si="11"/>
        <v>9999</v>
      </c>
      <c r="AF97">
        <f t="shared" ca="1" si="11"/>
        <v>9999</v>
      </c>
      <c r="AG97">
        <f t="shared" ca="1" si="11"/>
        <v>9999</v>
      </c>
      <c r="AH97">
        <f t="shared" ca="1" si="11"/>
        <v>9999</v>
      </c>
      <c r="AI97">
        <f t="shared" ca="1" si="11"/>
        <v>9999</v>
      </c>
      <c r="AJ97">
        <f t="shared" ca="1" si="11"/>
        <v>9999</v>
      </c>
      <c r="AK97">
        <f t="shared" ca="1" si="11"/>
        <v>9999</v>
      </c>
      <c r="AL97">
        <f t="shared" ca="1" si="11"/>
        <v>9999</v>
      </c>
      <c r="AM97">
        <f t="shared" ca="1" si="11"/>
        <v>9999</v>
      </c>
      <c r="AN97">
        <f t="shared" ca="1" si="11"/>
        <v>9999</v>
      </c>
      <c r="AO97">
        <f t="shared" ca="1" si="11"/>
        <v>9999</v>
      </c>
      <c r="AP97">
        <f t="shared" ca="1" si="11"/>
        <v>9999</v>
      </c>
      <c r="AQ97">
        <f t="shared" ca="1" si="11"/>
        <v>9999</v>
      </c>
      <c r="AR97">
        <f t="shared" ca="1" si="11"/>
        <v>9999</v>
      </c>
      <c r="AS97">
        <f t="shared" ca="1" si="9"/>
        <v>9999</v>
      </c>
      <c r="AT97">
        <f t="shared" ca="1" si="9"/>
        <v>9999</v>
      </c>
      <c r="AU97">
        <f t="shared" ca="1" si="9"/>
        <v>9999</v>
      </c>
      <c r="AV97">
        <f t="shared" ca="1" si="9"/>
        <v>9999</v>
      </c>
      <c r="AW97">
        <f t="shared" ca="1" si="9"/>
        <v>9999</v>
      </c>
      <c r="AX97">
        <f t="shared" ca="1" si="9"/>
        <v>9999</v>
      </c>
      <c r="AY97">
        <f t="shared" ca="1" si="9"/>
        <v>9999</v>
      </c>
      <c r="AZ97">
        <f t="shared" ca="1" si="9"/>
        <v>9999</v>
      </c>
      <c r="BA97">
        <f t="shared" ca="1" si="9"/>
        <v>9999</v>
      </c>
      <c r="BB97">
        <f t="shared" ca="1" si="7"/>
        <v>9999</v>
      </c>
      <c r="BC97">
        <f t="shared" ca="1" si="7"/>
        <v>9999</v>
      </c>
      <c r="BD97">
        <f t="shared" ca="1" si="7"/>
        <v>9999</v>
      </c>
      <c r="BE97">
        <f t="shared" ca="1" si="7"/>
        <v>9999</v>
      </c>
      <c r="BF97">
        <f t="shared" ca="1" si="7"/>
        <v>9999</v>
      </c>
      <c r="BG97">
        <f t="shared" ca="1" si="7"/>
        <v>9999</v>
      </c>
      <c r="BH97">
        <f t="shared" ca="1" si="7"/>
        <v>9999</v>
      </c>
      <c r="BI97">
        <f t="shared" ca="1" si="7"/>
        <v>9999</v>
      </c>
    </row>
    <row r="98" spans="1:61" x14ac:dyDescent="0.25">
      <c r="A98" s="20">
        <v>33</v>
      </c>
      <c r="B98">
        <f t="shared" ca="1" si="10"/>
        <v>9999</v>
      </c>
      <c r="C98">
        <f t="shared" ca="1" si="10"/>
        <v>9999</v>
      </c>
      <c r="D98">
        <f t="shared" ca="1" si="10"/>
        <v>9999</v>
      </c>
      <c r="E98">
        <f t="shared" ca="1" si="10"/>
        <v>9999</v>
      </c>
      <c r="F98">
        <f t="shared" ca="1" si="10"/>
        <v>9999</v>
      </c>
      <c r="G98">
        <f t="shared" ca="1" si="10"/>
        <v>9999</v>
      </c>
      <c r="H98">
        <f t="shared" ca="1" si="10"/>
        <v>9999</v>
      </c>
      <c r="I98">
        <f t="shared" ca="1" si="10"/>
        <v>9999</v>
      </c>
      <c r="J98">
        <f t="shared" ca="1" si="10"/>
        <v>9999</v>
      </c>
      <c r="K98">
        <f t="shared" ca="1" si="10"/>
        <v>9999</v>
      </c>
      <c r="L98">
        <f t="shared" ca="1" si="10"/>
        <v>9999</v>
      </c>
      <c r="M98">
        <f t="shared" ca="1" si="10"/>
        <v>9999</v>
      </c>
      <c r="N98">
        <f t="shared" ca="1" si="10"/>
        <v>9999</v>
      </c>
      <c r="O98">
        <f t="shared" ca="1" si="10"/>
        <v>9999</v>
      </c>
      <c r="P98">
        <f t="shared" ca="1" si="10"/>
        <v>9999</v>
      </c>
      <c r="Q98">
        <f t="shared" ca="1" si="10"/>
        <v>9999</v>
      </c>
      <c r="R98">
        <f t="shared" ca="1" si="8"/>
        <v>9999</v>
      </c>
      <c r="S98">
        <f t="shared" ca="1" si="8"/>
        <v>9999</v>
      </c>
      <c r="T98">
        <f t="shared" ca="1" si="8"/>
        <v>9999</v>
      </c>
      <c r="U98">
        <f t="shared" ca="1" si="8"/>
        <v>9999</v>
      </c>
      <c r="V98">
        <f t="shared" ca="1" si="8"/>
        <v>9999</v>
      </c>
      <c r="W98">
        <f t="shared" ca="1" si="8"/>
        <v>9999</v>
      </c>
      <c r="X98">
        <f t="shared" ca="1" si="8"/>
        <v>9999</v>
      </c>
      <c r="Y98">
        <f t="shared" ca="1" si="8"/>
        <v>9999</v>
      </c>
      <c r="Z98">
        <f t="shared" ca="1" si="8"/>
        <v>9999</v>
      </c>
      <c r="AA98">
        <f t="shared" ca="1" si="8"/>
        <v>9999</v>
      </c>
      <c r="AB98">
        <f t="shared" ca="1" si="8"/>
        <v>9999</v>
      </c>
      <c r="AC98">
        <f t="shared" ca="1" si="11"/>
        <v>9999</v>
      </c>
      <c r="AD98">
        <f t="shared" ca="1" si="11"/>
        <v>136</v>
      </c>
      <c r="AE98">
        <f t="shared" ca="1" si="11"/>
        <v>137</v>
      </c>
      <c r="AF98">
        <f t="shared" ca="1" si="11"/>
        <v>138</v>
      </c>
      <c r="AG98">
        <f t="shared" ca="1" si="11"/>
        <v>139</v>
      </c>
      <c r="AH98">
        <f t="shared" ca="1" si="11"/>
        <v>140</v>
      </c>
      <c r="AI98">
        <f t="shared" ca="1" si="11"/>
        <v>141</v>
      </c>
      <c r="AJ98">
        <f t="shared" ca="1" si="11"/>
        <v>142</v>
      </c>
      <c r="AK98">
        <f t="shared" ca="1" si="11"/>
        <v>143</v>
      </c>
      <c r="AL98">
        <f t="shared" ca="1" si="11"/>
        <v>144</v>
      </c>
      <c r="AM98">
        <f t="shared" ca="1" si="11"/>
        <v>145</v>
      </c>
      <c r="AN98">
        <f t="shared" ca="1" si="11"/>
        <v>146</v>
      </c>
      <c r="AO98">
        <f t="shared" ca="1" si="11"/>
        <v>147</v>
      </c>
      <c r="AP98">
        <f t="shared" ca="1" si="11"/>
        <v>148</v>
      </c>
      <c r="AQ98">
        <f t="shared" ca="1" si="11"/>
        <v>149</v>
      </c>
      <c r="AR98">
        <f t="shared" ca="1" si="11"/>
        <v>150</v>
      </c>
      <c r="AS98">
        <f t="shared" ca="1" si="9"/>
        <v>151</v>
      </c>
      <c r="AT98">
        <f t="shared" ca="1" si="9"/>
        <v>152</v>
      </c>
      <c r="AU98">
        <f t="shared" ca="1" si="9"/>
        <v>153</v>
      </c>
      <c r="AV98">
        <f t="shared" ca="1" si="9"/>
        <v>154</v>
      </c>
      <c r="AW98">
        <f t="shared" ca="1" si="9"/>
        <v>155</v>
      </c>
      <c r="AX98">
        <f t="shared" ca="1" si="9"/>
        <v>156</v>
      </c>
      <c r="AY98">
        <f t="shared" ca="1" si="9"/>
        <v>157</v>
      </c>
      <c r="AZ98">
        <f t="shared" ca="1" si="9"/>
        <v>158</v>
      </c>
      <c r="BA98">
        <f t="shared" ca="1" si="9"/>
        <v>159</v>
      </c>
      <c r="BB98">
        <f t="shared" ca="1" si="7"/>
        <v>160</v>
      </c>
      <c r="BC98">
        <f t="shared" ca="1" si="7"/>
        <v>161</v>
      </c>
      <c r="BD98">
        <f t="shared" ca="1" si="7"/>
        <v>162</v>
      </c>
      <c r="BE98">
        <f t="shared" ca="1" si="7"/>
        <v>163</v>
      </c>
      <c r="BF98">
        <f t="shared" ca="1" si="7"/>
        <v>164</v>
      </c>
      <c r="BG98">
        <f t="shared" ca="1" si="7"/>
        <v>165</v>
      </c>
      <c r="BH98">
        <f t="shared" ca="1" si="7"/>
        <v>166</v>
      </c>
      <c r="BI98">
        <f t="shared" ca="1" si="7"/>
        <v>167</v>
      </c>
    </row>
    <row r="99" spans="1:61" x14ac:dyDescent="0.25">
      <c r="A99" s="20">
        <v>34</v>
      </c>
      <c r="B99">
        <f t="shared" ca="1" si="10"/>
        <v>9999</v>
      </c>
      <c r="C99">
        <f t="shared" ca="1" si="10"/>
        <v>9999</v>
      </c>
      <c r="D99">
        <f t="shared" ca="1" si="10"/>
        <v>9999</v>
      </c>
      <c r="E99">
        <f t="shared" ca="1" si="10"/>
        <v>9999</v>
      </c>
      <c r="F99">
        <f t="shared" ca="1" si="10"/>
        <v>9999</v>
      </c>
      <c r="G99">
        <f t="shared" ca="1" si="10"/>
        <v>9999</v>
      </c>
      <c r="H99">
        <f t="shared" ca="1" si="10"/>
        <v>9999</v>
      </c>
      <c r="I99">
        <f t="shared" ca="1" si="10"/>
        <v>9999</v>
      </c>
      <c r="J99">
        <f t="shared" ca="1" si="10"/>
        <v>9999</v>
      </c>
      <c r="K99">
        <f t="shared" ca="1" si="10"/>
        <v>9999</v>
      </c>
      <c r="L99">
        <f t="shared" ca="1" si="10"/>
        <v>9999</v>
      </c>
      <c r="M99">
        <f t="shared" ca="1" si="10"/>
        <v>9999</v>
      </c>
      <c r="N99">
        <f t="shared" ca="1" si="10"/>
        <v>9999</v>
      </c>
      <c r="O99">
        <f t="shared" ca="1" si="10"/>
        <v>9999</v>
      </c>
      <c r="P99">
        <f t="shared" ca="1" si="10"/>
        <v>9999</v>
      </c>
      <c r="Q99">
        <f t="shared" ca="1" si="10"/>
        <v>9999</v>
      </c>
      <c r="R99">
        <f t="shared" ca="1" si="8"/>
        <v>9999</v>
      </c>
      <c r="S99">
        <f t="shared" ca="1" si="8"/>
        <v>9999</v>
      </c>
      <c r="T99">
        <f t="shared" ca="1" si="8"/>
        <v>9999</v>
      </c>
      <c r="U99">
        <f t="shared" ca="1" si="8"/>
        <v>9999</v>
      </c>
      <c r="V99">
        <f t="shared" ca="1" si="8"/>
        <v>9999</v>
      </c>
      <c r="W99">
        <f t="shared" ca="1" si="8"/>
        <v>9999</v>
      </c>
      <c r="X99">
        <f t="shared" ca="1" si="8"/>
        <v>9999</v>
      </c>
      <c r="Y99">
        <f t="shared" ca="1" si="8"/>
        <v>9999</v>
      </c>
      <c r="Z99">
        <f t="shared" ca="1" si="8"/>
        <v>9999</v>
      </c>
      <c r="AA99">
        <f t="shared" ca="1" si="8"/>
        <v>9999</v>
      </c>
      <c r="AB99">
        <f t="shared" ca="1" si="8"/>
        <v>9999</v>
      </c>
      <c r="AC99">
        <f t="shared" ca="1" si="11"/>
        <v>9999</v>
      </c>
      <c r="AD99">
        <f t="shared" ca="1" si="11"/>
        <v>168</v>
      </c>
      <c r="AE99">
        <f t="shared" ca="1" si="11"/>
        <v>169</v>
      </c>
      <c r="AF99">
        <f t="shared" ca="1" si="11"/>
        <v>170</v>
      </c>
      <c r="AG99">
        <f t="shared" ca="1" si="11"/>
        <v>171</v>
      </c>
      <c r="AH99">
        <f t="shared" ca="1" si="11"/>
        <v>172</v>
      </c>
      <c r="AI99">
        <f t="shared" ca="1" si="11"/>
        <v>173</v>
      </c>
      <c r="AJ99">
        <f t="shared" ca="1" si="11"/>
        <v>174</v>
      </c>
      <c r="AK99">
        <f t="shared" ca="1" si="11"/>
        <v>175</v>
      </c>
      <c r="AL99">
        <f t="shared" ca="1" si="11"/>
        <v>176</v>
      </c>
      <c r="AM99">
        <f t="shared" ca="1" si="11"/>
        <v>177</v>
      </c>
      <c r="AN99">
        <f t="shared" ca="1" si="11"/>
        <v>178</v>
      </c>
      <c r="AO99">
        <f t="shared" ca="1" si="11"/>
        <v>179</v>
      </c>
      <c r="AP99">
        <f t="shared" ca="1" si="11"/>
        <v>180</v>
      </c>
      <c r="AQ99">
        <f t="shared" ca="1" si="11"/>
        <v>181</v>
      </c>
      <c r="AR99">
        <f t="shared" ca="1" si="11"/>
        <v>182</v>
      </c>
      <c r="AS99">
        <f t="shared" ca="1" si="9"/>
        <v>183</v>
      </c>
      <c r="AT99">
        <f t="shared" ca="1" si="9"/>
        <v>184</v>
      </c>
      <c r="AU99">
        <f t="shared" ca="1" si="9"/>
        <v>185</v>
      </c>
      <c r="AV99">
        <f t="shared" ca="1" si="9"/>
        <v>186</v>
      </c>
      <c r="AW99">
        <f t="shared" ca="1" si="9"/>
        <v>187</v>
      </c>
      <c r="AX99">
        <f t="shared" ca="1" si="9"/>
        <v>188</v>
      </c>
      <c r="AY99">
        <f t="shared" ca="1" si="9"/>
        <v>189</v>
      </c>
      <c r="AZ99">
        <f t="shared" ca="1" si="9"/>
        <v>190</v>
      </c>
      <c r="BA99">
        <f t="shared" ca="1" si="9"/>
        <v>191</v>
      </c>
      <c r="BB99">
        <f t="shared" ca="1" si="7"/>
        <v>192</v>
      </c>
      <c r="BC99">
        <f t="shared" ca="1" si="7"/>
        <v>193</v>
      </c>
      <c r="BD99">
        <f t="shared" ca="1" si="7"/>
        <v>194</v>
      </c>
      <c r="BE99">
        <f t="shared" ca="1" si="7"/>
        <v>195</v>
      </c>
      <c r="BF99">
        <f t="shared" ca="1" si="7"/>
        <v>196</v>
      </c>
      <c r="BG99">
        <f t="shared" ca="1" si="7"/>
        <v>197</v>
      </c>
      <c r="BH99">
        <f t="shared" ca="1" si="7"/>
        <v>198</v>
      </c>
      <c r="BI99">
        <f t="shared" ca="1" si="7"/>
        <v>199</v>
      </c>
    </row>
    <row r="100" spans="1:61" x14ac:dyDescent="0.25">
      <c r="A100" s="20">
        <v>35</v>
      </c>
      <c r="B100">
        <f t="shared" ca="1" si="10"/>
        <v>9999</v>
      </c>
      <c r="C100">
        <f t="shared" ca="1" si="10"/>
        <v>9999</v>
      </c>
      <c r="D100">
        <f t="shared" ca="1" si="10"/>
        <v>9999</v>
      </c>
      <c r="E100">
        <f t="shared" ca="1" si="10"/>
        <v>9999</v>
      </c>
      <c r="F100">
        <f t="shared" ca="1" si="10"/>
        <v>9999</v>
      </c>
      <c r="G100">
        <f t="shared" ca="1" si="10"/>
        <v>9999</v>
      </c>
      <c r="H100">
        <f t="shared" ca="1" si="10"/>
        <v>9999</v>
      </c>
      <c r="I100">
        <f t="shared" ca="1" si="10"/>
        <v>9999</v>
      </c>
      <c r="J100">
        <f t="shared" ca="1" si="10"/>
        <v>9999</v>
      </c>
      <c r="K100">
        <f t="shared" ca="1" si="10"/>
        <v>9999</v>
      </c>
      <c r="L100">
        <f t="shared" ca="1" si="10"/>
        <v>9999</v>
      </c>
      <c r="M100">
        <f t="shared" ca="1" si="10"/>
        <v>9999</v>
      </c>
      <c r="N100">
        <f t="shared" ca="1" si="10"/>
        <v>9999</v>
      </c>
      <c r="O100">
        <f t="shared" ca="1" si="10"/>
        <v>9999</v>
      </c>
      <c r="P100">
        <f t="shared" ca="1" si="10"/>
        <v>9999</v>
      </c>
      <c r="Q100">
        <f t="shared" ca="1" si="10"/>
        <v>9999</v>
      </c>
      <c r="R100">
        <f t="shared" ca="1" si="8"/>
        <v>9999</v>
      </c>
      <c r="S100">
        <f t="shared" ca="1" si="8"/>
        <v>9999</v>
      </c>
      <c r="T100">
        <f t="shared" ca="1" si="8"/>
        <v>9999</v>
      </c>
      <c r="U100">
        <f t="shared" ca="1" si="8"/>
        <v>9999</v>
      </c>
      <c r="V100">
        <f t="shared" ca="1" si="8"/>
        <v>9999</v>
      </c>
      <c r="W100">
        <f t="shared" ca="1" si="8"/>
        <v>9999</v>
      </c>
      <c r="X100">
        <f t="shared" ca="1" si="8"/>
        <v>9999</v>
      </c>
      <c r="Y100">
        <f t="shared" ca="1" si="8"/>
        <v>9999</v>
      </c>
      <c r="Z100">
        <f t="shared" ca="1" si="8"/>
        <v>9999</v>
      </c>
      <c r="AA100">
        <f t="shared" ca="1" si="8"/>
        <v>9999</v>
      </c>
      <c r="AB100">
        <f t="shared" ca="1" si="8"/>
        <v>9999</v>
      </c>
      <c r="AC100">
        <f t="shared" ca="1" si="11"/>
        <v>9999</v>
      </c>
      <c r="AD100">
        <f t="shared" ca="1" si="11"/>
        <v>200</v>
      </c>
      <c r="AE100">
        <f t="shared" ca="1" si="11"/>
        <v>201</v>
      </c>
      <c r="AF100">
        <f t="shared" ca="1" si="11"/>
        <v>202</v>
      </c>
      <c r="AG100">
        <f t="shared" ca="1" si="11"/>
        <v>203</v>
      </c>
      <c r="AH100">
        <f t="shared" ca="1" si="11"/>
        <v>204</v>
      </c>
      <c r="AI100">
        <f t="shared" ca="1" si="11"/>
        <v>205</v>
      </c>
      <c r="AJ100">
        <f t="shared" ca="1" si="11"/>
        <v>206</v>
      </c>
      <c r="AK100">
        <f t="shared" ca="1" si="11"/>
        <v>207</v>
      </c>
      <c r="AL100">
        <f t="shared" ca="1" si="11"/>
        <v>208</v>
      </c>
      <c r="AM100">
        <f t="shared" ca="1" si="11"/>
        <v>209</v>
      </c>
      <c r="AN100">
        <f t="shared" ca="1" si="11"/>
        <v>210</v>
      </c>
      <c r="AO100">
        <f t="shared" ca="1" si="11"/>
        <v>211</v>
      </c>
      <c r="AP100">
        <f t="shared" ca="1" si="11"/>
        <v>212</v>
      </c>
      <c r="AQ100">
        <f t="shared" ca="1" si="11"/>
        <v>213</v>
      </c>
      <c r="AR100">
        <f t="shared" ca="1" si="11"/>
        <v>214</v>
      </c>
      <c r="AS100">
        <f t="shared" ca="1" si="9"/>
        <v>215</v>
      </c>
      <c r="AT100">
        <f t="shared" ca="1" si="9"/>
        <v>216</v>
      </c>
      <c r="AU100">
        <f t="shared" ca="1" si="9"/>
        <v>217</v>
      </c>
      <c r="AV100">
        <f t="shared" ca="1" si="9"/>
        <v>218</v>
      </c>
      <c r="AW100">
        <f t="shared" ca="1" si="9"/>
        <v>219</v>
      </c>
      <c r="AX100">
        <f t="shared" ca="1" si="9"/>
        <v>220</v>
      </c>
      <c r="AY100">
        <f t="shared" ca="1" si="9"/>
        <v>221</v>
      </c>
      <c r="AZ100">
        <f t="shared" ca="1" si="9"/>
        <v>222</v>
      </c>
      <c r="BA100">
        <f t="shared" ca="1" si="9"/>
        <v>223</v>
      </c>
      <c r="BB100">
        <f t="shared" ca="1" si="7"/>
        <v>224</v>
      </c>
      <c r="BC100">
        <f t="shared" ca="1" si="7"/>
        <v>225</v>
      </c>
      <c r="BD100">
        <f t="shared" ca="1" si="7"/>
        <v>226</v>
      </c>
      <c r="BE100">
        <f t="shared" ca="1" si="7"/>
        <v>227</v>
      </c>
      <c r="BF100">
        <f t="shared" ca="1" si="7"/>
        <v>228</v>
      </c>
      <c r="BG100">
        <f t="shared" ca="1" si="7"/>
        <v>229</v>
      </c>
      <c r="BH100">
        <f t="shared" ca="1" si="7"/>
        <v>230</v>
      </c>
      <c r="BI100">
        <f t="shared" ca="1" si="7"/>
        <v>231</v>
      </c>
    </row>
    <row r="101" spans="1:61" x14ac:dyDescent="0.25">
      <c r="A101" s="20">
        <v>36</v>
      </c>
      <c r="B101">
        <f t="shared" ca="1" si="10"/>
        <v>9999</v>
      </c>
      <c r="C101">
        <f t="shared" ca="1" si="10"/>
        <v>9999</v>
      </c>
      <c r="D101">
        <f t="shared" ca="1" si="10"/>
        <v>9999</v>
      </c>
      <c r="E101">
        <f t="shared" ca="1" si="10"/>
        <v>9999</v>
      </c>
      <c r="F101">
        <f t="shared" ca="1" si="10"/>
        <v>9999</v>
      </c>
      <c r="G101">
        <f t="shared" ca="1" si="10"/>
        <v>9999</v>
      </c>
      <c r="H101">
        <f t="shared" ca="1" si="10"/>
        <v>9999</v>
      </c>
      <c r="I101">
        <f t="shared" ca="1" si="10"/>
        <v>9999</v>
      </c>
      <c r="J101">
        <f t="shared" ca="1" si="10"/>
        <v>9999</v>
      </c>
      <c r="K101">
        <f t="shared" ca="1" si="10"/>
        <v>9999</v>
      </c>
      <c r="L101">
        <f t="shared" ca="1" si="10"/>
        <v>9999</v>
      </c>
      <c r="M101">
        <f t="shared" ca="1" si="10"/>
        <v>9999</v>
      </c>
      <c r="N101">
        <f t="shared" ca="1" si="10"/>
        <v>9999</v>
      </c>
      <c r="O101">
        <f t="shared" ca="1" si="10"/>
        <v>9999</v>
      </c>
      <c r="P101">
        <f t="shared" ca="1" si="10"/>
        <v>9999</v>
      </c>
      <c r="Q101">
        <f t="shared" ca="1" si="10"/>
        <v>9999</v>
      </c>
      <c r="R101">
        <f t="shared" ca="1" si="8"/>
        <v>9999</v>
      </c>
      <c r="S101">
        <f t="shared" ca="1" si="8"/>
        <v>9999</v>
      </c>
      <c r="T101">
        <f t="shared" ca="1" si="8"/>
        <v>9999</v>
      </c>
      <c r="U101">
        <f t="shared" ca="1" si="8"/>
        <v>9999</v>
      </c>
      <c r="V101">
        <f t="shared" ca="1" si="8"/>
        <v>9999</v>
      </c>
      <c r="W101">
        <f t="shared" ca="1" si="8"/>
        <v>9999</v>
      </c>
      <c r="X101">
        <f t="shared" ca="1" si="8"/>
        <v>9999</v>
      </c>
      <c r="Y101">
        <f t="shared" ca="1" si="8"/>
        <v>9999</v>
      </c>
      <c r="Z101">
        <f t="shared" ca="1" si="8"/>
        <v>9999</v>
      </c>
      <c r="AA101">
        <f t="shared" ca="1" si="8"/>
        <v>9999</v>
      </c>
      <c r="AB101">
        <f t="shared" ca="1" si="8"/>
        <v>9999</v>
      </c>
      <c r="AC101">
        <f t="shared" ca="1" si="11"/>
        <v>9999</v>
      </c>
      <c r="AD101">
        <f t="shared" ca="1" si="11"/>
        <v>232</v>
      </c>
      <c r="AE101">
        <f t="shared" ca="1" si="11"/>
        <v>233</v>
      </c>
      <c r="AF101">
        <f t="shared" ca="1" si="11"/>
        <v>234</v>
      </c>
      <c r="AG101">
        <f t="shared" ca="1" si="11"/>
        <v>235</v>
      </c>
      <c r="AH101">
        <f t="shared" ca="1" si="11"/>
        <v>236</v>
      </c>
      <c r="AI101">
        <f t="shared" ca="1" si="11"/>
        <v>237</v>
      </c>
      <c r="AJ101">
        <f t="shared" ca="1" si="11"/>
        <v>238</v>
      </c>
      <c r="AK101">
        <f t="shared" ca="1" si="11"/>
        <v>239</v>
      </c>
      <c r="AL101">
        <f t="shared" ca="1" si="11"/>
        <v>239</v>
      </c>
      <c r="AM101">
        <f t="shared" ca="1" si="11"/>
        <v>238</v>
      </c>
      <c r="AN101">
        <f t="shared" ca="1" si="11"/>
        <v>237</v>
      </c>
      <c r="AO101">
        <f t="shared" ca="1" si="11"/>
        <v>236</v>
      </c>
      <c r="AP101">
        <f t="shared" ca="1" si="11"/>
        <v>235</v>
      </c>
      <c r="AQ101">
        <f t="shared" ca="1" si="11"/>
        <v>234</v>
      </c>
      <c r="AR101">
        <f t="shared" ca="1" si="11"/>
        <v>233</v>
      </c>
      <c r="AS101">
        <f t="shared" ca="1" si="9"/>
        <v>232</v>
      </c>
      <c r="AT101">
        <f t="shared" ca="1" si="9"/>
        <v>231</v>
      </c>
      <c r="AU101">
        <f t="shared" ca="1" si="9"/>
        <v>230</v>
      </c>
      <c r="AV101">
        <f t="shared" ca="1" si="9"/>
        <v>229</v>
      </c>
      <c r="AW101">
        <f t="shared" ca="1" si="9"/>
        <v>228</v>
      </c>
      <c r="AX101">
        <f t="shared" ca="1" si="9"/>
        <v>227</v>
      </c>
      <c r="AY101">
        <f t="shared" ca="1" si="9"/>
        <v>226</v>
      </c>
      <c r="AZ101">
        <f t="shared" ca="1" si="9"/>
        <v>225</v>
      </c>
      <c r="BA101">
        <f t="shared" ca="1" si="9"/>
        <v>224</v>
      </c>
      <c r="BB101">
        <f t="shared" ca="1" si="7"/>
        <v>223</v>
      </c>
      <c r="BC101">
        <f t="shared" ca="1" si="7"/>
        <v>222</v>
      </c>
      <c r="BD101">
        <f t="shared" ca="1" si="7"/>
        <v>221</v>
      </c>
      <c r="BE101">
        <f t="shared" ca="1" si="7"/>
        <v>220</v>
      </c>
      <c r="BF101">
        <f t="shared" ca="1" si="7"/>
        <v>219</v>
      </c>
      <c r="BG101">
        <f t="shared" ca="1" si="7"/>
        <v>218</v>
      </c>
      <c r="BH101">
        <f t="shared" ca="1" si="7"/>
        <v>217</v>
      </c>
      <c r="BI101">
        <f t="shared" ca="1" si="7"/>
        <v>216</v>
      </c>
    </row>
    <row r="102" spans="1:61" x14ac:dyDescent="0.25">
      <c r="A102" s="20">
        <v>37</v>
      </c>
      <c r="B102">
        <f t="shared" ca="1" si="10"/>
        <v>9999</v>
      </c>
      <c r="C102">
        <f t="shared" ca="1" si="10"/>
        <v>9999</v>
      </c>
      <c r="D102">
        <f t="shared" ca="1" si="10"/>
        <v>9999</v>
      </c>
      <c r="E102">
        <f t="shared" ca="1" si="10"/>
        <v>9999</v>
      </c>
      <c r="F102">
        <f t="shared" ca="1" si="10"/>
        <v>9999</v>
      </c>
      <c r="G102">
        <f t="shared" ca="1" si="10"/>
        <v>9999</v>
      </c>
      <c r="H102">
        <f t="shared" ca="1" si="10"/>
        <v>9999</v>
      </c>
      <c r="I102">
        <f t="shared" ca="1" si="10"/>
        <v>9999</v>
      </c>
      <c r="J102">
        <f t="shared" ca="1" si="10"/>
        <v>9999</v>
      </c>
      <c r="K102">
        <f t="shared" ca="1" si="10"/>
        <v>9999</v>
      </c>
      <c r="L102">
        <f t="shared" ca="1" si="10"/>
        <v>9999</v>
      </c>
      <c r="M102">
        <f t="shared" ca="1" si="10"/>
        <v>9999</v>
      </c>
      <c r="N102">
        <f t="shared" ca="1" si="10"/>
        <v>9999</v>
      </c>
      <c r="O102">
        <f t="shared" ca="1" si="10"/>
        <v>9999</v>
      </c>
      <c r="P102">
        <f t="shared" ca="1" si="10"/>
        <v>9999</v>
      </c>
      <c r="Q102">
        <f t="shared" ref="Q102:AF117" ca="1" si="12">OFFSET($B$2,60-Q$65,60-$A102)</f>
        <v>9999</v>
      </c>
      <c r="R102">
        <f t="shared" ca="1" si="12"/>
        <v>9999</v>
      </c>
      <c r="S102">
        <f t="shared" ca="1" si="12"/>
        <v>9999</v>
      </c>
      <c r="T102">
        <f t="shared" ca="1" si="12"/>
        <v>9999</v>
      </c>
      <c r="U102">
        <f t="shared" ca="1" si="12"/>
        <v>9999</v>
      </c>
      <c r="V102">
        <f t="shared" ca="1" si="12"/>
        <v>9999</v>
      </c>
      <c r="W102">
        <f t="shared" ca="1" si="12"/>
        <v>9999</v>
      </c>
      <c r="X102">
        <f t="shared" ca="1" si="12"/>
        <v>9999</v>
      </c>
      <c r="Y102">
        <f t="shared" ca="1" si="12"/>
        <v>9999</v>
      </c>
      <c r="Z102">
        <f t="shared" ca="1" si="12"/>
        <v>9999</v>
      </c>
      <c r="AA102">
        <f t="shared" ca="1" si="12"/>
        <v>9999</v>
      </c>
      <c r="AB102">
        <f t="shared" ca="1" si="12"/>
        <v>9999</v>
      </c>
      <c r="AC102">
        <f t="shared" ca="1" si="12"/>
        <v>9999</v>
      </c>
      <c r="AD102">
        <f t="shared" ca="1" si="12"/>
        <v>215</v>
      </c>
      <c r="AE102">
        <f t="shared" ca="1" si="12"/>
        <v>214</v>
      </c>
      <c r="AF102">
        <f t="shared" ca="1" si="12"/>
        <v>213</v>
      </c>
      <c r="AG102">
        <f t="shared" ca="1" si="11"/>
        <v>212</v>
      </c>
      <c r="AH102">
        <f t="shared" ca="1" si="11"/>
        <v>211</v>
      </c>
      <c r="AI102">
        <f t="shared" ca="1" si="11"/>
        <v>210</v>
      </c>
      <c r="AJ102">
        <f t="shared" ca="1" si="11"/>
        <v>209</v>
      </c>
      <c r="AK102">
        <f t="shared" ca="1" si="11"/>
        <v>208</v>
      </c>
      <c r="AL102">
        <f t="shared" ca="1" si="11"/>
        <v>207</v>
      </c>
      <c r="AM102">
        <f t="shared" ca="1" si="11"/>
        <v>206</v>
      </c>
      <c r="AN102">
        <f t="shared" ca="1" si="11"/>
        <v>205</v>
      </c>
      <c r="AO102">
        <f t="shared" ca="1" si="11"/>
        <v>204</v>
      </c>
      <c r="AP102">
        <f t="shared" ca="1" si="11"/>
        <v>203</v>
      </c>
      <c r="AQ102">
        <f t="shared" ca="1" si="11"/>
        <v>202</v>
      </c>
      <c r="AR102">
        <f t="shared" ca="1" si="11"/>
        <v>201</v>
      </c>
      <c r="AS102">
        <f t="shared" ca="1" si="9"/>
        <v>200</v>
      </c>
      <c r="AT102">
        <f t="shared" ca="1" si="9"/>
        <v>199</v>
      </c>
      <c r="AU102">
        <f t="shared" ca="1" si="9"/>
        <v>198</v>
      </c>
      <c r="AV102">
        <f t="shared" ca="1" si="9"/>
        <v>197</v>
      </c>
      <c r="AW102">
        <f t="shared" ca="1" si="9"/>
        <v>196</v>
      </c>
      <c r="AX102">
        <f t="shared" ca="1" si="9"/>
        <v>195</v>
      </c>
      <c r="AY102">
        <f t="shared" ca="1" si="9"/>
        <v>194</v>
      </c>
      <c r="AZ102">
        <f t="shared" ca="1" si="9"/>
        <v>193</v>
      </c>
      <c r="BA102">
        <f t="shared" ca="1" si="9"/>
        <v>192</v>
      </c>
      <c r="BB102">
        <f t="shared" ca="1" si="7"/>
        <v>191</v>
      </c>
      <c r="BC102">
        <f t="shared" ca="1" si="7"/>
        <v>190</v>
      </c>
      <c r="BD102">
        <f t="shared" ca="1" si="7"/>
        <v>189</v>
      </c>
      <c r="BE102">
        <f t="shared" ca="1" si="7"/>
        <v>188</v>
      </c>
      <c r="BF102">
        <f t="shared" ca="1" si="7"/>
        <v>187</v>
      </c>
      <c r="BG102">
        <f t="shared" ca="1" si="7"/>
        <v>186</v>
      </c>
      <c r="BH102">
        <f t="shared" ca="1" si="7"/>
        <v>185</v>
      </c>
      <c r="BI102">
        <f t="shared" ca="1" si="7"/>
        <v>184</v>
      </c>
    </row>
    <row r="103" spans="1:61" x14ac:dyDescent="0.25">
      <c r="A103" s="20">
        <v>38</v>
      </c>
      <c r="B103">
        <f t="shared" ref="B103:Q118" ca="1" si="13">OFFSET($B$2,60-B$65,60-$A103)</f>
        <v>9999</v>
      </c>
      <c r="C103">
        <f t="shared" ca="1" si="13"/>
        <v>9999</v>
      </c>
      <c r="D103">
        <f t="shared" ca="1" si="13"/>
        <v>9999</v>
      </c>
      <c r="E103">
        <f t="shared" ca="1" si="13"/>
        <v>9999</v>
      </c>
      <c r="F103">
        <f t="shared" ca="1" si="13"/>
        <v>9999</v>
      </c>
      <c r="G103">
        <f t="shared" ca="1" si="13"/>
        <v>9999</v>
      </c>
      <c r="H103">
        <f t="shared" ca="1" si="13"/>
        <v>9999</v>
      </c>
      <c r="I103">
        <f t="shared" ca="1" si="13"/>
        <v>9999</v>
      </c>
      <c r="J103">
        <f t="shared" ca="1" si="13"/>
        <v>9999</v>
      </c>
      <c r="K103">
        <f t="shared" ca="1" si="13"/>
        <v>9999</v>
      </c>
      <c r="L103">
        <f t="shared" ca="1" si="13"/>
        <v>9999</v>
      </c>
      <c r="M103">
        <f t="shared" ca="1" si="13"/>
        <v>9999</v>
      </c>
      <c r="N103">
        <f t="shared" ca="1" si="13"/>
        <v>9999</v>
      </c>
      <c r="O103">
        <f t="shared" ca="1" si="13"/>
        <v>9999</v>
      </c>
      <c r="P103">
        <f t="shared" ca="1" si="13"/>
        <v>9999</v>
      </c>
      <c r="Q103">
        <f t="shared" ca="1" si="13"/>
        <v>9999</v>
      </c>
      <c r="R103">
        <f t="shared" ca="1" si="12"/>
        <v>9999</v>
      </c>
      <c r="S103">
        <f t="shared" ca="1" si="12"/>
        <v>9999</v>
      </c>
      <c r="T103">
        <f t="shared" ca="1" si="12"/>
        <v>9999</v>
      </c>
      <c r="U103">
        <f t="shared" ca="1" si="12"/>
        <v>9999</v>
      </c>
      <c r="V103">
        <f t="shared" ca="1" si="12"/>
        <v>9999</v>
      </c>
      <c r="W103">
        <f t="shared" ca="1" si="12"/>
        <v>9999</v>
      </c>
      <c r="X103">
        <f t="shared" ca="1" si="12"/>
        <v>9999</v>
      </c>
      <c r="Y103">
        <f t="shared" ca="1" si="12"/>
        <v>9999</v>
      </c>
      <c r="Z103">
        <f t="shared" ca="1" si="12"/>
        <v>9999</v>
      </c>
      <c r="AA103">
        <f t="shared" ca="1" si="12"/>
        <v>9999</v>
      </c>
      <c r="AB103">
        <f t="shared" ca="1" si="12"/>
        <v>9999</v>
      </c>
      <c r="AC103">
        <f t="shared" ca="1" si="12"/>
        <v>9999</v>
      </c>
      <c r="AD103">
        <f t="shared" ca="1" si="12"/>
        <v>183</v>
      </c>
      <c r="AE103">
        <f t="shared" ca="1" si="12"/>
        <v>182</v>
      </c>
      <c r="AF103">
        <f t="shared" ca="1" si="12"/>
        <v>181</v>
      </c>
      <c r="AG103">
        <f t="shared" ca="1" si="11"/>
        <v>180</v>
      </c>
      <c r="AH103">
        <f t="shared" ca="1" si="11"/>
        <v>179</v>
      </c>
      <c r="AI103">
        <f t="shared" ca="1" si="11"/>
        <v>178</v>
      </c>
      <c r="AJ103">
        <f t="shared" ca="1" si="11"/>
        <v>177</v>
      </c>
      <c r="AK103">
        <f t="shared" ca="1" si="11"/>
        <v>176</v>
      </c>
      <c r="AL103">
        <f t="shared" ca="1" si="11"/>
        <v>175</v>
      </c>
      <c r="AM103">
        <f t="shared" ca="1" si="11"/>
        <v>174</v>
      </c>
      <c r="AN103">
        <f t="shared" ca="1" si="11"/>
        <v>173</v>
      </c>
      <c r="AO103">
        <f t="shared" ca="1" si="11"/>
        <v>172</v>
      </c>
      <c r="AP103">
        <f t="shared" ca="1" si="11"/>
        <v>171</v>
      </c>
      <c r="AQ103">
        <f t="shared" ca="1" si="11"/>
        <v>170</v>
      </c>
      <c r="AR103">
        <f t="shared" ca="1" si="11"/>
        <v>169</v>
      </c>
      <c r="AS103">
        <f t="shared" ca="1" si="9"/>
        <v>168</v>
      </c>
      <c r="AT103">
        <f t="shared" ca="1" si="9"/>
        <v>167</v>
      </c>
      <c r="AU103">
        <f t="shared" ca="1" si="9"/>
        <v>166</v>
      </c>
      <c r="AV103">
        <f t="shared" ca="1" si="9"/>
        <v>165</v>
      </c>
      <c r="AW103">
        <f t="shared" ca="1" si="9"/>
        <v>164</v>
      </c>
      <c r="AX103">
        <f t="shared" ca="1" si="9"/>
        <v>163</v>
      </c>
      <c r="AY103">
        <f t="shared" ca="1" si="9"/>
        <v>162</v>
      </c>
      <c r="AZ103">
        <f t="shared" ca="1" si="9"/>
        <v>161</v>
      </c>
      <c r="BA103">
        <f t="shared" ca="1" si="9"/>
        <v>160</v>
      </c>
      <c r="BB103">
        <f t="shared" ca="1" si="7"/>
        <v>159</v>
      </c>
      <c r="BC103">
        <f t="shared" ca="1" si="7"/>
        <v>158</v>
      </c>
      <c r="BD103">
        <f t="shared" ca="1" si="7"/>
        <v>157</v>
      </c>
      <c r="BE103">
        <f t="shared" ca="1" si="7"/>
        <v>156</v>
      </c>
      <c r="BF103">
        <f t="shared" ca="1" si="7"/>
        <v>155</v>
      </c>
      <c r="BG103">
        <f t="shared" ca="1" si="7"/>
        <v>154</v>
      </c>
      <c r="BH103">
        <f t="shared" ca="1" si="7"/>
        <v>153</v>
      </c>
      <c r="BI103">
        <f t="shared" ca="1" si="7"/>
        <v>152</v>
      </c>
    </row>
    <row r="104" spans="1:61" x14ac:dyDescent="0.25">
      <c r="A104" s="20">
        <v>39</v>
      </c>
      <c r="B104">
        <f t="shared" ca="1" si="13"/>
        <v>9999</v>
      </c>
      <c r="C104">
        <f t="shared" ca="1" si="13"/>
        <v>9999</v>
      </c>
      <c r="D104">
        <f t="shared" ca="1" si="13"/>
        <v>9999</v>
      </c>
      <c r="E104">
        <f t="shared" ca="1" si="13"/>
        <v>9999</v>
      </c>
      <c r="F104">
        <f t="shared" ca="1" si="13"/>
        <v>9999</v>
      </c>
      <c r="G104">
        <f t="shared" ca="1" si="13"/>
        <v>9999</v>
      </c>
      <c r="H104">
        <f t="shared" ca="1" si="13"/>
        <v>9999</v>
      </c>
      <c r="I104">
        <f t="shared" ca="1" si="13"/>
        <v>9999</v>
      </c>
      <c r="J104">
        <f t="shared" ca="1" si="13"/>
        <v>9999</v>
      </c>
      <c r="K104">
        <f t="shared" ca="1" si="13"/>
        <v>9999</v>
      </c>
      <c r="L104">
        <f t="shared" ca="1" si="13"/>
        <v>9999</v>
      </c>
      <c r="M104">
        <f t="shared" ca="1" si="13"/>
        <v>9999</v>
      </c>
      <c r="N104">
        <f t="shared" ca="1" si="13"/>
        <v>9999</v>
      </c>
      <c r="O104">
        <f t="shared" ca="1" si="13"/>
        <v>9999</v>
      </c>
      <c r="P104">
        <f t="shared" ca="1" si="13"/>
        <v>9999</v>
      </c>
      <c r="Q104">
        <f t="shared" ca="1" si="13"/>
        <v>9999</v>
      </c>
      <c r="R104">
        <f t="shared" ca="1" si="12"/>
        <v>9999</v>
      </c>
      <c r="S104">
        <f t="shared" ca="1" si="12"/>
        <v>9999</v>
      </c>
      <c r="T104">
        <f t="shared" ca="1" si="12"/>
        <v>9999</v>
      </c>
      <c r="U104">
        <f t="shared" ca="1" si="12"/>
        <v>9999</v>
      </c>
      <c r="V104">
        <f t="shared" ca="1" si="12"/>
        <v>9999</v>
      </c>
      <c r="W104">
        <f t="shared" ca="1" si="12"/>
        <v>9999</v>
      </c>
      <c r="X104">
        <f t="shared" ca="1" si="12"/>
        <v>9999</v>
      </c>
      <c r="Y104">
        <f t="shared" ca="1" si="12"/>
        <v>9999</v>
      </c>
      <c r="Z104">
        <f t="shared" ca="1" si="12"/>
        <v>9999</v>
      </c>
      <c r="AA104">
        <f t="shared" ca="1" si="12"/>
        <v>9999</v>
      </c>
      <c r="AB104">
        <f t="shared" ca="1" si="12"/>
        <v>9999</v>
      </c>
      <c r="AC104">
        <f t="shared" ca="1" si="12"/>
        <v>9999</v>
      </c>
      <c r="AD104">
        <f t="shared" ca="1" si="12"/>
        <v>151</v>
      </c>
      <c r="AE104">
        <f t="shared" ca="1" si="12"/>
        <v>150</v>
      </c>
      <c r="AF104">
        <f t="shared" ca="1" si="12"/>
        <v>149</v>
      </c>
      <c r="AG104">
        <f t="shared" ca="1" si="11"/>
        <v>148</v>
      </c>
      <c r="AH104">
        <f t="shared" ca="1" si="11"/>
        <v>147</v>
      </c>
      <c r="AI104">
        <f t="shared" ca="1" si="11"/>
        <v>146</v>
      </c>
      <c r="AJ104">
        <f t="shared" ca="1" si="11"/>
        <v>145</v>
      </c>
      <c r="AK104">
        <f t="shared" ca="1" si="11"/>
        <v>144</v>
      </c>
      <c r="AL104">
        <f t="shared" ca="1" si="11"/>
        <v>143</v>
      </c>
      <c r="AM104">
        <f t="shared" ca="1" si="11"/>
        <v>142</v>
      </c>
      <c r="AN104">
        <f t="shared" ca="1" si="11"/>
        <v>141</v>
      </c>
      <c r="AO104">
        <f t="shared" ca="1" si="11"/>
        <v>140</v>
      </c>
      <c r="AP104">
        <f t="shared" ca="1" si="11"/>
        <v>139</v>
      </c>
      <c r="AQ104">
        <f t="shared" ca="1" si="11"/>
        <v>138</v>
      </c>
      <c r="AR104">
        <f t="shared" ca="1" si="11"/>
        <v>137</v>
      </c>
      <c r="AS104">
        <f t="shared" ca="1" si="9"/>
        <v>136</v>
      </c>
      <c r="AT104">
        <f t="shared" ca="1" si="9"/>
        <v>135</v>
      </c>
      <c r="AU104">
        <f t="shared" ca="1" si="9"/>
        <v>134</v>
      </c>
      <c r="AV104">
        <f t="shared" ca="1" si="9"/>
        <v>133</v>
      </c>
      <c r="AW104">
        <f t="shared" ca="1" si="9"/>
        <v>132</v>
      </c>
      <c r="AX104">
        <f t="shared" ca="1" si="9"/>
        <v>131</v>
      </c>
      <c r="AY104">
        <f t="shared" ca="1" si="9"/>
        <v>130</v>
      </c>
      <c r="AZ104">
        <f t="shared" ca="1" si="9"/>
        <v>129</v>
      </c>
      <c r="BA104">
        <f t="shared" ca="1" si="9"/>
        <v>128</v>
      </c>
      <c r="BB104">
        <f t="shared" ca="1" si="7"/>
        <v>127</v>
      </c>
      <c r="BC104">
        <f t="shared" ca="1" si="7"/>
        <v>126</v>
      </c>
      <c r="BD104">
        <f t="shared" ca="1" si="7"/>
        <v>125</v>
      </c>
      <c r="BE104">
        <f t="shared" ca="1" si="7"/>
        <v>124</v>
      </c>
      <c r="BF104">
        <f t="shared" ca="1" si="7"/>
        <v>123</v>
      </c>
      <c r="BG104">
        <f t="shared" ca="1" si="7"/>
        <v>122</v>
      </c>
      <c r="BH104">
        <f t="shared" ca="1" si="7"/>
        <v>121</v>
      </c>
      <c r="BI104">
        <f t="shared" ca="1" si="7"/>
        <v>120</v>
      </c>
    </row>
    <row r="105" spans="1:61" x14ac:dyDescent="0.25">
      <c r="A105" s="20">
        <v>40</v>
      </c>
      <c r="B105">
        <f t="shared" ca="1" si="13"/>
        <v>9999</v>
      </c>
      <c r="C105">
        <f t="shared" ca="1" si="13"/>
        <v>9999</v>
      </c>
      <c r="D105">
        <f t="shared" ca="1" si="13"/>
        <v>9999</v>
      </c>
      <c r="E105">
        <f t="shared" ca="1" si="13"/>
        <v>9999</v>
      </c>
      <c r="F105">
        <f t="shared" ca="1" si="13"/>
        <v>9999</v>
      </c>
      <c r="G105">
        <f t="shared" ca="1" si="13"/>
        <v>9999</v>
      </c>
      <c r="H105">
        <f t="shared" ca="1" si="13"/>
        <v>9999</v>
      </c>
      <c r="I105">
        <f t="shared" ca="1" si="13"/>
        <v>9999</v>
      </c>
      <c r="J105">
        <f t="shared" ca="1" si="13"/>
        <v>9999</v>
      </c>
      <c r="K105">
        <f t="shared" ca="1" si="13"/>
        <v>9999</v>
      </c>
      <c r="L105">
        <f t="shared" ca="1" si="13"/>
        <v>9999</v>
      </c>
      <c r="M105">
        <f t="shared" ca="1" si="13"/>
        <v>9999</v>
      </c>
      <c r="N105">
        <f t="shared" ca="1" si="13"/>
        <v>9999</v>
      </c>
      <c r="O105">
        <f t="shared" ca="1" si="13"/>
        <v>9999</v>
      </c>
      <c r="P105">
        <f t="shared" ca="1" si="13"/>
        <v>9999</v>
      </c>
      <c r="Q105">
        <f t="shared" ca="1" si="13"/>
        <v>9999</v>
      </c>
      <c r="R105">
        <f t="shared" ca="1" si="12"/>
        <v>9999</v>
      </c>
      <c r="S105">
        <f t="shared" ca="1" si="12"/>
        <v>9999</v>
      </c>
      <c r="T105">
        <f t="shared" ca="1" si="12"/>
        <v>9999</v>
      </c>
      <c r="U105">
        <f t="shared" ca="1" si="12"/>
        <v>9999</v>
      </c>
      <c r="V105">
        <f t="shared" ca="1" si="12"/>
        <v>9999</v>
      </c>
      <c r="W105">
        <f t="shared" ca="1" si="12"/>
        <v>9999</v>
      </c>
      <c r="X105">
        <f t="shared" ca="1" si="12"/>
        <v>9999</v>
      </c>
      <c r="Y105">
        <f t="shared" ca="1" si="12"/>
        <v>9999</v>
      </c>
      <c r="Z105">
        <f t="shared" ca="1" si="12"/>
        <v>9999</v>
      </c>
      <c r="AA105">
        <f t="shared" ca="1" si="12"/>
        <v>9999</v>
      </c>
      <c r="AB105">
        <f t="shared" ca="1" si="12"/>
        <v>9999</v>
      </c>
      <c r="AC105">
        <f t="shared" ca="1" si="12"/>
        <v>9999</v>
      </c>
      <c r="AD105">
        <f t="shared" ca="1" si="12"/>
        <v>136</v>
      </c>
      <c r="AE105">
        <f t="shared" ca="1" si="12"/>
        <v>137</v>
      </c>
      <c r="AF105">
        <f t="shared" ca="1" si="12"/>
        <v>138</v>
      </c>
      <c r="AG105">
        <f t="shared" ca="1" si="11"/>
        <v>139</v>
      </c>
      <c r="AH105">
        <f t="shared" ca="1" si="11"/>
        <v>140</v>
      </c>
      <c r="AI105">
        <f t="shared" ca="1" si="11"/>
        <v>141</v>
      </c>
      <c r="AJ105">
        <f t="shared" ca="1" si="11"/>
        <v>142</v>
      </c>
      <c r="AK105">
        <f t="shared" ca="1" si="11"/>
        <v>143</v>
      </c>
      <c r="AL105">
        <f t="shared" ca="1" si="11"/>
        <v>144</v>
      </c>
      <c r="AM105">
        <f t="shared" ca="1" si="11"/>
        <v>145</v>
      </c>
      <c r="AN105">
        <f t="shared" ca="1" si="11"/>
        <v>146</v>
      </c>
      <c r="AO105">
        <f t="shared" ca="1" si="11"/>
        <v>147</v>
      </c>
      <c r="AP105">
        <f t="shared" ca="1" si="11"/>
        <v>148</v>
      </c>
      <c r="AQ105">
        <f t="shared" ca="1" si="11"/>
        <v>149</v>
      </c>
      <c r="AR105">
        <f t="shared" ref="AR105:BG120" ca="1" si="14">OFFSET($B$2,60-AR$65,60-$A105)</f>
        <v>150</v>
      </c>
      <c r="AS105">
        <f t="shared" ca="1" si="14"/>
        <v>151</v>
      </c>
      <c r="AT105">
        <f t="shared" ca="1" si="14"/>
        <v>152</v>
      </c>
      <c r="AU105">
        <f t="shared" ca="1" si="14"/>
        <v>153</v>
      </c>
      <c r="AV105">
        <f t="shared" ca="1" si="14"/>
        <v>154</v>
      </c>
      <c r="AW105">
        <f t="shared" ca="1" si="14"/>
        <v>155</v>
      </c>
      <c r="AX105">
        <f t="shared" ca="1" si="14"/>
        <v>156</v>
      </c>
      <c r="AY105">
        <f t="shared" ca="1" si="14"/>
        <v>157</v>
      </c>
      <c r="AZ105">
        <f t="shared" ca="1" si="14"/>
        <v>158</v>
      </c>
      <c r="BA105">
        <f t="shared" ca="1" si="14"/>
        <v>159</v>
      </c>
      <c r="BB105">
        <f t="shared" ca="1" si="14"/>
        <v>160</v>
      </c>
      <c r="BC105">
        <f t="shared" ca="1" si="14"/>
        <v>161</v>
      </c>
      <c r="BD105">
        <f t="shared" ca="1" si="14"/>
        <v>162</v>
      </c>
      <c r="BE105">
        <f t="shared" ca="1" si="14"/>
        <v>163</v>
      </c>
      <c r="BF105">
        <f t="shared" ca="1" si="14"/>
        <v>164</v>
      </c>
      <c r="BG105">
        <f t="shared" ca="1" si="14"/>
        <v>165</v>
      </c>
      <c r="BH105">
        <f t="shared" ca="1" si="7"/>
        <v>166</v>
      </c>
      <c r="BI105">
        <f t="shared" ca="1" si="7"/>
        <v>167</v>
      </c>
    </row>
    <row r="106" spans="1:61" x14ac:dyDescent="0.25">
      <c r="A106" s="20">
        <v>41</v>
      </c>
      <c r="B106">
        <f t="shared" ca="1" si="13"/>
        <v>9999</v>
      </c>
      <c r="C106">
        <f t="shared" ca="1" si="13"/>
        <v>9999</v>
      </c>
      <c r="D106">
        <f t="shared" ca="1" si="13"/>
        <v>9999</v>
      </c>
      <c r="E106">
        <f t="shared" ca="1" si="13"/>
        <v>9999</v>
      </c>
      <c r="F106">
        <f t="shared" ca="1" si="13"/>
        <v>9999</v>
      </c>
      <c r="G106">
        <f t="shared" ca="1" si="13"/>
        <v>9999</v>
      </c>
      <c r="H106">
        <f t="shared" ca="1" si="13"/>
        <v>9999</v>
      </c>
      <c r="I106">
        <f t="shared" ca="1" si="13"/>
        <v>9999</v>
      </c>
      <c r="J106">
        <f t="shared" ca="1" si="13"/>
        <v>9999</v>
      </c>
      <c r="K106">
        <f t="shared" ca="1" si="13"/>
        <v>9999</v>
      </c>
      <c r="L106">
        <f t="shared" ca="1" si="13"/>
        <v>9999</v>
      </c>
      <c r="M106">
        <f t="shared" ca="1" si="13"/>
        <v>9999</v>
      </c>
      <c r="N106">
        <f t="shared" ca="1" si="13"/>
        <v>9999</v>
      </c>
      <c r="O106">
        <f t="shared" ca="1" si="13"/>
        <v>9999</v>
      </c>
      <c r="P106">
        <f t="shared" ca="1" si="13"/>
        <v>9999</v>
      </c>
      <c r="Q106">
        <f t="shared" ca="1" si="13"/>
        <v>9999</v>
      </c>
      <c r="R106">
        <f t="shared" ca="1" si="12"/>
        <v>9999</v>
      </c>
      <c r="S106">
        <f t="shared" ca="1" si="12"/>
        <v>9999</v>
      </c>
      <c r="T106">
        <f t="shared" ca="1" si="12"/>
        <v>9999</v>
      </c>
      <c r="U106">
        <f t="shared" ca="1" si="12"/>
        <v>9999</v>
      </c>
      <c r="V106">
        <f t="shared" ca="1" si="12"/>
        <v>9999</v>
      </c>
      <c r="W106">
        <f t="shared" ca="1" si="12"/>
        <v>9999</v>
      </c>
      <c r="X106">
        <f t="shared" ca="1" si="12"/>
        <v>9999</v>
      </c>
      <c r="Y106">
        <f t="shared" ca="1" si="12"/>
        <v>9999</v>
      </c>
      <c r="Z106">
        <f t="shared" ca="1" si="12"/>
        <v>9999</v>
      </c>
      <c r="AA106">
        <f t="shared" ca="1" si="12"/>
        <v>9999</v>
      </c>
      <c r="AB106">
        <f t="shared" ca="1" si="12"/>
        <v>9999</v>
      </c>
      <c r="AC106">
        <f t="shared" ca="1" si="12"/>
        <v>9999</v>
      </c>
      <c r="AD106">
        <f t="shared" ca="1" si="12"/>
        <v>168</v>
      </c>
      <c r="AE106">
        <f t="shared" ca="1" si="12"/>
        <v>169</v>
      </c>
      <c r="AF106">
        <f t="shared" ca="1" si="12"/>
        <v>170</v>
      </c>
      <c r="AG106">
        <f t="shared" ref="AG106:AV121" ca="1" si="15">OFFSET($B$2,60-AG$65,60-$A106)</f>
        <v>171</v>
      </c>
      <c r="AH106">
        <f t="shared" ca="1" si="15"/>
        <v>172</v>
      </c>
      <c r="AI106">
        <f t="shared" ca="1" si="15"/>
        <v>173</v>
      </c>
      <c r="AJ106">
        <f t="shared" ca="1" si="15"/>
        <v>174</v>
      </c>
      <c r="AK106">
        <f t="shared" ca="1" si="15"/>
        <v>175</v>
      </c>
      <c r="AL106">
        <f t="shared" ca="1" si="15"/>
        <v>176</v>
      </c>
      <c r="AM106">
        <f t="shared" ca="1" si="15"/>
        <v>177</v>
      </c>
      <c r="AN106">
        <f t="shared" ca="1" si="15"/>
        <v>178</v>
      </c>
      <c r="AO106">
        <f t="shared" ca="1" si="15"/>
        <v>179</v>
      </c>
      <c r="AP106">
        <f t="shared" ca="1" si="15"/>
        <v>180</v>
      </c>
      <c r="AQ106">
        <f t="shared" ca="1" si="15"/>
        <v>181</v>
      </c>
      <c r="AR106">
        <f t="shared" ca="1" si="15"/>
        <v>182</v>
      </c>
      <c r="AS106">
        <f t="shared" ca="1" si="15"/>
        <v>183</v>
      </c>
      <c r="AT106">
        <f t="shared" ca="1" si="15"/>
        <v>184</v>
      </c>
      <c r="AU106">
        <f t="shared" ca="1" si="15"/>
        <v>185</v>
      </c>
      <c r="AV106">
        <f t="shared" ca="1" si="15"/>
        <v>186</v>
      </c>
      <c r="AW106">
        <f t="shared" ca="1" si="14"/>
        <v>187</v>
      </c>
      <c r="AX106">
        <f t="shared" ca="1" si="14"/>
        <v>188</v>
      </c>
      <c r="AY106">
        <f t="shared" ca="1" si="14"/>
        <v>189</v>
      </c>
      <c r="AZ106">
        <f t="shared" ca="1" si="14"/>
        <v>190</v>
      </c>
      <c r="BA106">
        <f t="shared" ca="1" si="14"/>
        <v>191</v>
      </c>
      <c r="BB106">
        <f t="shared" ca="1" si="14"/>
        <v>192</v>
      </c>
      <c r="BC106">
        <f t="shared" ca="1" si="14"/>
        <v>193</v>
      </c>
      <c r="BD106">
        <f t="shared" ca="1" si="14"/>
        <v>194</v>
      </c>
      <c r="BE106">
        <f t="shared" ca="1" si="14"/>
        <v>195</v>
      </c>
      <c r="BF106">
        <f t="shared" ca="1" si="14"/>
        <v>196</v>
      </c>
      <c r="BG106">
        <f t="shared" ca="1" si="14"/>
        <v>197</v>
      </c>
      <c r="BH106">
        <f t="shared" ca="1" si="7"/>
        <v>198</v>
      </c>
      <c r="BI106">
        <f t="shared" ca="1" si="7"/>
        <v>199</v>
      </c>
    </row>
    <row r="107" spans="1:61" x14ac:dyDescent="0.25">
      <c r="A107" s="20">
        <v>42</v>
      </c>
      <c r="B107">
        <f t="shared" ca="1" si="13"/>
        <v>9999</v>
      </c>
      <c r="C107">
        <f t="shared" ca="1" si="13"/>
        <v>9999</v>
      </c>
      <c r="D107">
        <f t="shared" ca="1" si="13"/>
        <v>9999</v>
      </c>
      <c r="E107">
        <f t="shared" ca="1" si="13"/>
        <v>9999</v>
      </c>
      <c r="F107">
        <f t="shared" ca="1" si="13"/>
        <v>9999</v>
      </c>
      <c r="G107">
        <f t="shared" ca="1" si="13"/>
        <v>9999</v>
      </c>
      <c r="H107">
        <f t="shared" ca="1" si="13"/>
        <v>9999</v>
      </c>
      <c r="I107">
        <f t="shared" ca="1" si="13"/>
        <v>9999</v>
      </c>
      <c r="J107">
        <f t="shared" ca="1" si="13"/>
        <v>9999</v>
      </c>
      <c r="K107">
        <f t="shared" ca="1" si="13"/>
        <v>9999</v>
      </c>
      <c r="L107">
        <f t="shared" ca="1" si="13"/>
        <v>9999</v>
      </c>
      <c r="M107">
        <f t="shared" ca="1" si="13"/>
        <v>9999</v>
      </c>
      <c r="N107">
        <f t="shared" ca="1" si="13"/>
        <v>9999</v>
      </c>
      <c r="O107">
        <f t="shared" ca="1" si="13"/>
        <v>9999</v>
      </c>
      <c r="P107">
        <f t="shared" ca="1" si="13"/>
        <v>9999</v>
      </c>
      <c r="Q107">
        <f t="shared" ca="1" si="13"/>
        <v>9999</v>
      </c>
      <c r="R107">
        <f t="shared" ca="1" si="12"/>
        <v>9999</v>
      </c>
      <c r="S107">
        <f t="shared" ca="1" si="12"/>
        <v>9999</v>
      </c>
      <c r="T107">
        <f t="shared" ca="1" si="12"/>
        <v>9999</v>
      </c>
      <c r="U107">
        <f t="shared" ca="1" si="12"/>
        <v>9999</v>
      </c>
      <c r="V107">
        <f t="shared" ca="1" si="12"/>
        <v>9999</v>
      </c>
      <c r="W107">
        <f t="shared" ca="1" si="12"/>
        <v>9999</v>
      </c>
      <c r="X107">
        <f t="shared" ca="1" si="12"/>
        <v>9999</v>
      </c>
      <c r="Y107">
        <f t="shared" ca="1" si="12"/>
        <v>9999</v>
      </c>
      <c r="Z107">
        <f t="shared" ca="1" si="12"/>
        <v>9999</v>
      </c>
      <c r="AA107">
        <f t="shared" ca="1" si="12"/>
        <v>9999</v>
      </c>
      <c r="AB107">
        <f t="shared" ca="1" si="12"/>
        <v>9999</v>
      </c>
      <c r="AC107">
        <f t="shared" ca="1" si="12"/>
        <v>9999</v>
      </c>
      <c r="AD107">
        <f t="shared" ca="1" si="12"/>
        <v>200</v>
      </c>
      <c r="AE107">
        <f t="shared" ca="1" si="12"/>
        <v>201</v>
      </c>
      <c r="AF107">
        <f t="shared" ca="1" si="12"/>
        <v>202</v>
      </c>
      <c r="AG107">
        <f t="shared" ca="1" si="15"/>
        <v>203</v>
      </c>
      <c r="AH107">
        <f t="shared" ca="1" si="15"/>
        <v>204</v>
      </c>
      <c r="AI107">
        <f t="shared" ca="1" si="15"/>
        <v>205</v>
      </c>
      <c r="AJ107">
        <f t="shared" ca="1" si="15"/>
        <v>206</v>
      </c>
      <c r="AK107">
        <f t="shared" ca="1" si="15"/>
        <v>207</v>
      </c>
      <c r="AL107">
        <f t="shared" ca="1" si="15"/>
        <v>208</v>
      </c>
      <c r="AM107">
        <f t="shared" ca="1" si="15"/>
        <v>209</v>
      </c>
      <c r="AN107">
        <f t="shared" ca="1" si="15"/>
        <v>210</v>
      </c>
      <c r="AO107">
        <f t="shared" ca="1" si="15"/>
        <v>211</v>
      </c>
      <c r="AP107">
        <f t="shared" ca="1" si="15"/>
        <v>212</v>
      </c>
      <c r="AQ107">
        <f t="shared" ca="1" si="15"/>
        <v>213</v>
      </c>
      <c r="AR107">
        <f t="shared" ca="1" si="15"/>
        <v>214</v>
      </c>
      <c r="AS107">
        <f t="shared" ca="1" si="15"/>
        <v>215</v>
      </c>
      <c r="AT107">
        <f t="shared" ca="1" si="15"/>
        <v>216</v>
      </c>
      <c r="AU107">
        <f t="shared" ca="1" si="15"/>
        <v>217</v>
      </c>
      <c r="AV107">
        <f t="shared" ca="1" si="15"/>
        <v>218</v>
      </c>
      <c r="AW107">
        <f t="shared" ca="1" si="14"/>
        <v>219</v>
      </c>
      <c r="AX107">
        <f t="shared" ca="1" si="14"/>
        <v>220</v>
      </c>
      <c r="AY107">
        <f t="shared" ca="1" si="14"/>
        <v>221</v>
      </c>
      <c r="AZ107">
        <f t="shared" ca="1" si="14"/>
        <v>222</v>
      </c>
      <c r="BA107">
        <f t="shared" ca="1" si="14"/>
        <v>223</v>
      </c>
      <c r="BB107">
        <f t="shared" ca="1" si="14"/>
        <v>224</v>
      </c>
      <c r="BC107">
        <f t="shared" ca="1" si="14"/>
        <v>225</v>
      </c>
      <c r="BD107">
        <f t="shared" ca="1" si="14"/>
        <v>226</v>
      </c>
      <c r="BE107">
        <f t="shared" ca="1" si="14"/>
        <v>227</v>
      </c>
      <c r="BF107">
        <f t="shared" ca="1" si="14"/>
        <v>228</v>
      </c>
      <c r="BG107">
        <f t="shared" ca="1" si="14"/>
        <v>229</v>
      </c>
      <c r="BH107">
        <f t="shared" ca="1" si="7"/>
        <v>230</v>
      </c>
      <c r="BI107">
        <f t="shared" ca="1" si="7"/>
        <v>231</v>
      </c>
    </row>
    <row r="108" spans="1:61" x14ac:dyDescent="0.25">
      <c r="A108" s="20">
        <v>43</v>
      </c>
      <c r="B108">
        <f t="shared" ca="1" si="13"/>
        <v>9999</v>
      </c>
      <c r="C108">
        <f t="shared" ca="1" si="13"/>
        <v>9999</v>
      </c>
      <c r="D108">
        <f t="shared" ca="1" si="13"/>
        <v>9999</v>
      </c>
      <c r="E108">
        <f t="shared" ca="1" si="13"/>
        <v>9999</v>
      </c>
      <c r="F108">
        <f t="shared" ca="1" si="13"/>
        <v>9999</v>
      </c>
      <c r="G108">
        <f t="shared" ca="1" si="13"/>
        <v>9999</v>
      </c>
      <c r="H108">
        <f t="shared" ca="1" si="13"/>
        <v>9999</v>
      </c>
      <c r="I108">
        <f t="shared" ca="1" si="13"/>
        <v>9999</v>
      </c>
      <c r="J108">
        <f t="shared" ca="1" si="13"/>
        <v>9999</v>
      </c>
      <c r="K108">
        <f t="shared" ca="1" si="13"/>
        <v>9999</v>
      </c>
      <c r="L108">
        <f t="shared" ca="1" si="13"/>
        <v>9999</v>
      </c>
      <c r="M108">
        <f t="shared" ca="1" si="13"/>
        <v>9999</v>
      </c>
      <c r="N108">
        <f t="shared" ca="1" si="13"/>
        <v>9999</v>
      </c>
      <c r="O108">
        <f t="shared" ca="1" si="13"/>
        <v>9999</v>
      </c>
      <c r="P108">
        <f t="shared" ca="1" si="13"/>
        <v>9999</v>
      </c>
      <c r="Q108">
        <f t="shared" ca="1" si="13"/>
        <v>9999</v>
      </c>
      <c r="R108">
        <f t="shared" ca="1" si="12"/>
        <v>9999</v>
      </c>
      <c r="S108">
        <f t="shared" ca="1" si="12"/>
        <v>9999</v>
      </c>
      <c r="T108">
        <f t="shared" ca="1" si="12"/>
        <v>9999</v>
      </c>
      <c r="U108">
        <f t="shared" ca="1" si="12"/>
        <v>9999</v>
      </c>
      <c r="V108">
        <f t="shared" ca="1" si="12"/>
        <v>9999</v>
      </c>
      <c r="W108">
        <f t="shared" ca="1" si="12"/>
        <v>9999</v>
      </c>
      <c r="X108">
        <f t="shared" ca="1" si="12"/>
        <v>9999</v>
      </c>
      <c r="Y108">
        <f t="shared" ca="1" si="12"/>
        <v>9999</v>
      </c>
      <c r="Z108">
        <f t="shared" ca="1" si="12"/>
        <v>9999</v>
      </c>
      <c r="AA108">
        <f t="shared" ca="1" si="12"/>
        <v>9999</v>
      </c>
      <c r="AB108">
        <f t="shared" ca="1" si="12"/>
        <v>9999</v>
      </c>
      <c r="AC108">
        <f t="shared" ca="1" si="12"/>
        <v>9999</v>
      </c>
      <c r="AD108">
        <f t="shared" ca="1" si="12"/>
        <v>232</v>
      </c>
      <c r="AE108">
        <f t="shared" ca="1" si="12"/>
        <v>233</v>
      </c>
      <c r="AF108">
        <f t="shared" ca="1" si="12"/>
        <v>234</v>
      </c>
      <c r="AG108">
        <f t="shared" ca="1" si="15"/>
        <v>235</v>
      </c>
      <c r="AH108">
        <f t="shared" ca="1" si="15"/>
        <v>236</v>
      </c>
      <c r="AI108">
        <f t="shared" ca="1" si="15"/>
        <v>237</v>
      </c>
      <c r="AJ108">
        <f t="shared" ca="1" si="15"/>
        <v>238</v>
      </c>
      <c r="AK108">
        <f t="shared" ca="1" si="15"/>
        <v>239</v>
      </c>
      <c r="AL108">
        <f t="shared" ca="1" si="15"/>
        <v>239</v>
      </c>
      <c r="AM108">
        <f t="shared" ca="1" si="15"/>
        <v>238</v>
      </c>
      <c r="AN108">
        <f t="shared" ca="1" si="15"/>
        <v>237</v>
      </c>
      <c r="AO108">
        <f t="shared" ca="1" si="15"/>
        <v>236</v>
      </c>
      <c r="AP108">
        <f t="shared" ca="1" si="15"/>
        <v>235</v>
      </c>
      <c r="AQ108">
        <f t="shared" ca="1" si="15"/>
        <v>234</v>
      </c>
      <c r="AR108">
        <f t="shared" ca="1" si="15"/>
        <v>233</v>
      </c>
      <c r="AS108">
        <f t="shared" ca="1" si="15"/>
        <v>232</v>
      </c>
      <c r="AT108">
        <f t="shared" ca="1" si="15"/>
        <v>231</v>
      </c>
      <c r="AU108">
        <f t="shared" ca="1" si="15"/>
        <v>230</v>
      </c>
      <c r="AV108">
        <f t="shared" ca="1" si="15"/>
        <v>229</v>
      </c>
      <c r="AW108">
        <f t="shared" ca="1" si="14"/>
        <v>228</v>
      </c>
      <c r="AX108">
        <f t="shared" ca="1" si="14"/>
        <v>227</v>
      </c>
      <c r="AY108">
        <f t="shared" ca="1" si="14"/>
        <v>226</v>
      </c>
      <c r="AZ108">
        <f t="shared" ca="1" si="14"/>
        <v>225</v>
      </c>
      <c r="BA108">
        <f t="shared" ca="1" si="14"/>
        <v>224</v>
      </c>
      <c r="BB108">
        <f t="shared" ca="1" si="14"/>
        <v>223</v>
      </c>
      <c r="BC108">
        <f t="shared" ca="1" si="14"/>
        <v>222</v>
      </c>
      <c r="BD108">
        <f t="shared" ca="1" si="14"/>
        <v>221</v>
      </c>
      <c r="BE108">
        <f t="shared" ca="1" si="14"/>
        <v>220</v>
      </c>
      <c r="BF108">
        <f t="shared" ca="1" si="14"/>
        <v>219</v>
      </c>
      <c r="BG108">
        <f t="shared" ca="1" si="14"/>
        <v>218</v>
      </c>
      <c r="BH108">
        <f t="shared" ca="1" si="7"/>
        <v>217</v>
      </c>
      <c r="BI108">
        <f t="shared" ca="1" si="7"/>
        <v>216</v>
      </c>
    </row>
    <row r="109" spans="1:61" x14ac:dyDescent="0.25">
      <c r="A109" s="20">
        <v>44</v>
      </c>
      <c r="B109">
        <f t="shared" ca="1" si="13"/>
        <v>9999</v>
      </c>
      <c r="C109">
        <f t="shared" ca="1" si="13"/>
        <v>9999</v>
      </c>
      <c r="D109">
        <f t="shared" ca="1" si="13"/>
        <v>9999</v>
      </c>
      <c r="E109">
        <f t="shared" ca="1" si="13"/>
        <v>9999</v>
      </c>
      <c r="F109">
        <f t="shared" ca="1" si="13"/>
        <v>9999</v>
      </c>
      <c r="G109">
        <f t="shared" ca="1" si="13"/>
        <v>9999</v>
      </c>
      <c r="H109">
        <f t="shared" ca="1" si="13"/>
        <v>9999</v>
      </c>
      <c r="I109">
        <f t="shared" ca="1" si="13"/>
        <v>9999</v>
      </c>
      <c r="J109">
        <f t="shared" ca="1" si="13"/>
        <v>9999</v>
      </c>
      <c r="K109">
        <f t="shared" ca="1" si="13"/>
        <v>9999</v>
      </c>
      <c r="L109">
        <f t="shared" ca="1" si="13"/>
        <v>9999</v>
      </c>
      <c r="M109">
        <f t="shared" ca="1" si="13"/>
        <v>9999</v>
      </c>
      <c r="N109">
        <f t="shared" ca="1" si="13"/>
        <v>9999</v>
      </c>
      <c r="O109">
        <f t="shared" ca="1" si="13"/>
        <v>9999</v>
      </c>
      <c r="P109">
        <f t="shared" ca="1" si="13"/>
        <v>9999</v>
      </c>
      <c r="Q109">
        <f t="shared" ca="1" si="13"/>
        <v>9999</v>
      </c>
      <c r="R109">
        <f t="shared" ca="1" si="12"/>
        <v>9999</v>
      </c>
      <c r="S109">
        <f t="shared" ca="1" si="12"/>
        <v>9999</v>
      </c>
      <c r="T109">
        <f t="shared" ca="1" si="12"/>
        <v>9999</v>
      </c>
      <c r="U109">
        <f t="shared" ca="1" si="12"/>
        <v>9999</v>
      </c>
      <c r="V109">
        <f t="shared" ca="1" si="12"/>
        <v>9999</v>
      </c>
      <c r="W109">
        <f t="shared" ca="1" si="12"/>
        <v>9999</v>
      </c>
      <c r="X109">
        <f t="shared" ca="1" si="12"/>
        <v>9999</v>
      </c>
      <c r="Y109">
        <f t="shared" ca="1" si="12"/>
        <v>9999</v>
      </c>
      <c r="Z109">
        <f t="shared" ca="1" si="12"/>
        <v>9999</v>
      </c>
      <c r="AA109">
        <f t="shared" ca="1" si="12"/>
        <v>9999</v>
      </c>
      <c r="AB109">
        <f t="shared" ca="1" si="12"/>
        <v>9999</v>
      </c>
      <c r="AC109">
        <f t="shared" ca="1" si="12"/>
        <v>9999</v>
      </c>
      <c r="AD109">
        <f t="shared" ca="1" si="12"/>
        <v>215</v>
      </c>
      <c r="AE109">
        <f t="shared" ca="1" si="12"/>
        <v>214</v>
      </c>
      <c r="AF109">
        <f t="shared" ca="1" si="12"/>
        <v>213</v>
      </c>
      <c r="AG109">
        <f t="shared" ca="1" si="15"/>
        <v>212</v>
      </c>
      <c r="AH109">
        <f t="shared" ca="1" si="15"/>
        <v>211</v>
      </c>
      <c r="AI109">
        <f t="shared" ca="1" si="15"/>
        <v>210</v>
      </c>
      <c r="AJ109">
        <f t="shared" ca="1" si="15"/>
        <v>209</v>
      </c>
      <c r="AK109">
        <f t="shared" ca="1" si="15"/>
        <v>208</v>
      </c>
      <c r="AL109">
        <f t="shared" ca="1" si="15"/>
        <v>207</v>
      </c>
      <c r="AM109">
        <f t="shared" ca="1" si="15"/>
        <v>206</v>
      </c>
      <c r="AN109">
        <f t="shared" ca="1" si="15"/>
        <v>205</v>
      </c>
      <c r="AO109">
        <f t="shared" ca="1" si="15"/>
        <v>204</v>
      </c>
      <c r="AP109">
        <f t="shared" ca="1" si="15"/>
        <v>203</v>
      </c>
      <c r="AQ109">
        <f t="shared" ca="1" si="15"/>
        <v>202</v>
      </c>
      <c r="AR109">
        <f t="shared" ca="1" si="15"/>
        <v>201</v>
      </c>
      <c r="AS109">
        <f t="shared" ca="1" si="15"/>
        <v>200</v>
      </c>
      <c r="AT109">
        <f t="shared" ca="1" si="15"/>
        <v>199</v>
      </c>
      <c r="AU109">
        <f t="shared" ca="1" si="15"/>
        <v>198</v>
      </c>
      <c r="AV109">
        <f t="shared" ca="1" si="15"/>
        <v>197</v>
      </c>
      <c r="AW109">
        <f t="shared" ca="1" si="14"/>
        <v>196</v>
      </c>
      <c r="AX109">
        <f t="shared" ca="1" si="14"/>
        <v>195</v>
      </c>
      <c r="AY109">
        <f t="shared" ca="1" si="14"/>
        <v>194</v>
      </c>
      <c r="AZ109">
        <f t="shared" ca="1" si="14"/>
        <v>193</v>
      </c>
      <c r="BA109">
        <f t="shared" ca="1" si="14"/>
        <v>192</v>
      </c>
      <c r="BB109">
        <f t="shared" ca="1" si="14"/>
        <v>191</v>
      </c>
      <c r="BC109">
        <f t="shared" ca="1" si="14"/>
        <v>190</v>
      </c>
      <c r="BD109">
        <f t="shared" ca="1" si="14"/>
        <v>189</v>
      </c>
      <c r="BE109">
        <f t="shared" ca="1" si="14"/>
        <v>188</v>
      </c>
      <c r="BF109">
        <f t="shared" ca="1" si="14"/>
        <v>187</v>
      </c>
      <c r="BG109">
        <f t="shared" ca="1" si="14"/>
        <v>186</v>
      </c>
      <c r="BH109">
        <f t="shared" ca="1" si="7"/>
        <v>185</v>
      </c>
      <c r="BI109">
        <f t="shared" ca="1" si="7"/>
        <v>184</v>
      </c>
    </row>
    <row r="110" spans="1:61" x14ac:dyDescent="0.25">
      <c r="A110" s="20">
        <v>45</v>
      </c>
      <c r="B110">
        <f t="shared" ca="1" si="13"/>
        <v>9999</v>
      </c>
      <c r="C110">
        <f t="shared" ca="1" si="13"/>
        <v>9999</v>
      </c>
      <c r="D110">
        <f t="shared" ca="1" si="13"/>
        <v>9999</v>
      </c>
      <c r="E110">
        <f t="shared" ca="1" si="13"/>
        <v>9999</v>
      </c>
      <c r="F110">
        <f t="shared" ca="1" si="13"/>
        <v>9999</v>
      </c>
      <c r="G110">
        <f t="shared" ca="1" si="13"/>
        <v>9999</v>
      </c>
      <c r="H110">
        <f t="shared" ca="1" si="13"/>
        <v>9999</v>
      </c>
      <c r="I110">
        <f t="shared" ca="1" si="13"/>
        <v>9999</v>
      </c>
      <c r="J110">
        <f t="shared" ca="1" si="13"/>
        <v>9999</v>
      </c>
      <c r="K110">
        <f t="shared" ca="1" si="13"/>
        <v>9999</v>
      </c>
      <c r="L110">
        <f t="shared" ca="1" si="13"/>
        <v>9999</v>
      </c>
      <c r="M110">
        <f t="shared" ca="1" si="13"/>
        <v>9999</v>
      </c>
      <c r="N110">
        <f t="shared" ca="1" si="13"/>
        <v>9999</v>
      </c>
      <c r="O110">
        <f t="shared" ca="1" si="13"/>
        <v>9999</v>
      </c>
      <c r="P110">
        <f t="shared" ca="1" si="13"/>
        <v>9999</v>
      </c>
      <c r="Q110">
        <f t="shared" ca="1" si="13"/>
        <v>9999</v>
      </c>
      <c r="R110">
        <f t="shared" ca="1" si="12"/>
        <v>9999</v>
      </c>
      <c r="S110">
        <f t="shared" ca="1" si="12"/>
        <v>9999</v>
      </c>
      <c r="T110">
        <f t="shared" ca="1" si="12"/>
        <v>9999</v>
      </c>
      <c r="U110">
        <f t="shared" ca="1" si="12"/>
        <v>9999</v>
      </c>
      <c r="V110">
        <f t="shared" ca="1" si="12"/>
        <v>9999</v>
      </c>
      <c r="W110">
        <f t="shared" ca="1" si="12"/>
        <v>9999</v>
      </c>
      <c r="X110">
        <f t="shared" ca="1" si="12"/>
        <v>9999</v>
      </c>
      <c r="Y110">
        <f t="shared" ca="1" si="12"/>
        <v>9999</v>
      </c>
      <c r="Z110">
        <f t="shared" ca="1" si="12"/>
        <v>9999</v>
      </c>
      <c r="AA110">
        <f t="shared" ca="1" si="12"/>
        <v>9999</v>
      </c>
      <c r="AB110">
        <f t="shared" ca="1" si="12"/>
        <v>9999</v>
      </c>
      <c r="AC110">
        <f t="shared" ca="1" si="12"/>
        <v>9999</v>
      </c>
      <c r="AD110">
        <f t="shared" ca="1" si="12"/>
        <v>183</v>
      </c>
      <c r="AE110">
        <f t="shared" ca="1" si="12"/>
        <v>182</v>
      </c>
      <c r="AF110">
        <f t="shared" ca="1" si="12"/>
        <v>181</v>
      </c>
      <c r="AG110">
        <f t="shared" ca="1" si="15"/>
        <v>180</v>
      </c>
      <c r="AH110">
        <f t="shared" ca="1" si="15"/>
        <v>179</v>
      </c>
      <c r="AI110">
        <f t="shared" ca="1" si="15"/>
        <v>178</v>
      </c>
      <c r="AJ110">
        <f t="shared" ca="1" si="15"/>
        <v>177</v>
      </c>
      <c r="AK110">
        <f t="shared" ca="1" si="15"/>
        <v>176</v>
      </c>
      <c r="AL110">
        <f t="shared" ca="1" si="15"/>
        <v>175</v>
      </c>
      <c r="AM110">
        <f t="shared" ca="1" si="15"/>
        <v>174</v>
      </c>
      <c r="AN110">
        <f t="shared" ca="1" si="15"/>
        <v>173</v>
      </c>
      <c r="AO110">
        <f t="shared" ca="1" si="15"/>
        <v>172</v>
      </c>
      <c r="AP110">
        <f t="shared" ca="1" si="15"/>
        <v>171</v>
      </c>
      <c r="AQ110">
        <f t="shared" ca="1" si="15"/>
        <v>170</v>
      </c>
      <c r="AR110">
        <f t="shared" ca="1" si="15"/>
        <v>169</v>
      </c>
      <c r="AS110">
        <f t="shared" ca="1" si="15"/>
        <v>168</v>
      </c>
      <c r="AT110">
        <f t="shared" ca="1" si="15"/>
        <v>167</v>
      </c>
      <c r="AU110">
        <f t="shared" ca="1" si="15"/>
        <v>166</v>
      </c>
      <c r="AV110">
        <f t="shared" ca="1" si="15"/>
        <v>165</v>
      </c>
      <c r="AW110">
        <f t="shared" ca="1" si="14"/>
        <v>164</v>
      </c>
      <c r="AX110">
        <f t="shared" ca="1" si="14"/>
        <v>163</v>
      </c>
      <c r="AY110">
        <f t="shared" ca="1" si="14"/>
        <v>162</v>
      </c>
      <c r="AZ110">
        <f t="shared" ca="1" si="14"/>
        <v>161</v>
      </c>
      <c r="BA110">
        <f t="shared" ca="1" si="14"/>
        <v>160</v>
      </c>
      <c r="BB110">
        <f t="shared" ca="1" si="14"/>
        <v>159</v>
      </c>
      <c r="BC110">
        <f t="shared" ca="1" si="14"/>
        <v>158</v>
      </c>
      <c r="BD110">
        <f t="shared" ca="1" si="14"/>
        <v>157</v>
      </c>
      <c r="BE110">
        <f t="shared" ca="1" si="14"/>
        <v>156</v>
      </c>
      <c r="BF110">
        <f t="shared" ca="1" si="14"/>
        <v>155</v>
      </c>
      <c r="BG110">
        <f t="shared" ca="1" si="14"/>
        <v>154</v>
      </c>
      <c r="BH110">
        <f t="shared" ca="1" si="7"/>
        <v>153</v>
      </c>
      <c r="BI110">
        <f t="shared" ca="1" si="7"/>
        <v>152</v>
      </c>
    </row>
    <row r="111" spans="1:61" x14ac:dyDescent="0.25">
      <c r="A111" s="20">
        <v>46</v>
      </c>
      <c r="B111">
        <f t="shared" ca="1" si="13"/>
        <v>9999</v>
      </c>
      <c r="C111">
        <f t="shared" ca="1" si="13"/>
        <v>9999</v>
      </c>
      <c r="D111">
        <f t="shared" ca="1" si="13"/>
        <v>9999</v>
      </c>
      <c r="E111">
        <f t="shared" ca="1" si="13"/>
        <v>9999</v>
      </c>
      <c r="F111">
        <f t="shared" ca="1" si="13"/>
        <v>9999</v>
      </c>
      <c r="G111">
        <f t="shared" ca="1" si="13"/>
        <v>9999</v>
      </c>
      <c r="H111">
        <f t="shared" ca="1" si="13"/>
        <v>9999</v>
      </c>
      <c r="I111">
        <f t="shared" ca="1" si="13"/>
        <v>9999</v>
      </c>
      <c r="J111">
        <f t="shared" ca="1" si="13"/>
        <v>9999</v>
      </c>
      <c r="K111">
        <f t="shared" ca="1" si="13"/>
        <v>9999</v>
      </c>
      <c r="L111">
        <f t="shared" ca="1" si="13"/>
        <v>9999</v>
      </c>
      <c r="M111">
        <f t="shared" ca="1" si="13"/>
        <v>9999</v>
      </c>
      <c r="N111">
        <f t="shared" ca="1" si="13"/>
        <v>9999</v>
      </c>
      <c r="O111">
        <f t="shared" ca="1" si="13"/>
        <v>9999</v>
      </c>
      <c r="P111">
        <f t="shared" ca="1" si="13"/>
        <v>9999</v>
      </c>
      <c r="Q111">
        <f t="shared" ca="1" si="13"/>
        <v>9999</v>
      </c>
      <c r="R111">
        <f t="shared" ca="1" si="12"/>
        <v>9999</v>
      </c>
      <c r="S111">
        <f t="shared" ca="1" si="12"/>
        <v>9999</v>
      </c>
      <c r="T111">
        <f t="shared" ca="1" si="12"/>
        <v>9999</v>
      </c>
      <c r="U111">
        <f t="shared" ca="1" si="12"/>
        <v>9999</v>
      </c>
      <c r="V111">
        <f t="shared" ca="1" si="12"/>
        <v>9999</v>
      </c>
      <c r="W111">
        <f t="shared" ca="1" si="12"/>
        <v>9999</v>
      </c>
      <c r="X111">
        <f t="shared" ca="1" si="12"/>
        <v>9999</v>
      </c>
      <c r="Y111">
        <f t="shared" ca="1" si="12"/>
        <v>9999</v>
      </c>
      <c r="Z111">
        <f t="shared" ca="1" si="12"/>
        <v>9999</v>
      </c>
      <c r="AA111">
        <f t="shared" ca="1" si="12"/>
        <v>9999</v>
      </c>
      <c r="AB111">
        <f t="shared" ca="1" si="12"/>
        <v>9999</v>
      </c>
      <c r="AC111">
        <f t="shared" ca="1" si="12"/>
        <v>9999</v>
      </c>
      <c r="AD111">
        <f t="shared" ca="1" si="12"/>
        <v>151</v>
      </c>
      <c r="AE111">
        <f t="shared" ca="1" si="12"/>
        <v>150</v>
      </c>
      <c r="AF111">
        <f t="shared" ca="1" si="12"/>
        <v>149</v>
      </c>
      <c r="AG111">
        <f t="shared" ca="1" si="15"/>
        <v>148</v>
      </c>
      <c r="AH111">
        <f t="shared" ca="1" si="15"/>
        <v>147</v>
      </c>
      <c r="AI111">
        <f t="shared" ca="1" si="15"/>
        <v>146</v>
      </c>
      <c r="AJ111">
        <f t="shared" ca="1" si="15"/>
        <v>145</v>
      </c>
      <c r="AK111">
        <f t="shared" ca="1" si="15"/>
        <v>144</v>
      </c>
      <c r="AL111">
        <f t="shared" ca="1" si="15"/>
        <v>143</v>
      </c>
      <c r="AM111">
        <f t="shared" ca="1" si="15"/>
        <v>142</v>
      </c>
      <c r="AN111">
        <f t="shared" ca="1" si="15"/>
        <v>141</v>
      </c>
      <c r="AO111">
        <f t="shared" ca="1" si="15"/>
        <v>140</v>
      </c>
      <c r="AP111">
        <f t="shared" ca="1" si="15"/>
        <v>139</v>
      </c>
      <c r="AQ111">
        <f t="shared" ca="1" si="15"/>
        <v>138</v>
      </c>
      <c r="AR111">
        <f t="shared" ca="1" si="15"/>
        <v>137</v>
      </c>
      <c r="AS111">
        <f t="shared" ca="1" si="15"/>
        <v>136</v>
      </c>
      <c r="AT111">
        <f t="shared" ca="1" si="15"/>
        <v>135</v>
      </c>
      <c r="AU111">
        <f t="shared" ca="1" si="15"/>
        <v>134</v>
      </c>
      <c r="AV111">
        <f t="shared" ca="1" si="15"/>
        <v>133</v>
      </c>
      <c r="AW111">
        <f t="shared" ca="1" si="14"/>
        <v>132</v>
      </c>
      <c r="AX111">
        <f t="shared" ca="1" si="14"/>
        <v>131</v>
      </c>
      <c r="AY111">
        <f t="shared" ca="1" si="14"/>
        <v>130</v>
      </c>
      <c r="AZ111">
        <f t="shared" ca="1" si="14"/>
        <v>129</v>
      </c>
      <c r="BA111">
        <f t="shared" ca="1" si="14"/>
        <v>128</v>
      </c>
      <c r="BB111">
        <f t="shared" ca="1" si="14"/>
        <v>127</v>
      </c>
      <c r="BC111">
        <f t="shared" ca="1" si="14"/>
        <v>126</v>
      </c>
      <c r="BD111">
        <f t="shared" ca="1" si="14"/>
        <v>125</v>
      </c>
      <c r="BE111">
        <f t="shared" ca="1" si="14"/>
        <v>124</v>
      </c>
      <c r="BF111">
        <f t="shared" ca="1" si="14"/>
        <v>123</v>
      </c>
      <c r="BG111">
        <f t="shared" ca="1" si="14"/>
        <v>122</v>
      </c>
      <c r="BH111">
        <f t="shared" ca="1" si="7"/>
        <v>121</v>
      </c>
      <c r="BI111">
        <f t="shared" ca="1" si="7"/>
        <v>120</v>
      </c>
    </row>
    <row r="112" spans="1:61" x14ac:dyDescent="0.25">
      <c r="A112" s="20">
        <v>47</v>
      </c>
      <c r="B112">
        <f t="shared" ca="1" si="13"/>
        <v>9999</v>
      </c>
      <c r="C112">
        <f t="shared" ca="1" si="13"/>
        <v>9999</v>
      </c>
      <c r="D112">
        <f t="shared" ca="1" si="13"/>
        <v>9999</v>
      </c>
      <c r="E112">
        <f t="shared" ca="1" si="13"/>
        <v>9999</v>
      </c>
      <c r="F112">
        <f t="shared" ca="1" si="13"/>
        <v>9999</v>
      </c>
      <c r="G112">
        <f t="shared" ca="1" si="13"/>
        <v>9999</v>
      </c>
      <c r="H112">
        <f t="shared" ca="1" si="13"/>
        <v>9999</v>
      </c>
      <c r="I112">
        <f t="shared" ca="1" si="13"/>
        <v>9999</v>
      </c>
      <c r="J112">
        <f t="shared" ca="1" si="13"/>
        <v>9999</v>
      </c>
      <c r="K112">
        <f t="shared" ca="1" si="13"/>
        <v>9999</v>
      </c>
      <c r="L112">
        <f t="shared" ca="1" si="13"/>
        <v>9999</v>
      </c>
      <c r="M112">
        <f t="shared" ca="1" si="13"/>
        <v>9999</v>
      </c>
      <c r="N112">
        <f t="shared" ca="1" si="13"/>
        <v>9999</v>
      </c>
      <c r="O112">
        <f t="shared" ca="1" si="13"/>
        <v>9999</v>
      </c>
      <c r="P112">
        <f t="shared" ca="1" si="13"/>
        <v>9999</v>
      </c>
      <c r="Q112">
        <f t="shared" ca="1" si="13"/>
        <v>9999</v>
      </c>
      <c r="R112">
        <f t="shared" ca="1" si="12"/>
        <v>9999</v>
      </c>
      <c r="S112">
        <f t="shared" ca="1" si="12"/>
        <v>9999</v>
      </c>
      <c r="T112">
        <f t="shared" ca="1" si="12"/>
        <v>9999</v>
      </c>
      <c r="U112">
        <f t="shared" ca="1" si="12"/>
        <v>9999</v>
      </c>
      <c r="V112">
        <f t="shared" ca="1" si="12"/>
        <v>9999</v>
      </c>
      <c r="W112">
        <f t="shared" ca="1" si="12"/>
        <v>9999</v>
      </c>
      <c r="X112">
        <f t="shared" ca="1" si="12"/>
        <v>9999</v>
      </c>
      <c r="Y112">
        <f t="shared" ca="1" si="12"/>
        <v>9999</v>
      </c>
      <c r="Z112">
        <f t="shared" ca="1" si="12"/>
        <v>9999</v>
      </c>
      <c r="AA112">
        <f t="shared" ca="1" si="12"/>
        <v>9999</v>
      </c>
      <c r="AB112">
        <f t="shared" ca="1" si="12"/>
        <v>9999</v>
      </c>
      <c r="AC112">
        <f t="shared" ca="1" si="12"/>
        <v>9999</v>
      </c>
      <c r="AD112">
        <f t="shared" ca="1" si="12"/>
        <v>16</v>
      </c>
      <c r="AE112">
        <f t="shared" ca="1" si="12"/>
        <v>17</v>
      </c>
      <c r="AF112">
        <f t="shared" ca="1" si="12"/>
        <v>18</v>
      </c>
      <c r="AG112">
        <f t="shared" ca="1" si="15"/>
        <v>19</v>
      </c>
      <c r="AH112">
        <f t="shared" ca="1" si="15"/>
        <v>20</v>
      </c>
      <c r="AI112">
        <f t="shared" ca="1" si="15"/>
        <v>21</v>
      </c>
      <c r="AJ112">
        <f t="shared" ca="1" si="15"/>
        <v>22</v>
      </c>
      <c r="AK112">
        <f t="shared" ca="1" si="15"/>
        <v>23</v>
      </c>
      <c r="AL112">
        <f t="shared" ca="1" si="15"/>
        <v>24</v>
      </c>
      <c r="AM112">
        <f t="shared" ca="1" si="15"/>
        <v>25</v>
      </c>
      <c r="AN112">
        <f t="shared" ca="1" si="15"/>
        <v>26</v>
      </c>
      <c r="AO112">
        <f t="shared" ca="1" si="15"/>
        <v>27</v>
      </c>
      <c r="AP112">
        <f t="shared" ca="1" si="15"/>
        <v>28</v>
      </c>
      <c r="AQ112">
        <f t="shared" ca="1" si="15"/>
        <v>29</v>
      </c>
      <c r="AR112">
        <f t="shared" ca="1" si="15"/>
        <v>30</v>
      </c>
      <c r="AS112">
        <f t="shared" ca="1" si="15"/>
        <v>31</v>
      </c>
      <c r="AT112">
        <f t="shared" ca="1" si="15"/>
        <v>32</v>
      </c>
      <c r="AU112">
        <f t="shared" ca="1" si="15"/>
        <v>33</v>
      </c>
      <c r="AV112">
        <f t="shared" ca="1" si="15"/>
        <v>34</v>
      </c>
      <c r="AW112">
        <f t="shared" ca="1" si="14"/>
        <v>35</v>
      </c>
      <c r="AX112">
        <f t="shared" ca="1" si="14"/>
        <v>36</v>
      </c>
      <c r="AY112">
        <f t="shared" ca="1" si="14"/>
        <v>37</v>
      </c>
      <c r="AZ112">
        <f t="shared" ca="1" si="14"/>
        <v>38</v>
      </c>
      <c r="BA112">
        <f t="shared" ca="1" si="14"/>
        <v>39</v>
      </c>
      <c r="BB112">
        <f t="shared" ca="1" si="14"/>
        <v>40</v>
      </c>
      <c r="BC112">
        <f t="shared" ca="1" si="14"/>
        <v>41</v>
      </c>
      <c r="BD112">
        <f t="shared" ca="1" si="14"/>
        <v>42</v>
      </c>
      <c r="BE112">
        <f t="shared" ca="1" si="14"/>
        <v>43</v>
      </c>
      <c r="BF112">
        <f t="shared" ca="1" si="14"/>
        <v>44</v>
      </c>
      <c r="BG112">
        <f t="shared" ca="1" si="14"/>
        <v>45</v>
      </c>
      <c r="BH112">
        <f t="shared" ca="1" si="7"/>
        <v>46</v>
      </c>
      <c r="BI112">
        <f t="shared" ca="1" si="7"/>
        <v>47</v>
      </c>
    </row>
    <row r="113" spans="1:61" x14ac:dyDescent="0.25">
      <c r="A113" s="20">
        <v>48</v>
      </c>
      <c r="B113">
        <f t="shared" ca="1" si="13"/>
        <v>9999</v>
      </c>
      <c r="C113">
        <f t="shared" ca="1" si="13"/>
        <v>9999</v>
      </c>
      <c r="D113">
        <f t="shared" ca="1" si="13"/>
        <v>9999</v>
      </c>
      <c r="E113">
        <f t="shared" ca="1" si="13"/>
        <v>9999</v>
      </c>
      <c r="F113">
        <f t="shared" ca="1" si="13"/>
        <v>9999</v>
      </c>
      <c r="G113">
        <f t="shared" ca="1" si="13"/>
        <v>9999</v>
      </c>
      <c r="H113">
        <f t="shared" ca="1" si="13"/>
        <v>9999</v>
      </c>
      <c r="I113">
        <f t="shared" ca="1" si="13"/>
        <v>9999</v>
      </c>
      <c r="J113">
        <f t="shared" ca="1" si="13"/>
        <v>9999</v>
      </c>
      <c r="K113">
        <f t="shared" ca="1" si="13"/>
        <v>9999</v>
      </c>
      <c r="L113">
        <f t="shared" ca="1" si="13"/>
        <v>9999</v>
      </c>
      <c r="M113">
        <f t="shared" ca="1" si="13"/>
        <v>9999</v>
      </c>
      <c r="N113">
        <f t="shared" ca="1" si="13"/>
        <v>9999</v>
      </c>
      <c r="O113">
        <f t="shared" ca="1" si="13"/>
        <v>9999</v>
      </c>
      <c r="P113">
        <f t="shared" ca="1" si="13"/>
        <v>9999</v>
      </c>
      <c r="Q113">
        <f t="shared" ca="1" si="13"/>
        <v>9999</v>
      </c>
      <c r="R113">
        <f t="shared" ca="1" si="12"/>
        <v>9999</v>
      </c>
      <c r="S113">
        <f t="shared" ca="1" si="12"/>
        <v>9999</v>
      </c>
      <c r="T113">
        <f t="shared" ca="1" si="12"/>
        <v>9999</v>
      </c>
      <c r="U113">
        <f t="shared" ca="1" si="12"/>
        <v>9999</v>
      </c>
      <c r="V113">
        <f t="shared" ca="1" si="12"/>
        <v>9999</v>
      </c>
      <c r="W113">
        <f t="shared" ca="1" si="12"/>
        <v>9999</v>
      </c>
      <c r="X113">
        <f t="shared" ca="1" si="12"/>
        <v>9999</v>
      </c>
      <c r="Y113">
        <f t="shared" ca="1" si="12"/>
        <v>9999</v>
      </c>
      <c r="Z113">
        <f t="shared" ca="1" si="12"/>
        <v>9999</v>
      </c>
      <c r="AA113">
        <f t="shared" ca="1" si="12"/>
        <v>9999</v>
      </c>
      <c r="AB113">
        <f t="shared" ca="1" si="12"/>
        <v>9999</v>
      </c>
      <c r="AC113">
        <f t="shared" ca="1" si="12"/>
        <v>9999</v>
      </c>
      <c r="AD113">
        <f t="shared" ca="1" si="12"/>
        <v>48</v>
      </c>
      <c r="AE113">
        <f t="shared" ca="1" si="12"/>
        <v>49</v>
      </c>
      <c r="AF113">
        <f t="shared" ca="1" si="12"/>
        <v>50</v>
      </c>
      <c r="AG113">
        <f t="shared" ca="1" si="15"/>
        <v>51</v>
      </c>
      <c r="AH113">
        <f t="shared" ca="1" si="15"/>
        <v>52</v>
      </c>
      <c r="AI113">
        <f t="shared" ca="1" si="15"/>
        <v>53</v>
      </c>
      <c r="AJ113">
        <f t="shared" ca="1" si="15"/>
        <v>54</v>
      </c>
      <c r="AK113">
        <f t="shared" ca="1" si="15"/>
        <v>55</v>
      </c>
      <c r="AL113">
        <f t="shared" ca="1" si="15"/>
        <v>56</v>
      </c>
      <c r="AM113">
        <f t="shared" ca="1" si="15"/>
        <v>57</v>
      </c>
      <c r="AN113">
        <f t="shared" ca="1" si="15"/>
        <v>58</v>
      </c>
      <c r="AO113">
        <f t="shared" ca="1" si="15"/>
        <v>59</v>
      </c>
      <c r="AP113">
        <f t="shared" ca="1" si="15"/>
        <v>60</v>
      </c>
      <c r="AQ113">
        <f t="shared" ca="1" si="15"/>
        <v>61</v>
      </c>
      <c r="AR113">
        <f t="shared" ca="1" si="15"/>
        <v>62</v>
      </c>
      <c r="AS113">
        <f t="shared" ca="1" si="15"/>
        <v>63</v>
      </c>
      <c r="AT113">
        <f t="shared" ca="1" si="15"/>
        <v>64</v>
      </c>
      <c r="AU113">
        <f t="shared" ca="1" si="15"/>
        <v>65</v>
      </c>
      <c r="AV113">
        <f t="shared" ca="1" si="15"/>
        <v>66</v>
      </c>
      <c r="AW113">
        <f t="shared" ca="1" si="14"/>
        <v>67</v>
      </c>
      <c r="AX113">
        <f t="shared" ca="1" si="14"/>
        <v>68</v>
      </c>
      <c r="AY113">
        <f t="shared" ca="1" si="14"/>
        <v>69</v>
      </c>
      <c r="AZ113">
        <f t="shared" ca="1" si="14"/>
        <v>70</v>
      </c>
      <c r="BA113">
        <f t="shared" ca="1" si="14"/>
        <v>71</v>
      </c>
      <c r="BB113">
        <f t="shared" ca="1" si="14"/>
        <v>72</v>
      </c>
      <c r="BC113">
        <f t="shared" ca="1" si="14"/>
        <v>73</v>
      </c>
      <c r="BD113">
        <f t="shared" ca="1" si="14"/>
        <v>74</v>
      </c>
      <c r="BE113">
        <f t="shared" ca="1" si="14"/>
        <v>75</v>
      </c>
      <c r="BF113">
        <f t="shared" ca="1" si="14"/>
        <v>76</v>
      </c>
      <c r="BG113">
        <f t="shared" ca="1" si="14"/>
        <v>77</v>
      </c>
      <c r="BH113">
        <f t="shared" ca="1" si="7"/>
        <v>78</v>
      </c>
      <c r="BI113">
        <f t="shared" ca="1" si="7"/>
        <v>79</v>
      </c>
    </row>
    <row r="114" spans="1:61" x14ac:dyDescent="0.25">
      <c r="A114" s="20">
        <v>49</v>
      </c>
      <c r="B114">
        <f t="shared" ca="1" si="13"/>
        <v>9999</v>
      </c>
      <c r="C114">
        <f t="shared" ca="1" si="13"/>
        <v>9999</v>
      </c>
      <c r="D114">
        <f t="shared" ca="1" si="13"/>
        <v>9999</v>
      </c>
      <c r="E114">
        <f t="shared" ca="1" si="13"/>
        <v>9999</v>
      </c>
      <c r="F114">
        <f t="shared" ca="1" si="13"/>
        <v>9999</v>
      </c>
      <c r="G114">
        <f t="shared" ca="1" si="13"/>
        <v>9999</v>
      </c>
      <c r="H114">
        <f t="shared" ca="1" si="13"/>
        <v>9999</v>
      </c>
      <c r="I114">
        <f t="shared" ca="1" si="13"/>
        <v>9999</v>
      </c>
      <c r="J114">
        <f t="shared" ca="1" si="13"/>
        <v>9999</v>
      </c>
      <c r="K114">
        <f t="shared" ca="1" si="13"/>
        <v>9999</v>
      </c>
      <c r="L114">
        <f t="shared" ca="1" si="13"/>
        <v>9999</v>
      </c>
      <c r="M114">
        <f t="shared" ca="1" si="13"/>
        <v>9999</v>
      </c>
      <c r="N114">
        <f t="shared" ca="1" si="13"/>
        <v>9999</v>
      </c>
      <c r="O114">
        <f t="shared" ca="1" si="13"/>
        <v>9999</v>
      </c>
      <c r="P114">
        <f t="shared" ca="1" si="13"/>
        <v>9999</v>
      </c>
      <c r="Q114">
        <f t="shared" ca="1" si="13"/>
        <v>9999</v>
      </c>
      <c r="R114">
        <f t="shared" ca="1" si="12"/>
        <v>9999</v>
      </c>
      <c r="S114">
        <f t="shared" ca="1" si="12"/>
        <v>9999</v>
      </c>
      <c r="T114">
        <f t="shared" ca="1" si="12"/>
        <v>9999</v>
      </c>
      <c r="U114">
        <f t="shared" ca="1" si="12"/>
        <v>9999</v>
      </c>
      <c r="V114">
        <f t="shared" ca="1" si="12"/>
        <v>9999</v>
      </c>
      <c r="W114">
        <f t="shared" ca="1" si="12"/>
        <v>9999</v>
      </c>
      <c r="X114">
        <f t="shared" ca="1" si="12"/>
        <v>9999</v>
      </c>
      <c r="Y114">
        <f t="shared" ca="1" si="12"/>
        <v>9999</v>
      </c>
      <c r="Z114">
        <f t="shared" ca="1" si="12"/>
        <v>9999</v>
      </c>
      <c r="AA114">
        <f t="shared" ca="1" si="12"/>
        <v>9999</v>
      </c>
      <c r="AB114">
        <f t="shared" ca="1" si="12"/>
        <v>9999</v>
      </c>
      <c r="AC114">
        <f t="shared" ca="1" si="12"/>
        <v>9999</v>
      </c>
      <c r="AD114">
        <f t="shared" ca="1" si="12"/>
        <v>80</v>
      </c>
      <c r="AE114">
        <f t="shared" ca="1" si="12"/>
        <v>81</v>
      </c>
      <c r="AF114">
        <f t="shared" ca="1" si="12"/>
        <v>82</v>
      </c>
      <c r="AG114">
        <f t="shared" ca="1" si="15"/>
        <v>83</v>
      </c>
      <c r="AH114">
        <f t="shared" ca="1" si="15"/>
        <v>84</v>
      </c>
      <c r="AI114">
        <f t="shared" ca="1" si="15"/>
        <v>85</v>
      </c>
      <c r="AJ114">
        <f t="shared" ca="1" si="15"/>
        <v>86</v>
      </c>
      <c r="AK114">
        <f t="shared" ca="1" si="15"/>
        <v>87</v>
      </c>
      <c r="AL114">
        <f t="shared" ca="1" si="15"/>
        <v>88</v>
      </c>
      <c r="AM114">
        <f t="shared" ca="1" si="15"/>
        <v>89</v>
      </c>
      <c r="AN114">
        <f t="shared" ca="1" si="15"/>
        <v>90</v>
      </c>
      <c r="AO114">
        <f t="shared" ca="1" si="15"/>
        <v>91</v>
      </c>
      <c r="AP114">
        <f t="shared" ca="1" si="15"/>
        <v>92</v>
      </c>
      <c r="AQ114">
        <f t="shared" ca="1" si="15"/>
        <v>93</v>
      </c>
      <c r="AR114">
        <f t="shared" ca="1" si="15"/>
        <v>94</v>
      </c>
      <c r="AS114">
        <f t="shared" ca="1" si="15"/>
        <v>95</v>
      </c>
      <c r="AT114">
        <f t="shared" ca="1" si="15"/>
        <v>96</v>
      </c>
      <c r="AU114">
        <f t="shared" ca="1" si="15"/>
        <v>97</v>
      </c>
      <c r="AV114">
        <f t="shared" ca="1" si="15"/>
        <v>98</v>
      </c>
      <c r="AW114">
        <f t="shared" ca="1" si="14"/>
        <v>99</v>
      </c>
      <c r="AX114">
        <f t="shared" ca="1" si="14"/>
        <v>100</v>
      </c>
      <c r="AY114">
        <f t="shared" ca="1" si="14"/>
        <v>101</v>
      </c>
      <c r="AZ114">
        <f t="shared" ca="1" si="14"/>
        <v>102</v>
      </c>
      <c r="BA114">
        <f t="shared" ca="1" si="14"/>
        <v>103</v>
      </c>
      <c r="BB114">
        <f t="shared" ca="1" si="14"/>
        <v>104</v>
      </c>
      <c r="BC114">
        <f t="shared" ca="1" si="14"/>
        <v>105</v>
      </c>
      <c r="BD114">
        <f t="shared" ca="1" si="14"/>
        <v>106</v>
      </c>
      <c r="BE114">
        <f t="shared" ca="1" si="14"/>
        <v>107</v>
      </c>
      <c r="BF114">
        <f t="shared" ca="1" si="14"/>
        <v>108</v>
      </c>
      <c r="BG114">
        <f t="shared" ca="1" si="14"/>
        <v>109</v>
      </c>
      <c r="BH114">
        <f t="shared" ca="1" si="7"/>
        <v>110</v>
      </c>
      <c r="BI114">
        <f t="shared" ca="1" si="7"/>
        <v>111</v>
      </c>
    </row>
    <row r="115" spans="1:61" x14ac:dyDescent="0.25">
      <c r="A115" s="20">
        <v>50</v>
      </c>
      <c r="B115">
        <f t="shared" ca="1" si="13"/>
        <v>9999</v>
      </c>
      <c r="C115">
        <f t="shared" ca="1" si="13"/>
        <v>9999</v>
      </c>
      <c r="D115">
        <f t="shared" ca="1" si="13"/>
        <v>9999</v>
      </c>
      <c r="E115">
        <f t="shared" ca="1" si="13"/>
        <v>9999</v>
      </c>
      <c r="F115">
        <f t="shared" ca="1" si="13"/>
        <v>9999</v>
      </c>
      <c r="G115">
        <f t="shared" ca="1" si="13"/>
        <v>9999</v>
      </c>
      <c r="H115">
        <f t="shared" ca="1" si="13"/>
        <v>9999</v>
      </c>
      <c r="I115">
        <f t="shared" ca="1" si="13"/>
        <v>9999</v>
      </c>
      <c r="J115">
        <f t="shared" ca="1" si="13"/>
        <v>9999</v>
      </c>
      <c r="K115">
        <f t="shared" ca="1" si="13"/>
        <v>9999</v>
      </c>
      <c r="L115">
        <f t="shared" ca="1" si="13"/>
        <v>9999</v>
      </c>
      <c r="M115">
        <f t="shared" ca="1" si="13"/>
        <v>9999</v>
      </c>
      <c r="N115">
        <f t="shared" ca="1" si="13"/>
        <v>9999</v>
      </c>
      <c r="O115">
        <f t="shared" ca="1" si="13"/>
        <v>9999</v>
      </c>
      <c r="P115">
        <f t="shared" ca="1" si="13"/>
        <v>9999</v>
      </c>
      <c r="Q115">
        <f t="shared" ca="1" si="13"/>
        <v>9999</v>
      </c>
      <c r="R115">
        <f t="shared" ca="1" si="12"/>
        <v>9999</v>
      </c>
      <c r="S115">
        <f t="shared" ca="1" si="12"/>
        <v>9999</v>
      </c>
      <c r="T115">
        <f t="shared" ca="1" si="12"/>
        <v>9999</v>
      </c>
      <c r="U115">
        <f t="shared" ca="1" si="12"/>
        <v>9999</v>
      </c>
      <c r="V115">
        <f t="shared" ca="1" si="12"/>
        <v>9999</v>
      </c>
      <c r="W115">
        <f t="shared" ca="1" si="12"/>
        <v>9999</v>
      </c>
      <c r="X115">
        <f t="shared" ca="1" si="12"/>
        <v>9999</v>
      </c>
      <c r="Y115">
        <f t="shared" ca="1" si="12"/>
        <v>9999</v>
      </c>
      <c r="Z115">
        <f t="shared" ca="1" si="12"/>
        <v>9999</v>
      </c>
      <c r="AA115">
        <f t="shared" ca="1" si="12"/>
        <v>9999</v>
      </c>
      <c r="AB115">
        <f t="shared" ca="1" si="12"/>
        <v>9999</v>
      </c>
      <c r="AC115">
        <f t="shared" ca="1" si="12"/>
        <v>9999</v>
      </c>
      <c r="AD115">
        <f t="shared" ca="1" si="12"/>
        <v>112</v>
      </c>
      <c r="AE115">
        <f t="shared" ca="1" si="12"/>
        <v>113</v>
      </c>
      <c r="AF115">
        <f t="shared" ca="1" si="12"/>
        <v>114</v>
      </c>
      <c r="AG115">
        <f t="shared" ca="1" si="15"/>
        <v>115</v>
      </c>
      <c r="AH115">
        <f t="shared" ca="1" si="15"/>
        <v>116</v>
      </c>
      <c r="AI115">
        <f t="shared" ca="1" si="15"/>
        <v>117</v>
      </c>
      <c r="AJ115">
        <f t="shared" ca="1" si="15"/>
        <v>118</v>
      </c>
      <c r="AK115">
        <f t="shared" ca="1" si="15"/>
        <v>119</v>
      </c>
      <c r="AL115">
        <f t="shared" ca="1" si="15"/>
        <v>119</v>
      </c>
      <c r="AM115">
        <f t="shared" ca="1" si="15"/>
        <v>118</v>
      </c>
      <c r="AN115">
        <f t="shared" ca="1" si="15"/>
        <v>117</v>
      </c>
      <c r="AO115">
        <f t="shared" ca="1" si="15"/>
        <v>116</v>
      </c>
      <c r="AP115">
        <f t="shared" ca="1" si="15"/>
        <v>115</v>
      </c>
      <c r="AQ115">
        <f t="shared" ca="1" si="15"/>
        <v>114</v>
      </c>
      <c r="AR115">
        <f t="shared" ca="1" si="15"/>
        <v>113</v>
      </c>
      <c r="AS115">
        <f t="shared" ca="1" si="15"/>
        <v>112</v>
      </c>
      <c r="AT115">
        <f t="shared" ca="1" si="15"/>
        <v>111</v>
      </c>
      <c r="AU115">
        <f t="shared" ca="1" si="15"/>
        <v>110</v>
      </c>
      <c r="AV115">
        <f t="shared" ca="1" si="15"/>
        <v>109</v>
      </c>
      <c r="AW115">
        <f t="shared" ca="1" si="14"/>
        <v>108</v>
      </c>
      <c r="AX115">
        <f t="shared" ca="1" si="14"/>
        <v>107</v>
      </c>
      <c r="AY115">
        <f t="shared" ca="1" si="14"/>
        <v>106</v>
      </c>
      <c r="AZ115">
        <f t="shared" ca="1" si="14"/>
        <v>105</v>
      </c>
      <c r="BA115">
        <f t="shared" ca="1" si="14"/>
        <v>104</v>
      </c>
      <c r="BB115">
        <f t="shared" ca="1" si="14"/>
        <v>103</v>
      </c>
      <c r="BC115">
        <f t="shared" ca="1" si="14"/>
        <v>102</v>
      </c>
      <c r="BD115">
        <f t="shared" ca="1" si="14"/>
        <v>101</v>
      </c>
      <c r="BE115">
        <f t="shared" ca="1" si="14"/>
        <v>100</v>
      </c>
      <c r="BF115">
        <f t="shared" ca="1" si="14"/>
        <v>99</v>
      </c>
      <c r="BG115">
        <f t="shared" ca="1" si="14"/>
        <v>98</v>
      </c>
      <c r="BH115">
        <f t="shared" ca="1" si="7"/>
        <v>97</v>
      </c>
      <c r="BI115">
        <f t="shared" ca="1" si="7"/>
        <v>96</v>
      </c>
    </row>
    <row r="116" spans="1:61" x14ac:dyDescent="0.25">
      <c r="A116" s="20">
        <v>51</v>
      </c>
      <c r="B116">
        <f t="shared" ca="1" si="13"/>
        <v>9999</v>
      </c>
      <c r="C116">
        <f t="shared" ca="1" si="13"/>
        <v>9999</v>
      </c>
      <c r="D116">
        <f t="shared" ca="1" si="13"/>
        <v>9999</v>
      </c>
      <c r="E116">
        <f t="shared" ca="1" si="13"/>
        <v>9999</v>
      </c>
      <c r="F116">
        <f t="shared" ca="1" si="13"/>
        <v>9999</v>
      </c>
      <c r="G116">
        <f t="shared" ca="1" si="13"/>
        <v>9999</v>
      </c>
      <c r="H116">
        <f t="shared" ca="1" si="13"/>
        <v>9999</v>
      </c>
      <c r="I116">
        <f t="shared" ca="1" si="13"/>
        <v>9999</v>
      </c>
      <c r="J116">
        <f t="shared" ca="1" si="13"/>
        <v>9999</v>
      </c>
      <c r="K116">
        <f t="shared" ca="1" si="13"/>
        <v>9999</v>
      </c>
      <c r="L116">
        <f t="shared" ca="1" si="13"/>
        <v>9999</v>
      </c>
      <c r="M116">
        <f t="shared" ca="1" si="13"/>
        <v>9999</v>
      </c>
      <c r="N116">
        <f t="shared" ca="1" si="13"/>
        <v>9999</v>
      </c>
      <c r="O116">
        <f t="shared" ca="1" si="13"/>
        <v>9999</v>
      </c>
      <c r="P116">
        <f t="shared" ca="1" si="13"/>
        <v>9999</v>
      </c>
      <c r="Q116">
        <f t="shared" ca="1" si="13"/>
        <v>9999</v>
      </c>
      <c r="R116">
        <f t="shared" ca="1" si="12"/>
        <v>9999</v>
      </c>
      <c r="S116">
        <f t="shared" ca="1" si="12"/>
        <v>9999</v>
      </c>
      <c r="T116">
        <f t="shared" ca="1" si="12"/>
        <v>9999</v>
      </c>
      <c r="U116">
        <f t="shared" ca="1" si="12"/>
        <v>9999</v>
      </c>
      <c r="V116">
        <f t="shared" ca="1" si="12"/>
        <v>9999</v>
      </c>
      <c r="W116">
        <f t="shared" ca="1" si="12"/>
        <v>9999</v>
      </c>
      <c r="X116">
        <f t="shared" ca="1" si="12"/>
        <v>9999</v>
      </c>
      <c r="Y116">
        <f t="shared" ca="1" si="12"/>
        <v>9999</v>
      </c>
      <c r="Z116">
        <f t="shared" ca="1" si="12"/>
        <v>9999</v>
      </c>
      <c r="AA116">
        <f t="shared" ca="1" si="12"/>
        <v>9999</v>
      </c>
      <c r="AB116">
        <f t="shared" ca="1" si="12"/>
        <v>9999</v>
      </c>
      <c r="AC116">
        <f t="shared" ca="1" si="12"/>
        <v>9999</v>
      </c>
      <c r="AD116">
        <f t="shared" ca="1" si="12"/>
        <v>95</v>
      </c>
      <c r="AE116">
        <f t="shared" ca="1" si="12"/>
        <v>94</v>
      </c>
      <c r="AF116">
        <f t="shared" ca="1" si="12"/>
        <v>93</v>
      </c>
      <c r="AG116">
        <f t="shared" ca="1" si="15"/>
        <v>92</v>
      </c>
      <c r="AH116">
        <f t="shared" ca="1" si="15"/>
        <v>91</v>
      </c>
      <c r="AI116">
        <f t="shared" ca="1" si="15"/>
        <v>90</v>
      </c>
      <c r="AJ116">
        <f t="shared" ca="1" si="15"/>
        <v>89</v>
      </c>
      <c r="AK116">
        <f t="shared" ca="1" si="15"/>
        <v>88</v>
      </c>
      <c r="AL116">
        <f t="shared" ca="1" si="15"/>
        <v>87</v>
      </c>
      <c r="AM116">
        <f t="shared" ca="1" si="15"/>
        <v>86</v>
      </c>
      <c r="AN116">
        <f t="shared" ca="1" si="15"/>
        <v>85</v>
      </c>
      <c r="AO116">
        <f t="shared" ca="1" si="15"/>
        <v>84</v>
      </c>
      <c r="AP116">
        <f t="shared" ca="1" si="15"/>
        <v>83</v>
      </c>
      <c r="AQ116">
        <f t="shared" ca="1" si="15"/>
        <v>82</v>
      </c>
      <c r="AR116">
        <f t="shared" ca="1" si="15"/>
        <v>81</v>
      </c>
      <c r="AS116">
        <f t="shared" ca="1" si="15"/>
        <v>80</v>
      </c>
      <c r="AT116">
        <f t="shared" ca="1" si="15"/>
        <v>79</v>
      </c>
      <c r="AU116">
        <f t="shared" ca="1" si="15"/>
        <v>78</v>
      </c>
      <c r="AV116">
        <f t="shared" ca="1" si="15"/>
        <v>77</v>
      </c>
      <c r="AW116">
        <f t="shared" ca="1" si="14"/>
        <v>76</v>
      </c>
      <c r="AX116">
        <f t="shared" ca="1" si="14"/>
        <v>75</v>
      </c>
      <c r="AY116">
        <f t="shared" ca="1" si="14"/>
        <v>74</v>
      </c>
      <c r="AZ116">
        <f t="shared" ca="1" si="14"/>
        <v>73</v>
      </c>
      <c r="BA116">
        <f t="shared" ca="1" si="14"/>
        <v>72</v>
      </c>
      <c r="BB116">
        <f t="shared" ca="1" si="14"/>
        <v>71</v>
      </c>
      <c r="BC116">
        <f t="shared" ca="1" si="14"/>
        <v>70</v>
      </c>
      <c r="BD116">
        <f t="shared" ca="1" si="14"/>
        <v>69</v>
      </c>
      <c r="BE116">
        <f t="shared" ca="1" si="14"/>
        <v>68</v>
      </c>
      <c r="BF116">
        <f t="shared" ca="1" si="14"/>
        <v>67</v>
      </c>
      <c r="BG116">
        <f t="shared" ca="1" si="14"/>
        <v>66</v>
      </c>
      <c r="BH116">
        <f t="shared" ca="1" si="7"/>
        <v>65</v>
      </c>
      <c r="BI116">
        <f t="shared" ca="1" si="7"/>
        <v>64</v>
      </c>
    </row>
    <row r="117" spans="1:61" x14ac:dyDescent="0.25">
      <c r="A117" s="20">
        <v>52</v>
      </c>
      <c r="B117">
        <f t="shared" ca="1" si="13"/>
        <v>9999</v>
      </c>
      <c r="C117">
        <f t="shared" ca="1" si="13"/>
        <v>9999</v>
      </c>
      <c r="D117">
        <f t="shared" ca="1" si="13"/>
        <v>9999</v>
      </c>
      <c r="E117">
        <f t="shared" ca="1" si="13"/>
        <v>9999</v>
      </c>
      <c r="F117">
        <f t="shared" ca="1" si="13"/>
        <v>9999</v>
      </c>
      <c r="G117">
        <f t="shared" ca="1" si="13"/>
        <v>9999</v>
      </c>
      <c r="H117">
        <f t="shared" ca="1" si="13"/>
        <v>9999</v>
      </c>
      <c r="I117">
        <f t="shared" ca="1" si="13"/>
        <v>9999</v>
      </c>
      <c r="J117">
        <f t="shared" ca="1" si="13"/>
        <v>9999</v>
      </c>
      <c r="K117">
        <f t="shared" ca="1" si="13"/>
        <v>9999</v>
      </c>
      <c r="L117">
        <f t="shared" ca="1" si="13"/>
        <v>9999</v>
      </c>
      <c r="M117">
        <f t="shared" ca="1" si="13"/>
        <v>9999</v>
      </c>
      <c r="N117">
        <f t="shared" ca="1" si="13"/>
        <v>9999</v>
      </c>
      <c r="O117">
        <f t="shared" ca="1" si="13"/>
        <v>9999</v>
      </c>
      <c r="P117">
        <f t="shared" ca="1" si="13"/>
        <v>9999</v>
      </c>
      <c r="Q117">
        <f t="shared" ca="1" si="13"/>
        <v>9999</v>
      </c>
      <c r="R117">
        <f t="shared" ca="1" si="12"/>
        <v>9999</v>
      </c>
      <c r="S117">
        <f t="shared" ca="1" si="12"/>
        <v>9999</v>
      </c>
      <c r="T117">
        <f t="shared" ca="1" si="12"/>
        <v>9999</v>
      </c>
      <c r="U117">
        <f t="shared" ca="1" si="12"/>
        <v>9999</v>
      </c>
      <c r="V117">
        <f t="shared" ca="1" si="12"/>
        <v>9999</v>
      </c>
      <c r="W117">
        <f t="shared" ca="1" si="12"/>
        <v>9999</v>
      </c>
      <c r="X117">
        <f t="shared" ca="1" si="12"/>
        <v>9999</v>
      </c>
      <c r="Y117">
        <f t="shared" ca="1" si="12"/>
        <v>9999</v>
      </c>
      <c r="Z117">
        <f t="shared" ca="1" si="12"/>
        <v>9999</v>
      </c>
      <c r="AA117">
        <f t="shared" ca="1" si="12"/>
        <v>9999</v>
      </c>
      <c r="AB117">
        <f t="shared" ca="1" si="12"/>
        <v>9999</v>
      </c>
      <c r="AC117">
        <f t="shared" ca="1" si="12"/>
        <v>9999</v>
      </c>
      <c r="AD117">
        <f t="shared" ca="1" si="12"/>
        <v>63</v>
      </c>
      <c r="AE117">
        <f t="shared" ca="1" si="12"/>
        <v>62</v>
      </c>
      <c r="AF117">
        <f t="shared" ca="1" si="12"/>
        <v>61</v>
      </c>
      <c r="AG117">
        <f t="shared" ca="1" si="15"/>
        <v>60</v>
      </c>
      <c r="AH117">
        <f t="shared" ca="1" si="15"/>
        <v>59</v>
      </c>
      <c r="AI117">
        <f t="shared" ca="1" si="15"/>
        <v>58</v>
      </c>
      <c r="AJ117">
        <f t="shared" ca="1" si="15"/>
        <v>57</v>
      </c>
      <c r="AK117">
        <f t="shared" ca="1" si="15"/>
        <v>56</v>
      </c>
      <c r="AL117">
        <f t="shared" ca="1" si="15"/>
        <v>55</v>
      </c>
      <c r="AM117">
        <f t="shared" ca="1" si="15"/>
        <v>54</v>
      </c>
      <c r="AN117">
        <f t="shared" ca="1" si="15"/>
        <v>53</v>
      </c>
      <c r="AO117">
        <f t="shared" ca="1" si="15"/>
        <v>52</v>
      </c>
      <c r="AP117">
        <f t="shared" ca="1" si="15"/>
        <v>51</v>
      </c>
      <c r="AQ117">
        <f t="shared" ca="1" si="15"/>
        <v>50</v>
      </c>
      <c r="AR117">
        <f t="shared" ca="1" si="15"/>
        <v>49</v>
      </c>
      <c r="AS117">
        <f t="shared" ca="1" si="15"/>
        <v>48</v>
      </c>
      <c r="AT117">
        <f t="shared" ca="1" si="15"/>
        <v>47</v>
      </c>
      <c r="AU117">
        <f t="shared" ca="1" si="15"/>
        <v>46</v>
      </c>
      <c r="AV117">
        <f t="shared" ca="1" si="15"/>
        <v>45</v>
      </c>
      <c r="AW117">
        <f t="shared" ca="1" si="14"/>
        <v>44</v>
      </c>
      <c r="AX117">
        <f t="shared" ca="1" si="14"/>
        <v>43</v>
      </c>
      <c r="AY117">
        <f t="shared" ca="1" si="14"/>
        <v>42</v>
      </c>
      <c r="AZ117">
        <f t="shared" ca="1" si="14"/>
        <v>41</v>
      </c>
      <c r="BA117">
        <f t="shared" ca="1" si="14"/>
        <v>40</v>
      </c>
      <c r="BB117">
        <f t="shared" ca="1" si="14"/>
        <v>39</v>
      </c>
      <c r="BC117">
        <f t="shared" ca="1" si="14"/>
        <v>38</v>
      </c>
      <c r="BD117">
        <f t="shared" ca="1" si="14"/>
        <v>37</v>
      </c>
      <c r="BE117">
        <f t="shared" ca="1" si="14"/>
        <v>36</v>
      </c>
      <c r="BF117">
        <f t="shared" ca="1" si="14"/>
        <v>35</v>
      </c>
      <c r="BG117">
        <f t="shared" ca="1" si="14"/>
        <v>34</v>
      </c>
      <c r="BH117">
        <f t="shared" ca="1" si="7"/>
        <v>33</v>
      </c>
      <c r="BI117">
        <f t="shared" ca="1" si="7"/>
        <v>32</v>
      </c>
    </row>
    <row r="118" spans="1:61" x14ac:dyDescent="0.25">
      <c r="A118" s="20">
        <v>53</v>
      </c>
      <c r="B118">
        <f t="shared" ca="1" si="13"/>
        <v>9999</v>
      </c>
      <c r="C118">
        <f t="shared" ca="1" si="13"/>
        <v>9999</v>
      </c>
      <c r="D118">
        <f t="shared" ca="1" si="13"/>
        <v>9999</v>
      </c>
      <c r="E118">
        <f t="shared" ca="1" si="13"/>
        <v>9999</v>
      </c>
      <c r="F118">
        <f t="shared" ca="1" si="13"/>
        <v>9999</v>
      </c>
      <c r="G118">
        <f t="shared" ca="1" si="13"/>
        <v>9999</v>
      </c>
      <c r="H118">
        <f t="shared" ca="1" si="13"/>
        <v>9999</v>
      </c>
      <c r="I118">
        <f t="shared" ca="1" si="13"/>
        <v>9999</v>
      </c>
      <c r="J118">
        <f t="shared" ca="1" si="13"/>
        <v>9999</v>
      </c>
      <c r="K118">
        <f t="shared" ca="1" si="13"/>
        <v>9999</v>
      </c>
      <c r="L118">
        <f t="shared" ca="1" si="13"/>
        <v>9999</v>
      </c>
      <c r="M118">
        <f t="shared" ca="1" si="13"/>
        <v>9999</v>
      </c>
      <c r="N118">
        <f t="shared" ca="1" si="13"/>
        <v>9999</v>
      </c>
      <c r="O118">
        <f t="shared" ca="1" si="13"/>
        <v>9999</v>
      </c>
      <c r="P118">
        <f t="shared" ca="1" si="13"/>
        <v>9999</v>
      </c>
      <c r="Q118">
        <f t="shared" ref="Q118:AF125" ca="1" si="16">OFFSET($B$2,60-Q$65,60-$A118)</f>
        <v>9999</v>
      </c>
      <c r="R118">
        <f t="shared" ca="1" si="16"/>
        <v>9999</v>
      </c>
      <c r="S118">
        <f t="shared" ca="1" si="16"/>
        <v>9999</v>
      </c>
      <c r="T118">
        <f t="shared" ca="1" si="16"/>
        <v>9999</v>
      </c>
      <c r="U118">
        <f t="shared" ca="1" si="16"/>
        <v>9999</v>
      </c>
      <c r="V118">
        <f t="shared" ca="1" si="16"/>
        <v>9999</v>
      </c>
      <c r="W118">
        <f t="shared" ca="1" si="16"/>
        <v>9999</v>
      </c>
      <c r="X118">
        <f t="shared" ca="1" si="16"/>
        <v>9999</v>
      </c>
      <c r="Y118">
        <f t="shared" ca="1" si="16"/>
        <v>9999</v>
      </c>
      <c r="Z118">
        <f t="shared" ca="1" si="16"/>
        <v>9999</v>
      </c>
      <c r="AA118">
        <f t="shared" ca="1" si="16"/>
        <v>9999</v>
      </c>
      <c r="AB118">
        <f t="shared" ca="1" si="16"/>
        <v>9999</v>
      </c>
      <c r="AC118">
        <f t="shared" ca="1" si="16"/>
        <v>9999</v>
      </c>
      <c r="AD118">
        <f t="shared" ca="1" si="16"/>
        <v>31</v>
      </c>
      <c r="AE118">
        <f t="shared" ca="1" si="16"/>
        <v>30</v>
      </c>
      <c r="AF118">
        <f t="shared" ca="1" si="16"/>
        <v>29</v>
      </c>
      <c r="AG118">
        <f t="shared" ca="1" si="15"/>
        <v>28</v>
      </c>
      <c r="AH118">
        <f t="shared" ca="1" si="15"/>
        <v>27</v>
      </c>
      <c r="AI118">
        <f t="shared" ca="1" si="15"/>
        <v>26</v>
      </c>
      <c r="AJ118">
        <f t="shared" ca="1" si="15"/>
        <v>25</v>
      </c>
      <c r="AK118">
        <f t="shared" ca="1" si="15"/>
        <v>24</v>
      </c>
      <c r="AL118">
        <f t="shared" ca="1" si="15"/>
        <v>23</v>
      </c>
      <c r="AM118">
        <f t="shared" ca="1" si="15"/>
        <v>22</v>
      </c>
      <c r="AN118">
        <f t="shared" ca="1" si="15"/>
        <v>21</v>
      </c>
      <c r="AO118">
        <f t="shared" ca="1" si="15"/>
        <v>20</v>
      </c>
      <c r="AP118">
        <f t="shared" ca="1" si="15"/>
        <v>19</v>
      </c>
      <c r="AQ118">
        <f t="shared" ca="1" si="15"/>
        <v>18</v>
      </c>
      <c r="AR118">
        <f t="shared" ca="1" si="15"/>
        <v>17</v>
      </c>
      <c r="AS118">
        <f t="shared" ca="1" si="15"/>
        <v>16</v>
      </c>
      <c r="AT118">
        <f t="shared" ca="1" si="15"/>
        <v>15</v>
      </c>
      <c r="AU118">
        <f t="shared" ca="1" si="15"/>
        <v>14</v>
      </c>
      <c r="AV118">
        <f t="shared" ca="1" si="15"/>
        <v>13</v>
      </c>
      <c r="AW118">
        <f t="shared" ca="1" si="14"/>
        <v>12</v>
      </c>
      <c r="AX118">
        <f t="shared" ca="1" si="14"/>
        <v>11</v>
      </c>
      <c r="AY118">
        <f t="shared" ca="1" si="14"/>
        <v>10</v>
      </c>
      <c r="AZ118">
        <f t="shared" ca="1" si="14"/>
        <v>9</v>
      </c>
      <c r="BA118">
        <f t="shared" ca="1" si="14"/>
        <v>8</v>
      </c>
      <c r="BB118">
        <f t="shared" ca="1" si="14"/>
        <v>7</v>
      </c>
      <c r="BC118">
        <f t="shared" ca="1" si="14"/>
        <v>6</v>
      </c>
      <c r="BD118">
        <f t="shared" ca="1" si="14"/>
        <v>5</v>
      </c>
      <c r="BE118">
        <f t="shared" ca="1" si="14"/>
        <v>4</v>
      </c>
      <c r="BF118">
        <f t="shared" ca="1" si="14"/>
        <v>3</v>
      </c>
      <c r="BG118">
        <f t="shared" ca="1" si="14"/>
        <v>2</v>
      </c>
      <c r="BH118">
        <f t="shared" ca="1" si="7"/>
        <v>1</v>
      </c>
      <c r="BI118">
        <f t="shared" ca="1" si="7"/>
        <v>0</v>
      </c>
    </row>
    <row r="119" spans="1:61" x14ac:dyDescent="0.25">
      <c r="A119" s="20">
        <v>54</v>
      </c>
      <c r="B119">
        <f t="shared" ref="B119:Q125" ca="1" si="17">OFFSET($B$2,60-B$65,60-$A119)</f>
        <v>9999</v>
      </c>
      <c r="C119">
        <f t="shared" ca="1" si="17"/>
        <v>9999</v>
      </c>
      <c r="D119">
        <f t="shared" ca="1" si="17"/>
        <v>9999</v>
      </c>
      <c r="E119">
        <f t="shared" ca="1" si="17"/>
        <v>9999</v>
      </c>
      <c r="F119">
        <f t="shared" ca="1" si="17"/>
        <v>9999</v>
      </c>
      <c r="G119">
        <f t="shared" ca="1" si="17"/>
        <v>9999</v>
      </c>
      <c r="H119">
        <f t="shared" ca="1" si="17"/>
        <v>9999</v>
      </c>
      <c r="I119">
        <f t="shared" ca="1" si="17"/>
        <v>9999</v>
      </c>
      <c r="J119">
        <f t="shared" ca="1" si="17"/>
        <v>9999</v>
      </c>
      <c r="K119">
        <f t="shared" ca="1" si="17"/>
        <v>9999</v>
      </c>
      <c r="L119">
        <f t="shared" ca="1" si="17"/>
        <v>9999</v>
      </c>
      <c r="M119">
        <f t="shared" ca="1" si="17"/>
        <v>9999</v>
      </c>
      <c r="N119">
        <f t="shared" ca="1" si="17"/>
        <v>9999</v>
      </c>
      <c r="O119">
        <f t="shared" ca="1" si="17"/>
        <v>9999</v>
      </c>
      <c r="P119">
        <f t="shared" ca="1" si="17"/>
        <v>9999</v>
      </c>
      <c r="Q119">
        <f t="shared" ca="1" si="17"/>
        <v>9999</v>
      </c>
      <c r="R119">
        <f t="shared" ca="1" si="16"/>
        <v>9999</v>
      </c>
      <c r="S119">
        <f t="shared" ca="1" si="16"/>
        <v>9999</v>
      </c>
      <c r="T119">
        <f t="shared" ca="1" si="16"/>
        <v>9999</v>
      </c>
      <c r="U119">
        <f t="shared" ca="1" si="16"/>
        <v>9999</v>
      </c>
      <c r="V119">
        <f t="shared" ca="1" si="16"/>
        <v>9999</v>
      </c>
      <c r="W119">
        <f t="shared" ca="1" si="16"/>
        <v>9999</v>
      </c>
      <c r="X119">
        <f t="shared" ca="1" si="16"/>
        <v>9999</v>
      </c>
      <c r="Y119">
        <f t="shared" ca="1" si="16"/>
        <v>9999</v>
      </c>
      <c r="Z119">
        <f t="shared" ca="1" si="16"/>
        <v>9999</v>
      </c>
      <c r="AA119">
        <f t="shared" ca="1" si="16"/>
        <v>9999</v>
      </c>
      <c r="AB119">
        <f t="shared" ca="1" si="16"/>
        <v>9999</v>
      </c>
      <c r="AC119">
        <f t="shared" ca="1" si="16"/>
        <v>9999</v>
      </c>
      <c r="AD119">
        <f t="shared" ca="1" si="16"/>
        <v>16</v>
      </c>
      <c r="AE119">
        <f t="shared" ca="1" si="16"/>
        <v>17</v>
      </c>
      <c r="AF119">
        <f t="shared" ca="1" si="16"/>
        <v>18</v>
      </c>
      <c r="AG119">
        <f t="shared" ca="1" si="15"/>
        <v>19</v>
      </c>
      <c r="AH119">
        <f t="shared" ca="1" si="15"/>
        <v>20</v>
      </c>
      <c r="AI119">
        <f t="shared" ca="1" si="15"/>
        <v>21</v>
      </c>
      <c r="AJ119">
        <f t="shared" ca="1" si="15"/>
        <v>22</v>
      </c>
      <c r="AK119">
        <f t="shared" ca="1" si="15"/>
        <v>23</v>
      </c>
      <c r="AL119">
        <f t="shared" ca="1" si="15"/>
        <v>24</v>
      </c>
      <c r="AM119">
        <f t="shared" ca="1" si="15"/>
        <v>25</v>
      </c>
      <c r="AN119">
        <f t="shared" ca="1" si="15"/>
        <v>26</v>
      </c>
      <c r="AO119">
        <f t="shared" ca="1" si="15"/>
        <v>27</v>
      </c>
      <c r="AP119">
        <f t="shared" ca="1" si="15"/>
        <v>28</v>
      </c>
      <c r="AQ119">
        <f t="shared" ca="1" si="15"/>
        <v>29</v>
      </c>
      <c r="AR119">
        <f t="shared" ca="1" si="15"/>
        <v>30</v>
      </c>
      <c r="AS119">
        <f t="shared" ca="1" si="15"/>
        <v>31</v>
      </c>
      <c r="AT119">
        <f t="shared" ca="1" si="15"/>
        <v>32</v>
      </c>
      <c r="AU119">
        <f t="shared" ca="1" si="15"/>
        <v>33</v>
      </c>
      <c r="AV119">
        <f t="shared" ca="1" si="15"/>
        <v>34</v>
      </c>
      <c r="AW119">
        <f t="shared" ca="1" si="14"/>
        <v>35</v>
      </c>
      <c r="AX119">
        <f t="shared" ca="1" si="14"/>
        <v>36</v>
      </c>
      <c r="AY119">
        <f t="shared" ca="1" si="14"/>
        <v>37</v>
      </c>
      <c r="AZ119">
        <f t="shared" ca="1" si="14"/>
        <v>38</v>
      </c>
      <c r="BA119">
        <f t="shared" ca="1" si="14"/>
        <v>39</v>
      </c>
      <c r="BB119">
        <f t="shared" ca="1" si="14"/>
        <v>40</v>
      </c>
      <c r="BC119">
        <f t="shared" ca="1" si="14"/>
        <v>41</v>
      </c>
      <c r="BD119">
        <f t="shared" ca="1" si="14"/>
        <v>42</v>
      </c>
      <c r="BE119">
        <f t="shared" ca="1" si="14"/>
        <v>43</v>
      </c>
      <c r="BF119">
        <f t="shared" ca="1" si="14"/>
        <v>44</v>
      </c>
      <c r="BG119">
        <f t="shared" ca="1" si="14"/>
        <v>45</v>
      </c>
      <c r="BH119">
        <f t="shared" ca="1" si="7"/>
        <v>46</v>
      </c>
      <c r="BI119">
        <f t="shared" ca="1" si="7"/>
        <v>47</v>
      </c>
    </row>
    <row r="120" spans="1:61" x14ac:dyDescent="0.25">
      <c r="A120" s="20">
        <v>55</v>
      </c>
      <c r="B120">
        <f t="shared" ca="1" si="17"/>
        <v>9999</v>
      </c>
      <c r="C120">
        <f t="shared" ca="1" si="17"/>
        <v>9999</v>
      </c>
      <c r="D120">
        <f t="shared" ca="1" si="17"/>
        <v>9999</v>
      </c>
      <c r="E120">
        <f t="shared" ca="1" si="17"/>
        <v>9999</v>
      </c>
      <c r="F120">
        <f t="shared" ca="1" si="17"/>
        <v>9999</v>
      </c>
      <c r="G120">
        <f t="shared" ca="1" si="17"/>
        <v>9999</v>
      </c>
      <c r="H120">
        <f t="shared" ca="1" si="17"/>
        <v>9999</v>
      </c>
      <c r="I120">
        <f t="shared" ca="1" si="17"/>
        <v>9999</v>
      </c>
      <c r="J120">
        <f t="shared" ca="1" si="17"/>
        <v>9999</v>
      </c>
      <c r="K120">
        <f t="shared" ca="1" si="17"/>
        <v>9999</v>
      </c>
      <c r="L120">
        <f t="shared" ca="1" si="17"/>
        <v>9999</v>
      </c>
      <c r="M120">
        <f t="shared" ca="1" si="17"/>
        <v>9999</v>
      </c>
      <c r="N120">
        <f t="shared" ca="1" si="17"/>
        <v>9999</v>
      </c>
      <c r="O120">
        <f t="shared" ca="1" si="17"/>
        <v>9999</v>
      </c>
      <c r="P120">
        <f t="shared" ca="1" si="17"/>
        <v>9999</v>
      </c>
      <c r="Q120">
        <f t="shared" ca="1" si="17"/>
        <v>9999</v>
      </c>
      <c r="R120">
        <f t="shared" ca="1" si="16"/>
        <v>9999</v>
      </c>
      <c r="S120">
        <f t="shared" ca="1" si="16"/>
        <v>9999</v>
      </c>
      <c r="T120">
        <f t="shared" ca="1" si="16"/>
        <v>9999</v>
      </c>
      <c r="U120">
        <f t="shared" ca="1" si="16"/>
        <v>9999</v>
      </c>
      <c r="V120">
        <f t="shared" ca="1" si="16"/>
        <v>9999</v>
      </c>
      <c r="W120">
        <f t="shared" ca="1" si="16"/>
        <v>9999</v>
      </c>
      <c r="X120">
        <f t="shared" ca="1" si="16"/>
        <v>9999</v>
      </c>
      <c r="Y120">
        <f t="shared" ca="1" si="16"/>
        <v>9999</v>
      </c>
      <c r="Z120">
        <f t="shared" ca="1" si="16"/>
        <v>9999</v>
      </c>
      <c r="AA120">
        <f t="shared" ca="1" si="16"/>
        <v>9999</v>
      </c>
      <c r="AB120">
        <f t="shared" ca="1" si="16"/>
        <v>9999</v>
      </c>
      <c r="AC120">
        <f t="shared" ca="1" si="16"/>
        <v>9999</v>
      </c>
      <c r="AD120">
        <f t="shared" ca="1" si="16"/>
        <v>48</v>
      </c>
      <c r="AE120">
        <f t="shared" ca="1" si="16"/>
        <v>49</v>
      </c>
      <c r="AF120">
        <f t="shared" ca="1" si="16"/>
        <v>50</v>
      </c>
      <c r="AG120">
        <f t="shared" ca="1" si="15"/>
        <v>51</v>
      </c>
      <c r="AH120">
        <f t="shared" ca="1" si="15"/>
        <v>52</v>
      </c>
      <c r="AI120">
        <f t="shared" ca="1" si="15"/>
        <v>53</v>
      </c>
      <c r="AJ120">
        <f t="shared" ca="1" si="15"/>
        <v>54</v>
      </c>
      <c r="AK120">
        <f t="shared" ca="1" si="15"/>
        <v>55</v>
      </c>
      <c r="AL120">
        <f t="shared" ca="1" si="15"/>
        <v>56</v>
      </c>
      <c r="AM120">
        <f t="shared" ca="1" si="15"/>
        <v>57</v>
      </c>
      <c r="AN120">
        <f t="shared" ca="1" si="15"/>
        <v>58</v>
      </c>
      <c r="AO120">
        <f t="shared" ca="1" si="15"/>
        <v>59</v>
      </c>
      <c r="AP120">
        <f t="shared" ca="1" si="15"/>
        <v>60</v>
      </c>
      <c r="AQ120">
        <f t="shared" ca="1" si="15"/>
        <v>61</v>
      </c>
      <c r="AR120">
        <f t="shared" ca="1" si="15"/>
        <v>62</v>
      </c>
      <c r="AS120">
        <f t="shared" ca="1" si="15"/>
        <v>63</v>
      </c>
      <c r="AT120">
        <f t="shared" ca="1" si="15"/>
        <v>64</v>
      </c>
      <c r="AU120">
        <f t="shared" ca="1" si="15"/>
        <v>65</v>
      </c>
      <c r="AV120">
        <f t="shared" ca="1" si="15"/>
        <v>66</v>
      </c>
      <c r="AW120">
        <f t="shared" ca="1" si="14"/>
        <v>67</v>
      </c>
      <c r="AX120">
        <f t="shared" ca="1" si="14"/>
        <v>68</v>
      </c>
      <c r="AY120">
        <f t="shared" ca="1" si="14"/>
        <v>69</v>
      </c>
      <c r="AZ120">
        <f t="shared" ca="1" si="14"/>
        <v>70</v>
      </c>
      <c r="BA120">
        <f t="shared" ca="1" si="14"/>
        <v>71</v>
      </c>
      <c r="BB120">
        <f t="shared" ca="1" si="14"/>
        <v>72</v>
      </c>
      <c r="BC120">
        <f t="shared" ca="1" si="14"/>
        <v>73</v>
      </c>
      <c r="BD120">
        <f t="shared" ca="1" si="14"/>
        <v>74</v>
      </c>
      <c r="BE120">
        <f t="shared" ca="1" si="14"/>
        <v>75</v>
      </c>
      <c r="BF120">
        <f t="shared" ca="1" si="14"/>
        <v>76</v>
      </c>
      <c r="BG120">
        <f t="shared" ca="1" si="14"/>
        <v>77</v>
      </c>
      <c r="BH120">
        <f t="shared" ca="1" si="7"/>
        <v>78</v>
      </c>
      <c r="BI120">
        <f t="shared" ca="1" si="7"/>
        <v>79</v>
      </c>
    </row>
    <row r="121" spans="1:61" x14ac:dyDescent="0.25">
      <c r="A121" s="20">
        <v>56</v>
      </c>
      <c r="B121">
        <f t="shared" ca="1" si="17"/>
        <v>9999</v>
      </c>
      <c r="C121">
        <f t="shared" ca="1" si="17"/>
        <v>9999</v>
      </c>
      <c r="D121">
        <f t="shared" ca="1" si="17"/>
        <v>9999</v>
      </c>
      <c r="E121">
        <f t="shared" ca="1" si="17"/>
        <v>9999</v>
      </c>
      <c r="F121">
        <f t="shared" ca="1" si="17"/>
        <v>9999</v>
      </c>
      <c r="G121">
        <f t="shared" ca="1" si="17"/>
        <v>9999</v>
      </c>
      <c r="H121">
        <f t="shared" ca="1" si="17"/>
        <v>9999</v>
      </c>
      <c r="I121">
        <f t="shared" ca="1" si="17"/>
        <v>9999</v>
      </c>
      <c r="J121">
        <f t="shared" ca="1" si="17"/>
        <v>9999</v>
      </c>
      <c r="K121">
        <f t="shared" ca="1" si="17"/>
        <v>9999</v>
      </c>
      <c r="L121">
        <f t="shared" ca="1" si="17"/>
        <v>9999</v>
      </c>
      <c r="M121">
        <f t="shared" ca="1" si="17"/>
        <v>9999</v>
      </c>
      <c r="N121">
        <f t="shared" ca="1" si="17"/>
        <v>9999</v>
      </c>
      <c r="O121">
        <f t="shared" ca="1" si="17"/>
        <v>9999</v>
      </c>
      <c r="P121">
        <f t="shared" ca="1" si="17"/>
        <v>9999</v>
      </c>
      <c r="Q121">
        <f t="shared" ca="1" si="17"/>
        <v>9999</v>
      </c>
      <c r="R121">
        <f t="shared" ca="1" si="16"/>
        <v>9999</v>
      </c>
      <c r="S121">
        <f t="shared" ca="1" si="16"/>
        <v>9999</v>
      </c>
      <c r="T121">
        <f t="shared" ca="1" si="16"/>
        <v>9999</v>
      </c>
      <c r="U121">
        <f t="shared" ca="1" si="16"/>
        <v>9999</v>
      </c>
      <c r="V121">
        <f t="shared" ca="1" si="16"/>
        <v>9999</v>
      </c>
      <c r="W121">
        <f t="shared" ca="1" si="16"/>
        <v>9999</v>
      </c>
      <c r="X121">
        <f t="shared" ca="1" si="16"/>
        <v>9999</v>
      </c>
      <c r="Y121">
        <f t="shared" ca="1" si="16"/>
        <v>9999</v>
      </c>
      <c r="Z121">
        <f t="shared" ca="1" si="16"/>
        <v>9999</v>
      </c>
      <c r="AA121">
        <f t="shared" ca="1" si="16"/>
        <v>9999</v>
      </c>
      <c r="AB121">
        <f t="shared" ca="1" si="16"/>
        <v>9999</v>
      </c>
      <c r="AC121">
        <f t="shared" ca="1" si="16"/>
        <v>9999</v>
      </c>
      <c r="AD121">
        <f t="shared" ca="1" si="16"/>
        <v>80</v>
      </c>
      <c r="AE121">
        <f t="shared" ca="1" si="16"/>
        <v>81</v>
      </c>
      <c r="AF121">
        <f t="shared" ca="1" si="16"/>
        <v>82</v>
      </c>
      <c r="AG121">
        <f t="shared" ca="1" si="15"/>
        <v>83</v>
      </c>
      <c r="AH121">
        <f t="shared" ca="1" si="15"/>
        <v>84</v>
      </c>
      <c r="AI121">
        <f t="shared" ca="1" si="15"/>
        <v>85</v>
      </c>
      <c r="AJ121">
        <f t="shared" ca="1" si="15"/>
        <v>86</v>
      </c>
      <c r="AK121">
        <f t="shared" ca="1" si="15"/>
        <v>87</v>
      </c>
      <c r="AL121">
        <f t="shared" ca="1" si="15"/>
        <v>88</v>
      </c>
      <c r="AM121">
        <f t="shared" ca="1" si="15"/>
        <v>89</v>
      </c>
      <c r="AN121">
        <f t="shared" ca="1" si="15"/>
        <v>90</v>
      </c>
      <c r="AO121">
        <f t="shared" ca="1" si="15"/>
        <v>91</v>
      </c>
      <c r="AP121">
        <f t="shared" ca="1" si="15"/>
        <v>92</v>
      </c>
      <c r="AQ121">
        <f t="shared" ca="1" si="15"/>
        <v>93</v>
      </c>
      <c r="AR121">
        <f t="shared" ca="1" si="15"/>
        <v>94</v>
      </c>
      <c r="AS121">
        <f t="shared" ca="1" si="15"/>
        <v>95</v>
      </c>
      <c r="AT121">
        <f t="shared" ca="1" si="15"/>
        <v>96</v>
      </c>
      <c r="AU121">
        <f t="shared" ca="1" si="15"/>
        <v>97</v>
      </c>
      <c r="AV121">
        <f t="shared" ref="AV121:BI125" ca="1" si="18">OFFSET($B$2,60-AV$65,60-$A121)</f>
        <v>98</v>
      </c>
      <c r="AW121">
        <f t="shared" ca="1" si="18"/>
        <v>99</v>
      </c>
      <c r="AX121">
        <f t="shared" ca="1" si="18"/>
        <v>100</v>
      </c>
      <c r="AY121">
        <f t="shared" ca="1" si="18"/>
        <v>101</v>
      </c>
      <c r="AZ121">
        <f t="shared" ca="1" si="18"/>
        <v>102</v>
      </c>
      <c r="BA121">
        <f t="shared" ca="1" si="18"/>
        <v>103</v>
      </c>
      <c r="BB121">
        <f t="shared" ca="1" si="18"/>
        <v>104</v>
      </c>
      <c r="BC121">
        <f t="shared" ca="1" si="18"/>
        <v>105</v>
      </c>
      <c r="BD121">
        <f t="shared" ca="1" si="18"/>
        <v>106</v>
      </c>
      <c r="BE121">
        <f t="shared" ca="1" si="18"/>
        <v>107</v>
      </c>
      <c r="BF121">
        <f t="shared" ca="1" si="18"/>
        <v>108</v>
      </c>
      <c r="BG121">
        <f t="shared" ca="1" si="18"/>
        <v>109</v>
      </c>
      <c r="BH121">
        <f t="shared" ca="1" si="18"/>
        <v>110</v>
      </c>
      <c r="BI121">
        <f t="shared" ca="1" si="18"/>
        <v>111</v>
      </c>
    </row>
    <row r="122" spans="1:61" x14ac:dyDescent="0.25">
      <c r="A122" s="20">
        <v>57</v>
      </c>
      <c r="B122">
        <f t="shared" ca="1" si="17"/>
        <v>9999</v>
      </c>
      <c r="C122">
        <f t="shared" ca="1" si="17"/>
        <v>9999</v>
      </c>
      <c r="D122">
        <f t="shared" ca="1" si="17"/>
        <v>9999</v>
      </c>
      <c r="E122">
        <f t="shared" ca="1" si="17"/>
        <v>9999</v>
      </c>
      <c r="F122">
        <f t="shared" ca="1" si="17"/>
        <v>9999</v>
      </c>
      <c r="G122">
        <f t="shared" ca="1" si="17"/>
        <v>9999</v>
      </c>
      <c r="H122">
        <f t="shared" ca="1" si="17"/>
        <v>9999</v>
      </c>
      <c r="I122">
        <f t="shared" ca="1" si="17"/>
        <v>9999</v>
      </c>
      <c r="J122">
        <f t="shared" ca="1" si="17"/>
        <v>9999</v>
      </c>
      <c r="K122">
        <f t="shared" ca="1" si="17"/>
        <v>9999</v>
      </c>
      <c r="L122">
        <f t="shared" ca="1" si="17"/>
        <v>9999</v>
      </c>
      <c r="M122">
        <f t="shared" ca="1" si="17"/>
        <v>9999</v>
      </c>
      <c r="N122">
        <f t="shared" ca="1" si="17"/>
        <v>9999</v>
      </c>
      <c r="O122">
        <f t="shared" ca="1" si="17"/>
        <v>9999</v>
      </c>
      <c r="P122">
        <f t="shared" ca="1" si="17"/>
        <v>9999</v>
      </c>
      <c r="Q122">
        <f t="shared" ca="1" si="17"/>
        <v>9999</v>
      </c>
      <c r="R122">
        <f t="shared" ca="1" si="16"/>
        <v>9999</v>
      </c>
      <c r="S122">
        <f t="shared" ca="1" si="16"/>
        <v>9999</v>
      </c>
      <c r="T122">
        <f t="shared" ca="1" si="16"/>
        <v>9999</v>
      </c>
      <c r="U122">
        <f t="shared" ca="1" si="16"/>
        <v>9999</v>
      </c>
      <c r="V122">
        <f t="shared" ca="1" si="16"/>
        <v>9999</v>
      </c>
      <c r="W122">
        <f t="shared" ca="1" si="16"/>
        <v>9999</v>
      </c>
      <c r="X122">
        <f t="shared" ca="1" si="16"/>
        <v>9999</v>
      </c>
      <c r="Y122">
        <f t="shared" ca="1" si="16"/>
        <v>9999</v>
      </c>
      <c r="Z122">
        <f t="shared" ca="1" si="16"/>
        <v>9999</v>
      </c>
      <c r="AA122">
        <f t="shared" ca="1" si="16"/>
        <v>9999</v>
      </c>
      <c r="AB122">
        <f t="shared" ca="1" si="16"/>
        <v>9999</v>
      </c>
      <c r="AC122">
        <f t="shared" ca="1" si="16"/>
        <v>9999</v>
      </c>
      <c r="AD122">
        <f t="shared" ca="1" si="16"/>
        <v>112</v>
      </c>
      <c r="AE122">
        <f t="shared" ca="1" si="16"/>
        <v>113</v>
      </c>
      <c r="AF122">
        <f t="shared" ca="1" si="16"/>
        <v>114</v>
      </c>
      <c r="AG122">
        <f t="shared" ref="AG122:AV125" ca="1" si="19">OFFSET($B$2,60-AG$65,60-$A122)</f>
        <v>115</v>
      </c>
      <c r="AH122">
        <f t="shared" ca="1" si="19"/>
        <v>116</v>
      </c>
      <c r="AI122">
        <f t="shared" ca="1" si="19"/>
        <v>117</v>
      </c>
      <c r="AJ122">
        <f t="shared" ca="1" si="19"/>
        <v>118</v>
      </c>
      <c r="AK122">
        <f t="shared" ca="1" si="19"/>
        <v>119</v>
      </c>
      <c r="AL122">
        <f t="shared" ca="1" si="19"/>
        <v>119</v>
      </c>
      <c r="AM122">
        <f t="shared" ca="1" si="19"/>
        <v>118</v>
      </c>
      <c r="AN122">
        <f t="shared" ca="1" si="19"/>
        <v>117</v>
      </c>
      <c r="AO122">
        <f t="shared" ca="1" si="19"/>
        <v>116</v>
      </c>
      <c r="AP122">
        <f t="shared" ca="1" si="19"/>
        <v>115</v>
      </c>
      <c r="AQ122">
        <f t="shared" ca="1" si="19"/>
        <v>114</v>
      </c>
      <c r="AR122">
        <f t="shared" ca="1" si="19"/>
        <v>113</v>
      </c>
      <c r="AS122">
        <f t="shared" ca="1" si="19"/>
        <v>112</v>
      </c>
      <c r="AT122">
        <f t="shared" ca="1" si="19"/>
        <v>111</v>
      </c>
      <c r="AU122">
        <f t="shared" ca="1" si="19"/>
        <v>110</v>
      </c>
      <c r="AV122">
        <f t="shared" ca="1" si="19"/>
        <v>109</v>
      </c>
      <c r="AW122">
        <f t="shared" ca="1" si="18"/>
        <v>108</v>
      </c>
      <c r="AX122">
        <f t="shared" ca="1" si="18"/>
        <v>107</v>
      </c>
      <c r="AY122">
        <f t="shared" ca="1" si="18"/>
        <v>106</v>
      </c>
      <c r="AZ122">
        <f t="shared" ca="1" si="18"/>
        <v>105</v>
      </c>
      <c r="BA122">
        <f t="shared" ca="1" si="18"/>
        <v>104</v>
      </c>
      <c r="BB122">
        <f t="shared" ca="1" si="18"/>
        <v>103</v>
      </c>
      <c r="BC122">
        <f t="shared" ca="1" si="18"/>
        <v>102</v>
      </c>
      <c r="BD122">
        <f t="shared" ca="1" si="18"/>
        <v>101</v>
      </c>
      <c r="BE122">
        <f t="shared" ca="1" si="18"/>
        <v>100</v>
      </c>
      <c r="BF122">
        <f t="shared" ca="1" si="18"/>
        <v>99</v>
      </c>
      <c r="BG122">
        <f t="shared" ca="1" si="18"/>
        <v>98</v>
      </c>
      <c r="BH122">
        <f t="shared" ca="1" si="18"/>
        <v>97</v>
      </c>
      <c r="BI122">
        <f t="shared" ca="1" si="18"/>
        <v>96</v>
      </c>
    </row>
    <row r="123" spans="1:61" x14ac:dyDescent="0.25">
      <c r="A123" s="20">
        <v>58</v>
      </c>
      <c r="B123">
        <f t="shared" ca="1" si="17"/>
        <v>9999</v>
      </c>
      <c r="C123">
        <f t="shared" ca="1" si="17"/>
        <v>9999</v>
      </c>
      <c r="D123">
        <f t="shared" ca="1" si="17"/>
        <v>9999</v>
      </c>
      <c r="E123">
        <f t="shared" ca="1" si="17"/>
        <v>9999</v>
      </c>
      <c r="F123">
        <f t="shared" ca="1" si="17"/>
        <v>9999</v>
      </c>
      <c r="G123">
        <f t="shared" ca="1" si="17"/>
        <v>9999</v>
      </c>
      <c r="H123">
        <f t="shared" ca="1" si="17"/>
        <v>9999</v>
      </c>
      <c r="I123">
        <f t="shared" ca="1" si="17"/>
        <v>9999</v>
      </c>
      <c r="J123">
        <f t="shared" ca="1" si="17"/>
        <v>9999</v>
      </c>
      <c r="K123">
        <f t="shared" ca="1" si="17"/>
        <v>9999</v>
      </c>
      <c r="L123">
        <f t="shared" ca="1" si="17"/>
        <v>9999</v>
      </c>
      <c r="M123">
        <f t="shared" ca="1" si="17"/>
        <v>9999</v>
      </c>
      <c r="N123">
        <f t="shared" ca="1" si="17"/>
        <v>9999</v>
      </c>
      <c r="O123">
        <f t="shared" ca="1" si="17"/>
        <v>9999</v>
      </c>
      <c r="P123">
        <f t="shared" ca="1" si="17"/>
        <v>9999</v>
      </c>
      <c r="Q123">
        <f t="shared" ca="1" si="17"/>
        <v>9999</v>
      </c>
      <c r="R123">
        <f t="shared" ca="1" si="16"/>
        <v>9999</v>
      </c>
      <c r="S123">
        <f t="shared" ca="1" si="16"/>
        <v>9999</v>
      </c>
      <c r="T123">
        <f t="shared" ca="1" si="16"/>
        <v>9999</v>
      </c>
      <c r="U123">
        <f t="shared" ca="1" si="16"/>
        <v>9999</v>
      </c>
      <c r="V123">
        <f t="shared" ca="1" si="16"/>
        <v>9999</v>
      </c>
      <c r="W123">
        <f t="shared" ca="1" si="16"/>
        <v>9999</v>
      </c>
      <c r="X123">
        <f t="shared" ca="1" si="16"/>
        <v>9999</v>
      </c>
      <c r="Y123">
        <f t="shared" ca="1" si="16"/>
        <v>9999</v>
      </c>
      <c r="Z123">
        <f t="shared" ca="1" si="16"/>
        <v>9999</v>
      </c>
      <c r="AA123">
        <f t="shared" ca="1" si="16"/>
        <v>9999</v>
      </c>
      <c r="AB123">
        <f t="shared" ca="1" si="16"/>
        <v>9999</v>
      </c>
      <c r="AC123">
        <f t="shared" ca="1" si="16"/>
        <v>9999</v>
      </c>
      <c r="AD123">
        <f t="shared" ca="1" si="16"/>
        <v>95</v>
      </c>
      <c r="AE123">
        <f t="shared" ca="1" si="16"/>
        <v>94</v>
      </c>
      <c r="AF123">
        <f t="shared" ca="1" si="16"/>
        <v>93</v>
      </c>
      <c r="AG123">
        <f t="shared" ca="1" si="19"/>
        <v>92</v>
      </c>
      <c r="AH123">
        <f t="shared" ca="1" si="19"/>
        <v>91</v>
      </c>
      <c r="AI123">
        <f t="shared" ca="1" si="19"/>
        <v>90</v>
      </c>
      <c r="AJ123">
        <f t="shared" ca="1" si="19"/>
        <v>89</v>
      </c>
      <c r="AK123">
        <f t="shared" ca="1" si="19"/>
        <v>88</v>
      </c>
      <c r="AL123">
        <f t="shared" ca="1" si="19"/>
        <v>87</v>
      </c>
      <c r="AM123">
        <f t="shared" ca="1" si="19"/>
        <v>86</v>
      </c>
      <c r="AN123">
        <f t="shared" ca="1" si="19"/>
        <v>85</v>
      </c>
      <c r="AO123">
        <f t="shared" ca="1" si="19"/>
        <v>84</v>
      </c>
      <c r="AP123">
        <f t="shared" ca="1" si="19"/>
        <v>83</v>
      </c>
      <c r="AQ123">
        <f t="shared" ca="1" si="19"/>
        <v>82</v>
      </c>
      <c r="AR123">
        <f t="shared" ca="1" si="19"/>
        <v>81</v>
      </c>
      <c r="AS123">
        <f t="shared" ca="1" si="19"/>
        <v>80</v>
      </c>
      <c r="AT123">
        <f t="shared" ca="1" si="19"/>
        <v>79</v>
      </c>
      <c r="AU123">
        <f t="shared" ca="1" si="19"/>
        <v>78</v>
      </c>
      <c r="AV123">
        <f t="shared" ca="1" si="19"/>
        <v>77</v>
      </c>
      <c r="AW123">
        <f t="shared" ca="1" si="18"/>
        <v>76</v>
      </c>
      <c r="AX123">
        <f t="shared" ca="1" si="18"/>
        <v>75</v>
      </c>
      <c r="AY123">
        <f t="shared" ca="1" si="18"/>
        <v>74</v>
      </c>
      <c r="AZ123">
        <f t="shared" ca="1" si="18"/>
        <v>73</v>
      </c>
      <c r="BA123">
        <f t="shared" ca="1" si="18"/>
        <v>72</v>
      </c>
      <c r="BB123">
        <f t="shared" ca="1" si="18"/>
        <v>71</v>
      </c>
      <c r="BC123">
        <f t="shared" ca="1" si="18"/>
        <v>70</v>
      </c>
      <c r="BD123">
        <f t="shared" ca="1" si="18"/>
        <v>69</v>
      </c>
      <c r="BE123">
        <f t="shared" ca="1" si="18"/>
        <v>68</v>
      </c>
      <c r="BF123">
        <f t="shared" ca="1" si="18"/>
        <v>67</v>
      </c>
      <c r="BG123">
        <f t="shared" ca="1" si="18"/>
        <v>66</v>
      </c>
      <c r="BH123">
        <f t="shared" ca="1" si="18"/>
        <v>65</v>
      </c>
      <c r="BI123">
        <f t="shared" ca="1" si="18"/>
        <v>64</v>
      </c>
    </row>
    <row r="124" spans="1:61" x14ac:dyDescent="0.25">
      <c r="A124" s="20">
        <v>59</v>
      </c>
      <c r="B124">
        <f t="shared" ca="1" si="17"/>
        <v>9999</v>
      </c>
      <c r="C124">
        <f t="shared" ca="1" si="17"/>
        <v>9999</v>
      </c>
      <c r="D124">
        <f t="shared" ca="1" si="17"/>
        <v>9999</v>
      </c>
      <c r="E124">
        <f t="shared" ca="1" si="17"/>
        <v>9999</v>
      </c>
      <c r="F124">
        <f t="shared" ca="1" si="17"/>
        <v>9999</v>
      </c>
      <c r="G124">
        <f t="shared" ca="1" si="17"/>
        <v>9999</v>
      </c>
      <c r="H124">
        <f t="shared" ca="1" si="17"/>
        <v>9999</v>
      </c>
      <c r="I124">
        <f t="shared" ca="1" si="17"/>
        <v>9999</v>
      </c>
      <c r="J124">
        <f t="shared" ca="1" si="17"/>
        <v>9999</v>
      </c>
      <c r="K124">
        <f t="shared" ca="1" si="17"/>
        <v>9999</v>
      </c>
      <c r="L124">
        <f t="shared" ca="1" si="17"/>
        <v>9999</v>
      </c>
      <c r="M124">
        <f t="shared" ca="1" si="17"/>
        <v>9999</v>
      </c>
      <c r="N124">
        <f t="shared" ca="1" si="17"/>
        <v>9999</v>
      </c>
      <c r="O124">
        <f t="shared" ca="1" si="17"/>
        <v>9999</v>
      </c>
      <c r="P124">
        <f t="shared" ca="1" si="17"/>
        <v>9999</v>
      </c>
      <c r="Q124">
        <f t="shared" ca="1" si="17"/>
        <v>9999</v>
      </c>
      <c r="R124">
        <f t="shared" ca="1" si="16"/>
        <v>9999</v>
      </c>
      <c r="S124">
        <f t="shared" ca="1" si="16"/>
        <v>9999</v>
      </c>
      <c r="T124">
        <f t="shared" ca="1" si="16"/>
        <v>9999</v>
      </c>
      <c r="U124">
        <f t="shared" ca="1" si="16"/>
        <v>9999</v>
      </c>
      <c r="V124">
        <f t="shared" ca="1" si="16"/>
        <v>9999</v>
      </c>
      <c r="W124">
        <f t="shared" ca="1" si="16"/>
        <v>9999</v>
      </c>
      <c r="X124">
        <f t="shared" ca="1" si="16"/>
        <v>9999</v>
      </c>
      <c r="Y124">
        <f t="shared" ca="1" si="16"/>
        <v>9999</v>
      </c>
      <c r="Z124">
        <f t="shared" ca="1" si="16"/>
        <v>9999</v>
      </c>
      <c r="AA124">
        <f t="shared" ca="1" si="16"/>
        <v>9999</v>
      </c>
      <c r="AB124">
        <f t="shared" ca="1" si="16"/>
        <v>9999</v>
      </c>
      <c r="AC124">
        <f t="shared" ca="1" si="16"/>
        <v>9999</v>
      </c>
      <c r="AD124">
        <f t="shared" ca="1" si="16"/>
        <v>63</v>
      </c>
      <c r="AE124">
        <f t="shared" ca="1" si="16"/>
        <v>62</v>
      </c>
      <c r="AF124">
        <f t="shared" ca="1" si="16"/>
        <v>61</v>
      </c>
      <c r="AG124">
        <f t="shared" ca="1" si="19"/>
        <v>60</v>
      </c>
      <c r="AH124">
        <f t="shared" ca="1" si="19"/>
        <v>59</v>
      </c>
      <c r="AI124">
        <f t="shared" ca="1" si="19"/>
        <v>58</v>
      </c>
      <c r="AJ124">
        <f t="shared" ca="1" si="19"/>
        <v>57</v>
      </c>
      <c r="AK124">
        <f t="shared" ca="1" si="19"/>
        <v>56</v>
      </c>
      <c r="AL124">
        <f t="shared" ca="1" si="19"/>
        <v>55</v>
      </c>
      <c r="AM124">
        <f t="shared" ca="1" si="19"/>
        <v>54</v>
      </c>
      <c r="AN124">
        <f t="shared" ca="1" si="19"/>
        <v>53</v>
      </c>
      <c r="AO124">
        <f t="shared" ca="1" si="19"/>
        <v>52</v>
      </c>
      <c r="AP124">
        <f t="shared" ca="1" si="19"/>
        <v>51</v>
      </c>
      <c r="AQ124">
        <f t="shared" ca="1" si="19"/>
        <v>50</v>
      </c>
      <c r="AR124">
        <f t="shared" ca="1" si="19"/>
        <v>49</v>
      </c>
      <c r="AS124">
        <f t="shared" ca="1" si="19"/>
        <v>48</v>
      </c>
      <c r="AT124">
        <f t="shared" ca="1" si="19"/>
        <v>47</v>
      </c>
      <c r="AU124">
        <f t="shared" ca="1" si="19"/>
        <v>46</v>
      </c>
      <c r="AV124">
        <f t="shared" ca="1" si="19"/>
        <v>45</v>
      </c>
      <c r="AW124">
        <f t="shared" ca="1" si="18"/>
        <v>44</v>
      </c>
      <c r="AX124">
        <f t="shared" ca="1" si="18"/>
        <v>43</v>
      </c>
      <c r="AY124">
        <f t="shared" ca="1" si="18"/>
        <v>42</v>
      </c>
      <c r="AZ124">
        <f t="shared" ca="1" si="18"/>
        <v>41</v>
      </c>
      <c r="BA124">
        <f t="shared" ca="1" si="18"/>
        <v>40</v>
      </c>
      <c r="BB124">
        <f t="shared" ca="1" si="18"/>
        <v>39</v>
      </c>
      <c r="BC124">
        <f t="shared" ca="1" si="18"/>
        <v>38</v>
      </c>
      <c r="BD124">
        <f t="shared" ca="1" si="18"/>
        <v>37</v>
      </c>
      <c r="BE124">
        <f t="shared" ca="1" si="18"/>
        <v>36</v>
      </c>
      <c r="BF124">
        <f t="shared" ca="1" si="18"/>
        <v>35</v>
      </c>
      <c r="BG124">
        <f t="shared" ca="1" si="18"/>
        <v>34</v>
      </c>
      <c r="BH124">
        <f t="shared" ca="1" si="18"/>
        <v>33</v>
      </c>
      <c r="BI124">
        <f t="shared" ca="1" si="18"/>
        <v>32</v>
      </c>
    </row>
    <row r="125" spans="1:61" x14ac:dyDescent="0.25">
      <c r="A125" s="20">
        <v>60</v>
      </c>
      <c r="B125">
        <f t="shared" ca="1" si="17"/>
        <v>9999</v>
      </c>
      <c r="C125">
        <f t="shared" ca="1" si="17"/>
        <v>9999</v>
      </c>
      <c r="D125">
        <f t="shared" ca="1" si="17"/>
        <v>9999</v>
      </c>
      <c r="E125">
        <f t="shared" ca="1" si="17"/>
        <v>9999</v>
      </c>
      <c r="F125">
        <f t="shared" ca="1" si="17"/>
        <v>9999</v>
      </c>
      <c r="G125">
        <f t="shared" ca="1" si="17"/>
        <v>9999</v>
      </c>
      <c r="H125">
        <f t="shared" ca="1" si="17"/>
        <v>9999</v>
      </c>
      <c r="I125">
        <f t="shared" ca="1" si="17"/>
        <v>9999</v>
      </c>
      <c r="J125">
        <f t="shared" ca="1" si="17"/>
        <v>9999</v>
      </c>
      <c r="K125">
        <f t="shared" ca="1" si="17"/>
        <v>9999</v>
      </c>
      <c r="L125">
        <f t="shared" ca="1" si="17"/>
        <v>9999</v>
      </c>
      <c r="M125">
        <f t="shared" ca="1" si="17"/>
        <v>9999</v>
      </c>
      <c r="N125">
        <f t="shared" ca="1" si="17"/>
        <v>9999</v>
      </c>
      <c r="O125">
        <f t="shared" ca="1" si="17"/>
        <v>9999</v>
      </c>
      <c r="P125">
        <f t="shared" ca="1" si="17"/>
        <v>9999</v>
      </c>
      <c r="Q125">
        <f t="shared" ca="1" si="17"/>
        <v>9999</v>
      </c>
      <c r="R125">
        <f t="shared" ca="1" si="16"/>
        <v>9999</v>
      </c>
      <c r="S125">
        <f t="shared" ca="1" si="16"/>
        <v>9999</v>
      </c>
      <c r="T125">
        <f t="shared" ca="1" si="16"/>
        <v>9999</v>
      </c>
      <c r="U125">
        <f t="shared" ca="1" si="16"/>
        <v>9999</v>
      </c>
      <c r="V125">
        <f t="shared" ca="1" si="16"/>
        <v>9999</v>
      </c>
      <c r="W125">
        <f t="shared" ca="1" si="16"/>
        <v>9999</v>
      </c>
      <c r="X125">
        <f t="shared" ca="1" si="16"/>
        <v>9999</v>
      </c>
      <c r="Y125">
        <f t="shared" ca="1" si="16"/>
        <v>9999</v>
      </c>
      <c r="Z125">
        <f t="shared" ca="1" si="16"/>
        <v>9999</v>
      </c>
      <c r="AA125">
        <f t="shared" ca="1" si="16"/>
        <v>9999</v>
      </c>
      <c r="AB125">
        <f t="shared" ca="1" si="16"/>
        <v>9999</v>
      </c>
      <c r="AC125">
        <f t="shared" ca="1" si="16"/>
        <v>9999</v>
      </c>
      <c r="AD125">
        <f t="shared" ca="1" si="16"/>
        <v>31</v>
      </c>
      <c r="AE125">
        <f t="shared" ca="1" si="16"/>
        <v>30</v>
      </c>
      <c r="AF125">
        <f t="shared" ca="1" si="16"/>
        <v>29</v>
      </c>
      <c r="AG125">
        <f t="shared" ca="1" si="19"/>
        <v>28</v>
      </c>
      <c r="AH125">
        <f t="shared" ca="1" si="19"/>
        <v>27</v>
      </c>
      <c r="AI125">
        <f t="shared" ca="1" si="19"/>
        <v>26</v>
      </c>
      <c r="AJ125">
        <f t="shared" ca="1" si="19"/>
        <v>25</v>
      </c>
      <c r="AK125">
        <f t="shared" ca="1" si="19"/>
        <v>24</v>
      </c>
      <c r="AL125">
        <f t="shared" ca="1" si="19"/>
        <v>23</v>
      </c>
      <c r="AM125">
        <f t="shared" ca="1" si="19"/>
        <v>22</v>
      </c>
      <c r="AN125">
        <f t="shared" ca="1" si="19"/>
        <v>21</v>
      </c>
      <c r="AO125">
        <f t="shared" ca="1" si="19"/>
        <v>20</v>
      </c>
      <c r="AP125">
        <f t="shared" ca="1" si="19"/>
        <v>19</v>
      </c>
      <c r="AQ125">
        <f t="shared" ca="1" si="19"/>
        <v>18</v>
      </c>
      <c r="AR125">
        <f t="shared" ca="1" si="19"/>
        <v>17</v>
      </c>
      <c r="AS125">
        <f t="shared" ca="1" si="19"/>
        <v>16</v>
      </c>
      <c r="AT125">
        <f t="shared" ca="1" si="19"/>
        <v>15</v>
      </c>
      <c r="AU125">
        <f t="shared" ca="1" si="19"/>
        <v>14</v>
      </c>
      <c r="AV125">
        <f t="shared" ca="1" si="19"/>
        <v>13</v>
      </c>
      <c r="AW125">
        <f t="shared" ca="1" si="18"/>
        <v>12</v>
      </c>
      <c r="AX125">
        <f t="shared" ca="1" si="18"/>
        <v>11</v>
      </c>
      <c r="AY125">
        <f t="shared" ca="1" si="18"/>
        <v>10</v>
      </c>
      <c r="AZ125">
        <f t="shared" ca="1" si="18"/>
        <v>9</v>
      </c>
      <c r="BA125">
        <f t="shared" ca="1" si="18"/>
        <v>8</v>
      </c>
      <c r="BB125">
        <f t="shared" ca="1" si="18"/>
        <v>7</v>
      </c>
      <c r="BC125">
        <f t="shared" ca="1" si="18"/>
        <v>6</v>
      </c>
      <c r="BD125">
        <f t="shared" ca="1" si="18"/>
        <v>5</v>
      </c>
      <c r="BE125">
        <f t="shared" ca="1" si="18"/>
        <v>4</v>
      </c>
      <c r="BF125">
        <f t="shared" ca="1" si="18"/>
        <v>3</v>
      </c>
      <c r="BG125">
        <f t="shared" ca="1" si="18"/>
        <v>2</v>
      </c>
      <c r="BH125">
        <f t="shared" ca="1" si="18"/>
        <v>1</v>
      </c>
      <c r="BI125">
        <f t="shared" ca="1" si="18"/>
        <v>0</v>
      </c>
    </row>
    <row r="169" spans="2:61" x14ac:dyDescent="0.25">
      <c r="B169">
        <f>IF(AND('(橫掃)RX Mapping'!B169&gt;=1,'(橫掃)RX Mapping'!B169&lt;=120), ('(橫掃)RX Mapping'!B169-1),0)</f>
        <v>0</v>
      </c>
      <c r="C169">
        <f>IF(AND('(橫掃)RX Mapping'!C169&gt;=1,'(橫掃)RX Mapping'!C169&lt;=120), ('(橫掃)RX Mapping'!C169-1),0)</f>
        <v>0</v>
      </c>
      <c r="D169">
        <f>IF(AND('(橫掃)RX Mapping'!D169&gt;=1,'(橫掃)RX Mapping'!D169&lt;=120), ('(橫掃)RX Mapping'!D169-1),0)</f>
        <v>0</v>
      </c>
      <c r="E169">
        <f>IF(AND('(橫掃)RX Mapping'!E169&gt;=1,'(橫掃)RX Mapping'!E169&lt;=120), ('(橫掃)RX Mapping'!E169-1),0)</f>
        <v>0</v>
      </c>
      <c r="F169">
        <f>IF(AND('(橫掃)RX Mapping'!F169&gt;=1,'(橫掃)RX Mapping'!F169&lt;=120), ('(橫掃)RX Mapping'!F169-1),0)</f>
        <v>0</v>
      </c>
      <c r="G169">
        <f>IF(AND('(橫掃)RX Mapping'!G169&gt;=1,'(橫掃)RX Mapping'!G169&lt;=120), ('(橫掃)RX Mapping'!G169-1),0)</f>
        <v>0</v>
      </c>
      <c r="H169">
        <f>IF(AND('(橫掃)RX Mapping'!H169&gt;=1,'(橫掃)RX Mapping'!H169&lt;=120), ('(橫掃)RX Mapping'!H169-1),0)</f>
        <v>0</v>
      </c>
      <c r="I169">
        <f>IF(AND('(橫掃)RX Mapping'!I169&gt;=1,'(橫掃)RX Mapping'!I169&lt;=120), ('(橫掃)RX Mapping'!I169-1),0)</f>
        <v>0</v>
      </c>
      <c r="J169">
        <f>IF(AND('(橫掃)RX Mapping'!J169&gt;=1,'(橫掃)RX Mapping'!J169&lt;=120), ('(橫掃)RX Mapping'!J169-1),0)</f>
        <v>0</v>
      </c>
      <c r="K169">
        <f>IF(AND('(橫掃)RX Mapping'!K169&gt;=1,'(橫掃)RX Mapping'!K169&lt;=120), ('(橫掃)RX Mapping'!K169-1),0)</f>
        <v>0</v>
      </c>
      <c r="L169">
        <f>IF(AND('(橫掃)RX Mapping'!L169&gt;=1,'(橫掃)RX Mapping'!L169&lt;=120), ('(橫掃)RX Mapping'!L169-1),0)</f>
        <v>0</v>
      </c>
      <c r="M169">
        <f>IF(AND('(橫掃)RX Mapping'!M169&gt;=1,'(橫掃)RX Mapping'!M169&lt;=120), ('(橫掃)RX Mapping'!M169-1),0)</f>
        <v>0</v>
      </c>
      <c r="N169">
        <f>IF(AND('(橫掃)RX Mapping'!N169&gt;=1,'(橫掃)RX Mapping'!N169&lt;=120), ('(橫掃)RX Mapping'!N169-1),0)</f>
        <v>0</v>
      </c>
      <c r="O169">
        <f>IF(AND('(橫掃)RX Mapping'!O169&gt;=1,'(橫掃)RX Mapping'!O169&lt;=120), ('(橫掃)RX Mapping'!O169-1),0)</f>
        <v>0</v>
      </c>
      <c r="P169">
        <f>IF(AND('(橫掃)RX Mapping'!P169&gt;=1,'(橫掃)RX Mapping'!P169&lt;=120), ('(橫掃)RX Mapping'!P169-1),0)</f>
        <v>0</v>
      </c>
      <c r="Q169">
        <f>IF(AND('(橫掃)RX Mapping'!Q169&gt;=1,'(橫掃)RX Mapping'!Q169&lt;=120), ('(橫掃)RX Mapping'!Q169-1),0)</f>
        <v>0</v>
      </c>
      <c r="R169">
        <f>IF(AND('(橫掃)RX Mapping'!R169&gt;=1,'(橫掃)RX Mapping'!R169&lt;=120), ('(橫掃)RX Mapping'!R169-1),0)</f>
        <v>0</v>
      </c>
      <c r="S169">
        <f>IF(AND('(橫掃)RX Mapping'!S169&gt;=1,'(橫掃)RX Mapping'!S169&lt;=120), ('(橫掃)RX Mapping'!S169-1),0)</f>
        <v>0</v>
      </c>
      <c r="T169">
        <f>IF(AND('(橫掃)RX Mapping'!T169&gt;=1,'(橫掃)RX Mapping'!T169&lt;=120), ('(橫掃)RX Mapping'!T169-1),0)</f>
        <v>0</v>
      </c>
      <c r="U169">
        <f>IF(AND('(橫掃)RX Mapping'!U169&gt;=1,'(橫掃)RX Mapping'!U169&lt;=120), ('(橫掃)RX Mapping'!U169-1),0)</f>
        <v>0</v>
      </c>
      <c r="V169">
        <f>IF(AND('(橫掃)RX Mapping'!V169&gt;=1,'(橫掃)RX Mapping'!V169&lt;=120), ('(橫掃)RX Mapping'!V169-1),0)</f>
        <v>0</v>
      </c>
      <c r="W169">
        <f>IF(AND('(橫掃)RX Mapping'!W169&gt;=1,'(橫掃)RX Mapping'!W169&lt;=120), ('(橫掃)RX Mapping'!W169-1),0)</f>
        <v>0</v>
      </c>
      <c r="X169">
        <f>IF(AND('(橫掃)RX Mapping'!X169&gt;=1,'(橫掃)RX Mapping'!X169&lt;=120), ('(橫掃)RX Mapping'!X169-1),0)</f>
        <v>0</v>
      </c>
      <c r="Y169">
        <f>IF(AND('(橫掃)RX Mapping'!Y169&gt;=1,'(橫掃)RX Mapping'!Y169&lt;=120), ('(橫掃)RX Mapping'!Y169-1),0)</f>
        <v>0</v>
      </c>
      <c r="Z169">
        <f>IF(AND('(橫掃)RX Mapping'!Z169&gt;=1,'(橫掃)RX Mapping'!Z169&lt;=120), ('(橫掃)RX Mapping'!Z169-1),0)</f>
        <v>0</v>
      </c>
      <c r="AA169">
        <f>IF(AND('(橫掃)RX Mapping'!AA169&gt;=1,'(橫掃)RX Mapping'!AA169&lt;=120), ('(橫掃)RX Mapping'!AA169-1),0)</f>
        <v>0</v>
      </c>
      <c r="AB169">
        <f>IF(AND('(橫掃)RX Mapping'!AB169&gt;=1,'(橫掃)RX Mapping'!AB169&lt;=120), ('(橫掃)RX Mapping'!AB169-1),0)</f>
        <v>0</v>
      </c>
      <c r="AC169">
        <f>IF(AND('(橫掃)RX Mapping'!AC169&gt;=1,'(橫掃)RX Mapping'!AC169&lt;=120), ('(橫掃)RX Mapping'!AC169-1),0)</f>
        <v>0</v>
      </c>
      <c r="AD169">
        <f>IF(AND('(橫掃)RX Mapping'!AD169&gt;=1,'(橫掃)RX Mapping'!AD169&lt;=120), ('(橫掃)RX Mapping'!AD169-1),0)</f>
        <v>0</v>
      </c>
      <c r="AE169">
        <f>IF(AND('(橫掃)RX Mapping'!AE169&gt;=1,'(橫掃)RX Mapping'!AE169&lt;=120), ('(橫掃)RX Mapping'!AE169-1),0)</f>
        <v>0</v>
      </c>
      <c r="AF169">
        <f>IF(AND('(橫掃)RX Mapping'!AF169&gt;=1,'(橫掃)RX Mapping'!AF169&lt;=120), ('(橫掃)RX Mapping'!AF169-1),0)</f>
        <v>0</v>
      </c>
      <c r="AG169">
        <f>IF(AND('(橫掃)RX Mapping'!AG169&gt;=1,'(橫掃)RX Mapping'!AG169&lt;=120), ('(橫掃)RX Mapping'!AG169-1),0)</f>
        <v>0</v>
      </c>
      <c r="AH169">
        <f>IF(AND('(橫掃)RX Mapping'!AH169&gt;=1,'(橫掃)RX Mapping'!AH169&lt;=120), ('(橫掃)RX Mapping'!AH169-1),0)</f>
        <v>0</v>
      </c>
      <c r="AI169">
        <f>IF(AND('(橫掃)RX Mapping'!AI169&gt;=1,'(橫掃)RX Mapping'!AI169&lt;=120), ('(橫掃)RX Mapping'!AI169-1),0)</f>
        <v>0</v>
      </c>
      <c r="AJ169">
        <f>IF(AND('(橫掃)RX Mapping'!AJ169&gt;=1,'(橫掃)RX Mapping'!AJ169&lt;=120), ('(橫掃)RX Mapping'!AJ169-1),0)</f>
        <v>0</v>
      </c>
      <c r="AK169">
        <f>IF(AND('(橫掃)RX Mapping'!AK169&gt;=1,'(橫掃)RX Mapping'!AK169&lt;=120), ('(橫掃)RX Mapping'!AK169-1),0)</f>
        <v>0</v>
      </c>
      <c r="AL169">
        <f>IF(AND('(橫掃)RX Mapping'!AL169&gt;=1,'(橫掃)RX Mapping'!AL169&lt;=120), ('(橫掃)RX Mapping'!AL169-1),0)</f>
        <v>0</v>
      </c>
      <c r="AM169">
        <f>IF(AND('(橫掃)RX Mapping'!AM169&gt;=1,'(橫掃)RX Mapping'!AM169&lt;=120), ('(橫掃)RX Mapping'!AM169-1),0)</f>
        <v>0</v>
      </c>
      <c r="AN169">
        <f>IF(AND('(橫掃)RX Mapping'!AN169&gt;=1,'(橫掃)RX Mapping'!AN169&lt;=120), ('(橫掃)RX Mapping'!AN169-1),0)</f>
        <v>0</v>
      </c>
      <c r="AO169">
        <f>IF(AND('(橫掃)RX Mapping'!AO169&gt;=1,'(橫掃)RX Mapping'!AO169&lt;=120), ('(橫掃)RX Mapping'!AO169-1),0)</f>
        <v>0</v>
      </c>
      <c r="AP169">
        <f>IF(AND('(橫掃)RX Mapping'!AP169&gt;=1,'(橫掃)RX Mapping'!AP169&lt;=120), ('(橫掃)RX Mapping'!AP169-1),0)</f>
        <v>0</v>
      </c>
      <c r="AQ169">
        <f>IF(AND('(橫掃)RX Mapping'!AQ169&gt;=1,'(橫掃)RX Mapping'!AQ169&lt;=120), ('(橫掃)RX Mapping'!AQ169-1),0)</f>
        <v>0</v>
      </c>
      <c r="AR169">
        <f>IF(AND('(橫掃)RX Mapping'!AR169&gt;=1,'(橫掃)RX Mapping'!AR169&lt;=120), ('(橫掃)RX Mapping'!AR169-1),0)</f>
        <v>0</v>
      </c>
      <c r="AS169">
        <f>IF(AND('(橫掃)RX Mapping'!AS169&gt;=1,'(橫掃)RX Mapping'!AS169&lt;=120), ('(橫掃)RX Mapping'!AS169-1),0)</f>
        <v>0</v>
      </c>
      <c r="AT169">
        <f>IF(AND('(橫掃)RX Mapping'!AT169&gt;=1,'(橫掃)RX Mapping'!AT169&lt;=120), ('(橫掃)RX Mapping'!AT169-1),0)</f>
        <v>0</v>
      </c>
      <c r="AU169">
        <f>IF(AND('(橫掃)RX Mapping'!AU169&gt;=1,'(橫掃)RX Mapping'!AU169&lt;=120), ('(橫掃)RX Mapping'!AU169-1),0)</f>
        <v>0</v>
      </c>
      <c r="AV169">
        <f>IF(AND('(橫掃)RX Mapping'!AV169&gt;=1,'(橫掃)RX Mapping'!AV169&lt;=120), ('(橫掃)RX Mapping'!AV169-1),0)</f>
        <v>0</v>
      </c>
      <c r="AW169">
        <f>IF(AND('(橫掃)RX Mapping'!AW169&gt;=1,'(橫掃)RX Mapping'!AW169&lt;=120), ('(橫掃)RX Mapping'!AW169-1),0)</f>
        <v>0</v>
      </c>
      <c r="AX169">
        <f>IF(AND('(橫掃)RX Mapping'!AX169&gt;=1,'(橫掃)RX Mapping'!AX169&lt;=120), ('(橫掃)RX Mapping'!AX169-1),0)</f>
        <v>0</v>
      </c>
      <c r="AY169">
        <f>IF(AND('(橫掃)RX Mapping'!AY169&gt;=1,'(橫掃)RX Mapping'!AY169&lt;=120), ('(橫掃)RX Mapping'!AY169-1),0)</f>
        <v>0</v>
      </c>
      <c r="AZ169">
        <f>IF(AND('(橫掃)RX Mapping'!AZ169&gt;=1,'(橫掃)RX Mapping'!AZ169&lt;=120), ('(橫掃)RX Mapping'!AZ169-1),0)</f>
        <v>0</v>
      </c>
      <c r="BA169">
        <f>IF(AND('(橫掃)RX Mapping'!BA169&gt;=1,'(橫掃)RX Mapping'!BA169&lt;=120), ('(橫掃)RX Mapping'!BA169-1),0)</f>
        <v>0</v>
      </c>
      <c r="BB169">
        <f>IF(AND('(橫掃)RX Mapping'!BB169&gt;=1,'(橫掃)RX Mapping'!BB169&lt;=120), ('(橫掃)RX Mapping'!BB169-1),0)</f>
        <v>0</v>
      </c>
      <c r="BC169">
        <f>IF(AND('(橫掃)RX Mapping'!BC169&gt;=1,'(橫掃)RX Mapping'!BC169&lt;=120), ('(橫掃)RX Mapping'!BC169-1),0)</f>
        <v>0</v>
      </c>
      <c r="BD169">
        <f>IF(AND('(橫掃)RX Mapping'!BD169&gt;=1,'(橫掃)RX Mapping'!BD169&lt;=120), ('(橫掃)RX Mapping'!BD169-1),0)</f>
        <v>0</v>
      </c>
      <c r="BE169">
        <f>IF(AND('(橫掃)RX Mapping'!BE169&gt;=1,'(橫掃)RX Mapping'!BE169&lt;=120), ('(橫掃)RX Mapping'!BE169-1),0)</f>
        <v>0</v>
      </c>
      <c r="BF169">
        <f>IF(AND('(橫掃)RX Mapping'!BF169&gt;=1,'(橫掃)RX Mapping'!BF169&lt;=120), ('(橫掃)RX Mapping'!BF169-1),0)</f>
        <v>0</v>
      </c>
      <c r="BG169">
        <f>IF(AND('(橫掃)RX Mapping'!BG169&gt;=1,'(橫掃)RX Mapping'!BG169&lt;=120), ('(橫掃)RX Mapping'!BG169-1),0)</f>
        <v>0</v>
      </c>
      <c r="BH169">
        <f>IF(AND('(橫掃)RX Mapping'!BH169&gt;=1,'(橫掃)RX Mapping'!BH169&lt;=120), ('(橫掃)RX Mapping'!BH169-1),0)</f>
        <v>0</v>
      </c>
      <c r="BI169">
        <f>IF(AND('(橫掃)RX Mapping'!BI169&gt;=1,'(橫掃)RX Mapping'!BI169&lt;=120), ('(橫掃)RX Mapping'!BI169-1),0)</f>
        <v>0</v>
      </c>
    </row>
  </sheetData>
  <phoneticPr fontId="2" type="noConversion"/>
  <conditionalFormatting sqref="B2:BI61">
    <cfRule type="colorScale" priority="2">
      <colorScale>
        <cfvo type="min"/>
        <cfvo type="percentile" val="50"/>
        <cfvo type="max"/>
        <color rgb="FF63BE7B"/>
        <color rgb="FFFFEB84"/>
        <color rgb="FFF8696B"/>
      </colorScale>
    </cfRule>
  </conditionalFormatting>
  <conditionalFormatting sqref="B66:BI125">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12D44-DD79-4FC3-A6BC-9BC64ABB2639}">
  <sheetPr>
    <tabColor theme="8"/>
  </sheetPr>
  <dimension ref="A1:BI37"/>
  <sheetViews>
    <sheetView zoomScale="70" zoomScaleNormal="70" workbookViewId="0">
      <selection activeCell="R21" sqref="R21"/>
    </sheetView>
  </sheetViews>
  <sheetFormatPr defaultRowHeight="15.75" x14ac:dyDescent="0.25"/>
  <cols>
    <col min="1" max="1" width="5.7109375" style="20" customWidth="1"/>
    <col min="2" max="61" width="5.7109375" customWidth="1"/>
  </cols>
  <sheetData>
    <row r="1" spans="1:61" x14ac:dyDescent="0.25">
      <c r="A1" s="20">
        <v>0</v>
      </c>
      <c r="B1" s="20">
        <v>1</v>
      </c>
      <c r="C1" s="20">
        <v>2</v>
      </c>
      <c r="D1" s="20">
        <v>3</v>
      </c>
      <c r="E1" s="20">
        <v>4</v>
      </c>
      <c r="F1" s="20">
        <v>5</v>
      </c>
      <c r="G1" s="20">
        <v>6</v>
      </c>
      <c r="H1" s="20">
        <v>7</v>
      </c>
      <c r="I1" s="20">
        <v>8</v>
      </c>
      <c r="J1" s="20">
        <v>9</v>
      </c>
      <c r="K1" s="20">
        <v>10</v>
      </c>
      <c r="L1" s="20">
        <v>11</v>
      </c>
      <c r="M1" s="20">
        <v>12</v>
      </c>
      <c r="N1" s="20">
        <v>13</v>
      </c>
      <c r="O1" s="20">
        <v>14</v>
      </c>
      <c r="P1" s="20">
        <v>15</v>
      </c>
      <c r="Q1" s="20">
        <v>16</v>
      </c>
      <c r="R1" s="20">
        <v>17</v>
      </c>
      <c r="S1" s="20">
        <v>18</v>
      </c>
      <c r="T1" s="20">
        <v>19</v>
      </c>
      <c r="U1" s="20">
        <v>20</v>
      </c>
      <c r="V1" s="20">
        <v>21</v>
      </c>
      <c r="W1" s="20">
        <v>22</v>
      </c>
      <c r="X1" s="20">
        <v>23</v>
      </c>
      <c r="Y1" s="20">
        <v>24</v>
      </c>
      <c r="Z1" s="20">
        <v>25</v>
      </c>
      <c r="AA1" s="20">
        <v>26</v>
      </c>
      <c r="AB1" s="20">
        <v>27</v>
      </c>
      <c r="AC1" s="20">
        <v>28</v>
      </c>
      <c r="AD1" s="20">
        <v>29</v>
      </c>
      <c r="AE1" s="20">
        <v>30</v>
      </c>
      <c r="AF1" s="20">
        <v>31</v>
      </c>
      <c r="AG1" s="20">
        <v>32</v>
      </c>
      <c r="AH1" s="20">
        <v>33</v>
      </c>
      <c r="AI1" s="20">
        <v>34</v>
      </c>
      <c r="AJ1" s="20">
        <v>35</v>
      </c>
      <c r="AK1" s="20">
        <v>36</v>
      </c>
      <c r="AL1" s="20">
        <v>37</v>
      </c>
      <c r="AM1" s="20">
        <v>38</v>
      </c>
      <c r="AN1" s="20">
        <v>39</v>
      </c>
      <c r="AO1" s="20">
        <v>40</v>
      </c>
      <c r="AP1" s="20">
        <v>41</v>
      </c>
      <c r="AQ1" s="20">
        <v>42</v>
      </c>
      <c r="AR1" s="20">
        <v>43</v>
      </c>
      <c r="AS1" s="20">
        <v>44</v>
      </c>
      <c r="AT1" s="20">
        <v>45</v>
      </c>
      <c r="AU1" s="20">
        <v>46</v>
      </c>
      <c r="AV1" s="20">
        <v>47</v>
      </c>
      <c r="AW1" s="20">
        <v>48</v>
      </c>
      <c r="AX1" s="20">
        <v>49</v>
      </c>
      <c r="AY1" s="20">
        <v>50</v>
      </c>
      <c r="AZ1" s="20">
        <v>51</v>
      </c>
      <c r="BA1" s="20">
        <v>52</v>
      </c>
      <c r="BB1" s="20">
        <v>53</v>
      </c>
      <c r="BC1" s="20">
        <v>54</v>
      </c>
      <c r="BD1" s="20">
        <v>55</v>
      </c>
      <c r="BE1" s="20">
        <v>56</v>
      </c>
      <c r="BF1" s="20">
        <v>57</v>
      </c>
      <c r="BG1" s="20">
        <v>58</v>
      </c>
      <c r="BH1" s="20">
        <v>59</v>
      </c>
      <c r="BI1" s="20">
        <v>60</v>
      </c>
    </row>
    <row r="2" spans="1:61" x14ac:dyDescent="0.25">
      <c r="A2" s="20">
        <v>1</v>
      </c>
      <c r="B2">
        <f>0</f>
        <v>0</v>
      </c>
      <c r="C2">
        <f>IF(B2+1 &lt; (('(橫掃)RX Mapping'!$BL$2)/4)*4*(('(橫掃)RX Mapping'!$BL$3)/4), B2+1)</f>
        <v>1</v>
      </c>
      <c r="D2">
        <f>IF(C2+1 &lt; (('(橫掃)RX Mapping'!$BL$2)/4)*4*(('(橫掃)RX Mapping'!$BL$3)/4), C2+1)</f>
        <v>2</v>
      </c>
      <c r="E2">
        <f>IF(D2+1 &lt; (('(橫掃)RX Mapping'!$BL$2)/4)*4*(('(橫掃)RX Mapping'!$BL$3)/4), D2+1)</f>
        <v>3</v>
      </c>
      <c r="F2">
        <f>IF(E2+1 &lt; (('(橫掃)RX Mapping'!$BL$2)/4)*4*(('(橫掃)RX Mapping'!$BL$3)/4), E2+1)</f>
        <v>4</v>
      </c>
      <c r="G2">
        <f>IF(F2+1 &lt; (('(橫掃)RX Mapping'!$BL$2)/4)*4*(('(橫掃)RX Mapping'!$BL$3)/4), F2+1)</f>
        <v>5</v>
      </c>
      <c r="H2">
        <f>IF(G2+1 &lt; (('(橫掃)RX Mapping'!$BL$2)/4)*4*(('(橫掃)RX Mapping'!$BL$3)/4), G2+1)</f>
        <v>6</v>
      </c>
      <c r="I2">
        <f>IF(H2+1 &lt; (('(橫掃)RX Mapping'!$BL$2)/4)*4*(('(橫掃)RX Mapping'!$BL$3)/4), H2+1)</f>
        <v>7</v>
      </c>
      <c r="J2">
        <f>IF(I2+1 &lt; (('(橫掃)RX Mapping'!$BL$2)/4)*4*(('(橫掃)RX Mapping'!$BL$3)/4), I2+1)</f>
        <v>8</v>
      </c>
      <c r="K2">
        <f>IF(J2+1 &lt; (('(橫掃)RX Mapping'!$BL$2)/4)*4*(('(橫掃)RX Mapping'!$BL$3)/4), J2+1)</f>
        <v>9</v>
      </c>
      <c r="L2">
        <f>IF(K2+1 &lt; (('(橫掃)RX Mapping'!$BL$2)/4)*4*(('(橫掃)RX Mapping'!$BL$3)/4), K2+1)</f>
        <v>10</v>
      </c>
      <c r="M2">
        <f>IF(L2+1 &lt; (('(橫掃)RX Mapping'!$BL$2)/4)*4*(('(橫掃)RX Mapping'!$BL$3)/4), L2+1)</f>
        <v>11</v>
      </c>
      <c r="N2">
        <f>IF(M2+1 &lt; (('(橫掃)RX Mapping'!$BL$2)/4)*4*(('(橫掃)RX Mapping'!$BL$3)/4), M2+1)</f>
        <v>12</v>
      </c>
      <c r="O2">
        <f>IF(N2+1 &lt; (('(橫掃)RX Mapping'!$BL$2)/4)*4*(('(橫掃)RX Mapping'!$BL$3)/4), N2+1)</f>
        <v>13</v>
      </c>
      <c r="P2">
        <f>IF(O2+1 &lt; (('(橫掃)RX Mapping'!$BL$2)/4)*4*(('(橫掃)RX Mapping'!$BL$3)/4), O2+1)</f>
        <v>14</v>
      </c>
      <c r="Q2">
        <f>IF(P2+1 &lt; (('(橫掃)RX Mapping'!$BL$2)/4)*4*(('(橫掃)RX Mapping'!$BL$3)/4), P2+1)</f>
        <v>15</v>
      </c>
      <c r="R2">
        <f>IF(Q2+1 &lt; (('(橫掃)RX Mapping'!$BL$2)/4)*4*(('(橫掃)RX Mapping'!$BL$3)/4), Q2+1)</f>
        <v>16</v>
      </c>
      <c r="S2">
        <f>IF(R2+1 &lt; (('(橫掃)RX Mapping'!$BL$2)/4)*4*(('(橫掃)RX Mapping'!$BL$3)/4), R2+1)</f>
        <v>17</v>
      </c>
      <c r="T2">
        <f>IF(S2+1 &lt; (('(橫掃)RX Mapping'!$BL$2)/4)*4*(('(橫掃)RX Mapping'!$BL$3)/4), S2+1)</f>
        <v>18</v>
      </c>
      <c r="U2">
        <f>IF(T2+1 &lt; (('(橫掃)RX Mapping'!$BL$2)/4)*4*(('(橫掃)RX Mapping'!$BL$3)/4), T2+1)</f>
        <v>19</v>
      </c>
      <c r="V2">
        <f>IF(U2+1 &lt; (('(橫掃)RX Mapping'!$BL$2)/4)*4*(('(橫掃)RX Mapping'!$BL$3)/4), U2+1)</f>
        <v>20</v>
      </c>
      <c r="W2">
        <f>IF(V2+1 &lt; (('(橫掃)RX Mapping'!$BL$2)/4)*4*(('(橫掃)RX Mapping'!$BL$3)/4), V2+1)</f>
        <v>21</v>
      </c>
      <c r="X2">
        <f>IF(W2+1 &lt; (('(橫掃)RX Mapping'!$BL$2)/4)*4*(('(橫掃)RX Mapping'!$BL$3)/4), W2+1)</f>
        <v>22</v>
      </c>
      <c r="Y2">
        <f>IF(X2+1 &lt; (('(橫掃)RX Mapping'!$BL$2)/4)*4*(('(橫掃)RX Mapping'!$BL$3)/4), X2+1)</f>
        <v>23</v>
      </c>
      <c r="Z2">
        <f>IF(Y2+1 &lt; (('(橫掃)RX Mapping'!$BL$2)/4)*4*(('(橫掃)RX Mapping'!$BL$3)/4), Y2+1)</f>
        <v>24</v>
      </c>
      <c r="AA2">
        <f>IF(Z2+1 &lt; (('(橫掃)RX Mapping'!$BL$2)/4)*4*(('(橫掃)RX Mapping'!$BL$3)/4), Z2+1)</f>
        <v>25</v>
      </c>
      <c r="AB2">
        <f>IF(AA2+1 &lt; (('(橫掃)RX Mapping'!$BL$2)/4)*4*(('(橫掃)RX Mapping'!$BL$3)/4), AA2+1)</f>
        <v>26</v>
      </c>
      <c r="AC2">
        <f>IF(AB2+1 &lt; (('(橫掃)RX Mapping'!$BL$2)/4)*4*(('(橫掃)RX Mapping'!$BL$3)/4), AB2+1)</f>
        <v>27</v>
      </c>
      <c r="AD2">
        <f>IF(AC2+1 &lt; (('(橫掃)RX Mapping'!$BL$2)/4)*4*(('(橫掃)RX Mapping'!$BL$3)/4), AC2+1)</f>
        <v>28</v>
      </c>
      <c r="AE2">
        <f>IF(AD2+1 &lt; (('(橫掃)RX Mapping'!$BL$2)/4)*4*(('(橫掃)RX Mapping'!$BL$3)/4), AD2+1)</f>
        <v>29</v>
      </c>
      <c r="AF2">
        <f>IF(AE2+1 &lt; (('(橫掃)RX Mapping'!$BL$2)/4)*4*(('(橫掃)RX Mapping'!$BL$3)/4), AE2+1)</f>
        <v>30</v>
      </c>
      <c r="AG2">
        <f>IF(AF2+1 &lt; (('(橫掃)RX Mapping'!$BL$2)/4)*4*(('(橫掃)RX Mapping'!$BL$3)/4), AF2+1)</f>
        <v>31</v>
      </c>
    </row>
    <row r="3" spans="1:61" x14ac:dyDescent="0.25">
      <c r="A3" s="20">
        <v>2</v>
      </c>
      <c r="B3">
        <f>IF(AG2+1 &lt; (('(橫掃)RX Mapping'!$BL$2)/4)*4*(('(橫掃)RX Mapping'!$BL$3)/4), AG2+1)</f>
        <v>32</v>
      </c>
      <c r="C3">
        <f>IF(B3+1 &lt; (('(橫掃)RX Mapping'!$BL$2)/4)*4*(('(橫掃)RX Mapping'!$BL$3)/4), B3+1)</f>
        <v>33</v>
      </c>
      <c r="D3">
        <f>IF(C3+1 &lt; (('(橫掃)RX Mapping'!$BL$2)/4)*4*(('(橫掃)RX Mapping'!$BL$3)/4), C3+1)</f>
        <v>34</v>
      </c>
      <c r="E3">
        <f>IF(D3+1 &lt; (('(橫掃)RX Mapping'!$BL$2)/4)*4*(('(橫掃)RX Mapping'!$BL$3)/4), D3+1)</f>
        <v>35</v>
      </c>
      <c r="F3">
        <f>IF(E3+1 &lt; (('(橫掃)RX Mapping'!$BL$2)/4)*4*(('(橫掃)RX Mapping'!$BL$3)/4), E3+1)</f>
        <v>36</v>
      </c>
      <c r="G3">
        <f>IF(F3+1 &lt; (('(橫掃)RX Mapping'!$BL$2)/4)*4*(('(橫掃)RX Mapping'!$BL$3)/4), F3+1)</f>
        <v>37</v>
      </c>
      <c r="H3">
        <f>IF(G3+1 &lt; (('(橫掃)RX Mapping'!$BL$2)/4)*4*(('(橫掃)RX Mapping'!$BL$3)/4), G3+1)</f>
        <v>38</v>
      </c>
      <c r="I3">
        <f>IF(H3+1 &lt; (('(橫掃)RX Mapping'!$BL$2)/4)*4*(('(橫掃)RX Mapping'!$BL$3)/4), H3+1)</f>
        <v>39</v>
      </c>
      <c r="J3">
        <f>IF(I3+1 &lt; (('(橫掃)RX Mapping'!$BL$2)/4)*4*(('(橫掃)RX Mapping'!$BL$3)/4), I3+1)</f>
        <v>40</v>
      </c>
      <c r="K3">
        <f>IF(J3+1 &lt; (('(橫掃)RX Mapping'!$BL$2)/4)*4*(('(橫掃)RX Mapping'!$BL$3)/4), J3+1)</f>
        <v>41</v>
      </c>
      <c r="L3">
        <f>IF(K3+1 &lt; (('(橫掃)RX Mapping'!$BL$2)/4)*4*(('(橫掃)RX Mapping'!$BL$3)/4), K3+1)</f>
        <v>42</v>
      </c>
      <c r="M3">
        <f>IF(L3+1 &lt; (('(橫掃)RX Mapping'!$BL$2)/4)*4*(('(橫掃)RX Mapping'!$BL$3)/4), L3+1)</f>
        <v>43</v>
      </c>
      <c r="N3">
        <f>IF(M3+1 &lt; (('(橫掃)RX Mapping'!$BL$2)/4)*4*(('(橫掃)RX Mapping'!$BL$3)/4), M3+1)</f>
        <v>44</v>
      </c>
      <c r="O3">
        <f>IF(N3+1 &lt; (('(橫掃)RX Mapping'!$BL$2)/4)*4*(('(橫掃)RX Mapping'!$BL$3)/4), N3+1)</f>
        <v>45</v>
      </c>
      <c r="P3">
        <f>IF(O3+1 &lt; (('(橫掃)RX Mapping'!$BL$2)/4)*4*(('(橫掃)RX Mapping'!$BL$3)/4), O3+1)</f>
        <v>46</v>
      </c>
      <c r="Q3">
        <f>IF(P3+1 &lt; (('(橫掃)RX Mapping'!$BL$2)/4)*4*(('(橫掃)RX Mapping'!$BL$3)/4), P3+1)</f>
        <v>47</v>
      </c>
      <c r="R3">
        <f>IF(Q3+1 &lt; (('(橫掃)RX Mapping'!$BL$2)/4)*4*(('(橫掃)RX Mapping'!$BL$3)/4), Q3+1)</f>
        <v>48</v>
      </c>
      <c r="S3">
        <f>IF(R3+1 &lt; (('(橫掃)RX Mapping'!$BL$2)/4)*4*(('(橫掃)RX Mapping'!$BL$3)/4), R3+1)</f>
        <v>49</v>
      </c>
      <c r="T3">
        <f>IF(S3+1 &lt; (('(橫掃)RX Mapping'!$BL$2)/4)*4*(('(橫掃)RX Mapping'!$BL$3)/4), S3+1)</f>
        <v>50</v>
      </c>
      <c r="U3">
        <f>IF(T3+1 &lt; (('(橫掃)RX Mapping'!$BL$2)/4)*4*(('(橫掃)RX Mapping'!$BL$3)/4), T3+1)</f>
        <v>51</v>
      </c>
      <c r="V3">
        <f>IF(U3+1 &lt; (('(橫掃)RX Mapping'!$BL$2)/4)*4*(('(橫掃)RX Mapping'!$BL$3)/4), U3+1)</f>
        <v>52</v>
      </c>
      <c r="W3">
        <f>IF(V3+1 &lt; (('(橫掃)RX Mapping'!$BL$2)/4)*4*(('(橫掃)RX Mapping'!$BL$3)/4), V3+1)</f>
        <v>53</v>
      </c>
      <c r="X3">
        <f>IF(W3+1 &lt; (('(橫掃)RX Mapping'!$BL$2)/4)*4*(('(橫掃)RX Mapping'!$BL$3)/4), W3+1)</f>
        <v>54</v>
      </c>
      <c r="Y3">
        <f>IF(X3+1 &lt; (('(橫掃)RX Mapping'!$BL$2)/4)*4*(('(橫掃)RX Mapping'!$BL$3)/4), X3+1)</f>
        <v>55</v>
      </c>
      <c r="Z3">
        <f>IF(Y3+1 &lt; (('(橫掃)RX Mapping'!$BL$2)/4)*4*(('(橫掃)RX Mapping'!$BL$3)/4), Y3+1)</f>
        <v>56</v>
      </c>
      <c r="AA3">
        <f>IF(Z3+1 &lt; (('(橫掃)RX Mapping'!$BL$2)/4)*4*(('(橫掃)RX Mapping'!$BL$3)/4), Z3+1)</f>
        <v>57</v>
      </c>
      <c r="AB3">
        <f>IF(AA3+1 &lt; (('(橫掃)RX Mapping'!$BL$2)/4)*4*(('(橫掃)RX Mapping'!$BL$3)/4), AA3+1)</f>
        <v>58</v>
      </c>
      <c r="AC3">
        <f>IF(AB3+1 &lt; (('(橫掃)RX Mapping'!$BL$2)/4)*4*(('(橫掃)RX Mapping'!$BL$3)/4), AB3+1)</f>
        <v>59</v>
      </c>
      <c r="AD3">
        <f>IF(AC3+1 &lt; (('(橫掃)RX Mapping'!$BL$2)/4)*4*(('(橫掃)RX Mapping'!$BL$3)/4), AC3+1)</f>
        <v>60</v>
      </c>
      <c r="AE3">
        <f>IF(AD3+1 &lt; (('(橫掃)RX Mapping'!$BL$2)/4)*4*(('(橫掃)RX Mapping'!$BL$3)/4), AD3+1)</f>
        <v>61</v>
      </c>
      <c r="AF3">
        <f>IF(AE3+1 &lt; (('(橫掃)RX Mapping'!$BL$2)/4)*4*(('(橫掃)RX Mapping'!$BL$3)/4), AE3+1)</f>
        <v>62</v>
      </c>
      <c r="AG3">
        <f>IF(AF3+1 &lt; (('(橫掃)RX Mapping'!$BL$2)/4)*4*(('(橫掃)RX Mapping'!$BL$3)/4), AF3+1)</f>
        <v>63</v>
      </c>
    </row>
    <row r="4" spans="1:61" x14ac:dyDescent="0.25">
      <c r="A4" s="20">
        <v>3</v>
      </c>
      <c r="B4">
        <f>IF(AG3+1 &lt; (('(橫掃)RX Mapping'!$BL$2)/4)*4*(('(橫掃)RX Mapping'!$BL$3)/4), AG3+1)</f>
        <v>64</v>
      </c>
      <c r="C4">
        <f>IF(B4+1 &lt; (('(橫掃)RX Mapping'!$BL$2)/4)*4*(('(橫掃)RX Mapping'!$BL$3)/4), B4+1)</f>
        <v>65</v>
      </c>
      <c r="D4">
        <f>IF(C4+1 &lt; (('(橫掃)RX Mapping'!$BL$2)/4)*4*(('(橫掃)RX Mapping'!$BL$3)/4), C4+1)</f>
        <v>66</v>
      </c>
      <c r="E4">
        <f>IF(D4+1 &lt; (('(橫掃)RX Mapping'!$BL$2)/4)*4*(('(橫掃)RX Mapping'!$BL$3)/4), D4+1)</f>
        <v>67</v>
      </c>
      <c r="F4">
        <f>IF(E4+1 &lt; (('(橫掃)RX Mapping'!$BL$2)/4)*4*(('(橫掃)RX Mapping'!$BL$3)/4), E4+1)</f>
        <v>68</v>
      </c>
      <c r="G4">
        <f>IF(F4+1 &lt; (('(橫掃)RX Mapping'!$BL$2)/4)*4*(('(橫掃)RX Mapping'!$BL$3)/4), F4+1)</f>
        <v>69</v>
      </c>
      <c r="H4">
        <f>IF(G4+1 &lt; (('(橫掃)RX Mapping'!$BL$2)/4)*4*(('(橫掃)RX Mapping'!$BL$3)/4), G4+1)</f>
        <v>70</v>
      </c>
      <c r="I4">
        <f>IF(H4+1 &lt; (('(橫掃)RX Mapping'!$BL$2)/4)*4*(('(橫掃)RX Mapping'!$BL$3)/4), H4+1)</f>
        <v>71</v>
      </c>
      <c r="J4">
        <f>IF(I4+1 &lt; (('(橫掃)RX Mapping'!$BL$2)/4)*4*(('(橫掃)RX Mapping'!$BL$3)/4), I4+1)</f>
        <v>72</v>
      </c>
      <c r="K4">
        <f>IF(J4+1 &lt; (('(橫掃)RX Mapping'!$BL$2)/4)*4*(('(橫掃)RX Mapping'!$BL$3)/4), J4+1)</f>
        <v>73</v>
      </c>
      <c r="L4">
        <f>IF(K4+1 &lt; (('(橫掃)RX Mapping'!$BL$2)/4)*4*(('(橫掃)RX Mapping'!$BL$3)/4), K4+1)</f>
        <v>74</v>
      </c>
      <c r="M4">
        <f>IF(L4+1 &lt; (('(橫掃)RX Mapping'!$BL$2)/4)*4*(('(橫掃)RX Mapping'!$BL$3)/4), L4+1)</f>
        <v>75</v>
      </c>
      <c r="N4">
        <f>IF(M4+1 &lt; (('(橫掃)RX Mapping'!$BL$2)/4)*4*(('(橫掃)RX Mapping'!$BL$3)/4), M4+1)</f>
        <v>76</v>
      </c>
      <c r="O4">
        <f>IF(N4+1 &lt; (('(橫掃)RX Mapping'!$BL$2)/4)*4*(('(橫掃)RX Mapping'!$BL$3)/4), N4+1)</f>
        <v>77</v>
      </c>
      <c r="P4">
        <f>IF(O4+1 &lt; (('(橫掃)RX Mapping'!$BL$2)/4)*4*(('(橫掃)RX Mapping'!$BL$3)/4), O4+1)</f>
        <v>78</v>
      </c>
      <c r="Q4">
        <f>IF(P4+1 &lt; (('(橫掃)RX Mapping'!$BL$2)/4)*4*(('(橫掃)RX Mapping'!$BL$3)/4), P4+1)</f>
        <v>79</v>
      </c>
      <c r="R4">
        <f>IF(Q4+1 &lt; (('(橫掃)RX Mapping'!$BL$2)/4)*4*(('(橫掃)RX Mapping'!$BL$3)/4), Q4+1)</f>
        <v>80</v>
      </c>
      <c r="S4">
        <f>IF(R4+1 &lt; (('(橫掃)RX Mapping'!$BL$2)/4)*4*(('(橫掃)RX Mapping'!$BL$3)/4), R4+1)</f>
        <v>81</v>
      </c>
      <c r="T4">
        <f>IF(S4+1 &lt; (('(橫掃)RX Mapping'!$BL$2)/4)*4*(('(橫掃)RX Mapping'!$BL$3)/4), S4+1)</f>
        <v>82</v>
      </c>
      <c r="U4">
        <f>IF(T4+1 &lt; (('(橫掃)RX Mapping'!$BL$2)/4)*4*(('(橫掃)RX Mapping'!$BL$3)/4), T4+1)</f>
        <v>83</v>
      </c>
      <c r="V4">
        <f>IF(U4+1 &lt; (('(橫掃)RX Mapping'!$BL$2)/4)*4*(('(橫掃)RX Mapping'!$BL$3)/4), U4+1)</f>
        <v>84</v>
      </c>
      <c r="W4">
        <f>IF(V4+1 &lt; (('(橫掃)RX Mapping'!$BL$2)/4)*4*(('(橫掃)RX Mapping'!$BL$3)/4), V4+1)</f>
        <v>85</v>
      </c>
      <c r="X4">
        <f>IF(W4+1 &lt; (('(橫掃)RX Mapping'!$BL$2)/4)*4*(('(橫掃)RX Mapping'!$BL$3)/4), W4+1)</f>
        <v>86</v>
      </c>
      <c r="Y4">
        <f>IF(X4+1 &lt; (('(橫掃)RX Mapping'!$BL$2)/4)*4*(('(橫掃)RX Mapping'!$BL$3)/4), X4+1)</f>
        <v>87</v>
      </c>
      <c r="Z4">
        <f>IF(Y4+1 &lt; (('(橫掃)RX Mapping'!$BL$2)/4)*4*(('(橫掃)RX Mapping'!$BL$3)/4), Y4+1)</f>
        <v>88</v>
      </c>
      <c r="AA4">
        <f>IF(Z4+1 &lt; (('(橫掃)RX Mapping'!$BL$2)/4)*4*(('(橫掃)RX Mapping'!$BL$3)/4), Z4+1)</f>
        <v>89</v>
      </c>
      <c r="AB4">
        <f>IF(AA4+1 &lt; (('(橫掃)RX Mapping'!$BL$2)/4)*4*(('(橫掃)RX Mapping'!$BL$3)/4), AA4+1)</f>
        <v>90</v>
      </c>
      <c r="AC4">
        <f>IF(AB4+1 &lt; (('(橫掃)RX Mapping'!$BL$2)/4)*4*(('(橫掃)RX Mapping'!$BL$3)/4), AB4+1)</f>
        <v>91</v>
      </c>
      <c r="AD4">
        <f>IF(AC4+1 &lt; (('(橫掃)RX Mapping'!$BL$2)/4)*4*(('(橫掃)RX Mapping'!$BL$3)/4), AC4+1)</f>
        <v>92</v>
      </c>
      <c r="AE4">
        <f>IF(AD4+1 &lt; (('(橫掃)RX Mapping'!$BL$2)/4)*4*(('(橫掃)RX Mapping'!$BL$3)/4), AD4+1)</f>
        <v>93</v>
      </c>
      <c r="AF4">
        <f>IF(AE4+1 &lt; (('(橫掃)RX Mapping'!$BL$2)/4)*4*(('(橫掃)RX Mapping'!$BL$3)/4), AE4+1)</f>
        <v>94</v>
      </c>
      <c r="AG4">
        <f>IF(AF4+1 &lt; (('(橫掃)RX Mapping'!$BL$2)/4)*4*(('(橫掃)RX Mapping'!$BL$3)/4), AF4+1)</f>
        <v>95</v>
      </c>
    </row>
    <row r="5" spans="1:61" x14ac:dyDescent="0.25">
      <c r="A5" s="20">
        <v>4</v>
      </c>
      <c r="B5">
        <f>IF(AG4+1 &lt; (('(橫掃)RX Mapping'!$BL$2)/4)*4*(('(橫掃)RX Mapping'!$BL$3)/4), AG4+1)</f>
        <v>96</v>
      </c>
      <c r="C5">
        <f>IF(B5+1 &lt; (('(橫掃)RX Mapping'!$BL$2)/4)*4*(('(橫掃)RX Mapping'!$BL$3)/4), B5+1)</f>
        <v>97</v>
      </c>
      <c r="D5">
        <f>IF(C5+1 &lt; (('(橫掃)RX Mapping'!$BL$2)/4)*4*(('(橫掃)RX Mapping'!$BL$3)/4), C5+1)</f>
        <v>98</v>
      </c>
      <c r="E5">
        <f>IF(D5+1 &lt; (('(橫掃)RX Mapping'!$BL$2)/4)*4*(('(橫掃)RX Mapping'!$BL$3)/4), D5+1)</f>
        <v>99</v>
      </c>
      <c r="F5">
        <f>IF(E5+1 &lt; (('(橫掃)RX Mapping'!$BL$2)/4)*4*(('(橫掃)RX Mapping'!$BL$3)/4), E5+1)</f>
        <v>100</v>
      </c>
      <c r="G5">
        <f>IF(F5+1 &lt; (('(橫掃)RX Mapping'!$BL$2)/4)*4*(('(橫掃)RX Mapping'!$BL$3)/4), F5+1)</f>
        <v>101</v>
      </c>
      <c r="H5">
        <f>IF(G5+1 &lt; (('(橫掃)RX Mapping'!$BL$2)/4)*4*(('(橫掃)RX Mapping'!$BL$3)/4), G5+1)</f>
        <v>102</v>
      </c>
      <c r="I5">
        <f>IF(H5+1 &lt; (('(橫掃)RX Mapping'!$BL$2)/4)*4*(('(橫掃)RX Mapping'!$BL$3)/4), H5+1)</f>
        <v>103</v>
      </c>
      <c r="J5">
        <f>IF(I5+1 &lt; (('(橫掃)RX Mapping'!$BL$2)/4)*4*(('(橫掃)RX Mapping'!$BL$3)/4), I5+1)</f>
        <v>104</v>
      </c>
      <c r="K5">
        <f>IF(J5+1 &lt; (('(橫掃)RX Mapping'!$BL$2)/4)*4*(('(橫掃)RX Mapping'!$BL$3)/4), J5+1)</f>
        <v>105</v>
      </c>
      <c r="L5">
        <f>IF(K5+1 &lt; (('(橫掃)RX Mapping'!$BL$2)/4)*4*(('(橫掃)RX Mapping'!$BL$3)/4), K5+1)</f>
        <v>106</v>
      </c>
      <c r="M5">
        <f>IF(L5+1 &lt; (('(橫掃)RX Mapping'!$BL$2)/4)*4*(('(橫掃)RX Mapping'!$BL$3)/4), L5+1)</f>
        <v>107</v>
      </c>
      <c r="N5">
        <f>IF(M5+1 &lt; (('(橫掃)RX Mapping'!$BL$2)/4)*4*(('(橫掃)RX Mapping'!$BL$3)/4), M5+1)</f>
        <v>108</v>
      </c>
      <c r="O5">
        <f>IF(N5+1 &lt; (('(橫掃)RX Mapping'!$BL$2)/4)*4*(('(橫掃)RX Mapping'!$BL$3)/4), N5+1)</f>
        <v>109</v>
      </c>
      <c r="P5">
        <f>IF(O5+1 &lt; (('(橫掃)RX Mapping'!$BL$2)/4)*4*(('(橫掃)RX Mapping'!$BL$3)/4), O5+1)</f>
        <v>110</v>
      </c>
      <c r="Q5">
        <f>IF(P5+1 &lt; (('(橫掃)RX Mapping'!$BL$2)/4)*4*(('(橫掃)RX Mapping'!$BL$3)/4), P5+1)</f>
        <v>111</v>
      </c>
      <c r="R5">
        <f>IF(Q5+1 &lt; (('(橫掃)RX Mapping'!$BL$2)/4)*4*(('(橫掃)RX Mapping'!$BL$3)/4), Q5+1)</f>
        <v>112</v>
      </c>
      <c r="S5">
        <f>IF(R5+1 &lt; (('(橫掃)RX Mapping'!$BL$2)/4)*4*(('(橫掃)RX Mapping'!$BL$3)/4), R5+1)</f>
        <v>113</v>
      </c>
      <c r="T5">
        <f>IF(S5+1 &lt; (('(橫掃)RX Mapping'!$BL$2)/4)*4*(('(橫掃)RX Mapping'!$BL$3)/4), S5+1)</f>
        <v>114</v>
      </c>
      <c r="U5">
        <f>IF(T5+1 &lt; (('(橫掃)RX Mapping'!$BL$2)/4)*4*(('(橫掃)RX Mapping'!$BL$3)/4), T5+1)</f>
        <v>115</v>
      </c>
      <c r="V5">
        <f>IF(U5+1 &lt; (('(橫掃)RX Mapping'!$BL$2)/4)*4*(('(橫掃)RX Mapping'!$BL$3)/4), U5+1)</f>
        <v>116</v>
      </c>
      <c r="W5">
        <f>IF(V5+1 &lt; (('(橫掃)RX Mapping'!$BL$2)/4)*4*(('(橫掃)RX Mapping'!$BL$3)/4), V5+1)</f>
        <v>117</v>
      </c>
      <c r="X5">
        <f>IF(W5+1 &lt; (('(橫掃)RX Mapping'!$BL$2)/4)*4*(('(橫掃)RX Mapping'!$BL$3)/4), W5+1)</f>
        <v>118</v>
      </c>
      <c r="Y5">
        <f>IF(X5+1 &lt; (('(橫掃)RX Mapping'!$BL$2)/4)*4*(('(橫掃)RX Mapping'!$BL$3)/4), X5+1)</f>
        <v>119</v>
      </c>
      <c r="Z5">
        <v>119</v>
      </c>
      <c r="AA5">
        <f>IF(Z5-1 &gt;= (240-(('(橫掃)RX Mapping'!$BL$2)/4)*4*(('(橫掃)RX Mapping'!$BL$3)/4)), Z5-1)</f>
        <v>118</v>
      </c>
      <c r="AB5">
        <f>IF(AA5-1 &gt;= (240-(('(橫掃)RX Mapping'!$BL$2)/4)*4*(('(橫掃)RX Mapping'!$BL$3)/4)), AA5-1)</f>
        <v>117</v>
      </c>
      <c r="AC5">
        <f>IF(AB5-1 &gt;= (240-(('(橫掃)RX Mapping'!$BL$2)/4)*4*(('(橫掃)RX Mapping'!$BL$3)/4)), AB5-1)</f>
        <v>116</v>
      </c>
      <c r="AD5">
        <f>IF(AC5-1 &gt;= (240-(('(橫掃)RX Mapping'!$BL$2)/4)*4*(('(橫掃)RX Mapping'!$BL$3)/4)), AC5-1)</f>
        <v>115</v>
      </c>
      <c r="AE5">
        <f>IF(AD5-1 &gt;= (240-(('(橫掃)RX Mapping'!$BL$2)/4)*4*(('(橫掃)RX Mapping'!$BL$3)/4)), AD5-1)</f>
        <v>114</v>
      </c>
      <c r="AF5">
        <f>IF(AE5-1 &gt;= (240-(('(橫掃)RX Mapping'!$BL$2)/4)*4*(('(橫掃)RX Mapping'!$BL$3)/4)), AE5-1)</f>
        <v>113</v>
      </c>
      <c r="AG5">
        <f>IF(AF5-1 &gt;= (240-(('(橫掃)RX Mapping'!$BL$2)/4)*4*(('(橫掃)RX Mapping'!$BL$3)/4)), AF5-1)</f>
        <v>112</v>
      </c>
    </row>
    <row r="6" spans="1:61" x14ac:dyDescent="0.25">
      <c r="A6" s="20">
        <v>5</v>
      </c>
      <c r="B6">
        <f>IF(IF(AG5-1 &gt;= (240-(('(橫掃)RX Mapping'!$BL$2)/4)*4*(('(橫掃)RX Mapping'!$BL$3)/4)), AG5-1)=-1,FALSE,IF(AG5-1 &gt;= (240-(('(橫掃)RX Mapping'!$BL$2)/4)*4*(('(橫掃)RX Mapping'!$BL$3)/4)), AG5-1))</f>
        <v>111</v>
      </c>
      <c r="C6">
        <f>IF(B6-1 &gt;= (240-(('(橫掃)RX Mapping'!$BL$2)/4)*4*(('(橫掃)RX Mapping'!$BL$3)/4)), B6-1)</f>
        <v>110</v>
      </c>
      <c r="D6">
        <f>IF(C6-1 &gt;= (240-(('(橫掃)RX Mapping'!$BL$2)/4)*4*(('(橫掃)RX Mapping'!$BL$3)/4)), C6-1)</f>
        <v>109</v>
      </c>
      <c r="E6">
        <f>IF(D6-1 &gt;= (240-(('(橫掃)RX Mapping'!$BL$2)/4)*4*(('(橫掃)RX Mapping'!$BL$3)/4)), D6-1)</f>
        <v>108</v>
      </c>
      <c r="F6">
        <f>IF(E6-1 &gt;= (240-(('(橫掃)RX Mapping'!$BL$2)/4)*4*(('(橫掃)RX Mapping'!$BL$3)/4)), E6-1)</f>
        <v>107</v>
      </c>
      <c r="G6">
        <f>IF(F6-1 &gt;= (240-(('(橫掃)RX Mapping'!$BL$2)/4)*4*(('(橫掃)RX Mapping'!$BL$3)/4)), F6-1)</f>
        <v>106</v>
      </c>
      <c r="H6">
        <f>IF(G6-1 &gt;= (240-(('(橫掃)RX Mapping'!$BL$2)/4)*4*(('(橫掃)RX Mapping'!$BL$3)/4)), G6-1)</f>
        <v>105</v>
      </c>
      <c r="I6">
        <f>IF(H6-1 &gt;= (240-(('(橫掃)RX Mapping'!$BL$2)/4)*4*(('(橫掃)RX Mapping'!$BL$3)/4)), H6-1)</f>
        <v>104</v>
      </c>
      <c r="J6">
        <f>IF(I6-1 &gt;= (240-(('(橫掃)RX Mapping'!$BL$2)/4)*4*(('(橫掃)RX Mapping'!$BL$3)/4)), I6-1)</f>
        <v>103</v>
      </c>
      <c r="K6">
        <f>IF(J6-1 &gt;= (240-(('(橫掃)RX Mapping'!$BL$2)/4)*4*(('(橫掃)RX Mapping'!$BL$3)/4)), J6-1)</f>
        <v>102</v>
      </c>
      <c r="L6">
        <f>IF(K6-1 &gt;= (240-(('(橫掃)RX Mapping'!$BL$2)/4)*4*(('(橫掃)RX Mapping'!$BL$3)/4)), K6-1)</f>
        <v>101</v>
      </c>
      <c r="M6">
        <f>IF(L6-1 &gt;= (240-(('(橫掃)RX Mapping'!$BL$2)/4)*4*(('(橫掃)RX Mapping'!$BL$3)/4)), L6-1)</f>
        <v>100</v>
      </c>
      <c r="N6">
        <f>IF(M6-1 &gt;= (240-(('(橫掃)RX Mapping'!$BL$2)/4)*4*(('(橫掃)RX Mapping'!$BL$3)/4)), M6-1)</f>
        <v>99</v>
      </c>
      <c r="O6">
        <f>IF(N6-1 &gt;= (240-(('(橫掃)RX Mapping'!$BL$2)/4)*4*(('(橫掃)RX Mapping'!$BL$3)/4)), N6-1)</f>
        <v>98</v>
      </c>
      <c r="P6">
        <f>IF(O6-1 &gt;= (240-(('(橫掃)RX Mapping'!$BL$2)/4)*4*(('(橫掃)RX Mapping'!$BL$3)/4)), O6-1)</f>
        <v>97</v>
      </c>
      <c r="Q6">
        <f>IF(P6-1 &gt;= (240-(('(橫掃)RX Mapping'!$BL$2)/4)*4*(('(橫掃)RX Mapping'!$BL$3)/4)), P6-1)</f>
        <v>96</v>
      </c>
      <c r="R6">
        <f>IF(Q6-1 &gt;= (240-(('(橫掃)RX Mapping'!$BL$2)/4)*4*(('(橫掃)RX Mapping'!$BL$3)/4)), Q6-1)</f>
        <v>95</v>
      </c>
      <c r="S6">
        <f>IF(R6-1 &gt;= (240-(('(橫掃)RX Mapping'!$BL$2)/4)*4*(('(橫掃)RX Mapping'!$BL$3)/4)), R6-1)</f>
        <v>94</v>
      </c>
      <c r="T6">
        <f>IF(S6-1 &gt;= (240-(('(橫掃)RX Mapping'!$BL$2)/4)*4*(('(橫掃)RX Mapping'!$BL$3)/4)), S6-1)</f>
        <v>93</v>
      </c>
      <c r="U6">
        <f>IF(T6-1 &gt;= (240-(('(橫掃)RX Mapping'!$BL$2)/4)*4*(('(橫掃)RX Mapping'!$BL$3)/4)), T6-1)</f>
        <v>92</v>
      </c>
      <c r="V6">
        <f>IF(U6-1 &gt;= (240-(('(橫掃)RX Mapping'!$BL$2)/4)*4*(('(橫掃)RX Mapping'!$BL$3)/4)), U6-1)</f>
        <v>91</v>
      </c>
      <c r="W6">
        <f>IF(V6-1 &gt;= (240-(('(橫掃)RX Mapping'!$BL$2)/4)*4*(('(橫掃)RX Mapping'!$BL$3)/4)), V6-1)</f>
        <v>90</v>
      </c>
      <c r="X6">
        <f>IF(W6-1 &gt;= (240-(('(橫掃)RX Mapping'!$BL$2)/4)*4*(('(橫掃)RX Mapping'!$BL$3)/4)), W6-1)</f>
        <v>89</v>
      </c>
      <c r="Y6">
        <f>IF(X6-1 &gt;= (240-(('(橫掃)RX Mapping'!$BL$2)/4)*4*(('(橫掃)RX Mapping'!$BL$3)/4)), X6-1)</f>
        <v>88</v>
      </c>
      <c r="Z6">
        <f>IF(Y6-1 &gt;= (240-(('(橫掃)RX Mapping'!$BL$2)/4)*4*(('(橫掃)RX Mapping'!$BL$3)/4)), Y6-1)</f>
        <v>87</v>
      </c>
      <c r="AA6">
        <f>IF(Z6-1 &gt;= (240-(('(橫掃)RX Mapping'!$BL$2)/4)*4*(('(橫掃)RX Mapping'!$BL$3)/4)), Z6-1)</f>
        <v>86</v>
      </c>
      <c r="AB6">
        <f>IF(AA6-1 &gt;= (240-(('(橫掃)RX Mapping'!$BL$2)/4)*4*(('(橫掃)RX Mapping'!$BL$3)/4)), AA6-1)</f>
        <v>85</v>
      </c>
      <c r="AC6">
        <f>IF(AB6-1 &gt;= (240-(('(橫掃)RX Mapping'!$BL$2)/4)*4*(('(橫掃)RX Mapping'!$BL$3)/4)), AB6-1)</f>
        <v>84</v>
      </c>
      <c r="AD6">
        <f>IF(AC6-1 &gt;= (240-(('(橫掃)RX Mapping'!$BL$2)/4)*4*(('(橫掃)RX Mapping'!$BL$3)/4)), AC6-1)</f>
        <v>83</v>
      </c>
      <c r="AE6">
        <f>IF(AD6-1 &gt;= (240-(('(橫掃)RX Mapping'!$BL$2)/4)*4*(('(橫掃)RX Mapping'!$BL$3)/4)), AD6-1)</f>
        <v>82</v>
      </c>
      <c r="AF6">
        <f>IF(AE6-1 &gt;= (240-(('(橫掃)RX Mapping'!$BL$2)/4)*4*(('(橫掃)RX Mapping'!$BL$3)/4)), AE6-1)</f>
        <v>81</v>
      </c>
      <c r="AG6">
        <f>IF(AF6-1 &gt;= (240-(('(橫掃)RX Mapping'!$BL$2)/4)*4*(('(橫掃)RX Mapping'!$BL$3)/4)), AF6-1)</f>
        <v>80</v>
      </c>
    </row>
    <row r="7" spans="1:61" x14ac:dyDescent="0.25">
      <c r="A7" s="20">
        <v>6</v>
      </c>
      <c r="B7">
        <f>IF(IF(AG6-1 &gt;= (240-(('(橫掃)RX Mapping'!$BL$2)/4)*4*(('(橫掃)RX Mapping'!$BL$3)/4)), AG6-1)=-1,FALSE,IF(AG6-1 &gt;= (240-(('(橫掃)RX Mapping'!$BL$2)/4)*4*(('(橫掃)RX Mapping'!$BL$3)/4)), AG6-1))</f>
        <v>79</v>
      </c>
      <c r="C7">
        <f>IF(B7-1 &gt;= (240-(('(橫掃)RX Mapping'!$BL$2)/4)*4*(('(橫掃)RX Mapping'!$BL$3)/4)), B7-1)</f>
        <v>78</v>
      </c>
      <c r="D7">
        <f>IF(C7-1 &gt;= (240-(('(橫掃)RX Mapping'!$BL$2)/4)*4*(('(橫掃)RX Mapping'!$BL$3)/4)), C7-1)</f>
        <v>77</v>
      </c>
      <c r="E7">
        <f>IF(D7-1 &gt;= (240-(('(橫掃)RX Mapping'!$BL$2)/4)*4*(('(橫掃)RX Mapping'!$BL$3)/4)), D7-1)</f>
        <v>76</v>
      </c>
      <c r="F7">
        <f>IF(E7-1 &gt;= (240-(('(橫掃)RX Mapping'!$BL$2)/4)*4*(('(橫掃)RX Mapping'!$BL$3)/4)), E7-1)</f>
        <v>75</v>
      </c>
      <c r="G7">
        <f>IF(F7-1 &gt;= (240-(('(橫掃)RX Mapping'!$BL$2)/4)*4*(('(橫掃)RX Mapping'!$BL$3)/4)), F7-1)</f>
        <v>74</v>
      </c>
      <c r="H7">
        <f>IF(G7-1 &gt;= (240-(('(橫掃)RX Mapping'!$BL$2)/4)*4*(('(橫掃)RX Mapping'!$BL$3)/4)), G7-1)</f>
        <v>73</v>
      </c>
      <c r="I7">
        <f>IF(H7-1 &gt;= (240-(('(橫掃)RX Mapping'!$BL$2)/4)*4*(('(橫掃)RX Mapping'!$BL$3)/4)), H7-1)</f>
        <v>72</v>
      </c>
      <c r="J7">
        <f>IF(I7-1 &gt;= (240-(('(橫掃)RX Mapping'!$BL$2)/4)*4*(('(橫掃)RX Mapping'!$BL$3)/4)), I7-1)</f>
        <v>71</v>
      </c>
      <c r="K7">
        <f>IF(J7-1 &gt;= (240-(('(橫掃)RX Mapping'!$BL$2)/4)*4*(('(橫掃)RX Mapping'!$BL$3)/4)), J7-1)</f>
        <v>70</v>
      </c>
      <c r="L7">
        <f>IF(K7-1 &gt;= (240-(('(橫掃)RX Mapping'!$BL$2)/4)*4*(('(橫掃)RX Mapping'!$BL$3)/4)), K7-1)</f>
        <v>69</v>
      </c>
      <c r="M7">
        <f>IF(L7-1 &gt;= (240-(('(橫掃)RX Mapping'!$BL$2)/4)*4*(('(橫掃)RX Mapping'!$BL$3)/4)), L7-1)</f>
        <v>68</v>
      </c>
      <c r="N7">
        <f>IF(M7-1 &gt;= (240-(('(橫掃)RX Mapping'!$BL$2)/4)*4*(('(橫掃)RX Mapping'!$BL$3)/4)), M7-1)</f>
        <v>67</v>
      </c>
      <c r="O7">
        <f>IF(N7-1 &gt;= (240-(('(橫掃)RX Mapping'!$BL$2)/4)*4*(('(橫掃)RX Mapping'!$BL$3)/4)), N7-1)</f>
        <v>66</v>
      </c>
      <c r="P7">
        <f>IF(O7-1 &gt;= (240-(('(橫掃)RX Mapping'!$BL$2)/4)*4*(('(橫掃)RX Mapping'!$BL$3)/4)), O7-1)</f>
        <v>65</v>
      </c>
      <c r="Q7">
        <f>IF(P7-1 &gt;= (240-(('(橫掃)RX Mapping'!$BL$2)/4)*4*(('(橫掃)RX Mapping'!$BL$3)/4)), P7-1)</f>
        <v>64</v>
      </c>
      <c r="R7">
        <f>IF(Q7-1 &gt;= (240-(('(橫掃)RX Mapping'!$BL$2)/4)*4*(('(橫掃)RX Mapping'!$BL$3)/4)), Q7-1)</f>
        <v>63</v>
      </c>
      <c r="S7">
        <f>IF(R7-1 &gt;= (240-(('(橫掃)RX Mapping'!$BL$2)/4)*4*(('(橫掃)RX Mapping'!$BL$3)/4)), R7-1)</f>
        <v>62</v>
      </c>
      <c r="T7">
        <f>IF(S7-1 &gt;= (240-(('(橫掃)RX Mapping'!$BL$2)/4)*4*(('(橫掃)RX Mapping'!$BL$3)/4)), S7-1)</f>
        <v>61</v>
      </c>
      <c r="U7">
        <f>IF(T7-1 &gt;= (240-(('(橫掃)RX Mapping'!$BL$2)/4)*4*(('(橫掃)RX Mapping'!$BL$3)/4)), T7-1)</f>
        <v>60</v>
      </c>
      <c r="V7">
        <f>IF(U7-1 &gt;= (240-(('(橫掃)RX Mapping'!$BL$2)/4)*4*(('(橫掃)RX Mapping'!$BL$3)/4)), U7-1)</f>
        <v>59</v>
      </c>
      <c r="W7">
        <f>IF(V7-1 &gt;= (240-(('(橫掃)RX Mapping'!$BL$2)/4)*4*(('(橫掃)RX Mapping'!$BL$3)/4)), V7-1)</f>
        <v>58</v>
      </c>
      <c r="X7">
        <f>IF(W7-1 &gt;= (240-(('(橫掃)RX Mapping'!$BL$2)/4)*4*(('(橫掃)RX Mapping'!$BL$3)/4)), W7-1)</f>
        <v>57</v>
      </c>
      <c r="Y7">
        <f>IF(X7-1 &gt;= (240-(('(橫掃)RX Mapping'!$BL$2)/4)*4*(('(橫掃)RX Mapping'!$BL$3)/4)), X7-1)</f>
        <v>56</v>
      </c>
      <c r="Z7">
        <f>IF(Y7-1 &gt;= (240-(('(橫掃)RX Mapping'!$BL$2)/4)*4*(('(橫掃)RX Mapping'!$BL$3)/4)), Y7-1)</f>
        <v>55</v>
      </c>
      <c r="AA7">
        <f>IF(Z7-1 &gt;= (240-(('(橫掃)RX Mapping'!$BL$2)/4)*4*(('(橫掃)RX Mapping'!$BL$3)/4)), Z7-1)</f>
        <v>54</v>
      </c>
      <c r="AB7">
        <f>IF(AA7-1 &gt;= (240-(('(橫掃)RX Mapping'!$BL$2)/4)*4*(('(橫掃)RX Mapping'!$BL$3)/4)), AA7-1)</f>
        <v>53</v>
      </c>
      <c r="AC7">
        <f>IF(AB7-1 &gt;= (240-(('(橫掃)RX Mapping'!$BL$2)/4)*4*(('(橫掃)RX Mapping'!$BL$3)/4)), AB7-1)</f>
        <v>52</v>
      </c>
      <c r="AD7">
        <f>IF(AC7-1 &gt;= (240-(('(橫掃)RX Mapping'!$BL$2)/4)*4*(('(橫掃)RX Mapping'!$BL$3)/4)), AC7-1)</f>
        <v>51</v>
      </c>
      <c r="AE7">
        <f>IF(AD7-1 &gt;= (240-(('(橫掃)RX Mapping'!$BL$2)/4)*4*(('(橫掃)RX Mapping'!$BL$3)/4)), AD7-1)</f>
        <v>50</v>
      </c>
      <c r="AF7">
        <f>IF(AE7-1 &gt;= (240-(('(橫掃)RX Mapping'!$BL$2)/4)*4*(('(橫掃)RX Mapping'!$BL$3)/4)), AE7-1)</f>
        <v>49</v>
      </c>
      <c r="AG7">
        <f>IF(AF7-1 &gt;= (240-(('(橫掃)RX Mapping'!$BL$2)/4)*4*(('(橫掃)RX Mapping'!$BL$3)/4)), AF7-1)</f>
        <v>48</v>
      </c>
    </row>
    <row r="8" spans="1:61" x14ac:dyDescent="0.25">
      <c r="A8" s="20">
        <v>7</v>
      </c>
      <c r="B8">
        <f>IF(IF(AG7-1 &gt;= (240-(('(橫掃)RX Mapping'!$BL$2)/4)*4*(('(橫掃)RX Mapping'!$BL$3)/4)), AG7-1)=-1,FALSE,IF(AG7-1 &gt;= (240-(('(橫掃)RX Mapping'!$BL$2)/4)*4*(('(橫掃)RX Mapping'!$BL$3)/4)), AG7-1))</f>
        <v>47</v>
      </c>
      <c r="C8">
        <f>IF(B8-1 &gt;= (240-(('(橫掃)RX Mapping'!$BL$2)/4)*4*(('(橫掃)RX Mapping'!$BL$3)/4)), B8-1)</f>
        <v>46</v>
      </c>
      <c r="D8">
        <f>IF(C8-1 &gt;= (240-(('(橫掃)RX Mapping'!$BL$2)/4)*4*(('(橫掃)RX Mapping'!$BL$3)/4)), C8-1)</f>
        <v>45</v>
      </c>
      <c r="E8">
        <f>IF(D8-1 &gt;= (240-(('(橫掃)RX Mapping'!$BL$2)/4)*4*(('(橫掃)RX Mapping'!$BL$3)/4)), D8-1)</f>
        <v>44</v>
      </c>
      <c r="F8">
        <f>IF(E8-1 &gt;= (240-(('(橫掃)RX Mapping'!$BL$2)/4)*4*(('(橫掃)RX Mapping'!$BL$3)/4)), E8-1)</f>
        <v>43</v>
      </c>
      <c r="G8">
        <f>IF(F8-1 &gt;= (240-(('(橫掃)RX Mapping'!$BL$2)/4)*4*(('(橫掃)RX Mapping'!$BL$3)/4)), F8-1)</f>
        <v>42</v>
      </c>
      <c r="H8">
        <f>IF(G8-1 &gt;= (240-(('(橫掃)RX Mapping'!$BL$2)/4)*4*(('(橫掃)RX Mapping'!$BL$3)/4)), G8-1)</f>
        <v>41</v>
      </c>
      <c r="I8">
        <f>IF(H8-1 &gt;= (240-(('(橫掃)RX Mapping'!$BL$2)/4)*4*(('(橫掃)RX Mapping'!$BL$3)/4)), H8-1)</f>
        <v>40</v>
      </c>
      <c r="J8">
        <f>IF(I8-1 &gt;= (240-(('(橫掃)RX Mapping'!$BL$2)/4)*4*(('(橫掃)RX Mapping'!$BL$3)/4)), I8-1)</f>
        <v>39</v>
      </c>
      <c r="K8">
        <f>IF(J8-1 &gt;= (240-(('(橫掃)RX Mapping'!$BL$2)/4)*4*(('(橫掃)RX Mapping'!$BL$3)/4)), J8-1)</f>
        <v>38</v>
      </c>
      <c r="L8">
        <f>IF(K8-1 &gt;= (240-(('(橫掃)RX Mapping'!$BL$2)/4)*4*(('(橫掃)RX Mapping'!$BL$3)/4)), K8-1)</f>
        <v>37</v>
      </c>
      <c r="M8">
        <f>IF(L8-1 &gt;= (240-(('(橫掃)RX Mapping'!$BL$2)/4)*4*(('(橫掃)RX Mapping'!$BL$3)/4)), L8-1)</f>
        <v>36</v>
      </c>
      <c r="N8">
        <f>IF(M8-1 &gt;= (240-(('(橫掃)RX Mapping'!$BL$2)/4)*4*(('(橫掃)RX Mapping'!$BL$3)/4)), M8-1)</f>
        <v>35</v>
      </c>
      <c r="O8">
        <f>IF(N8-1 &gt;= (240-(('(橫掃)RX Mapping'!$BL$2)/4)*4*(('(橫掃)RX Mapping'!$BL$3)/4)), N8-1)</f>
        <v>34</v>
      </c>
      <c r="P8">
        <f>IF(O8-1 &gt;= (240-(('(橫掃)RX Mapping'!$BL$2)/4)*4*(('(橫掃)RX Mapping'!$BL$3)/4)), O8-1)</f>
        <v>33</v>
      </c>
      <c r="Q8">
        <f>IF(P8-1 &gt;= (240-(('(橫掃)RX Mapping'!$BL$2)/4)*4*(('(橫掃)RX Mapping'!$BL$3)/4)), P8-1)</f>
        <v>32</v>
      </c>
      <c r="R8">
        <f>IF(Q8-1 &gt;= (240-(('(橫掃)RX Mapping'!$BL$2)/4)*4*(('(橫掃)RX Mapping'!$BL$3)/4)), Q8-1)</f>
        <v>31</v>
      </c>
      <c r="S8">
        <f>IF(R8-1 &gt;= (240-(('(橫掃)RX Mapping'!$BL$2)/4)*4*(('(橫掃)RX Mapping'!$BL$3)/4)), R8-1)</f>
        <v>30</v>
      </c>
      <c r="T8">
        <f>IF(S8-1 &gt;= (240-(('(橫掃)RX Mapping'!$BL$2)/4)*4*(('(橫掃)RX Mapping'!$BL$3)/4)), S8-1)</f>
        <v>29</v>
      </c>
      <c r="U8">
        <f>IF(T8-1 &gt;= (240-(('(橫掃)RX Mapping'!$BL$2)/4)*4*(('(橫掃)RX Mapping'!$BL$3)/4)), T8-1)</f>
        <v>28</v>
      </c>
      <c r="V8">
        <f>IF(U8-1 &gt;= (240-(('(橫掃)RX Mapping'!$BL$2)/4)*4*(('(橫掃)RX Mapping'!$BL$3)/4)), U8-1)</f>
        <v>27</v>
      </c>
      <c r="W8">
        <f>IF(V8-1 &gt;= (240-(('(橫掃)RX Mapping'!$BL$2)/4)*4*(('(橫掃)RX Mapping'!$BL$3)/4)), V8-1)</f>
        <v>26</v>
      </c>
      <c r="X8">
        <f>IF(W8-1 &gt;= (240-(('(橫掃)RX Mapping'!$BL$2)/4)*4*(('(橫掃)RX Mapping'!$BL$3)/4)), W8-1)</f>
        <v>25</v>
      </c>
      <c r="Y8">
        <f>IF(X8-1 &gt;= (240-(('(橫掃)RX Mapping'!$BL$2)/4)*4*(('(橫掃)RX Mapping'!$BL$3)/4)), X8-1)</f>
        <v>24</v>
      </c>
      <c r="Z8">
        <f>IF(Y8-1 &gt;= (240-(('(橫掃)RX Mapping'!$BL$2)/4)*4*(('(橫掃)RX Mapping'!$BL$3)/4)), Y8-1)</f>
        <v>23</v>
      </c>
      <c r="AA8">
        <f>IF(Z8-1 &gt;= (240-(('(橫掃)RX Mapping'!$BL$2)/4)*4*(('(橫掃)RX Mapping'!$BL$3)/4)), Z8-1)</f>
        <v>22</v>
      </c>
      <c r="AB8">
        <f>IF(AA8-1 &gt;= (240-(('(橫掃)RX Mapping'!$BL$2)/4)*4*(('(橫掃)RX Mapping'!$BL$3)/4)), AA8-1)</f>
        <v>21</v>
      </c>
      <c r="AC8">
        <f>IF(AB8-1 &gt;= (240-(('(橫掃)RX Mapping'!$BL$2)/4)*4*(('(橫掃)RX Mapping'!$BL$3)/4)), AB8-1)</f>
        <v>20</v>
      </c>
      <c r="AD8">
        <f>IF(AC8-1 &gt;= (240-(('(橫掃)RX Mapping'!$BL$2)/4)*4*(('(橫掃)RX Mapping'!$BL$3)/4)), AC8-1)</f>
        <v>19</v>
      </c>
      <c r="AE8">
        <f>IF(AD8-1 &gt;= (240-(('(橫掃)RX Mapping'!$BL$2)/4)*4*(('(橫掃)RX Mapping'!$BL$3)/4)), AD8-1)</f>
        <v>18</v>
      </c>
      <c r="AF8">
        <f>IF(AE8-1 &gt;= (240-(('(橫掃)RX Mapping'!$BL$2)/4)*4*(('(橫掃)RX Mapping'!$BL$3)/4)), AE8-1)</f>
        <v>17</v>
      </c>
      <c r="AG8">
        <f>IF(AF8-1 &gt;= (240-(('(橫掃)RX Mapping'!$BL$2)/4)*4*(('(橫掃)RX Mapping'!$BL$3)/4)), AF8-1)</f>
        <v>16</v>
      </c>
    </row>
    <row r="9" spans="1:61" x14ac:dyDescent="0.25">
      <c r="A9" s="20">
        <v>8</v>
      </c>
      <c r="B9" t="b">
        <f>IF(IF(AG8-1 &gt;= (240-(('(橫掃)RX Mapping'!$BL$2)/4)*4*(('(橫掃)RX Mapping'!$BL$3)/4)), AG8-1)=-1,FALSE,IF(AG8-1 &gt;= (240-(('(橫掃)RX Mapping'!$BL$2)/4)*4*(('(橫掃)RX Mapping'!$BL$3)/4)), AG8-1))</f>
        <v>0</v>
      </c>
      <c r="C9" t="b">
        <f>IF(B9-1 &gt;= (240-(('(橫掃)RX Mapping'!$BL$2)/4)*4*(('(橫掃)RX Mapping'!$BL$3)/4)), B9-1)</f>
        <v>0</v>
      </c>
      <c r="D9" t="b">
        <f>IF(C9-1 &gt;= (240-(('(橫掃)RX Mapping'!$BL$2)/4)*4*(('(橫掃)RX Mapping'!$BL$3)/4)), C9-1)</f>
        <v>0</v>
      </c>
      <c r="E9" t="b">
        <f>IF(D9-1 &gt;= (240-(('(橫掃)RX Mapping'!$BL$2)/4)*4*(('(橫掃)RX Mapping'!$BL$3)/4)), D9-1)</f>
        <v>0</v>
      </c>
      <c r="F9" t="b">
        <f>IF(E9-1 &gt;= (240-(('(橫掃)RX Mapping'!$BL$2)/4)*4*(('(橫掃)RX Mapping'!$BL$3)/4)), E9-1)</f>
        <v>0</v>
      </c>
      <c r="G9" t="b">
        <f>IF(F9-1 &gt;= (240-(('(橫掃)RX Mapping'!$BL$2)/4)*4*(('(橫掃)RX Mapping'!$BL$3)/4)), F9-1)</f>
        <v>0</v>
      </c>
      <c r="H9" t="b">
        <f>IF(G9-1 &gt;= (240-(('(橫掃)RX Mapping'!$BL$2)/4)*4*(('(橫掃)RX Mapping'!$BL$3)/4)), G9-1)</f>
        <v>0</v>
      </c>
      <c r="I9" t="b">
        <f>IF(H9-1 &gt;= (240-(('(橫掃)RX Mapping'!$BL$2)/4)*4*(('(橫掃)RX Mapping'!$BL$3)/4)), H9-1)</f>
        <v>0</v>
      </c>
      <c r="J9" t="b">
        <f>IF(I9-1 &gt;= (240-(('(橫掃)RX Mapping'!$BL$2)/4)*4*(('(橫掃)RX Mapping'!$BL$3)/4)), I9-1)</f>
        <v>0</v>
      </c>
      <c r="K9" t="b">
        <f>IF(J9-1 &gt;= (240-(('(橫掃)RX Mapping'!$BL$2)/4)*4*(('(橫掃)RX Mapping'!$BL$3)/4)), J9-1)</f>
        <v>0</v>
      </c>
      <c r="L9" t="b">
        <f>IF(K9-1 &gt;= (240-(('(橫掃)RX Mapping'!$BL$2)/4)*4*(('(橫掃)RX Mapping'!$BL$3)/4)), K9-1)</f>
        <v>0</v>
      </c>
      <c r="M9" t="b">
        <f>IF(L9-1 &gt;= (240-(('(橫掃)RX Mapping'!$BL$2)/4)*4*(('(橫掃)RX Mapping'!$BL$3)/4)), L9-1)</f>
        <v>0</v>
      </c>
      <c r="N9" t="b">
        <f>IF(M9-1 &gt;= (240-(('(橫掃)RX Mapping'!$BL$2)/4)*4*(('(橫掃)RX Mapping'!$BL$3)/4)), M9-1)</f>
        <v>0</v>
      </c>
      <c r="O9" t="b">
        <f>IF(N9-1 &gt;= (240-(('(橫掃)RX Mapping'!$BL$2)/4)*4*(('(橫掃)RX Mapping'!$BL$3)/4)), N9-1)</f>
        <v>0</v>
      </c>
      <c r="P9" t="b">
        <f>IF(O9-1 &gt;= (240-(('(橫掃)RX Mapping'!$BL$2)/4)*4*(('(橫掃)RX Mapping'!$BL$3)/4)), O9-1)</f>
        <v>0</v>
      </c>
      <c r="Q9" t="b">
        <f>IF(P9-1 &gt;= (240-(('(橫掃)RX Mapping'!$BL$2)/4)*4*(('(橫掃)RX Mapping'!$BL$3)/4)), P9-1)</f>
        <v>0</v>
      </c>
    </row>
    <row r="10" spans="1:61" x14ac:dyDescent="0.25">
      <c r="A10" s="20">
        <v>9</v>
      </c>
    </row>
    <row r="11" spans="1:61" x14ac:dyDescent="0.25">
      <c r="A11" s="20">
        <v>10</v>
      </c>
      <c r="B11">
        <f>0</f>
        <v>0</v>
      </c>
      <c r="C11">
        <f>IF(B11+1 &lt; (('(橫掃)RX Mapping'!$BL$2)/4)*4*(('(橫掃)RX Mapping'!$BL$3)/4), B11+1)</f>
        <v>1</v>
      </c>
      <c r="D11">
        <f>IF(C11+1 &lt; (('(橫掃)RX Mapping'!$BL$2)/4)*4*(('(橫掃)RX Mapping'!$BL$3)/4), C11+1)</f>
        <v>2</v>
      </c>
      <c r="E11">
        <f>IF(D11+1 &lt; (('(橫掃)RX Mapping'!$BL$2)/4)*4*(('(橫掃)RX Mapping'!$BL$3)/4), D11+1)</f>
        <v>3</v>
      </c>
      <c r="F11">
        <f>IF(E11+1 &lt; (('(橫掃)RX Mapping'!$BL$2)/4)*4*(('(橫掃)RX Mapping'!$BL$3)/4), E11+1)</f>
        <v>4</v>
      </c>
      <c r="G11">
        <f>IF(F11+1 &lt; (('(橫掃)RX Mapping'!$BL$2)/4)*4*(('(橫掃)RX Mapping'!$BL$3)/4), F11+1)</f>
        <v>5</v>
      </c>
      <c r="H11">
        <f>IF(G11+1 &lt; (('(橫掃)RX Mapping'!$BL$2)/4)*4*(('(橫掃)RX Mapping'!$BL$3)/4), G11+1)</f>
        <v>6</v>
      </c>
      <c r="I11">
        <f>IF(H11+1 &lt; (('(橫掃)RX Mapping'!$BL$2)/4)*4*(('(橫掃)RX Mapping'!$BL$3)/4), H11+1)</f>
        <v>7</v>
      </c>
      <c r="J11">
        <f>IF(I11+1 &lt; (('(橫掃)RX Mapping'!$BL$2)/4)*4*(('(橫掃)RX Mapping'!$BL$3)/4), I11+1)</f>
        <v>8</v>
      </c>
      <c r="K11">
        <f>IF(J11+1 &lt; (('(橫掃)RX Mapping'!$BL$2)/4)*4*(('(橫掃)RX Mapping'!$BL$3)/4), J11+1)</f>
        <v>9</v>
      </c>
      <c r="L11">
        <f>IF(K11+1 &lt; (('(橫掃)RX Mapping'!$BL$2)/4)*4*(('(橫掃)RX Mapping'!$BL$3)/4), K11+1)</f>
        <v>10</v>
      </c>
      <c r="M11">
        <f>IF(L11+1 &lt; (('(橫掃)RX Mapping'!$BL$2)/4)*4*(('(橫掃)RX Mapping'!$BL$3)/4), L11+1)</f>
        <v>11</v>
      </c>
      <c r="N11">
        <f>IF(M11+1 &lt; (('(橫掃)RX Mapping'!$BL$2)/4)*4*(('(橫掃)RX Mapping'!$BL$3)/4), M11+1)</f>
        <v>12</v>
      </c>
      <c r="O11">
        <f>IF(N11+1 &lt; (('(橫掃)RX Mapping'!$BL$2)/4)*4*(('(橫掃)RX Mapping'!$BL$3)/4), N11+1)</f>
        <v>13</v>
      </c>
      <c r="P11">
        <f>IF(O11+1 &lt; (('(橫掃)RX Mapping'!$BL$2)/4)*4*(('(橫掃)RX Mapping'!$BL$3)/4), O11+1)</f>
        <v>14</v>
      </c>
      <c r="Q11">
        <f>IF(P11+1 &lt; (('(橫掃)RX Mapping'!$BL$2)/4)*4*(('(橫掃)RX Mapping'!$BL$3)/4), P11+1)</f>
        <v>15</v>
      </c>
      <c r="R11">
        <f>IF(Q11+1 &lt; (('(橫掃)RX Mapping'!$BL$2)/4)*4*(('(橫掃)RX Mapping'!$BL$3)/4), Q11+1)</f>
        <v>16</v>
      </c>
      <c r="S11">
        <f>IF(R11+1 &lt; (('(橫掃)RX Mapping'!$BL$2)/4)*4*(('(橫掃)RX Mapping'!$BL$3)/4), R11+1)</f>
        <v>17</v>
      </c>
      <c r="T11">
        <f>IF(S11+1 &lt; (('(橫掃)RX Mapping'!$BL$2)/4)*4*(('(橫掃)RX Mapping'!$BL$3)/4), S11+1)</f>
        <v>18</v>
      </c>
      <c r="U11">
        <f>IF(T11+1 &lt; (('(橫掃)RX Mapping'!$BL$2)/4)*4*(('(橫掃)RX Mapping'!$BL$3)/4), T11+1)</f>
        <v>19</v>
      </c>
      <c r="V11">
        <f>IF(U11+1 &lt; (('(橫掃)RX Mapping'!$BL$2)/4)*4*(('(橫掃)RX Mapping'!$BL$3)/4), U11+1)</f>
        <v>20</v>
      </c>
      <c r="W11">
        <f>IF(V11+1 &lt; (('(橫掃)RX Mapping'!$BL$2)/4)*4*(('(橫掃)RX Mapping'!$BL$3)/4), V11+1)</f>
        <v>21</v>
      </c>
      <c r="X11">
        <f>IF(W11+1 &lt; (('(橫掃)RX Mapping'!$BL$2)/4)*4*(('(橫掃)RX Mapping'!$BL$3)/4), W11+1)</f>
        <v>22</v>
      </c>
      <c r="Y11">
        <f>IF(X11+1 &lt; (('(橫掃)RX Mapping'!$BL$2)/4)*4*(('(橫掃)RX Mapping'!$BL$3)/4), X11+1)</f>
        <v>23</v>
      </c>
      <c r="Z11">
        <f>IF(Y11+1 &lt; (('(橫掃)RX Mapping'!$BL$2)/4)*4*(('(橫掃)RX Mapping'!$BL$3)/4), Y11+1)</f>
        <v>24</v>
      </c>
      <c r="AA11">
        <f>IF(Z11+1 &lt; (('(橫掃)RX Mapping'!$BL$2)/4)*4*(('(橫掃)RX Mapping'!$BL$3)/4), Z11+1)</f>
        <v>25</v>
      </c>
      <c r="AB11">
        <f>IF(AA11+1 &lt; (('(橫掃)RX Mapping'!$BL$2)/4)*4*(('(橫掃)RX Mapping'!$BL$3)/4), AA11+1)</f>
        <v>26</v>
      </c>
      <c r="AC11">
        <f>IF(AB11+1 &lt; (('(橫掃)RX Mapping'!$BL$2)/4)*4*(('(橫掃)RX Mapping'!$BL$3)/4), AB11+1)</f>
        <v>27</v>
      </c>
      <c r="AD11">
        <f>IF(AC11+1 &lt; (('(橫掃)RX Mapping'!$BL$2)/4)*4*(('(橫掃)RX Mapping'!$BL$3)/4), AC11+1)</f>
        <v>28</v>
      </c>
      <c r="AE11">
        <f>IF(AD11+1 &lt; (('(橫掃)RX Mapping'!$BL$2)/4)*4*(('(橫掃)RX Mapping'!$BL$3)/4), AD11+1)</f>
        <v>29</v>
      </c>
      <c r="AF11">
        <f>IF(AE11+1 &lt; (('(橫掃)RX Mapping'!$BL$2)/4)*4*(('(橫掃)RX Mapping'!$BL$3)/4), AE11+1)</f>
        <v>30</v>
      </c>
      <c r="AG11">
        <f>IF(AF11+1 &lt; (('(橫掃)RX Mapping'!$BL$2)/4)*4*(('(橫掃)RX Mapping'!$BL$3)/4), AF11+1)</f>
        <v>31</v>
      </c>
    </row>
    <row r="12" spans="1:61" x14ac:dyDescent="0.25">
      <c r="A12" s="20">
        <v>11</v>
      </c>
      <c r="B12">
        <f>IF(AG11+1 &lt; (('(橫掃)RX Mapping'!$BL$2)/4)*4*(('(橫掃)RX Mapping'!$BL$3)/4), AG11+1)</f>
        <v>32</v>
      </c>
      <c r="C12">
        <f>IF(B12+1 &lt; (('(橫掃)RX Mapping'!$BL$2)/4)*4*(('(橫掃)RX Mapping'!$BL$3)/4), B12+1)</f>
        <v>33</v>
      </c>
      <c r="D12">
        <f>IF(C12+1 &lt; (('(橫掃)RX Mapping'!$BL$2)/4)*4*(('(橫掃)RX Mapping'!$BL$3)/4), C12+1)</f>
        <v>34</v>
      </c>
      <c r="E12">
        <f>IF(D12+1 &lt; (('(橫掃)RX Mapping'!$BL$2)/4)*4*(('(橫掃)RX Mapping'!$BL$3)/4), D12+1)</f>
        <v>35</v>
      </c>
      <c r="F12">
        <f>IF(E12+1 &lt; (('(橫掃)RX Mapping'!$BL$2)/4)*4*(('(橫掃)RX Mapping'!$BL$3)/4), E12+1)</f>
        <v>36</v>
      </c>
      <c r="G12">
        <f>IF(F12+1 &lt; (('(橫掃)RX Mapping'!$BL$2)/4)*4*(('(橫掃)RX Mapping'!$BL$3)/4), F12+1)</f>
        <v>37</v>
      </c>
      <c r="H12">
        <f>IF(G12+1 &lt; (('(橫掃)RX Mapping'!$BL$2)/4)*4*(('(橫掃)RX Mapping'!$BL$3)/4), G12+1)</f>
        <v>38</v>
      </c>
      <c r="I12">
        <f>IF(H12+1 &lt; (('(橫掃)RX Mapping'!$BL$2)/4)*4*(('(橫掃)RX Mapping'!$BL$3)/4), H12+1)</f>
        <v>39</v>
      </c>
      <c r="J12">
        <f>IF(I12+1 &lt; (('(橫掃)RX Mapping'!$BL$2)/4)*4*(('(橫掃)RX Mapping'!$BL$3)/4), I12+1)</f>
        <v>40</v>
      </c>
      <c r="K12">
        <f>IF(J12+1 &lt; (('(橫掃)RX Mapping'!$BL$2)/4)*4*(('(橫掃)RX Mapping'!$BL$3)/4), J12+1)</f>
        <v>41</v>
      </c>
      <c r="L12">
        <f>IF(K12+1 &lt; (('(橫掃)RX Mapping'!$BL$2)/4)*4*(('(橫掃)RX Mapping'!$BL$3)/4), K12+1)</f>
        <v>42</v>
      </c>
      <c r="M12">
        <f>IF(L12+1 &lt; (('(橫掃)RX Mapping'!$BL$2)/4)*4*(('(橫掃)RX Mapping'!$BL$3)/4), L12+1)</f>
        <v>43</v>
      </c>
      <c r="N12">
        <f>IF(M12+1 &lt; (('(橫掃)RX Mapping'!$BL$2)/4)*4*(('(橫掃)RX Mapping'!$BL$3)/4), M12+1)</f>
        <v>44</v>
      </c>
      <c r="O12">
        <f>IF(N12+1 &lt; (('(橫掃)RX Mapping'!$BL$2)/4)*4*(('(橫掃)RX Mapping'!$BL$3)/4), N12+1)</f>
        <v>45</v>
      </c>
      <c r="P12">
        <f>IF(O12+1 &lt; (('(橫掃)RX Mapping'!$BL$2)/4)*4*(('(橫掃)RX Mapping'!$BL$3)/4), O12+1)</f>
        <v>46</v>
      </c>
      <c r="Q12">
        <f>IF(P12+1 &lt; (('(橫掃)RX Mapping'!$BL$2)/4)*4*(('(橫掃)RX Mapping'!$BL$3)/4), P12+1)</f>
        <v>47</v>
      </c>
      <c r="R12">
        <f>IF(Q12+1 &lt; (('(橫掃)RX Mapping'!$BL$2)/4)*4*(('(橫掃)RX Mapping'!$BL$3)/4), Q12+1)</f>
        <v>48</v>
      </c>
      <c r="S12">
        <f>IF(R12+1 &lt; (('(橫掃)RX Mapping'!$BL$2)/4)*4*(('(橫掃)RX Mapping'!$BL$3)/4), R12+1)</f>
        <v>49</v>
      </c>
      <c r="T12">
        <f>IF(S12+1 &lt; (('(橫掃)RX Mapping'!$BL$2)/4)*4*(('(橫掃)RX Mapping'!$BL$3)/4), S12+1)</f>
        <v>50</v>
      </c>
      <c r="U12">
        <f>IF(T12+1 &lt; (('(橫掃)RX Mapping'!$BL$2)/4)*4*(('(橫掃)RX Mapping'!$BL$3)/4), T12+1)</f>
        <v>51</v>
      </c>
      <c r="V12">
        <f>IF(U12+1 &lt; (('(橫掃)RX Mapping'!$BL$2)/4)*4*(('(橫掃)RX Mapping'!$BL$3)/4), U12+1)</f>
        <v>52</v>
      </c>
      <c r="W12">
        <f>IF(V12+1 &lt; (('(橫掃)RX Mapping'!$BL$2)/4)*4*(('(橫掃)RX Mapping'!$BL$3)/4), V12+1)</f>
        <v>53</v>
      </c>
      <c r="X12">
        <f>IF(W12+1 &lt; (('(橫掃)RX Mapping'!$BL$2)/4)*4*(('(橫掃)RX Mapping'!$BL$3)/4), W12+1)</f>
        <v>54</v>
      </c>
      <c r="Y12">
        <f>IF(X12+1 &lt; (('(橫掃)RX Mapping'!$BL$2)/4)*4*(('(橫掃)RX Mapping'!$BL$3)/4), X12+1)</f>
        <v>55</v>
      </c>
      <c r="Z12">
        <f>IF(Y12+1 &lt; (('(橫掃)RX Mapping'!$BL$2)/4)*4*(('(橫掃)RX Mapping'!$BL$3)/4), Y12+1)</f>
        <v>56</v>
      </c>
      <c r="AA12">
        <f>IF(Z12+1 &lt; (('(橫掃)RX Mapping'!$BL$2)/4)*4*(('(橫掃)RX Mapping'!$BL$3)/4), Z12+1)</f>
        <v>57</v>
      </c>
      <c r="AB12">
        <f>IF(AA12+1 &lt; (('(橫掃)RX Mapping'!$BL$2)/4)*4*(('(橫掃)RX Mapping'!$BL$3)/4), AA12+1)</f>
        <v>58</v>
      </c>
      <c r="AC12">
        <f>IF(AB12+1 &lt; (('(橫掃)RX Mapping'!$BL$2)/4)*4*(('(橫掃)RX Mapping'!$BL$3)/4), AB12+1)</f>
        <v>59</v>
      </c>
      <c r="AD12">
        <f>IF(AC12+1 &lt; (('(橫掃)RX Mapping'!$BL$2)/4)*4*(('(橫掃)RX Mapping'!$BL$3)/4), AC12+1)</f>
        <v>60</v>
      </c>
      <c r="AE12">
        <f>IF(AD12+1 &lt; (('(橫掃)RX Mapping'!$BL$2)/4)*4*(('(橫掃)RX Mapping'!$BL$3)/4), AD12+1)</f>
        <v>61</v>
      </c>
      <c r="AF12">
        <f>IF(AE12+1 &lt; (('(橫掃)RX Mapping'!$BL$2)/4)*4*(('(橫掃)RX Mapping'!$BL$3)/4), AE12+1)</f>
        <v>62</v>
      </c>
      <c r="AG12">
        <f>IF(AF12+1 &lt; (('(橫掃)RX Mapping'!$BL$2)/4)*4*(('(橫掃)RX Mapping'!$BL$3)/4), AF12+1)</f>
        <v>63</v>
      </c>
    </row>
    <row r="13" spans="1:61" x14ac:dyDescent="0.25">
      <c r="A13" s="20">
        <v>12</v>
      </c>
      <c r="B13">
        <f>IF(AG12+1 &lt; (('(橫掃)RX Mapping'!$BL$2)/4)*4*(('(橫掃)RX Mapping'!$BL$3)/4), AG12+1)</f>
        <v>64</v>
      </c>
      <c r="C13">
        <f>IF(B13+1 &lt; (('(橫掃)RX Mapping'!$BL$2)/4)*4*(('(橫掃)RX Mapping'!$BL$3)/4), B13+1)</f>
        <v>65</v>
      </c>
      <c r="D13">
        <f>IF(C13+1 &lt; (('(橫掃)RX Mapping'!$BL$2)/4)*4*(('(橫掃)RX Mapping'!$BL$3)/4), C13+1)</f>
        <v>66</v>
      </c>
      <c r="E13">
        <f>IF(D13+1 &lt; (('(橫掃)RX Mapping'!$BL$2)/4)*4*(('(橫掃)RX Mapping'!$BL$3)/4), D13+1)</f>
        <v>67</v>
      </c>
      <c r="F13">
        <f>IF(E13+1 &lt; (('(橫掃)RX Mapping'!$BL$2)/4)*4*(('(橫掃)RX Mapping'!$BL$3)/4), E13+1)</f>
        <v>68</v>
      </c>
      <c r="G13">
        <f>IF(F13+1 &lt; (('(橫掃)RX Mapping'!$BL$2)/4)*4*(('(橫掃)RX Mapping'!$BL$3)/4), F13+1)</f>
        <v>69</v>
      </c>
      <c r="H13">
        <f>IF(G13+1 &lt; (('(橫掃)RX Mapping'!$BL$2)/4)*4*(('(橫掃)RX Mapping'!$BL$3)/4), G13+1)</f>
        <v>70</v>
      </c>
      <c r="I13">
        <f>IF(H13+1 &lt; (('(橫掃)RX Mapping'!$BL$2)/4)*4*(('(橫掃)RX Mapping'!$BL$3)/4), H13+1)</f>
        <v>71</v>
      </c>
      <c r="J13">
        <f>IF(I13+1 &lt; (('(橫掃)RX Mapping'!$BL$2)/4)*4*(('(橫掃)RX Mapping'!$BL$3)/4), I13+1)</f>
        <v>72</v>
      </c>
      <c r="K13">
        <f>IF(J13+1 &lt; (('(橫掃)RX Mapping'!$BL$2)/4)*4*(('(橫掃)RX Mapping'!$BL$3)/4), J13+1)</f>
        <v>73</v>
      </c>
      <c r="L13">
        <f>IF(K13+1 &lt; (('(橫掃)RX Mapping'!$BL$2)/4)*4*(('(橫掃)RX Mapping'!$BL$3)/4), K13+1)</f>
        <v>74</v>
      </c>
      <c r="M13">
        <f>IF(L13+1 &lt; (('(橫掃)RX Mapping'!$BL$2)/4)*4*(('(橫掃)RX Mapping'!$BL$3)/4), L13+1)</f>
        <v>75</v>
      </c>
      <c r="N13">
        <f>IF(M13+1 &lt; (('(橫掃)RX Mapping'!$BL$2)/4)*4*(('(橫掃)RX Mapping'!$BL$3)/4), M13+1)</f>
        <v>76</v>
      </c>
      <c r="O13">
        <f>IF(N13+1 &lt; (('(橫掃)RX Mapping'!$BL$2)/4)*4*(('(橫掃)RX Mapping'!$BL$3)/4), N13+1)</f>
        <v>77</v>
      </c>
      <c r="P13">
        <f>IF(O13+1 &lt; (('(橫掃)RX Mapping'!$BL$2)/4)*4*(('(橫掃)RX Mapping'!$BL$3)/4), O13+1)</f>
        <v>78</v>
      </c>
      <c r="Q13">
        <f>IF(P13+1 &lt; (('(橫掃)RX Mapping'!$BL$2)/4)*4*(('(橫掃)RX Mapping'!$BL$3)/4), P13+1)</f>
        <v>79</v>
      </c>
      <c r="R13">
        <f>IF(Q13+1 &lt; (('(橫掃)RX Mapping'!$BL$2)/4)*4*(('(橫掃)RX Mapping'!$BL$3)/4), Q13+1)</f>
        <v>80</v>
      </c>
      <c r="S13">
        <f>IF(R13+1 &lt; (('(橫掃)RX Mapping'!$BL$2)/4)*4*(('(橫掃)RX Mapping'!$BL$3)/4), R13+1)</f>
        <v>81</v>
      </c>
      <c r="T13">
        <f>IF(S13+1 &lt; (('(橫掃)RX Mapping'!$BL$2)/4)*4*(('(橫掃)RX Mapping'!$BL$3)/4), S13+1)</f>
        <v>82</v>
      </c>
      <c r="U13">
        <f>IF(T13+1 &lt; (('(橫掃)RX Mapping'!$BL$2)/4)*4*(('(橫掃)RX Mapping'!$BL$3)/4), T13+1)</f>
        <v>83</v>
      </c>
      <c r="V13">
        <f>IF(U13+1 &lt; (('(橫掃)RX Mapping'!$BL$2)/4)*4*(('(橫掃)RX Mapping'!$BL$3)/4), U13+1)</f>
        <v>84</v>
      </c>
      <c r="W13">
        <f>IF(V13+1 &lt; (('(橫掃)RX Mapping'!$BL$2)/4)*4*(('(橫掃)RX Mapping'!$BL$3)/4), V13+1)</f>
        <v>85</v>
      </c>
      <c r="X13">
        <f>IF(W13+1 &lt; (('(橫掃)RX Mapping'!$BL$2)/4)*4*(('(橫掃)RX Mapping'!$BL$3)/4), W13+1)</f>
        <v>86</v>
      </c>
      <c r="Y13">
        <f>IF(X13+1 &lt; (('(橫掃)RX Mapping'!$BL$2)/4)*4*(('(橫掃)RX Mapping'!$BL$3)/4), X13+1)</f>
        <v>87</v>
      </c>
      <c r="Z13">
        <f>IF(Y13+1 &lt; (('(橫掃)RX Mapping'!$BL$2)/4)*4*(('(橫掃)RX Mapping'!$BL$3)/4), Y13+1)</f>
        <v>88</v>
      </c>
      <c r="AA13">
        <f>IF(Z13+1 &lt; (('(橫掃)RX Mapping'!$BL$2)/4)*4*(('(橫掃)RX Mapping'!$BL$3)/4), Z13+1)</f>
        <v>89</v>
      </c>
      <c r="AB13">
        <f>IF(AA13+1 &lt; (('(橫掃)RX Mapping'!$BL$2)/4)*4*(('(橫掃)RX Mapping'!$BL$3)/4), AA13+1)</f>
        <v>90</v>
      </c>
      <c r="AC13">
        <f>IF(AB13+1 &lt; (('(橫掃)RX Mapping'!$BL$2)/4)*4*(('(橫掃)RX Mapping'!$BL$3)/4), AB13+1)</f>
        <v>91</v>
      </c>
      <c r="AD13">
        <f>IF(AC13+1 &lt; (('(橫掃)RX Mapping'!$BL$2)/4)*4*(('(橫掃)RX Mapping'!$BL$3)/4), AC13+1)</f>
        <v>92</v>
      </c>
      <c r="AE13">
        <f>IF(AD13+1 &lt; (('(橫掃)RX Mapping'!$BL$2)/4)*4*(('(橫掃)RX Mapping'!$BL$3)/4), AD13+1)</f>
        <v>93</v>
      </c>
      <c r="AF13">
        <f>IF(AE13+1 &lt; (('(橫掃)RX Mapping'!$BL$2)/4)*4*(('(橫掃)RX Mapping'!$BL$3)/4), AE13+1)</f>
        <v>94</v>
      </c>
      <c r="AG13">
        <f>IF(AF13+1 &lt; (('(橫掃)RX Mapping'!$BL$2)/4)*4*(('(橫掃)RX Mapping'!$BL$3)/4), AF13+1)</f>
        <v>95</v>
      </c>
    </row>
    <row r="14" spans="1:61" x14ac:dyDescent="0.25">
      <c r="A14" s="20">
        <v>13</v>
      </c>
      <c r="B14">
        <f>IF(AG13+1 &lt; (('(橫掃)RX Mapping'!$BL$2)/4)*4*(('(橫掃)RX Mapping'!$BL$3)/4), AG13+1)</f>
        <v>96</v>
      </c>
      <c r="C14">
        <f>IF(B14+1 &lt; (('(橫掃)RX Mapping'!$BL$2)/4)*4*(('(橫掃)RX Mapping'!$BL$3)/4), B14+1)</f>
        <v>97</v>
      </c>
      <c r="D14">
        <f>IF(C14+1 &lt; (('(橫掃)RX Mapping'!$BL$2)/4)*4*(('(橫掃)RX Mapping'!$BL$3)/4), C14+1)</f>
        <v>98</v>
      </c>
      <c r="E14">
        <f>IF(D14+1 &lt; (('(橫掃)RX Mapping'!$BL$2)/4)*4*(('(橫掃)RX Mapping'!$BL$3)/4), D14+1)</f>
        <v>99</v>
      </c>
      <c r="F14">
        <f>IF(E14+1 &lt; (('(橫掃)RX Mapping'!$BL$2)/4)*4*(('(橫掃)RX Mapping'!$BL$3)/4), E14+1)</f>
        <v>100</v>
      </c>
      <c r="G14">
        <f>IF(F14+1 &lt; (('(橫掃)RX Mapping'!$BL$2)/4)*4*(('(橫掃)RX Mapping'!$BL$3)/4), F14+1)</f>
        <v>101</v>
      </c>
      <c r="H14">
        <f>IF(G14+1 &lt; (('(橫掃)RX Mapping'!$BL$2)/4)*4*(('(橫掃)RX Mapping'!$BL$3)/4), G14+1)</f>
        <v>102</v>
      </c>
      <c r="I14">
        <f>IF(H14+1 &lt; (('(橫掃)RX Mapping'!$BL$2)/4)*4*(('(橫掃)RX Mapping'!$BL$3)/4), H14+1)</f>
        <v>103</v>
      </c>
      <c r="J14">
        <f>IF(I14+1 &lt; (('(橫掃)RX Mapping'!$BL$2)/4)*4*(('(橫掃)RX Mapping'!$BL$3)/4), I14+1)</f>
        <v>104</v>
      </c>
      <c r="K14">
        <f>IF(J14+1 &lt; (('(橫掃)RX Mapping'!$BL$2)/4)*4*(('(橫掃)RX Mapping'!$BL$3)/4), J14+1)</f>
        <v>105</v>
      </c>
      <c r="L14">
        <f>IF(K14+1 &lt; (('(橫掃)RX Mapping'!$BL$2)/4)*4*(('(橫掃)RX Mapping'!$BL$3)/4), K14+1)</f>
        <v>106</v>
      </c>
      <c r="M14">
        <f>IF(L14+1 &lt; (('(橫掃)RX Mapping'!$BL$2)/4)*4*(('(橫掃)RX Mapping'!$BL$3)/4), L14+1)</f>
        <v>107</v>
      </c>
      <c r="N14">
        <f>IF(M14+1 &lt; (('(橫掃)RX Mapping'!$BL$2)/4)*4*(('(橫掃)RX Mapping'!$BL$3)/4), M14+1)</f>
        <v>108</v>
      </c>
      <c r="O14">
        <f>IF(N14+1 &lt; (('(橫掃)RX Mapping'!$BL$2)/4)*4*(('(橫掃)RX Mapping'!$BL$3)/4), N14+1)</f>
        <v>109</v>
      </c>
      <c r="P14">
        <f>IF(O14+1 &lt; (('(橫掃)RX Mapping'!$BL$2)/4)*4*(('(橫掃)RX Mapping'!$BL$3)/4), O14+1)</f>
        <v>110</v>
      </c>
      <c r="Q14">
        <f>IF(P14+1 &lt; (('(橫掃)RX Mapping'!$BL$2)/4)*4*(('(橫掃)RX Mapping'!$BL$3)/4), P14+1)</f>
        <v>111</v>
      </c>
      <c r="R14">
        <f>IF(Q14+1 &lt; (('(橫掃)RX Mapping'!$BL$2)/4)*4*(('(橫掃)RX Mapping'!$BL$3)/4), Q14+1)</f>
        <v>112</v>
      </c>
      <c r="S14">
        <f>IF(R14+1 &lt; (('(橫掃)RX Mapping'!$BL$2)/4)*4*(('(橫掃)RX Mapping'!$BL$3)/4), R14+1)</f>
        <v>113</v>
      </c>
      <c r="T14">
        <f>IF(S14+1 &lt; (('(橫掃)RX Mapping'!$BL$2)/4)*4*(('(橫掃)RX Mapping'!$BL$3)/4), S14+1)</f>
        <v>114</v>
      </c>
      <c r="U14">
        <f>IF(T14+1 &lt; (('(橫掃)RX Mapping'!$BL$2)/4)*4*(('(橫掃)RX Mapping'!$BL$3)/4), T14+1)</f>
        <v>115</v>
      </c>
      <c r="V14">
        <f>IF(U14+1 &lt; (('(橫掃)RX Mapping'!$BL$2)/4)*4*(('(橫掃)RX Mapping'!$BL$3)/4), U14+1)</f>
        <v>116</v>
      </c>
      <c r="W14">
        <f>IF(V14+1 &lt; (('(橫掃)RX Mapping'!$BL$2)/4)*4*(('(橫掃)RX Mapping'!$BL$3)/4), V14+1)</f>
        <v>117</v>
      </c>
      <c r="X14">
        <f>IF(W14+1 &lt; (('(橫掃)RX Mapping'!$BL$2)/4)*4*(('(橫掃)RX Mapping'!$BL$3)/4), W14+1)</f>
        <v>118</v>
      </c>
      <c r="Y14">
        <f>IF(X14+1 &lt; (('(橫掃)RX Mapping'!$BL$2)/4)*4*(('(橫掃)RX Mapping'!$BL$3)/4), X14+1)</f>
        <v>119</v>
      </c>
      <c r="Z14">
        <v>119</v>
      </c>
      <c r="AA14">
        <f>IF(Z14-1 &gt;= (240-(('(橫掃)RX Mapping'!$BL$2)/4)*4*(('(橫掃)RX Mapping'!$BL$3)/4)), Z14-1)</f>
        <v>118</v>
      </c>
      <c r="AB14">
        <f>IF(AA14-1 &gt;= (240-(('(橫掃)RX Mapping'!$BL$2)/4)*4*(('(橫掃)RX Mapping'!$BL$3)/4)), AA14-1)</f>
        <v>117</v>
      </c>
      <c r="AC14">
        <f>IF(AB14-1 &gt;= (240-(('(橫掃)RX Mapping'!$BL$2)/4)*4*(('(橫掃)RX Mapping'!$BL$3)/4)), AB14-1)</f>
        <v>116</v>
      </c>
      <c r="AD14">
        <f>IF(AC14-1 &gt;= (240-(('(橫掃)RX Mapping'!$BL$2)/4)*4*(('(橫掃)RX Mapping'!$BL$3)/4)), AC14-1)</f>
        <v>115</v>
      </c>
      <c r="AE14">
        <f>IF(AD14-1 &gt;= (240-(('(橫掃)RX Mapping'!$BL$2)/4)*4*(('(橫掃)RX Mapping'!$BL$3)/4)), AD14-1)</f>
        <v>114</v>
      </c>
      <c r="AF14">
        <f>IF(AE14-1 &gt;= (240-(('(橫掃)RX Mapping'!$BL$2)/4)*4*(('(橫掃)RX Mapping'!$BL$3)/4)), AE14-1)</f>
        <v>113</v>
      </c>
      <c r="AG14">
        <f>IF(AF14-1 &gt;= (240-(('(橫掃)RX Mapping'!$BL$2)/4)*4*(('(橫掃)RX Mapping'!$BL$3)/4)), AF14-1)</f>
        <v>112</v>
      </c>
    </row>
    <row r="15" spans="1:61" x14ac:dyDescent="0.25">
      <c r="A15" s="20">
        <v>14</v>
      </c>
      <c r="B15">
        <f>IF(IF(AG5-1 &gt;= (240-(('(橫掃)RX Mapping'!$BL$2)/4)*4*(('(橫掃)RX Mapping'!$BL$3)/4)), AG5-1)=-1,FALSE,IF(AG5-1 &gt;= (240-(('(橫掃)RX Mapping'!$BL$2)/4)*4*(('(橫掃)RX Mapping'!$BL$3)/4)), AG5-1))</f>
        <v>111</v>
      </c>
      <c r="C15">
        <f>IF(B15-1 &gt;= (240-(('(橫掃)RX Mapping'!$BL$2)/4)*4*(('(橫掃)RX Mapping'!$BL$3)/4)), B15-1)</f>
        <v>110</v>
      </c>
      <c r="D15">
        <f>IF(C15-1 &gt;= (240-(('(橫掃)RX Mapping'!$BL$2)/4)*4*(('(橫掃)RX Mapping'!$BL$3)/4)), C15-1)</f>
        <v>109</v>
      </c>
      <c r="E15">
        <f>IF(D15-1 &gt;= (240-(('(橫掃)RX Mapping'!$BL$2)/4)*4*(('(橫掃)RX Mapping'!$BL$3)/4)), D15-1)</f>
        <v>108</v>
      </c>
      <c r="F15">
        <f>IF(E15-1 &gt;= (240-(('(橫掃)RX Mapping'!$BL$2)/4)*4*(('(橫掃)RX Mapping'!$BL$3)/4)), E15-1)</f>
        <v>107</v>
      </c>
      <c r="G15">
        <f>IF(F15-1 &gt;= (240-(('(橫掃)RX Mapping'!$BL$2)/4)*4*(('(橫掃)RX Mapping'!$BL$3)/4)), F15-1)</f>
        <v>106</v>
      </c>
      <c r="H15">
        <f>IF(G15-1 &gt;= (240-(('(橫掃)RX Mapping'!$BL$2)/4)*4*(('(橫掃)RX Mapping'!$BL$3)/4)), G15-1)</f>
        <v>105</v>
      </c>
      <c r="I15">
        <f>IF(H15-1 &gt;= (240-(('(橫掃)RX Mapping'!$BL$2)/4)*4*(('(橫掃)RX Mapping'!$BL$3)/4)), H15-1)</f>
        <v>104</v>
      </c>
      <c r="J15">
        <f>IF(I15-1 &gt;= (240-(('(橫掃)RX Mapping'!$BL$2)/4)*4*(('(橫掃)RX Mapping'!$BL$3)/4)), I15-1)</f>
        <v>103</v>
      </c>
      <c r="K15">
        <f>IF(J15-1 &gt;= (240-(('(橫掃)RX Mapping'!$BL$2)/4)*4*(('(橫掃)RX Mapping'!$BL$3)/4)), J15-1)</f>
        <v>102</v>
      </c>
      <c r="L15">
        <f>IF(K15-1 &gt;= (240-(('(橫掃)RX Mapping'!$BL$2)/4)*4*(('(橫掃)RX Mapping'!$BL$3)/4)), K15-1)</f>
        <v>101</v>
      </c>
      <c r="M15">
        <f>IF(L15-1 &gt;= (240-(('(橫掃)RX Mapping'!$BL$2)/4)*4*(('(橫掃)RX Mapping'!$BL$3)/4)), L15-1)</f>
        <v>100</v>
      </c>
      <c r="N15">
        <f>IF(M15-1 &gt;= (240-(('(橫掃)RX Mapping'!$BL$2)/4)*4*(('(橫掃)RX Mapping'!$BL$3)/4)), M15-1)</f>
        <v>99</v>
      </c>
      <c r="O15">
        <f>IF(N15-1 &gt;= (240-(('(橫掃)RX Mapping'!$BL$2)/4)*4*(('(橫掃)RX Mapping'!$BL$3)/4)), N15-1)</f>
        <v>98</v>
      </c>
      <c r="P15">
        <f>IF(O15-1 &gt;= (240-(('(橫掃)RX Mapping'!$BL$2)/4)*4*(('(橫掃)RX Mapping'!$BL$3)/4)), O15-1)</f>
        <v>97</v>
      </c>
      <c r="Q15">
        <f>IF(P15-1 &gt;= (240-(('(橫掃)RX Mapping'!$BL$2)/4)*4*(('(橫掃)RX Mapping'!$BL$3)/4)), P15-1)</f>
        <v>96</v>
      </c>
      <c r="R15">
        <f>IF(Q15-1 &gt;= (240-(('(橫掃)RX Mapping'!$BL$2)/4)*4*(('(橫掃)RX Mapping'!$BL$3)/4)), Q15-1)</f>
        <v>95</v>
      </c>
      <c r="S15">
        <f>IF(R15-1 &gt;= (240-(('(橫掃)RX Mapping'!$BL$2)/4)*4*(('(橫掃)RX Mapping'!$BL$3)/4)), R15-1)</f>
        <v>94</v>
      </c>
      <c r="T15">
        <f>IF(S15-1 &gt;= (240-(('(橫掃)RX Mapping'!$BL$2)/4)*4*(('(橫掃)RX Mapping'!$BL$3)/4)), S15-1)</f>
        <v>93</v>
      </c>
      <c r="U15">
        <f>IF(T15-1 &gt;= (240-(('(橫掃)RX Mapping'!$BL$2)/4)*4*(('(橫掃)RX Mapping'!$BL$3)/4)), T15-1)</f>
        <v>92</v>
      </c>
      <c r="V15">
        <f>IF(U15-1 &gt;= (240-(('(橫掃)RX Mapping'!$BL$2)/4)*4*(('(橫掃)RX Mapping'!$BL$3)/4)), U15-1)</f>
        <v>91</v>
      </c>
      <c r="W15">
        <f>IF(V15-1 &gt;= (240-(('(橫掃)RX Mapping'!$BL$2)/4)*4*(('(橫掃)RX Mapping'!$BL$3)/4)), V15-1)</f>
        <v>90</v>
      </c>
      <c r="X15">
        <f>IF(W15-1 &gt;= (240-(('(橫掃)RX Mapping'!$BL$2)/4)*4*(('(橫掃)RX Mapping'!$BL$3)/4)), W15-1)</f>
        <v>89</v>
      </c>
      <c r="Y15">
        <f>IF(X15-1 &gt;= (240-(('(橫掃)RX Mapping'!$BL$2)/4)*4*(('(橫掃)RX Mapping'!$BL$3)/4)), X15-1)</f>
        <v>88</v>
      </c>
      <c r="Z15">
        <f>IF(Y15-1 &gt;= (240-(('(橫掃)RX Mapping'!$BL$2)/4)*4*(('(橫掃)RX Mapping'!$BL$3)/4)), Y15-1)</f>
        <v>87</v>
      </c>
      <c r="AA15">
        <f>IF(Z15-1 &gt;= (240-(('(橫掃)RX Mapping'!$BL$2)/4)*4*(('(橫掃)RX Mapping'!$BL$3)/4)), Z15-1)</f>
        <v>86</v>
      </c>
      <c r="AB15">
        <f>IF(AA15-1 &gt;= (240-(('(橫掃)RX Mapping'!$BL$2)/4)*4*(('(橫掃)RX Mapping'!$BL$3)/4)), AA15-1)</f>
        <v>85</v>
      </c>
      <c r="AC15">
        <f>IF(AB15-1 &gt;= (240-(('(橫掃)RX Mapping'!$BL$2)/4)*4*(('(橫掃)RX Mapping'!$BL$3)/4)), AB15-1)</f>
        <v>84</v>
      </c>
      <c r="AD15">
        <f>IF(AC15-1 &gt;= (240-(('(橫掃)RX Mapping'!$BL$2)/4)*4*(('(橫掃)RX Mapping'!$BL$3)/4)), AC15-1)</f>
        <v>83</v>
      </c>
      <c r="AE15">
        <f>IF(AD15-1 &gt;= (240-(('(橫掃)RX Mapping'!$BL$2)/4)*4*(('(橫掃)RX Mapping'!$BL$3)/4)), AD15-1)</f>
        <v>82</v>
      </c>
      <c r="AF15">
        <f>IF(AE15-1 &gt;= (240-(('(橫掃)RX Mapping'!$BL$2)/4)*4*(('(橫掃)RX Mapping'!$BL$3)/4)), AE15-1)</f>
        <v>81</v>
      </c>
      <c r="AG15">
        <f>IF(AF15-1 &gt;= (240-(('(橫掃)RX Mapping'!$BL$2)/4)*4*(('(橫掃)RX Mapping'!$BL$3)/4)), AF15-1)</f>
        <v>80</v>
      </c>
    </row>
    <row r="16" spans="1:61" x14ac:dyDescent="0.25">
      <c r="A16" s="20">
        <v>15</v>
      </c>
      <c r="B16">
        <f>IF(IF(AG6-1 &gt;= (240-(('(橫掃)RX Mapping'!$BL$2)/4)*4*(('(橫掃)RX Mapping'!$BL$3)/4)), AG6-1)=-1,FALSE,IF(AG6-1 &gt;= (240-(('(橫掃)RX Mapping'!$BL$2)/4)*4*(('(橫掃)RX Mapping'!$BL$3)/4)), AG6-1))</f>
        <v>79</v>
      </c>
      <c r="C16">
        <f>IF(B16-1 &gt;= (240-(('(橫掃)RX Mapping'!$BL$2)/4)*4*(('(橫掃)RX Mapping'!$BL$3)/4)), B16-1)</f>
        <v>78</v>
      </c>
      <c r="D16">
        <f>IF(C16-1 &gt;= (240-(('(橫掃)RX Mapping'!$BL$2)/4)*4*(('(橫掃)RX Mapping'!$BL$3)/4)), C16-1)</f>
        <v>77</v>
      </c>
      <c r="E16">
        <f>IF(D16-1 &gt;= (240-(('(橫掃)RX Mapping'!$BL$2)/4)*4*(('(橫掃)RX Mapping'!$BL$3)/4)), D16-1)</f>
        <v>76</v>
      </c>
      <c r="F16">
        <f>IF(E16-1 &gt;= (240-(('(橫掃)RX Mapping'!$BL$2)/4)*4*(('(橫掃)RX Mapping'!$BL$3)/4)), E16-1)</f>
        <v>75</v>
      </c>
      <c r="G16">
        <f>IF(F16-1 &gt;= (240-(('(橫掃)RX Mapping'!$BL$2)/4)*4*(('(橫掃)RX Mapping'!$BL$3)/4)), F16-1)</f>
        <v>74</v>
      </c>
      <c r="H16">
        <f>IF(G16-1 &gt;= (240-(('(橫掃)RX Mapping'!$BL$2)/4)*4*(('(橫掃)RX Mapping'!$BL$3)/4)), G16-1)</f>
        <v>73</v>
      </c>
      <c r="I16">
        <f>IF(H16-1 &gt;= (240-(('(橫掃)RX Mapping'!$BL$2)/4)*4*(('(橫掃)RX Mapping'!$BL$3)/4)), H16-1)</f>
        <v>72</v>
      </c>
      <c r="J16">
        <f>IF(I16-1 &gt;= (240-(('(橫掃)RX Mapping'!$BL$2)/4)*4*(('(橫掃)RX Mapping'!$BL$3)/4)), I16-1)</f>
        <v>71</v>
      </c>
      <c r="K16">
        <f>IF(J16-1 &gt;= (240-(('(橫掃)RX Mapping'!$BL$2)/4)*4*(('(橫掃)RX Mapping'!$BL$3)/4)), J16-1)</f>
        <v>70</v>
      </c>
      <c r="L16">
        <f>IF(K16-1 &gt;= (240-(('(橫掃)RX Mapping'!$BL$2)/4)*4*(('(橫掃)RX Mapping'!$BL$3)/4)), K16-1)</f>
        <v>69</v>
      </c>
      <c r="M16">
        <f>IF(L16-1 &gt;= (240-(('(橫掃)RX Mapping'!$BL$2)/4)*4*(('(橫掃)RX Mapping'!$BL$3)/4)), L16-1)</f>
        <v>68</v>
      </c>
      <c r="N16">
        <f>IF(M16-1 &gt;= (240-(('(橫掃)RX Mapping'!$BL$2)/4)*4*(('(橫掃)RX Mapping'!$BL$3)/4)), M16-1)</f>
        <v>67</v>
      </c>
      <c r="O16">
        <f>IF(N16-1 &gt;= (240-(('(橫掃)RX Mapping'!$BL$2)/4)*4*(('(橫掃)RX Mapping'!$BL$3)/4)), N16-1)</f>
        <v>66</v>
      </c>
      <c r="P16">
        <f>IF(O16-1 &gt;= (240-(('(橫掃)RX Mapping'!$BL$2)/4)*4*(('(橫掃)RX Mapping'!$BL$3)/4)), O16-1)</f>
        <v>65</v>
      </c>
      <c r="Q16">
        <f>IF(P16-1 &gt;= (240-(('(橫掃)RX Mapping'!$BL$2)/4)*4*(('(橫掃)RX Mapping'!$BL$3)/4)), P16-1)</f>
        <v>64</v>
      </c>
      <c r="R16">
        <f>IF(Q16-1 &gt;= (240-(('(橫掃)RX Mapping'!$BL$2)/4)*4*(('(橫掃)RX Mapping'!$BL$3)/4)), Q16-1)</f>
        <v>63</v>
      </c>
      <c r="S16">
        <f>IF(R16-1 &gt;= (240-(('(橫掃)RX Mapping'!$BL$2)/4)*4*(('(橫掃)RX Mapping'!$BL$3)/4)), R16-1)</f>
        <v>62</v>
      </c>
      <c r="T16">
        <f>IF(S16-1 &gt;= (240-(('(橫掃)RX Mapping'!$BL$2)/4)*4*(('(橫掃)RX Mapping'!$BL$3)/4)), S16-1)</f>
        <v>61</v>
      </c>
      <c r="U16">
        <f>IF(T16-1 &gt;= (240-(('(橫掃)RX Mapping'!$BL$2)/4)*4*(('(橫掃)RX Mapping'!$BL$3)/4)), T16-1)</f>
        <v>60</v>
      </c>
      <c r="V16">
        <f>IF(U16-1 &gt;= (240-(('(橫掃)RX Mapping'!$BL$2)/4)*4*(('(橫掃)RX Mapping'!$BL$3)/4)), U16-1)</f>
        <v>59</v>
      </c>
      <c r="W16">
        <f>IF(V16-1 &gt;= (240-(('(橫掃)RX Mapping'!$BL$2)/4)*4*(('(橫掃)RX Mapping'!$BL$3)/4)), V16-1)</f>
        <v>58</v>
      </c>
      <c r="X16">
        <f>IF(W16-1 &gt;= (240-(('(橫掃)RX Mapping'!$BL$2)/4)*4*(('(橫掃)RX Mapping'!$BL$3)/4)), W16-1)</f>
        <v>57</v>
      </c>
      <c r="Y16">
        <f>IF(X16-1 &gt;= (240-(('(橫掃)RX Mapping'!$BL$2)/4)*4*(('(橫掃)RX Mapping'!$BL$3)/4)), X16-1)</f>
        <v>56</v>
      </c>
      <c r="Z16">
        <f>IF(Y16-1 &gt;= (240-(('(橫掃)RX Mapping'!$BL$2)/4)*4*(('(橫掃)RX Mapping'!$BL$3)/4)), Y16-1)</f>
        <v>55</v>
      </c>
      <c r="AA16">
        <f>IF(Z16-1 &gt;= (240-(('(橫掃)RX Mapping'!$BL$2)/4)*4*(('(橫掃)RX Mapping'!$BL$3)/4)), Z16-1)</f>
        <v>54</v>
      </c>
      <c r="AB16">
        <f>IF(AA16-1 &gt;= (240-(('(橫掃)RX Mapping'!$BL$2)/4)*4*(('(橫掃)RX Mapping'!$BL$3)/4)), AA16-1)</f>
        <v>53</v>
      </c>
      <c r="AC16">
        <f>IF(AB16-1 &gt;= (240-(('(橫掃)RX Mapping'!$BL$2)/4)*4*(('(橫掃)RX Mapping'!$BL$3)/4)), AB16-1)</f>
        <v>52</v>
      </c>
      <c r="AD16">
        <f>IF(AC16-1 &gt;= (240-(('(橫掃)RX Mapping'!$BL$2)/4)*4*(('(橫掃)RX Mapping'!$BL$3)/4)), AC16-1)</f>
        <v>51</v>
      </c>
      <c r="AE16">
        <f>IF(AD16-1 &gt;= (240-(('(橫掃)RX Mapping'!$BL$2)/4)*4*(('(橫掃)RX Mapping'!$BL$3)/4)), AD16-1)</f>
        <v>50</v>
      </c>
      <c r="AF16">
        <f>IF(AE16-1 &gt;= (240-(('(橫掃)RX Mapping'!$BL$2)/4)*4*(('(橫掃)RX Mapping'!$BL$3)/4)), AE16-1)</f>
        <v>49</v>
      </c>
      <c r="AG16">
        <f>IF(AF16-1 &gt;= (240-(('(橫掃)RX Mapping'!$BL$2)/4)*4*(('(橫掃)RX Mapping'!$BL$3)/4)), AF16-1)</f>
        <v>48</v>
      </c>
    </row>
    <row r="17" spans="1:33" x14ac:dyDescent="0.25">
      <c r="A17" s="20">
        <v>16</v>
      </c>
      <c r="B17">
        <f>IF(IF(AG7-1 &gt;= (240-(('(橫掃)RX Mapping'!$BL$2)/4)*4*(('(橫掃)RX Mapping'!$BL$3)/4)), AG7-1)=-1,FALSE,IF(AG7-1 &gt;= (240-(('(橫掃)RX Mapping'!$BL$2)/4)*4*(('(橫掃)RX Mapping'!$BL$3)/4)), AG7-1))</f>
        <v>47</v>
      </c>
      <c r="C17">
        <f>IF(B17-1 &gt;= (240-(('(橫掃)RX Mapping'!$BL$2)/4)*4*(('(橫掃)RX Mapping'!$BL$3)/4)), B17-1)</f>
        <v>46</v>
      </c>
      <c r="D17">
        <f>IF(C17-1 &gt;= (240-(('(橫掃)RX Mapping'!$BL$2)/4)*4*(('(橫掃)RX Mapping'!$BL$3)/4)), C17-1)</f>
        <v>45</v>
      </c>
      <c r="E17">
        <f>IF(D17-1 &gt;= (240-(('(橫掃)RX Mapping'!$BL$2)/4)*4*(('(橫掃)RX Mapping'!$BL$3)/4)), D17-1)</f>
        <v>44</v>
      </c>
      <c r="F17">
        <f>IF(E17-1 &gt;= (240-(('(橫掃)RX Mapping'!$BL$2)/4)*4*(('(橫掃)RX Mapping'!$BL$3)/4)), E17-1)</f>
        <v>43</v>
      </c>
      <c r="G17">
        <f>IF(F17-1 &gt;= (240-(('(橫掃)RX Mapping'!$BL$2)/4)*4*(('(橫掃)RX Mapping'!$BL$3)/4)), F17-1)</f>
        <v>42</v>
      </c>
      <c r="H17">
        <f>IF(G17-1 &gt;= (240-(('(橫掃)RX Mapping'!$BL$2)/4)*4*(('(橫掃)RX Mapping'!$BL$3)/4)), G17-1)</f>
        <v>41</v>
      </c>
      <c r="I17">
        <f>IF(H17-1 &gt;= (240-(('(橫掃)RX Mapping'!$BL$2)/4)*4*(('(橫掃)RX Mapping'!$BL$3)/4)), H17-1)</f>
        <v>40</v>
      </c>
      <c r="J17">
        <f>IF(I17-1 &gt;= (240-(('(橫掃)RX Mapping'!$BL$2)/4)*4*(('(橫掃)RX Mapping'!$BL$3)/4)), I17-1)</f>
        <v>39</v>
      </c>
      <c r="K17">
        <f>IF(J17-1 &gt;= (240-(('(橫掃)RX Mapping'!$BL$2)/4)*4*(('(橫掃)RX Mapping'!$BL$3)/4)), J17-1)</f>
        <v>38</v>
      </c>
      <c r="L17">
        <f>IF(K17-1 &gt;= (240-(('(橫掃)RX Mapping'!$BL$2)/4)*4*(('(橫掃)RX Mapping'!$BL$3)/4)), K17-1)</f>
        <v>37</v>
      </c>
      <c r="M17">
        <f>IF(L17-1 &gt;= (240-(('(橫掃)RX Mapping'!$BL$2)/4)*4*(('(橫掃)RX Mapping'!$BL$3)/4)), L17-1)</f>
        <v>36</v>
      </c>
      <c r="N17">
        <f>IF(M17-1 &gt;= (240-(('(橫掃)RX Mapping'!$BL$2)/4)*4*(('(橫掃)RX Mapping'!$BL$3)/4)), M17-1)</f>
        <v>35</v>
      </c>
      <c r="O17">
        <f>IF(N17-1 &gt;= (240-(('(橫掃)RX Mapping'!$BL$2)/4)*4*(('(橫掃)RX Mapping'!$BL$3)/4)), N17-1)</f>
        <v>34</v>
      </c>
      <c r="P17">
        <f>IF(O17-1 &gt;= (240-(('(橫掃)RX Mapping'!$BL$2)/4)*4*(('(橫掃)RX Mapping'!$BL$3)/4)), O17-1)</f>
        <v>33</v>
      </c>
      <c r="Q17">
        <f>IF(P17-1 &gt;= (240-(('(橫掃)RX Mapping'!$BL$2)/4)*4*(('(橫掃)RX Mapping'!$BL$3)/4)), P17-1)</f>
        <v>32</v>
      </c>
      <c r="R17">
        <f>IF(Q17-1 &gt;= (240-(('(橫掃)RX Mapping'!$BL$2)/4)*4*(('(橫掃)RX Mapping'!$BL$3)/4)), Q17-1)</f>
        <v>31</v>
      </c>
      <c r="S17">
        <f>IF(R17-1 &gt;= (240-(('(橫掃)RX Mapping'!$BL$2)/4)*4*(('(橫掃)RX Mapping'!$BL$3)/4)), R17-1)</f>
        <v>30</v>
      </c>
      <c r="T17">
        <f>IF(S17-1 &gt;= (240-(('(橫掃)RX Mapping'!$BL$2)/4)*4*(('(橫掃)RX Mapping'!$BL$3)/4)), S17-1)</f>
        <v>29</v>
      </c>
      <c r="U17">
        <f>IF(T17-1 &gt;= (240-(('(橫掃)RX Mapping'!$BL$2)/4)*4*(('(橫掃)RX Mapping'!$BL$3)/4)), T17-1)</f>
        <v>28</v>
      </c>
      <c r="V17">
        <f>IF(U17-1 &gt;= (240-(('(橫掃)RX Mapping'!$BL$2)/4)*4*(('(橫掃)RX Mapping'!$BL$3)/4)), U17-1)</f>
        <v>27</v>
      </c>
      <c r="W17">
        <f>IF(V17-1 &gt;= (240-(('(橫掃)RX Mapping'!$BL$2)/4)*4*(('(橫掃)RX Mapping'!$BL$3)/4)), V17-1)</f>
        <v>26</v>
      </c>
      <c r="X17">
        <f>IF(W17-1 &gt;= (240-(('(橫掃)RX Mapping'!$BL$2)/4)*4*(('(橫掃)RX Mapping'!$BL$3)/4)), W17-1)</f>
        <v>25</v>
      </c>
      <c r="Y17">
        <f>IF(X17-1 &gt;= (240-(('(橫掃)RX Mapping'!$BL$2)/4)*4*(('(橫掃)RX Mapping'!$BL$3)/4)), X17-1)</f>
        <v>24</v>
      </c>
      <c r="Z17">
        <f>IF(Y17-1 &gt;= (240-(('(橫掃)RX Mapping'!$BL$2)/4)*4*(('(橫掃)RX Mapping'!$BL$3)/4)), Y17-1)</f>
        <v>23</v>
      </c>
      <c r="AA17">
        <f>IF(Z17-1 &gt;= (240-(('(橫掃)RX Mapping'!$BL$2)/4)*4*(('(橫掃)RX Mapping'!$BL$3)/4)), Z17-1)</f>
        <v>22</v>
      </c>
      <c r="AB17">
        <f>IF(AA17-1 &gt;= (240-(('(橫掃)RX Mapping'!$BL$2)/4)*4*(('(橫掃)RX Mapping'!$BL$3)/4)), AA17-1)</f>
        <v>21</v>
      </c>
      <c r="AC17">
        <f>IF(AB17-1 &gt;= (240-(('(橫掃)RX Mapping'!$BL$2)/4)*4*(('(橫掃)RX Mapping'!$BL$3)/4)), AB17-1)</f>
        <v>20</v>
      </c>
      <c r="AD17">
        <f>IF(AC17-1 &gt;= (240-(('(橫掃)RX Mapping'!$BL$2)/4)*4*(('(橫掃)RX Mapping'!$BL$3)/4)), AC17-1)</f>
        <v>19</v>
      </c>
      <c r="AE17">
        <f>IF(AD17-1 &gt;= (240-(('(橫掃)RX Mapping'!$BL$2)/4)*4*(('(橫掃)RX Mapping'!$BL$3)/4)), AD17-1)</f>
        <v>18</v>
      </c>
      <c r="AF17">
        <f>IF(AE17-1 &gt;= (240-(('(橫掃)RX Mapping'!$BL$2)/4)*4*(('(橫掃)RX Mapping'!$BL$3)/4)), AE17-1)</f>
        <v>17</v>
      </c>
      <c r="AG17">
        <f>IF(AF17-1 &gt;= (240-(('(橫掃)RX Mapping'!$BL$2)/4)*4*(('(橫掃)RX Mapping'!$BL$3)/4)), AF17-1)</f>
        <v>16</v>
      </c>
    </row>
    <row r="18" spans="1:33" x14ac:dyDescent="0.25">
      <c r="A18" s="20">
        <v>17</v>
      </c>
      <c r="B18" t="b">
        <f>IF(IF(AG8-1 &gt;= (240-(('(橫掃)RX Mapping'!$BL$2)/4)*4*(('(橫掃)RX Mapping'!$BL$3)/4)), AG8-1)=-1,FALSE,IF(AG8-1 &gt;= (240-(('(橫掃)RX Mapping'!$BL$2)/4)*4*(('(橫掃)RX Mapping'!$BL$3)/4)), AG8-1))</f>
        <v>0</v>
      </c>
      <c r="C18" t="b">
        <f>IF(B18-1 &gt;= (240-(('(橫掃)RX Mapping'!$BL$2)/4)*4*(('(橫掃)RX Mapping'!$BL$3)/4)), B18-1)</f>
        <v>0</v>
      </c>
      <c r="D18" t="b">
        <f>IF(C18-1 &gt;= (240-(('(橫掃)RX Mapping'!$BL$2)/4)*4*(('(橫掃)RX Mapping'!$BL$3)/4)), C18-1)</f>
        <v>0</v>
      </c>
      <c r="E18" t="b">
        <f>IF(D18-1 &gt;= (240-(('(橫掃)RX Mapping'!$BL$2)/4)*4*(('(橫掃)RX Mapping'!$BL$3)/4)), D18-1)</f>
        <v>0</v>
      </c>
      <c r="F18" t="b">
        <f>IF(E18-1 &gt;= (240-(('(橫掃)RX Mapping'!$BL$2)/4)*4*(('(橫掃)RX Mapping'!$BL$3)/4)), E18-1)</f>
        <v>0</v>
      </c>
      <c r="G18" t="b">
        <f>IF(F18-1 &gt;= (240-(('(橫掃)RX Mapping'!$BL$2)/4)*4*(('(橫掃)RX Mapping'!$BL$3)/4)), F18-1)</f>
        <v>0</v>
      </c>
      <c r="H18" t="b">
        <f>IF(G18-1 &gt;= (240-(('(橫掃)RX Mapping'!$BL$2)/4)*4*(('(橫掃)RX Mapping'!$BL$3)/4)), G18-1)</f>
        <v>0</v>
      </c>
      <c r="I18" t="b">
        <f>IF(H18-1 &gt;= (240-(('(橫掃)RX Mapping'!$BL$2)/4)*4*(('(橫掃)RX Mapping'!$BL$3)/4)), H18-1)</f>
        <v>0</v>
      </c>
      <c r="J18" t="b">
        <f>IF(I18-1 &gt;= (240-(('(橫掃)RX Mapping'!$BL$2)/4)*4*(('(橫掃)RX Mapping'!$BL$3)/4)), I18-1)</f>
        <v>0</v>
      </c>
      <c r="K18" t="b">
        <f>IF(J18-1 &gt;= (240-(('(橫掃)RX Mapping'!$BL$2)/4)*4*(('(橫掃)RX Mapping'!$BL$3)/4)), J18-1)</f>
        <v>0</v>
      </c>
      <c r="L18" t="b">
        <f>IF(K18-1 &gt;= (240-(('(橫掃)RX Mapping'!$BL$2)/4)*4*(('(橫掃)RX Mapping'!$BL$3)/4)), K18-1)</f>
        <v>0</v>
      </c>
      <c r="M18" t="b">
        <f>IF(L18-1 &gt;= (240-(('(橫掃)RX Mapping'!$BL$2)/4)*4*(('(橫掃)RX Mapping'!$BL$3)/4)), L18-1)</f>
        <v>0</v>
      </c>
      <c r="N18" t="b">
        <f>IF(M18-1 &gt;= (240-(('(橫掃)RX Mapping'!$BL$2)/4)*4*(('(橫掃)RX Mapping'!$BL$3)/4)), M18-1)</f>
        <v>0</v>
      </c>
      <c r="O18" t="b">
        <f>IF(N18-1 &gt;= (240-(('(橫掃)RX Mapping'!$BL$2)/4)*4*(('(橫掃)RX Mapping'!$BL$3)/4)), N18-1)</f>
        <v>0</v>
      </c>
      <c r="P18" t="b">
        <f>IF(O18-1 &gt;= (240-(('(橫掃)RX Mapping'!$BL$2)/4)*4*(('(橫掃)RX Mapping'!$BL$3)/4)), O18-1)</f>
        <v>0</v>
      </c>
      <c r="Q18" t="b">
        <f>IF(P18-1 &gt;= (240-(('(橫掃)RX Mapping'!$BL$2)/4)*4*(('(橫掃)RX Mapping'!$BL$3)/4)), P18-1)</f>
        <v>0</v>
      </c>
    </row>
    <row r="19" spans="1:33" x14ac:dyDescent="0.25">
      <c r="A19" s="20">
        <v>18</v>
      </c>
    </row>
    <row r="20" spans="1:33" x14ac:dyDescent="0.25">
      <c r="A20" s="20">
        <v>19</v>
      </c>
      <c r="B20" t="b">
        <f t="shared" ref="B20:Q20" ca="1" si="0">IF(OFFSET($B$18,0,(15-A1))&lt;&gt;FALSE,OFFSET($B$18,0,(15-A1))+120)</f>
        <v>0</v>
      </c>
      <c r="C20" t="b">
        <f t="shared" ca="1" si="0"/>
        <v>0</v>
      </c>
      <c r="D20" t="b">
        <f t="shared" ca="1" si="0"/>
        <v>0</v>
      </c>
      <c r="E20" t="b">
        <f t="shared" ca="1" si="0"/>
        <v>0</v>
      </c>
      <c r="F20" t="b">
        <f t="shared" ca="1" si="0"/>
        <v>0</v>
      </c>
      <c r="G20" t="b">
        <f t="shared" ca="1" si="0"/>
        <v>0</v>
      </c>
      <c r="H20" t="b">
        <f t="shared" ca="1" si="0"/>
        <v>0</v>
      </c>
      <c r="I20" t="b">
        <f t="shared" ca="1" si="0"/>
        <v>0</v>
      </c>
      <c r="J20" t="b">
        <f t="shared" ca="1" si="0"/>
        <v>0</v>
      </c>
      <c r="K20" t="b">
        <f t="shared" ca="1" si="0"/>
        <v>0</v>
      </c>
      <c r="L20" t="b">
        <f t="shared" ca="1" si="0"/>
        <v>0</v>
      </c>
      <c r="M20" t="b">
        <f t="shared" ca="1" si="0"/>
        <v>0</v>
      </c>
      <c r="N20" t="b">
        <f t="shared" ca="1" si="0"/>
        <v>0</v>
      </c>
      <c r="O20" t="b">
        <f t="shared" ca="1" si="0"/>
        <v>0</v>
      </c>
      <c r="P20" t="b">
        <f t="shared" ca="1" si="0"/>
        <v>0</v>
      </c>
      <c r="Q20" t="b">
        <f t="shared" ca="1" si="0"/>
        <v>0</v>
      </c>
      <c r="R20">
        <f t="shared" ref="R20:AG20" ca="1" si="1">IF(OFFSET($B$17,0,(31-A1))&lt;&gt;FALSE,OFFSET($B$17,0,(31-A1))+120)</f>
        <v>136</v>
      </c>
      <c r="S20">
        <f t="shared" ca="1" si="1"/>
        <v>137</v>
      </c>
      <c r="T20">
        <f t="shared" ca="1" si="1"/>
        <v>138</v>
      </c>
      <c r="U20">
        <f t="shared" ca="1" si="1"/>
        <v>139</v>
      </c>
      <c r="V20">
        <f t="shared" ca="1" si="1"/>
        <v>140</v>
      </c>
      <c r="W20">
        <f t="shared" ca="1" si="1"/>
        <v>141</v>
      </c>
      <c r="X20">
        <f t="shared" ca="1" si="1"/>
        <v>142</v>
      </c>
      <c r="Y20">
        <f t="shared" ca="1" si="1"/>
        <v>143</v>
      </c>
      <c r="Z20">
        <f t="shared" ca="1" si="1"/>
        <v>144</v>
      </c>
      <c r="AA20">
        <f t="shared" ca="1" si="1"/>
        <v>145</v>
      </c>
      <c r="AB20">
        <f t="shared" ca="1" si="1"/>
        <v>146</v>
      </c>
      <c r="AC20">
        <f t="shared" ca="1" si="1"/>
        <v>147</v>
      </c>
      <c r="AD20">
        <f t="shared" ca="1" si="1"/>
        <v>148</v>
      </c>
      <c r="AE20">
        <f t="shared" ca="1" si="1"/>
        <v>149</v>
      </c>
      <c r="AF20">
        <f t="shared" ca="1" si="1"/>
        <v>150</v>
      </c>
      <c r="AG20">
        <f t="shared" ca="1" si="1"/>
        <v>151</v>
      </c>
    </row>
    <row r="21" spans="1:33" x14ac:dyDescent="0.25">
      <c r="A21" s="20">
        <v>20</v>
      </c>
      <c r="B21">
        <f t="shared" ref="B21:Q21" ca="1" si="2">IF(OFFSET($B$17,0,(31-Q1))&lt;&gt;FALSE,OFFSET($B$17,0,(31-Q1))+120)</f>
        <v>152</v>
      </c>
      <c r="C21">
        <f t="shared" ca="1" si="2"/>
        <v>153</v>
      </c>
      <c r="D21">
        <f t="shared" ca="1" si="2"/>
        <v>154</v>
      </c>
      <c r="E21">
        <f t="shared" ca="1" si="2"/>
        <v>155</v>
      </c>
      <c r="F21">
        <f t="shared" ca="1" si="2"/>
        <v>156</v>
      </c>
      <c r="G21">
        <f t="shared" ca="1" si="2"/>
        <v>157</v>
      </c>
      <c r="H21">
        <f t="shared" ca="1" si="2"/>
        <v>158</v>
      </c>
      <c r="I21">
        <f t="shared" ca="1" si="2"/>
        <v>159</v>
      </c>
      <c r="J21">
        <f t="shared" ca="1" si="2"/>
        <v>160</v>
      </c>
      <c r="K21">
        <f t="shared" ca="1" si="2"/>
        <v>161</v>
      </c>
      <c r="L21">
        <f t="shared" ca="1" si="2"/>
        <v>162</v>
      </c>
      <c r="M21">
        <f t="shared" ca="1" si="2"/>
        <v>163</v>
      </c>
      <c r="N21">
        <f t="shared" ca="1" si="2"/>
        <v>164</v>
      </c>
      <c r="O21">
        <f t="shared" ca="1" si="2"/>
        <v>165</v>
      </c>
      <c r="P21">
        <f t="shared" ca="1" si="2"/>
        <v>166</v>
      </c>
      <c r="Q21">
        <f t="shared" ca="1" si="2"/>
        <v>167</v>
      </c>
      <c r="R21">
        <f t="shared" ref="R21:AG21" ca="1" si="3">IF(OFFSET($B$16,0,(31-A1))&lt;&gt;FALSE,OFFSET($B$16,0,(31-A1))+120)</f>
        <v>168</v>
      </c>
      <c r="S21">
        <f t="shared" ca="1" si="3"/>
        <v>169</v>
      </c>
      <c r="T21">
        <f t="shared" ca="1" si="3"/>
        <v>170</v>
      </c>
      <c r="U21">
        <f t="shared" ca="1" si="3"/>
        <v>171</v>
      </c>
      <c r="V21">
        <f t="shared" ca="1" si="3"/>
        <v>172</v>
      </c>
      <c r="W21">
        <f t="shared" ca="1" si="3"/>
        <v>173</v>
      </c>
      <c r="X21">
        <f t="shared" ca="1" si="3"/>
        <v>174</v>
      </c>
      <c r="Y21">
        <f t="shared" ca="1" si="3"/>
        <v>175</v>
      </c>
      <c r="Z21">
        <f t="shared" ca="1" si="3"/>
        <v>176</v>
      </c>
      <c r="AA21">
        <f t="shared" ca="1" si="3"/>
        <v>177</v>
      </c>
      <c r="AB21">
        <f t="shared" ca="1" si="3"/>
        <v>178</v>
      </c>
      <c r="AC21">
        <f t="shared" ca="1" si="3"/>
        <v>179</v>
      </c>
      <c r="AD21">
        <f t="shared" ca="1" si="3"/>
        <v>180</v>
      </c>
      <c r="AE21">
        <f t="shared" ca="1" si="3"/>
        <v>181</v>
      </c>
      <c r="AF21">
        <f t="shared" ca="1" si="3"/>
        <v>182</v>
      </c>
      <c r="AG21">
        <f t="shared" ca="1" si="3"/>
        <v>183</v>
      </c>
    </row>
    <row r="22" spans="1:33" x14ac:dyDescent="0.25">
      <c r="A22" s="20">
        <v>21</v>
      </c>
      <c r="B22">
        <f t="shared" ref="B22:Q22" ca="1" si="4">IF(OFFSET($B$16,0,(31-Q1))&lt;&gt;FALSE,OFFSET($B$16,0,(31-Q1))+120)</f>
        <v>184</v>
      </c>
      <c r="C22">
        <f t="shared" ca="1" si="4"/>
        <v>185</v>
      </c>
      <c r="D22">
        <f t="shared" ca="1" si="4"/>
        <v>186</v>
      </c>
      <c r="E22">
        <f t="shared" ca="1" si="4"/>
        <v>187</v>
      </c>
      <c r="F22">
        <f t="shared" ca="1" si="4"/>
        <v>188</v>
      </c>
      <c r="G22">
        <f t="shared" ca="1" si="4"/>
        <v>189</v>
      </c>
      <c r="H22">
        <f t="shared" ca="1" si="4"/>
        <v>190</v>
      </c>
      <c r="I22">
        <f t="shared" ca="1" si="4"/>
        <v>191</v>
      </c>
      <c r="J22">
        <f t="shared" ca="1" si="4"/>
        <v>192</v>
      </c>
      <c r="K22">
        <f t="shared" ca="1" si="4"/>
        <v>193</v>
      </c>
      <c r="L22">
        <f t="shared" ca="1" si="4"/>
        <v>194</v>
      </c>
      <c r="M22">
        <f t="shared" ca="1" si="4"/>
        <v>195</v>
      </c>
      <c r="N22">
        <f t="shared" ca="1" si="4"/>
        <v>196</v>
      </c>
      <c r="O22">
        <f t="shared" ca="1" si="4"/>
        <v>197</v>
      </c>
      <c r="P22">
        <f t="shared" ca="1" si="4"/>
        <v>198</v>
      </c>
      <c r="Q22">
        <f t="shared" ca="1" si="4"/>
        <v>199</v>
      </c>
      <c r="R22">
        <f t="shared" ref="R22:AG22" ca="1" si="5">IF(OFFSET($B$15,0,(31-A1))&lt;&gt;FALSE,OFFSET($B$15,0,(31-A1))+120)</f>
        <v>200</v>
      </c>
      <c r="S22">
        <f t="shared" ca="1" si="5"/>
        <v>201</v>
      </c>
      <c r="T22">
        <f t="shared" ca="1" si="5"/>
        <v>202</v>
      </c>
      <c r="U22">
        <f t="shared" ca="1" si="5"/>
        <v>203</v>
      </c>
      <c r="V22">
        <f t="shared" ca="1" si="5"/>
        <v>204</v>
      </c>
      <c r="W22">
        <f t="shared" ca="1" si="5"/>
        <v>205</v>
      </c>
      <c r="X22">
        <f t="shared" ca="1" si="5"/>
        <v>206</v>
      </c>
      <c r="Y22">
        <f t="shared" ca="1" si="5"/>
        <v>207</v>
      </c>
      <c r="Z22">
        <f t="shared" ca="1" si="5"/>
        <v>208</v>
      </c>
      <c r="AA22">
        <f t="shared" ca="1" si="5"/>
        <v>209</v>
      </c>
      <c r="AB22">
        <f t="shared" ca="1" si="5"/>
        <v>210</v>
      </c>
      <c r="AC22">
        <f t="shared" ca="1" si="5"/>
        <v>211</v>
      </c>
      <c r="AD22">
        <f t="shared" ca="1" si="5"/>
        <v>212</v>
      </c>
      <c r="AE22">
        <f t="shared" ca="1" si="5"/>
        <v>213</v>
      </c>
      <c r="AF22">
        <f t="shared" ca="1" si="5"/>
        <v>214</v>
      </c>
      <c r="AG22">
        <f t="shared" ca="1" si="5"/>
        <v>215</v>
      </c>
    </row>
    <row r="23" spans="1:33" x14ac:dyDescent="0.25">
      <c r="A23" s="20">
        <v>22</v>
      </c>
      <c r="B23">
        <f t="shared" ref="B23:Q23" ca="1" si="6">IF(OFFSET($B$15,0,(31-Q1))&lt;&gt;FALSE,OFFSET($B$15,0,(31-Q1))+120)</f>
        <v>216</v>
      </c>
      <c r="C23">
        <f t="shared" ca="1" si="6"/>
        <v>217</v>
      </c>
      <c r="D23">
        <f t="shared" ca="1" si="6"/>
        <v>218</v>
      </c>
      <c r="E23">
        <f t="shared" ca="1" si="6"/>
        <v>219</v>
      </c>
      <c r="F23">
        <f t="shared" ca="1" si="6"/>
        <v>220</v>
      </c>
      <c r="G23">
        <f t="shared" ca="1" si="6"/>
        <v>221</v>
      </c>
      <c r="H23">
        <f t="shared" ca="1" si="6"/>
        <v>222</v>
      </c>
      <c r="I23">
        <f t="shared" ca="1" si="6"/>
        <v>223</v>
      </c>
      <c r="J23">
        <f t="shared" ca="1" si="6"/>
        <v>224</v>
      </c>
      <c r="K23">
        <f t="shared" ca="1" si="6"/>
        <v>225</v>
      </c>
      <c r="L23">
        <f t="shared" ca="1" si="6"/>
        <v>226</v>
      </c>
      <c r="M23">
        <f t="shared" ca="1" si="6"/>
        <v>227</v>
      </c>
      <c r="N23">
        <f t="shared" ca="1" si="6"/>
        <v>228</v>
      </c>
      <c r="O23">
        <f t="shared" ca="1" si="6"/>
        <v>229</v>
      </c>
      <c r="P23">
        <f t="shared" ca="1" si="6"/>
        <v>230</v>
      </c>
      <c r="Q23">
        <f t="shared" ca="1" si="6"/>
        <v>231</v>
      </c>
      <c r="R23">
        <f t="shared" ref="R23:AG23" ca="1" si="7">IF(OFFSET($B$14,0,(31-A1))&lt;&gt;FALSE,OFFSET($B$14,0,(31-A1))+120)</f>
        <v>232</v>
      </c>
      <c r="S23">
        <f t="shared" ca="1" si="7"/>
        <v>233</v>
      </c>
      <c r="T23">
        <f t="shared" ca="1" si="7"/>
        <v>234</v>
      </c>
      <c r="U23">
        <f t="shared" ca="1" si="7"/>
        <v>235</v>
      </c>
      <c r="V23">
        <f t="shared" ca="1" si="7"/>
        <v>236</v>
      </c>
      <c r="W23">
        <f t="shared" ca="1" si="7"/>
        <v>237</v>
      </c>
      <c r="X23">
        <f t="shared" ca="1" si="7"/>
        <v>238</v>
      </c>
      <c r="Y23">
        <f t="shared" ca="1" si="7"/>
        <v>239</v>
      </c>
      <c r="Z23">
        <f t="shared" ca="1" si="7"/>
        <v>239</v>
      </c>
      <c r="AA23">
        <f t="shared" ca="1" si="7"/>
        <v>238</v>
      </c>
      <c r="AB23">
        <f t="shared" ca="1" si="7"/>
        <v>237</v>
      </c>
      <c r="AC23">
        <f t="shared" ca="1" si="7"/>
        <v>236</v>
      </c>
      <c r="AD23">
        <f t="shared" ca="1" si="7"/>
        <v>235</v>
      </c>
      <c r="AE23">
        <f t="shared" ca="1" si="7"/>
        <v>234</v>
      </c>
      <c r="AF23">
        <f t="shared" ca="1" si="7"/>
        <v>233</v>
      </c>
      <c r="AG23">
        <f t="shared" ca="1" si="7"/>
        <v>232</v>
      </c>
    </row>
    <row r="24" spans="1:33" x14ac:dyDescent="0.25">
      <c r="A24" s="20">
        <v>23</v>
      </c>
      <c r="B24">
        <f t="shared" ref="B24:Q24" ca="1" si="8">IF(OFFSET($B$14,0,(31-Q1))&lt;&gt;FALSE,OFFSET($B$14,0,(31-Q1))+120)</f>
        <v>231</v>
      </c>
      <c r="C24">
        <f t="shared" ca="1" si="8"/>
        <v>230</v>
      </c>
      <c r="D24">
        <f t="shared" ca="1" si="8"/>
        <v>229</v>
      </c>
      <c r="E24">
        <f t="shared" ca="1" si="8"/>
        <v>228</v>
      </c>
      <c r="F24">
        <f t="shared" ca="1" si="8"/>
        <v>227</v>
      </c>
      <c r="G24">
        <f t="shared" ca="1" si="8"/>
        <v>226</v>
      </c>
      <c r="H24">
        <f t="shared" ca="1" si="8"/>
        <v>225</v>
      </c>
      <c r="I24">
        <f t="shared" ca="1" si="8"/>
        <v>224</v>
      </c>
      <c r="J24">
        <f t="shared" ca="1" si="8"/>
        <v>223</v>
      </c>
      <c r="K24">
        <f t="shared" ca="1" si="8"/>
        <v>222</v>
      </c>
      <c r="L24">
        <f t="shared" ca="1" si="8"/>
        <v>221</v>
      </c>
      <c r="M24">
        <f t="shared" ca="1" si="8"/>
        <v>220</v>
      </c>
      <c r="N24">
        <f t="shared" ca="1" si="8"/>
        <v>219</v>
      </c>
      <c r="O24">
        <f t="shared" ca="1" si="8"/>
        <v>218</v>
      </c>
      <c r="P24">
        <f t="shared" ca="1" si="8"/>
        <v>217</v>
      </c>
      <c r="Q24">
        <f t="shared" ca="1" si="8"/>
        <v>216</v>
      </c>
      <c r="R24">
        <f t="shared" ref="R24:AG24" ca="1" si="9">IF(OFFSET($B$13,0,(31-A1))&lt;&gt;FALSE,OFFSET($B$13,0,(31-A1))+120)</f>
        <v>215</v>
      </c>
      <c r="S24">
        <f t="shared" ca="1" si="9"/>
        <v>214</v>
      </c>
      <c r="T24">
        <f t="shared" ca="1" si="9"/>
        <v>213</v>
      </c>
      <c r="U24">
        <f t="shared" ca="1" si="9"/>
        <v>212</v>
      </c>
      <c r="V24">
        <f t="shared" ca="1" si="9"/>
        <v>211</v>
      </c>
      <c r="W24">
        <f t="shared" ca="1" si="9"/>
        <v>210</v>
      </c>
      <c r="X24">
        <f t="shared" ca="1" si="9"/>
        <v>209</v>
      </c>
      <c r="Y24">
        <f t="shared" ca="1" si="9"/>
        <v>208</v>
      </c>
      <c r="Z24">
        <f t="shared" ca="1" si="9"/>
        <v>207</v>
      </c>
      <c r="AA24">
        <f t="shared" ca="1" si="9"/>
        <v>206</v>
      </c>
      <c r="AB24">
        <f t="shared" ca="1" si="9"/>
        <v>205</v>
      </c>
      <c r="AC24">
        <f t="shared" ca="1" si="9"/>
        <v>204</v>
      </c>
      <c r="AD24">
        <f t="shared" ca="1" si="9"/>
        <v>203</v>
      </c>
      <c r="AE24">
        <f t="shared" ca="1" si="9"/>
        <v>202</v>
      </c>
      <c r="AF24">
        <f t="shared" ca="1" si="9"/>
        <v>201</v>
      </c>
      <c r="AG24">
        <f t="shared" ca="1" si="9"/>
        <v>200</v>
      </c>
    </row>
    <row r="25" spans="1:33" x14ac:dyDescent="0.25">
      <c r="A25" s="20">
        <v>24</v>
      </c>
      <c r="B25">
        <f t="shared" ref="B25:Q25" ca="1" si="10">IF(OFFSET($B$13,0,(31-Q1))&lt;&gt;FALSE,OFFSET($B$13,0,(31-Q1))+120)</f>
        <v>199</v>
      </c>
      <c r="C25">
        <f t="shared" ca="1" si="10"/>
        <v>198</v>
      </c>
      <c r="D25">
        <f t="shared" ca="1" si="10"/>
        <v>197</v>
      </c>
      <c r="E25">
        <f t="shared" ca="1" si="10"/>
        <v>196</v>
      </c>
      <c r="F25">
        <f t="shared" ca="1" si="10"/>
        <v>195</v>
      </c>
      <c r="G25">
        <f t="shared" ca="1" si="10"/>
        <v>194</v>
      </c>
      <c r="H25">
        <f t="shared" ca="1" si="10"/>
        <v>193</v>
      </c>
      <c r="I25">
        <f t="shared" ca="1" si="10"/>
        <v>192</v>
      </c>
      <c r="J25">
        <f t="shared" ca="1" si="10"/>
        <v>191</v>
      </c>
      <c r="K25">
        <f t="shared" ca="1" si="10"/>
        <v>190</v>
      </c>
      <c r="L25">
        <f t="shared" ca="1" si="10"/>
        <v>189</v>
      </c>
      <c r="M25">
        <f t="shared" ca="1" si="10"/>
        <v>188</v>
      </c>
      <c r="N25">
        <f t="shared" ca="1" si="10"/>
        <v>187</v>
      </c>
      <c r="O25">
        <f t="shared" ca="1" si="10"/>
        <v>186</v>
      </c>
      <c r="P25">
        <f t="shared" ca="1" si="10"/>
        <v>185</v>
      </c>
      <c r="Q25">
        <f t="shared" ca="1" si="10"/>
        <v>184</v>
      </c>
      <c r="R25">
        <f t="shared" ref="R25:AG25" ca="1" si="11">IF(OFFSET($B$12,0,(31-A1))&lt;&gt;FALSE,OFFSET($B$12,0,(31-A1))+120)</f>
        <v>183</v>
      </c>
      <c r="S25">
        <f t="shared" ca="1" si="11"/>
        <v>182</v>
      </c>
      <c r="T25">
        <f t="shared" ca="1" si="11"/>
        <v>181</v>
      </c>
      <c r="U25">
        <f t="shared" ca="1" si="11"/>
        <v>180</v>
      </c>
      <c r="V25">
        <f t="shared" ca="1" si="11"/>
        <v>179</v>
      </c>
      <c r="W25">
        <f t="shared" ca="1" si="11"/>
        <v>178</v>
      </c>
      <c r="X25">
        <f t="shared" ca="1" si="11"/>
        <v>177</v>
      </c>
      <c r="Y25">
        <f t="shared" ca="1" si="11"/>
        <v>176</v>
      </c>
      <c r="Z25">
        <f t="shared" ca="1" si="11"/>
        <v>175</v>
      </c>
      <c r="AA25">
        <f t="shared" ca="1" si="11"/>
        <v>174</v>
      </c>
      <c r="AB25">
        <f t="shared" ca="1" si="11"/>
        <v>173</v>
      </c>
      <c r="AC25">
        <f t="shared" ca="1" si="11"/>
        <v>172</v>
      </c>
      <c r="AD25">
        <f t="shared" ca="1" si="11"/>
        <v>171</v>
      </c>
      <c r="AE25">
        <f t="shared" ca="1" si="11"/>
        <v>170</v>
      </c>
      <c r="AF25">
        <f t="shared" ca="1" si="11"/>
        <v>169</v>
      </c>
      <c r="AG25">
        <f t="shared" ca="1" si="11"/>
        <v>168</v>
      </c>
    </row>
    <row r="26" spans="1:33" x14ac:dyDescent="0.25">
      <c r="A26" s="20">
        <v>25</v>
      </c>
      <c r="B26">
        <f t="shared" ref="B26:Q26" ca="1" si="12">IF(OFFSET($B$12,0,(31-Q1))&lt;&gt;FALSE,OFFSET($B$12,0,(31-Q1))+120)</f>
        <v>167</v>
      </c>
      <c r="C26">
        <f t="shared" ca="1" si="12"/>
        <v>166</v>
      </c>
      <c r="D26">
        <f t="shared" ca="1" si="12"/>
        <v>165</v>
      </c>
      <c r="E26">
        <f t="shared" ca="1" si="12"/>
        <v>164</v>
      </c>
      <c r="F26">
        <f t="shared" ca="1" si="12"/>
        <v>163</v>
      </c>
      <c r="G26">
        <f t="shared" ca="1" si="12"/>
        <v>162</v>
      </c>
      <c r="H26">
        <f t="shared" ca="1" si="12"/>
        <v>161</v>
      </c>
      <c r="I26">
        <f t="shared" ca="1" si="12"/>
        <v>160</v>
      </c>
      <c r="J26">
        <f t="shared" ca="1" si="12"/>
        <v>159</v>
      </c>
      <c r="K26">
        <f t="shared" ca="1" si="12"/>
        <v>158</v>
      </c>
      <c r="L26">
        <f t="shared" ca="1" si="12"/>
        <v>157</v>
      </c>
      <c r="M26">
        <f t="shared" ca="1" si="12"/>
        <v>156</v>
      </c>
      <c r="N26">
        <f t="shared" ca="1" si="12"/>
        <v>155</v>
      </c>
      <c r="O26">
        <f t="shared" ca="1" si="12"/>
        <v>154</v>
      </c>
      <c r="P26">
        <f t="shared" ca="1" si="12"/>
        <v>153</v>
      </c>
      <c r="Q26">
        <f t="shared" ca="1" si="12"/>
        <v>152</v>
      </c>
      <c r="R26">
        <f t="shared" ref="R26:AG26" ca="1" si="13">IF(OFFSET($B$11,0,(31-A1))&lt;&gt;FALSE,OFFSET($B$11,0,(31-A1))+120)</f>
        <v>151</v>
      </c>
      <c r="S26">
        <f t="shared" ca="1" si="13"/>
        <v>150</v>
      </c>
      <c r="T26">
        <f t="shared" ca="1" si="13"/>
        <v>149</v>
      </c>
      <c r="U26">
        <f t="shared" ca="1" si="13"/>
        <v>148</v>
      </c>
      <c r="V26">
        <f t="shared" ca="1" si="13"/>
        <v>147</v>
      </c>
      <c r="W26">
        <f t="shared" ca="1" si="13"/>
        <v>146</v>
      </c>
      <c r="X26">
        <f t="shared" ca="1" si="13"/>
        <v>145</v>
      </c>
      <c r="Y26">
        <f t="shared" ca="1" si="13"/>
        <v>144</v>
      </c>
      <c r="Z26">
        <f t="shared" ca="1" si="13"/>
        <v>143</v>
      </c>
      <c r="AA26">
        <f t="shared" ca="1" si="13"/>
        <v>142</v>
      </c>
      <c r="AB26">
        <f t="shared" ca="1" si="13"/>
        <v>141</v>
      </c>
      <c r="AC26">
        <f t="shared" ca="1" si="13"/>
        <v>140</v>
      </c>
      <c r="AD26">
        <f t="shared" ca="1" si="13"/>
        <v>139</v>
      </c>
      <c r="AE26">
        <f t="shared" ca="1" si="13"/>
        <v>138</v>
      </c>
      <c r="AF26">
        <f t="shared" ca="1" si="13"/>
        <v>137</v>
      </c>
      <c r="AG26">
        <f t="shared" ca="1" si="13"/>
        <v>136</v>
      </c>
    </row>
    <row r="27" spans="1:33" x14ac:dyDescent="0.25">
      <c r="A27" s="20">
        <v>26</v>
      </c>
      <c r="B27">
        <f t="shared" ref="B27:Q27" ca="1" si="14">IF(OFFSET($B$11,0,(31-Q1))&lt;&gt;FALSE,OFFSET($B$11,0,(31-Q1))+120)</f>
        <v>135</v>
      </c>
      <c r="C27">
        <f t="shared" ca="1" si="14"/>
        <v>134</v>
      </c>
      <c r="D27">
        <f t="shared" ca="1" si="14"/>
        <v>133</v>
      </c>
      <c r="E27">
        <f t="shared" ca="1" si="14"/>
        <v>132</v>
      </c>
      <c r="F27">
        <f t="shared" ca="1" si="14"/>
        <v>131</v>
      </c>
      <c r="G27">
        <f t="shared" ca="1" si="14"/>
        <v>130</v>
      </c>
      <c r="H27">
        <f t="shared" ca="1" si="14"/>
        <v>129</v>
      </c>
      <c r="I27">
        <f t="shared" ca="1" si="14"/>
        <v>128</v>
      </c>
      <c r="J27">
        <f t="shared" ca="1" si="14"/>
        <v>127</v>
      </c>
      <c r="K27">
        <f t="shared" ca="1" si="14"/>
        <v>126</v>
      </c>
      <c r="L27">
        <f t="shared" ca="1" si="14"/>
        <v>125</v>
      </c>
      <c r="M27">
        <f t="shared" ca="1" si="14"/>
        <v>124</v>
      </c>
      <c r="N27">
        <f t="shared" ca="1" si="14"/>
        <v>123</v>
      </c>
      <c r="O27">
        <f t="shared" ca="1" si="14"/>
        <v>122</v>
      </c>
      <c r="P27">
        <f t="shared" ca="1" si="14"/>
        <v>121</v>
      </c>
      <c r="Q27">
        <f t="shared" ca="1" si="14"/>
        <v>120</v>
      </c>
    </row>
    <row r="28" spans="1:33" x14ac:dyDescent="0.25">
      <c r="A28" s="20">
        <v>27</v>
      </c>
    </row>
    <row r="29" spans="1:33" x14ac:dyDescent="0.25">
      <c r="A29" s="20">
        <v>28</v>
      </c>
    </row>
    <row r="30" spans="1:33" x14ac:dyDescent="0.25">
      <c r="A30" s="20">
        <v>29</v>
      </c>
      <c r="B30" t="b">
        <f ca="1">B20</f>
        <v>0</v>
      </c>
      <c r="C30" t="b">
        <f t="shared" ref="C30:AG31" ca="1" si="15">C20</f>
        <v>0</v>
      </c>
      <c r="D30" t="b">
        <f t="shared" ca="1" si="15"/>
        <v>0</v>
      </c>
      <c r="E30" t="b">
        <f t="shared" ca="1" si="15"/>
        <v>0</v>
      </c>
      <c r="F30" t="b">
        <f t="shared" ca="1" si="15"/>
        <v>0</v>
      </c>
      <c r="G30" t="b">
        <f t="shared" ca="1" si="15"/>
        <v>0</v>
      </c>
      <c r="H30" t="b">
        <f t="shared" ca="1" si="15"/>
        <v>0</v>
      </c>
      <c r="I30" t="b">
        <f t="shared" ca="1" si="15"/>
        <v>0</v>
      </c>
      <c r="J30" t="b">
        <f t="shared" ca="1" si="15"/>
        <v>0</v>
      </c>
      <c r="K30" t="b">
        <f t="shared" ca="1" si="15"/>
        <v>0</v>
      </c>
      <c r="L30" t="b">
        <f t="shared" ca="1" si="15"/>
        <v>0</v>
      </c>
      <c r="M30" t="b">
        <f t="shared" ca="1" si="15"/>
        <v>0</v>
      </c>
      <c r="N30" t="b">
        <f t="shared" ca="1" si="15"/>
        <v>0</v>
      </c>
      <c r="O30" t="b">
        <f t="shared" ca="1" si="15"/>
        <v>0</v>
      </c>
      <c r="P30" t="b">
        <f t="shared" ca="1" si="15"/>
        <v>0</v>
      </c>
      <c r="Q30" t="b">
        <f t="shared" ca="1" si="15"/>
        <v>0</v>
      </c>
      <c r="R30">
        <f t="shared" ca="1" si="15"/>
        <v>136</v>
      </c>
      <c r="S30">
        <f t="shared" ca="1" si="15"/>
        <v>137</v>
      </c>
      <c r="T30">
        <f t="shared" ca="1" si="15"/>
        <v>138</v>
      </c>
      <c r="U30">
        <f t="shared" ca="1" si="15"/>
        <v>139</v>
      </c>
      <c r="V30">
        <f t="shared" ca="1" si="15"/>
        <v>140</v>
      </c>
      <c r="W30">
        <f t="shared" ca="1" si="15"/>
        <v>141</v>
      </c>
      <c r="X30">
        <f t="shared" ca="1" si="15"/>
        <v>142</v>
      </c>
      <c r="Y30">
        <f t="shared" ca="1" si="15"/>
        <v>143</v>
      </c>
      <c r="Z30">
        <f t="shared" ca="1" si="15"/>
        <v>144</v>
      </c>
      <c r="AA30">
        <f t="shared" ca="1" si="15"/>
        <v>145</v>
      </c>
      <c r="AB30">
        <f t="shared" ca="1" si="15"/>
        <v>146</v>
      </c>
      <c r="AC30">
        <f t="shared" ca="1" si="15"/>
        <v>147</v>
      </c>
      <c r="AD30">
        <f t="shared" ca="1" si="15"/>
        <v>148</v>
      </c>
      <c r="AE30">
        <f t="shared" ca="1" si="15"/>
        <v>149</v>
      </c>
      <c r="AF30">
        <f t="shared" ca="1" si="15"/>
        <v>150</v>
      </c>
      <c r="AG30">
        <f t="shared" ca="1" si="15"/>
        <v>151</v>
      </c>
    </row>
    <row r="31" spans="1:33" x14ac:dyDescent="0.25">
      <c r="A31" s="20">
        <v>30</v>
      </c>
      <c r="B31">
        <f ca="1">B21</f>
        <v>152</v>
      </c>
      <c r="C31">
        <f t="shared" ca="1" si="15"/>
        <v>153</v>
      </c>
      <c r="D31">
        <f t="shared" ca="1" si="15"/>
        <v>154</v>
      </c>
      <c r="E31">
        <f t="shared" ca="1" si="15"/>
        <v>155</v>
      </c>
      <c r="F31">
        <f t="shared" ca="1" si="15"/>
        <v>156</v>
      </c>
      <c r="G31">
        <f t="shared" ca="1" si="15"/>
        <v>157</v>
      </c>
      <c r="H31">
        <f t="shared" ca="1" si="15"/>
        <v>158</v>
      </c>
      <c r="I31">
        <f t="shared" ca="1" si="15"/>
        <v>159</v>
      </c>
      <c r="J31">
        <f t="shared" ca="1" si="15"/>
        <v>160</v>
      </c>
      <c r="K31">
        <f t="shared" ca="1" si="15"/>
        <v>161</v>
      </c>
      <c r="L31">
        <f t="shared" ca="1" si="15"/>
        <v>162</v>
      </c>
      <c r="M31">
        <f t="shared" ca="1" si="15"/>
        <v>163</v>
      </c>
      <c r="N31">
        <f t="shared" ca="1" si="15"/>
        <v>164</v>
      </c>
      <c r="O31">
        <f t="shared" ca="1" si="15"/>
        <v>165</v>
      </c>
      <c r="P31">
        <f t="shared" ca="1" si="15"/>
        <v>166</v>
      </c>
      <c r="Q31">
        <f t="shared" ca="1" si="15"/>
        <v>167</v>
      </c>
      <c r="R31">
        <f t="shared" ca="1" si="15"/>
        <v>168</v>
      </c>
      <c r="S31">
        <f t="shared" ca="1" si="15"/>
        <v>169</v>
      </c>
      <c r="T31">
        <f t="shared" ca="1" si="15"/>
        <v>170</v>
      </c>
      <c r="U31">
        <f t="shared" ca="1" si="15"/>
        <v>171</v>
      </c>
      <c r="V31">
        <f t="shared" ca="1" si="15"/>
        <v>172</v>
      </c>
      <c r="W31">
        <f t="shared" ca="1" si="15"/>
        <v>173</v>
      </c>
      <c r="X31">
        <f t="shared" ca="1" si="15"/>
        <v>174</v>
      </c>
      <c r="Y31">
        <f t="shared" ca="1" si="15"/>
        <v>175</v>
      </c>
      <c r="Z31">
        <f t="shared" ca="1" si="15"/>
        <v>176</v>
      </c>
      <c r="AA31">
        <f t="shared" ca="1" si="15"/>
        <v>177</v>
      </c>
      <c r="AB31">
        <f t="shared" ca="1" si="15"/>
        <v>178</v>
      </c>
      <c r="AC31">
        <f t="shared" ca="1" si="15"/>
        <v>179</v>
      </c>
      <c r="AD31">
        <f t="shared" ca="1" si="15"/>
        <v>180</v>
      </c>
      <c r="AE31">
        <f t="shared" ca="1" si="15"/>
        <v>181</v>
      </c>
      <c r="AF31">
        <f t="shared" ca="1" si="15"/>
        <v>182</v>
      </c>
      <c r="AG31">
        <f t="shared" ca="1" si="15"/>
        <v>183</v>
      </c>
    </row>
    <row r="32" spans="1:33" x14ac:dyDescent="0.25">
      <c r="A32" s="20">
        <v>31</v>
      </c>
      <c r="B32">
        <f t="shared" ref="B32:AG37" ca="1" si="16">B22</f>
        <v>184</v>
      </c>
      <c r="C32">
        <f t="shared" ca="1" si="16"/>
        <v>185</v>
      </c>
      <c r="D32">
        <f t="shared" ca="1" si="16"/>
        <v>186</v>
      </c>
      <c r="E32">
        <f t="shared" ca="1" si="16"/>
        <v>187</v>
      </c>
      <c r="F32">
        <f t="shared" ca="1" si="16"/>
        <v>188</v>
      </c>
      <c r="G32">
        <f t="shared" ca="1" si="16"/>
        <v>189</v>
      </c>
      <c r="H32">
        <f t="shared" ca="1" si="16"/>
        <v>190</v>
      </c>
      <c r="I32">
        <f t="shared" ca="1" si="16"/>
        <v>191</v>
      </c>
      <c r="J32">
        <f t="shared" ca="1" si="16"/>
        <v>192</v>
      </c>
      <c r="K32">
        <f t="shared" ca="1" si="16"/>
        <v>193</v>
      </c>
      <c r="L32">
        <f t="shared" ca="1" si="16"/>
        <v>194</v>
      </c>
      <c r="M32">
        <f t="shared" ca="1" si="16"/>
        <v>195</v>
      </c>
      <c r="N32">
        <f t="shared" ca="1" si="16"/>
        <v>196</v>
      </c>
      <c r="O32">
        <f t="shared" ca="1" si="16"/>
        <v>197</v>
      </c>
      <c r="P32">
        <f t="shared" ca="1" si="16"/>
        <v>198</v>
      </c>
      <c r="Q32">
        <f t="shared" ca="1" si="16"/>
        <v>199</v>
      </c>
      <c r="R32">
        <f t="shared" ca="1" si="16"/>
        <v>200</v>
      </c>
      <c r="S32">
        <f t="shared" ca="1" si="16"/>
        <v>201</v>
      </c>
      <c r="T32">
        <f t="shared" ca="1" si="16"/>
        <v>202</v>
      </c>
      <c r="U32">
        <f t="shared" ca="1" si="16"/>
        <v>203</v>
      </c>
      <c r="V32">
        <f t="shared" ca="1" si="16"/>
        <v>204</v>
      </c>
      <c r="W32">
        <f t="shared" ca="1" si="16"/>
        <v>205</v>
      </c>
      <c r="X32">
        <f t="shared" ca="1" si="16"/>
        <v>206</v>
      </c>
      <c r="Y32">
        <f t="shared" ca="1" si="16"/>
        <v>207</v>
      </c>
      <c r="Z32">
        <f t="shared" ca="1" si="16"/>
        <v>208</v>
      </c>
      <c r="AA32">
        <f t="shared" ca="1" si="16"/>
        <v>209</v>
      </c>
      <c r="AB32">
        <f t="shared" ca="1" si="16"/>
        <v>210</v>
      </c>
      <c r="AC32">
        <f t="shared" ca="1" si="16"/>
        <v>211</v>
      </c>
      <c r="AD32">
        <f t="shared" ca="1" si="16"/>
        <v>212</v>
      </c>
      <c r="AE32">
        <f t="shared" ca="1" si="16"/>
        <v>213</v>
      </c>
      <c r="AF32">
        <f t="shared" ca="1" si="16"/>
        <v>214</v>
      </c>
      <c r="AG32">
        <f t="shared" ca="1" si="16"/>
        <v>215</v>
      </c>
    </row>
    <row r="33" spans="1:33" x14ac:dyDescent="0.25">
      <c r="A33" s="20">
        <v>32</v>
      </c>
      <c r="B33">
        <f t="shared" ca="1" si="16"/>
        <v>216</v>
      </c>
      <c r="C33">
        <f t="shared" ca="1" si="16"/>
        <v>217</v>
      </c>
      <c r="D33">
        <f t="shared" ca="1" si="16"/>
        <v>218</v>
      </c>
      <c r="E33">
        <f t="shared" ca="1" si="16"/>
        <v>219</v>
      </c>
      <c r="F33">
        <f t="shared" ca="1" si="16"/>
        <v>220</v>
      </c>
      <c r="G33">
        <f t="shared" ca="1" si="16"/>
        <v>221</v>
      </c>
      <c r="H33">
        <f t="shared" ca="1" si="16"/>
        <v>222</v>
      </c>
      <c r="I33">
        <f t="shared" ca="1" si="16"/>
        <v>223</v>
      </c>
      <c r="J33">
        <f t="shared" ca="1" si="16"/>
        <v>224</v>
      </c>
      <c r="K33">
        <f t="shared" ca="1" si="16"/>
        <v>225</v>
      </c>
      <c r="L33">
        <f t="shared" ca="1" si="16"/>
        <v>226</v>
      </c>
      <c r="M33">
        <f t="shared" ca="1" si="16"/>
        <v>227</v>
      </c>
      <c r="N33">
        <f t="shared" ca="1" si="16"/>
        <v>228</v>
      </c>
      <c r="O33">
        <f t="shared" ca="1" si="16"/>
        <v>229</v>
      </c>
      <c r="P33">
        <f t="shared" ca="1" si="16"/>
        <v>230</v>
      </c>
      <c r="Q33">
        <f t="shared" ca="1" si="16"/>
        <v>231</v>
      </c>
      <c r="R33">
        <f t="shared" ca="1" si="16"/>
        <v>232</v>
      </c>
      <c r="S33">
        <f t="shared" ca="1" si="16"/>
        <v>233</v>
      </c>
      <c r="T33">
        <f t="shared" ca="1" si="16"/>
        <v>234</v>
      </c>
      <c r="U33">
        <f t="shared" ca="1" si="16"/>
        <v>235</v>
      </c>
      <c r="V33">
        <f t="shared" ca="1" si="16"/>
        <v>236</v>
      </c>
      <c r="W33">
        <f t="shared" ca="1" si="16"/>
        <v>237</v>
      </c>
      <c r="X33">
        <f t="shared" ca="1" si="16"/>
        <v>238</v>
      </c>
      <c r="Y33">
        <f t="shared" ca="1" si="16"/>
        <v>239</v>
      </c>
      <c r="Z33">
        <f t="shared" ca="1" si="16"/>
        <v>239</v>
      </c>
      <c r="AA33">
        <f t="shared" ca="1" si="16"/>
        <v>238</v>
      </c>
      <c r="AB33">
        <f t="shared" ca="1" si="16"/>
        <v>237</v>
      </c>
      <c r="AC33">
        <f t="shared" ca="1" si="16"/>
        <v>236</v>
      </c>
      <c r="AD33">
        <f t="shared" ca="1" si="16"/>
        <v>235</v>
      </c>
      <c r="AE33">
        <f t="shared" ca="1" si="16"/>
        <v>234</v>
      </c>
      <c r="AF33">
        <f t="shared" ca="1" si="16"/>
        <v>233</v>
      </c>
      <c r="AG33">
        <f t="shared" ca="1" si="16"/>
        <v>232</v>
      </c>
    </row>
    <row r="34" spans="1:33" x14ac:dyDescent="0.25">
      <c r="A34" s="20">
        <v>33</v>
      </c>
      <c r="B34">
        <f t="shared" ca="1" si="16"/>
        <v>231</v>
      </c>
      <c r="C34">
        <f t="shared" ca="1" si="16"/>
        <v>230</v>
      </c>
      <c r="D34">
        <f t="shared" ca="1" si="16"/>
        <v>229</v>
      </c>
      <c r="E34">
        <f t="shared" ca="1" si="16"/>
        <v>228</v>
      </c>
      <c r="F34">
        <f t="shared" ca="1" si="16"/>
        <v>227</v>
      </c>
      <c r="G34">
        <f t="shared" ca="1" si="16"/>
        <v>226</v>
      </c>
      <c r="H34">
        <f t="shared" ca="1" si="16"/>
        <v>225</v>
      </c>
      <c r="I34">
        <f t="shared" ca="1" si="16"/>
        <v>224</v>
      </c>
      <c r="J34">
        <f t="shared" ca="1" si="16"/>
        <v>223</v>
      </c>
      <c r="K34">
        <f t="shared" ca="1" si="16"/>
        <v>222</v>
      </c>
      <c r="L34">
        <f t="shared" ca="1" si="16"/>
        <v>221</v>
      </c>
      <c r="M34">
        <f t="shared" ca="1" si="16"/>
        <v>220</v>
      </c>
      <c r="N34">
        <f t="shared" ca="1" si="16"/>
        <v>219</v>
      </c>
      <c r="O34">
        <f t="shared" ca="1" si="16"/>
        <v>218</v>
      </c>
      <c r="P34">
        <f t="shared" ca="1" si="16"/>
        <v>217</v>
      </c>
      <c r="Q34">
        <f t="shared" ca="1" si="16"/>
        <v>216</v>
      </c>
      <c r="R34">
        <f t="shared" ca="1" si="16"/>
        <v>215</v>
      </c>
      <c r="S34">
        <f t="shared" ca="1" si="16"/>
        <v>214</v>
      </c>
      <c r="T34">
        <f t="shared" ca="1" si="16"/>
        <v>213</v>
      </c>
      <c r="U34">
        <f t="shared" ca="1" si="16"/>
        <v>212</v>
      </c>
      <c r="V34">
        <f t="shared" ca="1" si="16"/>
        <v>211</v>
      </c>
      <c r="W34">
        <f t="shared" ca="1" si="16"/>
        <v>210</v>
      </c>
      <c r="X34">
        <f t="shared" ca="1" si="16"/>
        <v>209</v>
      </c>
      <c r="Y34">
        <f t="shared" ca="1" si="16"/>
        <v>208</v>
      </c>
      <c r="Z34">
        <f t="shared" ca="1" si="16"/>
        <v>207</v>
      </c>
      <c r="AA34">
        <f t="shared" ca="1" si="16"/>
        <v>206</v>
      </c>
      <c r="AB34">
        <f t="shared" ca="1" si="16"/>
        <v>205</v>
      </c>
      <c r="AC34">
        <f t="shared" ca="1" si="16"/>
        <v>204</v>
      </c>
      <c r="AD34">
        <f t="shared" ca="1" si="16"/>
        <v>203</v>
      </c>
      <c r="AE34">
        <f t="shared" ca="1" si="16"/>
        <v>202</v>
      </c>
      <c r="AF34">
        <f t="shared" ca="1" si="16"/>
        <v>201</v>
      </c>
      <c r="AG34">
        <f t="shared" ca="1" si="16"/>
        <v>200</v>
      </c>
    </row>
    <row r="35" spans="1:33" x14ac:dyDescent="0.25">
      <c r="B35">
        <f t="shared" ca="1" si="16"/>
        <v>199</v>
      </c>
      <c r="C35">
        <f t="shared" ca="1" si="16"/>
        <v>198</v>
      </c>
      <c r="D35">
        <f t="shared" ca="1" si="16"/>
        <v>197</v>
      </c>
      <c r="E35">
        <f t="shared" ca="1" si="16"/>
        <v>196</v>
      </c>
      <c r="F35">
        <f t="shared" ca="1" si="16"/>
        <v>195</v>
      </c>
      <c r="G35">
        <f t="shared" ca="1" si="16"/>
        <v>194</v>
      </c>
      <c r="H35">
        <f t="shared" ca="1" si="16"/>
        <v>193</v>
      </c>
      <c r="I35">
        <f t="shared" ca="1" si="16"/>
        <v>192</v>
      </c>
      <c r="J35">
        <f t="shared" ca="1" si="16"/>
        <v>191</v>
      </c>
      <c r="K35">
        <f t="shared" ca="1" si="16"/>
        <v>190</v>
      </c>
      <c r="L35">
        <f t="shared" ca="1" si="16"/>
        <v>189</v>
      </c>
      <c r="M35">
        <f t="shared" ca="1" si="16"/>
        <v>188</v>
      </c>
      <c r="N35">
        <f t="shared" ca="1" si="16"/>
        <v>187</v>
      </c>
      <c r="O35">
        <f t="shared" ca="1" si="16"/>
        <v>186</v>
      </c>
      <c r="P35">
        <f t="shared" ca="1" si="16"/>
        <v>185</v>
      </c>
      <c r="Q35">
        <f t="shared" ca="1" si="16"/>
        <v>184</v>
      </c>
      <c r="R35">
        <f t="shared" ca="1" si="16"/>
        <v>183</v>
      </c>
      <c r="S35">
        <f t="shared" ca="1" si="16"/>
        <v>182</v>
      </c>
      <c r="T35">
        <f t="shared" ca="1" si="16"/>
        <v>181</v>
      </c>
      <c r="U35">
        <f t="shared" ca="1" si="16"/>
        <v>180</v>
      </c>
      <c r="V35">
        <f t="shared" ca="1" si="16"/>
        <v>179</v>
      </c>
      <c r="W35">
        <f t="shared" ca="1" si="16"/>
        <v>178</v>
      </c>
      <c r="X35">
        <f t="shared" ca="1" si="16"/>
        <v>177</v>
      </c>
      <c r="Y35">
        <f t="shared" ca="1" si="16"/>
        <v>176</v>
      </c>
      <c r="Z35">
        <f t="shared" ca="1" si="16"/>
        <v>175</v>
      </c>
      <c r="AA35">
        <f t="shared" ca="1" si="16"/>
        <v>174</v>
      </c>
      <c r="AB35">
        <f t="shared" ca="1" si="16"/>
        <v>173</v>
      </c>
      <c r="AC35">
        <f t="shared" ca="1" si="16"/>
        <v>172</v>
      </c>
      <c r="AD35">
        <f t="shared" ca="1" si="16"/>
        <v>171</v>
      </c>
      <c r="AE35">
        <f t="shared" ca="1" si="16"/>
        <v>170</v>
      </c>
      <c r="AF35">
        <f t="shared" ca="1" si="16"/>
        <v>169</v>
      </c>
      <c r="AG35">
        <f t="shared" ca="1" si="16"/>
        <v>168</v>
      </c>
    </row>
    <row r="36" spans="1:33" x14ac:dyDescent="0.25">
      <c r="B36">
        <f t="shared" ca="1" si="16"/>
        <v>167</v>
      </c>
      <c r="C36">
        <f t="shared" ca="1" si="16"/>
        <v>166</v>
      </c>
      <c r="D36">
        <f t="shared" ca="1" si="16"/>
        <v>165</v>
      </c>
      <c r="E36">
        <f t="shared" ca="1" si="16"/>
        <v>164</v>
      </c>
      <c r="F36">
        <f t="shared" ca="1" si="16"/>
        <v>163</v>
      </c>
      <c r="G36">
        <f t="shared" ca="1" si="16"/>
        <v>162</v>
      </c>
      <c r="H36">
        <f t="shared" ca="1" si="16"/>
        <v>161</v>
      </c>
      <c r="I36">
        <f t="shared" ca="1" si="16"/>
        <v>160</v>
      </c>
      <c r="J36">
        <f t="shared" ca="1" si="16"/>
        <v>159</v>
      </c>
      <c r="K36">
        <f t="shared" ca="1" si="16"/>
        <v>158</v>
      </c>
      <c r="L36">
        <f t="shared" ca="1" si="16"/>
        <v>157</v>
      </c>
      <c r="M36">
        <f t="shared" ca="1" si="16"/>
        <v>156</v>
      </c>
      <c r="N36">
        <f t="shared" ca="1" si="16"/>
        <v>155</v>
      </c>
      <c r="O36">
        <f t="shared" ca="1" si="16"/>
        <v>154</v>
      </c>
      <c r="P36">
        <f t="shared" ca="1" si="16"/>
        <v>153</v>
      </c>
      <c r="Q36">
        <f t="shared" ca="1" si="16"/>
        <v>152</v>
      </c>
      <c r="R36">
        <f t="shared" ca="1" si="16"/>
        <v>151</v>
      </c>
      <c r="S36">
        <f t="shared" ca="1" si="16"/>
        <v>150</v>
      </c>
      <c r="T36">
        <f t="shared" ca="1" si="16"/>
        <v>149</v>
      </c>
      <c r="U36">
        <f t="shared" ca="1" si="16"/>
        <v>148</v>
      </c>
      <c r="V36">
        <f t="shared" ca="1" si="16"/>
        <v>147</v>
      </c>
      <c r="W36">
        <f t="shared" ca="1" si="16"/>
        <v>146</v>
      </c>
      <c r="X36">
        <f t="shared" ca="1" si="16"/>
        <v>145</v>
      </c>
      <c r="Y36">
        <f t="shared" ca="1" si="16"/>
        <v>144</v>
      </c>
      <c r="Z36">
        <f t="shared" ca="1" si="16"/>
        <v>143</v>
      </c>
      <c r="AA36">
        <f t="shared" ca="1" si="16"/>
        <v>142</v>
      </c>
      <c r="AB36">
        <f t="shared" ca="1" si="16"/>
        <v>141</v>
      </c>
      <c r="AC36">
        <f t="shared" ca="1" si="16"/>
        <v>140</v>
      </c>
      <c r="AD36">
        <f t="shared" ca="1" si="16"/>
        <v>139</v>
      </c>
      <c r="AE36">
        <f t="shared" ca="1" si="16"/>
        <v>138</v>
      </c>
      <c r="AF36">
        <f t="shared" ca="1" si="16"/>
        <v>137</v>
      </c>
      <c r="AG36">
        <f t="shared" ca="1" si="16"/>
        <v>136</v>
      </c>
    </row>
    <row r="37" spans="1:33" x14ac:dyDescent="0.25">
      <c r="B37">
        <f t="shared" ca="1" si="16"/>
        <v>135</v>
      </c>
      <c r="C37">
        <f t="shared" ca="1" si="16"/>
        <v>134</v>
      </c>
      <c r="D37">
        <f t="shared" ca="1" si="16"/>
        <v>133</v>
      </c>
      <c r="E37">
        <f t="shared" ca="1" si="16"/>
        <v>132</v>
      </c>
      <c r="F37">
        <f t="shared" ca="1" si="16"/>
        <v>131</v>
      </c>
      <c r="G37">
        <f t="shared" ca="1" si="16"/>
        <v>130</v>
      </c>
      <c r="H37">
        <f t="shared" ca="1" si="16"/>
        <v>129</v>
      </c>
      <c r="I37">
        <f t="shared" ca="1" si="16"/>
        <v>128</v>
      </c>
      <c r="J37">
        <f t="shared" ca="1" si="16"/>
        <v>127</v>
      </c>
      <c r="K37">
        <f t="shared" ca="1" si="16"/>
        <v>126</v>
      </c>
      <c r="L37">
        <f t="shared" ca="1" si="16"/>
        <v>125</v>
      </c>
      <c r="M37">
        <f t="shared" ca="1" si="16"/>
        <v>124</v>
      </c>
      <c r="N37">
        <f t="shared" ca="1" si="16"/>
        <v>123</v>
      </c>
      <c r="O37">
        <f t="shared" ca="1" si="16"/>
        <v>122</v>
      </c>
      <c r="P37">
        <f t="shared" ca="1" si="16"/>
        <v>121</v>
      </c>
      <c r="Q37">
        <f t="shared" ca="1" si="16"/>
        <v>120</v>
      </c>
    </row>
  </sheetData>
  <phoneticPr fontId="2" type="noConversion"/>
  <conditionalFormatting sqref="B10:BI10 C2:BI2 AH3:BI9 B19:BI19 AH11:BI18 AH21:BI21 AH24:BI27 B28:BI61">
    <cfRule type="colorScale" priority="64">
      <colorScale>
        <cfvo type="min"/>
        <cfvo type="percentile" val="50"/>
        <cfvo type="max"/>
        <color rgb="FF63BE7B"/>
        <color rgb="FFFFEB84"/>
        <color rgb="FFF8696B"/>
      </colorScale>
    </cfRule>
  </conditionalFormatting>
  <conditionalFormatting sqref="B2:B3 C3:AG3 B7:AG7 B5:AG5">
    <cfRule type="colorScale" priority="63">
      <colorScale>
        <cfvo type="min"/>
        <cfvo type="percentile" val="50"/>
        <cfvo type="max"/>
        <color rgb="FF63BE7B"/>
        <color rgb="FFFFEB84"/>
        <color rgb="FFF8696B"/>
      </colorScale>
    </cfRule>
  </conditionalFormatting>
  <conditionalFormatting sqref="B4:AG4 B6:AG6 B7:B9">
    <cfRule type="colorScale" priority="62">
      <colorScale>
        <cfvo type="min"/>
        <cfvo type="percentile" val="50"/>
        <cfvo type="max"/>
        <color rgb="FF63BE7B"/>
        <color rgb="FFFFEB84"/>
        <color rgb="FFF8696B"/>
      </colorScale>
    </cfRule>
  </conditionalFormatting>
  <conditionalFormatting sqref="B2:AG7 B7:B9">
    <cfRule type="colorScale" priority="61">
      <colorScale>
        <cfvo type="min"/>
        <cfvo type="percentile" val="50"/>
        <cfvo type="max"/>
        <color rgb="FF63BE7B"/>
        <color rgb="FFFFEB84"/>
        <color rgb="FFF8696B"/>
      </colorScale>
    </cfRule>
  </conditionalFormatting>
  <conditionalFormatting sqref="B7:AG7">
    <cfRule type="colorScale" priority="60">
      <colorScale>
        <cfvo type="min"/>
        <cfvo type="percentile" val="50"/>
        <cfvo type="max"/>
        <color rgb="FF63BE7B"/>
        <color rgb="FFFFEB84"/>
        <color rgb="FFF8696B"/>
      </colorScale>
    </cfRule>
  </conditionalFormatting>
  <conditionalFormatting sqref="B8:AG8">
    <cfRule type="colorScale" priority="59">
      <colorScale>
        <cfvo type="min"/>
        <cfvo type="percentile" val="50"/>
        <cfvo type="max"/>
        <color rgb="FF63BE7B"/>
        <color rgb="FFFFEB84"/>
        <color rgb="FFF8696B"/>
      </colorScale>
    </cfRule>
  </conditionalFormatting>
  <conditionalFormatting sqref="B8:AG8">
    <cfRule type="colorScale" priority="58">
      <colorScale>
        <cfvo type="min"/>
        <cfvo type="percentile" val="50"/>
        <cfvo type="max"/>
        <color rgb="FF63BE7B"/>
        <color rgb="FFFFEB84"/>
        <color rgb="FFF8696B"/>
      </colorScale>
    </cfRule>
  </conditionalFormatting>
  <conditionalFormatting sqref="B8:AG8">
    <cfRule type="colorScale" priority="57">
      <colorScale>
        <cfvo type="min"/>
        <cfvo type="percentile" val="50"/>
        <cfvo type="max"/>
        <color rgb="FF63BE7B"/>
        <color rgb="FFFFEB84"/>
        <color rgb="FFF8696B"/>
      </colorScale>
    </cfRule>
  </conditionalFormatting>
  <conditionalFormatting sqref="B9:AG9">
    <cfRule type="colorScale" priority="56">
      <colorScale>
        <cfvo type="min"/>
        <cfvo type="percentile" val="50"/>
        <cfvo type="max"/>
        <color rgb="FF63BE7B"/>
        <color rgb="FFFFEB84"/>
        <color rgb="FFF8696B"/>
      </colorScale>
    </cfRule>
  </conditionalFormatting>
  <conditionalFormatting sqref="B9:AG9">
    <cfRule type="colorScale" priority="55">
      <colorScale>
        <cfvo type="min"/>
        <cfvo type="percentile" val="50"/>
        <cfvo type="max"/>
        <color rgb="FF63BE7B"/>
        <color rgb="FFFFEB84"/>
        <color rgb="FFF8696B"/>
      </colorScale>
    </cfRule>
  </conditionalFormatting>
  <conditionalFormatting sqref="B9:AG9">
    <cfRule type="colorScale" priority="54">
      <colorScale>
        <cfvo type="min"/>
        <cfvo type="percentile" val="50"/>
        <cfvo type="max"/>
        <color rgb="FF63BE7B"/>
        <color rgb="FFFFEB84"/>
        <color rgb="FFF8696B"/>
      </colorScale>
    </cfRule>
  </conditionalFormatting>
  <conditionalFormatting sqref="B2:AG10">
    <cfRule type="colorScale" priority="53">
      <colorScale>
        <cfvo type="min"/>
        <cfvo type="percentile" val="50"/>
        <cfvo type="max"/>
        <color rgb="FF63BE7B"/>
        <color rgb="FFFFEB84"/>
        <color rgb="FFF8696B"/>
      </colorScale>
    </cfRule>
  </conditionalFormatting>
  <conditionalFormatting sqref="C11:AG11">
    <cfRule type="colorScale" priority="52">
      <colorScale>
        <cfvo type="min"/>
        <cfvo type="percentile" val="50"/>
        <cfvo type="max"/>
        <color rgb="FF63BE7B"/>
        <color rgb="FFFFEB84"/>
        <color rgb="FFF8696B"/>
      </colorScale>
    </cfRule>
  </conditionalFormatting>
  <conditionalFormatting sqref="B11:B12 C12:AG12 B16:AG16 B14:AG14">
    <cfRule type="colorScale" priority="51">
      <colorScale>
        <cfvo type="min"/>
        <cfvo type="percentile" val="50"/>
        <cfvo type="max"/>
        <color rgb="FF63BE7B"/>
        <color rgb="FFFFEB84"/>
        <color rgb="FFF8696B"/>
      </colorScale>
    </cfRule>
  </conditionalFormatting>
  <conditionalFormatting sqref="B13:AG13 B15:AG15 B16:B18">
    <cfRule type="colorScale" priority="50">
      <colorScale>
        <cfvo type="min"/>
        <cfvo type="percentile" val="50"/>
        <cfvo type="max"/>
        <color rgb="FF63BE7B"/>
        <color rgb="FFFFEB84"/>
        <color rgb="FFF8696B"/>
      </colorScale>
    </cfRule>
  </conditionalFormatting>
  <conditionalFormatting sqref="B11:AG16 B16:B18">
    <cfRule type="colorScale" priority="49">
      <colorScale>
        <cfvo type="min"/>
        <cfvo type="percentile" val="50"/>
        <cfvo type="max"/>
        <color rgb="FF63BE7B"/>
        <color rgb="FFFFEB84"/>
        <color rgb="FFF8696B"/>
      </colorScale>
    </cfRule>
  </conditionalFormatting>
  <conditionalFormatting sqref="B16:AG16">
    <cfRule type="colorScale" priority="48">
      <colorScale>
        <cfvo type="min"/>
        <cfvo type="percentile" val="50"/>
        <cfvo type="max"/>
        <color rgb="FF63BE7B"/>
        <color rgb="FFFFEB84"/>
        <color rgb="FFF8696B"/>
      </colorScale>
    </cfRule>
  </conditionalFormatting>
  <conditionalFormatting sqref="B17:AG17">
    <cfRule type="colorScale" priority="47">
      <colorScale>
        <cfvo type="min"/>
        <cfvo type="percentile" val="50"/>
        <cfvo type="max"/>
        <color rgb="FF63BE7B"/>
        <color rgb="FFFFEB84"/>
        <color rgb="FFF8696B"/>
      </colorScale>
    </cfRule>
  </conditionalFormatting>
  <conditionalFormatting sqref="B17:AG17">
    <cfRule type="colorScale" priority="46">
      <colorScale>
        <cfvo type="min"/>
        <cfvo type="percentile" val="50"/>
        <cfvo type="max"/>
        <color rgb="FF63BE7B"/>
        <color rgb="FFFFEB84"/>
        <color rgb="FFF8696B"/>
      </colorScale>
    </cfRule>
  </conditionalFormatting>
  <conditionalFormatting sqref="B17:AG17">
    <cfRule type="colorScale" priority="45">
      <colorScale>
        <cfvo type="min"/>
        <cfvo type="percentile" val="50"/>
        <cfvo type="max"/>
        <color rgb="FF63BE7B"/>
        <color rgb="FFFFEB84"/>
        <color rgb="FFF8696B"/>
      </colorScale>
    </cfRule>
  </conditionalFormatting>
  <conditionalFormatting sqref="B18:AG18">
    <cfRule type="colorScale" priority="44">
      <colorScale>
        <cfvo type="min"/>
        <cfvo type="percentile" val="50"/>
        <cfvo type="max"/>
        <color rgb="FF63BE7B"/>
        <color rgb="FFFFEB84"/>
        <color rgb="FFF8696B"/>
      </colorScale>
    </cfRule>
  </conditionalFormatting>
  <conditionalFormatting sqref="B18:AG18">
    <cfRule type="colorScale" priority="43">
      <colorScale>
        <cfvo type="min"/>
        <cfvo type="percentile" val="50"/>
        <cfvo type="max"/>
        <color rgb="FF63BE7B"/>
        <color rgb="FFFFEB84"/>
        <color rgb="FFF8696B"/>
      </colorScale>
    </cfRule>
  </conditionalFormatting>
  <conditionalFormatting sqref="B18:AG18">
    <cfRule type="colorScale" priority="42">
      <colorScale>
        <cfvo type="min"/>
        <cfvo type="percentile" val="50"/>
        <cfvo type="max"/>
        <color rgb="FF63BE7B"/>
        <color rgb="FFFFEB84"/>
        <color rgb="FFF8696B"/>
      </colorScale>
    </cfRule>
  </conditionalFormatting>
  <conditionalFormatting sqref="B11:AG18">
    <cfRule type="colorScale" priority="41">
      <colorScale>
        <cfvo type="min"/>
        <cfvo type="percentile" val="50"/>
        <cfvo type="max"/>
        <color rgb="FF63BE7B"/>
        <color rgb="FFFFEB84"/>
        <color rgb="FFF8696B"/>
      </colorScale>
    </cfRule>
  </conditionalFormatting>
  <conditionalFormatting sqref="C21:AG21">
    <cfRule type="colorScale" priority="40">
      <colorScale>
        <cfvo type="min"/>
        <cfvo type="percentile" val="50"/>
        <cfvo type="max"/>
        <color rgb="FF63BE7B"/>
        <color rgb="FFFFEB84"/>
        <color rgb="FFF8696B"/>
      </colorScale>
    </cfRule>
  </conditionalFormatting>
  <conditionalFormatting sqref="B21:AG22 B26:AG26">
    <cfRule type="colorScale" priority="39">
      <colorScale>
        <cfvo type="min"/>
        <cfvo type="percentile" val="50"/>
        <cfvo type="max"/>
        <color rgb="FF63BE7B"/>
        <color rgb="FFFFEB84"/>
        <color rgb="FFF8696B"/>
      </colorScale>
    </cfRule>
  </conditionalFormatting>
  <conditionalFormatting sqref="B25:AG25">
    <cfRule type="colorScale" priority="38">
      <colorScale>
        <cfvo type="min"/>
        <cfvo type="percentile" val="50"/>
        <cfvo type="max"/>
        <color rgb="FF63BE7B"/>
        <color rgb="FFFFEB84"/>
        <color rgb="FFF8696B"/>
      </colorScale>
    </cfRule>
  </conditionalFormatting>
  <conditionalFormatting sqref="B21:AG22 B25:AG26">
    <cfRule type="colorScale" priority="37">
      <colorScale>
        <cfvo type="min"/>
        <cfvo type="percentile" val="50"/>
        <cfvo type="max"/>
        <color rgb="FF63BE7B"/>
        <color rgb="FFFFEB84"/>
        <color rgb="FFF8696B"/>
      </colorScale>
    </cfRule>
  </conditionalFormatting>
  <conditionalFormatting sqref="B26:AG26">
    <cfRule type="colorScale" priority="36">
      <colorScale>
        <cfvo type="min"/>
        <cfvo type="percentile" val="50"/>
        <cfvo type="max"/>
        <color rgb="FF63BE7B"/>
        <color rgb="FFFFEB84"/>
        <color rgb="FFF8696B"/>
      </colorScale>
    </cfRule>
  </conditionalFormatting>
  <conditionalFormatting sqref="B27:AG27">
    <cfRule type="colorScale" priority="35">
      <colorScale>
        <cfvo type="min"/>
        <cfvo type="percentile" val="50"/>
        <cfvo type="max"/>
        <color rgb="FF63BE7B"/>
        <color rgb="FFFFEB84"/>
        <color rgb="FFF8696B"/>
      </colorScale>
    </cfRule>
  </conditionalFormatting>
  <conditionalFormatting sqref="B27:AG27">
    <cfRule type="colorScale" priority="34">
      <colorScale>
        <cfvo type="min"/>
        <cfvo type="percentile" val="50"/>
        <cfvo type="max"/>
        <color rgb="FF63BE7B"/>
        <color rgb="FFFFEB84"/>
        <color rgb="FFF8696B"/>
      </colorScale>
    </cfRule>
  </conditionalFormatting>
  <conditionalFormatting sqref="B27:AG27">
    <cfRule type="colorScale" priority="33">
      <colorScale>
        <cfvo type="min"/>
        <cfvo type="percentile" val="50"/>
        <cfvo type="max"/>
        <color rgb="FF63BE7B"/>
        <color rgb="FFFFEB84"/>
        <color rgb="FFF8696B"/>
      </colorScale>
    </cfRule>
  </conditionalFormatting>
  <conditionalFormatting sqref="B21:AG22 B25:AG27">
    <cfRule type="colorScale" priority="30">
      <colorScale>
        <cfvo type="min"/>
        <cfvo type="percentile" val="50"/>
        <cfvo type="max"/>
        <color rgb="FF63BE7B"/>
        <color rgb="FFFFEB84"/>
        <color rgb="FFF8696B"/>
      </colorScale>
    </cfRule>
  </conditionalFormatting>
  <conditionalFormatting sqref="C22:AG22">
    <cfRule type="colorScale" priority="31">
      <colorScale>
        <cfvo type="min"/>
        <cfvo type="percentile" val="50"/>
        <cfvo type="max"/>
        <color rgb="FF63BE7B"/>
        <color rgb="FFFFEB84"/>
        <color rgb="FFF8696B"/>
      </colorScale>
    </cfRule>
  </conditionalFormatting>
  <conditionalFormatting sqref="AH22:BI22">
    <cfRule type="colorScale" priority="29">
      <colorScale>
        <cfvo type="min"/>
        <cfvo type="percentile" val="50"/>
        <cfvo type="max"/>
        <color rgb="FF63BE7B"/>
        <color rgb="FFFFEB84"/>
        <color rgb="FFF8696B"/>
      </colorScale>
    </cfRule>
  </conditionalFormatting>
  <conditionalFormatting sqref="B23:AG23">
    <cfRule type="colorScale" priority="28">
      <colorScale>
        <cfvo type="min"/>
        <cfvo type="percentile" val="50"/>
        <cfvo type="max"/>
        <color rgb="FF63BE7B"/>
        <color rgb="FFFFEB84"/>
        <color rgb="FFF8696B"/>
      </colorScale>
    </cfRule>
  </conditionalFormatting>
  <conditionalFormatting sqref="B23:AG23">
    <cfRule type="colorScale" priority="27">
      <colorScale>
        <cfvo type="min"/>
        <cfvo type="percentile" val="50"/>
        <cfvo type="max"/>
        <color rgb="FF63BE7B"/>
        <color rgb="FFFFEB84"/>
        <color rgb="FFF8696B"/>
      </colorScale>
    </cfRule>
  </conditionalFormatting>
  <conditionalFormatting sqref="B23:AG23">
    <cfRule type="colorScale" priority="25">
      <colorScale>
        <cfvo type="min"/>
        <cfvo type="percentile" val="50"/>
        <cfvo type="max"/>
        <color rgb="FF63BE7B"/>
        <color rgb="FFFFEB84"/>
        <color rgb="FFF8696B"/>
      </colorScale>
    </cfRule>
  </conditionalFormatting>
  <conditionalFormatting sqref="C23:AG23">
    <cfRule type="colorScale" priority="26">
      <colorScale>
        <cfvo type="min"/>
        <cfvo type="percentile" val="50"/>
        <cfvo type="max"/>
        <color rgb="FF63BE7B"/>
        <color rgb="FFFFEB84"/>
        <color rgb="FFF8696B"/>
      </colorScale>
    </cfRule>
  </conditionalFormatting>
  <conditionalFormatting sqref="AH23:BI23">
    <cfRule type="colorScale" priority="24">
      <colorScale>
        <cfvo type="min"/>
        <cfvo type="percentile" val="50"/>
        <cfvo type="max"/>
        <color rgb="FF63BE7B"/>
        <color rgb="FFFFEB84"/>
        <color rgb="FFF8696B"/>
      </colorScale>
    </cfRule>
  </conditionalFormatting>
  <conditionalFormatting sqref="B24:AG24">
    <cfRule type="colorScale" priority="23">
      <colorScale>
        <cfvo type="min"/>
        <cfvo type="percentile" val="50"/>
        <cfvo type="max"/>
        <color rgb="FF63BE7B"/>
        <color rgb="FFFFEB84"/>
        <color rgb="FFF8696B"/>
      </colorScale>
    </cfRule>
  </conditionalFormatting>
  <conditionalFormatting sqref="B24:AG24">
    <cfRule type="colorScale" priority="22">
      <colorScale>
        <cfvo type="min"/>
        <cfvo type="percentile" val="50"/>
        <cfvo type="max"/>
        <color rgb="FF63BE7B"/>
        <color rgb="FFFFEB84"/>
        <color rgb="FFF8696B"/>
      </colorScale>
    </cfRule>
  </conditionalFormatting>
  <conditionalFormatting sqref="B24:AG24">
    <cfRule type="colorScale" priority="20">
      <colorScale>
        <cfvo type="min"/>
        <cfvo type="percentile" val="50"/>
        <cfvo type="max"/>
        <color rgb="FF63BE7B"/>
        <color rgb="FFFFEB84"/>
        <color rgb="FFF8696B"/>
      </colorScale>
    </cfRule>
  </conditionalFormatting>
  <conditionalFormatting sqref="C24:AG24">
    <cfRule type="colorScale" priority="21">
      <colorScale>
        <cfvo type="min"/>
        <cfvo type="percentile" val="50"/>
        <cfvo type="max"/>
        <color rgb="FF63BE7B"/>
        <color rgb="FFFFEB84"/>
        <color rgb="FFF8696B"/>
      </colorScale>
    </cfRule>
  </conditionalFormatting>
  <conditionalFormatting sqref="C21:AG21">
    <cfRule type="colorScale" priority="19">
      <colorScale>
        <cfvo type="min"/>
        <cfvo type="percentile" val="50"/>
        <cfvo type="max"/>
        <color rgb="FF63BE7B"/>
        <color rgb="FFFFEB84"/>
        <color rgb="FFF8696B"/>
      </colorScale>
    </cfRule>
  </conditionalFormatting>
  <conditionalFormatting sqref="C21 E21 G21 I21 K21 M21 O21 Q21 S21 U21 W21 Y21 AA21 AC21 AE21 AG21">
    <cfRule type="colorScale" priority="15">
      <colorScale>
        <cfvo type="min"/>
        <cfvo type="percentile" val="50"/>
        <cfvo type="max"/>
        <color rgb="FF63BE7B"/>
        <color rgb="FFFFEB84"/>
        <color rgb="FFF8696B"/>
      </colorScale>
    </cfRule>
  </conditionalFormatting>
  <conditionalFormatting sqref="C21 E21 G21 I21 K21 M21 O21 Q21 S21 U21 W21 Y21 AA21 AC21 AE21 AG21">
    <cfRule type="colorScale" priority="14">
      <colorScale>
        <cfvo type="min"/>
        <cfvo type="percentile" val="50"/>
        <cfvo type="max"/>
        <color rgb="FF63BE7B"/>
        <color rgb="FFFFEB84"/>
        <color rgb="FFF8696B"/>
      </colorScale>
    </cfRule>
  </conditionalFormatting>
  <conditionalFormatting sqref="AH20:BI20">
    <cfRule type="colorScale" priority="13">
      <colorScale>
        <cfvo type="min"/>
        <cfvo type="percentile" val="50"/>
        <cfvo type="max"/>
        <color rgb="FF63BE7B"/>
        <color rgb="FFFFEB84"/>
        <color rgb="FFF8696B"/>
      </colorScale>
    </cfRule>
  </conditionalFormatting>
  <conditionalFormatting sqref="C20:Q20">
    <cfRule type="colorScale" priority="12">
      <colorScale>
        <cfvo type="min"/>
        <cfvo type="percentile" val="50"/>
        <cfvo type="max"/>
        <color rgb="FF63BE7B"/>
        <color rgb="FFFFEB84"/>
        <color rgb="FFF8696B"/>
      </colorScale>
    </cfRule>
  </conditionalFormatting>
  <conditionalFormatting sqref="B20:Q20">
    <cfRule type="colorScale" priority="11">
      <colorScale>
        <cfvo type="min"/>
        <cfvo type="percentile" val="50"/>
        <cfvo type="max"/>
        <color rgb="FF63BE7B"/>
        <color rgb="FFFFEB84"/>
        <color rgb="FFF8696B"/>
      </colorScale>
    </cfRule>
  </conditionalFormatting>
  <conditionalFormatting sqref="B20:Q20">
    <cfRule type="colorScale" priority="10">
      <colorScale>
        <cfvo type="min"/>
        <cfvo type="percentile" val="50"/>
        <cfvo type="max"/>
        <color rgb="FF63BE7B"/>
        <color rgb="FFFFEB84"/>
        <color rgb="FFF8696B"/>
      </colorScale>
    </cfRule>
  </conditionalFormatting>
  <conditionalFormatting sqref="B20:Q20">
    <cfRule type="colorScale" priority="9">
      <colorScale>
        <cfvo type="min"/>
        <cfvo type="percentile" val="50"/>
        <cfvo type="max"/>
        <color rgb="FF63BE7B"/>
        <color rgb="FFFFEB84"/>
        <color rgb="FFF8696B"/>
      </colorScale>
    </cfRule>
  </conditionalFormatting>
  <conditionalFormatting sqref="C20:Q20">
    <cfRule type="colorScale" priority="8">
      <colorScale>
        <cfvo type="min"/>
        <cfvo type="percentile" val="50"/>
        <cfvo type="max"/>
        <color rgb="FF63BE7B"/>
        <color rgb="FFFFEB84"/>
        <color rgb="FFF8696B"/>
      </colorScale>
    </cfRule>
  </conditionalFormatting>
  <conditionalFormatting sqref="C20 E20 G20 I20 K20 M20 O20 Q20">
    <cfRule type="colorScale" priority="7">
      <colorScale>
        <cfvo type="min"/>
        <cfvo type="percentile" val="50"/>
        <cfvo type="max"/>
        <color rgb="FF63BE7B"/>
        <color rgb="FFFFEB84"/>
        <color rgb="FFF8696B"/>
      </colorScale>
    </cfRule>
  </conditionalFormatting>
  <conditionalFormatting sqref="C20 E20 G20 I20 K20 M20 O20 Q20">
    <cfRule type="colorScale" priority="6">
      <colorScale>
        <cfvo type="min"/>
        <cfvo type="percentile" val="50"/>
        <cfvo type="max"/>
        <color rgb="FF63BE7B"/>
        <color rgb="FFFFEB84"/>
        <color rgb="FFF8696B"/>
      </colorScale>
    </cfRule>
  </conditionalFormatting>
  <conditionalFormatting sqref="R20:AG20">
    <cfRule type="colorScale" priority="5">
      <colorScale>
        <cfvo type="min"/>
        <cfvo type="percentile" val="50"/>
        <cfvo type="max"/>
        <color rgb="FF63BE7B"/>
        <color rgb="FFFFEB84"/>
        <color rgb="FFF8696B"/>
      </colorScale>
    </cfRule>
  </conditionalFormatting>
  <conditionalFormatting sqref="R20:AG20">
    <cfRule type="colorScale" priority="4">
      <colorScale>
        <cfvo type="min"/>
        <cfvo type="percentile" val="50"/>
        <cfvo type="max"/>
        <color rgb="FF63BE7B"/>
        <color rgb="FFFFEB84"/>
        <color rgb="FFF8696B"/>
      </colorScale>
    </cfRule>
  </conditionalFormatting>
  <conditionalFormatting sqref="R20:AG20">
    <cfRule type="colorScale" priority="3">
      <colorScale>
        <cfvo type="min"/>
        <cfvo type="percentile" val="50"/>
        <cfvo type="max"/>
        <color rgb="FF63BE7B"/>
        <color rgb="FFFFEB84"/>
        <color rgb="FFF8696B"/>
      </colorScale>
    </cfRule>
  </conditionalFormatting>
  <conditionalFormatting sqref="B20:AG27">
    <cfRule type="colorScale" priority="2">
      <colorScale>
        <cfvo type="min"/>
        <cfvo type="percentile" val="50"/>
        <cfvo type="max"/>
        <color rgb="FF63BE7B"/>
        <color rgb="FFFFEB84"/>
        <color rgb="FFF8696B"/>
      </colorScale>
    </cfRule>
  </conditionalFormatting>
  <conditionalFormatting sqref="B30:AG37">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E4F6A-AC65-4422-86C8-EA14385DF504}">
  <sheetPr>
    <tabColor theme="8"/>
  </sheetPr>
  <dimension ref="A1:BI37"/>
  <sheetViews>
    <sheetView zoomScale="55" zoomScaleNormal="55" workbookViewId="0">
      <selection activeCell="H2" sqref="H2"/>
    </sheetView>
  </sheetViews>
  <sheetFormatPr defaultRowHeight="15.75" x14ac:dyDescent="0.25"/>
  <cols>
    <col min="1" max="1" width="5.7109375" style="20" customWidth="1"/>
    <col min="2" max="61" width="5.7109375" customWidth="1"/>
  </cols>
  <sheetData>
    <row r="1" spans="1:61" x14ac:dyDescent="0.25">
      <c r="A1" s="20">
        <v>0</v>
      </c>
      <c r="B1" s="20">
        <v>1</v>
      </c>
      <c r="C1" s="20">
        <v>2</v>
      </c>
      <c r="D1" s="20">
        <v>3</v>
      </c>
      <c r="E1" s="20">
        <v>4</v>
      </c>
      <c r="F1" s="20">
        <v>5</v>
      </c>
      <c r="G1" s="20">
        <v>6</v>
      </c>
      <c r="H1" s="20">
        <v>7</v>
      </c>
      <c r="I1" s="20">
        <v>8</v>
      </c>
      <c r="J1" s="20">
        <v>9</v>
      </c>
      <c r="K1" s="20">
        <v>10</v>
      </c>
      <c r="L1" s="20">
        <v>11</v>
      </c>
      <c r="M1" s="20">
        <v>12</v>
      </c>
      <c r="N1" s="20">
        <v>13</v>
      </c>
      <c r="O1" s="20">
        <v>14</v>
      </c>
      <c r="P1" s="20">
        <v>15</v>
      </c>
      <c r="Q1" s="20">
        <v>16</v>
      </c>
      <c r="R1" s="20">
        <v>17</v>
      </c>
      <c r="S1" s="20">
        <v>18</v>
      </c>
      <c r="T1" s="20">
        <v>19</v>
      </c>
      <c r="U1" s="20">
        <v>20</v>
      </c>
      <c r="V1" s="20">
        <v>21</v>
      </c>
      <c r="W1" s="20">
        <v>22</v>
      </c>
      <c r="X1" s="20">
        <v>23</v>
      </c>
      <c r="Y1" s="20">
        <v>24</v>
      </c>
      <c r="Z1" s="20">
        <v>25</v>
      </c>
      <c r="AA1" s="20">
        <v>26</v>
      </c>
      <c r="AB1" s="20">
        <v>27</v>
      </c>
      <c r="AC1" s="20">
        <v>28</v>
      </c>
      <c r="AD1" s="20">
        <v>29</v>
      </c>
      <c r="AE1" s="20">
        <v>30</v>
      </c>
      <c r="AF1" s="20">
        <v>31</v>
      </c>
      <c r="AG1" s="20">
        <v>32</v>
      </c>
      <c r="AH1" s="20">
        <v>33</v>
      </c>
      <c r="AI1" s="20">
        <v>34</v>
      </c>
      <c r="AJ1" s="20">
        <v>35</v>
      </c>
      <c r="AK1" s="20">
        <v>36</v>
      </c>
      <c r="AL1" s="20">
        <v>37</v>
      </c>
      <c r="AM1" s="20">
        <v>38</v>
      </c>
      <c r="AN1" s="20">
        <v>39</v>
      </c>
      <c r="AO1" s="20">
        <v>40</v>
      </c>
      <c r="AP1" s="20">
        <v>41</v>
      </c>
      <c r="AQ1" s="20">
        <v>42</v>
      </c>
      <c r="AR1" s="20">
        <v>43</v>
      </c>
      <c r="AS1" s="20">
        <v>44</v>
      </c>
      <c r="AT1" s="20">
        <v>45</v>
      </c>
      <c r="AU1" s="20">
        <v>46</v>
      </c>
      <c r="AV1" s="20">
        <v>47</v>
      </c>
      <c r="AW1" s="20">
        <v>48</v>
      </c>
      <c r="AX1" s="20">
        <v>49</v>
      </c>
      <c r="AY1" s="20">
        <v>50</v>
      </c>
      <c r="AZ1" s="20">
        <v>51</v>
      </c>
      <c r="BA1" s="20">
        <v>52</v>
      </c>
      <c r="BB1" s="20">
        <v>53</v>
      </c>
      <c r="BC1" s="20">
        <v>54</v>
      </c>
      <c r="BD1" s="20">
        <v>55</v>
      </c>
      <c r="BE1" s="20">
        <v>56</v>
      </c>
      <c r="BF1" s="20">
        <v>57</v>
      </c>
      <c r="BG1" s="20">
        <v>58</v>
      </c>
      <c r="BH1" s="20">
        <v>59</v>
      </c>
      <c r="BI1" s="20">
        <v>60</v>
      </c>
    </row>
    <row r="2" spans="1:61" x14ac:dyDescent="0.25">
      <c r="A2" s="20">
        <v>1</v>
      </c>
      <c r="B2" t="str">
        <f>"0x" &amp; DEC2HEX('(橫掃)add 逗號'!B2) &amp; ","</f>
        <v>0x0,</v>
      </c>
      <c r="C2" t="str">
        <f>"0x" &amp; DEC2HEX('(橫掃)add 逗號'!C2) &amp; ","</f>
        <v>0x1,</v>
      </c>
      <c r="D2" t="str">
        <f>"0x" &amp; DEC2HEX('(橫掃)add 逗號'!D2) &amp; ","</f>
        <v>0x2,</v>
      </c>
      <c r="E2" t="str">
        <f>"0x" &amp; DEC2HEX('(橫掃)add 逗號'!E2) &amp; ","</f>
        <v>0x3,</v>
      </c>
      <c r="F2" t="str">
        <f>"0x" &amp; DEC2HEX('(橫掃)add 逗號'!F2) &amp; ","</f>
        <v>0x4,</v>
      </c>
      <c r="G2" t="str">
        <f>"0x" &amp; DEC2HEX('(橫掃)add 逗號'!G2) &amp; ","</f>
        <v>0x5,</v>
      </c>
      <c r="H2" t="str">
        <f>"0x" &amp; DEC2HEX('(橫掃)add 逗號'!H2) &amp; ","</f>
        <v>0x6,</v>
      </c>
      <c r="I2" t="str">
        <f>"0x" &amp; DEC2HEX('(橫掃)add 逗號'!I2) &amp; ","</f>
        <v>0x7,</v>
      </c>
      <c r="J2" t="str">
        <f>"0x" &amp; DEC2HEX('(橫掃)add 逗號'!J2) &amp; ","</f>
        <v>0x8,</v>
      </c>
      <c r="K2" t="str">
        <f>"0x" &amp; DEC2HEX('(橫掃)add 逗號'!K2) &amp; ","</f>
        <v>0x9,</v>
      </c>
      <c r="L2" t="str">
        <f>"0x" &amp; DEC2HEX('(橫掃)add 逗號'!L2) &amp; ","</f>
        <v>0xA,</v>
      </c>
      <c r="M2" t="str">
        <f>"0x" &amp; DEC2HEX('(橫掃)add 逗號'!M2) &amp; ","</f>
        <v>0xB,</v>
      </c>
      <c r="N2" t="str">
        <f>"0x" &amp; DEC2HEX('(橫掃)add 逗號'!N2) &amp; ","</f>
        <v>0xC,</v>
      </c>
      <c r="O2" t="str">
        <f>"0x" &amp; DEC2HEX('(橫掃)add 逗號'!O2) &amp; ","</f>
        <v>0xD,</v>
      </c>
      <c r="P2" t="str">
        <f>"0x" &amp; DEC2HEX('(橫掃)add 逗號'!P2) &amp; ","</f>
        <v>0xE,</v>
      </c>
      <c r="Q2" t="str">
        <f>"0x" &amp; DEC2HEX('(橫掃)add 逗號'!Q2) &amp; ","</f>
        <v>0xF,</v>
      </c>
      <c r="R2" t="str">
        <f>"0x" &amp; DEC2HEX('(橫掃)add 逗號'!R2) &amp; ","</f>
        <v>0x10,</v>
      </c>
      <c r="S2" t="str">
        <f>"0x" &amp; DEC2HEX('(橫掃)add 逗號'!S2) &amp; ","</f>
        <v>0x11,</v>
      </c>
      <c r="T2" t="str">
        <f>"0x" &amp; DEC2HEX('(橫掃)add 逗號'!T2) &amp; ","</f>
        <v>0x12,</v>
      </c>
      <c r="U2" t="str">
        <f>"0x" &amp; DEC2HEX('(橫掃)add 逗號'!U2) &amp; ","</f>
        <v>0x13,</v>
      </c>
      <c r="V2" t="str">
        <f>"0x" &amp; DEC2HEX('(橫掃)add 逗號'!V2) &amp; ","</f>
        <v>0x14,</v>
      </c>
      <c r="W2" t="str">
        <f>"0x" &amp; DEC2HEX('(橫掃)add 逗號'!W2) &amp; ","</f>
        <v>0x15,</v>
      </c>
      <c r="X2" t="str">
        <f>"0x" &amp; DEC2HEX('(橫掃)add 逗號'!X2) &amp; ","</f>
        <v>0x16,</v>
      </c>
      <c r="Y2" t="str">
        <f>"0x" &amp; DEC2HEX('(橫掃)add 逗號'!Y2) &amp; ","</f>
        <v>0x17,</v>
      </c>
      <c r="Z2" t="str">
        <f>"0x" &amp; DEC2HEX('(橫掃)add 逗號'!Z2) &amp; ","</f>
        <v>0x18,</v>
      </c>
      <c r="AA2" t="str">
        <f>"0x" &amp; DEC2HEX('(橫掃)add 逗號'!AA2) &amp; ","</f>
        <v>0x19,</v>
      </c>
      <c r="AB2" t="str">
        <f>"0x" &amp; DEC2HEX('(橫掃)add 逗號'!AB2) &amp; ","</f>
        <v>0x1A,</v>
      </c>
      <c r="AC2" t="str">
        <f>"0x" &amp; DEC2HEX('(橫掃)add 逗號'!AC2) &amp; ","</f>
        <v>0x1B,</v>
      </c>
      <c r="AD2" t="str">
        <f>"0x" &amp; DEC2HEX('(橫掃)add 逗號'!AD2) &amp; ","</f>
        <v>0x1C,</v>
      </c>
      <c r="AE2" t="str">
        <f>"0x" &amp; DEC2HEX('(橫掃)add 逗號'!AE2) &amp; ","</f>
        <v>0x1D,</v>
      </c>
      <c r="AF2" t="str">
        <f>"0x" &amp; DEC2HEX('(橫掃)add 逗號'!AF2) &amp; ","</f>
        <v>0x1E,</v>
      </c>
      <c r="AG2" t="str">
        <f>"0x" &amp; DEC2HEX('(橫掃)add 逗號'!AG2) &amp; ","</f>
        <v>0x1F,</v>
      </c>
    </row>
    <row r="3" spans="1:61" x14ac:dyDescent="0.25">
      <c r="A3" s="20">
        <v>2</v>
      </c>
      <c r="B3" t="str">
        <f>"0x" &amp; DEC2HEX('(橫掃)add 逗號'!B3) &amp; ","</f>
        <v>0x20,</v>
      </c>
      <c r="C3" t="str">
        <f>"0x" &amp; DEC2HEX('(橫掃)add 逗號'!C3) &amp; ","</f>
        <v>0x21,</v>
      </c>
      <c r="D3" t="str">
        <f>"0x" &amp; DEC2HEX('(橫掃)add 逗號'!D3) &amp; ","</f>
        <v>0x22,</v>
      </c>
      <c r="E3" t="str">
        <f>"0x" &amp; DEC2HEX('(橫掃)add 逗號'!E3) &amp; ","</f>
        <v>0x23,</v>
      </c>
      <c r="F3" t="str">
        <f>"0x" &amp; DEC2HEX('(橫掃)add 逗號'!F3) &amp; ","</f>
        <v>0x24,</v>
      </c>
      <c r="G3" t="str">
        <f>"0x" &amp; DEC2HEX('(橫掃)add 逗號'!G3) &amp; ","</f>
        <v>0x25,</v>
      </c>
      <c r="H3" t="str">
        <f>"0x" &amp; DEC2HEX('(橫掃)add 逗號'!H3) &amp; ","</f>
        <v>0x26,</v>
      </c>
      <c r="I3" t="str">
        <f>"0x" &amp; DEC2HEX('(橫掃)add 逗號'!I3) &amp; ","</f>
        <v>0x27,</v>
      </c>
      <c r="J3" t="str">
        <f>"0x" &amp; DEC2HEX('(橫掃)add 逗號'!J3) &amp; ","</f>
        <v>0x28,</v>
      </c>
      <c r="K3" t="str">
        <f>"0x" &amp; DEC2HEX('(橫掃)add 逗號'!K3) &amp; ","</f>
        <v>0x29,</v>
      </c>
      <c r="L3" t="str">
        <f>"0x" &amp; DEC2HEX('(橫掃)add 逗號'!L3) &amp; ","</f>
        <v>0x2A,</v>
      </c>
      <c r="M3" t="str">
        <f>"0x" &amp; DEC2HEX('(橫掃)add 逗號'!M3) &amp; ","</f>
        <v>0x2B,</v>
      </c>
      <c r="N3" t="str">
        <f>"0x" &amp; DEC2HEX('(橫掃)add 逗號'!N3) &amp; ","</f>
        <v>0x2C,</v>
      </c>
      <c r="O3" t="str">
        <f>"0x" &amp; DEC2HEX('(橫掃)add 逗號'!O3) &amp; ","</f>
        <v>0x2D,</v>
      </c>
      <c r="P3" t="str">
        <f>"0x" &amp; DEC2HEX('(橫掃)add 逗號'!P3) &amp; ","</f>
        <v>0x2E,</v>
      </c>
      <c r="Q3" t="str">
        <f>"0x" &amp; DEC2HEX('(橫掃)add 逗號'!Q3) &amp; ","</f>
        <v>0x2F,</v>
      </c>
      <c r="R3" t="str">
        <f>"0x" &amp; DEC2HEX('(橫掃)add 逗號'!R3) &amp; ","</f>
        <v>0x30,</v>
      </c>
      <c r="S3" t="str">
        <f>"0x" &amp; DEC2HEX('(橫掃)add 逗號'!S3) &amp; ","</f>
        <v>0x31,</v>
      </c>
      <c r="T3" t="str">
        <f>"0x" &amp; DEC2HEX('(橫掃)add 逗號'!T3) &amp; ","</f>
        <v>0x32,</v>
      </c>
      <c r="U3" t="str">
        <f>"0x" &amp; DEC2HEX('(橫掃)add 逗號'!U3) &amp; ","</f>
        <v>0x33,</v>
      </c>
      <c r="V3" t="str">
        <f>"0x" &amp; DEC2HEX('(橫掃)add 逗號'!V3) &amp; ","</f>
        <v>0x34,</v>
      </c>
      <c r="W3" t="str">
        <f>"0x" &amp; DEC2HEX('(橫掃)add 逗號'!W3) &amp; ","</f>
        <v>0x35,</v>
      </c>
      <c r="X3" t="str">
        <f>"0x" &amp; DEC2HEX('(橫掃)add 逗號'!X3) &amp; ","</f>
        <v>0x36,</v>
      </c>
      <c r="Y3" t="str">
        <f>"0x" &amp; DEC2HEX('(橫掃)add 逗號'!Y3) &amp; ","</f>
        <v>0x37,</v>
      </c>
      <c r="Z3" t="str">
        <f>"0x" &amp; DEC2HEX('(橫掃)add 逗號'!Z3) &amp; ","</f>
        <v>0x38,</v>
      </c>
      <c r="AA3" t="str">
        <f>"0x" &amp; DEC2HEX('(橫掃)add 逗號'!AA3) &amp; ","</f>
        <v>0x39,</v>
      </c>
      <c r="AB3" t="str">
        <f>"0x" &amp; DEC2HEX('(橫掃)add 逗號'!AB3) &amp; ","</f>
        <v>0x3A,</v>
      </c>
      <c r="AC3" t="str">
        <f>"0x" &amp; DEC2HEX('(橫掃)add 逗號'!AC3) &amp; ","</f>
        <v>0x3B,</v>
      </c>
      <c r="AD3" t="str">
        <f>"0x" &amp; DEC2HEX('(橫掃)add 逗號'!AD3) &amp; ","</f>
        <v>0x3C,</v>
      </c>
      <c r="AE3" t="str">
        <f>"0x" &amp; DEC2HEX('(橫掃)add 逗號'!AE3) &amp; ","</f>
        <v>0x3D,</v>
      </c>
      <c r="AF3" t="str">
        <f>"0x" &amp; DEC2HEX('(橫掃)add 逗號'!AF3) &amp; ","</f>
        <v>0x3E,</v>
      </c>
      <c r="AG3" t="str">
        <f>"0x" &amp; DEC2HEX('(橫掃)add 逗號'!AG3) &amp; ","</f>
        <v>0x3F,</v>
      </c>
    </row>
    <row r="4" spans="1:61" x14ac:dyDescent="0.25">
      <c r="A4" s="20">
        <v>3</v>
      </c>
      <c r="B4" t="str">
        <f>"0x" &amp; DEC2HEX('(橫掃)add 逗號'!B4) &amp; ","</f>
        <v>0x40,</v>
      </c>
      <c r="C4" t="str">
        <f>"0x" &amp; DEC2HEX('(橫掃)add 逗號'!C4) &amp; ","</f>
        <v>0x41,</v>
      </c>
      <c r="D4" t="str">
        <f>"0x" &amp; DEC2HEX('(橫掃)add 逗號'!D4) &amp; ","</f>
        <v>0x42,</v>
      </c>
      <c r="E4" t="str">
        <f>"0x" &amp; DEC2HEX('(橫掃)add 逗號'!E4) &amp; ","</f>
        <v>0x43,</v>
      </c>
      <c r="F4" t="str">
        <f>"0x" &amp; DEC2HEX('(橫掃)add 逗號'!F4) &amp; ","</f>
        <v>0x44,</v>
      </c>
      <c r="G4" t="str">
        <f>"0x" &amp; DEC2HEX('(橫掃)add 逗號'!G4) &amp; ","</f>
        <v>0x45,</v>
      </c>
      <c r="H4" t="str">
        <f>"0x" &amp; DEC2HEX('(橫掃)add 逗號'!H4) &amp; ","</f>
        <v>0x46,</v>
      </c>
      <c r="I4" t="str">
        <f>"0x" &amp; DEC2HEX('(橫掃)add 逗號'!I4) &amp; ","</f>
        <v>0x47,</v>
      </c>
      <c r="J4" t="str">
        <f>"0x" &amp; DEC2HEX('(橫掃)add 逗號'!J4) &amp; ","</f>
        <v>0x48,</v>
      </c>
      <c r="K4" t="str">
        <f>"0x" &amp; DEC2HEX('(橫掃)add 逗號'!K4) &amp; ","</f>
        <v>0x49,</v>
      </c>
      <c r="L4" t="str">
        <f>"0x" &amp; DEC2HEX('(橫掃)add 逗號'!L4) &amp; ","</f>
        <v>0x4A,</v>
      </c>
      <c r="M4" t="str">
        <f>"0x" &amp; DEC2HEX('(橫掃)add 逗號'!M4) &amp; ","</f>
        <v>0x4B,</v>
      </c>
      <c r="N4" t="str">
        <f>"0x" &amp; DEC2HEX('(橫掃)add 逗號'!N4) &amp; ","</f>
        <v>0x4C,</v>
      </c>
      <c r="O4" t="str">
        <f>"0x" &amp; DEC2HEX('(橫掃)add 逗號'!O4) &amp; ","</f>
        <v>0x4D,</v>
      </c>
      <c r="P4" t="str">
        <f>"0x" &amp; DEC2HEX('(橫掃)add 逗號'!P4) &amp; ","</f>
        <v>0x4E,</v>
      </c>
      <c r="Q4" t="str">
        <f>"0x" &amp; DEC2HEX('(橫掃)add 逗號'!Q4) &amp; ","</f>
        <v>0x4F,</v>
      </c>
      <c r="R4" t="str">
        <f>"0x" &amp; DEC2HEX('(橫掃)add 逗號'!R4) &amp; ","</f>
        <v>0x50,</v>
      </c>
      <c r="S4" t="str">
        <f>"0x" &amp; DEC2HEX('(橫掃)add 逗號'!S4) &amp; ","</f>
        <v>0x51,</v>
      </c>
      <c r="T4" t="str">
        <f>"0x" &amp; DEC2HEX('(橫掃)add 逗號'!T4) &amp; ","</f>
        <v>0x52,</v>
      </c>
      <c r="U4" t="str">
        <f>"0x" &amp; DEC2HEX('(橫掃)add 逗號'!U4) &amp; ","</f>
        <v>0x53,</v>
      </c>
      <c r="V4" t="str">
        <f>"0x" &amp; DEC2HEX('(橫掃)add 逗號'!V4) &amp; ","</f>
        <v>0x54,</v>
      </c>
      <c r="W4" t="str">
        <f>"0x" &amp; DEC2HEX('(橫掃)add 逗號'!W4) &amp; ","</f>
        <v>0x55,</v>
      </c>
      <c r="X4" t="str">
        <f>"0x" &amp; DEC2HEX('(橫掃)add 逗號'!X4) &amp; ","</f>
        <v>0x56,</v>
      </c>
      <c r="Y4" t="str">
        <f>"0x" &amp; DEC2HEX('(橫掃)add 逗號'!Y4) &amp; ","</f>
        <v>0x57,</v>
      </c>
      <c r="Z4" t="str">
        <f>"0x" &amp; DEC2HEX('(橫掃)add 逗號'!Z4) &amp; ","</f>
        <v>0x58,</v>
      </c>
      <c r="AA4" t="str">
        <f>"0x" &amp; DEC2HEX('(橫掃)add 逗號'!AA4) &amp; ","</f>
        <v>0x59,</v>
      </c>
      <c r="AB4" t="str">
        <f>"0x" &amp; DEC2HEX('(橫掃)add 逗號'!AB4) &amp; ","</f>
        <v>0x5A,</v>
      </c>
      <c r="AC4" t="str">
        <f>"0x" &amp; DEC2HEX('(橫掃)add 逗號'!AC4) &amp; ","</f>
        <v>0x5B,</v>
      </c>
      <c r="AD4" t="str">
        <f>"0x" &amp; DEC2HEX('(橫掃)add 逗號'!AD4) &amp; ","</f>
        <v>0x5C,</v>
      </c>
      <c r="AE4" t="str">
        <f>"0x" &amp; DEC2HEX('(橫掃)add 逗號'!AE4) &amp; ","</f>
        <v>0x5D,</v>
      </c>
      <c r="AF4" t="str">
        <f>"0x" &amp; DEC2HEX('(橫掃)add 逗號'!AF4) &amp; ","</f>
        <v>0x5E,</v>
      </c>
      <c r="AG4" t="str">
        <f>"0x" &amp; DEC2HEX('(橫掃)add 逗號'!AG4) &amp; ","</f>
        <v>0x5F,</v>
      </c>
    </row>
    <row r="5" spans="1:61" x14ac:dyDescent="0.25">
      <c r="A5" s="20">
        <v>4</v>
      </c>
      <c r="B5" t="str">
        <f>"0x" &amp; DEC2HEX('(橫掃)add 逗號'!B5) &amp; ","</f>
        <v>0x60,</v>
      </c>
      <c r="C5" t="str">
        <f>"0x" &amp; DEC2HEX('(橫掃)add 逗號'!C5) &amp; ","</f>
        <v>0x61,</v>
      </c>
      <c r="D5" t="str">
        <f>"0x" &amp; DEC2HEX('(橫掃)add 逗號'!D5) &amp; ","</f>
        <v>0x62,</v>
      </c>
      <c r="E5" t="str">
        <f>"0x" &amp; DEC2HEX('(橫掃)add 逗號'!E5) &amp; ","</f>
        <v>0x63,</v>
      </c>
      <c r="F5" t="str">
        <f>"0x" &amp; DEC2HEX('(橫掃)add 逗號'!F5) &amp; ","</f>
        <v>0x64,</v>
      </c>
      <c r="G5" t="str">
        <f>"0x" &amp; DEC2HEX('(橫掃)add 逗號'!G5) &amp; ","</f>
        <v>0x65,</v>
      </c>
      <c r="H5" t="str">
        <f>"0x" &amp; DEC2HEX('(橫掃)add 逗號'!H5) &amp; ","</f>
        <v>0x66,</v>
      </c>
      <c r="I5" t="str">
        <f>"0x" &amp; DEC2HEX('(橫掃)add 逗號'!I5) &amp; ","</f>
        <v>0x67,</v>
      </c>
      <c r="J5" t="str">
        <f>"0x" &amp; DEC2HEX('(橫掃)add 逗號'!J5) &amp; ","</f>
        <v>0x68,</v>
      </c>
      <c r="K5" t="str">
        <f>"0x" &amp; DEC2HEX('(橫掃)add 逗號'!K5) &amp; ","</f>
        <v>0x69,</v>
      </c>
      <c r="L5" t="str">
        <f>"0x" &amp; DEC2HEX('(橫掃)add 逗號'!L5) &amp; ","</f>
        <v>0x6A,</v>
      </c>
      <c r="M5" t="str">
        <f>"0x" &amp; DEC2HEX('(橫掃)add 逗號'!M5) &amp; ","</f>
        <v>0x6B,</v>
      </c>
      <c r="N5" t="str">
        <f>"0x" &amp; DEC2HEX('(橫掃)add 逗號'!N5) &amp; ","</f>
        <v>0x6C,</v>
      </c>
      <c r="O5" t="str">
        <f>"0x" &amp; DEC2HEX('(橫掃)add 逗號'!O5) &amp; ","</f>
        <v>0x6D,</v>
      </c>
      <c r="P5" t="str">
        <f>"0x" &amp; DEC2HEX('(橫掃)add 逗號'!P5) &amp; ","</f>
        <v>0x6E,</v>
      </c>
      <c r="Q5" t="str">
        <f>"0x" &amp; DEC2HEX('(橫掃)add 逗號'!Q5) &amp; ","</f>
        <v>0x6F,</v>
      </c>
      <c r="R5" t="str">
        <f>"0x" &amp; DEC2HEX('(橫掃)add 逗號'!R5) &amp; ","</f>
        <v>0x70,</v>
      </c>
      <c r="S5" t="str">
        <f>"0x" &amp; DEC2HEX('(橫掃)add 逗號'!S5) &amp; ","</f>
        <v>0x71,</v>
      </c>
      <c r="T5" t="str">
        <f>"0x" &amp; DEC2HEX('(橫掃)add 逗號'!T5) &amp; ","</f>
        <v>0x72,</v>
      </c>
      <c r="U5" t="str">
        <f>"0x" &amp; DEC2HEX('(橫掃)add 逗號'!U5) &amp; ","</f>
        <v>0x73,</v>
      </c>
      <c r="V5" t="str">
        <f>"0x" &amp; DEC2HEX('(橫掃)add 逗號'!V5) &amp; ","</f>
        <v>0x74,</v>
      </c>
      <c r="W5" t="str">
        <f>"0x" &amp; DEC2HEX('(橫掃)add 逗號'!W5) &amp; ","</f>
        <v>0x75,</v>
      </c>
      <c r="X5" t="str">
        <f>"0x" &amp; DEC2HEX('(橫掃)add 逗號'!X5) &amp; ","</f>
        <v>0x76,</v>
      </c>
      <c r="Y5" t="str">
        <f>"0x" &amp; DEC2HEX('(橫掃)add 逗號'!Y5) &amp; ","</f>
        <v>0x77,</v>
      </c>
      <c r="Z5" t="str">
        <f>"0x" &amp; DEC2HEX('(橫掃)add 逗號'!Z5) &amp; ","</f>
        <v>0x77,</v>
      </c>
      <c r="AA5" t="str">
        <f>"0x" &amp; DEC2HEX('(橫掃)add 逗號'!AA5) &amp; ","</f>
        <v>0x76,</v>
      </c>
      <c r="AB5" t="str">
        <f>"0x" &amp; DEC2HEX('(橫掃)add 逗號'!AB5) &amp; ","</f>
        <v>0x75,</v>
      </c>
      <c r="AC5" t="str">
        <f>"0x" &amp; DEC2HEX('(橫掃)add 逗號'!AC5) &amp; ","</f>
        <v>0x74,</v>
      </c>
      <c r="AD5" t="str">
        <f>"0x" &amp; DEC2HEX('(橫掃)add 逗號'!AD5) &amp; ","</f>
        <v>0x73,</v>
      </c>
      <c r="AE5" t="str">
        <f>"0x" &amp; DEC2HEX('(橫掃)add 逗號'!AE5) &amp; ","</f>
        <v>0x72,</v>
      </c>
      <c r="AF5" t="str">
        <f>"0x" &amp; DEC2HEX('(橫掃)add 逗號'!AF5) &amp; ","</f>
        <v>0x71,</v>
      </c>
      <c r="AG5" t="str">
        <f>"0x" &amp; DEC2HEX('(橫掃)add 逗號'!AG5) &amp; ","</f>
        <v>0x70,</v>
      </c>
    </row>
    <row r="6" spans="1:61" x14ac:dyDescent="0.25">
      <c r="A6" s="20">
        <v>5</v>
      </c>
      <c r="B6" t="str">
        <f>"0x" &amp; DEC2HEX('(橫掃)add 逗號'!B6) &amp; ","</f>
        <v>0x6F,</v>
      </c>
      <c r="C6" t="str">
        <f>"0x" &amp; DEC2HEX('(橫掃)add 逗號'!C6) &amp; ","</f>
        <v>0x6E,</v>
      </c>
      <c r="D6" t="str">
        <f>"0x" &amp; DEC2HEX('(橫掃)add 逗號'!D6) &amp; ","</f>
        <v>0x6D,</v>
      </c>
      <c r="E6" t="str">
        <f>"0x" &amp; DEC2HEX('(橫掃)add 逗號'!E6) &amp; ","</f>
        <v>0x6C,</v>
      </c>
      <c r="F6" t="str">
        <f>"0x" &amp; DEC2HEX('(橫掃)add 逗號'!F6) &amp; ","</f>
        <v>0x6B,</v>
      </c>
      <c r="G6" t="str">
        <f>"0x" &amp; DEC2HEX('(橫掃)add 逗號'!G6) &amp; ","</f>
        <v>0x6A,</v>
      </c>
      <c r="H6" t="str">
        <f>"0x" &amp; DEC2HEX('(橫掃)add 逗號'!H6) &amp; ","</f>
        <v>0x69,</v>
      </c>
      <c r="I6" t="str">
        <f>"0x" &amp; DEC2HEX('(橫掃)add 逗號'!I6) &amp; ","</f>
        <v>0x68,</v>
      </c>
      <c r="J6" t="str">
        <f>"0x" &amp; DEC2HEX('(橫掃)add 逗號'!J6) &amp; ","</f>
        <v>0x67,</v>
      </c>
      <c r="K6" t="str">
        <f>"0x" &amp; DEC2HEX('(橫掃)add 逗號'!K6) &amp; ","</f>
        <v>0x66,</v>
      </c>
      <c r="L6" t="str">
        <f>"0x" &amp; DEC2HEX('(橫掃)add 逗號'!L6) &amp; ","</f>
        <v>0x65,</v>
      </c>
      <c r="M6" t="str">
        <f>"0x" &amp; DEC2HEX('(橫掃)add 逗號'!M6) &amp; ","</f>
        <v>0x64,</v>
      </c>
      <c r="N6" t="str">
        <f>"0x" &amp; DEC2HEX('(橫掃)add 逗號'!N6) &amp; ","</f>
        <v>0x63,</v>
      </c>
      <c r="O6" t="str">
        <f>"0x" &amp; DEC2HEX('(橫掃)add 逗號'!O6) &amp; ","</f>
        <v>0x62,</v>
      </c>
      <c r="P6" t="str">
        <f>"0x" &amp; DEC2HEX('(橫掃)add 逗號'!P6) &amp; ","</f>
        <v>0x61,</v>
      </c>
      <c r="Q6" t="str">
        <f>"0x" &amp; DEC2HEX('(橫掃)add 逗號'!Q6) &amp; ","</f>
        <v>0x60,</v>
      </c>
      <c r="R6" t="str">
        <f>"0x" &amp; DEC2HEX('(橫掃)add 逗號'!R6) &amp; ","</f>
        <v>0x5F,</v>
      </c>
      <c r="S6" t="str">
        <f>"0x" &amp; DEC2HEX('(橫掃)add 逗號'!S6) &amp; ","</f>
        <v>0x5E,</v>
      </c>
      <c r="T6" t="str">
        <f>"0x" &amp; DEC2HEX('(橫掃)add 逗號'!T6) &amp; ","</f>
        <v>0x5D,</v>
      </c>
      <c r="U6" t="str">
        <f>"0x" &amp; DEC2HEX('(橫掃)add 逗號'!U6) &amp; ","</f>
        <v>0x5C,</v>
      </c>
      <c r="V6" t="str">
        <f>"0x" &amp; DEC2HEX('(橫掃)add 逗號'!V6) &amp; ","</f>
        <v>0x5B,</v>
      </c>
      <c r="W6" t="str">
        <f>"0x" &amp; DEC2HEX('(橫掃)add 逗號'!W6) &amp; ","</f>
        <v>0x5A,</v>
      </c>
      <c r="X6" t="str">
        <f>"0x" &amp; DEC2HEX('(橫掃)add 逗號'!X6) &amp; ","</f>
        <v>0x59,</v>
      </c>
      <c r="Y6" t="str">
        <f>"0x" &amp; DEC2HEX('(橫掃)add 逗號'!Y6) &amp; ","</f>
        <v>0x58,</v>
      </c>
      <c r="Z6" t="str">
        <f>"0x" &amp; DEC2HEX('(橫掃)add 逗號'!Z6) &amp; ","</f>
        <v>0x57,</v>
      </c>
      <c r="AA6" t="str">
        <f>"0x" &amp; DEC2HEX('(橫掃)add 逗號'!AA6) &amp; ","</f>
        <v>0x56,</v>
      </c>
      <c r="AB6" t="str">
        <f>"0x" &amp; DEC2HEX('(橫掃)add 逗號'!AB6) &amp; ","</f>
        <v>0x55,</v>
      </c>
      <c r="AC6" t="str">
        <f>"0x" &amp; DEC2HEX('(橫掃)add 逗號'!AC6) &amp; ","</f>
        <v>0x54,</v>
      </c>
      <c r="AD6" t="str">
        <f>"0x" &amp; DEC2HEX('(橫掃)add 逗號'!AD6) &amp; ","</f>
        <v>0x53,</v>
      </c>
      <c r="AE6" t="str">
        <f>"0x" &amp; DEC2HEX('(橫掃)add 逗號'!AE6) &amp; ","</f>
        <v>0x52,</v>
      </c>
      <c r="AF6" t="str">
        <f>"0x" &amp; DEC2HEX('(橫掃)add 逗號'!AF6) &amp; ","</f>
        <v>0x51,</v>
      </c>
      <c r="AG6" t="str">
        <f>"0x" &amp; DEC2HEX('(橫掃)add 逗號'!AG6) &amp; ","</f>
        <v>0x50,</v>
      </c>
    </row>
    <row r="7" spans="1:61" x14ac:dyDescent="0.25">
      <c r="A7" s="20">
        <v>6</v>
      </c>
      <c r="B7" t="str">
        <f>"0x" &amp; DEC2HEX('(橫掃)add 逗號'!B7) &amp; ","</f>
        <v>0x4F,</v>
      </c>
      <c r="C7" t="str">
        <f>"0x" &amp; DEC2HEX('(橫掃)add 逗號'!C7) &amp; ","</f>
        <v>0x4E,</v>
      </c>
      <c r="D7" t="str">
        <f>"0x" &amp; DEC2HEX('(橫掃)add 逗號'!D7) &amp; ","</f>
        <v>0x4D,</v>
      </c>
      <c r="E7" t="str">
        <f>"0x" &amp; DEC2HEX('(橫掃)add 逗號'!E7) &amp; ","</f>
        <v>0x4C,</v>
      </c>
      <c r="F7" t="str">
        <f>"0x" &amp; DEC2HEX('(橫掃)add 逗號'!F7) &amp; ","</f>
        <v>0x4B,</v>
      </c>
      <c r="G7" t="str">
        <f>"0x" &amp; DEC2HEX('(橫掃)add 逗號'!G7) &amp; ","</f>
        <v>0x4A,</v>
      </c>
      <c r="H7" t="str">
        <f>"0x" &amp; DEC2HEX('(橫掃)add 逗號'!H7) &amp; ","</f>
        <v>0x49,</v>
      </c>
      <c r="I7" t="str">
        <f>"0x" &amp; DEC2HEX('(橫掃)add 逗號'!I7) &amp; ","</f>
        <v>0x48,</v>
      </c>
      <c r="J7" t="str">
        <f>"0x" &amp; DEC2HEX('(橫掃)add 逗號'!J7) &amp; ","</f>
        <v>0x47,</v>
      </c>
      <c r="K7" t="str">
        <f>"0x" &amp; DEC2HEX('(橫掃)add 逗號'!K7) &amp; ","</f>
        <v>0x46,</v>
      </c>
      <c r="L7" t="str">
        <f>"0x" &amp; DEC2HEX('(橫掃)add 逗號'!L7) &amp; ","</f>
        <v>0x45,</v>
      </c>
      <c r="M7" t="str">
        <f>"0x" &amp; DEC2HEX('(橫掃)add 逗號'!M7) &amp; ","</f>
        <v>0x44,</v>
      </c>
      <c r="N7" t="str">
        <f>"0x" &amp; DEC2HEX('(橫掃)add 逗號'!N7) &amp; ","</f>
        <v>0x43,</v>
      </c>
      <c r="O7" t="str">
        <f>"0x" &amp; DEC2HEX('(橫掃)add 逗號'!O7) &amp; ","</f>
        <v>0x42,</v>
      </c>
      <c r="P7" t="str">
        <f>"0x" &amp; DEC2HEX('(橫掃)add 逗號'!P7) &amp; ","</f>
        <v>0x41,</v>
      </c>
      <c r="Q7" t="str">
        <f>"0x" &amp; DEC2HEX('(橫掃)add 逗號'!Q7) &amp; ","</f>
        <v>0x40,</v>
      </c>
      <c r="R7" t="str">
        <f>"0x" &amp; DEC2HEX('(橫掃)add 逗號'!R7) &amp; ","</f>
        <v>0x3F,</v>
      </c>
      <c r="S7" t="str">
        <f>"0x" &amp; DEC2HEX('(橫掃)add 逗號'!S7) &amp; ","</f>
        <v>0x3E,</v>
      </c>
      <c r="T7" t="str">
        <f>"0x" &amp; DEC2HEX('(橫掃)add 逗號'!T7) &amp; ","</f>
        <v>0x3D,</v>
      </c>
      <c r="U7" t="str">
        <f>"0x" &amp; DEC2HEX('(橫掃)add 逗號'!U7) &amp; ","</f>
        <v>0x3C,</v>
      </c>
      <c r="V7" t="str">
        <f>"0x" &amp; DEC2HEX('(橫掃)add 逗號'!V7) &amp; ","</f>
        <v>0x3B,</v>
      </c>
      <c r="W7" t="str">
        <f>"0x" &amp; DEC2HEX('(橫掃)add 逗號'!W7) &amp; ","</f>
        <v>0x3A,</v>
      </c>
      <c r="X7" t="str">
        <f>"0x" &amp; DEC2HEX('(橫掃)add 逗號'!X7) &amp; ","</f>
        <v>0x39,</v>
      </c>
      <c r="Y7" t="str">
        <f>"0x" &amp; DEC2HEX('(橫掃)add 逗號'!Y7) &amp; ","</f>
        <v>0x38,</v>
      </c>
      <c r="Z7" t="str">
        <f>"0x" &amp; DEC2HEX('(橫掃)add 逗號'!Z7) &amp; ","</f>
        <v>0x37,</v>
      </c>
      <c r="AA7" t="str">
        <f>"0x" &amp; DEC2HEX('(橫掃)add 逗號'!AA7) &amp; ","</f>
        <v>0x36,</v>
      </c>
      <c r="AB7" t="str">
        <f>"0x" &amp; DEC2HEX('(橫掃)add 逗號'!AB7) &amp; ","</f>
        <v>0x35,</v>
      </c>
      <c r="AC7" t="str">
        <f>"0x" &amp; DEC2HEX('(橫掃)add 逗號'!AC7) &amp; ","</f>
        <v>0x34,</v>
      </c>
      <c r="AD7" t="str">
        <f>"0x" &amp; DEC2HEX('(橫掃)add 逗號'!AD7) &amp; ","</f>
        <v>0x33,</v>
      </c>
      <c r="AE7" t="str">
        <f>"0x" &amp; DEC2HEX('(橫掃)add 逗號'!AE7) &amp; ","</f>
        <v>0x32,</v>
      </c>
      <c r="AF7" t="str">
        <f>"0x" &amp; DEC2HEX('(橫掃)add 逗號'!AF7) &amp; ","</f>
        <v>0x31,</v>
      </c>
      <c r="AG7" t="str">
        <f>"0x" &amp; DEC2HEX('(橫掃)add 逗號'!AG7) &amp; ","</f>
        <v>0x30,</v>
      </c>
    </row>
    <row r="8" spans="1:61" x14ac:dyDescent="0.25">
      <c r="A8" s="20">
        <v>7</v>
      </c>
      <c r="B8" t="str">
        <f>"0x" &amp; DEC2HEX('(橫掃)add 逗號'!B8) &amp; ","</f>
        <v>0x2F,</v>
      </c>
      <c r="C8" t="str">
        <f>"0x" &amp; DEC2HEX('(橫掃)add 逗號'!C8) &amp; ","</f>
        <v>0x2E,</v>
      </c>
      <c r="D8" t="str">
        <f>"0x" &amp; DEC2HEX('(橫掃)add 逗號'!D8) &amp; ","</f>
        <v>0x2D,</v>
      </c>
      <c r="E8" t="str">
        <f>"0x" &amp; DEC2HEX('(橫掃)add 逗號'!E8) &amp; ","</f>
        <v>0x2C,</v>
      </c>
      <c r="F8" t="str">
        <f>"0x" &amp; DEC2HEX('(橫掃)add 逗號'!F8) &amp; ","</f>
        <v>0x2B,</v>
      </c>
      <c r="G8" t="str">
        <f>"0x" &amp; DEC2HEX('(橫掃)add 逗號'!G8) &amp; ","</f>
        <v>0x2A,</v>
      </c>
      <c r="H8" t="str">
        <f>"0x" &amp; DEC2HEX('(橫掃)add 逗號'!H8) &amp; ","</f>
        <v>0x29,</v>
      </c>
      <c r="I8" t="str">
        <f>"0x" &amp; DEC2HEX('(橫掃)add 逗號'!I8) &amp; ","</f>
        <v>0x28,</v>
      </c>
      <c r="J8" t="str">
        <f>"0x" &amp; DEC2HEX('(橫掃)add 逗號'!J8) &amp; ","</f>
        <v>0x27,</v>
      </c>
      <c r="K8" t="str">
        <f>"0x" &amp; DEC2HEX('(橫掃)add 逗號'!K8) &amp; ","</f>
        <v>0x26,</v>
      </c>
      <c r="L8" t="str">
        <f>"0x" &amp; DEC2HEX('(橫掃)add 逗號'!L8) &amp; ","</f>
        <v>0x25,</v>
      </c>
      <c r="M8" t="str">
        <f>"0x" &amp; DEC2HEX('(橫掃)add 逗號'!M8) &amp; ","</f>
        <v>0x24,</v>
      </c>
      <c r="N8" t="str">
        <f>"0x" &amp; DEC2HEX('(橫掃)add 逗號'!N8) &amp; ","</f>
        <v>0x23,</v>
      </c>
      <c r="O8" t="str">
        <f>"0x" &amp; DEC2HEX('(橫掃)add 逗號'!O8) &amp; ","</f>
        <v>0x22,</v>
      </c>
      <c r="P8" t="str">
        <f>"0x" &amp; DEC2HEX('(橫掃)add 逗號'!P8) &amp; ","</f>
        <v>0x21,</v>
      </c>
      <c r="Q8" t="str">
        <f>"0x" &amp; DEC2HEX('(橫掃)add 逗號'!Q8) &amp; ","</f>
        <v>0x20,</v>
      </c>
      <c r="R8" t="str">
        <f>"0x" &amp; DEC2HEX('(橫掃)add 逗號'!R8) &amp; ","</f>
        <v>0x1F,</v>
      </c>
      <c r="S8" t="str">
        <f>"0x" &amp; DEC2HEX('(橫掃)add 逗號'!S8) &amp; ","</f>
        <v>0x1E,</v>
      </c>
      <c r="T8" t="str">
        <f>"0x" &amp; DEC2HEX('(橫掃)add 逗號'!T8) &amp; ","</f>
        <v>0x1D,</v>
      </c>
      <c r="U8" t="str">
        <f>"0x" &amp; DEC2HEX('(橫掃)add 逗號'!U8) &amp; ","</f>
        <v>0x1C,</v>
      </c>
      <c r="V8" t="str">
        <f>"0x" &amp; DEC2HEX('(橫掃)add 逗號'!V8) &amp; ","</f>
        <v>0x1B,</v>
      </c>
      <c r="W8" t="str">
        <f>"0x" &amp; DEC2HEX('(橫掃)add 逗號'!W8) &amp; ","</f>
        <v>0x1A,</v>
      </c>
      <c r="X8" t="str">
        <f>"0x" &amp; DEC2HEX('(橫掃)add 逗號'!X8) &amp; ","</f>
        <v>0x19,</v>
      </c>
      <c r="Y8" t="str">
        <f>"0x" &amp; DEC2HEX('(橫掃)add 逗號'!Y8) &amp; ","</f>
        <v>0x18,</v>
      </c>
      <c r="Z8" t="str">
        <f>"0x" &amp; DEC2HEX('(橫掃)add 逗號'!Z8) &amp; ","</f>
        <v>0x17,</v>
      </c>
      <c r="AA8" t="str">
        <f>"0x" &amp; DEC2HEX('(橫掃)add 逗號'!AA8) &amp; ","</f>
        <v>0x16,</v>
      </c>
      <c r="AB8" t="str">
        <f>"0x" &amp; DEC2HEX('(橫掃)add 逗號'!AB8) &amp; ","</f>
        <v>0x15,</v>
      </c>
      <c r="AC8" t="str">
        <f>"0x" &amp; DEC2HEX('(橫掃)add 逗號'!AC8) &amp; ","</f>
        <v>0x14,</v>
      </c>
      <c r="AD8" t="str">
        <f>"0x" &amp; DEC2HEX('(橫掃)add 逗號'!AD8) &amp; ","</f>
        <v>0x13,</v>
      </c>
      <c r="AE8" t="str">
        <f>"0x" &amp; DEC2HEX('(橫掃)add 逗號'!AE8) &amp; ","</f>
        <v>0x12,</v>
      </c>
      <c r="AF8" t="str">
        <f>"0x" &amp; DEC2HEX('(橫掃)add 逗號'!AF8) &amp; ","</f>
        <v>0x11,</v>
      </c>
      <c r="AG8" t="str">
        <f>"0x" &amp; DEC2HEX('(橫掃)add 逗號'!AG8) &amp; ","</f>
        <v>0x10,</v>
      </c>
    </row>
    <row r="9" spans="1:61" x14ac:dyDescent="0.25">
      <c r="A9" s="20">
        <v>8</v>
      </c>
      <c r="B9" t="e">
        <f>"0x" &amp; DEC2HEX('(橫掃)add 逗號'!B9) &amp; ","</f>
        <v>#VALUE!</v>
      </c>
      <c r="C9" t="e">
        <f>"0x" &amp; DEC2HEX('(橫掃)add 逗號'!C9) &amp; ","</f>
        <v>#VALUE!</v>
      </c>
      <c r="D9" t="e">
        <f>"0x" &amp; DEC2HEX('(橫掃)add 逗號'!D9) &amp; ","</f>
        <v>#VALUE!</v>
      </c>
      <c r="E9" t="e">
        <f>"0x" &amp; DEC2HEX('(橫掃)add 逗號'!E9) &amp; ","</f>
        <v>#VALUE!</v>
      </c>
      <c r="F9" t="e">
        <f>"0x" &amp; DEC2HEX('(橫掃)add 逗號'!F9) &amp; ","</f>
        <v>#VALUE!</v>
      </c>
      <c r="G9" t="e">
        <f>"0x" &amp; DEC2HEX('(橫掃)add 逗號'!G9) &amp; ","</f>
        <v>#VALUE!</v>
      </c>
      <c r="H9" t="e">
        <f>"0x" &amp; DEC2HEX('(橫掃)add 逗號'!H9) &amp; ","</f>
        <v>#VALUE!</v>
      </c>
      <c r="I9" t="e">
        <f>"0x" &amp; DEC2HEX('(橫掃)add 逗號'!I9) &amp; ","</f>
        <v>#VALUE!</v>
      </c>
      <c r="J9" t="e">
        <f>"0x" &amp; DEC2HEX('(橫掃)add 逗號'!J9) &amp; ","</f>
        <v>#VALUE!</v>
      </c>
      <c r="K9" t="e">
        <f>"0x" &amp; DEC2HEX('(橫掃)add 逗號'!K9) &amp; ","</f>
        <v>#VALUE!</v>
      </c>
      <c r="L9" t="e">
        <f>"0x" &amp; DEC2HEX('(橫掃)add 逗號'!L9) &amp; ","</f>
        <v>#VALUE!</v>
      </c>
      <c r="M9" t="e">
        <f>"0x" &amp; DEC2HEX('(橫掃)add 逗號'!M9) &amp; ","</f>
        <v>#VALUE!</v>
      </c>
      <c r="N9" t="e">
        <f>"0x" &amp; DEC2HEX('(橫掃)add 逗號'!N9) &amp; ","</f>
        <v>#VALUE!</v>
      </c>
      <c r="O9" t="e">
        <f>"0x" &amp; DEC2HEX('(橫掃)add 逗號'!O9) &amp; ","</f>
        <v>#VALUE!</v>
      </c>
      <c r="P9" t="e">
        <f>"0x" &amp; DEC2HEX('(橫掃)add 逗號'!P9) &amp; ","</f>
        <v>#VALUE!</v>
      </c>
      <c r="Q9" t="e">
        <f>"0x" &amp; DEC2HEX('(橫掃)add 逗號'!Q9) &amp; ","</f>
        <v>#VALUE!</v>
      </c>
    </row>
    <row r="10" spans="1:61" x14ac:dyDescent="0.25">
      <c r="A10" s="20">
        <v>9</v>
      </c>
    </row>
    <row r="11" spans="1:61" x14ac:dyDescent="0.25">
      <c r="A11" s="20">
        <v>10</v>
      </c>
      <c r="B11" t="str">
        <f>B2</f>
        <v>0x0,</v>
      </c>
      <c r="C11" t="str">
        <f t="shared" ref="C11:AG11" si="0">C2</f>
        <v>0x1,</v>
      </c>
      <c r="D11" t="str">
        <f t="shared" si="0"/>
        <v>0x2,</v>
      </c>
      <c r="E11" t="str">
        <f t="shared" si="0"/>
        <v>0x3,</v>
      </c>
      <c r="F11" t="str">
        <f t="shared" si="0"/>
        <v>0x4,</v>
      </c>
      <c r="G11" t="str">
        <f t="shared" si="0"/>
        <v>0x5,</v>
      </c>
      <c r="H11" t="str">
        <f t="shared" si="0"/>
        <v>0x6,</v>
      </c>
      <c r="I11" t="str">
        <f t="shared" si="0"/>
        <v>0x7,</v>
      </c>
      <c r="J11" t="str">
        <f t="shared" si="0"/>
        <v>0x8,</v>
      </c>
      <c r="K11" t="str">
        <f t="shared" si="0"/>
        <v>0x9,</v>
      </c>
      <c r="L11" t="str">
        <f t="shared" si="0"/>
        <v>0xA,</v>
      </c>
      <c r="M11" t="str">
        <f t="shared" si="0"/>
        <v>0xB,</v>
      </c>
      <c r="N11" t="str">
        <f t="shared" si="0"/>
        <v>0xC,</v>
      </c>
      <c r="O11" t="str">
        <f t="shared" si="0"/>
        <v>0xD,</v>
      </c>
      <c r="P11" t="str">
        <f t="shared" si="0"/>
        <v>0xE,</v>
      </c>
      <c r="Q11" t="str">
        <f t="shared" si="0"/>
        <v>0xF,</v>
      </c>
      <c r="R11" t="str">
        <f t="shared" si="0"/>
        <v>0x10,</v>
      </c>
      <c r="S11" t="str">
        <f t="shared" si="0"/>
        <v>0x11,</v>
      </c>
      <c r="T11" t="str">
        <f t="shared" si="0"/>
        <v>0x12,</v>
      </c>
      <c r="U11" t="str">
        <f t="shared" si="0"/>
        <v>0x13,</v>
      </c>
      <c r="V11" t="str">
        <f t="shared" si="0"/>
        <v>0x14,</v>
      </c>
      <c r="W11" t="str">
        <f t="shared" si="0"/>
        <v>0x15,</v>
      </c>
      <c r="X11" t="str">
        <f t="shared" si="0"/>
        <v>0x16,</v>
      </c>
      <c r="Y11" t="str">
        <f t="shared" si="0"/>
        <v>0x17,</v>
      </c>
      <c r="Z11" t="str">
        <f t="shared" si="0"/>
        <v>0x18,</v>
      </c>
      <c r="AA11" t="str">
        <f t="shared" si="0"/>
        <v>0x19,</v>
      </c>
      <c r="AB11" t="str">
        <f t="shared" si="0"/>
        <v>0x1A,</v>
      </c>
      <c r="AC11" t="str">
        <f t="shared" si="0"/>
        <v>0x1B,</v>
      </c>
      <c r="AD11" t="str">
        <f t="shared" si="0"/>
        <v>0x1C,</v>
      </c>
      <c r="AE11" t="str">
        <f t="shared" si="0"/>
        <v>0x1D,</v>
      </c>
      <c r="AF11" t="str">
        <f t="shared" si="0"/>
        <v>0x1E,</v>
      </c>
      <c r="AG11" t="str">
        <f t="shared" si="0"/>
        <v>0x1F,</v>
      </c>
    </row>
    <row r="12" spans="1:61" x14ac:dyDescent="0.25">
      <c r="A12" s="20">
        <v>11</v>
      </c>
      <c r="B12" t="str">
        <f>B3</f>
        <v>0x20,</v>
      </c>
      <c r="C12" t="str">
        <f t="shared" ref="C12:AG12" si="1">C3</f>
        <v>0x21,</v>
      </c>
      <c r="D12" t="str">
        <f t="shared" si="1"/>
        <v>0x22,</v>
      </c>
      <c r="E12" t="str">
        <f t="shared" si="1"/>
        <v>0x23,</v>
      </c>
      <c r="F12" t="str">
        <f t="shared" si="1"/>
        <v>0x24,</v>
      </c>
      <c r="G12" t="str">
        <f t="shared" si="1"/>
        <v>0x25,</v>
      </c>
      <c r="H12" t="str">
        <f t="shared" si="1"/>
        <v>0x26,</v>
      </c>
      <c r="I12" t="str">
        <f t="shared" si="1"/>
        <v>0x27,</v>
      </c>
      <c r="J12" t="str">
        <f t="shared" si="1"/>
        <v>0x28,</v>
      </c>
      <c r="K12" t="str">
        <f t="shared" si="1"/>
        <v>0x29,</v>
      </c>
      <c r="L12" t="str">
        <f t="shared" si="1"/>
        <v>0x2A,</v>
      </c>
      <c r="M12" t="str">
        <f t="shared" si="1"/>
        <v>0x2B,</v>
      </c>
      <c r="N12" t="str">
        <f t="shared" si="1"/>
        <v>0x2C,</v>
      </c>
      <c r="O12" t="str">
        <f t="shared" si="1"/>
        <v>0x2D,</v>
      </c>
      <c r="P12" t="str">
        <f t="shared" si="1"/>
        <v>0x2E,</v>
      </c>
      <c r="Q12" t="str">
        <f t="shared" si="1"/>
        <v>0x2F,</v>
      </c>
      <c r="R12" t="str">
        <f t="shared" si="1"/>
        <v>0x30,</v>
      </c>
      <c r="S12" t="str">
        <f t="shared" si="1"/>
        <v>0x31,</v>
      </c>
      <c r="T12" t="str">
        <f t="shared" si="1"/>
        <v>0x32,</v>
      </c>
      <c r="U12" t="str">
        <f t="shared" si="1"/>
        <v>0x33,</v>
      </c>
      <c r="V12" t="str">
        <f t="shared" si="1"/>
        <v>0x34,</v>
      </c>
      <c r="W12" t="str">
        <f t="shared" si="1"/>
        <v>0x35,</v>
      </c>
      <c r="X12" t="str">
        <f t="shared" si="1"/>
        <v>0x36,</v>
      </c>
      <c r="Y12" t="str">
        <f t="shared" si="1"/>
        <v>0x37,</v>
      </c>
      <c r="Z12" t="str">
        <f t="shared" si="1"/>
        <v>0x38,</v>
      </c>
      <c r="AA12" t="str">
        <f t="shared" si="1"/>
        <v>0x39,</v>
      </c>
      <c r="AB12" t="str">
        <f t="shared" si="1"/>
        <v>0x3A,</v>
      </c>
      <c r="AC12" t="str">
        <f t="shared" si="1"/>
        <v>0x3B,</v>
      </c>
      <c r="AD12" t="str">
        <f t="shared" si="1"/>
        <v>0x3C,</v>
      </c>
      <c r="AE12" t="str">
        <f t="shared" si="1"/>
        <v>0x3D,</v>
      </c>
      <c r="AF12" t="str">
        <f t="shared" si="1"/>
        <v>0x3E,</v>
      </c>
      <c r="AG12" t="str">
        <f t="shared" si="1"/>
        <v>0x3F,</v>
      </c>
    </row>
    <row r="13" spans="1:61" x14ac:dyDescent="0.25">
      <c r="A13" s="20">
        <v>12</v>
      </c>
      <c r="B13" t="str">
        <f t="shared" ref="B13:AG13" si="2">B4</f>
        <v>0x40,</v>
      </c>
      <c r="C13" t="str">
        <f t="shared" si="2"/>
        <v>0x41,</v>
      </c>
      <c r="D13" t="str">
        <f t="shared" si="2"/>
        <v>0x42,</v>
      </c>
      <c r="E13" t="str">
        <f t="shared" si="2"/>
        <v>0x43,</v>
      </c>
      <c r="F13" t="str">
        <f t="shared" si="2"/>
        <v>0x44,</v>
      </c>
      <c r="G13" t="str">
        <f t="shared" si="2"/>
        <v>0x45,</v>
      </c>
      <c r="H13" t="str">
        <f t="shared" si="2"/>
        <v>0x46,</v>
      </c>
      <c r="I13" t="str">
        <f t="shared" si="2"/>
        <v>0x47,</v>
      </c>
      <c r="J13" t="str">
        <f t="shared" si="2"/>
        <v>0x48,</v>
      </c>
      <c r="K13" t="str">
        <f t="shared" si="2"/>
        <v>0x49,</v>
      </c>
      <c r="L13" t="str">
        <f t="shared" si="2"/>
        <v>0x4A,</v>
      </c>
      <c r="M13" t="str">
        <f t="shared" si="2"/>
        <v>0x4B,</v>
      </c>
      <c r="N13" t="str">
        <f t="shared" si="2"/>
        <v>0x4C,</v>
      </c>
      <c r="O13" t="str">
        <f t="shared" si="2"/>
        <v>0x4D,</v>
      </c>
      <c r="P13" t="str">
        <f t="shared" si="2"/>
        <v>0x4E,</v>
      </c>
      <c r="Q13" t="str">
        <f t="shared" si="2"/>
        <v>0x4F,</v>
      </c>
      <c r="R13" t="str">
        <f t="shared" si="2"/>
        <v>0x50,</v>
      </c>
      <c r="S13" t="str">
        <f t="shared" si="2"/>
        <v>0x51,</v>
      </c>
      <c r="T13" t="str">
        <f t="shared" si="2"/>
        <v>0x52,</v>
      </c>
      <c r="U13" t="str">
        <f t="shared" si="2"/>
        <v>0x53,</v>
      </c>
      <c r="V13" t="str">
        <f t="shared" si="2"/>
        <v>0x54,</v>
      </c>
      <c r="W13" t="str">
        <f t="shared" si="2"/>
        <v>0x55,</v>
      </c>
      <c r="X13" t="str">
        <f t="shared" si="2"/>
        <v>0x56,</v>
      </c>
      <c r="Y13" t="str">
        <f t="shared" si="2"/>
        <v>0x57,</v>
      </c>
      <c r="Z13" t="str">
        <f t="shared" si="2"/>
        <v>0x58,</v>
      </c>
      <c r="AA13" t="str">
        <f t="shared" si="2"/>
        <v>0x59,</v>
      </c>
      <c r="AB13" t="str">
        <f t="shared" si="2"/>
        <v>0x5A,</v>
      </c>
      <c r="AC13" t="str">
        <f t="shared" si="2"/>
        <v>0x5B,</v>
      </c>
      <c r="AD13" t="str">
        <f t="shared" si="2"/>
        <v>0x5C,</v>
      </c>
      <c r="AE13" t="str">
        <f t="shared" si="2"/>
        <v>0x5D,</v>
      </c>
      <c r="AF13" t="str">
        <f t="shared" si="2"/>
        <v>0x5E,</v>
      </c>
      <c r="AG13" t="str">
        <f t="shared" si="2"/>
        <v>0x5F,</v>
      </c>
    </row>
    <row r="14" spans="1:61" x14ac:dyDescent="0.25">
      <c r="A14" s="20">
        <v>13</v>
      </c>
      <c r="B14" t="str">
        <f t="shared" ref="B14:AG14" si="3">B5</f>
        <v>0x60,</v>
      </c>
      <c r="C14" t="str">
        <f t="shared" si="3"/>
        <v>0x61,</v>
      </c>
      <c r="D14" t="str">
        <f t="shared" si="3"/>
        <v>0x62,</v>
      </c>
      <c r="E14" t="str">
        <f t="shared" si="3"/>
        <v>0x63,</v>
      </c>
      <c r="F14" t="str">
        <f t="shared" si="3"/>
        <v>0x64,</v>
      </c>
      <c r="G14" t="str">
        <f t="shared" si="3"/>
        <v>0x65,</v>
      </c>
      <c r="H14" t="str">
        <f t="shared" si="3"/>
        <v>0x66,</v>
      </c>
      <c r="I14" t="str">
        <f t="shared" si="3"/>
        <v>0x67,</v>
      </c>
      <c r="J14" t="str">
        <f t="shared" si="3"/>
        <v>0x68,</v>
      </c>
      <c r="K14" t="str">
        <f t="shared" si="3"/>
        <v>0x69,</v>
      </c>
      <c r="L14" t="str">
        <f t="shared" si="3"/>
        <v>0x6A,</v>
      </c>
      <c r="M14" t="str">
        <f t="shared" si="3"/>
        <v>0x6B,</v>
      </c>
      <c r="N14" t="str">
        <f t="shared" si="3"/>
        <v>0x6C,</v>
      </c>
      <c r="O14" t="str">
        <f t="shared" si="3"/>
        <v>0x6D,</v>
      </c>
      <c r="P14" t="str">
        <f t="shared" si="3"/>
        <v>0x6E,</v>
      </c>
      <c r="Q14" t="str">
        <f t="shared" si="3"/>
        <v>0x6F,</v>
      </c>
      <c r="R14" t="str">
        <f t="shared" si="3"/>
        <v>0x70,</v>
      </c>
      <c r="S14" t="str">
        <f t="shared" si="3"/>
        <v>0x71,</v>
      </c>
      <c r="T14" t="str">
        <f t="shared" si="3"/>
        <v>0x72,</v>
      </c>
      <c r="U14" t="str">
        <f t="shared" si="3"/>
        <v>0x73,</v>
      </c>
      <c r="V14" t="str">
        <f t="shared" si="3"/>
        <v>0x74,</v>
      </c>
      <c r="W14" t="str">
        <f t="shared" si="3"/>
        <v>0x75,</v>
      </c>
      <c r="X14" t="str">
        <f t="shared" si="3"/>
        <v>0x76,</v>
      </c>
      <c r="Y14" t="str">
        <f t="shared" si="3"/>
        <v>0x77,</v>
      </c>
      <c r="Z14" t="str">
        <f t="shared" si="3"/>
        <v>0x77,</v>
      </c>
      <c r="AA14" t="str">
        <f t="shared" si="3"/>
        <v>0x76,</v>
      </c>
      <c r="AB14" t="str">
        <f t="shared" si="3"/>
        <v>0x75,</v>
      </c>
      <c r="AC14" t="str">
        <f t="shared" si="3"/>
        <v>0x74,</v>
      </c>
      <c r="AD14" t="str">
        <f t="shared" si="3"/>
        <v>0x73,</v>
      </c>
      <c r="AE14" t="str">
        <f t="shared" si="3"/>
        <v>0x72,</v>
      </c>
      <c r="AF14" t="str">
        <f t="shared" si="3"/>
        <v>0x71,</v>
      </c>
      <c r="AG14" t="str">
        <f t="shared" si="3"/>
        <v>0x70,</v>
      </c>
    </row>
    <row r="15" spans="1:61" x14ac:dyDescent="0.25">
      <c r="A15" s="20">
        <v>14</v>
      </c>
      <c r="B15" t="str">
        <f t="shared" ref="B15:AG15" si="4">B6</f>
        <v>0x6F,</v>
      </c>
      <c r="C15" t="str">
        <f t="shared" si="4"/>
        <v>0x6E,</v>
      </c>
      <c r="D15" t="str">
        <f t="shared" si="4"/>
        <v>0x6D,</v>
      </c>
      <c r="E15" t="str">
        <f t="shared" si="4"/>
        <v>0x6C,</v>
      </c>
      <c r="F15" t="str">
        <f t="shared" si="4"/>
        <v>0x6B,</v>
      </c>
      <c r="G15" t="str">
        <f t="shared" si="4"/>
        <v>0x6A,</v>
      </c>
      <c r="H15" t="str">
        <f t="shared" si="4"/>
        <v>0x69,</v>
      </c>
      <c r="I15" t="str">
        <f t="shared" si="4"/>
        <v>0x68,</v>
      </c>
      <c r="J15" t="str">
        <f t="shared" si="4"/>
        <v>0x67,</v>
      </c>
      <c r="K15" t="str">
        <f t="shared" si="4"/>
        <v>0x66,</v>
      </c>
      <c r="L15" t="str">
        <f t="shared" si="4"/>
        <v>0x65,</v>
      </c>
      <c r="M15" t="str">
        <f t="shared" si="4"/>
        <v>0x64,</v>
      </c>
      <c r="N15" t="str">
        <f t="shared" si="4"/>
        <v>0x63,</v>
      </c>
      <c r="O15" t="str">
        <f t="shared" si="4"/>
        <v>0x62,</v>
      </c>
      <c r="P15" t="str">
        <f t="shared" si="4"/>
        <v>0x61,</v>
      </c>
      <c r="Q15" t="str">
        <f t="shared" si="4"/>
        <v>0x60,</v>
      </c>
      <c r="R15" t="str">
        <f t="shared" si="4"/>
        <v>0x5F,</v>
      </c>
      <c r="S15" t="str">
        <f t="shared" si="4"/>
        <v>0x5E,</v>
      </c>
      <c r="T15" t="str">
        <f t="shared" si="4"/>
        <v>0x5D,</v>
      </c>
      <c r="U15" t="str">
        <f t="shared" si="4"/>
        <v>0x5C,</v>
      </c>
      <c r="V15" t="str">
        <f t="shared" si="4"/>
        <v>0x5B,</v>
      </c>
      <c r="W15" t="str">
        <f t="shared" si="4"/>
        <v>0x5A,</v>
      </c>
      <c r="X15" t="str">
        <f t="shared" si="4"/>
        <v>0x59,</v>
      </c>
      <c r="Y15" t="str">
        <f t="shared" si="4"/>
        <v>0x58,</v>
      </c>
      <c r="Z15" t="str">
        <f t="shared" si="4"/>
        <v>0x57,</v>
      </c>
      <c r="AA15" t="str">
        <f t="shared" si="4"/>
        <v>0x56,</v>
      </c>
      <c r="AB15" t="str">
        <f t="shared" si="4"/>
        <v>0x55,</v>
      </c>
      <c r="AC15" t="str">
        <f t="shared" si="4"/>
        <v>0x54,</v>
      </c>
      <c r="AD15" t="str">
        <f t="shared" si="4"/>
        <v>0x53,</v>
      </c>
      <c r="AE15" t="str">
        <f t="shared" si="4"/>
        <v>0x52,</v>
      </c>
      <c r="AF15" t="str">
        <f t="shared" si="4"/>
        <v>0x51,</v>
      </c>
      <c r="AG15" t="str">
        <f t="shared" si="4"/>
        <v>0x50,</v>
      </c>
    </row>
    <row r="16" spans="1:61" x14ac:dyDescent="0.25">
      <c r="A16" s="20">
        <v>15</v>
      </c>
      <c r="B16" t="str">
        <f t="shared" ref="B16:AG16" si="5">B7</f>
        <v>0x4F,</v>
      </c>
      <c r="C16" t="str">
        <f t="shared" si="5"/>
        <v>0x4E,</v>
      </c>
      <c r="D16" t="str">
        <f t="shared" si="5"/>
        <v>0x4D,</v>
      </c>
      <c r="E16" t="str">
        <f t="shared" si="5"/>
        <v>0x4C,</v>
      </c>
      <c r="F16" t="str">
        <f t="shared" si="5"/>
        <v>0x4B,</v>
      </c>
      <c r="G16" t="str">
        <f t="shared" si="5"/>
        <v>0x4A,</v>
      </c>
      <c r="H16" t="str">
        <f t="shared" si="5"/>
        <v>0x49,</v>
      </c>
      <c r="I16" t="str">
        <f t="shared" si="5"/>
        <v>0x48,</v>
      </c>
      <c r="J16" t="str">
        <f t="shared" si="5"/>
        <v>0x47,</v>
      </c>
      <c r="K16" t="str">
        <f t="shared" si="5"/>
        <v>0x46,</v>
      </c>
      <c r="L16" t="str">
        <f t="shared" si="5"/>
        <v>0x45,</v>
      </c>
      <c r="M16" t="str">
        <f t="shared" si="5"/>
        <v>0x44,</v>
      </c>
      <c r="N16" t="str">
        <f t="shared" si="5"/>
        <v>0x43,</v>
      </c>
      <c r="O16" t="str">
        <f t="shared" si="5"/>
        <v>0x42,</v>
      </c>
      <c r="P16" t="str">
        <f t="shared" si="5"/>
        <v>0x41,</v>
      </c>
      <c r="Q16" t="str">
        <f t="shared" si="5"/>
        <v>0x40,</v>
      </c>
      <c r="R16" t="str">
        <f t="shared" si="5"/>
        <v>0x3F,</v>
      </c>
      <c r="S16" t="str">
        <f t="shared" si="5"/>
        <v>0x3E,</v>
      </c>
      <c r="T16" t="str">
        <f t="shared" si="5"/>
        <v>0x3D,</v>
      </c>
      <c r="U16" t="str">
        <f t="shared" si="5"/>
        <v>0x3C,</v>
      </c>
      <c r="V16" t="str">
        <f t="shared" si="5"/>
        <v>0x3B,</v>
      </c>
      <c r="W16" t="str">
        <f t="shared" si="5"/>
        <v>0x3A,</v>
      </c>
      <c r="X16" t="str">
        <f t="shared" si="5"/>
        <v>0x39,</v>
      </c>
      <c r="Y16" t="str">
        <f t="shared" si="5"/>
        <v>0x38,</v>
      </c>
      <c r="Z16" t="str">
        <f t="shared" si="5"/>
        <v>0x37,</v>
      </c>
      <c r="AA16" t="str">
        <f t="shared" si="5"/>
        <v>0x36,</v>
      </c>
      <c r="AB16" t="str">
        <f t="shared" si="5"/>
        <v>0x35,</v>
      </c>
      <c r="AC16" t="str">
        <f t="shared" si="5"/>
        <v>0x34,</v>
      </c>
      <c r="AD16" t="str">
        <f t="shared" si="5"/>
        <v>0x33,</v>
      </c>
      <c r="AE16" t="str">
        <f t="shared" si="5"/>
        <v>0x32,</v>
      </c>
      <c r="AF16" t="str">
        <f t="shared" si="5"/>
        <v>0x31,</v>
      </c>
      <c r="AG16" t="str">
        <f t="shared" si="5"/>
        <v>0x30,</v>
      </c>
    </row>
    <row r="17" spans="1:33" x14ac:dyDescent="0.25">
      <c r="A17" s="20">
        <v>16</v>
      </c>
      <c r="B17" t="str">
        <f t="shared" ref="B17:AG17" si="6">B8</f>
        <v>0x2F,</v>
      </c>
      <c r="C17" t="str">
        <f t="shared" si="6"/>
        <v>0x2E,</v>
      </c>
      <c r="D17" t="str">
        <f t="shared" si="6"/>
        <v>0x2D,</v>
      </c>
      <c r="E17" t="str">
        <f t="shared" si="6"/>
        <v>0x2C,</v>
      </c>
      <c r="F17" t="str">
        <f t="shared" si="6"/>
        <v>0x2B,</v>
      </c>
      <c r="G17" t="str">
        <f t="shared" si="6"/>
        <v>0x2A,</v>
      </c>
      <c r="H17" t="str">
        <f t="shared" si="6"/>
        <v>0x29,</v>
      </c>
      <c r="I17" t="str">
        <f t="shared" si="6"/>
        <v>0x28,</v>
      </c>
      <c r="J17" t="str">
        <f t="shared" si="6"/>
        <v>0x27,</v>
      </c>
      <c r="K17" t="str">
        <f t="shared" si="6"/>
        <v>0x26,</v>
      </c>
      <c r="L17" t="str">
        <f t="shared" si="6"/>
        <v>0x25,</v>
      </c>
      <c r="M17" t="str">
        <f t="shared" si="6"/>
        <v>0x24,</v>
      </c>
      <c r="N17" t="str">
        <f t="shared" si="6"/>
        <v>0x23,</v>
      </c>
      <c r="O17" t="str">
        <f t="shared" si="6"/>
        <v>0x22,</v>
      </c>
      <c r="P17" t="str">
        <f t="shared" si="6"/>
        <v>0x21,</v>
      </c>
      <c r="Q17" t="str">
        <f t="shared" si="6"/>
        <v>0x20,</v>
      </c>
      <c r="R17" t="str">
        <f t="shared" si="6"/>
        <v>0x1F,</v>
      </c>
      <c r="S17" t="str">
        <f t="shared" si="6"/>
        <v>0x1E,</v>
      </c>
      <c r="T17" t="str">
        <f t="shared" si="6"/>
        <v>0x1D,</v>
      </c>
      <c r="U17" t="str">
        <f t="shared" si="6"/>
        <v>0x1C,</v>
      </c>
      <c r="V17" t="str">
        <f t="shared" si="6"/>
        <v>0x1B,</v>
      </c>
      <c r="W17" t="str">
        <f t="shared" si="6"/>
        <v>0x1A,</v>
      </c>
      <c r="X17" t="str">
        <f t="shared" si="6"/>
        <v>0x19,</v>
      </c>
      <c r="Y17" t="str">
        <f t="shared" si="6"/>
        <v>0x18,</v>
      </c>
      <c r="Z17" t="str">
        <f t="shared" si="6"/>
        <v>0x17,</v>
      </c>
      <c r="AA17" t="str">
        <f t="shared" si="6"/>
        <v>0x16,</v>
      </c>
      <c r="AB17" t="str">
        <f t="shared" si="6"/>
        <v>0x15,</v>
      </c>
      <c r="AC17" t="str">
        <f t="shared" si="6"/>
        <v>0x14,</v>
      </c>
      <c r="AD17" t="str">
        <f t="shared" si="6"/>
        <v>0x13,</v>
      </c>
      <c r="AE17" t="str">
        <f t="shared" si="6"/>
        <v>0x12,</v>
      </c>
      <c r="AF17" t="str">
        <f t="shared" si="6"/>
        <v>0x11,</v>
      </c>
      <c r="AG17" t="str">
        <f t="shared" si="6"/>
        <v>0x10,</v>
      </c>
    </row>
    <row r="18" spans="1:33" x14ac:dyDescent="0.25">
      <c r="A18" s="20">
        <v>17</v>
      </c>
      <c r="B18" t="e">
        <f t="shared" ref="B18:Q18" si="7">B9</f>
        <v>#VALUE!</v>
      </c>
      <c r="C18" t="e">
        <f t="shared" si="7"/>
        <v>#VALUE!</v>
      </c>
      <c r="D18" t="e">
        <f t="shared" si="7"/>
        <v>#VALUE!</v>
      </c>
      <c r="E18" t="e">
        <f t="shared" si="7"/>
        <v>#VALUE!</v>
      </c>
      <c r="F18" t="e">
        <f t="shared" si="7"/>
        <v>#VALUE!</v>
      </c>
      <c r="G18" t="e">
        <f t="shared" si="7"/>
        <v>#VALUE!</v>
      </c>
      <c r="H18" t="e">
        <f t="shared" si="7"/>
        <v>#VALUE!</v>
      </c>
      <c r="I18" t="e">
        <f t="shared" si="7"/>
        <v>#VALUE!</v>
      </c>
      <c r="J18" t="e">
        <f t="shared" si="7"/>
        <v>#VALUE!</v>
      </c>
      <c r="K18" t="e">
        <f t="shared" si="7"/>
        <v>#VALUE!</v>
      </c>
      <c r="L18" t="e">
        <f t="shared" si="7"/>
        <v>#VALUE!</v>
      </c>
      <c r="M18" t="e">
        <f t="shared" si="7"/>
        <v>#VALUE!</v>
      </c>
      <c r="N18" t="e">
        <f t="shared" si="7"/>
        <v>#VALUE!</v>
      </c>
      <c r="O18" t="e">
        <f t="shared" si="7"/>
        <v>#VALUE!</v>
      </c>
      <c r="P18" t="e">
        <f t="shared" si="7"/>
        <v>#VALUE!</v>
      </c>
      <c r="Q18" t="e">
        <f t="shared" si="7"/>
        <v>#VALUE!</v>
      </c>
    </row>
    <row r="19" spans="1:33" x14ac:dyDescent="0.25">
      <c r="A19" s="20">
        <v>18</v>
      </c>
    </row>
    <row r="20" spans="1:33" x14ac:dyDescent="0.25">
      <c r="A20" s="20">
        <v>19</v>
      </c>
      <c r="B20" t="e">
        <f ca="1">"0x" &amp; DEC2HEX('(橫掃)add 逗號'!B20) &amp; ","</f>
        <v>#VALUE!</v>
      </c>
      <c r="C20" t="e">
        <f ca="1">"0x" &amp; DEC2HEX('(橫掃)add 逗號'!C20) &amp; ","</f>
        <v>#VALUE!</v>
      </c>
      <c r="D20" t="e">
        <f ca="1">"0x" &amp; DEC2HEX('(橫掃)add 逗號'!D20) &amp; ","</f>
        <v>#VALUE!</v>
      </c>
      <c r="E20" t="e">
        <f ca="1">"0x" &amp; DEC2HEX('(橫掃)add 逗號'!E20) &amp; ","</f>
        <v>#VALUE!</v>
      </c>
      <c r="F20" t="e">
        <f ca="1">"0x" &amp; DEC2HEX('(橫掃)add 逗號'!F20) &amp; ","</f>
        <v>#VALUE!</v>
      </c>
      <c r="G20" t="e">
        <f ca="1">"0x" &amp; DEC2HEX('(橫掃)add 逗號'!G20) &amp; ","</f>
        <v>#VALUE!</v>
      </c>
      <c r="H20" t="e">
        <f ca="1">"0x" &amp; DEC2HEX('(橫掃)add 逗號'!H20) &amp; ","</f>
        <v>#VALUE!</v>
      </c>
      <c r="I20" t="e">
        <f ca="1">"0x" &amp; DEC2HEX('(橫掃)add 逗號'!I20) &amp; ","</f>
        <v>#VALUE!</v>
      </c>
      <c r="J20" t="e">
        <f ca="1">"0x" &amp; DEC2HEX('(橫掃)add 逗號'!J20) &amp; ","</f>
        <v>#VALUE!</v>
      </c>
      <c r="K20" t="e">
        <f ca="1">"0x" &amp; DEC2HEX('(橫掃)add 逗號'!K20) &amp; ","</f>
        <v>#VALUE!</v>
      </c>
      <c r="L20" t="e">
        <f ca="1">"0x" &amp; DEC2HEX('(橫掃)add 逗號'!L20) &amp; ","</f>
        <v>#VALUE!</v>
      </c>
      <c r="M20" t="e">
        <f ca="1">"0x" &amp; DEC2HEX('(橫掃)add 逗號'!M20) &amp; ","</f>
        <v>#VALUE!</v>
      </c>
      <c r="N20" t="e">
        <f ca="1">"0x" &amp; DEC2HEX('(橫掃)add 逗號'!N20) &amp; ","</f>
        <v>#VALUE!</v>
      </c>
      <c r="O20" t="e">
        <f ca="1">"0x" &amp; DEC2HEX('(橫掃)add 逗號'!O20) &amp; ","</f>
        <v>#VALUE!</v>
      </c>
      <c r="P20" t="e">
        <f ca="1">"0x" &amp; DEC2HEX('(橫掃)add 逗號'!P20) &amp; ","</f>
        <v>#VALUE!</v>
      </c>
      <c r="Q20" t="e">
        <f ca="1">"0x" &amp; DEC2HEX('(橫掃)add 逗號'!Q20) &amp; ","</f>
        <v>#VALUE!</v>
      </c>
      <c r="R20" t="str">
        <f ca="1">"0x" &amp; DEC2HEX('(橫掃)add 逗號'!R20) &amp; ","</f>
        <v>0x88,</v>
      </c>
      <c r="S20" t="str">
        <f ca="1">"0x" &amp; DEC2HEX('(橫掃)add 逗號'!S20) &amp; ","</f>
        <v>0x89,</v>
      </c>
      <c r="T20" t="str">
        <f ca="1">"0x" &amp; DEC2HEX('(橫掃)add 逗號'!T20) &amp; ","</f>
        <v>0x8A,</v>
      </c>
      <c r="U20" t="str">
        <f ca="1">"0x" &amp; DEC2HEX('(橫掃)add 逗號'!U20) &amp; ","</f>
        <v>0x8B,</v>
      </c>
      <c r="V20" t="str">
        <f ca="1">"0x" &amp; DEC2HEX('(橫掃)add 逗號'!V20) &amp; ","</f>
        <v>0x8C,</v>
      </c>
      <c r="W20" t="str">
        <f ca="1">"0x" &amp; DEC2HEX('(橫掃)add 逗號'!W20) &amp; ","</f>
        <v>0x8D,</v>
      </c>
      <c r="X20" t="str">
        <f ca="1">"0x" &amp; DEC2HEX('(橫掃)add 逗號'!X20) &amp; ","</f>
        <v>0x8E,</v>
      </c>
      <c r="Y20" t="str">
        <f ca="1">"0x" &amp; DEC2HEX('(橫掃)add 逗號'!Y20) &amp; ","</f>
        <v>0x8F,</v>
      </c>
      <c r="Z20" t="str">
        <f ca="1">"0x" &amp; DEC2HEX('(橫掃)add 逗號'!Z20) &amp; ","</f>
        <v>0x90,</v>
      </c>
      <c r="AA20" t="str">
        <f ca="1">"0x" &amp; DEC2HEX('(橫掃)add 逗號'!AA20) &amp; ","</f>
        <v>0x91,</v>
      </c>
      <c r="AB20" t="str">
        <f ca="1">"0x" &amp; DEC2HEX('(橫掃)add 逗號'!AB20) &amp; ","</f>
        <v>0x92,</v>
      </c>
      <c r="AC20" t="str">
        <f ca="1">"0x" &amp; DEC2HEX('(橫掃)add 逗號'!AC20) &amp; ","</f>
        <v>0x93,</v>
      </c>
      <c r="AD20" t="str">
        <f ca="1">"0x" &amp; DEC2HEX('(橫掃)add 逗號'!AD20) &amp; ","</f>
        <v>0x94,</v>
      </c>
      <c r="AE20" t="str">
        <f ca="1">"0x" &amp; DEC2HEX('(橫掃)add 逗號'!AE20) &amp; ","</f>
        <v>0x95,</v>
      </c>
      <c r="AF20" t="str">
        <f ca="1">"0x" &amp; DEC2HEX('(橫掃)add 逗號'!AF20) &amp; ","</f>
        <v>0x96,</v>
      </c>
      <c r="AG20" t="str">
        <f ca="1">"0x" &amp; DEC2HEX('(橫掃)add 逗號'!AG20) &amp; ","</f>
        <v>0x97,</v>
      </c>
    </row>
    <row r="21" spans="1:33" x14ac:dyDescent="0.25">
      <c r="A21" s="20">
        <v>20</v>
      </c>
      <c r="B21" t="str">
        <f ca="1">"0x" &amp; DEC2HEX('(橫掃)add 逗號'!B21) &amp; ","</f>
        <v>0x98,</v>
      </c>
      <c r="C21" t="str">
        <f ca="1">"0x" &amp; DEC2HEX('(橫掃)add 逗號'!C21) &amp; ","</f>
        <v>0x99,</v>
      </c>
      <c r="D21" t="str">
        <f ca="1">"0x" &amp; DEC2HEX('(橫掃)add 逗號'!D21) &amp; ","</f>
        <v>0x9A,</v>
      </c>
      <c r="E21" t="str">
        <f ca="1">"0x" &amp; DEC2HEX('(橫掃)add 逗號'!E21) &amp; ","</f>
        <v>0x9B,</v>
      </c>
      <c r="F21" t="str">
        <f ca="1">"0x" &amp; DEC2HEX('(橫掃)add 逗號'!F21) &amp; ","</f>
        <v>0x9C,</v>
      </c>
      <c r="G21" t="str">
        <f ca="1">"0x" &amp; DEC2HEX('(橫掃)add 逗號'!G21) &amp; ","</f>
        <v>0x9D,</v>
      </c>
      <c r="H21" t="str">
        <f ca="1">"0x" &amp; DEC2HEX('(橫掃)add 逗號'!H21) &amp; ","</f>
        <v>0x9E,</v>
      </c>
      <c r="I21" t="str">
        <f ca="1">"0x" &amp; DEC2HEX('(橫掃)add 逗號'!I21) &amp; ","</f>
        <v>0x9F,</v>
      </c>
      <c r="J21" t="str">
        <f ca="1">"0x" &amp; DEC2HEX('(橫掃)add 逗號'!J21) &amp; ","</f>
        <v>0xA0,</v>
      </c>
      <c r="K21" t="str">
        <f ca="1">"0x" &amp; DEC2HEX('(橫掃)add 逗號'!K21) &amp; ","</f>
        <v>0xA1,</v>
      </c>
      <c r="L21" t="str">
        <f ca="1">"0x" &amp; DEC2HEX('(橫掃)add 逗號'!L21) &amp; ","</f>
        <v>0xA2,</v>
      </c>
      <c r="M21" t="str">
        <f ca="1">"0x" &amp; DEC2HEX('(橫掃)add 逗號'!M21) &amp; ","</f>
        <v>0xA3,</v>
      </c>
      <c r="N21" t="str">
        <f ca="1">"0x" &amp; DEC2HEX('(橫掃)add 逗號'!N21) &amp; ","</f>
        <v>0xA4,</v>
      </c>
      <c r="O21" t="str">
        <f ca="1">"0x" &amp; DEC2HEX('(橫掃)add 逗號'!O21) &amp; ","</f>
        <v>0xA5,</v>
      </c>
      <c r="P21" t="str">
        <f ca="1">"0x" &amp; DEC2HEX('(橫掃)add 逗號'!P21) &amp; ","</f>
        <v>0xA6,</v>
      </c>
      <c r="Q21" t="str">
        <f ca="1">"0x" &amp; DEC2HEX('(橫掃)add 逗號'!Q21) &amp; ","</f>
        <v>0xA7,</v>
      </c>
      <c r="R21" t="str">
        <f ca="1">"0x" &amp; DEC2HEX('(橫掃)add 逗號'!R21) &amp; ","</f>
        <v>0xA8,</v>
      </c>
      <c r="S21" t="str">
        <f ca="1">"0x" &amp; DEC2HEX('(橫掃)add 逗號'!S21) &amp; ","</f>
        <v>0xA9,</v>
      </c>
      <c r="T21" t="str">
        <f ca="1">"0x" &amp; DEC2HEX('(橫掃)add 逗號'!T21) &amp; ","</f>
        <v>0xAA,</v>
      </c>
      <c r="U21" t="str">
        <f ca="1">"0x" &amp; DEC2HEX('(橫掃)add 逗號'!U21) &amp; ","</f>
        <v>0xAB,</v>
      </c>
      <c r="V21" t="str">
        <f ca="1">"0x" &amp; DEC2HEX('(橫掃)add 逗號'!V21) &amp; ","</f>
        <v>0xAC,</v>
      </c>
      <c r="W21" t="str">
        <f ca="1">"0x" &amp; DEC2HEX('(橫掃)add 逗號'!W21) &amp; ","</f>
        <v>0xAD,</v>
      </c>
      <c r="X21" t="str">
        <f ca="1">"0x" &amp; DEC2HEX('(橫掃)add 逗號'!X21) &amp; ","</f>
        <v>0xAE,</v>
      </c>
      <c r="Y21" t="str">
        <f ca="1">"0x" &amp; DEC2HEX('(橫掃)add 逗號'!Y21) &amp; ","</f>
        <v>0xAF,</v>
      </c>
      <c r="Z21" t="str">
        <f ca="1">"0x" &amp; DEC2HEX('(橫掃)add 逗號'!Z21) &amp; ","</f>
        <v>0xB0,</v>
      </c>
      <c r="AA21" t="str">
        <f ca="1">"0x" &amp; DEC2HEX('(橫掃)add 逗號'!AA21) &amp; ","</f>
        <v>0xB1,</v>
      </c>
      <c r="AB21" t="str">
        <f ca="1">"0x" &amp; DEC2HEX('(橫掃)add 逗號'!AB21) &amp; ","</f>
        <v>0xB2,</v>
      </c>
      <c r="AC21" t="str">
        <f ca="1">"0x" &amp; DEC2HEX('(橫掃)add 逗號'!AC21) &amp; ","</f>
        <v>0xB3,</v>
      </c>
      <c r="AD21" t="str">
        <f ca="1">"0x" &amp; DEC2HEX('(橫掃)add 逗號'!AD21) &amp; ","</f>
        <v>0xB4,</v>
      </c>
      <c r="AE21" t="str">
        <f ca="1">"0x" &amp; DEC2HEX('(橫掃)add 逗號'!AE21) &amp; ","</f>
        <v>0xB5,</v>
      </c>
      <c r="AF21" t="str">
        <f ca="1">"0x" &amp; DEC2HEX('(橫掃)add 逗號'!AF21) &amp; ","</f>
        <v>0xB6,</v>
      </c>
      <c r="AG21" t="str">
        <f ca="1">"0x" &amp; DEC2HEX('(橫掃)add 逗號'!AG21) &amp; ","</f>
        <v>0xB7,</v>
      </c>
    </row>
    <row r="22" spans="1:33" x14ac:dyDescent="0.25">
      <c r="A22" s="20">
        <v>21</v>
      </c>
      <c r="B22" t="str">
        <f ca="1">"0x" &amp; DEC2HEX('(橫掃)add 逗號'!B22) &amp; ","</f>
        <v>0xB8,</v>
      </c>
      <c r="C22" t="str">
        <f ca="1">"0x" &amp; DEC2HEX('(橫掃)add 逗號'!C22) &amp; ","</f>
        <v>0xB9,</v>
      </c>
      <c r="D22" t="str">
        <f ca="1">"0x" &amp; DEC2HEX('(橫掃)add 逗號'!D22) &amp; ","</f>
        <v>0xBA,</v>
      </c>
      <c r="E22" t="str">
        <f ca="1">"0x" &amp; DEC2HEX('(橫掃)add 逗號'!E22) &amp; ","</f>
        <v>0xBB,</v>
      </c>
      <c r="F22" t="str">
        <f ca="1">"0x" &amp; DEC2HEX('(橫掃)add 逗號'!F22) &amp; ","</f>
        <v>0xBC,</v>
      </c>
      <c r="G22" t="str">
        <f ca="1">"0x" &amp; DEC2HEX('(橫掃)add 逗號'!G22) &amp; ","</f>
        <v>0xBD,</v>
      </c>
      <c r="H22" t="str">
        <f ca="1">"0x" &amp; DEC2HEX('(橫掃)add 逗號'!H22) &amp; ","</f>
        <v>0xBE,</v>
      </c>
      <c r="I22" t="str">
        <f ca="1">"0x" &amp; DEC2HEX('(橫掃)add 逗號'!I22) &amp; ","</f>
        <v>0xBF,</v>
      </c>
      <c r="J22" t="str">
        <f ca="1">"0x" &amp; DEC2HEX('(橫掃)add 逗號'!J22) &amp; ","</f>
        <v>0xC0,</v>
      </c>
      <c r="K22" t="str">
        <f ca="1">"0x" &amp; DEC2HEX('(橫掃)add 逗號'!K22) &amp; ","</f>
        <v>0xC1,</v>
      </c>
      <c r="L22" t="str">
        <f ca="1">"0x" &amp; DEC2HEX('(橫掃)add 逗號'!L22) &amp; ","</f>
        <v>0xC2,</v>
      </c>
      <c r="M22" t="str">
        <f ca="1">"0x" &amp; DEC2HEX('(橫掃)add 逗號'!M22) &amp; ","</f>
        <v>0xC3,</v>
      </c>
      <c r="N22" t="str">
        <f ca="1">"0x" &amp; DEC2HEX('(橫掃)add 逗號'!N22) &amp; ","</f>
        <v>0xC4,</v>
      </c>
      <c r="O22" t="str">
        <f ca="1">"0x" &amp; DEC2HEX('(橫掃)add 逗號'!O22) &amp; ","</f>
        <v>0xC5,</v>
      </c>
      <c r="P22" t="str">
        <f ca="1">"0x" &amp; DEC2HEX('(橫掃)add 逗號'!P22) &amp; ","</f>
        <v>0xC6,</v>
      </c>
      <c r="Q22" t="str">
        <f ca="1">"0x" &amp; DEC2HEX('(橫掃)add 逗號'!Q22) &amp; ","</f>
        <v>0xC7,</v>
      </c>
      <c r="R22" t="str">
        <f ca="1">"0x" &amp; DEC2HEX('(橫掃)add 逗號'!R22) &amp; ","</f>
        <v>0xC8,</v>
      </c>
      <c r="S22" t="str">
        <f ca="1">"0x" &amp; DEC2HEX('(橫掃)add 逗號'!S22) &amp; ","</f>
        <v>0xC9,</v>
      </c>
      <c r="T22" t="str">
        <f ca="1">"0x" &amp; DEC2HEX('(橫掃)add 逗號'!T22) &amp; ","</f>
        <v>0xCA,</v>
      </c>
      <c r="U22" t="str">
        <f ca="1">"0x" &amp; DEC2HEX('(橫掃)add 逗號'!U22) &amp; ","</f>
        <v>0xCB,</v>
      </c>
      <c r="V22" t="str">
        <f ca="1">"0x" &amp; DEC2HEX('(橫掃)add 逗號'!V22) &amp; ","</f>
        <v>0xCC,</v>
      </c>
      <c r="W22" t="str">
        <f ca="1">"0x" &amp; DEC2HEX('(橫掃)add 逗號'!W22) &amp; ","</f>
        <v>0xCD,</v>
      </c>
      <c r="X22" t="str">
        <f ca="1">"0x" &amp; DEC2HEX('(橫掃)add 逗號'!X22) &amp; ","</f>
        <v>0xCE,</v>
      </c>
      <c r="Y22" t="str">
        <f ca="1">"0x" &amp; DEC2HEX('(橫掃)add 逗號'!Y22) &amp; ","</f>
        <v>0xCF,</v>
      </c>
      <c r="Z22" t="str">
        <f ca="1">"0x" &amp; DEC2HEX('(橫掃)add 逗號'!Z22) &amp; ","</f>
        <v>0xD0,</v>
      </c>
      <c r="AA22" t="str">
        <f ca="1">"0x" &amp; DEC2HEX('(橫掃)add 逗號'!AA22) &amp; ","</f>
        <v>0xD1,</v>
      </c>
      <c r="AB22" t="str">
        <f ca="1">"0x" &amp; DEC2HEX('(橫掃)add 逗號'!AB22) &amp; ","</f>
        <v>0xD2,</v>
      </c>
      <c r="AC22" t="str">
        <f ca="1">"0x" &amp; DEC2HEX('(橫掃)add 逗號'!AC22) &amp; ","</f>
        <v>0xD3,</v>
      </c>
      <c r="AD22" t="str">
        <f ca="1">"0x" &amp; DEC2HEX('(橫掃)add 逗號'!AD22) &amp; ","</f>
        <v>0xD4,</v>
      </c>
      <c r="AE22" t="str">
        <f ca="1">"0x" &amp; DEC2HEX('(橫掃)add 逗號'!AE22) &amp; ","</f>
        <v>0xD5,</v>
      </c>
      <c r="AF22" t="str">
        <f ca="1">"0x" &amp; DEC2HEX('(橫掃)add 逗號'!AF22) &amp; ","</f>
        <v>0xD6,</v>
      </c>
      <c r="AG22" t="str">
        <f ca="1">"0x" &amp; DEC2HEX('(橫掃)add 逗號'!AG22) &amp; ","</f>
        <v>0xD7,</v>
      </c>
    </row>
    <row r="23" spans="1:33" x14ac:dyDescent="0.25">
      <c r="A23" s="20">
        <v>22</v>
      </c>
      <c r="B23" t="str">
        <f ca="1">"0x" &amp; DEC2HEX('(橫掃)add 逗號'!B23) &amp; ","</f>
        <v>0xD8,</v>
      </c>
      <c r="C23" t="str">
        <f ca="1">"0x" &amp; DEC2HEX('(橫掃)add 逗號'!C23) &amp; ","</f>
        <v>0xD9,</v>
      </c>
      <c r="D23" t="str">
        <f ca="1">"0x" &amp; DEC2HEX('(橫掃)add 逗號'!D23) &amp; ","</f>
        <v>0xDA,</v>
      </c>
      <c r="E23" t="str">
        <f ca="1">"0x" &amp; DEC2HEX('(橫掃)add 逗號'!E23) &amp; ","</f>
        <v>0xDB,</v>
      </c>
      <c r="F23" t="str">
        <f ca="1">"0x" &amp; DEC2HEX('(橫掃)add 逗號'!F23) &amp; ","</f>
        <v>0xDC,</v>
      </c>
      <c r="G23" t="str">
        <f ca="1">"0x" &amp; DEC2HEX('(橫掃)add 逗號'!G23) &amp; ","</f>
        <v>0xDD,</v>
      </c>
      <c r="H23" t="str">
        <f ca="1">"0x" &amp; DEC2HEX('(橫掃)add 逗號'!H23) &amp; ","</f>
        <v>0xDE,</v>
      </c>
      <c r="I23" t="str">
        <f ca="1">"0x" &amp; DEC2HEX('(橫掃)add 逗號'!I23) &amp; ","</f>
        <v>0xDF,</v>
      </c>
      <c r="J23" t="str">
        <f ca="1">"0x" &amp; DEC2HEX('(橫掃)add 逗號'!J23) &amp; ","</f>
        <v>0xE0,</v>
      </c>
      <c r="K23" t="str">
        <f ca="1">"0x" &amp; DEC2HEX('(橫掃)add 逗號'!K23) &amp; ","</f>
        <v>0xE1,</v>
      </c>
      <c r="L23" t="str">
        <f ca="1">"0x" &amp; DEC2HEX('(橫掃)add 逗號'!L23) &amp; ","</f>
        <v>0xE2,</v>
      </c>
      <c r="M23" t="str">
        <f ca="1">"0x" &amp; DEC2HEX('(橫掃)add 逗號'!M23) &amp; ","</f>
        <v>0xE3,</v>
      </c>
      <c r="N23" t="str">
        <f ca="1">"0x" &amp; DEC2HEX('(橫掃)add 逗號'!N23) &amp; ","</f>
        <v>0xE4,</v>
      </c>
      <c r="O23" t="str">
        <f ca="1">"0x" &amp; DEC2HEX('(橫掃)add 逗號'!O23) &amp; ","</f>
        <v>0xE5,</v>
      </c>
      <c r="P23" t="str">
        <f ca="1">"0x" &amp; DEC2HEX('(橫掃)add 逗號'!P23) &amp; ","</f>
        <v>0xE6,</v>
      </c>
      <c r="Q23" t="str">
        <f ca="1">"0x" &amp; DEC2HEX('(橫掃)add 逗號'!Q23) &amp; ","</f>
        <v>0xE7,</v>
      </c>
      <c r="R23" t="str">
        <f ca="1">"0x" &amp; DEC2HEX('(橫掃)add 逗號'!R23) &amp; ","</f>
        <v>0xE8,</v>
      </c>
      <c r="S23" t="str">
        <f ca="1">"0x" &amp; DEC2HEX('(橫掃)add 逗號'!S23) &amp; ","</f>
        <v>0xE9,</v>
      </c>
      <c r="T23" t="str">
        <f ca="1">"0x" &amp; DEC2HEX('(橫掃)add 逗號'!T23) &amp; ","</f>
        <v>0xEA,</v>
      </c>
      <c r="U23" t="str">
        <f ca="1">"0x" &amp; DEC2HEX('(橫掃)add 逗號'!U23) &amp; ","</f>
        <v>0xEB,</v>
      </c>
      <c r="V23" t="str">
        <f ca="1">"0x" &amp; DEC2HEX('(橫掃)add 逗號'!V23) &amp; ","</f>
        <v>0xEC,</v>
      </c>
      <c r="W23" t="str">
        <f ca="1">"0x" &amp; DEC2HEX('(橫掃)add 逗號'!W23) &amp; ","</f>
        <v>0xED,</v>
      </c>
      <c r="X23" t="str">
        <f ca="1">"0x" &amp; DEC2HEX('(橫掃)add 逗號'!X23) &amp; ","</f>
        <v>0xEE,</v>
      </c>
      <c r="Y23" t="str">
        <f ca="1">"0x" &amp; DEC2HEX('(橫掃)add 逗號'!Y23) &amp; ","</f>
        <v>0xEF,</v>
      </c>
      <c r="Z23" t="str">
        <f ca="1">"0x" &amp; DEC2HEX('(橫掃)add 逗號'!Z23) &amp; ","</f>
        <v>0xEF,</v>
      </c>
      <c r="AA23" t="str">
        <f ca="1">"0x" &amp; DEC2HEX('(橫掃)add 逗號'!AA23) &amp; ","</f>
        <v>0xEE,</v>
      </c>
      <c r="AB23" t="str">
        <f ca="1">"0x" &amp; DEC2HEX('(橫掃)add 逗號'!AB23) &amp; ","</f>
        <v>0xED,</v>
      </c>
      <c r="AC23" t="str">
        <f ca="1">"0x" &amp; DEC2HEX('(橫掃)add 逗號'!AC23) &amp; ","</f>
        <v>0xEC,</v>
      </c>
      <c r="AD23" t="str">
        <f ca="1">"0x" &amp; DEC2HEX('(橫掃)add 逗號'!AD23) &amp; ","</f>
        <v>0xEB,</v>
      </c>
      <c r="AE23" t="str">
        <f ca="1">"0x" &amp; DEC2HEX('(橫掃)add 逗號'!AE23) &amp; ","</f>
        <v>0xEA,</v>
      </c>
      <c r="AF23" t="str">
        <f ca="1">"0x" &amp; DEC2HEX('(橫掃)add 逗號'!AF23) &amp; ","</f>
        <v>0xE9,</v>
      </c>
      <c r="AG23" t="str">
        <f ca="1">"0x" &amp; DEC2HEX('(橫掃)add 逗號'!AG23) &amp; ","</f>
        <v>0xE8,</v>
      </c>
    </row>
    <row r="24" spans="1:33" x14ac:dyDescent="0.25">
      <c r="A24" s="20">
        <v>23</v>
      </c>
      <c r="B24" t="str">
        <f ca="1">"0x" &amp; DEC2HEX('(橫掃)add 逗號'!B24) &amp; ","</f>
        <v>0xE7,</v>
      </c>
      <c r="C24" t="str">
        <f ca="1">"0x" &amp; DEC2HEX('(橫掃)add 逗號'!C24) &amp; ","</f>
        <v>0xE6,</v>
      </c>
      <c r="D24" t="str">
        <f ca="1">"0x" &amp; DEC2HEX('(橫掃)add 逗號'!D24) &amp; ","</f>
        <v>0xE5,</v>
      </c>
      <c r="E24" t="str">
        <f ca="1">"0x" &amp; DEC2HEX('(橫掃)add 逗號'!E24) &amp; ","</f>
        <v>0xE4,</v>
      </c>
      <c r="F24" t="str">
        <f ca="1">"0x" &amp; DEC2HEX('(橫掃)add 逗號'!F24) &amp; ","</f>
        <v>0xE3,</v>
      </c>
      <c r="G24" t="str">
        <f ca="1">"0x" &amp; DEC2HEX('(橫掃)add 逗號'!G24) &amp; ","</f>
        <v>0xE2,</v>
      </c>
      <c r="H24" t="str">
        <f ca="1">"0x" &amp; DEC2HEX('(橫掃)add 逗號'!H24) &amp; ","</f>
        <v>0xE1,</v>
      </c>
      <c r="I24" t="str">
        <f ca="1">"0x" &amp; DEC2HEX('(橫掃)add 逗號'!I24) &amp; ","</f>
        <v>0xE0,</v>
      </c>
      <c r="J24" t="str">
        <f ca="1">"0x" &amp; DEC2HEX('(橫掃)add 逗號'!J24) &amp; ","</f>
        <v>0xDF,</v>
      </c>
      <c r="K24" t="str">
        <f ca="1">"0x" &amp; DEC2HEX('(橫掃)add 逗號'!K24) &amp; ","</f>
        <v>0xDE,</v>
      </c>
      <c r="L24" t="str">
        <f ca="1">"0x" &amp; DEC2HEX('(橫掃)add 逗號'!L24) &amp; ","</f>
        <v>0xDD,</v>
      </c>
      <c r="M24" t="str">
        <f ca="1">"0x" &amp; DEC2HEX('(橫掃)add 逗號'!M24) &amp; ","</f>
        <v>0xDC,</v>
      </c>
      <c r="N24" t="str">
        <f ca="1">"0x" &amp; DEC2HEX('(橫掃)add 逗號'!N24) &amp; ","</f>
        <v>0xDB,</v>
      </c>
      <c r="O24" t="str">
        <f ca="1">"0x" &amp; DEC2HEX('(橫掃)add 逗號'!O24) &amp; ","</f>
        <v>0xDA,</v>
      </c>
      <c r="P24" t="str">
        <f ca="1">"0x" &amp; DEC2HEX('(橫掃)add 逗號'!P24) &amp; ","</f>
        <v>0xD9,</v>
      </c>
      <c r="Q24" t="str">
        <f ca="1">"0x" &amp; DEC2HEX('(橫掃)add 逗號'!Q24) &amp; ","</f>
        <v>0xD8,</v>
      </c>
      <c r="R24" t="str">
        <f ca="1">"0x" &amp; DEC2HEX('(橫掃)add 逗號'!R24) &amp; ","</f>
        <v>0xD7,</v>
      </c>
      <c r="S24" t="str">
        <f ca="1">"0x" &amp; DEC2HEX('(橫掃)add 逗號'!S24) &amp; ","</f>
        <v>0xD6,</v>
      </c>
      <c r="T24" t="str">
        <f ca="1">"0x" &amp; DEC2HEX('(橫掃)add 逗號'!T24) &amp; ","</f>
        <v>0xD5,</v>
      </c>
      <c r="U24" t="str">
        <f ca="1">"0x" &amp; DEC2HEX('(橫掃)add 逗號'!U24) &amp; ","</f>
        <v>0xD4,</v>
      </c>
      <c r="V24" t="str">
        <f ca="1">"0x" &amp; DEC2HEX('(橫掃)add 逗號'!V24) &amp; ","</f>
        <v>0xD3,</v>
      </c>
      <c r="W24" t="str">
        <f ca="1">"0x" &amp; DEC2HEX('(橫掃)add 逗號'!W24) &amp; ","</f>
        <v>0xD2,</v>
      </c>
      <c r="X24" t="str">
        <f ca="1">"0x" &amp; DEC2HEX('(橫掃)add 逗號'!X24) &amp; ","</f>
        <v>0xD1,</v>
      </c>
      <c r="Y24" t="str">
        <f ca="1">"0x" &amp; DEC2HEX('(橫掃)add 逗號'!Y24) &amp; ","</f>
        <v>0xD0,</v>
      </c>
      <c r="Z24" t="str">
        <f ca="1">"0x" &amp; DEC2HEX('(橫掃)add 逗號'!Z24) &amp; ","</f>
        <v>0xCF,</v>
      </c>
      <c r="AA24" t="str">
        <f ca="1">"0x" &amp; DEC2HEX('(橫掃)add 逗號'!AA24) &amp; ","</f>
        <v>0xCE,</v>
      </c>
      <c r="AB24" t="str">
        <f ca="1">"0x" &amp; DEC2HEX('(橫掃)add 逗號'!AB24) &amp; ","</f>
        <v>0xCD,</v>
      </c>
      <c r="AC24" t="str">
        <f ca="1">"0x" &amp; DEC2HEX('(橫掃)add 逗號'!AC24) &amp; ","</f>
        <v>0xCC,</v>
      </c>
      <c r="AD24" t="str">
        <f ca="1">"0x" &amp; DEC2HEX('(橫掃)add 逗號'!AD24) &amp; ","</f>
        <v>0xCB,</v>
      </c>
      <c r="AE24" t="str">
        <f ca="1">"0x" &amp; DEC2HEX('(橫掃)add 逗號'!AE24) &amp; ","</f>
        <v>0xCA,</v>
      </c>
      <c r="AF24" t="str">
        <f ca="1">"0x" &amp; DEC2HEX('(橫掃)add 逗號'!AF24) &amp; ","</f>
        <v>0xC9,</v>
      </c>
      <c r="AG24" t="str">
        <f ca="1">"0x" &amp; DEC2HEX('(橫掃)add 逗號'!AG24) &amp; ","</f>
        <v>0xC8,</v>
      </c>
    </row>
    <row r="25" spans="1:33" x14ac:dyDescent="0.25">
      <c r="A25" s="20">
        <v>24</v>
      </c>
      <c r="B25" t="str">
        <f ca="1">"0x" &amp; DEC2HEX('(橫掃)add 逗號'!B25) &amp; ","</f>
        <v>0xC7,</v>
      </c>
      <c r="C25" t="str">
        <f ca="1">"0x" &amp; DEC2HEX('(橫掃)add 逗號'!C25) &amp; ","</f>
        <v>0xC6,</v>
      </c>
      <c r="D25" t="str">
        <f ca="1">"0x" &amp; DEC2HEX('(橫掃)add 逗號'!D25) &amp; ","</f>
        <v>0xC5,</v>
      </c>
      <c r="E25" t="str">
        <f ca="1">"0x" &amp; DEC2HEX('(橫掃)add 逗號'!E25) &amp; ","</f>
        <v>0xC4,</v>
      </c>
      <c r="F25" t="str">
        <f ca="1">"0x" &amp; DEC2HEX('(橫掃)add 逗號'!F25) &amp; ","</f>
        <v>0xC3,</v>
      </c>
      <c r="G25" t="str">
        <f ca="1">"0x" &amp; DEC2HEX('(橫掃)add 逗號'!G25) &amp; ","</f>
        <v>0xC2,</v>
      </c>
      <c r="H25" t="str">
        <f ca="1">"0x" &amp; DEC2HEX('(橫掃)add 逗號'!H25) &amp; ","</f>
        <v>0xC1,</v>
      </c>
      <c r="I25" t="str">
        <f ca="1">"0x" &amp; DEC2HEX('(橫掃)add 逗號'!I25) &amp; ","</f>
        <v>0xC0,</v>
      </c>
      <c r="J25" t="str">
        <f ca="1">"0x" &amp; DEC2HEX('(橫掃)add 逗號'!J25) &amp; ","</f>
        <v>0xBF,</v>
      </c>
      <c r="K25" t="str">
        <f ca="1">"0x" &amp; DEC2HEX('(橫掃)add 逗號'!K25) &amp; ","</f>
        <v>0xBE,</v>
      </c>
      <c r="L25" t="str">
        <f ca="1">"0x" &amp; DEC2HEX('(橫掃)add 逗號'!L25) &amp; ","</f>
        <v>0xBD,</v>
      </c>
      <c r="M25" t="str">
        <f ca="1">"0x" &amp; DEC2HEX('(橫掃)add 逗號'!M25) &amp; ","</f>
        <v>0xBC,</v>
      </c>
      <c r="N25" t="str">
        <f ca="1">"0x" &amp; DEC2HEX('(橫掃)add 逗號'!N25) &amp; ","</f>
        <v>0xBB,</v>
      </c>
      <c r="O25" t="str">
        <f ca="1">"0x" &amp; DEC2HEX('(橫掃)add 逗號'!O25) &amp; ","</f>
        <v>0xBA,</v>
      </c>
      <c r="P25" t="str">
        <f ca="1">"0x" &amp; DEC2HEX('(橫掃)add 逗號'!P25) &amp; ","</f>
        <v>0xB9,</v>
      </c>
      <c r="Q25" t="str">
        <f ca="1">"0x" &amp; DEC2HEX('(橫掃)add 逗號'!Q25) &amp; ","</f>
        <v>0xB8,</v>
      </c>
      <c r="R25" t="str">
        <f ca="1">"0x" &amp; DEC2HEX('(橫掃)add 逗號'!R25) &amp; ","</f>
        <v>0xB7,</v>
      </c>
      <c r="S25" t="str">
        <f ca="1">"0x" &amp; DEC2HEX('(橫掃)add 逗號'!S25) &amp; ","</f>
        <v>0xB6,</v>
      </c>
      <c r="T25" t="str">
        <f ca="1">"0x" &amp; DEC2HEX('(橫掃)add 逗號'!T25) &amp; ","</f>
        <v>0xB5,</v>
      </c>
      <c r="U25" t="str">
        <f ca="1">"0x" &amp; DEC2HEX('(橫掃)add 逗號'!U25) &amp; ","</f>
        <v>0xB4,</v>
      </c>
      <c r="V25" t="str">
        <f ca="1">"0x" &amp; DEC2HEX('(橫掃)add 逗號'!V25) &amp; ","</f>
        <v>0xB3,</v>
      </c>
      <c r="W25" t="str">
        <f ca="1">"0x" &amp; DEC2HEX('(橫掃)add 逗號'!W25) &amp; ","</f>
        <v>0xB2,</v>
      </c>
      <c r="X25" t="str">
        <f ca="1">"0x" &amp; DEC2HEX('(橫掃)add 逗號'!X25) &amp; ","</f>
        <v>0xB1,</v>
      </c>
      <c r="Y25" t="str">
        <f ca="1">"0x" &amp; DEC2HEX('(橫掃)add 逗號'!Y25) &amp; ","</f>
        <v>0xB0,</v>
      </c>
      <c r="Z25" t="str">
        <f ca="1">"0x" &amp; DEC2HEX('(橫掃)add 逗號'!Z25) &amp; ","</f>
        <v>0xAF,</v>
      </c>
      <c r="AA25" t="str">
        <f ca="1">"0x" &amp; DEC2HEX('(橫掃)add 逗號'!AA25) &amp; ","</f>
        <v>0xAE,</v>
      </c>
      <c r="AB25" t="str">
        <f ca="1">"0x" &amp; DEC2HEX('(橫掃)add 逗號'!AB25) &amp; ","</f>
        <v>0xAD,</v>
      </c>
      <c r="AC25" t="str">
        <f ca="1">"0x" &amp; DEC2HEX('(橫掃)add 逗號'!AC25) &amp; ","</f>
        <v>0xAC,</v>
      </c>
      <c r="AD25" t="str">
        <f ca="1">"0x" &amp; DEC2HEX('(橫掃)add 逗號'!AD25) &amp; ","</f>
        <v>0xAB,</v>
      </c>
      <c r="AE25" t="str">
        <f ca="1">"0x" &amp; DEC2HEX('(橫掃)add 逗號'!AE25) &amp; ","</f>
        <v>0xAA,</v>
      </c>
      <c r="AF25" t="str">
        <f ca="1">"0x" &amp; DEC2HEX('(橫掃)add 逗號'!AF25) &amp; ","</f>
        <v>0xA9,</v>
      </c>
      <c r="AG25" t="str">
        <f ca="1">"0x" &amp; DEC2HEX('(橫掃)add 逗號'!AG25) &amp; ","</f>
        <v>0xA8,</v>
      </c>
    </row>
    <row r="26" spans="1:33" x14ac:dyDescent="0.25">
      <c r="A26" s="20">
        <v>25</v>
      </c>
      <c r="B26" t="str">
        <f ca="1">"0x" &amp; DEC2HEX('(橫掃)add 逗號'!B26) &amp; ","</f>
        <v>0xA7,</v>
      </c>
      <c r="C26" t="str">
        <f ca="1">"0x" &amp; DEC2HEX('(橫掃)add 逗號'!C26) &amp; ","</f>
        <v>0xA6,</v>
      </c>
      <c r="D26" t="str">
        <f ca="1">"0x" &amp; DEC2HEX('(橫掃)add 逗號'!D26) &amp; ","</f>
        <v>0xA5,</v>
      </c>
      <c r="E26" t="str">
        <f ca="1">"0x" &amp; DEC2HEX('(橫掃)add 逗號'!E26) &amp; ","</f>
        <v>0xA4,</v>
      </c>
      <c r="F26" t="str">
        <f ca="1">"0x" &amp; DEC2HEX('(橫掃)add 逗號'!F26) &amp; ","</f>
        <v>0xA3,</v>
      </c>
      <c r="G26" t="str">
        <f ca="1">"0x" &amp; DEC2HEX('(橫掃)add 逗號'!G26) &amp; ","</f>
        <v>0xA2,</v>
      </c>
      <c r="H26" t="str">
        <f ca="1">"0x" &amp; DEC2HEX('(橫掃)add 逗號'!H26) &amp; ","</f>
        <v>0xA1,</v>
      </c>
      <c r="I26" t="str">
        <f ca="1">"0x" &amp; DEC2HEX('(橫掃)add 逗號'!I26) &amp; ","</f>
        <v>0xA0,</v>
      </c>
      <c r="J26" t="str">
        <f ca="1">"0x" &amp; DEC2HEX('(橫掃)add 逗號'!J26) &amp; ","</f>
        <v>0x9F,</v>
      </c>
      <c r="K26" t="str">
        <f ca="1">"0x" &amp; DEC2HEX('(橫掃)add 逗號'!K26) &amp; ","</f>
        <v>0x9E,</v>
      </c>
      <c r="L26" t="str">
        <f ca="1">"0x" &amp; DEC2HEX('(橫掃)add 逗號'!L26) &amp; ","</f>
        <v>0x9D,</v>
      </c>
      <c r="M26" t="str">
        <f ca="1">"0x" &amp; DEC2HEX('(橫掃)add 逗號'!M26) &amp; ","</f>
        <v>0x9C,</v>
      </c>
      <c r="N26" t="str">
        <f ca="1">"0x" &amp; DEC2HEX('(橫掃)add 逗號'!N26) &amp; ","</f>
        <v>0x9B,</v>
      </c>
      <c r="O26" t="str">
        <f ca="1">"0x" &amp; DEC2HEX('(橫掃)add 逗號'!O26) &amp; ","</f>
        <v>0x9A,</v>
      </c>
      <c r="P26" t="str">
        <f ca="1">"0x" &amp; DEC2HEX('(橫掃)add 逗號'!P26) &amp; ","</f>
        <v>0x99,</v>
      </c>
      <c r="Q26" t="str">
        <f ca="1">"0x" &amp; DEC2HEX('(橫掃)add 逗號'!Q26) &amp; ","</f>
        <v>0x98,</v>
      </c>
      <c r="R26" t="str">
        <f ca="1">"0x" &amp; DEC2HEX('(橫掃)add 逗號'!R26) &amp; ","</f>
        <v>0x97,</v>
      </c>
      <c r="S26" t="str">
        <f ca="1">"0x" &amp; DEC2HEX('(橫掃)add 逗號'!S26) &amp; ","</f>
        <v>0x96,</v>
      </c>
      <c r="T26" t="str">
        <f ca="1">"0x" &amp; DEC2HEX('(橫掃)add 逗號'!T26) &amp; ","</f>
        <v>0x95,</v>
      </c>
      <c r="U26" t="str">
        <f ca="1">"0x" &amp; DEC2HEX('(橫掃)add 逗號'!U26) &amp; ","</f>
        <v>0x94,</v>
      </c>
      <c r="V26" t="str">
        <f ca="1">"0x" &amp; DEC2HEX('(橫掃)add 逗號'!V26) &amp; ","</f>
        <v>0x93,</v>
      </c>
      <c r="W26" t="str">
        <f ca="1">"0x" &amp; DEC2HEX('(橫掃)add 逗號'!W26) &amp; ","</f>
        <v>0x92,</v>
      </c>
      <c r="X26" t="str">
        <f ca="1">"0x" &amp; DEC2HEX('(橫掃)add 逗號'!X26) &amp; ","</f>
        <v>0x91,</v>
      </c>
      <c r="Y26" t="str">
        <f ca="1">"0x" &amp; DEC2HEX('(橫掃)add 逗號'!Y26) &amp; ","</f>
        <v>0x90,</v>
      </c>
      <c r="Z26" t="str">
        <f ca="1">"0x" &amp; DEC2HEX('(橫掃)add 逗號'!Z26) &amp; ","</f>
        <v>0x8F,</v>
      </c>
      <c r="AA26" t="str">
        <f ca="1">"0x" &amp; DEC2HEX('(橫掃)add 逗號'!AA26) &amp; ","</f>
        <v>0x8E,</v>
      </c>
      <c r="AB26" t="str">
        <f ca="1">"0x" &amp; DEC2HEX('(橫掃)add 逗號'!AB26) &amp; ","</f>
        <v>0x8D,</v>
      </c>
      <c r="AC26" t="str">
        <f ca="1">"0x" &amp; DEC2HEX('(橫掃)add 逗號'!AC26) &amp; ","</f>
        <v>0x8C,</v>
      </c>
      <c r="AD26" t="str">
        <f ca="1">"0x" &amp; DEC2HEX('(橫掃)add 逗號'!AD26) &amp; ","</f>
        <v>0x8B,</v>
      </c>
      <c r="AE26" t="str">
        <f ca="1">"0x" &amp; DEC2HEX('(橫掃)add 逗號'!AE26) &amp; ","</f>
        <v>0x8A,</v>
      </c>
      <c r="AF26" t="str">
        <f ca="1">"0x" &amp; DEC2HEX('(橫掃)add 逗號'!AF26) &amp; ","</f>
        <v>0x89,</v>
      </c>
      <c r="AG26" t="str">
        <f ca="1">"0x" &amp; DEC2HEX('(橫掃)add 逗號'!AG26) &amp; ","</f>
        <v>0x88,</v>
      </c>
    </row>
    <row r="27" spans="1:33" x14ac:dyDescent="0.25">
      <c r="A27" s="20">
        <v>26</v>
      </c>
      <c r="B27" t="str">
        <f ca="1">"0x" &amp; DEC2HEX('(橫掃)add 逗號'!B27) &amp; ","</f>
        <v>0x87,</v>
      </c>
      <c r="C27" t="str">
        <f ca="1">"0x" &amp; DEC2HEX('(橫掃)add 逗號'!C27) &amp; ","</f>
        <v>0x86,</v>
      </c>
      <c r="D27" t="str">
        <f ca="1">"0x" &amp; DEC2HEX('(橫掃)add 逗號'!D27) &amp; ","</f>
        <v>0x85,</v>
      </c>
      <c r="E27" t="str">
        <f ca="1">"0x" &amp; DEC2HEX('(橫掃)add 逗號'!E27) &amp; ","</f>
        <v>0x84,</v>
      </c>
      <c r="F27" t="str">
        <f ca="1">"0x" &amp; DEC2HEX('(橫掃)add 逗號'!F27) &amp; ","</f>
        <v>0x83,</v>
      </c>
      <c r="G27" t="str">
        <f ca="1">"0x" &amp; DEC2HEX('(橫掃)add 逗號'!G27) &amp; ","</f>
        <v>0x82,</v>
      </c>
      <c r="H27" t="str">
        <f ca="1">"0x" &amp; DEC2HEX('(橫掃)add 逗號'!H27) &amp; ","</f>
        <v>0x81,</v>
      </c>
      <c r="I27" t="str">
        <f ca="1">"0x" &amp; DEC2HEX('(橫掃)add 逗號'!I27) &amp; ","</f>
        <v>0x80,</v>
      </c>
      <c r="J27" t="str">
        <f ca="1">"0x" &amp; DEC2HEX('(橫掃)add 逗號'!J27) &amp; ","</f>
        <v>0x7F,</v>
      </c>
      <c r="K27" t="str">
        <f ca="1">"0x" &amp; DEC2HEX('(橫掃)add 逗號'!K27) &amp; ","</f>
        <v>0x7E,</v>
      </c>
      <c r="L27" t="str">
        <f ca="1">"0x" &amp; DEC2HEX('(橫掃)add 逗號'!L27) &amp; ","</f>
        <v>0x7D,</v>
      </c>
      <c r="M27" t="str">
        <f ca="1">"0x" &amp; DEC2HEX('(橫掃)add 逗號'!M27) &amp; ","</f>
        <v>0x7C,</v>
      </c>
      <c r="N27" t="str">
        <f ca="1">"0x" &amp; DEC2HEX('(橫掃)add 逗號'!N27) &amp; ","</f>
        <v>0x7B,</v>
      </c>
      <c r="O27" t="str">
        <f ca="1">"0x" &amp; DEC2HEX('(橫掃)add 逗號'!O27) &amp; ","</f>
        <v>0x7A,</v>
      </c>
      <c r="P27" t="str">
        <f ca="1">"0x" &amp; DEC2HEX('(橫掃)add 逗號'!P27) &amp; ","</f>
        <v>0x79,</v>
      </c>
      <c r="Q27" t="str">
        <f ca="1">"0x" &amp; DEC2HEX('(橫掃)add 逗號'!Q27) &amp; ","</f>
        <v>0x78,</v>
      </c>
    </row>
    <row r="28" spans="1:33" x14ac:dyDescent="0.25">
      <c r="A28" s="20">
        <v>27</v>
      </c>
    </row>
    <row r="29" spans="1:33" x14ac:dyDescent="0.25">
      <c r="A29" s="20">
        <v>28</v>
      </c>
    </row>
    <row r="30" spans="1:33" x14ac:dyDescent="0.25">
      <c r="A30" s="20">
        <v>29</v>
      </c>
      <c r="B30" t="e">
        <f ca="1">B20</f>
        <v>#VALUE!</v>
      </c>
      <c r="C30" t="e">
        <f t="shared" ref="C30:AG31" ca="1" si="8">C20</f>
        <v>#VALUE!</v>
      </c>
      <c r="D30" t="e">
        <f t="shared" ca="1" si="8"/>
        <v>#VALUE!</v>
      </c>
      <c r="E30" t="e">
        <f t="shared" ca="1" si="8"/>
        <v>#VALUE!</v>
      </c>
      <c r="F30" t="e">
        <f t="shared" ca="1" si="8"/>
        <v>#VALUE!</v>
      </c>
      <c r="G30" t="e">
        <f t="shared" ca="1" si="8"/>
        <v>#VALUE!</v>
      </c>
      <c r="H30" t="e">
        <f t="shared" ca="1" si="8"/>
        <v>#VALUE!</v>
      </c>
      <c r="I30" t="e">
        <f t="shared" ca="1" si="8"/>
        <v>#VALUE!</v>
      </c>
      <c r="J30" t="e">
        <f t="shared" ca="1" si="8"/>
        <v>#VALUE!</v>
      </c>
      <c r="K30" t="e">
        <f t="shared" ca="1" si="8"/>
        <v>#VALUE!</v>
      </c>
      <c r="L30" t="e">
        <f t="shared" ca="1" si="8"/>
        <v>#VALUE!</v>
      </c>
      <c r="M30" t="e">
        <f t="shared" ca="1" si="8"/>
        <v>#VALUE!</v>
      </c>
      <c r="N30" t="e">
        <f t="shared" ca="1" si="8"/>
        <v>#VALUE!</v>
      </c>
      <c r="O30" t="e">
        <f t="shared" ca="1" si="8"/>
        <v>#VALUE!</v>
      </c>
      <c r="P30" t="e">
        <f t="shared" ca="1" si="8"/>
        <v>#VALUE!</v>
      </c>
      <c r="Q30" t="e">
        <f t="shared" ca="1" si="8"/>
        <v>#VALUE!</v>
      </c>
      <c r="R30" t="str">
        <f t="shared" ca="1" si="8"/>
        <v>0x88,</v>
      </c>
      <c r="S30" t="str">
        <f t="shared" ca="1" si="8"/>
        <v>0x89,</v>
      </c>
      <c r="T30" t="str">
        <f t="shared" ca="1" si="8"/>
        <v>0x8A,</v>
      </c>
      <c r="U30" t="str">
        <f t="shared" ca="1" si="8"/>
        <v>0x8B,</v>
      </c>
      <c r="V30" t="str">
        <f t="shared" ca="1" si="8"/>
        <v>0x8C,</v>
      </c>
      <c r="W30" t="str">
        <f t="shared" ca="1" si="8"/>
        <v>0x8D,</v>
      </c>
      <c r="X30" t="str">
        <f t="shared" ca="1" si="8"/>
        <v>0x8E,</v>
      </c>
      <c r="Y30" t="str">
        <f t="shared" ca="1" si="8"/>
        <v>0x8F,</v>
      </c>
      <c r="Z30" t="str">
        <f t="shared" ca="1" si="8"/>
        <v>0x90,</v>
      </c>
      <c r="AA30" t="str">
        <f t="shared" ca="1" si="8"/>
        <v>0x91,</v>
      </c>
      <c r="AB30" t="str">
        <f t="shared" ca="1" si="8"/>
        <v>0x92,</v>
      </c>
      <c r="AC30" t="str">
        <f t="shared" ca="1" si="8"/>
        <v>0x93,</v>
      </c>
      <c r="AD30" t="str">
        <f t="shared" ca="1" si="8"/>
        <v>0x94,</v>
      </c>
      <c r="AE30" t="str">
        <f t="shared" ca="1" si="8"/>
        <v>0x95,</v>
      </c>
      <c r="AF30" t="str">
        <f t="shared" ca="1" si="8"/>
        <v>0x96,</v>
      </c>
      <c r="AG30" t="str">
        <f t="shared" ca="1" si="8"/>
        <v>0x97,</v>
      </c>
    </row>
    <row r="31" spans="1:33" x14ac:dyDescent="0.25">
      <c r="A31" s="20">
        <v>30</v>
      </c>
      <c r="B31" t="str">
        <f ca="1">B21</f>
        <v>0x98,</v>
      </c>
      <c r="C31" t="str">
        <f t="shared" ca="1" si="8"/>
        <v>0x99,</v>
      </c>
      <c r="D31" t="str">
        <f t="shared" ca="1" si="8"/>
        <v>0x9A,</v>
      </c>
      <c r="E31" t="str">
        <f t="shared" ca="1" si="8"/>
        <v>0x9B,</v>
      </c>
      <c r="F31" t="str">
        <f t="shared" ca="1" si="8"/>
        <v>0x9C,</v>
      </c>
      <c r="G31" t="str">
        <f t="shared" ca="1" si="8"/>
        <v>0x9D,</v>
      </c>
      <c r="H31" t="str">
        <f t="shared" ca="1" si="8"/>
        <v>0x9E,</v>
      </c>
      <c r="I31" t="str">
        <f t="shared" ca="1" si="8"/>
        <v>0x9F,</v>
      </c>
      <c r="J31" t="str">
        <f t="shared" ca="1" si="8"/>
        <v>0xA0,</v>
      </c>
      <c r="K31" t="str">
        <f t="shared" ca="1" si="8"/>
        <v>0xA1,</v>
      </c>
      <c r="L31" t="str">
        <f t="shared" ca="1" si="8"/>
        <v>0xA2,</v>
      </c>
      <c r="M31" t="str">
        <f t="shared" ca="1" si="8"/>
        <v>0xA3,</v>
      </c>
      <c r="N31" t="str">
        <f t="shared" ca="1" si="8"/>
        <v>0xA4,</v>
      </c>
      <c r="O31" t="str">
        <f t="shared" ca="1" si="8"/>
        <v>0xA5,</v>
      </c>
      <c r="P31" t="str">
        <f t="shared" ca="1" si="8"/>
        <v>0xA6,</v>
      </c>
      <c r="Q31" t="str">
        <f t="shared" ca="1" si="8"/>
        <v>0xA7,</v>
      </c>
      <c r="R31" t="str">
        <f t="shared" ca="1" si="8"/>
        <v>0xA8,</v>
      </c>
      <c r="S31" t="str">
        <f t="shared" ca="1" si="8"/>
        <v>0xA9,</v>
      </c>
      <c r="T31" t="str">
        <f t="shared" ca="1" si="8"/>
        <v>0xAA,</v>
      </c>
      <c r="U31" t="str">
        <f t="shared" ca="1" si="8"/>
        <v>0xAB,</v>
      </c>
      <c r="V31" t="str">
        <f t="shared" ca="1" si="8"/>
        <v>0xAC,</v>
      </c>
      <c r="W31" t="str">
        <f t="shared" ca="1" si="8"/>
        <v>0xAD,</v>
      </c>
      <c r="X31" t="str">
        <f t="shared" ca="1" si="8"/>
        <v>0xAE,</v>
      </c>
      <c r="Y31" t="str">
        <f t="shared" ca="1" si="8"/>
        <v>0xAF,</v>
      </c>
      <c r="Z31" t="str">
        <f t="shared" ca="1" si="8"/>
        <v>0xB0,</v>
      </c>
      <c r="AA31" t="str">
        <f t="shared" ca="1" si="8"/>
        <v>0xB1,</v>
      </c>
      <c r="AB31" t="str">
        <f t="shared" ca="1" si="8"/>
        <v>0xB2,</v>
      </c>
      <c r="AC31" t="str">
        <f t="shared" ca="1" si="8"/>
        <v>0xB3,</v>
      </c>
      <c r="AD31" t="str">
        <f t="shared" ca="1" si="8"/>
        <v>0xB4,</v>
      </c>
      <c r="AE31" t="str">
        <f t="shared" ca="1" si="8"/>
        <v>0xB5,</v>
      </c>
      <c r="AF31" t="str">
        <f t="shared" ca="1" si="8"/>
        <v>0xB6,</v>
      </c>
      <c r="AG31" t="str">
        <f t="shared" ca="1" si="8"/>
        <v>0xB7,</v>
      </c>
    </row>
    <row r="32" spans="1:33" x14ac:dyDescent="0.25">
      <c r="A32" s="20">
        <v>31</v>
      </c>
      <c r="B32" t="str">
        <f t="shared" ref="B32:AG37" ca="1" si="9">B22</f>
        <v>0xB8,</v>
      </c>
      <c r="C32" t="str">
        <f t="shared" ca="1" si="9"/>
        <v>0xB9,</v>
      </c>
      <c r="D32" t="str">
        <f t="shared" ca="1" si="9"/>
        <v>0xBA,</v>
      </c>
      <c r="E32" t="str">
        <f t="shared" ca="1" si="9"/>
        <v>0xBB,</v>
      </c>
      <c r="F32" t="str">
        <f t="shared" ca="1" si="9"/>
        <v>0xBC,</v>
      </c>
      <c r="G32" t="str">
        <f t="shared" ca="1" si="9"/>
        <v>0xBD,</v>
      </c>
      <c r="H32" t="str">
        <f t="shared" ca="1" si="9"/>
        <v>0xBE,</v>
      </c>
      <c r="I32" t="str">
        <f t="shared" ca="1" si="9"/>
        <v>0xBF,</v>
      </c>
      <c r="J32" t="str">
        <f t="shared" ca="1" si="9"/>
        <v>0xC0,</v>
      </c>
      <c r="K32" t="str">
        <f t="shared" ca="1" si="9"/>
        <v>0xC1,</v>
      </c>
      <c r="L32" t="str">
        <f t="shared" ca="1" si="9"/>
        <v>0xC2,</v>
      </c>
      <c r="M32" t="str">
        <f t="shared" ca="1" si="9"/>
        <v>0xC3,</v>
      </c>
      <c r="N32" t="str">
        <f t="shared" ca="1" si="9"/>
        <v>0xC4,</v>
      </c>
      <c r="O32" t="str">
        <f t="shared" ca="1" si="9"/>
        <v>0xC5,</v>
      </c>
      <c r="P32" t="str">
        <f t="shared" ca="1" si="9"/>
        <v>0xC6,</v>
      </c>
      <c r="Q32" t="str">
        <f t="shared" ca="1" si="9"/>
        <v>0xC7,</v>
      </c>
      <c r="R32" t="str">
        <f t="shared" ca="1" si="9"/>
        <v>0xC8,</v>
      </c>
      <c r="S32" t="str">
        <f t="shared" ca="1" si="9"/>
        <v>0xC9,</v>
      </c>
      <c r="T32" t="str">
        <f t="shared" ca="1" si="9"/>
        <v>0xCA,</v>
      </c>
      <c r="U32" t="str">
        <f t="shared" ca="1" si="9"/>
        <v>0xCB,</v>
      </c>
      <c r="V32" t="str">
        <f t="shared" ca="1" si="9"/>
        <v>0xCC,</v>
      </c>
      <c r="W32" t="str">
        <f t="shared" ca="1" si="9"/>
        <v>0xCD,</v>
      </c>
      <c r="X32" t="str">
        <f t="shared" ca="1" si="9"/>
        <v>0xCE,</v>
      </c>
      <c r="Y32" t="str">
        <f t="shared" ca="1" si="9"/>
        <v>0xCF,</v>
      </c>
      <c r="Z32" t="str">
        <f t="shared" ca="1" si="9"/>
        <v>0xD0,</v>
      </c>
      <c r="AA32" t="str">
        <f t="shared" ca="1" si="9"/>
        <v>0xD1,</v>
      </c>
      <c r="AB32" t="str">
        <f t="shared" ca="1" si="9"/>
        <v>0xD2,</v>
      </c>
      <c r="AC32" t="str">
        <f t="shared" ca="1" si="9"/>
        <v>0xD3,</v>
      </c>
      <c r="AD32" t="str">
        <f t="shared" ca="1" si="9"/>
        <v>0xD4,</v>
      </c>
      <c r="AE32" t="str">
        <f t="shared" ca="1" si="9"/>
        <v>0xD5,</v>
      </c>
      <c r="AF32" t="str">
        <f t="shared" ca="1" si="9"/>
        <v>0xD6,</v>
      </c>
      <c r="AG32" t="str">
        <f t="shared" ca="1" si="9"/>
        <v>0xD7,</v>
      </c>
    </row>
    <row r="33" spans="1:33" x14ac:dyDescent="0.25">
      <c r="A33" s="20">
        <v>32</v>
      </c>
      <c r="B33" t="str">
        <f t="shared" ca="1" si="9"/>
        <v>0xD8,</v>
      </c>
      <c r="C33" t="str">
        <f t="shared" ca="1" si="9"/>
        <v>0xD9,</v>
      </c>
      <c r="D33" t="str">
        <f t="shared" ca="1" si="9"/>
        <v>0xDA,</v>
      </c>
      <c r="E33" t="str">
        <f t="shared" ca="1" si="9"/>
        <v>0xDB,</v>
      </c>
      <c r="F33" t="str">
        <f t="shared" ca="1" si="9"/>
        <v>0xDC,</v>
      </c>
      <c r="G33" t="str">
        <f t="shared" ca="1" si="9"/>
        <v>0xDD,</v>
      </c>
      <c r="H33" t="str">
        <f t="shared" ca="1" si="9"/>
        <v>0xDE,</v>
      </c>
      <c r="I33" t="str">
        <f t="shared" ca="1" si="9"/>
        <v>0xDF,</v>
      </c>
      <c r="J33" t="str">
        <f t="shared" ca="1" si="9"/>
        <v>0xE0,</v>
      </c>
      <c r="K33" t="str">
        <f t="shared" ca="1" si="9"/>
        <v>0xE1,</v>
      </c>
      <c r="L33" t="str">
        <f t="shared" ca="1" si="9"/>
        <v>0xE2,</v>
      </c>
      <c r="M33" t="str">
        <f t="shared" ca="1" si="9"/>
        <v>0xE3,</v>
      </c>
      <c r="N33" t="str">
        <f t="shared" ca="1" si="9"/>
        <v>0xE4,</v>
      </c>
      <c r="O33" t="str">
        <f t="shared" ca="1" si="9"/>
        <v>0xE5,</v>
      </c>
      <c r="P33" t="str">
        <f t="shared" ca="1" si="9"/>
        <v>0xE6,</v>
      </c>
      <c r="Q33" t="str">
        <f t="shared" ca="1" si="9"/>
        <v>0xE7,</v>
      </c>
      <c r="R33" t="str">
        <f t="shared" ca="1" si="9"/>
        <v>0xE8,</v>
      </c>
      <c r="S33" t="str">
        <f t="shared" ca="1" si="9"/>
        <v>0xE9,</v>
      </c>
      <c r="T33" t="str">
        <f t="shared" ca="1" si="9"/>
        <v>0xEA,</v>
      </c>
      <c r="U33" t="str">
        <f t="shared" ca="1" si="9"/>
        <v>0xEB,</v>
      </c>
      <c r="V33" t="str">
        <f t="shared" ca="1" si="9"/>
        <v>0xEC,</v>
      </c>
      <c r="W33" t="str">
        <f t="shared" ca="1" si="9"/>
        <v>0xED,</v>
      </c>
      <c r="X33" t="str">
        <f t="shared" ca="1" si="9"/>
        <v>0xEE,</v>
      </c>
      <c r="Y33" t="str">
        <f t="shared" ca="1" si="9"/>
        <v>0xEF,</v>
      </c>
      <c r="Z33" t="str">
        <f t="shared" ca="1" si="9"/>
        <v>0xEF,</v>
      </c>
      <c r="AA33" t="str">
        <f t="shared" ca="1" si="9"/>
        <v>0xEE,</v>
      </c>
      <c r="AB33" t="str">
        <f t="shared" ca="1" si="9"/>
        <v>0xED,</v>
      </c>
      <c r="AC33" t="str">
        <f t="shared" ca="1" si="9"/>
        <v>0xEC,</v>
      </c>
      <c r="AD33" t="str">
        <f t="shared" ca="1" si="9"/>
        <v>0xEB,</v>
      </c>
      <c r="AE33" t="str">
        <f t="shared" ca="1" si="9"/>
        <v>0xEA,</v>
      </c>
      <c r="AF33" t="str">
        <f t="shared" ca="1" si="9"/>
        <v>0xE9,</v>
      </c>
      <c r="AG33" t="str">
        <f t="shared" ca="1" si="9"/>
        <v>0xE8,</v>
      </c>
    </row>
    <row r="34" spans="1:33" x14ac:dyDescent="0.25">
      <c r="A34" s="20">
        <v>33</v>
      </c>
      <c r="B34" t="str">
        <f t="shared" ca="1" si="9"/>
        <v>0xE7,</v>
      </c>
      <c r="C34" t="str">
        <f t="shared" ca="1" si="9"/>
        <v>0xE6,</v>
      </c>
      <c r="D34" t="str">
        <f t="shared" ca="1" si="9"/>
        <v>0xE5,</v>
      </c>
      <c r="E34" t="str">
        <f t="shared" ca="1" si="9"/>
        <v>0xE4,</v>
      </c>
      <c r="F34" t="str">
        <f t="shared" ca="1" si="9"/>
        <v>0xE3,</v>
      </c>
      <c r="G34" t="str">
        <f t="shared" ca="1" si="9"/>
        <v>0xE2,</v>
      </c>
      <c r="H34" t="str">
        <f t="shared" ca="1" si="9"/>
        <v>0xE1,</v>
      </c>
      <c r="I34" t="str">
        <f t="shared" ca="1" si="9"/>
        <v>0xE0,</v>
      </c>
      <c r="J34" t="str">
        <f t="shared" ca="1" si="9"/>
        <v>0xDF,</v>
      </c>
      <c r="K34" t="str">
        <f t="shared" ca="1" si="9"/>
        <v>0xDE,</v>
      </c>
      <c r="L34" t="str">
        <f t="shared" ca="1" si="9"/>
        <v>0xDD,</v>
      </c>
      <c r="M34" t="str">
        <f t="shared" ca="1" si="9"/>
        <v>0xDC,</v>
      </c>
      <c r="N34" t="str">
        <f t="shared" ca="1" si="9"/>
        <v>0xDB,</v>
      </c>
      <c r="O34" t="str">
        <f t="shared" ca="1" si="9"/>
        <v>0xDA,</v>
      </c>
      <c r="P34" t="str">
        <f t="shared" ca="1" si="9"/>
        <v>0xD9,</v>
      </c>
      <c r="Q34" t="str">
        <f t="shared" ca="1" si="9"/>
        <v>0xD8,</v>
      </c>
      <c r="R34" t="str">
        <f t="shared" ca="1" si="9"/>
        <v>0xD7,</v>
      </c>
      <c r="S34" t="str">
        <f t="shared" ca="1" si="9"/>
        <v>0xD6,</v>
      </c>
      <c r="T34" t="str">
        <f t="shared" ca="1" si="9"/>
        <v>0xD5,</v>
      </c>
      <c r="U34" t="str">
        <f t="shared" ca="1" si="9"/>
        <v>0xD4,</v>
      </c>
      <c r="V34" t="str">
        <f t="shared" ca="1" si="9"/>
        <v>0xD3,</v>
      </c>
      <c r="W34" t="str">
        <f t="shared" ca="1" si="9"/>
        <v>0xD2,</v>
      </c>
      <c r="X34" t="str">
        <f t="shared" ca="1" si="9"/>
        <v>0xD1,</v>
      </c>
      <c r="Y34" t="str">
        <f t="shared" ca="1" si="9"/>
        <v>0xD0,</v>
      </c>
      <c r="Z34" t="str">
        <f t="shared" ca="1" si="9"/>
        <v>0xCF,</v>
      </c>
      <c r="AA34" t="str">
        <f t="shared" ca="1" si="9"/>
        <v>0xCE,</v>
      </c>
      <c r="AB34" t="str">
        <f t="shared" ca="1" si="9"/>
        <v>0xCD,</v>
      </c>
      <c r="AC34" t="str">
        <f t="shared" ca="1" si="9"/>
        <v>0xCC,</v>
      </c>
      <c r="AD34" t="str">
        <f t="shared" ca="1" si="9"/>
        <v>0xCB,</v>
      </c>
      <c r="AE34" t="str">
        <f t="shared" ca="1" si="9"/>
        <v>0xCA,</v>
      </c>
      <c r="AF34" t="str">
        <f t="shared" ca="1" si="9"/>
        <v>0xC9,</v>
      </c>
      <c r="AG34" t="str">
        <f t="shared" ca="1" si="9"/>
        <v>0xC8,</v>
      </c>
    </row>
    <row r="35" spans="1:33" x14ac:dyDescent="0.25">
      <c r="B35" t="str">
        <f t="shared" ca="1" si="9"/>
        <v>0xC7,</v>
      </c>
      <c r="C35" t="str">
        <f t="shared" ca="1" si="9"/>
        <v>0xC6,</v>
      </c>
      <c r="D35" t="str">
        <f t="shared" ca="1" si="9"/>
        <v>0xC5,</v>
      </c>
      <c r="E35" t="str">
        <f t="shared" ca="1" si="9"/>
        <v>0xC4,</v>
      </c>
      <c r="F35" t="str">
        <f t="shared" ca="1" si="9"/>
        <v>0xC3,</v>
      </c>
      <c r="G35" t="str">
        <f t="shared" ca="1" si="9"/>
        <v>0xC2,</v>
      </c>
      <c r="H35" t="str">
        <f t="shared" ca="1" si="9"/>
        <v>0xC1,</v>
      </c>
      <c r="I35" t="str">
        <f t="shared" ca="1" si="9"/>
        <v>0xC0,</v>
      </c>
      <c r="J35" t="str">
        <f t="shared" ca="1" si="9"/>
        <v>0xBF,</v>
      </c>
      <c r="K35" t="str">
        <f t="shared" ca="1" si="9"/>
        <v>0xBE,</v>
      </c>
      <c r="L35" t="str">
        <f t="shared" ca="1" si="9"/>
        <v>0xBD,</v>
      </c>
      <c r="M35" t="str">
        <f t="shared" ca="1" si="9"/>
        <v>0xBC,</v>
      </c>
      <c r="N35" t="str">
        <f t="shared" ca="1" si="9"/>
        <v>0xBB,</v>
      </c>
      <c r="O35" t="str">
        <f t="shared" ca="1" si="9"/>
        <v>0xBA,</v>
      </c>
      <c r="P35" t="str">
        <f t="shared" ca="1" si="9"/>
        <v>0xB9,</v>
      </c>
      <c r="Q35" t="str">
        <f t="shared" ca="1" si="9"/>
        <v>0xB8,</v>
      </c>
      <c r="R35" t="str">
        <f t="shared" ca="1" si="9"/>
        <v>0xB7,</v>
      </c>
      <c r="S35" t="str">
        <f t="shared" ca="1" si="9"/>
        <v>0xB6,</v>
      </c>
      <c r="T35" t="str">
        <f t="shared" ca="1" si="9"/>
        <v>0xB5,</v>
      </c>
      <c r="U35" t="str">
        <f t="shared" ca="1" si="9"/>
        <v>0xB4,</v>
      </c>
      <c r="V35" t="str">
        <f t="shared" ca="1" si="9"/>
        <v>0xB3,</v>
      </c>
      <c r="W35" t="str">
        <f t="shared" ca="1" si="9"/>
        <v>0xB2,</v>
      </c>
      <c r="X35" t="str">
        <f t="shared" ca="1" si="9"/>
        <v>0xB1,</v>
      </c>
      <c r="Y35" t="str">
        <f t="shared" ca="1" si="9"/>
        <v>0xB0,</v>
      </c>
      <c r="Z35" t="str">
        <f t="shared" ca="1" si="9"/>
        <v>0xAF,</v>
      </c>
      <c r="AA35" t="str">
        <f t="shared" ca="1" si="9"/>
        <v>0xAE,</v>
      </c>
      <c r="AB35" t="str">
        <f t="shared" ca="1" si="9"/>
        <v>0xAD,</v>
      </c>
      <c r="AC35" t="str">
        <f t="shared" ca="1" si="9"/>
        <v>0xAC,</v>
      </c>
      <c r="AD35" t="str">
        <f t="shared" ca="1" si="9"/>
        <v>0xAB,</v>
      </c>
      <c r="AE35" t="str">
        <f t="shared" ca="1" si="9"/>
        <v>0xAA,</v>
      </c>
      <c r="AF35" t="str">
        <f t="shared" ca="1" si="9"/>
        <v>0xA9,</v>
      </c>
      <c r="AG35" t="str">
        <f t="shared" ca="1" si="9"/>
        <v>0xA8,</v>
      </c>
    </row>
    <row r="36" spans="1:33" x14ac:dyDescent="0.25">
      <c r="B36" t="str">
        <f t="shared" ca="1" si="9"/>
        <v>0xA7,</v>
      </c>
      <c r="C36" t="str">
        <f t="shared" ca="1" si="9"/>
        <v>0xA6,</v>
      </c>
      <c r="D36" t="str">
        <f t="shared" ca="1" si="9"/>
        <v>0xA5,</v>
      </c>
      <c r="E36" t="str">
        <f t="shared" ca="1" si="9"/>
        <v>0xA4,</v>
      </c>
      <c r="F36" t="str">
        <f t="shared" ca="1" si="9"/>
        <v>0xA3,</v>
      </c>
      <c r="G36" t="str">
        <f t="shared" ca="1" si="9"/>
        <v>0xA2,</v>
      </c>
      <c r="H36" t="str">
        <f t="shared" ca="1" si="9"/>
        <v>0xA1,</v>
      </c>
      <c r="I36" t="str">
        <f t="shared" ca="1" si="9"/>
        <v>0xA0,</v>
      </c>
      <c r="J36" t="str">
        <f t="shared" ca="1" si="9"/>
        <v>0x9F,</v>
      </c>
      <c r="K36" t="str">
        <f t="shared" ca="1" si="9"/>
        <v>0x9E,</v>
      </c>
      <c r="L36" t="str">
        <f t="shared" ca="1" si="9"/>
        <v>0x9D,</v>
      </c>
      <c r="M36" t="str">
        <f t="shared" ca="1" si="9"/>
        <v>0x9C,</v>
      </c>
      <c r="N36" t="str">
        <f t="shared" ca="1" si="9"/>
        <v>0x9B,</v>
      </c>
      <c r="O36" t="str">
        <f t="shared" ca="1" si="9"/>
        <v>0x9A,</v>
      </c>
      <c r="P36" t="str">
        <f t="shared" ca="1" si="9"/>
        <v>0x99,</v>
      </c>
      <c r="Q36" t="str">
        <f t="shared" ca="1" si="9"/>
        <v>0x98,</v>
      </c>
      <c r="R36" t="str">
        <f t="shared" ca="1" si="9"/>
        <v>0x97,</v>
      </c>
      <c r="S36" t="str">
        <f t="shared" ca="1" si="9"/>
        <v>0x96,</v>
      </c>
      <c r="T36" t="str">
        <f t="shared" ca="1" si="9"/>
        <v>0x95,</v>
      </c>
      <c r="U36" t="str">
        <f t="shared" ca="1" si="9"/>
        <v>0x94,</v>
      </c>
      <c r="V36" t="str">
        <f t="shared" ca="1" si="9"/>
        <v>0x93,</v>
      </c>
      <c r="W36" t="str">
        <f t="shared" ca="1" si="9"/>
        <v>0x92,</v>
      </c>
      <c r="X36" t="str">
        <f t="shared" ca="1" si="9"/>
        <v>0x91,</v>
      </c>
      <c r="Y36" t="str">
        <f t="shared" ca="1" si="9"/>
        <v>0x90,</v>
      </c>
      <c r="Z36" t="str">
        <f t="shared" ca="1" si="9"/>
        <v>0x8F,</v>
      </c>
      <c r="AA36" t="str">
        <f t="shared" ca="1" si="9"/>
        <v>0x8E,</v>
      </c>
      <c r="AB36" t="str">
        <f t="shared" ca="1" si="9"/>
        <v>0x8D,</v>
      </c>
      <c r="AC36" t="str">
        <f t="shared" ca="1" si="9"/>
        <v>0x8C,</v>
      </c>
      <c r="AD36" t="str">
        <f t="shared" ca="1" si="9"/>
        <v>0x8B,</v>
      </c>
      <c r="AE36" t="str">
        <f t="shared" ca="1" si="9"/>
        <v>0x8A,</v>
      </c>
      <c r="AF36" t="str">
        <f t="shared" ca="1" si="9"/>
        <v>0x89,</v>
      </c>
      <c r="AG36" t="str">
        <f t="shared" ca="1" si="9"/>
        <v>0x88,</v>
      </c>
    </row>
    <row r="37" spans="1:33" x14ac:dyDescent="0.25">
      <c r="B37" t="str">
        <f t="shared" ca="1" si="9"/>
        <v>0x87,</v>
      </c>
      <c r="C37" t="str">
        <f t="shared" ca="1" si="9"/>
        <v>0x86,</v>
      </c>
      <c r="D37" t="str">
        <f t="shared" ca="1" si="9"/>
        <v>0x85,</v>
      </c>
      <c r="E37" t="str">
        <f t="shared" ca="1" si="9"/>
        <v>0x84,</v>
      </c>
      <c r="F37" t="str">
        <f t="shared" ca="1" si="9"/>
        <v>0x83,</v>
      </c>
      <c r="G37" t="str">
        <f t="shared" ca="1" si="9"/>
        <v>0x82,</v>
      </c>
      <c r="H37" t="str">
        <f t="shared" ca="1" si="9"/>
        <v>0x81,</v>
      </c>
      <c r="I37" t="str">
        <f t="shared" ca="1" si="9"/>
        <v>0x80,</v>
      </c>
      <c r="J37" t="str">
        <f t="shared" ca="1" si="9"/>
        <v>0x7F,</v>
      </c>
      <c r="K37" t="str">
        <f t="shared" ca="1" si="9"/>
        <v>0x7E,</v>
      </c>
      <c r="L37" t="str">
        <f t="shared" ca="1" si="9"/>
        <v>0x7D,</v>
      </c>
      <c r="M37" t="str">
        <f t="shared" ca="1" si="9"/>
        <v>0x7C,</v>
      </c>
      <c r="N37" t="str">
        <f t="shared" ca="1" si="9"/>
        <v>0x7B,</v>
      </c>
      <c r="O37" t="str">
        <f t="shared" ca="1" si="9"/>
        <v>0x7A,</v>
      </c>
      <c r="P37" t="str">
        <f t="shared" ca="1" si="9"/>
        <v>0x79,</v>
      </c>
      <c r="Q37" t="str">
        <f t="shared" ca="1" si="9"/>
        <v>0x78,</v>
      </c>
    </row>
  </sheetData>
  <phoneticPr fontId="2" type="noConversion"/>
  <conditionalFormatting sqref="B10:BI10 C2:BI2 AH3:BI9 B19:BI19 AH11:BI18 AH21:BI21 AH24:BI27 B28:BI61 C4:AG4 C6:AG6 C8:AG8">
    <cfRule type="colorScale" priority="61">
      <colorScale>
        <cfvo type="min"/>
        <cfvo type="percentile" val="50"/>
        <cfvo type="max"/>
        <color rgb="FF63BE7B"/>
        <color rgb="FFFFEB84"/>
        <color rgb="FFF8696B"/>
      </colorScale>
    </cfRule>
  </conditionalFormatting>
  <conditionalFormatting sqref="B2:AG9">
    <cfRule type="colorScale" priority="60">
      <colorScale>
        <cfvo type="min"/>
        <cfvo type="percentile" val="50"/>
        <cfvo type="max"/>
        <color rgb="FF63BE7B"/>
        <color rgb="FFFFEB84"/>
        <color rgb="FFF8696B"/>
      </colorScale>
    </cfRule>
  </conditionalFormatting>
  <conditionalFormatting sqref="B4:AG4 B6:AG6">
    <cfRule type="colorScale" priority="59">
      <colorScale>
        <cfvo type="min"/>
        <cfvo type="percentile" val="50"/>
        <cfvo type="max"/>
        <color rgb="FF63BE7B"/>
        <color rgb="FFFFEB84"/>
        <color rgb="FFF8696B"/>
      </colorScale>
    </cfRule>
  </conditionalFormatting>
  <conditionalFormatting sqref="B2:AG9">
    <cfRule type="colorScale" priority="1">
      <colorScale>
        <cfvo type="min"/>
        <cfvo type="percentile" val="50"/>
        <cfvo type="max"/>
        <color rgb="FF63BE7B"/>
        <color rgb="FFFFEB84"/>
        <color rgb="FFF8696B"/>
      </colorScale>
    </cfRule>
  </conditionalFormatting>
  <conditionalFormatting sqref="B7:AG7">
    <cfRule type="colorScale" priority="57">
      <colorScale>
        <cfvo type="min"/>
        <cfvo type="percentile" val="50"/>
        <cfvo type="max"/>
        <color rgb="FF63BE7B"/>
        <color rgb="FFFFEB84"/>
        <color rgb="FFF8696B"/>
      </colorScale>
    </cfRule>
  </conditionalFormatting>
  <conditionalFormatting sqref="B8:AG8">
    <cfRule type="colorScale" priority="56">
      <colorScale>
        <cfvo type="min"/>
        <cfvo type="percentile" val="50"/>
        <cfvo type="max"/>
        <color rgb="FF63BE7B"/>
        <color rgb="FFFFEB84"/>
        <color rgb="FFF8696B"/>
      </colorScale>
    </cfRule>
  </conditionalFormatting>
  <conditionalFormatting sqref="B8:AG8">
    <cfRule type="colorScale" priority="55">
      <colorScale>
        <cfvo type="min"/>
        <cfvo type="percentile" val="50"/>
        <cfvo type="max"/>
        <color rgb="FF63BE7B"/>
        <color rgb="FFFFEB84"/>
        <color rgb="FFF8696B"/>
      </colorScale>
    </cfRule>
  </conditionalFormatting>
  <conditionalFormatting sqref="B8:AG8">
    <cfRule type="colorScale" priority="54">
      <colorScale>
        <cfvo type="min"/>
        <cfvo type="percentile" val="50"/>
        <cfvo type="max"/>
        <color rgb="FF63BE7B"/>
        <color rgb="FFFFEB84"/>
        <color rgb="FFF8696B"/>
      </colorScale>
    </cfRule>
  </conditionalFormatting>
  <conditionalFormatting sqref="B9:AG9">
    <cfRule type="colorScale" priority="53">
      <colorScale>
        <cfvo type="min"/>
        <cfvo type="percentile" val="50"/>
        <cfvo type="max"/>
        <color rgb="FF63BE7B"/>
        <color rgb="FFFFEB84"/>
        <color rgb="FFF8696B"/>
      </colorScale>
    </cfRule>
  </conditionalFormatting>
  <conditionalFormatting sqref="B9:AG9">
    <cfRule type="colorScale" priority="52">
      <colorScale>
        <cfvo type="min"/>
        <cfvo type="percentile" val="50"/>
        <cfvo type="max"/>
        <color rgb="FF63BE7B"/>
        <color rgb="FFFFEB84"/>
        <color rgb="FFF8696B"/>
      </colorScale>
    </cfRule>
  </conditionalFormatting>
  <conditionalFormatting sqref="B9:AG9">
    <cfRule type="colorScale" priority="51">
      <colorScale>
        <cfvo type="min"/>
        <cfvo type="percentile" val="50"/>
        <cfvo type="max"/>
        <color rgb="FF63BE7B"/>
        <color rgb="FFFFEB84"/>
        <color rgb="FFF8696B"/>
      </colorScale>
    </cfRule>
  </conditionalFormatting>
  <conditionalFormatting sqref="B2:AG10">
    <cfRule type="colorScale" priority="50">
      <colorScale>
        <cfvo type="min"/>
        <cfvo type="percentile" val="50"/>
        <cfvo type="max"/>
        <color rgb="FF63BE7B"/>
        <color rgb="FFFFEB84"/>
        <color rgb="FFF8696B"/>
      </colorScale>
    </cfRule>
  </conditionalFormatting>
  <conditionalFormatting sqref="C11:AG11 C13:AG13 C15:AG15 C17:AG17">
    <cfRule type="colorScale" priority="49">
      <colorScale>
        <cfvo type="min"/>
        <cfvo type="percentile" val="50"/>
        <cfvo type="max"/>
        <color rgb="FF63BE7B"/>
        <color rgb="FFFFEB84"/>
        <color rgb="FFF8696B"/>
      </colorScale>
    </cfRule>
  </conditionalFormatting>
  <conditionalFormatting sqref="B11:AG18">
    <cfRule type="colorScale" priority="48">
      <colorScale>
        <cfvo type="min"/>
        <cfvo type="percentile" val="50"/>
        <cfvo type="max"/>
        <color rgb="FF63BE7B"/>
        <color rgb="FFFFEB84"/>
        <color rgb="FFF8696B"/>
      </colorScale>
    </cfRule>
  </conditionalFormatting>
  <conditionalFormatting sqref="B13:AG13 B15:AG15">
    <cfRule type="colorScale" priority="47">
      <colorScale>
        <cfvo type="min"/>
        <cfvo type="percentile" val="50"/>
        <cfvo type="max"/>
        <color rgb="FF63BE7B"/>
        <color rgb="FFFFEB84"/>
        <color rgb="FFF8696B"/>
      </colorScale>
    </cfRule>
  </conditionalFormatting>
  <conditionalFormatting sqref="B11:AG18">
    <cfRule type="colorScale" priority="46">
      <colorScale>
        <cfvo type="min"/>
        <cfvo type="percentile" val="50"/>
        <cfvo type="max"/>
        <color rgb="FF63BE7B"/>
        <color rgb="FFFFEB84"/>
        <color rgb="FFF8696B"/>
      </colorScale>
    </cfRule>
  </conditionalFormatting>
  <conditionalFormatting sqref="B16:AG16">
    <cfRule type="colorScale" priority="45">
      <colorScale>
        <cfvo type="min"/>
        <cfvo type="percentile" val="50"/>
        <cfvo type="max"/>
        <color rgb="FF63BE7B"/>
        <color rgb="FFFFEB84"/>
        <color rgb="FFF8696B"/>
      </colorScale>
    </cfRule>
  </conditionalFormatting>
  <conditionalFormatting sqref="B17:AG17">
    <cfRule type="colorScale" priority="44">
      <colorScale>
        <cfvo type="min"/>
        <cfvo type="percentile" val="50"/>
        <cfvo type="max"/>
        <color rgb="FF63BE7B"/>
        <color rgb="FFFFEB84"/>
        <color rgb="FFF8696B"/>
      </colorScale>
    </cfRule>
  </conditionalFormatting>
  <conditionalFormatting sqref="B17:AG17">
    <cfRule type="colorScale" priority="43">
      <colorScale>
        <cfvo type="min"/>
        <cfvo type="percentile" val="50"/>
        <cfvo type="max"/>
        <color rgb="FF63BE7B"/>
        <color rgb="FFFFEB84"/>
        <color rgb="FFF8696B"/>
      </colorScale>
    </cfRule>
  </conditionalFormatting>
  <conditionalFormatting sqref="B17:AG17">
    <cfRule type="colorScale" priority="42">
      <colorScale>
        <cfvo type="min"/>
        <cfvo type="percentile" val="50"/>
        <cfvo type="max"/>
        <color rgb="FF63BE7B"/>
        <color rgb="FFFFEB84"/>
        <color rgb="FFF8696B"/>
      </colorScale>
    </cfRule>
  </conditionalFormatting>
  <conditionalFormatting sqref="B18:AG18">
    <cfRule type="colorScale" priority="41">
      <colorScale>
        <cfvo type="min"/>
        <cfvo type="percentile" val="50"/>
        <cfvo type="max"/>
        <color rgb="FF63BE7B"/>
        <color rgb="FFFFEB84"/>
        <color rgb="FFF8696B"/>
      </colorScale>
    </cfRule>
  </conditionalFormatting>
  <conditionalFormatting sqref="B18:AG18">
    <cfRule type="colorScale" priority="40">
      <colorScale>
        <cfvo type="min"/>
        <cfvo type="percentile" val="50"/>
        <cfvo type="max"/>
        <color rgb="FF63BE7B"/>
        <color rgb="FFFFEB84"/>
        <color rgb="FFF8696B"/>
      </colorScale>
    </cfRule>
  </conditionalFormatting>
  <conditionalFormatting sqref="B18:AG18">
    <cfRule type="colorScale" priority="39">
      <colorScale>
        <cfvo type="min"/>
        <cfvo type="percentile" val="50"/>
        <cfvo type="max"/>
        <color rgb="FF63BE7B"/>
        <color rgb="FFFFEB84"/>
        <color rgb="FFF8696B"/>
      </colorScale>
    </cfRule>
  </conditionalFormatting>
  <conditionalFormatting sqref="B11:AG18">
    <cfRule type="colorScale" priority="38">
      <colorScale>
        <cfvo type="min"/>
        <cfvo type="percentile" val="50"/>
        <cfvo type="max"/>
        <color rgb="FF63BE7B"/>
        <color rgb="FFFFEB84"/>
        <color rgb="FFF8696B"/>
      </colorScale>
    </cfRule>
  </conditionalFormatting>
  <conditionalFormatting sqref="C21:AG21 C23:AG23 C25:AG25 C27:AG27">
    <cfRule type="colorScale" priority="37">
      <colorScale>
        <cfvo type="min"/>
        <cfvo type="percentile" val="50"/>
        <cfvo type="max"/>
        <color rgb="FF63BE7B"/>
        <color rgb="FFFFEB84"/>
        <color rgb="FFF8696B"/>
      </colorScale>
    </cfRule>
  </conditionalFormatting>
  <conditionalFormatting sqref="B21:AG23 B25:AG27">
    <cfRule type="colorScale" priority="36">
      <colorScale>
        <cfvo type="min"/>
        <cfvo type="percentile" val="50"/>
        <cfvo type="max"/>
        <color rgb="FF63BE7B"/>
        <color rgb="FFFFEB84"/>
        <color rgb="FFF8696B"/>
      </colorScale>
    </cfRule>
  </conditionalFormatting>
  <conditionalFormatting sqref="B25:AG25">
    <cfRule type="colorScale" priority="35">
      <colorScale>
        <cfvo type="min"/>
        <cfvo type="percentile" val="50"/>
        <cfvo type="max"/>
        <color rgb="FF63BE7B"/>
        <color rgb="FFFFEB84"/>
        <color rgb="FFF8696B"/>
      </colorScale>
    </cfRule>
  </conditionalFormatting>
  <conditionalFormatting sqref="B21:AG23 B25:AG27">
    <cfRule type="colorScale" priority="34">
      <colorScale>
        <cfvo type="min"/>
        <cfvo type="percentile" val="50"/>
        <cfvo type="max"/>
        <color rgb="FF63BE7B"/>
        <color rgb="FFFFEB84"/>
        <color rgb="FFF8696B"/>
      </colorScale>
    </cfRule>
  </conditionalFormatting>
  <conditionalFormatting sqref="B26:AG26">
    <cfRule type="colorScale" priority="33">
      <colorScale>
        <cfvo type="min"/>
        <cfvo type="percentile" val="50"/>
        <cfvo type="max"/>
        <color rgb="FF63BE7B"/>
        <color rgb="FFFFEB84"/>
        <color rgb="FFF8696B"/>
      </colorScale>
    </cfRule>
  </conditionalFormatting>
  <conditionalFormatting sqref="B27:AG27">
    <cfRule type="colorScale" priority="32">
      <colorScale>
        <cfvo type="min"/>
        <cfvo type="percentile" val="50"/>
        <cfvo type="max"/>
        <color rgb="FF63BE7B"/>
        <color rgb="FFFFEB84"/>
        <color rgb="FFF8696B"/>
      </colorScale>
    </cfRule>
  </conditionalFormatting>
  <conditionalFormatting sqref="B27:AG27">
    <cfRule type="colorScale" priority="31">
      <colorScale>
        <cfvo type="min"/>
        <cfvo type="percentile" val="50"/>
        <cfvo type="max"/>
        <color rgb="FF63BE7B"/>
        <color rgb="FFFFEB84"/>
        <color rgb="FFF8696B"/>
      </colorScale>
    </cfRule>
  </conditionalFormatting>
  <conditionalFormatting sqref="B27:AG27">
    <cfRule type="colorScale" priority="30">
      <colorScale>
        <cfvo type="min"/>
        <cfvo type="percentile" val="50"/>
        <cfvo type="max"/>
        <color rgb="FF63BE7B"/>
        <color rgb="FFFFEB84"/>
        <color rgb="FFF8696B"/>
      </colorScale>
    </cfRule>
  </conditionalFormatting>
  <conditionalFormatting sqref="B21:AG23 B25:AG27">
    <cfRule type="colorScale" priority="28">
      <colorScale>
        <cfvo type="min"/>
        <cfvo type="percentile" val="50"/>
        <cfvo type="max"/>
        <color rgb="FF63BE7B"/>
        <color rgb="FFFFEB84"/>
        <color rgb="FFF8696B"/>
      </colorScale>
    </cfRule>
  </conditionalFormatting>
  <conditionalFormatting sqref="C22:AG22">
    <cfRule type="colorScale" priority="29">
      <colorScale>
        <cfvo type="min"/>
        <cfvo type="percentile" val="50"/>
        <cfvo type="max"/>
        <color rgb="FF63BE7B"/>
        <color rgb="FFFFEB84"/>
        <color rgb="FFF8696B"/>
      </colorScale>
    </cfRule>
  </conditionalFormatting>
  <conditionalFormatting sqref="AH22:BI22">
    <cfRule type="colorScale" priority="27">
      <colorScale>
        <cfvo type="min"/>
        <cfvo type="percentile" val="50"/>
        <cfvo type="max"/>
        <color rgb="FF63BE7B"/>
        <color rgb="FFFFEB84"/>
        <color rgb="FFF8696B"/>
      </colorScale>
    </cfRule>
  </conditionalFormatting>
  <conditionalFormatting sqref="B23:AG23">
    <cfRule type="colorScale" priority="26">
      <colorScale>
        <cfvo type="min"/>
        <cfvo type="percentile" val="50"/>
        <cfvo type="max"/>
        <color rgb="FF63BE7B"/>
        <color rgb="FFFFEB84"/>
        <color rgb="FFF8696B"/>
      </colorScale>
    </cfRule>
  </conditionalFormatting>
  <conditionalFormatting sqref="B23:AG23">
    <cfRule type="colorScale" priority="25">
      <colorScale>
        <cfvo type="min"/>
        <cfvo type="percentile" val="50"/>
        <cfvo type="max"/>
        <color rgb="FF63BE7B"/>
        <color rgb="FFFFEB84"/>
        <color rgb="FFF8696B"/>
      </colorScale>
    </cfRule>
  </conditionalFormatting>
  <conditionalFormatting sqref="B23:AG23">
    <cfRule type="colorScale" priority="23">
      <colorScale>
        <cfvo type="min"/>
        <cfvo type="percentile" val="50"/>
        <cfvo type="max"/>
        <color rgb="FF63BE7B"/>
        <color rgb="FFFFEB84"/>
        <color rgb="FFF8696B"/>
      </colorScale>
    </cfRule>
  </conditionalFormatting>
  <conditionalFormatting sqref="C23:AG23">
    <cfRule type="colorScale" priority="24">
      <colorScale>
        <cfvo type="min"/>
        <cfvo type="percentile" val="50"/>
        <cfvo type="max"/>
        <color rgb="FF63BE7B"/>
        <color rgb="FFFFEB84"/>
        <color rgb="FFF8696B"/>
      </colorScale>
    </cfRule>
  </conditionalFormatting>
  <conditionalFormatting sqref="AH23:BI23">
    <cfRule type="colorScale" priority="22">
      <colorScale>
        <cfvo type="min"/>
        <cfvo type="percentile" val="50"/>
        <cfvo type="max"/>
        <color rgb="FF63BE7B"/>
        <color rgb="FFFFEB84"/>
        <color rgb="FFF8696B"/>
      </colorScale>
    </cfRule>
  </conditionalFormatting>
  <conditionalFormatting sqref="B24:AG24">
    <cfRule type="colorScale" priority="21">
      <colorScale>
        <cfvo type="min"/>
        <cfvo type="percentile" val="50"/>
        <cfvo type="max"/>
        <color rgb="FF63BE7B"/>
        <color rgb="FFFFEB84"/>
        <color rgb="FFF8696B"/>
      </colorScale>
    </cfRule>
  </conditionalFormatting>
  <conditionalFormatting sqref="B24:AG24">
    <cfRule type="colorScale" priority="20">
      <colorScale>
        <cfvo type="min"/>
        <cfvo type="percentile" val="50"/>
        <cfvo type="max"/>
        <color rgb="FF63BE7B"/>
        <color rgb="FFFFEB84"/>
        <color rgb="FFF8696B"/>
      </colorScale>
    </cfRule>
  </conditionalFormatting>
  <conditionalFormatting sqref="B24:AG24">
    <cfRule type="colorScale" priority="18">
      <colorScale>
        <cfvo type="min"/>
        <cfvo type="percentile" val="50"/>
        <cfvo type="max"/>
        <color rgb="FF63BE7B"/>
        <color rgb="FFFFEB84"/>
        <color rgb="FFF8696B"/>
      </colorScale>
    </cfRule>
  </conditionalFormatting>
  <conditionalFormatting sqref="C24:AG24">
    <cfRule type="colorScale" priority="19">
      <colorScale>
        <cfvo type="min"/>
        <cfvo type="percentile" val="50"/>
        <cfvo type="max"/>
        <color rgb="FF63BE7B"/>
        <color rgb="FFFFEB84"/>
        <color rgb="FFF8696B"/>
      </colorScale>
    </cfRule>
  </conditionalFormatting>
  <conditionalFormatting sqref="C21:AG21 C23:AG23 C25:AG25 C27:AG27">
    <cfRule type="colorScale" priority="17">
      <colorScale>
        <cfvo type="min"/>
        <cfvo type="percentile" val="50"/>
        <cfvo type="max"/>
        <color rgb="FF63BE7B"/>
        <color rgb="FFFFEB84"/>
        <color rgb="FFF8696B"/>
      </colorScale>
    </cfRule>
  </conditionalFormatting>
  <conditionalFormatting sqref="E21 C21 G21 I21 K21 M21 O21 Q21 S21 U21 W21 Y21 AA21 AC21 AE21 AG21 C23 C25 C27 E23 E25 E27 G23 G25 G27 I23 I25 I27 K23 K25 K27 M23 M25 M27 O23 O25 O27 Q23 Q25 Q27 S23 S25 S27 U23 U25 U27 W23 W25 W27 Y23 Y25 Y27 AA23 AA25 AA27 AC23 AC25 AC27 AE23 AE25 AE27 AG23 AG25 AG27">
    <cfRule type="colorScale" priority="16">
      <colorScale>
        <cfvo type="min"/>
        <cfvo type="percentile" val="50"/>
        <cfvo type="max"/>
        <color rgb="FF63BE7B"/>
        <color rgb="FFFFEB84"/>
        <color rgb="FFF8696B"/>
      </colorScale>
    </cfRule>
  </conditionalFormatting>
  <conditionalFormatting sqref="C21 E21 G21 I21 K21 M21 O21 Q21 S21 U21 W21 Y21 AA21 AC21 AE21 AG21 C23 C25 C27 E23 E25 E27 G23 G25 G27 I23 I25 I27 K23 K25 K27 M23 M25 M27 O23 O25 O27 Q23 Q25 Q27 S23 S25 S27 U23 U25 U27 W23 W25 W27 Y23 Y25 Y27 AA23 AA25 AA27 AC23 AC25 AC27 AE23 AE25 AE27 AG23 AG25 AG27">
    <cfRule type="colorScale" priority="15">
      <colorScale>
        <cfvo type="min"/>
        <cfvo type="percentile" val="50"/>
        <cfvo type="max"/>
        <color rgb="FF63BE7B"/>
        <color rgb="FFFFEB84"/>
        <color rgb="FFF8696B"/>
      </colorScale>
    </cfRule>
  </conditionalFormatting>
  <conditionalFormatting sqref="AH20:BI20">
    <cfRule type="colorScale" priority="14">
      <colorScale>
        <cfvo type="min"/>
        <cfvo type="percentile" val="50"/>
        <cfvo type="max"/>
        <color rgb="FF63BE7B"/>
        <color rgb="FFFFEB84"/>
        <color rgb="FFF8696B"/>
      </colorScale>
    </cfRule>
  </conditionalFormatting>
  <conditionalFormatting sqref="C20:Q20 C22:Q22 C24:Q24 C26:Q26">
    <cfRule type="colorScale" priority="13">
      <colorScale>
        <cfvo type="min"/>
        <cfvo type="percentile" val="50"/>
        <cfvo type="max"/>
        <color rgb="FF63BE7B"/>
        <color rgb="FFFFEB84"/>
        <color rgb="FFF8696B"/>
      </colorScale>
    </cfRule>
  </conditionalFormatting>
  <conditionalFormatting sqref="B20:AG20 B22:AG22 B24:AG24 B26:AG26">
    <cfRule type="colorScale" priority="12">
      <colorScale>
        <cfvo type="min"/>
        <cfvo type="percentile" val="50"/>
        <cfvo type="max"/>
        <color rgb="FF63BE7B"/>
        <color rgb="FFFFEB84"/>
        <color rgb="FFF8696B"/>
      </colorScale>
    </cfRule>
  </conditionalFormatting>
  <conditionalFormatting sqref="B20:AG20 B22:AG22 B24:AG24 B26:AG26">
    <cfRule type="colorScale" priority="11">
      <colorScale>
        <cfvo type="min"/>
        <cfvo type="percentile" val="50"/>
        <cfvo type="max"/>
        <color rgb="FF63BE7B"/>
        <color rgb="FFFFEB84"/>
        <color rgb="FFF8696B"/>
      </colorScale>
    </cfRule>
  </conditionalFormatting>
  <conditionalFormatting sqref="B20:AG20 B22:AG22 B24:AG24 B26:AG26">
    <cfRule type="colorScale" priority="10">
      <colorScale>
        <cfvo type="min"/>
        <cfvo type="percentile" val="50"/>
        <cfvo type="max"/>
        <color rgb="FF63BE7B"/>
        <color rgb="FFFFEB84"/>
        <color rgb="FFF8696B"/>
      </colorScale>
    </cfRule>
  </conditionalFormatting>
  <conditionalFormatting sqref="C20:Q20 C22:Q22 C24:Q24 C26:Q26">
    <cfRule type="colorScale" priority="9">
      <colorScale>
        <cfvo type="min"/>
        <cfvo type="percentile" val="50"/>
        <cfvo type="max"/>
        <color rgb="FF63BE7B"/>
        <color rgb="FFFFEB84"/>
        <color rgb="FFF8696B"/>
      </colorScale>
    </cfRule>
  </conditionalFormatting>
  <conditionalFormatting sqref="C20 E20 G20 I20 K20 M20 O20 Q20 C22 C24 C26 E22 E24 E26 G22 G24 G26 I22 I24 I26 K22 K24 K26 M22 M24 M26 O22 O24 O26 Q22 Q24 Q26">
    <cfRule type="colorScale" priority="8">
      <colorScale>
        <cfvo type="min"/>
        <cfvo type="percentile" val="50"/>
        <cfvo type="max"/>
        <color rgb="FF63BE7B"/>
        <color rgb="FFFFEB84"/>
        <color rgb="FFF8696B"/>
      </colorScale>
    </cfRule>
  </conditionalFormatting>
  <conditionalFormatting sqref="C20 E20 G20 I20 K20 M20 O20 Q20 E22 E24 E26 C22 C24 C26 G22 G24 G26 I22 I24 I26 K22 K24 K26 M22 M24 M26 O22 O24 O26 Q22 Q24 Q26">
    <cfRule type="colorScale" priority="7">
      <colorScale>
        <cfvo type="min"/>
        <cfvo type="percentile" val="50"/>
        <cfvo type="max"/>
        <color rgb="FF63BE7B"/>
        <color rgb="FFFFEB84"/>
        <color rgb="FFF8696B"/>
      </colorScale>
    </cfRule>
  </conditionalFormatting>
  <conditionalFormatting sqref="R20:AG20 R22:AG22 R24:AG24 R26:AG26">
    <cfRule type="colorScale" priority="6">
      <colorScale>
        <cfvo type="min"/>
        <cfvo type="percentile" val="50"/>
        <cfvo type="max"/>
        <color rgb="FF63BE7B"/>
        <color rgb="FFFFEB84"/>
        <color rgb="FFF8696B"/>
      </colorScale>
    </cfRule>
  </conditionalFormatting>
  <conditionalFormatting sqref="R20:AG20 R22:AG22 R24:AG24 R26:AG26">
    <cfRule type="colorScale" priority="5">
      <colorScale>
        <cfvo type="min"/>
        <cfvo type="percentile" val="50"/>
        <cfvo type="max"/>
        <color rgb="FF63BE7B"/>
        <color rgb="FFFFEB84"/>
        <color rgb="FFF8696B"/>
      </colorScale>
    </cfRule>
  </conditionalFormatting>
  <conditionalFormatting sqref="R20:AG20 R22:AG22 R24:AG24 R26:AG26">
    <cfRule type="colorScale" priority="4">
      <colorScale>
        <cfvo type="min"/>
        <cfvo type="percentile" val="50"/>
        <cfvo type="max"/>
        <color rgb="FF63BE7B"/>
        <color rgb="FFFFEB84"/>
        <color rgb="FFF8696B"/>
      </colorScale>
    </cfRule>
  </conditionalFormatting>
  <conditionalFormatting sqref="B20:AG27">
    <cfRule type="colorScale" priority="3">
      <colorScale>
        <cfvo type="min"/>
        <cfvo type="percentile" val="50"/>
        <cfvo type="max"/>
        <color rgb="FF63BE7B"/>
        <color rgb="FFFFEB84"/>
        <color rgb="FFF8696B"/>
      </colorScale>
    </cfRule>
  </conditionalFormatting>
  <conditionalFormatting sqref="B30:AG37">
    <cfRule type="colorScale" priority="2">
      <colorScale>
        <cfvo type="min"/>
        <cfvo type="percentile" val="50"/>
        <cfvo type="max"/>
        <color rgb="FF63BE7B"/>
        <color rgb="FFFFEB84"/>
        <color rgb="FFF8696B"/>
      </colorScale>
    </cfRule>
  </conditionalFormatting>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(直掃)RX Mapping</vt:lpstr>
      <vt:lpstr>(直掃)Change to adc mapping </vt:lpstr>
      <vt:lpstr>(直掃)add 逗號</vt:lpstr>
      <vt:lpstr>(直掃)add 逗號 16進制</vt:lpstr>
      <vt:lpstr>(橫掃)RX Mapping</vt:lpstr>
      <vt:lpstr>(橫掃)Change to adc mapping</vt:lpstr>
      <vt:lpstr>(橫掃)add 逗號</vt:lpstr>
      <vt:lpstr>(橫掃)add 逗號 16進制</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Lin(林昱享)</dc:creator>
  <cp:lastModifiedBy>Stella Huang(黃庭儀)</cp:lastModifiedBy>
  <dcterms:created xsi:type="dcterms:W3CDTF">2015-06-05T18:19:34Z</dcterms:created>
  <dcterms:modified xsi:type="dcterms:W3CDTF">2022-03-16T10:38:32Z</dcterms:modified>
</cp:coreProperties>
</file>